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9 chımkent akram aulet\"/>
    </mc:Choice>
  </mc:AlternateContent>
  <xr:revisionPtr revIDLastSave="0" documentId="13_ncr:1_{2BD4C812-2F8E-4572-87CA-057BE991FFF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</sheets>
  <definedNames>
    <definedName name="_xlnm._FilterDatabase" localSheetId="0" hidden="1">BOM!$A$1:$AJ$800</definedName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7" i="1" l="1"/>
  <c r="L354" i="1"/>
  <c r="L315" i="1"/>
  <c r="L232" i="1"/>
  <c r="L303" i="1"/>
  <c r="AC756" i="1"/>
  <c r="L615" i="1"/>
  <c r="AC629" i="1"/>
  <c r="Z376" i="1"/>
  <c r="L754" i="1"/>
  <c r="AC508" i="1"/>
  <c r="L718" i="1"/>
  <c r="AC25" i="1"/>
  <c r="L547" i="1"/>
  <c r="AC755" i="1"/>
  <c r="L697" i="1"/>
  <c r="AC713" i="1"/>
  <c r="L693" i="1"/>
  <c r="AC489" i="1"/>
  <c r="AC627" i="1"/>
  <c r="L140" i="1"/>
  <c r="AC22" i="1"/>
  <c r="L372" i="1"/>
  <c r="AC473" i="1"/>
  <c r="AC361" i="1"/>
  <c r="AI798" i="1"/>
  <c r="AD798" i="1"/>
  <c r="AE798" i="1" s="1"/>
  <c r="AC798" i="1"/>
  <c r="AB798" i="1"/>
  <c r="AA798" i="1"/>
  <c r="T798" i="1"/>
  <c r="L798" i="1"/>
  <c r="O798" i="1"/>
  <c r="AI797" i="1"/>
  <c r="AD797" i="1"/>
  <c r="AE797" i="1" s="1"/>
  <c r="AB797" i="1"/>
  <c r="T797" i="1"/>
  <c r="O797" i="1"/>
  <c r="AG797" i="1"/>
  <c r="Y797" i="1"/>
  <c r="AI796" i="1"/>
  <c r="AB796" i="1"/>
  <c r="T796" i="1"/>
  <c r="L796" i="1"/>
  <c r="AI795" i="1"/>
  <c r="AD795" i="1"/>
  <c r="AF795" i="1" s="1"/>
  <c r="AC795" i="1"/>
  <c r="AA795" i="1"/>
  <c r="O795" i="1"/>
  <c r="L795" i="1"/>
  <c r="AI794" i="1"/>
  <c r="AD794" i="1"/>
  <c r="AF794" i="1" s="1"/>
  <c r="AC794" i="1"/>
  <c r="AB794" i="1"/>
  <c r="AA794" i="1"/>
  <c r="T794" i="1"/>
  <c r="O794" i="1"/>
  <c r="AI793" i="1"/>
  <c r="AA793" i="1"/>
  <c r="Y793" i="1"/>
  <c r="AI792" i="1"/>
  <c r="AD792" i="1"/>
  <c r="AF792" i="1" s="1"/>
  <c r="AB792" i="1"/>
  <c r="AA792" i="1"/>
  <c r="O792" i="1"/>
  <c r="L792" i="1"/>
  <c r="AI791" i="1"/>
  <c r="AB791" i="1"/>
  <c r="AA791" i="1"/>
  <c r="AI790" i="1"/>
  <c r="AD790" i="1"/>
  <c r="AE790" i="1" s="1"/>
  <c r="AB790" i="1"/>
  <c r="AA790" i="1"/>
  <c r="Z790" i="1"/>
  <c r="T790" i="1"/>
  <c r="O790" i="1"/>
  <c r="AI789" i="1"/>
  <c r="AD789" i="1"/>
  <c r="AE789" i="1" s="1"/>
  <c r="AI788" i="1"/>
  <c r="AI787" i="1"/>
  <c r="U787" i="1"/>
  <c r="AI786" i="1"/>
  <c r="U786" i="1"/>
  <c r="T786" i="1"/>
  <c r="AI785" i="1"/>
  <c r="U785" i="1"/>
  <c r="AI784" i="1"/>
  <c r="U784" i="1"/>
  <c r="AI783" i="1"/>
  <c r="U783" i="1"/>
  <c r="AI782" i="1"/>
  <c r="I781" i="1"/>
  <c r="I782" i="1" s="1"/>
  <c r="I783" i="1" s="1"/>
  <c r="A781" i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I778" i="1"/>
  <c r="AD778" i="1"/>
  <c r="AC778" i="1"/>
  <c r="AB778" i="1"/>
  <c r="AA778" i="1"/>
  <c r="T778" i="1"/>
  <c r="O778" i="1"/>
  <c r="L778" i="1"/>
  <c r="AI777" i="1"/>
  <c r="AD777" i="1"/>
  <c r="AF777" i="1" s="1"/>
  <c r="O777" i="1"/>
  <c r="AB777" i="1"/>
  <c r="AI776" i="1"/>
  <c r="O776" i="1"/>
  <c r="AB776" i="1"/>
  <c r="AI775" i="1"/>
  <c r="AD775" i="1"/>
  <c r="AC775" i="1"/>
  <c r="AI774" i="1"/>
  <c r="O774" i="1"/>
  <c r="T774" i="1"/>
  <c r="AI773" i="1"/>
  <c r="AG773" i="1"/>
  <c r="AD773" i="1"/>
  <c r="AF773" i="1" s="1"/>
  <c r="AB773" i="1"/>
  <c r="O773" i="1"/>
  <c r="T773" i="1"/>
  <c r="AI772" i="1"/>
  <c r="AC772" i="1"/>
  <c r="AA772" i="1"/>
  <c r="Z772" i="1"/>
  <c r="T772" i="1"/>
  <c r="O772" i="1"/>
  <c r="AI771" i="1"/>
  <c r="T771" i="1"/>
  <c r="O771" i="1"/>
  <c r="AI770" i="1"/>
  <c r="AA770" i="1"/>
  <c r="AI769" i="1"/>
  <c r="T769" i="1"/>
  <c r="AI768" i="1"/>
  <c r="AD768" i="1"/>
  <c r="AF768" i="1" s="1"/>
  <c r="AI767" i="1"/>
  <c r="U767" i="1"/>
  <c r="AG767" i="1"/>
  <c r="AI766" i="1"/>
  <c r="U766" i="1"/>
  <c r="AG766" i="1"/>
  <c r="AI765" i="1"/>
  <c r="U765" i="1"/>
  <c r="AD765" i="1"/>
  <c r="AI764" i="1"/>
  <c r="U764" i="1"/>
  <c r="AI763" i="1"/>
  <c r="U763" i="1"/>
  <c r="AI762" i="1"/>
  <c r="I761" i="1"/>
  <c r="I762" i="1" s="1"/>
  <c r="A761" i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I758" i="1"/>
  <c r="AD758" i="1"/>
  <c r="AC758" i="1"/>
  <c r="AB758" i="1"/>
  <c r="O758" i="1"/>
  <c r="AA758" i="1"/>
  <c r="AI757" i="1"/>
  <c r="AI756" i="1"/>
  <c r="AD756" i="1"/>
  <c r="AF756" i="1" s="1"/>
  <c r="AB756" i="1"/>
  <c r="AA756" i="1"/>
  <c r="Z756" i="1"/>
  <c r="O756" i="1"/>
  <c r="AI755" i="1"/>
  <c r="AD755" i="1"/>
  <c r="AE755" i="1" s="1"/>
  <c r="AB755" i="1"/>
  <c r="AA755" i="1"/>
  <c r="O755" i="1"/>
  <c r="AI754" i="1"/>
  <c r="AC754" i="1"/>
  <c r="AD754" i="1"/>
  <c r="AI753" i="1"/>
  <c r="AD753" i="1"/>
  <c r="AB753" i="1"/>
  <c r="AA753" i="1"/>
  <c r="AI752" i="1"/>
  <c r="AC752" i="1"/>
  <c r="AB752" i="1"/>
  <c r="O752" i="1"/>
  <c r="AI751" i="1"/>
  <c r="AC751" i="1"/>
  <c r="AI750" i="1"/>
  <c r="AA750" i="1"/>
  <c r="AI749" i="1"/>
  <c r="U749" i="1"/>
  <c r="AI748" i="1"/>
  <c r="U748" i="1"/>
  <c r="Q748" i="1"/>
  <c r="AI747" i="1"/>
  <c r="U747" i="1"/>
  <c r="AG747" i="1"/>
  <c r="AI746" i="1"/>
  <c r="U746" i="1"/>
  <c r="Y746" i="1"/>
  <c r="AI745" i="1"/>
  <c r="I744" i="1"/>
  <c r="I745" i="1" s="1"/>
  <c r="A744" i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I741" i="1"/>
  <c r="T741" i="1"/>
  <c r="AI740" i="1"/>
  <c r="AC740" i="1"/>
  <c r="AB740" i="1"/>
  <c r="AI739" i="1"/>
  <c r="AD739" i="1"/>
  <c r="AF739" i="1" s="1"/>
  <c r="AB739" i="1"/>
  <c r="AA739" i="1"/>
  <c r="Z739" i="1"/>
  <c r="T739" i="1"/>
  <c r="O739" i="1"/>
  <c r="AI738" i="1"/>
  <c r="AD738" i="1"/>
  <c r="AE738" i="1" s="1"/>
  <c r="AA738" i="1"/>
  <c r="AC738" i="1"/>
  <c r="AI737" i="1"/>
  <c r="AD737" i="1"/>
  <c r="AE737" i="1" s="1"/>
  <c r="AB737" i="1"/>
  <c r="AI736" i="1"/>
  <c r="AA736" i="1"/>
  <c r="AI735" i="1"/>
  <c r="AD735" i="1"/>
  <c r="AE735" i="1" s="1"/>
  <c r="AB735" i="1"/>
  <c r="AA735" i="1"/>
  <c r="Z735" i="1"/>
  <c r="T735" i="1"/>
  <c r="O735" i="1"/>
  <c r="AI734" i="1"/>
  <c r="AD734" i="1"/>
  <c r="AF734" i="1" s="1"/>
  <c r="AC734" i="1"/>
  <c r="AB734" i="1"/>
  <c r="T734" i="1"/>
  <c r="O734" i="1"/>
  <c r="AI733" i="1"/>
  <c r="O733" i="1"/>
  <c r="AD733" i="1"/>
  <c r="AI732" i="1"/>
  <c r="AD732" i="1"/>
  <c r="AI731" i="1"/>
  <c r="O731" i="1"/>
  <c r="AI730" i="1"/>
  <c r="U730" i="1"/>
  <c r="Y730" i="1"/>
  <c r="AI729" i="1"/>
  <c r="U729" i="1"/>
  <c r="AI728" i="1"/>
  <c r="U728" i="1"/>
  <c r="S728" i="1"/>
  <c r="AI727" i="1"/>
  <c r="U727" i="1"/>
  <c r="AI726" i="1"/>
  <c r="U726" i="1"/>
  <c r="AI725" i="1"/>
  <c r="I724" i="1"/>
  <c r="I725" i="1" s="1"/>
  <c r="I726" i="1" s="1"/>
  <c r="I727" i="1" s="1"/>
  <c r="A724" i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I721" i="1"/>
  <c r="AA721" i="1"/>
  <c r="O721" i="1"/>
  <c r="AI720" i="1"/>
  <c r="AD720" i="1"/>
  <c r="AC720" i="1"/>
  <c r="AA720" i="1"/>
  <c r="Z720" i="1"/>
  <c r="T720" i="1"/>
  <c r="O720" i="1"/>
  <c r="Y720" i="1"/>
  <c r="AG720" i="1"/>
  <c r="AI719" i="1"/>
  <c r="AD719" i="1"/>
  <c r="AA719" i="1"/>
  <c r="AB719" i="1"/>
  <c r="AI718" i="1"/>
  <c r="AI717" i="1"/>
  <c r="T717" i="1"/>
  <c r="O717" i="1"/>
  <c r="AI716" i="1"/>
  <c r="O716" i="1"/>
  <c r="AI715" i="1"/>
  <c r="AD715" i="1"/>
  <c r="AF715" i="1" s="1"/>
  <c r="AB715" i="1"/>
  <c r="AA715" i="1"/>
  <c r="T715" i="1"/>
  <c r="O715" i="1"/>
  <c r="AI714" i="1"/>
  <c r="AD714" i="1"/>
  <c r="AE714" i="1" s="1"/>
  <c r="O714" i="1"/>
  <c r="AI713" i="1"/>
  <c r="AD713" i="1"/>
  <c r="AE713" i="1" s="1"/>
  <c r="T713" i="1"/>
  <c r="O713" i="1"/>
  <c r="L713" i="1"/>
  <c r="AI712" i="1"/>
  <c r="AG712" i="1"/>
  <c r="AI711" i="1"/>
  <c r="AI710" i="1"/>
  <c r="U710" i="1"/>
  <c r="AI709" i="1"/>
  <c r="U709" i="1"/>
  <c r="AI708" i="1"/>
  <c r="U708" i="1"/>
  <c r="Y708" i="1"/>
  <c r="AI707" i="1"/>
  <c r="U707" i="1"/>
  <c r="T707" i="1"/>
  <c r="AI706" i="1"/>
  <c r="U706" i="1"/>
  <c r="AI705" i="1"/>
  <c r="I704" i="1"/>
  <c r="I705" i="1" s="1"/>
  <c r="A704" i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I701" i="1"/>
  <c r="AC701" i="1"/>
  <c r="AA701" i="1"/>
  <c r="O701" i="1"/>
  <c r="AI700" i="1"/>
  <c r="AG700" i="1"/>
  <c r="AD700" i="1"/>
  <c r="AB700" i="1"/>
  <c r="T700" i="1"/>
  <c r="Y700" i="1"/>
  <c r="Z700" i="1"/>
  <c r="AI699" i="1"/>
  <c r="AC699" i="1"/>
  <c r="AB699" i="1"/>
  <c r="AA699" i="1"/>
  <c r="O699" i="1"/>
  <c r="L699" i="1"/>
  <c r="AI698" i="1"/>
  <c r="AB698" i="1"/>
  <c r="AA698" i="1"/>
  <c r="Z698" i="1"/>
  <c r="O698" i="1"/>
  <c r="AD698" i="1"/>
  <c r="AF698" i="1" s="1"/>
  <c r="AI697" i="1"/>
  <c r="AD697" i="1"/>
  <c r="AC697" i="1"/>
  <c r="AB697" i="1"/>
  <c r="AA697" i="1"/>
  <c r="O697" i="1"/>
  <c r="AI696" i="1"/>
  <c r="AD696" i="1"/>
  <c r="AC696" i="1"/>
  <c r="AB696" i="1"/>
  <c r="O696" i="1"/>
  <c r="Y696" i="1"/>
  <c r="AG696" i="1"/>
  <c r="AA696" i="1"/>
  <c r="AI695" i="1"/>
  <c r="AB695" i="1"/>
  <c r="T695" i="1"/>
  <c r="AI694" i="1"/>
  <c r="AD694" i="1"/>
  <c r="AC694" i="1"/>
  <c r="AB694" i="1"/>
  <c r="AA694" i="1"/>
  <c r="O694" i="1"/>
  <c r="AI693" i="1"/>
  <c r="AD693" i="1"/>
  <c r="AE693" i="1" s="1"/>
  <c r="AC693" i="1"/>
  <c r="AB693" i="1"/>
  <c r="AA693" i="1"/>
  <c r="O693" i="1"/>
  <c r="AI692" i="1"/>
  <c r="AA692" i="1"/>
  <c r="AI691" i="1"/>
  <c r="AA691" i="1"/>
  <c r="AI690" i="1"/>
  <c r="U690" i="1"/>
  <c r="T690" i="1"/>
  <c r="AI689" i="1"/>
  <c r="U689" i="1"/>
  <c r="AI688" i="1"/>
  <c r="U688" i="1"/>
  <c r="O688" i="1"/>
  <c r="AI687" i="1"/>
  <c r="U687" i="1"/>
  <c r="AG687" i="1"/>
  <c r="AI686" i="1"/>
  <c r="U686" i="1"/>
  <c r="Q686" i="1"/>
  <c r="AI685" i="1"/>
  <c r="AG685" i="1"/>
  <c r="I684" i="1"/>
  <c r="I685" i="1" s="1"/>
  <c r="I686" i="1" s="1"/>
  <c r="AH686" i="1" s="1"/>
  <c r="A684" i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I681" i="1"/>
  <c r="AC681" i="1"/>
  <c r="AB681" i="1"/>
  <c r="AA681" i="1"/>
  <c r="T681" i="1"/>
  <c r="L681" i="1"/>
  <c r="AD681" i="1"/>
  <c r="AI680" i="1"/>
  <c r="AD680" i="1"/>
  <c r="O680" i="1"/>
  <c r="T680" i="1"/>
  <c r="AI679" i="1"/>
  <c r="AD679" i="1"/>
  <c r="L679" i="1"/>
  <c r="AA679" i="1"/>
  <c r="AI678" i="1"/>
  <c r="AD678" i="1"/>
  <c r="AF678" i="1" s="1"/>
  <c r="AB678" i="1"/>
  <c r="AA678" i="1"/>
  <c r="T678" i="1"/>
  <c r="L678" i="1"/>
  <c r="O678" i="1"/>
  <c r="AI677" i="1"/>
  <c r="AB677" i="1"/>
  <c r="AA677" i="1"/>
  <c r="T677" i="1"/>
  <c r="AD677" i="1"/>
  <c r="AI676" i="1"/>
  <c r="AA676" i="1"/>
  <c r="AI675" i="1"/>
  <c r="AD675" i="1"/>
  <c r="AA675" i="1"/>
  <c r="O675" i="1"/>
  <c r="AI674" i="1"/>
  <c r="O674" i="1"/>
  <c r="AI673" i="1"/>
  <c r="AD673" i="1"/>
  <c r="AI672" i="1"/>
  <c r="U672" i="1"/>
  <c r="AI671" i="1"/>
  <c r="U671" i="1"/>
  <c r="AG671" i="1"/>
  <c r="AI670" i="1"/>
  <c r="U670" i="1"/>
  <c r="Y670" i="1"/>
  <c r="AI669" i="1"/>
  <c r="I668" i="1"/>
  <c r="I669" i="1" s="1"/>
  <c r="A668" i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I665" i="1"/>
  <c r="AD665" i="1"/>
  <c r="AE665" i="1" s="1"/>
  <c r="AC665" i="1"/>
  <c r="AB665" i="1"/>
  <c r="AA665" i="1"/>
  <c r="O665" i="1"/>
  <c r="T665" i="1"/>
  <c r="AI664" i="1"/>
  <c r="AD664" i="1"/>
  <c r="AF664" i="1" s="1"/>
  <c r="AB664" i="1"/>
  <c r="AG664" i="1"/>
  <c r="T664" i="1"/>
  <c r="AI663" i="1"/>
  <c r="AC663" i="1"/>
  <c r="AA663" i="1"/>
  <c r="T663" i="1"/>
  <c r="O663" i="1"/>
  <c r="L663" i="1"/>
  <c r="AI662" i="1"/>
  <c r="AD662" i="1"/>
  <c r="AE662" i="1" s="1"/>
  <c r="AB662" i="1"/>
  <c r="AA662" i="1"/>
  <c r="T662" i="1"/>
  <c r="O662" i="1"/>
  <c r="AI661" i="1"/>
  <c r="AI660" i="1"/>
  <c r="AI659" i="1"/>
  <c r="AA659" i="1"/>
  <c r="T659" i="1"/>
  <c r="O659" i="1"/>
  <c r="AB659" i="1"/>
  <c r="AI658" i="1"/>
  <c r="AA658" i="1"/>
  <c r="AI657" i="1"/>
  <c r="AB657" i="1"/>
  <c r="AI656" i="1"/>
  <c r="U656" i="1"/>
  <c r="Q656" i="1"/>
  <c r="W656" i="1" s="1"/>
  <c r="AI655" i="1"/>
  <c r="U655" i="1"/>
  <c r="S655" i="1"/>
  <c r="AI654" i="1"/>
  <c r="U654" i="1"/>
  <c r="Y654" i="1"/>
  <c r="AI653" i="1"/>
  <c r="I652" i="1"/>
  <c r="I653" i="1" s="1"/>
  <c r="A652" i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I649" i="1"/>
  <c r="AC649" i="1"/>
  <c r="AB649" i="1"/>
  <c r="AA649" i="1"/>
  <c r="L649" i="1"/>
  <c r="O649" i="1"/>
  <c r="AI648" i="1"/>
  <c r="AD648" i="1"/>
  <c r="AC648" i="1"/>
  <c r="AB648" i="1"/>
  <c r="AA648" i="1"/>
  <c r="Z648" i="1"/>
  <c r="O648" i="1"/>
  <c r="Y648" i="1"/>
  <c r="AI647" i="1"/>
  <c r="AD647" i="1"/>
  <c r="AB647" i="1"/>
  <c r="AA647" i="1"/>
  <c r="Z647" i="1"/>
  <c r="O647" i="1"/>
  <c r="L647" i="1"/>
  <c r="AI646" i="1"/>
  <c r="AB646" i="1"/>
  <c r="T646" i="1"/>
  <c r="O646" i="1"/>
  <c r="AI645" i="1"/>
  <c r="AB645" i="1"/>
  <c r="T645" i="1"/>
  <c r="AI644" i="1"/>
  <c r="AD644" i="1"/>
  <c r="AF644" i="1" s="1"/>
  <c r="T644" i="1"/>
  <c r="AI643" i="1"/>
  <c r="AA643" i="1"/>
  <c r="AI642" i="1"/>
  <c r="AA642" i="1"/>
  <c r="AI641" i="1"/>
  <c r="O641" i="1"/>
  <c r="AI640" i="1"/>
  <c r="U640" i="1"/>
  <c r="T640" i="1"/>
  <c r="AI639" i="1"/>
  <c r="U639" i="1"/>
  <c r="AG639" i="1"/>
  <c r="AI638" i="1"/>
  <c r="U638" i="1"/>
  <c r="AI637" i="1"/>
  <c r="I636" i="1"/>
  <c r="I637" i="1" s="1"/>
  <c r="A636" i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I633" i="1"/>
  <c r="AD633" i="1"/>
  <c r="AE633" i="1" s="1"/>
  <c r="AC633" i="1"/>
  <c r="AB633" i="1"/>
  <c r="AA633" i="1"/>
  <c r="O633" i="1"/>
  <c r="L633" i="1"/>
  <c r="AI632" i="1"/>
  <c r="AB632" i="1"/>
  <c r="O632" i="1"/>
  <c r="T632" i="1"/>
  <c r="AI631" i="1"/>
  <c r="AD631" i="1"/>
  <c r="AF631" i="1" s="1"/>
  <c r="AB631" i="1"/>
  <c r="AA631" i="1"/>
  <c r="T631" i="1"/>
  <c r="O631" i="1"/>
  <c r="AI630" i="1"/>
  <c r="AD630" i="1"/>
  <c r="AE630" i="1" s="1"/>
  <c r="AB630" i="1"/>
  <c r="AA630" i="1"/>
  <c r="T630" i="1"/>
  <c r="O630" i="1"/>
  <c r="AI629" i="1"/>
  <c r="AB629" i="1"/>
  <c r="AA629" i="1"/>
  <c r="T629" i="1"/>
  <c r="O629" i="1"/>
  <c r="AI628" i="1"/>
  <c r="T628" i="1"/>
  <c r="AI627" i="1"/>
  <c r="AA627" i="1"/>
  <c r="T627" i="1"/>
  <c r="AI626" i="1"/>
  <c r="O626" i="1"/>
  <c r="AI625" i="1"/>
  <c r="O625" i="1"/>
  <c r="AI624" i="1"/>
  <c r="U624" i="1"/>
  <c r="Y624" i="1"/>
  <c r="AI623" i="1"/>
  <c r="U623" i="1"/>
  <c r="T623" i="1"/>
  <c r="AI622" i="1"/>
  <c r="U622" i="1"/>
  <c r="AI621" i="1"/>
  <c r="I620" i="1"/>
  <c r="I621" i="1" s="1"/>
  <c r="A620" i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I617" i="1"/>
  <c r="AI616" i="1"/>
  <c r="AC616" i="1"/>
  <c r="O616" i="1"/>
  <c r="AI615" i="1"/>
  <c r="AD615" i="1"/>
  <c r="AE615" i="1" s="1"/>
  <c r="AA615" i="1"/>
  <c r="Z615" i="1"/>
  <c r="T615" i="1"/>
  <c r="O615" i="1"/>
  <c r="AI614" i="1"/>
  <c r="AD614" i="1"/>
  <c r="AC614" i="1"/>
  <c r="AB614" i="1"/>
  <c r="O614" i="1"/>
  <c r="AA614" i="1"/>
  <c r="AI613" i="1"/>
  <c r="AD613" i="1"/>
  <c r="AB613" i="1"/>
  <c r="O613" i="1"/>
  <c r="AI612" i="1"/>
  <c r="AI611" i="1"/>
  <c r="AD611" i="1"/>
  <c r="AE611" i="1" s="1"/>
  <c r="AA611" i="1"/>
  <c r="T611" i="1"/>
  <c r="L611" i="1"/>
  <c r="AI610" i="1"/>
  <c r="AD610" i="1"/>
  <c r="AC610" i="1"/>
  <c r="AB610" i="1"/>
  <c r="AA610" i="1"/>
  <c r="O610" i="1"/>
  <c r="L610" i="1"/>
  <c r="T610" i="1"/>
  <c r="AI609" i="1"/>
  <c r="AD609" i="1"/>
  <c r="AC609" i="1"/>
  <c r="AB609" i="1"/>
  <c r="AA609" i="1"/>
  <c r="T609" i="1"/>
  <c r="O609" i="1"/>
  <c r="AI608" i="1"/>
  <c r="AD608" i="1"/>
  <c r="AI607" i="1"/>
  <c r="T607" i="1"/>
  <c r="AI606" i="1"/>
  <c r="U606" i="1"/>
  <c r="AD606" i="1"/>
  <c r="AI605" i="1"/>
  <c r="U605" i="1"/>
  <c r="AI604" i="1"/>
  <c r="U604" i="1"/>
  <c r="AG604" i="1"/>
  <c r="AI603" i="1"/>
  <c r="U603" i="1"/>
  <c r="AI602" i="1"/>
  <c r="U602" i="1"/>
  <c r="AD602" i="1"/>
  <c r="AI601" i="1"/>
  <c r="U601" i="1"/>
  <c r="AI600" i="1"/>
  <c r="I599" i="1"/>
  <c r="I600" i="1" s="1"/>
  <c r="I601" i="1" s="1"/>
  <c r="AH601" i="1" s="1"/>
  <c r="A599" i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I596" i="1"/>
  <c r="AD596" i="1"/>
  <c r="AF596" i="1" s="1"/>
  <c r="AC596" i="1"/>
  <c r="T596" i="1"/>
  <c r="O596" i="1"/>
  <c r="L596" i="1"/>
  <c r="AI595" i="1"/>
  <c r="AA595" i="1"/>
  <c r="Z595" i="1"/>
  <c r="O595" i="1"/>
  <c r="AI594" i="1"/>
  <c r="Z594" i="1"/>
  <c r="T594" i="1"/>
  <c r="AA594" i="1"/>
  <c r="AI593" i="1"/>
  <c r="AB593" i="1"/>
  <c r="AA593" i="1"/>
  <c r="O593" i="1"/>
  <c r="AI592" i="1"/>
  <c r="AD592" i="1"/>
  <c r="T592" i="1"/>
  <c r="O592" i="1"/>
  <c r="AI591" i="1"/>
  <c r="AB591" i="1"/>
  <c r="Z591" i="1"/>
  <c r="O591" i="1"/>
  <c r="Y591" i="1"/>
  <c r="AI590" i="1"/>
  <c r="AB590" i="1"/>
  <c r="T590" i="1"/>
  <c r="AI589" i="1"/>
  <c r="AD589" i="1"/>
  <c r="AA589" i="1"/>
  <c r="AI588" i="1"/>
  <c r="AD588" i="1"/>
  <c r="AC588" i="1"/>
  <c r="AB588" i="1"/>
  <c r="Z588" i="1"/>
  <c r="O588" i="1"/>
  <c r="L588" i="1"/>
  <c r="AA588" i="1"/>
  <c r="AI587" i="1"/>
  <c r="AI586" i="1"/>
  <c r="O586" i="1"/>
  <c r="AI585" i="1"/>
  <c r="U585" i="1"/>
  <c r="AI584" i="1"/>
  <c r="U584" i="1"/>
  <c r="AI583" i="1"/>
  <c r="U583" i="1"/>
  <c r="AI582" i="1"/>
  <c r="U582" i="1"/>
  <c r="R582" i="1"/>
  <c r="AI581" i="1"/>
  <c r="U581" i="1"/>
  <c r="AI580" i="1"/>
  <c r="U580" i="1"/>
  <c r="O580" i="1"/>
  <c r="AI579" i="1"/>
  <c r="AG579" i="1"/>
  <c r="I578" i="1"/>
  <c r="I579" i="1" s="1"/>
  <c r="I580" i="1" s="1"/>
  <c r="I581" i="1" s="1"/>
  <c r="A578" i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I575" i="1"/>
  <c r="AI574" i="1"/>
  <c r="AG574" i="1"/>
  <c r="AD574" i="1"/>
  <c r="AE574" i="1" s="1"/>
  <c r="AC574" i="1"/>
  <c r="AB574" i="1"/>
  <c r="AA574" i="1"/>
  <c r="Z574" i="1"/>
  <c r="T574" i="1"/>
  <c r="O574" i="1"/>
  <c r="AI573" i="1"/>
  <c r="AI572" i="1"/>
  <c r="AB572" i="1"/>
  <c r="AA572" i="1"/>
  <c r="T572" i="1"/>
  <c r="O572" i="1"/>
  <c r="AI571" i="1"/>
  <c r="AA571" i="1"/>
  <c r="AI570" i="1"/>
  <c r="AD570" i="1"/>
  <c r="AF570" i="1" s="1"/>
  <c r="AC570" i="1"/>
  <c r="AB570" i="1"/>
  <c r="AA570" i="1"/>
  <c r="T570" i="1"/>
  <c r="L570" i="1"/>
  <c r="Y570" i="1"/>
  <c r="AG570" i="1"/>
  <c r="O570" i="1"/>
  <c r="AI569" i="1"/>
  <c r="AD569" i="1"/>
  <c r="AF569" i="1" s="1"/>
  <c r="AC569" i="1"/>
  <c r="AB569" i="1"/>
  <c r="AA569" i="1"/>
  <c r="O569" i="1"/>
  <c r="L569" i="1"/>
  <c r="AI568" i="1"/>
  <c r="AD568" i="1"/>
  <c r="AI567" i="1"/>
  <c r="AD567" i="1"/>
  <c r="AF567" i="1" s="1"/>
  <c r="AC567" i="1"/>
  <c r="AA567" i="1"/>
  <c r="AI566" i="1"/>
  <c r="O566" i="1"/>
  <c r="AI565" i="1"/>
  <c r="AB565" i="1"/>
  <c r="AI564" i="1"/>
  <c r="U564" i="1"/>
  <c r="AC564" i="1"/>
  <c r="AI563" i="1"/>
  <c r="U563" i="1"/>
  <c r="AI562" i="1"/>
  <c r="U562" i="1"/>
  <c r="AI561" i="1"/>
  <c r="U561" i="1"/>
  <c r="AI560" i="1"/>
  <c r="U560" i="1"/>
  <c r="AI559" i="1"/>
  <c r="U559" i="1"/>
  <c r="Y559" i="1"/>
  <c r="AI558" i="1"/>
  <c r="U558" i="1"/>
  <c r="AD558" i="1"/>
  <c r="AE558" i="1" s="1"/>
  <c r="AI557" i="1"/>
  <c r="I556" i="1"/>
  <c r="I557" i="1" s="1"/>
  <c r="AH557" i="1" s="1"/>
  <c r="A556" i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I553" i="1"/>
  <c r="AD553" i="1"/>
  <c r="AF553" i="1" s="1"/>
  <c r="T553" i="1"/>
  <c r="O553" i="1"/>
  <c r="AI552" i="1"/>
  <c r="AC552" i="1"/>
  <c r="AB552" i="1"/>
  <c r="Z552" i="1"/>
  <c r="T552" i="1"/>
  <c r="O552" i="1"/>
  <c r="AI551" i="1"/>
  <c r="T551" i="1"/>
  <c r="L551" i="1"/>
  <c r="AI550" i="1"/>
  <c r="AB550" i="1"/>
  <c r="T550" i="1"/>
  <c r="O550" i="1"/>
  <c r="AI549" i="1"/>
  <c r="AD549" i="1"/>
  <c r="AI548" i="1"/>
  <c r="AG548" i="1"/>
  <c r="Y548" i="1"/>
  <c r="O548" i="1"/>
  <c r="AI547" i="1"/>
  <c r="AB547" i="1"/>
  <c r="AA547" i="1"/>
  <c r="T547" i="1"/>
  <c r="O547" i="1"/>
  <c r="AI546" i="1"/>
  <c r="AD546" i="1"/>
  <c r="AC546" i="1"/>
  <c r="AB546" i="1"/>
  <c r="AA546" i="1"/>
  <c r="T546" i="1"/>
  <c r="O546" i="1"/>
  <c r="AI545" i="1"/>
  <c r="AA545" i="1"/>
  <c r="O545" i="1"/>
  <c r="AI544" i="1"/>
  <c r="AI543" i="1"/>
  <c r="L543" i="1"/>
  <c r="AI542" i="1"/>
  <c r="V542" i="1"/>
  <c r="U542" i="1"/>
  <c r="AI541" i="1"/>
  <c r="V541" i="1"/>
  <c r="U541" i="1"/>
  <c r="T541" i="1"/>
  <c r="AI540" i="1"/>
  <c r="V540" i="1"/>
  <c r="U540" i="1"/>
  <c r="AG540" i="1"/>
  <c r="AI539" i="1"/>
  <c r="V539" i="1"/>
  <c r="U539" i="1"/>
  <c r="AG539" i="1"/>
  <c r="AI538" i="1"/>
  <c r="U538" i="1"/>
  <c r="AI537" i="1"/>
  <c r="U537" i="1"/>
  <c r="AI536" i="1"/>
  <c r="U536" i="1"/>
  <c r="AI535" i="1"/>
  <c r="U535" i="1"/>
  <c r="AI534" i="1"/>
  <c r="U534" i="1"/>
  <c r="AI533" i="1"/>
  <c r="U533" i="1"/>
  <c r="AD533" i="1"/>
  <c r="AI532" i="1"/>
  <c r="U532" i="1"/>
  <c r="AI531" i="1"/>
  <c r="U531" i="1"/>
  <c r="AI530" i="1"/>
  <c r="AG530" i="1"/>
  <c r="I529" i="1"/>
  <c r="I530" i="1" s="1"/>
  <c r="A529" i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I526" i="1"/>
  <c r="AD526" i="1"/>
  <c r="AF526" i="1" s="1"/>
  <c r="AC526" i="1"/>
  <c r="AB526" i="1"/>
  <c r="AA526" i="1"/>
  <c r="O526" i="1"/>
  <c r="L526" i="1"/>
  <c r="AI525" i="1"/>
  <c r="AD525" i="1"/>
  <c r="AF525" i="1" s="1"/>
  <c r="AC525" i="1"/>
  <c r="AB525" i="1"/>
  <c r="Z525" i="1"/>
  <c r="O525" i="1"/>
  <c r="Y525" i="1"/>
  <c r="AG525" i="1"/>
  <c r="AA525" i="1"/>
  <c r="AI524" i="1"/>
  <c r="T524" i="1"/>
  <c r="AI523" i="1"/>
  <c r="AD523" i="1"/>
  <c r="AE523" i="1" s="1"/>
  <c r="AB523" i="1"/>
  <c r="O523" i="1"/>
  <c r="AI522" i="1"/>
  <c r="AG522" i="1"/>
  <c r="AD522" i="1"/>
  <c r="AF522" i="1" s="1"/>
  <c r="Z522" i="1"/>
  <c r="O522" i="1"/>
  <c r="L522" i="1"/>
  <c r="Y522" i="1"/>
  <c r="AI521" i="1"/>
  <c r="AD521" i="1"/>
  <c r="AF521" i="1" s="1"/>
  <c r="T521" i="1"/>
  <c r="O521" i="1"/>
  <c r="AI520" i="1"/>
  <c r="AA520" i="1"/>
  <c r="T520" i="1"/>
  <c r="O520" i="1"/>
  <c r="AI519" i="1"/>
  <c r="AI518" i="1"/>
  <c r="AA518" i="1"/>
  <c r="AI517" i="1"/>
  <c r="U517" i="1"/>
  <c r="Q517" i="1"/>
  <c r="W517" i="1" s="1"/>
  <c r="AI516" i="1"/>
  <c r="U516" i="1"/>
  <c r="T516" i="1"/>
  <c r="AI515" i="1"/>
  <c r="U515" i="1"/>
  <c r="O515" i="1"/>
  <c r="AI514" i="1"/>
  <c r="AC514" i="1"/>
  <c r="I513" i="1"/>
  <c r="I514" i="1" s="1"/>
  <c r="AH514" i="1" s="1"/>
  <c r="A513" i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I510" i="1"/>
  <c r="AB510" i="1"/>
  <c r="AI509" i="1"/>
  <c r="AD509" i="1"/>
  <c r="AF509" i="1" s="1"/>
  <c r="T509" i="1"/>
  <c r="O509" i="1"/>
  <c r="Y509" i="1"/>
  <c r="Z509" i="1"/>
  <c r="AI508" i="1"/>
  <c r="AA508" i="1"/>
  <c r="Z508" i="1"/>
  <c r="T508" i="1"/>
  <c r="O508" i="1"/>
  <c r="AI507" i="1"/>
  <c r="O507" i="1"/>
  <c r="AA507" i="1"/>
  <c r="AI506" i="1"/>
  <c r="AB506" i="1"/>
  <c r="AI505" i="1"/>
  <c r="T505" i="1"/>
  <c r="AI504" i="1"/>
  <c r="AA504" i="1"/>
  <c r="Z504" i="1"/>
  <c r="T504" i="1"/>
  <c r="O504" i="1"/>
  <c r="AI503" i="1"/>
  <c r="AA503" i="1"/>
  <c r="AI502" i="1"/>
  <c r="AA502" i="1"/>
  <c r="AI501" i="1"/>
  <c r="U501" i="1"/>
  <c r="R501" i="1"/>
  <c r="AI500" i="1"/>
  <c r="U500" i="1"/>
  <c r="S500" i="1"/>
  <c r="AI499" i="1"/>
  <c r="U499" i="1"/>
  <c r="AI498" i="1"/>
  <c r="AG498" i="1"/>
  <c r="I497" i="1"/>
  <c r="I498" i="1" s="1"/>
  <c r="I499" i="1" s="1"/>
  <c r="AH499" i="1" s="1"/>
  <c r="A497" i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I494" i="1"/>
  <c r="AC494" i="1"/>
  <c r="T494" i="1"/>
  <c r="L494" i="1"/>
  <c r="AA494" i="1"/>
  <c r="AI493" i="1"/>
  <c r="AD493" i="1"/>
  <c r="AF493" i="1" s="1"/>
  <c r="AC493" i="1"/>
  <c r="AB493" i="1"/>
  <c r="AA493" i="1"/>
  <c r="Z493" i="1"/>
  <c r="Y493" i="1"/>
  <c r="AG493" i="1"/>
  <c r="T493" i="1"/>
  <c r="AI492" i="1"/>
  <c r="AB492" i="1"/>
  <c r="O492" i="1"/>
  <c r="L492" i="1"/>
  <c r="AI491" i="1"/>
  <c r="Z491" i="1"/>
  <c r="T491" i="1"/>
  <c r="AI490" i="1"/>
  <c r="AC490" i="1"/>
  <c r="AA490" i="1"/>
  <c r="T490" i="1"/>
  <c r="O490" i="1"/>
  <c r="L490" i="1"/>
  <c r="AI489" i="1"/>
  <c r="AD489" i="1"/>
  <c r="AE489" i="1" s="1"/>
  <c r="AB489" i="1"/>
  <c r="AA489" i="1"/>
  <c r="T489" i="1"/>
  <c r="AI488" i="1"/>
  <c r="AB488" i="1"/>
  <c r="O488" i="1"/>
  <c r="Y488" i="1"/>
  <c r="AI487" i="1"/>
  <c r="Z487" i="1"/>
  <c r="T487" i="1"/>
  <c r="O487" i="1"/>
  <c r="AI486" i="1"/>
  <c r="AB486" i="1"/>
  <c r="AI485" i="1"/>
  <c r="AD485" i="1"/>
  <c r="AF485" i="1" s="1"/>
  <c r="AC485" i="1"/>
  <c r="AB485" i="1"/>
  <c r="AA485" i="1"/>
  <c r="T485" i="1"/>
  <c r="AI484" i="1"/>
  <c r="AC484" i="1"/>
  <c r="AB484" i="1"/>
  <c r="AI483" i="1"/>
  <c r="O483" i="1"/>
  <c r="AI482" i="1"/>
  <c r="AA482" i="1"/>
  <c r="AI481" i="1"/>
  <c r="U481" i="1"/>
  <c r="Q481" i="1"/>
  <c r="AI480" i="1"/>
  <c r="U480" i="1"/>
  <c r="AI479" i="1"/>
  <c r="U479" i="1"/>
  <c r="AI478" i="1"/>
  <c r="U478" i="1"/>
  <c r="T478" i="1"/>
  <c r="AI477" i="1"/>
  <c r="U477" i="1"/>
  <c r="Y477" i="1"/>
  <c r="AI476" i="1"/>
  <c r="U476" i="1"/>
  <c r="AI475" i="1"/>
  <c r="U475" i="1"/>
  <c r="AI474" i="1"/>
  <c r="U474" i="1"/>
  <c r="AI473" i="1"/>
  <c r="I472" i="1"/>
  <c r="I473" i="1" s="1"/>
  <c r="I474" i="1" s="1"/>
  <c r="A472" i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I469" i="1"/>
  <c r="AD469" i="1"/>
  <c r="AF469" i="1" s="1"/>
  <c r="AC469" i="1"/>
  <c r="AB469" i="1"/>
  <c r="AA469" i="1"/>
  <c r="T469" i="1"/>
  <c r="L469" i="1"/>
  <c r="AI468" i="1"/>
  <c r="AG468" i="1"/>
  <c r="AA468" i="1"/>
  <c r="O468" i="1"/>
  <c r="T468" i="1"/>
  <c r="AI467" i="1"/>
  <c r="AB467" i="1"/>
  <c r="AA467" i="1"/>
  <c r="T467" i="1"/>
  <c r="O467" i="1"/>
  <c r="AI466" i="1"/>
  <c r="AD466" i="1"/>
  <c r="AF466" i="1" s="1"/>
  <c r="AB466" i="1"/>
  <c r="AA466" i="1"/>
  <c r="Z466" i="1"/>
  <c r="T466" i="1"/>
  <c r="O466" i="1"/>
  <c r="AI465" i="1"/>
  <c r="AD465" i="1"/>
  <c r="AF465" i="1" s="1"/>
  <c r="AB465" i="1"/>
  <c r="AA465" i="1"/>
  <c r="T465" i="1"/>
  <c r="AI464" i="1"/>
  <c r="AA464" i="1"/>
  <c r="T464" i="1"/>
  <c r="O464" i="1"/>
  <c r="AI463" i="1"/>
  <c r="AD463" i="1"/>
  <c r="Z463" i="1"/>
  <c r="O463" i="1"/>
  <c r="AI462" i="1"/>
  <c r="AD462" i="1"/>
  <c r="AF462" i="1" s="1"/>
  <c r="AB462" i="1"/>
  <c r="AA462" i="1"/>
  <c r="Z462" i="1"/>
  <c r="T462" i="1"/>
  <c r="O462" i="1"/>
  <c r="AI461" i="1"/>
  <c r="AD461" i="1"/>
  <c r="AC461" i="1"/>
  <c r="AB461" i="1"/>
  <c r="AA461" i="1"/>
  <c r="T461" i="1"/>
  <c r="AI460" i="1"/>
  <c r="AI459" i="1"/>
  <c r="AB459" i="1"/>
  <c r="AA459" i="1"/>
  <c r="T459" i="1"/>
  <c r="O459" i="1"/>
  <c r="AI458" i="1"/>
  <c r="O458" i="1"/>
  <c r="AI457" i="1"/>
  <c r="AI456" i="1"/>
  <c r="U456" i="1"/>
  <c r="AI455" i="1"/>
  <c r="U455" i="1"/>
  <c r="AI454" i="1"/>
  <c r="U454" i="1"/>
  <c r="AI453" i="1"/>
  <c r="U453" i="1"/>
  <c r="AD453" i="1"/>
  <c r="AI452" i="1"/>
  <c r="U452" i="1"/>
  <c r="AI451" i="1"/>
  <c r="U451" i="1"/>
  <c r="AI450" i="1"/>
  <c r="U450" i="1"/>
  <c r="AI449" i="1"/>
  <c r="I448" i="1"/>
  <c r="I449" i="1" s="1"/>
  <c r="A448" i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I445" i="1"/>
  <c r="AD445" i="1"/>
  <c r="AF445" i="1" s="1"/>
  <c r="AC445" i="1"/>
  <c r="AB445" i="1"/>
  <c r="AA445" i="1"/>
  <c r="T445" i="1"/>
  <c r="O445" i="1"/>
  <c r="AI444" i="1"/>
  <c r="Y444" i="1"/>
  <c r="AB444" i="1"/>
  <c r="AI443" i="1"/>
  <c r="AI442" i="1"/>
  <c r="T442" i="1"/>
  <c r="AI441" i="1"/>
  <c r="AD441" i="1"/>
  <c r="Z441" i="1"/>
  <c r="AI440" i="1"/>
  <c r="AB440" i="1"/>
  <c r="Z440" i="1"/>
  <c r="O440" i="1"/>
  <c r="AI439" i="1"/>
  <c r="AI438" i="1"/>
  <c r="T438" i="1"/>
  <c r="AI437" i="1"/>
  <c r="AA437" i="1"/>
  <c r="AI436" i="1"/>
  <c r="U436" i="1"/>
  <c r="AI435" i="1"/>
  <c r="U435" i="1"/>
  <c r="Q435" i="1"/>
  <c r="AI434" i="1"/>
  <c r="I433" i="1"/>
  <c r="I434" i="1" s="1"/>
  <c r="A433" i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I430" i="1"/>
  <c r="AD430" i="1"/>
  <c r="AC430" i="1"/>
  <c r="AA430" i="1"/>
  <c r="T430" i="1"/>
  <c r="AI429" i="1"/>
  <c r="AD429" i="1"/>
  <c r="AF429" i="1" s="1"/>
  <c r="AC429" i="1"/>
  <c r="AB429" i="1"/>
  <c r="AA429" i="1"/>
  <c r="Z429" i="1"/>
  <c r="Y429" i="1"/>
  <c r="T429" i="1"/>
  <c r="AI428" i="1"/>
  <c r="O428" i="1"/>
  <c r="AB428" i="1"/>
  <c r="AI427" i="1"/>
  <c r="AI426" i="1"/>
  <c r="AD426" i="1"/>
  <c r="Z426" i="1"/>
  <c r="O426" i="1"/>
  <c r="T426" i="1"/>
  <c r="AI425" i="1"/>
  <c r="AD425" i="1"/>
  <c r="AE425" i="1" s="1"/>
  <c r="AB425" i="1"/>
  <c r="AA425" i="1"/>
  <c r="L425" i="1"/>
  <c r="T425" i="1"/>
  <c r="AI424" i="1"/>
  <c r="AD424" i="1"/>
  <c r="AE424" i="1" s="1"/>
  <c r="AB424" i="1"/>
  <c r="T424" i="1"/>
  <c r="O424" i="1"/>
  <c r="AI423" i="1"/>
  <c r="AI422" i="1"/>
  <c r="T422" i="1"/>
  <c r="AI421" i="1"/>
  <c r="U421" i="1"/>
  <c r="AI420" i="1"/>
  <c r="U420" i="1"/>
  <c r="O420" i="1"/>
  <c r="AI419" i="1"/>
  <c r="I418" i="1"/>
  <c r="I419" i="1" s="1"/>
  <c r="I420" i="1" s="1"/>
  <c r="A418" i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I415" i="1"/>
  <c r="AI414" i="1"/>
  <c r="AG414" i="1"/>
  <c r="AD414" i="1"/>
  <c r="AE414" i="1" s="1"/>
  <c r="AC414" i="1"/>
  <c r="AB414" i="1"/>
  <c r="AA414" i="1"/>
  <c r="Z414" i="1"/>
  <c r="T414" i="1"/>
  <c r="Y414" i="1"/>
  <c r="O414" i="1"/>
  <c r="AI413" i="1"/>
  <c r="AB413" i="1"/>
  <c r="AA413" i="1"/>
  <c r="T413" i="1"/>
  <c r="O413" i="1"/>
  <c r="L413" i="1"/>
  <c r="AI412" i="1"/>
  <c r="AI411" i="1"/>
  <c r="AD411" i="1"/>
  <c r="AA411" i="1"/>
  <c r="Z411" i="1"/>
  <c r="T411" i="1"/>
  <c r="O411" i="1"/>
  <c r="L411" i="1"/>
  <c r="AB411" i="1"/>
  <c r="AI410" i="1"/>
  <c r="AD410" i="1"/>
  <c r="AF410" i="1" s="1"/>
  <c r="AC410" i="1"/>
  <c r="AB410" i="1"/>
  <c r="AA410" i="1"/>
  <c r="Z410" i="1"/>
  <c r="T410" i="1"/>
  <c r="O410" i="1"/>
  <c r="AI409" i="1"/>
  <c r="AC409" i="1"/>
  <c r="AB409" i="1"/>
  <c r="T409" i="1"/>
  <c r="O409" i="1"/>
  <c r="AI408" i="1"/>
  <c r="AI407" i="1"/>
  <c r="AI406" i="1"/>
  <c r="U406" i="1"/>
  <c r="Q406" i="1"/>
  <c r="AI405" i="1"/>
  <c r="U405" i="1"/>
  <c r="AD405" i="1"/>
  <c r="AF405" i="1" s="1"/>
  <c r="AI404" i="1"/>
  <c r="I403" i="1"/>
  <c r="I404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I400" i="1"/>
  <c r="AC400" i="1"/>
  <c r="AB400" i="1"/>
  <c r="L400" i="1"/>
  <c r="AI399" i="1"/>
  <c r="AD399" i="1"/>
  <c r="AF399" i="1" s="1"/>
  <c r="AC399" i="1"/>
  <c r="AA399" i="1"/>
  <c r="Z399" i="1"/>
  <c r="O399" i="1"/>
  <c r="AI398" i="1"/>
  <c r="AD398" i="1"/>
  <c r="AF398" i="1" s="1"/>
  <c r="AB398" i="1"/>
  <c r="AA398" i="1"/>
  <c r="O398" i="1"/>
  <c r="L398" i="1"/>
  <c r="AI397" i="1"/>
  <c r="AA397" i="1"/>
  <c r="T397" i="1"/>
  <c r="O397" i="1"/>
  <c r="AI396" i="1"/>
  <c r="AG396" i="1"/>
  <c r="AB396" i="1"/>
  <c r="T396" i="1"/>
  <c r="AI395" i="1"/>
  <c r="AD395" i="1"/>
  <c r="AE395" i="1" s="1"/>
  <c r="AB395" i="1"/>
  <c r="Z395" i="1"/>
  <c r="O395" i="1"/>
  <c r="AI394" i="1"/>
  <c r="AD394" i="1"/>
  <c r="AA394" i="1"/>
  <c r="O394" i="1"/>
  <c r="AI393" i="1"/>
  <c r="AB393" i="1"/>
  <c r="AI392" i="1"/>
  <c r="AB392" i="1"/>
  <c r="AI391" i="1"/>
  <c r="U391" i="1"/>
  <c r="Y391" i="1"/>
  <c r="AI390" i="1"/>
  <c r="U390" i="1"/>
  <c r="AI389" i="1"/>
  <c r="AG389" i="1"/>
  <c r="I388" i="1"/>
  <c r="I389" i="1" s="1"/>
  <c r="A388" i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I385" i="1"/>
  <c r="AB385" i="1"/>
  <c r="AA385" i="1"/>
  <c r="O385" i="1"/>
  <c r="L385" i="1"/>
  <c r="AI384" i="1"/>
  <c r="AB384" i="1"/>
  <c r="T384" i="1"/>
  <c r="O384" i="1"/>
  <c r="AC384" i="1"/>
  <c r="AI383" i="1"/>
  <c r="AC383" i="1"/>
  <c r="O383" i="1"/>
  <c r="AI382" i="1"/>
  <c r="AD382" i="1"/>
  <c r="AF382" i="1" s="1"/>
  <c r="T382" i="1"/>
  <c r="AI381" i="1"/>
  <c r="AB381" i="1"/>
  <c r="AA381" i="1"/>
  <c r="Z381" i="1"/>
  <c r="O381" i="1"/>
  <c r="L381" i="1"/>
  <c r="AI380" i="1"/>
  <c r="AB380" i="1"/>
  <c r="AA380" i="1"/>
  <c r="O380" i="1"/>
  <c r="AI379" i="1"/>
  <c r="AC379" i="1"/>
  <c r="AB379" i="1"/>
  <c r="AA379" i="1"/>
  <c r="O379" i="1"/>
  <c r="AI378" i="1"/>
  <c r="AG378" i="1"/>
  <c r="AB378" i="1"/>
  <c r="T378" i="1"/>
  <c r="O378" i="1"/>
  <c r="AI377" i="1"/>
  <c r="AC377" i="1"/>
  <c r="AB377" i="1"/>
  <c r="T377" i="1"/>
  <c r="L377" i="1"/>
  <c r="AI376" i="1"/>
  <c r="AD376" i="1"/>
  <c r="AA376" i="1"/>
  <c r="O376" i="1"/>
  <c r="L376" i="1"/>
  <c r="AI375" i="1"/>
  <c r="AD375" i="1"/>
  <c r="AF375" i="1" s="1"/>
  <c r="AB375" i="1"/>
  <c r="AA375" i="1"/>
  <c r="O375" i="1"/>
  <c r="L375" i="1"/>
  <c r="AI374" i="1"/>
  <c r="T374" i="1"/>
  <c r="O374" i="1"/>
  <c r="AB374" i="1"/>
  <c r="AI373" i="1"/>
  <c r="AA373" i="1"/>
  <c r="AI372" i="1"/>
  <c r="AD372" i="1"/>
  <c r="AE372" i="1" s="1"/>
  <c r="AB372" i="1"/>
  <c r="O372" i="1"/>
  <c r="AI371" i="1"/>
  <c r="AI370" i="1"/>
  <c r="AA370" i="1"/>
  <c r="AI369" i="1"/>
  <c r="V369" i="1"/>
  <c r="U369" i="1"/>
  <c r="AI368" i="1"/>
  <c r="V368" i="1"/>
  <c r="U368" i="1"/>
  <c r="AI367" i="1"/>
  <c r="V367" i="1"/>
  <c r="U367" i="1"/>
  <c r="S367" i="1"/>
  <c r="X367" i="1" s="1"/>
  <c r="AI366" i="1"/>
  <c r="U366" i="1"/>
  <c r="AI365" i="1"/>
  <c r="U365" i="1"/>
  <c r="AI364" i="1"/>
  <c r="U364" i="1"/>
  <c r="T364" i="1"/>
  <c r="AI363" i="1"/>
  <c r="U363" i="1"/>
  <c r="AI362" i="1"/>
  <c r="U362" i="1"/>
  <c r="AG362" i="1"/>
  <c r="AI361" i="1"/>
  <c r="AI360" i="1"/>
  <c r="AD360" i="1"/>
  <c r="I359" i="1"/>
  <c r="I360" i="1" s="1"/>
  <c r="A359" i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I356" i="1"/>
  <c r="AD356" i="1"/>
  <c r="AF356" i="1" s="1"/>
  <c r="AC356" i="1"/>
  <c r="AB356" i="1"/>
  <c r="AA356" i="1"/>
  <c r="O356" i="1"/>
  <c r="L356" i="1"/>
  <c r="AI355" i="1"/>
  <c r="AD355" i="1"/>
  <c r="AE355" i="1" s="1"/>
  <c r="AC355" i="1"/>
  <c r="AB355" i="1"/>
  <c r="AA355" i="1"/>
  <c r="Z355" i="1"/>
  <c r="O355" i="1"/>
  <c r="Y355" i="1"/>
  <c r="AG355" i="1"/>
  <c r="AI354" i="1"/>
  <c r="O354" i="1"/>
  <c r="AA354" i="1"/>
  <c r="AI353" i="1"/>
  <c r="AC353" i="1"/>
  <c r="AA353" i="1"/>
  <c r="AI352" i="1"/>
  <c r="AD352" i="1"/>
  <c r="AF352" i="1" s="1"/>
  <c r="T352" i="1"/>
  <c r="AA352" i="1"/>
  <c r="AI351" i="1"/>
  <c r="AD351" i="1"/>
  <c r="AF351" i="1" s="1"/>
  <c r="AA351" i="1"/>
  <c r="O351" i="1"/>
  <c r="L351" i="1"/>
  <c r="AI350" i="1"/>
  <c r="AD350" i="1"/>
  <c r="AE350" i="1" s="1"/>
  <c r="AA350" i="1"/>
  <c r="AI349" i="1"/>
  <c r="AB349" i="1"/>
  <c r="AI348" i="1"/>
  <c r="AB348" i="1"/>
  <c r="T348" i="1"/>
  <c r="O348" i="1"/>
  <c r="AI347" i="1"/>
  <c r="AD347" i="1"/>
  <c r="AF347" i="1" s="1"/>
  <c r="Z347" i="1"/>
  <c r="T347" i="1"/>
  <c r="L347" i="1"/>
  <c r="AI346" i="1"/>
  <c r="AD346" i="1"/>
  <c r="AE346" i="1" s="1"/>
  <c r="AA346" i="1"/>
  <c r="O346" i="1"/>
  <c r="T346" i="1"/>
  <c r="AI345" i="1"/>
  <c r="AD345" i="1"/>
  <c r="AE345" i="1" s="1"/>
  <c r="AA345" i="1"/>
  <c r="AI344" i="1"/>
  <c r="AC344" i="1"/>
  <c r="AA344" i="1"/>
  <c r="T344" i="1"/>
  <c r="AI343" i="1"/>
  <c r="AD343" i="1"/>
  <c r="AE343" i="1" s="1"/>
  <c r="T343" i="1"/>
  <c r="O343" i="1"/>
  <c r="AI342" i="1"/>
  <c r="T342" i="1"/>
  <c r="AI341" i="1"/>
  <c r="L341" i="1"/>
  <c r="AI340" i="1"/>
  <c r="V340" i="1"/>
  <c r="U340" i="1"/>
  <c r="R340" i="1"/>
  <c r="AI339" i="1"/>
  <c r="V339" i="1"/>
  <c r="U339" i="1"/>
  <c r="AI338" i="1"/>
  <c r="V338" i="1"/>
  <c r="U338" i="1"/>
  <c r="T338" i="1"/>
  <c r="AI337" i="1"/>
  <c r="U337" i="1"/>
  <c r="S337" i="1"/>
  <c r="AI336" i="1"/>
  <c r="U336" i="1"/>
  <c r="AG336" i="1"/>
  <c r="AI335" i="1"/>
  <c r="U335" i="1"/>
  <c r="S335" i="1"/>
  <c r="AI334" i="1"/>
  <c r="U334" i="1"/>
  <c r="AI333" i="1"/>
  <c r="U333" i="1"/>
  <c r="R333" i="1"/>
  <c r="AI332" i="1"/>
  <c r="U332" i="1"/>
  <c r="AD332" i="1"/>
  <c r="AI331" i="1"/>
  <c r="U331" i="1"/>
  <c r="AI330" i="1"/>
  <c r="U330" i="1"/>
  <c r="AI329" i="1"/>
  <c r="U329" i="1"/>
  <c r="AI328" i="1"/>
  <c r="U328" i="1"/>
  <c r="Q328" i="1"/>
  <c r="W328" i="1" s="1"/>
  <c r="AI327" i="1"/>
  <c r="AI326" i="1"/>
  <c r="I325" i="1"/>
  <c r="I326" i="1" s="1"/>
  <c r="A325" i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I322" i="1"/>
  <c r="AB322" i="1"/>
  <c r="AA322" i="1"/>
  <c r="AC322" i="1"/>
  <c r="AI321" i="1"/>
  <c r="T321" i="1"/>
  <c r="AI320" i="1"/>
  <c r="AD320" i="1"/>
  <c r="AC320" i="1"/>
  <c r="AA320" i="1"/>
  <c r="T320" i="1"/>
  <c r="L320" i="1"/>
  <c r="AI319" i="1"/>
  <c r="AD319" i="1"/>
  <c r="AF319" i="1" s="1"/>
  <c r="AC319" i="1"/>
  <c r="AB319" i="1"/>
  <c r="AA319" i="1"/>
  <c r="T319" i="1"/>
  <c r="L319" i="1"/>
  <c r="O319" i="1"/>
  <c r="AI318" i="1"/>
  <c r="AD318" i="1"/>
  <c r="AI317" i="1"/>
  <c r="AD317" i="1"/>
  <c r="L317" i="1"/>
  <c r="AB317" i="1"/>
  <c r="AI316" i="1"/>
  <c r="AD316" i="1"/>
  <c r="AF316" i="1" s="1"/>
  <c r="AC316" i="1"/>
  <c r="AB316" i="1"/>
  <c r="AA316" i="1"/>
  <c r="O316" i="1"/>
  <c r="L316" i="1"/>
  <c r="T316" i="1"/>
  <c r="AI315" i="1"/>
  <c r="AD315" i="1"/>
  <c r="AF315" i="1" s="1"/>
  <c r="AC315" i="1"/>
  <c r="AB315" i="1"/>
  <c r="AA315" i="1"/>
  <c r="Z315" i="1"/>
  <c r="T315" i="1"/>
  <c r="O315" i="1"/>
  <c r="AI314" i="1"/>
  <c r="O314" i="1"/>
  <c r="AI313" i="1"/>
  <c r="O313" i="1"/>
  <c r="AI312" i="1"/>
  <c r="AI311" i="1"/>
  <c r="U311" i="1"/>
  <c r="AI310" i="1"/>
  <c r="U310" i="1"/>
  <c r="S310" i="1"/>
  <c r="AI309" i="1"/>
  <c r="U309" i="1"/>
  <c r="O309" i="1"/>
  <c r="AI308" i="1"/>
  <c r="I307" i="1"/>
  <c r="I308" i="1" s="1"/>
  <c r="AH308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I304" i="1"/>
  <c r="AD304" i="1"/>
  <c r="AF304" i="1" s="1"/>
  <c r="AC304" i="1"/>
  <c r="AA304" i="1"/>
  <c r="O304" i="1"/>
  <c r="L304" i="1"/>
  <c r="AI303" i="1"/>
  <c r="AB303" i="1"/>
  <c r="AA303" i="1"/>
  <c r="Z303" i="1"/>
  <c r="T303" i="1"/>
  <c r="O303" i="1"/>
  <c r="AI302" i="1"/>
  <c r="T302" i="1"/>
  <c r="AI301" i="1"/>
  <c r="AD301" i="1"/>
  <c r="AE301" i="1" s="1"/>
  <c r="Z301" i="1"/>
  <c r="T301" i="1"/>
  <c r="O301" i="1"/>
  <c r="AI300" i="1"/>
  <c r="AI299" i="1"/>
  <c r="AD299" i="1"/>
  <c r="AA299" i="1"/>
  <c r="Z299" i="1"/>
  <c r="T299" i="1"/>
  <c r="O299" i="1"/>
  <c r="AI298" i="1"/>
  <c r="T298" i="1"/>
  <c r="O298" i="1"/>
  <c r="AI297" i="1"/>
  <c r="AC297" i="1"/>
  <c r="AI296" i="1"/>
  <c r="AD296" i="1"/>
  <c r="AI295" i="1"/>
  <c r="AA295" i="1"/>
  <c r="AI294" i="1"/>
  <c r="AB294" i="1"/>
  <c r="AI293" i="1"/>
  <c r="U293" i="1"/>
  <c r="AI292" i="1"/>
  <c r="U292" i="1"/>
  <c r="S292" i="1"/>
  <c r="AI291" i="1"/>
  <c r="U291" i="1"/>
  <c r="AI290" i="1"/>
  <c r="I289" i="1"/>
  <c r="I290" i="1" s="1"/>
  <c r="A289" i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I286" i="1"/>
  <c r="AC286" i="1"/>
  <c r="AB286" i="1"/>
  <c r="AA286" i="1"/>
  <c r="T286" i="1"/>
  <c r="L286" i="1"/>
  <c r="O286" i="1"/>
  <c r="AI285" i="1"/>
  <c r="AB285" i="1"/>
  <c r="AA285" i="1"/>
  <c r="Y285" i="1"/>
  <c r="AI284" i="1"/>
  <c r="O284" i="1"/>
  <c r="AI283" i="1"/>
  <c r="AC283" i="1"/>
  <c r="T283" i="1"/>
  <c r="O283" i="1"/>
  <c r="L283" i="1"/>
  <c r="AI282" i="1"/>
  <c r="AA282" i="1"/>
  <c r="O282" i="1"/>
  <c r="AI281" i="1"/>
  <c r="AB281" i="1"/>
  <c r="AA281" i="1"/>
  <c r="T281" i="1"/>
  <c r="O281" i="1"/>
  <c r="AI280" i="1"/>
  <c r="AI279" i="1"/>
  <c r="T279" i="1"/>
  <c r="O279" i="1"/>
  <c r="L279" i="1"/>
  <c r="AI278" i="1"/>
  <c r="AC278" i="1"/>
  <c r="T278" i="1"/>
  <c r="O278" i="1"/>
  <c r="L278" i="1"/>
  <c r="AI277" i="1"/>
  <c r="AC277" i="1"/>
  <c r="AI276" i="1"/>
  <c r="AI275" i="1"/>
  <c r="U275" i="1"/>
  <c r="T275" i="1"/>
  <c r="AI274" i="1"/>
  <c r="U274" i="1"/>
  <c r="T274" i="1"/>
  <c r="AI273" i="1"/>
  <c r="U273" i="1"/>
  <c r="AI272" i="1"/>
  <c r="U272" i="1"/>
  <c r="AI271" i="1"/>
  <c r="AG271" i="1"/>
  <c r="I270" i="1"/>
  <c r="I271" i="1" s="1"/>
  <c r="A270" i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I267" i="1"/>
  <c r="AD267" i="1"/>
  <c r="AB267" i="1"/>
  <c r="AA267" i="1"/>
  <c r="T267" i="1"/>
  <c r="L267" i="1"/>
  <c r="O267" i="1"/>
  <c r="AI266" i="1"/>
  <c r="AG266" i="1"/>
  <c r="AD266" i="1"/>
  <c r="AF266" i="1" s="1"/>
  <c r="AC266" i="1"/>
  <c r="AB266" i="1"/>
  <c r="AA266" i="1"/>
  <c r="Z266" i="1"/>
  <c r="T266" i="1"/>
  <c r="Y266" i="1"/>
  <c r="L266" i="1"/>
  <c r="AI265" i="1"/>
  <c r="AD265" i="1"/>
  <c r="AF265" i="1" s="1"/>
  <c r="AB265" i="1"/>
  <c r="AA265" i="1"/>
  <c r="Z265" i="1"/>
  <c r="T265" i="1"/>
  <c r="O265" i="1"/>
  <c r="AI264" i="1"/>
  <c r="AA264" i="1"/>
  <c r="T264" i="1"/>
  <c r="AI263" i="1"/>
  <c r="AG263" i="1"/>
  <c r="AB263" i="1"/>
  <c r="AA263" i="1"/>
  <c r="AI262" i="1"/>
  <c r="AD262" i="1"/>
  <c r="AF262" i="1" s="1"/>
  <c r="AB262" i="1"/>
  <c r="T262" i="1"/>
  <c r="O262" i="1"/>
  <c r="AI261" i="1"/>
  <c r="AD261" i="1"/>
  <c r="AF261" i="1" s="1"/>
  <c r="AB261" i="1"/>
  <c r="AA261" i="1"/>
  <c r="T261" i="1"/>
  <c r="O261" i="1"/>
  <c r="AI260" i="1"/>
  <c r="AC260" i="1"/>
  <c r="AI259" i="1"/>
  <c r="O259" i="1"/>
  <c r="AI258" i="1"/>
  <c r="U258" i="1"/>
  <c r="AI257" i="1"/>
  <c r="U257" i="1"/>
  <c r="AG257" i="1"/>
  <c r="AI256" i="1"/>
  <c r="AG256" i="1"/>
  <c r="I255" i="1"/>
  <c r="I256" i="1" s="1"/>
  <c r="A255" i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I252" i="1"/>
  <c r="AD252" i="1"/>
  <c r="AE252" i="1" s="1"/>
  <c r="AC252" i="1"/>
  <c r="AA252" i="1"/>
  <c r="O252" i="1"/>
  <c r="L252" i="1"/>
  <c r="AI251" i="1"/>
  <c r="AC251" i="1"/>
  <c r="AB251" i="1"/>
  <c r="Z251" i="1"/>
  <c r="Y251" i="1"/>
  <c r="AD251" i="1"/>
  <c r="AI250" i="1"/>
  <c r="AD250" i="1"/>
  <c r="AC250" i="1"/>
  <c r="AB250" i="1"/>
  <c r="AA250" i="1"/>
  <c r="T250" i="1"/>
  <c r="AI249" i="1"/>
  <c r="AD249" i="1"/>
  <c r="AI248" i="1"/>
  <c r="Z248" i="1"/>
  <c r="T248" i="1"/>
  <c r="AI247" i="1"/>
  <c r="AB247" i="1"/>
  <c r="T247" i="1"/>
  <c r="AA247" i="1"/>
  <c r="AI246" i="1"/>
  <c r="Z246" i="1"/>
  <c r="AA246" i="1"/>
  <c r="AI245" i="1"/>
  <c r="O245" i="1"/>
  <c r="AI244" i="1"/>
  <c r="T244" i="1"/>
  <c r="AI243" i="1"/>
  <c r="U243" i="1"/>
  <c r="AI242" i="1"/>
  <c r="U242" i="1"/>
  <c r="AD242" i="1"/>
  <c r="AE242" i="1" s="1"/>
  <c r="AI241" i="1"/>
  <c r="AD241" i="1"/>
  <c r="AF241" i="1" s="1"/>
  <c r="I240" i="1"/>
  <c r="I241" i="1" s="1"/>
  <c r="AH241" i="1" s="1"/>
  <c r="A240" i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I237" i="1"/>
  <c r="AB237" i="1"/>
  <c r="AA237" i="1"/>
  <c r="O237" i="1"/>
  <c r="L237" i="1"/>
  <c r="AI236" i="1"/>
  <c r="AC236" i="1"/>
  <c r="O236" i="1"/>
  <c r="AB236" i="1"/>
  <c r="AI235" i="1"/>
  <c r="AD235" i="1"/>
  <c r="AE235" i="1" s="1"/>
  <c r="AC235" i="1"/>
  <c r="AI234" i="1"/>
  <c r="AD234" i="1"/>
  <c r="AF234" i="1" s="1"/>
  <c r="T234" i="1"/>
  <c r="O234" i="1"/>
  <c r="AI233" i="1"/>
  <c r="L233" i="1"/>
  <c r="AI232" i="1"/>
  <c r="AA232" i="1"/>
  <c r="T232" i="1"/>
  <c r="O232" i="1"/>
  <c r="AI231" i="1"/>
  <c r="AB231" i="1"/>
  <c r="AA231" i="1"/>
  <c r="Z231" i="1"/>
  <c r="O231" i="1"/>
  <c r="L231" i="1"/>
  <c r="AI230" i="1"/>
  <c r="Z230" i="1"/>
  <c r="T230" i="1"/>
  <c r="AA230" i="1"/>
  <c r="AI229" i="1"/>
  <c r="AD229" i="1"/>
  <c r="AC229" i="1"/>
  <c r="AB229" i="1"/>
  <c r="AA229" i="1"/>
  <c r="O229" i="1"/>
  <c r="L229" i="1"/>
  <c r="AI228" i="1"/>
  <c r="AD228" i="1"/>
  <c r="AF228" i="1" s="1"/>
  <c r="AC228" i="1"/>
  <c r="AB228" i="1"/>
  <c r="AA228" i="1"/>
  <c r="O228" i="1"/>
  <c r="AI227" i="1"/>
  <c r="AD227" i="1"/>
  <c r="AF227" i="1" s="1"/>
  <c r="AB227" i="1"/>
  <c r="Z227" i="1"/>
  <c r="T227" i="1"/>
  <c r="O227" i="1"/>
  <c r="AI226" i="1"/>
  <c r="AC226" i="1"/>
  <c r="AA226" i="1"/>
  <c r="T226" i="1"/>
  <c r="AI225" i="1"/>
  <c r="AD225" i="1"/>
  <c r="AC225" i="1"/>
  <c r="AB225" i="1"/>
  <c r="AA225" i="1"/>
  <c r="O225" i="1"/>
  <c r="L225" i="1"/>
  <c r="AI224" i="1"/>
  <c r="AD224" i="1"/>
  <c r="AE224" i="1" s="1"/>
  <c r="AC224" i="1"/>
  <c r="AB224" i="1"/>
  <c r="AA224" i="1"/>
  <c r="Z224" i="1"/>
  <c r="O224" i="1"/>
  <c r="L224" i="1"/>
  <c r="AI223" i="1"/>
  <c r="AD223" i="1"/>
  <c r="AB223" i="1"/>
  <c r="Z223" i="1"/>
  <c r="O223" i="1"/>
  <c r="L223" i="1"/>
  <c r="AA223" i="1"/>
  <c r="AI222" i="1"/>
  <c r="AB222" i="1"/>
  <c r="AA222" i="1"/>
  <c r="T222" i="1"/>
  <c r="AI221" i="1"/>
  <c r="AB221" i="1"/>
  <c r="T221" i="1"/>
  <c r="O221" i="1"/>
  <c r="AI220" i="1"/>
  <c r="AC220" i="1"/>
  <c r="O220" i="1"/>
  <c r="AI219" i="1"/>
  <c r="AD219" i="1"/>
  <c r="AI218" i="1"/>
  <c r="T218" i="1"/>
  <c r="O218" i="1"/>
  <c r="L218" i="1"/>
  <c r="AI217" i="1"/>
  <c r="T217" i="1"/>
  <c r="O217" i="1"/>
  <c r="AI216" i="1"/>
  <c r="AI215" i="1"/>
  <c r="AI214" i="1"/>
  <c r="AI213" i="1"/>
  <c r="V213" i="1"/>
  <c r="U213" i="1"/>
  <c r="AI212" i="1"/>
  <c r="V212" i="1"/>
  <c r="U212" i="1"/>
  <c r="AI211" i="1"/>
  <c r="V211" i="1"/>
  <c r="U211" i="1"/>
  <c r="AD211" i="1"/>
  <c r="AI210" i="1"/>
  <c r="U210" i="1"/>
  <c r="AI209" i="1"/>
  <c r="U209" i="1"/>
  <c r="AI208" i="1"/>
  <c r="U208" i="1"/>
  <c r="AI207" i="1"/>
  <c r="U207" i="1"/>
  <c r="AG207" i="1"/>
  <c r="AI206" i="1"/>
  <c r="U206" i="1"/>
  <c r="AI205" i="1"/>
  <c r="U205" i="1"/>
  <c r="AI204" i="1"/>
  <c r="U204" i="1"/>
  <c r="AI203" i="1"/>
  <c r="U203" i="1"/>
  <c r="AI202" i="1"/>
  <c r="U202" i="1"/>
  <c r="AI201" i="1"/>
  <c r="U201" i="1"/>
  <c r="T201" i="1"/>
  <c r="AI200" i="1"/>
  <c r="U200" i="1"/>
  <c r="AI199" i="1"/>
  <c r="O199" i="1"/>
  <c r="AI198" i="1"/>
  <c r="AG198" i="1"/>
  <c r="I197" i="1"/>
  <c r="I198" i="1" s="1"/>
  <c r="A197" i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I194" i="1"/>
  <c r="AB194" i="1"/>
  <c r="T194" i="1"/>
  <c r="O194" i="1"/>
  <c r="L194" i="1"/>
  <c r="AI193" i="1"/>
  <c r="AI192" i="1"/>
  <c r="AI191" i="1"/>
  <c r="AA191" i="1"/>
  <c r="T191" i="1"/>
  <c r="L191" i="1"/>
  <c r="AI190" i="1"/>
  <c r="AI189" i="1"/>
  <c r="AC189" i="1"/>
  <c r="O189" i="1"/>
  <c r="AI188" i="1"/>
  <c r="Z188" i="1"/>
  <c r="L188" i="1"/>
  <c r="T188" i="1"/>
  <c r="AI187" i="1"/>
  <c r="AB187" i="1"/>
  <c r="AC187" i="1"/>
  <c r="AI186" i="1"/>
  <c r="AD186" i="1"/>
  <c r="AF186" i="1" s="1"/>
  <c r="AB186" i="1"/>
  <c r="AA186" i="1"/>
  <c r="O186" i="1"/>
  <c r="AI185" i="1"/>
  <c r="AG185" i="1"/>
  <c r="AD185" i="1"/>
  <c r="AF185" i="1" s="1"/>
  <c r="AB185" i="1"/>
  <c r="AA185" i="1"/>
  <c r="Z185" i="1"/>
  <c r="O185" i="1"/>
  <c r="AI184" i="1"/>
  <c r="T184" i="1"/>
  <c r="AI183" i="1"/>
  <c r="AD183" i="1"/>
  <c r="AE183" i="1" s="1"/>
  <c r="AA183" i="1"/>
  <c r="T183" i="1"/>
  <c r="L183" i="1"/>
  <c r="AI182" i="1"/>
  <c r="AD182" i="1"/>
  <c r="AE182" i="1" s="1"/>
  <c r="AA182" i="1"/>
  <c r="L182" i="1"/>
  <c r="AB182" i="1"/>
  <c r="AI181" i="1"/>
  <c r="AD181" i="1"/>
  <c r="AE181" i="1" s="1"/>
  <c r="AC181" i="1"/>
  <c r="AB181" i="1"/>
  <c r="Z181" i="1"/>
  <c r="T181" i="1"/>
  <c r="O181" i="1"/>
  <c r="L181" i="1"/>
  <c r="AI180" i="1"/>
  <c r="AD180" i="1"/>
  <c r="AE180" i="1" s="1"/>
  <c r="AC180" i="1"/>
  <c r="AB180" i="1"/>
  <c r="AA180" i="1"/>
  <c r="T180" i="1"/>
  <c r="O180" i="1"/>
  <c r="AI179" i="1"/>
  <c r="AD179" i="1"/>
  <c r="AF179" i="1" s="1"/>
  <c r="T179" i="1"/>
  <c r="AI178" i="1"/>
  <c r="AD178" i="1"/>
  <c r="AE178" i="1" s="1"/>
  <c r="AC178" i="1"/>
  <c r="AA178" i="1"/>
  <c r="T178" i="1"/>
  <c r="O178" i="1"/>
  <c r="AB178" i="1"/>
  <c r="AI177" i="1"/>
  <c r="AD177" i="1"/>
  <c r="AC177" i="1"/>
  <c r="AB177" i="1"/>
  <c r="AA177" i="1"/>
  <c r="Z177" i="1"/>
  <c r="T177" i="1"/>
  <c r="O177" i="1"/>
  <c r="AI176" i="1"/>
  <c r="AI175" i="1"/>
  <c r="AD175" i="1"/>
  <c r="AA175" i="1"/>
  <c r="T175" i="1"/>
  <c r="O175" i="1"/>
  <c r="L175" i="1"/>
  <c r="AI174" i="1"/>
  <c r="AI173" i="1"/>
  <c r="AI172" i="1"/>
  <c r="AI171" i="1"/>
  <c r="V171" i="1"/>
  <c r="U171" i="1"/>
  <c r="AI170" i="1"/>
  <c r="V170" i="1"/>
  <c r="U170" i="1"/>
  <c r="Y170" i="1"/>
  <c r="AI169" i="1"/>
  <c r="V169" i="1"/>
  <c r="U169" i="1"/>
  <c r="AI168" i="1"/>
  <c r="U168" i="1"/>
  <c r="AG168" i="1"/>
  <c r="AI167" i="1"/>
  <c r="U167" i="1"/>
  <c r="AI166" i="1"/>
  <c r="U166" i="1"/>
  <c r="S166" i="1"/>
  <c r="AI165" i="1"/>
  <c r="U165" i="1"/>
  <c r="AI164" i="1"/>
  <c r="U164" i="1"/>
  <c r="AD164" i="1"/>
  <c r="AI163" i="1"/>
  <c r="U163" i="1"/>
  <c r="T163" i="1"/>
  <c r="AI162" i="1"/>
  <c r="U162" i="1"/>
  <c r="AI161" i="1"/>
  <c r="U161" i="1"/>
  <c r="AI160" i="1"/>
  <c r="U160" i="1"/>
  <c r="AI159" i="1"/>
  <c r="U159" i="1"/>
  <c r="R159" i="1"/>
  <c r="AI158" i="1"/>
  <c r="U158" i="1"/>
  <c r="S158" i="1"/>
  <c r="AI157" i="1"/>
  <c r="AI156" i="1"/>
  <c r="AG156" i="1"/>
  <c r="I155" i="1"/>
  <c r="I156" i="1" s="1"/>
  <c r="AH156" i="1" s="1"/>
  <c r="A155" i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I152" i="1"/>
  <c r="AD152" i="1"/>
  <c r="AF152" i="1" s="1"/>
  <c r="AC152" i="1"/>
  <c r="AB152" i="1"/>
  <c r="AA152" i="1"/>
  <c r="T152" i="1"/>
  <c r="L152" i="1"/>
  <c r="O152" i="1"/>
  <c r="AI151" i="1"/>
  <c r="AB151" i="1"/>
  <c r="AA151" i="1"/>
  <c r="T151" i="1"/>
  <c r="AG151" i="1"/>
  <c r="AI150" i="1"/>
  <c r="AD150" i="1"/>
  <c r="AE150" i="1" s="1"/>
  <c r="AB150" i="1"/>
  <c r="AA150" i="1"/>
  <c r="O150" i="1"/>
  <c r="AI149" i="1"/>
  <c r="T149" i="1"/>
  <c r="AB149" i="1"/>
  <c r="AI148" i="1"/>
  <c r="AD148" i="1"/>
  <c r="AE148" i="1" s="1"/>
  <c r="AC148" i="1"/>
  <c r="AB148" i="1"/>
  <c r="AA148" i="1"/>
  <c r="Z148" i="1"/>
  <c r="T148" i="1"/>
  <c r="L148" i="1"/>
  <c r="O148" i="1"/>
  <c r="AI147" i="1"/>
  <c r="AD147" i="1"/>
  <c r="AE147" i="1" s="1"/>
  <c r="AC147" i="1"/>
  <c r="O147" i="1"/>
  <c r="T147" i="1"/>
  <c r="AI146" i="1"/>
  <c r="AB146" i="1"/>
  <c r="AI145" i="1"/>
  <c r="AD145" i="1"/>
  <c r="AF145" i="1" s="1"/>
  <c r="AC145" i="1"/>
  <c r="AB145" i="1"/>
  <c r="AA145" i="1"/>
  <c r="Z145" i="1"/>
  <c r="O145" i="1"/>
  <c r="Y145" i="1"/>
  <c r="T145" i="1"/>
  <c r="AI144" i="1"/>
  <c r="AD144" i="1"/>
  <c r="AF144" i="1" s="1"/>
  <c r="AC144" i="1"/>
  <c r="AB144" i="1"/>
  <c r="AA144" i="1"/>
  <c r="Z144" i="1"/>
  <c r="T144" i="1"/>
  <c r="L144" i="1"/>
  <c r="O144" i="1"/>
  <c r="AI143" i="1"/>
  <c r="T143" i="1"/>
  <c r="L143" i="1"/>
  <c r="AI142" i="1"/>
  <c r="AD142" i="1"/>
  <c r="AB142" i="1"/>
  <c r="AA142" i="1"/>
  <c r="Z142" i="1"/>
  <c r="O142" i="1"/>
  <c r="L142" i="1"/>
  <c r="AI141" i="1"/>
  <c r="AA141" i="1"/>
  <c r="AI140" i="1"/>
  <c r="AD140" i="1"/>
  <c r="AE140" i="1" s="1"/>
  <c r="AC140" i="1"/>
  <c r="AB140" i="1"/>
  <c r="AA140" i="1"/>
  <c r="Z140" i="1"/>
  <c r="T140" i="1"/>
  <c r="O140" i="1"/>
  <c r="AI139" i="1"/>
  <c r="AB139" i="1"/>
  <c r="T139" i="1"/>
  <c r="AI138" i="1"/>
  <c r="AA138" i="1"/>
  <c r="T138" i="1"/>
  <c r="O138" i="1"/>
  <c r="AI137" i="1"/>
  <c r="AI136" i="1"/>
  <c r="AI135" i="1"/>
  <c r="AI134" i="1"/>
  <c r="V134" i="1"/>
  <c r="U134" i="1"/>
  <c r="AI133" i="1"/>
  <c r="V133" i="1"/>
  <c r="U133" i="1"/>
  <c r="S133" i="1"/>
  <c r="X133" i="1" s="1"/>
  <c r="AI132" i="1"/>
  <c r="V132" i="1"/>
  <c r="U132" i="1"/>
  <c r="S132" i="1"/>
  <c r="X132" i="1" s="1"/>
  <c r="AI131" i="1"/>
  <c r="U131" i="1"/>
  <c r="R131" i="1"/>
  <c r="AI130" i="1"/>
  <c r="U130" i="1"/>
  <c r="AI129" i="1"/>
  <c r="U129" i="1"/>
  <c r="AG129" i="1"/>
  <c r="AI128" i="1"/>
  <c r="U128" i="1"/>
  <c r="AI127" i="1"/>
  <c r="U127" i="1"/>
  <c r="AD127" i="1"/>
  <c r="AF127" i="1" s="1"/>
  <c r="AI126" i="1"/>
  <c r="U126" i="1"/>
  <c r="AI125" i="1"/>
  <c r="U125" i="1"/>
  <c r="T125" i="1"/>
  <c r="AI124" i="1"/>
  <c r="U124" i="1"/>
  <c r="AI123" i="1"/>
  <c r="U123" i="1"/>
  <c r="AG123" i="1"/>
  <c r="AI122" i="1"/>
  <c r="U122" i="1"/>
  <c r="AI121" i="1"/>
  <c r="T121" i="1"/>
  <c r="I120" i="1"/>
  <c r="I121" i="1" s="1"/>
  <c r="AH121" i="1" s="1"/>
  <c r="A120" i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I117" i="1"/>
  <c r="AD117" i="1"/>
  <c r="AC117" i="1"/>
  <c r="AA117" i="1"/>
  <c r="T117" i="1"/>
  <c r="L117" i="1"/>
  <c r="AI116" i="1"/>
  <c r="AG116" i="1"/>
  <c r="AD116" i="1"/>
  <c r="AE116" i="1" s="1"/>
  <c r="AC116" i="1"/>
  <c r="AB116" i="1"/>
  <c r="AA116" i="1"/>
  <c r="Z116" i="1"/>
  <c r="O116" i="1"/>
  <c r="Y116" i="1"/>
  <c r="T116" i="1"/>
  <c r="AI115" i="1"/>
  <c r="AC115" i="1"/>
  <c r="AB115" i="1"/>
  <c r="T115" i="1"/>
  <c r="O115" i="1"/>
  <c r="AI114" i="1"/>
  <c r="AD114" i="1"/>
  <c r="AE114" i="1" s="1"/>
  <c r="AA114" i="1"/>
  <c r="AI113" i="1"/>
  <c r="AC113" i="1"/>
  <c r="T113" i="1"/>
  <c r="AI112" i="1"/>
  <c r="AD112" i="1"/>
  <c r="AC112" i="1"/>
  <c r="AB112" i="1"/>
  <c r="T112" i="1"/>
  <c r="O112" i="1"/>
  <c r="L112" i="1"/>
  <c r="AI111" i="1"/>
  <c r="AA111" i="1"/>
  <c r="O111" i="1"/>
  <c r="AI110" i="1"/>
  <c r="AI109" i="1"/>
  <c r="AA109" i="1"/>
  <c r="T109" i="1"/>
  <c r="O109" i="1"/>
  <c r="AI108" i="1"/>
  <c r="AG108" i="1"/>
  <c r="AD108" i="1"/>
  <c r="AB108" i="1"/>
  <c r="AA108" i="1"/>
  <c r="Z108" i="1"/>
  <c r="T108" i="1"/>
  <c r="O108" i="1"/>
  <c r="AI107" i="1"/>
  <c r="AC107" i="1"/>
  <c r="AB107" i="1"/>
  <c r="T107" i="1"/>
  <c r="AI106" i="1"/>
  <c r="AD106" i="1"/>
  <c r="AE106" i="1" s="1"/>
  <c r="AA106" i="1"/>
  <c r="Z106" i="1"/>
  <c r="T106" i="1"/>
  <c r="O106" i="1"/>
  <c r="L106" i="1"/>
  <c r="AI105" i="1"/>
  <c r="AB105" i="1"/>
  <c r="L105" i="1"/>
  <c r="AD105" i="1"/>
  <c r="AI104" i="1"/>
  <c r="AB104" i="1"/>
  <c r="AD104" i="1"/>
  <c r="AI103" i="1"/>
  <c r="AD103" i="1"/>
  <c r="AF103" i="1" s="1"/>
  <c r="T103" i="1"/>
  <c r="AB103" i="1"/>
  <c r="AI102" i="1"/>
  <c r="AD102" i="1"/>
  <c r="AA102" i="1"/>
  <c r="T102" i="1"/>
  <c r="AI101" i="1"/>
  <c r="AD101" i="1"/>
  <c r="AE101" i="1" s="1"/>
  <c r="AC101" i="1"/>
  <c r="AB101" i="1"/>
  <c r="AA101" i="1"/>
  <c r="Z101" i="1"/>
  <c r="O101" i="1"/>
  <c r="T101" i="1"/>
  <c r="AI100" i="1"/>
  <c r="AA100" i="1"/>
  <c r="T100" i="1"/>
  <c r="AB100" i="1"/>
  <c r="AI99" i="1"/>
  <c r="AD99" i="1"/>
  <c r="AF99" i="1" s="1"/>
  <c r="AA99" i="1"/>
  <c r="O99" i="1"/>
  <c r="AI98" i="1"/>
  <c r="AI97" i="1"/>
  <c r="AI96" i="1"/>
  <c r="AI95" i="1"/>
  <c r="V95" i="1"/>
  <c r="U95" i="1"/>
  <c r="T95" i="1"/>
  <c r="AI94" i="1"/>
  <c r="V94" i="1"/>
  <c r="U94" i="1"/>
  <c r="AI93" i="1"/>
  <c r="V93" i="1"/>
  <c r="U93" i="1"/>
  <c r="T93" i="1"/>
  <c r="AI92" i="1"/>
  <c r="U92" i="1"/>
  <c r="T92" i="1"/>
  <c r="AI91" i="1"/>
  <c r="U91" i="1"/>
  <c r="R91" i="1"/>
  <c r="AI90" i="1"/>
  <c r="U90" i="1"/>
  <c r="S90" i="1"/>
  <c r="AI89" i="1"/>
  <c r="U89" i="1"/>
  <c r="T89" i="1"/>
  <c r="AI88" i="1"/>
  <c r="U88" i="1"/>
  <c r="AG88" i="1"/>
  <c r="AI87" i="1"/>
  <c r="U87" i="1"/>
  <c r="T87" i="1"/>
  <c r="AI86" i="1"/>
  <c r="U86" i="1"/>
  <c r="AI85" i="1"/>
  <c r="U85" i="1"/>
  <c r="AI84" i="1"/>
  <c r="U84" i="1"/>
  <c r="AI83" i="1"/>
  <c r="U83" i="1"/>
  <c r="AI82" i="1"/>
  <c r="AD82" i="1"/>
  <c r="AI81" i="1"/>
  <c r="T81" i="1"/>
  <c r="AI80" i="1"/>
  <c r="O80" i="1"/>
  <c r="I79" i="1"/>
  <c r="I80" i="1" s="1"/>
  <c r="A79" i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I76" i="1"/>
  <c r="AC76" i="1"/>
  <c r="AI75" i="1"/>
  <c r="AB75" i="1"/>
  <c r="T75" i="1"/>
  <c r="O75" i="1"/>
  <c r="Y75" i="1"/>
  <c r="AA75" i="1"/>
  <c r="AI74" i="1"/>
  <c r="AC74" i="1"/>
  <c r="Z74" i="1"/>
  <c r="T74" i="1"/>
  <c r="AI73" i="1"/>
  <c r="AD73" i="1"/>
  <c r="AF73" i="1" s="1"/>
  <c r="AC73" i="1"/>
  <c r="AA73" i="1"/>
  <c r="T73" i="1"/>
  <c r="AI72" i="1"/>
  <c r="AI71" i="1"/>
  <c r="AI70" i="1"/>
  <c r="AD70" i="1"/>
  <c r="AE70" i="1" s="1"/>
  <c r="AB70" i="1"/>
  <c r="AI69" i="1"/>
  <c r="AD69" i="1"/>
  <c r="AF69" i="1" s="1"/>
  <c r="AC69" i="1"/>
  <c r="AA69" i="1"/>
  <c r="T69" i="1"/>
  <c r="O69" i="1"/>
  <c r="AI68" i="1"/>
  <c r="AC68" i="1"/>
  <c r="Y68" i="1"/>
  <c r="O68" i="1"/>
  <c r="AI67" i="1"/>
  <c r="AB67" i="1"/>
  <c r="Z67" i="1"/>
  <c r="AI66" i="1"/>
  <c r="T66" i="1"/>
  <c r="L66" i="1"/>
  <c r="Z66" i="1"/>
  <c r="AI65" i="1"/>
  <c r="AD65" i="1"/>
  <c r="AC65" i="1"/>
  <c r="T65" i="1"/>
  <c r="O65" i="1"/>
  <c r="AI64" i="1"/>
  <c r="AD64" i="1"/>
  <c r="AE64" i="1" s="1"/>
  <c r="AB64" i="1"/>
  <c r="T64" i="1"/>
  <c r="L64" i="1"/>
  <c r="AI63" i="1"/>
  <c r="AD63" i="1"/>
  <c r="AF63" i="1" s="1"/>
  <c r="AB63" i="1"/>
  <c r="AA63" i="1"/>
  <c r="O63" i="1"/>
  <c r="AI62" i="1"/>
  <c r="AD62" i="1"/>
  <c r="AF62" i="1" s="1"/>
  <c r="AB62" i="1"/>
  <c r="AA62" i="1"/>
  <c r="O62" i="1"/>
  <c r="L62" i="1"/>
  <c r="AI61" i="1"/>
  <c r="AD61" i="1"/>
  <c r="AE61" i="1" s="1"/>
  <c r="AC61" i="1"/>
  <c r="Z61" i="1"/>
  <c r="T61" i="1"/>
  <c r="AI60" i="1"/>
  <c r="AB60" i="1"/>
  <c r="T60" i="1"/>
  <c r="O60" i="1"/>
  <c r="AI59" i="1"/>
  <c r="AC59" i="1"/>
  <c r="AA59" i="1"/>
  <c r="O59" i="1"/>
  <c r="L59" i="1"/>
  <c r="AI58" i="1"/>
  <c r="AI57" i="1"/>
  <c r="AI56" i="1"/>
  <c r="AI55" i="1"/>
  <c r="V55" i="1"/>
  <c r="U55" i="1"/>
  <c r="Y55" i="1"/>
  <c r="AI54" i="1"/>
  <c r="V54" i="1"/>
  <c r="U54" i="1"/>
  <c r="AI53" i="1"/>
  <c r="V53" i="1"/>
  <c r="U53" i="1"/>
  <c r="AI52" i="1"/>
  <c r="U52" i="1"/>
  <c r="AI51" i="1"/>
  <c r="U51" i="1"/>
  <c r="Q51" i="1"/>
  <c r="AI50" i="1"/>
  <c r="U50" i="1"/>
  <c r="R50" i="1"/>
  <c r="AI49" i="1"/>
  <c r="U49" i="1"/>
  <c r="Q49" i="1"/>
  <c r="AI48" i="1"/>
  <c r="U48" i="1"/>
  <c r="AI47" i="1"/>
  <c r="U47" i="1"/>
  <c r="AI46" i="1"/>
  <c r="U46" i="1"/>
  <c r="AG46" i="1"/>
  <c r="AI45" i="1"/>
  <c r="U45" i="1"/>
  <c r="R45" i="1"/>
  <c r="AI44" i="1"/>
  <c r="T44" i="1"/>
  <c r="AI43" i="1"/>
  <c r="I42" i="1"/>
  <c r="I43" i="1" s="1"/>
  <c r="A42" i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I39" i="1"/>
  <c r="AD39" i="1"/>
  <c r="AE39" i="1" s="1"/>
  <c r="AA39" i="1"/>
  <c r="T39" i="1"/>
  <c r="AI38" i="1"/>
  <c r="AD38" i="1"/>
  <c r="AF38" i="1" s="1"/>
  <c r="Y38" i="1"/>
  <c r="AC38" i="1"/>
  <c r="AI37" i="1"/>
  <c r="AD37" i="1"/>
  <c r="AF37" i="1" s="1"/>
  <c r="AC37" i="1"/>
  <c r="AB37" i="1"/>
  <c r="AA37" i="1"/>
  <c r="Z37" i="1"/>
  <c r="T37" i="1"/>
  <c r="AI36" i="1"/>
  <c r="AD36" i="1"/>
  <c r="AE36" i="1" s="1"/>
  <c r="AC36" i="1"/>
  <c r="AB36" i="1"/>
  <c r="AA36" i="1"/>
  <c r="L36" i="1"/>
  <c r="AI35" i="1"/>
  <c r="T35" i="1"/>
  <c r="AI34" i="1"/>
  <c r="AD34" i="1"/>
  <c r="AF34" i="1" s="1"/>
  <c r="T34" i="1"/>
  <c r="AI33" i="1"/>
  <c r="AD33" i="1"/>
  <c r="AE33" i="1" s="1"/>
  <c r="AB33" i="1"/>
  <c r="Z33" i="1"/>
  <c r="AC33" i="1"/>
  <c r="AI32" i="1"/>
  <c r="AC32" i="1"/>
  <c r="AB32" i="1"/>
  <c r="AA32" i="1"/>
  <c r="AI31" i="1"/>
  <c r="AD31" i="1"/>
  <c r="AE31" i="1" s="1"/>
  <c r="AC31" i="1"/>
  <c r="AB31" i="1"/>
  <c r="AA31" i="1"/>
  <c r="AI30" i="1"/>
  <c r="AG30" i="1"/>
  <c r="AD30" i="1"/>
  <c r="AF30" i="1" s="1"/>
  <c r="AC30" i="1"/>
  <c r="AA30" i="1"/>
  <c r="Z30" i="1"/>
  <c r="T30" i="1"/>
  <c r="L30" i="1"/>
  <c r="Y30" i="1"/>
  <c r="AB30" i="1"/>
  <c r="AI29" i="1"/>
  <c r="AD29" i="1"/>
  <c r="AE29" i="1" s="1"/>
  <c r="AC29" i="1"/>
  <c r="AB29" i="1"/>
  <c r="L29" i="1"/>
  <c r="AI28" i="1"/>
  <c r="AD28" i="1"/>
  <c r="AE28" i="1" s="1"/>
  <c r="L28" i="1"/>
  <c r="AI27" i="1"/>
  <c r="AI26" i="1"/>
  <c r="AB26" i="1"/>
  <c r="AI25" i="1"/>
  <c r="AD25" i="1"/>
  <c r="AE25" i="1" s="1"/>
  <c r="AA25" i="1"/>
  <c r="T25" i="1"/>
  <c r="AI24" i="1"/>
  <c r="AD24" i="1"/>
  <c r="AF24" i="1" s="1"/>
  <c r="AA24" i="1"/>
  <c r="AI23" i="1"/>
  <c r="AB23" i="1"/>
  <c r="AA23" i="1"/>
  <c r="AI22" i="1"/>
  <c r="AD22" i="1"/>
  <c r="AE22" i="1" s="1"/>
  <c r="AA22" i="1"/>
  <c r="L22" i="1"/>
  <c r="AB22" i="1"/>
  <c r="AI21" i="1"/>
  <c r="AC21" i="1"/>
  <c r="AB21" i="1"/>
  <c r="AA21" i="1"/>
  <c r="AI20" i="1"/>
  <c r="AI19" i="1"/>
  <c r="AI18" i="1"/>
  <c r="AI17" i="1"/>
  <c r="V17" i="1"/>
  <c r="U17" i="1"/>
  <c r="AI16" i="1"/>
  <c r="V16" i="1"/>
  <c r="U16" i="1"/>
  <c r="AG16" i="1"/>
  <c r="AI15" i="1"/>
  <c r="V15" i="1"/>
  <c r="U15" i="1"/>
  <c r="R15" i="1"/>
  <c r="AI14" i="1"/>
  <c r="U14" i="1"/>
  <c r="Y14" i="1"/>
  <c r="AI13" i="1"/>
  <c r="U13" i="1"/>
  <c r="Y13" i="1"/>
  <c r="AI12" i="1"/>
  <c r="U12" i="1"/>
  <c r="AD12" i="1"/>
  <c r="AI11" i="1"/>
  <c r="U11" i="1"/>
  <c r="AI10" i="1"/>
  <c r="U10" i="1"/>
  <c r="AI9" i="1"/>
  <c r="U9" i="1"/>
  <c r="AC9" i="1"/>
  <c r="AI8" i="1"/>
  <c r="U8" i="1"/>
  <c r="S8" i="1"/>
  <c r="AI7" i="1"/>
  <c r="U7" i="1"/>
  <c r="AI6" i="1"/>
  <c r="U6" i="1"/>
  <c r="AI5" i="1"/>
  <c r="AD5" i="1"/>
  <c r="AE5" i="1" s="1"/>
  <c r="AI4" i="1"/>
  <c r="AG4" i="1"/>
  <c r="AI3" i="1"/>
  <c r="I2" i="1"/>
  <c r="I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J414" i="1" l="1"/>
  <c r="AJ670" i="1"/>
  <c r="T543" i="1"/>
  <c r="AA543" i="1"/>
  <c r="O482" i="1"/>
  <c r="AB543" i="1"/>
  <c r="I157" i="1"/>
  <c r="T673" i="1"/>
  <c r="AC392" i="1"/>
  <c r="AA673" i="1"/>
  <c r="L24" i="1"/>
  <c r="L33" i="1"/>
  <c r="Z111" i="1"/>
  <c r="L185" i="1"/>
  <c r="AC248" i="1"/>
  <c r="L281" i="1"/>
  <c r="Z425" i="1"/>
  <c r="L442" i="1"/>
  <c r="Z570" i="1"/>
  <c r="L659" i="1"/>
  <c r="AC261" i="1"/>
  <c r="AC296" i="1"/>
  <c r="AC659" i="1"/>
  <c r="L662" i="1"/>
  <c r="AC770" i="1"/>
  <c r="L791" i="1"/>
  <c r="AC290" i="1"/>
  <c r="L485" i="1"/>
  <c r="AC504" i="1"/>
  <c r="AC547" i="1"/>
  <c r="L631" i="1"/>
  <c r="AC662" i="1"/>
  <c r="L733" i="1"/>
  <c r="AC102" i="1"/>
  <c r="L145" i="1"/>
  <c r="L221" i="1"/>
  <c r="L236" i="1"/>
  <c r="AC346" i="1"/>
  <c r="AC394" i="1"/>
  <c r="L399" i="1"/>
  <c r="L410" i="1"/>
  <c r="L414" i="1"/>
  <c r="AC488" i="1"/>
  <c r="L504" i="1"/>
  <c r="AC630" i="1"/>
  <c r="AC715" i="1"/>
  <c r="AC53" i="1"/>
  <c r="AC440" i="1"/>
  <c r="AC611" i="1"/>
  <c r="AC613" i="1"/>
  <c r="AC63" i="1"/>
  <c r="L429" i="1"/>
  <c r="L459" i="1"/>
  <c r="L461" i="1"/>
  <c r="L462" i="1"/>
  <c r="L508" i="1"/>
  <c r="AC522" i="1"/>
  <c r="L590" i="1"/>
  <c r="L648" i="1"/>
  <c r="L717" i="1"/>
  <c r="L735" i="1"/>
  <c r="L752" i="1"/>
  <c r="Z233" i="1"/>
  <c r="L525" i="1"/>
  <c r="AC531" i="1"/>
  <c r="L614" i="1"/>
  <c r="AC653" i="1"/>
  <c r="AC678" i="1"/>
  <c r="L680" i="1"/>
  <c r="L25" i="1"/>
  <c r="L32" i="1"/>
  <c r="AC62" i="1"/>
  <c r="AC185" i="1"/>
  <c r="AC186" i="1"/>
  <c r="L262" i="1"/>
  <c r="AC301" i="1"/>
  <c r="AC314" i="1"/>
  <c r="AC376" i="1"/>
  <c r="AC465" i="1"/>
  <c r="AC492" i="1"/>
  <c r="L493" i="1"/>
  <c r="AC523" i="1"/>
  <c r="L720" i="1"/>
  <c r="AC753" i="1"/>
  <c r="L755" i="1"/>
  <c r="L756" i="1"/>
  <c r="AC169" i="1"/>
  <c r="AC548" i="1"/>
  <c r="L572" i="1"/>
  <c r="AC677" i="1"/>
  <c r="AC735" i="1"/>
  <c r="L739" i="1"/>
  <c r="L116" i="1"/>
  <c r="AC249" i="1"/>
  <c r="L299" i="1"/>
  <c r="L301" i="1"/>
  <c r="L326" i="1"/>
  <c r="L395" i="1"/>
  <c r="AC426" i="1"/>
  <c r="L465" i="1"/>
  <c r="L466" i="1"/>
  <c r="AC505" i="1"/>
  <c r="AC507" i="1"/>
  <c r="L734" i="1"/>
  <c r="AC771" i="1"/>
  <c r="AC790" i="1"/>
  <c r="AC793" i="1"/>
  <c r="AC160" i="1"/>
  <c r="Z157" i="1"/>
  <c r="AC161" i="1"/>
  <c r="AC262" i="1"/>
  <c r="AC381" i="1"/>
  <c r="AC462" i="1"/>
  <c r="AC466" i="1"/>
  <c r="L505" i="1"/>
  <c r="L552" i="1"/>
  <c r="AC631" i="1"/>
  <c r="AC647" i="1"/>
  <c r="AC695" i="1"/>
  <c r="AB291" i="1"/>
  <c r="H169" i="1"/>
  <c r="L63" i="1"/>
  <c r="L346" i="1"/>
  <c r="AC524" i="1"/>
  <c r="L593" i="1"/>
  <c r="AC698" i="1"/>
  <c r="L151" i="1"/>
  <c r="L355" i="1"/>
  <c r="AC378" i="1"/>
  <c r="L380" i="1"/>
  <c r="AC411" i="1"/>
  <c r="L574" i="1"/>
  <c r="Z102" i="1"/>
  <c r="Z485" i="1"/>
  <c r="Z733" i="1"/>
  <c r="Z546" i="1"/>
  <c r="Z693" i="1"/>
  <c r="Z659" i="1"/>
  <c r="Z752" i="1"/>
  <c r="Z610" i="1"/>
  <c r="Z675" i="1"/>
  <c r="Z345" i="1"/>
  <c r="T450" i="1"/>
  <c r="Z725" i="1"/>
  <c r="Z771" i="1"/>
  <c r="Z439" i="1"/>
  <c r="L101" i="1"/>
  <c r="L102" i="1"/>
  <c r="Z261" i="1"/>
  <c r="L265" i="1"/>
  <c r="AC284" i="1"/>
  <c r="Z316" i="1"/>
  <c r="Z394" i="1"/>
  <c r="AC395" i="1"/>
  <c r="AC425" i="1"/>
  <c r="L440" i="1"/>
  <c r="AC646" i="1"/>
  <c r="L676" i="1"/>
  <c r="L698" i="1"/>
  <c r="L753" i="1"/>
  <c r="Z220" i="1"/>
  <c r="L646" i="1"/>
  <c r="L630" i="1"/>
  <c r="L489" i="1"/>
  <c r="L350" i="1"/>
  <c r="L794" i="1"/>
  <c r="L571" i="1"/>
  <c r="L379" i="1"/>
  <c r="L69" i="1"/>
  <c r="L282" i="1"/>
  <c r="L228" i="1"/>
  <c r="L523" i="1"/>
  <c r="L264" i="1"/>
  <c r="Z159" i="1"/>
  <c r="V159" i="1" s="1"/>
  <c r="L109" i="1"/>
  <c r="L186" i="1"/>
  <c r="H749" i="1"/>
  <c r="AB200" i="1"/>
  <c r="L150" i="1"/>
  <c r="L73" i="1"/>
  <c r="Z293" i="1"/>
  <c r="V293" i="1" s="1"/>
  <c r="AC165" i="1"/>
  <c r="AC167" i="1"/>
  <c r="AJ355" i="1"/>
  <c r="AJ797" i="1"/>
  <c r="AJ648" i="1"/>
  <c r="Z543" i="1"/>
  <c r="AJ548" i="1"/>
  <c r="T277" i="1"/>
  <c r="AC294" i="1"/>
  <c r="AG788" i="1"/>
  <c r="AJ38" i="1"/>
  <c r="AA277" i="1"/>
  <c r="AG518" i="1"/>
  <c r="AB277" i="1"/>
  <c r="AD277" i="1"/>
  <c r="AF277" i="1" s="1"/>
  <c r="AJ266" i="1"/>
  <c r="AG457" i="1"/>
  <c r="T519" i="1"/>
  <c r="AD586" i="1"/>
  <c r="AE586" i="1" s="1"/>
  <c r="AH80" i="1"/>
  <c r="I81" i="1"/>
  <c r="AH81" i="1" s="1"/>
  <c r="O712" i="1"/>
  <c r="AG626" i="1"/>
  <c r="T712" i="1"/>
  <c r="T313" i="1"/>
  <c r="T457" i="1"/>
  <c r="AA712" i="1"/>
  <c r="AD313" i="1"/>
  <c r="AF313" i="1" s="1"/>
  <c r="AA457" i="1"/>
  <c r="T566" i="1"/>
  <c r="Z626" i="1"/>
  <c r="AB768" i="1"/>
  <c r="AB457" i="1"/>
  <c r="O518" i="1"/>
  <c r="AD566" i="1"/>
  <c r="AB626" i="1"/>
  <c r="AC518" i="1"/>
  <c r="AC626" i="1"/>
  <c r="Z518" i="1"/>
  <c r="AC244" i="1"/>
  <c r="AD626" i="1"/>
  <c r="AE626" i="1" s="1"/>
  <c r="AG244" i="1"/>
  <c r="AB482" i="1"/>
  <c r="T625" i="1"/>
  <c r="O277" i="1"/>
  <c r="AD312" i="1"/>
  <c r="AF312" i="1" s="1"/>
  <c r="O519" i="1"/>
  <c r="AG625" i="1"/>
  <c r="AG673" i="1"/>
  <c r="AJ746" i="1"/>
  <c r="Z273" i="1"/>
  <c r="V273" i="1" s="1"/>
  <c r="Z672" i="1"/>
  <c r="V672" i="1" s="1"/>
  <c r="Z122" i="1"/>
  <c r="V122" i="1" s="1"/>
  <c r="L261" i="1"/>
  <c r="AB534" i="1"/>
  <c r="L790" i="1"/>
  <c r="L23" i="1"/>
  <c r="AA171" i="1"/>
  <c r="L643" i="1"/>
  <c r="L729" i="1"/>
  <c r="AB126" i="1"/>
  <c r="T6" i="1"/>
  <c r="L85" i="1"/>
  <c r="AC474" i="1"/>
  <c r="L484" i="1"/>
  <c r="AC584" i="1"/>
  <c r="AB17" i="1"/>
  <c r="AC60" i="1"/>
  <c r="L424" i="1"/>
  <c r="L436" i="1"/>
  <c r="L567" i="1"/>
  <c r="AC372" i="1"/>
  <c r="AC122" i="1"/>
  <c r="AC176" i="1"/>
  <c r="L409" i="1"/>
  <c r="L520" i="1"/>
  <c r="L394" i="1"/>
  <c r="AC605" i="1"/>
  <c r="Z24" i="1"/>
  <c r="L61" i="1"/>
  <c r="Z62" i="1"/>
  <c r="AC108" i="1"/>
  <c r="AC134" i="1"/>
  <c r="L177" i="1"/>
  <c r="AC206" i="1"/>
  <c r="L220" i="1"/>
  <c r="L222" i="1"/>
  <c r="AC265" i="1"/>
  <c r="Z279" i="1"/>
  <c r="Z298" i="1"/>
  <c r="Z398" i="1"/>
  <c r="Z419" i="1"/>
  <c r="L488" i="1"/>
  <c r="AC545" i="1"/>
  <c r="L613" i="1"/>
  <c r="L644" i="1"/>
  <c r="Z663" i="1"/>
  <c r="L677" i="1"/>
  <c r="Z699" i="1"/>
  <c r="AC739" i="1"/>
  <c r="H404" i="1"/>
  <c r="L673" i="1"/>
  <c r="L244" i="1"/>
  <c r="Z186" i="1"/>
  <c r="Z69" i="1"/>
  <c r="Z630" i="1"/>
  <c r="Z489" i="1"/>
  <c r="Z613" i="1"/>
  <c r="Z794" i="1"/>
  <c r="Z228" i="1"/>
  <c r="Z31" i="1"/>
  <c r="Z571" i="1"/>
  <c r="AC126" i="1"/>
  <c r="AC130" i="1"/>
  <c r="Z282" i="1"/>
  <c r="L293" i="1"/>
  <c r="AC329" i="1"/>
  <c r="Y367" i="1"/>
  <c r="Z427" i="1"/>
  <c r="AA558" i="1"/>
  <c r="AB310" i="1"/>
  <c r="AB455" i="1"/>
  <c r="H458" i="1"/>
  <c r="T499" i="1"/>
  <c r="AB582" i="1"/>
  <c r="Z549" i="1"/>
  <c r="L621" i="1"/>
  <c r="H517" i="1"/>
  <c r="Y747" i="1"/>
  <c r="AC456" i="1"/>
  <c r="AC330" i="1"/>
  <c r="AB52" i="1"/>
  <c r="H121" i="1"/>
  <c r="L291" i="1"/>
  <c r="L476" i="1"/>
  <c r="H128" i="1"/>
  <c r="L3" i="1"/>
  <c r="AB86" i="1"/>
  <c r="H9" i="1"/>
  <c r="AC212" i="1"/>
  <c r="Z350" i="1"/>
  <c r="Z592" i="1"/>
  <c r="Z479" i="1"/>
  <c r="V479" i="1" s="1"/>
  <c r="AH705" i="1"/>
  <c r="I706" i="1"/>
  <c r="AH706" i="1" s="1"/>
  <c r="O692" i="1"/>
  <c r="AB692" i="1"/>
  <c r="Z277" i="1"/>
  <c r="Y312" i="1"/>
  <c r="AJ312" i="1" s="1"/>
  <c r="AG342" i="1"/>
  <c r="AC543" i="1"/>
  <c r="AB566" i="1"/>
  <c r="AB673" i="1"/>
  <c r="AD692" i="1"/>
  <c r="AE692" i="1" s="1"/>
  <c r="O769" i="1"/>
  <c r="AA342" i="1"/>
  <c r="R257" i="1"/>
  <c r="AA276" i="1"/>
  <c r="Y341" i="1"/>
  <c r="AJ341" i="1" s="1"/>
  <c r="AC342" i="1"/>
  <c r="L408" i="1"/>
  <c r="O607" i="1"/>
  <c r="Y731" i="1"/>
  <c r="AJ731" i="1" s="1"/>
  <c r="AC276" i="1"/>
  <c r="AD342" i="1"/>
  <c r="AE342" i="1" s="1"/>
  <c r="AG392" i="1"/>
  <c r="T408" i="1"/>
  <c r="L458" i="1"/>
  <c r="Y586" i="1"/>
  <c r="AA607" i="1"/>
  <c r="L731" i="1"/>
  <c r="Z341" i="1"/>
  <c r="AA408" i="1"/>
  <c r="T458" i="1"/>
  <c r="AC607" i="1"/>
  <c r="AE678" i="1"/>
  <c r="L691" i="1"/>
  <c r="T731" i="1"/>
  <c r="Z712" i="1"/>
  <c r="AB341" i="1"/>
  <c r="O392" i="1"/>
  <c r="AD408" i="1"/>
  <c r="AE408" i="1" s="1"/>
  <c r="L438" i="1"/>
  <c r="AD458" i="1"/>
  <c r="T565" i="1"/>
  <c r="L586" i="1"/>
  <c r="AD607" i="1"/>
  <c r="AF607" i="1" s="1"/>
  <c r="L642" i="1"/>
  <c r="Y674" i="1"/>
  <c r="AJ674" i="1" s="1"/>
  <c r="T691" i="1"/>
  <c r="Z731" i="1"/>
  <c r="O768" i="1"/>
  <c r="AA259" i="1"/>
  <c r="AC341" i="1"/>
  <c r="T392" i="1"/>
  <c r="Y543" i="1"/>
  <c r="AJ543" i="1" s="1"/>
  <c r="I558" i="1"/>
  <c r="AA586" i="1"/>
  <c r="Z642" i="1"/>
  <c r="Z674" i="1"/>
  <c r="AB691" i="1"/>
  <c r="AA731" i="1"/>
  <c r="AD750" i="1"/>
  <c r="AF750" i="1" s="1"/>
  <c r="T768" i="1"/>
  <c r="AD259" i="1"/>
  <c r="AD341" i="1"/>
  <c r="AF341" i="1" s="1"/>
  <c r="O543" i="1"/>
  <c r="AB586" i="1"/>
  <c r="Y712" i="1"/>
  <c r="AJ712" i="1" s="1"/>
  <c r="AJ730" i="1"/>
  <c r="AA768" i="1"/>
  <c r="AH745" i="1"/>
  <c r="I746" i="1"/>
  <c r="AH326" i="1"/>
  <c r="I327" i="1"/>
  <c r="AH327" i="1" s="1"/>
  <c r="AH621" i="1"/>
  <c r="I622" i="1"/>
  <c r="I623" i="1" s="1"/>
  <c r="AH623" i="1" s="1"/>
  <c r="I390" i="1"/>
  <c r="AH389" i="1"/>
  <c r="T245" i="1"/>
  <c r="AB437" i="1"/>
  <c r="T483" i="1"/>
  <c r="Q531" i="1"/>
  <c r="W531" i="1" s="1"/>
  <c r="L566" i="1"/>
  <c r="Y626" i="1"/>
  <c r="AJ626" i="1" s="1"/>
  <c r="AG674" i="1"/>
  <c r="Z692" i="1"/>
  <c r="O750" i="1"/>
  <c r="AG789" i="1"/>
  <c r="AD245" i="1"/>
  <c r="AE245" i="1" s="1"/>
  <c r="AB259" i="1"/>
  <c r="Y276" i="1"/>
  <c r="Y277" i="1"/>
  <c r="AJ277" i="1" s="1"/>
  <c r="AA312" i="1"/>
  <c r="O341" i="1"/>
  <c r="Y342" i="1"/>
  <c r="AJ342" i="1" s="1"/>
  <c r="O408" i="1"/>
  <c r="T423" i="1"/>
  <c r="AD437" i="1"/>
  <c r="AF437" i="1" s="1"/>
  <c r="Y457" i="1"/>
  <c r="AJ457" i="1" s="1"/>
  <c r="Y482" i="1"/>
  <c r="AJ482" i="1" s="1"/>
  <c r="L565" i="1"/>
  <c r="AA566" i="1"/>
  <c r="T626" i="1"/>
  <c r="O642" i="1"/>
  <c r="AC692" i="1"/>
  <c r="AJ696" i="1"/>
  <c r="AG750" i="1"/>
  <c r="O765" i="1"/>
  <c r="Y768" i="1"/>
  <c r="AJ768" i="1" s="1"/>
  <c r="Y393" i="1"/>
  <c r="AJ393" i="1" s="1"/>
  <c r="T732" i="1"/>
  <c r="AD4" i="1"/>
  <c r="AF4" i="1" s="1"/>
  <c r="AA131" i="1"/>
  <c r="I242" i="1"/>
  <c r="AD244" i="1"/>
  <c r="L276" i="1"/>
  <c r="L277" i="1"/>
  <c r="AG292" i="1"/>
  <c r="AG312" i="1"/>
  <c r="AA341" i="1"/>
  <c r="AB342" i="1"/>
  <c r="Y371" i="1"/>
  <c r="AJ371" i="1" s="1"/>
  <c r="L457" i="1"/>
  <c r="Y458" i="1"/>
  <c r="AJ458" i="1" s="1"/>
  <c r="AB502" i="1"/>
  <c r="AG543" i="1"/>
  <c r="AJ559" i="1"/>
  <c r="AC566" i="1"/>
  <c r="AC586" i="1"/>
  <c r="AB625" i="1"/>
  <c r="AA626" i="1"/>
  <c r="T641" i="1"/>
  <c r="AB642" i="1"/>
  <c r="T657" i="1"/>
  <c r="Y673" i="1"/>
  <c r="AJ673" i="1" s="1"/>
  <c r="AG692" i="1"/>
  <c r="L712" i="1"/>
  <c r="AC732" i="1"/>
  <c r="L768" i="1"/>
  <c r="Y295" i="1"/>
  <c r="AJ295" i="1" s="1"/>
  <c r="Y370" i="1"/>
  <c r="AJ370" i="1" s="1"/>
  <c r="L393" i="1"/>
  <c r="Y437" i="1"/>
  <c r="AJ437" i="1" s="1"/>
  <c r="AA641" i="1"/>
  <c r="AD642" i="1"/>
  <c r="AF642" i="1" s="1"/>
  <c r="AA657" i="1"/>
  <c r="L674" i="1"/>
  <c r="Y789" i="1"/>
  <c r="AJ789" i="1" s="1"/>
  <c r="AC274" i="1"/>
  <c r="AB276" i="1"/>
  <c r="Z340" i="1"/>
  <c r="L371" i="1"/>
  <c r="AH419" i="1"/>
  <c r="Y422" i="1"/>
  <c r="AJ422" i="1" s="1"/>
  <c r="I515" i="1"/>
  <c r="AH515" i="1" s="1"/>
  <c r="AG566" i="1"/>
  <c r="AG642" i="1"/>
  <c r="T674" i="1"/>
  <c r="AC295" i="1"/>
  <c r="L370" i="1"/>
  <c r="Z371" i="1"/>
  <c r="AA393" i="1"/>
  <c r="L422" i="1"/>
  <c r="AJ525" i="1"/>
  <c r="L789" i="1"/>
  <c r="AG259" i="1"/>
  <c r="AD276" i="1"/>
  <c r="AE276" i="1" s="1"/>
  <c r="AD295" i="1"/>
  <c r="AF295" i="1" s="1"/>
  <c r="O370" i="1"/>
  <c r="AA371" i="1"/>
  <c r="AD393" i="1"/>
  <c r="AF393" i="1" s="1"/>
  <c r="O422" i="1"/>
  <c r="O437" i="1"/>
  <c r="AA438" i="1"/>
  <c r="AC457" i="1"/>
  <c r="AA458" i="1"/>
  <c r="O624" i="1"/>
  <c r="AA674" i="1"/>
  <c r="Y692" i="1"/>
  <c r="AJ692" i="1" s="1"/>
  <c r="AB712" i="1"/>
  <c r="L788" i="1"/>
  <c r="O789" i="1"/>
  <c r="AA121" i="1"/>
  <c r="AJ145" i="1"/>
  <c r="AG163" i="1"/>
  <c r="Y245" i="1"/>
  <c r="AJ245" i="1" s="1"/>
  <c r="Z370" i="1"/>
  <c r="AC371" i="1"/>
  <c r="AG408" i="1"/>
  <c r="AB422" i="1"/>
  <c r="T437" i="1"/>
  <c r="AG438" i="1"/>
  <c r="AD457" i="1"/>
  <c r="AE457" i="1" s="1"/>
  <c r="AB458" i="1"/>
  <c r="AD473" i="1"/>
  <c r="AE473" i="1" s="1"/>
  <c r="T477" i="1"/>
  <c r="T503" i="1"/>
  <c r="L564" i="1"/>
  <c r="T624" i="1"/>
  <c r="L658" i="1"/>
  <c r="AC673" i="1"/>
  <c r="AB674" i="1"/>
  <c r="AC712" i="1"/>
  <c r="AB731" i="1"/>
  <c r="T747" i="1"/>
  <c r="Y750" i="1"/>
  <c r="AC768" i="1"/>
  <c r="O788" i="1"/>
  <c r="AA789" i="1"/>
  <c r="AC437" i="1"/>
  <c r="L245" i="1"/>
  <c r="L259" i="1"/>
  <c r="L313" i="1"/>
  <c r="AB370" i="1"/>
  <c r="AD371" i="1"/>
  <c r="AF371" i="1" s="1"/>
  <c r="AC422" i="1"/>
  <c r="AC458" i="1"/>
  <c r="Y566" i="1"/>
  <c r="AJ566" i="1" s="1"/>
  <c r="AJ570" i="1"/>
  <c r="AC674" i="1"/>
  <c r="I687" i="1"/>
  <c r="AH687" i="1" s="1"/>
  <c r="L692" i="1"/>
  <c r="AC731" i="1"/>
  <c r="AH782" i="1"/>
  <c r="T788" i="1"/>
  <c r="AB789" i="1"/>
  <c r="AD370" i="1"/>
  <c r="AF370" i="1" s="1"/>
  <c r="AG371" i="1"/>
  <c r="AJ591" i="1"/>
  <c r="Y642" i="1"/>
  <c r="AG658" i="1"/>
  <c r="AD674" i="1"/>
  <c r="AF674" i="1" s="1"/>
  <c r="AJ720" i="1"/>
  <c r="AD731" i="1"/>
  <c r="AF731" i="1" s="1"/>
  <c r="L750" i="1"/>
  <c r="AB788" i="1"/>
  <c r="AB121" i="1"/>
  <c r="AF713" i="1"/>
  <c r="AF797" i="1"/>
  <c r="AC4" i="1"/>
  <c r="AC406" i="1"/>
  <c r="Q708" i="1"/>
  <c r="W708" i="1" s="1"/>
  <c r="Y122" i="1"/>
  <c r="AJ122" i="1" s="1"/>
  <c r="L534" i="1"/>
  <c r="AG708" i="1"/>
  <c r="Y362" i="1"/>
  <c r="AJ362" i="1" s="1"/>
  <c r="Q534" i="1"/>
  <c r="Q764" i="1"/>
  <c r="W764" i="1" s="1"/>
  <c r="AG199" i="1"/>
  <c r="AG531" i="1"/>
  <c r="O564" i="1"/>
  <c r="R624" i="1"/>
  <c r="R764" i="1"/>
  <c r="Y3" i="1"/>
  <c r="AJ3" i="1" s="1"/>
  <c r="L49" i="1"/>
  <c r="AC81" i="1"/>
  <c r="AG89" i="1"/>
  <c r="S476" i="1"/>
  <c r="S624" i="1"/>
  <c r="T764" i="1"/>
  <c r="AG3" i="1"/>
  <c r="AC207" i="1"/>
  <c r="AG360" i="1"/>
  <c r="L480" i="1"/>
  <c r="T43" i="1"/>
  <c r="AG453" i="1"/>
  <c r="S480" i="1"/>
  <c r="AF395" i="1"/>
  <c r="Q167" i="1"/>
  <c r="W167" i="1" s="1"/>
  <c r="AG478" i="1"/>
  <c r="AG164" i="1"/>
  <c r="R167" i="1"/>
  <c r="Y456" i="1"/>
  <c r="AJ456" i="1" s="1"/>
  <c r="Y476" i="1"/>
  <c r="AJ476" i="1" s="1"/>
  <c r="L560" i="1"/>
  <c r="Y584" i="1"/>
  <c r="AJ584" i="1" s="1"/>
  <c r="S670" i="1"/>
  <c r="AF489" i="1"/>
  <c r="R516" i="1"/>
  <c r="AF735" i="1"/>
  <c r="L158" i="1"/>
  <c r="AC275" i="1"/>
  <c r="Z476" i="1"/>
  <c r="V476" i="1" s="1"/>
  <c r="S501" i="1"/>
  <c r="L640" i="1"/>
  <c r="L88" i="1"/>
  <c r="AF182" i="1"/>
  <c r="AG326" i="1"/>
  <c r="L367" i="1"/>
  <c r="O435" i="1"/>
  <c r="Q540" i="1"/>
  <c r="W540" i="1" s="1"/>
  <c r="T579" i="1"/>
  <c r="Y605" i="1"/>
  <c r="AJ605" i="1" s="1"/>
  <c r="L4" i="1"/>
  <c r="T361" i="1"/>
  <c r="S540" i="1"/>
  <c r="X540" i="1" s="1"/>
  <c r="AC579" i="1"/>
  <c r="O747" i="1"/>
  <c r="O749" i="1"/>
  <c r="AD80" i="1"/>
  <c r="AE80" i="1" s="1"/>
  <c r="R122" i="1"/>
  <c r="AC273" i="1"/>
  <c r="AE304" i="1"/>
  <c r="L746" i="1"/>
  <c r="Q747" i="1"/>
  <c r="W747" i="1" s="1"/>
  <c r="S749" i="1"/>
  <c r="AD764" i="1"/>
  <c r="AF764" i="1" s="1"/>
  <c r="AC13" i="1"/>
  <c r="T4" i="1"/>
  <c r="T122" i="1"/>
  <c r="O672" i="1"/>
  <c r="O746" i="1"/>
  <c r="S747" i="1"/>
  <c r="AG5" i="1"/>
  <c r="Z4" i="1"/>
  <c r="AG449" i="1"/>
  <c r="AB499" i="1"/>
  <c r="AG517" i="1"/>
  <c r="Y574" i="1"/>
  <c r="AJ574" i="1" s="1"/>
  <c r="AF615" i="1"/>
  <c r="AG749" i="1"/>
  <c r="Q606" i="1"/>
  <c r="W606" i="1" s="1"/>
  <c r="AG746" i="1"/>
  <c r="Y49" i="1"/>
  <c r="AJ49" i="1" s="1"/>
  <c r="AF61" i="1"/>
  <c r="O170" i="1"/>
  <c r="T199" i="1"/>
  <c r="AE227" i="1"/>
  <c r="O360" i="1"/>
  <c r="AB453" i="1"/>
  <c r="Q640" i="1"/>
  <c r="W640" i="1" s="1"/>
  <c r="AC688" i="1"/>
  <c r="L688" i="1"/>
  <c r="T170" i="1"/>
  <c r="Y333" i="1"/>
  <c r="AJ333" i="1" s="1"/>
  <c r="AF665" i="1"/>
  <c r="L725" i="1"/>
  <c r="AC728" i="1"/>
  <c r="Y44" i="1"/>
  <c r="AJ44" i="1" s="1"/>
  <c r="T49" i="1"/>
  <c r="T88" i="1"/>
  <c r="R275" i="1"/>
  <c r="R478" i="1"/>
  <c r="S333" i="1"/>
  <c r="L126" i="1"/>
  <c r="Z170" i="1"/>
  <c r="L200" i="1"/>
  <c r="S604" i="1"/>
  <c r="AE715" i="1"/>
  <c r="L624" i="1"/>
  <c r="O158" i="1"/>
  <c r="AD170" i="1"/>
  <c r="AF170" i="1" s="1"/>
  <c r="AG275" i="1"/>
  <c r="Z333" i="1"/>
  <c r="V333" i="1" s="1"/>
  <c r="Y517" i="1"/>
  <c r="AJ517" i="1" s="1"/>
  <c r="AC746" i="1"/>
  <c r="AG44" i="1"/>
  <c r="O50" i="1"/>
  <c r="S126" i="1"/>
  <c r="R158" i="1"/>
  <c r="T164" i="1"/>
  <c r="L169" i="1"/>
  <c r="AG170" i="1"/>
  <c r="S328" i="1"/>
  <c r="AG333" i="1"/>
  <c r="R337" i="1"/>
  <c r="Y361" i="1"/>
  <c r="AJ361" i="1" s="1"/>
  <c r="L362" i="1"/>
  <c r="O365" i="1"/>
  <c r="L456" i="1"/>
  <c r="AD530" i="1"/>
  <c r="O89" i="1"/>
  <c r="O212" i="1"/>
  <c r="AE315" i="1"/>
  <c r="T328" i="1"/>
  <c r="S340" i="1"/>
  <c r="X340" i="1" s="1"/>
  <c r="Q365" i="1"/>
  <c r="W365" i="1" s="1"/>
  <c r="O367" i="1"/>
  <c r="T434" i="1"/>
  <c r="O456" i="1"/>
  <c r="L477" i="1"/>
  <c r="O479" i="1"/>
  <c r="L535" i="1"/>
  <c r="H671" i="1"/>
  <c r="Z685" i="1"/>
  <c r="Y688" i="1"/>
  <c r="AJ688" i="1" s="1"/>
  <c r="AC690" i="1"/>
  <c r="R730" i="1"/>
  <c r="AE768" i="1"/>
  <c r="AC44" i="1"/>
  <c r="AC50" i="1"/>
  <c r="T80" i="1"/>
  <c r="AC158" i="1"/>
  <c r="AC164" i="1"/>
  <c r="Q212" i="1"/>
  <c r="W212" i="1" s="1"/>
  <c r="L361" i="1"/>
  <c r="Q362" i="1"/>
  <c r="W362" i="1" s="1"/>
  <c r="L453" i="1"/>
  <c r="R456" i="1"/>
  <c r="R477" i="1"/>
  <c r="S479" i="1"/>
  <c r="T517" i="1"/>
  <c r="Y669" i="1"/>
  <c r="AJ669" i="1" s="1"/>
  <c r="Q671" i="1"/>
  <c r="W671" i="1" s="1"/>
  <c r="AC785" i="1"/>
  <c r="AG91" i="1"/>
  <c r="T8" i="1"/>
  <c r="Z14" i="1"/>
  <c r="V14" i="1" s="1"/>
  <c r="Y4" i="1"/>
  <c r="AJ4" i="1" s="1"/>
  <c r="T5" i="1"/>
  <c r="AD50" i="1"/>
  <c r="AE50" i="1" s="1"/>
  <c r="AC80" i="1"/>
  <c r="AD89" i="1"/>
  <c r="AE89" i="1" s="1"/>
  <c r="Y92" i="1"/>
  <c r="AJ92" i="1" s="1"/>
  <c r="AG126" i="1"/>
  <c r="AG158" i="1"/>
  <c r="L271" i="1"/>
  <c r="S309" i="1"/>
  <c r="O361" i="1"/>
  <c r="AC365" i="1"/>
  <c r="T455" i="1"/>
  <c r="S456" i="1"/>
  <c r="Y473" i="1"/>
  <c r="AJ473" i="1" s="1"/>
  <c r="S477" i="1"/>
  <c r="T479" i="1"/>
  <c r="Y498" i="1"/>
  <c r="AJ498" i="1" s="1"/>
  <c r="AD515" i="1"/>
  <c r="AF515" i="1" s="1"/>
  <c r="T533" i="1"/>
  <c r="L580" i="1"/>
  <c r="S671" i="1"/>
  <c r="Q688" i="1"/>
  <c r="W688" i="1" s="1"/>
  <c r="S763" i="1"/>
  <c r="Z212" i="1"/>
  <c r="AA340" i="1"/>
  <c r="AG361" i="1"/>
  <c r="Z453" i="1"/>
  <c r="V453" i="1" s="1"/>
  <c r="AC539" i="1"/>
  <c r="O640" i="1"/>
  <c r="L669" i="1"/>
  <c r="O728" i="1"/>
  <c r="AF332" i="1"/>
  <c r="AE332" i="1"/>
  <c r="AB127" i="1"/>
  <c r="AF148" i="1"/>
  <c r="AF150" i="1"/>
  <c r="O169" i="1"/>
  <c r="T203" i="1"/>
  <c r="AE228" i="1"/>
  <c r="Y242" i="1"/>
  <c r="AJ242" i="1" s="1"/>
  <c r="AF301" i="1"/>
  <c r="O368" i="1"/>
  <c r="R435" i="1"/>
  <c r="L449" i="1"/>
  <c r="AE521" i="1"/>
  <c r="AE522" i="1"/>
  <c r="AC538" i="1"/>
  <c r="AC580" i="1"/>
  <c r="AE644" i="1"/>
  <c r="L656" i="1"/>
  <c r="AC686" i="1"/>
  <c r="AG706" i="1"/>
  <c r="AC710" i="1"/>
  <c r="AF798" i="1"/>
  <c r="AG13" i="1"/>
  <c r="Q15" i="1"/>
  <c r="W15" i="1" s="1"/>
  <c r="AF39" i="1"/>
  <c r="L81" i="1"/>
  <c r="AC127" i="1"/>
  <c r="Y160" i="1"/>
  <c r="AJ160" i="1" s="1"/>
  <c r="Q161" i="1"/>
  <c r="W161" i="1" s="1"/>
  <c r="Q169" i="1"/>
  <c r="W169" i="1" s="1"/>
  <c r="R170" i="1"/>
  <c r="O206" i="1"/>
  <c r="Z275" i="1"/>
  <c r="V275" i="1" s="1"/>
  <c r="S329" i="1"/>
  <c r="AC338" i="1"/>
  <c r="Q368" i="1"/>
  <c r="W368" i="1" s="1"/>
  <c r="S435" i="1"/>
  <c r="Q453" i="1"/>
  <c r="W453" i="1" s="1"/>
  <c r="AB478" i="1"/>
  <c r="AE493" i="1"/>
  <c r="AG501" i="1"/>
  <c r="O530" i="1"/>
  <c r="AD538" i="1"/>
  <c r="AG560" i="1"/>
  <c r="AF574" i="1"/>
  <c r="AD580" i="1"/>
  <c r="AF580" i="1" s="1"/>
  <c r="T621" i="1"/>
  <c r="S656" i="1"/>
  <c r="S15" i="1"/>
  <c r="X15" i="1" s="1"/>
  <c r="O81" i="1"/>
  <c r="Y130" i="1"/>
  <c r="AJ130" i="1" s="1"/>
  <c r="Y131" i="1"/>
  <c r="AJ131" i="1" s="1"/>
  <c r="R169" i="1"/>
  <c r="Q206" i="1"/>
  <c r="W206" i="1" s="1"/>
  <c r="AB275" i="1"/>
  <c r="Y311" i="1"/>
  <c r="AJ311" i="1" s="1"/>
  <c r="T329" i="1"/>
  <c r="O332" i="1"/>
  <c r="AG338" i="1"/>
  <c r="L365" i="1"/>
  <c r="R368" i="1"/>
  <c r="Y420" i="1"/>
  <c r="AJ420" i="1" s="1"/>
  <c r="T435" i="1"/>
  <c r="T449" i="1"/>
  <c r="R453" i="1"/>
  <c r="AC478" i="1"/>
  <c r="AC621" i="1"/>
  <c r="T656" i="1"/>
  <c r="AJ708" i="1"/>
  <c r="S746" i="1"/>
  <c r="AF755" i="1"/>
  <c r="O623" i="1"/>
  <c r="Y389" i="1"/>
  <c r="Q623" i="1"/>
  <c r="W623" i="1" s="1"/>
  <c r="AF633" i="1"/>
  <c r="AE756" i="1"/>
  <c r="AG161" i="1"/>
  <c r="L311" i="1"/>
  <c r="Y338" i="1"/>
  <c r="AJ338" i="1" s="1"/>
  <c r="T3" i="1"/>
  <c r="L9" i="1"/>
  <c r="Q14" i="1"/>
  <c r="W14" i="1" s="1"/>
  <c r="AE30" i="1"/>
  <c r="AF31" i="1"/>
  <c r="AE38" i="1"/>
  <c r="R49" i="1"/>
  <c r="L53" i="1"/>
  <c r="O55" i="1"/>
  <c r="AD81" i="1"/>
  <c r="AE81" i="1" s="1"/>
  <c r="Q85" i="1"/>
  <c r="W85" i="1" s="1"/>
  <c r="Q88" i="1"/>
  <c r="W88" i="1" s="1"/>
  <c r="S95" i="1"/>
  <c r="X95" i="1" s="1"/>
  <c r="L121" i="1"/>
  <c r="O134" i="1"/>
  <c r="R160" i="1"/>
  <c r="AA168" i="1"/>
  <c r="AD169" i="1"/>
  <c r="Q204" i="1"/>
  <c r="W204" i="1" s="1"/>
  <c r="AF252" i="1"/>
  <c r="O311" i="1"/>
  <c r="Y326" i="1"/>
  <c r="AJ326" i="1" s="1"/>
  <c r="AA332" i="1"/>
  <c r="Y360" i="1"/>
  <c r="AJ360" i="1" s="1"/>
  <c r="T365" i="1"/>
  <c r="AD368" i="1"/>
  <c r="AF368" i="1" s="1"/>
  <c r="R420" i="1"/>
  <c r="AC434" i="1"/>
  <c r="AC435" i="1"/>
  <c r="AA453" i="1"/>
  <c r="Q455" i="1"/>
  <c r="W455" i="1" s="1"/>
  <c r="AE469" i="1"/>
  <c r="L533" i="1"/>
  <c r="Y535" i="1"/>
  <c r="AJ535" i="1" s="1"/>
  <c r="R564" i="1"/>
  <c r="Q584" i="1"/>
  <c r="AG624" i="1"/>
  <c r="Q639" i="1"/>
  <c r="W639" i="1" s="1"/>
  <c r="AC656" i="1"/>
  <c r="Y767" i="1"/>
  <c r="AJ767" i="1" s="1"/>
  <c r="O786" i="1"/>
  <c r="Y53" i="1"/>
  <c r="AJ53" i="1" s="1"/>
  <c r="L130" i="1"/>
  <c r="AF224" i="1"/>
  <c r="R130" i="1"/>
  <c r="AC201" i="1"/>
  <c r="Z290" i="1"/>
  <c r="Q311" i="1"/>
  <c r="AC332" i="1"/>
  <c r="L338" i="1"/>
  <c r="Y364" i="1"/>
  <c r="AJ364" i="1" s="1"/>
  <c r="S420" i="1"/>
  <c r="AD435" i="1"/>
  <c r="AF435" i="1" s="1"/>
  <c r="R455" i="1"/>
  <c r="O533" i="1"/>
  <c r="Y539" i="1"/>
  <c r="AJ539" i="1" s="1"/>
  <c r="Q558" i="1"/>
  <c r="W558" i="1" s="1"/>
  <c r="Y560" i="1"/>
  <c r="AJ560" i="1" s="1"/>
  <c r="S564" i="1"/>
  <c r="Y580" i="1"/>
  <c r="T584" i="1"/>
  <c r="AC623" i="1"/>
  <c r="S639" i="1"/>
  <c r="AG656" i="1"/>
  <c r="R670" i="1"/>
  <c r="Y672" i="1"/>
  <c r="AJ672" i="1" s="1"/>
  <c r="R749" i="1"/>
  <c r="L767" i="1"/>
  <c r="R786" i="1"/>
  <c r="AF789" i="1"/>
  <c r="T332" i="1"/>
  <c r="Y85" i="1"/>
  <c r="AJ85" i="1" s="1"/>
  <c r="O129" i="1"/>
  <c r="T336" i="1"/>
  <c r="O338" i="1"/>
  <c r="AG623" i="1"/>
  <c r="Q767" i="1"/>
  <c r="W767" i="1" s="1"/>
  <c r="Q95" i="1"/>
  <c r="W95" i="1" s="1"/>
  <c r="Q160" i="1"/>
  <c r="W160" i="1" s="1"/>
  <c r="AG95" i="1"/>
  <c r="AD121" i="1"/>
  <c r="AF121" i="1" s="1"/>
  <c r="Y123" i="1"/>
  <c r="AJ123" i="1" s="1"/>
  <c r="Y127" i="1"/>
  <c r="AJ127" i="1" s="1"/>
  <c r="T129" i="1"/>
  <c r="AD134" i="1"/>
  <c r="AF134" i="1" s="1"/>
  <c r="Y167" i="1"/>
  <c r="AJ167" i="1" s="1"/>
  <c r="AJ170" i="1"/>
  <c r="Y207" i="1"/>
  <c r="AJ207" i="1" s="1"/>
  <c r="R211" i="1"/>
  <c r="R310" i="1"/>
  <c r="T311" i="1"/>
  <c r="Q338" i="1"/>
  <c r="W338" i="1" s="1"/>
  <c r="T360" i="1"/>
  <c r="AG365" i="1"/>
  <c r="AF372" i="1"/>
  <c r="T389" i="1"/>
  <c r="T539" i="1"/>
  <c r="AC558" i="1"/>
  <c r="R560" i="1"/>
  <c r="Z564" i="1"/>
  <c r="V564" i="1" s="1"/>
  <c r="R580" i="1"/>
  <c r="T672" i="1"/>
  <c r="Y686" i="1"/>
  <c r="Y706" i="1"/>
  <c r="AJ706" i="1" s="1"/>
  <c r="Y710" i="1"/>
  <c r="AJ710" i="1" s="1"/>
  <c r="Y729" i="1"/>
  <c r="AJ729" i="1" s="1"/>
  <c r="AC747" i="1"/>
  <c r="T749" i="1"/>
  <c r="AE795" i="1"/>
  <c r="T746" i="1"/>
  <c r="T763" i="1"/>
  <c r="AG311" i="1"/>
  <c r="L51" i="1"/>
  <c r="L93" i="1"/>
  <c r="S311" i="1"/>
  <c r="AG55" i="1"/>
  <c r="Q123" i="1"/>
  <c r="W123" i="1" s="1"/>
  <c r="AC132" i="1"/>
  <c r="AG160" i="1"/>
  <c r="S163" i="1"/>
  <c r="S211" i="1"/>
  <c r="X211" i="1" s="1"/>
  <c r="AC293" i="1"/>
  <c r="O326" i="1"/>
  <c r="R338" i="1"/>
  <c r="AF355" i="1"/>
  <c r="AE356" i="1"/>
  <c r="AC360" i="1"/>
  <c r="Z361" i="1"/>
  <c r="Z364" i="1"/>
  <c r="V364" i="1" s="1"/>
  <c r="AC367" i="1"/>
  <c r="AD389" i="1"/>
  <c r="AF389" i="1" s="1"/>
  <c r="T419" i="1"/>
  <c r="Y449" i="1"/>
  <c r="AJ449" i="1" s="1"/>
  <c r="Y478" i="1"/>
  <c r="Y501" i="1"/>
  <c r="AJ501" i="1" s="1"/>
  <c r="AJ509" i="1"/>
  <c r="Q538" i="1"/>
  <c r="W538" i="1" s="1"/>
  <c r="S560" i="1"/>
  <c r="AB564" i="1"/>
  <c r="S580" i="1"/>
  <c r="Y621" i="1"/>
  <c r="AJ621" i="1" s="1"/>
  <c r="O686" i="1"/>
  <c r="AC767" i="1"/>
  <c r="L160" i="1"/>
  <c r="Q53" i="1"/>
  <c r="W53" i="1" s="1"/>
  <c r="AF22" i="1"/>
  <c r="T130" i="1"/>
  <c r="L13" i="1"/>
  <c r="AA14" i="1"/>
  <c r="AC49" i="1"/>
  <c r="R51" i="1"/>
  <c r="AC55" i="1"/>
  <c r="T13" i="1"/>
  <c r="AD14" i="1"/>
  <c r="AF14" i="1" s="1"/>
  <c r="Y5" i="1"/>
  <c r="AJ5" i="1" s="1"/>
  <c r="O43" i="1"/>
  <c r="AC51" i="1"/>
  <c r="AJ55" i="1"/>
  <c r="AE69" i="1"/>
  <c r="Y81" i="1"/>
  <c r="AJ81" i="1" s="1"/>
  <c r="R127" i="1"/>
  <c r="AG130" i="1"/>
  <c r="L167" i="1"/>
  <c r="Y275" i="1"/>
  <c r="AJ275" i="1" s="1"/>
  <c r="AC311" i="1"/>
  <c r="R334" i="1"/>
  <c r="Y340" i="1"/>
  <c r="AJ340" i="1" s="1"/>
  <c r="AC362" i="1"/>
  <c r="AG364" i="1"/>
  <c r="AC391" i="1"/>
  <c r="T456" i="1"/>
  <c r="O478" i="1"/>
  <c r="AC481" i="1"/>
  <c r="O517" i="1"/>
  <c r="AB535" i="1"/>
  <c r="S538" i="1"/>
  <c r="T560" i="1"/>
  <c r="AD564" i="1"/>
  <c r="AE564" i="1" s="1"/>
  <c r="Y656" i="1"/>
  <c r="AJ656" i="1" s="1"/>
  <c r="T706" i="1"/>
  <c r="R710" i="1"/>
  <c r="AC749" i="1"/>
  <c r="O764" i="1"/>
  <c r="AC47" i="1"/>
  <c r="T47" i="1"/>
  <c r="R47" i="1"/>
  <c r="Q47" i="1"/>
  <c r="W47" i="1" s="1"/>
  <c r="O47" i="1"/>
  <c r="S7" i="1"/>
  <c r="AF25" i="1"/>
  <c r="AG7" i="1"/>
  <c r="Z7" i="1"/>
  <c r="V7" i="1" s="1"/>
  <c r="Q7" i="1"/>
  <c r="W7" i="1" s="1"/>
  <c r="AC7" i="1"/>
  <c r="AG11" i="1"/>
  <c r="Q8" i="1"/>
  <c r="W8" i="1" s="1"/>
  <c r="L8" i="1"/>
  <c r="AG8" i="1"/>
  <c r="Y8" i="1"/>
  <c r="AJ8" i="1" s="1"/>
  <c r="AC8" i="1"/>
  <c r="Y6" i="1"/>
  <c r="AJ6" i="1" s="1"/>
  <c r="S6" i="1"/>
  <c r="AG6" i="1"/>
  <c r="Q6" i="1"/>
  <c r="W6" i="1" s="1"/>
  <c r="AD6" i="1"/>
  <c r="L6" i="1"/>
  <c r="AC6" i="1"/>
  <c r="L7" i="1"/>
  <c r="AD16" i="1"/>
  <c r="AF16" i="1" s="1"/>
  <c r="AE65" i="1"/>
  <c r="AF65" i="1"/>
  <c r="Y10" i="1"/>
  <c r="AJ10" i="1" s="1"/>
  <c r="AG10" i="1"/>
  <c r="T10" i="1"/>
  <c r="L10" i="1"/>
  <c r="AC16" i="1"/>
  <c r="Z16" i="1"/>
  <c r="S16" i="1"/>
  <c r="X16" i="1" s="1"/>
  <c r="T16" i="1"/>
  <c r="Q16" i="1"/>
  <c r="W16" i="1" s="1"/>
  <c r="Y16" i="1"/>
  <c r="AJ16" i="1" s="1"/>
  <c r="AC54" i="1"/>
  <c r="Z54" i="1"/>
  <c r="R54" i="1"/>
  <c r="Q54" i="1"/>
  <c r="W54" i="1" s="1"/>
  <c r="AE82" i="1"/>
  <c r="AF82" i="1"/>
  <c r="S11" i="1"/>
  <c r="AC11" i="1"/>
  <c r="T11" i="1"/>
  <c r="L11" i="1"/>
  <c r="Q46" i="1"/>
  <c r="R46" i="1"/>
  <c r="L46" i="1"/>
  <c r="Y46" i="1"/>
  <c r="AJ46" i="1" s="1"/>
  <c r="AC46" i="1"/>
  <c r="R52" i="1"/>
  <c r="Y52" i="1"/>
  <c r="AJ52" i="1" s="1"/>
  <c r="L54" i="1"/>
  <c r="L15" i="1"/>
  <c r="T45" i="1"/>
  <c r="AB55" i="1"/>
  <c r="O85" i="1"/>
  <c r="AC87" i="1"/>
  <c r="AG122" i="1"/>
  <c r="S128" i="1"/>
  <c r="L129" i="1"/>
  <c r="AB134" i="1"/>
  <c r="L156" i="1"/>
  <c r="AC157" i="1"/>
  <c r="T159" i="1"/>
  <c r="AD165" i="1"/>
  <c r="AF165" i="1" s="1"/>
  <c r="AF180" i="1"/>
  <c r="R206" i="1"/>
  <c r="AG206" i="1"/>
  <c r="L206" i="1"/>
  <c r="AD206" i="1"/>
  <c r="AE206" i="1" s="1"/>
  <c r="Z206" i="1"/>
  <c r="V206" i="1" s="1"/>
  <c r="AG211" i="1"/>
  <c r="AG82" i="1"/>
  <c r="AD83" i="1"/>
  <c r="T128" i="1"/>
  <c r="O156" i="1"/>
  <c r="AG165" i="1"/>
  <c r="Z171" i="1"/>
  <c r="Y243" i="1"/>
  <c r="AJ243" i="1" s="1"/>
  <c r="Z404" i="1"/>
  <c r="T404" i="1"/>
  <c r="O404" i="1"/>
  <c r="L404" i="1"/>
  <c r="AC454" i="1"/>
  <c r="T454" i="1"/>
  <c r="R454" i="1"/>
  <c r="Q454" i="1"/>
  <c r="AD454" i="1"/>
  <c r="L747" i="1"/>
  <c r="L687" i="1"/>
  <c r="R85" i="1"/>
  <c r="Z89" i="1"/>
  <c r="V89" i="1" s="1"/>
  <c r="AC91" i="1"/>
  <c r="Y93" i="1"/>
  <c r="AJ93" i="1" s="1"/>
  <c r="AC121" i="1"/>
  <c r="S122" i="1"/>
  <c r="S124" i="1"/>
  <c r="R129" i="1"/>
  <c r="L134" i="1"/>
  <c r="AG134" i="1"/>
  <c r="O161" i="1"/>
  <c r="Z168" i="1"/>
  <c r="V168" i="1" s="1"/>
  <c r="Y199" i="1"/>
  <c r="AJ199" i="1" s="1"/>
  <c r="Y211" i="1"/>
  <c r="AJ211" i="1" s="1"/>
  <c r="L454" i="1"/>
  <c r="AC171" i="1"/>
  <c r="AD171" i="1"/>
  <c r="S369" i="1"/>
  <c r="X369" i="1" s="1"/>
  <c r="AB369" i="1"/>
  <c r="L369" i="1"/>
  <c r="Y369" i="1"/>
  <c r="AJ369" i="1" s="1"/>
  <c r="AG404" i="1"/>
  <c r="AC3" i="1"/>
  <c r="L5" i="1"/>
  <c r="AJ13" i="1"/>
  <c r="AG14" i="1"/>
  <c r="T15" i="1"/>
  <c r="AC43" i="1"/>
  <c r="R53" i="1"/>
  <c r="L80" i="1"/>
  <c r="Y82" i="1"/>
  <c r="AJ82" i="1" s="1"/>
  <c r="AC85" i="1"/>
  <c r="Y88" i="1"/>
  <c r="AJ88" i="1" s="1"/>
  <c r="AG121" i="1"/>
  <c r="L123" i="1"/>
  <c r="Y126" i="1"/>
  <c r="AJ126" i="1" s="1"/>
  <c r="AC128" i="1"/>
  <c r="S130" i="1"/>
  <c r="L131" i="1"/>
  <c r="AD133" i="1"/>
  <c r="AF133" i="1" s="1"/>
  <c r="R134" i="1"/>
  <c r="AC159" i="1"/>
  <c r="R161" i="1"/>
  <c r="L165" i="1"/>
  <c r="L166" i="1"/>
  <c r="T167" i="1"/>
  <c r="AD168" i="1"/>
  <c r="Q170" i="1"/>
  <c r="W170" i="1" s="1"/>
  <c r="L199" i="1"/>
  <c r="AG201" i="1"/>
  <c r="Q201" i="1"/>
  <c r="W201" i="1" s="1"/>
  <c r="O201" i="1"/>
  <c r="O211" i="1"/>
  <c r="Y212" i="1"/>
  <c r="AJ212" i="1" s="1"/>
  <c r="AG212" i="1"/>
  <c r="AF235" i="1"/>
  <c r="L256" i="1"/>
  <c r="AD257" i="1"/>
  <c r="AE257" i="1" s="1"/>
  <c r="AE606" i="1"/>
  <c r="AF606" i="1"/>
  <c r="AD3" i="1"/>
  <c r="AF3" i="1" s="1"/>
  <c r="O5" i="1"/>
  <c r="AD43" i="1"/>
  <c r="T53" i="1"/>
  <c r="L55" i="1"/>
  <c r="Y83" i="1"/>
  <c r="AJ83" i="1" s="1"/>
  <c r="Y89" i="1"/>
  <c r="AJ89" i="1" s="1"/>
  <c r="AC89" i="1"/>
  <c r="Y91" i="1"/>
  <c r="AJ91" i="1" s="1"/>
  <c r="AA95" i="1"/>
  <c r="Y121" i="1"/>
  <c r="AJ121" i="1" s="1"/>
  <c r="AD128" i="1"/>
  <c r="AC129" i="1"/>
  <c r="S131" i="1"/>
  <c r="Y133" i="1"/>
  <c r="AJ133" i="1" s="1"/>
  <c r="S134" i="1"/>
  <c r="X134" i="1" s="1"/>
  <c r="AC156" i="1"/>
  <c r="AD159" i="1"/>
  <c r="O165" i="1"/>
  <c r="T166" i="1"/>
  <c r="Y206" i="1"/>
  <c r="AJ206" i="1" s="1"/>
  <c r="O207" i="1"/>
  <c r="AD207" i="1"/>
  <c r="Q211" i="1"/>
  <c r="W211" i="1" s="1"/>
  <c r="Q243" i="1"/>
  <c r="W243" i="1" s="1"/>
  <c r="AF360" i="1"/>
  <c r="AE360" i="1"/>
  <c r="O82" i="1"/>
  <c r="O83" i="1"/>
  <c r="AD129" i="1"/>
  <c r="AF129" i="1" s="1"/>
  <c r="T134" i="1"/>
  <c r="AD156" i="1"/>
  <c r="AF156" i="1" s="1"/>
  <c r="Q165" i="1"/>
  <c r="W165" i="1" s="1"/>
  <c r="Y171" i="1"/>
  <c r="AJ171" i="1" s="1"/>
  <c r="S243" i="1"/>
  <c r="AC257" i="1"/>
  <c r="S257" i="1"/>
  <c r="Y257" i="1"/>
  <c r="AJ257" i="1" s="1"/>
  <c r="T257" i="1"/>
  <c r="L91" i="1"/>
  <c r="AG128" i="1"/>
  <c r="L133" i="1"/>
  <c r="Y159" i="1"/>
  <c r="AJ159" i="1" s="1"/>
  <c r="R165" i="1"/>
  <c r="AC168" i="1"/>
  <c r="L171" i="1"/>
  <c r="AC202" i="1"/>
  <c r="R213" i="1"/>
  <c r="S213" i="1"/>
  <c r="X213" i="1" s="1"/>
  <c r="T243" i="1"/>
  <c r="AC258" i="1"/>
  <c r="Y258" i="1"/>
  <c r="AJ258" i="1" s="1"/>
  <c r="T421" i="1"/>
  <c r="Y421" i="1"/>
  <c r="AJ421" i="1" s="1"/>
  <c r="AG421" i="1"/>
  <c r="AC421" i="1"/>
  <c r="Q421" i="1"/>
  <c r="AC452" i="1"/>
  <c r="R452" i="1"/>
  <c r="O452" i="1"/>
  <c r="L452" i="1"/>
  <c r="Y452" i="1"/>
  <c r="AJ452" i="1" s="1"/>
  <c r="AG452" i="1"/>
  <c r="S452" i="1"/>
  <c r="S563" i="1"/>
  <c r="R726" i="1"/>
  <c r="Y726" i="1"/>
  <c r="AJ726" i="1" s="1"/>
  <c r="AG726" i="1"/>
  <c r="T726" i="1"/>
  <c r="Q726" i="1"/>
  <c r="W726" i="1" s="1"/>
  <c r="AD726" i="1"/>
  <c r="AF726" i="1" s="1"/>
  <c r="S726" i="1"/>
  <c r="R55" i="1"/>
  <c r="AF64" i="1"/>
  <c r="T82" i="1"/>
  <c r="Q83" i="1"/>
  <c r="W83" i="1" s="1"/>
  <c r="AC15" i="1"/>
  <c r="AF36" i="1"/>
  <c r="AG43" i="1"/>
  <c r="Y50" i="1"/>
  <c r="AJ50" i="1" s="1"/>
  <c r="T55" i="1"/>
  <c r="AJ68" i="1"/>
  <c r="AG80" i="1"/>
  <c r="Z81" i="1"/>
  <c r="R83" i="1"/>
  <c r="H85" i="1"/>
  <c r="S88" i="1"/>
  <c r="L89" i="1"/>
  <c r="O91" i="1"/>
  <c r="R92" i="1"/>
  <c r="AF116" i="1"/>
  <c r="Q125" i="1"/>
  <c r="W125" i="1" s="1"/>
  <c r="R126" i="1"/>
  <c r="L127" i="1"/>
  <c r="Y128" i="1"/>
  <c r="AJ128" i="1" s="1"/>
  <c r="AD130" i="1"/>
  <c r="AF130" i="1" s="1"/>
  <c r="Q133" i="1"/>
  <c r="W133" i="1" s="1"/>
  <c r="AE145" i="1"/>
  <c r="Y156" i="1"/>
  <c r="AJ156" i="1" s="1"/>
  <c r="Q158" i="1"/>
  <c r="W158" i="1" s="1"/>
  <c r="Q171" i="1"/>
  <c r="W171" i="1" s="1"/>
  <c r="AD199" i="1"/>
  <c r="AE199" i="1" s="1"/>
  <c r="Y201" i="1"/>
  <c r="AJ201" i="1" s="1"/>
  <c r="S206" i="1"/>
  <c r="T211" i="1"/>
  <c r="T212" i="1"/>
  <c r="AF267" i="1"/>
  <c r="AE267" i="1"/>
  <c r="AD291" i="1"/>
  <c r="AE291" i="1" s="1"/>
  <c r="R421" i="1"/>
  <c r="Y436" i="1"/>
  <c r="AJ436" i="1" s="1"/>
  <c r="T436" i="1"/>
  <c r="R436" i="1"/>
  <c r="Q436" i="1"/>
  <c r="W436" i="1" s="1"/>
  <c r="O436" i="1"/>
  <c r="AF461" i="1"/>
  <c r="AE461" i="1"/>
  <c r="AC82" i="1"/>
  <c r="S83" i="1"/>
  <c r="L128" i="1"/>
  <c r="R133" i="1"/>
  <c r="L159" i="1"/>
  <c r="Z165" i="1"/>
  <c r="V165" i="1" s="1"/>
  <c r="L168" i="1"/>
  <c r="R171" i="1"/>
  <c r="T206" i="1"/>
  <c r="Q207" i="1"/>
  <c r="W207" i="1" s="1"/>
  <c r="AC243" i="1"/>
  <c r="L258" i="1"/>
  <c r="AG339" i="1"/>
  <c r="T339" i="1"/>
  <c r="AC339" i="1"/>
  <c r="Z339" i="1"/>
  <c r="T452" i="1"/>
  <c r="AF765" i="1"/>
  <c r="AE765" i="1"/>
  <c r="AD53" i="1"/>
  <c r="Q91" i="1"/>
  <c r="W91" i="1" s="1"/>
  <c r="AE37" i="1"/>
  <c r="Y43" i="1"/>
  <c r="AJ43" i="1" s="1"/>
  <c r="Q50" i="1"/>
  <c r="W50" i="1" s="1"/>
  <c r="AE63" i="1"/>
  <c r="AE73" i="1"/>
  <c r="Y87" i="1"/>
  <c r="AJ87" i="1" s="1"/>
  <c r="Q89" i="1"/>
  <c r="W89" i="1" s="1"/>
  <c r="S91" i="1"/>
  <c r="AA92" i="1"/>
  <c r="AF101" i="1"/>
  <c r="AD122" i="1"/>
  <c r="AC123" i="1"/>
  <c r="T126" i="1"/>
  <c r="Q132" i="1"/>
  <c r="W132" i="1" s="1"/>
  <c r="Z134" i="1"/>
  <c r="Q159" i="1"/>
  <c r="W159" i="1" s="1"/>
  <c r="Q168" i="1"/>
  <c r="W168" i="1" s="1"/>
  <c r="T171" i="1"/>
  <c r="AE185" i="1"/>
  <c r="T198" i="1"/>
  <c r="R207" i="1"/>
  <c r="T241" i="1"/>
  <c r="L241" i="1"/>
  <c r="AG243" i="1"/>
  <c r="L257" i="1"/>
  <c r="S258" i="1"/>
  <c r="O331" i="1"/>
  <c r="L331" i="1"/>
  <c r="AG331" i="1"/>
  <c r="AC331" i="1"/>
  <c r="R331" i="1"/>
  <c r="H15" i="1"/>
  <c r="AD15" i="1"/>
  <c r="AC5" i="1"/>
  <c r="S14" i="1"/>
  <c r="Y15" i="1"/>
  <c r="AJ15" i="1" s="1"/>
  <c r="Q13" i="1"/>
  <c r="W13" i="1" s="1"/>
  <c r="T14" i="1"/>
  <c r="AG15" i="1"/>
  <c r="H53" i="1"/>
  <c r="AA55" i="1"/>
  <c r="AG81" i="1"/>
  <c r="T91" i="1"/>
  <c r="AG92" i="1"/>
  <c r="L122" i="1"/>
  <c r="AD123" i="1"/>
  <c r="AF123" i="1" s="1"/>
  <c r="Q128" i="1"/>
  <c r="W128" i="1" s="1"/>
  <c r="Y134" i="1"/>
  <c r="AJ134" i="1" s="1"/>
  <c r="AA134" i="1"/>
  <c r="R168" i="1"/>
  <c r="AC170" i="1"/>
  <c r="S200" i="1"/>
  <c r="T200" i="1"/>
  <c r="S201" i="1"/>
  <c r="S207" i="1"/>
  <c r="AA213" i="1"/>
  <c r="AE234" i="1"/>
  <c r="Y241" i="1"/>
  <c r="AJ241" i="1" s="1"/>
  <c r="AF250" i="1"/>
  <c r="AE250" i="1"/>
  <c r="O257" i="1"/>
  <c r="T273" i="1"/>
  <c r="R273" i="1"/>
  <c r="Q273" i="1"/>
  <c r="W273" i="1" s="1"/>
  <c r="L273" i="1"/>
  <c r="AC309" i="1"/>
  <c r="T309" i="1"/>
  <c r="R309" i="1"/>
  <c r="AG309" i="1"/>
  <c r="L309" i="1"/>
  <c r="AD309" i="1"/>
  <c r="AF309" i="1" s="1"/>
  <c r="Y309" i="1"/>
  <c r="AJ309" i="1" s="1"/>
  <c r="Z309" i="1"/>
  <c r="V309" i="1" s="1"/>
  <c r="S331" i="1"/>
  <c r="AC436" i="1"/>
  <c r="AF588" i="1"/>
  <c r="AE588" i="1"/>
  <c r="L558" i="1"/>
  <c r="L435" i="1"/>
  <c r="L450" i="1"/>
  <c r="L420" i="1"/>
  <c r="Q310" i="1"/>
  <c r="W310" i="1" s="1"/>
  <c r="AD329" i="1"/>
  <c r="AJ391" i="1"/>
  <c r="AG405" i="1"/>
  <c r="AC542" i="1"/>
  <c r="O542" i="1"/>
  <c r="L542" i="1"/>
  <c r="L730" i="1"/>
  <c r="AF753" i="1"/>
  <c r="AE753" i="1"/>
  <c r="S783" i="1"/>
  <c r="R783" i="1"/>
  <c r="L783" i="1"/>
  <c r="Z621" i="1"/>
  <c r="L694" i="1"/>
  <c r="L521" i="1"/>
  <c r="Z644" i="1"/>
  <c r="Z792" i="1"/>
  <c r="Z611" i="1"/>
  <c r="Z590" i="1"/>
  <c r="Z754" i="1"/>
  <c r="AC500" i="1"/>
  <c r="R500" i="1"/>
  <c r="S561" i="1"/>
  <c r="Z561" i="1"/>
  <c r="V561" i="1" s="1"/>
  <c r="Y561" i="1"/>
  <c r="O600" i="1"/>
  <c r="AG637" i="1"/>
  <c r="AD637" i="1"/>
  <c r="O637" i="1"/>
  <c r="AF648" i="1"/>
  <c r="AE648" i="1"/>
  <c r="AC709" i="1"/>
  <c r="O709" i="1"/>
  <c r="AC727" i="1"/>
  <c r="T727" i="1"/>
  <c r="S727" i="1"/>
  <c r="R727" i="1"/>
  <c r="L727" i="1"/>
  <c r="Y727" i="1"/>
  <c r="H608" i="1"/>
  <c r="AG329" i="1"/>
  <c r="Q335" i="1"/>
  <c r="W335" i="1" s="1"/>
  <c r="L405" i="1"/>
  <c r="AE466" i="1"/>
  <c r="AD479" i="1"/>
  <c r="AF479" i="1" s="1"/>
  <c r="L479" i="1"/>
  <c r="AG500" i="1"/>
  <c r="Y637" i="1"/>
  <c r="Q709" i="1"/>
  <c r="W709" i="1" s="1"/>
  <c r="AE739" i="1"/>
  <c r="AB210" i="1"/>
  <c r="H206" i="1"/>
  <c r="L391" i="1"/>
  <c r="O405" i="1"/>
  <c r="AF414" i="1"/>
  <c r="AF424" i="1"/>
  <c r="Q474" i="1"/>
  <c r="W474" i="1" s="1"/>
  <c r="R499" i="1"/>
  <c r="AA499" i="1"/>
  <c r="S531" i="1"/>
  <c r="T531" i="1"/>
  <c r="L531" i="1"/>
  <c r="Y531" i="1"/>
  <c r="AJ531" i="1" s="1"/>
  <c r="R542" i="1"/>
  <c r="AE549" i="1"/>
  <c r="AF549" i="1"/>
  <c r="Q583" i="1"/>
  <c r="W583" i="1" s="1"/>
  <c r="AD585" i="1"/>
  <c r="AF585" i="1" s="1"/>
  <c r="T585" i="1"/>
  <c r="S585" i="1"/>
  <c r="Q585" i="1"/>
  <c r="W585" i="1" s="1"/>
  <c r="L600" i="1"/>
  <c r="Y603" i="1"/>
  <c r="AC603" i="1"/>
  <c r="T603" i="1"/>
  <c r="Q603" i="1"/>
  <c r="O603" i="1"/>
  <c r="AA606" i="1"/>
  <c r="AE609" i="1"/>
  <c r="AF609" i="1"/>
  <c r="R622" i="1"/>
  <c r="Q622" i="1"/>
  <c r="Y622" i="1"/>
  <c r="AJ622" i="1" s="1"/>
  <c r="AG653" i="1"/>
  <c r="AD653" i="1"/>
  <c r="AF653" i="1" s="1"/>
  <c r="T653" i="1"/>
  <c r="L653" i="1"/>
  <c r="L762" i="1"/>
  <c r="AD762" i="1"/>
  <c r="Z762" i="1"/>
  <c r="Y762" i="1"/>
  <c r="AJ762" i="1" s="1"/>
  <c r="T765" i="1"/>
  <c r="Z765" i="1"/>
  <c r="V765" i="1" s="1"/>
  <c r="AG765" i="1"/>
  <c r="L765" i="1"/>
  <c r="AC765" i="1"/>
  <c r="S765" i="1"/>
  <c r="R765" i="1"/>
  <c r="H533" i="1"/>
  <c r="Y274" i="1"/>
  <c r="AJ274" i="1" s="1"/>
  <c r="S275" i="1"/>
  <c r="Y293" i="1"/>
  <c r="AJ293" i="1" s="1"/>
  <c r="Y329" i="1"/>
  <c r="AJ329" i="1" s="1"/>
  <c r="AD338" i="1"/>
  <c r="AB340" i="1"/>
  <c r="AE352" i="1"/>
  <c r="S362" i="1"/>
  <c r="AE382" i="1"/>
  <c r="O391" i="1"/>
  <c r="Q405" i="1"/>
  <c r="W405" i="1" s="1"/>
  <c r="Y406" i="1"/>
  <c r="AJ406" i="1" s="1"/>
  <c r="AC453" i="1"/>
  <c r="AC476" i="1"/>
  <c r="AG479" i="1"/>
  <c r="AC501" i="1"/>
  <c r="S562" i="1"/>
  <c r="Y562" i="1"/>
  <c r="AJ562" i="1" s="1"/>
  <c r="AC606" i="1"/>
  <c r="L637" i="1"/>
  <c r="Y653" i="1"/>
  <c r="AJ653" i="1" s="1"/>
  <c r="AJ654" i="1"/>
  <c r="S687" i="1"/>
  <c r="T687" i="1"/>
  <c r="Y687" i="1"/>
  <c r="AJ687" i="1" s="1"/>
  <c r="AF694" i="1"/>
  <c r="AE694" i="1"/>
  <c r="AE697" i="1"/>
  <c r="AF697" i="1"/>
  <c r="AE734" i="1"/>
  <c r="H8" i="1"/>
  <c r="R274" i="1"/>
  <c r="AE277" i="1"/>
  <c r="AC326" i="1"/>
  <c r="H328" i="1"/>
  <c r="R330" i="1"/>
  <c r="H338" i="1"/>
  <c r="AF345" i="1"/>
  <c r="T362" i="1"/>
  <c r="R390" i="1"/>
  <c r="Q391" i="1"/>
  <c r="W391" i="1" s="1"/>
  <c r="S405" i="1"/>
  <c r="L406" i="1"/>
  <c r="AG456" i="1"/>
  <c r="L473" i="1"/>
  <c r="AD474" i="1"/>
  <c r="AE474" i="1" s="1"/>
  <c r="Y534" i="1"/>
  <c r="AJ534" i="1" s="1"/>
  <c r="AD534" i="1"/>
  <c r="AE534" i="1" s="1"/>
  <c r="Z534" i="1"/>
  <c r="V534" i="1" s="1"/>
  <c r="AF558" i="1"/>
  <c r="AC585" i="1"/>
  <c r="Z637" i="1"/>
  <c r="R655" i="1"/>
  <c r="AD655" i="1"/>
  <c r="Q655" i="1"/>
  <c r="L655" i="1"/>
  <c r="AF693" i="1"/>
  <c r="O727" i="1"/>
  <c r="AB622" i="1"/>
  <c r="AB203" i="1"/>
  <c r="S274" i="1"/>
  <c r="Q292" i="1"/>
  <c r="W292" i="1" s="1"/>
  <c r="S293" i="1"/>
  <c r="AD326" i="1"/>
  <c r="L329" i="1"/>
  <c r="L360" i="1"/>
  <c r="S391" i="1"/>
  <c r="R406" i="1"/>
  <c r="AC420" i="1"/>
  <c r="Y479" i="1"/>
  <c r="AJ479" i="1" s="1"/>
  <c r="L500" i="1"/>
  <c r="L515" i="1"/>
  <c r="R515" i="1"/>
  <c r="Z542" i="1"/>
  <c r="R558" i="1"/>
  <c r="Z558" i="1"/>
  <c r="V558" i="1" s="1"/>
  <c r="O558" i="1"/>
  <c r="AC562" i="1"/>
  <c r="AG584" i="1"/>
  <c r="S584" i="1"/>
  <c r="O584" i="1"/>
  <c r="L584" i="1"/>
  <c r="Z584" i="1"/>
  <c r="V584" i="1" s="1"/>
  <c r="AG585" i="1"/>
  <c r="L603" i="1"/>
  <c r="AC637" i="1"/>
  <c r="Q765" i="1"/>
  <c r="Q329" i="1"/>
  <c r="W329" i="1" s="1"/>
  <c r="T391" i="1"/>
  <c r="T481" i="1"/>
  <c r="Z498" i="1"/>
  <c r="T498" i="1"/>
  <c r="Q499" i="1"/>
  <c r="W499" i="1" s="1"/>
  <c r="O500" i="1"/>
  <c r="O531" i="1"/>
  <c r="AD542" i="1"/>
  <c r="AF542" i="1" s="1"/>
  <c r="R603" i="1"/>
  <c r="AG727" i="1"/>
  <c r="O762" i="1"/>
  <c r="H91" i="1"/>
  <c r="T500" i="1"/>
  <c r="R602" i="1"/>
  <c r="AG602" i="1"/>
  <c r="T602" i="1"/>
  <c r="AF673" i="1"/>
  <c r="AE673" i="1"/>
  <c r="L710" i="1"/>
  <c r="L787" i="1"/>
  <c r="Y787" i="1"/>
  <c r="AJ787" i="1" s="1"/>
  <c r="AC405" i="1"/>
  <c r="AE485" i="1"/>
  <c r="AE525" i="1"/>
  <c r="Q536" i="1"/>
  <c r="W536" i="1" s="1"/>
  <c r="R606" i="1"/>
  <c r="Z606" i="1"/>
  <c r="V606" i="1" s="1"/>
  <c r="O606" i="1"/>
  <c r="AG606" i="1"/>
  <c r="Y606" i="1"/>
  <c r="Q654" i="1"/>
  <c r="W654" i="1" s="1"/>
  <c r="AG654" i="1"/>
  <c r="AD654" i="1"/>
  <c r="AE654" i="1" s="1"/>
  <c r="AC654" i="1"/>
  <c r="T654" i="1"/>
  <c r="L654" i="1"/>
  <c r="AG705" i="1"/>
  <c r="AB705" i="1"/>
  <c r="AA705" i="1"/>
  <c r="AF758" i="1"/>
  <c r="AE758" i="1"/>
  <c r="AG762" i="1"/>
  <c r="T766" i="1"/>
  <c r="Q766" i="1"/>
  <c r="W766" i="1" s="1"/>
  <c r="Y766" i="1"/>
  <c r="AJ766" i="1" s="1"/>
  <c r="R787" i="1"/>
  <c r="H201" i="1"/>
  <c r="AG391" i="1"/>
  <c r="AE462" i="1"/>
  <c r="AE465" i="1"/>
  <c r="AG473" i="1"/>
  <c r="Q476" i="1"/>
  <c r="W476" i="1" s="1"/>
  <c r="Z515" i="1"/>
  <c r="V515" i="1" s="1"/>
  <c r="AD531" i="1"/>
  <c r="AF531" i="1" s="1"/>
  <c r="R535" i="1"/>
  <c r="AG535" i="1"/>
  <c r="AC535" i="1"/>
  <c r="Z535" i="1"/>
  <c r="V535" i="1" s="1"/>
  <c r="T535" i="1"/>
  <c r="S535" i="1"/>
  <c r="L602" i="1"/>
  <c r="T604" i="1"/>
  <c r="Y604" i="1"/>
  <c r="AJ604" i="1" s="1"/>
  <c r="O639" i="1"/>
  <c r="L639" i="1"/>
  <c r="Y639" i="1"/>
  <c r="AJ639" i="1" s="1"/>
  <c r="AC639" i="1"/>
  <c r="AF647" i="1"/>
  <c r="AE647" i="1"/>
  <c r="AC672" i="1"/>
  <c r="S672" i="1"/>
  <c r="R672" i="1"/>
  <c r="L672" i="1"/>
  <c r="AG672" i="1"/>
  <c r="AC685" i="1"/>
  <c r="AD685" i="1"/>
  <c r="AB685" i="1"/>
  <c r="AA685" i="1"/>
  <c r="L685" i="1"/>
  <c r="Y685" i="1"/>
  <c r="AJ685" i="1" s="1"/>
  <c r="Y705" i="1"/>
  <c r="AJ705" i="1" s="1"/>
  <c r="Y707" i="1"/>
  <c r="AJ707" i="1" s="1"/>
  <c r="Q707" i="1"/>
  <c r="W707" i="1" s="1"/>
  <c r="L707" i="1"/>
  <c r="AG707" i="1"/>
  <c r="AC707" i="1"/>
  <c r="S787" i="1"/>
  <c r="H562" i="1"/>
  <c r="T530" i="1"/>
  <c r="L539" i="1"/>
  <c r="T564" i="1"/>
  <c r="O579" i="1"/>
  <c r="Q580" i="1"/>
  <c r="W580" i="1" s="1"/>
  <c r="AC624" i="1"/>
  <c r="S640" i="1"/>
  <c r="AC669" i="1"/>
  <c r="R729" i="1"/>
  <c r="O730" i="1"/>
  <c r="AC763" i="1"/>
  <c r="S786" i="1"/>
  <c r="AF790" i="1"/>
  <c r="H539" i="1"/>
  <c r="AC517" i="1"/>
  <c r="AA538" i="1"/>
  <c r="Q539" i="1"/>
  <c r="W539" i="1" s="1"/>
  <c r="T559" i="1"/>
  <c r="R559" i="1"/>
  <c r="Y623" i="1"/>
  <c r="AJ623" i="1" s="1"/>
  <c r="AD669" i="1"/>
  <c r="T686" i="1"/>
  <c r="Y689" i="1"/>
  <c r="AJ689" i="1" s="1"/>
  <c r="L728" i="1"/>
  <c r="S729" i="1"/>
  <c r="Q730" i="1"/>
  <c r="W730" i="1" s="1"/>
  <c r="AD763" i="1"/>
  <c r="AE763" i="1" s="1"/>
  <c r="H707" i="1"/>
  <c r="Z624" i="1"/>
  <c r="V624" i="1" s="1"/>
  <c r="H160" i="1"/>
  <c r="AA765" i="1"/>
  <c r="AG763" i="1"/>
  <c r="AC786" i="1"/>
  <c r="L786" i="1"/>
  <c r="AC530" i="1"/>
  <c r="AA564" i="1"/>
  <c r="Z582" i="1"/>
  <c r="V582" i="1" s="1"/>
  <c r="L623" i="1"/>
  <c r="AG669" i="1"/>
  <c r="O671" i="1"/>
  <c r="R728" i="1"/>
  <c r="S730" i="1"/>
  <c r="L748" i="1"/>
  <c r="AG764" i="1"/>
  <c r="AG786" i="1"/>
  <c r="AE794" i="1"/>
  <c r="H391" i="1"/>
  <c r="H335" i="1"/>
  <c r="H6" i="1"/>
  <c r="Z774" i="1"/>
  <c r="AG640" i="1"/>
  <c r="Y640" i="1"/>
  <c r="AJ640" i="1" s="1"/>
  <c r="T730" i="1"/>
  <c r="Y763" i="1"/>
  <c r="AJ763" i="1" s="1"/>
  <c r="H213" i="1"/>
  <c r="L626" i="1"/>
  <c r="AC533" i="1"/>
  <c r="AC560" i="1"/>
  <c r="O560" i="1"/>
  <c r="Y564" i="1"/>
  <c r="AD621" i="1"/>
  <c r="S623" i="1"/>
  <c r="H669" i="1"/>
  <c r="AG728" i="1"/>
  <c r="AC730" i="1"/>
  <c r="Y764" i="1"/>
  <c r="AJ764" i="1" s="1"/>
  <c r="AB45" i="1"/>
  <c r="Y530" i="1"/>
  <c r="AJ530" i="1" s="1"/>
  <c r="Y533" i="1"/>
  <c r="AJ533" i="1" s="1"/>
  <c r="AG533" i="1"/>
  <c r="Z541" i="1"/>
  <c r="AG564" i="1"/>
  <c r="AE570" i="1"/>
  <c r="AJ642" i="1"/>
  <c r="R656" i="1"/>
  <c r="S688" i="1"/>
  <c r="AG730" i="1"/>
  <c r="L763" i="1"/>
  <c r="T767" i="1"/>
  <c r="R767" i="1"/>
  <c r="Y786" i="1"/>
  <c r="H52" i="1"/>
  <c r="H123" i="1"/>
  <c r="AA54" i="1"/>
  <c r="AB530" i="1"/>
  <c r="AC640" i="1"/>
  <c r="Q763" i="1"/>
  <c r="W763" i="1" s="1"/>
  <c r="H362" i="1"/>
  <c r="AB404" i="1"/>
  <c r="L716" i="1"/>
  <c r="L629" i="1"/>
  <c r="H531" i="1"/>
  <c r="H126" i="1"/>
  <c r="Z763" i="1"/>
  <c r="V763" i="1" s="1"/>
  <c r="H653" i="1"/>
  <c r="H498" i="1"/>
  <c r="AB6" i="1"/>
  <c r="H45" i="1"/>
  <c r="Z501" i="1"/>
  <c r="V501" i="1" s="1"/>
  <c r="H538" i="1"/>
  <c r="AB653" i="1"/>
  <c r="H729" i="1"/>
  <c r="H530" i="1"/>
  <c r="H127" i="1"/>
  <c r="AB290" i="1"/>
  <c r="AF12" i="1"/>
  <c r="AE12" i="1"/>
  <c r="AJ30" i="1"/>
  <c r="AF104" i="1"/>
  <c r="AE104" i="1"/>
  <c r="I4" i="1"/>
  <c r="AH3" i="1"/>
  <c r="AJ14" i="1"/>
  <c r="I44" i="1"/>
  <c r="AH43" i="1"/>
  <c r="AE105" i="1"/>
  <c r="AF105" i="1"/>
  <c r="W49" i="1"/>
  <c r="T28" i="1"/>
  <c r="AC71" i="1"/>
  <c r="O71" i="1"/>
  <c r="AD71" i="1"/>
  <c r="AA71" i="1"/>
  <c r="O84" i="1"/>
  <c r="Z84" i="1"/>
  <c r="V84" i="1" s="1"/>
  <c r="R84" i="1"/>
  <c r="Y84" i="1"/>
  <c r="AJ84" i="1" s="1"/>
  <c r="AB192" i="1"/>
  <c r="AD192" i="1"/>
  <c r="AC192" i="1"/>
  <c r="Z192" i="1"/>
  <c r="T192" i="1"/>
  <c r="AA192" i="1"/>
  <c r="O192" i="1"/>
  <c r="L192" i="1"/>
  <c r="R17" i="1"/>
  <c r="T17" i="1"/>
  <c r="AG17" i="1"/>
  <c r="AE34" i="1"/>
  <c r="Y86" i="1"/>
  <c r="AJ86" i="1" s="1"/>
  <c r="Z86" i="1"/>
  <c r="V86" i="1" s="1"/>
  <c r="O86" i="1"/>
  <c r="Y94" i="1"/>
  <c r="AJ94" i="1" s="1"/>
  <c r="AD94" i="1"/>
  <c r="Q94" i="1"/>
  <c r="W94" i="1" s="1"/>
  <c r="Z94" i="1"/>
  <c r="AG94" i="1"/>
  <c r="T94" i="1"/>
  <c r="Y7" i="1"/>
  <c r="AJ7" i="1" s="1"/>
  <c r="Y9" i="1"/>
  <c r="AJ9" i="1" s="1"/>
  <c r="AC10" i="1"/>
  <c r="L12" i="1"/>
  <c r="AC12" i="1"/>
  <c r="L14" i="1"/>
  <c r="AB14" i="1"/>
  <c r="AC23" i="1"/>
  <c r="AB24" i="1"/>
  <c r="Z26" i="1"/>
  <c r="T29" i="1"/>
  <c r="AG38" i="1"/>
  <c r="L44" i="1"/>
  <c r="Y51" i="1"/>
  <c r="AJ51" i="1" s="1"/>
  <c r="S51" i="1"/>
  <c r="AG51" i="1"/>
  <c r="L52" i="1"/>
  <c r="AC52" i="1"/>
  <c r="S54" i="1"/>
  <c r="X54" i="1" s="1"/>
  <c r="AG54" i="1"/>
  <c r="T54" i="1"/>
  <c r="AF70" i="1"/>
  <c r="AB71" i="1"/>
  <c r="Y90" i="1"/>
  <c r="AJ90" i="1" s="1"/>
  <c r="R90" i="1"/>
  <c r="Q90" i="1"/>
  <c r="AE99" i="1"/>
  <c r="AF114" i="1"/>
  <c r="AF33" i="1"/>
  <c r="S48" i="1"/>
  <c r="O3" i="1"/>
  <c r="AD21" i="1"/>
  <c r="T48" i="1"/>
  <c r="AG48" i="1"/>
  <c r="AD67" i="1"/>
  <c r="R6" i="1"/>
  <c r="AB8" i="1"/>
  <c r="R8" i="1"/>
  <c r="Q10" i="1"/>
  <c r="Y11" i="1"/>
  <c r="AJ11" i="1" s="1"/>
  <c r="Q12" i="1"/>
  <c r="AC14" i="1"/>
  <c r="L16" i="1"/>
  <c r="AD23" i="1"/>
  <c r="AC24" i="1"/>
  <c r="AB25" i="1"/>
  <c r="AA26" i="1"/>
  <c r="AA27" i="1"/>
  <c r="Z28" i="1"/>
  <c r="L31" i="1"/>
  <c r="L39" i="1"/>
  <c r="L43" i="1"/>
  <c r="T51" i="1"/>
  <c r="Q55" i="1"/>
  <c r="W55" i="1" s="1"/>
  <c r="AD55" i="1"/>
  <c r="AB61" i="1"/>
  <c r="O61" i="1"/>
  <c r="AA61" i="1"/>
  <c r="Q92" i="1"/>
  <c r="AC94" i="1"/>
  <c r="R95" i="1"/>
  <c r="Z104" i="1"/>
  <c r="AE108" i="1"/>
  <c r="AF108" i="1"/>
  <c r="AC111" i="1"/>
  <c r="AD111" i="1"/>
  <c r="AB111" i="1"/>
  <c r="T111" i="1"/>
  <c r="L111" i="1"/>
  <c r="AC141" i="1"/>
  <c r="Z141" i="1"/>
  <c r="T141" i="1"/>
  <c r="O141" i="1"/>
  <c r="L141" i="1"/>
  <c r="AD141" i="1"/>
  <c r="AB141" i="1"/>
  <c r="AH157" i="1"/>
  <c r="I158" i="1"/>
  <c r="R10" i="1"/>
  <c r="L35" i="1"/>
  <c r="L38" i="1"/>
  <c r="Z50" i="1"/>
  <c r="V50" i="1" s="1"/>
  <c r="Q52" i="1"/>
  <c r="AB66" i="1"/>
  <c r="AA66" i="1"/>
  <c r="L68" i="1"/>
  <c r="L72" i="1"/>
  <c r="I82" i="1"/>
  <c r="AC86" i="1"/>
  <c r="L87" i="1"/>
  <c r="AC99" i="1"/>
  <c r="AB99" i="1"/>
  <c r="AF102" i="1"/>
  <c r="AE102" i="1"/>
  <c r="Q124" i="1"/>
  <c r="R124" i="1"/>
  <c r="O124" i="1"/>
  <c r="AC124" i="1"/>
  <c r="L124" i="1"/>
  <c r="Y124" i="1"/>
  <c r="AJ124" i="1" s="1"/>
  <c r="T124" i="1"/>
  <c r="AE127" i="1"/>
  <c r="AF142" i="1"/>
  <c r="AE142" i="1"/>
  <c r="Y162" i="1"/>
  <c r="AJ162" i="1" s="1"/>
  <c r="O162" i="1"/>
  <c r="T162" i="1"/>
  <c r="R162" i="1"/>
  <c r="S162" i="1"/>
  <c r="Q162" i="1"/>
  <c r="L162" i="1"/>
  <c r="AG162" i="1"/>
  <c r="AC162" i="1"/>
  <c r="T27" i="1"/>
  <c r="R12" i="1"/>
  <c r="Y17" i="1"/>
  <c r="AJ17" i="1" s="1"/>
  <c r="AC26" i="1"/>
  <c r="AB27" i="1"/>
  <c r="AA28" i="1"/>
  <c r="S10" i="1"/>
  <c r="Z11" i="1"/>
  <c r="V11" i="1" s="1"/>
  <c r="S12" i="1"/>
  <c r="R14" i="1"/>
  <c r="R16" i="1"/>
  <c r="AE24" i="1"/>
  <c r="AD26" i="1"/>
  <c r="AC27" i="1"/>
  <c r="AB28" i="1"/>
  <c r="AA29" i="1"/>
  <c r="T31" i="1"/>
  <c r="T32" i="1"/>
  <c r="L34" i="1"/>
  <c r="AD44" i="1"/>
  <c r="Y45" i="1"/>
  <c r="AJ45" i="1" s="1"/>
  <c r="S46" i="1"/>
  <c r="T46" i="1"/>
  <c r="Y48" i="1"/>
  <c r="AJ48" i="1" s="1"/>
  <c r="S49" i="1"/>
  <c r="AG49" i="1"/>
  <c r="W51" i="1"/>
  <c r="Y54" i="1"/>
  <c r="AJ54" i="1" s="1"/>
  <c r="S55" i="1"/>
  <c r="X55" i="1" s="1"/>
  <c r="T59" i="1"/>
  <c r="AE62" i="1"/>
  <c r="AC66" i="1"/>
  <c r="O72" i="1"/>
  <c r="Z75" i="1"/>
  <c r="AG75" i="1"/>
  <c r="AC75" i="1"/>
  <c r="L75" i="1"/>
  <c r="AD75" i="1"/>
  <c r="L76" i="1"/>
  <c r="AG83" i="1"/>
  <c r="T83" i="1"/>
  <c r="AC83" i="1"/>
  <c r="L83" i="1"/>
  <c r="AC84" i="1"/>
  <c r="O88" i="1"/>
  <c r="R88" i="1"/>
  <c r="AC88" i="1"/>
  <c r="AC90" i="1"/>
  <c r="S92" i="1"/>
  <c r="S93" i="1"/>
  <c r="X93" i="1" s="1"/>
  <c r="AD93" i="1"/>
  <c r="Q93" i="1"/>
  <c r="W93" i="1" s="1"/>
  <c r="H93" i="1"/>
  <c r="AG93" i="1"/>
  <c r="R93" i="1"/>
  <c r="O93" i="1"/>
  <c r="AE103" i="1"/>
  <c r="T26" i="1"/>
  <c r="T12" i="1"/>
  <c r="AG12" i="1"/>
  <c r="L21" i="1"/>
  <c r="AD27" i="1"/>
  <c r="AC28" i="1"/>
  <c r="T33" i="1"/>
  <c r="T38" i="1"/>
  <c r="AC39" i="1"/>
  <c r="L50" i="1"/>
  <c r="AG52" i="1"/>
  <c r="T52" i="1"/>
  <c r="S52" i="1"/>
  <c r="L60" i="1"/>
  <c r="AA60" i="1"/>
  <c r="AB65" i="1"/>
  <c r="L65" i="1"/>
  <c r="AA65" i="1"/>
  <c r="Z65" i="1"/>
  <c r="AD66" i="1"/>
  <c r="T76" i="1"/>
  <c r="Q87" i="1"/>
  <c r="AD90" i="1"/>
  <c r="L94" i="1"/>
  <c r="Y108" i="1"/>
  <c r="AJ108" i="1" s="1"/>
  <c r="AG68" i="1"/>
  <c r="AD68" i="1"/>
  <c r="T68" i="1"/>
  <c r="Z68" i="1"/>
  <c r="L70" i="1"/>
  <c r="L86" i="1"/>
  <c r="AG86" i="1"/>
  <c r="AG90" i="1"/>
  <c r="O94" i="1"/>
  <c r="L100" i="1"/>
  <c r="AD100" i="1"/>
  <c r="AC100" i="1"/>
  <c r="O100" i="1"/>
  <c r="AB110" i="1"/>
  <c r="AD110" i="1"/>
  <c r="AC110" i="1"/>
  <c r="AA110" i="1"/>
  <c r="O110" i="1"/>
  <c r="AC35" i="1"/>
  <c r="Z35" i="1"/>
  <c r="Z38" i="1"/>
  <c r="AA68" i="1"/>
  <c r="O70" i="1"/>
  <c r="AB72" i="1"/>
  <c r="AC72" i="1"/>
  <c r="T72" i="1"/>
  <c r="AA72" i="1"/>
  <c r="AJ75" i="1"/>
  <c r="AA76" i="1"/>
  <c r="L84" i="1"/>
  <c r="AG84" i="1"/>
  <c r="Q86" i="1"/>
  <c r="L90" i="1"/>
  <c r="R94" i="1"/>
  <c r="AC95" i="1"/>
  <c r="O95" i="1"/>
  <c r="Z95" i="1"/>
  <c r="AD95" i="1"/>
  <c r="L95" i="1"/>
  <c r="L103" i="1"/>
  <c r="O103" i="1"/>
  <c r="AC103" i="1"/>
  <c r="AA103" i="1"/>
  <c r="L104" i="1"/>
  <c r="T104" i="1"/>
  <c r="O104" i="1"/>
  <c r="AC104" i="1"/>
  <c r="AA104" i="1"/>
  <c r="T105" i="1"/>
  <c r="O105" i="1"/>
  <c r="AC105" i="1"/>
  <c r="AA105" i="1"/>
  <c r="AE112" i="1"/>
  <c r="AF112" i="1"/>
  <c r="Z114" i="1"/>
  <c r="T114" i="1"/>
  <c r="O114" i="1"/>
  <c r="L114" i="1"/>
  <c r="AC114" i="1"/>
  <c r="AB114" i="1"/>
  <c r="Z17" i="1"/>
  <c r="AA35" i="1"/>
  <c r="AF5" i="1"/>
  <c r="R7" i="1"/>
  <c r="Q9" i="1"/>
  <c r="Q11" i="1"/>
  <c r="AD11" i="1"/>
  <c r="Y12" i="1"/>
  <c r="AJ12" i="1" s="1"/>
  <c r="L17" i="1"/>
  <c r="T22" i="1"/>
  <c r="AF28" i="1"/>
  <c r="AF29" i="1"/>
  <c r="AA33" i="1"/>
  <c r="AA34" i="1"/>
  <c r="AB35" i="1"/>
  <c r="AA38" i="1"/>
  <c r="AB39" i="1"/>
  <c r="AD45" i="1"/>
  <c r="Y47" i="1"/>
  <c r="AJ47" i="1" s="1"/>
  <c r="AB47" i="1"/>
  <c r="L47" i="1"/>
  <c r="S47" i="1"/>
  <c r="AG47" i="1"/>
  <c r="L48" i="1"/>
  <c r="O53" i="1"/>
  <c r="S53" i="1"/>
  <c r="X53" i="1" s="1"/>
  <c r="AG53" i="1"/>
  <c r="AB59" i="1"/>
  <c r="AD60" i="1"/>
  <c r="O64" i="1"/>
  <c r="Z64" i="1"/>
  <c r="AA64" i="1"/>
  <c r="T67" i="1"/>
  <c r="AB68" i="1"/>
  <c r="T70" i="1"/>
  <c r="L71" i="1"/>
  <c r="AD72" i="1"/>
  <c r="Q84" i="1"/>
  <c r="R86" i="1"/>
  <c r="O90" i="1"/>
  <c r="AB92" i="1"/>
  <c r="O92" i="1"/>
  <c r="Z92" i="1"/>
  <c r="V92" i="1" s="1"/>
  <c r="AD92" i="1"/>
  <c r="L92" i="1"/>
  <c r="AC93" i="1"/>
  <c r="S94" i="1"/>
  <c r="X94" i="1" s="1"/>
  <c r="L99" i="1"/>
  <c r="AF106" i="1"/>
  <c r="L110" i="1"/>
  <c r="S17" i="1"/>
  <c r="X17" i="1" s="1"/>
  <c r="AA17" i="1"/>
  <c r="T21" i="1"/>
  <c r="S9" i="1"/>
  <c r="R9" i="1"/>
  <c r="R11" i="1"/>
  <c r="T24" i="1"/>
  <c r="AB34" i="1"/>
  <c r="AD35" i="1"/>
  <c r="Q45" i="1"/>
  <c r="O48" i="1"/>
  <c r="AC48" i="1"/>
  <c r="S50" i="1"/>
  <c r="H50" i="1"/>
  <c r="T50" i="1"/>
  <c r="AG50" i="1"/>
  <c r="T71" i="1"/>
  <c r="AB76" i="1"/>
  <c r="O76" i="1"/>
  <c r="AD76" i="1"/>
  <c r="S84" i="1"/>
  <c r="S86" i="1"/>
  <c r="S87" i="1"/>
  <c r="AG87" i="1"/>
  <c r="R87" i="1"/>
  <c r="Z87" i="1"/>
  <c r="V87" i="1" s="1"/>
  <c r="T110" i="1"/>
  <c r="AC17" i="1"/>
  <c r="T23" i="1"/>
  <c r="L26" i="1"/>
  <c r="AB38" i="1"/>
  <c r="T7" i="1"/>
  <c r="T9" i="1"/>
  <c r="AG9" i="1"/>
  <c r="S13" i="1"/>
  <c r="R13" i="1"/>
  <c r="Q17" i="1"/>
  <c r="W17" i="1" s="1"/>
  <c r="AD17" i="1"/>
  <c r="Z23" i="1"/>
  <c r="L27" i="1"/>
  <c r="AD32" i="1"/>
  <c r="AC34" i="1"/>
  <c r="O44" i="1"/>
  <c r="Q48" i="1"/>
  <c r="O51" i="1"/>
  <c r="AD51" i="1"/>
  <c r="O54" i="1"/>
  <c r="AD54" i="1"/>
  <c r="Z55" i="1"/>
  <c r="AD59" i="1"/>
  <c r="AC64" i="1"/>
  <c r="L74" i="1"/>
  <c r="AA74" i="1"/>
  <c r="AB74" i="1"/>
  <c r="AD74" i="1"/>
  <c r="T84" i="1"/>
  <c r="T86" i="1"/>
  <c r="AA87" i="1"/>
  <c r="T90" i="1"/>
  <c r="AC92" i="1"/>
  <c r="Y95" i="1"/>
  <c r="AJ95" i="1" s="1"/>
  <c r="AB95" i="1"/>
  <c r="T99" i="1"/>
  <c r="AJ116" i="1"/>
  <c r="I122" i="1"/>
  <c r="AG124" i="1"/>
  <c r="AC45" i="1"/>
  <c r="L45" i="1"/>
  <c r="S45" i="1"/>
  <c r="AG45" i="1"/>
  <c r="R48" i="1"/>
  <c r="L67" i="1"/>
  <c r="AC67" i="1"/>
  <c r="AA67" i="1"/>
  <c r="AA70" i="1"/>
  <c r="AC70" i="1"/>
  <c r="Z71" i="1"/>
  <c r="AB87" i="1"/>
  <c r="AF117" i="1"/>
  <c r="AE117" i="1"/>
  <c r="AE175" i="1"/>
  <c r="AF175" i="1"/>
  <c r="AG209" i="1"/>
  <c r="Y209" i="1"/>
  <c r="AJ209" i="1" s="1"/>
  <c r="S209" i="1"/>
  <c r="R209" i="1"/>
  <c r="Q209" i="1"/>
  <c r="AC209" i="1"/>
  <c r="T209" i="1"/>
  <c r="L209" i="1"/>
  <c r="H209" i="1"/>
  <c r="AB113" i="1"/>
  <c r="Z113" i="1"/>
  <c r="L125" i="1"/>
  <c r="AC125" i="1"/>
  <c r="O131" i="1"/>
  <c r="AG131" i="1"/>
  <c r="AD132" i="1"/>
  <c r="L138" i="1"/>
  <c r="AC146" i="1"/>
  <c r="O146" i="1"/>
  <c r="Z146" i="1"/>
  <c r="L149" i="1"/>
  <c r="O157" i="1"/>
  <c r="L163" i="1"/>
  <c r="Q166" i="1"/>
  <c r="Y202" i="1"/>
  <c r="AJ202" i="1" s="1"/>
  <c r="AG202" i="1"/>
  <c r="T202" i="1"/>
  <c r="R202" i="1"/>
  <c r="Q202" i="1"/>
  <c r="O202" i="1"/>
  <c r="L202" i="1"/>
  <c r="AB202" i="1"/>
  <c r="S202" i="1"/>
  <c r="AH256" i="1"/>
  <c r="I257" i="1"/>
  <c r="AB69" i="1"/>
  <c r="Y80" i="1"/>
  <c r="AJ80" i="1" s="1"/>
  <c r="S85" i="1"/>
  <c r="AG85" i="1"/>
  <c r="T85" i="1"/>
  <c r="AB102" i="1"/>
  <c r="O102" i="1"/>
  <c r="AC106" i="1"/>
  <c r="AD107" i="1"/>
  <c r="AA112" i="1"/>
  <c r="AA113" i="1"/>
  <c r="AD115" i="1"/>
  <c r="O125" i="1"/>
  <c r="Q127" i="1"/>
  <c r="O132" i="1"/>
  <c r="AC139" i="1"/>
  <c r="AA139" i="1"/>
  <c r="AA146" i="1"/>
  <c r="AF147" i="1"/>
  <c r="O149" i="1"/>
  <c r="T157" i="1"/>
  <c r="R163" i="1"/>
  <c r="L179" i="1"/>
  <c r="AB184" i="1"/>
  <c r="L184" i="1"/>
  <c r="AD184" i="1"/>
  <c r="AC184" i="1"/>
  <c r="AA184" i="1"/>
  <c r="O184" i="1"/>
  <c r="AF219" i="1"/>
  <c r="AE219" i="1"/>
  <c r="AF223" i="1"/>
  <c r="AE223" i="1"/>
  <c r="AD113" i="1"/>
  <c r="AB123" i="1"/>
  <c r="R125" i="1"/>
  <c r="T127" i="1"/>
  <c r="S127" i="1"/>
  <c r="AG127" i="1"/>
  <c r="T131" i="1"/>
  <c r="AD131" i="1"/>
  <c r="Q131" i="1"/>
  <c r="R132" i="1"/>
  <c r="AG132" i="1"/>
  <c r="AD139" i="1"/>
  <c r="AD146" i="1"/>
  <c r="S164" i="1"/>
  <c r="AB164" i="1"/>
  <c r="Q164" i="1"/>
  <c r="Z164" i="1"/>
  <c r="V164" i="1" s="1"/>
  <c r="Y164" i="1"/>
  <c r="AJ164" i="1" s="1"/>
  <c r="AA164" i="1"/>
  <c r="R204" i="1"/>
  <c r="Y204" i="1"/>
  <c r="AJ204" i="1" s="1"/>
  <c r="AG204" i="1"/>
  <c r="T204" i="1"/>
  <c r="L204" i="1"/>
  <c r="AC204" i="1"/>
  <c r="AB204" i="1"/>
  <c r="AA204" i="1"/>
  <c r="H204" i="1"/>
  <c r="S204" i="1"/>
  <c r="O204" i="1"/>
  <c r="AF211" i="1"/>
  <c r="AE211" i="1"/>
  <c r="AF249" i="1"/>
  <c r="AE249" i="1"/>
  <c r="S125" i="1"/>
  <c r="AG125" i="1"/>
  <c r="AC138" i="1"/>
  <c r="AD138" i="1"/>
  <c r="L176" i="1"/>
  <c r="AB176" i="1"/>
  <c r="AA176" i="1"/>
  <c r="O176" i="1"/>
  <c r="AD176" i="1"/>
  <c r="AC190" i="1"/>
  <c r="T190" i="1"/>
  <c r="O190" i="1"/>
  <c r="L190" i="1"/>
  <c r="AA190" i="1"/>
  <c r="L132" i="1"/>
  <c r="Y132" i="1"/>
  <c r="AJ132" i="1" s="1"/>
  <c r="T132" i="1"/>
  <c r="AF140" i="1"/>
  <c r="AA149" i="1"/>
  <c r="AC149" i="1"/>
  <c r="L157" i="1"/>
  <c r="Y157" i="1"/>
  <c r="AJ157" i="1" s="1"/>
  <c r="AD157" i="1"/>
  <c r="AE164" i="1"/>
  <c r="AF164" i="1"/>
  <c r="AE177" i="1"/>
  <c r="AF177" i="1"/>
  <c r="AE179" i="1"/>
  <c r="L193" i="1"/>
  <c r="AD193" i="1"/>
  <c r="Y193" i="1"/>
  <c r="AJ193" i="1" s="1"/>
  <c r="AA193" i="1"/>
  <c r="AG193" i="1"/>
  <c r="AC193" i="1"/>
  <c r="O193" i="1"/>
  <c r="AB138" i="1"/>
  <c r="Z143" i="1"/>
  <c r="AB143" i="1"/>
  <c r="O143" i="1"/>
  <c r="AA143" i="1"/>
  <c r="AD149" i="1"/>
  <c r="AG157" i="1"/>
  <c r="AB163" i="1"/>
  <c r="O163" i="1"/>
  <c r="Z163" i="1"/>
  <c r="V163" i="1" s="1"/>
  <c r="Q163" i="1"/>
  <c r="AC163" i="1"/>
  <c r="Y166" i="1"/>
  <c r="AJ166" i="1" s="1"/>
  <c r="R166" i="1"/>
  <c r="AD166" i="1"/>
  <c r="O166" i="1"/>
  <c r="O187" i="1"/>
  <c r="T187" i="1"/>
  <c r="L187" i="1"/>
  <c r="AD187" i="1"/>
  <c r="AA187" i="1"/>
  <c r="S210" i="1"/>
  <c r="AC210" i="1"/>
  <c r="L210" i="1"/>
  <c r="T210" i="1"/>
  <c r="R210" i="1"/>
  <c r="Q210" i="1"/>
  <c r="AG210" i="1"/>
  <c r="Y210" i="1"/>
  <c r="AJ210" i="1" s="1"/>
  <c r="L107" i="1"/>
  <c r="AD109" i="1"/>
  <c r="Z36" i="1"/>
  <c r="T36" i="1"/>
  <c r="AB73" i="1"/>
  <c r="Z73" i="1"/>
  <c r="L82" i="1"/>
  <c r="O107" i="1"/>
  <c r="L108" i="1"/>
  <c r="Z109" i="1"/>
  <c r="AB117" i="1"/>
  <c r="O117" i="1"/>
  <c r="R123" i="1"/>
  <c r="Q129" i="1"/>
  <c r="Z131" i="1"/>
  <c r="V131" i="1" s="1"/>
  <c r="Z133" i="1"/>
  <c r="AG133" i="1"/>
  <c r="T133" i="1"/>
  <c r="AC133" i="1"/>
  <c r="O133" i="1"/>
  <c r="AC143" i="1"/>
  <c r="Z151" i="1"/>
  <c r="AD151" i="1"/>
  <c r="Y151" i="1"/>
  <c r="AJ151" i="1" s="1"/>
  <c r="O151" i="1"/>
  <c r="AC151" i="1"/>
  <c r="AE152" i="1"/>
  <c r="AC166" i="1"/>
  <c r="L203" i="1"/>
  <c r="Q203" i="1"/>
  <c r="Z203" i="1"/>
  <c r="V203" i="1" s="1"/>
  <c r="AG203" i="1"/>
  <c r="R203" i="1"/>
  <c r="O203" i="1"/>
  <c r="AC203" i="1"/>
  <c r="Y203" i="1"/>
  <c r="AJ203" i="1" s="1"/>
  <c r="S203" i="1"/>
  <c r="T123" i="1"/>
  <c r="S123" i="1"/>
  <c r="Y125" i="1"/>
  <c r="AJ125" i="1" s="1"/>
  <c r="H132" i="1"/>
  <c r="AD143" i="1"/>
  <c r="AA163" i="1"/>
  <c r="Z190" i="1"/>
  <c r="T193" i="1"/>
  <c r="AB109" i="1"/>
  <c r="L113" i="1"/>
  <c r="L115" i="1"/>
  <c r="Z115" i="1"/>
  <c r="Z127" i="1"/>
  <c r="V127" i="1" s="1"/>
  <c r="AB131" i="1"/>
  <c r="L139" i="1"/>
  <c r="AE144" i="1"/>
  <c r="L146" i="1"/>
  <c r="L147" i="1"/>
  <c r="AA147" i="1"/>
  <c r="L164" i="1"/>
  <c r="AG166" i="1"/>
  <c r="T176" i="1"/>
  <c r="AF183" i="1"/>
  <c r="L189" i="1"/>
  <c r="AD189" i="1"/>
  <c r="AB189" i="1"/>
  <c r="AA189" i="1"/>
  <c r="T189" i="1"/>
  <c r="AB190" i="1"/>
  <c r="Z193" i="1"/>
  <c r="AH198" i="1"/>
  <c r="I199" i="1"/>
  <c r="AF225" i="1"/>
  <c r="AE225" i="1"/>
  <c r="AB106" i="1"/>
  <c r="AA107" i="1"/>
  <c r="AC109" i="1"/>
  <c r="O113" i="1"/>
  <c r="AA115" i="1"/>
  <c r="AA127" i="1"/>
  <c r="Y129" i="1"/>
  <c r="AJ129" i="1" s="1"/>
  <c r="S129" i="1"/>
  <c r="AC131" i="1"/>
  <c r="O139" i="1"/>
  <c r="T146" i="1"/>
  <c r="AB147" i="1"/>
  <c r="Y158" i="1"/>
  <c r="AJ158" i="1" s="1"/>
  <c r="AB158" i="1"/>
  <c r="T158" i="1"/>
  <c r="Y163" i="1"/>
  <c r="AJ163" i="1" s="1"/>
  <c r="R164" i="1"/>
  <c r="AB179" i="1"/>
  <c r="AC179" i="1"/>
  <c r="AA179" i="1"/>
  <c r="O179" i="1"/>
  <c r="AD190" i="1"/>
  <c r="AB193" i="1"/>
  <c r="AC198" i="1"/>
  <c r="Y198" i="1"/>
  <c r="AJ198" i="1" s="1"/>
  <c r="L198" i="1"/>
  <c r="AD198" i="1"/>
  <c r="O198" i="1"/>
  <c r="AA219" i="1"/>
  <c r="AC219" i="1"/>
  <c r="AB219" i="1"/>
  <c r="T219" i="1"/>
  <c r="O219" i="1"/>
  <c r="L219" i="1"/>
  <c r="Z219" i="1"/>
  <c r="AE251" i="1"/>
  <c r="AF251" i="1"/>
  <c r="I291" i="1"/>
  <c r="AH290" i="1"/>
  <c r="AC150" i="1"/>
  <c r="T150" i="1"/>
  <c r="Y165" i="1"/>
  <c r="AJ165" i="1" s="1"/>
  <c r="S165" i="1"/>
  <c r="T165" i="1"/>
  <c r="AC175" i="1"/>
  <c r="AC183" i="1"/>
  <c r="Y185" i="1"/>
  <c r="AJ185" i="1" s="1"/>
  <c r="AD191" i="1"/>
  <c r="AC194" i="1"/>
  <c r="AA194" i="1"/>
  <c r="H199" i="1"/>
  <c r="AC199" i="1"/>
  <c r="AA200" i="1"/>
  <c r="L211" i="1"/>
  <c r="H211" i="1"/>
  <c r="AB217" i="1"/>
  <c r="AC230" i="1"/>
  <c r="AA234" i="1"/>
  <c r="AC234" i="1"/>
  <c r="AB234" i="1"/>
  <c r="Z234" i="1"/>
  <c r="O235" i="1"/>
  <c r="AB249" i="1"/>
  <c r="AG251" i="1"/>
  <c r="Y260" i="1"/>
  <c r="AJ260" i="1" s="1"/>
  <c r="AC263" i="1"/>
  <c r="Y263" i="1"/>
  <c r="AJ263" i="1" s="1"/>
  <c r="Z263" i="1"/>
  <c r="L263" i="1"/>
  <c r="AD263" i="1"/>
  <c r="T263" i="1"/>
  <c r="O263" i="1"/>
  <c r="AB296" i="1"/>
  <c r="O296" i="1"/>
  <c r="L296" i="1"/>
  <c r="AA296" i="1"/>
  <c r="Z296" i="1"/>
  <c r="AD272" i="1"/>
  <c r="R272" i="1"/>
  <c r="AC272" i="1"/>
  <c r="O272" i="1"/>
  <c r="Z272" i="1"/>
  <c r="V272" i="1" s="1"/>
  <c r="Y272" i="1"/>
  <c r="AJ272" i="1" s="1"/>
  <c r="AA272" i="1"/>
  <c r="T272" i="1"/>
  <c r="S272" i="1"/>
  <c r="AB300" i="1"/>
  <c r="AA300" i="1"/>
  <c r="O300" i="1"/>
  <c r="L300" i="1"/>
  <c r="AD300" i="1"/>
  <c r="AC300" i="1"/>
  <c r="Z300" i="1"/>
  <c r="T300" i="1"/>
  <c r="T62" i="1"/>
  <c r="T63" i="1"/>
  <c r="S89" i="1"/>
  <c r="R89" i="1"/>
  <c r="Z121" i="1"/>
  <c r="AC142" i="1"/>
  <c r="T142" i="1"/>
  <c r="AG145" i="1"/>
  <c r="Z150" i="1"/>
  <c r="S159" i="1"/>
  <c r="AG159" i="1"/>
  <c r="H165" i="1"/>
  <c r="Y168" i="1"/>
  <c r="AJ168" i="1" s="1"/>
  <c r="Y169" i="1"/>
  <c r="AJ169" i="1" s="1"/>
  <c r="S169" i="1"/>
  <c r="X169" i="1" s="1"/>
  <c r="T169" i="1"/>
  <c r="AG169" i="1"/>
  <c r="L170" i="1"/>
  <c r="L178" i="1"/>
  <c r="L180" i="1"/>
  <c r="Z180" i="1"/>
  <c r="AA181" i="1"/>
  <c r="AC182" i="1"/>
  <c r="AD194" i="1"/>
  <c r="AC200" i="1"/>
  <c r="AD221" i="1"/>
  <c r="AA221" i="1"/>
  <c r="AC221" i="1"/>
  <c r="AA227" i="1"/>
  <c r="L227" i="1"/>
  <c r="AC227" i="1"/>
  <c r="AD232" i="1"/>
  <c r="AC232" i="1"/>
  <c r="AB232" i="1"/>
  <c r="O233" i="1"/>
  <c r="AG245" i="1"/>
  <c r="AC245" i="1"/>
  <c r="AB245" i="1"/>
  <c r="AA245" i="1"/>
  <c r="O247" i="1"/>
  <c r="AJ251" i="1"/>
  <c r="L260" i="1"/>
  <c r="AE261" i="1"/>
  <c r="AG213" i="1"/>
  <c r="T213" i="1"/>
  <c r="T233" i="1"/>
  <c r="S242" i="1"/>
  <c r="AG242" i="1"/>
  <c r="T242" i="1"/>
  <c r="Z242" i="1"/>
  <c r="V242" i="1" s="1"/>
  <c r="AA249" i="1"/>
  <c r="O249" i="1"/>
  <c r="Z256" i="1"/>
  <c r="Y256" i="1"/>
  <c r="AJ256" i="1" s="1"/>
  <c r="AD256" i="1"/>
  <c r="AC256" i="1"/>
  <c r="T296" i="1"/>
  <c r="L246" i="1"/>
  <c r="AD246" i="1"/>
  <c r="AC246" i="1"/>
  <c r="AB246" i="1"/>
  <c r="AF259" i="1"/>
  <c r="AE259" i="1"/>
  <c r="AA260" i="1"/>
  <c r="L272" i="1"/>
  <c r="O188" i="1"/>
  <c r="Q200" i="1"/>
  <c r="AG200" i="1"/>
  <c r="Y213" i="1"/>
  <c r="AJ213" i="1" s="1"/>
  <c r="O222" i="1"/>
  <c r="T235" i="1"/>
  <c r="AB235" i="1"/>
  <c r="AA235" i="1"/>
  <c r="Z235" i="1"/>
  <c r="T236" i="1"/>
  <c r="Z247" i="1"/>
  <c r="AB260" i="1"/>
  <c r="AE265" i="1"/>
  <c r="Q272" i="1"/>
  <c r="AE296" i="1"/>
  <c r="AF296" i="1"/>
  <c r="W311" i="1"/>
  <c r="AC321" i="1"/>
  <c r="Y321" i="1"/>
  <c r="AJ321" i="1" s="1"/>
  <c r="L321" i="1"/>
  <c r="AG321" i="1"/>
  <c r="AD321" i="1"/>
  <c r="O321" i="1"/>
  <c r="AB321" i="1"/>
  <c r="AA321" i="1"/>
  <c r="Z321" i="1"/>
  <c r="R128" i="1"/>
  <c r="S160" i="1"/>
  <c r="AB160" i="1"/>
  <c r="O160" i="1"/>
  <c r="T160" i="1"/>
  <c r="L161" i="1"/>
  <c r="O167" i="1"/>
  <c r="S167" i="1"/>
  <c r="AG167" i="1"/>
  <c r="S170" i="1"/>
  <c r="X170" i="1" s="1"/>
  <c r="Z178" i="1"/>
  <c r="AF181" i="1"/>
  <c r="AC211" i="1"/>
  <c r="Z213" i="1"/>
  <c r="L217" i="1"/>
  <c r="AD218" i="1"/>
  <c r="AC218" i="1"/>
  <c r="AB218" i="1"/>
  <c r="AA218" i="1"/>
  <c r="AD226" i="1"/>
  <c r="O226" i="1"/>
  <c r="L226" i="1"/>
  <c r="AB226" i="1"/>
  <c r="Y227" i="1"/>
  <c r="AJ227" i="1" s="1"/>
  <c r="AG227" i="1"/>
  <c r="L230" i="1"/>
  <c r="L234" i="1"/>
  <c r="AC242" i="1"/>
  <c r="O248" i="1"/>
  <c r="T251" i="1"/>
  <c r="T258" i="1"/>
  <c r="AG258" i="1"/>
  <c r="R258" i="1"/>
  <c r="Q258" i="1"/>
  <c r="O258" i="1"/>
  <c r="AD233" i="1"/>
  <c r="AC233" i="1"/>
  <c r="AB233" i="1"/>
  <c r="AA233" i="1"/>
  <c r="I243" i="1"/>
  <c r="AH242" i="1"/>
  <c r="Z260" i="1"/>
  <c r="O260" i="1"/>
  <c r="T260" i="1"/>
  <c r="AG260" i="1"/>
  <c r="AD260" i="1"/>
  <c r="I272" i="1"/>
  <c r="AH271" i="1"/>
  <c r="T280" i="1"/>
  <c r="AD280" i="1"/>
  <c r="AC280" i="1"/>
  <c r="AB280" i="1"/>
  <c r="AA280" i="1"/>
  <c r="Z280" i="1"/>
  <c r="O280" i="1"/>
  <c r="L294" i="1"/>
  <c r="AG294" i="1"/>
  <c r="Y294" i="1"/>
  <c r="AJ294" i="1" s="1"/>
  <c r="H294" i="1"/>
  <c r="AD294" i="1"/>
  <c r="AA294" i="1"/>
  <c r="Z294" i="1"/>
  <c r="AA188" i="1"/>
  <c r="AD200" i="1"/>
  <c r="R200" i="1"/>
  <c r="AB213" i="1"/>
  <c r="T220" i="1"/>
  <c r="AB220" i="1"/>
  <c r="AA220" i="1"/>
  <c r="AD220" i="1"/>
  <c r="AF229" i="1"/>
  <c r="AE229" i="1"/>
  <c r="L242" i="1"/>
  <c r="AF242" i="1"/>
  <c r="AF244" i="1"/>
  <c r="AE244" i="1"/>
  <c r="AC247" i="1"/>
  <c r="L247" i="1"/>
  <c r="AD247" i="1"/>
  <c r="O256" i="1"/>
  <c r="AE262" i="1"/>
  <c r="O182" i="1"/>
  <c r="AE186" i="1"/>
  <c r="AB188" i="1"/>
  <c r="L213" i="1"/>
  <c r="AC213" i="1"/>
  <c r="AD222" i="1"/>
  <c r="AC222" i="1"/>
  <c r="Z222" i="1"/>
  <c r="AG236" i="1"/>
  <c r="AD236" i="1"/>
  <c r="Y236" i="1"/>
  <c r="AJ236" i="1" s="1"/>
  <c r="AA236" i="1"/>
  <c r="Z236" i="1"/>
  <c r="AE241" i="1"/>
  <c r="L249" i="1"/>
  <c r="T256" i="1"/>
  <c r="AF317" i="1"/>
  <c r="AE317" i="1"/>
  <c r="Y161" i="1"/>
  <c r="AJ161" i="1" s="1"/>
  <c r="S161" i="1"/>
  <c r="T161" i="1"/>
  <c r="S168" i="1"/>
  <c r="AB168" i="1"/>
  <c r="O168" i="1"/>
  <c r="T168" i="1"/>
  <c r="AB171" i="1"/>
  <c r="O171" i="1"/>
  <c r="S171" i="1"/>
  <c r="X171" i="1" s="1"/>
  <c r="AG171" i="1"/>
  <c r="AB175" i="1"/>
  <c r="AF178" i="1"/>
  <c r="T182" i="1"/>
  <c r="AB183" i="1"/>
  <c r="AC188" i="1"/>
  <c r="AB191" i="1"/>
  <c r="AC191" i="1"/>
  <c r="Z191" i="1"/>
  <c r="L207" i="1"/>
  <c r="T207" i="1"/>
  <c r="O213" i="1"/>
  <c r="AD213" i="1"/>
  <c r="T231" i="1"/>
  <c r="AD231" i="1"/>
  <c r="AC231" i="1"/>
  <c r="AC241" i="1"/>
  <c r="Z241" i="1"/>
  <c r="AG241" i="1"/>
  <c r="Q242" i="1"/>
  <c r="AB244" i="1"/>
  <c r="Y244" i="1"/>
  <c r="AJ244" i="1" s="1"/>
  <c r="AA244" i="1"/>
  <c r="Z244" i="1"/>
  <c r="O246" i="1"/>
  <c r="T249" i="1"/>
  <c r="AG272" i="1"/>
  <c r="L280" i="1"/>
  <c r="L349" i="1"/>
  <c r="AD349" i="1"/>
  <c r="Y349" i="1"/>
  <c r="AJ349" i="1" s="1"/>
  <c r="Z349" i="1"/>
  <c r="T349" i="1"/>
  <c r="O349" i="1"/>
  <c r="AG349" i="1"/>
  <c r="AC349" i="1"/>
  <c r="AA349" i="1"/>
  <c r="AD188" i="1"/>
  <c r="Y200" i="1"/>
  <c r="AJ200" i="1" s="1"/>
  <c r="Z200" i="1"/>
  <c r="V200" i="1" s="1"/>
  <c r="Q213" i="1"/>
  <c r="W213" i="1" s="1"/>
  <c r="AD217" i="1"/>
  <c r="AC217" i="1"/>
  <c r="AA217" i="1"/>
  <c r="AD230" i="1"/>
  <c r="O230" i="1"/>
  <c r="AB230" i="1"/>
  <c r="L235" i="1"/>
  <c r="R242" i="1"/>
  <c r="T246" i="1"/>
  <c r="AB248" i="1"/>
  <c r="AA248" i="1"/>
  <c r="L248" i="1"/>
  <c r="AG248" i="1"/>
  <c r="Y248" i="1"/>
  <c r="AJ248" i="1" s="1"/>
  <c r="AD248" i="1"/>
  <c r="Z249" i="1"/>
  <c r="AA251" i="1"/>
  <c r="O251" i="1"/>
  <c r="L251" i="1"/>
  <c r="S291" i="1"/>
  <c r="H291" i="1"/>
  <c r="Z291" i="1"/>
  <c r="V291" i="1" s="1"/>
  <c r="T291" i="1"/>
  <c r="R291" i="1"/>
  <c r="Q291" i="1"/>
  <c r="AG291" i="1"/>
  <c r="AC291" i="1"/>
  <c r="Y291" i="1"/>
  <c r="AJ291" i="1" s="1"/>
  <c r="T294" i="1"/>
  <c r="AF318" i="1"/>
  <c r="AE318" i="1"/>
  <c r="T314" i="1"/>
  <c r="T317" i="1"/>
  <c r="L327" i="1"/>
  <c r="O327" i="1"/>
  <c r="AD327" i="1"/>
  <c r="AC327" i="1"/>
  <c r="T330" i="1"/>
  <c r="AB337" i="1"/>
  <c r="O337" i="1"/>
  <c r="AG337" i="1"/>
  <c r="T337" i="1"/>
  <c r="AC337" i="1"/>
  <c r="L337" i="1"/>
  <c r="AD337" i="1"/>
  <c r="Z337" i="1"/>
  <c r="V337" i="1" s="1"/>
  <c r="Y337" i="1"/>
  <c r="AJ337" i="1" s="1"/>
  <c r="AD237" i="1"/>
  <c r="T237" i="1"/>
  <c r="Z264" i="1"/>
  <c r="O264" i="1"/>
  <c r="AB264" i="1"/>
  <c r="AD275" i="1"/>
  <c r="AJ276" i="1"/>
  <c r="AD278" i="1"/>
  <c r="AB278" i="1"/>
  <c r="AA278" i="1"/>
  <c r="Z278" i="1"/>
  <c r="L290" i="1"/>
  <c r="AC292" i="1"/>
  <c r="H295" i="1"/>
  <c r="AG295" i="1"/>
  <c r="AC303" i="1"/>
  <c r="AG303" i="1"/>
  <c r="Y303" i="1"/>
  <c r="AJ303" i="1" s="1"/>
  <c r="AD303" i="1"/>
  <c r="AG310" i="1"/>
  <c r="L322" i="1"/>
  <c r="AC328" i="1"/>
  <c r="AG328" i="1"/>
  <c r="R328" i="1"/>
  <c r="L328" i="1"/>
  <c r="Z328" i="1"/>
  <c r="V328" i="1" s="1"/>
  <c r="O336" i="1"/>
  <c r="T223" i="1"/>
  <c r="AC264" i="1"/>
  <c r="AG285" i="1"/>
  <c r="Z285" i="1"/>
  <c r="T285" i="1"/>
  <c r="O285" i="1"/>
  <c r="L285" i="1"/>
  <c r="AC285" i="1"/>
  <c r="AD292" i="1"/>
  <c r="AA314" i="1"/>
  <c r="Z317" i="1"/>
  <c r="T322" i="1"/>
  <c r="Y327" i="1"/>
  <c r="AJ327" i="1" s="1"/>
  <c r="R336" i="1"/>
  <c r="Q122" i="1"/>
  <c r="Q126" i="1"/>
  <c r="Q130" i="1"/>
  <c r="Q134" i="1"/>
  <c r="W134" i="1" s="1"/>
  <c r="L201" i="1"/>
  <c r="L212" i="1"/>
  <c r="T224" i="1"/>
  <c r="T225" i="1"/>
  <c r="L243" i="1"/>
  <c r="AD264" i="1"/>
  <c r="AE266" i="1"/>
  <c r="Q274" i="1"/>
  <c r="AG274" i="1"/>
  <c r="Q275" i="1"/>
  <c r="AG281" i="1"/>
  <c r="AC281" i="1"/>
  <c r="Y281" i="1"/>
  <c r="AJ281" i="1" s="1"/>
  <c r="AD281" i="1"/>
  <c r="Z281" i="1"/>
  <c r="AA283" i="1"/>
  <c r="AB283" i="1"/>
  <c r="AD283" i="1"/>
  <c r="AD285" i="1"/>
  <c r="T290" i="1"/>
  <c r="L292" i="1"/>
  <c r="L298" i="1"/>
  <c r="AC298" i="1"/>
  <c r="AD298" i="1"/>
  <c r="AB298" i="1"/>
  <c r="AA298" i="1"/>
  <c r="I309" i="1"/>
  <c r="L310" i="1"/>
  <c r="S336" i="1"/>
  <c r="Q337" i="1"/>
  <c r="Z314" i="1"/>
  <c r="AB314" i="1"/>
  <c r="AD314" i="1"/>
  <c r="AC317" i="1"/>
  <c r="Y317" i="1"/>
  <c r="AJ317" i="1" s="1"/>
  <c r="AA317" i="1"/>
  <c r="O317" i="1"/>
  <c r="AG317" i="1"/>
  <c r="T327" i="1"/>
  <c r="S330" i="1"/>
  <c r="L330" i="1"/>
  <c r="H330" i="1"/>
  <c r="T407" i="1"/>
  <c r="O407" i="1"/>
  <c r="L407" i="1"/>
  <c r="AG407" i="1"/>
  <c r="Y407" i="1"/>
  <c r="AJ407" i="1" s="1"/>
  <c r="AD407" i="1"/>
  <c r="AB407" i="1"/>
  <c r="AA407" i="1"/>
  <c r="Z407" i="1"/>
  <c r="AC407" i="1"/>
  <c r="T156" i="1"/>
  <c r="T185" i="1"/>
  <c r="T186" i="1"/>
  <c r="R201" i="1"/>
  <c r="AD212" i="1"/>
  <c r="R212" i="1"/>
  <c r="S212" i="1"/>
  <c r="X212" i="1" s="1"/>
  <c r="AC223" i="1"/>
  <c r="T228" i="1"/>
  <c r="T229" i="1"/>
  <c r="AC237" i="1"/>
  <c r="R243" i="1"/>
  <c r="L250" i="1"/>
  <c r="Z250" i="1"/>
  <c r="AA262" i="1"/>
  <c r="Z262" i="1"/>
  <c r="T271" i="1"/>
  <c r="AA279" i="1"/>
  <c r="AD279" i="1"/>
  <c r="AC279" i="1"/>
  <c r="AB279" i="1"/>
  <c r="T282" i="1"/>
  <c r="Z284" i="1"/>
  <c r="R292" i="1"/>
  <c r="T295" i="1"/>
  <c r="L297" i="1"/>
  <c r="AG299" i="1"/>
  <c r="AB299" i="1"/>
  <c r="Y299" i="1"/>
  <c r="AJ299" i="1" s="1"/>
  <c r="AC299" i="1"/>
  <c r="AC312" i="1"/>
  <c r="T312" i="1"/>
  <c r="O312" i="1"/>
  <c r="L312" i="1"/>
  <c r="AB312" i="1"/>
  <c r="AB318" i="1"/>
  <c r="AE319" i="1"/>
  <c r="Y328" i="1"/>
  <c r="AJ328" i="1" s="1"/>
  <c r="Y330" i="1"/>
  <c r="AJ330" i="1" s="1"/>
  <c r="AG330" i="1"/>
  <c r="AB332" i="1"/>
  <c r="L332" i="1"/>
  <c r="Y332" i="1"/>
  <c r="AJ332" i="1" s="1"/>
  <c r="S332" i="1"/>
  <c r="AG332" i="1"/>
  <c r="R332" i="1"/>
  <c r="Q332" i="1"/>
  <c r="Z332" i="1"/>
  <c r="V332" i="1" s="1"/>
  <c r="S334" i="1"/>
  <c r="Y334" i="1"/>
  <c r="AJ334" i="1" s="1"/>
  <c r="T334" i="1"/>
  <c r="AG334" i="1"/>
  <c r="Q334" i="1"/>
  <c r="O334" i="1"/>
  <c r="AD334" i="1"/>
  <c r="L334" i="1"/>
  <c r="AC334" i="1"/>
  <c r="L274" i="1"/>
  <c r="AA275" i="1"/>
  <c r="L275" i="1"/>
  <c r="AB284" i="1"/>
  <c r="AJ285" i="1"/>
  <c r="AG290" i="1"/>
  <c r="Y290" i="1"/>
  <c r="AJ290" i="1" s="1"/>
  <c r="AD290" i="1"/>
  <c r="AG293" i="1"/>
  <c r="T293" i="1"/>
  <c r="R293" i="1"/>
  <c r="Q293" i="1"/>
  <c r="AA297" i="1"/>
  <c r="AE299" i="1"/>
  <c r="AF299" i="1"/>
  <c r="AA302" i="1"/>
  <c r="AC318" i="1"/>
  <c r="Z327" i="1"/>
  <c r="AA337" i="1"/>
  <c r="Z344" i="1"/>
  <c r="AD344" i="1"/>
  <c r="O344" i="1"/>
  <c r="L344" i="1"/>
  <c r="AB344" i="1"/>
  <c r="AB297" i="1"/>
  <c r="AB302" i="1"/>
  <c r="AD322" i="1"/>
  <c r="O322" i="1"/>
  <c r="Y335" i="1"/>
  <c r="AJ335" i="1" s="1"/>
  <c r="AG335" i="1"/>
  <c r="T335" i="1"/>
  <c r="AC335" i="1"/>
  <c r="O335" i="1"/>
  <c r="R335" i="1"/>
  <c r="L335" i="1"/>
  <c r="AB335" i="1"/>
  <c r="T284" i="1"/>
  <c r="AA284" i="1"/>
  <c r="L284" i="1"/>
  <c r="AD284" i="1"/>
  <c r="Z318" i="1"/>
  <c r="AA318" i="1"/>
  <c r="L318" i="1"/>
  <c r="T318" i="1"/>
  <c r="O318" i="1"/>
  <c r="O330" i="1"/>
  <c r="Y271" i="1"/>
  <c r="AJ271" i="1" s="1"/>
  <c r="AC271" i="1"/>
  <c r="AD271" i="1"/>
  <c r="AD282" i="1"/>
  <c r="AB282" i="1"/>
  <c r="AC282" i="1"/>
  <c r="Y292" i="1"/>
  <c r="AJ292" i="1" s="1"/>
  <c r="T292" i="1"/>
  <c r="L295" i="1"/>
  <c r="AB295" i="1"/>
  <c r="AD297" i="1"/>
  <c r="T297" i="1"/>
  <c r="O297" i="1"/>
  <c r="L302" i="1"/>
  <c r="AD302" i="1"/>
  <c r="AC302" i="1"/>
  <c r="T310" i="1"/>
  <c r="AC310" i="1"/>
  <c r="Y310" i="1"/>
  <c r="AJ310" i="1" s="1"/>
  <c r="L314" i="1"/>
  <c r="AG327" i="1"/>
  <c r="Q330" i="1"/>
  <c r="Q336" i="1"/>
  <c r="L336" i="1"/>
  <c r="AC336" i="1"/>
  <c r="Y336" i="1"/>
  <c r="AJ336" i="1" s="1"/>
  <c r="AE347" i="1"/>
  <c r="AC363" i="1"/>
  <c r="O363" i="1"/>
  <c r="AB363" i="1"/>
  <c r="L363" i="1"/>
  <c r="Y363" i="1"/>
  <c r="AJ363" i="1" s="1"/>
  <c r="S363" i="1"/>
  <c r="T373" i="1"/>
  <c r="AF376" i="1"/>
  <c r="AE376" i="1"/>
  <c r="AB389" i="1"/>
  <c r="AC389" i="1"/>
  <c r="Z389" i="1"/>
  <c r="O389" i="1"/>
  <c r="L389" i="1"/>
  <c r="AJ389" i="1"/>
  <c r="AG366" i="1"/>
  <c r="T366" i="1"/>
  <c r="O366" i="1"/>
  <c r="AA366" i="1"/>
  <c r="L366" i="1"/>
  <c r="AJ367" i="1"/>
  <c r="I405" i="1"/>
  <c r="AH404" i="1"/>
  <c r="W435" i="1"/>
  <c r="AD383" i="1"/>
  <c r="S390" i="1"/>
  <c r="H390" i="1"/>
  <c r="AG390" i="1"/>
  <c r="T390" i="1"/>
  <c r="AC390" i="1"/>
  <c r="O390" i="1"/>
  <c r="L390" i="1"/>
  <c r="AD390" i="1"/>
  <c r="W406" i="1"/>
  <c r="AC412" i="1"/>
  <c r="AB412" i="1"/>
  <c r="Z412" i="1"/>
  <c r="O412" i="1"/>
  <c r="L412" i="1"/>
  <c r="AA412" i="1"/>
  <c r="T412" i="1"/>
  <c r="I435" i="1"/>
  <c r="AH434" i="1"/>
  <c r="AE441" i="1"/>
  <c r="AF441" i="1"/>
  <c r="AB252" i="1"/>
  <c r="T252" i="1"/>
  <c r="AC259" i="1"/>
  <c r="Y259" i="1"/>
  <c r="AJ259" i="1" s="1"/>
  <c r="T259" i="1"/>
  <c r="O266" i="1"/>
  <c r="AG273" i="1"/>
  <c r="Y273" i="1"/>
  <c r="AJ273" i="1" s="1"/>
  <c r="S273" i="1"/>
  <c r="AG277" i="1"/>
  <c r="O320" i="1"/>
  <c r="Z320" i="1"/>
  <c r="Y331" i="1"/>
  <c r="AJ331" i="1" s="1"/>
  <c r="Q331" i="1"/>
  <c r="T331" i="1"/>
  <c r="AC333" i="1"/>
  <c r="O339" i="1"/>
  <c r="AD339" i="1"/>
  <c r="AC340" i="1"/>
  <c r="O345" i="1"/>
  <c r="O350" i="1"/>
  <c r="T354" i="1"/>
  <c r="R364" i="1"/>
  <c r="Y366" i="1"/>
  <c r="AJ366" i="1" s="1"/>
  <c r="AC366" i="1"/>
  <c r="R367" i="1"/>
  <c r="AA368" i="1"/>
  <c r="L368" i="1"/>
  <c r="AG368" i="1"/>
  <c r="T368" i="1"/>
  <c r="S368" i="1"/>
  <c r="X368" i="1" s="1"/>
  <c r="Z368" i="1"/>
  <c r="Y368" i="1"/>
  <c r="AJ368" i="1" s="1"/>
  <c r="AC368" i="1"/>
  <c r="Q369" i="1"/>
  <c r="W369" i="1" s="1"/>
  <c r="AB373" i="1"/>
  <c r="Z374" i="1"/>
  <c r="AD377" i="1"/>
  <c r="AA377" i="1"/>
  <c r="O377" i="1"/>
  <c r="Y390" i="1"/>
  <c r="AJ390" i="1" s="1"/>
  <c r="AA392" i="1"/>
  <c r="Z392" i="1"/>
  <c r="L392" i="1"/>
  <c r="AD392" i="1"/>
  <c r="Y392" i="1"/>
  <c r="AJ392" i="1" s="1"/>
  <c r="O396" i="1"/>
  <c r="L396" i="1"/>
  <c r="AD396" i="1"/>
  <c r="Y396" i="1"/>
  <c r="AJ396" i="1" s="1"/>
  <c r="AC396" i="1"/>
  <c r="AA396" i="1"/>
  <c r="Z396" i="1"/>
  <c r="AE398" i="1"/>
  <c r="AH420" i="1"/>
  <c r="I421" i="1"/>
  <c r="AC313" i="1"/>
  <c r="Y313" i="1"/>
  <c r="AJ313" i="1" s="1"/>
  <c r="AG313" i="1"/>
  <c r="AB313" i="1"/>
  <c r="Z313" i="1"/>
  <c r="L333" i="1"/>
  <c r="S338" i="1"/>
  <c r="X338" i="1" s="1"/>
  <c r="Q339" i="1"/>
  <c r="W339" i="1" s="1"/>
  <c r="L340" i="1"/>
  <c r="AD340" i="1"/>
  <c r="AG341" i="1"/>
  <c r="L342" i="1"/>
  <c r="AB343" i="1"/>
  <c r="L343" i="1"/>
  <c r="AA343" i="1"/>
  <c r="T345" i="1"/>
  <c r="L348" i="1"/>
  <c r="AA348" i="1"/>
  <c r="AC348" i="1"/>
  <c r="T350" i="1"/>
  <c r="AE351" i="1"/>
  <c r="Z354" i="1"/>
  <c r="S364" i="1"/>
  <c r="AA378" i="1"/>
  <c r="AD378" i="1"/>
  <c r="Y378" i="1"/>
  <c r="AJ378" i="1" s="1"/>
  <c r="Z378" i="1"/>
  <c r="L378" i="1"/>
  <c r="AA382" i="1"/>
  <c r="AC382" i="1"/>
  <c r="AB382" i="1"/>
  <c r="Z382" i="1"/>
  <c r="O382" i="1"/>
  <c r="L382" i="1"/>
  <c r="AB397" i="1"/>
  <c r="L397" i="1"/>
  <c r="AD397" i="1"/>
  <c r="AC397" i="1"/>
  <c r="Z397" i="1"/>
  <c r="AD412" i="1"/>
  <c r="AC267" i="1"/>
  <c r="T276" i="1"/>
  <c r="AG276" i="1"/>
  <c r="Z276" i="1"/>
  <c r="AD286" i="1"/>
  <c r="AA301" i="1"/>
  <c r="AB301" i="1"/>
  <c r="AA313" i="1"/>
  <c r="AE316" i="1"/>
  <c r="AB320" i="1"/>
  <c r="R339" i="1"/>
  <c r="O340" i="1"/>
  <c r="AC343" i="1"/>
  <c r="AF346" i="1"/>
  <c r="AD348" i="1"/>
  <c r="L352" i="1"/>
  <c r="AG363" i="1"/>
  <c r="Q340" i="1"/>
  <c r="W340" i="1" s="1"/>
  <c r="O353" i="1"/>
  <c r="AB354" i="1"/>
  <c r="AD354" i="1"/>
  <c r="AC354" i="1"/>
  <c r="AD373" i="1"/>
  <c r="O373" i="1"/>
  <c r="L373" i="1"/>
  <c r="AC373" i="1"/>
  <c r="Z373" i="1"/>
  <c r="T383" i="1"/>
  <c r="AB383" i="1"/>
  <c r="AA383" i="1"/>
  <c r="Z383" i="1"/>
  <c r="L383" i="1"/>
  <c r="I391" i="1"/>
  <c r="AH390" i="1"/>
  <c r="AC460" i="1"/>
  <c r="AB460" i="1"/>
  <c r="Z460" i="1"/>
  <c r="AD460" i="1"/>
  <c r="T460" i="1"/>
  <c r="AA460" i="1"/>
  <c r="O460" i="1"/>
  <c r="L460" i="1"/>
  <c r="AF320" i="1"/>
  <c r="AE320" i="1"/>
  <c r="O333" i="1"/>
  <c r="H333" i="1"/>
  <c r="AD333" i="1"/>
  <c r="Q333" i="1"/>
  <c r="T333" i="1"/>
  <c r="Y339" i="1"/>
  <c r="AJ339" i="1" s="1"/>
  <c r="S339" i="1"/>
  <c r="X339" i="1" s="1"/>
  <c r="L339" i="1"/>
  <c r="O342" i="1"/>
  <c r="AF343" i="1"/>
  <c r="L345" i="1"/>
  <c r="AC345" i="1"/>
  <c r="AB345" i="1"/>
  <c r="AC350" i="1"/>
  <c r="AB350" i="1"/>
  <c r="Z352" i="1"/>
  <c r="T353" i="1"/>
  <c r="I361" i="1"/>
  <c r="AH360" i="1"/>
  <c r="Q363" i="1"/>
  <c r="Q366" i="1"/>
  <c r="AG384" i="1"/>
  <c r="AA384" i="1"/>
  <c r="Z384" i="1"/>
  <c r="L384" i="1"/>
  <c r="AD384" i="1"/>
  <c r="Y384" i="1"/>
  <c r="AJ384" i="1" s="1"/>
  <c r="Q390" i="1"/>
  <c r="AF394" i="1"/>
  <c r="AE394" i="1"/>
  <c r="AH449" i="1"/>
  <c r="I450" i="1"/>
  <c r="R363" i="1"/>
  <c r="L364" i="1"/>
  <c r="H364" i="1"/>
  <c r="AD364" i="1"/>
  <c r="Q364" i="1"/>
  <c r="AC364" i="1"/>
  <c r="O364" i="1"/>
  <c r="R366" i="1"/>
  <c r="H367" i="1"/>
  <c r="AG367" i="1"/>
  <c r="T367" i="1"/>
  <c r="AD367" i="1"/>
  <c r="Q367" i="1"/>
  <c r="W367" i="1" s="1"/>
  <c r="AA374" i="1"/>
  <c r="L374" i="1"/>
  <c r="AD374" i="1"/>
  <c r="AC374" i="1"/>
  <c r="AB415" i="1"/>
  <c r="O415" i="1"/>
  <c r="L415" i="1"/>
  <c r="AD415" i="1"/>
  <c r="AC415" i="1"/>
  <c r="T415" i="1"/>
  <c r="AB443" i="1"/>
  <c r="AA443" i="1"/>
  <c r="O443" i="1"/>
  <c r="L443" i="1"/>
  <c r="AD443" i="1"/>
  <c r="Z443" i="1"/>
  <c r="T443" i="1"/>
  <c r="AG340" i="1"/>
  <c r="T340" i="1"/>
  <c r="AB347" i="1"/>
  <c r="O347" i="1"/>
  <c r="AA347" i="1"/>
  <c r="AC347" i="1"/>
  <c r="AF350" i="1"/>
  <c r="AB352" i="1"/>
  <c r="O352" i="1"/>
  <c r="AC352" i="1"/>
  <c r="T363" i="1"/>
  <c r="S366" i="1"/>
  <c r="AD369" i="1"/>
  <c r="R369" i="1"/>
  <c r="Z369" i="1"/>
  <c r="H369" i="1"/>
  <c r="AG369" i="1"/>
  <c r="T369" i="1"/>
  <c r="AC369" i="1"/>
  <c r="O369" i="1"/>
  <c r="AA369" i="1"/>
  <c r="AE375" i="1"/>
  <c r="AE389" i="1"/>
  <c r="AG399" i="1"/>
  <c r="AA415" i="1"/>
  <c r="AF430" i="1"/>
  <c r="AE430" i="1"/>
  <c r="AC443" i="1"/>
  <c r="AD353" i="1"/>
  <c r="Z353" i="1"/>
  <c r="L353" i="1"/>
  <c r="AB353" i="1"/>
  <c r="Y399" i="1"/>
  <c r="AJ399" i="1" s="1"/>
  <c r="Y411" i="1"/>
  <c r="AJ411" i="1" s="1"/>
  <c r="AF425" i="1"/>
  <c r="AB427" i="1"/>
  <c r="AD444" i="1"/>
  <c r="T486" i="1"/>
  <c r="AB304" i="1"/>
  <c r="T304" i="1"/>
  <c r="R311" i="1"/>
  <c r="O329" i="1"/>
  <c r="R329" i="1"/>
  <c r="AB346" i="1"/>
  <c r="AB351" i="1"/>
  <c r="T351" i="1"/>
  <c r="AD365" i="1"/>
  <c r="R365" i="1"/>
  <c r="S365" i="1"/>
  <c r="AC370" i="1"/>
  <c r="AB371" i="1"/>
  <c r="AA372" i="1"/>
  <c r="T375" i="1"/>
  <c r="T376" i="1"/>
  <c r="AC385" i="1"/>
  <c r="R391" i="1"/>
  <c r="AC393" i="1"/>
  <c r="AB394" i="1"/>
  <c r="AA395" i="1"/>
  <c r="T398" i="1"/>
  <c r="T399" i="1"/>
  <c r="O400" i="1"/>
  <c r="AC404" i="1"/>
  <c r="Y404" i="1"/>
  <c r="AJ404" i="1" s="1"/>
  <c r="T405" i="1"/>
  <c r="R405" i="1"/>
  <c r="AE405" i="1"/>
  <c r="AB408" i="1"/>
  <c r="AE410" i="1"/>
  <c r="Z420" i="1"/>
  <c r="V420" i="1" s="1"/>
  <c r="H421" i="1"/>
  <c r="Z421" i="1"/>
  <c r="V421" i="1" s="1"/>
  <c r="L423" i="1"/>
  <c r="AA424" i="1"/>
  <c r="Z424" i="1"/>
  <c r="AC424" i="1"/>
  <c r="O430" i="1"/>
  <c r="AB430" i="1"/>
  <c r="AD434" i="1"/>
  <c r="AG434" i="1"/>
  <c r="Z434" i="1"/>
  <c r="L441" i="1"/>
  <c r="AG441" i="1"/>
  <c r="Y441" i="1"/>
  <c r="AJ441" i="1" s="1"/>
  <c r="AB441" i="1"/>
  <c r="AA441" i="1"/>
  <c r="AJ477" i="1"/>
  <c r="AA486" i="1"/>
  <c r="T400" i="1"/>
  <c r="AD419" i="1"/>
  <c r="AC419" i="1"/>
  <c r="Y419" i="1"/>
  <c r="AJ419" i="1" s="1"/>
  <c r="L419" i="1"/>
  <c r="AB419" i="1"/>
  <c r="O423" i="1"/>
  <c r="L428" i="1"/>
  <c r="AC441" i="1"/>
  <c r="AA450" i="1"/>
  <c r="AC463" i="1"/>
  <c r="Y463" i="1"/>
  <c r="AJ463" i="1" s="1"/>
  <c r="AB463" i="1"/>
  <c r="AA463" i="1"/>
  <c r="T463" i="1"/>
  <c r="L463" i="1"/>
  <c r="AC464" i="1"/>
  <c r="AB464" i="1"/>
  <c r="Z464" i="1"/>
  <c r="AD464" i="1"/>
  <c r="L464" i="1"/>
  <c r="AH474" i="1"/>
  <c r="I475" i="1"/>
  <c r="T379" i="1"/>
  <c r="T380" i="1"/>
  <c r="O406" i="1"/>
  <c r="AG426" i="1"/>
  <c r="L426" i="1"/>
  <c r="Y426" i="1"/>
  <c r="AJ426" i="1" s="1"/>
  <c r="AA426" i="1"/>
  <c r="AD438" i="1"/>
  <c r="Z438" i="1"/>
  <c r="O438" i="1"/>
  <c r="AB438" i="1"/>
  <c r="O442" i="1"/>
  <c r="AJ444" i="1"/>
  <c r="AC450" i="1"/>
  <c r="AF453" i="1"/>
  <c r="AE453" i="1"/>
  <c r="T474" i="1"/>
  <c r="AG480" i="1"/>
  <c r="T480" i="1"/>
  <c r="R480" i="1"/>
  <c r="Q480" i="1"/>
  <c r="O480" i="1"/>
  <c r="AC480" i="1"/>
  <c r="AB480" i="1"/>
  <c r="Z480" i="1"/>
  <c r="V480" i="1" s="1"/>
  <c r="Y480" i="1"/>
  <c r="AJ480" i="1" s="1"/>
  <c r="O481" i="1"/>
  <c r="AG481" i="1"/>
  <c r="S481" i="1"/>
  <c r="R481" i="1"/>
  <c r="L481" i="1"/>
  <c r="Y481" i="1"/>
  <c r="AJ481" i="1" s="1"/>
  <c r="T341" i="1"/>
  <c r="AC351" i="1"/>
  <c r="T355" i="1"/>
  <c r="T356" i="1"/>
  <c r="AD361" i="1"/>
  <c r="R362" i="1"/>
  <c r="AD362" i="1"/>
  <c r="Y365" i="1"/>
  <c r="AJ365" i="1" s="1"/>
  <c r="AG370" i="1"/>
  <c r="AC375" i="1"/>
  <c r="AB376" i="1"/>
  <c r="Z379" i="1"/>
  <c r="AD381" i="1"/>
  <c r="T381" i="1"/>
  <c r="AG393" i="1"/>
  <c r="AC398" i="1"/>
  <c r="AB399" i="1"/>
  <c r="AA400" i="1"/>
  <c r="AD404" i="1"/>
  <c r="Y405" i="1"/>
  <c r="AJ405" i="1" s="1"/>
  <c r="AG419" i="1"/>
  <c r="L421" i="1"/>
  <c r="AB426" i="1"/>
  <c r="Y434" i="1"/>
  <c r="AJ434" i="1" s="1"/>
  <c r="AC438" i="1"/>
  <c r="AC449" i="1"/>
  <c r="AD449" i="1"/>
  <c r="AG482" i="1"/>
  <c r="AD482" i="1"/>
  <c r="T482" i="1"/>
  <c r="L482" i="1"/>
  <c r="AC482" i="1"/>
  <c r="W421" i="1"/>
  <c r="AD423" i="1"/>
  <c r="AC423" i="1"/>
  <c r="Y423" i="1"/>
  <c r="AJ423" i="1" s="1"/>
  <c r="AG423" i="1"/>
  <c r="AB423" i="1"/>
  <c r="AA423" i="1"/>
  <c r="AA428" i="1"/>
  <c r="Z428" i="1"/>
  <c r="T428" i="1"/>
  <c r="AC428" i="1"/>
  <c r="AF458" i="1"/>
  <c r="AE458" i="1"/>
  <c r="AG406" i="1"/>
  <c r="T406" i="1"/>
  <c r="S406" i="1"/>
  <c r="AF426" i="1"/>
  <c r="AE426" i="1"/>
  <c r="L427" i="1"/>
  <c r="AD428" i="1"/>
  <c r="AE429" i="1"/>
  <c r="L439" i="1"/>
  <c r="O444" i="1"/>
  <c r="Q450" i="1"/>
  <c r="AG450" i="1"/>
  <c r="AG458" i="1"/>
  <c r="AD385" i="1"/>
  <c r="T385" i="1"/>
  <c r="O393" i="1"/>
  <c r="AE399" i="1"/>
  <c r="AD400" i="1"/>
  <c r="S421" i="1"/>
  <c r="T427" i="1"/>
  <c r="O439" i="1"/>
  <c r="AD442" i="1"/>
  <c r="AC442" i="1"/>
  <c r="AA442" i="1"/>
  <c r="Z444" i="1"/>
  <c r="R450" i="1"/>
  <c r="AH473" i="1"/>
  <c r="W481" i="1"/>
  <c r="T370" i="1"/>
  <c r="AD379" i="1"/>
  <c r="AC380" i="1"/>
  <c r="T393" i="1"/>
  <c r="Z409" i="1"/>
  <c r="AD409" i="1"/>
  <c r="AF411" i="1"/>
  <c r="AE411" i="1"/>
  <c r="AG420" i="1"/>
  <c r="T420" i="1"/>
  <c r="AD420" i="1"/>
  <c r="Q420" i="1"/>
  <c r="AG429" i="1"/>
  <c r="L430" i="1"/>
  <c r="L434" i="1"/>
  <c r="Y435" i="1"/>
  <c r="AJ435" i="1" s="1"/>
  <c r="AG435" i="1"/>
  <c r="AA435" i="1"/>
  <c r="Y438" i="1"/>
  <c r="AJ438" i="1" s="1"/>
  <c r="O441" i="1"/>
  <c r="AB442" i="1"/>
  <c r="AA444" i="1"/>
  <c r="AE445" i="1"/>
  <c r="S450" i="1"/>
  <c r="AD486" i="1"/>
  <c r="L486" i="1"/>
  <c r="AC486" i="1"/>
  <c r="T371" i="1"/>
  <c r="T372" i="1"/>
  <c r="AD380" i="1"/>
  <c r="T394" i="1"/>
  <c r="T395" i="1"/>
  <c r="AC408" i="1"/>
  <c r="Y408" i="1"/>
  <c r="AJ408" i="1" s="1"/>
  <c r="AA409" i="1"/>
  <c r="AG411" i="1"/>
  <c r="Z413" i="1"/>
  <c r="AC413" i="1"/>
  <c r="AD413" i="1"/>
  <c r="O419" i="1"/>
  <c r="O421" i="1"/>
  <c r="AG422" i="1"/>
  <c r="AD422" i="1"/>
  <c r="AA422" i="1"/>
  <c r="Z422" i="1"/>
  <c r="T441" i="1"/>
  <c r="AF463" i="1"/>
  <c r="AE463" i="1"/>
  <c r="AA474" i="1"/>
  <c r="L474" i="1"/>
  <c r="Z474" i="1"/>
  <c r="V474" i="1" s="1"/>
  <c r="S474" i="1"/>
  <c r="AG474" i="1"/>
  <c r="R474" i="1"/>
  <c r="O474" i="1"/>
  <c r="AB474" i="1"/>
  <c r="Y474" i="1"/>
  <c r="AJ474" i="1" s="1"/>
  <c r="AD427" i="1"/>
  <c r="AC427" i="1"/>
  <c r="O427" i="1"/>
  <c r="AA427" i="1"/>
  <c r="AB439" i="1"/>
  <c r="AA439" i="1"/>
  <c r="AC439" i="1"/>
  <c r="T439" i="1"/>
  <c r="AD439" i="1"/>
  <c r="T444" i="1"/>
  <c r="L444" i="1"/>
  <c r="AG444" i="1"/>
  <c r="AC444" i="1"/>
  <c r="Y450" i="1"/>
  <c r="AJ450" i="1" s="1"/>
  <c r="Z450" i="1"/>
  <c r="V450" i="1" s="1"/>
  <c r="AD450" i="1"/>
  <c r="O450" i="1"/>
  <c r="AG463" i="1"/>
  <c r="H474" i="1"/>
  <c r="O486" i="1"/>
  <c r="S455" i="1"/>
  <c r="AG455" i="1"/>
  <c r="AD467" i="1"/>
  <c r="AG476" i="1"/>
  <c r="T476" i="1"/>
  <c r="H476" i="1"/>
  <c r="AD476" i="1"/>
  <c r="R476" i="1"/>
  <c r="O477" i="1"/>
  <c r="AG477" i="1"/>
  <c r="S478" i="1"/>
  <c r="AA478" i="1"/>
  <c r="L478" i="1"/>
  <c r="Z478" i="1"/>
  <c r="V478" i="1" s="1"/>
  <c r="AA484" i="1"/>
  <c r="Z484" i="1"/>
  <c r="T484" i="1"/>
  <c r="AD484" i="1"/>
  <c r="T501" i="1"/>
  <c r="L501" i="1"/>
  <c r="H502" i="1"/>
  <c r="O503" i="1"/>
  <c r="AG509" i="1"/>
  <c r="O510" i="1"/>
  <c r="T518" i="1"/>
  <c r="L518" i="1"/>
  <c r="AD518" i="1"/>
  <c r="Y518" i="1"/>
  <c r="AJ518" i="1" s="1"/>
  <c r="AB518" i="1"/>
  <c r="AD520" i="1"/>
  <c r="AC520" i="1"/>
  <c r="AB520" i="1"/>
  <c r="Z520" i="1"/>
  <c r="AC506" i="1"/>
  <c r="Y506" i="1"/>
  <c r="AJ506" i="1" s="1"/>
  <c r="T506" i="1"/>
  <c r="L506" i="1"/>
  <c r="AD506" i="1"/>
  <c r="AD514" i="1"/>
  <c r="Z514" i="1"/>
  <c r="T514" i="1"/>
  <c r="AJ522" i="1"/>
  <c r="AB532" i="1"/>
  <c r="AD532" i="1"/>
  <c r="Q532" i="1"/>
  <c r="AA532" i="1"/>
  <c r="AG532" i="1"/>
  <c r="T532" i="1"/>
  <c r="AB544" i="1"/>
  <c r="AA544" i="1"/>
  <c r="O544" i="1"/>
  <c r="AG544" i="1"/>
  <c r="Y544" i="1"/>
  <c r="AJ544" i="1" s="1"/>
  <c r="AD544" i="1"/>
  <c r="AC544" i="1"/>
  <c r="H544" i="1"/>
  <c r="AG502" i="1"/>
  <c r="AA510" i="1"/>
  <c r="AG514" i="1"/>
  <c r="Q516" i="1"/>
  <c r="L468" i="1"/>
  <c r="AA488" i="1"/>
  <c r="Z488" i="1"/>
  <c r="T488" i="1"/>
  <c r="AD488" i="1"/>
  <c r="L498" i="1"/>
  <c r="Z499" i="1"/>
  <c r="V499" i="1" s="1"/>
  <c r="Y499" i="1"/>
  <c r="AJ499" i="1" s="1"/>
  <c r="AG499" i="1"/>
  <c r="S499" i="1"/>
  <c r="O505" i="1"/>
  <c r="T507" i="1"/>
  <c r="L524" i="1"/>
  <c r="Y532" i="1"/>
  <c r="AJ532" i="1" s="1"/>
  <c r="H503" i="1"/>
  <c r="L503" i="1"/>
  <c r="AG503" i="1"/>
  <c r="AB503" i="1"/>
  <c r="AG506" i="1"/>
  <c r="AC510" i="1"/>
  <c r="T510" i="1"/>
  <c r="L510" i="1"/>
  <c r="AD510" i="1"/>
  <c r="Y514" i="1"/>
  <c r="AJ514" i="1" s="1"/>
  <c r="AE533" i="1"/>
  <c r="AF533" i="1"/>
  <c r="W534" i="1"/>
  <c r="S537" i="1"/>
  <c r="AG537" i="1"/>
  <c r="T537" i="1"/>
  <c r="AD537" i="1"/>
  <c r="Q537" i="1"/>
  <c r="AC537" i="1"/>
  <c r="AB537" i="1"/>
  <c r="L537" i="1"/>
  <c r="AA537" i="1"/>
  <c r="Z537" i="1"/>
  <c r="V537" i="1" s="1"/>
  <c r="L544" i="1"/>
  <c r="AF546" i="1"/>
  <c r="AE546" i="1"/>
  <c r="AJ561" i="1"/>
  <c r="AF568" i="1"/>
  <c r="AE568" i="1"/>
  <c r="AH581" i="1"/>
  <c r="I582" i="1"/>
  <c r="AJ429" i="1"/>
  <c r="S436" i="1"/>
  <c r="AG436" i="1"/>
  <c r="T440" i="1"/>
  <c r="AA440" i="1"/>
  <c r="T453" i="1"/>
  <c r="S453" i="1"/>
  <c r="Y455" i="1"/>
  <c r="AJ455" i="1" s="1"/>
  <c r="AC459" i="1"/>
  <c r="Z459" i="1"/>
  <c r="L467" i="1"/>
  <c r="AC477" i="1"/>
  <c r="AD478" i="1"/>
  <c r="L483" i="1"/>
  <c r="AD483" i="1"/>
  <c r="AC483" i="1"/>
  <c r="Y483" i="1"/>
  <c r="AJ483" i="1" s="1"/>
  <c r="AA483" i="1"/>
  <c r="AB483" i="1"/>
  <c r="AG488" i="1"/>
  <c r="AD490" i="1"/>
  <c r="AB490" i="1"/>
  <c r="O494" i="1"/>
  <c r="AC503" i="1"/>
  <c r="L509" i="1"/>
  <c r="H516" i="1"/>
  <c r="AC516" i="1"/>
  <c r="AG519" i="1"/>
  <c r="L519" i="1"/>
  <c r="AD519" i="1"/>
  <c r="Y519" i="1"/>
  <c r="AJ519" i="1" s="1"/>
  <c r="AC519" i="1"/>
  <c r="AA519" i="1"/>
  <c r="H519" i="1"/>
  <c r="AB519" i="1"/>
  <c r="AA521" i="1"/>
  <c r="AC521" i="1"/>
  <c r="AB521" i="1"/>
  <c r="AF523" i="1"/>
  <c r="AA524" i="1"/>
  <c r="L532" i="1"/>
  <c r="T544" i="1"/>
  <c r="AC468" i="1"/>
  <c r="Y468" i="1"/>
  <c r="AJ468" i="1" s="1"/>
  <c r="AB468" i="1"/>
  <c r="Z468" i="1"/>
  <c r="AA492" i="1"/>
  <c r="Z492" i="1"/>
  <c r="T492" i="1"/>
  <c r="AD492" i="1"/>
  <c r="AD503" i="1"/>
  <c r="Z507" i="1"/>
  <c r="L507" i="1"/>
  <c r="AB507" i="1"/>
  <c r="AG515" i="1"/>
  <c r="T515" i="1"/>
  <c r="S515" i="1"/>
  <c r="AC515" i="1"/>
  <c r="Q515" i="1"/>
  <c r="Y516" i="1"/>
  <c r="AJ516" i="1" s="1"/>
  <c r="AB524" i="1"/>
  <c r="AH530" i="1"/>
  <c r="I531" i="1"/>
  <c r="R532" i="1"/>
  <c r="Y537" i="1"/>
  <c r="AJ537" i="1" s="1"/>
  <c r="Z544" i="1"/>
  <c r="AJ488" i="1"/>
  <c r="O491" i="1"/>
  <c r="AJ493" i="1"/>
  <c r="O498" i="1"/>
  <c r="AD498" i="1"/>
  <c r="AA498" i="1"/>
  <c r="O502" i="1"/>
  <c r="AB505" i="1"/>
  <c r="AA505" i="1"/>
  <c r="AD505" i="1"/>
  <c r="AE526" i="1"/>
  <c r="S532" i="1"/>
  <c r="R537" i="1"/>
  <c r="L437" i="1"/>
  <c r="AG437" i="1"/>
  <c r="AD440" i="1"/>
  <c r="L445" i="1"/>
  <c r="Y453" i="1"/>
  <c r="AJ453" i="1" s="1"/>
  <c r="Y454" i="1"/>
  <c r="AJ454" i="1" s="1"/>
  <c r="S454" i="1"/>
  <c r="AG454" i="1"/>
  <c r="L455" i="1"/>
  <c r="AC455" i="1"/>
  <c r="AD459" i="1"/>
  <c r="AD468" i="1"/>
  <c r="Q477" i="1"/>
  <c r="Q478" i="1"/>
  <c r="H483" i="1"/>
  <c r="AG483" i="1"/>
  <c r="O484" i="1"/>
  <c r="L487" i="1"/>
  <c r="AD487" i="1"/>
  <c r="AC487" i="1"/>
  <c r="AA487" i="1"/>
  <c r="AB487" i="1"/>
  <c r="AC498" i="1"/>
  <c r="AC499" i="1"/>
  <c r="I500" i="1"/>
  <c r="Q501" i="1"/>
  <c r="Z502" i="1"/>
  <c r="AD507" i="1"/>
  <c r="L514" i="1"/>
  <c r="Y515" i="1"/>
  <c r="AJ515" i="1" s="1"/>
  <c r="AA515" i="1"/>
  <c r="L516" i="1"/>
  <c r="AG516" i="1"/>
  <c r="AF534" i="1"/>
  <c r="L540" i="1"/>
  <c r="T540" i="1"/>
  <c r="R540" i="1"/>
  <c r="AD540" i="1"/>
  <c r="AC540" i="1"/>
  <c r="Z540" i="1"/>
  <c r="Y540" i="1"/>
  <c r="AJ540" i="1" s="1"/>
  <c r="H540" i="1"/>
  <c r="AC467" i="1"/>
  <c r="Z467" i="1"/>
  <c r="AJ478" i="1"/>
  <c r="AD494" i="1"/>
  <c r="AB494" i="1"/>
  <c r="L499" i="1"/>
  <c r="AD499" i="1"/>
  <c r="Y503" i="1"/>
  <c r="AJ503" i="1" s="1"/>
  <c r="O506" i="1"/>
  <c r="AB509" i="1"/>
  <c r="AA509" i="1"/>
  <c r="AC509" i="1"/>
  <c r="AB515" i="1"/>
  <c r="O516" i="1"/>
  <c r="AD524" i="1"/>
  <c r="Z524" i="1"/>
  <c r="O524" i="1"/>
  <c r="T545" i="1"/>
  <c r="AB545" i="1"/>
  <c r="Z545" i="1"/>
  <c r="L545" i="1"/>
  <c r="AD545" i="1"/>
  <c r="AJ564" i="1"/>
  <c r="Z506" i="1"/>
  <c r="Z532" i="1"/>
  <c r="V532" i="1" s="1"/>
  <c r="L491" i="1"/>
  <c r="AD491" i="1"/>
  <c r="AC491" i="1"/>
  <c r="AA491" i="1"/>
  <c r="AB491" i="1"/>
  <c r="AH498" i="1"/>
  <c r="AC502" i="1"/>
  <c r="Y502" i="1"/>
  <c r="AJ502" i="1" s="1"/>
  <c r="T502" i="1"/>
  <c r="L502" i="1"/>
  <c r="AD502" i="1"/>
  <c r="AA506" i="1"/>
  <c r="AE509" i="1"/>
  <c r="S516" i="1"/>
  <c r="AC532" i="1"/>
  <c r="Z573" i="1"/>
  <c r="AC573" i="1"/>
  <c r="AB573" i="1"/>
  <c r="O573" i="1"/>
  <c r="L573" i="1"/>
  <c r="AB575" i="1"/>
  <c r="T575" i="1"/>
  <c r="AD587" i="1"/>
  <c r="O587" i="1"/>
  <c r="L587" i="1"/>
  <c r="H587" i="1"/>
  <c r="AC587" i="1"/>
  <c r="AA587" i="1"/>
  <c r="T587" i="1"/>
  <c r="AE602" i="1"/>
  <c r="AF602" i="1"/>
  <c r="AE614" i="1"/>
  <c r="AF614" i="1"/>
  <c r="R534" i="1"/>
  <c r="AB536" i="1"/>
  <c r="R536" i="1"/>
  <c r="Q541" i="1"/>
  <c r="W541" i="1" s="1"/>
  <c r="AG541" i="1"/>
  <c r="AB551" i="1"/>
  <c r="S559" i="1"/>
  <c r="AB561" i="1"/>
  <c r="AC563" i="1"/>
  <c r="Z565" i="1"/>
  <c r="AD565" i="1"/>
  <c r="Y565" i="1"/>
  <c r="AJ565" i="1" s="1"/>
  <c r="AA565" i="1"/>
  <c r="AC565" i="1"/>
  <c r="AH580" i="1"/>
  <c r="L612" i="1"/>
  <c r="AC612" i="1"/>
  <c r="AB612" i="1"/>
  <c r="AA612" i="1"/>
  <c r="T612" i="1"/>
  <c r="O612" i="1"/>
  <c r="AG612" i="1"/>
  <c r="AD612" i="1"/>
  <c r="Z612" i="1"/>
  <c r="Y612" i="1"/>
  <c r="AJ612" i="1" s="1"/>
  <c r="S534" i="1"/>
  <c r="S536" i="1"/>
  <c r="Y538" i="1"/>
  <c r="AJ538" i="1" s="1"/>
  <c r="AG538" i="1"/>
  <c r="R538" i="1"/>
  <c r="L549" i="1"/>
  <c r="L550" i="1"/>
  <c r="Z551" i="1"/>
  <c r="AG552" i="1"/>
  <c r="AC561" i="1"/>
  <c r="L562" i="1"/>
  <c r="L563" i="1"/>
  <c r="AG565" i="1"/>
  <c r="AH579" i="1"/>
  <c r="R583" i="1"/>
  <c r="L583" i="1"/>
  <c r="T583" i="1"/>
  <c r="AC583" i="1"/>
  <c r="Y587" i="1"/>
  <c r="AJ587" i="1" s="1"/>
  <c r="AF592" i="1"/>
  <c r="AE592" i="1"/>
  <c r="O601" i="1"/>
  <c r="Y601" i="1"/>
  <c r="AJ601" i="1" s="1"/>
  <c r="Q601" i="1"/>
  <c r="AC601" i="1"/>
  <c r="Z601" i="1"/>
  <c r="V601" i="1" s="1"/>
  <c r="T601" i="1"/>
  <c r="S601" i="1"/>
  <c r="R601" i="1"/>
  <c r="L601" i="1"/>
  <c r="AG601" i="1"/>
  <c r="AD601" i="1"/>
  <c r="AA601" i="1"/>
  <c r="T534" i="1"/>
  <c r="AG534" i="1"/>
  <c r="T536" i="1"/>
  <c r="AG536" i="1"/>
  <c r="S541" i="1"/>
  <c r="X541" i="1" s="1"/>
  <c r="AD541" i="1"/>
  <c r="R541" i="1"/>
  <c r="L548" i="1"/>
  <c r="O549" i="1"/>
  <c r="AA551" i="1"/>
  <c r="Z559" i="1"/>
  <c r="V559" i="1" s="1"/>
  <c r="AC559" i="1"/>
  <c r="AD559" i="1"/>
  <c r="L559" i="1"/>
  <c r="AG561" i="1"/>
  <c r="O562" i="1"/>
  <c r="O563" i="1"/>
  <c r="AC581" i="1"/>
  <c r="O581" i="1"/>
  <c r="Z581" i="1"/>
  <c r="V581" i="1" s="1"/>
  <c r="Y581" i="1"/>
  <c r="AJ581" i="1" s="1"/>
  <c r="H581" i="1"/>
  <c r="S581" i="1"/>
  <c r="AG581" i="1"/>
  <c r="R581" i="1"/>
  <c r="O457" i="1"/>
  <c r="O461" i="1"/>
  <c r="O465" i="1"/>
  <c r="O469" i="1"/>
  <c r="Y500" i="1"/>
  <c r="AJ500" i="1" s="1"/>
  <c r="AB504" i="1"/>
  <c r="AB508" i="1"/>
  <c r="T522" i="1"/>
  <c r="T523" i="1"/>
  <c r="H536" i="1"/>
  <c r="T538" i="1"/>
  <c r="AD539" i="1"/>
  <c r="Q542" i="1"/>
  <c r="W542" i="1" s="1"/>
  <c r="AA550" i="1"/>
  <c r="AC551" i="1"/>
  <c r="L557" i="1"/>
  <c r="L561" i="1"/>
  <c r="Q562" i="1"/>
  <c r="Q563" i="1"/>
  <c r="Z567" i="1"/>
  <c r="O567" i="1"/>
  <c r="AB567" i="1"/>
  <c r="AE567" i="1"/>
  <c r="Z568" i="1"/>
  <c r="AE569" i="1"/>
  <c r="AD581" i="1"/>
  <c r="T582" i="1"/>
  <c r="AG583" i="1"/>
  <c r="T589" i="1"/>
  <c r="O589" i="1"/>
  <c r="Z589" i="1"/>
  <c r="L589" i="1"/>
  <c r="AC589" i="1"/>
  <c r="AH669" i="1"/>
  <c r="I670" i="1"/>
  <c r="AB548" i="1"/>
  <c r="AA548" i="1"/>
  <c r="T548" i="1"/>
  <c r="T549" i="1"/>
  <c r="AA549" i="1"/>
  <c r="AD551" i="1"/>
  <c r="R561" i="1"/>
  <c r="R562" i="1"/>
  <c r="R563" i="1"/>
  <c r="AG563" i="1"/>
  <c r="AA568" i="1"/>
  <c r="AD571" i="1"/>
  <c r="O571" i="1"/>
  <c r="AC571" i="1"/>
  <c r="AB571" i="1"/>
  <c r="Y583" i="1"/>
  <c r="AJ583" i="1" s="1"/>
  <c r="AB587" i="1"/>
  <c r="AF608" i="1"/>
  <c r="AE608" i="1"/>
  <c r="O425" i="1"/>
  <c r="O429" i="1"/>
  <c r="Q479" i="1"/>
  <c r="AC479" i="1"/>
  <c r="O485" i="1"/>
  <c r="O489" i="1"/>
  <c r="O493" i="1"/>
  <c r="AD504" i="1"/>
  <c r="AD508" i="1"/>
  <c r="L517" i="1"/>
  <c r="R517" i="1"/>
  <c r="AA522" i="1"/>
  <c r="Z523" i="1"/>
  <c r="T525" i="1"/>
  <c r="L530" i="1"/>
  <c r="R531" i="1"/>
  <c r="Q533" i="1"/>
  <c r="Q535" i="1"/>
  <c r="AD535" i="1"/>
  <c r="Y536" i="1"/>
  <c r="AJ536" i="1" s="1"/>
  <c r="R539" i="1"/>
  <c r="Y541" i="1"/>
  <c r="AJ541" i="1" s="1"/>
  <c r="Y542" i="1"/>
  <c r="AJ542" i="1" s="1"/>
  <c r="AG542" i="1"/>
  <c r="S542" i="1"/>
  <c r="X542" i="1" s="1"/>
  <c r="AD547" i="1"/>
  <c r="AB549" i="1"/>
  <c r="AC550" i="1"/>
  <c r="L553" i="1"/>
  <c r="AC553" i="1"/>
  <c r="AA553" i="1"/>
  <c r="H559" i="1"/>
  <c r="AB568" i="1"/>
  <c r="T573" i="1"/>
  <c r="L575" i="1"/>
  <c r="AG587" i="1"/>
  <c r="Q257" i="1"/>
  <c r="Q309" i="1"/>
  <c r="T326" i="1"/>
  <c r="Q452" i="1"/>
  <c r="Q456" i="1"/>
  <c r="H457" i="1"/>
  <c r="T473" i="1"/>
  <c r="R479" i="1"/>
  <c r="S517" i="1"/>
  <c r="AB522" i="1"/>
  <c r="AA523" i="1"/>
  <c r="T526" i="1"/>
  <c r="Z530" i="1"/>
  <c r="S533" i="1"/>
  <c r="R533" i="1"/>
  <c r="S539" i="1"/>
  <c r="X539" i="1" s="1"/>
  <c r="T542" i="1"/>
  <c r="L546" i="1"/>
  <c r="Z548" i="1"/>
  <c r="AC549" i="1"/>
  <c r="AD550" i="1"/>
  <c r="AB553" i="1"/>
  <c r="O575" i="1"/>
  <c r="O583" i="1"/>
  <c r="AA585" i="1"/>
  <c r="Y585" i="1"/>
  <c r="AJ585" i="1" s="1"/>
  <c r="R585" i="1"/>
  <c r="O585" i="1"/>
  <c r="AB585" i="1"/>
  <c r="Z585" i="1"/>
  <c r="V585" i="1" s="1"/>
  <c r="AD557" i="1"/>
  <c r="Y557" i="1"/>
  <c r="AJ557" i="1" s="1"/>
  <c r="T557" i="1"/>
  <c r="T561" i="1"/>
  <c r="AA561" i="1"/>
  <c r="Q561" i="1"/>
  <c r="O561" i="1"/>
  <c r="AG562" i="1"/>
  <c r="T562" i="1"/>
  <c r="Z563" i="1"/>
  <c r="V563" i="1" s="1"/>
  <c r="T563" i="1"/>
  <c r="AC568" i="1"/>
  <c r="L568" i="1"/>
  <c r="T568" i="1"/>
  <c r="O568" i="1"/>
  <c r="AA573" i="1"/>
  <c r="AA575" i="1"/>
  <c r="L617" i="1"/>
  <c r="T617" i="1"/>
  <c r="O617" i="1"/>
  <c r="AC617" i="1"/>
  <c r="AB617" i="1"/>
  <c r="AA617" i="1"/>
  <c r="AD617" i="1"/>
  <c r="AA534" i="1"/>
  <c r="Z536" i="1"/>
  <c r="V536" i="1" s="1"/>
  <c r="Z538" i="1"/>
  <c r="V538" i="1" s="1"/>
  <c r="AD548" i="1"/>
  <c r="AE553" i="1"/>
  <c r="AC557" i="1"/>
  <c r="O565" i="1"/>
  <c r="AD573" i="1"/>
  <c r="AC575" i="1"/>
  <c r="L581" i="1"/>
  <c r="AA582" i="1"/>
  <c r="L582" i="1"/>
  <c r="S582" i="1"/>
  <c r="Y582" i="1"/>
  <c r="AJ582" i="1" s="1"/>
  <c r="AG582" i="1"/>
  <c r="Q582" i="1"/>
  <c r="O582" i="1"/>
  <c r="AC582" i="1"/>
  <c r="S583" i="1"/>
  <c r="AF586" i="1"/>
  <c r="AB589" i="1"/>
  <c r="I559" i="1"/>
  <c r="AH558" i="1"/>
  <c r="AD575" i="1"/>
  <c r="Q581" i="1"/>
  <c r="W584" i="1"/>
  <c r="AF589" i="1"/>
  <c r="AE589" i="1"/>
  <c r="Q500" i="1"/>
  <c r="O534" i="1"/>
  <c r="AC534" i="1"/>
  <c r="L536" i="1"/>
  <c r="AC536" i="1"/>
  <c r="L538" i="1"/>
  <c r="AB538" i="1"/>
  <c r="L541" i="1"/>
  <c r="AC541" i="1"/>
  <c r="AD543" i="1"/>
  <c r="O551" i="1"/>
  <c r="AD552" i="1"/>
  <c r="Y552" i="1"/>
  <c r="AJ552" i="1" s="1"/>
  <c r="AA552" i="1"/>
  <c r="AG557" i="1"/>
  <c r="Q559" i="1"/>
  <c r="AG559" i="1"/>
  <c r="Y563" i="1"/>
  <c r="AJ563" i="1" s="1"/>
  <c r="AF566" i="1"/>
  <c r="AE566" i="1"/>
  <c r="T567" i="1"/>
  <c r="T571" i="1"/>
  <c r="T581" i="1"/>
  <c r="L585" i="1"/>
  <c r="AJ586" i="1"/>
  <c r="Y595" i="1"/>
  <c r="AJ595" i="1" s="1"/>
  <c r="AG605" i="1"/>
  <c r="T608" i="1"/>
  <c r="AD591" i="1"/>
  <c r="L591" i="1"/>
  <c r="AG591" i="1"/>
  <c r="AA591" i="1"/>
  <c r="AE596" i="1"/>
  <c r="I602" i="1"/>
  <c r="L605" i="1"/>
  <c r="AJ606" i="1"/>
  <c r="AA608" i="1"/>
  <c r="W622" i="1"/>
  <c r="Q605" i="1"/>
  <c r="AB608" i="1"/>
  <c r="AE610" i="1"/>
  <c r="AF610" i="1"/>
  <c r="I654" i="1"/>
  <c r="AH653" i="1"/>
  <c r="Y558" i="1"/>
  <c r="AJ558" i="1" s="1"/>
  <c r="S558" i="1"/>
  <c r="AG558" i="1"/>
  <c r="L579" i="1"/>
  <c r="AJ580" i="1"/>
  <c r="AC591" i="1"/>
  <c r="AD595" i="1"/>
  <c r="AB595" i="1"/>
  <c r="T595" i="1"/>
  <c r="L595" i="1"/>
  <c r="AC595" i="1"/>
  <c r="T600" i="1"/>
  <c r="Q602" i="1"/>
  <c r="AC604" i="1"/>
  <c r="O604" i="1"/>
  <c r="R604" i="1"/>
  <c r="Q604" i="1"/>
  <c r="L604" i="1"/>
  <c r="R605" i="1"/>
  <c r="AB607" i="1"/>
  <c r="Z607" i="1"/>
  <c r="L607" i="1"/>
  <c r="Y607" i="1"/>
  <c r="AJ607" i="1" s="1"/>
  <c r="AG607" i="1"/>
  <c r="AC608" i="1"/>
  <c r="T558" i="1"/>
  <c r="AG580" i="1"/>
  <c r="T580" i="1"/>
  <c r="L592" i="1"/>
  <c r="T593" i="1"/>
  <c r="AD593" i="1"/>
  <c r="AC593" i="1"/>
  <c r="L594" i="1"/>
  <c r="S605" i="1"/>
  <c r="T605" i="1"/>
  <c r="AC660" i="1"/>
  <c r="L660" i="1"/>
  <c r="AA660" i="1"/>
  <c r="AB660" i="1"/>
  <c r="Z660" i="1"/>
  <c r="T660" i="1"/>
  <c r="O660" i="1"/>
  <c r="AD660" i="1"/>
  <c r="O590" i="1"/>
  <c r="AA590" i="1"/>
  <c r="AG595" i="1"/>
  <c r="O608" i="1"/>
  <c r="L608" i="1"/>
  <c r="AG608" i="1"/>
  <c r="Z661" i="1"/>
  <c r="L661" i="1"/>
  <c r="T661" i="1"/>
  <c r="AG661" i="1"/>
  <c r="AC661" i="1"/>
  <c r="AA661" i="1"/>
  <c r="O661" i="1"/>
  <c r="Y661" i="1"/>
  <c r="AJ661" i="1" s="1"/>
  <c r="AD661" i="1"/>
  <c r="AB661" i="1"/>
  <c r="AD579" i="1"/>
  <c r="Y579" i="1"/>
  <c r="AJ579" i="1" s="1"/>
  <c r="AC590" i="1"/>
  <c r="AD600" i="1"/>
  <c r="Y600" i="1"/>
  <c r="AJ600" i="1" s="1"/>
  <c r="AG600" i="1"/>
  <c r="AC600" i="1"/>
  <c r="AH600" i="1"/>
  <c r="S602" i="1"/>
  <c r="AC602" i="1"/>
  <c r="O602" i="1"/>
  <c r="Z602" i="1"/>
  <c r="V602" i="1" s="1"/>
  <c r="Y602" i="1"/>
  <c r="AJ602" i="1" s="1"/>
  <c r="H602" i="1"/>
  <c r="AF611" i="1"/>
  <c r="AF613" i="1"/>
  <c r="AE613" i="1"/>
  <c r="AD590" i="1"/>
  <c r="AA592" i="1"/>
  <c r="AB592" i="1"/>
  <c r="AC594" i="1"/>
  <c r="O594" i="1"/>
  <c r="AB594" i="1"/>
  <c r="O605" i="1"/>
  <c r="Z605" i="1"/>
  <c r="V605" i="1" s="1"/>
  <c r="AC572" i="1"/>
  <c r="AD572" i="1"/>
  <c r="T591" i="1"/>
  <c r="AC592" i="1"/>
  <c r="AD594" i="1"/>
  <c r="Y608" i="1"/>
  <c r="AJ608" i="1" s="1"/>
  <c r="AH637" i="1"/>
  <c r="I638" i="1"/>
  <c r="Z616" i="1"/>
  <c r="I624" i="1"/>
  <c r="AD625" i="1"/>
  <c r="AG629" i="1"/>
  <c r="AF630" i="1"/>
  <c r="AA638" i="1"/>
  <c r="L638" i="1"/>
  <c r="S638" i="1"/>
  <c r="T638" i="1"/>
  <c r="Y645" i="1"/>
  <c r="AJ645" i="1" s="1"/>
  <c r="AF677" i="1"/>
  <c r="AE677" i="1"/>
  <c r="R584" i="1"/>
  <c r="T613" i="1"/>
  <c r="T614" i="1"/>
  <c r="AB615" i="1"/>
  <c r="AA616" i="1"/>
  <c r="L622" i="1"/>
  <c r="AC622" i="1"/>
  <c r="Y625" i="1"/>
  <c r="AJ625" i="1" s="1"/>
  <c r="AD627" i="1"/>
  <c r="AB641" i="1"/>
  <c r="AB644" i="1"/>
  <c r="AA644" i="1"/>
  <c r="O644" i="1"/>
  <c r="AC644" i="1"/>
  <c r="W655" i="1"/>
  <c r="AG657" i="1"/>
  <c r="O658" i="1"/>
  <c r="AE664" i="1"/>
  <c r="AF719" i="1"/>
  <c r="AE719" i="1"/>
  <c r="AG586" i="1"/>
  <c r="T586" i="1"/>
  <c r="AB616" i="1"/>
  <c r="O622" i="1"/>
  <c r="AD622" i="1"/>
  <c r="L632" i="1"/>
  <c r="Y655" i="1"/>
  <c r="AJ655" i="1" s="1"/>
  <c r="AC655" i="1"/>
  <c r="O655" i="1"/>
  <c r="Z655" i="1"/>
  <c r="V655" i="1" s="1"/>
  <c r="AG655" i="1"/>
  <c r="T655" i="1"/>
  <c r="T658" i="1"/>
  <c r="AF675" i="1"/>
  <c r="AE675" i="1"/>
  <c r="Z569" i="1"/>
  <c r="T569" i="1"/>
  <c r="Z586" i="1"/>
  <c r="T588" i="1"/>
  <c r="AA596" i="1"/>
  <c r="AB596" i="1"/>
  <c r="S603" i="1"/>
  <c r="AG603" i="1"/>
  <c r="S606" i="1"/>
  <c r="AB606" i="1"/>
  <c r="L606" i="1"/>
  <c r="T606" i="1"/>
  <c r="AB611" i="1"/>
  <c r="O611" i="1"/>
  <c r="AA613" i="1"/>
  <c r="AC615" i="1"/>
  <c r="AD616" i="1"/>
  <c r="L628" i="1"/>
  <c r="Y638" i="1"/>
  <c r="AJ638" i="1" s="1"/>
  <c r="R639" i="1"/>
  <c r="T639" i="1"/>
  <c r="Y641" i="1"/>
  <c r="AJ641" i="1" s="1"/>
  <c r="AG641" i="1"/>
  <c r="O645" i="1"/>
  <c r="AA646" i="1"/>
  <c r="Z646" i="1"/>
  <c r="AD646" i="1"/>
  <c r="H655" i="1"/>
  <c r="L670" i="1"/>
  <c r="T670" i="1"/>
  <c r="AG670" i="1"/>
  <c r="Q670" i="1"/>
  <c r="O670" i="1"/>
  <c r="AD670" i="1"/>
  <c r="AC670" i="1"/>
  <c r="AF696" i="1"/>
  <c r="AE696" i="1"/>
  <c r="AE698" i="1"/>
  <c r="L711" i="1"/>
  <c r="AG711" i="1"/>
  <c r="T711" i="1"/>
  <c r="O711" i="1"/>
  <c r="Y711" i="1"/>
  <c r="AJ711" i="1" s="1"/>
  <c r="AC711" i="1"/>
  <c r="Z711" i="1"/>
  <c r="AD711" i="1"/>
  <c r="AB711" i="1"/>
  <c r="AA711" i="1"/>
  <c r="H711" i="1"/>
  <c r="AJ603" i="1"/>
  <c r="Y616" i="1"/>
  <c r="AJ616" i="1" s="1"/>
  <c r="Z622" i="1"/>
  <c r="V622" i="1" s="1"/>
  <c r="S622" i="1"/>
  <c r="AG622" i="1"/>
  <c r="L627" i="1"/>
  <c r="O628" i="1"/>
  <c r="AC632" i="1"/>
  <c r="Y632" i="1"/>
  <c r="AJ632" i="1" s="1"/>
  <c r="Z632" i="1"/>
  <c r="Z643" i="1"/>
  <c r="AD658" i="1"/>
  <c r="Y658" i="1"/>
  <c r="AJ658" i="1" s="1"/>
  <c r="AC658" i="1"/>
  <c r="AB658" i="1"/>
  <c r="AD671" i="1"/>
  <c r="R671" i="1"/>
  <c r="Z671" i="1"/>
  <c r="V671" i="1" s="1"/>
  <c r="L671" i="1"/>
  <c r="AC671" i="1"/>
  <c r="Y671" i="1"/>
  <c r="AJ671" i="1" s="1"/>
  <c r="T671" i="1"/>
  <c r="AF680" i="1"/>
  <c r="AE680" i="1"/>
  <c r="L609" i="1"/>
  <c r="Z609" i="1"/>
  <c r="AG616" i="1"/>
  <c r="AG621" i="1"/>
  <c r="T622" i="1"/>
  <c r="AH622" i="1"/>
  <c r="AJ624" i="1"/>
  <c r="O627" i="1"/>
  <c r="Z629" i="1"/>
  <c r="AD629" i="1"/>
  <c r="Y629" i="1"/>
  <c r="AJ629" i="1" s="1"/>
  <c r="Z631" i="1"/>
  <c r="AA632" i="1"/>
  <c r="Z638" i="1"/>
  <c r="O657" i="1"/>
  <c r="AC628" i="1"/>
  <c r="T643" i="1"/>
  <c r="AC643" i="1"/>
  <c r="AB643" i="1"/>
  <c r="O643" i="1"/>
  <c r="AD643" i="1"/>
  <c r="AF681" i="1"/>
  <c r="AE681" i="1"/>
  <c r="W686" i="1"/>
  <c r="Z625" i="1"/>
  <c r="L625" i="1"/>
  <c r="Z628" i="1"/>
  <c r="AD632" i="1"/>
  <c r="AC638" i="1"/>
  <c r="L641" i="1"/>
  <c r="AD645" i="1"/>
  <c r="AA645" i="1"/>
  <c r="Z645" i="1"/>
  <c r="L645" i="1"/>
  <c r="AC645" i="1"/>
  <c r="AF662" i="1"/>
  <c r="L616" i="1"/>
  <c r="AA625" i="1"/>
  <c r="Z627" i="1"/>
  <c r="AA628" i="1"/>
  <c r="O638" i="1"/>
  <c r="AD638" i="1"/>
  <c r="AB628" i="1"/>
  <c r="AJ637" i="1"/>
  <c r="Q638" i="1"/>
  <c r="T616" i="1"/>
  <c r="AC625" i="1"/>
  <c r="AB627" i="1"/>
  <c r="AD628" i="1"/>
  <c r="AE631" i="1"/>
  <c r="AG632" i="1"/>
  <c r="R638" i="1"/>
  <c r="AG638" i="1"/>
  <c r="AD641" i="1"/>
  <c r="AC641" i="1"/>
  <c r="Z641" i="1"/>
  <c r="AG645" i="1"/>
  <c r="L657" i="1"/>
  <c r="AD657" i="1"/>
  <c r="Y657" i="1"/>
  <c r="AJ657" i="1" s="1"/>
  <c r="Z657" i="1"/>
  <c r="AC657" i="1"/>
  <c r="AA689" i="1"/>
  <c r="L689" i="1"/>
  <c r="AG689" i="1"/>
  <c r="AF732" i="1"/>
  <c r="AE732" i="1"/>
  <c r="AA745" i="1"/>
  <c r="AC745" i="1"/>
  <c r="T745" i="1"/>
  <c r="Z745" i="1"/>
  <c r="L745" i="1"/>
  <c r="AG745" i="1"/>
  <c r="AD745" i="1"/>
  <c r="AB745" i="1"/>
  <c r="O745" i="1"/>
  <c r="Y745" i="1"/>
  <c r="AJ745" i="1" s="1"/>
  <c r="T642" i="1"/>
  <c r="AD663" i="1"/>
  <c r="AG686" i="1"/>
  <c r="Y690" i="1"/>
  <c r="AJ690" i="1" s="1"/>
  <c r="R706" i="1"/>
  <c r="S709" i="1"/>
  <c r="Z689" i="1"/>
  <c r="V689" i="1" s="1"/>
  <c r="T718" i="1"/>
  <c r="AD718" i="1"/>
  <c r="AB718" i="1"/>
  <c r="O718" i="1"/>
  <c r="AJ727" i="1"/>
  <c r="T675" i="1"/>
  <c r="AC675" i="1"/>
  <c r="AB675" i="1"/>
  <c r="AG680" i="1"/>
  <c r="AC680" i="1"/>
  <c r="Y680" i="1"/>
  <c r="AJ680" i="1" s="1"/>
  <c r="AB680" i="1"/>
  <c r="Z680" i="1"/>
  <c r="AA680" i="1"/>
  <c r="AJ686" i="1"/>
  <c r="H689" i="1"/>
  <c r="AC689" i="1"/>
  <c r="AF700" i="1"/>
  <c r="AE700" i="1"/>
  <c r="AF775" i="1"/>
  <c r="AE775" i="1"/>
  <c r="R623" i="1"/>
  <c r="T633" i="1"/>
  <c r="R640" i="1"/>
  <c r="AC642" i="1"/>
  <c r="T647" i="1"/>
  <c r="AG648" i="1"/>
  <c r="T648" i="1"/>
  <c r="S654" i="1"/>
  <c r="R654" i="1"/>
  <c r="AD659" i="1"/>
  <c r="L664" i="1"/>
  <c r="O676" i="1"/>
  <c r="O679" i="1"/>
  <c r="AG688" i="1"/>
  <c r="T688" i="1"/>
  <c r="R688" i="1"/>
  <c r="Z688" i="1"/>
  <c r="V688" i="1" s="1"/>
  <c r="Q690" i="1"/>
  <c r="AD691" i="1"/>
  <c r="Y691" i="1"/>
  <c r="AJ691" i="1" s="1"/>
  <c r="AC691" i="1"/>
  <c r="Z691" i="1"/>
  <c r="O691" i="1"/>
  <c r="AG691" i="1"/>
  <c r="AD695" i="1"/>
  <c r="AA695" i="1"/>
  <c r="Z695" i="1"/>
  <c r="O695" i="1"/>
  <c r="L695" i="1"/>
  <c r="AJ700" i="1"/>
  <c r="AD705" i="1"/>
  <c r="I707" i="1"/>
  <c r="AD716" i="1"/>
  <c r="AG716" i="1"/>
  <c r="Y716" i="1"/>
  <c r="AJ716" i="1" s="1"/>
  <c r="AC716" i="1"/>
  <c r="AB716" i="1"/>
  <c r="AA716" i="1"/>
  <c r="Z716" i="1"/>
  <c r="T716" i="1"/>
  <c r="Z718" i="1"/>
  <c r="I728" i="1"/>
  <c r="AH727" i="1"/>
  <c r="AF733" i="1"/>
  <c r="AE733" i="1"/>
  <c r="AD649" i="1"/>
  <c r="T649" i="1"/>
  <c r="O664" i="1"/>
  <c r="L665" i="1"/>
  <c r="T676" i="1"/>
  <c r="AH685" i="1"/>
  <c r="AA700" i="1"/>
  <c r="O700" i="1"/>
  <c r="L700" i="1"/>
  <c r="AC700" i="1"/>
  <c r="AA718" i="1"/>
  <c r="O736" i="1"/>
  <c r="AC736" i="1"/>
  <c r="Z736" i="1"/>
  <c r="L736" i="1"/>
  <c r="T736" i="1"/>
  <c r="Y736" i="1"/>
  <c r="AJ736" i="1" s="1"/>
  <c r="AG736" i="1"/>
  <c r="AD736" i="1"/>
  <c r="AB736" i="1"/>
  <c r="AG677" i="1"/>
  <c r="Z679" i="1"/>
  <c r="Q689" i="1"/>
  <c r="L705" i="1"/>
  <c r="T705" i="1"/>
  <c r="O705" i="1"/>
  <c r="AC705" i="1"/>
  <c r="Z705" i="1"/>
  <c r="AC718" i="1"/>
  <c r="AF720" i="1"/>
  <c r="AE720" i="1"/>
  <c r="AC664" i="1"/>
  <c r="Y664" i="1"/>
  <c r="AJ664" i="1" s="1"/>
  <c r="Z664" i="1"/>
  <c r="Y677" i="1"/>
  <c r="AJ677" i="1" s="1"/>
  <c r="R689" i="1"/>
  <c r="AD706" i="1"/>
  <c r="Q706" i="1"/>
  <c r="AC706" i="1"/>
  <c r="O706" i="1"/>
  <c r="L706" i="1"/>
  <c r="S706" i="1"/>
  <c r="Y709" i="1"/>
  <c r="AJ709" i="1" s="1"/>
  <c r="AG709" i="1"/>
  <c r="Z709" i="1"/>
  <c r="V709" i="1" s="1"/>
  <c r="T709" i="1"/>
  <c r="R709" i="1"/>
  <c r="L709" i="1"/>
  <c r="AB663" i="1"/>
  <c r="AA664" i="1"/>
  <c r="AC676" i="1"/>
  <c r="AB676" i="1"/>
  <c r="Z676" i="1"/>
  <c r="AD676" i="1"/>
  <c r="T679" i="1"/>
  <c r="AC679" i="1"/>
  <c r="AB679" i="1"/>
  <c r="S686" i="1"/>
  <c r="AD686" i="1"/>
  <c r="R686" i="1"/>
  <c r="L686" i="1"/>
  <c r="I688" i="1"/>
  <c r="S689" i="1"/>
  <c r="L719" i="1"/>
  <c r="T719" i="1"/>
  <c r="O719" i="1"/>
  <c r="AC719" i="1"/>
  <c r="Z719" i="1"/>
  <c r="L675" i="1"/>
  <c r="AF679" i="1"/>
  <c r="AE679" i="1"/>
  <c r="T689" i="1"/>
  <c r="AG690" i="1"/>
  <c r="S690" i="1"/>
  <c r="R690" i="1"/>
  <c r="L690" i="1"/>
  <c r="AF714" i="1"/>
  <c r="AG731" i="1"/>
  <c r="T701" i="1"/>
  <c r="S708" i="1"/>
  <c r="R708" i="1"/>
  <c r="T708" i="1"/>
  <c r="Y725" i="1"/>
  <c r="AJ725" i="1" s="1"/>
  <c r="AH725" i="1"/>
  <c r="AH726" i="1"/>
  <c r="W748" i="1"/>
  <c r="AA732" i="1"/>
  <c r="AD757" i="1"/>
  <c r="O757" i="1"/>
  <c r="AC757" i="1"/>
  <c r="AB757" i="1"/>
  <c r="AA757" i="1"/>
  <c r="Z757" i="1"/>
  <c r="L757" i="1"/>
  <c r="AG757" i="1"/>
  <c r="Y757" i="1"/>
  <c r="AJ757" i="1" s="1"/>
  <c r="O673" i="1"/>
  <c r="O677" i="1"/>
  <c r="O681" i="1"/>
  <c r="AB701" i="1"/>
  <c r="AB717" i="1"/>
  <c r="AA717" i="1"/>
  <c r="L721" i="1"/>
  <c r="AC726" i="1"/>
  <c r="O726" i="1"/>
  <c r="Q728" i="1"/>
  <c r="L740" i="1"/>
  <c r="AG751" i="1"/>
  <c r="AB751" i="1"/>
  <c r="AD751" i="1"/>
  <c r="AA751" i="1"/>
  <c r="Z751" i="1"/>
  <c r="T751" i="1"/>
  <c r="O751" i="1"/>
  <c r="Y751" i="1"/>
  <c r="AJ751" i="1" s="1"/>
  <c r="T757" i="1"/>
  <c r="AB732" i="1"/>
  <c r="Z732" i="1"/>
  <c r="O732" i="1"/>
  <c r="AG732" i="1"/>
  <c r="Q687" i="1"/>
  <c r="AC687" i="1"/>
  <c r="T692" i="1"/>
  <c r="AD701" i="1"/>
  <c r="O707" i="1"/>
  <c r="R707" i="1"/>
  <c r="O710" i="1"/>
  <c r="L714" i="1"/>
  <c r="L715" i="1"/>
  <c r="AC717" i="1"/>
  <c r="T721" i="1"/>
  <c r="AG729" i="1"/>
  <c r="T729" i="1"/>
  <c r="Q729" i="1"/>
  <c r="AC729" i="1"/>
  <c r="O729" i="1"/>
  <c r="L738" i="1"/>
  <c r="Z740" i="1"/>
  <c r="Q560" i="1"/>
  <c r="Q564" i="1"/>
  <c r="Q624" i="1"/>
  <c r="T637" i="1"/>
  <c r="Q672" i="1"/>
  <c r="Z673" i="1"/>
  <c r="Z677" i="1"/>
  <c r="T685" i="1"/>
  <c r="R687" i="1"/>
  <c r="T693" i="1"/>
  <c r="T694" i="1"/>
  <c r="L696" i="1"/>
  <c r="S707" i="1"/>
  <c r="Z708" i="1"/>
  <c r="V708" i="1" s="1"/>
  <c r="Q710" i="1"/>
  <c r="Z715" i="1"/>
  <c r="AD717" i="1"/>
  <c r="H732" i="1"/>
  <c r="AC737" i="1"/>
  <c r="L737" i="1"/>
  <c r="AA737" i="1"/>
  <c r="T737" i="1"/>
  <c r="O737" i="1"/>
  <c r="AF737" i="1"/>
  <c r="AB741" i="1"/>
  <c r="Y748" i="1"/>
  <c r="AJ748" i="1" s="1"/>
  <c r="AG748" i="1"/>
  <c r="T748" i="1"/>
  <c r="AC748" i="1"/>
  <c r="O748" i="1"/>
  <c r="R748" i="1"/>
  <c r="Z748" i="1"/>
  <c r="V748" i="1" s="1"/>
  <c r="S748" i="1"/>
  <c r="L751" i="1"/>
  <c r="T725" i="1"/>
  <c r="AG725" i="1"/>
  <c r="AA725" i="1"/>
  <c r="T728" i="1"/>
  <c r="Y728" i="1"/>
  <c r="AJ728" i="1" s="1"/>
  <c r="AC733" i="1"/>
  <c r="AA733" i="1"/>
  <c r="AB733" i="1"/>
  <c r="T733" i="1"/>
  <c r="AC782" i="1"/>
  <c r="Y782" i="1"/>
  <c r="AJ782" i="1" s="1"/>
  <c r="AA782" i="1"/>
  <c r="AB782" i="1"/>
  <c r="AG782" i="1"/>
  <c r="Z782" i="1"/>
  <c r="T782" i="1"/>
  <c r="O782" i="1"/>
  <c r="L782" i="1"/>
  <c r="AD782" i="1"/>
  <c r="T696" i="1"/>
  <c r="S710" i="1"/>
  <c r="AG710" i="1"/>
  <c r="T714" i="1"/>
  <c r="AA714" i="1"/>
  <c r="AD721" i="1"/>
  <c r="AB721" i="1"/>
  <c r="AB725" i="1"/>
  <c r="Y732" i="1"/>
  <c r="AJ732" i="1" s="1"/>
  <c r="T697" i="1"/>
  <c r="T698" i="1"/>
  <c r="L708" i="1"/>
  <c r="AC708" i="1"/>
  <c r="T710" i="1"/>
  <c r="AB713" i="1"/>
  <c r="AA713" i="1"/>
  <c r="AB714" i="1"/>
  <c r="AC721" i="1"/>
  <c r="AC725" i="1"/>
  <c r="AE726" i="1"/>
  <c r="Z728" i="1"/>
  <c r="V728" i="1" s="1"/>
  <c r="AF754" i="1"/>
  <c r="AE754" i="1"/>
  <c r="T669" i="1"/>
  <c r="Z696" i="1"/>
  <c r="AD699" i="1"/>
  <c r="T699" i="1"/>
  <c r="L701" i="1"/>
  <c r="O708" i="1"/>
  <c r="AD712" i="1"/>
  <c r="Z713" i="1"/>
  <c r="AC714" i="1"/>
  <c r="AB720" i="1"/>
  <c r="AD725" i="1"/>
  <c r="L726" i="1"/>
  <c r="L732" i="1"/>
  <c r="Z738" i="1"/>
  <c r="AB738" i="1"/>
  <c r="T738" i="1"/>
  <c r="O738" i="1"/>
  <c r="AF738" i="1"/>
  <c r="AD740" i="1"/>
  <c r="Y740" i="1"/>
  <c r="AJ740" i="1" s="1"/>
  <c r="AA740" i="1"/>
  <c r="O740" i="1"/>
  <c r="T740" i="1"/>
  <c r="AG740" i="1"/>
  <c r="AC741" i="1"/>
  <c r="AD741" i="1"/>
  <c r="L741" i="1"/>
  <c r="AA741" i="1"/>
  <c r="O741" i="1"/>
  <c r="AD746" i="1"/>
  <c r="R746" i="1"/>
  <c r="Q746" i="1"/>
  <c r="AJ747" i="1"/>
  <c r="L749" i="1"/>
  <c r="Q749" i="1"/>
  <c r="AE773" i="1"/>
  <c r="T750" i="1"/>
  <c r="AC750" i="1"/>
  <c r="Z750" i="1"/>
  <c r="AB750" i="1"/>
  <c r="AA754" i="1"/>
  <c r="AB754" i="1"/>
  <c r="T754" i="1"/>
  <c r="O754" i="1"/>
  <c r="AG754" i="1"/>
  <c r="Z770" i="1"/>
  <c r="AA734" i="1"/>
  <c r="Y749" i="1"/>
  <c r="AJ749" i="1" s="1"/>
  <c r="Y754" i="1"/>
  <c r="AJ754" i="1" s="1"/>
  <c r="AD784" i="1"/>
  <c r="L784" i="1"/>
  <c r="S784" i="1"/>
  <c r="R784" i="1"/>
  <c r="Q784" i="1"/>
  <c r="AG784" i="1"/>
  <c r="O784" i="1"/>
  <c r="Y784" i="1"/>
  <c r="AJ784" i="1" s="1"/>
  <c r="AC784" i="1"/>
  <c r="H784" i="1"/>
  <c r="Z784" i="1"/>
  <c r="V784" i="1" s="1"/>
  <c r="T784" i="1"/>
  <c r="AJ750" i="1"/>
  <c r="I763" i="1"/>
  <c r="AH762" i="1"/>
  <c r="AE778" i="1"/>
  <c r="AF778" i="1"/>
  <c r="AD770" i="1"/>
  <c r="AB770" i="1"/>
  <c r="T770" i="1"/>
  <c r="O770" i="1"/>
  <c r="L770" i="1"/>
  <c r="AJ786" i="1"/>
  <c r="AB775" i="1"/>
  <c r="AA775" i="1"/>
  <c r="O775" i="1"/>
  <c r="T775" i="1"/>
  <c r="L775" i="1"/>
  <c r="Z785" i="1"/>
  <c r="V785" i="1" s="1"/>
  <c r="S785" i="1"/>
  <c r="L785" i="1"/>
  <c r="R785" i="1"/>
  <c r="Y785" i="1"/>
  <c r="AJ785" i="1" s="1"/>
  <c r="H785" i="1"/>
  <c r="AA785" i="1"/>
  <c r="Z690" i="1"/>
  <c r="V690" i="1" s="1"/>
  <c r="AA563" i="1"/>
  <c r="AD563" i="1"/>
  <c r="AD785" i="1"/>
  <c r="AE792" i="1"/>
  <c r="AA201" i="1"/>
  <c r="AD201" i="1"/>
  <c r="AA784" i="1"/>
  <c r="H541" i="1"/>
  <c r="AC766" i="1"/>
  <c r="L771" i="1"/>
  <c r="AD772" i="1"/>
  <c r="AB772" i="1"/>
  <c r="Y773" i="1"/>
  <c r="AJ773" i="1" s="1"/>
  <c r="AG785" i="1"/>
  <c r="T791" i="1"/>
  <c r="H90" i="1"/>
  <c r="AA125" i="1"/>
  <c r="L777" i="1"/>
  <c r="Z777" i="1"/>
  <c r="AA777" i="1"/>
  <c r="T777" i="1"/>
  <c r="AC777" i="1"/>
  <c r="Z793" i="1"/>
  <c r="O793" i="1"/>
  <c r="AB793" i="1"/>
  <c r="T793" i="1"/>
  <c r="L793" i="1"/>
  <c r="AG793" i="1"/>
  <c r="AD793" i="1"/>
  <c r="Z706" i="1"/>
  <c r="AB517" i="1"/>
  <c r="H94" i="1"/>
  <c r="O785" i="1"/>
  <c r="L769" i="1"/>
  <c r="AC769" i="1"/>
  <c r="AA769" i="1"/>
  <c r="AB769" i="1"/>
  <c r="AB774" i="1"/>
  <c r="L774" i="1"/>
  <c r="AA774" i="1"/>
  <c r="AE777" i="1"/>
  <c r="T783" i="1"/>
  <c r="H783" i="1"/>
  <c r="AC783" i="1"/>
  <c r="O783" i="1"/>
  <c r="Y783" i="1"/>
  <c r="AJ783" i="1" s="1"/>
  <c r="Q783" i="1"/>
  <c r="Q785" i="1"/>
  <c r="H292" i="1"/>
  <c r="AD752" i="1"/>
  <c r="T752" i="1"/>
  <c r="O753" i="1"/>
  <c r="S766" i="1"/>
  <c r="S767" i="1"/>
  <c r="AD769" i="1"/>
  <c r="AC774" i="1"/>
  <c r="Z776" i="1"/>
  <c r="T785" i="1"/>
  <c r="AC796" i="1"/>
  <c r="AA796" i="1"/>
  <c r="O796" i="1"/>
  <c r="AD796" i="1"/>
  <c r="Z796" i="1"/>
  <c r="H337" i="1"/>
  <c r="T753" i="1"/>
  <c r="S764" i="1"/>
  <c r="L764" i="1"/>
  <c r="AC764" i="1"/>
  <c r="Z764" i="1"/>
  <c r="V764" i="1" s="1"/>
  <c r="Y765" i="1"/>
  <c r="AJ765" i="1" s="1"/>
  <c r="H765" i="1"/>
  <c r="AB771" i="1"/>
  <c r="AD771" i="1"/>
  <c r="AA771" i="1"/>
  <c r="AD774" i="1"/>
  <c r="Y777" i="1"/>
  <c r="AJ777" i="1" s="1"/>
  <c r="AG777" i="1"/>
  <c r="T787" i="1"/>
  <c r="H787" i="1"/>
  <c r="Q787" i="1"/>
  <c r="Z787" i="1"/>
  <c r="V787" i="1" s="1"/>
  <c r="AG787" i="1"/>
  <c r="O787" i="1"/>
  <c r="AC787" i="1"/>
  <c r="Z90" i="1"/>
  <c r="V90" i="1" s="1"/>
  <c r="H331" i="1"/>
  <c r="AB540" i="1"/>
  <c r="W765" i="1"/>
  <c r="L766" i="1"/>
  <c r="R766" i="1"/>
  <c r="O766" i="1"/>
  <c r="O767" i="1"/>
  <c r="H767" i="1"/>
  <c r="Z767" i="1"/>
  <c r="V767" i="1" s="1"/>
  <c r="X767" i="1" s="1"/>
  <c r="AG769" i="1"/>
  <c r="L773" i="1"/>
  <c r="AC773" i="1"/>
  <c r="Z773" i="1"/>
  <c r="AA776" i="1"/>
  <c r="T776" i="1"/>
  <c r="L776" i="1"/>
  <c r="AC776" i="1"/>
  <c r="AD783" i="1"/>
  <c r="AD791" i="1"/>
  <c r="AC791" i="1"/>
  <c r="Z791" i="1"/>
  <c r="O791" i="1"/>
  <c r="AA421" i="1"/>
  <c r="R747" i="1"/>
  <c r="AA752" i="1"/>
  <c r="Z753" i="1"/>
  <c r="AA762" i="1"/>
  <c r="T762" i="1"/>
  <c r="AC762" i="1"/>
  <c r="H764" i="1"/>
  <c r="Y769" i="1"/>
  <c r="AJ769" i="1" s="1"/>
  <c r="L772" i="1"/>
  <c r="AA773" i="1"/>
  <c r="AD776" i="1"/>
  <c r="I784" i="1"/>
  <c r="AH783" i="1"/>
  <c r="AG783" i="1"/>
  <c r="Z132" i="1"/>
  <c r="Q727" i="1"/>
  <c r="T755" i="1"/>
  <c r="T756" i="1"/>
  <c r="L758" i="1"/>
  <c r="O763" i="1"/>
  <c r="R763" i="1"/>
  <c r="AG768" i="1"/>
  <c r="Z768" i="1"/>
  <c r="AA476" i="1"/>
  <c r="T758" i="1"/>
  <c r="AJ793" i="1"/>
  <c r="AB209" i="1"/>
  <c r="H537" i="1"/>
  <c r="AC788" i="1"/>
  <c r="Y788" i="1"/>
  <c r="AJ788" i="1" s="1"/>
  <c r="AD788" i="1"/>
  <c r="Z788" i="1"/>
  <c r="H310" i="1"/>
  <c r="H436" i="1"/>
  <c r="AA788" i="1"/>
  <c r="Z797" i="1"/>
  <c r="AA797" i="1"/>
  <c r="L797" i="1"/>
  <c r="AC797" i="1"/>
  <c r="AB271" i="1"/>
  <c r="T795" i="1"/>
  <c r="Z783" i="1"/>
  <c r="V783" i="1" s="1"/>
  <c r="Z789" i="1"/>
  <c r="T789" i="1"/>
  <c r="AB795" i="1"/>
  <c r="H726" i="1"/>
  <c r="AB541" i="1"/>
  <c r="AB514" i="1"/>
  <c r="H585" i="1"/>
  <c r="AA157" i="1"/>
  <c r="AC789" i="1"/>
  <c r="AC792" i="1"/>
  <c r="T792" i="1"/>
  <c r="Q786" i="1"/>
  <c r="Z72" i="1"/>
  <c r="Z600" i="1"/>
  <c r="H673" i="1"/>
  <c r="Z27" i="1"/>
  <c r="H349" i="1"/>
  <c r="Z107" i="1"/>
  <c r="Z237" i="1"/>
  <c r="H565" i="1"/>
  <c r="AF654" i="1" l="1"/>
  <c r="AF763" i="1"/>
  <c r="AE653" i="1"/>
  <c r="AE370" i="1"/>
  <c r="AE437" i="1"/>
  <c r="X622" i="1"/>
  <c r="AF199" i="1"/>
  <c r="AE368" i="1"/>
  <c r="O4" i="1"/>
  <c r="AF245" i="1"/>
  <c r="AE435" i="1"/>
  <c r="AF342" i="1"/>
  <c r="AE165" i="1"/>
  <c r="AF276" i="1"/>
  <c r="H162" i="1"/>
  <c r="H366" i="1"/>
  <c r="Z201" i="1"/>
  <c r="V201" i="1" s="1"/>
  <c r="X201" i="1" s="1"/>
  <c r="Z436" i="1"/>
  <c r="V436" i="1" s="1"/>
  <c r="X436" i="1" s="1"/>
  <c r="AB124" i="1"/>
  <c r="AA94" i="1"/>
  <c r="AA202" i="1"/>
  <c r="AA47" i="1"/>
  <c r="H87" i="1"/>
  <c r="Z47" i="1"/>
  <c r="V47" i="1" s="1"/>
  <c r="X47" i="1" s="1"/>
  <c r="Z202" i="1"/>
  <c r="V202" i="1" s="1"/>
  <c r="X202" i="1" s="1"/>
  <c r="AA86" i="1"/>
  <c r="AA124" i="1"/>
  <c r="Z8" i="1"/>
  <c r="V8" i="1" s="1"/>
  <c r="X8" i="1" s="1"/>
  <c r="AA8" i="1"/>
  <c r="Z160" i="1"/>
  <c r="V160" i="1" s="1"/>
  <c r="X160" i="1" s="1"/>
  <c r="AE750" i="1"/>
  <c r="AA160" i="1"/>
  <c r="Z80" i="1"/>
  <c r="H163" i="1"/>
  <c r="Z3" i="1"/>
  <c r="Z656" i="1"/>
  <c r="V656" i="1" s="1"/>
  <c r="X656" i="1" s="1"/>
  <c r="AB256" i="1"/>
  <c r="AA162" i="1"/>
  <c r="H637" i="1"/>
  <c r="AA339" i="1"/>
  <c r="Z52" i="1"/>
  <c r="V52" i="1" s="1"/>
  <c r="X52" i="1" s="1"/>
  <c r="AA241" i="1"/>
  <c r="H202" i="1"/>
  <c r="AA256" i="1"/>
  <c r="Z82" i="1"/>
  <c r="AA389" i="1"/>
  <c r="Z158" i="1"/>
  <c r="V158" i="1" s="1"/>
  <c r="X158" i="1" s="1"/>
  <c r="Z123" i="1"/>
  <c r="V123" i="1" s="1"/>
  <c r="X123" i="1" s="1"/>
  <c r="AB272" i="1"/>
  <c r="AA123" i="1"/>
  <c r="AB241" i="1"/>
  <c r="X765" i="1"/>
  <c r="H124" i="1"/>
  <c r="H86" i="1"/>
  <c r="Z83" i="1"/>
  <c r="V83" i="1" s="1"/>
  <c r="X83" i="1" s="1"/>
  <c r="H342" i="1"/>
  <c r="AE393" i="1"/>
  <c r="H473" i="1"/>
  <c r="H730" i="1"/>
  <c r="Z604" i="1"/>
  <c r="V604" i="1" s="1"/>
  <c r="X604" i="1" s="1"/>
  <c r="AB162" i="1"/>
  <c r="AA420" i="1"/>
  <c r="H406" i="1"/>
  <c r="H566" i="1"/>
  <c r="Z390" i="1"/>
  <c r="V390" i="1" s="1"/>
  <c r="X390" i="1" s="1"/>
  <c r="Z363" i="1"/>
  <c r="V363" i="1" s="1"/>
  <c r="X363" i="1" s="1"/>
  <c r="H751" i="1"/>
  <c r="Z126" i="1"/>
  <c r="V126" i="1" s="1"/>
  <c r="X126" i="1" s="1"/>
  <c r="H482" i="1"/>
  <c r="X476" i="1"/>
  <c r="Z405" i="1"/>
  <c r="V405" i="1" s="1"/>
  <c r="X405" i="1" s="1"/>
  <c r="AA363" i="1"/>
  <c r="AA310" i="1"/>
  <c r="H690" i="1"/>
  <c r="Z580" i="1"/>
  <c r="V580" i="1" s="1"/>
  <c r="X580" i="1" s="1"/>
  <c r="AA622" i="1"/>
  <c r="X584" i="1"/>
  <c r="H710" i="1"/>
  <c r="Z257" i="1"/>
  <c r="V257" i="1" s="1"/>
  <c r="X257" i="1" s="1"/>
  <c r="AA242" i="1"/>
  <c r="Z310" i="1"/>
  <c r="V310" i="1" s="1"/>
  <c r="X310" i="1" s="1"/>
  <c r="AA390" i="1"/>
  <c r="AA405" i="1"/>
  <c r="Z43" i="1"/>
  <c r="AA257" i="1"/>
  <c r="Z516" i="1"/>
  <c r="V516" i="1" s="1"/>
  <c r="AA580" i="1"/>
  <c r="AA126" i="1"/>
  <c r="Z435" i="1"/>
  <c r="V435" i="1" s="1"/>
  <c r="Z562" i="1"/>
  <c r="V562" i="1" s="1"/>
  <c r="X562" i="1" s="1"/>
  <c r="Z162" i="1"/>
  <c r="V162" i="1" s="1"/>
  <c r="X162" i="1" s="1"/>
  <c r="Z204" i="1"/>
  <c r="V204" i="1" s="1"/>
  <c r="X204" i="1" s="1"/>
  <c r="AE3" i="1"/>
  <c r="AF81" i="1"/>
  <c r="H501" i="1"/>
  <c r="AA291" i="1"/>
  <c r="AB242" i="1"/>
  <c r="AB601" i="1"/>
  <c r="AA290" i="1"/>
  <c r="H158" i="1"/>
  <c r="AF626" i="1"/>
  <c r="AE531" i="1"/>
  <c r="AB580" i="1"/>
  <c r="AB390" i="1"/>
  <c r="AA364" i="1"/>
  <c r="AE607" i="1"/>
  <c r="AE121" i="1"/>
  <c r="Z587" i="1"/>
  <c r="Z603" i="1"/>
  <c r="V603" i="1" s="1"/>
  <c r="X603" i="1" s="1"/>
  <c r="AA309" i="1"/>
  <c r="Z454" i="1"/>
  <c r="V454" i="1" s="1"/>
  <c r="X454" i="1" s="1"/>
  <c r="AB309" i="1"/>
  <c r="AA50" i="1"/>
  <c r="Z500" i="1"/>
  <c r="V500" i="1" s="1"/>
  <c r="X500" i="1" s="1"/>
  <c r="H687" i="1"/>
  <c r="Z503" i="1"/>
  <c r="Z342" i="1"/>
  <c r="AE312" i="1"/>
  <c r="Z729" i="1"/>
  <c r="V729" i="1" s="1"/>
  <c r="X729" i="1" s="1"/>
  <c r="Z533" i="1"/>
  <c r="V533" i="1" s="1"/>
  <c r="X533" i="1" s="1"/>
  <c r="Z608" i="1"/>
  <c r="Z482" i="1"/>
  <c r="H95" i="1"/>
  <c r="AB405" i="1"/>
  <c r="AA480" i="1"/>
  <c r="AA455" i="1"/>
  <c r="Z295" i="1"/>
  <c r="Z560" i="1"/>
  <c r="V560" i="1" s="1"/>
  <c r="X560" i="1" s="1"/>
  <c r="AA165" i="1"/>
  <c r="H210" i="1"/>
  <c r="AF692" i="1"/>
  <c r="AE642" i="1"/>
  <c r="AF408" i="1"/>
  <c r="AE313" i="1"/>
  <c r="AE764" i="1"/>
  <c r="I516" i="1"/>
  <c r="AF89" i="1"/>
  <c r="AF206" i="1"/>
  <c r="X50" i="1"/>
  <c r="X453" i="1"/>
  <c r="AE16" i="1"/>
  <c r="AF474" i="1"/>
  <c r="AE479" i="1"/>
  <c r="AE14" i="1"/>
  <c r="X534" i="1"/>
  <c r="AE341" i="1"/>
  <c r="AF473" i="1"/>
  <c r="Z124" i="1"/>
  <c r="V124" i="1" s="1"/>
  <c r="X124" i="1" s="1"/>
  <c r="H640" i="1"/>
  <c r="Z517" i="1"/>
  <c r="V517" i="1" s="1"/>
  <c r="X517" i="1" s="1"/>
  <c r="H83" i="1"/>
  <c r="Z45" i="1"/>
  <c r="V45" i="1" s="1"/>
  <c r="X45" i="1" s="1"/>
  <c r="AB435" i="1"/>
  <c r="Z312" i="1"/>
  <c r="Z245" i="1"/>
  <c r="Z775" i="1"/>
  <c r="Z393" i="1"/>
  <c r="AB84" i="1"/>
  <c r="AA672" i="1"/>
  <c r="AA45" i="1"/>
  <c r="Z658" i="1"/>
  <c r="AA203" i="1"/>
  <c r="Z653" i="1"/>
  <c r="Z259" i="1"/>
  <c r="AA535" i="1"/>
  <c r="H258" i="1"/>
  <c r="H797" i="1"/>
  <c r="H625" i="1"/>
  <c r="H629" i="1"/>
  <c r="H281" i="1"/>
  <c r="AE309" i="1"/>
  <c r="AB762" i="1"/>
  <c r="Z423" i="1"/>
  <c r="Z670" i="1"/>
  <c r="V670" i="1" s="1"/>
  <c r="X670" i="1" s="1"/>
  <c r="AF50" i="1"/>
  <c r="AA656" i="1"/>
  <c r="Z640" i="1"/>
  <c r="V640" i="1" s="1"/>
  <c r="X640" i="1" s="1"/>
  <c r="Z769" i="1"/>
  <c r="AA84" i="1"/>
  <c r="Z437" i="1"/>
  <c r="Z46" i="1"/>
  <c r="V46" i="1" s="1"/>
  <c r="X46" i="1" s="1"/>
  <c r="Z292" i="1"/>
  <c r="V292" i="1" s="1"/>
  <c r="X292" i="1" s="1"/>
  <c r="Z408" i="1"/>
  <c r="Z455" i="1"/>
  <c r="V455" i="1" s="1"/>
  <c r="X455" i="1" s="1"/>
  <c r="AA536" i="1"/>
  <c r="AE731" i="1"/>
  <c r="AE580" i="1"/>
  <c r="X206" i="1"/>
  <c r="AE542" i="1"/>
  <c r="AE515" i="1"/>
  <c r="X558" i="1"/>
  <c r="I328" i="1"/>
  <c r="AH328" i="1" s="1"/>
  <c r="AE674" i="1"/>
  <c r="AE371" i="1"/>
  <c r="AF80" i="1"/>
  <c r="AE134" i="1"/>
  <c r="AE295" i="1"/>
  <c r="X655" i="1"/>
  <c r="X763" i="1"/>
  <c r="AF457" i="1"/>
  <c r="AE4" i="1"/>
  <c r="X421" i="1"/>
  <c r="I747" i="1"/>
  <c r="AH746" i="1"/>
  <c r="AE170" i="1"/>
  <c r="AE156" i="1"/>
  <c r="X7" i="1"/>
  <c r="X538" i="1"/>
  <c r="X14" i="1"/>
  <c r="X708" i="1"/>
  <c r="AF291" i="1"/>
  <c r="AF257" i="1"/>
  <c r="X688" i="1"/>
  <c r="AF564" i="1"/>
  <c r="AE130" i="1"/>
  <c r="X165" i="1"/>
  <c r="X89" i="1"/>
  <c r="AF530" i="1"/>
  <c r="AE530" i="1"/>
  <c r="AE169" i="1"/>
  <c r="AF169" i="1"/>
  <c r="AE538" i="1"/>
  <c r="AF538" i="1"/>
  <c r="W46" i="1"/>
  <c r="X748" i="1"/>
  <c r="X474" i="1"/>
  <c r="X606" i="1"/>
  <c r="AD336" i="1"/>
  <c r="AF336" i="1" s="1"/>
  <c r="Z486" i="1"/>
  <c r="AA335" i="1"/>
  <c r="X328" i="1"/>
  <c r="H360" i="1"/>
  <c r="H44" i="1"/>
  <c r="H5" i="1"/>
  <c r="H329" i="1"/>
  <c r="H49" i="1"/>
  <c r="H639" i="1"/>
  <c r="H560" i="1"/>
  <c r="H293" i="1"/>
  <c r="Z326" i="1"/>
  <c r="H727" i="1"/>
  <c r="AB637" i="1"/>
  <c r="AE207" i="1"/>
  <c r="AF207" i="1"/>
  <c r="X273" i="1"/>
  <c r="H435" i="1"/>
  <c r="H580" i="1"/>
  <c r="H558" i="1"/>
  <c r="W454" i="1"/>
  <c r="Z681" i="1"/>
  <c r="AA605" i="1"/>
  <c r="X536" i="1"/>
  <c r="Z286" i="1"/>
  <c r="AE133" i="1"/>
  <c r="H456" i="1"/>
  <c r="H13" i="1"/>
  <c r="H481" i="1"/>
  <c r="AE338" i="1"/>
  <c r="AF338" i="1"/>
  <c r="AF762" i="1"/>
  <c r="AE762" i="1"/>
  <c r="H622" i="1"/>
  <c r="AA479" i="1"/>
  <c r="H709" i="1"/>
  <c r="AE637" i="1"/>
  <c r="AF637" i="1"/>
  <c r="AD500" i="1"/>
  <c r="AB257" i="1"/>
  <c r="AE128" i="1"/>
  <c r="AF128" i="1"/>
  <c r="AE168" i="1"/>
  <c r="AF168" i="1"/>
  <c r="AF621" i="1"/>
  <c r="AE621" i="1"/>
  <c r="H680" i="1"/>
  <c r="H607" i="1"/>
  <c r="H420" i="1"/>
  <c r="Z461" i="1"/>
  <c r="AB366" i="1"/>
  <c r="H236" i="1"/>
  <c r="AE129" i="1"/>
  <c r="X168" i="1"/>
  <c r="H134" i="1"/>
  <c r="H340" i="1"/>
  <c r="H55" i="1"/>
  <c r="AD656" i="1"/>
  <c r="AD672" i="1"/>
  <c r="H766" i="1"/>
  <c r="AA729" i="1"/>
  <c r="AE655" i="1"/>
  <c r="AF655" i="1"/>
  <c r="AB638" i="1"/>
  <c r="AF53" i="1"/>
  <c r="AE53" i="1"/>
  <c r="Z125" i="1"/>
  <c r="V125" i="1" s="1"/>
  <c r="X125" i="1" s="1"/>
  <c r="H171" i="1"/>
  <c r="H89" i="1"/>
  <c r="AE171" i="1"/>
  <c r="AF171" i="1"/>
  <c r="AA404" i="1"/>
  <c r="AA52" i="1"/>
  <c r="Z6" i="1"/>
  <c r="V6" i="1" s="1"/>
  <c r="X6" i="1" s="1"/>
  <c r="H677" i="1"/>
  <c r="Z686" i="1"/>
  <c r="V686" i="1" s="1"/>
  <c r="X686" i="1" s="1"/>
  <c r="X709" i="1"/>
  <c r="X671" i="1"/>
  <c r="AE585" i="1"/>
  <c r="H443" i="1"/>
  <c r="H17" i="1"/>
  <c r="AA434" i="1"/>
  <c r="AA530" i="1"/>
  <c r="H624" i="1"/>
  <c r="H274" i="1"/>
  <c r="H604" i="1"/>
  <c r="H762" i="1"/>
  <c r="AA212" i="1"/>
  <c r="Z156" i="1"/>
  <c r="AE83" i="1"/>
  <c r="AF83" i="1"/>
  <c r="H47" i="1"/>
  <c r="H728" i="1"/>
  <c r="H601" i="1"/>
  <c r="Z366" i="1"/>
  <c r="V366" i="1" s="1"/>
  <c r="X366" i="1" s="1"/>
  <c r="AE123" i="1"/>
  <c r="AA419" i="1"/>
  <c r="Z457" i="1"/>
  <c r="H603" i="1"/>
  <c r="AA709" i="1"/>
  <c r="AB621" i="1"/>
  <c r="AA621" i="1"/>
  <c r="Z5" i="1"/>
  <c r="AF43" i="1"/>
  <c r="AE43" i="1"/>
  <c r="AA6" i="1"/>
  <c r="H757" i="1"/>
  <c r="H638" i="1"/>
  <c r="Z572" i="1"/>
  <c r="AA533" i="1"/>
  <c r="H3" i="1"/>
  <c r="AE159" i="1"/>
  <c r="AF159" i="1"/>
  <c r="AB83" i="1"/>
  <c r="AA7" i="1"/>
  <c r="H740" i="1"/>
  <c r="Y508" i="1"/>
  <c r="AJ508" i="1" s="1"/>
  <c r="H396" i="1"/>
  <c r="H193" i="1"/>
  <c r="H477" i="1"/>
  <c r="H623" i="1"/>
  <c r="H311" i="1"/>
  <c r="AA333" i="1"/>
  <c r="AA89" i="1"/>
  <c r="AA206" i="1"/>
  <c r="AA653" i="1"/>
  <c r="AB656" i="1"/>
  <c r="AB672" i="1"/>
  <c r="H363" i="1"/>
  <c r="AE15" i="1"/>
  <c r="AF15" i="1"/>
  <c r="Z198" i="1"/>
  <c r="AA133" i="1"/>
  <c r="AA11" i="1"/>
  <c r="AB7" i="1"/>
  <c r="H716" i="1"/>
  <c r="H657" i="1"/>
  <c r="X585" i="1"/>
  <c r="AD84" i="1"/>
  <c r="AF84" i="1" s="1"/>
  <c r="AF669" i="1"/>
  <c r="AE669" i="1"/>
  <c r="AF685" i="1"/>
  <c r="AE685" i="1"/>
  <c r="AE326" i="1"/>
  <c r="AF326" i="1"/>
  <c r="AB450" i="1"/>
  <c r="AB558" i="1"/>
  <c r="AB420" i="1"/>
  <c r="H326" i="1"/>
  <c r="AA158" i="1"/>
  <c r="H159" i="1"/>
  <c r="H454" i="1"/>
  <c r="H243" i="1"/>
  <c r="AA500" i="1"/>
  <c r="H769" i="1"/>
  <c r="H450" i="1"/>
  <c r="H405" i="1"/>
  <c r="H275" i="1"/>
  <c r="AA170" i="1"/>
  <c r="H479" i="1"/>
  <c r="AA542" i="1"/>
  <c r="AE329" i="1"/>
  <c r="AF329" i="1"/>
  <c r="Z210" i="1"/>
  <c r="V210" i="1" s="1"/>
  <c r="X210" i="1" s="1"/>
  <c r="H452" i="1"/>
  <c r="H257" i="1"/>
  <c r="H82" i="1"/>
  <c r="AA16" i="1"/>
  <c r="AE6" i="1"/>
  <c r="AF6" i="1"/>
  <c r="Z730" i="1"/>
  <c r="V730" i="1" s="1"/>
  <c r="X730" i="1" s="1"/>
  <c r="AD605" i="1"/>
  <c r="H317" i="1"/>
  <c r="H242" i="1"/>
  <c r="AD203" i="1"/>
  <c r="Z566" i="1"/>
  <c r="Z458" i="1"/>
  <c r="Z483" i="1"/>
  <c r="Z519" i="1"/>
  <c r="Z360" i="1"/>
  <c r="Z199" i="1"/>
  <c r="Z44" i="1"/>
  <c r="H692" i="1"/>
  <c r="H626" i="1"/>
  <c r="H543" i="1"/>
  <c r="H341" i="1"/>
  <c r="H277" i="1"/>
  <c r="H276" i="1"/>
  <c r="H370" i="1"/>
  <c r="Z274" i="1"/>
  <c r="V274" i="1" s="1"/>
  <c r="X274" i="1" s="1"/>
  <c r="H500" i="1"/>
  <c r="H583" i="1"/>
  <c r="AE122" i="1"/>
  <c r="AF122" i="1"/>
  <c r="H156" i="1"/>
  <c r="AA83" i="1"/>
  <c r="Z335" i="1"/>
  <c r="V335" i="1" s="1"/>
  <c r="X335" i="1" s="1"/>
  <c r="H272" i="1"/>
  <c r="AA210" i="1"/>
  <c r="H750" i="1"/>
  <c r="H642" i="1"/>
  <c r="H674" i="1"/>
  <c r="H518" i="1"/>
  <c r="H731" i="1"/>
  <c r="H313" i="1"/>
  <c r="H438" i="1"/>
  <c r="H786" i="1"/>
  <c r="H747" i="1"/>
  <c r="W603" i="1"/>
  <c r="Z583" i="1"/>
  <c r="V583" i="1" s="1"/>
  <c r="AA637" i="1"/>
  <c r="AF454" i="1"/>
  <c r="AE454" i="1"/>
  <c r="X159" i="1"/>
  <c r="H11" i="1"/>
  <c r="AD7" i="1"/>
  <c r="H271" i="1"/>
  <c r="H615" i="1"/>
  <c r="AD456" i="1"/>
  <c r="AD91" i="1"/>
  <c r="AD13" i="1"/>
  <c r="AD481" i="1"/>
  <c r="H557" i="1"/>
  <c r="AF201" i="1"/>
  <c r="AE201" i="1"/>
  <c r="V706" i="1"/>
  <c r="X706" i="1" s="1"/>
  <c r="AD603" i="1"/>
  <c r="AD560" i="1"/>
  <c r="W687" i="1"/>
  <c r="AF711" i="1"/>
  <c r="AE711" i="1"/>
  <c r="H605" i="1"/>
  <c r="AH654" i="1"/>
  <c r="I655" i="1"/>
  <c r="W533" i="1"/>
  <c r="H522" i="1"/>
  <c r="X563" i="1"/>
  <c r="W563" i="1"/>
  <c r="AF612" i="1"/>
  <c r="AE612" i="1"/>
  <c r="X515" i="1"/>
  <c r="W515" i="1"/>
  <c r="AE478" i="1"/>
  <c r="AF478" i="1"/>
  <c r="Z385" i="1"/>
  <c r="H428" i="1"/>
  <c r="AE400" i="1"/>
  <c r="AF400" i="1"/>
  <c r="H423" i="1"/>
  <c r="Z449" i="1"/>
  <c r="H444" i="1"/>
  <c r="Z367" i="1"/>
  <c r="I362" i="1"/>
  <c r="AH361" i="1"/>
  <c r="W333" i="1"/>
  <c r="X333" i="1"/>
  <c r="AA327" i="1"/>
  <c r="W332" i="1"/>
  <c r="X332" i="1"/>
  <c r="AF281" i="1"/>
  <c r="AE281" i="1"/>
  <c r="AF217" i="1"/>
  <c r="AE217" i="1"/>
  <c r="H244" i="1"/>
  <c r="AE220" i="1"/>
  <c r="AF220" i="1"/>
  <c r="AH243" i="1"/>
  <c r="I244" i="1"/>
  <c r="X272" i="1"/>
  <c r="W272" i="1"/>
  <c r="H248" i="1"/>
  <c r="H166" i="1"/>
  <c r="AF131" i="1"/>
  <c r="AE131" i="1"/>
  <c r="AF107" i="1"/>
  <c r="AE107" i="1"/>
  <c r="Z53" i="1"/>
  <c r="AF45" i="1"/>
  <c r="AE45" i="1"/>
  <c r="AF11" i="1"/>
  <c r="AE11" i="1"/>
  <c r="Z34" i="1"/>
  <c r="Z110" i="1"/>
  <c r="AF100" i="1"/>
  <c r="AE100" i="1"/>
  <c r="AE68" i="1"/>
  <c r="AF68" i="1"/>
  <c r="AE93" i="1"/>
  <c r="AF93" i="1"/>
  <c r="W162" i="1"/>
  <c r="W124" i="1"/>
  <c r="AH158" i="1"/>
  <c r="I159" i="1"/>
  <c r="H43" i="1"/>
  <c r="H48" i="1"/>
  <c r="AE192" i="1"/>
  <c r="AF192" i="1"/>
  <c r="I45" i="1"/>
  <c r="AH44" i="1"/>
  <c r="I5" i="1"/>
  <c r="AH4" i="1"/>
  <c r="AD786" i="1"/>
  <c r="AD727" i="1"/>
  <c r="AD707" i="1"/>
  <c r="AF706" i="1"/>
  <c r="AE706" i="1"/>
  <c r="I639" i="1"/>
  <c r="AH638" i="1"/>
  <c r="AF699" i="1"/>
  <c r="AE699" i="1"/>
  <c r="H688" i="1"/>
  <c r="AF627" i="1"/>
  <c r="AE627" i="1"/>
  <c r="Z59" i="1"/>
  <c r="Z372" i="1"/>
  <c r="Z218" i="1"/>
  <c r="H478" i="1"/>
  <c r="AE776" i="1"/>
  <c r="AF776" i="1"/>
  <c r="H793" i="1"/>
  <c r="AA764" i="1"/>
  <c r="AA602" i="1"/>
  <c r="AA559" i="1"/>
  <c r="AA748" i="1"/>
  <c r="AA688" i="1"/>
  <c r="AA708" i="1"/>
  <c r="AA584" i="1"/>
  <c r="AA436" i="1"/>
  <c r="AA273" i="1"/>
  <c r="Z85" i="1"/>
  <c r="V85" i="1" s="1"/>
  <c r="X85" i="1" s="1"/>
  <c r="AD748" i="1"/>
  <c r="AF717" i="1"/>
  <c r="AE717" i="1"/>
  <c r="W624" i="1"/>
  <c r="X624" i="1"/>
  <c r="W729" i="1"/>
  <c r="AD584" i="1"/>
  <c r="AF593" i="1"/>
  <c r="AE593" i="1"/>
  <c r="X602" i="1"/>
  <c r="W602" i="1"/>
  <c r="Z547" i="1"/>
  <c r="W562" i="1"/>
  <c r="Z575" i="1"/>
  <c r="AE498" i="1"/>
  <c r="AF498" i="1"/>
  <c r="AE503" i="1"/>
  <c r="AF503" i="1"/>
  <c r="AF490" i="1"/>
  <c r="AE490" i="1"/>
  <c r="I583" i="1"/>
  <c r="AH582" i="1"/>
  <c r="AE520" i="1"/>
  <c r="AF520" i="1"/>
  <c r="AF365" i="1"/>
  <c r="AE365" i="1"/>
  <c r="AF374" i="1"/>
  <c r="AE374" i="1"/>
  <c r="W390" i="1"/>
  <c r="AF333" i="1"/>
  <c r="AE333" i="1"/>
  <c r="AE373" i="1"/>
  <c r="AF373" i="1"/>
  <c r="AE286" i="1"/>
  <c r="AF286" i="1"/>
  <c r="I422" i="1"/>
  <c r="AH421" i="1"/>
  <c r="W330" i="1"/>
  <c r="AE284" i="1"/>
  <c r="AF284" i="1"/>
  <c r="AD293" i="1"/>
  <c r="AH309" i="1"/>
  <c r="I310" i="1"/>
  <c r="AF236" i="1"/>
  <c r="AE236" i="1"/>
  <c r="AF200" i="1"/>
  <c r="AE200" i="1"/>
  <c r="H321" i="1"/>
  <c r="AE194" i="1"/>
  <c r="AF194" i="1"/>
  <c r="Z129" i="1"/>
  <c r="V129" i="1" s="1"/>
  <c r="X129" i="1" s="1"/>
  <c r="AF151" i="1"/>
  <c r="AE151" i="1"/>
  <c r="AE193" i="1"/>
  <c r="AF193" i="1"/>
  <c r="H131" i="1"/>
  <c r="Z139" i="1"/>
  <c r="AH257" i="1"/>
  <c r="I258" i="1"/>
  <c r="W202" i="1"/>
  <c r="AE74" i="1"/>
  <c r="AF74" i="1"/>
  <c r="AE51" i="1"/>
  <c r="AF51" i="1"/>
  <c r="AE17" i="1"/>
  <c r="AF17" i="1"/>
  <c r="AE76" i="1"/>
  <c r="AF76" i="1"/>
  <c r="X11" i="1"/>
  <c r="W11" i="1"/>
  <c r="W86" i="1"/>
  <c r="X86" i="1"/>
  <c r="Z60" i="1"/>
  <c r="Z99" i="1"/>
  <c r="AH82" i="1"/>
  <c r="I83" i="1"/>
  <c r="W52" i="1"/>
  <c r="AF659" i="1"/>
  <c r="AE659" i="1"/>
  <c r="AF510" i="1"/>
  <c r="AE510" i="1"/>
  <c r="AE438" i="1"/>
  <c r="AF438" i="1"/>
  <c r="Z331" i="1"/>
  <c r="V331" i="1" s="1"/>
  <c r="X331" i="1" s="1"/>
  <c r="Z161" i="1"/>
  <c r="Z88" i="1"/>
  <c r="V88" i="1" s="1"/>
  <c r="X88" i="1" s="1"/>
  <c r="Z749" i="1"/>
  <c r="V749" i="1" s="1"/>
  <c r="X749" i="1" s="1"/>
  <c r="H332" i="1"/>
  <c r="H582" i="1"/>
  <c r="Z639" i="1"/>
  <c r="V639" i="1" s="1"/>
  <c r="X639" i="1" s="1"/>
  <c r="Z477" i="1"/>
  <c r="V477" i="1" s="1"/>
  <c r="X477" i="1" s="1"/>
  <c r="Z391" i="1"/>
  <c r="Z452" i="1"/>
  <c r="V452" i="1" s="1"/>
  <c r="X452" i="1" s="1"/>
  <c r="Z406" i="1"/>
  <c r="Z311" i="1"/>
  <c r="V311" i="1" s="1"/>
  <c r="X311" i="1" s="1"/>
  <c r="Z243" i="1"/>
  <c r="V243" i="1" s="1"/>
  <c r="AD160" i="1"/>
  <c r="W749" i="1"/>
  <c r="Z697" i="1"/>
  <c r="AF745" i="1"/>
  <c r="AE745" i="1"/>
  <c r="AE657" i="1"/>
  <c r="AF657" i="1"/>
  <c r="H645" i="1"/>
  <c r="AE658" i="1"/>
  <c r="AF658" i="1"/>
  <c r="AF590" i="1"/>
  <c r="AE590" i="1"/>
  <c r="W500" i="1"/>
  <c r="Z617" i="1"/>
  <c r="X561" i="1"/>
  <c r="W561" i="1"/>
  <c r="X479" i="1"/>
  <c r="W479" i="1"/>
  <c r="X501" i="1"/>
  <c r="W501" i="1"/>
  <c r="AE468" i="1"/>
  <c r="AF468" i="1"/>
  <c r="H453" i="1"/>
  <c r="AF422" i="1"/>
  <c r="AE422" i="1"/>
  <c r="AF380" i="1"/>
  <c r="AE380" i="1"/>
  <c r="X420" i="1"/>
  <c r="W420" i="1"/>
  <c r="AE442" i="1"/>
  <c r="AF442" i="1"/>
  <c r="W450" i="1"/>
  <c r="X450" i="1"/>
  <c r="X480" i="1"/>
  <c r="W480" i="1"/>
  <c r="H441" i="1"/>
  <c r="AE434" i="1"/>
  <c r="AF434" i="1"/>
  <c r="W366" i="1"/>
  <c r="AE348" i="1"/>
  <c r="AF348" i="1"/>
  <c r="AF378" i="1"/>
  <c r="AE378" i="1"/>
  <c r="Z343" i="1"/>
  <c r="AE396" i="1"/>
  <c r="AF396" i="1"/>
  <c r="W331" i="1"/>
  <c r="AE383" i="1"/>
  <c r="AF383" i="1"/>
  <c r="I406" i="1"/>
  <c r="AH405" i="1"/>
  <c r="Z297" i="1"/>
  <c r="X293" i="1"/>
  <c r="W293" i="1"/>
  <c r="AE334" i="1"/>
  <c r="AF334" i="1"/>
  <c r="H303" i="1"/>
  <c r="W130" i="1"/>
  <c r="AF248" i="1"/>
  <c r="AE248" i="1"/>
  <c r="Z175" i="1"/>
  <c r="AH272" i="1"/>
  <c r="I273" i="1"/>
  <c r="AF218" i="1"/>
  <c r="AE218" i="1"/>
  <c r="AE321" i="1"/>
  <c r="AF321" i="1"/>
  <c r="Z221" i="1"/>
  <c r="H251" i="1"/>
  <c r="H151" i="1"/>
  <c r="AF113" i="1"/>
  <c r="AE113" i="1"/>
  <c r="AE32" i="1"/>
  <c r="AF32" i="1"/>
  <c r="X84" i="1"/>
  <c r="W84" i="1"/>
  <c r="Z93" i="1"/>
  <c r="AE75" i="1"/>
  <c r="AF75" i="1"/>
  <c r="X92" i="1"/>
  <c r="W92" i="1"/>
  <c r="Y60" i="1"/>
  <c r="AJ60" i="1" s="1"/>
  <c r="H203" i="1"/>
  <c r="H7" i="1"/>
  <c r="AF649" i="1"/>
  <c r="AE649" i="1"/>
  <c r="AE483" i="1"/>
  <c r="AF483" i="1"/>
  <c r="AE617" i="1"/>
  <c r="AF617" i="1"/>
  <c r="AA517" i="1"/>
  <c r="AF571" i="1"/>
  <c r="AE571" i="1"/>
  <c r="AF540" i="1"/>
  <c r="AE540" i="1"/>
  <c r="AE487" i="1"/>
  <c r="AF487" i="1"/>
  <c r="AF440" i="1"/>
  <c r="AE440" i="1"/>
  <c r="AH516" i="1"/>
  <c r="I517" i="1"/>
  <c r="AE492" i="1"/>
  <c r="AF492" i="1"/>
  <c r="X516" i="1"/>
  <c r="W516" i="1"/>
  <c r="AF544" i="1"/>
  <c r="AE544" i="1"/>
  <c r="AA514" i="1"/>
  <c r="AA501" i="1"/>
  <c r="AF476" i="1"/>
  <c r="AE476" i="1"/>
  <c r="AF420" i="1"/>
  <c r="AE420" i="1"/>
  <c r="AF362" i="1"/>
  <c r="AE362" i="1"/>
  <c r="H408" i="1"/>
  <c r="AF384" i="1"/>
  <c r="AE384" i="1"/>
  <c r="AF460" i="1"/>
  <c r="AE460" i="1"/>
  <c r="AE390" i="1"/>
  <c r="AF390" i="1"/>
  <c r="H389" i="1"/>
  <c r="H336" i="1"/>
  <c r="AF212" i="1"/>
  <c r="AE212" i="1"/>
  <c r="AF314" i="1"/>
  <c r="AE314" i="1"/>
  <c r="W126" i="1"/>
  <c r="AF213" i="1"/>
  <c r="AE213" i="1"/>
  <c r="AF260" i="1"/>
  <c r="AE260" i="1"/>
  <c r="AF232" i="1"/>
  <c r="AE232" i="1"/>
  <c r="H161" i="1"/>
  <c r="AF198" i="1"/>
  <c r="AE198" i="1"/>
  <c r="Z149" i="1"/>
  <c r="X127" i="1"/>
  <c r="W127" i="1"/>
  <c r="H38" i="1"/>
  <c r="W9" i="1"/>
  <c r="AE95" i="1"/>
  <c r="AF95" i="1"/>
  <c r="Z9" i="1"/>
  <c r="W12" i="1"/>
  <c r="AE21" i="1"/>
  <c r="AF21" i="1"/>
  <c r="AF94" i="1"/>
  <c r="AE94" i="1"/>
  <c r="AF616" i="1"/>
  <c r="AE616" i="1"/>
  <c r="Z169" i="1"/>
  <c r="Z211" i="1"/>
  <c r="Z15" i="1"/>
  <c r="AA159" i="1"/>
  <c r="W786" i="1"/>
  <c r="Z798" i="1"/>
  <c r="Z758" i="1"/>
  <c r="Z701" i="1"/>
  <c r="Z596" i="1"/>
  <c r="Z649" i="1"/>
  <c r="Z553" i="1"/>
  <c r="Z494" i="1"/>
  <c r="Z526" i="1"/>
  <c r="Z510" i="1"/>
  <c r="Z445" i="1"/>
  <c r="Z356" i="1"/>
  <c r="Z267" i="1"/>
  <c r="Z304" i="1"/>
  <c r="Z252" i="1"/>
  <c r="Z117" i="1"/>
  <c r="Z152" i="1"/>
  <c r="Z39" i="1"/>
  <c r="AD310" i="1"/>
  <c r="AD455" i="1"/>
  <c r="H515" i="1"/>
  <c r="H455" i="1"/>
  <c r="W785" i="1"/>
  <c r="X785" i="1"/>
  <c r="AD46" i="1"/>
  <c r="AF772" i="1"/>
  <c r="AE772" i="1"/>
  <c r="I764" i="1"/>
  <c r="AH763" i="1"/>
  <c r="H782" i="1"/>
  <c r="X564" i="1"/>
  <c r="W564" i="1"/>
  <c r="Z665" i="1"/>
  <c r="AE628" i="1"/>
  <c r="AF628" i="1"/>
  <c r="AF670" i="1"/>
  <c r="AE670" i="1"/>
  <c r="AF591" i="1"/>
  <c r="AE591" i="1"/>
  <c r="X559" i="1"/>
  <c r="W559" i="1"/>
  <c r="AE543" i="1"/>
  <c r="AF543" i="1"/>
  <c r="AF573" i="1"/>
  <c r="AE573" i="1"/>
  <c r="H561" i="1"/>
  <c r="AE508" i="1"/>
  <c r="AF508" i="1"/>
  <c r="W601" i="1"/>
  <c r="X601" i="1"/>
  <c r="AE524" i="1"/>
  <c r="AF524" i="1"/>
  <c r="AH500" i="1"/>
  <c r="I501" i="1"/>
  <c r="AF459" i="1"/>
  <c r="AE459" i="1"/>
  <c r="Z505" i="1"/>
  <c r="AE518" i="1"/>
  <c r="AF518" i="1"/>
  <c r="AF486" i="1"/>
  <c r="AE486" i="1"/>
  <c r="AE353" i="1"/>
  <c r="AF353" i="1"/>
  <c r="W363" i="1"/>
  <c r="AE297" i="1"/>
  <c r="AF297" i="1"/>
  <c r="AA271" i="1"/>
  <c r="W334" i="1"/>
  <c r="AE279" i="1"/>
  <c r="AF279" i="1"/>
  <c r="AF285" i="1"/>
  <c r="AE285" i="1"/>
  <c r="X122" i="1"/>
  <c r="W122" i="1"/>
  <c r="X291" i="1"/>
  <c r="W291" i="1"/>
  <c r="X242" i="1"/>
  <c r="W242" i="1"/>
  <c r="Z258" i="1"/>
  <c r="V258" i="1" s="1"/>
  <c r="Z226" i="1"/>
  <c r="X200" i="1"/>
  <c r="W200" i="1"/>
  <c r="Z271" i="1"/>
  <c r="H245" i="1"/>
  <c r="AF300" i="1"/>
  <c r="AE300" i="1"/>
  <c r="AE190" i="1"/>
  <c r="AF190" i="1"/>
  <c r="Z176" i="1"/>
  <c r="H80" i="1"/>
  <c r="AF189" i="1"/>
  <c r="AE189" i="1"/>
  <c r="X163" i="1"/>
  <c r="W163" i="1"/>
  <c r="AF146" i="1"/>
  <c r="AE146" i="1"/>
  <c r="AD125" i="1"/>
  <c r="W45" i="1"/>
  <c r="AF72" i="1"/>
  <c r="AE72" i="1"/>
  <c r="Z48" i="1"/>
  <c r="V48" i="1" s="1"/>
  <c r="X48" i="1" s="1"/>
  <c r="AF90" i="1"/>
  <c r="AE90" i="1"/>
  <c r="AF66" i="1"/>
  <c r="AE66" i="1"/>
  <c r="AF27" i="1"/>
  <c r="AE27" i="1"/>
  <c r="Z179" i="1"/>
  <c r="AE71" i="1"/>
  <c r="AF71" i="1"/>
  <c r="AD517" i="1"/>
  <c r="AF415" i="1"/>
  <c r="AE415" i="1"/>
  <c r="I785" i="1"/>
  <c r="AH784" i="1"/>
  <c r="H708" i="1"/>
  <c r="H273" i="1"/>
  <c r="H81" i="1"/>
  <c r="Z128" i="1"/>
  <c r="V128" i="1" s="1"/>
  <c r="Z456" i="1"/>
  <c r="V456" i="1" s="1"/>
  <c r="X456" i="1" s="1"/>
  <c r="Z481" i="1"/>
  <c r="V481" i="1" s="1"/>
  <c r="X481" i="1" s="1"/>
  <c r="Z91" i="1"/>
  <c r="V91" i="1" s="1"/>
  <c r="X91" i="1" s="1"/>
  <c r="Z13" i="1"/>
  <c r="V13" i="1" s="1"/>
  <c r="X13" i="1" s="1"/>
  <c r="AD126" i="1"/>
  <c r="AF784" i="1"/>
  <c r="AE784" i="1"/>
  <c r="AE721" i="1"/>
  <c r="AF721" i="1"/>
  <c r="X728" i="1"/>
  <c r="W728" i="1"/>
  <c r="AD687" i="1"/>
  <c r="Z348" i="1"/>
  <c r="AF785" i="1"/>
  <c r="AE785" i="1"/>
  <c r="AE712" i="1"/>
  <c r="AF712" i="1"/>
  <c r="W710" i="1"/>
  <c r="W560" i="1"/>
  <c r="Z633" i="1"/>
  <c r="AF645" i="1"/>
  <c r="AE645" i="1"/>
  <c r="V638" i="1"/>
  <c r="AF572" i="1"/>
  <c r="AE572" i="1"/>
  <c r="AF660" i="1"/>
  <c r="AE660" i="1"/>
  <c r="H591" i="1"/>
  <c r="X581" i="1"/>
  <c r="W581" i="1"/>
  <c r="W582" i="1"/>
  <c r="X582" i="1"/>
  <c r="H534" i="1"/>
  <c r="AF559" i="1"/>
  <c r="AE559" i="1"/>
  <c r="AE541" i="1"/>
  <c r="AF541" i="1"/>
  <c r="AE499" i="1"/>
  <c r="AF499" i="1"/>
  <c r="AF505" i="1"/>
  <c r="AE505" i="1"/>
  <c r="AF514" i="1"/>
  <c r="AE514" i="1"/>
  <c r="AB501" i="1"/>
  <c r="Z469" i="1"/>
  <c r="H419" i="1"/>
  <c r="AD480" i="1"/>
  <c r="AH475" i="1"/>
  <c r="I476" i="1"/>
  <c r="AF443" i="1"/>
  <c r="AE443" i="1"/>
  <c r="X364" i="1"/>
  <c r="W364" i="1"/>
  <c r="I451" i="1"/>
  <c r="AH450" i="1"/>
  <c r="H378" i="1"/>
  <c r="Z377" i="1"/>
  <c r="Z336" i="1"/>
  <c r="V336" i="1" s="1"/>
  <c r="X336" i="1" s="1"/>
  <c r="X275" i="1"/>
  <c r="W275" i="1"/>
  <c r="H263" i="1"/>
  <c r="Z182" i="1"/>
  <c r="H198" i="1"/>
  <c r="I200" i="1"/>
  <c r="AH199" i="1"/>
  <c r="W209" i="1"/>
  <c r="AE92" i="1"/>
  <c r="AF92" i="1"/>
  <c r="X87" i="1"/>
  <c r="W87" i="1"/>
  <c r="AF141" i="1"/>
  <c r="AE141" i="1"/>
  <c r="AF67" i="1"/>
  <c r="AE67" i="1"/>
  <c r="Z362" i="1"/>
  <c r="AF563" i="1"/>
  <c r="AE563" i="1"/>
  <c r="AD436" i="1"/>
  <c r="AD273" i="1"/>
  <c r="AD85" i="1"/>
  <c r="H768" i="1"/>
  <c r="H788" i="1"/>
  <c r="H658" i="1"/>
  <c r="H437" i="1"/>
  <c r="H422" i="1"/>
  <c r="H393" i="1"/>
  <c r="H312" i="1"/>
  <c r="H259" i="1"/>
  <c r="AD747" i="1"/>
  <c r="Z746" i="1"/>
  <c r="V746" i="1" s="1"/>
  <c r="X746" i="1" s="1"/>
  <c r="Z654" i="1"/>
  <c r="AD158" i="1"/>
  <c r="AD623" i="1"/>
  <c r="AD477" i="1"/>
  <c r="AD452" i="1"/>
  <c r="AD391" i="1"/>
  <c r="AD311" i="1"/>
  <c r="AD243" i="1"/>
  <c r="AA763" i="1"/>
  <c r="H746" i="1"/>
  <c r="H706" i="1"/>
  <c r="H686" i="1"/>
  <c r="H130" i="1"/>
  <c r="AD536" i="1"/>
  <c r="AF791" i="1"/>
  <c r="AE791" i="1"/>
  <c r="AD766" i="1"/>
  <c r="AE771" i="1"/>
  <c r="AF771" i="1"/>
  <c r="X783" i="1"/>
  <c r="W783" i="1"/>
  <c r="H535" i="1"/>
  <c r="H736" i="1"/>
  <c r="AE716" i="1"/>
  <c r="AF716" i="1"/>
  <c r="AE691" i="1"/>
  <c r="AF691" i="1"/>
  <c r="W638" i="1"/>
  <c r="W670" i="1"/>
  <c r="AD639" i="1"/>
  <c r="AF625" i="1"/>
  <c r="AE625" i="1"/>
  <c r="H661" i="1"/>
  <c r="AF575" i="1"/>
  <c r="AE575" i="1"/>
  <c r="AF548" i="1"/>
  <c r="AE548" i="1"/>
  <c r="W456" i="1"/>
  <c r="AE504" i="1"/>
  <c r="AF504" i="1"/>
  <c r="AA581" i="1"/>
  <c r="H612" i="1"/>
  <c r="H411" i="1"/>
  <c r="X532" i="1"/>
  <c r="W532" i="1"/>
  <c r="AD421" i="1"/>
  <c r="AF385" i="1"/>
  <c r="AE385" i="1"/>
  <c r="AF423" i="1"/>
  <c r="AE423" i="1"/>
  <c r="AF482" i="1"/>
  <c r="AE482" i="1"/>
  <c r="AF381" i="1"/>
  <c r="AE381" i="1"/>
  <c r="AE361" i="1"/>
  <c r="AF361" i="1"/>
  <c r="H480" i="1"/>
  <c r="AD406" i="1"/>
  <c r="AF369" i="1"/>
  <c r="AE369" i="1"/>
  <c r="Z415" i="1"/>
  <c r="AF364" i="1"/>
  <c r="AE364" i="1"/>
  <c r="AH391" i="1"/>
  <c r="I392" i="1"/>
  <c r="AF354" i="1"/>
  <c r="AE354" i="1"/>
  <c r="AF397" i="1"/>
  <c r="AE397" i="1"/>
  <c r="AF340" i="1"/>
  <c r="AE340" i="1"/>
  <c r="AE392" i="1"/>
  <c r="AF392" i="1"/>
  <c r="AF322" i="1"/>
  <c r="AE322" i="1"/>
  <c r="AF283" i="1"/>
  <c r="AE283" i="1"/>
  <c r="AF278" i="1"/>
  <c r="AE278" i="1"/>
  <c r="AD258" i="1"/>
  <c r="AF226" i="1"/>
  <c r="AE226" i="1"/>
  <c r="AE246" i="1"/>
  <c r="AF246" i="1"/>
  <c r="AE221" i="1"/>
  <c r="AF221" i="1"/>
  <c r="AE263" i="1"/>
  <c r="AF263" i="1"/>
  <c r="Z187" i="1"/>
  <c r="X203" i="1"/>
  <c r="W203" i="1"/>
  <c r="AE109" i="1"/>
  <c r="AF109" i="1"/>
  <c r="W210" i="1"/>
  <c r="AF139" i="1"/>
  <c r="AE139" i="1"/>
  <c r="Z189" i="1"/>
  <c r="AE59" i="1"/>
  <c r="AF59" i="1"/>
  <c r="W48" i="1"/>
  <c r="Z21" i="1"/>
  <c r="AF35" i="1"/>
  <c r="AE35" i="1"/>
  <c r="AE60" i="1"/>
  <c r="AF60" i="1"/>
  <c r="W10" i="1"/>
  <c r="X90" i="1"/>
  <c r="W90" i="1"/>
  <c r="Z531" i="1"/>
  <c r="Z579" i="1"/>
  <c r="AE774" i="1"/>
  <c r="AF774" i="1"/>
  <c r="H14" i="1"/>
  <c r="AH728" i="1"/>
  <c r="I729" i="1"/>
  <c r="Z778" i="1"/>
  <c r="W727" i="1"/>
  <c r="H10" i="1"/>
  <c r="H88" i="1"/>
  <c r="AF793" i="1"/>
  <c r="AE793" i="1"/>
  <c r="X672" i="1"/>
  <c r="W672" i="1"/>
  <c r="H777" i="1"/>
  <c r="H720" i="1"/>
  <c r="H700" i="1"/>
  <c r="H648" i="1"/>
  <c r="H632" i="1"/>
  <c r="H664" i="1"/>
  <c r="H574" i="1"/>
  <c r="H595" i="1"/>
  <c r="H525" i="1"/>
  <c r="H552" i="1"/>
  <c r="H509" i="1"/>
  <c r="H493" i="1"/>
  <c r="H414" i="1"/>
  <c r="H429" i="1"/>
  <c r="H399" i="1"/>
  <c r="H355" i="1"/>
  <c r="H266" i="1"/>
  <c r="H285" i="1"/>
  <c r="H116" i="1"/>
  <c r="H75" i="1"/>
  <c r="Z319" i="1"/>
  <c r="Z225" i="1"/>
  <c r="Z669" i="1"/>
  <c r="Z329" i="1"/>
  <c r="Z49" i="1"/>
  <c r="V49" i="1" s="1"/>
  <c r="X49" i="1" s="1"/>
  <c r="X787" i="1"/>
  <c r="W787" i="1"/>
  <c r="AD767" i="1"/>
  <c r="AE770" i="1"/>
  <c r="AF770" i="1"/>
  <c r="W746" i="1"/>
  <c r="Z741" i="1"/>
  <c r="AF740" i="1"/>
  <c r="AE740" i="1"/>
  <c r="AF725" i="1"/>
  <c r="AE725" i="1"/>
  <c r="AD728" i="1"/>
  <c r="Z721" i="1"/>
  <c r="I708" i="1"/>
  <c r="AH707" i="1"/>
  <c r="X690" i="1"/>
  <c r="W690" i="1"/>
  <c r="Z623" i="1"/>
  <c r="V623" i="1" s="1"/>
  <c r="AF718" i="1"/>
  <c r="AE718" i="1"/>
  <c r="AE671" i="1"/>
  <c r="AF671" i="1"/>
  <c r="AF646" i="1"/>
  <c r="AE646" i="1"/>
  <c r="I625" i="1"/>
  <c r="AH624" i="1"/>
  <c r="AE661" i="1"/>
  <c r="AF661" i="1"/>
  <c r="AA541" i="1"/>
  <c r="W452" i="1"/>
  <c r="I671" i="1"/>
  <c r="AH670" i="1"/>
  <c r="AE601" i="1"/>
  <c r="AF601" i="1"/>
  <c r="AF545" i="1"/>
  <c r="AE545" i="1"/>
  <c r="AF519" i="1"/>
  <c r="AE519" i="1"/>
  <c r="AD501" i="1"/>
  <c r="AF532" i="1"/>
  <c r="AE532" i="1"/>
  <c r="AF467" i="1"/>
  <c r="AE467" i="1"/>
  <c r="X499" i="1"/>
  <c r="AF404" i="1"/>
  <c r="AE404" i="1"/>
  <c r="AF367" i="1"/>
  <c r="AE367" i="1"/>
  <c r="AF290" i="1"/>
  <c r="AE290" i="1"/>
  <c r="W274" i="1"/>
  <c r="AF230" i="1"/>
  <c r="AE230" i="1"/>
  <c r="AE188" i="1"/>
  <c r="AF188" i="1"/>
  <c r="AF294" i="1"/>
  <c r="AE294" i="1"/>
  <c r="W258" i="1"/>
  <c r="H256" i="1"/>
  <c r="Y138" i="1"/>
  <c r="AJ138" i="1" s="1"/>
  <c r="W129" i="1"/>
  <c r="AF149" i="1"/>
  <c r="AE149" i="1"/>
  <c r="AE184" i="1"/>
  <c r="AF184" i="1"/>
  <c r="AF115" i="1"/>
  <c r="AE115" i="1"/>
  <c r="H92" i="1"/>
  <c r="AF110" i="1"/>
  <c r="AE110" i="1"/>
  <c r="H84" i="1"/>
  <c r="H21" i="1"/>
  <c r="X535" i="1"/>
  <c r="W535" i="1"/>
  <c r="AF449" i="1"/>
  <c r="AE449" i="1"/>
  <c r="Z184" i="1"/>
  <c r="Z29" i="1"/>
  <c r="H46" i="1"/>
  <c r="AF782" i="1"/>
  <c r="AE782" i="1"/>
  <c r="AD708" i="1"/>
  <c r="AE686" i="1"/>
  <c r="AF686" i="1"/>
  <c r="AF736" i="1"/>
  <c r="AE736" i="1"/>
  <c r="Z473" i="1"/>
  <c r="AB449" i="1"/>
  <c r="AA449" i="1"/>
  <c r="H691" i="1"/>
  <c r="H712" i="1"/>
  <c r="H586" i="1"/>
  <c r="H371" i="1"/>
  <c r="Z755" i="1"/>
  <c r="Z795" i="1"/>
  <c r="Z737" i="1"/>
  <c r="Z678" i="1"/>
  <c r="Z717" i="1"/>
  <c r="Z614" i="1"/>
  <c r="Z662" i="1"/>
  <c r="Z593" i="1"/>
  <c r="Z550" i="1"/>
  <c r="Z490" i="1"/>
  <c r="Z442" i="1"/>
  <c r="Z380" i="1"/>
  <c r="Z351" i="1"/>
  <c r="Z283" i="1"/>
  <c r="Z229" i="1"/>
  <c r="Z32" i="1"/>
  <c r="AB328" i="1"/>
  <c r="AA328" i="1"/>
  <c r="AF783" i="1"/>
  <c r="AE783" i="1"/>
  <c r="AD167" i="1"/>
  <c r="AD787" i="1"/>
  <c r="AF796" i="1"/>
  <c r="AE796" i="1"/>
  <c r="H365" i="1"/>
  <c r="H334" i="1"/>
  <c r="H207" i="1"/>
  <c r="H167" i="1"/>
  <c r="H129" i="1"/>
  <c r="H12" i="1"/>
  <c r="X764" i="1"/>
  <c r="H725" i="1"/>
  <c r="AE701" i="1"/>
  <c r="AF701" i="1"/>
  <c r="X689" i="1"/>
  <c r="W689" i="1"/>
  <c r="AF705" i="1"/>
  <c r="AE705" i="1"/>
  <c r="AF663" i="1"/>
  <c r="AE663" i="1"/>
  <c r="AF638" i="1"/>
  <c r="AE638" i="1"/>
  <c r="H584" i="1"/>
  <c r="AF622" i="1"/>
  <c r="AE622" i="1"/>
  <c r="AF595" i="1"/>
  <c r="AE595" i="1"/>
  <c r="W605" i="1"/>
  <c r="X605" i="1"/>
  <c r="AH602" i="1"/>
  <c r="I603" i="1"/>
  <c r="AF550" i="1"/>
  <c r="AE550" i="1"/>
  <c r="W309" i="1"/>
  <c r="X309" i="1"/>
  <c r="AF587" i="1"/>
  <c r="AE587" i="1"/>
  <c r="AA540" i="1"/>
  <c r="X478" i="1"/>
  <c r="W478" i="1"/>
  <c r="I532" i="1"/>
  <c r="AH531" i="1"/>
  <c r="X537" i="1"/>
  <c r="W537" i="1"/>
  <c r="AE488" i="1"/>
  <c r="AF488" i="1"/>
  <c r="AF428" i="1"/>
  <c r="AE428" i="1"/>
  <c r="Z400" i="1"/>
  <c r="AF419" i="1"/>
  <c r="AE419" i="1"/>
  <c r="H384" i="1"/>
  <c r="AD363" i="1"/>
  <c r="AH435" i="1"/>
  <c r="I436" i="1"/>
  <c r="Z302" i="1"/>
  <c r="Z322" i="1"/>
  <c r="AF298" i="1"/>
  <c r="AE298" i="1"/>
  <c r="AE303" i="1"/>
  <c r="AF303" i="1"/>
  <c r="AF275" i="1"/>
  <c r="AE275" i="1"/>
  <c r="AF237" i="1"/>
  <c r="AE237" i="1"/>
  <c r="AF349" i="1"/>
  <c r="AE349" i="1"/>
  <c r="Z183" i="1"/>
  <c r="H260" i="1"/>
  <c r="AF233" i="1"/>
  <c r="AE233" i="1"/>
  <c r="Z194" i="1"/>
  <c r="I292" i="1"/>
  <c r="AH291" i="1"/>
  <c r="Z138" i="1"/>
  <c r="X164" i="1"/>
  <c r="W164" i="1"/>
  <c r="AE54" i="1"/>
  <c r="AF54" i="1"/>
  <c r="AA46" i="1"/>
  <c r="Z10" i="1"/>
  <c r="V10" i="1" s="1"/>
  <c r="X10" i="1" s="1"/>
  <c r="Z70" i="1"/>
  <c r="Z76" i="1"/>
  <c r="AD162" i="1"/>
  <c r="Z105" i="1"/>
  <c r="AF23" i="1"/>
  <c r="AE23" i="1"/>
  <c r="AF552" i="1"/>
  <c r="AE552" i="1"/>
  <c r="AF494" i="1"/>
  <c r="AE494" i="1"/>
  <c r="H434" i="1"/>
  <c r="AE339" i="1"/>
  <c r="AF339" i="1"/>
  <c r="Z694" i="1"/>
  <c r="Z714" i="1"/>
  <c r="Z521" i="1"/>
  <c r="Z375" i="1"/>
  <c r="Z346" i="1"/>
  <c r="Z63" i="1"/>
  <c r="Z25" i="1"/>
  <c r="Z103" i="1"/>
  <c r="Z710" i="1"/>
  <c r="V710" i="1" s="1"/>
  <c r="X710" i="1" s="1"/>
  <c r="AA361" i="1"/>
  <c r="AA81" i="1"/>
  <c r="AA4" i="1"/>
  <c r="H789" i="1"/>
  <c r="Z130" i="1"/>
  <c r="V130" i="1" s="1"/>
  <c r="X130" i="1" s="1"/>
  <c r="AF788" i="1"/>
  <c r="AE788" i="1"/>
  <c r="Z365" i="1"/>
  <c r="V365" i="1" s="1"/>
  <c r="X365" i="1" s="1"/>
  <c r="Z207" i="1"/>
  <c r="V207" i="1" s="1"/>
  <c r="X207" i="1" s="1"/>
  <c r="Z334" i="1"/>
  <c r="V334" i="1" s="1"/>
  <c r="X334" i="1" s="1"/>
  <c r="Z167" i="1"/>
  <c r="V167" i="1" s="1"/>
  <c r="X167" i="1" s="1"/>
  <c r="Z166" i="1"/>
  <c r="V166" i="1" s="1"/>
  <c r="X166" i="1" s="1"/>
  <c r="Z51" i="1"/>
  <c r="V51" i="1" s="1"/>
  <c r="X51" i="1" s="1"/>
  <c r="Z12" i="1"/>
  <c r="V12" i="1" s="1"/>
  <c r="X12" i="1" s="1"/>
  <c r="AF752" i="1"/>
  <c r="AE752" i="1"/>
  <c r="H542" i="1"/>
  <c r="H339" i="1"/>
  <c r="H368" i="1"/>
  <c r="H212" i="1"/>
  <c r="H133" i="1"/>
  <c r="H170" i="1"/>
  <c r="H16" i="1"/>
  <c r="Z734" i="1"/>
  <c r="AF741" i="1"/>
  <c r="AE741" i="1"/>
  <c r="AA728" i="1"/>
  <c r="AF751" i="1"/>
  <c r="AE751" i="1"/>
  <c r="Z726" i="1"/>
  <c r="AH688" i="1"/>
  <c r="I689" i="1"/>
  <c r="W706" i="1"/>
  <c r="AF695" i="1"/>
  <c r="AE695" i="1"/>
  <c r="H745" i="1"/>
  <c r="AF594" i="1"/>
  <c r="AE594" i="1"/>
  <c r="AE600" i="1"/>
  <c r="AF600" i="1"/>
  <c r="W604" i="1"/>
  <c r="I560" i="1"/>
  <c r="AH559" i="1"/>
  <c r="H563" i="1"/>
  <c r="AF557" i="1"/>
  <c r="AE557" i="1"/>
  <c r="W257" i="1"/>
  <c r="Z557" i="1"/>
  <c r="AE535" i="1"/>
  <c r="AF535" i="1"/>
  <c r="AF502" i="1"/>
  <c r="AE502" i="1"/>
  <c r="AE507" i="1"/>
  <c r="AF507" i="1"/>
  <c r="W477" i="1"/>
  <c r="H468" i="1"/>
  <c r="AE537" i="1"/>
  <c r="AF537" i="1"/>
  <c r="H506" i="1"/>
  <c r="AF450" i="1"/>
  <c r="AE450" i="1"/>
  <c r="AF413" i="1"/>
  <c r="AE413" i="1"/>
  <c r="AE464" i="1"/>
  <c r="AF464" i="1"/>
  <c r="Z465" i="1"/>
  <c r="Z338" i="1"/>
  <c r="AF282" i="1"/>
  <c r="AE282" i="1"/>
  <c r="AF344" i="1"/>
  <c r="AE344" i="1"/>
  <c r="H407" i="1"/>
  <c r="AE292" i="1"/>
  <c r="AF292" i="1"/>
  <c r="AD328" i="1"/>
  <c r="AF337" i="1"/>
  <c r="AE337" i="1"/>
  <c r="AE231" i="1"/>
  <c r="AF231" i="1"/>
  <c r="AF222" i="1"/>
  <c r="AE222" i="1"/>
  <c r="AE256" i="1"/>
  <c r="AF256" i="1"/>
  <c r="Z147" i="1"/>
  <c r="H125" i="1"/>
  <c r="AE187" i="1"/>
  <c r="AF187" i="1"/>
  <c r="AF166" i="1"/>
  <c r="AE166" i="1"/>
  <c r="Z217" i="1"/>
  <c r="AF138" i="1"/>
  <c r="AE138" i="1"/>
  <c r="H164" i="1"/>
  <c r="AA209" i="1"/>
  <c r="AF55" i="1"/>
  <c r="AE55" i="1"/>
  <c r="W784" i="1"/>
  <c r="X784" i="1"/>
  <c r="AE746" i="1"/>
  <c r="AF746" i="1"/>
  <c r="AF581" i="1"/>
  <c r="AE581" i="1"/>
  <c r="AE271" i="1"/>
  <c r="AF271" i="1"/>
  <c r="AF280" i="1"/>
  <c r="AE280" i="1"/>
  <c r="H168" i="1"/>
  <c r="Y217" i="1"/>
  <c r="AJ217" i="1" s="1"/>
  <c r="AF176" i="1"/>
  <c r="AE176" i="1"/>
  <c r="AD204" i="1"/>
  <c r="W166" i="1"/>
  <c r="AF132" i="1"/>
  <c r="AE132" i="1"/>
  <c r="Z209" i="1"/>
  <c r="V209" i="1" s="1"/>
  <c r="X209" i="1" s="1"/>
  <c r="AH122" i="1"/>
  <c r="I123" i="1"/>
  <c r="Z22" i="1"/>
  <c r="H51" i="1"/>
  <c r="AF44" i="1"/>
  <c r="AE44" i="1"/>
  <c r="AF26" i="1"/>
  <c r="AE26" i="1"/>
  <c r="Z100" i="1"/>
  <c r="AD87" i="1"/>
  <c r="AD9" i="1"/>
  <c r="AF632" i="1"/>
  <c r="AE632" i="1"/>
  <c r="AE484" i="1"/>
  <c r="AF484" i="1"/>
  <c r="AF302" i="1"/>
  <c r="AE302" i="1"/>
  <c r="X337" i="1"/>
  <c r="W337" i="1"/>
  <c r="AE327" i="1"/>
  <c r="AF327" i="1"/>
  <c r="H241" i="1"/>
  <c r="H773" i="1"/>
  <c r="H754" i="1"/>
  <c r="H696" i="1"/>
  <c r="H570" i="1"/>
  <c r="H548" i="1"/>
  <c r="H426" i="1"/>
  <c r="H463" i="1"/>
  <c r="H299" i="1"/>
  <c r="H185" i="1"/>
  <c r="H227" i="1"/>
  <c r="H108" i="1"/>
  <c r="H145" i="1"/>
  <c r="H68" i="1"/>
  <c r="H30" i="1"/>
  <c r="Z232" i="1"/>
  <c r="Z112" i="1"/>
  <c r="H606" i="1"/>
  <c r="H564" i="1"/>
  <c r="H309" i="1"/>
  <c r="AA655" i="1"/>
  <c r="AA787" i="1"/>
  <c r="AA767" i="1"/>
  <c r="AA603" i="1"/>
  <c r="AA560" i="1"/>
  <c r="AA293" i="1"/>
  <c r="Z786" i="1"/>
  <c r="V786" i="1" s="1"/>
  <c r="X786" i="1" s="1"/>
  <c r="Z747" i="1"/>
  <c r="V747" i="1" s="1"/>
  <c r="X747" i="1" s="1"/>
  <c r="Z766" i="1"/>
  <c r="Z687" i="1"/>
  <c r="V687" i="1" s="1"/>
  <c r="X687" i="1" s="1"/>
  <c r="Z707" i="1"/>
  <c r="V707" i="1" s="1"/>
  <c r="X707" i="1" s="1"/>
  <c r="Z727" i="1"/>
  <c r="V727" i="1" s="1"/>
  <c r="X727" i="1" s="1"/>
  <c r="AF769" i="1"/>
  <c r="AE769" i="1"/>
  <c r="H672" i="1"/>
  <c r="H656" i="1"/>
  <c r="Z539" i="1"/>
  <c r="H748" i="1"/>
  <c r="AF757" i="1"/>
  <c r="AE757" i="1"/>
  <c r="AE676" i="1"/>
  <c r="AF676" i="1"/>
  <c r="AD688" i="1"/>
  <c r="AE641" i="1"/>
  <c r="AF641" i="1"/>
  <c r="AF643" i="1"/>
  <c r="AE643" i="1"/>
  <c r="AF629" i="1"/>
  <c r="AE629" i="1"/>
  <c r="AA671" i="1"/>
  <c r="H616" i="1"/>
  <c r="AE579" i="1"/>
  <c r="AF579" i="1"/>
  <c r="AE547" i="1"/>
  <c r="AF547" i="1"/>
  <c r="AF551" i="1"/>
  <c r="AE551" i="1"/>
  <c r="AF539" i="1"/>
  <c r="AE539" i="1"/>
  <c r="AF565" i="1"/>
  <c r="AE565" i="1"/>
  <c r="AE491" i="1"/>
  <c r="AF491" i="1"/>
  <c r="H488" i="1"/>
  <c r="AF506" i="1"/>
  <c r="AE506" i="1"/>
  <c r="AF439" i="1"/>
  <c r="AE439" i="1"/>
  <c r="AF427" i="1"/>
  <c r="AE427" i="1"/>
  <c r="AF409" i="1"/>
  <c r="AE409" i="1"/>
  <c r="AE379" i="1"/>
  <c r="AF379" i="1"/>
  <c r="Z430" i="1"/>
  <c r="AF444" i="1"/>
  <c r="AE444" i="1"/>
  <c r="AE412" i="1"/>
  <c r="AF412" i="1"/>
  <c r="H392" i="1"/>
  <c r="AF377" i="1"/>
  <c r="AE377" i="1"/>
  <c r="W336" i="1"/>
  <c r="H175" i="1"/>
  <c r="AF407" i="1"/>
  <c r="AE407" i="1"/>
  <c r="AF264" i="1"/>
  <c r="AE264" i="1"/>
  <c r="Z330" i="1"/>
  <c r="V330" i="1" s="1"/>
  <c r="X330" i="1" s="1"/>
  <c r="H200" i="1"/>
  <c r="AE247" i="1"/>
  <c r="AF247" i="1"/>
  <c r="AF272" i="1"/>
  <c r="AE272" i="1"/>
  <c r="AF191" i="1"/>
  <c r="AE191" i="1"/>
  <c r="AF143" i="1"/>
  <c r="AE143" i="1"/>
  <c r="AE157" i="1"/>
  <c r="AF157" i="1"/>
  <c r="X131" i="1"/>
  <c r="W131" i="1"/>
  <c r="AF111" i="1"/>
  <c r="AE111" i="1"/>
  <c r="H54" i="1"/>
  <c r="I329" i="1" l="1"/>
  <c r="AE336" i="1"/>
  <c r="O6" i="1"/>
  <c r="AE656" i="1"/>
  <c r="AE672" i="1"/>
  <c r="AF672" i="1"/>
  <c r="H611" i="1"/>
  <c r="X435" i="1"/>
  <c r="Y443" i="1"/>
  <c r="AJ443" i="1" s="1"/>
  <c r="Y442" i="1"/>
  <c r="AJ442" i="1" s="1"/>
  <c r="AD52" i="1"/>
  <c r="O172" i="1"/>
  <c r="AE84" i="1"/>
  <c r="H508" i="1"/>
  <c r="AG508" i="1"/>
  <c r="AE203" i="1"/>
  <c r="AA454" i="1"/>
  <c r="AA516" i="1"/>
  <c r="AF500" i="1"/>
  <c r="AD516" i="1"/>
  <c r="H298" i="1"/>
  <c r="AF203" i="1"/>
  <c r="AB122" i="1"/>
  <c r="AA122" i="1"/>
  <c r="AF605" i="1"/>
  <c r="AB292" i="1"/>
  <c r="AA292" i="1"/>
  <c r="H301" i="1" s="1"/>
  <c r="AD582" i="1"/>
  <c r="AD561" i="1"/>
  <c r="AD124" i="1"/>
  <c r="AD8" i="1"/>
  <c r="AD163" i="1"/>
  <c r="AD202" i="1"/>
  <c r="AD47" i="1"/>
  <c r="AD86" i="1"/>
  <c r="H507" i="1"/>
  <c r="H100" i="1"/>
  <c r="AG631" i="1"/>
  <c r="AH747" i="1"/>
  <c r="I748" i="1"/>
  <c r="AG443" i="1"/>
  <c r="X243" i="1"/>
  <c r="AE500" i="1"/>
  <c r="Z135" i="1"/>
  <c r="AD136" i="1"/>
  <c r="AG98" i="1"/>
  <c r="AA97" i="1"/>
  <c r="AG647" i="1"/>
  <c r="H60" i="1"/>
  <c r="AG644" i="1"/>
  <c r="H139" i="1"/>
  <c r="Y74" i="1"/>
  <c r="AJ74" i="1" s="1"/>
  <c r="H72" i="1"/>
  <c r="AG73" i="1"/>
  <c r="AG794" i="1"/>
  <c r="Y21" i="1"/>
  <c r="AJ21" i="1" s="1"/>
  <c r="H505" i="1"/>
  <c r="Y348" i="1"/>
  <c r="AJ348" i="1" s="1"/>
  <c r="AD624" i="1"/>
  <c r="AD604" i="1"/>
  <c r="AD583" i="1"/>
  <c r="AD274" i="1"/>
  <c r="AD562" i="1"/>
  <c r="AD640" i="1"/>
  <c r="X638" i="1"/>
  <c r="AB434" i="1"/>
  <c r="AB498" i="1"/>
  <c r="X623" i="1"/>
  <c r="AB542" i="1"/>
  <c r="AB54" i="1"/>
  <c r="AB368" i="1"/>
  <c r="AB94" i="1"/>
  <c r="AB133" i="1"/>
  <c r="AB170" i="1"/>
  <c r="AB212" i="1"/>
  <c r="AB16" i="1"/>
  <c r="AB339" i="1"/>
  <c r="AB516" i="1"/>
  <c r="H526" i="1" s="1"/>
  <c r="AB533" i="1"/>
  <c r="AB454" i="1"/>
  <c r="AB500" i="1"/>
  <c r="AB479" i="1"/>
  <c r="Y110" i="1"/>
  <c r="AJ110" i="1" s="1"/>
  <c r="AG547" i="1"/>
  <c r="H425" i="1"/>
  <c r="X583" i="1"/>
  <c r="AD689" i="1"/>
  <c r="AD709" i="1"/>
  <c r="AD729" i="1"/>
  <c r="AB729" i="1"/>
  <c r="AB689" i="1"/>
  <c r="AB709" i="1"/>
  <c r="AB364" i="1"/>
  <c r="AB11" i="1"/>
  <c r="H24" i="1" s="1"/>
  <c r="AB785" i="1"/>
  <c r="AB206" i="1"/>
  <c r="AB50" i="1"/>
  <c r="AG62" i="1" s="1"/>
  <c r="AB333" i="1"/>
  <c r="H345" i="1" s="1"/>
  <c r="AB765" i="1"/>
  <c r="AB89" i="1"/>
  <c r="AB165" i="1"/>
  <c r="H178" i="1" s="1"/>
  <c r="Y28" i="1"/>
  <c r="AJ28" i="1" s="1"/>
  <c r="Y265" i="1"/>
  <c r="AJ265" i="1" s="1"/>
  <c r="AG181" i="1"/>
  <c r="H32" i="1"/>
  <c r="AD210" i="1"/>
  <c r="AD335" i="1"/>
  <c r="AD366" i="1"/>
  <c r="H190" i="1"/>
  <c r="AF7" i="1"/>
  <c r="AE7" i="1"/>
  <c r="AA640" i="1"/>
  <c r="AA583" i="1"/>
  <c r="AA624" i="1"/>
  <c r="AA604" i="1"/>
  <c r="AA562" i="1"/>
  <c r="AA274" i="1"/>
  <c r="AA360" i="1"/>
  <c r="AA326" i="1"/>
  <c r="AA3" i="1"/>
  <c r="AA44" i="1"/>
  <c r="AA156" i="1"/>
  <c r="AA43" i="1"/>
  <c r="AA199" i="1"/>
  <c r="AA198" i="1"/>
  <c r="AA82" i="1"/>
  <c r="AA80" i="1"/>
  <c r="AA5" i="1"/>
  <c r="AF688" i="1"/>
  <c r="AE688" i="1"/>
  <c r="AF728" i="1"/>
  <c r="AE728" i="1"/>
  <c r="AG99" i="1"/>
  <c r="I437" i="1"/>
  <c r="AH436" i="1"/>
  <c r="AG247" i="1"/>
  <c r="AG524" i="1"/>
  <c r="H524" i="1"/>
  <c r="AF452" i="1"/>
  <c r="AE452" i="1"/>
  <c r="AF747" i="1"/>
  <c r="AE747" i="1"/>
  <c r="AF273" i="1"/>
  <c r="AE273" i="1"/>
  <c r="AE605" i="1"/>
  <c r="AB201" i="1"/>
  <c r="AB159" i="1"/>
  <c r="AG505" i="1"/>
  <c r="Y505" i="1"/>
  <c r="AJ505" i="1" s="1"/>
  <c r="H262" i="1"/>
  <c r="AH310" i="1"/>
  <c r="I311" i="1"/>
  <c r="AE13" i="1"/>
  <c r="AF13" i="1"/>
  <c r="AG614" i="1"/>
  <c r="Y614" i="1"/>
  <c r="AJ614" i="1" s="1"/>
  <c r="H614" i="1"/>
  <c r="Y22" i="1"/>
  <c r="AJ22" i="1" s="1"/>
  <c r="AG22" i="1"/>
  <c r="AF477" i="1"/>
  <c r="AE477" i="1"/>
  <c r="AH476" i="1"/>
  <c r="I477" i="1"/>
  <c r="AG343" i="1"/>
  <c r="Y343" i="1"/>
  <c r="AJ343" i="1" s="1"/>
  <c r="V406" i="1"/>
  <c r="Y395" i="1"/>
  <c r="AJ395" i="1" s="1"/>
  <c r="AG395" i="1"/>
  <c r="AE456" i="1"/>
  <c r="AF456" i="1"/>
  <c r="Y611" i="1"/>
  <c r="AJ611" i="1" s="1"/>
  <c r="AG176" i="1"/>
  <c r="AB539" i="1"/>
  <c r="AA539" i="1"/>
  <c r="AB476" i="1"/>
  <c r="AB655" i="1"/>
  <c r="H659" i="1" s="1"/>
  <c r="AB671" i="1"/>
  <c r="AG217" i="1"/>
  <c r="AG440" i="1"/>
  <c r="Y440" i="1"/>
  <c r="AJ440" i="1" s="1"/>
  <c r="V726" i="1"/>
  <c r="AA365" i="1"/>
  <c r="AA167" i="1"/>
  <c r="AA129" i="1"/>
  <c r="AA12" i="1"/>
  <c r="AA207" i="1"/>
  <c r="AA334" i="1"/>
  <c r="AA166" i="1"/>
  <c r="AA51" i="1"/>
  <c r="AA90" i="1"/>
  <c r="AA336" i="1"/>
  <c r="H99" i="1"/>
  <c r="H138" i="1"/>
  <c r="I533" i="1"/>
  <c r="AH532" i="1"/>
  <c r="H372" i="1"/>
  <c r="H514" i="1"/>
  <c r="I672" i="1"/>
  <c r="AH671" i="1"/>
  <c r="AB669" i="1"/>
  <c r="AA669" i="1"/>
  <c r="AH764" i="1"/>
  <c r="I765" i="1"/>
  <c r="AG298" i="1"/>
  <c r="Y298" i="1"/>
  <c r="AJ298" i="1" s="1"/>
  <c r="AH517" i="1"/>
  <c r="I518" i="1"/>
  <c r="H182" i="1"/>
  <c r="AB174" i="1"/>
  <c r="T174" i="1"/>
  <c r="O174" i="1"/>
  <c r="AG174" i="1"/>
  <c r="AC174" i="1"/>
  <c r="H174" i="1"/>
  <c r="Z174" i="1"/>
  <c r="AD174" i="1"/>
  <c r="AA174" i="1"/>
  <c r="L174" i="1"/>
  <c r="Y174" i="1"/>
  <c r="AJ174" i="1" s="1"/>
  <c r="AF707" i="1"/>
  <c r="AE707" i="1"/>
  <c r="I46" i="1"/>
  <c r="AH45" i="1"/>
  <c r="AH244" i="1"/>
  <c r="I245" i="1"/>
  <c r="Y247" i="1"/>
  <c r="AJ247" i="1" s="1"/>
  <c r="AH655" i="1"/>
  <c r="I656" i="1"/>
  <c r="AG59" i="1"/>
  <c r="Y59" i="1"/>
  <c r="AJ59" i="1" s="1"/>
  <c r="V766" i="1"/>
  <c r="L173" i="1"/>
  <c r="O173" i="1"/>
  <c r="Y173" i="1"/>
  <c r="AJ173" i="1" s="1"/>
  <c r="AD173" i="1"/>
  <c r="AA173" i="1"/>
  <c r="AB173" i="1"/>
  <c r="Z173" i="1"/>
  <c r="T173" i="1"/>
  <c r="H173" i="1"/>
  <c r="AG173" i="1"/>
  <c r="AC173" i="1"/>
  <c r="AE727" i="1"/>
  <c r="AF727" i="1"/>
  <c r="AF787" i="1"/>
  <c r="AE787" i="1"/>
  <c r="AE91" i="1"/>
  <c r="AF91" i="1"/>
  <c r="I330" i="1"/>
  <c r="AH329" i="1"/>
  <c r="AF517" i="1"/>
  <c r="AE517" i="1"/>
  <c r="H579" i="1"/>
  <c r="V391" i="1"/>
  <c r="Y521" i="1"/>
  <c r="AJ521" i="1" s="1"/>
  <c r="AG521" i="1"/>
  <c r="AG427" i="1"/>
  <c r="AG100" i="1"/>
  <c r="Y100" i="1"/>
  <c r="AJ100" i="1" s="1"/>
  <c r="AB361" i="1"/>
  <c r="AB81" i="1"/>
  <c r="AB4" i="1"/>
  <c r="AB327" i="1"/>
  <c r="AB157" i="1"/>
  <c r="H217" i="1"/>
  <c r="AB473" i="1"/>
  <c r="AA473" i="1"/>
  <c r="AG139" i="1"/>
  <c r="Y139" i="1"/>
  <c r="AJ139" i="1" s="1"/>
  <c r="AF501" i="1"/>
  <c r="AE501" i="1"/>
  <c r="H641" i="1"/>
  <c r="AF258" i="1"/>
  <c r="AE258" i="1"/>
  <c r="H628" i="1"/>
  <c r="AF158" i="1"/>
  <c r="AE158" i="1"/>
  <c r="H343" i="1"/>
  <c r="H361" i="1"/>
  <c r="AD730" i="1"/>
  <c r="AD690" i="1"/>
  <c r="AD749" i="1"/>
  <c r="AD710" i="1"/>
  <c r="AA338" i="1"/>
  <c r="AA169" i="1"/>
  <c r="AA15" i="1"/>
  <c r="AA93" i="1"/>
  <c r="AA53" i="1"/>
  <c r="AA132" i="1"/>
  <c r="AA211" i="1"/>
  <c r="AA367" i="1"/>
  <c r="H532" i="1"/>
  <c r="H644" i="1"/>
  <c r="AH258" i="1"/>
  <c r="I259" i="1"/>
  <c r="AF748" i="1"/>
  <c r="AE748" i="1"/>
  <c r="AC172" i="1"/>
  <c r="AF786" i="1"/>
  <c r="AE786" i="1"/>
  <c r="L58" i="1"/>
  <c r="Y58" i="1"/>
  <c r="AJ58" i="1" s="1"/>
  <c r="AD58" i="1"/>
  <c r="AC58" i="1"/>
  <c r="AB58" i="1"/>
  <c r="H58" i="1"/>
  <c r="AA58" i="1"/>
  <c r="Z58" i="1"/>
  <c r="T58" i="1"/>
  <c r="O58" i="1"/>
  <c r="AG58" i="1"/>
  <c r="H176" i="1"/>
  <c r="I690" i="1"/>
  <c r="AH689" i="1"/>
  <c r="AE328" i="1"/>
  <c r="AF328" i="1"/>
  <c r="AF162" i="1"/>
  <c r="AE162" i="1"/>
  <c r="H148" i="1"/>
  <c r="AF480" i="1"/>
  <c r="AE480" i="1"/>
  <c r="AF126" i="1"/>
  <c r="AE126" i="1"/>
  <c r="AA331" i="1"/>
  <c r="AA161" i="1"/>
  <c r="AA10" i="1"/>
  <c r="AA48" i="1"/>
  <c r="AA88" i="1"/>
  <c r="AB748" i="1"/>
  <c r="AB688" i="1"/>
  <c r="AB584" i="1"/>
  <c r="AB563" i="1"/>
  <c r="AB436" i="1"/>
  <c r="AB273" i="1"/>
  <c r="AB708" i="1"/>
  <c r="AB605" i="1"/>
  <c r="H610" i="1" s="1"/>
  <c r="AB728" i="1"/>
  <c r="H440" i="1"/>
  <c r="AH123" i="1"/>
  <c r="I124" i="1"/>
  <c r="Y427" i="1"/>
  <c r="AJ427" i="1" s="1"/>
  <c r="H763" i="1"/>
  <c r="H188" i="1"/>
  <c r="H115" i="1"/>
  <c r="X258" i="1"/>
  <c r="Y176" i="1"/>
  <c r="AJ176" i="1" s="1"/>
  <c r="AF766" i="1"/>
  <c r="AE766" i="1"/>
  <c r="AB46" i="1"/>
  <c r="AB125" i="1"/>
  <c r="AB763" i="1"/>
  <c r="V362" i="1"/>
  <c r="H375" i="1"/>
  <c r="H382" i="1"/>
  <c r="H376" i="1"/>
  <c r="I452" i="1"/>
  <c r="AH451" i="1"/>
  <c r="H600" i="1"/>
  <c r="Y524" i="1"/>
  <c r="AJ524" i="1" s="1"/>
  <c r="AH83" i="1"/>
  <c r="I84" i="1"/>
  <c r="H427" i="1"/>
  <c r="AF560" i="1"/>
  <c r="AE560" i="1"/>
  <c r="AB57" i="1"/>
  <c r="O57" i="1"/>
  <c r="AD57" i="1"/>
  <c r="AC57" i="1"/>
  <c r="H57" i="1"/>
  <c r="AA57" i="1"/>
  <c r="Z57" i="1"/>
  <c r="T57" i="1"/>
  <c r="L57" i="1"/>
  <c r="AG57" i="1"/>
  <c r="Y57" i="1"/>
  <c r="AJ57" i="1" s="1"/>
  <c r="AE708" i="1"/>
  <c r="AF708" i="1"/>
  <c r="H218" i="1"/>
  <c r="AG175" i="1"/>
  <c r="Y175" i="1"/>
  <c r="AJ175" i="1" s="1"/>
  <c r="AA786" i="1"/>
  <c r="AA747" i="1"/>
  <c r="AA766" i="1"/>
  <c r="AA687" i="1"/>
  <c r="AA727" i="1"/>
  <c r="AA707" i="1"/>
  <c r="AE9" i="1"/>
  <c r="AF9" i="1"/>
  <c r="AE204" i="1"/>
  <c r="AF204" i="1"/>
  <c r="H499" i="1"/>
  <c r="I561" i="1"/>
  <c r="AH560" i="1"/>
  <c r="H122" i="1"/>
  <c r="V329" i="1"/>
  <c r="V531" i="1"/>
  <c r="H449" i="1"/>
  <c r="AB362" i="1"/>
  <c r="AA362" i="1"/>
  <c r="V9" i="1"/>
  <c r="AA639" i="1"/>
  <c r="AA623" i="1"/>
  <c r="AA452" i="1"/>
  <c r="AA477" i="1"/>
  <c r="AA391" i="1"/>
  <c r="AA311" i="1"/>
  <c r="AA243" i="1"/>
  <c r="AA258" i="1"/>
  <c r="AA406" i="1"/>
  <c r="H36" i="1"/>
  <c r="AE603" i="1"/>
  <c r="AF603" i="1"/>
  <c r="T56" i="1"/>
  <c r="AB56" i="1"/>
  <c r="H56" i="1"/>
  <c r="AA56" i="1"/>
  <c r="Z56" i="1"/>
  <c r="O56" i="1"/>
  <c r="L56" i="1"/>
  <c r="AG56" i="1"/>
  <c r="Y56" i="1"/>
  <c r="AJ56" i="1" s="1"/>
  <c r="AD56" i="1"/>
  <c r="AC56" i="1"/>
  <c r="AA96" i="1"/>
  <c r="AD96" i="1"/>
  <c r="AB603" i="1"/>
  <c r="AB560" i="1"/>
  <c r="AB421" i="1"/>
  <c r="AB293" i="1"/>
  <c r="AB787" i="1"/>
  <c r="AB767" i="1"/>
  <c r="AF639" i="1"/>
  <c r="AE639" i="1"/>
  <c r="Y99" i="1"/>
  <c r="AJ99" i="1" s="1"/>
  <c r="AF87" i="1"/>
  <c r="AE87" i="1"/>
  <c r="H65" i="1"/>
  <c r="Y65" i="1"/>
  <c r="AJ65" i="1" s="1"/>
  <c r="AG65" i="1"/>
  <c r="H521" i="1"/>
  <c r="Y425" i="1"/>
  <c r="AJ425" i="1" s="1"/>
  <c r="AG425" i="1"/>
  <c r="AA329" i="1"/>
  <c r="AA330" i="1"/>
  <c r="AA783" i="1"/>
  <c r="AA49" i="1"/>
  <c r="AA531" i="1"/>
  <c r="H142" i="1"/>
  <c r="I393" i="1"/>
  <c r="AH392" i="1"/>
  <c r="H654" i="1"/>
  <c r="V654" i="1"/>
  <c r="AF125" i="1"/>
  <c r="AE125" i="1"/>
  <c r="AE46" i="1"/>
  <c r="AF46" i="1"/>
  <c r="AD161" i="1"/>
  <c r="AD88" i="1"/>
  <c r="AD10" i="1"/>
  <c r="AD48" i="1"/>
  <c r="AD331" i="1"/>
  <c r="H37" i="1"/>
  <c r="AH583" i="1"/>
  <c r="I584" i="1"/>
  <c r="AB764" i="1"/>
  <c r="AB602" i="1"/>
  <c r="AB559" i="1"/>
  <c r="AB784" i="1"/>
  <c r="AB581" i="1"/>
  <c r="I160" i="1"/>
  <c r="AH159" i="1"/>
  <c r="AB18" i="1"/>
  <c r="AD18" i="1"/>
  <c r="Y18" i="1"/>
  <c r="AJ18" i="1" s="1"/>
  <c r="AC18" i="1"/>
  <c r="Z18" i="1"/>
  <c r="AA18" i="1"/>
  <c r="H18" i="1"/>
  <c r="T18" i="1"/>
  <c r="L18" i="1"/>
  <c r="AG18" i="1"/>
  <c r="AF421" i="1"/>
  <c r="AE421" i="1"/>
  <c r="AF436" i="1"/>
  <c r="AE436" i="1"/>
  <c r="I6" i="1"/>
  <c r="AH5" i="1"/>
  <c r="AH292" i="1"/>
  <c r="I293" i="1"/>
  <c r="AF167" i="1"/>
  <c r="AE167" i="1"/>
  <c r="H22" i="1"/>
  <c r="V161" i="1"/>
  <c r="H192" i="1"/>
  <c r="AA730" i="1"/>
  <c r="AA710" i="1"/>
  <c r="AA690" i="1"/>
  <c r="AA749" i="1"/>
  <c r="H59" i="1"/>
  <c r="AF310" i="1"/>
  <c r="AE310" i="1"/>
  <c r="H410" i="1"/>
  <c r="Y372" i="1"/>
  <c r="AJ372" i="1" s="1"/>
  <c r="AG372" i="1"/>
  <c r="H395" i="1"/>
  <c r="AH603" i="1"/>
  <c r="I604" i="1"/>
  <c r="AG21" i="1"/>
  <c r="AD330" i="1"/>
  <c r="AD49" i="1"/>
  <c r="I730" i="1"/>
  <c r="AH729" i="1"/>
  <c r="AE406" i="1"/>
  <c r="AF406" i="1"/>
  <c r="AE243" i="1"/>
  <c r="AF243" i="1"/>
  <c r="AE85" i="1"/>
  <c r="AF85" i="1"/>
  <c r="H157" i="1"/>
  <c r="AF687" i="1"/>
  <c r="AE687" i="1"/>
  <c r="AH501" i="1"/>
  <c r="I502" i="1"/>
  <c r="H290" i="1"/>
  <c r="AH273" i="1"/>
  <c r="I274" i="1"/>
  <c r="AE160" i="1"/>
  <c r="AF160" i="1"/>
  <c r="AA9" i="1"/>
  <c r="AA85" i="1"/>
  <c r="AH362" i="1"/>
  <c r="I363" i="1"/>
  <c r="AG97" i="1"/>
  <c r="Z97" i="1"/>
  <c r="L137" i="1"/>
  <c r="AD137" i="1"/>
  <c r="Y137" i="1"/>
  <c r="AJ137" i="1" s="1"/>
  <c r="AC137" i="1"/>
  <c r="H137" i="1"/>
  <c r="AB137" i="1"/>
  <c r="AA137" i="1"/>
  <c r="Z137" i="1"/>
  <c r="T137" i="1"/>
  <c r="O137" i="1"/>
  <c r="AG137" i="1"/>
  <c r="L20" i="1"/>
  <c r="AB20" i="1"/>
  <c r="AA20" i="1"/>
  <c r="H20" i="1"/>
  <c r="Z20" i="1"/>
  <c r="T20" i="1"/>
  <c r="AG20" i="1"/>
  <c r="AD20" i="1"/>
  <c r="Y20" i="1"/>
  <c r="AJ20" i="1" s="1"/>
  <c r="AC20" i="1"/>
  <c r="AG615" i="1"/>
  <c r="Y615" i="1"/>
  <c r="AJ615" i="1" s="1"/>
  <c r="I407" i="1"/>
  <c r="AH406" i="1"/>
  <c r="AG428" i="1"/>
  <c r="AG442" i="1"/>
  <c r="H442" i="1"/>
  <c r="AE623" i="1"/>
  <c r="AF623" i="1"/>
  <c r="AB128" i="1"/>
  <c r="AA128" i="1"/>
  <c r="Y218" i="1"/>
  <c r="AJ218" i="1" s="1"/>
  <c r="AG218" i="1"/>
  <c r="AG138" i="1"/>
  <c r="I626" i="1"/>
  <c r="AH625" i="1"/>
  <c r="AD209" i="1"/>
  <c r="H180" i="1"/>
  <c r="H247" i="1"/>
  <c r="AB130" i="1"/>
  <c r="AA130" i="1"/>
  <c r="H670" i="1"/>
  <c r="AG250" i="1"/>
  <c r="H250" i="1"/>
  <c r="Y250" i="1"/>
  <c r="AJ250" i="1" s="1"/>
  <c r="AH708" i="1"/>
  <c r="I709" i="1"/>
  <c r="AE767" i="1"/>
  <c r="AF767" i="1"/>
  <c r="H685" i="1"/>
  <c r="AA600" i="1"/>
  <c r="AA579" i="1"/>
  <c r="AA557" i="1"/>
  <c r="AE311" i="1"/>
  <c r="AF311" i="1"/>
  <c r="AA746" i="1"/>
  <c r="AA654" i="1"/>
  <c r="AA726" i="1"/>
  <c r="AA706" i="1"/>
  <c r="AA686" i="1"/>
  <c r="AA670" i="1"/>
  <c r="AF455" i="1"/>
  <c r="AE455" i="1"/>
  <c r="H62" i="1"/>
  <c r="AE584" i="1"/>
  <c r="AF584" i="1"/>
  <c r="H621" i="1"/>
  <c r="AC19" i="1"/>
  <c r="AB19" i="1"/>
  <c r="Z19" i="1"/>
  <c r="AD19" i="1"/>
  <c r="Y19" i="1"/>
  <c r="AJ19" i="1" s="1"/>
  <c r="AA19" i="1"/>
  <c r="H19" i="1"/>
  <c r="T19" i="1"/>
  <c r="O19" i="1"/>
  <c r="L19" i="1"/>
  <c r="AG19" i="1"/>
  <c r="X128" i="1"/>
  <c r="AF536" i="1"/>
  <c r="AE536" i="1"/>
  <c r="AG190" i="1"/>
  <c r="AH422" i="1"/>
  <c r="I423" i="1"/>
  <c r="AG67" i="1"/>
  <c r="AF293" i="1"/>
  <c r="AE293" i="1"/>
  <c r="AF363" i="1"/>
  <c r="AE363" i="1"/>
  <c r="H439" i="1"/>
  <c r="H4" i="1"/>
  <c r="AG74" i="1"/>
  <c r="H327" i="1"/>
  <c r="Y428" i="1"/>
  <c r="AJ428" i="1" s="1"/>
  <c r="H705" i="1"/>
  <c r="H150" i="1"/>
  <c r="AE391" i="1"/>
  <c r="AF391" i="1"/>
  <c r="I201" i="1"/>
  <c r="AH200" i="1"/>
  <c r="AA456" i="1"/>
  <c r="AA91" i="1"/>
  <c r="AA13" i="1"/>
  <c r="AA481" i="1"/>
  <c r="AH785" i="1"/>
  <c r="I786" i="1"/>
  <c r="Y190" i="1"/>
  <c r="AJ190" i="1" s="1"/>
  <c r="AG60" i="1"/>
  <c r="H280" i="1"/>
  <c r="I640" i="1"/>
  <c r="AH639" i="1"/>
  <c r="AA136" i="1"/>
  <c r="AE481" i="1"/>
  <c r="AF481" i="1"/>
  <c r="O7" i="1" l="1"/>
  <c r="O8" i="1" s="1"/>
  <c r="AB97" i="1"/>
  <c r="AD97" i="1"/>
  <c r="AG72" i="1"/>
  <c r="Y97" i="1"/>
  <c r="AJ97" i="1" s="1"/>
  <c r="T97" i="1"/>
  <c r="H631" i="1"/>
  <c r="AC97" i="1"/>
  <c r="Y631" i="1"/>
  <c r="AJ631" i="1" s="1"/>
  <c r="L97" i="1"/>
  <c r="H97" i="1"/>
  <c r="O97" i="1"/>
  <c r="AF656" i="1"/>
  <c r="AG611" i="1"/>
  <c r="AF47" i="1"/>
  <c r="Z172" i="1"/>
  <c r="AD172" i="1"/>
  <c r="AE172" i="1" s="1"/>
  <c r="AG172" i="1"/>
  <c r="AE52" i="1"/>
  <c r="AF52" i="1"/>
  <c r="L172" i="1"/>
  <c r="H172" i="1"/>
  <c r="Y172" i="1"/>
  <c r="AJ172" i="1" s="1"/>
  <c r="T172" i="1"/>
  <c r="AA172" i="1"/>
  <c r="AB172" i="1"/>
  <c r="Z136" i="1"/>
  <c r="AC135" i="1"/>
  <c r="AB136" i="1"/>
  <c r="H136" i="1"/>
  <c r="T136" i="1"/>
  <c r="Y135" i="1"/>
  <c r="AJ135" i="1" s="1"/>
  <c r="AC136" i="1"/>
  <c r="O136" i="1"/>
  <c r="AG136" i="1"/>
  <c r="Y136" i="1"/>
  <c r="AJ136" i="1" s="1"/>
  <c r="L136" i="1"/>
  <c r="H523" i="1"/>
  <c r="AG523" i="1"/>
  <c r="Y523" i="1"/>
  <c r="AJ523" i="1" s="1"/>
  <c r="Y647" i="1"/>
  <c r="AJ647" i="1" s="1"/>
  <c r="H647" i="1"/>
  <c r="AF516" i="1"/>
  <c r="AE516" i="1"/>
  <c r="AB135" i="1"/>
  <c r="AD135" i="1"/>
  <c r="AF135" i="1" s="1"/>
  <c r="L135" i="1"/>
  <c r="AG135" i="1"/>
  <c r="Y301" i="1"/>
  <c r="AJ301" i="1" s="1"/>
  <c r="Y73" i="1"/>
  <c r="AJ73" i="1" s="1"/>
  <c r="T135" i="1"/>
  <c r="AG301" i="1"/>
  <c r="H73" i="1"/>
  <c r="AA135" i="1"/>
  <c r="H135" i="1"/>
  <c r="H110" i="1"/>
  <c r="AE47" i="1"/>
  <c r="Y72" i="1"/>
  <c r="AJ72" i="1" s="1"/>
  <c r="Y520" i="1"/>
  <c r="AJ520" i="1" s="1"/>
  <c r="AC96" i="1"/>
  <c r="L96" i="1"/>
  <c r="H520" i="1"/>
  <c r="AG520" i="1"/>
  <c r="AG96" i="1"/>
  <c r="H96" i="1"/>
  <c r="Y96" i="1"/>
  <c r="AJ96" i="1" s="1"/>
  <c r="O96" i="1"/>
  <c r="T96" i="1"/>
  <c r="AG28" i="1"/>
  <c r="AG507" i="1"/>
  <c r="Z96" i="1"/>
  <c r="AB96" i="1"/>
  <c r="Y507" i="1"/>
  <c r="AJ507" i="1" s="1"/>
  <c r="Y350" i="1"/>
  <c r="AJ350" i="1" s="1"/>
  <c r="AE582" i="1"/>
  <c r="H794" i="1"/>
  <c r="Y794" i="1"/>
  <c r="AJ794" i="1" s="1"/>
  <c r="Y181" i="1"/>
  <c r="AJ181" i="1" s="1"/>
  <c r="AF202" i="1"/>
  <c r="AE202" i="1"/>
  <c r="AE163" i="1"/>
  <c r="AF163" i="1"/>
  <c r="AE8" i="1"/>
  <c r="AF8" i="1"/>
  <c r="Y297" i="1"/>
  <c r="AJ297" i="1" s="1"/>
  <c r="AG297" i="1"/>
  <c r="H302" i="1"/>
  <c r="AG302" i="1"/>
  <c r="Y302" i="1"/>
  <c r="AJ302" i="1" s="1"/>
  <c r="AF124" i="1"/>
  <c r="AE124" i="1"/>
  <c r="H297" i="1"/>
  <c r="AF561" i="1"/>
  <c r="AE561" i="1"/>
  <c r="AF582" i="1"/>
  <c r="AF86" i="1"/>
  <c r="AE86" i="1"/>
  <c r="Y547" i="1"/>
  <c r="AJ547" i="1" s="1"/>
  <c r="Y186" i="1"/>
  <c r="AJ186" i="1" s="1"/>
  <c r="AA98" i="1"/>
  <c r="H379" i="1"/>
  <c r="H181" i="1"/>
  <c r="Y98" i="1"/>
  <c r="AJ98" i="1" s="1"/>
  <c r="H98" i="1"/>
  <c r="Z98" i="1"/>
  <c r="AB98" i="1"/>
  <c r="L98" i="1"/>
  <c r="H31" i="1"/>
  <c r="O98" i="1"/>
  <c r="I749" i="1"/>
  <c r="AH748" i="1"/>
  <c r="T98" i="1"/>
  <c r="AG110" i="1"/>
  <c r="AC98" i="1"/>
  <c r="AD98" i="1"/>
  <c r="AF98" i="1" s="1"/>
  <c r="AG32" i="1"/>
  <c r="H547" i="1"/>
  <c r="Y62" i="1"/>
  <c r="AJ62" i="1" s="1"/>
  <c r="H28" i="1"/>
  <c r="Y644" i="1"/>
  <c r="AJ644" i="1" s="1"/>
  <c r="H74" i="1"/>
  <c r="AG545" i="1"/>
  <c r="AG348" i="1"/>
  <c r="H265" i="1"/>
  <c r="H282" i="1"/>
  <c r="Y32" i="1"/>
  <c r="AJ32" i="1" s="1"/>
  <c r="H348" i="1"/>
  <c r="H67" i="1"/>
  <c r="Y67" i="1"/>
  <c r="AJ67" i="1" s="1"/>
  <c r="H504" i="1"/>
  <c r="Y504" i="1"/>
  <c r="AJ504" i="1" s="1"/>
  <c r="H510" i="1"/>
  <c r="AG504" i="1"/>
  <c r="H613" i="1"/>
  <c r="Y613" i="1"/>
  <c r="AJ613" i="1" s="1"/>
  <c r="AG613" i="1"/>
  <c r="AG265" i="1"/>
  <c r="AE335" i="1"/>
  <c r="AF335" i="1"/>
  <c r="AB624" i="1"/>
  <c r="AB274" i="1"/>
  <c r="AB583" i="1"/>
  <c r="AG588" i="1" s="1"/>
  <c r="AB604" i="1"/>
  <c r="AB640" i="1"/>
  <c r="AB562" i="1"/>
  <c r="Y69" i="1"/>
  <c r="AJ69" i="1" s="1"/>
  <c r="AF210" i="1"/>
  <c r="AE210" i="1"/>
  <c r="AB43" i="1"/>
  <c r="AB3" i="1"/>
  <c r="AB360" i="1"/>
  <c r="AB156" i="1"/>
  <c r="AB82" i="1"/>
  <c r="AB199" i="1"/>
  <c r="AB5" i="1"/>
  <c r="AB80" i="1"/>
  <c r="AB198" i="1"/>
  <c r="AB326" i="1"/>
  <c r="AB44" i="1"/>
  <c r="Y353" i="1"/>
  <c r="AJ353" i="1" s="1"/>
  <c r="AF640" i="1"/>
  <c r="AE640" i="1"/>
  <c r="AF562" i="1"/>
  <c r="AE562" i="1"/>
  <c r="Y146" i="1"/>
  <c r="AJ146" i="1" s="1"/>
  <c r="AF274" i="1"/>
  <c r="AE274" i="1"/>
  <c r="AF729" i="1"/>
  <c r="AE729" i="1"/>
  <c r="AE583" i="1"/>
  <c r="AF583" i="1"/>
  <c r="AE709" i="1"/>
  <c r="AF709" i="1"/>
  <c r="AF604" i="1"/>
  <c r="AE604" i="1"/>
  <c r="AF689" i="1"/>
  <c r="AE689" i="1"/>
  <c r="AE624" i="1"/>
  <c r="AF624" i="1"/>
  <c r="Y249" i="1"/>
  <c r="AJ249" i="1" s="1"/>
  <c r="AF366" i="1"/>
  <c r="AE366" i="1"/>
  <c r="Y33" i="1"/>
  <c r="AJ33" i="1" s="1"/>
  <c r="AG33" i="1"/>
  <c r="H33" i="1"/>
  <c r="AG679" i="1"/>
  <c r="H679" i="1"/>
  <c r="Y679" i="1"/>
  <c r="AJ679" i="1" s="1"/>
  <c r="AG675" i="1"/>
  <c r="Y675" i="1"/>
  <c r="AJ675" i="1" s="1"/>
  <c r="AG111" i="1"/>
  <c r="H111" i="1"/>
  <c r="Y111" i="1"/>
  <c r="AJ111" i="1" s="1"/>
  <c r="AG350" i="1"/>
  <c r="AG717" i="1"/>
  <c r="Y717" i="1"/>
  <c r="AJ717" i="1" s="1"/>
  <c r="H717" i="1"/>
  <c r="AG383" i="1"/>
  <c r="Y383" i="1"/>
  <c r="AJ383" i="1" s="1"/>
  <c r="H383" i="1"/>
  <c r="H737" i="1"/>
  <c r="AG737" i="1"/>
  <c r="Y737" i="1"/>
  <c r="AJ737" i="1" s="1"/>
  <c r="AG377" i="1"/>
  <c r="Y377" i="1"/>
  <c r="AJ377" i="1" s="1"/>
  <c r="H377" i="1"/>
  <c r="AG775" i="1"/>
  <c r="H775" i="1"/>
  <c r="Y775" i="1"/>
  <c r="AJ775" i="1" s="1"/>
  <c r="AG279" i="1"/>
  <c r="Y279" i="1"/>
  <c r="AJ279" i="1" s="1"/>
  <c r="H279" i="1"/>
  <c r="AF19" i="1"/>
  <c r="AE19" i="1"/>
  <c r="AG592" i="1"/>
  <c r="H592" i="1"/>
  <c r="Y592" i="1"/>
  <c r="AJ592" i="1" s="1"/>
  <c r="AG571" i="1"/>
  <c r="Y571" i="1"/>
  <c r="AJ571" i="1" s="1"/>
  <c r="H571" i="1"/>
  <c r="AF331" i="1"/>
  <c r="AE331" i="1"/>
  <c r="AG662" i="1"/>
  <c r="Y662" i="1"/>
  <c r="AJ662" i="1" s="1"/>
  <c r="H662" i="1"/>
  <c r="AG345" i="1"/>
  <c r="Y345" i="1"/>
  <c r="AJ345" i="1" s="1"/>
  <c r="AG380" i="1"/>
  <c r="H380" i="1"/>
  <c r="Y380" i="1"/>
  <c r="AJ380" i="1" s="1"/>
  <c r="AG610" i="1"/>
  <c r="Y610" i="1"/>
  <c r="AJ610" i="1" s="1"/>
  <c r="AF172" i="1"/>
  <c r="AE173" i="1"/>
  <c r="AF173" i="1"/>
  <c r="I312" i="1"/>
  <c r="AH311" i="1"/>
  <c r="AG280" i="1"/>
  <c r="Y280" i="1"/>
  <c r="AJ280" i="1" s="1"/>
  <c r="H697" i="1"/>
  <c r="Y697" i="1"/>
  <c r="AJ697" i="1" s="1"/>
  <c r="AG697" i="1"/>
  <c r="AF209" i="1"/>
  <c r="AE209" i="1"/>
  <c r="AF20" i="1"/>
  <c r="AE20" i="1"/>
  <c r="AF137" i="1"/>
  <c r="AE137" i="1"/>
  <c r="AB9" i="1"/>
  <c r="AB85" i="1"/>
  <c r="AE330" i="1"/>
  <c r="AF330" i="1"/>
  <c r="H572" i="1"/>
  <c r="AG572" i="1"/>
  <c r="Y572" i="1"/>
  <c r="AJ572" i="1" s="1"/>
  <c r="AH201" i="1"/>
  <c r="I202" i="1"/>
  <c r="AB600" i="1"/>
  <c r="AB557" i="1"/>
  <c r="AB579" i="1"/>
  <c r="I627" i="1"/>
  <c r="I628" i="1" s="1"/>
  <c r="I629" i="1" s="1"/>
  <c r="AH626" i="1"/>
  <c r="AH407" i="1"/>
  <c r="I408" i="1"/>
  <c r="AG29" i="1"/>
  <c r="Y29" i="1"/>
  <c r="AJ29" i="1" s="1"/>
  <c r="H29" i="1"/>
  <c r="AG102" i="1"/>
  <c r="Y102" i="1"/>
  <c r="AJ102" i="1" s="1"/>
  <c r="AG568" i="1"/>
  <c r="Y568" i="1"/>
  <c r="AJ568" i="1" s="1"/>
  <c r="AG187" i="1"/>
  <c r="Y187" i="1"/>
  <c r="AJ187" i="1" s="1"/>
  <c r="H187" i="1"/>
  <c r="AH6" i="1"/>
  <c r="I7" i="1"/>
  <c r="AE48" i="1"/>
  <c r="AF48" i="1"/>
  <c r="AG71" i="1"/>
  <c r="Y71" i="1"/>
  <c r="AJ71" i="1" s="1"/>
  <c r="H71" i="1"/>
  <c r="AG296" i="1"/>
  <c r="Y296" i="1"/>
  <c r="AJ296" i="1" s="1"/>
  <c r="I47" i="1"/>
  <c r="AH46" i="1"/>
  <c r="AG678" i="1"/>
  <c r="Y678" i="1"/>
  <c r="AJ678" i="1" s="1"/>
  <c r="H678" i="1"/>
  <c r="AE18" i="1"/>
  <c r="AF18" i="1"/>
  <c r="AF10" i="1"/>
  <c r="AE10" i="1"/>
  <c r="AG424" i="1"/>
  <c r="Y424" i="1"/>
  <c r="AJ424" i="1" s="1"/>
  <c r="Y36" i="1"/>
  <c r="AJ36" i="1" s="1"/>
  <c r="AG36" i="1"/>
  <c r="AB639" i="1"/>
  <c r="AB623" i="1"/>
  <c r="AB452" i="1"/>
  <c r="AB391" i="1"/>
  <c r="AB311" i="1"/>
  <c r="AB258" i="1"/>
  <c r="AB406" i="1"/>
  <c r="AB243" i="1"/>
  <c r="AB477" i="1"/>
  <c r="AF57" i="1"/>
  <c r="AE57" i="1"/>
  <c r="AH84" i="1"/>
  <c r="I85" i="1"/>
  <c r="AG374" i="1"/>
  <c r="Y374" i="1"/>
  <c r="AJ374" i="1" s="1"/>
  <c r="H374" i="1"/>
  <c r="AH561" i="1"/>
  <c r="I562" i="1"/>
  <c r="AG439" i="1"/>
  <c r="Y439" i="1"/>
  <c r="AJ439" i="1" s="1"/>
  <c r="AB331" i="1"/>
  <c r="AB161" i="1"/>
  <c r="AB10" i="1"/>
  <c r="AB88" i="1"/>
  <c r="AB48" i="1"/>
  <c r="AH690" i="1"/>
  <c r="I691" i="1"/>
  <c r="AG141" i="1"/>
  <c r="Y141" i="1"/>
  <c r="AJ141" i="1" s="1"/>
  <c r="H107" i="1"/>
  <c r="Y107" i="1"/>
  <c r="AJ107" i="1" s="1"/>
  <c r="AG107" i="1"/>
  <c r="AG184" i="1"/>
  <c r="Y184" i="1"/>
  <c r="AJ184" i="1" s="1"/>
  <c r="H184" i="1"/>
  <c r="AG734" i="1"/>
  <c r="Y734" i="1"/>
  <c r="AJ734" i="1" s="1"/>
  <c r="AG24" i="1"/>
  <c r="Y24" i="1"/>
  <c r="AJ24" i="1" s="1"/>
  <c r="AG183" i="1"/>
  <c r="Y183" i="1"/>
  <c r="AJ183" i="1" s="1"/>
  <c r="H183" i="1"/>
  <c r="AF88" i="1"/>
  <c r="AE88" i="1"/>
  <c r="H568" i="1"/>
  <c r="X329" i="1"/>
  <c r="AG375" i="1"/>
  <c r="Y375" i="1"/>
  <c r="AJ375" i="1" s="1"/>
  <c r="AB367" i="1"/>
  <c r="AB338" i="1"/>
  <c r="AB169" i="1"/>
  <c r="AB211" i="1"/>
  <c r="AB15" i="1"/>
  <c r="AB93" i="1"/>
  <c r="AB53" i="1"/>
  <c r="AB132" i="1"/>
  <c r="H191" i="1"/>
  <c r="AG191" i="1"/>
  <c r="Y191" i="1"/>
  <c r="AJ191" i="1" s="1"/>
  <c r="AG143" i="1"/>
  <c r="H143" i="1"/>
  <c r="Y143" i="1"/>
  <c r="AJ143" i="1" s="1"/>
  <c r="AG738" i="1"/>
  <c r="Y738" i="1"/>
  <c r="AJ738" i="1" s="1"/>
  <c r="H738" i="1"/>
  <c r="I478" i="1"/>
  <c r="AH477" i="1"/>
  <c r="AG714" i="1"/>
  <c r="H714" i="1"/>
  <c r="Y714" i="1"/>
  <c r="AJ714" i="1" s="1"/>
  <c r="AF136" i="1"/>
  <c r="AE136" i="1"/>
  <c r="AH363" i="1"/>
  <c r="I364" i="1"/>
  <c r="Y590" i="1"/>
  <c r="AJ590" i="1" s="1"/>
  <c r="AG590" i="1"/>
  <c r="H590" i="1"/>
  <c r="X161" i="1"/>
  <c r="H698" i="1"/>
  <c r="AG698" i="1"/>
  <c r="Y698" i="1"/>
  <c r="AJ698" i="1" s="1"/>
  <c r="I585" i="1"/>
  <c r="AH584" i="1"/>
  <c r="AE161" i="1"/>
  <c r="AF161" i="1"/>
  <c r="AH393" i="1"/>
  <c r="I394" i="1"/>
  <c r="I395" i="1" s="1"/>
  <c r="AB329" i="1"/>
  <c r="AB783" i="1"/>
  <c r="AB49" i="1"/>
  <c r="AB330" i="1"/>
  <c r="AE710" i="1"/>
  <c r="AF710" i="1"/>
  <c r="AG718" i="1"/>
  <c r="H718" i="1"/>
  <c r="Y718" i="1"/>
  <c r="AJ718" i="1" s="1"/>
  <c r="AE97" i="1"/>
  <c r="AF97" i="1"/>
  <c r="I503" i="1"/>
  <c r="AH502" i="1"/>
  <c r="AG589" i="1"/>
  <c r="Y589" i="1"/>
  <c r="AJ589" i="1" s="1"/>
  <c r="H593" i="1"/>
  <c r="AG593" i="1"/>
  <c r="Y593" i="1"/>
  <c r="AJ593" i="1" s="1"/>
  <c r="AH604" i="1"/>
  <c r="I605" i="1"/>
  <c r="Y106" i="1"/>
  <c r="AJ106" i="1" s="1"/>
  <c r="AG106" i="1"/>
  <c r="H106" i="1"/>
  <c r="I641" i="1"/>
  <c r="AH640" i="1"/>
  <c r="I424" i="1"/>
  <c r="I425" i="1" s="1"/>
  <c r="AH423" i="1"/>
  <c r="AG35" i="1"/>
  <c r="H35" i="1"/>
  <c r="Y35" i="1"/>
  <c r="AJ35" i="1" s="1"/>
  <c r="AH730" i="1"/>
  <c r="I731" i="1"/>
  <c r="AG142" i="1"/>
  <c r="Y142" i="1"/>
  <c r="AJ142" i="1" s="1"/>
  <c r="Y112" i="1"/>
  <c r="AJ112" i="1" s="1"/>
  <c r="AG112" i="1"/>
  <c r="H112" i="1"/>
  <c r="AG381" i="1"/>
  <c r="Y381" i="1"/>
  <c r="AJ381" i="1" s="1"/>
  <c r="H381" i="1"/>
  <c r="AH259" i="1"/>
  <c r="I260" i="1"/>
  <c r="AF749" i="1"/>
  <c r="AE749" i="1"/>
  <c r="H734" i="1"/>
  <c r="X766" i="1"/>
  <c r="I657" i="1"/>
  <c r="AH656" i="1"/>
  <c r="AH765" i="1"/>
  <c r="I766" i="1"/>
  <c r="X726" i="1"/>
  <c r="Y34" i="1"/>
  <c r="AJ34" i="1" s="1"/>
  <c r="AG34" i="1"/>
  <c r="H34" i="1"/>
  <c r="H102" i="1"/>
  <c r="I438" i="1"/>
  <c r="AH437" i="1"/>
  <c r="X9" i="1"/>
  <c r="AG551" i="1"/>
  <c r="H551" i="1"/>
  <c r="Y551" i="1"/>
  <c r="AJ551" i="1" s="1"/>
  <c r="I453" i="1"/>
  <c r="AH452" i="1"/>
  <c r="Y104" i="1"/>
  <c r="AJ104" i="1" s="1"/>
  <c r="AG104" i="1"/>
  <c r="H104" i="1"/>
  <c r="AE58" i="1"/>
  <c r="AF58" i="1"/>
  <c r="AG352" i="1"/>
  <c r="H352" i="1"/>
  <c r="Y352" i="1"/>
  <c r="AJ352" i="1" s="1"/>
  <c r="AE690" i="1"/>
  <c r="AF690" i="1"/>
  <c r="Y694" i="1"/>
  <c r="AJ694" i="1" s="1"/>
  <c r="AG694" i="1"/>
  <c r="AG398" i="1"/>
  <c r="Y398" i="1"/>
  <c r="AJ398" i="1" s="1"/>
  <c r="H398" i="1"/>
  <c r="AH330" i="1"/>
  <c r="I331" i="1"/>
  <c r="AG149" i="1"/>
  <c r="H149" i="1"/>
  <c r="Y149" i="1"/>
  <c r="AJ149" i="1" s="1"/>
  <c r="H694" i="1"/>
  <c r="AG189" i="1"/>
  <c r="Y189" i="1"/>
  <c r="AJ189" i="1" s="1"/>
  <c r="H189" i="1"/>
  <c r="AH786" i="1"/>
  <c r="I787" i="1"/>
  <c r="AG113" i="1"/>
  <c r="Y113" i="1"/>
  <c r="AJ113" i="1" s="1"/>
  <c r="H113" i="1"/>
  <c r="AB730" i="1"/>
  <c r="AB690" i="1"/>
  <c r="AB710" i="1"/>
  <c r="AB749" i="1"/>
  <c r="I275" i="1"/>
  <c r="AH274" i="1"/>
  <c r="AF49" i="1"/>
  <c r="AE49" i="1"/>
  <c r="AG573" i="1"/>
  <c r="H573" i="1"/>
  <c r="Y573" i="1"/>
  <c r="AJ573" i="1" s="1"/>
  <c r="AG192" i="1"/>
  <c r="Y192" i="1"/>
  <c r="AJ192" i="1" s="1"/>
  <c r="I294" i="1"/>
  <c r="AH293" i="1"/>
  <c r="Y37" i="1"/>
  <c r="AJ37" i="1" s="1"/>
  <c r="AG37" i="1"/>
  <c r="AG659" i="1"/>
  <c r="Y659" i="1"/>
  <c r="AJ659" i="1" s="1"/>
  <c r="AG354" i="1"/>
  <c r="H354" i="1"/>
  <c r="Y354" i="1"/>
  <c r="AJ354" i="1" s="1"/>
  <c r="Y774" i="1"/>
  <c r="AJ774" i="1" s="1"/>
  <c r="AG774" i="1"/>
  <c r="H774" i="1"/>
  <c r="X531" i="1"/>
  <c r="H795" i="1"/>
  <c r="Y795" i="1"/>
  <c r="AJ795" i="1" s="1"/>
  <c r="AG795" i="1"/>
  <c r="H589" i="1"/>
  <c r="X362" i="1"/>
  <c r="AG115" i="1"/>
  <c r="Y115" i="1"/>
  <c r="AJ115" i="1" s="1"/>
  <c r="H70" i="1"/>
  <c r="AG70" i="1"/>
  <c r="Y70" i="1"/>
  <c r="AJ70" i="1" s="1"/>
  <c r="AF730" i="1"/>
  <c r="AE730" i="1"/>
  <c r="X391" i="1"/>
  <c r="AE174" i="1"/>
  <c r="AF174" i="1"/>
  <c r="AG182" i="1"/>
  <c r="Y182" i="1"/>
  <c r="AJ182" i="1" s="1"/>
  <c r="AG262" i="1"/>
  <c r="Y262" i="1"/>
  <c r="AJ262" i="1" s="1"/>
  <c r="AB726" i="1"/>
  <c r="AB686" i="1"/>
  <c r="AB654" i="1"/>
  <c r="AB706" i="1"/>
  <c r="AB746" i="1"/>
  <c r="AB670" i="1"/>
  <c r="AG150" i="1"/>
  <c r="Y150" i="1"/>
  <c r="AJ150" i="1" s="1"/>
  <c r="AG300" i="1"/>
  <c r="Y300" i="1"/>
  <c r="AJ300" i="1" s="1"/>
  <c r="H300" i="1"/>
  <c r="AG755" i="1"/>
  <c r="H755" i="1"/>
  <c r="Y755" i="1"/>
  <c r="AJ755" i="1" s="1"/>
  <c r="AB786" i="1"/>
  <c r="AB747" i="1"/>
  <c r="AB727" i="1"/>
  <c r="AB687" i="1"/>
  <c r="AB766" i="1"/>
  <c r="AB707" i="1"/>
  <c r="AG772" i="1"/>
  <c r="H772" i="1"/>
  <c r="Y772" i="1"/>
  <c r="AJ772" i="1" s="1"/>
  <c r="AG188" i="1"/>
  <c r="Y188" i="1"/>
  <c r="AJ188" i="1" s="1"/>
  <c r="I125" i="1"/>
  <c r="AH124" i="1"/>
  <c r="AG776" i="1"/>
  <c r="Y776" i="1"/>
  <c r="AJ776" i="1" s="1"/>
  <c r="H776" i="1"/>
  <c r="I246" i="1"/>
  <c r="I247" i="1" s="1"/>
  <c r="AH245" i="1"/>
  <c r="I519" i="1"/>
  <c r="AH518" i="1"/>
  <c r="I534" i="1"/>
  <c r="AH533" i="1"/>
  <c r="AG413" i="1"/>
  <c r="H413" i="1"/>
  <c r="Y413" i="1"/>
  <c r="AJ413" i="1" s="1"/>
  <c r="Y283" i="1"/>
  <c r="AJ283" i="1" s="1"/>
  <c r="AG283" i="1"/>
  <c r="H283" i="1"/>
  <c r="X654" i="1"/>
  <c r="AB531" i="1"/>
  <c r="AE96" i="1"/>
  <c r="AF96" i="1"/>
  <c r="AG351" i="1"/>
  <c r="Y351" i="1"/>
  <c r="AJ351" i="1" s="1"/>
  <c r="H351" i="1"/>
  <c r="Y376" i="1"/>
  <c r="AJ376" i="1" s="1"/>
  <c r="AG376" i="1"/>
  <c r="Y144" i="1"/>
  <c r="AJ144" i="1" s="1"/>
  <c r="AG144" i="1"/>
  <c r="H144" i="1"/>
  <c r="H141" i="1"/>
  <c r="AG549" i="1"/>
  <c r="Y549" i="1"/>
  <c r="AJ549" i="1" s="1"/>
  <c r="H549" i="1"/>
  <c r="AG410" i="1"/>
  <c r="Y410" i="1"/>
  <c r="AJ410" i="1" s="1"/>
  <c r="AG284" i="1"/>
  <c r="H284" i="1"/>
  <c r="Y284" i="1"/>
  <c r="AJ284" i="1" s="1"/>
  <c r="AG180" i="1"/>
  <c r="Y180" i="1"/>
  <c r="AJ180" i="1" s="1"/>
  <c r="AG26" i="1"/>
  <c r="H26" i="1"/>
  <c r="Y26" i="1"/>
  <c r="AJ26" i="1" s="1"/>
  <c r="AB456" i="1"/>
  <c r="AB13" i="1"/>
  <c r="AB91" i="1"/>
  <c r="AB481" i="1"/>
  <c r="AG569" i="1"/>
  <c r="Y569" i="1"/>
  <c r="AJ569" i="1" s="1"/>
  <c r="H569" i="1"/>
  <c r="AG178" i="1"/>
  <c r="Y178" i="1"/>
  <c r="AJ178" i="1" s="1"/>
  <c r="AG114" i="1"/>
  <c r="Y114" i="1"/>
  <c r="AJ114" i="1" s="1"/>
  <c r="H114" i="1"/>
  <c r="Y264" i="1"/>
  <c r="AJ264" i="1" s="1"/>
  <c r="AG264" i="1"/>
  <c r="H264" i="1"/>
  <c r="AH709" i="1"/>
  <c r="I710" i="1"/>
  <c r="AG594" i="1"/>
  <c r="H594" i="1"/>
  <c r="Y594" i="1"/>
  <c r="AJ594" i="1" s="1"/>
  <c r="AH160" i="1"/>
  <c r="I161" i="1"/>
  <c r="AE56" i="1"/>
  <c r="AF56" i="1"/>
  <c r="AG382" i="1"/>
  <c r="Y382" i="1"/>
  <c r="AJ382" i="1" s="1"/>
  <c r="Y66" i="1"/>
  <c r="AJ66" i="1" s="1"/>
  <c r="AG66" i="1"/>
  <c r="H66" i="1"/>
  <c r="AG148" i="1"/>
  <c r="Y148" i="1"/>
  <c r="AJ148" i="1" s="1"/>
  <c r="AH628" i="1"/>
  <c r="AG628" i="1"/>
  <c r="Y628" i="1"/>
  <c r="AJ628" i="1" s="1"/>
  <c r="AG526" i="1"/>
  <c r="Y526" i="1"/>
  <c r="AJ526" i="1" s="1"/>
  <c r="I673" i="1"/>
  <c r="AH672" i="1"/>
  <c r="AB365" i="1"/>
  <c r="AB129" i="1"/>
  <c r="AB12" i="1"/>
  <c r="AB334" i="1"/>
  <c r="AB207" i="1"/>
  <c r="AB336" i="1"/>
  <c r="AB167" i="1"/>
  <c r="AB90" i="1"/>
  <c r="AB51" i="1"/>
  <c r="AB166" i="1"/>
  <c r="X406" i="1"/>
  <c r="O9" i="1" l="1"/>
  <c r="H350" i="1"/>
  <c r="AE98" i="1"/>
  <c r="Y278" i="1"/>
  <c r="AJ278" i="1" s="1"/>
  <c r="AG278" i="1"/>
  <c r="AG186" i="1"/>
  <c r="H186" i="1"/>
  <c r="AE135" i="1"/>
  <c r="Y553" i="1"/>
  <c r="AJ553" i="1" s="1"/>
  <c r="H545" i="1"/>
  <c r="Y379" i="1"/>
  <c r="AJ379" i="1" s="1"/>
  <c r="AG379" i="1"/>
  <c r="AG69" i="1"/>
  <c r="AG282" i="1"/>
  <c r="Y282" i="1"/>
  <c r="AJ282" i="1" s="1"/>
  <c r="AG373" i="1"/>
  <c r="AG510" i="1"/>
  <c r="H588" i="1"/>
  <c r="Y588" i="1"/>
  <c r="AJ588" i="1" s="1"/>
  <c r="Y596" i="1"/>
  <c r="AJ596" i="1" s="1"/>
  <c r="Y510" i="1"/>
  <c r="AJ510" i="1" s="1"/>
  <c r="H69" i="1"/>
  <c r="Y31" i="1"/>
  <c r="AJ31" i="1" s="1"/>
  <c r="Y545" i="1"/>
  <c r="AJ545" i="1" s="1"/>
  <c r="AG31" i="1"/>
  <c r="AG140" i="1"/>
  <c r="H249" i="1"/>
  <c r="AG249" i="1"/>
  <c r="AG753" i="1"/>
  <c r="I750" i="1"/>
  <c r="AH749" i="1"/>
  <c r="H735" i="1"/>
  <c r="H353" i="1"/>
  <c r="AG353" i="1"/>
  <c r="H146" i="1"/>
  <c r="AG347" i="1"/>
  <c r="AG146" i="1"/>
  <c r="AG61" i="1"/>
  <c r="H609" i="1"/>
  <c r="Y609" i="1"/>
  <c r="AJ609" i="1" s="1"/>
  <c r="Y617" i="1"/>
  <c r="AJ617" i="1" s="1"/>
  <c r="AG609" i="1"/>
  <c r="Y567" i="1"/>
  <c r="AJ567" i="1" s="1"/>
  <c r="H567" i="1"/>
  <c r="AG575" i="1"/>
  <c r="AG567" i="1"/>
  <c r="H715" i="1"/>
  <c r="Y177" i="1"/>
  <c r="AJ177" i="1" s="1"/>
  <c r="AG553" i="1"/>
  <c r="AG630" i="1"/>
  <c r="H630" i="1"/>
  <c r="Y630" i="1"/>
  <c r="AJ630" i="1" s="1"/>
  <c r="Y101" i="1"/>
  <c r="AJ101" i="1" s="1"/>
  <c r="AG676" i="1"/>
  <c r="Y676" i="1"/>
  <c r="AJ676" i="1" s="1"/>
  <c r="H676" i="1"/>
  <c r="I504" i="1"/>
  <c r="AH503" i="1"/>
  <c r="AG261" i="1"/>
  <c r="Y261" i="1"/>
  <c r="AJ261" i="1" s="1"/>
  <c r="Y430" i="1"/>
  <c r="AJ430" i="1" s="1"/>
  <c r="AG430" i="1"/>
  <c r="H430" i="1"/>
  <c r="AG790" i="1"/>
  <c r="Y790" i="1"/>
  <c r="AJ790" i="1" s="1"/>
  <c r="AH312" i="1"/>
  <c r="I313" i="1"/>
  <c r="AH534" i="1"/>
  <c r="I535" i="1"/>
  <c r="AG109" i="1"/>
  <c r="Y109" i="1"/>
  <c r="AJ109" i="1" s="1"/>
  <c r="H109" i="1"/>
  <c r="I409" i="1"/>
  <c r="I410" i="1" s="1"/>
  <c r="AH408" i="1"/>
  <c r="H719" i="1"/>
  <c r="AG719" i="1"/>
  <c r="Y719" i="1"/>
  <c r="AJ719" i="1" s="1"/>
  <c r="I674" i="1"/>
  <c r="AH673" i="1"/>
  <c r="I520" i="1"/>
  <c r="AH519" i="1"/>
  <c r="I295" i="1"/>
  <c r="AH294" i="1"/>
  <c r="AH453" i="1"/>
  <c r="I454" i="1"/>
  <c r="AG397" i="1"/>
  <c r="H397" i="1"/>
  <c r="Y397" i="1"/>
  <c r="AJ397" i="1" s="1"/>
  <c r="H756" i="1"/>
  <c r="AG756" i="1"/>
  <c r="Y756" i="1"/>
  <c r="AJ756" i="1" s="1"/>
  <c r="Y64" i="1"/>
  <c r="AJ64" i="1" s="1"/>
  <c r="AG64" i="1"/>
  <c r="H64" i="1"/>
  <c r="H296" i="1"/>
  <c r="AG409" i="1"/>
  <c r="Y409" i="1"/>
  <c r="AJ409" i="1" s="1"/>
  <c r="H424" i="1"/>
  <c r="H278" i="1"/>
  <c r="Y713" i="1"/>
  <c r="AJ713" i="1" s="1"/>
  <c r="AG713" i="1"/>
  <c r="AG550" i="1"/>
  <c r="Y550" i="1"/>
  <c r="AJ550" i="1" s="1"/>
  <c r="H550" i="1"/>
  <c r="AG792" i="1"/>
  <c r="Y792" i="1"/>
  <c r="AJ792" i="1" s="1"/>
  <c r="H792" i="1"/>
  <c r="AH394" i="1"/>
  <c r="AG394" i="1"/>
  <c r="Y394" i="1"/>
  <c r="AJ394" i="1" s="1"/>
  <c r="AH424" i="1"/>
  <c r="AG304" i="1"/>
  <c r="Y304" i="1"/>
  <c r="AJ304" i="1" s="1"/>
  <c r="H304" i="1"/>
  <c r="I8" i="1"/>
  <c r="AH7" i="1"/>
  <c r="I630" i="1"/>
  <c r="I631" i="1" s="1"/>
  <c r="AH629" i="1"/>
  <c r="AG660" i="1"/>
  <c r="Y660" i="1"/>
  <c r="AJ660" i="1" s="1"/>
  <c r="I788" i="1"/>
  <c r="AH787" i="1"/>
  <c r="AH331" i="1"/>
  <c r="I332" i="1"/>
  <c r="Y445" i="1"/>
  <c r="AJ445" i="1" s="1"/>
  <c r="AG445" i="1"/>
  <c r="AG796" i="1"/>
  <c r="Y796" i="1"/>
  <c r="AJ796" i="1" s="1"/>
  <c r="H796" i="1"/>
  <c r="I732" i="1"/>
  <c r="AH731" i="1"/>
  <c r="I248" i="1"/>
  <c r="AH247" i="1"/>
  <c r="AG693" i="1"/>
  <c r="Y693" i="1"/>
  <c r="AJ693" i="1" s="1"/>
  <c r="AH275" i="1"/>
  <c r="I276" i="1"/>
  <c r="AH766" i="1"/>
  <c r="I767" i="1"/>
  <c r="I396" i="1"/>
  <c r="AH395" i="1"/>
  <c r="AH691" i="1"/>
  <c r="I692" i="1"/>
  <c r="AH627" i="1"/>
  <c r="AG627" i="1"/>
  <c r="Y627" i="1"/>
  <c r="AJ627" i="1" s="1"/>
  <c r="AG23" i="1"/>
  <c r="Y23" i="1"/>
  <c r="AJ23" i="1" s="1"/>
  <c r="Y546" i="1"/>
  <c r="AJ546" i="1" s="1"/>
  <c r="AG546" i="1"/>
  <c r="H546" i="1"/>
  <c r="AG739" i="1"/>
  <c r="H739" i="1"/>
  <c r="Y739" i="1"/>
  <c r="AJ739" i="1" s="1"/>
  <c r="I563" i="1"/>
  <c r="AH562" i="1"/>
  <c r="AH85" i="1"/>
  <c r="I86" i="1"/>
  <c r="AG643" i="1"/>
  <c r="Y643" i="1"/>
  <c r="AJ643" i="1" s="1"/>
  <c r="Y346" i="1"/>
  <c r="AJ346" i="1" s="1"/>
  <c r="AG346" i="1"/>
  <c r="H346" i="1"/>
  <c r="AG286" i="1"/>
  <c r="Y286" i="1"/>
  <c r="AJ286" i="1" s="1"/>
  <c r="H286" i="1"/>
  <c r="AG733" i="1"/>
  <c r="Y733" i="1"/>
  <c r="AJ733" i="1" s="1"/>
  <c r="AG735" i="1"/>
  <c r="Y735" i="1"/>
  <c r="AJ735" i="1" s="1"/>
  <c r="I711" i="1"/>
  <c r="AH710" i="1"/>
  <c r="AG147" i="1"/>
  <c r="Y147" i="1"/>
  <c r="AJ147" i="1" s="1"/>
  <c r="H147" i="1"/>
  <c r="I126" i="1"/>
  <c r="AH125" i="1"/>
  <c r="AG752" i="1"/>
  <c r="Y752" i="1"/>
  <c r="AJ752" i="1" s="1"/>
  <c r="I261" i="1"/>
  <c r="I262" i="1" s="1"/>
  <c r="AH260" i="1"/>
  <c r="I426" i="1"/>
  <c r="AH425" i="1"/>
  <c r="AH605" i="1"/>
  <c r="I606" i="1"/>
  <c r="AG63" i="1"/>
  <c r="Y63" i="1"/>
  <c r="AJ63" i="1" s="1"/>
  <c r="H63" i="1"/>
  <c r="H675" i="1"/>
  <c r="AG771" i="1"/>
  <c r="Y771" i="1"/>
  <c r="AJ771" i="1" s="1"/>
  <c r="H771" i="1"/>
  <c r="AH161" i="1"/>
  <c r="I162" i="1"/>
  <c r="AG663" i="1"/>
  <c r="H663" i="1"/>
  <c r="Y663" i="1"/>
  <c r="AJ663" i="1" s="1"/>
  <c r="AG791" i="1"/>
  <c r="Y791" i="1"/>
  <c r="AJ791" i="1" s="1"/>
  <c r="H791" i="1"/>
  <c r="I439" i="1"/>
  <c r="AH438" i="1"/>
  <c r="I658" i="1"/>
  <c r="AH657" i="1"/>
  <c r="I365" i="1"/>
  <c r="AH364" i="1"/>
  <c r="AH47" i="1"/>
  <c r="I48" i="1"/>
  <c r="Y105" i="1"/>
  <c r="AJ105" i="1" s="1"/>
  <c r="AG105" i="1"/>
  <c r="H105" i="1"/>
  <c r="AG770" i="1"/>
  <c r="Y770" i="1"/>
  <c r="AJ770" i="1" s="1"/>
  <c r="Y699" i="1"/>
  <c r="AJ699" i="1" s="1"/>
  <c r="H699" i="1"/>
  <c r="AG699" i="1"/>
  <c r="I642" i="1"/>
  <c r="AH641" i="1"/>
  <c r="AH478" i="1"/>
  <c r="I479" i="1"/>
  <c r="AG27" i="1"/>
  <c r="Y27" i="1"/>
  <c r="AJ27" i="1" s="1"/>
  <c r="H27" i="1"/>
  <c r="Y61" i="1"/>
  <c r="AJ61" i="1" s="1"/>
  <c r="I586" i="1"/>
  <c r="AH585" i="1"/>
  <c r="AH202" i="1"/>
  <c r="I203" i="1"/>
  <c r="AG412" i="1"/>
  <c r="H412" i="1"/>
  <c r="Y412" i="1"/>
  <c r="AJ412" i="1" s="1"/>
  <c r="Y179" i="1"/>
  <c r="AJ179" i="1" s="1"/>
  <c r="AG179" i="1"/>
  <c r="H179" i="1"/>
  <c r="AH246" i="1"/>
  <c r="AG246" i="1"/>
  <c r="Y246" i="1"/>
  <c r="AJ246" i="1" s="1"/>
  <c r="AG646" i="1"/>
  <c r="Y646" i="1"/>
  <c r="AJ646" i="1" s="1"/>
  <c r="H646" i="1"/>
  <c r="O10" i="1" l="1"/>
  <c r="H553" i="1"/>
  <c r="H596" i="1"/>
  <c r="AG596" i="1"/>
  <c r="Y373" i="1"/>
  <c r="AJ373" i="1" s="1"/>
  <c r="H373" i="1"/>
  <c r="AG385" i="1"/>
  <c r="Y194" i="1"/>
  <c r="AJ194" i="1" s="1"/>
  <c r="AG177" i="1"/>
  <c r="AG617" i="1"/>
  <c r="Y117" i="1"/>
  <c r="AJ117" i="1" s="1"/>
  <c r="AG101" i="1"/>
  <c r="H512" i="1"/>
  <c r="Y753" i="1"/>
  <c r="AJ753" i="1" s="1"/>
  <c r="H753" i="1"/>
  <c r="AG152" i="1"/>
  <c r="AG76" i="1"/>
  <c r="H61" i="1"/>
  <c r="Y140" i="1"/>
  <c r="AJ140" i="1" s="1"/>
  <c r="H140" i="1"/>
  <c r="AG715" i="1"/>
  <c r="H575" i="1"/>
  <c r="Y575" i="1"/>
  <c r="AJ575" i="1" s="1"/>
  <c r="H617" i="1"/>
  <c r="H695" i="1"/>
  <c r="H347" i="1"/>
  <c r="AH409" i="1"/>
  <c r="Y695" i="1"/>
  <c r="AJ695" i="1" s="1"/>
  <c r="Y347" i="1"/>
  <c r="AJ347" i="1" s="1"/>
  <c r="AG695" i="1"/>
  <c r="I751" i="1"/>
  <c r="AH750" i="1"/>
  <c r="Y715" i="1"/>
  <c r="AJ715" i="1" s="1"/>
  <c r="AG721" i="1"/>
  <c r="H246" i="1"/>
  <c r="AG798" i="1"/>
  <c r="Y798" i="1"/>
  <c r="AJ798" i="1" s="1"/>
  <c r="H798" i="1"/>
  <c r="H445" i="1"/>
  <c r="I127" i="1"/>
  <c r="AH126" i="1"/>
  <c r="AG252" i="1"/>
  <c r="Y252" i="1"/>
  <c r="AJ252" i="1" s="1"/>
  <c r="H252" i="1"/>
  <c r="I263" i="1"/>
  <c r="AH262" i="1"/>
  <c r="AH86" i="1"/>
  <c r="I87" i="1"/>
  <c r="AG633" i="1"/>
  <c r="Y633" i="1"/>
  <c r="AJ633" i="1" s="1"/>
  <c r="H633" i="1"/>
  <c r="AH767" i="1"/>
  <c r="I768" i="1"/>
  <c r="AG701" i="1"/>
  <c r="Y701" i="1"/>
  <c r="AJ701" i="1" s="1"/>
  <c r="H701" i="1"/>
  <c r="H713" i="1"/>
  <c r="I521" i="1"/>
  <c r="AH520" i="1"/>
  <c r="H101" i="1"/>
  <c r="H394" i="1"/>
  <c r="H409" i="1"/>
  <c r="I536" i="1"/>
  <c r="AH535" i="1"/>
  <c r="AH426" i="1"/>
  <c r="I427" i="1"/>
  <c r="I49" i="1"/>
  <c r="AH48" i="1"/>
  <c r="AH479" i="1"/>
  <c r="I480" i="1"/>
  <c r="H770" i="1"/>
  <c r="I277" i="1"/>
  <c r="AH276" i="1"/>
  <c r="AH332" i="1"/>
  <c r="I333" i="1"/>
  <c r="I675" i="1"/>
  <c r="AH674" i="1"/>
  <c r="AG103" i="1"/>
  <c r="Y103" i="1"/>
  <c r="AJ103" i="1" s="1"/>
  <c r="H103" i="1"/>
  <c r="AG665" i="1"/>
  <c r="Y665" i="1"/>
  <c r="AJ665" i="1" s="1"/>
  <c r="H665" i="1"/>
  <c r="H733" i="1"/>
  <c r="I249" i="1"/>
  <c r="AH248" i="1"/>
  <c r="I632" i="1"/>
  <c r="AH631" i="1"/>
  <c r="AG415" i="1"/>
  <c r="Y415" i="1"/>
  <c r="AJ415" i="1" s="1"/>
  <c r="H415" i="1"/>
  <c r="I455" i="1"/>
  <c r="AH454" i="1"/>
  <c r="I314" i="1"/>
  <c r="AH313" i="1"/>
  <c r="AG25" i="1"/>
  <c r="Y25" i="1"/>
  <c r="AJ25" i="1" s="1"/>
  <c r="H25" i="1"/>
  <c r="AG778" i="1"/>
  <c r="Y778" i="1"/>
  <c r="AJ778" i="1" s="1"/>
  <c r="H778" i="1"/>
  <c r="I564" i="1"/>
  <c r="AH563" i="1"/>
  <c r="I505" i="1"/>
  <c r="AH504" i="1"/>
  <c r="I659" i="1"/>
  <c r="AH658" i="1"/>
  <c r="H177" i="1"/>
  <c r="H752" i="1"/>
  <c r="I712" i="1"/>
  <c r="AH711" i="1"/>
  <c r="H23" i="1"/>
  <c r="I693" i="1"/>
  <c r="AH692" i="1"/>
  <c r="I789" i="1"/>
  <c r="AH788" i="1"/>
  <c r="AG400" i="1"/>
  <c r="Y400" i="1"/>
  <c r="AJ400" i="1" s="1"/>
  <c r="H400" i="1"/>
  <c r="I440" i="1"/>
  <c r="AH439" i="1"/>
  <c r="AG741" i="1"/>
  <c r="Y741" i="1"/>
  <c r="AJ741" i="1" s="1"/>
  <c r="H741" i="1"/>
  <c r="I296" i="1"/>
  <c r="AH295" i="1"/>
  <c r="H261" i="1"/>
  <c r="AG344" i="1"/>
  <c r="Y344" i="1"/>
  <c r="AJ344" i="1" s="1"/>
  <c r="H790" i="1"/>
  <c r="I607" i="1"/>
  <c r="AH606" i="1"/>
  <c r="H643" i="1"/>
  <c r="H660" i="1"/>
  <c r="I9" i="1"/>
  <c r="AH8" i="1"/>
  <c r="AG267" i="1"/>
  <c r="Y267" i="1"/>
  <c r="AJ267" i="1" s="1"/>
  <c r="H267" i="1"/>
  <c r="AH630" i="1"/>
  <c r="AG649" i="1"/>
  <c r="Y649" i="1"/>
  <c r="AJ649" i="1" s="1"/>
  <c r="H649" i="1"/>
  <c r="AG681" i="1"/>
  <c r="Y681" i="1"/>
  <c r="AJ681" i="1" s="1"/>
  <c r="AH642" i="1"/>
  <c r="I643" i="1"/>
  <c r="AH365" i="1"/>
  <c r="I366" i="1"/>
  <c r="AH162" i="1"/>
  <c r="I163" i="1"/>
  <c r="I411" i="1"/>
  <c r="AH410" i="1"/>
  <c r="H528" i="1"/>
  <c r="I397" i="1"/>
  <c r="AH396" i="1"/>
  <c r="I204" i="1"/>
  <c r="AH203" i="1"/>
  <c r="I587" i="1"/>
  <c r="AH586" i="1"/>
  <c r="Y758" i="1"/>
  <c r="AJ758" i="1" s="1"/>
  <c r="AG758" i="1"/>
  <c r="H758" i="1"/>
  <c r="H627" i="1"/>
  <c r="H693" i="1"/>
  <c r="I733" i="1"/>
  <c r="AH732" i="1"/>
  <c r="AH261" i="1"/>
  <c r="O11" i="1" l="1"/>
  <c r="O12" i="1" s="1"/>
  <c r="Y385" i="1"/>
  <c r="AJ385" i="1" s="1"/>
  <c r="H194" i="1"/>
  <c r="AG194" i="1"/>
  <c r="H385" i="1"/>
  <c r="H76" i="1"/>
  <c r="H117" i="1"/>
  <c r="AG117" i="1"/>
  <c r="H152" i="1"/>
  <c r="Y152" i="1"/>
  <c r="AJ152" i="1" s="1"/>
  <c r="Y76" i="1"/>
  <c r="AJ76" i="1" s="1"/>
  <c r="T205" i="1"/>
  <c r="H577" i="1"/>
  <c r="Y721" i="1"/>
  <c r="AJ721" i="1" s="1"/>
  <c r="I752" i="1"/>
  <c r="AH751" i="1"/>
  <c r="H721" i="1"/>
  <c r="AH480" i="1"/>
  <c r="I481" i="1"/>
  <c r="H344" i="1"/>
  <c r="I676" i="1"/>
  <c r="AH675" i="1"/>
  <c r="H527" i="1"/>
  <c r="I205" i="1"/>
  <c r="AH204" i="1"/>
  <c r="I412" i="1"/>
  <c r="AH411" i="1"/>
  <c r="I608" i="1"/>
  <c r="AH607" i="1"/>
  <c r="AG39" i="1"/>
  <c r="Y39" i="1"/>
  <c r="AJ39" i="1" s="1"/>
  <c r="H39" i="1"/>
  <c r="I441" i="1"/>
  <c r="AH440" i="1"/>
  <c r="I660" i="1"/>
  <c r="AH659" i="1"/>
  <c r="I315" i="1"/>
  <c r="I297" i="1"/>
  <c r="AH296" i="1"/>
  <c r="I334" i="1"/>
  <c r="AH333" i="1"/>
  <c r="I537" i="1"/>
  <c r="AH536" i="1"/>
  <c r="AH263" i="1"/>
  <c r="I264" i="1"/>
  <c r="H432" i="1"/>
  <c r="I694" i="1"/>
  <c r="AH693" i="1"/>
  <c r="I506" i="1"/>
  <c r="AH505" i="1"/>
  <c r="AH455" i="1"/>
  <c r="I456" i="1"/>
  <c r="I633" i="1"/>
  <c r="AH632" i="1"/>
  <c r="H511" i="1"/>
  <c r="H288" i="1"/>
  <c r="I734" i="1"/>
  <c r="AH733" i="1"/>
  <c r="AH564" i="1"/>
  <c r="I565" i="1"/>
  <c r="H555" i="1"/>
  <c r="H598" i="1"/>
  <c r="I428" i="1"/>
  <c r="AH427" i="1"/>
  <c r="I522" i="1"/>
  <c r="AH521" i="1"/>
  <c r="I128" i="1"/>
  <c r="AH127" i="1"/>
  <c r="I398" i="1"/>
  <c r="AH397" i="1"/>
  <c r="I164" i="1"/>
  <c r="AH163" i="1"/>
  <c r="I10" i="1"/>
  <c r="AH9" i="1"/>
  <c r="AH277" i="1"/>
  <c r="I278" i="1"/>
  <c r="AG356" i="1"/>
  <c r="Y356" i="1"/>
  <c r="AJ356" i="1" s="1"/>
  <c r="H356" i="1"/>
  <c r="AH789" i="1"/>
  <c r="I790" i="1"/>
  <c r="I644" i="1"/>
  <c r="AH643" i="1"/>
  <c r="I588" i="1"/>
  <c r="AH587" i="1"/>
  <c r="I769" i="1"/>
  <c r="AH768" i="1"/>
  <c r="H306" i="1"/>
  <c r="I250" i="1"/>
  <c r="AH249" i="1"/>
  <c r="AH49" i="1"/>
  <c r="I50" i="1"/>
  <c r="H681" i="1"/>
  <c r="I367" i="1"/>
  <c r="AH366" i="1"/>
  <c r="I713" i="1"/>
  <c r="AH712" i="1"/>
  <c r="I88" i="1"/>
  <c r="AH87" i="1"/>
  <c r="H447" i="1"/>
  <c r="O13" i="1" l="1"/>
  <c r="O14" i="1" s="1"/>
  <c r="O15" i="1" s="1"/>
  <c r="O16" i="1" s="1"/>
  <c r="H619" i="1"/>
  <c r="H576" i="1"/>
  <c r="Q205" i="1"/>
  <c r="W205" i="1" s="1"/>
  <c r="S205" i="1"/>
  <c r="Y205" i="1"/>
  <c r="AJ205" i="1" s="1"/>
  <c r="R205" i="1"/>
  <c r="AG205" i="1"/>
  <c r="H618" i="1"/>
  <c r="I753" i="1"/>
  <c r="AH752" i="1"/>
  <c r="H683" i="1"/>
  <c r="I368" i="1"/>
  <c r="AH367" i="1"/>
  <c r="I129" i="1"/>
  <c r="AH128" i="1"/>
  <c r="H254" i="1"/>
  <c r="I279" i="1"/>
  <c r="AH278" i="1"/>
  <c r="H743" i="1"/>
  <c r="H635" i="1"/>
  <c r="I589" i="1"/>
  <c r="AH588" i="1"/>
  <c r="AH88" i="1"/>
  <c r="I89" i="1"/>
  <c r="I507" i="1"/>
  <c r="AH506" i="1"/>
  <c r="I265" i="1"/>
  <c r="AH264" i="1"/>
  <c r="H269" i="1"/>
  <c r="H305" i="1"/>
  <c r="H554" i="1"/>
  <c r="I566" i="1"/>
  <c r="AH565" i="1"/>
  <c r="I482" i="1"/>
  <c r="AH481" i="1"/>
  <c r="I645" i="1"/>
  <c r="AH644" i="1"/>
  <c r="AH10" i="1"/>
  <c r="I11" i="1"/>
  <c r="I523" i="1"/>
  <c r="AH522" i="1"/>
  <c r="I695" i="1"/>
  <c r="AH694" i="1"/>
  <c r="I298" i="1"/>
  <c r="AH297" i="1"/>
  <c r="I661" i="1"/>
  <c r="AH660" i="1"/>
  <c r="AH608" i="1"/>
  <c r="I609" i="1"/>
  <c r="I413" i="1"/>
  <c r="AH412" i="1"/>
  <c r="H780" i="1"/>
  <c r="AH164" i="1"/>
  <c r="I165" i="1"/>
  <c r="AH537" i="1"/>
  <c r="I538" i="1"/>
  <c r="I206" i="1"/>
  <c r="AH205" i="1"/>
  <c r="H651" i="1"/>
  <c r="H760" i="1"/>
  <c r="I791" i="1"/>
  <c r="AH790" i="1"/>
  <c r="H387" i="1"/>
  <c r="I429" i="1"/>
  <c r="AH428" i="1"/>
  <c r="H703" i="1"/>
  <c r="I677" i="1"/>
  <c r="AH676" i="1"/>
  <c r="H402" i="1"/>
  <c r="I735" i="1"/>
  <c r="AH734" i="1"/>
  <c r="H154" i="1"/>
  <c r="I714" i="1"/>
  <c r="AH713" i="1"/>
  <c r="I51" i="1"/>
  <c r="AH50" i="1"/>
  <c r="I770" i="1"/>
  <c r="AH769" i="1"/>
  <c r="I399" i="1"/>
  <c r="AH398" i="1"/>
  <c r="H597" i="1"/>
  <c r="H287" i="1"/>
  <c r="I442" i="1"/>
  <c r="AH441" i="1"/>
  <c r="H800" i="1"/>
  <c r="I634" i="1"/>
  <c r="I635" i="1" s="1"/>
  <c r="AH633" i="1"/>
  <c r="I335" i="1"/>
  <c r="AH334" i="1"/>
  <c r="H446" i="1"/>
  <c r="I457" i="1"/>
  <c r="AH456" i="1"/>
  <c r="H431" i="1"/>
  <c r="H667" i="1"/>
  <c r="H666" i="1"/>
  <c r="I316" i="1"/>
  <c r="H417" i="1"/>
  <c r="I251" i="1"/>
  <c r="AH250" i="1"/>
  <c r="O17" i="1" l="1"/>
  <c r="H723" i="1"/>
  <c r="L205" i="1"/>
  <c r="AC205" i="1"/>
  <c r="I754" i="1"/>
  <c r="AH753" i="1"/>
  <c r="T208" i="1"/>
  <c r="I792" i="1"/>
  <c r="AH791" i="1"/>
  <c r="AH538" i="1"/>
  <c r="I539" i="1"/>
  <c r="I280" i="1"/>
  <c r="AH279" i="1"/>
  <c r="I317" i="1"/>
  <c r="I443" i="1"/>
  <c r="AH442" i="1"/>
  <c r="I715" i="1"/>
  <c r="AH714" i="1"/>
  <c r="H759" i="1"/>
  <c r="I299" i="1"/>
  <c r="AH298" i="1"/>
  <c r="I483" i="1"/>
  <c r="AH482" i="1"/>
  <c r="H268" i="1"/>
  <c r="H253" i="1"/>
  <c r="H416" i="1"/>
  <c r="H634" i="1"/>
  <c r="AH335" i="1"/>
  <c r="I336" i="1"/>
  <c r="H153" i="1"/>
  <c r="H702" i="1"/>
  <c r="H799" i="1"/>
  <c r="I430" i="1"/>
  <c r="AH429" i="1"/>
  <c r="I524" i="1"/>
  <c r="AH523" i="1"/>
  <c r="I266" i="1"/>
  <c r="AH265" i="1"/>
  <c r="I130" i="1"/>
  <c r="AH129" i="1"/>
  <c r="I736" i="1"/>
  <c r="AH735" i="1"/>
  <c r="I12" i="1"/>
  <c r="AH11" i="1"/>
  <c r="H742" i="1"/>
  <c r="I252" i="1"/>
  <c r="AH251" i="1"/>
  <c r="I400" i="1"/>
  <c r="AH399" i="1"/>
  <c r="H401" i="1"/>
  <c r="H650" i="1"/>
  <c r="AH165" i="1"/>
  <c r="I166" i="1"/>
  <c r="I414" i="1"/>
  <c r="AH413" i="1"/>
  <c r="I508" i="1"/>
  <c r="AH507" i="1"/>
  <c r="AH368" i="1"/>
  <c r="I369" i="1"/>
  <c r="I696" i="1"/>
  <c r="AH695" i="1"/>
  <c r="H386" i="1"/>
  <c r="I610" i="1"/>
  <c r="AH609" i="1"/>
  <c r="I567" i="1"/>
  <c r="AH566" i="1"/>
  <c r="AH89" i="1"/>
  <c r="I90" i="1"/>
  <c r="H682" i="1"/>
  <c r="AH457" i="1"/>
  <c r="I458" i="1"/>
  <c r="I771" i="1"/>
  <c r="AH770" i="1"/>
  <c r="I646" i="1"/>
  <c r="AH645" i="1"/>
  <c r="H779" i="1"/>
  <c r="AH51" i="1"/>
  <c r="I52" i="1"/>
  <c r="I678" i="1"/>
  <c r="AH677" i="1"/>
  <c r="I207" i="1"/>
  <c r="AH206" i="1"/>
  <c r="I662" i="1"/>
  <c r="AH661" i="1"/>
  <c r="I590" i="1"/>
  <c r="AH589" i="1"/>
  <c r="O18" i="1" l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5" i="1" s="1"/>
  <c r="O46" i="1" s="1"/>
  <c r="O49" i="1" s="1"/>
  <c r="O52" i="1" s="1"/>
  <c r="O66" i="1" s="1"/>
  <c r="O67" i="1" s="1"/>
  <c r="O73" i="1" s="1"/>
  <c r="O74" i="1" s="1"/>
  <c r="O87" i="1" s="1"/>
  <c r="O121" i="1" s="1"/>
  <c r="O122" i="1" s="1"/>
  <c r="O123" i="1" s="1"/>
  <c r="O126" i="1" s="1"/>
  <c r="O127" i="1" s="1"/>
  <c r="O128" i="1" s="1"/>
  <c r="O130" i="1" s="1"/>
  <c r="Z205" i="1"/>
  <c r="V205" i="1" s="1"/>
  <c r="H722" i="1"/>
  <c r="H205" i="1"/>
  <c r="AH754" i="1"/>
  <c r="I755" i="1"/>
  <c r="S208" i="1"/>
  <c r="Y208" i="1"/>
  <c r="AJ208" i="1" s="1"/>
  <c r="Q208" i="1"/>
  <c r="R208" i="1"/>
  <c r="AD205" i="1"/>
  <c r="AA205" i="1"/>
  <c r="AB205" i="1"/>
  <c r="I540" i="1"/>
  <c r="AH539" i="1"/>
  <c r="I591" i="1"/>
  <c r="AH590" i="1"/>
  <c r="AH736" i="1"/>
  <c r="I737" i="1"/>
  <c r="I444" i="1"/>
  <c r="AH443" i="1"/>
  <c r="I459" i="1"/>
  <c r="AH458" i="1"/>
  <c r="I318" i="1"/>
  <c r="AH317" i="1"/>
  <c r="I772" i="1"/>
  <c r="AH771" i="1"/>
  <c r="I611" i="1"/>
  <c r="AH610" i="1"/>
  <c r="I131" i="1"/>
  <c r="AH130" i="1"/>
  <c r="I267" i="1"/>
  <c r="AH266" i="1"/>
  <c r="I484" i="1"/>
  <c r="AH483" i="1"/>
  <c r="I697" i="1"/>
  <c r="AH696" i="1"/>
  <c r="AH369" i="1"/>
  <c r="I370" i="1"/>
  <c r="I663" i="1"/>
  <c r="AH662" i="1"/>
  <c r="I525" i="1"/>
  <c r="AH524" i="1"/>
  <c r="AH207" i="1"/>
  <c r="I208" i="1"/>
  <c r="AH90" i="1"/>
  <c r="I91" i="1"/>
  <c r="I13" i="1"/>
  <c r="AH12" i="1"/>
  <c r="AH299" i="1"/>
  <c r="I300" i="1"/>
  <c r="I509" i="1"/>
  <c r="AH508" i="1"/>
  <c r="I401" i="1"/>
  <c r="I402" i="1" s="1"/>
  <c r="AH400" i="1"/>
  <c r="I431" i="1"/>
  <c r="I432" i="1" s="1"/>
  <c r="AH430" i="1"/>
  <c r="I281" i="1"/>
  <c r="AH280" i="1"/>
  <c r="I679" i="1"/>
  <c r="AH678" i="1"/>
  <c r="I253" i="1"/>
  <c r="I254" i="1" s="1"/>
  <c r="AH252" i="1"/>
  <c r="AH52" i="1"/>
  <c r="I53" i="1"/>
  <c r="I647" i="1"/>
  <c r="AH646" i="1"/>
  <c r="I415" i="1"/>
  <c r="AH414" i="1"/>
  <c r="AH336" i="1"/>
  <c r="I337" i="1"/>
  <c r="I716" i="1"/>
  <c r="AH715" i="1"/>
  <c r="I568" i="1"/>
  <c r="AH567" i="1"/>
  <c r="AH166" i="1"/>
  <c r="I167" i="1"/>
  <c r="I793" i="1"/>
  <c r="AH792" i="1"/>
  <c r="O135" i="1" l="1"/>
  <c r="O159" i="1" s="1"/>
  <c r="O164" i="1" s="1"/>
  <c r="O183" i="1" s="1"/>
  <c r="O191" i="1" s="1"/>
  <c r="O200" i="1" s="1"/>
  <c r="O205" i="1" s="1"/>
  <c r="O208" i="1" s="1"/>
  <c r="O209" i="1" s="1"/>
  <c r="O210" i="1" s="1"/>
  <c r="L208" i="1"/>
  <c r="I756" i="1"/>
  <c r="AH755" i="1"/>
  <c r="W208" i="1"/>
  <c r="T216" i="1"/>
  <c r="O216" i="1"/>
  <c r="H216" i="1"/>
  <c r="AG216" i="1"/>
  <c r="AD216" i="1"/>
  <c r="AC216" i="1"/>
  <c r="Y216" i="1"/>
  <c r="AJ216" i="1" s="1"/>
  <c r="AB216" i="1"/>
  <c r="AA216" i="1"/>
  <c r="Z216" i="1"/>
  <c r="L216" i="1"/>
  <c r="AG208" i="1"/>
  <c r="Y214" i="1"/>
  <c r="AJ214" i="1" s="1"/>
  <c r="AB214" i="1"/>
  <c r="AA214" i="1"/>
  <c r="AC214" i="1"/>
  <c r="O214" i="1"/>
  <c r="AG214" i="1"/>
  <c r="T214" i="1"/>
  <c r="AD214" i="1"/>
  <c r="L214" i="1"/>
  <c r="Z214" i="1"/>
  <c r="H214" i="1"/>
  <c r="Y215" i="1"/>
  <c r="AJ215" i="1" s="1"/>
  <c r="AA215" i="1"/>
  <c r="H215" i="1"/>
  <c r="L215" i="1"/>
  <c r="AC215" i="1"/>
  <c r="AD215" i="1"/>
  <c r="O215" i="1"/>
  <c r="AB215" i="1"/>
  <c r="Z215" i="1"/>
  <c r="T215" i="1"/>
  <c r="AG215" i="1"/>
  <c r="X205" i="1"/>
  <c r="AF205" i="1"/>
  <c r="AE205" i="1"/>
  <c r="I717" i="1"/>
  <c r="AH716" i="1"/>
  <c r="I319" i="1"/>
  <c r="I738" i="1"/>
  <c r="AH737" i="1"/>
  <c r="I460" i="1"/>
  <c r="I794" i="1"/>
  <c r="AH793" i="1"/>
  <c r="AH337" i="1"/>
  <c r="I338" i="1"/>
  <c r="I301" i="1"/>
  <c r="AH300" i="1"/>
  <c r="I268" i="1"/>
  <c r="I269" i="1" s="1"/>
  <c r="AH267" i="1"/>
  <c r="I14" i="1"/>
  <c r="AH13" i="1"/>
  <c r="I526" i="1"/>
  <c r="AH525" i="1"/>
  <c r="I168" i="1"/>
  <c r="AH167" i="1"/>
  <c r="I680" i="1"/>
  <c r="AH679" i="1"/>
  <c r="AH91" i="1"/>
  <c r="I92" i="1"/>
  <c r="I485" i="1"/>
  <c r="I209" i="1"/>
  <c r="AH208" i="1"/>
  <c r="I698" i="1"/>
  <c r="AH697" i="1"/>
  <c r="I612" i="1"/>
  <c r="AH611" i="1"/>
  <c r="AH370" i="1"/>
  <c r="I371" i="1"/>
  <c r="AH131" i="1"/>
  <c r="I132" i="1"/>
  <c r="AH53" i="1"/>
  <c r="I54" i="1"/>
  <c r="I416" i="1"/>
  <c r="I417" i="1" s="1"/>
  <c r="AH415" i="1"/>
  <c r="I510" i="1"/>
  <c r="AH509" i="1"/>
  <c r="I664" i="1"/>
  <c r="AH663" i="1"/>
  <c r="I773" i="1"/>
  <c r="AH772" i="1"/>
  <c r="I445" i="1"/>
  <c r="AH444" i="1"/>
  <c r="I569" i="1"/>
  <c r="AH568" i="1"/>
  <c r="AH281" i="1"/>
  <c r="I282" i="1"/>
  <c r="I592" i="1"/>
  <c r="AH591" i="1"/>
  <c r="I648" i="1"/>
  <c r="AH647" i="1"/>
  <c r="AH540" i="1"/>
  <c r="I541" i="1"/>
  <c r="O241" i="1" l="1"/>
  <c r="O242" i="1" s="1"/>
  <c r="O243" i="1" s="1"/>
  <c r="O244" i="1" s="1"/>
  <c r="O250" i="1" s="1"/>
  <c r="O271" i="1" s="1"/>
  <c r="O273" i="1" s="1"/>
  <c r="O274" i="1" s="1"/>
  <c r="O275" i="1" s="1"/>
  <c r="O276" i="1" s="1"/>
  <c r="O290" i="1" s="1"/>
  <c r="O291" i="1" s="1"/>
  <c r="O292" i="1" s="1"/>
  <c r="O293" i="1" s="1"/>
  <c r="O294" i="1" s="1"/>
  <c r="O295" i="1" s="1"/>
  <c r="O302" i="1" s="1"/>
  <c r="AH756" i="1"/>
  <c r="I757" i="1"/>
  <c r="AC208" i="1"/>
  <c r="AF214" i="1"/>
  <c r="AE214" i="1"/>
  <c r="H208" i="1"/>
  <c r="AF215" i="1"/>
  <c r="AE215" i="1"/>
  <c r="AE216" i="1"/>
  <c r="AF216" i="1"/>
  <c r="AH680" i="1"/>
  <c r="I681" i="1"/>
  <c r="AH209" i="1"/>
  <c r="I210" i="1"/>
  <c r="AH338" i="1"/>
  <c r="I339" i="1"/>
  <c r="AH14" i="1"/>
  <c r="I15" i="1"/>
  <c r="AH168" i="1"/>
  <c r="I169" i="1"/>
  <c r="I795" i="1"/>
  <c r="AH794" i="1"/>
  <c r="I527" i="1"/>
  <c r="I528" i="1" s="1"/>
  <c r="AH526" i="1"/>
  <c r="I302" i="1"/>
  <c r="AH301" i="1"/>
  <c r="I283" i="1"/>
  <c r="AH282" i="1"/>
  <c r="I372" i="1"/>
  <c r="AH371" i="1"/>
  <c r="I649" i="1"/>
  <c r="AH648" i="1"/>
  <c r="I570" i="1"/>
  <c r="AH569" i="1"/>
  <c r="I665" i="1"/>
  <c r="AH664" i="1"/>
  <c r="AH541" i="1"/>
  <c r="I542" i="1"/>
  <c r="I133" i="1"/>
  <c r="AH132" i="1"/>
  <c r="I446" i="1"/>
  <c r="I447" i="1" s="1"/>
  <c r="AH445" i="1"/>
  <c r="I486" i="1"/>
  <c r="I93" i="1"/>
  <c r="AH92" i="1"/>
  <c r="I320" i="1"/>
  <c r="I774" i="1"/>
  <c r="AH773" i="1"/>
  <c r="I461" i="1"/>
  <c r="I739" i="1"/>
  <c r="AH738" i="1"/>
  <c r="I593" i="1"/>
  <c r="AH592" i="1"/>
  <c r="I511" i="1"/>
  <c r="I512" i="1" s="1"/>
  <c r="AH510" i="1"/>
  <c r="I613" i="1"/>
  <c r="AH612" i="1"/>
  <c r="I55" i="1"/>
  <c r="AH54" i="1"/>
  <c r="I699" i="1"/>
  <c r="AH698" i="1"/>
  <c r="I718" i="1"/>
  <c r="AH717" i="1"/>
  <c r="O308" i="1" l="1"/>
  <c r="O475" i="1"/>
  <c r="AH757" i="1"/>
  <c r="I758" i="1"/>
  <c r="Z208" i="1"/>
  <c r="I614" i="1"/>
  <c r="AH613" i="1"/>
  <c r="I666" i="1"/>
  <c r="I667" i="1" s="1"/>
  <c r="AH665" i="1"/>
  <c r="I94" i="1"/>
  <c r="AH93" i="1"/>
  <c r="I571" i="1"/>
  <c r="AH570" i="1"/>
  <c r="I719" i="1"/>
  <c r="AH718" i="1"/>
  <c r="I594" i="1"/>
  <c r="AH593" i="1"/>
  <c r="I487" i="1"/>
  <c r="I650" i="1"/>
  <c r="I651" i="1" s="1"/>
  <c r="AH649" i="1"/>
  <c r="AH339" i="1"/>
  <c r="I340" i="1"/>
  <c r="I796" i="1"/>
  <c r="AH795" i="1"/>
  <c r="I321" i="1"/>
  <c r="I740" i="1"/>
  <c r="AH739" i="1"/>
  <c r="I373" i="1"/>
  <c r="AH372" i="1"/>
  <c r="AH169" i="1"/>
  <c r="I170" i="1"/>
  <c r="AH210" i="1"/>
  <c r="I211" i="1"/>
  <c r="I700" i="1"/>
  <c r="AH699" i="1"/>
  <c r="I462" i="1"/>
  <c r="I134" i="1"/>
  <c r="AH133" i="1"/>
  <c r="I284" i="1"/>
  <c r="AH283" i="1"/>
  <c r="AH542" i="1"/>
  <c r="I543" i="1"/>
  <c r="AH55" i="1"/>
  <c r="I56" i="1"/>
  <c r="I775" i="1"/>
  <c r="AH774" i="1"/>
  <c r="I303" i="1"/>
  <c r="AH302" i="1"/>
  <c r="I682" i="1"/>
  <c r="I683" i="1" s="1"/>
  <c r="AH681" i="1"/>
  <c r="I16" i="1"/>
  <c r="AH15" i="1"/>
  <c r="O310" i="1" l="1"/>
  <c r="O328" i="1" s="1"/>
  <c r="O362" i="1" s="1"/>
  <c r="O371" i="1" s="1"/>
  <c r="O434" i="1" s="1"/>
  <c r="O449" i="1" s="1"/>
  <c r="AD308" i="1"/>
  <c r="AF308" i="1" s="1"/>
  <c r="T308" i="1"/>
  <c r="T475" i="1"/>
  <c r="I759" i="1"/>
  <c r="I760" i="1" s="1"/>
  <c r="AH758" i="1"/>
  <c r="AD208" i="1"/>
  <c r="AA208" i="1"/>
  <c r="AB208" i="1"/>
  <c r="V208" i="1"/>
  <c r="I776" i="1"/>
  <c r="AH775" i="1"/>
  <c r="I463" i="1"/>
  <c r="I322" i="1"/>
  <c r="AH321" i="1"/>
  <c r="I701" i="1"/>
  <c r="AH700" i="1"/>
  <c r="I797" i="1"/>
  <c r="AH796" i="1"/>
  <c r="I212" i="1"/>
  <c r="AH211" i="1"/>
  <c r="I341" i="1"/>
  <c r="AH340" i="1"/>
  <c r="I720" i="1"/>
  <c r="AH719" i="1"/>
  <c r="AH170" i="1"/>
  <c r="I171" i="1"/>
  <c r="I572" i="1"/>
  <c r="AH571" i="1"/>
  <c r="I544" i="1"/>
  <c r="AH543" i="1"/>
  <c r="I17" i="1"/>
  <c r="AH16" i="1"/>
  <c r="AH94" i="1"/>
  <c r="I95" i="1"/>
  <c r="I285" i="1"/>
  <c r="AH284" i="1"/>
  <c r="I374" i="1"/>
  <c r="AH373" i="1"/>
  <c r="I488" i="1"/>
  <c r="I57" i="1"/>
  <c r="AH56" i="1"/>
  <c r="I304" i="1"/>
  <c r="AH303" i="1"/>
  <c r="AH134" i="1"/>
  <c r="I135" i="1"/>
  <c r="I741" i="1"/>
  <c r="AH740" i="1"/>
  <c r="I595" i="1"/>
  <c r="AH594" i="1"/>
  <c r="I615" i="1"/>
  <c r="AH614" i="1"/>
  <c r="O451" i="1" l="1"/>
  <c r="O453" i="1" s="1"/>
  <c r="O454" i="1" s="1"/>
  <c r="O455" i="1" s="1"/>
  <c r="O473" i="1" s="1"/>
  <c r="AE308" i="1"/>
  <c r="AG308" i="1"/>
  <c r="T451" i="1"/>
  <c r="AD451" i="1"/>
  <c r="AD475" i="1"/>
  <c r="Y308" i="1"/>
  <c r="AJ308" i="1" s="1"/>
  <c r="AG220" i="1"/>
  <c r="Y220" i="1"/>
  <c r="AJ220" i="1" s="1"/>
  <c r="H220" i="1"/>
  <c r="H221" i="1"/>
  <c r="AG221" i="1"/>
  <c r="Y221" i="1"/>
  <c r="AJ221" i="1" s="1"/>
  <c r="AG223" i="1"/>
  <c r="Y223" i="1"/>
  <c r="AJ223" i="1" s="1"/>
  <c r="H223" i="1"/>
  <c r="AE208" i="1"/>
  <c r="AF208" i="1"/>
  <c r="H234" i="1"/>
  <c r="AG234" i="1"/>
  <c r="Y234" i="1"/>
  <c r="AJ234" i="1" s="1"/>
  <c r="H225" i="1"/>
  <c r="Y225" i="1"/>
  <c r="AJ225" i="1" s="1"/>
  <c r="AG225" i="1"/>
  <c r="AG219" i="1"/>
  <c r="Y219" i="1"/>
  <c r="AJ219" i="1" s="1"/>
  <c r="H219" i="1"/>
  <c r="Y224" i="1"/>
  <c r="AJ224" i="1" s="1"/>
  <c r="AG224" i="1"/>
  <c r="H224" i="1"/>
  <c r="H233" i="1"/>
  <c r="Y233" i="1"/>
  <c r="AJ233" i="1" s="1"/>
  <c r="AG233" i="1"/>
  <c r="H230" i="1"/>
  <c r="AG230" i="1"/>
  <c r="Y230" i="1"/>
  <c r="AJ230" i="1" s="1"/>
  <c r="H226" i="1"/>
  <c r="Y226" i="1"/>
  <c r="AJ226" i="1" s="1"/>
  <c r="AG226" i="1"/>
  <c r="X208" i="1"/>
  <c r="AG228" i="1"/>
  <c r="H228" i="1"/>
  <c r="Y228" i="1"/>
  <c r="AJ228" i="1" s="1"/>
  <c r="Y235" i="1"/>
  <c r="AJ235" i="1" s="1"/>
  <c r="AG235" i="1"/>
  <c r="H235" i="1"/>
  <c r="H232" i="1"/>
  <c r="AG232" i="1"/>
  <c r="Y232" i="1"/>
  <c r="AJ232" i="1" s="1"/>
  <c r="H229" i="1"/>
  <c r="Y229" i="1"/>
  <c r="AJ229" i="1" s="1"/>
  <c r="AG229" i="1"/>
  <c r="Y222" i="1"/>
  <c r="AJ222" i="1" s="1"/>
  <c r="H222" i="1"/>
  <c r="AG222" i="1"/>
  <c r="H231" i="1"/>
  <c r="AG231" i="1"/>
  <c r="Y231" i="1"/>
  <c r="AJ231" i="1" s="1"/>
  <c r="I58" i="1"/>
  <c r="AH57" i="1"/>
  <c r="I489" i="1"/>
  <c r="AH488" i="1"/>
  <c r="I573" i="1"/>
  <c r="AH572" i="1"/>
  <c r="I702" i="1"/>
  <c r="I703" i="1" s="1"/>
  <c r="AH701" i="1"/>
  <c r="I545" i="1"/>
  <c r="AH544" i="1"/>
  <c r="I616" i="1"/>
  <c r="AH615" i="1"/>
  <c r="I798" i="1"/>
  <c r="AH797" i="1"/>
  <c r="I172" i="1"/>
  <c r="AH171" i="1"/>
  <c r="I596" i="1"/>
  <c r="AH595" i="1"/>
  <c r="I375" i="1"/>
  <c r="AH374" i="1"/>
  <c r="I742" i="1"/>
  <c r="I743" i="1" s="1"/>
  <c r="AH741" i="1"/>
  <c r="I286" i="1"/>
  <c r="AH285" i="1"/>
  <c r="I136" i="1"/>
  <c r="AH135" i="1"/>
  <c r="I96" i="1"/>
  <c r="AH95" i="1"/>
  <c r="I721" i="1"/>
  <c r="AH720" i="1"/>
  <c r="I323" i="1"/>
  <c r="I324" i="1" s="1"/>
  <c r="I342" i="1"/>
  <c r="AH341" i="1"/>
  <c r="I464" i="1"/>
  <c r="AH463" i="1"/>
  <c r="I305" i="1"/>
  <c r="I306" i="1" s="1"/>
  <c r="AH304" i="1"/>
  <c r="I18" i="1"/>
  <c r="AH17" i="1"/>
  <c r="AH212" i="1"/>
  <c r="I213" i="1"/>
  <c r="I777" i="1"/>
  <c r="AH776" i="1"/>
  <c r="O476" i="1" l="1"/>
  <c r="O499" i="1" s="1"/>
  <c r="O501" i="1" s="1"/>
  <c r="O514" i="1" s="1"/>
  <c r="O532" i="1" s="1"/>
  <c r="O535" i="1" s="1"/>
  <c r="O536" i="1" s="1"/>
  <c r="O537" i="1" s="1"/>
  <c r="O538" i="1" s="1"/>
  <c r="O539" i="1" s="1"/>
  <c r="O540" i="1" s="1"/>
  <c r="O541" i="1" s="1"/>
  <c r="O557" i="1" s="1"/>
  <c r="O559" i="1" s="1"/>
  <c r="O621" i="1" s="1"/>
  <c r="O653" i="1" s="1"/>
  <c r="O654" i="1" s="1"/>
  <c r="O656" i="1" s="1"/>
  <c r="O669" i="1" s="1"/>
  <c r="O685" i="1" s="1"/>
  <c r="O687" i="1" s="1"/>
  <c r="O689" i="1" s="1"/>
  <c r="O690" i="1" s="1"/>
  <c r="O725" i="1" s="1"/>
  <c r="AC308" i="1"/>
  <c r="AE451" i="1"/>
  <c r="AF451" i="1"/>
  <c r="AE475" i="1"/>
  <c r="AF475" i="1"/>
  <c r="Y451" i="1"/>
  <c r="AJ451" i="1" s="1"/>
  <c r="L308" i="1"/>
  <c r="AG237" i="1"/>
  <c r="Y237" i="1"/>
  <c r="AJ237" i="1" s="1"/>
  <c r="AH616" i="1"/>
  <c r="I617" i="1"/>
  <c r="I778" i="1"/>
  <c r="AH777" i="1"/>
  <c r="I546" i="1"/>
  <c r="AH545" i="1"/>
  <c r="AH213" i="1"/>
  <c r="I214" i="1"/>
  <c r="I722" i="1"/>
  <c r="I723" i="1" s="1"/>
  <c r="AH721" i="1"/>
  <c r="I376" i="1"/>
  <c r="AH375" i="1"/>
  <c r="I19" i="1"/>
  <c r="AH18" i="1"/>
  <c r="I574" i="1"/>
  <c r="AH573" i="1"/>
  <c r="I137" i="1"/>
  <c r="AH136" i="1"/>
  <c r="I173" i="1"/>
  <c r="AH172" i="1"/>
  <c r="I490" i="1"/>
  <c r="I97" i="1"/>
  <c r="AH96" i="1"/>
  <c r="I597" i="1"/>
  <c r="I598" i="1" s="1"/>
  <c r="AH596" i="1"/>
  <c r="I465" i="1"/>
  <c r="I287" i="1"/>
  <c r="I288" i="1" s="1"/>
  <c r="AH286" i="1"/>
  <c r="I799" i="1"/>
  <c r="I800" i="1" s="1"/>
  <c r="AH798" i="1"/>
  <c r="I343" i="1"/>
  <c r="AH342" i="1"/>
  <c r="I59" i="1"/>
  <c r="AH58" i="1"/>
  <c r="R475" i="1" l="1"/>
  <c r="R451" i="1"/>
  <c r="Q475" i="1"/>
  <c r="W475" i="1" s="1"/>
  <c r="Q451" i="1"/>
  <c r="AG475" i="1"/>
  <c r="AG451" i="1"/>
  <c r="S475" i="1"/>
  <c r="S451" i="1"/>
  <c r="Y475" i="1"/>
  <c r="AJ475" i="1" s="1"/>
  <c r="H308" i="1"/>
  <c r="Z308" i="1"/>
  <c r="H237" i="1"/>
  <c r="I174" i="1"/>
  <c r="AH173" i="1"/>
  <c r="I344" i="1"/>
  <c r="AH343" i="1"/>
  <c r="I377" i="1"/>
  <c r="AH376" i="1"/>
  <c r="I215" i="1"/>
  <c r="AH214" i="1"/>
  <c r="I466" i="1"/>
  <c r="AH574" i="1"/>
  <c r="I575" i="1"/>
  <c r="I779" i="1"/>
  <c r="I780" i="1" s="1"/>
  <c r="AH778" i="1"/>
  <c r="I618" i="1"/>
  <c r="I619" i="1" s="1"/>
  <c r="AH617" i="1"/>
  <c r="I491" i="1"/>
  <c r="I138" i="1"/>
  <c r="AH137" i="1"/>
  <c r="I547" i="1"/>
  <c r="AH546" i="1"/>
  <c r="I60" i="1"/>
  <c r="AH59" i="1"/>
  <c r="I98" i="1"/>
  <c r="AH97" i="1"/>
  <c r="I20" i="1"/>
  <c r="AH19" i="1"/>
  <c r="L451" i="1" l="1"/>
  <c r="W451" i="1"/>
  <c r="AC475" i="1"/>
  <c r="AC451" i="1"/>
  <c r="H239" i="1"/>
  <c r="L475" i="1"/>
  <c r="AA308" i="1"/>
  <c r="AB308" i="1"/>
  <c r="I467" i="1"/>
  <c r="I99" i="1"/>
  <c r="AH98" i="1"/>
  <c r="I139" i="1"/>
  <c r="AH138" i="1"/>
  <c r="I492" i="1"/>
  <c r="I216" i="1"/>
  <c r="AH215" i="1"/>
  <c r="I21" i="1"/>
  <c r="AH20" i="1"/>
  <c r="I345" i="1"/>
  <c r="AH344" i="1"/>
  <c r="I61" i="1"/>
  <c r="AH60" i="1"/>
  <c r="I378" i="1"/>
  <c r="AH377" i="1"/>
  <c r="I548" i="1"/>
  <c r="AH547" i="1"/>
  <c r="I576" i="1"/>
  <c r="I577" i="1" s="1"/>
  <c r="AH575" i="1"/>
  <c r="I175" i="1"/>
  <c r="AH174" i="1"/>
  <c r="H451" i="1" l="1"/>
  <c r="Z451" i="1"/>
  <c r="H78" i="1"/>
  <c r="H119" i="1"/>
  <c r="H358" i="1"/>
  <c r="H41" i="1"/>
  <c r="H196" i="1"/>
  <c r="AA451" i="1"/>
  <c r="Z475" i="1"/>
  <c r="H475" i="1"/>
  <c r="AG314" i="1"/>
  <c r="Y314" i="1"/>
  <c r="AJ314" i="1" s="1"/>
  <c r="AH314" i="1"/>
  <c r="AG318" i="1"/>
  <c r="Y318" i="1"/>
  <c r="AJ318" i="1" s="1"/>
  <c r="H318" i="1"/>
  <c r="AH318" i="1"/>
  <c r="H316" i="1"/>
  <c r="Y316" i="1"/>
  <c r="AJ316" i="1" s="1"/>
  <c r="AG316" i="1"/>
  <c r="AH316" i="1"/>
  <c r="H315" i="1"/>
  <c r="Y315" i="1"/>
  <c r="AJ315" i="1" s="1"/>
  <c r="AG315" i="1"/>
  <c r="AH315" i="1"/>
  <c r="Y319" i="1"/>
  <c r="AJ319" i="1" s="1"/>
  <c r="AG319" i="1"/>
  <c r="H319" i="1"/>
  <c r="AH319" i="1"/>
  <c r="AG320" i="1"/>
  <c r="Y320" i="1"/>
  <c r="AJ320" i="1" s="1"/>
  <c r="H320" i="1"/>
  <c r="AH320" i="1"/>
  <c r="H238" i="1"/>
  <c r="I176" i="1"/>
  <c r="AH175" i="1"/>
  <c r="I22" i="1"/>
  <c r="AH21" i="1"/>
  <c r="I379" i="1"/>
  <c r="AH378" i="1"/>
  <c r="I549" i="1"/>
  <c r="AH548" i="1"/>
  <c r="I100" i="1"/>
  <c r="AH99" i="1"/>
  <c r="I217" i="1"/>
  <c r="AH216" i="1"/>
  <c r="I493" i="1"/>
  <c r="I140" i="1"/>
  <c r="AH139" i="1"/>
  <c r="I62" i="1"/>
  <c r="AH61" i="1"/>
  <c r="I346" i="1"/>
  <c r="AH345" i="1"/>
  <c r="I468" i="1"/>
  <c r="Y461" i="1" l="1"/>
  <c r="AJ461" i="1" s="1"/>
  <c r="AH467" i="1"/>
  <c r="AG462" i="1"/>
  <c r="AG465" i="1"/>
  <c r="AG464" i="1"/>
  <c r="V451" i="1"/>
  <c r="X451" i="1" s="1"/>
  <c r="Y459" i="1"/>
  <c r="AJ459" i="1" s="1"/>
  <c r="H461" i="1"/>
  <c r="AH461" i="1"/>
  <c r="AG466" i="1"/>
  <c r="H466" i="1"/>
  <c r="Y466" i="1"/>
  <c r="AJ466" i="1" s="1"/>
  <c r="AH466" i="1"/>
  <c r="H357" i="1"/>
  <c r="H118" i="1"/>
  <c r="V475" i="1"/>
  <c r="AA475" i="1"/>
  <c r="H77" i="1"/>
  <c r="H195" i="1"/>
  <c r="H40" i="1"/>
  <c r="H314" i="1"/>
  <c r="Y322" i="1"/>
  <c r="AJ322" i="1" s="1"/>
  <c r="H322" i="1"/>
  <c r="AG322" i="1"/>
  <c r="AH322" i="1"/>
  <c r="I141" i="1"/>
  <c r="AH140" i="1"/>
  <c r="I218" i="1"/>
  <c r="AH217" i="1"/>
  <c r="I101" i="1"/>
  <c r="AH100" i="1"/>
  <c r="I347" i="1"/>
  <c r="AH346" i="1"/>
  <c r="I550" i="1"/>
  <c r="AH549" i="1"/>
  <c r="I380" i="1"/>
  <c r="AH379" i="1"/>
  <c r="I23" i="1"/>
  <c r="AH22" i="1"/>
  <c r="I469" i="1"/>
  <c r="AH468" i="1"/>
  <c r="I63" i="1"/>
  <c r="AH62" i="1"/>
  <c r="I494" i="1"/>
  <c r="AH493" i="1"/>
  <c r="I177" i="1"/>
  <c r="AH176" i="1"/>
  <c r="AG459" i="1" l="1"/>
  <c r="AG461" i="1"/>
  <c r="H459" i="1"/>
  <c r="AH462" i="1"/>
  <c r="Y462" i="1"/>
  <c r="AJ462" i="1" s="1"/>
  <c r="H462" i="1"/>
  <c r="H467" i="1"/>
  <c r="Y467" i="1"/>
  <c r="AJ467" i="1" s="1"/>
  <c r="AG467" i="1"/>
  <c r="AH464" i="1"/>
  <c r="AH459" i="1"/>
  <c r="H464" i="1"/>
  <c r="Y464" i="1"/>
  <c r="AJ464" i="1" s="1"/>
  <c r="AH465" i="1"/>
  <c r="H465" i="1"/>
  <c r="Y465" i="1"/>
  <c r="AJ465" i="1" s="1"/>
  <c r="AB475" i="1"/>
  <c r="H485" i="1" s="1"/>
  <c r="AB451" i="1"/>
  <c r="Y489" i="1"/>
  <c r="AJ489" i="1" s="1"/>
  <c r="H489" i="1"/>
  <c r="AG489" i="1"/>
  <c r="AH489" i="1"/>
  <c r="AG492" i="1"/>
  <c r="H492" i="1"/>
  <c r="Y492" i="1"/>
  <c r="AJ492" i="1" s="1"/>
  <c r="AH492" i="1"/>
  <c r="X475" i="1"/>
  <c r="AG491" i="1"/>
  <c r="H491" i="1"/>
  <c r="Y491" i="1"/>
  <c r="AJ491" i="1" s="1"/>
  <c r="AH491" i="1"/>
  <c r="H487" i="1"/>
  <c r="AG487" i="1"/>
  <c r="Y487" i="1"/>
  <c r="AJ487" i="1" s="1"/>
  <c r="AH487" i="1"/>
  <c r="Y486" i="1"/>
  <c r="AJ486" i="1" s="1"/>
  <c r="H486" i="1"/>
  <c r="AG486" i="1"/>
  <c r="AH486" i="1"/>
  <c r="Y484" i="1"/>
  <c r="AJ484" i="1" s="1"/>
  <c r="AG484" i="1"/>
  <c r="AH484" i="1"/>
  <c r="I178" i="1"/>
  <c r="AH177" i="1"/>
  <c r="I348" i="1"/>
  <c r="AH347" i="1"/>
  <c r="I102" i="1"/>
  <c r="AH101" i="1"/>
  <c r="I219" i="1"/>
  <c r="AH218" i="1"/>
  <c r="I381" i="1"/>
  <c r="AH380" i="1"/>
  <c r="I551" i="1"/>
  <c r="AH550" i="1"/>
  <c r="I495" i="1"/>
  <c r="I496" i="1" s="1"/>
  <c r="I64" i="1"/>
  <c r="AH63" i="1"/>
  <c r="I470" i="1"/>
  <c r="I471" i="1" s="1"/>
  <c r="I24" i="1"/>
  <c r="AH23" i="1"/>
  <c r="I142" i="1"/>
  <c r="AH141" i="1"/>
  <c r="H494" i="1" l="1"/>
  <c r="AH485" i="1"/>
  <c r="Y485" i="1"/>
  <c r="AJ485" i="1" s="1"/>
  <c r="AG485" i="1"/>
  <c r="AG460" i="1"/>
  <c r="Y460" i="1"/>
  <c r="AJ460" i="1" s="1"/>
  <c r="AH460" i="1"/>
  <c r="H484" i="1"/>
  <c r="AG490" i="1"/>
  <c r="H490" i="1"/>
  <c r="Y490" i="1"/>
  <c r="AJ490" i="1" s="1"/>
  <c r="AH490" i="1"/>
  <c r="H324" i="1"/>
  <c r="I220" i="1"/>
  <c r="AH219" i="1"/>
  <c r="I349" i="1"/>
  <c r="AH348" i="1"/>
  <c r="I552" i="1"/>
  <c r="AH551" i="1"/>
  <c r="I143" i="1"/>
  <c r="AH142" i="1"/>
  <c r="I382" i="1"/>
  <c r="AH381" i="1"/>
  <c r="I25" i="1"/>
  <c r="AH24" i="1"/>
  <c r="I103" i="1"/>
  <c r="AH102" i="1"/>
  <c r="I65" i="1"/>
  <c r="AH64" i="1"/>
  <c r="I179" i="1"/>
  <c r="AH178" i="1"/>
  <c r="AG494" i="1" l="1"/>
  <c r="Y469" i="1"/>
  <c r="AJ469" i="1" s="1"/>
  <c r="AG469" i="1"/>
  <c r="H469" i="1"/>
  <c r="AH469" i="1"/>
  <c r="Y494" i="1"/>
  <c r="AJ494" i="1" s="1"/>
  <c r="AH494" i="1"/>
  <c r="H460" i="1"/>
  <c r="H323" i="1"/>
  <c r="I383" i="1"/>
  <c r="AH382" i="1"/>
  <c r="I144" i="1"/>
  <c r="AH143" i="1"/>
  <c r="I180" i="1"/>
  <c r="AH179" i="1"/>
  <c r="I553" i="1"/>
  <c r="AH552" i="1"/>
  <c r="I66" i="1"/>
  <c r="AH65" i="1"/>
  <c r="I350" i="1"/>
  <c r="AH349" i="1"/>
  <c r="I104" i="1"/>
  <c r="AH103" i="1"/>
  <c r="I221" i="1"/>
  <c r="AH220" i="1"/>
  <c r="I26" i="1"/>
  <c r="AH25" i="1"/>
  <c r="H496" i="1" l="1"/>
  <c r="I351" i="1"/>
  <c r="AH350" i="1"/>
  <c r="I27" i="1"/>
  <c r="AH26" i="1"/>
  <c r="I67" i="1"/>
  <c r="AH66" i="1"/>
  <c r="I554" i="1"/>
  <c r="I555" i="1" s="1"/>
  <c r="AH553" i="1"/>
  <c r="I145" i="1"/>
  <c r="AH144" i="1"/>
  <c r="I181" i="1"/>
  <c r="AH180" i="1"/>
  <c r="I222" i="1"/>
  <c r="AH221" i="1"/>
  <c r="I105" i="1"/>
  <c r="AH104" i="1"/>
  <c r="I384" i="1"/>
  <c r="AH383" i="1"/>
  <c r="H471" i="1" l="1"/>
  <c r="I182" i="1"/>
  <c r="AH181" i="1"/>
  <c r="I146" i="1"/>
  <c r="AH145" i="1"/>
  <c r="I385" i="1"/>
  <c r="AH384" i="1"/>
  <c r="I106" i="1"/>
  <c r="AH105" i="1"/>
  <c r="I28" i="1"/>
  <c r="AH27" i="1"/>
  <c r="I68" i="1"/>
  <c r="AH67" i="1"/>
  <c r="I223" i="1"/>
  <c r="AH222" i="1"/>
  <c r="I352" i="1"/>
  <c r="AH351" i="1"/>
  <c r="H495" i="1" l="1"/>
  <c r="H470" i="1"/>
  <c r="I386" i="1"/>
  <c r="I387" i="1" s="1"/>
  <c r="AH385" i="1"/>
  <c r="I107" i="1"/>
  <c r="AH106" i="1"/>
  <c r="I147" i="1"/>
  <c r="AH146" i="1"/>
  <c r="AH68" i="1"/>
  <c r="I69" i="1"/>
  <c r="I29" i="1"/>
  <c r="AH28" i="1"/>
  <c r="AH352" i="1"/>
  <c r="I224" i="1"/>
  <c r="AH223" i="1"/>
  <c r="I183" i="1"/>
  <c r="AH182" i="1"/>
  <c r="I353" i="1" l="1"/>
  <c r="I30" i="1"/>
  <c r="AH29" i="1"/>
  <c r="I70" i="1"/>
  <c r="AH69" i="1"/>
  <c r="I148" i="1"/>
  <c r="AH147" i="1"/>
  <c r="I184" i="1"/>
  <c r="AH183" i="1"/>
  <c r="I108" i="1"/>
  <c r="AH107" i="1"/>
  <c r="I225" i="1"/>
  <c r="AH224" i="1"/>
  <c r="I185" i="1" l="1"/>
  <c r="AH184" i="1"/>
  <c r="AH70" i="1"/>
  <c r="I31" i="1"/>
  <c r="AH30" i="1"/>
  <c r="I109" i="1"/>
  <c r="AH108" i="1"/>
  <c r="I149" i="1"/>
  <c r="AH148" i="1"/>
  <c r="I226" i="1"/>
  <c r="AH225" i="1"/>
  <c r="I354" i="1"/>
  <c r="AH353" i="1"/>
  <c r="I227" i="1" l="1"/>
  <c r="AH226" i="1"/>
  <c r="I150" i="1"/>
  <c r="AH149" i="1"/>
  <c r="I110" i="1"/>
  <c r="AH109" i="1"/>
  <c r="I32" i="1"/>
  <c r="AH31" i="1"/>
  <c r="I355" i="1"/>
  <c r="AH354" i="1"/>
  <c r="I71" i="1"/>
  <c r="I186" i="1"/>
  <c r="AH185" i="1"/>
  <c r="I33" i="1" l="1"/>
  <c r="AH32" i="1"/>
  <c r="I72" i="1"/>
  <c r="AH71" i="1"/>
  <c r="AH355" i="1"/>
  <c r="I356" i="1"/>
  <c r="I111" i="1"/>
  <c r="AH110" i="1"/>
  <c r="I151" i="1"/>
  <c r="AH150" i="1"/>
  <c r="I187" i="1"/>
  <c r="AH186" i="1"/>
  <c r="I228" i="1"/>
  <c r="AH227" i="1"/>
  <c r="AH111" i="1" l="1"/>
  <c r="AH187" i="1"/>
  <c r="I152" i="1"/>
  <c r="AH151" i="1"/>
  <c r="I73" i="1"/>
  <c r="AH72" i="1"/>
  <c r="I357" i="1"/>
  <c r="I358" i="1" s="1"/>
  <c r="AH356" i="1"/>
  <c r="I229" i="1"/>
  <c r="AH228" i="1"/>
  <c r="AH33" i="1"/>
  <c r="I230" i="1" l="1"/>
  <c r="AH229" i="1"/>
  <c r="I74" i="1"/>
  <c r="AH73" i="1"/>
  <c r="I153" i="1"/>
  <c r="I154" i="1" s="1"/>
  <c r="AH152" i="1"/>
  <c r="I188" i="1"/>
  <c r="I34" i="1"/>
  <c r="I112" i="1"/>
  <c r="I75" i="1" l="1"/>
  <c r="AH74" i="1"/>
  <c r="I113" i="1"/>
  <c r="AH112" i="1"/>
  <c r="I35" i="1"/>
  <c r="AH34" i="1"/>
  <c r="I189" i="1"/>
  <c r="AH188" i="1"/>
  <c r="AH230" i="1"/>
  <c r="I190" i="1" l="1"/>
  <c r="AH189" i="1"/>
  <c r="I36" i="1"/>
  <c r="AH35" i="1"/>
  <c r="I114" i="1"/>
  <c r="AH113" i="1"/>
  <c r="I76" i="1"/>
  <c r="AH75" i="1"/>
  <c r="I231" i="1"/>
  <c r="I232" i="1" l="1"/>
  <c r="AH231" i="1"/>
  <c r="I77" i="1"/>
  <c r="I78" i="1" s="1"/>
  <c r="AH76" i="1"/>
  <c r="I115" i="1"/>
  <c r="AH114" i="1"/>
  <c r="I37" i="1"/>
  <c r="AH36" i="1"/>
  <c r="I191" i="1"/>
  <c r="AH190" i="1"/>
  <c r="I38" i="1" l="1"/>
  <c r="AH37" i="1"/>
  <c r="I192" i="1"/>
  <c r="AH191" i="1"/>
  <c r="I116" i="1"/>
  <c r="AH115" i="1"/>
  <c r="I233" i="1"/>
  <c r="AH232" i="1"/>
  <c r="I234" i="1" l="1"/>
  <c r="AH233" i="1"/>
  <c r="AH116" i="1"/>
  <c r="I117" i="1"/>
  <c r="I193" i="1"/>
  <c r="AH192" i="1"/>
  <c r="I39" i="1"/>
  <c r="AH38" i="1"/>
  <c r="I40" i="1" l="1"/>
  <c r="I41" i="1" s="1"/>
  <c r="AH39" i="1"/>
  <c r="I194" i="1"/>
  <c r="AH193" i="1"/>
  <c r="I118" i="1"/>
  <c r="I119" i="1" s="1"/>
  <c r="AH117" i="1"/>
  <c r="I235" i="1"/>
  <c r="AH234" i="1"/>
  <c r="I195" i="1" l="1"/>
  <c r="I196" i="1" s="1"/>
  <c r="AH194" i="1"/>
  <c r="I236" i="1"/>
  <c r="AH235" i="1"/>
  <c r="I237" i="1" l="1"/>
  <c r="AH236" i="1"/>
  <c r="I238" i="1" l="1"/>
  <c r="I239" i="1" s="1"/>
  <c r="AH237" i="1"/>
</calcChain>
</file>

<file path=xl/sharedStrings.xml><?xml version="1.0" encoding="utf-8"?>
<sst xmlns="http://schemas.openxmlformats.org/spreadsheetml/2006/main" count="7107" uniqueCount="620">
  <si>
    <t>Наименование</t>
  </si>
  <si>
    <t>malzeme</t>
  </si>
  <si>
    <t>Артикул</t>
  </si>
  <si>
    <t>Номенклатура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</si>
  <si>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</si>
  <si>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</si>
  <si>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</si>
  <si>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</si>
  <si>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</si>
  <si>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</si>
  <si>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</si>
  <si>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</si>
  <si>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</si>
  <si>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</si>
  <si>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</si>
  <si>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</si>
  <si>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</si>
  <si>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</si>
  <si>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</si>
  <si>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</si>
  <si>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</si>
  <si>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</si>
  <si>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</si>
  <si>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</si>
  <si>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</si>
  <si>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</si>
  <si>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</si>
  <si>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</si>
  <si>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</si>
  <si>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</si>
  <si>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</si>
  <si>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</si>
  <si>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</si>
  <si>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</si>
  <si>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</si>
  <si>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</si>
  <si>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комплект</t>
  </si>
  <si>
    <t>TEKLED electric</t>
  </si>
  <si>
    <t>10624-3-8-ЭОМ 26032025.pdf</t>
  </si>
  <si>
    <t>korpus</t>
  </si>
  <si>
    <t>KORPUS</t>
  </si>
  <si>
    <t>KORPUS_AYAKLI</t>
  </si>
  <si>
    <t>Ввод (ВРУ1-14-20А): proje ölçü yok — 1800x700x450 seçildi</t>
  </si>
  <si>
    <t>F063</t>
  </si>
  <si>
    <t>Секция 1 (ВРУ1-41-00А)</t>
  </si>
  <si>
    <t>F064</t>
  </si>
  <si>
    <t>Секция 2 (ВРУ1-41-00А)</t>
  </si>
  <si>
    <t>rubilnik</t>
  </si>
  <si>
    <t>GIRIS</t>
  </si>
  <si>
    <t>QS-1, QS-2 ВР32И-35А 250A</t>
  </si>
  <si>
    <t>F035</t>
  </si>
  <si>
    <t>mccb</t>
  </si>
  <si>
    <t>CIKIS</t>
  </si>
  <si>
    <t>QF-0.1, QF-0.2, QF-10, QF-30 ВА88-32 125A</t>
  </si>
  <si>
    <t>F032</t>
  </si>
  <si>
    <t>QF-20/40/50</t>
  </si>
  <si>
    <t>F028</t>
  </si>
  <si>
    <t>QF-11, QF-12, QF-31</t>
  </si>
  <si>
    <t>F031</t>
  </si>
  <si>
    <t>QF-21..23, 41..43, 51..53</t>
  </si>
  <si>
    <t>F025</t>
  </si>
  <si>
    <t>sayac</t>
  </si>
  <si>
    <t>OLCU</t>
  </si>
  <si>
    <t>Pl-1..3 ДАЛА САР4-3721 10-100A</t>
  </si>
  <si>
    <t>F056</t>
  </si>
  <si>
    <t>oto</t>
  </si>
  <si>
    <t>KUMANDA</t>
  </si>
  <si>
    <t>şemada 3xQF ВА47-100 1P C6 10kA (giriş başına) — CHINT NXB-63 6kA; 10kA C6 listede yok</t>
  </si>
  <si>
    <t>F010</t>
  </si>
  <si>
    <t>contactor</t>
  </si>
  <si>
    <t>KM-1..3 КМИ-22510 25A 230V (ЩОФ питание)</t>
  </si>
  <si>
    <t>F043</t>
  </si>
  <si>
    <t>aksesuar</t>
  </si>
  <si>
    <t>УЗИП-1/2 ОПС1-С 3P</t>
  </si>
  <si>
    <t>F047</t>
  </si>
  <si>
    <t>lamb</t>
  </si>
  <si>
    <t>giriş başına L1</t>
  </si>
  <si>
    <t>F048</t>
  </si>
  <si>
    <t>K</t>
  </si>
  <si>
    <t>giriş başına L2</t>
  </si>
  <si>
    <t>F049</t>
  </si>
  <si>
    <t>giriş başına L3</t>
  </si>
  <si>
    <t>F050</t>
  </si>
  <si>
    <t>bara</t>
  </si>
  <si>
    <t>SARF</t>
  </si>
  <si>
    <t>faz barası L1-L2-L3 · malzeme KURALLAR › PANO</t>
  </si>
  <si>
    <t>N barası · malzeme KURALLAR › PANO</t>
  </si>
  <si>
    <t>PE barası (faz kesitinin yarısı) · malzeme KURALLAR › PANO</t>
  </si>
  <si>
    <t>izolator</t>
  </si>
  <si>
    <t>bara izolatörü (5 bara)</t>
  </si>
  <si>
    <t>kanal</t>
  </si>
  <si>
    <t>plastik perforeli kanal · artikül ve yatay adet KURALLAR › PANO</t>
  </si>
  <si>
    <t>kablo</t>
  </si>
  <si>
    <t>ПВ3 1.5 mm² pano içi</t>
  </si>
  <si>
    <t>ПВ3 2.5 mm² pano içi</t>
  </si>
  <si>
    <t>ПВ3 4 mm² pano içi</t>
  </si>
  <si>
    <t>ПВ3 10 mm² pano içi</t>
  </si>
  <si>
    <t>ПВ3 25 mm² pano içi</t>
  </si>
  <si>
    <t>ПВ3 35 mm² pano içi</t>
  </si>
  <si>
    <t>ПВ3 95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</si>
  <si>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</si>
  <si>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</si>
  <si>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</si>
  <si>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</si>
  <si>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yüksük 4 mm² · UÇ TİPİ YÜKSÜK teller × 2 uç</t>
  </si>
  <si>
    <t>pabuc</t>
  </si>
  <si>
    <t>kablo pabucu 10 mm² · UÇ TİPİ PABUÇ teller (+ НШВИ yoksa kafes) × 2 uç</t>
  </si>
  <si>
    <t>kablo pabucu 25 mm² · UÇ TİPİ PABUÇ teller (+ НШВИ yoksa kafes) × 2 uç</t>
  </si>
  <si>
    <t>kablo pabucu 35 mm² · UÇ TİPİ PABUÇ teller (+ НШВИ yoksa kafes) × 2 uç</t>
  </si>
  <si>
    <t>kablo pabucu 95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</si>
  <si>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</si>
  <si>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</si>
  <si>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</si>
  <si>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</si>
  <si>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</si>
  <si>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</si>
  <si>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</si>
  <si>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Ввод (ВРУ1-18-80А)</t>
  </si>
  <si>
    <t>ats</t>
  </si>
  <si>
    <t>АВР TransferPact 3P 160A → NXZM-160S/3B 160A</t>
  </si>
  <si>
    <t>F039</t>
  </si>
  <si>
    <t>QF-10</t>
  </si>
  <si>
    <t>F029</t>
  </si>
  <si>
    <t>QF-20/30/40</t>
  </si>
  <si>
    <t>QF-11..16, 22, 23, 32, 33, 42, 43</t>
  </si>
  <si>
    <t>QF-21/31/41</t>
  </si>
  <si>
    <t>F027</t>
  </si>
  <si>
    <t>Pl-1..3</t>
  </si>
  <si>
    <t>QF-17..19 ВА47-100 1P C16 10kA</t>
  </si>
  <si>
    <t>F012</t>
  </si>
  <si>
    <t>ПВ3 6 mm² pano içi</t>
  </si>
  <si>
    <t>ПВ3 16 mm² pano içi</t>
  </si>
  <si>
    <t>ПВ3 50 mm² pano içi</t>
  </si>
  <si>
    <t>kablo pabucu 6 mm² · UÇ TİPİ PABUÇ teller (+ НШВИ yoksa kafes) × 2 uç</t>
  </si>
  <si>
    <t>kablo pabucu 16 mm² · UÇ TİPİ PABUÇ teller (+ НШВИ yoksa kafes) × 2 uç</t>
  </si>
  <si>
    <t>kablo pabucu 50 mm² · UÇ TİPİ PABUÇ teller (+ НШВИ yoksa kafes) × 2 uç</t>
  </si>
  <si>
    <t>Ввод (ВРУ1-14-20А)</t>
  </si>
  <si>
    <t>Секция 1</t>
  </si>
  <si>
    <t>Секция 2</t>
  </si>
  <si>
    <t>QF-0.1, 0.2, 10</t>
  </si>
  <si>
    <t>QF-20</t>
  </si>
  <si>
    <t>QF-30/40/50</t>
  </si>
  <si>
    <t>QF-11, 12, 21</t>
  </si>
  <si>
    <t>F030</t>
  </si>
  <si>
    <t>QF-31..53</t>
  </si>
  <si>
    <t>KM-1..3 КМИ-22510</t>
  </si>
  <si>
    <t>ВРУ1-25-60А, шины min 630A — 2000x800x600</t>
  </si>
  <si>
    <t>F065</t>
  </si>
  <si>
    <t>QS-1 ВР32И-37А 400A</t>
  </si>
  <si>
    <t>F036</t>
  </si>
  <si>
    <t>QF-01 ВА88-37 400A 35kA</t>
  </si>
  <si>
    <t>F034</t>
  </si>
  <si>
    <t>QF-1/3/7</t>
  </si>
  <si>
    <t>QF-2/4/5</t>
  </si>
  <si>
    <t>QF-6</t>
  </si>
  <si>
    <t>F026</t>
  </si>
  <si>
    <t>ДАЛА САР4У-3721 5-7,5A</t>
  </si>
  <si>
    <t>F057</t>
  </si>
  <si>
    <t>tt</t>
  </si>
  <si>
    <t>ТТИ-А 400/5 → SAIMAN ТШП-0,66 400A</t>
  </si>
  <si>
    <t>F059</t>
  </si>
  <si>
    <t>şemada 3xQF ВА47-100 1P C6 10kA — NXB-63 6kA</t>
  </si>
  <si>
    <t>kontak</t>
  </si>
  <si>
    <t>projede yok — trafo bağlantılı sayaç için test klemens kutusu eklendi</t>
  </si>
  <si>
    <t>F062</t>
  </si>
  <si>
    <t>Ввод (ВРУ1-15-30)</t>
  </si>
  <si>
    <t>QS-1 ВР32И-35А 250A</t>
  </si>
  <si>
    <t>QF-0.1, QF-0.2 ВА88-35 200A 35kA</t>
  </si>
  <si>
    <t>F033</t>
  </si>
  <si>
    <t>QF-0</t>
  </si>
  <si>
    <t>QF-1</t>
  </si>
  <si>
    <t>QF-2, QF-5 (резерв)</t>
  </si>
  <si>
    <t>QF-3 +НР</t>
  </si>
  <si>
    <t>shunt</t>
  </si>
  <si>
    <t>QF-3 независимый расцепитель (отключение вентиляции при пожаре)</t>
  </si>
  <si>
    <t>F046</t>
  </si>
  <si>
    <t>QF-4 ВА47-100 1P C6 (сигнал ПОЖАР)</t>
  </si>
  <si>
    <t>ПВ3 70 mm² pano içi</t>
  </si>
  <si>
    <t>kablo pabucu 70 mm² · UÇ TİPİ PABUÇ teller (+ НШВИ yoksa kafes) × 2 uç</t>
  </si>
  <si>
    <t>Ввод (ВРУ1-21-10 мод.)</t>
  </si>
  <si>
    <t>АВР TransferPact 3P 250A → NXZM-250S/3B 250A</t>
  </si>
  <si>
    <t>F040</t>
  </si>
  <si>
    <t>QF-10 ВА88-35 200A</t>
  </si>
  <si>
    <t>QF-20, QF-12</t>
  </si>
  <si>
    <t>QF-11</t>
  </si>
  <si>
    <t>QF-14</t>
  </si>
  <si>
    <t>QF-24</t>
  </si>
  <si>
    <t>Pl-1 паркинг</t>
  </si>
  <si>
    <t>QF-15/16 — ВА88-32 3P 16A → NXB-63H 3P C16 10kA (NXM 16A listede yok)</t>
  </si>
  <si>
    <t>F016</t>
  </si>
  <si>
    <t>QF-13, QF-23 ВА47-100 1P C20</t>
  </si>
  <si>
    <t>F011</t>
  </si>
  <si>
    <t>QF-21 — ВА88-32 3P 20A → NXB-63 3P C20 6kA (NXM-125S 20A listede yok); Ik teyit, alternatif NM8N-125C 20A 271532</t>
  </si>
  <si>
    <t>F015</t>
  </si>
  <si>
    <t>ЩО-П (260922 akram aulet)</t>
  </si>
  <si>
    <t>KORPUS_KUCUK</t>
  </si>
  <si>
    <t>паркинг IP54 → NEXUS FS1 X12 IP65</t>
  </si>
  <si>
    <t>F072</t>
  </si>
  <si>
    <t>bh</t>
  </si>
  <si>
    <t>QS-1 ВН-32 3P 25A → NXHB 32A bir üst kademe</t>
  </si>
  <si>
    <t>F003</t>
  </si>
  <si>
    <t>F006</t>
  </si>
  <si>
    <t>nbara</t>
  </si>
  <si>
    <t>N barası (otomatik)</t>
  </si>
  <si>
    <t>PE barası (otomatik)</t>
  </si>
  <si>
    <t>yüksük 6 mm² · UÇ TİPİ YÜKSÜK teller × 2 uç</t>
  </si>
  <si>
    <t>ЩАО-П (260922 akram aulet)</t>
  </si>
  <si>
    <t>паркинг IP54</t>
  </si>
  <si>
    <t>ВН-32 3P 25A → 32A bir üst kademe</t>
  </si>
  <si>
    <t>ЩС-П (260922 akram aulet)</t>
  </si>
  <si>
    <t>паркинг IP54 — 27 mod + %20 yedek, ЩРн-36 yükseklik yetmez → ЩРн-54</t>
  </si>
  <si>
    <t>F081</t>
  </si>
  <si>
    <t>ВН-32 3P 32A</t>
  </si>
  <si>
    <t>dif</t>
  </si>
  <si>
    <t>АВДТ32 C16 30mA</t>
  </si>
  <si>
    <t>F020</t>
  </si>
  <si>
    <t>АВДТ32 C10 30mA</t>
  </si>
  <si>
    <t>F019</t>
  </si>
  <si>
    <t>rele</t>
  </si>
  <si>
    <t>PT-1 DEVIreg 316 → EKT Devireg 330 (-10..+10) muadil</t>
  </si>
  <si>
    <t>F061</t>
  </si>
  <si>
    <t>ЩСВ-П (260922 akram aulet)</t>
  </si>
  <si>
    <t>паркинг IP54 — ЩРН-24 sıra yüksekliği yetmez → ЩРн-36</t>
  </si>
  <si>
    <t>F078</t>
  </si>
  <si>
    <t>ВН-32 3P 50A → NXHB 63A bir üst kademe</t>
  </si>
  <si>
    <t>F004</t>
  </si>
  <si>
    <t>ВА47-29 3P C25</t>
  </si>
  <si>
    <t>F014</t>
  </si>
  <si>
    <t>F008</t>
  </si>
  <si>
    <t>yüksük 16 mm² · UÇ TİPİ YÜKSÜK teller × 2 uç</t>
  </si>
  <si>
    <t>ЩДУ-П (260922 akram aulet)</t>
  </si>
  <si>
    <t>паркинг IP54 — 15 mod + %20 yedek → ЩРн-36</t>
  </si>
  <si>
    <t>ВН88-32 3P 125A</t>
  </si>
  <si>
    <t>F005</t>
  </si>
  <si>
    <t>ВА47-100 3P D63</t>
  </si>
  <si>
    <t>F017</t>
  </si>
  <si>
    <t>10624-3-7-ЭОМ 26032025.pdf</t>
  </si>
  <si>
    <t>QS-1 ВР32И-31В 100A перекидной → NH40-100/3CS</t>
  </si>
  <si>
    <t>F037</t>
  </si>
  <si>
    <t>QF-0.1, QF-0.2 ВА88-32 40A 35kA → NXM-125S 25kA</t>
  </si>
  <si>
    <t>QF-2, QF-3 (+НР), QF-5 резерв</t>
  </si>
  <si>
    <t>QF-3 НР</t>
  </si>
  <si>
    <t>QF-1 — ВА88-32 3P 20A → NXB-63 3P C20 6kA (NXM-125S 20A listede yok); Ik teyit, alternatif NM8N-125C 20A 271532</t>
  </si>
  <si>
    <t>QF-4 ВА47-100 1P C6</t>
  </si>
  <si>
    <t>АВР TransferPact 3P 80A → NXZM-125S/3B 80A</t>
  </si>
  <si>
    <t>F038</t>
  </si>
  <si>
    <t>QF-10/20/30</t>
  </si>
  <si>
    <t>QF-11, 21, 22, 31, 32 — ВА88-32 3P 20A → NXB-63 3P C20 6kA (NXM-125S 20A listede yok); Ik teyit, alternatif NM8N-125C 20A 271532</t>
  </si>
  <si>
    <t>ЩО-7 (260922 akram aulet)</t>
  </si>
  <si>
    <t>котельная IP54</t>
  </si>
  <si>
    <t>ВН-32 3P 25A → NXHB 32A bir üst kademe</t>
  </si>
  <si>
    <t>ЩАО-7 (260922 akram aulet)</t>
  </si>
  <si>
    <t>ЩСВ-7 (260922 akram aulet)</t>
  </si>
  <si>
    <t>1 резерв</t>
  </si>
  <si>
    <t>ЩС-7 (260922 akram aulet)</t>
  </si>
  <si>
    <t>F070</t>
  </si>
  <si>
    <t>ВН-32 3P 25A → 32A</t>
  </si>
  <si>
    <t>ЩО-1, ЩО-2, ЩО-3 (260922 akram aulet)</t>
  </si>
  <si>
    <t>10624-3-1-ЭОМ 28022025.pdf + 10624-3-2-ЭОМ 28022025.pdf + 10624-3-3-ЭОМ 28022025.pdf</t>
  </si>
  <si>
    <t>proje ЩМП-3 (650x500x220), подвал → IP54</t>
  </si>
  <si>
    <t>F066</t>
  </si>
  <si>
    <t>QS ВН-32 3P 32A</t>
  </si>
  <si>
    <t>СА4-720 TX PLC 5-60A</t>
  </si>
  <si>
    <t>F055</t>
  </si>
  <si>
    <t>ВА47-29 1P B10 (резерв dahil)</t>
  </si>
  <si>
    <t>fotorele</t>
  </si>
  <si>
    <t>ФР фотореле + ФД выносной — CHINT listede yok, EKT ФР-7Е</t>
  </si>
  <si>
    <t>F060</t>
  </si>
  <si>
    <t>projede yok — fotorele/kontaktör kumanda devresi koruması için eklendi</t>
  </si>
  <si>
    <t>F007</t>
  </si>
  <si>
    <t>АД14 4P B25 30mA → NXBLE 3P+N C25 30mA (B eğrisi listede yok)</t>
  </si>
  <si>
    <t>F024</t>
  </si>
  <si>
    <t>КМИ-22510 25A 230V (реклама)</t>
  </si>
  <si>
    <t>ЩО-4, ЩО-5, ЩО-6 (260922 akram aulet)</t>
  </si>
  <si>
    <t>10624-3-4-ЭОМ 28022025.pdf + 10624-3-5-ЭОМ 28022025.pdf + 10624-3-6-ЭОМ 26.03.2025.pdf</t>
  </si>
  <si>
    <t>proje ЩМП-3 (650x500x220), электрощитовая IP31</t>
  </si>
  <si>
    <t>F067</t>
  </si>
  <si>
    <t>к1 кладовые 1P hat — şemada СА4-720 (3ф) yazılı, 1ф sayaç seçildi</t>
  </si>
  <si>
    <t>F058</t>
  </si>
  <si>
    <t>ЩАО-1, ЩАО-2, ЩАО-3 (260922 akram aulet)</t>
  </si>
  <si>
    <t>proje ЩРН-П 12 — 11,5 mod + %20 yedek yetmez; подвал IP54 → FS1 X18 IP65</t>
  </si>
  <si>
    <t>ВН-32 3P 16A → NXHB 20A bir üst kademe</t>
  </si>
  <si>
    <t>F002</t>
  </si>
  <si>
    <t>ВА47-29 1P B6 → NXB-63S C6 (B6 listede yok)</t>
  </si>
  <si>
    <t>КМИ-10910 9A 230V</t>
  </si>
  <si>
    <t>F041</t>
  </si>
  <si>
    <t>ЩАО-4, ЩАО-5, ЩАО-6 (260922 akram aulet)</t>
  </si>
  <si>
    <t>proje ЩРН-П 12 — modül yetersiz, X16</t>
  </si>
  <si>
    <t>F069</t>
  </si>
  <si>
    <t>ЩОФ-1 ... ЩОФ-6 (ЩУФО) (260922 akram aulet)</t>
  </si>
  <si>
    <t>10624-3-1-ЭОМ 28022025.pdf + 10624-3-2-ЭОМ 28022025.pdf + 10624-3-3-ЭОМ 28022025.pdf + 10624-3-4-ЭОМ 28022025.pdf + 10624-3-5-ЭОМ 28022025.pdf + 10624-3-6-ЭОМ 26.03.2025.pdf</t>
  </si>
  <si>
    <t>KORPUS_ORTA</t>
  </si>
  <si>
    <t>proje 750x500x250 IP31 (ЯУО9601 bazlı) — listede en yakın büyük ЩМП-4 800x650x250</t>
  </si>
  <si>
    <t>F068</t>
  </si>
  <si>
    <t>Дала СА4-Э720 3x220/380 5(60)A</t>
  </si>
  <si>
    <t>QF BKN 3P 16A</t>
  </si>
  <si>
    <t>F013</t>
  </si>
  <si>
    <t>SF 1P 6A</t>
  </si>
  <si>
    <t>KL фотореле PS-2 + BL выносная фотоголовка</t>
  </si>
  <si>
    <t>АД12 2P B6 30mA → NXBLE 1P+N C6 30mA (2 резерв dahil)</t>
  </si>
  <si>
    <t>F018</t>
  </si>
  <si>
    <t>КМЭ-1810 18A 230V</t>
  </si>
  <si>
    <t>F042</t>
  </si>
  <si>
    <t>РТЭ-1308 Iуст 4A → NXR-25 2.5-4A</t>
  </si>
  <si>
    <t>F044</t>
  </si>
  <si>
    <t>timer</t>
  </si>
  <si>
    <t>KT программируемое реле времени ТЭ-02 → CHINT NKG3</t>
  </si>
  <si>
    <t>F054</t>
  </si>
  <si>
    <t>button</t>
  </si>
  <si>
    <t>SB1 Стоп</t>
  </si>
  <si>
    <t>F051</t>
  </si>
  <si>
    <t>SB2 Пуск</t>
  </si>
  <si>
    <t>F052</t>
  </si>
  <si>
    <t>perekluchatel</t>
  </si>
  <si>
    <t>SA ПКУ3-14С 3 режима</t>
  </si>
  <si>
    <t>F053</t>
  </si>
  <si>
    <t>HL зелёная</t>
  </si>
  <si>
    <t>ЩС-1 (260922 akram aulet)</t>
  </si>
  <si>
    <t>10624-3-1-ЭОМ 28022025.pdf</t>
  </si>
  <si>
    <t>proje ЩРН-П 36 (TEKLED NEXUS o/у 36 yok → IEK)</t>
  </si>
  <si>
    <t>F082</t>
  </si>
  <si>
    <t>QS ВН-32 3P</t>
  </si>
  <si>
    <t>БНР (РН-47)</t>
  </si>
  <si>
    <t>F045</t>
  </si>
  <si>
    <t>вентилятор В1</t>
  </si>
  <si>
    <t>тепловая завеса У5</t>
  </si>
  <si>
    <t>АД12 2P C10 30mA</t>
  </si>
  <si>
    <t>АД12 2P C16 30mA (обогрев воронок)</t>
  </si>
  <si>
    <t>TR1 терморегулятор обогрева воронок (МП1-7ЩС1 + ДТ-1) → EKT Devireg 330 muadil</t>
  </si>
  <si>
    <t>ЩС-2, ЩС-3 (260922 akram aulet)</t>
  </si>
  <si>
    <t>10624-3-2-ЭОМ 28022025.pdf + 10624-3-3-ЭОМ 28022025.pdf</t>
  </si>
  <si>
    <t>тепловая завеса У1, У5</t>
  </si>
  <si>
    <t>ЩС-4, ЩС-5, ЩС-6 (260922 akram aulet)</t>
  </si>
  <si>
    <t>вентилятор В1 x2</t>
  </si>
  <si>
    <t>ЩСС-1, ЩСС-2, ЩСС-3 (260922 akram aulet)</t>
  </si>
  <si>
    <t>подвал IP54 — FS1 X24 IP65</t>
  </si>
  <si>
    <t>F071</t>
  </si>
  <si>
    <t>ВА47-29 1P B10</t>
  </si>
  <si>
    <t>ЩСС-4, ЩСС-5, ЩСС-6 (260922 akram aulet)</t>
  </si>
  <si>
    <t>коридор -4.200 IP54 — FS1 X12</t>
  </si>
  <si>
    <t>ЩЭ (3 кв.) (260922 akram aulet)</t>
  </si>
  <si>
    <t>proje ЩЭ-3 36 УХЛ3 IP41 со слаботочным отсеком (≥400 mm) — KAZTEK этажный щит 3 окошко</t>
  </si>
  <si>
    <t>F076</t>
  </si>
  <si>
    <t>ВН-32 1P 40A (daire başına)</t>
  </si>
  <si>
    <t>F001</t>
  </si>
  <si>
    <t>Дала/Орман СО-3711 TX P PLC 5-60A</t>
  </si>
  <si>
    <t>АД12 2P C40 300mA</t>
  </si>
  <si>
    <t>F023</t>
  </si>
  <si>
    <t>ЩЭ (4 кв.) (260922 akram aulet)</t>
  </si>
  <si>
    <t>proje ЩЭ-3 36 УХЛ3 IP41 со слаботочным отсеком (≥400 mm) — KAZTEK этажный щит 4 окошко</t>
  </si>
  <si>
    <t>F077</t>
  </si>
  <si>
    <t>ЩК тип 1 (2x1P + 8 АВДТ) (260922 akram aulet)</t>
  </si>
  <si>
    <t>projede korpus yok — daire içi, sıva altı plastik NEXUS</t>
  </si>
  <si>
    <t>F074</t>
  </si>
  <si>
    <t>ВН-32 1P 40A</t>
  </si>
  <si>
    <t>ВА47-29 1P C16 освещение</t>
  </si>
  <si>
    <t>F009</t>
  </si>
  <si>
    <t>АВДТ32 C25 30mA</t>
  </si>
  <si>
    <t>F021</t>
  </si>
  <si>
    <t>АВДТ32 C32 30mA</t>
  </si>
  <si>
    <t>F022</t>
  </si>
  <si>
    <t>ЩК тип 2 (1x1P + 7 АВДТ) (260922 akram aulet)</t>
  </si>
  <si>
    <t>ЩК тип 3 (1x1P + 6 АВДТ) (260922 akram aulet)</t>
  </si>
  <si>
    <t>F075</t>
  </si>
  <si>
    <t>ЩК тип 4 (ЩК-4.3: 1x1P + 5 АВДТ C16 + C32) (260922 akram aulet)</t>
  </si>
  <si>
    <t>ЩА-6.1, ЩА-6.3 (260922 akram aulet)</t>
  </si>
  <si>
    <t>10624-3-6-ЭОМ 26.03.2025.pdf</t>
  </si>
  <si>
    <t>projede korpus yok — MCCB + sayaç + modüler ayrı sıra</t>
  </si>
  <si>
    <t>QF ВА88-32 3P 63A</t>
  </si>
  <si>
    <t>БНР — şemada "БР устанавливается арендатором", yine de eklendi</t>
  </si>
  <si>
    <t>Дала САР4-3721 — şemada 5-60A, QF 63A için 10-100A seçildi</t>
  </si>
  <si>
    <t>внешний блок кондиционера</t>
  </si>
  <si>
    <t>ЩА-6.2 (260922 akram aulet)</t>
  </si>
  <si>
    <t>QF ВА88-32 3P 40A</t>
  </si>
  <si>
    <t>Дала САР4-3721</t>
  </si>
  <si>
    <t>193168</t>
  </si>
  <si>
    <t>Выключатель нагрузки NXHB-125 1P 40A (R)</t>
  </si>
  <si>
    <t>chint</t>
  </si>
  <si>
    <t>193180</t>
  </si>
  <si>
    <t>Выключатель нагрузки NXHB-125 3P 20A (R)</t>
  </si>
  <si>
    <t>193181</t>
  </si>
  <si>
    <t>Выключатель нагрузки NXHB-125 3P 32A (R)</t>
  </si>
  <si>
    <t>193183</t>
  </si>
  <si>
    <t>Выключатель нагрузки NXHB-125 3P 63A (R)</t>
  </si>
  <si>
    <t>296696</t>
  </si>
  <si>
    <t>Авт. выкл. NXB-63S 1P 10А 4.5kA х-ка B (R)</t>
  </si>
  <si>
    <t>296708</t>
  </si>
  <si>
    <t>Авт. выкл. NXB-63S 1P 6А 4.5kA х-ка C (R)</t>
  </si>
  <si>
    <t>296709</t>
  </si>
  <si>
    <t>Авт. выкл. NXB-63S 1P 10А 4.5kA х-ка C (R)</t>
  </si>
  <si>
    <t>296710</t>
  </si>
  <si>
    <t>Авт. выкл. NXB-63S 1P 16А 4.5kA х-ка C (R)</t>
  </si>
  <si>
    <t>814012</t>
  </si>
  <si>
    <t>Авт. выкл. NXB-63 1P 6A 6кА х-ка C (R)</t>
  </si>
  <si>
    <t>814015</t>
  </si>
  <si>
    <t>Авт. выкл. NXB-63 1P 20A 6кА х-ка C (R)</t>
  </si>
  <si>
    <t>813793</t>
  </si>
  <si>
    <t>Авт. выкл. NXB-63H 1P 16A 10кА х-ка C (R)</t>
  </si>
  <si>
    <t>296827</t>
  </si>
  <si>
    <t>Авт. выкл. NXB-63S 3P 16А 4.5kA х-ка C (R)</t>
  </si>
  <si>
    <t>296829</t>
  </si>
  <si>
    <t>Авт. выкл. NXB-63S 3P 25А 4.5kA х-ка C (R)</t>
  </si>
  <si>
    <t>814171</t>
  </si>
  <si>
    <t>Авт. выкл. NXB-63 3P 20A 6кА х-ка C (R)</t>
  </si>
  <si>
    <t>816138</t>
  </si>
  <si>
    <t>Авт. выкл. NXB-125 3P 63A 10кА х-ка D (R)</t>
  </si>
  <si>
    <t>515423</t>
  </si>
  <si>
    <t>Диф. авт. выкл. NXBLE-63YH 1P+N C6 30mA тип A, 6kA (R)</t>
  </si>
  <si>
    <t>515374</t>
  </si>
  <si>
    <t>Диф. авт. выкл. NXBLE-63YH 1P+N C10 30mA тип A, 6kA (R)</t>
  </si>
  <si>
    <t>515381</t>
  </si>
  <si>
    <t>Диф. авт. выкл. NXBLE-63YH 1P+N C16 30mA тип A, 6kA (R)</t>
  </si>
  <si>
    <t>515395</t>
  </si>
  <si>
    <t>Диф. авт. выкл. NXBLE-63YH 1P+N C25 30mA тип A, 6kA (R)</t>
  </si>
  <si>
    <t>515402</t>
  </si>
  <si>
    <t>Диф. авт. выкл. NXBLE-63YH 1P+N C32 30mA тип A, 6kA (R)</t>
  </si>
  <si>
    <t>982017</t>
  </si>
  <si>
    <t>Диф. авт. выкл. NXBLE-63 2P C40 300mA тип AC 6kA (R)</t>
  </si>
  <si>
    <t>539860</t>
  </si>
  <si>
    <t>Диф. авт. выкл. NXBLE-63YH 3P+N C25 30mA тип A, 6kA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</si>
  <si>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</si>
  <si>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</si>
  <si>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</si>
  <si>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</si>
  <si>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</si>
  <si>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</si>
  <si>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</si>
  <si>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</si>
  <si>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</si>
  <si>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</si>
  <si>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</si>
  <si>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</si>
  <si>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131362</t>
  </si>
  <si>
    <t>Авт. выкл. NXM-125S/3Р 100A 25кА (R)</t>
  </si>
  <si>
    <t>131363</t>
  </si>
  <si>
    <t>Авт. выкл. NXM-125S/3Р 125A 25кА (R)</t>
  </si>
  <si>
    <t>131367</t>
  </si>
  <si>
    <t>Авт. выкл. NXM-250S/3Р 200A 36кА (R)</t>
  </si>
  <si>
    <t>131373</t>
  </si>
  <si>
    <t>Авт. выкл. NXM-400S/3Р 400A 50кА (R)</t>
  </si>
  <si>
    <t>270100160</t>
  </si>
  <si>
    <t xml:space="preserve">                    Рубильник ВР-32-35  В71250-250А на 2 направления (+6камер) UNIT (1/8)</t>
  </si>
  <si>
    <t>pys</t>
  </si>
  <si>
    <t>270100159</t>
  </si>
  <si>
    <t xml:space="preserve">                    Рубильник ВР-32-31  В71250-100А на 2 направления (+6камер) UNIT (1/12)</t>
  </si>
  <si>
    <t>256778</t>
  </si>
  <si>
    <t>Устройство автоматического ввода резерва NXZM-125S/3B 80A (R)</t>
  </si>
  <si>
    <t>256790</t>
  </si>
  <si>
    <t>Устройство автоматического ввода резерва NXZM-160S/3B 160A (R)</t>
  </si>
  <si>
    <t>256796</t>
  </si>
  <si>
    <t>Устройство автоматического ввода резерва NXZM-250S/3B 250A (R)</t>
  </si>
  <si>
    <t>836704</t>
  </si>
  <si>
    <t>Контактор NXC-09 9A 220В/АС3 1НО+1НЗ 50Гц (R)</t>
  </si>
  <si>
    <t>836904</t>
  </si>
  <si>
    <t>Контактор NXC-18 18A 220В/АС3 1НО+1НЗ 50Гц (R)</t>
  </si>
  <si>
    <t>836851</t>
  </si>
  <si>
    <t>Контактор NXC-25 25A 220В/АС3 1НО+1НЗ 50Гц (R)</t>
  </si>
  <si>
    <t>837113</t>
  </si>
  <si>
    <t>Тепловое реле NXR-25 2.5-4A (R)</t>
  </si>
  <si>
    <t>814989</t>
  </si>
  <si>
    <t>Независимый расцепитель SHT-X1 AC230V/400V для NXB-63 (R)</t>
  </si>
  <si>
    <t>946996</t>
  </si>
  <si>
    <t>Независимый расцепитель SHT-M1 A1 L для NXM-125(63)/NXMLE-125 AC230V (левый) (R)</t>
  </si>
  <si>
    <t>252542</t>
  </si>
  <si>
    <t>Ограничитель имп. перенапр. NU6-IIG 3Р In=15kA Uc=440B Im=40kA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</si>
  <si>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</si>
  <si>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</si>
  <si>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</si>
  <si>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</si>
  <si>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</si>
  <si>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</si>
  <si>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667231</t>
  </si>
  <si>
    <t>Кнопка управления NP8-01BN/4 без подсветки красная 1НЗ IP65 (R)</t>
  </si>
  <si>
    <t>667232</t>
  </si>
  <si>
    <t>Кнопка управления NP8-10BN/3 без подсветки зеленая 1НО IP65 (R)</t>
  </si>
  <si>
    <t>667137</t>
  </si>
  <si>
    <t>Переключатель без подсветки NP8-11X/312, 3 положения с фиксацией, чёрная 1НО+1НЗ IP65 (R)</t>
  </si>
  <si>
    <t>310024</t>
  </si>
  <si>
    <t>Таймер электронный NKG3 AC230В (R)</t>
  </si>
  <si>
    <t>saiman</t>
  </si>
  <si>
    <t>CU</t>
  </si>
  <si>
    <t>Орман TX P PLC IP П RS СО-Э711 (10-60А 220В)</t>
  </si>
  <si>
    <t>VI</t>
  </si>
  <si>
    <t>Трансформатор тока ТШП-0,66 У3 кл.точ. 0,5 400A</t>
  </si>
  <si>
    <t>130300434</t>
  </si>
  <si>
    <t>Фотореле ФР-7Е с выносн. фотоэлементом 220В 50Гц (8..20лк.,1.5м/кабель,8А,2НО)</t>
  </si>
  <si>
    <t>ekt</t>
  </si>
  <si>
    <t>130300776</t>
  </si>
  <si>
    <t>Терморегулятор Devireg 330 (-10 +10) (14 0F0/1 070)</t>
  </si>
  <si>
    <t>989-100-1757</t>
  </si>
  <si>
    <t>Клеммная коробка для счетчиков (испытательная)</t>
  </si>
  <si>
    <t>teksan f</t>
  </si>
  <si>
    <t>719-15616</t>
  </si>
  <si>
    <t>Мет. Корпус (Пустой) (1800x700x450)+10CM База IP31</t>
  </si>
  <si>
    <t>719-15612</t>
  </si>
  <si>
    <t>Мет. Корпус (Пустой) (1600x500x350)+10CM База IP31</t>
  </si>
  <si>
    <t>989-190-0079</t>
  </si>
  <si>
    <t>ЩМП-3 IP 54 (650х500х220)</t>
  </si>
  <si>
    <t>719-15440</t>
  </si>
  <si>
    <t>Мет.Корпус ЩМП-4 (800x650x250) IP31</t>
  </si>
  <si>
    <t>712-03048</t>
  </si>
  <si>
    <t>DX10-M16SBB V10 Щит пластиковый о/у Х16 (крышка черная) NEXUS (TEKLED ELECTR)5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</si>
  <si>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</si>
  <si>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</si>
  <si>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</si>
  <si>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</si>
  <si>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712-03056</t>
  </si>
  <si>
    <t>FS1-M12S FS1 Щит пластиковый о/у Х12 (крышка черная) IP65 NEXUS (TEKLED ELECTR)</t>
  </si>
  <si>
    <t>711-03012</t>
  </si>
  <si>
    <t>DX10-A24SWB V10 24 Modules Distribution Box,Flush NEXUS (TEKLED ELECTR)5</t>
  </si>
  <si>
    <t>711-03010</t>
  </si>
  <si>
    <t>DX10-A18SWB V10 18 Modules Distribution Box,Flush NEXUS (TEKLED ELECTR)5</t>
  </si>
  <si>
    <t>714-15070</t>
  </si>
  <si>
    <t>Щит мет.ЩРн-36 б/o (540х310х120) S/U 36 IP54 (TS)</t>
  </si>
  <si>
    <t>714-15104</t>
  </si>
  <si>
    <t>Щит ЩРн-54 (540x440x120) S/U IP54 (TS)</t>
  </si>
  <si>
    <t>250600012</t>
  </si>
  <si>
    <t>ЩРН-П 36 IEK (5) MKP12-N-04-36-41</t>
  </si>
  <si>
    <t>280100020</t>
  </si>
  <si>
    <t>Кабель.канал перф. 40х40 ИМПАКТ IEK (36)</t>
  </si>
  <si>
    <t>м</t>
  </si>
  <si>
    <t>harmony</t>
  </si>
  <si>
    <t>упак</t>
  </si>
  <si>
    <t>151.01.PV3.01,5</t>
  </si>
  <si>
    <t>HARMONY ПВ3 1*1,5</t>
  </si>
  <si>
    <t>311100817</t>
  </si>
  <si>
    <t>Наконечник НШВИ 1,5-8 изолированный 79440 (100шт) КВТ NEW</t>
  </si>
  <si>
    <t>151.01.PV3.02,5</t>
  </si>
  <si>
    <t>HARMONY ПВ3 1*2,5</t>
  </si>
  <si>
    <t>311100820</t>
  </si>
  <si>
    <t>Наконечник НШВИ 2,5-8 изолированный 79443 (100шт) КВТ NEW</t>
  </si>
  <si>
    <t>151.01.PV3.04</t>
  </si>
  <si>
    <t>HARMONY ПВ3 1*4</t>
  </si>
  <si>
    <t>311100823</t>
  </si>
  <si>
    <t>Наконечник НШВИ 4,0-9 изолированный 79446 (100шт) КВТ NEW</t>
  </si>
  <si>
    <t>151.01.PV3.06</t>
  </si>
  <si>
    <t>HARMONY ПВ3 1*6</t>
  </si>
  <si>
    <t>311100826</t>
  </si>
  <si>
    <t>Наконечник НШВИ 6,0-12 изолированный 79449 (100шт) КВТ NEW</t>
  </si>
  <si>
    <t>260100138</t>
  </si>
  <si>
    <t>Наконечник медно-луженный JG - 6 IEK (600)</t>
  </si>
  <si>
    <t>151.01.PV3.10</t>
  </si>
  <si>
    <t>HARMONY ПВ3 1*10</t>
  </si>
  <si>
    <t>260100153</t>
  </si>
  <si>
    <t>Наконечник медно-луженный JG - 10 IEK (400)</t>
  </si>
  <si>
    <t>151.01.PV3.16</t>
  </si>
  <si>
    <t>HARMONY ПВ3 1*16</t>
  </si>
  <si>
    <t>311100829</t>
  </si>
  <si>
    <t>Наконечник НШВИ 16-12 изолированный 79452 (100шт) КВТ NEW</t>
  </si>
  <si>
    <t>260100165</t>
  </si>
  <si>
    <t>Наконечник медно-луженный JG - 16 IEK (200)</t>
  </si>
  <si>
    <t>151.01.PV3.25</t>
  </si>
  <si>
    <t>HARMONY ПВ3 1*25</t>
  </si>
  <si>
    <t>260100167</t>
  </si>
  <si>
    <t>Наконечник медно-луженный JG - 25 IEK (200)</t>
  </si>
  <si>
    <t>151.01.PV3.35</t>
  </si>
  <si>
    <t>HARMONY ПВ3 1*35</t>
  </si>
  <si>
    <t>260100158</t>
  </si>
  <si>
    <t>Наконечник медно-луженный JG - 35 IEK (100)</t>
  </si>
  <si>
    <t>151.01.PV3.50</t>
  </si>
  <si>
    <t>HARMONY ПВ3 1*50</t>
  </si>
  <si>
    <t>260100168</t>
  </si>
  <si>
    <t>Наконечник медно-луженный JG - 50 IEK (100)</t>
  </si>
  <si>
    <t>151.01.PV3.70</t>
  </si>
  <si>
    <t>HARMONY ПВ3 1*70</t>
  </si>
  <si>
    <t>260100169</t>
  </si>
  <si>
    <t>Наконечник медно-луженный JG - 70 IEK (50)</t>
  </si>
  <si>
    <t>151.01.PV3.95</t>
  </si>
  <si>
    <t>HARMONY ПВ3 1*95</t>
  </si>
  <si>
    <t>260100140</t>
  </si>
  <si>
    <t>Наконечник медно-луженный JG - 95 IEK (50)</t>
  </si>
  <si>
    <t>240100162</t>
  </si>
  <si>
    <t>Хомут 2,5х100 черный UNIT (100/500)</t>
  </si>
  <si>
    <t>32101DEK</t>
  </si>
  <si>
    <t>32101 Изолятор шинный опорный ИО101-30 Кв8 Макс.роб.ток 380А Dekraft</t>
  </si>
  <si>
    <t>130200364</t>
  </si>
  <si>
    <t>Шина "N" нулевая 8х12мм комб с изол "Стойка" ШНИ 6-КС-С UNIT (20/300)</t>
  </si>
  <si>
    <t>130200365</t>
  </si>
  <si>
    <t>Шина "N" нулевая 8х12мм комб с изол "Стойка" ШНИ 8-КС-С UNIT (20/300)</t>
  </si>
  <si>
    <t>130200361</t>
  </si>
  <si>
    <t>Шина "N" нулевая 8х12мм комб с изол "Стойка" ШНИ 10-КС-С UNIT (20/300)</t>
  </si>
  <si>
    <t>130200362</t>
  </si>
  <si>
    <t>Шина "N" нулевая 8х12мм комб с изол "Стойка" ШНИ 12-КС-С UNIT (20/200)</t>
  </si>
  <si>
    <t>130200363</t>
  </si>
  <si>
    <t>Шина "N" нулевая 8х12мм комб с изол "Стойка" ШНИ 14-КС-С UNIT (20/200)</t>
  </si>
  <si>
    <t>130200188</t>
  </si>
  <si>
    <t>Шина алюм АД31Т 3х20х4000</t>
  </si>
  <si>
    <t>130200143</t>
  </si>
  <si>
    <t>Шина алюм. АД31Т4х30х4000 (1пол/4м)</t>
  </si>
  <si>
    <t>130200009</t>
  </si>
  <si>
    <t>Шина алюм АД31Т 5х40х4000</t>
  </si>
  <si>
    <t>tekled</t>
  </si>
  <si>
    <t>205883</t>
  </si>
  <si>
    <t>Авт. выкл. NXM-63S/3P 25кА 16A (R)</t>
  </si>
  <si>
    <t>205884</t>
  </si>
  <si>
    <t>Авт. выкл. NXM-63S/3P 25кА 20A (R)</t>
  </si>
  <si>
    <t>710-1593801</t>
  </si>
  <si>
    <t>Этажный Щит 1/4 окошко S/A (1000х950х150мм)</t>
  </si>
  <si>
    <t>710-159391</t>
  </si>
  <si>
    <t>714-15120</t>
  </si>
  <si>
    <t>Щит мет. ЩРн-3-2 PR (650x500x220) IP54 (TS)</t>
  </si>
  <si>
    <t>719-15043</t>
  </si>
  <si>
    <t>Мет. Щит ВРУ 1700х800х450+10CM База</t>
  </si>
  <si>
    <t>IA</t>
  </si>
  <si>
    <t>IC</t>
  </si>
  <si>
    <t>ДАЛА СА4-Э720 R TX OP P П RS1 Д W (3x220/380V 5-60A)</t>
  </si>
  <si>
    <t>IB</t>
  </si>
  <si>
    <t>ДАЛА СА4-Э720 R TX OP P П RS1 Д W (3x220/380V 5-100A)</t>
  </si>
  <si>
    <t>ВРУ-П (Ввод + Секция 1) (ВРУ1-15-30)(ВРУ1-41-00А)(260922 akram aulet)</t>
  </si>
  <si>
    <t>ДАЛА СА4У-Э720 R TX OP П RS1 Д W  (3x220/380V 5-7,5A)</t>
  </si>
  <si>
    <t>ШГП-П (Ввод + Секция 1) (ВРУ1-21-10 модифицированная)+(ВРУ1-41-00А)(260922 akram aulet)</t>
  </si>
  <si>
    <t>ВРУ-1 (Ввод + Секция 1 + Секция 2)(ВРУ1-14-20А)(ВРУ1-41-00А) (260922 akram aulet)</t>
  </si>
  <si>
    <t>ШГП-1, ШГП-2 (Ввод + Секция 1)(ВРУ1-18-80А)(ВРУ1-41-00А)(260922 akram aulet)</t>
  </si>
  <si>
    <t>ВРУ-2 (Ввод + Секция 1 + Секция 2) (ВРУ1-14-20А)(ВРУ1-41-00А)(260922 akram aulet)</t>
  </si>
  <si>
    <t>270100154_</t>
  </si>
  <si>
    <t xml:space="preserve">                    Рубильник ВР-32-37  В31250-400А на 1 направление (+6камер) UNIT (1/8)</t>
  </si>
  <si>
    <t>ВРУА-2 (ВРУ1-25-60А)(260922 akram aulet)</t>
  </si>
  <si>
    <t>ВРУ-3 (Ввод + Секция 1) (ВРУ1-15-30)(ВРУ1-41-00А)(260922 akram aulet)</t>
  </si>
  <si>
    <t>ШГП-3 (Ввод + Секция 1) (ВРУ1-21-10 модифицированная)(ВРУ1-41-00А)(260922 akram aulet)</t>
  </si>
  <si>
    <t>Этажный Щит ЩЭ-3  S/A (1010x950x150) (TS)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</si>
</sst>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\-??_-;_-@_-"/>
  </numFmts>
  <fonts count="3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/>
    <xf numFmtId="0" fontId="1" fillId="4" borderId="1" xfId="0" applyFont="1" applyFill="1" applyBorder="1" applyAlignment="1">
      <alignment wrapText="1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00"/>
  <sheetViews>
    <sheetView tabSelected="1" zoomScaleNormal="100" workbookViewId="0">
      <pane ySplit="1" topLeftCell="A2" activePane="bottomLeft" state="frozen"/>
      <selection pane="bottomLeft" activeCell="D817" sqref="D817"/>
    </sheetView>
  </sheetViews>
  <sheetFormatPr defaultColWidth="8.7109375" defaultRowHeight="15" outlineLevelCol="1" x14ac:dyDescent="0.25"/>
  <cols>
    <col min="1" max="1" width="36.42578125" customWidth="1"/>
    <col min="2" max="2" width="11" customWidth="1"/>
    <col min="3" max="3" width="14" customWidth="1"/>
    <col min="4" max="4" width="72.5703125" customWidth="1"/>
    <col min="5" max="5" width="7" customWidth="1"/>
    <col min="6" max="6" width="12" customWidth="1"/>
    <col min="7" max="7" width="142.5703125" customWidth="1"/>
    <col min="8" max="8" width="12" customWidth="1"/>
    <col min="9" max="9" width="7" customWidth="1"/>
    <col min="10" max="12" width="9" hidden="1" customWidth="1" outlineLevel="1"/>
    <col min="13" max="13" width="40" customWidth="1" collapsed="1"/>
    <col min="14" max="15" width="7" hidden="1" customWidth="1" outlineLevel="1"/>
    <col min="16" max="16" width="6" customWidth="1" collapsed="1"/>
    <col min="17" max="36" width="9" hidden="1" customWidth="1" outlineLevel="1"/>
    <col min="37" max="37" width="8.7109375" collapsed="1"/>
  </cols>
  <sheetData>
    <row r="1" spans="1:36" s="11" customFormat="1" ht="50.2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</row>
    <row r="2" spans="1:36" x14ac:dyDescent="0.25">
      <c r="A2" s="1" t="str">
        <f>D2</f>
        <v>ВРУ-1 (Ввод + Секция 1 + Секция 2)(ВРУ1-14-20А)(ВРУ1-41-00А) (260922 akram aulet)</v>
      </c>
      <c r="B2" s="12"/>
      <c r="C2" s="2"/>
      <c r="D2" s="1" t="s">
        <v>611</v>
      </c>
      <c r="E2" s="1" t="s">
        <v>36</v>
      </c>
      <c r="F2" s="1" t="s">
        <v>37</v>
      </c>
      <c r="G2" s="1" t="s">
        <v>38</v>
      </c>
      <c r="I2" s="3" t="e">
        <f>#REF!</f>
        <v>#REF!</v>
      </c>
    </row>
    <row r="3" spans="1:36" x14ac:dyDescent="0.25">
      <c r="A3" s="4" t="str">
        <f t="shared" ref="A3:A41" si="0">A2</f>
        <v>ВРУ-1 (Ввод + Секция 1 + Секция 2)(ВРУ1-14-20А)(ВРУ1-41-00А) (260922 akram aulet)</v>
      </c>
      <c r="B3" s="4" t="s">
        <v>39</v>
      </c>
      <c r="C3" s="4" t="s">
        <v>492</v>
      </c>
      <c r="D3" s="4" t="s">
        <v>493</v>
      </c>
      <c r="E3" s="4" t="s">
        <v>114</v>
      </c>
      <c r="F3" s="4" t="s">
        <v>491</v>
      </c>
      <c r="G3" s="4" t="s">
        <v>38</v>
      </c>
      <c r="H3" s="5" t="e">
        <f>#REF!</f>
        <v>#REF!</v>
      </c>
      <c r="I3" s="6" t="e">
        <f t="shared" ref="I3:I41" si="1">I2</f>
        <v>#REF!</v>
      </c>
      <c r="J3" s="6" t="s">
        <v>40</v>
      </c>
      <c r="K3" s="6" t="s">
        <v>41</v>
      </c>
      <c r="L3" s="7" t="e">
        <f t="shared" ref="L3:L39" si="2">IF(ISNA(MATCH($C3,FA,0)),"ARTİKÜL YOK",INDEX(FIYAT_DURUM,MATCH($C3,FA,0)))</f>
        <v>#REF!</v>
      </c>
      <c r="M3" s="7" t="s">
        <v>42</v>
      </c>
      <c r="N3" s="7" t="s">
        <v>43</v>
      </c>
      <c r="O3" s="7">
        <f>IF(OR($C3="",$C3="FID YOK"),"",IF(ISNUMBER(MATCH($C3,FA_ANA,0)),"",IF(COUNTIF($C$1:$C2,$C3)&gt;0,"",MAX($O$1:$O2)+1)))</f>
        <v>1</v>
      </c>
      <c r="Q3" s="7"/>
      <c r="R3" s="7"/>
      <c r="S3" s="7"/>
      <c r="T3" s="7">
        <f>IF(ISNA(MATCH($C3,FA,0)),0,IF($J3="GIRIS",N(INDEX(F_INKOR,MATCH($C3,FA,0))),0))</f>
        <v>0</v>
      </c>
      <c r="U3" s="7"/>
      <c r="V3" s="7"/>
      <c r="W3" s="7"/>
      <c r="X3" s="7"/>
      <c r="Y3" s="7" t="e">
        <f>N(#REF!)*IF($E3="упак",MAX(1,IF(ISNA(MATCH($C3,FA,0)),1,N(INDEX(F_PAKET,MATCH($C3,FA,0))))),1)</f>
        <v>#REF!</v>
      </c>
      <c r="Z3" s="7" t="e">
        <f t="shared" ref="Z3:Z39" si="3">IF(ISNA(MATCH($C3,FA,0)),0,N(INDEX(F_BK,MATCH($C3,FA,0))))</f>
        <v>#REF!</v>
      </c>
      <c r="AA3" s="7" t="e">
        <f>IF(OR(ISNA(MATCH($C3,FA,0)),$J3="YEDEK",$J3="SARF"),0,N(#REF!)*N(INDEX(F_TEL,MATCH($C3,FA,0))))</f>
        <v>#REF!</v>
      </c>
      <c r="AB3" s="7" t="e">
        <f>IF(OR(ISNA(MATCH($C3,FA,0)),$J3="YEDEK",$J3="SARF"),0,N(#REF!)*N(INDEX(F_TELM,MATCH($C3,FA,0))))</f>
        <v>#REF!</v>
      </c>
      <c r="AC3" s="7" t="e">
        <f t="shared" ref="AC3:AC39" si="4">IF(ISNA(MATCH($C3,FA,0)),"",INDEX(F_UC,MATCH($C3,FA,0))&amp;"")</f>
        <v>#REF!</v>
      </c>
      <c r="AD3" s="7">
        <f>IF(OR(ISNA(MATCH($C3,FA,0)),$J3&lt;&gt;"CIKIS"),0,N(INDEX(F_KK,MATCH($C3,FA,0))))</f>
        <v>0</v>
      </c>
      <c r="AE3" s="7">
        <f>IF($AD3=0,0,N(#REF!)*N(INDEX(F_KLN,MATCH($C3,FA,0))))</f>
        <v>0</v>
      </c>
      <c r="AF3" s="7">
        <f>IF($AD3=0,0,N(#REF!)*N(INDEX(F_KPE,MATCH($C3,FA,0))))</f>
        <v>0</v>
      </c>
      <c r="AG3" s="7" t="e">
        <f>IF(ISNA(MATCH($C3,FA,0)),0,N(#REF!)*N(INDEX(F_MODUL,MATCH($C3,FA,0))))</f>
        <v>#REF!</v>
      </c>
      <c r="AH3" s="7" t="e">
        <f>N(#REF!)*N($I3)</f>
        <v>#REF!</v>
      </c>
      <c r="AI3" s="7" t="e">
        <f t="shared" ref="AI3:AI39" si="5">IF(ISNA(MATCH($K3,TIP_AD,0)),"YOK",IF(INDEX(NORM_DK,MATCH($K3,TIP_AD,0))="","BOŞ",INDEX(NORM_DK,MATCH($K3,TIP_AD,0))))</f>
        <v>#REF!</v>
      </c>
      <c r="AJ3" s="7">
        <f t="shared" ref="AJ3:AJ39" si="6">IF(ISNUMBER($AI3),$Y3*$AI3,0)</f>
        <v>0</v>
      </c>
    </row>
    <row r="4" spans="1:36" x14ac:dyDescent="0.25">
      <c r="A4" s="4" t="str">
        <f t="shared" si="0"/>
        <v>ВРУ-1 (Ввод + Секция 1 + Секция 2)(ВРУ1-14-20А)(ВРУ1-41-00А) (260922 akram aulet)</v>
      </c>
      <c r="B4" s="4" t="s">
        <v>39</v>
      </c>
      <c r="C4" s="4" t="s">
        <v>494</v>
      </c>
      <c r="D4" s="4" t="s">
        <v>495</v>
      </c>
      <c r="E4" s="4" t="s">
        <v>114</v>
      </c>
      <c r="F4" s="4" t="s">
        <v>491</v>
      </c>
      <c r="G4" s="4" t="s">
        <v>38</v>
      </c>
      <c r="H4" s="5" t="e">
        <f>#REF!</f>
        <v>#REF!</v>
      </c>
      <c r="I4" s="6" t="e">
        <f t="shared" si="1"/>
        <v>#REF!</v>
      </c>
      <c r="J4" s="6" t="s">
        <v>40</v>
      </c>
      <c r="K4" s="6" t="s">
        <v>41</v>
      </c>
      <c r="L4" s="7" t="e">
        <f t="shared" si="2"/>
        <v>#REF!</v>
      </c>
      <c r="M4" s="7" t="s">
        <v>44</v>
      </c>
      <c r="N4" s="7" t="s">
        <v>45</v>
      </c>
      <c r="O4" s="7">
        <f>IF(OR($C4="",$C4="FID YOK"),"",IF(ISNUMBER(MATCH($C4,FA_ANA,0)),"",IF(COUNTIF($C$1:$C3,$C4)&gt;0,"",MAX($O$1:$O3)+1)))</f>
        <v>2</v>
      </c>
      <c r="Q4" s="7"/>
      <c r="R4" s="7"/>
      <c r="S4" s="7"/>
      <c r="T4" s="7">
        <f>IF(ISNA(MATCH($C4,FA,0)),0,IF($J4="GIRIS",N(INDEX(F_INKOR,MATCH($C4,FA,0))),0))</f>
        <v>0</v>
      </c>
      <c r="U4" s="7"/>
      <c r="V4" s="7"/>
      <c r="W4" s="7"/>
      <c r="X4" s="7"/>
      <c r="Y4" s="7" t="e">
        <f>N(#REF!)*IF($E4="упак",MAX(1,IF(ISNA(MATCH($C4,FA,0)),1,N(INDEX(F_PAKET,MATCH($C4,FA,0))))),1)</f>
        <v>#REF!</v>
      </c>
      <c r="Z4" s="7" t="e">
        <f t="shared" si="3"/>
        <v>#REF!</v>
      </c>
      <c r="AA4" s="7" t="e">
        <f>IF(OR(ISNA(MATCH($C4,FA,0)),$J4="YEDEK",$J4="SARF"),0,N(#REF!)*N(INDEX(F_TEL,MATCH($C4,FA,0))))</f>
        <v>#REF!</v>
      </c>
      <c r="AB4" s="7" t="e">
        <f>IF(OR(ISNA(MATCH($C4,FA,0)),$J4="YEDEK",$J4="SARF"),0,N(#REF!)*N(INDEX(F_TELM,MATCH($C4,FA,0))))</f>
        <v>#REF!</v>
      </c>
      <c r="AC4" s="7" t="e">
        <f t="shared" si="4"/>
        <v>#REF!</v>
      </c>
      <c r="AD4" s="7">
        <f>IF(OR(ISNA(MATCH($C4,FA,0)),$J4&lt;&gt;"CIKIS"),0,N(INDEX(F_KK,MATCH($C4,FA,0))))</f>
        <v>0</v>
      </c>
      <c r="AE4" s="7">
        <f>IF($AD4=0,0,N(#REF!)*N(INDEX(F_KLN,MATCH($C4,FA,0))))</f>
        <v>0</v>
      </c>
      <c r="AF4" s="7">
        <f>IF($AD4=0,0,N(#REF!)*N(INDEX(F_KPE,MATCH($C4,FA,0))))</f>
        <v>0</v>
      </c>
      <c r="AG4" s="7" t="e">
        <f>IF(ISNA(MATCH($C4,FA,0)),0,N(#REF!)*N(INDEX(F_MODUL,MATCH($C4,FA,0))))</f>
        <v>#REF!</v>
      </c>
      <c r="AH4" s="7" t="e">
        <f>N(#REF!)*N($I4)</f>
        <v>#REF!</v>
      </c>
      <c r="AI4" s="7" t="e">
        <f t="shared" si="5"/>
        <v>#REF!</v>
      </c>
      <c r="AJ4" s="7">
        <f t="shared" si="6"/>
        <v>0</v>
      </c>
    </row>
    <row r="5" spans="1:36" x14ac:dyDescent="0.25">
      <c r="A5" s="4" t="str">
        <f t="shared" si="0"/>
        <v>ВРУ-1 (Ввод + Секция 1 + Секция 2)(ВРУ1-14-20А)(ВРУ1-41-00А) (260922 akram aulet)</v>
      </c>
      <c r="B5" s="4" t="s">
        <v>39</v>
      </c>
      <c r="C5" s="4" t="s">
        <v>492</v>
      </c>
      <c r="D5" s="4" t="s">
        <v>493</v>
      </c>
      <c r="E5" s="4" t="s">
        <v>114</v>
      </c>
      <c r="F5" s="4" t="s">
        <v>491</v>
      </c>
      <c r="G5" s="4" t="s">
        <v>38</v>
      </c>
      <c r="H5" s="5" t="e">
        <f>#REF!</f>
        <v>#REF!</v>
      </c>
      <c r="I5" s="6" t="e">
        <f t="shared" si="1"/>
        <v>#REF!</v>
      </c>
      <c r="J5" s="6" t="s">
        <v>40</v>
      </c>
      <c r="K5" s="6" t="s">
        <v>41</v>
      </c>
      <c r="L5" s="7" t="e">
        <f t="shared" si="2"/>
        <v>#REF!</v>
      </c>
      <c r="M5" s="7" t="s">
        <v>46</v>
      </c>
      <c r="N5" s="7" t="s">
        <v>43</v>
      </c>
      <c r="O5" s="7" t="str">
        <f>IF(OR($C5="",$C5="FID YOK"),"",IF(ISNUMBER(MATCH($C5,FA_ANA,0)),"",IF(COUNTIF($C$1:$C4,$C5)&gt;0,"",MAX($O$1:$O4)+1)))</f>
        <v/>
      </c>
      <c r="Q5" s="7"/>
      <c r="R5" s="7"/>
      <c r="S5" s="7"/>
      <c r="T5" s="7">
        <f>IF(ISNA(MATCH($C5,FA,0)),0,IF($J5="GIRIS",N(INDEX(F_INKOR,MATCH($C5,FA,0))),0))</f>
        <v>0</v>
      </c>
      <c r="U5" s="7"/>
      <c r="V5" s="7"/>
      <c r="W5" s="7"/>
      <c r="X5" s="7"/>
      <c r="Y5" s="7" t="e">
        <f>N(#REF!)*IF($E5="упак",MAX(1,IF(ISNA(MATCH($C5,FA,0)),1,N(INDEX(F_PAKET,MATCH($C5,FA,0))))),1)</f>
        <v>#REF!</v>
      </c>
      <c r="Z5" s="7" t="e">
        <f t="shared" si="3"/>
        <v>#REF!</v>
      </c>
      <c r="AA5" s="7" t="e">
        <f>IF(OR(ISNA(MATCH($C5,FA,0)),$J5="YEDEK",$J5="SARF"),0,N(#REF!)*N(INDEX(F_TEL,MATCH($C5,FA,0))))</f>
        <v>#REF!</v>
      </c>
      <c r="AB5" s="7" t="e">
        <f>IF(OR(ISNA(MATCH($C5,FA,0)),$J5="YEDEK",$J5="SARF"),0,N(#REF!)*N(INDEX(F_TELM,MATCH($C5,FA,0))))</f>
        <v>#REF!</v>
      </c>
      <c r="AC5" s="7" t="e">
        <f t="shared" si="4"/>
        <v>#REF!</v>
      </c>
      <c r="AD5" s="7">
        <f>IF(OR(ISNA(MATCH($C5,FA,0)),$J5&lt;&gt;"CIKIS"),0,N(INDEX(F_KK,MATCH($C5,FA,0))))</f>
        <v>0</v>
      </c>
      <c r="AE5" s="7">
        <f>IF($AD5=0,0,N(#REF!)*N(INDEX(F_KLN,MATCH($C5,FA,0))))</f>
        <v>0</v>
      </c>
      <c r="AF5" s="7">
        <f>IF($AD5=0,0,N(#REF!)*N(INDEX(F_KPE,MATCH($C5,FA,0))))</f>
        <v>0</v>
      </c>
      <c r="AG5" s="7" t="e">
        <f>IF(ISNA(MATCH($C5,FA,0)),0,N(#REF!)*N(INDEX(F_MODUL,MATCH($C5,FA,0))))</f>
        <v>#REF!</v>
      </c>
      <c r="AH5" s="7" t="e">
        <f>N(#REF!)*N($I5)</f>
        <v>#REF!</v>
      </c>
      <c r="AI5" s="7" t="e">
        <f t="shared" si="5"/>
        <v>#REF!</v>
      </c>
      <c r="AJ5" s="7">
        <f t="shared" si="6"/>
        <v>0</v>
      </c>
    </row>
    <row r="6" spans="1:36" x14ac:dyDescent="0.25">
      <c r="A6" s="4" t="str">
        <f t="shared" si="0"/>
        <v>ВРУ-1 (Ввод + Секция 1 + Секция 2)(ВРУ1-14-20А)(ВРУ1-41-00А) (260922 akram aulet)</v>
      </c>
      <c r="B6" s="4" t="s">
        <v>47</v>
      </c>
      <c r="C6" s="4" t="s">
        <v>440</v>
      </c>
      <c r="D6" s="4" t="s">
        <v>441</v>
      </c>
      <c r="E6" s="4" t="s">
        <v>114</v>
      </c>
      <c r="F6" s="4" t="s">
        <v>442</v>
      </c>
      <c r="G6" s="4" t="s">
        <v>38</v>
      </c>
      <c r="H6" s="5" t="e">
        <f>#REF!</f>
        <v>#REF!</v>
      </c>
      <c r="I6" s="6" t="e">
        <f t="shared" si="1"/>
        <v>#REF!</v>
      </c>
      <c r="J6" s="6" t="s">
        <v>48</v>
      </c>
      <c r="K6" s="6" t="s">
        <v>47</v>
      </c>
      <c r="L6" s="7" t="e">
        <f t="shared" si="2"/>
        <v>#REF!</v>
      </c>
      <c r="M6" s="7" t="s">
        <v>49</v>
      </c>
      <c r="N6" s="7" t="s">
        <v>50</v>
      </c>
      <c r="O6" s="7">
        <f>IF(OR($C6="",$C6="FID YOK"),"",IF(ISNUMBER(MATCH($C6,FA_ANA,0)),"",IF(COUNTIF($C$1:$C5,$C6)&gt;0,"",MAX($O$1:$O5)+1)))</f>
        <v>3</v>
      </c>
      <c r="P6" s="8">
        <v>1</v>
      </c>
      <c r="Q6" s="7" t="e">
        <f>IF(OR($P6="",$P6="G",ISNA(MATCH($C6,FA,0))),"",IF(N(INDEX(F_G,MATCH($C6,FA,0)))&gt;0,INDEX(F_G,MATCH($C6,FA,0)),IF(N(INDEX(F_MODUL,MATCH($C6,FA,0)))&gt;0,INDEX(F_MODUL,MATCH($C6,FA,0))*MODUL_MM,"")))</f>
        <v>#REF!</v>
      </c>
      <c r="R6" s="7" t="e">
        <f>IF(OR($P6="",$P6="G",ISNA(MATCH($C6,FA,0))),"",IF(N(INDEX(F_Y,MATCH($C6,FA,0)))&gt;0,INDEX(F_Y,MATCH($C6,FA,0)),""))</f>
        <v>#REF!</v>
      </c>
      <c r="S6" s="7" t="e">
        <f>IF(OR($P6="",$P6="G",ISNA(MATCH($C6,FA,0))),"",IF(N(INDEX(F_D,MATCH($C6,FA,0)))&gt;0,INDEX(F_D,MATCH($C6,FA,0)),""))</f>
        <v>#REF!</v>
      </c>
      <c r="T6" s="7" t="e">
        <f>IF(ISNA(MATCH($C6,FA,0)),0,IF($J6="GIRIS",N(INDEX(F_INKOR,MATCH($C6,FA,0))),0))</f>
        <v>#REF!</v>
      </c>
      <c r="U6" s="7" t="e">
        <f t="shared" ref="U6:U17" si="7">IF(ISNA(MATCH($B6,TIP_AD,0)),"",INDEX(TIP_KAT,MATCH($B6,TIP_AD,0))&amp;"")</f>
        <v>#REF!</v>
      </c>
      <c r="V6" s="7" t="e">
        <f t="shared" ref="V6:V17" si="8">IF(NOT(ISNUMBER($P6)),"",IF($Z6=0,0,IF(ISNA(MATCH($Z6,BUK_KESIT,0)),"",IF(INDEX(BUK_ALAN,MATCH($Z6,BUK_KESIT,0))&amp;""="","",INDEX(BUK_ALAN,MATCH($Z6,BUK_KESIT,0))))))</f>
        <v>#REF!</v>
      </c>
      <c r="W6" s="7" t="e">
        <f>IF(OR(NOT(ISNUMBER($P6)),$Q6=""),"",N(#REF!)*($Q6+IF(ISNA(MATCH($B6,TIP_AD,0)),0,N(INDEX(TIP_BOSLUK,MATCH($B6,TIP_AD,0))))))</f>
        <v>#REF!</v>
      </c>
      <c r="X6" s="7" t="e">
        <f>IF(ISNUMBER($P6),($Q6="")+($R6="")+($V6="")+IF(AND($U6="KONTAKTOR",NOT(ISNA(MATCH($B6,TIP_AD,0)))),IF(INDEX(TIP_BOSLUK,MATCH($B6,TIP_AD,0))&amp;""="",1,0),0),IF($P6="K",IF($S6="",1,0),0))</f>
        <v>#REF!</v>
      </c>
      <c r="Y6" s="7" t="e">
        <f>N(#REF!)*IF($E6="упак",MAX(1,IF(ISNA(MATCH($C6,FA,0)),1,N(INDEX(F_PAKET,MATCH($C6,FA,0))))),1)</f>
        <v>#REF!</v>
      </c>
      <c r="Z6" s="7" t="e">
        <f t="shared" si="3"/>
        <v>#REF!</v>
      </c>
      <c r="AA6" s="7" t="e">
        <f>IF(OR(ISNA(MATCH($C6,FA,0)),$J6="YEDEK",$J6="SARF"),0,N(#REF!)*N(INDEX(F_TEL,MATCH($C6,FA,0))))</f>
        <v>#REF!</v>
      </c>
      <c r="AB6" s="7" t="e">
        <f>IF(OR(ISNA(MATCH($C6,FA,0)),$J6="YEDEK",$J6="SARF"),0,N(#REF!)*N(INDEX(F_TELM,MATCH($C6,FA,0))))</f>
        <v>#REF!</v>
      </c>
      <c r="AC6" s="7" t="e">
        <f t="shared" si="4"/>
        <v>#REF!</v>
      </c>
      <c r="AD6" s="7">
        <f>IF(OR(ISNA(MATCH($C6,FA,0)),$J6&lt;&gt;"CIKIS"),0,N(INDEX(F_KK,MATCH($C6,FA,0))))</f>
        <v>0</v>
      </c>
      <c r="AE6" s="7">
        <f>IF($AD6=0,0,N(#REF!)*N(INDEX(F_KLN,MATCH($C6,FA,0))))</f>
        <v>0</v>
      </c>
      <c r="AF6" s="7">
        <f>IF($AD6=0,0,N(#REF!)*N(INDEX(F_KPE,MATCH($C6,FA,0))))</f>
        <v>0</v>
      </c>
      <c r="AG6" s="7" t="e">
        <f>IF(ISNA(MATCH($C6,FA,0)),0,N(#REF!)*N(INDEX(F_MODUL,MATCH($C6,FA,0))))</f>
        <v>#REF!</v>
      </c>
      <c r="AH6" s="7" t="e">
        <f>N(#REF!)*N($I6)</f>
        <v>#REF!</v>
      </c>
      <c r="AI6" s="7" t="e">
        <f t="shared" si="5"/>
        <v>#REF!</v>
      </c>
      <c r="AJ6" s="7">
        <f t="shared" si="6"/>
        <v>0</v>
      </c>
    </row>
    <row r="7" spans="1:36" x14ac:dyDescent="0.25">
      <c r="A7" s="4" t="str">
        <f t="shared" si="0"/>
        <v>ВРУ-1 (Ввод + Секция 1 + Секция 2)(ВРУ1-14-20А)(ВРУ1-41-00А) (260922 akram aulet)</v>
      </c>
      <c r="B7" s="4" t="s">
        <v>51</v>
      </c>
      <c r="C7" s="4" t="s">
        <v>434</v>
      </c>
      <c r="D7" s="4" t="s">
        <v>435</v>
      </c>
      <c r="E7" s="4" t="s">
        <v>114</v>
      </c>
      <c r="F7" s="4" t="s">
        <v>377</v>
      </c>
      <c r="G7" s="4" t="s">
        <v>38</v>
      </c>
      <c r="H7" s="5" t="e">
        <f>#REF!</f>
        <v>#REF!</v>
      </c>
      <c r="I7" s="6" t="e">
        <f t="shared" si="1"/>
        <v>#REF!</v>
      </c>
      <c r="J7" s="6" t="s">
        <v>52</v>
      </c>
      <c r="K7" s="6" t="s">
        <v>51</v>
      </c>
      <c r="L7" s="7" t="e">
        <f t="shared" si="2"/>
        <v>#REF!</v>
      </c>
      <c r="M7" s="7" t="s">
        <v>53</v>
      </c>
      <c r="N7" s="7" t="s">
        <v>54</v>
      </c>
      <c r="O7" s="7">
        <f>IF(OR($C7="",$C7="FID YOK"),"",IF(ISNUMBER(MATCH($C7,FA_ANA,0)),"",IF(COUNTIF($C$1:$C6,$C7)&gt;0,"",MAX($O$1:$O6)+1)))</f>
        <v>4</v>
      </c>
      <c r="P7" s="8">
        <v>1</v>
      </c>
      <c r="Q7" s="7" t="e">
        <f>IF(OR($P7="",$P7="G",ISNA(MATCH($C7,FA,0))),"",IF(N(INDEX(F_G,MATCH($C7,FA,0)))&gt;0,INDEX(F_G,MATCH($C7,FA,0)),IF(N(INDEX(F_MODUL,MATCH($C7,FA,0)))&gt;0,INDEX(F_MODUL,MATCH($C7,FA,0))*MODUL_MM,"")))</f>
        <v>#REF!</v>
      </c>
      <c r="R7" s="7" t="e">
        <f>IF(OR($P7="",$P7="G",ISNA(MATCH($C7,FA,0))),"",IF(N(INDEX(F_Y,MATCH($C7,FA,0)))&gt;0,INDEX(F_Y,MATCH($C7,FA,0)),""))</f>
        <v>#REF!</v>
      </c>
      <c r="S7" s="7" t="e">
        <f>IF(OR($P7="",$P7="G",ISNA(MATCH($C7,FA,0))),"",IF(N(INDEX(F_D,MATCH($C7,FA,0)))&gt;0,INDEX(F_D,MATCH($C7,FA,0)),""))</f>
        <v>#REF!</v>
      </c>
      <c r="T7" s="7">
        <f>IF(ISNA(MATCH($C7,FA,0)),0,IF($J7="GIRIS",N(INDEX(F_INKOR,MATCH($C7,FA,0))),0))</f>
        <v>0</v>
      </c>
      <c r="U7" s="7" t="e">
        <f t="shared" si="7"/>
        <v>#REF!</v>
      </c>
      <c r="V7" s="7" t="e">
        <f t="shared" si="8"/>
        <v>#REF!</v>
      </c>
      <c r="W7" s="7" t="e">
        <f>IF(OR(NOT(ISNUMBER($P7)),$Q7=""),"",N(#REF!)*($Q7+IF(ISNA(MATCH($B7,TIP_AD,0)),0,N(INDEX(TIP_BOSLUK,MATCH($B7,TIP_AD,0))))))</f>
        <v>#REF!</v>
      </c>
      <c r="X7" s="7" t="e">
        <f>IF(ISNUMBER($P7),($Q7="")+($R7="")+($V7="")+IF(AND($U7="KONTAKTOR",NOT(ISNA(MATCH($B7,TIP_AD,0)))),IF(INDEX(TIP_BOSLUK,MATCH($B7,TIP_AD,0))&amp;""="",1,0),0),IF($P7="K",IF($S7="",1,0),0))</f>
        <v>#REF!</v>
      </c>
      <c r="Y7" s="7" t="e">
        <f>N(#REF!)*IF($E7="упак",MAX(1,IF(ISNA(MATCH($C7,FA,0)),1,N(INDEX(F_PAKET,MATCH($C7,FA,0))))),1)</f>
        <v>#REF!</v>
      </c>
      <c r="Z7" s="7" t="e">
        <f t="shared" si="3"/>
        <v>#REF!</v>
      </c>
      <c r="AA7" s="7" t="e">
        <f>IF(OR(ISNA(MATCH($C7,FA,0)),$J7="YEDEK",$J7="SARF"),0,N(#REF!)*N(INDEX(F_TEL,MATCH($C7,FA,0))))</f>
        <v>#REF!</v>
      </c>
      <c r="AB7" s="7" t="e">
        <f>IF(OR(ISNA(MATCH($C7,FA,0)),$J7="YEDEK",$J7="SARF"),0,N(#REF!)*N(INDEX(F_TELM,MATCH($C7,FA,0))))</f>
        <v>#REF!</v>
      </c>
      <c r="AC7" s="7" t="e">
        <f t="shared" si="4"/>
        <v>#REF!</v>
      </c>
      <c r="AD7" s="7" t="e">
        <f>IF(OR(ISNA(MATCH($C7,FA,0)),$J7&lt;&gt;"CIKIS"),0,N(INDEX(F_KK,MATCH($C7,FA,0))))</f>
        <v>#REF!</v>
      </c>
      <c r="AE7" s="7" t="e">
        <f>IF($AD7=0,0,N(#REF!)*N(INDEX(F_KLN,MATCH($C7,FA,0))))</f>
        <v>#REF!</v>
      </c>
      <c r="AF7" s="7" t="e">
        <f>IF($AD7=0,0,N(#REF!)*N(INDEX(F_KPE,MATCH($C7,FA,0))))</f>
        <v>#REF!</v>
      </c>
      <c r="AG7" s="7" t="e">
        <f>IF(ISNA(MATCH($C7,FA,0)),0,N(#REF!)*N(INDEX(F_MODUL,MATCH($C7,FA,0))))</f>
        <v>#REF!</v>
      </c>
      <c r="AH7" s="7" t="e">
        <f>N(#REF!)*N($I7)</f>
        <v>#REF!</v>
      </c>
      <c r="AI7" s="7" t="e">
        <f t="shared" si="5"/>
        <v>#REF!</v>
      </c>
      <c r="AJ7" s="7">
        <f t="shared" si="6"/>
        <v>0</v>
      </c>
    </row>
    <row r="8" spans="1:36" x14ac:dyDescent="0.25">
      <c r="A8" s="4" t="str">
        <f t="shared" si="0"/>
        <v>ВРУ-1 (Ввод + Секция 1 + Секция 2)(ВРУ1-14-20А)(ВРУ1-41-00А) (260922 akram aulet)</v>
      </c>
      <c r="B8" s="4" t="s">
        <v>51</v>
      </c>
      <c r="C8" s="4" t="s">
        <v>426</v>
      </c>
      <c r="D8" s="4" t="s">
        <v>427</v>
      </c>
      <c r="E8" s="4" t="s">
        <v>114</v>
      </c>
      <c r="F8" s="4" t="s">
        <v>377</v>
      </c>
      <c r="G8" s="4" t="s">
        <v>38</v>
      </c>
      <c r="H8" s="5" t="e">
        <f>#REF!</f>
        <v>#REF!</v>
      </c>
      <c r="I8" s="6" t="e">
        <f t="shared" si="1"/>
        <v>#REF!</v>
      </c>
      <c r="J8" s="6" t="s">
        <v>52</v>
      </c>
      <c r="K8" s="6" t="s">
        <v>51</v>
      </c>
      <c r="L8" s="7" t="e">
        <f t="shared" si="2"/>
        <v>#REF!</v>
      </c>
      <c r="M8" s="7" t="s">
        <v>55</v>
      </c>
      <c r="N8" s="7" t="s">
        <v>56</v>
      </c>
      <c r="O8" s="7">
        <f>IF(OR($C8="",$C8="FID YOK"),"",IF(ISNUMBER(MATCH($C8,FA_ANA,0)),"",IF(COUNTIF($C$1:$C7,$C8)&gt;0,"",MAX($O$1:$O7)+1)))</f>
        <v>5</v>
      </c>
      <c r="P8" s="8">
        <v>1</v>
      </c>
      <c r="Q8" s="7" t="e">
        <f>IF(OR($P8="",$P8="G",ISNA(MATCH($C8,FA,0))),"",IF(N(INDEX(F_G,MATCH($C8,FA,0)))&gt;0,INDEX(F_G,MATCH($C8,FA,0)),IF(N(INDEX(F_MODUL,MATCH($C8,FA,0)))&gt;0,INDEX(F_MODUL,MATCH($C8,FA,0))*MODUL_MM,"")))</f>
        <v>#REF!</v>
      </c>
      <c r="R8" s="7" t="e">
        <f>IF(OR($P8="",$P8="G",ISNA(MATCH($C8,FA,0))),"",IF(N(INDEX(F_Y,MATCH($C8,FA,0)))&gt;0,INDEX(F_Y,MATCH($C8,FA,0)),""))</f>
        <v>#REF!</v>
      </c>
      <c r="S8" s="7" t="e">
        <f>IF(OR($P8="",$P8="G",ISNA(MATCH($C8,FA,0))),"",IF(N(INDEX(F_D,MATCH($C8,FA,0)))&gt;0,INDEX(F_D,MATCH($C8,FA,0)),""))</f>
        <v>#REF!</v>
      </c>
      <c r="T8" s="7">
        <f>IF(ISNA(MATCH($C8,FA,0)),0,IF($J8="GIRIS",N(INDEX(F_INKOR,MATCH($C8,FA,0))),0))</f>
        <v>0</v>
      </c>
      <c r="U8" s="7" t="e">
        <f t="shared" si="7"/>
        <v>#REF!</v>
      </c>
      <c r="V8" s="7" t="e">
        <f t="shared" si="8"/>
        <v>#REF!</v>
      </c>
      <c r="W8" s="7" t="e">
        <f>IF(OR(NOT(ISNUMBER($P8)),$Q8=""),"",N(#REF!)*($Q8+IF(ISNA(MATCH($B8,TIP_AD,0)),0,N(INDEX(TIP_BOSLUK,MATCH($B8,TIP_AD,0))))))</f>
        <v>#REF!</v>
      </c>
      <c r="X8" s="7" t="e">
        <f>IF(ISNUMBER($P8),($Q8="")+($R8="")+($V8="")+IF(AND($U8="KONTAKTOR",NOT(ISNA(MATCH($B8,TIP_AD,0)))),IF(INDEX(TIP_BOSLUK,MATCH($B8,TIP_AD,0))&amp;""="",1,0),0),IF($P8="K",IF($S8="",1,0),0))</f>
        <v>#REF!</v>
      </c>
      <c r="Y8" s="7" t="e">
        <f>N(#REF!)*IF($E8="упак",MAX(1,IF(ISNA(MATCH($C8,FA,0)),1,N(INDEX(F_PAKET,MATCH($C8,FA,0))))),1)</f>
        <v>#REF!</v>
      </c>
      <c r="Z8" s="7" t="e">
        <f t="shared" si="3"/>
        <v>#REF!</v>
      </c>
      <c r="AA8" s="7" t="e">
        <f>IF(OR(ISNA(MATCH($C8,FA,0)),$J8="YEDEK",$J8="SARF"),0,N(#REF!)*N(INDEX(F_TEL,MATCH($C8,FA,0))))</f>
        <v>#REF!</v>
      </c>
      <c r="AB8" s="7" t="e">
        <f>IF(OR(ISNA(MATCH($C8,FA,0)),$J8="YEDEK",$J8="SARF"),0,N(#REF!)*N(INDEX(F_TELM,MATCH($C8,FA,0))))</f>
        <v>#REF!</v>
      </c>
      <c r="AC8" s="7" t="e">
        <f t="shared" si="4"/>
        <v>#REF!</v>
      </c>
      <c r="AD8" s="7" t="e">
        <f>IF(OR(ISNA(MATCH($C8,FA,0)),$J8&lt;&gt;"CIKIS"),0,N(INDEX(F_KK,MATCH($C8,FA,0))))</f>
        <v>#REF!</v>
      </c>
      <c r="AE8" s="7" t="e">
        <f>IF($AD8=0,0,N(#REF!)*N(INDEX(F_KLN,MATCH($C8,FA,0))))</f>
        <v>#REF!</v>
      </c>
      <c r="AF8" s="7" t="e">
        <f>IF($AD8=0,0,N(#REF!)*N(INDEX(F_KPE,MATCH($C8,FA,0))))</f>
        <v>#REF!</v>
      </c>
      <c r="AG8" s="7" t="e">
        <f>IF(ISNA(MATCH($C8,FA,0)),0,N(#REF!)*N(INDEX(F_MODUL,MATCH($C8,FA,0))))</f>
        <v>#REF!</v>
      </c>
      <c r="AH8" s="7" t="e">
        <f>N(#REF!)*N($I8)</f>
        <v>#REF!</v>
      </c>
      <c r="AI8" s="7" t="e">
        <f t="shared" si="5"/>
        <v>#REF!</v>
      </c>
      <c r="AJ8" s="7">
        <f t="shared" si="6"/>
        <v>0</v>
      </c>
    </row>
    <row r="9" spans="1:36" x14ac:dyDescent="0.25">
      <c r="A9" s="4" t="str">
        <f t="shared" si="0"/>
        <v>ВРУ-1 (Ввод + Секция 1 + Секция 2)(ВРУ1-14-20А)(ВРУ1-41-00А) (260922 akram aulet)</v>
      </c>
      <c r="B9" s="4" t="s">
        <v>51</v>
      </c>
      <c r="C9" s="4" t="s">
        <v>432</v>
      </c>
      <c r="D9" s="4" t="s">
        <v>433</v>
      </c>
      <c r="E9" s="4" t="s">
        <v>114</v>
      </c>
      <c r="F9" s="4" t="s">
        <v>377</v>
      </c>
      <c r="G9" s="4" t="s">
        <v>38</v>
      </c>
      <c r="H9" s="5" t="e">
        <f>#REF!</f>
        <v>#REF!</v>
      </c>
      <c r="I9" s="6" t="e">
        <f t="shared" si="1"/>
        <v>#REF!</v>
      </c>
      <c r="J9" s="6" t="s">
        <v>52</v>
      </c>
      <c r="K9" s="6" t="s">
        <v>51</v>
      </c>
      <c r="L9" s="7" t="e">
        <f t="shared" si="2"/>
        <v>#REF!</v>
      </c>
      <c r="M9" s="7" t="s">
        <v>57</v>
      </c>
      <c r="N9" s="7" t="s">
        <v>58</v>
      </c>
      <c r="O9" s="7">
        <f>IF(OR($C9="",$C9="FID YOK"),"",IF(ISNUMBER(MATCH($C9,FA_ANA,0)),"",IF(COUNTIF($C$1:$C8,$C9)&gt;0,"",MAX($O$1:$O8)+1)))</f>
        <v>6</v>
      </c>
      <c r="P9" s="8">
        <v>1</v>
      </c>
      <c r="Q9" s="7" t="e">
        <f>IF(OR($P9="",$P9="G",ISNA(MATCH($C9,FA,0))),"",IF(N(INDEX(F_G,MATCH($C9,FA,0)))&gt;0,INDEX(F_G,MATCH($C9,FA,0)),IF(N(INDEX(F_MODUL,MATCH($C9,FA,0)))&gt;0,INDEX(F_MODUL,MATCH($C9,FA,0))*MODUL_MM,"")))</f>
        <v>#REF!</v>
      </c>
      <c r="R9" s="7" t="e">
        <f>IF(OR($P9="",$P9="G",ISNA(MATCH($C9,FA,0))),"",IF(N(INDEX(F_Y,MATCH($C9,FA,0)))&gt;0,INDEX(F_Y,MATCH($C9,FA,0)),""))</f>
        <v>#REF!</v>
      </c>
      <c r="S9" s="7" t="e">
        <f>IF(OR($P9="",$P9="G",ISNA(MATCH($C9,FA,0))),"",IF(N(INDEX(F_D,MATCH($C9,FA,0)))&gt;0,INDEX(F_D,MATCH($C9,FA,0)),""))</f>
        <v>#REF!</v>
      </c>
      <c r="T9" s="7">
        <f>IF(ISNA(MATCH($C9,FA,0)),0,IF($J9="GIRIS",N(INDEX(F_INKOR,MATCH($C9,FA,0))),0))</f>
        <v>0</v>
      </c>
      <c r="U9" s="7" t="e">
        <f t="shared" si="7"/>
        <v>#REF!</v>
      </c>
      <c r="V9" s="7" t="e">
        <f t="shared" si="8"/>
        <v>#REF!</v>
      </c>
      <c r="W9" s="7" t="e">
        <f>IF(OR(NOT(ISNUMBER($P9)),$Q9=""),"",N(#REF!)*($Q9+IF(ISNA(MATCH($B9,TIP_AD,0)),0,N(INDEX(TIP_BOSLUK,MATCH($B9,TIP_AD,0))))))</f>
        <v>#REF!</v>
      </c>
      <c r="X9" s="7" t="e">
        <f>IF(ISNUMBER($P9),($Q9="")+($R9="")+($V9="")+IF(AND($U9="KONTAKTOR",NOT(ISNA(MATCH($B9,TIP_AD,0)))),IF(INDEX(TIP_BOSLUK,MATCH($B9,TIP_AD,0))&amp;""="",1,0),0),IF($P9="K",IF($S9="",1,0),0))</f>
        <v>#REF!</v>
      </c>
      <c r="Y9" s="7" t="e">
        <f>N(#REF!)*IF($E9="упак",MAX(1,IF(ISNA(MATCH($C9,FA,0)),1,N(INDEX(F_PAKET,MATCH($C9,FA,0))))),1)</f>
        <v>#REF!</v>
      </c>
      <c r="Z9" s="7" t="e">
        <f t="shared" si="3"/>
        <v>#REF!</v>
      </c>
      <c r="AA9" s="7" t="e">
        <f>IF(OR(ISNA(MATCH($C9,FA,0)),$J9="YEDEK",$J9="SARF"),0,N(#REF!)*N(INDEX(F_TEL,MATCH($C9,FA,0))))</f>
        <v>#REF!</v>
      </c>
      <c r="AB9" s="7" t="e">
        <f>IF(OR(ISNA(MATCH($C9,FA,0)),$J9="YEDEK",$J9="SARF"),0,N(#REF!)*N(INDEX(F_TELM,MATCH($C9,FA,0))))</f>
        <v>#REF!</v>
      </c>
      <c r="AC9" s="7" t="e">
        <f t="shared" si="4"/>
        <v>#REF!</v>
      </c>
      <c r="AD9" s="7" t="e">
        <f>IF(OR(ISNA(MATCH($C9,FA,0)),$J9&lt;&gt;"CIKIS"),0,N(INDEX(F_KK,MATCH($C9,FA,0))))</f>
        <v>#REF!</v>
      </c>
      <c r="AE9" s="7" t="e">
        <f>IF($AD9=0,0,N(#REF!)*N(INDEX(F_KLN,MATCH($C9,FA,0))))</f>
        <v>#REF!</v>
      </c>
      <c r="AF9" s="7" t="e">
        <f>IF($AD9=0,0,N(#REF!)*N(INDEX(F_KPE,MATCH($C9,FA,0))))</f>
        <v>#REF!</v>
      </c>
      <c r="AG9" s="7" t="e">
        <f>IF(ISNA(MATCH($C9,FA,0)),0,N(#REF!)*N(INDEX(F_MODUL,MATCH($C9,FA,0))))</f>
        <v>#REF!</v>
      </c>
      <c r="AH9" s="7" t="e">
        <f>N(#REF!)*N($I9)</f>
        <v>#REF!</v>
      </c>
      <c r="AI9" s="7" t="e">
        <f t="shared" si="5"/>
        <v>#REF!</v>
      </c>
      <c r="AJ9" s="7">
        <f t="shared" si="6"/>
        <v>0</v>
      </c>
    </row>
    <row r="10" spans="1:36" x14ac:dyDescent="0.25">
      <c r="A10" s="4" t="str">
        <f t="shared" si="0"/>
        <v>ВРУ-1 (Ввод + Секция 1 + Секция 2)(ВРУ1-14-20А)(ВРУ1-41-00А) (260922 akram aulet)</v>
      </c>
      <c r="B10" s="4" t="s">
        <v>51</v>
      </c>
      <c r="C10" s="4" t="s">
        <v>420</v>
      </c>
      <c r="D10" s="4" t="s">
        <v>421</v>
      </c>
      <c r="E10" s="4" t="s">
        <v>114</v>
      </c>
      <c r="F10" s="4" t="s">
        <v>377</v>
      </c>
      <c r="G10" s="4" t="s">
        <v>38</v>
      </c>
      <c r="H10" s="5" t="e">
        <f>#REF!</f>
        <v>#REF!</v>
      </c>
      <c r="I10" s="6" t="e">
        <f t="shared" si="1"/>
        <v>#REF!</v>
      </c>
      <c r="J10" s="6" t="s">
        <v>52</v>
      </c>
      <c r="K10" s="6" t="s">
        <v>51</v>
      </c>
      <c r="L10" s="7" t="e">
        <f t="shared" si="2"/>
        <v>#REF!</v>
      </c>
      <c r="M10" s="7" t="s">
        <v>59</v>
      </c>
      <c r="N10" s="7" t="s">
        <v>60</v>
      </c>
      <c r="O10" s="7">
        <f>IF(OR($C10="",$C10="FID YOK"),"",IF(ISNUMBER(MATCH($C10,FA_ANA,0)),"",IF(COUNTIF($C$1:$C9,$C10)&gt;0,"",MAX($O$1:$O9)+1)))</f>
        <v>7</v>
      </c>
      <c r="P10" s="8">
        <v>1</v>
      </c>
      <c r="Q10" s="7" t="e">
        <f>IF(OR($P10="",$P10="G",ISNA(MATCH($C10,FA,0))),"",IF(N(INDEX(F_G,MATCH($C10,FA,0)))&gt;0,INDEX(F_G,MATCH($C10,FA,0)),IF(N(INDEX(F_MODUL,MATCH($C10,FA,0)))&gt;0,INDEX(F_MODUL,MATCH($C10,FA,0))*MODUL_MM,"")))</f>
        <v>#REF!</v>
      </c>
      <c r="R10" s="7" t="e">
        <f>IF(OR($P10="",$P10="G",ISNA(MATCH($C10,FA,0))),"",IF(N(INDEX(F_Y,MATCH($C10,FA,0)))&gt;0,INDEX(F_Y,MATCH($C10,FA,0)),""))</f>
        <v>#REF!</v>
      </c>
      <c r="S10" s="7" t="e">
        <f>IF(OR($P10="",$P10="G",ISNA(MATCH($C10,FA,0))),"",IF(N(INDEX(F_D,MATCH($C10,FA,0)))&gt;0,INDEX(F_D,MATCH($C10,FA,0)),""))</f>
        <v>#REF!</v>
      </c>
      <c r="T10" s="7">
        <f>IF(ISNA(MATCH($C10,FA,0)),0,IF($J10="GIRIS",N(INDEX(F_INKOR,MATCH($C10,FA,0))),0))</f>
        <v>0</v>
      </c>
      <c r="U10" s="7" t="e">
        <f t="shared" si="7"/>
        <v>#REF!</v>
      </c>
      <c r="V10" s="7" t="e">
        <f t="shared" si="8"/>
        <v>#REF!</v>
      </c>
      <c r="W10" s="7" t="e">
        <f>IF(OR(NOT(ISNUMBER($P10)),$Q10=""),"",N(#REF!)*($Q10+IF(ISNA(MATCH($B10,TIP_AD,0)),0,N(INDEX(TIP_BOSLUK,MATCH($B10,TIP_AD,0))))))</f>
        <v>#REF!</v>
      </c>
      <c r="X10" s="7" t="e">
        <f>IF(ISNUMBER($P10),($Q10="")+($R10="")+($V10="")+IF(AND($U10="KONTAKTOR",NOT(ISNA(MATCH($B10,TIP_AD,0)))),IF(INDEX(TIP_BOSLUK,MATCH($B10,TIP_AD,0))&amp;""="",1,0),0),IF($P10="K",IF($S10="",1,0),0))</f>
        <v>#REF!</v>
      </c>
      <c r="Y10" s="7" t="e">
        <f>N(#REF!)*IF($E10="упак",MAX(1,IF(ISNA(MATCH($C10,FA,0)),1,N(INDEX(F_PAKET,MATCH($C10,FA,0))))),1)</f>
        <v>#REF!</v>
      </c>
      <c r="Z10" s="7" t="e">
        <f t="shared" si="3"/>
        <v>#REF!</v>
      </c>
      <c r="AA10" s="7" t="e">
        <f>IF(OR(ISNA(MATCH($C10,FA,0)),$J10="YEDEK",$J10="SARF"),0,N(#REF!)*N(INDEX(F_TEL,MATCH($C10,FA,0))))</f>
        <v>#REF!</v>
      </c>
      <c r="AB10" s="7" t="e">
        <f>IF(OR(ISNA(MATCH($C10,FA,0)),$J10="YEDEK",$J10="SARF"),0,N(#REF!)*N(INDEX(F_TELM,MATCH($C10,FA,0))))</f>
        <v>#REF!</v>
      </c>
      <c r="AC10" s="7" t="e">
        <f t="shared" si="4"/>
        <v>#REF!</v>
      </c>
      <c r="AD10" s="7" t="e">
        <f>IF(OR(ISNA(MATCH($C10,FA,0)),$J10&lt;&gt;"CIKIS"),0,N(INDEX(F_KK,MATCH($C10,FA,0))))</f>
        <v>#REF!</v>
      </c>
      <c r="AE10" s="7" t="e">
        <f>IF($AD10=0,0,N(#REF!)*N(INDEX(F_KLN,MATCH($C10,FA,0))))</f>
        <v>#REF!</v>
      </c>
      <c r="AF10" s="7" t="e">
        <f>IF($AD10=0,0,N(#REF!)*N(INDEX(F_KPE,MATCH($C10,FA,0))))</f>
        <v>#REF!</v>
      </c>
      <c r="AG10" s="7" t="e">
        <f>IF(ISNA(MATCH($C10,FA,0)),0,N(#REF!)*N(INDEX(F_MODUL,MATCH($C10,FA,0))))</f>
        <v>#REF!</v>
      </c>
      <c r="AH10" s="7" t="e">
        <f>N(#REF!)*N($I10)</f>
        <v>#REF!</v>
      </c>
      <c r="AI10" s="7" t="e">
        <f t="shared" si="5"/>
        <v>#REF!</v>
      </c>
      <c r="AJ10" s="7">
        <f t="shared" si="6"/>
        <v>0</v>
      </c>
    </row>
    <row r="11" spans="1:36" x14ac:dyDescent="0.25">
      <c r="A11" s="4" t="str">
        <f t="shared" si="0"/>
        <v>ВРУ-1 (Ввод + Секция 1 + Секция 2)(ВРУ1-14-20А)(ВРУ1-41-00А) (260922 akram aulet)</v>
      </c>
      <c r="B11" s="4" t="s">
        <v>61</v>
      </c>
      <c r="C11" s="4" t="s">
        <v>606</v>
      </c>
      <c r="D11" s="4" t="s">
        <v>607</v>
      </c>
      <c r="E11" s="4" t="s">
        <v>114</v>
      </c>
      <c r="F11" s="4" t="s">
        <v>479</v>
      </c>
      <c r="G11" s="4" t="s">
        <v>38</v>
      </c>
      <c r="H11" s="5" t="e">
        <f>#REF!</f>
        <v>#REF!</v>
      </c>
      <c r="I11" s="6" t="e">
        <f t="shared" si="1"/>
        <v>#REF!</v>
      </c>
      <c r="J11" s="6" t="s">
        <v>62</v>
      </c>
      <c r="K11" s="6" t="s">
        <v>61</v>
      </c>
      <c r="L11" s="7" t="e">
        <f t="shared" si="2"/>
        <v>#REF!</v>
      </c>
      <c r="M11" s="7" t="s">
        <v>63</v>
      </c>
      <c r="N11" s="7" t="s">
        <v>64</v>
      </c>
      <c r="O11" s="7">
        <f>IF(OR($C11="",$C11="FID YOK"),"",IF(ISNUMBER(MATCH($C11,FA_ANA,0)),"",IF(COUNTIF($C$1:$C10,$C11)&gt;0,"",MAX($O$1:$O10)+1)))</f>
        <v>8</v>
      </c>
      <c r="P11" s="8">
        <v>4</v>
      </c>
      <c r="Q11" s="7" t="e">
        <f>IF(OR($P11="",$P11="G",ISNA(MATCH($C11,FA,0))),"",IF(N(INDEX(F_G,MATCH($C11,FA,0)))&gt;0,INDEX(F_G,MATCH($C11,FA,0)),IF(N(INDEX(F_MODUL,MATCH($C11,FA,0)))&gt;0,INDEX(F_MODUL,MATCH($C11,FA,0))*MODUL_MM,"")))</f>
        <v>#REF!</v>
      </c>
      <c r="R11" s="7" t="e">
        <f>IF(OR($P11="",$P11="G",ISNA(MATCH($C11,FA,0))),"",IF(N(INDEX(F_Y,MATCH($C11,FA,0)))&gt;0,INDEX(F_Y,MATCH($C11,FA,0)),""))</f>
        <v>#REF!</v>
      </c>
      <c r="S11" s="7" t="e">
        <f>IF(OR($P11="",$P11="G",ISNA(MATCH($C11,FA,0))),"",IF(N(INDEX(F_D,MATCH($C11,FA,0)))&gt;0,INDEX(F_D,MATCH($C11,FA,0)),""))</f>
        <v>#REF!</v>
      </c>
      <c r="T11" s="7">
        <f>IF(ISNA(MATCH($C11,FA,0)),0,IF($J11="GIRIS",N(INDEX(F_INKOR,MATCH($C11,FA,0))),0))</f>
        <v>0</v>
      </c>
      <c r="U11" s="7" t="e">
        <f t="shared" si="7"/>
        <v>#REF!</v>
      </c>
      <c r="V11" s="7" t="e">
        <f t="shared" si="8"/>
        <v>#REF!</v>
      </c>
      <c r="W11" s="7" t="e">
        <f>IF(OR(NOT(ISNUMBER($P11)),$Q11=""),"",N(#REF!)*($Q11+IF(ISNA(MATCH($B11,TIP_AD,0)),0,N(INDEX(TIP_BOSLUK,MATCH($B11,TIP_AD,0))))))</f>
        <v>#REF!</v>
      </c>
      <c r="X11" s="7" t="e">
        <f>IF(ISNUMBER($P11),($Q11="")+($R11="")+($V11="")+IF(AND($U11="KONTAKTOR",NOT(ISNA(MATCH($B11,TIP_AD,0)))),IF(INDEX(TIP_BOSLUK,MATCH($B11,TIP_AD,0))&amp;""="",1,0),0),IF($P11="K",IF($S11="",1,0),0))</f>
        <v>#REF!</v>
      </c>
      <c r="Y11" s="7" t="e">
        <f>N(#REF!)*IF($E11="упак",MAX(1,IF(ISNA(MATCH($C11,FA,0)),1,N(INDEX(F_PAKET,MATCH($C11,FA,0))))),1)</f>
        <v>#REF!</v>
      </c>
      <c r="Z11" s="7" t="e">
        <f t="shared" si="3"/>
        <v>#REF!</v>
      </c>
      <c r="AA11" s="7" t="e">
        <f>IF(OR(ISNA(MATCH($C11,FA,0)),$J11="YEDEK",$J11="SARF"),0,N(#REF!)*N(INDEX(F_TEL,MATCH($C11,FA,0))))</f>
        <v>#REF!</v>
      </c>
      <c r="AB11" s="7" t="e">
        <f>IF(OR(ISNA(MATCH($C11,FA,0)),$J11="YEDEK",$J11="SARF"),0,N(#REF!)*N(INDEX(F_TELM,MATCH($C11,FA,0))))</f>
        <v>#REF!</v>
      </c>
      <c r="AC11" s="7" t="e">
        <f t="shared" si="4"/>
        <v>#REF!</v>
      </c>
      <c r="AD11" s="7">
        <f>IF(OR(ISNA(MATCH($C11,FA,0)),$J11&lt;&gt;"CIKIS"),0,N(INDEX(F_KK,MATCH($C11,FA,0))))</f>
        <v>0</v>
      </c>
      <c r="AE11" s="7">
        <f>IF($AD11=0,0,N(#REF!)*N(INDEX(F_KLN,MATCH($C11,FA,0))))</f>
        <v>0</v>
      </c>
      <c r="AF11" s="7">
        <f>IF($AD11=0,0,N(#REF!)*N(INDEX(F_KPE,MATCH($C11,FA,0))))</f>
        <v>0</v>
      </c>
      <c r="AG11" s="7" t="e">
        <f>IF(ISNA(MATCH($C11,FA,0)),0,N(#REF!)*N(INDEX(F_MODUL,MATCH($C11,FA,0))))</f>
        <v>#REF!</v>
      </c>
      <c r="AH11" s="7" t="e">
        <f>N(#REF!)*N($I11)</f>
        <v>#REF!</v>
      </c>
      <c r="AI11" s="7" t="e">
        <f t="shared" si="5"/>
        <v>#REF!</v>
      </c>
      <c r="AJ11" s="7">
        <f t="shared" si="6"/>
        <v>0</v>
      </c>
    </row>
    <row r="12" spans="1:36" x14ac:dyDescent="0.25">
      <c r="A12" s="4" t="str">
        <f t="shared" si="0"/>
        <v>ВРУ-1 (Ввод + Секция 1 + Секция 2)(ВРУ1-14-20А)(ВРУ1-41-00А) (260922 akram aulet)</v>
      </c>
      <c r="B12" s="4" t="s">
        <v>65</v>
      </c>
      <c r="C12" s="4" t="s">
        <v>392</v>
      </c>
      <c r="D12" s="4" t="s">
        <v>393</v>
      </c>
      <c r="E12" s="4" t="s">
        <v>114</v>
      </c>
      <c r="F12" s="4" t="s">
        <v>377</v>
      </c>
      <c r="G12" s="4" t="s">
        <v>38</v>
      </c>
      <c r="H12" s="5" t="e">
        <f>#REF!</f>
        <v>#REF!</v>
      </c>
      <c r="I12" s="6" t="e">
        <f t="shared" si="1"/>
        <v>#REF!</v>
      </c>
      <c r="J12" s="6" t="s">
        <v>66</v>
      </c>
      <c r="K12" s="6" t="s">
        <v>65</v>
      </c>
      <c r="L12" s="7" t="e">
        <f t="shared" si="2"/>
        <v>#REF!</v>
      </c>
      <c r="M12" s="7" t="s">
        <v>67</v>
      </c>
      <c r="N12" s="7" t="s">
        <v>68</v>
      </c>
      <c r="O12" s="7">
        <f>IF(OR($C12="",$C12="FID YOK"),"",IF(ISNUMBER(MATCH($C12,FA_ANA,0)),"",IF(COUNTIF($C$1:$C11,$C12)&gt;0,"",MAX($O$1:$O11)+1)))</f>
        <v>9</v>
      </c>
      <c r="P12" s="8">
        <v>4</v>
      </c>
      <c r="Q12" s="7" t="e">
        <f>IF(OR($P12="",$P12="G",ISNA(MATCH($C12,FA,0))),"",IF(N(INDEX(F_G,MATCH($C12,FA,0)))&gt;0,INDEX(F_G,MATCH($C12,FA,0)),IF(N(INDEX(F_MODUL,MATCH($C12,FA,0)))&gt;0,INDEX(F_MODUL,MATCH($C12,FA,0))*MODUL_MM,"")))</f>
        <v>#REF!</v>
      </c>
      <c r="R12" s="7" t="e">
        <f>IF(OR($P12="",$P12="G",ISNA(MATCH($C12,FA,0))),"",IF(N(INDEX(F_Y,MATCH($C12,FA,0)))&gt;0,INDEX(F_Y,MATCH($C12,FA,0)),""))</f>
        <v>#REF!</v>
      </c>
      <c r="S12" s="7" t="e">
        <f>IF(OR($P12="",$P12="G",ISNA(MATCH($C12,FA,0))),"",IF(N(INDEX(F_D,MATCH($C12,FA,0)))&gt;0,INDEX(F_D,MATCH($C12,FA,0)),""))</f>
        <v>#REF!</v>
      </c>
      <c r="T12" s="7">
        <f>IF(ISNA(MATCH($C12,FA,0)),0,IF($J12="GIRIS",N(INDEX(F_INKOR,MATCH($C12,FA,0))),0))</f>
        <v>0</v>
      </c>
      <c r="U12" s="7" t="e">
        <f t="shared" si="7"/>
        <v>#REF!</v>
      </c>
      <c r="V12" s="7" t="e">
        <f t="shared" si="8"/>
        <v>#REF!</v>
      </c>
      <c r="W12" s="7" t="e">
        <f>IF(OR(NOT(ISNUMBER($P12)),$Q12=""),"",N(#REF!)*($Q12+IF(ISNA(MATCH($B12,TIP_AD,0)),0,N(INDEX(TIP_BOSLUK,MATCH($B12,TIP_AD,0))))))</f>
        <v>#REF!</v>
      </c>
      <c r="X12" s="7" t="e">
        <f>IF(ISNUMBER($P12),($Q12="")+($R12="")+($V12="")+IF(AND($U12="KONTAKTOR",NOT(ISNA(MATCH($B12,TIP_AD,0)))),IF(INDEX(TIP_BOSLUK,MATCH($B12,TIP_AD,0))&amp;""="",1,0),0),IF($P12="K",IF($S12="",1,0),0))</f>
        <v>#REF!</v>
      </c>
      <c r="Y12" s="7" t="e">
        <f>N(#REF!)*IF($E12="упак",MAX(1,IF(ISNA(MATCH($C12,FA,0)),1,N(INDEX(F_PAKET,MATCH($C12,FA,0))))),1)</f>
        <v>#REF!</v>
      </c>
      <c r="Z12" s="7" t="e">
        <f t="shared" si="3"/>
        <v>#REF!</v>
      </c>
      <c r="AA12" s="7" t="e">
        <f>IF(OR(ISNA(MATCH($C12,FA,0)),$J12="YEDEK",$J12="SARF"),0,N(#REF!)*N(INDEX(F_TEL,MATCH($C12,FA,0))))</f>
        <v>#REF!</v>
      </c>
      <c r="AB12" s="7" t="e">
        <f>IF(OR(ISNA(MATCH($C12,FA,0)),$J12="YEDEK",$J12="SARF"),0,N(#REF!)*N(INDEX(F_TELM,MATCH($C12,FA,0))))</f>
        <v>#REF!</v>
      </c>
      <c r="AC12" s="7" t="e">
        <f t="shared" si="4"/>
        <v>#REF!</v>
      </c>
      <c r="AD12" s="7">
        <f>IF(OR(ISNA(MATCH($C12,FA,0)),$J12&lt;&gt;"CIKIS"),0,N(INDEX(F_KK,MATCH($C12,FA,0))))</f>
        <v>0</v>
      </c>
      <c r="AE12" s="7">
        <f>IF($AD12=0,0,N(#REF!)*N(INDEX(F_KLN,MATCH($C12,FA,0))))</f>
        <v>0</v>
      </c>
      <c r="AF12" s="7">
        <f>IF($AD12=0,0,N(#REF!)*N(INDEX(F_KPE,MATCH($C12,FA,0))))</f>
        <v>0</v>
      </c>
      <c r="AG12" s="7" t="e">
        <f>IF(ISNA(MATCH($C12,FA,0)),0,N(#REF!)*N(INDEX(F_MODUL,MATCH($C12,FA,0))))</f>
        <v>#REF!</v>
      </c>
      <c r="AH12" s="7" t="e">
        <f>N(#REF!)*N($I12)</f>
        <v>#REF!</v>
      </c>
      <c r="AI12" s="7" t="e">
        <f t="shared" si="5"/>
        <v>#REF!</v>
      </c>
      <c r="AJ12" s="7">
        <f t="shared" si="6"/>
        <v>0</v>
      </c>
    </row>
    <row r="13" spans="1:36" x14ac:dyDescent="0.25">
      <c r="A13" s="4" t="str">
        <f t="shared" si="0"/>
        <v>ВРУ-1 (Ввод + Секция 1 + Секция 2)(ВРУ1-14-20А)(ВРУ1-41-00А) (260922 akram aulet)</v>
      </c>
      <c r="B13" s="4" t="s">
        <v>69</v>
      </c>
      <c r="C13" s="4" t="s">
        <v>455</v>
      </c>
      <c r="D13" s="4" t="s">
        <v>456</v>
      </c>
      <c r="E13" s="4" t="s">
        <v>114</v>
      </c>
      <c r="F13" s="4" t="s">
        <v>377</v>
      </c>
      <c r="G13" s="4" t="s">
        <v>38</v>
      </c>
      <c r="H13" s="5" t="e">
        <f>#REF!</f>
        <v>#REF!</v>
      </c>
      <c r="I13" s="6" t="e">
        <f t="shared" si="1"/>
        <v>#REF!</v>
      </c>
      <c r="J13" s="6" t="s">
        <v>52</v>
      </c>
      <c r="K13" s="6" t="s">
        <v>69</v>
      </c>
      <c r="L13" s="7" t="e">
        <f t="shared" si="2"/>
        <v>#REF!</v>
      </c>
      <c r="M13" s="7" t="s">
        <v>70</v>
      </c>
      <c r="N13" s="7" t="s">
        <v>71</v>
      </c>
      <c r="O13" s="7">
        <f>IF(OR($C13="",$C13="FID YOK"),"",IF(ISNUMBER(MATCH($C13,FA_ANA,0)),"",IF(COUNTIF($C$1:$C12,$C13)&gt;0,"",MAX($O$1:$O12)+1)))</f>
        <v>10</v>
      </c>
      <c r="P13" s="8">
        <v>6</v>
      </c>
      <c r="Q13" s="7" t="e">
        <f>IF(OR($P13="",$P13="G",ISNA(MATCH($C13,FA,0))),"",IF(N(INDEX(F_G,MATCH($C13,FA,0)))&gt;0,INDEX(F_G,MATCH($C13,FA,0)),IF(N(INDEX(F_MODUL,MATCH($C13,FA,0)))&gt;0,INDEX(F_MODUL,MATCH($C13,FA,0))*MODUL_MM,"")))</f>
        <v>#REF!</v>
      </c>
      <c r="R13" s="7" t="e">
        <f>IF(OR($P13="",$P13="G",ISNA(MATCH($C13,FA,0))),"",IF(N(INDEX(F_Y,MATCH($C13,FA,0)))&gt;0,INDEX(F_Y,MATCH($C13,FA,0)),""))</f>
        <v>#REF!</v>
      </c>
      <c r="S13" s="7" t="e">
        <f>IF(OR($P13="",$P13="G",ISNA(MATCH($C13,FA,0))),"",IF(N(INDEX(F_D,MATCH($C13,FA,0)))&gt;0,INDEX(F_D,MATCH($C13,FA,0)),""))</f>
        <v>#REF!</v>
      </c>
      <c r="T13" s="7">
        <f>IF(ISNA(MATCH($C13,FA,0)),0,IF($J13="GIRIS",N(INDEX(F_INKOR,MATCH($C13,FA,0))),0))</f>
        <v>0</v>
      </c>
      <c r="U13" s="7" t="e">
        <f t="shared" si="7"/>
        <v>#REF!</v>
      </c>
      <c r="V13" s="7" t="e">
        <f t="shared" si="8"/>
        <v>#REF!</v>
      </c>
      <c r="W13" s="7" t="e">
        <f>IF(OR(NOT(ISNUMBER($P13)),$Q13=""),"",N(#REF!)*($Q13+IF(ISNA(MATCH($B13,TIP_AD,0)),0,N(INDEX(TIP_BOSLUK,MATCH($B13,TIP_AD,0))))))</f>
        <v>#REF!</v>
      </c>
      <c r="X13" s="7" t="e">
        <f>IF(ISNUMBER($P13),($Q13="")+($R13="")+($V13="")+IF(AND($U13="KONTAKTOR",NOT(ISNA(MATCH($B13,TIP_AD,0)))),IF(INDEX(TIP_BOSLUK,MATCH($B13,TIP_AD,0))&amp;""="",1,0),0),IF($P13="K",IF($S13="",1,0),0))</f>
        <v>#REF!</v>
      </c>
      <c r="Y13" s="7" t="e">
        <f>N(#REF!)*IF($E13="упак",MAX(1,IF(ISNA(MATCH($C13,FA,0)),1,N(INDEX(F_PAKET,MATCH($C13,FA,0))))),1)</f>
        <v>#REF!</v>
      </c>
      <c r="Z13" s="7" t="e">
        <f t="shared" si="3"/>
        <v>#REF!</v>
      </c>
      <c r="AA13" s="7" t="e">
        <f>IF(OR(ISNA(MATCH($C13,FA,0)),$J13="YEDEK",$J13="SARF"),0,N(#REF!)*N(INDEX(F_TEL,MATCH($C13,FA,0))))</f>
        <v>#REF!</v>
      </c>
      <c r="AB13" s="7" t="e">
        <f>IF(OR(ISNA(MATCH($C13,FA,0)),$J13="YEDEK",$J13="SARF"),0,N(#REF!)*N(INDEX(F_TELM,MATCH($C13,FA,0))))</f>
        <v>#REF!</v>
      </c>
      <c r="AC13" s="7" t="e">
        <f t="shared" si="4"/>
        <v>#REF!</v>
      </c>
      <c r="AD13" s="7" t="e">
        <f>IF(OR(ISNA(MATCH($C13,FA,0)),$J13&lt;&gt;"CIKIS"),0,N(INDEX(F_KK,MATCH($C13,FA,0))))</f>
        <v>#REF!</v>
      </c>
      <c r="AE13" s="7" t="e">
        <f>IF($AD13=0,0,N(#REF!)*N(INDEX(F_KLN,MATCH($C13,FA,0))))</f>
        <v>#REF!</v>
      </c>
      <c r="AF13" s="7" t="e">
        <f>IF($AD13=0,0,N(#REF!)*N(INDEX(F_KPE,MATCH($C13,FA,0))))</f>
        <v>#REF!</v>
      </c>
      <c r="AG13" s="7" t="e">
        <f>IF(ISNA(MATCH($C13,FA,0)),0,N(#REF!)*N(INDEX(F_MODUL,MATCH($C13,FA,0))))</f>
        <v>#REF!</v>
      </c>
      <c r="AH13" s="7" t="e">
        <f>N(#REF!)*N($I13)</f>
        <v>#REF!</v>
      </c>
      <c r="AI13" s="7" t="e">
        <f t="shared" si="5"/>
        <v>#REF!</v>
      </c>
      <c r="AJ13" s="7">
        <f t="shared" si="6"/>
        <v>0</v>
      </c>
    </row>
    <row r="14" spans="1:36" x14ac:dyDescent="0.25">
      <c r="A14" s="4" t="str">
        <f t="shared" si="0"/>
        <v>ВРУ-1 (Ввод + Секция 1 + Секция 2)(ВРУ1-14-20А)(ВРУ1-41-00А) (260922 akram aulet)</v>
      </c>
      <c r="B14" s="4" t="s">
        <v>72</v>
      </c>
      <c r="C14" s="4" t="s">
        <v>463</v>
      </c>
      <c r="D14" s="4" t="s">
        <v>464</v>
      </c>
      <c r="E14" s="4" t="s">
        <v>114</v>
      </c>
      <c r="F14" s="4" t="s">
        <v>377</v>
      </c>
      <c r="G14" s="4" t="s">
        <v>38</v>
      </c>
      <c r="H14" s="5" t="e">
        <f>#REF!</f>
        <v>#REF!</v>
      </c>
      <c r="I14" s="6" t="e">
        <f t="shared" si="1"/>
        <v>#REF!</v>
      </c>
      <c r="J14" s="6" t="s">
        <v>66</v>
      </c>
      <c r="K14" s="6" t="s">
        <v>65</v>
      </c>
      <c r="L14" s="7" t="e">
        <f t="shared" si="2"/>
        <v>#REF!</v>
      </c>
      <c r="M14" s="7" t="s">
        <v>73</v>
      </c>
      <c r="N14" s="7" t="s">
        <v>74</v>
      </c>
      <c r="O14" s="7">
        <f>IF(OR($C14="",$C14="FID YOK"),"",IF(ISNUMBER(MATCH($C14,FA_ANA,0)),"",IF(COUNTIF($C$1:$C13,$C14)&gt;0,"",MAX($O$1:$O13)+1)))</f>
        <v>11</v>
      </c>
      <c r="P14" s="8">
        <v>5</v>
      </c>
      <c r="Q14" s="7" t="e">
        <f>IF(OR($P14="",$P14="G",ISNA(MATCH($C14,FA,0))),"",IF(N(INDEX(F_G,MATCH($C14,FA,0)))&gt;0,INDEX(F_G,MATCH($C14,FA,0)),IF(N(INDEX(F_MODUL,MATCH($C14,FA,0)))&gt;0,INDEX(F_MODUL,MATCH($C14,FA,0))*MODUL_MM,"")))</f>
        <v>#REF!</v>
      </c>
      <c r="R14" s="7" t="e">
        <f>IF(OR($P14="",$P14="G",ISNA(MATCH($C14,FA,0))),"",IF(N(INDEX(F_Y,MATCH($C14,FA,0)))&gt;0,INDEX(F_Y,MATCH($C14,FA,0)),""))</f>
        <v>#REF!</v>
      </c>
      <c r="S14" s="7" t="e">
        <f>IF(OR($P14="",$P14="G",ISNA(MATCH($C14,FA,0))),"",IF(N(INDEX(F_D,MATCH($C14,FA,0)))&gt;0,INDEX(F_D,MATCH($C14,FA,0)),""))</f>
        <v>#REF!</v>
      </c>
      <c r="T14" s="7">
        <f>IF(ISNA(MATCH($C14,FA,0)),0,IF($J14="GIRIS",N(INDEX(F_INKOR,MATCH($C14,FA,0))),0))</f>
        <v>0</v>
      </c>
      <c r="U14" s="7" t="e">
        <f t="shared" si="7"/>
        <v>#REF!</v>
      </c>
      <c r="V14" s="7" t="e">
        <f t="shared" si="8"/>
        <v>#REF!</v>
      </c>
      <c r="W14" s="7" t="e">
        <f>IF(OR(NOT(ISNUMBER($P14)),$Q14=""),"",N(#REF!)*($Q14+IF(ISNA(MATCH($B14,TIP_AD,0)),0,N(INDEX(TIP_BOSLUK,MATCH($B14,TIP_AD,0))))))</f>
        <v>#REF!</v>
      </c>
      <c r="X14" s="7" t="e">
        <f>IF(ISNUMBER($P14),($Q14="")+($R14="")+($V14="")+IF(AND($U14="KONTAKTOR",NOT(ISNA(MATCH($B14,TIP_AD,0)))),IF(INDEX(TIP_BOSLUK,MATCH($B14,TIP_AD,0))&amp;""="",1,0),0),IF($P14="K",IF($S14="",1,0),0))</f>
        <v>#REF!</v>
      </c>
      <c r="Y14" s="7" t="e">
        <f>N(#REF!)*IF($E14="упак",MAX(1,IF(ISNA(MATCH($C14,FA,0)),1,N(INDEX(F_PAKET,MATCH($C14,FA,0))))),1)</f>
        <v>#REF!</v>
      </c>
      <c r="Z14" s="7" t="e">
        <f t="shared" si="3"/>
        <v>#REF!</v>
      </c>
      <c r="AA14" s="7" t="e">
        <f>IF(OR(ISNA(MATCH($C14,FA,0)),$J14="YEDEK",$J14="SARF"),0,N(#REF!)*N(INDEX(F_TEL,MATCH($C14,FA,0))))</f>
        <v>#REF!</v>
      </c>
      <c r="AB14" s="7" t="e">
        <f>IF(OR(ISNA(MATCH($C14,FA,0)),$J14="YEDEK",$J14="SARF"),0,N(#REF!)*N(INDEX(F_TELM,MATCH($C14,FA,0))))</f>
        <v>#REF!</v>
      </c>
      <c r="AC14" s="7" t="e">
        <f t="shared" si="4"/>
        <v>#REF!</v>
      </c>
      <c r="AD14" s="7">
        <f>IF(OR(ISNA(MATCH($C14,FA,0)),$J14&lt;&gt;"CIKIS"),0,N(INDEX(F_KK,MATCH($C14,FA,0))))</f>
        <v>0</v>
      </c>
      <c r="AE14" s="7">
        <f>IF($AD14=0,0,N(#REF!)*N(INDEX(F_KLN,MATCH($C14,FA,0))))</f>
        <v>0</v>
      </c>
      <c r="AF14" s="7">
        <f>IF($AD14=0,0,N(#REF!)*N(INDEX(F_KPE,MATCH($C14,FA,0))))</f>
        <v>0</v>
      </c>
      <c r="AG14" s="7" t="e">
        <f>IF(ISNA(MATCH($C14,FA,0)),0,N(#REF!)*N(INDEX(F_MODUL,MATCH($C14,FA,0))))</f>
        <v>#REF!</v>
      </c>
      <c r="AH14" s="7" t="e">
        <f>N(#REF!)*N($I14)</f>
        <v>#REF!</v>
      </c>
      <c r="AI14" s="7" t="e">
        <f t="shared" si="5"/>
        <v>#REF!</v>
      </c>
      <c r="AJ14" s="7">
        <f t="shared" si="6"/>
        <v>0</v>
      </c>
    </row>
    <row r="15" spans="1:36" x14ac:dyDescent="0.25">
      <c r="A15" s="4" t="str">
        <f t="shared" si="0"/>
        <v>ВРУ-1 (Ввод + Секция 1 + Секция 2)(ВРУ1-14-20А)(ВРУ1-41-00А) (260922 akram aulet)</v>
      </c>
      <c r="B15" s="4" t="s">
        <v>75</v>
      </c>
      <c r="C15" s="4" t="s">
        <v>465</v>
      </c>
      <c r="D15" s="4" t="s">
        <v>466</v>
      </c>
      <c r="E15" s="4" t="s">
        <v>114</v>
      </c>
      <c r="F15" s="4" t="s">
        <v>377</v>
      </c>
      <c r="G15" s="4" t="s">
        <v>38</v>
      </c>
      <c r="H15" s="5" t="e">
        <f>#REF!</f>
        <v>#REF!</v>
      </c>
      <c r="I15" s="6" t="e">
        <f t="shared" si="1"/>
        <v>#REF!</v>
      </c>
      <c r="J15" s="6" t="s">
        <v>66</v>
      </c>
      <c r="K15" s="6" t="s">
        <v>75</v>
      </c>
      <c r="L15" s="7" t="e">
        <f t="shared" si="2"/>
        <v>#REF!</v>
      </c>
      <c r="M15" s="7" t="s">
        <v>76</v>
      </c>
      <c r="N15" s="7" t="s">
        <v>77</v>
      </c>
      <c r="O15" s="7">
        <f>IF(OR($C15="",$C15="FID YOK"),"",IF(ISNUMBER(MATCH($C15,FA_ANA,0)),"",IF(COUNTIF($C$1:$C14,$C15)&gt;0,"",MAX($O$1:$O14)+1)))</f>
        <v>12</v>
      </c>
      <c r="P15" s="8" t="s">
        <v>78</v>
      </c>
      <c r="Q15" s="7" t="e">
        <f>IF(OR($P15="",$P15="G",ISNA(MATCH($C15,FA,0))),"",IF(N(INDEX(F_G,MATCH($C15,FA,0)))&gt;0,INDEX(F_G,MATCH($C15,FA,0)),IF(N(INDEX(F_MODUL,MATCH($C15,FA,0)))&gt;0,INDEX(F_MODUL,MATCH($C15,FA,0))*MODUL_MM,"")))</f>
        <v>#REF!</v>
      </c>
      <c r="R15" s="7" t="e">
        <f>IF(OR($P15="",$P15="G",ISNA(MATCH($C15,FA,0))),"",IF(N(INDEX(F_Y,MATCH($C15,FA,0)))&gt;0,INDEX(F_Y,MATCH($C15,FA,0)),""))</f>
        <v>#REF!</v>
      </c>
      <c r="S15" s="7" t="e">
        <f>IF(OR($P15="",$P15="G",ISNA(MATCH($C15,FA,0))),"",IF(N(INDEX(F_D,MATCH($C15,FA,0)))&gt;0,INDEX(F_D,MATCH($C15,FA,0)),""))</f>
        <v>#REF!</v>
      </c>
      <c r="T15" s="7">
        <f>IF(ISNA(MATCH($C15,FA,0)),0,IF($J15="GIRIS",N(INDEX(F_INKOR,MATCH($C15,FA,0))),0))</f>
        <v>0</v>
      </c>
      <c r="U15" s="7" t="e">
        <f t="shared" si="7"/>
        <v>#REF!</v>
      </c>
      <c r="V15" s="7" t="str">
        <f t="shared" si="8"/>
        <v/>
      </c>
      <c r="W15" s="7" t="e">
        <f>IF(OR(NOT(ISNUMBER($P15)),$Q15=""),"",N(#REF!)*($Q15+IF(ISNA(MATCH($B15,TIP_AD,0)),0,N(INDEX(TIP_BOSLUK,MATCH($B15,TIP_AD,0))))))</f>
        <v>#REF!</v>
      </c>
      <c r="X15" s="7" t="e">
        <f>IF(ISNUMBER($P15),($Q15="")+($R15="")+($V15="")+IF(AND($U15="KONTAKTOR",NOT(ISNA(MATCH($B15,TIP_AD,0)))),IF(INDEX(TIP_BOSLUK,MATCH($B15,TIP_AD,0))&amp;""="",1,0),0),IF($P15="K",IF($S15="",1,0),0))</f>
        <v>#REF!</v>
      </c>
      <c r="Y15" s="7" t="e">
        <f>N(#REF!)*IF($E15="упак",MAX(1,IF(ISNA(MATCH($C15,FA,0)),1,N(INDEX(F_PAKET,MATCH($C15,FA,0))))),1)</f>
        <v>#REF!</v>
      </c>
      <c r="Z15" s="7" t="e">
        <f t="shared" si="3"/>
        <v>#REF!</v>
      </c>
      <c r="AA15" s="7" t="e">
        <f>IF(OR(ISNA(MATCH($C15,FA,0)),$J15="YEDEK",$J15="SARF"),0,N(#REF!)*N(INDEX(F_TEL,MATCH($C15,FA,0))))</f>
        <v>#REF!</v>
      </c>
      <c r="AB15" s="7" t="e">
        <f>IF(OR(ISNA(MATCH($C15,FA,0)),$J15="YEDEK",$J15="SARF"),0,N(#REF!)*N(INDEX(F_TELM,MATCH($C15,FA,0))))</f>
        <v>#REF!</v>
      </c>
      <c r="AC15" s="7" t="e">
        <f t="shared" si="4"/>
        <v>#REF!</v>
      </c>
      <c r="AD15" s="7">
        <f>IF(OR(ISNA(MATCH($C15,FA,0)),$J15&lt;&gt;"CIKIS"),0,N(INDEX(F_KK,MATCH($C15,FA,0))))</f>
        <v>0</v>
      </c>
      <c r="AE15" s="7">
        <f>IF($AD15=0,0,N(#REF!)*N(INDEX(F_KLN,MATCH($C15,FA,0))))</f>
        <v>0</v>
      </c>
      <c r="AF15" s="7">
        <f>IF($AD15=0,0,N(#REF!)*N(INDEX(F_KPE,MATCH($C15,FA,0))))</f>
        <v>0</v>
      </c>
      <c r="AG15" s="7" t="e">
        <f>IF(ISNA(MATCH($C15,FA,0)),0,N(#REF!)*N(INDEX(F_MODUL,MATCH($C15,FA,0))))</f>
        <v>#REF!</v>
      </c>
      <c r="AH15" s="7" t="e">
        <f>N(#REF!)*N($I15)</f>
        <v>#REF!</v>
      </c>
      <c r="AI15" s="7" t="e">
        <f t="shared" si="5"/>
        <v>#REF!</v>
      </c>
      <c r="AJ15" s="7">
        <f t="shared" si="6"/>
        <v>0</v>
      </c>
    </row>
    <row r="16" spans="1:36" x14ac:dyDescent="0.25">
      <c r="A16" s="4" t="str">
        <f t="shared" si="0"/>
        <v>ВРУ-1 (Ввод + Секция 1 + Секция 2)(ВРУ1-14-20А)(ВРУ1-41-00А) (260922 akram aulet)</v>
      </c>
      <c r="B16" s="4" t="s">
        <v>75</v>
      </c>
      <c r="C16" s="4" t="s">
        <v>467</v>
      </c>
      <c r="D16" s="4" t="s">
        <v>468</v>
      </c>
      <c r="E16" s="4" t="s">
        <v>114</v>
      </c>
      <c r="F16" s="4" t="s">
        <v>377</v>
      </c>
      <c r="G16" s="4" t="s">
        <v>38</v>
      </c>
      <c r="H16" s="5" t="e">
        <f>#REF!</f>
        <v>#REF!</v>
      </c>
      <c r="I16" s="6" t="e">
        <f t="shared" si="1"/>
        <v>#REF!</v>
      </c>
      <c r="J16" s="6" t="s">
        <v>66</v>
      </c>
      <c r="K16" s="6" t="s">
        <v>75</v>
      </c>
      <c r="L16" s="7" t="e">
        <f t="shared" si="2"/>
        <v>#REF!</v>
      </c>
      <c r="M16" s="7" t="s">
        <v>79</v>
      </c>
      <c r="N16" s="7" t="s">
        <v>80</v>
      </c>
      <c r="O16" s="7">
        <f>IF(OR($C16="",$C16="FID YOK"),"",IF(ISNUMBER(MATCH($C16,FA_ANA,0)),"",IF(COUNTIF($C$1:$C15,$C16)&gt;0,"",MAX($O$1:$O15)+1)))</f>
        <v>13</v>
      </c>
      <c r="P16" s="8" t="s">
        <v>78</v>
      </c>
      <c r="Q16" s="7" t="e">
        <f>IF(OR($P16="",$P16="G",ISNA(MATCH($C16,FA,0))),"",IF(N(INDEX(F_G,MATCH($C16,FA,0)))&gt;0,INDEX(F_G,MATCH($C16,FA,0)),IF(N(INDEX(F_MODUL,MATCH($C16,FA,0)))&gt;0,INDEX(F_MODUL,MATCH($C16,FA,0))*MODUL_MM,"")))</f>
        <v>#REF!</v>
      </c>
      <c r="R16" s="7" t="e">
        <f>IF(OR($P16="",$P16="G",ISNA(MATCH($C16,FA,0))),"",IF(N(INDEX(F_Y,MATCH($C16,FA,0)))&gt;0,INDEX(F_Y,MATCH($C16,FA,0)),""))</f>
        <v>#REF!</v>
      </c>
      <c r="S16" s="7" t="e">
        <f>IF(OR($P16="",$P16="G",ISNA(MATCH($C16,FA,0))),"",IF(N(INDEX(F_D,MATCH($C16,FA,0)))&gt;0,INDEX(F_D,MATCH($C16,FA,0)),""))</f>
        <v>#REF!</v>
      </c>
      <c r="T16" s="7">
        <f>IF(ISNA(MATCH($C16,FA,0)),0,IF($J16="GIRIS",N(INDEX(F_INKOR,MATCH($C16,FA,0))),0))</f>
        <v>0</v>
      </c>
      <c r="U16" s="7" t="e">
        <f t="shared" si="7"/>
        <v>#REF!</v>
      </c>
      <c r="V16" s="7" t="str">
        <f t="shared" si="8"/>
        <v/>
      </c>
      <c r="W16" s="7" t="e">
        <f>IF(OR(NOT(ISNUMBER($P16)),$Q16=""),"",N(#REF!)*($Q16+IF(ISNA(MATCH($B16,TIP_AD,0)),0,N(INDEX(TIP_BOSLUK,MATCH($B16,TIP_AD,0))))))</f>
        <v>#REF!</v>
      </c>
      <c r="X16" s="7" t="e">
        <f>IF(ISNUMBER($P16),($Q16="")+($R16="")+($V16="")+IF(AND($U16="KONTAKTOR",NOT(ISNA(MATCH($B16,TIP_AD,0)))),IF(INDEX(TIP_BOSLUK,MATCH($B16,TIP_AD,0))&amp;""="",1,0),0),IF($P16="K",IF($S16="",1,0),0))</f>
        <v>#REF!</v>
      </c>
      <c r="Y16" s="7" t="e">
        <f>N(#REF!)*IF($E16="упак",MAX(1,IF(ISNA(MATCH($C16,FA,0)),1,N(INDEX(F_PAKET,MATCH($C16,FA,0))))),1)</f>
        <v>#REF!</v>
      </c>
      <c r="Z16" s="7" t="e">
        <f t="shared" si="3"/>
        <v>#REF!</v>
      </c>
      <c r="AA16" s="7" t="e">
        <f>IF(OR(ISNA(MATCH($C16,FA,0)),$J16="YEDEK",$J16="SARF"),0,N(#REF!)*N(INDEX(F_TEL,MATCH($C16,FA,0))))</f>
        <v>#REF!</v>
      </c>
      <c r="AB16" s="7" t="e">
        <f>IF(OR(ISNA(MATCH($C16,FA,0)),$J16="YEDEK",$J16="SARF"),0,N(#REF!)*N(INDEX(F_TELM,MATCH($C16,FA,0))))</f>
        <v>#REF!</v>
      </c>
      <c r="AC16" s="7" t="e">
        <f t="shared" si="4"/>
        <v>#REF!</v>
      </c>
      <c r="AD16" s="7">
        <f>IF(OR(ISNA(MATCH($C16,FA,0)),$J16&lt;&gt;"CIKIS"),0,N(INDEX(F_KK,MATCH($C16,FA,0))))</f>
        <v>0</v>
      </c>
      <c r="AE16" s="7">
        <f>IF($AD16=0,0,N(#REF!)*N(INDEX(F_KLN,MATCH($C16,FA,0))))</f>
        <v>0</v>
      </c>
      <c r="AF16" s="7">
        <f>IF($AD16=0,0,N(#REF!)*N(INDEX(F_KPE,MATCH($C16,FA,0))))</f>
        <v>0</v>
      </c>
      <c r="AG16" s="7" t="e">
        <f>IF(ISNA(MATCH($C16,FA,0)),0,N(#REF!)*N(INDEX(F_MODUL,MATCH($C16,FA,0))))</f>
        <v>#REF!</v>
      </c>
      <c r="AH16" s="7" t="e">
        <f>N(#REF!)*N($I16)</f>
        <v>#REF!</v>
      </c>
      <c r="AI16" s="7" t="e">
        <f t="shared" si="5"/>
        <v>#REF!</v>
      </c>
      <c r="AJ16" s="7">
        <f t="shared" si="6"/>
        <v>0</v>
      </c>
    </row>
    <row r="17" spans="1:36" x14ac:dyDescent="0.25">
      <c r="A17" s="4" t="str">
        <f t="shared" si="0"/>
        <v>ВРУ-1 (Ввод + Секция 1 + Секция 2)(ВРУ1-14-20А)(ВРУ1-41-00А) (260922 akram aulet)</v>
      </c>
      <c r="B17" s="4" t="s">
        <v>75</v>
      </c>
      <c r="C17" s="4" t="s">
        <v>469</v>
      </c>
      <c r="D17" s="4" t="s">
        <v>470</v>
      </c>
      <c r="E17" s="4" t="s">
        <v>114</v>
      </c>
      <c r="F17" s="4" t="s">
        <v>377</v>
      </c>
      <c r="G17" s="4" t="s">
        <v>38</v>
      </c>
      <c r="H17" s="5" t="e">
        <f>#REF!</f>
        <v>#REF!</v>
      </c>
      <c r="I17" s="6" t="e">
        <f t="shared" si="1"/>
        <v>#REF!</v>
      </c>
      <c r="J17" s="6" t="s">
        <v>66</v>
      </c>
      <c r="K17" s="6" t="s">
        <v>75</v>
      </c>
      <c r="L17" s="7" t="e">
        <f t="shared" si="2"/>
        <v>#REF!</v>
      </c>
      <c r="M17" s="7" t="s">
        <v>81</v>
      </c>
      <c r="N17" s="7" t="s">
        <v>82</v>
      </c>
      <c r="O17" s="7">
        <f>IF(OR($C17="",$C17="FID YOK"),"",IF(ISNUMBER(MATCH($C17,FA_ANA,0)),"",IF(COUNTIF($C$1:$C16,$C17)&gt;0,"",MAX($O$1:$O16)+1)))</f>
        <v>14</v>
      </c>
      <c r="P17" s="8" t="s">
        <v>78</v>
      </c>
      <c r="Q17" s="7" t="e">
        <f>IF(OR($P17="",$P17="G",ISNA(MATCH($C17,FA,0))),"",IF(N(INDEX(F_G,MATCH($C17,FA,0)))&gt;0,INDEX(F_G,MATCH($C17,FA,0)),IF(N(INDEX(F_MODUL,MATCH($C17,FA,0)))&gt;0,INDEX(F_MODUL,MATCH($C17,FA,0))*MODUL_MM,"")))</f>
        <v>#REF!</v>
      </c>
      <c r="R17" s="7" t="e">
        <f>IF(OR($P17="",$P17="G",ISNA(MATCH($C17,FA,0))),"",IF(N(INDEX(F_Y,MATCH($C17,FA,0)))&gt;0,INDEX(F_Y,MATCH($C17,FA,0)),""))</f>
        <v>#REF!</v>
      </c>
      <c r="S17" s="7" t="e">
        <f>IF(OR($P17="",$P17="G",ISNA(MATCH($C17,FA,0))),"",IF(N(INDEX(F_D,MATCH($C17,FA,0)))&gt;0,INDEX(F_D,MATCH($C17,FA,0)),""))</f>
        <v>#REF!</v>
      </c>
      <c r="T17" s="7">
        <f>IF(ISNA(MATCH($C17,FA,0)),0,IF($J17="GIRIS",N(INDEX(F_INKOR,MATCH($C17,FA,0))),0))</f>
        <v>0</v>
      </c>
      <c r="U17" s="7" t="e">
        <f t="shared" si="7"/>
        <v>#REF!</v>
      </c>
      <c r="V17" s="7" t="str">
        <f t="shared" si="8"/>
        <v/>
      </c>
      <c r="W17" s="7" t="e">
        <f>IF(OR(NOT(ISNUMBER($P17)),$Q17=""),"",N(#REF!)*($Q17+IF(ISNA(MATCH($B17,TIP_AD,0)),0,N(INDEX(TIP_BOSLUK,MATCH($B17,TIP_AD,0))))))</f>
        <v>#REF!</v>
      </c>
      <c r="X17" s="7" t="e">
        <f>IF(ISNUMBER($P17),($Q17="")+($R17="")+($V17="")+IF(AND($U17="KONTAKTOR",NOT(ISNA(MATCH($B17,TIP_AD,0)))),IF(INDEX(TIP_BOSLUK,MATCH($B17,TIP_AD,0))&amp;""="",1,0),0),IF($P17="K",IF($S17="",1,0),0))</f>
        <v>#REF!</v>
      </c>
      <c r="Y17" s="7" t="e">
        <f>N(#REF!)*IF($E17="упак",MAX(1,IF(ISNA(MATCH($C17,FA,0)),1,N(INDEX(F_PAKET,MATCH($C17,FA,0))))),1)</f>
        <v>#REF!</v>
      </c>
      <c r="Z17" s="7" t="e">
        <f t="shared" si="3"/>
        <v>#REF!</v>
      </c>
      <c r="AA17" s="7" t="e">
        <f>IF(OR(ISNA(MATCH($C17,FA,0)),$J17="YEDEK",$J17="SARF"),0,N(#REF!)*N(INDEX(F_TEL,MATCH($C17,FA,0))))</f>
        <v>#REF!</v>
      </c>
      <c r="AB17" s="7" t="e">
        <f>IF(OR(ISNA(MATCH($C17,FA,0)),$J17="YEDEK",$J17="SARF"),0,N(#REF!)*N(INDEX(F_TELM,MATCH($C17,FA,0))))</f>
        <v>#REF!</v>
      </c>
      <c r="AC17" s="7" t="e">
        <f t="shared" si="4"/>
        <v>#REF!</v>
      </c>
      <c r="AD17" s="7">
        <f>IF(OR(ISNA(MATCH($C17,FA,0)),$J17&lt;&gt;"CIKIS"),0,N(INDEX(F_KK,MATCH($C17,FA,0))))</f>
        <v>0</v>
      </c>
      <c r="AE17" s="7">
        <f>IF($AD17=0,0,N(#REF!)*N(INDEX(F_KLN,MATCH($C17,FA,0))))</f>
        <v>0</v>
      </c>
      <c r="AF17" s="7">
        <f>IF($AD17=0,0,N(#REF!)*N(INDEX(F_KPE,MATCH($C17,FA,0))))</f>
        <v>0</v>
      </c>
      <c r="AG17" s="7" t="e">
        <f>IF(ISNA(MATCH($C17,FA,0)),0,N(#REF!)*N(INDEX(F_MODUL,MATCH($C17,FA,0))))</f>
        <v>#REF!</v>
      </c>
      <c r="AH17" s="7" t="e">
        <f>N(#REF!)*N($I17)</f>
        <v>#REF!</v>
      </c>
      <c r="AI17" s="7" t="e">
        <f t="shared" si="5"/>
        <v>#REF!</v>
      </c>
      <c r="AJ17" s="7">
        <f t="shared" si="6"/>
        <v>0</v>
      </c>
    </row>
    <row r="18" spans="1:36" x14ac:dyDescent="0.25">
      <c r="A18" s="4" t="str">
        <f t="shared" si="0"/>
        <v>ВРУ-1 (Ввод + Секция 1 + Секция 2)(ВРУ1-14-20А)(ВРУ1-41-00А) (260922 akram aulet)</v>
      </c>
      <c r="B18" s="4" t="s">
        <v>83</v>
      </c>
      <c r="C18" s="4" t="s">
        <v>587</v>
      </c>
      <c r="D18" s="4" t="s">
        <v>588</v>
      </c>
      <c r="E18" s="4" t="s">
        <v>520</v>
      </c>
      <c r="F18" s="4" t="s">
        <v>486</v>
      </c>
      <c r="G18" s="4" t="s">
        <v>38</v>
      </c>
      <c r="H18" s="5" t="e">
        <f>#REF!</f>
        <v>#REF!</v>
      </c>
      <c r="I18" s="6" t="e">
        <f t="shared" si="1"/>
        <v>#REF!</v>
      </c>
      <c r="J18" s="6" t="s">
        <v>84</v>
      </c>
      <c r="K18" s="6" t="s">
        <v>83</v>
      </c>
      <c r="L18" s="7" t="e">
        <f t="shared" si="2"/>
        <v>#REF!</v>
      </c>
      <c r="M18" s="7" t="s">
        <v>85</v>
      </c>
      <c r="O18" s="7">
        <f>IF(OR($C18="",$C18="FID YOK"),"",IF(ISNUMBER(MATCH($C18,FA_ANA,0)),"",IF(COUNTIF($C$1:$C17,$C18)&gt;0,"",MAX($O$1:$O17)+1)))</f>
        <v>15</v>
      </c>
      <c r="T18" s="7">
        <f>IF(ISNA(MATCH($C18,FA,0)),0,IF($J18="GIRIS",N(INDEX(F_INKOR,MATCH($C18,FA,0))),0))</f>
        <v>0</v>
      </c>
      <c r="Y18" s="7" t="e">
        <f>N(#REF!)*IF($E18="упак",MAX(1,IF(ISNA(MATCH($C18,FA,0)),1,N(INDEX(F_PAKET,MATCH($C18,FA,0))))),1)</f>
        <v>#REF!</v>
      </c>
      <c r="Z18" s="7" t="e">
        <f t="shared" si="3"/>
        <v>#REF!</v>
      </c>
      <c r="AA18" s="7">
        <f>IF(OR(ISNA(MATCH($C18,FA,0)),$J18="YEDEK",$J18="SARF"),0,N(#REF!)*N(INDEX(F_TEL,MATCH($C18,FA,0))))</f>
        <v>0</v>
      </c>
      <c r="AB18" s="7">
        <f>IF(OR(ISNA(MATCH($C18,FA,0)),$J18="YEDEK",$J18="SARF"),0,N(#REF!)*N(INDEX(F_TELM,MATCH($C18,FA,0))))</f>
        <v>0</v>
      </c>
      <c r="AC18" s="7" t="e">
        <f t="shared" si="4"/>
        <v>#REF!</v>
      </c>
      <c r="AD18" s="7">
        <f>IF(OR(ISNA(MATCH($C18,FA,0)),$J18&lt;&gt;"CIKIS"),0,N(INDEX(F_KK,MATCH($C18,FA,0))))</f>
        <v>0</v>
      </c>
      <c r="AE18" s="7">
        <f>IF($AD18=0,0,N(#REF!)*N(INDEX(F_KLN,MATCH($C18,FA,0))))</f>
        <v>0</v>
      </c>
      <c r="AF18" s="7">
        <f>IF($AD18=0,0,N(#REF!)*N(INDEX(F_KPE,MATCH($C18,FA,0))))</f>
        <v>0</v>
      </c>
      <c r="AG18" s="7" t="e">
        <f>IF(ISNA(MATCH($C18,FA,0)),0,N(#REF!)*N(INDEX(F_MODUL,MATCH($C18,FA,0))))</f>
        <v>#REF!</v>
      </c>
      <c r="AH18" s="7" t="e">
        <f>N(#REF!)*N($I18)</f>
        <v>#REF!</v>
      </c>
      <c r="AI18" s="7" t="e">
        <f t="shared" si="5"/>
        <v>#REF!</v>
      </c>
      <c r="AJ18" s="7">
        <f t="shared" si="6"/>
        <v>0</v>
      </c>
    </row>
    <row r="19" spans="1:36" x14ac:dyDescent="0.25">
      <c r="A19" s="4" t="str">
        <f t="shared" si="0"/>
        <v>ВРУ-1 (Ввод + Секция 1 + Секция 2)(ВРУ1-14-20А)(ВРУ1-41-00А) (260922 akram aulet)</v>
      </c>
      <c r="B19" s="4" t="s">
        <v>83</v>
      </c>
      <c r="C19" s="4" t="s">
        <v>587</v>
      </c>
      <c r="D19" s="4" t="s">
        <v>588</v>
      </c>
      <c r="E19" s="4" t="s">
        <v>520</v>
      </c>
      <c r="F19" s="4" t="s">
        <v>486</v>
      </c>
      <c r="G19" s="4" t="s">
        <v>38</v>
      </c>
      <c r="H19" s="5" t="e">
        <f>#REF!</f>
        <v>#REF!</v>
      </c>
      <c r="I19" s="6" t="e">
        <f t="shared" si="1"/>
        <v>#REF!</v>
      </c>
      <c r="J19" s="6" t="s">
        <v>84</v>
      </c>
      <c r="K19" s="6" t="s">
        <v>83</v>
      </c>
      <c r="L19" s="7" t="e">
        <f t="shared" si="2"/>
        <v>#REF!</v>
      </c>
      <c r="M19" s="7" t="s">
        <v>86</v>
      </c>
      <c r="O19" s="7" t="str">
        <f>IF(OR($C19="",$C19="FID YOK"),"",IF(ISNUMBER(MATCH($C19,FA_ANA,0)),"",IF(COUNTIF($C$1:$C18,$C19)&gt;0,"",MAX($O$1:$O18)+1)))</f>
        <v/>
      </c>
      <c r="T19" s="7">
        <f>IF(ISNA(MATCH($C19,FA,0)),0,IF($J19="GIRIS",N(INDEX(F_INKOR,MATCH($C19,FA,0))),0))</f>
        <v>0</v>
      </c>
      <c r="Y19" s="7" t="e">
        <f>N(#REF!)*IF($E19="упак",MAX(1,IF(ISNA(MATCH($C19,FA,0)),1,N(INDEX(F_PAKET,MATCH($C19,FA,0))))),1)</f>
        <v>#REF!</v>
      </c>
      <c r="Z19" s="7" t="e">
        <f t="shared" si="3"/>
        <v>#REF!</v>
      </c>
      <c r="AA19" s="7">
        <f>IF(OR(ISNA(MATCH($C19,FA,0)),$J19="YEDEK",$J19="SARF"),0,N(#REF!)*N(INDEX(F_TEL,MATCH($C19,FA,0))))</f>
        <v>0</v>
      </c>
      <c r="AB19" s="7">
        <f>IF(OR(ISNA(MATCH($C19,FA,0)),$J19="YEDEK",$J19="SARF"),0,N(#REF!)*N(INDEX(F_TELM,MATCH($C19,FA,0))))</f>
        <v>0</v>
      </c>
      <c r="AC19" s="7" t="e">
        <f t="shared" si="4"/>
        <v>#REF!</v>
      </c>
      <c r="AD19" s="7">
        <f>IF(OR(ISNA(MATCH($C19,FA,0)),$J19&lt;&gt;"CIKIS"),0,N(INDEX(F_KK,MATCH($C19,FA,0))))</f>
        <v>0</v>
      </c>
      <c r="AE19" s="7">
        <f>IF($AD19=0,0,N(#REF!)*N(INDEX(F_KLN,MATCH($C19,FA,0))))</f>
        <v>0</v>
      </c>
      <c r="AF19" s="7">
        <f>IF($AD19=0,0,N(#REF!)*N(INDEX(F_KPE,MATCH($C19,FA,0))))</f>
        <v>0</v>
      </c>
      <c r="AG19" s="7" t="e">
        <f>IF(ISNA(MATCH($C19,FA,0)),0,N(#REF!)*N(INDEX(F_MODUL,MATCH($C19,FA,0))))</f>
        <v>#REF!</v>
      </c>
      <c r="AH19" s="7" t="e">
        <f>N(#REF!)*N($I19)</f>
        <v>#REF!</v>
      </c>
      <c r="AI19" s="7" t="e">
        <f t="shared" si="5"/>
        <v>#REF!</v>
      </c>
      <c r="AJ19" s="7">
        <f t="shared" si="6"/>
        <v>0</v>
      </c>
    </row>
    <row r="20" spans="1:36" x14ac:dyDescent="0.25">
      <c r="A20" s="4" t="str">
        <f t="shared" si="0"/>
        <v>ВРУ-1 (Ввод + Секция 1 + Секция 2)(ВРУ1-14-20А)(ВРУ1-41-00А) (260922 akram aulet)</v>
      </c>
      <c r="B20" s="4" t="s">
        <v>83</v>
      </c>
      <c r="C20" s="4" t="s">
        <v>585</v>
      </c>
      <c r="D20" s="4" t="s">
        <v>586</v>
      </c>
      <c r="E20" s="4" t="s">
        <v>520</v>
      </c>
      <c r="F20" s="4" t="s">
        <v>486</v>
      </c>
      <c r="G20" s="4" t="s">
        <v>38</v>
      </c>
      <c r="H20" s="5" t="e">
        <f>#REF!</f>
        <v>#REF!</v>
      </c>
      <c r="I20" s="6" t="e">
        <f t="shared" si="1"/>
        <v>#REF!</v>
      </c>
      <c r="J20" s="6" t="s">
        <v>84</v>
      </c>
      <c r="K20" s="6" t="s">
        <v>83</v>
      </c>
      <c r="L20" s="7" t="e">
        <f t="shared" si="2"/>
        <v>#REF!</v>
      </c>
      <c r="M20" s="7" t="s">
        <v>87</v>
      </c>
      <c r="O20" s="7">
        <f>IF(OR($C20="",$C20="FID YOK"),"",IF(ISNUMBER(MATCH($C20,FA_ANA,0)),"",IF(COUNTIF($C$1:$C19,$C20)&gt;0,"",MAX($O$1:$O19)+1)))</f>
        <v>16</v>
      </c>
      <c r="T20" s="7">
        <f>IF(ISNA(MATCH($C20,FA,0)),0,IF($J20="GIRIS",N(INDEX(F_INKOR,MATCH($C20,FA,0))),0))</f>
        <v>0</v>
      </c>
      <c r="Y20" s="7" t="e">
        <f>N(#REF!)*IF($E20="упак",MAX(1,IF(ISNA(MATCH($C20,FA,0)),1,N(INDEX(F_PAKET,MATCH($C20,FA,0))))),1)</f>
        <v>#REF!</v>
      </c>
      <c r="Z20" s="7" t="e">
        <f t="shared" si="3"/>
        <v>#REF!</v>
      </c>
      <c r="AA20" s="7">
        <f>IF(OR(ISNA(MATCH($C20,FA,0)),$J20="YEDEK",$J20="SARF"),0,N(#REF!)*N(INDEX(F_TEL,MATCH($C20,FA,0))))</f>
        <v>0</v>
      </c>
      <c r="AB20" s="7">
        <f>IF(OR(ISNA(MATCH($C20,FA,0)),$J20="YEDEK",$J20="SARF"),0,N(#REF!)*N(INDEX(F_TELM,MATCH($C20,FA,0))))</f>
        <v>0</v>
      </c>
      <c r="AC20" s="7" t="e">
        <f t="shared" si="4"/>
        <v>#REF!</v>
      </c>
      <c r="AD20" s="7">
        <f>IF(OR(ISNA(MATCH($C20,FA,0)),$J20&lt;&gt;"CIKIS"),0,N(INDEX(F_KK,MATCH($C20,FA,0))))</f>
        <v>0</v>
      </c>
      <c r="AE20" s="7">
        <f>IF($AD20=0,0,N(#REF!)*N(INDEX(F_KLN,MATCH($C20,FA,0))))</f>
        <v>0</v>
      </c>
      <c r="AF20" s="7">
        <f>IF($AD20=0,0,N(#REF!)*N(INDEX(F_KPE,MATCH($C20,FA,0))))</f>
        <v>0</v>
      </c>
      <c r="AG20" s="7" t="e">
        <f>IF(ISNA(MATCH($C20,FA,0)),0,N(#REF!)*N(INDEX(F_MODUL,MATCH($C20,FA,0))))</f>
        <v>#REF!</v>
      </c>
      <c r="AH20" s="7" t="e">
        <f>N(#REF!)*N($I20)</f>
        <v>#REF!</v>
      </c>
      <c r="AI20" s="7" t="e">
        <f t="shared" si="5"/>
        <v>#REF!</v>
      </c>
      <c r="AJ20" s="7">
        <f t="shared" si="6"/>
        <v>0</v>
      </c>
    </row>
    <row r="21" spans="1:36" x14ac:dyDescent="0.25">
      <c r="A21" s="4" t="str">
        <f t="shared" si="0"/>
        <v>ВРУ-1 (Ввод + Секция 1 + Секция 2)(ВРУ1-14-20А)(ВРУ1-41-00А) (260922 akram aulet)</v>
      </c>
      <c r="B21" s="4" t="s">
        <v>88</v>
      </c>
      <c r="C21" s="4" t="s">
        <v>573</v>
      </c>
      <c r="D21" s="4" t="s">
        <v>574</v>
      </c>
      <c r="E21" s="4" t="s">
        <v>114</v>
      </c>
      <c r="F21" s="4" t="s">
        <v>486</v>
      </c>
      <c r="G21" s="4" t="s">
        <v>38</v>
      </c>
      <c r="H21" s="5" t="e">
        <f>#REF!</f>
        <v>#REF!</v>
      </c>
      <c r="I21" s="6" t="e">
        <f t="shared" si="1"/>
        <v>#REF!</v>
      </c>
      <c r="J21" s="6" t="s">
        <v>84</v>
      </c>
      <c r="K21" s="6" t="s">
        <v>88</v>
      </c>
      <c r="L21" s="7" t="e">
        <f t="shared" si="2"/>
        <v>#REF!</v>
      </c>
      <c r="M21" s="7" t="s">
        <v>89</v>
      </c>
      <c r="O21" s="7">
        <f>IF(OR($C21="",$C21="FID YOK"),"",IF(ISNUMBER(MATCH($C21,FA_ANA,0)),"",IF(COUNTIF($C$1:$C20,$C21)&gt;0,"",MAX($O$1:$O20)+1)))</f>
        <v>17</v>
      </c>
      <c r="T21" s="7">
        <f>IF(ISNA(MATCH($C21,FA,0)),0,IF($J21="GIRIS",N(INDEX(F_INKOR,MATCH($C21,FA,0))),0))</f>
        <v>0</v>
      </c>
      <c r="Y21" s="7" t="e">
        <f>N(#REF!)*IF($E21="упак",MAX(1,IF(ISNA(MATCH($C21,FA,0)),1,N(INDEX(F_PAKET,MATCH($C21,FA,0))))),1)</f>
        <v>#REF!</v>
      </c>
      <c r="Z21" s="7" t="e">
        <f t="shared" si="3"/>
        <v>#REF!</v>
      </c>
      <c r="AA21" s="7">
        <f>IF(OR(ISNA(MATCH($C21,FA,0)),$J21="YEDEK",$J21="SARF"),0,N(#REF!)*N(INDEX(F_TEL,MATCH($C21,FA,0))))</f>
        <v>0</v>
      </c>
      <c r="AB21" s="7">
        <f>IF(OR(ISNA(MATCH($C21,FA,0)),$J21="YEDEK",$J21="SARF"),0,N(#REF!)*N(INDEX(F_TELM,MATCH($C21,FA,0))))</f>
        <v>0</v>
      </c>
      <c r="AC21" s="7" t="e">
        <f t="shared" si="4"/>
        <v>#REF!</v>
      </c>
      <c r="AD21" s="7">
        <f>IF(OR(ISNA(MATCH($C21,FA,0)),$J21&lt;&gt;"CIKIS"),0,N(INDEX(F_KK,MATCH($C21,FA,0))))</f>
        <v>0</v>
      </c>
      <c r="AE21" s="7">
        <f>IF($AD21=0,0,N(#REF!)*N(INDEX(F_KLN,MATCH($C21,FA,0))))</f>
        <v>0</v>
      </c>
      <c r="AF21" s="7">
        <f>IF($AD21=0,0,N(#REF!)*N(INDEX(F_KPE,MATCH($C21,FA,0))))</f>
        <v>0</v>
      </c>
      <c r="AG21" s="7" t="e">
        <f>IF(ISNA(MATCH($C21,FA,0)),0,N(#REF!)*N(INDEX(F_MODUL,MATCH($C21,FA,0))))</f>
        <v>#REF!</v>
      </c>
      <c r="AH21" s="7" t="e">
        <f>N(#REF!)*N($I21)</f>
        <v>#REF!</v>
      </c>
      <c r="AI21" s="7" t="e">
        <f t="shared" si="5"/>
        <v>#REF!</v>
      </c>
      <c r="AJ21" s="7">
        <f t="shared" si="6"/>
        <v>0</v>
      </c>
    </row>
    <row r="22" spans="1:36" x14ac:dyDescent="0.25">
      <c r="A22" s="4" t="str">
        <f t="shared" si="0"/>
        <v>ВРУ-1 (Ввод + Секция 1 + Секция 2)(ВРУ1-14-20А)(ВРУ1-41-00А) (260922 akram aulet)</v>
      </c>
      <c r="B22" s="4" t="s">
        <v>90</v>
      </c>
      <c r="C22" s="4" t="s">
        <v>518</v>
      </c>
      <c r="D22" s="4" t="s">
        <v>519</v>
      </c>
      <c r="E22" s="4" t="s">
        <v>520</v>
      </c>
      <c r="F22" s="4" t="s">
        <v>486</v>
      </c>
      <c r="G22" s="4" t="s">
        <v>38</v>
      </c>
      <c r="H22" s="5" t="e">
        <f>#REF!</f>
        <v>#REF!</v>
      </c>
      <c r="I22" s="6" t="e">
        <f t="shared" si="1"/>
        <v>#REF!</v>
      </c>
      <c r="J22" s="6" t="s">
        <v>84</v>
      </c>
      <c r="K22" s="6" t="s">
        <v>90</v>
      </c>
      <c r="L22" s="7" t="e">
        <f t="shared" si="2"/>
        <v>#REF!</v>
      </c>
      <c r="M22" s="7" t="s">
        <v>91</v>
      </c>
      <c r="O22" s="7">
        <f>IF(OR($C22="",$C22="FID YOK"),"",IF(ISNUMBER(MATCH($C22,FA_ANA,0)),"",IF(COUNTIF($C$1:$C21,$C22)&gt;0,"",MAX($O$1:$O21)+1)))</f>
        <v>18</v>
      </c>
      <c r="T22" s="7">
        <f>IF(ISNA(MATCH($C22,FA,0)),0,IF($J22="GIRIS",N(INDEX(F_INKOR,MATCH($C22,FA,0))),0))</f>
        <v>0</v>
      </c>
      <c r="Y22" s="7" t="e">
        <f>N(#REF!)*IF($E22="упак",MAX(1,IF(ISNA(MATCH($C22,FA,0)),1,N(INDEX(F_PAKET,MATCH($C22,FA,0))))),1)</f>
        <v>#REF!</v>
      </c>
      <c r="Z22" s="7" t="e">
        <f t="shared" si="3"/>
        <v>#REF!</v>
      </c>
      <c r="AA22" s="7">
        <f>IF(OR(ISNA(MATCH($C22,FA,0)),$J22="YEDEK",$J22="SARF"),0,N(#REF!)*N(INDEX(F_TEL,MATCH($C22,FA,0))))</f>
        <v>0</v>
      </c>
      <c r="AB22" s="7">
        <f>IF(OR(ISNA(MATCH($C22,FA,0)),$J22="YEDEK",$J22="SARF"),0,N(#REF!)*N(INDEX(F_TELM,MATCH($C22,FA,0))))</f>
        <v>0</v>
      </c>
      <c r="AC22" s="7" t="e">
        <f t="shared" si="4"/>
        <v>#REF!</v>
      </c>
      <c r="AD22" s="7">
        <f>IF(OR(ISNA(MATCH($C22,FA,0)),$J22&lt;&gt;"CIKIS"),0,N(INDEX(F_KK,MATCH($C22,FA,0))))</f>
        <v>0</v>
      </c>
      <c r="AE22" s="7">
        <f>IF($AD22=0,0,N(#REF!)*N(INDEX(F_KLN,MATCH($C22,FA,0))))</f>
        <v>0</v>
      </c>
      <c r="AF22" s="7">
        <f>IF($AD22=0,0,N(#REF!)*N(INDEX(F_KPE,MATCH($C22,FA,0))))</f>
        <v>0</v>
      </c>
      <c r="AG22" s="7" t="e">
        <f>IF(ISNA(MATCH($C22,FA,0)),0,N(#REF!)*N(INDEX(F_MODUL,MATCH($C22,FA,0))))</f>
        <v>#REF!</v>
      </c>
      <c r="AH22" s="7" t="e">
        <f>N(#REF!)*N($I22)</f>
        <v>#REF!</v>
      </c>
      <c r="AI22" s="7" t="e">
        <f t="shared" si="5"/>
        <v>#REF!</v>
      </c>
      <c r="AJ22" s="7">
        <f t="shared" si="6"/>
        <v>0</v>
      </c>
    </row>
    <row r="23" spans="1:36" x14ac:dyDescent="0.25">
      <c r="A23" s="4" t="str">
        <f t="shared" si="0"/>
        <v>ВРУ-1 (Ввод + Секция 1 + Секция 2)(ВРУ1-14-20А)(ВРУ1-41-00А) (260922 akram aulet)</v>
      </c>
      <c r="B23" s="4" t="s">
        <v>92</v>
      </c>
      <c r="C23" s="4" t="s">
        <v>523</v>
      </c>
      <c r="D23" s="4" t="s">
        <v>524</v>
      </c>
      <c r="E23" s="4" t="s">
        <v>520</v>
      </c>
      <c r="F23" s="4" t="s">
        <v>521</v>
      </c>
      <c r="G23" s="4" t="s">
        <v>38</v>
      </c>
      <c r="H23" s="5" t="e">
        <f>#REF!</f>
        <v>#REF!</v>
      </c>
      <c r="I23" s="6" t="e">
        <f t="shared" si="1"/>
        <v>#REF!</v>
      </c>
      <c r="J23" s="6" t="s">
        <v>84</v>
      </c>
      <c r="K23" s="6" t="s">
        <v>92</v>
      </c>
      <c r="L23" s="7" t="e">
        <f t="shared" si="2"/>
        <v>#REF!</v>
      </c>
      <c r="M23" s="7" t="s">
        <v>93</v>
      </c>
      <c r="O23" s="7">
        <f>IF(OR($C23="",$C23="FID YOK"),"",IF(ISNUMBER(MATCH($C23,FA_ANA,0)),"",IF(COUNTIF($C$1:$C22,$C23)&gt;0,"",MAX($O$1:$O22)+1)))</f>
        <v>19</v>
      </c>
      <c r="T23" s="7">
        <f>IF(ISNA(MATCH($C23,FA,0)),0,IF($J23="GIRIS",N(INDEX(F_INKOR,MATCH($C23,FA,0))),0))</f>
        <v>0</v>
      </c>
      <c r="Y23" s="7" t="e">
        <f>N(#REF!)*IF($E23="упак",MAX(1,IF(ISNA(MATCH($C23,FA,0)),1,N(INDEX(F_PAKET,MATCH($C23,FA,0))))),1)</f>
        <v>#REF!</v>
      </c>
      <c r="Z23" s="7" t="e">
        <f t="shared" si="3"/>
        <v>#REF!</v>
      </c>
      <c r="AA23" s="7">
        <f>IF(OR(ISNA(MATCH($C23,FA,0)),$J23="YEDEK",$J23="SARF"),0,N(#REF!)*N(INDEX(F_TEL,MATCH($C23,FA,0))))</f>
        <v>0</v>
      </c>
      <c r="AB23" s="7">
        <f>IF(OR(ISNA(MATCH($C23,FA,0)),$J23="YEDEK",$J23="SARF"),0,N(#REF!)*N(INDEX(F_TELM,MATCH($C23,FA,0))))</f>
        <v>0</v>
      </c>
      <c r="AC23" s="7" t="e">
        <f t="shared" si="4"/>
        <v>#REF!</v>
      </c>
      <c r="AD23" s="7">
        <f>IF(OR(ISNA(MATCH($C23,FA,0)),$J23&lt;&gt;"CIKIS"),0,N(INDEX(F_KK,MATCH($C23,FA,0))))</f>
        <v>0</v>
      </c>
      <c r="AE23" s="7">
        <f>IF($AD23=0,0,N(#REF!)*N(INDEX(F_KLN,MATCH($C23,FA,0))))</f>
        <v>0</v>
      </c>
      <c r="AF23" s="7">
        <f>IF($AD23=0,0,N(#REF!)*N(INDEX(F_KPE,MATCH($C23,FA,0))))</f>
        <v>0</v>
      </c>
      <c r="AG23" s="7" t="e">
        <f>IF(ISNA(MATCH($C23,FA,0)),0,N(#REF!)*N(INDEX(F_MODUL,MATCH($C23,FA,0))))</f>
        <v>#REF!</v>
      </c>
      <c r="AH23" s="7" t="e">
        <f>N(#REF!)*N($I23)</f>
        <v>#REF!</v>
      </c>
      <c r="AI23" s="7" t="e">
        <f t="shared" si="5"/>
        <v>#REF!</v>
      </c>
      <c r="AJ23" s="7">
        <f t="shared" si="6"/>
        <v>0</v>
      </c>
    </row>
    <row r="24" spans="1:36" x14ac:dyDescent="0.25">
      <c r="A24" s="4" t="str">
        <f t="shared" si="0"/>
        <v>ВРУ-1 (Ввод + Секция 1 + Секция 2)(ВРУ1-14-20А)(ВРУ1-41-00А) (260922 akram aulet)</v>
      </c>
      <c r="B24" s="4" t="s">
        <v>92</v>
      </c>
      <c r="C24" s="4" t="s">
        <v>527</v>
      </c>
      <c r="D24" s="4" t="s">
        <v>528</v>
      </c>
      <c r="E24" s="4" t="s">
        <v>520</v>
      </c>
      <c r="F24" s="4" t="s">
        <v>521</v>
      </c>
      <c r="G24" s="4" t="s">
        <v>38</v>
      </c>
      <c r="H24" s="5" t="e">
        <f>#REF!</f>
        <v>#REF!</v>
      </c>
      <c r="I24" s="6" t="e">
        <f t="shared" si="1"/>
        <v>#REF!</v>
      </c>
      <c r="J24" s="6" t="s">
        <v>84</v>
      </c>
      <c r="K24" s="6" t="s">
        <v>92</v>
      </c>
      <c r="L24" s="7" t="e">
        <f t="shared" si="2"/>
        <v>#REF!</v>
      </c>
      <c r="M24" s="7" t="s">
        <v>94</v>
      </c>
      <c r="O24" s="7">
        <f>IF(OR($C24="",$C24="FID YOK"),"",IF(ISNUMBER(MATCH($C24,FA_ANA,0)),"",IF(COUNTIF($C$1:$C23,$C24)&gt;0,"",MAX($O$1:$O23)+1)))</f>
        <v>20</v>
      </c>
      <c r="T24" s="7">
        <f>IF(ISNA(MATCH($C24,FA,0)),0,IF($J24="GIRIS",N(INDEX(F_INKOR,MATCH($C24,FA,0))),0))</f>
        <v>0</v>
      </c>
      <c r="Y24" s="7" t="e">
        <f>N(#REF!)*IF($E24="упак",MAX(1,IF(ISNA(MATCH($C24,FA,0)),1,N(INDEX(F_PAKET,MATCH($C24,FA,0))))),1)</f>
        <v>#REF!</v>
      </c>
      <c r="Z24" s="7" t="e">
        <f t="shared" si="3"/>
        <v>#REF!</v>
      </c>
      <c r="AA24" s="7">
        <f>IF(OR(ISNA(MATCH($C24,FA,0)),$J24="YEDEK",$J24="SARF"),0,N(#REF!)*N(INDEX(F_TEL,MATCH($C24,FA,0))))</f>
        <v>0</v>
      </c>
      <c r="AB24" s="7">
        <f>IF(OR(ISNA(MATCH($C24,FA,0)),$J24="YEDEK",$J24="SARF"),0,N(#REF!)*N(INDEX(F_TELM,MATCH($C24,FA,0))))</f>
        <v>0</v>
      </c>
      <c r="AC24" s="7" t="e">
        <f t="shared" si="4"/>
        <v>#REF!</v>
      </c>
      <c r="AD24" s="7">
        <f>IF(OR(ISNA(MATCH($C24,FA,0)),$J24&lt;&gt;"CIKIS"),0,N(INDEX(F_KK,MATCH($C24,FA,0))))</f>
        <v>0</v>
      </c>
      <c r="AE24" s="7">
        <f>IF($AD24=0,0,N(#REF!)*N(INDEX(F_KLN,MATCH($C24,FA,0))))</f>
        <v>0</v>
      </c>
      <c r="AF24" s="7">
        <f>IF($AD24=0,0,N(#REF!)*N(INDEX(F_KPE,MATCH($C24,FA,0))))</f>
        <v>0</v>
      </c>
      <c r="AG24" s="7" t="e">
        <f>IF(ISNA(MATCH($C24,FA,0)),0,N(#REF!)*N(INDEX(F_MODUL,MATCH($C24,FA,0))))</f>
        <v>#REF!</v>
      </c>
      <c r="AH24" s="7" t="e">
        <f>N(#REF!)*N($I24)</f>
        <v>#REF!</v>
      </c>
      <c r="AI24" s="7" t="e">
        <f t="shared" si="5"/>
        <v>#REF!</v>
      </c>
      <c r="AJ24" s="7">
        <f t="shared" si="6"/>
        <v>0</v>
      </c>
    </row>
    <row r="25" spans="1:36" x14ac:dyDescent="0.25">
      <c r="A25" s="4" t="str">
        <f t="shared" si="0"/>
        <v>ВРУ-1 (Ввод + Секция 1 + Секция 2)(ВРУ1-14-20А)(ВРУ1-41-00А) (260922 akram aulet)</v>
      </c>
      <c r="B25" s="4" t="s">
        <v>92</v>
      </c>
      <c r="C25" s="4" t="s">
        <v>531</v>
      </c>
      <c r="D25" s="4" t="s">
        <v>532</v>
      </c>
      <c r="E25" s="4" t="s">
        <v>520</v>
      </c>
      <c r="F25" s="4" t="s">
        <v>521</v>
      </c>
      <c r="G25" s="4" t="s">
        <v>38</v>
      </c>
      <c r="H25" s="5" t="e">
        <f>#REF!</f>
        <v>#REF!</v>
      </c>
      <c r="I25" s="6" t="e">
        <f t="shared" si="1"/>
        <v>#REF!</v>
      </c>
      <c r="J25" s="6" t="s">
        <v>84</v>
      </c>
      <c r="K25" s="6" t="s">
        <v>92</v>
      </c>
      <c r="L25" s="7" t="e">
        <f t="shared" si="2"/>
        <v>#REF!</v>
      </c>
      <c r="M25" s="7" t="s">
        <v>95</v>
      </c>
      <c r="O25" s="7">
        <f>IF(OR($C25="",$C25="FID YOK"),"",IF(ISNUMBER(MATCH($C25,FA_ANA,0)),"",IF(COUNTIF($C$1:$C24,$C25)&gt;0,"",MAX($O$1:$O24)+1)))</f>
        <v>21</v>
      </c>
      <c r="T25" s="7">
        <f>IF(ISNA(MATCH($C25,FA,0)),0,IF($J25="GIRIS",N(INDEX(F_INKOR,MATCH($C25,FA,0))),0))</f>
        <v>0</v>
      </c>
      <c r="Y25" s="7" t="e">
        <f>N(#REF!)*IF($E25="упак",MAX(1,IF(ISNA(MATCH($C25,FA,0)),1,N(INDEX(F_PAKET,MATCH($C25,FA,0))))),1)</f>
        <v>#REF!</v>
      </c>
      <c r="Z25" s="7" t="e">
        <f t="shared" si="3"/>
        <v>#REF!</v>
      </c>
      <c r="AA25" s="7">
        <f>IF(OR(ISNA(MATCH($C25,FA,0)),$J25="YEDEK",$J25="SARF"),0,N(#REF!)*N(INDEX(F_TEL,MATCH($C25,FA,0))))</f>
        <v>0</v>
      </c>
      <c r="AB25" s="7">
        <f>IF(OR(ISNA(MATCH($C25,FA,0)),$J25="YEDEK",$J25="SARF"),0,N(#REF!)*N(INDEX(F_TELM,MATCH($C25,FA,0))))</f>
        <v>0</v>
      </c>
      <c r="AC25" s="7" t="e">
        <f t="shared" si="4"/>
        <v>#REF!</v>
      </c>
      <c r="AD25" s="7">
        <f>IF(OR(ISNA(MATCH($C25,FA,0)),$J25&lt;&gt;"CIKIS"),0,N(INDEX(F_KK,MATCH($C25,FA,0))))</f>
        <v>0</v>
      </c>
      <c r="AE25" s="7">
        <f>IF($AD25=0,0,N(#REF!)*N(INDEX(F_KLN,MATCH($C25,FA,0))))</f>
        <v>0</v>
      </c>
      <c r="AF25" s="7">
        <f>IF($AD25=0,0,N(#REF!)*N(INDEX(F_KPE,MATCH($C25,FA,0))))</f>
        <v>0</v>
      </c>
      <c r="AG25" s="7" t="e">
        <f>IF(ISNA(MATCH($C25,FA,0)),0,N(#REF!)*N(INDEX(F_MODUL,MATCH($C25,FA,0))))</f>
        <v>#REF!</v>
      </c>
      <c r="AH25" s="7" t="e">
        <f>N(#REF!)*N($I25)</f>
        <v>#REF!</v>
      </c>
      <c r="AI25" s="7" t="e">
        <f t="shared" si="5"/>
        <v>#REF!</v>
      </c>
      <c r="AJ25" s="7">
        <f t="shared" si="6"/>
        <v>0</v>
      </c>
    </row>
    <row r="26" spans="1:36" x14ac:dyDescent="0.25">
      <c r="A26" s="4" t="str">
        <f t="shared" si="0"/>
        <v>ВРУ-1 (Ввод + Секция 1 + Секция 2)(ВРУ1-14-20А)(ВРУ1-41-00А) (260922 akram aulet)</v>
      </c>
      <c r="B26" s="4" t="s">
        <v>92</v>
      </c>
      <c r="C26" s="4" t="s">
        <v>541</v>
      </c>
      <c r="D26" s="4" t="s">
        <v>542</v>
      </c>
      <c r="E26" s="4" t="s">
        <v>520</v>
      </c>
      <c r="F26" s="4" t="s">
        <v>521</v>
      </c>
      <c r="G26" s="4" t="s">
        <v>38</v>
      </c>
      <c r="H26" s="5" t="e">
        <f>#REF!</f>
        <v>#REF!</v>
      </c>
      <c r="I26" s="6" t="e">
        <f t="shared" si="1"/>
        <v>#REF!</v>
      </c>
      <c r="J26" s="6" t="s">
        <v>84</v>
      </c>
      <c r="K26" s="6" t="s">
        <v>92</v>
      </c>
      <c r="L26" s="7" t="e">
        <f t="shared" si="2"/>
        <v>#REF!</v>
      </c>
      <c r="M26" s="7" t="s">
        <v>96</v>
      </c>
      <c r="O26" s="7">
        <f>IF(OR($C26="",$C26="FID YOK"),"",IF(ISNUMBER(MATCH($C26,FA_ANA,0)),"",IF(COUNTIF($C$1:$C25,$C26)&gt;0,"",MAX($O$1:$O25)+1)))</f>
        <v>22</v>
      </c>
      <c r="T26" s="7">
        <f>IF(ISNA(MATCH($C26,FA,0)),0,IF($J26="GIRIS",N(INDEX(F_INKOR,MATCH($C26,FA,0))),0))</f>
        <v>0</v>
      </c>
      <c r="Y26" s="7" t="e">
        <f>N(#REF!)*IF($E26="упак",MAX(1,IF(ISNA(MATCH($C26,FA,0)),1,N(INDEX(F_PAKET,MATCH($C26,FA,0))))),1)</f>
        <v>#REF!</v>
      </c>
      <c r="Z26" s="7" t="e">
        <f t="shared" si="3"/>
        <v>#REF!</v>
      </c>
      <c r="AA26" s="7">
        <f>IF(OR(ISNA(MATCH($C26,FA,0)),$J26="YEDEK",$J26="SARF"),0,N(#REF!)*N(INDEX(F_TEL,MATCH($C26,FA,0))))</f>
        <v>0</v>
      </c>
      <c r="AB26" s="7">
        <f>IF(OR(ISNA(MATCH($C26,FA,0)),$J26="YEDEK",$J26="SARF"),0,N(#REF!)*N(INDEX(F_TELM,MATCH($C26,FA,0))))</f>
        <v>0</v>
      </c>
      <c r="AC26" s="7" t="e">
        <f t="shared" si="4"/>
        <v>#REF!</v>
      </c>
      <c r="AD26" s="7">
        <f>IF(OR(ISNA(MATCH($C26,FA,0)),$J26&lt;&gt;"CIKIS"),0,N(INDEX(F_KK,MATCH($C26,FA,0))))</f>
        <v>0</v>
      </c>
      <c r="AE26" s="7">
        <f>IF($AD26=0,0,N(#REF!)*N(INDEX(F_KLN,MATCH($C26,FA,0))))</f>
        <v>0</v>
      </c>
      <c r="AF26" s="7">
        <f>IF($AD26=0,0,N(#REF!)*N(INDEX(F_KPE,MATCH($C26,FA,0))))</f>
        <v>0</v>
      </c>
      <c r="AG26" s="7" t="e">
        <f>IF(ISNA(MATCH($C26,FA,0)),0,N(#REF!)*N(INDEX(F_MODUL,MATCH($C26,FA,0))))</f>
        <v>#REF!</v>
      </c>
      <c r="AH26" s="7" t="e">
        <f>N(#REF!)*N($I26)</f>
        <v>#REF!</v>
      </c>
      <c r="AI26" s="7" t="e">
        <f t="shared" si="5"/>
        <v>#REF!</v>
      </c>
      <c r="AJ26" s="7">
        <f t="shared" si="6"/>
        <v>0</v>
      </c>
    </row>
    <row r="27" spans="1:36" x14ac:dyDescent="0.25">
      <c r="A27" s="4" t="str">
        <f t="shared" si="0"/>
        <v>ВРУ-1 (Ввод + Секция 1 + Секция 2)(ВРУ1-14-20А)(ВРУ1-41-00А) (260922 akram aulet)</v>
      </c>
      <c r="B27" s="4" t="s">
        <v>92</v>
      </c>
      <c r="C27" s="4" t="s">
        <v>551</v>
      </c>
      <c r="D27" s="4" t="s">
        <v>552</v>
      </c>
      <c r="E27" s="4" t="s">
        <v>520</v>
      </c>
      <c r="F27" s="4" t="s">
        <v>521</v>
      </c>
      <c r="G27" s="4" t="s">
        <v>38</v>
      </c>
      <c r="H27" s="5" t="e">
        <f>#REF!</f>
        <v>#REF!</v>
      </c>
      <c r="I27" s="6" t="e">
        <f t="shared" si="1"/>
        <v>#REF!</v>
      </c>
      <c r="J27" s="6" t="s">
        <v>84</v>
      </c>
      <c r="K27" s="6" t="s">
        <v>92</v>
      </c>
      <c r="L27" s="7" t="e">
        <f t="shared" si="2"/>
        <v>#REF!</v>
      </c>
      <c r="M27" s="7" t="s">
        <v>97</v>
      </c>
      <c r="O27" s="7">
        <f>IF(OR($C27="",$C27="FID YOK"),"",IF(ISNUMBER(MATCH($C27,FA_ANA,0)),"",IF(COUNTIF($C$1:$C26,$C27)&gt;0,"",MAX($O$1:$O26)+1)))</f>
        <v>23</v>
      </c>
      <c r="T27" s="7">
        <f>IF(ISNA(MATCH($C27,FA,0)),0,IF($J27="GIRIS",N(INDEX(F_INKOR,MATCH($C27,FA,0))),0))</f>
        <v>0</v>
      </c>
      <c r="Y27" s="7" t="e">
        <f>N(#REF!)*IF($E27="упак",MAX(1,IF(ISNA(MATCH($C27,FA,0)),1,N(INDEX(F_PAKET,MATCH($C27,FA,0))))),1)</f>
        <v>#REF!</v>
      </c>
      <c r="Z27" s="7" t="e">
        <f t="shared" si="3"/>
        <v>#REF!</v>
      </c>
      <c r="AA27" s="7">
        <f>IF(OR(ISNA(MATCH($C27,FA,0)),$J27="YEDEK",$J27="SARF"),0,N(#REF!)*N(INDEX(F_TEL,MATCH($C27,FA,0))))</f>
        <v>0</v>
      </c>
      <c r="AB27" s="7">
        <f>IF(OR(ISNA(MATCH($C27,FA,0)),$J27="YEDEK",$J27="SARF"),0,N(#REF!)*N(INDEX(F_TELM,MATCH($C27,FA,0))))</f>
        <v>0</v>
      </c>
      <c r="AC27" s="7" t="e">
        <f t="shared" si="4"/>
        <v>#REF!</v>
      </c>
      <c r="AD27" s="7">
        <f>IF(OR(ISNA(MATCH($C27,FA,0)),$J27&lt;&gt;"CIKIS"),0,N(INDEX(F_KK,MATCH($C27,FA,0))))</f>
        <v>0</v>
      </c>
      <c r="AE27" s="7">
        <f>IF($AD27=0,0,N(#REF!)*N(INDEX(F_KLN,MATCH($C27,FA,0))))</f>
        <v>0</v>
      </c>
      <c r="AF27" s="7">
        <f>IF($AD27=0,0,N(#REF!)*N(INDEX(F_KPE,MATCH($C27,FA,0))))</f>
        <v>0</v>
      </c>
      <c r="AG27" s="7" t="e">
        <f>IF(ISNA(MATCH($C27,FA,0)),0,N(#REF!)*N(INDEX(F_MODUL,MATCH($C27,FA,0))))</f>
        <v>#REF!</v>
      </c>
      <c r="AH27" s="7" t="e">
        <f>N(#REF!)*N($I27)</f>
        <v>#REF!</v>
      </c>
      <c r="AI27" s="7" t="e">
        <f t="shared" si="5"/>
        <v>#REF!</v>
      </c>
      <c r="AJ27" s="7">
        <f t="shared" si="6"/>
        <v>0</v>
      </c>
    </row>
    <row r="28" spans="1:36" x14ac:dyDescent="0.25">
      <c r="A28" s="4" t="str">
        <f t="shared" si="0"/>
        <v>ВРУ-1 (Ввод + Секция 1 + Секция 2)(ВРУ1-14-20А)(ВРУ1-41-00А) (260922 akram aulet)</v>
      </c>
      <c r="B28" s="4" t="s">
        <v>92</v>
      </c>
      <c r="C28" s="4" t="s">
        <v>555</v>
      </c>
      <c r="D28" s="4" t="s">
        <v>556</v>
      </c>
      <c r="E28" s="4" t="s">
        <v>520</v>
      </c>
      <c r="F28" s="4" t="s">
        <v>521</v>
      </c>
      <c r="G28" s="4" t="s">
        <v>38</v>
      </c>
      <c r="H28" s="5" t="e">
        <f>#REF!</f>
        <v>#REF!</v>
      </c>
      <c r="I28" s="6" t="e">
        <f t="shared" si="1"/>
        <v>#REF!</v>
      </c>
      <c r="J28" s="6" t="s">
        <v>84</v>
      </c>
      <c r="K28" s="6" t="s">
        <v>92</v>
      </c>
      <c r="L28" s="7" t="e">
        <f t="shared" si="2"/>
        <v>#REF!</v>
      </c>
      <c r="M28" s="7" t="s">
        <v>98</v>
      </c>
      <c r="O28" s="7">
        <f>IF(OR($C28="",$C28="FID YOK"),"",IF(ISNUMBER(MATCH($C28,FA_ANA,0)),"",IF(COUNTIF($C$1:$C27,$C28)&gt;0,"",MAX($O$1:$O27)+1)))</f>
        <v>24</v>
      </c>
      <c r="T28" s="7">
        <f>IF(ISNA(MATCH($C28,FA,0)),0,IF($J28="GIRIS",N(INDEX(F_INKOR,MATCH($C28,FA,0))),0))</f>
        <v>0</v>
      </c>
      <c r="Y28" s="7" t="e">
        <f>N(#REF!)*IF($E28="упак",MAX(1,IF(ISNA(MATCH($C28,FA,0)),1,N(INDEX(F_PAKET,MATCH($C28,FA,0))))),1)</f>
        <v>#REF!</v>
      </c>
      <c r="Z28" s="7" t="e">
        <f t="shared" si="3"/>
        <v>#REF!</v>
      </c>
      <c r="AA28" s="7">
        <f>IF(OR(ISNA(MATCH($C28,FA,0)),$J28="YEDEK",$J28="SARF"),0,N(#REF!)*N(INDEX(F_TEL,MATCH($C28,FA,0))))</f>
        <v>0</v>
      </c>
      <c r="AB28" s="7">
        <f>IF(OR(ISNA(MATCH($C28,FA,0)),$J28="YEDEK",$J28="SARF"),0,N(#REF!)*N(INDEX(F_TELM,MATCH($C28,FA,0))))</f>
        <v>0</v>
      </c>
      <c r="AC28" s="7" t="e">
        <f t="shared" si="4"/>
        <v>#REF!</v>
      </c>
      <c r="AD28" s="7">
        <f>IF(OR(ISNA(MATCH($C28,FA,0)),$J28&lt;&gt;"CIKIS"),0,N(INDEX(F_KK,MATCH($C28,FA,0))))</f>
        <v>0</v>
      </c>
      <c r="AE28" s="7">
        <f>IF($AD28=0,0,N(#REF!)*N(INDEX(F_KLN,MATCH($C28,FA,0))))</f>
        <v>0</v>
      </c>
      <c r="AF28" s="7">
        <f>IF($AD28=0,0,N(#REF!)*N(INDEX(F_KPE,MATCH($C28,FA,0))))</f>
        <v>0</v>
      </c>
      <c r="AG28" s="7" t="e">
        <f>IF(ISNA(MATCH($C28,FA,0)),0,N(#REF!)*N(INDEX(F_MODUL,MATCH($C28,FA,0))))</f>
        <v>#REF!</v>
      </c>
      <c r="AH28" s="7" t="e">
        <f>N(#REF!)*N($I28)</f>
        <v>#REF!</v>
      </c>
      <c r="AI28" s="7" t="e">
        <f t="shared" si="5"/>
        <v>#REF!</v>
      </c>
      <c r="AJ28" s="7">
        <f t="shared" si="6"/>
        <v>0</v>
      </c>
    </row>
    <row r="29" spans="1:36" x14ac:dyDescent="0.25">
      <c r="A29" s="4" t="str">
        <f t="shared" si="0"/>
        <v>ВРУ-1 (Ввод + Секция 1 + Секция 2)(ВРУ1-14-20А)(ВРУ1-41-00А) (260922 akram aulet)</v>
      </c>
      <c r="B29" s="4" t="s">
        <v>92</v>
      </c>
      <c r="C29" s="4" t="s">
        <v>567</v>
      </c>
      <c r="D29" s="4" t="s">
        <v>568</v>
      </c>
      <c r="E29" s="4" t="s">
        <v>520</v>
      </c>
      <c r="F29" s="4" t="s">
        <v>521</v>
      </c>
      <c r="G29" s="4" t="s">
        <v>38</v>
      </c>
      <c r="H29" s="5" t="e">
        <f>#REF!</f>
        <v>#REF!</v>
      </c>
      <c r="I29" s="6" t="e">
        <f t="shared" si="1"/>
        <v>#REF!</v>
      </c>
      <c r="J29" s="6" t="s">
        <v>84</v>
      </c>
      <c r="K29" s="6" t="s">
        <v>92</v>
      </c>
      <c r="L29" s="7" t="e">
        <f t="shared" si="2"/>
        <v>#REF!</v>
      </c>
      <c r="M29" s="7" t="s">
        <v>99</v>
      </c>
      <c r="O29" s="7">
        <f>IF(OR($C29="",$C29="FID YOK"),"",IF(ISNUMBER(MATCH($C29,FA_ANA,0)),"",IF(COUNTIF($C$1:$C28,$C29)&gt;0,"",MAX($O$1:$O28)+1)))</f>
        <v>25</v>
      </c>
      <c r="T29" s="7">
        <f>IF(ISNA(MATCH($C29,FA,0)),0,IF($J29="GIRIS",N(INDEX(F_INKOR,MATCH($C29,FA,0))),0))</f>
        <v>0</v>
      </c>
      <c r="Y29" s="7" t="e">
        <f>N(#REF!)*IF($E29="упак",MAX(1,IF(ISNA(MATCH($C29,FA,0)),1,N(INDEX(F_PAKET,MATCH($C29,FA,0))))),1)</f>
        <v>#REF!</v>
      </c>
      <c r="Z29" s="7" t="e">
        <f t="shared" si="3"/>
        <v>#REF!</v>
      </c>
      <c r="AA29" s="7">
        <f>IF(OR(ISNA(MATCH($C29,FA,0)),$J29="YEDEK",$J29="SARF"),0,N(#REF!)*N(INDEX(F_TEL,MATCH($C29,FA,0))))</f>
        <v>0</v>
      </c>
      <c r="AB29" s="7">
        <f>IF(OR(ISNA(MATCH($C29,FA,0)),$J29="YEDEK",$J29="SARF"),0,N(#REF!)*N(INDEX(F_TELM,MATCH($C29,FA,0))))</f>
        <v>0</v>
      </c>
      <c r="AC29" s="7" t="e">
        <f t="shared" si="4"/>
        <v>#REF!</v>
      </c>
      <c r="AD29" s="7">
        <f>IF(OR(ISNA(MATCH($C29,FA,0)),$J29&lt;&gt;"CIKIS"),0,N(INDEX(F_KK,MATCH($C29,FA,0))))</f>
        <v>0</v>
      </c>
      <c r="AE29" s="7">
        <f>IF($AD29=0,0,N(#REF!)*N(INDEX(F_KLN,MATCH($C29,FA,0))))</f>
        <v>0</v>
      </c>
      <c r="AF29" s="7">
        <f>IF($AD29=0,0,N(#REF!)*N(INDEX(F_KPE,MATCH($C29,FA,0))))</f>
        <v>0</v>
      </c>
      <c r="AG29" s="7" t="e">
        <f>IF(ISNA(MATCH($C29,FA,0)),0,N(#REF!)*N(INDEX(F_MODUL,MATCH($C29,FA,0))))</f>
        <v>#REF!</v>
      </c>
      <c r="AH29" s="7" t="e">
        <f>N(#REF!)*N($I29)</f>
        <v>#REF!</v>
      </c>
      <c r="AI29" s="7" t="e">
        <f t="shared" si="5"/>
        <v>#REF!</v>
      </c>
      <c r="AJ29" s="7">
        <f t="shared" si="6"/>
        <v>0</v>
      </c>
    </row>
    <row r="30" spans="1:36" x14ac:dyDescent="0.25">
      <c r="A30" s="4" t="str">
        <f t="shared" si="0"/>
        <v>ВРУ-1 (Ввод + Секция 1 + Секция 2)(ВРУ1-14-20А)(ВРУ1-41-00А) (260922 akram aulet)</v>
      </c>
      <c r="B30" s="4" t="s">
        <v>92</v>
      </c>
      <c r="C30" s="4" t="s">
        <v>535</v>
      </c>
      <c r="D30" s="4" t="s">
        <v>536</v>
      </c>
      <c r="E30" s="4" t="s">
        <v>520</v>
      </c>
      <c r="F30" s="4" t="s">
        <v>521</v>
      </c>
      <c r="G30" s="4" t="s">
        <v>38</v>
      </c>
      <c r="H30" s="5" t="e">
        <f>#REF!</f>
        <v>#REF!</v>
      </c>
      <c r="I30" s="6" t="e">
        <f t="shared" si="1"/>
        <v>#REF!</v>
      </c>
      <c r="J30" s="6" t="s">
        <v>84</v>
      </c>
      <c r="K30" s="6" t="s">
        <v>92</v>
      </c>
      <c r="L30" s="7" t="e">
        <f t="shared" si="2"/>
        <v>#REF!</v>
      </c>
      <c r="M30" s="7" t="s">
        <v>100</v>
      </c>
      <c r="O30" s="7">
        <f>IF(OR($C30="",$C30="FID YOK"),"",IF(ISNUMBER(MATCH($C30,FA_ANA,0)),"",IF(COUNTIF($C$1:$C29,$C30)&gt;0,"",MAX($O$1:$O29)+1)))</f>
        <v>26</v>
      </c>
      <c r="T30" s="7">
        <f>IF(ISNA(MATCH($C30,FA,0)),0,IF($J30="GIRIS",N(INDEX(F_INKOR,MATCH($C30,FA,0))),0))</f>
        <v>0</v>
      </c>
      <c r="Y30" s="7" t="e">
        <f>N(#REF!)*IF($E30="упак",MAX(1,IF(ISNA(MATCH($C30,FA,0)),1,N(INDEX(F_PAKET,MATCH($C30,FA,0))))),1)</f>
        <v>#REF!</v>
      </c>
      <c r="Z30" s="7" t="e">
        <f t="shared" si="3"/>
        <v>#REF!</v>
      </c>
      <c r="AA30" s="7">
        <f>IF(OR(ISNA(MATCH($C30,FA,0)),$J30="YEDEK",$J30="SARF"),0,N(#REF!)*N(INDEX(F_TEL,MATCH($C30,FA,0))))</f>
        <v>0</v>
      </c>
      <c r="AB30" s="7">
        <f>IF(OR(ISNA(MATCH($C30,FA,0)),$J30="YEDEK",$J30="SARF"),0,N(#REF!)*N(INDEX(F_TELM,MATCH($C30,FA,0))))</f>
        <v>0</v>
      </c>
      <c r="AC30" s="7" t="e">
        <f t="shared" si="4"/>
        <v>#REF!</v>
      </c>
      <c r="AD30" s="7">
        <f>IF(OR(ISNA(MATCH($C30,FA,0)),$J30&lt;&gt;"CIKIS"),0,N(INDEX(F_KK,MATCH($C30,FA,0))))</f>
        <v>0</v>
      </c>
      <c r="AE30" s="7">
        <f>IF($AD30=0,0,N(#REF!)*N(INDEX(F_KLN,MATCH($C30,FA,0))))</f>
        <v>0</v>
      </c>
      <c r="AF30" s="7">
        <f>IF($AD30=0,0,N(#REF!)*N(INDEX(F_KPE,MATCH($C30,FA,0))))</f>
        <v>0</v>
      </c>
      <c r="AG30" s="7" t="e">
        <f>IF(ISNA(MATCH($C30,FA,0)),0,N(#REF!)*N(INDEX(F_MODUL,MATCH($C30,FA,0))))</f>
        <v>#REF!</v>
      </c>
      <c r="AH30" s="7" t="e">
        <f>N(#REF!)*N($I30)</f>
        <v>#REF!</v>
      </c>
      <c r="AI30" s="7" t="e">
        <f t="shared" si="5"/>
        <v>#REF!</v>
      </c>
      <c r="AJ30" s="7">
        <f t="shared" si="6"/>
        <v>0</v>
      </c>
    </row>
    <row r="31" spans="1:36" x14ac:dyDescent="0.25">
      <c r="A31" s="4" t="str">
        <f t="shared" si="0"/>
        <v>ВРУ-1 (Ввод + Секция 1 + Секция 2)(ВРУ1-14-20А)(ВРУ1-41-00А) (260922 akram aulet)</v>
      </c>
      <c r="B31" s="4" t="s">
        <v>101</v>
      </c>
      <c r="C31" s="4" t="s">
        <v>525</v>
      </c>
      <c r="D31" s="4" t="s">
        <v>526</v>
      </c>
      <c r="E31" s="4" t="s">
        <v>522</v>
      </c>
      <c r="F31" s="4" t="s">
        <v>486</v>
      </c>
      <c r="G31" s="4" t="s">
        <v>38</v>
      </c>
      <c r="H31" s="5" t="e">
        <f>#REF!</f>
        <v>#REF!</v>
      </c>
      <c r="I31" s="6" t="e">
        <f t="shared" si="1"/>
        <v>#REF!</v>
      </c>
      <c r="J31" s="6" t="s">
        <v>84</v>
      </c>
      <c r="K31" s="6" t="s">
        <v>101</v>
      </c>
      <c r="L31" s="7" t="e">
        <f t="shared" si="2"/>
        <v>#REF!</v>
      </c>
      <c r="M31" s="7" t="s">
        <v>102</v>
      </c>
      <c r="O31" s="7">
        <f>IF(OR($C31="",$C31="FID YOK"),"",IF(ISNUMBER(MATCH($C31,FA_ANA,0)),"",IF(COUNTIF($C$1:$C30,$C31)&gt;0,"",MAX($O$1:$O30)+1)))</f>
        <v>27</v>
      </c>
      <c r="T31" s="7">
        <f>IF(ISNA(MATCH($C31,FA,0)),0,IF($J31="GIRIS",N(INDEX(F_INKOR,MATCH($C31,FA,0))),0))</f>
        <v>0</v>
      </c>
      <c r="Y31" s="7" t="e">
        <f>N(#REF!)*IF($E31="упак",MAX(1,IF(ISNA(MATCH($C31,FA,0)),1,N(INDEX(F_PAKET,MATCH($C31,FA,0))))),1)</f>
        <v>#REF!</v>
      </c>
      <c r="Z31" s="7" t="e">
        <f t="shared" si="3"/>
        <v>#REF!</v>
      </c>
      <c r="AA31" s="7">
        <f>IF(OR(ISNA(MATCH($C31,FA,0)),$J31="YEDEK",$J31="SARF"),0,N(#REF!)*N(INDEX(F_TEL,MATCH($C31,FA,0))))</f>
        <v>0</v>
      </c>
      <c r="AB31" s="7">
        <f>IF(OR(ISNA(MATCH($C31,FA,0)),$J31="YEDEK",$J31="SARF"),0,N(#REF!)*N(INDEX(F_TELM,MATCH($C31,FA,0))))</f>
        <v>0</v>
      </c>
      <c r="AC31" s="7" t="e">
        <f t="shared" si="4"/>
        <v>#REF!</v>
      </c>
      <c r="AD31" s="7">
        <f>IF(OR(ISNA(MATCH($C31,FA,0)),$J31&lt;&gt;"CIKIS"),0,N(INDEX(F_KK,MATCH($C31,FA,0))))</f>
        <v>0</v>
      </c>
      <c r="AE31" s="7">
        <f>IF($AD31=0,0,N(#REF!)*N(INDEX(F_KLN,MATCH($C31,FA,0))))</f>
        <v>0</v>
      </c>
      <c r="AF31" s="7">
        <f>IF($AD31=0,0,N(#REF!)*N(INDEX(F_KPE,MATCH($C31,FA,0))))</f>
        <v>0</v>
      </c>
      <c r="AG31" s="7" t="e">
        <f>IF(ISNA(MATCH($C31,FA,0)),0,N(#REF!)*N(INDEX(F_MODUL,MATCH($C31,FA,0))))</f>
        <v>#REF!</v>
      </c>
      <c r="AH31" s="7" t="e">
        <f>N(#REF!)*N($I31)</f>
        <v>#REF!</v>
      </c>
      <c r="AI31" s="7" t="e">
        <f t="shared" si="5"/>
        <v>#REF!</v>
      </c>
      <c r="AJ31" s="7">
        <f t="shared" si="6"/>
        <v>0</v>
      </c>
    </row>
    <row r="32" spans="1:36" x14ac:dyDescent="0.25">
      <c r="A32" s="4" t="str">
        <f t="shared" si="0"/>
        <v>ВРУ-1 (Ввод + Секция 1 + Секция 2)(ВРУ1-14-20А)(ВРУ1-41-00А) (260922 akram aulet)</v>
      </c>
      <c r="B32" s="4" t="s">
        <v>101</v>
      </c>
      <c r="C32" s="4" t="s">
        <v>529</v>
      </c>
      <c r="D32" s="4" t="s">
        <v>530</v>
      </c>
      <c r="E32" s="4" t="s">
        <v>522</v>
      </c>
      <c r="F32" s="4" t="s">
        <v>486</v>
      </c>
      <c r="G32" s="4" t="s">
        <v>38</v>
      </c>
      <c r="H32" s="5" t="e">
        <f>#REF!</f>
        <v>#REF!</v>
      </c>
      <c r="I32" s="6" t="e">
        <f t="shared" si="1"/>
        <v>#REF!</v>
      </c>
      <c r="J32" s="6" t="s">
        <v>84</v>
      </c>
      <c r="K32" s="6" t="s">
        <v>101</v>
      </c>
      <c r="L32" s="7" t="e">
        <f t="shared" si="2"/>
        <v>#REF!</v>
      </c>
      <c r="M32" s="7" t="s">
        <v>103</v>
      </c>
      <c r="O32" s="7">
        <f>IF(OR($C32="",$C32="FID YOK"),"",IF(ISNUMBER(MATCH($C32,FA_ANA,0)),"",IF(COUNTIF($C$1:$C31,$C32)&gt;0,"",MAX($O$1:$O31)+1)))</f>
        <v>28</v>
      </c>
      <c r="T32" s="7">
        <f>IF(ISNA(MATCH($C32,FA,0)),0,IF($J32="GIRIS",N(INDEX(F_INKOR,MATCH($C32,FA,0))),0))</f>
        <v>0</v>
      </c>
      <c r="Y32" s="7" t="e">
        <f>N(#REF!)*IF($E32="упак",MAX(1,IF(ISNA(MATCH($C32,FA,0)),1,N(INDEX(F_PAKET,MATCH($C32,FA,0))))),1)</f>
        <v>#REF!</v>
      </c>
      <c r="Z32" s="7" t="e">
        <f t="shared" si="3"/>
        <v>#REF!</v>
      </c>
      <c r="AA32" s="7">
        <f>IF(OR(ISNA(MATCH($C32,FA,0)),$J32="YEDEK",$J32="SARF"),0,N(#REF!)*N(INDEX(F_TEL,MATCH($C32,FA,0))))</f>
        <v>0</v>
      </c>
      <c r="AB32" s="7">
        <f>IF(OR(ISNA(MATCH($C32,FA,0)),$J32="YEDEK",$J32="SARF"),0,N(#REF!)*N(INDEX(F_TELM,MATCH($C32,FA,0))))</f>
        <v>0</v>
      </c>
      <c r="AC32" s="7" t="e">
        <f t="shared" si="4"/>
        <v>#REF!</v>
      </c>
      <c r="AD32" s="7">
        <f>IF(OR(ISNA(MATCH($C32,FA,0)),$J32&lt;&gt;"CIKIS"),0,N(INDEX(F_KK,MATCH($C32,FA,0))))</f>
        <v>0</v>
      </c>
      <c r="AE32" s="7">
        <f>IF($AD32=0,0,N(#REF!)*N(INDEX(F_KLN,MATCH($C32,FA,0))))</f>
        <v>0</v>
      </c>
      <c r="AF32" s="7">
        <f>IF($AD32=0,0,N(#REF!)*N(INDEX(F_KPE,MATCH($C32,FA,0))))</f>
        <v>0</v>
      </c>
      <c r="AG32" s="7" t="e">
        <f>IF(ISNA(MATCH($C32,FA,0)),0,N(#REF!)*N(INDEX(F_MODUL,MATCH($C32,FA,0))))</f>
        <v>#REF!</v>
      </c>
      <c r="AH32" s="7" t="e">
        <f>N(#REF!)*N($I32)</f>
        <v>#REF!</v>
      </c>
      <c r="AI32" s="7" t="e">
        <f t="shared" si="5"/>
        <v>#REF!</v>
      </c>
      <c r="AJ32" s="7">
        <f t="shared" si="6"/>
        <v>0</v>
      </c>
    </row>
    <row r="33" spans="1:36" x14ac:dyDescent="0.25">
      <c r="A33" s="4" t="str">
        <f t="shared" si="0"/>
        <v>ВРУ-1 (Ввод + Секция 1 + Секция 2)(ВРУ1-14-20А)(ВРУ1-41-00А) (260922 akram aulet)</v>
      </c>
      <c r="B33" s="4" t="s">
        <v>101</v>
      </c>
      <c r="C33" s="4" t="s">
        <v>533</v>
      </c>
      <c r="D33" s="4" t="s">
        <v>534</v>
      </c>
      <c r="E33" s="4" t="s">
        <v>522</v>
      </c>
      <c r="F33" s="4" t="s">
        <v>486</v>
      </c>
      <c r="G33" s="4" t="s">
        <v>38</v>
      </c>
      <c r="H33" s="5" t="e">
        <f>#REF!</f>
        <v>#REF!</v>
      </c>
      <c r="I33" s="6" t="e">
        <f t="shared" si="1"/>
        <v>#REF!</v>
      </c>
      <c r="J33" s="6" t="s">
        <v>84</v>
      </c>
      <c r="K33" s="6" t="s">
        <v>101</v>
      </c>
      <c r="L33" s="7" t="e">
        <f t="shared" si="2"/>
        <v>#REF!</v>
      </c>
      <c r="M33" s="7" t="s">
        <v>104</v>
      </c>
      <c r="O33" s="7">
        <f>IF(OR($C33="",$C33="FID YOK"),"",IF(ISNUMBER(MATCH($C33,FA_ANA,0)),"",IF(COUNTIF($C$1:$C32,$C33)&gt;0,"",MAX($O$1:$O32)+1)))</f>
        <v>29</v>
      </c>
      <c r="T33" s="7">
        <f>IF(ISNA(MATCH($C33,FA,0)),0,IF($J33="GIRIS",N(INDEX(F_INKOR,MATCH($C33,FA,0))),0))</f>
        <v>0</v>
      </c>
      <c r="Y33" s="7" t="e">
        <f>N(#REF!)*IF($E33="упак",MAX(1,IF(ISNA(MATCH($C33,FA,0)),1,N(INDEX(F_PAKET,MATCH($C33,FA,0))))),1)</f>
        <v>#REF!</v>
      </c>
      <c r="Z33" s="7" t="e">
        <f t="shared" si="3"/>
        <v>#REF!</v>
      </c>
      <c r="AA33" s="7">
        <f>IF(OR(ISNA(MATCH($C33,FA,0)),$J33="YEDEK",$J33="SARF"),0,N(#REF!)*N(INDEX(F_TEL,MATCH($C33,FA,0))))</f>
        <v>0</v>
      </c>
      <c r="AB33" s="7">
        <f>IF(OR(ISNA(MATCH($C33,FA,0)),$J33="YEDEK",$J33="SARF"),0,N(#REF!)*N(INDEX(F_TELM,MATCH($C33,FA,0))))</f>
        <v>0</v>
      </c>
      <c r="AC33" s="7" t="e">
        <f t="shared" si="4"/>
        <v>#REF!</v>
      </c>
      <c r="AD33" s="7">
        <f>IF(OR(ISNA(MATCH($C33,FA,0)),$J33&lt;&gt;"CIKIS"),0,N(INDEX(F_KK,MATCH($C33,FA,0))))</f>
        <v>0</v>
      </c>
      <c r="AE33" s="7">
        <f>IF($AD33=0,0,N(#REF!)*N(INDEX(F_KLN,MATCH($C33,FA,0))))</f>
        <v>0</v>
      </c>
      <c r="AF33" s="7">
        <f>IF($AD33=0,0,N(#REF!)*N(INDEX(F_KPE,MATCH($C33,FA,0))))</f>
        <v>0</v>
      </c>
      <c r="AG33" s="7" t="e">
        <f>IF(ISNA(MATCH($C33,FA,0)),0,N(#REF!)*N(INDEX(F_MODUL,MATCH($C33,FA,0))))</f>
        <v>#REF!</v>
      </c>
      <c r="AH33" s="7" t="e">
        <f>N(#REF!)*N($I33)</f>
        <v>#REF!</v>
      </c>
      <c r="AI33" s="7" t="e">
        <f t="shared" si="5"/>
        <v>#REF!</v>
      </c>
      <c r="AJ33" s="7">
        <f t="shared" si="6"/>
        <v>0</v>
      </c>
    </row>
    <row r="34" spans="1:36" x14ac:dyDescent="0.25">
      <c r="A34" s="4" t="e">
        <f>#REF!</f>
        <v>#REF!</v>
      </c>
      <c r="B34" s="4" t="s">
        <v>105</v>
      </c>
      <c r="C34" s="4" t="s">
        <v>543</v>
      </c>
      <c r="D34" s="4" t="s">
        <v>544</v>
      </c>
      <c r="E34" s="4" t="s">
        <v>114</v>
      </c>
      <c r="F34" s="4" t="s">
        <v>486</v>
      </c>
      <c r="G34" s="4" t="s">
        <v>38</v>
      </c>
      <c r="H34" s="5" t="e">
        <f>#REF!</f>
        <v>#REF!</v>
      </c>
      <c r="I34" s="6" t="e">
        <f>#REF!</f>
        <v>#REF!</v>
      </c>
      <c r="J34" s="6" t="s">
        <v>84</v>
      </c>
      <c r="K34" s="6" t="s">
        <v>105</v>
      </c>
      <c r="L34" s="7" t="e">
        <f t="shared" si="2"/>
        <v>#REF!</v>
      </c>
      <c r="M34" s="7" t="s">
        <v>106</v>
      </c>
      <c r="O34" s="7">
        <f>IF(OR($C34="",$C34="FID YOK"),"",IF(ISNUMBER(MATCH($C34,FA_ANA,0)),"",IF(COUNTIF($C$1:$C33,$C34)&gt;0,"",MAX($O$1:$O33)+1)))</f>
        <v>30</v>
      </c>
      <c r="T34" s="7">
        <f>IF(ISNA(MATCH($C34,FA,0)),0,IF($J34="GIRIS",N(INDEX(F_INKOR,MATCH($C34,FA,0))),0))</f>
        <v>0</v>
      </c>
      <c r="Y34" s="7" t="e">
        <f>N(#REF!)*IF($E34="упак",MAX(1,IF(ISNA(MATCH($C34,FA,0)),1,N(INDEX(F_PAKET,MATCH($C34,FA,0))))),1)</f>
        <v>#REF!</v>
      </c>
      <c r="Z34" s="7" t="e">
        <f t="shared" si="3"/>
        <v>#REF!</v>
      </c>
      <c r="AA34" s="7">
        <f>IF(OR(ISNA(MATCH($C34,FA,0)),$J34="YEDEK",$J34="SARF"),0,N(#REF!)*N(INDEX(F_TEL,MATCH($C34,FA,0))))</f>
        <v>0</v>
      </c>
      <c r="AB34" s="7">
        <f>IF(OR(ISNA(MATCH($C34,FA,0)),$J34="YEDEK",$J34="SARF"),0,N(#REF!)*N(INDEX(F_TELM,MATCH($C34,FA,0))))</f>
        <v>0</v>
      </c>
      <c r="AC34" s="7" t="e">
        <f t="shared" si="4"/>
        <v>#REF!</v>
      </c>
      <c r="AD34" s="7">
        <f>IF(OR(ISNA(MATCH($C34,FA,0)),$J34&lt;&gt;"CIKIS"),0,N(INDEX(F_KK,MATCH($C34,FA,0))))</f>
        <v>0</v>
      </c>
      <c r="AE34" s="7">
        <f>IF($AD34=0,0,N(#REF!)*N(INDEX(F_KLN,MATCH($C34,FA,0))))</f>
        <v>0</v>
      </c>
      <c r="AF34" s="7">
        <f>IF($AD34=0,0,N(#REF!)*N(INDEX(F_KPE,MATCH($C34,FA,0))))</f>
        <v>0</v>
      </c>
      <c r="AG34" s="7" t="e">
        <f>IF(ISNA(MATCH($C34,FA,0)),0,N(#REF!)*N(INDEX(F_MODUL,MATCH($C34,FA,0))))</f>
        <v>#REF!</v>
      </c>
      <c r="AH34" s="7" t="e">
        <f>N(#REF!)*N($I34)</f>
        <v>#REF!</v>
      </c>
      <c r="AI34" s="7" t="e">
        <f t="shared" si="5"/>
        <v>#REF!</v>
      </c>
      <c r="AJ34" s="7">
        <f t="shared" si="6"/>
        <v>0</v>
      </c>
    </row>
    <row r="35" spans="1:36" x14ac:dyDescent="0.25">
      <c r="A35" s="4" t="e">
        <f t="shared" si="0"/>
        <v>#REF!</v>
      </c>
      <c r="B35" s="4" t="s">
        <v>105</v>
      </c>
      <c r="C35" s="4" t="s">
        <v>553</v>
      </c>
      <c r="D35" s="4" t="s">
        <v>554</v>
      </c>
      <c r="E35" s="4" t="s">
        <v>114</v>
      </c>
      <c r="F35" s="4" t="s">
        <v>486</v>
      </c>
      <c r="G35" s="4" t="s">
        <v>38</v>
      </c>
      <c r="H35" s="5" t="e">
        <f>#REF!</f>
        <v>#REF!</v>
      </c>
      <c r="I35" s="6" t="e">
        <f t="shared" si="1"/>
        <v>#REF!</v>
      </c>
      <c r="J35" s="6" t="s">
        <v>84</v>
      </c>
      <c r="K35" s="6" t="s">
        <v>105</v>
      </c>
      <c r="L35" s="7" t="e">
        <f t="shared" si="2"/>
        <v>#REF!</v>
      </c>
      <c r="M35" s="7" t="s">
        <v>107</v>
      </c>
      <c r="O35" s="7">
        <f>IF(OR($C35="",$C35="FID YOK"),"",IF(ISNUMBER(MATCH($C35,FA_ANA,0)),"",IF(COUNTIF($C$1:$C34,$C35)&gt;0,"",MAX($O$1:$O34)+1)))</f>
        <v>31</v>
      </c>
      <c r="T35" s="7">
        <f>IF(ISNA(MATCH($C35,FA,0)),0,IF($J35="GIRIS",N(INDEX(F_INKOR,MATCH($C35,FA,0))),0))</f>
        <v>0</v>
      </c>
      <c r="Y35" s="7" t="e">
        <f>N(#REF!)*IF($E35="упак",MAX(1,IF(ISNA(MATCH($C35,FA,0)),1,N(INDEX(F_PAKET,MATCH($C35,FA,0))))),1)</f>
        <v>#REF!</v>
      </c>
      <c r="Z35" s="7" t="e">
        <f t="shared" si="3"/>
        <v>#REF!</v>
      </c>
      <c r="AA35" s="7">
        <f>IF(OR(ISNA(MATCH($C35,FA,0)),$J35="YEDEK",$J35="SARF"),0,N(#REF!)*N(INDEX(F_TEL,MATCH($C35,FA,0))))</f>
        <v>0</v>
      </c>
      <c r="AB35" s="7">
        <f>IF(OR(ISNA(MATCH($C35,FA,0)),$J35="YEDEK",$J35="SARF"),0,N(#REF!)*N(INDEX(F_TELM,MATCH($C35,FA,0))))</f>
        <v>0</v>
      </c>
      <c r="AC35" s="7" t="e">
        <f t="shared" si="4"/>
        <v>#REF!</v>
      </c>
      <c r="AD35" s="7">
        <f>IF(OR(ISNA(MATCH($C35,FA,0)),$J35&lt;&gt;"CIKIS"),0,N(INDEX(F_KK,MATCH($C35,FA,0))))</f>
        <v>0</v>
      </c>
      <c r="AE35" s="7">
        <f>IF($AD35=0,0,N(#REF!)*N(INDEX(F_KLN,MATCH($C35,FA,0))))</f>
        <v>0</v>
      </c>
      <c r="AF35" s="7">
        <f>IF($AD35=0,0,N(#REF!)*N(INDEX(F_KPE,MATCH($C35,FA,0))))</f>
        <v>0</v>
      </c>
      <c r="AG35" s="7" t="e">
        <f>IF(ISNA(MATCH($C35,FA,0)),0,N(#REF!)*N(INDEX(F_MODUL,MATCH($C35,FA,0))))</f>
        <v>#REF!</v>
      </c>
      <c r="AH35" s="7" t="e">
        <f>N(#REF!)*N($I35)</f>
        <v>#REF!</v>
      </c>
      <c r="AI35" s="7" t="e">
        <f t="shared" si="5"/>
        <v>#REF!</v>
      </c>
      <c r="AJ35" s="7">
        <f t="shared" si="6"/>
        <v>0</v>
      </c>
    </row>
    <row r="36" spans="1:36" x14ac:dyDescent="0.25">
      <c r="A36" s="4" t="e">
        <f t="shared" si="0"/>
        <v>#REF!</v>
      </c>
      <c r="B36" s="4" t="s">
        <v>105</v>
      </c>
      <c r="C36" s="4" t="s">
        <v>557</v>
      </c>
      <c r="D36" s="4" t="s">
        <v>558</v>
      </c>
      <c r="E36" s="4" t="s">
        <v>114</v>
      </c>
      <c r="F36" s="4" t="s">
        <v>486</v>
      </c>
      <c r="G36" s="4" t="s">
        <v>38</v>
      </c>
      <c r="H36" s="5" t="e">
        <f>#REF!</f>
        <v>#REF!</v>
      </c>
      <c r="I36" s="6" t="e">
        <f t="shared" si="1"/>
        <v>#REF!</v>
      </c>
      <c r="J36" s="6" t="s">
        <v>84</v>
      </c>
      <c r="K36" s="6" t="s">
        <v>105</v>
      </c>
      <c r="L36" s="7" t="e">
        <f t="shared" si="2"/>
        <v>#REF!</v>
      </c>
      <c r="M36" s="7" t="s">
        <v>108</v>
      </c>
      <c r="O36" s="7">
        <f>IF(OR($C36="",$C36="FID YOK"),"",IF(ISNUMBER(MATCH($C36,FA_ANA,0)),"",IF(COUNTIF($C$1:$C35,$C36)&gt;0,"",MAX($O$1:$O35)+1)))</f>
        <v>32</v>
      </c>
      <c r="T36" s="7">
        <f>IF(ISNA(MATCH($C36,FA,0)),0,IF($J36="GIRIS",N(INDEX(F_INKOR,MATCH($C36,FA,0))),0))</f>
        <v>0</v>
      </c>
      <c r="Y36" s="7" t="e">
        <f>N(#REF!)*IF($E36="упак",MAX(1,IF(ISNA(MATCH($C36,FA,0)),1,N(INDEX(F_PAKET,MATCH($C36,FA,0))))),1)</f>
        <v>#REF!</v>
      </c>
      <c r="Z36" s="7" t="e">
        <f t="shared" si="3"/>
        <v>#REF!</v>
      </c>
      <c r="AA36" s="7">
        <f>IF(OR(ISNA(MATCH($C36,FA,0)),$J36="YEDEK",$J36="SARF"),0,N(#REF!)*N(INDEX(F_TEL,MATCH($C36,FA,0))))</f>
        <v>0</v>
      </c>
      <c r="AB36" s="7">
        <f>IF(OR(ISNA(MATCH($C36,FA,0)),$J36="YEDEK",$J36="SARF"),0,N(#REF!)*N(INDEX(F_TELM,MATCH($C36,FA,0))))</f>
        <v>0</v>
      </c>
      <c r="AC36" s="7" t="e">
        <f t="shared" si="4"/>
        <v>#REF!</v>
      </c>
      <c r="AD36" s="7">
        <f>IF(OR(ISNA(MATCH($C36,FA,0)),$J36&lt;&gt;"CIKIS"),0,N(INDEX(F_KK,MATCH($C36,FA,0))))</f>
        <v>0</v>
      </c>
      <c r="AE36" s="7">
        <f>IF($AD36=0,0,N(#REF!)*N(INDEX(F_KLN,MATCH($C36,FA,0))))</f>
        <v>0</v>
      </c>
      <c r="AF36" s="7">
        <f>IF($AD36=0,0,N(#REF!)*N(INDEX(F_KPE,MATCH($C36,FA,0))))</f>
        <v>0</v>
      </c>
      <c r="AG36" s="7" t="e">
        <f>IF(ISNA(MATCH($C36,FA,0)),0,N(#REF!)*N(INDEX(F_MODUL,MATCH($C36,FA,0))))</f>
        <v>#REF!</v>
      </c>
      <c r="AH36" s="7" t="e">
        <f>N(#REF!)*N($I36)</f>
        <v>#REF!</v>
      </c>
      <c r="AI36" s="7" t="e">
        <f t="shared" si="5"/>
        <v>#REF!</v>
      </c>
      <c r="AJ36" s="7">
        <f t="shared" si="6"/>
        <v>0</v>
      </c>
    </row>
    <row r="37" spans="1:36" x14ac:dyDescent="0.25">
      <c r="A37" s="4" t="e">
        <f t="shared" si="0"/>
        <v>#REF!</v>
      </c>
      <c r="B37" s="4" t="s">
        <v>105</v>
      </c>
      <c r="C37" s="4" t="s">
        <v>569</v>
      </c>
      <c r="D37" s="4" t="s">
        <v>570</v>
      </c>
      <c r="E37" s="4" t="s">
        <v>114</v>
      </c>
      <c r="F37" s="4" t="s">
        <v>486</v>
      </c>
      <c r="G37" s="4" t="s">
        <v>38</v>
      </c>
      <c r="H37" s="5" t="e">
        <f>#REF!</f>
        <v>#REF!</v>
      </c>
      <c r="I37" s="6" t="e">
        <f t="shared" si="1"/>
        <v>#REF!</v>
      </c>
      <c r="J37" s="6" t="s">
        <v>84</v>
      </c>
      <c r="K37" s="6" t="s">
        <v>105</v>
      </c>
      <c r="L37" s="7" t="e">
        <f t="shared" si="2"/>
        <v>#REF!</v>
      </c>
      <c r="M37" s="7" t="s">
        <v>109</v>
      </c>
      <c r="O37" s="7">
        <f>IF(OR($C37="",$C37="FID YOK"),"",IF(ISNUMBER(MATCH($C37,FA_ANA,0)),"",IF(COUNTIF($C$1:$C36,$C37)&gt;0,"",MAX($O$1:$O36)+1)))</f>
        <v>33</v>
      </c>
      <c r="T37" s="7">
        <f>IF(ISNA(MATCH($C37,FA,0)),0,IF($J37="GIRIS",N(INDEX(F_INKOR,MATCH($C37,FA,0))),0))</f>
        <v>0</v>
      </c>
      <c r="Y37" s="7" t="e">
        <f>N(#REF!)*IF($E37="упак",MAX(1,IF(ISNA(MATCH($C37,FA,0)),1,N(INDEX(F_PAKET,MATCH($C37,FA,0))))),1)</f>
        <v>#REF!</v>
      </c>
      <c r="Z37" s="7" t="e">
        <f t="shared" si="3"/>
        <v>#REF!</v>
      </c>
      <c r="AA37" s="7">
        <f>IF(OR(ISNA(MATCH($C37,FA,0)),$J37="YEDEK",$J37="SARF"),0,N(#REF!)*N(INDEX(F_TEL,MATCH($C37,FA,0))))</f>
        <v>0</v>
      </c>
      <c r="AB37" s="7">
        <f>IF(OR(ISNA(MATCH($C37,FA,0)),$J37="YEDEK",$J37="SARF"),0,N(#REF!)*N(INDEX(F_TELM,MATCH($C37,FA,0))))</f>
        <v>0</v>
      </c>
      <c r="AC37" s="7" t="e">
        <f t="shared" si="4"/>
        <v>#REF!</v>
      </c>
      <c r="AD37" s="7">
        <f>IF(OR(ISNA(MATCH($C37,FA,0)),$J37&lt;&gt;"CIKIS"),0,N(INDEX(F_KK,MATCH($C37,FA,0))))</f>
        <v>0</v>
      </c>
      <c r="AE37" s="7">
        <f>IF($AD37=0,0,N(#REF!)*N(INDEX(F_KLN,MATCH($C37,FA,0))))</f>
        <v>0</v>
      </c>
      <c r="AF37" s="7">
        <f>IF($AD37=0,0,N(#REF!)*N(INDEX(F_KPE,MATCH($C37,FA,0))))</f>
        <v>0</v>
      </c>
      <c r="AG37" s="7" t="e">
        <f>IF(ISNA(MATCH($C37,FA,0)),0,N(#REF!)*N(INDEX(F_MODUL,MATCH($C37,FA,0))))</f>
        <v>#REF!</v>
      </c>
      <c r="AH37" s="7" t="e">
        <f>N(#REF!)*N($I37)</f>
        <v>#REF!</v>
      </c>
      <c r="AI37" s="7" t="e">
        <f t="shared" si="5"/>
        <v>#REF!</v>
      </c>
      <c r="AJ37" s="7">
        <f t="shared" si="6"/>
        <v>0</v>
      </c>
    </row>
    <row r="38" spans="1:36" x14ac:dyDescent="0.25">
      <c r="A38" s="4" t="e">
        <f t="shared" si="0"/>
        <v>#REF!</v>
      </c>
      <c r="B38" s="4" t="s">
        <v>105</v>
      </c>
      <c r="C38" s="4" t="s">
        <v>539</v>
      </c>
      <c r="D38" s="4" t="s">
        <v>540</v>
      </c>
      <c r="E38" s="4" t="s">
        <v>114</v>
      </c>
      <c r="F38" s="4" t="s">
        <v>486</v>
      </c>
      <c r="G38" s="4" t="s">
        <v>38</v>
      </c>
      <c r="H38" s="5" t="e">
        <f>#REF!</f>
        <v>#REF!</v>
      </c>
      <c r="I38" s="6" t="e">
        <f t="shared" si="1"/>
        <v>#REF!</v>
      </c>
      <c r="J38" s="6" t="s">
        <v>84</v>
      </c>
      <c r="K38" s="6" t="s">
        <v>105</v>
      </c>
      <c r="L38" s="7" t="e">
        <f t="shared" si="2"/>
        <v>#REF!</v>
      </c>
      <c r="M38" s="7" t="s">
        <v>110</v>
      </c>
      <c r="O38" s="7">
        <f>IF(OR($C38="",$C38="FID YOK"),"",IF(ISNUMBER(MATCH($C38,FA_ANA,0)),"",IF(COUNTIF($C$1:$C37,$C38)&gt;0,"",MAX($O$1:$O37)+1)))</f>
        <v>34</v>
      </c>
      <c r="T38" s="7">
        <f>IF(ISNA(MATCH($C38,FA,0)),0,IF($J38="GIRIS",N(INDEX(F_INKOR,MATCH($C38,FA,0))),0))</f>
        <v>0</v>
      </c>
      <c r="Y38" s="7" t="e">
        <f>N(#REF!)*IF($E38="упак",MAX(1,IF(ISNA(MATCH($C38,FA,0)),1,N(INDEX(F_PAKET,MATCH($C38,FA,0))))),1)</f>
        <v>#REF!</v>
      </c>
      <c r="Z38" s="7" t="e">
        <f t="shared" si="3"/>
        <v>#REF!</v>
      </c>
      <c r="AA38" s="7">
        <f>IF(OR(ISNA(MATCH($C38,FA,0)),$J38="YEDEK",$J38="SARF"),0,N(#REF!)*N(INDEX(F_TEL,MATCH($C38,FA,0))))</f>
        <v>0</v>
      </c>
      <c r="AB38" s="7">
        <f>IF(OR(ISNA(MATCH($C38,FA,0)),$J38="YEDEK",$J38="SARF"),0,N(#REF!)*N(INDEX(F_TELM,MATCH($C38,FA,0))))</f>
        <v>0</v>
      </c>
      <c r="AC38" s="7" t="e">
        <f t="shared" si="4"/>
        <v>#REF!</v>
      </c>
      <c r="AD38" s="7">
        <f>IF(OR(ISNA(MATCH($C38,FA,0)),$J38&lt;&gt;"CIKIS"),0,N(INDEX(F_KK,MATCH($C38,FA,0))))</f>
        <v>0</v>
      </c>
      <c r="AE38" s="7">
        <f>IF($AD38=0,0,N(#REF!)*N(INDEX(F_KLN,MATCH($C38,FA,0))))</f>
        <v>0</v>
      </c>
      <c r="AF38" s="7">
        <f>IF($AD38=0,0,N(#REF!)*N(INDEX(F_KPE,MATCH($C38,FA,0))))</f>
        <v>0</v>
      </c>
      <c r="AG38" s="7" t="e">
        <f>IF(ISNA(MATCH($C38,FA,0)),0,N(#REF!)*N(INDEX(F_MODUL,MATCH($C38,FA,0))))</f>
        <v>#REF!</v>
      </c>
      <c r="AH38" s="7" t="e">
        <f>N(#REF!)*N($I38)</f>
        <v>#REF!</v>
      </c>
      <c r="AI38" s="7" t="e">
        <f t="shared" si="5"/>
        <v>#REF!</v>
      </c>
      <c r="AJ38" s="7">
        <f t="shared" si="6"/>
        <v>0</v>
      </c>
    </row>
    <row r="39" spans="1:36" x14ac:dyDescent="0.25">
      <c r="A39" s="4" t="e">
        <f t="shared" si="0"/>
        <v>#REF!</v>
      </c>
      <c r="B39" s="4" t="s">
        <v>111</v>
      </c>
      <c r="C39" s="4" t="s">
        <v>571</v>
      </c>
      <c r="D39" s="4" t="s">
        <v>572</v>
      </c>
      <c r="E39" s="4" t="s">
        <v>522</v>
      </c>
      <c r="F39" s="4" t="s">
        <v>486</v>
      </c>
      <c r="G39" s="4" t="s">
        <v>38</v>
      </c>
      <c r="H39" s="5" t="e">
        <f>#REF!</f>
        <v>#REF!</v>
      </c>
      <c r="I39" s="6" t="e">
        <f t="shared" si="1"/>
        <v>#REF!</v>
      </c>
      <c r="J39" s="6" t="s">
        <v>84</v>
      </c>
      <c r="K39" s="6" t="s">
        <v>111</v>
      </c>
      <c r="L39" s="7" t="e">
        <f t="shared" si="2"/>
        <v>#REF!</v>
      </c>
      <c r="M39" s="7" t="s">
        <v>112</v>
      </c>
      <c r="O39" s="7">
        <f>IF(OR($C39="",$C39="FID YOK"),"",IF(ISNUMBER(MATCH($C39,FA_ANA,0)),"",IF(COUNTIF($C$1:$C38,$C39)&gt;0,"",MAX($O$1:$O38)+1)))</f>
        <v>35</v>
      </c>
      <c r="T39" s="7">
        <f>IF(ISNA(MATCH($C39,FA,0)),0,IF($J39="GIRIS",N(INDEX(F_INKOR,MATCH($C39,FA,0))),0))</f>
        <v>0</v>
      </c>
      <c r="Y39" s="7" t="e">
        <f>N(#REF!)*IF($E39="упак",MAX(1,IF(ISNA(MATCH($C39,FA,0)),1,N(INDEX(F_PAKET,MATCH($C39,FA,0))))),1)</f>
        <v>#REF!</v>
      </c>
      <c r="Z39" s="7" t="e">
        <f t="shared" si="3"/>
        <v>#REF!</v>
      </c>
      <c r="AA39" s="7">
        <f>IF(OR(ISNA(MATCH($C39,FA,0)),$J39="YEDEK",$J39="SARF"),0,N(#REF!)*N(INDEX(F_TEL,MATCH($C39,FA,0))))</f>
        <v>0</v>
      </c>
      <c r="AB39" s="7">
        <f>IF(OR(ISNA(MATCH($C39,FA,0)),$J39="YEDEK",$J39="SARF"),0,N(#REF!)*N(INDEX(F_TELM,MATCH($C39,FA,0))))</f>
        <v>0</v>
      </c>
      <c r="AC39" s="7" t="e">
        <f t="shared" si="4"/>
        <v>#REF!</v>
      </c>
      <c r="AD39" s="7">
        <f>IF(OR(ISNA(MATCH($C39,FA,0)),$J39&lt;&gt;"CIKIS"),0,N(INDEX(F_KK,MATCH($C39,FA,0))))</f>
        <v>0</v>
      </c>
      <c r="AE39" s="7">
        <f>IF($AD39=0,0,N(#REF!)*N(INDEX(F_KLN,MATCH($C39,FA,0))))</f>
        <v>0</v>
      </c>
      <c r="AF39" s="7">
        <f>IF($AD39=0,0,N(#REF!)*N(INDEX(F_KPE,MATCH($C39,FA,0))))</f>
        <v>0</v>
      </c>
      <c r="AG39" s="7" t="e">
        <f>IF(ISNA(MATCH($C39,FA,0)),0,N(#REF!)*N(INDEX(F_MODUL,MATCH($C39,FA,0))))</f>
        <v>#REF!</v>
      </c>
      <c r="AH39" s="7" t="e">
        <f>N(#REF!)*N($I39)</f>
        <v>#REF!</v>
      </c>
      <c r="AI39" s="7" t="e">
        <f t="shared" si="5"/>
        <v>#REF!</v>
      </c>
      <c r="AJ39" s="7">
        <f t="shared" si="6"/>
        <v>0</v>
      </c>
    </row>
    <row r="40" spans="1:36" x14ac:dyDescent="0.25">
      <c r="A40" s="4" t="e">
        <f t="shared" si="0"/>
        <v>#REF!</v>
      </c>
      <c r="B40" s="4" t="s">
        <v>113</v>
      </c>
      <c r="C40" s="4" t="s">
        <v>113</v>
      </c>
      <c r="D40" s="4" t="s">
        <v>113</v>
      </c>
      <c r="E40" s="4" t="s">
        <v>114</v>
      </c>
      <c r="F40" s="4" t="s">
        <v>113</v>
      </c>
      <c r="G40" s="4" t="s">
        <v>38</v>
      </c>
      <c r="H40" s="5" t="e">
        <f>#REF!</f>
        <v>#REF!</v>
      </c>
      <c r="I40" s="6" t="e">
        <f t="shared" si="1"/>
        <v>#REF!</v>
      </c>
    </row>
    <row r="41" spans="1:36" x14ac:dyDescent="0.25">
      <c r="A41" s="4" t="e">
        <f t="shared" si="0"/>
        <v>#REF!</v>
      </c>
      <c r="B41" s="4" t="s">
        <v>115</v>
      </c>
      <c r="C41" s="4" t="s">
        <v>115</v>
      </c>
      <c r="D41" s="4" t="s">
        <v>115</v>
      </c>
      <c r="E41" s="4" t="s">
        <v>116</v>
      </c>
      <c r="F41" s="4" t="s">
        <v>115</v>
      </c>
      <c r="G41" s="4" t="s">
        <v>38</v>
      </c>
      <c r="H41" s="5" t="e">
        <f>#REF!</f>
        <v>#REF!</v>
      </c>
      <c r="I41" s="6" t="e">
        <f t="shared" si="1"/>
        <v>#REF!</v>
      </c>
    </row>
    <row r="42" spans="1:36" x14ac:dyDescent="0.25">
      <c r="A42" s="1" t="str">
        <f>D42</f>
        <v>ШГП-1, ШГП-2 (Ввод + Секция 1)(ВРУ1-18-80А)(ВРУ1-41-00А)(260922 akram aulet)</v>
      </c>
      <c r="B42" s="12"/>
      <c r="C42" s="2"/>
      <c r="D42" s="1" t="s">
        <v>612</v>
      </c>
      <c r="E42" s="1" t="s">
        <v>36</v>
      </c>
      <c r="F42" s="1" t="s">
        <v>37</v>
      </c>
      <c r="G42" s="1" t="s">
        <v>38</v>
      </c>
      <c r="I42" s="3" t="e">
        <f>#REF!</f>
        <v>#REF!</v>
      </c>
    </row>
    <row r="43" spans="1:36" x14ac:dyDescent="0.25">
      <c r="A43" s="4" t="str">
        <f t="shared" ref="A43:A78" si="9">A42</f>
        <v>ШГП-1, ШГП-2 (Ввод + Секция 1)(ВРУ1-18-80А)(ВРУ1-41-00А)(260922 akram aulet)</v>
      </c>
      <c r="B43" s="4" t="s">
        <v>39</v>
      </c>
      <c r="C43" s="4" t="s">
        <v>492</v>
      </c>
      <c r="D43" s="4" t="s">
        <v>493</v>
      </c>
      <c r="E43" s="4" t="s">
        <v>114</v>
      </c>
      <c r="F43" s="4" t="s">
        <v>491</v>
      </c>
      <c r="G43" s="4" t="s">
        <v>38</v>
      </c>
      <c r="H43" s="5" t="e">
        <f>#REF!</f>
        <v>#REF!</v>
      </c>
      <c r="I43" s="6" t="e">
        <f t="shared" ref="I43:I78" si="10">I42</f>
        <v>#REF!</v>
      </c>
      <c r="J43" s="6" t="s">
        <v>40</v>
      </c>
      <c r="K43" s="6" t="s">
        <v>41</v>
      </c>
      <c r="L43" s="7" t="e">
        <f t="shared" ref="L43:L76" si="11">IF(ISNA(MATCH($C43,FA,0)),"ARTİKÜL YOK",INDEX(FIYAT_DURUM,MATCH($C43,FA,0)))</f>
        <v>#REF!</v>
      </c>
      <c r="M43" s="7" t="s">
        <v>117</v>
      </c>
      <c r="N43" s="7" t="s">
        <v>43</v>
      </c>
      <c r="O43" s="7" t="str">
        <f>IF(OR($C43="",$C43="FID YOK"),"",IF(ISNUMBER(MATCH($C43,FA_ANA,0)),"",IF(COUNTIF($C$1:$C42,$C43)&gt;0,"",MAX($O$1:$O42)+1)))</f>
        <v/>
      </c>
      <c r="Q43" s="7"/>
      <c r="R43" s="7"/>
      <c r="S43" s="7"/>
      <c r="T43" s="7">
        <f>IF(ISNA(MATCH($C43,FA,0)),0,IF($J43="GIRIS",N(INDEX(F_INKOR,MATCH($C43,FA,0))),0))</f>
        <v>0</v>
      </c>
      <c r="U43" s="7"/>
      <c r="V43" s="7"/>
      <c r="W43" s="7"/>
      <c r="X43" s="7"/>
      <c r="Y43" s="7" t="e">
        <f>N(#REF!)*IF($E43="упак",MAX(1,IF(ISNA(MATCH($C43,FA,0)),1,N(INDEX(F_PAKET,MATCH($C43,FA,0))))),1)</f>
        <v>#REF!</v>
      </c>
      <c r="Z43" s="7" t="e">
        <f t="shared" ref="Z43:Z76" si="12">IF(ISNA(MATCH($C43,FA,0)),0,N(INDEX(F_BK,MATCH($C43,FA,0))))</f>
        <v>#REF!</v>
      </c>
      <c r="AA43" s="7" t="e">
        <f>IF(OR(ISNA(MATCH($C43,FA,0)),$J43="YEDEK",$J43="SARF"),0,N(#REF!)*N(INDEX(F_TEL,MATCH($C43,FA,0))))</f>
        <v>#REF!</v>
      </c>
      <c r="AB43" s="7" t="e">
        <f>IF(OR(ISNA(MATCH($C43,FA,0)),$J43="YEDEK",$J43="SARF"),0,N(#REF!)*N(INDEX(F_TELM,MATCH($C43,FA,0))))</f>
        <v>#REF!</v>
      </c>
      <c r="AC43" s="7" t="e">
        <f t="shared" ref="AC43:AC76" si="13">IF(ISNA(MATCH($C43,FA,0)),"",INDEX(F_UC,MATCH($C43,FA,0))&amp;"")</f>
        <v>#REF!</v>
      </c>
      <c r="AD43" s="7">
        <f>IF(OR(ISNA(MATCH($C43,FA,0)),$J43&lt;&gt;"CIKIS"),0,N(INDEX(F_KK,MATCH($C43,FA,0))))</f>
        <v>0</v>
      </c>
      <c r="AE43" s="7">
        <f>IF($AD43=0,0,N(#REF!)*N(INDEX(F_KLN,MATCH($C43,FA,0))))</f>
        <v>0</v>
      </c>
      <c r="AF43" s="7">
        <f>IF($AD43=0,0,N(#REF!)*N(INDEX(F_KPE,MATCH($C43,FA,0))))</f>
        <v>0</v>
      </c>
      <c r="AG43" s="7" t="e">
        <f>IF(ISNA(MATCH($C43,FA,0)),0,N(#REF!)*N(INDEX(F_MODUL,MATCH($C43,FA,0))))</f>
        <v>#REF!</v>
      </c>
      <c r="AH43" s="7" t="e">
        <f>N(#REF!)*N($I43)</f>
        <v>#REF!</v>
      </c>
      <c r="AI43" s="7" t="e">
        <f t="shared" ref="AI43:AI76" si="14">IF(ISNA(MATCH($K43,TIP_AD,0)),"YOK",IF(INDEX(NORM_DK,MATCH($K43,TIP_AD,0))="","BOŞ",INDEX(NORM_DK,MATCH($K43,TIP_AD,0))))</f>
        <v>#REF!</v>
      </c>
      <c r="AJ43" s="7">
        <f t="shared" ref="AJ43:AJ76" si="15">IF(ISNUMBER($AI43),$Y43*$AI43,0)</f>
        <v>0</v>
      </c>
    </row>
    <row r="44" spans="1:36" x14ac:dyDescent="0.25">
      <c r="A44" s="4" t="str">
        <f t="shared" si="9"/>
        <v>ШГП-1, ШГП-2 (Ввод + Секция 1)(ВРУ1-18-80А)(ВРУ1-41-00А)(260922 akram aulet)</v>
      </c>
      <c r="B44" s="4" t="s">
        <v>39</v>
      </c>
      <c r="C44" s="4" t="s">
        <v>492</v>
      </c>
      <c r="D44" s="4" t="s">
        <v>493</v>
      </c>
      <c r="E44" s="4" t="s">
        <v>114</v>
      </c>
      <c r="F44" s="4" t="s">
        <v>491</v>
      </c>
      <c r="G44" s="4" t="s">
        <v>38</v>
      </c>
      <c r="H44" s="5" t="e">
        <f>#REF!</f>
        <v>#REF!</v>
      </c>
      <c r="I44" s="6" t="e">
        <f t="shared" si="10"/>
        <v>#REF!</v>
      </c>
      <c r="J44" s="6" t="s">
        <v>40</v>
      </c>
      <c r="K44" s="6" t="s">
        <v>41</v>
      </c>
      <c r="L44" s="7" t="e">
        <f t="shared" si="11"/>
        <v>#REF!</v>
      </c>
      <c r="M44" s="7" t="s">
        <v>44</v>
      </c>
      <c r="N44" s="7" t="s">
        <v>43</v>
      </c>
      <c r="O44" s="7" t="str">
        <f>IF(OR($C44="",$C44="FID YOK"),"",IF(ISNUMBER(MATCH($C44,FA_ANA,0)),"",IF(COUNTIF($C$1:$C43,$C44)&gt;0,"",MAX($O$1:$O43)+1)))</f>
        <v/>
      </c>
      <c r="Q44" s="7"/>
      <c r="R44" s="7"/>
      <c r="S44" s="7"/>
      <c r="T44" s="7">
        <f>IF(ISNA(MATCH($C44,FA,0)),0,IF($J44="GIRIS",N(INDEX(F_INKOR,MATCH($C44,FA,0))),0))</f>
        <v>0</v>
      </c>
      <c r="U44" s="7"/>
      <c r="V44" s="7"/>
      <c r="W44" s="7"/>
      <c r="X44" s="7"/>
      <c r="Y44" s="7" t="e">
        <f>N(#REF!)*IF($E44="упак",MAX(1,IF(ISNA(MATCH($C44,FA,0)),1,N(INDEX(F_PAKET,MATCH($C44,FA,0))))),1)</f>
        <v>#REF!</v>
      </c>
      <c r="Z44" s="7" t="e">
        <f t="shared" si="12"/>
        <v>#REF!</v>
      </c>
      <c r="AA44" s="7" t="e">
        <f>IF(OR(ISNA(MATCH($C44,FA,0)),$J44="YEDEK",$J44="SARF"),0,N(#REF!)*N(INDEX(F_TEL,MATCH($C44,FA,0))))</f>
        <v>#REF!</v>
      </c>
      <c r="AB44" s="7" t="e">
        <f>IF(OR(ISNA(MATCH($C44,FA,0)),$J44="YEDEK",$J44="SARF"),0,N(#REF!)*N(INDEX(F_TELM,MATCH($C44,FA,0))))</f>
        <v>#REF!</v>
      </c>
      <c r="AC44" s="7" t="e">
        <f t="shared" si="13"/>
        <v>#REF!</v>
      </c>
      <c r="AD44" s="7">
        <f>IF(OR(ISNA(MATCH($C44,FA,0)),$J44&lt;&gt;"CIKIS"),0,N(INDEX(F_KK,MATCH($C44,FA,0))))</f>
        <v>0</v>
      </c>
      <c r="AE44" s="7">
        <f>IF($AD44=0,0,N(#REF!)*N(INDEX(F_KLN,MATCH($C44,FA,0))))</f>
        <v>0</v>
      </c>
      <c r="AF44" s="7">
        <f>IF($AD44=0,0,N(#REF!)*N(INDEX(F_KPE,MATCH($C44,FA,0))))</f>
        <v>0</v>
      </c>
      <c r="AG44" s="7" t="e">
        <f>IF(ISNA(MATCH($C44,FA,0)),0,N(#REF!)*N(INDEX(F_MODUL,MATCH($C44,FA,0))))</f>
        <v>#REF!</v>
      </c>
      <c r="AH44" s="7" t="e">
        <f>N(#REF!)*N($I44)</f>
        <v>#REF!</v>
      </c>
      <c r="AI44" s="7" t="e">
        <f t="shared" si="14"/>
        <v>#REF!</v>
      </c>
      <c r="AJ44" s="7">
        <f t="shared" si="15"/>
        <v>0</v>
      </c>
    </row>
    <row r="45" spans="1:36" x14ac:dyDescent="0.25">
      <c r="A45" s="4" t="str">
        <f t="shared" si="9"/>
        <v>ШГП-1, ШГП-2 (Ввод + Секция 1)(ВРУ1-18-80А)(ВРУ1-41-00А)(260922 akram aulet)</v>
      </c>
      <c r="B45" s="4" t="s">
        <v>118</v>
      </c>
      <c r="C45" s="4" t="s">
        <v>447</v>
      </c>
      <c r="D45" s="4" t="s">
        <v>448</v>
      </c>
      <c r="E45" s="4" t="s">
        <v>114</v>
      </c>
      <c r="F45" s="4" t="s">
        <v>377</v>
      </c>
      <c r="G45" s="4" t="s">
        <v>38</v>
      </c>
      <c r="H45" s="5" t="e">
        <f>#REF!</f>
        <v>#REF!</v>
      </c>
      <c r="I45" s="6" t="e">
        <f t="shared" si="10"/>
        <v>#REF!</v>
      </c>
      <c r="J45" s="6" t="s">
        <v>48</v>
      </c>
      <c r="K45" s="6" t="s">
        <v>118</v>
      </c>
      <c r="L45" s="7" t="e">
        <f t="shared" si="11"/>
        <v>#REF!</v>
      </c>
      <c r="M45" s="7" t="s">
        <v>119</v>
      </c>
      <c r="N45" s="7" t="s">
        <v>120</v>
      </c>
      <c r="O45" s="7">
        <f>IF(OR($C45="",$C45="FID YOK"),"",IF(ISNUMBER(MATCH($C45,FA_ANA,0)),"",IF(COUNTIF($C$1:$C44,$C45)&gt;0,"",MAX($O$1:$O44)+1)))</f>
        <v>36</v>
      </c>
      <c r="P45" s="8">
        <v>1</v>
      </c>
      <c r="Q45" s="7" t="e">
        <f>IF(OR($P45="",$P45="G",ISNA(MATCH($C45,FA,0))),"",IF(N(INDEX(F_G,MATCH($C45,FA,0)))&gt;0,INDEX(F_G,MATCH($C45,FA,0)),IF(N(INDEX(F_MODUL,MATCH($C45,FA,0)))&gt;0,INDEX(F_MODUL,MATCH($C45,FA,0))*MODUL_MM,"")))</f>
        <v>#REF!</v>
      </c>
      <c r="R45" s="7" t="e">
        <f>IF(OR($P45="",$P45="G",ISNA(MATCH($C45,FA,0))),"",IF(N(INDEX(F_Y,MATCH($C45,FA,0)))&gt;0,INDEX(F_Y,MATCH($C45,FA,0)),""))</f>
        <v>#REF!</v>
      </c>
      <c r="S45" s="7" t="e">
        <f>IF(OR($P45="",$P45="G",ISNA(MATCH($C45,FA,0))),"",IF(N(INDEX(F_D,MATCH($C45,FA,0)))&gt;0,INDEX(F_D,MATCH($C45,FA,0)),""))</f>
        <v>#REF!</v>
      </c>
      <c r="T45" s="7" t="e">
        <f>IF(ISNA(MATCH($C45,FA,0)),0,IF($J45="GIRIS",N(INDEX(F_INKOR,MATCH($C45,FA,0))),0))</f>
        <v>#REF!</v>
      </c>
      <c r="U45" s="7" t="e">
        <f t="shared" ref="U45:U55" si="16">IF(ISNA(MATCH($B45,TIP_AD,0)),"",INDEX(TIP_KAT,MATCH($B45,TIP_AD,0))&amp;"")</f>
        <v>#REF!</v>
      </c>
      <c r="V45" s="7" t="e">
        <f t="shared" ref="V45:V55" si="17">IF(NOT(ISNUMBER($P45)),"",IF($Z45=0,0,IF(ISNA(MATCH($Z45,BUK_KESIT,0)),"",IF(INDEX(BUK_ALAN,MATCH($Z45,BUK_KESIT,0))&amp;""="","",INDEX(BUK_ALAN,MATCH($Z45,BUK_KESIT,0))))))</f>
        <v>#REF!</v>
      </c>
      <c r="W45" s="7" t="e">
        <f>IF(OR(NOT(ISNUMBER($P45)),$Q45=""),"",N(#REF!)*($Q45+IF(ISNA(MATCH($B45,TIP_AD,0)),0,N(INDEX(TIP_BOSLUK,MATCH($B45,TIP_AD,0))))))</f>
        <v>#REF!</v>
      </c>
      <c r="X45" s="7" t="e">
        <f>IF(ISNUMBER($P45),($Q45="")+($R45="")+($V45="")+IF(AND($U45="KONTAKTOR",NOT(ISNA(MATCH($B45,TIP_AD,0)))),IF(INDEX(TIP_BOSLUK,MATCH($B45,TIP_AD,0))&amp;""="",1,0),0),IF($P45="K",IF($S45="",1,0),0))</f>
        <v>#REF!</v>
      </c>
      <c r="Y45" s="7" t="e">
        <f>N(#REF!)*IF($E45="упак",MAX(1,IF(ISNA(MATCH($C45,FA,0)),1,N(INDEX(F_PAKET,MATCH($C45,FA,0))))),1)</f>
        <v>#REF!</v>
      </c>
      <c r="Z45" s="7" t="e">
        <f t="shared" si="12"/>
        <v>#REF!</v>
      </c>
      <c r="AA45" s="7" t="e">
        <f>IF(OR(ISNA(MATCH($C45,FA,0)),$J45="YEDEK",$J45="SARF"),0,N(#REF!)*N(INDEX(F_TEL,MATCH($C45,FA,0))))</f>
        <v>#REF!</v>
      </c>
      <c r="AB45" s="7" t="e">
        <f>IF(OR(ISNA(MATCH($C45,FA,0)),$J45="YEDEK",$J45="SARF"),0,N(#REF!)*N(INDEX(F_TELM,MATCH($C45,FA,0))))</f>
        <v>#REF!</v>
      </c>
      <c r="AC45" s="7" t="e">
        <f t="shared" si="13"/>
        <v>#REF!</v>
      </c>
      <c r="AD45" s="7">
        <f>IF(OR(ISNA(MATCH($C45,FA,0)),$J45&lt;&gt;"CIKIS"),0,N(INDEX(F_KK,MATCH($C45,FA,0))))</f>
        <v>0</v>
      </c>
      <c r="AE45" s="7">
        <f>IF($AD45=0,0,N(#REF!)*N(INDEX(F_KLN,MATCH($C45,FA,0))))</f>
        <v>0</v>
      </c>
      <c r="AF45" s="7">
        <f>IF($AD45=0,0,N(#REF!)*N(INDEX(F_KPE,MATCH($C45,FA,0))))</f>
        <v>0</v>
      </c>
      <c r="AG45" s="7" t="e">
        <f>IF(ISNA(MATCH($C45,FA,0)),0,N(#REF!)*N(INDEX(F_MODUL,MATCH($C45,FA,0))))</f>
        <v>#REF!</v>
      </c>
      <c r="AH45" s="7" t="e">
        <f>N(#REF!)*N($I45)</f>
        <v>#REF!</v>
      </c>
      <c r="AI45" s="7" t="e">
        <f t="shared" si="14"/>
        <v>#REF!</v>
      </c>
      <c r="AJ45" s="7">
        <f t="shared" si="15"/>
        <v>0</v>
      </c>
    </row>
    <row r="46" spans="1:36" x14ac:dyDescent="0.25">
      <c r="A46" s="4" t="str">
        <f t="shared" si="9"/>
        <v>ШГП-1, ШГП-2 (Ввод + Секция 1)(ВРУ1-18-80А)(ВРУ1-41-00А)(260922 akram aulet)</v>
      </c>
      <c r="B46" s="4" t="s">
        <v>51</v>
      </c>
      <c r="C46" s="4" t="s">
        <v>428</v>
      </c>
      <c r="D46" s="4" t="s">
        <v>429</v>
      </c>
      <c r="E46" s="4" t="s">
        <v>114</v>
      </c>
      <c r="F46" s="4" t="s">
        <v>377</v>
      </c>
      <c r="G46" s="4" t="s">
        <v>38</v>
      </c>
      <c r="H46" s="5" t="e">
        <f>#REF!</f>
        <v>#REF!</v>
      </c>
      <c r="I46" s="6" t="e">
        <f t="shared" si="10"/>
        <v>#REF!</v>
      </c>
      <c r="J46" s="6" t="s">
        <v>52</v>
      </c>
      <c r="K46" s="6" t="s">
        <v>51</v>
      </c>
      <c r="L46" s="7" t="e">
        <f t="shared" si="11"/>
        <v>#REF!</v>
      </c>
      <c r="M46" s="7" t="s">
        <v>121</v>
      </c>
      <c r="N46" s="7" t="s">
        <v>122</v>
      </c>
      <c r="O46" s="7">
        <f>IF(OR($C46="",$C46="FID YOK"),"",IF(ISNUMBER(MATCH($C46,FA_ANA,0)),"",IF(COUNTIF($C$1:$C45,$C46)&gt;0,"",MAX($O$1:$O45)+1)))</f>
        <v>37</v>
      </c>
      <c r="P46" s="8">
        <v>1</v>
      </c>
      <c r="Q46" s="7" t="e">
        <f>IF(OR($P46="",$P46="G",ISNA(MATCH($C46,FA,0))),"",IF(N(INDEX(F_G,MATCH($C46,FA,0)))&gt;0,INDEX(F_G,MATCH($C46,FA,0)),IF(N(INDEX(F_MODUL,MATCH($C46,FA,0)))&gt;0,INDEX(F_MODUL,MATCH($C46,FA,0))*MODUL_MM,"")))</f>
        <v>#REF!</v>
      </c>
      <c r="R46" s="7" t="e">
        <f>IF(OR($P46="",$P46="G",ISNA(MATCH($C46,FA,0))),"",IF(N(INDEX(F_Y,MATCH($C46,FA,0)))&gt;0,INDEX(F_Y,MATCH($C46,FA,0)),""))</f>
        <v>#REF!</v>
      </c>
      <c r="S46" s="7" t="e">
        <f>IF(OR($P46="",$P46="G",ISNA(MATCH($C46,FA,0))),"",IF(N(INDEX(F_D,MATCH($C46,FA,0)))&gt;0,INDEX(F_D,MATCH($C46,FA,0)),""))</f>
        <v>#REF!</v>
      </c>
      <c r="T46" s="7">
        <f>IF(ISNA(MATCH($C46,FA,0)),0,IF($J46="GIRIS",N(INDEX(F_INKOR,MATCH($C46,FA,0))),0))</f>
        <v>0</v>
      </c>
      <c r="U46" s="7" t="e">
        <f t="shared" si="16"/>
        <v>#REF!</v>
      </c>
      <c r="V46" s="7" t="e">
        <f t="shared" si="17"/>
        <v>#REF!</v>
      </c>
      <c r="W46" s="7" t="e">
        <f>IF(OR(NOT(ISNUMBER($P46)),$Q46=""),"",N(#REF!)*($Q46+IF(ISNA(MATCH($B46,TIP_AD,0)),0,N(INDEX(TIP_BOSLUK,MATCH($B46,TIP_AD,0))))))</f>
        <v>#REF!</v>
      </c>
      <c r="X46" s="7" t="e">
        <f>IF(ISNUMBER($P46),($Q46="")+($R46="")+($V46="")+IF(AND($U46="KONTAKTOR",NOT(ISNA(MATCH($B46,TIP_AD,0)))),IF(INDEX(TIP_BOSLUK,MATCH($B46,TIP_AD,0))&amp;""="",1,0),0),IF($P46="K",IF($S46="",1,0),0))</f>
        <v>#REF!</v>
      </c>
      <c r="Y46" s="7" t="e">
        <f>N(#REF!)*IF($E46="упак",MAX(1,IF(ISNA(MATCH($C46,FA,0)),1,N(INDEX(F_PAKET,MATCH($C46,FA,0))))),1)</f>
        <v>#REF!</v>
      </c>
      <c r="Z46" s="7" t="e">
        <f t="shared" si="12"/>
        <v>#REF!</v>
      </c>
      <c r="AA46" s="7" t="e">
        <f>IF(OR(ISNA(MATCH($C46,FA,0)),$J46="YEDEK",$J46="SARF"),0,N(#REF!)*N(INDEX(F_TEL,MATCH($C46,FA,0))))</f>
        <v>#REF!</v>
      </c>
      <c r="AB46" s="7" t="e">
        <f>IF(OR(ISNA(MATCH($C46,FA,0)),$J46="YEDEK",$J46="SARF"),0,N(#REF!)*N(INDEX(F_TELM,MATCH($C46,FA,0))))</f>
        <v>#REF!</v>
      </c>
      <c r="AC46" s="7" t="e">
        <f t="shared" si="13"/>
        <v>#REF!</v>
      </c>
      <c r="AD46" s="7" t="e">
        <f>IF(OR(ISNA(MATCH($C46,FA,0)),$J46&lt;&gt;"CIKIS"),0,N(INDEX(F_KK,MATCH($C46,FA,0))))</f>
        <v>#REF!</v>
      </c>
      <c r="AE46" s="7" t="e">
        <f>IF($AD46=0,0,N(#REF!)*N(INDEX(F_KLN,MATCH($C46,FA,0))))</f>
        <v>#REF!</v>
      </c>
      <c r="AF46" s="7" t="e">
        <f>IF($AD46=0,0,N(#REF!)*N(INDEX(F_KPE,MATCH($C46,FA,0))))</f>
        <v>#REF!</v>
      </c>
      <c r="AG46" s="7" t="e">
        <f>IF(ISNA(MATCH($C46,FA,0)),0,N(#REF!)*N(INDEX(F_MODUL,MATCH($C46,FA,0))))</f>
        <v>#REF!</v>
      </c>
      <c r="AH46" s="7" t="e">
        <f>N(#REF!)*N($I46)</f>
        <v>#REF!</v>
      </c>
      <c r="AI46" s="7" t="e">
        <f t="shared" si="14"/>
        <v>#REF!</v>
      </c>
      <c r="AJ46" s="7">
        <f t="shared" si="15"/>
        <v>0</v>
      </c>
    </row>
    <row r="47" spans="1:36" x14ac:dyDescent="0.25">
      <c r="A47" s="4" t="str">
        <f t="shared" si="9"/>
        <v>ШГП-1, ШГП-2 (Ввод + Секция 1)(ВРУ1-18-80А)(ВРУ1-41-00А)(260922 akram aulet)</v>
      </c>
      <c r="B47" s="4" t="s">
        <v>51</v>
      </c>
      <c r="C47" s="4" t="s">
        <v>426</v>
      </c>
      <c r="D47" s="4" t="s">
        <v>427</v>
      </c>
      <c r="E47" s="4" t="s">
        <v>114</v>
      </c>
      <c r="F47" s="4" t="s">
        <v>377</v>
      </c>
      <c r="G47" s="4" t="s">
        <v>38</v>
      </c>
      <c r="H47" s="5" t="e">
        <f>#REF!</f>
        <v>#REF!</v>
      </c>
      <c r="I47" s="6" t="e">
        <f t="shared" si="10"/>
        <v>#REF!</v>
      </c>
      <c r="J47" s="6" t="s">
        <v>52</v>
      </c>
      <c r="K47" s="6" t="s">
        <v>51</v>
      </c>
      <c r="L47" s="7" t="e">
        <f t="shared" si="11"/>
        <v>#REF!</v>
      </c>
      <c r="M47" s="7" t="s">
        <v>123</v>
      </c>
      <c r="N47" s="7" t="s">
        <v>56</v>
      </c>
      <c r="O47" s="7" t="str">
        <f>IF(OR($C47="",$C47="FID YOK"),"",IF(ISNUMBER(MATCH($C47,FA_ANA,0)),"",IF(COUNTIF($C$1:$C46,$C47)&gt;0,"",MAX($O$1:$O46)+1)))</f>
        <v/>
      </c>
      <c r="P47" s="8">
        <v>1</v>
      </c>
      <c r="Q47" s="7" t="e">
        <f>IF(OR($P47="",$P47="G",ISNA(MATCH($C47,FA,0))),"",IF(N(INDEX(F_G,MATCH($C47,FA,0)))&gt;0,INDEX(F_G,MATCH($C47,FA,0)),IF(N(INDEX(F_MODUL,MATCH($C47,FA,0)))&gt;0,INDEX(F_MODUL,MATCH($C47,FA,0))*MODUL_MM,"")))</f>
        <v>#REF!</v>
      </c>
      <c r="R47" s="7" t="e">
        <f>IF(OR($P47="",$P47="G",ISNA(MATCH($C47,FA,0))),"",IF(N(INDEX(F_Y,MATCH($C47,FA,0)))&gt;0,INDEX(F_Y,MATCH($C47,FA,0)),""))</f>
        <v>#REF!</v>
      </c>
      <c r="S47" s="7" t="e">
        <f>IF(OR($P47="",$P47="G",ISNA(MATCH($C47,FA,0))),"",IF(N(INDEX(F_D,MATCH($C47,FA,0)))&gt;0,INDEX(F_D,MATCH($C47,FA,0)),""))</f>
        <v>#REF!</v>
      </c>
      <c r="T47" s="7">
        <f>IF(ISNA(MATCH($C47,FA,0)),0,IF($J47="GIRIS",N(INDEX(F_INKOR,MATCH($C47,FA,0))),0))</f>
        <v>0</v>
      </c>
      <c r="U47" s="7" t="e">
        <f t="shared" si="16"/>
        <v>#REF!</v>
      </c>
      <c r="V47" s="7" t="e">
        <f t="shared" si="17"/>
        <v>#REF!</v>
      </c>
      <c r="W47" s="7" t="e">
        <f>IF(OR(NOT(ISNUMBER($P47)),$Q47=""),"",N(#REF!)*($Q47+IF(ISNA(MATCH($B47,TIP_AD,0)),0,N(INDEX(TIP_BOSLUK,MATCH($B47,TIP_AD,0))))))</f>
        <v>#REF!</v>
      </c>
      <c r="X47" s="7" t="e">
        <f>IF(ISNUMBER($P47),($Q47="")+($R47="")+($V47="")+IF(AND($U47="KONTAKTOR",NOT(ISNA(MATCH($B47,TIP_AD,0)))),IF(INDEX(TIP_BOSLUK,MATCH($B47,TIP_AD,0))&amp;""="",1,0),0),IF($P47="K",IF($S47="",1,0),0))</f>
        <v>#REF!</v>
      </c>
      <c r="Y47" s="7" t="e">
        <f>N(#REF!)*IF($E47="упак",MAX(1,IF(ISNA(MATCH($C47,FA,0)),1,N(INDEX(F_PAKET,MATCH($C47,FA,0))))),1)</f>
        <v>#REF!</v>
      </c>
      <c r="Z47" s="7" t="e">
        <f t="shared" si="12"/>
        <v>#REF!</v>
      </c>
      <c r="AA47" s="7" t="e">
        <f>IF(OR(ISNA(MATCH($C47,FA,0)),$J47="YEDEK",$J47="SARF"),0,N(#REF!)*N(INDEX(F_TEL,MATCH($C47,FA,0))))</f>
        <v>#REF!</v>
      </c>
      <c r="AB47" s="7" t="e">
        <f>IF(OR(ISNA(MATCH($C47,FA,0)),$J47="YEDEK",$J47="SARF"),0,N(#REF!)*N(INDEX(F_TELM,MATCH($C47,FA,0))))</f>
        <v>#REF!</v>
      </c>
      <c r="AC47" s="7" t="e">
        <f t="shared" si="13"/>
        <v>#REF!</v>
      </c>
      <c r="AD47" s="7" t="e">
        <f>IF(OR(ISNA(MATCH($C47,FA,0)),$J47&lt;&gt;"CIKIS"),0,N(INDEX(F_KK,MATCH($C47,FA,0))))</f>
        <v>#REF!</v>
      </c>
      <c r="AE47" s="7" t="e">
        <f>IF($AD47=0,0,N(#REF!)*N(INDEX(F_KLN,MATCH($C47,FA,0))))</f>
        <v>#REF!</v>
      </c>
      <c r="AF47" s="7" t="e">
        <f>IF($AD47=0,0,N(#REF!)*N(INDEX(F_KPE,MATCH($C47,FA,0))))</f>
        <v>#REF!</v>
      </c>
      <c r="AG47" s="7" t="e">
        <f>IF(ISNA(MATCH($C47,FA,0)),0,N(#REF!)*N(INDEX(F_MODUL,MATCH($C47,FA,0))))</f>
        <v>#REF!</v>
      </c>
      <c r="AH47" s="7" t="e">
        <f>N(#REF!)*N($I47)</f>
        <v>#REF!</v>
      </c>
      <c r="AI47" s="7" t="e">
        <f t="shared" si="14"/>
        <v>#REF!</v>
      </c>
      <c r="AJ47" s="7">
        <f t="shared" si="15"/>
        <v>0</v>
      </c>
    </row>
    <row r="48" spans="1:36" x14ac:dyDescent="0.25">
      <c r="A48" s="4" t="str">
        <f t="shared" si="9"/>
        <v>ШГП-1, ШГП-2 (Ввод + Секция 1)(ВРУ1-18-80А)(ВРУ1-41-00А)(260922 akram aulet)</v>
      </c>
      <c r="B48" s="4" t="s">
        <v>51</v>
      </c>
      <c r="C48" s="4" t="s">
        <v>420</v>
      </c>
      <c r="D48" s="4" t="s">
        <v>421</v>
      </c>
      <c r="E48" s="4" t="s">
        <v>114</v>
      </c>
      <c r="F48" s="4" t="s">
        <v>377</v>
      </c>
      <c r="G48" s="4" t="s">
        <v>38</v>
      </c>
      <c r="H48" s="5" t="e">
        <f>#REF!</f>
        <v>#REF!</v>
      </c>
      <c r="I48" s="6" t="e">
        <f t="shared" si="10"/>
        <v>#REF!</v>
      </c>
      <c r="J48" s="6" t="s">
        <v>52</v>
      </c>
      <c r="K48" s="6" t="s">
        <v>51</v>
      </c>
      <c r="L48" s="7" t="e">
        <f t="shared" si="11"/>
        <v>#REF!</v>
      </c>
      <c r="M48" s="7" t="s">
        <v>124</v>
      </c>
      <c r="N48" s="7" t="s">
        <v>60</v>
      </c>
      <c r="O48" s="7" t="str">
        <f>IF(OR($C48="",$C48="FID YOK"),"",IF(ISNUMBER(MATCH($C48,FA_ANA,0)),"",IF(COUNTIF($C$1:$C47,$C48)&gt;0,"",MAX($O$1:$O47)+1)))</f>
        <v/>
      </c>
      <c r="P48" s="8">
        <v>1</v>
      </c>
      <c r="Q48" s="7" t="e">
        <f>IF(OR($P48="",$P48="G",ISNA(MATCH($C48,FA,0))),"",IF(N(INDEX(F_G,MATCH($C48,FA,0)))&gt;0,INDEX(F_G,MATCH($C48,FA,0)),IF(N(INDEX(F_MODUL,MATCH($C48,FA,0)))&gt;0,INDEX(F_MODUL,MATCH($C48,FA,0))*MODUL_MM,"")))</f>
        <v>#REF!</v>
      </c>
      <c r="R48" s="7" t="e">
        <f>IF(OR($P48="",$P48="G",ISNA(MATCH($C48,FA,0))),"",IF(N(INDEX(F_Y,MATCH($C48,FA,0)))&gt;0,INDEX(F_Y,MATCH($C48,FA,0)),""))</f>
        <v>#REF!</v>
      </c>
      <c r="S48" s="7" t="e">
        <f>IF(OR($P48="",$P48="G",ISNA(MATCH($C48,FA,0))),"",IF(N(INDEX(F_D,MATCH($C48,FA,0)))&gt;0,INDEX(F_D,MATCH($C48,FA,0)),""))</f>
        <v>#REF!</v>
      </c>
      <c r="T48" s="7">
        <f>IF(ISNA(MATCH($C48,FA,0)),0,IF($J48="GIRIS",N(INDEX(F_INKOR,MATCH($C48,FA,0))),0))</f>
        <v>0</v>
      </c>
      <c r="U48" s="7" t="e">
        <f t="shared" si="16"/>
        <v>#REF!</v>
      </c>
      <c r="V48" s="7" t="e">
        <f t="shared" si="17"/>
        <v>#REF!</v>
      </c>
      <c r="W48" s="7" t="e">
        <f>IF(OR(NOT(ISNUMBER($P48)),$Q48=""),"",N(#REF!)*($Q48+IF(ISNA(MATCH($B48,TIP_AD,0)),0,N(INDEX(TIP_BOSLUK,MATCH($B48,TIP_AD,0))))))</f>
        <v>#REF!</v>
      </c>
      <c r="X48" s="7" t="e">
        <f>IF(ISNUMBER($P48),($Q48="")+($R48="")+($V48="")+IF(AND($U48="KONTAKTOR",NOT(ISNA(MATCH($B48,TIP_AD,0)))),IF(INDEX(TIP_BOSLUK,MATCH($B48,TIP_AD,0))&amp;""="",1,0),0),IF($P48="K",IF($S48="",1,0),0))</f>
        <v>#REF!</v>
      </c>
      <c r="Y48" s="7" t="e">
        <f>N(#REF!)*IF($E48="упак",MAX(1,IF(ISNA(MATCH($C48,FA,0)),1,N(INDEX(F_PAKET,MATCH($C48,FA,0))))),1)</f>
        <v>#REF!</v>
      </c>
      <c r="Z48" s="7" t="e">
        <f t="shared" si="12"/>
        <v>#REF!</v>
      </c>
      <c r="AA48" s="7" t="e">
        <f>IF(OR(ISNA(MATCH($C48,FA,0)),$J48="YEDEK",$J48="SARF"),0,N(#REF!)*N(INDEX(F_TEL,MATCH($C48,FA,0))))</f>
        <v>#REF!</v>
      </c>
      <c r="AB48" s="7" t="e">
        <f>IF(OR(ISNA(MATCH($C48,FA,0)),$J48="YEDEK",$J48="SARF"),0,N(#REF!)*N(INDEX(F_TELM,MATCH($C48,FA,0))))</f>
        <v>#REF!</v>
      </c>
      <c r="AC48" s="7" t="e">
        <f t="shared" si="13"/>
        <v>#REF!</v>
      </c>
      <c r="AD48" s="7" t="e">
        <f>IF(OR(ISNA(MATCH($C48,FA,0)),$J48&lt;&gt;"CIKIS"),0,N(INDEX(F_KK,MATCH($C48,FA,0))))</f>
        <v>#REF!</v>
      </c>
      <c r="AE48" s="7" t="e">
        <f>IF($AD48=0,0,N(#REF!)*N(INDEX(F_KLN,MATCH($C48,FA,0))))</f>
        <v>#REF!</v>
      </c>
      <c r="AF48" s="7" t="e">
        <f>IF($AD48=0,0,N(#REF!)*N(INDEX(F_KPE,MATCH($C48,FA,0))))</f>
        <v>#REF!</v>
      </c>
      <c r="AG48" s="7" t="e">
        <f>IF(ISNA(MATCH($C48,FA,0)),0,N(#REF!)*N(INDEX(F_MODUL,MATCH($C48,FA,0))))</f>
        <v>#REF!</v>
      </c>
      <c r="AH48" s="7" t="e">
        <f>N(#REF!)*N($I48)</f>
        <v>#REF!</v>
      </c>
      <c r="AI48" s="7" t="e">
        <f t="shared" si="14"/>
        <v>#REF!</v>
      </c>
      <c r="AJ48" s="7">
        <f t="shared" si="15"/>
        <v>0</v>
      </c>
    </row>
    <row r="49" spans="1:36" x14ac:dyDescent="0.25">
      <c r="A49" s="4" t="str">
        <f t="shared" si="9"/>
        <v>ШГП-1, ШГП-2 (Ввод + Секция 1)(ВРУ1-18-80А)(ВРУ1-41-00А)(260922 akram aulet)</v>
      </c>
      <c r="B49" s="4" t="s">
        <v>51</v>
      </c>
      <c r="C49" s="4" t="s">
        <v>424</v>
      </c>
      <c r="D49" s="4" t="s">
        <v>425</v>
      </c>
      <c r="E49" s="4" t="s">
        <v>114</v>
      </c>
      <c r="F49" s="4" t="s">
        <v>377</v>
      </c>
      <c r="G49" s="4" t="s">
        <v>38</v>
      </c>
      <c r="H49" s="5" t="e">
        <f>#REF!</f>
        <v>#REF!</v>
      </c>
      <c r="I49" s="6" t="e">
        <f t="shared" si="10"/>
        <v>#REF!</v>
      </c>
      <c r="J49" s="6" t="s">
        <v>52</v>
      </c>
      <c r="K49" s="6" t="s">
        <v>51</v>
      </c>
      <c r="L49" s="7" t="e">
        <f t="shared" si="11"/>
        <v>#REF!</v>
      </c>
      <c r="M49" s="7" t="s">
        <v>125</v>
      </c>
      <c r="N49" s="7" t="s">
        <v>126</v>
      </c>
      <c r="O49" s="7">
        <f>IF(OR($C49="",$C49="FID YOK"),"",IF(ISNUMBER(MATCH($C49,FA_ANA,0)),"",IF(COUNTIF($C$1:$C48,$C49)&gt;0,"",MAX($O$1:$O48)+1)))</f>
        <v>38</v>
      </c>
      <c r="P49" s="8">
        <v>1</v>
      </c>
      <c r="Q49" s="7" t="e">
        <f>IF(OR($P49="",$P49="G",ISNA(MATCH($C49,FA,0))),"",IF(N(INDEX(F_G,MATCH($C49,FA,0)))&gt;0,INDEX(F_G,MATCH($C49,FA,0)),IF(N(INDEX(F_MODUL,MATCH($C49,FA,0)))&gt;0,INDEX(F_MODUL,MATCH($C49,FA,0))*MODUL_MM,"")))</f>
        <v>#REF!</v>
      </c>
      <c r="R49" s="7" t="e">
        <f>IF(OR($P49="",$P49="G",ISNA(MATCH($C49,FA,0))),"",IF(N(INDEX(F_Y,MATCH($C49,FA,0)))&gt;0,INDEX(F_Y,MATCH($C49,FA,0)),""))</f>
        <v>#REF!</v>
      </c>
      <c r="S49" s="7" t="e">
        <f>IF(OR($P49="",$P49="G",ISNA(MATCH($C49,FA,0))),"",IF(N(INDEX(F_D,MATCH($C49,FA,0)))&gt;0,INDEX(F_D,MATCH($C49,FA,0)),""))</f>
        <v>#REF!</v>
      </c>
      <c r="T49" s="7">
        <f>IF(ISNA(MATCH($C49,FA,0)),0,IF($J49="GIRIS",N(INDEX(F_INKOR,MATCH($C49,FA,0))),0))</f>
        <v>0</v>
      </c>
      <c r="U49" s="7" t="e">
        <f t="shared" si="16"/>
        <v>#REF!</v>
      </c>
      <c r="V49" s="7" t="e">
        <f t="shared" si="17"/>
        <v>#REF!</v>
      </c>
      <c r="W49" s="7" t="e">
        <f>IF(OR(NOT(ISNUMBER($P49)),$Q49=""),"",N(#REF!)*($Q49+IF(ISNA(MATCH($B49,TIP_AD,0)),0,N(INDEX(TIP_BOSLUK,MATCH($B49,TIP_AD,0))))))</f>
        <v>#REF!</v>
      </c>
      <c r="X49" s="7" t="e">
        <f>IF(ISNUMBER($P49),($Q49="")+($R49="")+($V49="")+IF(AND($U49="KONTAKTOR",NOT(ISNA(MATCH($B49,TIP_AD,0)))),IF(INDEX(TIP_BOSLUK,MATCH($B49,TIP_AD,0))&amp;""="",1,0),0),IF($P49="K",IF($S49="",1,0),0))</f>
        <v>#REF!</v>
      </c>
      <c r="Y49" s="7" t="e">
        <f>N(#REF!)*IF($E49="упак",MAX(1,IF(ISNA(MATCH($C49,FA,0)),1,N(INDEX(F_PAKET,MATCH($C49,FA,0))))),1)</f>
        <v>#REF!</v>
      </c>
      <c r="Z49" s="7" t="e">
        <f t="shared" si="12"/>
        <v>#REF!</v>
      </c>
      <c r="AA49" s="7" t="e">
        <f>IF(OR(ISNA(MATCH($C49,FA,0)),$J49="YEDEK",$J49="SARF"),0,N(#REF!)*N(INDEX(F_TEL,MATCH($C49,FA,0))))</f>
        <v>#REF!</v>
      </c>
      <c r="AB49" s="7" t="e">
        <f>IF(OR(ISNA(MATCH($C49,FA,0)),$J49="YEDEK",$J49="SARF"),0,N(#REF!)*N(INDEX(F_TELM,MATCH($C49,FA,0))))</f>
        <v>#REF!</v>
      </c>
      <c r="AC49" s="7" t="e">
        <f t="shared" si="13"/>
        <v>#REF!</v>
      </c>
      <c r="AD49" s="7" t="e">
        <f>IF(OR(ISNA(MATCH($C49,FA,0)),$J49&lt;&gt;"CIKIS"),0,N(INDEX(F_KK,MATCH($C49,FA,0))))</f>
        <v>#REF!</v>
      </c>
      <c r="AE49" s="7" t="e">
        <f>IF($AD49=0,0,N(#REF!)*N(INDEX(F_KLN,MATCH($C49,FA,0))))</f>
        <v>#REF!</v>
      </c>
      <c r="AF49" s="7" t="e">
        <f>IF($AD49=0,0,N(#REF!)*N(INDEX(F_KPE,MATCH($C49,FA,0))))</f>
        <v>#REF!</v>
      </c>
      <c r="AG49" s="7" t="e">
        <f>IF(ISNA(MATCH($C49,FA,0)),0,N(#REF!)*N(INDEX(F_MODUL,MATCH($C49,FA,0))))</f>
        <v>#REF!</v>
      </c>
      <c r="AH49" s="7" t="e">
        <f>N(#REF!)*N($I49)</f>
        <v>#REF!</v>
      </c>
      <c r="AI49" s="7" t="e">
        <f t="shared" si="14"/>
        <v>#REF!</v>
      </c>
      <c r="AJ49" s="7">
        <f t="shared" si="15"/>
        <v>0</v>
      </c>
    </row>
    <row r="50" spans="1:36" x14ac:dyDescent="0.25">
      <c r="A50" s="4" t="str">
        <f t="shared" si="9"/>
        <v>ШГП-1, ШГП-2 (Ввод + Секция 1)(ВРУ1-18-80А)(ВРУ1-41-00А)(260922 akram aulet)</v>
      </c>
      <c r="B50" s="4" t="s">
        <v>61</v>
      </c>
      <c r="C50" s="4" t="s">
        <v>606</v>
      </c>
      <c r="D50" s="4" t="s">
        <v>607</v>
      </c>
      <c r="E50" s="4" t="s">
        <v>114</v>
      </c>
      <c r="F50" s="4" t="s">
        <v>479</v>
      </c>
      <c r="G50" s="4" t="s">
        <v>38</v>
      </c>
      <c r="H50" s="5" t="e">
        <f>#REF!</f>
        <v>#REF!</v>
      </c>
      <c r="I50" s="6" t="e">
        <f t="shared" si="10"/>
        <v>#REF!</v>
      </c>
      <c r="J50" s="6" t="s">
        <v>62</v>
      </c>
      <c r="K50" s="6" t="s">
        <v>61</v>
      </c>
      <c r="L50" s="7" t="e">
        <f t="shared" si="11"/>
        <v>#REF!</v>
      </c>
      <c r="M50" s="7" t="s">
        <v>127</v>
      </c>
      <c r="N50" s="7" t="s">
        <v>64</v>
      </c>
      <c r="O50" s="7" t="str">
        <f>IF(OR($C50="",$C50="FID YOK"),"",IF(ISNUMBER(MATCH($C50,FA_ANA,0)),"",IF(COUNTIF($C$1:$C49,$C50)&gt;0,"",MAX($O$1:$O49)+1)))</f>
        <v/>
      </c>
      <c r="P50" s="8">
        <v>4</v>
      </c>
      <c r="Q50" s="7" t="e">
        <f>IF(OR($P50="",$P50="G",ISNA(MATCH($C50,FA,0))),"",IF(N(INDEX(F_G,MATCH($C50,FA,0)))&gt;0,INDEX(F_G,MATCH($C50,FA,0)),IF(N(INDEX(F_MODUL,MATCH($C50,FA,0)))&gt;0,INDEX(F_MODUL,MATCH($C50,FA,0))*MODUL_MM,"")))</f>
        <v>#REF!</v>
      </c>
      <c r="R50" s="7" t="e">
        <f>IF(OR($P50="",$P50="G",ISNA(MATCH($C50,FA,0))),"",IF(N(INDEX(F_Y,MATCH($C50,FA,0)))&gt;0,INDEX(F_Y,MATCH($C50,FA,0)),""))</f>
        <v>#REF!</v>
      </c>
      <c r="S50" s="7" t="e">
        <f>IF(OR($P50="",$P50="G",ISNA(MATCH($C50,FA,0))),"",IF(N(INDEX(F_D,MATCH($C50,FA,0)))&gt;0,INDEX(F_D,MATCH($C50,FA,0)),""))</f>
        <v>#REF!</v>
      </c>
      <c r="T50" s="7">
        <f>IF(ISNA(MATCH($C50,FA,0)),0,IF($J50="GIRIS",N(INDEX(F_INKOR,MATCH($C50,FA,0))),0))</f>
        <v>0</v>
      </c>
      <c r="U50" s="7" t="e">
        <f t="shared" si="16"/>
        <v>#REF!</v>
      </c>
      <c r="V50" s="7" t="e">
        <f t="shared" si="17"/>
        <v>#REF!</v>
      </c>
      <c r="W50" s="7" t="e">
        <f>IF(OR(NOT(ISNUMBER($P50)),$Q50=""),"",N(#REF!)*($Q50+IF(ISNA(MATCH($B50,TIP_AD,0)),0,N(INDEX(TIP_BOSLUK,MATCH($B50,TIP_AD,0))))))</f>
        <v>#REF!</v>
      </c>
      <c r="X50" s="7" t="e">
        <f>IF(ISNUMBER($P50),($Q50="")+($R50="")+($V50="")+IF(AND($U50="KONTAKTOR",NOT(ISNA(MATCH($B50,TIP_AD,0)))),IF(INDEX(TIP_BOSLUK,MATCH($B50,TIP_AD,0))&amp;""="",1,0),0),IF($P50="K",IF($S50="",1,0),0))</f>
        <v>#REF!</v>
      </c>
      <c r="Y50" s="7" t="e">
        <f>N(#REF!)*IF($E50="упак",MAX(1,IF(ISNA(MATCH($C50,FA,0)),1,N(INDEX(F_PAKET,MATCH($C50,FA,0))))),1)</f>
        <v>#REF!</v>
      </c>
      <c r="Z50" s="7" t="e">
        <f t="shared" si="12"/>
        <v>#REF!</v>
      </c>
      <c r="AA50" s="7" t="e">
        <f>IF(OR(ISNA(MATCH($C50,FA,0)),$J50="YEDEK",$J50="SARF"),0,N(#REF!)*N(INDEX(F_TEL,MATCH($C50,FA,0))))</f>
        <v>#REF!</v>
      </c>
      <c r="AB50" s="7" t="e">
        <f>IF(OR(ISNA(MATCH($C50,FA,0)),$J50="YEDEK",$J50="SARF"),0,N(#REF!)*N(INDEX(F_TELM,MATCH($C50,FA,0))))</f>
        <v>#REF!</v>
      </c>
      <c r="AC50" s="7" t="e">
        <f t="shared" si="13"/>
        <v>#REF!</v>
      </c>
      <c r="AD50" s="7">
        <f>IF(OR(ISNA(MATCH($C50,FA,0)),$J50&lt;&gt;"CIKIS"),0,N(INDEX(F_KK,MATCH($C50,FA,0))))</f>
        <v>0</v>
      </c>
      <c r="AE50" s="7">
        <f>IF($AD50=0,0,N(#REF!)*N(INDEX(F_KLN,MATCH($C50,FA,0))))</f>
        <v>0</v>
      </c>
      <c r="AF50" s="7">
        <f>IF($AD50=0,0,N(#REF!)*N(INDEX(F_KPE,MATCH($C50,FA,0))))</f>
        <v>0</v>
      </c>
      <c r="AG50" s="7" t="e">
        <f>IF(ISNA(MATCH($C50,FA,0)),0,N(#REF!)*N(INDEX(F_MODUL,MATCH($C50,FA,0))))</f>
        <v>#REF!</v>
      </c>
      <c r="AH50" s="7" t="e">
        <f>N(#REF!)*N($I50)</f>
        <v>#REF!</v>
      </c>
      <c r="AI50" s="7" t="e">
        <f t="shared" si="14"/>
        <v>#REF!</v>
      </c>
      <c r="AJ50" s="7">
        <f t="shared" si="15"/>
        <v>0</v>
      </c>
    </row>
    <row r="51" spans="1:36" x14ac:dyDescent="0.25">
      <c r="A51" s="4" t="str">
        <f t="shared" si="9"/>
        <v>ШГП-1, ШГП-2 (Ввод + Секция 1)(ВРУ1-18-80А)(ВРУ1-41-00А)(260922 akram aulet)</v>
      </c>
      <c r="B51" s="4" t="s">
        <v>65</v>
      </c>
      <c r="C51" s="4" t="s">
        <v>392</v>
      </c>
      <c r="D51" s="4" t="s">
        <v>393</v>
      </c>
      <c r="E51" s="4" t="s">
        <v>114</v>
      </c>
      <c r="F51" s="4" t="s">
        <v>377</v>
      </c>
      <c r="G51" s="4" t="s">
        <v>38</v>
      </c>
      <c r="H51" s="5" t="e">
        <f>#REF!</f>
        <v>#REF!</v>
      </c>
      <c r="I51" s="6" t="e">
        <f t="shared" si="10"/>
        <v>#REF!</v>
      </c>
      <c r="J51" s="6" t="s">
        <v>66</v>
      </c>
      <c r="K51" s="6" t="s">
        <v>65</v>
      </c>
      <c r="L51" s="7" t="e">
        <f t="shared" si="11"/>
        <v>#REF!</v>
      </c>
      <c r="M51" s="7" t="s">
        <v>67</v>
      </c>
      <c r="N51" s="7" t="s">
        <v>68</v>
      </c>
      <c r="O51" s="7" t="str">
        <f>IF(OR($C51="",$C51="FID YOK"),"",IF(ISNUMBER(MATCH($C51,FA_ANA,0)),"",IF(COUNTIF($C$1:$C50,$C51)&gt;0,"",MAX($O$1:$O50)+1)))</f>
        <v/>
      </c>
      <c r="P51" s="8">
        <v>4</v>
      </c>
      <c r="Q51" s="7" t="e">
        <f>IF(OR($P51="",$P51="G",ISNA(MATCH($C51,FA,0))),"",IF(N(INDEX(F_G,MATCH($C51,FA,0)))&gt;0,INDEX(F_G,MATCH($C51,FA,0)),IF(N(INDEX(F_MODUL,MATCH($C51,FA,0)))&gt;0,INDEX(F_MODUL,MATCH($C51,FA,0))*MODUL_MM,"")))</f>
        <v>#REF!</v>
      </c>
      <c r="R51" s="7" t="e">
        <f>IF(OR($P51="",$P51="G",ISNA(MATCH($C51,FA,0))),"",IF(N(INDEX(F_Y,MATCH($C51,FA,0)))&gt;0,INDEX(F_Y,MATCH($C51,FA,0)),""))</f>
        <v>#REF!</v>
      </c>
      <c r="S51" s="7" t="e">
        <f>IF(OR($P51="",$P51="G",ISNA(MATCH($C51,FA,0))),"",IF(N(INDEX(F_D,MATCH($C51,FA,0)))&gt;0,INDEX(F_D,MATCH($C51,FA,0)),""))</f>
        <v>#REF!</v>
      </c>
      <c r="T51" s="7">
        <f>IF(ISNA(MATCH($C51,FA,0)),0,IF($J51="GIRIS",N(INDEX(F_INKOR,MATCH($C51,FA,0))),0))</f>
        <v>0</v>
      </c>
      <c r="U51" s="7" t="e">
        <f t="shared" si="16"/>
        <v>#REF!</v>
      </c>
      <c r="V51" s="7" t="e">
        <f t="shared" si="17"/>
        <v>#REF!</v>
      </c>
      <c r="W51" s="7" t="e">
        <f>IF(OR(NOT(ISNUMBER($P51)),$Q51=""),"",N(#REF!)*($Q51+IF(ISNA(MATCH($B51,TIP_AD,0)),0,N(INDEX(TIP_BOSLUK,MATCH($B51,TIP_AD,0))))))</f>
        <v>#REF!</v>
      </c>
      <c r="X51" s="7" t="e">
        <f>IF(ISNUMBER($P51),($Q51="")+($R51="")+($V51="")+IF(AND($U51="KONTAKTOR",NOT(ISNA(MATCH($B51,TIP_AD,0)))),IF(INDEX(TIP_BOSLUK,MATCH($B51,TIP_AD,0))&amp;""="",1,0),0),IF($P51="K",IF($S51="",1,0),0))</f>
        <v>#REF!</v>
      </c>
      <c r="Y51" s="7" t="e">
        <f>N(#REF!)*IF($E51="упак",MAX(1,IF(ISNA(MATCH($C51,FA,0)),1,N(INDEX(F_PAKET,MATCH($C51,FA,0))))),1)</f>
        <v>#REF!</v>
      </c>
      <c r="Z51" s="7" t="e">
        <f t="shared" si="12"/>
        <v>#REF!</v>
      </c>
      <c r="AA51" s="7" t="e">
        <f>IF(OR(ISNA(MATCH($C51,FA,0)),$J51="YEDEK",$J51="SARF"),0,N(#REF!)*N(INDEX(F_TEL,MATCH($C51,FA,0))))</f>
        <v>#REF!</v>
      </c>
      <c r="AB51" s="7" t="e">
        <f>IF(OR(ISNA(MATCH($C51,FA,0)),$J51="YEDEK",$J51="SARF"),0,N(#REF!)*N(INDEX(F_TELM,MATCH($C51,FA,0))))</f>
        <v>#REF!</v>
      </c>
      <c r="AC51" s="7" t="e">
        <f t="shared" si="13"/>
        <v>#REF!</v>
      </c>
      <c r="AD51" s="7">
        <f>IF(OR(ISNA(MATCH($C51,FA,0)),$J51&lt;&gt;"CIKIS"),0,N(INDEX(F_KK,MATCH($C51,FA,0))))</f>
        <v>0</v>
      </c>
      <c r="AE51" s="7">
        <f>IF($AD51=0,0,N(#REF!)*N(INDEX(F_KLN,MATCH($C51,FA,0))))</f>
        <v>0</v>
      </c>
      <c r="AF51" s="7">
        <f>IF($AD51=0,0,N(#REF!)*N(INDEX(F_KPE,MATCH($C51,FA,0))))</f>
        <v>0</v>
      </c>
      <c r="AG51" s="7" t="e">
        <f>IF(ISNA(MATCH($C51,FA,0)),0,N(#REF!)*N(INDEX(F_MODUL,MATCH($C51,FA,0))))</f>
        <v>#REF!</v>
      </c>
      <c r="AH51" s="7" t="e">
        <f>N(#REF!)*N($I51)</f>
        <v>#REF!</v>
      </c>
      <c r="AI51" s="7" t="e">
        <f t="shared" si="14"/>
        <v>#REF!</v>
      </c>
      <c r="AJ51" s="7">
        <f t="shared" si="15"/>
        <v>0</v>
      </c>
    </row>
    <row r="52" spans="1:36" x14ac:dyDescent="0.25">
      <c r="A52" s="4" t="str">
        <f t="shared" si="9"/>
        <v>ШГП-1, ШГП-2 (Ввод + Секция 1)(ВРУ1-18-80А)(ВРУ1-41-00А)(260922 akram aulet)</v>
      </c>
      <c r="B52" s="4" t="s">
        <v>65</v>
      </c>
      <c r="C52" s="4" t="s">
        <v>396</v>
      </c>
      <c r="D52" s="4" t="s">
        <v>397</v>
      </c>
      <c r="E52" s="4" t="s">
        <v>114</v>
      </c>
      <c r="F52" s="4" t="s">
        <v>377</v>
      </c>
      <c r="G52" s="4" t="s">
        <v>38</v>
      </c>
      <c r="H52" s="5" t="e">
        <f>#REF!</f>
        <v>#REF!</v>
      </c>
      <c r="I52" s="6" t="e">
        <f t="shared" si="10"/>
        <v>#REF!</v>
      </c>
      <c r="J52" s="6" t="s">
        <v>52</v>
      </c>
      <c r="K52" s="6" t="s">
        <v>65</v>
      </c>
      <c r="L52" s="7" t="e">
        <f t="shared" si="11"/>
        <v>#REF!</v>
      </c>
      <c r="M52" s="7" t="s">
        <v>128</v>
      </c>
      <c r="N52" s="7" t="s">
        <v>129</v>
      </c>
      <c r="O52" s="7">
        <f>IF(OR($C52="",$C52="FID YOK"),"",IF(ISNUMBER(MATCH($C52,FA_ANA,0)),"",IF(COUNTIF($C$1:$C51,$C52)&gt;0,"",MAX($O$1:$O51)+1)))</f>
        <v>39</v>
      </c>
      <c r="P52" s="8">
        <v>5</v>
      </c>
      <c r="Q52" s="7" t="e">
        <f>IF(OR($P52="",$P52="G",ISNA(MATCH($C52,FA,0))),"",IF(N(INDEX(F_G,MATCH($C52,FA,0)))&gt;0,INDEX(F_G,MATCH($C52,FA,0)),IF(N(INDEX(F_MODUL,MATCH($C52,FA,0)))&gt;0,INDEX(F_MODUL,MATCH($C52,FA,0))*MODUL_MM,"")))</f>
        <v>#REF!</v>
      </c>
      <c r="R52" s="7" t="e">
        <f>IF(OR($P52="",$P52="G",ISNA(MATCH($C52,FA,0))),"",IF(N(INDEX(F_Y,MATCH($C52,FA,0)))&gt;0,INDEX(F_Y,MATCH($C52,FA,0)),""))</f>
        <v>#REF!</v>
      </c>
      <c r="S52" s="7" t="e">
        <f>IF(OR($P52="",$P52="G",ISNA(MATCH($C52,FA,0))),"",IF(N(INDEX(F_D,MATCH($C52,FA,0)))&gt;0,INDEX(F_D,MATCH($C52,FA,0)),""))</f>
        <v>#REF!</v>
      </c>
      <c r="T52" s="7">
        <f>IF(ISNA(MATCH($C52,FA,0)),0,IF($J52="GIRIS",N(INDEX(F_INKOR,MATCH($C52,FA,0))),0))</f>
        <v>0</v>
      </c>
      <c r="U52" s="7" t="e">
        <f t="shared" si="16"/>
        <v>#REF!</v>
      </c>
      <c r="V52" s="7" t="e">
        <f t="shared" si="17"/>
        <v>#REF!</v>
      </c>
      <c r="W52" s="7" t="e">
        <f>IF(OR(NOT(ISNUMBER($P52)),$Q52=""),"",N(#REF!)*($Q52+IF(ISNA(MATCH($B52,TIP_AD,0)),0,N(INDEX(TIP_BOSLUK,MATCH($B52,TIP_AD,0))))))</f>
        <v>#REF!</v>
      </c>
      <c r="X52" s="7" t="e">
        <f>IF(ISNUMBER($P52),($Q52="")+($R52="")+($V52="")+IF(AND($U52="KONTAKTOR",NOT(ISNA(MATCH($B52,TIP_AD,0)))),IF(INDEX(TIP_BOSLUK,MATCH($B52,TIP_AD,0))&amp;""="",1,0),0),IF($P52="K",IF($S52="",1,0),0))</f>
        <v>#REF!</v>
      </c>
      <c r="Y52" s="7" t="e">
        <f>N(#REF!)*IF($E52="упак",MAX(1,IF(ISNA(MATCH($C52,FA,0)),1,N(INDEX(F_PAKET,MATCH($C52,FA,0))))),1)</f>
        <v>#REF!</v>
      </c>
      <c r="Z52" s="7" t="e">
        <f t="shared" si="12"/>
        <v>#REF!</v>
      </c>
      <c r="AA52" s="7" t="e">
        <f>IF(OR(ISNA(MATCH($C52,FA,0)),$J52="YEDEK",$J52="SARF"),0,N(#REF!)*N(INDEX(F_TEL,MATCH($C52,FA,0))))</f>
        <v>#REF!</v>
      </c>
      <c r="AB52" s="7" t="e">
        <f>IF(OR(ISNA(MATCH($C52,FA,0)),$J52="YEDEK",$J52="SARF"),0,N(#REF!)*N(INDEX(F_TELM,MATCH($C52,FA,0))))</f>
        <v>#REF!</v>
      </c>
      <c r="AC52" s="7" t="e">
        <f t="shared" si="13"/>
        <v>#REF!</v>
      </c>
      <c r="AD52" s="7" t="e">
        <f>IF(OR(ISNA(MATCH($C52,FA,0)),$J52&lt;&gt;"CIKIS"),0,N(INDEX(F_KK,MATCH($C52,FA,0))))</f>
        <v>#REF!</v>
      </c>
      <c r="AE52" s="7" t="e">
        <f>IF($AD52=0,0,N(#REF!)*N(INDEX(F_KLN,MATCH($C52,FA,0))))</f>
        <v>#REF!</v>
      </c>
      <c r="AF52" s="7" t="e">
        <f>IF($AD52=0,0,N(#REF!)*N(INDEX(F_KPE,MATCH($C52,FA,0))))</f>
        <v>#REF!</v>
      </c>
      <c r="AG52" s="7" t="e">
        <f>IF(ISNA(MATCH($C52,FA,0)),0,N(#REF!)*N(INDEX(F_MODUL,MATCH($C52,FA,0))))</f>
        <v>#REF!</v>
      </c>
      <c r="AH52" s="7" t="e">
        <f>N(#REF!)*N($I52)</f>
        <v>#REF!</v>
      </c>
      <c r="AI52" s="7" t="e">
        <f t="shared" si="14"/>
        <v>#REF!</v>
      </c>
      <c r="AJ52" s="7">
        <f t="shared" si="15"/>
        <v>0</v>
      </c>
    </row>
    <row r="53" spans="1:36" x14ac:dyDescent="0.25">
      <c r="A53" s="4" t="str">
        <f t="shared" si="9"/>
        <v>ШГП-1, ШГП-2 (Ввод + Секция 1)(ВРУ1-18-80А)(ВРУ1-41-00А)(260922 akram aulet)</v>
      </c>
      <c r="B53" s="4" t="s">
        <v>75</v>
      </c>
      <c r="C53" s="4" t="s">
        <v>465</v>
      </c>
      <c r="D53" s="4" t="s">
        <v>466</v>
      </c>
      <c r="E53" s="4" t="s">
        <v>114</v>
      </c>
      <c r="F53" s="4" t="s">
        <v>377</v>
      </c>
      <c r="G53" s="4" t="s">
        <v>38</v>
      </c>
      <c r="H53" s="5" t="e">
        <f>#REF!</f>
        <v>#REF!</v>
      </c>
      <c r="I53" s="6" t="e">
        <f t="shared" si="10"/>
        <v>#REF!</v>
      </c>
      <c r="J53" s="6" t="s">
        <v>66</v>
      </c>
      <c r="K53" s="6" t="s">
        <v>75</v>
      </c>
      <c r="L53" s="7" t="e">
        <f t="shared" si="11"/>
        <v>#REF!</v>
      </c>
      <c r="M53" s="7" t="s">
        <v>76</v>
      </c>
      <c r="N53" s="7" t="s">
        <v>77</v>
      </c>
      <c r="O53" s="7" t="str">
        <f>IF(OR($C53="",$C53="FID YOK"),"",IF(ISNUMBER(MATCH($C53,FA_ANA,0)),"",IF(COUNTIF($C$1:$C52,$C53)&gt;0,"",MAX($O$1:$O52)+1)))</f>
        <v/>
      </c>
      <c r="P53" s="8" t="s">
        <v>78</v>
      </c>
      <c r="Q53" s="7" t="e">
        <f>IF(OR($P53="",$P53="G",ISNA(MATCH($C53,FA,0))),"",IF(N(INDEX(F_G,MATCH($C53,FA,0)))&gt;0,INDEX(F_G,MATCH($C53,FA,0)),IF(N(INDEX(F_MODUL,MATCH($C53,FA,0)))&gt;0,INDEX(F_MODUL,MATCH($C53,FA,0))*MODUL_MM,"")))</f>
        <v>#REF!</v>
      </c>
      <c r="R53" s="7" t="e">
        <f>IF(OR($P53="",$P53="G",ISNA(MATCH($C53,FA,0))),"",IF(N(INDEX(F_Y,MATCH($C53,FA,0)))&gt;0,INDEX(F_Y,MATCH($C53,FA,0)),""))</f>
        <v>#REF!</v>
      </c>
      <c r="S53" s="7" t="e">
        <f>IF(OR($P53="",$P53="G",ISNA(MATCH($C53,FA,0))),"",IF(N(INDEX(F_D,MATCH($C53,FA,0)))&gt;0,INDEX(F_D,MATCH($C53,FA,0)),""))</f>
        <v>#REF!</v>
      </c>
      <c r="T53" s="7">
        <f>IF(ISNA(MATCH($C53,FA,0)),0,IF($J53="GIRIS",N(INDEX(F_INKOR,MATCH($C53,FA,0))),0))</f>
        <v>0</v>
      </c>
      <c r="U53" s="7" t="e">
        <f t="shared" si="16"/>
        <v>#REF!</v>
      </c>
      <c r="V53" s="7" t="str">
        <f t="shared" si="17"/>
        <v/>
      </c>
      <c r="W53" s="7" t="e">
        <f>IF(OR(NOT(ISNUMBER($P53)),$Q53=""),"",N(#REF!)*($Q53+IF(ISNA(MATCH($B53,TIP_AD,0)),0,N(INDEX(TIP_BOSLUK,MATCH($B53,TIP_AD,0))))))</f>
        <v>#REF!</v>
      </c>
      <c r="X53" s="7" t="e">
        <f>IF(ISNUMBER($P53),($Q53="")+($R53="")+($V53="")+IF(AND($U53="KONTAKTOR",NOT(ISNA(MATCH($B53,TIP_AD,0)))),IF(INDEX(TIP_BOSLUK,MATCH($B53,TIP_AD,0))&amp;""="",1,0),0),IF($P53="K",IF($S53="",1,0),0))</f>
        <v>#REF!</v>
      </c>
      <c r="Y53" s="7" t="e">
        <f>N(#REF!)*IF($E53="упак",MAX(1,IF(ISNA(MATCH($C53,FA,0)),1,N(INDEX(F_PAKET,MATCH($C53,FA,0))))),1)</f>
        <v>#REF!</v>
      </c>
      <c r="Z53" s="7" t="e">
        <f t="shared" si="12"/>
        <v>#REF!</v>
      </c>
      <c r="AA53" s="7" t="e">
        <f>IF(OR(ISNA(MATCH($C53,FA,0)),$J53="YEDEK",$J53="SARF"),0,N(#REF!)*N(INDEX(F_TEL,MATCH($C53,FA,0))))</f>
        <v>#REF!</v>
      </c>
      <c r="AB53" s="7" t="e">
        <f>IF(OR(ISNA(MATCH($C53,FA,0)),$J53="YEDEK",$J53="SARF"),0,N(#REF!)*N(INDEX(F_TELM,MATCH($C53,FA,0))))</f>
        <v>#REF!</v>
      </c>
      <c r="AC53" s="7" t="e">
        <f t="shared" si="13"/>
        <v>#REF!</v>
      </c>
      <c r="AD53" s="7">
        <f>IF(OR(ISNA(MATCH($C53,FA,0)),$J53&lt;&gt;"CIKIS"),0,N(INDEX(F_KK,MATCH($C53,FA,0))))</f>
        <v>0</v>
      </c>
      <c r="AE53" s="7">
        <f>IF($AD53=0,0,N(#REF!)*N(INDEX(F_KLN,MATCH($C53,FA,0))))</f>
        <v>0</v>
      </c>
      <c r="AF53" s="7">
        <f>IF($AD53=0,0,N(#REF!)*N(INDEX(F_KPE,MATCH($C53,FA,0))))</f>
        <v>0</v>
      </c>
      <c r="AG53" s="7" t="e">
        <f>IF(ISNA(MATCH($C53,FA,0)),0,N(#REF!)*N(INDEX(F_MODUL,MATCH($C53,FA,0))))</f>
        <v>#REF!</v>
      </c>
      <c r="AH53" s="7" t="e">
        <f>N(#REF!)*N($I53)</f>
        <v>#REF!</v>
      </c>
      <c r="AI53" s="7" t="e">
        <f t="shared" si="14"/>
        <v>#REF!</v>
      </c>
      <c r="AJ53" s="7">
        <f t="shared" si="15"/>
        <v>0</v>
      </c>
    </row>
    <row r="54" spans="1:36" x14ac:dyDescent="0.25">
      <c r="A54" s="4" t="str">
        <f t="shared" si="9"/>
        <v>ШГП-1, ШГП-2 (Ввод + Секция 1)(ВРУ1-18-80А)(ВРУ1-41-00А)(260922 akram aulet)</v>
      </c>
      <c r="B54" s="4" t="s">
        <v>75</v>
      </c>
      <c r="C54" s="4" t="s">
        <v>467</v>
      </c>
      <c r="D54" s="4" t="s">
        <v>468</v>
      </c>
      <c r="E54" s="4" t="s">
        <v>114</v>
      </c>
      <c r="F54" s="4" t="s">
        <v>377</v>
      </c>
      <c r="G54" s="4" t="s">
        <v>38</v>
      </c>
      <c r="H54" s="5" t="e">
        <f>#REF!</f>
        <v>#REF!</v>
      </c>
      <c r="I54" s="6" t="e">
        <f t="shared" si="10"/>
        <v>#REF!</v>
      </c>
      <c r="J54" s="6" t="s">
        <v>66</v>
      </c>
      <c r="K54" s="6" t="s">
        <v>75</v>
      </c>
      <c r="L54" s="7" t="e">
        <f t="shared" si="11"/>
        <v>#REF!</v>
      </c>
      <c r="M54" s="7" t="s">
        <v>79</v>
      </c>
      <c r="N54" s="7" t="s">
        <v>80</v>
      </c>
      <c r="O54" s="7" t="str">
        <f>IF(OR($C54="",$C54="FID YOK"),"",IF(ISNUMBER(MATCH($C54,FA_ANA,0)),"",IF(COUNTIF($C$1:$C53,$C54)&gt;0,"",MAX($O$1:$O53)+1)))</f>
        <v/>
      </c>
      <c r="P54" s="8" t="s">
        <v>78</v>
      </c>
      <c r="Q54" s="7" t="e">
        <f>IF(OR($P54="",$P54="G",ISNA(MATCH($C54,FA,0))),"",IF(N(INDEX(F_G,MATCH($C54,FA,0)))&gt;0,INDEX(F_G,MATCH($C54,FA,0)),IF(N(INDEX(F_MODUL,MATCH($C54,FA,0)))&gt;0,INDEX(F_MODUL,MATCH($C54,FA,0))*MODUL_MM,"")))</f>
        <v>#REF!</v>
      </c>
      <c r="R54" s="7" t="e">
        <f>IF(OR($P54="",$P54="G",ISNA(MATCH($C54,FA,0))),"",IF(N(INDEX(F_Y,MATCH($C54,FA,0)))&gt;0,INDEX(F_Y,MATCH($C54,FA,0)),""))</f>
        <v>#REF!</v>
      </c>
      <c r="S54" s="7" t="e">
        <f>IF(OR($P54="",$P54="G",ISNA(MATCH($C54,FA,0))),"",IF(N(INDEX(F_D,MATCH($C54,FA,0)))&gt;0,INDEX(F_D,MATCH($C54,FA,0)),""))</f>
        <v>#REF!</v>
      </c>
      <c r="T54" s="7">
        <f>IF(ISNA(MATCH($C54,FA,0)),0,IF($J54="GIRIS",N(INDEX(F_INKOR,MATCH($C54,FA,0))),0))</f>
        <v>0</v>
      </c>
      <c r="U54" s="7" t="e">
        <f t="shared" si="16"/>
        <v>#REF!</v>
      </c>
      <c r="V54" s="7" t="str">
        <f t="shared" si="17"/>
        <v/>
      </c>
      <c r="W54" s="7" t="e">
        <f>IF(OR(NOT(ISNUMBER($P54)),$Q54=""),"",N(#REF!)*($Q54+IF(ISNA(MATCH($B54,TIP_AD,0)),0,N(INDEX(TIP_BOSLUK,MATCH($B54,TIP_AD,0))))))</f>
        <v>#REF!</v>
      </c>
      <c r="X54" s="7" t="e">
        <f>IF(ISNUMBER($P54),($Q54="")+($R54="")+($V54="")+IF(AND($U54="KONTAKTOR",NOT(ISNA(MATCH($B54,TIP_AD,0)))),IF(INDEX(TIP_BOSLUK,MATCH($B54,TIP_AD,0))&amp;""="",1,0),0),IF($P54="K",IF($S54="",1,0),0))</f>
        <v>#REF!</v>
      </c>
      <c r="Y54" s="7" t="e">
        <f>N(#REF!)*IF($E54="упак",MAX(1,IF(ISNA(MATCH($C54,FA,0)),1,N(INDEX(F_PAKET,MATCH($C54,FA,0))))),1)</f>
        <v>#REF!</v>
      </c>
      <c r="Z54" s="7" t="e">
        <f t="shared" si="12"/>
        <v>#REF!</v>
      </c>
      <c r="AA54" s="7" t="e">
        <f>IF(OR(ISNA(MATCH($C54,FA,0)),$J54="YEDEK",$J54="SARF"),0,N(#REF!)*N(INDEX(F_TEL,MATCH($C54,FA,0))))</f>
        <v>#REF!</v>
      </c>
      <c r="AB54" s="7" t="e">
        <f>IF(OR(ISNA(MATCH($C54,FA,0)),$J54="YEDEK",$J54="SARF"),0,N(#REF!)*N(INDEX(F_TELM,MATCH($C54,FA,0))))</f>
        <v>#REF!</v>
      </c>
      <c r="AC54" s="7" t="e">
        <f t="shared" si="13"/>
        <v>#REF!</v>
      </c>
      <c r="AD54" s="7">
        <f>IF(OR(ISNA(MATCH($C54,FA,0)),$J54&lt;&gt;"CIKIS"),0,N(INDEX(F_KK,MATCH($C54,FA,0))))</f>
        <v>0</v>
      </c>
      <c r="AE54" s="7">
        <f>IF($AD54=0,0,N(#REF!)*N(INDEX(F_KLN,MATCH($C54,FA,0))))</f>
        <v>0</v>
      </c>
      <c r="AF54" s="7">
        <f>IF($AD54=0,0,N(#REF!)*N(INDEX(F_KPE,MATCH($C54,FA,0))))</f>
        <v>0</v>
      </c>
      <c r="AG54" s="7" t="e">
        <f>IF(ISNA(MATCH($C54,FA,0)),0,N(#REF!)*N(INDEX(F_MODUL,MATCH($C54,FA,0))))</f>
        <v>#REF!</v>
      </c>
      <c r="AH54" s="7" t="e">
        <f>N(#REF!)*N($I54)</f>
        <v>#REF!</v>
      </c>
      <c r="AI54" s="7" t="e">
        <f t="shared" si="14"/>
        <v>#REF!</v>
      </c>
      <c r="AJ54" s="7">
        <f t="shared" si="15"/>
        <v>0</v>
      </c>
    </row>
    <row r="55" spans="1:36" x14ac:dyDescent="0.25">
      <c r="A55" s="4" t="str">
        <f t="shared" si="9"/>
        <v>ШГП-1, ШГП-2 (Ввод + Секция 1)(ВРУ1-18-80А)(ВРУ1-41-00А)(260922 akram aulet)</v>
      </c>
      <c r="B55" s="4" t="s">
        <v>75</v>
      </c>
      <c r="C55" s="4" t="s">
        <v>469</v>
      </c>
      <c r="D55" s="4" t="s">
        <v>470</v>
      </c>
      <c r="E55" s="4" t="s">
        <v>114</v>
      </c>
      <c r="F55" s="4" t="s">
        <v>377</v>
      </c>
      <c r="G55" s="4" t="s">
        <v>38</v>
      </c>
      <c r="H55" s="5" t="e">
        <f>#REF!</f>
        <v>#REF!</v>
      </c>
      <c r="I55" s="6" t="e">
        <f t="shared" si="10"/>
        <v>#REF!</v>
      </c>
      <c r="J55" s="6" t="s">
        <v>66</v>
      </c>
      <c r="K55" s="6" t="s">
        <v>75</v>
      </c>
      <c r="L55" s="7" t="e">
        <f t="shared" si="11"/>
        <v>#REF!</v>
      </c>
      <c r="M55" s="7" t="s">
        <v>81</v>
      </c>
      <c r="N55" s="7" t="s">
        <v>82</v>
      </c>
      <c r="O55" s="7" t="str">
        <f>IF(OR($C55="",$C55="FID YOK"),"",IF(ISNUMBER(MATCH($C55,FA_ANA,0)),"",IF(COUNTIF($C$1:$C54,$C55)&gt;0,"",MAX($O$1:$O54)+1)))</f>
        <v/>
      </c>
      <c r="P55" s="8" t="s">
        <v>78</v>
      </c>
      <c r="Q55" s="7" t="e">
        <f>IF(OR($P55="",$P55="G",ISNA(MATCH($C55,FA,0))),"",IF(N(INDEX(F_G,MATCH($C55,FA,0)))&gt;0,INDEX(F_G,MATCH($C55,FA,0)),IF(N(INDEX(F_MODUL,MATCH($C55,FA,0)))&gt;0,INDEX(F_MODUL,MATCH($C55,FA,0))*MODUL_MM,"")))</f>
        <v>#REF!</v>
      </c>
      <c r="R55" s="7" t="e">
        <f>IF(OR($P55="",$P55="G",ISNA(MATCH($C55,FA,0))),"",IF(N(INDEX(F_Y,MATCH($C55,FA,0)))&gt;0,INDEX(F_Y,MATCH($C55,FA,0)),""))</f>
        <v>#REF!</v>
      </c>
      <c r="S55" s="7" t="e">
        <f>IF(OR($P55="",$P55="G",ISNA(MATCH($C55,FA,0))),"",IF(N(INDEX(F_D,MATCH($C55,FA,0)))&gt;0,INDEX(F_D,MATCH($C55,FA,0)),""))</f>
        <v>#REF!</v>
      </c>
      <c r="T55" s="7">
        <f>IF(ISNA(MATCH($C55,FA,0)),0,IF($J55="GIRIS",N(INDEX(F_INKOR,MATCH($C55,FA,0))),0))</f>
        <v>0</v>
      </c>
      <c r="U55" s="7" t="e">
        <f t="shared" si="16"/>
        <v>#REF!</v>
      </c>
      <c r="V55" s="7" t="str">
        <f t="shared" si="17"/>
        <v/>
      </c>
      <c r="W55" s="7" t="e">
        <f>IF(OR(NOT(ISNUMBER($P55)),$Q55=""),"",N(#REF!)*($Q55+IF(ISNA(MATCH($B55,TIP_AD,0)),0,N(INDEX(TIP_BOSLUK,MATCH($B55,TIP_AD,0))))))</f>
        <v>#REF!</v>
      </c>
      <c r="X55" s="7" t="e">
        <f>IF(ISNUMBER($P55),($Q55="")+($R55="")+($V55="")+IF(AND($U55="KONTAKTOR",NOT(ISNA(MATCH($B55,TIP_AD,0)))),IF(INDEX(TIP_BOSLUK,MATCH($B55,TIP_AD,0))&amp;""="",1,0),0),IF($P55="K",IF($S55="",1,0),0))</f>
        <v>#REF!</v>
      </c>
      <c r="Y55" s="7" t="e">
        <f>N(#REF!)*IF($E55="упак",MAX(1,IF(ISNA(MATCH($C55,FA,0)),1,N(INDEX(F_PAKET,MATCH($C55,FA,0))))),1)</f>
        <v>#REF!</v>
      </c>
      <c r="Z55" s="7" t="e">
        <f t="shared" si="12"/>
        <v>#REF!</v>
      </c>
      <c r="AA55" s="7" t="e">
        <f>IF(OR(ISNA(MATCH($C55,FA,0)),$J55="YEDEK",$J55="SARF"),0,N(#REF!)*N(INDEX(F_TEL,MATCH($C55,FA,0))))</f>
        <v>#REF!</v>
      </c>
      <c r="AB55" s="7" t="e">
        <f>IF(OR(ISNA(MATCH($C55,FA,0)),$J55="YEDEK",$J55="SARF"),0,N(#REF!)*N(INDEX(F_TELM,MATCH($C55,FA,0))))</f>
        <v>#REF!</v>
      </c>
      <c r="AC55" s="7" t="e">
        <f t="shared" si="13"/>
        <v>#REF!</v>
      </c>
      <c r="AD55" s="7">
        <f>IF(OR(ISNA(MATCH($C55,FA,0)),$J55&lt;&gt;"CIKIS"),0,N(INDEX(F_KK,MATCH($C55,FA,0))))</f>
        <v>0</v>
      </c>
      <c r="AE55" s="7">
        <f>IF($AD55=0,0,N(#REF!)*N(INDEX(F_KLN,MATCH($C55,FA,0))))</f>
        <v>0</v>
      </c>
      <c r="AF55" s="7">
        <f>IF($AD55=0,0,N(#REF!)*N(INDEX(F_KPE,MATCH($C55,FA,0))))</f>
        <v>0</v>
      </c>
      <c r="AG55" s="7" t="e">
        <f>IF(ISNA(MATCH($C55,FA,0)),0,N(#REF!)*N(INDEX(F_MODUL,MATCH($C55,FA,0))))</f>
        <v>#REF!</v>
      </c>
      <c r="AH55" s="7" t="e">
        <f>N(#REF!)*N($I55)</f>
        <v>#REF!</v>
      </c>
      <c r="AI55" s="7" t="e">
        <f t="shared" si="14"/>
        <v>#REF!</v>
      </c>
      <c r="AJ55" s="7">
        <f t="shared" si="15"/>
        <v>0</v>
      </c>
    </row>
    <row r="56" spans="1:36" x14ac:dyDescent="0.25">
      <c r="A56" s="4" t="str">
        <f t="shared" si="9"/>
        <v>ШГП-1, ШГП-2 (Ввод + Секция 1)(ВРУ1-18-80А)(ВРУ1-41-00А)(260922 akram aulet)</v>
      </c>
      <c r="B56" s="4" t="s">
        <v>83</v>
      </c>
      <c r="C56" s="4" t="s">
        <v>585</v>
      </c>
      <c r="D56" s="4" t="s">
        <v>586</v>
      </c>
      <c r="E56" s="4" t="s">
        <v>520</v>
      </c>
      <c r="F56" s="4" t="s">
        <v>486</v>
      </c>
      <c r="G56" s="4" t="s">
        <v>38</v>
      </c>
      <c r="H56" s="5" t="e">
        <f>#REF!</f>
        <v>#REF!</v>
      </c>
      <c r="I56" s="6" t="e">
        <f t="shared" si="10"/>
        <v>#REF!</v>
      </c>
      <c r="J56" s="6" t="s">
        <v>84</v>
      </c>
      <c r="K56" s="6" t="s">
        <v>83</v>
      </c>
      <c r="L56" s="7" t="e">
        <f t="shared" si="11"/>
        <v>#REF!</v>
      </c>
      <c r="M56" s="7" t="s">
        <v>85</v>
      </c>
      <c r="O56" s="7" t="str">
        <f>IF(OR($C56="",$C56="FID YOK"),"",IF(ISNUMBER(MATCH($C56,FA_ANA,0)),"",IF(COUNTIF($C$1:$C55,$C56)&gt;0,"",MAX($O$1:$O55)+1)))</f>
        <v/>
      </c>
      <c r="T56" s="7">
        <f>IF(ISNA(MATCH($C56,FA,0)),0,IF($J56="GIRIS",N(INDEX(F_INKOR,MATCH($C56,FA,0))),0))</f>
        <v>0</v>
      </c>
      <c r="Y56" s="7" t="e">
        <f>N(#REF!)*IF($E56="упак",MAX(1,IF(ISNA(MATCH($C56,FA,0)),1,N(INDEX(F_PAKET,MATCH($C56,FA,0))))),1)</f>
        <v>#REF!</v>
      </c>
      <c r="Z56" s="7" t="e">
        <f t="shared" si="12"/>
        <v>#REF!</v>
      </c>
      <c r="AA56" s="7">
        <f>IF(OR(ISNA(MATCH($C56,FA,0)),$J56="YEDEK",$J56="SARF"),0,N(#REF!)*N(INDEX(F_TEL,MATCH($C56,FA,0))))</f>
        <v>0</v>
      </c>
      <c r="AB56" s="7">
        <f>IF(OR(ISNA(MATCH($C56,FA,0)),$J56="YEDEK",$J56="SARF"),0,N(#REF!)*N(INDEX(F_TELM,MATCH($C56,FA,0))))</f>
        <v>0</v>
      </c>
      <c r="AC56" s="7" t="e">
        <f t="shared" si="13"/>
        <v>#REF!</v>
      </c>
      <c r="AD56" s="7">
        <f>IF(OR(ISNA(MATCH($C56,FA,0)),$J56&lt;&gt;"CIKIS"),0,N(INDEX(F_KK,MATCH($C56,FA,0))))</f>
        <v>0</v>
      </c>
      <c r="AE56" s="7">
        <f>IF($AD56=0,0,N(#REF!)*N(INDEX(F_KLN,MATCH($C56,FA,0))))</f>
        <v>0</v>
      </c>
      <c r="AF56" s="7">
        <f>IF($AD56=0,0,N(#REF!)*N(INDEX(F_KPE,MATCH($C56,FA,0))))</f>
        <v>0</v>
      </c>
      <c r="AG56" s="7" t="e">
        <f>IF(ISNA(MATCH($C56,FA,0)),0,N(#REF!)*N(INDEX(F_MODUL,MATCH($C56,FA,0))))</f>
        <v>#REF!</v>
      </c>
      <c r="AH56" s="7" t="e">
        <f>N(#REF!)*N($I56)</f>
        <v>#REF!</v>
      </c>
      <c r="AI56" s="7" t="e">
        <f t="shared" si="14"/>
        <v>#REF!</v>
      </c>
      <c r="AJ56" s="7">
        <f t="shared" si="15"/>
        <v>0</v>
      </c>
    </row>
    <row r="57" spans="1:36" x14ac:dyDescent="0.25">
      <c r="A57" s="4" t="str">
        <f t="shared" si="9"/>
        <v>ШГП-1, ШГП-2 (Ввод + Секция 1)(ВРУ1-18-80А)(ВРУ1-41-00А)(260922 akram aulet)</v>
      </c>
      <c r="B57" s="4" t="s">
        <v>83</v>
      </c>
      <c r="C57" s="4" t="s">
        <v>585</v>
      </c>
      <c r="D57" s="4" t="s">
        <v>586</v>
      </c>
      <c r="E57" s="4" t="s">
        <v>520</v>
      </c>
      <c r="F57" s="4" t="s">
        <v>486</v>
      </c>
      <c r="G57" s="4" t="s">
        <v>38</v>
      </c>
      <c r="H57" s="5" t="e">
        <f>#REF!</f>
        <v>#REF!</v>
      </c>
      <c r="I57" s="6" t="e">
        <f t="shared" si="10"/>
        <v>#REF!</v>
      </c>
      <c r="J57" s="6" t="s">
        <v>84</v>
      </c>
      <c r="K57" s="6" t="s">
        <v>83</v>
      </c>
      <c r="L57" s="7" t="e">
        <f t="shared" si="11"/>
        <v>#REF!</v>
      </c>
      <c r="M57" s="7" t="s">
        <v>86</v>
      </c>
      <c r="O57" s="7" t="str">
        <f>IF(OR($C57="",$C57="FID YOK"),"",IF(ISNUMBER(MATCH($C57,FA_ANA,0)),"",IF(COUNTIF($C$1:$C56,$C57)&gt;0,"",MAX($O$1:$O56)+1)))</f>
        <v/>
      </c>
      <c r="T57" s="7">
        <f>IF(ISNA(MATCH($C57,FA,0)),0,IF($J57="GIRIS",N(INDEX(F_INKOR,MATCH($C57,FA,0))),0))</f>
        <v>0</v>
      </c>
      <c r="Y57" s="7" t="e">
        <f>N(#REF!)*IF($E57="упак",MAX(1,IF(ISNA(MATCH($C57,FA,0)),1,N(INDEX(F_PAKET,MATCH($C57,FA,0))))),1)</f>
        <v>#REF!</v>
      </c>
      <c r="Z57" s="7" t="e">
        <f t="shared" si="12"/>
        <v>#REF!</v>
      </c>
      <c r="AA57" s="7">
        <f>IF(OR(ISNA(MATCH($C57,FA,0)),$J57="YEDEK",$J57="SARF"),0,N(#REF!)*N(INDEX(F_TEL,MATCH($C57,FA,0))))</f>
        <v>0</v>
      </c>
      <c r="AB57" s="7">
        <f>IF(OR(ISNA(MATCH($C57,FA,0)),$J57="YEDEK",$J57="SARF"),0,N(#REF!)*N(INDEX(F_TELM,MATCH($C57,FA,0))))</f>
        <v>0</v>
      </c>
      <c r="AC57" s="7" t="e">
        <f t="shared" si="13"/>
        <v>#REF!</v>
      </c>
      <c r="AD57" s="7">
        <f>IF(OR(ISNA(MATCH($C57,FA,0)),$J57&lt;&gt;"CIKIS"),0,N(INDEX(F_KK,MATCH($C57,FA,0))))</f>
        <v>0</v>
      </c>
      <c r="AE57" s="7">
        <f>IF($AD57=0,0,N(#REF!)*N(INDEX(F_KLN,MATCH($C57,FA,0))))</f>
        <v>0</v>
      </c>
      <c r="AF57" s="7">
        <f>IF($AD57=0,0,N(#REF!)*N(INDEX(F_KPE,MATCH($C57,FA,0))))</f>
        <v>0</v>
      </c>
      <c r="AG57" s="7" t="e">
        <f>IF(ISNA(MATCH($C57,FA,0)),0,N(#REF!)*N(INDEX(F_MODUL,MATCH($C57,FA,0))))</f>
        <v>#REF!</v>
      </c>
      <c r="AH57" s="7" t="e">
        <f>N(#REF!)*N($I57)</f>
        <v>#REF!</v>
      </c>
      <c r="AI57" s="7" t="e">
        <f t="shared" si="14"/>
        <v>#REF!</v>
      </c>
      <c r="AJ57" s="7">
        <f t="shared" si="15"/>
        <v>0</v>
      </c>
    </row>
    <row r="58" spans="1:36" x14ac:dyDescent="0.25">
      <c r="A58" s="4" t="str">
        <f t="shared" si="9"/>
        <v>ШГП-1, ШГП-2 (Ввод + Секция 1)(ВРУ1-18-80А)(ВРУ1-41-00А)(260922 akram aulet)</v>
      </c>
      <c r="B58" s="4" t="s">
        <v>83</v>
      </c>
      <c r="C58" s="4" t="s">
        <v>585</v>
      </c>
      <c r="D58" s="4" t="s">
        <v>586</v>
      </c>
      <c r="E58" s="4" t="s">
        <v>520</v>
      </c>
      <c r="F58" s="4" t="s">
        <v>486</v>
      </c>
      <c r="G58" s="4" t="s">
        <v>38</v>
      </c>
      <c r="H58" s="5" t="e">
        <f>#REF!</f>
        <v>#REF!</v>
      </c>
      <c r="I58" s="6" t="e">
        <f t="shared" si="10"/>
        <v>#REF!</v>
      </c>
      <c r="J58" s="6" t="s">
        <v>84</v>
      </c>
      <c r="K58" s="6" t="s">
        <v>83</v>
      </c>
      <c r="L58" s="7" t="e">
        <f t="shared" si="11"/>
        <v>#REF!</v>
      </c>
      <c r="M58" s="7" t="s">
        <v>87</v>
      </c>
      <c r="O58" s="7" t="str">
        <f>IF(OR($C58="",$C58="FID YOK"),"",IF(ISNUMBER(MATCH($C58,FA_ANA,0)),"",IF(COUNTIF($C$1:$C57,$C58)&gt;0,"",MAX($O$1:$O57)+1)))</f>
        <v/>
      </c>
      <c r="T58" s="7">
        <f>IF(ISNA(MATCH($C58,FA,0)),0,IF($J58="GIRIS",N(INDEX(F_INKOR,MATCH($C58,FA,0))),0))</f>
        <v>0</v>
      </c>
      <c r="Y58" s="7" t="e">
        <f>N(#REF!)*IF($E58="упак",MAX(1,IF(ISNA(MATCH($C58,FA,0)),1,N(INDEX(F_PAKET,MATCH($C58,FA,0))))),1)</f>
        <v>#REF!</v>
      </c>
      <c r="Z58" s="7" t="e">
        <f t="shared" si="12"/>
        <v>#REF!</v>
      </c>
      <c r="AA58" s="7">
        <f>IF(OR(ISNA(MATCH($C58,FA,0)),$J58="YEDEK",$J58="SARF"),0,N(#REF!)*N(INDEX(F_TEL,MATCH($C58,FA,0))))</f>
        <v>0</v>
      </c>
      <c r="AB58" s="7">
        <f>IF(OR(ISNA(MATCH($C58,FA,0)),$J58="YEDEK",$J58="SARF"),0,N(#REF!)*N(INDEX(F_TELM,MATCH($C58,FA,0))))</f>
        <v>0</v>
      </c>
      <c r="AC58" s="7" t="e">
        <f t="shared" si="13"/>
        <v>#REF!</v>
      </c>
      <c r="AD58" s="7">
        <f>IF(OR(ISNA(MATCH($C58,FA,0)),$J58&lt;&gt;"CIKIS"),0,N(INDEX(F_KK,MATCH($C58,FA,0))))</f>
        <v>0</v>
      </c>
      <c r="AE58" s="7">
        <f>IF($AD58=0,0,N(#REF!)*N(INDEX(F_KLN,MATCH($C58,FA,0))))</f>
        <v>0</v>
      </c>
      <c r="AF58" s="7">
        <f>IF($AD58=0,0,N(#REF!)*N(INDEX(F_KPE,MATCH($C58,FA,0))))</f>
        <v>0</v>
      </c>
      <c r="AG58" s="7" t="e">
        <f>IF(ISNA(MATCH($C58,FA,0)),0,N(#REF!)*N(INDEX(F_MODUL,MATCH($C58,FA,0))))</f>
        <v>#REF!</v>
      </c>
      <c r="AH58" s="7" t="e">
        <f>N(#REF!)*N($I58)</f>
        <v>#REF!</v>
      </c>
      <c r="AI58" s="7" t="e">
        <f t="shared" si="14"/>
        <v>#REF!</v>
      </c>
      <c r="AJ58" s="7">
        <f t="shared" si="15"/>
        <v>0</v>
      </c>
    </row>
    <row r="59" spans="1:36" x14ac:dyDescent="0.25">
      <c r="A59" s="4" t="str">
        <f t="shared" si="9"/>
        <v>ШГП-1, ШГП-2 (Ввод + Секция 1)(ВРУ1-18-80А)(ВРУ1-41-00А)(260922 akram aulet)</v>
      </c>
      <c r="B59" s="4" t="s">
        <v>88</v>
      </c>
      <c r="C59" s="4" t="s">
        <v>573</v>
      </c>
      <c r="D59" s="4" t="s">
        <v>574</v>
      </c>
      <c r="E59" s="4" t="s">
        <v>114</v>
      </c>
      <c r="F59" s="4" t="s">
        <v>486</v>
      </c>
      <c r="G59" s="4" t="s">
        <v>38</v>
      </c>
      <c r="H59" s="5" t="e">
        <f>#REF!</f>
        <v>#REF!</v>
      </c>
      <c r="I59" s="6" t="e">
        <f t="shared" si="10"/>
        <v>#REF!</v>
      </c>
      <c r="J59" s="6" t="s">
        <v>84</v>
      </c>
      <c r="K59" s="6" t="s">
        <v>88</v>
      </c>
      <c r="L59" s="7" t="e">
        <f t="shared" si="11"/>
        <v>#REF!</v>
      </c>
      <c r="M59" s="7" t="s">
        <v>89</v>
      </c>
      <c r="O59" s="7" t="str">
        <f>IF(OR($C59="",$C59="FID YOK"),"",IF(ISNUMBER(MATCH($C59,FA_ANA,0)),"",IF(COUNTIF($C$1:$C58,$C59)&gt;0,"",MAX($O$1:$O58)+1)))</f>
        <v/>
      </c>
      <c r="T59" s="7">
        <f>IF(ISNA(MATCH($C59,FA,0)),0,IF($J59="GIRIS",N(INDEX(F_INKOR,MATCH($C59,FA,0))),0))</f>
        <v>0</v>
      </c>
      <c r="Y59" s="7" t="e">
        <f>N(#REF!)*IF($E59="упак",MAX(1,IF(ISNA(MATCH($C59,FA,0)),1,N(INDEX(F_PAKET,MATCH($C59,FA,0))))),1)</f>
        <v>#REF!</v>
      </c>
      <c r="Z59" s="7" t="e">
        <f t="shared" si="12"/>
        <v>#REF!</v>
      </c>
      <c r="AA59" s="7">
        <f>IF(OR(ISNA(MATCH($C59,FA,0)),$J59="YEDEK",$J59="SARF"),0,N(#REF!)*N(INDEX(F_TEL,MATCH($C59,FA,0))))</f>
        <v>0</v>
      </c>
      <c r="AB59" s="7">
        <f>IF(OR(ISNA(MATCH($C59,FA,0)),$J59="YEDEK",$J59="SARF"),0,N(#REF!)*N(INDEX(F_TELM,MATCH($C59,FA,0))))</f>
        <v>0</v>
      </c>
      <c r="AC59" s="7" t="e">
        <f t="shared" si="13"/>
        <v>#REF!</v>
      </c>
      <c r="AD59" s="7">
        <f>IF(OR(ISNA(MATCH($C59,FA,0)),$J59&lt;&gt;"CIKIS"),0,N(INDEX(F_KK,MATCH($C59,FA,0))))</f>
        <v>0</v>
      </c>
      <c r="AE59" s="7">
        <f>IF($AD59=0,0,N(#REF!)*N(INDEX(F_KLN,MATCH($C59,FA,0))))</f>
        <v>0</v>
      </c>
      <c r="AF59" s="7">
        <f>IF($AD59=0,0,N(#REF!)*N(INDEX(F_KPE,MATCH($C59,FA,0))))</f>
        <v>0</v>
      </c>
      <c r="AG59" s="7" t="e">
        <f>IF(ISNA(MATCH($C59,FA,0)),0,N(#REF!)*N(INDEX(F_MODUL,MATCH($C59,FA,0))))</f>
        <v>#REF!</v>
      </c>
      <c r="AH59" s="7" t="e">
        <f>N(#REF!)*N($I59)</f>
        <v>#REF!</v>
      </c>
      <c r="AI59" s="7" t="e">
        <f t="shared" si="14"/>
        <v>#REF!</v>
      </c>
      <c r="AJ59" s="7">
        <f t="shared" si="15"/>
        <v>0</v>
      </c>
    </row>
    <row r="60" spans="1:36" x14ac:dyDescent="0.25">
      <c r="A60" s="4" t="str">
        <f t="shared" si="9"/>
        <v>ШГП-1, ШГП-2 (Ввод + Секция 1)(ВРУ1-18-80А)(ВРУ1-41-00А)(260922 akram aulet)</v>
      </c>
      <c r="B60" s="4" t="s">
        <v>90</v>
      </c>
      <c r="C60" s="4" t="s">
        <v>518</v>
      </c>
      <c r="D60" s="4" t="s">
        <v>519</v>
      </c>
      <c r="E60" s="4" t="s">
        <v>520</v>
      </c>
      <c r="F60" s="4" t="s">
        <v>486</v>
      </c>
      <c r="G60" s="4" t="s">
        <v>38</v>
      </c>
      <c r="H60" s="5" t="e">
        <f>#REF!</f>
        <v>#REF!</v>
      </c>
      <c r="I60" s="6" t="e">
        <f t="shared" si="10"/>
        <v>#REF!</v>
      </c>
      <c r="J60" s="6" t="s">
        <v>84</v>
      </c>
      <c r="K60" s="6" t="s">
        <v>90</v>
      </c>
      <c r="L60" s="7" t="e">
        <f t="shared" si="11"/>
        <v>#REF!</v>
      </c>
      <c r="M60" s="7" t="s">
        <v>91</v>
      </c>
      <c r="O60" s="7" t="str">
        <f>IF(OR($C60="",$C60="FID YOK"),"",IF(ISNUMBER(MATCH($C60,FA_ANA,0)),"",IF(COUNTIF($C$1:$C59,$C60)&gt;0,"",MAX($O$1:$O59)+1)))</f>
        <v/>
      </c>
      <c r="T60" s="7">
        <f>IF(ISNA(MATCH($C60,FA,0)),0,IF($J60="GIRIS",N(INDEX(F_INKOR,MATCH($C60,FA,0))),0))</f>
        <v>0</v>
      </c>
      <c r="Y60" s="7" t="e">
        <f>N(#REF!)*IF($E60="упак",MAX(1,IF(ISNA(MATCH($C60,FA,0)),1,N(INDEX(F_PAKET,MATCH($C60,FA,0))))),1)</f>
        <v>#REF!</v>
      </c>
      <c r="Z60" s="7" t="e">
        <f t="shared" si="12"/>
        <v>#REF!</v>
      </c>
      <c r="AA60" s="7">
        <f>IF(OR(ISNA(MATCH($C60,FA,0)),$J60="YEDEK",$J60="SARF"),0,N(#REF!)*N(INDEX(F_TEL,MATCH($C60,FA,0))))</f>
        <v>0</v>
      </c>
      <c r="AB60" s="7">
        <f>IF(OR(ISNA(MATCH($C60,FA,0)),$J60="YEDEK",$J60="SARF"),0,N(#REF!)*N(INDEX(F_TELM,MATCH($C60,FA,0))))</f>
        <v>0</v>
      </c>
      <c r="AC60" s="7" t="e">
        <f t="shared" si="13"/>
        <v>#REF!</v>
      </c>
      <c r="AD60" s="7">
        <f>IF(OR(ISNA(MATCH($C60,FA,0)),$J60&lt;&gt;"CIKIS"),0,N(INDEX(F_KK,MATCH($C60,FA,0))))</f>
        <v>0</v>
      </c>
      <c r="AE60" s="7">
        <f>IF($AD60=0,0,N(#REF!)*N(INDEX(F_KLN,MATCH($C60,FA,0))))</f>
        <v>0</v>
      </c>
      <c r="AF60" s="7">
        <f>IF($AD60=0,0,N(#REF!)*N(INDEX(F_KPE,MATCH($C60,FA,0))))</f>
        <v>0</v>
      </c>
      <c r="AG60" s="7" t="e">
        <f>IF(ISNA(MATCH($C60,FA,0)),0,N(#REF!)*N(INDEX(F_MODUL,MATCH($C60,FA,0))))</f>
        <v>#REF!</v>
      </c>
      <c r="AH60" s="7" t="e">
        <f>N(#REF!)*N($I60)</f>
        <v>#REF!</v>
      </c>
      <c r="AI60" s="7" t="e">
        <f t="shared" si="14"/>
        <v>#REF!</v>
      </c>
      <c r="AJ60" s="7">
        <f t="shared" si="15"/>
        <v>0</v>
      </c>
    </row>
    <row r="61" spans="1:36" x14ac:dyDescent="0.25">
      <c r="A61" s="4" t="str">
        <f t="shared" si="9"/>
        <v>ШГП-1, ШГП-2 (Ввод + Секция 1)(ВРУ1-18-80А)(ВРУ1-41-00А)(260922 akram aulet)</v>
      </c>
      <c r="B61" s="4" t="s">
        <v>92</v>
      </c>
      <c r="C61" s="4" t="s">
        <v>523</v>
      </c>
      <c r="D61" s="4" t="s">
        <v>524</v>
      </c>
      <c r="E61" s="4" t="s">
        <v>520</v>
      </c>
      <c r="F61" s="4" t="s">
        <v>521</v>
      </c>
      <c r="G61" s="4" t="s">
        <v>38</v>
      </c>
      <c r="H61" s="5" t="e">
        <f>#REF!</f>
        <v>#REF!</v>
      </c>
      <c r="I61" s="6" t="e">
        <f t="shared" si="10"/>
        <v>#REF!</v>
      </c>
      <c r="J61" s="6" t="s">
        <v>84</v>
      </c>
      <c r="K61" s="6" t="s">
        <v>92</v>
      </c>
      <c r="L61" s="7" t="e">
        <f t="shared" si="11"/>
        <v>#REF!</v>
      </c>
      <c r="M61" s="7" t="s">
        <v>93</v>
      </c>
      <c r="O61" s="7" t="str">
        <f>IF(OR($C61="",$C61="FID YOK"),"",IF(ISNUMBER(MATCH($C61,FA_ANA,0)),"",IF(COUNTIF($C$1:$C60,$C61)&gt;0,"",MAX($O$1:$O60)+1)))</f>
        <v/>
      </c>
      <c r="T61" s="7">
        <f>IF(ISNA(MATCH($C61,FA,0)),0,IF($J61="GIRIS",N(INDEX(F_INKOR,MATCH($C61,FA,0))),0))</f>
        <v>0</v>
      </c>
      <c r="Y61" s="7" t="e">
        <f>N(#REF!)*IF($E61="упак",MAX(1,IF(ISNA(MATCH($C61,FA,0)),1,N(INDEX(F_PAKET,MATCH($C61,FA,0))))),1)</f>
        <v>#REF!</v>
      </c>
      <c r="Z61" s="7" t="e">
        <f t="shared" si="12"/>
        <v>#REF!</v>
      </c>
      <c r="AA61" s="7">
        <f>IF(OR(ISNA(MATCH($C61,FA,0)),$J61="YEDEK",$J61="SARF"),0,N(#REF!)*N(INDEX(F_TEL,MATCH($C61,FA,0))))</f>
        <v>0</v>
      </c>
      <c r="AB61" s="7">
        <f>IF(OR(ISNA(MATCH($C61,FA,0)),$J61="YEDEK",$J61="SARF"),0,N(#REF!)*N(INDEX(F_TELM,MATCH($C61,FA,0))))</f>
        <v>0</v>
      </c>
      <c r="AC61" s="7" t="e">
        <f t="shared" si="13"/>
        <v>#REF!</v>
      </c>
      <c r="AD61" s="7">
        <f>IF(OR(ISNA(MATCH($C61,FA,0)),$J61&lt;&gt;"CIKIS"),0,N(INDEX(F_KK,MATCH($C61,FA,0))))</f>
        <v>0</v>
      </c>
      <c r="AE61" s="7">
        <f>IF($AD61=0,0,N(#REF!)*N(INDEX(F_KLN,MATCH($C61,FA,0))))</f>
        <v>0</v>
      </c>
      <c r="AF61" s="7">
        <f>IF($AD61=0,0,N(#REF!)*N(INDEX(F_KPE,MATCH($C61,FA,0))))</f>
        <v>0</v>
      </c>
      <c r="AG61" s="7" t="e">
        <f>IF(ISNA(MATCH($C61,FA,0)),0,N(#REF!)*N(INDEX(F_MODUL,MATCH($C61,FA,0))))</f>
        <v>#REF!</v>
      </c>
      <c r="AH61" s="7" t="e">
        <f>N(#REF!)*N($I61)</f>
        <v>#REF!</v>
      </c>
      <c r="AI61" s="7" t="e">
        <f t="shared" si="14"/>
        <v>#REF!</v>
      </c>
      <c r="AJ61" s="7">
        <f t="shared" si="15"/>
        <v>0</v>
      </c>
    </row>
    <row r="62" spans="1:36" x14ac:dyDescent="0.25">
      <c r="A62" s="4" t="str">
        <f t="shared" si="9"/>
        <v>ШГП-1, ШГП-2 (Ввод + Секция 1)(ВРУ1-18-80А)(ВРУ1-41-00А)(260922 akram aulet)</v>
      </c>
      <c r="B62" s="4" t="s">
        <v>92</v>
      </c>
      <c r="C62" s="4" t="s">
        <v>527</v>
      </c>
      <c r="D62" s="4" t="s">
        <v>528</v>
      </c>
      <c r="E62" s="4" t="s">
        <v>520</v>
      </c>
      <c r="F62" s="4" t="s">
        <v>521</v>
      </c>
      <c r="G62" s="4" t="s">
        <v>38</v>
      </c>
      <c r="H62" s="5" t="e">
        <f>#REF!</f>
        <v>#REF!</v>
      </c>
      <c r="I62" s="6" t="e">
        <f t="shared" si="10"/>
        <v>#REF!</v>
      </c>
      <c r="J62" s="6" t="s">
        <v>84</v>
      </c>
      <c r="K62" s="6" t="s">
        <v>92</v>
      </c>
      <c r="L62" s="7" t="e">
        <f t="shared" si="11"/>
        <v>#REF!</v>
      </c>
      <c r="M62" s="7" t="s">
        <v>94</v>
      </c>
      <c r="O62" s="7" t="str">
        <f>IF(OR($C62="",$C62="FID YOK"),"",IF(ISNUMBER(MATCH($C62,FA_ANA,0)),"",IF(COUNTIF($C$1:$C61,$C62)&gt;0,"",MAX($O$1:$O61)+1)))</f>
        <v/>
      </c>
      <c r="T62" s="7">
        <f>IF(ISNA(MATCH($C62,FA,0)),0,IF($J62="GIRIS",N(INDEX(F_INKOR,MATCH($C62,FA,0))),0))</f>
        <v>0</v>
      </c>
      <c r="Y62" s="7" t="e">
        <f>N(#REF!)*IF($E62="упак",MAX(1,IF(ISNA(MATCH($C62,FA,0)),1,N(INDEX(F_PAKET,MATCH($C62,FA,0))))),1)</f>
        <v>#REF!</v>
      </c>
      <c r="Z62" s="7" t="e">
        <f t="shared" si="12"/>
        <v>#REF!</v>
      </c>
      <c r="AA62" s="7">
        <f>IF(OR(ISNA(MATCH($C62,FA,0)),$J62="YEDEK",$J62="SARF"),0,N(#REF!)*N(INDEX(F_TEL,MATCH($C62,FA,0))))</f>
        <v>0</v>
      </c>
      <c r="AB62" s="7">
        <f>IF(OR(ISNA(MATCH($C62,FA,0)),$J62="YEDEK",$J62="SARF"),0,N(#REF!)*N(INDEX(F_TELM,MATCH($C62,FA,0))))</f>
        <v>0</v>
      </c>
      <c r="AC62" s="7" t="e">
        <f t="shared" si="13"/>
        <v>#REF!</v>
      </c>
      <c r="AD62" s="7">
        <f>IF(OR(ISNA(MATCH($C62,FA,0)),$J62&lt;&gt;"CIKIS"),0,N(INDEX(F_KK,MATCH($C62,FA,0))))</f>
        <v>0</v>
      </c>
      <c r="AE62" s="7">
        <f>IF($AD62=0,0,N(#REF!)*N(INDEX(F_KLN,MATCH($C62,FA,0))))</f>
        <v>0</v>
      </c>
      <c r="AF62" s="7">
        <f>IF($AD62=0,0,N(#REF!)*N(INDEX(F_KPE,MATCH($C62,FA,0))))</f>
        <v>0</v>
      </c>
      <c r="AG62" s="7" t="e">
        <f>IF(ISNA(MATCH($C62,FA,0)),0,N(#REF!)*N(INDEX(F_MODUL,MATCH($C62,FA,0))))</f>
        <v>#REF!</v>
      </c>
      <c r="AH62" s="7" t="e">
        <f>N(#REF!)*N($I62)</f>
        <v>#REF!</v>
      </c>
      <c r="AI62" s="7" t="e">
        <f t="shared" si="14"/>
        <v>#REF!</v>
      </c>
      <c r="AJ62" s="7">
        <f t="shared" si="15"/>
        <v>0</v>
      </c>
    </row>
    <row r="63" spans="1:36" x14ac:dyDescent="0.25">
      <c r="A63" s="4" t="str">
        <f t="shared" si="9"/>
        <v>ШГП-1, ШГП-2 (Ввод + Секция 1)(ВРУ1-18-80А)(ВРУ1-41-00А)(260922 akram aulet)</v>
      </c>
      <c r="B63" s="4" t="s">
        <v>92</v>
      </c>
      <c r="C63" s="4" t="s">
        <v>531</v>
      </c>
      <c r="D63" s="4" t="s">
        <v>532</v>
      </c>
      <c r="E63" s="4" t="s">
        <v>520</v>
      </c>
      <c r="F63" s="4" t="s">
        <v>521</v>
      </c>
      <c r="G63" s="4" t="s">
        <v>38</v>
      </c>
      <c r="H63" s="5" t="e">
        <f>#REF!</f>
        <v>#REF!</v>
      </c>
      <c r="I63" s="6" t="e">
        <f t="shared" si="10"/>
        <v>#REF!</v>
      </c>
      <c r="J63" s="6" t="s">
        <v>84</v>
      </c>
      <c r="K63" s="6" t="s">
        <v>92</v>
      </c>
      <c r="L63" s="7" t="e">
        <f t="shared" si="11"/>
        <v>#REF!</v>
      </c>
      <c r="M63" s="7" t="s">
        <v>95</v>
      </c>
      <c r="O63" s="7" t="str">
        <f>IF(OR($C63="",$C63="FID YOK"),"",IF(ISNUMBER(MATCH($C63,FA_ANA,0)),"",IF(COUNTIF($C$1:$C62,$C63)&gt;0,"",MAX($O$1:$O62)+1)))</f>
        <v/>
      </c>
      <c r="T63" s="7">
        <f>IF(ISNA(MATCH($C63,FA,0)),0,IF($J63="GIRIS",N(INDEX(F_INKOR,MATCH($C63,FA,0))),0))</f>
        <v>0</v>
      </c>
      <c r="Y63" s="7" t="e">
        <f>N(#REF!)*IF($E63="упак",MAX(1,IF(ISNA(MATCH($C63,FA,0)),1,N(INDEX(F_PAKET,MATCH($C63,FA,0))))),1)</f>
        <v>#REF!</v>
      </c>
      <c r="Z63" s="7" t="e">
        <f t="shared" si="12"/>
        <v>#REF!</v>
      </c>
      <c r="AA63" s="7">
        <f>IF(OR(ISNA(MATCH($C63,FA,0)),$J63="YEDEK",$J63="SARF"),0,N(#REF!)*N(INDEX(F_TEL,MATCH($C63,FA,0))))</f>
        <v>0</v>
      </c>
      <c r="AB63" s="7">
        <f>IF(OR(ISNA(MATCH($C63,FA,0)),$J63="YEDEK",$J63="SARF"),0,N(#REF!)*N(INDEX(F_TELM,MATCH($C63,FA,0))))</f>
        <v>0</v>
      </c>
      <c r="AC63" s="7" t="e">
        <f t="shared" si="13"/>
        <v>#REF!</v>
      </c>
      <c r="AD63" s="7">
        <f>IF(OR(ISNA(MATCH($C63,FA,0)),$J63&lt;&gt;"CIKIS"),0,N(INDEX(F_KK,MATCH($C63,FA,0))))</f>
        <v>0</v>
      </c>
      <c r="AE63" s="7">
        <f>IF($AD63=0,0,N(#REF!)*N(INDEX(F_KLN,MATCH($C63,FA,0))))</f>
        <v>0</v>
      </c>
      <c r="AF63" s="7">
        <f>IF($AD63=0,0,N(#REF!)*N(INDEX(F_KPE,MATCH($C63,FA,0))))</f>
        <v>0</v>
      </c>
      <c r="AG63" s="7" t="e">
        <f>IF(ISNA(MATCH($C63,FA,0)),0,N(#REF!)*N(INDEX(F_MODUL,MATCH($C63,FA,0))))</f>
        <v>#REF!</v>
      </c>
      <c r="AH63" s="7" t="e">
        <f>N(#REF!)*N($I63)</f>
        <v>#REF!</v>
      </c>
      <c r="AI63" s="7" t="e">
        <f t="shared" si="14"/>
        <v>#REF!</v>
      </c>
      <c r="AJ63" s="7">
        <f t="shared" si="15"/>
        <v>0</v>
      </c>
    </row>
    <row r="64" spans="1:36" x14ac:dyDescent="0.25">
      <c r="A64" s="4" t="str">
        <f t="shared" si="9"/>
        <v>ШГП-1, ШГП-2 (Ввод + Секция 1)(ВРУ1-18-80А)(ВРУ1-41-00А)(260922 akram aulet)</v>
      </c>
      <c r="B64" s="4" t="s">
        <v>92</v>
      </c>
      <c r="C64" s="4" t="s">
        <v>535</v>
      </c>
      <c r="D64" s="4" t="s">
        <v>536</v>
      </c>
      <c r="E64" s="4" t="s">
        <v>520</v>
      </c>
      <c r="F64" s="4" t="s">
        <v>521</v>
      </c>
      <c r="G64" s="4" t="s">
        <v>38</v>
      </c>
      <c r="H64" s="5" t="e">
        <f>#REF!</f>
        <v>#REF!</v>
      </c>
      <c r="I64" s="6" t="e">
        <f t="shared" si="10"/>
        <v>#REF!</v>
      </c>
      <c r="J64" s="6" t="s">
        <v>84</v>
      </c>
      <c r="K64" s="6" t="s">
        <v>92</v>
      </c>
      <c r="L64" s="7" t="e">
        <f t="shared" si="11"/>
        <v>#REF!</v>
      </c>
      <c r="M64" s="7" t="s">
        <v>130</v>
      </c>
      <c r="O64" s="7" t="str">
        <f>IF(OR($C64="",$C64="FID YOK"),"",IF(ISNUMBER(MATCH($C64,FA_ANA,0)),"",IF(COUNTIF($C$1:$C63,$C64)&gt;0,"",MAX($O$1:$O63)+1)))</f>
        <v/>
      </c>
      <c r="T64" s="7">
        <f>IF(ISNA(MATCH($C64,FA,0)),0,IF($J64="GIRIS",N(INDEX(F_INKOR,MATCH($C64,FA,0))),0))</f>
        <v>0</v>
      </c>
      <c r="Y64" s="7" t="e">
        <f>N(#REF!)*IF($E64="упак",MAX(1,IF(ISNA(MATCH($C64,FA,0)),1,N(INDEX(F_PAKET,MATCH($C64,FA,0))))),1)</f>
        <v>#REF!</v>
      </c>
      <c r="Z64" s="7" t="e">
        <f t="shared" si="12"/>
        <v>#REF!</v>
      </c>
      <c r="AA64" s="7">
        <f>IF(OR(ISNA(MATCH($C64,FA,0)),$J64="YEDEK",$J64="SARF"),0,N(#REF!)*N(INDEX(F_TEL,MATCH($C64,FA,0))))</f>
        <v>0</v>
      </c>
      <c r="AB64" s="7">
        <f>IF(OR(ISNA(MATCH($C64,FA,0)),$J64="YEDEK",$J64="SARF"),0,N(#REF!)*N(INDEX(F_TELM,MATCH($C64,FA,0))))</f>
        <v>0</v>
      </c>
      <c r="AC64" s="7" t="e">
        <f t="shared" si="13"/>
        <v>#REF!</v>
      </c>
      <c r="AD64" s="7">
        <f>IF(OR(ISNA(MATCH($C64,FA,0)),$J64&lt;&gt;"CIKIS"),0,N(INDEX(F_KK,MATCH($C64,FA,0))))</f>
        <v>0</v>
      </c>
      <c r="AE64" s="7">
        <f>IF($AD64=0,0,N(#REF!)*N(INDEX(F_KLN,MATCH($C64,FA,0))))</f>
        <v>0</v>
      </c>
      <c r="AF64" s="7">
        <f>IF($AD64=0,0,N(#REF!)*N(INDEX(F_KPE,MATCH($C64,FA,0))))</f>
        <v>0</v>
      </c>
      <c r="AG64" s="7" t="e">
        <f>IF(ISNA(MATCH($C64,FA,0)),0,N(#REF!)*N(INDEX(F_MODUL,MATCH($C64,FA,0))))</f>
        <v>#REF!</v>
      </c>
      <c r="AH64" s="7" t="e">
        <f>N(#REF!)*N($I64)</f>
        <v>#REF!</v>
      </c>
      <c r="AI64" s="7" t="e">
        <f t="shared" si="14"/>
        <v>#REF!</v>
      </c>
      <c r="AJ64" s="7">
        <f t="shared" si="15"/>
        <v>0</v>
      </c>
    </row>
    <row r="65" spans="1:36" x14ac:dyDescent="0.25">
      <c r="A65" s="4" t="str">
        <f t="shared" si="9"/>
        <v>ШГП-1, ШГП-2 (Ввод + Секция 1)(ВРУ1-18-80А)(ВРУ1-41-00А)(260922 akram aulet)</v>
      </c>
      <c r="B65" s="4" t="s">
        <v>92</v>
      </c>
      <c r="C65" s="4" t="s">
        <v>541</v>
      </c>
      <c r="D65" s="4" t="s">
        <v>542</v>
      </c>
      <c r="E65" s="4" t="s">
        <v>520</v>
      </c>
      <c r="F65" s="4" t="s">
        <v>521</v>
      </c>
      <c r="G65" s="4" t="s">
        <v>38</v>
      </c>
      <c r="H65" s="5" t="e">
        <f>#REF!</f>
        <v>#REF!</v>
      </c>
      <c r="I65" s="6" t="e">
        <f t="shared" si="10"/>
        <v>#REF!</v>
      </c>
      <c r="J65" s="6" t="s">
        <v>84</v>
      </c>
      <c r="K65" s="6" t="s">
        <v>92</v>
      </c>
      <c r="L65" s="7" t="e">
        <f t="shared" si="11"/>
        <v>#REF!</v>
      </c>
      <c r="M65" s="7" t="s">
        <v>96</v>
      </c>
      <c r="O65" s="7" t="str">
        <f>IF(OR($C65="",$C65="FID YOK"),"",IF(ISNUMBER(MATCH($C65,FA_ANA,0)),"",IF(COUNTIF($C$1:$C64,$C65)&gt;0,"",MAX($O$1:$O64)+1)))</f>
        <v/>
      </c>
      <c r="T65" s="7">
        <f>IF(ISNA(MATCH($C65,FA,0)),0,IF($J65="GIRIS",N(INDEX(F_INKOR,MATCH($C65,FA,0))),0))</f>
        <v>0</v>
      </c>
      <c r="Y65" s="7" t="e">
        <f>N(#REF!)*IF($E65="упак",MAX(1,IF(ISNA(MATCH($C65,FA,0)),1,N(INDEX(F_PAKET,MATCH($C65,FA,0))))),1)</f>
        <v>#REF!</v>
      </c>
      <c r="Z65" s="7" t="e">
        <f t="shared" si="12"/>
        <v>#REF!</v>
      </c>
      <c r="AA65" s="7">
        <f>IF(OR(ISNA(MATCH($C65,FA,0)),$J65="YEDEK",$J65="SARF"),0,N(#REF!)*N(INDEX(F_TEL,MATCH($C65,FA,0))))</f>
        <v>0</v>
      </c>
      <c r="AB65" s="7">
        <f>IF(OR(ISNA(MATCH($C65,FA,0)),$J65="YEDEK",$J65="SARF"),0,N(#REF!)*N(INDEX(F_TELM,MATCH($C65,FA,0))))</f>
        <v>0</v>
      </c>
      <c r="AC65" s="7" t="e">
        <f t="shared" si="13"/>
        <v>#REF!</v>
      </c>
      <c r="AD65" s="7">
        <f>IF(OR(ISNA(MATCH($C65,FA,0)),$J65&lt;&gt;"CIKIS"),0,N(INDEX(F_KK,MATCH($C65,FA,0))))</f>
        <v>0</v>
      </c>
      <c r="AE65" s="7">
        <f>IF($AD65=0,0,N(#REF!)*N(INDEX(F_KLN,MATCH($C65,FA,0))))</f>
        <v>0</v>
      </c>
      <c r="AF65" s="7">
        <f>IF($AD65=0,0,N(#REF!)*N(INDEX(F_KPE,MATCH($C65,FA,0))))</f>
        <v>0</v>
      </c>
      <c r="AG65" s="7" t="e">
        <f>IF(ISNA(MATCH($C65,FA,0)),0,N(#REF!)*N(INDEX(F_MODUL,MATCH($C65,FA,0))))</f>
        <v>#REF!</v>
      </c>
      <c r="AH65" s="7" t="e">
        <f>N(#REF!)*N($I65)</f>
        <v>#REF!</v>
      </c>
      <c r="AI65" s="7" t="e">
        <f t="shared" si="14"/>
        <v>#REF!</v>
      </c>
      <c r="AJ65" s="7">
        <f t="shared" si="15"/>
        <v>0</v>
      </c>
    </row>
    <row r="66" spans="1:36" x14ac:dyDescent="0.25">
      <c r="A66" s="4" t="str">
        <f t="shared" si="9"/>
        <v>ШГП-1, ШГП-2 (Ввод + Секция 1)(ВРУ1-18-80А)(ВРУ1-41-00А)(260922 akram aulet)</v>
      </c>
      <c r="B66" s="4" t="s">
        <v>92</v>
      </c>
      <c r="C66" s="4" t="s">
        <v>545</v>
      </c>
      <c r="D66" s="4" t="s">
        <v>546</v>
      </c>
      <c r="E66" s="4" t="s">
        <v>520</v>
      </c>
      <c r="F66" s="4" t="s">
        <v>521</v>
      </c>
      <c r="G66" s="4" t="s">
        <v>38</v>
      </c>
      <c r="H66" s="5" t="e">
        <f>#REF!</f>
        <v>#REF!</v>
      </c>
      <c r="I66" s="6" t="e">
        <f t="shared" si="10"/>
        <v>#REF!</v>
      </c>
      <c r="J66" s="6" t="s">
        <v>84</v>
      </c>
      <c r="K66" s="6" t="s">
        <v>92</v>
      </c>
      <c r="L66" s="7" t="e">
        <f t="shared" si="11"/>
        <v>#REF!</v>
      </c>
      <c r="M66" s="7" t="s">
        <v>131</v>
      </c>
      <c r="O66" s="7">
        <f>IF(OR($C66="",$C66="FID YOK"),"",IF(ISNUMBER(MATCH($C66,FA_ANA,0)),"",IF(COUNTIF($C$1:$C65,$C66)&gt;0,"",MAX($O$1:$O65)+1)))</f>
        <v>40</v>
      </c>
      <c r="T66" s="7">
        <f>IF(ISNA(MATCH($C66,FA,0)),0,IF($J66="GIRIS",N(INDEX(F_INKOR,MATCH($C66,FA,0))),0))</f>
        <v>0</v>
      </c>
      <c r="Y66" s="7" t="e">
        <f>N(#REF!)*IF($E66="упак",MAX(1,IF(ISNA(MATCH($C66,FA,0)),1,N(INDEX(F_PAKET,MATCH($C66,FA,0))))),1)</f>
        <v>#REF!</v>
      </c>
      <c r="Z66" s="7" t="e">
        <f t="shared" si="12"/>
        <v>#REF!</v>
      </c>
      <c r="AA66" s="7">
        <f>IF(OR(ISNA(MATCH($C66,FA,0)),$J66="YEDEK",$J66="SARF"),0,N(#REF!)*N(INDEX(F_TEL,MATCH($C66,FA,0))))</f>
        <v>0</v>
      </c>
      <c r="AB66" s="7">
        <f>IF(OR(ISNA(MATCH($C66,FA,0)),$J66="YEDEK",$J66="SARF"),0,N(#REF!)*N(INDEX(F_TELM,MATCH($C66,FA,0))))</f>
        <v>0</v>
      </c>
      <c r="AC66" s="7" t="e">
        <f t="shared" si="13"/>
        <v>#REF!</v>
      </c>
      <c r="AD66" s="7">
        <f>IF(OR(ISNA(MATCH($C66,FA,0)),$J66&lt;&gt;"CIKIS"),0,N(INDEX(F_KK,MATCH($C66,FA,0))))</f>
        <v>0</v>
      </c>
      <c r="AE66" s="7">
        <f>IF($AD66=0,0,N(#REF!)*N(INDEX(F_KLN,MATCH($C66,FA,0))))</f>
        <v>0</v>
      </c>
      <c r="AF66" s="7">
        <f>IF($AD66=0,0,N(#REF!)*N(INDEX(F_KPE,MATCH($C66,FA,0))))</f>
        <v>0</v>
      </c>
      <c r="AG66" s="7" t="e">
        <f>IF(ISNA(MATCH($C66,FA,0)),0,N(#REF!)*N(INDEX(F_MODUL,MATCH($C66,FA,0))))</f>
        <v>#REF!</v>
      </c>
      <c r="AH66" s="7" t="e">
        <f>N(#REF!)*N($I66)</f>
        <v>#REF!</v>
      </c>
      <c r="AI66" s="7" t="e">
        <f t="shared" si="14"/>
        <v>#REF!</v>
      </c>
      <c r="AJ66" s="7">
        <f t="shared" si="15"/>
        <v>0</v>
      </c>
    </row>
    <row r="67" spans="1:36" x14ac:dyDescent="0.25">
      <c r="A67" s="4" t="str">
        <f t="shared" si="9"/>
        <v>ШГП-1, ШГП-2 (Ввод + Секция 1)(ВРУ1-18-80А)(ВРУ1-41-00А)(260922 akram aulet)</v>
      </c>
      <c r="B67" s="4" t="s">
        <v>92</v>
      </c>
      <c r="C67" s="4" t="s">
        <v>559</v>
      </c>
      <c r="D67" s="4" t="s">
        <v>560</v>
      </c>
      <c r="E67" s="4" t="s">
        <v>520</v>
      </c>
      <c r="F67" s="4" t="s">
        <v>521</v>
      </c>
      <c r="G67" s="4" t="s">
        <v>38</v>
      </c>
      <c r="H67" s="5" t="e">
        <f>#REF!</f>
        <v>#REF!</v>
      </c>
      <c r="I67" s="6" t="e">
        <f t="shared" si="10"/>
        <v>#REF!</v>
      </c>
      <c r="J67" s="6" t="s">
        <v>84</v>
      </c>
      <c r="K67" s="6" t="s">
        <v>92</v>
      </c>
      <c r="L67" s="7" t="e">
        <f t="shared" si="11"/>
        <v>#REF!</v>
      </c>
      <c r="M67" s="7" t="s">
        <v>132</v>
      </c>
      <c r="O67" s="7">
        <f>IF(OR($C67="",$C67="FID YOK"),"",IF(ISNUMBER(MATCH($C67,FA_ANA,0)),"",IF(COUNTIF($C$1:$C66,$C67)&gt;0,"",MAX($O$1:$O66)+1)))</f>
        <v>41</v>
      </c>
      <c r="T67" s="7">
        <f>IF(ISNA(MATCH($C67,FA,0)),0,IF($J67="GIRIS",N(INDEX(F_INKOR,MATCH($C67,FA,0))),0))</f>
        <v>0</v>
      </c>
      <c r="Y67" s="7" t="e">
        <f>N(#REF!)*IF($E67="упак",MAX(1,IF(ISNA(MATCH($C67,FA,0)),1,N(INDEX(F_PAKET,MATCH($C67,FA,0))))),1)</f>
        <v>#REF!</v>
      </c>
      <c r="Z67" s="7" t="e">
        <f t="shared" si="12"/>
        <v>#REF!</v>
      </c>
      <c r="AA67" s="7">
        <f>IF(OR(ISNA(MATCH($C67,FA,0)),$J67="YEDEK",$J67="SARF"),0,N(#REF!)*N(INDEX(F_TEL,MATCH($C67,FA,0))))</f>
        <v>0</v>
      </c>
      <c r="AB67" s="7">
        <f>IF(OR(ISNA(MATCH($C67,FA,0)),$J67="YEDEK",$J67="SARF"),0,N(#REF!)*N(INDEX(F_TELM,MATCH($C67,FA,0))))</f>
        <v>0</v>
      </c>
      <c r="AC67" s="7" t="e">
        <f t="shared" si="13"/>
        <v>#REF!</v>
      </c>
      <c r="AD67" s="7">
        <f>IF(OR(ISNA(MATCH($C67,FA,0)),$J67&lt;&gt;"CIKIS"),0,N(INDEX(F_KK,MATCH($C67,FA,0))))</f>
        <v>0</v>
      </c>
      <c r="AE67" s="7">
        <f>IF($AD67=0,0,N(#REF!)*N(INDEX(F_KLN,MATCH($C67,FA,0))))</f>
        <v>0</v>
      </c>
      <c r="AF67" s="7">
        <f>IF($AD67=0,0,N(#REF!)*N(INDEX(F_KPE,MATCH($C67,FA,0))))</f>
        <v>0</v>
      </c>
      <c r="AG67" s="7" t="e">
        <f>IF(ISNA(MATCH($C67,FA,0)),0,N(#REF!)*N(INDEX(F_MODUL,MATCH($C67,FA,0))))</f>
        <v>#REF!</v>
      </c>
      <c r="AH67" s="7" t="e">
        <f>N(#REF!)*N($I67)</f>
        <v>#REF!</v>
      </c>
      <c r="AI67" s="7" t="e">
        <f t="shared" si="14"/>
        <v>#REF!</v>
      </c>
      <c r="AJ67" s="7">
        <f t="shared" si="15"/>
        <v>0</v>
      </c>
    </row>
    <row r="68" spans="1:36" x14ac:dyDescent="0.25">
      <c r="A68" s="4" t="str">
        <f t="shared" si="9"/>
        <v>ШГП-1, ШГП-2 (Ввод + Секция 1)(ВРУ1-18-80А)(ВРУ1-41-00А)(260922 akram aulet)</v>
      </c>
      <c r="B68" s="4" t="s">
        <v>92</v>
      </c>
      <c r="C68" s="4" t="s">
        <v>535</v>
      </c>
      <c r="D68" s="4" t="s">
        <v>536</v>
      </c>
      <c r="E68" s="4" t="s">
        <v>520</v>
      </c>
      <c r="F68" s="4" t="s">
        <v>521</v>
      </c>
      <c r="G68" s="4" t="s">
        <v>38</v>
      </c>
      <c r="H68" s="5" t="e">
        <f>#REF!</f>
        <v>#REF!</v>
      </c>
      <c r="I68" s="6" t="e">
        <f t="shared" si="10"/>
        <v>#REF!</v>
      </c>
      <c r="J68" s="6" t="s">
        <v>84</v>
      </c>
      <c r="K68" s="6" t="s">
        <v>92</v>
      </c>
      <c r="L68" s="7" t="e">
        <f t="shared" si="11"/>
        <v>#REF!</v>
      </c>
      <c r="M68" s="7" t="s">
        <v>100</v>
      </c>
      <c r="O68" s="7" t="str">
        <f>IF(OR($C68="",$C68="FID YOK"),"",IF(ISNUMBER(MATCH($C68,FA_ANA,0)),"",IF(COUNTIF($C$1:$C67,$C68)&gt;0,"",MAX($O$1:$O67)+1)))</f>
        <v/>
      </c>
      <c r="T68" s="7">
        <f>IF(ISNA(MATCH($C68,FA,0)),0,IF($J68="GIRIS",N(INDEX(F_INKOR,MATCH($C68,FA,0))),0))</f>
        <v>0</v>
      </c>
      <c r="Y68" s="7" t="e">
        <f>N(#REF!)*IF($E68="упак",MAX(1,IF(ISNA(MATCH($C68,FA,0)),1,N(INDEX(F_PAKET,MATCH($C68,FA,0))))),1)</f>
        <v>#REF!</v>
      </c>
      <c r="Z68" s="7" t="e">
        <f t="shared" si="12"/>
        <v>#REF!</v>
      </c>
      <c r="AA68" s="7">
        <f>IF(OR(ISNA(MATCH($C68,FA,0)),$J68="YEDEK",$J68="SARF"),0,N(#REF!)*N(INDEX(F_TEL,MATCH($C68,FA,0))))</f>
        <v>0</v>
      </c>
      <c r="AB68" s="7">
        <f>IF(OR(ISNA(MATCH($C68,FA,0)),$J68="YEDEK",$J68="SARF"),0,N(#REF!)*N(INDEX(F_TELM,MATCH($C68,FA,0))))</f>
        <v>0</v>
      </c>
      <c r="AC68" s="7" t="e">
        <f t="shared" si="13"/>
        <v>#REF!</v>
      </c>
      <c r="AD68" s="7">
        <f>IF(OR(ISNA(MATCH($C68,FA,0)),$J68&lt;&gt;"CIKIS"),0,N(INDEX(F_KK,MATCH($C68,FA,0))))</f>
        <v>0</v>
      </c>
      <c r="AE68" s="7">
        <f>IF($AD68=0,0,N(#REF!)*N(INDEX(F_KLN,MATCH($C68,FA,0))))</f>
        <v>0</v>
      </c>
      <c r="AF68" s="7">
        <f>IF($AD68=0,0,N(#REF!)*N(INDEX(F_KPE,MATCH($C68,FA,0))))</f>
        <v>0</v>
      </c>
      <c r="AG68" s="7" t="e">
        <f>IF(ISNA(MATCH($C68,FA,0)),0,N(#REF!)*N(INDEX(F_MODUL,MATCH($C68,FA,0))))</f>
        <v>#REF!</v>
      </c>
      <c r="AH68" s="7" t="e">
        <f>N(#REF!)*N($I68)</f>
        <v>#REF!</v>
      </c>
      <c r="AI68" s="7" t="e">
        <f t="shared" si="14"/>
        <v>#REF!</v>
      </c>
      <c r="AJ68" s="7">
        <f t="shared" si="15"/>
        <v>0</v>
      </c>
    </row>
    <row r="69" spans="1:36" x14ac:dyDescent="0.25">
      <c r="A69" s="4" t="str">
        <f t="shared" si="9"/>
        <v>ШГП-1, ШГП-2 (Ввод + Секция 1)(ВРУ1-18-80А)(ВРУ1-41-00А)(260922 akram aulet)</v>
      </c>
      <c r="B69" s="4" t="s">
        <v>101</v>
      </c>
      <c r="C69" s="4" t="s">
        <v>525</v>
      </c>
      <c r="D69" s="4" t="s">
        <v>526</v>
      </c>
      <c r="E69" s="4" t="s">
        <v>522</v>
      </c>
      <c r="F69" s="4" t="s">
        <v>486</v>
      </c>
      <c r="G69" s="4" t="s">
        <v>38</v>
      </c>
      <c r="H69" s="5" t="e">
        <f>#REF!</f>
        <v>#REF!</v>
      </c>
      <c r="I69" s="6" t="e">
        <f t="shared" si="10"/>
        <v>#REF!</v>
      </c>
      <c r="J69" s="6" t="s">
        <v>84</v>
      </c>
      <c r="K69" s="6" t="s">
        <v>101</v>
      </c>
      <c r="L69" s="7" t="e">
        <f t="shared" si="11"/>
        <v>#REF!</v>
      </c>
      <c r="M69" s="7" t="s">
        <v>102</v>
      </c>
      <c r="O69" s="7" t="str">
        <f>IF(OR($C69="",$C69="FID YOK"),"",IF(ISNUMBER(MATCH($C69,FA_ANA,0)),"",IF(COUNTIF($C$1:$C68,$C69)&gt;0,"",MAX($O$1:$O68)+1)))</f>
        <v/>
      </c>
      <c r="T69" s="7">
        <f>IF(ISNA(MATCH($C69,FA,0)),0,IF($J69="GIRIS",N(INDEX(F_INKOR,MATCH($C69,FA,0))),0))</f>
        <v>0</v>
      </c>
      <c r="Y69" s="7" t="e">
        <f>N(#REF!)*IF($E69="упак",MAX(1,IF(ISNA(MATCH($C69,FA,0)),1,N(INDEX(F_PAKET,MATCH($C69,FA,0))))),1)</f>
        <v>#REF!</v>
      </c>
      <c r="Z69" s="7" t="e">
        <f t="shared" si="12"/>
        <v>#REF!</v>
      </c>
      <c r="AA69" s="7">
        <f>IF(OR(ISNA(MATCH($C69,FA,0)),$J69="YEDEK",$J69="SARF"),0,N(#REF!)*N(INDEX(F_TEL,MATCH($C69,FA,0))))</f>
        <v>0</v>
      </c>
      <c r="AB69" s="7">
        <f>IF(OR(ISNA(MATCH($C69,FA,0)),$J69="YEDEK",$J69="SARF"),0,N(#REF!)*N(INDEX(F_TELM,MATCH($C69,FA,0))))</f>
        <v>0</v>
      </c>
      <c r="AC69" s="7" t="e">
        <f t="shared" si="13"/>
        <v>#REF!</v>
      </c>
      <c r="AD69" s="7">
        <f>IF(OR(ISNA(MATCH($C69,FA,0)),$J69&lt;&gt;"CIKIS"),0,N(INDEX(F_KK,MATCH($C69,FA,0))))</f>
        <v>0</v>
      </c>
      <c r="AE69" s="7">
        <f>IF($AD69=0,0,N(#REF!)*N(INDEX(F_KLN,MATCH($C69,FA,0))))</f>
        <v>0</v>
      </c>
      <c r="AF69" s="7">
        <f>IF($AD69=0,0,N(#REF!)*N(INDEX(F_KPE,MATCH($C69,FA,0))))</f>
        <v>0</v>
      </c>
      <c r="AG69" s="7" t="e">
        <f>IF(ISNA(MATCH($C69,FA,0)),0,N(#REF!)*N(INDEX(F_MODUL,MATCH($C69,FA,0))))</f>
        <v>#REF!</v>
      </c>
      <c r="AH69" s="7" t="e">
        <f>N(#REF!)*N($I69)</f>
        <v>#REF!</v>
      </c>
      <c r="AI69" s="7" t="e">
        <f t="shared" si="14"/>
        <v>#REF!</v>
      </c>
      <c r="AJ69" s="7">
        <f t="shared" si="15"/>
        <v>0</v>
      </c>
    </row>
    <row r="70" spans="1:36" x14ac:dyDescent="0.25">
      <c r="A70" s="4" t="str">
        <f t="shared" si="9"/>
        <v>ШГП-1, ШГП-2 (Ввод + Секция 1)(ВРУ1-18-80А)(ВРУ1-41-00А)(260922 akram aulet)</v>
      </c>
      <c r="B70" s="4" t="s">
        <v>101</v>
      </c>
      <c r="C70" s="4" t="s">
        <v>529</v>
      </c>
      <c r="D70" s="4" t="s">
        <v>530</v>
      </c>
      <c r="E70" s="4" t="s">
        <v>522</v>
      </c>
      <c r="F70" s="4" t="s">
        <v>486</v>
      </c>
      <c r="G70" s="4" t="s">
        <v>38</v>
      </c>
      <c r="H70" s="5" t="e">
        <f>#REF!</f>
        <v>#REF!</v>
      </c>
      <c r="I70" s="6" t="e">
        <f t="shared" si="10"/>
        <v>#REF!</v>
      </c>
      <c r="J70" s="6" t="s">
        <v>84</v>
      </c>
      <c r="K70" s="6" t="s">
        <v>101</v>
      </c>
      <c r="L70" s="7" t="e">
        <f t="shared" si="11"/>
        <v>#REF!</v>
      </c>
      <c r="M70" s="7" t="s">
        <v>103</v>
      </c>
      <c r="O70" s="7" t="str">
        <f>IF(OR($C70="",$C70="FID YOK"),"",IF(ISNUMBER(MATCH($C70,FA_ANA,0)),"",IF(COUNTIF($C$1:$C69,$C70)&gt;0,"",MAX($O$1:$O69)+1)))</f>
        <v/>
      </c>
      <c r="T70" s="7">
        <f>IF(ISNA(MATCH($C70,FA,0)),0,IF($J70="GIRIS",N(INDEX(F_INKOR,MATCH($C70,FA,0))),0))</f>
        <v>0</v>
      </c>
      <c r="Y70" s="7" t="e">
        <f>N(#REF!)*IF($E70="упак",MAX(1,IF(ISNA(MATCH($C70,FA,0)),1,N(INDEX(F_PAKET,MATCH($C70,FA,0))))),1)</f>
        <v>#REF!</v>
      </c>
      <c r="Z70" s="7" t="e">
        <f t="shared" si="12"/>
        <v>#REF!</v>
      </c>
      <c r="AA70" s="7">
        <f>IF(OR(ISNA(MATCH($C70,FA,0)),$J70="YEDEK",$J70="SARF"),0,N(#REF!)*N(INDEX(F_TEL,MATCH($C70,FA,0))))</f>
        <v>0</v>
      </c>
      <c r="AB70" s="7">
        <f>IF(OR(ISNA(MATCH($C70,FA,0)),$J70="YEDEK",$J70="SARF"),0,N(#REF!)*N(INDEX(F_TELM,MATCH($C70,FA,0))))</f>
        <v>0</v>
      </c>
      <c r="AC70" s="7" t="e">
        <f t="shared" si="13"/>
        <v>#REF!</v>
      </c>
      <c r="AD70" s="7">
        <f>IF(OR(ISNA(MATCH($C70,FA,0)),$J70&lt;&gt;"CIKIS"),0,N(INDEX(F_KK,MATCH($C70,FA,0))))</f>
        <v>0</v>
      </c>
      <c r="AE70" s="7">
        <f>IF($AD70=0,0,N(#REF!)*N(INDEX(F_KLN,MATCH($C70,FA,0))))</f>
        <v>0</v>
      </c>
      <c r="AF70" s="7">
        <f>IF($AD70=0,0,N(#REF!)*N(INDEX(F_KPE,MATCH($C70,FA,0))))</f>
        <v>0</v>
      </c>
      <c r="AG70" s="7" t="e">
        <f>IF(ISNA(MATCH($C70,FA,0)),0,N(#REF!)*N(INDEX(F_MODUL,MATCH($C70,FA,0))))</f>
        <v>#REF!</v>
      </c>
      <c r="AH70" s="7" t="e">
        <f>N(#REF!)*N($I70)</f>
        <v>#REF!</v>
      </c>
      <c r="AI70" s="7" t="e">
        <f t="shared" si="14"/>
        <v>#REF!</v>
      </c>
      <c r="AJ70" s="7">
        <f t="shared" si="15"/>
        <v>0</v>
      </c>
    </row>
    <row r="71" spans="1:36" x14ac:dyDescent="0.25">
      <c r="A71" s="4" t="e">
        <f>#REF!</f>
        <v>#REF!</v>
      </c>
      <c r="B71" s="4" t="s">
        <v>105</v>
      </c>
      <c r="C71" s="4" t="s">
        <v>539</v>
      </c>
      <c r="D71" s="4" t="s">
        <v>540</v>
      </c>
      <c r="E71" s="4" t="s">
        <v>114</v>
      </c>
      <c r="F71" s="4" t="s">
        <v>486</v>
      </c>
      <c r="G71" s="4" t="s">
        <v>38</v>
      </c>
      <c r="H71" s="5" t="e">
        <f>#REF!</f>
        <v>#REF!</v>
      </c>
      <c r="I71" s="6" t="e">
        <f>#REF!</f>
        <v>#REF!</v>
      </c>
      <c r="J71" s="6" t="s">
        <v>84</v>
      </c>
      <c r="K71" s="6" t="s">
        <v>105</v>
      </c>
      <c r="L71" s="7" t="e">
        <f t="shared" si="11"/>
        <v>#REF!</v>
      </c>
      <c r="M71" s="7" t="s">
        <v>133</v>
      </c>
      <c r="O71" s="7" t="str">
        <f>IF(OR($C71="",$C71="FID YOK"),"",IF(ISNUMBER(MATCH($C71,FA_ANA,0)),"",IF(COUNTIF($C$1:$C70,$C71)&gt;0,"",MAX($O$1:$O70)+1)))</f>
        <v/>
      </c>
      <c r="T71" s="7">
        <f>IF(ISNA(MATCH($C71,FA,0)),0,IF($J71="GIRIS",N(INDEX(F_INKOR,MATCH($C71,FA,0))),0))</f>
        <v>0</v>
      </c>
      <c r="Y71" s="7" t="e">
        <f>N(#REF!)*IF($E71="упак",MAX(1,IF(ISNA(MATCH($C71,FA,0)),1,N(INDEX(F_PAKET,MATCH($C71,FA,0))))),1)</f>
        <v>#REF!</v>
      </c>
      <c r="Z71" s="7" t="e">
        <f t="shared" si="12"/>
        <v>#REF!</v>
      </c>
      <c r="AA71" s="7">
        <f>IF(OR(ISNA(MATCH($C71,FA,0)),$J71="YEDEK",$J71="SARF"),0,N(#REF!)*N(INDEX(F_TEL,MATCH($C71,FA,0))))</f>
        <v>0</v>
      </c>
      <c r="AB71" s="7">
        <f>IF(OR(ISNA(MATCH($C71,FA,0)),$J71="YEDEK",$J71="SARF"),0,N(#REF!)*N(INDEX(F_TELM,MATCH($C71,FA,0))))</f>
        <v>0</v>
      </c>
      <c r="AC71" s="7" t="e">
        <f t="shared" si="13"/>
        <v>#REF!</v>
      </c>
      <c r="AD71" s="7">
        <f>IF(OR(ISNA(MATCH($C71,FA,0)),$J71&lt;&gt;"CIKIS"),0,N(INDEX(F_KK,MATCH($C71,FA,0))))</f>
        <v>0</v>
      </c>
      <c r="AE71" s="7">
        <f>IF($AD71=0,0,N(#REF!)*N(INDEX(F_KLN,MATCH($C71,FA,0))))</f>
        <v>0</v>
      </c>
      <c r="AF71" s="7">
        <f>IF($AD71=0,0,N(#REF!)*N(INDEX(F_KPE,MATCH($C71,FA,0))))</f>
        <v>0</v>
      </c>
      <c r="AG71" s="7" t="e">
        <f>IF(ISNA(MATCH($C71,FA,0)),0,N(#REF!)*N(INDEX(F_MODUL,MATCH($C71,FA,0))))</f>
        <v>#REF!</v>
      </c>
      <c r="AH71" s="7" t="e">
        <f>N(#REF!)*N($I71)</f>
        <v>#REF!</v>
      </c>
      <c r="AI71" s="7" t="e">
        <f t="shared" si="14"/>
        <v>#REF!</v>
      </c>
      <c r="AJ71" s="7">
        <f t="shared" si="15"/>
        <v>0</v>
      </c>
    </row>
    <row r="72" spans="1:36" x14ac:dyDescent="0.25">
      <c r="A72" s="4" t="e">
        <f t="shared" si="9"/>
        <v>#REF!</v>
      </c>
      <c r="B72" s="4" t="s">
        <v>105</v>
      </c>
      <c r="C72" s="4" t="s">
        <v>543</v>
      </c>
      <c r="D72" s="4" t="s">
        <v>544</v>
      </c>
      <c r="E72" s="4" t="s">
        <v>114</v>
      </c>
      <c r="F72" s="4" t="s">
        <v>486</v>
      </c>
      <c r="G72" s="4" t="s">
        <v>38</v>
      </c>
      <c r="H72" s="5" t="e">
        <f>#REF!</f>
        <v>#REF!</v>
      </c>
      <c r="I72" s="6" t="e">
        <f t="shared" si="10"/>
        <v>#REF!</v>
      </c>
      <c r="J72" s="6" t="s">
        <v>84</v>
      </c>
      <c r="K72" s="6" t="s">
        <v>105</v>
      </c>
      <c r="L72" s="7" t="e">
        <f t="shared" si="11"/>
        <v>#REF!</v>
      </c>
      <c r="M72" s="7" t="s">
        <v>106</v>
      </c>
      <c r="O72" s="7" t="str">
        <f>IF(OR($C72="",$C72="FID YOK"),"",IF(ISNUMBER(MATCH($C72,FA_ANA,0)),"",IF(COUNTIF($C$1:$C71,$C72)&gt;0,"",MAX($O$1:$O71)+1)))</f>
        <v/>
      </c>
      <c r="T72" s="7">
        <f>IF(ISNA(MATCH($C72,FA,0)),0,IF($J72="GIRIS",N(INDEX(F_INKOR,MATCH($C72,FA,0))),0))</f>
        <v>0</v>
      </c>
      <c r="Y72" s="7" t="e">
        <f>N(#REF!)*IF($E72="упак",MAX(1,IF(ISNA(MATCH($C72,FA,0)),1,N(INDEX(F_PAKET,MATCH($C72,FA,0))))),1)</f>
        <v>#REF!</v>
      </c>
      <c r="Z72" s="7" t="e">
        <f t="shared" si="12"/>
        <v>#REF!</v>
      </c>
      <c r="AA72" s="7">
        <f>IF(OR(ISNA(MATCH($C72,FA,0)),$J72="YEDEK",$J72="SARF"),0,N(#REF!)*N(INDEX(F_TEL,MATCH($C72,FA,0))))</f>
        <v>0</v>
      </c>
      <c r="AB72" s="7">
        <f>IF(OR(ISNA(MATCH($C72,FA,0)),$J72="YEDEK",$J72="SARF"),0,N(#REF!)*N(INDEX(F_TELM,MATCH($C72,FA,0))))</f>
        <v>0</v>
      </c>
      <c r="AC72" s="7" t="e">
        <f t="shared" si="13"/>
        <v>#REF!</v>
      </c>
      <c r="AD72" s="7">
        <f>IF(OR(ISNA(MATCH($C72,FA,0)),$J72&lt;&gt;"CIKIS"),0,N(INDEX(F_KK,MATCH($C72,FA,0))))</f>
        <v>0</v>
      </c>
      <c r="AE72" s="7">
        <f>IF($AD72=0,0,N(#REF!)*N(INDEX(F_KLN,MATCH($C72,FA,0))))</f>
        <v>0</v>
      </c>
      <c r="AF72" s="7">
        <f>IF($AD72=0,0,N(#REF!)*N(INDEX(F_KPE,MATCH($C72,FA,0))))</f>
        <v>0</v>
      </c>
      <c r="AG72" s="7" t="e">
        <f>IF(ISNA(MATCH($C72,FA,0)),0,N(#REF!)*N(INDEX(F_MODUL,MATCH($C72,FA,0))))</f>
        <v>#REF!</v>
      </c>
      <c r="AH72" s="7" t="e">
        <f>N(#REF!)*N($I72)</f>
        <v>#REF!</v>
      </c>
      <c r="AI72" s="7" t="e">
        <f t="shared" si="14"/>
        <v>#REF!</v>
      </c>
      <c r="AJ72" s="7">
        <f t="shared" si="15"/>
        <v>0</v>
      </c>
    </row>
    <row r="73" spans="1:36" x14ac:dyDescent="0.25">
      <c r="A73" s="4" t="e">
        <f t="shared" si="9"/>
        <v>#REF!</v>
      </c>
      <c r="B73" s="4" t="s">
        <v>105</v>
      </c>
      <c r="C73" s="4" t="s">
        <v>549</v>
      </c>
      <c r="D73" s="4" t="s">
        <v>550</v>
      </c>
      <c r="E73" s="4" t="s">
        <v>114</v>
      </c>
      <c r="F73" s="4" t="s">
        <v>486</v>
      </c>
      <c r="G73" s="4" t="s">
        <v>38</v>
      </c>
      <c r="H73" s="5" t="e">
        <f>#REF!</f>
        <v>#REF!</v>
      </c>
      <c r="I73" s="6" t="e">
        <f t="shared" si="10"/>
        <v>#REF!</v>
      </c>
      <c r="J73" s="6" t="s">
        <v>84</v>
      </c>
      <c r="K73" s="6" t="s">
        <v>105</v>
      </c>
      <c r="L73" s="7" t="e">
        <f t="shared" si="11"/>
        <v>#REF!</v>
      </c>
      <c r="M73" s="7" t="s">
        <v>134</v>
      </c>
      <c r="O73" s="7">
        <f>IF(OR($C73="",$C73="FID YOK"),"",IF(ISNUMBER(MATCH($C73,FA_ANA,0)),"",IF(COUNTIF($C$1:$C72,$C73)&gt;0,"",MAX($O$1:$O72)+1)))</f>
        <v>42</v>
      </c>
      <c r="T73" s="7">
        <f>IF(ISNA(MATCH($C73,FA,0)),0,IF($J73="GIRIS",N(INDEX(F_INKOR,MATCH($C73,FA,0))),0))</f>
        <v>0</v>
      </c>
      <c r="Y73" s="7" t="e">
        <f>N(#REF!)*IF($E73="упак",MAX(1,IF(ISNA(MATCH($C73,FA,0)),1,N(INDEX(F_PAKET,MATCH($C73,FA,0))))),1)</f>
        <v>#REF!</v>
      </c>
      <c r="Z73" s="7" t="e">
        <f t="shared" si="12"/>
        <v>#REF!</v>
      </c>
      <c r="AA73" s="7">
        <f>IF(OR(ISNA(MATCH($C73,FA,0)),$J73="YEDEK",$J73="SARF"),0,N(#REF!)*N(INDEX(F_TEL,MATCH($C73,FA,0))))</f>
        <v>0</v>
      </c>
      <c r="AB73" s="7">
        <f>IF(OR(ISNA(MATCH($C73,FA,0)),$J73="YEDEK",$J73="SARF"),0,N(#REF!)*N(INDEX(F_TELM,MATCH($C73,FA,0))))</f>
        <v>0</v>
      </c>
      <c r="AC73" s="7" t="e">
        <f t="shared" si="13"/>
        <v>#REF!</v>
      </c>
      <c r="AD73" s="7">
        <f>IF(OR(ISNA(MATCH($C73,FA,0)),$J73&lt;&gt;"CIKIS"),0,N(INDEX(F_KK,MATCH($C73,FA,0))))</f>
        <v>0</v>
      </c>
      <c r="AE73" s="7">
        <f>IF($AD73=0,0,N(#REF!)*N(INDEX(F_KLN,MATCH($C73,FA,0))))</f>
        <v>0</v>
      </c>
      <c r="AF73" s="7">
        <f>IF($AD73=0,0,N(#REF!)*N(INDEX(F_KPE,MATCH($C73,FA,0))))</f>
        <v>0</v>
      </c>
      <c r="AG73" s="7" t="e">
        <f>IF(ISNA(MATCH($C73,FA,0)),0,N(#REF!)*N(INDEX(F_MODUL,MATCH($C73,FA,0))))</f>
        <v>#REF!</v>
      </c>
      <c r="AH73" s="7" t="e">
        <f>N(#REF!)*N($I73)</f>
        <v>#REF!</v>
      </c>
      <c r="AI73" s="7" t="e">
        <f t="shared" si="14"/>
        <v>#REF!</v>
      </c>
      <c r="AJ73" s="7">
        <f t="shared" si="15"/>
        <v>0</v>
      </c>
    </row>
    <row r="74" spans="1:36" x14ac:dyDescent="0.25">
      <c r="A74" s="4" t="e">
        <f t="shared" si="9"/>
        <v>#REF!</v>
      </c>
      <c r="B74" s="4" t="s">
        <v>105</v>
      </c>
      <c r="C74" s="4" t="s">
        <v>561</v>
      </c>
      <c r="D74" s="4" t="s">
        <v>562</v>
      </c>
      <c r="E74" s="4" t="s">
        <v>114</v>
      </c>
      <c r="F74" s="4" t="s">
        <v>486</v>
      </c>
      <c r="G74" s="4" t="s">
        <v>38</v>
      </c>
      <c r="H74" s="5" t="e">
        <f>#REF!</f>
        <v>#REF!</v>
      </c>
      <c r="I74" s="6" t="e">
        <f t="shared" si="10"/>
        <v>#REF!</v>
      </c>
      <c r="J74" s="6" t="s">
        <v>84</v>
      </c>
      <c r="K74" s="6" t="s">
        <v>105</v>
      </c>
      <c r="L74" s="7" t="e">
        <f t="shared" si="11"/>
        <v>#REF!</v>
      </c>
      <c r="M74" s="7" t="s">
        <v>135</v>
      </c>
      <c r="O74" s="7">
        <f>IF(OR($C74="",$C74="FID YOK"),"",IF(ISNUMBER(MATCH($C74,FA_ANA,0)),"",IF(COUNTIF($C$1:$C73,$C74)&gt;0,"",MAX($O$1:$O73)+1)))</f>
        <v>43</v>
      </c>
      <c r="T74" s="7">
        <f>IF(ISNA(MATCH($C74,FA,0)),0,IF($J74="GIRIS",N(INDEX(F_INKOR,MATCH($C74,FA,0))),0))</f>
        <v>0</v>
      </c>
      <c r="Y74" s="7" t="e">
        <f>N(#REF!)*IF($E74="упак",MAX(1,IF(ISNA(MATCH($C74,FA,0)),1,N(INDEX(F_PAKET,MATCH($C74,FA,0))))),1)</f>
        <v>#REF!</v>
      </c>
      <c r="Z74" s="7" t="e">
        <f t="shared" si="12"/>
        <v>#REF!</v>
      </c>
      <c r="AA74" s="7">
        <f>IF(OR(ISNA(MATCH($C74,FA,0)),$J74="YEDEK",$J74="SARF"),0,N(#REF!)*N(INDEX(F_TEL,MATCH($C74,FA,0))))</f>
        <v>0</v>
      </c>
      <c r="AB74" s="7">
        <f>IF(OR(ISNA(MATCH($C74,FA,0)),$J74="YEDEK",$J74="SARF"),0,N(#REF!)*N(INDEX(F_TELM,MATCH($C74,FA,0))))</f>
        <v>0</v>
      </c>
      <c r="AC74" s="7" t="e">
        <f t="shared" si="13"/>
        <v>#REF!</v>
      </c>
      <c r="AD74" s="7">
        <f>IF(OR(ISNA(MATCH($C74,FA,0)),$J74&lt;&gt;"CIKIS"),0,N(INDEX(F_KK,MATCH($C74,FA,0))))</f>
        <v>0</v>
      </c>
      <c r="AE74" s="7">
        <f>IF($AD74=0,0,N(#REF!)*N(INDEX(F_KLN,MATCH($C74,FA,0))))</f>
        <v>0</v>
      </c>
      <c r="AF74" s="7">
        <f>IF($AD74=0,0,N(#REF!)*N(INDEX(F_KPE,MATCH($C74,FA,0))))</f>
        <v>0</v>
      </c>
      <c r="AG74" s="7" t="e">
        <f>IF(ISNA(MATCH($C74,FA,0)),0,N(#REF!)*N(INDEX(F_MODUL,MATCH($C74,FA,0))))</f>
        <v>#REF!</v>
      </c>
      <c r="AH74" s="7" t="e">
        <f>N(#REF!)*N($I74)</f>
        <v>#REF!</v>
      </c>
      <c r="AI74" s="7" t="e">
        <f t="shared" si="14"/>
        <v>#REF!</v>
      </c>
      <c r="AJ74" s="7">
        <f t="shared" si="15"/>
        <v>0</v>
      </c>
    </row>
    <row r="75" spans="1:36" x14ac:dyDescent="0.25">
      <c r="A75" s="4" t="e">
        <f t="shared" si="9"/>
        <v>#REF!</v>
      </c>
      <c r="B75" s="4" t="s">
        <v>105</v>
      </c>
      <c r="C75" s="4" t="s">
        <v>539</v>
      </c>
      <c r="D75" s="4" t="s">
        <v>540</v>
      </c>
      <c r="E75" s="4" t="s">
        <v>114</v>
      </c>
      <c r="F75" s="4" t="s">
        <v>486</v>
      </c>
      <c r="G75" s="4" t="s">
        <v>38</v>
      </c>
      <c r="H75" s="5" t="e">
        <f>#REF!</f>
        <v>#REF!</v>
      </c>
      <c r="I75" s="6" t="e">
        <f t="shared" si="10"/>
        <v>#REF!</v>
      </c>
      <c r="J75" s="6" t="s">
        <v>84</v>
      </c>
      <c r="K75" s="6" t="s">
        <v>105</v>
      </c>
      <c r="L75" s="7" t="e">
        <f t="shared" si="11"/>
        <v>#REF!</v>
      </c>
      <c r="M75" s="7" t="s">
        <v>110</v>
      </c>
      <c r="O75" s="7" t="str">
        <f>IF(OR($C75="",$C75="FID YOK"),"",IF(ISNUMBER(MATCH($C75,FA_ANA,0)),"",IF(COUNTIF($C$1:$C74,$C75)&gt;0,"",MAX($O$1:$O74)+1)))</f>
        <v/>
      </c>
      <c r="T75" s="7">
        <f>IF(ISNA(MATCH($C75,FA,0)),0,IF($J75="GIRIS",N(INDEX(F_INKOR,MATCH($C75,FA,0))),0))</f>
        <v>0</v>
      </c>
      <c r="Y75" s="7" t="e">
        <f>N(#REF!)*IF($E75="упак",MAX(1,IF(ISNA(MATCH($C75,FA,0)),1,N(INDEX(F_PAKET,MATCH($C75,FA,0))))),1)</f>
        <v>#REF!</v>
      </c>
      <c r="Z75" s="7" t="e">
        <f t="shared" si="12"/>
        <v>#REF!</v>
      </c>
      <c r="AA75" s="7">
        <f>IF(OR(ISNA(MATCH($C75,FA,0)),$J75="YEDEK",$J75="SARF"),0,N(#REF!)*N(INDEX(F_TEL,MATCH($C75,FA,0))))</f>
        <v>0</v>
      </c>
      <c r="AB75" s="7">
        <f>IF(OR(ISNA(MATCH($C75,FA,0)),$J75="YEDEK",$J75="SARF"),0,N(#REF!)*N(INDEX(F_TELM,MATCH($C75,FA,0))))</f>
        <v>0</v>
      </c>
      <c r="AC75" s="7" t="e">
        <f t="shared" si="13"/>
        <v>#REF!</v>
      </c>
      <c r="AD75" s="7">
        <f>IF(OR(ISNA(MATCH($C75,FA,0)),$J75&lt;&gt;"CIKIS"),0,N(INDEX(F_KK,MATCH($C75,FA,0))))</f>
        <v>0</v>
      </c>
      <c r="AE75" s="7">
        <f>IF($AD75=0,0,N(#REF!)*N(INDEX(F_KLN,MATCH($C75,FA,0))))</f>
        <v>0</v>
      </c>
      <c r="AF75" s="7">
        <f>IF($AD75=0,0,N(#REF!)*N(INDEX(F_KPE,MATCH($C75,FA,0))))</f>
        <v>0</v>
      </c>
      <c r="AG75" s="7" t="e">
        <f>IF(ISNA(MATCH($C75,FA,0)),0,N(#REF!)*N(INDEX(F_MODUL,MATCH($C75,FA,0))))</f>
        <v>#REF!</v>
      </c>
      <c r="AH75" s="7" t="e">
        <f>N(#REF!)*N($I75)</f>
        <v>#REF!</v>
      </c>
      <c r="AI75" s="7" t="e">
        <f t="shared" si="14"/>
        <v>#REF!</v>
      </c>
      <c r="AJ75" s="7">
        <f t="shared" si="15"/>
        <v>0</v>
      </c>
    </row>
    <row r="76" spans="1:36" x14ac:dyDescent="0.25">
      <c r="A76" s="4" t="e">
        <f t="shared" si="9"/>
        <v>#REF!</v>
      </c>
      <c r="B76" s="4" t="s">
        <v>111</v>
      </c>
      <c r="C76" s="4" t="s">
        <v>571</v>
      </c>
      <c r="D76" s="4" t="s">
        <v>572</v>
      </c>
      <c r="E76" s="4" t="s">
        <v>522</v>
      </c>
      <c r="F76" s="4" t="s">
        <v>486</v>
      </c>
      <c r="G76" s="4" t="s">
        <v>38</v>
      </c>
      <c r="H76" s="5" t="e">
        <f>#REF!</f>
        <v>#REF!</v>
      </c>
      <c r="I76" s="6" t="e">
        <f t="shared" si="10"/>
        <v>#REF!</v>
      </c>
      <c r="J76" s="6" t="s">
        <v>84</v>
      </c>
      <c r="K76" s="6" t="s">
        <v>111</v>
      </c>
      <c r="L76" s="7" t="e">
        <f t="shared" si="11"/>
        <v>#REF!</v>
      </c>
      <c r="M76" s="7" t="s">
        <v>112</v>
      </c>
      <c r="O76" s="7" t="str">
        <f>IF(OR($C76="",$C76="FID YOK"),"",IF(ISNUMBER(MATCH($C76,FA_ANA,0)),"",IF(COUNTIF($C$1:$C75,$C76)&gt;0,"",MAX($O$1:$O75)+1)))</f>
        <v/>
      </c>
      <c r="T76" s="7">
        <f>IF(ISNA(MATCH($C76,FA,0)),0,IF($J76="GIRIS",N(INDEX(F_INKOR,MATCH($C76,FA,0))),0))</f>
        <v>0</v>
      </c>
      <c r="Y76" s="7" t="e">
        <f>N(#REF!)*IF($E76="упак",MAX(1,IF(ISNA(MATCH($C76,FA,0)),1,N(INDEX(F_PAKET,MATCH($C76,FA,0))))),1)</f>
        <v>#REF!</v>
      </c>
      <c r="Z76" s="7" t="e">
        <f t="shared" si="12"/>
        <v>#REF!</v>
      </c>
      <c r="AA76" s="7">
        <f>IF(OR(ISNA(MATCH($C76,FA,0)),$J76="YEDEK",$J76="SARF"),0,N(#REF!)*N(INDEX(F_TEL,MATCH($C76,FA,0))))</f>
        <v>0</v>
      </c>
      <c r="AB76" s="7">
        <f>IF(OR(ISNA(MATCH($C76,FA,0)),$J76="YEDEK",$J76="SARF"),0,N(#REF!)*N(INDEX(F_TELM,MATCH($C76,FA,0))))</f>
        <v>0</v>
      </c>
      <c r="AC76" s="7" t="e">
        <f t="shared" si="13"/>
        <v>#REF!</v>
      </c>
      <c r="AD76" s="7">
        <f>IF(OR(ISNA(MATCH($C76,FA,0)),$J76&lt;&gt;"CIKIS"),0,N(INDEX(F_KK,MATCH($C76,FA,0))))</f>
        <v>0</v>
      </c>
      <c r="AE76" s="7">
        <f>IF($AD76=0,0,N(#REF!)*N(INDEX(F_KLN,MATCH($C76,FA,0))))</f>
        <v>0</v>
      </c>
      <c r="AF76" s="7">
        <f>IF($AD76=0,0,N(#REF!)*N(INDEX(F_KPE,MATCH($C76,FA,0))))</f>
        <v>0</v>
      </c>
      <c r="AG76" s="7" t="e">
        <f>IF(ISNA(MATCH($C76,FA,0)),0,N(#REF!)*N(INDEX(F_MODUL,MATCH($C76,FA,0))))</f>
        <v>#REF!</v>
      </c>
      <c r="AH76" s="7" t="e">
        <f>N(#REF!)*N($I76)</f>
        <v>#REF!</v>
      </c>
      <c r="AI76" s="7" t="e">
        <f t="shared" si="14"/>
        <v>#REF!</v>
      </c>
      <c r="AJ76" s="7">
        <f t="shared" si="15"/>
        <v>0</v>
      </c>
    </row>
    <row r="77" spans="1:36" x14ac:dyDescent="0.25">
      <c r="A77" s="4" t="e">
        <f t="shared" si="9"/>
        <v>#REF!</v>
      </c>
      <c r="B77" s="4" t="s">
        <v>113</v>
      </c>
      <c r="C77" s="4" t="s">
        <v>113</v>
      </c>
      <c r="D77" s="4" t="s">
        <v>113</v>
      </c>
      <c r="E77" s="4" t="s">
        <v>114</v>
      </c>
      <c r="F77" s="4" t="s">
        <v>113</v>
      </c>
      <c r="G77" s="4" t="s">
        <v>38</v>
      </c>
      <c r="H77" s="5" t="e">
        <f>#REF!</f>
        <v>#REF!</v>
      </c>
      <c r="I77" s="6" t="e">
        <f t="shared" si="10"/>
        <v>#REF!</v>
      </c>
    </row>
    <row r="78" spans="1:36" x14ac:dyDescent="0.25">
      <c r="A78" s="4" t="e">
        <f t="shared" si="9"/>
        <v>#REF!</v>
      </c>
      <c r="B78" s="4" t="s">
        <v>115</v>
      </c>
      <c r="C78" s="4" t="s">
        <v>115</v>
      </c>
      <c r="D78" s="4" t="s">
        <v>115</v>
      </c>
      <c r="E78" s="4" t="s">
        <v>116</v>
      </c>
      <c r="F78" s="4" t="s">
        <v>115</v>
      </c>
      <c r="G78" s="4" t="s">
        <v>38</v>
      </c>
      <c r="H78" s="5" t="e">
        <f>#REF!</f>
        <v>#REF!</v>
      </c>
      <c r="I78" s="6" t="e">
        <f t="shared" si="10"/>
        <v>#REF!</v>
      </c>
    </row>
    <row r="79" spans="1:36" x14ac:dyDescent="0.25">
      <c r="A79" s="1" t="str">
        <f>D79</f>
        <v>ВРУ-2 (Ввод + Секция 1 + Секция 2) (ВРУ1-14-20А)(ВРУ1-41-00А)(260922 akram aulet)</v>
      </c>
      <c r="B79" s="12"/>
      <c r="C79" s="2"/>
      <c r="D79" s="1" t="s">
        <v>613</v>
      </c>
      <c r="E79" s="1" t="s">
        <v>36</v>
      </c>
      <c r="F79" s="1" t="s">
        <v>37</v>
      </c>
      <c r="G79" s="1" t="s">
        <v>38</v>
      </c>
      <c r="I79" s="3" t="e">
        <f>#REF!</f>
        <v>#REF!</v>
      </c>
    </row>
    <row r="80" spans="1:36" x14ac:dyDescent="0.25">
      <c r="A80" s="4" t="str">
        <f t="shared" ref="A80:A119" si="18">A79</f>
        <v>ВРУ-2 (Ввод + Секция 1 + Секция 2) (ВРУ1-14-20А)(ВРУ1-41-00А)(260922 akram aulet)</v>
      </c>
      <c r="B80" s="4" t="s">
        <v>39</v>
      </c>
      <c r="C80" s="4" t="s">
        <v>492</v>
      </c>
      <c r="D80" s="4" t="s">
        <v>493</v>
      </c>
      <c r="E80" s="4" t="s">
        <v>114</v>
      </c>
      <c r="F80" s="4" t="s">
        <v>491</v>
      </c>
      <c r="G80" s="4" t="s">
        <v>38</v>
      </c>
      <c r="H80" s="5" t="e">
        <f>#REF!</f>
        <v>#REF!</v>
      </c>
      <c r="I80" s="6" t="e">
        <f t="shared" ref="I80:I119" si="19">I79</f>
        <v>#REF!</v>
      </c>
      <c r="J80" s="6" t="s">
        <v>40</v>
      </c>
      <c r="K80" s="6" t="s">
        <v>41</v>
      </c>
      <c r="L80" s="7" t="e">
        <f t="shared" ref="L80:L117" si="20">IF(ISNA(MATCH($C80,FA,0)),"ARTİKÜL YOK",INDEX(FIYAT_DURUM,MATCH($C80,FA,0)))</f>
        <v>#REF!</v>
      </c>
      <c r="M80" s="7" t="s">
        <v>136</v>
      </c>
      <c r="N80" s="7" t="s">
        <v>43</v>
      </c>
      <c r="O80" s="7" t="str">
        <f>IF(OR($C80="",$C80="FID YOK"),"",IF(ISNUMBER(MATCH($C80,FA_ANA,0)),"",IF(COUNTIF($C$1:$C79,$C80)&gt;0,"",MAX($O$1:$O79)+1)))</f>
        <v/>
      </c>
      <c r="Q80" s="7"/>
      <c r="R80" s="7"/>
      <c r="S80" s="7"/>
      <c r="T80" s="7">
        <f>IF(ISNA(MATCH($C80,FA,0)),0,IF($J80="GIRIS",N(INDEX(F_INKOR,MATCH($C80,FA,0))),0))</f>
        <v>0</v>
      </c>
      <c r="U80" s="7"/>
      <c r="V80" s="7"/>
      <c r="W80" s="7"/>
      <c r="X80" s="7"/>
      <c r="Y80" s="7" t="e">
        <f>N(#REF!)*IF($E80="упак",MAX(1,IF(ISNA(MATCH($C80,FA,0)),1,N(INDEX(F_PAKET,MATCH($C80,FA,0))))),1)</f>
        <v>#REF!</v>
      </c>
      <c r="Z80" s="7" t="e">
        <f t="shared" ref="Z80:Z117" si="21">IF(ISNA(MATCH($C80,FA,0)),0,N(INDEX(F_BK,MATCH($C80,FA,0))))</f>
        <v>#REF!</v>
      </c>
      <c r="AA80" s="7" t="e">
        <f>IF(OR(ISNA(MATCH($C80,FA,0)),$J80="YEDEK",$J80="SARF"),0,N(#REF!)*N(INDEX(F_TEL,MATCH($C80,FA,0))))</f>
        <v>#REF!</v>
      </c>
      <c r="AB80" s="7" t="e">
        <f>IF(OR(ISNA(MATCH($C80,FA,0)),$J80="YEDEK",$J80="SARF"),0,N(#REF!)*N(INDEX(F_TELM,MATCH($C80,FA,0))))</f>
        <v>#REF!</v>
      </c>
      <c r="AC80" s="7" t="e">
        <f t="shared" ref="AC80:AC117" si="22">IF(ISNA(MATCH($C80,FA,0)),"",INDEX(F_UC,MATCH($C80,FA,0))&amp;"")</f>
        <v>#REF!</v>
      </c>
      <c r="AD80" s="7">
        <f>IF(OR(ISNA(MATCH($C80,FA,0)),$J80&lt;&gt;"CIKIS"),0,N(INDEX(F_KK,MATCH($C80,FA,0))))</f>
        <v>0</v>
      </c>
      <c r="AE80" s="7">
        <f>IF($AD80=0,0,N(#REF!)*N(INDEX(F_KLN,MATCH($C80,FA,0))))</f>
        <v>0</v>
      </c>
      <c r="AF80" s="7">
        <f>IF($AD80=0,0,N(#REF!)*N(INDEX(F_KPE,MATCH($C80,FA,0))))</f>
        <v>0</v>
      </c>
      <c r="AG80" s="7" t="e">
        <f>IF(ISNA(MATCH($C80,FA,0)),0,N(#REF!)*N(INDEX(F_MODUL,MATCH($C80,FA,0))))</f>
        <v>#REF!</v>
      </c>
      <c r="AH80" s="7" t="e">
        <f>N(#REF!)*N($I80)</f>
        <v>#REF!</v>
      </c>
      <c r="AI80" s="7" t="e">
        <f t="shared" ref="AI80:AI117" si="23">IF(ISNA(MATCH($K80,TIP_AD,0)),"YOK",IF(INDEX(NORM_DK,MATCH($K80,TIP_AD,0))="","BOŞ",INDEX(NORM_DK,MATCH($K80,TIP_AD,0))))</f>
        <v>#REF!</v>
      </c>
      <c r="AJ80" s="7">
        <f t="shared" ref="AJ80:AJ117" si="24">IF(ISNUMBER($AI80),$Y80*$AI80,0)</f>
        <v>0</v>
      </c>
    </row>
    <row r="81" spans="1:36" x14ac:dyDescent="0.25">
      <c r="A81" s="4" t="str">
        <f t="shared" si="18"/>
        <v>ВРУ-2 (Ввод + Секция 1 + Секция 2) (ВРУ1-14-20А)(ВРУ1-41-00А)(260922 akram aulet)</v>
      </c>
      <c r="B81" s="4" t="s">
        <v>39</v>
      </c>
      <c r="C81" s="4" t="s">
        <v>494</v>
      </c>
      <c r="D81" s="4" t="s">
        <v>495</v>
      </c>
      <c r="E81" s="4" t="s">
        <v>114</v>
      </c>
      <c r="F81" s="4" t="s">
        <v>491</v>
      </c>
      <c r="G81" s="4" t="s">
        <v>38</v>
      </c>
      <c r="H81" s="5" t="e">
        <f>#REF!</f>
        <v>#REF!</v>
      </c>
      <c r="I81" s="6" t="e">
        <f t="shared" si="19"/>
        <v>#REF!</v>
      </c>
      <c r="J81" s="6" t="s">
        <v>40</v>
      </c>
      <c r="K81" s="6" t="s">
        <v>41</v>
      </c>
      <c r="L81" s="7" t="e">
        <f t="shared" si="20"/>
        <v>#REF!</v>
      </c>
      <c r="M81" s="7" t="s">
        <v>137</v>
      </c>
      <c r="N81" s="7" t="s">
        <v>45</v>
      </c>
      <c r="O81" s="7" t="str">
        <f>IF(OR($C81="",$C81="FID YOK"),"",IF(ISNUMBER(MATCH($C81,FA_ANA,0)),"",IF(COUNTIF($C$1:$C80,$C81)&gt;0,"",MAX($O$1:$O80)+1)))</f>
        <v/>
      </c>
      <c r="Q81" s="7"/>
      <c r="R81" s="7"/>
      <c r="S81" s="7"/>
      <c r="T81" s="7">
        <f>IF(ISNA(MATCH($C81,FA,0)),0,IF($J81="GIRIS",N(INDEX(F_INKOR,MATCH($C81,FA,0))),0))</f>
        <v>0</v>
      </c>
      <c r="U81" s="7"/>
      <c r="V81" s="7"/>
      <c r="W81" s="7"/>
      <c r="X81" s="7"/>
      <c r="Y81" s="7" t="e">
        <f>N(#REF!)*IF($E81="упак",MAX(1,IF(ISNA(MATCH($C81,FA,0)),1,N(INDEX(F_PAKET,MATCH($C81,FA,0))))),1)</f>
        <v>#REF!</v>
      </c>
      <c r="Z81" s="7" t="e">
        <f t="shared" si="21"/>
        <v>#REF!</v>
      </c>
      <c r="AA81" s="7" t="e">
        <f>IF(OR(ISNA(MATCH($C81,FA,0)),$J81="YEDEK",$J81="SARF"),0,N(#REF!)*N(INDEX(F_TEL,MATCH($C81,FA,0))))</f>
        <v>#REF!</v>
      </c>
      <c r="AB81" s="7" t="e">
        <f>IF(OR(ISNA(MATCH($C81,FA,0)),$J81="YEDEK",$J81="SARF"),0,N(#REF!)*N(INDEX(F_TELM,MATCH($C81,FA,0))))</f>
        <v>#REF!</v>
      </c>
      <c r="AC81" s="7" t="e">
        <f t="shared" si="22"/>
        <v>#REF!</v>
      </c>
      <c r="AD81" s="7">
        <f>IF(OR(ISNA(MATCH($C81,FA,0)),$J81&lt;&gt;"CIKIS"),0,N(INDEX(F_KK,MATCH($C81,FA,0))))</f>
        <v>0</v>
      </c>
      <c r="AE81" s="7">
        <f>IF($AD81=0,0,N(#REF!)*N(INDEX(F_KLN,MATCH($C81,FA,0))))</f>
        <v>0</v>
      </c>
      <c r="AF81" s="7">
        <f>IF($AD81=0,0,N(#REF!)*N(INDEX(F_KPE,MATCH($C81,FA,0))))</f>
        <v>0</v>
      </c>
      <c r="AG81" s="7" t="e">
        <f>IF(ISNA(MATCH($C81,FA,0)),0,N(#REF!)*N(INDEX(F_MODUL,MATCH($C81,FA,0))))</f>
        <v>#REF!</v>
      </c>
      <c r="AH81" s="7" t="e">
        <f>N(#REF!)*N($I81)</f>
        <v>#REF!</v>
      </c>
      <c r="AI81" s="7" t="e">
        <f t="shared" si="23"/>
        <v>#REF!</v>
      </c>
      <c r="AJ81" s="7">
        <f t="shared" si="24"/>
        <v>0</v>
      </c>
    </row>
    <row r="82" spans="1:36" x14ac:dyDescent="0.25">
      <c r="A82" s="4" t="str">
        <f t="shared" si="18"/>
        <v>ВРУ-2 (Ввод + Секция 1 + Секция 2) (ВРУ1-14-20А)(ВРУ1-41-00А)(260922 akram aulet)</v>
      </c>
      <c r="B82" s="4" t="s">
        <v>39</v>
      </c>
      <c r="C82" s="4" t="s">
        <v>492</v>
      </c>
      <c r="D82" s="4" t="s">
        <v>493</v>
      </c>
      <c r="E82" s="4" t="s">
        <v>114</v>
      </c>
      <c r="F82" s="4" t="s">
        <v>491</v>
      </c>
      <c r="G82" s="4" t="s">
        <v>38</v>
      </c>
      <c r="H82" s="5" t="e">
        <f>#REF!</f>
        <v>#REF!</v>
      </c>
      <c r="I82" s="6" t="e">
        <f t="shared" si="19"/>
        <v>#REF!</v>
      </c>
      <c r="J82" s="6" t="s">
        <v>40</v>
      </c>
      <c r="K82" s="6" t="s">
        <v>41</v>
      </c>
      <c r="L82" s="7" t="e">
        <f t="shared" si="20"/>
        <v>#REF!</v>
      </c>
      <c r="M82" s="7" t="s">
        <v>138</v>
      </c>
      <c r="N82" s="7" t="s">
        <v>43</v>
      </c>
      <c r="O82" s="7" t="str">
        <f>IF(OR($C82="",$C82="FID YOK"),"",IF(ISNUMBER(MATCH($C82,FA_ANA,0)),"",IF(COUNTIF($C$1:$C81,$C82)&gt;0,"",MAX($O$1:$O81)+1)))</f>
        <v/>
      </c>
      <c r="Q82" s="7"/>
      <c r="R82" s="7"/>
      <c r="S82" s="7"/>
      <c r="T82" s="7">
        <f>IF(ISNA(MATCH($C82,FA,0)),0,IF($J82="GIRIS",N(INDEX(F_INKOR,MATCH($C82,FA,0))),0))</f>
        <v>0</v>
      </c>
      <c r="U82" s="7"/>
      <c r="V82" s="7"/>
      <c r="W82" s="7"/>
      <c r="X82" s="7"/>
      <c r="Y82" s="7" t="e">
        <f>N(#REF!)*IF($E82="упак",MAX(1,IF(ISNA(MATCH($C82,FA,0)),1,N(INDEX(F_PAKET,MATCH($C82,FA,0))))),1)</f>
        <v>#REF!</v>
      </c>
      <c r="Z82" s="7" t="e">
        <f t="shared" si="21"/>
        <v>#REF!</v>
      </c>
      <c r="AA82" s="7" t="e">
        <f>IF(OR(ISNA(MATCH($C82,FA,0)),$J82="YEDEK",$J82="SARF"),0,N(#REF!)*N(INDEX(F_TEL,MATCH($C82,FA,0))))</f>
        <v>#REF!</v>
      </c>
      <c r="AB82" s="7" t="e">
        <f>IF(OR(ISNA(MATCH($C82,FA,0)),$J82="YEDEK",$J82="SARF"),0,N(#REF!)*N(INDEX(F_TELM,MATCH($C82,FA,0))))</f>
        <v>#REF!</v>
      </c>
      <c r="AC82" s="7" t="e">
        <f t="shared" si="22"/>
        <v>#REF!</v>
      </c>
      <c r="AD82" s="7">
        <f>IF(OR(ISNA(MATCH($C82,FA,0)),$J82&lt;&gt;"CIKIS"),0,N(INDEX(F_KK,MATCH($C82,FA,0))))</f>
        <v>0</v>
      </c>
      <c r="AE82" s="7">
        <f>IF($AD82=0,0,N(#REF!)*N(INDEX(F_KLN,MATCH($C82,FA,0))))</f>
        <v>0</v>
      </c>
      <c r="AF82" s="7">
        <f>IF($AD82=0,0,N(#REF!)*N(INDEX(F_KPE,MATCH($C82,FA,0))))</f>
        <v>0</v>
      </c>
      <c r="AG82" s="7" t="e">
        <f>IF(ISNA(MATCH($C82,FA,0)),0,N(#REF!)*N(INDEX(F_MODUL,MATCH($C82,FA,0))))</f>
        <v>#REF!</v>
      </c>
      <c r="AH82" s="7" t="e">
        <f>N(#REF!)*N($I82)</f>
        <v>#REF!</v>
      </c>
      <c r="AI82" s="7" t="e">
        <f t="shared" si="23"/>
        <v>#REF!</v>
      </c>
      <c r="AJ82" s="7">
        <f t="shared" si="24"/>
        <v>0</v>
      </c>
    </row>
    <row r="83" spans="1:36" x14ac:dyDescent="0.25">
      <c r="A83" s="4" t="str">
        <f t="shared" si="18"/>
        <v>ВРУ-2 (Ввод + Секция 1 + Секция 2) (ВРУ1-14-20А)(ВРУ1-41-00А)(260922 akram aulet)</v>
      </c>
      <c r="B83" s="4" t="s">
        <v>47</v>
      </c>
      <c r="C83" s="4" t="s">
        <v>440</v>
      </c>
      <c r="D83" s="4" t="s">
        <v>441</v>
      </c>
      <c r="E83" s="4" t="s">
        <v>114</v>
      </c>
      <c r="F83" s="4" t="s">
        <v>442</v>
      </c>
      <c r="G83" s="4" t="s">
        <v>38</v>
      </c>
      <c r="H83" s="5" t="e">
        <f>#REF!</f>
        <v>#REF!</v>
      </c>
      <c r="I83" s="6" t="e">
        <f t="shared" si="19"/>
        <v>#REF!</v>
      </c>
      <c r="J83" s="6" t="s">
        <v>48</v>
      </c>
      <c r="K83" s="6" t="s">
        <v>47</v>
      </c>
      <c r="L83" s="7" t="e">
        <f t="shared" si="20"/>
        <v>#REF!</v>
      </c>
      <c r="M83" s="7" t="s">
        <v>49</v>
      </c>
      <c r="N83" s="7" t="s">
        <v>50</v>
      </c>
      <c r="O83" s="7" t="str">
        <f>IF(OR($C83="",$C83="FID YOK"),"",IF(ISNUMBER(MATCH($C83,FA_ANA,0)),"",IF(COUNTIF($C$1:$C82,$C83)&gt;0,"",MAX($O$1:$O82)+1)))</f>
        <v/>
      </c>
      <c r="P83" s="8">
        <v>1</v>
      </c>
      <c r="Q83" s="7" t="e">
        <f>IF(OR($P83="",$P83="G",ISNA(MATCH($C83,FA,0))),"",IF(N(INDEX(F_G,MATCH($C83,FA,0)))&gt;0,INDEX(F_G,MATCH($C83,FA,0)),IF(N(INDEX(F_MODUL,MATCH($C83,FA,0)))&gt;0,INDEX(F_MODUL,MATCH($C83,FA,0))*MODUL_MM,"")))</f>
        <v>#REF!</v>
      </c>
      <c r="R83" s="7" t="e">
        <f>IF(OR($P83="",$P83="G",ISNA(MATCH($C83,FA,0))),"",IF(N(INDEX(F_Y,MATCH($C83,FA,0)))&gt;0,INDEX(F_Y,MATCH($C83,FA,0)),""))</f>
        <v>#REF!</v>
      </c>
      <c r="S83" s="7" t="e">
        <f>IF(OR($P83="",$P83="G",ISNA(MATCH($C83,FA,0))),"",IF(N(INDEX(F_D,MATCH($C83,FA,0)))&gt;0,INDEX(F_D,MATCH($C83,FA,0)),""))</f>
        <v>#REF!</v>
      </c>
      <c r="T83" s="7" t="e">
        <f>IF(ISNA(MATCH($C83,FA,0)),0,IF($J83="GIRIS",N(INDEX(F_INKOR,MATCH($C83,FA,0))),0))</f>
        <v>#REF!</v>
      </c>
      <c r="U83" s="7" t="e">
        <f t="shared" ref="U83:U95" si="25">IF(ISNA(MATCH($B83,TIP_AD,0)),"",INDEX(TIP_KAT,MATCH($B83,TIP_AD,0))&amp;"")</f>
        <v>#REF!</v>
      </c>
      <c r="V83" s="7" t="e">
        <f t="shared" ref="V83:V95" si="26">IF(NOT(ISNUMBER($P83)),"",IF($Z83=0,0,IF(ISNA(MATCH($Z83,BUK_KESIT,0)),"",IF(INDEX(BUK_ALAN,MATCH($Z83,BUK_KESIT,0))&amp;""="","",INDEX(BUK_ALAN,MATCH($Z83,BUK_KESIT,0))))))</f>
        <v>#REF!</v>
      </c>
      <c r="W83" s="7" t="e">
        <f>IF(OR(NOT(ISNUMBER($P83)),$Q83=""),"",N(#REF!)*($Q83+IF(ISNA(MATCH($B83,TIP_AD,0)),0,N(INDEX(TIP_BOSLUK,MATCH($B83,TIP_AD,0))))))</f>
        <v>#REF!</v>
      </c>
      <c r="X83" s="7" t="e">
        <f>IF(ISNUMBER($P83),($Q83="")+($R83="")+($V83="")+IF(AND($U83="KONTAKTOR",NOT(ISNA(MATCH($B83,TIP_AD,0)))),IF(INDEX(TIP_BOSLUK,MATCH($B83,TIP_AD,0))&amp;""="",1,0),0),IF($P83="K",IF($S83="",1,0),0))</f>
        <v>#REF!</v>
      </c>
      <c r="Y83" s="7" t="e">
        <f>N(#REF!)*IF($E83="упак",MAX(1,IF(ISNA(MATCH($C83,FA,0)),1,N(INDEX(F_PAKET,MATCH($C83,FA,0))))),1)</f>
        <v>#REF!</v>
      </c>
      <c r="Z83" s="7" t="e">
        <f t="shared" si="21"/>
        <v>#REF!</v>
      </c>
      <c r="AA83" s="7" t="e">
        <f>IF(OR(ISNA(MATCH($C83,FA,0)),$J83="YEDEK",$J83="SARF"),0,N(#REF!)*N(INDEX(F_TEL,MATCH($C83,FA,0))))</f>
        <v>#REF!</v>
      </c>
      <c r="AB83" s="7" t="e">
        <f>IF(OR(ISNA(MATCH($C83,FA,0)),$J83="YEDEK",$J83="SARF"),0,N(#REF!)*N(INDEX(F_TELM,MATCH($C83,FA,0))))</f>
        <v>#REF!</v>
      </c>
      <c r="AC83" s="7" t="e">
        <f t="shared" si="22"/>
        <v>#REF!</v>
      </c>
      <c r="AD83" s="7">
        <f>IF(OR(ISNA(MATCH($C83,FA,0)),$J83&lt;&gt;"CIKIS"),0,N(INDEX(F_KK,MATCH($C83,FA,0))))</f>
        <v>0</v>
      </c>
      <c r="AE83" s="7">
        <f>IF($AD83=0,0,N(#REF!)*N(INDEX(F_KLN,MATCH($C83,FA,0))))</f>
        <v>0</v>
      </c>
      <c r="AF83" s="7">
        <f>IF($AD83=0,0,N(#REF!)*N(INDEX(F_KPE,MATCH($C83,FA,0))))</f>
        <v>0</v>
      </c>
      <c r="AG83" s="7" t="e">
        <f>IF(ISNA(MATCH($C83,FA,0)),0,N(#REF!)*N(INDEX(F_MODUL,MATCH($C83,FA,0))))</f>
        <v>#REF!</v>
      </c>
      <c r="AH83" s="7" t="e">
        <f>N(#REF!)*N($I83)</f>
        <v>#REF!</v>
      </c>
      <c r="AI83" s="7" t="e">
        <f t="shared" si="23"/>
        <v>#REF!</v>
      </c>
      <c r="AJ83" s="7">
        <f t="shared" si="24"/>
        <v>0</v>
      </c>
    </row>
    <row r="84" spans="1:36" x14ac:dyDescent="0.25">
      <c r="A84" s="4" t="str">
        <f t="shared" si="18"/>
        <v>ВРУ-2 (Ввод + Секция 1 + Секция 2) (ВРУ1-14-20А)(ВРУ1-41-00А)(260922 akram aulet)</v>
      </c>
      <c r="B84" s="4" t="s">
        <v>51</v>
      </c>
      <c r="C84" s="4" t="s">
        <v>434</v>
      </c>
      <c r="D84" s="4" t="s">
        <v>435</v>
      </c>
      <c r="E84" s="4" t="s">
        <v>114</v>
      </c>
      <c r="F84" s="4" t="s">
        <v>377</v>
      </c>
      <c r="G84" s="4" t="s">
        <v>38</v>
      </c>
      <c r="H84" s="5" t="e">
        <f>#REF!</f>
        <v>#REF!</v>
      </c>
      <c r="I84" s="6" t="e">
        <f t="shared" si="19"/>
        <v>#REF!</v>
      </c>
      <c r="J84" s="6" t="s">
        <v>52</v>
      </c>
      <c r="K84" s="6" t="s">
        <v>51</v>
      </c>
      <c r="L84" s="7" t="e">
        <f t="shared" si="20"/>
        <v>#REF!</v>
      </c>
      <c r="M84" s="7" t="s">
        <v>139</v>
      </c>
      <c r="N84" s="7" t="s">
        <v>54</v>
      </c>
      <c r="O84" s="7" t="str">
        <f>IF(OR($C84="",$C84="FID YOK"),"",IF(ISNUMBER(MATCH($C84,FA_ANA,0)),"",IF(COUNTIF($C$1:$C83,$C84)&gt;0,"",MAX($O$1:$O83)+1)))</f>
        <v/>
      </c>
      <c r="P84" s="8">
        <v>1</v>
      </c>
      <c r="Q84" s="7" t="e">
        <f>IF(OR($P84="",$P84="G",ISNA(MATCH($C84,FA,0))),"",IF(N(INDEX(F_G,MATCH($C84,FA,0)))&gt;0,INDEX(F_G,MATCH($C84,FA,0)),IF(N(INDEX(F_MODUL,MATCH($C84,FA,0)))&gt;0,INDEX(F_MODUL,MATCH($C84,FA,0))*MODUL_MM,"")))</f>
        <v>#REF!</v>
      </c>
      <c r="R84" s="7" t="e">
        <f>IF(OR($P84="",$P84="G",ISNA(MATCH($C84,FA,0))),"",IF(N(INDEX(F_Y,MATCH($C84,FA,0)))&gt;0,INDEX(F_Y,MATCH($C84,FA,0)),""))</f>
        <v>#REF!</v>
      </c>
      <c r="S84" s="7" t="e">
        <f>IF(OR($P84="",$P84="G",ISNA(MATCH($C84,FA,0))),"",IF(N(INDEX(F_D,MATCH($C84,FA,0)))&gt;0,INDEX(F_D,MATCH($C84,FA,0)),""))</f>
        <v>#REF!</v>
      </c>
      <c r="T84" s="7">
        <f>IF(ISNA(MATCH($C84,FA,0)),0,IF($J84="GIRIS",N(INDEX(F_INKOR,MATCH($C84,FA,0))),0))</f>
        <v>0</v>
      </c>
      <c r="U84" s="7" t="e">
        <f t="shared" si="25"/>
        <v>#REF!</v>
      </c>
      <c r="V84" s="7" t="e">
        <f t="shared" si="26"/>
        <v>#REF!</v>
      </c>
      <c r="W84" s="7" t="e">
        <f>IF(OR(NOT(ISNUMBER($P84)),$Q84=""),"",N(#REF!)*($Q84+IF(ISNA(MATCH($B84,TIP_AD,0)),0,N(INDEX(TIP_BOSLUK,MATCH($B84,TIP_AD,0))))))</f>
        <v>#REF!</v>
      </c>
      <c r="X84" s="7" t="e">
        <f>IF(ISNUMBER($P84),($Q84="")+($R84="")+($V84="")+IF(AND($U84="KONTAKTOR",NOT(ISNA(MATCH($B84,TIP_AD,0)))),IF(INDEX(TIP_BOSLUK,MATCH($B84,TIP_AD,0))&amp;""="",1,0),0),IF($P84="K",IF($S84="",1,0),0))</f>
        <v>#REF!</v>
      </c>
      <c r="Y84" s="7" t="e">
        <f>N(#REF!)*IF($E84="упак",MAX(1,IF(ISNA(MATCH($C84,FA,0)),1,N(INDEX(F_PAKET,MATCH($C84,FA,0))))),1)</f>
        <v>#REF!</v>
      </c>
      <c r="Z84" s="7" t="e">
        <f t="shared" si="21"/>
        <v>#REF!</v>
      </c>
      <c r="AA84" s="7" t="e">
        <f>IF(OR(ISNA(MATCH($C84,FA,0)),$J84="YEDEK",$J84="SARF"),0,N(#REF!)*N(INDEX(F_TEL,MATCH($C84,FA,0))))</f>
        <v>#REF!</v>
      </c>
      <c r="AB84" s="7" t="e">
        <f>IF(OR(ISNA(MATCH($C84,FA,0)),$J84="YEDEK",$J84="SARF"),0,N(#REF!)*N(INDEX(F_TELM,MATCH($C84,FA,0))))</f>
        <v>#REF!</v>
      </c>
      <c r="AC84" s="7" t="e">
        <f t="shared" si="22"/>
        <v>#REF!</v>
      </c>
      <c r="AD84" s="7" t="e">
        <f>IF(OR(ISNA(MATCH($C84,FA,0)),$J84&lt;&gt;"CIKIS"),0,N(INDEX(F_KK,MATCH($C84,FA,0))))</f>
        <v>#REF!</v>
      </c>
      <c r="AE84" s="7" t="e">
        <f>IF($AD84=0,0,N(#REF!)*N(INDEX(F_KLN,MATCH($C84,FA,0))))</f>
        <v>#REF!</v>
      </c>
      <c r="AF84" s="7" t="e">
        <f>IF($AD84=0,0,N(#REF!)*N(INDEX(F_KPE,MATCH($C84,FA,0))))</f>
        <v>#REF!</v>
      </c>
      <c r="AG84" s="7" t="e">
        <f>IF(ISNA(MATCH($C84,FA,0)),0,N(#REF!)*N(INDEX(F_MODUL,MATCH($C84,FA,0))))</f>
        <v>#REF!</v>
      </c>
      <c r="AH84" s="7" t="e">
        <f>N(#REF!)*N($I84)</f>
        <v>#REF!</v>
      </c>
      <c r="AI84" s="7" t="e">
        <f t="shared" si="23"/>
        <v>#REF!</v>
      </c>
      <c r="AJ84" s="7">
        <f t="shared" si="24"/>
        <v>0</v>
      </c>
    </row>
    <row r="85" spans="1:36" x14ac:dyDescent="0.25">
      <c r="A85" s="4" t="str">
        <f t="shared" si="18"/>
        <v>ВРУ-2 (Ввод + Секция 1 + Секция 2) (ВРУ1-14-20А)(ВРУ1-41-00А)(260922 akram aulet)</v>
      </c>
      <c r="B85" s="4" t="s">
        <v>51</v>
      </c>
      <c r="C85" s="4" t="s">
        <v>432</v>
      </c>
      <c r="D85" s="4" t="s">
        <v>433</v>
      </c>
      <c r="E85" s="4" t="s">
        <v>114</v>
      </c>
      <c r="F85" s="4" t="s">
        <v>377</v>
      </c>
      <c r="G85" s="4" t="s">
        <v>38</v>
      </c>
      <c r="H85" s="5" t="e">
        <f>#REF!</f>
        <v>#REF!</v>
      </c>
      <c r="I85" s="6" t="e">
        <f t="shared" si="19"/>
        <v>#REF!</v>
      </c>
      <c r="J85" s="6" t="s">
        <v>52</v>
      </c>
      <c r="K85" s="6" t="s">
        <v>51</v>
      </c>
      <c r="L85" s="7" t="e">
        <f t="shared" si="20"/>
        <v>#REF!</v>
      </c>
      <c r="M85" s="7" t="s">
        <v>140</v>
      </c>
      <c r="N85" s="7" t="s">
        <v>58</v>
      </c>
      <c r="O85" s="7" t="str">
        <f>IF(OR($C85="",$C85="FID YOK"),"",IF(ISNUMBER(MATCH($C85,FA_ANA,0)),"",IF(COUNTIF($C$1:$C84,$C85)&gt;0,"",MAX($O$1:$O84)+1)))</f>
        <v/>
      </c>
      <c r="P85" s="8">
        <v>1</v>
      </c>
      <c r="Q85" s="7" t="e">
        <f>IF(OR($P85="",$P85="G",ISNA(MATCH($C85,FA,0))),"",IF(N(INDEX(F_G,MATCH($C85,FA,0)))&gt;0,INDEX(F_G,MATCH($C85,FA,0)),IF(N(INDEX(F_MODUL,MATCH($C85,FA,0)))&gt;0,INDEX(F_MODUL,MATCH($C85,FA,0))*MODUL_MM,"")))</f>
        <v>#REF!</v>
      </c>
      <c r="R85" s="7" t="e">
        <f>IF(OR($P85="",$P85="G",ISNA(MATCH($C85,FA,0))),"",IF(N(INDEX(F_Y,MATCH($C85,FA,0)))&gt;0,INDEX(F_Y,MATCH($C85,FA,0)),""))</f>
        <v>#REF!</v>
      </c>
      <c r="S85" s="7" t="e">
        <f>IF(OR($P85="",$P85="G",ISNA(MATCH($C85,FA,0))),"",IF(N(INDEX(F_D,MATCH($C85,FA,0)))&gt;0,INDEX(F_D,MATCH($C85,FA,0)),""))</f>
        <v>#REF!</v>
      </c>
      <c r="T85" s="7">
        <f>IF(ISNA(MATCH($C85,FA,0)),0,IF($J85="GIRIS",N(INDEX(F_INKOR,MATCH($C85,FA,0))),0))</f>
        <v>0</v>
      </c>
      <c r="U85" s="7" t="e">
        <f t="shared" si="25"/>
        <v>#REF!</v>
      </c>
      <c r="V85" s="7" t="e">
        <f t="shared" si="26"/>
        <v>#REF!</v>
      </c>
      <c r="W85" s="7" t="e">
        <f>IF(OR(NOT(ISNUMBER($P85)),$Q85=""),"",N(#REF!)*($Q85+IF(ISNA(MATCH($B85,TIP_AD,0)),0,N(INDEX(TIP_BOSLUK,MATCH($B85,TIP_AD,0))))))</f>
        <v>#REF!</v>
      </c>
      <c r="X85" s="7" t="e">
        <f>IF(ISNUMBER($P85),($Q85="")+($R85="")+($V85="")+IF(AND($U85="KONTAKTOR",NOT(ISNA(MATCH($B85,TIP_AD,0)))),IF(INDEX(TIP_BOSLUK,MATCH($B85,TIP_AD,0))&amp;""="",1,0),0),IF($P85="K",IF($S85="",1,0),0))</f>
        <v>#REF!</v>
      </c>
      <c r="Y85" s="7" t="e">
        <f>N(#REF!)*IF($E85="упак",MAX(1,IF(ISNA(MATCH($C85,FA,0)),1,N(INDEX(F_PAKET,MATCH($C85,FA,0))))),1)</f>
        <v>#REF!</v>
      </c>
      <c r="Z85" s="7" t="e">
        <f t="shared" si="21"/>
        <v>#REF!</v>
      </c>
      <c r="AA85" s="7" t="e">
        <f>IF(OR(ISNA(MATCH($C85,FA,0)),$J85="YEDEK",$J85="SARF"),0,N(#REF!)*N(INDEX(F_TEL,MATCH($C85,FA,0))))</f>
        <v>#REF!</v>
      </c>
      <c r="AB85" s="7" t="e">
        <f>IF(OR(ISNA(MATCH($C85,FA,0)),$J85="YEDEK",$J85="SARF"),0,N(#REF!)*N(INDEX(F_TELM,MATCH($C85,FA,0))))</f>
        <v>#REF!</v>
      </c>
      <c r="AC85" s="7" t="e">
        <f t="shared" si="22"/>
        <v>#REF!</v>
      </c>
      <c r="AD85" s="7" t="e">
        <f>IF(OR(ISNA(MATCH($C85,FA,0)),$J85&lt;&gt;"CIKIS"),0,N(INDEX(F_KK,MATCH($C85,FA,0))))</f>
        <v>#REF!</v>
      </c>
      <c r="AE85" s="7" t="e">
        <f>IF($AD85=0,0,N(#REF!)*N(INDEX(F_KLN,MATCH($C85,FA,0))))</f>
        <v>#REF!</v>
      </c>
      <c r="AF85" s="7" t="e">
        <f>IF($AD85=0,0,N(#REF!)*N(INDEX(F_KPE,MATCH($C85,FA,0))))</f>
        <v>#REF!</v>
      </c>
      <c r="AG85" s="7" t="e">
        <f>IF(ISNA(MATCH($C85,FA,0)),0,N(#REF!)*N(INDEX(F_MODUL,MATCH($C85,FA,0))))</f>
        <v>#REF!</v>
      </c>
      <c r="AH85" s="7" t="e">
        <f>N(#REF!)*N($I85)</f>
        <v>#REF!</v>
      </c>
      <c r="AI85" s="7" t="e">
        <f t="shared" si="23"/>
        <v>#REF!</v>
      </c>
      <c r="AJ85" s="7">
        <f t="shared" si="24"/>
        <v>0</v>
      </c>
    </row>
    <row r="86" spans="1:36" x14ac:dyDescent="0.25">
      <c r="A86" s="4" t="str">
        <f t="shared" si="18"/>
        <v>ВРУ-2 (Ввод + Секция 1 + Секция 2) (ВРУ1-14-20А)(ВРУ1-41-00А)(260922 akram aulet)</v>
      </c>
      <c r="B86" s="4" t="s">
        <v>51</v>
      </c>
      <c r="C86" s="4" t="s">
        <v>426</v>
      </c>
      <c r="D86" s="4" t="s">
        <v>427</v>
      </c>
      <c r="E86" s="4" t="s">
        <v>114</v>
      </c>
      <c r="F86" s="4" t="s">
        <v>377</v>
      </c>
      <c r="G86" s="4" t="s">
        <v>38</v>
      </c>
      <c r="H86" s="5" t="e">
        <f>#REF!</f>
        <v>#REF!</v>
      </c>
      <c r="I86" s="6" t="e">
        <f t="shared" si="19"/>
        <v>#REF!</v>
      </c>
      <c r="J86" s="6" t="s">
        <v>52</v>
      </c>
      <c r="K86" s="6" t="s">
        <v>51</v>
      </c>
      <c r="L86" s="7" t="e">
        <f t="shared" si="20"/>
        <v>#REF!</v>
      </c>
      <c r="M86" s="7" t="s">
        <v>141</v>
      </c>
      <c r="N86" s="7" t="s">
        <v>56</v>
      </c>
      <c r="O86" s="7" t="str">
        <f>IF(OR($C86="",$C86="FID YOK"),"",IF(ISNUMBER(MATCH($C86,FA_ANA,0)),"",IF(COUNTIF($C$1:$C85,$C86)&gt;0,"",MAX($O$1:$O85)+1)))</f>
        <v/>
      </c>
      <c r="P86" s="8">
        <v>1</v>
      </c>
      <c r="Q86" s="7" t="e">
        <f>IF(OR($P86="",$P86="G",ISNA(MATCH($C86,FA,0))),"",IF(N(INDEX(F_G,MATCH($C86,FA,0)))&gt;0,INDEX(F_G,MATCH($C86,FA,0)),IF(N(INDEX(F_MODUL,MATCH($C86,FA,0)))&gt;0,INDEX(F_MODUL,MATCH($C86,FA,0))*MODUL_MM,"")))</f>
        <v>#REF!</v>
      </c>
      <c r="R86" s="7" t="e">
        <f>IF(OR($P86="",$P86="G",ISNA(MATCH($C86,FA,0))),"",IF(N(INDEX(F_Y,MATCH($C86,FA,0)))&gt;0,INDEX(F_Y,MATCH($C86,FA,0)),""))</f>
        <v>#REF!</v>
      </c>
      <c r="S86" s="7" t="e">
        <f>IF(OR($P86="",$P86="G",ISNA(MATCH($C86,FA,0))),"",IF(N(INDEX(F_D,MATCH($C86,FA,0)))&gt;0,INDEX(F_D,MATCH($C86,FA,0)),""))</f>
        <v>#REF!</v>
      </c>
      <c r="T86" s="7">
        <f>IF(ISNA(MATCH($C86,FA,0)),0,IF($J86="GIRIS",N(INDEX(F_INKOR,MATCH($C86,FA,0))),0))</f>
        <v>0</v>
      </c>
      <c r="U86" s="7" t="e">
        <f t="shared" si="25"/>
        <v>#REF!</v>
      </c>
      <c r="V86" s="7" t="e">
        <f t="shared" si="26"/>
        <v>#REF!</v>
      </c>
      <c r="W86" s="7" t="e">
        <f>IF(OR(NOT(ISNUMBER($P86)),$Q86=""),"",N(#REF!)*($Q86+IF(ISNA(MATCH($B86,TIP_AD,0)),0,N(INDEX(TIP_BOSLUK,MATCH($B86,TIP_AD,0))))))</f>
        <v>#REF!</v>
      </c>
      <c r="X86" s="7" t="e">
        <f>IF(ISNUMBER($P86),($Q86="")+($R86="")+($V86="")+IF(AND($U86="KONTAKTOR",NOT(ISNA(MATCH($B86,TIP_AD,0)))),IF(INDEX(TIP_BOSLUK,MATCH($B86,TIP_AD,0))&amp;""="",1,0),0),IF($P86="K",IF($S86="",1,0),0))</f>
        <v>#REF!</v>
      </c>
      <c r="Y86" s="7" t="e">
        <f>N(#REF!)*IF($E86="упак",MAX(1,IF(ISNA(MATCH($C86,FA,0)),1,N(INDEX(F_PAKET,MATCH($C86,FA,0))))),1)</f>
        <v>#REF!</v>
      </c>
      <c r="Z86" s="7" t="e">
        <f t="shared" si="21"/>
        <v>#REF!</v>
      </c>
      <c r="AA86" s="7" t="e">
        <f>IF(OR(ISNA(MATCH($C86,FA,0)),$J86="YEDEK",$J86="SARF"),0,N(#REF!)*N(INDEX(F_TEL,MATCH($C86,FA,0))))</f>
        <v>#REF!</v>
      </c>
      <c r="AB86" s="7" t="e">
        <f>IF(OR(ISNA(MATCH($C86,FA,0)),$J86="YEDEK",$J86="SARF"),0,N(#REF!)*N(INDEX(F_TELM,MATCH($C86,FA,0))))</f>
        <v>#REF!</v>
      </c>
      <c r="AC86" s="7" t="e">
        <f t="shared" si="22"/>
        <v>#REF!</v>
      </c>
      <c r="AD86" s="7" t="e">
        <f>IF(OR(ISNA(MATCH($C86,FA,0)),$J86&lt;&gt;"CIKIS"),0,N(INDEX(F_KK,MATCH($C86,FA,0))))</f>
        <v>#REF!</v>
      </c>
      <c r="AE86" s="7" t="e">
        <f>IF($AD86=0,0,N(#REF!)*N(INDEX(F_KLN,MATCH($C86,FA,0))))</f>
        <v>#REF!</v>
      </c>
      <c r="AF86" s="7" t="e">
        <f>IF($AD86=0,0,N(#REF!)*N(INDEX(F_KPE,MATCH($C86,FA,0))))</f>
        <v>#REF!</v>
      </c>
      <c r="AG86" s="7" t="e">
        <f>IF(ISNA(MATCH($C86,FA,0)),0,N(#REF!)*N(INDEX(F_MODUL,MATCH($C86,FA,0))))</f>
        <v>#REF!</v>
      </c>
      <c r="AH86" s="7" t="e">
        <f>N(#REF!)*N($I86)</f>
        <v>#REF!</v>
      </c>
      <c r="AI86" s="7" t="e">
        <f t="shared" si="23"/>
        <v>#REF!</v>
      </c>
      <c r="AJ86" s="7">
        <f t="shared" si="24"/>
        <v>0</v>
      </c>
    </row>
    <row r="87" spans="1:36" x14ac:dyDescent="0.25">
      <c r="A87" s="4" t="str">
        <f t="shared" si="18"/>
        <v>ВРУ-2 (Ввод + Секция 1 + Секция 2) (ВРУ1-14-20А)(ВРУ1-41-00А)(260922 akram aulet)</v>
      </c>
      <c r="B87" s="4" t="s">
        <v>51</v>
      </c>
      <c r="C87" s="4" t="s">
        <v>430</v>
      </c>
      <c r="D87" s="4" t="s">
        <v>431</v>
      </c>
      <c r="E87" s="4" t="s">
        <v>114</v>
      </c>
      <c r="F87" s="4" t="s">
        <v>377</v>
      </c>
      <c r="G87" s="4" t="s">
        <v>38</v>
      </c>
      <c r="H87" s="5" t="e">
        <f>#REF!</f>
        <v>#REF!</v>
      </c>
      <c r="I87" s="6" t="e">
        <f t="shared" si="19"/>
        <v>#REF!</v>
      </c>
      <c r="J87" s="6" t="s">
        <v>52</v>
      </c>
      <c r="K87" s="6" t="s">
        <v>51</v>
      </c>
      <c r="L87" s="7" t="e">
        <f t="shared" si="20"/>
        <v>#REF!</v>
      </c>
      <c r="M87" s="7" t="s">
        <v>142</v>
      </c>
      <c r="N87" s="7" t="s">
        <v>143</v>
      </c>
      <c r="O87" s="7">
        <f>IF(OR($C87="",$C87="FID YOK"),"",IF(ISNUMBER(MATCH($C87,FA_ANA,0)),"",IF(COUNTIF($C$1:$C86,$C87)&gt;0,"",MAX($O$1:$O86)+1)))</f>
        <v>44</v>
      </c>
      <c r="P87" s="8">
        <v>1</v>
      </c>
      <c r="Q87" s="7" t="e">
        <f>IF(OR($P87="",$P87="G",ISNA(MATCH($C87,FA,0))),"",IF(N(INDEX(F_G,MATCH($C87,FA,0)))&gt;0,INDEX(F_G,MATCH($C87,FA,0)),IF(N(INDEX(F_MODUL,MATCH($C87,FA,0)))&gt;0,INDEX(F_MODUL,MATCH($C87,FA,0))*MODUL_MM,"")))</f>
        <v>#REF!</v>
      </c>
      <c r="R87" s="7" t="e">
        <f>IF(OR($P87="",$P87="G",ISNA(MATCH($C87,FA,0))),"",IF(N(INDEX(F_Y,MATCH($C87,FA,0)))&gt;0,INDEX(F_Y,MATCH($C87,FA,0)),""))</f>
        <v>#REF!</v>
      </c>
      <c r="S87" s="7" t="e">
        <f>IF(OR($P87="",$P87="G",ISNA(MATCH($C87,FA,0))),"",IF(N(INDEX(F_D,MATCH($C87,FA,0)))&gt;0,INDEX(F_D,MATCH($C87,FA,0)),""))</f>
        <v>#REF!</v>
      </c>
      <c r="T87" s="7">
        <f>IF(ISNA(MATCH($C87,FA,0)),0,IF($J87="GIRIS",N(INDEX(F_INKOR,MATCH($C87,FA,0))),0))</f>
        <v>0</v>
      </c>
      <c r="U87" s="7" t="e">
        <f t="shared" si="25"/>
        <v>#REF!</v>
      </c>
      <c r="V87" s="7" t="e">
        <f t="shared" si="26"/>
        <v>#REF!</v>
      </c>
      <c r="W87" s="7" t="e">
        <f>IF(OR(NOT(ISNUMBER($P87)),$Q87=""),"",N(#REF!)*($Q87+IF(ISNA(MATCH($B87,TIP_AD,0)),0,N(INDEX(TIP_BOSLUK,MATCH($B87,TIP_AD,0))))))</f>
        <v>#REF!</v>
      </c>
      <c r="X87" s="7" t="e">
        <f>IF(ISNUMBER($P87),($Q87="")+($R87="")+($V87="")+IF(AND($U87="KONTAKTOR",NOT(ISNA(MATCH($B87,TIP_AD,0)))),IF(INDEX(TIP_BOSLUK,MATCH($B87,TIP_AD,0))&amp;""="",1,0),0),IF($P87="K",IF($S87="",1,0),0))</f>
        <v>#REF!</v>
      </c>
      <c r="Y87" s="7" t="e">
        <f>N(#REF!)*IF($E87="упак",MAX(1,IF(ISNA(MATCH($C87,FA,0)),1,N(INDEX(F_PAKET,MATCH($C87,FA,0))))),1)</f>
        <v>#REF!</v>
      </c>
      <c r="Z87" s="7" t="e">
        <f t="shared" si="21"/>
        <v>#REF!</v>
      </c>
      <c r="AA87" s="7" t="e">
        <f>IF(OR(ISNA(MATCH($C87,FA,0)),$J87="YEDEK",$J87="SARF"),0,N(#REF!)*N(INDEX(F_TEL,MATCH($C87,FA,0))))</f>
        <v>#REF!</v>
      </c>
      <c r="AB87" s="7" t="e">
        <f>IF(OR(ISNA(MATCH($C87,FA,0)),$J87="YEDEK",$J87="SARF"),0,N(#REF!)*N(INDEX(F_TELM,MATCH($C87,FA,0))))</f>
        <v>#REF!</v>
      </c>
      <c r="AC87" s="7" t="e">
        <f t="shared" si="22"/>
        <v>#REF!</v>
      </c>
      <c r="AD87" s="7" t="e">
        <f>IF(OR(ISNA(MATCH($C87,FA,0)),$J87&lt;&gt;"CIKIS"),0,N(INDEX(F_KK,MATCH($C87,FA,0))))</f>
        <v>#REF!</v>
      </c>
      <c r="AE87" s="7" t="e">
        <f>IF($AD87=0,0,N(#REF!)*N(INDEX(F_KLN,MATCH($C87,FA,0))))</f>
        <v>#REF!</v>
      </c>
      <c r="AF87" s="7" t="e">
        <f>IF($AD87=0,0,N(#REF!)*N(INDEX(F_KPE,MATCH($C87,FA,0))))</f>
        <v>#REF!</v>
      </c>
      <c r="AG87" s="7" t="e">
        <f>IF(ISNA(MATCH($C87,FA,0)),0,N(#REF!)*N(INDEX(F_MODUL,MATCH($C87,FA,0))))</f>
        <v>#REF!</v>
      </c>
      <c r="AH87" s="7" t="e">
        <f>N(#REF!)*N($I87)</f>
        <v>#REF!</v>
      </c>
      <c r="AI87" s="7" t="e">
        <f t="shared" si="23"/>
        <v>#REF!</v>
      </c>
      <c r="AJ87" s="7">
        <f t="shared" si="24"/>
        <v>0</v>
      </c>
    </row>
    <row r="88" spans="1:36" x14ac:dyDescent="0.25">
      <c r="A88" s="4" t="str">
        <f t="shared" si="18"/>
        <v>ВРУ-2 (Ввод + Секция 1 + Секция 2) (ВРУ1-14-20А)(ВРУ1-41-00А)(260922 akram aulet)</v>
      </c>
      <c r="B88" s="4" t="s">
        <v>51</v>
      </c>
      <c r="C88" s="4" t="s">
        <v>420</v>
      </c>
      <c r="D88" s="4" t="s">
        <v>421</v>
      </c>
      <c r="E88" s="4" t="s">
        <v>114</v>
      </c>
      <c r="F88" s="4" t="s">
        <v>377</v>
      </c>
      <c r="G88" s="4" t="s">
        <v>38</v>
      </c>
      <c r="H88" s="5" t="e">
        <f>#REF!</f>
        <v>#REF!</v>
      </c>
      <c r="I88" s="6" t="e">
        <f t="shared" si="19"/>
        <v>#REF!</v>
      </c>
      <c r="J88" s="6" t="s">
        <v>52</v>
      </c>
      <c r="K88" s="6" t="s">
        <v>51</v>
      </c>
      <c r="L88" s="7" t="e">
        <f t="shared" si="20"/>
        <v>#REF!</v>
      </c>
      <c r="M88" s="7" t="s">
        <v>144</v>
      </c>
      <c r="N88" s="7" t="s">
        <v>60</v>
      </c>
      <c r="O88" s="7" t="str">
        <f>IF(OR($C88="",$C88="FID YOK"),"",IF(ISNUMBER(MATCH($C88,FA_ANA,0)),"",IF(COUNTIF($C$1:$C87,$C88)&gt;0,"",MAX($O$1:$O87)+1)))</f>
        <v/>
      </c>
      <c r="P88" s="8">
        <v>1</v>
      </c>
      <c r="Q88" s="7" t="e">
        <f>IF(OR($P88="",$P88="G",ISNA(MATCH($C88,FA,0))),"",IF(N(INDEX(F_G,MATCH($C88,FA,0)))&gt;0,INDEX(F_G,MATCH($C88,FA,0)),IF(N(INDEX(F_MODUL,MATCH($C88,FA,0)))&gt;0,INDEX(F_MODUL,MATCH($C88,FA,0))*MODUL_MM,"")))</f>
        <v>#REF!</v>
      </c>
      <c r="R88" s="7" t="e">
        <f>IF(OR($P88="",$P88="G",ISNA(MATCH($C88,FA,0))),"",IF(N(INDEX(F_Y,MATCH($C88,FA,0)))&gt;0,INDEX(F_Y,MATCH($C88,FA,0)),""))</f>
        <v>#REF!</v>
      </c>
      <c r="S88" s="7" t="e">
        <f>IF(OR($P88="",$P88="G",ISNA(MATCH($C88,FA,0))),"",IF(N(INDEX(F_D,MATCH($C88,FA,0)))&gt;0,INDEX(F_D,MATCH($C88,FA,0)),""))</f>
        <v>#REF!</v>
      </c>
      <c r="T88" s="7">
        <f>IF(ISNA(MATCH($C88,FA,0)),0,IF($J88="GIRIS",N(INDEX(F_INKOR,MATCH($C88,FA,0))),0))</f>
        <v>0</v>
      </c>
      <c r="U88" s="7" t="e">
        <f t="shared" si="25"/>
        <v>#REF!</v>
      </c>
      <c r="V88" s="7" t="e">
        <f t="shared" si="26"/>
        <v>#REF!</v>
      </c>
      <c r="W88" s="7" t="e">
        <f>IF(OR(NOT(ISNUMBER($P88)),$Q88=""),"",N(#REF!)*($Q88+IF(ISNA(MATCH($B88,TIP_AD,0)),0,N(INDEX(TIP_BOSLUK,MATCH($B88,TIP_AD,0))))))</f>
        <v>#REF!</v>
      </c>
      <c r="X88" s="7" t="e">
        <f>IF(ISNUMBER($P88),($Q88="")+($R88="")+($V88="")+IF(AND($U88="KONTAKTOR",NOT(ISNA(MATCH($B88,TIP_AD,0)))),IF(INDEX(TIP_BOSLUK,MATCH($B88,TIP_AD,0))&amp;""="",1,0),0),IF($P88="K",IF($S88="",1,0),0))</f>
        <v>#REF!</v>
      </c>
      <c r="Y88" s="7" t="e">
        <f>N(#REF!)*IF($E88="упак",MAX(1,IF(ISNA(MATCH($C88,FA,0)),1,N(INDEX(F_PAKET,MATCH($C88,FA,0))))),1)</f>
        <v>#REF!</v>
      </c>
      <c r="Z88" s="7" t="e">
        <f t="shared" si="21"/>
        <v>#REF!</v>
      </c>
      <c r="AA88" s="7" t="e">
        <f>IF(OR(ISNA(MATCH($C88,FA,0)),$J88="YEDEK",$J88="SARF"),0,N(#REF!)*N(INDEX(F_TEL,MATCH($C88,FA,0))))</f>
        <v>#REF!</v>
      </c>
      <c r="AB88" s="7" t="e">
        <f>IF(OR(ISNA(MATCH($C88,FA,0)),$J88="YEDEK",$J88="SARF"),0,N(#REF!)*N(INDEX(F_TELM,MATCH($C88,FA,0))))</f>
        <v>#REF!</v>
      </c>
      <c r="AC88" s="7" t="e">
        <f t="shared" si="22"/>
        <v>#REF!</v>
      </c>
      <c r="AD88" s="7" t="e">
        <f>IF(OR(ISNA(MATCH($C88,FA,0)),$J88&lt;&gt;"CIKIS"),0,N(INDEX(F_KK,MATCH($C88,FA,0))))</f>
        <v>#REF!</v>
      </c>
      <c r="AE88" s="7" t="e">
        <f>IF($AD88=0,0,N(#REF!)*N(INDEX(F_KLN,MATCH($C88,FA,0))))</f>
        <v>#REF!</v>
      </c>
      <c r="AF88" s="7" t="e">
        <f>IF($AD88=0,0,N(#REF!)*N(INDEX(F_KPE,MATCH($C88,FA,0))))</f>
        <v>#REF!</v>
      </c>
      <c r="AG88" s="7" t="e">
        <f>IF(ISNA(MATCH($C88,FA,0)),0,N(#REF!)*N(INDEX(F_MODUL,MATCH($C88,FA,0))))</f>
        <v>#REF!</v>
      </c>
      <c r="AH88" s="7" t="e">
        <f>N(#REF!)*N($I88)</f>
        <v>#REF!</v>
      </c>
      <c r="AI88" s="7" t="e">
        <f t="shared" si="23"/>
        <v>#REF!</v>
      </c>
      <c r="AJ88" s="7">
        <f t="shared" si="24"/>
        <v>0</v>
      </c>
    </row>
    <row r="89" spans="1:36" x14ac:dyDescent="0.25">
      <c r="A89" s="4" t="str">
        <f t="shared" si="18"/>
        <v>ВРУ-2 (Ввод + Секция 1 + Секция 2) (ВРУ1-14-20А)(ВРУ1-41-00А)(260922 akram aulet)</v>
      </c>
      <c r="B89" s="4" t="s">
        <v>61</v>
      </c>
      <c r="C89" s="4" t="s">
        <v>606</v>
      </c>
      <c r="D89" s="4" t="s">
        <v>607</v>
      </c>
      <c r="E89" s="4" t="s">
        <v>114</v>
      </c>
      <c r="F89" s="4" t="s">
        <v>479</v>
      </c>
      <c r="G89" s="4" t="s">
        <v>38</v>
      </c>
      <c r="H89" s="5" t="e">
        <f>#REF!</f>
        <v>#REF!</v>
      </c>
      <c r="I89" s="6" t="e">
        <f t="shared" si="19"/>
        <v>#REF!</v>
      </c>
      <c r="J89" s="6" t="s">
        <v>62</v>
      </c>
      <c r="K89" s="6" t="s">
        <v>61</v>
      </c>
      <c r="L89" s="7" t="e">
        <f t="shared" si="20"/>
        <v>#REF!</v>
      </c>
      <c r="N89" s="7" t="s">
        <v>64</v>
      </c>
      <c r="O89" s="7" t="str">
        <f>IF(OR($C89="",$C89="FID YOK"),"",IF(ISNUMBER(MATCH($C89,FA_ANA,0)),"",IF(COUNTIF($C$1:$C88,$C89)&gt;0,"",MAX($O$1:$O88)+1)))</f>
        <v/>
      </c>
      <c r="P89" s="8">
        <v>4</v>
      </c>
      <c r="Q89" s="7" t="e">
        <f>IF(OR($P89="",$P89="G",ISNA(MATCH($C89,FA,0))),"",IF(N(INDEX(F_G,MATCH($C89,FA,0)))&gt;0,INDEX(F_G,MATCH($C89,FA,0)),IF(N(INDEX(F_MODUL,MATCH($C89,FA,0)))&gt;0,INDEX(F_MODUL,MATCH($C89,FA,0))*MODUL_MM,"")))</f>
        <v>#REF!</v>
      </c>
      <c r="R89" s="7" t="e">
        <f>IF(OR($P89="",$P89="G",ISNA(MATCH($C89,FA,0))),"",IF(N(INDEX(F_Y,MATCH($C89,FA,0)))&gt;0,INDEX(F_Y,MATCH($C89,FA,0)),""))</f>
        <v>#REF!</v>
      </c>
      <c r="S89" s="7" t="e">
        <f>IF(OR($P89="",$P89="G",ISNA(MATCH($C89,FA,0))),"",IF(N(INDEX(F_D,MATCH($C89,FA,0)))&gt;0,INDEX(F_D,MATCH($C89,FA,0)),""))</f>
        <v>#REF!</v>
      </c>
      <c r="T89" s="7">
        <f>IF(ISNA(MATCH($C89,FA,0)),0,IF($J89="GIRIS",N(INDEX(F_INKOR,MATCH($C89,FA,0))),0))</f>
        <v>0</v>
      </c>
      <c r="U89" s="7" t="e">
        <f t="shared" si="25"/>
        <v>#REF!</v>
      </c>
      <c r="V89" s="7" t="e">
        <f t="shared" si="26"/>
        <v>#REF!</v>
      </c>
      <c r="W89" s="7" t="e">
        <f>IF(OR(NOT(ISNUMBER($P89)),$Q89=""),"",N(#REF!)*($Q89+IF(ISNA(MATCH($B89,TIP_AD,0)),0,N(INDEX(TIP_BOSLUK,MATCH($B89,TIP_AD,0))))))</f>
        <v>#REF!</v>
      </c>
      <c r="X89" s="7" t="e">
        <f>IF(ISNUMBER($P89),($Q89="")+($R89="")+($V89="")+IF(AND($U89="KONTAKTOR",NOT(ISNA(MATCH($B89,TIP_AD,0)))),IF(INDEX(TIP_BOSLUK,MATCH($B89,TIP_AD,0))&amp;""="",1,0),0),IF($P89="K",IF($S89="",1,0),0))</f>
        <v>#REF!</v>
      </c>
      <c r="Y89" s="7" t="e">
        <f>N(#REF!)*IF($E89="упак",MAX(1,IF(ISNA(MATCH($C89,FA,0)),1,N(INDEX(F_PAKET,MATCH($C89,FA,0))))),1)</f>
        <v>#REF!</v>
      </c>
      <c r="Z89" s="7" t="e">
        <f t="shared" si="21"/>
        <v>#REF!</v>
      </c>
      <c r="AA89" s="7" t="e">
        <f>IF(OR(ISNA(MATCH($C89,FA,0)),$J89="YEDEK",$J89="SARF"),0,N(#REF!)*N(INDEX(F_TEL,MATCH($C89,FA,0))))</f>
        <v>#REF!</v>
      </c>
      <c r="AB89" s="7" t="e">
        <f>IF(OR(ISNA(MATCH($C89,FA,0)),$J89="YEDEK",$J89="SARF"),0,N(#REF!)*N(INDEX(F_TELM,MATCH($C89,FA,0))))</f>
        <v>#REF!</v>
      </c>
      <c r="AC89" s="7" t="e">
        <f t="shared" si="22"/>
        <v>#REF!</v>
      </c>
      <c r="AD89" s="7">
        <f>IF(OR(ISNA(MATCH($C89,FA,0)),$J89&lt;&gt;"CIKIS"),0,N(INDEX(F_KK,MATCH($C89,FA,0))))</f>
        <v>0</v>
      </c>
      <c r="AE89" s="7">
        <f>IF($AD89=0,0,N(#REF!)*N(INDEX(F_KLN,MATCH($C89,FA,0))))</f>
        <v>0</v>
      </c>
      <c r="AF89" s="7">
        <f>IF($AD89=0,0,N(#REF!)*N(INDEX(F_KPE,MATCH($C89,FA,0))))</f>
        <v>0</v>
      </c>
      <c r="AG89" s="7" t="e">
        <f>IF(ISNA(MATCH($C89,FA,0)),0,N(#REF!)*N(INDEX(F_MODUL,MATCH($C89,FA,0))))</f>
        <v>#REF!</v>
      </c>
      <c r="AH89" s="7" t="e">
        <f>N(#REF!)*N($I89)</f>
        <v>#REF!</v>
      </c>
      <c r="AI89" s="7" t="e">
        <f t="shared" si="23"/>
        <v>#REF!</v>
      </c>
      <c r="AJ89" s="7">
        <f t="shared" si="24"/>
        <v>0</v>
      </c>
    </row>
    <row r="90" spans="1:36" x14ac:dyDescent="0.25">
      <c r="A90" s="4" t="str">
        <f t="shared" si="18"/>
        <v>ВРУ-2 (Ввод + Секция 1 + Секция 2) (ВРУ1-14-20А)(ВРУ1-41-00А)(260922 akram aulet)</v>
      </c>
      <c r="B90" s="4" t="s">
        <v>65</v>
      </c>
      <c r="C90" s="4" t="s">
        <v>392</v>
      </c>
      <c r="D90" s="4" t="s">
        <v>393</v>
      </c>
      <c r="E90" s="4" t="s">
        <v>114</v>
      </c>
      <c r="F90" s="4" t="s">
        <v>377</v>
      </c>
      <c r="G90" s="4" t="s">
        <v>38</v>
      </c>
      <c r="H90" s="5" t="e">
        <f>#REF!</f>
        <v>#REF!</v>
      </c>
      <c r="I90" s="6" t="e">
        <f t="shared" si="19"/>
        <v>#REF!</v>
      </c>
      <c r="J90" s="6" t="s">
        <v>66</v>
      </c>
      <c r="K90" s="6" t="s">
        <v>65</v>
      </c>
      <c r="L90" s="7" t="e">
        <f t="shared" si="20"/>
        <v>#REF!</v>
      </c>
      <c r="M90" s="7" t="s">
        <v>67</v>
      </c>
      <c r="N90" s="7" t="s">
        <v>68</v>
      </c>
      <c r="O90" s="7" t="str">
        <f>IF(OR($C90="",$C90="FID YOK"),"",IF(ISNUMBER(MATCH($C90,FA_ANA,0)),"",IF(COUNTIF($C$1:$C89,$C90)&gt;0,"",MAX($O$1:$O89)+1)))</f>
        <v/>
      </c>
      <c r="P90" s="8">
        <v>4</v>
      </c>
      <c r="Q90" s="7" t="e">
        <f>IF(OR($P90="",$P90="G",ISNA(MATCH($C90,FA,0))),"",IF(N(INDEX(F_G,MATCH($C90,FA,0)))&gt;0,INDEX(F_G,MATCH($C90,FA,0)),IF(N(INDEX(F_MODUL,MATCH($C90,FA,0)))&gt;0,INDEX(F_MODUL,MATCH($C90,FA,0))*MODUL_MM,"")))</f>
        <v>#REF!</v>
      </c>
      <c r="R90" s="7" t="e">
        <f>IF(OR($P90="",$P90="G",ISNA(MATCH($C90,FA,0))),"",IF(N(INDEX(F_Y,MATCH($C90,FA,0)))&gt;0,INDEX(F_Y,MATCH($C90,FA,0)),""))</f>
        <v>#REF!</v>
      </c>
      <c r="S90" s="7" t="e">
        <f>IF(OR($P90="",$P90="G",ISNA(MATCH($C90,FA,0))),"",IF(N(INDEX(F_D,MATCH($C90,FA,0)))&gt;0,INDEX(F_D,MATCH($C90,FA,0)),""))</f>
        <v>#REF!</v>
      </c>
      <c r="T90" s="7">
        <f>IF(ISNA(MATCH($C90,FA,0)),0,IF($J90="GIRIS",N(INDEX(F_INKOR,MATCH($C90,FA,0))),0))</f>
        <v>0</v>
      </c>
      <c r="U90" s="7" t="e">
        <f t="shared" si="25"/>
        <v>#REF!</v>
      </c>
      <c r="V90" s="7" t="e">
        <f t="shared" si="26"/>
        <v>#REF!</v>
      </c>
      <c r="W90" s="7" t="e">
        <f>IF(OR(NOT(ISNUMBER($P90)),$Q90=""),"",N(#REF!)*($Q90+IF(ISNA(MATCH($B90,TIP_AD,0)),0,N(INDEX(TIP_BOSLUK,MATCH($B90,TIP_AD,0))))))</f>
        <v>#REF!</v>
      </c>
      <c r="X90" s="7" t="e">
        <f>IF(ISNUMBER($P90),($Q90="")+($R90="")+($V90="")+IF(AND($U90="KONTAKTOR",NOT(ISNA(MATCH($B90,TIP_AD,0)))),IF(INDEX(TIP_BOSLUK,MATCH($B90,TIP_AD,0))&amp;""="",1,0),0),IF($P90="K",IF($S90="",1,0),0))</f>
        <v>#REF!</v>
      </c>
      <c r="Y90" s="7" t="e">
        <f>N(#REF!)*IF($E90="упак",MAX(1,IF(ISNA(MATCH($C90,FA,0)),1,N(INDEX(F_PAKET,MATCH($C90,FA,0))))),1)</f>
        <v>#REF!</v>
      </c>
      <c r="Z90" s="7" t="e">
        <f t="shared" si="21"/>
        <v>#REF!</v>
      </c>
      <c r="AA90" s="7" t="e">
        <f>IF(OR(ISNA(MATCH($C90,FA,0)),$J90="YEDEK",$J90="SARF"),0,N(#REF!)*N(INDEX(F_TEL,MATCH($C90,FA,0))))</f>
        <v>#REF!</v>
      </c>
      <c r="AB90" s="7" t="e">
        <f>IF(OR(ISNA(MATCH($C90,FA,0)),$J90="YEDEK",$J90="SARF"),0,N(#REF!)*N(INDEX(F_TELM,MATCH($C90,FA,0))))</f>
        <v>#REF!</v>
      </c>
      <c r="AC90" s="7" t="e">
        <f t="shared" si="22"/>
        <v>#REF!</v>
      </c>
      <c r="AD90" s="7">
        <f>IF(OR(ISNA(MATCH($C90,FA,0)),$J90&lt;&gt;"CIKIS"),0,N(INDEX(F_KK,MATCH($C90,FA,0))))</f>
        <v>0</v>
      </c>
      <c r="AE90" s="7">
        <f>IF($AD90=0,0,N(#REF!)*N(INDEX(F_KLN,MATCH($C90,FA,0))))</f>
        <v>0</v>
      </c>
      <c r="AF90" s="7">
        <f>IF($AD90=0,0,N(#REF!)*N(INDEX(F_KPE,MATCH($C90,FA,0))))</f>
        <v>0</v>
      </c>
      <c r="AG90" s="7" t="e">
        <f>IF(ISNA(MATCH($C90,FA,0)),0,N(#REF!)*N(INDEX(F_MODUL,MATCH($C90,FA,0))))</f>
        <v>#REF!</v>
      </c>
      <c r="AH90" s="7" t="e">
        <f>N(#REF!)*N($I90)</f>
        <v>#REF!</v>
      </c>
      <c r="AI90" s="7" t="e">
        <f t="shared" si="23"/>
        <v>#REF!</v>
      </c>
      <c r="AJ90" s="7">
        <f t="shared" si="24"/>
        <v>0</v>
      </c>
    </row>
    <row r="91" spans="1:36" x14ac:dyDescent="0.25">
      <c r="A91" s="4" t="str">
        <f t="shared" si="18"/>
        <v>ВРУ-2 (Ввод + Секция 1 + Секция 2) (ВРУ1-14-20А)(ВРУ1-41-00А)(260922 akram aulet)</v>
      </c>
      <c r="B91" s="4" t="s">
        <v>69</v>
      </c>
      <c r="C91" s="4" t="s">
        <v>455</v>
      </c>
      <c r="D91" s="4" t="s">
        <v>456</v>
      </c>
      <c r="E91" s="4" t="s">
        <v>114</v>
      </c>
      <c r="F91" s="4" t="s">
        <v>377</v>
      </c>
      <c r="G91" s="4" t="s">
        <v>38</v>
      </c>
      <c r="H91" s="5" t="e">
        <f>#REF!</f>
        <v>#REF!</v>
      </c>
      <c r="I91" s="6" t="e">
        <f t="shared" si="19"/>
        <v>#REF!</v>
      </c>
      <c r="J91" s="6" t="s">
        <v>52</v>
      </c>
      <c r="K91" s="6" t="s">
        <v>69</v>
      </c>
      <c r="L91" s="7" t="e">
        <f t="shared" si="20"/>
        <v>#REF!</v>
      </c>
      <c r="M91" s="7" t="s">
        <v>145</v>
      </c>
      <c r="N91" s="7" t="s">
        <v>71</v>
      </c>
      <c r="O91" s="7" t="str">
        <f>IF(OR($C91="",$C91="FID YOK"),"",IF(ISNUMBER(MATCH($C91,FA_ANA,0)),"",IF(COUNTIF($C$1:$C90,$C91)&gt;0,"",MAX($O$1:$O90)+1)))</f>
        <v/>
      </c>
      <c r="P91" s="8">
        <v>6</v>
      </c>
      <c r="Q91" s="7" t="e">
        <f>IF(OR($P91="",$P91="G",ISNA(MATCH($C91,FA,0))),"",IF(N(INDEX(F_G,MATCH($C91,FA,0)))&gt;0,INDEX(F_G,MATCH($C91,FA,0)),IF(N(INDEX(F_MODUL,MATCH($C91,FA,0)))&gt;0,INDEX(F_MODUL,MATCH($C91,FA,0))*MODUL_MM,"")))</f>
        <v>#REF!</v>
      </c>
      <c r="R91" s="7" t="e">
        <f>IF(OR($P91="",$P91="G",ISNA(MATCH($C91,FA,0))),"",IF(N(INDEX(F_Y,MATCH($C91,FA,0)))&gt;0,INDEX(F_Y,MATCH($C91,FA,0)),""))</f>
        <v>#REF!</v>
      </c>
      <c r="S91" s="7" t="e">
        <f>IF(OR($P91="",$P91="G",ISNA(MATCH($C91,FA,0))),"",IF(N(INDEX(F_D,MATCH($C91,FA,0)))&gt;0,INDEX(F_D,MATCH($C91,FA,0)),""))</f>
        <v>#REF!</v>
      </c>
      <c r="T91" s="7">
        <f>IF(ISNA(MATCH($C91,FA,0)),0,IF($J91="GIRIS",N(INDEX(F_INKOR,MATCH($C91,FA,0))),0))</f>
        <v>0</v>
      </c>
      <c r="U91" s="7" t="e">
        <f t="shared" si="25"/>
        <v>#REF!</v>
      </c>
      <c r="V91" s="7" t="e">
        <f t="shared" si="26"/>
        <v>#REF!</v>
      </c>
      <c r="W91" s="7" t="e">
        <f>IF(OR(NOT(ISNUMBER($P91)),$Q91=""),"",N(#REF!)*($Q91+IF(ISNA(MATCH($B91,TIP_AD,0)),0,N(INDEX(TIP_BOSLUK,MATCH($B91,TIP_AD,0))))))</f>
        <v>#REF!</v>
      </c>
      <c r="X91" s="7" t="e">
        <f>IF(ISNUMBER($P91),($Q91="")+($R91="")+($V91="")+IF(AND($U91="KONTAKTOR",NOT(ISNA(MATCH($B91,TIP_AD,0)))),IF(INDEX(TIP_BOSLUK,MATCH($B91,TIP_AD,0))&amp;""="",1,0),0),IF($P91="K",IF($S91="",1,0),0))</f>
        <v>#REF!</v>
      </c>
      <c r="Y91" s="7" t="e">
        <f>N(#REF!)*IF($E91="упак",MAX(1,IF(ISNA(MATCH($C91,FA,0)),1,N(INDEX(F_PAKET,MATCH($C91,FA,0))))),1)</f>
        <v>#REF!</v>
      </c>
      <c r="Z91" s="7" t="e">
        <f t="shared" si="21"/>
        <v>#REF!</v>
      </c>
      <c r="AA91" s="7" t="e">
        <f>IF(OR(ISNA(MATCH($C91,FA,0)),$J91="YEDEK",$J91="SARF"),0,N(#REF!)*N(INDEX(F_TEL,MATCH($C91,FA,0))))</f>
        <v>#REF!</v>
      </c>
      <c r="AB91" s="7" t="e">
        <f>IF(OR(ISNA(MATCH($C91,FA,0)),$J91="YEDEK",$J91="SARF"),0,N(#REF!)*N(INDEX(F_TELM,MATCH($C91,FA,0))))</f>
        <v>#REF!</v>
      </c>
      <c r="AC91" s="7" t="e">
        <f t="shared" si="22"/>
        <v>#REF!</v>
      </c>
      <c r="AD91" s="7" t="e">
        <f>IF(OR(ISNA(MATCH($C91,FA,0)),$J91&lt;&gt;"CIKIS"),0,N(INDEX(F_KK,MATCH($C91,FA,0))))</f>
        <v>#REF!</v>
      </c>
      <c r="AE91" s="7" t="e">
        <f>IF($AD91=0,0,N(#REF!)*N(INDEX(F_KLN,MATCH($C91,FA,0))))</f>
        <v>#REF!</v>
      </c>
      <c r="AF91" s="7" t="e">
        <f>IF($AD91=0,0,N(#REF!)*N(INDEX(F_KPE,MATCH($C91,FA,0))))</f>
        <v>#REF!</v>
      </c>
      <c r="AG91" s="7" t="e">
        <f>IF(ISNA(MATCH($C91,FA,0)),0,N(#REF!)*N(INDEX(F_MODUL,MATCH($C91,FA,0))))</f>
        <v>#REF!</v>
      </c>
      <c r="AH91" s="7" t="e">
        <f>N(#REF!)*N($I91)</f>
        <v>#REF!</v>
      </c>
      <c r="AI91" s="7" t="e">
        <f t="shared" si="23"/>
        <v>#REF!</v>
      </c>
      <c r="AJ91" s="7">
        <f t="shared" si="24"/>
        <v>0</v>
      </c>
    </row>
    <row r="92" spans="1:36" x14ac:dyDescent="0.25">
      <c r="A92" s="4" t="str">
        <f t="shared" si="18"/>
        <v>ВРУ-2 (Ввод + Секция 1 + Секция 2) (ВРУ1-14-20А)(ВРУ1-41-00А)(260922 akram aulet)</v>
      </c>
      <c r="B92" s="4" t="s">
        <v>72</v>
      </c>
      <c r="C92" s="4" t="s">
        <v>463</v>
      </c>
      <c r="D92" s="4" t="s">
        <v>464</v>
      </c>
      <c r="E92" s="4" t="s">
        <v>114</v>
      </c>
      <c r="F92" s="4" t="s">
        <v>377</v>
      </c>
      <c r="G92" s="4" t="s">
        <v>38</v>
      </c>
      <c r="H92" s="5" t="e">
        <f>#REF!</f>
        <v>#REF!</v>
      </c>
      <c r="I92" s="6" t="e">
        <f t="shared" si="19"/>
        <v>#REF!</v>
      </c>
      <c r="J92" s="6" t="s">
        <v>66</v>
      </c>
      <c r="K92" s="6" t="s">
        <v>65</v>
      </c>
      <c r="L92" s="7" t="e">
        <f t="shared" si="20"/>
        <v>#REF!</v>
      </c>
      <c r="N92" s="7" t="s">
        <v>74</v>
      </c>
      <c r="O92" s="7" t="str">
        <f>IF(OR($C92="",$C92="FID YOK"),"",IF(ISNUMBER(MATCH($C92,FA_ANA,0)),"",IF(COUNTIF($C$1:$C91,$C92)&gt;0,"",MAX($O$1:$O91)+1)))</f>
        <v/>
      </c>
      <c r="P92" s="8">
        <v>5</v>
      </c>
      <c r="Q92" s="7" t="e">
        <f>IF(OR($P92="",$P92="G",ISNA(MATCH($C92,FA,0))),"",IF(N(INDEX(F_G,MATCH($C92,FA,0)))&gt;0,INDEX(F_G,MATCH($C92,FA,0)),IF(N(INDEX(F_MODUL,MATCH($C92,FA,0)))&gt;0,INDEX(F_MODUL,MATCH($C92,FA,0))*MODUL_MM,"")))</f>
        <v>#REF!</v>
      </c>
      <c r="R92" s="7" t="e">
        <f>IF(OR($P92="",$P92="G",ISNA(MATCH($C92,FA,0))),"",IF(N(INDEX(F_Y,MATCH($C92,FA,0)))&gt;0,INDEX(F_Y,MATCH($C92,FA,0)),""))</f>
        <v>#REF!</v>
      </c>
      <c r="S92" s="7" t="e">
        <f>IF(OR($P92="",$P92="G",ISNA(MATCH($C92,FA,0))),"",IF(N(INDEX(F_D,MATCH($C92,FA,0)))&gt;0,INDEX(F_D,MATCH($C92,FA,0)),""))</f>
        <v>#REF!</v>
      </c>
      <c r="T92" s="7">
        <f>IF(ISNA(MATCH($C92,FA,0)),0,IF($J92="GIRIS",N(INDEX(F_INKOR,MATCH($C92,FA,0))),0))</f>
        <v>0</v>
      </c>
      <c r="U92" s="7" t="e">
        <f t="shared" si="25"/>
        <v>#REF!</v>
      </c>
      <c r="V92" s="7" t="e">
        <f t="shared" si="26"/>
        <v>#REF!</v>
      </c>
      <c r="W92" s="7" t="e">
        <f>IF(OR(NOT(ISNUMBER($P92)),$Q92=""),"",N(#REF!)*($Q92+IF(ISNA(MATCH($B92,TIP_AD,0)),0,N(INDEX(TIP_BOSLUK,MATCH($B92,TIP_AD,0))))))</f>
        <v>#REF!</v>
      </c>
      <c r="X92" s="7" t="e">
        <f>IF(ISNUMBER($P92),($Q92="")+($R92="")+($V92="")+IF(AND($U92="KONTAKTOR",NOT(ISNA(MATCH($B92,TIP_AD,0)))),IF(INDEX(TIP_BOSLUK,MATCH($B92,TIP_AD,0))&amp;""="",1,0),0),IF($P92="K",IF($S92="",1,0),0))</f>
        <v>#REF!</v>
      </c>
      <c r="Y92" s="7" t="e">
        <f>N(#REF!)*IF($E92="упак",MAX(1,IF(ISNA(MATCH($C92,FA,0)),1,N(INDEX(F_PAKET,MATCH($C92,FA,0))))),1)</f>
        <v>#REF!</v>
      </c>
      <c r="Z92" s="7" t="e">
        <f t="shared" si="21"/>
        <v>#REF!</v>
      </c>
      <c r="AA92" s="7" t="e">
        <f>IF(OR(ISNA(MATCH($C92,FA,0)),$J92="YEDEK",$J92="SARF"),0,N(#REF!)*N(INDEX(F_TEL,MATCH($C92,FA,0))))</f>
        <v>#REF!</v>
      </c>
      <c r="AB92" s="7" t="e">
        <f>IF(OR(ISNA(MATCH($C92,FA,0)),$J92="YEDEK",$J92="SARF"),0,N(#REF!)*N(INDEX(F_TELM,MATCH($C92,FA,0))))</f>
        <v>#REF!</v>
      </c>
      <c r="AC92" s="7" t="e">
        <f t="shared" si="22"/>
        <v>#REF!</v>
      </c>
      <c r="AD92" s="7">
        <f>IF(OR(ISNA(MATCH($C92,FA,0)),$J92&lt;&gt;"CIKIS"),0,N(INDEX(F_KK,MATCH($C92,FA,0))))</f>
        <v>0</v>
      </c>
      <c r="AE92" s="7">
        <f>IF($AD92=0,0,N(#REF!)*N(INDEX(F_KLN,MATCH($C92,FA,0))))</f>
        <v>0</v>
      </c>
      <c r="AF92" s="7">
        <f>IF($AD92=0,0,N(#REF!)*N(INDEX(F_KPE,MATCH($C92,FA,0))))</f>
        <v>0</v>
      </c>
      <c r="AG92" s="7" t="e">
        <f>IF(ISNA(MATCH($C92,FA,0)),0,N(#REF!)*N(INDEX(F_MODUL,MATCH($C92,FA,0))))</f>
        <v>#REF!</v>
      </c>
      <c r="AH92" s="7" t="e">
        <f>N(#REF!)*N($I92)</f>
        <v>#REF!</v>
      </c>
      <c r="AI92" s="7" t="e">
        <f t="shared" si="23"/>
        <v>#REF!</v>
      </c>
      <c r="AJ92" s="7">
        <f t="shared" si="24"/>
        <v>0</v>
      </c>
    </row>
    <row r="93" spans="1:36" x14ac:dyDescent="0.25">
      <c r="A93" s="4" t="str">
        <f t="shared" si="18"/>
        <v>ВРУ-2 (Ввод + Секция 1 + Секция 2) (ВРУ1-14-20А)(ВРУ1-41-00А)(260922 akram aulet)</v>
      </c>
      <c r="B93" s="4" t="s">
        <v>75</v>
      </c>
      <c r="C93" s="4" t="s">
        <v>465</v>
      </c>
      <c r="D93" s="4" t="s">
        <v>466</v>
      </c>
      <c r="E93" s="4" t="s">
        <v>114</v>
      </c>
      <c r="F93" s="4" t="s">
        <v>377</v>
      </c>
      <c r="G93" s="4" t="s">
        <v>38</v>
      </c>
      <c r="H93" s="5" t="e">
        <f>#REF!</f>
        <v>#REF!</v>
      </c>
      <c r="I93" s="6" t="e">
        <f t="shared" si="19"/>
        <v>#REF!</v>
      </c>
      <c r="J93" s="6" t="s">
        <v>66</v>
      </c>
      <c r="K93" s="6" t="s">
        <v>75</v>
      </c>
      <c r="L93" s="7" t="e">
        <f t="shared" si="20"/>
        <v>#REF!</v>
      </c>
      <c r="M93" s="7" t="s">
        <v>76</v>
      </c>
      <c r="N93" s="7" t="s">
        <v>77</v>
      </c>
      <c r="O93" s="7" t="str">
        <f>IF(OR($C93="",$C93="FID YOK"),"",IF(ISNUMBER(MATCH($C93,FA_ANA,0)),"",IF(COUNTIF($C$1:$C92,$C93)&gt;0,"",MAX($O$1:$O92)+1)))</f>
        <v/>
      </c>
      <c r="P93" s="8" t="s">
        <v>78</v>
      </c>
      <c r="Q93" s="7" t="e">
        <f>IF(OR($P93="",$P93="G",ISNA(MATCH($C93,FA,0))),"",IF(N(INDEX(F_G,MATCH($C93,FA,0)))&gt;0,INDEX(F_G,MATCH($C93,FA,0)),IF(N(INDEX(F_MODUL,MATCH($C93,FA,0)))&gt;0,INDEX(F_MODUL,MATCH($C93,FA,0))*MODUL_MM,"")))</f>
        <v>#REF!</v>
      </c>
      <c r="R93" s="7" t="e">
        <f>IF(OR($P93="",$P93="G",ISNA(MATCH($C93,FA,0))),"",IF(N(INDEX(F_Y,MATCH($C93,FA,0)))&gt;0,INDEX(F_Y,MATCH($C93,FA,0)),""))</f>
        <v>#REF!</v>
      </c>
      <c r="S93" s="7" t="e">
        <f>IF(OR($P93="",$P93="G",ISNA(MATCH($C93,FA,0))),"",IF(N(INDEX(F_D,MATCH($C93,FA,0)))&gt;0,INDEX(F_D,MATCH($C93,FA,0)),""))</f>
        <v>#REF!</v>
      </c>
      <c r="T93" s="7">
        <f>IF(ISNA(MATCH($C93,FA,0)),0,IF($J93="GIRIS",N(INDEX(F_INKOR,MATCH($C93,FA,0))),0))</f>
        <v>0</v>
      </c>
      <c r="U93" s="7" t="e">
        <f t="shared" si="25"/>
        <v>#REF!</v>
      </c>
      <c r="V93" s="7" t="str">
        <f t="shared" si="26"/>
        <v/>
      </c>
      <c r="W93" s="7" t="e">
        <f>IF(OR(NOT(ISNUMBER($P93)),$Q93=""),"",N(#REF!)*($Q93+IF(ISNA(MATCH($B93,TIP_AD,0)),0,N(INDEX(TIP_BOSLUK,MATCH($B93,TIP_AD,0))))))</f>
        <v>#REF!</v>
      </c>
      <c r="X93" s="7" t="e">
        <f>IF(ISNUMBER($P93),($Q93="")+($R93="")+($V93="")+IF(AND($U93="KONTAKTOR",NOT(ISNA(MATCH($B93,TIP_AD,0)))),IF(INDEX(TIP_BOSLUK,MATCH($B93,TIP_AD,0))&amp;""="",1,0),0),IF($P93="K",IF($S93="",1,0),0))</f>
        <v>#REF!</v>
      </c>
      <c r="Y93" s="7" t="e">
        <f>N(#REF!)*IF($E93="упак",MAX(1,IF(ISNA(MATCH($C93,FA,0)),1,N(INDEX(F_PAKET,MATCH($C93,FA,0))))),1)</f>
        <v>#REF!</v>
      </c>
      <c r="Z93" s="7" t="e">
        <f t="shared" si="21"/>
        <v>#REF!</v>
      </c>
      <c r="AA93" s="7" t="e">
        <f>IF(OR(ISNA(MATCH($C93,FA,0)),$J93="YEDEK",$J93="SARF"),0,N(#REF!)*N(INDEX(F_TEL,MATCH($C93,FA,0))))</f>
        <v>#REF!</v>
      </c>
      <c r="AB93" s="7" t="e">
        <f>IF(OR(ISNA(MATCH($C93,FA,0)),$J93="YEDEK",$J93="SARF"),0,N(#REF!)*N(INDEX(F_TELM,MATCH($C93,FA,0))))</f>
        <v>#REF!</v>
      </c>
      <c r="AC93" s="7" t="e">
        <f t="shared" si="22"/>
        <v>#REF!</v>
      </c>
      <c r="AD93" s="7">
        <f>IF(OR(ISNA(MATCH($C93,FA,0)),$J93&lt;&gt;"CIKIS"),0,N(INDEX(F_KK,MATCH($C93,FA,0))))</f>
        <v>0</v>
      </c>
      <c r="AE93" s="7">
        <f>IF($AD93=0,0,N(#REF!)*N(INDEX(F_KLN,MATCH($C93,FA,0))))</f>
        <v>0</v>
      </c>
      <c r="AF93" s="7">
        <f>IF($AD93=0,0,N(#REF!)*N(INDEX(F_KPE,MATCH($C93,FA,0))))</f>
        <v>0</v>
      </c>
      <c r="AG93" s="7" t="e">
        <f>IF(ISNA(MATCH($C93,FA,0)),0,N(#REF!)*N(INDEX(F_MODUL,MATCH($C93,FA,0))))</f>
        <v>#REF!</v>
      </c>
      <c r="AH93" s="7" t="e">
        <f>N(#REF!)*N($I93)</f>
        <v>#REF!</v>
      </c>
      <c r="AI93" s="7" t="e">
        <f t="shared" si="23"/>
        <v>#REF!</v>
      </c>
      <c r="AJ93" s="7">
        <f t="shared" si="24"/>
        <v>0</v>
      </c>
    </row>
    <row r="94" spans="1:36" x14ac:dyDescent="0.25">
      <c r="A94" s="4" t="str">
        <f t="shared" si="18"/>
        <v>ВРУ-2 (Ввод + Секция 1 + Секция 2) (ВРУ1-14-20А)(ВРУ1-41-00А)(260922 akram aulet)</v>
      </c>
      <c r="B94" s="4" t="s">
        <v>75</v>
      </c>
      <c r="C94" s="4" t="s">
        <v>467</v>
      </c>
      <c r="D94" s="4" t="s">
        <v>468</v>
      </c>
      <c r="E94" s="4" t="s">
        <v>114</v>
      </c>
      <c r="F94" s="4" t="s">
        <v>377</v>
      </c>
      <c r="G94" s="4" t="s">
        <v>38</v>
      </c>
      <c r="H94" s="5" t="e">
        <f>#REF!</f>
        <v>#REF!</v>
      </c>
      <c r="I94" s="6" t="e">
        <f t="shared" si="19"/>
        <v>#REF!</v>
      </c>
      <c r="J94" s="6" t="s">
        <v>66</v>
      </c>
      <c r="K94" s="6" t="s">
        <v>75</v>
      </c>
      <c r="L94" s="7" t="e">
        <f t="shared" si="20"/>
        <v>#REF!</v>
      </c>
      <c r="M94" s="7" t="s">
        <v>79</v>
      </c>
      <c r="N94" s="7" t="s">
        <v>80</v>
      </c>
      <c r="O94" s="7" t="str">
        <f>IF(OR($C94="",$C94="FID YOK"),"",IF(ISNUMBER(MATCH($C94,FA_ANA,0)),"",IF(COUNTIF($C$1:$C93,$C94)&gt;0,"",MAX($O$1:$O93)+1)))</f>
        <v/>
      </c>
      <c r="P94" s="8" t="s">
        <v>78</v>
      </c>
      <c r="Q94" s="7" t="e">
        <f>IF(OR($P94="",$P94="G",ISNA(MATCH($C94,FA,0))),"",IF(N(INDEX(F_G,MATCH($C94,FA,0)))&gt;0,INDEX(F_G,MATCH($C94,FA,0)),IF(N(INDEX(F_MODUL,MATCH($C94,FA,0)))&gt;0,INDEX(F_MODUL,MATCH($C94,FA,0))*MODUL_MM,"")))</f>
        <v>#REF!</v>
      </c>
      <c r="R94" s="7" t="e">
        <f>IF(OR($P94="",$P94="G",ISNA(MATCH($C94,FA,0))),"",IF(N(INDEX(F_Y,MATCH($C94,FA,0)))&gt;0,INDEX(F_Y,MATCH($C94,FA,0)),""))</f>
        <v>#REF!</v>
      </c>
      <c r="S94" s="7" t="e">
        <f>IF(OR($P94="",$P94="G",ISNA(MATCH($C94,FA,0))),"",IF(N(INDEX(F_D,MATCH($C94,FA,0)))&gt;0,INDEX(F_D,MATCH($C94,FA,0)),""))</f>
        <v>#REF!</v>
      </c>
      <c r="T94" s="7">
        <f>IF(ISNA(MATCH($C94,FA,0)),0,IF($J94="GIRIS",N(INDEX(F_INKOR,MATCH($C94,FA,0))),0))</f>
        <v>0</v>
      </c>
      <c r="U94" s="7" t="e">
        <f t="shared" si="25"/>
        <v>#REF!</v>
      </c>
      <c r="V94" s="7" t="str">
        <f t="shared" si="26"/>
        <v/>
      </c>
      <c r="W94" s="7" t="e">
        <f>IF(OR(NOT(ISNUMBER($P94)),$Q94=""),"",N(#REF!)*($Q94+IF(ISNA(MATCH($B94,TIP_AD,0)),0,N(INDEX(TIP_BOSLUK,MATCH($B94,TIP_AD,0))))))</f>
        <v>#REF!</v>
      </c>
      <c r="X94" s="7" t="e">
        <f>IF(ISNUMBER($P94),($Q94="")+($R94="")+($V94="")+IF(AND($U94="KONTAKTOR",NOT(ISNA(MATCH($B94,TIP_AD,0)))),IF(INDEX(TIP_BOSLUK,MATCH($B94,TIP_AD,0))&amp;""="",1,0),0),IF($P94="K",IF($S94="",1,0),0))</f>
        <v>#REF!</v>
      </c>
      <c r="Y94" s="7" t="e">
        <f>N(#REF!)*IF($E94="упак",MAX(1,IF(ISNA(MATCH($C94,FA,0)),1,N(INDEX(F_PAKET,MATCH($C94,FA,0))))),1)</f>
        <v>#REF!</v>
      </c>
      <c r="Z94" s="7" t="e">
        <f t="shared" si="21"/>
        <v>#REF!</v>
      </c>
      <c r="AA94" s="7" t="e">
        <f>IF(OR(ISNA(MATCH($C94,FA,0)),$J94="YEDEK",$J94="SARF"),0,N(#REF!)*N(INDEX(F_TEL,MATCH($C94,FA,0))))</f>
        <v>#REF!</v>
      </c>
      <c r="AB94" s="7" t="e">
        <f>IF(OR(ISNA(MATCH($C94,FA,0)),$J94="YEDEK",$J94="SARF"),0,N(#REF!)*N(INDEX(F_TELM,MATCH($C94,FA,0))))</f>
        <v>#REF!</v>
      </c>
      <c r="AC94" s="7" t="e">
        <f t="shared" si="22"/>
        <v>#REF!</v>
      </c>
      <c r="AD94" s="7">
        <f>IF(OR(ISNA(MATCH($C94,FA,0)),$J94&lt;&gt;"CIKIS"),0,N(INDEX(F_KK,MATCH($C94,FA,0))))</f>
        <v>0</v>
      </c>
      <c r="AE94" s="7">
        <f>IF($AD94=0,0,N(#REF!)*N(INDEX(F_KLN,MATCH($C94,FA,0))))</f>
        <v>0</v>
      </c>
      <c r="AF94" s="7">
        <f>IF($AD94=0,0,N(#REF!)*N(INDEX(F_KPE,MATCH($C94,FA,0))))</f>
        <v>0</v>
      </c>
      <c r="AG94" s="7" t="e">
        <f>IF(ISNA(MATCH($C94,FA,0)),0,N(#REF!)*N(INDEX(F_MODUL,MATCH($C94,FA,0))))</f>
        <v>#REF!</v>
      </c>
      <c r="AH94" s="7" t="e">
        <f>N(#REF!)*N($I94)</f>
        <v>#REF!</v>
      </c>
      <c r="AI94" s="7" t="e">
        <f t="shared" si="23"/>
        <v>#REF!</v>
      </c>
      <c r="AJ94" s="7">
        <f t="shared" si="24"/>
        <v>0</v>
      </c>
    </row>
    <row r="95" spans="1:36" x14ac:dyDescent="0.25">
      <c r="A95" s="4" t="str">
        <f t="shared" si="18"/>
        <v>ВРУ-2 (Ввод + Секция 1 + Секция 2) (ВРУ1-14-20А)(ВРУ1-41-00А)(260922 akram aulet)</v>
      </c>
      <c r="B95" s="4" t="s">
        <v>75</v>
      </c>
      <c r="C95" s="4" t="s">
        <v>469</v>
      </c>
      <c r="D95" s="4" t="s">
        <v>470</v>
      </c>
      <c r="E95" s="4" t="s">
        <v>114</v>
      </c>
      <c r="F95" s="4" t="s">
        <v>377</v>
      </c>
      <c r="G95" s="4" t="s">
        <v>38</v>
      </c>
      <c r="H95" s="5" t="e">
        <f>#REF!</f>
        <v>#REF!</v>
      </c>
      <c r="I95" s="6" t="e">
        <f t="shared" si="19"/>
        <v>#REF!</v>
      </c>
      <c r="J95" s="6" t="s">
        <v>66</v>
      </c>
      <c r="K95" s="6" t="s">
        <v>75</v>
      </c>
      <c r="L95" s="7" t="e">
        <f t="shared" si="20"/>
        <v>#REF!</v>
      </c>
      <c r="M95" s="7" t="s">
        <v>81</v>
      </c>
      <c r="N95" s="7" t="s">
        <v>82</v>
      </c>
      <c r="O95" s="7" t="str">
        <f>IF(OR($C95="",$C95="FID YOK"),"",IF(ISNUMBER(MATCH($C95,FA_ANA,0)),"",IF(COUNTIF($C$1:$C94,$C95)&gt;0,"",MAX($O$1:$O94)+1)))</f>
        <v/>
      </c>
      <c r="P95" s="8" t="s">
        <v>78</v>
      </c>
      <c r="Q95" s="7" t="e">
        <f>IF(OR($P95="",$P95="G",ISNA(MATCH($C95,FA,0))),"",IF(N(INDEX(F_G,MATCH($C95,FA,0)))&gt;0,INDEX(F_G,MATCH($C95,FA,0)),IF(N(INDEX(F_MODUL,MATCH($C95,FA,0)))&gt;0,INDEX(F_MODUL,MATCH($C95,FA,0))*MODUL_MM,"")))</f>
        <v>#REF!</v>
      </c>
      <c r="R95" s="7" t="e">
        <f>IF(OR($P95="",$P95="G",ISNA(MATCH($C95,FA,0))),"",IF(N(INDEX(F_Y,MATCH($C95,FA,0)))&gt;0,INDEX(F_Y,MATCH($C95,FA,0)),""))</f>
        <v>#REF!</v>
      </c>
      <c r="S95" s="7" t="e">
        <f>IF(OR($P95="",$P95="G",ISNA(MATCH($C95,FA,0))),"",IF(N(INDEX(F_D,MATCH($C95,FA,0)))&gt;0,INDEX(F_D,MATCH($C95,FA,0)),""))</f>
        <v>#REF!</v>
      </c>
      <c r="T95" s="7">
        <f>IF(ISNA(MATCH($C95,FA,0)),0,IF($J95="GIRIS",N(INDEX(F_INKOR,MATCH($C95,FA,0))),0))</f>
        <v>0</v>
      </c>
      <c r="U95" s="7" t="e">
        <f t="shared" si="25"/>
        <v>#REF!</v>
      </c>
      <c r="V95" s="7" t="str">
        <f t="shared" si="26"/>
        <v/>
      </c>
      <c r="W95" s="7" t="e">
        <f>IF(OR(NOT(ISNUMBER($P95)),$Q95=""),"",N(#REF!)*($Q95+IF(ISNA(MATCH($B95,TIP_AD,0)),0,N(INDEX(TIP_BOSLUK,MATCH($B95,TIP_AD,0))))))</f>
        <v>#REF!</v>
      </c>
      <c r="X95" s="7" t="e">
        <f>IF(ISNUMBER($P95),($Q95="")+($R95="")+($V95="")+IF(AND($U95="KONTAKTOR",NOT(ISNA(MATCH($B95,TIP_AD,0)))),IF(INDEX(TIP_BOSLUK,MATCH($B95,TIP_AD,0))&amp;""="",1,0),0),IF($P95="K",IF($S95="",1,0),0))</f>
        <v>#REF!</v>
      </c>
      <c r="Y95" s="7" t="e">
        <f>N(#REF!)*IF($E95="упак",MAX(1,IF(ISNA(MATCH($C95,FA,0)),1,N(INDEX(F_PAKET,MATCH($C95,FA,0))))),1)</f>
        <v>#REF!</v>
      </c>
      <c r="Z95" s="7" t="e">
        <f t="shared" si="21"/>
        <v>#REF!</v>
      </c>
      <c r="AA95" s="7" t="e">
        <f>IF(OR(ISNA(MATCH($C95,FA,0)),$J95="YEDEK",$J95="SARF"),0,N(#REF!)*N(INDEX(F_TEL,MATCH($C95,FA,0))))</f>
        <v>#REF!</v>
      </c>
      <c r="AB95" s="7" t="e">
        <f>IF(OR(ISNA(MATCH($C95,FA,0)),$J95="YEDEK",$J95="SARF"),0,N(#REF!)*N(INDEX(F_TELM,MATCH($C95,FA,0))))</f>
        <v>#REF!</v>
      </c>
      <c r="AC95" s="7" t="e">
        <f t="shared" si="22"/>
        <v>#REF!</v>
      </c>
      <c r="AD95" s="7">
        <f>IF(OR(ISNA(MATCH($C95,FA,0)),$J95&lt;&gt;"CIKIS"),0,N(INDEX(F_KK,MATCH($C95,FA,0))))</f>
        <v>0</v>
      </c>
      <c r="AE95" s="7">
        <f>IF($AD95=0,0,N(#REF!)*N(INDEX(F_KLN,MATCH($C95,FA,0))))</f>
        <v>0</v>
      </c>
      <c r="AF95" s="7">
        <f>IF($AD95=0,0,N(#REF!)*N(INDEX(F_KPE,MATCH($C95,FA,0))))</f>
        <v>0</v>
      </c>
      <c r="AG95" s="7" t="e">
        <f>IF(ISNA(MATCH($C95,FA,0)),0,N(#REF!)*N(INDEX(F_MODUL,MATCH($C95,FA,0))))</f>
        <v>#REF!</v>
      </c>
      <c r="AH95" s="7" t="e">
        <f>N(#REF!)*N($I95)</f>
        <v>#REF!</v>
      </c>
      <c r="AI95" s="7" t="e">
        <f t="shared" si="23"/>
        <v>#REF!</v>
      </c>
      <c r="AJ95" s="7">
        <f t="shared" si="24"/>
        <v>0</v>
      </c>
    </row>
    <row r="96" spans="1:36" x14ac:dyDescent="0.25">
      <c r="A96" s="4" t="str">
        <f t="shared" si="18"/>
        <v>ВРУ-2 (Ввод + Секция 1 + Секция 2) (ВРУ1-14-20А)(ВРУ1-41-00А)(260922 akram aulet)</v>
      </c>
      <c r="B96" s="4" t="s">
        <v>83</v>
      </c>
      <c r="C96" s="4" t="s">
        <v>587</v>
      </c>
      <c r="D96" s="4" t="s">
        <v>588</v>
      </c>
      <c r="E96" s="4" t="s">
        <v>520</v>
      </c>
      <c r="F96" s="4" t="s">
        <v>486</v>
      </c>
      <c r="G96" s="4" t="s">
        <v>38</v>
      </c>
      <c r="H96" s="5" t="e">
        <f>#REF!</f>
        <v>#REF!</v>
      </c>
      <c r="I96" s="6" t="e">
        <f t="shared" si="19"/>
        <v>#REF!</v>
      </c>
      <c r="J96" s="6" t="s">
        <v>84</v>
      </c>
      <c r="K96" s="6" t="s">
        <v>83</v>
      </c>
      <c r="L96" s="7" t="e">
        <f t="shared" si="20"/>
        <v>#REF!</v>
      </c>
      <c r="M96" s="7" t="s">
        <v>85</v>
      </c>
      <c r="O96" s="7" t="str">
        <f>IF(OR($C96="",$C96="FID YOK"),"",IF(ISNUMBER(MATCH($C96,FA_ANA,0)),"",IF(COUNTIF($C$1:$C95,$C96)&gt;0,"",MAX($O$1:$O95)+1)))</f>
        <v/>
      </c>
      <c r="T96" s="7">
        <f>IF(ISNA(MATCH($C96,FA,0)),0,IF($J96="GIRIS",N(INDEX(F_INKOR,MATCH($C96,FA,0))),0))</f>
        <v>0</v>
      </c>
      <c r="Y96" s="7" t="e">
        <f>N(#REF!)*IF($E96="упак",MAX(1,IF(ISNA(MATCH($C96,FA,0)),1,N(INDEX(F_PAKET,MATCH($C96,FA,0))))),1)</f>
        <v>#REF!</v>
      </c>
      <c r="Z96" s="7" t="e">
        <f t="shared" si="21"/>
        <v>#REF!</v>
      </c>
      <c r="AA96" s="7">
        <f>IF(OR(ISNA(MATCH($C96,FA,0)),$J96="YEDEK",$J96="SARF"),0,N(#REF!)*N(INDEX(F_TEL,MATCH($C96,FA,0))))</f>
        <v>0</v>
      </c>
      <c r="AB96" s="7">
        <f>IF(OR(ISNA(MATCH($C96,FA,0)),$J96="YEDEK",$J96="SARF"),0,N(#REF!)*N(INDEX(F_TELM,MATCH($C96,FA,0))))</f>
        <v>0</v>
      </c>
      <c r="AC96" s="7" t="e">
        <f t="shared" si="22"/>
        <v>#REF!</v>
      </c>
      <c r="AD96" s="7">
        <f>IF(OR(ISNA(MATCH($C96,FA,0)),$J96&lt;&gt;"CIKIS"),0,N(INDEX(F_KK,MATCH($C96,FA,0))))</f>
        <v>0</v>
      </c>
      <c r="AE96" s="7">
        <f>IF($AD96=0,0,N(#REF!)*N(INDEX(F_KLN,MATCH($C96,FA,0))))</f>
        <v>0</v>
      </c>
      <c r="AF96" s="7">
        <f>IF($AD96=0,0,N(#REF!)*N(INDEX(F_KPE,MATCH($C96,FA,0))))</f>
        <v>0</v>
      </c>
      <c r="AG96" s="7" t="e">
        <f>IF(ISNA(MATCH($C96,FA,0)),0,N(#REF!)*N(INDEX(F_MODUL,MATCH($C96,FA,0))))</f>
        <v>#REF!</v>
      </c>
      <c r="AH96" s="7" t="e">
        <f>N(#REF!)*N($I96)</f>
        <v>#REF!</v>
      </c>
      <c r="AI96" s="7" t="e">
        <f t="shared" si="23"/>
        <v>#REF!</v>
      </c>
      <c r="AJ96" s="7">
        <f t="shared" si="24"/>
        <v>0</v>
      </c>
    </row>
    <row r="97" spans="1:36" x14ac:dyDescent="0.25">
      <c r="A97" s="4" t="str">
        <f t="shared" si="18"/>
        <v>ВРУ-2 (Ввод + Секция 1 + Секция 2) (ВРУ1-14-20А)(ВРУ1-41-00А)(260922 akram aulet)</v>
      </c>
      <c r="B97" s="4" t="s">
        <v>83</v>
      </c>
      <c r="C97" s="4" t="s">
        <v>587</v>
      </c>
      <c r="D97" s="4" t="s">
        <v>588</v>
      </c>
      <c r="E97" s="4" t="s">
        <v>520</v>
      </c>
      <c r="F97" s="4" t="s">
        <v>486</v>
      </c>
      <c r="G97" s="4" t="s">
        <v>38</v>
      </c>
      <c r="H97" s="5" t="e">
        <f>#REF!</f>
        <v>#REF!</v>
      </c>
      <c r="I97" s="6" t="e">
        <f t="shared" si="19"/>
        <v>#REF!</v>
      </c>
      <c r="J97" s="6" t="s">
        <v>84</v>
      </c>
      <c r="K97" s="6" t="s">
        <v>83</v>
      </c>
      <c r="L97" s="7" t="e">
        <f t="shared" si="20"/>
        <v>#REF!</v>
      </c>
      <c r="M97" s="7" t="s">
        <v>86</v>
      </c>
      <c r="O97" s="7" t="str">
        <f>IF(OR($C97="",$C97="FID YOK"),"",IF(ISNUMBER(MATCH($C97,FA_ANA,0)),"",IF(COUNTIF($C$1:$C96,$C97)&gt;0,"",MAX($O$1:$O96)+1)))</f>
        <v/>
      </c>
      <c r="T97" s="7">
        <f>IF(ISNA(MATCH($C97,FA,0)),0,IF($J97="GIRIS",N(INDEX(F_INKOR,MATCH($C97,FA,0))),0))</f>
        <v>0</v>
      </c>
      <c r="Y97" s="7" t="e">
        <f>N(#REF!)*IF($E97="упак",MAX(1,IF(ISNA(MATCH($C97,FA,0)),1,N(INDEX(F_PAKET,MATCH($C97,FA,0))))),1)</f>
        <v>#REF!</v>
      </c>
      <c r="Z97" s="7" t="e">
        <f t="shared" si="21"/>
        <v>#REF!</v>
      </c>
      <c r="AA97" s="7">
        <f>IF(OR(ISNA(MATCH($C97,FA,0)),$J97="YEDEK",$J97="SARF"),0,N(#REF!)*N(INDEX(F_TEL,MATCH($C97,FA,0))))</f>
        <v>0</v>
      </c>
      <c r="AB97" s="7">
        <f>IF(OR(ISNA(MATCH($C97,FA,0)),$J97="YEDEK",$J97="SARF"),0,N(#REF!)*N(INDEX(F_TELM,MATCH($C97,FA,0))))</f>
        <v>0</v>
      </c>
      <c r="AC97" s="7" t="e">
        <f t="shared" si="22"/>
        <v>#REF!</v>
      </c>
      <c r="AD97" s="7">
        <f>IF(OR(ISNA(MATCH($C97,FA,0)),$J97&lt;&gt;"CIKIS"),0,N(INDEX(F_KK,MATCH($C97,FA,0))))</f>
        <v>0</v>
      </c>
      <c r="AE97" s="7">
        <f>IF($AD97=0,0,N(#REF!)*N(INDEX(F_KLN,MATCH($C97,FA,0))))</f>
        <v>0</v>
      </c>
      <c r="AF97" s="7">
        <f>IF($AD97=0,0,N(#REF!)*N(INDEX(F_KPE,MATCH($C97,FA,0))))</f>
        <v>0</v>
      </c>
      <c r="AG97" s="7" t="e">
        <f>IF(ISNA(MATCH($C97,FA,0)),0,N(#REF!)*N(INDEX(F_MODUL,MATCH($C97,FA,0))))</f>
        <v>#REF!</v>
      </c>
      <c r="AH97" s="7" t="e">
        <f>N(#REF!)*N($I97)</f>
        <v>#REF!</v>
      </c>
      <c r="AI97" s="7" t="e">
        <f t="shared" si="23"/>
        <v>#REF!</v>
      </c>
      <c r="AJ97" s="7">
        <f t="shared" si="24"/>
        <v>0</v>
      </c>
    </row>
    <row r="98" spans="1:36" x14ac:dyDescent="0.25">
      <c r="A98" s="4" t="str">
        <f t="shared" si="18"/>
        <v>ВРУ-2 (Ввод + Секция 1 + Секция 2) (ВРУ1-14-20А)(ВРУ1-41-00А)(260922 akram aulet)</v>
      </c>
      <c r="B98" s="4" t="s">
        <v>83</v>
      </c>
      <c r="C98" s="4" t="s">
        <v>585</v>
      </c>
      <c r="D98" s="4" t="s">
        <v>586</v>
      </c>
      <c r="E98" s="4" t="s">
        <v>520</v>
      </c>
      <c r="F98" s="4" t="s">
        <v>486</v>
      </c>
      <c r="G98" s="4" t="s">
        <v>38</v>
      </c>
      <c r="H98" s="5" t="e">
        <f>#REF!</f>
        <v>#REF!</v>
      </c>
      <c r="I98" s="6" t="e">
        <f t="shared" si="19"/>
        <v>#REF!</v>
      </c>
      <c r="J98" s="6" t="s">
        <v>84</v>
      </c>
      <c r="K98" s="6" t="s">
        <v>83</v>
      </c>
      <c r="L98" s="7" t="e">
        <f t="shared" si="20"/>
        <v>#REF!</v>
      </c>
      <c r="M98" s="7" t="s">
        <v>87</v>
      </c>
      <c r="O98" s="7" t="str">
        <f>IF(OR($C98="",$C98="FID YOK"),"",IF(ISNUMBER(MATCH($C98,FA_ANA,0)),"",IF(COUNTIF($C$1:$C97,$C98)&gt;0,"",MAX($O$1:$O97)+1)))</f>
        <v/>
      </c>
      <c r="T98" s="7">
        <f>IF(ISNA(MATCH($C98,FA,0)),0,IF($J98="GIRIS",N(INDEX(F_INKOR,MATCH($C98,FA,0))),0))</f>
        <v>0</v>
      </c>
      <c r="Y98" s="7" t="e">
        <f>N(#REF!)*IF($E98="упак",MAX(1,IF(ISNA(MATCH($C98,FA,0)),1,N(INDEX(F_PAKET,MATCH($C98,FA,0))))),1)</f>
        <v>#REF!</v>
      </c>
      <c r="Z98" s="7" t="e">
        <f t="shared" si="21"/>
        <v>#REF!</v>
      </c>
      <c r="AA98" s="7">
        <f>IF(OR(ISNA(MATCH($C98,FA,0)),$J98="YEDEK",$J98="SARF"),0,N(#REF!)*N(INDEX(F_TEL,MATCH($C98,FA,0))))</f>
        <v>0</v>
      </c>
      <c r="AB98" s="7">
        <f>IF(OR(ISNA(MATCH($C98,FA,0)),$J98="YEDEK",$J98="SARF"),0,N(#REF!)*N(INDEX(F_TELM,MATCH($C98,FA,0))))</f>
        <v>0</v>
      </c>
      <c r="AC98" s="7" t="e">
        <f t="shared" si="22"/>
        <v>#REF!</v>
      </c>
      <c r="AD98" s="7">
        <f>IF(OR(ISNA(MATCH($C98,FA,0)),$J98&lt;&gt;"CIKIS"),0,N(INDEX(F_KK,MATCH($C98,FA,0))))</f>
        <v>0</v>
      </c>
      <c r="AE98" s="7">
        <f>IF($AD98=0,0,N(#REF!)*N(INDEX(F_KLN,MATCH($C98,FA,0))))</f>
        <v>0</v>
      </c>
      <c r="AF98" s="7">
        <f>IF($AD98=0,0,N(#REF!)*N(INDEX(F_KPE,MATCH($C98,FA,0))))</f>
        <v>0</v>
      </c>
      <c r="AG98" s="7" t="e">
        <f>IF(ISNA(MATCH($C98,FA,0)),0,N(#REF!)*N(INDEX(F_MODUL,MATCH($C98,FA,0))))</f>
        <v>#REF!</v>
      </c>
      <c r="AH98" s="7" t="e">
        <f>N(#REF!)*N($I98)</f>
        <v>#REF!</v>
      </c>
      <c r="AI98" s="7" t="e">
        <f t="shared" si="23"/>
        <v>#REF!</v>
      </c>
      <c r="AJ98" s="7">
        <f t="shared" si="24"/>
        <v>0</v>
      </c>
    </row>
    <row r="99" spans="1:36" x14ac:dyDescent="0.25">
      <c r="A99" s="4" t="str">
        <f t="shared" si="18"/>
        <v>ВРУ-2 (Ввод + Секция 1 + Секция 2) (ВРУ1-14-20А)(ВРУ1-41-00А)(260922 akram aulet)</v>
      </c>
      <c r="B99" s="4" t="s">
        <v>88</v>
      </c>
      <c r="C99" s="4" t="s">
        <v>573</v>
      </c>
      <c r="D99" s="4" t="s">
        <v>574</v>
      </c>
      <c r="E99" s="4" t="s">
        <v>114</v>
      </c>
      <c r="F99" s="4" t="s">
        <v>486</v>
      </c>
      <c r="G99" s="4" t="s">
        <v>38</v>
      </c>
      <c r="H99" s="5" t="e">
        <f>#REF!</f>
        <v>#REF!</v>
      </c>
      <c r="I99" s="6" t="e">
        <f t="shared" si="19"/>
        <v>#REF!</v>
      </c>
      <c r="J99" s="6" t="s">
        <v>84</v>
      </c>
      <c r="K99" s="6" t="s">
        <v>88</v>
      </c>
      <c r="L99" s="7" t="e">
        <f t="shared" si="20"/>
        <v>#REF!</v>
      </c>
      <c r="M99" s="7" t="s">
        <v>89</v>
      </c>
      <c r="O99" s="7" t="str">
        <f>IF(OR($C99="",$C99="FID YOK"),"",IF(ISNUMBER(MATCH($C99,FA_ANA,0)),"",IF(COUNTIF($C$1:$C98,$C99)&gt;0,"",MAX($O$1:$O98)+1)))</f>
        <v/>
      </c>
      <c r="T99" s="7">
        <f>IF(ISNA(MATCH($C99,FA,0)),0,IF($J99="GIRIS",N(INDEX(F_INKOR,MATCH($C99,FA,0))),0))</f>
        <v>0</v>
      </c>
      <c r="Y99" s="7" t="e">
        <f>N(#REF!)*IF($E99="упак",MAX(1,IF(ISNA(MATCH($C99,FA,0)),1,N(INDEX(F_PAKET,MATCH($C99,FA,0))))),1)</f>
        <v>#REF!</v>
      </c>
      <c r="Z99" s="7" t="e">
        <f t="shared" si="21"/>
        <v>#REF!</v>
      </c>
      <c r="AA99" s="7">
        <f>IF(OR(ISNA(MATCH($C99,FA,0)),$J99="YEDEK",$J99="SARF"),0,N(#REF!)*N(INDEX(F_TEL,MATCH($C99,FA,0))))</f>
        <v>0</v>
      </c>
      <c r="AB99" s="7">
        <f>IF(OR(ISNA(MATCH($C99,FA,0)),$J99="YEDEK",$J99="SARF"),0,N(#REF!)*N(INDEX(F_TELM,MATCH($C99,FA,0))))</f>
        <v>0</v>
      </c>
      <c r="AC99" s="7" t="e">
        <f t="shared" si="22"/>
        <v>#REF!</v>
      </c>
      <c r="AD99" s="7">
        <f>IF(OR(ISNA(MATCH($C99,FA,0)),$J99&lt;&gt;"CIKIS"),0,N(INDEX(F_KK,MATCH($C99,FA,0))))</f>
        <v>0</v>
      </c>
      <c r="AE99" s="7">
        <f>IF($AD99=0,0,N(#REF!)*N(INDEX(F_KLN,MATCH($C99,FA,0))))</f>
        <v>0</v>
      </c>
      <c r="AF99" s="7">
        <f>IF($AD99=0,0,N(#REF!)*N(INDEX(F_KPE,MATCH($C99,FA,0))))</f>
        <v>0</v>
      </c>
      <c r="AG99" s="7" t="e">
        <f>IF(ISNA(MATCH($C99,FA,0)),0,N(#REF!)*N(INDEX(F_MODUL,MATCH($C99,FA,0))))</f>
        <v>#REF!</v>
      </c>
      <c r="AH99" s="7" t="e">
        <f>N(#REF!)*N($I99)</f>
        <v>#REF!</v>
      </c>
      <c r="AI99" s="7" t="e">
        <f t="shared" si="23"/>
        <v>#REF!</v>
      </c>
      <c r="AJ99" s="7">
        <f t="shared" si="24"/>
        <v>0</v>
      </c>
    </row>
    <row r="100" spans="1:36" x14ac:dyDescent="0.25">
      <c r="A100" s="4" t="str">
        <f t="shared" si="18"/>
        <v>ВРУ-2 (Ввод + Секция 1 + Секция 2) (ВРУ1-14-20А)(ВРУ1-41-00А)(260922 akram aulet)</v>
      </c>
      <c r="B100" s="4" t="s">
        <v>90</v>
      </c>
      <c r="C100" s="4" t="s">
        <v>518</v>
      </c>
      <c r="D100" s="4" t="s">
        <v>519</v>
      </c>
      <c r="E100" s="4" t="s">
        <v>520</v>
      </c>
      <c r="F100" s="4" t="s">
        <v>486</v>
      </c>
      <c r="G100" s="4" t="s">
        <v>38</v>
      </c>
      <c r="H100" s="5" t="e">
        <f>#REF!</f>
        <v>#REF!</v>
      </c>
      <c r="I100" s="6" t="e">
        <f t="shared" si="19"/>
        <v>#REF!</v>
      </c>
      <c r="J100" s="6" t="s">
        <v>84</v>
      </c>
      <c r="K100" s="6" t="s">
        <v>90</v>
      </c>
      <c r="L100" s="7" t="e">
        <f t="shared" si="20"/>
        <v>#REF!</v>
      </c>
      <c r="M100" s="7" t="s">
        <v>91</v>
      </c>
      <c r="O100" s="7" t="str">
        <f>IF(OR($C100="",$C100="FID YOK"),"",IF(ISNUMBER(MATCH($C100,FA_ANA,0)),"",IF(COUNTIF($C$1:$C99,$C100)&gt;0,"",MAX($O$1:$O99)+1)))</f>
        <v/>
      </c>
      <c r="T100" s="7">
        <f>IF(ISNA(MATCH($C100,FA,0)),0,IF($J100="GIRIS",N(INDEX(F_INKOR,MATCH($C100,FA,0))),0))</f>
        <v>0</v>
      </c>
      <c r="Y100" s="7" t="e">
        <f>N(#REF!)*IF($E100="упак",MAX(1,IF(ISNA(MATCH($C100,FA,0)),1,N(INDEX(F_PAKET,MATCH($C100,FA,0))))),1)</f>
        <v>#REF!</v>
      </c>
      <c r="Z100" s="7" t="e">
        <f t="shared" si="21"/>
        <v>#REF!</v>
      </c>
      <c r="AA100" s="7">
        <f>IF(OR(ISNA(MATCH($C100,FA,0)),$J100="YEDEK",$J100="SARF"),0,N(#REF!)*N(INDEX(F_TEL,MATCH($C100,FA,0))))</f>
        <v>0</v>
      </c>
      <c r="AB100" s="7">
        <f>IF(OR(ISNA(MATCH($C100,FA,0)),$J100="YEDEK",$J100="SARF"),0,N(#REF!)*N(INDEX(F_TELM,MATCH($C100,FA,0))))</f>
        <v>0</v>
      </c>
      <c r="AC100" s="7" t="e">
        <f t="shared" si="22"/>
        <v>#REF!</v>
      </c>
      <c r="AD100" s="7">
        <f>IF(OR(ISNA(MATCH($C100,FA,0)),$J100&lt;&gt;"CIKIS"),0,N(INDEX(F_KK,MATCH($C100,FA,0))))</f>
        <v>0</v>
      </c>
      <c r="AE100" s="7">
        <f>IF($AD100=0,0,N(#REF!)*N(INDEX(F_KLN,MATCH($C100,FA,0))))</f>
        <v>0</v>
      </c>
      <c r="AF100" s="7">
        <f>IF($AD100=0,0,N(#REF!)*N(INDEX(F_KPE,MATCH($C100,FA,0))))</f>
        <v>0</v>
      </c>
      <c r="AG100" s="7" t="e">
        <f>IF(ISNA(MATCH($C100,FA,0)),0,N(#REF!)*N(INDEX(F_MODUL,MATCH($C100,FA,0))))</f>
        <v>#REF!</v>
      </c>
      <c r="AH100" s="7" t="e">
        <f>N(#REF!)*N($I100)</f>
        <v>#REF!</v>
      </c>
      <c r="AI100" s="7" t="e">
        <f t="shared" si="23"/>
        <v>#REF!</v>
      </c>
      <c r="AJ100" s="7">
        <f t="shared" si="24"/>
        <v>0</v>
      </c>
    </row>
    <row r="101" spans="1:36" x14ac:dyDescent="0.25">
      <c r="A101" s="4" t="str">
        <f t="shared" si="18"/>
        <v>ВРУ-2 (Ввод + Секция 1 + Секция 2) (ВРУ1-14-20А)(ВРУ1-41-00А)(260922 akram aulet)</v>
      </c>
      <c r="B101" s="4" t="s">
        <v>92</v>
      </c>
      <c r="C101" s="4" t="s">
        <v>523</v>
      </c>
      <c r="D101" s="4" t="s">
        <v>524</v>
      </c>
      <c r="E101" s="4" t="s">
        <v>520</v>
      </c>
      <c r="F101" s="4" t="s">
        <v>521</v>
      </c>
      <c r="G101" s="4" t="s">
        <v>38</v>
      </c>
      <c r="H101" s="5" t="e">
        <f>#REF!</f>
        <v>#REF!</v>
      </c>
      <c r="I101" s="6" t="e">
        <f t="shared" si="19"/>
        <v>#REF!</v>
      </c>
      <c r="J101" s="6" t="s">
        <v>84</v>
      </c>
      <c r="K101" s="6" t="s">
        <v>92</v>
      </c>
      <c r="L101" s="7" t="e">
        <f t="shared" si="20"/>
        <v>#REF!</v>
      </c>
      <c r="M101" s="7" t="s">
        <v>93</v>
      </c>
      <c r="O101" s="7" t="str">
        <f>IF(OR($C101="",$C101="FID YOK"),"",IF(ISNUMBER(MATCH($C101,FA_ANA,0)),"",IF(COUNTIF($C$1:$C100,$C101)&gt;0,"",MAX($O$1:$O100)+1)))</f>
        <v/>
      </c>
      <c r="T101" s="7">
        <f>IF(ISNA(MATCH($C101,FA,0)),0,IF($J101="GIRIS",N(INDEX(F_INKOR,MATCH($C101,FA,0))),0))</f>
        <v>0</v>
      </c>
      <c r="Y101" s="7" t="e">
        <f>N(#REF!)*IF($E101="упак",MAX(1,IF(ISNA(MATCH($C101,FA,0)),1,N(INDEX(F_PAKET,MATCH($C101,FA,0))))),1)</f>
        <v>#REF!</v>
      </c>
      <c r="Z101" s="7" t="e">
        <f t="shared" si="21"/>
        <v>#REF!</v>
      </c>
      <c r="AA101" s="7">
        <f>IF(OR(ISNA(MATCH($C101,FA,0)),$J101="YEDEK",$J101="SARF"),0,N(#REF!)*N(INDEX(F_TEL,MATCH($C101,FA,0))))</f>
        <v>0</v>
      </c>
      <c r="AB101" s="7">
        <f>IF(OR(ISNA(MATCH($C101,FA,0)),$J101="YEDEK",$J101="SARF"),0,N(#REF!)*N(INDEX(F_TELM,MATCH($C101,FA,0))))</f>
        <v>0</v>
      </c>
      <c r="AC101" s="7" t="e">
        <f t="shared" si="22"/>
        <v>#REF!</v>
      </c>
      <c r="AD101" s="7">
        <f>IF(OR(ISNA(MATCH($C101,FA,0)),$J101&lt;&gt;"CIKIS"),0,N(INDEX(F_KK,MATCH($C101,FA,0))))</f>
        <v>0</v>
      </c>
      <c r="AE101" s="7">
        <f>IF($AD101=0,0,N(#REF!)*N(INDEX(F_KLN,MATCH($C101,FA,0))))</f>
        <v>0</v>
      </c>
      <c r="AF101" s="7">
        <f>IF($AD101=0,0,N(#REF!)*N(INDEX(F_KPE,MATCH($C101,FA,0))))</f>
        <v>0</v>
      </c>
      <c r="AG101" s="7" t="e">
        <f>IF(ISNA(MATCH($C101,FA,0)),0,N(#REF!)*N(INDEX(F_MODUL,MATCH($C101,FA,0))))</f>
        <v>#REF!</v>
      </c>
      <c r="AH101" s="7" t="e">
        <f>N(#REF!)*N($I101)</f>
        <v>#REF!</v>
      </c>
      <c r="AI101" s="7" t="e">
        <f t="shared" si="23"/>
        <v>#REF!</v>
      </c>
      <c r="AJ101" s="7">
        <f t="shared" si="24"/>
        <v>0</v>
      </c>
    </row>
    <row r="102" spans="1:36" x14ac:dyDescent="0.25">
      <c r="A102" s="4" t="str">
        <f t="shared" si="18"/>
        <v>ВРУ-2 (Ввод + Секция 1 + Секция 2) (ВРУ1-14-20А)(ВРУ1-41-00А)(260922 akram aulet)</v>
      </c>
      <c r="B102" s="4" t="s">
        <v>92</v>
      </c>
      <c r="C102" s="4" t="s">
        <v>527</v>
      </c>
      <c r="D102" s="4" t="s">
        <v>528</v>
      </c>
      <c r="E102" s="4" t="s">
        <v>520</v>
      </c>
      <c r="F102" s="4" t="s">
        <v>521</v>
      </c>
      <c r="G102" s="4" t="s">
        <v>38</v>
      </c>
      <c r="H102" s="5" t="e">
        <f>#REF!</f>
        <v>#REF!</v>
      </c>
      <c r="I102" s="6" t="e">
        <f t="shared" si="19"/>
        <v>#REF!</v>
      </c>
      <c r="J102" s="6" t="s">
        <v>84</v>
      </c>
      <c r="K102" s="6" t="s">
        <v>92</v>
      </c>
      <c r="L102" s="7" t="e">
        <f t="shared" si="20"/>
        <v>#REF!</v>
      </c>
      <c r="M102" s="7" t="s">
        <v>94</v>
      </c>
      <c r="O102" s="7" t="str">
        <f>IF(OR($C102="",$C102="FID YOK"),"",IF(ISNUMBER(MATCH($C102,FA_ANA,0)),"",IF(COUNTIF($C$1:$C101,$C102)&gt;0,"",MAX($O$1:$O101)+1)))</f>
        <v/>
      </c>
      <c r="T102" s="7">
        <f>IF(ISNA(MATCH($C102,FA,0)),0,IF($J102="GIRIS",N(INDEX(F_INKOR,MATCH($C102,FA,0))),0))</f>
        <v>0</v>
      </c>
      <c r="Y102" s="7" t="e">
        <f>N(#REF!)*IF($E102="упак",MAX(1,IF(ISNA(MATCH($C102,FA,0)),1,N(INDEX(F_PAKET,MATCH($C102,FA,0))))),1)</f>
        <v>#REF!</v>
      </c>
      <c r="Z102" s="7" t="e">
        <f t="shared" si="21"/>
        <v>#REF!</v>
      </c>
      <c r="AA102" s="7">
        <f>IF(OR(ISNA(MATCH($C102,FA,0)),$J102="YEDEK",$J102="SARF"),0,N(#REF!)*N(INDEX(F_TEL,MATCH($C102,FA,0))))</f>
        <v>0</v>
      </c>
      <c r="AB102" s="7">
        <f>IF(OR(ISNA(MATCH($C102,FA,0)),$J102="YEDEK",$J102="SARF"),0,N(#REF!)*N(INDEX(F_TELM,MATCH($C102,FA,0))))</f>
        <v>0</v>
      </c>
      <c r="AC102" s="7" t="e">
        <f t="shared" si="22"/>
        <v>#REF!</v>
      </c>
      <c r="AD102" s="7">
        <f>IF(OR(ISNA(MATCH($C102,FA,0)),$J102&lt;&gt;"CIKIS"),0,N(INDEX(F_KK,MATCH($C102,FA,0))))</f>
        <v>0</v>
      </c>
      <c r="AE102" s="7">
        <f>IF($AD102=0,0,N(#REF!)*N(INDEX(F_KLN,MATCH($C102,FA,0))))</f>
        <v>0</v>
      </c>
      <c r="AF102" s="7">
        <f>IF($AD102=0,0,N(#REF!)*N(INDEX(F_KPE,MATCH($C102,FA,0))))</f>
        <v>0</v>
      </c>
      <c r="AG102" s="7" t="e">
        <f>IF(ISNA(MATCH($C102,FA,0)),0,N(#REF!)*N(INDEX(F_MODUL,MATCH($C102,FA,0))))</f>
        <v>#REF!</v>
      </c>
      <c r="AH102" s="7" t="e">
        <f>N(#REF!)*N($I102)</f>
        <v>#REF!</v>
      </c>
      <c r="AI102" s="7" t="e">
        <f t="shared" si="23"/>
        <v>#REF!</v>
      </c>
      <c r="AJ102" s="7">
        <f t="shared" si="24"/>
        <v>0</v>
      </c>
    </row>
    <row r="103" spans="1:36" x14ac:dyDescent="0.25">
      <c r="A103" s="4" t="str">
        <f t="shared" si="18"/>
        <v>ВРУ-2 (Ввод + Секция 1 + Секция 2) (ВРУ1-14-20А)(ВРУ1-41-00А)(260922 akram aulet)</v>
      </c>
      <c r="B103" s="4" t="s">
        <v>92</v>
      </c>
      <c r="C103" s="4" t="s">
        <v>531</v>
      </c>
      <c r="D103" s="4" t="s">
        <v>532</v>
      </c>
      <c r="E103" s="4" t="s">
        <v>520</v>
      </c>
      <c r="F103" s="4" t="s">
        <v>521</v>
      </c>
      <c r="G103" s="4" t="s">
        <v>38</v>
      </c>
      <c r="H103" s="5" t="e">
        <f>#REF!</f>
        <v>#REF!</v>
      </c>
      <c r="I103" s="6" t="e">
        <f t="shared" si="19"/>
        <v>#REF!</v>
      </c>
      <c r="J103" s="6" t="s">
        <v>84</v>
      </c>
      <c r="K103" s="6" t="s">
        <v>92</v>
      </c>
      <c r="L103" s="7" t="e">
        <f t="shared" si="20"/>
        <v>#REF!</v>
      </c>
      <c r="M103" s="7" t="s">
        <v>95</v>
      </c>
      <c r="O103" s="7" t="str">
        <f>IF(OR($C103="",$C103="FID YOK"),"",IF(ISNUMBER(MATCH($C103,FA_ANA,0)),"",IF(COUNTIF($C$1:$C102,$C103)&gt;0,"",MAX($O$1:$O102)+1)))</f>
        <v/>
      </c>
      <c r="T103" s="7">
        <f>IF(ISNA(MATCH($C103,FA,0)),0,IF($J103="GIRIS",N(INDEX(F_INKOR,MATCH($C103,FA,0))),0))</f>
        <v>0</v>
      </c>
      <c r="Y103" s="7" t="e">
        <f>N(#REF!)*IF($E103="упак",MAX(1,IF(ISNA(MATCH($C103,FA,0)),1,N(INDEX(F_PAKET,MATCH($C103,FA,0))))),1)</f>
        <v>#REF!</v>
      </c>
      <c r="Z103" s="7" t="e">
        <f t="shared" si="21"/>
        <v>#REF!</v>
      </c>
      <c r="AA103" s="7">
        <f>IF(OR(ISNA(MATCH($C103,FA,0)),$J103="YEDEK",$J103="SARF"),0,N(#REF!)*N(INDEX(F_TEL,MATCH($C103,FA,0))))</f>
        <v>0</v>
      </c>
      <c r="AB103" s="7">
        <f>IF(OR(ISNA(MATCH($C103,FA,0)),$J103="YEDEK",$J103="SARF"),0,N(#REF!)*N(INDEX(F_TELM,MATCH($C103,FA,0))))</f>
        <v>0</v>
      </c>
      <c r="AC103" s="7" t="e">
        <f t="shared" si="22"/>
        <v>#REF!</v>
      </c>
      <c r="AD103" s="7">
        <f>IF(OR(ISNA(MATCH($C103,FA,0)),$J103&lt;&gt;"CIKIS"),0,N(INDEX(F_KK,MATCH($C103,FA,0))))</f>
        <v>0</v>
      </c>
      <c r="AE103" s="7">
        <f>IF($AD103=0,0,N(#REF!)*N(INDEX(F_KLN,MATCH($C103,FA,0))))</f>
        <v>0</v>
      </c>
      <c r="AF103" s="7">
        <f>IF($AD103=0,0,N(#REF!)*N(INDEX(F_KPE,MATCH($C103,FA,0))))</f>
        <v>0</v>
      </c>
      <c r="AG103" s="7" t="e">
        <f>IF(ISNA(MATCH($C103,FA,0)),0,N(#REF!)*N(INDEX(F_MODUL,MATCH($C103,FA,0))))</f>
        <v>#REF!</v>
      </c>
      <c r="AH103" s="7" t="e">
        <f>N(#REF!)*N($I103)</f>
        <v>#REF!</v>
      </c>
      <c r="AI103" s="7" t="e">
        <f t="shared" si="23"/>
        <v>#REF!</v>
      </c>
      <c r="AJ103" s="7">
        <f t="shared" si="24"/>
        <v>0</v>
      </c>
    </row>
    <row r="104" spans="1:36" x14ac:dyDescent="0.25">
      <c r="A104" s="4" t="str">
        <f t="shared" si="18"/>
        <v>ВРУ-2 (Ввод + Секция 1 + Секция 2) (ВРУ1-14-20А)(ВРУ1-41-00А)(260922 akram aulet)</v>
      </c>
      <c r="B104" s="4" t="s">
        <v>92</v>
      </c>
      <c r="C104" s="4" t="s">
        <v>541</v>
      </c>
      <c r="D104" s="4" t="s">
        <v>542</v>
      </c>
      <c r="E104" s="4" t="s">
        <v>520</v>
      </c>
      <c r="F104" s="4" t="s">
        <v>521</v>
      </c>
      <c r="G104" s="4" t="s">
        <v>38</v>
      </c>
      <c r="H104" s="5" t="e">
        <f>#REF!</f>
        <v>#REF!</v>
      </c>
      <c r="I104" s="6" t="e">
        <f t="shared" si="19"/>
        <v>#REF!</v>
      </c>
      <c r="J104" s="6" t="s">
        <v>84</v>
      </c>
      <c r="K104" s="6" t="s">
        <v>92</v>
      </c>
      <c r="L104" s="7" t="e">
        <f t="shared" si="20"/>
        <v>#REF!</v>
      </c>
      <c r="M104" s="7" t="s">
        <v>96</v>
      </c>
      <c r="O104" s="7" t="str">
        <f>IF(OR($C104="",$C104="FID YOK"),"",IF(ISNUMBER(MATCH($C104,FA_ANA,0)),"",IF(COUNTIF($C$1:$C103,$C104)&gt;0,"",MAX($O$1:$O103)+1)))</f>
        <v/>
      </c>
      <c r="T104" s="7">
        <f>IF(ISNA(MATCH($C104,FA,0)),0,IF($J104="GIRIS",N(INDEX(F_INKOR,MATCH($C104,FA,0))),0))</f>
        <v>0</v>
      </c>
      <c r="Y104" s="7" t="e">
        <f>N(#REF!)*IF($E104="упак",MAX(1,IF(ISNA(MATCH($C104,FA,0)),1,N(INDEX(F_PAKET,MATCH($C104,FA,0))))),1)</f>
        <v>#REF!</v>
      </c>
      <c r="Z104" s="7" t="e">
        <f t="shared" si="21"/>
        <v>#REF!</v>
      </c>
      <c r="AA104" s="7">
        <f>IF(OR(ISNA(MATCH($C104,FA,0)),$J104="YEDEK",$J104="SARF"),0,N(#REF!)*N(INDEX(F_TEL,MATCH($C104,FA,0))))</f>
        <v>0</v>
      </c>
      <c r="AB104" s="7">
        <f>IF(OR(ISNA(MATCH($C104,FA,0)),$J104="YEDEK",$J104="SARF"),0,N(#REF!)*N(INDEX(F_TELM,MATCH($C104,FA,0))))</f>
        <v>0</v>
      </c>
      <c r="AC104" s="7" t="e">
        <f t="shared" si="22"/>
        <v>#REF!</v>
      </c>
      <c r="AD104" s="7">
        <f>IF(OR(ISNA(MATCH($C104,FA,0)),$J104&lt;&gt;"CIKIS"),0,N(INDEX(F_KK,MATCH($C104,FA,0))))</f>
        <v>0</v>
      </c>
      <c r="AE104" s="7">
        <f>IF($AD104=0,0,N(#REF!)*N(INDEX(F_KLN,MATCH($C104,FA,0))))</f>
        <v>0</v>
      </c>
      <c r="AF104" s="7">
        <f>IF($AD104=0,0,N(#REF!)*N(INDEX(F_KPE,MATCH($C104,FA,0))))</f>
        <v>0</v>
      </c>
      <c r="AG104" s="7" t="e">
        <f>IF(ISNA(MATCH($C104,FA,0)),0,N(#REF!)*N(INDEX(F_MODUL,MATCH($C104,FA,0))))</f>
        <v>#REF!</v>
      </c>
      <c r="AH104" s="7" t="e">
        <f>N(#REF!)*N($I104)</f>
        <v>#REF!</v>
      </c>
      <c r="AI104" s="7" t="e">
        <f t="shared" si="23"/>
        <v>#REF!</v>
      </c>
      <c r="AJ104" s="7">
        <f t="shared" si="24"/>
        <v>0</v>
      </c>
    </row>
    <row r="105" spans="1:36" x14ac:dyDescent="0.25">
      <c r="A105" s="4" t="str">
        <f t="shared" si="18"/>
        <v>ВРУ-2 (Ввод + Секция 1 + Секция 2) (ВРУ1-14-20А)(ВРУ1-41-00А)(260922 akram aulet)</v>
      </c>
      <c r="B105" s="4" t="s">
        <v>92</v>
      </c>
      <c r="C105" s="4" t="s">
        <v>551</v>
      </c>
      <c r="D105" s="4" t="s">
        <v>552</v>
      </c>
      <c r="E105" s="4" t="s">
        <v>520</v>
      </c>
      <c r="F105" s="4" t="s">
        <v>521</v>
      </c>
      <c r="G105" s="4" t="s">
        <v>38</v>
      </c>
      <c r="H105" s="5" t="e">
        <f>#REF!</f>
        <v>#REF!</v>
      </c>
      <c r="I105" s="6" t="e">
        <f t="shared" si="19"/>
        <v>#REF!</v>
      </c>
      <c r="J105" s="6" t="s">
        <v>84</v>
      </c>
      <c r="K105" s="6" t="s">
        <v>92</v>
      </c>
      <c r="L105" s="7" t="e">
        <f t="shared" si="20"/>
        <v>#REF!</v>
      </c>
      <c r="M105" s="7" t="s">
        <v>97</v>
      </c>
      <c r="O105" s="7" t="str">
        <f>IF(OR($C105="",$C105="FID YOK"),"",IF(ISNUMBER(MATCH($C105,FA_ANA,0)),"",IF(COUNTIF($C$1:$C104,$C105)&gt;0,"",MAX($O$1:$O104)+1)))</f>
        <v/>
      </c>
      <c r="T105" s="7">
        <f>IF(ISNA(MATCH($C105,FA,0)),0,IF($J105="GIRIS",N(INDEX(F_INKOR,MATCH($C105,FA,0))),0))</f>
        <v>0</v>
      </c>
      <c r="Y105" s="7" t="e">
        <f>N(#REF!)*IF($E105="упак",MAX(1,IF(ISNA(MATCH($C105,FA,0)),1,N(INDEX(F_PAKET,MATCH($C105,FA,0))))),1)</f>
        <v>#REF!</v>
      </c>
      <c r="Z105" s="7" t="e">
        <f t="shared" si="21"/>
        <v>#REF!</v>
      </c>
      <c r="AA105" s="7">
        <f>IF(OR(ISNA(MATCH($C105,FA,0)),$J105="YEDEK",$J105="SARF"),0,N(#REF!)*N(INDEX(F_TEL,MATCH($C105,FA,0))))</f>
        <v>0</v>
      </c>
      <c r="AB105" s="7">
        <f>IF(OR(ISNA(MATCH($C105,FA,0)),$J105="YEDEK",$J105="SARF"),0,N(#REF!)*N(INDEX(F_TELM,MATCH($C105,FA,0))))</f>
        <v>0</v>
      </c>
      <c r="AC105" s="7" t="e">
        <f t="shared" si="22"/>
        <v>#REF!</v>
      </c>
      <c r="AD105" s="7">
        <f>IF(OR(ISNA(MATCH($C105,FA,0)),$J105&lt;&gt;"CIKIS"),0,N(INDEX(F_KK,MATCH($C105,FA,0))))</f>
        <v>0</v>
      </c>
      <c r="AE105" s="7">
        <f>IF($AD105=0,0,N(#REF!)*N(INDEX(F_KLN,MATCH($C105,FA,0))))</f>
        <v>0</v>
      </c>
      <c r="AF105" s="7">
        <f>IF($AD105=0,0,N(#REF!)*N(INDEX(F_KPE,MATCH($C105,FA,0))))</f>
        <v>0</v>
      </c>
      <c r="AG105" s="7" t="e">
        <f>IF(ISNA(MATCH($C105,FA,0)),0,N(#REF!)*N(INDEX(F_MODUL,MATCH($C105,FA,0))))</f>
        <v>#REF!</v>
      </c>
      <c r="AH105" s="7" t="e">
        <f>N(#REF!)*N($I105)</f>
        <v>#REF!</v>
      </c>
      <c r="AI105" s="7" t="e">
        <f t="shared" si="23"/>
        <v>#REF!</v>
      </c>
      <c r="AJ105" s="7">
        <f t="shared" si="24"/>
        <v>0</v>
      </c>
    </row>
    <row r="106" spans="1:36" x14ac:dyDescent="0.25">
      <c r="A106" s="4" t="str">
        <f t="shared" si="18"/>
        <v>ВРУ-2 (Ввод + Секция 1 + Секция 2) (ВРУ1-14-20А)(ВРУ1-41-00А)(260922 akram aulet)</v>
      </c>
      <c r="B106" s="4" t="s">
        <v>92</v>
      </c>
      <c r="C106" s="4" t="s">
        <v>555</v>
      </c>
      <c r="D106" s="4" t="s">
        <v>556</v>
      </c>
      <c r="E106" s="4" t="s">
        <v>520</v>
      </c>
      <c r="F106" s="4" t="s">
        <v>521</v>
      </c>
      <c r="G106" s="4" t="s">
        <v>38</v>
      </c>
      <c r="H106" s="5" t="e">
        <f>#REF!</f>
        <v>#REF!</v>
      </c>
      <c r="I106" s="6" t="e">
        <f t="shared" si="19"/>
        <v>#REF!</v>
      </c>
      <c r="J106" s="6" t="s">
        <v>84</v>
      </c>
      <c r="K106" s="6" t="s">
        <v>92</v>
      </c>
      <c r="L106" s="7" t="e">
        <f t="shared" si="20"/>
        <v>#REF!</v>
      </c>
      <c r="M106" s="7" t="s">
        <v>98</v>
      </c>
      <c r="O106" s="7" t="str">
        <f>IF(OR($C106="",$C106="FID YOK"),"",IF(ISNUMBER(MATCH($C106,FA_ANA,0)),"",IF(COUNTIF($C$1:$C105,$C106)&gt;0,"",MAX($O$1:$O105)+1)))</f>
        <v/>
      </c>
      <c r="T106" s="7">
        <f>IF(ISNA(MATCH($C106,FA,0)),0,IF($J106="GIRIS",N(INDEX(F_INKOR,MATCH($C106,FA,0))),0))</f>
        <v>0</v>
      </c>
      <c r="Y106" s="7" t="e">
        <f>N(#REF!)*IF($E106="упак",MAX(1,IF(ISNA(MATCH($C106,FA,0)),1,N(INDEX(F_PAKET,MATCH($C106,FA,0))))),1)</f>
        <v>#REF!</v>
      </c>
      <c r="Z106" s="7" t="e">
        <f t="shared" si="21"/>
        <v>#REF!</v>
      </c>
      <c r="AA106" s="7">
        <f>IF(OR(ISNA(MATCH($C106,FA,0)),$J106="YEDEK",$J106="SARF"),0,N(#REF!)*N(INDEX(F_TEL,MATCH($C106,FA,0))))</f>
        <v>0</v>
      </c>
      <c r="AB106" s="7">
        <f>IF(OR(ISNA(MATCH($C106,FA,0)),$J106="YEDEK",$J106="SARF"),0,N(#REF!)*N(INDEX(F_TELM,MATCH($C106,FA,0))))</f>
        <v>0</v>
      </c>
      <c r="AC106" s="7" t="e">
        <f t="shared" si="22"/>
        <v>#REF!</v>
      </c>
      <c r="AD106" s="7">
        <f>IF(OR(ISNA(MATCH($C106,FA,0)),$J106&lt;&gt;"CIKIS"),0,N(INDEX(F_KK,MATCH($C106,FA,0))))</f>
        <v>0</v>
      </c>
      <c r="AE106" s="7">
        <f>IF($AD106=0,0,N(#REF!)*N(INDEX(F_KLN,MATCH($C106,FA,0))))</f>
        <v>0</v>
      </c>
      <c r="AF106" s="7">
        <f>IF($AD106=0,0,N(#REF!)*N(INDEX(F_KPE,MATCH($C106,FA,0))))</f>
        <v>0</v>
      </c>
      <c r="AG106" s="7" t="e">
        <f>IF(ISNA(MATCH($C106,FA,0)),0,N(#REF!)*N(INDEX(F_MODUL,MATCH($C106,FA,0))))</f>
        <v>#REF!</v>
      </c>
      <c r="AH106" s="7" t="e">
        <f>N(#REF!)*N($I106)</f>
        <v>#REF!</v>
      </c>
      <c r="AI106" s="7" t="e">
        <f t="shared" si="23"/>
        <v>#REF!</v>
      </c>
      <c r="AJ106" s="7">
        <f t="shared" si="24"/>
        <v>0</v>
      </c>
    </row>
    <row r="107" spans="1:36" x14ac:dyDescent="0.25">
      <c r="A107" s="4" t="str">
        <f t="shared" si="18"/>
        <v>ВРУ-2 (Ввод + Секция 1 + Секция 2) (ВРУ1-14-20А)(ВРУ1-41-00А)(260922 akram aulet)</v>
      </c>
      <c r="B107" s="4" t="s">
        <v>92</v>
      </c>
      <c r="C107" s="4" t="s">
        <v>567</v>
      </c>
      <c r="D107" s="4" t="s">
        <v>568</v>
      </c>
      <c r="E107" s="4" t="s">
        <v>520</v>
      </c>
      <c r="F107" s="4" t="s">
        <v>521</v>
      </c>
      <c r="G107" s="4" t="s">
        <v>38</v>
      </c>
      <c r="H107" s="5" t="e">
        <f>#REF!</f>
        <v>#REF!</v>
      </c>
      <c r="I107" s="6" t="e">
        <f t="shared" si="19"/>
        <v>#REF!</v>
      </c>
      <c r="J107" s="6" t="s">
        <v>84</v>
      </c>
      <c r="K107" s="6" t="s">
        <v>92</v>
      </c>
      <c r="L107" s="7" t="e">
        <f t="shared" si="20"/>
        <v>#REF!</v>
      </c>
      <c r="M107" s="7" t="s">
        <v>99</v>
      </c>
      <c r="O107" s="7" t="str">
        <f>IF(OR($C107="",$C107="FID YOK"),"",IF(ISNUMBER(MATCH($C107,FA_ANA,0)),"",IF(COUNTIF($C$1:$C106,$C107)&gt;0,"",MAX($O$1:$O106)+1)))</f>
        <v/>
      </c>
      <c r="T107" s="7">
        <f>IF(ISNA(MATCH($C107,FA,0)),0,IF($J107="GIRIS",N(INDEX(F_INKOR,MATCH($C107,FA,0))),0))</f>
        <v>0</v>
      </c>
      <c r="Y107" s="7" t="e">
        <f>N(#REF!)*IF($E107="упак",MAX(1,IF(ISNA(MATCH($C107,FA,0)),1,N(INDEX(F_PAKET,MATCH($C107,FA,0))))),1)</f>
        <v>#REF!</v>
      </c>
      <c r="Z107" s="7" t="e">
        <f t="shared" si="21"/>
        <v>#REF!</v>
      </c>
      <c r="AA107" s="7">
        <f>IF(OR(ISNA(MATCH($C107,FA,0)),$J107="YEDEK",$J107="SARF"),0,N(#REF!)*N(INDEX(F_TEL,MATCH($C107,FA,0))))</f>
        <v>0</v>
      </c>
      <c r="AB107" s="7">
        <f>IF(OR(ISNA(MATCH($C107,FA,0)),$J107="YEDEK",$J107="SARF"),0,N(#REF!)*N(INDEX(F_TELM,MATCH($C107,FA,0))))</f>
        <v>0</v>
      </c>
      <c r="AC107" s="7" t="e">
        <f t="shared" si="22"/>
        <v>#REF!</v>
      </c>
      <c r="AD107" s="7">
        <f>IF(OR(ISNA(MATCH($C107,FA,0)),$J107&lt;&gt;"CIKIS"),0,N(INDEX(F_KK,MATCH($C107,FA,0))))</f>
        <v>0</v>
      </c>
      <c r="AE107" s="7">
        <f>IF($AD107=0,0,N(#REF!)*N(INDEX(F_KLN,MATCH($C107,FA,0))))</f>
        <v>0</v>
      </c>
      <c r="AF107" s="7">
        <f>IF($AD107=0,0,N(#REF!)*N(INDEX(F_KPE,MATCH($C107,FA,0))))</f>
        <v>0</v>
      </c>
      <c r="AG107" s="7" t="e">
        <f>IF(ISNA(MATCH($C107,FA,0)),0,N(#REF!)*N(INDEX(F_MODUL,MATCH($C107,FA,0))))</f>
        <v>#REF!</v>
      </c>
      <c r="AH107" s="7" t="e">
        <f>N(#REF!)*N($I107)</f>
        <v>#REF!</v>
      </c>
      <c r="AI107" s="7" t="e">
        <f t="shared" si="23"/>
        <v>#REF!</v>
      </c>
      <c r="AJ107" s="7">
        <f t="shared" si="24"/>
        <v>0</v>
      </c>
    </row>
    <row r="108" spans="1:36" x14ac:dyDescent="0.25">
      <c r="A108" s="4" t="str">
        <f t="shared" si="18"/>
        <v>ВРУ-2 (Ввод + Секция 1 + Секция 2) (ВРУ1-14-20А)(ВРУ1-41-00А)(260922 akram aulet)</v>
      </c>
      <c r="B108" s="4" t="s">
        <v>92</v>
      </c>
      <c r="C108" s="4" t="s">
        <v>535</v>
      </c>
      <c r="D108" s="4" t="s">
        <v>536</v>
      </c>
      <c r="E108" s="4" t="s">
        <v>520</v>
      </c>
      <c r="F108" s="4" t="s">
        <v>521</v>
      </c>
      <c r="G108" s="4" t="s">
        <v>38</v>
      </c>
      <c r="H108" s="5" t="e">
        <f>#REF!</f>
        <v>#REF!</v>
      </c>
      <c r="I108" s="6" t="e">
        <f t="shared" si="19"/>
        <v>#REF!</v>
      </c>
      <c r="J108" s="6" t="s">
        <v>84</v>
      </c>
      <c r="K108" s="6" t="s">
        <v>92</v>
      </c>
      <c r="L108" s="7" t="e">
        <f t="shared" si="20"/>
        <v>#REF!</v>
      </c>
      <c r="M108" s="7" t="s">
        <v>100</v>
      </c>
      <c r="O108" s="7" t="str">
        <f>IF(OR($C108="",$C108="FID YOK"),"",IF(ISNUMBER(MATCH($C108,FA_ANA,0)),"",IF(COUNTIF($C$1:$C107,$C108)&gt;0,"",MAX($O$1:$O107)+1)))</f>
        <v/>
      </c>
      <c r="T108" s="7">
        <f>IF(ISNA(MATCH($C108,FA,0)),0,IF($J108="GIRIS",N(INDEX(F_INKOR,MATCH($C108,FA,0))),0))</f>
        <v>0</v>
      </c>
      <c r="Y108" s="7" t="e">
        <f>N(#REF!)*IF($E108="упак",MAX(1,IF(ISNA(MATCH($C108,FA,0)),1,N(INDEX(F_PAKET,MATCH($C108,FA,0))))),1)</f>
        <v>#REF!</v>
      </c>
      <c r="Z108" s="7" t="e">
        <f t="shared" si="21"/>
        <v>#REF!</v>
      </c>
      <c r="AA108" s="7">
        <f>IF(OR(ISNA(MATCH($C108,FA,0)),$J108="YEDEK",$J108="SARF"),0,N(#REF!)*N(INDEX(F_TEL,MATCH($C108,FA,0))))</f>
        <v>0</v>
      </c>
      <c r="AB108" s="7">
        <f>IF(OR(ISNA(MATCH($C108,FA,0)),$J108="YEDEK",$J108="SARF"),0,N(#REF!)*N(INDEX(F_TELM,MATCH($C108,FA,0))))</f>
        <v>0</v>
      </c>
      <c r="AC108" s="7" t="e">
        <f t="shared" si="22"/>
        <v>#REF!</v>
      </c>
      <c r="AD108" s="7">
        <f>IF(OR(ISNA(MATCH($C108,FA,0)),$J108&lt;&gt;"CIKIS"),0,N(INDEX(F_KK,MATCH($C108,FA,0))))</f>
        <v>0</v>
      </c>
      <c r="AE108" s="7">
        <f>IF($AD108=0,0,N(#REF!)*N(INDEX(F_KLN,MATCH($C108,FA,0))))</f>
        <v>0</v>
      </c>
      <c r="AF108" s="7">
        <f>IF($AD108=0,0,N(#REF!)*N(INDEX(F_KPE,MATCH($C108,FA,0))))</f>
        <v>0</v>
      </c>
      <c r="AG108" s="7" t="e">
        <f>IF(ISNA(MATCH($C108,FA,0)),0,N(#REF!)*N(INDEX(F_MODUL,MATCH($C108,FA,0))))</f>
        <v>#REF!</v>
      </c>
      <c r="AH108" s="7" t="e">
        <f>N(#REF!)*N($I108)</f>
        <v>#REF!</v>
      </c>
      <c r="AI108" s="7" t="e">
        <f t="shared" si="23"/>
        <v>#REF!</v>
      </c>
      <c r="AJ108" s="7">
        <f t="shared" si="24"/>
        <v>0</v>
      </c>
    </row>
    <row r="109" spans="1:36" x14ac:dyDescent="0.25">
      <c r="A109" s="4" t="str">
        <f t="shared" si="18"/>
        <v>ВРУ-2 (Ввод + Секция 1 + Секция 2) (ВРУ1-14-20А)(ВРУ1-41-00А)(260922 akram aulet)</v>
      </c>
      <c r="B109" s="4" t="s">
        <v>101</v>
      </c>
      <c r="C109" s="4" t="s">
        <v>525</v>
      </c>
      <c r="D109" s="4" t="s">
        <v>526</v>
      </c>
      <c r="E109" s="4" t="s">
        <v>522</v>
      </c>
      <c r="F109" s="4" t="s">
        <v>486</v>
      </c>
      <c r="G109" s="4" t="s">
        <v>38</v>
      </c>
      <c r="H109" s="5" t="e">
        <f>#REF!</f>
        <v>#REF!</v>
      </c>
      <c r="I109" s="6" t="e">
        <f t="shared" si="19"/>
        <v>#REF!</v>
      </c>
      <c r="J109" s="6" t="s">
        <v>84</v>
      </c>
      <c r="K109" s="6" t="s">
        <v>101</v>
      </c>
      <c r="L109" s="7" t="e">
        <f t="shared" si="20"/>
        <v>#REF!</v>
      </c>
      <c r="M109" s="7" t="s">
        <v>102</v>
      </c>
      <c r="O109" s="7" t="str">
        <f>IF(OR($C109="",$C109="FID YOK"),"",IF(ISNUMBER(MATCH($C109,FA_ANA,0)),"",IF(COUNTIF($C$1:$C108,$C109)&gt;0,"",MAX($O$1:$O108)+1)))</f>
        <v/>
      </c>
      <c r="T109" s="7">
        <f>IF(ISNA(MATCH($C109,FA,0)),0,IF($J109="GIRIS",N(INDEX(F_INKOR,MATCH($C109,FA,0))),0))</f>
        <v>0</v>
      </c>
      <c r="Y109" s="7" t="e">
        <f>N(#REF!)*IF($E109="упак",MAX(1,IF(ISNA(MATCH($C109,FA,0)),1,N(INDEX(F_PAKET,MATCH($C109,FA,0))))),1)</f>
        <v>#REF!</v>
      </c>
      <c r="Z109" s="7" t="e">
        <f t="shared" si="21"/>
        <v>#REF!</v>
      </c>
      <c r="AA109" s="7">
        <f>IF(OR(ISNA(MATCH($C109,FA,0)),$J109="YEDEK",$J109="SARF"),0,N(#REF!)*N(INDEX(F_TEL,MATCH($C109,FA,0))))</f>
        <v>0</v>
      </c>
      <c r="AB109" s="7">
        <f>IF(OR(ISNA(MATCH($C109,FA,0)),$J109="YEDEK",$J109="SARF"),0,N(#REF!)*N(INDEX(F_TELM,MATCH($C109,FA,0))))</f>
        <v>0</v>
      </c>
      <c r="AC109" s="7" t="e">
        <f t="shared" si="22"/>
        <v>#REF!</v>
      </c>
      <c r="AD109" s="7">
        <f>IF(OR(ISNA(MATCH($C109,FA,0)),$J109&lt;&gt;"CIKIS"),0,N(INDEX(F_KK,MATCH($C109,FA,0))))</f>
        <v>0</v>
      </c>
      <c r="AE109" s="7">
        <f>IF($AD109=0,0,N(#REF!)*N(INDEX(F_KLN,MATCH($C109,FA,0))))</f>
        <v>0</v>
      </c>
      <c r="AF109" s="7">
        <f>IF($AD109=0,0,N(#REF!)*N(INDEX(F_KPE,MATCH($C109,FA,0))))</f>
        <v>0</v>
      </c>
      <c r="AG109" s="7" t="e">
        <f>IF(ISNA(MATCH($C109,FA,0)),0,N(#REF!)*N(INDEX(F_MODUL,MATCH($C109,FA,0))))</f>
        <v>#REF!</v>
      </c>
      <c r="AH109" s="7" t="e">
        <f>N(#REF!)*N($I109)</f>
        <v>#REF!</v>
      </c>
      <c r="AI109" s="7" t="e">
        <f t="shared" si="23"/>
        <v>#REF!</v>
      </c>
      <c r="AJ109" s="7">
        <f t="shared" si="24"/>
        <v>0</v>
      </c>
    </row>
    <row r="110" spans="1:36" x14ac:dyDescent="0.25">
      <c r="A110" s="4" t="str">
        <f t="shared" si="18"/>
        <v>ВРУ-2 (Ввод + Секция 1 + Секция 2) (ВРУ1-14-20А)(ВРУ1-41-00А)(260922 akram aulet)</v>
      </c>
      <c r="B110" s="4" t="s">
        <v>101</v>
      </c>
      <c r="C110" s="4" t="s">
        <v>529</v>
      </c>
      <c r="D110" s="4" t="s">
        <v>530</v>
      </c>
      <c r="E110" s="4" t="s">
        <v>522</v>
      </c>
      <c r="F110" s="4" t="s">
        <v>486</v>
      </c>
      <c r="G110" s="4" t="s">
        <v>38</v>
      </c>
      <c r="H110" s="5" t="e">
        <f>#REF!</f>
        <v>#REF!</v>
      </c>
      <c r="I110" s="6" t="e">
        <f t="shared" si="19"/>
        <v>#REF!</v>
      </c>
      <c r="J110" s="6" t="s">
        <v>84</v>
      </c>
      <c r="K110" s="6" t="s">
        <v>101</v>
      </c>
      <c r="L110" s="7" t="e">
        <f t="shared" si="20"/>
        <v>#REF!</v>
      </c>
      <c r="M110" s="7" t="s">
        <v>103</v>
      </c>
      <c r="O110" s="7" t="str">
        <f>IF(OR($C110="",$C110="FID YOK"),"",IF(ISNUMBER(MATCH($C110,FA_ANA,0)),"",IF(COUNTIF($C$1:$C109,$C110)&gt;0,"",MAX($O$1:$O109)+1)))</f>
        <v/>
      </c>
      <c r="T110" s="7">
        <f>IF(ISNA(MATCH($C110,FA,0)),0,IF($J110="GIRIS",N(INDEX(F_INKOR,MATCH($C110,FA,0))),0))</f>
        <v>0</v>
      </c>
      <c r="Y110" s="7" t="e">
        <f>N(#REF!)*IF($E110="упак",MAX(1,IF(ISNA(MATCH($C110,FA,0)),1,N(INDEX(F_PAKET,MATCH($C110,FA,0))))),1)</f>
        <v>#REF!</v>
      </c>
      <c r="Z110" s="7" t="e">
        <f t="shared" si="21"/>
        <v>#REF!</v>
      </c>
      <c r="AA110" s="7">
        <f>IF(OR(ISNA(MATCH($C110,FA,0)),$J110="YEDEK",$J110="SARF"),0,N(#REF!)*N(INDEX(F_TEL,MATCH($C110,FA,0))))</f>
        <v>0</v>
      </c>
      <c r="AB110" s="7">
        <f>IF(OR(ISNA(MATCH($C110,FA,0)),$J110="YEDEK",$J110="SARF"),0,N(#REF!)*N(INDEX(F_TELM,MATCH($C110,FA,0))))</f>
        <v>0</v>
      </c>
      <c r="AC110" s="7" t="e">
        <f t="shared" si="22"/>
        <v>#REF!</v>
      </c>
      <c r="AD110" s="7">
        <f>IF(OR(ISNA(MATCH($C110,FA,0)),$J110&lt;&gt;"CIKIS"),0,N(INDEX(F_KK,MATCH($C110,FA,0))))</f>
        <v>0</v>
      </c>
      <c r="AE110" s="7">
        <f>IF($AD110=0,0,N(#REF!)*N(INDEX(F_KLN,MATCH($C110,FA,0))))</f>
        <v>0</v>
      </c>
      <c r="AF110" s="7">
        <f>IF($AD110=0,0,N(#REF!)*N(INDEX(F_KPE,MATCH($C110,FA,0))))</f>
        <v>0</v>
      </c>
      <c r="AG110" s="7" t="e">
        <f>IF(ISNA(MATCH($C110,FA,0)),0,N(#REF!)*N(INDEX(F_MODUL,MATCH($C110,FA,0))))</f>
        <v>#REF!</v>
      </c>
      <c r="AH110" s="7" t="e">
        <f>N(#REF!)*N($I110)</f>
        <v>#REF!</v>
      </c>
      <c r="AI110" s="7" t="e">
        <f t="shared" si="23"/>
        <v>#REF!</v>
      </c>
      <c r="AJ110" s="7">
        <f t="shared" si="24"/>
        <v>0</v>
      </c>
    </row>
    <row r="111" spans="1:36" x14ac:dyDescent="0.25">
      <c r="A111" s="4" t="str">
        <f t="shared" si="18"/>
        <v>ВРУ-2 (Ввод + Секция 1 + Секция 2) (ВРУ1-14-20А)(ВРУ1-41-00А)(260922 akram aulet)</v>
      </c>
      <c r="B111" s="4" t="s">
        <v>101</v>
      </c>
      <c r="C111" s="4" t="s">
        <v>533</v>
      </c>
      <c r="D111" s="4" t="s">
        <v>534</v>
      </c>
      <c r="E111" s="4" t="s">
        <v>522</v>
      </c>
      <c r="F111" s="4" t="s">
        <v>486</v>
      </c>
      <c r="G111" s="4" t="s">
        <v>38</v>
      </c>
      <c r="H111" s="5" t="e">
        <f>#REF!</f>
        <v>#REF!</v>
      </c>
      <c r="I111" s="6" t="e">
        <f t="shared" si="19"/>
        <v>#REF!</v>
      </c>
      <c r="J111" s="6" t="s">
        <v>84</v>
      </c>
      <c r="K111" s="6" t="s">
        <v>101</v>
      </c>
      <c r="L111" s="7" t="e">
        <f t="shared" si="20"/>
        <v>#REF!</v>
      </c>
      <c r="M111" s="7" t="s">
        <v>104</v>
      </c>
      <c r="O111" s="7" t="str">
        <f>IF(OR($C111="",$C111="FID YOK"),"",IF(ISNUMBER(MATCH($C111,FA_ANA,0)),"",IF(COUNTIF($C$1:$C110,$C111)&gt;0,"",MAX($O$1:$O110)+1)))</f>
        <v/>
      </c>
      <c r="T111" s="7">
        <f>IF(ISNA(MATCH($C111,FA,0)),0,IF($J111="GIRIS",N(INDEX(F_INKOR,MATCH($C111,FA,0))),0))</f>
        <v>0</v>
      </c>
      <c r="Y111" s="7" t="e">
        <f>N(#REF!)*IF($E111="упак",MAX(1,IF(ISNA(MATCH($C111,FA,0)),1,N(INDEX(F_PAKET,MATCH($C111,FA,0))))),1)</f>
        <v>#REF!</v>
      </c>
      <c r="Z111" s="7" t="e">
        <f t="shared" si="21"/>
        <v>#REF!</v>
      </c>
      <c r="AA111" s="7">
        <f>IF(OR(ISNA(MATCH($C111,FA,0)),$J111="YEDEK",$J111="SARF"),0,N(#REF!)*N(INDEX(F_TEL,MATCH($C111,FA,0))))</f>
        <v>0</v>
      </c>
      <c r="AB111" s="7">
        <f>IF(OR(ISNA(MATCH($C111,FA,0)),$J111="YEDEK",$J111="SARF"),0,N(#REF!)*N(INDEX(F_TELM,MATCH($C111,FA,0))))</f>
        <v>0</v>
      </c>
      <c r="AC111" s="7" t="e">
        <f t="shared" si="22"/>
        <v>#REF!</v>
      </c>
      <c r="AD111" s="7">
        <f>IF(OR(ISNA(MATCH($C111,FA,0)),$J111&lt;&gt;"CIKIS"),0,N(INDEX(F_KK,MATCH($C111,FA,0))))</f>
        <v>0</v>
      </c>
      <c r="AE111" s="7">
        <f>IF($AD111=0,0,N(#REF!)*N(INDEX(F_KLN,MATCH($C111,FA,0))))</f>
        <v>0</v>
      </c>
      <c r="AF111" s="7">
        <f>IF($AD111=0,0,N(#REF!)*N(INDEX(F_KPE,MATCH($C111,FA,0))))</f>
        <v>0</v>
      </c>
      <c r="AG111" s="7" t="e">
        <f>IF(ISNA(MATCH($C111,FA,0)),0,N(#REF!)*N(INDEX(F_MODUL,MATCH($C111,FA,0))))</f>
        <v>#REF!</v>
      </c>
      <c r="AH111" s="7" t="e">
        <f>N(#REF!)*N($I111)</f>
        <v>#REF!</v>
      </c>
      <c r="AI111" s="7" t="e">
        <f t="shared" si="23"/>
        <v>#REF!</v>
      </c>
      <c r="AJ111" s="7">
        <f t="shared" si="24"/>
        <v>0</v>
      </c>
    </row>
    <row r="112" spans="1:36" x14ac:dyDescent="0.25">
      <c r="A112" s="4" t="e">
        <f>#REF!</f>
        <v>#REF!</v>
      </c>
      <c r="B112" s="4" t="s">
        <v>105</v>
      </c>
      <c r="C112" s="4" t="s">
        <v>543</v>
      </c>
      <c r="D112" s="4" t="s">
        <v>544</v>
      </c>
      <c r="E112" s="4" t="s">
        <v>114</v>
      </c>
      <c r="F112" s="4" t="s">
        <v>486</v>
      </c>
      <c r="G112" s="4" t="s">
        <v>38</v>
      </c>
      <c r="H112" s="5" t="e">
        <f>#REF!</f>
        <v>#REF!</v>
      </c>
      <c r="I112" s="6" t="e">
        <f>#REF!</f>
        <v>#REF!</v>
      </c>
      <c r="J112" s="6" t="s">
        <v>84</v>
      </c>
      <c r="K112" s="6" t="s">
        <v>105</v>
      </c>
      <c r="L112" s="7" t="e">
        <f t="shared" si="20"/>
        <v>#REF!</v>
      </c>
      <c r="M112" s="7" t="s">
        <v>106</v>
      </c>
      <c r="O112" s="7" t="str">
        <f>IF(OR($C112="",$C112="FID YOK"),"",IF(ISNUMBER(MATCH($C112,FA_ANA,0)),"",IF(COUNTIF($C$1:$C111,$C112)&gt;0,"",MAX($O$1:$O111)+1)))</f>
        <v/>
      </c>
      <c r="T112" s="7">
        <f>IF(ISNA(MATCH($C112,FA,0)),0,IF($J112="GIRIS",N(INDEX(F_INKOR,MATCH($C112,FA,0))),0))</f>
        <v>0</v>
      </c>
      <c r="Y112" s="7" t="e">
        <f>N(#REF!)*IF($E112="упак",MAX(1,IF(ISNA(MATCH($C112,FA,0)),1,N(INDEX(F_PAKET,MATCH($C112,FA,0))))),1)</f>
        <v>#REF!</v>
      </c>
      <c r="Z112" s="7" t="e">
        <f t="shared" si="21"/>
        <v>#REF!</v>
      </c>
      <c r="AA112" s="7">
        <f>IF(OR(ISNA(MATCH($C112,FA,0)),$J112="YEDEK",$J112="SARF"),0,N(#REF!)*N(INDEX(F_TEL,MATCH($C112,FA,0))))</f>
        <v>0</v>
      </c>
      <c r="AB112" s="7">
        <f>IF(OR(ISNA(MATCH($C112,FA,0)),$J112="YEDEK",$J112="SARF"),0,N(#REF!)*N(INDEX(F_TELM,MATCH($C112,FA,0))))</f>
        <v>0</v>
      </c>
      <c r="AC112" s="7" t="e">
        <f t="shared" si="22"/>
        <v>#REF!</v>
      </c>
      <c r="AD112" s="7">
        <f>IF(OR(ISNA(MATCH($C112,FA,0)),$J112&lt;&gt;"CIKIS"),0,N(INDEX(F_KK,MATCH($C112,FA,0))))</f>
        <v>0</v>
      </c>
      <c r="AE112" s="7">
        <f>IF($AD112=0,0,N(#REF!)*N(INDEX(F_KLN,MATCH($C112,FA,0))))</f>
        <v>0</v>
      </c>
      <c r="AF112" s="7">
        <f>IF($AD112=0,0,N(#REF!)*N(INDEX(F_KPE,MATCH($C112,FA,0))))</f>
        <v>0</v>
      </c>
      <c r="AG112" s="7" t="e">
        <f>IF(ISNA(MATCH($C112,FA,0)),0,N(#REF!)*N(INDEX(F_MODUL,MATCH($C112,FA,0))))</f>
        <v>#REF!</v>
      </c>
      <c r="AH112" s="7" t="e">
        <f>N(#REF!)*N($I112)</f>
        <v>#REF!</v>
      </c>
      <c r="AI112" s="7" t="e">
        <f t="shared" si="23"/>
        <v>#REF!</v>
      </c>
      <c r="AJ112" s="7">
        <f t="shared" si="24"/>
        <v>0</v>
      </c>
    </row>
    <row r="113" spans="1:36" x14ac:dyDescent="0.25">
      <c r="A113" s="4" t="e">
        <f t="shared" si="18"/>
        <v>#REF!</v>
      </c>
      <c r="B113" s="4" t="s">
        <v>105</v>
      </c>
      <c r="C113" s="4" t="s">
        <v>553</v>
      </c>
      <c r="D113" s="4" t="s">
        <v>554</v>
      </c>
      <c r="E113" s="4" t="s">
        <v>114</v>
      </c>
      <c r="F113" s="4" t="s">
        <v>486</v>
      </c>
      <c r="G113" s="4" t="s">
        <v>38</v>
      </c>
      <c r="H113" s="5" t="e">
        <f>#REF!</f>
        <v>#REF!</v>
      </c>
      <c r="I113" s="6" t="e">
        <f t="shared" si="19"/>
        <v>#REF!</v>
      </c>
      <c r="J113" s="6" t="s">
        <v>84</v>
      </c>
      <c r="K113" s="6" t="s">
        <v>105</v>
      </c>
      <c r="L113" s="7" t="e">
        <f t="shared" si="20"/>
        <v>#REF!</v>
      </c>
      <c r="M113" s="7" t="s">
        <v>107</v>
      </c>
      <c r="O113" s="7" t="str">
        <f>IF(OR($C113="",$C113="FID YOK"),"",IF(ISNUMBER(MATCH($C113,FA_ANA,0)),"",IF(COUNTIF($C$1:$C112,$C113)&gt;0,"",MAX($O$1:$O112)+1)))</f>
        <v/>
      </c>
      <c r="T113" s="7">
        <f>IF(ISNA(MATCH($C113,FA,0)),0,IF($J113="GIRIS",N(INDEX(F_INKOR,MATCH($C113,FA,0))),0))</f>
        <v>0</v>
      </c>
      <c r="Y113" s="7" t="e">
        <f>N(#REF!)*IF($E113="упак",MAX(1,IF(ISNA(MATCH($C113,FA,0)),1,N(INDEX(F_PAKET,MATCH($C113,FA,0))))),1)</f>
        <v>#REF!</v>
      </c>
      <c r="Z113" s="7" t="e">
        <f t="shared" si="21"/>
        <v>#REF!</v>
      </c>
      <c r="AA113" s="7">
        <f>IF(OR(ISNA(MATCH($C113,FA,0)),$J113="YEDEK",$J113="SARF"),0,N(#REF!)*N(INDEX(F_TEL,MATCH($C113,FA,0))))</f>
        <v>0</v>
      </c>
      <c r="AB113" s="7">
        <f>IF(OR(ISNA(MATCH($C113,FA,0)),$J113="YEDEK",$J113="SARF"),0,N(#REF!)*N(INDEX(F_TELM,MATCH($C113,FA,0))))</f>
        <v>0</v>
      </c>
      <c r="AC113" s="7" t="e">
        <f t="shared" si="22"/>
        <v>#REF!</v>
      </c>
      <c r="AD113" s="7">
        <f>IF(OR(ISNA(MATCH($C113,FA,0)),$J113&lt;&gt;"CIKIS"),0,N(INDEX(F_KK,MATCH($C113,FA,0))))</f>
        <v>0</v>
      </c>
      <c r="AE113" s="7">
        <f>IF($AD113=0,0,N(#REF!)*N(INDEX(F_KLN,MATCH($C113,FA,0))))</f>
        <v>0</v>
      </c>
      <c r="AF113" s="7">
        <f>IF($AD113=0,0,N(#REF!)*N(INDEX(F_KPE,MATCH($C113,FA,0))))</f>
        <v>0</v>
      </c>
      <c r="AG113" s="7" t="e">
        <f>IF(ISNA(MATCH($C113,FA,0)),0,N(#REF!)*N(INDEX(F_MODUL,MATCH($C113,FA,0))))</f>
        <v>#REF!</v>
      </c>
      <c r="AH113" s="7" t="e">
        <f>N(#REF!)*N($I113)</f>
        <v>#REF!</v>
      </c>
      <c r="AI113" s="7" t="e">
        <f t="shared" si="23"/>
        <v>#REF!</v>
      </c>
      <c r="AJ113" s="7">
        <f t="shared" si="24"/>
        <v>0</v>
      </c>
    </row>
    <row r="114" spans="1:36" x14ac:dyDescent="0.25">
      <c r="A114" s="4" t="e">
        <f t="shared" si="18"/>
        <v>#REF!</v>
      </c>
      <c r="B114" s="4" t="s">
        <v>105</v>
      </c>
      <c r="C114" s="4" t="s">
        <v>557</v>
      </c>
      <c r="D114" s="4" t="s">
        <v>558</v>
      </c>
      <c r="E114" s="4" t="s">
        <v>114</v>
      </c>
      <c r="F114" s="4" t="s">
        <v>486</v>
      </c>
      <c r="G114" s="4" t="s">
        <v>38</v>
      </c>
      <c r="H114" s="5" t="e">
        <f>#REF!</f>
        <v>#REF!</v>
      </c>
      <c r="I114" s="6" t="e">
        <f t="shared" si="19"/>
        <v>#REF!</v>
      </c>
      <c r="J114" s="6" t="s">
        <v>84</v>
      </c>
      <c r="K114" s="6" t="s">
        <v>105</v>
      </c>
      <c r="L114" s="7" t="e">
        <f t="shared" si="20"/>
        <v>#REF!</v>
      </c>
      <c r="M114" s="7" t="s">
        <v>108</v>
      </c>
      <c r="O114" s="7" t="str">
        <f>IF(OR($C114="",$C114="FID YOK"),"",IF(ISNUMBER(MATCH($C114,FA_ANA,0)),"",IF(COUNTIF($C$1:$C113,$C114)&gt;0,"",MAX($O$1:$O113)+1)))</f>
        <v/>
      </c>
      <c r="T114" s="7">
        <f>IF(ISNA(MATCH($C114,FA,0)),0,IF($J114="GIRIS",N(INDEX(F_INKOR,MATCH($C114,FA,0))),0))</f>
        <v>0</v>
      </c>
      <c r="Y114" s="7" t="e">
        <f>N(#REF!)*IF($E114="упак",MAX(1,IF(ISNA(MATCH($C114,FA,0)),1,N(INDEX(F_PAKET,MATCH($C114,FA,0))))),1)</f>
        <v>#REF!</v>
      </c>
      <c r="Z114" s="7" t="e">
        <f t="shared" si="21"/>
        <v>#REF!</v>
      </c>
      <c r="AA114" s="7">
        <f>IF(OR(ISNA(MATCH($C114,FA,0)),$J114="YEDEK",$J114="SARF"),0,N(#REF!)*N(INDEX(F_TEL,MATCH($C114,FA,0))))</f>
        <v>0</v>
      </c>
      <c r="AB114" s="7">
        <f>IF(OR(ISNA(MATCH($C114,FA,0)),$J114="YEDEK",$J114="SARF"),0,N(#REF!)*N(INDEX(F_TELM,MATCH($C114,FA,0))))</f>
        <v>0</v>
      </c>
      <c r="AC114" s="7" t="e">
        <f t="shared" si="22"/>
        <v>#REF!</v>
      </c>
      <c r="AD114" s="7">
        <f>IF(OR(ISNA(MATCH($C114,FA,0)),$J114&lt;&gt;"CIKIS"),0,N(INDEX(F_KK,MATCH($C114,FA,0))))</f>
        <v>0</v>
      </c>
      <c r="AE114" s="7">
        <f>IF($AD114=0,0,N(#REF!)*N(INDEX(F_KLN,MATCH($C114,FA,0))))</f>
        <v>0</v>
      </c>
      <c r="AF114" s="7">
        <f>IF($AD114=0,0,N(#REF!)*N(INDEX(F_KPE,MATCH($C114,FA,0))))</f>
        <v>0</v>
      </c>
      <c r="AG114" s="7" t="e">
        <f>IF(ISNA(MATCH($C114,FA,0)),0,N(#REF!)*N(INDEX(F_MODUL,MATCH($C114,FA,0))))</f>
        <v>#REF!</v>
      </c>
      <c r="AH114" s="7" t="e">
        <f>N(#REF!)*N($I114)</f>
        <v>#REF!</v>
      </c>
      <c r="AI114" s="7" t="e">
        <f t="shared" si="23"/>
        <v>#REF!</v>
      </c>
      <c r="AJ114" s="7">
        <f t="shared" si="24"/>
        <v>0</v>
      </c>
    </row>
    <row r="115" spans="1:36" x14ac:dyDescent="0.25">
      <c r="A115" s="4" t="e">
        <f t="shared" si="18"/>
        <v>#REF!</v>
      </c>
      <c r="B115" s="4" t="s">
        <v>105</v>
      </c>
      <c r="C115" s="4" t="s">
        <v>569</v>
      </c>
      <c r="D115" s="4" t="s">
        <v>570</v>
      </c>
      <c r="E115" s="4" t="s">
        <v>114</v>
      </c>
      <c r="F115" s="4" t="s">
        <v>486</v>
      </c>
      <c r="G115" s="4" t="s">
        <v>38</v>
      </c>
      <c r="H115" s="5" t="e">
        <f>#REF!</f>
        <v>#REF!</v>
      </c>
      <c r="I115" s="6" t="e">
        <f t="shared" si="19"/>
        <v>#REF!</v>
      </c>
      <c r="J115" s="6" t="s">
        <v>84</v>
      </c>
      <c r="K115" s="6" t="s">
        <v>105</v>
      </c>
      <c r="L115" s="7" t="e">
        <f t="shared" si="20"/>
        <v>#REF!</v>
      </c>
      <c r="M115" s="7" t="s">
        <v>109</v>
      </c>
      <c r="O115" s="7" t="str">
        <f>IF(OR($C115="",$C115="FID YOK"),"",IF(ISNUMBER(MATCH($C115,FA_ANA,0)),"",IF(COUNTIF($C$1:$C114,$C115)&gt;0,"",MAX($O$1:$O114)+1)))</f>
        <v/>
      </c>
      <c r="T115" s="7">
        <f>IF(ISNA(MATCH($C115,FA,0)),0,IF($J115="GIRIS",N(INDEX(F_INKOR,MATCH($C115,FA,0))),0))</f>
        <v>0</v>
      </c>
      <c r="Y115" s="7" t="e">
        <f>N(#REF!)*IF($E115="упак",MAX(1,IF(ISNA(MATCH($C115,FA,0)),1,N(INDEX(F_PAKET,MATCH($C115,FA,0))))),1)</f>
        <v>#REF!</v>
      </c>
      <c r="Z115" s="7" t="e">
        <f t="shared" si="21"/>
        <v>#REF!</v>
      </c>
      <c r="AA115" s="7">
        <f>IF(OR(ISNA(MATCH($C115,FA,0)),$J115="YEDEK",$J115="SARF"),0,N(#REF!)*N(INDEX(F_TEL,MATCH($C115,FA,0))))</f>
        <v>0</v>
      </c>
      <c r="AB115" s="7">
        <f>IF(OR(ISNA(MATCH($C115,FA,0)),$J115="YEDEK",$J115="SARF"),0,N(#REF!)*N(INDEX(F_TELM,MATCH($C115,FA,0))))</f>
        <v>0</v>
      </c>
      <c r="AC115" s="7" t="e">
        <f t="shared" si="22"/>
        <v>#REF!</v>
      </c>
      <c r="AD115" s="7">
        <f>IF(OR(ISNA(MATCH($C115,FA,0)),$J115&lt;&gt;"CIKIS"),0,N(INDEX(F_KK,MATCH($C115,FA,0))))</f>
        <v>0</v>
      </c>
      <c r="AE115" s="7">
        <f>IF($AD115=0,0,N(#REF!)*N(INDEX(F_KLN,MATCH($C115,FA,0))))</f>
        <v>0</v>
      </c>
      <c r="AF115" s="7">
        <f>IF($AD115=0,0,N(#REF!)*N(INDEX(F_KPE,MATCH($C115,FA,0))))</f>
        <v>0</v>
      </c>
      <c r="AG115" s="7" t="e">
        <f>IF(ISNA(MATCH($C115,FA,0)),0,N(#REF!)*N(INDEX(F_MODUL,MATCH($C115,FA,0))))</f>
        <v>#REF!</v>
      </c>
      <c r="AH115" s="7" t="e">
        <f>N(#REF!)*N($I115)</f>
        <v>#REF!</v>
      </c>
      <c r="AI115" s="7" t="e">
        <f t="shared" si="23"/>
        <v>#REF!</v>
      </c>
      <c r="AJ115" s="7">
        <f t="shared" si="24"/>
        <v>0</v>
      </c>
    </row>
    <row r="116" spans="1:36" x14ac:dyDescent="0.25">
      <c r="A116" s="4" t="e">
        <f t="shared" si="18"/>
        <v>#REF!</v>
      </c>
      <c r="B116" s="4" t="s">
        <v>105</v>
      </c>
      <c r="C116" s="4" t="s">
        <v>539</v>
      </c>
      <c r="D116" s="4" t="s">
        <v>540</v>
      </c>
      <c r="E116" s="4" t="s">
        <v>114</v>
      </c>
      <c r="F116" s="4" t="s">
        <v>486</v>
      </c>
      <c r="G116" s="4" t="s">
        <v>38</v>
      </c>
      <c r="H116" s="5" t="e">
        <f>#REF!</f>
        <v>#REF!</v>
      </c>
      <c r="I116" s="6" t="e">
        <f t="shared" si="19"/>
        <v>#REF!</v>
      </c>
      <c r="J116" s="6" t="s">
        <v>84</v>
      </c>
      <c r="K116" s="6" t="s">
        <v>105</v>
      </c>
      <c r="L116" s="7" t="e">
        <f t="shared" si="20"/>
        <v>#REF!</v>
      </c>
      <c r="M116" s="7" t="s">
        <v>110</v>
      </c>
      <c r="O116" s="7" t="str">
        <f>IF(OR($C116="",$C116="FID YOK"),"",IF(ISNUMBER(MATCH($C116,FA_ANA,0)),"",IF(COUNTIF($C$1:$C115,$C116)&gt;0,"",MAX($O$1:$O115)+1)))</f>
        <v/>
      </c>
      <c r="T116" s="7">
        <f>IF(ISNA(MATCH($C116,FA,0)),0,IF($J116="GIRIS",N(INDEX(F_INKOR,MATCH($C116,FA,0))),0))</f>
        <v>0</v>
      </c>
      <c r="Y116" s="7" t="e">
        <f>N(#REF!)*IF($E116="упак",MAX(1,IF(ISNA(MATCH($C116,FA,0)),1,N(INDEX(F_PAKET,MATCH($C116,FA,0))))),1)</f>
        <v>#REF!</v>
      </c>
      <c r="Z116" s="7" t="e">
        <f t="shared" si="21"/>
        <v>#REF!</v>
      </c>
      <c r="AA116" s="7">
        <f>IF(OR(ISNA(MATCH($C116,FA,0)),$J116="YEDEK",$J116="SARF"),0,N(#REF!)*N(INDEX(F_TEL,MATCH($C116,FA,0))))</f>
        <v>0</v>
      </c>
      <c r="AB116" s="7">
        <f>IF(OR(ISNA(MATCH($C116,FA,0)),$J116="YEDEK",$J116="SARF"),0,N(#REF!)*N(INDEX(F_TELM,MATCH($C116,FA,0))))</f>
        <v>0</v>
      </c>
      <c r="AC116" s="7" t="e">
        <f t="shared" si="22"/>
        <v>#REF!</v>
      </c>
      <c r="AD116" s="7">
        <f>IF(OR(ISNA(MATCH($C116,FA,0)),$J116&lt;&gt;"CIKIS"),0,N(INDEX(F_KK,MATCH($C116,FA,0))))</f>
        <v>0</v>
      </c>
      <c r="AE116" s="7">
        <f>IF($AD116=0,0,N(#REF!)*N(INDEX(F_KLN,MATCH($C116,FA,0))))</f>
        <v>0</v>
      </c>
      <c r="AF116" s="7">
        <f>IF($AD116=0,0,N(#REF!)*N(INDEX(F_KPE,MATCH($C116,FA,0))))</f>
        <v>0</v>
      </c>
      <c r="AG116" s="7" t="e">
        <f>IF(ISNA(MATCH($C116,FA,0)),0,N(#REF!)*N(INDEX(F_MODUL,MATCH($C116,FA,0))))</f>
        <v>#REF!</v>
      </c>
      <c r="AH116" s="7" t="e">
        <f>N(#REF!)*N($I116)</f>
        <v>#REF!</v>
      </c>
      <c r="AI116" s="7" t="e">
        <f t="shared" si="23"/>
        <v>#REF!</v>
      </c>
      <c r="AJ116" s="7">
        <f t="shared" si="24"/>
        <v>0</v>
      </c>
    </row>
    <row r="117" spans="1:36" x14ac:dyDescent="0.25">
      <c r="A117" s="4" t="e">
        <f t="shared" si="18"/>
        <v>#REF!</v>
      </c>
      <c r="B117" s="4" t="s">
        <v>111</v>
      </c>
      <c r="C117" s="4" t="s">
        <v>571</v>
      </c>
      <c r="D117" s="4" t="s">
        <v>572</v>
      </c>
      <c r="E117" s="4" t="s">
        <v>522</v>
      </c>
      <c r="F117" s="4" t="s">
        <v>486</v>
      </c>
      <c r="G117" s="4" t="s">
        <v>38</v>
      </c>
      <c r="H117" s="5" t="e">
        <f>#REF!</f>
        <v>#REF!</v>
      </c>
      <c r="I117" s="6" t="e">
        <f t="shared" si="19"/>
        <v>#REF!</v>
      </c>
      <c r="J117" s="6" t="s">
        <v>84</v>
      </c>
      <c r="K117" s="6" t="s">
        <v>111</v>
      </c>
      <c r="L117" s="7" t="e">
        <f t="shared" si="20"/>
        <v>#REF!</v>
      </c>
      <c r="M117" s="7" t="s">
        <v>112</v>
      </c>
      <c r="O117" s="7" t="str">
        <f>IF(OR($C117="",$C117="FID YOK"),"",IF(ISNUMBER(MATCH($C117,FA_ANA,0)),"",IF(COUNTIF($C$1:$C116,$C117)&gt;0,"",MAX($O$1:$O116)+1)))</f>
        <v/>
      </c>
      <c r="T117" s="7">
        <f>IF(ISNA(MATCH($C117,FA,0)),0,IF($J117="GIRIS",N(INDEX(F_INKOR,MATCH($C117,FA,0))),0))</f>
        <v>0</v>
      </c>
      <c r="Y117" s="7" t="e">
        <f>N(#REF!)*IF($E117="упак",MAX(1,IF(ISNA(MATCH($C117,FA,0)),1,N(INDEX(F_PAKET,MATCH($C117,FA,0))))),1)</f>
        <v>#REF!</v>
      </c>
      <c r="Z117" s="7" t="e">
        <f t="shared" si="21"/>
        <v>#REF!</v>
      </c>
      <c r="AA117" s="7">
        <f>IF(OR(ISNA(MATCH($C117,FA,0)),$J117="YEDEK",$J117="SARF"),0,N(#REF!)*N(INDEX(F_TEL,MATCH($C117,FA,0))))</f>
        <v>0</v>
      </c>
      <c r="AB117" s="7">
        <f>IF(OR(ISNA(MATCH($C117,FA,0)),$J117="YEDEK",$J117="SARF"),0,N(#REF!)*N(INDEX(F_TELM,MATCH($C117,FA,0))))</f>
        <v>0</v>
      </c>
      <c r="AC117" s="7" t="e">
        <f t="shared" si="22"/>
        <v>#REF!</v>
      </c>
      <c r="AD117" s="7">
        <f>IF(OR(ISNA(MATCH($C117,FA,0)),$J117&lt;&gt;"CIKIS"),0,N(INDEX(F_KK,MATCH($C117,FA,0))))</f>
        <v>0</v>
      </c>
      <c r="AE117" s="7">
        <f>IF($AD117=0,0,N(#REF!)*N(INDEX(F_KLN,MATCH($C117,FA,0))))</f>
        <v>0</v>
      </c>
      <c r="AF117" s="7">
        <f>IF($AD117=0,0,N(#REF!)*N(INDEX(F_KPE,MATCH($C117,FA,0))))</f>
        <v>0</v>
      </c>
      <c r="AG117" s="7" t="e">
        <f>IF(ISNA(MATCH($C117,FA,0)),0,N(#REF!)*N(INDEX(F_MODUL,MATCH($C117,FA,0))))</f>
        <v>#REF!</v>
      </c>
      <c r="AH117" s="7" t="e">
        <f>N(#REF!)*N($I117)</f>
        <v>#REF!</v>
      </c>
      <c r="AI117" s="7" t="e">
        <f t="shared" si="23"/>
        <v>#REF!</v>
      </c>
      <c r="AJ117" s="7">
        <f t="shared" si="24"/>
        <v>0</v>
      </c>
    </row>
    <row r="118" spans="1:36" x14ac:dyDescent="0.25">
      <c r="A118" s="4" t="e">
        <f t="shared" si="18"/>
        <v>#REF!</v>
      </c>
      <c r="B118" s="4" t="s">
        <v>113</v>
      </c>
      <c r="C118" s="4" t="s">
        <v>113</v>
      </c>
      <c r="D118" s="4" t="s">
        <v>113</v>
      </c>
      <c r="E118" s="4" t="s">
        <v>114</v>
      </c>
      <c r="F118" s="4" t="s">
        <v>113</v>
      </c>
      <c r="G118" s="4" t="s">
        <v>38</v>
      </c>
      <c r="H118" s="5" t="e">
        <f>#REF!</f>
        <v>#REF!</v>
      </c>
      <c r="I118" s="6" t="e">
        <f t="shared" si="19"/>
        <v>#REF!</v>
      </c>
    </row>
    <row r="119" spans="1:36" x14ac:dyDescent="0.25">
      <c r="A119" s="4" t="e">
        <f t="shared" si="18"/>
        <v>#REF!</v>
      </c>
      <c r="B119" s="4" t="s">
        <v>115</v>
      </c>
      <c r="C119" s="4" t="s">
        <v>115</v>
      </c>
      <c r="D119" s="4" t="s">
        <v>115</v>
      </c>
      <c r="E119" s="4" t="s">
        <v>116</v>
      </c>
      <c r="F119" s="4" t="s">
        <v>115</v>
      </c>
      <c r="G119" s="4" t="s">
        <v>38</v>
      </c>
      <c r="H119" s="5" t="e">
        <f>#REF!</f>
        <v>#REF!</v>
      </c>
      <c r="I119" s="6" t="e">
        <f t="shared" si="19"/>
        <v>#REF!</v>
      </c>
    </row>
    <row r="120" spans="1:36" x14ac:dyDescent="0.25">
      <c r="A120" s="1" t="str">
        <f>D120</f>
        <v>ВРУА-2 (ВРУ1-25-60А)(260922 akram aulet)</v>
      </c>
      <c r="B120" s="12"/>
      <c r="C120" s="2"/>
      <c r="D120" s="1" t="s">
        <v>616</v>
      </c>
      <c r="E120" s="1" t="s">
        <v>36</v>
      </c>
      <c r="F120" s="1" t="s">
        <v>37</v>
      </c>
      <c r="G120" s="1" t="s">
        <v>38</v>
      </c>
      <c r="I120" s="3" t="e">
        <f>#REF!</f>
        <v>#REF!</v>
      </c>
    </row>
    <row r="121" spans="1:36" x14ac:dyDescent="0.25">
      <c r="A121" s="4" t="str">
        <f t="shared" ref="A121:A154" si="27">A120</f>
        <v>ВРУА-2 (ВРУ1-25-60А)(260922 akram aulet)</v>
      </c>
      <c r="B121" s="4" t="s">
        <v>39</v>
      </c>
      <c r="C121" s="4" t="s">
        <v>601</v>
      </c>
      <c r="D121" s="4" t="s">
        <v>602</v>
      </c>
      <c r="E121" s="4" t="s">
        <v>114</v>
      </c>
      <c r="F121" s="4" t="s">
        <v>491</v>
      </c>
      <c r="G121" s="4" t="s">
        <v>38</v>
      </c>
      <c r="H121" s="5" t="e">
        <f>#REF!</f>
        <v>#REF!</v>
      </c>
      <c r="I121" s="6" t="e">
        <f t="shared" ref="I121:I154" si="28">I120</f>
        <v>#REF!</v>
      </c>
      <c r="J121" s="6" t="s">
        <v>40</v>
      </c>
      <c r="K121" s="6" t="s">
        <v>41</v>
      </c>
      <c r="L121" s="7" t="e">
        <f t="shared" ref="L121:L152" si="29">IF(ISNA(MATCH($C121,FA,0)),"ARTİKÜL YOK",INDEX(FIYAT_DURUM,MATCH($C121,FA,0)))</f>
        <v>#REF!</v>
      </c>
      <c r="M121" s="7" t="s">
        <v>146</v>
      </c>
      <c r="N121" s="7" t="s">
        <v>147</v>
      </c>
      <c r="O121" s="7">
        <f>IF(OR($C121="",$C121="FID YOK"),"",IF(ISNUMBER(MATCH($C121,FA_ANA,0)),"",IF(COUNTIF($C$1:$C120,$C121)&gt;0,"",MAX($O$1:$O120)+1)))</f>
        <v>45</v>
      </c>
      <c r="Q121" s="7"/>
      <c r="R121" s="7"/>
      <c r="S121" s="7"/>
      <c r="T121" s="7">
        <f>IF(ISNA(MATCH($C121,FA,0)),0,IF($J121="GIRIS",N(INDEX(F_INKOR,MATCH($C121,FA,0))),0))</f>
        <v>0</v>
      </c>
      <c r="U121" s="7"/>
      <c r="V121" s="7"/>
      <c r="W121" s="7"/>
      <c r="X121" s="7"/>
      <c r="Y121" s="7" t="e">
        <f>N(#REF!)*IF($E121="упак",MAX(1,IF(ISNA(MATCH($C121,FA,0)),1,N(INDEX(F_PAKET,MATCH($C121,FA,0))))),1)</f>
        <v>#REF!</v>
      </c>
      <c r="Z121" s="7" t="e">
        <f t="shared" ref="Z121:Z152" si="30">IF(ISNA(MATCH($C121,FA,0)),0,N(INDEX(F_BK,MATCH($C121,FA,0))))</f>
        <v>#REF!</v>
      </c>
      <c r="AA121" s="7" t="e">
        <f>IF(OR(ISNA(MATCH($C121,FA,0)),$J121="YEDEK",$J121="SARF"),0,N(#REF!)*N(INDEX(F_TEL,MATCH($C121,FA,0))))</f>
        <v>#REF!</v>
      </c>
      <c r="AB121" s="7" t="e">
        <f>IF(OR(ISNA(MATCH($C121,FA,0)),$J121="YEDEK",$J121="SARF"),0,N(#REF!)*N(INDEX(F_TELM,MATCH($C121,FA,0))))</f>
        <v>#REF!</v>
      </c>
      <c r="AC121" s="7" t="e">
        <f t="shared" ref="AC121:AC152" si="31">IF(ISNA(MATCH($C121,FA,0)),"",INDEX(F_UC,MATCH($C121,FA,0))&amp;"")</f>
        <v>#REF!</v>
      </c>
      <c r="AD121" s="7">
        <f>IF(OR(ISNA(MATCH($C121,FA,0)),$J121&lt;&gt;"CIKIS"),0,N(INDEX(F_KK,MATCH($C121,FA,0))))</f>
        <v>0</v>
      </c>
      <c r="AE121" s="7">
        <f>IF($AD121=0,0,N(#REF!)*N(INDEX(F_KLN,MATCH($C121,FA,0))))</f>
        <v>0</v>
      </c>
      <c r="AF121" s="7">
        <f>IF($AD121=0,0,N(#REF!)*N(INDEX(F_KPE,MATCH($C121,FA,0))))</f>
        <v>0</v>
      </c>
      <c r="AG121" s="7" t="e">
        <f>IF(ISNA(MATCH($C121,FA,0)),0,N(#REF!)*N(INDEX(F_MODUL,MATCH($C121,FA,0))))</f>
        <v>#REF!</v>
      </c>
      <c r="AH121" s="7" t="e">
        <f>N(#REF!)*N($I121)</f>
        <v>#REF!</v>
      </c>
      <c r="AI121" s="7" t="e">
        <f t="shared" ref="AI121:AI152" si="32">IF(ISNA(MATCH($K121,TIP_AD,0)),"YOK",IF(INDEX(NORM_DK,MATCH($K121,TIP_AD,0))="","BOŞ",INDEX(NORM_DK,MATCH($K121,TIP_AD,0))))</f>
        <v>#REF!</v>
      </c>
      <c r="AJ121" s="7">
        <f t="shared" ref="AJ121:AJ152" si="33">IF(ISNUMBER($AI121),$Y121*$AI121,0)</f>
        <v>0</v>
      </c>
    </row>
    <row r="122" spans="1:36" x14ac:dyDescent="0.25">
      <c r="A122" s="4" t="str">
        <f t="shared" si="27"/>
        <v>ВРУА-2 (ВРУ1-25-60А)(260922 akram aulet)</v>
      </c>
      <c r="B122" s="4" t="s">
        <v>47</v>
      </c>
      <c r="C122" s="4" t="s">
        <v>614</v>
      </c>
      <c r="D122" s="4" t="s">
        <v>615</v>
      </c>
      <c r="E122" s="4" t="s">
        <v>114</v>
      </c>
      <c r="F122" s="4" t="s">
        <v>442</v>
      </c>
      <c r="G122" s="4" t="s">
        <v>38</v>
      </c>
      <c r="H122" s="5" t="e">
        <f>#REF!</f>
        <v>#REF!</v>
      </c>
      <c r="I122" s="6" t="e">
        <f t="shared" si="28"/>
        <v>#REF!</v>
      </c>
      <c r="J122" s="6" t="s">
        <v>48</v>
      </c>
      <c r="K122" s="6" t="s">
        <v>47</v>
      </c>
      <c r="L122" s="7" t="e">
        <f t="shared" si="29"/>
        <v>#REF!</v>
      </c>
      <c r="M122" s="7" t="s">
        <v>148</v>
      </c>
      <c r="N122" s="7" t="s">
        <v>149</v>
      </c>
      <c r="O122" s="7">
        <f>IF(OR($C122="",$C122="FID YOK"),"",IF(ISNUMBER(MATCH($C122,FA_ANA,0)),"",IF(COUNTIF($C$1:$C121,$C122)&gt;0,"",MAX($O$1:$O121)+1)))</f>
        <v>46</v>
      </c>
      <c r="P122" s="8">
        <v>1</v>
      </c>
      <c r="Q122" s="7" t="e">
        <f>IF(OR($P122="",$P122="G",ISNA(MATCH($C122,FA,0))),"",IF(N(INDEX(F_G,MATCH($C122,FA,0)))&gt;0,INDEX(F_G,MATCH($C122,FA,0)),IF(N(INDEX(F_MODUL,MATCH($C122,FA,0)))&gt;0,INDEX(F_MODUL,MATCH($C122,FA,0))*MODUL_MM,"")))</f>
        <v>#REF!</v>
      </c>
      <c r="R122" s="7" t="e">
        <f>IF(OR($P122="",$P122="G",ISNA(MATCH($C122,FA,0))),"",IF(N(INDEX(F_Y,MATCH($C122,FA,0)))&gt;0,INDEX(F_Y,MATCH($C122,FA,0)),""))</f>
        <v>#REF!</v>
      </c>
      <c r="S122" s="7" t="e">
        <f>IF(OR($P122="",$P122="G",ISNA(MATCH($C122,FA,0))),"",IF(N(INDEX(F_D,MATCH($C122,FA,0)))&gt;0,INDEX(F_D,MATCH($C122,FA,0)),""))</f>
        <v>#REF!</v>
      </c>
      <c r="T122" s="7" t="e">
        <f>IF(ISNA(MATCH($C122,FA,0)),0,IF($J122="GIRIS",N(INDEX(F_INKOR,MATCH($C122,FA,0))),0))</f>
        <v>#REF!</v>
      </c>
      <c r="U122" s="7" t="e">
        <f t="shared" ref="U122:U134" si="34">IF(ISNA(MATCH($B122,TIP_AD,0)),"",INDEX(TIP_KAT,MATCH($B122,TIP_AD,0))&amp;"")</f>
        <v>#REF!</v>
      </c>
      <c r="V122" s="7" t="e">
        <f t="shared" ref="V122:V134" si="35">IF(NOT(ISNUMBER($P122)),"",IF($Z122=0,0,IF(ISNA(MATCH($Z122,BUK_KESIT,0)),"",IF(INDEX(BUK_ALAN,MATCH($Z122,BUK_KESIT,0))&amp;""="","",INDEX(BUK_ALAN,MATCH($Z122,BUK_KESIT,0))))))</f>
        <v>#REF!</v>
      </c>
      <c r="W122" s="7" t="e">
        <f>IF(OR(NOT(ISNUMBER($P122)),$Q122=""),"",N(#REF!)*($Q122+IF(ISNA(MATCH($B122,TIP_AD,0)),0,N(INDEX(TIP_BOSLUK,MATCH($B122,TIP_AD,0))))))</f>
        <v>#REF!</v>
      </c>
      <c r="X122" s="7" t="e">
        <f>IF(ISNUMBER($P122),($Q122="")+($R122="")+($V122="")+IF(AND($U122="KONTAKTOR",NOT(ISNA(MATCH($B122,TIP_AD,0)))),IF(INDEX(TIP_BOSLUK,MATCH($B122,TIP_AD,0))&amp;""="",1,0),0),IF($P122="K",IF($S122="",1,0),0))</f>
        <v>#REF!</v>
      </c>
      <c r="Y122" s="7" t="e">
        <f>N(#REF!)*IF($E122="упак",MAX(1,IF(ISNA(MATCH($C122,FA,0)),1,N(INDEX(F_PAKET,MATCH($C122,FA,0))))),1)</f>
        <v>#REF!</v>
      </c>
      <c r="Z122" s="7" t="e">
        <f t="shared" si="30"/>
        <v>#REF!</v>
      </c>
      <c r="AA122" s="7" t="e">
        <f>IF(OR(ISNA(MATCH($C122,FA,0)),$J122="YEDEK",$J122="SARF"),0,N(#REF!)*N(INDEX(F_TEL,MATCH($C122,FA,0))))</f>
        <v>#REF!</v>
      </c>
      <c r="AB122" s="7" t="e">
        <f>IF(OR(ISNA(MATCH($C122,FA,0)),$J122="YEDEK",$J122="SARF"),0,N(#REF!)*N(INDEX(F_TELM,MATCH($C122,FA,0))))</f>
        <v>#REF!</v>
      </c>
      <c r="AC122" s="7" t="e">
        <f t="shared" si="31"/>
        <v>#REF!</v>
      </c>
      <c r="AD122" s="7">
        <f>IF(OR(ISNA(MATCH($C122,FA,0)),$J122&lt;&gt;"CIKIS"),0,N(INDEX(F_KK,MATCH($C122,FA,0))))</f>
        <v>0</v>
      </c>
      <c r="AE122" s="7">
        <f>IF($AD122=0,0,N(#REF!)*N(INDEX(F_KLN,MATCH($C122,FA,0))))</f>
        <v>0</v>
      </c>
      <c r="AF122" s="7">
        <f>IF($AD122=0,0,N(#REF!)*N(INDEX(F_KPE,MATCH($C122,FA,0))))</f>
        <v>0</v>
      </c>
      <c r="AG122" s="7" t="e">
        <f>IF(ISNA(MATCH($C122,FA,0)),0,N(#REF!)*N(INDEX(F_MODUL,MATCH($C122,FA,0))))</f>
        <v>#REF!</v>
      </c>
      <c r="AH122" s="7" t="e">
        <f>N(#REF!)*N($I122)</f>
        <v>#REF!</v>
      </c>
      <c r="AI122" s="7" t="e">
        <f t="shared" si="32"/>
        <v>#REF!</v>
      </c>
      <c r="AJ122" s="7">
        <f t="shared" si="33"/>
        <v>0</v>
      </c>
    </row>
    <row r="123" spans="1:36" x14ac:dyDescent="0.25">
      <c r="A123" s="4" t="str">
        <f t="shared" si="27"/>
        <v>ВРУА-2 (ВРУ1-25-60А)(260922 akram aulet)</v>
      </c>
      <c r="B123" s="4" t="s">
        <v>51</v>
      </c>
      <c r="C123" s="4" t="s">
        <v>438</v>
      </c>
      <c r="D123" s="4" t="s">
        <v>439</v>
      </c>
      <c r="E123" s="4" t="s">
        <v>114</v>
      </c>
      <c r="F123" s="4" t="s">
        <v>377</v>
      </c>
      <c r="G123" s="4" t="s">
        <v>38</v>
      </c>
      <c r="H123" s="5" t="e">
        <f>#REF!</f>
        <v>#REF!</v>
      </c>
      <c r="I123" s="6" t="e">
        <f t="shared" si="28"/>
        <v>#REF!</v>
      </c>
      <c r="J123" s="6" t="s">
        <v>48</v>
      </c>
      <c r="K123" s="6" t="s">
        <v>51</v>
      </c>
      <c r="L123" s="7" t="e">
        <f t="shared" si="29"/>
        <v>#REF!</v>
      </c>
      <c r="M123" s="7" t="s">
        <v>150</v>
      </c>
      <c r="N123" s="7" t="s">
        <v>151</v>
      </c>
      <c r="O123" s="7">
        <f>IF(OR($C123="",$C123="FID YOK"),"",IF(ISNUMBER(MATCH($C123,FA_ANA,0)),"",IF(COUNTIF($C$1:$C122,$C123)&gt;0,"",MAX($O$1:$O122)+1)))</f>
        <v>47</v>
      </c>
      <c r="P123" s="8">
        <v>1</v>
      </c>
      <c r="Q123" s="7" t="e">
        <f>IF(OR($P123="",$P123="G",ISNA(MATCH($C123,FA,0))),"",IF(N(INDEX(F_G,MATCH($C123,FA,0)))&gt;0,INDEX(F_G,MATCH($C123,FA,0)),IF(N(INDEX(F_MODUL,MATCH($C123,FA,0)))&gt;0,INDEX(F_MODUL,MATCH($C123,FA,0))*MODUL_MM,"")))</f>
        <v>#REF!</v>
      </c>
      <c r="R123" s="7" t="e">
        <f>IF(OR($P123="",$P123="G",ISNA(MATCH($C123,FA,0))),"",IF(N(INDEX(F_Y,MATCH($C123,FA,0)))&gt;0,INDEX(F_Y,MATCH($C123,FA,0)),""))</f>
        <v>#REF!</v>
      </c>
      <c r="S123" s="7" t="e">
        <f>IF(OR($P123="",$P123="G",ISNA(MATCH($C123,FA,0))),"",IF(N(INDEX(F_D,MATCH($C123,FA,0)))&gt;0,INDEX(F_D,MATCH($C123,FA,0)),""))</f>
        <v>#REF!</v>
      </c>
      <c r="T123" s="7" t="e">
        <f>IF(ISNA(MATCH($C123,FA,0)),0,IF($J123="GIRIS",N(INDEX(F_INKOR,MATCH($C123,FA,0))),0))</f>
        <v>#REF!</v>
      </c>
      <c r="U123" s="7" t="e">
        <f t="shared" si="34"/>
        <v>#REF!</v>
      </c>
      <c r="V123" s="7" t="e">
        <f t="shared" si="35"/>
        <v>#REF!</v>
      </c>
      <c r="W123" s="7" t="e">
        <f>IF(OR(NOT(ISNUMBER($P123)),$Q123=""),"",N(#REF!)*($Q123+IF(ISNA(MATCH($B123,TIP_AD,0)),0,N(INDEX(TIP_BOSLUK,MATCH($B123,TIP_AD,0))))))</f>
        <v>#REF!</v>
      </c>
      <c r="X123" s="7" t="e">
        <f>IF(ISNUMBER($P123),($Q123="")+($R123="")+($V123="")+IF(AND($U123="KONTAKTOR",NOT(ISNA(MATCH($B123,TIP_AD,0)))),IF(INDEX(TIP_BOSLUK,MATCH($B123,TIP_AD,0))&amp;""="",1,0),0),IF($P123="K",IF($S123="",1,0),0))</f>
        <v>#REF!</v>
      </c>
      <c r="Y123" s="7" t="e">
        <f>N(#REF!)*IF($E123="упак",MAX(1,IF(ISNA(MATCH($C123,FA,0)),1,N(INDEX(F_PAKET,MATCH($C123,FA,0))))),1)</f>
        <v>#REF!</v>
      </c>
      <c r="Z123" s="7" t="e">
        <f t="shared" si="30"/>
        <v>#REF!</v>
      </c>
      <c r="AA123" s="7" t="e">
        <f>IF(OR(ISNA(MATCH($C123,FA,0)),$J123="YEDEK",$J123="SARF"),0,N(#REF!)*N(INDEX(F_TEL,MATCH($C123,FA,0))))</f>
        <v>#REF!</v>
      </c>
      <c r="AB123" s="7" t="e">
        <f>IF(OR(ISNA(MATCH($C123,FA,0)),$J123="YEDEK",$J123="SARF"),0,N(#REF!)*N(INDEX(F_TELM,MATCH($C123,FA,0))))</f>
        <v>#REF!</v>
      </c>
      <c r="AC123" s="7" t="e">
        <f t="shared" si="31"/>
        <v>#REF!</v>
      </c>
      <c r="AD123" s="7">
        <f>IF(OR(ISNA(MATCH($C123,FA,0)),$J123&lt;&gt;"CIKIS"),0,N(INDEX(F_KK,MATCH($C123,FA,0))))</f>
        <v>0</v>
      </c>
      <c r="AE123" s="7">
        <f>IF($AD123=0,0,N(#REF!)*N(INDEX(F_KLN,MATCH($C123,FA,0))))</f>
        <v>0</v>
      </c>
      <c r="AF123" s="7">
        <f>IF($AD123=0,0,N(#REF!)*N(INDEX(F_KPE,MATCH($C123,FA,0))))</f>
        <v>0</v>
      </c>
      <c r="AG123" s="7" t="e">
        <f>IF(ISNA(MATCH($C123,FA,0)),0,N(#REF!)*N(INDEX(F_MODUL,MATCH($C123,FA,0))))</f>
        <v>#REF!</v>
      </c>
      <c r="AH123" s="7" t="e">
        <f>N(#REF!)*N($I123)</f>
        <v>#REF!</v>
      </c>
      <c r="AI123" s="7" t="e">
        <f t="shared" si="32"/>
        <v>#REF!</v>
      </c>
      <c r="AJ123" s="7">
        <f t="shared" si="33"/>
        <v>0</v>
      </c>
    </row>
    <row r="124" spans="1:36" x14ac:dyDescent="0.25">
      <c r="A124" s="4" t="str">
        <f t="shared" si="27"/>
        <v>ВРУА-2 (ВРУ1-25-60А)(260922 akram aulet)</v>
      </c>
      <c r="B124" s="4" t="s">
        <v>51</v>
      </c>
      <c r="C124" s="4" t="s">
        <v>426</v>
      </c>
      <c r="D124" s="4" t="s">
        <v>427</v>
      </c>
      <c r="E124" s="4" t="s">
        <v>114</v>
      </c>
      <c r="F124" s="4" t="s">
        <v>377</v>
      </c>
      <c r="G124" s="4" t="s">
        <v>38</v>
      </c>
      <c r="H124" s="5" t="e">
        <f>#REF!</f>
        <v>#REF!</v>
      </c>
      <c r="I124" s="6" t="e">
        <f t="shared" si="28"/>
        <v>#REF!</v>
      </c>
      <c r="J124" s="6" t="s">
        <v>52</v>
      </c>
      <c r="K124" s="6" t="s">
        <v>51</v>
      </c>
      <c r="L124" s="7" t="e">
        <f t="shared" si="29"/>
        <v>#REF!</v>
      </c>
      <c r="M124" s="7" t="s">
        <v>152</v>
      </c>
      <c r="N124" s="7" t="s">
        <v>56</v>
      </c>
      <c r="O124" s="7" t="str">
        <f>IF(OR($C124="",$C124="FID YOK"),"",IF(ISNUMBER(MATCH($C124,FA_ANA,0)),"",IF(COUNTIF($C$1:$C123,$C124)&gt;0,"",MAX($O$1:$O123)+1)))</f>
        <v/>
      </c>
      <c r="P124" s="8">
        <v>1</v>
      </c>
      <c r="Q124" s="7" t="e">
        <f>IF(OR($P124="",$P124="G",ISNA(MATCH($C124,FA,0))),"",IF(N(INDEX(F_G,MATCH($C124,FA,0)))&gt;0,INDEX(F_G,MATCH($C124,FA,0)),IF(N(INDEX(F_MODUL,MATCH($C124,FA,0)))&gt;0,INDEX(F_MODUL,MATCH($C124,FA,0))*MODUL_MM,"")))</f>
        <v>#REF!</v>
      </c>
      <c r="R124" s="7" t="e">
        <f>IF(OR($P124="",$P124="G",ISNA(MATCH($C124,FA,0))),"",IF(N(INDEX(F_Y,MATCH($C124,FA,0)))&gt;0,INDEX(F_Y,MATCH($C124,FA,0)),""))</f>
        <v>#REF!</v>
      </c>
      <c r="S124" s="7" t="e">
        <f>IF(OR($P124="",$P124="G",ISNA(MATCH($C124,FA,0))),"",IF(N(INDEX(F_D,MATCH($C124,FA,0)))&gt;0,INDEX(F_D,MATCH($C124,FA,0)),""))</f>
        <v>#REF!</v>
      </c>
      <c r="T124" s="7">
        <f>IF(ISNA(MATCH($C124,FA,0)),0,IF($J124="GIRIS",N(INDEX(F_INKOR,MATCH($C124,FA,0))),0))</f>
        <v>0</v>
      </c>
      <c r="U124" s="7" t="e">
        <f t="shared" si="34"/>
        <v>#REF!</v>
      </c>
      <c r="V124" s="7" t="e">
        <f t="shared" si="35"/>
        <v>#REF!</v>
      </c>
      <c r="W124" s="7" t="e">
        <f>IF(OR(NOT(ISNUMBER($P124)),$Q124=""),"",N(#REF!)*($Q124+IF(ISNA(MATCH($B124,TIP_AD,0)),0,N(INDEX(TIP_BOSLUK,MATCH($B124,TIP_AD,0))))))</f>
        <v>#REF!</v>
      </c>
      <c r="X124" s="7" t="e">
        <f>IF(ISNUMBER($P124),($Q124="")+($R124="")+($V124="")+IF(AND($U124="KONTAKTOR",NOT(ISNA(MATCH($B124,TIP_AD,0)))),IF(INDEX(TIP_BOSLUK,MATCH($B124,TIP_AD,0))&amp;""="",1,0),0),IF($P124="K",IF($S124="",1,0),0))</f>
        <v>#REF!</v>
      </c>
      <c r="Y124" s="7" t="e">
        <f>N(#REF!)*IF($E124="упак",MAX(1,IF(ISNA(MATCH($C124,FA,0)),1,N(INDEX(F_PAKET,MATCH($C124,FA,0))))),1)</f>
        <v>#REF!</v>
      </c>
      <c r="Z124" s="7" t="e">
        <f t="shared" si="30"/>
        <v>#REF!</v>
      </c>
      <c r="AA124" s="7" t="e">
        <f>IF(OR(ISNA(MATCH($C124,FA,0)),$J124="YEDEK",$J124="SARF"),0,N(#REF!)*N(INDEX(F_TEL,MATCH($C124,FA,0))))</f>
        <v>#REF!</v>
      </c>
      <c r="AB124" s="7" t="e">
        <f>IF(OR(ISNA(MATCH($C124,FA,0)),$J124="YEDEK",$J124="SARF"),0,N(#REF!)*N(INDEX(F_TELM,MATCH($C124,FA,0))))</f>
        <v>#REF!</v>
      </c>
      <c r="AC124" s="7" t="e">
        <f t="shared" si="31"/>
        <v>#REF!</v>
      </c>
      <c r="AD124" s="7" t="e">
        <f>IF(OR(ISNA(MATCH($C124,FA,0)),$J124&lt;&gt;"CIKIS"),0,N(INDEX(F_KK,MATCH($C124,FA,0))))</f>
        <v>#REF!</v>
      </c>
      <c r="AE124" s="7" t="e">
        <f>IF($AD124=0,0,N(#REF!)*N(INDEX(F_KLN,MATCH($C124,FA,0))))</f>
        <v>#REF!</v>
      </c>
      <c r="AF124" s="7" t="e">
        <f>IF($AD124=0,0,N(#REF!)*N(INDEX(F_KPE,MATCH($C124,FA,0))))</f>
        <v>#REF!</v>
      </c>
      <c r="AG124" s="7" t="e">
        <f>IF(ISNA(MATCH($C124,FA,0)),0,N(#REF!)*N(INDEX(F_MODUL,MATCH($C124,FA,0))))</f>
        <v>#REF!</v>
      </c>
      <c r="AH124" s="7" t="e">
        <f>N(#REF!)*N($I124)</f>
        <v>#REF!</v>
      </c>
      <c r="AI124" s="7" t="e">
        <f t="shared" si="32"/>
        <v>#REF!</v>
      </c>
      <c r="AJ124" s="7">
        <f t="shared" si="33"/>
        <v>0</v>
      </c>
    </row>
    <row r="125" spans="1:36" x14ac:dyDescent="0.25">
      <c r="A125" s="4" t="str">
        <f t="shared" si="27"/>
        <v>ВРУА-2 (ВРУ1-25-60А)(260922 akram aulet)</v>
      </c>
      <c r="B125" s="4" t="s">
        <v>51</v>
      </c>
      <c r="C125" s="4" t="s">
        <v>428</v>
      </c>
      <c r="D125" s="4" t="s">
        <v>429</v>
      </c>
      <c r="E125" s="4" t="s">
        <v>114</v>
      </c>
      <c r="F125" s="4" t="s">
        <v>377</v>
      </c>
      <c r="G125" s="4" t="s">
        <v>38</v>
      </c>
      <c r="H125" s="5" t="e">
        <f>#REF!</f>
        <v>#REF!</v>
      </c>
      <c r="I125" s="6" t="e">
        <f t="shared" si="28"/>
        <v>#REF!</v>
      </c>
      <c r="J125" s="6" t="s">
        <v>52</v>
      </c>
      <c r="K125" s="6" t="s">
        <v>51</v>
      </c>
      <c r="L125" s="7" t="e">
        <f t="shared" si="29"/>
        <v>#REF!</v>
      </c>
      <c r="M125" s="7" t="s">
        <v>153</v>
      </c>
      <c r="N125" s="7" t="s">
        <v>122</v>
      </c>
      <c r="O125" s="7" t="str">
        <f>IF(OR($C125="",$C125="FID YOK"),"",IF(ISNUMBER(MATCH($C125,FA_ANA,0)),"",IF(COUNTIF($C$1:$C124,$C125)&gt;0,"",MAX($O$1:$O124)+1)))</f>
        <v/>
      </c>
      <c r="P125" s="8">
        <v>1</v>
      </c>
      <c r="Q125" s="7" t="e">
        <f>IF(OR($P125="",$P125="G",ISNA(MATCH($C125,FA,0))),"",IF(N(INDEX(F_G,MATCH($C125,FA,0)))&gt;0,INDEX(F_G,MATCH($C125,FA,0)),IF(N(INDEX(F_MODUL,MATCH($C125,FA,0)))&gt;0,INDEX(F_MODUL,MATCH($C125,FA,0))*MODUL_MM,"")))</f>
        <v>#REF!</v>
      </c>
      <c r="R125" s="7" t="e">
        <f>IF(OR($P125="",$P125="G",ISNA(MATCH($C125,FA,0))),"",IF(N(INDEX(F_Y,MATCH($C125,FA,0)))&gt;0,INDEX(F_Y,MATCH($C125,FA,0)),""))</f>
        <v>#REF!</v>
      </c>
      <c r="S125" s="7" t="e">
        <f>IF(OR($P125="",$P125="G",ISNA(MATCH($C125,FA,0))),"",IF(N(INDEX(F_D,MATCH($C125,FA,0)))&gt;0,INDEX(F_D,MATCH($C125,FA,0)),""))</f>
        <v>#REF!</v>
      </c>
      <c r="T125" s="7">
        <f>IF(ISNA(MATCH($C125,FA,0)),0,IF($J125="GIRIS",N(INDEX(F_INKOR,MATCH($C125,FA,0))),0))</f>
        <v>0</v>
      </c>
      <c r="U125" s="7" t="e">
        <f t="shared" si="34"/>
        <v>#REF!</v>
      </c>
      <c r="V125" s="7" t="e">
        <f t="shared" si="35"/>
        <v>#REF!</v>
      </c>
      <c r="W125" s="7" t="e">
        <f>IF(OR(NOT(ISNUMBER($P125)),$Q125=""),"",N(#REF!)*($Q125+IF(ISNA(MATCH($B125,TIP_AD,0)),0,N(INDEX(TIP_BOSLUK,MATCH($B125,TIP_AD,0))))))</f>
        <v>#REF!</v>
      </c>
      <c r="X125" s="7" t="e">
        <f>IF(ISNUMBER($P125),($Q125="")+($R125="")+($V125="")+IF(AND($U125="KONTAKTOR",NOT(ISNA(MATCH($B125,TIP_AD,0)))),IF(INDEX(TIP_BOSLUK,MATCH($B125,TIP_AD,0))&amp;""="",1,0),0),IF($P125="K",IF($S125="",1,0),0))</f>
        <v>#REF!</v>
      </c>
      <c r="Y125" s="7" t="e">
        <f>N(#REF!)*IF($E125="упак",MAX(1,IF(ISNA(MATCH($C125,FA,0)),1,N(INDEX(F_PAKET,MATCH($C125,FA,0))))),1)</f>
        <v>#REF!</v>
      </c>
      <c r="Z125" s="7" t="e">
        <f t="shared" si="30"/>
        <v>#REF!</v>
      </c>
      <c r="AA125" s="7" t="e">
        <f>IF(OR(ISNA(MATCH($C125,FA,0)),$J125="YEDEK",$J125="SARF"),0,N(#REF!)*N(INDEX(F_TEL,MATCH($C125,FA,0))))</f>
        <v>#REF!</v>
      </c>
      <c r="AB125" s="7" t="e">
        <f>IF(OR(ISNA(MATCH($C125,FA,0)),$J125="YEDEK",$J125="SARF"),0,N(#REF!)*N(INDEX(F_TELM,MATCH($C125,FA,0))))</f>
        <v>#REF!</v>
      </c>
      <c r="AC125" s="7" t="e">
        <f t="shared" si="31"/>
        <v>#REF!</v>
      </c>
      <c r="AD125" s="7" t="e">
        <f>IF(OR(ISNA(MATCH($C125,FA,0)),$J125&lt;&gt;"CIKIS"),0,N(INDEX(F_KK,MATCH($C125,FA,0))))</f>
        <v>#REF!</v>
      </c>
      <c r="AE125" s="7" t="e">
        <f>IF($AD125=0,0,N(#REF!)*N(INDEX(F_KLN,MATCH($C125,FA,0))))</f>
        <v>#REF!</v>
      </c>
      <c r="AF125" s="7" t="e">
        <f>IF($AD125=0,0,N(#REF!)*N(INDEX(F_KPE,MATCH($C125,FA,0))))</f>
        <v>#REF!</v>
      </c>
      <c r="AG125" s="7" t="e">
        <f>IF(ISNA(MATCH($C125,FA,0)),0,N(#REF!)*N(INDEX(F_MODUL,MATCH($C125,FA,0))))</f>
        <v>#REF!</v>
      </c>
      <c r="AH125" s="7" t="e">
        <f>N(#REF!)*N($I125)</f>
        <v>#REF!</v>
      </c>
      <c r="AI125" s="7" t="e">
        <f t="shared" si="32"/>
        <v>#REF!</v>
      </c>
      <c r="AJ125" s="7">
        <f t="shared" si="33"/>
        <v>0</v>
      </c>
    </row>
    <row r="126" spans="1:36" x14ac:dyDescent="0.25">
      <c r="A126" s="4" t="str">
        <f t="shared" si="27"/>
        <v>ВРУА-2 (ВРУ1-25-60А)(260922 akram aulet)</v>
      </c>
      <c r="B126" s="4" t="s">
        <v>51</v>
      </c>
      <c r="C126" s="4" t="s">
        <v>422</v>
      </c>
      <c r="D126" s="4" t="s">
        <v>423</v>
      </c>
      <c r="E126" s="4" t="s">
        <v>114</v>
      </c>
      <c r="F126" s="4" t="s">
        <v>377</v>
      </c>
      <c r="G126" s="4" t="s">
        <v>38</v>
      </c>
      <c r="H126" s="5" t="e">
        <f>#REF!</f>
        <v>#REF!</v>
      </c>
      <c r="I126" s="6" t="e">
        <f t="shared" si="28"/>
        <v>#REF!</v>
      </c>
      <c r="J126" s="6" t="s">
        <v>52</v>
      </c>
      <c r="K126" s="6" t="s">
        <v>51</v>
      </c>
      <c r="L126" s="7" t="e">
        <f t="shared" si="29"/>
        <v>#REF!</v>
      </c>
      <c r="M126" s="7" t="s">
        <v>154</v>
      </c>
      <c r="N126" s="7" t="s">
        <v>155</v>
      </c>
      <c r="O126" s="7">
        <f>IF(OR($C126="",$C126="FID YOK"),"",IF(ISNUMBER(MATCH($C126,FA_ANA,0)),"",IF(COUNTIF($C$1:$C125,$C126)&gt;0,"",MAX($O$1:$O125)+1)))</f>
        <v>48</v>
      </c>
      <c r="P126" s="8">
        <v>1</v>
      </c>
      <c r="Q126" s="7" t="e">
        <f>IF(OR($P126="",$P126="G",ISNA(MATCH($C126,FA,0))),"",IF(N(INDEX(F_G,MATCH($C126,FA,0)))&gt;0,INDEX(F_G,MATCH($C126,FA,0)),IF(N(INDEX(F_MODUL,MATCH($C126,FA,0)))&gt;0,INDEX(F_MODUL,MATCH($C126,FA,0))*MODUL_MM,"")))</f>
        <v>#REF!</v>
      </c>
      <c r="R126" s="7" t="e">
        <f>IF(OR($P126="",$P126="G",ISNA(MATCH($C126,FA,0))),"",IF(N(INDEX(F_Y,MATCH($C126,FA,0)))&gt;0,INDEX(F_Y,MATCH($C126,FA,0)),""))</f>
        <v>#REF!</v>
      </c>
      <c r="S126" s="7" t="e">
        <f>IF(OR($P126="",$P126="G",ISNA(MATCH($C126,FA,0))),"",IF(N(INDEX(F_D,MATCH($C126,FA,0)))&gt;0,INDEX(F_D,MATCH($C126,FA,0)),""))</f>
        <v>#REF!</v>
      </c>
      <c r="T126" s="7">
        <f>IF(ISNA(MATCH($C126,FA,0)),0,IF($J126="GIRIS",N(INDEX(F_INKOR,MATCH($C126,FA,0))),0))</f>
        <v>0</v>
      </c>
      <c r="U126" s="7" t="e">
        <f t="shared" si="34"/>
        <v>#REF!</v>
      </c>
      <c r="V126" s="7" t="e">
        <f t="shared" si="35"/>
        <v>#REF!</v>
      </c>
      <c r="W126" s="7" t="e">
        <f>IF(OR(NOT(ISNUMBER($P126)),$Q126=""),"",N(#REF!)*($Q126+IF(ISNA(MATCH($B126,TIP_AD,0)),0,N(INDEX(TIP_BOSLUK,MATCH($B126,TIP_AD,0))))))</f>
        <v>#REF!</v>
      </c>
      <c r="X126" s="7" t="e">
        <f>IF(ISNUMBER($P126),($Q126="")+($R126="")+($V126="")+IF(AND($U126="KONTAKTOR",NOT(ISNA(MATCH($B126,TIP_AD,0)))),IF(INDEX(TIP_BOSLUK,MATCH($B126,TIP_AD,0))&amp;""="",1,0),0),IF($P126="K",IF($S126="",1,0),0))</f>
        <v>#REF!</v>
      </c>
      <c r="Y126" s="7" t="e">
        <f>N(#REF!)*IF($E126="упак",MAX(1,IF(ISNA(MATCH($C126,FA,0)),1,N(INDEX(F_PAKET,MATCH($C126,FA,0))))),1)</f>
        <v>#REF!</v>
      </c>
      <c r="Z126" s="7" t="e">
        <f t="shared" si="30"/>
        <v>#REF!</v>
      </c>
      <c r="AA126" s="7" t="e">
        <f>IF(OR(ISNA(MATCH($C126,FA,0)),$J126="YEDEK",$J126="SARF"),0,N(#REF!)*N(INDEX(F_TEL,MATCH($C126,FA,0))))</f>
        <v>#REF!</v>
      </c>
      <c r="AB126" s="7" t="e">
        <f>IF(OR(ISNA(MATCH($C126,FA,0)),$J126="YEDEK",$J126="SARF"),0,N(#REF!)*N(INDEX(F_TELM,MATCH($C126,FA,0))))</f>
        <v>#REF!</v>
      </c>
      <c r="AC126" s="7" t="e">
        <f t="shared" si="31"/>
        <v>#REF!</v>
      </c>
      <c r="AD126" s="7" t="e">
        <f>IF(OR(ISNA(MATCH($C126,FA,0)),$J126&lt;&gt;"CIKIS"),0,N(INDEX(F_KK,MATCH($C126,FA,0))))</f>
        <v>#REF!</v>
      </c>
      <c r="AE126" s="7" t="e">
        <f>IF($AD126=0,0,N(#REF!)*N(INDEX(F_KLN,MATCH($C126,FA,0))))</f>
        <v>#REF!</v>
      </c>
      <c r="AF126" s="7" t="e">
        <f>IF($AD126=0,0,N(#REF!)*N(INDEX(F_KPE,MATCH($C126,FA,0))))</f>
        <v>#REF!</v>
      </c>
      <c r="AG126" s="7" t="e">
        <f>IF(ISNA(MATCH($C126,FA,0)),0,N(#REF!)*N(INDEX(F_MODUL,MATCH($C126,FA,0))))</f>
        <v>#REF!</v>
      </c>
      <c r="AH126" s="7" t="e">
        <f>N(#REF!)*N($I126)</f>
        <v>#REF!</v>
      </c>
      <c r="AI126" s="7" t="e">
        <f t="shared" si="32"/>
        <v>#REF!</v>
      </c>
      <c r="AJ126" s="7">
        <f t="shared" si="33"/>
        <v>0</v>
      </c>
    </row>
    <row r="127" spans="1:36" x14ac:dyDescent="0.25">
      <c r="A127" s="4" t="str">
        <f t="shared" si="27"/>
        <v>ВРУА-2 (ВРУ1-25-60А)(260922 akram aulet)</v>
      </c>
      <c r="B127" s="4" t="s">
        <v>61</v>
      </c>
      <c r="C127" s="4" t="s">
        <v>603</v>
      </c>
      <c r="D127" s="4" t="s">
        <v>609</v>
      </c>
      <c r="E127" s="4" t="s">
        <v>114</v>
      </c>
      <c r="F127" s="4" t="s">
        <v>479</v>
      </c>
      <c r="G127" s="4" t="s">
        <v>38</v>
      </c>
      <c r="H127" s="5" t="e">
        <f>#REF!</f>
        <v>#REF!</v>
      </c>
      <c r="I127" s="6" t="e">
        <f t="shared" si="28"/>
        <v>#REF!</v>
      </c>
      <c r="J127" s="6" t="s">
        <v>62</v>
      </c>
      <c r="K127" s="6" t="s">
        <v>61</v>
      </c>
      <c r="L127" s="7" t="e">
        <f t="shared" si="29"/>
        <v>#REF!</v>
      </c>
      <c r="M127" s="7" t="s">
        <v>156</v>
      </c>
      <c r="N127" s="7" t="s">
        <v>157</v>
      </c>
      <c r="O127" s="7">
        <f>IF(OR($C127="",$C127="FID YOK"),"",IF(ISNUMBER(MATCH($C127,FA_ANA,0)),"",IF(COUNTIF($C$1:$C126,$C127)&gt;0,"",MAX($O$1:$O126)+1)))</f>
        <v>49</v>
      </c>
      <c r="P127" s="8">
        <v>3</v>
      </c>
      <c r="Q127" s="7" t="e">
        <f>IF(OR($P127="",$P127="G",ISNA(MATCH($C127,FA,0))),"",IF(N(INDEX(F_G,MATCH($C127,FA,0)))&gt;0,INDEX(F_G,MATCH($C127,FA,0)),IF(N(INDEX(F_MODUL,MATCH($C127,FA,0)))&gt;0,INDEX(F_MODUL,MATCH($C127,FA,0))*MODUL_MM,"")))</f>
        <v>#REF!</v>
      </c>
      <c r="R127" s="7" t="e">
        <f>IF(OR($P127="",$P127="G",ISNA(MATCH($C127,FA,0))),"",IF(N(INDEX(F_Y,MATCH($C127,FA,0)))&gt;0,INDEX(F_Y,MATCH($C127,FA,0)),""))</f>
        <v>#REF!</v>
      </c>
      <c r="S127" s="7" t="e">
        <f>IF(OR($P127="",$P127="G",ISNA(MATCH($C127,FA,0))),"",IF(N(INDEX(F_D,MATCH($C127,FA,0)))&gt;0,INDEX(F_D,MATCH($C127,FA,0)),""))</f>
        <v>#REF!</v>
      </c>
      <c r="T127" s="7">
        <f>IF(ISNA(MATCH($C127,FA,0)),0,IF($J127="GIRIS",N(INDEX(F_INKOR,MATCH($C127,FA,0))),0))</f>
        <v>0</v>
      </c>
      <c r="U127" s="7" t="e">
        <f t="shared" si="34"/>
        <v>#REF!</v>
      </c>
      <c r="V127" s="7" t="e">
        <f t="shared" si="35"/>
        <v>#REF!</v>
      </c>
      <c r="W127" s="7" t="e">
        <f>IF(OR(NOT(ISNUMBER($P127)),$Q127=""),"",N(#REF!)*($Q127+IF(ISNA(MATCH($B127,TIP_AD,0)),0,N(INDEX(TIP_BOSLUK,MATCH($B127,TIP_AD,0))))))</f>
        <v>#REF!</v>
      </c>
      <c r="X127" s="7" t="e">
        <f>IF(ISNUMBER($P127),($Q127="")+($R127="")+($V127="")+IF(AND($U127="KONTAKTOR",NOT(ISNA(MATCH($B127,TIP_AD,0)))),IF(INDEX(TIP_BOSLUK,MATCH($B127,TIP_AD,0))&amp;""="",1,0),0),IF($P127="K",IF($S127="",1,0),0))</f>
        <v>#REF!</v>
      </c>
      <c r="Y127" s="7" t="e">
        <f>N(#REF!)*IF($E127="упак",MAX(1,IF(ISNA(MATCH($C127,FA,0)),1,N(INDEX(F_PAKET,MATCH($C127,FA,0))))),1)</f>
        <v>#REF!</v>
      </c>
      <c r="Z127" s="7" t="e">
        <f t="shared" si="30"/>
        <v>#REF!</v>
      </c>
      <c r="AA127" s="7" t="e">
        <f>IF(OR(ISNA(MATCH($C127,FA,0)),$J127="YEDEK",$J127="SARF"),0,N(#REF!)*N(INDEX(F_TEL,MATCH($C127,FA,0))))</f>
        <v>#REF!</v>
      </c>
      <c r="AB127" s="7" t="e">
        <f>IF(OR(ISNA(MATCH($C127,FA,0)),$J127="YEDEK",$J127="SARF"),0,N(#REF!)*N(INDEX(F_TELM,MATCH($C127,FA,0))))</f>
        <v>#REF!</v>
      </c>
      <c r="AC127" s="7" t="e">
        <f t="shared" si="31"/>
        <v>#REF!</v>
      </c>
      <c r="AD127" s="7">
        <f>IF(OR(ISNA(MATCH($C127,FA,0)),$J127&lt;&gt;"CIKIS"),0,N(INDEX(F_KK,MATCH($C127,FA,0))))</f>
        <v>0</v>
      </c>
      <c r="AE127" s="7">
        <f>IF($AD127=0,0,N(#REF!)*N(INDEX(F_KLN,MATCH($C127,FA,0))))</f>
        <v>0</v>
      </c>
      <c r="AF127" s="7">
        <f>IF($AD127=0,0,N(#REF!)*N(INDEX(F_KPE,MATCH($C127,FA,0))))</f>
        <v>0</v>
      </c>
      <c r="AG127" s="7" t="e">
        <f>IF(ISNA(MATCH($C127,FA,0)),0,N(#REF!)*N(INDEX(F_MODUL,MATCH($C127,FA,0))))</f>
        <v>#REF!</v>
      </c>
      <c r="AH127" s="7" t="e">
        <f>N(#REF!)*N($I127)</f>
        <v>#REF!</v>
      </c>
      <c r="AI127" s="7" t="e">
        <f t="shared" si="32"/>
        <v>#REF!</v>
      </c>
      <c r="AJ127" s="7">
        <f t="shared" si="33"/>
        <v>0</v>
      </c>
    </row>
    <row r="128" spans="1:36" x14ac:dyDescent="0.25">
      <c r="A128" s="4" t="str">
        <f t="shared" si="27"/>
        <v>ВРУА-2 (ВРУ1-25-60А)(260922 akram aulet)</v>
      </c>
      <c r="B128" s="4" t="s">
        <v>158</v>
      </c>
      <c r="C128" s="4" t="s">
        <v>482</v>
      </c>
      <c r="D128" s="4" t="s">
        <v>483</v>
      </c>
      <c r="E128" s="4" t="s">
        <v>114</v>
      </c>
      <c r="F128" s="4" t="s">
        <v>479</v>
      </c>
      <c r="G128" s="4" t="s">
        <v>38</v>
      </c>
      <c r="H128" s="5" t="e">
        <f>#REF!</f>
        <v>#REF!</v>
      </c>
      <c r="I128" s="6" t="e">
        <f t="shared" si="28"/>
        <v>#REF!</v>
      </c>
      <c r="J128" s="6" t="s">
        <v>62</v>
      </c>
      <c r="K128" s="6" t="s">
        <v>158</v>
      </c>
      <c r="L128" s="7" t="e">
        <f t="shared" si="29"/>
        <v>#REF!</v>
      </c>
      <c r="M128" s="7" t="s">
        <v>159</v>
      </c>
      <c r="N128" s="7" t="s">
        <v>160</v>
      </c>
      <c r="O128" s="7">
        <f>IF(OR($C128="",$C128="FID YOK"),"",IF(ISNUMBER(MATCH($C128,FA_ANA,0)),"",IF(COUNTIF($C$1:$C127,$C128)&gt;0,"",MAX($O$1:$O127)+1)))</f>
        <v>50</v>
      </c>
      <c r="P128" s="8">
        <v>3</v>
      </c>
      <c r="Q128" s="7" t="e">
        <f>IF(OR($P128="",$P128="G",ISNA(MATCH($C128,FA,0))),"",IF(N(INDEX(F_G,MATCH($C128,FA,0)))&gt;0,INDEX(F_G,MATCH($C128,FA,0)),IF(N(INDEX(F_MODUL,MATCH($C128,FA,0)))&gt;0,INDEX(F_MODUL,MATCH($C128,FA,0))*MODUL_MM,"")))</f>
        <v>#REF!</v>
      </c>
      <c r="R128" s="7" t="e">
        <f>IF(OR($P128="",$P128="G",ISNA(MATCH($C128,FA,0))),"",IF(N(INDEX(F_Y,MATCH($C128,FA,0)))&gt;0,INDEX(F_Y,MATCH($C128,FA,0)),""))</f>
        <v>#REF!</v>
      </c>
      <c r="S128" s="7" t="e">
        <f>IF(OR($P128="",$P128="G",ISNA(MATCH($C128,FA,0))),"",IF(N(INDEX(F_D,MATCH($C128,FA,0)))&gt;0,INDEX(F_D,MATCH($C128,FA,0)),""))</f>
        <v>#REF!</v>
      </c>
      <c r="T128" s="7">
        <f>IF(ISNA(MATCH($C128,FA,0)),0,IF($J128="GIRIS",N(INDEX(F_INKOR,MATCH($C128,FA,0))),0))</f>
        <v>0</v>
      </c>
      <c r="U128" s="7" t="e">
        <f t="shared" si="34"/>
        <v>#REF!</v>
      </c>
      <c r="V128" s="7" t="e">
        <f t="shared" si="35"/>
        <v>#REF!</v>
      </c>
      <c r="W128" s="7" t="e">
        <f>IF(OR(NOT(ISNUMBER($P128)),$Q128=""),"",N(#REF!)*($Q128+IF(ISNA(MATCH($B128,TIP_AD,0)),0,N(INDEX(TIP_BOSLUK,MATCH($B128,TIP_AD,0))))))</f>
        <v>#REF!</v>
      </c>
      <c r="X128" s="7" t="e">
        <f>IF(ISNUMBER($P128),($Q128="")+($R128="")+($V128="")+IF(AND($U128="KONTAKTOR",NOT(ISNA(MATCH($B128,TIP_AD,0)))),IF(INDEX(TIP_BOSLUK,MATCH($B128,TIP_AD,0))&amp;""="",1,0),0),IF($P128="K",IF($S128="",1,0),0))</f>
        <v>#REF!</v>
      </c>
      <c r="Y128" s="7" t="e">
        <f>N(#REF!)*IF($E128="упак",MAX(1,IF(ISNA(MATCH($C128,FA,0)),1,N(INDEX(F_PAKET,MATCH($C128,FA,0))))),1)</f>
        <v>#REF!</v>
      </c>
      <c r="Z128" s="7" t="e">
        <f t="shared" si="30"/>
        <v>#REF!</v>
      </c>
      <c r="AA128" s="7" t="e">
        <f>IF(OR(ISNA(MATCH($C128,FA,0)),$J128="YEDEK",$J128="SARF"),0,N(#REF!)*N(INDEX(F_TEL,MATCH($C128,FA,0))))</f>
        <v>#REF!</v>
      </c>
      <c r="AB128" s="7" t="e">
        <f>IF(OR(ISNA(MATCH($C128,FA,0)),$J128="YEDEK",$J128="SARF"),0,N(#REF!)*N(INDEX(F_TELM,MATCH($C128,FA,0))))</f>
        <v>#REF!</v>
      </c>
      <c r="AC128" s="7" t="e">
        <f t="shared" si="31"/>
        <v>#REF!</v>
      </c>
      <c r="AD128" s="7">
        <f>IF(OR(ISNA(MATCH($C128,FA,0)),$J128&lt;&gt;"CIKIS"),0,N(INDEX(F_KK,MATCH($C128,FA,0))))</f>
        <v>0</v>
      </c>
      <c r="AE128" s="7">
        <f>IF($AD128=0,0,N(#REF!)*N(INDEX(F_KLN,MATCH($C128,FA,0))))</f>
        <v>0</v>
      </c>
      <c r="AF128" s="7">
        <f>IF($AD128=0,0,N(#REF!)*N(INDEX(F_KPE,MATCH($C128,FA,0))))</f>
        <v>0</v>
      </c>
      <c r="AG128" s="7" t="e">
        <f>IF(ISNA(MATCH($C128,FA,0)),0,N(#REF!)*N(INDEX(F_MODUL,MATCH($C128,FA,0))))</f>
        <v>#REF!</v>
      </c>
      <c r="AH128" s="7" t="e">
        <f>N(#REF!)*N($I128)</f>
        <v>#REF!</v>
      </c>
      <c r="AI128" s="7" t="e">
        <f t="shared" si="32"/>
        <v>#REF!</v>
      </c>
      <c r="AJ128" s="7">
        <f t="shared" si="33"/>
        <v>0</v>
      </c>
    </row>
    <row r="129" spans="1:36" x14ac:dyDescent="0.25">
      <c r="A129" s="4" t="str">
        <f t="shared" si="27"/>
        <v>ВРУА-2 (ВРУ1-25-60А)(260922 akram aulet)</v>
      </c>
      <c r="B129" s="4" t="s">
        <v>65</v>
      </c>
      <c r="C129" s="4" t="s">
        <v>392</v>
      </c>
      <c r="D129" s="4" t="s">
        <v>393</v>
      </c>
      <c r="E129" s="4" t="s">
        <v>114</v>
      </c>
      <c r="F129" s="4" t="s">
        <v>377</v>
      </c>
      <c r="G129" s="4" t="s">
        <v>38</v>
      </c>
      <c r="H129" s="5" t="e">
        <f>#REF!</f>
        <v>#REF!</v>
      </c>
      <c r="I129" s="6" t="e">
        <f t="shared" si="28"/>
        <v>#REF!</v>
      </c>
      <c r="J129" s="6" t="s">
        <v>66</v>
      </c>
      <c r="K129" s="6" t="s">
        <v>65</v>
      </c>
      <c r="L129" s="7" t="e">
        <f t="shared" si="29"/>
        <v>#REF!</v>
      </c>
      <c r="M129" s="7" t="s">
        <v>161</v>
      </c>
      <c r="N129" s="7" t="s">
        <v>68</v>
      </c>
      <c r="O129" s="7" t="str">
        <f>IF(OR($C129="",$C129="FID YOK"),"",IF(ISNUMBER(MATCH($C129,FA_ANA,0)),"",IF(COUNTIF($C$1:$C128,$C129)&gt;0,"",MAX($O$1:$O128)+1)))</f>
        <v/>
      </c>
      <c r="P129" s="8">
        <v>5</v>
      </c>
      <c r="Q129" s="7" t="e">
        <f>IF(OR($P129="",$P129="G",ISNA(MATCH($C129,FA,0))),"",IF(N(INDEX(F_G,MATCH($C129,FA,0)))&gt;0,INDEX(F_G,MATCH($C129,FA,0)),IF(N(INDEX(F_MODUL,MATCH($C129,FA,0)))&gt;0,INDEX(F_MODUL,MATCH($C129,FA,0))*MODUL_MM,"")))</f>
        <v>#REF!</v>
      </c>
      <c r="R129" s="7" t="e">
        <f>IF(OR($P129="",$P129="G",ISNA(MATCH($C129,FA,0))),"",IF(N(INDEX(F_Y,MATCH($C129,FA,0)))&gt;0,INDEX(F_Y,MATCH($C129,FA,0)),""))</f>
        <v>#REF!</v>
      </c>
      <c r="S129" s="7" t="e">
        <f>IF(OR($P129="",$P129="G",ISNA(MATCH($C129,FA,0))),"",IF(N(INDEX(F_D,MATCH($C129,FA,0)))&gt;0,INDEX(F_D,MATCH($C129,FA,0)),""))</f>
        <v>#REF!</v>
      </c>
      <c r="T129" s="7">
        <f>IF(ISNA(MATCH($C129,FA,0)),0,IF($J129="GIRIS",N(INDEX(F_INKOR,MATCH($C129,FA,0))),0))</f>
        <v>0</v>
      </c>
      <c r="U129" s="7" t="e">
        <f t="shared" si="34"/>
        <v>#REF!</v>
      </c>
      <c r="V129" s="7" t="e">
        <f t="shared" si="35"/>
        <v>#REF!</v>
      </c>
      <c r="W129" s="7" t="e">
        <f>IF(OR(NOT(ISNUMBER($P129)),$Q129=""),"",N(#REF!)*($Q129+IF(ISNA(MATCH($B129,TIP_AD,0)),0,N(INDEX(TIP_BOSLUK,MATCH($B129,TIP_AD,0))))))</f>
        <v>#REF!</v>
      </c>
      <c r="X129" s="7" t="e">
        <f>IF(ISNUMBER($P129),($Q129="")+($R129="")+($V129="")+IF(AND($U129="KONTAKTOR",NOT(ISNA(MATCH($B129,TIP_AD,0)))),IF(INDEX(TIP_BOSLUK,MATCH($B129,TIP_AD,0))&amp;""="",1,0),0),IF($P129="K",IF($S129="",1,0),0))</f>
        <v>#REF!</v>
      </c>
      <c r="Y129" s="7" t="e">
        <f>N(#REF!)*IF($E129="упак",MAX(1,IF(ISNA(MATCH($C129,FA,0)),1,N(INDEX(F_PAKET,MATCH($C129,FA,0))))),1)</f>
        <v>#REF!</v>
      </c>
      <c r="Z129" s="7" t="e">
        <f t="shared" si="30"/>
        <v>#REF!</v>
      </c>
      <c r="AA129" s="7" t="e">
        <f>IF(OR(ISNA(MATCH($C129,FA,0)),$J129="YEDEK",$J129="SARF"),0,N(#REF!)*N(INDEX(F_TEL,MATCH($C129,FA,0))))</f>
        <v>#REF!</v>
      </c>
      <c r="AB129" s="7" t="e">
        <f>IF(OR(ISNA(MATCH($C129,FA,0)),$J129="YEDEK",$J129="SARF"),0,N(#REF!)*N(INDEX(F_TELM,MATCH($C129,FA,0))))</f>
        <v>#REF!</v>
      </c>
      <c r="AC129" s="7" t="e">
        <f t="shared" si="31"/>
        <v>#REF!</v>
      </c>
      <c r="AD129" s="7">
        <f>IF(OR(ISNA(MATCH($C129,FA,0)),$J129&lt;&gt;"CIKIS"),0,N(INDEX(F_KK,MATCH($C129,FA,0))))</f>
        <v>0</v>
      </c>
      <c r="AE129" s="7">
        <f>IF($AD129=0,0,N(#REF!)*N(INDEX(F_KLN,MATCH($C129,FA,0))))</f>
        <v>0</v>
      </c>
      <c r="AF129" s="7">
        <f>IF($AD129=0,0,N(#REF!)*N(INDEX(F_KPE,MATCH($C129,FA,0))))</f>
        <v>0</v>
      </c>
      <c r="AG129" s="7" t="e">
        <f>IF(ISNA(MATCH($C129,FA,0)),0,N(#REF!)*N(INDEX(F_MODUL,MATCH($C129,FA,0))))</f>
        <v>#REF!</v>
      </c>
      <c r="AH129" s="7" t="e">
        <f>N(#REF!)*N($I129)</f>
        <v>#REF!</v>
      </c>
      <c r="AI129" s="7" t="e">
        <f t="shared" si="32"/>
        <v>#REF!</v>
      </c>
      <c r="AJ129" s="7">
        <f t="shared" si="33"/>
        <v>0</v>
      </c>
    </row>
    <row r="130" spans="1:36" x14ac:dyDescent="0.25">
      <c r="A130" s="4" t="str">
        <f t="shared" si="27"/>
        <v>ВРУА-2 (ВРУ1-25-60А)(260922 akram aulet)</v>
      </c>
      <c r="B130" s="4" t="s">
        <v>72</v>
      </c>
      <c r="C130" s="4" t="s">
        <v>489</v>
      </c>
      <c r="D130" s="4" t="s">
        <v>490</v>
      </c>
      <c r="E130" s="4" t="s">
        <v>114</v>
      </c>
      <c r="F130" s="4" t="s">
        <v>491</v>
      </c>
      <c r="G130" s="4" t="s">
        <v>38</v>
      </c>
      <c r="H130" s="5" t="e">
        <f>#REF!</f>
        <v>#REF!</v>
      </c>
      <c r="I130" s="6" t="e">
        <f t="shared" si="28"/>
        <v>#REF!</v>
      </c>
      <c r="J130" s="6" t="s">
        <v>66</v>
      </c>
      <c r="K130" s="6" t="s">
        <v>162</v>
      </c>
      <c r="L130" s="7" t="e">
        <f t="shared" si="29"/>
        <v>#REF!</v>
      </c>
      <c r="M130" s="7" t="s">
        <v>163</v>
      </c>
      <c r="N130" s="7" t="s">
        <v>164</v>
      </c>
      <c r="O130" s="7">
        <f>IF(OR($C130="",$C130="FID YOK"),"",IF(ISNUMBER(MATCH($C130,FA_ANA,0)),"",IF(COUNTIF($C$1:$C129,$C130)&gt;0,"",MAX($O$1:$O129)+1)))</f>
        <v>51</v>
      </c>
      <c r="P130" s="8">
        <v>3</v>
      </c>
      <c r="Q130" s="7" t="e">
        <f>IF(OR($P130="",$P130="G",ISNA(MATCH($C130,FA,0))),"",IF(N(INDEX(F_G,MATCH($C130,FA,0)))&gt;0,INDEX(F_G,MATCH($C130,FA,0)),IF(N(INDEX(F_MODUL,MATCH($C130,FA,0)))&gt;0,INDEX(F_MODUL,MATCH($C130,FA,0))*MODUL_MM,"")))</f>
        <v>#REF!</v>
      </c>
      <c r="R130" s="7" t="e">
        <f>IF(OR($P130="",$P130="G",ISNA(MATCH($C130,FA,0))),"",IF(N(INDEX(F_Y,MATCH($C130,FA,0)))&gt;0,INDEX(F_Y,MATCH($C130,FA,0)),""))</f>
        <v>#REF!</v>
      </c>
      <c r="S130" s="7" t="e">
        <f>IF(OR($P130="",$P130="G",ISNA(MATCH($C130,FA,0))),"",IF(N(INDEX(F_D,MATCH($C130,FA,0)))&gt;0,INDEX(F_D,MATCH($C130,FA,0)),""))</f>
        <v>#REF!</v>
      </c>
      <c r="T130" s="7">
        <f>IF(ISNA(MATCH($C130,FA,0)),0,IF($J130="GIRIS",N(INDEX(F_INKOR,MATCH($C130,FA,0))),0))</f>
        <v>0</v>
      </c>
      <c r="U130" s="7" t="e">
        <f t="shared" si="34"/>
        <v>#REF!</v>
      </c>
      <c r="V130" s="7" t="e">
        <f t="shared" si="35"/>
        <v>#REF!</v>
      </c>
      <c r="W130" s="7" t="e">
        <f>IF(OR(NOT(ISNUMBER($P130)),$Q130=""),"",N(#REF!)*($Q130+IF(ISNA(MATCH($B130,TIP_AD,0)),0,N(INDEX(TIP_BOSLUK,MATCH($B130,TIP_AD,0))))))</f>
        <v>#REF!</v>
      </c>
      <c r="X130" s="7" t="e">
        <f>IF(ISNUMBER($P130),($Q130="")+($R130="")+($V130="")+IF(AND($U130="KONTAKTOR",NOT(ISNA(MATCH($B130,TIP_AD,0)))),IF(INDEX(TIP_BOSLUK,MATCH($B130,TIP_AD,0))&amp;""="",1,0),0),IF($P130="K",IF($S130="",1,0),0))</f>
        <v>#REF!</v>
      </c>
      <c r="Y130" s="7" t="e">
        <f>N(#REF!)*IF($E130="упак",MAX(1,IF(ISNA(MATCH($C130,FA,0)),1,N(INDEX(F_PAKET,MATCH($C130,FA,0))))),1)</f>
        <v>#REF!</v>
      </c>
      <c r="Z130" s="7" t="e">
        <f t="shared" si="30"/>
        <v>#REF!</v>
      </c>
      <c r="AA130" s="7" t="e">
        <f>IF(OR(ISNA(MATCH($C130,FA,0)),$J130="YEDEK",$J130="SARF"),0,N(#REF!)*N(INDEX(F_TEL,MATCH($C130,FA,0))))</f>
        <v>#REF!</v>
      </c>
      <c r="AB130" s="7" t="e">
        <f>IF(OR(ISNA(MATCH($C130,FA,0)),$J130="YEDEK",$J130="SARF"),0,N(#REF!)*N(INDEX(F_TELM,MATCH($C130,FA,0))))</f>
        <v>#REF!</v>
      </c>
      <c r="AC130" s="7" t="e">
        <f t="shared" si="31"/>
        <v>#REF!</v>
      </c>
      <c r="AD130" s="7">
        <f>IF(OR(ISNA(MATCH($C130,FA,0)),$J130&lt;&gt;"CIKIS"),0,N(INDEX(F_KK,MATCH($C130,FA,0))))</f>
        <v>0</v>
      </c>
      <c r="AE130" s="7">
        <f>IF($AD130=0,0,N(#REF!)*N(INDEX(F_KLN,MATCH($C130,FA,0))))</f>
        <v>0</v>
      </c>
      <c r="AF130" s="7">
        <f>IF($AD130=0,0,N(#REF!)*N(INDEX(F_KPE,MATCH($C130,FA,0))))</f>
        <v>0</v>
      </c>
      <c r="AG130" s="7" t="e">
        <f>IF(ISNA(MATCH($C130,FA,0)),0,N(#REF!)*N(INDEX(F_MODUL,MATCH($C130,FA,0))))</f>
        <v>#REF!</v>
      </c>
      <c r="AH130" s="7" t="e">
        <f>N(#REF!)*N($I130)</f>
        <v>#REF!</v>
      </c>
      <c r="AI130" s="7" t="e">
        <f t="shared" si="32"/>
        <v>#REF!</v>
      </c>
      <c r="AJ130" s="7">
        <f t="shared" si="33"/>
        <v>0</v>
      </c>
    </row>
    <row r="131" spans="1:36" x14ac:dyDescent="0.25">
      <c r="A131" s="4" t="str">
        <f t="shared" si="27"/>
        <v>ВРУА-2 (ВРУ1-25-60А)(260922 akram aulet)</v>
      </c>
      <c r="B131" s="4" t="s">
        <v>72</v>
      </c>
      <c r="C131" s="4" t="s">
        <v>463</v>
      </c>
      <c r="D131" s="4" t="s">
        <v>464</v>
      </c>
      <c r="E131" s="4" t="s">
        <v>114</v>
      </c>
      <c r="F131" s="4" t="s">
        <v>377</v>
      </c>
      <c r="G131" s="4" t="s">
        <v>38</v>
      </c>
      <c r="H131" s="5" t="e">
        <f>#REF!</f>
        <v>#REF!</v>
      </c>
      <c r="I131" s="6" t="e">
        <f t="shared" si="28"/>
        <v>#REF!</v>
      </c>
      <c r="J131" s="6" t="s">
        <v>66</v>
      </c>
      <c r="K131" s="6" t="s">
        <v>65</v>
      </c>
      <c r="L131" s="7" t="e">
        <f t="shared" si="29"/>
        <v>#REF!</v>
      </c>
      <c r="N131" s="7" t="s">
        <v>74</v>
      </c>
      <c r="O131" s="7" t="str">
        <f>IF(OR($C131="",$C131="FID YOK"),"",IF(ISNUMBER(MATCH($C131,FA_ANA,0)),"",IF(COUNTIF($C$1:$C130,$C131)&gt;0,"",MAX($O$1:$O130)+1)))</f>
        <v/>
      </c>
      <c r="P131" s="8">
        <v>5</v>
      </c>
      <c r="Q131" s="7" t="e">
        <f>IF(OR($P131="",$P131="G",ISNA(MATCH($C131,FA,0))),"",IF(N(INDEX(F_G,MATCH($C131,FA,0)))&gt;0,INDEX(F_G,MATCH($C131,FA,0)),IF(N(INDEX(F_MODUL,MATCH($C131,FA,0)))&gt;0,INDEX(F_MODUL,MATCH($C131,FA,0))*MODUL_MM,"")))</f>
        <v>#REF!</v>
      </c>
      <c r="R131" s="7" t="e">
        <f>IF(OR($P131="",$P131="G",ISNA(MATCH($C131,FA,0))),"",IF(N(INDEX(F_Y,MATCH($C131,FA,0)))&gt;0,INDEX(F_Y,MATCH($C131,FA,0)),""))</f>
        <v>#REF!</v>
      </c>
      <c r="S131" s="7" t="e">
        <f>IF(OR($P131="",$P131="G",ISNA(MATCH($C131,FA,0))),"",IF(N(INDEX(F_D,MATCH($C131,FA,0)))&gt;0,INDEX(F_D,MATCH($C131,FA,0)),""))</f>
        <v>#REF!</v>
      </c>
      <c r="T131" s="7">
        <f>IF(ISNA(MATCH($C131,FA,0)),0,IF($J131="GIRIS",N(INDEX(F_INKOR,MATCH($C131,FA,0))),0))</f>
        <v>0</v>
      </c>
      <c r="U131" s="7" t="e">
        <f t="shared" si="34"/>
        <v>#REF!</v>
      </c>
      <c r="V131" s="7" t="e">
        <f t="shared" si="35"/>
        <v>#REF!</v>
      </c>
      <c r="W131" s="7" t="e">
        <f>IF(OR(NOT(ISNUMBER($P131)),$Q131=""),"",N(#REF!)*($Q131+IF(ISNA(MATCH($B131,TIP_AD,0)),0,N(INDEX(TIP_BOSLUK,MATCH($B131,TIP_AD,0))))))</f>
        <v>#REF!</v>
      </c>
      <c r="X131" s="7" t="e">
        <f>IF(ISNUMBER($P131),($Q131="")+($R131="")+($V131="")+IF(AND($U131="KONTAKTOR",NOT(ISNA(MATCH($B131,TIP_AD,0)))),IF(INDEX(TIP_BOSLUK,MATCH($B131,TIP_AD,0))&amp;""="",1,0),0),IF($P131="K",IF($S131="",1,0),0))</f>
        <v>#REF!</v>
      </c>
      <c r="Y131" s="7" t="e">
        <f>N(#REF!)*IF($E131="упак",MAX(1,IF(ISNA(MATCH($C131,FA,0)),1,N(INDEX(F_PAKET,MATCH($C131,FA,0))))),1)</f>
        <v>#REF!</v>
      </c>
      <c r="Z131" s="7" t="e">
        <f t="shared" si="30"/>
        <v>#REF!</v>
      </c>
      <c r="AA131" s="7" t="e">
        <f>IF(OR(ISNA(MATCH($C131,FA,0)),$J131="YEDEK",$J131="SARF"),0,N(#REF!)*N(INDEX(F_TEL,MATCH($C131,FA,0))))</f>
        <v>#REF!</v>
      </c>
      <c r="AB131" s="7" t="e">
        <f>IF(OR(ISNA(MATCH($C131,FA,0)),$J131="YEDEK",$J131="SARF"),0,N(#REF!)*N(INDEX(F_TELM,MATCH($C131,FA,0))))</f>
        <v>#REF!</v>
      </c>
      <c r="AC131" s="7" t="e">
        <f t="shared" si="31"/>
        <v>#REF!</v>
      </c>
      <c r="AD131" s="7">
        <f>IF(OR(ISNA(MATCH($C131,FA,0)),$J131&lt;&gt;"CIKIS"),0,N(INDEX(F_KK,MATCH($C131,FA,0))))</f>
        <v>0</v>
      </c>
      <c r="AE131" s="7">
        <f>IF($AD131=0,0,N(#REF!)*N(INDEX(F_KLN,MATCH($C131,FA,0))))</f>
        <v>0</v>
      </c>
      <c r="AF131" s="7">
        <f>IF($AD131=0,0,N(#REF!)*N(INDEX(F_KPE,MATCH($C131,FA,0))))</f>
        <v>0</v>
      </c>
      <c r="AG131" s="7" t="e">
        <f>IF(ISNA(MATCH($C131,FA,0)),0,N(#REF!)*N(INDEX(F_MODUL,MATCH($C131,FA,0))))</f>
        <v>#REF!</v>
      </c>
      <c r="AH131" s="7" t="e">
        <f>N(#REF!)*N($I131)</f>
        <v>#REF!</v>
      </c>
      <c r="AI131" s="7" t="e">
        <f t="shared" si="32"/>
        <v>#REF!</v>
      </c>
      <c r="AJ131" s="7">
        <f t="shared" si="33"/>
        <v>0</v>
      </c>
    </row>
    <row r="132" spans="1:36" x14ac:dyDescent="0.25">
      <c r="A132" s="4" t="str">
        <f t="shared" si="27"/>
        <v>ВРУА-2 (ВРУ1-25-60А)(260922 akram aulet)</v>
      </c>
      <c r="B132" s="4" t="s">
        <v>75</v>
      </c>
      <c r="C132" s="4" t="s">
        <v>465</v>
      </c>
      <c r="D132" s="4" t="s">
        <v>466</v>
      </c>
      <c r="E132" s="4" t="s">
        <v>114</v>
      </c>
      <c r="F132" s="4" t="s">
        <v>377</v>
      </c>
      <c r="G132" s="4" t="s">
        <v>38</v>
      </c>
      <c r="H132" s="5" t="e">
        <f>#REF!</f>
        <v>#REF!</v>
      </c>
      <c r="I132" s="6" t="e">
        <f t="shared" si="28"/>
        <v>#REF!</v>
      </c>
      <c r="J132" s="6" t="s">
        <v>66</v>
      </c>
      <c r="K132" s="6" t="s">
        <v>75</v>
      </c>
      <c r="L132" s="7" t="e">
        <f t="shared" si="29"/>
        <v>#REF!</v>
      </c>
      <c r="N132" s="7" t="s">
        <v>77</v>
      </c>
      <c r="O132" s="7" t="str">
        <f>IF(OR($C132="",$C132="FID YOK"),"",IF(ISNUMBER(MATCH($C132,FA_ANA,0)),"",IF(COUNTIF($C$1:$C131,$C132)&gt;0,"",MAX($O$1:$O131)+1)))</f>
        <v/>
      </c>
      <c r="P132" s="8" t="s">
        <v>78</v>
      </c>
      <c r="Q132" s="7" t="e">
        <f>IF(OR($P132="",$P132="G",ISNA(MATCH($C132,FA,0))),"",IF(N(INDEX(F_G,MATCH($C132,FA,0)))&gt;0,INDEX(F_G,MATCH($C132,FA,0)),IF(N(INDEX(F_MODUL,MATCH($C132,FA,0)))&gt;0,INDEX(F_MODUL,MATCH($C132,FA,0))*MODUL_MM,"")))</f>
        <v>#REF!</v>
      </c>
      <c r="R132" s="7" t="e">
        <f>IF(OR($P132="",$P132="G",ISNA(MATCH($C132,FA,0))),"",IF(N(INDEX(F_Y,MATCH($C132,FA,0)))&gt;0,INDEX(F_Y,MATCH($C132,FA,0)),""))</f>
        <v>#REF!</v>
      </c>
      <c r="S132" s="7" t="e">
        <f>IF(OR($P132="",$P132="G",ISNA(MATCH($C132,FA,0))),"",IF(N(INDEX(F_D,MATCH($C132,FA,0)))&gt;0,INDEX(F_D,MATCH($C132,FA,0)),""))</f>
        <v>#REF!</v>
      </c>
      <c r="T132" s="7">
        <f>IF(ISNA(MATCH($C132,FA,0)),0,IF($J132="GIRIS",N(INDEX(F_INKOR,MATCH($C132,FA,0))),0))</f>
        <v>0</v>
      </c>
      <c r="U132" s="7" t="e">
        <f t="shared" si="34"/>
        <v>#REF!</v>
      </c>
      <c r="V132" s="7" t="str">
        <f t="shared" si="35"/>
        <v/>
      </c>
      <c r="W132" s="7" t="e">
        <f>IF(OR(NOT(ISNUMBER($P132)),$Q132=""),"",N(#REF!)*($Q132+IF(ISNA(MATCH($B132,TIP_AD,0)),0,N(INDEX(TIP_BOSLUK,MATCH($B132,TIP_AD,0))))))</f>
        <v>#REF!</v>
      </c>
      <c r="X132" s="7" t="e">
        <f>IF(ISNUMBER($P132),($Q132="")+($R132="")+($V132="")+IF(AND($U132="KONTAKTOR",NOT(ISNA(MATCH($B132,TIP_AD,0)))),IF(INDEX(TIP_BOSLUK,MATCH($B132,TIP_AD,0))&amp;""="",1,0),0),IF($P132="K",IF($S132="",1,0),0))</f>
        <v>#REF!</v>
      </c>
      <c r="Y132" s="7" t="e">
        <f>N(#REF!)*IF($E132="упак",MAX(1,IF(ISNA(MATCH($C132,FA,0)),1,N(INDEX(F_PAKET,MATCH($C132,FA,0))))),1)</f>
        <v>#REF!</v>
      </c>
      <c r="Z132" s="7" t="e">
        <f t="shared" si="30"/>
        <v>#REF!</v>
      </c>
      <c r="AA132" s="7" t="e">
        <f>IF(OR(ISNA(MATCH($C132,FA,0)),$J132="YEDEK",$J132="SARF"),0,N(#REF!)*N(INDEX(F_TEL,MATCH($C132,FA,0))))</f>
        <v>#REF!</v>
      </c>
      <c r="AB132" s="7" t="e">
        <f>IF(OR(ISNA(MATCH($C132,FA,0)),$J132="YEDEK",$J132="SARF"),0,N(#REF!)*N(INDEX(F_TELM,MATCH($C132,FA,0))))</f>
        <v>#REF!</v>
      </c>
      <c r="AC132" s="7" t="e">
        <f t="shared" si="31"/>
        <v>#REF!</v>
      </c>
      <c r="AD132" s="7">
        <f>IF(OR(ISNA(MATCH($C132,FA,0)),$J132&lt;&gt;"CIKIS"),0,N(INDEX(F_KK,MATCH($C132,FA,0))))</f>
        <v>0</v>
      </c>
      <c r="AE132" s="7">
        <f>IF($AD132=0,0,N(#REF!)*N(INDEX(F_KLN,MATCH($C132,FA,0))))</f>
        <v>0</v>
      </c>
      <c r="AF132" s="7">
        <f>IF($AD132=0,0,N(#REF!)*N(INDEX(F_KPE,MATCH($C132,FA,0))))</f>
        <v>0</v>
      </c>
      <c r="AG132" s="7" t="e">
        <f>IF(ISNA(MATCH($C132,FA,0)),0,N(#REF!)*N(INDEX(F_MODUL,MATCH($C132,FA,0))))</f>
        <v>#REF!</v>
      </c>
      <c r="AH132" s="7" t="e">
        <f>N(#REF!)*N($I132)</f>
        <v>#REF!</v>
      </c>
      <c r="AI132" s="7" t="e">
        <f t="shared" si="32"/>
        <v>#REF!</v>
      </c>
      <c r="AJ132" s="7">
        <f t="shared" si="33"/>
        <v>0</v>
      </c>
    </row>
    <row r="133" spans="1:36" x14ac:dyDescent="0.25">
      <c r="A133" s="4" t="str">
        <f t="shared" si="27"/>
        <v>ВРУА-2 (ВРУ1-25-60А)(260922 akram aulet)</v>
      </c>
      <c r="B133" s="4" t="s">
        <v>75</v>
      </c>
      <c r="C133" s="4" t="s">
        <v>467</v>
      </c>
      <c r="D133" s="4" t="s">
        <v>468</v>
      </c>
      <c r="E133" s="4" t="s">
        <v>114</v>
      </c>
      <c r="F133" s="4" t="s">
        <v>377</v>
      </c>
      <c r="G133" s="4" t="s">
        <v>38</v>
      </c>
      <c r="H133" s="5" t="e">
        <f>#REF!</f>
        <v>#REF!</v>
      </c>
      <c r="I133" s="6" t="e">
        <f t="shared" si="28"/>
        <v>#REF!</v>
      </c>
      <c r="J133" s="6" t="s">
        <v>66</v>
      </c>
      <c r="K133" s="6" t="s">
        <v>75</v>
      </c>
      <c r="L133" s="7" t="e">
        <f t="shared" si="29"/>
        <v>#REF!</v>
      </c>
      <c r="N133" s="7" t="s">
        <v>80</v>
      </c>
      <c r="O133" s="7" t="str">
        <f>IF(OR($C133="",$C133="FID YOK"),"",IF(ISNUMBER(MATCH($C133,FA_ANA,0)),"",IF(COUNTIF($C$1:$C132,$C133)&gt;0,"",MAX($O$1:$O132)+1)))</f>
        <v/>
      </c>
      <c r="P133" s="8" t="s">
        <v>78</v>
      </c>
      <c r="Q133" s="7" t="e">
        <f>IF(OR($P133="",$P133="G",ISNA(MATCH($C133,FA,0))),"",IF(N(INDEX(F_G,MATCH($C133,FA,0)))&gt;0,INDEX(F_G,MATCH($C133,FA,0)),IF(N(INDEX(F_MODUL,MATCH($C133,FA,0)))&gt;0,INDEX(F_MODUL,MATCH($C133,FA,0))*MODUL_MM,"")))</f>
        <v>#REF!</v>
      </c>
      <c r="R133" s="7" t="e">
        <f>IF(OR($P133="",$P133="G",ISNA(MATCH($C133,FA,0))),"",IF(N(INDEX(F_Y,MATCH($C133,FA,0)))&gt;0,INDEX(F_Y,MATCH($C133,FA,0)),""))</f>
        <v>#REF!</v>
      </c>
      <c r="S133" s="7" t="e">
        <f>IF(OR($P133="",$P133="G",ISNA(MATCH($C133,FA,0))),"",IF(N(INDEX(F_D,MATCH($C133,FA,0)))&gt;0,INDEX(F_D,MATCH($C133,FA,0)),""))</f>
        <v>#REF!</v>
      </c>
      <c r="T133" s="7">
        <f>IF(ISNA(MATCH($C133,FA,0)),0,IF($J133="GIRIS",N(INDEX(F_INKOR,MATCH($C133,FA,0))),0))</f>
        <v>0</v>
      </c>
      <c r="U133" s="7" t="e">
        <f t="shared" si="34"/>
        <v>#REF!</v>
      </c>
      <c r="V133" s="7" t="str">
        <f t="shared" si="35"/>
        <v/>
      </c>
      <c r="W133" s="7" t="e">
        <f>IF(OR(NOT(ISNUMBER($P133)),$Q133=""),"",N(#REF!)*($Q133+IF(ISNA(MATCH($B133,TIP_AD,0)),0,N(INDEX(TIP_BOSLUK,MATCH($B133,TIP_AD,0))))))</f>
        <v>#REF!</v>
      </c>
      <c r="X133" s="7" t="e">
        <f>IF(ISNUMBER($P133),($Q133="")+($R133="")+($V133="")+IF(AND($U133="KONTAKTOR",NOT(ISNA(MATCH($B133,TIP_AD,0)))),IF(INDEX(TIP_BOSLUK,MATCH($B133,TIP_AD,0))&amp;""="",1,0),0),IF($P133="K",IF($S133="",1,0),0))</f>
        <v>#REF!</v>
      </c>
      <c r="Y133" s="7" t="e">
        <f>N(#REF!)*IF($E133="упак",MAX(1,IF(ISNA(MATCH($C133,FA,0)),1,N(INDEX(F_PAKET,MATCH($C133,FA,0))))),1)</f>
        <v>#REF!</v>
      </c>
      <c r="Z133" s="7" t="e">
        <f t="shared" si="30"/>
        <v>#REF!</v>
      </c>
      <c r="AA133" s="7" t="e">
        <f>IF(OR(ISNA(MATCH($C133,FA,0)),$J133="YEDEK",$J133="SARF"),0,N(#REF!)*N(INDEX(F_TEL,MATCH($C133,FA,0))))</f>
        <v>#REF!</v>
      </c>
      <c r="AB133" s="7" t="e">
        <f>IF(OR(ISNA(MATCH($C133,FA,0)),$J133="YEDEK",$J133="SARF"),0,N(#REF!)*N(INDEX(F_TELM,MATCH($C133,FA,0))))</f>
        <v>#REF!</v>
      </c>
      <c r="AC133" s="7" t="e">
        <f t="shared" si="31"/>
        <v>#REF!</v>
      </c>
      <c r="AD133" s="7">
        <f>IF(OR(ISNA(MATCH($C133,FA,0)),$J133&lt;&gt;"CIKIS"),0,N(INDEX(F_KK,MATCH($C133,FA,0))))</f>
        <v>0</v>
      </c>
      <c r="AE133" s="7">
        <f>IF($AD133=0,0,N(#REF!)*N(INDEX(F_KLN,MATCH($C133,FA,0))))</f>
        <v>0</v>
      </c>
      <c r="AF133" s="7">
        <f>IF($AD133=0,0,N(#REF!)*N(INDEX(F_KPE,MATCH($C133,FA,0))))</f>
        <v>0</v>
      </c>
      <c r="AG133" s="7" t="e">
        <f>IF(ISNA(MATCH($C133,FA,0)),0,N(#REF!)*N(INDEX(F_MODUL,MATCH($C133,FA,0))))</f>
        <v>#REF!</v>
      </c>
      <c r="AH133" s="7" t="e">
        <f>N(#REF!)*N($I133)</f>
        <v>#REF!</v>
      </c>
      <c r="AI133" s="7" t="e">
        <f t="shared" si="32"/>
        <v>#REF!</v>
      </c>
      <c r="AJ133" s="7">
        <f t="shared" si="33"/>
        <v>0</v>
      </c>
    </row>
    <row r="134" spans="1:36" x14ac:dyDescent="0.25">
      <c r="A134" s="4" t="str">
        <f t="shared" si="27"/>
        <v>ВРУА-2 (ВРУ1-25-60А)(260922 akram aulet)</v>
      </c>
      <c r="B134" s="4" t="s">
        <v>75</v>
      </c>
      <c r="C134" s="4" t="s">
        <v>469</v>
      </c>
      <c r="D134" s="4" t="s">
        <v>470</v>
      </c>
      <c r="E134" s="4" t="s">
        <v>114</v>
      </c>
      <c r="F134" s="4" t="s">
        <v>377</v>
      </c>
      <c r="G134" s="4" t="s">
        <v>38</v>
      </c>
      <c r="H134" s="5" t="e">
        <f>#REF!</f>
        <v>#REF!</v>
      </c>
      <c r="I134" s="6" t="e">
        <f t="shared" si="28"/>
        <v>#REF!</v>
      </c>
      <c r="J134" s="6" t="s">
        <v>66</v>
      </c>
      <c r="K134" s="6" t="s">
        <v>75</v>
      </c>
      <c r="L134" s="7" t="e">
        <f t="shared" si="29"/>
        <v>#REF!</v>
      </c>
      <c r="N134" s="7" t="s">
        <v>82</v>
      </c>
      <c r="O134" s="7" t="str">
        <f>IF(OR($C134="",$C134="FID YOK"),"",IF(ISNUMBER(MATCH($C134,FA_ANA,0)),"",IF(COUNTIF($C$1:$C133,$C134)&gt;0,"",MAX($O$1:$O133)+1)))</f>
        <v/>
      </c>
      <c r="P134" s="8" t="s">
        <v>78</v>
      </c>
      <c r="Q134" s="7" t="e">
        <f>IF(OR($P134="",$P134="G",ISNA(MATCH($C134,FA,0))),"",IF(N(INDEX(F_G,MATCH($C134,FA,0)))&gt;0,INDEX(F_G,MATCH($C134,FA,0)),IF(N(INDEX(F_MODUL,MATCH($C134,FA,0)))&gt;0,INDEX(F_MODUL,MATCH($C134,FA,0))*MODUL_MM,"")))</f>
        <v>#REF!</v>
      </c>
      <c r="R134" s="7" t="e">
        <f>IF(OR($P134="",$P134="G",ISNA(MATCH($C134,FA,0))),"",IF(N(INDEX(F_Y,MATCH($C134,FA,0)))&gt;0,INDEX(F_Y,MATCH($C134,FA,0)),""))</f>
        <v>#REF!</v>
      </c>
      <c r="S134" s="7" t="e">
        <f>IF(OR($P134="",$P134="G",ISNA(MATCH($C134,FA,0))),"",IF(N(INDEX(F_D,MATCH($C134,FA,0)))&gt;0,INDEX(F_D,MATCH($C134,FA,0)),""))</f>
        <v>#REF!</v>
      </c>
      <c r="T134" s="7">
        <f>IF(ISNA(MATCH($C134,FA,0)),0,IF($J134="GIRIS",N(INDEX(F_INKOR,MATCH($C134,FA,0))),0))</f>
        <v>0</v>
      </c>
      <c r="U134" s="7" t="e">
        <f t="shared" si="34"/>
        <v>#REF!</v>
      </c>
      <c r="V134" s="7" t="str">
        <f t="shared" si="35"/>
        <v/>
      </c>
      <c r="W134" s="7" t="e">
        <f>IF(OR(NOT(ISNUMBER($P134)),$Q134=""),"",N(#REF!)*($Q134+IF(ISNA(MATCH($B134,TIP_AD,0)),0,N(INDEX(TIP_BOSLUK,MATCH($B134,TIP_AD,0))))))</f>
        <v>#REF!</v>
      </c>
      <c r="X134" s="7" t="e">
        <f>IF(ISNUMBER($P134),($Q134="")+($R134="")+($V134="")+IF(AND($U134="KONTAKTOR",NOT(ISNA(MATCH($B134,TIP_AD,0)))),IF(INDEX(TIP_BOSLUK,MATCH($B134,TIP_AD,0))&amp;""="",1,0),0),IF($P134="K",IF($S134="",1,0),0))</f>
        <v>#REF!</v>
      </c>
      <c r="Y134" s="7" t="e">
        <f>N(#REF!)*IF($E134="упак",MAX(1,IF(ISNA(MATCH($C134,FA,0)),1,N(INDEX(F_PAKET,MATCH($C134,FA,0))))),1)</f>
        <v>#REF!</v>
      </c>
      <c r="Z134" s="7" t="e">
        <f t="shared" si="30"/>
        <v>#REF!</v>
      </c>
      <c r="AA134" s="7" t="e">
        <f>IF(OR(ISNA(MATCH($C134,FA,0)),$J134="YEDEK",$J134="SARF"),0,N(#REF!)*N(INDEX(F_TEL,MATCH($C134,FA,0))))</f>
        <v>#REF!</v>
      </c>
      <c r="AB134" s="7" t="e">
        <f>IF(OR(ISNA(MATCH($C134,FA,0)),$J134="YEDEK",$J134="SARF"),0,N(#REF!)*N(INDEX(F_TELM,MATCH($C134,FA,0))))</f>
        <v>#REF!</v>
      </c>
      <c r="AC134" s="7" t="e">
        <f t="shared" si="31"/>
        <v>#REF!</v>
      </c>
      <c r="AD134" s="7">
        <f>IF(OR(ISNA(MATCH($C134,FA,0)),$J134&lt;&gt;"CIKIS"),0,N(INDEX(F_KK,MATCH($C134,FA,0))))</f>
        <v>0</v>
      </c>
      <c r="AE134" s="7">
        <f>IF($AD134=0,0,N(#REF!)*N(INDEX(F_KLN,MATCH($C134,FA,0))))</f>
        <v>0</v>
      </c>
      <c r="AF134" s="7">
        <f>IF($AD134=0,0,N(#REF!)*N(INDEX(F_KPE,MATCH($C134,FA,0))))</f>
        <v>0</v>
      </c>
      <c r="AG134" s="7" t="e">
        <f>IF(ISNA(MATCH($C134,FA,0)),0,N(#REF!)*N(INDEX(F_MODUL,MATCH($C134,FA,0))))</f>
        <v>#REF!</v>
      </c>
      <c r="AH134" s="7" t="e">
        <f>N(#REF!)*N($I134)</f>
        <v>#REF!</v>
      </c>
      <c r="AI134" s="7" t="e">
        <f t="shared" si="32"/>
        <v>#REF!</v>
      </c>
      <c r="AJ134" s="7">
        <f t="shared" si="33"/>
        <v>0</v>
      </c>
    </row>
    <row r="135" spans="1:36" x14ac:dyDescent="0.25">
      <c r="A135" s="4" t="str">
        <f t="shared" si="27"/>
        <v>ВРУА-2 (ВРУ1-25-60А)(260922 akram aulet)</v>
      </c>
      <c r="B135" s="4" t="s">
        <v>83</v>
      </c>
      <c r="C135" s="4" t="s">
        <v>589</v>
      </c>
      <c r="D135" s="4" t="s">
        <v>590</v>
      </c>
      <c r="E135" s="4" t="s">
        <v>520</v>
      </c>
      <c r="F135" s="4" t="s">
        <v>486</v>
      </c>
      <c r="G135" s="4" t="s">
        <v>38</v>
      </c>
      <c r="H135" s="5" t="e">
        <f>#REF!</f>
        <v>#REF!</v>
      </c>
      <c r="I135" s="6" t="e">
        <f t="shared" si="28"/>
        <v>#REF!</v>
      </c>
      <c r="J135" s="6" t="s">
        <v>84</v>
      </c>
      <c r="K135" s="6" t="s">
        <v>83</v>
      </c>
      <c r="L135" s="7" t="e">
        <f t="shared" si="29"/>
        <v>#REF!</v>
      </c>
      <c r="M135" s="7" t="s">
        <v>85</v>
      </c>
      <c r="O135" s="7">
        <f>IF(OR($C135="",$C135="FID YOK"),"",IF(ISNUMBER(MATCH($C135,FA_ANA,0)),"",IF(COUNTIF($C$1:$C134,$C135)&gt;0,"",MAX($O$1:$O134)+1)))</f>
        <v>52</v>
      </c>
      <c r="T135" s="7">
        <f>IF(ISNA(MATCH($C135,FA,0)),0,IF($J135="GIRIS",N(INDEX(F_INKOR,MATCH($C135,FA,0))),0))</f>
        <v>0</v>
      </c>
      <c r="Y135" s="7" t="e">
        <f>N(#REF!)*IF($E135="упак",MAX(1,IF(ISNA(MATCH($C135,FA,0)),1,N(INDEX(F_PAKET,MATCH($C135,FA,0))))),1)</f>
        <v>#REF!</v>
      </c>
      <c r="Z135" s="7" t="e">
        <f t="shared" si="30"/>
        <v>#REF!</v>
      </c>
      <c r="AA135" s="7">
        <f>IF(OR(ISNA(MATCH($C135,FA,0)),$J135="YEDEK",$J135="SARF"),0,N(#REF!)*N(INDEX(F_TEL,MATCH($C135,FA,0))))</f>
        <v>0</v>
      </c>
      <c r="AB135" s="7">
        <f>IF(OR(ISNA(MATCH($C135,FA,0)),$J135="YEDEK",$J135="SARF"),0,N(#REF!)*N(INDEX(F_TELM,MATCH($C135,FA,0))))</f>
        <v>0</v>
      </c>
      <c r="AC135" s="7" t="e">
        <f t="shared" si="31"/>
        <v>#REF!</v>
      </c>
      <c r="AD135" s="7">
        <f>IF(OR(ISNA(MATCH($C135,FA,0)),$J135&lt;&gt;"CIKIS"),0,N(INDEX(F_KK,MATCH($C135,FA,0))))</f>
        <v>0</v>
      </c>
      <c r="AE135" s="7">
        <f>IF($AD135=0,0,N(#REF!)*N(INDEX(F_KLN,MATCH($C135,FA,0))))</f>
        <v>0</v>
      </c>
      <c r="AF135" s="7">
        <f>IF($AD135=0,0,N(#REF!)*N(INDEX(F_KPE,MATCH($C135,FA,0))))</f>
        <v>0</v>
      </c>
      <c r="AG135" s="7" t="e">
        <f>IF(ISNA(MATCH($C135,FA,0)),0,N(#REF!)*N(INDEX(F_MODUL,MATCH($C135,FA,0))))</f>
        <v>#REF!</v>
      </c>
      <c r="AH135" s="7" t="e">
        <f>N(#REF!)*N($I135)</f>
        <v>#REF!</v>
      </c>
      <c r="AI135" s="7" t="e">
        <f t="shared" si="32"/>
        <v>#REF!</v>
      </c>
      <c r="AJ135" s="7">
        <f t="shared" si="33"/>
        <v>0</v>
      </c>
    </row>
    <row r="136" spans="1:36" x14ac:dyDescent="0.25">
      <c r="A136" s="4" t="str">
        <f t="shared" si="27"/>
        <v>ВРУА-2 (ВРУ1-25-60А)(260922 akram aulet)</v>
      </c>
      <c r="B136" s="4" t="s">
        <v>83</v>
      </c>
      <c r="C136" s="4" t="s">
        <v>589</v>
      </c>
      <c r="D136" s="4" t="s">
        <v>590</v>
      </c>
      <c r="E136" s="4" t="s">
        <v>520</v>
      </c>
      <c r="F136" s="4" t="s">
        <v>486</v>
      </c>
      <c r="G136" s="4" t="s">
        <v>38</v>
      </c>
      <c r="H136" s="5" t="e">
        <f>#REF!</f>
        <v>#REF!</v>
      </c>
      <c r="I136" s="6" t="e">
        <f t="shared" si="28"/>
        <v>#REF!</v>
      </c>
      <c r="J136" s="6" t="s">
        <v>84</v>
      </c>
      <c r="K136" s="6" t="s">
        <v>83</v>
      </c>
      <c r="L136" s="7" t="e">
        <f t="shared" si="29"/>
        <v>#REF!</v>
      </c>
      <c r="M136" s="7" t="s">
        <v>86</v>
      </c>
      <c r="O136" s="7" t="str">
        <f>IF(OR($C136="",$C136="FID YOK"),"",IF(ISNUMBER(MATCH($C136,FA_ANA,0)),"",IF(COUNTIF($C$1:$C135,$C136)&gt;0,"",MAX($O$1:$O135)+1)))</f>
        <v/>
      </c>
      <c r="T136" s="7">
        <f>IF(ISNA(MATCH($C136,FA,0)),0,IF($J136="GIRIS",N(INDEX(F_INKOR,MATCH($C136,FA,0))),0))</f>
        <v>0</v>
      </c>
      <c r="Y136" s="7" t="e">
        <f>N(#REF!)*IF($E136="упак",MAX(1,IF(ISNA(MATCH($C136,FA,0)),1,N(INDEX(F_PAKET,MATCH($C136,FA,0))))),1)</f>
        <v>#REF!</v>
      </c>
      <c r="Z136" s="7" t="e">
        <f t="shared" si="30"/>
        <v>#REF!</v>
      </c>
      <c r="AA136" s="7">
        <f>IF(OR(ISNA(MATCH($C136,FA,0)),$J136="YEDEK",$J136="SARF"),0,N(#REF!)*N(INDEX(F_TEL,MATCH($C136,FA,0))))</f>
        <v>0</v>
      </c>
      <c r="AB136" s="7">
        <f>IF(OR(ISNA(MATCH($C136,FA,0)),$J136="YEDEK",$J136="SARF"),0,N(#REF!)*N(INDEX(F_TELM,MATCH($C136,FA,0))))</f>
        <v>0</v>
      </c>
      <c r="AC136" s="7" t="e">
        <f t="shared" si="31"/>
        <v>#REF!</v>
      </c>
      <c r="AD136" s="7">
        <f>IF(OR(ISNA(MATCH($C136,FA,0)),$J136&lt;&gt;"CIKIS"),0,N(INDEX(F_KK,MATCH($C136,FA,0))))</f>
        <v>0</v>
      </c>
      <c r="AE136" s="7">
        <f>IF($AD136=0,0,N(#REF!)*N(INDEX(F_KLN,MATCH($C136,FA,0))))</f>
        <v>0</v>
      </c>
      <c r="AF136" s="7">
        <f>IF($AD136=0,0,N(#REF!)*N(INDEX(F_KPE,MATCH($C136,FA,0))))</f>
        <v>0</v>
      </c>
      <c r="AG136" s="7" t="e">
        <f>IF(ISNA(MATCH($C136,FA,0)),0,N(#REF!)*N(INDEX(F_MODUL,MATCH($C136,FA,0))))</f>
        <v>#REF!</v>
      </c>
      <c r="AH136" s="7" t="e">
        <f>N(#REF!)*N($I136)</f>
        <v>#REF!</v>
      </c>
      <c r="AI136" s="7" t="e">
        <f t="shared" si="32"/>
        <v>#REF!</v>
      </c>
      <c r="AJ136" s="7">
        <f t="shared" si="33"/>
        <v>0</v>
      </c>
    </row>
    <row r="137" spans="1:36" x14ac:dyDescent="0.25">
      <c r="A137" s="4" t="str">
        <f t="shared" si="27"/>
        <v>ВРУА-2 (ВРУ1-25-60А)(260922 akram aulet)</v>
      </c>
      <c r="B137" s="4" t="s">
        <v>83</v>
      </c>
      <c r="C137" s="4" t="s">
        <v>587</v>
      </c>
      <c r="D137" s="4" t="s">
        <v>588</v>
      </c>
      <c r="E137" s="4" t="s">
        <v>520</v>
      </c>
      <c r="F137" s="4" t="s">
        <v>486</v>
      </c>
      <c r="G137" s="4" t="s">
        <v>38</v>
      </c>
      <c r="H137" s="5" t="e">
        <f>#REF!</f>
        <v>#REF!</v>
      </c>
      <c r="I137" s="6" t="e">
        <f t="shared" si="28"/>
        <v>#REF!</v>
      </c>
      <c r="J137" s="6" t="s">
        <v>84</v>
      </c>
      <c r="K137" s="6" t="s">
        <v>83</v>
      </c>
      <c r="L137" s="7" t="e">
        <f t="shared" si="29"/>
        <v>#REF!</v>
      </c>
      <c r="M137" s="7" t="s">
        <v>87</v>
      </c>
      <c r="O137" s="7" t="str">
        <f>IF(OR($C137="",$C137="FID YOK"),"",IF(ISNUMBER(MATCH($C137,FA_ANA,0)),"",IF(COUNTIF($C$1:$C136,$C137)&gt;0,"",MAX($O$1:$O136)+1)))</f>
        <v/>
      </c>
      <c r="T137" s="7">
        <f>IF(ISNA(MATCH($C137,FA,0)),0,IF($J137="GIRIS",N(INDEX(F_INKOR,MATCH($C137,FA,0))),0))</f>
        <v>0</v>
      </c>
      <c r="Y137" s="7" t="e">
        <f>N(#REF!)*IF($E137="упак",MAX(1,IF(ISNA(MATCH($C137,FA,0)),1,N(INDEX(F_PAKET,MATCH($C137,FA,0))))),1)</f>
        <v>#REF!</v>
      </c>
      <c r="Z137" s="7" t="e">
        <f t="shared" si="30"/>
        <v>#REF!</v>
      </c>
      <c r="AA137" s="7">
        <f>IF(OR(ISNA(MATCH($C137,FA,0)),$J137="YEDEK",$J137="SARF"),0,N(#REF!)*N(INDEX(F_TEL,MATCH($C137,FA,0))))</f>
        <v>0</v>
      </c>
      <c r="AB137" s="7">
        <f>IF(OR(ISNA(MATCH($C137,FA,0)),$J137="YEDEK",$J137="SARF"),0,N(#REF!)*N(INDEX(F_TELM,MATCH($C137,FA,0))))</f>
        <v>0</v>
      </c>
      <c r="AC137" s="7" t="e">
        <f t="shared" si="31"/>
        <v>#REF!</v>
      </c>
      <c r="AD137" s="7">
        <f>IF(OR(ISNA(MATCH($C137,FA,0)),$J137&lt;&gt;"CIKIS"),0,N(INDEX(F_KK,MATCH($C137,FA,0))))</f>
        <v>0</v>
      </c>
      <c r="AE137" s="7">
        <f>IF($AD137=0,0,N(#REF!)*N(INDEX(F_KLN,MATCH($C137,FA,0))))</f>
        <v>0</v>
      </c>
      <c r="AF137" s="7">
        <f>IF($AD137=0,0,N(#REF!)*N(INDEX(F_KPE,MATCH($C137,FA,0))))</f>
        <v>0</v>
      </c>
      <c r="AG137" s="7" t="e">
        <f>IF(ISNA(MATCH($C137,FA,0)),0,N(#REF!)*N(INDEX(F_MODUL,MATCH($C137,FA,0))))</f>
        <v>#REF!</v>
      </c>
      <c r="AH137" s="7" t="e">
        <f>N(#REF!)*N($I137)</f>
        <v>#REF!</v>
      </c>
      <c r="AI137" s="7" t="e">
        <f t="shared" si="32"/>
        <v>#REF!</v>
      </c>
      <c r="AJ137" s="7">
        <f t="shared" si="33"/>
        <v>0</v>
      </c>
    </row>
    <row r="138" spans="1:36" x14ac:dyDescent="0.25">
      <c r="A138" s="4" t="str">
        <f t="shared" si="27"/>
        <v>ВРУА-2 (ВРУ1-25-60А)(260922 akram aulet)</v>
      </c>
      <c r="B138" s="4" t="s">
        <v>88</v>
      </c>
      <c r="C138" s="4" t="s">
        <v>573</v>
      </c>
      <c r="D138" s="4" t="s">
        <v>574</v>
      </c>
      <c r="E138" s="4" t="s">
        <v>114</v>
      </c>
      <c r="F138" s="4" t="s">
        <v>486</v>
      </c>
      <c r="G138" s="4" t="s">
        <v>38</v>
      </c>
      <c r="H138" s="5" t="e">
        <f>#REF!</f>
        <v>#REF!</v>
      </c>
      <c r="I138" s="6" t="e">
        <f t="shared" si="28"/>
        <v>#REF!</v>
      </c>
      <c r="J138" s="6" t="s">
        <v>84</v>
      </c>
      <c r="K138" s="6" t="s">
        <v>88</v>
      </c>
      <c r="L138" s="7" t="e">
        <f t="shared" si="29"/>
        <v>#REF!</v>
      </c>
      <c r="M138" s="7" t="s">
        <v>89</v>
      </c>
      <c r="O138" s="7" t="str">
        <f>IF(OR($C138="",$C138="FID YOK"),"",IF(ISNUMBER(MATCH($C138,FA_ANA,0)),"",IF(COUNTIF($C$1:$C137,$C138)&gt;0,"",MAX($O$1:$O137)+1)))</f>
        <v/>
      </c>
      <c r="T138" s="7">
        <f>IF(ISNA(MATCH($C138,FA,0)),0,IF($J138="GIRIS",N(INDEX(F_INKOR,MATCH($C138,FA,0))),0))</f>
        <v>0</v>
      </c>
      <c r="Y138" s="7" t="e">
        <f>N(#REF!)*IF($E138="упак",MAX(1,IF(ISNA(MATCH($C138,FA,0)),1,N(INDEX(F_PAKET,MATCH($C138,FA,0))))),1)</f>
        <v>#REF!</v>
      </c>
      <c r="Z138" s="7" t="e">
        <f t="shared" si="30"/>
        <v>#REF!</v>
      </c>
      <c r="AA138" s="7">
        <f>IF(OR(ISNA(MATCH($C138,FA,0)),$J138="YEDEK",$J138="SARF"),0,N(#REF!)*N(INDEX(F_TEL,MATCH($C138,FA,0))))</f>
        <v>0</v>
      </c>
      <c r="AB138" s="7">
        <f>IF(OR(ISNA(MATCH($C138,FA,0)),$J138="YEDEK",$J138="SARF"),0,N(#REF!)*N(INDEX(F_TELM,MATCH($C138,FA,0))))</f>
        <v>0</v>
      </c>
      <c r="AC138" s="7" t="e">
        <f t="shared" si="31"/>
        <v>#REF!</v>
      </c>
      <c r="AD138" s="7">
        <f>IF(OR(ISNA(MATCH($C138,FA,0)),$J138&lt;&gt;"CIKIS"),0,N(INDEX(F_KK,MATCH($C138,FA,0))))</f>
        <v>0</v>
      </c>
      <c r="AE138" s="7">
        <f>IF($AD138=0,0,N(#REF!)*N(INDEX(F_KLN,MATCH($C138,FA,0))))</f>
        <v>0</v>
      </c>
      <c r="AF138" s="7">
        <f>IF($AD138=0,0,N(#REF!)*N(INDEX(F_KPE,MATCH($C138,FA,0))))</f>
        <v>0</v>
      </c>
      <c r="AG138" s="7" t="e">
        <f>IF(ISNA(MATCH($C138,FA,0)),0,N(#REF!)*N(INDEX(F_MODUL,MATCH($C138,FA,0))))</f>
        <v>#REF!</v>
      </c>
      <c r="AH138" s="7" t="e">
        <f>N(#REF!)*N($I138)</f>
        <v>#REF!</v>
      </c>
      <c r="AI138" s="7" t="e">
        <f t="shared" si="32"/>
        <v>#REF!</v>
      </c>
      <c r="AJ138" s="7">
        <f t="shared" si="33"/>
        <v>0</v>
      </c>
    </row>
    <row r="139" spans="1:36" x14ac:dyDescent="0.25">
      <c r="A139" s="4" t="str">
        <f t="shared" si="27"/>
        <v>ВРУА-2 (ВРУ1-25-60А)(260922 akram aulet)</v>
      </c>
      <c r="B139" s="4" t="s">
        <v>90</v>
      </c>
      <c r="C139" s="4" t="s">
        <v>518</v>
      </c>
      <c r="D139" s="4" t="s">
        <v>519</v>
      </c>
      <c r="E139" s="4" t="s">
        <v>520</v>
      </c>
      <c r="F139" s="4" t="s">
        <v>486</v>
      </c>
      <c r="G139" s="4" t="s">
        <v>38</v>
      </c>
      <c r="H139" s="5" t="e">
        <f>#REF!</f>
        <v>#REF!</v>
      </c>
      <c r="I139" s="6" t="e">
        <f t="shared" si="28"/>
        <v>#REF!</v>
      </c>
      <c r="J139" s="6" t="s">
        <v>84</v>
      </c>
      <c r="K139" s="6" t="s">
        <v>90</v>
      </c>
      <c r="L139" s="7" t="e">
        <f t="shared" si="29"/>
        <v>#REF!</v>
      </c>
      <c r="M139" s="7" t="s">
        <v>91</v>
      </c>
      <c r="O139" s="7" t="str">
        <f>IF(OR($C139="",$C139="FID YOK"),"",IF(ISNUMBER(MATCH($C139,FA_ANA,0)),"",IF(COUNTIF($C$1:$C138,$C139)&gt;0,"",MAX($O$1:$O138)+1)))</f>
        <v/>
      </c>
      <c r="T139" s="7">
        <f>IF(ISNA(MATCH($C139,FA,0)),0,IF($J139="GIRIS",N(INDEX(F_INKOR,MATCH($C139,FA,0))),0))</f>
        <v>0</v>
      </c>
      <c r="Y139" s="7" t="e">
        <f>N(#REF!)*IF($E139="упак",MAX(1,IF(ISNA(MATCH($C139,FA,0)),1,N(INDEX(F_PAKET,MATCH($C139,FA,0))))),1)</f>
        <v>#REF!</v>
      </c>
      <c r="Z139" s="7" t="e">
        <f t="shared" si="30"/>
        <v>#REF!</v>
      </c>
      <c r="AA139" s="7">
        <f>IF(OR(ISNA(MATCH($C139,FA,0)),$J139="YEDEK",$J139="SARF"),0,N(#REF!)*N(INDEX(F_TEL,MATCH($C139,FA,0))))</f>
        <v>0</v>
      </c>
      <c r="AB139" s="7">
        <f>IF(OR(ISNA(MATCH($C139,FA,0)),$J139="YEDEK",$J139="SARF"),0,N(#REF!)*N(INDEX(F_TELM,MATCH($C139,FA,0))))</f>
        <v>0</v>
      </c>
      <c r="AC139" s="7" t="e">
        <f t="shared" si="31"/>
        <v>#REF!</v>
      </c>
      <c r="AD139" s="7">
        <f>IF(OR(ISNA(MATCH($C139,FA,0)),$J139&lt;&gt;"CIKIS"),0,N(INDEX(F_KK,MATCH($C139,FA,0))))</f>
        <v>0</v>
      </c>
      <c r="AE139" s="7">
        <f>IF($AD139=0,0,N(#REF!)*N(INDEX(F_KLN,MATCH($C139,FA,0))))</f>
        <v>0</v>
      </c>
      <c r="AF139" s="7">
        <f>IF($AD139=0,0,N(#REF!)*N(INDEX(F_KPE,MATCH($C139,FA,0))))</f>
        <v>0</v>
      </c>
      <c r="AG139" s="7" t="e">
        <f>IF(ISNA(MATCH($C139,FA,0)),0,N(#REF!)*N(INDEX(F_MODUL,MATCH($C139,FA,0))))</f>
        <v>#REF!</v>
      </c>
      <c r="AH139" s="7" t="e">
        <f>N(#REF!)*N($I139)</f>
        <v>#REF!</v>
      </c>
      <c r="AI139" s="7" t="e">
        <f t="shared" si="32"/>
        <v>#REF!</v>
      </c>
      <c r="AJ139" s="7">
        <f t="shared" si="33"/>
        <v>0</v>
      </c>
    </row>
    <row r="140" spans="1:36" x14ac:dyDescent="0.25">
      <c r="A140" s="4" t="str">
        <f t="shared" si="27"/>
        <v>ВРУА-2 (ВРУ1-25-60А)(260922 akram aulet)</v>
      </c>
      <c r="B140" s="4" t="s">
        <v>92</v>
      </c>
      <c r="C140" s="4" t="s">
        <v>523</v>
      </c>
      <c r="D140" s="4" t="s">
        <v>524</v>
      </c>
      <c r="E140" s="4" t="s">
        <v>520</v>
      </c>
      <c r="F140" s="4" t="s">
        <v>521</v>
      </c>
      <c r="G140" s="4" t="s">
        <v>38</v>
      </c>
      <c r="H140" s="5" t="e">
        <f>#REF!</f>
        <v>#REF!</v>
      </c>
      <c r="I140" s="6" t="e">
        <f t="shared" si="28"/>
        <v>#REF!</v>
      </c>
      <c r="J140" s="6" t="s">
        <v>84</v>
      </c>
      <c r="K140" s="6" t="s">
        <v>92</v>
      </c>
      <c r="L140" s="7" t="e">
        <f t="shared" si="29"/>
        <v>#REF!</v>
      </c>
      <c r="M140" s="7" t="s">
        <v>93</v>
      </c>
      <c r="O140" s="7" t="str">
        <f>IF(OR($C140="",$C140="FID YOK"),"",IF(ISNUMBER(MATCH($C140,FA_ANA,0)),"",IF(COUNTIF($C$1:$C139,$C140)&gt;0,"",MAX($O$1:$O139)+1)))</f>
        <v/>
      </c>
      <c r="T140" s="7">
        <f>IF(ISNA(MATCH($C140,FA,0)),0,IF($J140="GIRIS",N(INDEX(F_INKOR,MATCH($C140,FA,0))),0))</f>
        <v>0</v>
      </c>
      <c r="Y140" s="7" t="e">
        <f>N(#REF!)*IF($E140="упак",MAX(1,IF(ISNA(MATCH($C140,FA,0)),1,N(INDEX(F_PAKET,MATCH($C140,FA,0))))),1)</f>
        <v>#REF!</v>
      </c>
      <c r="Z140" s="7" t="e">
        <f t="shared" si="30"/>
        <v>#REF!</v>
      </c>
      <c r="AA140" s="7">
        <f>IF(OR(ISNA(MATCH($C140,FA,0)),$J140="YEDEK",$J140="SARF"),0,N(#REF!)*N(INDEX(F_TEL,MATCH($C140,FA,0))))</f>
        <v>0</v>
      </c>
      <c r="AB140" s="7">
        <f>IF(OR(ISNA(MATCH($C140,FA,0)),$J140="YEDEK",$J140="SARF"),0,N(#REF!)*N(INDEX(F_TELM,MATCH($C140,FA,0))))</f>
        <v>0</v>
      </c>
      <c r="AC140" s="7" t="e">
        <f t="shared" si="31"/>
        <v>#REF!</v>
      </c>
      <c r="AD140" s="7">
        <f>IF(OR(ISNA(MATCH($C140,FA,0)),$J140&lt;&gt;"CIKIS"),0,N(INDEX(F_KK,MATCH($C140,FA,0))))</f>
        <v>0</v>
      </c>
      <c r="AE140" s="7">
        <f>IF($AD140=0,0,N(#REF!)*N(INDEX(F_KLN,MATCH($C140,FA,0))))</f>
        <v>0</v>
      </c>
      <c r="AF140" s="7">
        <f>IF($AD140=0,0,N(#REF!)*N(INDEX(F_KPE,MATCH($C140,FA,0))))</f>
        <v>0</v>
      </c>
      <c r="AG140" s="7" t="e">
        <f>IF(ISNA(MATCH($C140,FA,0)),0,N(#REF!)*N(INDEX(F_MODUL,MATCH($C140,FA,0))))</f>
        <v>#REF!</v>
      </c>
      <c r="AH140" s="7" t="e">
        <f>N(#REF!)*N($I140)</f>
        <v>#REF!</v>
      </c>
      <c r="AI140" s="7" t="e">
        <f t="shared" si="32"/>
        <v>#REF!</v>
      </c>
      <c r="AJ140" s="7">
        <f t="shared" si="33"/>
        <v>0</v>
      </c>
    </row>
    <row r="141" spans="1:36" x14ac:dyDescent="0.25">
      <c r="A141" s="4" t="str">
        <f t="shared" si="27"/>
        <v>ВРУА-2 (ВРУ1-25-60А)(260922 akram aulet)</v>
      </c>
      <c r="B141" s="4" t="s">
        <v>92</v>
      </c>
      <c r="C141" s="4" t="s">
        <v>527</v>
      </c>
      <c r="D141" s="4" t="s">
        <v>528</v>
      </c>
      <c r="E141" s="4" t="s">
        <v>520</v>
      </c>
      <c r="F141" s="4" t="s">
        <v>521</v>
      </c>
      <c r="G141" s="4" t="s">
        <v>38</v>
      </c>
      <c r="H141" s="5" t="e">
        <f>#REF!</f>
        <v>#REF!</v>
      </c>
      <c r="I141" s="6" t="e">
        <f t="shared" si="28"/>
        <v>#REF!</v>
      </c>
      <c r="J141" s="6" t="s">
        <v>84</v>
      </c>
      <c r="K141" s="6" t="s">
        <v>92</v>
      </c>
      <c r="L141" s="7" t="e">
        <f t="shared" si="29"/>
        <v>#REF!</v>
      </c>
      <c r="M141" s="7" t="s">
        <v>94</v>
      </c>
      <c r="O141" s="7" t="str">
        <f>IF(OR($C141="",$C141="FID YOK"),"",IF(ISNUMBER(MATCH($C141,FA_ANA,0)),"",IF(COUNTIF($C$1:$C140,$C141)&gt;0,"",MAX($O$1:$O140)+1)))</f>
        <v/>
      </c>
      <c r="T141" s="7">
        <f>IF(ISNA(MATCH($C141,FA,0)),0,IF($J141="GIRIS",N(INDEX(F_INKOR,MATCH($C141,FA,0))),0))</f>
        <v>0</v>
      </c>
      <c r="Y141" s="7" t="e">
        <f>N(#REF!)*IF($E141="упак",MAX(1,IF(ISNA(MATCH($C141,FA,0)),1,N(INDEX(F_PAKET,MATCH($C141,FA,0))))),1)</f>
        <v>#REF!</v>
      </c>
      <c r="Z141" s="7" t="e">
        <f t="shared" si="30"/>
        <v>#REF!</v>
      </c>
      <c r="AA141" s="7">
        <f>IF(OR(ISNA(MATCH($C141,FA,0)),$J141="YEDEK",$J141="SARF"),0,N(#REF!)*N(INDEX(F_TEL,MATCH($C141,FA,0))))</f>
        <v>0</v>
      </c>
      <c r="AB141" s="7">
        <f>IF(OR(ISNA(MATCH($C141,FA,0)),$J141="YEDEK",$J141="SARF"),0,N(#REF!)*N(INDEX(F_TELM,MATCH($C141,FA,0))))</f>
        <v>0</v>
      </c>
      <c r="AC141" s="7" t="e">
        <f t="shared" si="31"/>
        <v>#REF!</v>
      </c>
      <c r="AD141" s="7">
        <f>IF(OR(ISNA(MATCH($C141,FA,0)),$J141&lt;&gt;"CIKIS"),0,N(INDEX(F_KK,MATCH($C141,FA,0))))</f>
        <v>0</v>
      </c>
      <c r="AE141" s="7">
        <f>IF($AD141=0,0,N(#REF!)*N(INDEX(F_KLN,MATCH($C141,FA,0))))</f>
        <v>0</v>
      </c>
      <c r="AF141" s="7">
        <f>IF($AD141=0,0,N(#REF!)*N(INDEX(F_KPE,MATCH($C141,FA,0))))</f>
        <v>0</v>
      </c>
      <c r="AG141" s="7" t="e">
        <f>IF(ISNA(MATCH($C141,FA,0)),0,N(#REF!)*N(INDEX(F_MODUL,MATCH($C141,FA,0))))</f>
        <v>#REF!</v>
      </c>
      <c r="AH141" s="7" t="e">
        <f>N(#REF!)*N($I141)</f>
        <v>#REF!</v>
      </c>
      <c r="AI141" s="7" t="e">
        <f t="shared" si="32"/>
        <v>#REF!</v>
      </c>
      <c r="AJ141" s="7">
        <f t="shared" si="33"/>
        <v>0</v>
      </c>
    </row>
    <row r="142" spans="1:36" x14ac:dyDescent="0.25">
      <c r="A142" s="4" t="str">
        <f t="shared" si="27"/>
        <v>ВРУА-2 (ВРУ1-25-60А)(260922 akram aulet)</v>
      </c>
      <c r="B142" s="4" t="s">
        <v>92</v>
      </c>
      <c r="C142" s="4" t="s">
        <v>535</v>
      </c>
      <c r="D142" s="4" t="s">
        <v>536</v>
      </c>
      <c r="E142" s="4" t="s">
        <v>520</v>
      </c>
      <c r="F142" s="4" t="s">
        <v>521</v>
      </c>
      <c r="G142" s="4" t="s">
        <v>38</v>
      </c>
      <c r="H142" s="5" t="e">
        <f>#REF!</f>
        <v>#REF!</v>
      </c>
      <c r="I142" s="6" t="e">
        <f t="shared" si="28"/>
        <v>#REF!</v>
      </c>
      <c r="J142" s="6" t="s">
        <v>84</v>
      </c>
      <c r="K142" s="6" t="s">
        <v>92</v>
      </c>
      <c r="L142" s="7" t="e">
        <f t="shared" si="29"/>
        <v>#REF!</v>
      </c>
      <c r="M142" s="7" t="s">
        <v>130</v>
      </c>
      <c r="O142" s="7" t="str">
        <f>IF(OR($C142="",$C142="FID YOK"),"",IF(ISNUMBER(MATCH($C142,FA_ANA,0)),"",IF(COUNTIF($C$1:$C141,$C142)&gt;0,"",MAX($O$1:$O141)+1)))</f>
        <v/>
      </c>
      <c r="T142" s="7">
        <f>IF(ISNA(MATCH($C142,FA,0)),0,IF($J142="GIRIS",N(INDEX(F_INKOR,MATCH($C142,FA,0))),0))</f>
        <v>0</v>
      </c>
      <c r="Y142" s="7" t="e">
        <f>N(#REF!)*IF($E142="упак",MAX(1,IF(ISNA(MATCH($C142,FA,0)),1,N(INDEX(F_PAKET,MATCH($C142,FA,0))))),1)</f>
        <v>#REF!</v>
      </c>
      <c r="Z142" s="7" t="e">
        <f t="shared" si="30"/>
        <v>#REF!</v>
      </c>
      <c r="AA142" s="7">
        <f>IF(OR(ISNA(MATCH($C142,FA,0)),$J142="YEDEK",$J142="SARF"),0,N(#REF!)*N(INDEX(F_TEL,MATCH($C142,FA,0))))</f>
        <v>0</v>
      </c>
      <c r="AB142" s="7">
        <f>IF(OR(ISNA(MATCH($C142,FA,0)),$J142="YEDEK",$J142="SARF"),0,N(#REF!)*N(INDEX(F_TELM,MATCH($C142,FA,0))))</f>
        <v>0</v>
      </c>
      <c r="AC142" s="7" t="e">
        <f t="shared" si="31"/>
        <v>#REF!</v>
      </c>
      <c r="AD142" s="7">
        <f>IF(OR(ISNA(MATCH($C142,FA,0)),$J142&lt;&gt;"CIKIS"),0,N(INDEX(F_KK,MATCH($C142,FA,0))))</f>
        <v>0</v>
      </c>
      <c r="AE142" s="7">
        <f>IF($AD142=0,0,N(#REF!)*N(INDEX(F_KLN,MATCH($C142,FA,0))))</f>
        <v>0</v>
      </c>
      <c r="AF142" s="7">
        <f>IF($AD142=0,0,N(#REF!)*N(INDEX(F_KPE,MATCH($C142,FA,0))))</f>
        <v>0</v>
      </c>
      <c r="AG142" s="7" t="e">
        <f>IF(ISNA(MATCH($C142,FA,0)),0,N(#REF!)*N(INDEX(F_MODUL,MATCH($C142,FA,0))))</f>
        <v>#REF!</v>
      </c>
      <c r="AH142" s="7" t="e">
        <f>N(#REF!)*N($I142)</f>
        <v>#REF!</v>
      </c>
      <c r="AI142" s="7" t="e">
        <f t="shared" si="32"/>
        <v>#REF!</v>
      </c>
      <c r="AJ142" s="7">
        <f t="shared" si="33"/>
        <v>0</v>
      </c>
    </row>
    <row r="143" spans="1:36" x14ac:dyDescent="0.25">
      <c r="A143" s="4" t="str">
        <f t="shared" si="27"/>
        <v>ВРУА-2 (ВРУ1-25-60А)(260922 akram aulet)</v>
      </c>
      <c r="B143" s="4" t="s">
        <v>92</v>
      </c>
      <c r="C143" s="4" t="s">
        <v>541</v>
      </c>
      <c r="D143" s="4" t="s">
        <v>542</v>
      </c>
      <c r="E143" s="4" t="s">
        <v>520</v>
      </c>
      <c r="F143" s="4" t="s">
        <v>521</v>
      </c>
      <c r="G143" s="4" t="s">
        <v>38</v>
      </c>
      <c r="H143" s="5" t="e">
        <f>#REF!</f>
        <v>#REF!</v>
      </c>
      <c r="I143" s="6" t="e">
        <f t="shared" si="28"/>
        <v>#REF!</v>
      </c>
      <c r="J143" s="6" t="s">
        <v>84</v>
      </c>
      <c r="K143" s="6" t="s">
        <v>92</v>
      </c>
      <c r="L143" s="7" t="e">
        <f t="shared" si="29"/>
        <v>#REF!</v>
      </c>
      <c r="M143" s="7" t="s">
        <v>96</v>
      </c>
      <c r="O143" s="7" t="str">
        <f>IF(OR($C143="",$C143="FID YOK"),"",IF(ISNUMBER(MATCH($C143,FA_ANA,0)),"",IF(COUNTIF($C$1:$C142,$C143)&gt;0,"",MAX($O$1:$O142)+1)))</f>
        <v/>
      </c>
      <c r="T143" s="7">
        <f>IF(ISNA(MATCH($C143,FA,0)),0,IF($J143="GIRIS",N(INDEX(F_INKOR,MATCH($C143,FA,0))),0))</f>
        <v>0</v>
      </c>
      <c r="Y143" s="7" t="e">
        <f>N(#REF!)*IF($E143="упак",MAX(1,IF(ISNA(MATCH($C143,FA,0)),1,N(INDEX(F_PAKET,MATCH($C143,FA,0))))),1)</f>
        <v>#REF!</v>
      </c>
      <c r="Z143" s="7" t="e">
        <f t="shared" si="30"/>
        <v>#REF!</v>
      </c>
      <c r="AA143" s="7">
        <f>IF(OR(ISNA(MATCH($C143,FA,0)),$J143="YEDEK",$J143="SARF"),0,N(#REF!)*N(INDEX(F_TEL,MATCH($C143,FA,0))))</f>
        <v>0</v>
      </c>
      <c r="AB143" s="7">
        <f>IF(OR(ISNA(MATCH($C143,FA,0)),$J143="YEDEK",$J143="SARF"),0,N(#REF!)*N(INDEX(F_TELM,MATCH($C143,FA,0))))</f>
        <v>0</v>
      </c>
      <c r="AC143" s="7" t="e">
        <f t="shared" si="31"/>
        <v>#REF!</v>
      </c>
      <c r="AD143" s="7">
        <f>IF(OR(ISNA(MATCH($C143,FA,0)),$J143&lt;&gt;"CIKIS"),0,N(INDEX(F_KK,MATCH($C143,FA,0))))</f>
        <v>0</v>
      </c>
      <c r="AE143" s="7">
        <f>IF($AD143=0,0,N(#REF!)*N(INDEX(F_KLN,MATCH($C143,FA,0))))</f>
        <v>0</v>
      </c>
      <c r="AF143" s="7">
        <f>IF($AD143=0,0,N(#REF!)*N(INDEX(F_KPE,MATCH($C143,FA,0))))</f>
        <v>0</v>
      </c>
      <c r="AG143" s="7" t="e">
        <f>IF(ISNA(MATCH($C143,FA,0)),0,N(#REF!)*N(INDEX(F_MODUL,MATCH($C143,FA,0))))</f>
        <v>#REF!</v>
      </c>
      <c r="AH143" s="7" t="e">
        <f>N(#REF!)*N($I143)</f>
        <v>#REF!</v>
      </c>
      <c r="AI143" s="7" t="e">
        <f t="shared" si="32"/>
        <v>#REF!</v>
      </c>
      <c r="AJ143" s="7">
        <f t="shared" si="33"/>
        <v>0</v>
      </c>
    </row>
    <row r="144" spans="1:36" x14ac:dyDescent="0.25">
      <c r="A144" s="4" t="str">
        <f t="shared" si="27"/>
        <v>ВРУА-2 (ВРУ1-25-60А)(260922 akram aulet)</v>
      </c>
      <c r="B144" s="4" t="s">
        <v>92</v>
      </c>
      <c r="C144" s="4" t="s">
        <v>545</v>
      </c>
      <c r="D144" s="4" t="s">
        <v>546</v>
      </c>
      <c r="E144" s="4" t="s">
        <v>520</v>
      </c>
      <c r="F144" s="4" t="s">
        <v>521</v>
      </c>
      <c r="G144" s="4" t="s">
        <v>38</v>
      </c>
      <c r="H144" s="5" t="e">
        <f>#REF!</f>
        <v>#REF!</v>
      </c>
      <c r="I144" s="6" t="e">
        <f t="shared" si="28"/>
        <v>#REF!</v>
      </c>
      <c r="J144" s="6" t="s">
        <v>84</v>
      </c>
      <c r="K144" s="6" t="s">
        <v>92</v>
      </c>
      <c r="L144" s="7" t="e">
        <f t="shared" si="29"/>
        <v>#REF!</v>
      </c>
      <c r="M144" s="7" t="s">
        <v>131</v>
      </c>
      <c r="O144" s="7" t="str">
        <f>IF(OR($C144="",$C144="FID YOK"),"",IF(ISNUMBER(MATCH($C144,FA_ANA,0)),"",IF(COUNTIF($C$1:$C143,$C144)&gt;0,"",MAX($O$1:$O143)+1)))</f>
        <v/>
      </c>
      <c r="T144" s="7">
        <f>IF(ISNA(MATCH($C144,FA,0)),0,IF($J144="GIRIS",N(INDEX(F_INKOR,MATCH($C144,FA,0))),0))</f>
        <v>0</v>
      </c>
      <c r="Y144" s="7" t="e">
        <f>N(#REF!)*IF($E144="упак",MAX(1,IF(ISNA(MATCH($C144,FA,0)),1,N(INDEX(F_PAKET,MATCH($C144,FA,0))))),1)</f>
        <v>#REF!</v>
      </c>
      <c r="Z144" s="7" t="e">
        <f t="shared" si="30"/>
        <v>#REF!</v>
      </c>
      <c r="AA144" s="7">
        <f>IF(OR(ISNA(MATCH($C144,FA,0)),$J144="YEDEK",$J144="SARF"),0,N(#REF!)*N(INDEX(F_TEL,MATCH($C144,FA,0))))</f>
        <v>0</v>
      </c>
      <c r="AB144" s="7">
        <f>IF(OR(ISNA(MATCH($C144,FA,0)),$J144="YEDEK",$J144="SARF"),0,N(#REF!)*N(INDEX(F_TELM,MATCH($C144,FA,0))))</f>
        <v>0</v>
      </c>
      <c r="AC144" s="7" t="e">
        <f t="shared" si="31"/>
        <v>#REF!</v>
      </c>
      <c r="AD144" s="7">
        <f>IF(OR(ISNA(MATCH($C144,FA,0)),$J144&lt;&gt;"CIKIS"),0,N(INDEX(F_KK,MATCH($C144,FA,0))))</f>
        <v>0</v>
      </c>
      <c r="AE144" s="7">
        <f>IF($AD144=0,0,N(#REF!)*N(INDEX(F_KLN,MATCH($C144,FA,0))))</f>
        <v>0</v>
      </c>
      <c r="AF144" s="7">
        <f>IF($AD144=0,0,N(#REF!)*N(INDEX(F_KPE,MATCH($C144,FA,0))))</f>
        <v>0</v>
      </c>
      <c r="AG144" s="7" t="e">
        <f>IF(ISNA(MATCH($C144,FA,0)),0,N(#REF!)*N(INDEX(F_MODUL,MATCH($C144,FA,0))))</f>
        <v>#REF!</v>
      </c>
      <c r="AH144" s="7" t="e">
        <f>N(#REF!)*N($I144)</f>
        <v>#REF!</v>
      </c>
      <c r="AI144" s="7" t="e">
        <f t="shared" si="32"/>
        <v>#REF!</v>
      </c>
      <c r="AJ144" s="7">
        <f t="shared" si="33"/>
        <v>0</v>
      </c>
    </row>
    <row r="145" spans="1:36" x14ac:dyDescent="0.25">
      <c r="A145" s="4" t="str">
        <f t="shared" si="27"/>
        <v>ВРУА-2 (ВРУ1-25-60А)(260922 akram aulet)</v>
      </c>
      <c r="B145" s="4" t="s">
        <v>92</v>
      </c>
      <c r="C145" s="4" t="s">
        <v>535</v>
      </c>
      <c r="D145" s="4" t="s">
        <v>536</v>
      </c>
      <c r="E145" s="4" t="s">
        <v>520</v>
      </c>
      <c r="F145" s="4" t="s">
        <v>521</v>
      </c>
      <c r="G145" s="4" t="s">
        <v>38</v>
      </c>
      <c r="H145" s="5" t="e">
        <f>#REF!</f>
        <v>#REF!</v>
      </c>
      <c r="I145" s="6" t="e">
        <f t="shared" si="28"/>
        <v>#REF!</v>
      </c>
      <c r="J145" s="6" t="s">
        <v>84</v>
      </c>
      <c r="K145" s="6" t="s">
        <v>92</v>
      </c>
      <c r="L145" s="7" t="e">
        <f t="shared" si="29"/>
        <v>#REF!</v>
      </c>
      <c r="M145" s="7" t="s">
        <v>100</v>
      </c>
      <c r="O145" s="7" t="str">
        <f>IF(OR($C145="",$C145="FID YOK"),"",IF(ISNUMBER(MATCH($C145,FA_ANA,0)),"",IF(COUNTIF($C$1:$C144,$C145)&gt;0,"",MAX($O$1:$O144)+1)))</f>
        <v/>
      </c>
      <c r="T145" s="7">
        <f>IF(ISNA(MATCH($C145,FA,0)),0,IF($J145="GIRIS",N(INDEX(F_INKOR,MATCH($C145,FA,0))),0))</f>
        <v>0</v>
      </c>
      <c r="Y145" s="7" t="e">
        <f>N(#REF!)*IF($E145="упак",MAX(1,IF(ISNA(MATCH($C145,FA,0)),1,N(INDEX(F_PAKET,MATCH($C145,FA,0))))),1)</f>
        <v>#REF!</v>
      </c>
      <c r="Z145" s="7" t="e">
        <f t="shared" si="30"/>
        <v>#REF!</v>
      </c>
      <c r="AA145" s="7">
        <f>IF(OR(ISNA(MATCH($C145,FA,0)),$J145="YEDEK",$J145="SARF"),0,N(#REF!)*N(INDEX(F_TEL,MATCH($C145,FA,0))))</f>
        <v>0</v>
      </c>
      <c r="AB145" s="7">
        <f>IF(OR(ISNA(MATCH($C145,FA,0)),$J145="YEDEK",$J145="SARF"),0,N(#REF!)*N(INDEX(F_TELM,MATCH($C145,FA,0))))</f>
        <v>0</v>
      </c>
      <c r="AC145" s="7" t="e">
        <f t="shared" si="31"/>
        <v>#REF!</v>
      </c>
      <c r="AD145" s="7">
        <f>IF(OR(ISNA(MATCH($C145,FA,0)),$J145&lt;&gt;"CIKIS"),0,N(INDEX(F_KK,MATCH($C145,FA,0))))</f>
        <v>0</v>
      </c>
      <c r="AE145" s="7">
        <f>IF($AD145=0,0,N(#REF!)*N(INDEX(F_KLN,MATCH($C145,FA,0))))</f>
        <v>0</v>
      </c>
      <c r="AF145" s="7">
        <f>IF($AD145=0,0,N(#REF!)*N(INDEX(F_KPE,MATCH($C145,FA,0))))</f>
        <v>0</v>
      </c>
      <c r="AG145" s="7" t="e">
        <f>IF(ISNA(MATCH($C145,FA,0)),0,N(#REF!)*N(INDEX(F_MODUL,MATCH($C145,FA,0))))</f>
        <v>#REF!</v>
      </c>
      <c r="AH145" s="7" t="e">
        <f>N(#REF!)*N($I145)</f>
        <v>#REF!</v>
      </c>
      <c r="AI145" s="7" t="e">
        <f t="shared" si="32"/>
        <v>#REF!</v>
      </c>
      <c r="AJ145" s="7">
        <f t="shared" si="33"/>
        <v>0</v>
      </c>
    </row>
    <row r="146" spans="1:36" x14ac:dyDescent="0.25">
      <c r="A146" s="4" t="str">
        <f t="shared" si="27"/>
        <v>ВРУА-2 (ВРУ1-25-60А)(260922 akram aulet)</v>
      </c>
      <c r="B146" s="4" t="s">
        <v>101</v>
      </c>
      <c r="C146" s="4" t="s">
        <v>525</v>
      </c>
      <c r="D146" s="4" t="s">
        <v>526</v>
      </c>
      <c r="E146" s="4" t="s">
        <v>522</v>
      </c>
      <c r="F146" s="4" t="s">
        <v>486</v>
      </c>
      <c r="G146" s="4" t="s">
        <v>38</v>
      </c>
      <c r="H146" s="5" t="e">
        <f>#REF!</f>
        <v>#REF!</v>
      </c>
      <c r="I146" s="6" t="e">
        <f t="shared" si="28"/>
        <v>#REF!</v>
      </c>
      <c r="J146" s="6" t="s">
        <v>84</v>
      </c>
      <c r="K146" s="6" t="s">
        <v>101</v>
      </c>
      <c r="L146" s="7" t="e">
        <f t="shared" si="29"/>
        <v>#REF!</v>
      </c>
      <c r="M146" s="7" t="s">
        <v>102</v>
      </c>
      <c r="O146" s="7" t="str">
        <f>IF(OR($C146="",$C146="FID YOK"),"",IF(ISNUMBER(MATCH($C146,FA_ANA,0)),"",IF(COUNTIF($C$1:$C145,$C146)&gt;0,"",MAX($O$1:$O145)+1)))</f>
        <v/>
      </c>
      <c r="T146" s="7">
        <f>IF(ISNA(MATCH($C146,FA,0)),0,IF($J146="GIRIS",N(INDEX(F_INKOR,MATCH($C146,FA,0))),0))</f>
        <v>0</v>
      </c>
      <c r="Y146" s="7" t="e">
        <f>N(#REF!)*IF($E146="упак",MAX(1,IF(ISNA(MATCH($C146,FA,0)),1,N(INDEX(F_PAKET,MATCH($C146,FA,0))))),1)</f>
        <v>#REF!</v>
      </c>
      <c r="Z146" s="7" t="e">
        <f t="shared" si="30"/>
        <v>#REF!</v>
      </c>
      <c r="AA146" s="7">
        <f>IF(OR(ISNA(MATCH($C146,FA,0)),$J146="YEDEK",$J146="SARF"),0,N(#REF!)*N(INDEX(F_TEL,MATCH($C146,FA,0))))</f>
        <v>0</v>
      </c>
      <c r="AB146" s="7">
        <f>IF(OR(ISNA(MATCH($C146,FA,0)),$J146="YEDEK",$J146="SARF"),0,N(#REF!)*N(INDEX(F_TELM,MATCH($C146,FA,0))))</f>
        <v>0</v>
      </c>
      <c r="AC146" s="7" t="e">
        <f t="shared" si="31"/>
        <v>#REF!</v>
      </c>
      <c r="AD146" s="7">
        <f>IF(OR(ISNA(MATCH($C146,FA,0)),$J146&lt;&gt;"CIKIS"),0,N(INDEX(F_KK,MATCH($C146,FA,0))))</f>
        <v>0</v>
      </c>
      <c r="AE146" s="7">
        <f>IF($AD146=0,0,N(#REF!)*N(INDEX(F_KLN,MATCH($C146,FA,0))))</f>
        <v>0</v>
      </c>
      <c r="AF146" s="7">
        <f>IF($AD146=0,0,N(#REF!)*N(INDEX(F_KPE,MATCH($C146,FA,0))))</f>
        <v>0</v>
      </c>
      <c r="AG146" s="7" t="e">
        <f>IF(ISNA(MATCH($C146,FA,0)),0,N(#REF!)*N(INDEX(F_MODUL,MATCH($C146,FA,0))))</f>
        <v>#REF!</v>
      </c>
      <c r="AH146" s="7" t="e">
        <f>N(#REF!)*N($I146)</f>
        <v>#REF!</v>
      </c>
      <c r="AI146" s="7" t="e">
        <f t="shared" si="32"/>
        <v>#REF!</v>
      </c>
      <c r="AJ146" s="7">
        <f t="shared" si="33"/>
        <v>0</v>
      </c>
    </row>
    <row r="147" spans="1:36" x14ac:dyDescent="0.25">
      <c r="A147" s="4" t="str">
        <f t="shared" si="27"/>
        <v>ВРУА-2 (ВРУ1-25-60А)(260922 akram aulet)</v>
      </c>
      <c r="B147" s="4" t="s">
        <v>101</v>
      </c>
      <c r="C147" s="4" t="s">
        <v>529</v>
      </c>
      <c r="D147" s="4" t="s">
        <v>530</v>
      </c>
      <c r="E147" s="4" t="s">
        <v>522</v>
      </c>
      <c r="F147" s="4" t="s">
        <v>486</v>
      </c>
      <c r="G147" s="4" t="s">
        <v>38</v>
      </c>
      <c r="H147" s="5" t="e">
        <f>#REF!</f>
        <v>#REF!</v>
      </c>
      <c r="I147" s="6" t="e">
        <f t="shared" si="28"/>
        <v>#REF!</v>
      </c>
      <c r="J147" s="6" t="s">
        <v>84</v>
      </c>
      <c r="K147" s="6" t="s">
        <v>101</v>
      </c>
      <c r="L147" s="7" t="e">
        <f t="shared" si="29"/>
        <v>#REF!</v>
      </c>
      <c r="M147" s="7" t="s">
        <v>103</v>
      </c>
      <c r="O147" s="7" t="str">
        <f>IF(OR($C147="",$C147="FID YOK"),"",IF(ISNUMBER(MATCH($C147,FA_ANA,0)),"",IF(COUNTIF($C$1:$C146,$C147)&gt;0,"",MAX($O$1:$O146)+1)))</f>
        <v/>
      </c>
      <c r="T147" s="7">
        <f>IF(ISNA(MATCH($C147,FA,0)),0,IF($J147="GIRIS",N(INDEX(F_INKOR,MATCH($C147,FA,0))),0))</f>
        <v>0</v>
      </c>
      <c r="Y147" s="7" t="e">
        <f>N(#REF!)*IF($E147="упак",MAX(1,IF(ISNA(MATCH($C147,FA,0)),1,N(INDEX(F_PAKET,MATCH($C147,FA,0))))),1)</f>
        <v>#REF!</v>
      </c>
      <c r="Z147" s="7" t="e">
        <f t="shared" si="30"/>
        <v>#REF!</v>
      </c>
      <c r="AA147" s="7">
        <f>IF(OR(ISNA(MATCH($C147,FA,0)),$J147="YEDEK",$J147="SARF"),0,N(#REF!)*N(INDEX(F_TEL,MATCH($C147,FA,0))))</f>
        <v>0</v>
      </c>
      <c r="AB147" s="7">
        <f>IF(OR(ISNA(MATCH($C147,FA,0)),$J147="YEDEK",$J147="SARF"),0,N(#REF!)*N(INDEX(F_TELM,MATCH($C147,FA,0))))</f>
        <v>0</v>
      </c>
      <c r="AC147" s="7" t="e">
        <f t="shared" si="31"/>
        <v>#REF!</v>
      </c>
      <c r="AD147" s="7">
        <f>IF(OR(ISNA(MATCH($C147,FA,0)),$J147&lt;&gt;"CIKIS"),0,N(INDEX(F_KK,MATCH($C147,FA,0))))</f>
        <v>0</v>
      </c>
      <c r="AE147" s="7">
        <f>IF($AD147=0,0,N(#REF!)*N(INDEX(F_KLN,MATCH($C147,FA,0))))</f>
        <v>0</v>
      </c>
      <c r="AF147" s="7">
        <f>IF($AD147=0,0,N(#REF!)*N(INDEX(F_KPE,MATCH($C147,FA,0))))</f>
        <v>0</v>
      </c>
      <c r="AG147" s="7" t="e">
        <f>IF(ISNA(MATCH($C147,FA,0)),0,N(#REF!)*N(INDEX(F_MODUL,MATCH($C147,FA,0))))</f>
        <v>#REF!</v>
      </c>
      <c r="AH147" s="7" t="e">
        <f>N(#REF!)*N($I147)</f>
        <v>#REF!</v>
      </c>
      <c r="AI147" s="7" t="e">
        <f t="shared" si="32"/>
        <v>#REF!</v>
      </c>
      <c r="AJ147" s="7">
        <f t="shared" si="33"/>
        <v>0</v>
      </c>
    </row>
    <row r="148" spans="1:36" x14ac:dyDescent="0.25">
      <c r="A148" s="4" t="str">
        <f t="shared" si="27"/>
        <v>ВРУА-2 (ВРУ1-25-60А)(260922 akram aulet)</v>
      </c>
      <c r="B148" s="4" t="s">
        <v>105</v>
      </c>
      <c r="C148" s="4" t="s">
        <v>539</v>
      </c>
      <c r="D148" s="4" t="s">
        <v>540</v>
      </c>
      <c r="E148" s="4" t="s">
        <v>114</v>
      </c>
      <c r="F148" s="4" t="s">
        <v>486</v>
      </c>
      <c r="G148" s="4" t="s">
        <v>38</v>
      </c>
      <c r="H148" s="5" t="e">
        <f>#REF!</f>
        <v>#REF!</v>
      </c>
      <c r="I148" s="6" t="e">
        <f t="shared" si="28"/>
        <v>#REF!</v>
      </c>
      <c r="J148" s="6" t="s">
        <v>84</v>
      </c>
      <c r="K148" s="6" t="s">
        <v>105</v>
      </c>
      <c r="L148" s="7" t="e">
        <f t="shared" si="29"/>
        <v>#REF!</v>
      </c>
      <c r="M148" s="7" t="s">
        <v>133</v>
      </c>
      <c r="O148" s="7" t="str">
        <f>IF(OR($C148="",$C148="FID YOK"),"",IF(ISNUMBER(MATCH($C148,FA_ANA,0)),"",IF(COUNTIF($C$1:$C147,$C148)&gt;0,"",MAX($O$1:$O147)+1)))</f>
        <v/>
      </c>
      <c r="T148" s="7">
        <f>IF(ISNA(MATCH($C148,FA,0)),0,IF($J148="GIRIS",N(INDEX(F_INKOR,MATCH($C148,FA,0))),0))</f>
        <v>0</v>
      </c>
      <c r="Y148" s="7" t="e">
        <f>N(#REF!)*IF($E148="упак",MAX(1,IF(ISNA(MATCH($C148,FA,0)),1,N(INDEX(F_PAKET,MATCH($C148,FA,0))))),1)</f>
        <v>#REF!</v>
      </c>
      <c r="Z148" s="7" t="e">
        <f t="shared" si="30"/>
        <v>#REF!</v>
      </c>
      <c r="AA148" s="7">
        <f>IF(OR(ISNA(MATCH($C148,FA,0)),$J148="YEDEK",$J148="SARF"),0,N(#REF!)*N(INDEX(F_TEL,MATCH($C148,FA,0))))</f>
        <v>0</v>
      </c>
      <c r="AB148" s="7">
        <f>IF(OR(ISNA(MATCH($C148,FA,0)),$J148="YEDEK",$J148="SARF"),0,N(#REF!)*N(INDEX(F_TELM,MATCH($C148,FA,0))))</f>
        <v>0</v>
      </c>
      <c r="AC148" s="7" t="e">
        <f t="shared" si="31"/>
        <v>#REF!</v>
      </c>
      <c r="AD148" s="7">
        <f>IF(OR(ISNA(MATCH($C148,FA,0)),$J148&lt;&gt;"CIKIS"),0,N(INDEX(F_KK,MATCH($C148,FA,0))))</f>
        <v>0</v>
      </c>
      <c r="AE148" s="7">
        <f>IF($AD148=0,0,N(#REF!)*N(INDEX(F_KLN,MATCH($C148,FA,0))))</f>
        <v>0</v>
      </c>
      <c r="AF148" s="7">
        <f>IF($AD148=0,0,N(#REF!)*N(INDEX(F_KPE,MATCH($C148,FA,0))))</f>
        <v>0</v>
      </c>
      <c r="AG148" s="7" t="e">
        <f>IF(ISNA(MATCH($C148,FA,0)),0,N(#REF!)*N(INDEX(F_MODUL,MATCH($C148,FA,0))))</f>
        <v>#REF!</v>
      </c>
      <c r="AH148" s="7" t="e">
        <f>N(#REF!)*N($I148)</f>
        <v>#REF!</v>
      </c>
      <c r="AI148" s="7" t="e">
        <f t="shared" si="32"/>
        <v>#REF!</v>
      </c>
      <c r="AJ148" s="7">
        <f t="shared" si="33"/>
        <v>0</v>
      </c>
    </row>
    <row r="149" spans="1:36" x14ac:dyDescent="0.25">
      <c r="A149" s="4" t="str">
        <f t="shared" si="27"/>
        <v>ВРУА-2 (ВРУ1-25-60А)(260922 akram aulet)</v>
      </c>
      <c r="B149" s="4" t="s">
        <v>105</v>
      </c>
      <c r="C149" s="4" t="s">
        <v>543</v>
      </c>
      <c r="D149" s="4" t="s">
        <v>544</v>
      </c>
      <c r="E149" s="4" t="s">
        <v>114</v>
      </c>
      <c r="F149" s="4" t="s">
        <v>486</v>
      </c>
      <c r="G149" s="4" t="s">
        <v>38</v>
      </c>
      <c r="H149" s="5" t="e">
        <f>#REF!</f>
        <v>#REF!</v>
      </c>
      <c r="I149" s="6" t="e">
        <f t="shared" si="28"/>
        <v>#REF!</v>
      </c>
      <c r="J149" s="6" t="s">
        <v>84</v>
      </c>
      <c r="K149" s="6" t="s">
        <v>105</v>
      </c>
      <c r="L149" s="7" t="e">
        <f t="shared" si="29"/>
        <v>#REF!</v>
      </c>
      <c r="M149" s="7" t="s">
        <v>106</v>
      </c>
      <c r="O149" s="7" t="str">
        <f>IF(OR($C149="",$C149="FID YOK"),"",IF(ISNUMBER(MATCH($C149,FA_ANA,0)),"",IF(COUNTIF($C$1:$C148,$C149)&gt;0,"",MAX($O$1:$O148)+1)))</f>
        <v/>
      </c>
      <c r="T149" s="7">
        <f>IF(ISNA(MATCH($C149,FA,0)),0,IF($J149="GIRIS",N(INDEX(F_INKOR,MATCH($C149,FA,0))),0))</f>
        <v>0</v>
      </c>
      <c r="Y149" s="7" t="e">
        <f>N(#REF!)*IF($E149="упак",MAX(1,IF(ISNA(MATCH($C149,FA,0)),1,N(INDEX(F_PAKET,MATCH($C149,FA,0))))),1)</f>
        <v>#REF!</v>
      </c>
      <c r="Z149" s="7" t="e">
        <f t="shared" si="30"/>
        <v>#REF!</v>
      </c>
      <c r="AA149" s="7">
        <f>IF(OR(ISNA(MATCH($C149,FA,0)),$J149="YEDEK",$J149="SARF"),0,N(#REF!)*N(INDEX(F_TEL,MATCH($C149,FA,0))))</f>
        <v>0</v>
      </c>
      <c r="AB149" s="7">
        <f>IF(OR(ISNA(MATCH($C149,FA,0)),$J149="YEDEK",$J149="SARF"),0,N(#REF!)*N(INDEX(F_TELM,MATCH($C149,FA,0))))</f>
        <v>0</v>
      </c>
      <c r="AC149" s="7" t="e">
        <f t="shared" si="31"/>
        <v>#REF!</v>
      </c>
      <c r="AD149" s="7">
        <f>IF(OR(ISNA(MATCH($C149,FA,0)),$J149&lt;&gt;"CIKIS"),0,N(INDEX(F_KK,MATCH($C149,FA,0))))</f>
        <v>0</v>
      </c>
      <c r="AE149" s="7">
        <f>IF($AD149=0,0,N(#REF!)*N(INDEX(F_KLN,MATCH($C149,FA,0))))</f>
        <v>0</v>
      </c>
      <c r="AF149" s="7">
        <f>IF($AD149=0,0,N(#REF!)*N(INDEX(F_KPE,MATCH($C149,FA,0))))</f>
        <v>0</v>
      </c>
      <c r="AG149" s="7" t="e">
        <f>IF(ISNA(MATCH($C149,FA,0)),0,N(#REF!)*N(INDEX(F_MODUL,MATCH($C149,FA,0))))</f>
        <v>#REF!</v>
      </c>
      <c r="AH149" s="7" t="e">
        <f>N(#REF!)*N($I149)</f>
        <v>#REF!</v>
      </c>
      <c r="AI149" s="7" t="e">
        <f t="shared" si="32"/>
        <v>#REF!</v>
      </c>
      <c r="AJ149" s="7">
        <f t="shared" si="33"/>
        <v>0</v>
      </c>
    </row>
    <row r="150" spans="1:36" x14ac:dyDescent="0.25">
      <c r="A150" s="4" t="str">
        <f t="shared" si="27"/>
        <v>ВРУА-2 (ВРУ1-25-60А)(260922 akram aulet)</v>
      </c>
      <c r="B150" s="4" t="s">
        <v>105</v>
      </c>
      <c r="C150" s="4" t="s">
        <v>549</v>
      </c>
      <c r="D150" s="4" t="s">
        <v>550</v>
      </c>
      <c r="E150" s="4" t="s">
        <v>114</v>
      </c>
      <c r="F150" s="4" t="s">
        <v>486</v>
      </c>
      <c r="G150" s="4" t="s">
        <v>38</v>
      </c>
      <c r="H150" s="5" t="e">
        <f>#REF!</f>
        <v>#REF!</v>
      </c>
      <c r="I150" s="6" t="e">
        <f t="shared" si="28"/>
        <v>#REF!</v>
      </c>
      <c r="J150" s="6" t="s">
        <v>84</v>
      </c>
      <c r="K150" s="6" t="s">
        <v>105</v>
      </c>
      <c r="L150" s="7" t="e">
        <f t="shared" si="29"/>
        <v>#REF!</v>
      </c>
      <c r="M150" s="7" t="s">
        <v>134</v>
      </c>
      <c r="O150" s="7" t="str">
        <f>IF(OR($C150="",$C150="FID YOK"),"",IF(ISNUMBER(MATCH($C150,FA_ANA,0)),"",IF(COUNTIF($C$1:$C149,$C150)&gt;0,"",MAX($O$1:$O149)+1)))</f>
        <v/>
      </c>
      <c r="T150" s="7">
        <f>IF(ISNA(MATCH($C150,FA,0)),0,IF($J150="GIRIS",N(INDEX(F_INKOR,MATCH($C150,FA,0))),0))</f>
        <v>0</v>
      </c>
      <c r="Y150" s="7" t="e">
        <f>N(#REF!)*IF($E150="упак",MAX(1,IF(ISNA(MATCH($C150,FA,0)),1,N(INDEX(F_PAKET,MATCH($C150,FA,0))))),1)</f>
        <v>#REF!</v>
      </c>
      <c r="Z150" s="7" t="e">
        <f t="shared" si="30"/>
        <v>#REF!</v>
      </c>
      <c r="AA150" s="7">
        <f>IF(OR(ISNA(MATCH($C150,FA,0)),$J150="YEDEK",$J150="SARF"),0,N(#REF!)*N(INDEX(F_TEL,MATCH($C150,FA,0))))</f>
        <v>0</v>
      </c>
      <c r="AB150" s="7">
        <f>IF(OR(ISNA(MATCH($C150,FA,0)),$J150="YEDEK",$J150="SARF"),0,N(#REF!)*N(INDEX(F_TELM,MATCH($C150,FA,0))))</f>
        <v>0</v>
      </c>
      <c r="AC150" s="7" t="e">
        <f t="shared" si="31"/>
        <v>#REF!</v>
      </c>
      <c r="AD150" s="7">
        <f>IF(OR(ISNA(MATCH($C150,FA,0)),$J150&lt;&gt;"CIKIS"),0,N(INDEX(F_KK,MATCH($C150,FA,0))))</f>
        <v>0</v>
      </c>
      <c r="AE150" s="7">
        <f>IF($AD150=0,0,N(#REF!)*N(INDEX(F_KLN,MATCH($C150,FA,0))))</f>
        <v>0</v>
      </c>
      <c r="AF150" s="7">
        <f>IF($AD150=0,0,N(#REF!)*N(INDEX(F_KPE,MATCH($C150,FA,0))))</f>
        <v>0</v>
      </c>
      <c r="AG150" s="7" t="e">
        <f>IF(ISNA(MATCH($C150,FA,0)),0,N(#REF!)*N(INDEX(F_MODUL,MATCH($C150,FA,0))))</f>
        <v>#REF!</v>
      </c>
      <c r="AH150" s="7" t="e">
        <f>N(#REF!)*N($I150)</f>
        <v>#REF!</v>
      </c>
      <c r="AI150" s="7" t="e">
        <f t="shared" si="32"/>
        <v>#REF!</v>
      </c>
      <c r="AJ150" s="7">
        <f t="shared" si="33"/>
        <v>0</v>
      </c>
    </row>
    <row r="151" spans="1:36" x14ac:dyDescent="0.25">
      <c r="A151" s="4" t="str">
        <f t="shared" si="27"/>
        <v>ВРУА-2 (ВРУ1-25-60А)(260922 akram aulet)</v>
      </c>
      <c r="B151" s="4" t="s">
        <v>105</v>
      </c>
      <c r="C151" s="4" t="s">
        <v>539</v>
      </c>
      <c r="D151" s="4" t="s">
        <v>540</v>
      </c>
      <c r="E151" s="4" t="s">
        <v>114</v>
      </c>
      <c r="F151" s="4" t="s">
        <v>486</v>
      </c>
      <c r="G151" s="4" t="s">
        <v>38</v>
      </c>
      <c r="H151" s="5" t="e">
        <f>#REF!</f>
        <v>#REF!</v>
      </c>
      <c r="I151" s="6" t="e">
        <f t="shared" si="28"/>
        <v>#REF!</v>
      </c>
      <c r="J151" s="6" t="s">
        <v>84</v>
      </c>
      <c r="K151" s="6" t="s">
        <v>105</v>
      </c>
      <c r="L151" s="7" t="e">
        <f t="shared" si="29"/>
        <v>#REF!</v>
      </c>
      <c r="M151" s="7" t="s">
        <v>110</v>
      </c>
      <c r="O151" s="7" t="str">
        <f>IF(OR($C151="",$C151="FID YOK"),"",IF(ISNUMBER(MATCH($C151,FA_ANA,0)),"",IF(COUNTIF($C$1:$C150,$C151)&gt;0,"",MAX($O$1:$O150)+1)))</f>
        <v/>
      </c>
      <c r="T151" s="7">
        <f>IF(ISNA(MATCH($C151,FA,0)),0,IF($J151="GIRIS",N(INDEX(F_INKOR,MATCH($C151,FA,0))),0))</f>
        <v>0</v>
      </c>
      <c r="Y151" s="7" t="e">
        <f>N(#REF!)*IF($E151="упак",MAX(1,IF(ISNA(MATCH($C151,FA,0)),1,N(INDEX(F_PAKET,MATCH($C151,FA,0))))),1)</f>
        <v>#REF!</v>
      </c>
      <c r="Z151" s="7" t="e">
        <f t="shared" si="30"/>
        <v>#REF!</v>
      </c>
      <c r="AA151" s="7">
        <f>IF(OR(ISNA(MATCH($C151,FA,0)),$J151="YEDEK",$J151="SARF"),0,N(#REF!)*N(INDEX(F_TEL,MATCH($C151,FA,0))))</f>
        <v>0</v>
      </c>
      <c r="AB151" s="7">
        <f>IF(OR(ISNA(MATCH($C151,FA,0)),$J151="YEDEK",$J151="SARF"),0,N(#REF!)*N(INDEX(F_TELM,MATCH($C151,FA,0))))</f>
        <v>0</v>
      </c>
      <c r="AC151" s="7" t="e">
        <f t="shared" si="31"/>
        <v>#REF!</v>
      </c>
      <c r="AD151" s="7">
        <f>IF(OR(ISNA(MATCH($C151,FA,0)),$J151&lt;&gt;"CIKIS"),0,N(INDEX(F_KK,MATCH($C151,FA,0))))</f>
        <v>0</v>
      </c>
      <c r="AE151" s="7">
        <f>IF($AD151=0,0,N(#REF!)*N(INDEX(F_KLN,MATCH($C151,FA,0))))</f>
        <v>0</v>
      </c>
      <c r="AF151" s="7">
        <f>IF($AD151=0,0,N(#REF!)*N(INDEX(F_KPE,MATCH($C151,FA,0))))</f>
        <v>0</v>
      </c>
      <c r="AG151" s="7" t="e">
        <f>IF(ISNA(MATCH($C151,FA,0)),0,N(#REF!)*N(INDEX(F_MODUL,MATCH($C151,FA,0))))</f>
        <v>#REF!</v>
      </c>
      <c r="AH151" s="7" t="e">
        <f>N(#REF!)*N($I151)</f>
        <v>#REF!</v>
      </c>
      <c r="AI151" s="7" t="e">
        <f t="shared" si="32"/>
        <v>#REF!</v>
      </c>
      <c r="AJ151" s="7">
        <f t="shared" si="33"/>
        <v>0</v>
      </c>
    </row>
    <row r="152" spans="1:36" x14ac:dyDescent="0.25">
      <c r="A152" s="4" t="str">
        <f t="shared" si="27"/>
        <v>ВРУА-2 (ВРУ1-25-60А)(260922 akram aulet)</v>
      </c>
      <c r="B152" s="4" t="s">
        <v>111</v>
      </c>
      <c r="C152" s="4" t="s">
        <v>571</v>
      </c>
      <c r="D152" s="4" t="s">
        <v>572</v>
      </c>
      <c r="E152" s="4" t="s">
        <v>522</v>
      </c>
      <c r="F152" s="4" t="s">
        <v>486</v>
      </c>
      <c r="G152" s="4" t="s">
        <v>38</v>
      </c>
      <c r="H152" s="5" t="e">
        <f>#REF!</f>
        <v>#REF!</v>
      </c>
      <c r="I152" s="6" t="e">
        <f t="shared" si="28"/>
        <v>#REF!</v>
      </c>
      <c r="J152" s="6" t="s">
        <v>84</v>
      </c>
      <c r="K152" s="6" t="s">
        <v>111</v>
      </c>
      <c r="L152" s="7" t="e">
        <f t="shared" si="29"/>
        <v>#REF!</v>
      </c>
      <c r="M152" s="7" t="s">
        <v>112</v>
      </c>
      <c r="O152" s="7" t="str">
        <f>IF(OR($C152="",$C152="FID YOK"),"",IF(ISNUMBER(MATCH($C152,FA_ANA,0)),"",IF(COUNTIF($C$1:$C151,$C152)&gt;0,"",MAX($O$1:$O151)+1)))</f>
        <v/>
      </c>
      <c r="T152" s="7">
        <f>IF(ISNA(MATCH($C152,FA,0)),0,IF($J152="GIRIS",N(INDEX(F_INKOR,MATCH($C152,FA,0))),0))</f>
        <v>0</v>
      </c>
      <c r="Y152" s="7" t="e">
        <f>N(#REF!)*IF($E152="упак",MAX(1,IF(ISNA(MATCH($C152,FA,0)),1,N(INDEX(F_PAKET,MATCH($C152,FA,0))))),1)</f>
        <v>#REF!</v>
      </c>
      <c r="Z152" s="7" t="e">
        <f t="shared" si="30"/>
        <v>#REF!</v>
      </c>
      <c r="AA152" s="7">
        <f>IF(OR(ISNA(MATCH($C152,FA,0)),$J152="YEDEK",$J152="SARF"),0,N(#REF!)*N(INDEX(F_TEL,MATCH($C152,FA,0))))</f>
        <v>0</v>
      </c>
      <c r="AB152" s="7">
        <f>IF(OR(ISNA(MATCH($C152,FA,0)),$J152="YEDEK",$J152="SARF"),0,N(#REF!)*N(INDEX(F_TELM,MATCH($C152,FA,0))))</f>
        <v>0</v>
      </c>
      <c r="AC152" s="7" t="e">
        <f t="shared" si="31"/>
        <v>#REF!</v>
      </c>
      <c r="AD152" s="7">
        <f>IF(OR(ISNA(MATCH($C152,FA,0)),$J152&lt;&gt;"CIKIS"),0,N(INDEX(F_KK,MATCH($C152,FA,0))))</f>
        <v>0</v>
      </c>
      <c r="AE152" s="7">
        <f>IF($AD152=0,0,N(#REF!)*N(INDEX(F_KLN,MATCH($C152,FA,0))))</f>
        <v>0</v>
      </c>
      <c r="AF152" s="7">
        <f>IF($AD152=0,0,N(#REF!)*N(INDEX(F_KPE,MATCH($C152,FA,0))))</f>
        <v>0</v>
      </c>
      <c r="AG152" s="7" t="e">
        <f>IF(ISNA(MATCH($C152,FA,0)),0,N(#REF!)*N(INDEX(F_MODUL,MATCH($C152,FA,0))))</f>
        <v>#REF!</v>
      </c>
      <c r="AH152" s="7" t="e">
        <f>N(#REF!)*N($I152)</f>
        <v>#REF!</v>
      </c>
      <c r="AI152" s="7" t="e">
        <f t="shared" si="32"/>
        <v>#REF!</v>
      </c>
      <c r="AJ152" s="7">
        <f t="shared" si="33"/>
        <v>0</v>
      </c>
    </row>
    <row r="153" spans="1:36" x14ac:dyDescent="0.25">
      <c r="A153" s="4" t="str">
        <f t="shared" si="27"/>
        <v>ВРУА-2 (ВРУ1-25-60А)(260922 akram aulet)</v>
      </c>
      <c r="B153" s="4" t="s">
        <v>113</v>
      </c>
      <c r="C153" s="4" t="s">
        <v>113</v>
      </c>
      <c r="D153" s="4" t="s">
        <v>113</v>
      </c>
      <c r="E153" s="4" t="s">
        <v>114</v>
      </c>
      <c r="F153" s="4" t="s">
        <v>113</v>
      </c>
      <c r="G153" s="4" t="s">
        <v>38</v>
      </c>
      <c r="H153" s="5" t="e">
        <f>#REF!</f>
        <v>#REF!</v>
      </c>
      <c r="I153" s="6" t="e">
        <f t="shared" si="28"/>
        <v>#REF!</v>
      </c>
    </row>
    <row r="154" spans="1:36" x14ac:dyDescent="0.25">
      <c r="A154" s="4" t="str">
        <f t="shared" si="27"/>
        <v>ВРУА-2 (ВРУ1-25-60А)(260922 akram aulet)</v>
      </c>
      <c r="B154" s="4" t="s">
        <v>115</v>
      </c>
      <c r="C154" s="4" t="s">
        <v>115</v>
      </c>
      <c r="D154" s="4" t="s">
        <v>115</v>
      </c>
      <c r="E154" s="4" t="s">
        <v>116</v>
      </c>
      <c r="F154" s="4" t="s">
        <v>115</v>
      </c>
      <c r="G154" s="4" t="s">
        <v>38</v>
      </c>
      <c r="H154" s="5" t="e">
        <f>#REF!</f>
        <v>#REF!</v>
      </c>
      <c r="I154" s="6" t="e">
        <f t="shared" si="28"/>
        <v>#REF!</v>
      </c>
    </row>
    <row r="155" spans="1:36" x14ac:dyDescent="0.25">
      <c r="A155" s="1" t="str">
        <f>D155</f>
        <v>ВРУ-П (Ввод + Секция 1) (ВРУ1-15-30)(ВРУ1-41-00А)(260922 akram aulet)</v>
      </c>
      <c r="B155" s="12"/>
      <c r="C155" s="2"/>
      <c r="D155" s="1" t="s">
        <v>608</v>
      </c>
      <c r="E155" s="1" t="s">
        <v>36</v>
      </c>
      <c r="F155" s="1" t="s">
        <v>37</v>
      </c>
      <c r="G155" s="1" t="s">
        <v>38</v>
      </c>
      <c r="I155" s="3" t="e">
        <f>#REF!</f>
        <v>#REF!</v>
      </c>
    </row>
    <row r="156" spans="1:36" x14ac:dyDescent="0.25">
      <c r="A156" s="4" t="str">
        <f t="shared" ref="A156:A196" si="36">A155</f>
        <v>ВРУ-П (Ввод + Секция 1) (ВРУ1-15-30)(ВРУ1-41-00А)(260922 akram aulet)</v>
      </c>
      <c r="B156" s="4" t="s">
        <v>39</v>
      </c>
      <c r="C156" s="4" t="s">
        <v>492</v>
      </c>
      <c r="D156" s="4" t="s">
        <v>493</v>
      </c>
      <c r="E156" s="4" t="s">
        <v>114</v>
      </c>
      <c r="F156" s="4" t="s">
        <v>491</v>
      </c>
      <c r="G156" s="4" t="s">
        <v>38</v>
      </c>
      <c r="H156" s="5" t="e">
        <f>#REF!</f>
        <v>#REF!</v>
      </c>
      <c r="I156" s="6" t="e">
        <f t="shared" ref="I156:I196" si="37">I155</f>
        <v>#REF!</v>
      </c>
      <c r="J156" s="6" t="s">
        <v>40</v>
      </c>
      <c r="K156" s="6" t="s">
        <v>41</v>
      </c>
      <c r="L156" s="7" t="e">
        <f t="shared" ref="L156:L194" si="38">IF(ISNA(MATCH($C156,FA,0)),"ARTİKÜL YOK",INDEX(FIYAT_DURUM,MATCH($C156,FA,0)))</f>
        <v>#REF!</v>
      </c>
      <c r="M156" s="7" t="s">
        <v>165</v>
      </c>
      <c r="N156" s="7" t="s">
        <v>43</v>
      </c>
      <c r="O156" s="7" t="str">
        <f>IF(OR($C156="",$C156="FID YOK"),"",IF(ISNUMBER(MATCH($C156,FA_ANA,0)),"",IF(COUNTIF($C$1:$C155,$C156)&gt;0,"",MAX($O$1:$O155)+1)))</f>
        <v/>
      </c>
      <c r="Q156" s="7"/>
      <c r="R156" s="7"/>
      <c r="S156" s="7"/>
      <c r="T156" s="7">
        <f>IF(ISNA(MATCH($C156,FA,0)),0,IF($J156="GIRIS",N(INDEX(F_INKOR,MATCH($C156,FA,0))),0))</f>
        <v>0</v>
      </c>
      <c r="U156" s="7"/>
      <c r="V156" s="7"/>
      <c r="W156" s="7"/>
      <c r="X156" s="7"/>
      <c r="Y156" s="7" t="e">
        <f>N(#REF!)*IF($E156="упак",MAX(1,IF(ISNA(MATCH($C156,FA,0)),1,N(INDEX(F_PAKET,MATCH($C156,FA,0))))),1)</f>
        <v>#REF!</v>
      </c>
      <c r="Z156" s="7" t="e">
        <f t="shared" ref="Z156:Z194" si="39">IF(ISNA(MATCH($C156,FA,0)),0,N(INDEX(F_BK,MATCH($C156,FA,0))))</f>
        <v>#REF!</v>
      </c>
      <c r="AA156" s="7" t="e">
        <f>IF(OR(ISNA(MATCH($C156,FA,0)),$J156="YEDEK",$J156="SARF"),0,N(#REF!)*N(INDEX(F_TEL,MATCH($C156,FA,0))))</f>
        <v>#REF!</v>
      </c>
      <c r="AB156" s="7" t="e">
        <f>IF(OR(ISNA(MATCH($C156,FA,0)),$J156="YEDEK",$J156="SARF"),0,N(#REF!)*N(INDEX(F_TELM,MATCH($C156,FA,0))))</f>
        <v>#REF!</v>
      </c>
      <c r="AC156" s="7" t="e">
        <f t="shared" ref="AC156:AC194" si="40">IF(ISNA(MATCH($C156,FA,0)),"",INDEX(F_UC,MATCH($C156,FA,0))&amp;"")</f>
        <v>#REF!</v>
      </c>
      <c r="AD156" s="7">
        <f>IF(OR(ISNA(MATCH($C156,FA,0)),$J156&lt;&gt;"CIKIS"),0,N(INDEX(F_KK,MATCH($C156,FA,0))))</f>
        <v>0</v>
      </c>
      <c r="AE156" s="7">
        <f>IF($AD156=0,0,N(#REF!)*N(INDEX(F_KLN,MATCH($C156,FA,0))))</f>
        <v>0</v>
      </c>
      <c r="AF156" s="7">
        <f>IF($AD156=0,0,N(#REF!)*N(INDEX(F_KPE,MATCH($C156,FA,0))))</f>
        <v>0</v>
      </c>
      <c r="AG156" s="7" t="e">
        <f>IF(ISNA(MATCH($C156,FA,0)),0,N(#REF!)*N(INDEX(F_MODUL,MATCH($C156,FA,0))))</f>
        <v>#REF!</v>
      </c>
      <c r="AH156" s="7" t="e">
        <f>N(#REF!)*N($I156)</f>
        <v>#REF!</v>
      </c>
      <c r="AI156" s="7" t="e">
        <f t="shared" ref="AI156:AI194" si="41">IF(ISNA(MATCH($K156,TIP_AD,0)),"YOK",IF(INDEX(NORM_DK,MATCH($K156,TIP_AD,0))="","BOŞ",INDEX(NORM_DK,MATCH($K156,TIP_AD,0))))</f>
        <v>#REF!</v>
      </c>
      <c r="AJ156" s="7">
        <f t="shared" ref="AJ156:AJ194" si="42">IF(ISNUMBER($AI156),$Y156*$AI156,0)</f>
        <v>0</v>
      </c>
    </row>
    <row r="157" spans="1:36" x14ac:dyDescent="0.25">
      <c r="A157" s="4" t="str">
        <f t="shared" si="36"/>
        <v>ВРУ-П (Ввод + Секция 1) (ВРУ1-15-30)(ВРУ1-41-00А)(260922 akram aulet)</v>
      </c>
      <c r="B157" s="4" t="s">
        <v>39</v>
      </c>
      <c r="C157" s="4" t="s">
        <v>494</v>
      </c>
      <c r="D157" s="4" t="s">
        <v>495</v>
      </c>
      <c r="E157" s="4" t="s">
        <v>114</v>
      </c>
      <c r="F157" s="4" t="s">
        <v>491</v>
      </c>
      <c r="G157" s="4" t="s">
        <v>38</v>
      </c>
      <c r="H157" s="5" t="e">
        <f>#REF!</f>
        <v>#REF!</v>
      </c>
      <c r="I157" s="6" t="e">
        <f t="shared" si="37"/>
        <v>#REF!</v>
      </c>
      <c r="J157" s="6" t="s">
        <v>40</v>
      </c>
      <c r="K157" s="6" t="s">
        <v>41</v>
      </c>
      <c r="L157" s="7" t="e">
        <f t="shared" si="38"/>
        <v>#REF!</v>
      </c>
      <c r="M157" s="7" t="s">
        <v>44</v>
      </c>
      <c r="N157" s="7" t="s">
        <v>45</v>
      </c>
      <c r="O157" s="7" t="str">
        <f>IF(OR($C157="",$C157="FID YOK"),"",IF(ISNUMBER(MATCH($C157,FA_ANA,0)),"",IF(COUNTIF($C$1:$C156,$C157)&gt;0,"",MAX($O$1:$O156)+1)))</f>
        <v/>
      </c>
      <c r="Q157" s="7"/>
      <c r="R157" s="7"/>
      <c r="S157" s="7"/>
      <c r="T157" s="7">
        <f>IF(ISNA(MATCH($C157,FA,0)),0,IF($J157="GIRIS",N(INDEX(F_INKOR,MATCH($C157,FA,0))),0))</f>
        <v>0</v>
      </c>
      <c r="U157" s="7"/>
      <c r="V157" s="7"/>
      <c r="W157" s="7"/>
      <c r="X157" s="7"/>
      <c r="Y157" s="7" t="e">
        <f>N(#REF!)*IF($E157="упак",MAX(1,IF(ISNA(MATCH($C157,FA,0)),1,N(INDEX(F_PAKET,MATCH($C157,FA,0))))),1)</f>
        <v>#REF!</v>
      </c>
      <c r="Z157" s="7" t="e">
        <f t="shared" si="39"/>
        <v>#REF!</v>
      </c>
      <c r="AA157" s="7" t="e">
        <f>IF(OR(ISNA(MATCH($C157,FA,0)),$J157="YEDEK",$J157="SARF"),0,N(#REF!)*N(INDEX(F_TEL,MATCH($C157,FA,0))))</f>
        <v>#REF!</v>
      </c>
      <c r="AB157" s="7" t="e">
        <f>IF(OR(ISNA(MATCH($C157,FA,0)),$J157="YEDEK",$J157="SARF"),0,N(#REF!)*N(INDEX(F_TELM,MATCH($C157,FA,0))))</f>
        <v>#REF!</v>
      </c>
      <c r="AC157" s="7" t="e">
        <f t="shared" si="40"/>
        <v>#REF!</v>
      </c>
      <c r="AD157" s="7">
        <f>IF(OR(ISNA(MATCH($C157,FA,0)),$J157&lt;&gt;"CIKIS"),0,N(INDEX(F_KK,MATCH($C157,FA,0))))</f>
        <v>0</v>
      </c>
      <c r="AE157" s="7">
        <f>IF($AD157=0,0,N(#REF!)*N(INDEX(F_KLN,MATCH($C157,FA,0))))</f>
        <v>0</v>
      </c>
      <c r="AF157" s="7">
        <f>IF($AD157=0,0,N(#REF!)*N(INDEX(F_KPE,MATCH($C157,FA,0))))</f>
        <v>0</v>
      </c>
      <c r="AG157" s="7" t="e">
        <f>IF(ISNA(MATCH($C157,FA,0)),0,N(#REF!)*N(INDEX(F_MODUL,MATCH($C157,FA,0))))</f>
        <v>#REF!</v>
      </c>
      <c r="AH157" s="7" t="e">
        <f>N(#REF!)*N($I157)</f>
        <v>#REF!</v>
      </c>
      <c r="AI157" s="7" t="e">
        <f t="shared" si="41"/>
        <v>#REF!</v>
      </c>
      <c r="AJ157" s="7">
        <f t="shared" si="42"/>
        <v>0</v>
      </c>
    </row>
    <row r="158" spans="1:36" x14ac:dyDescent="0.25">
      <c r="A158" s="4" t="str">
        <f t="shared" si="36"/>
        <v>ВРУ-П (Ввод + Секция 1) (ВРУ1-15-30)(ВРУ1-41-00А)(260922 akram aulet)</v>
      </c>
      <c r="B158" s="4" t="s">
        <v>47</v>
      </c>
      <c r="C158" s="4" t="s">
        <v>440</v>
      </c>
      <c r="D158" s="4" t="s">
        <v>441</v>
      </c>
      <c r="E158" s="4" t="s">
        <v>114</v>
      </c>
      <c r="F158" s="4" t="s">
        <v>442</v>
      </c>
      <c r="G158" s="4" t="s">
        <v>38</v>
      </c>
      <c r="H158" s="5" t="e">
        <f>#REF!</f>
        <v>#REF!</v>
      </c>
      <c r="I158" s="6" t="e">
        <f t="shared" si="37"/>
        <v>#REF!</v>
      </c>
      <c r="J158" s="6" t="s">
        <v>52</v>
      </c>
      <c r="K158" s="6" t="s">
        <v>47</v>
      </c>
      <c r="L158" s="7" t="e">
        <f t="shared" si="38"/>
        <v>#REF!</v>
      </c>
      <c r="M158" s="7" t="s">
        <v>166</v>
      </c>
      <c r="N158" s="7" t="s">
        <v>50</v>
      </c>
      <c r="O158" s="7" t="str">
        <f>IF(OR($C158="",$C158="FID YOK"),"",IF(ISNUMBER(MATCH($C158,FA_ANA,0)),"",IF(COUNTIF($C$1:$C157,$C158)&gt;0,"",MAX($O$1:$O157)+1)))</f>
        <v/>
      </c>
      <c r="P158" s="8">
        <v>1</v>
      </c>
      <c r="Q158" s="7" t="e">
        <f>IF(OR($P158="",$P158="G",ISNA(MATCH($C158,FA,0))),"",IF(N(INDEX(F_G,MATCH($C158,FA,0)))&gt;0,INDEX(F_G,MATCH($C158,FA,0)),IF(N(INDEX(F_MODUL,MATCH($C158,FA,0)))&gt;0,INDEX(F_MODUL,MATCH($C158,FA,0))*MODUL_MM,"")))</f>
        <v>#REF!</v>
      </c>
      <c r="R158" s="7" t="e">
        <f>IF(OR($P158="",$P158="G",ISNA(MATCH($C158,FA,0))),"",IF(N(INDEX(F_Y,MATCH($C158,FA,0)))&gt;0,INDEX(F_Y,MATCH($C158,FA,0)),""))</f>
        <v>#REF!</v>
      </c>
      <c r="S158" s="7" t="e">
        <f>IF(OR($P158="",$P158="G",ISNA(MATCH($C158,FA,0))),"",IF(N(INDEX(F_D,MATCH($C158,FA,0)))&gt;0,INDEX(F_D,MATCH($C158,FA,0)),""))</f>
        <v>#REF!</v>
      </c>
      <c r="T158" s="7">
        <f>IF(ISNA(MATCH($C158,FA,0)),0,IF($J158="GIRIS",N(INDEX(F_INKOR,MATCH($C158,FA,0))),0))</f>
        <v>0</v>
      </c>
      <c r="U158" s="7" t="e">
        <f t="shared" ref="U158:U171" si="43">IF(ISNA(MATCH($B158,TIP_AD,0)),"",INDEX(TIP_KAT,MATCH($B158,TIP_AD,0))&amp;"")</f>
        <v>#REF!</v>
      </c>
      <c r="V158" s="7" t="e">
        <f t="shared" ref="V158:V171" si="44">IF(NOT(ISNUMBER($P158)),"",IF($Z158=0,0,IF(ISNA(MATCH($Z158,BUK_KESIT,0)),"",IF(INDEX(BUK_ALAN,MATCH($Z158,BUK_KESIT,0))&amp;""="","",INDEX(BUK_ALAN,MATCH($Z158,BUK_KESIT,0))))))</f>
        <v>#REF!</v>
      </c>
      <c r="W158" s="7" t="e">
        <f>IF(OR(NOT(ISNUMBER($P158)),$Q158=""),"",N(#REF!)*($Q158+IF(ISNA(MATCH($B158,TIP_AD,0)),0,N(INDEX(TIP_BOSLUK,MATCH($B158,TIP_AD,0))))))</f>
        <v>#REF!</v>
      </c>
      <c r="X158" s="7" t="e">
        <f>IF(ISNUMBER($P158),($Q158="")+($R158="")+($V158="")+IF(AND($U158="KONTAKTOR",NOT(ISNA(MATCH($B158,TIP_AD,0)))),IF(INDEX(TIP_BOSLUK,MATCH($B158,TIP_AD,0))&amp;""="",1,0),0),IF($P158="K",IF($S158="",1,0),0))</f>
        <v>#REF!</v>
      </c>
      <c r="Y158" s="7" t="e">
        <f>N(#REF!)*IF($E158="упак",MAX(1,IF(ISNA(MATCH($C158,FA,0)),1,N(INDEX(F_PAKET,MATCH($C158,FA,0))))),1)</f>
        <v>#REF!</v>
      </c>
      <c r="Z158" s="7" t="e">
        <f t="shared" si="39"/>
        <v>#REF!</v>
      </c>
      <c r="AA158" s="7" t="e">
        <f>IF(OR(ISNA(MATCH($C158,FA,0)),$J158="YEDEK",$J158="SARF"),0,N(#REF!)*N(INDEX(F_TEL,MATCH($C158,FA,0))))</f>
        <v>#REF!</v>
      </c>
      <c r="AB158" s="7" t="e">
        <f>IF(OR(ISNA(MATCH($C158,FA,0)),$J158="YEDEK",$J158="SARF"),0,N(#REF!)*N(INDEX(F_TELM,MATCH($C158,FA,0))))</f>
        <v>#REF!</v>
      </c>
      <c r="AC158" s="7" t="e">
        <f t="shared" si="40"/>
        <v>#REF!</v>
      </c>
      <c r="AD158" s="7" t="e">
        <f>IF(OR(ISNA(MATCH($C158,FA,0)),$J158&lt;&gt;"CIKIS"),0,N(INDEX(F_KK,MATCH($C158,FA,0))))</f>
        <v>#REF!</v>
      </c>
      <c r="AE158" s="7" t="e">
        <f>IF($AD158=0,0,N(#REF!)*N(INDEX(F_KLN,MATCH($C158,FA,0))))</f>
        <v>#REF!</v>
      </c>
      <c r="AF158" s="7" t="e">
        <f>IF($AD158=0,0,N(#REF!)*N(INDEX(F_KPE,MATCH($C158,FA,0))))</f>
        <v>#REF!</v>
      </c>
      <c r="AG158" s="7" t="e">
        <f>IF(ISNA(MATCH($C158,FA,0)),0,N(#REF!)*N(INDEX(F_MODUL,MATCH($C158,FA,0))))</f>
        <v>#REF!</v>
      </c>
      <c r="AH158" s="7" t="e">
        <f>N(#REF!)*N($I158)</f>
        <v>#REF!</v>
      </c>
      <c r="AI158" s="7" t="e">
        <f t="shared" si="41"/>
        <v>#REF!</v>
      </c>
      <c r="AJ158" s="7">
        <f t="shared" si="42"/>
        <v>0</v>
      </c>
    </row>
    <row r="159" spans="1:36" x14ac:dyDescent="0.25">
      <c r="A159" s="4" t="str">
        <f t="shared" si="36"/>
        <v>ВРУ-П (Ввод + Секция 1) (ВРУ1-15-30)(ВРУ1-41-00А)(260922 akram aulet)</v>
      </c>
      <c r="B159" s="4" t="s">
        <v>51</v>
      </c>
      <c r="C159" s="4" t="s">
        <v>436</v>
      </c>
      <c r="D159" s="4" t="s">
        <v>437</v>
      </c>
      <c r="E159" s="4" t="s">
        <v>114</v>
      </c>
      <c r="F159" s="4" t="s">
        <v>377</v>
      </c>
      <c r="G159" s="4" t="s">
        <v>38</v>
      </c>
      <c r="H159" s="5" t="e">
        <f>#REF!</f>
        <v>#REF!</v>
      </c>
      <c r="I159" s="6" t="e">
        <f t="shared" si="37"/>
        <v>#REF!</v>
      </c>
      <c r="J159" s="6" t="s">
        <v>48</v>
      </c>
      <c r="K159" s="6" t="s">
        <v>51</v>
      </c>
      <c r="L159" s="7" t="e">
        <f t="shared" si="38"/>
        <v>#REF!</v>
      </c>
      <c r="M159" s="7" t="s">
        <v>167</v>
      </c>
      <c r="N159" s="7" t="s">
        <v>168</v>
      </c>
      <c r="O159" s="7">
        <f>IF(OR($C159="",$C159="FID YOK"),"",IF(ISNUMBER(MATCH($C159,FA_ANA,0)),"",IF(COUNTIF($C$1:$C158,$C159)&gt;0,"",MAX($O$1:$O158)+1)))</f>
        <v>53</v>
      </c>
      <c r="P159" s="8">
        <v>1</v>
      </c>
      <c r="Q159" s="7" t="e">
        <f>IF(OR($P159="",$P159="G",ISNA(MATCH($C159,FA,0))),"",IF(N(INDEX(F_G,MATCH($C159,FA,0)))&gt;0,INDEX(F_G,MATCH($C159,FA,0)),IF(N(INDEX(F_MODUL,MATCH($C159,FA,0)))&gt;0,INDEX(F_MODUL,MATCH($C159,FA,0))*MODUL_MM,"")))</f>
        <v>#REF!</v>
      </c>
      <c r="R159" s="7" t="e">
        <f>IF(OR($P159="",$P159="G",ISNA(MATCH($C159,FA,0))),"",IF(N(INDEX(F_Y,MATCH($C159,FA,0)))&gt;0,INDEX(F_Y,MATCH($C159,FA,0)),""))</f>
        <v>#REF!</v>
      </c>
      <c r="S159" s="7" t="e">
        <f>IF(OR($P159="",$P159="G",ISNA(MATCH($C159,FA,0))),"",IF(N(INDEX(F_D,MATCH($C159,FA,0)))&gt;0,INDEX(F_D,MATCH($C159,FA,0)),""))</f>
        <v>#REF!</v>
      </c>
      <c r="T159" s="7" t="e">
        <f>IF(ISNA(MATCH($C159,FA,0)),0,IF($J159="GIRIS",N(INDEX(F_INKOR,MATCH($C159,FA,0))),0))</f>
        <v>#REF!</v>
      </c>
      <c r="U159" s="7" t="e">
        <f t="shared" si="43"/>
        <v>#REF!</v>
      </c>
      <c r="V159" s="7" t="e">
        <f t="shared" si="44"/>
        <v>#REF!</v>
      </c>
      <c r="W159" s="7" t="e">
        <f>IF(OR(NOT(ISNUMBER($P159)),$Q159=""),"",N(#REF!)*($Q159+IF(ISNA(MATCH($B159,TIP_AD,0)),0,N(INDEX(TIP_BOSLUK,MATCH($B159,TIP_AD,0))))))</f>
        <v>#REF!</v>
      </c>
      <c r="X159" s="7" t="e">
        <f>IF(ISNUMBER($P159),($Q159="")+($R159="")+($V159="")+IF(AND($U159="KONTAKTOR",NOT(ISNA(MATCH($B159,TIP_AD,0)))),IF(INDEX(TIP_BOSLUK,MATCH($B159,TIP_AD,0))&amp;""="",1,0),0),IF($P159="K",IF($S159="",1,0),0))</f>
        <v>#REF!</v>
      </c>
      <c r="Y159" s="7" t="e">
        <f>N(#REF!)*IF($E159="упак",MAX(1,IF(ISNA(MATCH($C159,FA,0)),1,N(INDEX(F_PAKET,MATCH($C159,FA,0))))),1)</f>
        <v>#REF!</v>
      </c>
      <c r="Z159" s="7" t="e">
        <f t="shared" si="39"/>
        <v>#REF!</v>
      </c>
      <c r="AA159" s="7" t="e">
        <f>IF(OR(ISNA(MATCH($C159,FA,0)),$J159="YEDEK",$J159="SARF"),0,N(#REF!)*N(INDEX(F_TEL,MATCH($C159,FA,0))))</f>
        <v>#REF!</v>
      </c>
      <c r="AB159" s="7" t="e">
        <f>IF(OR(ISNA(MATCH($C159,FA,0)),$J159="YEDEK",$J159="SARF"),0,N(#REF!)*N(INDEX(F_TELM,MATCH($C159,FA,0))))</f>
        <v>#REF!</v>
      </c>
      <c r="AC159" s="7" t="e">
        <f t="shared" si="40"/>
        <v>#REF!</v>
      </c>
      <c r="AD159" s="7">
        <f>IF(OR(ISNA(MATCH($C159,FA,0)),$J159&lt;&gt;"CIKIS"),0,N(INDEX(F_KK,MATCH($C159,FA,0))))</f>
        <v>0</v>
      </c>
      <c r="AE159" s="7">
        <f>IF($AD159=0,0,N(#REF!)*N(INDEX(F_KLN,MATCH($C159,FA,0))))</f>
        <v>0</v>
      </c>
      <c r="AF159" s="7">
        <f>IF($AD159=0,0,N(#REF!)*N(INDEX(F_KPE,MATCH($C159,FA,0))))</f>
        <v>0</v>
      </c>
      <c r="AG159" s="7" t="e">
        <f>IF(ISNA(MATCH($C159,FA,0)),0,N(#REF!)*N(INDEX(F_MODUL,MATCH($C159,FA,0))))</f>
        <v>#REF!</v>
      </c>
      <c r="AH159" s="7" t="e">
        <f>N(#REF!)*N($I159)</f>
        <v>#REF!</v>
      </c>
      <c r="AI159" s="7" t="e">
        <f t="shared" si="41"/>
        <v>#REF!</v>
      </c>
      <c r="AJ159" s="7">
        <f t="shared" si="42"/>
        <v>0</v>
      </c>
    </row>
    <row r="160" spans="1:36" x14ac:dyDescent="0.25">
      <c r="A160" s="4" t="str">
        <f t="shared" si="36"/>
        <v>ВРУ-П (Ввод + Секция 1) (ВРУ1-15-30)(ВРУ1-41-00А)(260922 akram aulet)</v>
      </c>
      <c r="B160" s="4" t="s">
        <v>51</v>
      </c>
      <c r="C160" s="4" t="s">
        <v>430</v>
      </c>
      <c r="D160" s="4" t="s">
        <v>431</v>
      </c>
      <c r="E160" s="4" t="s">
        <v>114</v>
      </c>
      <c r="F160" s="4" t="s">
        <v>377</v>
      </c>
      <c r="G160" s="4" t="s">
        <v>38</v>
      </c>
      <c r="H160" s="5" t="e">
        <f>#REF!</f>
        <v>#REF!</v>
      </c>
      <c r="I160" s="6" t="e">
        <f t="shared" si="37"/>
        <v>#REF!</v>
      </c>
      <c r="J160" s="6" t="s">
        <v>52</v>
      </c>
      <c r="K160" s="6" t="s">
        <v>51</v>
      </c>
      <c r="L160" s="7" t="e">
        <f t="shared" si="38"/>
        <v>#REF!</v>
      </c>
      <c r="M160" s="7" t="s">
        <v>169</v>
      </c>
      <c r="N160" s="7" t="s">
        <v>143</v>
      </c>
      <c r="O160" s="7" t="str">
        <f>IF(OR($C160="",$C160="FID YOK"),"",IF(ISNUMBER(MATCH($C160,FA_ANA,0)),"",IF(COUNTIF($C$1:$C159,$C160)&gt;0,"",MAX($O$1:$O159)+1)))</f>
        <v/>
      </c>
      <c r="P160" s="8">
        <v>1</v>
      </c>
      <c r="Q160" s="7" t="e">
        <f>IF(OR($P160="",$P160="G",ISNA(MATCH($C160,FA,0))),"",IF(N(INDEX(F_G,MATCH($C160,FA,0)))&gt;0,INDEX(F_G,MATCH($C160,FA,0)),IF(N(INDEX(F_MODUL,MATCH($C160,FA,0)))&gt;0,INDEX(F_MODUL,MATCH($C160,FA,0))*MODUL_MM,"")))</f>
        <v>#REF!</v>
      </c>
      <c r="R160" s="7" t="e">
        <f>IF(OR($P160="",$P160="G",ISNA(MATCH($C160,FA,0))),"",IF(N(INDEX(F_Y,MATCH($C160,FA,0)))&gt;0,INDEX(F_Y,MATCH($C160,FA,0)),""))</f>
        <v>#REF!</v>
      </c>
      <c r="S160" s="7" t="e">
        <f>IF(OR($P160="",$P160="G",ISNA(MATCH($C160,FA,0))),"",IF(N(INDEX(F_D,MATCH($C160,FA,0)))&gt;0,INDEX(F_D,MATCH($C160,FA,0)),""))</f>
        <v>#REF!</v>
      </c>
      <c r="T160" s="7">
        <f>IF(ISNA(MATCH($C160,FA,0)),0,IF($J160="GIRIS",N(INDEX(F_INKOR,MATCH($C160,FA,0))),0))</f>
        <v>0</v>
      </c>
      <c r="U160" s="7" t="e">
        <f t="shared" si="43"/>
        <v>#REF!</v>
      </c>
      <c r="V160" s="7" t="e">
        <f t="shared" si="44"/>
        <v>#REF!</v>
      </c>
      <c r="W160" s="7" t="e">
        <f>IF(OR(NOT(ISNUMBER($P160)),$Q160=""),"",N(#REF!)*($Q160+IF(ISNA(MATCH($B160,TIP_AD,0)),0,N(INDEX(TIP_BOSLUK,MATCH($B160,TIP_AD,0))))))</f>
        <v>#REF!</v>
      </c>
      <c r="X160" s="7" t="e">
        <f>IF(ISNUMBER($P160),($Q160="")+($R160="")+($V160="")+IF(AND($U160="KONTAKTOR",NOT(ISNA(MATCH($B160,TIP_AD,0)))),IF(INDEX(TIP_BOSLUK,MATCH($B160,TIP_AD,0))&amp;""="",1,0),0),IF($P160="K",IF($S160="",1,0),0))</f>
        <v>#REF!</v>
      </c>
      <c r="Y160" s="7" t="e">
        <f>N(#REF!)*IF($E160="упак",MAX(1,IF(ISNA(MATCH($C160,FA,0)),1,N(INDEX(F_PAKET,MATCH($C160,FA,0))))),1)</f>
        <v>#REF!</v>
      </c>
      <c r="Z160" s="7" t="e">
        <f t="shared" si="39"/>
        <v>#REF!</v>
      </c>
      <c r="AA160" s="7" t="e">
        <f>IF(OR(ISNA(MATCH($C160,FA,0)),$J160="YEDEK",$J160="SARF"),0,N(#REF!)*N(INDEX(F_TEL,MATCH($C160,FA,0))))</f>
        <v>#REF!</v>
      </c>
      <c r="AB160" s="7" t="e">
        <f>IF(OR(ISNA(MATCH($C160,FA,0)),$J160="YEDEK",$J160="SARF"),0,N(#REF!)*N(INDEX(F_TELM,MATCH($C160,FA,0))))</f>
        <v>#REF!</v>
      </c>
      <c r="AC160" s="7" t="e">
        <f t="shared" si="40"/>
        <v>#REF!</v>
      </c>
      <c r="AD160" s="7" t="e">
        <f>IF(OR(ISNA(MATCH($C160,FA,0)),$J160&lt;&gt;"CIKIS"),0,N(INDEX(F_KK,MATCH($C160,FA,0))))</f>
        <v>#REF!</v>
      </c>
      <c r="AE160" s="7" t="e">
        <f>IF($AD160=0,0,N(#REF!)*N(INDEX(F_KLN,MATCH($C160,FA,0))))</f>
        <v>#REF!</v>
      </c>
      <c r="AF160" s="7" t="e">
        <f>IF($AD160=0,0,N(#REF!)*N(INDEX(F_KPE,MATCH($C160,FA,0))))</f>
        <v>#REF!</v>
      </c>
      <c r="AG160" s="7" t="e">
        <f>IF(ISNA(MATCH($C160,FA,0)),0,N(#REF!)*N(INDEX(F_MODUL,MATCH($C160,FA,0))))</f>
        <v>#REF!</v>
      </c>
      <c r="AH160" s="7" t="e">
        <f>N(#REF!)*N($I160)</f>
        <v>#REF!</v>
      </c>
      <c r="AI160" s="7" t="e">
        <f t="shared" si="41"/>
        <v>#REF!</v>
      </c>
      <c r="AJ160" s="7">
        <f t="shared" si="42"/>
        <v>0</v>
      </c>
    </row>
    <row r="161" spans="1:36" x14ac:dyDescent="0.25">
      <c r="A161" s="4" t="str">
        <f t="shared" si="36"/>
        <v>ВРУ-П (Ввод + Секция 1) (ВРУ1-15-30)(ВРУ1-41-00А)(260922 akram aulet)</v>
      </c>
      <c r="B161" s="4" t="s">
        <v>51</v>
      </c>
      <c r="C161" s="4" t="s">
        <v>420</v>
      </c>
      <c r="D161" s="4" t="s">
        <v>421</v>
      </c>
      <c r="E161" s="4" t="s">
        <v>114</v>
      </c>
      <c r="F161" s="4" t="s">
        <v>377</v>
      </c>
      <c r="G161" s="4" t="s">
        <v>38</v>
      </c>
      <c r="H161" s="5" t="e">
        <f>#REF!</f>
        <v>#REF!</v>
      </c>
      <c r="I161" s="6" t="e">
        <f t="shared" si="37"/>
        <v>#REF!</v>
      </c>
      <c r="J161" s="6" t="s">
        <v>52</v>
      </c>
      <c r="K161" s="6" t="s">
        <v>51</v>
      </c>
      <c r="L161" s="7" t="e">
        <f t="shared" si="38"/>
        <v>#REF!</v>
      </c>
      <c r="M161" s="7" t="s">
        <v>170</v>
      </c>
      <c r="N161" s="7" t="s">
        <v>60</v>
      </c>
      <c r="O161" s="7" t="str">
        <f>IF(OR($C161="",$C161="FID YOK"),"",IF(ISNUMBER(MATCH($C161,FA_ANA,0)),"",IF(COUNTIF($C$1:$C160,$C161)&gt;0,"",MAX($O$1:$O160)+1)))</f>
        <v/>
      </c>
      <c r="P161" s="8">
        <v>1</v>
      </c>
      <c r="Q161" s="7" t="e">
        <f>IF(OR($P161="",$P161="G",ISNA(MATCH($C161,FA,0))),"",IF(N(INDEX(F_G,MATCH($C161,FA,0)))&gt;0,INDEX(F_G,MATCH($C161,FA,0)),IF(N(INDEX(F_MODUL,MATCH($C161,FA,0)))&gt;0,INDEX(F_MODUL,MATCH($C161,FA,0))*MODUL_MM,"")))</f>
        <v>#REF!</v>
      </c>
      <c r="R161" s="7" t="e">
        <f>IF(OR($P161="",$P161="G",ISNA(MATCH($C161,FA,0))),"",IF(N(INDEX(F_Y,MATCH($C161,FA,0)))&gt;0,INDEX(F_Y,MATCH($C161,FA,0)),""))</f>
        <v>#REF!</v>
      </c>
      <c r="S161" s="7" t="e">
        <f>IF(OR($P161="",$P161="G",ISNA(MATCH($C161,FA,0))),"",IF(N(INDEX(F_D,MATCH($C161,FA,0)))&gt;0,INDEX(F_D,MATCH($C161,FA,0)),""))</f>
        <v>#REF!</v>
      </c>
      <c r="T161" s="7">
        <f>IF(ISNA(MATCH($C161,FA,0)),0,IF($J161="GIRIS",N(INDEX(F_INKOR,MATCH($C161,FA,0))),0))</f>
        <v>0</v>
      </c>
      <c r="U161" s="7" t="e">
        <f t="shared" si="43"/>
        <v>#REF!</v>
      </c>
      <c r="V161" s="7" t="e">
        <f t="shared" si="44"/>
        <v>#REF!</v>
      </c>
      <c r="W161" s="7" t="e">
        <f>IF(OR(NOT(ISNUMBER($P161)),$Q161=""),"",N(#REF!)*($Q161+IF(ISNA(MATCH($B161,TIP_AD,0)),0,N(INDEX(TIP_BOSLUK,MATCH($B161,TIP_AD,0))))))</f>
        <v>#REF!</v>
      </c>
      <c r="X161" s="7" t="e">
        <f>IF(ISNUMBER($P161),($Q161="")+($R161="")+($V161="")+IF(AND($U161="KONTAKTOR",NOT(ISNA(MATCH($B161,TIP_AD,0)))),IF(INDEX(TIP_BOSLUK,MATCH($B161,TIP_AD,0))&amp;""="",1,0),0),IF($P161="K",IF($S161="",1,0),0))</f>
        <v>#REF!</v>
      </c>
      <c r="Y161" s="7" t="e">
        <f>N(#REF!)*IF($E161="упак",MAX(1,IF(ISNA(MATCH($C161,FA,0)),1,N(INDEX(F_PAKET,MATCH($C161,FA,0))))),1)</f>
        <v>#REF!</v>
      </c>
      <c r="Z161" s="7" t="e">
        <f t="shared" si="39"/>
        <v>#REF!</v>
      </c>
      <c r="AA161" s="7" t="e">
        <f>IF(OR(ISNA(MATCH($C161,FA,0)),$J161="YEDEK",$J161="SARF"),0,N(#REF!)*N(INDEX(F_TEL,MATCH($C161,FA,0))))</f>
        <v>#REF!</v>
      </c>
      <c r="AB161" s="7" t="e">
        <f>IF(OR(ISNA(MATCH($C161,FA,0)),$J161="YEDEK",$J161="SARF"),0,N(#REF!)*N(INDEX(F_TELM,MATCH($C161,FA,0))))</f>
        <v>#REF!</v>
      </c>
      <c r="AC161" s="7" t="e">
        <f t="shared" si="40"/>
        <v>#REF!</v>
      </c>
      <c r="AD161" s="7" t="e">
        <f>IF(OR(ISNA(MATCH($C161,FA,0)),$J161&lt;&gt;"CIKIS"),0,N(INDEX(F_KK,MATCH($C161,FA,0))))</f>
        <v>#REF!</v>
      </c>
      <c r="AE161" s="7" t="e">
        <f>IF($AD161=0,0,N(#REF!)*N(INDEX(F_KLN,MATCH($C161,FA,0))))</f>
        <v>#REF!</v>
      </c>
      <c r="AF161" s="7" t="e">
        <f>IF($AD161=0,0,N(#REF!)*N(INDEX(F_KPE,MATCH($C161,FA,0))))</f>
        <v>#REF!</v>
      </c>
      <c r="AG161" s="7" t="e">
        <f>IF(ISNA(MATCH($C161,FA,0)),0,N(#REF!)*N(INDEX(F_MODUL,MATCH($C161,FA,0))))</f>
        <v>#REF!</v>
      </c>
      <c r="AH161" s="7" t="e">
        <f>N(#REF!)*N($I161)</f>
        <v>#REF!</v>
      </c>
      <c r="AI161" s="7" t="e">
        <f t="shared" si="41"/>
        <v>#REF!</v>
      </c>
      <c r="AJ161" s="7">
        <f t="shared" si="42"/>
        <v>0</v>
      </c>
    </row>
    <row r="162" spans="1:36" x14ac:dyDescent="0.25">
      <c r="A162" s="4" t="str">
        <f t="shared" si="36"/>
        <v>ВРУ-П (Ввод + Секция 1) (ВРУ1-15-30)(ВРУ1-41-00А)(260922 akram aulet)</v>
      </c>
      <c r="B162" s="4" t="s">
        <v>51</v>
      </c>
      <c r="C162" s="4" t="s">
        <v>422</v>
      </c>
      <c r="D162" s="4" t="s">
        <v>423</v>
      </c>
      <c r="E162" s="4" t="s">
        <v>114</v>
      </c>
      <c r="F162" s="4" t="s">
        <v>377</v>
      </c>
      <c r="G162" s="4" t="s">
        <v>38</v>
      </c>
      <c r="H162" s="5" t="e">
        <f>#REF!</f>
        <v>#REF!</v>
      </c>
      <c r="I162" s="6" t="e">
        <f t="shared" si="37"/>
        <v>#REF!</v>
      </c>
      <c r="J162" s="6" t="s">
        <v>52</v>
      </c>
      <c r="K162" s="6" t="s">
        <v>51</v>
      </c>
      <c r="L162" s="7" t="e">
        <f t="shared" si="38"/>
        <v>#REF!</v>
      </c>
      <c r="M162" s="7" t="s">
        <v>171</v>
      </c>
      <c r="N162" s="7" t="s">
        <v>155</v>
      </c>
      <c r="O162" s="7" t="str">
        <f>IF(OR($C162="",$C162="FID YOK"),"",IF(ISNUMBER(MATCH($C162,FA_ANA,0)),"",IF(COUNTIF($C$1:$C161,$C162)&gt;0,"",MAX($O$1:$O161)+1)))</f>
        <v/>
      </c>
      <c r="P162" s="8">
        <v>1</v>
      </c>
      <c r="Q162" s="7" t="e">
        <f>IF(OR($P162="",$P162="G",ISNA(MATCH($C162,FA,0))),"",IF(N(INDEX(F_G,MATCH($C162,FA,0)))&gt;0,INDEX(F_G,MATCH($C162,FA,0)),IF(N(INDEX(F_MODUL,MATCH($C162,FA,0)))&gt;0,INDEX(F_MODUL,MATCH($C162,FA,0))*MODUL_MM,"")))</f>
        <v>#REF!</v>
      </c>
      <c r="R162" s="7" t="e">
        <f>IF(OR($P162="",$P162="G",ISNA(MATCH($C162,FA,0))),"",IF(N(INDEX(F_Y,MATCH($C162,FA,0)))&gt;0,INDEX(F_Y,MATCH($C162,FA,0)),""))</f>
        <v>#REF!</v>
      </c>
      <c r="S162" s="7" t="e">
        <f>IF(OR($P162="",$P162="G",ISNA(MATCH($C162,FA,0))),"",IF(N(INDEX(F_D,MATCH($C162,FA,0)))&gt;0,INDEX(F_D,MATCH($C162,FA,0)),""))</f>
        <v>#REF!</v>
      </c>
      <c r="T162" s="7">
        <f>IF(ISNA(MATCH($C162,FA,0)),0,IF($J162="GIRIS",N(INDEX(F_INKOR,MATCH($C162,FA,0))),0))</f>
        <v>0</v>
      </c>
      <c r="U162" s="7" t="e">
        <f t="shared" si="43"/>
        <v>#REF!</v>
      </c>
      <c r="V162" s="7" t="e">
        <f t="shared" si="44"/>
        <v>#REF!</v>
      </c>
      <c r="W162" s="7" t="e">
        <f>IF(OR(NOT(ISNUMBER($P162)),$Q162=""),"",N(#REF!)*($Q162+IF(ISNA(MATCH($B162,TIP_AD,0)),0,N(INDEX(TIP_BOSLUK,MATCH($B162,TIP_AD,0))))))</f>
        <v>#REF!</v>
      </c>
      <c r="X162" s="7" t="e">
        <f>IF(ISNUMBER($P162),($Q162="")+($R162="")+($V162="")+IF(AND($U162="KONTAKTOR",NOT(ISNA(MATCH($B162,TIP_AD,0)))),IF(INDEX(TIP_BOSLUK,MATCH($B162,TIP_AD,0))&amp;""="",1,0),0),IF($P162="K",IF($S162="",1,0),0))</f>
        <v>#REF!</v>
      </c>
      <c r="Y162" s="7" t="e">
        <f>N(#REF!)*IF($E162="упак",MAX(1,IF(ISNA(MATCH($C162,FA,0)),1,N(INDEX(F_PAKET,MATCH($C162,FA,0))))),1)</f>
        <v>#REF!</v>
      </c>
      <c r="Z162" s="7" t="e">
        <f t="shared" si="39"/>
        <v>#REF!</v>
      </c>
      <c r="AA162" s="7" t="e">
        <f>IF(OR(ISNA(MATCH($C162,FA,0)),$J162="YEDEK",$J162="SARF"),0,N(#REF!)*N(INDEX(F_TEL,MATCH($C162,FA,0))))</f>
        <v>#REF!</v>
      </c>
      <c r="AB162" s="7" t="e">
        <f>IF(OR(ISNA(MATCH($C162,FA,0)),$J162="YEDEK",$J162="SARF"),0,N(#REF!)*N(INDEX(F_TELM,MATCH($C162,FA,0))))</f>
        <v>#REF!</v>
      </c>
      <c r="AC162" s="7" t="e">
        <f t="shared" si="40"/>
        <v>#REF!</v>
      </c>
      <c r="AD162" s="7" t="e">
        <f>IF(OR(ISNA(MATCH($C162,FA,0)),$J162&lt;&gt;"CIKIS"),0,N(INDEX(F_KK,MATCH($C162,FA,0))))</f>
        <v>#REF!</v>
      </c>
      <c r="AE162" s="7" t="e">
        <f>IF($AD162=0,0,N(#REF!)*N(INDEX(F_KLN,MATCH($C162,FA,0))))</f>
        <v>#REF!</v>
      </c>
      <c r="AF162" s="7" t="e">
        <f>IF($AD162=0,0,N(#REF!)*N(INDEX(F_KPE,MATCH($C162,FA,0))))</f>
        <v>#REF!</v>
      </c>
      <c r="AG162" s="7" t="e">
        <f>IF(ISNA(MATCH($C162,FA,0)),0,N(#REF!)*N(INDEX(F_MODUL,MATCH($C162,FA,0))))</f>
        <v>#REF!</v>
      </c>
      <c r="AH162" s="7" t="e">
        <f>N(#REF!)*N($I162)</f>
        <v>#REF!</v>
      </c>
      <c r="AI162" s="7" t="e">
        <f t="shared" si="41"/>
        <v>#REF!</v>
      </c>
      <c r="AJ162" s="7">
        <f t="shared" si="42"/>
        <v>0</v>
      </c>
    </row>
    <row r="163" spans="1:36" x14ac:dyDescent="0.25">
      <c r="A163" s="4" t="str">
        <f t="shared" si="36"/>
        <v>ВРУ-П (Ввод + Секция 1) (ВРУ1-15-30)(ВРУ1-41-00А)(260922 akram aulet)</v>
      </c>
      <c r="B163" s="4" t="s">
        <v>51</v>
      </c>
      <c r="C163" s="4" t="s">
        <v>426</v>
      </c>
      <c r="D163" s="4" t="s">
        <v>427</v>
      </c>
      <c r="E163" s="4" t="s">
        <v>114</v>
      </c>
      <c r="F163" s="4" t="s">
        <v>377</v>
      </c>
      <c r="G163" s="4" t="s">
        <v>38</v>
      </c>
      <c r="H163" s="5" t="e">
        <f>#REF!</f>
        <v>#REF!</v>
      </c>
      <c r="I163" s="6" t="e">
        <f t="shared" si="37"/>
        <v>#REF!</v>
      </c>
      <c r="J163" s="6" t="s">
        <v>52</v>
      </c>
      <c r="K163" s="6" t="s">
        <v>51</v>
      </c>
      <c r="L163" s="7" t="e">
        <f t="shared" si="38"/>
        <v>#REF!</v>
      </c>
      <c r="M163" s="7" t="s">
        <v>172</v>
      </c>
      <c r="N163" s="7" t="s">
        <v>56</v>
      </c>
      <c r="O163" s="7" t="str">
        <f>IF(OR($C163="",$C163="FID YOK"),"",IF(ISNUMBER(MATCH($C163,FA_ANA,0)),"",IF(COUNTIF($C$1:$C162,$C163)&gt;0,"",MAX($O$1:$O162)+1)))</f>
        <v/>
      </c>
      <c r="P163" s="8">
        <v>1</v>
      </c>
      <c r="Q163" s="7" t="e">
        <f>IF(OR($P163="",$P163="G",ISNA(MATCH($C163,FA,0))),"",IF(N(INDEX(F_G,MATCH($C163,FA,0)))&gt;0,INDEX(F_G,MATCH($C163,FA,0)),IF(N(INDEX(F_MODUL,MATCH($C163,FA,0)))&gt;0,INDEX(F_MODUL,MATCH($C163,FA,0))*MODUL_MM,"")))</f>
        <v>#REF!</v>
      </c>
      <c r="R163" s="7" t="e">
        <f>IF(OR($P163="",$P163="G",ISNA(MATCH($C163,FA,0))),"",IF(N(INDEX(F_Y,MATCH($C163,FA,0)))&gt;0,INDEX(F_Y,MATCH($C163,FA,0)),""))</f>
        <v>#REF!</v>
      </c>
      <c r="S163" s="7" t="e">
        <f>IF(OR($P163="",$P163="G",ISNA(MATCH($C163,FA,0))),"",IF(N(INDEX(F_D,MATCH($C163,FA,0)))&gt;0,INDEX(F_D,MATCH($C163,FA,0)),""))</f>
        <v>#REF!</v>
      </c>
      <c r="T163" s="7">
        <f>IF(ISNA(MATCH($C163,FA,0)),0,IF($J163="GIRIS",N(INDEX(F_INKOR,MATCH($C163,FA,0))),0))</f>
        <v>0</v>
      </c>
      <c r="U163" s="7" t="e">
        <f t="shared" si="43"/>
        <v>#REF!</v>
      </c>
      <c r="V163" s="7" t="e">
        <f t="shared" si="44"/>
        <v>#REF!</v>
      </c>
      <c r="W163" s="7" t="e">
        <f>IF(OR(NOT(ISNUMBER($P163)),$Q163=""),"",N(#REF!)*($Q163+IF(ISNA(MATCH($B163,TIP_AD,0)),0,N(INDEX(TIP_BOSLUK,MATCH($B163,TIP_AD,0))))))</f>
        <v>#REF!</v>
      </c>
      <c r="X163" s="7" t="e">
        <f>IF(ISNUMBER($P163),($Q163="")+($R163="")+($V163="")+IF(AND($U163="KONTAKTOR",NOT(ISNA(MATCH($B163,TIP_AD,0)))),IF(INDEX(TIP_BOSLUK,MATCH($B163,TIP_AD,0))&amp;""="",1,0),0),IF($P163="K",IF($S163="",1,0),0))</f>
        <v>#REF!</v>
      </c>
      <c r="Y163" s="7" t="e">
        <f>N(#REF!)*IF($E163="упак",MAX(1,IF(ISNA(MATCH($C163,FA,0)),1,N(INDEX(F_PAKET,MATCH($C163,FA,0))))),1)</f>
        <v>#REF!</v>
      </c>
      <c r="Z163" s="7" t="e">
        <f t="shared" si="39"/>
        <v>#REF!</v>
      </c>
      <c r="AA163" s="7" t="e">
        <f>IF(OR(ISNA(MATCH($C163,FA,0)),$J163="YEDEK",$J163="SARF"),0,N(#REF!)*N(INDEX(F_TEL,MATCH($C163,FA,0))))</f>
        <v>#REF!</v>
      </c>
      <c r="AB163" s="7" t="e">
        <f>IF(OR(ISNA(MATCH($C163,FA,0)),$J163="YEDEK",$J163="SARF"),0,N(#REF!)*N(INDEX(F_TELM,MATCH($C163,FA,0))))</f>
        <v>#REF!</v>
      </c>
      <c r="AC163" s="7" t="e">
        <f t="shared" si="40"/>
        <v>#REF!</v>
      </c>
      <c r="AD163" s="7" t="e">
        <f>IF(OR(ISNA(MATCH($C163,FA,0)),$J163&lt;&gt;"CIKIS"),0,N(INDEX(F_KK,MATCH($C163,FA,0))))</f>
        <v>#REF!</v>
      </c>
      <c r="AE163" s="7" t="e">
        <f>IF($AD163=0,0,N(#REF!)*N(INDEX(F_KLN,MATCH($C163,FA,0))))</f>
        <v>#REF!</v>
      </c>
      <c r="AF163" s="7" t="e">
        <f>IF($AD163=0,0,N(#REF!)*N(INDEX(F_KPE,MATCH($C163,FA,0))))</f>
        <v>#REF!</v>
      </c>
      <c r="AG163" s="7" t="e">
        <f>IF(ISNA(MATCH($C163,FA,0)),0,N(#REF!)*N(INDEX(F_MODUL,MATCH($C163,FA,0))))</f>
        <v>#REF!</v>
      </c>
      <c r="AH163" s="7" t="e">
        <f>N(#REF!)*N($I163)</f>
        <v>#REF!</v>
      </c>
      <c r="AI163" s="7" t="e">
        <f t="shared" si="41"/>
        <v>#REF!</v>
      </c>
      <c r="AJ163" s="7">
        <f t="shared" si="42"/>
        <v>0</v>
      </c>
    </row>
    <row r="164" spans="1:36" x14ac:dyDescent="0.25">
      <c r="A164" s="4" t="str">
        <f t="shared" si="36"/>
        <v>ВРУ-П (Ввод + Секция 1) (ВРУ1-15-30)(ВРУ1-41-00А)(260922 akram aulet)</v>
      </c>
      <c r="B164" s="4" t="s">
        <v>173</v>
      </c>
      <c r="C164" s="4" t="s">
        <v>461</v>
      </c>
      <c r="D164" s="4" t="s">
        <v>462</v>
      </c>
      <c r="E164" s="4" t="s">
        <v>114</v>
      </c>
      <c r="F164" s="4" t="s">
        <v>377</v>
      </c>
      <c r="G164" s="4" t="s">
        <v>38</v>
      </c>
      <c r="H164" s="5" t="e">
        <f>#REF!</f>
        <v>#REF!</v>
      </c>
      <c r="I164" s="6" t="e">
        <f t="shared" si="37"/>
        <v>#REF!</v>
      </c>
      <c r="J164" s="6" t="s">
        <v>66</v>
      </c>
      <c r="K164" s="6" t="s">
        <v>173</v>
      </c>
      <c r="L164" s="7" t="e">
        <f t="shared" si="38"/>
        <v>#REF!</v>
      </c>
      <c r="M164" s="7" t="s">
        <v>174</v>
      </c>
      <c r="N164" s="7" t="s">
        <v>175</v>
      </c>
      <c r="O164" s="7">
        <f>IF(OR($C164="",$C164="FID YOK"),"",IF(ISNUMBER(MATCH($C164,FA_ANA,0)),"",IF(COUNTIF($C$1:$C163,$C164)&gt;0,"",MAX($O$1:$O163)+1)))</f>
        <v>54</v>
      </c>
      <c r="P164" s="8">
        <v>5</v>
      </c>
      <c r="Q164" s="7" t="e">
        <f>IF(OR($P164="",$P164="G",ISNA(MATCH($C164,FA,0))),"",IF(N(INDEX(F_G,MATCH($C164,FA,0)))&gt;0,INDEX(F_G,MATCH($C164,FA,0)),IF(N(INDEX(F_MODUL,MATCH($C164,FA,0)))&gt;0,INDEX(F_MODUL,MATCH($C164,FA,0))*MODUL_MM,"")))</f>
        <v>#REF!</v>
      </c>
      <c r="R164" s="7" t="e">
        <f>IF(OR($P164="",$P164="G",ISNA(MATCH($C164,FA,0))),"",IF(N(INDEX(F_Y,MATCH($C164,FA,0)))&gt;0,INDEX(F_Y,MATCH($C164,FA,0)),""))</f>
        <v>#REF!</v>
      </c>
      <c r="S164" s="7" t="e">
        <f>IF(OR($P164="",$P164="G",ISNA(MATCH($C164,FA,0))),"",IF(N(INDEX(F_D,MATCH($C164,FA,0)))&gt;0,INDEX(F_D,MATCH($C164,FA,0)),""))</f>
        <v>#REF!</v>
      </c>
      <c r="T164" s="7">
        <f>IF(ISNA(MATCH($C164,FA,0)),0,IF($J164="GIRIS",N(INDEX(F_INKOR,MATCH($C164,FA,0))),0))</f>
        <v>0</v>
      </c>
      <c r="U164" s="7" t="e">
        <f t="shared" si="43"/>
        <v>#REF!</v>
      </c>
      <c r="V164" s="7" t="e">
        <f t="shared" si="44"/>
        <v>#REF!</v>
      </c>
      <c r="W164" s="7" t="e">
        <f>IF(OR(NOT(ISNUMBER($P164)),$Q164=""),"",N(#REF!)*($Q164+IF(ISNA(MATCH($B164,TIP_AD,0)),0,N(INDEX(TIP_BOSLUK,MATCH($B164,TIP_AD,0))))))</f>
        <v>#REF!</v>
      </c>
      <c r="X164" s="7" t="e">
        <f>IF(ISNUMBER($P164),($Q164="")+($R164="")+($V164="")+IF(AND($U164="KONTAKTOR",NOT(ISNA(MATCH($B164,TIP_AD,0)))),IF(INDEX(TIP_BOSLUK,MATCH($B164,TIP_AD,0))&amp;""="",1,0),0),IF($P164="K",IF($S164="",1,0),0))</f>
        <v>#REF!</v>
      </c>
      <c r="Y164" s="7" t="e">
        <f>N(#REF!)*IF($E164="упак",MAX(1,IF(ISNA(MATCH($C164,FA,0)),1,N(INDEX(F_PAKET,MATCH($C164,FA,0))))),1)</f>
        <v>#REF!</v>
      </c>
      <c r="Z164" s="7" t="e">
        <f t="shared" si="39"/>
        <v>#REF!</v>
      </c>
      <c r="AA164" s="7" t="e">
        <f>IF(OR(ISNA(MATCH($C164,FA,0)),$J164="YEDEK",$J164="SARF"),0,N(#REF!)*N(INDEX(F_TEL,MATCH($C164,FA,0))))</f>
        <v>#REF!</v>
      </c>
      <c r="AB164" s="7" t="e">
        <f>IF(OR(ISNA(MATCH($C164,FA,0)),$J164="YEDEK",$J164="SARF"),0,N(#REF!)*N(INDEX(F_TELM,MATCH($C164,FA,0))))</f>
        <v>#REF!</v>
      </c>
      <c r="AC164" s="7" t="e">
        <f t="shared" si="40"/>
        <v>#REF!</v>
      </c>
      <c r="AD164" s="7">
        <f>IF(OR(ISNA(MATCH($C164,FA,0)),$J164&lt;&gt;"CIKIS"),0,N(INDEX(F_KK,MATCH($C164,FA,0))))</f>
        <v>0</v>
      </c>
      <c r="AE164" s="7">
        <f>IF($AD164=0,0,N(#REF!)*N(INDEX(F_KLN,MATCH($C164,FA,0))))</f>
        <v>0</v>
      </c>
      <c r="AF164" s="7">
        <f>IF($AD164=0,0,N(#REF!)*N(INDEX(F_KPE,MATCH($C164,FA,0))))</f>
        <v>0</v>
      </c>
      <c r="AG164" s="7" t="e">
        <f>IF(ISNA(MATCH($C164,FA,0)),0,N(#REF!)*N(INDEX(F_MODUL,MATCH($C164,FA,0))))</f>
        <v>#REF!</v>
      </c>
      <c r="AH164" s="7" t="e">
        <f>N(#REF!)*N($I164)</f>
        <v>#REF!</v>
      </c>
      <c r="AI164" s="7" t="e">
        <f t="shared" si="41"/>
        <v>#REF!</v>
      </c>
      <c r="AJ164" s="7">
        <f t="shared" si="42"/>
        <v>0</v>
      </c>
    </row>
    <row r="165" spans="1:36" x14ac:dyDescent="0.25">
      <c r="A165" s="4" t="str">
        <f t="shared" si="36"/>
        <v>ВРУ-П (Ввод + Секция 1) (ВРУ1-15-30)(ВРУ1-41-00А)(260922 akram aulet)</v>
      </c>
      <c r="B165" s="4" t="s">
        <v>61</v>
      </c>
      <c r="C165" s="4" t="s">
        <v>606</v>
      </c>
      <c r="D165" s="4" t="s">
        <v>607</v>
      </c>
      <c r="E165" s="4" t="s">
        <v>114</v>
      </c>
      <c r="F165" s="4" t="s">
        <v>479</v>
      </c>
      <c r="G165" s="4" t="s">
        <v>38</v>
      </c>
      <c r="H165" s="5" t="e">
        <f>#REF!</f>
        <v>#REF!</v>
      </c>
      <c r="I165" s="6" t="e">
        <f t="shared" si="37"/>
        <v>#REF!</v>
      </c>
      <c r="J165" s="6" t="s">
        <v>62</v>
      </c>
      <c r="K165" s="6" t="s">
        <v>61</v>
      </c>
      <c r="L165" s="7" t="e">
        <f t="shared" si="38"/>
        <v>#REF!</v>
      </c>
      <c r="N165" s="7" t="s">
        <v>64</v>
      </c>
      <c r="O165" s="7" t="str">
        <f>IF(OR($C165="",$C165="FID YOK"),"",IF(ISNUMBER(MATCH($C165,FA_ANA,0)),"",IF(COUNTIF($C$1:$C164,$C165)&gt;0,"",MAX($O$1:$O164)+1)))</f>
        <v/>
      </c>
      <c r="P165" s="8">
        <v>3</v>
      </c>
      <c r="Q165" s="7" t="e">
        <f>IF(OR($P165="",$P165="G",ISNA(MATCH($C165,FA,0))),"",IF(N(INDEX(F_G,MATCH($C165,FA,0)))&gt;0,INDEX(F_G,MATCH($C165,FA,0)),IF(N(INDEX(F_MODUL,MATCH($C165,FA,0)))&gt;0,INDEX(F_MODUL,MATCH($C165,FA,0))*MODUL_MM,"")))</f>
        <v>#REF!</v>
      </c>
      <c r="R165" s="7" t="e">
        <f>IF(OR($P165="",$P165="G",ISNA(MATCH($C165,FA,0))),"",IF(N(INDEX(F_Y,MATCH($C165,FA,0)))&gt;0,INDEX(F_Y,MATCH($C165,FA,0)),""))</f>
        <v>#REF!</v>
      </c>
      <c r="S165" s="7" t="e">
        <f>IF(OR($P165="",$P165="G",ISNA(MATCH($C165,FA,0))),"",IF(N(INDEX(F_D,MATCH($C165,FA,0)))&gt;0,INDEX(F_D,MATCH($C165,FA,0)),""))</f>
        <v>#REF!</v>
      </c>
      <c r="T165" s="7">
        <f>IF(ISNA(MATCH($C165,FA,0)),0,IF($J165="GIRIS",N(INDEX(F_INKOR,MATCH($C165,FA,0))),0))</f>
        <v>0</v>
      </c>
      <c r="U165" s="7" t="e">
        <f t="shared" si="43"/>
        <v>#REF!</v>
      </c>
      <c r="V165" s="7" t="e">
        <f t="shared" si="44"/>
        <v>#REF!</v>
      </c>
      <c r="W165" s="7" t="e">
        <f>IF(OR(NOT(ISNUMBER($P165)),$Q165=""),"",N(#REF!)*($Q165+IF(ISNA(MATCH($B165,TIP_AD,0)),0,N(INDEX(TIP_BOSLUK,MATCH($B165,TIP_AD,0))))))</f>
        <v>#REF!</v>
      </c>
      <c r="X165" s="7" t="e">
        <f>IF(ISNUMBER($P165),($Q165="")+($R165="")+($V165="")+IF(AND($U165="KONTAKTOR",NOT(ISNA(MATCH($B165,TIP_AD,0)))),IF(INDEX(TIP_BOSLUK,MATCH($B165,TIP_AD,0))&amp;""="",1,0),0),IF($P165="K",IF($S165="",1,0),0))</f>
        <v>#REF!</v>
      </c>
      <c r="Y165" s="7" t="e">
        <f>N(#REF!)*IF($E165="упак",MAX(1,IF(ISNA(MATCH($C165,FA,0)),1,N(INDEX(F_PAKET,MATCH($C165,FA,0))))),1)</f>
        <v>#REF!</v>
      </c>
      <c r="Z165" s="7" t="e">
        <f t="shared" si="39"/>
        <v>#REF!</v>
      </c>
      <c r="AA165" s="7" t="e">
        <f>IF(OR(ISNA(MATCH($C165,FA,0)),$J165="YEDEK",$J165="SARF"),0,N(#REF!)*N(INDEX(F_TEL,MATCH($C165,FA,0))))</f>
        <v>#REF!</v>
      </c>
      <c r="AB165" s="7" t="e">
        <f>IF(OR(ISNA(MATCH($C165,FA,0)),$J165="YEDEK",$J165="SARF"),0,N(#REF!)*N(INDEX(F_TELM,MATCH($C165,FA,0))))</f>
        <v>#REF!</v>
      </c>
      <c r="AC165" s="7" t="e">
        <f t="shared" si="40"/>
        <v>#REF!</v>
      </c>
      <c r="AD165" s="7">
        <f>IF(OR(ISNA(MATCH($C165,FA,0)),$J165&lt;&gt;"CIKIS"),0,N(INDEX(F_KK,MATCH($C165,FA,0))))</f>
        <v>0</v>
      </c>
      <c r="AE165" s="7">
        <f>IF($AD165=0,0,N(#REF!)*N(INDEX(F_KLN,MATCH($C165,FA,0))))</f>
        <v>0</v>
      </c>
      <c r="AF165" s="7">
        <f>IF($AD165=0,0,N(#REF!)*N(INDEX(F_KPE,MATCH($C165,FA,0))))</f>
        <v>0</v>
      </c>
      <c r="AG165" s="7" t="e">
        <f>IF(ISNA(MATCH($C165,FA,0)),0,N(#REF!)*N(INDEX(F_MODUL,MATCH($C165,FA,0))))</f>
        <v>#REF!</v>
      </c>
      <c r="AH165" s="7" t="e">
        <f>N(#REF!)*N($I165)</f>
        <v>#REF!</v>
      </c>
      <c r="AI165" s="7" t="e">
        <f t="shared" si="41"/>
        <v>#REF!</v>
      </c>
      <c r="AJ165" s="7">
        <f t="shared" si="42"/>
        <v>0</v>
      </c>
    </row>
    <row r="166" spans="1:36" x14ac:dyDescent="0.25">
      <c r="A166" s="4" t="str">
        <f t="shared" si="36"/>
        <v>ВРУ-П (Ввод + Секция 1) (ВРУ1-15-30)(ВРУ1-41-00А)(260922 akram aulet)</v>
      </c>
      <c r="B166" s="4" t="s">
        <v>65</v>
      </c>
      <c r="C166" s="4" t="s">
        <v>392</v>
      </c>
      <c r="D166" s="4" t="s">
        <v>393</v>
      </c>
      <c r="E166" s="4" t="s">
        <v>114</v>
      </c>
      <c r="F166" s="4" t="s">
        <v>377</v>
      </c>
      <c r="G166" s="4" t="s">
        <v>38</v>
      </c>
      <c r="H166" s="5" t="e">
        <f>#REF!</f>
        <v>#REF!</v>
      </c>
      <c r="I166" s="6" t="e">
        <f t="shared" si="37"/>
        <v>#REF!</v>
      </c>
      <c r="J166" s="6" t="s">
        <v>66</v>
      </c>
      <c r="K166" s="6" t="s">
        <v>65</v>
      </c>
      <c r="L166" s="7" t="e">
        <f t="shared" si="38"/>
        <v>#REF!</v>
      </c>
      <c r="M166" s="7" t="s">
        <v>67</v>
      </c>
      <c r="N166" s="7" t="s">
        <v>68</v>
      </c>
      <c r="O166" s="7" t="str">
        <f>IF(OR($C166="",$C166="FID YOK"),"",IF(ISNUMBER(MATCH($C166,FA_ANA,0)),"",IF(COUNTIF($C$1:$C165,$C166)&gt;0,"",MAX($O$1:$O165)+1)))</f>
        <v/>
      </c>
      <c r="P166" s="8">
        <v>4</v>
      </c>
      <c r="Q166" s="7" t="e">
        <f>IF(OR($P166="",$P166="G",ISNA(MATCH($C166,FA,0))),"",IF(N(INDEX(F_G,MATCH($C166,FA,0)))&gt;0,INDEX(F_G,MATCH($C166,FA,0)),IF(N(INDEX(F_MODUL,MATCH($C166,FA,0)))&gt;0,INDEX(F_MODUL,MATCH($C166,FA,0))*MODUL_MM,"")))</f>
        <v>#REF!</v>
      </c>
      <c r="R166" s="7" t="e">
        <f>IF(OR($P166="",$P166="G",ISNA(MATCH($C166,FA,0))),"",IF(N(INDEX(F_Y,MATCH($C166,FA,0)))&gt;0,INDEX(F_Y,MATCH($C166,FA,0)),""))</f>
        <v>#REF!</v>
      </c>
      <c r="S166" s="7" t="e">
        <f>IF(OR($P166="",$P166="G",ISNA(MATCH($C166,FA,0))),"",IF(N(INDEX(F_D,MATCH($C166,FA,0)))&gt;0,INDEX(F_D,MATCH($C166,FA,0)),""))</f>
        <v>#REF!</v>
      </c>
      <c r="T166" s="7">
        <f>IF(ISNA(MATCH($C166,FA,0)),0,IF($J166="GIRIS",N(INDEX(F_INKOR,MATCH($C166,FA,0))),0))</f>
        <v>0</v>
      </c>
      <c r="U166" s="7" t="e">
        <f t="shared" si="43"/>
        <v>#REF!</v>
      </c>
      <c r="V166" s="7" t="e">
        <f t="shared" si="44"/>
        <v>#REF!</v>
      </c>
      <c r="W166" s="7" t="e">
        <f>IF(OR(NOT(ISNUMBER($P166)),$Q166=""),"",N(#REF!)*($Q166+IF(ISNA(MATCH($B166,TIP_AD,0)),0,N(INDEX(TIP_BOSLUK,MATCH($B166,TIP_AD,0))))))</f>
        <v>#REF!</v>
      </c>
      <c r="X166" s="7" t="e">
        <f>IF(ISNUMBER($P166),($Q166="")+($R166="")+($V166="")+IF(AND($U166="KONTAKTOR",NOT(ISNA(MATCH($B166,TIP_AD,0)))),IF(INDEX(TIP_BOSLUK,MATCH($B166,TIP_AD,0))&amp;""="",1,0),0),IF($P166="K",IF($S166="",1,0),0))</f>
        <v>#REF!</v>
      </c>
      <c r="Y166" s="7" t="e">
        <f>N(#REF!)*IF($E166="упак",MAX(1,IF(ISNA(MATCH($C166,FA,0)),1,N(INDEX(F_PAKET,MATCH($C166,FA,0))))),1)</f>
        <v>#REF!</v>
      </c>
      <c r="Z166" s="7" t="e">
        <f t="shared" si="39"/>
        <v>#REF!</v>
      </c>
      <c r="AA166" s="7" t="e">
        <f>IF(OR(ISNA(MATCH($C166,FA,0)),$J166="YEDEK",$J166="SARF"),0,N(#REF!)*N(INDEX(F_TEL,MATCH($C166,FA,0))))</f>
        <v>#REF!</v>
      </c>
      <c r="AB166" s="7" t="e">
        <f>IF(OR(ISNA(MATCH($C166,FA,0)),$J166="YEDEK",$J166="SARF"),0,N(#REF!)*N(INDEX(F_TELM,MATCH($C166,FA,0))))</f>
        <v>#REF!</v>
      </c>
      <c r="AC166" s="7" t="e">
        <f t="shared" si="40"/>
        <v>#REF!</v>
      </c>
      <c r="AD166" s="7">
        <f>IF(OR(ISNA(MATCH($C166,FA,0)),$J166&lt;&gt;"CIKIS"),0,N(INDEX(F_KK,MATCH($C166,FA,0))))</f>
        <v>0</v>
      </c>
      <c r="AE166" s="7">
        <f>IF($AD166=0,0,N(#REF!)*N(INDEX(F_KLN,MATCH($C166,FA,0))))</f>
        <v>0</v>
      </c>
      <c r="AF166" s="7">
        <f>IF($AD166=0,0,N(#REF!)*N(INDEX(F_KPE,MATCH($C166,FA,0))))</f>
        <v>0</v>
      </c>
      <c r="AG166" s="7" t="e">
        <f>IF(ISNA(MATCH($C166,FA,0)),0,N(#REF!)*N(INDEX(F_MODUL,MATCH($C166,FA,0))))</f>
        <v>#REF!</v>
      </c>
      <c r="AH166" s="7" t="e">
        <f>N(#REF!)*N($I166)</f>
        <v>#REF!</v>
      </c>
      <c r="AI166" s="7" t="e">
        <f t="shared" si="41"/>
        <v>#REF!</v>
      </c>
      <c r="AJ166" s="7">
        <f t="shared" si="42"/>
        <v>0</v>
      </c>
    </row>
    <row r="167" spans="1:36" x14ac:dyDescent="0.25">
      <c r="A167" s="4" t="str">
        <f t="shared" si="36"/>
        <v>ВРУ-П (Ввод + Секция 1) (ВРУ1-15-30)(ВРУ1-41-00А)(260922 akram aulet)</v>
      </c>
      <c r="B167" s="4" t="s">
        <v>65</v>
      </c>
      <c r="C167" s="4" t="s">
        <v>392</v>
      </c>
      <c r="D167" s="4" t="s">
        <v>393</v>
      </c>
      <c r="E167" s="4" t="s">
        <v>114</v>
      </c>
      <c r="F167" s="4" t="s">
        <v>377</v>
      </c>
      <c r="G167" s="4" t="s">
        <v>38</v>
      </c>
      <c r="H167" s="5" t="e">
        <f>#REF!</f>
        <v>#REF!</v>
      </c>
      <c r="I167" s="6" t="e">
        <f t="shared" si="37"/>
        <v>#REF!</v>
      </c>
      <c r="J167" s="6" t="s">
        <v>52</v>
      </c>
      <c r="K167" s="6" t="s">
        <v>65</v>
      </c>
      <c r="L167" s="7" t="e">
        <f t="shared" si="38"/>
        <v>#REF!</v>
      </c>
      <c r="M167" s="7" t="s">
        <v>176</v>
      </c>
      <c r="N167" s="7" t="s">
        <v>68</v>
      </c>
      <c r="O167" s="7" t="str">
        <f>IF(OR($C167="",$C167="FID YOK"),"",IF(ISNUMBER(MATCH($C167,FA_ANA,0)),"",IF(COUNTIF($C$1:$C166,$C167)&gt;0,"",MAX($O$1:$O166)+1)))</f>
        <v/>
      </c>
      <c r="P167" s="8">
        <v>5</v>
      </c>
      <c r="Q167" s="7" t="e">
        <f>IF(OR($P167="",$P167="G",ISNA(MATCH($C167,FA,0))),"",IF(N(INDEX(F_G,MATCH($C167,FA,0)))&gt;0,INDEX(F_G,MATCH($C167,FA,0)),IF(N(INDEX(F_MODUL,MATCH($C167,FA,0)))&gt;0,INDEX(F_MODUL,MATCH($C167,FA,0))*MODUL_MM,"")))</f>
        <v>#REF!</v>
      </c>
      <c r="R167" s="7" t="e">
        <f>IF(OR($P167="",$P167="G",ISNA(MATCH($C167,FA,0))),"",IF(N(INDEX(F_Y,MATCH($C167,FA,0)))&gt;0,INDEX(F_Y,MATCH($C167,FA,0)),""))</f>
        <v>#REF!</v>
      </c>
      <c r="S167" s="7" t="e">
        <f>IF(OR($P167="",$P167="G",ISNA(MATCH($C167,FA,0))),"",IF(N(INDEX(F_D,MATCH($C167,FA,0)))&gt;0,INDEX(F_D,MATCH($C167,FA,0)),""))</f>
        <v>#REF!</v>
      </c>
      <c r="T167" s="7">
        <f>IF(ISNA(MATCH($C167,FA,0)),0,IF($J167="GIRIS",N(INDEX(F_INKOR,MATCH($C167,FA,0))),0))</f>
        <v>0</v>
      </c>
      <c r="U167" s="7" t="e">
        <f t="shared" si="43"/>
        <v>#REF!</v>
      </c>
      <c r="V167" s="7" t="e">
        <f t="shared" si="44"/>
        <v>#REF!</v>
      </c>
      <c r="W167" s="7" t="e">
        <f>IF(OR(NOT(ISNUMBER($P167)),$Q167=""),"",N(#REF!)*($Q167+IF(ISNA(MATCH($B167,TIP_AD,0)),0,N(INDEX(TIP_BOSLUK,MATCH($B167,TIP_AD,0))))))</f>
        <v>#REF!</v>
      </c>
      <c r="X167" s="7" t="e">
        <f>IF(ISNUMBER($P167),($Q167="")+($R167="")+($V167="")+IF(AND($U167="KONTAKTOR",NOT(ISNA(MATCH($B167,TIP_AD,0)))),IF(INDEX(TIP_BOSLUK,MATCH($B167,TIP_AD,0))&amp;""="",1,0),0),IF($P167="K",IF($S167="",1,0),0))</f>
        <v>#REF!</v>
      </c>
      <c r="Y167" s="7" t="e">
        <f>N(#REF!)*IF($E167="упак",MAX(1,IF(ISNA(MATCH($C167,FA,0)),1,N(INDEX(F_PAKET,MATCH($C167,FA,0))))),1)</f>
        <v>#REF!</v>
      </c>
      <c r="Z167" s="7" t="e">
        <f t="shared" si="39"/>
        <v>#REF!</v>
      </c>
      <c r="AA167" s="7" t="e">
        <f>IF(OR(ISNA(MATCH($C167,FA,0)),$J167="YEDEK",$J167="SARF"),0,N(#REF!)*N(INDEX(F_TEL,MATCH($C167,FA,0))))</f>
        <v>#REF!</v>
      </c>
      <c r="AB167" s="7" t="e">
        <f>IF(OR(ISNA(MATCH($C167,FA,0)),$J167="YEDEK",$J167="SARF"),0,N(#REF!)*N(INDEX(F_TELM,MATCH($C167,FA,0))))</f>
        <v>#REF!</v>
      </c>
      <c r="AC167" s="7" t="e">
        <f t="shared" si="40"/>
        <v>#REF!</v>
      </c>
      <c r="AD167" s="7" t="e">
        <f>IF(OR(ISNA(MATCH($C167,FA,0)),$J167&lt;&gt;"CIKIS"),0,N(INDEX(F_KK,MATCH($C167,FA,0))))</f>
        <v>#REF!</v>
      </c>
      <c r="AE167" s="7" t="e">
        <f>IF($AD167=0,0,N(#REF!)*N(INDEX(F_KLN,MATCH($C167,FA,0))))</f>
        <v>#REF!</v>
      </c>
      <c r="AF167" s="7" t="e">
        <f>IF($AD167=0,0,N(#REF!)*N(INDEX(F_KPE,MATCH($C167,FA,0))))</f>
        <v>#REF!</v>
      </c>
      <c r="AG167" s="7" t="e">
        <f>IF(ISNA(MATCH($C167,FA,0)),0,N(#REF!)*N(INDEX(F_MODUL,MATCH($C167,FA,0))))</f>
        <v>#REF!</v>
      </c>
      <c r="AH167" s="7" t="e">
        <f>N(#REF!)*N($I167)</f>
        <v>#REF!</v>
      </c>
      <c r="AI167" s="7" t="e">
        <f t="shared" si="41"/>
        <v>#REF!</v>
      </c>
      <c r="AJ167" s="7">
        <f t="shared" si="42"/>
        <v>0</v>
      </c>
    </row>
    <row r="168" spans="1:36" x14ac:dyDescent="0.25">
      <c r="A168" s="4" t="str">
        <f t="shared" si="36"/>
        <v>ВРУ-П (Ввод + Секция 1) (ВРУ1-15-30)(ВРУ1-41-00А)(260922 akram aulet)</v>
      </c>
      <c r="B168" s="4" t="s">
        <v>72</v>
      </c>
      <c r="C168" s="4" t="s">
        <v>463</v>
      </c>
      <c r="D168" s="4" t="s">
        <v>464</v>
      </c>
      <c r="E168" s="4" t="s">
        <v>114</v>
      </c>
      <c r="F168" s="4" t="s">
        <v>377</v>
      </c>
      <c r="G168" s="4" t="s">
        <v>38</v>
      </c>
      <c r="H168" s="5" t="e">
        <f>#REF!</f>
        <v>#REF!</v>
      </c>
      <c r="I168" s="6" t="e">
        <f t="shared" si="37"/>
        <v>#REF!</v>
      </c>
      <c r="J168" s="6" t="s">
        <v>66</v>
      </c>
      <c r="K168" s="6" t="s">
        <v>65</v>
      </c>
      <c r="L168" s="7" t="e">
        <f t="shared" si="38"/>
        <v>#REF!</v>
      </c>
      <c r="N168" s="7" t="s">
        <v>74</v>
      </c>
      <c r="O168" s="7" t="str">
        <f>IF(OR($C168="",$C168="FID YOK"),"",IF(ISNUMBER(MATCH($C168,FA_ANA,0)),"",IF(COUNTIF($C$1:$C167,$C168)&gt;0,"",MAX($O$1:$O167)+1)))</f>
        <v/>
      </c>
      <c r="P168" s="8">
        <v>5</v>
      </c>
      <c r="Q168" s="7" t="e">
        <f>IF(OR($P168="",$P168="G",ISNA(MATCH($C168,FA,0))),"",IF(N(INDEX(F_G,MATCH($C168,FA,0)))&gt;0,INDEX(F_G,MATCH($C168,FA,0)),IF(N(INDEX(F_MODUL,MATCH($C168,FA,0)))&gt;0,INDEX(F_MODUL,MATCH($C168,FA,0))*MODUL_MM,"")))</f>
        <v>#REF!</v>
      </c>
      <c r="R168" s="7" t="e">
        <f>IF(OR($P168="",$P168="G",ISNA(MATCH($C168,FA,0))),"",IF(N(INDEX(F_Y,MATCH($C168,FA,0)))&gt;0,INDEX(F_Y,MATCH($C168,FA,0)),""))</f>
        <v>#REF!</v>
      </c>
      <c r="S168" s="7" t="e">
        <f>IF(OR($P168="",$P168="G",ISNA(MATCH($C168,FA,0))),"",IF(N(INDEX(F_D,MATCH($C168,FA,0)))&gt;0,INDEX(F_D,MATCH($C168,FA,0)),""))</f>
        <v>#REF!</v>
      </c>
      <c r="T168" s="7">
        <f>IF(ISNA(MATCH($C168,FA,0)),0,IF($J168="GIRIS",N(INDEX(F_INKOR,MATCH($C168,FA,0))),0))</f>
        <v>0</v>
      </c>
      <c r="U168" s="7" t="e">
        <f t="shared" si="43"/>
        <v>#REF!</v>
      </c>
      <c r="V168" s="7" t="e">
        <f t="shared" si="44"/>
        <v>#REF!</v>
      </c>
      <c r="W168" s="7" t="e">
        <f>IF(OR(NOT(ISNUMBER($P168)),$Q168=""),"",N(#REF!)*($Q168+IF(ISNA(MATCH($B168,TIP_AD,0)),0,N(INDEX(TIP_BOSLUK,MATCH($B168,TIP_AD,0))))))</f>
        <v>#REF!</v>
      </c>
      <c r="X168" s="7" t="e">
        <f>IF(ISNUMBER($P168),($Q168="")+($R168="")+($V168="")+IF(AND($U168="KONTAKTOR",NOT(ISNA(MATCH($B168,TIP_AD,0)))),IF(INDEX(TIP_BOSLUK,MATCH($B168,TIP_AD,0))&amp;""="",1,0),0),IF($P168="K",IF($S168="",1,0),0))</f>
        <v>#REF!</v>
      </c>
      <c r="Y168" s="7" t="e">
        <f>N(#REF!)*IF($E168="упак",MAX(1,IF(ISNA(MATCH($C168,FA,0)),1,N(INDEX(F_PAKET,MATCH($C168,FA,0))))),1)</f>
        <v>#REF!</v>
      </c>
      <c r="Z168" s="7" t="e">
        <f t="shared" si="39"/>
        <v>#REF!</v>
      </c>
      <c r="AA168" s="7" t="e">
        <f>IF(OR(ISNA(MATCH($C168,FA,0)),$J168="YEDEK",$J168="SARF"),0,N(#REF!)*N(INDEX(F_TEL,MATCH($C168,FA,0))))</f>
        <v>#REF!</v>
      </c>
      <c r="AB168" s="7" t="e">
        <f>IF(OR(ISNA(MATCH($C168,FA,0)),$J168="YEDEK",$J168="SARF"),0,N(#REF!)*N(INDEX(F_TELM,MATCH($C168,FA,0))))</f>
        <v>#REF!</v>
      </c>
      <c r="AC168" s="7" t="e">
        <f t="shared" si="40"/>
        <v>#REF!</v>
      </c>
      <c r="AD168" s="7">
        <f>IF(OR(ISNA(MATCH($C168,FA,0)),$J168&lt;&gt;"CIKIS"),0,N(INDEX(F_KK,MATCH($C168,FA,0))))</f>
        <v>0</v>
      </c>
      <c r="AE168" s="7">
        <f>IF($AD168=0,0,N(#REF!)*N(INDEX(F_KLN,MATCH($C168,FA,0))))</f>
        <v>0</v>
      </c>
      <c r="AF168" s="7">
        <f>IF($AD168=0,0,N(#REF!)*N(INDEX(F_KPE,MATCH($C168,FA,0))))</f>
        <v>0</v>
      </c>
      <c r="AG168" s="7" t="e">
        <f>IF(ISNA(MATCH($C168,FA,0)),0,N(#REF!)*N(INDEX(F_MODUL,MATCH($C168,FA,0))))</f>
        <v>#REF!</v>
      </c>
      <c r="AH168" s="7" t="e">
        <f>N(#REF!)*N($I168)</f>
        <v>#REF!</v>
      </c>
      <c r="AI168" s="7" t="e">
        <f t="shared" si="41"/>
        <v>#REF!</v>
      </c>
      <c r="AJ168" s="7">
        <f t="shared" si="42"/>
        <v>0</v>
      </c>
    </row>
    <row r="169" spans="1:36" x14ac:dyDescent="0.25">
      <c r="A169" s="4" t="str">
        <f t="shared" si="36"/>
        <v>ВРУ-П (Ввод + Секция 1) (ВРУ1-15-30)(ВРУ1-41-00А)(260922 akram aulet)</v>
      </c>
      <c r="B169" s="4" t="s">
        <v>75</v>
      </c>
      <c r="C169" s="4" t="s">
        <v>465</v>
      </c>
      <c r="D169" s="4" t="s">
        <v>466</v>
      </c>
      <c r="E169" s="4" t="s">
        <v>114</v>
      </c>
      <c r="F169" s="4" t="s">
        <v>377</v>
      </c>
      <c r="G169" s="4" t="s">
        <v>38</v>
      </c>
      <c r="H169" s="5" t="e">
        <f>#REF!</f>
        <v>#REF!</v>
      </c>
      <c r="I169" s="6" t="e">
        <f t="shared" si="37"/>
        <v>#REF!</v>
      </c>
      <c r="J169" s="6" t="s">
        <v>66</v>
      </c>
      <c r="K169" s="6" t="s">
        <v>75</v>
      </c>
      <c r="L169" s="7" t="e">
        <f t="shared" si="38"/>
        <v>#REF!</v>
      </c>
      <c r="M169" s="7" t="s">
        <v>76</v>
      </c>
      <c r="N169" s="7" t="s">
        <v>77</v>
      </c>
      <c r="O169" s="7" t="str">
        <f>IF(OR($C169="",$C169="FID YOK"),"",IF(ISNUMBER(MATCH($C169,FA_ANA,0)),"",IF(COUNTIF($C$1:$C168,$C169)&gt;0,"",MAX($O$1:$O168)+1)))</f>
        <v/>
      </c>
      <c r="P169" s="8" t="s">
        <v>78</v>
      </c>
      <c r="Q169" s="7" t="e">
        <f>IF(OR($P169="",$P169="G",ISNA(MATCH($C169,FA,0))),"",IF(N(INDEX(F_G,MATCH($C169,FA,0)))&gt;0,INDEX(F_G,MATCH($C169,FA,0)),IF(N(INDEX(F_MODUL,MATCH($C169,FA,0)))&gt;0,INDEX(F_MODUL,MATCH($C169,FA,0))*MODUL_MM,"")))</f>
        <v>#REF!</v>
      </c>
      <c r="R169" s="7" t="e">
        <f>IF(OR($P169="",$P169="G",ISNA(MATCH($C169,FA,0))),"",IF(N(INDEX(F_Y,MATCH($C169,FA,0)))&gt;0,INDEX(F_Y,MATCH($C169,FA,0)),""))</f>
        <v>#REF!</v>
      </c>
      <c r="S169" s="7" t="e">
        <f>IF(OR($P169="",$P169="G",ISNA(MATCH($C169,FA,0))),"",IF(N(INDEX(F_D,MATCH($C169,FA,0)))&gt;0,INDEX(F_D,MATCH($C169,FA,0)),""))</f>
        <v>#REF!</v>
      </c>
      <c r="T169" s="7">
        <f>IF(ISNA(MATCH($C169,FA,0)),0,IF($J169="GIRIS",N(INDEX(F_INKOR,MATCH($C169,FA,0))),0))</f>
        <v>0</v>
      </c>
      <c r="U169" s="7" t="e">
        <f t="shared" si="43"/>
        <v>#REF!</v>
      </c>
      <c r="V169" s="7" t="str">
        <f t="shared" si="44"/>
        <v/>
      </c>
      <c r="W169" s="7" t="e">
        <f>IF(OR(NOT(ISNUMBER($P169)),$Q169=""),"",N(#REF!)*($Q169+IF(ISNA(MATCH($B169,TIP_AD,0)),0,N(INDEX(TIP_BOSLUK,MATCH($B169,TIP_AD,0))))))</f>
        <v>#REF!</v>
      </c>
      <c r="X169" s="7" t="e">
        <f>IF(ISNUMBER($P169),($Q169="")+($R169="")+($V169="")+IF(AND($U169="KONTAKTOR",NOT(ISNA(MATCH($B169,TIP_AD,0)))),IF(INDEX(TIP_BOSLUK,MATCH($B169,TIP_AD,0))&amp;""="",1,0),0),IF($P169="K",IF($S169="",1,0),0))</f>
        <v>#REF!</v>
      </c>
      <c r="Y169" s="7" t="e">
        <f>N(#REF!)*IF($E169="упак",MAX(1,IF(ISNA(MATCH($C169,FA,0)),1,N(INDEX(F_PAKET,MATCH($C169,FA,0))))),1)</f>
        <v>#REF!</v>
      </c>
      <c r="Z169" s="7" t="e">
        <f t="shared" si="39"/>
        <v>#REF!</v>
      </c>
      <c r="AA169" s="7" t="e">
        <f>IF(OR(ISNA(MATCH($C169,FA,0)),$J169="YEDEK",$J169="SARF"),0,N(#REF!)*N(INDEX(F_TEL,MATCH($C169,FA,0))))</f>
        <v>#REF!</v>
      </c>
      <c r="AB169" s="7" t="e">
        <f>IF(OR(ISNA(MATCH($C169,FA,0)),$J169="YEDEK",$J169="SARF"),0,N(#REF!)*N(INDEX(F_TELM,MATCH($C169,FA,0))))</f>
        <v>#REF!</v>
      </c>
      <c r="AC169" s="7" t="e">
        <f t="shared" si="40"/>
        <v>#REF!</v>
      </c>
      <c r="AD169" s="7">
        <f>IF(OR(ISNA(MATCH($C169,FA,0)),$J169&lt;&gt;"CIKIS"),0,N(INDEX(F_KK,MATCH($C169,FA,0))))</f>
        <v>0</v>
      </c>
      <c r="AE169" s="7">
        <f>IF($AD169=0,0,N(#REF!)*N(INDEX(F_KLN,MATCH($C169,FA,0))))</f>
        <v>0</v>
      </c>
      <c r="AF169" s="7">
        <f>IF($AD169=0,0,N(#REF!)*N(INDEX(F_KPE,MATCH($C169,FA,0))))</f>
        <v>0</v>
      </c>
      <c r="AG169" s="7" t="e">
        <f>IF(ISNA(MATCH($C169,FA,0)),0,N(#REF!)*N(INDEX(F_MODUL,MATCH($C169,FA,0))))</f>
        <v>#REF!</v>
      </c>
      <c r="AH169" s="7" t="e">
        <f>N(#REF!)*N($I169)</f>
        <v>#REF!</v>
      </c>
      <c r="AI169" s="7" t="e">
        <f t="shared" si="41"/>
        <v>#REF!</v>
      </c>
      <c r="AJ169" s="7">
        <f t="shared" si="42"/>
        <v>0</v>
      </c>
    </row>
    <row r="170" spans="1:36" x14ac:dyDescent="0.25">
      <c r="A170" s="4" t="str">
        <f t="shared" si="36"/>
        <v>ВРУ-П (Ввод + Секция 1) (ВРУ1-15-30)(ВРУ1-41-00А)(260922 akram aulet)</v>
      </c>
      <c r="B170" s="4" t="s">
        <v>75</v>
      </c>
      <c r="C170" s="4" t="s">
        <v>467</v>
      </c>
      <c r="D170" s="4" t="s">
        <v>468</v>
      </c>
      <c r="E170" s="4" t="s">
        <v>114</v>
      </c>
      <c r="F170" s="4" t="s">
        <v>377</v>
      </c>
      <c r="G170" s="4" t="s">
        <v>38</v>
      </c>
      <c r="H170" s="5" t="e">
        <f>#REF!</f>
        <v>#REF!</v>
      </c>
      <c r="I170" s="6" t="e">
        <f t="shared" si="37"/>
        <v>#REF!</v>
      </c>
      <c r="J170" s="6" t="s">
        <v>66</v>
      </c>
      <c r="K170" s="6" t="s">
        <v>75</v>
      </c>
      <c r="L170" s="7" t="e">
        <f t="shared" si="38"/>
        <v>#REF!</v>
      </c>
      <c r="M170" s="7" t="s">
        <v>79</v>
      </c>
      <c r="N170" s="7" t="s">
        <v>80</v>
      </c>
      <c r="O170" s="7" t="str">
        <f>IF(OR($C170="",$C170="FID YOK"),"",IF(ISNUMBER(MATCH($C170,FA_ANA,0)),"",IF(COUNTIF($C$1:$C169,$C170)&gt;0,"",MAX($O$1:$O169)+1)))</f>
        <v/>
      </c>
      <c r="P170" s="8" t="s">
        <v>78</v>
      </c>
      <c r="Q170" s="7" t="e">
        <f>IF(OR($P170="",$P170="G",ISNA(MATCH($C170,FA,0))),"",IF(N(INDEX(F_G,MATCH($C170,FA,0)))&gt;0,INDEX(F_G,MATCH($C170,FA,0)),IF(N(INDEX(F_MODUL,MATCH($C170,FA,0)))&gt;0,INDEX(F_MODUL,MATCH($C170,FA,0))*MODUL_MM,"")))</f>
        <v>#REF!</v>
      </c>
      <c r="R170" s="7" t="e">
        <f>IF(OR($P170="",$P170="G",ISNA(MATCH($C170,FA,0))),"",IF(N(INDEX(F_Y,MATCH($C170,FA,0)))&gt;0,INDEX(F_Y,MATCH($C170,FA,0)),""))</f>
        <v>#REF!</v>
      </c>
      <c r="S170" s="7" t="e">
        <f>IF(OR($P170="",$P170="G",ISNA(MATCH($C170,FA,0))),"",IF(N(INDEX(F_D,MATCH($C170,FA,0)))&gt;0,INDEX(F_D,MATCH($C170,FA,0)),""))</f>
        <v>#REF!</v>
      </c>
      <c r="T170" s="7">
        <f>IF(ISNA(MATCH($C170,FA,0)),0,IF($J170="GIRIS",N(INDEX(F_INKOR,MATCH($C170,FA,0))),0))</f>
        <v>0</v>
      </c>
      <c r="U170" s="7" t="e">
        <f t="shared" si="43"/>
        <v>#REF!</v>
      </c>
      <c r="V170" s="7" t="str">
        <f t="shared" si="44"/>
        <v/>
      </c>
      <c r="W170" s="7" t="e">
        <f>IF(OR(NOT(ISNUMBER($P170)),$Q170=""),"",N(#REF!)*($Q170+IF(ISNA(MATCH($B170,TIP_AD,0)),0,N(INDEX(TIP_BOSLUK,MATCH($B170,TIP_AD,0))))))</f>
        <v>#REF!</v>
      </c>
      <c r="X170" s="7" t="e">
        <f>IF(ISNUMBER($P170),($Q170="")+($R170="")+($V170="")+IF(AND($U170="KONTAKTOR",NOT(ISNA(MATCH($B170,TIP_AD,0)))),IF(INDEX(TIP_BOSLUK,MATCH($B170,TIP_AD,0))&amp;""="",1,0),0),IF($P170="K",IF($S170="",1,0),0))</f>
        <v>#REF!</v>
      </c>
      <c r="Y170" s="7" t="e">
        <f>N(#REF!)*IF($E170="упак",MAX(1,IF(ISNA(MATCH($C170,FA,0)),1,N(INDEX(F_PAKET,MATCH($C170,FA,0))))),1)</f>
        <v>#REF!</v>
      </c>
      <c r="Z170" s="7" t="e">
        <f t="shared" si="39"/>
        <v>#REF!</v>
      </c>
      <c r="AA170" s="7" t="e">
        <f>IF(OR(ISNA(MATCH($C170,FA,0)),$J170="YEDEK",$J170="SARF"),0,N(#REF!)*N(INDEX(F_TEL,MATCH($C170,FA,0))))</f>
        <v>#REF!</v>
      </c>
      <c r="AB170" s="7" t="e">
        <f>IF(OR(ISNA(MATCH($C170,FA,0)),$J170="YEDEK",$J170="SARF"),0,N(#REF!)*N(INDEX(F_TELM,MATCH($C170,FA,0))))</f>
        <v>#REF!</v>
      </c>
      <c r="AC170" s="7" t="e">
        <f t="shared" si="40"/>
        <v>#REF!</v>
      </c>
      <c r="AD170" s="7">
        <f>IF(OR(ISNA(MATCH($C170,FA,0)),$J170&lt;&gt;"CIKIS"),0,N(INDEX(F_KK,MATCH($C170,FA,0))))</f>
        <v>0</v>
      </c>
      <c r="AE170" s="7">
        <f>IF($AD170=0,0,N(#REF!)*N(INDEX(F_KLN,MATCH($C170,FA,0))))</f>
        <v>0</v>
      </c>
      <c r="AF170" s="7">
        <f>IF($AD170=0,0,N(#REF!)*N(INDEX(F_KPE,MATCH($C170,FA,0))))</f>
        <v>0</v>
      </c>
      <c r="AG170" s="7" t="e">
        <f>IF(ISNA(MATCH($C170,FA,0)),0,N(#REF!)*N(INDEX(F_MODUL,MATCH($C170,FA,0))))</f>
        <v>#REF!</v>
      </c>
      <c r="AH170" s="7" t="e">
        <f>N(#REF!)*N($I170)</f>
        <v>#REF!</v>
      </c>
      <c r="AI170" s="7" t="e">
        <f t="shared" si="41"/>
        <v>#REF!</v>
      </c>
      <c r="AJ170" s="7">
        <f t="shared" si="42"/>
        <v>0</v>
      </c>
    </row>
    <row r="171" spans="1:36" x14ac:dyDescent="0.25">
      <c r="A171" s="4" t="str">
        <f t="shared" si="36"/>
        <v>ВРУ-П (Ввод + Секция 1) (ВРУ1-15-30)(ВРУ1-41-00А)(260922 akram aulet)</v>
      </c>
      <c r="B171" s="4" t="s">
        <v>75</v>
      </c>
      <c r="C171" s="4" t="s">
        <v>469</v>
      </c>
      <c r="D171" s="4" t="s">
        <v>470</v>
      </c>
      <c r="E171" s="4" t="s">
        <v>114</v>
      </c>
      <c r="F171" s="4" t="s">
        <v>377</v>
      </c>
      <c r="G171" s="4" t="s">
        <v>38</v>
      </c>
      <c r="H171" s="5" t="e">
        <f>#REF!</f>
        <v>#REF!</v>
      </c>
      <c r="I171" s="6" t="e">
        <f t="shared" si="37"/>
        <v>#REF!</v>
      </c>
      <c r="J171" s="6" t="s">
        <v>66</v>
      </c>
      <c r="K171" s="6" t="s">
        <v>75</v>
      </c>
      <c r="L171" s="7" t="e">
        <f t="shared" si="38"/>
        <v>#REF!</v>
      </c>
      <c r="M171" s="7" t="s">
        <v>81</v>
      </c>
      <c r="N171" s="7" t="s">
        <v>82</v>
      </c>
      <c r="O171" s="7" t="str">
        <f>IF(OR($C171="",$C171="FID YOK"),"",IF(ISNUMBER(MATCH($C171,FA_ANA,0)),"",IF(COUNTIF($C$1:$C170,$C171)&gt;0,"",MAX($O$1:$O170)+1)))</f>
        <v/>
      </c>
      <c r="P171" s="8" t="s">
        <v>78</v>
      </c>
      <c r="Q171" s="7" t="e">
        <f>IF(OR($P171="",$P171="G",ISNA(MATCH($C171,FA,0))),"",IF(N(INDEX(F_G,MATCH($C171,FA,0)))&gt;0,INDEX(F_G,MATCH($C171,FA,0)),IF(N(INDEX(F_MODUL,MATCH($C171,FA,0)))&gt;0,INDEX(F_MODUL,MATCH($C171,FA,0))*MODUL_MM,"")))</f>
        <v>#REF!</v>
      </c>
      <c r="R171" s="7" t="e">
        <f>IF(OR($P171="",$P171="G",ISNA(MATCH($C171,FA,0))),"",IF(N(INDEX(F_Y,MATCH($C171,FA,0)))&gt;0,INDEX(F_Y,MATCH($C171,FA,0)),""))</f>
        <v>#REF!</v>
      </c>
      <c r="S171" s="7" t="e">
        <f>IF(OR($P171="",$P171="G",ISNA(MATCH($C171,FA,0))),"",IF(N(INDEX(F_D,MATCH($C171,FA,0)))&gt;0,INDEX(F_D,MATCH($C171,FA,0)),""))</f>
        <v>#REF!</v>
      </c>
      <c r="T171" s="7">
        <f>IF(ISNA(MATCH($C171,FA,0)),0,IF($J171="GIRIS",N(INDEX(F_INKOR,MATCH($C171,FA,0))),0))</f>
        <v>0</v>
      </c>
      <c r="U171" s="7" t="e">
        <f t="shared" si="43"/>
        <v>#REF!</v>
      </c>
      <c r="V171" s="7" t="str">
        <f t="shared" si="44"/>
        <v/>
      </c>
      <c r="W171" s="7" t="e">
        <f>IF(OR(NOT(ISNUMBER($P171)),$Q171=""),"",N(#REF!)*($Q171+IF(ISNA(MATCH($B171,TIP_AD,0)),0,N(INDEX(TIP_BOSLUK,MATCH($B171,TIP_AD,0))))))</f>
        <v>#REF!</v>
      </c>
      <c r="X171" s="7" t="e">
        <f>IF(ISNUMBER($P171),($Q171="")+($R171="")+($V171="")+IF(AND($U171="KONTAKTOR",NOT(ISNA(MATCH($B171,TIP_AD,0)))),IF(INDEX(TIP_BOSLUK,MATCH($B171,TIP_AD,0))&amp;""="",1,0),0),IF($P171="K",IF($S171="",1,0),0))</f>
        <v>#REF!</v>
      </c>
      <c r="Y171" s="7" t="e">
        <f>N(#REF!)*IF($E171="упак",MAX(1,IF(ISNA(MATCH($C171,FA,0)),1,N(INDEX(F_PAKET,MATCH($C171,FA,0))))),1)</f>
        <v>#REF!</v>
      </c>
      <c r="Z171" s="7" t="e">
        <f t="shared" si="39"/>
        <v>#REF!</v>
      </c>
      <c r="AA171" s="7" t="e">
        <f>IF(OR(ISNA(MATCH($C171,FA,0)),$J171="YEDEK",$J171="SARF"),0,N(#REF!)*N(INDEX(F_TEL,MATCH($C171,FA,0))))</f>
        <v>#REF!</v>
      </c>
      <c r="AB171" s="7" t="e">
        <f>IF(OR(ISNA(MATCH($C171,FA,0)),$J171="YEDEK",$J171="SARF"),0,N(#REF!)*N(INDEX(F_TELM,MATCH($C171,FA,0))))</f>
        <v>#REF!</v>
      </c>
      <c r="AC171" s="7" t="e">
        <f t="shared" si="40"/>
        <v>#REF!</v>
      </c>
      <c r="AD171" s="7">
        <f>IF(OR(ISNA(MATCH($C171,FA,0)),$J171&lt;&gt;"CIKIS"),0,N(INDEX(F_KK,MATCH($C171,FA,0))))</f>
        <v>0</v>
      </c>
      <c r="AE171" s="7">
        <f>IF($AD171=0,0,N(#REF!)*N(INDEX(F_KLN,MATCH($C171,FA,0))))</f>
        <v>0</v>
      </c>
      <c r="AF171" s="7">
        <f>IF($AD171=0,0,N(#REF!)*N(INDEX(F_KPE,MATCH($C171,FA,0))))</f>
        <v>0</v>
      </c>
      <c r="AG171" s="7" t="e">
        <f>IF(ISNA(MATCH($C171,FA,0)),0,N(#REF!)*N(INDEX(F_MODUL,MATCH($C171,FA,0))))</f>
        <v>#REF!</v>
      </c>
      <c r="AH171" s="7" t="e">
        <f>N(#REF!)*N($I171)</f>
        <v>#REF!</v>
      </c>
      <c r="AI171" s="7" t="e">
        <f t="shared" si="41"/>
        <v>#REF!</v>
      </c>
      <c r="AJ171" s="7">
        <f t="shared" si="42"/>
        <v>0</v>
      </c>
    </row>
    <row r="172" spans="1:36" x14ac:dyDescent="0.25">
      <c r="A172" s="4" t="str">
        <f t="shared" si="36"/>
        <v>ВРУ-П (Ввод + Секция 1) (ВРУ1-15-30)(ВРУ1-41-00А)(260922 akram aulet)</v>
      </c>
      <c r="B172" s="4" t="s">
        <v>83</v>
      </c>
      <c r="C172" s="4" t="s">
        <v>587</v>
      </c>
      <c r="D172" s="4" t="s">
        <v>588</v>
      </c>
      <c r="E172" s="4" t="s">
        <v>520</v>
      </c>
      <c r="F172" s="4" t="s">
        <v>486</v>
      </c>
      <c r="G172" s="4" t="s">
        <v>38</v>
      </c>
      <c r="H172" s="5" t="e">
        <f>#REF!</f>
        <v>#REF!</v>
      </c>
      <c r="I172" s="6" t="e">
        <f t="shared" si="37"/>
        <v>#REF!</v>
      </c>
      <c r="J172" s="6" t="s">
        <v>84</v>
      </c>
      <c r="K172" s="6" t="s">
        <v>83</v>
      </c>
      <c r="L172" s="7" t="e">
        <f t="shared" si="38"/>
        <v>#REF!</v>
      </c>
      <c r="M172" s="7" t="s">
        <v>85</v>
      </c>
      <c r="O172" s="7" t="str">
        <f>IF(OR($C172="",$C172="FID YOK"),"",IF(ISNUMBER(MATCH($C172,FA_ANA,0)),"",IF(COUNTIF($C$1:$C171,$C172)&gt;0,"",MAX($O$1:$O171)+1)))</f>
        <v/>
      </c>
      <c r="T172" s="7">
        <f>IF(ISNA(MATCH($C172,FA,0)),0,IF($J172="GIRIS",N(INDEX(F_INKOR,MATCH($C172,FA,0))),0))</f>
        <v>0</v>
      </c>
      <c r="Y172" s="7" t="e">
        <f>N(#REF!)*IF($E172="упак",MAX(1,IF(ISNA(MATCH($C172,FA,0)),1,N(INDEX(F_PAKET,MATCH($C172,FA,0))))),1)</f>
        <v>#REF!</v>
      </c>
      <c r="Z172" s="7" t="e">
        <f t="shared" si="39"/>
        <v>#REF!</v>
      </c>
      <c r="AA172" s="7">
        <f>IF(OR(ISNA(MATCH($C172,FA,0)),$J172="YEDEK",$J172="SARF"),0,N(#REF!)*N(INDEX(F_TEL,MATCH($C172,FA,0))))</f>
        <v>0</v>
      </c>
      <c r="AB172" s="7">
        <f>IF(OR(ISNA(MATCH($C172,FA,0)),$J172="YEDEK",$J172="SARF"),0,N(#REF!)*N(INDEX(F_TELM,MATCH($C172,FA,0))))</f>
        <v>0</v>
      </c>
      <c r="AC172" s="7" t="e">
        <f t="shared" si="40"/>
        <v>#REF!</v>
      </c>
      <c r="AD172" s="7">
        <f>IF(OR(ISNA(MATCH($C172,FA,0)),$J172&lt;&gt;"CIKIS"),0,N(INDEX(F_KK,MATCH($C172,FA,0))))</f>
        <v>0</v>
      </c>
      <c r="AE172" s="7">
        <f>IF($AD172=0,0,N(#REF!)*N(INDEX(F_KLN,MATCH($C172,FA,0))))</f>
        <v>0</v>
      </c>
      <c r="AF172" s="7">
        <f>IF($AD172=0,0,N(#REF!)*N(INDEX(F_KPE,MATCH($C172,FA,0))))</f>
        <v>0</v>
      </c>
      <c r="AG172" s="7" t="e">
        <f>IF(ISNA(MATCH($C172,FA,0)),0,N(#REF!)*N(INDEX(F_MODUL,MATCH($C172,FA,0))))</f>
        <v>#REF!</v>
      </c>
      <c r="AH172" s="7" t="e">
        <f>N(#REF!)*N($I172)</f>
        <v>#REF!</v>
      </c>
      <c r="AI172" s="7" t="e">
        <f t="shared" si="41"/>
        <v>#REF!</v>
      </c>
      <c r="AJ172" s="7">
        <f t="shared" si="42"/>
        <v>0</v>
      </c>
    </row>
    <row r="173" spans="1:36" x14ac:dyDescent="0.25">
      <c r="A173" s="4" t="str">
        <f t="shared" si="36"/>
        <v>ВРУ-П (Ввод + Секция 1) (ВРУ1-15-30)(ВРУ1-41-00А)(260922 akram aulet)</v>
      </c>
      <c r="B173" s="4" t="s">
        <v>83</v>
      </c>
      <c r="C173" s="4" t="s">
        <v>587</v>
      </c>
      <c r="D173" s="4" t="s">
        <v>588</v>
      </c>
      <c r="E173" s="4" t="s">
        <v>520</v>
      </c>
      <c r="F173" s="4" t="s">
        <v>486</v>
      </c>
      <c r="G173" s="4" t="s">
        <v>38</v>
      </c>
      <c r="H173" s="5" t="e">
        <f>#REF!</f>
        <v>#REF!</v>
      </c>
      <c r="I173" s="6" t="e">
        <f t="shared" si="37"/>
        <v>#REF!</v>
      </c>
      <c r="J173" s="6" t="s">
        <v>84</v>
      </c>
      <c r="K173" s="6" t="s">
        <v>83</v>
      </c>
      <c r="L173" s="7" t="e">
        <f t="shared" si="38"/>
        <v>#REF!</v>
      </c>
      <c r="M173" s="7" t="s">
        <v>86</v>
      </c>
      <c r="O173" s="7" t="str">
        <f>IF(OR($C173="",$C173="FID YOK"),"",IF(ISNUMBER(MATCH($C173,FA_ANA,0)),"",IF(COUNTIF($C$1:$C172,$C173)&gt;0,"",MAX($O$1:$O172)+1)))</f>
        <v/>
      </c>
      <c r="T173" s="7">
        <f>IF(ISNA(MATCH($C173,FA,0)),0,IF($J173="GIRIS",N(INDEX(F_INKOR,MATCH($C173,FA,0))),0))</f>
        <v>0</v>
      </c>
      <c r="Y173" s="7" t="e">
        <f>N(#REF!)*IF($E173="упак",MAX(1,IF(ISNA(MATCH($C173,FA,0)),1,N(INDEX(F_PAKET,MATCH($C173,FA,0))))),1)</f>
        <v>#REF!</v>
      </c>
      <c r="Z173" s="7" t="e">
        <f t="shared" si="39"/>
        <v>#REF!</v>
      </c>
      <c r="AA173" s="7">
        <f>IF(OR(ISNA(MATCH($C173,FA,0)),$J173="YEDEK",$J173="SARF"),0,N(#REF!)*N(INDEX(F_TEL,MATCH($C173,FA,0))))</f>
        <v>0</v>
      </c>
      <c r="AB173" s="7">
        <f>IF(OR(ISNA(MATCH($C173,FA,0)),$J173="YEDEK",$J173="SARF"),0,N(#REF!)*N(INDEX(F_TELM,MATCH($C173,FA,0))))</f>
        <v>0</v>
      </c>
      <c r="AC173" s="7" t="e">
        <f t="shared" si="40"/>
        <v>#REF!</v>
      </c>
      <c r="AD173" s="7">
        <f>IF(OR(ISNA(MATCH($C173,FA,0)),$J173&lt;&gt;"CIKIS"),0,N(INDEX(F_KK,MATCH($C173,FA,0))))</f>
        <v>0</v>
      </c>
      <c r="AE173" s="7">
        <f>IF($AD173=0,0,N(#REF!)*N(INDEX(F_KLN,MATCH($C173,FA,0))))</f>
        <v>0</v>
      </c>
      <c r="AF173" s="7">
        <f>IF($AD173=0,0,N(#REF!)*N(INDEX(F_KPE,MATCH($C173,FA,0))))</f>
        <v>0</v>
      </c>
      <c r="AG173" s="7" t="e">
        <f>IF(ISNA(MATCH($C173,FA,0)),0,N(#REF!)*N(INDEX(F_MODUL,MATCH($C173,FA,0))))</f>
        <v>#REF!</v>
      </c>
      <c r="AH173" s="7" t="e">
        <f>N(#REF!)*N($I173)</f>
        <v>#REF!</v>
      </c>
      <c r="AI173" s="7" t="e">
        <f t="shared" si="41"/>
        <v>#REF!</v>
      </c>
      <c r="AJ173" s="7">
        <f t="shared" si="42"/>
        <v>0</v>
      </c>
    </row>
    <row r="174" spans="1:36" x14ac:dyDescent="0.25">
      <c r="A174" s="4" t="str">
        <f t="shared" si="36"/>
        <v>ВРУ-П (Ввод + Секция 1) (ВРУ1-15-30)(ВРУ1-41-00А)(260922 akram aulet)</v>
      </c>
      <c r="B174" s="4" t="s">
        <v>83</v>
      </c>
      <c r="C174" s="4" t="s">
        <v>585</v>
      </c>
      <c r="D174" s="4" t="s">
        <v>586</v>
      </c>
      <c r="E174" s="4" t="s">
        <v>520</v>
      </c>
      <c r="F174" s="4" t="s">
        <v>486</v>
      </c>
      <c r="G174" s="4" t="s">
        <v>38</v>
      </c>
      <c r="H174" s="5" t="e">
        <f>#REF!</f>
        <v>#REF!</v>
      </c>
      <c r="I174" s="6" t="e">
        <f t="shared" si="37"/>
        <v>#REF!</v>
      </c>
      <c r="J174" s="6" t="s">
        <v>84</v>
      </c>
      <c r="K174" s="6" t="s">
        <v>83</v>
      </c>
      <c r="L174" s="7" t="e">
        <f t="shared" si="38"/>
        <v>#REF!</v>
      </c>
      <c r="M174" s="7" t="s">
        <v>87</v>
      </c>
      <c r="O174" s="7" t="str">
        <f>IF(OR($C174="",$C174="FID YOK"),"",IF(ISNUMBER(MATCH($C174,FA_ANA,0)),"",IF(COUNTIF($C$1:$C173,$C174)&gt;0,"",MAX($O$1:$O173)+1)))</f>
        <v/>
      </c>
      <c r="T174" s="7">
        <f>IF(ISNA(MATCH($C174,FA,0)),0,IF($J174="GIRIS",N(INDEX(F_INKOR,MATCH($C174,FA,0))),0))</f>
        <v>0</v>
      </c>
      <c r="Y174" s="7" t="e">
        <f>N(#REF!)*IF($E174="упак",MAX(1,IF(ISNA(MATCH($C174,FA,0)),1,N(INDEX(F_PAKET,MATCH($C174,FA,0))))),1)</f>
        <v>#REF!</v>
      </c>
      <c r="Z174" s="7" t="e">
        <f t="shared" si="39"/>
        <v>#REF!</v>
      </c>
      <c r="AA174" s="7">
        <f>IF(OR(ISNA(MATCH($C174,FA,0)),$J174="YEDEK",$J174="SARF"),0,N(#REF!)*N(INDEX(F_TEL,MATCH($C174,FA,0))))</f>
        <v>0</v>
      </c>
      <c r="AB174" s="7">
        <f>IF(OR(ISNA(MATCH($C174,FA,0)),$J174="YEDEK",$J174="SARF"),0,N(#REF!)*N(INDEX(F_TELM,MATCH($C174,FA,0))))</f>
        <v>0</v>
      </c>
      <c r="AC174" s="7" t="e">
        <f t="shared" si="40"/>
        <v>#REF!</v>
      </c>
      <c r="AD174" s="7">
        <f>IF(OR(ISNA(MATCH($C174,FA,0)),$J174&lt;&gt;"CIKIS"),0,N(INDEX(F_KK,MATCH($C174,FA,0))))</f>
        <v>0</v>
      </c>
      <c r="AE174" s="7">
        <f>IF($AD174=0,0,N(#REF!)*N(INDEX(F_KLN,MATCH($C174,FA,0))))</f>
        <v>0</v>
      </c>
      <c r="AF174" s="7">
        <f>IF($AD174=0,0,N(#REF!)*N(INDEX(F_KPE,MATCH($C174,FA,0))))</f>
        <v>0</v>
      </c>
      <c r="AG174" s="7" t="e">
        <f>IF(ISNA(MATCH($C174,FA,0)),0,N(#REF!)*N(INDEX(F_MODUL,MATCH($C174,FA,0))))</f>
        <v>#REF!</v>
      </c>
      <c r="AH174" s="7" t="e">
        <f>N(#REF!)*N($I174)</f>
        <v>#REF!</v>
      </c>
      <c r="AI174" s="7" t="e">
        <f t="shared" si="41"/>
        <v>#REF!</v>
      </c>
      <c r="AJ174" s="7">
        <f t="shared" si="42"/>
        <v>0</v>
      </c>
    </row>
    <row r="175" spans="1:36" x14ac:dyDescent="0.25">
      <c r="A175" s="4" t="str">
        <f t="shared" si="36"/>
        <v>ВРУ-П (Ввод + Секция 1) (ВРУ1-15-30)(ВРУ1-41-00А)(260922 akram aulet)</v>
      </c>
      <c r="B175" s="4" t="s">
        <v>88</v>
      </c>
      <c r="C175" s="4" t="s">
        <v>573</v>
      </c>
      <c r="D175" s="4" t="s">
        <v>574</v>
      </c>
      <c r="E175" s="4" t="s">
        <v>114</v>
      </c>
      <c r="F175" s="4" t="s">
        <v>486</v>
      </c>
      <c r="G175" s="4" t="s">
        <v>38</v>
      </c>
      <c r="H175" s="5" t="e">
        <f>#REF!</f>
        <v>#REF!</v>
      </c>
      <c r="I175" s="6" t="e">
        <f t="shared" si="37"/>
        <v>#REF!</v>
      </c>
      <c r="J175" s="6" t="s">
        <v>84</v>
      </c>
      <c r="K175" s="6" t="s">
        <v>88</v>
      </c>
      <c r="L175" s="7" t="e">
        <f t="shared" si="38"/>
        <v>#REF!</v>
      </c>
      <c r="M175" s="7" t="s">
        <v>89</v>
      </c>
      <c r="O175" s="7" t="str">
        <f>IF(OR($C175="",$C175="FID YOK"),"",IF(ISNUMBER(MATCH($C175,FA_ANA,0)),"",IF(COUNTIF($C$1:$C174,$C175)&gt;0,"",MAX($O$1:$O174)+1)))</f>
        <v/>
      </c>
      <c r="T175" s="7">
        <f>IF(ISNA(MATCH($C175,FA,0)),0,IF($J175="GIRIS",N(INDEX(F_INKOR,MATCH($C175,FA,0))),0))</f>
        <v>0</v>
      </c>
      <c r="Y175" s="7" t="e">
        <f>N(#REF!)*IF($E175="упак",MAX(1,IF(ISNA(MATCH($C175,FA,0)),1,N(INDEX(F_PAKET,MATCH($C175,FA,0))))),1)</f>
        <v>#REF!</v>
      </c>
      <c r="Z175" s="7" t="e">
        <f t="shared" si="39"/>
        <v>#REF!</v>
      </c>
      <c r="AA175" s="7">
        <f>IF(OR(ISNA(MATCH($C175,FA,0)),$J175="YEDEK",$J175="SARF"),0,N(#REF!)*N(INDEX(F_TEL,MATCH($C175,FA,0))))</f>
        <v>0</v>
      </c>
      <c r="AB175" s="7">
        <f>IF(OR(ISNA(MATCH($C175,FA,0)),$J175="YEDEK",$J175="SARF"),0,N(#REF!)*N(INDEX(F_TELM,MATCH($C175,FA,0))))</f>
        <v>0</v>
      </c>
      <c r="AC175" s="7" t="e">
        <f t="shared" si="40"/>
        <v>#REF!</v>
      </c>
      <c r="AD175" s="7">
        <f>IF(OR(ISNA(MATCH($C175,FA,0)),$J175&lt;&gt;"CIKIS"),0,N(INDEX(F_KK,MATCH($C175,FA,0))))</f>
        <v>0</v>
      </c>
      <c r="AE175" s="7">
        <f>IF($AD175=0,0,N(#REF!)*N(INDEX(F_KLN,MATCH($C175,FA,0))))</f>
        <v>0</v>
      </c>
      <c r="AF175" s="7">
        <f>IF($AD175=0,0,N(#REF!)*N(INDEX(F_KPE,MATCH($C175,FA,0))))</f>
        <v>0</v>
      </c>
      <c r="AG175" s="7" t="e">
        <f>IF(ISNA(MATCH($C175,FA,0)),0,N(#REF!)*N(INDEX(F_MODUL,MATCH($C175,FA,0))))</f>
        <v>#REF!</v>
      </c>
      <c r="AH175" s="7" t="e">
        <f>N(#REF!)*N($I175)</f>
        <v>#REF!</v>
      </c>
      <c r="AI175" s="7" t="e">
        <f t="shared" si="41"/>
        <v>#REF!</v>
      </c>
      <c r="AJ175" s="7">
        <f t="shared" si="42"/>
        <v>0</v>
      </c>
    </row>
    <row r="176" spans="1:36" x14ac:dyDescent="0.25">
      <c r="A176" s="4" t="str">
        <f t="shared" si="36"/>
        <v>ВРУ-П (Ввод + Секция 1) (ВРУ1-15-30)(ВРУ1-41-00А)(260922 akram aulet)</v>
      </c>
      <c r="B176" s="4" t="s">
        <v>90</v>
      </c>
      <c r="C176" s="4" t="s">
        <v>518</v>
      </c>
      <c r="D176" s="4" t="s">
        <v>519</v>
      </c>
      <c r="E176" s="4" t="s">
        <v>520</v>
      </c>
      <c r="F176" s="4" t="s">
        <v>486</v>
      </c>
      <c r="G176" s="4" t="s">
        <v>38</v>
      </c>
      <c r="H176" s="5" t="e">
        <f>#REF!</f>
        <v>#REF!</v>
      </c>
      <c r="I176" s="6" t="e">
        <f t="shared" si="37"/>
        <v>#REF!</v>
      </c>
      <c r="J176" s="6" t="s">
        <v>84</v>
      </c>
      <c r="K176" s="6" t="s">
        <v>90</v>
      </c>
      <c r="L176" s="7" t="e">
        <f t="shared" si="38"/>
        <v>#REF!</v>
      </c>
      <c r="M176" s="7" t="s">
        <v>91</v>
      </c>
      <c r="O176" s="7" t="str">
        <f>IF(OR($C176="",$C176="FID YOK"),"",IF(ISNUMBER(MATCH($C176,FA_ANA,0)),"",IF(COUNTIF($C$1:$C175,$C176)&gt;0,"",MAX($O$1:$O175)+1)))</f>
        <v/>
      </c>
      <c r="T176" s="7">
        <f>IF(ISNA(MATCH($C176,FA,0)),0,IF($J176="GIRIS",N(INDEX(F_INKOR,MATCH($C176,FA,0))),0))</f>
        <v>0</v>
      </c>
      <c r="Y176" s="7" t="e">
        <f>N(#REF!)*IF($E176="упак",MAX(1,IF(ISNA(MATCH($C176,FA,0)),1,N(INDEX(F_PAKET,MATCH($C176,FA,0))))),1)</f>
        <v>#REF!</v>
      </c>
      <c r="Z176" s="7" t="e">
        <f t="shared" si="39"/>
        <v>#REF!</v>
      </c>
      <c r="AA176" s="7">
        <f>IF(OR(ISNA(MATCH($C176,FA,0)),$J176="YEDEK",$J176="SARF"),0,N(#REF!)*N(INDEX(F_TEL,MATCH($C176,FA,0))))</f>
        <v>0</v>
      </c>
      <c r="AB176" s="7">
        <f>IF(OR(ISNA(MATCH($C176,FA,0)),$J176="YEDEK",$J176="SARF"),0,N(#REF!)*N(INDEX(F_TELM,MATCH($C176,FA,0))))</f>
        <v>0</v>
      </c>
      <c r="AC176" s="7" t="e">
        <f t="shared" si="40"/>
        <v>#REF!</v>
      </c>
      <c r="AD176" s="7">
        <f>IF(OR(ISNA(MATCH($C176,FA,0)),$J176&lt;&gt;"CIKIS"),0,N(INDEX(F_KK,MATCH($C176,FA,0))))</f>
        <v>0</v>
      </c>
      <c r="AE176" s="7">
        <f>IF($AD176=0,0,N(#REF!)*N(INDEX(F_KLN,MATCH($C176,FA,0))))</f>
        <v>0</v>
      </c>
      <c r="AF176" s="7">
        <f>IF($AD176=0,0,N(#REF!)*N(INDEX(F_KPE,MATCH($C176,FA,0))))</f>
        <v>0</v>
      </c>
      <c r="AG176" s="7" t="e">
        <f>IF(ISNA(MATCH($C176,FA,0)),0,N(#REF!)*N(INDEX(F_MODUL,MATCH($C176,FA,0))))</f>
        <v>#REF!</v>
      </c>
      <c r="AH176" s="7" t="e">
        <f>N(#REF!)*N($I176)</f>
        <v>#REF!</v>
      </c>
      <c r="AI176" s="7" t="e">
        <f t="shared" si="41"/>
        <v>#REF!</v>
      </c>
      <c r="AJ176" s="7">
        <f t="shared" si="42"/>
        <v>0</v>
      </c>
    </row>
    <row r="177" spans="1:36" x14ac:dyDescent="0.25">
      <c r="A177" s="4" t="str">
        <f t="shared" si="36"/>
        <v>ВРУ-П (Ввод + Секция 1) (ВРУ1-15-30)(ВРУ1-41-00А)(260922 akram aulet)</v>
      </c>
      <c r="B177" s="4" t="s">
        <v>92</v>
      </c>
      <c r="C177" s="4" t="s">
        <v>523</v>
      </c>
      <c r="D177" s="4" t="s">
        <v>524</v>
      </c>
      <c r="E177" s="4" t="s">
        <v>520</v>
      </c>
      <c r="F177" s="4" t="s">
        <v>521</v>
      </c>
      <c r="G177" s="4" t="s">
        <v>38</v>
      </c>
      <c r="H177" s="5" t="e">
        <f>#REF!</f>
        <v>#REF!</v>
      </c>
      <c r="I177" s="6" t="e">
        <f t="shared" si="37"/>
        <v>#REF!</v>
      </c>
      <c r="J177" s="6" t="s">
        <v>84</v>
      </c>
      <c r="K177" s="6" t="s">
        <v>92</v>
      </c>
      <c r="L177" s="7" t="e">
        <f t="shared" si="38"/>
        <v>#REF!</v>
      </c>
      <c r="M177" s="7" t="s">
        <v>93</v>
      </c>
      <c r="O177" s="7" t="str">
        <f>IF(OR($C177="",$C177="FID YOK"),"",IF(ISNUMBER(MATCH($C177,FA_ANA,0)),"",IF(COUNTIF($C$1:$C176,$C177)&gt;0,"",MAX($O$1:$O176)+1)))</f>
        <v/>
      </c>
      <c r="T177" s="7">
        <f>IF(ISNA(MATCH($C177,FA,0)),0,IF($J177="GIRIS",N(INDEX(F_INKOR,MATCH($C177,FA,0))),0))</f>
        <v>0</v>
      </c>
      <c r="Y177" s="7" t="e">
        <f>N(#REF!)*IF($E177="упак",MAX(1,IF(ISNA(MATCH($C177,FA,0)),1,N(INDEX(F_PAKET,MATCH($C177,FA,0))))),1)</f>
        <v>#REF!</v>
      </c>
      <c r="Z177" s="7" t="e">
        <f t="shared" si="39"/>
        <v>#REF!</v>
      </c>
      <c r="AA177" s="7">
        <f>IF(OR(ISNA(MATCH($C177,FA,0)),$J177="YEDEK",$J177="SARF"),0,N(#REF!)*N(INDEX(F_TEL,MATCH($C177,FA,0))))</f>
        <v>0</v>
      </c>
      <c r="AB177" s="7">
        <f>IF(OR(ISNA(MATCH($C177,FA,0)),$J177="YEDEK",$J177="SARF"),0,N(#REF!)*N(INDEX(F_TELM,MATCH($C177,FA,0))))</f>
        <v>0</v>
      </c>
      <c r="AC177" s="7" t="e">
        <f t="shared" si="40"/>
        <v>#REF!</v>
      </c>
      <c r="AD177" s="7">
        <f>IF(OR(ISNA(MATCH($C177,FA,0)),$J177&lt;&gt;"CIKIS"),0,N(INDEX(F_KK,MATCH($C177,FA,0))))</f>
        <v>0</v>
      </c>
      <c r="AE177" s="7">
        <f>IF($AD177=0,0,N(#REF!)*N(INDEX(F_KLN,MATCH($C177,FA,0))))</f>
        <v>0</v>
      </c>
      <c r="AF177" s="7">
        <f>IF($AD177=0,0,N(#REF!)*N(INDEX(F_KPE,MATCH($C177,FA,0))))</f>
        <v>0</v>
      </c>
      <c r="AG177" s="7" t="e">
        <f>IF(ISNA(MATCH($C177,FA,0)),0,N(#REF!)*N(INDEX(F_MODUL,MATCH($C177,FA,0))))</f>
        <v>#REF!</v>
      </c>
      <c r="AH177" s="7" t="e">
        <f>N(#REF!)*N($I177)</f>
        <v>#REF!</v>
      </c>
      <c r="AI177" s="7" t="e">
        <f t="shared" si="41"/>
        <v>#REF!</v>
      </c>
      <c r="AJ177" s="7">
        <f t="shared" si="42"/>
        <v>0</v>
      </c>
    </row>
    <row r="178" spans="1:36" x14ac:dyDescent="0.25">
      <c r="A178" s="4" t="str">
        <f t="shared" si="36"/>
        <v>ВРУ-П (Ввод + Секция 1) (ВРУ1-15-30)(ВРУ1-41-00А)(260922 akram aulet)</v>
      </c>
      <c r="B178" s="4" t="s">
        <v>92</v>
      </c>
      <c r="C178" s="4" t="s">
        <v>527</v>
      </c>
      <c r="D178" s="4" t="s">
        <v>528</v>
      </c>
      <c r="E178" s="4" t="s">
        <v>520</v>
      </c>
      <c r="F178" s="4" t="s">
        <v>521</v>
      </c>
      <c r="G178" s="4" t="s">
        <v>38</v>
      </c>
      <c r="H178" s="5" t="e">
        <f>#REF!</f>
        <v>#REF!</v>
      </c>
      <c r="I178" s="6" t="e">
        <f t="shared" si="37"/>
        <v>#REF!</v>
      </c>
      <c r="J178" s="6" t="s">
        <v>84</v>
      </c>
      <c r="K178" s="6" t="s">
        <v>92</v>
      </c>
      <c r="L178" s="7" t="e">
        <f t="shared" si="38"/>
        <v>#REF!</v>
      </c>
      <c r="M178" s="7" t="s">
        <v>94</v>
      </c>
      <c r="O178" s="7" t="str">
        <f>IF(OR($C178="",$C178="FID YOK"),"",IF(ISNUMBER(MATCH($C178,FA_ANA,0)),"",IF(COUNTIF($C$1:$C177,$C178)&gt;0,"",MAX($O$1:$O177)+1)))</f>
        <v/>
      </c>
      <c r="T178" s="7">
        <f>IF(ISNA(MATCH($C178,FA,0)),0,IF($J178="GIRIS",N(INDEX(F_INKOR,MATCH($C178,FA,0))),0))</f>
        <v>0</v>
      </c>
      <c r="Y178" s="7" t="e">
        <f>N(#REF!)*IF($E178="упак",MAX(1,IF(ISNA(MATCH($C178,FA,0)),1,N(INDEX(F_PAKET,MATCH($C178,FA,0))))),1)</f>
        <v>#REF!</v>
      </c>
      <c r="Z178" s="7" t="e">
        <f t="shared" si="39"/>
        <v>#REF!</v>
      </c>
      <c r="AA178" s="7">
        <f>IF(OR(ISNA(MATCH($C178,FA,0)),$J178="YEDEK",$J178="SARF"),0,N(#REF!)*N(INDEX(F_TEL,MATCH($C178,FA,0))))</f>
        <v>0</v>
      </c>
      <c r="AB178" s="7">
        <f>IF(OR(ISNA(MATCH($C178,FA,0)),$J178="YEDEK",$J178="SARF"),0,N(#REF!)*N(INDEX(F_TELM,MATCH($C178,FA,0))))</f>
        <v>0</v>
      </c>
      <c r="AC178" s="7" t="e">
        <f t="shared" si="40"/>
        <v>#REF!</v>
      </c>
      <c r="AD178" s="7">
        <f>IF(OR(ISNA(MATCH($C178,FA,0)),$J178&lt;&gt;"CIKIS"),0,N(INDEX(F_KK,MATCH($C178,FA,0))))</f>
        <v>0</v>
      </c>
      <c r="AE178" s="7">
        <f>IF($AD178=0,0,N(#REF!)*N(INDEX(F_KLN,MATCH($C178,FA,0))))</f>
        <v>0</v>
      </c>
      <c r="AF178" s="7">
        <f>IF($AD178=0,0,N(#REF!)*N(INDEX(F_KPE,MATCH($C178,FA,0))))</f>
        <v>0</v>
      </c>
      <c r="AG178" s="7" t="e">
        <f>IF(ISNA(MATCH($C178,FA,0)),0,N(#REF!)*N(INDEX(F_MODUL,MATCH($C178,FA,0))))</f>
        <v>#REF!</v>
      </c>
      <c r="AH178" s="7" t="e">
        <f>N(#REF!)*N($I178)</f>
        <v>#REF!</v>
      </c>
      <c r="AI178" s="7" t="e">
        <f t="shared" si="41"/>
        <v>#REF!</v>
      </c>
      <c r="AJ178" s="7">
        <f t="shared" si="42"/>
        <v>0</v>
      </c>
    </row>
    <row r="179" spans="1:36" x14ac:dyDescent="0.25">
      <c r="A179" s="4" t="str">
        <f t="shared" si="36"/>
        <v>ВРУ-П (Ввод + Секция 1) (ВРУ1-15-30)(ВРУ1-41-00А)(260922 akram aulet)</v>
      </c>
      <c r="B179" s="4" t="s">
        <v>92</v>
      </c>
      <c r="C179" s="4" t="s">
        <v>531</v>
      </c>
      <c r="D179" s="4" t="s">
        <v>532</v>
      </c>
      <c r="E179" s="4" t="s">
        <v>520</v>
      </c>
      <c r="F179" s="4" t="s">
        <v>521</v>
      </c>
      <c r="G179" s="4" t="s">
        <v>38</v>
      </c>
      <c r="H179" s="5" t="e">
        <f>#REF!</f>
        <v>#REF!</v>
      </c>
      <c r="I179" s="6" t="e">
        <f t="shared" si="37"/>
        <v>#REF!</v>
      </c>
      <c r="J179" s="6" t="s">
        <v>84</v>
      </c>
      <c r="K179" s="6" t="s">
        <v>92</v>
      </c>
      <c r="L179" s="7" t="e">
        <f t="shared" si="38"/>
        <v>#REF!</v>
      </c>
      <c r="M179" s="7" t="s">
        <v>95</v>
      </c>
      <c r="O179" s="7" t="str">
        <f>IF(OR($C179="",$C179="FID YOK"),"",IF(ISNUMBER(MATCH($C179,FA_ANA,0)),"",IF(COUNTIF($C$1:$C178,$C179)&gt;0,"",MAX($O$1:$O178)+1)))</f>
        <v/>
      </c>
      <c r="T179" s="7">
        <f>IF(ISNA(MATCH($C179,FA,0)),0,IF($J179="GIRIS",N(INDEX(F_INKOR,MATCH($C179,FA,0))),0))</f>
        <v>0</v>
      </c>
      <c r="Y179" s="7" t="e">
        <f>N(#REF!)*IF($E179="упак",MAX(1,IF(ISNA(MATCH($C179,FA,0)),1,N(INDEX(F_PAKET,MATCH($C179,FA,0))))),1)</f>
        <v>#REF!</v>
      </c>
      <c r="Z179" s="7" t="e">
        <f t="shared" si="39"/>
        <v>#REF!</v>
      </c>
      <c r="AA179" s="7">
        <f>IF(OR(ISNA(MATCH($C179,FA,0)),$J179="YEDEK",$J179="SARF"),0,N(#REF!)*N(INDEX(F_TEL,MATCH($C179,FA,0))))</f>
        <v>0</v>
      </c>
      <c r="AB179" s="7">
        <f>IF(OR(ISNA(MATCH($C179,FA,0)),$J179="YEDEK",$J179="SARF"),0,N(#REF!)*N(INDEX(F_TELM,MATCH($C179,FA,0))))</f>
        <v>0</v>
      </c>
      <c r="AC179" s="7" t="e">
        <f t="shared" si="40"/>
        <v>#REF!</v>
      </c>
      <c r="AD179" s="7">
        <f>IF(OR(ISNA(MATCH($C179,FA,0)),$J179&lt;&gt;"CIKIS"),0,N(INDEX(F_KK,MATCH($C179,FA,0))))</f>
        <v>0</v>
      </c>
      <c r="AE179" s="7">
        <f>IF($AD179=0,0,N(#REF!)*N(INDEX(F_KLN,MATCH($C179,FA,0))))</f>
        <v>0</v>
      </c>
      <c r="AF179" s="7">
        <f>IF($AD179=0,0,N(#REF!)*N(INDEX(F_KPE,MATCH($C179,FA,0))))</f>
        <v>0</v>
      </c>
      <c r="AG179" s="7" t="e">
        <f>IF(ISNA(MATCH($C179,FA,0)),0,N(#REF!)*N(INDEX(F_MODUL,MATCH($C179,FA,0))))</f>
        <v>#REF!</v>
      </c>
      <c r="AH179" s="7" t="e">
        <f>N(#REF!)*N($I179)</f>
        <v>#REF!</v>
      </c>
      <c r="AI179" s="7" t="e">
        <f t="shared" si="41"/>
        <v>#REF!</v>
      </c>
      <c r="AJ179" s="7">
        <f t="shared" si="42"/>
        <v>0</v>
      </c>
    </row>
    <row r="180" spans="1:36" x14ac:dyDescent="0.25">
      <c r="A180" s="4" t="str">
        <f t="shared" si="36"/>
        <v>ВРУ-П (Ввод + Секция 1) (ВРУ1-15-30)(ВРУ1-41-00А)(260922 akram aulet)</v>
      </c>
      <c r="B180" s="4" t="s">
        <v>92</v>
      </c>
      <c r="C180" s="4" t="s">
        <v>535</v>
      </c>
      <c r="D180" s="4" t="s">
        <v>536</v>
      </c>
      <c r="E180" s="4" t="s">
        <v>520</v>
      </c>
      <c r="F180" s="4" t="s">
        <v>521</v>
      </c>
      <c r="G180" s="4" t="s">
        <v>38</v>
      </c>
      <c r="H180" s="5" t="e">
        <f>#REF!</f>
        <v>#REF!</v>
      </c>
      <c r="I180" s="6" t="e">
        <f t="shared" si="37"/>
        <v>#REF!</v>
      </c>
      <c r="J180" s="6" t="s">
        <v>84</v>
      </c>
      <c r="K180" s="6" t="s">
        <v>92</v>
      </c>
      <c r="L180" s="7" t="e">
        <f t="shared" si="38"/>
        <v>#REF!</v>
      </c>
      <c r="M180" s="7" t="s">
        <v>130</v>
      </c>
      <c r="O180" s="7" t="str">
        <f>IF(OR($C180="",$C180="FID YOK"),"",IF(ISNUMBER(MATCH($C180,FA_ANA,0)),"",IF(COUNTIF($C$1:$C179,$C180)&gt;0,"",MAX($O$1:$O179)+1)))</f>
        <v/>
      </c>
      <c r="T180" s="7">
        <f>IF(ISNA(MATCH($C180,FA,0)),0,IF($J180="GIRIS",N(INDEX(F_INKOR,MATCH($C180,FA,0))),0))</f>
        <v>0</v>
      </c>
      <c r="Y180" s="7" t="e">
        <f>N(#REF!)*IF($E180="упак",MAX(1,IF(ISNA(MATCH($C180,FA,0)),1,N(INDEX(F_PAKET,MATCH($C180,FA,0))))),1)</f>
        <v>#REF!</v>
      </c>
      <c r="Z180" s="7" t="e">
        <f t="shared" si="39"/>
        <v>#REF!</v>
      </c>
      <c r="AA180" s="7">
        <f>IF(OR(ISNA(MATCH($C180,FA,0)),$J180="YEDEK",$J180="SARF"),0,N(#REF!)*N(INDEX(F_TEL,MATCH($C180,FA,0))))</f>
        <v>0</v>
      </c>
      <c r="AB180" s="7">
        <f>IF(OR(ISNA(MATCH($C180,FA,0)),$J180="YEDEK",$J180="SARF"),0,N(#REF!)*N(INDEX(F_TELM,MATCH($C180,FA,0))))</f>
        <v>0</v>
      </c>
      <c r="AC180" s="7" t="e">
        <f t="shared" si="40"/>
        <v>#REF!</v>
      </c>
      <c r="AD180" s="7">
        <f>IF(OR(ISNA(MATCH($C180,FA,0)),$J180&lt;&gt;"CIKIS"),0,N(INDEX(F_KK,MATCH($C180,FA,0))))</f>
        <v>0</v>
      </c>
      <c r="AE180" s="7">
        <f>IF($AD180=0,0,N(#REF!)*N(INDEX(F_KLN,MATCH($C180,FA,0))))</f>
        <v>0</v>
      </c>
      <c r="AF180" s="7">
        <f>IF($AD180=0,0,N(#REF!)*N(INDEX(F_KPE,MATCH($C180,FA,0))))</f>
        <v>0</v>
      </c>
      <c r="AG180" s="7" t="e">
        <f>IF(ISNA(MATCH($C180,FA,0)),0,N(#REF!)*N(INDEX(F_MODUL,MATCH($C180,FA,0))))</f>
        <v>#REF!</v>
      </c>
      <c r="AH180" s="7" t="e">
        <f>N(#REF!)*N($I180)</f>
        <v>#REF!</v>
      </c>
      <c r="AI180" s="7" t="e">
        <f t="shared" si="41"/>
        <v>#REF!</v>
      </c>
      <c r="AJ180" s="7">
        <f t="shared" si="42"/>
        <v>0</v>
      </c>
    </row>
    <row r="181" spans="1:36" x14ac:dyDescent="0.25">
      <c r="A181" s="4" t="str">
        <f t="shared" si="36"/>
        <v>ВРУ-П (Ввод + Секция 1) (ВРУ1-15-30)(ВРУ1-41-00А)(260922 akram aulet)</v>
      </c>
      <c r="B181" s="4" t="s">
        <v>92</v>
      </c>
      <c r="C181" s="4" t="s">
        <v>541</v>
      </c>
      <c r="D181" s="4" t="s">
        <v>542</v>
      </c>
      <c r="E181" s="4" t="s">
        <v>520</v>
      </c>
      <c r="F181" s="4" t="s">
        <v>521</v>
      </c>
      <c r="G181" s="4" t="s">
        <v>38</v>
      </c>
      <c r="H181" s="5" t="e">
        <f>#REF!</f>
        <v>#REF!</v>
      </c>
      <c r="I181" s="6" t="e">
        <f t="shared" si="37"/>
        <v>#REF!</v>
      </c>
      <c r="J181" s="6" t="s">
        <v>84</v>
      </c>
      <c r="K181" s="6" t="s">
        <v>92</v>
      </c>
      <c r="L181" s="7" t="e">
        <f t="shared" si="38"/>
        <v>#REF!</v>
      </c>
      <c r="M181" s="7" t="s">
        <v>96</v>
      </c>
      <c r="O181" s="7" t="str">
        <f>IF(OR($C181="",$C181="FID YOK"),"",IF(ISNUMBER(MATCH($C181,FA_ANA,0)),"",IF(COUNTIF($C$1:$C180,$C181)&gt;0,"",MAX($O$1:$O180)+1)))</f>
        <v/>
      </c>
      <c r="T181" s="7">
        <f>IF(ISNA(MATCH($C181,FA,0)),0,IF($J181="GIRIS",N(INDEX(F_INKOR,MATCH($C181,FA,0))),0))</f>
        <v>0</v>
      </c>
      <c r="Y181" s="7" t="e">
        <f>N(#REF!)*IF($E181="упак",MAX(1,IF(ISNA(MATCH($C181,FA,0)),1,N(INDEX(F_PAKET,MATCH($C181,FA,0))))),1)</f>
        <v>#REF!</v>
      </c>
      <c r="Z181" s="7" t="e">
        <f t="shared" si="39"/>
        <v>#REF!</v>
      </c>
      <c r="AA181" s="7">
        <f>IF(OR(ISNA(MATCH($C181,FA,0)),$J181="YEDEK",$J181="SARF"),0,N(#REF!)*N(INDEX(F_TEL,MATCH($C181,FA,0))))</f>
        <v>0</v>
      </c>
      <c r="AB181" s="7">
        <f>IF(OR(ISNA(MATCH($C181,FA,0)),$J181="YEDEK",$J181="SARF"),0,N(#REF!)*N(INDEX(F_TELM,MATCH($C181,FA,0))))</f>
        <v>0</v>
      </c>
      <c r="AC181" s="7" t="e">
        <f t="shared" si="40"/>
        <v>#REF!</v>
      </c>
      <c r="AD181" s="7">
        <f>IF(OR(ISNA(MATCH($C181,FA,0)),$J181&lt;&gt;"CIKIS"),0,N(INDEX(F_KK,MATCH($C181,FA,0))))</f>
        <v>0</v>
      </c>
      <c r="AE181" s="7">
        <f>IF($AD181=0,0,N(#REF!)*N(INDEX(F_KLN,MATCH($C181,FA,0))))</f>
        <v>0</v>
      </c>
      <c r="AF181" s="7">
        <f>IF($AD181=0,0,N(#REF!)*N(INDEX(F_KPE,MATCH($C181,FA,0))))</f>
        <v>0</v>
      </c>
      <c r="AG181" s="7" t="e">
        <f>IF(ISNA(MATCH($C181,FA,0)),0,N(#REF!)*N(INDEX(F_MODUL,MATCH($C181,FA,0))))</f>
        <v>#REF!</v>
      </c>
      <c r="AH181" s="7" t="e">
        <f>N(#REF!)*N($I181)</f>
        <v>#REF!</v>
      </c>
      <c r="AI181" s="7" t="e">
        <f t="shared" si="41"/>
        <v>#REF!</v>
      </c>
      <c r="AJ181" s="7">
        <f t="shared" si="42"/>
        <v>0</v>
      </c>
    </row>
    <row r="182" spans="1:36" x14ac:dyDescent="0.25">
      <c r="A182" s="4" t="str">
        <f t="shared" si="36"/>
        <v>ВРУ-П (Ввод + Секция 1) (ВРУ1-15-30)(ВРУ1-41-00А)(260922 akram aulet)</v>
      </c>
      <c r="B182" s="4" t="s">
        <v>92</v>
      </c>
      <c r="C182" s="4" t="s">
        <v>551</v>
      </c>
      <c r="D182" s="4" t="s">
        <v>552</v>
      </c>
      <c r="E182" s="4" t="s">
        <v>520</v>
      </c>
      <c r="F182" s="4" t="s">
        <v>521</v>
      </c>
      <c r="G182" s="4" t="s">
        <v>38</v>
      </c>
      <c r="H182" s="5" t="e">
        <f>#REF!</f>
        <v>#REF!</v>
      </c>
      <c r="I182" s="6" t="e">
        <f t="shared" si="37"/>
        <v>#REF!</v>
      </c>
      <c r="J182" s="6" t="s">
        <v>84</v>
      </c>
      <c r="K182" s="6" t="s">
        <v>92</v>
      </c>
      <c r="L182" s="7" t="e">
        <f t="shared" si="38"/>
        <v>#REF!</v>
      </c>
      <c r="M182" s="7" t="s">
        <v>97</v>
      </c>
      <c r="O182" s="7" t="str">
        <f>IF(OR($C182="",$C182="FID YOK"),"",IF(ISNUMBER(MATCH($C182,FA_ANA,0)),"",IF(COUNTIF($C$1:$C181,$C182)&gt;0,"",MAX($O$1:$O181)+1)))</f>
        <v/>
      </c>
      <c r="T182" s="7">
        <f>IF(ISNA(MATCH($C182,FA,0)),0,IF($J182="GIRIS",N(INDEX(F_INKOR,MATCH($C182,FA,0))),0))</f>
        <v>0</v>
      </c>
      <c r="Y182" s="7" t="e">
        <f>N(#REF!)*IF($E182="упак",MAX(1,IF(ISNA(MATCH($C182,FA,0)),1,N(INDEX(F_PAKET,MATCH($C182,FA,0))))),1)</f>
        <v>#REF!</v>
      </c>
      <c r="Z182" s="7" t="e">
        <f t="shared" si="39"/>
        <v>#REF!</v>
      </c>
      <c r="AA182" s="7">
        <f>IF(OR(ISNA(MATCH($C182,FA,0)),$J182="YEDEK",$J182="SARF"),0,N(#REF!)*N(INDEX(F_TEL,MATCH($C182,FA,0))))</f>
        <v>0</v>
      </c>
      <c r="AB182" s="7">
        <f>IF(OR(ISNA(MATCH($C182,FA,0)),$J182="YEDEK",$J182="SARF"),0,N(#REF!)*N(INDEX(F_TELM,MATCH($C182,FA,0))))</f>
        <v>0</v>
      </c>
      <c r="AC182" s="7" t="e">
        <f t="shared" si="40"/>
        <v>#REF!</v>
      </c>
      <c r="AD182" s="7">
        <f>IF(OR(ISNA(MATCH($C182,FA,0)),$J182&lt;&gt;"CIKIS"),0,N(INDEX(F_KK,MATCH($C182,FA,0))))</f>
        <v>0</v>
      </c>
      <c r="AE182" s="7">
        <f>IF($AD182=0,0,N(#REF!)*N(INDEX(F_KLN,MATCH($C182,FA,0))))</f>
        <v>0</v>
      </c>
      <c r="AF182" s="7">
        <f>IF($AD182=0,0,N(#REF!)*N(INDEX(F_KPE,MATCH($C182,FA,0))))</f>
        <v>0</v>
      </c>
      <c r="AG182" s="7" t="e">
        <f>IF(ISNA(MATCH($C182,FA,0)),0,N(#REF!)*N(INDEX(F_MODUL,MATCH($C182,FA,0))))</f>
        <v>#REF!</v>
      </c>
      <c r="AH182" s="7" t="e">
        <f>N(#REF!)*N($I182)</f>
        <v>#REF!</v>
      </c>
      <c r="AI182" s="7" t="e">
        <f t="shared" si="41"/>
        <v>#REF!</v>
      </c>
      <c r="AJ182" s="7">
        <f t="shared" si="42"/>
        <v>0</v>
      </c>
    </row>
    <row r="183" spans="1:36" x14ac:dyDescent="0.25">
      <c r="A183" s="4" t="str">
        <f t="shared" si="36"/>
        <v>ВРУ-П (Ввод + Секция 1) (ВРУ1-15-30)(ВРУ1-41-00А)(260922 akram aulet)</v>
      </c>
      <c r="B183" s="4" t="s">
        <v>92</v>
      </c>
      <c r="C183" s="4" t="s">
        <v>563</v>
      </c>
      <c r="D183" s="4" t="s">
        <v>564</v>
      </c>
      <c r="E183" s="4" t="s">
        <v>520</v>
      </c>
      <c r="F183" s="4" t="s">
        <v>521</v>
      </c>
      <c r="G183" s="4" t="s">
        <v>38</v>
      </c>
      <c r="H183" s="5" t="e">
        <f>#REF!</f>
        <v>#REF!</v>
      </c>
      <c r="I183" s="6" t="e">
        <f t="shared" si="37"/>
        <v>#REF!</v>
      </c>
      <c r="J183" s="6" t="s">
        <v>84</v>
      </c>
      <c r="K183" s="6" t="s">
        <v>92</v>
      </c>
      <c r="L183" s="7" t="e">
        <f t="shared" si="38"/>
        <v>#REF!</v>
      </c>
      <c r="M183" s="7" t="s">
        <v>177</v>
      </c>
      <c r="O183" s="7">
        <f>IF(OR($C183="",$C183="FID YOK"),"",IF(ISNUMBER(MATCH($C183,FA_ANA,0)),"",IF(COUNTIF($C$1:$C182,$C183)&gt;0,"",MAX($O$1:$O182)+1)))</f>
        <v>55</v>
      </c>
      <c r="T183" s="7">
        <f>IF(ISNA(MATCH($C183,FA,0)),0,IF($J183="GIRIS",N(INDEX(F_INKOR,MATCH($C183,FA,0))),0))</f>
        <v>0</v>
      </c>
      <c r="Y183" s="7" t="e">
        <f>N(#REF!)*IF($E183="упак",MAX(1,IF(ISNA(MATCH($C183,FA,0)),1,N(INDEX(F_PAKET,MATCH($C183,FA,0))))),1)</f>
        <v>#REF!</v>
      </c>
      <c r="Z183" s="7" t="e">
        <f t="shared" si="39"/>
        <v>#REF!</v>
      </c>
      <c r="AA183" s="7">
        <f>IF(OR(ISNA(MATCH($C183,FA,0)),$J183="YEDEK",$J183="SARF"),0,N(#REF!)*N(INDEX(F_TEL,MATCH($C183,FA,0))))</f>
        <v>0</v>
      </c>
      <c r="AB183" s="7">
        <f>IF(OR(ISNA(MATCH($C183,FA,0)),$J183="YEDEK",$J183="SARF"),0,N(#REF!)*N(INDEX(F_TELM,MATCH($C183,FA,0))))</f>
        <v>0</v>
      </c>
      <c r="AC183" s="7" t="e">
        <f t="shared" si="40"/>
        <v>#REF!</v>
      </c>
      <c r="AD183" s="7">
        <f>IF(OR(ISNA(MATCH($C183,FA,0)),$J183&lt;&gt;"CIKIS"),0,N(INDEX(F_KK,MATCH($C183,FA,0))))</f>
        <v>0</v>
      </c>
      <c r="AE183" s="7">
        <f>IF($AD183=0,0,N(#REF!)*N(INDEX(F_KLN,MATCH($C183,FA,0))))</f>
        <v>0</v>
      </c>
      <c r="AF183" s="7">
        <f>IF($AD183=0,0,N(#REF!)*N(INDEX(F_KPE,MATCH($C183,FA,0))))</f>
        <v>0</v>
      </c>
      <c r="AG183" s="7" t="e">
        <f>IF(ISNA(MATCH($C183,FA,0)),0,N(#REF!)*N(INDEX(F_MODUL,MATCH($C183,FA,0))))</f>
        <v>#REF!</v>
      </c>
      <c r="AH183" s="7" t="e">
        <f>N(#REF!)*N($I183)</f>
        <v>#REF!</v>
      </c>
      <c r="AI183" s="7" t="e">
        <f t="shared" si="41"/>
        <v>#REF!</v>
      </c>
      <c r="AJ183" s="7">
        <f t="shared" si="42"/>
        <v>0</v>
      </c>
    </row>
    <row r="184" spans="1:36" x14ac:dyDescent="0.25">
      <c r="A184" s="4" t="str">
        <f t="shared" si="36"/>
        <v>ВРУ-П (Ввод + Секция 1) (ВРУ1-15-30)(ВРУ1-41-00А)(260922 akram aulet)</v>
      </c>
      <c r="B184" s="4" t="s">
        <v>92</v>
      </c>
      <c r="C184" s="4" t="s">
        <v>567</v>
      </c>
      <c r="D184" s="4" t="s">
        <v>568</v>
      </c>
      <c r="E184" s="4" t="s">
        <v>520</v>
      </c>
      <c r="F184" s="4" t="s">
        <v>521</v>
      </c>
      <c r="G184" s="4" t="s">
        <v>38</v>
      </c>
      <c r="H184" s="5" t="e">
        <f>#REF!</f>
        <v>#REF!</v>
      </c>
      <c r="I184" s="6" t="e">
        <f t="shared" si="37"/>
        <v>#REF!</v>
      </c>
      <c r="J184" s="6" t="s">
        <v>84</v>
      </c>
      <c r="K184" s="6" t="s">
        <v>92</v>
      </c>
      <c r="L184" s="7" t="e">
        <f t="shared" si="38"/>
        <v>#REF!</v>
      </c>
      <c r="M184" s="7" t="s">
        <v>99</v>
      </c>
      <c r="O184" s="7" t="str">
        <f>IF(OR($C184="",$C184="FID YOK"),"",IF(ISNUMBER(MATCH($C184,FA_ANA,0)),"",IF(COUNTIF($C$1:$C183,$C184)&gt;0,"",MAX($O$1:$O183)+1)))</f>
        <v/>
      </c>
      <c r="T184" s="7">
        <f>IF(ISNA(MATCH($C184,FA,0)),0,IF($J184="GIRIS",N(INDEX(F_INKOR,MATCH($C184,FA,0))),0))</f>
        <v>0</v>
      </c>
      <c r="Y184" s="7" t="e">
        <f>N(#REF!)*IF($E184="упак",MAX(1,IF(ISNA(MATCH($C184,FA,0)),1,N(INDEX(F_PAKET,MATCH($C184,FA,0))))),1)</f>
        <v>#REF!</v>
      </c>
      <c r="Z184" s="7" t="e">
        <f t="shared" si="39"/>
        <v>#REF!</v>
      </c>
      <c r="AA184" s="7">
        <f>IF(OR(ISNA(MATCH($C184,FA,0)),$J184="YEDEK",$J184="SARF"),0,N(#REF!)*N(INDEX(F_TEL,MATCH($C184,FA,0))))</f>
        <v>0</v>
      </c>
      <c r="AB184" s="7">
        <f>IF(OR(ISNA(MATCH($C184,FA,0)),$J184="YEDEK",$J184="SARF"),0,N(#REF!)*N(INDEX(F_TELM,MATCH($C184,FA,0))))</f>
        <v>0</v>
      </c>
      <c r="AC184" s="7" t="e">
        <f t="shared" si="40"/>
        <v>#REF!</v>
      </c>
      <c r="AD184" s="7">
        <f>IF(OR(ISNA(MATCH($C184,FA,0)),$J184&lt;&gt;"CIKIS"),0,N(INDEX(F_KK,MATCH($C184,FA,0))))</f>
        <v>0</v>
      </c>
      <c r="AE184" s="7">
        <f>IF($AD184=0,0,N(#REF!)*N(INDEX(F_KLN,MATCH($C184,FA,0))))</f>
        <v>0</v>
      </c>
      <c r="AF184" s="7">
        <f>IF($AD184=0,0,N(#REF!)*N(INDEX(F_KPE,MATCH($C184,FA,0))))</f>
        <v>0</v>
      </c>
      <c r="AG184" s="7" t="e">
        <f>IF(ISNA(MATCH($C184,FA,0)),0,N(#REF!)*N(INDEX(F_MODUL,MATCH($C184,FA,0))))</f>
        <v>#REF!</v>
      </c>
      <c r="AH184" s="7" t="e">
        <f>N(#REF!)*N($I184)</f>
        <v>#REF!</v>
      </c>
      <c r="AI184" s="7" t="e">
        <f t="shared" si="41"/>
        <v>#REF!</v>
      </c>
      <c r="AJ184" s="7">
        <f t="shared" si="42"/>
        <v>0</v>
      </c>
    </row>
    <row r="185" spans="1:36" x14ac:dyDescent="0.25">
      <c r="A185" s="4" t="str">
        <f t="shared" si="36"/>
        <v>ВРУ-П (Ввод + Секция 1) (ВРУ1-15-30)(ВРУ1-41-00А)(260922 akram aulet)</v>
      </c>
      <c r="B185" s="4" t="s">
        <v>92</v>
      </c>
      <c r="C185" s="4" t="s">
        <v>535</v>
      </c>
      <c r="D185" s="4" t="s">
        <v>536</v>
      </c>
      <c r="E185" s="4" t="s">
        <v>520</v>
      </c>
      <c r="F185" s="4" t="s">
        <v>521</v>
      </c>
      <c r="G185" s="4" t="s">
        <v>38</v>
      </c>
      <c r="H185" s="5" t="e">
        <f>#REF!</f>
        <v>#REF!</v>
      </c>
      <c r="I185" s="6" t="e">
        <f t="shared" si="37"/>
        <v>#REF!</v>
      </c>
      <c r="J185" s="6" t="s">
        <v>84</v>
      </c>
      <c r="K185" s="6" t="s">
        <v>92</v>
      </c>
      <c r="L185" s="7" t="e">
        <f t="shared" si="38"/>
        <v>#REF!</v>
      </c>
      <c r="M185" s="7" t="s">
        <v>100</v>
      </c>
      <c r="O185" s="7" t="str">
        <f>IF(OR($C185="",$C185="FID YOK"),"",IF(ISNUMBER(MATCH($C185,FA_ANA,0)),"",IF(COUNTIF($C$1:$C184,$C185)&gt;0,"",MAX($O$1:$O184)+1)))</f>
        <v/>
      </c>
      <c r="T185" s="7">
        <f>IF(ISNA(MATCH($C185,FA,0)),0,IF($J185="GIRIS",N(INDEX(F_INKOR,MATCH($C185,FA,0))),0))</f>
        <v>0</v>
      </c>
      <c r="Y185" s="7" t="e">
        <f>N(#REF!)*IF($E185="упак",MAX(1,IF(ISNA(MATCH($C185,FA,0)),1,N(INDEX(F_PAKET,MATCH($C185,FA,0))))),1)</f>
        <v>#REF!</v>
      </c>
      <c r="Z185" s="7" t="e">
        <f t="shared" si="39"/>
        <v>#REF!</v>
      </c>
      <c r="AA185" s="7">
        <f>IF(OR(ISNA(MATCH($C185,FA,0)),$J185="YEDEK",$J185="SARF"),0,N(#REF!)*N(INDEX(F_TEL,MATCH($C185,FA,0))))</f>
        <v>0</v>
      </c>
      <c r="AB185" s="7">
        <f>IF(OR(ISNA(MATCH($C185,FA,0)),$J185="YEDEK",$J185="SARF"),0,N(#REF!)*N(INDEX(F_TELM,MATCH($C185,FA,0))))</f>
        <v>0</v>
      </c>
      <c r="AC185" s="7" t="e">
        <f t="shared" si="40"/>
        <v>#REF!</v>
      </c>
      <c r="AD185" s="7">
        <f>IF(OR(ISNA(MATCH($C185,FA,0)),$J185&lt;&gt;"CIKIS"),0,N(INDEX(F_KK,MATCH($C185,FA,0))))</f>
        <v>0</v>
      </c>
      <c r="AE185" s="7">
        <f>IF($AD185=0,0,N(#REF!)*N(INDEX(F_KLN,MATCH($C185,FA,0))))</f>
        <v>0</v>
      </c>
      <c r="AF185" s="7">
        <f>IF($AD185=0,0,N(#REF!)*N(INDEX(F_KPE,MATCH($C185,FA,0))))</f>
        <v>0</v>
      </c>
      <c r="AG185" s="7" t="e">
        <f>IF(ISNA(MATCH($C185,FA,0)),0,N(#REF!)*N(INDEX(F_MODUL,MATCH($C185,FA,0))))</f>
        <v>#REF!</v>
      </c>
      <c r="AH185" s="7" t="e">
        <f>N(#REF!)*N($I185)</f>
        <v>#REF!</v>
      </c>
      <c r="AI185" s="7" t="e">
        <f t="shared" si="41"/>
        <v>#REF!</v>
      </c>
      <c r="AJ185" s="7">
        <f t="shared" si="42"/>
        <v>0</v>
      </c>
    </row>
    <row r="186" spans="1:36" x14ac:dyDescent="0.25">
      <c r="A186" s="4" t="str">
        <f t="shared" si="36"/>
        <v>ВРУ-П (Ввод + Секция 1) (ВРУ1-15-30)(ВРУ1-41-00А)(260922 akram aulet)</v>
      </c>
      <c r="B186" s="4" t="s">
        <v>101</v>
      </c>
      <c r="C186" s="4" t="s">
        <v>525</v>
      </c>
      <c r="D186" s="4" t="s">
        <v>526</v>
      </c>
      <c r="E186" s="4" t="s">
        <v>522</v>
      </c>
      <c r="F186" s="4" t="s">
        <v>486</v>
      </c>
      <c r="G186" s="4" t="s">
        <v>38</v>
      </c>
      <c r="H186" s="5" t="e">
        <f>#REF!</f>
        <v>#REF!</v>
      </c>
      <c r="I186" s="6" t="e">
        <f t="shared" si="37"/>
        <v>#REF!</v>
      </c>
      <c r="J186" s="6" t="s">
        <v>84</v>
      </c>
      <c r="K186" s="6" t="s">
        <v>101</v>
      </c>
      <c r="L186" s="7" t="e">
        <f t="shared" si="38"/>
        <v>#REF!</v>
      </c>
      <c r="M186" s="7" t="s">
        <v>102</v>
      </c>
      <c r="O186" s="7" t="str">
        <f>IF(OR($C186="",$C186="FID YOK"),"",IF(ISNUMBER(MATCH($C186,FA_ANA,0)),"",IF(COUNTIF($C$1:$C185,$C186)&gt;0,"",MAX($O$1:$O185)+1)))</f>
        <v/>
      </c>
      <c r="T186" s="7">
        <f>IF(ISNA(MATCH($C186,FA,0)),0,IF($J186="GIRIS",N(INDEX(F_INKOR,MATCH($C186,FA,0))),0))</f>
        <v>0</v>
      </c>
      <c r="Y186" s="7" t="e">
        <f>N(#REF!)*IF($E186="упак",MAX(1,IF(ISNA(MATCH($C186,FA,0)),1,N(INDEX(F_PAKET,MATCH($C186,FA,0))))),1)</f>
        <v>#REF!</v>
      </c>
      <c r="Z186" s="7" t="e">
        <f t="shared" si="39"/>
        <v>#REF!</v>
      </c>
      <c r="AA186" s="7">
        <f>IF(OR(ISNA(MATCH($C186,FA,0)),$J186="YEDEK",$J186="SARF"),0,N(#REF!)*N(INDEX(F_TEL,MATCH($C186,FA,0))))</f>
        <v>0</v>
      </c>
      <c r="AB186" s="7">
        <f>IF(OR(ISNA(MATCH($C186,FA,0)),$J186="YEDEK",$J186="SARF"),0,N(#REF!)*N(INDEX(F_TELM,MATCH($C186,FA,0))))</f>
        <v>0</v>
      </c>
      <c r="AC186" s="7" t="e">
        <f t="shared" si="40"/>
        <v>#REF!</v>
      </c>
      <c r="AD186" s="7">
        <f>IF(OR(ISNA(MATCH($C186,FA,0)),$J186&lt;&gt;"CIKIS"),0,N(INDEX(F_KK,MATCH($C186,FA,0))))</f>
        <v>0</v>
      </c>
      <c r="AE186" s="7">
        <f>IF($AD186=0,0,N(#REF!)*N(INDEX(F_KLN,MATCH($C186,FA,0))))</f>
        <v>0</v>
      </c>
      <c r="AF186" s="7">
        <f>IF($AD186=0,0,N(#REF!)*N(INDEX(F_KPE,MATCH($C186,FA,0))))</f>
        <v>0</v>
      </c>
      <c r="AG186" s="7" t="e">
        <f>IF(ISNA(MATCH($C186,FA,0)),0,N(#REF!)*N(INDEX(F_MODUL,MATCH($C186,FA,0))))</f>
        <v>#REF!</v>
      </c>
      <c r="AH186" s="7" t="e">
        <f>N(#REF!)*N($I186)</f>
        <v>#REF!</v>
      </c>
      <c r="AI186" s="7" t="e">
        <f t="shared" si="41"/>
        <v>#REF!</v>
      </c>
      <c r="AJ186" s="7">
        <f t="shared" si="42"/>
        <v>0</v>
      </c>
    </row>
    <row r="187" spans="1:36" x14ac:dyDescent="0.25">
      <c r="A187" s="4" t="str">
        <f t="shared" si="36"/>
        <v>ВРУ-П (Ввод + Секция 1) (ВРУ1-15-30)(ВРУ1-41-00А)(260922 akram aulet)</v>
      </c>
      <c r="B187" s="4" t="s">
        <v>101</v>
      </c>
      <c r="C187" s="4" t="s">
        <v>529</v>
      </c>
      <c r="D187" s="4" t="s">
        <v>530</v>
      </c>
      <c r="E187" s="4" t="s">
        <v>522</v>
      </c>
      <c r="F187" s="4" t="s">
        <v>486</v>
      </c>
      <c r="G187" s="4" t="s">
        <v>38</v>
      </c>
      <c r="H187" s="5" t="e">
        <f>#REF!</f>
        <v>#REF!</v>
      </c>
      <c r="I187" s="6" t="e">
        <f t="shared" si="37"/>
        <v>#REF!</v>
      </c>
      <c r="J187" s="6" t="s">
        <v>84</v>
      </c>
      <c r="K187" s="6" t="s">
        <v>101</v>
      </c>
      <c r="L187" s="7" t="e">
        <f t="shared" si="38"/>
        <v>#REF!</v>
      </c>
      <c r="M187" s="7" t="s">
        <v>103</v>
      </c>
      <c r="O187" s="7" t="str">
        <f>IF(OR($C187="",$C187="FID YOK"),"",IF(ISNUMBER(MATCH($C187,FA_ANA,0)),"",IF(COUNTIF($C$1:$C186,$C187)&gt;0,"",MAX($O$1:$O186)+1)))</f>
        <v/>
      </c>
      <c r="T187" s="7">
        <f>IF(ISNA(MATCH($C187,FA,0)),0,IF($J187="GIRIS",N(INDEX(F_INKOR,MATCH($C187,FA,0))),0))</f>
        <v>0</v>
      </c>
      <c r="Y187" s="7" t="e">
        <f>N(#REF!)*IF($E187="упак",MAX(1,IF(ISNA(MATCH($C187,FA,0)),1,N(INDEX(F_PAKET,MATCH($C187,FA,0))))),1)</f>
        <v>#REF!</v>
      </c>
      <c r="Z187" s="7" t="e">
        <f t="shared" si="39"/>
        <v>#REF!</v>
      </c>
      <c r="AA187" s="7">
        <f>IF(OR(ISNA(MATCH($C187,FA,0)),$J187="YEDEK",$J187="SARF"),0,N(#REF!)*N(INDEX(F_TEL,MATCH($C187,FA,0))))</f>
        <v>0</v>
      </c>
      <c r="AB187" s="7">
        <f>IF(OR(ISNA(MATCH($C187,FA,0)),$J187="YEDEK",$J187="SARF"),0,N(#REF!)*N(INDEX(F_TELM,MATCH($C187,FA,0))))</f>
        <v>0</v>
      </c>
      <c r="AC187" s="7" t="e">
        <f t="shared" si="40"/>
        <v>#REF!</v>
      </c>
      <c r="AD187" s="7">
        <f>IF(OR(ISNA(MATCH($C187,FA,0)),$J187&lt;&gt;"CIKIS"),0,N(INDEX(F_KK,MATCH($C187,FA,0))))</f>
        <v>0</v>
      </c>
      <c r="AE187" s="7">
        <f>IF($AD187=0,0,N(#REF!)*N(INDEX(F_KLN,MATCH($C187,FA,0))))</f>
        <v>0</v>
      </c>
      <c r="AF187" s="7">
        <f>IF($AD187=0,0,N(#REF!)*N(INDEX(F_KPE,MATCH($C187,FA,0))))</f>
        <v>0</v>
      </c>
      <c r="AG187" s="7" t="e">
        <f>IF(ISNA(MATCH($C187,FA,0)),0,N(#REF!)*N(INDEX(F_MODUL,MATCH($C187,FA,0))))</f>
        <v>#REF!</v>
      </c>
      <c r="AH187" s="7" t="e">
        <f>N(#REF!)*N($I187)</f>
        <v>#REF!</v>
      </c>
      <c r="AI187" s="7" t="e">
        <f t="shared" si="41"/>
        <v>#REF!</v>
      </c>
      <c r="AJ187" s="7">
        <f t="shared" si="42"/>
        <v>0</v>
      </c>
    </row>
    <row r="188" spans="1:36" x14ac:dyDescent="0.25">
      <c r="A188" s="4" t="e">
        <f>#REF!</f>
        <v>#REF!</v>
      </c>
      <c r="B188" s="4" t="s">
        <v>105</v>
      </c>
      <c r="C188" s="4" t="s">
        <v>539</v>
      </c>
      <c r="D188" s="4" t="s">
        <v>540</v>
      </c>
      <c r="E188" s="4" t="s">
        <v>114</v>
      </c>
      <c r="F188" s="4" t="s">
        <v>486</v>
      </c>
      <c r="G188" s="4" t="s">
        <v>38</v>
      </c>
      <c r="H188" s="5" t="e">
        <f>#REF!</f>
        <v>#REF!</v>
      </c>
      <c r="I188" s="6" t="e">
        <f>#REF!</f>
        <v>#REF!</v>
      </c>
      <c r="J188" s="6" t="s">
        <v>84</v>
      </c>
      <c r="K188" s="6" t="s">
        <v>105</v>
      </c>
      <c r="L188" s="7" t="e">
        <f t="shared" si="38"/>
        <v>#REF!</v>
      </c>
      <c r="M188" s="7" t="s">
        <v>133</v>
      </c>
      <c r="O188" s="7" t="str">
        <f>IF(OR($C188="",$C188="FID YOK"),"",IF(ISNUMBER(MATCH($C188,FA_ANA,0)),"",IF(COUNTIF($C$1:$C187,$C188)&gt;0,"",MAX($O$1:$O187)+1)))</f>
        <v/>
      </c>
      <c r="T188" s="7">
        <f>IF(ISNA(MATCH($C188,FA,0)),0,IF($J188="GIRIS",N(INDEX(F_INKOR,MATCH($C188,FA,0))),0))</f>
        <v>0</v>
      </c>
      <c r="Y188" s="7" t="e">
        <f>N(#REF!)*IF($E188="упак",MAX(1,IF(ISNA(MATCH($C188,FA,0)),1,N(INDEX(F_PAKET,MATCH($C188,FA,0))))),1)</f>
        <v>#REF!</v>
      </c>
      <c r="Z188" s="7" t="e">
        <f t="shared" si="39"/>
        <v>#REF!</v>
      </c>
      <c r="AA188" s="7">
        <f>IF(OR(ISNA(MATCH($C188,FA,0)),$J188="YEDEK",$J188="SARF"),0,N(#REF!)*N(INDEX(F_TEL,MATCH($C188,FA,0))))</f>
        <v>0</v>
      </c>
      <c r="AB188" s="7">
        <f>IF(OR(ISNA(MATCH($C188,FA,0)),$J188="YEDEK",$J188="SARF"),0,N(#REF!)*N(INDEX(F_TELM,MATCH($C188,FA,0))))</f>
        <v>0</v>
      </c>
      <c r="AC188" s="7" t="e">
        <f t="shared" si="40"/>
        <v>#REF!</v>
      </c>
      <c r="AD188" s="7">
        <f>IF(OR(ISNA(MATCH($C188,FA,0)),$J188&lt;&gt;"CIKIS"),0,N(INDEX(F_KK,MATCH($C188,FA,0))))</f>
        <v>0</v>
      </c>
      <c r="AE188" s="7">
        <f>IF($AD188=0,0,N(#REF!)*N(INDEX(F_KLN,MATCH($C188,FA,0))))</f>
        <v>0</v>
      </c>
      <c r="AF188" s="7">
        <f>IF($AD188=0,0,N(#REF!)*N(INDEX(F_KPE,MATCH($C188,FA,0))))</f>
        <v>0</v>
      </c>
      <c r="AG188" s="7" t="e">
        <f>IF(ISNA(MATCH($C188,FA,0)),0,N(#REF!)*N(INDEX(F_MODUL,MATCH($C188,FA,0))))</f>
        <v>#REF!</v>
      </c>
      <c r="AH188" s="7" t="e">
        <f>N(#REF!)*N($I188)</f>
        <v>#REF!</v>
      </c>
      <c r="AI188" s="7" t="e">
        <f t="shared" si="41"/>
        <v>#REF!</v>
      </c>
      <c r="AJ188" s="7">
        <f t="shared" si="42"/>
        <v>0</v>
      </c>
    </row>
    <row r="189" spans="1:36" x14ac:dyDescent="0.25">
      <c r="A189" s="4" t="e">
        <f t="shared" si="36"/>
        <v>#REF!</v>
      </c>
      <c r="B189" s="4" t="s">
        <v>105</v>
      </c>
      <c r="C189" s="4" t="s">
        <v>543</v>
      </c>
      <c r="D189" s="4" t="s">
        <v>544</v>
      </c>
      <c r="E189" s="4" t="s">
        <v>114</v>
      </c>
      <c r="F189" s="4" t="s">
        <v>486</v>
      </c>
      <c r="G189" s="4" t="s">
        <v>38</v>
      </c>
      <c r="H189" s="5" t="e">
        <f>#REF!</f>
        <v>#REF!</v>
      </c>
      <c r="I189" s="6" t="e">
        <f t="shared" si="37"/>
        <v>#REF!</v>
      </c>
      <c r="J189" s="6" t="s">
        <v>84</v>
      </c>
      <c r="K189" s="6" t="s">
        <v>105</v>
      </c>
      <c r="L189" s="7" t="e">
        <f t="shared" si="38"/>
        <v>#REF!</v>
      </c>
      <c r="M189" s="7" t="s">
        <v>106</v>
      </c>
      <c r="O189" s="7" t="str">
        <f>IF(OR($C189="",$C189="FID YOK"),"",IF(ISNUMBER(MATCH($C189,FA_ANA,0)),"",IF(COUNTIF($C$1:$C188,$C189)&gt;0,"",MAX($O$1:$O188)+1)))</f>
        <v/>
      </c>
      <c r="T189" s="7">
        <f>IF(ISNA(MATCH($C189,FA,0)),0,IF($J189="GIRIS",N(INDEX(F_INKOR,MATCH($C189,FA,0))),0))</f>
        <v>0</v>
      </c>
      <c r="Y189" s="7" t="e">
        <f>N(#REF!)*IF($E189="упак",MAX(1,IF(ISNA(MATCH($C189,FA,0)),1,N(INDEX(F_PAKET,MATCH($C189,FA,0))))),1)</f>
        <v>#REF!</v>
      </c>
      <c r="Z189" s="7" t="e">
        <f t="shared" si="39"/>
        <v>#REF!</v>
      </c>
      <c r="AA189" s="7">
        <f>IF(OR(ISNA(MATCH($C189,FA,0)),$J189="YEDEK",$J189="SARF"),0,N(#REF!)*N(INDEX(F_TEL,MATCH($C189,FA,0))))</f>
        <v>0</v>
      </c>
      <c r="AB189" s="7">
        <f>IF(OR(ISNA(MATCH($C189,FA,0)),$J189="YEDEK",$J189="SARF"),0,N(#REF!)*N(INDEX(F_TELM,MATCH($C189,FA,0))))</f>
        <v>0</v>
      </c>
      <c r="AC189" s="7" t="e">
        <f t="shared" si="40"/>
        <v>#REF!</v>
      </c>
      <c r="AD189" s="7">
        <f>IF(OR(ISNA(MATCH($C189,FA,0)),$J189&lt;&gt;"CIKIS"),0,N(INDEX(F_KK,MATCH($C189,FA,0))))</f>
        <v>0</v>
      </c>
      <c r="AE189" s="7">
        <f>IF($AD189=0,0,N(#REF!)*N(INDEX(F_KLN,MATCH($C189,FA,0))))</f>
        <v>0</v>
      </c>
      <c r="AF189" s="7">
        <f>IF($AD189=0,0,N(#REF!)*N(INDEX(F_KPE,MATCH($C189,FA,0))))</f>
        <v>0</v>
      </c>
      <c r="AG189" s="7" t="e">
        <f>IF(ISNA(MATCH($C189,FA,0)),0,N(#REF!)*N(INDEX(F_MODUL,MATCH($C189,FA,0))))</f>
        <v>#REF!</v>
      </c>
      <c r="AH189" s="7" t="e">
        <f>N(#REF!)*N($I189)</f>
        <v>#REF!</v>
      </c>
      <c r="AI189" s="7" t="e">
        <f t="shared" si="41"/>
        <v>#REF!</v>
      </c>
      <c r="AJ189" s="7">
        <f t="shared" si="42"/>
        <v>0</v>
      </c>
    </row>
    <row r="190" spans="1:36" x14ac:dyDescent="0.25">
      <c r="A190" s="4" t="e">
        <f t="shared" si="36"/>
        <v>#REF!</v>
      </c>
      <c r="B190" s="4" t="s">
        <v>105</v>
      </c>
      <c r="C190" s="4" t="s">
        <v>553</v>
      </c>
      <c r="D190" s="4" t="s">
        <v>554</v>
      </c>
      <c r="E190" s="4" t="s">
        <v>114</v>
      </c>
      <c r="F190" s="4" t="s">
        <v>486</v>
      </c>
      <c r="G190" s="4" t="s">
        <v>38</v>
      </c>
      <c r="H190" s="5" t="e">
        <f>#REF!</f>
        <v>#REF!</v>
      </c>
      <c r="I190" s="6" t="e">
        <f t="shared" si="37"/>
        <v>#REF!</v>
      </c>
      <c r="J190" s="6" t="s">
        <v>84</v>
      </c>
      <c r="K190" s="6" t="s">
        <v>105</v>
      </c>
      <c r="L190" s="7" t="e">
        <f t="shared" si="38"/>
        <v>#REF!</v>
      </c>
      <c r="M190" s="7" t="s">
        <v>107</v>
      </c>
      <c r="O190" s="7" t="str">
        <f>IF(OR($C190="",$C190="FID YOK"),"",IF(ISNUMBER(MATCH($C190,FA_ANA,0)),"",IF(COUNTIF($C$1:$C189,$C190)&gt;0,"",MAX($O$1:$O189)+1)))</f>
        <v/>
      </c>
      <c r="T190" s="7">
        <f>IF(ISNA(MATCH($C190,FA,0)),0,IF($J190="GIRIS",N(INDEX(F_INKOR,MATCH($C190,FA,0))),0))</f>
        <v>0</v>
      </c>
      <c r="Y190" s="7" t="e">
        <f>N(#REF!)*IF($E190="упак",MAX(1,IF(ISNA(MATCH($C190,FA,0)),1,N(INDEX(F_PAKET,MATCH($C190,FA,0))))),1)</f>
        <v>#REF!</v>
      </c>
      <c r="Z190" s="7" t="e">
        <f t="shared" si="39"/>
        <v>#REF!</v>
      </c>
      <c r="AA190" s="7">
        <f>IF(OR(ISNA(MATCH($C190,FA,0)),$J190="YEDEK",$J190="SARF"),0,N(#REF!)*N(INDEX(F_TEL,MATCH($C190,FA,0))))</f>
        <v>0</v>
      </c>
      <c r="AB190" s="7">
        <f>IF(OR(ISNA(MATCH($C190,FA,0)),$J190="YEDEK",$J190="SARF"),0,N(#REF!)*N(INDEX(F_TELM,MATCH($C190,FA,0))))</f>
        <v>0</v>
      </c>
      <c r="AC190" s="7" t="e">
        <f t="shared" si="40"/>
        <v>#REF!</v>
      </c>
      <c r="AD190" s="7">
        <f>IF(OR(ISNA(MATCH($C190,FA,0)),$J190&lt;&gt;"CIKIS"),0,N(INDEX(F_KK,MATCH($C190,FA,0))))</f>
        <v>0</v>
      </c>
      <c r="AE190" s="7">
        <f>IF($AD190=0,0,N(#REF!)*N(INDEX(F_KLN,MATCH($C190,FA,0))))</f>
        <v>0</v>
      </c>
      <c r="AF190" s="7">
        <f>IF($AD190=0,0,N(#REF!)*N(INDEX(F_KPE,MATCH($C190,FA,0))))</f>
        <v>0</v>
      </c>
      <c r="AG190" s="7" t="e">
        <f>IF(ISNA(MATCH($C190,FA,0)),0,N(#REF!)*N(INDEX(F_MODUL,MATCH($C190,FA,0))))</f>
        <v>#REF!</v>
      </c>
      <c r="AH190" s="7" t="e">
        <f>N(#REF!)*N($I190)</f>
        <v>#REF!</v>
      </c>
      <c r="AI190" s="7" t="e">
        <f t="shared" si="41"/>
        <v>#REF!</v>
      </c>
      <c r="AJ190" s="7">
        <f t="shared" si="42"/>
        <v>0</v>
      </c>
    </row>
    <row r="191" spans="1:36" x14ac:dyDescent="0.25">
      <c r="A191" s="4" t="e">
        <f t="shared" si="36"/>
        <v>#REF!</v>
      </c>
      <c r="B191" s="4" t="s">
        <v>105</v>
      </c>
      <c r="C191" s="4" t="s">
        <v>565</v>
      </c>
      <c r="D191" s="4" t="s">
        <v>566</v>
      </c>
      <c r="E191" s="4" t="s">
        <v>114</v>
      </c>
      <c r="F191" s="4" t="s">
        <v>486</v>
      </c>
      <c r="G191" s="4" t="s">
        <v>38</v>
      </c>
      <c r="H191" s="5" t="e">
        <f>#REF!</f>
        <v>#REF!</v>
      </c>
      <c r="I191" s="6" t="e">
        <f t="shared" si="37"/>
        <v>#REF!</v>
      </c>
      <c r="J191" s="6" t="s">
        <v>84</v>
      </c>
      <c r="K191" s="6" t="s">
        <v>105</v>
      </c>
      <c r="L191" s="7" t="e">
        <f t="shared" si="38"/>
        <v>#REF!</v>
      </c>
      <c r="M191" s="7" t="s">
        <v>178</v>
      </c>
      <c r="O191" s="7">
        <f>IF(OR($C191="",$C191="FID YOK"),"",IF(ISNUMBER(MATCH($C191,FA_ANA,0)),"",IF(COUNTIF($C$1:$C190,$C191)&gt;0,"",MAX($O$1:$O190)+1)))</f>
        <v>56</v>
      </c>
      <c r="T191" s="7">
        <f>IF(ISNA(MATCH($C191,FA,0)),0,IF($J191="GIRIS",N(INDEX(F_INKOR,MATCH($C191,FA,0))),0))</f>
        <v>0</v>
      </c>
      <c r="Y191" s="7" t="e">
        <f>N(#REF!)*IF($E191="упак",MAX(1,IF(ISNA(MATCH($C191,FA,0)),1,N(INDEX(F_PAKET,MATCH($C191,FA,0))))),1)</f>
        <v>#REF!</v>
      </c>
      <c r="Z191" s="7" t="e">
        <f t="shared" si="39"/>
        <v>#REF!</v>
      </c>
      <c r="AA191" s="7">
        <f>IF(OR(ISNA(MATCH($C191,FA,0)),$J191="YEDEK",$J191="SARF"),0,N(#REF!)*N(INDEX(F_TEL,MATCH($C191,FA,0))))</f>
        <v>0</v>
      </c>
      <c r="AB191" s="7">
        <f>IF(OR(ISNA(MATCH($C191,FA,0)),$J191="YEDEK",$J191="SARF"),0,N(#REF!)*N(INDEX(F_TELM,MATCH($C191,FA,0))))</f>
        <v>0</v>
      </c>
      <c r="AC191" s="7" t="e">
        <f t="shared" si="40"/>
        <v>#REF!</v>
      </c>
      <c r="AD191" s="7">
        <f>IF(OR(ISNA(MATCH($C191,FA,0)),$J191&lt;&gt;"CIKIS"),0,N(INDEX(F_KK,MATCH($C191,FA,0))))</f>
        <v>0</v>
      </c>
      <c r="AE191" s="7">
        <f>IF($AD191=0,0,N(#REF!)*N(INDEX(F_KLN,MATCH($C191,FA,0))))</f>
        <v>0</v>
      </c>
      <c r="AF191" s="7">
        <f>IF($AD191=0,0,N(#REF!)*N(INDEX(F_KPE,MATCH($C191,FA,0))))</f>
        <v>0</v>
      </c>
      <c r="AG191" s="7" t="e">
        <f>IF(ISNA(MATCH($C191,FA,0)),0,N(#REF!)*N(INDEX(F_MODUL,MATCH($C191,FA,0))))</f>
        <v>#REF!</v>
      </c>
      <c r="AH191" s="7" t="e">
        <f>N(#REF!)*N($I191)</f>
        <v>#REF!</v>
      </c>
      <c r="AI191" s="7" t="e">
        <f t="shared" si="41"/>
        <v>#REF!</v>
      </c>
      <c r="AJ191" s="7">
        <f t="shared" si="42"/>
        <v>0</v>
      </c>
    </row>
    <row r="192" spans="1:36" x14ac:dyDescent="0.25">
      <c r="A192" s="4" t="e">
        <f t="shared" si="36"/>
        <v>#REF!</v>
      </c>
      <c r="B192" s="4" t="s">
        <v>105</v>
      </c>
      <c r="C192" s="4" t="s">
        <v>569</v>
      </c>
      <c r="D192" s="4" t="s">
        <v>570</v>
      </c>
      <c r="E192" s="4" t="s">
        <v>114</v>
      </c>
      <c r="F192" s="4" t="s">
        <v>486</v>
      </c>
      <c r="G192" s="4" t="s">
        <v>38</v>
      </c>
      <c r="H192" s="5" t="e">
        <f>#REF!</f>
        <v>#REF!</v>
      </c>
      <c r="I192" s="6" t="e">
        <f t="shared" si="37"/>
        <v>#REF!</v>
      </c>
      <c r="J192" s="6" t="s">
        <v>84</v>
      </c>
      <c r="K192" s="6" t="s">
        <v>105</v>
      </c>
      <c r="L192" s="7" t="e">
        <f t="shared" si="38"/>
        <v>#REF!</v>
      </c>
      <c r="M192" s="7" t="s">
        <v>109</v>
      </c>
      <c r="O192" s="7" t="str">
        <f>IF(OR($C192="",$C192="FID YOK"),"",IF(ISNUMBER(MATCH($C192,FA_ANA,0)),"",IF(COUNTIF($C$1:$C191,$C192)&gt;0,"",MAX($O$1:$O191)+1)))</f>
        <v/>
      </c>
      <c r="T192" s="7">
        <f>IF(ISNA(MATCH($C192,FA,0)),0,IF($J192="GIRIS",N(INDEX(F_INKOR,MATCH($C192,FA,0))),0))</f>
        <v>0</v>
      </c>
      <c r="Y192" s="7" t="e">
        <f>N(#REF!)*IF($E192="упак",MAX(1,IF(ISNA(MATCH($C192,FA,0)),1,N(INDEX(F_PAKET,MATCH($C192,FA,0))))),1)</f>
        <v>#REF!</v>
      </c>
      <c r="Z192" s="7" t="e">
        <f t="shared" si="39"/>
        <v>#REF!</v>
      </c>
      <c r="AA192" s="7">
        <f>IF(OR(ISNA(MATCH($C192,FA,0)),$J192="YEDEK",$J192="SARF"),0,N(#REF!)*N(INDEX(F_TEL,MATCH($C192,FA,0))))</f>
        <v>0</v>
      </c>
      <c r="AB192" s="7">
        <f>IF(OR(ISNA(MATCH($C192,FA,0)),$J192="YEDEK",$J192="SARF"),0,N(#REF!)*N(INDEX(F_TELM,MATCH($C192,FA,0))))</f>
        <v>0</v>
      </c>
      <c r="AC192" s="7" t="e">
        <f t="shared" si="40"/>
        <v>#REF!</v>
      </c>
      <c r="AD192" s="7">
        <f>IF(OR(ISNA(MATCH($C192,FA,0)),$J192&lt;&gt;"CIKIS"),0,N(INDEX(F_KK,MATCH($C192,FA,0))))</f>
        <v>0</v>
      </c>
      <c r="AE192" s="7">
        <f>IF($AD192=0,0,N(#REF!)*N(INDEX(F_KLN,MATCH($C192,FA,0))))</f>
        <v>0</v>
      </c>
      <c r="AF192" s="7">
        <f>IF($AD192=0,0,N(#REF!)*N(INDEX(F_KPE,MATCH($C192,FA,0))))</f>
        <v>0</v>
      </c>
      <c r="AG192" s="7" t="e">
        <f>IF(ISNA(MATCH($C192,FA,0)),0,N(#REF!)*N(INDEX(F_MODUL,MATCH($C192,FA,0))))</f>
        <v>#REF!</v>
      </c>
      <c r="AH192" s="7" t="e">
        <f>N(#REF!)*N($I192)</f>
        <v>#REF!</v>
      </c>
      <c r="AI192" s="7" t="e">
        <f t="shared" si="41"/>
        <v>#REF!</v>
      </c>
      <c r="AJ192" s="7">
        <f t="shared" si="42"/>
        <v>0</v>
      </c>
    </row>
    <row r="193" spans="1:36" x14ac:dyDescent="0.25">
      <c r="A193" s="4" t="e">
        <f t="shared" si="36"/>
        <v>#REF!</v>
      </c>
      <c r="B193" s="4" t="s">
        <v>105</v>
      </c>
      <c r="C193" s="4" t="s">
        <v>539</v>
      </c>
      <c r="D193" s="4" t="s">
        <v>540</v>
      </c>
      <c r="E193" s="4" t="s">
        <v>114</v>
      </c>
      <c r="F193" s="4" t="s">
        <v>486</v>
      </c>
      <c r="G193" s="4" t="s">
        <v>38</v>
      </c>
      <c r="H193" s="5" t="e">
        <f>#REF!</f>
        <v>#REF!</v>
      </c>
      <c r="I193" s="6" t="e">
        <f t="shared" si="37"/>
        <v>#REF!</v>
      </c>
      <c r="J193" s="6" t="s">
        <v>84</v>
      </c>
      <c r="K193" s="6" t="s">
        <v>105</v>
      </c>
      <c r="L193" s="7" t="e">
        <f t="shared" si="38"/>
        <v>#REF!</v>
      </c>
      <c r="M193" s="7" t="s">
        <v>110</v>
      </c>
      <c r="O193" s="7" t="str">
        <f>IF(OR($C193="",$C193="FID YOK"),"",IF(ISNUMBER(MATCH($C193,FA_ANA,0)),"",IF(COUNTIF($C$1:$C192,$C193)&gt;0,"",MAX($O$1:$O192)+1)))</f>
        <v/>
      </c>
      <c r="T193" s="7">
        <f>IF(ISNA(MATCH($C193,FA,0)),0,IF($J193="GIRIS",N(INDEX(F_INKOR,MATCH($C193,FA,0))),0))</f>
        <v>0</v>
      </c>
      <c r="Y193" s="7" t="e">
        <f>N(#REF!)*IF($E193="упак",MAX(1,IF(ISNA(MATCH($C193,FA,0)),1,N(INDEX(F_PAKET,MATCH($C193,FA,0))))),1)</f>
        <v>#REF!</v>
      </c>
      <c r="Z193" s="7" t="e">
        <f t="shared" si="39"/>
        <v>#REF!</v>
      </c>
      <c r="AA193" s="7">
        <f>IF(OR(ISNA(MATCH($C193,FA,0)),$J193="YEDEK",$J193="SARF"),0,N(#REF!)*N(INDEX(F_TEL,MATCH($C193,FA,0))))</f>
        <v>0</v>
      </c>
      <c r="AB193" s="7">
        <f>IF(OR(ISNA(MATCH($C193,FA,0)),$J193="YEDEK",$J193="SARF"),0,N(#REF!)*N(INDEX(F_TELM,MATCH($C193,FA,0))))</f>
        <v>0</v>
      </c>
      <c r="AC193" s="7" t="e">
        <f t="shared" si="40"/>
        <v>#REF!</v>
      </c>
      <c r="AD193" s="7">
        <f>IF(OR(ISNA(MATCH($C193,FA,0)),$J193&lt;&gt;"CIKIS"),0,N(INDEX(F_KK,MATCH($C193,FA,0))))</f>
        <v>0</v>
      </c>
      <c r="AE193" s="7">
        <f>IF($AD193=0,0,N(#REF!)*N(INDEX(F_KLN,MATCH($C193,FA,0))))</f>
        <v>0</v>
      </c>
      <c r="AF193" s="7">
        <f>IF($AD193=0,0,N(#REF!)*N(INDEX(F_KPE,MATCH($C193,FA,0))))</f>
        <v>0</v>
      </c>
      <c r="AG193" s="7" t="e">
        <f>IF(ISNA(MATCH($C193,FA,0)),0,N(#REF!)*N(INDEX(F_MODUL,MATCH($C193,FA,0))))</f>
        <v>#REF!</v>
      </c>
      <c r="AH193" s="7" t="e">
        <f>N(#REF!)*N($I193)</f>
        <v>#REF!</v>
      </c>
      <c r="AI193" s="7" t="e">
        <f t="shared" si="41"/>
        <v>#REF!</v>
      </c>
      <c r="AJ193" s="7">
        <f t="shared" si="42"/>
        <v>0</v>
      </c>
    </row>
    <row r="194" spans="1:36" x14ac:dyDescent="0.25">
      <c r="A194" s="4" t="e">
        <f t="shared" si="36"/>
        <v>#REF!</v>
      </c>
      <c r="B194" s="4" t="s">
        <v>111</v>
      </c>
      <c r="C194" s="4" t="s">
        <v>571</v>
      </c>
      <c r="D194" s="4" t="s">
        <v>572</v>
      </c>
      <c r="E194" s="4" t="s">
        <v>522</v>
      </c>
      <c r="F194" s="4" t="s">
        <v>486</v>
      </c>
      <c r="G194" s="4" t="s">
        <v>38</v>
      </c>
      <c r="H194" s="5" t="e">
        <f>#REF!</f>
        <v>#REF!</v>
      </c>
      <c r="I194" s="6" t="e">
        <f t="shared" si="37"/>
        <v>#REF!</v>
      </c>
      <c r="J194" s="6" t="s">
        <v>84</v>
      </c>
      <c r="K194" s="6" t="s">
        <v>111</v>
      </c>
      <c r="L194" s="7" t="e">
        <f t="shared" si="38"/>
        <v>#REF!</v>
      </c>
      <c r="M194" s="7" t="s">
        <v>112</v>
      </c>
      <c r="O194" s="7" t="str">
        <f>IF(OR($C194="",$C194="FID YOK"),"",IF(ISNUMBER(MATCH($C194,FA_ANA,0)),"",IF(COUNTIF($C$1:$C193,$C194)&gt;0,"",MAX($O$1:$O193)+1)))</f>
        <v/>
      </c>
      <c r="T194" s="7">
        <f>IF(ISNA(MATCH($C194,FA,0)),0,IF($J194="GIRIS",N(INDEX(F_INKOR,MATCH($C194,FA,0))),0))</f>
        <v>0</v>
      </c>
      <c r="Y194" s="7" t="e">
        <f>N(#REF!)*IF($E194="упак",MAX(1,IF(ISNA(MATCH($C194,FA,0)),1,N(INDEX(F_PAKET,MATCH($C194,FA,0))))),1)</f>
        <v>#REF!</v>
      </c>
      <c r="Z194" s="7" t="e">
        <f t="shared" si="39"/>
        <v>#REF!</v>
      </c>
      <c r="AA194" s="7">
        <f>IF(OR(ISNA(MATCH($C194,FA,0)),$J194="YEDEK",$J194="SARF"),0,N(#REF!)*N(INDEX(F_TEL,MATCH($C194,FA,0))))</f>
        <v>0</v>
      </c>
      <c r="AB194" s="7">
        <f>IF(OR(ISNA(MATCH($C194,FA,0)),$J194="YEDEK",$J194="SARF"),0,N(#REF!)*N(INDEX(F_TELM,MATCH($C194,FA,0))))</f>
        <v>0</v>
      </c>
      <c r="AC194" s="7" t="e">
        <f t="shared" si="40"/>
        <v>#REF!</v>
      </c>
      <c r="AD194" s="7">
        <f>IF(OR(ISNA(MATCH($C194,FA,0)),$J194&lt;&gt;"CIKIS"),0,N(INDEX(F_KK,MATCH($C194,FA,0))))</f>
        <v>0</v>
      </c>
      <c r="AE194" s="7">
        <f>IF($AD194=0,0,N(#REF!)*N(INDEX(F_KLN,MATCH($C194,FA,0))))</f>
        <v>0</v>
      </c>
      <c r="AF194" s="7">
        <f>IF($AD194=0,0,N(#REF!)*N(INDEX(F_KPE,MATCH($C194,FA,0))))</f>
        <v>0</v>
      </c>
      <c r="AG194" s="7" t="e">
        <f>IF(ISNA(MATCH($C194,FA,0)),0,N(#REF!)*N(INDEX(F_MODUL,MATCH($C194,FA,0))))</f>
        <v>#REF!</v>
      </c>
      <c r="AH194" s="7" t="e">
        <f>N(#REF!)*N($I194)</f>
        <v>#REF!</v>
      </c>
      <c r="AI194" s="7" t="e">
        <f t="shared" si="41"/>
        <v>#REF!</v>
      </c>
      <c r="AJ194" s="7">
        <f t="shared" si="42"/>
        <v>0</v>
      </c>
    </row>
    <row r="195" spans="1:36" x14ac:dyDescent="0.25">
      <c r="A195" s="4" t="e">
        <f t="shared" si="36"/>
        <v>#REF!</v>
      </c>
      <c r="B195" s="4" t="s">
        <v>113</v>
      </c>
      <c r="C195" s="4" t="s">
        <v>113</v>
      </c>
      <c r="D195" s="4" t="s">
        <v>113</v>
      </c>
      <c r="E195" s="4" t="s">
        <v>114</v>
      </c>
      <c r="F195" s="4" t="s">
        <v>113</v>
      </c>
      <c r="G195" s="4" t="s">
        <v>38</v>
      </c>
      <c r="H195" s="5" t="e">
        <f>#REF!</f>
        <v>#REF!</v>
      </c>
      <c r="I195" s="6" t="e">
        <f t="shared" si="37"/>
        <v>#REF!</v>
      </c>
    </row>
    <row r="196" spans="1:36" x14ac:dyDescent="0.25">
      <c r="A196" s="4" t="e">
        <f t="shared" si="36"/>
        <v>#REF!</v>
      </c>
      <c r="B196" s="4" t="s">
        <v>115</v>
      </c>
      <c r="C196" s="4" t="s">
        <v>115</v>
      </c>
      <c r="D196" s="4" t="s">
        <v>115</v>
      </c>
      <c r="E196" s="4" t="s">
        <v>116</v>
      </c>
      <c r="F196" s="4" t="s">
        <v>115</v>
      </c>
      <c r="G196" s="4" t="s">
        <v>38</v>
      </c>
      <c r="H196" s="5" t="e">
        <f>#REF!</f>
        <v>#REF!</v>
      </c>
      <c r="I196" s="6" t="e">
        <f t="shared" si="37"/>
        <v>#REF!</v>
      </c>
    </row>
    <row r="197" spans="1:36" x14ac:dyDescent="0.25">
      <c r="A197" s="1" t="str">
        <f>D197</f>
        <v>ШГП-П (Ввод + Секция 1) (ВРУ1-21-10 модифицированная)+(ВРУ1-41-00А)(260922 akram aulet)</v>
      </c>
      <c r="B197" s="12"/>
      <c r="C197" s="2"/>
      <c r="D197" s="1" t="s">
        <v>610</v>
      </c>
      <c r="E197" s="1" t="s">
        <v>36</v>
      </c>
      <c r="F197" s="1" t="s">
        <v>37</v>
      </c>
      <c r="G197" s="1" t="s">
        <v>38</v>
      </c>
      <c r="I197" s="3" t="e">
        <f>#REF!</f>
        <v>#REF!</v>
      </c>
    </row>
    <row r="198" spans="1:36" x14ac:dyDescent="0.25">
      <c r="A198" s="4" t="str">
        <f t="shared" ref="A198:A239" si="45">A197</f>
        <v>ШГП-П (Ввод + Секция 1) (ВРУ1-21-10 модифицированная)+(ВРУ1-41-00А)(260922 akram aulet)</v>
      </c>
      <c r="B198" s="4" t="s">
        <v>39</v>
      </c>
      <c r="C198" s="4" t="s">
        <v>492</v>
      </c>
      <c r="D198" s="4" t="s">
        <v>493</v>
      </c>
      <c r="E198" s="4" t="s">
        <v>114</v>
      </c>
      <c r="F198" s="4" t="s">
        <v>491</v>
      </c>
      <c r="G198" s="4" t="s">
        <v>38</v>
      </c>
      <c r="H198" s="5" t="e">
        <f>#REF!</f>
        <v>#REF!</v>
      </c>
      <c r="I198" s="6" t="e">
        <f t="shared" ref="I198:I239" si="46">I197</f>
        <v>#REF!</v>
      </c>
      <c r="J198" s="6" t="s">
        <v>40</v>
      </c>
      <c r="K198" s="6" t="s">
        <v>41</v>
      </c>
      <c r="L198" s="7" t="e">
        <f t="shared" ref="L198:L237" si="47">IF(ISNA(MATCH($C198,FA,0)),"ARTİKÜL YOK",INDEX(FIYAT_DURUM,MATCH($C198,FA,0)))</f>
        <v>#REF!</v>
      </c>
      <c r="M198" s="7" t="s">
        <v>179</v>
      </c>
      <c r="N198" s="7" t="s">
        <v>43</v>
      </c>
      <c r="O198" s="7" t="str">
        <f>IF(OR($C198="",$C198="FID YOK"),"",IF(ISNUMBER(MATCH($C198,FA_ANA,0)),"",IF(COUNTIF($C$1:$C197,$C198)&gt;0,"",MAX($O$1:$O197)+1)))</f>
        <v/>
      </c>
      <c r="Q198" s="7"/>
      <c r="R198" s="7"/>
      <c r="S198" s="7"/>
      <c r="T198" s="7">
        <f>IF(ISNA(MATCH($C198,FA,0)),0,IF($J198="GIRIS",N(INDEX(F_INKOR,MATCH($C198,FA,0))),0))</f>
        <v>0</v>
      </c>
      <c r="U198" s="7"/>
      <c r="V198" s="7"/>
      <c r="W198" s="7"/>
      <c r="X198" s="7"/>
      <c r="Y198" s="7" t="e">
        <f>N(#REF!)*IF($E198="упак",MAX(1,IF(ISNA(MATCH($C198,FA,0)),1,N(INDEX(F_PAKET,MATCH($C198,FA,0))))),1)</f>
        <v>#REF!</v>
      </c>
      <c r="Z198" s="7" t="e">
        <f t="shared" ref="Z198:Z237" si="48">IF(ISNA(MATCH($C198,FA,0)),0,N(INDEX(F_BK,MATCH($C198,FA,0))))</f>
        <v>#REF!</v>
      </c>
      <c r="AA198" s="7" t="e">
        <f>IF(OR(ISNA(MATCH($C198,FA,0)),$J198="YEDEK",$J198="SARF"),0,N(#REF!)*N(INDEX(F_TEL,MATCH($C198,FA,0))))</f>
        <v>#REF!</v>
      </c>
      <c r="AB198" s="7" t="e">
        <f>IF(OR(ISNA(MATCH($C198,FA,0)),$J198="YEDEK",$J198="SARF"),0,N(#REF!)*N(INDEX(F_TELM,MATCH($C198,FA,0))))</f>
        <v>#REF!</v>
      </c>
      <c r="AC198" s="7" t="e">
        <f t="shared" ref="AC198:AC237" si="49">IF(ISNA(MATCH($C198,FA,0)),"",INDEX(F_UC,MATCH($C198,FA,0))&amp;"")</f>
        <v>#REF!</v>
      </c>
      <c r="AD198" s="7">
        <f>IF(OR(ISNA(MATCH($C198,FA,0)),$J198&lt;&gt;"CIKIS"),0,N(INDEX(F_KK,MATCH($C198,FA,0))))</f>
        <v>0</v>
      </c>
      <c r="AE198" s="7">
        <f>IF($AD198=0,0,N(#REF!)*N(INDEX(F_KLN,MATCH($C198,FA,0))))</f>
        <v>0</v>
      </c>
      <c r="AF198" s="7">
        <f>IF($AD198=0,0,N(#REF!)*N(INDEX(F_KPE,MATCH($C198,FA,0))))</f>
        <v>0</v>
      </c>
      <c r="AG198" s="7" t="e">
        <f>IF(ISNA(MATCH($C198,FA,0)),0,N(#REF!)*N(INDEX(F_MODUL,MATCH($C198,FA,0))))</f>
        <v>#REF!</v>
      </c>
      <c r="AH198" s="7" t="e">
        <f>N(#REF!)*N($I198)</f>
        <v>#REF!</v>
      </c>
      <c r="AI198" s="7" t="e">
        <f t="shared" ref="AI198:AI237" si="50">IF(ISNA(MATCH($K198,TIP_AD,0)),"YOK",IF(INDEX(NORM_DK,MATCH($K198,TIP_AD,0))="","BOŞ",INDEX(NORM_DK,MATCH($K198,TIP_AD,0))))</f>
        <v>#REF!</v>
      </c>
      <c r="AJ198" s="7">
        <f t="shared" ref="AJ198:AJ237" si="51">IF(ISNUMBER($AI198),$Y198*$AI198,0)</f>
        <v>0</v>
      </c>
    </row>
    <row r="199" spans="1:36" x14ac:dyDescent="0.25">
      <c r="A199" s="4" t="str">
        <f t="shared" si="45"/>
        <v>ШГП-П (Ввод + Секция 1) (ВРУ1-21-10 модифицированная)+(ВРУ1-41-00А)(260922 akram aulet)</v>
      </c>
      <c r="B199" s="4" t="s">
        <v>39</v>
      </c>
      <c r="C199" s="4" t="s">
        <v>492</v>
      </c>
      <c r="D199" s="4" t="s">
        <v>493</v>
      </c>
      <c r="E199" s="4" t="s">
        <v>114</v>
      </c>
      <c r="F199" s="4" t="s">
        <v>491</v>
      </c>
      <c r="G199" s="4" t="s">
        <v>38</v>
      </c>
      <c r="H199" s="5" t="e">
        <f>#REF!</f>
        <v>#REF!</v>
      </c>
      <c r="I199" s="6" t="e">
        <f t="shared" si="46"/>
        <v>#REF!</v>
      </c>
      <c r="J199" s="6" t="s">
        <v>40</v>
      </c>
      <c r="K199" s="6" t="s">
        <v>41</v>
      </c>
      <c r="L199" s="7" t="e">
        <f t="shared" si="47"/>
        <v>#REF!</v>
      </c>
      <c r="M199" s="7" t="s">
        <v>44</v>
      </c>
      <c r="N199" s="7" t="s">
        <v>43</v>
      </c>
      <c r="O199" s="7" t="str">
        <f>IF(OR($C199="",$C199="FID YOK"),"",IF(ISNUMBER(MATCH($C199,FA_ANA,0)),"",IF(COUNTIF($C$1:$C198,$C199)&gt;0,"",MAX($O$1:$O198)+1)))</f>
        <v/>
      </c>
      <c r="Q199" s="7"/>
      <c r="R199" s="7"/>
      <c r="S199" s="7"/>
      <c r="T199" s="7">
        <f>IF(ISNA(MATCH($C199,FA,0)),0,IF($J199="GIRIS",N(INDEX(F_INKOR,MATCH($C199,FA,0))),0))</f>
        <v>0</v>
      </c>
      <c r="U199" s="7"/>
      <c r="V199" s="7"/>
      <c r="W199" s="7"/>
      <c r="X199" s="7"/>
      <c r="Y199" s="7" t="e">
        <f>N(#REF!)*IF($E199="упак",MAX(1,IF(ISNA(MATCH($C199,FA,0)),1,N(INDEX(F_PAKET,MATCH($C199,FA,0))))),1)</f>
        <v>#REF!</v>
      </c>
      <c r="Z199" s="7" t="e">
        <f t="shared" si="48"/>
        <v>#REF!</v>
      </c>
      <c r="AA199" s="7" t="e">
        <f>IF(OR(ISNA(MATCH($C199,FA,0)),$J199="YEDEK",$J199="SARF"),0,N(#REF!)*N(INDEX(F_TEL,MATCH($C199,FA,0))))</f>
        <v>#REF!</v>
      </c>
      <c r="AB199" s="7" t="e">
        <f>IF(OR(ISNA(MATCH($C199,FA,0)),$J199="YEDEK",$J199="SARF"),0,N(#REF!)*N(INDEX(F_TELM,MATCH($C199,FA,0))))</f>
        <v>#REF!</v>
      </c>
      <c r="AC199" s="7" t="e">
        <f t="shared" si="49"/>
        <v>#REF!</v>
      </c>
      <c r="AD199" s="7">
        <f>IF(OR(ISNA(MATCH($C199,FA,0)),$J199&lt;&gt;"CIKIS"),0,N(INDEX(F_KK,MATCH($C199,FA,0))))</f>
        <v>0</v>
      </c>
      <c r="AE199" s="7">
        <f>IF($AD199=0,0,N(#REF!)*N(INDEX(F_KLN,MATCH($C199,FA,0))))</f>
        <v>0</v>
      </c>
      <c r="AF199" s="7">
        <f>IF($AD199=0,0,N(#REF!)*N(INDEX(F_KPE,MATCH($C199,FA,0))))</f>
        <v>0</v>
      </c>
      <c r="AG199" s="7" t="e">
        <f>IF(ISNA(MATCH($C199,FA,0)),0,N(#REF!)*N(INDEX(F_MODUL,MATCH($C199,FA,0))))</f>
        <v>#REF!</v>
      </c>
      <c r="AH199" s="7" t="e">
        <f>N(#REF!)*N($I199)</f>
        <v>#REF!</v>
      </c>
      <c r="AI199" s="7" t="e">
        <f t="shared" si="50"/>
        <v>#REF!</v>
      </c>
      <c r="AJ199" s="7">
        <f t="shared" si="51"/>
        <v>0</v>
      </c>
    </row>
    <row r="200" spans="1:36" x14ac:dyDescent="0.25">
      <c r="A200" s="4" t="str">
        <f t="shared" si="45"/>
        <v>ШГП-П (Ввод + Секция 1) (ВРУ1-21-10 модифицированная)+(ВРУ1-41-00А)(260922 akram aulet)</v>
      </c>
      <c r="B200" s="4" t="s">
        <v>118</v>
      </c>
      <c r="C200" s="4" t="s">
        <v>449</v>
      </c>
      <c r="D200" s="4" t="s">
        <v>450</v>
      </c>
      <c r="E200" s="4" t="s">
        <v>114</v>
      </c>
      <c r="F200" s="4" t="s">
        <v>377</v>
      </c>
      <c r="G200" s="4" t="s">
        <v>38</v>
      </c>
      <c r="H200" s="5" t="e">
        <f>#REF!</f>
        <v>#REF!</v>
      </c>
      <c r="I200" s="6" t="e">
        <f t="shared" si="46"/>
        <v>#REF!</v>
      </c>
      <c r="J200" s="6" t="s">
        <v>48</v>
      </c>
      <c r="K200" s="6" t="s">
        <v>118</v>
      </c>
      <c r="L200" s="7" t="e">
        <f t="shared" si="47"/>
        <v>#REF!</v>
      </c>
      <c r="M200" s="7" t="s">
        <v>180</v>
      </c>
      <c r="N200" s="7" t="s">
        <v>181</v>
      </c>
      <c r="O200" s="7">
        <f>IF(OR($C200="",$C200="FID YOK"),"",IF(ISNUMBER(MATCH($C200,FA_ANA,0)),"",IF(COUNTIF($C$1:$C199,$C200)&gt;0,"",MAX($O$1:$O199)+1)))</f>
        <v>57</v>
      </c>
      <c r="P200" s="8">
        <v>1</v>
      </c>
      <c r="Q200" s="7" t="e">
        <f>IF(OR($P200="",$P200="G",ISNA(MATCH($C200,FA,0))),"",IF(N(INDEX(F_G,MATCH($C200,FA,0)))&gt;0,INDEX(F_G,MATCH($C200,FA,0)),IF(N(INDEX(F_MODUL,MATCH($C200,FA,0)))&gt;0,INDEX(F_MODUL,MATCH($C200,FA,0))*MODUL_MM,"")))</f>
        <v>#REF!</v>
      </c>
      <c r="R200" s="7" t="e">
        <f>IF(OR($P200="",$P200="G",ISNA(MATCH($C200,FA,0))),"",IF(N(INDEX(F_Y,MATCH($C200,FA,0)))&gt;0,INDEX(F_Y,MATCH($C200,FA,0)),""))</f>
        <v>#REF!</v>
      </c>
      <c r="S200" s="7" t="e">
        <f>IF(OR($P200="",$P200="G",ISNA(MATCH($C200,FA,0))),"",IF(N(INDEX(F_D,MATCH($C200,FA,0)))&gt;0,INDEX(F_D,MATCH($C200,FA,0)),""))</f>
        <v>#REF!</v>
      </c>
      <c r="T200" s="7" t="e">
        <f>IF(ISNA(MATCH($C200,FA,0)),0,IF($J200="GIRIS",N(INDEX(F_INKOR,MATCH($C200,FA,0))),0))</f>
        <v>#REF!</v>
      </c>
      <c r="U200" s="7" t="e">
        <f t="shared" ref="U200:U213" si="52">IF(ISNA(MATCH($B200,TIP_AD,0)),"",INDEX(TIP_KAT,MATCH($B200,TIP_AD,0))&amp;"")</f>
        <v>#REF!</v>
      </c>
      <c r="V200" s="7" t="e">
        <f t="shared" ref="V200:V213" si="53">IF(NOT(ISNUMBER($P200)),"",IF($Z200=0,0,IF(ISNA(MATCH($Z200,BUK_KESIT,0)),"",IF(INDEX(BUK_ALAN,MATCH($Z200,BUK_KESIT,0))&amp;""="","",INDEX(BUK_ALAN,MATCH($Z200,BUK_KESIT,0))))))</f>
        <v>#REF!</v>
      </c>
      <c r="W200" s="7" t="e">
        <f>IF(OR(NOT(ISNUMBER($P200)),$Q200=""),"",N(#REF!)*($Q200+IF(ISNA(MATCH($B200,TIP_AD,0)),0,N(INDEX(TIP_BOSLUK,MATCH($B200,TIP_AD,0))))))</f>
        <v>#REF!</v>
      </c>
      <c r="X200" s="7" t="e">
        <f>IF(ISNUMBER($P200),($Q200="")+($R200="")+($V200="")+IF(AND($U200="KONTAKTOR",NOT(ISNA(MATCH($B200,TIP_AD,0)))),IF(INDEX(TIP_BOSLUK,MATCH($B200,TIP_AD,0))&amp;""="",1,0),0),IF($P200="K",IF($S200="",1,0),0))</f>
        <v>#REF!</v>
      </c>
      <c r="Y200" s="7" t="e">
        <f>N(#REF!)*IF($E200="упак",MAX(1,IF(ISNA(MATCH($C200,FA,0)),1,N(INDEX(F_PAKET,MATCH($C200,FA,0))))),1)</f>
        <v>#REF!</v>
      </c>
      <c r="Z200" s="7" t="e">
        <f t="shared" si="48"/>
        <v>#REF!</v>
      </c>
      <c r="AA200" s="7" t="e">
        <f>IF(OR(ISNA(MATCH($C200,FA,0)),$J200="YEDEK",$J200="SARF"),0,N(#REF!)*N(INDEX(F_TEL,MATCH($C200,FA,0))))</f>
        <v>#REF!</v>
      </c>
      <c r="AB200" s="7" t="e">
        <f>IF(OR(ISNA(MATCH($C200,FA,0)),$J200="YEDEK",$J200="SARF"),0,N(#REF!)*N(INDEX(F_TELM,MATCH($C200,FA,0))))</f>
        <v>#REF!</v>
      </c>
      <c r="AC200" s="7" t="e">
        <f t="shared" si="49"/>
        <v>#REF!</v>
      </c>
      <c r="AD200" s="7">
        <f>IF(OR(ISNA(MATCH($C200,FA,0)),$J200&lt;&gt;"CIKIS"),0,N(INDEX(F_KK,MATCH($C200,FA,0))))</f>
        <v>0</v>
      </c>
      <c r="AE200" s="7">
        <f>IF($AD200=0,0,N(#REF!)*N(INDEX(F_KLN,MATCH($C200,FA,0))))</f>
        <v>0</v>
      </c>
      <c r="AF200" s="7">
        <f>IF($AD200=0,0,N(#REF!)*N(INDEX(F_KPE,MATCH($C200,FA,0))))</f>
        <v>0</v>
      </c>
      <c r="AG200" s="7" t="e">
        <f>IF(ISNA(MATCH($C200,FA,0)),0,N(#REF!)*N(INDEX(F_MODUL,MATCH($C200,FA,0))))</f>
        <v>#REF!</v>
      </c>
      <c r="AH200" s="7" t="e">
        <f>N(#REF!)*N($I200)</f>
        <v>#REF!</v>
      </c>
      <c r="AI200" s="7" t="e">
        <f t="shared" si="50"/>
        <v>#REF!</v>
      </c>
      <c r="AJ200" s="7">
        <f t="shared" si="51"/>
        <v>0</v>
      </c>
    </row>
    <row r="201" spans="1:36" x14ac:dyDescent="0.25">
      <c r="A201" s="4" t="str">
        <f t="shared" si="45"/>
        <v>ШГП-П (Ввод + Секция 1) (ВРУ1-21-10 модифицированная)+(ВРУ1-41-00А)(260922 akram aulet)</v>
      </c>
      <c r="B201" s="4" t="s">
        <v>51</v>
      </c>
      <c r="C201" s="4" t="s">
        <v>436</v>
      </c>
      <c r="D201" s="4" t="s">
        <v>437</v>
      </c>
      <c r="E201" s="4" t="s">
        <v>114</v>
      </c>
      <c r="F201" s="4" t="s">
        <v>377</v>
      </c>
      <c r="G201" s="4" t="s">
        <v>38</v>
      </c>
      <c r="H201" s="5" t="e">
        <f>#REF!</f>
        <v>#REF!</v>
      </c>
      <c r="I201" s="6" t="e">
        <f t="shared" si="46"/>
        <v>#REF!</v>
      </c>
      <c r="J201" s="6" t="s">
        <v>52</v>
      </c>
      <c r="K201" s="6" t="s">
        <v>51</v>
      </c>
      <c r="L201" s="7" t="e">
        <f t="shared" si="47"/>
        <v>#REF!</v>
      </c>
      <c r="M201" s="7" t="s">
        <v>182</v>
      </c>
      <c r="N201" s="7" t="s">
        <v>168</v>
      </c>
      <c r="O201" s="7" t="str">
        <f>IF(OR($C201="",$C201="FID YOK"),"",IF(ISNUMBER(MATCH($C201,FA_ANA,0)),"",IF(COUNTIF($C$1:$C200,$C201)&gt;0,"",MAX($O$1:$O200)+1)))</f>
        <v/>
      </c>
      <c r="P201" s="8">
        <v>1</v>
      </c>
      <c r="Q201" s="7" t="e">
        <f>IF(OR($P201="",$P201="G",ISNA(MATCH($C201,FA,0))),"",IF(N(INDEX(F_G,MATCH($C201,FA,0)))&gt;0,INDEX(F_G,MATCH($C201,FA,0)),IF(N(INDEX(F_MODUL,MATCH($C201,FA,0)))&gt;0,INDEX(F_MODUL,MATCH($C201,FA,0))*MODUL_MM,"")))</f>
        <v>#REF!</v>
      </c>
      <c r="R201" s="7" t="e">
        <f>IF(OR($P201="",$P201="G",ISNA(MATCH($C201,FA,0))),"",IF(N(INDEX(F_Y,MATCH($C201,FA,0)))&gt;0,INDEX(F_Y,MATCH($C201,FA,0)),""))</f>
        <v>#REF!</v>
      </c>
      <c r="S201" s="7" t="e">
        <f>IF(OR($P201="",$P201="G",ISNA(MATCH($C201,FA,0))),"",IF(N(INDEX(F_D,MATCH($C201,FA,0)))&gt;0,INDEX(F_D,MATCH($C201,FA,0)),""))</f>
        <v>#REF!</v>
      </c>
      <c r="T201" s="7">
        <f>IF(ISNA(MATCH($C201,FA,0)),0,IF($J201="GIRIS",N(INDEX(F_INKOR,MATCH($C201,FA,0))),0))</f>
        <v>0</v>
      </c>
      <c r="U201" s="7" t="e">
        <f t="shared" si="52"/>
        <v>#REF!</v>
      </c>
      <c r="V201" s="7" t="e">
        <f t="shared" si="53"/>
        <v>#REF!</v>
      </c>
      <c r="W201" s="7" t="e">
        <f>IF(OR(NOT(ISNUMBER($P201)),$Q201=""),"",N(#REF!)*($Q201+IF(ISNA(MATCH($B201,TIP_AD,0)),0,N(INDEX(TIP_BOSLUK,MATCH($B201,TIP_AD,0))))))</f>
        <v>#REF!</v>
      </c>
      <c r="X201" s="7" t="e">
        <f>IF(ISNUMBER($P201),($Q201="")+($R201="")+($V201="")+IF(AND($U201="KONTAKTOR",NOT(ISNA(MATCH($B201,TIP_AD,0)))),IF(INDEX(TIP_BOSLUK,MATCH($B201,TIP_AD,0))&amp;""="",1,0),0),IF($P201="K",IF($S201="",1,0),0))</f>
        <v>#REF!</v>
      </c>
      <c r="Y201" s="7" t="e">
        <f>N(#REF!)*IF($E201="упак",MAX(1,IF(ISNA(MATCH($C201,FA,0)),1,N(INDEX(F_PAKET,MATCH($C201,FA,0))))),1)</f>
        <v>#REF!</v>
      </c>
      <c r="Z201" s="7" t="e">
        <f t="shared" si="48"/>
        <v>#REF!</v>
      </c>
      <c r="AA201" s="7" t="e">
        <f>IF(OR(ISNA(MATCH($C201,FA,0)),$J201="YEDEK",$J201="SARF"),0,N(#REF!)*N(INDEX(F_TEL,MATCH($C201,FA,0))))</f>
        <v>#REF!</v>
      </c>
      <c r="AB201" s="7" t="e">
        <f>IF(OR(ISNA(MATCH($C201,FA,0)),$J201="YEDEK",$J201="SARF"),0,N(#REF!)*N(INDEX(F_TELM,MATCH($C201,FA,0))))</f>
        <v>#REF!</v>
      </c>
      <c r="AC201" s="7" t="e">
        <f t="shared" si="49"/>
        <v>#REF!</v>
      </c>
      <c r="AD201" s="7" t="e">
        <f>IF(OR(ISNA(MATCH($C201,FA,0)),$J201&lt;&gt;"CIKIS"),0,N(INDEX(F_KK,MATCH($C201,FA,0))))</f>
        <v>#REF!</v>
      </c>
      <c r="AE201" s="7" t="e">
        <f>IF($AD201=0,0,N(#REF!)*N(INDEX(F_KLN,MATCH($C201,FA,0))))</f>
        <v>#REF!</v>
      </c>
      <c r="AF201" s="7" t="e">
        <f>IF($AD201=0,0,N(#REF!)*N(INDEX(F_KPE,MATCH($C201,FA,0))))</f>
        <v>#REF!</v>
      </c>
      <c r="AG201" s="7" t="e">
        <f>IF(ISNA(MATCH($C201,FA,0)),0,N(#REF!)*N(INDEX(F_MODUL,MATCH($C201,FA,0))))</f>
        <v>#REF!</v>
      </c>
      <c r="AH201" s="7" t="e">
        <f>N(#REF!)*N($I201)</f>
        <v>#REF!</v>
      </c>
      <c r="AI201" s="7" t="e">
        <f t="shared" si="50"/>
        <v>#REF!</v>
      </c>
      <c r="AJ201" s="7">
        <f t="shared" si="51"/>
        <v>0</v>
      </c>
    </row>
    <row r="202" spans="1:36" x14ac:dyDescent="0.25">
      <c r="A202" s="4" t="str">
        <f t="shared" si="45"/>
        <v>ШГП-П (Ввод + Секция 1) (ВРУ1-21-10 модифицированная)+(ВРУ1-41-00А)(260922 akram aulet)</v>
      </c>
      <c r="B202" s="4" t="s">
        <v>51</v>
      </c>
      <c r="C202" s="4" t="s">
        <v>426</v>
      </c>
      <c r="D202" s="4" t="s">
        <v>427</v>
      </c>
      <c r="E202" s="4" t="s">
        <v>114</v>
      </c>
      <c r="F202" s="4" t="s">
        <v>377</v>
      </c>
      <c r="G202" s="4" t="s">
        <v>38</v>
      </c>
      <c r="H202" s="5" t="e">
        <f>#REF!</f>
        <v>#REF!</v>
      </c>
      <c r="I202" s="6" t="e">
        <f t="shared" si="46"/>
        <v>#REF!</v>
      </c>
      <c r="J202" s="6" t="s">
        <v>52</v>
      </c>
      <c r="K202" s="6" t="s">
        <v>51</v>
      </c>
      <c r="L202" s="7" t="e">
        <f t="shared" si="47"/>
        <v>#REF!</v>
      </c>
      <c r="M202" s="7" t="s">
        <v>183</v>
      </c>
      <c r="N202" s="7" t="s">
        <v>56</v>
      </c>
      <c r="O202" s="7" t="str">
        <f>IF(OR($C202="",$C202="FID YOK"),"",IF(ISNUMBER(MATCH($C202,FA_ANA,0)),"",IF(COUNTIF($C$1:$C201,$C202)&gt;0,"",MAX($O$1:$O201)+1)))</f>
        <v/>
      </c>
      <c r="P202" s="8">
        <v>1</v>
      </c>
      <c r="Q202" s="7" t="e">
        <f>IF(OR($P202="",$P202="G",ISNA(MATCH($C202,FA,0))),"",IF(N(INDEX(F_G,MATCH($C202,FA,0)))&gt;0,INDEX(F_G,MATCH($C202,FA,0)),IF(N(INDEX(F_MODUL,MATCH($C202,FA,0)))&gt;0,INDEX(F_MODUL,MATCH($C202,FA,0))*MODUL_MM,"")))</f>
        <v>#REF!</v>
      </c>
      <c r="R202" s="7" t="e">
        <f>IF(OR($P202="",$P202="G",ISNA(MATCH($C202,FA,0))),"",IF(N(INDEX(F_Y,MATCH($C202,FA,0)))&gt;0,INDEX(F_Y,MATCH($C202,FA,0)),""))</f>
        <v>#REF!</v>
      </c>
      <c r="S202" s="7" t="e">
        <f>IF(OR($P202="",$P202="G",ISNA(MATCH($C202,FA,0))),"",IF(N(INDEX(F_D,MATCH($C202,FA,0)))&gt;0,INDEX(F_D,MATCH($C202,FA,0)),""))</f>
        <v>#REF!</v>
      </c>
      <c r="T202" s="7">
        <f>IF(ISNA(MATCH($C202,FA,0)),0,IF($J202="GIRIS",N(INDEX(F_INKOR,MATCH($C202,FA,0))),0))</f>
        <v>0</v>
      </c>
      <c r="U202" s="7" t="e">
        <f t="shared" si="52"/>
        <v>#REF!</v>
      </c>
      <c r="V202" s="7" t="e">
        <f t="shared" si="53"/>
        <v>#REF!</v>
      </c>
      <c r="W202" s="7" t="e">
        <f>IF(OR(NOT(ISNUMBER($P202)),$Q202=""),"",N(#REF!)*($Q202+IF(ISNA(MATCH($B202,TIP_AD,0)),0,N(INDEX(TIP_BOSLUK,MATCH($B202,TIP_AD,0))))))</f>
        <v>#REF!</v>
      </c>
      <c r="X202" s="7" t="e">
        <f>IF(ISNUMBER($P202),($Q202="")+($R202="")+($V202="")+IF(AND($U202="KONTAKTOR",NOT(ISNA(MATCH($B202,TIP_AD,0)))),IF(INDEX(TIP_BOSLUK,MATCH($B202,TIP_AD,0))&amp;""="",1,0),0),IF($P202="K",IF($S202="",1,0),0))</f>
        <v>#REF!</v>
      </c>
      <c r="Y202" s="7" t="e">
        <f>N(#REF!)*IF($E202="упак",MAX(1,IF(ISNA(MATCH($C202,FA,0)),1,N(INDEX(F_PAKET,MATCH($C202,FA,0))))),1)</f>
        <v>#REF!</v>
      </c>
      <c r="Z202" s="7" t="e">
        <f t="shared" si="48"/>
        <v>#REF!</v>
      </c>
      <c r="AA202" s="7" t="e">
        <f>IF(OR(ISNA(MATCH($C202,FA,0)),$J202="YEDEK",$J202="SARF"),0,N(#REF!)*N(INDEX(F_TEL,MATCH($C202,FA,0))))</f>
        <v>#REF!</v>
      </c>
      <c r="AB202" s="7" t="e">
        <f>IF(OR(ISNA(MATCH($C202,FA,0)),$J202="YEDEK",$J202="SARF"),0,N(#REF!)*N(INDEX(F_TELM,MATCH($C202,FA,0))))</f>
        <v>#REF!</v>
      </c>
      <c r="AC202" s="7" t="e">
        <f t="shared" si="49"/>
        <v>#REF!</v>
      </c>
      <c r="AD202" s="7" t="e">
        <f>IF(OR(ISNA(MATCH($C202,FA,0)),$J202&lt;&gt;"CIKIS"),0,N(INDEX(F_KK,MATCH($C202,FA,0))))</f>
        <v>#REF!</v>
      </c>
      <c r="AE202" s="7" t="e">
        <f>IF($AD202=0,0,N(#REF!)*N(INDEX(F_KLN,MATCH($C202,FA,0))))</f>
        <v>#REF!</v>
      </c>
      <c r="AF202" s="7" t="e">
        <f>IF($AD202=0,0,N(#REF!)*N(INDEX(F_KPE,MATCH($C202,FA,0))))</f>
        <v>#REF!</v>
      </c>
      <c r="AG202" s="7" t="e">
        <f>IF(ISNA(MATCH($C202,FA,0)),0,N(#REF!)*N(INDEX(F_MODUL,MATCH($C202,FA,0))))</f>
        <v>#REF!</v>
      </c>
      <c r="AH202" s="7" t="e">
        <f>N(#REF!)*N($I202)</f>
        <v>#REF!</v>
      </c>
      <c r="AI202" s="7" t="e">
        <f t="shared" si="50"/>
        <v>#REF!</v>
      </c>
      <c r="AJ202" s="7">
        <f t="shared" si="51"/>
        <v>0</v>
      </c>
    </row>
    <row r="203" spans="1:36" x14ac:dyDescent="0.25">
      <c r="A203" s="4" t="str">
        <f t="shared" si="45"/>
        <v>ШГП-П (Ввод + Секция 1) (ВРУ1-21-10 модифицированная)+(ВРУ1-41-00А)(260922 akram aulet)</v>
      </c>
      <c r="B203" s="4" t="s">
        <v>51</v>
      </c>
      <c r="C203" s="4" t="s">
        <v>434</v>
      </c>
      <c r="D203" s="4" t="s">
        <v>435</v>
      </c>
      <c r="E203" s="4" t="s">
        <v>114</v>
      </c>
      <c r="F203" s="4" t="s">
        <v>377</v>
      </c>
      <c r="G203" s="4" t="s">
        <v>38</v>
      </c>
      <c r="H203" s="5" t="e">
        <f>#REF!</f>
        <v>#REF!</v>
      </c>
      <c r="I203" s="6" t="e">
        <f t="shared" si="46"/>
        <v>#REF!</v>
      </c>
      <c r="J203" s="6" t="s">
        <v>52</v>
      </c>
      <c r="K203" s="6" t="s">
        <v>51</v>
      </c>
      <c r="L203" s="7" t="e">
        <f t="shared" si="47"/>
        <v>#REF!</v>
      </c>
      <c r="M203" s="7" t="s">
        <v>184</v>
      </c>
      <c r="N203" s="7" t="s">
        <v>54</v>
      </c>
      <c r="O203" s="7" t="str">
        <f>IF(OR($C203="",$C203="FID YOK"),"",IF(ISNUMBER(MATCH($C203,FA_ANA,0)),"",IF(COUNTIF($C$1:$C202,$C203)&gt;0,"",MAX($O$1:$O202)+1)))</f>
        <v/>
      </c>
      <c r="P203" s="8">
        <v>1</v>
      </c>
      <c r="Q203" s="7" t="e">
        <f>IF(OR($P203="",$P203="G",ISNA(MATCH($C203,FA,0))),"",IF(N(INDEX(F_G,MATCH($C203,FA,0)))&gt;0,INDEX(F_G,MATCH($C203,FA,0)),IF(N(INDEX(F_MODUL,MATCH($C203,FA,0)))&gt;0,INDEX(F_MODUL,MATCH($C203,FA,0))*MODUL_MM,"")))</f>
        <v>#REF!</v>
      </c>
      <c r="R203" s="7" t="e">
        <f>IF(OR($P203="",$P203="G",ISNA(MATCH($C203,FA,0))),"",IF(N(INDEX(F_Y,MATCH($C203,FA,0)))&gt;0,INDEX(F_Y,MATCH($C203,FA,0)),""))</f>
        <v>#REF!</v>
      </c>
      <c r="S203" s="7" t="e">
        <f>IF(OR($P203="",$P203="G",ISNA(MATCH($C203,FA,0))),"",IF(N(INDEX(F_D,MATCH($C203,FA,0)))&gt;0,INDEX(F_D,MATCH($C203,FA,0)),""))</f>
        <v>#REF!</v>
      </c>
      <c r="T203" s="7">
        <f>IF(ISNA(MATCH($C203,FA,0)),0,IF($J203="GIRIS",N(INDEX(F_INKOR,MATCH($C203,FA,0))),0))</f>
        <v>0</v>
      </c>
      <c r="U203" s="7" t="e">
        <f t="shared" si="52"/>
        <v>#REF!</v>
      </c>
      <c r="V203" s="7" t="e">
        <f t="shared" si="53"/>
        <v>#REF!</v>
      </c>
      <c r="W203" s="7" t="e">
        <f>IF(OR(NOT(ISNUMBER($P203)),$Q203=""),"",N(#REF!)*($Q203+IF(ISNA(MATCH($B203,TIP_AD,0)),0,N(INDEX(TIP_BOSLUK,MATCH($B203,TIP_AD,0))))))</f>
        <v>#REF!</v>
      </c>
      <c r="X203" s="7" t="e">
        <f>IF(ISNUMBER($P203),($Q203="")+($R203="")+($V203="")+IF(AND($U203="KONTAKTOR",NOT(ISNA(MATCH($B203,TIP_AD,0)))),IF(INDEX(TIP_BOSLUK,MATCH($B203,TIP_AD,0))&amp;""="",1,0),0),IF($P203="K",IF($S203="",1,0),0))</f>
        <v>#REF!</v>
      </c>
      <c r="Y203" s="7" t="e">
        <f>N(#REF!)*IF($E203="упак",MAX(1,IF(ISNA(MATCH($C203,FA,0)),1,N(INDEX(F_PAKET,MATCH($C203,FA,0))))),1)</f>
        <v>#REF!</v>
      </c>
      <c r="Z203" s="7" t="e">
        <f t="shared" si="48"/>
        <v>#REF!</v>
      </c>
      <c r="AA203" s="7" t="e">
        <f>IF(OR(ISNA(MATCH($C203,FA,0)),$J203="YEDEK",$J203="SARF"),0,N(#REF!)*N(INDEX(F_TEL,MATCH($C203,FA,0))))</f>
        <v>#REF!</v>
      </c>
      <c r="AB203" s="7" t="e">
        <f>IF(OR(ISNA(MATCH($C203,FA,0)),$J203="YEDEK",$J203="SARF"),0,N(#REF!)*N(INDEX(F_TELM,MATCH($C203,FA,0))))</f>
        <v>#REF!</v>
      </c>
      <c r="AC203" s="7" t="e">
        <f t="shared" si="49"/>
        <v>#REF!</v>
      </c>
      <c r="AD203" s="7" t="e">
        <f>IF(OR(ISNA(MATCH($C203,FA,0)),$J203&lt;&gt;"CIKIS"),0,N(INDEX(F_KK,MATCH($C203,FA,0))))</f>
        <v>#REF!</v>
      </c>
      <c r="AE203" s="7" t="e">
        <f>IF($AD203=0,0,N(#REF!)*N(INDEX(F_KLN,MATCH($C203,FA,0))))</f>
        <v>#REF!</v>
      </c>
      <c r="AF203" s="7" t="e">
        <f>IF($AD203=0,0,N(#REF!)*N(INDEX(F_KPE,MATCH($C203,FA,0))))</f>
        <v>#REF!</v>
      </c>
      <c r="AG203" s="7" t="e">
        <f>IF(ISNA(MATCH($C203,FA,0)),0,N(#REF!)*N(INDEX(F_MODUL,MATCH($C203,FA,0))))</f>
        <v>#REF!</v>
      </c>
      <c r="AH203" s="7" t="e">
        <f>N(#REF!)*N($I203)</f>
        <v>#REF!</v>
      </c>
      <c r="AI203" s="7" t="e">
        <f t="shared" si="50"/>
        <v>#REF!</v>
      </c>
      <c r="AJ203" s="7">
        <f t="shared" si="51"/>
        <v>0</v>
      </c>
    </row>
    <row r="204" spans="1:36" x14ac:dyDescent="0.25">
      <c r="A204" s="4" t="str">
        <f t="shared" si="45"/>
        <v>ШГП-П (Ввод + Секция 1) (ВРУ1-21-10 модифицированная)+(ВРУ1-41-00А)(260922 akram aulet)</v>
      </c>
      <c r="B204" s="4" t="s">
        <v>51</v>
      </c>
      <c r="C204" s="4" t="s">
        <v>422</v>
      </c>
      <c r="D204" s="4" t="s">
        <v>423</v>
      </c>
      <c r="E204" s="4" t="s">
        <v>114</v>
      </c>
      <c r="F204" s="4" t="s">
        <v>377</v>
      </c>
      <c r="G204" s="4" t="s">
        <v>38</v>
      </c>
      <c r="H204" s="5" t="e">
        <f>#REF!</f>
        <v>#REF!</v>
      </c>
      <c r="I204" s="6" t="e">
        <f t="shared" si="46"/>
        <v>#REF!</v>
      </c>
      <c r="J204" s="6" t="s">
        <v>52</v>
      </c>
      <c r="K204" s="6" t="s">
        <v>51</v>
      </c>
      <c r="L204" s="7" t="e">
        <f t="shared" si="47"/>
        <v>#REF!</v>
      </c>
      <c r="M204" s="7" t="s">
        <v>185</v>
      </c>
      <c r="N204" s="7" t="s">
        <v>155</v>
      </c>
      <c r="O204" s="7" t="str">
        <f>IF(OR($C204="",$C204="FID YOK"),"",IF(ISNUMBER(MATCH($C204,FA_ANA,0)),"",IF(COUNTIF($C$1:$C203,$C204)&gt;0,"",MAX($O$1:$O203)+1)))</f>
        <v/>
      </c>
      <c r="P204" s="8">
        <v>1</v>
      </c>
      <c r="Q204" s="7" t="e">
        <f>IF(OR($P204="",$P204="G",ISNA(MATCH($C204,FA,0))),"",IF(N(INDEX(F_G,MATCH($C204,FA,0)))&gt;0,INDEX(F_G,MATCH($C204,FA,0)),IF(N(INDEX(F_MODUL,MATCH($C204,FA,0)))&gt;0,INDEX(F_MODUL,MATCH($C204,FA,0))*MODUL_MM,"")))</f>
        <v>#REF!</v>
      </c>
      <c r="R204" s="7" t="e">
        <f>IF(OR($P204="",$P204="G",ISNA(MATCH($C204,FA,0))),"",IF(N(INDEX(F_Y,MATCH($C204,FA,0)))&gt;0,INDEX(F_Y,MATCH($C204,FA,0)),""))</f>
        <v>#REF!</v>
      </c>
      <c r="S204" s="7" t="e">
        <f>IF(OR($P204="",$P204="G",ISNA(MATCH($C204,FA,0))),"",IF(N(INDEX(F_D,MATCH($C204,FA,0)))&gt;0,INDEX(F_D,MATCH($C204,FA,0)),""))</f>
        <v>#REF!</v>
      </c>
      <c r="T204" s="7">
        <f>IF(ISNA(MATCH($C204,FA,0)),0,IF($J204="GIRIS",N(INDEX(F_INKOR,MATCH($C204,FA,0))),0))</f>
        <v>0</v>
      </c>
      <c r="U204" s="7" t="e">
        <f t="shared" si="52"/>
        <v>#REF!</v>
      </c>
      <c r="V204" s="7" t="e">
        <f t="shared" si="53"/>
        <v>#REF!</v>
      </c>
      <c r="W204" s="7" t="e">
        <f>IF(OR(NOT(ISNUMBER($P204)),$Q204=""),"",N(#REF!)*($Q204+IF(ISNA(MATCH($B204,TIP_AD,0)),0,N(INDEX(TIP_BOSLUK,MATCH($B204,TIP_AD,0))))))</f>
        <v>#REF!</v>
      </c>
      <c r="X204" s="7" t="e">
        <f>IF(ISNUMBER($P204),($Q204="")+($R204="")+($V204="")+IF(AND($U204="KONTAKTOR",NOT(ISNA(MATCH($B204,TIP_AD,0)))),IF(INDEX(TIP_BOSLUK,MATCH($B204,TIP_AD,0))&amp;""="",1,0),0),IF($P204="K",IF($S204="",1,0),0))</f>
        <v>#REF!</v>
      </c>
      <c r="Y204" s="7" t="e">
        <f>N(#REF!)*IF($E204="упак",MAX(1,IF(ISNA(MATCH($C204,FA,0)),1,N(INDEX(F_PAKET,MATCH($C204,FA,0))))),1)</f>
        <v>#REF!</v>
      </c>
      <c r="Z204" s="7" t="e">
        <f t="shared" si="48"/>
        <v>#REF!</v>
      </c>
      <c r="AA204" s="7" t="e">
        <f>IF(OR(ISNA(MATCH($C204,FA,0)),$J204="YEDEK",$J204="SARF"),0,N(#REF!)*N(INDEX(F_TEL,MATCH($C204,FA,0))))</f>
        <v>#REF!</v>
      </c>
      <c r="AB204" s="7" t="e">
        <f>IF(OR(ISNA(MATCH($C204,FA,0)),$J204="YEDEK",$J204="SARF"),0,N(#REF!)*N(INDEX(F_TELM,MATCH($C204,FA,0))))</f>
        <v>#REF!</v>
      </c>
      <c r="AC204" s="7" t="e">
        <f t="shared" si="49"/>
        <v>#REF!</v>
      </c>
      <c r="AD204" s="7" t="e">
        <f>IF(OR(ISNA(MATCH($C204,FA,0)),$J204&lt;&gt;"CIKIS"),0,N(INDEX(F_KK,MATCH($C204,FA,0))))</f>
        <v>#REF!</v>
      </c>
      <c r="AE204" s="7" t="e">
        <f>IF($AD204=0,0,N(#REF!)*N(INDEX(F_KLN,MATCH($C204,FA,0))))</f>
        <v>#REF!</v>
      </c>
      <c r="AF204" s="7" t="e">
        <f>IF($AD204=0,0,N(#REF!)*N(INDEX(F_KPE,MATCH($C204,FA,0))))</f>
        <v>#REF!</v>
      </c>
      <c r="AG204" s="7" t="e">
        <f>IF(ISNA(MATCH($C204,FA,0)),0,N(#REF!)*N(INDEX(F_MODUL,MATCH($C204,FA,0))))</f>
        <v>#REF!</v>
      </c>
      <c r="AH204" s="7" t="e">
        <f>N(#REF!)*N($I204)</f>
        <v>#REF!</v>
      </c>
      <c r="AI204" s="7" t="e">
        <f t="shared" si="50"/>
        <v>#REF!</v>
      </c>
      <c r="AJ204" s="7">
        <f t="shared" si="51"/>
        <v>0</v>
      </c>
    </row>
    <row r="205" spans="1:36" x14ac:dyDescent="0.25">
      <c r="A205" s="4" t="str">
        <f t="shared" si="45"/>
        <v>ШГП-П (Ввод + Секция 1) (ВРУ1-21-10 модифицированная)+(ВРУ1-41-00А)(260922 akram aulet)</v>
      </c>
      <c r="B205" s="4" t="s">
        <v>51</v>
      </c>
      <c r="C205" s="4" t="s">
        <v>594</v>
      </c>
      <c r="D205" s="4" t="s">
        <v>595</v>
      </c>
      <c r="E205" s="4" t="s">
        <v>114</v>
      </c>
      <c r="F205" s="4" t="s">
        <v>377</v>
      </c>
      <c r="G205" s="4" t="s">
        <v>38</v>
      </c>
      <c r="H205" s="5" t="e">
        <f>#REF!</f>
        <v>#REF!</v>
      </c>
      <c r="I205" s="6" t="e">
        <f t="shared" si="46"/>
        <v>#REF!</v>
      </c>
      <c r="J205" s="6" t="s">
        <v>52</v>
      </c>
      <c r="K205" s="6" t="s">
        <v>51</v>
      </c>
      <c r="L205" s="7" t="e">
        <f t="shared" si="47"/>
        <v>#REF!</v>
      </c>
      <c r="M205" s="7" t="s">
        <v>186</v>
      </c>
      <c r="N205" s="7" t="s">
        <v>60</v>
      </c>
      <c r="O205" s="7">
        <f>IF(OR($C205="",$C205="FID YOK"),"",IF(ISNUMBER(MATCH($C205,FA_ANA,0)),"",IF(COUNTIF($C$1:$C204,$C205)&gt;0,"",MAX($O$1:$O204)+1)))</f>
        <v>58</v>
      </c>
      <c r="P205" s="8">
        <v>1</v>
      </c>
      <c r="Q205" s="7" t="e">
        <f>IF(OR($P205="",$P205="G",ISNA(MATCH($C205,FA,0))),"",IF(N(INDEX(F_G,MATCH($C205,FA,0)))&gt;0,INDEX(F_G,MATCH($C205,FA,0)),IF(N(INDEX(F_MODUL,MATCH($C205,FA,0)))&gt;0,INDEX(F_MODUL,MATCH($C205,FA,0))*MODUL_MM,"")))</f>
        <v>#REF!</v>
      </c>
      <c r="R205" s="7" t="e">
        <f>IF(OR($P205="",$P205="G",ISNA(MATCH($C205,FA,0))),"",IF(N(INDEX(F_Y,MATCH($C205,FA,0)))&gt;0,INDEX(F_Y,MATCH($C205,FA,0)),""))</f>
        <v>#REF!</v>
      </c>
      <c r="S205" s="7" t="e">
        <f>IF(OR($P205="",$P205="G",ISNA(MATCH($C205,FA,0))),"",IF(N(INDEX(F_D,MATCH($C205,FA,0)))&gt;0,INDEX(F_D,MATCH($C205,FA,0)),""))</f>
        <v>#REF!</v>
      </c>
      <c r="T205" s="7">
        <f>IF(ISNA(MATCH($C205,FA,0)),0,IF($J205="GIRIS",N(INDEX(F_INKOR,MATCH($C205,FA,0))),0))</f>
        <v>0</v>
      </c>
      <c r="U205" s="7" t="e">
        <f t="shared" si="52"/>
        <v>#REF!</v>
      </c>
      <c r="V205" s="7" t="e">
        <f t="shared" si="53"/>
        <v>#REF!</v>
      </c>
      <c r="W205" s="7" t="e">
        <f>IF(OR(NOT(ISNUMBER($P205)),$Q205=""),"",N(#REF!)*($Q205+IF(ISNA(MATCH($B205,TIP_AD,0)),0,N(INDEX(TIP_BOSLUK,MATCH($B205,TIP_AD,0))))))</f>
        <v>#REF!</v>
      </c>
      <c r="X205" s="7" t="e">
        <f>IF(ISNUMBER($P205),($Q205="")+($R205="")+($V205="")+IF(AND($U205="KONTAKTOR",NOT(ISNA(MATCH($B205,TIP_AD,0)))),IF(INDEX(TIP_BOSLUK,MATCH($B205,TIP_AD,0))&amp;""="",1,0),0),IF($P205="K",IF($S205="",1,0),0))</f>
        <v>#REF!</v>
      </c>
      <c r="Y205" s="7" t="e">
        <f>N(#REF!)*IF($E205="упак",MAX(1,IF(ISNA(MATCH($C205,FA,0)),1,N(INDEX(F_PAKET,MATCH($C205,FA,0))))),1)</f>
        <v>#REF!</v>
      </c>
      <c r="Z205" s="7" t="e">
        <f t="shared" si="48"/>
        <v>#REF!</v>
      </c>
      <c r="AA205" s="7" t="e">
        <f>IF(OR(ISNA(MATCH($C205,FA,0)),$J205="YEDEK",$J205="SARF"),0,N(#REF!)*N(INDEX(F_TEL,MATCH($C205,FA,0))))</f>
        <v>#REF!</v>
      </c>
      <c r="AB205" s="7" t="e">
        <f>IF(OR(ISNA(MATCH($C205,FA,0)),$J205="YEDEK",$J205="SARF"),0,N(#REF!)*N(INDEX(F_TELM,MATCH($C205,FA,0))))</f>
        <v>#REF!</v>
      </c>
      <c r="AC205" s="7" t="e">
        <f t="shared" si="49"/>
        <v>#REF!</v>
      </c>
      <c r="AD205" s="7" t="e">
        <f>IF(OR(ISNA(MATCH($C205,FA,0)),$J205&lt;&gt;"CIKIS"),0,N(INDEX(F_KK,MATCH($C205,FA,0))))</f>
        <v>#REF!</v>
      </c>
      <c r="AE205" s="7" t="e">
        <f>IF($AD205=0,0,N(#REF!)*N(INDEX(F_KLN,MATCH($C205,FA,0))))</f>
        <v>#REF!</v>
      </c>
      <c r="AF205" s="7" t="e">
        <f>IF($AD205=0,0,N(#REF!)*N(INDEX(F_KPE,MATCH($C205,FA,0))))</f>
        <v>#REF!</v>
      </c>
      <c r="AG205" s="7" t="e">
        <f>IF(ISNA(MATCH($C205,FA,0)),0,N(#REF!)*N(INDEX(F_MODUL,MATCH($C205,FA,0))))</f>
        <v>#REF!</v>
      </c>
      <c r="AH205" s="7" t="e">
        <f>N(#REF!)*N($I205)</f>
        <v>#REF!</v>
      </c>
      <c r="AI205" s="7" t="e">
        <f t="shared" si="50"/>
        <v>#REF!</v>
      </c>
      <c r="AJ205" s="7">
        <f t="shared" si="51"/>
        <v>0</v>
      </c>
    </row>
    <row r="206" spans="1:36" x14ac:dyDescent="0.25">
      <c r="A206" s="4" t="str">
        <f t="shared" si="45"/>
        <v>ШГП-П (Ввод + Секция 1) (ВРУ1-21-10 модифицированная)+(ВРУ1-41-00А)(260922 akram aulet)</v>
      </c>
      <c r="B206" s="4" t="s">
        <v>61</v>
      </c>
      <c r="C206" s="4" t="s">
        <v>606</v>
      </c>
      <c r="D206" s="4" t="s">
        <v>607</v>
      </c>
      <c r="E206" s="4" t="s">
        <v>114</v>
      </c>
      <c r="F206" s="4" t="s">
        <v>479</v>
      </c>
      <c r="G206" s="4" t="s">
        <v>38</v>
      </c>
      <c r="H206" s="5" t="e">
        <f>#REF!</f>
        <v>#REF!</v>
      </c>
      <c r="I206" s="6" t="e">
        <f t="shared" si="46"/>
        <v>#REF!</v>
      </c>
      <c r="J206" s="6" t="s">
        <v>62</v>
      </c>
      <c r="K206" s="6" t="s">
        <v>61</v>
      </c>
      <c r="L206" s="7" t="e">
        <f t="shared" si="47"/>
        <v>#REF!</v>
      </c>
      <c r="M206" s="7" t="s">
        <v>187</v>
      </c>
      <c r="N206" s="7" t="s">
        <v>64</v>
      </c>
      <c r="O206" s="7" t="str">
        <f>IF(OR($C206="",$C206="FID YOK"),"",IF(ISNUMBER(MATCH($C206,FA_ANA,0)),"",IF(COUNTIF($C$1:$C205,$C206)&gt;0,"",MAX($O$1:$O205)+1)))</f>
        <v/>
      </c>
      <c r="P206" s="8">
        <v>4</v>
      </c>
      <c r="Q206" s="7" t="e">
        <f>IF(OR($P206="",$P206="G",ISNA(MATCH($C206,FA,0))),"",IF(N(INDEX(F_G,MATCH($C206,FA,0)))&gt;0,INDEX(F_G,MATCH($C206,FA,0)),IF(N(INDEX(F_MODUL,MATCH($C206,FA,0)))&gt;0,INDEX(F_MODUL,MATCH($C206,FA,0))*MODUL_MM,"")))</f>
        <v>#REF!</v>
      </c>
      <c r="R206" s="7" t="e">
        <f>IF(OR($P206="",$P206="G",ISNA(MATCH($C206,FA,0))),"",IF(N(INDEX(F_Y,MATCH($C206,FA,0)))&gt;0,INDEX(F_Y,MATCH($C206,FA,0)),""))</f>
        <v>#REF!</v>
      </c>
      <c r="S206" s="7" t="e">
        <f>IF(OR($P206="",$P206="G",ISNA(MATCH($C206,FA,0))),"",IF(N(INDEX(F_D,MATCH($C206,FA,0)))&gt;0,INDEX(F_D,MATCH($C206,FA,0)),""))</f>
        <v>#REF!</v>
      </c>
      <c r="T206" s="7">
        <f>IF(ISNA(MATCH($C206,FA,0)),0,IF($J206="GIRIS",N(INDEX(F_INKOR,MATCH($C206,FA,0))),0))</f>
        <v>0</v>
      </c>
      <c r="U206" s="7" t="e">
        <f t="shared" si="52"/>
        <v>#REF!</v>
      </c>
      <c r="V206" s="7" t="e">
        <f t="shared" si="53"/>
        <v>#REF!</v>
      </c>
      <c r="W206" s="7" t="e">
        <f>IF(OR(NOT(ISNUMBER($P206)),$Q206=""),"",N(#REF!)*($Q206+IF(ISNA(MATCH($B206,TIP_AD,0)),0,N(INDEX(TIP_BOSLUK,MATCH($B206,TIP_AD,0))))))</f>
        <v>#REF!</v>
      </c>
      <c r="X206" s="7" t="e">
        <f>IF(ISNUMBER($P206),($Q206="")+($R206="")+($V206="")+IF(AND($U206="KONTAKTOR",NOT(ISNA(MATCH($B206,TIP_AD,0)))),IF(INDEX(TIP_BOSLUK,MATCH($B206,TIP_AD,0))&amp;""="",1,0),0),IF($P206="K",IF($S206="",1,0),0))</f>
        <v>#REF!</v>
      </c>
      <c r="Y206" s="7" t="e">
        <f>N(#REF!)*IF($E206="упак",MAX(1,IF(ISNA(MATCH($C206,FA,0)),1,N(INDEX(F_PAKET,MATCH($C206,FA,0))))),1)</f>
        <v>#REF!</v>
      </c>
      <c r="Z206" s="7" t="e">
        <f t="shared" si="48"/>
        <v>#REF!</v>
      </c>
      <c r="AA206" s="7" t="e">
        <f>IF(OR(ISNA(MATCH($C206,FA,0)),$J206="YEDEK",$J206="SARF"),0,N(#REF!)*N(INDEX(F_TEL,MATCH($C206,FA,0))))</f>
        <v>#REF!</v>
      </c>
      <c r="AB206" s="7" t="e">
        <f>IF(OR(ISNA(MATCH($C206,FA,0)),$J206="YEDEK",$J206="SARF"),0,N(#REF!)*N(INDEX(F_TELM,MATCH($C206,FA,0))))</f>
        <v>#REF!</v>
      </c>
      <c r="AC206" s="7" t="e">
        <f t="shared" si="49"/>
        <v>#REF!</v>
      </c>
      <c r="AD206" s="7">
        <f>IF(OR(ISNA(MATCH($C206,FA,0)),$J206&lt;&gt;"CIKIS"),0,N(INDEX(F_KK,MATCH($C206,FA,0))))</f>
        <v>0</v>
      </c>
      <c r="AE206" s="7">
        <f>IF($AD206=0,0,N(#REF!)*N(INDEX(F_KLN,MATCH($C206,FA,0))))</f>
        <v>0</v>
      </c>
      <c r="AF206" s="7">
        <f>IF($AD206=0,0,N(#REF!)*N(INDEX(F_KPE,MATCH($C206,FA,0))))</f>
        <v>0</v>
      </c>
      <c r="AG206" s="7" t="e">
        <f>IF(ISNA(MATCH($C206,FA,0)),0,N(#REF!)*N(INDEX(F_MODUL,MATCH($C206,FA,0))))</f>
        <v>#REF!</v>
      </c>
      <c r="AH206" s="7" t="e">
        <f>N(#REF!)*N($I206)</f>
        <v>#REF!</v>
      </c>
      <c r="AI206" s="7" t="e">
        <f t="shared" si="50"/>
        <v>#REF!</v>
      </c>
      <c r="AJ206" s="7">
        <f t="shared" si="51"/>
        <v>0</v>
      </c>
    </row>
    <row r="207" spans="1:36" x14ac:dyDescent="0.25">
      <c r="A207" s="4" t="str">
        <f t="shared" si="45"/>
        <v>ШГП-П (Ввод + Секция 1) (ВРУ1-21-10 модифицированная)+(ВРУ1-41-00А)(260922 akram aulet)</v>
      </c>
      <c r="B207" s="4" t="s">
        <v>65</v>
      </c>
      <c r="C207" s="4" t="s">
        <v>392</v>
      </c>
      <c r="D207" s="4" t="s">
        <v>393</v>
      </c>
      <c r="E207" s="4" t="s">
        <v>114</v>
      </c>
      <c r="F207" s="4" t="s">
        <v>377</v>
      </c>
      <c r="G207" s="4" t="s">
        <v>38</v>
      </c>
      <c r="H207" s="5" t="e">
        <f>#REF!</f>
        <v>#REF!</v>
      </c>
      <c r="I207" s="6" t="e">
        <f t="shared" si="46"/>
        <v>#REF!</v>
      </c>
      <c r="J207" s="6" t="s">
        <v>66</v>
      </c>
      <c r="K207" s="6" t="s">
        <v>65</v>
      </c>
      <c r="L207" s="7" t="e">
        <f t="shared" si="47"/>
        <v>#REF!</v>
      </c>
      <c r="M207" s="7" t="s">
        <v>67</v>
      </c>
      <c r="N207" s="7" t="s">
        <v>68</v>
      </c>
      <c r="O207" s="7" t="str">
        <f>IF(OR($C207="",$C207="FID YOK"),"",IF(ISNUMBER(MATCH($C207,FA_ANA,0)),"",IF(COUNTIF($C$1:$C206,$C207)&gt;0,"",MAX($O$1:$O206)+1)))</f>
        <v/>
      </c>
      <c r="P207" s="8">
        <v>4</v>
      </c>
      <c r="Q207" s="7" t="e">
        <f>IF(OR($P207="",$P207="G",ISNA(MATCH($C207,FA,0))),"",IF(N(INDEX(F_G,MATCH($C207,FA,0)))&gt;0,INDEX(F_G,MATCH($C207,FA,0)),IF(N(INDEX(F_MODUL,MATCH($C207,FA,0)))&gt;0,INDEX(F_MODUL,MATCH($C207,FA,0))*MODUL_MM,"")))</f>
        <v>#REF!</v>
      </c>
      <c r="R207" s="7" t="e">
        <f>IF(OR($P207="",$P207="G",ISNA(MATCH($C207,FA,0))),"",IF(N(INDEX(F_Y,MATCH($C207,FA,0)))&gt;0,INDEX(F_Y,MATCH($C207,FA,0)),""))</f>
        <v>#REF!</v>
      </c>
      <c r="S207" s="7" t="e">
        <f>IF(OR($P207="",$P207="G",ISNA(MATCH($C207,FA,0))),"",IF(N(INDEX(F_D,MATCH($C207,FA,0)))&gt;0,INDEX(F_D,MATCH($C207,FA,0)),""))</f>
        <v>#REF!</v>
      </c>
      <c r="T207" s="7">
        <f>IF(ISNA(MATCH($C207,FA,0)),0,IF($J207="GIRIS",N(INDEX(F_INKOR,MATCH($C207,FA,0))),0))</f>
        <v>0</v>
      </c>
      <c r="U207" s="7" t="e">
        <f t="shared" si="52"/>
        <v>#REF!</v>
      </c>
      <c r="V207" s="7" t="e">
        <f t="shared" si="53"/>
        <v>#REF!</v>
      </c>
      <c r="W207" s="7" t="e">
        <f>IF(OR(NOT(ISNUMBER($P207)),$Q207=""),"",N(#REF!)*($Q207+IF(ISNA(MATCH($B207,TIP_AD,0)),0,N(INDEX(TIP_BOSLUK,MATCH($B207,TIP_AD,0))))))</f>
        <v>#REF!</v>
      </c>
      <c r="X207" s="7" t="e">
        <f>IF(ISNUMBER($P207),($Q207="")+($R207="")+($V207="")+IF(AND($U207="KONTAKTOR",NOT(ISNA(MATCH($B207,TIP_AD,0)))),IF(INDEX(TIP_BOSLUK,MATCH($B207,TIP_AD,0))&amp;""="",1,0),0),IF($P207="K",IF($S207="",1,0),0))</f>
        <v>#REF!</v>
      </c>
      <c r="Y207" s="7" t="e">
        <f>N(#REF!)*IF($E207="упак",MAX(1,IF(ISNA(MATCH($C207,FA,0)),1,N(INDEX(F_PAKET,MATCH($C207,FA,0))))),1)</f>
        <v>#REF!</v>
      </c>
      <c r="Z207" s="7" t="e">
        <f t="shared" si="48"/>
        <v>#REF!</v>
      </c>
      <c r="AA207" s="7" t="e">
        <f>IF(OR(ISNA(MATCH($C207,FA,0)),$J207="YEDEK",$J207="SARF"),0,N(#REF!)*N(INDEX(F_TEL,MATCH($C207,FA,0))))</f>
        <v>#REF!</v>
      </c>
      <c r="AB207" s="7" t="e">
        <f>IF(OR(ISNA(MATCH($C207,FA,0)),$J207="YEDEK",$J207="SARF"),0,N(#REF!)*N(INDEX(F_TELM,MATCH($C207,FA,0))))</f>
        <v>#REF!</v>
      </c>
      <c r="AC207" s="7" t="e">
        <f t="shared" si="49"/>
        <v>#REF!</v>
      </c>
      <c r="AD207" s="7">
        <f>IF(OR(ISNA(MATCH($C207,FA,0)),$J207&lt;&gt;"CIKIS"),0,N(INDEX(F_KK,MATCH($C207,FA,0))))</f>
        <v>0</v>
      </c>
      <c r="AE207" s="7">
        <f>IF($AD207=0,0,N(#REF!)*N(INDEX(F_KLN,MATCH($C207,FA,0))))</f>
        <v>0</v>
      </c>
      <c r="AF207" s="7">
        <f>IF($AD207=0,0,N(#REF!)*N(INDEX(F_KPE,MATCH($C207,FA,0))))</f>
        <v>0</v>
      </c>
      <c r="AG207" s="7" t="e">
        <f>IF(ISNA(MATCH($C207,FA,0)),0,N(#REF!)*N(INDEX(F_MODUL,MATCH($C207,FA,0))))</f>
        <v>#REF!</v>
      </c>
      <c r="AH207" s="7" t="e">
        <f>N(#REF!)*N($I207)</f>
        <v>#REF!</v>
      </c>
      <c r="AI207" s="7" t="e">
        <f t="shared" si="50"/>
        <v>#REF!</v>
      </c>
      <c r="AJ207" s="7">
        <f t="shared" si="51"/>
        <v>0</v>
      </c>
    </row>
    <row r="208" spans="1:36" x14ac:dyDescent="0.25">
      <c r="A208" s="4" t="str">
        <f t="shared" si="45"/>
        <v>ШГП-П (Ввод + Секция 1) (ВРУ1-21-10 модифицированная)+(ВРУ1-41-00А)(260922 akram aulet)</v>
      </c>
      <c r="B208" s="4" t="s">
        <v>51</v>
      </c>
      <c r="C208" s="4" t="s">
        <v>592</v>
      </c>
      <c r="D208" s="4" t="s">
        <v>593</v>
      </c>
      <c r="E208" s="4" t="s">
        <v>114</v>
      </c>
      <c r="F208" s="4" t="s">
        <v>377</v>
      </c>
      <c r="G208" s="4" t="s">
        <v>38</v>
      </c>
      <c r="H208" s="5" t="e">
        <f>#REF!</f>
        <v>#REF!</v>
      </c>
      <c r="I208" s="6" t="e">
        <f t="shared" si="46"/>
        <v>#REF!</v>
      </c>
      <c r="J208" s="6" t="s">
        <v>52</v>
      </c>
      <c r="K208" s="6" t="s">
        <v>65</v>
      </c>
      <c r="L208" s="7" t="e">
        <f t="shared" si="47"/>
        <v>#REF!</v>
      </c>
      <c r="M208" s="7" t="s">
        <v>188</v>
      </c>
      <c r="N208" s="7" t="s">
        <v>189</v>
      </c>
      <c r="O208" s="7">
        <f>IF(OR($C208="",$C208="FID YOK"),"",IF(ISNUMBER(MATCH($C208,FA_ANA,0)),"",IF(COUNTIF($C$1:$C207,$C208)&gt;0,"",MAX($O$1:$O207)+1)))</f>
        <v>59</v>
      </c>
      <c r="P208" s="8">
        <v>5</v>
      </c>
      <c r="Q208" s="7" t="e">
        <f>IF(OR($P208="",$P208="G",ISNA(MATCH($C208,FA,0))),"",IF(N(INDEX(F_G,MATCH($C208,FA,0)))&gt;0,INDEX(F_G,MATCH($C208,FA,0)),IF(N(INDEX(F_MODUL,MATCH($C208,FA,0)))&gt;0,INDEX(F_MODUL,MATCH($C208,FA,0))*MODUL_MM,"")))</f>
        <v>#REF!</v>
      </c>
      <c r="R208" s="7" t="e">
        <f>IF(OR($P208="",$P208="G",ISNA(MATCH($C208,FA,0))),"",IF(N(INDEX(F_Y,MATCH($C208,FA,0)))&gt;0,INDEX(F_Y,MATCH($C208,FA,0)),""))</f>
        <v>#REF!</v>
      </c>
      <c r="S208" s="7" t="e">
        <f>IF(OR($P208="",$P208="G",ISNA(MATCH($C208,FA,0))),"",IF(N(INDEX(F_D,MATCH($C208,FA,0)))&gt;0,INDEX(F_D,MATCH($C208,FA,0)),""))</f>
        <v>#REF!</v>
      </c>
      <c r="T208" s="7">
        <f>IF(ISNA(MATCH($C208,FA,0)),0,IF($J208="GIRIS",N(INDEX(F_INKOR,MATCH($C208,FA,0))),0))</f>
        <v>0</v>
      </c>
      <c r="U208" s="7" t="e">
        <f t="shared" si="52"/>
        <v>#REF!</v>
      </c>
      <c r="V208" s="7" t="e">
        <f t="shared" si="53"/>
        <v>#REF!</v>
      </c>
      <c r="W208" s="7" t="e">
        <f>IF(OR(NOT(ISNUMBER($P208)),$Q208=""),"",N(#REF!)*($Q208+IF(ISNA(MATCH($B208,TIP_AD,0)),0,N(INDEX(TIP_BOSLUK,MATCH($B208,TIP_AD,0))))))</f>
        <v>#REF!</v>
      </c>
      <c r="X208" s="7" t="e">
        <f>IF(ISNUMBER($P208),($Q208="")+($R208="")+($V208="")+IF(AND($U208="KONTAKTOR",NOT(ISNA(MATCH($B208,TIP_AD,0)))),IF(INDEX(TIP_BOSLUK,MATCH($B208,TIP_AD,0))&amp;""="",1,0),0),IF($P208="K",IF($S208="",1,0),0))</f>
        <v>#REF!</v>
      </c>
      <c r="Y208" s="7" t="e">
        <f>N(#REF!)*IF($E208="упак",MAX(1,IF(ISNA(MATCH($C208,FA,0)),1,N(INDEX(F_PAKET,MATCH($C208,FA,0))))),1)</f>
        <v>#REF!</v>
      </c>
      <c r="Z208" s="7" t="e">
        <f t="shared" si="48"/>
        <v>#REF!</v>
      </c>
      <c r="AA208" s="7" t="e">
        <f>IF(OR(ISNA(MATCH($C208,FA,0)),$J208="YEDEK",$J208="SARF"),0,N(#REF!)*N(INDEX(F_TEL,MATCH($C208,FA,0))))</f>
        <v>#REF!</v>
      </c>
      <c r="AB208" s="7" t="e">
        <f>IF(OR(ISNA(MATCH($C208,FA,0)),$J208="YEDEK",$J208="SARF"),0,N(#REF!)*N(INDEX(F_TELM,MATCH($C208,FA,0))))</f>
        <v>#REF!</v>
      </c>
      <c r="AC208" s="7" t="e">
        <f t="shared" si="49"/>
        <v>#REF!</v>
      </c>
      <c r="AD208" s="7" t="e">
        <f>IF(OR(ISNA(MATCH($C208,FA,0)),$J208&lt;&gt;"CIKIS"),0,N(INDEX(F_KK,MATCH($C208,FA,0))))</f>
        <v>#REF!</v>
      </c>
      <c r="AE208" s="7" t="e">
        <f>IF($AD208=0,0,N(#REF!)*N(INDEX(F_KLN,MATCH($C208,FA,0))))</f>
        <v>#REF!</v>
      </c>
      <c r="AF208" s="7" t="e">
        <f>IF($AD208=0,0,N(#REF!)*N(INDEX(F_KPE,MATCH($C208,FA,0))))</f>
        <v>#REF!</v>
      </c>
      <c r="AG208" s="7" t="e">
        <f>IF(ISNA(MATCH($C208,FA,0)),0,N(#REF!)*N(INDEX(F_MODUL,MATCH($C208,FA,0))))</f>
        <v>#REF!</v>
      </c>
      <c r="AH208" s="7" t="e">
        <f>N(#REF!)*N($I208)</f>
        <v>#REF!</v>
      </c>
      <c r="AI208" s="7" t="e">
        <f t="shared" si="50"/>
        <v>#REF!</v>
      </c>
      <c r="AJ208" s="7">
        <f t="shared" si="51"/>
        <v>0</v>
      </c>
    </row>
    <row r="209" spans="1:36" x14ac:dyDescent="0.25">
      <c r="A209" s="4" t="str">
        <f t="shared" si="45"/>
        <v>ШГП-П (Ввод + Секция 1) (ВРУ1-21-10 модифицированная)+(ВРУ1-41-00А)(260922 akram aulet)</v>
      </c>
      <c r="B209" s="4" t="s">
        <v>65</v>
      </c>
      <c r="C209" s="4" t="s">
        <v>394</v>
      </c>
      <c r="D209" s="4" t="s">
        <v>395</v>
      </c>
      <c r="E209" s="4" t="s">
        <v>114</v>
      </c>
      <c r="F209" s="4" t="s">
        <v>377</v>
      </c>
      <c r="G209" s="4" t="s">
        <v>38</v>
      </c>
      <c r="H209" s="5" t="e">
        <f>#REF!</f>
        <v>#REF!</v>
      </c>
      <c r="I209" s="6" t="e">
        <f t="shared" si="46"/>
        <v>#REF!</v>
      </c>
      <c r="J209" s="6" t="s">
        <v>52</v>
      </c>
      <c r="K209" s="6" t="s">
        <v>65</v>
      </c>
      <c r="L209" s="7" t="e">
        <f t="shared" si="47"/>
        <v>#REF!</v>
      </c>
      <c r="M209" s="7" t="s">
        <v>190</v>
      </c>
      <c r="N209" s="7" t="s">
        <v>191</v>
      </c>
      <c r="O209" s="7">
        <f>IF(OR($C209="",$C209="FID YOK"),"",IF(ISNUMBER(MATCH($C209,FA_ANA,0)),"",IF(COUNTIF($C$1:$C208,$C209)&gt;0,"",MAX($O$1:$O208)+1)))</f>
        <v>60</v>
      </c>
      <c r="P209" s="8">
        <v>5</v>
      </c>
      <c r="Q209" s="7" t="e">
        <f>IF(OR($P209="",$P209="G",ISNA(MATCH($C209,FA,0))),"",IF(N(INDEX(F_G,MATCH($C209,FA,0)))&gt;0,INDEX(F_G,MATCH($C209,FA,0)),IF(N(INDEX(F_MODUL,MATCH($C209,FA,0)))&gt;0,INDEX(F_MODUL,MATCH($C209,FA,0))*MODUL_MM,"")))</f>
        <v>#REF!</v>
      </c>
      <c r="R209" s="7" t="e">
        <f>IF(OR($P209="",$P209="G",ISNA(MATCH($C209,FA,0))),"",IF(N(INDEX(F_Y,MATCH($C209,FA,0)))&gt;0,INDEX(F_Y,MATCH($C209,FA,0)),""))</f>
        <v>#REF!</v>
      </c>
      <c r="S209" s="7" t="e">
        <f>IF(OR($P209="",$P209="G",ISNA(MATCH($C209,FA,0))),"",IF(N(INDEX(F_D,MATCH($C209,FA,0)))&gt;0,INDEX(F_D,MATCH($C209,FA,0)),""))</f>
        <v>#REF!</v>
      </c>
      <c r="T209" s="7">
        <f>IF(ISNA(MATCH($C209,FA,0)),0,IF($J209="GIRIS",N(INDEX(F_INKOR,MATCH($C209,FA,0))),0))</f>
        <v>0</v>
      </c>
      <c r="U209" s="7" t="e">
        <f t="shared" si="52"/>
        <v>#REF!</v>
      </c>
      <c r="V209" s="7" t="e">
        <f t="shared" si="53"/>
        <v>#REF!</v>
      </c>
      <c r="W209" s="7" t="e">
        <f>IF(OR(NOT(ISNUMBER($P209)),$Q209=""),"",N(#REF!)*($Q209+IF(ISNA(MATCH($B209,TIP_AD,0)),0,N(INDEX(TIP_BOSLUK,MATCH($B209,TIP_AD,0))))))</f>
        <v>#REF!</v>
      </c>
      <c r="X209" s="7" t="e">
        <f>IF(ISNUMBER($P209),($Q209="")+($R209="")+($V209="")+IF(AND($U209="KONTAKTOR",NOT(ISNA(MATCH($B209,TIP_AD,0)))),IF(INDEX(TIP_BOSLUK,MATCH($B209,TIP_AD,0))&amp;""="",1,0),0),IF($P209="K",IF($S209="",1,0),0))</f>
        <v>#REF!</v>
      </c>
      <c r="Y209" s="7" t="e">
        <f>N(#REF!)*IF($E209="упак",MAX(1,IF(ISNA(MATCH($C209,FA,0)),1,N(INDEX(F_PAKET,MATCH($C209,FA,0))))),1)</f>
        <v>#REF!</v>
      </c>
      <c r="Z209" s="7" t="e">
        <f t="shared" si="48"/>
        <v>#REF!</v>
      </c>
      <c r="AA209" s="7" t="e">
        <f>IF(OR(ISNA(MATCH($C209,FA,0)),$J209="YEDEK",$J209="SARF"),0,N(#REF!)*N(INDEX(F_TEL,MATCH($C209,FA,0))))</f>
        <v>#REF!</v>
      </c>
      <c r="AB209" s="7" t="e">
        <f>IF(OR(ISNA(MATCH($C209,FA,0)),$J209="YEDEK",$J209="SARF"),0,N(#REF!)*N(INDEX(F_TELM,MATCH($C209,FA,0))))</f>
        <v>#REF!</v>
      </c>
      <c r="AC209" s="7" t="e">
        <f t="shared" si="49"/>
        <v>#REF!</v>
      </c>
      <c r="AD209" s="7" t="e">
        <f>IF(OR(ISNA(MATCH($C209,FA,0)),$J209&lt;&gt;"CIKIS"),0,N(INDEX(F_KK,MATCH($C209,FA,0))))</f>
        <v>#REF!</v>
      </c>
      <c r="AE209" s="7" t="e">
        <f>IF($AD209=0,0,N(#REF!)*N(INDEX(F_KLN,MATCH($C209,FA,0))))</f>
        <v>#REF!</v>
      </c>
      <c r="AF209" s="7" t="e">
        <f>IF($AD209=0,0,N(#REF!)*N(INDEX(F_KPE,MATCH($C209,FA,0))))</f>
        <v>#REF!</v>
      </c>
      <c r="AG209" s="7" t="e">
        <f>IF(ISNA(MATCH($C209,FA,0)),0,N(#REF!)*N(INDEX(F_MODUL,MATCH($C209,FA,0))))</f>
        <v>#REF!</v>
      </c>
      <c r="AH209" s="7" t="e">
        <f>N(#REF!)*N($I209)</f>
        <v>#REF!</v>
      </c>
      <c r="AI209" s="7" t="e">
        <f t="shared" si="50"/>
        <v>#REF!</v>
      </c>
      <c r="AJ209" s="7">
        <f t="shared" si="51"/>
        <v>0</v>
      </c>
    </row>
    <row r="210" spans="1:36" x14ac:dyDescent="0.25">
      <c r="A210" s="4" t="str">
        <f t="shared" si="45"/>
        <v>ШГП-П (Ввод + Секция 1) (ВРУ1-21-10 модифицированная)+(ВРУ1-41-00А)(260922 akram aulet)</v>
      </c>
      <c r="B210" s="4" t="s">
        <v>65</v>
      </c>
      <c r="C210" s="4" t="s">
        <v>402</v>
      </c>
      <c r="D210" s="4" t="s">
        <v>403</v>
      </c>
      <c r="E210" s="4" t="s">
        <v>114</v>
      </c>
      <c r="F210" s="4" t="s">
        <v>377</v>
      </c>
      <c r="G210" s="4" t="s">
        <v>38</v>
      </c>
      <c r="H210" s="5" t="e">
        <f>#REF!</f>
        <v>#REF!</v>
      </c>
      <c r="I210" s="6" t="e">
        <f t="shared" si="46"/>
        <v>#REF!</v>
      </c>
      <c r="J210" s="6" t="s">
        <v>52</v>
      </c>
      <c r="K210" s="6" t="s">
        <v>65</v>
      </c>
      <c r="L210" s="7" t="e">
        <f t="shared" si="47"/>
        <v>#REF!</v>
      </c>
      <c r="M210" s="7" t="s">
        <v>192</v>
      </c>
      <c r="N210" s="7" t="s">
        <v>193</v>
      </c>
      <c r="O210" s="7">
        <f>IF(OR($C210="",$C210="FID YOK"),"",IF(ISNUMBER(MATCH($C210,FA_ANA,0)),"",IF(COUNTIF($C$1:$C209,$C210)&gt;0,"",MAX($O$1:$O209)+1)))</f>
        <v>61</v>
      </c>
      <c r="P210" s="8">
        <v>5</v>
      </c>
      <c r="Q210" s="7" t="e">
        <f>IF(OR($P210="",$P210="G",ISNA(MATCH($C210,FA,0))),"",IF(N(INDEX(F_G,MATCH($C210,FA,0)))&gt;0,INDEX(F_G,MATCH($C210,FA,0)),IF(N(INDEX(F_MODUL,MATCH($C210,FA,0)))&gt;0,INDEX(F_MODUL,MATCH($C210,FA,0))*MODUL_MM,"")))</f>
        <v>#REF!</v>
      </c>
      <c r="R210" s="7" t="e">
        <f>IF(OR($P210="",$P210="G",ISNA(MATCH($C210,FA,0))),"",IF(N(INDEX(F_Y,MATCH($C210,FA,0)))&gt;0,INDEX(F_Y,MATCH($C210,FA,0)),""))</f>
        <v>#REF!</v>
      </c>
      <c r="S210" s="7" t="e">
        <f>IF(OR($P210="",$P210="G",ISNA(MATCH($C210,FA,0))),"",IF(N(INDEX(F_D,MATCH($C210,FA,0)))&gt;0,INDEX(F_D,MATCH($C210,FA,0)),""))</f>
        <v>#REF!</v>
      </c>
      <c r="T210" s="7">
        <f>IF(ISNA(MATCH($C210,FA,0)),0,IF($J210="GIRIS",N(INDEX(F_INKOR,MATCH($C210,FA,0))),0))</f>
        <v>0</v>
      </c>
      <c r="U210" s="7" t="e">
        <f t="shared" si="52"/>
        <v>#REF!</v>
      </c>
      <c r="V210" s="7" t="e">
        <f t="shared" si="53"/>
        <v>#REF!</v>
      </c>
      <c r="W210" s="7" t="e">
        <f>IF(OR(NOT(ISNUMBER($P210)),$Q210=""),"",N(#REF!)*($Q210+IF(ISNA(MATCH($B210,TIP_AD,0)),0,N(INDEX(TIP_BOSLUK,MATCH($B210,TIP_AD,0))))))</f>
        <v>#REF!</v>
      </c>
      <c r="X210" s="7" t="e">
        <f>IF(ISNUMBER($P210),($Q210="")+($R210="")+($V210="")+IF(AND($U210="KONTAKTOR",NOT(ISNA(MATCH($B210,TIP_AD,0)))),IF(INDEX(TIP_BOSLUK,MATCH($B210,TIP_AD,0))&amp;""="",1,0),0),IF($P210="K",IF($S210="",1,0),0))</f>
        <v>#REF!</v>
      </c>
      <c r="Y210" s="7" t="e">
        <f>N(#REF!)*IF($E210="упак",MAX(1,IF(ISNA(MATCH($C210,FA,0)),1,N(INDEX(F_PAKET,MATCH($C210,FA,0))))),1)</f>
        <v>#REF!</v>
      </c>
      <c r="Z210" s="7" t="e">
        <f t="shared" si="48"/>
        <v>#REF!</v>
      </c>
      <c r="AA210" s="7" t="e">
        <f>IF(OR(ISNA(MATCH($C210,FA,0)),$J210="YEDEK",$J210="SARF"),0,N(#REF!)*N(INDEX(F_TEL,MATCH($C210,FA,0))))</f>
        <v>#REF!</v>
      </c>
      <c r="AB210" s="7" t="e">
        <f>IF(OR(ISNA(MATCH($C210,FA,0)),$J210="YEDEK",$J210="SARF"),0,N(#REF!)*N(INDEX(F_TELM,MATCH($C210,FA,0))))</f>
        <v>#REF!</v>
      </c>
      <c r="AC210" s="7" t="e">
        <f t="shared" si="49"/>
        <v>#REF!</v>
      </c>
      <c r="AD210" s="7" t="e">
        <f>IF(OR(ISNA(MATCH($C210,FA,0)),$J210&lt;&gt;"CIKIS"),0,N(INDEX(F_KK,MATCH($C210,FA,0))))</f>
        <v>#REF!</v>
      </c>
      <c r="AE210" s="7" t="e">
        <f>IF($AD210=0,0,N(#REF!)*N(INDEX(F_KLN,MATCH($C210,FA,0))))</f>
        <v>#REF!</v>
      </c>
      <c r="AF210" s="7" t="e">
        <f>IF($AD210=0,0,N(#REF!)*N(INDEX(F_KPE,MATCH($C210,FA,0))))</f>
        <v>#REF!</v>
      </c>
      <c r="AG210" s="7" t="e">
        <f>IF(ISNA(MATCH($C210,FA,0)),0,N(#REF!)*N(INDEX(F_MODUL,MATCH($C210,FA,0))))</f>
        <v>#REF!</v>
      </c>
      <c r="AH210" s="7" t="e">
        <f>N(#REF!)*N($I210)</f>
        <v>#REF!</v>
      </c>
      <c r="AI210" s="7" t="e">
        <f t="shared" si="50"/>
        <v>#REF!</v>
      </c>
      <c r="AJ210" s="7">
        <f t="shared" si="51"/>
        <v>0</v>
      </c>
    </row>
    <row r="211" spans="1:36" x14ac:dyDescent="0.25">
      <c r="A211" s="4" t="str">
        <f t="shared" si="45"/>
        <v>ШГП-П (Ввод + Секция 1) (ВРУ1-21-10 модифицированная)+(ВРУ1-41-00А)(260922 akram aulet)</v>
      </c>
      <c r="B211" s="4" t="s">
        <v>75</v>
      </c>
      <c r="C211" s="4" t="s">
        <v>465</v>
      </c>
      <c r="D211" s="4" t="s">
        <v>466</v>
      </c>
      <c r="E211" s="4" t="s">
        <v>114</v>
      </c>
      <c r="F211" s="4" t="s">
        <v>377</v>
      </c>
      <c r="G211" s="4" t="s">
        <v>38</v>
      </c>
      <c r="H211" s="5" t="e">
        <f>#REF!</f>
        <v>#REF!</v>
      </c>
      <c r="I211" s="6" t="e">
        <f t="shared" si="46"/>
        <v>#REF!</v>
      </c>
      <c r="J211" s="6" t="s">
        <v>66</v>
      </c>
      <c r="K211" s="6" t="s">
        <v>75</v>
      </c>
      <c r="L211" s="7" t="e">
        <f t="shared" si="47"/>
        <v>#REF!</v>
      </c>
      <c r="M211" s="7" t="s">
        <v>76</v>
      </c>
      <c r="N211" s="7" t="s">
        <v>77</v>
      </c>
      <c r="O211" s="7" t="str">
        <f>IF(OR($C211="",$C211="FID YOK"),"",IF(ISNUMBER(MATCH($C211,FA_ANA,0)),"",IF(COUNTIF($C$1:$C210,$C211)&gt;0,"",MAX($O$1:$O210)+1)))</f>
        <v/>
      </c>
      <c r="P211" s="8" t="s">
        <v>78</v>
      </c>
      <c r="Q211" s="7" t="e">
        <f>IF(OR($P211="",$P211="G",ISNA(MATCH($C211,FA,0))),"",IF(N(INDEX(F_G,MATCH($C211,FA,0)))&gt;0,INDEX(F_G,MATCH($C211,FA,0)),IF(N(INDEX(F_MODUL,MATCH($C211,FA,0)))&gt;0,INDEX(F_MODUL,MATCH($C211,FA,0))*MODUL_MM,"")))</f>
        <v>#REF!</v>
      </c>
      <c r="R211" s="7" t="e">
        <f>IF(OR($P211="",$P211="G",ISNA(MATCH($C211,FA,0))),"",IF(N(INDEX(F_Y,MATCH($C211,FA,0)))&gt;0,INDEX(F_Y,MATCH($C211,FA,0)),""))</f>
        <v>#REF!</v>
      </c>
      <c r="S211" s="7" t="e">
        <f>IF(OR($P211="",$P211="G",ISNA(MATCH($C211,FA,0))),"",IF(N(INDEX(F_D,MATCH($C211,FA,0)))&gt;0,INDEX(F_D,MATCH($C211,FA,0)),""))</f>
        <v>#REF!</v>
      </c>
      <c r="T211" s="7">
        <f>IF(ISNA(MATCH($C211,FA,0)),0,IF($J211="GIRIS",N(INDEX(F_INKOR,MATCH($C211,FA,0))),0))</f>
        <v>0</v>
      </c>
      <c r="U211" s="7" t="e">
        <f t="shared" si="52"/>
        <v>#REF!</v>
      </c>
      <c r="V211" s="7" t="str">
        <f t="shared" si="53"/>
        <v/>
      </c>
      <c r="W211" s="7" t="e">
        <f>IF(OR(NOT(ISNUMBER($P211)),$Q211=""),"",N(#REF!)*($Q211+IF(ISNA(MATCH($B211,TIP_AD,0)),0,N(INDEX(TIP_BOSLUK,MATCH($B211,TIP_AD,0))))))</f>
        <v>#REF!</v>
      </c>
      <c r="X211" s="7" t="e">
        <f>IF(ISNUMBER($P211),($Q211="")+($R211="")+($V211="")+IF(AND($U211="KONTAKTOR",NOT(ISNA(MATCH($B211,TIP_AD,0)))),IF(INDEX(TIP_BOSLUK,MATCH($B211,TIP_AD,0))&amp;""="",1,0),0),IF($P211="K",IF($S211="",1,0),0))</f>
        <v>#REF!</v>
      </c>
      <c r="Y211" s="7" t="e">
        <f>N(#REF!)*IF($E211="упак",MAX(1,IF(ISNA(MATCH($C211,FA,0)),1,N(INDEX(F_PAKET,MATCH($C211,FA,0))))),1)</f>
        <v>#REF!</v>
      </c>
      <c r="Z211" s="7" t="e">
        <f t="shared" si="48"/>
        <v>#REF!</v>
      </c>
      <c r="AA211" s="7" t="e">
        <f>IF(OR(ISNA(MATCH($C211,FA,0)),$J211="YEDEK",$J211="SARF"),0,N(#REF!)*N(INDEX(F_TEL,MATCH($C211,FA,0))))</f>
        <v>#REF!</v>
      </c>
      <c r="AB211" s="7" t="e">
        <f>IF(OR(ISNA(MATCH($C211,FA,0)),$J211="YEDEK",$J211="SARF"),0,N(#REF!)*N(INDEX(F_TELM,MATCH($C211,FA,0))))</f>
        <v>#REF!</v>
      </c>
      <c r="AC211" s="7" t="e">
        <f t="shared" si="49"/>
        <v>#REF!</v>
      </c>
      <c r="AD211" s="7">
        <f>IF(OR(ISNA(MATCH($C211,FA,0)),$J211&lt;&gt;"CIKIS"),0,N(INDEX(F_KK,MATCH($C211,FA,0))))</f>
        <v>0</v>
      </c>
      <c r="AE211" s="7">
        <f>IF($AD211=0,0,N(#REF!)*N(INDEX(F_KLN,MATCH($C211,FA,0))))</f>
        <v>0</v>
      </c>
      <c r="AF211" s="7">
        <f>IF($AD211=0,0,N(#REF!)*N(INDEX(F_KPE,MATCH($C211,FA,0))))</f>
        <v>0</v>
      </c>
      <c r="AG211" s="7" t="e">
        <f>IF(ISNA(MATCH($C211,FA,0)),0,N(#REF!)*N(INDEX(F_MODUL,MATCH($C211,FA,0))))</f>
        <v>#REF!</v>
      </c>
      <c r="AH211" s="7" t="e">
        <f>N(#REF!)*N($I211)</f>
        <v>#REF!</v>
      </c>
      <c r="AI211" s="7" t="e">
        <f t="shared" si="50"/>
        <v>#REF!</v>
      </c>
      <c r="AJ211" s="7">
        <f t="shared" si="51"/>
        <v>0</v>
      </c>
    </row>
    <row r="212" spans="1:36" x14ac:dyDescent="0.25">
      <c r="A212" s="4" t="str">
        <f t="shared" si="45"/>
        <v>ШГП-П (Ввод + Секция 1) (ВРУ1-21-10 модифицированная)+(ВРУ1-41-00А)(260922 akram aulet)</v>
      </c>
      <c r="B212" s="4" t="s">
        <v>75</v>
      </c>
      <c r="C212" s="4" t="s">
        <v>467</v>
      </c>
      <c r="D212" s="4" t="s">
        <v>468</v>
      </c>
      <c r="E212" s="4" t="s">
        <v>114</v>
      </c>
      <c r="F212" s="4" t="s">
        <v>377</v>
      </c>
      <c r="G212" s="4" t="s">
        <v>38</v>
      </c>
      <c r="H212" s="5" t="e">
        <f>#REF!</f>
        <v>#REF!</v>
      </c>
      <c r="I212" s="6" t="e">
        <f t="shared" si="46"/>
        <v>#REF!</v>
      </c>
      <c r="J212" s="6" t="s">
        <v>66</v>
      </c>
      <c r="K212" s="6" t="s">
        <v>75</v>
      </c>
      <c r="L212" s="7" t="e">
        <f t="shared" si="47"/>
        <v>#REF!</v>
      </c>
      <c r="M212" s="7" t="s">
        <v>79</v>
      </c>
      <c r="N212" s="7" t="s">
        <v>80</v>
      </c>
      <c r="O212" s="7" t="str">
        <f>IF(OR($C212="",$C212="FID YOK"),"",IF(ISNUMBER(MATCH($C212,FA_ANA,0)),"",IF(COUNTIF($C$1:$C211,$C212)&gt;0,"",MAX($O$1:$O211)+1)))</f>
        <v/>
      </c>
      <c r="P212" s="8" t="s">
        <v>78</v>
      </c>
      <c r="Q212" s="7" t="e">
        <f>IF(OR($P212="",$P212="G",ISNA(MATCH($C212,FA,0))),"",IF(N(INDEX(F_G,MATCH($C212,FA,0)))&gt;0,INDEX(F_G,MATCH($C212,FA,0)),IF(N(INDEX(F_MODUL,MATCH($C212,FA,0)))&gt;0,INDEX(F_MODUL,MATCH($C212,FA,0))*MODUL_MM,"")))</f>
        <v>#REF!</v>
      </c>
      <c r="R212" s="7" t="e">
        <f>IF(OR($P212="",$P212="G",ISNA(MATCH($C212,FA,0))),"",IF(N(INDEX(F_Y,MATCH($C212,FA,0)))&gt;0,INDEX(F_Y,MATCH($C212,FA,0)),""))</f>
        <v>#REF!</v>
      </c>
      <c r="S212" s="7" t="e">
        <f>IF(OR($P212="",$P212="G",ISNA(MATCH($C212,FA,0))),"",IF(N(INDEX(F_D,MATCH($C212,FA,0)))&gt;0,INDEX(F_D,MATCH($C212,FA,0)),""))</f>
        <v>#REF!</v>
      </c>
      <c r="T212" s="7">
        <f>IF(ISNA(MATCH($C212,FA,0)),0,IF($J212="GIRIS",N(INDEX(F_INKOR,MATCH($C212,FA,0))),0))</f>
        <v>0</v>
      </c>
      <c r="U212" s="7" t="e">
        <f t="shared" si="52"/>
        <v>#REF!</v>
      </c>
      <c r="V212" s="7" t="str">
        <f t="shared" si="53"/>
        <v/>
      </c>
      <c r="W212" s="7" t="e">
        <f>IF(OR(NOT(ISNUMBER($P212)),$Q212=""),"",N(#REF!)*($Q212+IF(ISNA(MATCH($B212,TIP_AD,0)),0,N(INDEX(TIP_BOSLUK,MATCH($B212,TIP_AD,0))))))</f>
        <v>#REF!</v>
      </c>
      <c r="X212" s="7" t="e">
        <f>IF(ISNUMBER($P212),($Q212="")+($R212="")+($V212="")+IF(AND($U212="KONTAKTOR",NOT(ISNA(MATCH($B212,TIP_AD,0)))),IF(INDEX(TIP_BOSLUK,MATCH($B212,TIP_AD,0))&amp;""="",1,0),0),IF($P212="K",IF($S212="",1,0),0))</f>
        <v>#REF!</v>
      </c>
      <c r="Y212" s="7" t="e">
        <f>N(#REF!)*IF($E212="упак",MAX(1,IF(ISNA(MATCH($C212,FA,0)),1,N(INDEX(F_PAKET,MATCH($C212,FA,0))))),1)</f>
        <v>#REF!</v>
      </c>
      <c r="Z212" s="7" t="e">
        <f t="shared" si="48"/>
        <v>#REF!</v>
      </c>
      <c r="AA212" s="7" t="e">
        <f>IF(OR(ISNA(MATCH($C212,FA,0)),$J212="YEDEK",$J212="SARF"),0,N(#REF!)*N(INDEX(F_TEL,MATCH($C212,FA,0))))</f>
        <v>#REF!</v>
      </c>
      <c r="AB212" s="7" t="e">
        <f>IF(OR(ISNA(MATCH($C212,FA,0)),$J212="YEDEK",$J212="SARF"),0,N(#REF!)*N(INDEX(F_TELM,MATCH($C212,FA,0))))</f>
        <v>#REF!</v>
      </c>
      <c r="AC212" s="7" t="e">
        <f t="shared" si="49"/>
        <v>#REF!</v>
      </c>
      <c r="AD212" s="7">
        <f>IF(OR(ISNA(MATCH($C212,FA,0)),$J212&lt;&gt;"CIKIS"),0,N(INDEX(F_KK,MATCH($C212,FA,0))))</f>
        <v>0</v>
      </c>
      <c r="AE212" s="7">
        <f>IF($AD212=0,0,N(#REF!)*N(INDEX(F_KLN,MATCH($C212,FA,0))))</f>
        <v>0</v>
      </c>
      <c r="AF212" s="7">
        <f>IF($AD212=0,0,N(#REF!)*N(INDEX(F_KPE,MATCH($C212,FA,0))))</f>
        <v>0</v>
      </c>
      <c r="AG212" s="7" t="e">
        <f>IF(ISNA(MATCH($C212,FA,0)),0,N(#REF!)*N(INDEX(F_MODUL,MATCH($C212,FA,0))))</f>
        <v>#REF!</v>
      </c>
      <c r="AH212" s="7" t="e">
        <f>N(#REF!)*N($I212)</f>
        <v>#REF!</v>
      </c>
      <c r="AI212" s="7" t="e">
        <f t="shared" si="50"/>
        <v>#REF!</v>
      </c>
      <c r="AJ212" s="7">
        <f t="shared" si="51"/>
        <v>0</v>
      </c>
    </row>
    <row r="213" spans="1:36" x14ac:dyDescent="0.25">
      <c r="A213" s="4" t="str">
        <f t="shared" si="45"/>
        <v>ШГП-П (Ввод + Секция 1) (ВРУ1-21-10 модифицированная)+(ВРУ1-41-00А)(260922 akram aulet)</v>
      </c>
      <c r="B213" s="4" t="s">
        <v>75</v>
      </c>
      <c r="C213" s="4" t="s">
        <v>469</v>
      </c>
      <c r="D213" s="4" t="s">
        <v>470</v>
      </c>
      <c r="E213" s="4" t="s">
        <v>114</v>
      </c>
      <c r="F213" s="4" t="s">
        <v>377</v>
      </c>
      <c r="G213" s="4" t="s">
        <v>38</v>
      </c>
      <c r="H213" s="5" t="e">
        <f>#REF!</f>
        <v>#REF!</v>
      </c>
      <c r="I213" s="6" t="e">
        <f t="shared" si="46"/>
        <v>#REF!</v>
      </c>
      <c r="J213" s="6" t="s">
        <v>66</v>
      </c>
      <c r="K213" s="6" t="s">
        <v>75</v>
      </c>
      <c r="L213" s="7" t="e">
        <f t="shared" si="47"/>
        <v>#REF!</v>
      </c>
      <c r="M213" s="7" t="s">
        <v>81</v>
      </c>
      <c r="N213" s="7" t="s">
        <v>82</v>
      </c>
      <c r="O213" s="7" t="str">
        <f>IF(OR($C213="",$C213="FID YOK"),"",IF(ISNUMBER(MATCH($C213,FA_ANA,0)),"",IF(COUNTIF($C$1:$C212,$C213)&gt;0,"",MAX($O$1:$O212)+1)))</f>
        <v/>
      </c>
      <c r="P213" s="8" t="s">
        <v>78</v>
      </c>
      <c r="Q213" s="7" t="e">
        <f>IF(OR($P213="",$P213="G",ISNA(MATCH($C213,FA,0))),"",IF(N(INDEX(F_G,MATCH($C213,FA,0)))&gt;0,INDEX(F_G,MATCH($C213,FA,0)),IF(N(INDEX(F_MODUL,MATCH($C213,FA,0)))&gt;0,INDEX(F_MODUL,MATCH($C213,FA,0))*MODUL_MM,"")))</f>
        <v>#REF!</v>
      </c>
      <c r="R213" s="7" t="e">
        <f>IF(OR($P213="",$P213="G",ISNA(MATCH($C213,FA,0))),"",IF(N(INDEX(F_Y,MATCH($C213,FA,0)))&gt;0,INDEX(F_Y,MATCH($C213,FA,0)),""))</f>
        <v>#REF!</v>
      </c>
      <c r="S213" s="7" t="e">
        <f>IF(OR($P213="",$P213="G",ISNA(MATCH($C213,FA,0))),"",IF(N(INDEX(F_D,MATCH($C213,FA,0)))&gt;0,INDEX(F_D,MATCH($C213,FA,0)),""))</f>
        <v>#REF!</v>
      </c>
      <c r="T213" s="7">
        <f>IF(ISNA(MATCH($C213,FA,0)),0,IF($J213="GIRIS",N(INDEX(F_INKOR,MATCH($C213,FA,0))),0))</f>
        <v>0</v>
      </c>
      <c r="U213" s="7" t="e">
        <f t="shared" si="52"/>
        <v>#REF!</v>
      </c>
      <c r="V213" s="7" t="str">
        <f t="shared" si="53"/>
        <v/>
      </c>
      <c r="W213" s="7" t="e">
        <f>IF(OR(NOT(ISNUMBER($P213)),$Q213=""),"",N(#REF!)*($Q213+IF(ISNA(MATCH($B213,TIP_AD,0)),0,N(INDEX(TIP_BOSLUK,MATCH($B213,TIP_AD,0))))))</f>
        <v>#REF!</v>
      </c>
      <c r="X213" s="7" t="e">
        <f>IF(ISNUMBER($P213),($Q213="")+($R213="")+($V213="")+IF(AND($U213="KONTAKTOR",NOT(ISNA(MATCH($B213,TIP_AD,0)))),IF(INDEX(TIP_BOSLUK,MATCH($B213,TIP_AD,0))&amp;""="",1,0),0),IF($P213="K",IF($S213="",1,0),0))</f>
        <v>#REF!</v>
      </c>
      <c r="Y213" s="7" t="e">
        <f>N(#REF!)*IF($E213="упак",MAX(1,IF(ISNA(MATCH($C213,FA,0)),1,N(INDEX(F_PAKET,MATCH($C213,FA,0))))),1)</f>
        <v>#REF!</v>
      </c>
      <c r="Z213" s="7" t="e">
        <f t="shared" si="48"/>
        <v>#REF!</v>
      </c>
      <c r="AA213" s="7" t="e">
        <f>IF(OR(ISNA(MATCH($C213,FA,0)),$J213="YEDEK",$J213="SARF"),0,N(#REF!)*N(INDEX(F_TEL,MATCH($C213,FA,0))))</f>
        <v>#REF!</v>
      </c>
      <c r="AB213" s="7" t="e">
        <f>IF(OR(ISNA(MATCH($C213,FA,0)),$J213="YEDEK",$J213="SARF"),0,N(#REF!)*N(INDEX(F_TELM,MATCH($C213,FA,0))))</f>
        <v>#REF!</v>
      </c>
      <c r="AC213" s="7" t="e">
        <f t="shared" si="49"/>
        <v>#REF!</v>
      </c>
      <c r="AD213" s="7">
        <f>IF(OR(ISNA(MATCH($C213,FA,0)),$J213&lt;&gt;"CIKIS"),0,N(INDEX(F_KK,MATCH($C213,FA,0))))</f>
        <v>0</v>
      </c>
      <c r="AE213" s="7">
        <f>IF($AD213=0,0,N(#REF!)*N(INDEX(F_KLN,MATCH($C213,FA,0))))</f>
        <v>0</v>
      </c>
      <c r="AF213" s="7">
        <f>IF($AD213=0,0,N(#REF!)*N(INDEX(F_KPE,MATCH($C213,FA,0))))</f>
        <v>0</v>
      </c>
      <c r="AG213" s="7" t="e">
        <f>IF(ISNA(MATCH($C213,FA,0)),0,N(#REF!)*N(INDEX(F_MODUL,MATCH($C213,FA,0))))</f>
        <v>#REF!</v>
      </c>
      <c r="AH213" s="7" t="e">
        <f>N(#REF!)*N($I213)</f>
        <v>#REF!</v>
      </c>
      <c r="AI213" s="7" t="e">
        <f t="shared" si="50"/>
        <v>#REF!</v>
      </c>
      <c r="AJ213" s="7">
        <f t="shared" si="51"/>
        <v>0</v>
      </c>
    </row>
    <row r="214" spans="1:36" x14ac:dyDescent="0.25">
      <c r="A214" s="4" t="str">
        <f t="shared" si="45"/>
        <v>ШГП-П (Ввод + Секция 1) (ВРУ1-21-10 модифицированная)+(ВРУ1-41-00А)(260922 akram aulet)</v>
      </c>
      <c r="B214" s="4" t="s">
        <v>83</v>
      </c>
      <c r="C214" s="4" t="s">
        <v>587</v>
      </c>
      <c r="D214" s="4" t="s">
        <v>588</v>
      </c>
      <c r="E214" s="4" t="s">
        <v>520</v>
      </c>
      <c r="F214" s="4" t="s">
        <v>486</v>
      </c>
      <c r="G214" s="4" t="s">
        <v>38</v>
      </c>
      <c r="H214" s="5" t="e">
        <f>#REF!</f>
        <v>#REF!</v>
      </c>
      <c r="I214" s="6" t="e">
        <f t="shared" si="46"/>
        <v>#REF!</v>
      </c>
      <c r="J214" s="6" t="s">
        <v>84</v>
      </c>
      <c r="K214" s="6" t="s">
        <v>83</v>
      </c>
      <c r="L214" s="7" t="e">
        <f t="shared" si="47"/>
        <v>#REF!</v>
      </c>
      <c r="M214" s="7" t="s">
        <v>85</v>
      </c>
      <c r="O214" s="7" t="str">
        <f>IF(OR($C214="",$C214="FID YOK"),"",IF(ISNUMBER(MATCH($C214,FA_ANA,0)),"",IF(COUNTIF($C$1:$C213,$C214)&gt;0,"",MAX($O$1:$O213)+1)))</f>
        <v/>
      </c>
      <c r="T214" s="7">
        <f>IF(ISNA(MATCH($C214,FA,0)),0,IF($J214="GIRIS",N(INDEX(F_INKOR,MATCH($C214,FA,0))),0))</f>
        <v>0</v>
      </c>
      <c r="Y214" s="7" t="e">
        <f>N(#REF!)*IF($E214="упак",MAX(1,IF(ISNA(MATCH($C214,FA,0)),1,N(INDEX(F_PAKET,MATCH($C214,FA,0))))),1)</f>
        <v>#REF!</v>
      </c>
      <c r="Z214" s="7" t="e">
        <f t="shared" si="48"/>
        <v>#REF!</v>
      </c>
      <c r="AA214" s="7">
        <f>IF(OR(ISNA(MATCH($C214,FA,0)),$J214="YEDEK",$J214="SARF"),0,N(#REF!)*N(INDEX(F_TEL,MATCH($C214,FA,0))))</f>
        <v>0</v>
      </c>
      <c r="AB214" s="7">
        <f>IF(OR(ISNA(MATCH($C214,FA,0)),$J214="YEDEK",$J214="SARF"),0,N(#REF!)*N(INDEX(F_TELM,MATCH($C214,FA,0))))</f>
        <v>0</v>
      </c>
      <c r="AC214" s="7" t="e">
        <f t="shared" si="49"/>
        <v>#REF!</v>
      </c>
      <c r="AD214" s="7">
        <f>IF(OR(ISNA(MATCH($C214,FA,0)),$J214&lt;&gt;"CIKIS"),0,N(INDEX(F_KK,MATCH($C214,FA,0))))</f>
        <v>0</v>
      </c>
      <c r="AE214" s="7">
        <f>IF($AD214=0,0,N(#REF!)*N(INDEX(F_KLN,MATCH($C214,FA,0))))</f>
        <v>0</v>
      </c>
      <c r="AF214" s="7">
        <f>IF($AD214=0,0,N(#REF!)*N(INDEX(F_KPE,MATCH($C214,FA,0))))</f>
        <v>0</v>
      </c>
      <c r="AG214" s="7" t="e">
        <f>IF(ISNA(MATCH($C214,FA,0)),0,N(#REF!)*N(INDEX(F_MODUL,MATCH($C214,FA,0))))</f>
        <v>#REF!</v>
      </c>
      <c r="AH214" s="7" t="e">
        <f>N(#REF!)*N($I214)</f>
        <v>#REF!</v>
      </c>
      <c r="AI214" s="7" t="e">
        <f t="shared" si="50"/>
        <v>#REF!</v>
      </c>
      <c r="AJ214" s="7">
        <f t="shared" si="51"/>
        <v>0</v>
      </c>
    </row>
    <row r="215" spans="1:36" x14ac:dyDescent="0.25">
      <c r="A215" s="4" t="str">
        <f t="shared" si="45"/>
        <v>ШГП-П (Ввод + Секция 1) (ВРУ1-21-10 модифицированная)+(ВРУ1-41-00А)(260922 akram aulet)</v>
      </c>
      <c r="B215" s="4" t="s">
        <v>83</v>
      </c>
      <c r="C215" s="4" t="s">
        <v>587</v>
      </c>
      <c r="D215" s="4" t="s">
        <v>588</v>
      </c>
      <c r="E215" s="4" t="s">
        <v>520</v>
      </c>
      <c r="F215" s="4" t="s">
        <v>486</v>
      </c>
      <c r="G215" s="4" t="s">
        <v>38</v>
      </c>
      <c r="H215" s="5" t="e">
        <f>#REF!</f>
        <v>#REF!</v>
      </c>
      <c r="I215" s="6" t="e">
        <f t="shared" si="46"/>
        <v>#REF!</v>
      </c>
      <c r="J215" s="6" t="s">
        <v>84</v>
      </c>
      <c r="K215" s="6" t="s">
        <v>83</v>
      </c>
      <c r="L215" s="7" t="e">
        <f t="shared" si="47"/>
        <v>#REF!</v>
      </c>
      <c r="M215" s="7" t="s">
        <v>86</v>
      </c>
      <c r="O215" s="7" t="str">
        <f>IF(OR($C215="",$C215="FID YOK"),"",IF(ISNUMBER(MATCH($C215,FA_ANA,0)),"",IF(COUNTIF($C$1:$C214,$C215)&gt;0,"",MAX($O$1:$O214)+1)))</f>
        <v/>
      </c>
      <c r="T215" s="7">
        <f>IF(ISNA(MATCH($C215,FA,0)),0,IF($J215="GIRIS",N(INDEX(F_INKOR,MATCH($C215,FA,0))),0))</f>
        <v>0</v>
      </c>
      <c r="Y215" s="7" t="e">
        <f>N(#REF!)*IF($E215="упак",MAX(1,IF(ISNA(MATCH($C215,FA,0)),1,N(INDEX(F_PAKET,MATCH($C215,FA,0))))),1)</f>
        <v>#REF!</v>
      </c>
      <c r="Z215" s="7" t="e">
        <f t="shared" si="48"/>
        <v>#REF!</v>
      </c>
      <c r="AA215" s="7">
        <f>IF(OR(ISNA(MATCH($C215,FA,0)),$J215="YEDEK",$J215="SARF"),0,N(#REF!)*N(INDEX(F_TEL,MATCH($C215,FA,0))))</f>
        <v>0</v>
      </c>
      <c r="AB215" s="7">
        <f>IF(OR(ISNA(MATCH($C215,FA,0)),$J215="YEDEK",$J215="SARF"),0,N(#REF!)*N(INDEX(F_TELM,MATCH($C215,FA,0))))</f>
        <v>0</v>
      </c>
      <c r="AC215" s="7" t="e">
        <f t="shared" si="49"/>
        <v>#REF!</v>
      </c>
      <c r="AD215" s="7">
        <f>IF(OR(ISNA(MATCH($C215,FA,0)),$J215&lt;&gt;"CIKIS"),0,N(INDEX(F_KK,MATCH($C215,FA,0))))</f>
        <v>0</v>
      </c>
      <c r="AE215" s="7">
        <f>IF($AD215=0,0,N(#REF!)*N(INDEX(F_KLN,MATCH($C215,FA,0))))</f>
        <v>0</v>
      </c>
      <c r="AF215" s="7">
        <f>IF($AD215=0,0,N(#REF!)*N(INDEX(F_KPE,MATCH($C215,FA,0))))</f>
        <v>0</v>
      </c>
      <c r="AG215" s="7" t="e">
        <f>IF(ISNA(MATCH($C215,FA,0)),0,N(#REF!)*N(INDEX(F_MODUL,MATCH($C215,FA,0))))</f>
        <v>#REF!</v>
      </c>
      <c r="AH215" s="7" t="e">
        <f>N(#REF!)*N($I215)</f>
        <v>#REF!</v>
      </c>
      <c r="AI215" s="7" t="e">
        <f t="shared" si="50"/>
        <v>#REF!</v>
      </c>
      <c r="AJ215" s="7">
        <f t="shared" si="51"/>
        <v>0</v>
      </c>
    </row>
    <row r="216" spans="1:36" x14ac:dyDescent="0.25">
      <c r="A216" s="4" t="str">
        <f t="shared" si="45"/>
        <v>ШГП-П (Ввод + Секция 1) (ВРУ1-21-10 модифицированная)+(ВРУ1-41-00А)(260922 akram aulet)</v>
      </c>
      <c r="B216" s="4" t="s">
        <v>83</v>
      </c>
      <c r="C216" s="4" t="s">
        <v>585</v>
      </c>
      <c r="D216" s="4" t="s">
        <v>586</v>
      </c>
      <c r="E216" s="4" t="s">
        <v>520</v>
      </c>
      <c r="F216" s="4" t="s">
        <v>486</v>
      </c>
      <c r="G216" s="4" t="s">
        <v>38</v>
      </c>
      <c r="H216" s="5" t="e">
        <f>#REF!</f>
        <v>#REF!</v>
      </c>
      <c r="I216" s="6" t="e">
        <f t="shared" si="46"/>
        <v>#REF!</v>
      </c>
      <c r="J216" s="6" t="s">
        <v>84</v>
      </c>
      <c r="K216" s="6" t="s">
        <v>83</v>
      </c>
      <c r="L216" s="7" t="e">
        <f t="shared" si="47"/>
        <v>#REF!</v>
      </c>
      <c r="M216" s="7" t="s">
        <v>87</v>
      </c>
      <c r="O216" s="7" t="str">
        <f>IF(OR($C216="",$C216="FID YOK"),"",IF(ISNUMBER(MATCH($C216,FA_ANA,0)),"",IF(COUNTIF($C$1:$C215,$C216)&gt;0,"",MAX($O$1:$O215)+1)))</f>
        <v/>
      </c>
      <c r="T216" s="7">
        <f>IF(ISNA(MATCH($C216,FA,0)),0,IF($J216="GIRIS",N(INDEX(F_INKOR,MATCH($C216,FA,0))),0))</f>
        <v>0</v>
      </c>
      <c r="Y216" s="7" t="e">
        <f>N(#REF!)*IF($E216="упак",MAX(1,IF(ISNA(MATCH($C216,FA,0)),1,N(INDEX(F_PAKET,MATCH($C216,FA,0))))),1)</f>
        <v>#REF!</v>
      </c>
      <c r="Z216" s="7" t="e">
        <f t="shared" si="48"/>
        <v>#REF!</v>
      </c>
      <c r="AA216" s="7">
        <f>IF(OR(ISNA(MATCH($C216,FA,0)),$J216="YEDEK",$J216="SARF"),0,N(#REF!)*N(INDEX(F_TEL,MATCH($C216,FA,0))))</f>
        <v>0</v>
      </c>
      <c r="AB216" s="7">
        <f>IF(OR(ISNA(MATCH($C216,FA,0)),$J216="YEDEK",$J216="SARF"),0,N(#REF!)*N(INDEX(F_TELM,MATCH($C216,FA,0))))</f>
        <v>0</v>
      </c>
      <c r="AC216" s="7" t="e">
        <f t="shared" si="49"/>
        <v>#REF!</v>
      </c>
      <c r="AD216" s="7">
        <f>IF(OR(ISNA(MATCH($C216,FA,0)),$J216&lt;&gt;"CIKIS"),0,N(INDEX(F_KK,MATCH($C216,FA,0))))</f>
        <v>0</v>
      </c>
      <c r="AE216" s="7">
        <f>IF($AD216=0,0,N(#REF!)*N(INDEX(F_KLN,MATCH($C216,FA,0))))</f>
        <v>0</v>
      </c>
      <c r="AF216" s="7">
        <f>IF($AD216=0,0,N(#REF!)*N(INDEX(F_KPE,MATCH($C216,FA,0))))</f>
        <v>0</v>
      </c>
      <c r="AG216" s="7" t="e">
        <f>IF(ISNA(MATCH($C216,FA,0)),0,N(#REF!)*N(INDEX(F_MODUL,MATCH($C216,FA,0))))</f>
        <v>#REF!</v>
      </c>
      <c r="AH216" s="7" t="e">
        <f>N(#REF!)*N($I216)</f>
        <v>#REF!</v>
      </c>
      <c r="AI216" s="7" t="e">
        <f t="shared" si="50"/>
        <v>#REF!</v>
      </c>
      <c r="AJ216" s="7">
        <f t="shared" si="51"/>
        <v>0</v>
      </c>
    </row>
    <row r="217" spans="1:36" x14ac:dyDescent="0.25">
      <c r="A217" s="4" t="str">
        <f t="shared" si="45"/>
        <v>ШГП-П (Ввод + Секция 1) (ВРУ1-21-10 модифицированная)+(ВРУ1-41-00А)(260922 akram aulet)</v>
      </c>
      <c r="B217" s="4" t="s">
        <v>88</v>
      </c>
      <c r="C217" s="4" t="s">
        <v>573</v>
      </c>
      <c r="D217" s="4" t="s">
        <v>574</v>
      </c>
      <c r="E217" s="4" t="s">
        <v>114</v>
      </c>
      <c r="F217" s="4" t="s">
        <v>486</v>
      </c>
      <c r="G217" s="4" t="s">
        <v>38</v>
      </c>
      <c r="H217" s="5" t="e">
        <f>#REF!</f>
        <v>#REF!</v>
      </c>
      <c r="I217" s="6" t="e">
        <f t="shared" si="46"/>
        <v>#REF!</v>
      </c>
      <c r="J217" s="6" t="s">
        <v>84</v>
      </c>
      <c r="K217" s="6" t="s">
        <v>88</v>
      </c>
      <c r="L217" s="7" t="e">
        <f t="shared" si="47"/>
        <v>#REF!</v>
      </c>
      <c r="M217" s="7" t="s">
        <v>89</v>
      </c>
      <c r="O217" s="7" t="str">
        <f>IF(OR($C217="",$C217="FID YOK"),"",IF(ISNUMBER(MATCH($C217,FA_ANA,0)),"",IF(COUNTIF($C$1:$C216,$C217)&gt;0,"",MAX($O$1:$O216)+1)))</f>
        <v/>
      </c>
      <c r="T217" s="7">
        <f>IF(ISNA(MATCH($C217,FA,0)),0,IF($J217="GIRIS",N(INDEX(F_INKOR,MATCH($C217,FA,0))),0))</f>
        <v>0</v>
      </c>
      <c r="Y217" s="7" t="e">
        <f>N(#REF!)*IF($E217="упак",MAX(1,IF(ISNA(MATCH($C217,FA,0)),1,N(INDEX(F_PAKET,MATCH($C217,FA,0))))),1)</f>
        <v>#REF!</v>
      </c>
      <c r="Z217" s="7" t="e">
        <f t="shared" si="48"/>
        <v>#REF!</v>
      </c>
      <c r="AA217" s="7">
        <f>IF(OR(ISNA(MATCH($C217,FA,0)),$J217="YEDEK",$J217="SARF"),0,N(#REF!)*N(INDEX(F_TEL,MATCH($C217,FA,0))))</f>
        <v>0</v>
      </c>
      <c r="AB217" s="7">
        <f>IF(OR(ISNA(MATCH($C217,FA,0)),$J217="YEDEK",$J217="SARF"),0,N(#REF!)*N(INDEX(F_TELM,MATCH($C217,FA,0))))</f>
        <v>0</v>
      </c>
      <c r="AC217" s="7" t="e">
        <f t="shared" si="49"/>
        <v>#REF!</v>
      </c>
      <c r="AD217" s="7">
        <f>IF(OR(ISNA(MATCH($C217,FA,0)),$J217&lt;&gt;"CIKIS"),0,N(INDEX(F_KK,MATCH($C217,FA,0))))</f>
        <v>0</v>
      </c>
      <c r="AE217" s="7">
        <f>IF($AD217=0,0,N(#REF!)*N(INDEX(F_KLN,MATCH($C217,FA,0))))</f>
        <v>0</v>
      </c>
      <c r="AF217" s="7">
        <f>IF($AD217=0,0,N(#REF!)*N(INDEX(F_KPE,MATCH($C217,FA,0))))</f>
        <v>0</v>
      </c>
      <c r="AG217" s="7" t="e">
        <f>IF(ISNA(MATCH($C217,FA,0)),0,N(#REF!)*N(INDEX(F_MODUL,MATCH($C217,FA,0))))</f>
        <v>#REF!</v>
      </c>
      <c r="AH217" s="7" t="e">
        <f>N(#REF!)*N($I217)</f>
        <v>#REF!</v>
      </c>
      <c r="AI217" s="7" t="e">
        <f t="shared" si="50"/>
        <v>#REF!</v>
      </c>
      <c r="AJ217" s="7">
        <f t="shared" si="51"/>
        <v>0</v>
      </c>
    </row>
    <row r="218" spans="1:36" x14ac:dyDescent="0.25">
      <c r="A218" s="4" t="str">
        <f t="shared" si="45"/>
        <v>ШГП-П (Ввод + Секция 1) (ВРУ1-21-10 модифицированная)+(ВРУ1-41-00А)(260922 akram aulet)</v>
      </c>
      <c r="B218" s="4" t="s">
        <v>90</v>
      </c>
      <c r="C218" s="4" t="s">
        <v>518</v>
      </c>
      <c r="D218" s="4" t="s">
        <v>519</v>
      </c>
      <c r="E218" s="4" t="s">
        <v>520</v>
      </c>
      <c r="F218" s="4" t="s">
        <v>486</v>
      </c>
      <c r="G218" s="4" t="s">
        <v>38</v>
      </c>
      <c r="H218" s="5" t="e">
        <f>#REF!</f>
        <v>#REF!</v>
      </c>
      <c r="I218" s="6" t="e">
        <f t="shared" si="46"/>
        <v>#REF!</v>
      </c>
      <c r="J218" s="6" t="s">
        <v>84</v>
      </c>
      <c r="K218" s="6" t="s">
        <v>90</v>
      </c>
      <c r="L218" s="7" t="e">
        <f t="shared" si="47"/>
        <v>#REF!</v>
      </c>
      <c r="M218" s="7" t="s">
        <v>91</v>
      </c>
      <c r="O218" s="7" t="str">
        <f>IF(OR($C218="",$C218="FID YOK"),"",IF(ISNUMBER(MATCH($C218,FA_ANA,0)),"",IF(COUNTIF($C$1:$C217,$C218)&gt;0,"",MAX($O$1:$O217)+1)))</f>
        <v/>
      </c>
      <c r="T218" s="7">
        <f>IF(ISNA(MATCH($C218,FA,0)),0,IF($J218="GIRIS",N(INDEX(F_INKOR,MATCH($C218,FA,0))),0))</f>
        <v>0</v>
      </c>
      <c r="Y218" s="7" t="e">
        <f>N(#REF!)*IF($E218="упак",MAX(1,IF(ISNA(MATCH($C218,FA,0)),1,N(INDEX(F_PAKET,MATCH($C218,FA,0))))),1)</f>
        <v>#REF!</v>
      </c>
      <c r="Z218" s="7" t="e">
        <f t="shared" si="48"/>
        <v>#REF!</v>
      </c>
      <c r="AA218" s="7">
        <f>IF(OR(ISNA(MATCH($C218,FA,0)),$J218="YEDEK",$J218="SARF"),0,N(#REF!)*N(INDEX(F_TEL,MATCH($C218,FA,0))))</f>
        <v>0</v>
      </c>
      <c r="AB218" s="7">
        <f>IF(OR(ISNA(MATCH($C218,FA,0)),$J218="YEDEK",$J218="SARF"),0,N(#REF!)*N(INDEX(F_TELM,MATCH($C218,FA,0))))</f>
        <v>0</v>
      </c>
      <c r="AC218" s="7" t="e">
        <f t="shared" si="49"/>
        <v>#REF!</v>
      </c>
      <c r="AD218" s="7">
        <f>IF(OR(ISNA(MATCH($C218,FA,0)),$J218&lt;&gt;"CIKIS"),0,N(INDEX(F_KK,MATCH($C218,FA,0))))</f>
        <v>0</v>
      </c>
      <c r="AE218" s="7">
        <f>IF($AD218=0,0,N(#REF!)*N(INDEX(F_KLN,MATCH($C218,FA,0))))</f>
        <v>0</v>
      </c>
      <c r="AF218" s="7">
        <f>IF($AD218=0,0,N(#REF!)*N(INDEX(F_KPE,MATCH($C218,FA,0))))</f>
        <v>0</v>
      </c>
      <c r="AG218" s="7" t="e">
        <f>IF(ISNA(MATCH($C218,FA,0)),0,N(#REF!)*N(INDEX(F_MODUL,MATCH($C218,FA,0))))</f>
        <v>#REF!</v>
      </c>
      <c r="AH218" s="7" t="e">
        <f>N(#REF!)*N($I218)</f>
        <v>#REF!</v>
      </c>
      <c r="AI218" s="7" t="e">
        <f t="shared" si="50"/>
        <v>#REF!</v>
      </c>
      <c r="AJ218" s="7">
        <f t="shared" si="51"/>
        <v>0</v>
      </c>
    </row>
    <row r="219" spans="1:36" x14ac:dyDescent="0.25">
      <c r="A219" s="4" t="str">
        <f t="shared" si="45"/>
        <v>ШГП-П (Ввод + Секция 1) (ВРУ1-21-10 модифицированная)+(ВРУ1-41-00А)(260922 akram aulet)</v>
      </c>
      <c r="B219" s="4" t="s">
        <v>92</v>
      </c>
      <c r="C219" s="4" t="s">
        <v>523</v>
      </c>
      <c r="D219" s="4" t="s">
        <v>524</v>
      </c>
      <c r="E219" s="4" t="s">
        <v>520</v>
      </c>
      <c r="F219" s="4" t="s">
        <v>521</v>
      </c>
      <c r="G219" s="4" t="s">
        <v>38</v>
      </c>
      <c r="H219" s="5" t="e">
        <f>#REF!</f>
        <v>#REF!</v>
      </c>
      <c r="I219" s="6" t="e">
        <f t="shared" si="46"/>
        <v>#REF!</v>
      </c>
      <c r="J219" s="6" t="s">
        <v>84</v>
      </c>
      <c r="K219" s="6" t="s">
        <v>92</v>
      </c>
      <c r="L219" s="7" t="e">
        <f t="shared" si="47"/>
        <v>#REF!</v>
      </c>
      <c r="M219" s="7" t="s">
        <v>93</v>
      </c>
      <c r="O219" s="7" t="str">
        <f>IF(OR($C219="",$C219="FID YOK"),"",IF(ISNUMBER(MATCH($C219,FA_ANA,0)),"",IF(COUNTIF($C$1:$C218,$C219)&gt;0,"",MAX($O$1:$O218)+1)))</f>
        <v/>
      </c>
      <c r="T219" s="7">
        <f>IF(ISNA(MATCH($C219,FA,0)),0,IF($J219="GIRIS",N(INDEX(F_INKOR,MATCH($C219,FA,0))),0))</f>
        <v>0</v>
      </c>
      <c r="Y219" s="7" t="e">
        <f>N(#REF!)*IF($E219="упак",MAX(1,IF(ISNA(MATCH($C219,FA,0)),1,N(INDEX(F_PAKET,MATCH($C219,FA,0))))),1)</f>
        <v>#REF!</v>
      </c>
      <c r="Z219" s="7" t="e">
        <f t="shared" si="48"/>
        <v>#REF!</v>
      </c>
      <c r="AA219" s="7">
        <f>IF(OR(ISNA(MATCH($C219,FA,0)),$J219="YEDEK",$J219="SARF"),0,N(#REF!)*N(INDEX(F_TEL,MATCH($C219,FA,0))))</f>
        <v>0</v>
      </c>
      <c r="AB219" s="7">
        <f>IF(OR(ISNA(MATCH($C219,FA,0)),$J219="YEDEK",$J219="SARF"),0,N(#REF!)*N(INDEX(F_TELM,MATCH($C219,FA,0))))</f>
        <v>0</v>
      </c>
      <c r="AC219" s="7" t="e">
        <f t="shared" si="49"/>
        <v>#REF!</v>
      </c>
      <c r="AD219" s="7">
        <f>IF(OR(ISNA(MATCH($C219,FA,0)),$J219&lt;&gt;"CIKIS"),0,N(INDEX(F_KK,MATCH($C219,FA,0))))</f>
        <v>0</v>
      </c>
      <c r="AE219" s="7">
        <f>IF($AD219=0,0,N(#REF!)*N(INDEX(F_KLN,MATCH($C219,FA,0))))</f>
        <v>0</v>
      </c>
      <c r="AF219" s="7">
        <f>IF($AD219=0,0,N(#REF!)*N(INDEX(F_KPE,MATCH($C219,FA,0))))</f>
        <v>0</v>
      </c>
      <c r="AG219" s="7" t="e">
        <f>IF(ISNA(MATCH($C219,FA,0)),0,N(#REF!)*N(INDEX(F_MODUL,MATCH($C219,FA,0))))</f>
        <v>#REF!</v>
      </c>
      <c r="AH219" s="7" t="e">
        <f>N(#REF!)*N($I219)</f>
        <v>#REF!</v>
      </c>
      <c r="AI219" s="7" t="e">
        <f t="shared" si="50"/>
        <v>#REF!</v>
      </c>
      <c r="AJ219" s="7">
        <f t="shared" si="51"/>
        <v>0</v>
      </c>
    </row>
    <row r="220" spans="1:36" x14ac:dyDescent="0.25">
      <c r="A220" s="4" t="str">
        <f t="shared" si="45"/>
        <v>ШГП-П (Ввод + Секция 1) (ВРУ1-21-10 модифицированная)+(ВРУ1-41-00А)(260922 akram aulet)</v>
      </c>
      <c r="B220" s="4" t="s">
        <v>92</v>
      </c>
      <c r="C220" s="4" t="s">
        <v>527</v>
      </c>
      <c r="D220" s="4" t="s">
        <v>528</v>
      </c>
      <c r="E220" s="4" t="s">
        <v>520</v>
      </c>
      <c r="F220" s="4" t="s">
        <v>521</v>
      </c>
      <c r="G220" s="4" t="s">
        <v>38</v>
      </c>
      <c r="H220" s="5" t="e">
        <f>#REF!</f>
        <v>#REF!</v>
      </c>
      <c r="I220" s="6" t="e">
        <f t="shared" si="46"/>
        <v>#REF!</v>
      </c>
      <c r="J220" s="6" t="s">
        <v>84</v>
      </c>
      <c r="K220" s="6" t="s">
        <v>92</v>
      </c>
      <c r="L220" s="7" t="e">
        <f t="shared" si="47"/>
        <v>#REF!</v>
      </c>
      <c r="M220" s="7" t="s">
        <v>94</v>
      </c>
      <c r="O220" s="7" t="str">
        <f>IF(OR($C220="",$C220="FID YOK"),"",IF(ISNUMBER(MATCH($C220,FA_ANA,0)),"",IF(COUNTIF($C$1:$C219,$C220)&gt;0,"",MAX($O$1:$O219)+1)))</f>
        <v/>
      </c>
      <c r="T220" s="7">
        <f>IF(ISNA(MATCH($C220,FA,0)),0,IF($J220="GIRIS",N(INDEX(F_INKOR,MATCH($C220,FA,0))),0))</f>
        <v>0</v>
      </c>
      <c r="Y220" s="7" t="e">
        <f>N(#REF!)*IF($E220="упак",MAX(1,IF(ISNA(MATCH($C220,FA,0)),1,N(INDEX(F_PAKET,MATCH($C220,FA,0))))),1)</f>
        <v>#REF!</v>
      </c>
      <c r="Z220" s="7" t="e">
        <f t="shared" si="48"/>
        <v>#REF!</v>
      </c>
      <c r="AA220" s="7">
        <f>IF(OR(ISNA(MATCH($C220,FA,0)),$J220="YEDEK",$J220="SARF"),0,N(#REF!)*N(INDEX(F_TEL,MATCH($C220,FA,0))))</f>
        <v>0</v>
      </c>
      <c r="AB220" s="7">
        <f>IF(OR(ISNA(MATCH($C220,FA,0)),$J220="YEDEK",$J220="SARF"),0,N(#REF!)*N(INDEX(F_TELM,MATCH($C220,FA,0))))</f>
        <v>0</v>
      </c>
      <c r="AC220" s="7" t="e">
        <f t="shared" si="49"/>
        <v>#REF!</v>
      </c>
      <c r="AD220" s="7">
        <f>IF(OR(ISNA(MATCH($C220,FA,0)),$J220&lt;&gt;"CIKIS"),0,N(INDEX(F_KK,MATCH($C220,FA,0))))</f>
        <v>0</v>
      </c>
      <c r="AE220" s="7">
        <f>IF($AD220=0,0,N(#REF!)*N(INDEX(F_KLN,MATCH($C220,FA,0))))</f>
        <v>0</v>
      </c>
      <c r="AF220" s="7">
        <f>IF($AD220=0,0,N(#REF!)*N(INDEX(F_KPE,MATCH($C220,FA,0))))</f>
        <v>0</v>
      </c>
      <c r="AG220" s="7" t="e">
        <f>IF(ISNA(MATCH($C220,FA,0)),0,N(#REF!)*N(INDEX(F_MODUL,MATCH($C220,FA,0))))</f>
        <v>#REF!</v>
      </c>
      <c r="AH220" s="7" t="e">
        <f>N(#REF!)*N($I220)</f>
        <v>#REF!</v>
      </c>
      <c r="AI220" s="7" t="e">
        <f t="shared" si="50"/>
        <v>#REF!</v>
      </c>
      <c r="AJ220" s="7">
        <f t="shared" si="51"/>
        <v>0</v>
      </c>
    </row>
    <row r="221" spans="1:36" x14ac:dyDescent="0.25">
      <c r="A221" s="4" t="str">
        <f t="shared" si="45"/>
        <v>ШГП-П (Ввод + Секция 1) (ВРУ1-21-10 модифицированная)+(ВРУ1-41-00А)(260922 akram aulet)</v>
      </c>
      <c r="B221" s="4" t="s">
        <v>92</v>
      </c>
      <c r="C221" s="4" t="s">
        <v>531</v>
      </c>
      <c r="D221" s="4" t="s">
        <v>532</v>
      </c>
      <c r="E221" s="4" t="s">
        <v>520</v>
      </c>
      <c r="F221" s="4" t="s">
        <v>521</v>
      </c>
      <c r="G221" s="4" t="s">
        <v>38</v>
      </c>
      <c r="H221" s="5" t="e">
        <f>#REF!</f>
        <v>#REF!</v>
      </c>
      <c r="I221" s="6" t="e">
        <f t="shared" si="46"/>
        <v>#REF!</v>
      </c>
      <c r="J221" s="6" t="s">
        <v>84</v>
      </c>
      <c r="K221" s="6" t="s">
        <v>92</v>
      </c>
      <c r="L221" s="7" t="e">
        <f t="shared" si="47"/>
        <v>#REF!</v>
      </c>
      <c r="M221" s="7" t="s">
        <v>95</v>
      </c>
      <c r="O221" s="7" t="str">
        <f>IF(OR($C221="",$C221="FID YOK"),"",IF(ISNUMBER(MATCH($C221,FA_ANA,0)),"",IF(COUNTIF($C$1:$C220,$C221)&gt;0,"",MAX($O$1:$O220)+1)))</f>
        <v/>
      </c>
      <c r="T221" s="7">
        <f>IF(ISNA(MATCH($C221,FA,0)),0,IF($J221="GIRIS",N(INDEX(F_INKOR,MATCH($C221,FA,0))),0))</f>
        <v>0</v>
      </c>
      <c r="Y221" s="7" t="e">
        <f>N(#REF!)*IF($E221="упак",MAX(1,IF(ISNA(MATCH($C221,FA,0)),1,N(INDEX(F_PAKET,MATCH($C221,FA,0))))),1)</f>
        <v>#REF!</v>
      </c>
      <c r="Z221" s="7" t="e">
        <f t="shared" si="48"/>
        <v>#REF!</v>
      </c>
      <c r="AA221" s="7">
        <f>IF(OR(ISNA(MATCH($C221,FA,0)),$J221="YEDEK",$J221="SARF"),0,N(#REF!)*N(INDEX(F_TEL,MATCH($C221,FA,0))))</f>
        <v>0</v>
      </c>
      <c r="AB221" s="7">
        <f>IF(OR(ISNA(MATCH($C221,FA,0)),$J221="YEDEK",$J221="SARF"),0,N(#REF!)*N(INDEX(F_TELM,MATCH($C221,FA,0))))</f>
        <v>0</v>
      </c>
      <c r="AC221" s="7" t="e">
        <f t="shared" si="49"/>
        <v>#REF!</v>
      </c>
      <c r="AD221" s="7">
        <f>IF(OR(ISNA(MATCH($C221,FA,0)),$J221&lt;&gt;"CIKIS"),0,N(INDEX(F_KK,MATCH($C221,FA,0))))</f>
        <v>0</v>
      </c>
      <c r="AE221" s="7">
        <f>IF($AD221=0,0,N(#REF!)*N(INDEX(F_KLN,MATCH($C221,FA,0))))</f>
        <v>0</v>
      </c>
      <c r="AF221" s="7">
        <f>IF($AD221=0,0,N(#REF!)*N(INDEX(F_KPE,MATCH($C221,FA,0))))</f>
        <v>0</v>
      </c>
      <c r="AG221" s="7" t="e">
        <f>IF(ISNA(MATCH($C221,FA,0)),0,N(#REF!)*N(INDEX(F_MODUL,MATCH($C221,FA,0))))</f>
        <v>#REF!</v>
      </c>
      <c r="AH221" s="7" t="e">
        <f>N(#REF!)*N($I221)</f>
        <v>#REF!</v>
      </c>
      <c r="AI221" s="7" t="e">
        <f t="shared" si="50"/>
        <v>#REF!</v>
      </c>
      <c r="AJ221" s="7">
        <f t="shared" si="51"/>
        <v>0</v>
      </c>
    </row>
    <row r="222" spans="1:36" x14ac:dyDescent="0.25">
      <c r="A222" s="4" t="str">
        <f t="shared" si="45"/>
        <v>ШГП-П (Ввод + Секция 1) (ВРУ1-21-10 модифицированная)+(ВРУ1-41-00А)(260922 akram aulet)</v>
      </c>
      <c r="B222" s="4" t="s">
        <v>92</v>
      </c>
      <c r="C222" s="4" t="s">
        <v>535</v>
      </c>
      <c r="D222" s="4" t="s">
        <v>536</v>
      </c>
      <c r="E222" s="4" t="s">
        <v>520</v>
      </c>
      <c r="F222" s="4" t="s">
        <v>521</v>
      </c>
      <c r="G222" s="4" t="s">
        <v>38</v>
      </c>
      <c r="H222" s="5" t="e">
        <f>#REF!</f>
        <v>#REF!</v>
      </c>
      <c r="I222" s="6" t="e">
        <f t="shared" si="46"/>
        <v>#REF!</v>
      </c>
      <c r="J222" s="6" t="s">
        <v>84</v>
      </c>
      <c r="K222" s="6" t="s">
        <v>92</v>
      </c>
      <c r="L222" s="7" t="e">
        <f t="shared" si="47"/>
        <v>#REF!</v>
      </c>
      <c r="M222" s="7" t="s">
        <v>130</v>
      </c>
      <c r="O222" s="7" t="str">
        <f>IF(OR($C222="",$C222="FID YOK"),"",IF(ISNUMBER(MATCH($C222,FA_ANA,0)),"",IF(COUNTIF($C$1:$C221,$C222)&gt;0,"",MAX($O$1:$O221)+1)))</f>
        <v/>
      </c>
      <c r="T222" s="7">
        <f>IF(ISNA(MATCH($C222,FA,0)),0,IF($J222="GIRIS",N(INDEX(F_INKOR,MATCH($C222,FA,0))),0))</f>
        <v>0</v>
      </c>
      <c r="Y222" s="7" t="e">
        <f>N(#REF!)*IF($E222="упак",MAX(1,IF(ISNA(MATCH($C222,FA,0)),1,N(INDEX(F_PAKET,MATCH($C222,FA,0))))),1)</f>
        <v>#REF!</v>
      </c>
      <c r="Z222" s="7" t="e">
        <f t="shared" si="48"/>
        <v>#REF!</v>
      </c>
      <c r="AA222" s="7">
        <f>IF(OR(ISNA(MATCH($C222,FA,0)),$J222="YEDEK",$J222="SARF"),0,N(#REF!)*N(INDEX(F_TEL,MATCH($C222,FA,0))))</f>
        <v>0</v>
      </c>
      <c r="AB222" s="7">
        <f>IF(OR(ISNA(MATCH($C222,FA,0)),$J222="YEDEK",$J222="SARF"),0,N(#REF!)*N(INDEX(F_TELM,MATCH($C222,FA,0))))</f>
        <v>0</v>
      </c>
      <c r="AC222" s="7" t="e">
        <f t="shared" si="49"/>
        <v>#REF!</v>
      </c>
      <c r="AD222" s="7">
        <f>IF(OR(ISNA(MATCH($C222,FA,0)),$J222&lt;&gt;"CIKIS"),0,N(INDEX(F_KK,MATCH($C222,FA,0))))</f>
        <v>0</v>
      </c>
      <c r="AE222" s="7">
        <f>IF($AD222=0,0,N(#REF!)*N(INDEX(F_KLN,MATCH($C222,FA,0))))</f>
        <v>0</v>
      </c>
      <c r="AF222" s="7">
        <f>IF($AD222=0,0,N(#REF!)*N(INDEX(F_KPE,MATCH($C222,FA,0))))</f>
        <v>0</v>
      </c>
      <c r="AG222" s="7" t="e">
        <f>IF(ISNA(MATCH($C222,FA,0)),0,N(#REF!)*N(INDEX(F_MODUL,MATCH($C222,FA,0))))</f>
        <v>#REF!</v>
      </c>
      <c r="AH222" s="7" t="e">
        <f>N(#REF!)*N($I222)</f>
        <v>#REF!</v>
      </c>
      <c r="AI222" s="7" t="e">
        <f t="shared" si="50"/>
        <v>#REF!</v>
      </c>
      <c r="AJ222" s="7">
        <f t="shared" si="51"/>
        <v>0</v>
      </c>
    </row>
    <row r="223" spans="1:36" x14ac:dyDescent="0.25">
      <c r="A223" s="4" t="str">
        <f t="shared" si="45"/>
        <v>ШГП-П (Ввод + Секция 1) (ВРУ1-21-10 модифицированная)+(ВРУ1-41-00А)(260922 akram aulet)</v>
      </c>
      <c r="B223" s="4" t="s">
        <v>92</v>
      </c>
      <c r="C223" s="4" t="s">
        <v>541</v>
      </c>
      <c r="D223" s="4" t="s">
        <v>542</v>
      </c>
      <c r="E223" s="4" t="s">
        <v>520</v>
      </c>
      <c r="F223" s="4" t="s">
        <v>521</v>
      </c>
      <c r="G223" s="4" t="s">
        <v>38</v>
      </c>
      <c r="H223" s="5" t="e">
        <f>#REF!</f>
        <v>#REF!</v>
      </c>
      <c r="I223" s="6" t="e">
        <f t="shared" si="46"/>
        <v>#REF!</v>
      </c>
      <c r="J223" s="6" t="s">
        <v>84</v>
      </c>
      <c r="K223" s="6" t="s">
        <v>92</v>
      </c>
      <c r="L223" s="7" t="e">
        <f t="shared" si="47"/>
        <v>#REF!</v>
      </c>
      <c r="M223" s="7" t="s">
        <v>96</v>
      </c>
      <c r="O223" s="7" t="str">
        <f>IF(OR($C223="",$C223="FID YOK"),"",IF(ISNUMBER(MATCH($C223,FA_ANA,0)),"",IF(COUNTIF($C$1:$C222,$C223)&gt;0,"",MAX($O$1:$O222)+1)))</f>
        <v/>
      </c>
      <c r="T223" s="7">
        <f>IF(ISNA(MATCH($C223,FA,0)),0,IF($J223="GIRIS",N(INDEX(F_INKOR,MATCH($C223,FA,0))),0))</f>
        <v>0</v>
      </c>
      <c r="Y223" s="7" t="e">
        <f>N(#REF!)*IF($E223="упак",MAX(1,IF(ISNA(MATCH($C223,FA,0)),1,N(INDEX(F_PAKET,MATCH($C223,FA,0))))),1)</f>
        <v>#REF!</v>
      </c>
      <c r="Z223" s="7" t="e">
        <f t="shared" si="48"/>
        <v>#REF!</v>
      </c>
      <c r="AA223" s="7">
        <f>IF(OR(ISNA(MATCH($C223,FA,0)),$J223="YEDEK",$J223="SARF"),0,N(#REF!)*N(INDEX(F_TEL,MATCH($C223,FA,0))))</f>
        <v>0</v>
      </c>
      <c r="AB223" s="7">
        <f>IF(OR(ISNA(MATCH($C223,FA,0)),$J223="YEDEK",$J223="SARF"),0,N(#REF!)*N(INDEX(F_TELM,MATCH($C223,FA,0))))</f>
        <v>0</v>
      </c>
      <c r="AC223" s="7" t="e">
        <f t="shared" si="49"/>
        <v>#REF!</v>
      </c>
      <c r="AD223" s="7">
        <f>IF(OR(ISNA(MATCH($C223,FA,0)),$J223&lt;&gt;"CIKIS"),0,N(INDEX(F_KK,MATCH($C223,FA,0))))</f>
        <v>0</v>
      </c>
      <c r="AE223" s="7">
        <f>IF($AD223=0,0,N(#REF!)*N(INDEX(F_KLN,MATCH($C223,FA,0))))</f>
        <v>0</v>
      </c>
      <c r="AF223" s="7">
        <f>IF($AD223=0,0,N(#REF!)*N(INDEX(F_KPE,MATCH($C223,FA,0))))</f>
        <v>0</v>
      </c>
      <c r="AG223" s="7" t="e">
        <f>IF(ISNA(MATCH($C223,FA,0)),0,N(#REF!)*N(INDEX(F_MODUL,MATCH($C223,FA,0))))</f>
        <v>#REF!</v>
      </c>
      <c r="AH223" s="7" t="e">
        <f>N(#REF!)*N($I223)</f>
        <v>#REF!</v>
      </c>
      <c r="AI223" s="7" t="e">
        <f t="shared" si="50"/>
        <v>#REF!</v>
      </c>
      <c r="AJ223" s="7">
        <f t="shared" si="51"/>
        <v>0</v>
      </c>
    </row>
    <row r="224" spans="1:36" x14ac:dyDescent="0.25">
      <c r="A224" s="4" t="str">
        <f t="shared" si="45"/>
        <v>ШГП-П (Ввод + Секция 1) (ВРУ1-21-10 модифицированная)+(ВРУ1-41-00А)(260922 akram aulet)</v>
      </c>
      <c r="B224" s="4" t="s">
        <v>92</v>
      </c>
      <c r="C224" s="4" t="s">
        <v>555</v>
      </c>
      <c r="D224" s="4" t="s">
        <v>556</v>
      </c>
      <c r="E224" s="4" t="s">
        <v>520</v>
      </c>
      <c r="F224" s="4" t="s">
        <v>521</v>
      </c>
      <c r="G224" s="4" t="s">
        <v>38</v>
      </c>
      <c r="H224" s="5" t="e">
        <f>#REF!</f>
        <v>#REF!</v>
      </c>
      <c r="I224" s="6" t="e">
        <f t="shared" si="46"/>
        <v>#REF!</v>
      </c>
      <c r="J224" s="6" t="s">
        <v>84</v>
      </c>
      <c r="K224" s="6" t="s">
        <v>92</v>
      </c>
      <c r="L224" s="7" t="e">
        <f t="shared" si="47"/>
        <v>#REF!</v>
      </c>
      <c r="M224" s="7" t="s">
        <v>98</v>
      </c>
      <c r="O224" s="7" t="str">
        <f>IF(OR($C224="",$C224="FID YOK"),"",IF(ISNUMBER(MATCH($C224,FA_ANA,0)),"",IF(COUNTIF($C$1:$C223,$C224)&gt;0,"",MAX($O$1:$O223)+1)))</f>
        <v/>
      </c>
      <c r="T224" s="7">
        <f>IF(ISNA(MATCH($C224,FA,0)),0,IF($J224="GIRIS",N(INDEX(F_INKOR,MATCH($C224,FA,0))),0))</f>
        <v>0</v>
      </c>
      <c r="Y224" s="7" t="e">
        <f>N(#REF!)*IF($E224="упак",MAX(1,IF(ISNA(MATCH($C224,FA,0)),1,N(INDEX(F_PAKET,MATCH($C224,FA,0))))),1)</f>
        <v>#REF!</v>
      </c>
      <c r="Z224" s="7" t="e">
        <f t="shared" si="48"/>
        <v>#REF!</v>
      </c>
      <c r="AA224" s="7">
        <f>IF(OR(ISNA(MATCH($C224,FA,0)),$J224="YEDEK",$J224="SARF"),0,N(#REF!)*N(INDEX(F_TEL,MATCH($C224,FA,0))))</f>
        <v>0</v>
      </c>
      <c r="AB224" s="7">
        <f>IF(OR(ISNA(MATCH($C224,FA,0)),$J224="YEDEK",$J224="SARF"),0,N(#REF!)*N(INDEX(F_TELM,MATCH($C224,FA,0))))</f>
        <v>0</v>
      </c>
      <c r="AC224" s="7" t="e">
        <f t="shared" si="49"/>
        <v>#REF!</v>
      </c>
      <c r="AD224" s="7">
        <f>IF(OR(ISNA(MATCH($C224,FA,0)),$J224&lt;&gt;"CIKIS"),0,N(INDEX(F_KK,MATCH($C224,FA,0))))</f>
        <v>0</v>
      </c>
      <c r="AE224" s="7">
        <f>IF($AD224=0,0,N(#REF!)*N(INDEX(F_KLN,MATCH($C224,FA,0))))</f>
        <v>0</v>
      </c>
      <c r="AF224" s="7">
        <f>IF($AD224=0,0,N(#REF!)*N(INDEX(F_KPE,MATCH($C224,FA,0))))</f>
        <v>0</v>
      </c>
      <c r="AG224" s="7" t="e">
        <f>IF(ISNA(MATCH($C224,FA,0)),0,N(#REF!)*N(INDEX(F_MODUL,MATCH($C224,FA,0))))</f>
        <v>#REF!</v>
      </c>
      <c r="AH224" s="7" t="e">
        <f>N(#REF!)*N($I224)</f>
        <v>#REF!</v>
      </c>
      <c r="AI224" s="7" t="e">
        <f t="shared" si="50"/>
        <v>#REF!</v>
      </c>
      <c r="AJ224" s="7">
        <f t="shared" si="51"/>
        <v>0</v>
      </c>
    </row>
    <row r="225" spans="1:36" x14ac:dyDescent="0.25">
      <c r="A225" s="4" t="str">
        <f t="shared" si="45"/>
        <v>ШГП-П (Ввод + Секция 1) (ВРУ1-21-10 модифицированная)+(ВРУ1-41-00А)(260922 akram aulet)</v>
      </c>
      <c r="B225" s="4" t="s">
        <v>92</v>
      </c>
      <c r="C225" s="4" t="s">
        <v>563</v>
      </c>
      <c r="D225" s="4" t="s">
        <v>564</v>
      </c>
      <c r="E225" s="4" t="s">
        <v>520</v>
      </c>
      <c r="F225" s="4" t="s">
        <v>521</v>
      </c>
      <c r="G225" s="4" t="s">
        <v>38</v>
      </c>
      <c r="H225" s="5" t="e">
        <f>#REF!</f>
        <v>#REF!</v>
      </c>
      <c r="I225" s="6" t="e">
        <f t="shared" si="46"/>
        <v>#REF!</v>
      </c>
      <c r="J225" s="6" t="s">
        <v>84</v>
      </c>
      <c r="K225" s="6" t="s">
        <v>92</v>
      </c>
      <c r="L225" s="7" t="e">
        <f t="shared" si="47"/>
        <v>#REF!</v>
      </c>
      <c r="M225" s="7" t="s">
        <v>177</v>
      </c>
      <c r="O225" s="7" t="str">
        <f>IF(OR($C225="",$C225="FID YOK"),"",IF(ISNUMBER(MATCH($C225,FA_ANA,0)),"",IF(COUNTIF($C$1:$C224,$C225)&gt;0,"",MAX($O$1:$O224)+1)))</f>
        <v/>
      </c>
      <c r="T225" s="7">
        <f>IF(ISNA(MATCH($C225,FA,0)),0,IF($J225="GIRIS",N(INDEX(F_INKOR,MATCH($C225,FA,0))),0))</f>
        <v>0</v>
      </c>
      <c r="Y225" s="7" t="e">
        <f>N(#REF!)*IF($E225="упак",MAX(1,IF(ISNA(MATCH($C225,FA,0)),1,N(INDEX(F_PAKET,MATCH($C225,FA,0))))),1)</f>
        <v>#REF!</v>
      </c>
      <c r="Z225" s="7" t="e">
        <f t="shared" si="48"/>
        <v>#REF!</v>
      </c>
      <c r="AA225" s="7">
        <f>IF(OR(ISNA(MATCH($C225,FA,0)),$J225="YEDEK",$J225="SARF"),0,N(#REF!)*N(INDEX(F_TEL,MATCH($C225,FA,0))))</f>
        <v>0</v>
      </c>
      <c r="AB225" s="7">
        <f>IF(OR(ISNA(MATCH($C225,FA,0)),$J225="YEDEK",$J225="SARF"),0,N(#REF!)*N(INDEX(F_TELM,MATCH($C225,FA,0))))</f>
        <v>0</v>
      </c>
      <c r="AC225" s="7" t="e">
        <f t="shared" si="49"/>
        <v>#REF!</v>
      </c>
      <c r="AD225" s="7">
        <f>IF(OR(ISNA(MATCH($C225,FA,0)),$J225&lt;&gt;"CIKIS"),0,N(INDEX(F_KK,MATCH($C225,FA,0))))</f>
        <v>0</v>
      </c>
      <c r="AE225" s="7">
        <f>IF($AD225=0,0,N(#REF!)*N(INDEX(F_KLN,MATCH($C225,FA,0))))</f>
        <v>0</v>
      </c>
      <c r="AF225" s="7">
        <f>IF($AD225=0,0,N(#REF!)*N(INDEX(F_KPE,MATCH($C225,FA,0))))</f>
        <v>0</v>
      </c>
      <c r="AG225" s="7" t="e">
        <f>IF(ISNA(MATCH($C225,FA,0)),0,N(#REF!)*N(INDEX(F_MODUL,MATCH($C225,FA,0))))</f>
        <v>#REF!</v>
      </c>
      <c r="AH225" s="7" t="e">
        <f>N(#REF!)*N($I225)</f>
        <v>#REF!</v>
      </c>
      <c r="AI225" s="7" t="e">
        <f t="shared" si="50"/>
        <v>#REF!</v>
      </c>
      <c r="AJ225" s="7">
        <f t="shared" si="51"/>
        <v>0</v>
      </c>
    </row>
    <row r="226" spans="1:36" x14ac:dyDescent="0.25">
      <c r="A226" s="4" t="str">
        <f t="shared" si="45"/>
        <v>ШГП-П (Ввод + Секция 1) (ВРУ1-21-10 модифицированная)+(ВРУ1-41-00А)(260922 akram aulet)</v>
      </c>
      <c r="B226" s="4" t="s">
        <v>92</v>
      </c>
      <c r="C226" s="4" t="s">
        <v>567</v>
      </c>
      <c r="D226" s="4" t="s">
        <v>568</v>
      </c>
      <c r="E226" s="4" t="s">
        <v>520</v>
      </c>
      <c r="F226" s="4" t="s">
        <v>521</v>
      </c>
      <c r="G226" s="4" t="s">
        <v>38</v>
      </c>
      <c r="H226" s="5" t="e">
        <f>#REF!</f>
        <v>#REF!</v>
      </c>
      <c r="I226" s="6" t="e">
        <f t="shared" si="46"/>
        <v>#REF!</v>
      </c>
      <c r="J226" s="6" t="s">
        <v>84</v>
      </c>
      <c r="K226" s="6" t="s">
        <v>92</v>
      </c>
      <c r="L226" s="7" t="e">
        <f t="shared" si="47"/>
        <v>#REF!</v>
      </c>
      <c r="M226" s="7" t="s">
        <v>99</v>
      </c>
      <c r="O226" s="7" t="str">
        <f>IF(OR($C226="",$C226="FID YOK"),"",IF(ISNUMBER(MATCH($C226,FA_ANA,0)),"",IF(COUNTIF($C$1:$C225,$C226)&gt;0,"",MAX($O$1:$O225)+1)))</f>
        <v/>
      </c>
      <c r="T226" s="7">
        <f>IF(ISNA(MATCH($C226,FA,0)),0,IF($J226="GIRIS",N(INDEX(F_INKOR,MATCH($C226,FA,0))),0))</f>
        <v>0</v>
      </c>
      <c r="Y226" s="7" t="e">
        <f>N(#REF!)*IF($E226="упак",MAX(1,IF(ISNA(MATCH($C226,FA,0)),1,N(INDEX(F_PAKET,MATCH($C226,FA,0))))),1)</f>
        <v>#REF!</v>
      </c>
      <c r="Z226" s="7" t="e">
        <f t="shared" si="48"/>
        <v>#REF!</v>
      </c>
      <c r="AA226" s="7">
        <f>IF(OR(ISNA(MATCH($C226,FA,0)),$J226="YEDEK",$J226="SARF"),0,N(#REF!)*N(INDEX(F_TEL,MATCH($C226,FA,0))))</f>
        <v>0</v>
      </c>
      <c r="AB226" s="7">
        <f>IF(OR(ISNA(MATCH($C226,FA,0)),$J226="YEDEK",$J226="SARF"),0,N(#REF!)*N(INDEX(F_TELM,MATCH($C226,FA,0))))</f>
        <v>0</v>
      </c>
      <c r="AC226" s="7" t="e">
        <f t="shared" si="49"/>
        <v>#REF!</v>
      </c>
      <c r="AD226" s="7">
        <f>IF(OR(ISNA(MATCH($C226,FA,0)),$J226&lt;&gt;"CIKIS"),0,N(INDEX(F_KK,MATCH($C226,FA,0))))</f>
        <v>0</v>
      </c>
      <c r="AE226" s="7">
        <f>IF($AD226=0,0,N(#REF!)*N(INDEX(F_KLN,MATCH($C226,FA,0))))</f>
        <v>0</v>
      </c>
      <c r="AF226" s="7">
        <f>IF($AD226=0,0,N(#REF!)*N(INDEX(F_KPE,MATCH($C226,FA,0))))</f>
        <v>0</v>
      </c>
      <c r="AG226" s="7" t="e">
        <f>IF(ISNA(MATCH($C226,FA,0)),0,N(#REF!)*N(INDEX(F_MODUL,MATCH($C226,FA,0))))</f>
        <v>#REF!</v>
      </c>
      <c r="AH226" s="7" t="e">
        <f>N(#REF!)*N($I226)</f>
        <v>#REF!</v>
      </c>
      <c r="AI226" s="7" t="e">
        <f t="shared" si="50"/>
        <v>#REF!</v>
      </c>
      <c r="AJ226" s="7">
        <f t="shared" si="51"/>
        <v>0</v>
      </c>
    </row>
    <row r="227" spans="1:36" x14ac:dyDescent="0.25">
      <c r="A227" s="4" t="str">
        <f t="shared" si="45"/>
        <v>ШГП-П (Ввод + Секция 1) (ВРУ1-21-10 модифицированная)+(ВРУ1-41-00А)(260922 akram aulet)</v>
      </c>
      <c r="B227" s="4" t="s">
        <v>92</v>
      </c>
      <c r="C227" s="4" t="s">
        <v>535</v>
      </c>
      <c r="D227" s="4" t="s">
        <v>536</v>
      </c>
      <c r="E227" s="4" t="s">
        <v>520</v>
      </c>
      <c r="F227" s="4" t="s">
        <v>521</v>
      </c>
      <c r="G227" s="4" t="s">
        <v>38</v>
      </c>
      <c r="H227" s="5" t="e">
        <f>#REF!</f>
        <v>#REF!</v>
      </c>
      <c r="I227" s="6" t="e">
        <f t="shared" si="46"/>
        <v>#REF!</v>
      </c>
      <c r="J227" s="6" t="s">
        <v>84</v>
      </c>
      <c r="K227" s="6" t="s">
        <v>92</v>
      </c>
      <c r="L227" s="7" t="e">
        <f t="shared" si="47"/>
        <v>#REF!</v>
      </c>
      <c r="M227" s="7" t="s">
        <v>100</v>
      </c>
      <c r="O227" s="7" t="str">
        <f>IF(OR($C227="",$C227="FID YOK"),"",IF(ISNUMBER(MATCH($C227,FA_ANA,0)),"",IF(COUNTIF($C$1:$C226,$C227)&gt;0,"",MAX($O$1:$O226)+1)))</f>
        <v/>
      </c>
      <c r="T227" s="7">
        <f>IF(ISNA(MATCH($C227,FA,0)),0,IF($J227="GIRIS",N(INDEX(F_INKOR,MATCH($C227,FA,0))),0))</f>
        <v>0</v>
      </c>
      <c r="Y227" s="7" t="e">
        <f>N(#REF!)*IF($E227="упак",MAX(1,IF(ISNA(MATCH($C227,FA,0)),1,N(INDEX(F_PAKET,MATCH($C227,FA,0))))),1)</f>
        <v>#REF!</v>
      </c>
      <c r="Z227" s="7" t="e">
        <f t="shared" si="48"/>
        <v>#REF!</v>
      </c>
      <c r="AA227" s="7">
        <f>IF(OR(ISNA(MATCH($C227,FA,0)),$J227="YEDEK",$J227="SARF"),0,N(#REF!)*N(INDEX(F_TEL,MATCH($C227,FA,0))))</f>
        <v>0</v>
      </c>
      <c r="AB227" s="7">
        <f>IF(OR(ISNA(MATCH($C227,FA,0)),$J227="YEDEK",$J227="SARF"),0,N(#REF!)*N(INDEX(F_TELM,MATCH($C227,FA,0))))</f>
        <v>0</v>
      </c>
      <c r="AC227" s="7" t="e">
        <f t="shared" si="49"/>
        <v>#REF!</v>
      </c>
      <c r="AD227" s="7">
        <f>IF(OR(ISNA(MATCH($C227,FA,0)),$J227&lt;&gt;"CIKIS"),0,N(INDEX(F_KK,MATCH($C227,FA,0))))</f>
        <v>0</v>
      </c>
      <c r="AE227" s="7">
        <f>IF($AD227=0,0,N(#REF!)*N(INDEX(F_KLN,MATCH($C227,FA,0))))</f>
        <v>0</v>
      </c>
      <c r="AF227" s="7">
        <f>IF($AD227=0,0,N(#REF!)*N(INDEX(F_KPE,MATCH($C227,FA,0))))</f>
        <v>0</v>
      </c>
      <c r="AG227" s="7" t="e">
        <f>IF(ISNA(MATCH($C227,FA,0)),0,N(#REF!)*N(INDEX(F_MODUL,MATCH($C227,FA,0))))</f>
        <v>#REF!</v>
      </c>
      <c r="AH227" s="7" t="e">
        <f>N(#REF!)*N($I227)</f>
        <v>#REF!</v>
      </c>
      <c r="AI227" s="7" t="e">
        <f t="shared" si="50"/>
        <v>#REF!</v>
      </c>
      <c r="AJ227" s="7">
        <f t="shared" si="51"/>
        <v>0</v>
      </c>
    </row>
    <row r="228" spans="1:36" x14ac:dyDescent="0.25">
      <c r="A228" s="4" t="str">
        <f t="shared" si="45"/>
        <v>ШГП-П (Ввод + Секция 1) (ВРУ1-21-10 модифицированная)+(ВРУ1-41-00А)(260922 akram aulet)</v>
      </c>
      <c r="B228" s="4" t="s">
        <v>101</v>
      </c>
      <c r="C228" s="4" t="s">
        <v>525</v>
      </c>
      <c r="D228" s="4" t="s">
        <v>526</v>
      </c>
      <c r="E228" s="4" t="s">
        <v>522</v>
      </c>
      <c r="F228" s="4" t="s">
        <v>486</v>
      </c>
      <c r="G228" s="4" t="s">
        <v>38</v>
      </c>
      <c r="H228" s="5" t="e">
        <f>#REF!</f>
        <v>#REF!</v>
      </c>
      <c r="I228" s="6" t="e">
        <f t="shared" si="46"/>
        <v>#REF!</v>
      </c>
      <c r="J228" s="6" t="s">
        <v>84</v>
      </c>
      <c r="K228" s="6" t="s">
        <v>101</v>
      </c>
      <c r="L228" s="7" t="e">
        <f t="shared" si="47"/>
        <v>#REF!</v>
      </c>
      <c r="M228" s="7" t="s">
        <v>102</v>
      </c>
      <c r="O228" s="7" t="str">
        <f>IF(OR($C228="",$C228="FID YOK"),"",IF(ISNUMBER(MATCH($C228,FA_ANA,0)),"",IF(COUNTIF($C$1:$C227,$C228)&gt;0,"",MAX($O$1:$O227)+1)))</f>
        <v/>
      </c>
      <c r="T228" s="7">
        <f>IF(ISNA(MATCH($C228,FA,0)),0,IF($J228="GIRIS",N(INDEX(F_INKOR,MATCH($C228,FA,0))),0))</f>
        <v>0</v>
      </c>
      <c r="Y228" s="7" t="e">
        <f>N(#REF!)*IF($E228="упак",MAX(1,IF(ISNA(MATCH($C228,FA,0)),1,N(INDEX(F_PAKET,MATCH($C228,FA,0))))),1)</f>
        <v>#REF!</v>
      </c>
      <c r="Z228" s="7" t="e">
        <f t="shared" si="48"/>
        <v>#REF!</v>
      </c>
      <c r="AA228" s="7">
        <f>IF(OR(ISNA(MATCH($C228,FA,0)),$J228="YEDEK",$J228="SARF"),0,N(#REF!)*N(INDEX(F_TEL,MATCH($C228,FA,0))))</f>
        <v>0</v>
      </c>
      <c r="AB228" s="7">
        <f>IF(OR(ISNA(MATCH($C228,FA,0)),$J228="YEDEK",$J228="SARF"),0,N(#REF!)*N(INDEX(F_TELM,MATCH($C228,FA,0))))</f>
        <v>0</v>
      </c>
      <c r="AC228" s="7" t="e">
        <f t="shared" si="49"/>
        <v>#REF!</v>
      </c>
      <c r="AD228" s="7">
        <f>IF(OR(ISNA(MATCH($C228,FA,0)),$J228&lt;&gt;"CIKIS"),0,N(INDEX(F_KK,MATCH($C228,FA,0))))</f>
        <v>0</v>
      </c>
      <c r="AE228" s="7">
        <f>IF($AD228=0,0,N(#REF!)*N(INDEX(F_KLN,MATCH($C228,FA,0))))</f>
        <v>0</v>
      </c>
      <c r="AF228" s="7">
        <f>IF($AD228=0,0,N(#REF!)*N(INDEX(F_KPE,MATCH($C228,FA,0))))</f>
        <v>0</v>
      </c>
      <c r="AG228" s="7" t="e">
        <f>IF(ISNA(MATCH($C228,FA,0)),0,N(#REF!)*N(INDEX(F_MODUL,MATCH($C228,FA,0))))</f>
        <v>#REF!</v>
      </c>
      <c r="AH228" s="7" t="e">
        <f>N(#REF!)*N($I228)</f>
        <v>#REF!</v>
      </c>
      <c r="AI228" s="7" t="e">
        <f t="shared" si="50"/>
        <v>#REF!</v>
      </c>
      <c r="AJ228" s="7">
        <f t="shared" si="51"/>
        <v>0</v>
      </c>
    </row>
    <row r="229" spans="1:36" x14ac:dyDescent="0.25">
      <c r="A229" s="4" t="str">
        <f t="shared" si="45"/>
        <v>ШГП-П (Ввод + Секция 1) (ВРУ1-21-10 модифицированная)+(ВРУ1-41-00А)(260922 akram aulet)</v>
      </c>
      <c r="B229" s="4" t="s">
        <v>101</v>
      </c>
      <c r="C229" s="4" t="s">
        <v>529</v>
      </c>
      <c r="D229" s="4" t="s">
        <v>530</v>
      </c>
      <c r="E229" s="4" t="s">
        <v>522</v>
      </c>
      <c r="F229" s="4" t="s">
        <v>486</v>
      </c>
      <c r="G229" s="4" t="s">
        <v>38</v>
      </c>
      <c r="H229" s="5" t="e">
        <f>#REF!</f>
        <v>#REF!</v>
      </c>
      <c r="I229" s="6" t="e">
        <f t="shared" si="46"/>
        <v>#REF!</v>
      </c>
      <c r="J229" s="6" t="s">
        <v>84</v>
      </c>
      <c r="K229" s="6" t="s">
        <v>101</v>
      </c>
      <c r="L229" s="7" t="e">
        <f t="shared" si="47"/>
        <v>#REF!</v>
      </c>
      <c r="M229" s="7" t="s">
        <v>103</v>
      </c>
      <c r="O229" s="7" t="str">
        <f>IF(OR($C229="",$C229="FID YOK"),"",IF(ISNUMBER(MATCH($C229,FA_ANA,0)),"",IF(COUNTIF($C$1:$C228,$C229)&gt;0,"",MAX($O$1:$O228)+1)))</f>
        <v/>
      </c>
      <c r="T229" s="7">
        <f>IF(ISNA(MATCH($C229,FA,0)),0,IF($J229="GIRIS",N(INDEX(F_INKOR,MATCH($C229,FA,0))),0))</f>
        <v>0</v>
      </c>
      <c r="Y229" s="7" t="e">
        <f>N(#REF!)*IF($E229="упак",MAX(1,IF(ISNA(MATCH($C229,FA,0)),1,N(INDEX(F_PAKET,MATCH($C229,FA,0))))),1)</f>
        <v>#REF!</v>
      </c>
      <c r="Z229" s="7" t="e">
        <f t="shared" si="48"/>
        <v>#REF!</v>
      </c>
      <c r="AA229" s="7">
        <f>IF(OR(ISNA(MATCH($C229,FA,0)),$J229="YEDEK",$J229="SARF"),0,N(#REF!)*N(INDEX(F_TEL,MATCH($C229,FA,0))))</f>
        <v>0</v>
      </c>
      <c r="AB229" s="7">
        <f>IF(OR(ISNA(MATCH($C229,FA,0)),$J229="YEDEK",$J229="SARF"),0,N(#REF!)*N(INDEX(F_TELM,MATCH($C229,FA,0))))</f>
        <v>0</v>
      </c>
      <c r="AC229" s="7" t="e">
        <f t="shared" si="49"/>
        <v>#REF!</v>
      </c>
      <c r="AD229" s="7">
        <f>IF(OR(ISNA(MATCH($C229,FA,0)),$J229&lt;&gt;"CIKIS"),0,N(INDEX(F_KK,MATCH($C229,FA,0))))</f>
        <v>0</v>
      </c>
      <c r="AE229" s="7">
        <f>IF($AD229=0,0,N(#REF!)*N(INDEX(F_KLN,MATCH($C229,FA,0))))</f>
        <v>0</v>
      </c>
      <c r="AF229" s="7">
        <f>IF($AD229=0,0,N(#REF!)*N(INDEX(F_KPE,MATCH($C229,FA,0))))</f>
        <v>0</v>
      </c>
      <c r="AG229" s="7" t="e">
        <f>IF(ISNA(MATCH($C229,FA,0)),0,N(#REF!)*N(INDEX(F_MODUL,MATCH($C229,FA,0))))</f>
        <v>#REF!</v>
      </c>
      <c r="AH229" s="7" t="e">
        <f>N(#REF!)*N($I229)</f>
        <v>#REF!</v>
      </c>
      <c r="AI229" s="7" t="e">
        <f t="shared" si="50"/>
        <v>#REF!</v>
      </c>
      <c r="AJ229" s="7">
        <f t="shared" si="51"/>
        <v>0</v>
      </c>
    </row>
    <row r="230" spans="1:36" x14ac:dyDescent="0.25">
      <c r="A230" s="4" t="str">
        <f t="shared" si="45"/>
        <v>ШГП-П (Ввод + Секция 1) (ВРУ1-21-10 модифицированная)+(ВРУ1-41-00А)(260922 akram aulet)</v>
      </c>
      <c r="B230" s="4" t="s">
        <v>101</v>
      </c>
      <c r="C230" s="4" t="s">
        <v>533</v>
      </c>
      <c r="D230" s="4" t="s">
        <v>534</v>
      </c>
      <c r="E230" s="4" t="s">
        <v>522</v>
      </c>
      <c r="F230" s="4" t="s">
        <v>486</v>
      </c>
      <c r="G230" s="4" t="s">
        <v>38</v>
      </c>
      <c r="H230" s="5" t="e">
        <f>#REF!</f>
        <v>#REF!</v>
      </c>
      <c r="I230" s="6" t="e">
        <f t="shared" si="46"/>
        <v>#REF!</v>
      </c>
      <c r="J230" s="6" t="s">
        <v>84</v>
      </c>
      <c r="K230" s="6" t="s">
        <v>101</v>
      </c>
      <c r="L230" s="7" t="e">
        <f t="shared" si="47"/>
        <v>#REF!</v>
      </c>
      <c r="M230" s="7" t="s">
        <v>104</v>
      </c>
      <c r="O230" s="7" t="str">
        <f>IF(OR($C230="",$C230="FID YOK"),"",IF(ISNUMBER(MATCH($C230,FA_ANA,0)),"",IF(COUNTIF($C$1:$C229,$C230)&gt;0,"",MAX($O$1:$O229)+1)))</f>
        <v/>
      </c>
      <c r="T230" s="7">
        <f>IF(ISNA(MATCH($C230,FA,0)),0,IF($J230="GIRIS",N(INDEX(F_INKOR,MATCH($C230,FA,0))),0))</f>
        <v>0</v>
      </c>
      <c r="Y230" s="7" t="e">
        <f>N(#REF!)*IF($E230="упак",MAX(1,IF(ISNA(MATCH($C230,FA,0)),1,N(INDEX(F_PAKET,MATCH($C230,FA,0))))),1)</f>
        <v>#REF!</v>
      </c>
      <c r="Z230" s="7" t="e">
        <f t="shared" si="48"/>
        <v>#REF!</v>
      </c>
      <c r="AA230" s="7">
        <f>IF(OR(ISNA(MATCH($C230,FA,0)),$J230="YEDEK",$J230="SARF"),0,N(#REF!)*N(INDEX(F_TEL,MATCH($C230,FA,0))))</f>
        <v>0</v>
      </c>
      <c r="AB230" s="7">
        <f>IF(OR(ISNA(MATCH($C230,FA,0)),$J230="YEDEK",$J230="SARF"),0,N(#REF!)*N(INDEX(F_TELM,MATCH($C230,FA,0))))</f>
        <v>0</v>
      </c>
      <c r="AC230" s="7" t="e">
        <f t="shared" si="49"/>
        <v>#REF!</v>
      </c>
      <c r="AD230" s="7">
        <f>IF(OR(ISNA(MATCH($C230,FA,0)),$J230&lt;&gt;"CIKIS"),0,N(INDEX(F_KK,MATCH($C230,FA,0))))</f>
        <v>0</v>
      </c>
      <c r="AE230" s="7">
        <f>IF($AD230=0,0,N(#REF!)*N(INDEX(F_KLN,MATCH($C230,FA,0))))</f>
        <v>0</v>
      </c>
      <c r="AF230" s="7">
        <f>IF($AD230=0,0,N(#REF!)*N(INDEX(F_KPE,MATCH($C230,FA,0))))</f>
        <v>0</v>
      </c>
      <c r="AG230" s="7" t="e">
        <f>IF(ISNA(MATCH($C230,FA,0)),0,N(#REF!)*N(INDEX(F_MODUL,MATCH($C230,FA,0))))</f>
        <v>#REF!</v>
      </c>
      <c r="AH230" s="7" t="e">
        <f>N(#REF!)*N($I230)</f>
        <v>#REF!</v>
      </c>
      <c r="AI230" s="7" t="e">
        <f t="shared" si="50"/>
        <v>#REF!</v>
      </c>
      <c r="AJ230" s="7">
        <f t="shared" si="51"/>
        <v>0</v>
      </c>
    </row>
    <row r="231" spans="1:36" x14ac:dyDescent="0.25">
      <c r="A231" s="4" t="e">
        <f>#REF!</f>
        <v>#REF!</v>
      </c>
      <c r="B231" s="4" t="s">
        <v>105</v>
      </c>
      <c r="C231" s="4" t="s">
        <v>539</v>
      </c>
      <c r="D231" s="4" t="s">
        <v>540</v>
      </c>
      <c r="E231" s="4" t="s">
        <v>114</v>
      </c>
      <c r="F231" s="4" t="s">
        <v>486</v>
      </c>
      <c r="G231" s="4" t="s">
        <v>38</v>
      </c>
      <c r="H231" s="5" t="e">
        <f>#REF!</f>
        <v>#REF!</v>
      </c>
      <c r="I231" s="6" t="e">
        <f>#REF!</f>
        <v>#REF!</v>
      </c>
      <c r="J231" s="6" t="s">
        <v>84</v>
      </c>
      <c r="K231" s="6" t="s">
        <v>105</v>
      </c>
      <c r="L231" s="7" t="e">
        <f t="shared" si="47"/>
        <v>#REF!</v>
      </c>
      <c r="M231" s="7" t="s">
        <v>133</v>
      </c>
      <c r="O231" s="7" t="str">
        <f>IF(OR($C231="",$C231="FID YOK"),"",IF(ISNUMBER(MATCH($C231,FA_ANA,0)),"",IF(COUNTIF($C$1:$C230,$C231)&gt;0,"",MAX($O$1:$O230)+1)))</f>
        <v/>
      </c>
      <c r="T231" s="7">
        <f>IF(ISNA(MATCH($C231,FA,0)),0,IF($J231="GIRIS",N(INDEX(F_INKOR,MATCH($C231,FA,0))),0))</f>
        <v>0</v>
      </c>
      <c r="Y231" s="7" t="e">
        <f>N(#REF!)*IF($E231="упак",MAX(1,IF(ISNA(MATCH($C231,FA,0)),1,N(INDEX(F_PAKET,MATCH($C231,FA,0))))),1)</f>
        <v>#REF!</v>
      </c>
      <c r="Z231" s="7" t="e">
        <f t="shared" si="48"/>
        <v>#REF!</v>
      </c>
      <c r="AA231" s="7">
        <f>IF(OR(ISNA(MATCH($C231,FA,0)),$J231="YEDEK",$J231="SARF"),0,N(#REF!)*N(INDEX(F_TEL,MATCH($C231,FA,0))))</f>
        <v>0</v>
      </c>
      <c r="AB231" s="7">
        <f>IF(OR(ISNA(MATCH($C231,FA,0)),$J231="YEDEK",$J231="SARF"),0,N(#REF!)*N(INDEX(F_TELM,MATCH($C231,FA,0))))</f>
        <v>0</v>
      </c>
      <c r="AC231" s="7" t="e">
        <f t="shared" si="49"/>
        <v>#REF!</v>
      </c>
      <c r="AD231" s="7">
        <f>IF(OR(ISNA(MATCH($C231,FA,0)),$J231&lt;&gt;"CIKIS"),0,N(INDEX(F_KK,MATCH($C231,FA,0))))</f>
        <v>0</v>
      </c>
      <c r="AE231" s="7">
        <f>IF($AD231=0,0,N(#REF!)*N(INDEX(F_KLN,MATCH($C231,FA,0))))</f>
        <v>0</v>
      </c>
      <c r="AF231" s="7">
        <f>IF($AD231=0,0,N(#REF!)*N(INDEX(F_KPE,MATCH($C231,FA,0))))</f>
        <v>0</v>
      </c>
      <c r="AG231" s="7" t="e">
        <f>IF(ISNA(MATCH($C231,FA,0)),0,N(#REF!)*N(INDEX(F_MODUL,MATCH($C231,FA,0))))</f>
        <v>#REF!</v>
      </c>
      <c r="AH231" s="7" t="e">
        <f>N(#REF!)*N($I231)</f>
        <v>#REF!</v>
      </c>
      <c r="AI231" s="7" t="e">
        <f t="shared" si="50"/>
        <v>#REF!</v>
      </c>
      <c r="AJ231" s="7">
        <f t="shared" si="51"/>
        <v>0</v>
      </c>
    </row>
    <row r="232" spans="1:36" x14ac:dyDescent="0.25">
      <c r="A232" s="4" t="e">
        <f t="shared" si="45"/>
        <v>#REF!</v>
      </c>
      <c r="B232" s="4" t="s">
        <v>105</v>
      </c>
      <c r="C232" s="4" t="s">
        <v>543</v>
      </c>
      <c r="D232" s="4" t="s">
        <v>544</v>
      </c>
      <c r="E232" s="4" t="s">
        <v>114</v>
      </c>
      <c r="F232" s="4" t="s">
        <v>486</v>
      </c>
      <c r="G232" s="4" t="s">
        <v>38</v>
      </c>
      <c r="H232" s="5" t="e">
        <f>#REF!</f>
        <v>#REF!</v>
      </c>
      <c r="I232" s="6" t="e">
        <f t="shared" si="46"/>
        <v>#REF!</v>
      </c>
      <c r="J232" s="6" t="s">
        <v>84</v>
      </c>
      <c r="K232" s="6" t="s">
        <v>105</v>
      </c>
      <c r="L232" s="7" t="e">
        <f t="shared" si="47"/>
        <v>#REF!</v>
      </c>
      <c r="M232" s="7" t="s">
        <v>106</v>
      </c>
      <c r="O232" s="7" t="str">
        <f>IF(OR($C232="",$C232="FID YOK"),"",IF(ISNUMBER(MATCH($C232,FA_ANA,0)),"",IF(COUNTIF($C$1:$C231,$C232)&gt;0,"",MAX($O$1:$O231)+1)))</f>
        <v/>
      </c>
      <c r="T232" s="7">
        <f>IF(ISNA(MATCH($C232,FA,0)),0,IF($J232="GIRIS",N(INDEX(F_INKOR,MATCH($C232,FA,0))),0))</f>
        <v>0</v>
      </c>
      <c r="Y232" s="7" t="e">
        <f>N(#REF!)*IF($E232="упак",MAX(1,IF(ISNA(MATCH($C232,FA,0)),1,N(INDEX(F_PAKET,MATCH($C232,FA,0))))),1)</f>
        <v>#REF!</v>
      </c>
      <c r="Z232" s="7" t="e">
        <f t="shared" si="48"/>
        <v>#REF!</v>
      </c>
      <c r="AA232" s="7">
        <f>IF(OR(ISNA(MATCH($C232,FA,0)),$J232="YEDEK",$J232="SARF"),0,N(#REF!)*N(INDEX(F_TEL,MATCH($C232,FA,0))))</f>
        <v>0</v>
      </c>
      <c r="AB232" s="7">
        <f>IF(OR(ISNA(MATCH($C232,FA,0)),$J232="YEDEK",$J232="SARF"),0,N(#REF!)*N(INDEX(F_TELM,MATCH($C232,FA,0))))</f>
        <v>0</v>
      </c>
      <c r="AC232" s="7" t="e">
        <f t="shared" si="49"/>
        <v>#REF!</v>
      </c>
      <c r="AD232" s="7">
        <f>IF(OR(ISNA(MATCH($C232,FA,0)),$J232&lt;&gt;"CIKIS"),0,N(INDEX(F_KK,MATCH($C232,FA,0))))</f>
        <v>0</v>
      </c>
      <c r="AE232" s="7">
        <f>IF($AD232=0,0,N(#REF!)*N(INDEX(F_KLN,MATCH($C232,FA,0))))</f>
        <v>0</v>
      </c>
      <c r="AF232" s="7">
        <f>IF($AD232=0,0,N(#REF!)*N(INDEX(F_KPE,MATCH($C232,FA,0))))</f>
        <v>0</v>
      </c>
      <c r="AG232" s="7" t="e">
        <f>IF(ISNA(MATCH($C232,FA,0)),0,N(#REF!)*N(INDEX(F_MODUL,MATCH($C232,FA,0))))</f>
        <v>#REF!</v>
      </c>
      <c r="AH232" s="7" t="e">
        <f>N(#REF!)*N($I232)</f>
        <v>#REF!</v>
      </c>
      <c r="AI232" s="7" t="e">
        <f t="shared" si="50"/>
        <v>#REF!</v>
      </c>
      <c r="AJ232" s="7">
        <f t="shared" si="51"/>
        <v>0</v>
      </c>
    </row>
    <row r="233" spans="1:36" x14ac:dyDescent="0.25">
      <c r="A233" s="4" t="e">
        <f t="shared" si="45"/>
        <v>#REF!</v>
      </c>
      <c r="B233" s="4" t="s">
        <v>105</v>
      </c>
      <c r="C233" s="4" t="s">
        <v>557</v>
      </c>
      <c r="D233" s="4" t="s">
        <v>558</v>
      </c>
      <c r="E233" s="4" t="s">
        <v>114</v>
      </c>
      <c r="F233" s="4" t="s">
        <v>486</v>
      </c>
      <c r="G233" s="4" t="s">
        <v>38</v>
      </c>
      <c r="H233" s="5" t="e">
        <f>#REF!</f>
        <v>#REF!</v>
      </c>
      <c r="I233" s="6" t="e">
        <f t="shared" si="46"/>
        <v>#REF!</v>
      </c>
      <c r="J233" s="6" t="s">
        <v>84</v>
      </c>
      <c r="K233" s="6" t="s">
        <v>105</v>
      </c>
      <c r="L233" s="7" t="e">
        <f t="shared" si="47"/>
        <v>#REF!</v>
      </c>
      <c r="M233" s="7" t="s">
        <v>108</v>
      </c>
      <c r="O233" s="7" t="str">
        <f>IF(OR($C233="",$C233="FID YOK"),"",IF(ISNUMBER(MATCH($C233,FA_ANA,0)),"",IF(COUNTIF($C$1:$C232,$C233)&gt;0,"",MAX($O$1:$O232)+1)))</f>
        <v/>
      </c>
      <c r="T233" s="7">
        <f>IF(ISNA(MATCH($C233,FA,0)),0,IF($J233="GIRIS",N(INDEX(F_INKOR,MATCH($C233,FA,0))),0))</f>
        <v>0</v>
      </c>
      <c r="Y233" s="7" t="e">
        <f>N(#REF!)*IF($E233="упак",MAX(1,IF(ISNA(MATCH($C233,FA,0)),1,N(INDEX(F_PAKET,MATCH($C233,FA,0))))),1)</f>
        <v>#REF!</v>
      </c>
      <c r="Z233" s="7" t="e">
        <f t="shared" si="48"/>
        <v>#REF!</v>
      </c>
      <c r="AA233" s="7">
        <f>IF(OR(ISNA(MATCH($C233,FA,0)),$J233="YEDEK",$J233="SARF"),0,N(#REF!)*N(INDEX(F_TEL,MATCH($C233,FA,0))))</f>
        <v>0</v>
      </c>
      <c r="AB233" s="7">
        <f>IF(OR(ISNA(MATCH($C233,FA,0)),$J233="YEDEK",$J233="SARF"),0,N(#REF!)*N(INDEX(F_TELM,MATCH($C233,FA,0))))</f>
        <v>0</v>
      </c>
      <c r="AC233" s="7" t="e">
        <f t="shared" si="49"/>
        <v>#REF!</v>
      </c>
      <c r="AD233" s="7">
        <f>IF(OR(ISNA(MATCH($C233,FA,0)),$J233&lt;&gt;"CIKIS"),0,N(INDEX(F_KK,MATCH($C233,FA,0))))</f>
        <v>0</v>
      </c>
      <c r="AE233" s="7">
        <f>IF($AD233=0,0,N(#REF!)*N(INDEX(F_KLN,MATCH($C233,FA,0))))</f>
        <v>0</v>
      </c>
      <c r="AF233" s="7">
        <f>IF($AD233=0,0,N(#REF!)*N(INDEX(F_KPE,MATCH($C233,FA,0))))</f>
        <v>0</v>
      </c>
      <c r="AG233" s="7" t="e">
        <f>IF(ISNA(MATCH($C233,FA,0)),0,N(#REF!)*N(INDEX(F_MODUL,MATCH($C233,FA,0))))</f>
        <v>#REF!</v>
      </c>
      <c r="AH233" s="7" t="e">
        <f>N(#REF!)*N($I233)</f>
        <v>#REF!</v>
      </c>
      <c r="AI233" s="7" t="e">
        <f t="shared" si="50"/>
        <v>#REF!</v>
      </c>
      <c r="AJ233" s="7">
        <f t="shared" si="51"/>
        <v>0</v>
      </c>
    </row>
    <row r="234" spans="1:36" x14ac:dyDescent="0.25">
      <c r="A234" s="4" t="e">
        <f t="shared" si="45"/>
        <v>#REF!</v>
      </c>
      <c r="B234" s="4" t="s">
        <v>105</v>
      </c>
      <c r="C234" s="4" t="s">
        <v>565</v>
      </c>
      <c r="D234" s="4" t="s">
        <v>566</v>
      </c>
      <c r="E234" s="4" t="s">
        <v>114</v>
      </c>
      <c r="F234" s="4" t="s">
        <v>486</v>
      </c>
      <c r="G234" s="4" t="s">
        <v>38</v>
      </c>
      <c r="H234" s="5" t="e">
        <f>#REF!</f>
        <v>#REF!</v>
      </c>
      <c r="I234" s="6" t="e">
        <f t="shared" si="46"/>
        <v>#REF!</v>
      </c>
      <c r="J234" s="6" t="s">
        <v>84</v>
      </c>
      <c r="K234" s="6" t="s">
        <v>105</v>
      </c>
      <c r="L234" s="7" t="e">
        <f t="shared" si="47"/>
        <v>#REF!</v>
      </c>
      <c r="M234" s="7" t="s">
        <v>178</v>
      </c>
      <c r="O234" s="7" t="str">
        <f>IF(OR($C234="",$C234="FID YOK"),"",IF(ISNUMBER(MATCH($C234,FA_ANA,0)),"",IF(COUNTIF($C$1:$C233,$C234)&gt;0,"",MAX($O$1:$O233)+1)))</f>
        <v/>
      </c>
      <c r="T234" s="7">
        <f>IF(ISNA(MATCH($C234,FA,0)),0,IF($J234="GIRIS",N(INDEX(F_INKOR,MATCH($C234,FA,0))),0))</f>
        <v>0</v>
      </c>
      <c r="Y234" s="7" t="e">
        <f>N(#REF!)*IF($E234="упак",MAX(1,IF(ISNA(MATCH($C234,FA,0)),1,N(INDEX(F_PAKET,MATCH($C234,FA,0))))),1)</f>
        <v>#REF!</v>
      </c>
      <c r="Z234" s="7" t="e">
        <f t="shared" si="48"/>
        <v>#REF!</v>
      </c>
      <c r="AA234" s="7">
        <f>IF(OR(ISNA(MATCH($C234,FA,0)),$J234="YEDEK",$J234="SARF"),0,N(#REF!)*N(INDEX(F_TEL,MATCH($C234,FA,0))))</f>
        <v>0</v>
      </c>
      <c r="AB234" s="7">
        <f>IF(OR(ISNA(MATCH($C234,FA,0)),$J234="YEDEK",$J234="SARF"),0,N(#REF!)*N(INDEX(F_TELM,MATCH($C234,FA,0))))</f>
        <v>0</v>
      </c>
      <c r="AC234" s="7" t="e">
        <f t="shared" si="49"/>
        <v>#REF!</v>
      </c>
      <c r="AD234" s="7">
        <f>IF(OR(ISNA(MATCH($C234,FA,0)),$J234&lt;&gt;"CIKIS"),0,N(INDEX(F_KK,MATCH($C234,FA,0))))</f>
        <v>0</v>
      </c>
      <c r="AE234" s="7">
        <f>IF($AD234=0,0,N(#REF!)*N(INDEX(F_KLN,MATCH($C234,FA,0))))</f>
        <v>0</v>
      </c>
      <c r="AF234" s="7">
        <f>IF($AD234=0,0,N(#REF!)*N(INDEX(F_KPE,MATCH($C234,FA,0))))</f>
        <v>0</v>
      </c>
      <c r="AG234" s="7" t="e">
        <f>IF(ISNA(MATCH($C234,FA,0)),0,N(#REF!)*N(INDEX(F_MODUL,MATCH($C234,FA,0))))</f>
        <v>#REF!</v>
      </c>
      <c r="AH234" s="7" t="e">
        <f>N(#REF!)*N($I234)</f>
        <v>#REF!</v>
      </c>
      <c r="AI234" s="7" t="e">
        <f t="shared" si="50"/>
        <v>#REF!</v>
      </c>
      <c r="AJ234" s="7">
        <f t="shared" si="51"/>
        <v>0</v>
      </c>
    </row>
    <row r="235" spans="1:36" x14ac:dyDescent="0.25">
      <c r="A235" s="4" t="e">
        <f t="shared" si="45"/>
        <v>#REF!</v>
      </c>
      <c r="B235" s="4" t="s">
        <v>105</v>
      </c>
      <c r="C235" s="4" t="s">
        <v>569</v>
      </c>
      <c r="D235" s="4" t="s">
        <v>570</v>
      </c>
      <c r="E235" s="4" t="s">
        <v>114</v>
      </c>
      <c r="F235" s="4" t="s">
        <v>486</v>
      </c>
      <c r="G235" s="4" t="s">
        <v>38</v>
      </c>
      <c r="H235" s="5" t="e">
        <f>#REF!</f>
        <v>#REF!</v>
      </c>
      <c r="I235" s="6" t="e">
        <f t="shared" si="46"/>
        <v>#REF!</v>
      </c>
      <c r="J235" s="6" t="s">
        <v>84</v>
      </c>
      <c r="K235" s="6" t="s">
        <v>105</v>
      </c>
      <c r="L235" s="7" t="e">
        <f t="shared" si="47"/>
        <v>#REF!</v>
      </c>
      <c r="M235" s="7" t="s">
        <v>109</v>
      </c>
      <c r="O235" s="7" t="str">
        <f>IF(OR($C235="",$C235="FID YOK"),"",IF(ISNUMBER(MATCH($C235,FA_ANA,0)),"",IF(COUNTIF($C$1:$C234,$C235)&gt;0,"",MAX($O$1:$O234)+1)))</f>
        <v/>
      </c>
      <c r="T235" s="7">
        <f>IF(ISNA(MATCH($C235,FA,0)),0,IF($J235="GIRIS",N(INDEX(F_INKOR,MATCH($C235,FA,0))),0))</f>
        <v>0</v>
      </c>
      <c r="Y235" s="7" t="e">
        <f>N(#REF!)*IF($E235="упак",MAX(1,IF(ISNA(MATCH($C235,FA,0)),1,N(INDEX(F_PAKET,MATCH($C235,FA,0))))),1)</f>
        <v>#REF!</v>
      </c>
      <c r="Z235" s="7" t="e">
        <f t="shared" si="48"/>
        <v>#REF!</v>
      </c>
      <c r="AA235" s="7">
        <f>IF(OR(ISNA(MATCH($C235,FA,0)),$J235="YEDEK",$J235="SARF"),0,N(#REF!)*N(INDEX(F_TEL,MATCH($C235,FA,0))))</f>
        <v>0</v>
      </c>
      <c r="AB235" s="7">
        <f>IF(OR(ISNA(MATCH($C235,FA,0)),$J235="YEDEK",$J235="SARF"),0,N(#REF!)*N(INDEX(F_TELM,MATCH($C235,FA,0))))</f>
        <v>0</v>
      </c>
      <c r="AC235" s="7" t="e">
        <f t="shared" si="49"/>
        <v>#REF!</v>
      </c>
      <c r="AD235" s="7">
        <f>IF(OR(ISNA(MATCH($C235,FA,0)),$J235&lt;&gt;"CIKIS"),0,N(INDEX(F_KK,MATCH($C235,FA,0))))</f>
        <v>0</v>
      </c>
      <c r="AE235" s="7">
        <f>IF($AD235=0,0,N(#REF!)*N(INDEX(F_KLN,MATCH($C235,FA,0))))</f>
        <v>0</v>
      </c>
      <c r="AF235" s="7">
        <f>IF($AD235=0,0,N(#REF!)*N(INDEX(F_KPE,MATCH($C235,FA,0))))</f>
        <v>0</v>
      </c>
      <c r="AG235" s="7" t="e">
        <f>IF(ISNA(MATCH($C235,FA,0)),0,N(#REF!)*N(INDEX(F_MODUL,MATCH($C235,FA,0))))</f>
        <v>#REF!</v>
      </c>
      <c r="AH235" s="7" t="e">
        <f>N(#REF!)*N($I235)</f>
        <v>#REF!</v>
      </c>
      <c r="AI235" s="7" t="e">
        <f t="shared" si="50"/>
        <v>#REF!</v>
      </c>
      <c r="AJ235" s="7">
        <f t="shared" si="51"/>
        <v>0</v>
      </c>
    </row>
    <row r="236" spans="1:36" x14ac:dyDescent="0.25">
      <c r="A236" s="4" t="e">
        <f t="shared" si="45"/>
        <v>#REF!</v>
      </c>
      <c r="B236" s="4" t="s">
        <v>105</v>
      </c>
      <c r="C236" s="4" t="s">
        <v>539</v>
      </c>
      <c r="D236" s="4" t="s">
        <v>540</v>
      </c>
      <c r="E236" s="4" t="s">
        <v>114</v>
      </c>
      <c r="F236" s="4" t="s">
        <v>486</v>
      </c>
      <c r="G236" s="4" t="s">
        <v>38</v>
      </c>
      <c r="H236" s="5" t="e">
        <f>#REF!</f>
        <v>#REF!</v>
      </c>
      <c r="I236" s="6" t="e">
        <f t="shared" si="46"/>
        <v>#REF!</v>
      </c>
      <c r="J236" s="6" t="s">
        <v>84</v>
      </c>
      <c r="K236" s="6" t="s">
        <v>105</v>
      </c>
      <c r="L236" s="7" t="e">
        <f t="shared" si="47"/>
        <v>#REF!</v>
      </c>
      <c r="M236" s="7" t="s">
        <v>110</v>
      </c>
      <c r="O236" s="7" t="str">
        <f>IF(OR($C236="",$C236="FID YOK"),"",IF(ISNUMBER(MATCH($C236,FA_ANA,0)),"",IF(COUNTIF($C$1:$C235,$C236)&gt;0,"",MAX($O$1:$O235)+1)))</f>
        <v/>
      </c>
      <c r="T236" s="7">
        <f>IF(ISNA(MATCH($C236,FA,0)),0,IF($J236="GIRIS",N(INDEX(F_INKOR,MATCH($C236,FA,0))),0))</f>
        <v>0</v>
      </c>
      <c r="Y236" s="7" t="e">
        <f>N(#REF!)*IF($E236="упак",MAX(1,IF(ISNA(MATCH($C236,FA,0)),1,N(INDEX(F_PAKET,MATCH($C236,FA,0))))),1)</f>
        <v>#REF!</v>
      </c>
      <c r="Z236" s="7" t="e">
        <f t="shared" si="48"/>
        <v>#REF!</v>
      </c>
      <c r="AA236" s="7">
        <f>IF(OR(ISNA(MATCH($C236,FA,0)),$J236="YEDEK",$J236="SARF"),0,N(#REF!)*N(INDEX(F_TEL,MATCH($C236,FA,0))))</f>
        <v>0</v>
      </c>
      <c r="AB236" s="7">
        <f>IF(OR(ISNA(MATCH($C236,FA,0)),$J236="YEDEK",$J236="SARF"),0,N(#REF!)*N(INDEX(F_TELM,MATCH($C236,FA,0))))</f>
        <v>0</v>
      </c>
      <c r="AC236" s="7" t="e">
        <f t="shared" si="49"/>
        <v>#REF!</v>
      </c>
      <c r="AD236" s="7">
        <f>IF(OR(ISNA(MATCH($C236,FA,0)),$J236&lt;&gt;"CIKIS"),0,N(INDEX(F_KK,MATCH($C236,FA,0))))</f>
        <v>0</v>
      </c>
      <c r="AE236" s="7">
        <f>IF($AD236=0,0,N(#REF!)*N(INDEX(F_KLN,MATCH($C236,FA,0))))</f>
        <v>0</v>
      </c>
      <c r="AF236" s="7">
        <f>IF($AD236=0,0,N(#REF!)*N(INDEX(F_KPE,MATCH($C236,FA,0))))</f>
        <v>0</v>
      </c>
      <c r="AG236" s="7" t="e">
        <f>IF(ISNA(MATCH($C236,FA,0)),0,N(#REF!)*N(INDEX(F_MODUL,MATCH($C236,FA,0))))</f>
        <v>#REF!</v>
      </c>
      <c r="AH236" s="7" t="e">
        <f>N(#REF!)*N($I236)</f>
        <v>#REF!</v>
      </c>
      <c r="AI236" s="7" t="e">
        <f t="shared" si="50"/>
        <v>#REF!</v>
      </c>
      <c r="AJ236" s="7">
        <f t="shared" si="51"/>
        <v>0</v>
      </c>
    </row>
    <row r="237" spans="1:36" x14ac:dyDescent="0.25">
      <c r="A237" s="4" t="e">
        <f t="shared" si="45"/>
        <v>#REF!</v>
      </c>
      <c r="B237" s="4" t="s">
        <v>111</v>
      </c>
      <c r="C237" s="4" t="s">
        <v>571</v>
      </c>
      <c r="D237" s="4" t="s">
        <v>572</v>
      </c>
      <c r="E237" s="4" t="s">
        <v>522</v>
      </c>
      <c r="F237" s="4" t="s">
        <v>486</v>
      </c>
      <c r="G237" s="4" t="s">
        <v>38</v>
      </c>
      <c r="H237" s="5" t="e">
        <f>#REF!</f>
        <v>#REF!</v>
      </c>
      <c r="I237" s="6" t="e">
        <f t="shared" si="46"/>
        <v>#REF!</v>
      </c>
      <c r="J237" s="6" t="s">
        <v>84</v>
      </c>
      <c r="K237" s="6" t="s">
        <v>111</v>
      </c>
      <c r="L237" s="7" t="e">
        <f t="shared" si="47"/>
        <v>#REF!</v>
      </c>
      <c r="M237" s="7" t="s">
        <v>112</v>
      </c>
      <c r="O237" s="7" t="str">
        <f>IF(OR($C237="",$C237="FID YOK"),"",IF(ISNUMBER(MATCH($C237,FA_ANA,0)),"",IF(COUNTIF($C$1:$C236,$C237)&gt;0,"",MAX($O$1:$O236)+1)))</f>
        <v/>
      </c>
      <c r="T237" s="7">
        <f>IF(ISNA(MATCH($C237,FA,0)),0,IF($J237="GIRIS",N(INDEX(F_INKOR,MATCH($C237,FA,0))),0))</f>
        <v>0</v>
      </c>
      <c r="Y237" s="7" t="e">
        <f>N(#REF!)*IF($E237="упак",MAX(1,IF(ISNA(MATCH($C237,FA,0)),1,N(INDEX(F_PAKET,MATCH($C237,FA,0))))),1)</f>
        <v>#REF!</v>
      </c>
      <c r="Z237" s="7" t="e">
        <f t="shared" si="48"/>
        <v>#REF!</v>
      </c>
      <c r="AA237" s="7">
        <f>IF(OR(ISNA(MATCH($C237,FA,0)),$J237="YEDEK",$J237="SARF"),0,N(#REF!)*N(INDEX(F_TEL,MATCH($C237,FA,0))))</f>
        <v>0</v>
      </c>
      <c r="AB237" s="7">
        <f>IF(OR(ISNA(MATCH($C237,FA,0)),$J237="YEDEK",$J237="SARF"),0,N(#REF!)*N(INDEX(F_TELM,MATCH($C237,FA,0))))</f>
        <v>0</v>
      </c>
      <c r="AC237" s="7" t="e">
        <f t="shared" si="49"/>
        <v>#REF!</v>
      </c>
      <c r="AD237" s="7">
        <f>IF(OR(ISNA(MATCH($C237,FA,0)),$J237&lt;&gt;"CIKIS"),0,N(INDEX(F_KK,MATCH($C237,FA,0))))</f>
        <v>0</v>
      </c>
      <c r="AE237" s="7">
        <f>IF($AD237=0,0,N(#REF!)*N(INDEX(F_KLN,MATCH($C237,FA,0))))</f>
        <v>0</v>
      </c>
      <c r="AF237" s="7">
        <f>IF($AD237=0,0,N(#REF!)*N(INDEX(F_KPE,MATCH($C237,FA,0))))</f>
        <v>0</v>
      </c>
      <c r="AG237" s="7" t="e">
        <f>IF(ISNA(MATCH($C237,FA,0)),0,N(#REF!)*N(INDEX(F_MODUL,MATCH($C237,FA,0))))</f>
        <v>#REF!</v>
      </c>
      <c r="AH237" s="7" t="e">
        <f>N(#REF!)*N($I237)</f>
        <v>#REF!</v>
      </c>
      <c r="AI237" s="7" t="e">
        <f t="shared" si="50"/>
        <v>#REF!</v>
      </c>
      <c r="AJ237" s="7">
        <f t="shared" si="51"/>
        <v>0</v>
      </c>
    </row>
    <row r="238" spans="1:36" x14ac:dyDescent="0.25">
      <c r="A238" s="4" t="e">
        <f t="shared" si="45"/>
        <v>#REF!</v>
      </c>
      <c r="B238" s="4" t="s">
        <v>113</v>
      </c>
      <c r="C238" s="4" t="s">
        <v>113</v>
      </c>
      <c r="D238" s="4" t="s">
        <v>113</v>
      </c>
      <c r="E238" s="4" t="s">
        <v>114</v>
      </c>
      <c r="F238" s="4" t="s">
        <v>113</v>
      </c>
      <c r="G238" s="4" t="s">
        <v>38</v>
      </c>
      <c r="H238" s="5" t="e">
        <f>#REF!</f>
        <v>#REF!</v>
      </c>
      <c r="I238" s="6" t="e">
        <f t="shared" si="46"/>
        <v>#REF!</v>
      </c>
    </row>
    <row r="239" spans="1:36" x14ac:dyDescent="0.25">
      <c r="A239" s="4" t="e">
        <f t="shared" si="45"/>
        <v>#REF!</v>
      </c>
      <c r="B239" s="4" t="s">
        <v>115</v>
      </c>
      <c r="C239" s="4" t="s">
        <v>115</v>
      </c>
      <c r="D239" s="4" t="s">
        <v>115</v>
      </c>
      <c r="E239" s="4" t="s">
        <v>116</v>
      </c>
      <c r="F239" s="4" t="s">
        <v>115</v>
      </c>
      <c r="G239" s="4" t="s">
        <v>38</v>
      </c>
      <c r="H239" s="5" t="e">
        <f>#REF!</f>
        <v>#REF!</v>
      </c>
      <c r="I239" s="6" t="e">
        <f t="shared" si="46"/>
        <v>#REF!</v>
      </c>
    </row>
    <row r="240" spans="1:36" x14ac:dyDescent="0.25">
      <c r="A240" s="1" t="str">
        <f>D240</f>
        <v>ЩО-П (260922 akram aulet)</v>
      </c>
      <c r="B240" s="12"/>
      <c r="C240" s="2"/>
      <c r="D240" s="1" t="s">
        <v>194</v>
      </c>
      <c r="E240" s="1" t="s">
        <v>36</v>
      </c>
      <c r="F240" s="1" t="s">
        <v>37</v>
      </c>
      <c r="G240" s="1" t="s">
        <v>38</v>
      </c>
      <c r="I240" s="3" t="e">
        <f>#REF!</f>
        <v>#REF!</v>
      </c>
    </row>
    <row r="241" spans="1:36" x14ac:dyDescent="0.25">
      <c r="A241" s="4" t="str">
        <f t="shared" ref="A241:A254" si="54">A240</f>
        <v>ЩО-П (260922 akram aulet)</v>
      </c>
      <c r="B241" s="4" t="s">
        <v>39</v>
      </c>
      <c r="C241" s="4" t="s">
        <v>506</v>
      </c>
      <c r="D241" s="4" t="s">
        <v>507</v>
      </c>
      <c r="E241" s="4" t="s">
        <v>114</v>
      </c>
      <c r="F241" s="4" t="s">
        <v>591</v>
      </c>
      <c r="G241" s="4" t="s">
        <v>38</v>
      </c>
      <c r="H241" s="5" t="e">
        <f>#REF!</f>
        <v>#REF!</v>
      </c>
      <c r="I241" s="6" t="e">
        <f t="shared" ref="I241:I254" si="55">I240</f>
        <v>#REF!</v>
      </c>
      <c r="J241" s="6" t="s">
        <v>40</v>
      </c>
      <c r="K241" s="6" t="s">
        <v>195</v>
      </c>
      <c r="L241" s="7" t="e">
        <f t="shared" ref="L241:L252" si="56">IF(ISNA(MATCH($C241,FA,0)),"ARTİKÜL YOK",INDEX(FIYAT_DURUM,MATCH($C241,FA,0)))</f>
        <v>#REF!</v>
      </c>
      <c r="M241" s="7" t="s">
        <v>196</v>
      </c>
      <c r="N241" s="7" t="s">
        <v>197</v>
      </c>
      <c r="O241" s="7">
        <f>IF(OR($C241="",$C241="FID YOK"),"",IF(ISNUMBER(MATCH($C241,FA_ANA,0)),"",IF(COUNTIF($C$1:$C240,$C241)&gt;0,"",MAX($O$1:$O240)+1)))</f>
        <v>62</v>
      </c>
      <c r="Q241" s="7"/>
      <c r="R241" s="7"/>
      <c r="S241" s="7"/>
      <c r="T241" s="7">
        <f>IF(ISNA(MATCH($C241,FA,0)),0,IF($J241="GIRIS",N(INDEX(F_INKOR,MATCH($C241,FA,0))),0))</f>
        <v>0</v>
      </c>
      <c r="U241" s="7"/>
      <c r="V241" s="7"/>
      <c r="W241" s="7"/>
      <c r="X241" s="7"/>
      <c r="Y241" s="7" t="e">
        <f>N(#REF!)*IF($E241="упак",MAX(1,IF(ISNA(MATCH($C241,FA,0)),1,N(INDEX(F_PAKET,MATCH($C241,FA,0))))),1)</f>
        <v>#REF!</v>
      </c>
      <c r="Z241" s="7" t="e">
        <f t="shared" ref="Z241:Z252" si="57">IF(ISNA(MATCH($C241,FA,0)),0,N(INDEX(F_BK,MATCH($C241,FA,0))))</f>
        <v>#REF!</v>
      </c>
      <c r="AA241" s="7" t="e">
        <f>IF(OR(ISNA(MATCH($C241,FA,0)),$J241="YEDEK",$J241="SARF"),0,N(#REF!)*N(INDEX(F_TEL,MATCH($C241,FA,0))))</f>
        <v>#REF!</v>
      </c>
      <c r="AB241" s="7" t="e">
        <f>IF(OR(ISNA(MATCH($C241,FA,0)),$J241="YEDEK",$J241="SARF"),0,N(#REF!)*N(INDEX(F_TELM,MATCH($C241,FA,0))))</f>
        <v>#REF!</v>
      </c>
      <c r="AC241" s="7" t="e">
        <f t="shared" ref="AC241:AC252" si="58">IF(ISNA(MATCH($C241,FA,0)),"",INDEX(F_UC,MATCH($C241,FA,0))&amp;"")</f>
        <v>#REF!</v>
      </c>
      <c r="AD241" s="7">
        <f>IF(OR(ISNA(MATCH($C241,FA,0)),$J241&lt;&gt;"CIKIS"),0,N(INDEX(F_KK,MATCH($C241,FA,0))))</f>
        <v>0</v>
      </c>
      <c r="AE241" s="7">
        <f>IF($AD241=0,0,N(#REF!)*N(INDEX(F_KLN,MATCH($C241,FA,0))))</f>
        <v>0</v>
      </c>
      <c r="AF241" s="7">
        <f>IF($AD241=0,0,N(#REF!)*N(INDEX(F_KPE,MATCH($C241,FA,0))))</f>
        <v>0</v>
      </c>
      <c r="AG241" s="7" t="e">
        <f>IF(ISNA(MATCH($C241,FA,0)),0,N(#REF!)*N(INDEX(F_MODUL,MATCH($C241,FA,0))))</f>
        <v>#REF!</v>
      </c>
      <c r="AH241" s="7" t="e">
        <f>N(#REF!)*N($I241)</f>
        <v>#REF!</v>
      </c>
      <c r="AI241" s="7" t="e">
        <f t="shared" ref="AI241:AI252" si="59">IF(ISNA(MATCH($K241,TIP_AD,0)),"YOK",IF(INDEX(NORM_DK,MATCH($K241,TIP_AD,0))="","BOŞ",INDEX(NORM_DK,MATCH($K241,TIP_AD,0))))</f>
        <v>#REF!</v>
      </c>
      <c r="AJ241" s="7">
        <f t="shared" ref="AJ241:AJ252" si="60">IF(ISNUMBER($AI241),$Y241*$AI241,0)</f>
        <v>0</v>
      </c>
    </row>
    <row r="242" spans="1:36" x14ac:dyDescent="0.25">
      <c r="A242" s="4" t="str">
        <f t="shared" si="54"/>
        <v>ЩО-П (260922 akram aulet)</v>
      </c>
      <c r="B242" s="4" t="s">
        <v>198</v>
      </c>
      <c r="C242" s="4" t="s">
        <v>380</v>
      </c>
      <c r="D242" s="4" t="s">
        <v>381</v>
      </c>
      <c r="E242" s="4" t="s">
        <v>114</v>
      </c>
      <c r="F242" s="4" t="s">
        <v>377</v>
      </c>
      <c r="G242" s="4" t="s">
        <v>38</v>
      </c>
      <c r="H242" s="5" t="e">
        <f>#REF!</f>
        <v>#REF!</v>
      </c>
      <c r="I242" s="6" t="e">
        <f t="shared" si="55"/>
        <v>#REF!</v>
      </c>
      <c r="J242" s="6" t="s">
        <v>48</v>
      </c>
      <c r="K242" s="6" t="s">
        <v>198</v>
      </c>
      <c r="L242" s="7" t="e">
        <f t="shared" si="56"/>
        <v>#REF!</v>
      </c>
      <c r="M242" s="7" t="s">
        <v>199</v>
      </c>
      <c r="N242" s="7" t="s">
        <v>200</v>
      </c>
      <c r="O242" s="7">
        <f>IF(OR($C242="",$C242="FID YOK"),"",IF(ISNUMBER(MATCH($C242,FA_ANA,0)),"",IF(COUNTIF($C$1:$C241,$C242)&gt;0,"",MAX($O$1:$O241)+1)))</f>
        <v>63</v>
      </c>
      <c r="P242" s="8">
        <v>1</v>
      </c>
      <c r="Q242" s="7" t="e">
        <f>IF(OR($P242="",$P242="G",ISNA(MATCH($C242,FA,0))),"",IF(N(INDEX(F_G,MATCH($C242,FA,0)))&gt;0,INDEX(F_G,MATCH($C242,FA,0)),IF(N(INDEX(F_MODUL,MATCH($C242,FA,0)))&gt;0,INDEX(F_MODUL,MATCH($C242,FA,0))*MODUL_MM,"")))</f>
        <v>#REF!</v>
      </c>
      <c r="R242" s="7" t="e">
        <f>IF(OR($P242="",$P242="G",ISNA(MATCH($C242,FA,0))),"",IF(N(INDEX(F_Y,MATCH($C242,FA,0)))&gt;0,INDEX(F_Y,MATCH($C242,FA,0)),""))</f>
        <v>#REF!</v>
      </c>
      <c r="S242" s="7" t="e">
        <f>IF(OR($P242="",$P242="G",ISNA(MATCH($C242,FA,0))),"",IF(N(INDEX(F_D,MATCH($C242,FA,0)))&gt;0,INDEX(F_D,MATCH($C242,FA,0)),""))</f>
        <v>#REF!</v>
      </c>
      <c r="T242" s="7" t="e">
        <f>IF(ISNA(MATCH($C242,FA,0)),0,IF($J242="GIRIS",N(INDEX(F_INKOR,MATCH($C242,FA,0))),0))</f>
        <v>#REF!</v>
      </c>
      <c r="U242" s="7" t="e">
        <f>IF(ISNA(MATCH($B242,TIP_AD,0)),"",INDEX(TIP_KAT,MATCH($B242,TIP_AD,0))&amp;"")</f>
        <v>#REF!</v>
      </c>
      <c r="V242" s="7" t="e">
        <f>IF(NOT(ISNUMBER($P242)),"",IF($Z242=0,0,IF(ISNA(MATCH($Z242,BUK_KESIT,0)),"",IF(INDEX(BUK_ALAN,MATCH($Z242,BUK_KESIT,0))&amp;""="","",INDEX(BUK_ALAN,MATCH($Z242,BUK_KESIT,0))))))</f>
        <v>#REF!</v>
      </c>
      <c r="W242" s="7" t="e">
        <f>IF(OR(NOT(ISNUMBER($P242)),$Q242=""),"",N(#REF!)*($Q242+IF(ISNA(MATCH($B242,TIP_AD,0)),0,N(INDEX(TIP_BOSLUK,MATCH($B242,TIP_AD,0))))))</f>
        <v>#REF!</v>
      </c>
      <c r="X242" s="7" t="e">
        <f>IF(ISNUMBER($P242),($Q242="")+($R242="")+($V242="")+IF(AND($U242="KONTAKTOR",NOT(ISNA(MATCH($B242,TIP_AD,0)))),IF(INDEX(TIP_BOSLUK,MATCH($B242,TIP_AD,0))&amp;""="",1,0),0),IF($P242="K",IF($S242="",1,0),0))</f>
        <v>#REF!</v>
      </c>
      <c r="Y242" s="7" t="e">
        <f>N(#REF!)*IF($E242="упак",MAX(1,IF(ISNA(MATCH($C242,FA,0)),1,N(INDEX(F_PAKET,MATCH($C242,FA,0))))),1)</f>
        <v>#REF!</v>
      </c>
      <c r="Z242" s="7" t="e">
        <f t="shared" si="57"/>
        <v>#REF!</v>
      </c>
      <c r="AA242" s="7" t="e">
        <f>IF(OR(ISNA(MATCH($C242,FA,0)),$J242="YEDEK",$J242="SARF"),0,N(#REF!)*N(INDEX(F_TEL,MATCH($C242,FA,0))))</f>
        <v>#REF!</v>
      </c>
      <c r="AB242" s="7" t="e">
        <f>IF(OR(ISNA(MATCH($C242,FA,0)),$J242="YEDEK",$J242="SARF"),0,N(#REF!)*N(INDEX(F_TELM,MATCH($C242,FA,0))))</f>
        <v>#REF!</v>
      </c>
      <c r="AC242" s="7" t="e">
        <f t="shared" si="58"/>
        <v>#REF!</v>
      </c>
      <c r="AD242" s="7">
        <f>IF(OR(ISNA(MATCH($C242,FA,0)),$J242&lt;&gt;"CIKIS"),0,N(INDEX(F_KK,MATCH($C242,FA,0))))</f>
        <v>0</v>
      </c>
      <c r="AE242" s="7">
        <f>IF($AD242=0,0,N(#REF!)*N(INDEX(F_KLN,MATCH($C242,FA,0))))</f>
        <v>0</v>
      </c>
      <c r="AF242" s="7">
        <f>IF($AD242=0,0,N(#REF!)*N(INDEX(F_KPE,MATCH($C242,FA,0))))</f>
        <v>0</v>
      </c>
      <c r="AG242" s="7" t="e">
        <f>IF(ISNA(MATCH($C242,FA,0)),0,N(#REF!)*N(INDEX(F_MODUL,MATCH($C242,FA,0))))</f>
        <v>#REF!</v>
      </c>
      <c r="AH242" s="7" t="e">
        <f>N(#REF!)*N($I242)</f>
        <v>#REF!</v>
      </c>
      <c r="AI242" s="7" t="e">
        <f t="shared" si="59"/>
        <v>#REF!</v>
      </c>
      <c r="AJ242" s="7">
        <f t="shared" si="60"/>
        <v>0</v>
      </c>
    </row>
    <row r="243" spans="1:36" x14ac:dyDescent="0.25">
      <c r="A243" s="4" t="str">
        <f t="shared" si="54"/>
        <v>ЩО-П (260922 akram aulet)</v>
      </c>
      <c r="B243" s="4" t="s">
        <v>65</v>
      </c>
      <c r="C243" s="4" t="s">
        <v>384</v>
      </c>
      <c r="D243" s="4" t="s">
        <v>385</v>
      </c>
      <c r="E243" s="4" t="s">
        <v>114</v>
      </c>
      <c r="F243" s="4" t="s">
        <v>377</v>
      </c>
      <c r="G243" s="4" t="s">
        <v>38</v>
      </c>
      <c r="H243" s="5" t="e">
        <f>#REF!</f>
        <v>#REF!</v>
      </c>
      <c r="I243" s="6" t="e">
        <f t="shared" si="55"/>
        <v>#REF!</v>
      </c>
      <c r="J243" s="6" t="s">
        <v>52</v>
      </c>
      <c r="K243" s="6" t="s">
        <v>65</v>
      </c>
      <c r="L243" s="7" t="e">
        <f t="shared" si="56"/>
        <v>#REF!</v>
      </c>
      <c r="N243" s="7" t="s">
        <v>201</v>
      </c>
      <c r="O243" s="7">
        <f>IF(OR($C243="",$C243="FID YOK"),"",IF(ISNUMBER(MATCH($C243,FA_ANA,0)),"",IF(COUNTIF($C$1:$C242,$C243)&gt;0,"",MAX($O$1:$O242)+1)))</f>
        <v>64</v>
      </c>
      <c r="P243" s="8">
        <v>1</v>
      </c>
      <c r="Q243" s="7" t="e">
        <f>IF(OR($P243="",$P243="G",ISNA(MATCH($C243,FA,0))),"",IF(N(INDEX(F_G,MATCH($C243,FA,0)))&gt;0,INDEX(F_G,MATCH($C243,FA,0)),IF(N(INDEX(F_MODUL,MATCH($C243,FA,0)))&gt;0,INDEX(F_MODUL,MATCH($C243,FA,0))*MODUL_MM,"")))</f>
        <v>#REF!</v>
      </c>
      <c r="R243" s="7" t="e">
        <f>IF(OR($P243="",$P243="G",ISNA(MATCH($C243,FA,0))),"",IF(N(INDEX(F_Y,MATCH($C243,FA,0)))&gt;0,INDEX(F_Y,MATCH($C243,FA,0)),""))</f>
        <v>#REF!</v>
      </c>
      <c r="S243" s="7" t="e">
        <f>IF(OR($P243="",$P243="G",ISNA(MATCH($C243,FA,0))),"",IF(N(INDEX(F_D,MATCH($C243,FA,0)))&gt;0,INDEX(F_D,MATCH($C243,FA,0)),""))</f>
        <v>#REF!</v>
      </c>
      <c r="T243" s="7">
        <f>IF(ISNA(MATCH($C243,FA,0)),0,IF($J243="GIRIS",N(INDEX(F_INKOR,MATCH($C243,FA,0))),0))</f>
        <v>0</v>
      </c>
      <c r="U243" s="7" t="e">
        <f>IF(ISNA(MATCH($B243,TIP_AD,0)),"",INDEX(TIP_KAT,MATCH($B243,TIP_AD,0))&amp;"")</f>
        <v>#REF!</v>
      </c>
      <c r="V243" s="7" t="e">
        <f>IF(NOT(ISNUMBER($P243)),"",IF($Z243=0,0,IF(ISNA(MATCH($Z243,BUK_KESIT,0)),"",IF(INDEX(BUK_ALAN,MATCH($Z243,BUK_KESIT,0))&amp;""="","",INDEX(BUK_ALAN,MATCH($Z243,BUK_KESIT,0))))))</f>
        <v>#REF!</v>
      </c>
      <c r="W243" s="7" t="e">
        <f>IF(OR(NOT(ISNUMBER($P243)),$Q243=""),"",N(#REF!)*($Q243+IF(ISNA(MATCH($B243,TIP_AD,0)),0,N(INDEX(TIP_BOSLUK,MATCH($B243,TIP_AD,0))))))</f>
        <v>#REF!</v>
      </c>
      <c r="X243" s="7" t="e">
        <f>IF(ISNUMBER($P243),($Q243="")+($R243="")+($V243="")+IF(AND($U243="KONTAKTOR",NOT(ISNA(MATCH($B243,TIP_AD,0)))),IF(INDEX(TIP_BOSLUK,MATCH($B243,TIP_AD,0))&amp;""="",1,0),0),IF($P243="K",IF($S243="",1,0),0))</f>
        <v>#REF!</v>
      </c>
      <c r="Y243" s="7" t="e">
        <f>N(#REF!)*IF($E243="упак",MAX(1,IF(ISNA(MATCH($C243,FA,0)),1,N(INDEX(F_PAKET,MATCH($C243,FA,0))))),1)</f>
        <v>#REF!</v>
      </c>
      <c r="Z243" s="7" t="e">
        <f t="shared" si="57"/>
        <v>#REF!</v>
      </c>
      <c r="AA243" s="7" t="e">
        <f>IF(OR(ISNA(MATCH($C243,FA,0)),$J243="YEDEK",$J243="SARF"),0,N(#REF!)*N(INDEX(F_TEL,MATCH($C243,FA,0))))</f>
        <v>#REF!</v>
      </c>
      <c r="AB243" s="7" t="e">
        <f>IF(OR(ISNA(MATCH($C243,FA,0)),$J243="YEDEK",$J243="SARF"),0,N(#REF!)*N(INDEX(F_TELM,MATCH($C243,FA,0))))</f>
        <v>#REF!</v>
      </c>
      <c r="AC243" s="7" t="e">
        <f t="shared" si="58"/>
        <v>#REF!</v>
      </c>
      <c r="AD243" s="7" t="e">
        <f>IF(OR(ISNA(MATCH($C243,FA,0)),$J243&lt;&gt;"CIKIS"),0,N(INDEX(F_KK,MATCH($C243,FA,0))))</f>
        <v>#REF!</v>
      </c>
      <c r="AE243" s="7" t="e">
        <f>IF($AD243=0,0,N(#REF!)*N(INDEX(F_KLN,MATCH($C243,FA,0))))</f>
        <v>#REF!</v>
      </c>
      <c r="AF243" s="7" t="e">
        <f>IF($AD243=0,0,N(#REF!)*N(INDEX(F_KPE,MATCH($C243,FA,0))))</f>
        <v>#REF!</v>
      </c>
      <c r="AG243" s="7" t="e">
        <f>IF(ISNA(MATCH($C243,FA,0)),0,N(#REF!)*N(INDEX(F_MODUL,MATCH($C243,FA,0))))</f>
        <v>#REF!</v>
      </c>
      <c r="AH243" s="7" t="e">
        <f>N(#REF!)*N($I243)</f>
        <v>#REF!</v>
      </c>
      <c r="AI243" s="7" t="e">
        <f t="shared" si="59"/>
        <v>#REF!</v>
      </c>
      <c r="AJ243" s="7">
        <f t="shared" si="60"/>
        <v>0</v>
      </c>
    </row>
    <row r="244" spans="1:36" x14ac:dyDescent="0.25">
      <c r="A244" s="4" t="str">
        <f t="shared" si="54"/>
        <v>ЩО-П (260922 akram aulet)</v>
      </c>
      <c r="B244" s="4" t="s">
        <v>202</v>
      </c>
      <c r="C244" s="4" t="s">
        <v>575</v>
      </c>
      <c r="D244" s="4" t="s">
        <v>576</v>
      </c>
      <c r="E244" s="4" t="s">
        <v>114</v>
      </c>
      <c r="F244" s="4" t="s">
        <v>486</v>
      </c>
      <c r="G244" s="4" t="s">
        <v>38</v>
      </c>
      <c r="H244" s="5" t="e">
        <f>#REF!</f>
        <v>#REF!</v>
      </c>
      <c r="I244" s="6" t="e">
        <f t="shared" si="55"/>
        <v>#REF!</v>
      </c>
      <c r="J244" s="6" t="s">
        <v>84</v>
      </c>
      <c r="K244" s="6" t="s">
        <v>202</v>
      </c>
      <c r="L244" s="7" t="e">
        <f t="shared" si="56"/>
        <v>#REF!</v>
      </c>
      <c r="M244" s="7" t="s">
        <v>203</v>
      </c>
      <c r="O244" s="7">
        <f>IF(OR($C244="",$C244="FID YOK"),"",IF(ISNUMBER(MATCH($C244,FA_ANA,0)),"",IF(COUNTIF($C$1:$C243,$C244)&gt;0,"",MAX($O$1:$O243)+1)))</f>
        <v>65</v>
      </c>
      <c r="T244" s="7">
        <f>IF(ISNA(MATCH($C244,FA,0)),0,IF($J244="GIRIS",N(INDEX(F_INKOR,MATCH($C244,FA,0))),0))</f>
        <v>0</v>
      </c>
      <c r="Y244" s="7" t="e">
        <f>N(#REF!)*IF($E244="упак",MAX(1,IF(ISNA(MATCH($C244,FA,0)),1,N(INDEX(F_PAKET,MATCH($C244,FA,0))))),1)</f>
        <v>#REF!</v>
      </c>
      <c r="Z244" s="7" t="e">
        <f t="shared" si="57"/>
        <v>#REF!</v>
      </c>
      <c r="AA244" s="7">
        <f>IF(OR(ISNA(MATCH($C244,FA,0)),$J244="YEDEK",$J244="SARF"),0,N(#REF!)*N(INDEX(F_TEL,MATCH($C244,FA,0))))</f>
        <v>0</v>
      </c>
      <c r="AB244" s="7">
        <f>IF(OR(ISNA(MATCH($C244,FA,0)),$J244="YEDEK",$J244="SARF"),0,N(#REF!)*N(INDEX(F_TELM,MATCH($C244,FA,0))))</f>
        <v>0</v>
      </c>
      <c r="AC244" s="7" t="e">
        <f t="shared" si="58"/>
        <v>#REF!</v>
      </c>
      <c r="AD244" s="7">
        <f>IF(OR(ISNA(MATCH($C244,FA,0)),$J244&lt;&gt;"CIKIS"),0,N(INDEX(F_KK,MATCH($C244,FA,0))))</f>
        <v>0</v>
      </c>
      <c r="AE244" s="7">
        <f>IF($AD244=0,0,N(#REF!)*N(INDEX(F_KLN,MATCH($C244,FA,0))))</f>
        <v>0</v>
      </c>
      <c r="AF244" s="7">
        <f>IF($AD244=0,0,N(#REF!)*N(INDEX(F_KPE,MATCH($C244,FA,0))))</f>
        <v>0</v>
      </c>
      <c r="AG244" s="7" t="e">
        <f>IF(ISNA(MATCH($C244,FA,0)),0,N(#REF!)*N(INDEX(F_MODUL,MATCH($C244,FA,0))))</f>
        <v>#REF!</v>
      </c>
      <c r="AH244" s="7" t="e">
        <f>N(#REF!)*N($I244)</f>
        <v>#REF!</v>
      </c>
      <c r="AI244" s="7" t="e">
        <f t="shared" si="59"/>
        <v>#REF!</v>
      </c>
      <c r="AJ244" s="7">
        <f t="shared" si="60"/>
        <v>0</v>
      </c>
    </row>
    <row r="245" spans="1:36" x14ac:dyDescent="0.25">
      <c r="A245" s="4" t="str">
        <f t="shared" si="54"/>
        <v>ЩО-П (260922 akram aulet)</v>
      </c>
      <c r="B245" s="4" t="s">
        <v>202</v>
      </c>
      <c r="C245" s="4" t="s">
        <v>575</v>
      </c>
      <c r="D245" s="4" t="s">
        <v>576</v>
      </c>
      <c r="E245" s="4" t="s">
        <v>114</v>
      </c>
      <c r="F245" s="4" t="s">
        <v>486</v>
      </c>
      <c r="G245" s="4" t="s">
        <v>38</v>
      </c>
      <c r="H245" s="5" t="e">
        <f>#REF!</f>
        <v>#REF!</v>
      </c>
      <c r="I245" s="6" t="e">
        <f t="shared" si="55"/>
        <v>#REF!</v>
      </c>
      <c r="J245" s="6" t="s">
        <v>84</v>
      </c>
      <c r="K245" s="6" t="s">
        <v>202</v>
      </c>
      <c r="L245" s="7" t="e">
        <f t="shared" si="56"/>
        <v>#REF!</v>
      </c>
      <c r="M245" s="7" t="s">
        <v>204</v>
      </c>
      <c r="O245" s="7" t="str">
        <f>IF(OR($C245="",$C245="FID YOK"),"",IF(ISNUMBER(MATCH($C245,FA_ANA,0)),"",IF(COUNTIF($C$1:$C244,$C245)&gt;0,"",MAX($O$1:$O244)+1)))</f>
        <v/>
      </c>
      <c r="T245" s="7">
        <f>IF(ISNA(MATCH($C245,FA,0)),0,IF($J245="GIRIS",N(INDEX(F_INKOR,MATCH($C245,FA,0))),0))</f>
        <v>0</v>
      </c>
      <c r="Y245" s="7" t="e">
        <f>N(#REF!)*IF($E245="упак",MAX(1,IF(ISNA(MATCH($C245,FA,0)),1,N(INDEX(F_PAKET,MATCH($C245,FA,0))))),1)</f>
        <v>#REF!</v>
      </c>
      <c r="Z245" s="7" t="e">
        <f t="shared" si="57"/>
        <v>#REF!</v>
      </c>
      <c r="AA245" s="7">
        <f>IF(OR(ISNA(MATCH($C245,FA,0)),$J245="YEDEK",$J245="SARF"),0,N(#REF!)*N(INDEX(F_TEL,MATCH($C245,FA,0))))</f>
        <v>0</v>
      </c>
      <c r="AB245" s="7">
        <f>IF(OR(ISNA(MATCH($C245,FA,0)),$J245="YEDEK",$J245="SARF"),0,N(#REF!)*N(INDEX(F_TELM,MATCH($C245,FA,0))))</f>
        <v>0</v>
      </c>
      <c r="AC245" s="7" t="e">
        <f t="shared" si="58"/>
        <v>#REF!</v>
      </c>
      <c r="AD245" s="7">
        <f>IF(OR(ISNA(MATCH($C245,FA,0)),$J245&lt;&gt;"CIKIS"),0,N(INDEX(F_KK,MATCH($C245,FA,0))))</f>
        <v>0</v>
      </c>
      <c r="AE245" s="7">
        <f>IF($AD245=0,0,N(#REF!)*N(INDEX(F_KLN,MATCH($C245,FA,0))))</f>
        <v>0</v>
      </c>
      <c r="AF245" s="7">
        <f>IF($AD245=0,0,N(#REF!)*N(INDEX(F_KPE,MATCH($C245,FA,0))))</f>
        <v>0</v>
      </c>
      <c r="AG245" s="7" t="e">
        <f>IF(ISNA(MATCH($C245,FA,0)),0,N(#REF!)*N(INDEX(F_MODUL,MATCH($C245,FA,0))))</f>
        <v>#REF!</v>
      </c>
      <c r="AH245" s="7" t="e">
        <f>N(#REF!)*N($I245)</f>
        <v>#REF!</v>
      </c>
      <c r="AI245" s="7" t="e">
        <f t="shared" si="59"/>
        <v>#REF!</v>
      </c>
      <c r="AJ245" s="7">
        <f t="shared" si="60"/>
        <v>0</v>
      </c>
    </row>
    <row r="246" spans="1:36" x14ac:dyDescent="0.25">
      <c r="A246" s="4" t="str">
        <f t="shared" si="54"/>
        <v>ЩО-П (260922 akram aulet)</v>
      </c>
      <c r="B246" s="4" t="s">
        <v>92</v>
      </c>
      <c r="C246" s="4" t="s">
        <v>523</v>
      </c>
      <c r="D246" s="4" t="s">
        <v>524</v>
      </c>
      <c r="E246" s="4" t="s">
        <v>520</v>
      </c>
      <c r="F246" s="4" t="s">
        <v>521</v>
      </c>
      <c r="G246" s="4" t="s">
        <v>38</v>
      </c>
      <c r="H246" s="5" t="e">
        <f>#REF!</f>
        <v>#REF!</v>
      </c>
      <c r="I246" s="6" t="e">
        <f t="shared" si="55"/>
        <v>#REF!</v>
      </c>
      <c r="J246" s="6" t="s">
        <v>84</v>
      </c>
      <c r="K246" s="6" t="s">
        <v>92</v>
      </c>
      <c r="L246" s="7" t="e">
        <f t="shared" si="56"/>
        <v>#REF!</v>
      </c>
      <c r="M246" s="7" t="s">
        <v>93</v>
      </c>
      <c r="O246" s="7" t="str">
        <f>IF(OR($C246="",$C246="FID YOK"),"",IF(ISNUMBER(MATCH($C246,FA_ANA,0)),"",IF(COUNTIF($C$1:$C245,$C246)&gt;0,"",MAX($O$1:$O245)+1)))</f>
        <v/>
      </c>
      <c r="T246" s="7">
        <f>IF(ISNA(MATCH($C246,FA,0)),0,IF($J246="GIRIS",N(INDEX(F_INKOR,MATCH($C246,FA,0))),0))</f>
        <v>0</v>
      </c>
      <c r="Y246" s="7" t="e">
        <f>N(#REF!)*IF($E246="упак",MAX(1,IF(ISNA(MATCH($C246,FA,0)),1,N(INDEX(F_PAKET,MATCH($C246,FA,0))))),1)</f>
        <v>#REF!</v>
      </c>
      <c r="Z246" s="7" t="e">
        <f t="shared" si="57"/>
        <v>#REF!</v>
      </c>
      <c r="AA246" s="7">
        <f>IF(OR(ISNA(MATCH($C246,FA,0)),$J246="YEDEK",$J246="SARF"),0,N(#REF!)*N(INDEX(F_TEL,MATCH($C246,FA,0))))</f>
        <v>0</v>
      </c>
      <c r="AB246" s="7">
        <f>IF(OR(ISNA(MATCH($C246,FA,0)),$J246="YEDEK",$J246="SARF"),0,N(#REF!)*N(INDEX(F_TELM,MATCH($C246,FA,0))))</f>
        <v>0</v>
      </c>
      <c r="AC246" s="7" t="e">
        <f t="shared" si="58"/>
        <v>#REF!</v>
      </c>
      <c r="AD246" s="7">
        <f>IF(OR(ISNA(MATCH($C246,FA,0)),$J246&lt;&gt;"CIKIS"),0,N(INDEX(F_KK,MATCH($C246,FA,0))))</f>
        <v>0</v>
      </c>
      <c r="AE246" s="7">
        <f>IF($AD246=0,0,N(#REF!)*N(INDEX(F_KLN,MATCH($C246,FA,0))))</f>
        <v>0</v>
      </c>
      <c r="AF246" s="7">
        <f>IF($AD246=0,0,N(#REF!)*N(INDEX(F_KPE,MATCH($C246,FA,0))))</f>
        <v>0</v>
      </c>
      <c r="AG246" s="7" t="e">
        <f>IF(ISNA(MATCH($C246,FA,0)),0,N(#REF!)*N(INDEX(F_MODUL,MATCH($C246,FA,0))))</f>
        <v>#REF!</v>
      </c>
      <c r="AH246" s="7" t="e">
        <f>N(#REF!)*N($I246)</f>
        <v>#REF!</v>
      </c>
      <c r="AI246" s="7" t="e">
        <f t="shared" si="59"/>
        <v>#REF!</v>
      </c>
      <c r="AJ246" s="7">
        <f t="shared" si="60"/>
        <v>0</v>
      </c>
    </row>
    <row r="247" spans="1:36" x14ac:dyDescent="0.25">
      <c r="A247" s="4" t="str">
        <f t="shared" si="54"/>
        <v>ЩО-П (260922 akram aulet)</v>
      </c>
      <c r="B247" s="4" t="s">
        <v>92</v>
      </c>
      <c r="C247" s="4" t="s">
        <v>535</v>
      </c>
      <c r="D247" s="4" t="s">
        <v>536</v>
      </c>
      <c r="E247" s="4" t="s">
        <v>520</v>
      </c>
      <c r="F247" s="4" t="s">
        <v>521</v>
      </c>
      <c r="G247" s="4" t="s">
        <v>38</v>
      </c>
      <c r="H247" s="5" t="e">
        <f>#REF!</f>
        <v>#REF!</v>
      </c>
      <c r="I247" s="6" t="e">
        <f t="shared" si="55"/>
        <v>#REF!</v>
      </c>
      <c r="J247" s="6" t="s">
        <v>84</v>
      </c>
      <c r="K247" s="6" t="s">
        <v>92</v>
      </c>
      <c r="L247" s="7" t="e">
        <f t="shared" si="56"/>
        <v>#REF!</v>
      </c>
      <c r="M247" s="7" t="s">
        <v>130</v>
      </c>
      <c r="O247" s="7" t="str">
        <f>IF(OR($C247="",$C247="FID YOK"),"",IF(ISNUMBER(MATCH($C247,FA_ANA,0)),"",IF(COUNTIF($C$1:$C246,$C247)&gt;0,"",MAX($O$1:$O246)+1)))</f>
        <v/>
      </c>
      <c r="T247" s="7">
        <f>IF(ISNA(MATCH($C247,FA,0)),0,IF($J247="GIRIS",N(INDEX(F_INKOR,MATCH($C247,FA,0))),0))</f>
        <v>0</v>
      </c>
      <c r="Y247" s="7" t="e">
        <f>N(#REF!)*IF($E247="упак",MAX(1,IF(ISNA(MATCH($C247,FA,0)),1,N(INDEX(F_PAKET,MATCH($C247,FA,0))))),1)</f>
        <v>#REF!</v>
      </c>
      <c r="Z247" s="7" t="e">
        <f t="shared" si="57"/>
        <v>#REF!</v>
      </c>
      <c r="AA247" s="7">
        <f>IF(OR(ISNA(MATCH($C247,FA,0)),$J247="YEDEK",$J247="SARF"),0,N(#REF!)*N(INDEX(F_TEL,MATCH($C247,FA,0))))</f>
        <v>0</v>
      </c>
      <c r="AB247" s="7">
        <f>IF(OR(ISNA(MATCH($C247,FA,0)),$J247="YEDEK",$J247="SARF"),0,N(#REF!)*N(INDEX(F_TELM,MATCH($C247,FA,0))))</f>
        <v>0</v>
      </c>
      <c r="AC247" s="7" t="e">
        <f t="shared" si="58"/>
        <v>#REF!</v>
      </c>
      <c r="AD247" s="7">
        <f>IF(OR(ISNA(MATCH($C247,FA,0)),$J247&lt;&gt;"CIKIS"),0,N(INDEX(F_KK,MATCH($C247,FA,0))))</f>
        <v>0</v>
      </c>
      <c r="AE247" s="7">
        <f>IF($AD247=0,0,N(#REF!)*N(INDEX(F_KLN,MATCH($C247,FA,0))))</f>
        <v>0</v>
      </c>
      <c r="AF247" s="7">
        <f>IF($AD247=0,0,N(#REF!)*N(INDEX(F_KPE,MATCH($C247,FA,0))))</f>
        <v>0</v>
      </c>
      <c r="AG247" s="7" t="e">
        <f>IF(ISNA(MATCH($C247,FA,0)),0,N(#REF!)*N(INDEX(F_MODUL,MATCH($C247,FA,0))))</f>
        <v>#REF!</v>
      </c>
      <c r="AH247" s="7" t="e">
        <f>N(#REF!)*N($I247)</f>
        <v>#REF!</v>
      </c>
      <c r="AI247" s="7" t="e">
        <f t="shared" si="59"/>
        <v>#REF!</v>
      </c>
      <c r="AJ247" s="7">
        <f t="shared" si="60"/>
        <v>0</v>
      </c>
    </row>
    <row r="248" spans="1:36" x14ac:dyDescent="0.25">
      <c r="A248" s="4" t="str">
        <f t="shared" si="54"/>
        <v>ЩО-П (260922 akram aulet)</v>
      </c>
      <c r="B248" s="4" t="s">
        <v>92</v>
      </c>
      <c r="C248" s="4" t="s">
        <v>535</v>
      </c>
      <c r="D248" s="4" t="s">
        <v>536</v>
      </c>
      <c r="E248" s="4" t="s">
        <v>520</v>
      </c>
      <c r="F248" s="4" t="s">
        <v>521</v>
      </c>
      <c r="G248" s="4" t="s">
        <v>38</v>
      </c>
      <c r="H248" s="5" t="e">
        <f>#REF!</f>
        <v>#REF!</v>
      </c>
      <c r="I248" s="6" t="e">
        <f t="shared" si="55"/>
        <v>#REF!</v>
      </c>
      <c r="J248" s="6" t="s">
        <v>84</v>
      </c>
      <c r="K248" s="6" t="s">
        <v>92</v>
      </c>
      <c r="L248" s="7" t="e">
        <f t="shared" si="56"/>
        <v>#REF!</v>
      </c>
      <c r="M248" s="7" t="s">
        <v>100</v>
      </c>
      <c r="O248" s="7" t="str">
        <f>IF(OR($C248="",$C248="FID YOK"),"",IF(ISNUMBER(MATCH($C248,FA_ANA,0)),"",IF(COUNTIF($C$1:$C247,$C248)&gt;0,"",MAX($O$1:$O247)+1)))</f>
        <v/>
      </c>
      <c r="T248" s="7">
        <f>IF(ISNA(MATCH($C248,FA,0)),0,IF($J248="GIRIS",N(INDEX(F_INKOR,MATCH($C248,FA,0))),0))</f>
        <v>0</v>
      </c>
      <c r="Y248" s="7" t="e">
        <f>N(#REF!)*IF($E248="упак",MAX(1,IF(ISNA(MATCH($C248,FA,0)),1,N(INDEX(F_PAKET,MATCH($C248,FA,0))))),1)</f>
        <v>#REF!</v>
      </c>
      <c r="Z248" s="7" t="e">
        <f t="shared" si="57"/>
        <v>#REF!</v>
      </c>
      <c r="AA248" s="7">
        <f>IF(OR(ISNA(MATCH($C248,FA,0)),$J248="YEDEK",$J248="SARF"),0,N(#REF!)*N(INDEX(F_TEL,MATCH($C248,FA,0))))</f>
        <v>0</v>
      </c>
      <c r="AB248" s="7">
        <f>IF(OR(ISNA(MATCH($C248,FA,0)),$J248="YEDEK",$J248="SARF"),0,N(#REF!)*N(INDEX(F_TELM,MATCH($C248,FA,0))))</f>
        <v>0</v>
      </c>
      <c r="AC248" s="7" t="e">
        <f t="shared" si="58"/>
        <v>#REF!</v>
      </c>
      <c r="AD248" s="7">
        <f>IF(OR(ISNA(MATCH($C248,FA,0)),$J248&lt;&gt;"CIKIS"),0,N(INDEX(F_KK,MATCH($C248,FA,0))))</f>
        <v>0</v>
      </c>
      <c r="AE248" s="7">
        <f>IF($AD248=0,0,N(#REF!)*N(INDEX(F_KLN,MATCH($C248,FA,0))))</f>
        <v>0</v>
      </c>
      <c r="AF248" s="7">
        <f>IF($AD248=0,0,N(#REF!)*N(INDEX(F_KPE,MATCH($C248,FA,0))))</f>
        <v>0</v>
      </c>
      <c r="AG248" s="7" t="e">
        <f>IF(ISNA(MATCH($C248,FA,0)),0,N(#REF!)*N(INDEX(F_MODUL,MATCH($C248,FA,0))))</f>
        <v>#REF!</v>
      </c>
      <c r="AH248" s="7" t="e">
        <f>N(#REF!)*N($I248)</f>
        <v>#REF!</v>
      </c>
      <c r="AI248" s="7" t="e">
        <f t="shared" si="59"/>
        <v>#REF!</v>
      </c>
      <c r="AJ248" s="7">
        <f t="shared" si="60"/>
        <v>0</v>
      </c>
    </row>
    <row r="249" spans="1:36" x14ac:dyDescent="0.25">
      <c r="A249" s="4" t="str">
        <f t="shared" si="54"/>
        <v>ЩО-П (260922 akram aulet)</v>
      </c>
      <c r="B249" s="4" t="s">
        <v>101</v>
      </c>
      <c r="C249" s="4" t="s">
        <v>525</v>
      </c>
      <c r="D249" s="4" t="s">
        <v>526</v>
      </c>
      <c r="E249" s="4" t="s">
        <v>522</v>
      </c>
      <c r="F249" s="4" t="s">
        <v>486</v>
      </c>
      <c r="G249" s="4" t="s">
        <v>38</v>
      </c>
      <c r="H249" s="5" t="e">
        <f>#REF!</f>
        <v>#REF!</v>
      </c>
      <c r="I249" s="6" t="e">
        <f t="shared" si="55"/>
        <v>#REF!</v>
      </c>
      <c r="J249" s="6" t="s">
        <v>84</v>
      </c>
      <c r="K249" s="6" t="s">
        <v>101</v>
      </c>
      <c r="L249" s="7" t="e">
        <f t="shared" si="56"/>
        <v>#REF!</v>
      </c>
      <c r="M249" s="7" t="s">
        <v>102</v>
      </c>
      <c r="O249" s="7" t="str">
        <f>IF(OR($C249="",$C249="FID YOK"),"",IF(ISNUMBER(MATCH($C249,FA_ANA,0)),"",IF(COUNTIF($C$1:$C248,$C249)&gt;0,"",MAX($O$1:$O248)+1)))</f>
        <v/>
      </c>
      <c r="T249" s="7">
        <f>IF(ISNA(MATCH($C249,FA,0)),0,IF($J249="GIRIS",N(INDEX(F_INKOR,MATCH($C249,FA,0))),0))</f>
        <v>0</v>
      </c>
      <c r="Y249" s="7" t="e">
        <f>N(#REF!)*IF($E249="упак",MAX(1,IF(ISNA(MATCH($C249,FA,0)),1,N(INDEX(F_PAKET,MATCH($C249,FA,0))))),1)</f>
        <v>#REF!</v>
      </c>
      <c r="Z249" s="7" t="e">
        <f t="shared" si="57"/>
        <v>#REF!</v>
      </c>
      <c r="AA249" s="7">
        <f>IF(OR(ISNA(MATCH($C249,FA,0)),$J249="YEDEK",$J249="SARF"),0,N(#REF!)*N(INDEX(F_TEL,MATCH($C249,FA,0))))</f>
        <v>0</v>
      </c>
      <c r="AB249" s="7">
        <f>IF(OR(ISNA(MATCH($C249,FA,0)),$J249="YEDEK",$J249="SARF"),0,N(#REF!)*N(INDEX(F_TELM,MATCH($C249,FA,0))))</f>
        <v>0</v>
      </c>
      <c r="AC249" s="7" t="e">
        <f t="shared" si="58"/>
        <v>#REF!</v>
      </c>
      <c r="AD249" s="7">
        <f>IF(OR(ISNA(MATCH($C249,FA,0)),$J249&lt;&gt;"CIKIS"),0,N(INDEX(F_KK,MATCH($C249,FA,0))))</f>
        <v>0</v>
      </c>
      <c r="AE249" s="7">
        <f>IF($AD249=0,0,N(#REF!)*N(INDEX(F_KLN,MATCH($C249,FA,0))))</f>
        <v>0</v>
      </c>
      <c r="AF249" s="7">
        <f>IF($AD249=0,0,N(#REF!)*N(INDEX(F_KPE,MATCH($C249,FA,0))))</f>
        <v>0</v>
      </c>
      <c r="AG249" s="7" t="e">
        <f>IF(ISNA(MATCH($C249,FA,0)),0,N(#REF!)*N(INDEX(F_MODUL,MATCH($C249,FA,0))))</f>
        <v>#REF!</v>
      </c>
      <c r="AH249" s="7" t="e">
        <f>N(#REF!)*N($I249)</f>
        <v>#REF!</v>
      </c>
      <c r="AI249" s="7" t="e">
        <f t="shared" si="59"/>
        <v>#REF!</v>
      </c>
      <c r="AJ249" s="7">
        <f t="shared" si="60"/>
        <v>0</v>
      </c>
    </row>
    <row r="250" spans="1:36" x14ac:dyDescent="0.25">
      <c r="A250" s="4" t="str">
        <f t="shared" si="54"/>
        <v>ЩО-П (260922 akram aulet)</v>
      </c>
      <c r="B250" s="4" t="s">
        <v>101</v>
      </c>
      <c r="C250" s="4" t="s">
        <v>537</v>
      </c>
      <c r="D250" s="4" t="s">
        <v>538</v>
      </c>
      <c r="E250" s="4" t="s">
        <v>522</v>
      </c>
      <c r="F250" s="4" t="s">
        <v>486</v>
      </c>
      <c r="G250" s="4" t="s">
        <v>38</v>
      </c>
      <c r="H250" s="5" t="e">
        <f>#REF!</f>
        <v>#REF!</v>
      </c>
      <c r="I250" s="6" t="e">
        <f t="shared" si="55"/>
        <v>#REF!</v>
      </c>
      <c r="J250" s="6" t="s">
        <v>84</v>
      </c>
      <c r="K250" s="6" t="s">
        <v>101</v>
      </c>
      <c r="L250" s="7" t="e">
        <f t="shared" si="56"/>
        <v>#REF!</v>
      </c>
      <c r="M250" s="7" t="s">
        <v>205</v>
      </c>
      <c r="O250" s="7">
        <f>IF(OR($C250="",$C250="FID YOK"),"",IF(ISNUMBER(MATCH($C250,FA_ANA,0)),"",IF(COUNTIF($C$1:$C249,$C250)&gt;0,"",MAX($O$1:$O249)+1)))</f>
        <v>66</v>
      </c>
      <c r="T250" s="7">
        <f>IF(ISNA(MATCH($C250,FA,0)),0,IF($J250="GIRIS",N(INDEX(F_INKOR,MATCH($C250,FA,0))),0))</f>
        <v>0</v>
      </c>
      <c r="Y250" s="7" t="e">
        <f>N(#REF!)*IF($E250="упак",MAX(1,IF(ISNA(MATCH($C250,FA,0)),1,N(INDEX(F_PAKET,MATCH($C250,FA,0))))),1)</f>
        <v>#REF!</v>
      </c>
      <c r="Z250" s="7" t="e">
        <f t="shared" si="57"/>
        <v>#REF!</v>
      </c>
      <c r="AA250" s="7">
        <f>IF(OR(ISNA(MATCH($C250,FA,0)),$J250="YEDEK",$J250="SARF"),0,N(#REF!)*N(INDEX(F_TEL,MATCH($C250,FA,0))))</f>
        <v>0</v>
      </c>
      <c r="AB250" s="7">
        <f>IF(OR(ISNA(MATCH($C250,FA,0)),$J250="YEDEK",$J250="SARF"),0,N(#REF!)*N(INDEX(F_TELM,MATCH($C250,FA,0))))</f>
        <v>0</v>
      </c>
      <c r="AC250" s="7" t="e">
        <f t="shared" si="58"/>
        <v>#REF!</v>
      </c>
      <c r="AD250" s="7">
        <f>IF(OR(ISNA(MATCH($C250,FA,0)),$J250&lt;&gt;"CIKIS"),0,N(INDEX(F_KK,MATCH($C250,FA,0))))</f>
        <v>0</v>
      </c>
      <c r="AE250" s="7">
        <f>IF($AD250=0,0,N(#REF!)*N(INDEX(F_KLN,MATCH($C250,FA,0))))</f>
        <v>0</v>
      </c>
      <c r="AF250" s="7">
        <f>IF($AD250=0,0,N(#REF!)*N(INDEX(F_KPE,MATCH($C250,FA,0))))</f>
        <v>0</v>
      </c>
      <c r="AG250" s="7" t="e">
        <f>IF(ISNA(MATCH($C250,FA,0)),0,N(#REF!)*N(INDEX(F_MODUL,MATCH($C250,FA,0))))</f>
        <v>#REF!</v>
      </c>
      <c r="AH250" s="7" t="e">
        <f>N(#REF!)*N($I250)</f>
        <v>#REF!</v>
      </c>
      <c r="AI250" s="7" t="e">
        <f t="shared" si="59"/>
        <v>#REF!</v>
      </c>
      <c r="AJ250" s="7">
        <f t="shared" si="60"/>
        <v>0</v>
      </c>
    </row>
    <row r="251" spans="1:36" x14ac:dyDescent="0.25">
      <c r="A251" s="4" t="str">
        <f t="shared" si="54"/>
        <v>ЩО-П (260922 akram aulet)</v>
      </c>
      <c r="B251" s="4" t="s">
        <v>105</v>
      </c>
      <c r="C251" s="4" t="s">
        <v>539</v>
      </c>
      <c r="D251" s="4" t="s">
        <v>540</v>
      </c>
      <c r="E251" s="4" t="s">
        <v>114</v>
      </c>
      <c r="F251" s="4" t="s">
        <v>486</v>
      </c>
      <c r="G251" s="4" t="s">
        <v>38</v>
      </c>
      <c r="H251" s="5" t="e">
        <f>#REF!</f>
        <v>#REF!</v>
      </c>
      <c r="I251" s="6" t="e">
        <f t="shared" si="55"/>
        <v>#REF!</v>
      </c>
      <c r="J251" s="6" t="s">
        <v>84</v>
      </c>
      <c r="K251" s="6" t="s">
        <v>105</v>
      </c>
      <c r="L251" s="7" t="e">
        <f t="shared" si="56"/>
        <v>#REF!</v>
      </c>
      <c r="M251" s="7" t="s">
        <v>110</v>
      </c>
      <c r="O251" s="7" t="str">
        <f>IF(OR($C251="",$C251="FID YOK"),"",IF(ISNUMBER(MATCH($C251,FA_ANA,0)),"",IF(COUNTIF($C$1:$C250,$C251)&gt;0,"",MAX($O$1:$O250)+1)))</f>
        <v/>
      </c>
      <c r="T251" s="7">
        <f>IF(ISNA(MATCH($C251,FA,0)),0,IF($J251="GIRIS",N(INDEX(F_INKOR,MATCH($C251,FA,0))),0))</f>
        <v>0</v>
      </c>
      <c r="Y251" s="7" t="e">
        <f>N(#REF!)*IF($E251="упак",MAX(1,IF(ISNA(MATCH($C251,FA,0)),1,N(INDEX(F_PAKET,MATCH($C251,FA,0))))),1)</f>
        <v>#REF!</v>
      </c>
      <c r="Z251" s="7" t="e">
        <f t="shared" si="57"/>
        <v>#REF!</v>
      </c>
      <c r="AA251" s="7">
        <f>IF(OR(ISNA(MATCH($C251,FA,0)),$J251="YEDEK",$J251="SARF"),0,N(#REF!)*N(INDEX(F_TEL,MATCH($C251,FA,0))))</f>
        <v>0</v>
      </c>
      <c r="AB251" s="7">
        <f>IF(OR(ISNA(MATCH($C251,FA,0)),$J251="YEDEK",$J251="SARF"),0,N(#REF!)*N(INDEX(F_TELM,MATCH($C251,FA,0))))</f>
        <v>0</v>
      </c>
      <c r="AC251" s="7" t="e">
        <f t="shared" si="58"/>
        <v>#REF!</v>
      </c>
      <c r="AD251" s="7">
        <f>IF(OR(ISNA(MATCH($C251,FA,0)),$J251&lt;&gt;"CIKIS"),0,N(INDEX(F_KK,MATCH($C251,FA,0))))</f>
        <v>0</v>
      </c>
      <c r="AE251" s="7">
        <f>IF($AD251=0,0,N(#REF!)*N(INDEX(F_KLN,MATCH($C251,FA,0))))</f>
        <v>0</v>
      </c>
      <c r="AF251" s="7">
        <f>IF($AD251=0,0,N(#REF!)*N(INDEX(F_KPE,MATCH($C251,FA,0))))</f>
        <v>0</v>
      </c>
      <c r="AG251" s="7" t="e">
        <f>IF(ISNA(MATCH($C251,FA,0)),0,N(#REF!)*N(INDEX(F_MODUL,MATCH($C251,FA,0))))</f>
        <v>#REF!</v>
      </c>
      <c r="AH251" s="7" t="e">
        <f>N(#REF!)*N($I251)</f>
        <v>#REF!</v>
      </c>
      <c r="AI251" s="7" t="e">
        <f t="shared" si="59"/>
        <v>#REF!</v>
      </c>
      <c r="AJ251" s="7">
        <f t="shared" si="60"/>
        <v>0</v>
      </c>
    </row>
    <row r="252" spans="1:36" x14ac:dyDescent="0.25">
      <c r="A252" s="4" t="str">
        <f t="shared" si="54"/>
        <v>ЩО-П (260922 akram aulet)</v>
      </c>
      <c r="B252" s="4" t="s">
        <v>111</v>
      </c>
      <c r="C252" s="4" t="s">
        <v>571</v>
      </c>
      <c r="D252" s="4" t="s">
        <v>572</v>
      </c>
      <c r="E252" s="4" t="s">
        <v>522</v>
      </c>
      <c r="F252" s="4" t="s">
        <v>486</v>
      </c>
      <c r="G252" s="4" t="s">
        <v>38</v>
      </c>
      <c r="H252" s="5" t="e">
        <f>#REF!</f>
        <v>#REF!</v>
      </c>
      <c r="I252" s="6" t="e">
        <f t="shared" si="55"/>
        <v>#REF!</v>
      </c>
      <c r="J252" s="6" t="s">
        <v>84</v>
      </c>
      <c r="K252" s="6" t="s">
        <v>111</v>
      </c>
      <c r="L252" s="7" t="e">
        <f t="shared" si="56"/>
        <v>#REF!</v>
      </c>
      <c r="M252" s="7" t="s">
        <v>112</v>
      </c>
      <c r="O252" s="7" t="str">
        <f>IF(OR($C252="",$C252="FID YOK"),"",IF(ISNUMBER(MATCH($C252,FA_ANA,0)),"",IF(COUNTIF($C$1:$C251,$C252)&gt;0,"",MAX($O$1:$O251)+1)))</f>
        <v/>
      </c>
      <c r="T252" s="7">
        <f>IF(ISNA(MATCH($C252,FA,0)),0,IF($J252="GIRIS",N(INDEX(F_INKOR,MATCH($C252,FA,0))),0))</f>
        <v>0</v>
      </c>
      <c r="Y252" s="7" t="e">
        <f>N(#REF!)*IF($E252="упак",MAX(1,IF(ISNA(MATCH($C252,FA,0)),1,N(INDEX(F_PAKET,MATCH($C252,FA,0))))),1)</f>
        <v>#REF!</v>
      </c>
      <c r="Z252" s="7" t="e">
        <f t="shared" si="57"/>
        <v>#REF!</v>
      </c>
      <c r="AA252" s="7">
        <f>IF(OR(ISNA(MATCH($C252,FA,0)),$J252="YEDEK",$J252="SARF"),0,N(#REF!)*N(INDEX(F_TEL,MATCH($C252,FA,0))))</f>
        <v>0</v>
      </c>
      <c r="AB252" s="7">
        <f>IF(OR(ISNA(MATCH($C252,FA,0)),$J252="YEDEK",$J252="SARF"),0,N(#REF!)*N(INDEX(F_TELM,MATCH($C252,FA,0))))</f>
        <v>0</v>
      </c>
      <c r="AC252" s="7" t="e">
        <f t="shared" si="58"/>
        <v>#REF!</v>
      </c>
      <c r="AD252" s="7">
        <f>IF(OR(ISNA(MATCH($C252,FA,0)),$J252&lt;&gt;"CIKIS"),0,N(INDEX(F_KK,MATCH($C252,FA,0))))</f>
        <v>0</v>
      </c>
      <c r="AE252" s="7">
        <f>IF($AD252=0,0,N(#REF!)*N(INDEX(F_KLN,MATCH($C252,FA,0))))</f>
        <v>0</v>
      </c>
      <c r="AF252" s="7">
        <f>IF($AD252=0,0,N(#REF!)*N(INDEX(F_KPE,MATCH($C252,FA,0))))</f>
        <v>0</v>
      </c>
      <c r="AG252" s="7" t="e">
        <f>IF(ISNA(MATCH($C252,FA,0)),0,N(#REF!)*N(INDEX(F_MODUL,MATCH($C252,FA,0))))</f>
        <v>#REF!</v>
      </c>
      <c r="AH252" s="7" t="e">
        <f>N(#REF!)*N($I252)</f>
        <v>#REF!</v>
      </c>
      <c r="AI252" s="7" t="e">
        <f t="shared" si="59"/>
        <v>#REF!</v>
      </c>
      <c r="AJ252" s="7">
        <f t="shared" si="60"/>
        <v>0</v>
      </c>
    </row>
    <row r="253" spans="1:36" x14ac:dyDescent="0.25">
      <c r="A253" s="4" t="str">
        <f t="shared" si="54"/>
        <v>ЩО-П (260922 akram aulet)</v>
      </c>
      <c r="B253" s="4" t="s">
        <v>113</v>
      </c>
      <c r="C253" s="4" t="s">
        <v>113</v>
      </c>
      <c r="D253" s="4" t="s">
        <v>113</v>
      </c>
      <c r="E253" s="4" t="s">
        <v>114</v>
      </c>
      <c r="F253" s="4" t="s">
        <v>113</v>
      </c>
      <c r="G253" s="4" t="s">
        <v>38</v>
      </c>
      <c r="H253" s="5" t="e">
        <f>#REF!</f>
        <v>#REF!</v>
      </c>
      <c r="I253" s="6" t="e">
        <f t="shared" si="55"/>
        <v>#REF!</v>
      </c>
    </row>
    <row r="254" spans="1:36" x14ac:dyDescent="0.25">
      <c r="A254" s="4" t="str">
        <f t="shared" si="54"/>
        <v>ЩО-П (260922 akram aulet)</v>
      </c>
      <c r="B254" s="4" t="s">
        <v>115</v>
      </c>
      <c r="C254" s="4" t="s">
        <v>115</v>
      </c>
      <c r="D254" s="4" t="s">
        <v>115</v>
      </c>
      <c r="E254" s="4" t="s">
        <v>116</v>
      </c>
      <c r="F254" s="4" t="s">
        <v>115</v>
      </c>
      <c r="G254" s="4" t="s">
        <v>38</v>
      </c>
      <c r="H254" s="5" t="e">
        <f>#REF!</f>
        <v>#REF!</v>
      </c>
      <c r="I254" s="6" t="e">
        <f t="shared" si="55"/>
        <v>#REF!</v>
      </c>
    </row>
    <row r="255" spans="1:36" x14ac:dyDescent="0.25">
      <c r="A255" s="1" t="str">
        <f>D255</f>
        <v>ЩАО-П (260922 akram aulet)</v>
      </c>
      <c r="B255" s="12"/>
      <c r="C255" s="2"/>
      <c r="D255" s="1" t="s">
        <v>206</v>
      </c>
      <c r="E255" s="1" t="s">
        <v>36</v>
      </c>
      <c r="F255" s="1" t="s">
        <v>37</v>
      </c>
      <c r="G255" s="1" t="s">
        <v>38</v>
      </c>
      <c r="I255" s="3" t="e">
        <f>#REF!</f>
        <v>#REF!</v>
      </c>
    </row>
    <row r="256" spans="1:36" x14ac:dyDescent="0.25">
      <c r="A256" s="4" t="str">
        <f t="shared" ref="A256:A269" si="61">A255</f>
        <v>ЩАО-П (260922 akram aulet)</v>
      </c>
      <c r="B256" s="4" t="s">
        <v>39</v>
      </c>
      <c r="C256" s="4" t="s">
        <v>506</v>
      </c>
      <c r="D256" s="4" t="s">
        <v>507</v>
      </c>
      <c r="E256" s="4" t="s">
        <v>114</v>
      </c>
      <c r="F256" s="4" t="s">
        <v>591</v>
      </c>
      <c r="G256" s="4" t="s">
        <v>38</v>
      </c>
      <c r="H256" s="5" t="e">
        <f>#REF!</f>
        <v>#REF!</v>
      </c>
      <c r="I256" s="6" t="e">
        <f t="shared" ref="I256:I269" si="62">I255</f>
        <v>#REF!</v>
      </c>
      <c r="J256" s="6" t="s">
        <v>40</v>
      </c>
      <c r="K256" s="6" t="s">
        <v>195</v>
      </c>
      <c r="L256" s="7" t="e">
        <f t="shared" ref="L256:L267" si="63">IF(ISNA(MATCH($C256,FA,0)),"ARTİKÜL YOK",INDEX(FIYAT_DURUM,MATCH($C256,FA,0)))</f>
        <v>#REF!</v>
      </c>
      <c r="M256" s="7" t="s">
        <v>207</v>
      </c>
      <c r="N256" s="7" t="s">
        <v>197</v>
      </c>
      <c r="O256" s="7" t="str">
        <f>IF(OR($C256="",$C256="FID YOK"),"",IF(ISNUMBER(MATCH($C256,FA_ANA,0)),"",IF(COUNTIF($C$1:$C255,$C256)&gt;0,"",MAX($O$1:$O255)+1)))</f>
        <v/>
      </c>
      <c r="Q256" s="7"/>
      <c r="R256" s="7"/>
      <c r="S256" s="7"/>
      <c r="T256" s="7">
        <f>IF(ISNA(MATCH($C256,FA,0)),0,IF($J256="GIRIS",N(INDEX(F_INKOR,MATCH($C256,FA,0))),0))</f>
        <v>0</v>
      </c>
      <c r="U256" s="7"/>
      <c r="V256" s="7"/>
      <c r="W256" s="7"/>
      <c r="X256" s="7"/>
      <c r="Y256" s="7" t="e">
        <f>N(#REF!)*IF($E256="упак",MAX(1,IF(ISNA(MATCH($C256,FA,0)),1,N(INDEX(F_PAKET,MATCH($C256,FA,0))))),1)</f>
        <v>#REF!</v>
      </c>
      <c r="Z256" s="7" t="e">
        <f t="shared" ref="Z256:Z267" si="64">IF(ISNA(MATCH($C256,FA,0)),0,N(INDEX(F_BK,MATCH($C256,FA,0))))</f>
        <v>#REF!</v>
      </c>
      <c r="AA256" s="7" t="e">
        <f>IF(OR(ISNA(MATCH($C256,FA,0)),$J256="YEDEK",$J256="SARF"),0,N(#REF!)*N(INDEX(F_TEL,MATCH($C256,FA,0))))</f>
        <v>#REF!</v>
      </c>
      <c r="AB256" s="7" t="e">
        <f>IF(OR(ISNA(MATCH($C256,FA,0)),$J256="YEDEK",$J256="SARF"),0,N(#REF!)*N(INDEX(F_TELM,MATCH($C256,FA,0))))</f>
        <v>#REF!</v>
      </c>
      <c r="AC256" s="7" t="e">
        <f t="shared" ref="AC256:AC267" si="65">IF(ISNA(MATCH($C256,FA,0)),"",INDEX(F_UC,MATCH($C256,FA,0))&amp;"")</f>
        <v>#REF!</v>
      </c>
      <c r="AD256" s="7">
        <f>IF(OR(ISNA(MATCH($C256,FA,0)),$J256&lt;&gt;"CIKIS"),0,N(INDEX(F_KK,MATCH($C256,FA,0))))</f>
        <v>0</v>
      </c>
      <c r="AE256" s="7">
        <f>IF($AD256=0,0,N(#REF!)*N(INDEX(F_KLN,MATCH($C256,FA,0))))</f>
        <v>0</v>
      </c>
      <c r="AF256" s="7">
        <f>IF($AD256=0,0,N(#REF!)*N(INDEX(F_KPE,MATCH($C256,FA,0))))</f>
        <v>0</v>
      </c>
      <c r="AG256" s="7" t="e">
        <f>IF(ISNA(MATCH($C256,FA,0)),0,N(#REF!)*N(INDEX(F_MODUL,MATCH($C256,FA,0))))</f>
        <v>#REF!</v>
      </c>
      <c r="AH256" s="7" t="e">
        <f>N(#REF!)*N($I256)</f>
        <v>#REF!</v>
      </c>
      <c r="AI256" s="7" t="e">
        <f t="shared" ref="AI256:AI267" si="66">IF(ISNA(MATCH($K256,TIP_AD,0)),"YOK",IF(INDEX(NORM_DK,MATCH($K256,TIP_AD,0))="","BOŞ",INDEX(NORM_DK,MATCH($K256,TIP_AD,0))))</f>
        <v>#REF!</v>
      </c>
      <c r="AJ256" s="7">
        <f t="shared" ref="AJ256:AJ267" si="67">IF(ISNUMBER($AI256),$Y256*$AI256,0)</f>
        <v>0</v>
      </c>
    </row>
    <row r="257" spans="1:36" x14ac:dyDescent="0.25">
      <c r="A257" s="4" t="str">
        <f t="shared" si="61"/>
        <v>ЩАО-П (260922 akram aulet)</v>
      </c>
      <c r="B257" s="4" t="s">
        <v>198</v>
      </c>
      <c r="C257" s="4" t="s">
        <v>380</v>
      </c>
      <c r="D257" s="4" t="s">
        <v>381</v>
      </c>
      <c r="E257" s="4" t="s">
        <v>114</v>
      </c>
      <c r="F257" s="4" t="s">
        <v>377</v>
      </c>
      <c r="G257" s="4" t="s">
        <v>38</v>
      </c>
      <c r="H257" s="5" t="e">
        <f>#REF!</f>
        <v>#REF!</v>
      </c>
      <c r="I257" s="6" t="e">
        <f t="shared" si="62"/>
        <v>#REF!</v>
      </c>
      <c r="J257" s="6" t="s">
        <v>48</v>
      </c>
      <c r="K257" s="6" t="s">
        <v>198</v>
      </c>
      <c r="L257" s="7" t="e">
        <f t="shared" si="63"/>
        <v>#REF!</v>
      </c>
      <c r="M257" s="7" t="s">
        <v>208</v>
      </c>
      <c r="N257" s="7" t="s">
        <v>200</v>
      </c>
      <c r="O257" s="7" t="str">
        <f>IF(OR($C257="",$C257="FID YOK"),"",IF(ISNUMBER(MATCH($C257,FA_ANA,0)),"",IF(COUNTIF($C$1:$C256,$C257)&gt;0,"",MAX($O$1:$O256)+1)))</f>
        <v/>
      </c>
      <c r="P257" s="8">
        <v>1</v>
      </c>
      <c r="Q257" s="7" t="e">
        <f>IF(OR($P257="",$P257="G",ISNA(MATCH($C257,FA,0))),"",IF(N(INDEX(F_G,MATCH($C257,FA,0)))&gt;0,INDEX(F_G,MATCH($C257,FA,0)),IF(N(INDEX(F_MODUL,MATCH($C257,FA,0)))&gt;0,INDEX(F_MODUL,MATCH($C257,FA,0))*MODUL_MM,"")))</f>
        <v>#REF!</v>
      </c>
      <c r="R257" s="7" t="e">
        <f>IF(OR($P257="",$P257="G",ISNA(MATCH($C257,FA,0))),"",IF(N(INDEX(F_Y,MATCH($C257,FA,0)))&gt;0,INDEX(F_Y,MATCH($C257,FA,0)),""))</f>
        <v>#REF!</v>
      </c>
      <c r="S257" s="7" t="e">
        <f>IF(OR($P257="",$P257="G",ISNA(MATCH($C257,FA,0))),"",IF(N(INDEX(F_D,MATCH($C257,FA,0)))&gt;0,INDEX(F_D,MATCH($C257,FA,0)),""))</f>
        <v>#REF!</v>
      </c>
      <c r="T257" s="7" t="e">
        <f>IF(ISNA(MATCH($C257,FA,0)),0,IF($J257="GIRIS",N(INDEX(F_INKOR,MATCH($C257,FA,0))),0))</f>
        <v>#REF!</v>
      </c>
      <c r="U257" s="7" t="e">
        <f>IF(ISNA(MATCH($B257,TIP_AD,0)),"",INDEX(TIP_KAT,MATCH($B257,TIP_AD,0))&amp;"")</f>
        <v>#REF!</v>
      </c>
      <c r="V257" s="7" t="e">
        <f>IF(NOT(ISNUMBER($P257)),"",IF($Z257=0,0,IF(ISNA(MATCH($Z257,BUK_KESIT,0)),"",IF(INDEX(BUK_ALAN,MATCH($Z257,BUK_KESIT,0))&amp;""="","",INDEX(BUK_ALAN,MATCH($Z257,BUK_KESIT,0))))))</f>
        <v>#REF!</v>
      </c>
      <c r="W257" s="7" t="e">
        <f>IF(OR(NOT(ISNUMBER($P257)),$Q257=""),"",N(#REF!)*($Q257+IF(ISNA(MATCH($B257,TIP_AD,0)),0,N(INDEX(TIP_BOSLUK,MATCH($B257,TIP_AD,0))))))</f>
        <v>#REF!</v>
      </c>
      <c r="X257" s="7" t="e">
        <f>IF(ISNUMBER($P257),($Q257="")+($R257="")+($V257="")+IF(AND($U257="KONTAKTOR",NOT(ISNA(MATCH($B257,TIP_AD,0)))),IF(INDEX(TIP_BOSLUK,MATCH($B257,TIP_AD,0))&amp;""="",1,0),0),IF($P257="K",IF($S257="",1,0),0))</f>
        <v>#REF!</v>
      </c>
      <c r="Y257" s="7" t="e">
        <f>N(#REF!)*IF($E257="упак",MAX(1,IF(ISNA(MATCH($C257,FA,0)),1,N(INDEX(F_PAKET,MATCH($C257,FA,0))))),1)</f>
        <v>#REF!</v>
      </c>
      <c r="Z257" s="7" t="e">
        <f t="shared" si="64"/>
        <v>#REF!</v>
      </c>
      <c r="AA257" s="7" t="e">
        <f>IF(OR(ISNA(MATCH($C257,FA,0)),$J257="YEDEK",$J257="SARF"),0,N(#REF!)*N(INDEX(F_TEL,MATCH($C257,FA,0))))</f>
        <v>#REF!</v>
      </c>
      <c r="AB257" s="7" t="e">
        <f>IF(OR(ISNA(MATCH($C257,FA,0)),$J257="YEDEK",$J257="SARF"),0,N(#REF!)*N(INDEX(F_TELM,MATCH($C257,FA,0))))</f>
        <v>#REF!</v>
      </c>
      <c r="AC257" s="7" t="e">
        <f t="shared" si="65"/>
        <v>#REF!</v>
      </c>
      <c r="AD257" s="7">
        <f>IF(OR(ISNA(MATCH($C257,FA,0)),$J257&lt;&gt;"CIKIS"),0,N(INDEX(F_KK,MATCH($C257,FA,0))))</f>
        <v>0</v>
      </c>
      <c r="AE257" s="7">
        <f>IF($AD257=0,0,N(#REF!)*N(INDEX(F_KLN,MATCH($C257,FA,0))))</f>
        <v>0</v>
      </c>
      <c r="AF257" s="7">
        <f>IF($AD257=0,0,N(#REF!)*N(INDEX(F_KPE,MATCH($C257,FA,0))))</f>
        <v>0</v>
      </c>
      <c r="AG257" s="7" t="e">
        <f>IF(ISNA(MATCH($C257,FA,0)),0,N(#REF!)*N(INDEX(F_MODUL,MATCH($C257,FA,0))))</f>
        <v>#REF!</v>
      </c>
      <c r="AH257" s="7" t="e">
        <f>N(#REF!)*N($I257)</f>
        <v>#REF!</v>
      </c>
      <c r="AI257" s="7" t="e">
        <f t="shared" si="66"/>
        <v>#REF!</v>
      </c>
      <c r="AJ257" s="7">
        <f t="shared" si="67"/>
        <v>0</v>
      </c>
    </row>
    <row r="258" spans="1:36" x14ac:dyDescent="0.25">
      <c r="A258" s="4" t="str">
        <f t="shared" si="61"/>
        <v>ЩАО-П (260922 akram aulet)</v>
      </c>
      <c r="B258" s="4" t="s">
        <v>65</v>
      </c>
      <c r="C258" s="4" t="s">
        <v>384</v>
      </c>
      <c r="D258" s="4" t="s">
        <v>385</v>
      </c>
      <c r="E258" s="4" t="s">
        <v>114</v>
      </c>
      <c r="F258" s="4" t="s">
        <v>377</v>
      </c>
      <c r="G258" s="4" t="s">
        <v>38</v>
      </c>
      <c r="H258" s="5" t="e">
        <f>#REF!</f>
        <v>#REF!</v>
      </c>
      <c r="I258" s="6" t="e">
        <f t="shared" si="62"/>
        <v>#REF!</v>
      </c>
      <c r="J258" s="6" t="s">
        <v>52</v>
      </c>
      <c r="K258" s="6" t="s">
        <v>65</v>
      </c>
      <c r="L258" s="7" t="e">
        <f t="shared" si="63"/>
        <v>#REF!</v>
      </c>
      <c r="N258" s="7" t="s">
        <v>201</v>
      </c>
      <c r="O258" s="7" t="str">
        <f>IF(OR($C258="",$C258="FID YOK"),"",IF(ISNUMBER(MATCH($C258,FA_ANA,0)),"",IF(COUNTIF($C$1:$C257,$C258)&gt;0,"",MAX($O$1:$O257)+1)))</f>
        <v/>
      </c>
      <c r="P258" s="8">
        <v>1</v>
      </c>
      <c r="Q258" s="7" t="e">
        <f>IF(OR($P258="",$P258="G",ISNA(MATCH($C258,FA,0))),"",IF(N(INDEX(F_G,MATCH($C258,FA,0)))&gt;0,INDEX(F_G,MATCH($C258,FA,0)),IF(N(INDEX(F_MODUL,MATCH($C258,FA,0)))&gt;0,INDEX(F_MODUL,MATCH($C258,FA,0))*MODUL_MM,"")))</f>
        <v>#REF!</v>
      </c>
      <c r="R258" s="7" t="e">
        <f>IF(OR($P258="",$P258="G",ISNA(MATCH($C258,FA,0))),"",IF(N(INDEX(F_Y,MATCH($C258,FA,0)))&gt;0,INDEX(F_Y,MATCH($C258,FA,0)),""))</f>
        <v>#REF!</v>
      </c>
      <c r="S258" s="7" t="e">
        <f>IF(OR($P258="",$P258="G",ISNA(MATCH($C258,FA,0))),"",IF(N(INDEX(F_D,MATCH($C258,FA,0)))&gt;0,INDEX(F_D,MATCH($C258,FA,0)),""))</f>
        <v>#REF!</v>
      </c>
      <c r="T258" s="7">
        <f>IF(ISNA(MATCH($C258,FA,0)),0,IF($J258="GIRIS",N(INDEX(F_INKOR,MATCH($C258,FA,0))),0))</f>
        <v>0</v>
      </c>
      <c r="U258" s="7" t="e">
        <f>IF(ISNA(MATCH($B258,TIP_AD,0)),"",INDEX(TIP_KAT,MATCH($B258,TIP_AD,0))&amp;"")</f>
        <v>#REF!</v>
      </c>
      <c r="V258" s="7" t="e">
        <f>IF(NOT(ISNUMBER($P258)),"",IF($Z258=0,0,IF(ISNA(MATCH($Z258,BUK_KESIT,0)),"",IF(INDEX(BUK_ALAN,MATCH($Z258,BUK_KESIT,0))&amp;""="","",INDEX(BUK_ALAN,MATCH($Z258,BUK_KESIT,0))))))</f>
        <v>#REF!</v>
      </c>
      <c r="W258" s="7" t="e">
        <f>IF(OR(NOT(ISNUMBER($P258)),$Q258=""),"",N(#REF!)*($Q258+IF(ISNA(MATCH($B258,TIP_AD,0)),0,N(INDEX(TIP_BOSLUK,MATCH($B258,TIP_AD,0))))))</f>
        <v>#REF!</v>
      </c>
      <c r="X258" s="7" t="e">
        <f>IF(ISNUMBER($P258),($Q258="")+($R258="")+($V258="")+IF(AND($U258="KONTAKTOR",NOT(ISNA(MATCH($B258,TIP_AD,0)))),IF(INDEX(TIP_BOSLUK,MATCH($B258,TIP_AD,0))&amp;""="",1,0),0),IF($P258="K",IF($S258="",1,0),0))</f>
        <v>#REF!</v>
      </c>
      <c r="Y258" s="7" t="e">
        <f>N(#REF!)*IF($E258="упак",MAX(1,IF(ISNA(MATCH($C258,FA,0)),1,N(INDEX(F_PAKET,MATCH($C258,FA,0))))),1)</f>
        <v>#REF!</v>
      </c>
      <c r="Z258" s="7" t="e">
        <f t="shared" si="64"/>
        <v>#REF!</v>
      </c>
      <c r="AA258" s="7" t="e">
        <f>IF(OR(ISNA(MATCH($C258,FA,0)),$J258="YEDEK",$J258="SARF"),0,N(#REF!)*N(INDEX(F_TEL,MATCH($C258,FA,0))))</f>
        <v>#REF!</v>
      </c>
      <c r="AB258" s="7" t="e">
        <f>IF(OR(ISNA(MATCH($C258,FA,0)),$J258="YEDEK",$J258="SARF"),0,N(#REF!)*N(INDEX(F_TELM,MATCH($C258,FA,0))))</f>
        <v>#REF!</v>
      </c>
      <c r="AC258" s="7" t="e">
        <f t="shared" si="65"/>
        <v>#REF!</v>
      </c>
      <c r="AD258" s="7" t="e">
        <f>IF(OR(ISNA(MATCH($C258,FA,0)),$J258&lt;&gt;"CIKIS"),0,N(INDEX(F_KK,MATCH($C258,FA,0))))</f>
        <v>#REF!</v>
      </c>
      <c r="AE258" s="7" t="e">
        <f>IF($AD258=0,0,N(#REF!)*N(INDEX(F_KLN,MATCH($C258,FA,0))))</f>
        <v>#REF!</v>
      </c>
      <c r="AF258" s="7" t="e">
        <f>IF($AD258=0,0,N(#REF!)*N(INDEX(F_KPE,MATCH($C258,FA,0))))</f>
        <v>#REF!</v>
      </c>
      <c r="AG258" s="7" t="e">
        <f>IF(ISNA(MATCH($C258,FA,0)),0,N(#REF!)*N(INDEX(F_MODUL,MATCH($C258,FA,0))))</f>
        <v>#REF!</v>
      </c>
      <c r="AH258" s="7" t="e">
        <f>N(#REF!)*N($I258)</f>
        <v>#REF!</v>
      </c>
      <c r="AI258" s="7" t="e">
        <f t="shared" si="66"/>
        <v>#REF!</v>
      </c>
      <c r="AJ258" s="7">
        <f t="shared" si="67"/>
        <v>0</v>
      </c>
    </row>
    <row r="259" spans="1:36" x14ac:dyDescent="0.25">
      <c r="A259" s="4" t="str">
        <f t="shared" si="61"/>
        <v>ЩАО-П (260922 akram aulet)</v>
      </c>
      <c r="B259" s="4" t="s">
        <v>202</v>
      </c>
      <c r="C259" s="4" t="s">
        <v>575</v>
      </c>
      <c r="D259" s="4" t="s">
        <v>576</v>
      </c>
      <c r="E259" s="4" t="s">
        <v>114</v>
      </c>
      <c r="F259" s="4" t="s">
        <v>486</v>
      </c>
      <c r="G259" s="4" t="s">
        <v>38</v>
      </c>
      <c r="H259" s="5" t="e">
        <f>#REF!</f>
        <v>#REF!</v>
      </c>
      <c r="I259" s="6" t="e">
        <f t="shared" si="62"/>
        <v>#REF!</v>
      </c>
      <c r="J259" s="6" t="s">
        <v>84</v>
      </c>
      <c r="K259" s="6" t="s">
        <v>202</v>
      </c>
      <c r="L259" s="7" t="e">
        <f t="shared" si="63"/>
        <v>#REF!</v>
      </c>
      <c r="M259" s="7" t="s">
        <v>203</v>
      </c>
      <c r="O259" s="7" t="str">
        <f>IF(OR($C259="",$C259="FID YOK"),"",IF(ISNUMBER(MATCH($C259,FA_ANA,0)),"",IF(COUNTIF($C$1:$C258,$C259)&gt;0,"",MAX($O$1:$O258)+1)))</f>
        <v/>
      </c>
      <c r="T259" s="7">
        <f>IF(ISNA(MATCH($C259,FA,0)),0,IF($J259="GIRIS",N(INDEX(F_INKOR,MATCH($C259,FA,0))),0))</f>
        <v>0</v>
      </c>
      <c r="Y259" s="7" t="e">
        <f>N(#REF!)*IF($E259="упак",MAX(1,IF(ISNA(MATCH($C259,FA,0)),1,N(INDEX(F_PAKET,MATCH($C259,FA,0))))),1)</f>
        <v>#REF!</v>
      </c>
      <c r="Z259" s="7" t="e">
        <f t="shared" si="64"/>
        <v>#REF!</v>
      </c>
      <c r="AA259" s="7">
        <f>IF(OR(ISNA(MATCH($C259,FA,0)),$J259="YEDEK",$J259="SARF"),0,N(#REF!)*N(INDEX(F_TEL,MATCH($C259,FA,0))))</f>
        <v>0</v>
      </c>
      <c r="AB259" s="7">
        <f>IF(OR(ISNA(MATCH($C259,FA,0)),$J259="YEDEK",$J259="SARF"),0,N(#REF!)*N(INDEX(F_TELM,MATCH($C259,FA,0))))</f>
        <v>0</v>
      </c>
      <c r="AC259" s="7" t="e">
        <f t="shared" si="65"/>
        <v>#REF!</v>
      </c>
      <c r="AD259" s="7">
        <f>IF(OR(ISNA(MATCH($C259,FA,0)),$J259&lt;&gt;"CIKIS"),0,N(INDEX(F_KK,MATCH($C259,FA,0))))</f>
        <v>0</v>
      </c>
      <c r="AE259" s="7">
        <f>IF($AD259=0,0,N(#REF!)*N(INDEX(F_KLN,MATCH($C259,FA,0))))</f>
        <v>0</v>
      </c>
      <c r="AF259" s="7">
        <f>IF($AD259=0,0,N(#REF!)*N(INDEX(F_KPE,MATCH($C259,FA,0))))</f>
        <v>0</v>
      </c>
      <c r="AG259" s="7" t="e">
        <f>IF(ISNA(MATCH($C259,FA,0)),0,N(#REF!)*N(INDEX(F_MODUL,MATCH($C259,FA,0))))</f>
        <v>#REF!</v>
      </c>
      <c r="AH259" s="7" t="e">
        <f>N(#REF!)*N($I259)</f>
        <v>#REF!</v>
      </c>
      <c r="AI259" s="7" t="e">
        <f t="shared" si="66"/>
        <v>#REF!</v>
      </c>
      <c r="AJ259" s="7">
        <f t="shared" si="67"/>
        <v>0</v>
      </c>
    </row>
    <row r="260" spans="1:36" x14ac:dyDescent="0.25">
      <c r="A260" s="4" t="str">
        <f t="shared" si="61"/>
        <v>ЩАО-П (260922 akram aulet)</v>
      </c>
      <c r="B260" s="4" t="s">
        <v>202</v>
      </c>
      <c r="C260" s="4" t="s">
        <v>575</v>
      </c>
      <c r="D260" s="4" t="s">
        <v>576</v>
      </c>
      <c r="E260" s="4" t="s">
        <v>114</v>
      </c>
      <c r="F260" s="4" t="s">
        <v>486</v>
      </c>
      <c r="G260" s="4" t="s">
        <v>38</v>
      </c>
      <c r="H260" s="5" t="e">
        <f>#REF!</f>
        <v>#REF!</v>
      </c>
      <c r="I260" s="6" t="e">
        <f t="shared" si="62"/>
        <v>#REF!</v>
      </c>
      <c r="J260" s="6" t="s">
        <v>84</v>
      </c>
      <c r="K260" s="6" t="s">
        <v>202</v>
      </c>
      <c r="L260" s="7" t="e">
        <f t="shared" si="63"/>
        <v>#REF!</v>
      </c>
      <c r="M260" s="7" t="s">
        <v>204</v>
      </c>
      <c r="O260" s="7" t="str">
        <f>IF(OR($C260="",$C260="FID YOK"),"",IF(ISNUMBER(MATCH($C260,FA_ANA,0)),"",IF(COUNTIF($C$1:$C259,$C260)&gt;0,"",MAX($O$1:$O259)+1)))</f>
        <v/>
      </c>
      <c r="T260" s="7">
        <f>IF(ISNA(MATCH($C260,FA,0)),0,IF($J260="GIRIS",N(INDEX(F_INKOR,MATCH($C260,FA,0))),0))</f>
        <v>0</v>
      </c>
      <c r="Y260" s="7" t="e">
        <f>N(#REF!)*IF($E260="упак",MAX(1,IF(ISNA(MATCH($C260,FA,0)),1,N(INDEX(F_PAKET,MATCH($C260,FA,0))))),1)</f>
        <v>#REF!</v>
      </c>
      <c r="Z260" s="7" t="e">
        <f t="shared" si="64"/>
        <v>#REF!</v>
      </c>
      <c r="AA260" s="7">
        <f>IF(OR(ISNA(MATCH($C260,FA,0)),$J260="YEDEK",$J260="SARF"),0,N(#REF!)*N(INDEX(F_TEL,MATCH($C260,FA,0))))</f>
        <v>0</v>
      </c>
      <c r="AB260" s="7">
        <f>IF(OR(ISNA(MATCH($C260,FA,0)),$J260="YEDEK",$J260="SARF"),0,N(#REF!)*N(INDEX(F_TELM,MATCH($C260,FA,0))))</f>
        <v>0</v>
      </c>
      <c r="AC260" s="7" t="e">
        <f t="shared" si="65"/>
        <v>#REF!</v>
      </c>
      <c r="AD260" s="7">
        <f>IF(OR(ISNA(MATCH($C260,FA,0)),$J260&lt;&gt;"CIKIS"),0,N(INDEX(F_KK,MATCH($C260,FA,0))))</f>
        <v>0</v>
      </c>
      <c r="AE260" s="7">
        <f>IF($AD260=0,0,N(#REF!)*N(INDEX(F_KLN,MATCH($C260,FA,0))))</f>
        <v>0</v>
      </c>
      <c r="AF260" s="7">
        <f>IF($AD260=0,0,N(#REF!)*N(INDEX(F_KPE,MATCH($C260,FA,0))))</f>
        <v>0</v>
      </c>
      <c r="AG260" s="7" t="e">
        <f>IF(ISNA(MATCH($C260,FA,0)),0,N(#REF!)*N(INDEX(F_MODUL,MATCH($C260,FA,0))))</f>
        <v>#REF!</v>
      </c>
      <c r="AH260" s="7" t="e">
        <f>N(#REF!)*N($I260)</f>
        <v>#REF!</v>
      </c>
      <c r="AI260" s="7" t="e">
        <f t="shared" si="66"/>
        <v>#REF!</v>
      </c>
      <c r="AJ260" s="7">
        <f t="shared" si="67"/>
        <v>0</v>
      </c>
    </row>
    <row r="261" spans="1:36" x14ac:dyDescent="0.25">
      <c r="A261" s="4" t="str">
        <f t="shared" si="61"/>
        <v>ЩАО-П (260922 akram aulet)</v>
      </c>
      <c r="B261" s="4" t="s">
        <v>92</v>
      </c>
      <c r="C261" s="4" t="s">
        <v>523</v>
      </c>
      <c r="D261" s="4" t="s">
        <v>524</v>
      </c>
      <c r="E261" s="4" t="s">
        <v>520</v>
      </c>
      <c r="F261" s="4" t="s">
        <v>521</v>
      </c>
      <c r="G261" s="4" t="s">
        <v>38</v>
      </c>
      <c r="H261" s="5" t="e">
        <f>#REF!</f>
        <v>#REF!</v>
      </c>
      <c r="I261" s="6" t="e">
        <f t="shared" si="62"/>
        <v>#REF!</v>
      </c>
      <c r="J261" s="6" t="s">
        <v>84</v>
      </c>
      <c r="K261" s="6" t="s">
        <v>92</v>
      </c>
      <c r="L261" s="7" t="e">
        <f t="shared" si="63"/>
        <v>#REF!</v>
      </c>
      <c r="M261" s="7" t="s">
        <v>93</v>
      </c>
      <c r="O261" s="7" t="str">
        <f>IF(OR($C261="",$C261="FID YOK"),"",IF(ISNUMBER(MATCH($C261,FA_ANA,0)),"",IF(COUNTIF($C$1:$C260,$C261)&gt;0,"",MAX($O$1:$O260)+1)))</f>
        <v/>
      </c>
      <c r="T261" s="7">
        <f>IF(ISNA(MATCH($C261,FA,0)),0,IF($J261="GIRIS",N(INDEX(F_INKOR,MATCH($C261,FA,0))),0))</f>
        <v>0</v>
      </c>
      <c r="Y261" s="7" t="e">
        <f>N(#REF!)*IF($E261="упак",MAX(1,IF(ISNA(MATCH($C261,FA,0)),1,N(INDEX(F_PAKET,MATCH($C261,FA,0))))),1)</f>
        <v>#REF!</v>
      </c>
      <c r="Z261" s="7" t="e">
        <f t="shared" si="64"/>
        <v>#REF!</v>
      </c>
      <c r="AA261" s="7">
        <f>IF(OR(ISNA(MATCH($C261,FA,0)),$J261="YEDEK",$J261="SARF"),0,N(#REF!)*N(INDEX(F_TEL,MATCH($C261,FA,0))))</f>
        <v>0</v>
      </c>
      <c r="AB261" s="7">
        <f>IF(OR(ISNA(MATCH($C261,FA,0)),$J261="YEDEK",$J261="SARF"),0,N(#REF!)*N(INDEX(F_TELM,MATCH($C261,FA,0))))</f>
        <v>0</v>
      </c>
      <c r="AC261" s="7" t="e">
        <f t="shared" si="65"/>
        <v>#REF!</v>
      </c>
      <c r="AD261" s="7">
        <f>IF(OR(ISNA(MATCH($C261,FA,0)),$J261&lt;&gt;"CIKIS"),0,N(INDEX(F_KK,MATCH($C261,FA,0))))</f>
        <v>0</v>
      </c>
      <c r="AE261" s="7">
        <f>IF($AD261=0,0,N(#REF!)*N(INDEX(F_KLN,MATCH($C261,FA,0))))</f>
        <v>0</v>
      </c>
      <c r="AF261" s="7">
        <f>IF($AD261=0,0,N(#REF!)*N(INDEX(F_KPE,MATCH($C261,FA,0))))</f>
        <v>0</v>
      </c>
      <c r="AG261" s="7" t="e">
        <f>IF(ISNA(MATCH($C261,FA,0)),0,N(#REF!)*N(INDEX(F_MODUL,MATCH($C261,FA,0))))</f>
        <v>#REF!</v>
      </c>
      <c r="AH261" s="7" t="e">
        <f>N(#REF!)*N($I261)</f>
        <v>#REF!</v>
      </c>
      <c r="AI261" s="7" t="e">
        <f t="shared" si="66"/>
        <v>#REF!</v>
      </c>
      <c r="AJ261" s="7">
        <f t="shared" si="67"/>
        <v>0</v>
      </c>
    </row>
    <row r="262" spans="1:36" x14ac:dyDescent="0.25">
      <c r="A262" s="4" t="str">
        <f t="shared" si="61"/>
        <v>ЩАО-П (260922 akram aulet)</v>
      </c>
      <c r="B262" s="4" t="s">
        <v>92</v>
      </c>
      <c r="C262" s="4" t="s">
        <v>535</v>
      </c>
      <c r="D262" s="4" t="s">
        <v>536</v>
      </c>
      <c r="E262" s="4" t="s">
        <v>520</v>
      </c>
      <c r="F262" s="4" t="s">
        <v>521</v>
      </c>
      <c r="G262" s="4" t="s">
        <v>38</v>
      </c>
      <c r="H262" s="5" t="e">
        <f>#REF!</f>
        <v>#REF!</v>
      </c>
      <c r="I262" s="6" t="e">
        <f t="shared" si="62"/>
        <v>#REF!</v>
      </c>
      <c r="J262" s="6" t="s">
        <v>84</v>
      </c>
      <c r="K262" s="6" t="s">
        <v>92</v>
      </c>
      <c r="L262" s="7" t="e">
        <f t="shared" si="63"/>
        <v>#REF!</v>
      </c>
      <c r="M262" s="7" t="s">
        <v>130</v>
      </c>
      <c r="O262" s="7" t="str">
        <f>IF(OR($C262="",$C262="FID YOK"),"",IF(ISNUMBER(MATCH($C262,FA_ANA,0)),"",IF(COUNTIF($C$1:$C261,$C262)&gt;0,"",MAX($O$1:$O261)+1)))</f>
        <v/>
      </c>
      <c r="T262" s="7">
        <f>IF(ISNA(MATCH($C262,FA,0)),0,IF($J262="GIRIS",N(INDEX(F_INKOR,MATCH($C262,FA,0))),0))</f>
        <v>0</v>
      </c>
      <c r="Y262" s="7" t="e">
        <f>N(#REF!)*IF($E262="упак",MAX(1,IF(ISNA(MATCH($C262,FA,0)),1,N(INDEX(F_PAKET,MATCH($C262,FA,0))))),1)</f>
        <v>#REF!</v>
      </c>
      <c r="Z262" s="7" t="e">
        <f t="shared" si="64"/>
        <v>#REF!</v>
      </c>
      <c r="AA262" s="7">
        <f>IF(OR(ISNA(MATCH($C262,FA,0)),$J262="YEDEK",$J262="SARF"),0,N(#REF!)*N(INDEX(F_TEL,MATCH($C262,FA,0))))</f>
        <v>0</v>
      </c>
      <c r="AB262" s="7">
        <f>IF(OR(ISNA(MATCH($C262,FA,0)),$J262="YEDEK",$J262="SARF"),0,N(#REF!)*N(INDEX(F_TELM,MATCH($C262,FA,0))))</f>
        <v>0</v>
      </c>
      <c r="AC262" s="7" t="e">
        <f t="shared" si="65"/>
        <v>#REF!</v>
      </c>
      <c r="AD262" s="7">
        <f>IF(OR(ISNA(MATCH($C262,FA,0)),$J262&lt;&gt;"CIKIS"),0,N(INDEX(F_KK,MATCH($C262,FA,0))))</f>
        <v>0</v>
      </c>
      <c r="AE262" s="7">
        <f>IF($AD262=0,0,N(#REF!)*N(INDEX(F_KLN,MATCH($C262,FA,0))))</f>
        <v>0</v>
      </c>
      <c r="AF262" s="7">
        <f>IF($AD262=0,0,N(#REF!)*N(INDEX(F_KPE,MATCH($C262,FA,0))))</f>
        <v>0</v>
      </c>
      <c r="AG262" s="7" t="e">
        <f>IF(ISNA(MATCH($C262,FA,0)),0,N(#REF!)*N(INDEX(F_MODUL,MATCH($C262,FA,0))))</f>
        <v>#REF!</v>
      </c>
      <c r="AH262" s="7" t="e">
        <f>N(#REF!)*N($I262)</f>
        <v>#REF!</v>
      </c>
      <c r="AI262" s="7" t="e">
        <f t="shared" si="66"/>
        <v>#REF!</v>
      </c>
      <c r="AJ262" s="7">
        <f t="shared" si="67"/>
        <v>0</v>
      </c>
    </row>
    <row r="263" spans="1:36" x14ac:dyDescent="0.25">
      <c r="A263" s="4" t="str">
        <f t="shared" si="61"/>
        <v>ЩАО-П (260922 akram aulet)</v>
      </c>
      <c r="B263" s="4" t="s">
        <v>92</v>
      </c>
      <c r="C263" s="4" t="s">
        <v>535</v>
      </c>
      <c r="D263" s="4" t="s">
        <v>536</v>
      </c>
      <c r="E263" s="4" t="s">
        <v>520</v>
      </c>
      <c r="F263" s="4" t="s">
        <v>521</v>
      </c>
      <c r="G263" s="4" t="s">
        <v>38</v>
      </c>
      <c r="H263" s="5" t="e">
        <f>#REF!</f>
        <v>#REF!</v>
      </c>
      <c r="I263" s="6" t="e">
        <f t="shared" si="62"/>
        <v>#REF!</v>
      </c>
      <c r="J263" s="6" t="s">
        <v>84</v>
      </c>
      <c r="K263" s="6" t="s">
        <v>92</v>
      </c>
      <c r="L263" s="7" t="e">
        <f t="shared" si="63"/>
        <v>#REF!</v>
      </c>
      <c r="M263" s="7" t="s">
        <v>100</v>
      </c>
      <c r="O263" s="7" t="str">
        <f>IF(OR($C263="",$C263="FID YOK"),"",IF(ISNUMBER(MATCH($C263,FA_ANA,0)),"",IF(COUNTIF($C$1:$C262,$C263)&gt;0,"",MAX($O$1:$O262)+1)))</f>
        <v/>
      </c>
      <c r="T263" s="7">
        <f>IF(ISNA(MATCH($C263,FA,0)),0,IF($J263="GIRIS",N(INDEX(F_INKOR,MATCH($C263,FA,0))),0))</f>
        <v>0</v>
      </c>
      <c r="Y263" s="7" t="e">
        <f>N(#REF!)*IF($E263="упак",MAX(1,IF(ISNA(MATCH($C263,FA,0)),1,N(INDEX(F_PAKET,MATCH($C263,FA,0))))),1)</f>
        <v>#REF!</v>
      </c>
      <c r="Z263" s="7" t="e">
        <f t="shared" si="64"/>
        <v>#REF!</v>
      </c>
      <c r="AA263" s="7">
        <f>IF(OR(ISNA(MATCH($C263,FA,0)),$J263="YEDEK",$J263="SARF"),0,N(#REF!)*N(INDEX(F_TEL,MATCH($C263,FA,0))))</f>
        <v>0</v>
      </c>
      <c r="AB263" s="7">
        <f>IF(OR(ISNA(MATCH($C263,FA,0)),$J263="YEDEK",$J263="SARF"),0,N(#REF!)*N(INDEX(F_TELM,MATCH($C263,FA,0))))</f>
        <v>0</v>
      </c>
      <c r="AC263" s="7" t="e">
        <f t="shared" si="65"/>
        <v>#REF!</v>
      </c>
      <c r="AD263" s="7">
        <f>IF(OR(ISNA(MATCH($C263,FA,0)),$J263&lt;&gt;"CIKIS"),0,N(INDEX(F_KK,MATCH($C263,FA,0))))</f>
        <v>0</v>
      </c>
      <c r="AE263" s="7">
        <f>IF($AD263=0,0,N(#REF!)*N(INDEX(F_KLN,MATCH($C263,FA,0))))</f>
        <v>0</v>
      </c>
      <c r="AF263" s="7">
        <f>IF($AD263=0,0,N(#REF!)*N(INDEX(F_KPE,MATCH($C263,FA,0))))</f>
        <v>0</v>
      </c>
      <c r="AG263" s="7" t="e">
        <f>IF(ISNA(MATCH($C263,FA,0)),0,N(#REF!)*N(INDEX(F_MODUL,MATCH($C263,FA,0))))</f>
        <v>#REF!</v>
      </c>
      <c r="AH263" s="7" t="e">
        <f>N(#REF!)*N($I263)</f>
        <v>#REF!</v>
      </c>
      <c r="AI263" s="7" t="e">
        <f t="shared" si="66"/>
        <v>#REF!</v>
      </c>
      <c r="AJ263" s="7">
        <f t="shared" si="67"/>
        <v>0</v>
      </c>
    </row>
    <row r="264" spans="1:36" x14ac:dyDescent="0.25">
      <c r="A264" s="4" t="str">
        <f t="shared" si="61"/>
        <v>ЩАО-П (260922 akram aulet)</v>
      </c>
      <c r="B264" s="4" t="s">
        <v>101</v>
      </c>
      <c r="C264" s="4" t="s">
        <v>525</v>
      </c>
      <c r="D264" s="4" t="s">
        <v>526</v>
      </c>
      <c r="E264" s="4" t="s">
        <v>522</v>
      </c>
      <c r="F264" s="4" t="s">
        <v>486</v>
      </c>
      <c r="G264" s="4" t="s">
        <v>38</v>
      </c>
      <c r="H264" s="5" t="e">
        <f>#REF!</f>
        <v>#REF!</v>
      </c>
      <c r="I264" s="6" t="e">
        <f t="shared" si="62"/>
        <v>#REF!</v>
      </c>
      <c r="J264" s="6" t="s">
        <v>84</v>
      </c>
      <c r="K264" s="6" t="s">
        <v>101</v>
      </c>
      <c r="L264" s="7" t="e">
        <f t="shared" si="63"/>
        <v>#REF!</v>
      </c>
      <c r="M264" s="7" t="s">
        <v>102</v>
      </c>
      <c r="O264" s="7" t="str">
        <f>IF(OR($C264="",$C264="FID YOK"),"",IF(ISNUMBER(MATCH($C264,FA_ANA,0)),"",IF(COUNTIF($C$1:$C263,$C264)&gt;0,"",MAX($O$1:$O263)+1)))</f>
        <v/>
      </c>
      <c r="T264" s="7">
        <f>IF(ISNA(MATCH($C264,FA,0)),0,IF($J264="GIRIS",N(INDEX(F_INKOR,MATCH($C264,FA,0))),0))</f>
        <v>0</v>
      </c>
      <c r="Y264" s="7" t="e">
        <f>N(#REF!)*IF($E264="упак",MAX(1,IF(ISNA(MATCH($C264,FA,0)),1,N(INDEX(F_PAKET,MATCH($C264,FA,0))))),1)</f>
        <v>#REF!</v>
      </c>
      <c r="Z264" s="7" t="e">
        <f t="shared" si="64"/>
        <v>#REF!</v>
      </c>
      <c r="AA264" s="7">
        <f>IF(OR(ISNA(MATCH($C264,FA,0)),$J264="YEDEK",$J264="SARF"),0,N(#REF!)*N(INDEX(F_TEL,MATCH($C264,FA,0))))</f>
        <v>0</v>
      </c>
      <c r="AB264" s="7">
        <f>IF(OR(ISNA(MATCH($C264,FA,0)),$J264="YEDEK",$J264="SARF"),0,N(#REF!)*N(INDEX(F_TELM,MATCH($C264,FA,0))))</f>
        <v>0</v>
      </c>
      <c r="AC264" s="7" t="e">
        <f t="shared" si="65"/>
        <v>#REF!</v>
      </c>
      <c r="AD264" s="7">
        <f>IF(OR(ISNA(MATCH($C264,FA,0)),$J264&lt;&gt;"CIKIS"),0,N(INDEX(F_KK,MATCH($C264,FA,0))))</f>
        <v>0</v>
      </c>
      <c r="AE264" s="7">
        <f>IF($AD264=0,0,N(#REF!)*N(INDEX(F_KLN,MATCH($C264,FA,0))))</f>
        <v>0</v>
      </c>
      <c r="AF264" s="7">
        <f>IF($AD264=0,0,N(#REF!)*N(INDEX(F_KPE,MATCH($C264,FA,0))))</f>
        <v>0</v>
      </c>
      <c r="AG264" s="7" t="e">
        <f>IF(ISNA(MATCH($C264,FA,0)),0,N(#REF!)*N(INDEX(F_MODUL,MATCH($C264,FA,0))))</f>
        <v>#REF!</v>
      </c>
      <c r="AH264" s="7" t="e">
        <f>N(#REF!)*N($I264)</f>
        <v>#REF!</v>
      </c>
      <c r="AI264" s="7" t="e">
        <f t="shared" si="66"/>
        <v>#REF!</v>
      </c>
      <c r="AJ264" s="7">
        <f t="shared" si="67"/>
        <v>0</v>
      </c>
    </row>
    <row r="265" spans="1:36" x14ac:dyDescent="0.25">
      <c r="A265" s="4" t="str">
        <f t="shared" si="61"/>
        <v>ЩАО-П (260922 akram aulet)</v>
      </c>
      <c r="B265" s="4" t="s">
        <v>101</v>
      </c>
      <c r="C265" s="4" t="s">
        <v>537</v>
      </c>
      <c r="D265" s="4" t="s">
        <v>538</v>
      </c>
      <c r="E265" s="4" t="s">
        <v>522</v>
      </c>
      <c r="F265" s="4" t="s">
        <v>486</v>
      </c>
      <c r="G265" s="4" t="s">
        <v>38</v>
      </c>
      <c r="H265" s="5" t="e">
        <f>#REF!</f>
        <v>#REF!</v>
      </c>
      <c r="I265" s="6" t="e">
        <f t="shared" si="62"/>
        <v>#REF!</v>
      </c>
      <c r="J265" s="6" t="s">
        <v>84</v>
      </c>
      <c r="K265" s="6" t="s">
        <v>101</v>
      </c>
      <c r="L265" s="7" t="e">
        <f t="shared" si="63"/>
        <v>#REF!</v>
      </c>
      <c r="M265" s="7" t="s">
        <v>205</v>
      </c>
      <c r="O265" s="7" t="str">
        <f>IF(OR($C265="",$C265="FID YOK"),"",IF(ISNUMBER(MATCH($C265,FA_ANA,0)),"",IF(COUNTIF($C$1:$C264,$C265)&gt;0,"",MAX($O$1:$O264)+1)))</f>
        <v/>
      </c>
      <c r="T265" s="7">
        <f>IF(ISNA(MATCH($C265,FA,0)),0,IF($J265="GIRIS",N(INDEX(F_INKOR,MATCH($C265,FA,0))),0))</f>
        <v>0</v>
      </c>
      <c r="Y265" s="7" t="e">
        <f>N(#REF!)*IF($E265="упак",MAX(1,IF(ISNA(MATCH($C265,FA,0)),1,N(INDEX(F_PAKET,MATCH($C265,FA,0))))),1)</f>
        <v>#REF!</v>
      </c>
      <c r="Z265" s="7" t="e">
        <f t="shared" si="64"/>
        <v>#REF!</v>
      </c>
      <c r="AA265" s="7">
        <f>IF(OR(ISNA(MATCH($C265,FA,0)),$J265="YEDEK",$J265="SARF"),0,N(#REF!)*N(INDEX(F_TEL,MATCH($C265,FA,0))))</f>
        <v>0</v>
      </c>
      <c r="AB265" s="7">
        <f>IF(OR(ISNA(MATCH($C265,FA,0)),$J265="YEDEK",$J265="SARF"),0,N(#REF!)*N(INDEX(F_TELM,MATCH($C265,FA,0))))</f>
        <v>0</v>
      </c>
      <c r="AC265" s="7" t="e">
        <f t="shared" si="65"/>
        <v>#REF!</v>
      </c>
      <c r="AD265" s="7">
        <f>IF(OR(ISNA(MATCH($C265,FA,0)),$J265&lt;&gt;"CIKIS"),0,N(INDEX(F_KK,MATCH($C265,FA,0))))</f>
        <v>0</v>
      </c>
      <c r="AE265" s="7">
        <f>IF($AD265=0,0,N(#REF!)*N(INDEX(F_KLN,MATCH($C265,FA,0))))</f>
        <v>0</v>
      </c>
      <c r="AF265" s="7">
        <f>IF($AD265=0,0,N(#REF!)*N(INDEX(F_KPE,MATCH($C265,FA,0))))</f>
        <v>0</v>
      </c>
      <c r="AG265" s="7" t="e">
        <f>IF(ISNA(MATCH($C265,FA,0)),0,N(#REF!)*N(INDEX(F_MODUL,MATCH($C265,FA,0))))</f>
        <v>#REF!</v>
      </c>
      <c r="AH265" s="7" t="e">
        <f>N(#REF!)*N($I265)</f>
        <v>#REF!</v>
      </c>
      <c r="AI265" s="7" t="e">
        <f t="shared" si="66"/>
        <v>#REF!</v>
      </c>
      <c r="AJ265" s="7">
        <f t="shared" si="67"/>
        <v>0</v>
      </c>
    </row>
    <row r="266" spans="1:36" x14ac:dyDescent="0.25">
      <c r="A266" s="4" t="str">
        <f t="shared" si="61"/>
        <v>ЩАО-П (260922 akram aulet)</v>
      </c>
      <c r="B266" s="4" t="s">
        <v>105</v>
      </c>
      <c r="C266" s="4" t="s">
        <v>539</v>
      </c>
      <c r="D266" s="4" t="s">
        <v>540</v>
      </c>
      <c r="E266" s="4" t="s">
        <v>114</v>
      </c>
      <c r="F266" s="4" t="s">
        <v>486</v>
      </c>
      <c r="G266" s="4" t="s">
        <v>38</v>
      </c>
      <c r="H266" s="5" t="e">
        <f>#REF!</f>
        <v>#REF!</v>
      </c>
      <c r="I266" s="6" t="e">
        <f t="shared" si="62"/>
        <v>#REF!</v>
      </c>
      <c r="J266" s="6" t="s">
        <v>84</v>
      </c>
      <c r="K266" s="6" t="s">
        <v>105</v>
      </c>
      <c r="L266" s="7" t="e">
        <f t="shared" si="63"/>
        <v>#REF!</v>
      </c>
      <c r="M266" s="7" t="s">
        <v>110</v>
      </c>
      <c r="O266" s="7" t="str">
        <f>IF(OR($C266="",$C266="FID YOK"),"",IF(ISNUMBER(MATCH($C266,FA_ANA,0)),"",IF(COUNTIF($C$1:$C265,$C266)&gt;0,"",MAX($O$1:$O265)+1)))</f>
        <v/>
      </c>
      <c r="T266" s="7">
        <f>IF(ISNA(MATCH($C266,FA,0)),0,IF($J266="GIRIS",N(INDEX(F_INKOR,MATCH($C266,FA,0))),0))</f>
        <v>0</v>
      </c>
      <c r="Y266" s="7" t="e">
        <f>N(#REF!)*IF($E266="упак",MAX(1,IF(ISNA(MATCH($C266,FA,0)),1,N(INDEX(F_PAKET,MATCH($C266,FA,0))))),1)</f>
        <v>#REF!</v>
      </c>
      <c r="Z266" s="7" t="e">
        <f t="shared" si="64"/>
        <v>#REF!</v>
      </c>
      <c r="AA266" s="7">
        <f>IF(OR(ISNA(MATCH($C266,FA,0)),$J266="YEDEK",$J266="SARF"),0,N(#REF!)*N(INDEX(F_TEL,MATCH($C266,FA,0))))</f>
        <v>0</v>
      </c>
      <c r="AB266" s="7">
        <f>IF(OR(ISNA(MATCH($C266,FA,0)),$J266="YEDEK",$J266="SARF"),0,N(#REF!)*N(INDEX(F_TELM,MATCH($C266,FA,0))))</f>
        <v>0</v>
      </c>
      <c r="AC266" s="7" t="e">
        <f t="shared" si="65"/>
        <v>#REF!</v>
      </c>
      <c r="AD266" s="7">
        <f>IF(OR(ISNA(MATCH($C266,FA,0)),$J266&lt;&gt;"CIKIS"),0,N(INDEX(F_KK,MATCH($C266,FA,0))))</f>
        <v>0</v>
      </c>
      <c r="AE266" s="7">
        <f>IF($AD266=0,0,N(#REF!)*N(INDEX(F_KLN,MATCH($C266,FA,0))))</f>
        <v>0</v>
      </c>
      <c r="AF266" s="7">
        <f>IF($AD266=0,0,N(#REF!)*N(INDEX(F_KPE,MATCH($C266,FA,0))))</f>
        <v>0</v>
      </c>
      <c r="AG266" s="7" t="e">
        <f>IF(ISNA(MATCH($C266,FA,0)),0,N(#REF!)*N(INDEX(F_MODUL,MATCH($C266,FA,0))))</f>
        <v>#REF!</v>
      </c>
      <c r="AH266" s="7" t="e">
        <f>N(#REF!)*N($I266)</f>
        <v>#REF!</v>
      </c>
      <c r="AI266" s="7" t="e">
        <f t="shared" si="66"/>
        <v>#REF!</v>
      </c>
      <c r="AJ266" s="7">
        <f t="shared" si="67"/>
        <v>0</v>
      </c>
    </row>
    <row r="267" spans="1:36" x14ac:dyDescent="0.25">
      <c r="A267" s="4" t="str">
        <f t="shared" si="61"/>
        <v>ЩАО-П (260922 akram aulet)</v>
      </c>
      <c r="B267" s="4" t="s">
        <v>111</v>
      </c>
      <c r="C267" s="4" t="s">
        <v>571</v>
      </c>
      <c r="D267" s="4" t="s">
        <v>572</v>
      </c>
      <c r="E267" s="4" t="s">
        <v>522</v>
      </c>
      <c r="F267" s="4" t="s">
        <v>486</v>
      </c>
      <c r="G267" s="4" t="s">
        <v>38</v>
      </c>
      <c r="H267" s="5" t="e">
        <f>#REF!</f>
        <v>#REF!</v>
      </c>
      <c r="I267" s="6" t="e">
        <f t="shared" si="62"/>
        <v>#REF!</v>
      </c>
      <c r="J267" s="6" t="s">
        <v>84</v>
      </c>
      <c r="K267" s="6" t="s">
        <v>111</v>
      </c>
      <c r="L267" s="7" t="e">
        <f t="shared" si="63"/>
        <v>#REF!</v>
      </c>
      <c r="M267" s="7" t="s">
        <v>112</v>
      </c>
      <c r="O267" s="7" t="str">
        <f>IF(OR($C267="",$C267="FID YOK"),"",IF(ISNUMBER(MATCH($C267,FA_ANA,0)),"",IF(COUNTIF($C$1:$C266,$C267)&gt;0,"",MAX($O$1:$O266)+1)))</f>
        <v/>
      </c>
      <c r="T267" s="7">
        <f>IF(ISNA(MATCH($C267,FA,0)),0,IF($J267="GIRIS",N(INDEX(F_INKOR,MATCH($C267,FA,0))),0))</f>
        <v>0</v>
      </c>
      <c r="Y267" s="7" t="e">
        <f>N(#REF!)*IF($E267="упак",MAX(1,IF(ISNA(MATCH($C267,FA,0)),1,N(INDEX(F_PAKET,MATCH($C267,FA,0))))),1)</f>
        <v>#REF!</v>
      </c>
      <c r="Z267" s="7" t="e">
        <f t="shared" si="64"/>
        <v>#REF!</v>
      </c>
      <c r="AA267" s="7">
        <f>IF(OR(ISNA(MATCH($C267,FA,0)),$J267="YEDEK",$J267="SARF"),0,N(#REF!)*N(INDEX(F_TEL,MATCH($C267,FA,0))))</f>
        <v>0</v>
      </c>
      <c r="AB267" s="7">
        <f>IF(OR(ISNA(MATCH($C267,FA,0)),$J267="YEDEK",$J267="SARF"),0,N(#REF!)*N(INDEX(F_TELM,MATCH($C267,FA,0))))</f>
        <v>0</v>
      </c>
      <c r="AC267" s="7" t="e">
        <f t="shared" si="65"/>
        <v>#REF!</v>
      </c>
      <c r="AD267" s="7">
        <f>IF(OR(ISNA(MATCH($C267,FA,0)),$J267&lt;&gt;"CIKIS"),0,N(INDEX(F_KK,MATCH($C267,FA,0))))</f>
        <v>0</v>
      </c>
      <c r="AE267" s="7">
        <f>IF($AD267=0,0,N(#REF!)*N(INDEX(F_KLN,MATCH($C267,FA,0))))</f>
        <v>0</v>
      </c>
      <c r="AF267" s="7">
        <f>IF($AD267=0,0,N(#REF!)*N(INDEX(F_KPE,MATCH($C267,FA,0))))</f>
        <v>0</v>
      </c>
      <c r="AG267" s="7" t="e">
        <f>IF(ISNA(MATCH($C267,FA,0)),0,N(#REF!)*N(INDEX(F_MODUL,MATCH($C267,FA,0))))</f>
        <v>#REF!</v>
      </c>
      <c r="AH267" s="7" t="e">
        <f>N(#REF!)*N($I267)</f>
        <v>#REF!</v>
      </c>
      <c r="AI267" s="7" t="e">
        <f t="shared" si="66"/>
        <v>#REF!</v>
      </c>
      <c r="AJ267" s="7">
        <f t="shared" si="67"/>
        <v>0</v>
      </c>
    </row>
    <row r="268" spans="1:36" x14ac:dyDescent="0.25">
      <c r="A268" s="4" t="str">
        <f t="shared" si="61"/>
        <v>ЩАО-П (260922 akram aulet)</v>
      </c>
      <c r="B268" s="4" t="s">
        <v>113</v>
      </c>
      <c r="C268" s="4" t="s">
        <v>113</v>
      </c>
      <c r="D268" s="4" t="s">
        <v>113</v>
      </c>
      <c r="E268" s="4" t="s">
        <v>114</v>
      </c>
      <c r="F268" s="4" t="s">
        <v>113</v>
      </c>
      <c r="G268" s="4" t="s">
        <v>38</v>
      </c>
      <c r="H268" s="5" t="e">
        <f>#REF!</f>
        <v>#REF!</v>
      </c>
      <c r="I268" s="6" t="e">
        <f t="shared" si="62"/>
        <v>#REF!</v>
      </c>
    </row>
    <row r="269" spans="1:36" x14ac:dyDescent="0.25">
      <c r="A269" s="4" t="str">
        <f t="shared" si="61"/>
        <v>ЩАО-П (260922 akram aulet)</v>
      </c>
      <c r="B269" s="4" t="s">
        <v>115</v>
      </c>
      <c r="C269" s="4" t="s">
        <v>115</v>
      </c>
      <c r="D269" s="4" t="s">
        <v>115</v>
      </c>
      <c r="E269" s="4" t="s">
        <v>116</v>
      </c>
      <c r="F269" s="4" t="s">
        <v>115</v>
      </c>
      <c r="G269" s="4" t="s">
        <v>38</v>
      </c>
      <c r="H269" s="5" t="e">
        <f>#REF!</f>
        <v>#REF!</v>
      </c>
      <c r="I269" s="6" t="e">
        <f t="shared" si="62"/>
        <v>#REF!</v>
      </c>
    </row>
    <row r="270" spans="1:36" x14ac:dyDescent="0.25">
      <c r="A270" s="1" t="str">
        <f>D270</f>
        <v>ЩС-П (260922 akram aulet)</v>
      </c>
      <c r="B270" s="12"/>
      <c r="C270" s="2"/>
      <c r="D270" s="1" t="s">
        <v>209</v>
      </c>
      <c r="E270" s="1" t="s">
        <v>36</v>
      </c>
      <c r="F270" s="1" t="s">
        <v>37</v>
      </c>
      <c r="G270" s="1" t="s">
        <v>38</v>
      </c>
      <c r="I270" s="3" t="e">
        <f>#REF!</f>
        <v>#REF!</v>
      </c>
    </row>
    <row r="271" spans="1:36" x14ac:dyDescent="0.25">
      <c r="A271" s="4" t="str">
        <f t="shared" ref="A271:A288" si="68">A270</f>
        <v>ЩС-П (260922 akram aulet)</v>
      </c>
      <c r="B271" s="4" t="s">
        <v>39</v>
      </c>
      <c r="C271" s="4" t="s">
        <v>514</v>
      </c>
      <c r="D271" s="4" t="s">
        <v>515</v>
      </c>
      <c r="E271" s="4" t="s">
        <v>114</v>
      </c>
      <c r="F271" s="4" t="s">
        <v>491</v>
      </c>
      <c r="G271" s="4" t="s">
        <v>38</v>
      </c>
      <c r="H271" s="5" t="e">
        <f>#REF!</f>
        <v>#REF!</v>
      </c>
      <c r="I271" s="6" t="e">
        <f t="shared" ref="I271:I288" si="69">I270</f>
        <v>#REF!</v>
      </c>
      <c r="J271" s="6" t="s">
        <v>40</v>
      </c>
      <c r="K271" s="6" t="s">
        <v>195</v>
      </c>
      <c r="L271" s="7" t="e">
        <f t="shared" ref="L271:L286" si="70">IF(ISNA(MATCH($C271,FA,0)),"ARTİKÜL YOK",INDEX(FIYAT_DURUM,MATCH($C271,FA,0)))</f>
        <v>#REF!</v>
      </c>
      <c r="M271" s="7" t="s">
        <v>210</v>
      </c>
      <c r="N271" s="7" t="s">
        <v>211</v>
      </c>
      <c r="O271" s="7">
        <f>IF(OR($C271="",$C271="FID YOK"),"",IF(ISNUMBER(MATCH($C271,FA_ANA,0)),"",IF(COUNTIF($C$1:$C270,$C271)&gt;0,"",MAX($O$1:$O270)+1)))</f>
        <v>67</v>
      </c>
      <c r="Q271" s="7"/>
      <c r="R271" s="7"/>
      <c r="S271" s="7"/>
      <c r="T271" s="7">
        <f>IF(ISNA(MATCH($C271,FA,0)),0,IF($J271="GIRIS",N(INDEX(F_INKOR,MATCH($C271,FA,0))),0))</f>
        <v>0</v>
      </c>
      <c r="U271" s="7"/>
      <c r="V271" s="7"/>
      <c r="W271" s="7"/>
      <c r="X271" s="7"/>
      <c r="Y271" s="7" t="e">
        <f>N(#REF!)*IF($E271="упак",MAX(1,IF(ISNA(MATCH($C271,FA,0)),1,N(INDEX(F_PAKET,MATCH($C271,FA,0))))),1)</f>
        <v>#REF!</v>
      </c>
      <c r="Z271" s="7" t="e">
        <f t="shared" ref="Z271:Z286" si="71">IF(ISNA(MATCH($C271,FA,0)),0,N(INDEX(F_BK,MATCH($C271,FA,0))))</f>
        <v>#REF!</v>
      </c>
      <c r="AA271" s="7" t="e">
        <f>IF(OR(ISNA(MATCH($C271,FA,0)),$J271="YEDEK",$J271="SARF"),0,N(#REF!)*N(INDEX(F_TEL,MATCH($C271,FA,0))))</f>
        <v>#REF!</v>
      </c>
      <c r="AB271" s="7" t="e">
        <f>IF(OR(ISNA(MATCH($C271,FA,0)),$J271="YEDEK",$J271="SARF"),0,N(#REF!)*N(INDEX(F_TELM,MATCH($C271,FA,0))))</f>
        <v>#REF!</v>
      </c>
      <c r="AC271" s="7" t="e">
        <f t="shared" ref="AC271:AC286" si="72">IF(ISNA(MATCH($C271,FA,0)),"",INDEX(F_UC,MATCH($C271,FA,0))&amp;"")</f>
        <v>#REF!</v>
      </c>
      <c r="AD271" s="7">
        <f>IF(OR(ISNA(MATCH($C271,FA,0)),$J271&lt;&gt;"CIKIS"),0,N(INDEX(F_KK,MATCH($C271,FA,0))))</f>
        <v>0</v>
      </c>
      <c r="AE271" s="7">
        <f>IF($AD271=0,0,N(#REF!)*N(INDEX(F_KLN,MATCH($C271,FA,0))))</f>
        <v>0</v>
      </c>
      <c r="AF271" s="7">
        <f>IF($AD271=0,0,N(#REF!)*N(INDEX(F_KPE,MATCH($C271,FA,0))))</f>
        <v>0</v>
      </c>
      <c r="AG271" s="7" t="e">
        <f>IF(ISNA(MATCH($C271,FA,0)),0,N(#REF!)*N(INDEX(F_MODUL,MATCH($C271,FA,0))))</f>
        <v>#REF!</v>
      </c>
      <c r="AH271" s="7" t="e">
        <f>N(#REF!)*N($I271)</f>
        <v>#REF!</v>
      </c>
      <c r="AI271" s="7" t="e">
        <f t="shared" ref="AI271:AI286" si="73">IF(ISNA(MATCH($K271,TIP_AD,0)),"YOK",IF(INDEX(NORM_DK,MATCH($K271,TIP_AD,0))="","BOŞ",INDEX(NORM_DK,MATCH($K271,TIP_AD,0))))</f>
        <v>#REF!</v>
      </c>
      <c r="AJ271" s="7">
        <f t="shared" ref="AJ271:AJ286" si="74">IF(ISNUMBER($AI271),$Y271*$AI271,0)</f>
        <v>0</v>
      </c>
    </row>
    <row r="272" spans="1:36" x14ac:dyDescent="0.25">
      <c r="A272" s="4" t="str">
        <f t="shared" si="68"/>
        <v>ЩС-П (260922 akram aulet)</v>
      </c>
      <c r="B272" s="4" t="s">
        <v>198</v>
      </c>
      <c r="C272" s="4" t="s">
        <v>380</v>
      </c>
      <c r="D272" s="4" t="s">
        <v>381</v>
      </c>
      <c r="E272" s="4" t="s">
        <v>114</v>
      </c>
      <c r="F272" s="4" t="s">
        <v>377</v>
      </c>
      <c r="G272" s="4" t="s">
        <v>38</v>
      </c>
      <c r="H272" s="5" t="e">
        <f>#REF!</f>
        <v>#REF!</v>
      </c>
      <c r="I272" s="6" t="e">
        <f t="shared" si="69"/>
        <v>#REF!</v>
      </c>
      <c r="J272" s="6" t="s">
        <v>48</v>
      </c>
      <c r="K272" s="6" t="s">
        <v>198</v>
      </c>
      <c r="L272" s="7" t="e">
        <f t="shared" si="70"/>
        <v>#REF!</v>
      </c>
      <c r="M272" s="7" t="s">
        <v>212</v>
      </c>
      <c r="N272" s="7" t="s">
        <v>200</v>
      </c>
      <c r="O272" s="7" t="str">
        <f>IF(OR($C272="",$C272="FID YOK"),"",IF(ISNUMBER(MATCH($C272,FA_ANA,0)),"",IF(COUNTIF($C$1:$C271,$C272)&gt;0,"",MAX($O$1:$O271)+1)))</f>
        <v/>
      </c>
      <c r="P272" s="8">
        <v>1</v>
      </c>
      <c r="Q272" s="7" t="e">
        <f>IF(OR($P272="",$P272="G",ISNA(MATCH($C272,FA,0))),"",IF(N(INDEX(F_G,MATCH($C272,FA,0)))&gt;0,INDEX(F_G,MATCH($C272,FA,0)),IF(N(INDEX(F_MODUL,MATCH($C272,FA,0)))&gt;0,INDEX(F_MODUL,MATCH($C272,FA,0))*MODUL_MM,"")))</f>
        <v>#REF!</v>
      </c>
      <c r="R272" s="7" t="e">
        <f>IF(OR($P272="",$P272="G",ISNA(MATCH($C272,FA,0))),"",IF(N(INDEX(F_Y,MATCH($C272,FA,0)))&gt;0,INDEX(F_Y,MATCH($C272,FA,0)),""))</f>
        <v>#REF!</v>
      </c>
      <c r="S272" s="7" t="e">
        <f>IF(OR($P272="",$P272="G",ISNA(MATCH($C272,FA,0))),"",IF(N(INDEX(F_D,MATCH($C272,FA,0)))&gt;0,INDEX(F_D,MATCH($C272,FA,0)),""))</f>
        <v>#REF!</v>
      </c>
      <c r="T272" s="7" t="e">
        <f>IF(ISNA(MATCH($C272,FA,0)),0,IF($J272="GIRIS",N(INDEX(F_INKOR,MATCH($C272,FA,0))),0))</f>
        <v>#REF!</v>
      </c>
      <c r="U272" s="7" t="e">
        <f>IF(ISNA(MATCH($B272,TIP_AD,0)),"",INDEX(TIP_KAT,MATCH($B272,TIP_AD,0))&amp;"")</f>
        <v>#REF!</v>
      </c>
      <c r="V272" s="7" t="e">
        <f>IF(NOT(ISNUMBER($P272)),"",IF($Z272=0,0,IF(ISNA(MATCH($Z272,BUK_KESIT,0)),"",IF(INDEX(BUK_ALAN,MATCH($Z272,BUK_KESIT,0))&amp;""="","",INDEX(BUK_ALAN,MATCH($Z272,BUK_KESIT,0))))))</f>
        <v>#REF!</v>
      </c>
      <c r="W272" s="7" t="e">
        <f>IF(OR(NOT(ISNUMBER($P272)),$Q272=""),"",N(#REF!)*($Q272+IF(ISNA(MATCH($B272,TIP_AD,0)),0,N(INDEX(TIP_BOSLUK,MATCH($B272,TIP_AD,0))))))</f>
        <v>#REF!</v>
      </c>
      <c r="X272" s="7" t="e">
        <f>IF(ISNUMBER($P272),($Q272="")+($R272="")+($V272="")+IF(AND($U272="KONTAKTOR",NOT(ISNA(MATCH($B272,TIP_AD,0)))),IF(INDEX(TIP_BOSLUK,MATCH($B272,TIP_AD,0))&amp;""="",1,0),0),IF($P272="K",IF($S272="",1,0),0))</f>
        <v>#REF!</v>
      </c>
      <c r="Y272" s="7" t="e">
        <f>N(#REF!)*IF($E272="упак",MAX(1,IF(ISNA(MATCH($C272,FA,0)),1,N(INDEX(F_PAKET,MATCH($C272,FA,0))))),1)</f>
        <v>#REF!</v>
      </c>
      <c r="Z272" s="7" t="e">
        <f t="shared" si="71"/>
        <v>#REF!</v>
      </c>
      <c r="AA272" s="7" t="e">
        <f>IF(OR(ISNA(MATCH($C272,FA,0)),$J272="YEDEK",$J272="SARF"),0,N(#REF!)*N(INDEX(F_TEL,MATCH($C272,FA,0))))</f>
        <v>#REF!</v>
      </c>
      <c r="AB272" s="7" t="e">
        <f>IF(OR(ISNA(MATCH($C272,FA,0)),$J272="YEDEK",$J272="SARF"),0,N(#REF!)*N(INDEX(F_TELM,MATCH($C272,FA,0))))</f>
        <v>#REF!</v>
      </c>
      <c r="AC272" s="7" t="e">
        <f t="shared" si="72"/>
        <v>#REF!</v>
      </c>
      <c r="AD272" s="7">
        <f>IF(OR(ISNA(MATCH($C272,FA,0)),$J272&lt;&gt;"CIKIS"),0,N(INDEX(F_KK,MATCH($C272,FA,0))))</f>
        <v>0</v>
      </c>
      <c r="AE272" s="7">
        <f>IF($AD272=0,0,N(#REF!)*N(INDEX(F_KLN,MATCH($C272,FA,0))))</f>
        <v>0</v>
      </c>
      <c r="AF272" s="7">
        <f>IF($AD272=0,0,N(#REF!)*N(INDEX(F_KPE,MATCH($C272,FA,0))))</f>
        <v>0</v>
      </c>
      <c r="AG272" s="7" t="e">
        <f>IF(ISNA(MATCH($C272,FA,0)),0,N(#REF!)*N(INDEX(F_MODUL,MATCH($C272,FA,0))))</f>
        <v>#REF!</v>
      </c>
      <c r="AH272" s="7" t="e">
        <f>N(#REF!)*N($I272)</f>
        <v>#REF!</v>
      </c>
      <c r="AI272" s="7" t="e">
        <f t="shared" si="73"/>
        <v>#REF!</v>
      </c>
      <c r="AJ272" s="7">
        <f t="shared" si="74"/>
        <v>0</v>
      </c>
    </row>
    <row r="273" spans="1:36" x14ac:dyDescent="0.25">
      <c r="A273" s="4" t="str">
        <f t="shared" si="68"/>
        <v>ЩС-П (260922 akram aulet)</v>
      </c>
      <c r="B273" s="4" t="s">
        <v>213</v>
      </c>
      <c r="C273" s="4" t="s">
        <v>410</v>
      </c>
      <c r="D273" s="4" t="s">
        <v>411</v>
      </c>
      <c r="E273" s="4" t="s">
        <v>114</v>
      </c>
      <c r="F273" s="4" t="s">
        <v>377</v>
      </c>
      <c r="G273" s="4" t="s">
        <v>38</v>
      </c>
      <c r="H273" s="5" t="e">
        <f>#REF!</f>
        <v>#REF!</v>
      </c>
      <c r="I273" s="6" t="e">
        <f t="shared" si="69"/>
        <v>#REF!</v>
      </c>
      <c r="J273" s="6" t="s">
        <v>52</v>
      </c>
      <c r="K273" s="6" t="s">
        <v>213</v>
      </c>
      <c r="L273" s="7" t="e">
        <f t="shared" si="70"/>
        <v>#REF!</v>
      </c>
      <c r="M273" s="7" t="s">
        <v>214</v>
      </c>
      <c r="N273" s="7" t="s">
        <v>215</v>
      </c>
      <c r="O273" s="7">
        <f>IF(OR($C273="",$C273="FID YOK"),"",IF(ISNUMBER(MATCH($C273,FA_ANA,0)),"",IF(COUNTIF($C$1:$C272,$C273)&gt;0,"",MAX($O$1:$O272)+1)))</f>
        <v>68</v>
      </c>
      <c r="P273" s="8">
        <v>1</v>
      </c>
      <c r="Q273" s="7" t="e">
        <f>IF(OR($P273="",$P273="G",ISNA(MATCH($C273,FA,0))),"",IF(N(INDEX(F_G,MATCH($C273,FA,0)))&gt;0,INDEX(F_G,MATCH($C273,FA,0)),IF(N(INDEX(F_MODUL,MATCH($C273,FA,0)))&gt;0,INDEX(F_MODUL,MATCH($C273,FA,0))*MODUL_MM,"")))</f>
        <v>#REF!</v>
      </c>
      <c r="R273" s="7" t="e">
        <f>IF(OR($P273="",$P273="G",ISNA(MATCH($C273,FA,0))),"",IF(N(INDEX(F_Y,MATCH($C273,FA,0)))&gt;0,INDEX(F_Y,MATCH($C273,FA,0)),""))</f>
        <v>#REF!</v>
      </c>
      <c r="S273" s="7" t="e">
        <f>IF(OR($P273="",$P273="G",ISNA(MATCH($C273,FA,0))),"",IF(N(INDEX(F_D,MATCH($C273,FA,0)))&gt;0,INDEX(F_D,MATCH($C273,FA,0)),""))</f>
        <v>#REF!</v>
      </c>
      <c r="T273" s="7">
        <f>IF(ISNA(MATCH($C273,FA,0)),0,IF($J273="GIRIS",N(INDEX(F_INKOR,MATCH($C273,FA,0))),0))</f>
        <v>0</v>
      </c>
      <c r="U273" s="7" t="e">
        <f>IF(ISNA(MATCH($B273,TIP_AD,0)),"",INDEX(TIP_KAT,MATCH($B273,TIP_AD,0))&amp;"")</f>
        <v>#REF!</v>
      </c>
      <c r="V273" s="7" t="e">
        <f>IF(NOT(ISNUMBER($P273)),"",IF($Z273=0,0,IF(ISNA(MATCH($Z273,BUK_KESIT,0)),"",IF(INDEX(BUK_ALAN,MATCH($Z273,BUK_KESIT,0))&amp;""="","",INDEX(BUK_ALAN,MATCH($Z273,BUK_KESIT,0))))))</f>
        <v>#REF!</v>
      </c>
      <c r="W273" s="7" t="e">
        <f>IF(OR(NOT(ISNUMBER($P273)),$Q273=""),"",N(#REF!)*($Q273+IF(ISNA(MATCH($B273,TIP_AD,0)),0,N(INDEX(TIP_BOSLUK,MATCH($B273,TIP_AD,0))))))</f>
        <v>#REF!</v>
      </c>
      <c r="X273" s="7" t="e">
        <f>IF(ISNUMBER($P273),($Q273="")+($R273="")+($V273="")+IF(AND($U273="KONTAKTOR",NOT(ISNA(MATCH($B273,TIP_AD,0)))),IF(INDEX(TIP_BOSLUK,MATCH($B273,TIP_AD,0))&amp;""="",1,0),0),IF($P273="K",IF($S273="",1,0),0))</f>
        <v>#REF!</v>
      </c>
      <c r="Y273" s="7" t="e">
        <f>N(#REF!)*IF($E273="упак",MAX(1,IF(ISNA(MATCH($C273,FA,0)),1,N(INDEX(F_PAKET,MATCH($C273,FA,0))))),1)</f>
        <v>#REF!</v>
      </c>
      <c r="Z273" s="7" t="e">
        <f t="shared" si="71"/>
        <v>#REF!</v>
      </c>
      <c r="AA273" s="7" t="e">
        <f>IF(OR(ISNA(MATCH($C273,FA,0)),$J273="YEDEK",$J273="SARF"),0,N(#REF!)*N(INDEX(F_TEL,MATCH($C273,FA,0))))</f>
        <v>#REF!</v>
      </c>
      <c r="AB273" s="7" t="e">
        <f>IF(OR(ISNA(MATCH($C273,FA,0)),$J273="YEDEK",$J273="SARF"),0,N(#REF!)*N(INDEX(F_TELM,MATCH($C273,FA,0))))</f>
        <v>#REF!</v>
      </c>
      <c r="AC273" s="7" t="e">
        <f t="shared" si="72"/>
        <v>#REF!</v>
      </c>
      <c r="AD273" s="7" t="e">
        <f>IF(OR(ISNA(MATCH($C273,FA,0)),$J273&lt;&gt;"CIKIS"),0,N(INDEX(F_KK,MATCH($C273,FA,0))))</f>
        <v>#REF!</v>
      </c>
      <c r="AE273" s="7" t="e">
        <f>IF($AD273=0,0,N(#REF!)*N(INDEX(F_KLN,MATCH($C273,FA,0))))</f>
        <v>#REF!</v>
      </c>
      <c r="AF273" s="7" t="e">
        <f>IF($AD273=0,0,N(#REF!)*N(INDEX(F_KPE,MATCH($C273,FA,0))))</f>
        <v>#REF!</v>
      </c>
      <c r="AG273" s="7" t="e">
        <f>IF(ISNA(MATCH($C273,FA,0)),0,N(#REF!)*N(INDEX(F_MODUL,MATCH($C273,FA,0))))</f>
        <v>#REF!</v>
      </c>
      <c r="AH273" s="7" t="e">
        <f>N(#REF!)*N($I273)</f>
        <v>#REF!</v>
      </c>
      <c r="AI273" s="7" t="e">
        <f t="shared" si="73"/>
        <v>#REF!</v>
      </c>
      <c r="AJ273" s="7">
        <f t="shared" si="74"/>
        <v>0</v>
      </c>
    </row>
    <row r="274" spans="1:36" x14ac:dyDescent="0.25">
      <c r="A274" s="4" t="str">
        <f t="shared" si="68"/>
        <v>ЩС-П (260922 akram aulet)</v>
      </c>
      <c r="B274" s="4" t="s">
        <v>213</v>
      </c>
      <c r="C274" s="4" t="s">
        <v>408</v>
      </c>
      <c r="D274" s="4" t="s">
        <v>409</v>
      </c>
      <c r="E274" s="4" t="s">
        <v>114</v>
      </c>
      <c r="F274" s="4" t="s">
        <v>377</v>
      </c>
      <c r="G274" s="4" t="s">
        <v>38</v>
      </c>
      <c r="H274" s="5" t="e">
        <f>#REF!</f>
        <v>#REF!</v>
      </c>
      <c r="I274" s="6" t="e">
        <f t="shared" si="69"/>
        <v>#REF!</v>
      </c>
      <c r="J274" s="6" t="s">
        <v>52</v>
      </c>
      <c r="K274" s="6" t="s">
        <v>213</v>
      </c>
      <c r="L274" s="7" t="e">
        <f t="shared" si="70"/>
        <v>#REF!</v>
      </c>
      <c r="M274" s="7" t="s">
        <v>216</v>
      </c>
      <c r="N274" s="7" t="s">
        <v>217</v>
      </c>
      <c r="O274" s="7">
        <f>IF(OR($C274="",$C274="FID YOK"),"",IF(ISNUMBER(MATCH($C274,FA_ANA,0)),"",IF(COUNTIF($C$1:$C273,$C274)&gt;0,"",MAX($O$1:$O273)+1)))</f>
        <v>69</v>
      </c>
      <c r="P274" s="8">
        <v>1</v>
      </c>
      <c r="Q274" s="7" t="e">
        <f>IF(OR($P274="",$P274="G",ISNA(MATCH($C274,FA,0))),"",IF(N(INDEX(F_G,MATCH($C274,FA,0)))&gt;0,INDEX(F_G,MATCH($C274,FA,0)),IF(N(INDEX(F_MODUL,MATCH($C274,FA,0)))&gt;0,INDEX(F_MODUL,MATCH($C274,FA,0))*MODUL_MM,"")))</f>
        <v>#REF!</v>
      </c>
      <c r="R274" s="7" t="e">
        <f>IF(OR($P274="",$P274="G",ISNA(MATCH($C274,FA,0))),"",IF(N(INDEX(F_Y,MATCH($C274,FA,0)))&gt;0,INDEX(F_Y,MATCH($C274,FA,0)),""))</f>
        <v>#REF!</v>
      </c>
      <c r="S274" s="7" t="e">
        <f>IF(OR($P274="",$P274="G",ISNA(MATCH($C274,FA,0))),"",IF(N(INDEX(F_D,MATCH($C274,FA,0)))&gt;0,INDEX(F_D,MATCH($C274,FA,0)),""))</f>
        <v>#REF!</v>
      </c>
      <c r="T274" s="7">
        <f>IF(ISNA(MATCH($C274,FA,0)),0,IF($J274="GIRIS",N(INDEX(F_INKOR,MATCH($C274,FA,0))),0))</f>
        <v>0</v>
      </c>
      <c r="U274" s="7" t="e">
        <f>IF(ISNA(MATCH($B274,TIP_AD,0)),"",INDEX(TIP_KAT,MATCH($B274,TIP_AD,0))&amp;"")</f>
        <v>#REF!</v>
      </c>
      <c r="V274" s="7" t="e">
        <f>IF(NOT(ISNUMBER($P274)),"",IF($Z274=0,0,IF(ISNA(MATCH($Z274,BUK_KESIT,0)),"",IF(INDEX(BUK_ALAN,MATCH($Z274,BUK_KESIT,0))&amp;""="","",INDEX(BUK_ALAN,MATCH($Z274,BUK_KESIT,0))))))</f>
        <v>#REF!</v>
      </c>
      <c r="W274" s="7" t="e">
        <f>IF(OR(NOT(ISNUMBER($P274)),$Q274=""),"",N(#REF!)*($Q274+IF(ISNA(MATCH($B274,TIP_AD,0)),0,N(INDEX(TIP_BOSLUK,MATCH($B274,TIP_AD,0))))))</f>
        <v>#REF!</v>
      </c>
      <c r="X274" s="7" t="e">
        <f>IF(ISNUMBER($P274),($Q274="")+($R274="")+($V274="")+IF(AND($U274="KONTAKTOR",NOT(ISNA(MATCH($B274,TIP_AD,0)))),IF(INDEX(TIP_BOSLUK,MATCH($B274,TIP_AD,0))&amp;""="",1,0),0),IF($P274="K",IF($S274="",1,0),0))</f>
        <v>#REF!</v>
      </c>
      <c r="Y274" s="7" t="e">
        <f>N(#REF!)*IF($E274="упак",MAX(1,IF(ISNA(MATCH($C274,FA,0)),1,N(INDEX(F_PAKET,MATCH($C274,FA,0))))),1)</f>
        <v>#REF!</v>
      </c>
      <c r="Z274" s="7" t="e">
        <f t="shared" si="71"/>
        <v>#REF!</v>
      </c>
      <c r="AA274" s="7" t="e">
        <f>IF(OR(ISNA(MATCH($C274,FA,0)),$J274="YEDEK",$J274="SARF"),0,N(#REF!)*N(INDEX(F_TEL,MATCH($C274,FA,0))))</f>
        <v>#REF!</v>
      </c>
      <c r="AB274" s="7" t="e">
        <f>IF(OR(ISNA(MATCH($C274,FA,0)),$J274="YEDEK",$J274="SARF"),0,N(#REF!)*N(INDEX(F_TELM,MATCH($C274,FA,0))))</f>
        <v>#REF!</v>
      </c>
      <c r="AC274" s="7" t="e">
        <f t="shared" si="72"/>
        <v>#REF!</v>
      </c>
      <c r="AD274" s="7" t="e">
        <f>IF(OR(ISNA(MATCH($C274,FA,0)),$J274&lt;&gt;"CIKIS"),0,N(INDEX(F_KK,MATCH($C274,FA,0))))</f>
        <v>#REF!</v>
      </c>
      <c r="AE274" s="7" t="e">
        <f>IF($AD274=0,0,N(#REF!)*N(INDEX(F_KLN,MATCH($C274,FA,0))))</f>
        <v>#REF!</v>
      </c>
      <c r="AF274" s="7" t="e">
        <f>IF($AD274=0,0,N(#REF!)*N(INDEX(F_KPE,MATCH($C274,FA,0))))</f>
        <v>#REF!</v>
      </c>
      <c r="AG274" s="7" t="e">
        <f>IF(ISNA(MATCH($C274,FA,0)),0,N(#REF!)*N(INDEX(F_MODUL,MATCH($C274,FA,0))))</f>
        <v>#REF!</v>
      </c>
      <c r="AH274" s="7" t="e">
        <f>N(#REF!)*N($I274)</f>
        <v>#REF!</v>
      </c>
      <c r="AI274" s="7" t="e">
        <f t="shared" si="73"/>
        <v>#REF!</v>
      </c>
      <c r="AJ274" s="7">
        <f t="shared" si="74"/>
        <v>0</v>
      </c>
    </row>
    <row r="275" spans="1:36" x14ac:dyDescent="0.25">
      <c r="A275" s="4" t="str">
        <f t="shared" si="68"/>
        <v>ЩС-П (260922 akram aulet)</v>
      </c>
      <c r="B275" s="4" t="s">
        <v>218</v>
      </c>
      <c r="C275" s="4" t="s">
        <v>487</v>
      </c>
      <c r="D275" s="4" t="s">
        <v>488</v>
      </c>
      <c r="E275" s="4" t="s">
        <v>114</v>
      </c>
      <c r="F275" s="4" t="s">
        <v>486</v>
      </c>
      <c r="G275" s="4" t="s">
        <v>38</v>
      </c>
      <c r="H275" s="5" t="e">
        <f>#REF!</f>
        <v>#REF!</v>
      </c>
      <c r="I275" s="6" t="e">
        <f t="shared" si="69"/>
        <v>#REF!</v>
      </c>
      <c r="J275" s="6" t="s">
        <v>66</v>
      </c>
      <c r="K275" s="6" t="s">
        <v>218</v>
      </c>
      <c r="L275" s="7" t="e">
        <f t="shared" si="70"/>
        <v>#REF!</v>
      </c>
      <c r="M275" s="7" t="s">
        <v>219</v>
      </c>
      <c r="N275" s="7" t="s">
        <v>220</v>
      </c>
      <c r="O275" s="7">
        <f>IF(OR($C275="",$C275="FID YOK"),"",IF(ISNUMBER(MATCH($C275,FA_ANA,0)),"",IF(COUNTIF($C$1:$C274,$C275)&gt;0,"",MAX($O$1:$O274)+1)))</f>
        <v>70</v>
      </c>
      <c r="P275" s="8">
        <v>1</v>
      </c>
      <c r="Q275" s="7" t="e">
        <f>IF(OR($P275="",$P275="G",ISNA(MATCH($C275,FA,0))),"",IF(N(INDEX(F_G,MATCH($C275,FA,0)))&gt;0,INDEX(F_G,MATCH($C275,FA,0)),IF(N(INDEX(F_MODUL,MATCH($C275,FA,0)))&gt;0,INDEX(F_MODUL,MATCH($C275,FA,0))*MODUL_MM,"")))</f>
        <v>#REF!</v>
      </c>
      <c r="R275" s="7" t="e">
        <f>IF(OR($P275="",$P275="G",ISNA(MATCH($C275,FA,0))),"",IF(N(INDEX(F_Y,MATCH($C275,FA,0)))&gt;0,INDEX(F_Y,MATCH($C275,FA,0)),""))</f>
        <v>#REF!</v>
      </c>
      <c r="S275" s="7" t="e">
        <f>IF(OR($P275="",$P275="G",ISNA(MATCH($C275,FA,0))),"",IF(N(INDEX(F_D,MATCH($C275,FA,0)))&gt;0,INDEX(F_D,MATCH($C275,FA,0)),""))</f>
        <v>#REF!</v>
      </c>
      <c r="T275" s="7">
        <f>IF(ISNA(MATCH($C275,FA,0)),0,IF($J275="GIRIS",N(INDEX(F_INKOR,MATCH($C275,FA,0))),0))</f>
        <v>0</v>
      </c>
      <c r="U275" s="7" t="e">
        <f>IF(ISNA(MATCH($B275,TIP_AD,0)),"",INDEX(TIP_KAT,MATCH($B275,TIP_AD,0))&amp;"")</f>
        <v>#REF!</v>
      </c>
      <c r="V275" s="7" t="e">
        <f>IF(NOT(ISNUMBER($P275)),"",IF($Z275=0,0,IF(ISNA(MATCH($Z275,BUK_KESIT,0)),"",IF(INDEX(BUK_ALAN,MATCH($Z275,BUK_KESIT,0))&amp;""="","",INDEX(BUK_ALAN,MATCH($Z275,BUK_KESIT,0))))))</f>
        <v>#REF!</v>
      </c>
      <c r="W275" s="7" t="e">
        <f>IF(OR(NOT(ISNUMBER($P275)),$Q275=""),"",N(#REF!)*($Q275+IF(ISNA(MATCH($B275,TIP_AD,0)),0,N(INDEX(TIP_BOSLUK,MATCH($B275,TIP_AD,0))))))</f>
        <v>#REF!</v>
      </c>
      <c r="X275" s="7" t="e">
        <f>IF(ISNUMBER($P275),($Q275="")+($R275="")+($V275="")+IF(AND($U275="KONTAKTOR",NOT(ISNA(MATCH($B275,TIP_AD,0)))),IF(INDEX(TIP_BOSLUK,MATCH($B275,TIP_AD,0))&amp;""="",1,0),0),IF($P275="K",IF($S275="",1,0),0))</f>
        <v>#REF!</v>
      </c>
      <c r="Y275" s="7" t="e">
        <f>N(#REF!)*IF($E275="упак",MAX(1,IF(ISNA(MATCH($C275,FA,0)),1,N(INDEX(F_PAKET,MATCH($C275,FA,0))))),1)</f>
        <v>#REF!</v>
      </c>
      <c r="Z275" s="7" t="e">
        <f t="shared" si="71"/>
        <v>#REF!</v>
      </c>
      <c r="AA275" s="7" t="e">
        <f>IF(OR(ISNA(MATCH($C275,FA,0)),$J275="YEDEK",$J275="SARF"),0,N(#REF!)*N(INDEX(F_TEL,MATCH($C275,FA,0))))</f>
        <v>#REF!</v>
      </c>
      <c r="AB275" s="7" t="e">
        <f>IF(OR(ISNA(MATCH($C275,FA,0)),$J275="YEDEK",$J275="SARF"),0,N(#REF!)*N(INDEX(F_TELM,MATCH($C275,FA,0))))</f>
        <v>#REF!</v>
      </c>
      <c r="AC275" s="7" t="e">
        <f t="shared" si="72"/>
        <v>#REF!</v>
      </c>
      <c r="AD275" s="7">
        <f>IF(OR(ISNA(MATCH($C275,FA,0)),$J275&lt;&gt;"CIKIS"),0,N(INDEX(F_KK,MATCH($C275,FA,0))))</f>
        <v>0</v>
      </c>
      <c r="AE275" s="7">
        <f>IF($AD275=0,0,N(#REF!)*N(INDEX(F_KLN,MATCH($C275,FA,0))))</f>
        <v>0</v>
      </c>
      <c r="AF275" s="7">
        <f>IF($AD275=0,0,N(#REF!)*N(INDEX(F_KPE,MATCH($C275,FA,0))))</f>
        <v>0</v>
      </c>
      <c r="AG275" s="7" t="e">
        <f>IF(ISNA(MATCH($C275,FA,0)),0,N(#REF!)*N(INDEX(F_MODUL,MATCH($C275,FA,0))))</f>
        <v>#REF!</v>
      </c>
      <c r="AH275" s="7" t="e">
        <f>N(#REF!)*N($I275)</f>
        <v>#REF!</v>
      </c>
      <c r="AI275" s="7" t="e">
        <f t="shared" si="73"/>
        <v>#REF!</v>
      </c>
      <c r="AJ275" s="7">
        <f t="shared" si="74"/>
        <v>0</v>
      </c>
    </row>
    <row r="276" spans="1:36" x14ac:dyDescent="0.25">
      <c r="A276" s="4" t="str">
        <f t="shared" si="68"/>
        <v>ЩС-П (260922 akram aulet)</v>
      </c>
      <c r="B276" s="4" t="s">
        <v>202</v>
      </c>
      <c r="C276" s="4" t="s">
        <v>583</v>
      </c>
      <c r="D276" s="4" t="s">
        <v>584</v>
      </c>
      <c r="E276" s="4" t="s">
        <v>114</v>
      </c>
      <c r="F276" s="4" t="s">
        <v>486</v>
      </c>
      <c r="G276" s="4" t="s">
        <v>38</v>
      </c>
      <c r="H276" s="5" t="e">
        <f>#REF!</f>
        <v>#REF!</v>
      </c>
      <c r="I276" s="6" t="e">
        <f t="shared" si="69"/>
        <v>#REF!</v>
      </c>
      <c r="J276" s="6" t="s">
        <v>84</v>
      </c>
      <c r="K276" s="6" t="s">
        <v>202</v>
      </c>
      <c r="L276" s="7" t="e">
        <f t="shared" si="70"/>
        <v>#REF!</v>
      </c>
      <c r="M276" s="7" t="s">
        <v>203</v>
      </c>
      <c r="O276" s="7">
        <f>IF(OR($C276="",$C276="FID YOK"),"",IF(ISNUMBER(MATCH($C276,FA_ANA,0)),"",IF(COUNTIF($C$1:$C275,$C276)&gt;0,"",MAX($O$1:$O275)+1)))</f>
        <v>71</v>
      </c>
      <c r="T276" s="7">
        <f>IF(ISNA(MATCH($C276,FA,0)),0,IF($J276="GIRIS",N(INDEX(F_INKOR,MATCH($C276,FA,0))),0))</f>
        <v>0</v>
      </c>
      <c r="Y276" s="7" t="e">
        <f>N(#REF!)*IF($E276="упак",MAX(1,IF(ISNA(MATCH($C276,FA,0)),1,N(INDEX(F_PAKET,MATCH($C276,FA,0))))),1)</f>
        <v>#REF!</v>
      </c>
      <c r="Z276" s="7" t="e">
        <f t="shared" si="71"/>
        <v>#REF!</v>
      </c>
      <c r="AA276" s="7">
        <f>IF(OR(ISNA(MATCH($C276,FA,0)),$J276="YEDEK",$J276="SARF"),0,N(#REF!)*N(INDEX(F_TEL,MATCH($C276,FA,0))))</f>
        <v>0</v>
      </c>
      <c r="AB276" s="7">
        <f>IF(OR(ISNA(MATCH($C276,FA,0)),$J276="YEDEK",$J276="SARF"),0,N(#REF!)*N(INDEX(F_TELM,MATCH($C276,FA,0))))</f>
        <v>0</v>
      </c>
      <c r="AC276" s="7" t="e">
        <f t="shared" si="72"/>
        <v>#REF!</v>
      </c>
      <c r="AD276" s="7">
        <f>IF(OR(ISNA(MATCH($C276,FA,0)),$J276&lt;&gt;"CIKIS"),0,N(INDEX(F_KK,MATCH($C276,FA,0))))</f>
        <v>0</v>
      </c>
      <c r="AE276" s="7">
        <f>IF($AD276=0,0,N(#REF!)*N(INDEX(F_KLN,MATCH($C276,FA,0))))</f>
        <v>0</v>
      </c>
      <c r="AF276" s="7">
        <f>IF($AD276=0,0,N(#REF!)*N(INDEX(F_KPE,MATCH($C276,FA,0))))</f>
        <v>0</v>
      </c>
      <c r="AG276" s="7" t="e">
        <f>IF(ISNA(MATCH($C276,FA,0)),0,N(#REF!)*N(INDEX(F_MODUL,MATCH($C276,FA,0))))</f>
        <v>#REF!</v>
      </c>
      <c r="AH276" s="7" t="e">
        <f>N(#REF!)*N($I276)</f>
        <v>#REF!</v>
      </c>
      <c r="AI276" s="7" t="e">
        <f t="shared" si="73"/>
        <v>#REF!</v>
      </c>
      <c r="AJ276" s="7">
        <f t="shared" si="74"/>
        <v>0</v>
      </c>
    </row>
    <row r="277" spans="1:36" x14ac:dyDescent="0.25">
      <c r="A277" s="4" t="str">
        <f t="shared" si="68"/>
        <v>ЩС-П (260922 akram aulet)</v>
      </c>
      <c r="B277" s="4" t="s">
        <v>202</v>
      </c>
      <c r="C277" s="4" t="s">
        <v>583</v>
      </c>
      <c r="D277" s="4" t="s">
        <v>584</v>
      </c>
      <c r="E277" s="4" t="s">
        <v>114</v>
      </c>
      <c r="F277" s="4" t="s">
        <v>486</v>
      </c>
      <c r="G277" s="4" t="s">
        <v>38</v>
      </c>
      <c r="H277" s="5" t="e">
        <f>#REF!</f>
        <v>#REF!</v>
      </c>
      <c r="I277" s="6" t="e">
        <f t="shared" si="69"/>
        <v>#REF!</v>
      </c>
      <c r="J277" s="6" t="s">
        <v>84</v>
      </c>
      <c r="K277" s="6" t="s">
        <v>202</v>
      </c>
      <c r="L277" s="7" t="e">
        <f t="shared" si="70"/>
        <v>#REF!</v>
      </c>
      <c r="M277" s="7" t="s">
        <v>204</v>
      </c>
      <c r="O277" s="7" t="str">
        <f>IF(OR($C277="",$C277="FID YOK"),"",IF(ISNUMBER(MATCH($C277,FA_ANA,0)),"",IF(COUNTIF($C$1:$C276,$C277)&gt;0,"",MAX($O$1:$O276)+1)))</f>
        <v/>
      </c>
      <c r="T277" s="7">
        <f>IF(ISNA(MATCH($C277,FA,0)),0,IF($J277="GIRIS",N(INDEX(F_INKOR,MATCH($C277,FA,0))),0))</f>
        <v>0</v>
      </c>
      <c r="Y277" s="7" t="e">
        <f>N(#REF!)*IF($E277="упак",MAX(1,IF(ISNA(MATCH($C277,FA,0)),1,N(INDEX(F_PAKET,MATCH($C277,FA,0))))),1)</f>
        <v>#REF!</v>
      </c>
      <c r="Z277" s="7" t="e">
        <f t="shared" si="71"/>
        <v>#REF!</v>
      </c>
      <c r="AA277" s="7">
        <f>IF(OR(ISNA(MATCH($C277,FA,0)),$J277="YEDEK",$J277="SARF"),0,N(#REF!)*N(INDEX(F_TEL,MATCH($C277,FA,0))))</f>
        <v>0</v>
      </c>
      <c r="AB277" s="7">
        <f>IF(OR(ISNA(MATCH($C277,FA,0)),$J277="YEDEK",$J277="SARF"),0,N(#REF!)*N(INDEX(F_TELM,MATCH($C277,FA,0))))</f>
        <v>0</v>
      </c>
      <c r="AC277" s="7" t="e">
        <f t="shared" si="72"/>
        <v>#REF!</v>
      </c>
      <c r="AD277" s="7">
        <f>IF(OR(ISNA(MATCH($C277,FA,0)),$J277&lt;&gt;"CIKIS"),0,N(INDEX(F_KK,MATCH($C277,FA,0))))</f>
        <v>0</v>
      </c>
      <c r="AE277" s="7">
        <f>IF($AD277=0,0,N(#REF!)*N(INDEX(F_KLN,MATCH($C277,FA,0))))</f>
        <v>0</v>
      </c>
      <c r="AF277" s="7">
        <f>IF($AD277=0,0,N(#REF!)*N(INDEX(F_KPE,MATCH($C277,FA,0))))</f>
        <v>0</v>
      </c>
      <c r="AG277" s="7" t="e">
        <f>IF(ISNA(MATCH($C277,FA,0)),0,N(#REF!)*N(INDEX(F_MODUL,MATCH($C277,FA,0))))</f>
        <v>#REF!</v>
      </c>
      <c r="AH277" s="7" t="e">
        <f>N(#REF!)*N($I277)</f>
        <v>#REF!</v>
      </c>
      <c r="AI277" s="7" t="e">
        <f t="shared" si="73"/>
        <v>#REF!</v>
      </c>
      <c r="AJ277" s="7">
        <f t="shared" si="74"/>
        <v>0</v>
      </c>
    </row>
    <row r="278" spans="1:36" x14ac:dyDescent="0.25">
      <c r="A278" s="4" t="str">
        <f t="shared" si="68"/>
        <v>ЩС-П (260922 akram aulet)</v>
      </c>
      <c r="B278" s="4" t="s">
        <v>92</v>
      </c>
      <c r="C278" s="4" t="s">
        <v>523</v>
      </c>
      <c r="D278" s="4" t="s">
        <v>524</v>
      </c>
      <c r="E278" s="4" t="s">
        <v>520</v>
      </c>
      <c r="F278" s="4" t="s">
        <v>521</v>
      </c>
      <c r="G278" s="4" t="s">
        <v>38</v>
      </c>
      <c r="H278" s="5" t="e">
        <f>#REF!</f>
        <v>#REF!</v>
      </c>
      <c r="I278" s="6" t="e">
        <f t="shared" si="69"/>
        <v>#REF!</v>
      </c>
      <c r="J278" s="6" t="s">
        <v>84</v>
      </c>
      <c r="K278" s="6" t="s">
        <v>92</v>
      </c>
      <c r="L278" s="7" t="e">
        <f t="shared" si="70"/>
        <v>#REF!</v>
      </c>
      <c r="M278" s="7" t="s">
        <v>93</v>
      </c>
      <c r="O278" s="7" t="str">
        <f>IF(OR($C278="",$C278="FID YOK"),"",IF(ISNUMBER(MATCH($C278,FA_ANA,0)),"",IF(COUNTIF($C$1:$C277,$C278)&gt;0,"",MAX($O$1:$O277)+1)))</f>
        <v/>
      </c>
      <c r="T278" s="7">
        <f>IF(ISNA(MATCH($C278,FA,0)),0,IF($J278="GIRIS",N(INDEX(F_INKOR,MATCH($C278,FA,0))),0))</f>
        <v>0</v>
      </c>
      <c r="Y278" s="7" t="e">
        <f>N(#REF!)*IF($E278="упак",MAX(1,IF(ISNA(MATCH($C278,FA,0)),1,N(INDEX(F_PAKET,MATCH($C278,FA,0))))),1)</f>
        <v>#REF!</v>
      </c>
      <c r="Z278" s="7" t="e">
        <f t="shared" si="71"/>
        <v>#REF!</v>
      </c>
      <c r="AA278" s="7">
        <f>IF(OR(ISNA(MATCH($C278,FA,0)),$J278="YEDEK",$J278="SARF"),0,N(#REF!)*N(INDEX(F_TEL,MATCH($C278,FA,0))))</f>
        <v>0</v>
      </c>
      <c r="AB278" s="7">
        <f>IF(OR(ISNA(MATCH($C278,FA,0)),$J278="YEDEK",$J278="SARF"),0,N(#REF!)*N(INDEX(F_TELM,MATCH($C278,FA,0))))</f>
        <v>0</v>
      </c>
      <c r="AC278" s="7" t="e">
        <f t="shared" si="72"/>
        <v>#REF!</v>
      </c>
      <c r="AD278" s="7">
        <f>IF(OR(ISNA(MATCH($C278,FA,0)),$J278&lt;&gt;"CIKIS"),0,N(INDEX(F_KK,MATCH($C278,FA,0))))</f>
        <v>0</v>
      </c>
      <c r="AE278" s="7">
        <f>IF($AD278=0,0,N(#REF!)*N(INDEX(F_KLN,MATCH($C278,FA,0))))</f>
        <v>0</v>
      </c>
      <c r="AF278" s="7">
        <f>IF($AD278=0,0,N(#REF!)*N(INDEX(F_KPE,MATCH($C278,FA,0))))</f>
        <v>0</v>
      </c>
      <c r="AG278" s="7" t="e">
        <f>IF(ISNA(MATCH($C278,FA,0)),0,N(#REF!)*N(INDEX(F_MODUL,MATCH($C278,FA,0))))</f>
        <v>#REF!</v>
      </c>
      <c r="AH278" s="7" t="e">
        <f>N(#REF!)*N($I278)</f>
        <v>#REF!</v>
      </c>
      <c r="AI278" s="7" t="e">
        <f t="shared" si="73"/>
        <v>#REF!</v>
      </c>
      <c r="AJ278" s="7">
        <f t="shared" si="74"/>
        <v>0</v>
      </c>
    </row>
    <row r="279" spans="1:36" x14ac:dyDescent="0.25">
      <c r="A279" s="4" t="str">
        <f t="shared" si="68"/>
        <v>ЩС-П (260922 akram aulet)</v>
      </c>
      <c r="B279" s="4" t="s">
        <v>92</v>
      </c>
      <c r="C279" s="4" t="s">
        <v>527</v>
      </c>
      <c r="D279" s="4" t="s">
        <v>528</v>
      </c>
      <c r="E279" s="4" t="s">
        <v>520</v>
      </c>
      <c r="F279" s="4" t="s">
        <v>521</v>
      </c>
      <c r="G279" s="4" t="s">
        <v>38</v>
      </c>
      <c r="H279" s="5" t="e">
        <f>#REF!</f>
        <v>#REF!</v>
      </c>
      <c r="I279" s="6" t="e">
        <f t="shared" si="69"/>
        <v>#REF!</v>
      </c>
      <c r="J279" s="6" t="s">
        <v>84</v>
      </c>
      <c r="K279" s="6" t="s">
        <v>92</v>
      </c>
      <c r="L279" s="7" t="e">
        <f t="shared" si="70"/>
        <v>#REF!</v>
      </c>
      <c r="M279" s="7" t="s">
        <v>94</v>
      </c>
      <c r="O279" s="7" t="str">
        <f>IF(OR($C279="",$C279="FID YOK"),"",IF(ISNUMBER(MATCH($C279,FA_ANA,0)),"",IF(COUNTIF($C$1:$C278,$C279)&gt;0,"",MAX($O$1:$O278)+1)))</f>
        <v/>
      </c>
      <c r="T279" s="7">
        <f>IF(ISNA(MATCH($C279,FA,0)),0,IF($J279="GIRIS",N(INDEX(F_INKOR,MATCH($C279,FA,0))),0))</f>
        <v>0</v>
      </c>
      <c r="Y279" s="7" t="e">
        <f>N(#REF!)*IF($E279="упак",MAX(1,IF(ISNA(MATCH($C279,FA,0)),1,N(INDEX(F_PAKET,MATCH($C279,FA,0))))),1)</f>
        <v>#REF!</v>
      </c>
      <c r="Z279" s="7" t="e">
        <f t="shared" si="71"/>
        <v>#REF!</v>
      </c>
      <c r="AA279" s="7">
        <f>IF(OR(ISNA(MATCH($C279,FA,0)),$J279="YEDEK",$J279="SARF"),0,N(#REF!)*N(INDEX(F_TEL,MATCH($C279,FA,0))))</f>
        <v>0</v>
      </c>
      <c r="AB279" s="7">
        <f>IF(OR(ISNA(MATCH($C279,FA,0)),$J279="YEDEK",$J279="SARF"),0,N(#REF!)*N(INDEX(F_TELM,MATCH($C279,FA,0))))</f>
        <v>0</v>
      </c>
      <c r="AC279" s="7" t="e">
        <f t="shared" si="72"/>
        <v>#REF!</v>
      </c>
      <c r="AD279" s="7">
        <f>IF(OR(ISNA(MATCH($C279,FA,0)),$J279&lt;&gt;"CIKIS"),0,N(INDEX(F_KK,MATCH($C279,FA,0))))</f>
        <v>0</v>
      </c>
      <c r="AE279" s="7">
        <f>IF($AD279=0,0,N(#REF!)*N(INDEX(F_KLN,MATCH($C279,FA,0))))</f>
        <v>0</v>
      </c>
      <c r="AF279" s="7">
        <f>IF($AD279=0,0,N(#REF!)*N(INDEX(F_KPE,MATCH($C279,FA,0))))</f>
        <v>0</v>
      </c>
      <c r="AG279" s="7" t="e">
        <f>IF(ISNA(MATCH($C279,FA,0)),0,N(#REF!)*N(INDEX(F_MODUL,MATCH($C279,FA,0))))</f>
        <v>#REF!</v>
      </c>
      <c r="AH279" s="7" t="e">
        <f>N(#REF!)*N($I279)</f>
        <v>#REF!</v>
      </c>
      <c r="AI279" s="7" t="e">
        <f t="shared" si="73"/>
        <v>#REF!</v>
      </c>
      <c r="AJ279" s="7">
        <f t="shared" si="74"/>
        <v>0</v>
      </c>
    </row>
    <row r="280" spans="1:36" x14ac:dyDescent="0.25">
      <c r="A280" s="4" t="str">
        <f t="shared" si="68"/>
        <v>ЩС-П (260922 akram aulet)</v>
      </c>
      <c r="B280" s="4" t="s">
        <v>92</v>
      </c>
      <c r="C280" s="4" t="s">
        <v>535</v>
      </c>
      <c r="D280" s="4" t="s">
        <v>536</v>
      </c>
      <c r="E280" s="4" t="s">
        <v>520</v>
      </c>
      <c r="F280" s="4" t="s">
        <v>521</v>
      </c>
      <c r="G280" s="4" t="s">
        <v>38</v>
      </c>
      <c r="H280" s="5" t="e">
        <f>#REF!</f>
        <v>#REF!</v>
      </c>
      <c r="I280" s="6" t="e">
        <f t="shared" si="69"/>
        <v>#REF!</v>
      </c>
      <c r="J280" s="6" t="s">
        <v>84</v>
      </c>
      <c r="K280" s="6" t="s">
        <v>92</v>
      </c>
      <c r="L280" s="7" t="e">
        <f t="shared" si="70"/>
        <v>#REF!</v>
      </c>
      <c r="M280" s="7" t="s">
        <v>130</v>
      </c>
      <c r="O280" s="7" t="str">
        <f>IF(OR($C280="",$C280="FID YOK"),"",IF(ISNUMBER(MATCH($C280,FA_ANA,0)),"",IF(COUNTIF($C$1:$C279,$C280)&gt;0,"",MAX($O$1:$O279)+1)))</f>
        <v/>
      </c>
      <c r="T280" s="7">
        <f>IF(ISNA(MATCH($C280,FA,0)),0,IF($J280="GIRIS",N(INDEX(F_INKOR,MATCH($C280,FA,0))),0))</f>
        <v>0</v>
      </c>
      <c r="Y280" s="7" t="e">
        <f>N(#REF!)*IF($E280="упак",MAX(1,IF(ISNA(MATCH($C280,FA,0)),1,N(INDEX(F_PAKET,MATCH($C280,FA,0))))),1)</f>
        <v>#REF!</v>
      </c>
      <c r="Z280" s="7" t="e">
        <f t="shared" si="71"/>
        <v>#REF!</v>
      </c>
      <c r="AA280" s="7">
        <f>IF(OR(ISNA(MATCH($C280,FA,0)),$J280="YEDEK",$J280="SARF"),0,N(#REF!)*N(INDEX(F_TEL,MATCH($C280,FA,0))))</f>
        <v>0</v>
      </c>
      <c r="AB280" s="7">
        <f>IF(OR(ISNA(MATCH($C280,FA,0)),$J280="YEDEK",$J280="SARF"),0,N(#REF!)*N(INDEX(F_TELM,MATCH($C280,FA,0))))</f>
        <v>0</v>
      </c>
      <c r="AC280" s="7" t="e">
        <f t="shared" si="72"/>
        <v>#REF!</v>
      </c>
      <c r="AD280" s="7">
        <f>IF(OR(ISNA(MATCH($C280,FA,0)),$J280&lt;&gt;"CIKIS"),0,N(INDEX(F_KK,MATCH($C280,FA,0))))</f>
        <v>0</v>
      </c>
      <c r="AE280" s="7">
        <f>IF($AD280=0,0,N(#REF!)*N(INDEX(F_KLN,MATCH($C280,FA,0))))</f>
        <v>0</v>
      </c>
      <c r="AF280" s="7">
        <f>IF($AD280=0,0,N(#REF!)*N(INDEX(F_KPE,MATCH($C280,FA,0))))</f>
        <v>0</v>
      </c>
      <c r="AG280" s="7" t="e">
        <f>IF(ISNA(MATCH($C280,FA,0)),0,N(#REF!)*N(INDEX(F_MODUL,MATCH($C280,FA,0))))</f>
        <v>#REF!</v>
      </c>
      <c r="AH280" s="7" t="e">
        <f>N(#REF!)*N($I280)</f>
        <v>#REF!</v>
      </c>
      <c r="AI280" s="7" t="e">
        <f t="shared" si="73"/>
        <v>#REF!</v>
      </c>
      <c r="AJ280" s="7">
        <f t="shared" si="74"/>
        <v>0</v>
      </c>
    </row>
    <row r="281" spans="1:36" x14ac:dyDescent="0.25">
      <c r="A281" s="4" t="str">
        <f t="shared" si="68"/>
        <v>ЩС-П (260922 akram aulet)</v>
      </c>
      <c r="B281" s="4" t="s">
        <v>92</v>
      </c>
      <c r="C281" s="4" t="s">
        <v>535</v>
      </c>
      <c r="D281" s="4" t="s">
        <v>536</v>
      </c>
      <c r="E281" s="4" t="s">
        <v>520</v>
      </c>
      <c r="F281" s="4" t="s">
        <v>521</v>
      </c>
      <c r="G281" s="4" t="s">
        <v>38</v>
      </c>
      <c r="H281" s="5" t="e">
        <f>#REF!</f>
        <v>#REF!</v>
      </c>
      <c r="I281" s="6" t="e">
        <f t="shared" si="69"/>
        <v>#REF!</v>
      </c>
      <c r="J281" s="6" t="s">
        <v>84</v>
      </c>
      <c r="K281" s="6" t="s">
        <v>92</v>
      </c>
      <c r="L281" s="7" t="e">
        <f t="shared" si="70"/>
        <v>#REF!</v>
      </c>
      <c r="M281" s="7" t="s">
        <v>100</v>
      </c>
      <c r="O281" s="7" t="str">
        <f>IF(OR($C281="",$C281="FID YOK"),"",IF(ISNUMBER(MATCH($C281,FA_ANA,0)),"",IF(COUNTIF($C$1:$C280,$C281)&gt;0,"",MAX($O$1:$O280)+1)))</f>
        <v/>
      </c>
      <c r="T281" s="7">
        <f>IF(ISNA(MATCH($C281,FA,0)),0,IF($J281="GIRIS",N(INDEX(F_INKOR,MATCH($C281,FA,0))),0))</f>
        <v>0</v>
      </c>
      <c r="Y281" s="7" t="e">
        <f>N(#REF!)*IF($E281="упак",MAX(1,IF(ISNA(MATCH($C281,FA,0)),1,N(INDEX(F_PAKET,MATCH($C281,FA,0))))),1)</f>
        <v>#REF!</v>
      </c>
      <c r="Z281" s="7" t="e">
        <f t="shared" si="71"/>
        <v>#REF!</v>
      </c>
      <c r="AA281" s="7">
        <f>IF(OR(ISNA(MATCH($C281,FA,0)),$J281="YEDEK",$J281="SARF"),0,N(#REF!)*N(INDEX(F_TEL,MATCH($C281,FA,0))))</f>
        <v>0</v>
      </c>
      <c r="AB281" s="7">
        <f>IF(OR(ISNA(MATCH($C281,FA,0)),$J281="YEDEK",$J281="SARF"),0,N(#REF!)*N(INDEX(F_TELM,MATCH($C281,FA,0))))</f>
        <v>0</v>
      </c>
      <c r="AC281" s="7" t="e">
        <f t="shared" si="72"/>
        <v>#REF!</v>
      </c>
      <c r="AD281" s="7">
        <f>IF(OR(ISNA(MATCH($C281,FA,0)),$J281&lt;&gt;"CIKIS"),0,N(INDEX(F_KK,MATCH($C281,FA,0))))</f>
        <v>0</v>
      </c>
      <c r="AE281" s="7">
        <f>IF($AD281=0,0,N(#REF!)*N(INDEX(F_KLN,MATCH($C281,FA,0))))</f>
        <v>0</v>
      </c>
      <c r="AF281" s="7">
        <f>IF($AD281=0,0,N(#REF!)*N(INDEX(F_KPE,MATCH($C281,FA,0))))</f>
        <v>0</v>
      </c>
      <c r="AG281" s="7" t="e">
        <f>IF(ISNA(MATCH($C281,FA,0)),0,N(#REF!)*N(INDEX(F_MODUL,MATCH($C281,FA,0))))</f>
        <v>#REF!</v>
      </c>
      <c r="AH281" s="7" t="e">
        <f>N(#REF!)*N($I281)</f>
        <v>#REF!</v>
      </c>
      <c r="AI281" s="7" t="e">
        <f t="shared" si="73"/>
        <v>#REF!</v>
      </c>
      <c r="AJ281" s="7">
        <f t="shared" si="74"/>
        <v>0</v>
      </c>
    </row>
    <row r="282" spans="1:36" x14ac:dyDescent="0.25">
      <c r="A282" s="4" t="str">
        <f t="shared" si="68"/>
        <v>ЩС-П (260922 akram aulet)</v>
      </c>
      <c r="B282" s="4" t="s">
        <v>101</v>
      </c>
      <c r="C282" s="4" t="s">
        <v>525</v>
      </c>
      <c r="D282" s="4" t="s">
        <v>526</v>
      </c>
      <c r="E282" s="4" t="s">
        <v>522</v>
      </c>
      <c r="F282" s="4" t="s">
        <v>486</v>
      </c>
      <c r="G282" s="4" t="s">
        <v>38</v>
      </c>
      <c r="H282" s="5" t="e">
        <f>#REF!</f>
        <v>#REF!</v>
      </c>
      <c r="I282" s="6" t="e">
        <f t="shared" si="69"/>
        <v>#REF!</v>
      </c>
      <c r="J282" s="6" t="s">
        <v>84</v>
      </c>
      <c r="K282" s="6" t="s">
        <v>101</v>
      </c>
      <c r="L282" s="7" t="e">
        <f t="shared" si="70"/>
        <v>#REF!</v>
      </c>
      <c r="M282" s="7" t="s">
        <v>102</v>
      </c>
      <c r="O282" s="7" t="str">
        <f>IF(OR($C282="",$C282="FID YOK"),"",IF(ISNUMBER(MATCH($C282,FA_ANA,0)),"",IF(COUNTIF($C$1:$C281,$C282)&gt;0,"",MAX($O$1:$O281)+1)))</f>
        <v/>
      </c>
      <c r="T282" s="7">
        <f>IF(ISNA(MATCH($C282,FA,0)),0,IF($J282="GIRIS",N(INDEX(F_INKOR,MATCH($C282,FA,0))),0))</f>
        <v>0</v>
      </c>
      <c r="Y282" s="7" t="e">
        <f>N(#REF!)*IF($E282="упак",MAX(1,IF(ISNA(MATCH($C282,FA,0)),1,N(INDEX(F_PAKET,MATCH($C282,FA,0))))),1)</f>
        <v>#REF!</v>
      </c>
      <c r="Z282" s="7" t="e">
        <f t="shared" si="71"/>
        <v>#REF!</v>
      </c>
      <c r="AA282" s="7">
        <f>IF(OR(ISNA(MATCH($C282,FA,0)),$J282="YEDEK",$J282="SARF"),0,N(#REF!)*N(INDEX(F_TEL,MATCH($C282,FA,0))))</f>
        <v>0</v>
      </c>
      <c r="AB282" s="7">
        <f>IF(OR(ISNA(MATCH($C282,FA,0)),$J282="YEDEK",$J282="SARF"),0,N(#REF!)*N(INDEX(F_TELM,MATCH($C282,FA,0))))</f>
        <v>0</v>
      </c>
      <c r="AC282" s="7" t="e">
        <f t="shared" si="72"/>
        <v>#REF!</v>
      </c>
      <c r="AD282" s="7">
        <f>IF(OR(ISNA(MATCH($C282,FA,0)),$J282&lt;&gt;"CIKIS"),0,N(INDEX(F_KK,MATCH($C282,FA,0))))</f>
        <v>0</v>
      </c>
      <c r="AE282" s="7">
        <f>IF($AD282=0,0,N(#REF!)*N(INDEX(F_KLN,MATCH($C282,FA,0))))</f>
        <v>0</v>
      </c>
      <c r="AF282" s="7">
        <f>IF($AD282=0,0,N(#REF!)*N(INDEX(F_KPE,MATCH($C282,FA,0))))</f>
        <v>0</v>
      </c>
      <c r="AG282" s="7" t="e">
        <f>IF(ISNA(MATCH($C282,FA,0)),0,N(#REF!)*N(INDEX(F_MODUL,MATCH($C282,FA,0))))</f>
        <v>#REF!</v>
      </c>
      <c r="AH282" s="7" t="e">
        <f>N(#REF!)*N($I282)</f>
        <v>#REF!</v>
      </c>
      <c r="AI282" s="7" t="e">
        <f t="shared" si="73"/>
        <v>#REF!</v>
      </c>
      <c r="AJ282" s="7">
        <f t="shared" si="74"/>
        <v>0</v>
      </c>
    </row>
    <row r="283" spans="1:36" x14ac:dyDescent="0.25">
      <c r="A283" s="4" t="str">
        <f t="shared" si="68"/>
        <v>ЩС-П (260922 akram aulet)</v>
      </c>
      <c r="B283" s="4" t="s">
        <v>101</v>
      </c>
      <c r="C283" s="4" t="s">
        <v>529</v>
      </c>
      <c r="D283" s="4" t="s">
        <v>530</v>
      </c>
      <c r="E283" s="4" t="s">
        <v>522</v>
      </c>
      <c r="F283" s="4" t="s">
        <v>486</v>
      </c>
      <c r="G283" s="4" t="s">
        <v>38</v>
      </c>
      <c r="H283" s="5" t="e">
        <f>#REF!</f>
        <v>#REF!</v>
      </c>
      <c r="I283" s="6" t="e">
        <f t="shared" si="69"/>
        <v>#REF!</v>
      </c>
      <c r="J283" s="6" t="s">
        <v>84</v>
      </c>
      <c r="K283" s="6" t="s">
        <v>101</v>
      </c>
      <c r="L283" s="7" t="e">
        <f t="shared" si="70"/>
        <v>#REF!</v>
      </c>
      <c r="M283" s="7" t="s">
        <v>103</v>
      </c>
      <c r="O283" s="7" t="str">
        <f>IF(OR($C283="",$C283="FID YOK"),"",IF(ISNUMBER(MATCH($C283,FA_ANA,0)),"",IF(COUNTIF($C$1:$C282,$C283)&gt;0,"",MAX($O$1:$O282)+1)))</f>
        <v/>
      </c>
      <c r="T283" s="7">
        <f>IF(ISNA(MATCH($C283,FA,0)),0,IF($J283="GIRIS",N(INDEX(F_INKOR,MATCH($C283,FA,0))),0))</f>
        <v>0</v>
      </c>
      <c r="Y283" s="7" t="e">
        <f>N(#REF!)*IF($E283="упак",MAX(1,IF(ISNA(MATCH($C283,FA,0)),1,N(INDEX(F_PAKET,MATCH($C283,FA,0))))),1)</f>
        <v>#REF!</v>
      </c>
      <c r="Z283" s="7" t="e">
        <f t="shared" si="71"/>
        <v>#REF!</v>
      </c>
      <c r="AA283" s="7">
        <f>IF(OR(ISNA(MATCH($C283,FA,0)),$J283="YEDEK",$J283="SARF"),0,N(#REF!)*N(INDEX(F_TEL,MATCH($C283,FA,0))))</f>
        <v>0</v>
      </c>
      <c r="AB283" s="7">
        <f>IF(OR(ISNA(MATCH($C283,FA,0)),$J283="YEDEK",$J283="SARF"),0,N(#REF!)*N(INDEX(F_TELM,MATCH($C283,FA,0))))</f>
        <v>0</v>
      </c>
      <c r="AC283" s="7" t="e">
        <f t="shared" si="72"/>
        <v>#REF!</v>
      </c>
      <c r="AD283" s="7">
        <f>IF(OR(ISNA(MATCH($C283,FA,0)),$J283&lt;&gt;"CIKIS"),0,N(INDEX(F_KK,MATCH($C283,FA,0))))</f>
        <v>0</v>
      </c>
      <c r="AE283" s="7">
        <f>IF($AD283=0,0,N(#REF!)*N(INDEX(F_KLN,MATCH($C283,FA,0))))</f>
        <v>0</v>
      </c>
      <c r="AF283" s="7">
        <f>IF($AD283=0,0,N(#REF!)*N(INDEX(F_KPE,MATCH($C283,FA,0))))</f>
        <v>0</v>
      </c>
      <c r="AG283" s="7" t="e">
        <f>IF(ISNA(MATCH($C283,FA,0)),0,N(#REF!)*N(INDEX(F_MODUL,MATCH($C283,FA,0))))</f>
        <v>#REF!</v>
      </c>
      <c r="AH283" s="7" t="e">
        <f>N(#REF!)*N($I283)</f>
        <v>#REF!</v>
      </c>
      <c r="AI283" s="7" t="e">
        <f t="shared" si="73"/>
        <v>#REF!</v>
      </c>
      <c r="AJ283" s="7">
        <f t="shared" si="74"/>
        <v>0</v>
      </c>
    </row>
    <row r="284" spans="1:36" x14ac:dyDescent="0.25">
      <c r="A284" s="4" t="str">
        <f t="shared" si="68"/>
        <v>ЩС-П (260922 akram aulet)</v>
      </c>
      <c r="B284" s="4" t="s">
        <v>101</v>
      </c>
      <c r="C284" s="4" t="s">
        <v>537</v>
      </c>
      <c r="D284" s="4" t="s">
        <v>538</v>
      </c>
      <c r="E284" s="4" t="s">
        <v>522</v>
      </c>
      <c r="F284" s="4" t="s">
        <v>486</v>
      </c>
      <c r="G284" s="4" t="s">
        <v>38</v>
      </c>
      <c r="H284" s="5" t="e">
        <f>#REF!</f>
        <v>#REF!</v>
      </c>
      <c r="I284" s="6" t="e">
        <f t="shared" si="69"/>
        <v>#REF!</v>
      </c>
      <c r="J284" s="6" t="s">
        <v>84</v>
      </c>
      <c r="K284" s="6" t="s">
        <v>101</v>
      </c>
      <c r="L284" s="7" t="e">
        <f t="shared" si="70"/>
        <v>#REF!</v>
      </c>
      <c r="M284" s="7" t="s">
        <v>205</v>
      </c>
      <c r="O284" s="7" t="str">
        <f>IF(OR($C284="",$C284="FID YOK"),"",IF(ISNUMBER(MATCH($C284,FA_ANA,0)),"",IF(COUNTIF($C$1:$C283,$C284)&gt;0,"",MAX($O$1:$O283)+1)))</f>
        <v/>
      </c>
      <c r="T284" s="7">
        <f>IF(ISNA(MATCH($C284,FA,0)),0,IF($J284="GIRIS",N(INDEX(F_INKOR,MATCH($C284,FA,0))),0))</f>
        <v>0</v>
      </c>
      <c r="Y284" s="7" t="e">
        <f>N(#REF!)*IF($E284="упак",MAX(1,IF(ISNA(MATCH($C284,FA,0)),1,N(INDEX(F_PAKET,MATCH($C284,FA,0))))),1)</f>
        <v>#REF!</v>
      </c>
      <c r="Z284" s="7" t="e">
        <f t="shared" si="71"/>
        <v>#REF!</v>
      </c>
      <c r="AA284" s="7">
        <f>IF(OR(ISNA(MATCH($C284,FA,0)),$J284="YEDEK",$J284="SARF"),0,N(#REF!)*N(INDEX(F_TEL,MATCH($C284,FA,0))))</f>
        <v>0</v>
      </c>
      <c r="AB284" s="7">
        <f>IF(OR(ISNA(MATCH($C284,FA,0)),$J284="YEDEK",$J284="SARF"),0,N(#REF!)*N(INDEX(F_TELM,MATCH($C284,FA,0))))</f>
        <v>0</v>
      </c>
      <c r="AC284" s="7" t="e">
        <f t="shared" si="72"/>
        <v>#REF!</v>
      </c>
      <c r="AD284" s="7">
        <f>IF(OR(ISNA(MATCH($C284,FA,0)),$J284&lt;&gt;"CIKIS"),0,N(INDEX(F_KK,MATCH($C284,FA,0))))</f>
        <v>0</v>
      </c>
      <c r="AE284" s="7">
        <f>IF($AD284=0,0,N(#REF!)*N(INDEX(F_KLN,MATCH($C284,FA,0))))</f>
        <v>0</v>
      </c>
      <c r="AF284" s="7">
        <f>IF($AD284=0,0,N(#REF!)*N(INDEX(F_KPE,MATCH($C284,FA,0))))</f>
        <v>0</v>
      </c>
      <c r="AG284" s="7" t="e">
        <f>IF(ISNA(MATCH($C284,FA,0)),0,N(#REF!)*N(INDEX(F_MODUL,MATCH($C284,FA,0))))</f>
        <v>#REF!</v>
      </c>
      <c r="AH284" s="7" t="e">
        <f>N(#REF!)*N($I284)</f>
        <v>#REF!</v>
      </c>
      <c r="AI284" s="7" t="e">
        <f t="shared" si="73"/>
        <v>#REF!</v>
      </c>
      <c r="AJ284" s="7">
        <f t="shared" si="74"/>
        <v>0</v>
      </c>
    </row>
    <row r="285" spans="1:36" x14ac:dyDescent="0.25">
      <c r="A285" s="4" t="str">
        <f t="shared" si="68"/>
        <v>ЩС-П (260922 akram aulet)</v>
      </c>
      <c r="B285" s="4" t="s">
        <v>105</v>
      </c>
      <c r="C285" s="4" t="s">
        <v>539</v>
      </c>
      <c r="D285" s="4" t="s">
        <v>540</v>
      </c>
      <c r="E285" s="4" t="s">
        <v>114</v>
      </c>
      <c r="F285" s="4" t="s">
        <v>486</v>
      </c>
      <c r="G285" s="4" t="s">
        <v>38</v>
      </c>
      <c r="H285" s="5" t="e">
        <f>#REF!</f>
        <v>#REF!</v>
      </c>
      <c r="I285" s="6" t="e">
        <f t="shared" si="69"/>
        <v>#REF!</v>
      </c>
      <c r="J285" s="6" t="s">
        <v>84</v>
      </c>
      <c r="K285" s="6" t="s">
        <v>105</v>
      </c>
      <c r="L285" s="7" t="e">
        <f t="shared" si="70"/>
        <v>#REF!</v>
      </c>
      <c r="M285" s="7" t="s">
        <v>110</v>
      </c>
      <c r="O285" s="7" t="str">
        <f>IF(OR($C285="",$C285="FID YOK"),"",IF(ISNUMBER(MATCH($C285,FA_ANA,0)),"",IF(COUNTIF($C$1:$C284,$C285)&gt;0,"",MAX($O$1:$O284)+1)))</f>
        <v/>
      </c>
      <c r="T285" s="7">
        <f>IF(ISNA(MATCH($C285,FA,0)),0,IF($J285="GIRIS",N(INDEX(F_INKOR,MATCH($C285,FA,0))),0))</f>
        <v>0</v>
      </c>
      <c r="Y285" s="7" t="e">
        <f>N(#REF!)*IF($E285="упак",MAX(1,IF(ISNA(MATCH($C285,FA,0)),1,N(INDEX(F_PAKET,MATCH($C285,FA,0))))),1)</f>
        <v>#REF!</v>
      </c>
      <c r="Z285" s="7" t="e">
        <f t="shared" si="71"/>
        <v>#REF!</v>
      </c>
      <c r="AA285" s="7">
        <f>IF(OR(ISNA(MATCH($C285,FA,0)),$J285="YEDEK",$J285="SARF"),0,N(#REF!)*N(INDEX(F_TEL,MATCH($C285,FA,0))))</f>
        <v>0</v>
      </c>
      <c r="AB285" s="7">
        <f>IF(OR(ISNA(MATCH($C285,FA,0)),$J285="YEDEK",$J285="SARF"),0,N(#REF!)*N(INDEX(F_TELM,MATCH($C285,FA,0))))</f>
        <v>0</v>
      </c>
      <c r="AC285" s="7" t="e">
        <f t="shared" si="72"/>
        <v>#REF!</v>
      </c>
      <c r="AD285" s="7">
        <f>IF(OR(ISNA(MATCH($C285,FA,0)),$J285&lt;&gt;"CIKIS"),0,N(INDEX(F_KK,MATCH($C285,FA,0))))</f>
        <v>0</v>
      </c>
      <c r="AE285" s="7">
        <f>IF($AD285=0,0,N(#REF!)*N(INDEX(F_KLN,MATCH($C285,FA,0))))</f>
        <v>0</v>
      </c>
      <c r="AF285" s="7">
        <f>IF($AD285=0,0,N(#REF!)*N(INDEX(F_KPE,MATCH($C285,FA,0))))</f>
        <v>0</v>
      </c>
      <c r="AG285" s="7" t="e">
        <f>IF(ISNA(MATCH($C285,FA,0)),0,N(#REF!)*N(INDEX(F_MODUL,MATCH($C285,FA,0))))</f>
        <v>#REF!</v>
      </c>
      <c r="AH285" s="7" t="e">
        <f>N(#REF!)*N($I285)</f>
        <v>#REF!</v>
      </c>
      <c r="AI285" s="7" t="e">
        <f t="shared" si="73"/>
        <v>#REF!</v>
      </c>
      <c r="AJ285" s="7">
        <f t="shared" si="74"/>
        <v>0</v>
      </c>
    </row>
    <row r="286" spans="1:36" x14ac:dyDescent="0.25">
      <c r="A286" s="4" t="str">
        <f t="shared" si="68"/>
        <v>ЩС-П (260922 akram aulet)</v>
      </c>
      <c r="B286" s="4" t="s">
        <v>111</v>
      </c>
      <c r="C286" s="4" t="s">
        <v>571</v>
      </c>
      <c r="D286" s="4" t="s">
        <v>572</v>
      </c>
      <c r="E286" s="4" t="s">
        <v>522</v>
      </c>
      <c r="F286" s="4" t="s">
        <v>486</v>
      </c>
      <c r="G286" s="4" t="s">
        <v>38</v>
      </c>
      <c r="H286" s="5" t="e">
        <f>#REF!</f>
        <v>#REF!</v>
      </c>
      <c r="I286" s="6" t="e">
        <f t="shared" si="69"/>
        <v>#REF!</v>
      </c>
      <c r="J286" s="6" t="s">
        <v>84</v>
      </c>
      <c r="K286" s="6" t="s">
        <v>111</v>
      </c>
      <c r="L286" s="7" t="e">
        <f t="shared" si="70"/>
        <v>#REF!</v>
      </c>
      <c r="M286" s="7" t="s">
        <v>112</v>
      </c>
      <c r="O286" s="7" t="str">
        <f>IF(OR($C286="",$C286="FID YOK"),"",IF(ISNUMBER(MATCH($C286,FA_ANA,0)),"",IF(COUNTIF($C$1:$C285,$C286)&gt;0,"",MAX($O$1:$O285)+1)))</f>
        <v/>
      </c>
      <c r="T286" s="7">
        <f>IF(ISNA(MATCH($C286,FA,0)),0,IF($J286="GIRIS",N(INDEX(F_INKOR,MATCH($C286,FA,0))),0))</f>
        <v>0</v>
      </c>
      <c r="Y286" s="7" t="e">
        <f>N(#REF!)*IF($E286="упак",MAX(1,IF(ISNA(MATCH($C286,FA,0)),1,N(INDEX(F_PAKET,MATCH($C286,FA,0))))),1)</f>
        <v>#REF!</v>
      </c>
      <c r="Z286" s="7" t="e">
        <f t="shared" si="71"/>
        <v>#REF!</v>
      </c>
      <c r="AA286" s="7">
        <f>IF(OR(ISNA(MATCH($C286,FA,0)),$J286="YEDEK",$J286="SARF"),0,N(#REF!)*N(INDEX(F_TEL,MATCH($C286,FA,0))))</f>
        <v>0</v>
      </c>
      <c r="AB286" s="7">
        <f>IF(OR(ISNA(MATCH($C286,FA,0)),$J286="YEDEK",$J286="SARF"),0,N(#REF!)*N(INDEX(F_TELM,MATCH($C286,FA,0))))</f>
        <v>0</v>
      </c>
      <c r="AC286" s="7" t="e">
        <f t="shared" si="72"/>
        <v>#REF!</v>
      </c>
      <c r="AD286" s="7">
        <f>IF(OR(ISNA(MATCH($C286,FA,0)),$J286&lt;&gt;"CIKIS"),0,N(INDEX(F_KK,MATCH($C286,FA,0))))</f>
        <v>0</v>
      </c>
      <c r="AE286" s="7">
        <f>IF($AD286=0,0,N(#REF!)*N(INDEX(F_KLN,MATCH($C286,FA,0))))</f>
        <v>0</v>
      </c>
      <c r="AF286" s="7">
        <f>IF($AD286=0,0,N(#REF!)*N(INDEX(F_KPE,MATCH($C286,FA,0))))</f>
        <v>0</v>
      </c>
      <c r="AG286" s="7" t="e">
        <f>IF(ISNA(MATCH($C286,FA,0)),0,N(#REF!)*N(INDEX(F_MODUL,MATCH($C286,FA,0))))</f>
        <v>#REF!</v>
      </c>
      <c r="AH286" s="7" t="e">
        <f>N(#REF!)*N($I286)</f>
        <v>#REF!</v>
      </c>
      <c r="AI286" s="7" t="e">
        <f t="shared" si="73"/>
        <v>#REF!</v>
      </c>
      <c r="AJ286" s="7">
        <f t="shared" si="74"/>
        <v>0</v>
      </c>
    </row>
    <row r="287" spans="1:36" x14ac:dyDescent="0.25">
      <c r="A287" s="4" t="str">
        <f t="shared" si="68"/>
        <v>ЩС-П (260922 akram aulet)</v>
      </c>
      <c r="B287" s="4" t="s">
        <v>113</v>
      </c>
      <c r="C287" s="4" t="s">
        <v>113</v>
      </c>
      <c r="D287" s="4" t="s">
        <v>113</v>
      </c>
      <c r="E287" s="4" t="s">
        <v>114</v>
      </c>
      <c r="F287" s="4" t="s">
        <v>113</v>
      </c>
      <c r="G287" s="4" t="s">
        <v>38</v>
      </c>
      <c r="H287" s="5" t="e">
        <f>#REF!</f>
        <v>#REF!</v>
      </c>
      <c r="I287" s="6" t="e">
        <f t="shared" si="69"/>
        <v>#REF!</v>
      </c>
    </row>
    <row r="288" spans="1:36" x14ac:dyDescent="0.25">
      <c r="A288" s="4" t="str">
        <f t="shared" si="68"/>
        <v>ЩС-П (260922 akram aulet)</v>
      </c>
      <c r="B288" s="4" t="s">
        <v>115</v>
      </c>
      <c r="C288" s="4" t="s">
        <v>115</v>
      </c>
      <c r="D288" s="4" t="s">
        <v>115</v>
      </c>
      <c r="E288" s="4" t="s">
        <v>116</v>
      </c>
      <c r="F288" s="4" t="s">
        <v>115</v>
      </c>
      <c r="G288" s="4" t="s">
        <v>38</v>
      </c>
      <c r="H288" s="5" t="e">
        <f>#REF!</f>
        <v>#REF!</v>
      </c>
      <c r="I288" s="6" t="e">
        <f t="shared" si="69"/>
        <v>#REF!</v>
      </c>
    </row>
    <row r="289" spans="1:36" x14ac:dyDescent="0.25">
      <c r="A289" s="1" t="str">
        <f>D289</f>
        <v>ЩСВ-П (260922 akram aulet)</v>
      </c>
      <c r="B289" s="12"/>
      <c r="C289" s="2"/>
      <c r="D289" s="1" t="s">
        <v>221</v>
      </c>
      <c r="E289" s="1" t="s">
        <v>36</v>
      </c>
      <c r="F289" s="1" t="s">
        <v>37</v>
      </c>
      <c r="G289" s="1" t="s">
        <v>38</v>
      </c>
      <c r="I289" s="3" t="e">
        <f>#REF!</f>
        <v>#REF!</v>
      </c>
    </row>
    <row r="290" spans="1:36" x14ac:dyDescent="0.25">
      <c r="A290" s="4" t="str">
        <f t="shared" ref="A290:A306" si="75">A289</f>
        <v>ЩСВ-П (260922 akram aulet)</v>
      </c>
      <c r="B290" s="4" t="s">
        <v>39</v>
      </c>
      <c r="C290" s="4" t="s">
        <v>512</v>
      </c>
      <c r="D290" s="4" t="s">
        <v>513</v>
      </c>
      <c r="E290" s="4" t="s">
        <v>114</v>
      </c>
      <c r="F290" s="4" t="s">
        <v>491</v>
      </c>
      <c r="G290" s="4" t="s">
        <v>38</v>
      </c>
      <c r="H290" s="5" t="e">
        <f>#REF!</f>
        <v>#REF!</v>
      </c>
      <c r="I290" s="6" t="e">
        <f t="shared" ref="I290:I306" si="76">I289</f>
        <v>#REF!</v>
      </c>
      <c r="J290" s="6" t="s">
        <v>40</v>
      </c>
      <c r="K290" s="6" t="s">
        <v>195</v>
      </c>
      <c r="L290" s="7" t="e">
        <f t="shared" ref="L290:L304" si="77">IF(ISNA(MATCH($C290,FA,0)),"ARTİKÜL YOK",INDEX(FIYAT_DURUM,MATCH($C290,FA,0)))</f>
        <v>#REF!</v>
      </c>
      <c r="M290" s="7" t="s">
        <v>222</v>
      </c>
      <c r="N290" s="7" t="s">
        <v>223</v>
      </c>
      <c r="O290" s="7">
        <f>IF(OR($C290="",$C290="FID YOK"),"",IF(ISNUMBER(MATCH($C290,FA_ANA,0)),"",IF(COUNTIF($C$1:$C289,$C290)&gt;0,"",MAX($O$1:$O289)+1)))</f>
        <v>72</v>
      </c>
      <c r="Q290" s="7"/>
      <c r="R290" s="7"/>
      <c r="S290" s="7"/>
      <c r="T290" s="7">
        <f>IF(ISNA(MATCH($C290,FA,0)),0,IF($J290="GIRIS",N(INDEX(F_INKOR,MATCH($C290,FA,0))),0))</f>
        <v>0</v>
      </c>
      <c r="U290" s="7"/>
      <c r="V290" s="7"/>
      <c r="W290" s="7"/>
      <c r="X290" s="7"/>
      <c r="Y290" s="7" t="e">
        <f>N(#REF!)*IF($E290="упак",MAX(1,IF(ISNA(MATCH($C290,FA,0)),1,N(INDEX(F_PAKET,MATCH($C290,FA,0))))),1)</f>
        <v>#REF!</v>
      </c>
      <c r="Z290" s="7" t="e">
        <f t="shared" ref="Z290:Z304" si="78">IF(ISNA(MATCH($C290,FA,0)),0,N(INDEX(F_BK,MATCH($C290,FA,0))))</f>
        <v>#REF!</v>
      </c>
      <c r="AA290" s="7" t="e">
        <f>IF(OR(ISNA(MATCH($C290,FA,0)),$J290="YEDEK",$J290="SARF"),0,N(#REF!)*N(INDEX(F_TEL,MATCH($C290,FA,0))))</f>
        <v>#REF!</v>
      </c>
      <c r="AB290" s="7" t="e">
        <f>IF(OR(ISNA(MATCH($C290,FA,0)),$J290="YEDEK",$J290="SARF"),0,N(#REF!)*N(INDEX(F_TELM,MATCH($C290,FA,0))))</f>
        <v>#REF!</v>
      </c>
      <c r="AC290" s="7" t="e">
        <f t="shared" ref="AC290:AC304" si="79">IF(ISNA(MATCH($C290,FA,0)),"",INDEX(F_UC,MATCH($C290,FA,0))&amp;"")</f>
        <v>#REF!</v>
      </c>
      <c r="AD290" s="7">
        <f>IF(OR(ISNA(MATCH($C290,FA,0)),$J290&lt;&gt;"CIKIS"),0,N(INDEX(F_KK,MATCH($C290,FA,0))))</f>
        <v>0</v>
      </c>
      <c r="AE290" s="7">
        <f>IF($AD290=0,0,N(#REF!)*N(INDEX(F_KLN,MATCH($C290,FA,0))))</f>
        <v>0</v>
      </c>
      <c r="AF290" s="7">
        <f>IF($AD290=0,0,N(#REF!)*N(INDEX(F_KPE,MATCH($C290,FA,0))))</f>
        <v>0</v>
      </c>
      <c r="AG290" s="7" t="e">
        <f>IF(ISNA(MATCH($C290,FA,0)),0,N(#REF!)*N(INDEX(F_MODUL,MATCH($C290,FA,0))))</f>
        <v>#REF!</v>
      </c>
      <c r="AH290" s="7" t="e">
        <f>N(#REF!)*N($I290)</f>
        <v>#REF!</v>
      </c>
      <c r="AI290" s="7" t="e">
        <f t="shared" ref="AI290:AI304" si="80">IF(ISNA(MATCH($K290,TIP_AD,0)),"YOK",IF(INDEX(NORM_DK,MATCH($K290,TIP_AD,0))="","BOŞ",INDEX(NORM_DK,MATCH($K290,TIP_AD,0))))</f>
        <v>#REF!</v>
      </c>
      <c r="AJ290" s="7">
        <f t="shared" ref="AJ290:AJ304" si="81">IF(ISNUMBER($AI290),$Y290*$AI290,0)</f>
        <v>0</v>
      </c>
    </row>
    <row r="291" spans="1:36" x14ac:dyDescent="0.25">
      <c r="A291" s="4" t="str">
        <f t="shared" si="75"/>
        <v>ЩСВ-П (260922 akram aulet)</v>
      </c>
      <c r="B291" s="4" t="s">
        <v>198</v>
      </c>
      <c r="C291" s="4" t="s">
        <v>382</v>
      </c>
      <c r="D291" s="4" t="s">
        <v>383</v>
      </c>
      <c r="E291" s="4" t="s">
        <v>114</v>
      </c>
      <c r="F291" s="4" t="s">
        <v>377</v>
      </c>
      <c r="G291" s="4" t="s">
        <v>38</v>
      </c>
      <c r="H291" s="5" t="e">
        <f>#REF!</f>
        <v>#REF!</v>
      </c>
      <c r="I291" s="6" t="e">
        <f t="shared" si="76"/>
        <v>#REF!</v>
      </c>
      <c r="J291" s="6" t="s">
        <v>48</v>
      </c>
      <c r="K291" s="6" t="s">
        <v>198</v>
      </c>
      <c r="L291" s="7" t="e">
        <f t="shared" si="77"/>
        <v>#REF!</v>
      </c>
      <c r="M291" s="7" t="s">
        <v>224</v>
      </c>
      <c r="N291" s="7" t="s">
        <v>225</v>
      </c>
      <c r="O291" s="7">
        <f>IF(OR($C291="",$C291="FID YOK"),"",IF(ISNUMBER(MATCH($C291,FA_ANA,0)),"",IF(COUNTIF($C$1:$C290,$C291)&gt;0,"",MAX($O$1:$O290)+1)))</f>
        <v>73</v>
      </c>
      <c r="P291" s="8">
        <v>1</v>
      </c>
      <c r="Q291" s="7" t="e">
        <f>IF(OR($P291="",$P291="G",ISNA(MATCH($C291,FA,0))),"",IF(N(INDEX(F_G,MATCH($C291,FA,0)))&gt;0,INDEX(F_G,MATCH($C291,FA,0)),IF(N(INDEX(F_MODUL,MATCH($C291,FA,0)))&gt;0,INDEX(F_MODUL,MATCH($C291,FA,0))*MODUL_MM,"")))</f>
        <v>#REF!</v>
      </c>
      <c r="R291" s="7" t="e">
        <f>IF(OR($P291="",$P291="G",ISNA(MATCH($C291,FA,0))),"",IF(N(INDEX(F_Y,MATCH($C291,FA,0)))&gt;0,INDEX(F_Y,MATCH($C291,FA,0)),""))</f>
        <v>#REF!</v>
      </c>
      <c r="S291" s="7" t="e">
        <f>IF(OR($P291="",$P291="G",ISNA(MATCH($C291,FA,0))),"",IF(N(INDEX(F_D,MATCH($C291,FA,0)))&gt;0,INDEX(F_D,MATCH($C291,FA,0)),""))</f>
        <v>#REF!</v>
      </c>
      <c r="T291" s="7" t="e">
        <f>IF(ISNA(MATCH($C291,FA,0)),0,IF($J291="GIRIS",N(INDEX(F_INKOR,MATCH($C291,FA,0))),0))</f>
        <v>#REF!</v>
      </c>
      <c r="U291" s="7" t="e">
        <f>IF(ISNA(MATCH($B291,TIP_AD,0)),"",INDEX(TIP_KAT,MATCH($B291,TIP_AD,0))&amp;"")</f>
        <v>#REF!</v>
      </c>
      <c r="V291" s="7" t="e">
        <f>IF(NOT(ISNUMBER($P291)),"",IF($Z291=0,0,IF(ISNA(MATCH($Z291,BUK_KESIT,0)),"",IF(INDEX(BUK_ALAN,MATCH($Z291,BUK_KESIT,0))&amp;""="","",INDEX(BUK_ALAN,MATCH($Z291,BUK_KESIT,0))))))</f>
        <v>#REF!</v>
      </c>
      <c r="W291" s="7" t="e">
        <f>IF(OR(NOT(ISNUMBER($P291)),$Q291=""),"",N(#REF!)*($Q291+IF(ISNA(MATCH($B291,TIP_AD,0)),0,N(INDEX(TIP_BOSLUK,MATCH($B291,TIP_AD,0))))))</f>
        <v>#REF!</v>
      </c>
      <c r="X291" s="7" t="e">
        <f>IF(ISNUMBER($P291),($Q291="")+($R291="")+($V291="")+IF(AND($U291="KONTAKTOR",NOT(ISNA(MATCH($B291,TIP_AD,0)))),IF(INDEX(TIP_BOSLUK,MATCH($B291,TIP_AD,0))&amp;""="",1,0),0),IF($P291="K",IF($S291="",1,0),0))</f>
        <v>#REF!</v>
      </c>
      <c r="Y291" s="7" t="e">
        <f>N(#REF!)*IF($E291="упак",MAX(1,IF(ISNA(MATCH($C291,FA,0)),1,N(INDEX(F_PAKET,MATCH($C291,FA,0))))),1)</f>
        <v>#REF!</v>
      </c>
      <c r="Z291" s="7" t="e">
        <f t="shared" si="78"/>
        <v>#REF!</v>
      </c>
      <c r="AA291" s="7" t="e">
        <f>IF(OR(ISNA(MATCH($C291,FA,0)),$J291="YEDEK",$J291="SARF"),0,N(#REF!)*N(INDEX(F_TEL,MATCH($C291,FA,0))))</f>
        <v>#REF!</v>
      </c>
      <c r="AB291" s="7" t="e">
        <f>IF(OR(ISNA(MATCH($C291,FA,0)),$J291="YEDEK",$J291="SARF"),0,N(#REF!)*N(INDEX(F_TELM,MATCH($C291,FA,0))))</f>
        <v>#REF!</v>
      </c>
      <c r="AC291" s="7" t="e">
        <f t="shared" si="79"/>
        <v>#REF!</v>
      </c>
      <c r="AD291" s="7">
        <f>IF(OR(ISNA(MATCH($C291,FA,0)),$J291&lt;&gt;"CIKIS"),0,N(INDEX(F_KK,MATCH($C291,FA,0))))</f>
        <v>0</v>
      </c>
      <c r="AE291" s="7">
        <f>IF($AD291=0,0,N(#REF!)*N(INDEX(F_KLN,MATCH($C291,FA,0))))</f>
        <v>0</v>
      </c>
      <c r="AF291" s="7">
        <f>IF($AD291=0,0,N(#REF!)*N(INDEX(F_KPE,MATCH($C291,FA,0))))</f>
        <v>0</v>
      </c>
      <c r="AG291" s="7" t="e">
        <f>IF(ISNA(MATCH($C291,FA,0)),0,N(#REF!)*N(INDEX(F_MODUL,MATCH($C291,FA,0))))</f>
        <v>#REF!</v>
      </c>
      <c r="AH291" s="7" t="e">
        <f>N(#REF!)*N($I291)</f>
        <v>#REF!</v>
      </c>
      <c r="AI291" s="7" t="e">
        <f t="shared" si="80"/>
        <v>#REF!</v>
      </c>
      <c r="AJ291" s="7">
        <f t="shared" si="81"/>
        <v>0</v>
      </c>
    </row>
    <row r="292" spans="1:36" x14ac:dyDescent="0.25">
      <c r="A292" s="4" t="str">
        <f t="shared" si="75"/>
        <v>ЩСВ-П (260922 akram aulet)</v>
      </c>
      <c r="B292" s="4" t="s">
        <v>65</v>
      </c>
      <c r="C292" s="4" t="s">
        <v>400</v>
      </c>
      <c r="D292" s="4" t="s">
        <v>401</v>
      </c>
      <c r="E292" s="4" t="s">
        <v>114</v>
      </c>
      <c r="F292" s="4" t="s">
        <v>377</v>
      </c>
      <c r="G292" s="4" t="s">
        <v>38</v>
      </c>
      <c r="H292" s="5" t="e">
        <f>#REF!</f>
        <v>#REF!</v>
      </c>
      <c r="I292" s="6" t="e">
        <f t="shared" si="76"/>
        <v>#REF!</v>
      </c>
      <c r="J292" s="6" t="s">
        <v>52</v>
      </c>
      <c r="K292" s="6" t="s">
        <v>65</v>
      </c>
      <c r="L292" s="7" t="e">
        <f t="shared" si="77"/>
        <v>#REF!</v>
      </c>
      <c r="M292" s="7" t="s">
        <v>226</v>
      </c>
      <c r="N292" s="7" t="s">
        <v>227</v>
      </c>
      <c r="O292" s="7">
        <f>IF(OR($C292="",$C292="FID YOK"),"",IF(ISNUMBER(MATCH($C292,FA_ANA,0)),"",IF(COUNTIF($C$1:$C291,$C292)&gt;0,"",MAX($O$1:$O291)+1)))</f>
        <v>74</v>
      </c>
      <c r="P292" s="8">
        <v>1</v>
      </c>
      <c r="Q292" s="7" t="e">
        <f>IF(OR($P292="",$P292="G",ISNA(MATCH($C292,FA,0))),"",IF(N(INDEX(F_G,MATCH($C292,FA,0)))&gt;0,INDEX(F_G,MATCH($C292,FA,0)),IF(N(INDEX(F_MODUL,MATCH($C292,FA,0)))&gt;0,INDEX(F_MODUL,MATCH($C292,FA,0))*MODUL_MM,"")))</f>
        <v>#REF!</v>
      </c>
      <c r="R292" s="7" t="e">
        <f>IF(OR($P292="",$P292="G",ISNA(MATCH($C292,FA,0))),"",IF(N(INDEX(F_Y,MATCH($C292,FA,0)))&gt;0,INDEX(F_Y,MATCH($C292,FA,0)),""))</f>
        <v>#REF!</v>
      </c>
      <c r="S292" s="7" t="e">
        <f>IF(OR($P292="",$P292="G",ISNA(MATCH($C292,FA,0))),"",IF(N(INDEX(F_D,MATCH($C292,FA,0)))&gt;0,INDEX(F_D,MATCH($C292,FA,0)),""))</f>
        <v>#REF!</v>
      </c>
      <c r="T292" s="7">
        <f>IF(ISNA(MATCH($C292,FA,0)),0,IF($J292="GIRIS",N(INDEX(F_INKOR,MATCH($C292,FA,0))),0))</f>
        <v>0</v>
      </c>
      <c r="U292" s="7" t="e">
        <f>IF(ISNA(MATCH($B292,TIP_AD,0)),"",INDEX(TIP_KAT,MATCH($B292,TIP_AD,0))&amp;"")</f>
        <v>#REF!</v>
      </c>
      <c r="V292" s="7" t="e">
        <f>IF(NOT(ISNUMBER($P292)),"",IF($Z292=0,0,IF(ISNA(MATCH($Z292,BUK_KESIT,0)),"",IF(INDEX(BUK_ALAN,MATCH($Z292,BUK_KESIT,0))&amp;""="","",INDEX(BUK_ALAN,MATCH($Z292,BUK_KESIT,0))))))</f>
        <v>#REF!</v>
      </c>
      <c r="W292" s="7" t="e">
        <f>IF(OR(NOT(ISNUMBER($P292)),$Q292=""),"",N(#REF!)*($Q292+IF(ISNA(MATCH($B292,TIP_AD,0)),0,N(INDEX(TIP_BOSLUK,MATCH($B292,TIP_AD,0))))))</f>
        <v>#REF!</v>
      </c>
      <c r="X292" s="7" t="e">
        <f>IF(ISNUMBER($P292),($Q292="")+($R292="")+($V292="")+IF(AND($U292="KONTAKTOR",NOT(ISNA(MATCH($B292,TIP_AD,0)))),IF(INDEX(TIP_BOSLUK,MATCH($B292,TIP_AD,0))&amp;""="",1,0),0),IF($P292="K",IF($S292="",1,0),0))</f>
        <v>#REF!</v>
      </c>
      <c r="Y292" s="7" t="e">
        <f>N(#REF!)*IF($E292="упак",MAX(1,IF(ISNA(MATCH($C292,FA,0)),1,N(INDEX(F_PAKET,MATCH($C292,FA,0))))),1)</f>
        <v>#REF!</v>
      </c>
      <c r="Z292" s="7" t="e">
        <f t="shared" si="78"/>
        <v>#REF!</v>
      </c>
      <c r="AA292" s="7" t="e">
        <f>IF(OR(ISNA(MATCH($C292,FA,0)),$J292="YEDEK",$J292="SARF"),0,N(#REF!)*N(INDEX(F_TEL,MATCH($C292,FA,0))))</f>
        <v>#REF!</v>
      </c>
      <c r="AB292" s="7" t="e">
        <f>IF(OR(ISNA(MATCH($C292,FA,0)),$J292="YEDEK",$J292="SARF"),0,N(#REF!)*N(INDEX(F_TELM,MATCH($C292,FA,0))))</f>
        <v>#REF!</v>
      </c>
      <c r="AC292" s="7" t="e">
        <f t="shared" si="79"/>
        <v>#REF!</v>
      </c>
      <c r="AD292" s="7" t="e">
        <f>IF(OR(ISNA(MATCH($C292,FA,0)),$J292&lt;&gt;"CIKIS"),0,N(INDEX(F_KK,MATCH($C292,FA,0))))</f>
        <v>#REF!</v>
      </c>
      <c r="AE292" s="7" t="e">
        <f>IF($AD292=0,0,N(#REF!)*N(INDEX(F_KLN,MATCH($C292,FA,0))))</f>
        <v>#REF!</v>
      </c>
      <c r="AF292" s="7" t="e">
        <f>IF($AD292=0,0,N(#REF!)*N(INDEX(F_KPE,MATCH($C292,FA,0))))</f>
        <v>#REF!</v>
      </c>
      <c r="AG292" s="7" t="e">
        <f>IF(ISNA(MATCH($C292,FA,0)),0,N(#REF!)*N(INDEX(F_MODUL,MATCH($C292,FA,0))))</f>
        <v>#REF!</v>
      </c>
      <c r="AH292" s="7" t="e">
        <f>N(#REF!)*N($I292)</f>
        <v>#REF!</v>
      </c>
      <c r="AI292" s="7" t="e">
        <f t="shared" si="80"/>
        <v>#REF!</v>
      </c>
      <c r="AJ292" s="7">
        <f t="shared" si="81"/>
        <v>0</v>
      </c>
    </row>
    <row r="293" spans="1:36" x14ac:dyDescent="0.25">
      <c r="A293" s="4" t="str">
        <f t="shared" si="75"/>
        <v>ЩСВ-П (260922 akram aulet)</v>
      </c>
      <c r="B293" s="4" t="s">
        <v>65</v>
      </c>
      <c r="C293" s="4" t="s">
        <v>388</v>
      </c>
      <c r="D293" s="4" t="s">
        <v>389</v>
      </c>
      <c r="E293" s="4" t="s">
        <v>114</v>
      </c>
      <c r="F293" s="4" t="s">
        <v>377</v>
      </c>
      <c r="G293" s="4" t="s">
        <v>38</v>
      </c>
      <c r="H293" s="5" t="e">
        <f>#REF!</f>
        <v>#REF!</v>
      </c>
      <c r="I293" s="6" t="e">
        <f t="shared" si="76"/>
        <v>#REF!</v>
      </c>
      <c r="J293" s="6" t="s">
        <v>52</v>
      </c>
      <c r="K293" s="6" t="s">
        <v>65</v>
      </c>
      <c r="L293" s="7" t="e">
        <f t="shared" si="77"/>
        <v>#REF!</v>
      </c>
      <c r="N293" s="7" t="s">
        <v>228</v>
      </c>
      <c r="O293" s="7">
        <f>IF(OR($C293="",$C293="FID YOK"),"",IF(ISNUMBER(MATCH($C293,FA_ANA,0)),"",IF(COUNTIF($C$1:$C292,$C293)&gt;0,"",MAX($O$1:$O292)+1)))</f>
        <v>75</v>
      </c>
      <c r="P293" s="8">
        <v>1</v>
      </c>
      <c r="Q293" s="7" t="e">
        <f>IF(OR($P293="",$P293="G",ISNA(MATCH($C293,FA,0))),"",IF(N(INDEX(F_G,MATCH($C293,FA,0)))&gt;0,INDEX(F_G,MATCH($C293,FA,0)),IF(N(INDEX(F_MODUL,MATCH($C293,FA,0)))&gt;0,INDEX(F_MODUL,MATCH($C293,FA,0))*MODUL_MM,"")))</f>
        <v>#REF!</v>
      </c>
      <c r="R293" s="7" t="e">
        <f>IF(OR($P293="",$P293="G",ISNA(MATCH($C293,FA,0))),"",IF(N(INDEX(F_Y,MATCH($C293,FA,0)))&gt;0,INDEX(F_Y,MATCH($C293,FA,0)),""))</f>
        <v>#REF!</v>
      </c>
      <c r="S293" s="7" t="e">
        <f>IF(OR($P293="",$P293="G",ISNA(MATCH($C293,FA,0))),"",IF(N(INDEX(F_D,MATCH($C293,FA,0)))&gt;0,INDEX(F_D,MATCH($C293,FA,0)),""))</f>
        <v>#REF!</v>
      </c>
      <c r="T293" s="7">
        <f>IF(ISNA(MATCH($C293,FA,0)),0,IF($J293="GIRIS",N(INDEX(F_INKOR,MATCH($C293,FA,0))),0))</f>
        <v>0</v>
      </c>
      <c r="U293" s="7" t="e">
        <f>IF(ISNA(MATCH($B293,TIP_AD,0)),"",INDEX(TIP_KAT,MATCH($B293,TIP_AD,0))&amp;"")</f>
        <v>#REF!</v>
      </c>
      <c r="V293" s="7" t="e">
        <f>IF(NOT(ISNUMBER($P293)),"",IF($Z293=0,0,IF(ISNA(MATCH($Z293,BUK_KESIT,0)),"",IF(INDEX(BUK_ALAN,MATCH($Z293,BUK_KESIT,0))&amp;""="","",INDEX(BUK_ALAN,MATCH($Z293,BUK_KESIT,0))))))</f>
        <v>#REF!</v>
      </c>
      <c r="W293" s="7" t="e">
        <f>IF(OR(NOT(ISNUMBER($P293)),$Q293=""),"",N(#REF!)*($Q293+IF(ISNA(MATCH($B293,TIP_AD,0)),0,N(INDEX(TIP_BOSLUK,MATCH($B293,TIP_AD,0))))))</f>
        <v>#REF!</v>
      </c>
      <c r="X293" s="7" t="e">
        <f>IF(ISNUMBER($P293),($Q293="")+($R293="")+($V293="")+IF(AND($U293="KONTAKTOR",NOT(ISNA(MATCH($B293,TIP_AD,0)))),IF(INDEX(TIP_BOSLUK,MATCH($B293,TIP_AD,0))&amp;""="",1,0),0),IF($P293="K",IF($S293="",1,0),0))</f>
        <v>#REF!</v>
      </c>
      <c r="Y293" s="7" t="e">
        <f>N(#REF!)*IF($E293="упак",MAX(1,IF(ISNA(MATCH($C293,FA,0)),1,N(INDEX(F_PAKET,MATCH($C293,FA,0))))),1)</f>
        <v>#REF!</v>
      </c>
      <c r="Z293" s="7" t="e">
        <f t="shared" si="78"/>
        <v>#REF!</v>
      </c>
      <c r="AA293" s="7" t="e">
        <f>IF(OR(ISNA(MATCH($C293,FA,0)),$J293="YEDEK",$J293="SARF"),0,N(#REF!)*N(INDEX(F_TEL,MATCH($C293,FA,0))))</f>
        <v>#REF!</v>
      </c>
      <c r="AB293" s="7" t="e">
        <f>IF(OR(ISNA(MATCH($C293,FA,0)),$J293="YEDEK",$J293="SARF"),0,N(#REF!)*N(INDEX(F_TELM,MATCH($C293,FA,0))))</f>
        <v>#REF!</v>
      </c>
      <c r="AC293" s="7" t="e">
        <f t="shared" si="79"/>
        <v>#REF!</v>
      </c>
      <c r="AD293" s="7" t="e">
        <f>IF(OR(ISNA(MATCH($C293,FA,0)),$J293&lt;&gt;"CIKIS"),0,N(INDEX(F_KK,MATCH($C293,FA,0))))</f>
        <v>#REF!</v>
      </c>
      <c r="AE293" s="7" t="e">
        <f>IF($AD293=0,0,N(#REF!)*N(INDEX(F_KLN,MATCH($C293,FA,0))))</f>
        <v>#REF!</v>
      </c>
      <c r="AF293" s="7" t="e">
        <f>IF($AD293=0,0,N(#REF!)*N(INDEX(F_KPE,MATCH($C293,FA,0))))</f>
        <v>#REF!</v>
      </c>
      <c r="AG293" s="7" t="e">
        <f>IF(ISNA(MATCH($C293,FA,0)),0,N(#REF!)*N(INDEX(F_MODUL,MATCH($C293,FA,0))))</f>
        <v>#REF!</v>
      </c>
      <c r="AH293" s="7" t="e">
        <f>N(#REF!)*N($I293)</f>
        <v>#REF!</v>
      </c>
      <c r="AI293" s="7" t="e">
        <f t="shared" si="80"/>
        <v>#REF!</v>
      </c>
      <c r="AJ293" s="7">
        <f t="shared" si="81"/>
        <v>0</v>
      </c>
    </row>
    <row r="294" spans="1:36" x14ac:dyDescent="0.25">
      <c r="A294" s="4" t="str">
        <f t="shared" si="75"/>
        <v>ЩСВ-П (260922 akram aulet)</v>
      </c>
      <c r="B294" s="4" t="s">
        <v>202</v>
      </c>
      <c r="C294" s="4" t="s">
        <v>577</v>
      </c>
      <c r="D294" s="4" t="s">
        <v>578</v>
      </c>
      <c r="E294" s="4" t="s">
        <v>114</v>
      </c>
      <c r="F294" s="4" t="s">
        <v>486</v>
      </c>
      <c r="G294" s="4" t="s">
        <v>38</v>
      </c>
      <c r="H294" s="5" t="e">
        <f>#REF!</f>
        <v>#REF!</v>
      </c>
      <c r="I294" s="6" t="e">
        <f t="shared" si="76"/>
        <v>#REF!</v>
      </c>
      <c r="J294" s="6" t="s">
        <v>84</v>
      </c>
      <c r="K294" s="6" t="s">
        <v>202</v>
      </c>
      <c r="L294" s="7" t="e">
        <f t="shared" si="77"/>
        <v>#REF!</v>
      </c>
      <c r="M294" s="7" t="s">
        <v>203</v>
      </c>
      <c r="O294" s="7">
        <f>IF(OR($C294="",$C294="FID YOK"),"",IF(ISNUMBER(MATCH($C294,FA_ANA,0)),"",IF(COUNTIF($C$1:$C293,$C294)&gt;0,"",MAX($O$1:$O293)+1)))</f>
        <v>76</v>
      </c>
      <c r="T294" s="7">
        <f>IF(ISNA(MATCH($C294,FA,0)),0,IF($J294="GIRIS",N(INDEX(F_INKOR,MATCH($C294,FA,0))),0))</f>
        <v>0</v>
      </c>
      <c r="Y294" s="7" t="e">
        <f>N(#REF!)*IF($E294="упак",MAX(1,IF(ISNA(MATCH($C294,FA,0)),1,N(INDEX(F_PAKET,MATCH($C294,FA,0))))),1)</f>
        <v>#REF!</v>
      </c>
      <c r="Z294" s="7" t="e">
        <f t="shared" si="78"/>
        <v>#REF!</v>
      </c>
      <c r="AA294" s="7">
        <f>IF(OR(ISNA(MATCH($C294,FA,0)),$J294="YEDEK",$J294="SARF"),0,N(#REF!)*N(INDEX(F_TEL,MATCH($C294,FA,0))))</f>
        <v>0</v>
      </c>
      <c r="AB294" s="7">
        <f>IF(OR(ISNA(MATCH($C294,FA,0)),$J294="YEDEK",$J294="SARF"),0,N(#REF!)*N(INDEX(F_TELM,MATCH($C294,FA,0))))</f>
        <v>0</v>
      </c>
      <c r="AC294" s="7" t="e">
        <f t="shared" si="79"/>
        <v>#REF!</v>
      </c>
      <c r="AD294" s="7">
        <f>IF(OR(ISNA(MATCH($C294,FA,0)),$J294&lt;&gt;"CIKIS"),0,N(INDEX(F_KK,MATCH($C294,FA,0))))</f>
        <v>0</v>
      </c>
      <c r="AE294" s="7">
        <f>IF($AD294=0,0,N(#REF!)*N(INDEX(F_KLN,MATCH($C294,FA,0))))</f>
        <v>0</v>
      </c>
      <c r="AF294" s="7">
        <f>IF($AD294=0,0,N(#REF!)*N(INDEX(F_KPE,MATCH($C294,FA,0))))</f>
        <v>0</v>
      </c>
      <c r="AG294" s="7" t="e">
        <f>IF(ISNA(MATCH($C294,FA,0)),0,N(#REF!)*N(INDEX(F_MODUL,MATCH($C294,FA,0))))</f>
        <v>#REF!</v>
      </c>
      <c r="AH294" s="7" t="e">
        <f>N(#REF!)*N($I294)</f>
        <v>#REF!</v>
      </c>
      <c r="AI294" s="7" t="e">
        <f t="shared" si="80"/>
        <v>#REF!</v>
      </c>
      <c r="AJ294" s="7">
        <f t="shared" si="81"/>
        <v>0</v>
      </c>
    </row>
    <row r="295" spans="1:36" x14ac:dyDescent="0.25">
      <c r="A295" s="4" t="str">
        <f t="shared" si="75"/>
        <v>ЩСВ-П (260922 akram aulet)</v>
      </c>
      <c r="B295" s="4" t="s">
        <v>202</v>
      </c>
      <c r="C295" s="4" t="s">
        <v>579</v>
      </c>
      <c r="D295" s="4" t="s">
        <v>580</v>
      </c>
      <c r="E295" s="4" t="s">
        <v>114</v>
      </c>
      <c r="F295" s="4" t="s">
        <v>486</v>
      </c>
      <c r="G295" s="4" t="s">
        <v>38</v>
      </c>
      <c r="H295" s="5" t="e">
        <f>#REF!</f>
        <v>#REF!</v>
      </c>
      <c r="I295" s="6" t="e">
        <f t="shared" si="76"/>
        <v>#REF!</v>
      </c>
      <c r="J295" s="6" t="s">
        <v>84</v>
      </c>
      <c r="K295" s="6" t="s">
        <v>202</v>
      </c>
      <c r="L295" s="7" t="e">
        <f t="shared" si="77"/>
        <v>#REF!</v>
      </c>
      <c r="M295" s="7" t="s">
        <v>204</v>
      </c>
      <c r="O295" s="7">
        <f>IF(OR($C295="",$C295="FID YOK"),"",IF(ISNUMBER(MATCH($C295,FA_ANA,0)),"",IF(COUNTIF($C$1:$C294,$C295)&gt;0,"",MAX($O$1:$O294)+1)))</f>
        <v>77</v>
      </c>
      <c r="T295" s="7">
        <f>IF(ISNA(MATCH($C295,FA,0)),0,IF($J295="GIRIS",N(INDEX(F_INKOR,MATCH($C295,FA,0))),0))</f>
        <v>0</v>
      </c>
      <c r="Y295" s="7" t="e">
        <f>N(#REF!)*IF($E295="упак",MAX(1,IF(ISNA(MATCH($C295,FA,0)),1,N(INDEX(F_PAKET,MATCH($C295,FA,0))))),1)</f>
        <v>#REF!</v>
      </c>
      <c r="Z295" s="7" t="e">
        <f t="shared" si="78"/>
        <v>#REF!</v>
      </c>
      <c r="AA295" s="7">
        <f>IF(OR(ISNA(MATCH($C295,FA,0)),$J295="YEDEK",$J295="SARF"),0,N(#REF!)*N(INDEX(F_TEL,MATCH($C295,FA,0))))</f>
        <v>0</v>
      </c>
      <c r="AB295" s="7">
        <f>IF(OR(ISNA(MATCH($C295,FA,0)),$J295="YEDEK",$J295="SARF"),0,N(#REF!)*N(INDEX(F_TELM,MATCH($C295,FA,0))))</f>
        <v>0</v>
      </c>
      <c r="AC295" s="7" t="e">
        <f t="shared" si="79"/>
        <v>#REF!</v>
      </c>
      <c r="AD295" s="7">
        <f>IF(OR(ISNA(MATCH($C295,FA,0)),$J295&lt;&gt;"CIKIS"),0,N(INDEX(F_KK,MATCH($C295,FA,0))))</f>
        <v>0</v>
      </c>
      <c r="AE295" s="7">
        <f>IF($AD295=0,0,N(#REF!)*N(INDEX(F_KLN,MATCH($C295,FA,0))))</f>
        <v>0</v>
      </c>
      <c r="AF295" s="7">
        <f>IF($AD295=0,0,N(#REF!)*N(INDEX(F_KPE,MATCH($C295,FA,0))))</f>
        <v>0</v>
      </c>
      <c r="AG295" s="7" t="e">
        <f>IF(ISNA(MATCH($C295,FA,0)),0,N(#REF!)*N(INDEX(F_MODUL,MATCH($C295,FA,0))))</f>
        <v>#REF!</v>
      </c>
      <c r="AH295" s="7" t="e">
        <f>N(#REF!)*N($I295)</f>
        <v>#REF!</v>
      </c>
      <c r="AI295" s="7" t="e">
        <f t="shared" si="80"/>
        <v>#REF!</v>
      </c>
      <c r="AJ295" s="7">
        <f t="shared" si="81"/>
        <v>0</v>
      </c>
    </row>
    <row r="296" spans="1:36" x14ac:dyDescent="0.25">
      <c r="A296" s="4" t="str">
        <f t="shared" si="75"/>
        <v>ЩСВ-П (260922 akram aulet)</v>
      </c>
      <c r="B296" s="4" t="s">
        <v>92</v>
      </c>
      <c r="C296" s="4" t="s">
        <v>523</v>
      </c>
      <c r="D296" s="4" t="s">
        <v>524</v>
      </c>
      <c r="E296" s="4" t="s">
        <v>520</v>
      </c>
      <c r="F296" s="4" t="s">
        <v>521</v>
      </c>
      <c r="G296" s="4" t="s">
        <v>38</v>
      </c>
      <c r="H296" s="5" t="e">
        <f>#REF!</f>
        <v>#REF!</v>
      </c>
      <c r="I296" s="6" t="e">
        <f t="shared" si="76"/>
        <v>#REF!</v>
      </c>
      <c r="J296" s="6" t="s">
        <v>84</v>
      </c>
      <c r="K296" s="6" t="s">
        <v>92</v>
      </c>
      <c r="L296" s="7" t="e">
        <f t="shared" si="77"/>
        <v>#REF!</v>
      </c>
      <c r="M296" s="7" t="s">
        <v>93</v>
      </c>
      <c r="O296" s="7" t="str">
        <f>IF(OR($C296="",$C296="FID YOK"),"",IF(ISNUMBER(MATCH($C296,FA_ANA,0)),"",IF(COUNTIF($C$1:$C295,$C296)&gt;0,"",MAX($O$1:$O295)+1)))</f>
        <v/>
      </c>
      <c r="T296" s="7">
        <f>IF(ISNA(MATCH($C296,FA,0)),0,IF($J296="GIRIS",N(INDEX(F_INKOR,MATCH($C296,FA,0))),0))</f>
        <v>0</v>
      </c>
      <c r="Y296" s="7" t="e">
        <f>N(#REF!)*IF($E296="упак",MAX(1,IF(ISNA(MATCH($C296,FA,0)),1,N(INDEX(F_PAKET,MATCH($C296,FA,0))))),1)</f>
        <v>#REF!</v>
      </c>
      <c r="Z296" s="7" t="e">
        <f t="shared" si="78"/>
        <v>#REF!</v>
      </c>
      <c r="AA296" s="7">
        <f>IF(OR(ISNA(MATCH($C296,FA,0)),$J296="YEDEK",$J296="SARF"),0,N(#REF!)*N(INDEX(F_TEL,MATCH($C296,FA,0))))</f>
        <v>0</v>
      </c>
      <c r="AB296" s="7">
        <f>IF(OR(ISNA(MATCH($C296,FA,0)),$J296="YEDEK",$J296="SARF"),0,N(#REF!)*N(INDEX(F_TELM,MATCH($C296,FA,0))))</f>
        <v>0</v>
      </c>
      <c r="AC296" s="7" t="e">
        <f t="shared" si="79"/>
        <v>#REF!</v>
      </c>
      <c r="AD296" s="7">
        <f>IF(OR(ISNA(MATCH($C296,FA,0)),$J296&lt;&gt;"CIKIS"),0,N(INDEX(F_KK,MATCH($C296,FA,0))))</f>
        <v>0</v>
      </c>
      <c r="AE296" s="7">
        <f>IF($AD296=0,0,N(#REF!)*N(INDEX(F_KLN,MATCH($C296,FA,0))))</f>
        <v>0</v>
      </c>
      <c r="AF296" s="7">
        <f>IF($AD296=0,0,N(#REF!)*N(INDEX(F_KPE,MATCH($C296,FA,0))))</f>
        <v>0</v>
      </c>
      <c r="AG296" s="7" t="e">
        <f>IF(ISNA(MATCH($C296,FA,0)),0,N(#REF!)*N(INDEX(F_MODUL,MATCH($C296,FA,0))))</f>
        <v>#REF!</v>
      </c>
      <c r="AH296" s="7" t="e">
        <f>N(#REF!)*N($I296)</f>
        <v>#REF!</v>
      </c>
      <c r="AI296" s="7" t="e">
        <f t="shared" si="80"/>
        <v>#REF!</v>
      </c>
      <c r="AJ296" s="7">
        <f t="shared" si="81"/>
        <v>0</v>
      </c>
    </row>
    <row r="297" spans="1:36" x14ac:dyDescent="0.25">
      <c r="A297" s="4" t="str">
        <f t="shared" si="75"/>
        <v>ЩСВ-П (260922 akram aulet)</v>
      </c>
      <c r="B297" s="4" t="s">
        <v>92</v>
      </c>
      <c r="C297" s="4" t="s">
        <v>531</v>
      </c>
      <c r="D297" s="4" t="s">
        <v>532</v>
      </c>
      <c r="E297" s="4" t="s">
        <v>520</v>
      </c>
      <c r="F297" s="4" t="s">
        <v>521</v>
      </c>
      <c r="G297" s="4" t="s">
        <v>38</v>
      </c>
      <c r="H297" s="5" t="e">
        <f>#REF!</f>
        <v>#REF!</v>
      </c>
      <c r="I297" s="6" t="e">
        <f t="shared" si="76"/>
        <v>#REF!</v>
      </c>
      <c r="J297" s="6" t="s">
        <v>84</v>
      </c>
      <c r="K297" s="6" t="s">
        <v>92</v>
      </c>
      <c r="L297" s="7" t="e">
        <f t="shared" si="77"/>
        <v>#REF!</v>
      </c>
      <c r="M297" s="7" t="s">
        <v>95</v>
      </c>
      <c r="O297" s="7" t="str">
        <f>IF(OR($C297="",$C297="FID YOK"),"",IF(ISNUMBER(MATCH($C297,FA_ANA,0)),"",IF(COUNTIF($C$1:$C296,$C297)&gt;0,"",MAX($O$1:$O296)+1)))</f>
        <v/>
      </c>
      <c r="T297" s="7">
        <f>IF(ISNA(MATCH($C297,FA,0)),0,IF($J297="GIRIS",N(INDEX(F_INKOR,MATCH($C297,FA,0))),0))</f>
        <v>0</v>
      </c>
      <c r="Y297" s="7" t="e">
        <f>N(#REF!)*IF($E297="упак",MAX(1,IF(ISNA(MATCH($C297,FA,0)),1,N(INDEX(F_PAKET,MATCH($C297,FA,0))))),1)</f>
        <v>#REF!</v>
      </c>
      <c r="Z297" s="7" t="e">
        <f t="shared" si="78"/>
        <v>#REF!</v>
      </c>
      <c r="AA297" s="7">
        <f>IF(OR(ISNA(MATCH($C297,FA,0)),$J297="YEDEK",$J297="SARF"),0,N(#REF!)*N(INDEX(F_TEL,MATCH($C297,FA,0))))</f>
        <v>0</v>
      </c>
      <c r="AB297" s="7">
        <f>IF(OR(ISNA(MATCH($C297,FA,0)),$J297="YEDEK",$J297="SARF"),0,N(#REF!)*N(INDEX(F_TELM,MATCH($C297,FA,0))))</f>
        <v>0</v>
      </c>
      <c r="AC297" s="7" t="e">
        <f t="shared" si="79"/>
        <v>#REF!</v>
      </c>
      <c r="AD297" s="7">
        <f>IF(OR(ISNA(MATCH($C297,FA,0)),$J297&lt;&gt;"CIKIS"),0,N(INDEX(F_KK,MATCH($C297,FA,0))))</f>
        <v>0</v>
      </c>
      <c r="AE297" s="7">
        <f>IF($AD297=0,0,N(#REF!)*N(INDEX(F_KLN,MATCH($C297,FA,0))))</f>
        <v>0</v>
      </c>
      <c r="AF297" s="7">
        <f>IF($AD297=0,0,N(#REF!)*N(INDEX(F_KPE,MATCH($C297,FA,0))))</f>
        <v>0</v>
      </c>
      <c r="AG297" s="7" t="e">
        <f>IF(ISNA(MATCH($C297,FA,0)),0,N(#REF!)*N(INDEX(F_MODUL,MATCH($C297,FA,0))))</f>
        <v>#REF!</v>
      </c>
      <c r="AH297" s="7" t="e">
        <f>N(#REF!)*N($I297)</f>
        <v>#REF!</v>
      </c>
      <c r="AI297" s="7" t="e">
        <f t="shared" si="80"/>
        <v>#REF!</v>
      </c>
      <c r="AJ297" s="7">
        <f t="shared" si="81"/>
        <v>0</v>
      </c>
    </row>
    <row r="298" spans="1:36" x14ac:dyDescent="0.25">
      <c r="A298" s="4" t="str">
        <f t="shared" si="75"/>
        <v>ЩСВ-П (260922 akram aulet)</v>
      </c>
      <c r="B298" s="4" t="s">
        <v>92</v>
      </c>
      <c r="C298" s="4" t="s">
        <v>545</v>
      </c>
      <c r="D298" s="4" t="s">
        <v>546</v>
      </c>
      <c r="E298" s="4" t="s">
        <v>520</v>
      </c>
      <c r="F298" s="4" t="s">
        <v>521</v>
      </c>
      <c r="G298" s="4" t="s">
        <v>38</v>
      </c>
      <c r="H298" s="5" t="e">
        <f>#REF!</f>
        <v>#REF!</v>
      </c>
      <c r="I298" s="6" t="e">
        <f t="shared" si="76"/>
        <v>#REF!</v>
      </c>
      <c r="J298" s="6" t="s">
        <v>84</v>
      </c>
      <c r="K298" s="6" t="s">
        <v>92</v>
      </c>
      <c r="L298" s="7" t="e">
        <f t="shared" si="77"/>
        <v>#REF!</v>
      </c>
      <c r="M298" s="7" t="s">
        <v>131</v>
      </c>
      <c r="O298" s="7" t="str">
        <f>IF(OR($C298="",$C298="FID YOK"),"",IF(ISNUMBER(MATCH($C298,FA_ANA,0)),"",IF(COUNTIF($C$1:$C297,$C298)&gt;0,"",MAX($O$1:$O297)+1)))</f>
        <v/>
      </c>
      <c r="T298" s="7">
        <f>IF(ISNA(MATCH($C298,FA,0)),0,IF($J298="GIRIS",N(INDEX(F_INKOR,MATCH($C298,FA,0))),0))</f>
        <v>0</v>
      </c>
      <c r="Y298" s="7" t="e">
        <f>N(#REF!)*IF($E298="упак",MAX(1,IF(ISNA(MATCH($C298,FA,0)),1,N(INDEX(F_PAKET,MATCH($C298,FA,0))))),1)</f>
        <v>#REF!</v>
      </c>
      <c r="Z298" s="7" t="e">
        <f t="shared" si="78"/>
        <v>#REF!</v>
      </c>
      <c r="AA298" s="7">
        <f>IF(OR(ISNA(MATCH($C298,FA,0)),$J298="YEDEK",$J298="SARF"),0,N(#REF!)*N(INDEX(F_TEL,MATCH($C298,FA,0))))</f>
        <v>0</v>
      </c>
      <c r="AB298" s="7">
        <f>IF(OR(ISNA(MATCH($C298,FA,0)),$J298="YEDEK",$J298="SARF"),0,N(#REF!)*N(INDEX(F_TELM,MATCH($C298,FA,0))))</f>
        <v>0</v>
      </c>
      <c r="AC298" s="7" t="e">
        <f t="shared" si="79"/>
        <v>#REF!</v>
      </c>
      <c r="AD298" s="7">
        <f>IF(OR(ISNA(MATCH($C298,FA,0)),$J298&lt;&gt;"CIKIS"),0,N(INDEX(F_KK,MATCH($C298,FA,0))))</f>
        <v>0</v>
      </c>
      <c r="AE298" s="7">
        <f>IF($AD298=0,0,N(#REF!)*N(INDEX(F_KLN,MATCH($C298,FA,0))))</f>
        <v>0</v>
      </c>
      <c r="AF298" s="7">
        <f>IF($AD298=0,0,N(#REF!)*N(INDEX(F_KPE,MATCH($C298,FA,0))))</f>
        <v>0</v>
      </c>
      <c r="AG298" s="7" t="e">
        <f>IF(ISNA(MATCH($C298,FA,0)),0,N(#REF!)*N(INDEX(F_MODUL,MATCH($C298,FA,0))))</f>
        <v>#REF!</v>
      </c>
      <c r="AH298" s="7" t="e">
        <f>N(#REF!)*N($I298)</f>
        <v>#REF!</v>
      </c>
      <c r="AI298" s="7" t="e">
        <f t="shared" si="80"/>
        <v>#REF!</v>
      </c>
      <c r="AJ298" s="7">
        <f t="shared" si="81"/>
        <v>0</v>
      </c>
    </row>
    <row r="299" spans="1:36" x14ac:dyDescent="0.25">
      <c r="A299" s="4" t="str">
        <f t="shared" si="75"/>
        <v>ЩСВ-П (260922 akram aulet)</v>
      </c>
      <c r="B299" s="4" t="s">
        <v>92</v>
      </c>
      <c r="C299" s="4" t="s">
        <v>535</v>
      </c>
      <c r="D299" s="4" t="s">
        <v>536</v>
      </c>
      <c r="E299" s="4" t="s">
        <v>520</v>
      </c>
      <c r="F299" s="4" t="s">
        <v>521</v>
      </c>
      <c r="G299" s="4" t="s">
        <v>38</v>
      </c>
      <c r="H299" s="5" t="e">
        <f>#REF!</f>
        <v>#REF!</v>
      </c>
      <c r="I299" s="6" t="e">
        <f t="shared" si="76"/>
        <v>#REF!</v>
      </c>
      <c r="J299" s="6" t="s">
        <v>84</v>
      </c>
      <c r="K299" s="6" t="s">
        <v>92</v>
      </c>
      <c r="L299" s="7" t="e">
        <f t="shared" si="77"/>
        <v>#REF!</v>
      </c>
      <c r="M299" s="7" t="s">
        <v>100</v>
      </c>
      <c r="O299" s="7" t="str">
        <f>IF(OR($C299="",$C299="FID YOK"),"",IF(ISNUMBER(MATCH($C299,FA_ANA,0)),"",IF(COUNTIF($C$1:$C298,$C299)&gt;0,"",MAX($O$1:$O298)+1)))</f>
        <v/>
      </c>
      <c r="T299" s="7">
        <f>IF(ISNA(MATCH($C299,FA,0)),0,IF($J299="GIRIS",N(INDEX(F_INKOR,MATCH($C299,FA,0))),0))</f>
        <v>0</v>
      </c>
      <c r="Y299" s="7" t="e">
        <f>N(#REF!)*IF($E299="упак",MAX(1,IF(ISNA(MATCH($C299,FA,0)),1,N(INDEX(F_PAKET,MATCH($C299,FA,0))))),1)</f>
        <v>#REF!</v>
      </c>
      <c r="Z299" s="7" t="e">
        <f t="shared" si="78"/>
        <v>#REF!</v>
      </c>
      <c r="AA299" s="7">
        <f>IF(OR(ISNA(MATCH($C299,FA,0)),$J299="YEDEK",$J299="SARF"),0,N(#REF!)*N(INDEX(F_TEL,MATCH($C299,FA,0))))</f>
        <v>0</v>
      </c>
      <c r="AB299" s="7">
        <f>IF(OR(ISNA(MATCH($C299,FA,0)),$J299="YEDEK",$J299="SARF"),0,N(#REF!)*N(INDEX(F_TELM,MATCH($C299,FA,0))))</f>
        <v>0</v>
      </c>
      <c r="AC299" s="7" t="e">
        <f t="shared" si="79"/>
        <v>#REF!</v>
      </c>
      <c r="AD299" s="7">
        <f>IF(OR(ISNA(MATCH($C299,FA,0)),$J299&lt;&gt;"CIKIS"),0,N(INDEX(F_KK,MATCH($C299,FA,0))))</f>
        <v>0</v>
      </c>
      <c r="AE299" s="7">
        <f>IF($AD299=0,0,N(#REF!)*N(INDEX(F_KLN,MATCH($C299,FA,0))))</f>
        <v>0</v>
      </c>
      <c r="AF299" s="7">
        <f>IF($AD299=0,0,N(#REF!)*N(INDEX(F_KPE,MATCH($C299,FA,0))))</f>
        <v>0</v>
      </c>
      <c r="AG299" s="7" t="e">
        <f>IF(ISNA(MATCH($C299,FA,0)),0,N(#REF!)*N(INDEX(F_MODUL,MATCH($C299,FA,0))))</f>
        <v>#REF!</v>
      </c>
      <c r="AH299" s="7" t="e">
        <f>N(#REF!)*N($I299)</f>
        <v>#REF!</v>
      </c>
      <c r="AI299" s="7" t="e">
        <f t="shared" si="80"/>
        <v>#REF!</v>
      </c>
      <c r="AJ299" s="7">
        <f t="shared" si="81"/>
        <v>0</v>
      </c>
    </row>
    <row r="300" spans="1:36" x14ac:dyDescent="0.25">
      <c r="A300" s="4" t="str">
        <f t="shared" si="75"/>
        <v>ЩСВ-П (260922 akram aulet)</v>
      </c>
      <c r="B300" s="4" t="s">
        <v>101</v>
      </c>
      <c r="C300" s="4" t="s">
        <v>525</v>
      </c>
      <c r="D300" s="4" t="s">
        <v>526</v>
      </c>
      <c r="E300" s="4" t="s">
        <v>522</v>
      </c>
      <c r="F300" s="4" t="s">
        <v>486</v>
      </c>
      <c r="G300" s="4" t="s">
        <v>38</v>
      </c>
      <c r="H300" s="5" t="e">
        <f>#REF!</f>
        <v>#REF!</v>
      </c>
      <c r="I300" s="6" t="e">
        <f t="shared" si="76"/>
        <v>#REF!</v>
      </c>
      <c r="J300" s="6" t="s">
        <v>84</v>
      </c>
      <c r="K300" s="6" t="s">
        <v>101</v>
      </c>
      <c r="L300" s="7" t="e">
        <f t="shared" si="77"/>
        <v>#REF!</v>
      </c>
      <c r="M300" s="7" t="s">
        <v>102</v>
      </c>
      <c r="O300" s="7" t="str">
        <f>IF(OR($C300="",$C300="FID YOK"),"",IF(ISNUMBER(MATCH($C300,FA_ANA,0)),"",IF(COUNTIF($C$1:$C299,$C300)&gt;0,"",MAX($O$1:$O299)+1)))</f>
        <v/>
      </c>
      <c r="T300" s="7">
        <f>IF(ISNA(MATCH($C300,FA,0)),0,IF($J300="GIRIS",N(INDEX(F_INKOR,MATCH($C300,FA,0))),0))</f>
        <v>0</v>
      </c>
      <c r="Y300" s="7" t="e">
        <f>N(#REF!)*IF($E300="упак",MAX(1,IF(ISNA(MATCH($C300,FA,0)),1,N(INDEX(F_PAKET,MATCH($C300,FA,0))))),1)</f>
        <v>#REF!</v>
      </c>
      <c r="Z300" s="7" t="e">
        <f t="shared" si="78"/>
        <v>#REF!</v>
      </c>
      <c r="AA300" s="7">
        <f>IF(OR(ISNA(MATCH($C300,FA,0)),$J300="YEDEK",$J300="SARF"),0,N(#REF!)*N(INDEX(F_TEL,MATCH($C300,FA,0))))</f>
        <v>0</v>
      </c>
      <c r="AB300" s="7">
        <f>IF(OR(ISNA(MATCH($C300,FA,0)),$J300="YEDEK",$J300="SARF"),0,N(#REF!)*N(INDEX(F_TELM,MATCH($C300,FA,0))))</f>
        <v>0</v>
      </c>
      <c r="AC300" s="7" t="e">
        <f t="shared" si="79"/>
        <v>#REF!</v>
      </c>
      <c r="AD300" s="7">
        <f>IF(OR(ISNA(MATCH($C300,FA,0)),$J300&lt;&gt;"CIKIS"),0,N(INDEX(F_KK,MATCH($C300,FA,0))))</f>
        <v>0</v>
      </c>
      <c r="AE300" s="7">
        <f>IF($AD300=0,0,N(#REF!)*N(INDEX(F_KLN,MATCH($C300,FA,0))))</f>
        <v>0</v>
      </c>
      <c r="AF300" s="7">
        <f>IF($AD300=0,0,N(#REF!)*N(INDEX(F_KPE,MATCH($C300,FA,0))))</f>
        <v>0</v>
      </c>
      <c r="AG300" s="7" t="e">
        <f>IF(ISNA(MATCH($C300,FA,0)),0,N(#REF!)*N(INDEX(F_MODUL,MATCH($C300,FA,0))))</f>
        <v>#REF!</v>
      </c>
      <c r="AH300" s="7" t="e">
        <f>N(#REF!)*N($I300)</f>
        <v>#REF!</v>
      </c>
      <c r="AI300" s="7" t="e">
        <f t="shared" si="80"/>
        <v>#REF!</v>
      </c>
      <c r="AJ300" s="7">
        <f t="shared" si="81"/>
        <v>0</v>
      </c>
    </row>
    <row r="301" spans="1:36" x14ac:dyDescent="0.25">
      <c r="A301" s="4" t="str">
        <f t="shared" si="75"/>
        <v>ЩСВ-П (260922 akram aulet)</v>
      </c>
      <c r="B301" s="4" t="s">
        <v>101</v>
      </c>
      <c r="C301" s="4" t="s">
        <v>533</v>
      </c>
      <c r="D301" s="4" t="s">
        <v>534</v>
      </c>
      <c r="E301" s="4" t="s">
        <v>522</v>
      </c>
      <c r="F301" s="4" t="s">
        <v>486</v>
      </c>
      <c r="G301" s="4" t="s">
        <v>38</v>
      </c>
      <c r="H301" s="5" t="e">
        <f>#REF!</f>
        <v>#REF!</v>
      </c>
      <c r="I301" s="6" t="e">
        <f t="shared" si="76"/>
        <v>#REF!</v>
      </c>
      <c r="J301" s="6" t="s">
        <v>84</v>
      </c>
      <c r="K301" s="6" t="s">
        <v>101</v>
      </c>
      <c r="L301" s="7" t="e">
        <f t="shared" si="77"/>
        <v>#REF!</v>
      </c>
      <c r="M301" s="7" t="s">
        <v>104</v>
      </c>
      <c r="O301" s="7" t="str">
        <f>IF(OR($C301="",$C301="FID YOK"),"",IF(ISNUMBER(MATCH($C301,FA_ANA,0)),"",IF(COUNTIF($C$1:$C300,$C301)&gt;0,"",MAX($O$1:$O300)+1)))</f>
        <v/>
      </c>
      <c r="T301" s="7">
        <f>IF(ISNA(MATCH($C301,FA,0)),0,IF($J301="GIRIS",N(INDEX(F_INKOR,MATCH($C301,FA,0))),0))</f>
        <v>0</v>
      </c>
      <c r="Y301" s="7" t="e">
        <f>N(#REF!)*IF($E301="упак",MAX(1,IF(ISNA(MATCH($C301,FA,0)),1,N(INDEX(F_PAKET,MATCH($C301,FA,0))))),1)</f>
        <v>#REF!</v>
      </c>
      <c r="Z301" s="7" t="e">
        <f t="shared" si="78"/>
        <v>#REF!</v>
      </c>
      <c r="AA301" s="7">
        <f>IF(OR(ISNA(MATCH($C301,FA,0)),$J301="YEDEK",$J301="SARF"),0,N(#REF!)*N(INDEX(F_TEL,MATCH($C301,FA,0))))</f>
        <v>0</v>
      </c>
      <c r="AB301" s="7">
        <f>IF(OR(ISNA(MATCH($C301,FA,0)),$J301="YEDEK",$J301="SARF"),0,N(#REF!)*N(INDEX(F_TELM,MATCH($C301,FA,0))))</f>
        <v>0</v>
      </c>
      <c r="AC301" s="7" t="e">
        <f t="shared" si="79"/>
        <v>#REF!</v>
      </c>
      <c r="AD301" s="7">
        <f>IF(OR(ISNA(MATCH($C301,FA,0)),$J301&lt;&gt;"CIKIS"),0,N(INDEX(F_KK,MATCH($C301,FA,0))))</f>
        <v>0</v>
      </c>
      <c r="AE301" s="7">
        <f>IF($AD301=0,0,N(#REF!)*N(INDEX(F_KLN,MATCH($C301,FA,0))))</f>
        <v>0</v>
      </c>
      <c r="AF301" s="7">
        <f>IF($AD301=0,0,N(#REF!)*N(INDEX(F_KPE,MATCH($C301,FA,0))))</f>
        <v>0</v>
      </c>
      <c r="AG301" s="7" t="e">
        <f>IF(ISNA(MATCH($C301,FA,0)),0,N(#REF!)*N(INDEX(F_MODUL,MATCH($C301,FA,0))))</f>
        <v>#REF!</v>
      </c>
      <c r="AH301" s="7" t="e">
        <f>N(#REF!)*N($I301)</f>
        <v>#REF!</v>
      </c>
      <c r="AI301" s="7" t="e">
        <f t="shared" si="80"/>
        <v>#REF!</v>
      </c>
      <c r="AJ301" s="7">
        <f t="shared" si="81"/>
        <v>0</v>
      </c>
    </row>
    <row r="302" spans="1:36" x14ac:dyDescent="0.25">
      <c r="A302" s="4" t="str">
        <f t="shared" si="75"/>
        <v>ЩСВ-П (260922 akram aulet)</v>
      </c>
      <c r="B302" s="4" t="s">
        <v>101</v>
      </c>
      <c r="C302" s="4" t="s">
        <v>547</v>
      </c>
      <c r="D302" s="4" t="s">
        <v>548</v>
      </c>
      <c r="E302" s="4" t="s">
        <v>522</v>
      </c>
      <c r="F302" s="4" t="s">
        <v>486</v>
      </c>
      <c r="G302" s="4" t="s">
        <v>38</v>
      </c>
      <c r="H302" s="5" t="e">
        <f>#REF!</f>
        <v>#REF!</v>
      </c>
      <c r="I302" s="6" t="e">
        <f t="shared" si="76"/>
        <v>#REF!</v>
      </c>
      <c r="J302" s="6" t="s">
        <v>84</v>
      </c>
      <c r="K302" s="6" t="s">
        <v>101</v>
      </c>
      <c r="L302" s="7" t="e">
        <f t="shared" si="77"/>
        <v>#REF!</v>
      </c>
      <c r="M302" s="7" t="s">
        <v>229</v>
      </c>
      <c r="O302" s="7">
        <f>IF(OR($C302="",$C302="FID YOK"),"",IF(ISNUMBER(MATCH($C302,FA_ANA,0)),"",IF(COUNTIF($C$1:$C301,$C302)&gt;0,"",MAX($O$1:$O301)+1)))</f>
        <v>78</v>
      </c>
      <c r="T302" s="7">
        <f>IF(ISNA(MATCH($C302,FA,0)),0,IF($J302="GIRIS",N(INDEX(F_INKOR,MATCH($C302,FA,0))),0))</f>
        <v>0</v>
      </c>
      <c r="Y302" s="7" t="e">
        <f>N(#REF!)*IF($E302="упак",MAX(1,IF(ISNA(MATCH($C302,FA,0)),1,N(INDEX(F_PAKET,MATCH($C302,FA,0))))),1)</f>
        <v>#REF!</v>
      </c>
      <c r="Z302" s="7" t="e">
        <f t="shared" si="78"/>
        <v>#REF!</v>
      </c>
      <c r="AA302" s="7">
        <f>IF(OR(ISNA(MATCH($C302,FA,0)),$J302="YEDEK",$J302="SARF"),0,N(#REF!)*N(INDEX(F_TEL,MATCH($C302,FA,0))))</f>
        <v>0</v>
      </c>
      <c r="AB302" s="7">
        <f>IF(OR(ISNA(MATCH($C302,FA,0)),$J302="YEDEK",$J302="SARF"),0,N(#REF!)*N(INDEX(F_TELM,MATCH($C302,FA,0))))</f>
        <v>0</v>
      </c>
      <c r="AC302" s="7" t="e">
        <f t="shared" si="79"/>
        <v>#REF!</v>
      </c>
      <c r="AD302" s="7">
        <f>IF(OR(ISNA(MATCH($C302,FA,0)),$J302&lt;&gt;"CIKIS"),0,N(INDEX(F_KK,MATCH($C302,FA,0))))</f>
        <v>0</v>
      </c>
      <c r="AE302" s="7">
        <f>IF($AD302=0,0,N(#REF!)*N(INDEX(F_KLN,MATCH($C302,FA,0))))</f>
        <v>0</v>
      </c>
      <c r="AF302" s="7">
        <f>IF($AD302=0,0,N(#REF!)*N(INDEX(F_KPE,MATCH($C302,FA,0))))</f>
        <v>0</v>
      </c>
      <c r="AG302" s="7" t="e">
        <f>IF(ISNA(MATCH($C302,FA,0)),0,N(#REF!)*N(INDEX(F_MODUL,MATCH($C302,FA,0))))</f>
        <v>#REF!</v>
      </c>
      <c r="AH302" s="7" t="e">
        <f>N(#REF!)*N($I302)</f>
        <v>#REF!</v>
      </c>
      <c r="AI302" s="7" t="e">
        <f t="shared" si="80"/>
        <v>#REF!</v>
      </c>
      <c r="AJ302" s="7">
        <f t="shared" si="81"/>
        <v>0</v>
      </c>
    </row>
    <row r="303" spans="1:36" x14ac:dyDescent="0.25">
      <c r="A303" s="4" t="str">
        <f t="shared" si="75"/>
        <v>ЩСВ-П (260922 akram aulet)</v>
      </c>
      <c r="B303" s="4" t="s">
        <v>105</v>
      </c>
      <c r="C303" s="4" t="s">
        <v>539</v>
      </c>
      <c r="D303" s="4" t="s">
        <v>540</v>
      </c>
      <c r="E303" s="4" t="s">
        <v>114</v>
      </c>
      <c r="F303" s="4" t="s">
        <v>486</v>
      </c>
      <c r="G303" s="4" t="s">
        <v>38</v>
      </c>
      <c r="H303" s="5" t="e">
        <f>#REF!</f>
        <v>#REF!</v>
      </c>
      <c r="I303" s="6" t="e">
        <f t="shared" si="76"/>
        <v>#REF!</v>
      </c>
      <c r="J303" s="6" t="s">
        <v>84</v>
      </c>
      <c r="K303" s="6" t="s">
        <v>105</v>
      </c>
      <c r="L303" s="7" t="e">
        <f t="shared" si="77"/>
        <v>#REF!</v>
      </c>
      <c r="M303" s="7" t="s">
        <v>110</v>
      </c>
      <c r="O303" s="7" t="str">
        <f>IF(OR($C303="",$C303="FID YOK"),"",IF(ISNUMBER(MATCH($C303,FA_ANA,0)),"",IF(COUNTIF($C$1:$C302,$C303)&gt;0,"",MAX($O$1:$O302)+1)))</f>
        <v/>
      </c>
      <c r="T303" s="7">
        <f>IF(ISNA(MATCH($C303,FA,0)),0,IF($J303="GIRIS",N(INDEX(F_INKOR,MATCH($C303,FA,0))),0))</f>
        <v>0</v>
      </c>
      <c r="Y303" s="7" t="e">
        <f>N(#REF!)*IF($E303="упак",MAX(1,IF(ISNA(MATCH($C303,FA,0)),1,N(INDEX(F_PAKET,MATCH($C303,FA,0))))),1)</f>
        <v>#REF!</v>
      </c>
      <c r="Z303" s="7" t="e">
        <f t="shared" si="78"/>
        <v>#REF!</v>
      </c>
      <c r="AA303" s="7">
        <f>IF(OR(ISNA(MATCH($C303,FA,0)),$J303="YEDEK",$J303="SARF"),0,N(#REF!)*N(INDEX(F_TEL,MATCH($C303,FA,0))))</f>
        <v>0</v>
      </c>
      <c r="AB303" s="7">
        <f>IF(OR(ISNA(MATCH($C303,FA,0)),$J303="YEDEK",$J303="SARF"),0,N(#REF!)*N(INDEX(F_TELM,MATCH($C303,FA,0))))</f>
        <v>0</v>
      </c>
      <c r="AC303" s="7" t="e">
        <f t="shared" si="79"/>
        <v>#REF!</v>
      </c>
      <c r="AD303" s="7">
        <f>IF(OR(ISNA(MATCH($C303,FA,0)),$J303&lt;&gt;"CIKIS"),0,N(INDEX(F_KK,MATCH($C303,FA,0))))</f>
        <v>0</v>
      </c>
      <c r="AE303" s="7">
        <f>IF($AD303=0,0,N(#REF!)*N(INDEX(F_KLN,MATCH($C303,FA,0))))</f>
        <v>0</v>
      </c>
      <c r="AF303" s="7">
        <f>IF($AD303=0,0,N(#REF!)*N(INDEX(F_KPE,MATCH($C303,FA,0))))</f>
        <v>0</v>
      </c>
      <c r="AG303" s="7" t="e">
        <f>IF(ISNA(MATCH($C303,FA,0)),0,N(#REF!)*N(INDEX(F_MODUL,MATCH($C303,FA,0))))</f>
        <v>#REF!</v>
      </c>
      <c r="AH303" s="7" t="e">
        <f>N(#REF!)*N($I303)</f>
        <v>#REF!</v>
      </c>
      <c r="AI303" s="7" t="e">
        <f t="shared" si="80"/>
        <v>#REF!</v>
      </c>
      <c r="AJ303" s="7">
        <f t="shared" si="81"/>
        <v>0</v>
      </c>
    </row>
    <row r="304" spans="1:36" x14ac:dyDescent="0.25">
      <c r="A304" s="4" t="str">
        <f t="shared" si="75"/>
        <v>ЩСВ-П (260922 akram aulet)</v>
      </c>
      <c r="B304" s="4" t="s">
        <v>111</v>
      </c>
      <c r="C304" s="4" t="s">
        <v>571</v>
      </c>
      <c r="D304" s="4" t="s">
        <v>572</v>
      </c>
      <c r="E304" s="4" t="s">
        <v>522</v>
      </c>
      <c r="F304" s="4" t="s">
        <v>486</v>
      </c>
      <c r="G304" s="4" t="s">
        <v>38</v>
      </c>
      <c r="H304" s="5" t="e">
        <f>#REF!</f>
        <v>#REF!</v>
      </c>
      <c r="I304" s="6" t="e">
        <f t="shared" si="76"/>
        <v>#REF!</v>
      </c>
      <c r="J304" s="6" t="s">
        <v>84</v>
      </c>
      <c r="K304" s="6" t="s">
        <v>111</v>
      </c>
      <c r="L304" s="7" t="e">
        <f t="shared" si="77"/>
        <v>#REF!</v>
      </c>
      <c r="M304" s="7" t="s">
        <v>112</v>
      </c>
      <c r="O304" s="7" t="str">
        <f>IF(OR($C304="",$C304="FID YOK"),"",IF(ISNUMBER(MATCH($C304,FA_ANA,0)),"",IF(COUNTIF($C$1:$C303,$C304)&gt;0,"",MAX($O$1:$O303)+1)))</f>
        <v/>
      </c>
      <c r="T304" s="7">
        <f>IF(ISNA(MATCH($C304,FA,0)),0,IF($J304="GIRIS",N(INDEX(F_INKOR,MATCH($C304,FA,0))),0))</f>
        <v>0</v>
      </c>
      <c r="Y304" s="7" t="e">
        <f>N(#REF!)*IF($E304="упак",MAX(1,IF(ISNA(MATCH($C304,FA,0)),1,N(INDEX(F_PAKET,MATCH($C304,FA,0))))),1)</f>
        <v>#REF!</v>
      </c>
      <c r="Z304" s="7" t="e">
        <f t="shared" si="78"/>
        <v>#REF!</v>
      </c>
      <c r="AA304" s="7">
        <f>IF(OR(ISNA(MATCH($C304,FA,0)),$J304="YEDEK",$J304="SARF"),0,N(#REF!)*N(INDEX(F_TEL,MATCH($C304,FA,0))))</f>
        <v>0</v>
      </c>
      <c r="AB304" s="7">
        <f>IF(OR(ISNA(MATCH($C304,FA,0)),$J304="YEDEK",$J304="SARF"),0,N(#REF!)*N(INDEX(F_TELM,MATCH($C304,FA,0))))</f>
        <v>0</v>
      </c>
      <c r="AC304" s="7" t="e">
        <f t="shared" si="79"/>
        <v>#REF!</v>
      </c>
      <c r="AD304" s="7">
        <f>IF(OR(ISNA(MATCH($C304,FA,0)),$J304&lt;&gt;"CIKIS"),0,N(INDEX(F_KK,MATCH($C304,FA,0))))</f>
        <v>0</v>
      </c>
      <c r="AE304" s="7">
        <f>IF($AD304=0,0,N(#REF!)*N(INDEX(F_KLN,MATCH($C304,FA,0))))</f>
        <v>0</v>
      </c>
      <c r="AF304" s="7">
        <f>IF($AD304=0,0,N(#REF!)*N(INDEX(F_KPE,MATCH($C304,FA,0))))</f>
        <v>0</v>
      </c>
      <c r="AG304" s="7" t="e">
        <f>IF(ISNA(MATCH($C304,FA,0)),0,N(#REF!)*N(INDEX(F_MODUL,MATCH($C304,FA,0))))</f>
        <v>#REF!</v>
      </c>
      <c r="AH304" s="7" t="e">
        <f>N(#REF!)*N($I304)</f>
        <v>#REF!</v>
      </c>
      <c r="AI304" s="7" t="e">
        <f t="shared" si="80"/>
        <v>#REF!</v>
      </c>
      <c r="AJ304" s="7">
        <f t="shared" si="81"/>
        <v>0</v>
      </c>
    </row>
    <row r="305" spans="1:36" x14ac:dyDescent="0.25">
      <c r="A305" s="4" t="str">
        <f t="shared" si="75"/>
        <v>ЩСВ-П (260922 akram aulet)</v>
      </c>
      <c r="B305" s="4" t="s">
        <v>113</v>
      </c>
      <c r="C305" s="4" t="s">
        <v>113</v>
      </c>
      <c r="D305" s="4" t="s">
        <v>113</v>
      </c>
      <c r="E305" s="4" t="s">
        <v>114</v>
      </c>
      <c r="F305" s="4" t="s">
        <v>113</v>
      </c>
      <c r="G305" s="4" t="s">
        <v>38</v>
      </c>
      <c r="H305" s="5" t="e">
        <f>#REF!</f>
        <v>#REF!</v>
      </c>
      <c r="I305" s="6" t="e">
        <f t="shared" si="76"/>
        <v>#REF!</v>
      </c>
    </row>
    <row r="306" spans="1:36" x14ac:dyDescent="0.25">
      <c r="A306" s="4" t="str">
        <f t="shared" si="75"/>
        <v>ЩСВ-П (260922 akram aulet)</v>
      </c>
      <c r="B306" s="4" t="s">
        <v>115</v>
      </c>
      <c r="C306" s="4" t="s">
        <v>115</v>
      </c>
      <c r="D306" s="4" t="s">
        <v>115</v>
      </c>
      <c r="E306" s="4" t="s">
        <v>116</v>
      </c>
      <c r="F306" s="4" t="s">
        <v>115</v>
      </c>
      <c r="G306" s="4" t="s">
        <v>38</v>
      </c>
      <c r="H306" s="5" t="e">
        <f>#REF!</f>
        <v>#REF!</v>
      </c>
      <c r="I306" s="6" t="e">
        <f t="shared" si="76"/>
        <v>#REF!</v>
      </c>
    </row>
    <row r="307" spans="1:36" x14ac:dyDescent="0.25">
      <c r="A307" s="1" t="str">
        <f>D307</f>
        <v>ЩДУ-П (260922 akram aulet)</v>
      </c>
      <c r="B307" s="12"/>
      <c r="C307" s="2"/>
      <c r="D307" s="1" t="s">
        <v>230</v>
      </c>
      <c r="E307" s="1" t="s">
        <v>36</v>
      </c>
      <c r="F307" s="1" t="s">
        <v>37</v>
      </c>
      <c r="G307" s="1" t="s">
        <v>38</v>
      </c>
      <c r="I307" s="3" t="e">
        <f>#REF!</f>
        <v>#REF!</v>
      </c>
    </row>
    <row r="308" spans="1:36" x14ac:dyDescent="0.25">
      <c r="A308" s="4" t="str">
        <f t="shared" ref="A308:A324" si="82">A307</f>
        <v>ЩДУ-П (260922 akram aulet)</v>
      </c>
      <c r="B308" s="4" t="s">
        <v>39</v>
      </c>
      <c r="C308" s="4" t="s">
        <v>599</v>
      </c>
      <c r="D308" s="4" t="s">
        <v>600</v>
      </c>
      <c r="E308" s="4" t="s">
        <v>114</v>
      </c>
      <c r="F308" s="4" t="s">
        <v>491</v>
      </c>
      <c r="G308" s="4" t="s">
        <v>38</v>
      </c>
      <c r="H308" s="5" t="e">
        <f>#REF!</f>
        <v>#REF!</v>
      </c>
      <c r="I308" s="6" t="e">
        <f t="shared" ref="I308:I324" si="83">I307</f>
        <v>#REF!</v>
      </c>
      <c r="J308" s="6" t="s">
        <v>40</v>
      </c>
      <c r="K308" s="6" t="s">
        <v>195</v>
      </c>
      <c r="L308" s="7" t="e">
        <f t="shared" ref="L308:L322" si="84">IF(ISNA(MATCH($C308,FA,0)),"ARTİKÜL YOK",INDEX(FIYAT_DURUM,MATCH($C308,FA,0)))</f>
        <v>#REF!</v>
      </c>
      <c r="M308" s="7" t="s">
        <v>231</v>
      </c>
      <c r="N308" s="7" t="s">
        <v>223</v>
      </c>
      <c r="O308" s="7">
        <f>IF(OR($C308="",$C308="FID YOK"),"",IF(ISNUMBER(MATCH($C308,FA_ANA,0)),"",IF(COUNTIF($C$1:$C307,$C308)&gt;0,"",MAX($O$1:$O307)+1)))</f>
        <v>79</v>
      </c>
      <c r="Q308" s="7"/>
      <c r="R308" s="7"/>
      <c r="S308" s="7"/>
      <c r="T308" s="7">
        <f>IF(ISNA(MATCH($C308,FA,0)),0,IF($J308="GIRIS",N(INDEX(F_INKOR,MATCH($C308,FA,0))),0))</f>
        <v>0</v>
      </c>
      <c r="U308" s="7"/>
      <c r="V308" s="7"/>
      <c r="W308" s="7"/>
      <c r="X308" s="7"/>
      <c r="Y308" s="7" t="e">
        <f>N(#REF!)*IF($E308="упак",MAX(1,IF(ISNA(MATCH($C308,FA,0)),1,N(INDEX(F_PAKET,MATCH($C308,FA,0))))),1)</f>
        <v>#REF!</v>
      </c>
      <c r="Z308" s="7" t="e">
        <f t="shared" ref="Z308:Z322" si="85">IF(ISNA(MATCH($C308,FA,0)),0,N(INDEX(F_BK,MATCH($C308,FA,0))))</f>
        <v>#REF!</v>
      </c>
      <c r="AA308" s="7" t="e">
        <f>IF(OR(ISNA(MATCH($C308,FA,0)),$J308="YEDEK",$J308="SARF"),0,N(#REF!)*N(INDEX(F_TEL,MATCH($C308,FA,0))))</f>
        <v>#REF!</v>
      </c>
      <c r="AB308" s="7" t="e">
        <f>IF(OR(ISNA(MATCH($C308,FA,0)),$J308="YEDEK",$J308="SARF"),0,N(#REF!)*N(INDEX(F_TELM,MATCH($C308,FA,0))))</f>
        <v>#REF!</v>
      </c>
      <c r="AC308" s="7" t="e">
        <f t="shared" ref="AC308:AC322" si="86">IF(ISNA(MATCH($C308,FA,0)),"",INDEX(F_UC,MATCH($C308,FA,0))&amp;"")</f>
        <v>#REF!</v>
      </c>
      <c r="AD308" s="7">
        <f>IF(OR(ISNA(MATCH($C308,FA,0)),$J308&lt;&gt;"CIKIS"),0,N(INDEX(F_KK,MATCH($C308,FA,0))))</f>
        <v>0</v>
      </c>
      <c r="AE308" s="7">
        <f>IF($AD308=0,0,N(#REF!)*N(INDEX(F_KLN,MATCH($C308,FA,0))))</f>
        <v>0</v>
      </c>
      <c r="AF308" s="7">
        <f>IF($AD308=0,0,N(#REF!)*N(INDEX(F_KPE,MATCH($C308,FA,0))))</f>
        <v>0</v>
      </c>
      <c r="AG308" s="7" t="e">
        <f>IF(ISNA(MATCH($C308,FA,0)),0,N(#REF!)*N(INDEX(F_MODUL,MATCH($C308,FA,0))))</f>
        <v>#REF!</v>
      </c>
      <c r="AH308" s="7" t="e">
        <f>N(#REF!)*N($I308)</f>
        <v>#REF!</v>
      </c>
      <c r="AI308" s="7" t="e">
        <f t="shared" ref="AI308:AI322" si="87">IF(ISNA(MATCH($K308,TIP_AD,0)),"YOK",IF(INDEX(NORM_DK,MATCH($K308,TIP_AD,0))="","BOŞ",INDEX(NORM_DK,MATCH($K308,TIP_AD,0))))</f>
        <v>#REF!</v>
      </c>
      <c r="AJ308" s="7">
        <f t="shared" ref="AJ308:AJ322" si="88">IF(ISNUMBER($AI308),$Y308*$AI308,0)</f>
        <v>0</v>
      </c>
    </row>
    <row r="309" spans="1:36" x14ac:dyDescent="0.25">
      <c r="A309" s="4" t="str">
        <f t="shared" si="82"/>
        <v>ЩДУ-П (260922 akram aulet)</v>
      </c>
      <c r="B309" s="4" t="s">
        <v>198</v>
      </c>
      <c r="C309" s="4" t="s">
        <v>434</v>
      </c>
      <c r="D309" s="4" t="s">
        <v>435</v>
      </c>
      <c r="E309" s="4" t="s">
        <v>114</v>
      </c>
      <c r="F309" s="4" t="s">
        <v>377</v>
      </c>
      <c r="G309" s="4" t="s">
        <v>38</v>
      </c>
      <c r="H309" s="5" t="e">
        <f>#REF!</f>
        <v>#REF!</v>
      </c>
      <c r="I309" s="6" t="e">
        <f t="shared" si="83"/>
        <v>#REF!</v>
      </c>
      <c r="J309" s="6" t="s">
        <v>48</v>
      </c>
      <c r="K309" s="6" t="s">
        <v>198</v>
      </c>
      <c r="L309" s="7" t="e">
        <f t="shared" si="84"/>
        <v>#REF!</v>
      </c>
      <c r="M309" s="7" t="s">
        <v>232</v>
      </c>
      <c r="N309" s="7" t="s">
        <v>233</v>
      </c>
      <c r="O309" s="7" t="str">
        <f>IF(OR($C309="",$C309="FID YOK"),"",IF(ISNUMBER(MATCH($C309,FA_ANA,0)),"",IF(COUNTIF($C$1:$C308,$C309)&gt;0,"",MAX($O$1:$O308)+1)))</f>
        <v/>
      </c>
      <c r="P309" s="8">
        <v>1</v>
      </c>
      <c r="Q309" s="7" t="e">
        <f>IF(OR($P309="",$P309="G",ISNA(MATCH($C309,FA,0))),"",IF(N(INDEX(F_G,MATCH($C309,FA,0)))&gt;0,INDEX(F_G,MATCH($C309,FA,0)),IF(N(INDEX(F_MODUL,MATCH($C309,FA,0)))&gt;0,INDEX(F_MODUL,MATCH($C309,FA,0))*MODUL_MM,"")))</f>
        <v>#REF!</v>
      </c>
      <c r="R309" s="7" t="e">
        <f>IF(OR($P309="",$P309="G",ISNA(MATCH($C309,FA,0))),"",IF(N(INDEX(F_Y,MATCH($C309,FA,0)))&gt;0,INDEX(F_Y,MATCH($C309,FA,0)),""))</f>
        <v>#REF!</v>
      </c>
      <c r="S309" s="7" t="e">
        <f>IF(OR($P309="",$P309="G",ISNA(MATCH($C309,FA,0))),"",IF(N(INDEX(F_D,MATCH($C309,FA,0)))&gt;0,INDEX(F_D,MATCH($C309,FA,0)),""))</f>
        <v>#REF!</v>
      </c>
      <c r="T309" s="7" t="e">
        <f>IF(ISNA(MATCH($C309,FA,0)),0,IF($J309="GIRIS",N(INDEX(F_INKOR,MATCH($C309,FA,0))),0))</f>
        <v>#REF!</v>
      </c>
      <c r="U309" s="7" t="e">
        <f>IF(ISNA(MATCH($B309,TIP_AD,0)),"",INDEX(TIP_KAT,MATCH($B309,TIP_AD,0))&amp;"")</f>
        <v>#REF!</v>
      </c>
      <c r="V309" s="7" t="e">
        <f>IF(NOT(ISNUMBER($P309)),"",IF($Z309=0,0,IF(ISNA(MATCH($Z309,BUK_KESIT,0)),"",IF(INDEX(BUK_ALAN,MATCH($Z309,BUK_KESIT,0))&amp;""="","",INDEX(BUK_ALAN,MATCH($Z309,BUK_KESIT,0))))))</f>
        <v>#REF!</v>
      </c>
      <c r="W309" s="7" t="e">
        <f>IF(OR(NOT(ISNUMBER($P309)),$Q309=""),"",N(#REF!)*($Q309+IF(ISNA(MATCH($B309,TIP_AD,0)),0,N(INDEX(TIP_BOSLUK,MATCH($B309,TIP_AD,0))))))</f>
        <v>#REF!</v>
      </c>
      <c r="X309" s="7" t="e">
        <f>IF(ISNUMBER($P309),($Q309="")+($R309="")+($V309="")+IF(AND($U309="KONTAKTOR",NOT(ISNA(MATCH($B309,TIP_AD,0)))),IF(INDEX(TIP_BOSLUK,MATCH($B309,TIP_AD,0))&amp;""="",1,0),0),IF($P309="K",IF($S309="",1,0),0))</f>
        <v>#REF!</v>
      </c>
      <c r="Y309" s="7" t="e">
        <f>N(#REF!)*IF($E309="упак",MAX(1,IF(ISNA(MATCH($C309,FA,0)),1,N(INDEX(F_PAKET,MATCH($C309,FA,0))))),1)</f>
        <v>#REF!</v>
      </c>
      <c r="Z309" s="7" t="e">
        <f t="shared" si="85"/>
        <v>#REF!</v>
      </c>
      <c r="AA309" s="7" t="e">
        <f>IF(OR(ISNA(MATCH($C309,FA,0)),$J309="YEDEK",$J309="SARF"),0,N(#REF!)*N(INDEX(F_TEL,MATCH($C309,FA,0))))</f>
        <v>#REF!</v>
      </c>
      <c r="AB309" s="7" t="e">
        <f>IF(OR(ISNA(MATCH($C309,FA,0)),$J309="YEDEK",$J309="SARF"),0,N(#REF!)*N(INDEX(F_TELM,MATCH($C309,FA,0))))</f>
        <v>#REF!</v>
      </c>
      <c r="AC309" s="7" t="e">
        <f t="shared" si="86"/>
        <v>#REF!</v>
      </c>
      <c r="AD309" s="7">
        <f>IF(OR(ISNA(MATCH($C309,FA,0)),$J309&lt;&gt;"CIKIS"),0,N(INDEX(F_KK,MATCH($C309,FA,0))))</f>
        <v>0</v>
      </c>
      <c r="AE309" s="7">
        <f>IF($AD309=0,0,N(#REF!)*N(INDEX(F_KLN,MATCH($C309,FA,0))))</f>
        <v>0</v>
      </c>
      <c r="AF309" s="7">
        <f>IF($AD309=0,0,N(#REF!)*N(INDEX(F_KPE,MATCH($C309,FA,0))))</f>
        <v>0</v>
      </c>
      <c r="AG309" s="7" t="e">
        <f>IF(ISNA(MATCH($C309,FA,0)),0,N(#REF!)*N(INDEX(F_MODUL,MATCH($C309,FA,0))))</f>
        <v>#REF!</v>
      </c>
      <c r="AH309" s="7" t="e">
        <f>N(#REF!)*N($I309)</f>
        <v>#REF!</v>
      </c>
      <c r="AI309" s="7" t="e">
        <f t="shared" si="87"/>
        <v>#REF!</v>
      </c>
      <c r="AJ309" s="7">
        <f t="shared" si="88"/>
        <v>0</v>
      </c>
    </row>
    <row r="310" spans="1:36" x14ac:dyDescent="0.25">
      <c r="A310" s="4" t="str">
        <f t="shared" si="82"/>
        <v>ЩДУ-П (260922 akram aulet)</v>
      </c>
      <c r="B310" s="4" t="s">
        <v>65</v>
      </c>
      <c r="C310" s="4" t="s">
        <v>404</v>
      </c>
      <c r="D310" s="4" t="s">
        <v>405</v>
      </c>
      <c r="E310" s="4" t="s">
        <v>114</v>
      </c>
      <c r="F310" s="4" t="s">
        <v>377</v>
      </c>
      <c r="G310" s="4" t="s">
        <v>38</v>
      </c>
      <c r="H310" s="5" t="e">
        <f>#REF!</f>
        <v>#REF!</v>
      </c>
      <c r="I310" s="6" t="e">
        <f t="shared" si="83"/>
        <v>#REF!</v>
      </c>
      <c r="J310" s="6" t="s">
        <v>52</v>
      </c>
      <c r="K310" s="6" t="s">
        <v>65</v>
      </c>
      <c r="L310" s="7" t="e">
        <f t="shared" si="84"/>
        <v>#REF!</v>
      </c>
      <c r="M310" s="7" t="s">
        <v>234</v>
      </c>
      <c r="N310" s="7" t="s">
        <v>235</v>
      </c>
      <c r="O310" s="7">
        <f>IF(OR($C310="",$C310="FID YOK"),"",IF(ISNUMBER(MATCH($C310,FA_ANA,0)),"",IF(COUNTIF($C$1:$C309,$C310)&gt;0,"",MAX($O$1:$O309)+1)))</f>
        <v>80</v>
      </c>
      <c r="P310" s="8">
        <v>1</v>
      </c>
      <c r="Q310" s="7" t="e">
        <f>IF(OR($P310="",$P310="G",ISNA(MATCH($C310,FA,0))),"",IF(N(INDEX(F_G,MATCH($C310,FA,0)))&gt;0,INDEX(F_G,MATCH($C310,FA,0)),IF(N(INDEX(F_MODUL,MATCH($C310,FA,0)))&gt;0,INDEX(F_MODUL,MATCH($C310,FA,0))*MODUL_MM,"")))</f>
        <v>#REF!</v>
      </c>
      <c r="R310" s="7" t="e">
        <f>IF(OR($P310="",$P310="G",ISNA(MATCH($C310,FA,0))),"",IF(N(INDEX(F_Y,MATCH($C310,FA,0)))&gt;0,INDEX(F_Y,MATCH($C310,FA,0)),""))</f>
        <v>#REF!</v>
      </c>
      <c r="S310" s="7" t="e">
        <f>IF(OR($P310="",$P310="G",ISNA(MATCH($C310,FA,0))),"",IF(N(INDEX(F_D,MATCH($C310,FA,0)))&gt;0,INDEX(F_D,MATCH($C310,FA,0)),""))</f>
        <v>#REF!</v>
      </c>
      <c r="T310" s="7">
        <f>IF(ISNA(MATCH($C310,FA,0)),0,IF($J310="GIRIS",N(INDEX(F_INKOR,MATCH($C310,FA,0))),0))</f>
        <v>0</v>
      </c>
      <c r="U310" s="7" t="e">
        <f>IF(ISNA(MATCH($B310,TIP_AD,0)),"",INDEX(TIP_KAT,MATCH($B310,TIP_AD,0))&amp;"")</f>
        <v>#REF!</v>
      </c>
      <c r="V310" s="7" t="e">
        <f>IF(NOT(ISNUMBER($P310)),"",IF($Z310=0,0,IF(ISNA(MATCH($Z310,BUK_KESIT,0)),"",IF(INDEX(BUK_ALAN,MATCH($Z310,BUK_KESIT,0))&amp;""="","",INDEX(BUK_ALAN,MATCH($Z310,BUK_KESIT,0))))))</f>
        <v>#REF!</v>
      </c>
      <c r="W310" s="7" t="e">
        <f>IF(OR(NOT(ISNUMBER($P310)),$Q310=""),"",N(#REF!)*($Q310+IF(ISNA(MATCH($B310,TIP_AD,0)),0,N(INDEX(TIP_BOSLUK,MATCH($B310,TIP_AD,0))))))</f>
        <v>#REF!</v>
      </c>
      <c r="X310" s="7" t="e">
        <f>IF(ISNUMBER($P310),($Q310="")+($R310="")+($V310="")+IF(AND($U310="KONTAKTOR",NOT(ISNA(MATCH($B310,TIP_AD,0)))),IF(INDEX(TIP_BOSLUK,MATCH($B310,TIP_AD,0))&amp;""="",1,0),0),IF($P310="K",IF($S310="",1,0),0))</f>
        <v>#REF!</v>
      </c>
      <c r="Y310" s="7" t="e">
        <f>N(#REF!)*IF($E310="упак",MAX(1,IF(ISNA(MATCH($C310,FA,0)),1,N(INDEX(F_PAKET,MATCH($C310,FA,0))))),1)</f>
        <v>#REF!</v>
      </c>
      <c r="Z310" s="7" t="e">
        <f t="shared" si="85"/>
        <v>#REF!</v>
      </c>
      <c r="AA310" s="7" t="e">
        <f>IF(OR(ISNA(MATCH($C310,FA,0)),$J310="YEDEK",$J310="SARF"),0,N(#REF!)*N(INDEX(F_TEL,MATCH($C310,FA,0))))</f>
        <v>#REF!</v>
      </c>
      <c r="AB310" s="7" t="e">
        <f>IF(OR(ISNA(MATCH($C310,FA,0)),$J310="YEDEK",$J310="SARF"),0,N(#REF!)*N(INDEX(F_TELM,MATCH($C310,FA,0))))</f>
        <v>#REF!</v>
      </c>
      <c r="AC310" s="7" t="e">
        <f t="shared" si="86"/>
        <v>#REF!</v>
      </c>
      <c r="AD310" s="7" t="e">
        <f>IF(OR(ISNA(MATCH($C310,FA,0)),$J310&lt;&gt;"CIKIS"),0,N(INDEX(F_KK,MATCH($C310,FA,0))))</f>
        <v>#REF!</v>
      </c>
      <c r="AE310" s="7" t="e">
        <f>IF($AD310=0,0,N(#REF!)*N(INDEX(F_KLN,MATCH($C310,FA,0))))</f>
        <v>#REF!</v>
      </c>
      <c r="AF310" s="7" t="e">
        <f>IF($AD310=0,0,N(#REF!)*N(INDEX(F_KPE,MATCH($C310,FA,0))))</f>
        <v>#REF!</v>
      </c>
      <c r="AG310" s="7" t="e">
        <f>IF(ISNA(MATCH($C310,FA,0)),0,N(#REF!)*N(INDEX(F_MODUL,MATCH($C310,FA,0))))</f>
        <v>#REF!</v>
      </c>
      <c r="AH310" s="7" t="e">
        <f>N(#REF!)*N($I310)</f>
        <v>#REF!</v>
      </c>
      <c r="AI310" s="7" t="e">
        <f t="shared" si="87"/>
        <v>#REF!</v>
      </c>
      <c r="AJ310" s="7">
        <f t="shared" si="88"/>
        <v>0</v>
      </c>
    </row>
    <row r="311" spans="1:36" x14ac:dyDescent="0.25">
      <c r="A311" s="4" t="str">
        <f t="shared" si="82"/>
        <v>ЩДУ-П (260922 akram aulet)</v>
      </c>
      <c r="B311" s="4" t="s">
        <v>65</v>
      </c>
      <c r="C311" s="4" t="s">
        <v>384</v>
      </c>
      <c r="D311" s="4" t="s">
        <v>385</v>
      </c>
      <c r="E311" s="4" t="s">
        <v>114</v>
      </c>
      <c r="F311" s="4" t="s">
        <v>377</v>
      </c>
      <c r="G311" s="4" t="s">
        <v>38</v>
      </c>
      <c r="H311" s="5" t="e">
        <f>#REF!</f>
        <v>#REF!</v>
      </c>
      <c r="I311" s="6" t="e">
        <f t="shared" si="83"/>
        <v>#REF!</v>
      </c>
      <c r="J311" s="6" t="s">
        <v>52</v>
      </c>
      <c r="K311" s="6" t="s">
        <v>65</v>
      </c>
      <c r="L311" s="7" t="e">
        <f t="shared" si="84"/>
        <v>#REF!</v>
      </c>
      <c r="N311" s="7" t="s">
        <v>201</v>
      </c>
      <c r="O311" s="7" t="str">
        <f>IF(OR($C311="",$C311="FID YOK"),"",IF(ISNUMBER(MATCH($C311,FA_ANA,0)),"",IF(COUNTIF($C$1:$C310,$C311)&gt;0,"",MAX($O$1:$O310)+1)))</f>
        <v/>
      </c>
      <c r="P311" s="8">
        <v>1</v>
      </c>
      <c r="Q311" s="7" t="e">
        <f>IF(OR($P311="",$P311="G",ISNA(MATCH($C311,FA,0))),"",IF(N(INDEX(F_G,MATCH($C311,FA,0)))&gt;0,INDEX(F_G,MATCH($C311,FA,0)),IF(N(INDEX(F_MODUL,MATCH($C311,FA,0)))&gt;0,INDEX(F_MODUL,MATCH($C311,FA,0))*MODUL_MM,"")))</f>
        <v>#REF!</v>
      </c>
      <c r="R311" s="7" t="e">
        <f>IF(OR($P311="",$P311="G",ISNA(MATCH($C311,FA,0))),"",IF(N(INDEX(F_Y,MATCH($C311,FA,0)))&gt;0,INDEX(F_Y,MATCH($C311,FA,0)),""))</f>
        <v>#REF!</v>
      </c>
      <c r="S311" s="7" t="e">
        <f>IF(OR($P311="",$P311="G",ISNA(MATCH($C311,FA,0))),"",IF(N(INDEX(F_D,MATCH($C311,FA,0)))&gt;0,INDEX(F_D,MATCH($C311,FA,0)),""))</f>
        <v>#REF!</v>
      </c>
      <c r="T311" s="7">
        <f>IF(ISNA(MATCH($C311,FA,0)),0,IF($J311="GIRIS",N(INDEX(F_INKOR,MATCH($C311,FA,0))),0))</f>
        <v>0</v>
      </c>
      <c r="U311" s="7" t="e">
        <f>IF(ISNA(MATCH($B311,TIP_AD,0)),"",INDEX(TIP_KAT,MATCH($B311,TIP_AD,0))&amp;"")</f>
        <v>#REF!</v>
      </c>
      <c r="V311" s="7" t="e">
        <f>IF(NOT(ISNUMBER($P311)),"",IF($Z311=0,0,IF(ISNA(MATCH($Z311,BUK_KESIT,0)),"",IF(INDEX(BUK_ALAN,MATCH($Z311,BUK_KESIT,0))&amp;""="","",INDEX(BUK_ALAN,MATCH($Z311,BUK_KESIT,0))))))</f>
        <v>#REF!</v>
      </c>
      <c r="W311" s="7" t="e">
        <f>IF(OR(NOT(ISNUMBER($P311)),$Q311=""),"",N(#REF!)*($Q311+IF(ISNA(MATCH($B311,TIP_AD,0)),0,N(INDEX(TIP_BOSLUK,MATCH($B311,TIP_AD,0))))))</f>
        <v>#REF!</v>
      </c>
      <c r="X311" s="7" t="e">
        <f>IF(ISNUMBER($P311),($Q311="")+($R311="")+($V311="")+IF(AND($U311="KONTAKTOR",NOT(ISNA(MATCH($B311,TIP_AD,0)))),IF(INDEX(TIP_BOSLUK,MATCH($B311,TIP_AD,0))&amp;""="",1,0),0),IF($P311="K",IF($S311="",1,0),0))</f>
        <v>#REF!</v>
      </c>
      <c r="Y311" s="7" t="e">
        <f>N(#REF!)*IF($E311="упак",MAX(1,IF(ISNA(MATCH($C311,FA,0)),1,N(INDEX(F_PAKET,MATCH($C311,FA,0))))),1)</f>
        <v>#REF!</v>
      </c>
      <c r="Z311" s="7" t="e">
        <f t="shared" si="85"/>
        <v>#REF!</v>
      </c>
      <c r="AA311" s="7" t="e">
        <f>IF(OR(ISNA(MATCH($C311,FA,0)),$J311="YEDEK",$J311="SARF"),0,N(#REF!)*N(INDEX(F_TEL,MATCH($C311,FA,0))))</f>
        <v>#REF!</v>
      </c>
      <c r="AB311" s="7" t="e">
        <f>IF(OR(ISNA(MATCH($C311,FA,0)),$J311="YEDEK",$J311="SARF"),0,N(#REF!)*N(INDEX(F_TELM,MATCH($C311,FA,0))))</f>
        <v>#REF!</v>
      </c>
      <c r="AC311" s="7" t="e">
        <f t="shared" si="86"/>
        <v>#REF!</v>
      </c>
      <c r="AD311" s="7" t="e">
        <f>IF(OR(ISNA(MATCH($C311,FA,0)),$J311&lt;&gt;"CIKIS"),0,N(INDEX(F_KK,MATCH($C311,FA,0))))</f>
        <v>#REF!</v>
      </c>
      <c r="AE311" s="7" t="e">
        <f>IF($AD311=0,0,N(#REF!)*N(INDEX(F_KLN,MATCH($C311,FA,0))))</f>
        <v>#REF!</v>
      </c>
      <c r="AF311" s="7" t="e">
        <f>IF($AD311=0,0,N(#REF!)*N(INDEX(F_KPE,MATCH($C311,FA,0))))</f>
        <v>#REF!</v>
      </c>
      <c r="AG311" s="7" t="e">
        <f>IF(ISNA(MATCH($C311,FA,0)),0,N(#REF!)*N(INDEX(F_MODUL,MATCH($C311,FA,0))))</f>
        <v>#REF!</v>
      </c>
      <c r="AH311" s="7" t="e">
        <f>N(#REF!)*N($I311)</f>
        <v>#REF!</v>
      </c>
      <c r="AI311" s="7" t="e">
        <f t="shared" si="87"/>
        <v>#REF!</v>
      </c>
      <c r="AJ311" s="7">
        <f t="shared" si="88"/>
        <v>0</v>
      </c>
    </row>
    <row r="312" spans="1:36" x14ac:dyDescent="0.25">
      <c r="A312" s="4" t="str">
        <f t="shared" si="82"/>
        <v>ЩДУ-П (260922 akram aulet)</v>
      </c>
      <c r="B312" s="4" t="s">
        <v>202</v>
      </c>
      <c r="C312" s="4" t="s">
        <v>575</v>
      </c>
      <c r="D312" s="4" t="s">
        <v>576</v>
      </c>
      <c r="E312" s="4" t="s">
        <v>114</v>
      </c>
      <c r="F312" s="4" t="s">
        <v>486</v>
      </c>
      <c r="G312" s="4" t="s">
        <v>38</v>
      </c>
      <c r="H312" s="5" t="e">
        <f>#REF!</f>
        <v>#REF!</v>
      </c>
      <c r="I312" s="6" t="e">
        <f t="shared" si="83"/>
        <v>#REF!</v>
      </c>
      <c r="J312" s="6" t="s">
        <v>84</v>
      </c>
      <c r="K312" s="6" t="s">
        <v>202</v>
      </c>
      <c r="L312" s="7" t="e">
        <f t="shared" si="84"/>
        <v>#REF!</v>
      </c>
      <c r="M312" s="7" t="s">
        <v>203</v>
      </c>
      <c r="O312" s="7" t="str">
        <f>IF(OR($C312="",$C312="FID YOK"),"",IF(ISNUMBER(MATCH($C312,FA_ANA,0)),"",IF(COUNTIF($C$1:$C311,$C312)&gt;0,"",MAX($O$1:$O311)+1)))</f>
        <v/>
      </c>
      <c r="T312" s="7">
        <f>IF(ISNA(MATCH($C312,FA,0)),0,IF($J312="GIRIS",N(INDEX(F_INKOR,MATCH($C312,FA,0))),0))</f>
        <v>0</v>
      </c>
      <c r="Y312" s="7" t="e">
        <f>N(#REF!)*IF($E312="упак",MAX(1,IF(ISNA(MATCH($C312,FA,0)),1,N(INDEX(F_PAKET,MATCH($C312,FA,0))))),1)</f>
        <v>#REF!</v>
      </c>
      <c r="Z312" s="7" t="e">
        <f t="shared" si="85"/>
        <v>#REF!</v>
      </c>
      <c r="AA312" s="7">
        <f>IF(OR(ISNA(MATCH($C312,FA,0)),$J312="YEDEK",$J312="SARF"),0,N(#REF!)*N(INDEX(F_TEL,MATCH($C312,FA,0))))</f>
        <v>0</v>
      </c>
      <c r="AB312" s="7">
        <f>IF(OR(ISNA(MATCH($C312,FA,0)),$J312="YEDEK",$J312="SARF"),0,N(#REF!)*N(INDEX(F_TELM,MATCH($C312,FA,0))))</f>
        <v>0</v>
      </c>
      <c r="AC312" s="7" t="e">
        <f t="shared" si="86"/>
        <v>#REF!</v>
      </c>
      <c r="AD312" s="7">
        <f>IF(OR(ISNA(MATCH($C312,FA,0)),$J312&lt;&gt;"CIKIS"),0,N(INDEX(F_KK,MATCH($C312,FA,0))))</f>
        <v>0</v>
      </c>
      <c r="AE312" s="7">
        <f>IF($AD312=0,0,N(#REF!)*N(INDEX(F_KLN,MATCH($C312,FA,0))))</f>
        <v>0</v>
      </c>
      <c r="AF312" s="7">
        <f>IF($AD312=0,0,N(#REF!)*N(INDEX(F_KPE,MATCH($C312,FA,0))))</f>
        <v>0</v>
      </c>
      <c r="AG312" s="7" t="e">
        <f>IF(ISNA(MATCH($C312,FA,0)),0,N(#REF!)*N(INDEX(F_MODUL,MATCH($C312,FA,0))))</f>
        <v>#REF!</v>
      </c>
      <c r="AH312" s="7" t="e">
        <f>N(#REF!)*N($I312)</f>
        <v>#REF!</v>
      </c>
      <c r="AI312" s="7" t="e">
        <f t="shared" si="87"/>
        <v>#REF!</v>
      </c>
      <c r="AJ312" s="7">
        <f t="shared" si="88"/>
        <v>0</v>
      </c>
    </row>
    <row r="313" spans="1:36" x14ac:dyDescent="0.25">
      <c r="A313" s="4" t="str">
        <f t="shared" si="82"/>
        <v>ЩДУ-П (260922 akram aulet)</v>
      </c>
      <c r="B313" s="4" t="s">
        <v>202</v>
      </c>
      <c r="C313" s="4" t="s">
        <v>577</v>
      </c>
      <c r="D313" s="4" t="s">
        <v>578</v>
      </c>
      <c r="E313" s="4" t="s">
        <v>114</v>
      </c>
      <c r="F313" s="4" t="s">
        <v>486</v>
      </c>
      <c r="G313" s="4" t="s">
        <v>38</v>
      </c>
      <c r="H313" s="5" t="e">
        <f>#REF!</f>
        <v>#REF!</v>
      </c>
      <c r="I313" s="6" t="e">
        <f t="shared" si="83"/>
        <v>#REF!</v>
      </c>
      <c r="J313" s="6" t="s">
        <v>84</v>
      </c>
      <c r="K313" s="6" t="s">
        <v>202</v>
      </c>
      <c r="L313" s="7" t="e">
        <f t="shared" si="84"/>
        <v>#REF!</v>
      </c>
      <c r="M313" s="7" t="s">
        <v>204</v>
      </c>
      <c r="O313" s="7" t="str">
        <f>IF(OR($C313="",$C313="FID YOK"),"",IF(ISNUMBER(MATCH($C313,FA_ANA,0)),"",IF(COUNTIF($C$1:$C312,$C313)&gt;0,"",MAX($O$1:$O312)+1)))</f>
        <v/>
      </c>
      <c r="T313" s="7">
        <f>IF(ISNA(MATCH($C313,FA,0)),0,IF($J313="GIRIS",N(INDEX(F_INKOR,MATCH($C313,FA,0))),0))</f>
        <v>0</v>
      </c>
      <c r="Y313" s="7" t="e">
        <f>N(#REF!)*IF($E313="упак",MAX(1,IF(ISNA(MATCH($C313,FA,0)),1,N(INDEX(F_PAKET,MATCH($C313,FA,0))))),1)</f>
        <v>#REF!</v>
      </c>
      <c r="Z313" s="7" t="e">
        <f t="shared" si="85"/>
        <v>#REF!</v>
      </c>
      <c r="AA313" s="7">
        <f>IF(OR(ISNA(MATCH($C313,FA,0)),$J313="YEDEK",$J313="SARF"),0,N(#REF!)*N(INDEX(F_TEL,MATCH($C313,FA,0))))</f>
        <v>0</v>
      </c>
      <c r="AB313" s="7">
        <f>IF(OR(ISNA(MATCH($C313,FA,0)),$J313="YEDEK",$J313="SARF"),0,N(#REF!)*N(INDEX(F_TELM,MATCH($C313,FA,0))))</f>
        <v>0</v>
      </c>
      <c r="AC313" s="7" t="e">
        <f t="shared" si="86"/>
        <v>#REF!</v>
      </c>
      <c r="AD313" s="7">
        <f>IF(OR(ISNA(MATCH($C313,FA,0)),$J313&lt;&gt;"CIKIS"),0,N(INDEX(F_KK,MATCH($C313,FA,0))))</f>
        <v>0</v>
      </c>
      <c r="AE313" s="7">
        <f>IF($AD313=0,0,N(#REF!)*N(INDEX(F_KLN,MATCH($C313,FA,0))))</f>
        <v>0</v>
      </c>
      <c r="AF313" s="7">
        <f>IF($AD313=0,0,N(#REF!)*N(INDEX(F_KPE,MATCH($C313,FA,0))))</f>
        <v>0</v>
      </c>
      <c r="AG313" s="7" t="e">
        <f>IF(ISNA(MATCH($C313,FA,0)),0,N(#REF!)*N(INDEX(F_MODUL,MATCH($C313,FA,0))))</f>
        <v>#REF!</v>
      </c>
      <c r="AH313" s="7" t="e">
        <f>N(#REF!)*N($I313)</f>
        <v>#REF!</v>
      </c>
      <c r="AI313" s="7" t="e">
        <f t="shared" si="87"/>
        <v>#REF!</v>
      </c>
      <c r="AJ313" s="7">
        <f t="shared" si="88"/>
        <v>0</v>
      </c>
    </row>
    <row r="314" spans="1:36" x14ac:dyDescent="0.25">
      <c r="A314" s="4" t="str">
        <f t="shared" si="82"/>
        <v>ЩДУ-П (260922 akram aulet)</v>
      </c>
      <c r="B314" s="4" t="s">
        <v>92</v>
      </c>
      <c r="C314" s="4" t="s">
        <v>523</v>
      </c>
      <c r="D314" s="4" t="s">
        <v>524</v>
      </c>
      <c r="E314" s="4" t="s">
        <v>520</v>
      </c>
      <c r="F314" s="4" t="s">
        <v>521</v>
      </c>
      <c r="G314" s="4" t="s">
        <v>38</v>
      </c>
      <c r="H314" s="5" t="e">
        <f>#REF!</f>
        <v>#REF!</v>
      </c>
      <c r="I314" s="6" t="e">
        <f t="shared" si="83"/>
        <v>#REF!</v>
      </c>
      <c r="J314" s="6" t="s">
        <v>84</v>
      </c>
      <c r="K314" s="6" t="s">
        <v>92</v>
      </c>
      <c r="L314" s="7" t="e">
        <f t="shared" si="84"/>
        <v>#REF!</v>
      </c>
      <c r="M314" s="7" t="s">
        <v>93</v>
      </c>
      <c r="O314" s="7" t="str">
        <f>IF(OR($C314="",$C314="FID YOK"),"",IF(ISNUMBER(MATCH($C314,FA_ANA,0)),"",IF(COUNTIF($C$1:$C313,$C314)&gt;0,"",MAX($O$1:$O313)+1)))</f>
        <v/>
      </c>
      <c r="T314" s="7">
        <f>IF(ISNA(MATCH($C314,FA,0)),0,IF($J314="GIRIS",N(INDEX(F_INKOR,MATCH($C314,FA,0))),0))</f>
        <v>0</v>
      </c>
      <c r="Y314" s="7" t="e">
        <f>N(#REF!)*IF($E314="упак",MAX(1,IF(ISNA(MATCH($C314,FA,0)),1,N(INDEX(F_PAKET,MATCH($C314,FA,0))))),1)</f>
        <v>#REF!</v>
      </c>
      <c r="Z314" s="7" t="e">
        <f t="shared" si="85"/>
        <v>#REF!</v>
      </c>
      <c r="AA314" s="7">
        <f>IF(OR(ISNA(MATCH($C314,FA,0)),$J314="YEDEK",$J314="SARF"),0,N(#REF!)*N(INDEX(F_TEL,MATCH($C314,FA,0))))</f>
        <v>0</v>
      </c>
      <c r="AB314" s="7">
        <f>IF(OR(ISNA(MATCH($C314,FA,0)),$J314="YEDEK",$J314="SARF"),0,N(#REF!)*N(INDEX(F_TELM,MATCH($C314,FA,0))))</f>
        <v>0</v>
      </c>
      <c r="AC314" s="7" t="e">
        <f t="shared" si="86"/>
        <v>#REF!</v>
      </c>
      <c r="AD314" s="7">
        <f>IF(OR(ISNA(MATCH($C314,FA,0)),$J314&lt;&gt;"CIKIS"),0,N(INDEX(F_KK,MATCH($C314,FA,0))))</f>
        <v>0</v>
      </c>
      <c r="AE314" s="7">
        <f>IF($AD314=0,0,N(#REF!)*N(INDEX(F_KLN,MATCH($C314,FA,0))))</f>
        <v>0</v>
      </c>
      <c r="AF314" s="7">
        <f>IF($AD314=0,0,N(#REF!)*N(INDEX(F_KPE,MATCH($C314,FA,0))))</f>
        <v>0</v>
      </c>
      <c r="AG314" s="7" t="e">
        <f>IF(ISNA(MATCH($C314,FA,0)),0,N(#REF!)*N(INDEX(F_MODUL,MATCH($C314,FA,0))))</f>
        <v>#REF!</v>
      </c>
      <c r="AH314" s="7" t="e">
        <f>N(#REF!)*N($I314)</f>
        <v>#REF!</v>
      </c>
      <c r="AI314" s="7" t="e">
        <f t="shared" si="87"/>
        <v>#REF!</v>
      </c>
      <c r="AJ314" s="7">
        <f t="shared" si="88"/>
        <v>0</v>
      </c>
    </row>
    <row r="315" spans="1:36" x14ac:dyDescent="0.25">
      <c r="A315" s="4" t="str">
        <f t="shared" si="82"/>
        <v>ЩДУ-П (260922 akram aulet)</v>
      </c>
      <c r="B315" s="4" t="s">
        <v>92</v>
      </c>
      <c r="C315" s="4" t="s">
        <v>545</v>
      </c>
      <c r="D315" s="4" t="s">
        <v>546</v>
      </c>
      <c r="E315" s="4" t="s">
        <v>520</v>
      </c>
      <c r="F315" s="4" t="s">
        <v>521</v>
      </c>
      <c r="G315" s="4" t="s">
        <v>38</v>
      </c>
      <c r="H315" s="5" t="e">
        <f>#REF!</f>
        <v>#REF!</v>
      </c>
      <c r="I315" s="6" t="e">
        <f t="shared" si="83"/>
        <v>#REF!</v>
      </c>
      <c r="J315" s="6" t="s">
        <v>84</v>
      </c>
      <c r="K315" s="6" t="s">
        <v>92</v>
      </c>
      <c r="L315" s="7" t="e">
        <f t="shared" si="84"/>
        <v>#REF!</v>
      </c>
      <c r="M315" s="7" t="s">
        <v>131</v>
      </c>
      <c r="O315" s="7" t="str">
        <f>IF(OR($C315="",$C315="FID YOK"),"",IF(ISNUMBER(MATCH($C315,FA_ANA,0)),"",IF(COUNTIF($C$1:$C314,$C315)&gt;0,"",MAX($O$1:$O314)+1)))</f>
        <v/>
      </c>
      <c r="T315" s="7">
        <f>IF(ISNA(MATCH($C315,FA,0)),0,IF($J315="GIRIS",N(INDEX(F_INKOR,MATCH($C315,FA,0))),0))</f>
        <v>0</v>
      </c>
      <c r="Y315" s="7" t="e">
        <f>N(#REF!)*IF($E315="упак",MAX(1,IF(ISNA(MATCH($C315,FA,0)),1,N(INDEX(F_PAKET,MATCH($C315,FA,0))))),1)</f>
        <v>#REF!</v>
      </c>
      <c r="Z315" s="7" t="e">
        <f t="shared" si="85"/>
        <v>#REF!</v>
      </c>
      <c r="AA315" s="7">
        <f>IF(OR(ISNA(MATCH($C315,FA,0)),$J315="YEDEK",$J315="SARF"),0,N(#REF!)*N(INDEX(F_TEL,MATCH($C315,FA,0))))</f>
        <v>0</v>
      </c>
      <c r="AB315" s="7">
        <f>IF(OR(ISNA(MATCH($C315,FA,0)),$J315="YEDEK",$J315="SARF"),0,N(#REF!)*N(INDEX(F_TELM,MATCH($C315,FA,0))))</f>
        <v>0</v>
      </c>
      <c r="AC315" s="7" t="e">
        <f t="shared" si="86"/>
        <v>#REF!</v>
      </c>
      <c r="AD315" s="7">
        <f>IF(OR(ISNA(MATCH($C315,FA,0)),$J315&lt;&gt;"CIKIS"),0,N(INDEX(F_KK,MATCH($C315,FA,0))))</f>
        <v>0</v>
      </c>
      <c r="AE315" s="7">
        <f>IF($AD315=0,0,N(#REF!)*N(INDEX(F_KLN,MATCH($C315,FA,0))))</f>
        <v>0</v>
      </c>
      <c r="AF315" s="7">
        <f>IF($AD315=0,0,N(#REF!)*N(INDEX(F_KPE,MATCH($C315,FA,0))))</f>
        <v>0</v>
      </c>
      <c r="AG315" s="7" t="e">
        <f>IF(ISNA(MATCH($C315,FA,0)),0,N(#REF!)*N(INDEX(F_MODUL,MATCH($C315,FA,0))))</f>
        <v>#REF!</v>
      </c>
      <c r="AH315" s="7" t="e">
        <f>N(#REF!)*N($I315)</f>
        <v>#REF!</v>
      </c>
      <c r="AI315" s="7" t="e">
        <f t="shared" si="87"/>
        <v>#REF!</v>
      </c>
      <c r="AJ315" s="7">
        <f t="shared" si="88"/>
        <v>0</v>
      </c>
    </row>
    <row r="316" spans="1:36" x14ac:dyDescent="0.25">
      <c r="A316" s="4" t="str">
        <f t="shared" si="82"/>
        <v>ЩДУ-П (260922 akram aulet)</v>
      </c>
      <c r="B316" s="4" t="s">
        <v>92</v>
      </c>
      <c r="C316" s="4" t="s">
        <v>555</v>
      </c>
      <c r="D316" s="4" t="s">
        <v>556</v>
      </c>
      <c r="E316" s="4" t="s">
        <v>520</v>
      </c>
      <c r="F316" s="4" t="s">
        <v>521</v>
      </c>
      <c r="G316" s="4" t="s">
        <v>38</v>
      </c>
      <c r="H316" s="5" t="e">
        <f>#REF!</f>
        <v>#REF!</v>
      </c>
      <c r="I316" s="6" t="e">
        <f t="shared" si="83"/>
        <v>#REF!</v>
      </c>
      <c r="J316" s="6" t="s">
        <v>84</v>
      </c>
      <c r="K316" s="6" t="s">
        <v>92</v>
      </c>
      <c r="L316" s="7" t="e">
        <f t="shared" si="84"/>
        <v>#REF!</v>
      </c>
      <c r="M316" s="7" t="s">
        <v>98</v>
      </c>
      <c r="O316" s="7" t="str">
        <f>IF(OR($C316="",$C316="FID YOK"),"",IF(ISNUMBER(MATCH($C316,FA_ANA,0)),"",IF(COUNTIF($C$1:$C315,$C316)&gt;0,"",MAX($O$1:$O315)+1)))</f>
        <v/>
      </c>
      <c r="T316" s="7">
        <f>IF(ISNA(MATCH($C316,FA,0)),0,IF($J316="GIRIS",N(INDEX(F_INKOR,MATCH($C316,FA,0))),0))</f>
        <v>0</v>
      </c>
      <c r="Y316" s="7" t="e">
        <f>N(#REF!)*IF($E316="упак",MAX(1,IF(ISNA(MATCH($C316,FA,0)),1,N(INDEX(F_PAKET,MATCH($C316,FA,0))))),1)</f>
        <v>#REF!</v>
      </c>
      <c r="Z316" s="7" t="e">
        <f t="shared" si="85"/>
        <v>#REF!</v>
      </c>
      <c r="AA316" s="7">
        <f>IF(OR(ISNA(MATCH($C316,FA,0)),$J316="YEDEK",$J316="SARF"),0,N(#REF!)*N(INDEX(F_TEL,MATCH($C316,FA,0))))</f>
        <v>0</v>
      </c>
      <c r="AB316" s="7">
        <f>IF(OR(ISNA(MATCH($C316,FA,0)),$J316="YEDEK",$J316="SARF"),0,N(#REF!)*N(INDEX(F_TELM,MATCH($C316,FA,0))))</f>
        <v>0</v>
      </c>
      <c r="AC316" s="7" t="e">
        <f t="shared" si="86"/>
        <v>#REF!</v>
      </c>
      <c r="AD316" s="7">
        <f>IF(OR(ISNA(MATCH($C316,FA,0)),$J316&lt;&gt;"CIKIS"),0,N(INDEX(F_KK,MATCH($C316,FA,0))))</f>
        <v>0</v>
      </c>
      <c r="AE316" s="7">
        <f>IF($AD316=0,0,N(#REF!)*N(INDEX(F_KLN,MATCH($C316,FA,0))))</f>
        <v>0</v>
      </c>
      <c r="AF316" s="7">
        <f>IF($AD316=0,0,N(#REF!)*N(INDEX(F_KPE,MATCH($C316,FA,0))))</f>
        <v>0</v>
      </c>
      <c r="AG316" s="7" t="e">
        <f>IF(ISNA(MATCH($C316,FA,0)),0,N(#REF!)*N(INDEX(F_MODUL,MATCH($C316,FA,0))))</f>
        <v>#REF!</v>
      </c>
      <c r="AH316" s="7" t="e">
        <f>N(#REF!)*N($I316)</f>
        <v>#REF!</v>
      </c>
      <c r="AI316" s="7" t="e">
        <f t="shared" si="87"/>
        <v>#REF!</v>
      </c>
      <c r="AJ316" s="7">
        <f t="shared" si="88"/>
        <v>0</v>
      </c>
    </row>
    <row r="317" spans="1:36" x14ac:dyDescent="0.25">
      <c r="A317" s="4" t="str">
        <f t="shared" si="82"/>
        <v>ЩДУ-П (260922 akram aulet)</v>
      </c>
      <c r="B317" s="4" t="s">
        <v>92</v>
      </c>
      <c r="C317" s="4" t="s">
        <v>535</v>
      </c>
      <c r="D317" s="4" t="s">
        <v>536</v>
      </c>
      <c r="E317" s="4" t="s">
        <v>520</v>
      </c>
      <c r="F317" s="4" t="s">
        <v>521</v>
      </c>
      <c r="G317" s="4" t="s">
        <v>38</v>
      </c>
      <c r="H317" s="5" t="e">
        <f>#REF!</f>
        <v>#REF!</v>
      </c>
      <c r="I317" s="6" t="e">
        <f t="shared" si="83"/>
        <v>#REF!</v>
      </c>
      <c r="J317" s="6" t="s">
        <v>84</v>
      </c>
      <c r="K317" s="6" t="s">
        <v>92</v>
      </c>
      <c r="L317" s="7" t="e">
        <f t="shared" si="84"/>
        <v>#REF!</v>
      </c>
      <c r="M317" s="7" t="s">
        <v>100</v>
      </c>
      <c r="O317" s="7" t="str">
        <f>IF(OR($C317="",$C317="FID YOK"),"",IF(ISNUMBER(MATCH($C317,FA_ANA,0)),"",IF(COUNTIF($C$1:$C316,$C317)&gt;0,"",MAX($O$1:$O316)+1)))</f>
        <v/>
      </c>
      <c r="T317" s="7">
        <f>IF(ISNA(MATCH($C317,FA,0)),0,IF($J317="GIRIS",N(INDEX(F_INKOR,MATCH($C317,FA,0))),0))</f>
        <v>0</v>
      </c>
      <c r="Y317" s="7" t="e">
        <f>N(#REF!)*IF($E317="упак",MAX(1,IF(ISNA(MATCH($C317,FA,0)),1,N(INDEX(F_PAKET,MATCH($C317,FA,0))))),1)</f>
        <v>#REF!</v>
      </c>
      <c r="Z317" s="7" t="e">
        <f t="shared" si="85"/>
        <v>#REF!</v>
      </c>
      <c r="AA317" s="7">
        <f>IF(OR(ISNA(MATCH($C317,FA,0)),$J317="YEDEK",$J317="SARF"),0,N(#REF!)*N(INDEX(F_TEL,MATCH($C317,FA,0))))</f>
        <v>0</v>
      </c>
      <c r="AB317" s="7">
        <f>IF(OR(ISNA(MATCH($C317,FA,0)),$J317="YEDEK",$J317="SARF"),0,N(#REF!)*N(INDEX(F_TELM,MATCH($C317,FA,0))))</f>
        <v>0</v>
      </c>
      <c r="AC317" s="7" t="e">
        <f t="shared" si="86"/>
        <v>#REF!</v>
      </c>
      <c r="AD317" s="7">
        <f>IF(OR(ISNA(MATCH($C317,FA,0)),$J317&lt;&gt;"CIKIS"),0,N(INDEX(F_KK,MATCH($C317,FA,0))))</f>
        <v>0</v>
      </c>
      <c r="AE317" s="7">
        <f>IF($AD317=0,0,N(#REF!)*N(INDEX(F_KLN,MATCH($C317,FA,0))))</f>
        <v>0</v>
      </c>
      <c r="AF317" s="7">
        <f>IF($AD317=0,0,N(#REF!)*N(INDEX(F_KPE,MATCH($C317,FA,0))))</f>
        <v>0</v>
      </c>
      <c r="AG317" s="7" t="e">
        <f>IF(ISNA(MATCH($C317,FA,0)),0,N(#REF!)*N(INDEX(F_MODUL,MATCH($C317,FA,0))))</f>
        <v>#REF!</v>
      </c>
      <c r="AH317" s="7" t="e">
        <f>N(#REF!)*N($I317)</f>
        <v>#REF!</v>
      </c>
      <c r="AI317" s="7" t="e">
        <f t="shared" si="87"/>
        <v>#REF!</v>
      </c>
      <c r="AJ317" s="7">
        <f t="shared" si="88"/>
        <v>0</v>
      </c>
    </row>
    <row r="318" spans="1:36" x14ac:dyDescent="0.25">
      <c r="A318" s="4" t="str">
        <f t="shared" si="82"/>
        <v>ЩДУ-П (260922 akram aulet)</v>
      </c>
      <c r="B318" s="4" t="s">
        <v>101</v>
      </c>
      <c r="C318" s="4" t="s">
        <v>525</v>
      </c>
      <c r="D318" s="4" t="s">
        <v>526</v>
      </c>
      <c r="E318" s="4" t="s">
        <v>522</v>
      </c>
      <c r="F318" s="4" t="s">
        <v>486</v>
      </c>
      <c r="G318" s="4" t="s">
        <v>38</v>
      </c>
      <c r="H318" s="5" t="e">
        <f>#REF!</f>
        <v>#REF!</v>
      </c>
      <c r="I318" s="6" t="e">
        <f t="shared" si="83"/>
        <v>#REF!</v>
      </c>
      <c r="J318" s="6" t="s">
        <v>84</v>
      </c>
      <c r="K318" s="6" t="s">
        <v>101</v>
      </c>
      <c r="L318" s="7" t="e">
        <f t="shared" si="84"/>
        <v>#REF!</v>
      </c>
      <c r="M318" s="7" t="s">
        <v>102</v>
      </c>
      <c r="O318" s="7" t="str">
        <f>IF(OR($C318="",$C318="FID YOK"),"",IF(ISNUMBER(MATCH($C318,FA_ANA,0)),"",IF(COUNTIF($C$1:$C317,$C318)&gt;0,"",MAX($O$1:$O317)+1)))</f>
        <v/>
      </c>
      <c r="T318" s="7">
        <f>IF(ISNA(MATCH($C318,FA,0)),0,IF($J318="GIRIS",N(INDEX(F_INKOR,MATCH($C318,FA,0))),0))</f>
        <v>0</v>
      </c>
      <c r="Y318" s="7" t="e">
        <f>N(#REF!)*IF($E318="упак",MAX(1,IF(ISNA(MATCH($C318,FA,0)),1,N(INDEX(F_PAKET,MATCH($C318,FA,0))))),1)</f>
        <v>#REF!</v>
      </c>
      <c r="Z318" s="7" t="e">
        <f t="shared" si="85"/>
        <v>#REF!</v>
      </c>
      <c r="AA318" s="7">
        <f>IF(OR(ISNA(MATCH($C318,FA,0)),$J318="YEDEK",$J318="SARF"),0,N(#REF!)*N(INDEX(F_TEL,MATCH($C318,FA,0))))</f>
        <v>0</v>
      </c>
      <c r="AB318" s="7">
        <f>IF(OR(ISNA(MATCH($C318,FA,0)),$J318="YEDEK",$J318="SARF"),0,N(#REF!)*N(INDEX(F_TELM,MATCH($C318,FA,0))))</f>
        <v>0</v>
      </c>
      <c r="AC318" s="7" t="e">
        <f t="shared" si="86"/>
        <v>#REF!</v>
      </c>
      <c r="AD318" s="7">
        <f>IF(OR(ISNA(MATCH($C318,FA,0)),$J318&lt;&gt;"CIKIS"),0,N(INDEX(F_KK,MATCH($C318,FA,0))))</f>
        <v>0</v>
      </c>
      <c r="AE318" s="7">
        <f>IF($AD318=0,0,N(#REF!)*N(INDEX(F_KLN,MATCH($C318,FA,0))))</f>
        <v>0</v>
      </c>
      <c r="AF318" s="7">
        <f>IF($AD318=0,0,N(#REF!)*N(INDEX(F_KPE,MATCH($C318,FA,0))))</f>
        <v>0</v>
      </c>
      <c r="AG318" s="7" t="e">
        <f>IF(ISNA(MATCH($C318,FA,0)),0,N(#REF!)*N(INDEX(F_MODUL,MATCH($C318,FA,0))))</f>
        <v>#REF!</v>
      </c>
      <c r="AH318" s="7" t="e">
        <f>N(#REF!)*N($I318)</f>
        <v>#REF!</v>
      </c>
      <c r="AI318" s="7" t="e">
        <f t="shared" si="87"/>
        <v>#REF!</v>
      </c>
      <c r="AJ318" s="7">
        <f t="shared" si="88"/>
        <v>0</v>
      </c>
    </row>
    <row r="319" spans="1:36" x14ac:dyDescent="0.25">
      <c r="A319" s="4" t="str">
        <f t="shared" si="82"/>
        <v>ЩДУ-П (260922 akram aulet)</v>
      </c>
      <c r="B319" s="4" t="s">
        <v>101</v>
      </c>
      <c r="C319" s="4" t="s">
        <v>547</v>
      </c>
      <c r="D319" s="4" t="s">
        <v>548</v>
      </c>
      <c r="E319" s="4" t="s">
        <v>522</v>
      </c>
      <c r="F319" s="4" t="s">
        <v>486</v>
      </c>
      <c r="G319" s="4" t="s">
        <v>38</v>
      </c>
      <c r="H319" s="5" t="e">
        <f>#REF!</f>
        <v>#REF!</v>
      </c>
      <c r="I319" s="6" t="e">
        <f t="shared" si="83"/>
        <v>#REF!</v>
      </c>
      <c r="J319" s="6" t="s">
        <v>84</v>
      </c>
      <c r="K319" s="6" t="s">
        <v>101</v>
      </c>
      <c r="L319" s="7" t="e">
        <f t="shared" si="84"/>
        <v>#REF!</v>
      </c>
      <c r="M319" s="7" t="s">
        <v>229</v>
      </c>
      <c r="O319" s="7" t="str">
        <f>IF(OR($C319="",$C319="FID YOK"),"",IF(ISNUMBER(MATCH($C319,FA_ANA,0)),"",IF(COUNTIF($C$1:$C318,$C319)&gt;0,"",MAX($O$1:$O318)+1)))</f>
        <v/>
      </c>
      <c r="T319" s="7">
        <f>IF(ISNA(MATCH($C319,FA,0)),0,IF($J319="GIRIS",N(INDEX(F_INKOR,MATCH($C319,FA,0))),0))</f>
        <v>0</v>
      </c>
      <c r="Y319" s="7" t="e">
        <f>N(#REF!)*IF($E319="упак",MAX(1,IF(ISNA(MATCH($C319,FA,0)),1,N(INDEX(F_PAKET,MATCH($C319,FA,0))))),1)</f>
        <v>#REF!</v>
      </c>
      <c r="Z319" s="7" t="e">
        <f t="shared" si="85"/>
        <v>#REF!</v>
      </c>
      <c r="AA319" s="7">
        <f>IF(OR(ISNA(MATCH($C319,FA,0)),$J319="YEDEK",$J319="SARF"),0,N(#REF!)*N(INDEX(F_TEL,MATCH($C319,FA,0))))</f>
        <v>0</v>
      </c>
      <c r="AB319" s="7">
        <f>IF(OR(ISNA(MATCH($C319,FA,0)),$J319="YEDEK",$J319="SARF"),0,N(#REF!)*N(INDEX(F_TELM,MATCH($C319,FA,0))))</f>
        <v>0</v>
      </c>
      <c r="AC319" s="7" t="e">
        <f t="shared" si="86"/>
        <v>#REF!</v>
      </c>
      <c r="AD319" s="7">
        <f>IF(OR(ISNA(MATCH($C319,FA,0)),$J319&lt;&gt;"CIKIS"),0,N(INDEX(F_KK,MATCH($C319,FA,0))))</f>
        <v>0</v>
      </c>
      <c r="AE319" s="7">
        <f>IF($AD319=0,0,N(#REF!)*N(INDEX(F_KLN,MATCH($C319,FA,0))))</f>
        <v>0</v>
      </c>
      <c r="AF319" s="7">
        <f>IF($AD319=0,0,N(#REF!)*N(INDEX(F_KPE,MATCH($C319,FA,0))))</f>
        <v>0</v>
      </c>
      <c r="AG319" s="7" t="e">
        <f>IF(ISNA(MATCH($C319,FA,0)),0,N(#REF!)*N(INDEX(F_MODUL,MATCH($C319,FA,0))))</f>
        <v>#REF!</v>
      </c>
      <c r="AH319" s="7" t="e">
        <f>N(#REF!)*N($I319)</f>
        <v>#REF!</v>
      </c>
      <c r="AI319" s="7" t="e">
        <f t="shared" si="87"/>
        <v>#REF!</v>
      </c>
      <c r="AJ319" s="7">
        <f t="shared" si="88"/>
        <v>0</v>
      </c>
    </row>
    <row r="320" spans="1:36" x14ac:dyDescent="0.25">
      <c r="A320" s="4" t="str">
        <f t="shared" si="82"/>
        <v>ЩДУ-П (260922 akram aulet)</v>
      </c>
      <c r="B320" s="4" t="s">
        <v>105</v>
      </c>
      <c r="C320" s="4" t="s">
        <v>557</v>
      </c>
      <c r="D320" s="4" t="s">
        <v>558</v>
      </c>
      <c r="E320" s="4" t="s">
        <v>114</v>
      </c>
      <c r="F320" s="4" t="s">
        <v>486</v>
      </c>
      <c r="G320" s="4" t="s">
        <v>38</v>
      </c>
      <c r="H320" s="5" t="e">
        <f>#REF!</f>
        <v>#REF!</v>
      </c>
      <c r="I320" s="6" t="e">
        <f t="shared" si="83"/>
        <v>#REF!</v>
      </c>
      <c r="J320" s="6" t="s">
        <v>84</v>
      </c>
      <c r="K320" s="6" t="s">
        <v>105</v>
      </c>
      <c r="L320" s="7" t="e">
        <f t="shared" si="84"/>
        <v>#REF!</v>
      </c>
      <c r="M320" s="7" t="s">
        <v>108</v>
      </c>
      <c r="O320" s="7" t="str">
        <f>IF(OR($C320="",$C320="FID YOK"),"",IF(ISNUMBER(MATCH($C320,FA_ANA,0)),"",IF(COUNTIF($C$1:$C319,$C320)&gt;0,"",MAX($O$1:$O319)+1)))</f>
        <v/>
      </c>
      <c r="T320" s="7">
        <f>IF(ISNA(MATCH($C320,FA,0)),0,IF($J320="GIRIS",N(INDEX(F_INKOR,MATCH($C320,FA,0))),0))</f>
        <v>0</v>
      </c>
      <c r="Y320" s="7" t="e">
        <f>N(#REF!)*IF($E320="упак",MAX(1,IF(ISNA(MATCH($C320,FA,0)),1,N(INDEX(F_PAKET,MATCH($C320,FA,0))))),1)</f>
        <v>#REF!</v>
      </c>
      <c r="Z320" s="7" t="e">
        <f t="shared" si="85"/>
        <v>#REF!</v>
      </c>
      <c r="AA320" s="7">
        <f>IF(OR(ISNA(MATCH($C320,FA,0)),$J320="YEDEK",$J320="SARF"),0,N(#REF!)*N(INDEX(F_TEL,MATCH($C320,FA,0))))</f>
        <v>0</v>
      </c>
      <c r="AB320" s="7">
        <f>IF(OR(ISNA(MATCH($C320,FA,0)),$J320="YEDEK",$J320="SARF"),0,N(#REF!)*N(INDEX(F_TELM,MATCH($C320,FA,0))))</f>
        <v>0</v>
      </c>
      <c r="AC320" s="7" t="e">
        <f t="shared" si="86"/>
        <v>#REF!</v>
      </c>
      <c r="AD320" s="7">
        <f>IF(OR(ISNA(MATCH($C320,FA,0)),$J320&lt;&gt;"CIKIS"),0,N(INDEX(F_KK,MATCH($C320,FA,0))))</f>
        <v>0</v>
      </c>
      <c r="AE320" s="7">
        <f>IF($AD320=0,0,N(#REF!)*N(INDEX(F_KLN,MATCH($C320,FA,0))))</f>
        <v>0</v>
      </c>
      <c r="AF320" s="7">
        <f>IF($AD320=0,0,N(#REF!)*N(INDEX(F_KPE,MATCH($C320,FA,0))))</f>
        <v>0</v>
      </c>
      <c r="AG320" s="7" t="e">
        <f>IF(ISNA(MATCH($C320,FA,0)),0,N(#REF!)*N(INDEX(F_MODUL,MATCH($C320,FA,0))))</f>
        <v>#REF!</v>
      </c>
      <c r="AH320" s="7" t="e">
        <f>N(#REF!)*N($I320)</f>
        <v>#REF!</v>
      </c>
      <c r="AI320" s="7" t="e">
        <f t="shared" si="87"/>
        <v>#REF!</v>
      </c>
      <c r="AJ320" s="7">
        <f t="shared" si="88"/>
        <v>0</v>
      </c>
    </row>
    <row r="321" spans="1:36" x14ac:dyDescent="0.25">
      <c r="A321" s="4" t="str">
        <f t="shared" si="82"/>
        <v>ЩДУ-П (260922 akram aulet)</v>
      </c>
      <c r="B321" s="4" t="s">
        <v>105</v>
      </c>
      <c r="C321" s="4" t="s">
        <v>539</v>
      </c>
      <c r="D321" s="4" t="s">
        <v>540</v>
      </c>
      <c r="E321" s="4" t="s">
        <v>114</v>
      </c>
      <c r="F321" s="4" t="s">
        <v>486</v>
      </c>
      <c r="G321" s="4" t="s">
        <v>38</v>
      </c>
      <c r="H321" s="5" t="e">
        <f>#REF!</f>
        <v>#REF!</v>
      </c>
      <c r="I321" s="6" t="e">
        <f t="shared" si="83"/>
        <v>#REF!</v>
      </c>
      <c r="J321" s="6" t="s">
        <v>84</v>
      </c>
      <c r="K321" s="6" t="s">
        <v>105</v>
      </c>
      <c r="L321" s="7" t="e">
        <f t="shared" si="84"/>
        <v>#REF!</v>
      </c>
      <c r="M321" s="7" t="s">
        <v>110</v>
      </c>
      <c r="O321" s="7" t="str">
        <f>IF(OR($C321="",$C321="FID YOK"),"",IF(ISNUMBER(MATCH($C321,FA_ANA,0)),"",IF(COUNTIF($C$1:$C320,$C321)&gt;0,"",MAX($O$1:$O320)+1)))</f>
        <v/>
      </c>
      <c r="T321" s="7">
        <f>IF(ISNA(MATCH($C321,FA,0)),0,IF($J321="GIRIS",N(INDEX(F_INKOR,MATCH($C321,FA,0))),0))</f>
        <v>0</v>
      </c>
      <c r="Y321" s="7" t="e">
        <f>N(#REF!)*IF($E321="упак",MAX(1,IF(ISNA(MATCH($C321,FA,0)),1,N(INDEX(F_PAKET,MATCH($C321,FA,0))))),1)</f>
        <v>#REF!</v>
      </c>
      <c r="Z321" s="7" t="e">
        <f t="shared" si="85"/>
        <v>#REF!</v>
      </c>
      <c r="AA321" s="7">
        <f>IF(OR(ISNA(MATCH($C321,FA,0)),$J321="YEDEK",$J321="SARF"),0,N(#REF!)*N(INDEX(F_TEL,MATCH($C321,FA,0))))</f>
        <v>0</v>
      </c>
      <c r="AB321" s="7">
        <f>IF(OR(ISNA(MATCH($C321,FA,0)),$J321="YEDEK",$J321="SARF"),0,N(#REF!)*N(INDEX(F_TELM,MATCH($C321,FA,0))))</f>
        <v>0</v>
      </c>
      <c r="AC321" s="7" t="e">
        <f t="shared" si="86"/>
        <v>#REF!</v>
      </c>
      <c r="AD321" s="7">
        <f>IF(OR(ISNA(MATCH($C321,FA,0)),$J321&lt;&gt;"CIKIS"),0,N(INDEX(F_KK,MATCH($C321,FA,0))))</f>
        <v>0</v>
      </c>
      <c r="AE321" s="7">
        <f>IF($AD321=0,0,N(#REF!)*N(INDEX(F_KLN,MATCH($C321,FA,0))))</f>
        <v>0</v>
      </c>
      <c r="AF321" s="7">
        <f>IF($AD321=0,0,N(#REF!)*N(INDEX(F_KPE,MATCH($C321,FA,0))))</f>
        <v>0</v>
      </c>
      <c r="AG321" s="7" t="e">
        <f>IF(ISNA(MATCH($C321,FA,0)),0,N(#REF!)*N(INDEX(F_MODUL,MATCH($C321,FA,0))))</f>
        <v>#REF!</v>
      </c>
      <c r="AH321" s="7" t="e">
        <f>N(#REF!)*N($I321)</f>
        <v>#REF!</v>
      </c>
      <c r="AI321" s="7" t="e">
        <f t="shared" si="87"/>
        <v>#REF!</v>
      </c>
      <c r="AJ321" s="7">
        <f t="shared" si="88"/>
        <v>0</v>
      </c>
    </row>
    <row r="322" spans="1:36" x14ac:dyDescent="0.25">
      <c r="A322" s="4" t="str">
        <f t="shared" si="82"/>
        <v>ЩДУ-П (260922 akram aulet)</v>
      </c>
      <c r="B322" s="4" t="s">
        <v>111</v>
      </c>
      <c r="C322" s="4" t="s">
        <v>571</v>
      </c>
      <c r="D322" s="4" t="s">
        <v>572</v>
      </c>
      <c r="E322" s="4" t="s">
        <v>522</v>
      </c>
      <c r="F322" s="4" t="s">
        <v>486</v>
      </c>
      <c r="G322" s="4" t="s">
        <v>38</v>
      </c>
      <c r="H322" s="5" t="e">
        <f>#REF!</f>
        <v>#REF!</v>
      </c>
      <c r="I322" s="6" t="e">
        <f t="shared" si="83"/>
        <v>#REF!</v>
      </c>
      <c r="J322" s="6" t="s">
        <v>84</v>
      </c>
      <c r="K322" s="6" t="s">
        <v>111</v>
      </c>
      <c r="L322" s="7" t="e">
        <f t="shared" si="84"/>
        <v>#REF!</v>
      </c>
      <c r="M322" s="7" t="s">
        <v>112</v>
      </c>
      <c r="O322" s="7" t="str">
        <f>IF(OR($C322="",$C322="FID YOK"),"",IF(ISNUMBER(MATCH($C322,FA_ANA,0)),"",IF(COUNTIF($C$1:$C321,$C322)&gt;0,"",MAX($O$1:$O321)+1)))</f>
        <v/>
      </c>
      <c r="T322" s="7">
        <f>IF(ISNA(MATCH($C322,FA,0)),0,IF($J322="GIRIS",N(INDEX(F_INKOR,MATCH($C322,FA,0))),0))</f>
        <v>0</v>
      </c>
      <c r="Y322" s="7" t="e">
        <f>N(#REF!)*IF($E322="упак",MAX(1,IF(ISNA(MATCH($C322,FA,0)),1,N(INDEX(F_PAKET,MATCH($C322,FA,0))))),1)</f>
        <v>#REF!</v>
      </c>
      <c r="Z322" s="7" t="e">
        <f t="shared" si="85"/>
        <v>#REF!</v>
      </c>
      <c r="AA322" s="7">
        <f>IF(OR(ISNA(MATCH($C322,FA,0)),$J322="YEDEK",$J322="SARF"),0,N(#REF!)*N(INDEX(F_TEL,MATCH($C322,FA,0))))</f>
        <v>0</v>
      </c>
      <c r="AB322" s="7">
        <f>IF(OR(ISNA(MATCH($C322,FA,0)),$J322="YEDEK",$J322="SARF"),0,N(#REF!)*N(INDEX(F_TELM,MATCH($C322,FA,0))))</f>
        <v>0</v>
      </c>
      <c r="AC322" s="7" t="e">
        <f t="shared" si="86"/>
        <v>#REF!</v>
      </c>
      <c r="AD322" s="7">
        <f>IF(OR(ISNA(MATCH($C322,FA,0)),$J322&lt;&gt;"CIKIS"),0,N(INDEX(F_KK,MATCH($C322,FA,0))))</f>
        <v>0</v>
      </c>
      <c r="AE322" s="7">
        <f>IF($AD322=0,0,N(#REF!)*N(INDEX(F_KLN,MATCH($C322,FA,0))))</f>
        <v>0</v>
      </c>
      <c r="AF322" s="7">
        <f>IF($AD322=0,0,N(#REF!)*N(INDEX(F_KPE,MATCH($C322,FA,0))))</f>
        <v>0</v>
      </c>
      <c r="AG322" s="7" t="e">
        <f>IF(ISNA(MATCH($C322,FA,0)),0,N(#REF!)*N(INDEX(F_MODUL,MATCH($C322,FA,0))))</f>
        <v>#REF!</v>
      </c>
      <c r="AH322" s="7" t="e">
        <f>N(#REF!)*N($I322)</f>
        <v>#REF!</v>
      </c>
      <c r="AI322" s="7" t="e">
        <f t="shared" si="87"/>
        <v>#REF!</v>
      </c>
      <c r="AJ322" s="7">
        <f t="shared" si="88"/>
        <v>0</v>
      </c>
    </row>
    <row r="323" spans="1:36" x14ac:dyDescent="0.25">
      <c r="A323" s="4" t="str">
        <f t="shared" si="82"/>
        <v>ЩДУ-П (260922 akram aulet)</v>
      </c>
      <c r="B323" s="4" t="s">
        <v>113</v>
      </c>
      <c r="C323" s="4" t="s">
        <v>113</v>
      </c>
      <c r="D323" s="4" t="s">
        <v>113</v>
      </c>
      <c r="E323" s="4" t="s">
        <v>114</v>
      </c>
      <c r="F323" s="4" t="s">
        <v>113</v>
      </c>
      <c r="G323" s="4" t="s">
        <v>38</v>
      </c>
      <c r="H323" s="5" t="e">
        <f>#REF!</f>
        <v>#REF!</v>
      </c>
      <c r="I323" s="6" t="e">
        <f t="shared" si="83"/>
        <v>#REF!</v>
      </c>
    </row>
    <row r="324" spans="1:36" x14ac:dyDescent="0.25">
      <c r="A324" s="4" t="str">
        <f t="shared" si="82"/>
        <v>ЩДУ-П (260922 akram aulet)</v>
      </c>
      <c r="B324" s="4" t="s">
        <v>115</v>
      </c>
      <c r="C324" s="4" t="s">
        <v>115</v>
      </c>
      <c r="D324" s="4" t="s">
        <v>115</v>
      </c>
      <c r="E324" s="4" t="s">
        <v>116</v>
      </c>
      <c r="F324" s="4" t="s">
        <v>115</v>
      </c>
      <c r="G324" s="4" t="s">
        <v>38</v>
      </c>
      <c r="H324" s="5" t="e">
        <f>#REF!</f>
        <v>#REF!</v>
      </c>
      <c r="I324" s="6" t="e">
        <f t="shared" si="83"/>
        <v>#REF!</v>
      </c>
    </row>
    <row r="325" spans="1:36" x14ac:dyDescent="0.25">
      <c r="A325" s="1" t="str">
        <f>D325</f>
        <v>ВРУ-3 (Ввод + Секция 1) (ВРУ1-15-30)(ВРУ1-41-00А)(260922 akram aulet)</v>
      </c>
      <c r="B325" s="12"/>
      <c r="C325" s="2"/>
      <c r="D325" s="1" t="s">
        <v>617</v>
      </c>
      <c r="E325" s="1" t="s">
        <v>36</v>
      </c>
      <c r="F325" s="1" t="s">
        <v>37</v>
      </c>
      <c r="G325" s="1" t="s">
        <v>236</v>
      </c>
      <c r="I325" s="3" t="e">
        <f>#REF!</f>
        <v>#REF!</v>
      </c>
    </row>
    <row r="326" spans="1:36" x14ac:dyDescent="0.25">
      <c r="A326" s="4" t="str">
        <f t="shared" ref="A326:A358" si="89">A325</f>
        <v>ВРУ-3 (Ввод + Секция 1) (ВРУ1-15-30)(ВРУ1-41-00А)(260922 akram aulet)</v>
      </c>
      <c r="B326" s="4" t="s">
        <v>39</v>
      </c>
      <c r="C326" s="4" t="s">
        <v>492</v>
      </c>
      <c r="D326" s="4" t="s">
        <v>493</v>
      </c>
      <c r="E326" s="4" t="s">
        <v>114</v>
      </c>
      <c r="F326" s="4" t="s">
        <v>491</v>
      </c>
      <c r="G326" s="4" t="s">
        <v>236</v>
      </c>
      <c r="H326" s="5" t="e">
        <f>#REF!</f>
        <v>#REF!</v>
      </c>
      <c r="I326" s="6" t="e">
        <f t="shared" ref="I326:I358" si="90">I325</f>
        <v>#REF!</v>
      </c>
      <c r="J326" s="6" t="s">
        <v>40</v>
      </c>
      <c r="K326" s="6" t="s">
        <v>41</v>
      </c>
      <c r="L326" s="7" t="e">
        <f t="shared" ref="L326:L356" si="91">IF(ISNA(MATCH($C326,FA,0)),"ARTİKÜL YOK",INDEX(FIYAT_DURUM,MATCH($C326,FA,0)))</f>
        <v>#REF!</v>
      </c>
      <c r="M326" s="7" t="s">
        <v>165</v>
      </c>
      <c r="N326" s="7" t="s">
        <v>43</v>
      </c>
      <c r="O326" s="7" t="str">
        <f>IF(OR($C326="",$C326="FID YOK"),"",IF(ISNUMBER(MATCH($C326,FA_ANA,0)),"",IF(COUNTIF($C$1:$C325,$C326)&gt;0,"",MAX($O$1:$O325)+1)))</f>
        <v/>
      </c>
      <c r="Q326" s="7"/>
      <c r="R326" s="7"/>
      <c r="S326" s="7"/>
      <c r="T326" s="7">
        <f>IF(ISNA(MATCH($C326,FA,0)),0,IF($J326="GIRIS",N(INDEX(F_INKOR,MATCH($C326,FA,0))),0))</f>
        <v>0</v>
      </c>
      <c r="U326" s="7"/>
      <c r="V326" s="7"/>
      <c r="W326" s="7"/>
      <c r="X326" s="7"/>
      <c r="Y326" s="7" t="e">
        <f>N(#REF!)*IF($E326="упак",MAX(1,IF(ISNA(MATCH($C326,FA,0)),1,N(INDEX(F_PAKET,MATCH($C326,FA,0))))),1)</f>
        <v>#REF!</v>
      </c>
      <c r="Z326" s="7" t="e">
        <f t="shared" ref="Z326:Z356" si="92">IF(ISNA(MATCH($C326,FA,0)),0,N(INDEX(F_BK,MATCH($C326,FA,0))))</f>
        <v>#REF!</v>
      </c>
      <c r="AA326" s="7" t="e">
        <f>IF(OR(ISNA(MATCH($C326,FA,0)),$J326="YEDEK",$J326="SARF"),0,N(#REF!)*N(INDEX(F_TEL,MATCH($C326,FA,0))))</f>
        <v>#REF!</v>
      </c>
      <c r="AB326" s="7" t="e">
        <f>IF(OR(ISNA(MATCH($C326,FA,0)),$J326="YEDEK",$J326="SARF"),0,N(#REF!)*N(INDEX(F_TELM,MATCH($C326,FA,0))))</f>
        <v>#REF!</v>
      </c>
      <c r="AC326" s="7" t="e">
        <f t="shared" ref="AC326:AC356" si="93">IF(ISNA(MATCH($C326,FA,0)),"",INDEX(F_UC,MATCH($C326,FA,0))&amp;"")</f>
        <v>#REF!</v>
      </c>
      <c r="AD326" s="7">
        <f>IF(OR(ISNA(MATCH($C326,FA,0)),$J326&lt;&gt;"CIKIS"),0,N(INDEX(F_KK,MATCH($C326,FA,0))))</f>
        <v>0</v>
      </c>
      <c r="AE326" s="7">
        <f>IF($AD326=0,0,N(#REF!)*N(INDEX(F_KLN,MATCH($C326,FA,0))))</f>
        <v>0</v>
      </c>
      <c r="AF326" s="7">
        <f>IF($AD326=0,0,N(#REF!)*N(INDEX(F_KPE,MATCH($C326,FA,0))))</f>
        <v>0</v>
      </c>
      <c r="AG326" s="7" t="e">
        <f>IF(ISNA(MATCH($C326,FA,0)),0,N(#REF!)*N(INDEX(F_MODUL,MATCH($C326,FA,0))))</f>
        <v>#REF!</v>
      </c>
      <c r="AH326" s="7" t="e">
        <f>N(#REF!)*N($I326)</f>
        <v>#REF!</v>
      </c>
      <c r="AI326" s="7" t="e">
        <f t="shared" ref="AI326:AI356" si="94">IF(ISNA(MATCH($K326,TIP_AD,0)),"YOK",IF(INDEX(NORM_DK,MATCH($K326,TIP_AD,0))="","BOŞ",INDEX(NORM_DK,MATCH($K326,TIP_AD,0))))</f>
        <v>#REF!</v>
      </c>
      <c r="AJ326" s="7">
        <f t="shared" ref="AJ326:AJ356" si="95">IF(ISNUMBER($AI326),$Y326*$AI326,0)</f>
        <v>0</v>
      </c>
    </row>
    <row r="327" spans="1:36" x14ac:dyDescent="0.25">
      <c r="A327" s="4" t="str">
        <f t="shared" si="89"/>
        <v>ВРУ-3 (Ввод + Секция 1) (ВРУ1-15-30)(ВРУ1-41-00А)(260922 akram aulet)</v>
      </c>
      <c r="B327" s="4" t="s">
        <v>39</v>
      </c>
      <c r="C327" s="4" t="s">
        <v>494</v>
      </c>
      <c r="D327" s="4" t="s">
        <v>495</v>
      </c>
      <c r="E327" s="4" t="s">
        <v>114</v>
      </c>
      <c r="F327" s="4" t="s">
        <v>491</v>
      </c>
      <c r="G327" s="4" t="s">
        <v>236</v>
      </c>
      <c r="H327" s="5" t="e">
        <f>#REF!</f>
        <v>#REF!</v>
      </c>
      <c r="I327" s="6" t="e">
        <f t="shared" si="90"/>
        <v>#REF!</v>
      </c>
      <c r="J327" s="6" t="s">
        <v>40</v>
      </c>
      <c r="K327" s="6" t="s">
        <v>41</v>
      </c>
      <c r="L327" s="7" t="e">
        <f t="shared" si="91"/>
        <v>#REF!</v>
      </c>
      <c r="M327" s="7" t="s">
        <v>44</v>
      </c>
      <c r="N327" s="7" t="s">
        <v>45</v>
      </c>
      <c r="O327" s="7" t="str">
        <f>IF(OR($C327="",$C327="FID YOK"),"",IF(ISNUMBER(MATCH($C327,FA_ANA,0)),"",IF(COUNTIF($C$1:$C326,$C327)&gt;0,"",MAX($O$1:$O326)+1)))</f>
        <v/>
      </c>
      <c r="Q327" s="7"/>
      <c r="R327" s="7"/>
      <c r="S327" s="7"/>
      <c r="T327" s="7">
        <f>IF(ISNA(MATCH($C327,FA,0)),0,IF($J327="GIRIS",N(INDEX(F_INKOR,MATCH($C327,FA,0))),0))</f>
        <v>0</v>
      </c>
      <c r="U327" s="7"/>
      <c r="V327" s="7"/>
      <c r="W327" s="7"/>
      <c r="X327" s="7"/>
      <c r="Y327" s="7" t="e">
        <f>N(#REF!)*IF($E327="упак",MAX(1,IF(ISNA(MATCH($C327,FA,0)),1,N(INDEX(F_PAKET,MATCH($C327,FA,0))))),1)</f>
        <v>#REF!</v>
      </c>
      <c r="Z327" s="7" t="e">
        <f t="shared" si="92"/>
        <v>#REF!</v>
      </c>
      <c r="AA327" s="7" t="e">
        <f>IF(OR(ISNA(MATCH($C327,FA,0)),$J327="YEDEK",$J327="SARF"),0,N(#REF!)*N(INDEX(F_TEL,MATCH($C327,FA,0))))</f>
        <v>#REF!</v>
      </c>
      <c r="AB327" s="7" t="e">
        <f>IF(OR(ISNA(MATCH($C327,FA,0)),$J327="YEDEK",$J327="SARF"),0,N(#REF!)*N(INDEX(F_TELM,MATCH($C327,FA,0))))</f>
        <v>#REF!</v>
      </c>
      <c r="AC327" s="7" t="e">
        <f t="shared" si="93"/>
        <v>#REF!</v>
      </c>
      <c r="AD327" s="7">
        <f>IF(OR(ISNA(MATCH($C327,FA,0)),$J327&lt;&gt;"CIKIS"),0,N(INDEX(F_KK,MATCH($C327,FA,0))))</f>
        <v>0</v>
      </c>
      <c r="AE327" s="7">
        <f>IF($AD327=0,0,N(#REF!)*N(INDEX(F_KLN,MATCH($C327,FA,0))))</f>
        <v>0</v>
      </c>
      <c r="AF327" s="7">
        <f>IF($AD327=0,0,N(#REF!)*N(INDEX(F_KPE,MATCH($C327,FA,0))))</f>
        <v>0</v>
      </c>
      <c r="AG327" s="7" t="e">
        <f>IF(ISNA(MATCH($C327,FA,0)),0,N(#REF!)*N(INDEX(F_MODUL,MATCH($C327,FA,0))))</f>
        <v>#REF!</v>
      </c>
      <c r="AH327" s="7" t="e">
        <f>N(#REF!)*N($I327)</f>
        <v>#REF!</v>
      </c>
      <c r="AI327" s="7" t="e">
        <f t="shared" si="94"/>
        <v>#REF!</v>
      </c>
      <c r="AJ327" s="7">
        <f t="shared" si="95"/>
        <v>0</v>
      </c>
    </row>
    <row r="328" spans="1:36" x14ac:dyDescent="0.25">
      <c r="A328" s="4" t="str">
        <f t="shared" si="89"/>
        <v>ВРУ-3 (Ввод + Секция 1) (ВРУ1-15-30)(ВРУ1-41-00А)(260922 akram aulet)</v>
      </c>
      <c r="B328" s="4" t="s">
        <v>47</v>
      </c>
      <c r="C328" s="4" t="s">
        <v>443</v>
      </c>
      <c r="D328" s="4" t="s">
        <v>444</v>
      </c>
      <c r="E328" s="4" t="s">
        <v>114</v>
      </c>
      <c r="F328" s="4" t="s">
        <v>442</v>
      </c>
      <c r="G328" s="4" t="s">
        <v>236</v>
      </c>
      <c r="H328" s="5" t="e">
        <f>#REF!</f>
        <v>#REF!</v>
      </c>
      <c r="I328" s="6" t="e">
        <f t="shared" si="90"/>
        <v>#REF!</v>
      </c>
      <c r="J328" s="6" t="s">
        <v>52</v>
      </c>
      <c r="K328" s="6" t="s">
        <v>47</v>
      </c>
      <c r="L328" s="7" t="e">
        <f t="shared" si="91"/>
        <v>#REF!</v>
      </c>
      <c r="M328" s="7" t="s">
        <v>237</v>
      </c>
      <c r="N328" s="7" t="s">
        <v>238</v>
      </c>
      <c r="O328" s="7">
        <f>IF(OR($C328="",$C328="FID YOK"),"",IF(ISNUMBER(MATCH($C328,FA_ANA,0)),"",IF(COUNTIF($C$1:$C327,$C328)&gt;0,"",MAX($O$1:$O327)+1)))</f>
        <v>81</v>
      </c>
      <c r="P328" s="8">
        <v>1</v>
      </c>
      <c r="Q328" s="7" t="e">
        <f>IF(OR($P328="",$P328="G",ISNA(MATCH($C328,FA,0))),"",IF(N(INDEX(F_G,MATCH($C328,FA,0)))&gt;0,INDEX(F_G,MATCH($C328,FA,0)),IF(N(INDEX(F_MODUL,MATCH($C328,FA,0)))&gt;0,INDEX(F_MODUL,MATCH($C328,FA,0))*MODUL_MM,"")))</f>
        <v>#REF!</v>
      </c>
      <c r="R328" s="7" t="e">
        <f>IF(OR($P328="",$P328="G",ISNA(MATCH($C328,FA,0))),"",IF(N(INDEX(F_Y,MATCH($C328,FA,0)))&gt;0,INDEX(F_Y,MATCH($C328,FA,0)),""))</f>
        <v>#REF!</v>
      </c>
      <c r="S328" s="7" t="e">
        <f>IF(OR($P328="",$P328="G",ISNA(MATCH($C328,FA,0))),"",IF(N(INDEX(F_D,MATCH($C328,FA,0)))&gt;0,INDEX(F_D,MATCH($C328,FA,0)),""))</f>
        <v>#REF!</v>
      </c>
      <c r="T328" s="7">
        <f>IF(ISNA(MATCH($C328,FA,0)),0,IF($J328="GIRIS",N(INDEX(F_INKOR,MATCH($C328,FA,0))),0))</f>
        <v>0</v>
      </c>
      <c r="U328" s="7" t="e">
        <f t="shared" ref="U328:U340" si="96">IF(ISNA(MATCH($B328,TIP_AD,0)),"",INDEX(TIP_KAT,MATCH($B328,TIP_AD,0))&amp;"")</f>
        <v>#REF!</v>
      </c>
      <c r="V328" s="7" t="e">
        <f t="shared" ref="V328:V340" si="97">IF(NOT(ISNUMBER($P328)),"",IF($Z328=0,0,IF(ISNA(MATCH($Z328,BUK_KESIT,0)),"",IF(INDEX(BUK_ALAN,MATCH($Z328,BUK_KESIT,0))&amp;""="","",INDEX(BUK_ALAN,MATCH($Z328,BUK_KESIT,0))))))</f>
        <v>#REF!</v>
      </c>
      <c r="W328" s="7" t="e">
        <f>IF(OR(NOT(ISNUMBER($P328)),$Q328=""),"",N(#REF!)*($Q328+IF(ISNA(MATCH($B328,TIP_AD,0)),0,N(INDEX(TIP_BOSLUK,MATCH($B328,TIP_AD,0))))))</f>
        <v>#REF!</v>
      </c>
      <c r="X328" s="7" t="e">
        <f>IF(ISNUMBER($P328),($Q328="")+($R328="")+($V328="")+IF(AND($U328="KONTAKTOR",NOT(ISNA(MATCH($B328,TIP_AD,0)))),IF(INDEX(TIP_BOSLUK,MATCH($B328,TIP_AD,0))&amp;""="",1,0),0),IF($P328="K",IF($S328="",1,0),0))</f>
        <v>#REF!</v>
      </c>
      <c r="Y328" s="7" t="e">
        <f>N(#REF!)*IF($E328="упак",MAX(1,IF(ISNA(MATCH($C328,FA,0)),1,N(INDEX(F_PAKET,MATCH($C328,FA,0))))),1)</f>
        <v>#REF!</v>
      </c>
      <c r="Z328" s="7" t="e">
        <f t="shared" si="92"/>
        <v>#REF!</v>
      </c>
      <c r="AA328" s="7" t="e">
        <f>IF(OR(ISNA(MATCH($C328,FA,0)),$J328="YEDEK",$J328="SARF"),0,N(#REF!)*N(INDEX(F_TEL,MATCH($C328,FA,0))))</f>
        <v>#REF!</v>
      </c>
      <c r="AB328" s="7" t="e">
        <f>IF(OR(ISNA(MATCH($C328,FA,0)),$J328="YEDEK",$J328="SARF"),0,N(#REF!)*N(INDEX(F_TELM,MATCH($C328,FA,0))))</f>
        <v>#REF!</v>
      </c>
      <c r="AC328" s="7" t="e">
        <f t="shared" si="93"/>
        <v>#REF!</v>
      </c>
      <c r="AD328" s="7" t="e">
        <f>IF(OR(ISNA(MATCH($C328,FA,0)),$J328&lt;&gt;"CIKIS"),0,N(INDEX(F_KK,MATCH($C328,FA,0))))</f>
        <v>#REF!</v>
      </c>
      <c r="AE328" s="7" t="e">
        <f>IF($AD328=0,0,N(#REF!)*N(INDEX(F_KLN,MATCH($C328,FA,0))))</f>
        <v>#REF!</v>
      </c>
      <c r="AF328" s="7" t="e">
        <f>IF($AD328=0,0,N(#REF!)*N(INDEX(F_KPE,MATCH($C328,FA,0))))</f>
        <v>#REF!</v>
      </c>
      <c r="AG328" s="7" t="e">
        <f>IF(ISNA(MATCH($C328,FA,0)),0,N(#REF!)*N(INDEX(F_MODUL,MATCH($C328,FA,0))))</f>
        <v>#REF!</v>
      </c>
      <c r="AH328" s="7" t="e">
        <f>N(#REF!)*N($I328)</f>
        <v>#REF!</v>
      </c>
      <c r="AI328" s="7" t="e">
        <f t="shared" si="94"/>
        <v>#REF!</v>
      </c>
      <c r="AJ328" s="7">
        <f t="shared" si="95"/>
        <v>0</v>
      </c>
    </row>
    <row r="329" spans="1:36" x14ac:dyDescent="0.25">
      <c r="A329" s="4" t="str">
        <f t="shared" si="89"/>
        <v>ВРУ-3 (Ввод + Секция 1) (ВРУ1-15-30)(ВРУ1-41-00А)(260922 akram aulet)</v>
      </c>
      <c r="B329" s="4" t="s">
        <v>51</v>
      </c>
      <c r="C329" s="4" t="s">
        <v>424</v>
      </c>
      <c r="D329" s="4" t="s">
        <v>425</v>
      </c>
      <c r="E329" s="4" t="s">
        <v>114</v>
      </c>
      <c r="F329" s="4" t="s">
        <v>377</v>
      </c>
      <c r="G329" s="4" t="s">
        <v>236</v>
      </c>
      <c r="H329" s="5" t="e">
        <f>#REF!</f>
        <v>#REF!</v>
      </c>
      <c r="I329" s="6" t="e">
        <f t="shared" si="90"/>
        <v>#REF!</v>
      </c>
      <c r="J329" s="6" t="s">
        <v>48</v>
      </c>
      <c r="K329" s="6" t="s">
        <v>51</v>
      </c>
      <c r="L329" s="7" t="e">
        <f t="shared" si="91"/>
        <v>#REF!</v>
      </c>
      <c r="M329" s="7" t="s">
        <v>239</v>
      </c>
      <c r="N329" s="7" t="s">
        <v>126</v>
      </c>
      <c r="O329" s="7" t="str">
        <f>IF(OR($C329="",$C329="FID YOK"),"",IF(ISNUMBER(MATCH($C329,FA_ANA,0)),"",IF(COUNTIF($C$1:$C328,$C329)&gt;0,"",MAX($O$1:$O328)+1)))</f>
        <v/>
      </c>
      <c r="P329" s="8">
        <v>1</v>
      </c>
      <c r="Q329" s="7" t="e">
        <f>IF(OR($P329="",$P329="G",ISNA(MATCH($C329,FA,0))),"",IF(N(INDEX(F_G,MATCH($C329,FA,0)))&gt;0,INDEX(F_G,MATCH($C329,FA,0)),IF(N(INDEX(F_MODUL,MATCH($C329,FA,0)))&gt;0,INDEX(F_MODUL,MATCH($C329,FA,0))*MODUL_MM,"")))</f>
        <v>#REF!</v>
      </c>
      <c r="R329" s="7" t="e">
        <f>IF(OR($P329="",$P329="G",ISNA(MATCH($C329,FA,0))),"",IF(N(INDEX(F_Y,MATCH($C329,FA,0)))&gt;0,INDEX(F_Y,MATCH($C329,FA,0)),""))</f>
        <v>#REF!</v>
      </c>
      <c r="S329" s="7" t="e">
        <f>IF(OR($P329="",$P329="G",ISNA(MATCH($C329,FA,0))),"",IF(N(INDEX(F_D,MATCH($C329,FA,0)))&gt;0,INDEX(F_D,MATCH($C329,FA,0)),""))</f>
        <v>#REF!</v>
      </c>
      <c r="T329" s="7" t="e">
        <f>IF(ISNA(MATCH($C329,FA,0)),0,IF($J329="GIRIS",N(INDEX(F_INKOR,MATCH($C329,FA,0))),0))</f>
        <v>#REF!</v>
      </c>
      <c r="U329" s="7" t="e">
        <f t="shared" si="96"/>
        <v>#REF!</v>
      </c>
      <c r="V329" s="7" t="e">
        <f t="shared" si="97"/>
        <v>#REF!</v>
      </c>
      <c r="W329" s="7" t="e">
        <f>IF(OR(NOT(ISNUMBER($P329)),$Q329=""),"",N(#REF!)*($Q329+IF(ISNA(MATCH($B329,TIP_AD,0)),0,N(INDEX(TIP_BOSLUK,MATCH($B329,TIP_AD,0))))))</f>
        <v>#REF!</v>
      </c>
      <c r="X329" s="7" t="e">
        <f>IF(ISNUMBER($P329),($Q329="")+($R329="")+($V329="")+IF(AND($U329="KONTAKTOR",NOT(ISNA(MATCH($B329,TIP_AD,0)))),IF(INDEX(TIP_BOSLUK,MATCH($B329,TIP_AD,0))&amp;""="",1,0),0),IF($P329="K",IF($S329="",1,0),0))</f>
        <v>#REF!</v>
      </c>
      <c r="Y329" s="7" t="e">
        <f>N(#REF!)*IF($E329="упак",MAX(1,IF(ISNA(MATCH($C329,FA,0)),1,N(INDEX(F_PAKET,MATCH($C329,FA,0))))),1)</f>
        <v>#REF!</v>
      </c>
      <c r="Z329" s="7" t="e">
        <f t="shared" si="92"/>
        <v>#REF!</v>
      </c>
      <c r="AA329" s="7" t="e">
        <f>IF(OR(ISNA(MATCH($C329,FA,0)),$J329="YEDEK",$J329="SARF"),0,N(#REF!)*N(INDEX(F_TEL,MATCH($C329,FA,0))))</f>
        <v>#REF!</v>
      </c>
      <c r="AB329" s="7" t="e">
        <f>IF(OR(ISNA(MATCH($C329,FA,0)),$J329="YEDEK",$J329="SARF"),0,N(#REF!)*N(INDEX(F_TELM,MATCH($C329,FA,0))))</f>
        <v>#REF!</v>
      </c>
      <c r="AC329" s="7" t="e">
        <f t="shared" si="93"/>
        <v>#REF!</v>
      </c>
      <c r="AD329" s="7">
        <f>IF(OR(ISNA(MATCH($C329,FA,0)),$J329&lt;&gt;"CIKIS"),0,N(INDEX(F_KK,MATCH($C329,FA,0))))</f>
        <v>0</v>
      </c>
      <c r="AE329" s="7">
        <f>IF($AD329=0,0,N(#REF!)*N(INDEX(F_KLN,MATCH($C329,FA,0))))</f>
        <v>0</v>
      </c>
      <c r="AF329" s="7">
        <f>IF($AD329=0,0,N(#REF!)*N(INDEX(F_KPE,MATCH($C329,FA,0))))</f>
        <v>0</v>
      </c>
      <c r="AG329" s="7" t="e">
        <f>IF(ISNA(MATCH($C329,FA,0)),0,N(#REF!)*N(INDEX(F_MODUL,MATCH($C329,FA,0))))</f>
        <v>#REF!</v>
      </c>
      <c r="AH329" s="7" t="e">
        <f>N(#REF!)*N($I329)</f>
        <v>#REF!</v>
      </c>
      <c r="AI329" s="7" t="e">
        <f t="shared" si="94"/>
        <v>#REF!</v>
      </c>
      <c r="AJ329" s="7">
        <f t="shared" si="95"/>
        <v>0</v>
      </c>
    </row>
    <row r="330" spans="1:36" x14ac:dyDescent="0.25">
      <c r="A330" s="4" t="str">
        <f t="shared" si="89"/>
        <v>ВРУ-3 (Ввод + Секция 1) (ВРУ1-15-30)(ВРУ1-41-00А)(260922 akram aulet)</v>
      </c>
      <c r="B330" s="4" t="s">
        <v>51</v>
      </c>
      <c r="C330" s="4" t="s">
        <v>424</v>
      </c>
      <c r="D330" s="4" t="s">
        <v>425</v>
      </c>
      <c r="E330" s="4" t="s">
        <v>114</v>
      </c>
      <c r="F330" s="4" t="s">
        <v>377</v>
      </c>
      <c r="G330" s="4" t="s">
        <v>236</v>
      </c>
      <c r="H330" s="5" t="e">
        <f>#REF!</f>
        <v>#REF!</v>
      </c>
      <c r="I330" s="6" t="e">
        <f t="shared" si="90"/>
        <v>#REF!</v>
      </c>
      <c r="J330" s="6" t="s">
        <v>52</v>
      </c>
      <c r="K330" s="6" t="s">
        <v>51</v>
      </c>
      <c r="L330" s="7" t="e">
        <f t="shared" si="91"/>
        <v>#REF!</v>
      </c>
      <c r="M330" s="7" t="s">
        <v>169</v>
      </c>
      <c r="N330" s="7" t="s">
        <v>126</v>
      </c>
      <c r="O330" s="7" t="str">
        <f>IF(OR($C330="",$C330="FID YOK"),"",IF(ISNUMBER(MATCH($C330,FA_ANA,0)),"",IF(COUNTIF($C$1:$C329,$C330)&gt;0,"",MAX($O$1:$O329)+1)))</f>
        <v/>
      </c>
      <c r="P330" s="8">
        <v>1</v>
      </c>
      <c r="Q330" s="7" t="e">
        <f>IF(OR($P330="",$P330="G",ISNA(MATCH($C330,FA,0))),"",IF(N(INDEX(F_G,MATCH($C330,FA,0)))&gt;0,INDEX(F_G,MATCH($C330,FA,0)),IF(N(INDEX(F_MODUL,MATCH($C330,FA,0)))&gt;0,INDEX(F_MODUL,MATCH($C330,FA,0))*MODUL_MM,"")))</f>
        <v>#REF!</v>
      </c>
      <c r="R330" s="7" t="e">
        <f>IF(OR($P330="",$P330="G",ISNA(MATCH($C330,FA,0))),"",IF(N(INDEX(F_Y,MATCH($C330,FA,0)))&gt;0,INDEX(F_Y,MATCH($C330,FA,0)),""))</f>
        <v>#REF!</v>
      </c>
      <c r="S330" s="7" t="e">
        <f>IF(OR($P330="",$P330="G",ISNA(MATCH($C330,FA,0))),"",IF(N(INDEX(F_D,MATCH($C330,FA,0)))&gt;0,INDEX(F_D,MATCH($C330,FA,0)),""))</f>
        <v>#REF!</v>
      </c>
      <c r="T330" s="7">
        <f>IF(ISNA(MATCH($C330,FA,0)),0,IF($J330="GIRIS",N(INDEX(F_INKOR,MATCH($C330,FA,0))),0))</f>
        <v>0</v>
      </c>
      <c r="U330" s="7" t="e">
        <f t="shared" si="96"/>
        <v>#REF!</v>
      </c>
      <c r="V330" s="7" t="e">
        <f t="shared" si="97"/>
        <v>#REF!</v>
      </c>
      <c r="W330" s="7" t="e">
        <f>IF(OR(NOT(ISNUMBER($P330)),$Q330=""),"",N(#REF!)*($Q330+IF(ISNA(MATCH($B330,TIP_AD,0)),0,N(INDEX(TIP_BOSLUK,MATCH($B330,TIP_AD,0))))))</f>
        <v>#REF!</v>
      </c>
      <c r="X330" s="7" t="e">
        <f>IF(ISNUMBER($P330),($Q330="")+($R330="")+($V330="")+IF(AND($U330="KONTAKTOR",NOT(ISNA(MATCH($B330,TIP_AD,0)))),IF(INDEX(TIP_BOSLUK,MATCH($B330,TIP_AD,0))&amp;""="",1,0),0),IF($P330="K",IF($S330="",1,0),0))</f>
        <v>#REF!</v>
      </c>
      <c r="Y330" s="7" t="e">
        <f>N(#REF!)*IF($E330="упак",MAX(1,IF(ISNA(MATCH($C330,FA,0)),1,N(INDEX(F_PAKET,MATCH($C330,FA,0))))),1)</f>
        <v>#REF!</v>
      </c>
      <c r="Z330" s="7" t="e">
        <f t="shared" si="92"/>
        <v>#REF!</v>
      </c>
      <c r="AA330" s="7" t="e">
        <f>IF(OR(ISNA(MATCH($C330,FA,0)),$J330="YEDEK",$J330="SARF"),0,N(#REF!)*N(INDEX(F_TEL,MATCH($C330,FA,0))))</f>
        <v>#REF!</v>
      </c>
      <c r="AB330" s="7" t="e">
        <f>IF(OR(ISNA(MATCH($C330,FA,0)),$J330="YEDEK",$J330="SARF"),0,N(#REF!)*N(INDEX(F_TELM,MATCH($C330,FA,0))))</f>
        <v>#REF!</v>
      </c>
      <c r="AC330" s="7" t="e">
        <f t="shared" si="93"/>
        <v>#REF!</v>
      </c>
      <c r="AD330" s="7" t="e">
        <f>IF(OR(ISNA(MATCH($C330,FA,0)),$J330&lt;&gt;"CIKIS"),0,N(INDEX(F_KK,MATCH($C330,FA,0))))</f>
        <v>#REF!</v>
      </c>
      <c r="AE330" s="7" t="e">
        <f>IF($AD330=0,0,N(#REF!)*N(INDEX(F_KLN,MATCH($C330,FA,0))))</f>
        <v>#REF!</v>
      </c>
      <c r="AF330" s="7" t="e">
        <f>IF($AD330=0,0,N(#REF!)*N(INDEX(F_KPE,MATCH($C330,FA,0))))</f>
        <v>#REF!</v>
      </c>
      <c r="AG330" s="7" t="e">
        <f>IF(ISNA(MATCH($C330,FA,0)),0,N(#REF!)*N(INDEX(F_MODUL,MATCH($C330,FA,0))))</f>
        <v>#REF!</v>
      </c>
      <c r="AH330" s="7" t="e">
        <f>N(#REF!)*N($I330)</f>
        <v>#REF!</v>
      </c>
      <c r="AI330" s="7" t="e">
        <f t="shared" si="94"/>
        <v>#REF!</v>
      </c>
      <c r="AJ330" s="7">
        <f t="shared" si="95"/>
        <v>0</v>
      </c>
    </row>
    <row r="331" spans="1:36" x14ac:dyDescent="0.25">
      <c r="A331" s="4" t="str">
        <f t="shared" si="89"/>
        <v>ВРУ-3 (Ввод + Секция 1) (ВРУ1-15-30)(ВРУ1-41-00А)(260922 akram aulet)</v>
      </c>
      <c r="B331" s="4" t="s">
        <v>51</v>
      </c>
      <c r="C331" s="4" t="s">
        <v>420</v>
      </c>
      <c r="D331" s="4" t="s">
        <v>421</v>
      </c>
      <c r="E331" s="4" t="s">
        <v>114</v>
      </c>
      <c r="F331" s="4" t="s">
        <v>377</v>
      </c>
      <c r="G331" s="4" t="s">
        <v>236</v>
      </c>
      <c r="H331" s="5" t="e">
        <f>#REF!</f>
        <v>#REF!</v>
      </c>
      <c r="I331" s="6" t="e">
        <f t="shared" si="90"/>
        <v>#REF!</v>
      </c>
      <c r="J331" s="6" t="s">
        <v>52</v>
      </c>
      <c r="K331" s="6" t="s">
        <v>51</v>
      </c>
      <c r="L331" s="7" t="e">
        <f t="shared" si="91"/>
        <v>#REF!</v>
      </c>
      <c r="M331" s="7" t="s">
        <v>240</v>
      </c>
      <c r="N331" s="7" t="s">
        <v>60</v>
      </c>
      <c r="O331" s="7" t="str">
        <f>IF(OR($C331="",$C331="FID YOK"),"",IF(ISNUMBER(MATCH($C331,FA_ANA,0)),"",IF(COUNTIF($C$1:$C330,$C331)&gt;0,"",MAX($O$1:$O330)+1)))</f>
        <v/>
      </c>
      <c r="P331" s="8">
        <v>1</v>
      </c>
      <c r="Q331" s="7" t="e">
        <f>IF(OR($P331="",$P331="G",ISNA(MATCH($C331,FA,0))),"",IF(N(INDEX(F_G,MATCH($C331,FA,0)))&gt;0,INDEX(F_G,MATCH($C331,FA,0)),IF(N(INDEX(F_MODUL,MATCH($C331,FA,0)))&gt;0,INDEX(F_MODUL,MATCH($C331,FA,0))*MODUL_MM,"")))</f>
        <v>#REF!</v>
      </c>
      <c r="R331" s="7" t="e">
        <f>IF(OR($P331="",$P331="G",ISNA(MATCH($C331,FA,0))),"",IF(N(INDEX(F_Y,MATCH($C331,FA,0)))&gt;0,INDEX(F_Y,MATCH($C331,FA,0)),""))</f>
        <v>#REF!</v>
      </c>
      <c r="S331" s="7" t="e">
        <f>IF(OR($P331="",$P331="G",ISNA(MATCH($C331,FA,0))),"",IF(N(INDEX(F_D,MATCH($C331,FA,0)))&gt;0,INDEX(F_D,MATCH($C331,FA,0)),""))</f>
        <v>#REF!</v>
      </c>
      <c r="T331" s="7">
        <f>IF(ISNA(MATCH($C331,FA,0)),0,IF($J331="GIRIS",N(INDEX(F_INKOR,MATCH($C331,FA,0))),0))</f>
        <v>0</v>
      </c>
      <c r="U331" s="7" t="e">
        <f t="shared" si="96"/>
        <v>#REF!</v>
      </c>
      <c r="V331" s="7" t="e">
        <f t="shared" si="97"/>
        <v>#REF!</v>
      </c>
      <c r="W331" s="7" t="e">
        <f>IF(OR(NOT(ISNUMBER($P331)),$Q331=""),"",N(#REF!)*($Q331+IF(ISNA(MATCH($B331,TIP_AD,0)),0,N(INDEX(TIP_BOSLUK,MATCH($B331,TIP_AD,0))))))</f>
        <v>#REF!</v>
      </c>
      <c r="X331" s="7" t="e">
        <f>IF(ISNUMBER($P331),($Q331="")+($R331="")+($V331="")+IF(AND($U331="KONTAKTOR",NOT(ISNA(MATCH($B331,TIP_AD,0)))),IF(INDEX(TIP_BOSLUK,MATCH($B331,TIP_AD,0))&amp;""="",1,0),0),IF($P331="K",IF($S331="",1,0),0))</f>
        <v>#REF!</v>
      </c>
      <c r="Y331" s="7" t="e">
        <f>N(#REF!)*IF($E331="упак",MAX(1,IF(ISNA(MATCH($C331,FA,0)),1,N(INDEX(F_PAKET,MATCH($C331,FA,0))))),1)</f>
        <v>#REF!</v>
      </c>
      <c r="Z331" s="7" t="e">
        <f t="shared" si="92"/>
        <v>#REF!</v>
      </c>
      <c r="AA331" s="7" t="e">
        <f>IF(OR(ISNA(MATCH($C331,FA,0)),$J331="YEDEK",$J331="SARF"),0,N(#REF!)*N(INDEX(F_TEL,MATCH($C331,FA,0))))</f>
        <v>#REF!</v>
      </c>
      <c r="AB331" s="7" t="e">
        <f>IF(OR(ISNA(MATCH($C331,FA,0)),$J331="YEDEK",$J331="SARF"),0,N(#REF!)*N(INDEX(F_TELM,MATCH($C331,FA,0))))</f>
        <v>#REF!</v>
      </c>
      <c r="AC331" s="7" t="e">
        <f t="shared" si="93"/>
        <v>#REF!</v>
      </c>
      <c r="AD331" s="7" t="e">
        <f>IF(OR(ISNA(MATCH($C331,FA,0)),$J331&lt;&gt;"CIKIS"),0,N(INDEX(F_KK,MATCH($C331,FA,0))))</f>
        <v>#REF!</v>
      </c>
      <c r="AE331" s="7" t="e">
        <f>IF($AD331=0,0,N(#REF!)*N(INDEX(F_KLN,MATCH($C331,FA,0))))</f>
        <v>#REF!</v>
      </c>
      <c r="AF331" s="7" t="e">
        <f>IF($AD331=0,0,N(#REF!)*N(INDEX(F_KPE,MATCH($C331,FA,0))))</f>
        <v>#REF!</v>
      </c>
      <c r="AG331" s="7" t="e">
        <f>IF(ISNA(MATCH($C331,FA,0)),0,N(#REF!)*N(INDEX(F_MODUL,MATCH($C331,FA,0))))</f>
        <v>#REF!</v>
      </c>
      <c r="AH331" s="7" t="e">
        <f>N(#REF!)*N($I331)</f>
        <v>#REF!</v>
      </c>
      <c r="AI331" s="7" t="e">
        <f t="shared" si="94"/>
        <v>#REF!</v>
      </c>
      <c r="AJ331" s="7">
        <f t="shared" si="95"/>
        <v>0</v>
      </c>
    </row>
    <row r="332" spans="1:36" x14ac:dyDescent="0.25">
      <c r="A332" s="4" t="str">
        <f t="shared" si="89"/>
        <v>ВРУ-3 (Ввод + Секция 1) (ВРУ1-15-30)(ВРУ1-41-00А)(260922 akram aulet)</v>
      </c>
      <c r="B332" s="4" t="s">
        <v>173</v>
      </c>
      <c r="C332" s="4" t="s">
        <v>461</v>
      </c>
      <c r="D332" s="4" t="s">
        <v>462</v>
      </c>
      <c r="E332" s="4" t="s">
        <v>114</v>
      </c>
      <c r="F332" s="4" t="s">
        <v>377</v>
      </c>
      <c r="G332" s="4" t="s">
        <v>236</v>
      </c>
      <c r="H332" s="5" t="e">
        <f>#REF!</f>
        <v>#REF!</v>
      </c>
      <c r="I332" s="6" t="e">
        <f t="shared" si="90"/>
        <v>#REF!</v>
      </c>
      <c r="J332" s="6" t="s">
        <v>66</v>
      </c>
      <c r="K332" s="6" t="s">
        <v>173</v>
      </c>
      <c r="L332" s="7" t="e">
        <f t="shared" si="91"/>
        <v>#REF!</v>
      </c>
      <c r="M332" s="7" t="s">
        <v>241</v>
      </c>
      <c r="N332" s="7" t="s">
        <v>175</v>
      </c>
      <c r="O332" s="7" t="str">
        <f>IF(OR($C332="",$C332="FID YOK"),"",IF(ISNUMBER(MATCH($C332,FA_ANA,0)),"",IF(COUNTIF($C$1:$C331,$C332)&gt;0,"",MAX($O$1:$O331)+1)))</f>
        <v/>
      </c>
      <c r="P332" s="8">
        <v>4</v>
      </c>
      <c r="Q332" s="7" t="e">
        <f>IF(OR($P332="",$P332="G",ISNA(MATCH($C332,FA,0))),"",IF(N(INDEX(F_G,MATCH($C332,FA,0)))&gt;0,INDEX(F_G,MATCH($C332,FA,0)),IF(N(INDEX(F_MODUL,MATCH($C332,FA,0)))&gt;0,INDEX(F_MODUL,MATCH($C332,FA,0))*MODUL_MM,"")))</f>
        <v>#REF!</v>
      </c>
      <c r="R332" s="7" t="e">
        <f>IF(OR($P332="",$P332="G",ISNA(MATCH($C332,FA,0))),"",IF(N(INDEX(F_Y,MATCH($C332,FA,0)))&gt;0,INDEX(F_Y,MATCH($C332,FA,0)),""))</f>
        <v>#REF!</v>
      </c>
      <c r="S332" s="7" t="e">
        <f>IF(OR($P332="",$P332="G",ISNA(MATCH($C332,FA,0))),"",IF(N(INDEX(F_D,MATCH($C332,FA,0)))&gt;0,INDEX(F_D,MATCH($C332,FA,0)),""))</f>
        <v>#REF!</v>
      </c>
      <c r="T332" s="7">
        <f>IF(ISNA(MATCH($C332,FA,0)),0,IF($J332="GIRIS",N(INDEX(F_INKOR,MATCH($C332,FA,0))),0))</f>
        <v>0</v>
      </c>
      <c r="U332" s="7" t="e">
        <f t="shared" si="96"/>
        <v>#REF!</v>
      </c>
      <c r="V332" s="7" t="e">
        <f t="shared" si="97"/>
        <v>#REF!</v>
      </c>
      <c r="W332" s="7" t="e">
        <f>IF(OR(NOT(ISNUMBER($P332)),$Q332=""),"",N(#REF!)*($Q332+IF(ISNA(MATCH($B332,TIP_AD,0)),0,N(INDEX(TIP_BOSLUK,MATCH($B332,TIP_AD,0))))))</f>
        <v>#REF!</v>
      </c>
      <c r="X332" s="7" t="e">
        <f>IF(ISNUMBER($P332),($Q332="")+($R332="")+($V332="")+IF(AND($U332="KONTAKTOR",NOT(ISNA(MATCH($B332,TIP_AD,0)))),IF(INDEX(TIP_BOSLUK,MATCH($B332,TIP_AD,0))&amp;""="",1,0),0),IF($P332="K",IF($S332="",1,0),0))</f>
        <v>#REF!</v>
      </c>
      <c r="Y332" s="7" t="e">
        <f>N(#REF!)*IF($E332="упак",MAX(1,IF(ISNA(MATCH($C332,FA,0)),1,N(INDEX(F_PAKET,MATCH($C332,FA,0))))),1)</f>
        <v>#REF!</v>
      </c>
      <c r="Z332" s="7" t="e">
        <f t="shared" si="92"/>
        <v>#REF!</v>
      </c>
      <c r="AA332" s="7" t="e">
        <f>IF(OR(ISNA(MATCH($C332,FA,0)),$J332="YEDEK",$J332="SARF"),0,N(#REF!)*N(INDEX(F_TEL,MATCH($C332,FA,0))))</f>
        <v>#REF!</v>
      </c>
      <c r="AB332" s="7" t="e">
        <f>IF(OR(ISNA(MATCH($C332,FA,0)),$J332="YEDEK",$J332="SARF"),0,N(#REF!)*N(INDEX(F_TELM,MATCH($C332,FA,0))))</f>
        <v>#REF!</v>
      </c>
      <c r="AC332" s="7" t="e">
        <f t="shared" si="93"/>
        <v>#REF!</v>
      </c>
      <c r="AD332" s="7">
        <f>IF(OR(ISNA(MATCH($C332,FA,0)),$J332&lt;&gt;"CIKIS"),0,N(INDEX(F_KK,MATCH($C332,FA,0))))</f>
        <v>0</v>
      </c>
      <c r="AE332" s="7">
        <f>IF($AD332=0,0,N(#REF!)*N(INDEX(F_KLN,MATCH($C332,FA,0))))</f>
        <v>0</v>
      </c>
      <c r="AF332" s="7">
        <f>IF($AD332=0,0,N(#REF!)*N(INDEX(F_KPE,MATCH($C332,FA,0))))</f>
        <v>0</v>
      </c>
      <c r="AG332" s="7" t="e">
        <f>IF(ISNA(MATCH($C332,FA,0)),0,N(#REF!)*N(INDEX(F_MODUL,MATCH($C332,FA,0))))</f>
        <v>#REF!</v>
      </c>
      <c r="AH332" s="7" t="e">
        <f>N(#REF!)*N($I332)</f>
        <v>#REF!</v>
      </c>
      <c r="AI332" s="7" t="e">
        <f t="shared" si="94"/>
        <v>#REF!</v>
      </c>
      <c r="AJ332" s="7">
        <f t="shared" si="95"/>
        <v>0</v>
      </c>
    </row>
    <row r="333" spans="1:36" x14ac:dyDescent="0.25">
      <c r="A333" s="4" t="str">
        <f t="shared" si="89"/>
        <v>ВРУ-3 (Ввод + Секция 1) (ВРУ1-15-30)(ВРУ1-41-00А)(260922 akram aulet)</v>
      </c>
      <c r="B333" s="4" t="s">
        <v>61</v>
      </c>
      <c r="C333" s="4" t="s">
        <v>606</v>
      </c>
      <c r="D333" s="4" t="s">
        <v>607</v>
      </c>
      <c r="E333" s="4" t="s">
        <v>114</v>
      </c>
      <c r="F333" s="4" t="s">
        <v>479</v>
      </c>
      <c r="G333" s="4" t="s">
        <v>236</v>
      </c>
      <c r="H333" s="5" t="e">
        <f>#REF!</f>
        <v>#REF!</v>
      </c>
      <c r="I333" s="6" t="e">
        <f t="shared" si="90"/>
        <v>#REF!</v>
      </c>
      <c r="J333" s="6" t="s">
        <v>62</v>
      </c>
      <c r="K333" s="6" t="s">
        <v>61</v>
      </c>
      <c r="L333" s="7" t="e">
        <f t="shared" si="91"/>
        <v>#REF!</v>
      </c>
      <c r="N333" s="7" t="s">
        <v>64</v>
      </c>
      <c r="O333" s="7" t="str">
        <f>IF(OR($C333="",$C333="FID YOK"),"",IF(ISNUMBER(MATCH($C333,FA_ANA,0)),"",IF(COUNTIF($C$1:$C332,$C333)&gt;0,"",MAX($O$1:$O332)+1)))</f>
        <v/>
      </c>
      <c r="P333" s="8">
        <v>3</v>
      </c>
      <c r="Q333" s="7" t="e">
        <f>IF(OR($P333="",$P333="G",ISNA(MATCH($C333,FA,0))),"",IF(N(INDEX(F_G,MATCH($C333,FA,0)))&gt;0,INDEX(F_G,MATCH($C333,FA,0)),IF(N(INDEX(F_MODUL,MATCH($C333,FA,0)))&gt;0,INDEX(F_MODUL,MATCH($C333,FA,0))*MODUL_MM,"")))</f>
        <v>#REF!</v>
      </c>
      <c r="R333" s="7" t="e">
        <f>IF(OR($P333="",$P333="G",ISNA(MATCH($C333,FA,0))),"",IF(N(INDEX(F_Y,MATCH($C333,FA,0)))&gt;0,INDEX(F_Y,MATCH($C333,FA,0)),""))</f>
        <v>#REF!</v>
      </c>
      <c r="S333" s="7" t="e">
        <f>IF(OR($P333="",$P333="G",ISNA(MATCH($C333,FA,0))),"",IF(N(INDEX(F_D,MATCH($C333,FA,0)))&gt;0,INDEX(F_D,MATCH($C333,FA,0)),""))</f>
        <v>#REF!</v>
      </c>
      <c r="T333" s="7">
        <f>IF(ISNA(MATCH($C333,FA,0)),0,IF($J333="GIRIS",N(INDEX(F_INKOR,MATCH($C333,FA,0))),0))</f>
        <v>0</v>
      </c>
      <c r="U333" s="7" t="e">
        <f t="shared" si="96"/>
        <v>#REF!</v>
      </c>
      <c r="V333" s="7" t="e">
        <f t="shared" si="97"/>
        <v>#REF!</v>
      </c>
      <c r="W333" s="7" t="e">
        <f>IF(OR(NOT(ISNUMBER($P333)),$Q333=""),"",N(#REF!)*($Q333+IF(ISNA(MATCH($B333,TIP_AD,0)),0,N(INDEX(TIP_BOSLUK,MATCH($B333,TIP_AD,0))))))</f>
        <v>#REF!</v>
      </c>
      <c r="X333" s="7" t="e">
        <f>IF(ISNUMBER($P333),($Q333="")+($R333="")+($V333="")+IF(AND($U333="KONTAKTOR",NOT(ISNA(MATCH($B333,TIP_AD,0)))),IF(INDEX(TIP_BOSLUK,MATCH($B333,TIP_AD,0))&amp;""="",1,0),0),IF($P333="K",IF($S333="",1,0),0))</f>
        <v>#REF!</v>
      </c>
      <c r="Y333" s="7" t="e">
        <f>N(#REF!)*IF($E333="упак",MAX(1,IF(ISNA(MATCH($C333,FA,0)),1,N(INDEX(F_PAKET,MATCH($C333,FA,0))))),1)</f>
        <v>#REF!</v>
      </c>
      <c r="Z333" s="7" t="e">
        <f t="shared" si="92"/>
        <v>#REF!</v>
      </c>
      <c r="AA333" s="7" t="e">
        <f>IF(OR(ISNA(MATCH($C333,FA,0)),$J333="YEDEK",$J333="SARF"),0,N(#REF!)*N(INDEX(F_TEL,MATCH($C333,FA,0))))</f>
        <v>#REF!</v>
      </c>
      <c r="AB333" s="7" t="e">
        <f>IF(OR(ISNA(MATCH($C333,FA,0)),$J333="YEDEK",$J333="SARF"),0,N(#REF!)*N(INDEX(F_TELM,MATCH($C333,FA,0))))</f>
        <v>#REF!</v>
      </c>
      <c r="AC333" s="7" t="e">
        <f t="shared" si="93"/>
        <v>#REF!</v>
      </c>
      <c r="AD333" s="7">
        <f>IF(OR(ISNA(MATCH($C333,FA,0)),$J333&lt;&gt;"CIKIS"),0,N(INDEX(F_KK,MATCH($C333,FA,0))))</f>
        <v>0</v>
      </c>
      <c r="AE333" s="7">
        <f>IF($AD333=0,0,N(#REF!)*N(INDEX(F_KLN,MATCH($C333,FA,0))))</f>
        <v>0</v>
      </c>
      <c r="AF333" s="7">
        <f>IF($AD333=0,0,N(#REF!)*N(INDEX(F_KPE,MATCH($C333,FA,0))))</f>
        <v>0</v>
      </c>
      <c r="AG333" s="7" t="e">
        <f>IF(ISNA(MATCH($C333,FA,0)),0,N(#REF!)*N(INDEX(F_MODUL,MATCH($C333,FA,0))))</f>
        <v>#REF!</v>
      </c>
      <c r="AH333" s="7" t="e">
        <f>N(#REF!)*N($I333)</f>
        <v>#REF!</v>
      </c>
      <c r="AI333" s="7" t="e">
        <f t="shared" si="94"/>
        <v>#REF!</v>
      </c>
      <c r="AJ333" s="7">
        <f t="shared" si="95"/>
        <v>0</v>
      </c>
    </row>
    <row r="334" spans="1:36" x14ac:dyDescent="0.25">
      <c r="A334" s="4" t="str">
        <f t="shared" si="89"/>
        <v>ВРУ-3 (Ввод + Секция 1) (ВРУ1-15-30)(ВРУ1-41-00А)(260922 akram aulet)</v>
      </c>
      <c r="B334" s="4" t="s">
        <v>65</v>
      </c>
      <c r="C334" s="4" t="s">
        <v>392</v>
      </c>
      <c r="D334" s="4" t="s">
        <v>393</v>
      </c>
      <c r="E334" s="4" t="s">
        <v>114</v>
      </c>
      <c r="F334" s="4" t="s">
        <v>377</v>
      </c>
      <c r="G334" s="4" t="s">
        <v>236</v>
      </c>
      <c r="H334" s="5" t="e">
        <f>#REF!</f>
        <v>#REF!</v>
      </c>
      <c r="I334" s="6" t="e">
        <f t="shared" si="90"/>
        <v>#REF!</v>
      </c>
      <c r="J334" s="6" t="s">
        <v>66</v>
      </c>
      <c r="K334" s="6" t="s">
        <v>65</v>
      </c>
      <c r="L334" s="7" t="e">
        <f t="shared" si="91"/>
        <v>#REF!</v>
      </c>
      <c r="M334" s="7" t="s">
        <v>67</v>
      </c>
      <c r="N334" s="7" t="s">
        <v>68</v>
      </c>
      <c r="O334" s="7" t="str">
        <f>IF(OR($C334="",$C334="FID YOK"),"",IF(ISNUMBER(MATCH($C334,FA_ANA,0)),"",IF(COUNTIF($C$1:$C333,$C334)&gt;0,"",MAX($O$1:$O333)+1)))</f>
        <v/>
      </c>
      <c r="P334" s="8">
        <v>4</v>
      </c>
      <c r="Q334" s="7" t="e">
        <f>IF(OR($P334="",$P334="G",ISNA(MATCH($C334,FA,0))),"",IF(N(INDEX(F_G,MATCH($C334,FA,0)))&gt;0,INDEX(F_G,MATCH($C334,FA,0)),IF(N(INDEX(F_MODUL,MATCH($C334,FA,0)))&gt;0,INDEX(F_MODUL,MATCH($C334,FA,0))*MODUL_MM,"")))</f>
        <v>#REF!</v>
      </c>
      <c r="R334" s="7" t="e">
        <f>IF(OR($P334="",$P334="G",ISNA(MATCH($C334,FA,0))),"",IF(N(INDEX(F_Y,MATCH($C334,FA,0)))&gt;0,INDEX(F_Y,MATCH($C334,FA,0)),""))</f>
        <v>#REF!</v>
      </c>
      <c r="S334" s="7" t="e">
        <f>IF(OR($P334="",$P334="G",ISNA(MATCH($C334,FA,0))),"",IF(N(INDEX(F_D,MATCH($C334,FA,0)))&gt;0,INDEX(F_D,MATCH($C334,FA,0)),""))</f>
        <v>#REF!</v>
      </c>
      <c r="T334" s="7">
        <f>IF(ISNA(MATCH($C334,FA,0)),0,IF($J334="GIRIS",N(INDEX(F_INKOR,MATCH($C334,FA,0))),0))</f>
        <v>0</v>
      </c>
      <c r="U334" s="7" t="e">
        <f t="shared" si="96"/>
        <v>#REF!</v>
      </c>
      <c r="V334" s="7" t="e">
        <f t="shared" si="97"/>
        <v>#REF!</v>
      </c>
      <c r="W334" s="7" t="e">
        <f>IF(OR(NOT(ISNUMBER($P334)),$Q334=""),"",N(#REF!)*($Q334+IF(ISNA(MATCH($B334,TIP_AD,0)),0,N(INDEX(TIP_BOSLUK,MATCH($B334,TIP_AD,0))))))</f>
        <v>#REF!</v>
      </c>
      <c r="X334" s="7" t="e">
        <f>IF(ISNUMBER($P334),($Q334="")+($R334="")+($V334="")+IF(AND($U334="KONTAKTOR",NOT(ISNA(MATCH($B334,TIP_AD,0)))),IF(INDEX(TIP_BOSLUK,MATCH($B334,TIP_AD,0))&amp;""="",1,0),0),IF($P334="K",IF($S334="",1,0),0))</f>
        <v>#REF!</v>
      </c>
      <c r="Y334" s="7" t="e">
        <f>N(#REF!)*IF($E334="упак",MAX(1,IF(ISNA(MATCH($C334,FA,0)),1,N(INDEX(F_PAKET,MATCH($C334,FA,0))))),1)</f>
        <v>#REF!</v>
      </c>
      <c r="Z334" s="7" t="e">
        <f t="shared" si="92"/>
        <v>#REF!</v>
      </c>
      <c r="AA334" s="7" t="e">
        <f>IF(OR(ISNA(MATCH($C334,FA,0)),$J334="YEDEK",$J334="SARF"),0,N(#REF!)*N(INDEX(F_TEL,MATCH($C334,FA,0))))</f>
        <v>#REF!</v>
      </c>
      <c r="AB334" s="7" t="e">
        <f>IF(OR(ISNA(MATCH($C334,FA,0)),$J334="YEDEK",$J334="SARF"),0,N(#REF!)*N(INDEX(F_TELM,MATCH($C334,FA,0))))</f>
        <v>#REF!</v>
      </c>
      <c r="AC334" s="7" t="e">
        <f t="shared" si="93"/>
        <v>#REF!</v>
      </c>
      <c r="AD334" s="7">
        <f>IF(OR(ISNA(MATCH($C334,FA,0)),$J334&lt;&gt;"CIKIS"),0,N(INDEX(F_KK,MATCH($C334,FA,0))))</f>
        <v>0</v>
      </c>
      <c r="AE334" s="7">
        <f>IF($AD334=0,0,N(#REF!)*N(INDEX(F_KLN,MATCH($C334,FA,0))))</f>
        <v>0</v>
      </c>
      <c r="AF334" s="7">
        <f>IF($AD334=0,0,N(#REF!)*N(INDEX(F_KPE,MATCH($C334,FA,0))))</f>
        <v>0</v>
      </c>
      <c r="AG334" s="7" t="e">
        <f>IF(ISNA(MATCH($C334,FA,0)),0,N(#REF!)*N(INDEX(F_MODUL,MATCH($C334,FA,0))))</f>
        <v>#REF!</v>
      </c>
      <c r="AH334" s="7" t="e">
        <f>N(#REF!)*N($I334)</f>
        <v>#REF!</v>
      </c>
      <c r="AI334" s="7" t="e">
        <f t="shared" si="94"/>
        <v>#REF!</v>
      </c>
      <c r="AJ334" s="7">
        <f t="shared" si="95"/>
        <v>0</v>
      </c>
    </row>
    <row r="335" spans="1:36" x14ac:dyDescent="0.25">
      <c r="A335" s="4" t="str">
        <f t="shared" si="89"/>
        <v>ВРУ-3 (Ввод + Секция 1) (ВРУ1-15-30)(ВРУ1-41-00А)(260922 akram aulet)</v>
      </c>
      <c r="B335" s="4" t="s">
        <v>65</v>
      </c>
      <c r="C335" s="4" t="s">
        <v>402</v>
      </c>
      <c r="D335" s="4" t="s">
        <v>403</v>
      </c>
      <c r="E335" s="4" t="s">
        <v>114</v>
      </c>
      <c r="F335" s="4" t="s">
        <v>377</v>
      </c>
      <c r="G335" s="4" t="s">
        <v>236</v>
      </c>
      <c r="H335" s="5" t="e">
        <f>#REF!</f>
        <v>#REF!</v>
      </c>
      <c r="I335" s="6" t="e">
        <f t="shared" si="90"/>
        <v>#REF!</v>
      </c>
      <c r="J335" s="6" t="s">
        <v>52</v>
      </c>
      <c r="K335" s="6" t="s">
        <v>65</v>
      </c>
      <c r="L335" s="7" t="e">
        <f t="shared" si="91"/>
        <v>#REF!</v>
      </c>
      <c r="M335" s="7" t="s">
        <v>242</v>
      </c>
      <c r="N335" s="7" t="s">
        <v>193</v>
      </c>
      <c r="O335" s="7" t="str">
        <f>IF(OR($C335="",$C335="FID YOK"),"",IF(ISNUMBER(MATCH($C335,FA_ANA,0)),"",IF(COUNTIF($C$1:$C334,$C335)&gt;0,"",MAX($O$1:$O334)+1)))</f>
        <v/>
      </c>
      <c r="P335" s="8">
        <v>4</v>
      </c>
      <c r="Q335" s="7" t="e">
        <f>IF(OR($P335="",$P335="G",ISNA(MATCH($C335,FA,0))),"",IF(N(INDEX(F_G,MATCH($C335,FA,0)))&gt;0,INDEX(F_G,MATCH($C335,FA,0)),IF(N(INDEX(F_MODUL,MATCH($C335,FA,0)))&gt;0,INDEX(F_MODUL,MATCH($C335,FA,0))*MODUL_MM,"")))</f>
        <v>#REF!</v>
      </c>
      <c r="R335" s="7" t="e">
        <f>IF(OR($P335="",$P335="G",ISNA(MATCH($C335,FA,0))),"",IF(N(INDEX(F_Y,MATCH($C335,FA,0)))&gt;0,INDEX(F_Y,MATCH($C335,FA,0)),""))</f>
        <v>#REF!</v>
      </c>
      <c r="S335" s="7" t="e">
        <f>IF(OR($P335="",$P335="G",ISNA(MATCH($C335,FA,0))),"",IF(N(INDEX(F_D,MATCH($C335,FA,0)))&gt;0,INDEX(F_D,MATCH($C335,FA,0)),""))</f>
        <v>#REF!</v>
      </c>
      <c r="T335" s="7">
        <f>IF(ISNA(MATCH($C335,FA,0)),0,IF($J335="GIRIS",N(INDEX(F_INKOR,MATCH($C335,FA,0))),0))</f>
        <v>0</v>
      </c>
      <c r="U335" s="7" t="e">
        <f t="shared" si="96"/>
        <v>#REF!</v>
      </c>
      <c r="V335" s="7" t="e">
        <f t="shared" si="97"/>
        <v>#REF!</v>
      </c>
      <c r="W335" s="7" t="e">
        <f>IF(OR(NOT(ISNUMBER($P335)),$Q335=""),"",N(#REF!)*($Q335+IF(ISNA(MATCH($B335,TIP_AD,0)),0,N(INDEX(TIP_BOSLUK,MATCH($B335,TIP_AD,0))))))</f>
        <v>#REF!</v>
      </c>
      <c r="X335" s="7" t="e">
        <f>IF(ISNUMBER($P335),($Q335="")+($R335="")+($V335="")+IF(AND($U335="KONTAKTOR",NOT(ISNA(MATCH($B335,TIP_AD,0)))),IF(INDEX(TIP_BOSLUK,MATCH($B335,TIP_AD,0))&amp;""="",1,0),0),IF($P335="K",IF($S335="",1,0),0))</f>
        <v>#REF!</v>
      </c>
      <c r="Y335" s="7" t="e">
        <f>N(#REF!)*IF($E335="упак",MAX(1,IF(ISNA(MATCH($C335,FA,0)),1,N(INDEX(F_PAKET,MATCH($C335,FA,0))))),1)</f>
        <v>#REF!</v>
      </c>
      <c r="Z335" s="7" t="e">
        <f t="shared" si="92"/>
        <v>#REF!</v>
      </c>
      <c r="AA335" s="7" t="e">
        <f>IF(OR(ISNA(MATCH($C335,FA,0)),$J335="YEDEK",$J335="SARF"),0,N(#REF!)*N(INDEX(F_TEL,MATCH($C335,FA,0))))</f>
        <v>#REF!</v>
      </c>
      <c r="AB335" s="7" t="e">
        <f>IF(OR(ISNA(MATCH($C335,FA,0)),$J335="YEDEK",$J335="SARF"),0,N(#REF!)*N(INDEX(F_TELM,MATCH($C335,FA,0))))</f>
        <v>#REF!</v>
      </c>
      <c r="AC335" s="7" t="e">
        <f t="shared" si="93"/>
        <v>#REF!</v>
      </c>
      <c r="AD335" s="7" t="e">
        <f>IF(OR(ISNA(MATCH($C335,FA,0)),$J335&lt;&gt;"CIKIS"),0,N(INDEX(F_KK,MATCH($C335,FA,0))))</f>
        <v>#REF!</v>
      </c>
      <c r="AE335" s="7" t="e">
        <f>IF($AD335=0,0,N(#REF!)*N(INDEX(F_KLN,MATCH($C335,FA,0))))</f>
        <v>#REF!</v>
      </c>
      <c r="AF335" s="7" t="e">
        <f>IF($AD335=0,0,N(#REF!)*N(INDEX(F_KPE,MATCH($C335,FA,0))))</f>
        <v>#REF!</v>
      </c>
      <c r="AG335" s="7" t="e">
        <f>IF(ISNA(MATCH($C335,FA,0)),0,N(#REF!)*N(INDEX(F_MODUL,MATCH($C335,FA,0))))</f>
        <v>#REF!</v>
      </c>
      <c r="AH335" s="7" t="e">
        <f>N(#REF!)*N($I335)</f>
        <v>#REF!</v>
      </c>
      <c r="AI335" s="7" t="e">
        <f t="shared" si="94"/>
        <v>#REF!</v>
      </c>
      <c r="AJ335" s="7">
        <f t="shared" si="95"/>
        <v>0</v>
      </c>
    </row>
    <row r="336" spans="1:36" x14ac:dyDescent="0.25">
      <c r="A336" s="4" t="str">
        <f t="shared" si="89"/>
        <v>ВРУ-3 (Ввод + Секция 1) (ВРУ1-15-30)(ВРУ1-41-00А)(260922 akram aulet)</v>
      </c>
      <c r="B336" s="4" t="s">
        <v>65</v>
      </c>
      <c r="C336" s="4" t="s">
        <v>392</v>
      </c>
      <c r="D336" s="4" t="s">
        <v>393</v>
      </c>
      <c r="E336" s="4" t="s">
        <v>114</v>
      </c>
      <c r="F336" s="4" t="s">
        <v>377</v>
      </c>
      <c r="G336" s="4" t="s">
        <v>236</v>
      </c>
      <c r="H336" s="5" t="e">
        <f>#REF!</f>
        <v>#REF!</v>
      </c>
      <c r="I336" s="6" t="e">
        <f t="shared" si="90"/>
        <v>#REF!</v>
      </c>
      <c r="J336" s="6" t="s">
        <v>52</v>
      </c>
      <c r="K336" s="6" t="s">
        <v>65</v>
      </c>
      <c r="L336" s="7" t="e">
        <f t="shared" si="91"/>
        <v>#REF!</v>
      </c>
      <c r="M336" s="7" t="s">
        <v>243</v>
      </c>
      <c r="N336" s="7" t="s">
        <v>68</v>
      </c>
      <c r="O336" s="7" t="str">
        <f>IF(OR($C336="",$C336="FID YOK"),"",IF(ISNUMBER(MATCH($C336,FA_ANA,0)),"",IF(COUNTIF($C$1:$C335,$C336)&gt;0,"",MAX($O$1:$O335)+1)))</f>
        <v/>
      </c>
      <c r="P336" s="8">
        <v>4</v>
      </c>
      <c r="Q336" s="7" t="e">
        <f>IF(OR($P336="",$P336="G",ISNA(MATCH($C336,FA,0))),"",IF(N(INDEX(F_G,MATCH($C336,FA,0)))&gt;0,INDEX(F_G,MATCH($C336,FA,0)),IF(N(INDEX(F_MODUL,MATCH($C336,FA,0)))&gt;0,INDEX(F_MODUL,MATCH($C336,FA,0))*MODUL_MM,"")))</f>
        <v>#REF!</v>
      </c>
      <c r="R336" s="7" t="e">
        <f>IF(OR($P336="",$P336="G",ISNA(MATCH($C336,FA,0))),"",IF(N(INDEX(F_Y,MATCH($C336,FA,0)))&gt;0,INDEX(F_Y,MATCH($C336,FA,0)),""))</f>
        <v>#REF!</v>
      </c>
      <c r="S336" s="7" t="e">
        <f>IF(OR($P336="",$P336="G",ISNA(MATCH($C336,FA,0))),"",IF(N(INDEX(F_D,MATCH($C336,FA,0)))&gt;0,INDEX(F_D,MATCH($C336,FA,0)),""))</f>
        <v>#REF!</v>
      </c>
      <c r="T336" s="7">
        <f>IF(ISNA(MATCH($C336,FA,0)),0,IF($J336="GIRIS",N(INDEX(F_INKOR,MATCH($C336,FA,0))),0))</f>
        <v>0</v>
      </c>
      <c r="U336" s="7" t="e">
        <f t="shared" si="96"/>
        <v>#REF!</v>
      </c>
      <c r="V336" s="7" t="e">
        <f t="shared" si="97"/>
        <v>#REF!</v>
      </c>
      <c r="W336" s="7" t="e">
        <f>IF(OR(NOT(ISNUMBER($P336)),$Q336=""),"",N(#REF!)*($Q336+IF(ISNA(MATCH($B336,TIP_AD,0)),0,N(INDEX(TIP_BOSLUK,MATCH($B336,TIP_AD,0))))))</f>
        <v>#REF!</v>
      </c>
      <c r="X336" s="7" t="e">
        <f>IF(ISNUMBER($P336),($Q336="")+($R336="")+($V336="")+IF(AND($U336="KONTAKTOR",NOT(ISNA(MATCH($B336,TIP_AD,0)))),IF(INDEX(TIP_BOSLUK,MATCH($B336,TIP_AD,0))&amp;""="",1,0),0),IF($P336="K",IF($S336="",1,0),0))</f>
        <v>#REF!</v>
      </c>
      <c r="Y336" s="7" t="e">
        <f>N(#REF!)*IF($E336="упак",MAX(1,IF(ISNA(MATCH($C336,FA,0)),1,N(INDEX(F_PAKET,MATCH($C336,FA,0))))),1)</f>
        <v>#REF!</v>
      </c>
      <c r="Z336" s="7" t="e">
        <f t="shared" si="92"/>
        <v>#REF!</v>
      </c>
      <c r="AA336" s="7" t="e">
        <f>IF(OR(ISNA(MATCH($C336,FA,0)),$J336="YEDEK",$J336="SARF"),0,N(#REF!)*N(INDEX(F_TEL,MATCH($C336,FA,0))))</f>
        <v>#REF!</v>
      </c>
      <c r="AB336" s="7" t="e">
        <f>IF(OR(ISNA(MATCH($C336,FA,0)),$J336="YEDEK",$J336="SARF"),0,N(#REF!)*N(INDEX(F_TELM,MATCH($C336,FA,0))))</f>
        <v>#REF!</v>
      </c>
      <c r="AC336" s="7" t="e">
        <f t="shared" si="93"/>
        <v>#REF!</v>
      </c>
      <c r="AD336" s="7" t="e">
        <f>IF(OR(ISNA(MATCH($C336,FA,0)),$J336&lt;&gt;"CIKIS"),0,N(INDEX(F_KK,MATCH($C336,FA,0))))</f>
        <v>#REF!</v>
      </c>
      <c r="AE336" s="7" t="e">
        <f>IF($AD336=0,0,N(#REF!)*N(INDEX(F_KLN,MATCH($C336,FA,0))))</f>
        <v>#REF!</v>
      </c>
      <c r="AF336" s="7" t="e">
        <f>IF($AD336=0,0,N(#REF!)*N(INDEX(F_KPE,MATCH($C336,FA,0))))</f>
        <v>#REF!</v>
      </c>
      <c r="AG336" s="7" t="e">
        <f>IF(ISNA(MATCH($C336,FA,0)),0,N(#REF!)*N(INDEX(F_MODUL,MATCH($C336,FA,0))))</f>
        <v>#REF!</v>
      </c>
      <c r="AH336" s="7" t="e">
        <f>N(#REF!)*N($I336)</f>
        <v>#REF!</v>
      </c>
      <c r="AI336" s="7" t="e">
        <f t="shared" si="94"/>
        <v>#REF!</v>
      </c>
      <c r="AJ336" s="7">
        <f t="shared" si="95"/>
        <v>0</v>
      </c>
    </row>
    <row r="337" spans="1:36" x14ac:dyDescent="0.25">
      <c r="A337" s="4" t="str">
        <f t="shared" si="89"/>
        <v>ВРУ-3 (Ввод + Секция 1) (ВРУ1-15-30)(ВРУ1-41-00А)(260922 akram aulet)</v>
      </c>
      <c r="B337" s="4" t="s">
        <v>72</v>
      </c>
      <c r="C337" s="4" t="s">
        <v>463</v>
      </c>
      <c r="D337" s="4" t="s">
        <v>464</v>
      </c>
      <c r="E337" s="4" t="s">
        <v>114</v>
      </c>
      <c r="F337" s="4" t="s">
        <v>377</v>
      </c>
      <c r="G337" s="4" t="s">
        <v>236</v>
      </c>
      <c r="H337" s="5" t="e">
        <f>#REF!</f>
        <v>#REF!</v>
      </c>
      <c r="I337" s="6" t="e">
        <f t="shared" si="90"/>
        <v>#REF!</v>
      </c>
      <c r="J337" s="6" t="s">
        <v>66</v>
      </c>
      <c r="K337" s="6" t="s">
        <v>65</v>
      </c>
      <c r="L337" s="7" t="e">
        <f t="shared" si="91"/>
        <v>#REF!</v>
      </c>
      <c r="N337" s="7" t="s">
        <v>74</v>
      </c>
      <c r="O337" s="7" t="str">
        <f>IF(OR($C337="",$C337="FID YOK"),"",IF(ISNUMBER(MATCH($C337,FA_ANA,0)),"",IF(COUNTIF($C$1:$C336,$C337)&gt;0,"",MAX($O$1:$O336)+1)))</f>
        <v/>
      </c>
      <c r="P337" s="8">
        <v>4</v>
      </c>
      <c r="Q337" s="7" t="e">
        <f>IF(OR($P337="",$P337="G",ISNA(MATCH($C337,FA,0))),"",IF(N(INDEX(F_G,MATCH($C337,FA,0)))&gt;0,INDEX(F_G,MATCH($C337,FA,0)),IF(N(INDEX(F_MODUL,MATCH($C337,FA,0)))&gt;0,INDEX(F_MODUL,MATCH($C337,FA,0))*MODUL_MM,"")))</f>
        <v>#REF!</v>
      </c>
      <c r="R337" s="7" t="e">
        <f>IF(OR($P337="",$P337="G",ISNA(MATCH($C337,FA,0))),"",IF(N(INDEX(F_Y,MATCH($C337,FA,0)))&gt;0,INDEX(F_Y,MATCH($C337,FA,0)),""))</f>
        <v>#REF!</v>
      </c>
      <c r="S337" s="7" t="e">
        <f>IF(OR($P337="",$P337="G",ISNA(MATCH($C337,FA,0))),"",IF(N(INDEX(F_D,MATCH($C337,FA,0)))&gt;0,INDEX(F_D,MATCH($C337,FA,0)),""))</f>
        <v>#REF!</v>
      </c>
      <c r="T337" s="7">
        <f>IF(ISNA(MATCH($C337,FA,0)),0,IF($J337="GIRIS",N(INDEX(F_INKOR,MATCH($C337,FA,0))),0))</f>
        <v>0</v>
      </c>
      <c r="U337" s="7" t="e">
        <f t="shared" si="96"/>
        <v>#REF!</v>
      </c>
      <c r="V337" s="7" t="e">
        <f t="shared" si="97"/>
        <v>#REF!</v>
      </c>
      <c r="W337" s="7" t="e">
        <f>IF(OR(NOT(ISNUMBER($P337)),$Q337=""),"",N(#REF!)*($Q337+IF(ISNA(MATCH($B337,TIP_AD,0)),0,N(INDEX(TIP_BOSLUK,MATCH($B337,TIP_AD,0))))))</f>
        <v>#REF!</v>
      </c>
      <c r="X337" s="7" t="e">
        <f>IF(ISNUMBER($P337),($Q337="")+($R337="")+($V337="")+IF(AND($U337="KONTAKTOR",NOT(ISNA(MATCH($B337,TIP_AD,0)))),IF(INDEX(TIP_BOSLUK,MATCH($B337,TIP_AD,0))&amp;""="",1,0),0),IF($P337="K",IF($S337="",1,0),0))</f>
        <v>#REF!</v>
      </c>
      <c r="Y337" s="7" t="e">
        <f>N(#REF!)*IF($E337="упак",MAX(1,IF(ISNA(MATCH($C337,FA,0)),1,N(INDEX(F_PAKET,MATCH($C337,FA,0))))),1)</f>
        <v>#REF!</v>
      </c>
      <c r="Z337" s="7" t="e">
        <f t="shared" si="92"/>
        <v>#REF!</v>
      </c>
      <c r="AA337" s="7" t="e">
        <f>IF(OR(ISNA(MATCH($C337,FA,0)),$J337="YEDEK",$J337="SARF"),0,N(#REF!)*N(INDEX(F_TEL,MATCH($C337,FA,0))))</f>
        <v>#REF!</v>
      </c>
      <c r="AB337" s="7" t="e">
        <f>IF(OR(ISNA(MATCH($C337,FA,0)),$J337="YEDEK",$J337="SARF"),0,N(#REF!)*N(INDEX(F_TELM,MATCH($C337,FA,0))))</f>
        <v>#REF!</v>
      </c>
      <c r="AC337" s="7" t="e">
        <f t="shared" si="93"/>
        <v>#REF!</v>
      </c>
      <c r="AD337" s="7">
        <f>IF(OR(ISNA(MATCH($C337,FA,0)),$J337&lt;&gt;"CIKIS"),0,N(INDEX(F_KK,MATCH($C337,FA,0))))</f>
        <v>0</v>
      </c>
      <c r="AE337" s="7">
        <f>IF($AD337=0,0,N(#REF!)*N(INDEX(F_KLN,MATCH($C337,FA,0))))</f>
        <v>0</v>
      </c>
      <c r="AF337" s="7">
        <f>IF($AD337=0,0,N(#REF!)*N(INDEX(F_KPE,MATCH($C337,FA,0))))</f>
        <v>0</v>
      </c>
      <c r="AG337" s="7" t="e">
        <f>IF(ISNA(MATCH($C337,FA,0)),0,N(#REF!)*N(INDEX(F_MODUL,MATCH($C337,FA,0))))</f>
        <v>#REF!</v>
      </c>
      <c r="AH337" s="7" t="e">
        <f>N(#REF!)*N($I337)</f>
        <v>#REF!</v>
      </c>
      <c r="AI337" s="7" t="e">
        <f t="shared" si="94"/>
        <v>#REF!</v>
      </c>
      <c r="AJ337" s="7">
        <f t="shared" si="95"/>
        <v>0</v>
      </c>
    </row>
    <row r="338" spans="1:36" x14ac:dyDescent="0.25">
      <c r="A338" s="4" t="str">
        <f t="shared" si="89"/>
        <v>ВРУ-3 (Ввод + Секция 1) (ВРУ1-15-30)(ВРУ1-41-00А)(260922 akram aulet)</v>
      </c>
      <c r="B338" s="4" t="s">
        <v>75</v>
      </c>
      <c r="C338" s="4" t="s">
        <v>465</v>
      </c>
      <c r="D338" s="4" t="s">
        <v>466</v>
      </c>
      <c r="E338" s="4" t="s">
        <v>114</v>
      </c>
      <c r="F338" s="4" t="s">
        <v>377</v>
      </c>
      <c r="G338" s="4" t="s">
        <v>236</v>
      </c>
      <c r="H338" s="5" t="e">
        <f>#REF!</f>
        <v>#REF!</v>
      </c>
      <c r="I338" s="6" t="e">
        <f t="shared" si="90"/>
        <v>#REF!</v>
      </c>
      <c r="J338" s="6" t="s">
        <v>66</v>
      </c>
      <c r="K338" s="6" t="s">
        <v>75</v>
      </c>
      <c r="L338" s="7" t="e">
        <f t="shared" si="91"/>
        <v>#REF!</v>
      </c>
      <c r="M338" s="7" t="s">
        <v>76</v>
      </c>
      <c r="N338" s="7" t="s">
        <v>77</v>
      </c>
      <c r="O338" s="7" t="str">
        <f>IF(OR($C338="",$C338="FID YOK"),"",IF(ISNUMBER(MATCH($C338,FA_ANA,0)),"",IF(COUNTIF($C$1:$C337,$C338)&gt;0,"",MAX($O$1:$O337)+1)))</f>
        <v/>
      </c>
      <c r="P338" s="8" t="s">
        <v>78</v>
      </c>
      <c r="Q338" s="7" t="e">
        <f>IF(OR($P338="",$P338="G",ISNA(MATCH($C338,FA,0))),"",IF(N(INDEX(F_G,MATCH($C338,FA,0)))&gt;0,INDEX(F_G,MATCH($C338,FA,0)),IF(N(INDEX(F_MODUL,MATCH($C338,FA,0)))&gt;0,INDEX(F_MODUL,MATCH($C338,FA,0))*MODUL_MM,"")))</f>
        <v>#REF!</v>
      </c>
      <c r="R338" s="7" t="e">
        <f>IF(OR($P338="",$P338="G",ISNA(MATCH($C338,FA,0))),"",IF(N(INDEX(F_Y,MATCH($C338,FA,0)))&gt;0,INDEX(F_Y,MATCH($C338,FA,0)),""))</f>
        <v>#REF!</v>
      </c>
      <c r="S338" s="7" t="e">
        <f>IF(OR($P338="",$P338="G",ISNA(MATCH($C338,FA,0))),"",IF(N(INDEX(F_D,MATCH($C338,FA,0)))&gt;0,INDEX(F_D,MATCH($C338,FA,0)),""))</f>
        <v>#REF!</v>
      </c>
      <c r="T338" s="7">
        <f>IF(ISNA(MATCH($C338,FA,0)),0,IF($J338="GIRIS",N(INDEX(F_INKOR,MATCH($C338,FA,0))),0))</f>
        <v>0</v>
      </c>
      <c r="U338" s="7" t="e">
        <f t="shared" si="96"/>
        <v>#REF!</v>
      </c>
      <c r="V338" s="7" t="str">
        <f t="shared" si="97"/>
        <v/>
      </c>
      <c r="W338" s="7" t="e">
        <f>IF(OR(NOT(ISNUMBER($P338)),$Q338=""),"",N(#REF!)*($Q338+IF(ISNA(MATCH($B338,TIP_AD,0)),0,N(INDEX(TIP_BOSLUK,MATCH($B338,TIP_AD,0))))))</f>
        <v>#REF!</v>
      </c>
      <c r="X338" s="7" t="e">
        <f>IF(ISNUMBER($P338),($Q338="")+($R338="")+($V338="")+IF(AND($U338="KONTAKTOR",NOT(ISNA(MATCH($B338,TIP_AD,0)))),IF(INDEX(TIP_BOSLUK,MATCH($B338,TIP_AD,0))&amp;""="",1,0),0),IF($P338="K",IF($S338="",1,0),0))</f>
        <v>#REF!</v>
      </c>
      <c r="Y338" s="7" t="e">
        <f>N(#REF!)*IF($E338="упак",MAX(1,IF(ISNA(MATCH($C338,FA,0)),1,N(INDEX(F_PAKET,MATCH($C338,FA,0))))),1)</f>
        <v>#REF!</v>
      </c>
      <c r="Z338" s="7" t="e">
        <f t="shared" si="92"/>
        <v>#REF!</v>
      </c>
      <c r="AA338" s="7" t="e">
        <f>IF(OR(ISNA(MATCH($C338,FA,0)),$J338="YEDEK",$J338="SARF"),0,N(#REF!)*N(INDEX(F_TEL,MATCH($C338,FA,0))))</f>
        <v>#REF!</v>
      </c>
      <c r="AB338" s="7" t="e">
        <f>IF(OR(ISNA(MATCH($C338,FA,0)),$J338="YEDEK",$J338="SARF"),0,N(#REF!)*N(INDEX(F_TELM,MATCH($C338,FA,0))))</f>
        <v>#REF!</v>
      </c>
      <c r="AC338" s="7" t="e">
        <f t="shared" si="93"/>
        <v>#REF!</v>
      </c>
      <c r="AD338" s="7">
        <f>IF(OR(ISNA(MATCH($C338,FA,0)),$J338&lt;&gt;"CIKIS"),0,N(INDEX(F_KK,MATCH($C338,FA,0))))</f>
        <v>0</v>
      </c>
      <c r="AE338" s="7">
        <f>IF($AD338=0,0,N(#REF!)*N(INDEX(F_KLN,MATCH($C338,FA,0))))</f>
        <v>0</v>
      </c>
      <c r="AF338" s="7">
        <f>IF($AD338=0,0,N(#REF!)*N(INDEX(F_KPE,MATCH($C338,FA,0))))</f>
        <v>0</v>
      </c>
      <c r="AG338" s="7" t="e">
        <f>IF(ISNA(MATCH($C338,FA,0)),0,N(#REF!)*N(INDEX(F_MODUL,MATCH($C338,FA,0))))</f>
        <v>#REF!</v>
      </c>
      <c r="AH338" s="7" t="e">
        <f>N(#REF!)*N($I338)</f>
        <v>#REF!</v>
      </c>
      <c r="AI338" s="7" t="e">
        <f t="shared" si="94"/>
        <v>#REF!</v>
      </c>
      <c r="AJ338" s="7">
        <f t="shared" si="95"/>
        <v>0</v>
      </c>
    </row>
    <row r="339" spans="1:36" x14ac:dyDescent="0.25">
      <c r="A339" s="4" t="str">
        <f t="shared" si="89"/>
        <v>ВРУ-3 (Ввод + Секция 1) (ВРУ1-15-30)(ВРУ1-41-00А)(260922 akram aulet)</v>
      </c>
      <c r="B339" s="4" t="s">
        <v>75</v>
      </c>
      <c r="C339" s="4" t="s">
        <v>467</v>
      </c>
      <c r="D339" s="4" t="s">
        <v>468</v>
      </c>
      <c r="E339" s="4" t="s">
        <v>114</v>
      </c>
      <c r="F339" s="4" t="s">
        <v>377</v>
      </c>
      <c r="G339" s="4" t="s">
        <v>236</v>
      </c>
      <c r="H339" s="5" t="e">
        <f>#REF!</f>
        <v>#REF!</v>
      </c>
      <c r="I339" s="6" t="e">
        <f t="shared" si="90"/>
        <v>#REF!</v>
      </c>
      <c r="J339" s="6" t="s">
        <v>66</v>
      </c>
      <c r="K339" s="6" t="s">
        <v>75</v>
      </c>
      <c r="L339" s="7" t="e">
        <f t="shared" si="91"/>
        <v>#REF!</v>
      </c>
      <c r="M339" s="7" t="s">
        <v>79</v>
      </c>
      <c r="N339" s="7" t="s">
        <v>80</v>
      </c>
      <c r="O339" s="7" t="str">
        <f>IF(OR($C339="",$C339="FID YOK"),"",IF(ISNUMBER(MATCH($C339,FA_ANA,0)),"",IF(COUNTIF($C$1:$C338,$C339)&gt;0,"",MAX($O$1:$O338)+1)))</f>
        <v/>
      </c>
      <c r="P339" s="8" t="s">
        <v>78</v>
      </c>
      <c r="Q339" s="7" t="e">
        <f>IF(OR($P339="",$P339="G",ISNA(MATCH($C339,FA,0))),"",IF(N(INDEX(F_G,MATCH($C339,FA,0)))&gt;0,INDEX(F_G,MATCH($C339,FA,0)),IF(N(INDEX(F_MODUL,MATCH($C339,FA,0)))&gt;0,INDEX(F_MODUL,MATCH($C339,FA,0))*MODUL_MM,"")))</f>
        <v>#REF!</v>
      </c>
      <c r="R339" s="7" t="e">
        <f>IF(OR($P339="",$P339="G",ISNA(MATCH($C339,FA,0))),"",IF(N(INDEX(F_Y,MATCH($C339,FA,0)))&gt;0,INDEX(F_Y,MATCH($C339,FA,0)),""))</f>
        <v>#REF!</v>
      </c>
      <c r="S339" s="7" t="e">
        <f>IF(OR($P339="",$P339="G",ISNA(MATCH($C339,FA,0))),"",IF(N(INDEX(F_D,MATCH($C339,FA,0)))&gt;0,INDEX(F_D,MATCH($C339,FA,0)),""))</f>
        <v>#REF!</v>
      </c>
      <c r="T339" s="7">
        <f>IF(ISNA(MATCH($C339,FA,0)),0,IF($J339="GIRIS",N(INDEX(F_INKOR,MATCH($C339,FA,0))),0))</f>
        <v>0</v>
      </c>
      <c r="U339" s="7" t="e">
        <f t="shared" si="96"/>
        <v>#REF!</v>
      </c>
      <c r="V339" s="7" t="str">
        <f t="shared" si="97"/>
        <v/>
      </c>
      <c r="W339" s="7" t="e">
        <f>IF(OR(NOT(ISNUMBER($P339)),$Q339=""),"",N(#REF!)*($Q339+IF(ISNA(MATCH($B339,TIP_AD,0)),0,N(INDEX(TIP_BOSLUK,MATCH($B339,TIP_AD,0))))))</f>
        <v>#REF!</v>
      </c>
      <c r="X339" s="7" t="e">
        <f>IF(ISNUMBER($P339),($Q339="")+($R339="")+($V339="")+IF(AND($U339="KONTAKTOR",NOT(ISNA(MATCH($B339,TIP_AD,0)))),IF(INDEX(TIP_BOSLUK,MATCH($B339,TIP_AD,0))&amp;""="",1,0),0),IF($P339="K",IF($S339="",1,0),0))</f>
        <v>#REF!</v>
      </c>
      <c r="Y339" s="7" t="e">
        <f>N(#REF!)*IF($E339="упак",MAX(1,IF(ISNA(MATCH($C339,FA,0)),1,N(INDEX(F_PAKET,MATCH($C339,FA,0))))),1)</f>
        <v>#REF!</v>
      </c>
      <c r="Z339" s="7" t="e">
        <f t="shared" si="92"/>
        <v>#REF!</v>
      </c>
      <c r="AA339" s="7" t="e">
        <f>IF(OR(ISNA(MATCH($C339,FA,0)),$J339="YEDEK",$J339="SARF"),0,N(#REF!)*N(INDEX(F_TEL,MATCH($C339,FA,0))))</f>
        <v>#REF!</v>
      </c>
      <c r="AB339" s="7" t="e">
        <f>IF(OR(ISNA(MATCH($C339,FA,0)),$J339="YEDEK",$J339="SARF"),0,N(#REF!)*N(INDEX(F_TELM,MATCH($C339,FA,0))))</f>
        <v>#REF!</v>
      </c>
      <c r="AC339" s="7" t="e">
        <f t="shared" si="93"/>
        <v>#REF!</v>
      </c>
      <c r="AD339" s="7">
        <f>IF(OR(ISNA(MATCH($C339,FA,0)),$J339&lt;&gt;"CIKIS"),0,N(INDEX(F_KK,MATCH($C339,FA,0))))</f>
        <v>0</v>
      </c>
      <c r="AE339" s="7">
        <f>IF($AD339=0,0,N(#REF!)*N(INDEX(F_KLN,MATCH($C339,FA,0))))</f>
        <v>0</v>
      </c>
      <c r="AF339" s="7">
        <f>IF($AD339=0,0,N(#REF!)*N(INDEX(F_KPE,MATCH($C339,FA,0))))</f>
        <v>0</v>
      </c>
      <c r="AG339" s="7" t="e">
        <f>IF(ISNA(MATCH($C339,FA,0)),0,N(#REF!)*N(INDEX(F_MODUL,MATCH($C339,FA,0))))</f>
        <v>#REF!</v>
      </c>
      <c r="AH339" s="7" t="e">
        <f>N(#REF!)*N($I339)</f>
        <v>#REF!</v>
      </c>
      <c r="AI339" s="7" t="e">
        <f t="shared" si="94"/>
        <v>#REF!</v>
      </c>
      <c r="AJ339" s="7">
        <f t="shared" si="95"/>
        <v>0</v>
      </c>
    </row>
    <row r="340" spans="1:36" x14ac:dyDescent="0.25">
      <c r="A340" s="4" t="str">
        <f t="shared" si="89"/>
        <v>ВРУ-3 (Ввод + Секция 1) (ВРУ1-15-30)(ВРУ1-41-00А)(260922 akram aulet)</v>
      </c>
      <c r="B340" s="4" t="s">
        <v>75</v>
      </c>
      <c r="C340" s="4" t="s">
        <v>469</v>
      </c>
      <c r="D340" s="4" t="s">
        <v>470</v>
      </c>
      <c r="E340" s="4" t="s">
        <v>114</v>
      </c>
      <c r="F340" s="4" t="s">
        <v>377</v>
      </c>
      <c r="G340" s="4" t="s">
        <v>236</v>
      </c>
      <c r="H340" s="5" t="e">
        <f>#REF!</f>
        <v>#REF!</v>
      </c>
      <c r="I340" s="6" t="e">
        <f t="shared" si="90"/>
        <v>#REF!</v>
      </c>
      <c r="J340" s="6" t="s">
        <v>66</v>
      </c>
      <c r="K340" s="6" t="s">
        <v>75</v>
      </c>
      <c r="L340" s="7" t="e">
        <f t="shared" si="91"/>
        <v>#REF!</v>
      </c>
      <c r="M340" s="7" t="s">
        <v>81</v>
      </c>
      <c r="N340" s="7" t="s">
        <v>82</v>
      </c>
      <c r="O340" s="7" t="str">
        <f>IF(OR($C340="",$C340="FID YOK"),"",IF(ISNUMBER(MATCH($C340,FA_ANA,0)),"",IF(COUNTIF($C$1:$C339,$C340)&gt;0,"",MAX($O$1:$O339)+1)))</f>
        <v/>
      </c>
      <c r="P340" s="8" t="s">
        <v>78</v>
      </c>
      <c r="Q340" s="7" t="e">
        <f>IF(OR($P340="",$P340="G",ISNA(MATCH($C340,FA,0))),"",IF(N(INDEX(F_G,MATCH($C340,FA,0)))&gt;0,INDEX(F_G,MATCH($C340,FA,0)),IF(N(INDEX(F_MODUL,MATCH($C340,FA,0)))&gt;0,INDEX(F_MODUL,MATCH($C340,FA,0))*MODUL_MM,"")))</f>
        <v>#REF!</v>
      </c>
      <c r="R340" s="7" t="e">
        <f>IF(OR($P340="",$P340="G",ISNA(MATCH($C340,FA,0))),"",IF(N(INDEX(F_Y,MATCH($C340,FA,0)))&gt;0,INDEX(F_Y,MATCH($C340,FA,0)),""))</f>
        <v>#REF!</v>
      </c>
      <c r="S340" s="7" t="e">
        <f>IF(OR($P340="",$P340="G",ISNA(MATCH($C340,FA,0))),"",IF(N(INDEX(F_D,MATCH($C340,FA,0)))&gt;0,INDEX(F_D,MATCH($C340,FA,0)),""))</f>
        <v>#REF!</v>
      </c>
      <c r="T340" s="7">
        <f>IF(ISNA(MATCH($C340,FA,0)),0,IF($J340="GIRIS",N(INDEX(F_INKOR,MATCH($C340,FA,0))),0))</f>
        <v>0</v>
      </c>
      <c r="U340" s="7" t="e">
        <f t="shared" si="96"/>
        <v>#REF!</v>
      </c>
      <c r="V340" s="7" t="str">
        <f t="shared" si="97"/>
        <v/>
      </c>
      <c r="W340" s="7" t="e">
        <f>IF(OR(NOT(ISNUMBER($P340)),$Q340=""),"",N(#REF!)*($Q340+IF(ISNA(MATCH($B340,TIP_AD,0)),0,N(INDEX(TIP_BOSLUK,MATCH($B340,TIP_AD,0))))))</f>
        <v>#REF!</v>
      </c>
      <c r="X340" s="7" t="e">
        <f>IF(ISNUMBER($P340),($Q340="")+($R340="")+($V340="")+IF(AND($U340="KONTAKTOR",NOT(ISNA(MATCH($B340,TIP_AD,0)))),IF(INDEX(TIP_BOSLUK,MATCH($B340,TIP_AD,0))&amp;""="",1,0),0),IF($P340="K",IF($S340="",1,0),0))</f>
        <v>#REF!</v>
      </c>
      <c r="Y340" s="7" t="e">
        <f>N(#REF!)*IF($E340="упак",MAX(1,IF(ISNA(MATCH($C340,FA,0)),1,N(INDEX(F_PAKET,MATCH($C340,FA,0))))),1)</f>
        <v>#REF!</v>
      </c>
      <c r="Z340" s="7" t="e">
        <f t="shared" si="92"/>
        <v>#REF!</v>
      </c>
      <c r="AA340" s="7" t="e">
        <f>IF(OR(ISNA(MATCH($C340,FA,0)),$J340="YEDEK",$J340="SARF"),0,N(#REF!)*N(INDEX(F_TEL,MATCH($C340,FA,0))))</f>
        <v>#REF!</v>
      </c>
      <c r="AB340" s="7" t="e">
        <f>IF(OR(ISNA(MATCH($C340,FA,0)),$J340="YEDEK",$J340="SARF"),0,N(#REF!)*N(INDEX(F_TELM,MATCH($C340,FA,0))))</f>
        <v>#REF!</v>
      </c>
      <c r="AC340" s="7" t="e">
        <f t="shared" si="93"/>
        <v>#REF!</v>
      </c>
      <c r="AD340" s="7">
        <f>IF(OR(ISNA(MATCH($C340,FA,0)),$J340&lt;&gt;"CIKIS"),0,N(INDEX(F_KK,MATCH($C340,FA,0))))</f>
        <v>0</v>
      </c>
      <c r="AE340" s="7">
        <f>IF($AD340=0,0,N(#REF!)*N(INDEX(F_KLN,MATCH($C340,FA,0))))</f>
        <v>0</v>
      </c>
      <c r="AF340" s="7">
        <f>IF($AD340=0,0,N(#REF!)*N(INDEX(F_KPE,MATCH($C340,FA,0))))</f>
        <v>0</v>
      </c>
      <c r="AG340" s="7" t="e">
        <f>IF(ISNA(MATCH($C340,FA,0)),0,N(#REF!)*N(INDEX(F_MODUL,MATCH($C340,FA,0))))</f>
        <v>#REF!</v>
      </c>
      <c r="AH340" s="7" t="e">
        <f>N(#REF!)*N($I340)</f>
        <v>#REF!</v>
      </c>
      <c r="AI340" s="7" t="e">
        <f t="shared" si="94"/>
        <v>#REF!</v>
      </c>
      <c r="AJ340" s="7">
        <f t="shared" si="95"/>
        <v>0</v>
      </c>
    </row>
    <row r="341" spans="1:36" x14ac:dyDescent="0.25">
      <c r="A341" s="4" t="str">
        <f t="shared" si="89"/>
        <v>ВРУ-3 (Ввод + Секция 1) (ВРУ1-15-30)(ВРУ1-41-00А)(260922 akram aulet)</v>
      </c>
      <c r="B341" s="4" t="s">
        <v>202</v>
      </c>
      <c r="C341" s="4" t="s">
        <v>583</v>
      </c>
      <c r="D341" s="4" t="s">
        <v>584</v>
      </c>
      <c r="E341" s="4" t="s">
        <v>114</v>
      </c>
      <c r="F341" s="4" t="s">
        <v>486</v>
      </c>
      <c r="G341" s="4" t="s">
        <v>236</v>
      </c>
      <c r="H341" s="5" t="e">
        <f>#REF!</f>
        <v>#REF!</v>
      </c>
      <c r="I341" s="6" t="e">
        <f t="shared" si="90"/>
        <v>#REF!</v>
      </c>
      <c r="J341" s="6" t="s">
        <v>84</v>
      </c>
      <c r="K341" s="6" t="s">
        <v>202</v>
      </c>
      <c r="L341" s="7" t="e">
        <f t="shared" si="91"/>
        <v>#REF!</v>
      </c>
      <c r="M341" s="7" t="s">
        <v>203</v>
      </c>
      <c r="O341" s="7" t="str">
        <f>IF(OR($C341="",$C341="FID YOK"),"",IF(ISNUMBER(MATCH($C341,FA_ANA,0)),"",IF(COUNTIF($C$1:$C340,$C341)&gt;0,"",MAX($O$1:$O340)+1)))</f>
        <v/>
      </c>
      <c r="T341" s="7">
        <f>IF(ISNA(MATCH($C341,FA,0)),0,IF($J341="GIRIS",N(INDEX(F_INKOR,MATCH($C341,FA,0))),0))</f>
        <v>0</v>
      </c>
      <c r="Y341" s="7" t="e">
        <f>N(#REF!)*IF($E341="упак",MAX(1,IF(ISNA(MATCH($C341,FA,0)),1,N(INDEX(F_PAKET,MATCH($C341,FA,0))))),1)</f>
        <v>#REF!</v>
      </c>
      <c r="Z341" s="7" t="e">
        <f t="shared" si="92"/>
        <v>#REF!</v>
      </c>
      <c r="AA341" s="7">
        <f>IF(OR(ISNA(MATCH($C341,FA,0)),$J341="YEDEK",$J341="SARF"),0,N(#REF!)*N(INDEX(F_TEL,MATCH($C341,FA,0))))</f>
        <v>0</v>
      </c>
      <c r="AB341" s="7">
        <f>IF(OR(ISNA(MATCH($C341,FA,0)),$J341="YEDEK",$J341="SARF"),0,N(#REF!)*N(INDEX(F_TELM,MATCH($C341,FA,0))))</f>
        <v>0</v>
      </c>
      <c r="AC341" s="7" t="e">
        <f t="shared" si="93"/>
        <v>#REF!</v>
      </c>
      <c r="AD341" s="7">
        <f>IF(OR(ISNA(MATCH($C341,FA,0)),$J341&lt;&gt;"CIKIS"),0,N(INDEX(F_KK,MATCH($C341,FA,0))))</f>
        <v>0</v>
      </c>
      <c r="AE341" s="7">
        <f>IF($AD341=0,0,N(#REF!)*N(INDEX(F_KLN,MATCH($C341,FA,0))))</f>
        <v>0</v>
      </c>
      <c r="AF341" s="7">
        <f>IF($AD341=0,0,N(#REF!)*N(INDEX(F_KPE,MATCH($C341,FA,0))))</f>
        <v>0</v>
      </c>
      <c r="AG341" s="7" t="e">
        <f>IF(ISNA(MATCH($C341,FA,0)),0,N(#REF!)*N(INDEX(F_MODUL,MATCH($C341,FA,0))))</f>
        <v>#REF!</v>
      </c>
      <c r="AH341" s="7" t="e">
        <f>N(#REF!)*N($I341)</f>
        <v>#REF!</v>
      </c>
      <c r="AI341" s="7" t="e">
        <f t="shared" si="94"/>
        <v>#REF!</v>
      </c>
      <c r="AJ341" s="7">
        <f t="shared" si="95"/>
        <v>0</v>
      </c>
    </row>
    <row r="342" spans="1:36" x14ac:dyDescent="0.25">
      <c r="A342" s="4" t="str">
        <f t="shared" si="89"/>
        <v>ВРУ-3 (Ввод + Секция 1) (ВРУ1-15-30)(ВРУ1-41-00А)(260922 akram aulet)</v>
      </c>
      <c r="B342" s="4" t="s">
        <v>202</v>
      </c>
      <c r="C342" s="4" t="s">
        <v>579</v>
      </c>
      <c r="D342" s="4" t="s">
        <v>580</v>
      </c>
      <c r="E342" s="4" t="s">
        <v>114</v>
      </c>
      <c r="F342" s="4" t="s">
        <v>486</v>
      </c>
      <c r="G342" s="4" t="s">
        <v>236</v>
      </c>
      <c r="H342" s="5" t="e">
        <f>#REF!</f>
        <v>#REF!</v>
      </c>
      <c r="I342" s="6" t="e">
        <f t="shared" si="90"/>
        <v>#REF!</v>
      </c>
      <c r="J342" s="6" t="s">
        <v>84</v>
      </c>
      <c r="K342" s="6" t="s">
        <v>202</v>
      </c>
      <c r="L342" s="7" t="e">
        <f t="shared" si="91"/>
        <v>#REF!</v>
      </c>
      <c r="M342" s="7" t="s">
        <v>204</v>
      </c>
      <c r="O342" s="7" t="str">
        <f>IF(OR($C342="",$C342="FID YOK"),"",IF(ISNUMBER(MATCH($C342,FA_ANA,0)),"",IF(COUNTIF($C$1:$C341,$C342)&gt;0,"",MAX($O$1:$O341)+1)))</f>
        <v/>
      </c>
      <c r="T342" s="7">
        <f>IF(ISNA(MATCH($C342,FA,0)),0,IF($J342="GIRIS",N(INDEX(F_INKOR,MATCH($C342,FA,0))),0))</f>
        <v>0</v>
      </c>
      <c r="Y342" s="7" t="e">
        <f>N(#REF!)*IF($E342="упак",MAX(1,IF(ISNA(MATCH($C342,FA,0)),1,N(INDEX(F_PAKET,MATCH($C342,FA,0))))),1)</f>
        <v>#REF!</v>
      </c>
      <c r="Z342" s="7" t="e">
        <f t="shared" si="92"/>
        <v>#REF!</v>
      </c>
      <c r="AA342" s="7">
        <f>IF(OR(ISNA(MATCH($C342,FA,0)),$J342="YEDEK",$J342="SARF"),0,N(#REF!)*N(INDEX(F_TEL,MATCH($C342,FA,0))))</f>
        <v>0</v>
      </c>
      <c r="AB342" s="7">
        <f>IF(OR(ISNA(MATCH($C342,FA,0)),$J342="YEDEK",$J342="SARF"),0,N(#REF!)*N(INDEX(F_TELM,MATCH($C342,FA,0))))</f>
        <v>0</v>
      </c>
      <c r="AC342" s="7" t="e">
        <f t="shared" si="93"/>
        <v>#REF!</v>
      </c>
      <c r="AD342" s="7">
        <f>IF(OR(ISNA(MATCH($C342,FA,0)),$J342&lt;&gt;"CIKIS"),0,N(INDEX(F_KK,MATCH($C342,FA,0))))</f>
        <v>0</v>
      </c>
      <c r="AE342" s="7">
        <f>IF($AD342=0,0,N(#REF!)*N(INDEX(F_KLN,MATCH($C342,FA,0))))</f>
        <v>0</v>
      </c>
      <c r="AF342" s="7">
        <f>IF($AD342=0,0,N(#REF!)*N(INDEX(F_KPE,MATCH($C342,FA,0))))</f>
        <v>0</v>
      </c>
      <c r="AG342" s="7" t="e">
        <f>IF(ISNA(MATCH($C342,FA,0)),0,N(#REF!)*N(INDEX(F_MODUL,MATCH($C342,FA,0))))</f>
        <v>#REF!</v>
      </c>
      <c r="AH342" s="7" t="e">
        <f>N(#REF!)*N($I342)</f>
        <v>#REF!</v>
      </c>
      <c r="AI342" s="7" t="e">
        <f t="shared" si="94"/>
        <v>#REF!</v>
      </c>
      <c r="AJ342" s="7">
        <f t="shared" si="95"/>
        <v>0</v>
      </c>
    </row>
    <row r="343" spans="1:36" x14ac:dyDescent="0.25">
      <c r="A343" s="4" t="str">
        <f t="shared" si="89"/>
        <v>ВРУ-3 (Ввод + Секция 1) (ВРУ1-15-30)(ВРУ1-41-00А)(260922 akram aulet)</v>
      </c>
      <c r="B343" s="4" t="s">
        <v>90</v>
      </c>
      <c r="C343" s="4" t="s">
        <v>518</v>
      </c>
      <c r="D343" s="4" t="s">
        <v>519</v>
      </c>
      <c r="E343" s="4" t="s">
        <v>520</v>
      </c>
      <c r="F343" s="4" t="s">
        <v>486</v>
      </c>
      <c r="G343" s="4" t="s">
        <v>236</v>
      </c>
      <c r="H343" s="5" t="e">
        <f>#REF!</f>
        <v>#REF!</v>
      </c>
      <c r="I343" s="6" t="e">
        <f t="shared" si="90"/>
        <v>#REF!</v>
      </c>
      <c r="J343" s="6" t="s">
        <v>84</v>
      </c>
      <c r="K343" s="6" t="s">
        <v>90</v>
      </c>
      <c r="L343" s="7" t="e">
        <f t="shared" si="91"/>
        <v>#REF!</v>
      </c>
      <c r="M343" s="7" t="s">
        <v>91</v>
      </c>
      <c r="O343" s="7" t="str">
        <f>IF(OR($C343="",$C343="FID YOK"),"",IF(ISNUMBER(MATCH($C343,FA_ANA,0)),"",IF(COUNTIF($C$1:$C342,$C343)&gt;0,"",MAX($O$1:$O342)+1)))</f>
        <v/>
      </c>
      <c r="T343" s="7">
        <f>IF(ISNA(MATCH($C343,FA,0)),0,IF($J343="GIRIS",N(INDEX(F_INKOR,MATCH($C343,FA,0))),0))</f>
        <v>0</v>
      </c>
      <c r="Y343" s="7" t="e">
        <f>N(#REF!)*IF($E343="упак",MAX(1,IF(ISNA(MATCH($C343,FA,0)),1,N(INDEX(F_PAKET,MATCH($C343,FA,0))))),1)</f>
        <v>#REF!</v>
      </c>
      <c r="Z343" s="7" t="e">
        <f t="shared" si="92"/>
        <v>#REF!</v>
      </c>
      <c r="AA343" s="7">
        <f>IF(OR(ISNA(MATCH($C343,FA,0)),$J343="YEDEK",$J343="SARF"),0,N(#REF!)*N(INDEX(F_TEL,MATCH($C343,FA,0))))</f>
        <v>0</v>
      </c>
      <c r="AB343" s="7">
        <f>IF(OR(ISNA(MATCH($C343,FA,0)),$J343="YEDEK",$J343="SARF"),0,N(#REF!)*N(INDEX(F_TELM,MATCH($C343,FA,0))))</f>
        <v>0</v>
      </c>
      <c r="AC343" s="7" t="e">
        <f t="shared" si="93"/>
        <v>#REF!</v>
      </c>
      <c r="AD343" s="7">
        <f>IF(OR(ISNA(MATCH($C343,FA,0)),$J343&lt;&gt;"CIKIS"),0,N(INDEX(F_KK,MATCH($C343,FA,0))))</f>
        <v>0</v>
      </c>
      <c r="AE343" s="7">
        <f>IF($AD343=0,0,N(#REF!)*N(INDEX(F_KLN,MATCH($C343,FA,0))))</f>
        <v>0</v>
      </c>
      <c r="AF343" s="7">
        <f>IF($AD343=0,0,N(#REF!)*N(INDEX(F_KPE,MATCH($C343,FA,0))))</f>
        <v>0</v>
      </c>
      <c r="AG343" s="7" t="e">
        <f>IF(ISNA(MATCH($C343,FA,0)),0,N(#REF!)*N(INDEX(F_MODUL,MATCH($C343,FA,0))))</f>
        <v>#REF!</v>
      </c>
      <c r="AH343" s="7" t="e">
        <f>N(#REF!)*N($I343)</f>
        <v>#REF!</v>
      </c>
      <c r="AI343" s="7" t="e">
        <f t="shared" si="94"/>
        <v>#REF!</v>
      </c>
      <c r="AJ343" s="7">
        <f t="shared" si="95"/>
        <v>0</v>
      </c>
    </row>
    <row r="344" spans="1:36" x14ac:dyDescent="0.25">
      <c r="A344" s="4" t="str">
        <f t="shared" si="89"/>
        <v>ВРУ-3 (Ввод + Секция 1) (ВРУ1-15-30)(ВРУ1-41-00А)(260922 akram aulet)</v>
      </c>
      <c r="B344" s="4" t="s">
        <v>92</v>
      </c>
      <c r="C344" s="4" t="s">
        <v>523</v>
      </c>
      <c r="D344" s="4" t="s">
        <v>524</v>
      </c>
      <c r="E344" s="4" t="s">
        <v>520</v>
      </c>
      <c r="F344" s="4" t="s">
        <v>521</v>
      </c>
      <c r="G344" s="4" t="s">
        <v>236</v>
      </c>
      <c r="H344" s="5" t="e">
        <f>#REF!</f>
        <v>#REF!</v>
      </c>
      <c r="I344" s="6" t="e">
        <f t="shared" si="90"/>
        <v>#REF!</v>
      </c>
      <c r="J344" s="6" t="s">
        <v>84</v>
      </c>
      <c r="K344" s="6" t="s">
        <v>92</v>
      </c>
      <c r="L344" s="7" t="e">
        <f t="shared" si="91"/>
        <v>#REF!</v>
      </c>
      <c r="M344" s="7" t="s">
        <v>93</v>
      </c>
      <c r="O344" s="7" t="str">
        <f>IF(OR($C344="",$C344="FID YOK"),"",IF(ISNUMBER(MATCH($C344,FA_ANA,0)),"",IF(COUNTIF($C$1:$C343,$C344)&gt;0,"",MAX($O$1:$O343)+1)))</f>
        <v/>
      </c>
      <c r="T344" s="7">
        <f>IF(ISNA(MATCH($C344,FA,0)),0,IF($J344="GIRIS",N(INDEX(F_INKOR,MATCH($C344,FA,0))),0))</f>
        <v>0</v>
      </c>
      <c r="Y344" s="7" t="e">
        <f>N(#REF!)*IF($E344="упак",MAX(1,IF(ISNA(MATCH($C344,FA,0)),1,N(INDEX(F_PAKET,MATCH($C344,FA,0))))),1)</f>
        <v>#REF!</v>
      </c>
      <c r="Z344" s="7" t="e">
        <f t="shared" si="92"/>
        <v>#REF!</v>
      </c>
      <c r="AA344" s="7">
        <f>IF(OR(ISNA(MATCH($C344,FA,0)),$J344="YEDEK",$J344="SARF"),0,N(#REF!)*N(INDEX(F_TEL,MATCH($C344,FA,0))))</f>
        <v>0</v>
      </c>
      <c r="AB344" s="7">
        <f>IF(OR(ISNA(MATCH($C344,FA,0)),$J344="YEDEK",$J344="SARF"),0,N(#REF!)*N(INDEX(F_TELM,MATCH($C344,FA,0))))</f>
        <v>0</v>
      </c>
      <c r="AC344" s="7" t="e">
        <f t="shared" si="93"/>
        <v>#REF!</v>
      </c>
      <c r="AD344" s="7">
        <f>IF(OR(ISNA(MATCH($C344,FA,0)),$J344&lt;&gt;"CIKIS"),0,N(INDEX(F_KK,MATCH($C344,FA,0))))</f>
        <v>0</v>
      </c>
      <c r="AE344" s="7">
        <f>IF($AD344=0,0,N(#REF!)*N(INDEX(F_KLN,MATCH($C344,FA,0))))</f>
        <v>0</v>
      </c>
      <c r="AF344" s="7">
        <f>IF($AD344=0,0,N(#REF!)*N(INDEX(F_KPE,MATCH($C344,FA,0))))</f>
        <v>0</v>
      </c>
      <c r="AG344" s="7" t="e">
        <f>IF(ISNA(MATCH($C344,FA,0)),0,N(#REF!)*N(INDEX(F_MODUL,MATCH($C344,FA,0))))</f>
        <v>#REF!</v>
      </c>
      <c r="AH344" s="7" t="e">
        <f>N(#REF!)*N($I344)</f>
        <v>#REF!</v>
      </c>
      <c r="AI344" s="7" t="e">
        <f t="shared" si="94"/>
        <v>#REF!</v>
      </c>
      <c r="AJ344" s="7">
        <f t="shared" si="95"/>
        <v>0</v>
      </c>
    </row>
    <row r="345" spans="1:36" x14ac:dyDescent="0.25">
      <c r="A345" s="4" t="str">
        <f t="shared" si="89"/>
        <v>ВРУ-3 (Ввод + Секция 1) (ВРУ1-15-30)(ВРУ1-41-00А)(260922 akram aulet)</v>
      </c>
      <c r="B345" s="4" t="s">
        <v>92</v>
      </c>
      <c r="C345" s="4" t="s">
        <v>527</v>
      </c>
      <c r="D345" s="4" t="s">
        <v>528</v>
      </c>
      <c r="E345" s="4" t="s">
        <v>520</v>
      </c>
      <c r="F345" s="4" t="s">
        <v>521</v>
      </c>
      <c r="G345" s="4" t="s">
        <v>236</v>
      </c>
      <c r="H345" s="5" t="e">
        <f>#REF!</f>
        <v>#REF!</v>
      </c>
      <c r="I345" s="6" t="e">
        <f t="shared" si="90"/>
        <v>#REF!</v>
      </c>
      <c r="J345" s="6" t="s">
        <v>84</v>
      </c>
      <c r="K345" s="6" t="s">
        <v>92</v>
      </c>
      <c r="L345" s="7" t="e">
        <f t="shared" si="91"/>
        <v>#REF!</v>
      </c>
      <c r="M345" s="7" t="s">
        <v>94</v>
      </c>
      <c r="O345" s="7" t="str">
        <f>IF(OR($C345="",$C345="FID YOK"),"",IF(ISNUMBER(MATCH($C345,FA_ANA,0)),"",IF(COUNTIF($C$1:$C344,$C345)&gt;0,"",MAX($O$1:$O344)+1)))</f>
        <v/>
      </c>
      <c r="T345" s="7">
        <f>IF(ISNA(MATCH($C345,FA,0)),0,IF($J345="GIRIS",N(INDEX(F_INKOR,MATCH($C345,FA,0))),0))</f>
        <v>0</v>
      </c>
      <c r="Y345" s="7" t="e">
        <f>N(#REF!)*IF($E345="упак",MAX(1,IF(ISNA(MATCH($C345,FA,0)),1,N(INDEX(F_PAKET,MATCH($C345,FA,0))))),1)</f>
        <v>#REF!</v>
      </c>
      <c r="Z345" s="7" t="e">
        <f t="shared" si="92"/>
        <v>#REF!</v>
      </c>
      <c r="AA345" s="7">
        <f>IF(OR(ISNA(MATCH($C345,FA,0)),$J345="YEDEK",$J345="SARF"),0,N(#REF!)*N(INDEX(F_TEL,MATCH($C345,FA,0))))</f>
        <v>0</v>
      </c>
      <c r="AB345" s="7">
        <f>IF(OR(ISNA(MATCH($C345,FA,0)),$J345="YEDEK",$J345="SARF"),0,N(#REF!)*N(INDEX(F_TELM,MATCH($C345,FA,0))))</f>
        <v>0</v>
      </c>
      <c r="AC345" s="7" t="e">
        <f t="shared" si="93"/>
        <v>#REF!</v>
      </c>
      <c r="AD345" s="7">
        <f>IF(OR(ISNA(MATCH($C345,FA,0)),$J345&lt;&gt;"CIKIS"),0,N(INDEX(F_KK,MATCH($C345,FA,0))))</f>
        <v>0</v>
      </c>
      <c r="AE345" s="7">
        <f>IF($AD345=0,0,N(#REF!)*N(INDEX(F_KLN,MATCH($C345,FA,0))))</f>
        <v>0</v>
      </c>
      <c r="AF345" s="7">
        <f>IF($AD345=0,0,N(#REF!)*N(INDEX(F_KPE,MATCH($C345,FA,0))))</f>
        <v>0</v>
      </c>
      <c r="AG345" s="7" t="e">
        <f>IF(ISNA(MATCH($C345,FA,0)),0,N(#REF!)*N(INDEX(F_MODUL,MATCH($C345,FA,0))))</f>
        <v>#REF!</v>
      </c>
      <c r="AH345" s="7" t="e">
        <f>N(#REF!)*N($I345)</f>
        <v>#REF!</v>
      </c>
      <c r="AI345" s="7" t="e">
        <f t="shared" si="94"/>
        <v>#REF!</v>
      </c>
      <c r="AJ345" s="7">
        <f t="shared" si="95"/>
        <v>0</v>
      </c>
    </row>
    <row r="346" spans="1:36" x14ac:dyDescent="0.25">
      <c r="A346" s="4" t="str">
        <f t="shared" si="89"/>
        <v>ВРУ-3 (Ввод + Секция 1) (ВРУ1-15-30)(ВРУ1-41-00А)(260922 akram aulet)</v>
      </c>
      <c r="B346" s="4" t="s">
        <v>92</v>
      </c>
      <c r="C346" s="4" t="s">
        <v>531</v>
      </c>
      <c r="D346" s="4" t="s">
        <v>532</v>
      </c>
      <c r="E346" s="4" t="s">
        <v>520</v>
      </c>
      <c r="F346" s="4" t="s">
        <v>521</v>
      </c>
      <c r="G346" s="4" t="s">
        <v>236</v>
      </c>
      <c r="H346" s="5" t="e">
        <f>#REF!</f>
        <v>#REF!</v>
      </c>
      <c r="I346" s="6" t="e">
        <f t="shared" si="90"/>
        <v>#REF!</v>
      </c>
      <c r="J346" s="6" t="s">
        <v>84</v>
      </c>
      <c r="K346" s="6" t="s">
        <v>92</v>
      </c>
      <c r="L346" s="7" t="e">
        <f t="shared" si="91"/>
        <v>#REF!</v>
      </c>
      <c r="M346" s="7" t="s">
        <v>95</v>
      </c>
      <c r="O346" s="7" t="str">
        <f>IF(OR($C346="",$C346="FID YOK"),"",IF(ISNUMBER(MATCH($C346,FA_ANA,0)),"",IF(COUNTIF($C$1:$C345,$C346)&gt;0,"",MAX($O$1:$O345)+1)))</f>
        <v/>
      </c>
      <c r="T346" s="7">
        <f>IF(ISNA(MATCH($C346,FA,0)),0,IF($J346="GIRIS",N(INDEX(F_INKOR,MATCH($C346,FA,0))),0))</f>
        <v>0</v>
      </c>
      <c r="Y346" s="7" t="e">
        <f>N(#REF!)*IF($E346="упак",MAX(1,IF(ISNA(MATCH($C346,FA,0)),1,N(INDEX(F_PAKET,MATCH($C346,FA,0))))),1)</f>
        <v>#REF!</v>
      </c>
      <c r="Z346" s="7" t="e">
        <f t="shared" si="92"/>
        <v>#REF!</v>
      </c>
      <c r="AA346" s="7">
        <f>IF(OR(ISNA(MATCH($C346,FA,0)),$J346="YEDEK",$J346="SARF"),0,N(#REF!)*N(INDEX(F_TEL,MATCH($C346,FA,0))))</f>
        <v>0</v>
      </c>
      <c r="AB346" s="7">
        <f>IF(OR(ISNA(MATCH($C346,FA,0)),$J346="YEDEK",$J346="SARF"),0,N(#REF!)*N(INDEX(F_TELM,MATCH($C346,FA,0))))</f>
        <v>0</v>
      </c>
      <c r="AC346" s="7" t="e">
        <f t="shared" si="93"/>
        <v>#REF!</v>
      </c>
      <c r="AD346" s="7">
        <f>IF(OR(ISNA(MATCH($C346,FA,0)),$J346&lt;&gt;"CIKIS"),0,N(INDEX(F_KK,MATCH($C346,FA,0))))</f>
        <v>0</v>
      </c>
      <c r="AE346" s="7">
        <f>IF($AD346=0,0,N(#REF!)*N(INDEX(F_KLN,MATCH($C346,FA,0))))</f>
        <v>0</v>
      </c>
      <c r="AF346" s="7">
        <f>IF($AD346=0,0,N(#REF!)*N(INDEX(F_KPE,MATCH($C346,FA,0))))</f>
        <v>0</v>
      </c>
      <c r="AG346" s="7" t="e">
        <f>IF(ISNA(MATCH($C346,FA,0)),0,N(#REF!)*N(INDEX(F_MODUL,MATCH($C346,FA,0))))</f>
        <v>#REF!</v>
      </c>
      <c r="AH346" s="7" t="e">
        <f>N(#REF!)*N($I346)</f>
        <v>#REF!</v>
      </c>
      <c r="AI346" s="7" t="e">
        <f t="shared" si="94"/>
        <v>#REF!</v>
      </c>
      <c r="AJ346" s="7">
        <f t="shared" si="95"/>
        <v>0</v>
      </c>
    </row>
    <row r="347" spans="1:36" x14ac:dyDescent="0.25">
      <c r="A347" s="4" t="str">
        <f t="shared" si="89"/>
        <v>ВРУ-3 (Ввод + Секция 1) (ВРУ1-15-30)(ВРУ1-41-00А)(260922 akram aulet)</v>
      </c>
      <c r="B347" s="4" t="s">
        <v>92</v>
      </c>
      <c r="C347" s="4" t="s">
        <v>535</v>
      </c>
      <c r="D347" s="4" t="s">
        <v>536</v>
      </c>
      <c r="E347" s="4" t="s">
        <v>520</v>
      </c>
      <c r="F347" s="4" t="s">
        <v>521</v>
      </c>
      <c r="G347" s="4" t="s">
        <v>236</v>
      </c>
      <c r="H347" s="5" t="e">
        <f>#REF!</f>
        <v>#REF!</v>
      </c>
      <c r="I347" s="6" t="e">
        <f t="shared" si="90"/>
        <v>#REF!</v>
      </c>
      <c r="J347" s="6" t="s">
        <v>84</v>
      </c>
      <c r="K347" s="6" t="s">
        <v>92</v>
      </c>
      <c r="L347" s="7" t="e">
        <f t="shared" si="91"/>
        <v>#REF!</v>
      </c>
      <c r="M347" s="7" t="s">
        <v>130</v>
      </c>
      <c r="O347" s="7" t="str">
        <f>IF(OR($C347="",$C347="FID YOK"),"",IF(ISNUMBER(MATCH($C347,FA_ANA,0)),"",IF(COUNTIF($C$1:$C346,$C347)&gt;0,"",MAX($O$1:$O346)+1)))</f>
        <v/>
      </c>
      <c r="T347" s="7">
        <f>IF(ISNA(MATCH($C347,FA,0)),0,IF($J347="GIRIS",N(INDEX(F_INKOR,MATCH($C347,FA,0))),0))</f>
        <v>0</v>
      </c>
      <c r="Y347" s="7" t="e">
        <f>N(#REF!)*IF($E347="упак",MAX(1,IF(ISNA(MATCH($C347,FA,0)),1,N(INDEX(F_PAKET,MATCH($C347,FA,0))))),1)</f>
        <v>#REF!</v>
      </c>
      <c r="Z347" s="7" t="e">
        <f t="shared" si="92"/>
        <v>#REF!</v>
      </c>
      <c r="AA347" s="7">
        <f>IF(OR(ISNA(MATCH($C347,FA,0)),$J347="YEDEK",$J347="SARF"),0,N(#REF!)*N(INDEX(F_TEL,MATCH($C347,FA,0))))</f>
        <v>0</v>
      </c>
      <c r="AB347" s="7">
        <f>IF(OR(ISNA(MATCH($C347,FA,0)),$J347="YEDEK",$J347="SARF"),0,N(#REF!)*N(INDEX(F_TELM,MATCH($C347,FA,0))))</f>
        <v>0</v>
      </c>
      <c r="AC347" s="7" t="e">
        <f t="shared" si="93"/>
        <v>#REF!</v>
      </c>
      <c r="AD347" s="7">
        <f>IF(OR(ISNA(MATCH($C347,FA,0)),$J347&lt;&gt;"CIKIS"),0,N(INDEX(F_KK,MATCH($C347,FA,0))))</f>
        <v>0</v>
      </c>
      <c r="AE347" s="7">
        <f>IF($AD347=0,0,N(#REF!)*N(INDEX(F_KLN,MATCH($C347,FA,0))))</f>
        <v>0</v>
      </c>
      <c r="AF347" s="7">
        <f>IF($AD347=0,0,N(#REF!)*N(INDEX(F_KPE,MATCH($C347,FA,0))))</f>
        <v>0</v>
      </c>
      <c r="AG347" s="7" t="e">
        <f>IF(ISNA(MATCH($C347,FA,0)),0,N(#REF!)*N(INDEX(F_MODUL,MATCH($C347,FA,0))))</f>
        <v>#REF!</v>
      </c>
      <c r="AH347" s="7" t="e">
        <f>N(#REF!)*N($I347)</f>
        <v>#REF!</v>
      </c>
      <c r="AI347" s="7" t="e">
        <f t="shared" si="94"/>
        <v>#REF!</v>
      </c>
      <c r="AJ347" s="7">
        <f t="shared" si="95"/>
        <v>0</v>
      </c>
    </row>
    <row r="348" spans="1:36" x14ac:dyDescent="0.25">
      <c r="A348" s="4" t="str">
        <f t="shared" si="89"/>
        <v>ВРУ-3 (Ввод + Секция 1) (ВРУ1-15-30)(ВРУ1-41-00А)(260922 akram aulet)</v>
      </c>
      <c r="B348" s="4" t="s">
        <v>92</v>
      </c>
      <c r="C348" s="4" t="s">
        <v>551</v>
      </c>
      <c r="D348" s="4" t="s">
        <v>552</v>
      </c>
      <c r="E348" s="4" t="s">
        <v>520</v>
      </c>
      <c r="F348" s="4" t="s">
        <v>521</v>
      </c>
      <c r="G348" s="4" t="s">
        <v>236</v>
      </c>
      <c r="H348" s="5" t="e">
        <f>#REF!</f>
        <v>#REF!</v>
      </c>
      <c r="I348" s="6" t="e">
        <f t="shared" si="90"/>
        <v>#REF!</v>
      </c>
      <c r="J348" s="6" t="s">
        <v>84</v>
      </c>
      <c r="K348" s="6" t="s">
        <v>92</v>
      </c>
      <c r="L348" s="7" t="e">
        <f t="shared" si="91"/>
        <v>#REF!</v>
      </c>
      <c r="M348" s="7" t="s">
        <v>97</v>
      </c>
      <c r="O348" s="7" t="str">
        <f>IF(OR($C348="",$C348="FID YOK"),"",IF(ISNUMBER(MATCH($C348,FA_ANA,0)),"",IF(COUNTIF($C$1:$C347,$C348)&gt;0,"",MAX($O$1:$O347)+1)))</f>
        <v/>
      </c>
      <c r="T348" s="7">
        <f>IF(ISNA(MATCH($C348,FA,0)),0,IF($J348="GIRIS",N(INDEX(F_INKOR,MATCH($C348,FA,0))),0))</f>
        <v>0</v>
      </c>
      <c r="Y348" s="7" t="e">
        <f>N(#REF!)*IF($E348="упак",MAX(1,IF(ISNA(MATCH($C348,FA,0)),1,N(INDEX(F_PAKET,MATCH($C348,FA,0))))),1)</f>
        <v>#REF!</v>
      </c>
      <c r="Z348" s="7" t="e">
        <f t="shared" si="92"/>
        <v>#REF!</v>
      </c>
      <c r="AA348" s="7">
        <f>IF(OR(ISNA(MATCH($C348,FA,0)),$J348="YEDEK",$J348="SARF"),0,N(#REF!)*N(INDEX(F_TEL,MATCH($C348,FA,0))))</f>
        <v>0</v>
      </c>
      <c r="AB348" s="7">
        <f>IF(OR(ISNA(MATCH($C348,FA,0)),$J348="YEDEK",$J348="SARF"),0,N(#REF!)*N(INDEX(F_TELM,MATCH($C348,FA,0))))</f>
        <v>0</v>
      </c>
      <c r="AC348" s="7" t="e">
        <f t="shared" si="93"/>
        <v>#REF!</v>
      </c>
      <c r="AD348" s="7">
        <f>IF(OR(ISNA(MATCH($C348,FA,0)),$J348&lt;&gt;"CIKIS"),0,N(INDEX(F_KK,MATCH($C348,FA,0))))</f>
        <v>0</v>
      </c>
      <c r="AE348" s="7">
        <f>IF($AD348=0,0,N(#REF!)*N(INDEX(F_KLN,MATCH($C348,FA,0))))</f>
        <v>0</v>
      </c>
      <c r="AF348" s="7">
        <f>IF($AD348=0,0,N(#REF!)*N(INDEX(F_KPE,MATCH($C348,FA,0))))</f>
        <v>0</v>
      </c>
      <c r="AG348" s="7" t="e">
        <f>IF(ISNA(MATCH($C348,FA,0)),0,N(#REF!)*N(INDEX(F_MODUL,MATCH($C348,FA,0))))</f>
        <v>#REF!</v>
      </c>
      <c r="AH348" s="7" t="e">
        <f>N(#REF!)*N($I348)</f>
        <v>#REF!</v>
      </c>
      <c r="AI348" s="7" t="e">
        <f t="shared" si="94"/>
        <v>#REF!</v>
      </c>
      <c r="AJ348" s="7">
        <f t="shared" si="95"/>
        <v>0</v>
      </c>
    </row>
    <row r="349" spans="1:36" x14ac:dyDescent="0.25">
      <c r="A349" s="4" t="str">
        <f t="shared" si="89"/>
        <v>ВРУ-3 (Ввод + Секция 1) (ВРУ1-15-30)(ВРУ1-41-00А)(260922 akram aulet)</v>
      </c>
      <c r="B349" s="4" t="s">
        <v>92</v>
      </c>
      <c r="C349" s="4" t="s">
        <v>535</v>
      </c>
      <c r="D349" s="4" t="s">
        <v>536</v>
      </c>
      <c r="E349" s="4" t="s">
        <v>520</v>
      </c>
      <c r="F349" s="4" t="s">
        <v>521</v>
      </c>
      <c r="G349" s="4" t="s">
        <v>236</v>
      </c>
      <c r="H349" s="5" t="e">
        <f>#REF!</f>
        <v>#REF!</v>
      </c>
      <c r="I349" s="6" t="e">
        <f t="shared" si="90"/>
        <v>#REF!</v>
      </c>
      <c r="J349" s="6" t="s">
        <v>84</v>
      </c>
      <c r="K349" s="6" t="s">
        <v>92</v>
      </c>
      <c r="L349" s="7" t="e">
        <f t="shared" si="91"/>
        <v>#REF!</v>
      </c>
      <c r="M349" s="7" t="s">
        <v>100</v>
      </c>
      <c r="O349" s="7" t="str">
        <f>IF(OR($C349="",$C349="FID YOK"),"",IF(ISNUMBER(MATCH($C349,FA_ANA,0)),"",IF(COUNTIF($C$1:$C348,$C349)&gt;0,"",MAX($O$1:$O348)+1)))</f>
        <v/>
      </c>
      <c r="T349" s="7">
        <f>IF(ISNA(MATCH($C349,FA,0)),0,IF($J349="GIRIS",N(INDEX(F_INKOR,MATCH($C349,FA,0))),0))</f>
        <v>0</v>
      </c>
      <c r="Y349" s="7" t="e">
        <f>N(#REF!)*IF($E349="упак",MAX(1,IF(ISNA(MATCH($C349,FA,0)),1,N(INDEX(F_PAKET,MATCH($C349,FA,0))))),1)</f>
        <v>#REF!</v>
      </c>
      <c r="Z349" s="7" t="e">
        <f t="shared" si="92"/>
        <v>#REF!</v>
      </c>
      <c r="AA349" s="7">
        <f>IF(OR(ISNA(MATCH($C349,FA,0)),$J349="YEDEK",$J349="SARF"),0,N(#REF!)*N(INDEX(F_TEL,MATCH($C349,FA,0))))</f>
        <v>0</v>
      </c>
      <c r="AB349" s="7">
        <f>IF(OR(ISNA(MATCH($C349,FA,0)),$J349="YEDEK",$J349="SARF"),0,N(#REF!)*N(INDEX(F_TELM,MATCH($C349,FA,0))))</f>
        <v>0</v>
      </c>
      <c r="AC349" s="7" t="e">
        <f t="shared" si="93"/>
        <v>#REF!</v>
      </c>
      <c r="AD349" s="7">
        <f>IF(OR(ISNA(MATCH($C349,FA,0)),$J349&lt;&gt;"CIKIS"),0,N(INDEX(F_KK,MATCH($C349,FA,0))))</f>
        <v>0</v>
      </c>
      <c r="AE349" s="7">
        <f>IF($AD349=0,0,N(#REF!)*N(INDEX(F_KLN,MATCH($C349,FA,0))))</f>
        <v>0</v>
      </c>
      <c r="AF349" s="7">
        <f>IF($AD349=0,0,N(#REF!)*N(INDEX(F_KPE,MATCH($C349,FA,0))))</f>
        <v>0</v>
      </c>
      <c r="AG349" s="7" t="e">
        <f>IF(ISNA(MATCH($C349,FA,0)),0,N(#REF!)*N(INDEX(F_MODUL,MATCH($C349,FA,0))))</f>
        <v>#REF!</v>
      </c>
      <c r="AH349" s="7" t="e">
        <f>N(#REF!)*N($I349)</f>
        <v>#REF!</v>
      </c>
      <c r="AI349" s="7" t="e">
        <f t="shared" si="94"/>
        <v>#REF!</v>
      </c>
      <c r="AJ349" s="7">
        <f t="shared" si="95"/>
        <v>0</v>
      </c>
    </row>
    <row r="350" spans="1:36" x14ac:dyDescent="0.25">
      <c r="A350" s="4" t="str">
        <f t="shared" si="89"/>
        <v>ВРУ-3 (Ввод + Секция 1) (ВРУ1-15-30)(ВРУ1-41-00А)(260922 akram aulet)</v>
      </c>
      <c r="B350" s="4" t="s">
        <v>101</v>
      </c>
      <c r="C350" s="4" t="s">
        <v>525</v>
      </c>
      <c r="D350" s="4" t="s">
        <v>526</v>
      </c>
      <c r="E350" s="4" t="s">
        <v>522</v>
      </c>
      <c r="F350" s="4" t="s">
        <v>486</v>
      </c>
      <c r="G350" s="4" t="s">
        <v>236</v>
      </c>
      <c r="H350" s="5" t="e">
        <f>#REF!</f>
        <v>#REF!</v>
      </c>
      <c r="I350" s="6" t="e">
        <f t="shared" si="90"/>
        <v>#REF!</v>
      </c>
      <c r="J350" s="6" t="s">
        <v>84</v>
      </c>
      <c r="K350" s="6" t="s">
        <v>101</v>
      </c>
      <c r="L350" s="7" t="e">
        <f t="shared" si="91"/>
        <v>#REF!</v>
      </c>
      <c r="M350" s="7" t="s">
        <v>102</v>
      </c>
      <c r="O350" s="7" t="str">
        <f>IF(OR($C350="",$C350="FID YOK"),"",IF(ISNUMBER(MATCH($C350,FA_ANA,0)),"",IF(COUNTIF($C$1:$C349,$C350)&gt;0,"",MAX($O$1:$O349)+1)))</f>
        <v/>
      </c>
      <c r="T350" s="7">
        <f>IF(ISNA(MATCH($C350,FA,0)),0,IF($J350="GIRIS",N(INDEX(F_INKOR,MATCH($C350,FA,0))),0))</f>
        <v>0</v>
      </c>
      <c r="Y350" s="7" t="e">
        <f>N(#REF!)*IF($E350="упак",MAX(1,IF(ISNA(MATCH($C350,FA,0)),1,N(INDEX(F_PAKET,MATCH($C350,FA,0))))),1)</f>
        <v>#REF!</v>
      </c>
      <c r="Z350" s="7" t="e">
        <f t="shared" si="92"/>
        <v>#REF!</v>
      </c>
      <c r="AA350" s="7">
        <f>IF(OR(ISNA(MATCH($C350,FA,0)),$J350="YEDEK",$J350="SARF"),0,N(#REF!)*N(INDEX(F_TEL,MATCH($C350,FA,0))))</f>
        <v>0</v>
      </c>
      <c r="AB350" s="7">
        <f>IF(OR(ISNA(MATCH($C350,FA,0)),$J350="YEDEK",$J350="SARF"),0,N(#REF!)*N(INDEX(F_TELM,MATCH($C350,FA,0))))</f>
        <v>0</v>
      </c>
      <c r="AC350" s="7" t="e">
        <f t="shared" si="93"/>
        <v>#REF!</v>
      </c>
      <c r="AD350" s="7">
        <f>IF(OR(ISNA(MATCH($C350,FA,0)),$J350&lt;&gt;"CIKIS"),0,N(INDEX(F_KK,MATCH($C350,FA,0))))</f>
        <v>0</v>
      </c>
      <c r="AE350" s="7">
        <f>IF($AD350=0,0,N(#REF!)*N(INDEX(F_KLN,MATCH($C350,FA,0))))</f>
        <v>0</v>
      </c>
      <c r="AF350" s="7">
        <f>IF($AD350=0,0,N(#REF!)*N(INDEX(F_KPE,MATCH($C350,FA,0))))</f>
        <v>0</v>
      </c>
      <c r="AG350" s="7" t="e">
        <f>IF(ISNA(MATCH($C350,FA,0)),0,N(#REF!)*N(INDEX(F_MODUL,MATCH($C350,FA,0))))</f>
        <v>#REF!</v>
      </c>
      <c r="AH350" s="7" t="e">
        <f>N(#REF!)*N($I350)</f>
        <v>#REF!</v>
      </c>
      <c r="AI350" s="7" t="e">
        <f t="shared" si="94"/>
        <v>#REF!</v>
      </c>
      <c r="AJ350" s="7">
        <f t="shared" si="95"/>
        <v>0</v>
      </c>
    </row>
    <row r="351" spans="1:36" x14ac:dyDescent="0.25">
      <c r="A351" s="4" t="str">
        <f t="shared" si="89"/>
        <v>ВРУ-3 (Ввод + Секция 1) (ВРУ1-15-30)(ВРУ1-41-00А)(260922 akram aulet)</v>
      </c>
      <c r="B351" s="4" t="s">
        <v>101</v>
      </c>
      <c r="C351" s="4" t="s">
        <v>529</v>
      </c>
      <c r="D351" s="4" t="s">
        <v>530</v>
      </c>
      <c r="E351" s="4" t="s">
        <v>522</v>
      </c>
      <c r="F351" s="4" t="s">
        <v>486</v>
      </c>
      <c r="G351" s="4" t="s">
        <v>236</v>
      </c>
      <c r="H351" s="5" t="e">
        <f>#REF!</f>
        <v>#REF!</v>
      </c>
      <c r="I351" s="6" t="e">
        <f t="shared" si="90"/>
        <v>#REF!</v>
      </c>
      <c r="J351" s="6" t="s">
        <v>84</v>
      </c>
      <c r="K351" s="6" t="s">
        <v>101</v>
      </c>
      <c r="L351" s="7" t="e">
        <f t="shared" si="91"/>
        <v>#REF!</v>
      </c>
      <c r="M351" s="7" t="s">
        <v>103</v>
      </c>
      <c r="O351" s="7" t="str">
        <f>IF(OR($C351="",$C351="FID YOK"),"",IF(ISNUMBER(MATCH($C351,FA_ANA,0)),"",IF(COUNTIF($C$1:$C350,$C351)&gt;0,"",MAX($O$1:$O350)+1)))</f>
        <v/>
      </c>
      <c r="T351" s="7">
        <f>IF(ISNA(MATCH($C351,FA,0)),0,IF($J351="GIRIS",N(INDEX(F_INKOR,MATCH($C351,FA,0))),0))</f>
        <v>0</v>
      </c>
      <c r="Y351" s="7" t="e">
        <f>N(#REF!)*IF($E351="упак",MAX(1,IF(ISNA(MATCH($C351,FA,0)),1,N(INDEX(F_PAKET,MATCH($C351,FA,0))))),1)</f>
        <v>#REF!</v>
      </c>
      <c r="Z351" s="7" t="e">
        <f t="shared" si="92"/>
        <v>#REF!</v>
      </c>
      <c r="AA351" s="7">
        <f>IF(OR(ISNA(MATCH($C351,FA,0)),$J351="YEDEK",$J351="SARF"),0,N(#REF!)*N(INDEX(F_TEL,MATCH($C351,FA,0))))</f>
        <v>0</v>
      </c>
      <c r="AB351" s="7">
        <f>IF(OR(ISNA(MATCH($C351,FA,0)),$J351="YEDEK",$J351="SARF"),0,N(#REF!)*N(INDEX(F_TELM,MATCH($C351,FA,0))))</f>
        <v>0</v>
      </c>
      <c r="AC351" s="7" t="e">
        <f t="shared" si="93"/>
        <v>#REF!</v>
      </c>
      <c r="AD351" s="7">
        <f>IF(OR(ISNA(MATCH($C351,FA,0)),$J351&lt;&gt;"CIKIS"),0,N(INDEX(F_KK,MATCH($C351,FA,0))))</f>
        <v>0</v>
      </c>
      <c r="AE351" s="7">
        <f>IF($AD351=0,0,N(#REF!)*N(INDEX(F_KLN,MATCH($C351,FA,0))))</f>
        <v>0</v>
      </c>
      <c r="AF351" s="7">
        <f>IF($AD351=0,0,N(#REF!)*N(INDEX(F_KPE,MATCH($C351,FA,0))))</f>
        <v>0</v>
      </c>
      <c r="AG351" s="7" t="e">
        <f>IF(ISNA(MATCH($C351,FA,0)),0,N(#REF!)*N(INDEX(F_MODUL,MATCH($C351,FA,0))))</f>
        <v>#REF!</v>
      </c>
      <c r="AH351" s="7" t="e">
        <f>N(#REF!)*N($I351)</f>
        <v>#REF!</v>
      </c>
      <c r="AI351" s="7" t="e">
        <f t="shared" si="94"/>
        <v>#REF!</v>
      </c>
      <c r="AJ351" s="7">
        <f t="shared" si="95"/>
        <v>0</v>
      </c>
    </row>
    <row r="352" spans="1:36" x14ac:dyDescent="0.25">
      <c r="A352" s="4" t="str">
        <f t="shared" si="89"/>
        <v>ВРУ-3 (Ввод + Секция 1) (ВРУ1-15-30)(ВРУ1-41-00А)(260922 akram aulet)</v>
      </c>
      <c r="B352" s="4" t="s">
        <v>101</v>
      </c>
      <c r="C352" s="4" t="s">
        <v>533</v>
      </c>
      <c r="D352" s="4" t="s">
        <v>534</v>
      </c>
      <c r="E352" s="4" t="s">
        <v>522</v>
      </c>
      <c r="F352" s="4" t="s">
        <v>486</v>
      </c>
      <c r="G352" s="4" t="s">
        <v>236</v>
      </c>
      <c r="H352" s="5" t="e">
        <f>#REF!</f>
        <v>#REF!</v>
      </c>
      <c r="I352" s="6" t="e">
        <f t="shared" si="90"/>
        <v>#REF!</v>
      </c>
      <c r="J352" s="6" t="s">
        <v>84</v>
      </c>
      <c r="K352" s="6" t="s">
        <v>101</v>
      </c>
      <c r="L352" s="7" t="e">
        <f t="shared" si="91"/>
        <v>#REF!</v>
      </c>
      <c r="M352" s="7" t="s">
        <v>104</v>
      </c>
      <c r="O352" s="7" t="str">
        <f>IF(OR($C352="",$C352="FID YOK"),"",IF(ISNUMBER(MATCH($C352,FA_ANA,0)),"",IF(COUNTIF($C$1:$C351,$C352)&gt;0,"",MAX($O$1:$O351)+1)))</f>
        <v/>
      </c>
      <c r="T352" s="7">
        <f>IF(ISNA(MATCH($C352,FA,0)),0,IF($J352="GIRIS",N(INDEX(F_INKOR,MATCH($C352,FA,0))),0))</f>
        <v>0</v>
      </c>
      <c r="Y352" s="7" t="e">
        <f>N(#REF!)*IF($E352="упак",MAX(1,IF(ISNA(MATCH($C352,FA,0)),1,N(INDEX(F_PAKET,MATCH($C352,FA,0))))),1)</f>
        <v>#REF!</v>
      </c>
      <c r="Z352" s="7" t="e">
        <f t="shared" si="92"/>
        <v>#REF!</v>
      </c>
      <c r="AA352" s="7">
        <f>IF(OR(ISNA(MATCH($C352,FA,0)),$J352="YEDEK",$J352="SARF"),0,N(#REF!)*N(INDEX(F_TEL,MATCH($C352,FA,0))))</f>
        <v>0</v>
      </c>
      <c r="AB352" s="7">
        <f>IF(OR(ISNA(MATCH($C352,FA,0)),$J352="YEDEK",$J352="SARF"),0,N(#REF!)*N(INDEX(F_TELM,MATCH($C352,FA,0))))</f>
        <v>0</v>
      </c>
      <c r="AC352" s="7" t="e">
        <f t="shared" si="93"/>
        <v>#REF!</v>
      </c>
      <c r="AD352" s="7">
        <f>IF(OR(ISNA(MATCH($C352,FA,0)),$J352&lt;&gt;"CIKIS"),0,N(INDEX(F_KK,MATCH($C352,FA,0))))</f>
        <v>0</v>
      </c>
      <c r="AE352" s="7">
        <f>IF($AD352=0,0,N(#REF!)*N(INDEX(F_KLN,MATCH($C352,FA,0))))</f>
        <v>0</v>
      </c>
      <c r="AF352" s="7">
        <f>IF($AD352=0,0,N(#REF!)*N(INDEX(F_KPE,MATCH($C352,FA,0))))</f>
        <v>0</v>
      </c>
      <c r="AG352" s="7" t="e">
        <f>IF(ISNA(MATCH($C352,FA,0)),0,N(#REF!)*N(INDEX(F_MODUL,MATCH($C352,FA,0))))</f>
        <v>#REF!</v>
      </c>
      <c r="AH352" s="7" t="e">
        <f>N(#REF!)*N($I352)</f>
        <v>#REF!</v>
      </c>
      <c r="AI352" s="7" t="e">
        <f t="shared" si="94"/>
        <v>#REF!</v>
      </c>
      <c r="AJ352" s="7">
        <f t="shared" si="95"/>
        <v>0</v>
      </c>
    </row>
    <row r="353" spans="1:36" x14ac:dyDescent="0.25">
      <c r="A353" s="4" t="e">
        <f>#REF!</f>
        <v>#REF!</v>
      </c>
      <c r="B353" s="4" t="s">
        <v>105</v>
      </c>
      <c r="C353" s="4" t="s">
        <v>539</v>
      </c>
      <c r="D353" s="4" t="s">
        <v>540</v>
      </c>
      <c r="E353" s="4" t="s">
        <v>114</v>
      </c>
      <c r="F353" s="4" t="s">
        <v>486</v>
      </c>
      <c r="G353" s="4" t="s">
        <v>236</v>
      </c>
      <c r="H353" s="5" t="e">
        <f>#REF!</f>
        <v>#REF!</v>
      </c>
      <c r="I353" s="6" t="e">
        <f>#REF!</f>
        <v>#REF!</v>
      </c>
      <c r="J353" s="6" t="s">
        <v>84</v>
      </c>
      <c r="K353" s="6" t="s">
        <v>105</v>
      </c>
      <c r="L353" s="7" t="e">
        <f t="shared" si="91"/>
        <v>#REF!</v>
      </c>
      <c r="M353" s="7" t="s">
        <v>133</v>
      </c>
      <c r="O353" s="7" t="str">
        <f>IF(OR($C353="",$C353="FID YOK"),"",IF(ISNUMBER(MATCH($C353,FA_ANA,0)),"",IF(COUNTIF($C$1:$C352,$C353)&gt;0,"",MAX($O$1:$O352)+1)))</f>
        <v/>
      </c>
      <c r="T353" s="7">
        <f>IF(ISNA(MATCH($C353,FA,0)),0,IF($J353="GIRIS",N(INDEX(F_INKOR,MATCH($C353,FA,0))),0))</f>
        <v>0</v>
      </c>
      <c r="Y353" s="7" t="e">
        <f>N(#REF!)*IF($E353="упак",MAX(1,IF(ISNA(MATCH($C353,FA,0)),1,N(INDEX(F_PAKET,MATCH($C353,FA,0))))),1)</f>
        <v>#REF!</v>
      </c>
      <c r="Z353" s="7" t="e">
        <f t="shared" si="92"/>
        <v>#REF!</v>
      </c>
      <c r="AA353" s="7">
        <f>IF(OR(ISNA(MATCH($C353,FA,0)),$J353="YEDEK",$J353="SARF"),0,N(#REF!)*N(INDEX(F_TEL,MATCH($C353,FA,0))))</f>
        <v>0</v>
      </c>
      <c r="AB353" s="7">
        <f>IF(OR(ISNA(MATCH($C353,FA,0)),$J353="YEDEK",$J353="SARF"),0,N(#REF!)*N(INDEX(F_TELM,MATCH($C353,FA,0))))</f>
        <v>0</v>
      </c>
      <c r="AC353" s="7" t="e">
        <f t="shared" si="93"/>
        <v>#REF!</v>
      </c>
      <c r="AD353" s="7">
        <f>IF(OR(ISNA(MATCH($C353,FA,0)),$J353&lt;&gt;"CIKIS"),0,N(INDEX(F_KK,MATCH($C353,FA,0))))</f>
        <v>0</v>
      </c>
      <c r="AE353" s="7">
        <f>IF($AD353=0,0,N(#REF!)*N(INDEX(F_KLN,MATCH($C353,FA,0))))</f>
        <v>0</v>
      </c>
      <c r="AF353" s="7">
        <f>IF($AD353=0,0,N(#REF!)*N(INDEX(F_KPE,MATCH($C353,FA,0))))</f>
        <v>0</v>
      </c>
      <c r="AG353" s="7" t="e">
        <f>IF(ISNA(MATCH($C353,FA,0)),0,N(#REF!)*N(INDEX(F_MODUL,MATCH($C353,FA,0))))</f>
        <v>#REF!</v>
      </c>
      <c r="AH353" s="7" t="e">
        <f>N(#REF!)*N($I353)</f>
        <v>#REF!</v>
      </c>
      <c r="AI353" s="7" t="e">
        <f t="shared" si="94"/>
        <v>#REF!</v>
      </c>
      <c r="AJ353" s="7">
        <f t="shared" si="95"/>
        <v>0</v>
      </c>
    </row>
    <row r="354" spans="1:36" x14ac:dyDescent="0.25">
      <c r="A354" s="4" t="e">
        <f t="shared" si="89"/>
        <v>#REF!</v>
      </c>
      <c r="B354" s="4" t="s">
        <v>105</v>
      </c>
      <c r="C354" s="4" t="s">
        <v>553</v>
      </c>
      <c r="D354" s="4" t="s">
        <v>554</v>
      </c>
      <c r="E354" s="4" t="s">
        <v>114</v>
      </c>
      <c r="F354" s="4" t="s">
        <v>486</v>
      </c>
      <c r="G354" s="4" t="s">
        <v>236</v>
      </c>
      <c r="H354" s="5" t="e">
        <f>#REF!</f>
        <v>#REF!</v>
      </c>
      <c r="I354" s="6" t="e">
        <f t="shared" si="90"/>
        <v>#REF!</v>
      </c>
      <c r="J354" s="6" t="s">
        <v>84</v>
      </c>
      <c r="K354" s="6" t="s">
        <v>105</v>
      </c>
      <c r="L354" s="7" t="e">
        <f t="shared" si="91"/>
        <v>#REF!</v>
      </c>
      <c r="M354" s="7" t="s">
        <v>107</v>
      </c>
      <c r="O354" s="7" t="str">
        <f>IF(OR($C354="",$C354="FID YOK"),"",IF(ISNUMBER(MATCH($C354,FA_ANA,0)),"",IF(COUNTIF($C$1:$C353,$C354)&gt;0,"",MAX($O$1:$O353)+1)))</f>
        <v/>
      </c>
      <c r="T354" s="7">
        <f>IF(ISNA(MATCH($C354,FA,0)),0,IF($J354="GIRIS",N(INDEX(F_INKOR,MATCH($C354,FA,0))),0))</f>
        <v>0</v>
      </c>
      <c r="Y354" s="7" t="e">
        <f>N(#REF!)*IF($E354="упак",MAX(1,IF(ISNA(MATCH($C354,FA,0)),1,N(INDEX(F_PAKET,MATCH($C354,FA,0))))),1)</f>
        <v>#REF!</v>
      </c>
      <c r="Z354" s="7" t="e">
        <f t="shared" si="92"/>
        <v>#REF!</v>
      </c>
      <c r="AA354" s="7">
        <f>IF(OR(ISNA(MATCH($C354,FA,0)),$J354="YEDEK",$J354="SARF"),0,N(#REF!)*N(INDEX(F_TEL,MATCH($C354,FA,0))))</f>
        <v>0</v>
      </c>
      <c r="AB354" s="7">
        <f>IF(OR(ISNA(MATCH($C354,FA,0)),$J354="YEDEK",$J354="SARF"),0,N(#REF!)*N(INDEX(F_TELM,MATCH($C354,FA,0))))</f>
        <v>0</v>
      </c>
      <c r="AC354" s="7" t="e">
        <f t="shared" si="93"/>
        <v>#REF!</v>
      </c>
      <c r="AD354" s="7">
        <f>IF(OR(ISNA(MATCH($C354,FA,0)),$J354&lt;&gt;"CIKIS"),0,N(INDEX(F_KK,MATCH($C354,FA,0))))</f>
        <v>0</v>
      </c>
      <c r="AE354" s="7">
        <f>IF($AD354=0,0,N(#REF!)*N(INDEX(F_KLN,MATCH($C354,FA,0))))</f>
        <v>0</v>
      </c>
      <c r="AF354" s="7">
        <f>IF($AD354=0,0,N(#REF!)*N(INDEX(F_KPE,MATCH($C354,FA,0))))</f>
        <v>0</v>
      </c>
      <c r="AG354" s="7" t="e">
        <f>IF(ISNA(MATCH($C354,FA,0)),0,N(#REF!)*N(INDEX(F_MODUL,MATCH($C354,FA,0))))</f>
        <v>#REF!</v>
      </c>
      <c r="AH354" s="7" t="e">
        <f>N(#REF!)*N($I354)</f>
        <v>#REF!</v>
      </c>
      <c r="AI354" s="7" t="e">
        <f t="shared" si="94"/>
        <v>#REF!</v>
      </c>
      <c r="AJ354" s="7">
        <f t="shared" si="95"/>
        <v>0</v>
      </c>
    </row>
    <row r="355" spans="1:36" x14ac:dyDescent="0.25">
      <c r="A355" s="4" t="e">
        <f t="shared" si="89"/>
        <v>#REF!</v>
      </c>
      <c r="B355" s="4" t="s">
        <v>105</v>
      </c>
      <c r="C355" s="4" t="s">
        <v>539</v>
      </c>
      <c r="D355" s="4" t="s">
        <v>540</v>
      </c>
      <c r="E355" s="4" t="s">
        <v>114</v>
      </c>
      <c r="F355" s="4" t="s">
        <v>486</v>
      </c>
      <c r="G355" s="4" t="s">
        <v>236</v>
      </c>
      <c r="H355" s="5" t="e">
        <f>#REF!</f>
        <v>#REF!</v>
      </c>
      <c r="I355" s="6" t="e">
        <f t="shared" si="90"/>
        <v>#REF!</v>
      </c>
      <c r="J355" s="6" t="s">
        <v>84</v>
      </c>
      <c r="K355" s="6" t="s">
        <v>105</v>
      </c>
      <c r="L355" s="7" t="e">
        <f t="shared" si="91"/>
        <v>#REF!</v>
      </c>
      <c r="M355" s="7" t="s">
        <v>110</v>
      </c>
      <c r="O355" s="7" t="str">
        <f>IF(OR($C355="",$C355="FID YOK"),"",IF(ISNUMBER(MATCH($C355,FA_ANA,0)),"",IF(COUNTIF($C$1:$C354,$C355)&gt;0,"",MAX($O$1:$O354)+1)))</f>
        <v/>
      </c>
      <c r="T355" s="7">
        <f>IF(ISNA(MATCH($C355,FA,0)),0,IF($J355="GIRIS",N(INDEX(F_INKOR,MATCH($C355,FA,0))),0))</f>
        <v>0</v>
      </c>
      <c r="Y355" s="7" t="e">
        <f>N(#REF!)*IF($E355="упак",MAX(1,IF(ISNA(MATCH($C355,FA,0)),1,N(INDEX(F_PAKET,MATCH($C355,FA,0))))),1)</f>
        <v>#REF!</v>
      </c>
      <c r="Z355" s="7" t="e">
        <f t="shared" si="92"/>
        <v>#REF!</v>
      </c>
      <c r="AA355" s="7">
        <f>IF(OR(ISNA(MATCH($C355,FA,0)),$J355="YEDEK",$J355="SARF"),0,N(#REF!)*N(INDEX(F_TEL,MATCH($C355,FA,0))))</f>
        <v>0</v>
      </c>
      <c r="AB355" s="7">
        <f>IF(OR(ISNA(MATCH($C355,FA,0)),$J355="YEDEK",$J355="SARF"),0,N(#REF!)*N(INDEX(F_TELM,MATCH($C355,FA,0))))</f>
        <v>0</v>
      </c>
      <c r="AC355" s="7" t="e">
        <f t="shared" si="93"/>
        <v>#REF!</v>
      </c>
      <c r="AD355" s="7">
        <f>IF(OR(ISNA(MATCH($C355,FA,0)),$J355&lt;&gt;"CIKIS"),0,N(INDEX(F_KK,MATCH($C355,FA,0))))</f>
        <v>0</v>
      </c>
      <c r="AE355" s="7">
        <f>IF($AD355=0,0,N(#REF!)*N(INDEX(F_KLN,MATCH($C355,FA,0))))</f>
        <v>0</v>
      </c>
      <c r="AF355" s="7">
        <f>IF($AD355=0,0,N(#REF!)*N(INDEX(F_KPE,MATCH($C355,FA,0))))</f>
        <v>0</v>
      </c>
      <c r="AG355" s="7" t="e">
        <f>IF(ISNA(MATCH($C355,FA,0)),0,N(#REF!)*N(INDEX(F_MODUL,MATCH($C355,FA,0))))</f>
        <v>#REF!</v>
      </c>
      <c r="AH355" s="7" t="e">
        <f>N(#REF!)*N($I355)</f>
        <v>#REF!</v>
      </c>
      <c r="AI355" s="7" t="e">
        <f t="shared" si="94"/>
        <v>#REF!</v>
      </c>
      <c r="AJ355" s="7">
        <f t="shared" si="95"/>
        <v>0</v>
      </c>
    </row>
    <row r="356" spans="1:36" x14ac:dyDescent="0.25">
      <c r="A356" s="4" t="e">
        <f t="shared" si="89"/>
        <v>#REF!</v>
      </c>
      <c r="B356" s="4" t="s">
        <v>111</v>
      </c>
      <c r="C356" s="4" t="s">
        <v>571</v>
      </c>
      <c r="D356" s="4" t="s">
        <v>572</v>
      </c>
      <c r="E356" s="4" t="s">
        <v>522</v>
      </c>
      <c r="F356" s="4" t="s">
        <v>486</v>
      </c>
      <c r="G356" s="4" t="s">
        <v>236</v>
      </c>
      <c r="H356" s="5" t="e">
        <f>#REF!</f>
        <v>#REF!</v>
      </c>
      <c r="I356" s="6" t="e">
        <f t="shared" si="90"/>
        <v>#REF!</v>
      </c>
      <c r="J356" s="6" t="s">
        <v>84</v>
      </c>
      <c r="K356" s="6" t="s">
        <v>111</v>
      </c>
      <c r="L356" s="7" t="e">
        <f t="shared" si="91"/>
        <v>#REF!</v>
      </c>
      <c r="M356" s="7" t="s">
        <v>112</v>
      </c>
      <c r="O356" s="7" t="str">
        <f>IF(OR($C356="",$C356="FID YOK"),"",IF(ISNUMBER(MATCH($C356,FA_ANA,0)),"",IF(COUNTIF($C$1:$C355,$C356)&gt;0,"",MAX($O$1:$O355)+1)))</f>
        <v/>
      </c>
      <c r="T356" s="7">
        <f>IF(ISNA(MATCH($C356,FA,0)),0,IF($J356="GIRIS",N(INDEX(F_INKOR,MATCH($C356,FA,0))),0))</f>
        <v>0</v>
      </c>
      <c r="Y356" s="7" t="e">
        <f>N(#REF!)*IF($E356="упак",MAX(1,IF(ISNA(MATCH($C356,FA,0)),1,N(INDEX(F_PAKET,MATCH($C356,FA,0))))),1)</f>
        <v>#REF!</v>
      </c>
      <c r="Z356" s="7" t="e">
        <f t="shared" si="92"/>
        <v>#REF!</v>
      </c>
      <c r="AA356" s="7">
        <f>IF(OR(ISNA(MATCH($C356,FA,0)),$J356="YEDEK",$J356="SARF"),0,N(#REF!)*N(INDEX(F_TEL,MATCH($C356,FA,0))))</f>
        <v>0</v>
      </c>
      <c r="AB356" s="7">
        <f>IF(OR(ISNA(MATCH($C356,FA,0)),$J356="YEDEK",$J356="SARF"),0,N(#REF!)*N(INDEX(F_TELM,MATCH($C356,FA,0))))</f>
        <v>0</v>
      </c>
      <c r="AC356" s="7" t="e">
        <f t="shared" si="93"/>
        <v>#REF!</v>
      </c>
      <c r="AD356" s="7">
        <f>IF(OR(ISNA(MATCH($C356,FA,0)),$J356&lt;&gt;"CIKIS"),0,N(INDEX(F_KK,MATCH($C356,FA,0))))</f>
        <v>0</v>
      </c>
      <c r="AE356" s="7">
        <f>IF($AD356=0,0,N(#REF!)*N(INDEX(F_KLN,MATCH($C356,FA,0))))</f>
        <v>0</v>
      </c>
      <c r="AF356" s="7">
        <f>IF($AD356=0,0,N(#REF!)*N(INDEX(F_KPE,MATCH($C356,FA,0))))</f>
        <v>0</v>
      </c>
      <c r="AG356" s="7" t="e">
        <f>IF(ISNA(MATCH($C356,FA,0)),0,N(#REF!)*N(INDEX(F_MODUL,MATCH($C356,FA,0))))</f>
        <v>#REF!</v>
      </c>
      <c r="AH356" s="7" t="e">
        <f>N(#REF!)*N($I356)</f>
        <v>#REF!</v>
      </c>
      <c r="AI356" s="7" t="e">
        <f t="shared" si="94"/>
        <v>#REF!</v>
      </c>
      <c r="AJ356" s="7">
        <f t="shared" si="95"/>
        <v>0</v>
      </c>
    </row>
    <row r="357" spans="1:36" x14ac:dyDescent="0.25">
      <c r="A357" s="4" t="e">
        <f t="shared" si="89"/>
        <v>#REF!</v>
      </c>
      <c r="B357" s="4" t="s">
        <v>113</v>
      </c>
      <c r="C357" s="4" t="s">
        <v>113</v>
      </c>
      <c r="D357" s="4" t="s">
        <v>113</v>
      </c>
      <c r="E357" s="4" t="s">
        <v>114</v>
      </c>
      <c r="F357" s="4" t="s">
        <v>113</v>
      </c>
      <c r="G357" s="4" t="s">
        <v>236</v>
      </c>
      <c r="H357" s="5" t="e">
        <f>#REF!</f>
        <v>#REF!</v>
      </c>
      <c r="I357" s="6" t="e">
        <f t="shared" si="90"/>
        <v>#REF!</v>
      </c>
    </row>
    <row r="358" spans="1:36" x14ac:dyDescent="0.25">
      <c r="A358" s="4" t="e">
        <f t="shared" si="89"/>
        <v>#REF!</v>
      </c>
      <c r="B358" s="4" t="s">
        <v>115</v>
      </c>
      <c r="C358" s="4" t="s">
        <v>115</v>
      </c>
      <c r="D358" s="4" t="s">
        <v>115</v>
      </c>
      <c r="E358" s="4" t="s">
        <v>116</v>
      </c>
      <c r="F358" s="4" t="s">
        <v>115</v>
      </c>
      <c r="G358" s="4" t="s">
        <v>236</v>
      </c>
      <c r="H358" s="5" t="e">
        <f>#REF!</f>
        <v>#REF!</v>
      </c>
      <c r="I358" s="6" t="e">
        <f t="shared" si="90"/>
        <v>#REF!</v>
      </c>
    </row>
    <row r="359" spans="1:36" ht="26.25" x14ac:dyDescent="0.25">
      <c r="A359" s="1" t="str">
        <f>D359</f>
        <v>ШГП-3 (Ввод + Секция 1) (ВРУ1-21-10 модифицированная)(ВРУ1-41-00А)(260922 akram aulet)</v>
      </c>
      <c r="B359" s="12"/>
      <c r="C359" s="2"/>
      <c r="D359" s="13" t="s">
        <v>618</v>
      </c>
      <c r="E359" s="1" t="s">
        <v>36</v>
      </c>
      <c r="F359" s="1" t="s">
        <v>37</v>
      </c>
      <c r="G359" s="1" t="s">
        <v>236</v>
      </c>
      <c r="I359" s="3" t="e">
        <f>#REF!</f>
        <v>#REF!</v>
      </c>
    </row>
    <row r="360" spans="1:36" x14ac:dyDescent="0.25">
      <c r="A360" s="4" t="str">
        <f t="shared" ref="A360:A387" si="98">A359</f>
        <v>ШГП-3 (Ввод + Секция 1) (ВРУ1-21-10 модифицированная)(ВРУ1-41-00А)(260922 akram aulet)</v>
      </c>
      <c r="B360" s="4" t="s">
        <v>39</v>
      </c>
      <c r="C360" s="4" t="s">
        <v>492</v>
      </c>
      <c r="D360" s="4" t="s">
        <v>493</v>
      </c>
      <c r="E360" s="4" t="s">
        <v>114</v>
      </c>
      <c r="F360" s="4" t="s">
        <v>491</v>
      </c>
      <c r="G360" s="4" t="s">
        <v>236</v>
      </c>
      <c r="H360" s="5" t="e">
        <f>#REF!</f>
        <v>#REF!</v>
      </c>
      <c r="I360" s="6" t="e">
        <f t="shared" ref="I360:I387" si="99">I359</f>
        <v>#REF!</v>
      </c>
      <c r="J360" s="6" t="s">
        <v>40</v>
      </c>
      <c r="K360" s="6" t="s">
        <v>41</v>
      </c>
      <c r="L360" s="7" t="e">
        <f t="shared" ref="L360:L385" si="100">IF(ISNA(MATCH($C360,FA,0)),"ARTİKÜL YOK",INDEX(FIYAT_DURUM,MATCH($C360,FA,0)))</f>
        <v>#REF!</v>
      </c>
      <c r="M360" s="7" t="s">
        <v>179</v>
      </c>
      <c r="N360" s="7" t="s">
        <v>43</v>
      </c>
      <c r="O360" s="7" t="str">
        <f>IF(OR($C360="",$C360="FID YOK"),"",IF(ISNUMBER(MATCH($C360,FA_ANA,0)),"",IF(COUNTIF($C$1:$C359,$C360)&gt;0,"",MAX($O$1:$O359)+1)))</f>
        <v/>
      </c>
      <c r="Q360" s="7"/>
      <c r="R360" s="7"/>
      <c r="S360" s="7"/>
      <c r="T360" s="7">
        <f>IF(ISNA(MATCH($C360,FA,0)),0,IF($J360="GIRIS",N(INDEX(F_INKOR,MATCH($C360,FA,0))),0))</f>
        <v>0</v>
      </c>
      <c r="U360" s="7"/>
      <c r="V360" s="7"/>
      <c r="W360" s="7"/>
      <c r="X360" s="7"/>
      <c r="Y360" s="7" t="e">
        <f>N(#REF!)*IF($E360="упак",MAX(1,IF(ISNA(MATCH($C360,FA,0)),1,N(INDEX(F_PAKET,MATCH($C360,FA,0))))),1)</f>
        <v>#REF!</v>
      </c>
      <c r="Z360" s="7" t="e">
        <f t="shared" ref="Z360:Z385" si="101">IF(ISNA(MATCH($C360,FA,0)),0,N(INDEX(F_BK,MATCH($C360,FA,0))))</f>
        <v>#REF!</v>
      </c>
      <c r="AA360" s="7" t="e">
        <f>IF(OR(ISNA(MATCH($C360,FA,0)),$J360="YEDEK",$J360="SARF"),0,N(#REF!)*N(INDEX(F_TEL,MATCH($C360,FA,0))))</f>
        <v>#REF!</v>
      </c>
      <c r="AB360" s="7" t="e">
        <f>IF(OR(ISNA(MATCH($C360,FA,0)),$J360="YEDEK",$J360="SARF"),0,N(#REF!)*N(INDEX(F_TELM,MATCH($C360,FA,0))))</f>
        <v>#REF!</v>
      </c>
      <c r="AC360" s="7" t="e">
        <f t="shared" ref="AC360:AC385" si="102">IF(ISNA(MATCH($C360,FA,0)),"",INDEX(F_UC,MATCH($C360,FA,0))&amp;"")</f>
        <v>#REF!</v>
      </c>
      <c r="AD360" s="7">
        <f>IF(OR(ISNA(MATCH($C360,FA,0)),$J360&lt;&gt;"CIKIS"),0,N(INDEX(F_KK,MATCH($C360,FA,0))))</f>
        <v>0</v>
      </c>
      <c r="AE360" s="7">
        <f>IF($AD360=0,0,N(#REF!)*N(INDEX(F_KLN,MATCH($C360,FA,0))))</f>
        <v>0</v>
      </c>
      <c r="AF360" s="7">
        <f>IF($AD360=0,0,N(#REF!)*N(INDEX(F_KPE,MATCH($C360,FA,0))))</f>
        <v>0</v>
      </c>
      <c r="AG360" s="7" t="e">
        <f>IF(ISNA(MATCH($C360,FA,0)),0,N(#REF!)*N(INDEX(F_MODUL,MATCH($C360,FA,0))))</f>
        <v>#REF!</v>
      </c>
      <c r="AH360" s="7" t="e">
        <f>N(#REF!)*N($I360)</f>
        <v>#REF!</v>
      </c>
      <c r="AI360" s="7" t="e">
        <f t="shared" ref="AI360:AI385" si="103">IF(ISNA(MATCH($K360,TIP_AD,0)),"YOK",IF(INDEX(NORM_DK,MATCH($K360,TIP_AD,0))="","BOŞ",INDEX(NORM_DK,MATCH($K360,TIP_AD,0))))</f>
        <v>#REF!</v>
      </c>
      <c r="AJ360" s="7">
        <f t="shared" ref="AJ360:AJ385" si="104">IF(ISNUMBER($AI360),$Y360*$AI360,0)</f>
        <v>0</v>
      </c>
    </row>
    <row r="361" spans="1:36" x14ac:dyDescent="0.25">
      <c r="A361" s="4" t="str">
        <f t="shared" si="98"/>
        <v>ШГП-3 (Ввод + Секция 1) (ВРУ1-21-10 модифицированная)(ВРУ1-41-00А)(260922 akram aulet)</v>
      </c>
      <c r="B361" s="4" t="s">
        <v>39</v>
      </c>
      <c r="C361" s="4" t="s">
        <v>494</v>
      </c>
      <c r="D361" s="4" t="s">
        <v>495</v>
      </c>
      <c r="E361" s="4" t="s">
        <v>114</v>
      </c>
      <c r="F361" s="4" t="s">
        <v>491</v>
      </c>
      <c r="G361" s="4" t="s">
        <v>236</v>
      </c>
      <c r="H361" s="5" t="e">
        <f>#REF!</f>
        <v>#REF!</v>
      </c>
      <c r="I361" s="6" t="e">
        <f t="shared" si="99"/>
        <v>#REF!</v>
      </c>
      <c r="J361" s="6" t="s">
        <v>40</v>
      </c>
      <c r="K361" s="6" t="s">
        <v>41</v>
      </c>
      <c r="L361" s="7" t="e">
        <f t="shared" si="100"/>
        <v>#REF!</v>
      </c>
      <c r="M361" s="7" t="s">
        <v>44</v>
      </c>
      <c r="N361" s="7" t="s">
        <v>45</v>
      </c>
      <c r="O361" s="7" t="str">
        <f>IF(OR($C361="",$C361="FID YOK"),"",IF(ISNUMBER(MATCH($C361,FA_ANA,0)),"",IF(COUNTIF($C$1:$C360,$C361)&gt;0,"",MAX($O$1:$O360)+1)))</f>
        <v/>
      </c>
      <c r="Q361" s="7"/>
      <c r="R361" s="7"/>
      <c r="S361" s="7"/>
      <c r="T361" s="7">
        <f>IF(ISNA(MATCH($C361,FA,0)),0,IF($J361="GIRIS",N(INDEX(F_INKOR,MATCH($C361,FA,0))),0))</f>
        <v>0</v>
      </c>
      <c r="U361" s="7"/>
      <c r="V361" s="7"/>
      <c r="W361" s="7"/>
      <c r="X361" s="7"/>
      <c r="Y361" s="7" t="e">
        <f>N(#REF!)*IF($E361="упак",MAX(1,IF(ISNA(MATCH($C361,FA,0)),1,N(INDEX(F_PAKET,MATCH($C361,FA,0))))),1)</f>
        <v>#REF!</v>
      </c>
      <c r="Z361" s="7" t="e">
        <f t="shared" si="101"/>
        <v>#REF!</v>
      </c>
      <c r="AA361" s="7" t="e">
        <f>IF(OR(ISNA(MATCH($C361,FA,0)),$J361="YEDEK",$J361="SARF"),0,N(#REF!)*N(INDEX(F_TEL,MATCH($C361,FA,0))))</f>
        <v>#REF!</v>
      </c>
      <c r="AB361" s="7" t="e">
        <f>IF(OR(ISNA(MATCH($C361,FA,0)),$J361="YEDEK",$J361="SARF"),0,N(#REF!)*N(INDEX(F_TELM,MATCH($C361,FA,0))))</f>
        <v>#REF!</v>
      </c>
      <c r="AC361" s="7" t="e">
        <f t="shared" si="102"/>
        <v>#REF!</v>
      </c>
      <c r="AD361" s="7">
        <f>IF(OR(ISNA(MATCH($C361,FA,0)),$J361&lt;&gt;"CIKIS"),0,N(INDEX(F_KK,MATCH($C361,FA,0))))</f>
        <v>0</v>
      </c>
      <c r="AE361" s="7">
        <f>IF($AD361=0,0,N(#REF!)*N(INDEX(F_KLN,MATCH($C361,FA,0))))</f>
        <v>0</v>
      </c>
      <c r="AF361" s="7">
        <f>IF($AD361=0,0,N(#REF!)*N(INDEX(F_KPE,MATCH($C361,FA,0))))</f>
        <v>0</v>
      </c>
      <c r="AG361" s="7" t="e">
        <f>IF(ISNA(MATCH($C361,FA,0)),0,N(#REF!)*N(INDEX(F_MODUL,MATCH($C361,FA,0))))</f>
        <v>#REF!</v>
      </c>
      <c r="AH361" s="7" t="e">
        <f>N(#REF!)*N($I361)</f>
        <v>#REF!</v>
      </c>
      <c r="AI361" s="7" t="e">
        <f t="shared" si="103"/>
        <v>#REF!</v>
      </c>
      <c r="AJ361" s="7">
        <f t="shared" si="104"/>
        <v>0</v>
      </c>
    </row>
    <row r="362" spans="1:36" x14ac:dyDescent="0.25">
      <c r="A362" s="4" t="str">
        <f t="shared" si="98"/>
        <v>ШГП-3 (Ввод + Секция 1) (ВРУ1-21-10 модифицированная)(ВРУ1-41-00А)(260922 akram aulet)</v>
      </c>
      <c r="B362" s="4" t="s">
        <v>118</v>
      </c>
      <c r="C362" s="4" t="s">
        <v>445</v>
      </c>
      <c r="D362" s="4" t="s">
        <v>446</v>
      </c>
      <c r="E362" s="4" t="s">
        <v>114</v>
      </c>
      <c r="F362" s="4" t="s">
        <v>377</v>
      </c>
      <c r="G362" s="4" t="s">
        <v>236</v>
      </c>
      <c r="H362" s="5" t="e">
        <f>#REF!</f>
        <v>#REF!</v>
      </c>
      <c r="I362" s="6" t="e">
        <f t="shared" si="99"/>
        <v>#REF!</v>
      </c>
      <c r="J362" s="6" t="s">
        <v>48</v>
      </c>
      <c r="K362" s="6" t="s">
        <v>118</v>
      </c>
      <c r="L362" s="7" t="e">
        <f t="shared" si="100"/>
        <v>#REF!</v>
      </c>
      <c r="M362" s="7" t="s">
        <v>244</v>
      </c>
      <c r="N362" s="7" t="s">
        <v>245</v>
      </c>
      <c r="O362" s="7">
        <f>IF(OR($C362="",$C362="FID YOK"),"",IF(ISNUMBER(MATCH($C362,FA_ANA,0)),"",IF(COUNTIF($C$1:$C361,$C362)&gt;0,"",MAX($O$1:$O361)+1)))</f>
        <v>82</v>
      </c>
      <c r="P362" s="8">
        <v>1</v>
      </c>
      <c r="Q362" s="7" t="e">
        <f>IF(OR($P362="",$P362="G",ISNA(MATCH($C362,FA,0))),"",IF(N(INDEX(F_G,MATCH($C362,FA,0)))&gt;0,INDEX(F_G,MATCH($C362,FA,0)),IF(N(INDEX(F_MODUL,MATCH($C362,FA,0)))&gt;0,INDEX(F_MODUL,MATCH($C362,FA,0))*MODUL_MM,"")))</f>
        <v>#REF!</v>
      </c>
      <c r="R362" s="7" t="e">
        <f>IF(OR($P362="",$P362="G",ISNA(MATCH($C362,FA,0))),"",IF(N(INDEX(F_Y,MATCH($C362,FA,0)))&gt;0,INDEX(F_Y,MATCH($C362,FA,0)),""))</f>
        <v>#REF!</v>
      </c>
      <c r="S362" s="7" t="e">
        <f>IF(OR($P362="",$P362="G",ISNA(MATCH($C362,FA,0))),"",IF(N(INDEX(F_D,MATCH($C362,FA,0)))&gt;0,INDEX(F_D,MATCH($C362,FA,0)),""))</f>
        <v>#REF!</v>
      </c>
      <c r="T362" s="7" t="e">
        <f>IF(ISNA(MATCH($C362,FA,0)),0,IF($J362="GIRIS",N(INDEX(F_INKOR,MATCH($C362,FA,0))),0))</f>
        <v>#REF!</v>
      </c>
      <c r="U362" s="7" t="e">
        <f t="shared" ref="U362:U369" si="105">IF(ISNA(MATCH($B362,TIP_AD,0)),"",INDEX(TIP_KAT,MATCH($B362,TIP_AD,0))&amp;"")</f>
        <v>#REF!</v>
      </c>
      <c r="V362" s="7" t="e">
        <f t="shared" ref="V362:V369" si="106">IF(NOT(ISNUMBER($P362)),"",IF($Z362=0,0,IF(ISNA(MATCH($Z362,BUK_KESIT,0)),"",IF(INDEX(BUK_ALAN,MATCH($Z362,BUK_KESIT,0))&amp;""="","",INDEX(BUK_ALAN,MATCH($Z362,BUK_KESIT,0))))))</f>
        <v>#REF!</v>
      </c>
      <c r="W362" s="7" t="e">
        <f>IF(OR(NOT(ISNUMBER($P362)),$Q362=""),"",N(#REF!)*($Q362+IF(ISNA(MATCH($B362,TIP_AD,0)),0,N(INDEX(TIP_BOSLUK,MATCH($B362,TIP_AD,0))))))</f>
        <v>#REF!</v>
      </c>
      <c r="X362" s="7" t="e">
        <f>IF(ISNUMBER($P362),($Q362="")+($R362="")+($V362="")+IF(AND($U362="KONTAKTOR",NOT(ISNA(MATCH($B362,TIP_AD,0)))),IF(INDEX(TIP_BOSLUK,MATCH($B362,TIP_AD,0))&amp;""="",1,0),0),IF($P362="K",IF($S362="",1,0),0))</f>
        <v>#REF!</v>
      </c>
      <c r="Y362" s="7" t="e">
        <f>N(#REF!)*IF($E362="упак",MAX(1,IF(ISNA(MATCH($C362,FA,0)),1,N(INDEX(F_PAKET,MATCH($C362,FA,0))))),1)</f>
        <v>#REF!</v>
      </c>
      <c r="Z362" s="7" t="e">
        <f t="shared" si="101"/>
        <v>#REF!</v>
      </c>
      <c r="AA362" s="7" t="e">
        <f>IF(OR(ISNA(MATCH($C362,FA,0)),$J362="YEDEK",$J362="SARF"),0,N(#REF!)*N(INDEX(F_TEL,MATCH($C362,FA,0))))</f>
        <v>#REF!</v>
      </c>
      <c r="AB362" s="7" t="e">
        <f>IF(OR(ISNA(MATCH($C362,FA,0)),$J362="YEDEK",$J362="SARF"),0,N(#REF!)*N(INDEX(F_TELM,MATCH($C362,FA,0))))</f>
        <v>#REF!</v>
      </c>
      <c r="AC362" s="7" t="e">
        <f t="shared" si="102"/>
        <v>#REF!</v>
      </c>
      <c r="AD362" s="7">
        <f>IF(OR(ISNA(MATCH($C362,FA,0)),$J362&lt;&gt;"CIKIS"),0,N(INDEX(F_KK,MATCH($C362,FA,0))))</f>
        <v>0</v>
      </c>
      <c r="AE362" s="7">
        <f>IF($AD362=0,0,N(#REF!)*N(INDEX(F_KLN,MATCH($C362,FA,0))))</f>
        <v>0</v>
      </c>
      <c r="AF362" s="7">
        <f>IF($AD362=0,0,N(#REF!)*N(INDEX(F_KPE,MATCH($C362,FA,0))))</f>
        <v>0</v>
      </c>
      <c r="AG362" s="7" t="e">
        <f>IF(ISNA(MATCH($C362,FA,0)),0,N(#REF!)*N(INDEX(F_MODUL,MATCH($C362,FA,0))))</f>
        <v>#REF!</v>
      </c>
      <c r="AH362" s="7" t="e">
        <f>N(#REF!)*N($I362)</f>
        <v>#REF!</v>
      </c>
      <c r="AI362" s="7" t="e">
        <f t="shared" si="103"/>
        <v>#REF!</v>
      </c>
      <c r="AJ362" s="7">
        <f t="shared" si="104"/>
        <v>0</v>
      </c>
    </row>
    <row r="363" spans="1:36" x14ac:dyDescent="0.25">
      <c r="A363" s="4" t="str">
        <f t="shared" si="98"/>
        <v>ШГП-3 (Ввод + Секция 1) (ВРУ1-21-10 модифицированная)(ВРУ1-41-00А)(260922 akram aulet)</v>
      </c>
      <c r="B363" s="4" t="s">
        <v>51</v>
      </c>
      <c r="C363" s="4" t="s">
        <v>422</v>
      </c>
      <c r="D363" s="4" t="s">
        <v>423</v>
      </c>
      <c r="E363" s="4" t="s">
        <v>114</v>
      </c>
      <c r="F363" s="4" t="s">
        <v>377</v>
      </c>
      <c r="G363" s="4" t="s">
        <v>236</v>
      </c>
      <c r="H363" s="5" t="e">
        <f>#REF!</f>
        <v>#REF!</v>
      </c>
      <c r="I363" s="6" t="e">
        <f t="shared" si="99"/>
        <v>#REF!</v>
      </c>
      <c r="J363" s="6" t="s">
        <v>52</v>
      </c>
      <c r="K363" s="6" t="s">
        <v>51</v>
      </c>
      <c r="L363" s="7" t="e">
        <f t="shared" si="100"/>
        <v>#REF!</v>
      </c>
      <c r="M363" s="7" t="s">
        <v>246</v>
      </c>
      <c r="N363" s="7" t="s">
        <v>155</v>
      </c>
      <c r="O363" s="7" t="str">
        <f>IF(OR($C363="",$C363="FID YOK"),"",IF(ISNUMBER(MATCH($C363,FA_ANA,0)),"",IF(COUNTIF($C$1:$C362,$C363)&gt;0,"",MAX($O$1:$O362)+1)))</f>
        <v/>
      </c>
      <c r="P363" s="8">
        <v>1</v>
      </c>
      <c r="Q363" s="7" t="e">
        <f>IF(OR($P363="",$P363="G",ISNA(MATCH($C363,FA,0))),"",IF(N(INDEX(F_G,MATCH($C363,FA,0)))&gt;0,INDEX(F_G,MATCH($C363,FA,0)),IF(N(INDEX(F_MODUL,MATCH($C363,FA,0)))&gt;0,INDEX(F_MODUL,MATCH($C363,FA,0))*MODUL_MM,"")))</f>
        <v>#REF!</v>
      </c>
      <c r="R363" s="7" t="e">
        <f>IF(OR($P363="",$P363="G",ISNA(MATCH($C363,FA,0))),"",IF(N(INDEX(F_Y,MATCH($C363,FA,0)))&gt;0,INDEX(F_Y,MATCH($C363,FA,0)),""))</f>
        <v>#REF!</v>
      </c>
      <c r="S363" s="7" t="e">
        <f>IF(OR($P363="",$P363="G",ISNA(MATCH($C363,FA,0))),"",IF(N(INDEX(F_D,MATCH($C363,FA,0)))&gt;0,INDEX(F_D,MATCH($C363,FA,0)),""))</f>
        <v>#REF!</v>
      </c>
      <c r="T363" s="7">
        <f>IF(ISNA(MATCH($C363,FA,0)),0,IF($J363="GIRIS",N(INDEX(F_INKOR,MATCH($C363,FA,0))),0))</f>
        <v>0</v>
      </c>
      <c r="U363" s="7" t="e">
        <f t="shared" si="105"/>
        <v>#REF!</v>
      </c>
      <c r="V363" s="7" t="e">
        <f t="shared" si="106"/>
        <v>#REF!</v>
      </c>
      <c r="W363" s="7" t="e">
        <f>IF(OR(NOT(ISNUMBER($P363)),$Q363=""),"",N(#REF!)*($Q363+IF(ISNA(MATCH($B363,TIP_AD,0)),0,N(INDEX(TIP_BOSLUK,MATCH($B363,TIP_AD,0))))))</f>
        <v>#REF!</v>
      </c>
      <c r="X363" s="7" t="e">
        <f>IF(ISNUMBER($P363),($Q363="")+($R363="")+($V363="")+IF(AND($U363="KONTAKTOR",NOT(ISNA(MATCH($B363,TIP_AD,0)))),IF(INDEX(TIP_BOSLUK,MATCH($B363,TIP_AD,0))&amp;""="",1,0),0),IF($P363="K",IF($S363="",1,0),0))</f>
        <v>#REF!</v>
      </c>
      <c r="Y363" s="7" t="e">
        <f>N(#REF!)*IF($E363="упак",MAX(1,IF(ISNA(MATCH($C363,FA,0)),1,N(INDEX(F_PAKET,MATCH($C363,FA,0))))),1)</f>
        <v>#REF!</v>
      </c>
      <c r="Z363" s="7" t="e">
        <f t="shared" si="101"/>
        <v>#REF!</v>
      </c>
      <c r="AA363" s="7" t="e">
        <f>IF(OR(ISNA(MATCH($C363,FA,0)),$J363="YEDEK",$J363="SARF"),0,N(#REF!)*N(INDEX(F_TEL,MATCH($C363,FA,0))))</f>
        <v>#REF!</v>
      </c>
      <c r="AB363" s="7" t="e">
        <f>IF(OR(ISNA(MATCH($C363,FA,0)),$J363="YEDEK",$J363="SARF"),0,N(#REF!)*N(INDEX(F_TELM,MATCH($C363,FA,0))))</f>
        <v>#REF!</v>
      </c>
      <c r="AC363" s="7" t="e">
        <f t="shared" si="102"/>
        <v>#REF!</v>
      </c>
      <c r="AD363" s="7" t="e">
        <f>IF(OR(ISNA(MATCH($C363,FA,0)),$J363&lt;&gt;"CIKIS"),0,N(INDEX(F_KK,MATCH($C363,FA,0))))</f>
        <v>#REF!</v>
      </c>
      <c r="AE363" s="7" t="e">
        <f>IF($AD363=0,0,N(#REF!)*N(INDEX(F_KLN,MATCH($C363,FA,0))))</f>
        <v>#REF!</v>
      </c>
      <c r="AF363" s="7" t="e">
        <f>IF($AD363=0,0,N(#REF!)*N(INDEX(F_KPE,MATCH($C363,FA,0))))</f>
        <v>#REF!</v>
      </c>
      <c r="AG363" s="7" t="e">
        <f>IF(ISNA(MATCH($C363,FA,0)),0,N(#REF!)*N(INDEX(F_MODUL,MATCH($C363,FA,0))))</f>
        <v>#REF!</v>
      </c>
      <c r="AH363" s="7" t="e">
        <f>N(#REF!)*N($I363)</f>
        <v>#REF!</v>
      </c>
      <c r="AI363" s="7" t="e">
        <f t="shared" si="103"/>
        <v>#REF!</v>
      </c>
      <c r="AJ363" s="7">
        <f t="shared" si="104"/>
        <v>0</v>
      </c>
    </row>
    <row r="364" spans="1:36" x14ac:dyDescent="0.25">
      <c r="A364" s="4" t="str">
        <f t="shared" si="98"/>
        <v>ШГП-3 (Ввод + Секция 1) (ВРУ1-21-10 модифицированная)(ВРУ1-41-00А)(260922 akram aulet)</v>
      </c>
      <c r="B364" s="4" t="s">
        <v>61</v>
      </c>
      <c r="C364" s="4" t="s">
        <v>606</v>
      </c>
      <c r="D364" s="4" t="s">
        <v>607</v>
      </c>
      <c r="E364" s="4" t="s">
        <v>114</v>
      </c>
      <c r="F364" s="4" t="s">
        <v>479</v>
      </c>
      <c r="G364" s="4" t="s">
        <v>236</v>
      </c>
      <c r="H364" s="5" t="e">
        <f>#REF!</f>
        <v>#REF!</v>
      </c>
      <c r="I364" s="6" t="e">
        <f t="shared" si="99"/>
        <v>#REF!</v>
      </c>
      <c r="J364" s="6" t="s">
        <v>62</v>
      </c>
      <c r="K364" s="6" t="s">
        <v>61</v>
      </c>
      <c r="L364" s="7" t="e">
        <f t="shared" si="100"/>
        <v>#REF!</v>
      </c>
      <c r="M364" s="7" t="s">
        <v>127</v>
      </c>
      <c r="N364" s="7" t="s">
        <v>64</v>
      </c>
      <c r="O364" s="7" t="str">
        <f>IF(OR($C364="",$C364="FID YOK"),"",IF(ISNUMBER(MATCH($C364,FA_ANA,0)),"",IF(COUNTIF($C$1:$C363,$C364)&gt;0,"",MAX($O$1:$O363)+1)))</f>
        <v/>
      </c>
      <c r="P364" s="8">
        <v>3</v>
      </c>
      <c r="Q364" s="7" t="e">
        <f>IF(OR($P364="",$P364="G",ISNA(MATCH($C364,FA,0))),"",IF(N(INDEX(F_G,MATCH($C364,FA,0)))&gt;0,INDEX(F_G,MATCH($C364,FA,0)),IF(N(INDEX(F_MODUL,MATCH($C364,FA,0)))&gt;0,INDEX(F_MODUL,MATCH($C364,FA,0))*MODUL_MM,"")))</f>
        <v>#REF!</v>
      </c>
      <c r="R364" s="7" t="e">
        <f>IF(OR($P364="",$P364="G",ISNA(MATCH($C364,FA,0))),"",IF(N(INDEX(F_Y,MATCH($C364,FA,0)))&gt;0,INDEX(F_Y,MATCH($C364,FA,0)),""))</f>
        <v>#REF!</v>
      </c>
      <c r="S364" s="7" t="e">
        <f>IF(OR($P364="",$P364="G",ISNA(MATCH($C364,FA,0))),"",IF(N(INDEX(F_D,MATCH($C364,FA,0)))&gt;0,INDEX(F_D,MATCH($C364,FA,0)),""))</f>
        <v>#REF!</v>
      </c>
      <c r="T364" s="7">
        <f>IF(ISNA(MATCH($C364,FA,0)),0,IF($J364="GIRIS",N(INDEX(F_INKOR,MATCH($C364,FA,0))),0))</f>
        <v>0</v>
      </c>
      <c r="U364" s="7" t="e">
        <f t="shared" si="105"/>
        <v>#REF!</v>
      </c>
      <c r="V364" s="7" t="e">
        <f t="shared" si="106"/>
        <v>#REF!</v>
      </c>
      <c r="W364" s="7" t="e">
        <f>IF(OR(NOT(ISNUMBER($P364)),$Q364=""),"",N(#REF!)*($Q364+IF(ISNA(MATCH($B364,TIP_AD,0)),0,N(INDEX(TIP_BOSLUK,MATCH($B364,TIP_AD,0))))))</f>
        <v>#REF!</v>
      </c>
      <c r="X364" s="7" t="e">
        <f>IF(ISNUMBER($P364),($Q364="")+($R364="")+($V364="")+IF(AND($U364="KONTAKTOR",NOT(ISNA(MATCH($B364,TIP_AD,0)))),IF(INDEX(TIP_BOSLUK,MATCH($B364,TIP_AD,0))&amp;""="",1,0),0),IF($P364="K",IF($S364="",1,0),0))</f>
        <v>#REF!</v>
      </c>
      <c r="Y364" s="7" t="e">
        <f>N(#REF!)*IF($E364="упак",MAX(1,IF(ISNA(MATCH($C364,FA,0)),1,N(INDEX(F_PAKET,MATCH($C364,FA,0))))),1)</f>
        <v>#REF!</v>
      </c>
      <c r="Z364" s="7" t="e">
        <f t="shared" si="101"/>
        <v>#REF!</v>
      </c>
      <c r="AA364" s="7" t="e">
        <f>IF(OR(ISNA(MATCH($C364,FA,0)),$J364="YEDEK",$J364="SARF"),0,N(#REF!)*N(INDEX(F_TEL,MATCH($C364,FA,0))))</f>
        <v>#REF!</v>
      </c>
      <c r="AB364" s="7" t="e">
        <f>IF(OR(ISNA(MATCH($C364,FA,0)),$J364="YEDEK",$J364="SARF"),0,N(#REF!)*N(INDEX(F_TELM,MATCH($C364,FA,0))))</f>
        <v>#REF!</v>
      </c>
      <c r="AC364" s="7" t="e">
        <f t="shared" si="102"/>
        <v>#REF!</v>
      </c>
      <c r="AD364" s="7">
        <f>IF(OR(ISNA(MATCH($C364,FA,0)),$J364&lt;&gt;"CIKIS"),0,N(INDEX(F_KK,MATCH($C364,FA,0))))</f>
        <v>0</v>
      </c>
      <c r="AE364" s="7">
        <f>IF($AD364=0,0,N(#REF!)*N(INDEX(F_KLN,MATCH($C364,FA,0))))</f>
        <v>0</v>
      </c>
      <c r="AF364" s="7">
        <f>IF($AD364=0,0,N(#REF!)*N(INDEX(F_KPE,MATCH($C364,FA,0))))</f>
        <v>0</v>
      </c>
      <c r="AG364" s="7" t="e">
        <f>IF(ISNA(MATCH($C364,FA,0)),0,N(#REF!)*N(INDEX(F_MODUL,MATCH($C364,FA,0))))</f>
        <v>#REF!</v>
      </c>
      <c r="AH364" s="7" t="e">
        <f>N(#REF!)*N($I364)</f>
        <v>#REF!</v>
      </c>
      <c r="AI364" s="7" t="e">
        <f t="shared" si="103"/>
        <v>#REF!</v>
      </c>
      <c r="AJ364" s="7">
        <f t="shared" si="104"/>
        <v>0</v>
      </c>
    </row>
    <row r="365" spans="1:36" x14ac:dyDescent="0.25">
      <c r="A365" s="4" t="str">
        <f t="shared" si="98"/>
        <v>ШГП-3 (Ввод + Секция 1) (ВРУ1-21-10 модифицированная)(ВРУ1-41-00А)(260922 akram aulet)</v>
      </c>
      <c r="B365" s="4" t="s">
        <v>65</v>
      </c>
      <c r="C365" s="4" t="s">
        <v>392</v>
      </c>
      <c r="D365" s="4" t="s">
        <v>393</v>
      </c>
      <c r="E365" s="4" t="s">
        <v>114</v>
      </c>
      <c r="F365" s="4" t="s">
        <v>377</v>
      </c>
      <c r="G365" s="4" t="s">
        <v>236</v>
      </c>
      <c r="H365" s="5" t="e">
        <f>#REF!</f>
        <v>#REF!</v>
      </c>
      <c r="I365" s="6" t="e">
        <f t="shared" si="99"/>
        <v>#REF!</v>
      </c>
      <c r="J365" s="6" t="s">
        <v>66</v>
      </c>
      <c r="K365" s="6" t="s">
        <v>65</v>
      </c>
      <c r="L365" s="7" t="e">
        <f t="shared" si="100"/>
        <v>#REF!</v>
      </c>
      <c r="M365" s="7" t="s">
        <v>67</v>
      </c>
      <c r="N365" s="7" t="s">
        <v>68</v>
      </c>
      <c r="O365" s="7" t="str">
        <f>IF(OR($C365="",$C365="FID YOK"),"",IF(ISNUMBER(MATCH($C365,FA_ANA,0)),"",IF(COUNTIF($C$1:$C364,$C365)&gt;0,"",MAX($O$1:$O364)+1)))</f>
        <v/>
      </c>
      <c r="P365" s="8">
        <v>4</v>
      </c>
      <c r="Q365" s="7" t="e">
        <f>IF(OR($P365="",$P365="G",ISNA(MATCH($C365,FA,0))),"",IF(N(INDEX(F_G,MATCH($C365,FA,0)))&gt;0,INDEX(F_G,MATCH($C365,FA,0)),IF(N(INDEX(F_MODUL,MATCH($C365,FA,0)))&gt;0,INDEX(F_MODUL,MATCH($C365,FA,0))*MODUL_MM,"")))</f>
        <v>#REF!</v>
      </c>
      <c r="R365" s="7" t="e">
        <f>IF(OR($P365="",$P365="G",ISNA(MATCH($C365,FA,0))),"",IF(N(INDEX(F_Y,MATCH($C365,FA,0)))&gt;0,INDEX(F_Y,MATCH($C365,FA,0)),""))</f>
        <v>#REF!</v>
      </c>
      <c r="S365" s="7" t="e">
        <f>IF(OR($P365="",$P365="G",ISNA(MATCH($C365,FA,0))),"",IF(N(INDEX(F_D,MATCH($C365,FA,0)))&gt;0,INDEX(F_D,MATCH($C365,FA,0)),""))</f>
        <v>#REF!</v>
      </c>
      <c r="T365" s="7">
        <f>IF(ISNA(MATCH($C365,FA,0)),0,IF($J365="GIRIS",N(INDEX(F_INKOR,MATCH($C365,FA,0))),0))</f>
        <v>0</v>
      </c>
      <c r="U365" s="7" t="e">
        <f t="shared" si="105"/>
        <v>#REF!</v>
      </c>
      <c r="V365" s="7" t="e">
        <f t="shared" si="106"/>
        <v>#REF!</v>
      </c>
      <c r="W365" s="7" t="e">
        <f>IF(OR(NOT(ISNUMBER($P365)),$Q365=""),"",N(#REF!)*($Q365+IF(ISNA(MATCH($B365,TIP_AD,0)),0,N(INDEX(TIP_BOSLUK,MATCH($B365,TIP_AD,0))))))</f>
        <v>#REF!</v>
      </c>
      <c r="X365" s="7" t="e">
        <f>IF(ISNUMBER($P365),($Q365="")+($R365="")+($V365="")+IF(AND($U365="KONTAKTOR",NOT(ISNA(MATCH($B365,TIP_AD,0)))),IF(INDEX(TIP_BOSLUK,MATCH($B365,TIP_AD,0))&amp;""="",1,0),0),IF($P365="K",IF($S365="",1,0),0))</f>
        <v>#REF!</v>
      </c>
      <c r="Y365" s="7" t="e">
        <f>N(#REF!)*IF($E365="упак",MAX(1,IF(ISNA(MATCH($C365,FA,0)),1,N(INDEX(F_PAKET,MATCH($C365,FA,0))))),1)</f>
        <v>#REF!</v>
      </c>
      <c r="Z365" s="7" t="e">
        <f t="shared" si="101"/>
        <v>#REF!</v>
      </c>
      <c r="AA365" s="7" t="e">
        <f>IF(OR(ISNA(MATCH($C365,FA,0)),$J365="YEDEK",$J365="SARF"),0,N(#REF!)*N(INDEX(F_TEL,MATCH($C365,FA,0))))</f>
        <v>#REF!</v>
      </c>
      <c r="AB365" s="7" t="e">
        <f>IF(OR(ISNA(MATCH($C365,FA,0)),$J365="YEDEK",$J365="SARF"),0,N(#REF!)*N(INDEX(F_TELM,MATCH($C365,FA,0))))</f>
        <v>#REF!</v>
      </c>
      <c r="AC365" s="7" t="e">
        <f t="shared" si="102"/>
        <v>#REF!</v>
      </c>
      <c r="AD365" s="7">
        <f>IF(OR(ISNA(MATCH($C365,FA,0)),$J365&lt;&gt;"CIKIS"),0,N(INDEX(F_KK,MATCH($C365,FA,0))))</f>
        <v>0</v>
      </c>
      <c r="AE365" s="7">
        <f>IF($AD365=0,0,N(#REF!)*N(INDEX(F_KLN,MATCH($C365,FA,0))))</f>
        <v>0</v>
      </c>
      <c r="AF365" s="7">
        <f>IF($AD365=0,0,N(#REF!)*N(INDEX(F_KPE,MATCH($C365,FA,0))))</f>
        <v>0</v>
      </c>
      <c r="AG365" s="7" t="e">
        <f>IF(ISNA(MATCH($C365,FA,0)),0,N(#REF!)*N(INDEX(F_MODUL,MATCH($C365,FA,0))))</f>
        <v>#REF!</v>
      </c>
      <c r="AH365" s="7" t="e">
        <f>N(#REF!)*N($I365)</f>
        <v>#REF!</v>
      </c>
      <c r="AI365" s="7" t="e">
        <f t="shared" si="103"/>
        <v>#REF!</v>
      </c>
      <c r="AJ365" s="7">
        <f t="shared" si="104"/>
        <v>0</v>
      </c>
    </row>
    <row r="366" spans="1:36" x14ac:dyDescent="0.25">
      <c r="A366" s="4" t="str">
        <f t="shared" si="98"/>
        <v>ШГП-3 (Ввод + Секция 1) (ВРУ1-21-10 модифицированная)(ВРУ1-41-00А)(260922 akram aulet)</v>
      </c>
      <c r="B366" s="4" t="s">
        <v>65</v>
      </c>
      <c r="C366" s="4" t="s">
        <v>402</v>
      </c>
      <c r="D366" s="4" t="s">
        <v>403</v>
      </c>
      <c r="E366" s="4" t="s">
        <v>114</v>
      </c>
      <c r="F366" s="4" t="s">
        <v>377</v>
      </c>
      <c r="G366" s="4" t="s">
        <v>236</v>
      </c>
      <c r="H366" s="5" t="e">
        <f>#REF!</f>
        <v>#REF!</v>
      </c>
      <c r="I366" s="6" t="e">
        <f t="shared" si="99"/>
        <v>#REF!</v>
      </c>
      <c r="J366" s="6" t="s">
        <v>52</v>
      </c>
      <c r="K366" s="6" t="s">
        <v>65</v>
      </c>
      <c r="L366" s="7" t="e">
        <f t="shared" si="100"/>
        <v>#REF!</v>
      </c>
      <c r="M366" s="7" t="s">
        <v>247</v>
      </c>
      <c r="N366" s="7" t="s">
        <v>193</v>
      </c>
      <c r="O366" s="7" t="str">
        <f>IF(OR($C366="",$C366="FID YOK"),"",IF(ISNUMBER(MATCH($C366,FA_ANA,0)),"",IF(COUNTIF($C$1:$C365,$C366)&gt;0,"",MAX($O$1:$O365)+1)))</f>
        <v/>
      </c>
      <c r="P366" s="8">
        <v>4</v>
      </c>
      <c r="Q366" s="7" t="e">
        <f>IF(OR($P366="",$P366="G",ISNA(MATCH($C366,FA,0))),"",IF(N(INDEX(F_G,MATCH($C366,FA,0)))&gt;0,INDEX(F_G,MATCH($C366,FA,0)),IF(N(INDEX(F_MODUL,MATCH($C366,FA,0)))&gt;0,INDEX(F_MODUL,MATCH($C366,FA,0))*MODUL_MM,"")))</f>
        <v>#REF!</v>
      </c>
      <c r="R366" s="7" t="e">
        <f>IF(OR($P366="",$P366="G",ISNA(MATCH($C366,FA,0))),"",IF(N(INDEX(F_Y,MATCH($C366,FA,0)))&gt;0,INDEX(F_Y,MATCH($C366,FA,0)),""))</f>
        <v>#REF!</v>
      </c>
      <c r="S366" s="7" t="e">
        <f>IF(OR($P366="",$P366="G",ISNA(MATCH($C366,FA,0))),"",IF(N(INDEX(F_D,MATCH($C366,FA,0)))&gt;0,INDEX(F_D,MATCH($C366,FA,0)),""))</f>
        <v>#REF!</v>
      </c>
      <c r="T366" s="7">
        <f>IF(ISNA(MATCH($C366,FA,0)),0,IF($J366="GIRIS",N(INDEX(F_INKOR,MATCH($C366,FA,0))),0))</f>
        <v>0</v>
      </c>
      <c r="U366" s="7" t="e">
        <f t="shared" si="105"/>
        <v>#REF!</v>
      </c>
      <c r="V366" s="7" t="e">
        <f t="shared" si="106"/>
        <v>#REF!</v>
      </c>
      <c r="W366" s="7" t="e">
        <f>IF(OR(NOT(ISNUMBER($P366)),$Q366=""),"",N(#REF!)*($Q366+IF(ISNA(MATCH($B366,TIP_AD,0)),0,N(INDEX(TIP_BOSLUK,MATCH($B366,TIP_AD,0))))))</f>
        <v>#REF!</v>
      </c>
      <c r="X366" s="7" t="e">
        <f>IF(ISNUMBER($P366),($Q366="")+($R366="")+($V366="")+IF(AND($U366="KONTAKTOR",NOT(ISNA(MATCH($B366,TIP_AD,0)))),IF(INDEX(TIP_BOSLUK,MATCH($B366,TIP_AD,0))&amp;""="",1,0),0),IF($P366="K",IF($S366="",1,0),0))</f>
        <v>#REF!</v>
      </c>
      <c r="Y366" s="7" t="e">
        <f>N(#REF!)*IF($E366="упак",MAX(1,IF(ISNA(MATCH($C366,FA,0)),1,N(INDEX(F_PAKET,MATCH($C366,FA,0))))),1)</f>
        <v>#REF!</v>
      </c>
      <c r="Z366" s="7" t="e">
        <f t="shared" si="101"/>
        <v>#REF!</v>
      </c>
      <c r="AA366" s="7" t="e">
        <f>IF(OR(ISNA(MATCH($C366,FA,0)),$J366="YEDEK",$J366="SARF"),0,N(#REF!)*N(INDEX(F_TEL,MATCH($C366,FA,0))))</f>
        <v>#REF!</v>
      </c>
      <c r="AB366" s="7" t="e">
        <f>IF(OR(ISNA(MATCH($C366,FA,0)),$J366="YEDEK",$J366="SARF"),0,N(#REF!)*N(INDEX(F_TELM,MATCH($C366,FA,0))))</f>
        <v>#REF!</v>
      </c>
      <c r="AC366" s="7" t="e">
        <f t="shared" si="102"/>
        <v>#REF!</v>
      </c>
      <c r="AD366" s="7" t="e">
        <f>IF(OR(ISNA(MATCH($C366,FA,0)),$J366&lt;&gt;"CIKIS"),0,N(INDEX(F_KK,MATCH($C366,FA,0))))</f>
        <v>#REF!</v>
      </c>
      <c r="AE366" s="7" t="e">
        <f>IF($AD366=0,0,N(#REF!)*N(INDEX(F_KLN,MATCH($C366,FA,0))))</f>
        <v>#REF!</v>
      </c>
      <c r="AF366" s="7" t="e">
        <f>IF($AD366=0,0,N(#REF!)*N(INDEX(F_KPE,MATCH($C366,FA,0))))</f>
        <v>#REF!</v>
      </c>
      <c r="AG366" s="7" t="e">
        <f>IF(ISNA(MATCH($C366,FA,0)),0,N(#REF!)*N(INDEX(F_MODUL,MATCH($C366,FA,0))))</f>
        <v>#REF!</v>
      </c>
      <c r="AH366" s="7" t="e">
        <f>N(#REF!)*N($I366)</f>
        <v>#REF!</v>
      </c>
      <c r="AI366" s="7" t="e">
        <f t="shared" si="103"/>
        <v>#REF!</v>
      </c>
      <c r="AJ366" s="7">
        <f t="shared" si="104"/>
        <v>0</v>
      </c>
    </row>
    <row r="367" spans="1:36" x14ac:dyDescent="0.25">
      <c r="A367" s="4" t="str">
        <f t="shared" si="98"/>
        <v>ШГП-3 (Ввод + Секция 1) (ВРУ1-21-10 модифицированная)(ВРУ1-41-00А)(260922 akram aulet)</v>
      </c>
      <c r="B367" s="4" t="s">
        <v>75</v>
      </c>
      <c r="C367" s="4" t="s">
        <v>465</v>
      </c>
      <c r="D367" s="4" t="s">
        <v>466</v>
      </c>
      <c r="E367" s="4" t="s">
        <v>114</v>
      </c>
      <c r="F367" s="4" t="s">
        <v>377</v>
      </c>
      <c r="G367" s="4" t="s">
        <v>236</v>
      </c>
      <c r="H367" s="5" t="e">
        <f>#REF!</f>
        <v>#REF!</v>
      </c>
      <c r="I367" s="6" t="e">
        <f t="shared" si="99"/>
        <v>#REF!</v>
      </c>
      <c r="J367" s="6" t="s">
        <v>66</v>
      </c>
      <c r="K367" s="6" t="s">
        <v>75</v>
      </c>
      <c r="L367" s="7" t="e">
        <f t="shared" si="100"/>
        <v>#REF!</v>
      </c>
      <c r="M367" s="7" t="s">
        <v>76</v>
      </c>
      <c r="N367" s="7" t="s">
        <v>77</v>
      </c>
      <c r="O367" s="7" t="str">
        <f>IF(OR($C367="",$C367="FID YOK"),"",IF(ISNUMBER(MATCH($C367,FA_ANA,0)),"",IF(COUNTIF($C$1:$C366,$C367)&gt;0,"",MAX($O$1:$O366)+1)))</f>
        <v/>
      </c>
      <c r="P367" s="8" t="s">
        <v>78</v>
      </c>
      <c r="Q367" s="7" t="e">
        <f>IF(OR($P367="",$P367="G",ISNA(MATCH($C367,FA,0))),"",IF(N(INDEX(F_G,MATCH($C367,FA,0)))&gt;0,INDEX(F_G,MATCH($C367,FA,0)),IF(N(INDEX(F_MODUL,MATCH($C367,FA,0)))&gt;0,INDEX(F_MODUL,MATCH($C367,FA,0))*MODUL_MM,"")))</f>
        <v>#REF!</v>
      </c>
      <c r="R367" s="7" t="e">
        <f>IF(OR($P367="",$P367="G",ISNA(MATCH($C367,FA,0))),"",IF(N(INDEX(F_Y,MATCH($C367,FA,0)))&gt;0,INDEX(F_Y,MATCH($C367,FA,0)),""))</f>
        <v>#REF!</v>
      </c>
      <c r="S367" s="7" t="e">
        <f>IF(OR($P367="",$P367="G",ISNA(MATCH($C367,FA,0))),"",IF(N(INDEX(F_D,MATCH($C367,FA,0)))&gt;0,INDEX(F_D,MATCH($C367,FA,0)),""))</f>
        <v>#REF!</v>
      </c>
      <c r="T367" s="7">
        <f>IF(ISNA(MATCH($C367,FA,0)),0,IF($J367="GIRIS",N(INDEX(F_INKOR,MATCH($C367,FA,0))),0))</f>
        <v>0</v>
      </c>
      <c r="U367" s="7" t="e">
        <f t="shared" si="105"/>
        <v>#REF!</v>
      </c>
      <c r="V367" s="7" t="str">
        <f t="shared" si="106"/>
        <v/>
      </c>
      <c r="W367" s="7" t="e">
        <f>IF(OR(NOT(ISNUMBER($P367)),$Q367=""),"",N(#REF!)*($Q367+IF(ISNA(MATCH($B367,TIP_AD,0)),0,N(INDEX(TIP_BOSLUK,MATCH($B367,TIP_AD,0))))))</f>
        <v>#REF!</v>
      </c>
      <c r="X367" s="7" t="e">
        <f>IF(ISNUMBER($P367),($Q367="")+($R367="")+($V367="")+IF(AND($U367="KONTAKTOR",NOT(ISNA(MATCH($B367,TIP_AD,0)))),IF(INDEX(TIP_BOSLUK,MATCH($B367,TIP_AD,0))&amp;""="",1,0),0),IF($P367="K",IF($S367="",1,0),0))</f>
        <v>#REF!</v>
      </c>
      <c r="Y367" s="7" t="e">
        <f>N(#REF!)*IF($E367="упак",MAX(1,IF(ISNA(MATCH($C367,FA,0)),1,N(INDEX(F_PAKET,MATCH($C367,FA,0))))),1)</f>
        <v>#REF!</v>
      </c>
      <c r="Z367" s="7" t="e">
        <f t="shared" si="101"/>
        <v>#REF!</v>
      </c>
      <c r="AA367" s="7" t="e">
        <f>IF(OR(ISNA(MATCH($C367,FA,0)),$J367="YEDEK",$J367="SARF"),0,N(#REF!)*N(INDEX(F_TEL,MATCH($C367,FA,0))))</f>
        <v>#REF!</v>
      </c>
      <c r="AB367" s="7" t="e">
        <f>IF(OR(ISNA(MATCH($C367,FA,0)),$J367="YEDEK",$J367="SARF"),0,N(#REF!)*N(INDEX(F_TELM,MATCH($C367,FA,0))))</f>
        <v>#REF!</v>
      </c>
      <c r="AC367" s="7" t="e">
        <f t="shared" si="102"/>
        <v>#REF!</v>
      </c>
      <c r="AD367" s="7">
        <f>IF(OR(ISNA(MATCH($C367,FA,0)),$J367&lt;&gt;"CIKIS"),0,N(INDEX(F_KK,MATCH($C367,FA,0))))</f>
        <v>0</v>
      </c>
      <c r="AE367" s="7">
        <f>IF($AD367=0,0,N(#REF!)*N(INDEX(F_KLN,MATCH($C367,FA,0))))</f>
        <v>0</v>
      </c>
      <c r="AF367" s="7">
        <f>IF($AD367=0,0,N(#REF!)*N(INDEX(F_KPE,MATCH($C367,FA,0))))</f>
        <v>0</v>
      </c>
      <c r="AG367" s="7" t="e">
        <f>IF(ISNA(MATCH($C367,FA,0)),0,N(#REF!)*N(INDEX(F_MODUL,MATCH($C367,FA,0))))</f>
        <v>#REF!</v>
      </c>
      <c r="AH367" s="7" t="e">
        <f>N(#REF!)*N($I367)</f>
        <v>#REF!</v>
      </c>
      <c r="AI367" s="7" t="e">
        <f t="shared" si="103"/>
        <v>#REF!</v>
      </c>
      <c r="AJ367" s="7">
        <f t="shared" si="104"/>
        <v>0</v>
      </c>
    </row>
    <row r="368" spans="1:36" x14ac:dyDescent="0.25">
      <c r="A368" s="4" t="str">
        <f t="shared" si="98"/>
        <v>ШГП-3 (Ввод + Секция 1) (ВРУ1-21-10 модифицированная)(ВРУ1-41-00А)(260922 akram aulet)</v>
      </c>
      <c r="B368" s="4" t="s">
        <v>75</v>
      </c>
      <c r="C368" s="4" t="s">
        <v>467</v>
      </c>
      <c r="D368" s="4" t="s">
        <v>468</v>
      </c>
      <c r="E368" s="4" t="s">
        <v>114</v>
      </c>
      <c r="F368" s="4" t="s">
        <v>377</v>
      </c>
      <c r="G368" s="4" t="s">
        <v>236</v>
      </c>
      <c r="H368" s="5" t="e">
        <f>#REF!</f>
        <v>#REF!</v>
      </c>
      <c r="I368" s="6" t="e">
        <f t="shared" si="99"/>
        <v>#REF!</v>
      </c>
      <c r="J368" s="6" t="s">
        <v>66</v>
      </c>
      <c r="K368" s="6" t="s">
        <v>75</v>
      </c>
      <c r="L368" s="7" t="e">
        <f t="shared" si="100"/>
        <v>#REF!</v>
      </c>
      <c r="M368" s="7" t="s">
        <v>79</v>
      </c>
      <c r="N368" s="7" t="s">
        <v>80</v>
      </c>
      <c r="O368" s="7" t="str">
        <f>IF(OR($C368="",$C368="FID YOK"),"",IF(ISNUMBER(MATCH($C368,FA_ANA,0)),"",IF(COUNTIF($C$1:$C367,$C368)&gt;0,"",MAX($O$1:$O367)+1)))</f>
        <v/>
      </c>
      <c r="P368" s="8" t="s">
        <v>78</v>
      </c>
      <c r="Q368" s="7" t="e">
        <f>IF(OR($P368="",$P368="G",ISNA(MATCH($C368,FA,0))),"",IF(N(INDEX(F_G,MATCH($C368,FA,0)))&gt;0,INDEX(F_G,MATCH($C368,FA,0)),IF(N(INDEX(F_MODUL,MATCH($C368,FA,0)))&gt;0,INDEX(F_MODUL,MATCH($C368,FA,0))*MODUL_MM,"")))</f>
        <v>#REF!</v>
      </c>
      <c r="R368" s="7" t="e">
        <f>IF(OR($P368="",$P368="G",ISNA(MATCH($C368,FA,0))),"",IF(N(INDEX(F_Y,MATCH($C368,FA,0)))&gt;0,INDEX(F_Y,MATCH($C368,FA,0)),""))</f>
        <v>#REF!</v>
      </c>
      <c r="S368" s="7" t="e">
        <f>IF(OR($P368="",$P368="G",ISNA(MATCH($C368,FA,0))),"",IF(N(INDEX(F_D,MATCH($C368,FA,0)))&gt;0,INDEX(F_D,MATCH($C368,FA,0)),""))</f>
        <v>#REF!</v>
      </c>
      <c r="T368" s="7">
        <f>IF(ISNA(MATCH($C368,FA,0)),0,IF($J368="GIRIS",N(INDEX(F_INKOR,MATCH($C368,FA,0))),0))</f>
        <v>0</v>
      </c>
      <c r="U368" s="7" t="e">
        <f t="shared" si="105"/>
        <v>#REF!</v>
      </c>
      <c r="V368" s="7" t="str">
        <f t="shared" si="106"/>
        <v/>
      </c>
      <c r="W368" s="7" t="e">
        <f>IF(OR(NOT(ISNUMBER($P368)),$Q368=""),"",N(#REF!)*($Q368+IF(ISNA(MATCH($B368,TIP_AD,0)),0,N(INDEX(TIP_BOSLUK,MATCH($B368,TIP_AD,0))))))</f>
        <v>#REF!</v>
      </c>
      <c r="X368" s="7" t="e">
        <f>IF(ISNUMBER($P368),($Q368="")+($R368="")+($V368="")+IF(AND($U368="KONTAKTOR",NOT(ISNA(MATCH($B368,TIP_AD,0)))),IF(INDEX(TIP_BOSLUK,MATCH($B368,TIP_AD,0))&amp;""="",1,0),0),IF($P368="K",IF($S368="",1,0),0))</f>
        <v>#REF!</v>
      </c>
      <c r="Y368" s="7" t="e">
        <f>N(#REF!)*IF($E368="упак",MAX(1,IF(ISNA(MATCH($C368,FA,0)),1,N(INDEX(F_PAKET,MATCH($C368,FA,0))))),1)</f>
        <v>#REF!</v>
      </c>
      <c r="Z368" s="7" t="e">
        <f t="shared" si="101"/>
        <v>#REF!</v>
      </c>
      <c r="AA368" s="7" t="e">
        <f>IF(OR(ISNA(MATCH($C368,FA,0)),$J368="YEDEK",$J368="SARF"),0,N(#REF!)*N(INDEX(F_TEL,MATCH($C368,FA,0))))</f>
        <v>#REF!</v>
      </c>
      <c r="AB368" s="7" t="e">
        <f>IF(OR(ISNA(MATCH($C368,FA,0)),$J368="YEDEK",$J368="SARF"),0,N(#REF!)*N(INDEX(F_TELM,MATCH($C368,FA,0))))</f>
        <v>#REF!</v>
      </c>
      <c r="AC368" s="7" t="e">
        <f t="shared" si="102"/>
        <v>#REF!</v>
      </c>
      <c r="AD368" s="7">
        <f>IF(OR(ISNA(MATCH($C368,FA,0)),$J368&lt;&gt;"CIKIS"),0,N(INDEX(F_KK,MATCH($C368,FA,0))))</f>
        <v>0</v>
      </c>
      <c r="AE368" s="7">
        <f>IF($AD368=0,0,N(#REF!)*N(INDEX(F_KLN,MATCH($C368,FA,0))))</f>
        <v>0</v>
      </c>
      <c r="AF368" s="7">
        <f>IF($AD368=0,0,N(#REF!)*N(INDEX(F_KPE,MATCH($C368,FA,0))))</f>
        <v>0</v>
      </c>
      <c r="AG368" s="7" t="e">
        <f>IF(ISNA(MATCH($C368,FA,0)),0,N(#REF!)*N(INDEX(F_MODUL,MATCH($C368,FA,0))))</f>
        <v>#REF!</v>
      </c>
      <c r="AH368" s="7" t="e">
        <f>N(#REF!)*N($I368)</f>
        <v>#REF!</v>
      </c>
      <c r="AI368" s="7" t="e">
        <f t="shared" si="103"/>
        <v>#REF!</v>
      </c>
      <c r="AJ368" s="7">
        <f t="shared" si="104"/>
        <v>0</v>
      </c>
    </row>
    <row r="369" spans="1:36" x14ac:dyDescent="0.25">
      <c r="A369" s="4" t="str">
        <f t="shared" si="98"/>
        <v>ШГП-3 (Ввод + Секция 1) (ВРУ1-21-10 модифицированная)(ВРУ1-41-00А)(260922 akram aulet)</v>
      </c>
      <c r="B369" s="4" t="s">
        <v>75</v>
      </c>
      <c r="C369" s="4" t="s">
        <v>469</v>
      </c>
      <c r="D369" s="4" t="s">
        <v>470</v>
      </c>
      <c r="E369" s="4" t="s">
        <v>114</v>
      </c>
      <c r="F369" s="4" t="s">
        <v>377</v>
      </c>
      <c r="G369" s="4" t="s">
        <v>236</v>
      </c>
      <c r="H369" s="5" t="e">
        <f>#REF!</f>
        <v>#REF!</v>
      </c>
      <c r="I369" s="6" t="e">
        <f t="shared" si="99"/>
        <v>#REF!</v>
      </c>
      <c r="J369" s="6" t="s">
        <v>66</v>
      </c>
      <c r="K369" s="6" t="s">
        <v>75</v>
      </c>
      <c r="L369" s="7" t="e">
        <f t="shared" si="100"/>
        <v>#REF!</v>
      </c>
      <c r="M369" s="7" t="s">
        <v>81</v>
      </c>
      <c r="N369" s="7" t="s">
        <v>82</v>
      </c>
      <c r="O369" s="7" t="str">
        <f>IF(OR($C369="",$C369="FID YOK"),"",IF(ISNUMBER(MATCH($C369,FA_ANA,0)),"",IF(COUNTIF($C$1:$C368,$C369)&gt;0,"",MAX($O$1:$O368)+1)))</f>
        <v/>
      </c>
      <c r="P369" s="8" t="s">
        <v>78</v>
      </c>
      <c r="Q369" s="7" t="e">
        <f>IF(OR($P369="",$P369="G",ISNA(MATCH($C369,FA,0))),"",IF(N(INDEX(F_G,MATCH($C369,FA,0)))&gt;0,INDEX(F_G,MATCH($C369,FA,0)),IF(N(INDEX(F_MODUL,MATCH($C369,FA,0)))&gt;0,INDEX(F_MODUL,MATCH($C369,FA,0))*MODUL_MM,"")))</f>
        <v>#REF!</v>
      </c>
      <c r="R369" s="7" t="e">
        <f>IF(OR($P369="",$P369="G",ISNA(MATCH($C369,FA,0))),"",IF(N(INDEX(F_Y,MATCH($C369,FA,0)))&gt;0,INDEX(F_Y,MATCH($C369,FA,0)),""))</f>
        <v>#REF!</v>
      </c>
      <c r="S369" s="7" t="e">
        <f>IF(OR($P369="",$P369="G",ISNA(MATCH($C369,FA,0))),"",IF(N(INDEX(F_D,MATCH($C369,FA,0)))&gt;0,INDEX(F_D,MATCH($C369,FA,0)),""))</f>
        <v>#REF!</v>
      </c>
      <c r="T369" s="7">
        <f>IF(ISNA(MATCH($C369,FA,0)),0,IF($J369="GIRIS",N(INDEX(F_INKOR,MATCH($C369,FA,0))),0))</f>
        <v>0</v>
      </c>
      <c r="U369" s="7" t="e">
        <f t="shared" si="105"/>
        <v>#REF!</v>
      </c>
      <c r="V369" s="7" t="str">
        <f t="shared" si="106"/>
        <v/>
      </c>
      <c r="W369" s="7" t="e">
        <f>IF(OR(NOT(ISNUMBER($P369)),$Q369=""),"",N(#REF!)*($Q369+IF(ISNA(MATCH($B369,TIP_AD,0)),0,N(INDEX(TIP_BOSLUK,MATCH($B369,TIP_AD,0))))))</f>
        <v>#REF!</v>
      </c>
      <c r="X369" s="7" t="e">
        <f>IF(ISNUMBER($P369),($Q369="")+($R369="")+($V369="")+IF(AND($U369="KONTAKTOR",NOT(ISNA(MATCH($B369,TIP_AD,0)))),IF(INDEX(TIP_BOSLUK,MATCH($B369,TIP_AD,0))&amp;""="",1,0),0),IF($P369="K",IF($S369="",1,0),0))</f>
        <v>#REF!</v>
      </c>
      <c r="Y369" s="7" t="e">
        <f>N(#REF!)*IF($E369="упак",MAX(1,IF(ISNA(MATCH($C369,FA,0)),1,N(INDEX(F_PAKET,MATCH($C369,FA,0))))),1)</f>
        <v>#REF!</v>
      </c>
      <c r="Z369" s="7" t="e">
        <f t="shared" si="101"/>
        <v>#REF!</v>
      </c>
      <c r="AA369" s="7" t="e">
        <f>IF(OR(ISNA(MATCH($C369,FA,0)),$J369="YEDEK",$J369="SARF"),0,N(#REF!)*N(INDEX(F_TEL,MATCH($C369,FA,0))))</f>
        <v>#REF!</v>
      </c>
      <c r="AB369" s="7" t="e">
        <f>IF(OR(ISNA(MATCH($C369,FA,0)),$J369="YEDEK",$J369="SARF"),0,N(#REF!)*N(INDEX(F_TELM,MATCH($C369,FA,0))))</f>
        <v>#REF!</v>
      </c>
      <c r="AC369" s="7" t="e">
        <f t="shared" si="102"/>
        <v>#REF!</v>
      </c>
      <c r="AD369" s="7">
        <f>IF(OR(ISNA(MATCH($C369,FA,0)),$J369&lt;&gt;"CIKIS"),0,N(INDEX(F_KK,MATCH($C369,FA,0))))</f>
        <v>0</v>
      </c>
      <c r="AE369" s="7">
        <f>IF($AD369=0,0,N(#REF!)*N(INDEX(F_KLN,MATCH($C369,FA,0))))</f>
        <v>0</v>
      </c>
      <c r="AF369" s="7">
        <f>IF($AD369=0,0,N(#REF!)*N(INDEX(F_KPE,MATCH($C369,FA,0))))</f>
        <v>0</v>
      </c>
      <c r="AG369" s="7" t="e">
        <f>IF(ISNA(MATCH($C369,FA,0)),0,N(#REF!)*N(INDEX(F_MODUL,MATCH($C369,FA,0))))</f>
        <v>#REF!</v>
      </c>
      <c r="AH369" s="7" t="e">
        <f>N(#REF!)*N($I369)</f>
        <v>#REF!</v>
      </c>
      <c r="AI369" s="7" t="e">
        <f t="shared" si="103"/>
        <v>#REF!</v>
      </c>
      <c r="AJ369" s="7">
        <f t="shared" si="104"/>
        <v>0</v>
      </c>
    </row>
    <row r="370" spans="1:36" x14ac:dyDescent="0.25">
      <c r="A370" s="4" t="str">
        <f t="shared" si="98"/>
        <v>ШГП-3 (Ввод + Секция 1) (ВРУ1-21-10 модифицированная)(ВРУ1-41-00А)(260922 akram aulet)</v>
      </c>
      <c r="B370" s="4" t="s">
        <v>202</v>
      </c>
      <c r="C370" s="4" t="s">
        <v>583</v>
      </c>
      <c r="D370" s="4" t="s">
        <v>584</v>
      </c>
      <c r="E370" s="4" t="s">
        <v>114</v>
      </c>
      <c r="F370" s="4" t="s">
        <v>486</v>
      </c>
      <c r="G370" s="4" t="s">
        <v>236</v>
      </c>
      <c r="H370" s="5" t="e">
        <f>#REF!</f>
        <v>#REF!</v>
      </c>
      <c r="I370" s="6" t="e">
        <f t="shared" si="99"/>
        <v>#REF!</v>
      </c>
      <c r="J370" s="6" t="s">
        <v>84</v>
      </c>
      <c r="K370" s="6" t="s">
        <v>202</v>
      </c>
      <c r="L370" s="7" t="e">
        <f t="shared" si="100"/>
        <v>#REF!</v>
      </c>
      <c r="M370" s="7" t="s">
        <v>203</v>
      </c>
      <c r="O370" s="7" t="str">
        <f>IF(OR($C370="",$C370="FID YOK"),"",IF(ISNUMBER(MATCH($C370,FA_ANA,0)),"",IF(COUNTIF($C$1:$C369,$C370)&gt;0,"",MAX($O$1:$O369)+1)))</f>
        <v/>
      </c>
      <c r="T370" s="7">
        <f>IF(ISNA(MATCH($C370,FA,0)),0,IF($J370="GIRIS",N(INDEX(F_INKOR,MATCH($C370,FA,0))),0))</f>
        <v>0</v>
      </c>
      <c r="Y370" s="7" t="e">
        <f>N(#REF!)*IF($E370="упак",MAX(1,IF(ISNA(MATCH($C370,FA,0)),1,N(INDEX(F_PAKET,MATCH($C370,FA,0))))),1)</f>
        <v>#REF!</v>
      </c>
      <c r="Z370" s="7" t="e">
        <f t="shared" si="101"/>
        <v>#REF!</v>
      </c>
      <c r="AA370" s="7">
        <f>IF(OR(ISNA(MATCH($C370,FA,0)),$J370="YEDEK",$J370="SARF"),0,N(#REF!)*N(INDEX(F_TEL,MATCH($C370,FA,0))))</f>
        <v>0</v>
      </c>
      <c r="AB370" s="7">
        <f>IF(OR(ISNA(MATCH($C370,FA,0)),$J370="YEDEK",$J370="SARF"),0,N(#REF!)*N(INDEX(F_TELM,MATCH($C370,FA,0))))</f>
        <v>0</v>
      </c>
      <c r="AC370" s="7" t="e">
        <f t="shared" si="102"/>
        <v>#REF!</v>
      </c>
      <c r="AD370" s="7">
        <f>IF(OR(ISNA(MATCH($C370,FA,0)),$J370&lt;&gt;"CIKIS"),0,N(INDEX(F_KK,MATCH($C370,FA,0))))</f>
        <v>0</v>
      </c>
      <c r="AE370" s="7">
        <f>IF($AD370=0,0,N(#REF!)*N(INDEX(F_KLN,MATCH($C370,FA,0))))</f>
        <v>0</v>
      </c>
      <c r="AF370" s="7">
        <f>IF($AD370=0,0,N(#REF!)*N(INDEX(F_KPE,MATCH($C370,FA,0))))</f>
        <v>0</v>
      </c>
      <c r="AG370" s="7" t="e">
        <f>IF(ISNA(MATCH($C370,FA,0)),0,N(#REF!)*N(INDEX(F_MODUL,MATCH($C370,FA,0))))</f>
        <v>#REF!</v>
      </c>
      <c r="AH370" s="7" t="e">
        <f>N(#REF!)*N($I370)</f>
        <v>#REF!</v>
      </c>
      <c r="AI370" s="7" t="e">
        <f t="shared" si="103"/>
        <v>#REF!</v>
      </c>
      <c r="AJ370" s="7">
        <f t="shared" si="104"/>
        <v>0</v>
      </c>
    </row>
    <row r="371" spans="1:36" x14ac:dyDescent="0.25">
      <c r="A371" s="4" t="str">
        <f t="shared" si="98"/>
        <v>ШГП-3 (Ввод + Секция 1) (ВРУ1-21-10 модифицированная)(ВРУ1-41-00А)(260922 akram aulet)</v>
      </c>
      <c r="B371" s="4" t="s">
        <v>202</v>
      </c>
      <c r="C371" s="4" t="s">
        <v>581</v>
      </c>
      <c r="D371" s="4" t="s">
        <v>582</v>
      </c>
      <c r="E371" s="4" t="s">
        <v>114</v>
      </c>
      <c r="F371" s="4" t="s">
        <v>486</v>
      </c>
      <c r="G371" s="4" t="s">
        <v>236</v>
      </c>
      <c r="H371" s="5" t="e">
        <f>#REF!</f>
        <v>#REF!</v>
      </c>
      <c r="I371" s="6" t="e">
        <f t="shared" si="99"/>
        <v>#REF!</v>
      </c>
      <c r="J371" s="6" t="s">
        <v>84</v>
      </c>
      <c r="K371" s="6" t="s">
        <v>202</v>
      </c>
      <c r="L371" s="7" t="e">
        <f t="shared" si="100"/>
        <v>#REF!</v>
      </c>
      <c r="M371" s="7" t="s">
        <v>204</v>
      </c>
      <c r="O371" s="7">
        <f>IF(OR($C371="",$C371="FID YOK"),"",IF(ISNUMBER(MATCH($C371,FA_ANA,0)),"",IF(COUNTIF($C$1:$C370,$C371)&gt;0,"",MAX($O$1:$O370)+1)))</f>
        <v>83</v>
      </c>
      <c r="T371" s="7">
        <f>IF(ISNA(MATCH($C371,FA,0)),0,IF($J371="GIRIS",N(INDEX(F_INKOR,MATCH($C371,FA,0))),0))</f>
        <v>0</v>
      </c>
      <c r="Y371" s="7" t="e">
        <f>N(#REF!)*IF($E371="упак",MAX(1,IF(ISNA(MATCH($C371,FA,0)),1,N(INDEX(F_PAKET,MATCH($C371,FA,0))))),1)</f>
        <v>#REF!</v>
      </c>
      <c r="Z371" s="7" t="e">
        <f t="shared" si="101"/>
        <v>#REF!</v>
      </c>
      <c r="AA371" s="7">
        <f>IF(OR(ISNA(MATCH($C371,FA,0)),$J371="YEDEK",$J371="SARF"),0,N(#REF!)*N(INDEX(F_TEL,MATCH($C371,FA,0))))</f>
        <v>0</v>
      </c>
      <c r="AB371" s="7">
        <f>IF(OR(ISNA(MATCH($C371,FA,0)),$J371="YEDEK",$J371="SARF"),0,N(#REF!)*N(INDEX(F_TELM,MATCH($C371,FA,0))))</f>
        <v>0</v>
      </c>
      <c r="AC371" s="7" t="e">
        <f t="shared" si="102"/>
        <v>#REF!</v>
      </c>
      <c r="AD371" s="7">
        <f>IF(OR(ISNA(MATCH($C371,FA,0)),$J371&lt;&gt;"CIKIS"),0,N(INDEX(F_KK,MATCH($C371,FA,0))))</f>
        <v>0</v>
      </c>
      <c r="AE371" s="7">
        <f>IF($AD371=0,0,N(#REF!)*N(INDEX(F_KLN,MATCH($C371,FA,0))))</f>
        <v>0</v>
      </c>
      <c r="AF371" s="7">
        <f>IF($AD371=0,0,N(#REF!)*N(INDEX(F_KPE,MATCH($C371,FA,0))))</f>
        <v>0</v>
      </c>
      <c r="AG371" s="7" t="e">
        <f>IF(ISNA(MATCH($C371,FA,0)),0,N(#REF!)*N(INDEX(F_MODUL,MATCH($C371,FA,0))))</f>
        <v>#REF!</v>
      </c>
      <c r="AH371" s="7" t="e">
        <f>N(#REF!)*N($I371)</f>
        <v>#REF!</v>
      </c>
      <c r="AI371" s="7" t="e">
        <f t="shared" si="103"/>
        <v>#REF!</v>
      </c>
      <c r="AJ371" s="7">
        <f t="shared" si="104"/>
        <v>0</v>
      </c>
    </row>
    <row r="372" spans="1:36" x14ac:dyDescent="0.25">
      <c r="A372" s="4" t="str">
        <f t="shared" si="98"/>
        <v>ШГП-3 (Ввод + Секция 1) (ВРУ1-21-10 модифицированная)(ВРУ1-41-00А)(260922 akram aulet)</v>
      </c>
      <c r="B372" s="4" t="s">
        <v>90</v>
      </c>
      <c r="C372" s="4" t="s">
        <v>518</v>
      </c>
      <c r="D372" s="4" t="s">
        <v>519</v>
      </c>
      <c r="E372" s="4" t="s">
        <v>520</v>
      </c>
      <c r="F372" s="4" t="s">
        <v>486</v>
      </c>
      <c r="G372" s="4" t="s">
        <v>236</v>
      </c>
      <c r="H372" s="5" t="e">
        <f>#REF!</f>
        <v>#REF!</v>
      </c>
      <c r="I372" s="6" t="e">
        <f t="shared" si="99"/>
        <v>#REF!</v>
      </c>
      <c r="J372" s="6" t="s">
        <v>84</v>
      </c>
      <c r="K372" s="6" t="s">
        <v>90</v>
      </c>
      <c r="L372" s="7" t="e">
        <f t="shared" si="100"/>
        <v>#REF!</v>
      </c>
      <c r="M372" s="7" t="s">
        <v>91</v>
      </c>
      <c r="O372" s="7" t="str">
        <f>IF(OR($C372="",$C372="FID YOK"),"",IF(ISNUMBER(MATCH($C372,FA_ANA,0)),"",IF(COUNTIF($C$1:$C371,$C372)&gt;0,"",MAX($O$1:$O371)+1)))</f>
        <v/>
      </c>
      <c r="T372" s="7">
        <f>IF(ISNA(MATCH($C372,FA,0)),0,IF($J372="GIRIS",N(INDEX(F_INKOR,MATCH($C372,FA,0))),0))</f>
        <v>0</v>
      </c>
      <c r="Y372" s="7" t="e">
        <f>N(#REF!)*IF($E372="упак",MAX(1,IF(ISNA(MATCH($C372,FA,0)),1,N(INDEX(F_PAKET,MATCH($C372,FA,0))))),1)</f>
        <v>#REF!</v>
      </c>
      <c r="Z372" s="7" t="e">
        <f t="shared" si="101"/>
        <v>#REF!</v>
      </c>
      <c r="AA372" s="7">
        <f>IF(OR(ISNA(MATCH($C372,FA,0)),$J372="YEDEK",$J372="SARF"),0,N(#REF!)*N(INDEX(F_TEL,MATCH($C372,FA,0))))</f>
        <v>0</v>
      </c>
      <c r="AB372" s="7">
        <f>IF(OR(ISNA(MATCH($C372,FA,0)),$J372="YEDEK",$J372="SARF"),0,N(#REF!)*N(INDEX(F_TELM,MATCH($C372,FA,0))))</f>
        <v>0</v>
      </c>
      <c r="AC372" s="7" t="e">
        <f t="shared" si="102"/>
        <v>#REF!</v>
      </c>
      <c r="AD372" s="7">
        <f>IF(OR(ISNA(MATCH($C372,FA,0)),$J372&lt;&gt;"CIKIS"),0,N(INDEX(F_KK,MATCH($C372,FA,0))))</f>
        <v>0</v>
      </c>
      <c r="AE372" s="7">
        <f>IF($AD372=0,0,N(#REF!)*N(INDEX(F_KLN,MATCH($C372,FA,0))))</f>
        <v>0</v>
      </c>
      <c r="AF372" s="7">
        <f>IF($AD372=0,0,N(#REF!)*N(INDEX(F_KPE,MATCH($C372,FA,0))))</f>
        <v>0</v>
      </c>
      <c r="AG372" s="7" t="e">
        <f>IF(ISNA(MATCH($C372,FA,0)),0,N(#REF!)*N(INDEX(F_MODUL,MATCH($C372,FA,0))))</f>
        <v>#REF!</v>
      </c>
      <c r="AH372" s="7" t="e">
        <f>N(#REF!)*N($I372)</f>
        <v>#REF!</v>
      </c>
      <c r="AI372" s="7" t="e">
        <f t="shared" si="103"/>
        <v>#REF!</v>
      </c>
      <c r="AJ372" s="7">
        <f t="shared" si="104"/>
        <v>0</v>
      </c>
    </row>
    <row r="373" spans="1:36" x14ac:dyDescent="0.25">
      <c r="A373" s="4" t="str">
        <f t="shared" si="98"/>
        <v>ШГП-3 (Ввод + Секция 1) (ВРУ1-21-10 модифицированная)(ВРУ1-41-00А)(260922 akram aulet)</v>
      </c>
      <c r="B373" s="4" t="s">
        <v>92</v>
      </c>
      <c r="C373" s="4" t="s">
        <v>523</v>
      </c>
      <c r="D373" s="4" t="s">
        <v>524</v>
      </c>
      <c r="E373" s="4" t="s">
        <v>520</v>
      </c>
      <c r="F373" s="4" t="s">
        <v>521</v>
      </c>
      <c r="G373" s="4" t="s">
        <v>236</v>
      </c>
      <c r="H373" s="5" t="e">
        <f>#REF!</f>
        <v>#REF!</v>
      </c>
      <c r="I373" s="6" t="e">
        <f t="shared" si="99"/>
        <v>#REF!</v>
      </c>
      <c r="J373" s="6" t="s">
        <v>84</v>
      </c>
      <c r="K373" s="6" t="s">
        <v>92</v>
      </c>
      <c r="L373" s="7" t="e">
        <f t="shared" si="100"/>
        <v>#REF!</v>
      </c>
      <c r="M373" s="7" t="s">
        <v>93</v>
      </c>
      <c r="O373" s="7" t="str">
        <f>IF(OR($C373="",$C373="FID YOK"),"",IF(ISNUMBER(MATCH($C373,FA_ANA,0)),"",IF(COUNTIF($C$1:$C372,$C373)&gt;0,"",MAX($O$1:$O372)+1)))</f>
        <v/>
      </c>
      <c r="T373" s="7">
        <f>IF(ISNA(MATCH($C373,FA,0)),0,IF($J373="GIRIS",N(INDEX(F_INKOR,MATCH($C373,FA,0))),0))</f>
        <v>0</v>
      </c>
      <c r="Y373" s="7" t="e">
        <f>N(#REF!)*IF($E373="упак",MAX(1,IF(ISNA(MATCH($C373,FA,0)),1,N(INDEX(F_PAKET,MATCH($C373,FA,0))))),1)</f>
        <v>#REF!</v>
      </c>
      <c r="Z373" s="7" t="e">
        <f t="shared" si="101"/>
        <v>#REF!</v>
      </c>
      <c r="AA373" s="7">
        <f>IF(OR(ISNA(MATCH($C373,FA,0)),$J373="YEDEK",$J373="SARF"),0,N(#REF!)*N(INDEX(F_TEL,MATCH($C373,FA,0))))</f>
        <v>0</v>
      </c>
      <c r="AB373" s="7">
        <f>IF(OR(ISNA(MATCH($C373,FA,0)),$J373="YEDEK",$J373="SARF"),0,N(#REF!)*N(INDEX(F_TELM,MATCH($C373,FA,0))))</f>
        <v>0</v>
      </c>
      <c r="AC373" s="7" t="e">
        <f t="shared" si="102"/>
        <v>#REF!</v>
      </c>
      <c r="AD373" s="7">
        <f>IF(OR(ISNA(MATCH($C373,FA,0)),$J373&lt;&gt;"CIKIS"),0,N(INDEX(F_KK,MATCH($C373,FA,0))))</f>
        <v>0</v>
      </c>
      <c r="AE373" s="7">
        <f>IF($AD373=0,0,N(#REF!)*N(INDEX(F_KLN,MATCH($C373,FA,0))))</f>
        <v>0</v>
      </c>
      <c r="AF373" s="7">
        <f>IF($AD373=0,0,N(#REF!)*N(INDEX(F_KPE,MATCH($C373,FA,0))))</f>
        <v>0</v>
      </c>
      <c r="AG373" s="7" t="e">
        <f>IF(ISNA(MATCH($C373,FA,0)),0,N(#REF!)*N(INDEX(F_MODUL,MATCH($C373,FA,0))))</f>
        <v>#REF!</v>
      </c>
      <c r="AH373" s="7" t="e">
        <f>N(#REF!)*N($I373)</f>
        <v>#REF!</v>
      </c>
      <c r="AI373" s="7" t="e">
        <f t="shared" si="103"/>
        <v>#REF!</v>
      </c>
      <c r="AJ373" s="7">
        <f t="shared" si="104"/>
        <v>0</v>
      </c>
    </row>
    <row r="374" spans="1:36" x14ac:dyDescent="0.25">
      <c r="A374" s="4" t="str">
        <f t="shared" si="98"/>
        <v>ШГП-3 (Ввод + Секция 1) (ВРУ1-21-10 модифицированная)(ВРУ1-41-00А)(260922 akram aulet)</v>
      </c>
      <c r="B374" s="4" t="s">
        <v>92</v>
      </c>
      <c r="C374" s="4" t="s">
        <v>527</v>
      </c>
      <c r="D374" s="4" t="s">
        <v>528</v>
      </c>
      <c r="E374" s="4" t="s">
        <v>520</v>
      </c>
      <c r="F374" s="4" t="s">
        <v>521</v>
      </c>
      <c r="G374" s="4" t="s">
        <v>236</v>
      </c>
      <c r="H374" s="5" t="e">
        <f>#REF!</f>
        <v>#REF!</v>
      </c>
      <c r="I374" s="6" t="e">
        <f t="shared" si="99"/>
        <v>#REF!</v>
      </c>
      <c r="J374" s="6" t="s">
        <v>84</v>
      </c>
      <c r="K374" s="6" t="s">
        <v>92</v>
      </c>
      <c r="L374" s="7" t="e">
        <f t="shared" si="100"/>
        <v>#REF!</v>
      </c>
      <c r="M374" s="7" t="s">
        <v>94</v>
      </c>
      <c r="O374" s="7" t="str">
        <f>IF(OR($C374="",$C374="FID YOK"),"",IF(ISNUMBER(MATCH($C374,FA_ANA,0)),"",IF(COUNTIF($C$1:$C373,$C374)&gt;0,"",MAX($O$1:$O373)+1)))</f>
        <v/>
      </c>
      <c r="T374" s="7">
        <f>IF(ISNA(MATCH($C374,FA,0)),0,IF($J374="GIRIS",N(INDEX(F_INKOR,MATCH($C374,FA,0))),0))</f>
        <v>0</v>
      </c>
      <c r="Y374" s="7" t="e">
        <f>N(#REF!)*IF($E374="упак",MAX(1,IF(ISNA(MATCH($C374,FA,0)),1,N(INDEX(F_PAKET,MATCH($C374,FA,0))))),1)</f>
        <v>#REF!</v>
      </c>
      <c r="Z374" s="7" t="e">
        <f t="shared" si="101"/>
        <v>#REF!</v>
      </c>
      <c r="AA374" s="7">
        <f>IF(OR(ISNA(MATCH($C374,FA,0)),$J374="YEDEK",$J374="SARF"),0,N(#REF!)*N(INDEX(F_TEL,MATCH($C374,FA,0))))</f>
        <v>0</v>
      </c>
      <c r="AB374" s="7">
        <f>IF(OR(ISNA(MATCH($C374,FA,0)),$J374="YEDEK",$J374="SARF"),0,N(#REF!)*N(INDEX(F_TELM,MATCH($C374,FA,0))))</f>
        <v>0</v>
      </c>
      <c r="AC374" s="7" t="e">
        <f t="shared" si="102"/>
        <v>#REF!</v>
      </c>
      <c r="AD374" s="7">
        <f>IF(OR(ISNA(MATCH($C374,FA,0)),$J374&lt;&gt;"CIKIS"),0,N(INDEX(F_KK,MATCH($C374,FA,0))))</f>
        <v>0</v>
      </c>
      <c r="AE374" s="7">
        <f>IF($AD374=0,0,N(#REF!)*N(INDEX(F_KLN,MATCH($C374,FA,0))))</f>
        <v>0</v>
      </c>
      <c r="AF374" s="7">
        <f>IF($AD374=0,0,N(#REF!)*N(INDEX(F_KPE,MATCH($C374,FA,0))))</f>
        <v>0</v>
      </c>
      <c r="AG374" s="7" t="e">
        <f>IF(ISNA(MATCH($C374,FA,0)),0,N(#REF!)*N(INDEX(F_MODUL,MATCH($C374,FA,0))))</f>
        <v>#REF!</v>
      </c>
      <c r="AH374" s="7" t="e">
        <f>N(#REF!)*N($I374)</f>
        <v>#REF!</v>
      </c>
      <c r="AI374" s="7" t="e">
        <f t="shared" si="103"/>
        <v>#REF!</v>
      </c>
      <c r="AJ374" s="7">
        <f t="shared" si="104"/>
        <v>0</v>
      </c>
    </row>
    <row r="375" spans="1:36" x14ac:dyDescent="0.25">
      <c r="A375" s="4" t="str">
        <f t="shared" si="98"/>
        <v>ШГП-3 (Ввод + Секция 1) (ВРУ1-21-10 модифицированная)(ВРУ1-41-00А)(260922 akram aulet)</v>
      </c>
      <c r="B375" s="4" t="s">
        <v>92</v>
      </c>
      <c r="C375" s="4" t="s">
        <v>531</v>
      </c>
      <c r="D375" s="4" t="s">
        <v>532</v>
      </c>
      <c r="E375" s="4" t="s">
        <v>520</v>
      </c>
      <c r="F375" s="4" t="s">
        <v>521</v>
      </c>
      <c r="G375" s="4" t="s">
        <v>236</v>
      </c>
      <c r="H375" s="5" t="e">
        <f>#REF!</f>
        <v>#REF!</v>
      </c>
      <c r="I375" s="6" t="e">
        <f t="shared" si="99"/>
        <v>#REF!</v>
      </c>
      <c r="J375" s="6" t="s">
        <v>84</v>
      </c>
      <c r="K375" s="6" t="s">
        <v>92</v>
      </c>
      <c r="L375" s="7" t="e">
        <f t="shared" si="100"/>
        <v>#REF!</v>
      </c>
      <c r="M375" s="7" t="s">
        <v>95</v>
      </c>
      <c r="O375" s="7" t="str">
        <f>IF(OR($C375="",$C375="FID YOK"),"",IF(ISNUMBER(MATCH($C375,FA_ANA,0)),"",IF(COUNTIF($C$1:$C374,$C375)&gt;0,"",MAX($O$1:$O374)+1)))</f>
        <v/>
      </c>
      <c r="T375" s="7">
        <f>IF(ISNA(MATCH($C375,FA,0)),0,IF($J375="GIRIS",N(INDEX(F_INKOR,MATCH($C375,FA,0))),0))</f>
        <v>0</v>
      </c>
      <c r="Y375" s="7" t="e">
        <f>N(#REF!)*IF($E375="упак",MAX(1,IF(ISNA(MATCH($C375,FA,0)),1,N(INDEX(F_PAKET,MATCH($C375,FA,0))))),1)</f>
        <v>#REF!</v>
      </c>
      <c r="Z375" s="7" t="e">
        <f t="shared" si="101"/>
        <v>#REF!</v>
      </c>
      <c r="AA375" s="7">
        <f>IF(OR(ISNA(MATCH($C375,FA,0)),$J375="YEDEK",$J375="SARF"),0,N(#REF!)*N(INDEX(F_TEL,MATCH($C375,FA,0))))</f>
        <v>0</v>
      </c>
      <c r="AB375" s="7">
        <f>IF(OR(ISNA(MATCH($C375,FA,0)),$J375="YEDEK",$J375="SARF"),0,N(#REF!)*N(INDEX(F_TELM,MATCH($C375,FA,0))))</f>
        <v>0</v>
      </c>
      <c r="AC375" s="7" t="e">
        <f t="shared" si="102"/>
        <v>#REF!</v>
      </c>
      <c r="AD375" s="7">
        <f>IF(OR(ISNA(MATCH($C375,FA,0)),$J375&lt;&gt;"CIKIS"),0,N(INDEX(F_KK,MATCH($C375,FA,0))))</f>
        <v>0</v>
      </c>
      <c r="AE375" s="7">
        <f>IF($AD375=0,0,N(#REF!)*N(INDEX(F_KLN,MATCH($C375,FA,0))))</f>
        <v>0</v>
      </c>
      <c r="AF375" s="7">
        <f>IF($AD375=0,0,N(#REF!)*N(INDEX(F_KPE,MATCH($C375,FA,0))))</f>
        <v>0</v>
      </c>
      <c r="AG375" s="7" t="e">
        <f>IF(ISNA(MATCH($C375,FA,0)),0,N(#REF!)*N(INDEX(F_MODUL,MATCH($C375,FA,0))))</f>
        <v>#REF!</v>
      </c>
      <c r="AH375" s="7" t="e">
        <f>N(#REF!)*N($I375)</f>
        <v>#REF!</v>
      </c>
      <c r="AI375" s="7" t="e">
        <f t="shared" si="103"/>
        <v>#REF!</v>
      </c>
      <c r="AJ375" s="7">
        <f t="shared" si="104"/>
        <v>0</v>
      </c>
    </row>
    <row r="376" spans="1:36" x14ac:dyDescent="0.25">
      <c r="A376" s="4" t="str">
        <f t="shared" si="98"/>
        <v>ШГП-3 (Ввод + Секция 1) (ВРУ1-21-10 модифицированная)(ВРУ1-41-00А)(260922 akram aulet)</v>
      </c>
      <c r="B376" s="4" t="s">
        <v>92</v>
      </c>
      <c r="C376" s="4" t="s">
        <v>535</v>
      </c>
      <c r="D376" s="4" t="s">
        <v>536</v>
      </c>
      <c r="E376" s="4" t="s">
        <v>520</v>
      </c>
      <c r="F376" s="4" t="s">
        <v>521</v>
      </c>
      <c r="G376" s="4" t="s">
        <v>236</v>
      </c>
      <c r="H376" s="5" t="e">
        <f>#REF!</f>
        <v>#REF!</v>
      </c>
      <c r="I376" s="6" t="e">
        <f t="shared" si="99"/>
        <v>#REF!</v>
      </c>
      <c r="J376" s="6" t="s">
        <v>84</v>
      </c>
      <c r="K376" s="6" t="s">
        <v>92</v>
      </c>
      <c r="L376" s="7" t="e">
        <f t="shared" si="100"/>
        <v>#REF!</v>
      </c>
      <c r="M376" s="7" t="s">
        <v>130</v>
      </c>
      <c r="O376" s="7" t="str">
        <f>IF(OR($C376="",$C376="FID YOK"),"",IF(ISNUMBER(MATCH($C376,FA_ANA,0)),"",IF(COUNTIF($C$1:$C375,$C376)&gt;0,"",MAX($O$1:$O375)+1)))</f>
        <v/>
      </c>
      <c r="T376" s="7">
        <f>IF(ISNA(MATCH($C376,FA,0)),0,IF($J376="GIRIS",N(INDEX(F_INKOR,MATCH($C376,FA,0))),0))</f>
        <v>0</v>
      </c>
      <c r="Y376" s="7" t="e">
        <f>N(#REF!)*IF($E376="упак",MAX(1,IF(ISNA(MATCH($C376,FA,0)),1,N(INDEX(F_PAKET,MATCH($C376,FA,0))))),1)</f>
        <v>#REF!</v>
      </c>
      <c r="Z376" s="7" t="e">
        <f t="shared" si="101"/>
        <v>#REF!</v>
      </c>
      <c r="AA376" s="7">
        <f>IF(OR(ISNA(MATCH($C376,FA,0)),$J376="YEDEK",$J376="SARF"),0,N(#REF!)*N(INDEX(F_TEL,MATCH($C376,FA,0))))</f>
        <v>0</v>
      </c>
      <c r="AB376" s="7">
        <f>IF(OR(ISNA(MATCH($C376,FA,0)),$J376="YEDEK",$J376="SARF"),0,N(#REF!)*N(INDEX(F_TELM,MATCH($C376,FA,0))))</f>
        <v>0</v>
      </c>
      <c r="AC376" s="7" t="e">
        <f t="shared" si="102"/>
        <v>#REF!</v>
      </c>
      <c r="AD376" s="7">
        <f>IF(OR(ISNA(MATCH($C376,FA,0)),$J376&lt;&gt;"CIKIS"),0,N(INDEX(F_KK,MATCH($C376,FA,0))))</f>
        <v>0</v>
      </c>
      <c r="AE376" s="7">
        <f>IF($AD376=0,0,N(#REF!)*N(INDEX(F_KLN,MATCH($C376,FA,0))))</f>
        <v>0</v>
      </c>
      <c r="AF376" s="7">
        <f>IF($AD376=0,0,N(#REF!)*N(INDEX(F_KPE,MATCH($C376,FA,0))))</f>
        <v>0</v>
      </c>
      <c r="AG376" s="7" t="e">
        <f>IF(ISNA(MATCH($C376,FA,0)),0,N(#REF!)*N(INDEX(F_MODUL,MATCH($C376,FA,0))))</f>
        <v>#REF!</v>
      </c>
      <c r="AH376" s="7" t="e">
        <f>N(#REF!)*N($I376)</f>
        <v>#REF!</v>
      </c>
      <c r="AI376" s="7" t="e">
        <f t="shared" si="103"/>
        <v>#REF!</v>
      </c>
      <c r="AJ376" s="7">
        <f t="shared" si="104"/>
        <v>0</v>
      </c>
    </row>
    <row r="377" spans="1:36" x14ac:dyDescent="0.25">
      <c r="A377" s="4" t="str">
        <f t="shared" si="98"/>
        <v>ШГП-3 (Ввод + Секция 1) (ВРУ1-21-10 модифицированная)(ВРУ1-41-00А)(260922 akram aulet)</v>
      </c>
      <c r="B377" s="4" t="s">
        <v>92</v>
      </c>
      <c r="C377" s="4" t="s">
        <v>551</v>
      </c>
      <c r="D377" s="4" t="s">
        <v>552</v>
      </c>
      <c r="E377" s="4" t="s">
        <v>520</v>
      </c>
      <c r="F377" s="4" t="s">
        <v>521</v>
      </c>
      <c r="G377" s="4" t="s">
        <v>236</v>
      </c>
      <c r="H377" s="5" t="e">
        <f>#REF!</f>
        <v>#REF!</v>
      </c>
      <c r="I377" s="6" t="e">
        <f t="shared" si="99"/>
        <v>#REF!</v>
      </c>
      <c r="J377" s="6" t="s">
        <v>84</v>
      </c>
      <c r="K377" s="6" t="s">
        <v>92</v>
      </c>
      <c r="L377" s="7" t="e">
        <f t="shared" si="100"/>
        <v>#REF!</v>
      </c>
      <c r="M377" s="7" t="s">
        <v>97</v>
      </c>
      <c r="O377" s="7" t="str">
        <f>IF(OR($C377="",$C377="FID YOK"),"",IF(ISNUMBER(MATCH($C377,FA_ANA,0)),"",IF(COUNTIF($C$1:$C376,$C377)&gt;0,"",MAX($O$1:$O376)+1)))</f>
        <v/>
      </c>
      <c r="T377" s="7">
        <f>IF(ISNA(MATCH($C377,FA,0)),0,IF($J377="GIRIS",N(INDEX(F_INKOR,MATCH($C377,FA,0))),0))</f>
        <v>0</v>
      </c>
      <c r="Y377" s="7" t="e">
        <f>N(#REF!)*IF($E377="упак",MAX(1,IF(ISNA(MATCH($C377,FA,0)),1,N(INDEX(F_PAKET,MATCH($C377,FA,0))))),1)</f>
        <v>#REF!</v>
      </c>
      <c r="Z377" s="7" t="e">
        <f t="shared" si="101"/>
        <v>#REF!</v>
      </c>
      <c r="AA377" s="7">
        <f>IF(OR(ISNA(MATCH($C377,FA,0)),$J377="YEDEK",$J377="SARF"),0,N(#REF!)*N(INDEX(F_TEL,MATCH($C377,FA,0))))</f>
        <v>0</v>
      </c>
      <c r="AB377" s="7">
        <f>IF(OR(ISNA(MATCH($C377,FA,0)),$J377="YEDEK",$J377="SARF"),0,N(#REF!)*N(INDEX(F_TELM,MATCH($C377,FA,0))))</f>
        <v>0</v>
      </c>
      <c r="AC377" s="7" t="e">
        <f t="shared" si="102"/>
        <v>#REF!</v>
      </c>
      <c r="AD377" s="7">
        <f>IF(OR(ISNA(MATCH($C377,FA,0)),$J377&lt;&gt;"CIKIS"),0,N(INDEX(F_KK,MATCH($C377,FA,0))))</f>
        <v>0</v>
      </c>
      <c r="AE377" s="7">
        <f>IF($AD377=0,0,N(#REF!)*N(INDEX(F_KLN,MATCH($C377,FA,0))))</f>
        <v>0</v>
      </c>
      <c r="AF377" s="7">
        <f>IF($AD377=0,0,N(#REF!)*N(INDEX(F_KPE,MATCH($C377,FA,0))))</f>
        <v>0</v>
      </c>
      <c r="AG377" s="7" t="e">
        <f>IF(ISNA(MATCH($C377,FA,0)),0,N(#REF!)*N(INDEX(F_MODUL,MATCH($C377,FA,0))))</f>
        <v>#REF!</v>
      </c>
      <c r="AH377" s="7" t="e">
        <f>N(#REF!)*N($I377)</f>
        <v>#REF!</v>
      </c>
      <c r="AI377" s="7" t="e">
        <f t="shared" si="103"/>
        <v>#REF!</v>
      </c>
      <c r="AJ377" s="7">
        <f t="shared" si="104"/>
        <v>0</v>
      </c>
    </row>
    <row r="378" spans="1:36" x14ac:dyDescent="0.25">
      <c r="A378" s="4" t="str">
        <f t="shared" si="98"/>
        <v>ШГП-3 (Ввод + Секция 1) (ВРУ1-21-10 модифицированная)(ВРУ1-41-00А)(260922 akram aulet)</v>
      </c>
      <c r="B378" s="4" t="s">
        <v>92</v>
      </c>
      <c r="C378" s="4" t="s">
        <v>535</v>
      </c>
      <c r="D378" s="4" t="s">
        <v>536</v>
      </c>
      <c r="E378" s="4" t="s">
        <v>520</v>
      </c>
      <c r="F378" s="4" t="s">
        <v>521</v>
      </c>
      <c r="G378" s="4" t="s">
        <v>236</v>
      </c>
      <c r="H378" s="5" t="e">
        <f>#REF!</f>
        <v>#REF!</v>
      </c>
      <c r="I378" s="6" t="e">
        <f t="shared" si="99"/>
        <v>#REF!</v>
      </c>
      <c r="J378" s="6" t="s">
        <v>84</v>
      </c>
      <c r="K378" s="6" t="s">
        <v>92</v>
      </c>
      <c r="L378" s="7" t="e">
        <f t="shared" si="100"/>
        <v>#REF!</v>
      </c>
      <c r="M378" s="7" t="s">
        <v>100</v>
      </c>
      <c r="O378" s="7" t="str">
        <f>IF(OR($C378="",$C378="FID YOK"),"",IF(ISNUMBER(MATCH($C378,FA_ANA,0)),"",IF(COUNTIF($C$1:$C377,$C378)&gt;0,"",MAX($O$1:$O377)+1)))</f>
        <v/>
      </c>
      <c r="T378" s="7">
        <f>IF(ISNA(MATCH($C378,FA,0)),0,IF($J378="GIRIS",N(INDEX(F_INKOR,MATCH($C378,FA,0))),0))</f>
        <v>0</v>
      </c>
      <c r="Y378" s="7" t="e">
        <f>N(#REF!)*IF($E378="упак",MAX(1,IF(ISNA(MATCH($C378,FA,0)),1,N(INDEX(F_PAKET,MATCH($C378,FA,0))))),1)</f>
        <v>#REF!</v>
      </c>
      <c r="Z378" s="7" t="e">
        <f t="shared" si="101"/>
        <v>#REF!</v>
      </c>
      <c r="AA378" s="7">
        <f>IF(OR(ISNA(MATCH($C378,FA,0)),$J378="YEDEK",$J378="SARF"),0,N(#REF!)*N(INDEX(F_TEL,MATCH($C378,FA,0))))</f>
        <v>0</v>
      </c>
      <c r="AB378" s="7">
        <f>IF(OR(ISNA(MATCH($C378,FA,0)),$J378="YEDEK",$J378="SARF"),0,N(#REF!)*N(INDEX(F_TELM,MATCH($C378,FA,0))))</f>
        <v>0</v>
      </c>
      <c r="AC378" s="7" t="e">
        <f t="shared" si="102"/>
        <v>#REF!</v>
      </c>
      <c r="AD378" s="7">
        <f>IF(OR(ISNA(MATCH($C378,FA,0)),$J378&lt;&gt;"CIKIS"),0,N(INDEX(F_KK,MATCH($C378,FA,0))))</f>
        <v>0</v>
      </c>
      <c r="AE378" s="7">
        <f>IF($AD378=0,0,N(#REF!)*N(INDEX(F_KLN,MATCH($C378,FA,0))))</f>
        <v>0</v>
      </c>
      <c r="AF378" s="7">
        <f>IF($AD378=0,0,N(#REF!)*N(INDEX(F_KPE,MATCH($C378,FA,0))))</f>
        <v>0</v>
      </c>
      <c r="AG378" s="7" t="e">
        <f>IF(ISNA(MATCH($C378,FA,0)),0,N(#REF!)*N(INDEX(F_MODUL,MATCH($C378,FA,0))))</f>
        <v>#REF!</v>
      </c>
      <c r="AH378" s="7" t="e">
        <f>N(#REF!)*N($I378)</f>
        <v>#REF!</v>
      </c>
      <c r="AI378" s="7" t="e">
        <f t="shared" si="103"/>
        <v>#REF!</v>
      </c>
      <c r="AJ378" s="7">
        <f t="shared" si="104"/>
        <v>0</v>
      </c>
    </row>
    <row r="379" spans="1:36" x14ac:dyDescent="0.25">
      <c r="A379" s="4" t="str">
        <f t="shared" si="98"/>
        <v>ШГП-3 (Ввод + Секция 1) (ВРУ1-21-10 модифицированная)(ВРУ1-41-00А)(260922 akram aulet)</v>
      </c>
      <c r="B379" s="4" t="s">
        <v>101</v>
      </c>
      <c r="C379" s="4" t="s">
        <v>525</v>
      </c>
      <c r="D379" s="4" t="s">
        <v>526</v>
      </c>
      <c r="E379" s="4" t="s">
        <v>522</v>
      </c>
      <c r="F379" s="4" t="s">
        <v>486</v>
      </c>
      <c r="G379" s="4" t="s">
        <v>236</v>
      </c>
      <c r="H379" s="5" t="e">
        <f>#REF!</f>
        <v>#REF!</v>
      </c>
      <c r="I379" s="6" t="e">
        <f t="shared" si="99"/>
        <v>#REF!</v>
      </c>
      <c r="J379" s="6" t="s">
        <v>84</v>
      </c>
      <c r="K379" s="6" t="s">
        <v>101</v>
      </c>
      <c r="L379" s="7" t="e">
        <f t="shared" si="100"/>
        <v>#REF!</v>
      </c>
      <c r="M379" s="7" t="s">
        <v>102</v>
      </c>
      <c r="O379" s="7" t="str">
        <f>IF(OR($C379="",$C379="FID YOK"),"",IF(ISNUMBER(MATCH($C379,FA_ANA,0)),"",IF(COUNTIF($C$1:$C378,$C379)&gt;0,"",MAX($O$1:$O378)+1)))</f>
        <v/>
      </c>
      <c r="T379" s="7">
        <f>IF(ISNA(MATCH($C379,FA,0)),0,IF($J379="GIRIS",N(INDEX(F_INKOR,MATCH($C379,FA,0))),0))</f>
        <v>0</v>
      </c>
      <c r="Y379" s="7" t="e">
        <f>N(#REF!)*IF($E379="упак",MAX(1,IF(ISNA(MATCH($C379,FA,0)),1,N(INDEX(F_PAKET,MATCH($C379,FA,0))))),1)</f>
        <v>#REF!</v>
      </c>
      <c r="Z379" s="7" t="e">
        <f t="shared" si="101"/>
        <v>#REF!</v>
      </c>
      <c r="AA379" s="7">
        <f>IF(OR(ISNA(MATCH($C379,FA,0)),$J379="YEDEK",$J379="SARF"),0,N(#REF!)*N(INDEX(F_TEL,MATCH($C379,FA,0))))</f>
        <v>0</v>
      </c>
      <c r="AB379" s="7">
        <f>IF(OR(ISNA(MATCH($C379,FA,0)),$J379="YEDEK",$J379="SARF"),0,N(#REF!)*N(INDEX(F_TELM,MATCH($C379,FA,0))))</f>
        <v>0</v>
      </c>
      <c r="AC379" s="7" t="e">
        <f t="shared" si="102"/>
        <v>#REF!</v>
      </c>
      <c r="AD379" s="7">
        <f>IF(OR(ISNA(MATCH($C379,FA,0)),$J379&lt;&gt;"CIKIS"),0,N(INDEX(F_KK,MATCH($C379,FA,0))))</f>
        <v>0</v>
      </c>
      <c r="AE379" s="7">
        <f>IF($AD379=0,0,N(#REF!)*N(INDEX(F_KLN,MATCH($C379,FA,0))))</f>
        <v>0</v>
      </c>
      <c r="AF379" s="7">
        <f>IF($AD379=0,0,N(#REF!)*N(INDEX(F_KPE,MATCH($C379,FA,0))))</f>
        <v>0</v>
      </c>
      <c r="AG379" s="7" t="e">
        <f>IF(ISNA(MATCH($C379,FA,0)),0,N(#REF!)*N(INDEX(F_MODUL,MATCH($C379,FA,0))))</f>
        <v>#REF!</v>
      </c>
      <c r="AH379" s="7" t="e">
        <f>N(#REF!)*N($I379)</f>
        <v>#REF!</v>
      </c>
      <c r="AI379" s="7" t="e">
        <f t="shared" si="103"/>
        <v>#REF!</v>
      </c>
      <c r="AJ379" s="7">
        <f t="shared" si="104"/>
        <v>0</v>
      </c>
    </row>
    <row r="380" spans="1:36" x14ac:dyDescent="0.25">
      <c r="A380" s="4" t="str">
        <f t="shared" si="98"/>
        <v>ШГП-3 (Ввод + Секция 1) (ВРУ1-21-10 модифицированная)(ВРУ1-41-00А)(260922 akram aulet)</v>
      </c>
      <c r="B380" s="4" t="s">
        <v>101</v>
      </c>
      <c r="C380" s="4" t="s">
        <v>529</v>
      </c>
      <c r="D380" s="4" t="s">
        <v>530</v>
      </c>
      <c r="E380" s="4" t="s">
        <v>522</v>
      </c>
      <c r="F380" s="4" t="s">
        <v>486</v>
      </c>
      <c r="G380" s="4" t="s">
        <v>236</v>
      </c>
      <c r="H380" s="5" t="e">
        <f>#REF!</f>
        <v>#REF!</v>
      </c>
      <c r="I380" s="6" t="e">
        <f t="shared" si="99"/>
        <v>#REF!</v>
      </c>
      <c r="J380" s="6" t="s">
        <v>84</v>
      </c>
      <c r="K380" s="6" t="s">
        <v>101</v>
      </c>
      <c r="L380" s="7" t="e">
        <f t="shared" si="100"/>
        <v>#REF!</v>
      </c>
      <c r="M380" s="7" t="s">
        <v>103</v>
      </c>
      <c r="O380" s="7" t="str">
        <f>IF(OR($C380="",$C380="FID YOK"),"",IF(ISNUMBER(MATCH($C380,FA_ANA,0)),"",IF(COUNTIF($C$1:$C379,$C380)&gt;0,"",MAX($O$1:$O379)+1)))</f>
        <v/>
      </c>
      <c r="T380" s="7">
        <f>IF(ISNA(MATCH($C380,FA,0)),0,IF($J380="GIRIS",N(INDEX(F_INKOR,MATCH($C380,FA,0))),0))</f>
        <v>0</v>
      </c>
      <c r="Y380" s="7" t="e">
        <f>N(#REF!)*IF($E380="упак",MAX(1,IF(ISNA(MATCH($C380,FA,0)),1,N(INDEX(F_PAKET,MATCH($C380,FA,0))))),1)</f>
        <v>#REF!</v>
      </c>
      <c r="Z380" s="7" t="e">
        <f t="shared" si="101"/>
        <v>#REF!</v>
      </c>
      <c r="AA380" s="7">
        <f>IF(OR(ISNA(MATCH($C380,FA,0)),$J380="YEDEK",$J380="SARF"),0,N(#REF!)*N(INDEX(F_TEL,MATCH($C380,FA,0))))</f>
        <v>0</v>
      </c>
      <c r="AB380" s="7">
        <f>IF(OR(ISNA(MATCH($C380,FA,0)),$J380="YEDEK",$J380="SARF"),0,N(#REF!)*N(INDEX(F_TELM,MATCH($C380,FA,0))))</f>
        <v>0</v>
      </c>
      <c r="AC380" s="7" t="e">
        <f t="shared" si="102"/>
        <v>#REF!</v>
      </c>
      <c r="AD380" s="7">
        <f>IF(OR(ISNA(MATCH($C380,FA,0)),$J380&lt;&gt;"CIKIS"),0,N(INDEX(F_KK,MATCH($C380,FA,0))))</f>
        <v>0</v>
      </c>
      <c r="AE380" s="7">
        <f>IF($AD380=0,0,N(#REF!)*N(INDEX(F_KLN,MATCH($C380,FA,0))))</f>
        <v>0</v>
      </c>
      <c r="AF380" s="7">
        <f>IF($AD380=0,0,N(#REF!)*N(INDEX(F_KPE,MATCH($C380,FA,0))))</f>
        <v>0</v>
      </c>
      <c r="AG380" s="7" t="e">
        <f>IF(ISNA(MATCH($C380,FA,0)),0,N(#REF!)*N(INDEX(F_MODUL,MATCH($C380,FA,0))))</f>
        <v>#REF!</v>
      </c>
      <c r="AH380" s="7" t="e">
        <f>N(#REF!)*N($I380)</f>
        <v>#REF!</v>
      </c>
      <c r="AI380" s="7" t="e">
        <f t="shared" si="103"/>
        <v>#REF!</v>
      </c>
      <c r="AJ380" s="7">
        <f t="shared" si="104"/>
        <v>0</v>
      </c>
    </row>
    <row r="381" spans="1:36" x14ac:dyDescent="0.25">
      <c r="A381" s="4" t="str">
        <f t="shared" si="98"/>
        <v>ШГП-3 (Ввод + Секция 1) (ВРУ1-21-10 модифицированная)(ВРУ1-41-00А)(260922 akram aulet)</v>
      </c>
      <c r="B381" s="4" t="s">
        <v>101</v>
      </c>
      <c r="C381" s="4" t="s">
        <v>533</v>
      </c>
      <c r="D381" s="4" t="s">
        <v>534</v>
      </c>
      <c r="E381" s="4" t="s">
        <v>522</v>
      </c>
      <c r="F381" s="4" t="s">
        <v>486</v>
      </c>
      <c r="G381" s="4" t="s">
        <v>236</v>
      </c>
      <c r="H381" s="5" t="e">
        <f>#REF!</f>
        <v>#REF!</v>
      </c>
      <c r="I381" s="6" t="e">
        <f t="shared" si="99"/>
        <v>#REF!</v>
      </c>
      <c r="J381" s="6" t="s">
        <v>84</v>
      </c>
      <c r="K381" s="6" t="s">
        <v>101</v>
      </c>
      <c r="L381" s="7" t="e">
        <f t="shared" si="100"/>
        <v>#REF!</v>
      </c>
      <c r="M381" s="7" t="s">
        <v>104</v>
      </c>
      <c r="O381" s="7" t="str">
        <f>IF(OR($C381="",$C381="FID YOK"),"",IF(ISNUMBER(MATCH($C381,FA_ANA,0)),"",IF(COUNTIF($C$1:$C380,$C381)&gt;0,"",MAX($O$1:$O380)+1)))</f>
        <v/>
      </c>
      <c r="T381" s="7">
        <f>IF(ISNA(MATCH($C381,FA,0)),0,IF($J381="GIRIS",N(INDEX(F_INKOR,MATCH($C381,FA,0))),0))</f>
        <v>0</v>
      </c>
      <c r="Y381" s="7" t="e">
        <f>N(#REF!)*IF($E381="упак",MAX(1,IF(ISNA(MATCH($C381,FA,0)),1,N(INDEX(F_PAKET,MATCH($C381,FA,0))))),1)</f>
        <v>#REF!</v>
      </c>
      <c r="Z381" s="7" t="e">
        <f t="shared" si="101"/>
        <v>#REF!</v>
      </c>
      <c r="AA381" s="7">
        <f>IF(OR(ISNA(MATCH($C381,FA,0)),$J381="YEDEK",$J381="SARF"),0,N(#REF!)*N(INDEX(F_TEL,MATCH($C381,FA,0))))</f>
        <v>0</v>
      </c>
      <c r="AB381" s="7">
        <f>IF(OR(ISNA(MATCH($C381,FA,0)),$J381="YEDEK",$J381="SARF"),0,N(#REF!)*N(INDEX(F_TELM,MATCH($C381,FA,0))))</f>
        <v>0</v>
      </c>
      <c r="AC381" s="7" t="e">
        <f t="shared" si="102"/>
        <v>#REF!</v>
      </c>
      <c r="AD381" s="7">
        <f>IF(OR(ISNA(MATCH($C381,FA,0)),$J381&lt;&gt;"CIKIS"),0,N(INDEX(F_KK,MATCH($C381,FA,0))))</f>
        <v>0</v>
      </c>
      <c r="AE381" s="7">
        <f>IF($AD381=0,0,N(#REF!)*N(INDEX(F_KLN,MATCH($C381,FA,0))))</f>
        <v>0</v>
      </c>
      <c r="AF381" s="7">
        <f>IF($AD381=0,0,N(#REF!)*N(INDEX(F_KPE,MATCH($C381,FA,0))))</f>
        <v>0</v>
      </c>
      <c r="AG381" s="7" t="e">
        <f>IF(ISNA(MATCH($C381,FA,0)),0,N(#REF!)*N(INDEX(F_MODUL,MATCH($C381,FA,0))))</f>
        <v>#REF!</v>
      </c>
      <c r="AH381" s="7" t="e">
        <f>N(#REF!)*N($I381)</f>
        <v>#REF!</v>
      </c>
      <c r="AI381" s="7" t="e">
        <f t="shared" si="103"/>
        <v>#REF!</v>
      </c>
      <c r="AJ381" s="7">
        <f t="shared" si="104"/>
        <v>0</v>
      </c>
    </row>
    <row r="382" spans="1:36" x14ac:dyDescent="0.25">
      <c r="A382" s="4" t="str">
        <f t="shared" si="98"/>
        <v>ШГП-3 (Ввод + Секция 1) (ВРУ1-21-10 модифицированная)(ВРУ1-41-00А)(260922 akram aulet)</v>
      </c>
      <c r="B382" s="4" t="s">
        <v>105</v>
      </c>
      <c r="C382" s="4" t="s">
        <v>539</v>
      </c>
      <c r="D382" s="4" t="s">
        <v>540</v>
      </c>
      <c r="E382" s="4" t="s">
        <v>114</v>
      </c>
      <c r="F382" s="4" t="s">
        <v>486</v>
      </c>
      <c r="G382" s="4" t="s">
        <v>236</v>
      </c>
      <c r="H382" s="5" t="e">
        <f>#REF!</f>
        <v>#REF!</v>
      </c>
      <c r="I382" s="6" t="e">
        <f t="shared" si="99"/>
        <v>#REF!</v>
      </c>
      <c r="J382" s="6" t="s">
        <v>84</v>
      </c>
      <c r="K382" s="6" t="s">
        <v>105</v>
      </c>
      <c r="L382" s="7" t="e">
        <f t="shared" si="100"/>
        <v>#REF!</v>
      </c>
      <c r="M382" s="7" t="s">
        <v>133</v>
      </c>
      <c r="O382" s="7" t="str">
        <f>IF(OR($C382="",$C382="FID YOK"),"",IF(ISNUMBER(MATCH($C382,FA_ANA,0)),"",IF(COUNTIF($C$1:$C381,$C382)&gt;0,"",MAX($O$1:$O381)+1)))</f>
        <v/>
      </c>
      <c r="T382" s="7">
        <f>IF(ISNA(MATCH($C382,FA,0)),0,IF($J382="GIRIS",N(INDEX(F_INKOR,MATCH($C382,FA,0))),0))</f>
        <v>0</v>
      </c>
      <c r="Y382" s="7" t="e">
        <f>N(#REF!)*IF($E382="упак",MAX(1,IF(ISNA(MATCH($C382,FA,0)),1,N(INDEX(F_PAKET,MATCH($C382,FA,0))))),1)</f>
        <v>#REF!</v>
      </c>
      <c r="Z382" s="7" t="e">
        <f t="shared" si="101"/>
        <v>#REF!</v>
      </c>
      <c r="AA382" s="7">
        <f>IF(OR(ISNA(MATCH($C382,FA,0)),$J382="YEDEK",$J382="SARF"),0,N(#REF!)*N(INDEX(F_TEL,MATCH($C382,FA,0))))</f>
        <v>0</v>
      </c>
      <c r="AB382" s="7">
        <f>IF(OR(ISNA(MATCH($C382,FA,0)),$J382="YEDEK",$J382="SARF"),0,N(#REF!)*N(INDEX(F_TELM,MATCH($C382,FA,0))))</f>
        <v>0</v>
      </c>
      <c r="AC382" s="7" t="e">
        <f t="shared" si="102"/>
        <v>#REF!</v>
      </c>
      <c r="AD382" s="7">
        <f>IF(OR(ISNA(MATCH($C382,FA,0)),$J382&lt;&gt;"CIKIS"),0,N(INDEX(F_KK,MATCH($C382,FA,0))))</f>
        <v>0</v>
      </c>
      <c r="AE382" s="7">
        <f>IF($AD382=0,0,N(#REF!)*N(INDEX(F_KLN,MATCH($C382,FA,0))))</f>
        <v>0</v>
      </c>
      <c r="AF382" s="7">
        <f>IF($AD382=0,0,N(#REF!)*N(INDEX(F_KPE,MATCH($C382,FA,0))))</f>
        <v>0</v>
      </c>
      <c r="AG382" s="7" t="e">
        <f>IF(ISNA(MATCH($C382,FA,0)),0,N(#REF!)*N(INDEX(F_MODUL,MATCH($C382,FA,0))))</f>
        <v>#REF!</v>
      </c>
      <c r="AH382" s="7" t="e">
        <f>N(#REF!)*N($I382)</f>
        <v>#REF!</v>
      </c>
      <c r="AI382" s="7" t="e">
        <f t="shared" si="103"/>
        <v>#REF!</v>
      </c>
      <c r="AJ382" s="7">
        <f t="shared" si="104"/>
        <v>0</v>
      </c>
    </row>
    <row r="383" spans="1:36" x14ac:dyDescent="0.25">
      <c r="A383" s="4" t="str">
        <f t="shared" si="98"/>
        <v>ШГП-3 (Ввод + Секция 1) (ВРУ1-21-10 модифицированная)(ВРУ1-41-00А)(260922 akram aulet)</v>
      </c>
      <c r="B383" s="4" t="s">
        <v>105</v>
      </c>
      <c r="C383" s="4" t="s">
        <v>553</v>
      </c>
      <c r="D383" s="4" t="s">
        <v>554</v>
      </c>
      <c r="E383" s="4" t="s">
        <v>114</v>
      </c>
      <c r="F383" s="4" t="s">
        <v>486</v>
      </c>
      <c r="G383" s="4" t="s">
        <v>236</v>
      </c>
      <c r="H383" s="5" t="e">
        <f>#REF!</f>
        <v>#REF!</v>
      </c>
      <c r="I383" s="6" t="e">
        <f t="shared" si="99"/>
        <v>#REF!</v>
      </c>
      <c r="J383" s="6" t="s">
        <v>84</v>
      </c>
      <c r="K383" s="6" t="s">
        <v>105</v>
      </c>
      <c r="L383" s="7" t="e">
        <f t="shared" si="100"/>
        <v>#REF!</v>
      </c>
      <c r="M383" s="7" t="s">
        <v>107</v>
      </c>
      <c r="O383" s="7" t="str">
        <f>IF(OR($C383="",$C383="FID YOK"),"",IF(ISNUMBER(MATCH($C383,FA_ANA,0)),"",IF(COUNTIF($C$1:$C382,$C383)&gt;0,"",MAX($O$1:$O382)+1)))</f>
        <v/>
      </c>
      <c r="T383" s="7">
        <f>IF(ISNA(MATCH($C383,FA,0)),0,IF($J383="GIRIS",N(INDEX(F_INKOR,MATCH($C383,FA,0))),0))</f>
        <v>0</v>
      </c>
      <c r="Y383" s="7" t="e">
        <f>N(#REF!)*IF($E383="упак",MAX(1,IF(ISNA(MATCH($C383,FA,0)),1,N(INDEX(F_PAKET,MATCH($C383,FA,0))))),1)</f>
        <v>#REF!</v>
      </c>
      <c r="Z383" s="7" t="e">
        <f t="shared" si="101"/>
        <v>#REF!</v>
      </c>
      <c r="AA383" s="7">
        <f>IF(OR(ISNA(MATCH($C383,FA,0)),$J383="YEDEK",$J383="SARF"),0,N(#REF!)*N(INDEX(F_TEL,MATCH($C383,FA,0))))</f>
        <v>0</v>
      </c>
      <c r="AB383" s="7">
        <f>IF(OR(ISNA(MATCH($C383,FA,0)),$J383="YEDEK",$J383="SARF"),0,N(#REF!)*N(INDEX(F_TELM,MATCH($C383,FA,0))))</f>
        <v>0</v>
      </c>
      <c r="AC383" s="7" t="e">
        <f t="shared" si="102"/>
        <v>#REF!</v>
      </c>
      <c r="AD383" s="7">
        <f>IF(OR(ISNA(MATCH($C383,FA,0)),$J383&lt;&gt;"CIKIS"),0,N(INDEX(F_KK,MATCH($C383,FA,0))))</f>
        <v>0</v>
      </c>
      <c r="AE383" s="7">
        <f>IF($AD383=0,0,N(#REF!)*N(INDEX(F_KLN,MATCH($C383,FA,0))))</f>
        <v>0</v>
      </c>
      <c r="AF383" s="7">
        <f>IF($AD383=0,0,N(#REF!)*N(INDEX(F_KPE,MATCH($C383,FA,0))))</f>
        <v>0</v>
      </c>
      <c r="AG383" s="7" t="e">
        <f>IF(ISNA(MATCH($C383,FA,0)),0,N(#REF!)*N(INDEX(F_MODUL,MATCH($C383,FA,0))))</f>
        <v>#REF!</v>
      </c>
      <c r="AH383" s="7" t="e">
        <f>N(#REF!)*N($I383)</f>
        <v>#REF!</v>
      </c>
      <c r="AI383" s="7" t="e">
        <f t="shared" si="103"/>
        <v>#REF!</v>
      </c>
      <c r="AJ383" s="7">
        <f t="shared" si="104"/>
        <v>0</v>
      </c>
    </row>
    <row r="384" spans="1:36" x14ac:dyDescent="0.25">
      <c r="A384" s="4" t="str">
        <f t="shared" si="98"/>
        <v>ШГП-3 (Ввод + Секция 1) (ВРУ1-21-10 модифицированная)(ВРУ1-41-00А)(260922 akram aulet)</v>
      </c>
      <c r="B384" s="4" t="s">
        <v>105</v>
      </c>
      <c r="C384" s="4" t="s">
        <v>539</v>
      </c>
      <c r="D384" s="4" t="s">
        <v>540</v>
      </c>
      <c r="E384" s="4" t="s">
        <v>114</v>
      </c>
      <c r="F384" s="4" t="s">
        <v>486</v>
      </c>
      <c r="G384" s="4" t="s">
        <v>236</v>
      </c>
      <c r="H384" s="5" t="e">
        <f>#REF!</f>
        <v>#REF!</v>
      </c>
      <c r="I384" s="6" t="e">
        <f t="shared" si="99"/>
        <v>#REF!</v>
      </c>
      <c r="J384" s="6" t="s">
        <v>84</v>
      </c>
      <c r="K384" s="6" t="s">
        <v>105</v>
      </c>
      <c r="L384" s="7" t="e">
        <f t="shared" si="100"/>
        <v>#REF!</v>
      </c>
      <c r="M384" s="7" t="s">
        <v>110</v>
      </c>
      <c r="O384" s="7" t="str">
        <f>IF(OR($C384="",$C384="FID YOK"),"",IF(ISNUMBER(MATCH($C384,FA_ANA,0)),"",IF(COUNTIF($C$1:$C383,$C384)&gt;0,"",MAX($O$1:$O383)+1)))</f>
        <v/>
      </c>
      <c r="T384" s="7">
        <f>IF(ISNA(MATCH($C384,FA,0)),0,IF($J384="GIRIS",N(INDEX(F_INKOR,MATCH($C384,FA,0))),0))</f>
        <v>0</v>
      </c>
      <c r="Y384" s="7" t="e">
        <f>N(#REF!)*IF($E384="упак",MAX(1,IF(ISNA(MATCH($C384,FA,0)),1,N(INDEX(F_PAKET,MATCH($C384,FA,0))))),1)</f>
        <v>#REF!</v>
      </c>
      <c r="Z384" s="7" t="e">
        <f t="shared" si="101"/>
        <v>#REF!</v>
      </c>
      <c r="AA384" s="7">
        <f>IF(OR(ISNA(MATCH($C384,FA,0)),$J384="YEDEK",$J384="SARF"),0,N(#REF!)*N(INDEX(F_TEL,MATCH($C384,FA,0))))</f>
        <v>0</v>
      </c>
      <c r="AB384" s="7">
        <f>IF(OR(ISNA(MATCH($C384,FA,0)),$J384="YEDEK",$J384="SARF"),0,N(#REF!)*N(INDEX(F_TELM,MATCH($C384,FA,0))))</f>
        <v>0</v>
      </c>
      <c r="AC384" s="7" t="e">
        <f t="shared" si="102"/>
        <v>#REF!</v>
      </c>
      <c r="AD384" s="7">
        <f>IF(OR(ISNA(MATCH($C384,FA,0)),$J384&lt;&gt;"CIKIS"),0,N(INDEX(F_KK,MATCH($C384,FA,0))))</f>
        <v>0</v>
      </c>
      <c r="AE384" s="7">
        <f>IF($AD384=0,0,N(#REF!)*N(INDEX(F_KLN,MATCH($C384,FA,0))))</f>
        <v>0</v>
      </c>
      <c r="AF384" s="7">
        <f>IF($AD384=0,0,N(#REF!)*N(INDEX(F_KPE,MATCH($C384,FA,0))))</f>
        <v>0</v>
      </c>
      <c r="AG384" s="7" t="e">
        <f>IF(ISNA(MATCH($C384,FA,0)),0,N(#REF!)*N(INDEX(F_MODUL,MATCH($C384,FA,0))))</f>
        <v>#REF!</v>
      </c>
      <c r="AH384" s="7" t="e">
        <f>N(#REF!)*N($I384)</f>
        <v>#REF!</v>
      </c>
      <c r="AI384" s="7" t="e">
        <f t="shared" si="103"/>
        <v>#REF!</v>
      </c>
      <c r="AJ384" s="7">
        <f t="shared" si="104"/>
        <v>0</v>
      </c>
    </row>
    <row r="385" spans="1:36" x14ac:dyDescent="0.25">
      <c r="A385" s="4" t="str">
        <f t="shared" si="98"/>
        <v>ШГП-3 (Ввод + Секция 1) (ВРУ1-21-10 модифицированная)(ВРУ1-41-00А)(260922 akram aulet)</v>
      </c>
      <c r="B385" s="4" t="s">
        <v>111</v>
      </c>
      <c r="C385" s="4" t="s">
        <v>571</v>
      </c>
      <c r="D385" s="4" t="s">
        <v>572</v>
      </c>
      <c r="E385" s="4" t="s">
        <v>522</v>
      </c>
      <c r="F385" s="4" t="s">
        <v>486</v>
      </c>
      <c r="G385" s="4" t="s">
        <v>236</v>
      </c>
      <c r="H385" s="5" t="e">
        <f>#REF!</f>
        <v>#REF!</v>
      </c>
      <c r="I385" s="6" t="e">
        <f t="shared" si="99"/>
        <v>#REF!</v>
      </c>
      <c r="J385" s="6" t="s">
        <v>84</v>
      </c>
      <c r="K385" s="6" t="s">
        <v>111</v>
      </c>
      <c r="L385" s="7" t="e">
        <f t="shared" si="100"/>
        <v>#REF!</v>
      </c>
      <c r="M385" s="7" t="s">
        <v>112</v>
      </c>
      <c r="O385" s="7" t="str">
        <f>IF(OR($C385="",$C385="FID YOK"),"",IF(ISNUMBER(MATCH($C385,FA_ANA,0)),"",IF(COUNTIF($C$1:$C384,$C385)&gt;0,"",MAX($O$1:$O384)+1)))</f>
        <v/>
      </c>
      <c r="T385" s="7">
        <f>IF(ISNA(MATCH($C385,FA,0)),0,IF($J385="GIRIS",N(INDEX(F_INKOR,MATCH($C385,FA,0))),0))</f>
        <v>0</v>
      </c>
      <c r="Y385" s="7" t="e">
        <f>N(#REF!)*IF($E385="упак",MAX(1,IF(ISNA(MATCH($C385,FA,0)),1,N(INDEX(F_PAKET,MATCH($C385,FA,0))))),1)</f>
        <v>#REF!</v>
      </c>
      <c r="Z385" s="7" t="e">
        <f t="shared" si="101"/>
        <v>#REF!</v>
      </c>
      <c r="AA385" s="7">
        <f>IF(OR(ISNA(MATCH($C385,FA,0)),$J385="YEDEK",$J385="SARF"),0,N(#REF!)*N(INDEX(F_TEL,MATCH($C385,FA,0))))</f>
        <v>0</v>
      </c>
      <c r="AB385" s="7">
        <f>IF(OR(ISNA(MATCH($C385,FA,0)),$J385="YEDEK",$J385="SARF"),0,N(#REF!)*N(INDEX(F_TELM,MATCH($C385,FA,0))))</f>
        <v>0</v>
      </c>
      <c r="AC385" s="7" t="e">
        <f t="shared" si="102"/>
        <v>#REF!</v>
      </c>
      <c r="AD385" s="7">
        <f>IF(OR(ISNA(MATCH($C385,FA,0)),$J385&lt;&gt;"CIKIS"),0,N(INDEX(F_KK,MATCH($C385,FA,0))))</f>
        <v>0</v>
      </c>
      <c r="AE385" s="7">
        <f>IF($AD385=0,0,N(#REF!)*N(INDEX(F_KLN,MATCH($C385,FA,0))))</f>
        <v>0</v>
      </c>
      <c r="AF385" s="7">
        <f>IF($AD385=0,0,N(#REF!)*N(INDEX(F_KPE,MATCH($C385,FA,0))))</f>
        <v>0</v>
      </c>
      <c r="AG385" s="7" t="e">
        <f>IF(ISNA(MATCH($C385,FA,0)),0,N(#REF!)*N(INDEX(F_MODUL,MATCH($C385,FA,0))))</f>
        <v>#REF!</v>
      </c>
      <c r="AH385" s="7" t="e">
        <f>N(#REF!)*N($I385)</f>
        <v>#REF!</v>
      </c>
      <c r="AI385" s="7" t="e">
        <f t="shared" si="103"/>
        <v>#REF!</v>
      </c>
      <c r="AJ385" s="7">
        <f t="shared" si="104"/>
        <v>0</v>
      </c>
    </row>
    <row r="386" spans="1:36" x14ac:dyDescent="0.25">
      <c r="A386" s="4" t="str">
        <f t="shared" si="98"/>
        <v>ШГП-3 (Ввод + Секция 1) (ВРУ1-21-10 модифицированная)(ВРУ1-41-00А)(260922 akram aulet)</v>
      </c>
      <c r="B386" s="4" t="s">
        <v>113</v>
      </c>
      <c r="C386" s="4" t="s">
        <v>113</v>
      </c>
      <c r="D386" s="4" t="s">
        <v>113</v>
      </c>
      <c r="E386" s="4" t="s">
        <v>114</v>
      </c>
      <c r="F386" s="4" t="s">
        <v>113</v>
      </c>
      <c r="G386" s="4" t="s">
        <v>236</v>
      </c>
      <c r="H386" s="5" t="e">
        <f>#REF!</f>
        <v>#REF!</v>
      </c>
      <c r="I386" s="6" t="e">
        <f t="shared" si="99"/>
        <v>#REF!</v>
      </c>
    </row>
    <row r="387" spans="1:36" x14ac:dyDescent="0.25">
      <c r="A387" s="4" t="str">
        <f t="shared" si="98"/>
        <v>ШГП-3 (Ввод + Секция 1) (ВРУ1-21-10 модифицированная)(ВРУ1-41-00А)(260922 akram aulet)</v>
      </c>
      <c r="B387" s="4" t="s">
        <v>115</v>
      </c>
      <c r="C387" s="4" t="s">
        <v>115</v>
      </c>
      <c r="D387" s="4" t="s">
        <v>115</v>
      </c>
      <c r="E387" s="4" t="s">
        <v>116</v>
      </c>
      <c r="F387" s="4" t="s">
        <v>115</v>
      </c>
      <c r="G387" s="4" t="s">
        <v>236</v>
      </c>
      <c r="H387" s="5" t="e">
        <f>#REF!</f>
        <v>#REF!</v>
      </c>
      <c r="I387" s="6" t="e">
        <f t="shared" si="99"/>
        <v>#REF!</v>
      </c>
    </row>
    <row r="388" spans="1:36" x14ac:dyDescent="0.25">
      <c r="A388" s="1" t="str">
        <f>D388</f>
        <v>ЩО-7 (260922 akram aulet)</v>
      </c>
      <c r="B388" s="12"/>
      <c r="C388" s="2"/>
      <c r="D388" s="1" t="s">
        <v>248</v>
      </c>
      <c r="E388" s="1" t="s">
        <v>36</v>
      </c>
      <c r="F388" s="1" t="s">
        <v>37</v>
      </c>
      <c r="G388" s="1" t="s">
        <v>236</v>
      </c>
      <c r="I388" s="3" t="e">
        <f>#REF!</f>
        <v>#REF!</v>
      </c>
    </row>
    <row r="389" spans="1:36" x14ac:dyDescent="0.25">
      <c r="A389" s="4" t="str">
        <f t="shared" ref="A389:A402" si="107">A388</f>
        <v>ЩО-7 (260922 akram aulet)</v>
      </c>
      <c r="B389" s="4" t="s">
        <v>39</v>
      </c>
      <c r="C389" s="4" t="s">
        <v>506</v>
      </c>
      <c r="D389" s="4" t="s">
        <v>507</v>
      </c>
      <c r="E389" s="4" t="s">
        <v>114</v>
      </c>
      <c r="F389" s="4" t="s">
        <v>591</v>
      </c>
      <c r="G389" s="4" t="s">
        <v>236</v>
      </c>
      <c r="H389" s="5" t="e">
        <f>#REF!</f>
        <v>#REF!</v>
      </c>
      <c r="I389" s="6" t="e">
        <f t="shared" ref="I389:I402" si="108">I388</f>
        <v>#REF!</v>
      </c>
      <c r="J389" s="6" t="s">
        <v>40</v>
      </c>
      <c r="K389" s="6" t="s">
        <v>195</v>
      </c>
      <c r="L389" s="7" t="e">
        <f t="shared" ref="L389:L400" si="109">IF(ISNA(MATCH($C389,FA,0)),"ARTİKÜL YOK",INDEX(FIYAT_DURUM,MATCH($C389,FA,0)))</f>
        <v>#REF!</v>
      </c>
      <c r="M389" s="7" t="s">
        <v>249</v>
      </c>
      <c r="N389" s="7" t="s">
        <v>197</v>
      </c>
      <c r="O389" s="7" t="str">
        <f>IF(OR($C389="",$C389="FID YOK"),"",IF(ISNUMBER(MATCH($C389,FA_ANA,0)),"",IF(COUNTIF($C$1:$C388,$C389)&gt;0,"",MAX($O$1:$O388)+1)))</f>
        <v/>
      </c>
      <c r="Q389" s="7"/>
      <c r="R389" s="7"/>
      <c r="S389" s="7"/>
      <c r="T389" s="7">
        <f>IF(ISNA(MATCH($C389,FA,0)),0,IF($J389="GIRIS",N(INDEX(F_INKOR,MATCH($C389,FA,0))),0))</f>
        <v>0</v>
      </c>
      <c r="U389" s="7"/>
      <c r="V389" s="7"/>
      <c r="W389" s="7"/>
      <c r="X389" s="7"/>
      <c r="Y389" s="7" t="e">
        <f>N(#REF!)*IF($E389="упак",MAX(1,IF(ISNA(MATCH($C389,FA,0)),1,N(INDEX(F_PAKET,MATCH($C389,FA,0))))),1)</f>
        <v>#REF!</v>
      </c>
      <c r="Z389" s="7" t="e">
        <f t="shared" ref="Z389:Z400" si="110">IF(ISNA(MATCH($C389,FA,0)),0,N(INDEX(F_BK,MATCH($C389,FA,0))))</f>
        <v>#REF!</v>
      </c>
      <c r="AA389" s="7" t="e">
        <f>IF(OR(ISNA(MATCH($C389,FA,0)),$J389="YEDEK",$J389="SARF"),0,N(#REF!)*N(INDEX(F_TEL,MATCH($C389,FA,0))))</f>
        <v>#REF!</v>
      </c>
      <c r="AB389" s="7" t="e">
        <f>IF(OR(ISNA(MATCH($C389,FA,0)),$J389="YEDEK",$J389="SARF"),0,N(#REF!)*N(INDEX(F_TELM,MATCH($C389,FA,0))))</f>
        <v>#REF!</v>
      </c>
      <c r="AC389" s="7" t="e">
        <f t="shared" ref="AC389:AC400" si="111">IF(ISNA(MATCH($C389,FA,0)),"",INDEX(F_UC,MATCH($C389,FA,0))&amp;"")</f>
        <v>#REF!</v>
      </c>
      <c r="AD389" s="7">
        <f>IF(OR(ISNA(MATCH($C389,FA,0)),$J389&lt;&gt;"CIKIS"),0,N(INDEX(F_KK,MATCH($C389,FA,0))))</f>
        <v>0</v>
      </c>
      <c r="AE389" s="7">
        <f>IF($AD389=0,0,N(#REF!)*N(INDEX(F_KLN,MATCH($C389,FA,0))))</f>
        <v>0</v>
      </c>
      <c r="AF389" s="7">
        <f>IF($AD389=0,0,N(#REF!)*N(INDEX(F_KPE,MATCH($C389,FA,0))))</f>
        <v>0</v>
      </c>
      <c r="AG389" s="7" t="e">
        <f>IF(ISNA(MATCH($C389,FA,0)),0,N(#REF!)*N(INDEX(F_MODUL,MATCH($C389,FA,0))))</f>
        <v>#REF!</v>
      </c>
      <c r="AH389" s="7" t="e">
        <f>N(#REF!)*N($I389)</f>
        <v>#REF!</v>
      </c>
      <c r="AI389" s="7" t="e">
        <f t="shared" ref="AI389:AI400" si="112">IF(ISNA(MATCH($K389,TIP_AD,0)),"YOK",IF(INDEX(NORM_DK,MATCH($K389,TIP_AD,0))="","BOŞ",INDEX(NORM_DK,MATCH($K389,TIP_AD,0))))</f>
        <v>#REF!</v>
      </c>
      <c r="AJ389" s="7">
        <f t="shared" ref="AJ389:AJ400" si="113">IF(ISNUMBER($AI389),$Y389*$AI389,0)</f>
        <v>0</v>
      </c>
    </row>
    <row r="390" spans="1:36" x14ac:dyDescent="0.25">
      <c r="A390" s="4" t="str">
        <f t="shared" si="107"/>
        <v>ЩО-7 (260922 akram aulet)</v>
      </c>
      <c r="B390" s="4" t="s">
        <v>198</v>
      </c>
      <c r="C390" s="4" t="s">
        <v>380</v>
      </c>
      <c r="D390" s="4" t="s">
        <v>381</v>
      </c>
      <c r="E390" s="4" t="s">
        <v>114</v>
      </c>
      <c r="F390" s="4" t="s">
        <v>377</v>
      </c>
      <c r="G390" s="4" t="s">
        <v>236</v>
      </c>
      <c r="H390" s="5" t="e">
        <f>#REF!</f>
        <v>#REF!</v>
      </c>
      <c r="I390" s="6" t="e">
        <f t="shared" si="108"/>
        <v>#REF!</v>
      </c>
      <c r="J390" s="6" t="s">
        <v>48</v>
      </c>
      <c r="K390" s="6" t="s">
        <v>198</v>
      </c>
      <c r="L390" s="7" t="e">
        <f t="shared" si="109"/>
        <v>#REF!</v>
      </c>
      <c r="M390" s="7" t="s">
        <v>250</v>
      </c>
      <c r="N390" s="7" t="s">
        <v>200</v>
      </c>
      <c r="O390" s="7" t="str">
        <f>IF(OR($C390="",$C390="FID YOK"),"",IF(ISNUMBER(MATCH($C390,FA_ANA,0)),"",IF(COUNTIF($C$1:$C389,$C390)&gt;0,"",MAX($O$1:$O389)+1)))</f>
        <v/>
      </c>
      <c r="P390" s="8">
        <v>1</v>
      </c>
      <c r="Q390" s="7" t="e">
        <f>IF(OR($P390="",$P390="G",ISNA(MATCH($C390,FA,0))),"",IF(N(INDEX(F_G,MATCH($C390,FA,0)))&gt;0,INDEX(F_G,MATCH($C390,FA,0)),IF(N(INDEX(F_MODUL,MATCH($C390,FA,0)))&gt;0,INDEX(F_MODUL,MATCH($C390,FA,0))*MODUL_MM,"")))</f>
        <v>#REF!</v>
      </c>
      <c r="R390" s="7" t="e">
        <f>IF(OR($P390="",$P390="G",ISNA(MATCH($C390,FA,0))),"",IF(N(INDEX(F_Y,MATCH($C390,FA,0)))&gt;0,INDEX(F_Y,MATCH($C390,FA,0)),""))</f>
        <v>#REF!</v>
      </c>
      <c r="S390" s="7" t="e">
        <f>IF(OR($P390="",$P390="G",ISNA(MATCH($C390,FA,0))),"",IF(N(INDEX(F_D,MATCH($C390,FA,0)))&gt;0,INDEX(F_D,MATCH($C390,FA,0)),""))</f>
        <v>#REF!</v>
      </c>
      <c r="T390" s="7" t="e">
        <f>IF(ISNA(MATCH($C390,FA,0)),0,IF($J390="GIRIS",N(INDEX(F_INKOR,MATCH($C390,FA,0))),0))</f>
        <v>#REF!</v>
      </c>
      <c r="U390" s="7" t="e">
        <f>IF(ISNA(MATCH($B390,TIP_AD,0)),"",INDEX(TIP_KAT,MATCH($B390,TIP_AD,0))&amp;"")</f>
        <v>#REF!</v>
      </c>
      <c r="V390" s="7" t="e">
        <f>IF(NOT(ISNUMBER($P390)),"",IF($Z390=0,0,IF(ISNA(MATCH($Z390,BUK_KESIT,0)),"",IF(INDEX(BUK_ALAN,MATCH($Z390,BUK_KESIT,0))&amp;""="","",INDEX(BUK_ALAN,MATCH($Z390,BUK_KESIT,0))))))</f>
        <v>#REF!</v>
      </c>
      <c r="W390" s="7" t="e">
        <f>IF(OR(NOT(ISNUMBER($P390)),$Q390=""),"",N(#REF!)*($Q390+IF(ISNA(MATCH($B390,TIP_AD,0)),0,N(INDEX(TIP_BOSLUK,MATCH($B390,TIP_AD,0))))))</f>
        <v>#REF!</v>
      </c>
      <c r="X390" s="7" t="e">
        <f>IF(ISNUMBER($P390),($Q390="")+($R390="")+($V390="")+IF(AND($U390="KONTAKTOR",NOT(ISNA(MATCH($B390,TIP_AD,0)))),IF(INDEX(TIP_BOSLUK,MATCH($B390,TIP_AD,0))&amp;""="",1,0),0),IF($P390="K",IF($S390="",1,0),0))</f>
        <v>#REF!</v>
      </c>
      <c r="Y390" s="7" t="e">
        <f>N(#REF!)*IF($E390="упак",MAX(1,IF(ISNA(MATCH($C390,FA,0)),1,N(INDEX(F_PAKET,MATCH($C390,FA,0))))),1)</f>
        <v>#REF!</v>
      </c>
      <c r="Z390" s="7" t="e">
        <f t="shared" si="110"/>
        <v>#REF!</v>
      </c>
      <c r="AA390" s="7" t="e">
        <f>IF(OR(ISNA(MATCH($C390,FA,0)),$J390="YEDEK",$J390="SARF"),0,N(#REF!)*N(INDEX(F_TEL,MATCH($C390,FA,0))))</f>
        <v>#REF!</v>
      </c>
      <c r="AB390" s="7" t="e">
        <f>IF(OR(ISNA(MATCH($C390,FA,0)),$J390="YEDEK",$J390="SARF"),0,N(#REF!)*N(INDEX(F_TELM,MATCH($C390,FA,0))))</f>
        <v>#REF!</v>
      </c>
      <c r="AC390" s="7" t="e">
        <f t="shared" si="111"/>
        <v>#REF!</v>
      </c>
      <c r="AD390" s="7">
        <f>IF(OR(ISNA(MATCH($C390,FA,0)),$J390&lt;&gt;"CIKIS"),0,N(INDEX(F_KK,MATCH($C390,FA,0))))</f>
        <v>0</v>
      </c>
      <c r="AE390" s="7">
        <f>IF($AD390=0,0,N(#REF!)*N(INDEX(F_KLN,MATCH($C390,FA,0))))</f>
        <v>0</v>
      </c>
      <c r="AF390" s="7">
        <f>IF($AD390=0,0,N(#REF!)*N(INDEX(F_KPE,MATCH($C390,FA,0))))</f>
        <v>0</v>
      </c>
      <c r="AG390" s="7" t="e">
        <f>IF(ISNA(MATCH($C390,FA,0)),0,N(#REF!)*N(INDEX(F_MODUL,MATCH($C390,FA,0))))</f>
        <v>#REF!</v>
      </c>
      <c r="AH390" s="7" t="e">
        <f>N(#REF!)*N($I390)</f>
        <v>#REF!</v>
      </c>
      <c r="AI390" s="7" t="e">
        <f t="shared" si="112"/>
        <v>#REF!</v>
      </c>
      <c r="AJ390" s="7">
        <f t="shared" si="113"/>
        <v>0</v>
      </c>
    </row>
    <row r="391" spans="1:36" x14ac:dyDescent="0.25">
      <c r="A391" s="4" t="str">
        <f t="shared" si="107"/>
        <v>ЩО-7 (260922 akram aulet)</v>
      </c>
      <c r="B391" s="4" t="s">
        <v>65</v>
      </c>
      <c r="C391" s="4" t="s">
        <v>384</v>
      </c>
      <c r="D391" s="4" t="s">
        <v>385</v>
      </c>
      <c r="E391" s="4" t="s">
        <v>114</v>
      </c>
      <c r="F391" s="4" t="s">
        <v>377</v>
      </c>
      <c r="G391" s="4" t="s">
        <v>236</v>
      </c>
      <c r="H391" s="5" t="e">
        <f>#REF!</f>
        <v>#REF!</v>
      </c>
      <c r="I391" s="6" t="e">
        <f t="shared" si="108"/>
        <v>#REF!</v>
      </c>
      <c r="J391" s="6" t="s">
        <v>52</v>
      </c>
      <c r="K391" s="6" t="s">
        <v>65</v>
      </c>
      <c r="L391" s="7" t="e">
        <f t="shared" si="109"/>
        <v>#REF!</v>
      </c>
      <c r="N391" s="7" t="s">
        <v>201</v>
      </c>
      <c r="O391" s="7" t="str">
        <f>IF(OR($C391="",$C391="FID YOK"),"",IF(ISNUMBER(MATCH($C391,FA_ANA,0)),"",IF(COUNTIF($C$1:$C390,$C391)&gt;0,"",MAX($O$1:$O390)+1)))</f>
        <v/>
      </c>
      <c r="P391" s="8">
        <v>1</v>
      </c>
      <c r="Q391" s="7" t="e">
        <f>IF(OR($P391="",$P391="G",ISNA(MATCH($C391,FA,0))),"",IF(N(INDEX(F_G,MATCH($C391,FA,0)))&gt;0,INDEX(F_G,MATCH($C391,FA,0)),IF(N(INDEX(F_MODUL,MATCH($C391,FA,0)))&gt;0,INDEX(F_MODUL,MATCH($C391,FA,0))*MODUL_MM,"")))</f>
        <v>#REF!</v>
      </c>
      <c r="R391" s="7" t="e">
        <f>IF(OR($P391="",$P391="G",ISNA(MATCH($C391,FA,0))),"",IF(N(INDEX(F_Y,MATCH($C391,FA,0)))&gt;0,INDEX(F_Y,MATCH($C391,FA,0)),""))</f>
        <v>#REF!</v>
      </c>
      <c r="S391" s="7" t="e">
        <f>IF(OR($P391="",$P391="G",ISNA(MATCH($C391,FA,0))),"",IF(N(INDEX(F_D,MATCH($C391,FA,0)))&gt;0,INDEX(F_D,MATCH($C391,FA,0)),""))</f>
        <v>#REF!</v>
      </c>
      <c r="T391" s="7">
        <f>IF(ISNA(MATCH($C391,FA,0)),0,IF($J391="GIRIS",N(INDEX(F_INKOR,MATCH($C391,FA,0))),0))</f>
        <v>0</v>
      </c>
      <c r="U391" s="7" t="e">
        <f>IF(ISNA(MATCH($B391,TIP_AD,0)),"",INDEX(TIP_KAT,MATCH($B391,TIP_AD,0))&amp;"")</f>
        <v>#REF!</v>
      </c>
      <c r="V391" s="7" t="e">
        <f>IF(NOT(ISNUMBER($P391)),"",IF($Z391=0,0,IF(ISNA(MATCH($Z391,BUK_KESIT,0)),"",IF(INDEX(BUK_ALAN,MATCH($Z391,BUK_KESIT,0))&amp;""="","",INDEX(BUK_ALAN,MATCH($Z391,BUK_KESIT,0))))))</f>
        <v>#REF!</v>
      </c>
      <c r="W391" s="7" t="e">
        <f>IF(OR(NOT(ISNUMBER($P391)),$Q391=""),"",N(#REF!)*($Q391+IF(ISNA(MATCH($B391,TIP_AD,0)),0,N(INDEX(TIP_BOSLUK,MATCH($B391,TIP_AD,0))))))</f>
        <v>#REF!</v>
      </c>
      <c r="X391" s="7" t="e">
        <f>IF(ISNUMBER($P391),($Q391="")+($R391="")+($V391="")+IF(AND($U391="KONTAKTOR",NOT(ISNA(MATCH($B391,TIP_AD,0)))),IF(INDEX(TIP_BOSLUK,MATCH($B391,TIP_AD,0))&amp;""="",1,0),0),IF($P391="K",IF($S391="",1,0),0))</f>
        <v>#REF!</v>
      </c>
      <c r="Y391" s="7" t="e">
        <f>N(#REF!)*IF($E391="упак",MAX(1,IF(ISNA(MATCH($C391,FA,0)),1,N(INDEX(F_PAKET,MATCH($C391,FA,0))))),1)</f>
        <v>#REF!</v>
      </c>
      <c r="Z391" s="7" t="e">
        <f t="shared" si="110"/>
        <v>#REF!</v>
      </c>
      <c r="AA391" s="7" t="e">
        <f>IF(OR(ISNA(MATCH($C391,FA,0)),$J391="YEDEK",$J391="SARF"),0,N(#REF!)*N(INDEX(F_TEL,MATCH($C391,FA,0))))</f>
        <v>#REF!</v>
      </c>
      <c r="AB391" s="7" t="e">
        <f>IF(OR(ISNA(MATCH($C391,FA,0)),$J391="YEDEK",$J391="SARF"),0,N(#REF!)*N(INDEX(F_TELM,MATCH($C391,FA,0))))</f>
        <v>#REF!</v>
      </c>
      <c r="AC391" s="7" t="e">
        <f t="shared" si="111"/>
        <v>#REF!</v>
      </c>
      <c r="AD391" s="7" t="e">
        <f>IF(OR(ISNA(MATCH($C391,FA,0)),$J391&lt;&gt;"CIKIS"),0,N(INDEX(F_KK,MATCH($C391,FA,0))))</f>
        <v>#REF!</v>
      </c>
      <c r="AE391" s="7" t="e">
        <f>IF($AD391=0,0,N(#REF!)*N(INDEX(F_KLN,MATCH($C391,FA,0))))</f>
        <v>#REF!</v>
      </c>
      <c r="AF391" s="7" t="e">
        <f>IF($AD391=0,0,N(#REF!)*N(INDEX(F_KPE,MATCH($C391,FA,0))))</f>
        <v>#REF!</v>
      </c>
      <c r="AG391" s="7" t="e">
        <f>IF(ISNA(MATCH($C391,FA,0)),0,N(#REF!)*N(INDEX(F_MODUL,MATCH($C391,FA,0))))</f>
        <v>#REF!</v>
      </c>
      <c r="AH391" s="7" t="e">
        <f>N(#REF!)*N($I391)</f>
        <v>#REF!</v>
      </c>
      <c r="AI391" s="7" t="e">
        <f t="shared" si="112"/>
        <v>#REF!</v>
      </c>
      <c r="AJ391" s="7">
        <f t="shared" si="113"/>
        <v>0</v>
      </c>
    </row>
    <row r="392" spans="1:36" x14ac:dyDescent="0.25">
      <c r="A392" s="4" t="str">
        <f t="shared" si="107"/>
        <v>ЩО-7 (260922 akram aulet)</v>
      </c>
      <c r="B392" s="4" t="s">
        <v>202</v>
      </c>
      <c r="C392" s="4" t="s">
        <v>575</v>
      </c>
      <c r="D392" s="4" t="s">
        <v>576</v>
      </c>
      <c r="E392" s="4" t="s">
        <v>114</v>
      </c>
      <c r="F392" s="4" t="s">
        <v>486</v>
      </c>
      <c r="G392" s="4" t="s">
        <v>236</v>
      </c>
      <c r="H392" s="5" t="e">
        <f>#REF!</f>
        <v>#REF!</v>
      </c>
      <c r="I392" s="6" t="e">
        <f t="shared" si="108"/>
        <v>#REF!</v>
      </c>
      <c r="J392" s="6" t="s">
        <v>84</v>
      </c>
      <c r="K392" s="6" t="s">
        <v>202</v>
      </c>
      <c r="L392" s="7" t="e">
        <f t="shared" si="109"/>
        <v>#REF!</v>
      </c>
      <c r="M392" s="7" t="s">
        <v>203</v>
      </c>
      <c r="O392" s="7" t="str">
        <f>IF(OR($C392="",$C392="FID YOK"),"",IF(ISNUMBER(MATCH($C392,FA_ANA,0)),"",IF(COUNTIF($C$1:$C391,$C392)&gt;0,"",MAX($O$1:$O391)+1)))</f>
        <v/>
      </c>
      <c r="T392" s="7">
        <f>IF(ISNA(MATCH($C392,FA,0)),0,IF($J392="GIRIS",N(INDEX(F_INKOR,MATCH($C392,FA,0))),0))</f>
        <v>0</v>
      </c>
      <c r="Y392" s="7" t="e">
        <f>N(#REF!)*IF($E392="упак",MAX(1,IF(ISNA(MATCH($C392,FA,0)),1,N(INDEX(F_PAKET,MATCH($C392,FA,0))))),1)</f>
        <v>#REF!</v>
      </c>
      <c r="Z392" s="7" t="e">
        <f t="shared" si="110"/>
        <v>#REF!</v>
      </c>
      <c r="AA392" s="7">
        <f>IF(OR(ISNA(MATCH($C392,FA,0)),$J392="YEDEK",$J392="SARF"),0,N(#REF!)*N(INDEX(F_TEL,MATCH($C392,FA,0))))</f>
        <v>0</v>
      </c>
      <c r="AB392" s="7">
        <f>IF(OR(ISNA(MATCH($C392,FA,0)),$J392="YEDEK",$J392="SARF"),0,N(#REF!)*N(INDEX(F_TELM,MATCH($C392,FA,0))))</f>
        <v>0</v>
      </c>
      <c r="AC392" s="7" t="e">
        <f t="shared" si="111"/>
        <v>#REF!</v>
      </c>
      <c r="AD392" s="7">
        <f>IF(OR(ISNA(MATCH($C392,FA,0)),$J392&lt;&gt;"CIKIS"),0,N(INDEX(F_KK,MATCH($C392,FA,0))))</f>
        <v>0</v>
      </c>
      <c r="AE392" s="7">
        <f>IF($AD392=0,0,N(#REF!)*N(INDEX(F_KLN,MATCH($C392,FA,0))))</f>
        <v>0</v>
      </c>
      <c r="AF392" s="7">
        <f>IF($AD392=0,0,N(#REF!)*N(INDEX(F_KPE,MATCH($C392,FA,0))))</f>
        <v>0</v>
      </c>
      <c r="AG392" s="7" t="e">
        <f>IF(ISNA(MATCH($C392,FA,0)),0,N(#REF!)*N(INDEX(F_MODUL,MATCH($C392,FA,0))))</f>
        <v>#REF!</v>
      </c>
      <c r="AH392" s="7" t="e">
        <f>N(#REF!)*N($I392)</f>
        <v>#REF!</v>
      </c>
      <c r="AI392" s="7" t="e">
        <f t="shared" si="112"/>
        <v>#REF!</v>
      </c>
      <c r="AJ392" s="7">
        <f t="shared" si="113"/>
        <v>0</v>
      </c>
    </row>
    <row r="393" spans="1:36" x14ac:dyDescent="0.25">
      <c r="A393" s="4" t="str">
        <f t="shared" si="107"/>
        <v>ЩО-7 (260922 akram aulet)</v>
      </c>
      <c r="B393" s="4" t="s">
        <v>202</v>
      </c>
      <c r="C393" s="4" t="s">
        <v>575</v>
      </c>
      <c r="D393" s="4" t="s">
        <v>576</v>
      </c>
      <c r="E393" s="4" t="s">
        <v>114</v>
      </c>
      <c r="F393" s="4" t="s">
        <v>486</v>
      </c>
      <c r="G393" s="4" t="s">
        <v>236</v>
      </c>
      <c r="H393" s="5" t="e">
        <f>#REF!</f>
        <v>#REF!</v>
      </c>
      <c r="I393" s="6" t="e">
        <f t="shared" si="108"/>
        <v>#REF!</v>
      </c>
      <c r="J393" s="6" t="s">
        <v>84</v>
      </c>
      <c r="K393" s="6" t="s">
        <v>202</v>
      </c>
      <c r="L393" s="7" t="e">
        <f t="shared" si="109"/>
        <v>#REF!</v>
      </c>
      <c r="M393" s="7" t="s">
        <v>204</v>
      </c>
      <c r="O393" s="7" t="str">
        <f>IF(OR($C393="",$C393="FID YOK"),"",IF(ISNUMBER(MATCH($C393,FA_ANA,0)),"",IF(COUNTIF($C$1:$C392,$C393)&gt;0,"",MAX($O$1:$O392)+1)))</f>
        <v/>
      </c>
      <c r="T393" s="7">
        <f>IF(ISNA(MATCH($C393,FA,0)),0,IF($J393="GIRIS",N(INDEX(F_INKOR,MATCH($C393,FA,0))),0))</f>
        <v>0</v>
      </c>
      <c r="Y393" s="7" t="e">
        <f>N(#REF!)*IF($E393="упак",MAX(1,IF(ISNA(MATCH($C393,FA,0)),1,N(INDEX(F_PAKET,MATCH($C393,FA,0))))),1)</f>
        <v>#REF!</v>
      </c>
      <c r="Z393" s="7" t="e">
        <f t="shared" si="110"/>
        <v>#REF!</v>
      </c>
      <c r="AA393" s="7">
        <f>IF(OR(ISNA(MATCH($C393,FA,0)),$J393="YEDEK",$J393="SARF"),0,N(#REF!)*N(INDEX(F_TEL,MATCH($C393,FA,0))))</f>
        <v>0</v>
      </c>
      <c r="AB393" s="7">
        <f>IF(OR(ISNA(MATCH($C393,FA,0)),$J393="YEDEK",$J393="SARF"),0,N(#REF!)*N(INDEX(F_TELM,MATCH($C393,FA,0))))</f>
        <v>0</v>
      </c>
      <c r="AC393" s="7" t="e">
        <f t="shared" si="111"/>
        <v>#REF!</v>
      </c>
      <c r="AD393" s="7">
        <f>IF(OR(ISNA(MATCH($C393,FA,0)),$J393&lt;&gt;"CIKIS"),0,N(INDEX(F_KK,MATCH($C393,FA,0))))</f>
        <v>0</v>
      </c>
      <c r="AE393" s="7">
        <f>IF($AD393=0,0,N(#REF!)*N(INDEX(F_KLN,MATCH($C393,FA,0))))</f>
        <v>0</v>
      </c>
      <c r="AF393" s="7">
        <f>IF($AD393=0,0,N(#REF!)*N(INDEX(F_KPE,MATCH($C393,FA,0))))</f>
        <v>0</v>
      </c>
      <c r="AG393" s="7" t="e">
        <f>IF(ISNA(MATCH($C393,FA,0)),0,N(#REF!)*N(INDEX(F_MODUL,MATCH($C393,FA,0))))</f>
        <v>#REF!</v>
      </c>
      <c r="AH393" s="7" t="e">
        <f>N(#REF!)*N($I393)</f>
        <v>#REF!</v>
      </c>
      <c r="AI393" s="7" t="e">
        <f t="shared" si="112"/>
        <v>#REF!</v>
      </c>
      <c r="AJ393" s="7">
        <f t="shared" si="113"/>
        <v>0</v>
      </c>
    </row>
    <row r="394" spans="1:36" x14ac:dyDescent="0.25">
      <c r="A394" s="4" t="str">
        <f t="shared" si="107"/>
        <v>ЩО-7 (260922 akram aulet)</v>
      </c>
      <c r="B394" s="4" t="s">
        <v>92</v>
      </c>
      <c r="C394" s="4" t="s">
        <v>523</v>
      </c>
      <c r="D394" s="4" t="s">
        <v>524</v>
      </c>
      <c r="E394" s="4" t="s">
        <v>520</v>
      </c>
      <c r="F394" s="4" t="s">
        <v>521</v>
      </c>
      <c r="G394" s="4" t="s">
        <v>236</v>
      </c>
      <c r="H394" s="5" t="e">
        <f>#REF!</f>
        <v>#REF!</v>
      </c>
      <c r="I394" s="6" t="e">
        <f t="shared" si="108"/>
        <v>#REF!</v>
      </c>
      <c r="J394" s="6" t="s">
        <v>84</v>
      </c>
      <c r="K394" s="6" t="s">
        <v>92</v>
      </c>
      <c r="L394" s="7" t="e">
        <f t="shared" si="109"/>
        <v>#REF!</v>
      </c>
      <c r="M394" s="7" t="s">
        <v>93</v>
      </c>
      <c r="O394" s="7" t="str">
        <f>IF(OR($C394="",$C394="FID YOK"),"",IF(ISNUMBER(MATCH($C394,FA_ANA,0)),"",IF(COUNTIF($C$1:$C393,$C394)&gt;0,"",MAX($O$1:$O393)+1)))</f>
        <v/>
      </c>
      <c r="T394" s="7">
        <f>IF(ISNA(MATCH($C394,FA,0)),0,IF($J394="GIRIS",N(INDEX(F_INKOR,MATCH($C394,FA,0))),0))</f>
        <v>0</v>
      </c>
      <c r="Y394" s="7" t="e">
        <f>N(#REF!)*IF($E394="упак",MAX(1,IF(ISNA(MATCH($C394,FA,0)),1,N(INDEX(F_PAKET,MATCH($C394,FA,0))))),1)</f>
        <v>#REF!</v>
      </c>
      <c r="Z394" s="7" t="e">
        <f t="shared" si="110"/>
        <v>#REF!</v>
      </c>
      <c r="AA394" s="7">
        <f>IF(OR(ISNA(MATCH($C394,FA,0)),$J394="YEDEK",$J394="SARF"),0,N(#REF!)*N(INDEX(F_TEL,MATCH($C394,FA,0))))</f>
        <v>0</v>
      </c>
      <c r="AB394" s="7">
        <f>IF(OR(ISNA(MATCH($C394,FA,0)),$J394="YEDEK",$J394="SARF"),0,N(#REF!)*N(INDEX(F_TELM,MATCH($C394,FA,0))))</f>
        <v>0</v>
      </c>
      <c r="AC394" s="7" t="e">
        <f t="shared" si="111"/>
        <v>#REF!</v>
      </c>
      <c r="AD394" s="7">
        <f>IF(OR(ISNA(MATCH($C394,FA,0)),$J394&lt;&gt;"CIKIS"),0,N(INDEX(F_KK,MATCH($C394,FA,0))))</f>
        <v>0</v>
      </c>
      <c r="AE394" s="7">
        <f>IF($AD394=0,0,N(#REF!)*N(INDEX(F_KLN,MATCH($C394,FA,0))))</f>
        <v>0</v>
      </c>
      <c r="AF394" s="7">
        <f>IF($AD394=0,0,N(#REF!)*N(INDEX(F_KPE,MATCH($C394,FA,0))))</f>
        <v>0</v>
      </c>
      <c r="AG394" s="7" t="e">
        <f>IF(ISNA(MATCH($C394,FA,0)),0,N(#REF!)*N(INDEX(F_MODUL,MATCH($C394,FA,0))))</f>
        <v>#REF!</v>
      </c>
      <c r="AH394" s="7" t="e">
        <f>N(#REF!)*N($I394)</f>
        <v>#REF!</v>
      </c>
      <c r="AI394" s="7" t="e">
        <f t="shared" si="112"/>
        <v>#REF!</v>
      </c>
      <c r="AJ394" s="7">
        <f t="shared" si="113"/>
        <v>0</v>
      </c>
    </row>
    <row r="395" spans="1:36" x14ac:dyDescent="0.25">
      <c r="A395" s="4" t="str">
        <f t="shared" si="107"/>
        <v>ЩО-7 (260922 akram aulet)</v>
      </c>
      <c r="B395" s="4" t="s">
        <v>92</v>
      </c>
      <c r="C395" s="4" t="s">
        <v>535</v>
      </c>
      <c r="D395" s="4" t="s">
        <v>536</v>
      </c>
      <c r="E395" s="4" t="s">
        <v>520</v>
      </c>
      <c r="F395" s="4" t="s">
        <v>521</v>
      </c>
      <c r="G395" s="4" t="s">
        <v>236</v>
      </c>
      <c r="H395" s="5" t="e">
        <f>#REF!</f>
        <v>#REF!</v>
      </c>
      <c r="I395" s="6" t="e">
        <f t="shared" si="108"/>
        <v>#REF!</v>
      </c>
      <c r="J395" s="6" t="s">
        <v>84</v>
      </c>
      <c r="K395" s="6" t="s">
        <v>92</v>
      </c>
      <c r="L395" s="7" t="e">
        <f t="shared" si="109"/>
        <v>#REF!</v>
      </c>
      <c r="M395" s="7" t="s">
        <v>130</v>
      </c>
      <c r="O395" s="7" t="str">
        <f>IF(OR($C395="",$C395="FID YOK"),"",IF(ISNUMBER(MATCH($C395,FA_ANA,0)),"",IF(COUNTIF($C$1:$C394,$C395)&gt;0,"",MAX($O$1:$O394)+1)))</f>
        <v/>
      </c>
      <c r="T395" s="7">
        <f>IF(ISNA(MATCH($C395,FA,0)),0,IF($J395="GIRIS",N(INDEX(F_INKOR,MATCH($C395,FA,0))),0))</f>
        <v>0</v>
      </c>
      <c r="Y395" s="7" t="e">
        <f>N(#REF!)*IF($E395="упак",MAX(1,IF(ISNA(MATCH($C395,FA,0)),1,N(INDEX(F_PAKET,MATCH($C395,FA,0))))),1)</f>
        <v>#REF!</v>
      </c>
      <c r="Z395" s="7" t="e">
        <f t="shared" si="110"/>
        <v>#REF!</v>
      </c>
      <c r="AA395" s="7">
        <f>IF(OR(ISNA(MATCH($C395,FA,0)),$J395="YEDEK",$J395="SARF"),0,N(#REF!)*N(INDEX(F_TEL,MATCH($C395,FA,0))))</f>
        <v>0</v>
      </c>
      <c r="AB395" s="7">
        <f>IF(OR(ISNA(MATCH($C395,FA,0)),$J395="YEDEK",$J395="SARF"),0,N(#REF!)*N(INDEX(F_TELM,MATCH($C395,FA,0))))</f>
        <v>0</v>
      </c>
      <c r="AC395" s="7" t="e">
        <f t="shared" si="111"/>
        <v>#REF!</v>
      </c>
      <c r="AD395" s="7">
        <f>IF(OR(ISNA(MATCH($C395,FA,0)),$J395&lt;&gt;"CIKIS"),0,N(INDEX(F_KK,MATCH($C395,FA,0))))</f>
        <v>0</v>
      </c>
      <c r="AE395" s="7">
        <f>IF($AD395=0,0,N(#REF!)*N(INDEX(F_KLN,MATCH($C395,FA,0))))</f>
        <v>0</v>
      </c>
      <c r="AF395" s="7">
        <f>IF($AD395=0,0,N(#REF!)*N(INDEX(F_KPE,MATCH($C395,FA,0))))</f>
        <v>0</v>
      </c>
      <c r="AG395" s="7" t="e">
        <f>IF(ISNA(MATCH($C395,FA,0)),0,N(#REF!)*N(INDEX(F_MODUL,MATCH($C395,FA,0))))</f>
        <v>#REF!</v>
      </c>
      <c r="AH395" s="7" t="e">
        <f>N(#REF!)*N($I395)</f>
        <v>#REF!</v>
      </c>
      <c r="AI395" s="7" t="e">
        <f t="shared" si="112"/>
        <v>#REF!</v>
      </c>
      <c r="AJ395" s="7">
        <f t="shared" si="113"/>
        <v>0</v>
      </c>
    </row>
    <row r="396" spans="1:36" x14ac:dyDescent="0.25">
      <c r="A396" s="4" t="str">
        <f t="shared" si="107"/>
        <v>ЩО-7 (260922 akram aulet)</v>
      </c>
      <c r="B396" s="4" t="s">
        <v>92</v>
      </c>
      <c r="C396" s="4" t="s">
        <v>535</v>
      </c>
      <c r="D396" s="4" t="s">
        <v>536</v>
      </c>
      <c r="E396" s="4" t="s">
        <v>520</v>
      </c>
      <c r="F396" s="4" t="s">
        <v>521</v>
      </c>
      <c r="G396" s="4" t="s">
        <v>236</v>
      </c>
      <c r="H396" s="5" t="e">
        <f>#REF!</f>
        <v>#REF!</v>
      </c>
      <c r="I396" s="6" t="e">
        <f t="shared" si="108"/>
        <v>#REF!</v>
      </c>
      <c r="J396" s="6" t="s">
        <v>84</v>
      </c>
      <c r="K396" s="6" t="s">
        <v>92</v>
      </c>
      <c r="L396" s="7" t="e">
        <f t="shared" si="109"/>
        <v>#REF!</v>
      </c>
      <c r="M396" s="7" t="s">
        <v>100</v>
      </c>
      <c r="O396" s="7" t="str">
        <f>IF(OR($C396="",$C396="FID YOK"),"",IF(ISNUMBER(MATCH($C396,FA_ANA,0)),"",IF(COUNTIF($C$1:$C395,$C396)&gt;0,"",MAX($O$1:$O395)+1)))</f>
        <v/>
      </c>
      <c r="T396" s="7">
        <f>IF(ISNA(MATCH($C396,FA,0)),0,IF($J396="GIRIS",N(INDEX(F_INKOR,MATCH($C396,FA,0))),0))</f>
        <v>0</v>
      </c>
      <c r="Y396" s="7" t="e">
        <f>N(#REF!)*IF($E396="упак",MAX(1,IF(ISNA(MATCH($C396,FA,0)),1,N(INDEX(F_PAKET,MATCH($C396,FA,0))))),1)</f>
        <v>#REF!</v>
      </c>
      <c r="Z396" s="7" t="e">
        <f t="shared" si="110"/>
        <v>#REF!</v>
      </c>
      <c r="AA396" s="7">
        <f>IF(OR(ISNA(MATCH($C396,FA,0)),$J396="YEDEK",$J396="SARF"),0,N(#REF!)*N(INDEX(F_TEL,MATCH($C396,FA,0))))</f>
        <v>0</v>
      </c>
      <c r="AB396" s="7">
        <f>IF(OR(ISNA(MATCH($C396,FA,0)),$J396="YEDEK",$J396="SARF"),0,N(#REF!)*N(INDEX(F_TELM,MATCH($C396,FA,0))))</f>
        <v>0</v>
      </c>
      <c r="AC396" s="7" t="e">
        <f t="shared" si="111"/>
        <v>#REF!</v>
      </c>
      <c r="AD396" s="7">
        <f>IF(OR(ISNA(MATCH($C396,FA,0)),$J396&lt;&gt;"CIKIS"),0,N(INDEX(F_KK,MATCH($C396,FA,0))))</f>
        <v>0</v>
      </c>
      <c r="AE396" s="7">
        <f>IF($AD396=0,0,N(#REF!)*N(INDEX(F_KLN,MATCH($C396,FA,0))))</f>
        <v>0</v>
      </c>
      <c r="AF396" s="7">
        <f>IF($AD396=0,0,N(#REF!)*N(INDEX(F_KPE,MATCH($C396,FA,0))))</f>
        <v>0</v>
      </c>
      <c r="AG396" s="7" t="e">
        <f>IF(ISNA(MATCH($C396,FA,0)),0,N(#REF!)*N(INDEX(F_MODUL,MATCH($C396,FA,0))))</f>
        <v>#REF!</v>
      </c>
      <c r="AH396" s="7" t="e">
        <f>N(#REF!)*N($I396)</f>
        <v>#REF!</v>
      </c>
      <c r="AI396" s="7" t="e">
        <f t="shared" si="112"/>
        <v>#REF!</v>
      </c>
      <c r="AJ396" s="7">
        <f t="shared" si="113"/>
        <v>0</v>
      </c>
    </row>
    <row r="397" spans="1:36" x14ac:dyDescent="0.25">
      <c r="A397" s="4" t="str">
        <f t="shared" si="107"/>
        <v>ЩО-7 (260922 akram aulet)</v>
      </c>
      <c r="B397" s="4" t="s">
        <v>101</v>
      </c>
      <c r="C397" s="4" t="s">
        <v>525</v>
      </c>
      <c r="D397" s="4" t="s">
        <v>526</v>
      </c>
      <c r="E397" s="4" t="s">
        <v>522</v>
      </c>
      <c r="F397" s="4" t="s">
        <v>486</v>
      </c>
      <c r="G397" s="4" t="s">
        <v>236</v>
      </c>
      <c r="H397" s="5" t="e">
        <f>#REF!</f>
        <v>#REF!</v>
      </c>
      <c r="I397" s="6" t="e">
        <f t="shared" si="108"/>
        <v>#REF!</v>
      </c>
      <c r="J397" s="6" t="s">
        <v>84</v>
      </c>
      <c r="K397" s="6" t="s">
        <v>101</v>
      </c>
      <c r="L397" s="7" t="e">
        <f t="shared" si="109"/>
        <v>#REF!</v>
      </c>
      <c r="M397" s="7" t="s">
        <v>102</v>
      </c>
      <c r="O397" s="7" t="str">
        <f>IF(OR($C397="",$C397="FID YOK"),"",IF(ISNUMBER(MATCH($C397,FA_ANA,0)),"",IF(COUNTIF($C$1:$C396,$C397)&gt;0,"",MAX($O$1:$O396)+1)))</f>
        <v/>
      </c>
      <c r="T397" s="7">
        <f>IF(ISNA(MATCH($C397,FA,0)),0,IF($J397="GIRIS",N(INDEX(F_INKOR,MATCH($C397,FA,0))),0))</f>
        <v>0</v>
      </c>
      <c r="Y397" s="7" t="e">
        <f>N(#REF!)*IF($E397="упак",MAX(1,IF(ISNA(MATCH($C397,FA,0)),1,N(INDEX(F_PAKET,MATCH($C397,FA,0))))),1)</f>
        <v>#REF!</v>
      </c>
      <c r="Z397" s="7" t="e">
        <f t="shared" si="110"/>
        <v>#REF!</v>
      </c>
      <c r="AA397" s="7">
        <f>IF(OR(ISNA(MATCH($C397,FA,0)),$J397="YEDEK",$J397="SARF"),0,N(#REF!)*N(INDEX(F_TEL,MATCH($C397,FA,0))))</f>
        <v>0</v>
      </c>
      <c r="AB397" s="7">
        <f>IF(OR(ISNA(MATCH($C397,FA,0)),$J397="YEDEK",$J397="SARF"),0,N(#REF!)*N(INDEX(F_TELM,MATCH($C397,FA,0))))</f>
        <v>0</v>
      </c>
      <c r="AC397" s="7" t="e">
        <f t="shared" si="111"/>
        <v>#REF!</v>
      </c>
      <c r="AD397" s="7">
        <f>IF(OR(ISNA(MATCH($C397,FA,0)),$J397&lt;&gt;"CIKIS"),0,N(INDEX(F_KK,MATCH($C397,FA,0))))</f>
        <v>0</v>
      </c>
      <c r="AE397" s="7">
        <f>IF($AD397=0,0,N(#REF!)*N(INDEX(F_KLN,MATCH($C397,FA,0))))</f>
        <v>0</v>
      </c>
      <c r="AF397" s="7">
        <f>IF($AD397=0,0,N(#REF!)*N(INDEX(F_KPE,MATCH($C397,FA,0))))</f>
        <v>0</v>
      </c>
      <c r="AG397" s="7" t="e">
        <f>IF(ISNA(MATCH($C397,FA,0)),0,N(#REF!)*N(INDEX(F_MODUL,MATCH($C397,FA,0))))</f>
        <v>#REF!</v>
      </c>
      <c r="AH397" s="7" t="e">
        <f>N(#REF!)*N($I397)</f>
        <v>#REF!</v>
      </c>
      <c r="AI397" s="7" t="e">
        <f t="shared" si="112"/>
        <v>#REF!</v>
      </c>
      <c r="AJ397" s="7">
        <f t="shared" si="113"/>
        <v>0</v>
      </c>
    </row>
    <row r="398" spans="1:36" x14ac:dyDescent="0.25">
      <c r="A398" s="4" t="str">
        <f t="shared" si="107"/>
        <v>ЩО-7 (260922 akram aulet)</v>
      </c>
      <c r="B398" s="4" t="s">
        <v>101</v>
      </c>
      <c r="C398" s="4" t="s">
        <v>537</v>
      </c>
      <c r="D398" s="4" t="s">
        <v>538</v>
      </c>
      <c r="E398" s="4" t="s">
        <v>522</v>
      </c>
      <c r="F398" s="4" t="s">
        <v>486</v>
      </c>
      <c r="G398" s="4" t="s">
        <v>236</v>
      </c>
      <c r="H398" s="5" t="e">
        <f>#REF!</f>
        <v>#REF!</v>
      </c>
      <c r="I398" s="6" t="e">
        <f t="shared" si="108"/>
        <v>#REF!</v>
      </c>
      <c r="J398" s="6" t="s">
        <v>84</v>
      </c>
      <c r="K398" s="6" t="s">
        <v>101</v>
      </c>
      <c r="L398" s="7" t="e">
        <f t="shared" si="109"/>
        <v>#REF!</v>
      </c>
      <c r="M398" s="7" t="s">
        <v>205</v>
      </c>
      <c r="O398" s="7" t="str">
        <f>IF(OR($C398="",$C398="FID YOK"),"",IF(ISNUMBER(MATCH($C398,FA_ANA,0)),"",IF(COUNTIF($C$1:$C397,$C398)&gt;0,"",MAX($O$1:$O397)+1)))</f>
        <v/>
      </c>
      <c r="T398" s="7">
        <f>IF(ISNA(MATCH($C398,FA,0)),0,IF($J398="GIRIS",N(INDEX(F_INKOR,MATCH($C398,FA,0))),0))</f>
        <v>0</v>
      </c>
      <c r="Y398" s="7" t="e">
        <f>N(#REF!)*IF($E398="упак",MAX(1,IF(ISNA(MATCH($C398,FA,0)),1,N(INDEX(F_PAKET,MATCH($C398,FA,0))))),1)</f>
        <v>#REF!</v>
      </c>
      <c r="Z398" s="7" t="e">
        <f t="shared" si="110"/>
        <v>#REF!</v>
      </c>
      <c r="AA398" s="7">
        <f>IF(OR(ISNA(MATCH($C398,FA,0)),$J398="YEDEK",$J398="SARF"),0,N(#REF!)*N(INDEX(F_TEL,MATCH($C398,FA,0))))</f>
        <v>0</v>
      </c>
      <c r="AB398" s="7">
        <f>IF(OR(ISNA(MATCH($C398,FA,0)),$J398="YEDEK",$J398="SARF"),0,N(#REF!)*N(INDEX(F_TELM,MATCH($C398,FA,0))))</f>
        <v>0</v>
      </c>
      <c r="AC398" s="7" t="e">
        <f t="shared" si="111"/>
        <v>#REF!</v>
      </c>
      <c r="AD398" s="7">
        <f>IF(OR(ISNA(MATCH($C398,FA,0)),$J398&lt;&gt;"CIKIS"),0,N(INDEX(F_KK,MATCH($C398,FA,0))))</f>
        <v>0</v>
      </c>
      <c r="AE398" s="7">
        <f>IF($AD398=0,0,N(#REF!)*N(INDEX(F_KLN,MATCH($C398,FA,0))))</f>
        <v>0</v>
      </c>
      <c r="AF398" s="7">
        <f>IF($AD398=0,0,N(#REF!)*N(INDEX(F_KPE,MATCH($C398,FA,0))))</f>
        <v>0</v>
      </c>
      <c r="AG398" s="7" t="e">
        <f>IF(ISNA(MATCH($C398,FA,0)),0,N(#REF!)*N(INDEX(F_MODUL,MATCH($C398,FA,0))))</f>
        <v>#REF!</v>
      </c>
      <c r="AH398" s="7" t="e">
        <f>N(#REF!)*N($I398)</f>
        <v>#REF!</v>
      </c>
      <c r="AI398" s="7" t="e">
        <f t="shared" si="112"/>
        <v>#REF!</v>
      </c>
      <c r="AJ398" s="7">
        <f t="shared" si="113"/>
        <v>0</v>
      </c>
    </row>
    <row r="399" spans="1:36" x14ac:dyDescent="0.25">
      <c r="A399" s="4" t="str">
        <f t="shared" si="107"/>
        <v>ЩО-7 (260922 akram aulet)</v>
      </c>
      <c r="B399" s="4" t="s">
        <v>105</v>
      </c>
      <c r="C399" s="4" t="s">
        <v>539</v>
      </c>
      <c r="D399" s="4" t="s">
        <v>540</v>
      </c>
      <c r="E399" s="4" t="s">
        <v>114</v>
      </c>
      <c r="F399" s="4" t="s">
        <v>486</v>
      </c>
      <c r="G399" s="4" t="s">
        <v>236</v>
      </c>
      <c r="H399" s="5" t="e">
        <f>#REF!</f>
        <v>#REF!</v>
      </c>
      <c r="I399" s="6" t="e">
        <f t="shared" si="108"/>
        <v>#REF!</v>
      </c>
      <c r="J399" s="6" t="s">
        <v>84</v>
      </c>
      <c r="K399" s="6" t="s">
        <v>105</v>
      </c>
      <c r="L399" s="7" t="e">
        <f t="shared" si="109"/>
        <v>#REF!</v>
      </c>
      <c r="M399" s="7" t="s">
        <v>110</v>
      </c>
      <c r="O399" s="7" t="str">
        <f>IF(OR($C399="",$C399="FID YOK"),"",IF(ISNUMBER(MATCH($C399,FA_ANA,0)),"",IF(COUNTIF($C$1:$C398,$C399)&gt;0,"",MAX($O$1:$O398)+1)))</f>
        <v/>
      </c>
      <c r="T399" s="7">
        <f>IF(ISNA(MATCH($C399,FA,0)),0,IF($J399="GIRIS",N(INDEX(F_INKOR,MATCH($C399,FA,0))),0))</f>
        <v>0</v>
      </c>
      <c r="Y399" s="7" t="e">
        <f>N(#REF!)*IF($E399="упак",MAX(1,IF(ISNA(MATCH($C399,FA,0)),1,N(INDEX(F_PAKET,MATCH($C399,FA,0))))),1)</f>
        <v>#REF!</v>
      </c>
      <c r="Z399" s="7" t="e">
        <f t="shared" si="110"/>
        <v>#REF!</v>
      </c>
      <c r="AA399" s="7">
        <f>IF(OR(ISNA(MATCH($C399,FA,0)),$J399="YEDEK",$J399="SARF"),0,N(#REF!)*N(INDEX(F_TEL,MATCH($C399,FA,0))))</f>
        <v>0</v>
      </c>
      <c r="AB399" s="7">
        <f>IF(OR(ISNA(MATCH($C399,FA,0)),$J399="YEDEK",$J399="SARF"),0,N(#REF!)*N(INDEX(F_TELM,MATCH($C399,FA,0))))</f>
        <v>0</v>
      </c>
      <c r="AC399" s="7" t="e">
        <f t="shared" si="111"/>
        <v>#REF!</v>
      </c>
      <c r="AD399" s="7">
        <f>IF(OR(ISNA(MATCH($C399,FA,0)),$J399&lt;&gt;"CIKIS"),0,N(INDEX(F_KK,MATCH($C399,FA,0))))</f>
        <v>0</v>
      </c>
      <c r="AE399" s="7">
        <f>IF($AD399=0,0,N(#REF!)*N(INDEX(F_KLN,MATCH($C399,FA,0))))</f>
        <v>0</v>
      </c>
      <c r="AF399" s="7">
        <f>IF($AD399=0,0,N(#REF!)*N(INDEX(F_KPE,MATCH($C399,FA,0))))</f>
        <v>0</v>
      </c>
      <c r="AG399" s="7" t="e">
        <f>IF(ISNA(MATCH($C399,FA,0)),0,N(#REF!)*N(INDEX(F_MODUL,MATCH($C399,FA,0))))</f>
        <v>#REF!</v>
      </c>
      <c r="AH399" s="7" t="e">
        <f>N(#REF!)*N($I399)</f>
        <v>#REF!</v>
      </c>
      <c r="AI399" s="7" t="e">
        <f t="shared" si="112"/>
        <v>#REF!</v>
      </c>
      <c r="AJ399" s="7">
        <f t="shared" si="113"/>
        <v>0</v>
      </c>
    </row>
    <row r="400" spans="1:36" x14ac:dyDescent="0.25">
      <c r="A400" s="4" t="str">
        <f t="shared" si="107"/>
        <v>ЩО-7 (260922 akram aulet)</v>
      </c>
      <c r="B400" s="4" t="s">
        <v>111</v>
      </c>
      <c r="C400" s="4" t="s">
        <v>571</v>
      </c>
      <c r="D400" s="4" t="s">
        <v>572</v>
      </c>
      <c r="E400" s="4" t="s">
        <v>522</v>
      </c>
      <c r="F400" s="4" t="s">
        <v>486</v>
      </c>
      <c r="G400" s="4" t="s">
        <v>236</v>
      </c>
      <c r="H400" s="5" t="e">
        <f>#REF!</f>
        <v>#REF!</v>
      </c>
      <c r="I400" s="6" t="e">
        <f t="shared" si="108"/>
        <v>#REF!</v>
      </c>
      <c r="J400" s="6" t="s">
        <v>84</v>
      </c>
      <c r="K400" s="6" t="s">
        <v>111</v>
      </c>
      <c r="L400" s="7" t="e">
        <f t="shared" si="109"/>
        <v>#REF!</v>
      </c>
      <c r="M400" s="7" t="s">
        <v>112</v>
      </c>
      <c r="O400" s="7" t="str">
        <f>IF(OR($C400="",$C400="FID YOK"),"",IF(ISNUMBER(MATCH($C400,FA_ANA,0)),"",IF(COUNTIF($C$1:$C399,$C400)&gt;0,"",MAX($O$1:$O399)+1)))</f>
        <v/>
      </c>
      <c r="T400" s="7">
        <f>IF(ISNA(MATCH($C400,FA,0)),0,IF($J400="GIRIS",N(INDEX(F_INKOR,MATCH($C400,FA,0))),0))</f>
        <v>0</v>
      </c>
      <c r="Y400" s="7" t="e">
        <f>N(#REF!)*IF($E400="упак",MAX(1,IF(ISNA(MATCH($C400,FA,0)),1,N(INDEX(F_PAKET,MATCH($C400,FA,0))))),1)</f>
        <v>#REF!</v>
      </c>
      <c r="Z400" s="7" t="e">
        <f t="shared" si="110"/>
        <v>#REF!</v>
      </c>
      <c r="AA400" s="7">
        <f>IF(OR(ISNA(MATCH($C400,FA,0)),$J400="YEDEK",$J400="SARF"),0,N(#REF!)*N(INDEX(F_TEL,MATCH($C400,FA,0))))</f>
        <v>0</v>
      </c>
      <c r="AB400" s="7">
        <f>IF(OR(ISNA(MATCH($C400,FA,0)),$J400="YEDEK",$J400="SARF"),0,N(#REF!)*N(INDEX(F_TELM,MATCH($C400,FA,0))))</f>
        <v>0</v>
      </c>
      <c r="AC400" s="7" t="e">
        <f t="shared" si="111"/>
        <v>#REF!</v>
      </c>
      <c r="AD400" s="7">
        <f>IF(OR(ISNA(MATCH($C400,FA,0)),$J400&lt;&gt;"CIKIS"),0,N(INDEX(F_KK,MATCH($C400,FA,0))))</f>
        <v>0</v>
      </c>
      <c r="AE400" s="7">
        <f>IF($AD400=0,0,N(#REF!)*N(INDEX(F_KLN,MATCH($C400,FA,0))))</f>
        <v>0</v>
      </c>
      <c r="AF400" s="7">
        <f>IF($AD400=0,0,N(#REF!)*N(INDEX(F_KPE,MATCH($C400,FA,0))))</f>
        <v>0</v>
      </c>
      <c r="AG400" s="7" t="e">
        <f>IF(ISNA(MATCH($C400,FA,0)),0,N(#REF!)*N(INDEX(F_MODUL,MATCH($C400,FA,0))))</f>
        <v>#REF!</v>
      </c>
      <c r="AH400" s="7" t="e">
        <f>N(#REF!)*N($I400)</f>
        <v>#REF!</v>
      </c>
      <c r="AI400" s="7" t="e">
        <f t="shared" si="112"/>
        <v>#REF!</v>
      </c>
      <c r="AJ400" s="7">
        <f t="shared" si="113"/>
        <v>0</v>
      </c>
    </row>
    <row r="401" spans="1:36" x14ac:dyDescent="0.25">
      <c r="A401" s="4" t="str">
        <f t="shared" si="107"/>
        <v>ЩО-7 (260922 akram aulet)</v>
      </c>
      <c r="B401" s="4" t="s">
        <v>113</v>
      </c>
      <c r="C401" s="4" t="s">
        <v>113</v>
      </c>
      <c r="D401" s="4" t="s">
        <v>113</v>
      </c>
      <c r="E401" s="4" t="s">
        <v>114</v>
      </c>
      <c r="F401" s="4" t="s">
        <v>113</v>
      </c>
      <c r="G401" s="4" t="s">
        <v>236</v>
      </c>
      <c r="H401" s="5" t="e">
        <f>#REF!</f>
        <v>#REF!</v>
      </c>
      <c r="I401" s="6" t="e">
        <f t="shared" si="108"/>
        <v>#REF!</v>
      </c>
    </row>
    <row r="402" spans="1:36" x14ac:dyDescent="0.25">
      <c r="A402" s="4" t="str">
        <f t="shared" si="107"/>
        <v>ЩО-7 (260922 akram aulet)</v>
      </c>
      <c r="B402" s="4" t="s">
        <v>115</v>
      </c>
      <c r="C402" s="4" t="s">
        <v>115</v>
      </c>
      <c r="D402" s="4" t="s">
        <v>115</v>
      </c>
      <c r="E402" s="4" t="s">
        <v>116</v>
      </c>
      <c r="F402" s="4" t="s">
        <v>115</v>
      </c>
      <c r="G402" s="4" t="s">
        <v>236</v>
      </c>
      <c r="H402" s="5" t="e">
        <f>#REF!</f>
        <v>#REF!</v>
      </c>
      <c r="I402" s="6" t="e">
        <f t="shared" si="108"/>
        <v>#REF!</v>
      </c>
    </row>
    <row r="403" spans="1:36" x14ac:dyDescent="0.25">
      <c r="A403" s="1" t="str">
        <f>D403</f>
        <v>ЩАО-7 (260922 akram aulet)</v>
      </c>
      <c r="B403" s="12"/>
      <c r="C403" s="2"/>
      <c r="D403" s="1" t="s">
        <v>251</v>
      </c>
      <c r="E403" s="1" t="s">
        <v>36</v>
      </c>
      <c r="F403" s="1" t="s">
        <v>37</v>
      </c>
      <c r="G403" s="1" t="s">
        <v>236</v>
      </c>
      <c r="I403" s="3" t="e">
        <f>#REF!</f>
        <v>#REF!</v>
      </c>
    </row>
    <row r="404" spans="1:36" x14ac:dyDescent="0.25">
      <c r="A404" s="4" t="str">
        <f t="shared" ref="A404:A417" si="114">A403</f>
        <v>ЩАО-7 (260922 akram aulet)</v>
      </c>
      <c r="B404" s="4" t="s">
        <v>39</v>
      </c>
      <c r="C404" s="4" t="s">
        <v>506</v>
      </c>
      <c r="D404" s="4" t="s">
        <v>507</v>
      </c>
      <c r="E404" s="4" t="s">
        <v>114</v>
      </c>
      <c r="F404" s="4" t="s">
        <v>591</v>
      </c>
      <c r="G404" s="4" t="s">
        <v>236</v>
      </c>
      <c r="H404" s="5" t="e">
        <f>#REF!</f>
        <v>#REF!</v>
      </c>
      <c r="I404" s="6" t="e">
        <f t="shared" ref="I404:I417" si="115">I403</f>
        <v>#REF!</v>
      </c>
      <c r="J404" s="6" t="s">
        <v>40</v>
      </c>
      <c r="K404" s="6" t="s">
        <v>195</v>
      </c>
      <c r="L404" s="7" t="e">
        <f t="shared" ref="L404:L415" si="116">IF(ISNA(MATCH($C404,FA,0)),"ARTİKÜL YOK",INDEX(FIYAT_DURUM,MATCH($C404,FA,0)))</f>
        <v>#REF!</v>
      </c>
      <c r="M404" s="7" t="s">
        <v>249</v>
      </c>
      <c r="N404" s="7" t="s">
        <v>197</v>
      </c>
      <c r="O404" s="7" t="str">
        <f>IF(OR($C404="",$C404="FID YOK"),"",IF(ISNUMBER(MATCH($C404,FA_ANA,0)),"",IF(COUNTIF($C$1:$C403,$C404)&gt;0,"",MAX($O$1:$O403)+1)))</f>
        <v/>
      </c>
      <c r="Q404" s="7"/>
      <c r="R404" s="7"/>
      <c r="S404" s="7"/>
      <c r="T404" s="7">
        <f>IF(ISNA(MATCH($C404,FA,0)),0,IF($J404="GIRIS",N(INDEX(F_INKOR,MATCH($C404,FA,0))),0))</f>
        <v>0</v>
      </c>
      <c r="U404" s="7"/>
      <c r="V404" s="7"/>
      <c r="W404" s="7"/>
      <c r="X404" s="7"/>
      <c r="Y404" s="7" t="e">
        <f>N(#REF!)*IF($E404="упак",MAX(1,IF(ISNA(MATCH($C404,FA,0)),1,N(INDEX(F_PAKET,MATCH($C404,FA,0))))),1)</f>
        <v>#REF!</v>
      </c>
      <c r="Z404" s="7" t="e">
        <f t="shared" ref="Z404:Z415" si="117">IF(ISNA(MATCH($C404,FA,0)),0,N(INDEX(F_BK,MATCH($C404,FA,0))))</f>
        <v>#REF!</v>
      </c>
      <c r="AA404" s="7" t="e">
        <f>IF(OR(ISNA(MATCH($C404,FA,0)),$J404="YEDEK",$J404="SARF"),0,N(#REF!)*N(INDEX(F_TEL,MATCH($C404,FA,0))))</f>
        <v>#REF!</v>
      </c>
      <c r="AB404" s="7" t="e">
        <f>IF(OR(ISNA(MATCH($C404,FA,0)),$J404="YEDEK",$J404="SARF"),0,N(#REF!)*N(INDEX(F_TELM,MATCH($C404,FA,0))))</f>
        <v>#REF!</v>
      </c>
      <c r="AC404" s="7" t="e">
        <f t="shared" ref="AC404:AC415" si="118">IF(ISNA(MATCH($C404,FA,0)),"",INDEX(F_UC,MATCH($C404,FA,0))&amp;"")</f>
        <v>#REF!</v>
      </c>
      <c r="AD404" s="7">
        <f>IF(OR(ISNA(MATCH($C404,FA,0)),$J404&lt;&gt;"CIKIS"),0,N(INDEX(F_KK,MATCH($C404,FA,0))))</f>
        <v>0</v>
      </c>
      <c r="AE404" s="7">
        <f>IF($AD404=0,0,N(#REF!)*N(INDEX(F_KLN,MATCH($C404,FA,0))))</f>
        <v>0</v>
      </c>
      <c r="AF404" s="7">
        <f>IF($AD404=0,0,N(#REF!)*N(INDEX(F_KPE,MATCH($C404,FA,0))))</f>
        <v>0</v>
      </c>
      <c r="AG404" s="7" t="e">
        <f>IF(ISNA(MATCH($C404,FA,0)),0,N(#REF!)*N(INDEX(F_MODUL,MATCH($C404,FA,0))))</f>
        <v>#REF!</v>
      </c>
      <c r="AH404" s="7" t="e">
        <f>N(#REF!)*N($I404)</f>
        <v>#REF!</v>
      </c>
      <c r="AI404" s="7" t="e">
        <f t="shared" ref="AI404:AI415" si="119">IF(ISNA(MATCH($K404,TIP_AD,0)),"YOK",IF(INDEX(NORM_DK,MATCH($K404,TIP_AD,0))="","BOŞ",INDEX(NORM_DK,MATCH($K404,TIP_AD,0))))</f>
        <v>#REF!</v>
      </c>
      <c r="AJ404" s="7">
        <f t="shared" ref="AJ404:AJ415" si="120">IF(ISNUMBER($AI404),$Y404*$AI404,0)</f>
        <v>0</v>
      </c>
    </row>
    <row r="405" spans="1:36" x14ac:dyDescent="0.25">
      <c r="A405" s="4" t="str">
        <f t="shared" si="114"/>
        <v>ЩАО-7 (260922 akram aulet)</v>
      </c>
      <c r="B405" s="4" t="s">
        <v>198</v>
      </c>
      <c r="C405" s="4" t="s">
        <v>380</v>
      </c>
      <c r="D405" s="4" t="s">
        <v>381</v>
      </c>
      <c r="E405" s="4" t="s">
        <v>114</v>
      </c>
      <c r="F405" s="4" t="s">
        <v>377</v>
      </c>
      <c r="G405" s="4" t="s">
        <v>236</v>
      </c>
      <c r="H405" s="5" t="e">
        <f>#REF!</f>
        <v>#REF!</v>
      </c>
      <c r="I405" s="6" t="e">
        <f t="shared" si="115"/>
        <v>#REF!</v>
      </c>
      <c r="J405" s="6" t="s">
        <v>48</v>
      </c>
      <c r="K405" s="6" t="s">
        <v>198</v>
      </c>
      <c r="L405" s="7" t="e">
        <f t="shared" si="116"/>
        <v>#REF!</v>
      </c>
      <c r="M405" s="7" t="s">
        <v>250</v>
      </c>
      <c r="N405" s="7" t="s">
        <v>200</v>
      </c>
      <c r="O405" s="7" t="str">
        <f>IF(OR($C405="",$C405="FID YOK"),"",IF(ISNUMBER(MATCH($C405,FA_ANA,0)),"",IF(COUNTIF($C$1:$C404,$C405)&gt;0,"",MAX($O$1:$O404)+1)))</f>
        <v/>
      </c>
      <c r="P405" s="8">
        <v>1</v>
      </c>
      <c r="Q405" s="7" t="e">
        <f>IF(OR($P405="",$P405="G",ISNA(MATCH($C405,FA,0))),"",IF(N(INDEX(F_G,MATCH($C405,FA,0)))&gt;0,INDEX(F_G,MATCH($C405,FA,0)),IF(N(INDEX(F_MODUL,MATCH($C405,FA,0)))&gt;0,INDEX(F_MODUL,MATCH($C405,FA,0))*MODUL_MM,"")))</f>
        <v>#REF!</v>
      </c>
      <c r="R405" s="7" t="e">
        <f>IF(OR($P405="",$P405="G",ISNA(MATCH($C405,FA,0))),"",IF(N(INDEX(F_Y,MATCH($C405,FA,0)))&gt;0,INDEX(F_Y,MATCH($C405,FA,0)),""))</f>
        <v>#REF!</v>
      </c>
      <c r="S405" s="7" t="e">
        <f>IF(OR($P405="",$P405="G",ISNA(MATCH($C405,FA,0))),"",IF(N(INDEX(F_D,MATCH($C405,FA,0)))&gt;0,INDEX(F_D,MATCH($C405,FA,0)),""))</f>
        <v>#REF!</v>
      </c>
      <c r="T405" s="7" t="e">
        <f>IF(ISNA(MATCH($C405,FA,0)),0,IF($J405="GIRIS",N(INDEX(F_INKOR,MATCH($C405,FA,0))),0))</f>
        <v>#REF!</v>
      </c>
      <c r="U405" s="7" t="e">
        <f>IF(ISNA(MATCH($B405,TIP_AD,0)),"",INDEX(TIP_KAT,MATCH($B405,TIP_AD,0))&amp;"")</f>
        <v>#REF!</v>
      </c>
      <c r="V405" s="7" t="e">
        <f>IF(NOT(ISNUMBER($P405)),"",IF($Z405=0,0,IF(ISNA(MATCH($Z405,BUK_KESIT,0)),"",IF(INDEX(BUK_ALAN,MATCH($Z405,BUK_KESIT,0))&amp;""="","",INDEX(BUK_ALAN,MATCH($Z405,BUK_KESIT,0))))))</f>
        <v>#REF!</v>
      </c>
      <c r="W405" s="7" t="e">
        <f>IF(OR(NOT(ISNUMBER($P405)),$Q405=""),"",N(#REF!)*($Q405+IF(ISNA(MATCH($B405,TIP_AD,0)),0,N(INDEX(TIP_BOSLUK,MATCH($B405,TIP_AD,0))))))</f>
        <v>#REF!</v>
      </c>
      <c r="X405" s="7" t="e">
        <f>IF(ISNUMBER($P405),($Q405="")+($R405="")+($V405="")+IF(AND($U405="KONTAKTOR",NOT(ISNA(MATCH($B405,TIP_AD,0)))),IF(INDEX(TIP_BOSLUK,MATCH($B405,TIP_AD,0))&amp;""="",1,0),0),IF($P405="K",IF($S405="",1,0),0))</f>
        <v>#REF!</v>
      </c>
      <c r="Y405" s="7" t="e">
        <f>N(#REF!)*IF($E405="упак",MAX(1,IF(ISNA(MATCH($C405,FA,0)),1,N(INDEX(F_PAKET,MATCH($C405,FA,0))))),1)</f>
        <v>#REF!</v>
      </c>
      <c r="Z405" s="7" t="e">
        <f t="shared" si="117"/>
        <v>#REF!</v>
      </c>
      <c r="AA405" s="7" t="e">
        <f>IF(OR(ISNA(MATCH($C405,FA,0)),$J405="YEDEK",$J405="SARF"),0,N(#REF!)*N(INDEX(F_TEL,MATCH($C405,FA,0))))</f>
        <v>#REF!</v>
      </c>
      <c r="AB405" s="7" t="e">
        <f>IF(OR(ISNA(MATCH($C405,FA,0)),$J405="YEDEK",$J405="SARF"),0,N(#REF!)*N(INDEX(F_TELM,MATCH($C405,FA,0))))</f>
        <v>#REF!</v>
      </c>
      <c r="AC405" s="7" t="e">
        <f t="shared" si="118"/>
        <v>#REF!</v>
      </c>
      <c r="AD405" s="7">
        <f>IF(OR(ISNA(MATCH($C405,FA,0)),$J405&lt;&gt;"CIKIS"),0,N(INDEX(F_KK,MATCH($C405,FA,0))))</f>
        <v>0</v>
      </c>
      <c r="AE405" s="7">
        <f>IF($AD405=0,0,N(#REF!)*N(INDEX(F_KLN,MATCH($C405,FA,0))))</f>
        <v>0</v>
      </c>
      <c r="AF405" s="7">
        <f>IF($AD405=0,0,N(#REF!)*N(INDEX(F_KPE,MATCH($C405,FA,0))))</f>
        <v>0</v>
      </c>
      <c r="AG405" s="7" t="e">
        <f>IF(ISNA(MATCH($C405,FA,0)),0,N(#REF!)*N(INDEX(F_MODUL,MATCH($C405,FA,0))))</f>
        <v>#REF!</v>
      </c>
      <c r="AH405" s="7" t="e">
        <f>N(#REF!)*N($I405)</f>
        <v>#REF!</v>
      </c>
      <c r="AI405" s="7" t="e">
        <f t="shared" si="119"/>
        <v>#REF!</v>
      </c>
      <c r="AJ405" s="7">
        <f t="shared" si="120"/>
        <v>0</v>
      </c>
    </row>
    <row r="406" spans="1:36" x14ac:dyDescent="0.25">
      <c r="A406" s="4" t="str">
        <f t="shared" si="114"/>
        <v>ЩАО-7 (260922 akram aulet)</v>
      </c>
      <c r="B406" s="4" t="s">
        <v>65</v>
      </c>
      <c r="C406" s="4" t="s">
        <v>384</v>
      </c>
      <c r="D406" s="4" t="s">
        <v>385</v>
      </c>
      <c r="E406" s="4" t="s">
        <v>114</v>
      </c>
      <c r="F406" s="4" t="s">
        <v>377</v>
      </c>
      <c r="G406" s="4" t="s">
        <v>236</v>
      </c>
      <c r="H406" s="5" t="e">
        <f>#REF!</f>
        <v>#REF!</v>
      </c>
      <c r="I406" s="6" t="e">
        <f t="shared" si="115"/>
        <v>#REF!</v>
      </c>
      <c r="J406" s="6" t="s">
        <v>52</v>
      </c>
      <c r="K406" s="6" t="s">
        <v>65</v>
      </c>
      <c r="L406" s="7" t="e">
        <f t="shared" si="116"/>
        <v>#REF!</v>
      </c>
      <c r="N406" s="7" t="s">
        <v>201</v>
      </c>
      <c r="O406" s="7" t="str">
        <f>IF(OR($C406="",$C406="FID YOK"),"",IF(ISNUMBER(MATCH($C406,FA_ANA,0)),"",IF(COUNTIF($C$1:$C405,$C406)&gt;0,"",MAX($O$1:$O405)+1)))</f>
        <v/>
      </c>
      <c r="P406" s="8">
        <v>1</v>
      </c>
      <c r="Q406" s="7" t="e">
        <f>IF(OR($P406="",$P406="G",ISNA(MATCH($C406,FA,0))),"",IF(N(INDEX(F_G,MATCH($C406,FA,0)))&gt;0,INDEX(F_G,MATCH($C406,FA,0)),IF(N(INDEX(F_MODUL,MATCH($C406,FA,0)))&gt;0,INDEX(F_MODUL,MATCH($C406,FA,0))*MODUL_MM,"")))</f>
        <v>#REF!</v>
      </c>
      <c r="R406" s="7" t="e">
        <f>IF(OR($P406="",$P406="G",ISNA(MATCH($C406,FA,0))),"",IF(N(INDEX(F_Y,MATCH($C406,FA,0)))&gt;0,INDEX(F_Y,MATCH($C406,FA,0)),""))</f>
        <v>#REF!</v>
      </c>
      <c r="S406" s="7" t="e">
        <f>IF(OR($P406="",$P406="G",ISNA(MATCH($C406,FA,0))),"",IF(N(INDEX(F_D,MATCH($C406,FA,0)))&gt;0,INDEX(F_D,MATCH($C406,FA,0)),""))</f>
        <v>#REF!</v>
      </c>
      <c r="T406" s="7">
        <f>IF(ISNA(MATCH($C406,FA,0)),0,IF($J406="GIRIS",N(INDEX(F_INKOR,MATCH($C406,FA,0))),0))</f>
        <v>0</v>
      </c>
      <c r="U406" s="7" t="e">
        <f>IF(ISNA(MATCH($B406,TIP_AD,0)),"",INDEX(TIP_KAT,MATCH($B406,TIP_AD,0))&amp;"")</f>
        <v>#REF!</v>
      </c>
      <c r="V406" s="7" t="e">
        <f>IF(NOT(ISNUMBER($P406)),"",IF($Z406=0,0,IF(ISNA(MATCH($Z406,BUK_KESIT,0)),"",IF(INDEX(BUK_ALAN,MATCH($Z406,BUK_KESIT,0))&amp;""="","",INDEX(BUK_ALAN,MATCH($Z406,BUK_KESIT,0))))))</f>
        <v>#REF!</v>
      </c>
      <c r="W406" s="7" t="e">
        <f>IF(OR(NOT(ISNUMBER($P406)),$Q406=""),"",N(#REF!)*($Q406+IF(ISNA(MATCH($B406,TIP_AD,0)),0,N(INDEX(TIP_BOSLUK,MATCH($B406,TIP_AD,0))))))</f>
        <v>#REF!</v>
      </c>
      <c r="X406" s="7" t="e">
        <f>IF(ISNUMBER($P406),($Q406="")+($R406="")+($V406="")+IF(AND($U406="KONTAKTOR",NOT(ISNA(MATCH($B406,TIP_AD,0)))),IF(INDEX(TIP_BOSLUK,MATCH($B406,TIP_AD,0))&amp;""="",1,0),0),IF($P406="K",IF($S406="",1,0),0))</f>
        <v>#REF!</v>
      </c>
      <c r="Y406" s="7" t="e">
        <f>N(#REF!)*IF($E406="упак",MAX(1,IF(ISNA(MATCH($C406,FA,0)),1,N(INDEX(F_PAKET,MATCH($C406,FA,0))))),1)</f>
        <v>#REF!</v>
      </c>
      <c r="Z406" s="7" t="e">
        <f t="shared" si="117"/>
        <v>#REF!</v>
      </c>
      <c r="AA406" s="7" t="e">
        <f>IF(OR(ISNA(MATCH($C406,FA,0)),$J406="YEDEK",$J406="SARF"),0,N(#REF!)*N(INDEX(F_TEL,MATCH($C406,FA,0))))</f>
        <v>#REF!</v>
      </c>
      <c r="AB406" s="7" t="e">
        <f>IF(OR(ISNA(MATCH($C406,FA,0)),$J406="YEDEK",$J406="SARF"),0,N(#REF!)*N(INDEX(F_TELM,MATCH($C406,FA,0))))</f>
        <v>#REF!</v>
      </c>
      <c r="AC406" s="7" t="e">
        <f t="shared" si="118"/>
        <v>#REF!</v>
      </c>
      <c r="AD406" s="7" t="e">
        <f>IF(OR(ISNA(MATCH($C406,FA,0)),$J406&lt;&gt;"CIKIS"),0,N(INDEX(F_KK,MATCH($C406,FA,0))))</f>
        <v>#REF!</v>
      </c>
      <c r="AE406" s="7" t="e">
        <f>IF($AD406=0,0,N(#REF!)*N(INDEX(F_KLN,MATCH($C406,FA,0))))</f>
        <v>#REF!</v>
      </c>
      <c r="AF406" s="7" t="e">
        <f>IF($AD406=0,0,N(#REF!)*N(INDEX(F_KPE,MATCH($C406,FA,0))))</f>
        <v>#REF!</v>
      </c>
      <c r="AG406" s="7" t="e">
        <f>IF(ISNA(MATCH($C406,FA,0)),0,N(#REF!)*N(INDEX(F_MODUL,MATCH($C406,FA,0))))</f>
        <v>#REF!</v>
      </c>
      <c r="AH406" s="7" t="e">
        <f>N(#REF!)*N($I406)</f>
        <v>#REF!</v>
      </c>
      <c r="AI406" s="7" t="e">
        <f t="shared" si="119"/>
        <v>#REF!</v>
      </c>
      <c r="AJ406" s="7">
        <f t="shared" si="120"/>
        <v>0</v>
      </c>
    </row>
    <row r="407" spans="1:36" x14ac:dyDescent="0.25">
      <c r="A407" s="4" t="str">
        <f t="shared" si="114"/>
        <v>ЩАО-7 (260922 akram aulet)</v>
      </c>
      <c r="B407" s="4" t="s">
        <v>202</v>
      </c>
      <c r="C407" s="4" t="s">
        <v>575</v>
      </c>
      <c r="D407" s="4" t="s">
        <v>576</v>
      </c>
      <c r="E407" s="4" t="s">
        <v>114</v>
      </c>
      <c r="F407" s="4" t="s">
        <v>486</v>
      </c>
      <c r="G407" s="4" t="s">
        <v>236</v>
      </c>
      <c r="H407" s="5" t="e">
        <f>#REF!</f>
        <v>#REF!</v>
      </c>
      <c r="I407" s="6" t="e">
        <f t="shared" si="115"/>
        <v>#REF!</v>
      </c>
      <c r="J407" s="6" t="s">
        <v>84</v>
      </c>
      <c r="K407" s="6" t="s">
        <v>202</v>
      </c>
      <c r="L407" s="7" t="e">
        <f t="shared" si="116"/>
        <v>#REF!</v>
      </c>
      <c r="M407" s="7" t="s">
        <v>203</v>
      </c>
      <c r="O407" s="7" t="str">
        <f>IF(OR($C407="",$C407="FID YOK"),"",IF(ISNUMBER(MATCH($C407,FA_ANA,0)),"",IF(COUNTIF($C$1:$C406,$C407)&gt;0,"",MAX($O$1:$O406)+1)))</f>
        <v/>
      </c>
      <c r="T407" s="7">
        <f>IF(ISNA(MATCH($C407,FA,0)),0,IF($J407="GIRIS",N(INDEX(F_INKOR,MATCH($C407,FA,0))),0))</f>
        <v>0</v>
      </c>
      <c r="Y407" s="7" t="e">
        <f>N(#REF!)*IF($E407="упак",MAX(1,IF(ISNA(MATCH($C407,FA,0)),1,N(INDEX(F_PAKET,MATCH($C407,FA,0))))),1)</f>
        <v>#REF!</v>
      </c>
      <c r="Z407" s="7" t="e">
        <f t="shared" si="117"/>
        <v>#REF!</v>
      </c>
      <c r="AA407" s="7">
        <f>IF(OR(ISNA(MATCH($C407,FA,0)),$J407="YEDEK",$J407="SARF"),0,N(#REF!)*N(INDEX(F_TEL,MATCH($C407,FA,0))))</f>
        <v>0</v>
      </c>
      <c r="AB407" s="7">
        <f>IF(OR(ISNA(MATCH($C407,FA,0)),$J407="YEDEK",$J407="SARF"),0,N(#REF!)*N(INDEX(F_TELM,MATCH($C407,FA,0))))</f>
        <v>0</v>
      </c>
      <c r="AC407" s="7" t="e">
        <f t="shared" si="118"/>
        <v>#REF!</v>
      </c>
      <c r="AD407" s="7">
        <f>IF(OR(ISNA(MATCH($C407,FA,0)),$J407&lt;&gt;"CIKIS"),0,N(INDEX(F_KK,MATCH($C407,FA,0))))</f>
        <v>0</v>
      </c>
      <c r="AE407" s="7">
        <f>IF($AD407=0,0,N(#REF!)*N(INDEX(F_KLN,MATCH($C407,FA,0))))</f>
        <v>0</v>
      </c>
      <c r="AF407" s="7">
        <f>IF($AD407=0,0,N(#REF!)*N(INDEX(F_KPE,MATCH($C407,FA,0))))</f>
        <v>0</v>
      </c>
      <c r="AG407" s="7" t="e">
        <f>IF(ISNA(MATCH($C407,FA,0)),0,N(#REF!)*N(INDEX(F_MODUL,MATCH($C407,FA,0))))</f>
        <v>#REF!</v>
      </c>
      <c r="AH407" s="7" t="e">
        <f>N(#REF!)*N($I407)</f>
        <v>#REF!</v>
      </c>
      <c r="AI407" s="7" t="e">
        <f t="shared" si="119"/>
        <v>#REF!</v>
      </c>
      <c r="AJ407" s="7">
        <f t="shared" si="120"/>
        <v>0</v>
      </c>
    </row>
    <row r="408" spans="1:36" x14ac:dyDescent="0.25">
      <c r="A408" s="4" t="str">
        <f t="shared" si="114"/>
        <v>ЩАО-7 (260922 akram aulet)</v>
      </c>
      <c r="B408" s="4" t="s">
        <v>202</v>
      </c>
      <c r="C408" s="4" t="s">
        <v>575</v>
      </c>
      <c r="D408" s="4" t="s">
        <v>576</v>
      </c>
      <c r="E408" s="4" t="s">
        <v>114</v>
      </c>
      <c r="F408" s="4" t="s">
        <v>486</v>
      </c>
      <c r="G408" s="4" t="s">
        <v>236</v>
      </c>
      <c r="H408" s="5" t="e">
        <f>#REF!</f>
        <v>#REF!</v>
      </c>
      <c r="I408" s="6" t="e">
        <f t="shared" si="115"/>
        <v>#REF!</v>
      </c>
      <c r="J408" s="6" t="s">
        <v>84</v>
      </c>
      <c r="K408" s="6" t="s">
        <v>202</v>
      </c>
      <c r="L408" s="7" t="e">
        <f t="shared" si="116"/>
        <v>#REF!</v>
      </c>
      <c r="M408" s="7" t="s">
        <v>204</v>
      </c>
      <c r="O408" s="7" t="str">
        <f>IF(OR($C408="",$C408="FID YOK"),"",IF(ISNUMBER(MATCH($C408,FA_ANA,0)),"",IF(COUNTIF($C$1:$C407,$C408)&gt;0,"",MAX($O$1:$O407)+1)))</f>
        <v/>
      </c>
      <c r="T408" s="7">
        <f>IF(ISNA(MATCH($C408,FA,0)),0,IF($J408="GIRIS",N(INDEX(F_INKOR,MATCH($C408,FA,0))),0))</f>
        <v>0</v>
      </c>
      <c r="Y408" s="7" t="e">
        <f>N(#REF!)*IF($E408="упак",MAX(1,IF(ISNA(MATCH($C408,FA,0)),1,N(INDEX(F_PAKET,MATCH($C408,FA,0))))),1)</f>
        <v>#REF!</v>
      </c>
      <c r="Z408" s="7" t="e">
        <f t="shared" si="117"/>
        <v>#REF!</v>
      </c>
      <c r="AA408" s="7">
        <f>IF(OR(ISNA(MATCH($C408,FA,0)),$J408="YEDEK",$J408="SARF"),0,N(#REF!)*N(INDEX(F_TEL,MATCH($C408,FA,0))))</f>
        <v>0</v>
      </c>
      <c r="AB408" s="7">
        <f>IF(OR(ISNA(MATCH($C408,FA,0)),$J408="YEDEK",$J408="SARF"),0,N(#REF!)*N(INDEX(F_TELM,MATCH($C408,FA,0))))</f>
        <v>0</v>
      </c>
      <c r="AC408" s="7" t="e">
        <f t="shared" si="118"/>
        <v>#REF!</v>
      </c>
      <c r="AD408" s="7">
        <f>IF(OR(ISNA(MATCH($C408,FA,0)),$J408&lt;&gt;"CIKIS"),0,N(INDEX(F_KK,MATCH($C408,FA,0))))</f>
        <v>0</v>
      </c>
      <c r="AE408" s="7">
        <f>IF($AD408=0,0,N(#REF!)*N(INDEX(F_KLN,MATCH($C408,FA,0))))</f>
        <v>0</v>
      </c>
      <c r="AF408" s="7">
        <f>IF($AD408=0,0,N(#REF!)*N(INDEX(F_KPE,MATCH($C408,FA,0))))</f>
        <v>0</v>
      </c>
      <c r="AG408" s="7" t="e">
        <f>IF(ISNA(MATCH($C408,FA,0)),0,N(#REF!)*N(INDEX(F_MODUL,MATCH($C408,FA,0))))</f>
        <v>#REF!</v>
      </c>
      <c r="AH408" s="7" t="e">
        <f>N(#REF!)*N($I408)</f>
        <v>#REF!</v>
      </c>
      <c r="AI408" s="7" t="e">
        <f t="shared" si="119"/>
        <v>#REF!</v>
      </c>
      <c r="AJ408" s="7">
        <f t="shared" si="120"/>
        <v>0</v>
      </c>
    </row>
    <row r="409" spans="1:36" x14ac:dyDescent="0.25">
      <c r="A409" s="4" t="str">
        <f t="shared" si="114"/>
        <v>ЩАО-7 (260922 akram aulet)</v>
      </c>
      <c r="B409" s="4" t="s">
        <v>92</v>
      </c>
      <c r="C409" s="4" t="s">
        <v>523</v>
      </c>
      <c r="D409" s="4" t="s">
        <v>524</v>
      </c>
      <c r="E409" s="4" t="s">
        <v>520</v>
      </c>
      <c r="F409" s="4" t="s">
        <v>521</v>
      </c>
      <c r="G409" s="4" t="s">
        <v>236</v>
      </c>
      <c r="H409" s="5" t="e">
        <f>#REF!</f>
        <v>#REF!</v>
      </c>
      <c r="I409" s="6" t="e">
        <f t="shared" si="115"/>
        <v>#REF!</v>
      </c>
      <c r="J409" s="6" t="s">
        <v>84</v>
      </c>
      <c r="K409" s="6" t="s">
        <v>92</v>
      </c>
      <c r="L409" s="7" t="e">
        <f t="shared" si="116"/>
        <v>#REF!</v>
      </c>
      <c r="M409" s="7" t="s">
        <v>93</v>
      </c>
      <c r="O409" s="7" t="str">
        <f>IF(OR($C409="",$C409="FID YOK"),"",IF(ISNUMBER(MATCH($C409,FA_ANA,0)),"",IF(COUNTIF($C$1:$C408,$C409)&gt;0,"",MAX($O$1:$O408)+1)))</f>
        <v/>
      </c>
      <c r="T409" s="7">
        <f>IF(ISNA(MATCH($C409,FA,0)),0,IF($J409="GIRIS",N(INDEX(F_INKOR,MATCH($C409,FA,0))),0))</f>
        <v>0</v>
      </c>
      <c r="Y409" s="7" t="e">
        <f>N(#REF!)*IF($E409="упак",MAX(1,IF(ISNA(MATCH($C409,FA,0)),1,N(INDEX(F_PAKET,MATCH($C409,FA,0))))),1)</f>
        <v>#REF!</v>
      </c>
      <c r="Z409" s="7" t="e">
        <f t="shared" si="117"/>
        <v>#REF!</v>
      </c>
      <c r="AA409" s="7">
        <f>IF(OR(ISNA(MATCH($C409,FA,0)),$J409="YEDEK",$J409="SARF"),0,N(#REF!)*N(INDEX(F_TEL,MATCH($C409,FA,0))))</f>
        <v>0</v>
      </c>
      <c r="AB409" s="7">
        <f>IF(OR(ISNA(MATCH($C409,FA,0)),$J409="YEDEK",$J409="SARF"),0,N(#REF!)*N(INDEX(F_TELM,MATCH($C409,FA,0))))</f>
        <v>0</v>
      </c>
      <c r="AC409" s="7" t="e">
        <f t="shared" si="118"/>
        <v>#REF!</v>
      </c>
      <c r="AD409" s="7">
        <f>IF(OR(ISNA(MATCH($C409,FA,0)),$J409&lt;&gt;"CIKIS"),0,N(INDEX(F_KK,MATCH($C409,FA,0))))</f>
        <v>0</v>
      </c>
      <c r="AE409" s="7">
        <f>IF($AD409=0,0,N(#REF!)*N(INDEX(F_KLN,MATCH($C409,FA,0))))</f>
        <v>0</v>
      </c>
      <c r="AF409" s="7">
        <f>IF($AD409=0,0,N(#REF!)*N(INDEX(F_KPE,MATCH($C409,FA,0))))</f>
        <v>0</v>
      </c>
      <c r="AG409" s="7" t="e">
        <f>IF(ISNA(MATCH($C409,FA,0)),0,N(#REF!)*N(INDEX(F_MODUL,MATCH($C409,FA,0))))</f>
        <v>#REF!</v>
      </c>
      <c r="AH409" s="7" t="e">
        <f>N(#REF!)*N($I409)</f>
        <v>#REF!</v>
      </c>
      <c r="AI409" s="7" t="e">
        <f t="shared" si="119"/>
        <v>#REF!</v>
      </c>
      <c r="AJ409" s="7">
        <f t="shared" si="120"/>
        <v>0</v>
      </c>
    </row>
    <row r="410" spans="1:36" x14ac:dyDescent="0.25">
      <c r="A410" s="4" t="str">
        <f t="shared" si="114"/>
        <v>ЩАО-7 (260922 akram aulet)</v>
      </c>
      <c r="B410" s="4" t="s">
        <v>92</v>
      </c>
      <c r="C410" s="4" t="s">
        <v>535</v>
      </c>
      <c r="D410" s="4" t="s">
        <v>536</v>
      </c>
      <c r="E410" s="4" t="s">
        <v>520</v>
      </c>
      <c r="F410" s="4" t="s">
        <v>521</v>
      </c>
      <c r="G410" s="4" t="s">
        <v>236</v>
      </c>
      <c r="H410" s="5" t="e">
        <f>#REF!</f>
        <v>#REF!</v>
      </c>
      <c r="I410" s="6" t="e">
        <f t="shared" si="115"/>
        <v>#REF!</v>
      </c>
      <c r="J410" s="6" t="s">
        <v>84</v>
      </c>
      <c r="K410" s="6" t="s">
        <v>92</v>
      </c>
      <c r="L410" s="7" t="e">
        <f t="shared" si="116"/>
        <v>#REF!</v>
      </c>
      <c r="M410" s="7" t="s">
        <v>130</v>
      </c>
      <c r="O410" s="7" t="str">
        <f>IF(OR($C410="",$C410="FID YOK"),"",IF(ISNUMBER(MATCH($C410,FA_ANA,0)),"",IF(COUNTIF($C$1:$C409,$C410)&gt;0,"",MAX($O$1:$O409)+1)))</f>
        <v/>
      </c>
      <c r="T410" s="7">
        <f>IF(ISNA(MATCH($C410,FA,0)),0,IF($J410="GIRIS",N(INDEX(F_INKOR,MATCH($C410,FA,0))),0))</f>
        <v>0</v>
      </c>
      <c r="Y410" s="7" t="e">
        <f>N(#REF!)*IF($E410="упак",MAX(1,IF(ISNA(MATCH($C410,FA,0)),1,N(INDEX(F_PAKET,MATCH($C410,FA,0))))),1)</f>
        <v>#REF!</v>
      </c>
      <c r="Z410" s="7" t="e">
        <f t="shared" si="117"/>
        <v>#REF!</v>
      </c>
      <c r="AA410" s="7">
        <f>IF(OR(ISNA(MATCH($C410,FA,0)),$J410="YEDEK",$J410="SARF"),0,N(#REF!)*N(INDEX(F_TEL,MATCH($C410,FA,0))))</f>
        <v>0</v>
      </c>
      <c r="AB410" s="7">
        <f>IF(OR(ISNA(MATCH($C410,FA,0)),$J410="YEDEK",$J410="SARF"),0,N(#REF!)*N(INDEX(F_TELM,MATCH($C410,FA,0))))</f>
        <v>0</v>
      </c>
      <c r="AC410" s="7" t="e">
        <f t="shared" si="118"/>
        <v>#REF!</v>
      </c>
      <c r="AD410" s="7">
        <f>IF(OR(ISNA(MATCH($C410,FA,0)),$J410&lt;&gt;"CIKIS"),0,N(INDEX(F_KK,MATCH($C410,FA,0))))</f>
        <v>0</v>
      </c>
      <c r="AE410" s="7">
        <f>IF($AD410=0,0,N(#REF!)*N(INDEX(F_KLN,MATCH($C410,FA,0))))</f>
        <v>0</v>
      </c>
      <c r="AF410" s="7">
        <f>IF($AD410=0,0,N(#REF!)*N(INDEX(F_KPE,MATCH($C410,FA,0))))</f>
        <v>0</v>
      </c>
      <c r="AG410" s="7" t="e">
        <f>IF(ISNA(MATCH($C410,FA,0)),0,N(#REF!)*N(INDEX(F_MODUL,MATCH($C410,FA,0))))</f>
        <v>#REF!</v>
      </c>
      <c r="AH410" s="7" t="e">
        <f>N(#REF!)*N($I410)</f>
        <v>#REF!</v>
      </c>
      <c r="AI410" s="7" t="e">
        <f t="shared" si="119"/>
        <v>#REF!</v>
      </c>
      <c r="AJ410" s="7">
        <f t="shared" si="120"/>
        <v>0</v>
      </c>
    </row>
    <row r="411" spans="1:36" x14ac:dyDescent="0.25">
      <c r="A411" s="4" t="str">
        <f t="shared" si="114"/>
        <v>ЩАО-7 (260922 akram aulet)</v>
      </c>
      <c r="B411" s="4" t="s">
        <v>92</v>
      </c>
      <c r="C411" s="4" t="s">
        <v>535</v>
      </c>
      <c r="D411" s="4" t="s">
        <v>536</v>
      </c>
      <c r="E411" s="4" t="s">
        <v>520</v>
      </c>
      <c r="F411" s="4" t="s">
        <v>521</v>
      </c>
      <c r="G411" s="4" t="s">
        <v>236</v>
      </c>
      <c r="H411" s="5" t="e">
        <f>#REF!</f>
        <v>#REF!</v>
      </c>
      <c r="I411" s="6" t="e">
        <f t="shared" si="115"/>
        <v>#REF!</v>
      </c>
      <c r="J411" s="6" t="s">
        <v>84</v>
      </c>
      <c r="K411" s="6" t="s">
        <v>92</v>
      </c>
      <c r="L411" s="7" t="e">
        <f t="shared" si="116"/>
        <v>#REF!</v>
      </c>
      <c r="M411" s="7" t="s">
        <v>100</v>
      </c>
      <c r="O411" s="7" t="str">
        <f>IF(OR($C411="",$C411="FID YOK"),"",IF(ISNUMBER(MATCH($C411,FA_ANA,0)),"",IF(COUNTIF($C$1:$C410,$C411)&gt;0,"",MAX($O$1:$O410)+1)))</f>
        <v/>
      </c>
      <c r="T411" s="7">
        <f>IF(ISNA(MATCH($C411,FA,0)),0,IF($J411="GIRIS",N(INDEX(F_INKOR,MATCH($C411,FA,0))),0))</f>
        <v>0</v>
      </c>
      <c r="Y411" s="7" t="e">
        <f>N(#REF!)*IF($E411="упак",MAX(1,IF(ISNA(MATCH($C411,FA,0)),1,N(INDEX(F_PAKET,MATCH($C411,FA,0))))),1)</f>
        <v>#REF!</v>
      </c>
      <c r="Z411" s="7" t="e">
        <f t="shared" si="117"/>
        <v>#REF!</v>
      </c>
      <c r="AA411" s="7">
        <f>IF(OR(ISNA(MATCH($C411,FA,0)),$J411="YEDEK",$J411="SARF"),0,N(#REF!)*N(INDEX(F_TEL,MATCH($C411,FA,0))))</f>
        <v>0</v>
      </c>
      <c r="AB411" s="7">
        <f>IF(OR(ISNA(MATCH($C411,FA,0)),$J411="YEDEK",$J411="SARF"),0,N(#REF!)*N(INDEX(F_TELM,MATCH($C411,FA,0))))</f>
        <v>0</v>
      </c>
      <c r="AC411" s="7" t="e">
        <f t="shared" si="118"/>
        <v>#REF!</v>
      </c>
      <c r="AD411" s="7">
        <f>IF(OR(ISNA(MATCH($C411,FA,0)),$J411&lt;&gt;"CIKIS"),0,N(INDEX(F_KK,MATCH($C411,FA,0))))</f>
        <v>0</v>
      </c>
      <c r="AE411" s="7">
        <f>IF($AD411=0,0,N(#REF!)*N(INDEX(F_KLN,MATCH($C411,FA,0))))</f>
        <v>0</v>
      </c>
      <c r="AF411" s="7">
        <f>IF($AD411=0,0,N(#REF!)*N(INDEX(F_KPE,MATCH($C411,FA,0))))</f>
        <v>0</v>
      </c>
      <c r="AG411" s="7" t="e">
        <f>IF(ISNA(MATCH($C411,FA,0)),0,N(#REF!)*N(INDEX(F_MODUL,MATCH($C411,FA,0))))</f>
        <v>#REF!</v>
      </c>
      <c r="AH411" s="7" t="e">
        <f>N(#REF!)*N($I411)</f>
        <v>#REF!</v>
      </c>
      <c r="AI411" s="7" t="e">
        <f t="shared" si="119"/>
        <v>#REF!</v>
      </c>
      <c r="AJ411" s="7">
        <f t="shared" si="120"/>
        <v>0</v>
      </c>
    </row>
    <row r="412" spans="1:36" x14ac:dyDescent="0.25">
      <c r="A412" s="4" t="str">
        <f t="shared" si="114"/>
        <v>ЩАО-7 (260922 akram aulet)</v>
      </c>
      <c r="B412" s="4" t="s">
        <v>101</v>
      </c>
      <c r="C412" s="4" t="s">
        <v>525</v>
      </c>
      <c r="D412" s="4" t="s">
        <v>526</v>
      </c>
      <c r="E412" s="4" t="s">
        <v>522</v>
      </c>
      <c r="F412" s="4" t="s">
        <v>486</v>
      </c>
      <c r="G412" s="4" t="s">
        <v>236</v>
      </c>
      <c r="H412" s="5" t="e">
        <f>#REF!</f>
        <v>#REF!</v>
      </c>
      <c r="I412" s="6" t="e">
        <f t="shared" si="115"/>
        <v>#REF!</v>
      </c>
      <c r="J412" s="6" t="s">
        <v>84</v>
      </c>
      <c r="K412" s="6" t="s">
        <v>101</v>
      </c>
      <c r="L412" s="7" t="e">
        <f t="shared" si="116"/>
        <v>#REF!</v>
      </c>
      <c r="M412" s="7" t="s">
        <v>102</v>
      </c>
      <c r="O412" s="7" t="str">
        <f>IF(OR($C412="",$C412="FID YOK"),"",IF(ISNUMBER(MATCH($C412,FA_ANA,0)),"",IF(COUNTIF($C$1:$C411,$C412)&gt;0,"",MAX($O$1:$O411)+1)))</f>
        <v/>
      </c>
      <c r="T412" s="7">
        <f>IF(ISNA(MATCH($C412,FA,0)),0,IF($J412="GIRIS",N(INDEX(F_INKOR,MATCH($C412,FA,0))),0))</f>
        <v>0</v>
      </c>
      <c r="Y412" s="7" t="e">
        <f>N(#REF!)*IF($E412="упак",MAX(1,IF(ISNA(MATCH($C412,FA,0)),1,N(INDEX(F_PAKET,MATCH($C412,FA,0))))),1)</f>
        <v>#REF!</v>
      </c>
      <c r="Z412" s="7" t="e">
        <f t="shared" si="117"/>
        <v>#REF!</v>
      </c>
      <c r="AA412" s="7">
        <f>IF(OR(ISNA(MATCH($C412,FA,0)),$J412="YEDEK",$J412="SARF"),0,N(#REF!)*N(INDEX(F_TEL,MATCH($C412,FA,0))))</f>
        <v>0</v>
      </c>
      <c r="AB412" s="7">
        <f>IF(OR(ISNA(MATCH($C412,FA,0)),$J412="YEDEK",$J412="SARF"),0,N(#REF!)*N(INDEX(F_TELM,MATCH($C412,FA,0))))</f>
        <v>0</v>
      </c>
      <c r="AC412" s="7" t="e">
        <f t="shared" si="118"/>
        <v>#REF!</v>
      </c>
      <c r="AD412" s="7">
        <f>IF(OR(ISNA(MATCH($C412,FA,0)),$J412&lt;&gt;"CIKIS"),0,N(INDEX(F_KK,MATCH($C412,FA,0))))</f>
        <v>0</v>
      </c>
      <c r="AE412" s="7">
        <f>IF($AD412=0,0,N(#REF!)*N(INDEX(F_KLN,MATCH($C412,FA,0))))</f>
        <v>0</v>
      </c>
      <c r="AF412" s="7">
        <f>IF($AD412=0,0,N(#REF!)*N(INDEX(F_KPE,MATCH($C412,FA,0))))</f>
        <v>0</v>
      </c>
      <c r="AG412" s="7" t="e">
        <f>IF(ISNA(MATCH($C412,FA,0)),0,N(#REF!)*N(INDEX(F_MODUL,MATCH($C412,FA,0))))</f>
        <v>#REF!</v>
      </c>
      <c r="AH412" s="7" t="e">
        <f>N(#REF!)*N($I412)</f>
        <v>#REF!</v>
      </c>
      <c r="AI412" s="7" t="e">
        <f t="shared" si="119"/>
        <v>#REF!</v>
      </c>
      <c r="AJ412" s="7">
        <f t="shared" si="120"/>
        <v>0</v>
      </c>
    </row>
    <row r="413" spans="1:36" x14ac:dyDescent="0.25">
      <c r="A413" s="4" t="str">
        <f t="shared" si="114"/>
        <v>ЩАО-7 (260922 akram aulet)</v>
      </c>
      <c r="B413" s="4" t="s">
        <v>101</v>
      </c>
      <c r="C413" s="4" t="s">
        <v>537</v>
      </c>
      <c r="D413" s="4" t="s">
        <v>538</v>
      </c>
      <c r="E413" s="4" t="s">
        <v>522</v>
      </c>
      <c r="F413" s="4" t="s">
        <v>486</v>
      </c>
      <c r="G413" s="4" t="s">
        <v>236</v>
      </c>
      <c r="H413" s="5" t="e">
        <f>#REF!</f>
        <v>#REF!</v>
      </c>
      <c r="I413" s="6" t="e">
        <f t="shared" si="115"/>
        <v>#REF!</v>
      </c>
      <c r="J413" s="6" t="s">
        <v>84</v>
      </c>
      <c r="K413" s="6" t="s">
        <v>101</v>
      </c>
      <c r="L413" s="7" t="e">
        <f t="shared" si="116"/>
        <v>#REF!</v>
      </c>
      <c r="M413" s="7" t="s">
        <v>205</v>
      </c>
      <c r="O413" s="7" t="str">
        <f>IF(OR($C413="",$C413="FID YOK"),"",IF(ISNUMBER(MATCH($C413,FA_ANA,0)),"",IF(COUNTIF($C$1:$C412,$C413)&gt;0,"",MAX($O$1:$O412)+1)))</f>
        <v/>
      </c>
      <c r="T413" s="7">
        <f>IF(ISNA(MATCH($C413,FA,0)),0,IF($J413="GIRIS",N(INDEX(F_INKOR,MATCH($C413,FA,0))),0))</f>
        <v>0</v>
      </c>
      <c r="Y413" s="7" t="e">
        <f>N(#REF!)*IF($E413="упак",MAX(1,IF(ISNA(MATCH($C413,FA,0)),1,N(INDEX(F_PAKET,MATCH($C413,FA,0))))),1)</f>
        <v>#REF!</v>
      </c>
      <c r="Z413" s="7" t="e">
        <f t="shared" si="117"/>
        <v>#REF!</v>
      </c>
      <c r="AA413" s="7">
        <f>IF(OR(ISNA(MATCH($C413,FA,0)),$J413="YEDEK",$J413="SARF"),0,N(#REF!)*N(INDEX(F_TEL,MATCH($C413,FA,0))))</f>
        <v>0</v>
      </c>
      <c r="AB413" s="7">
        <f>IF(OR(ISNA(MATCH($C413,FA,0)),$J413="YEDEK",$J413="SARF"),0,N(#REF!)*N(INDEX(F_TELM,MATCH($C413,FA,0))))</f>
        <v>0</v>
      </c>
      <c r="AC413" s="7" t="e">
        <f t="shared" si="118"/>
        <v>#REF!</v>
      </c>
      <c r="AD413" s="7">
        <f>IF(OR(ISNA(MATCH($C413,FA,0)),$J413&lt;&gt;"CIKIS"),0,N(INDEX(F_KK,MATCH($C413,FA,0))))</f>
        <v>0</v>
      </c>
      <c r="AE413" s="7">
        <f>IF($AD413=0,0,N(#REF!)*N(INDEX(F_KLN,MATCH($C413,FA,0))))</f>
        <v>0</v>
      </c>
      <c r="AF413" s="7">
        <f>IF($AD413=0,0,N(#REF!)*N(INDEX(F_KPE,MATCH($C413,FA,0))))</f>
        <v>0</v>
      </c>
      <c r="AG413" s="7" t="e">
        <f>IF(ISNA(MATCH($C413,FA,0)),0,N(#REF!)*N(INDEX(F_MODUL,MATCH($C413,FA,0))))</f>
        <v>#REF!</v>
      </c>
      <c r="AH413" s="7" t="e">
        <f>N(#REF!)*N($I413)</f>
        <v>#REF!</v>
      </c>
      <c r="AI413" s="7" t="e">
        <f t="shared" si="119"/>
        <v>#REF!</v>
      </c>
      <c r="AJ413" s="7">
        <f t="shared" si="120"/>
        <v>0</v>
      </c>
    </row>
    <row r="414" spans="1:36" x14ac:dyDescent="0.25">
      <c r="A414" s="4" t="str">
        <f t="shared" si="114"/>
        <v>ЩАО-7 (260922 akram aulet)</v>
      </c>
      <c r="B414" s="4" t="s">
        <v>105</v>
      </c>
      <c r="C414" s="4" t="s">
        <v>539</v>
      </c>
      <c r="D414" s="4" t="s">
        <v>540</v>
      </c>
      <c r="E414" s="4" t="s">
        <v>114</v>
      </c>
      <c r="F414" s="4" t="s">
        <v>486</v>
      </c>
      <c r="G414" s="4" t="s">
        <v>236</v>
      </c>
      <c r="H414" s="5" t="e">
        <f>#REF!</f>
        <v>#REF!</v>
      </c>
      <c r="I414" s="6" t="e">
        <f t="shared" si="115"/>
        <v>#REF!</v>
      </c>
      <c r="J414" s="6" t="s">
        <v>84</v>
      </c>
      <c r="K414" s="6" t="s">
        <v>105</v>
      </c>
      <c r="L414" s="7" t="e">
        <f t="shared" si="116"/>
        <v>#REF!</v>
      </c>
      <c r="M414" s="7" t="s">
        <v>110</v>
      </c>
      <c r="O414" s="7" t="str">
        <f>IF(OR($C414="",$C414="FID YOK"),"",IF(ISNUMBER(MATCH($C414,FA_ANA,0)),"",IF(COUNTIF($C$1:$C413,$C414)&gt;0,"",MAX($O$1:$O413)+1)))</f>
        <v/>
      </c>
      <c r="T414" s="7">
        <f>IF(ISNA(MATCH($C414,FA,0)),0,IF($J414="GIRIS",N(INDEX(F_INKOR,MATCH($C414,FA,0))),0))</f>
        <v>0</v>
      </c>
      <c r="Y414" s="7" t="e">
        <f>N(#REF!)*IF($E414="упак",MAX(1,IF(ISNA(MATCH($C414,FA,0)),1,N(INDEX(F_PAKET,MATCH($C414,FA,0))))),1)</f>
        <v>#REF!</v>
      </c>
      <c r="Z414" s="7" t="e">
        <f t="shared" si="117"/>
        <v>#REF!</v>
      </c>
      <c r="AA414" s="7">
        <f>IF(OR(ISNA(MATCH($C414,FA,0)),$J414="YEDEK",$J414="SARF"),0,N(#REF!)*N(INDEX(F_TEL,MATCH($C414,FA,0))))</f>
        <v>0</v>
      </c>
      <c r="AB414" s="7">
        <f>IF(OR(ISNA(MATCH($C414,FA,0)),$J414="YEDEK",$J414="SARF"),0,N(#REF!)*N(INDEX(F_TELM,MATCH($C414,FA,0))))</f>
        <v>0</v>
      </c>
      <c r="AC414" s="7" t="e">
        <f t="shared" si="118"/>
        <v>#REF!</v>
      </c>
      <c r="AD414" s="7">
        <f>IF(OR(ISNA(MATCH($C414,FA,0)),$J414&lt;&gt;"CIKIS"),0,N(INDEX(F_KK,MATCH($C414,FA,0))))</f>
        <v>0</v>
      </c>
      <c r="AE414" s="7">
        <f>IF($AD414=0,0,N(#REF!)*N(INDEX(F_KLN,MATCH($C414,FA,0))))</f>
        <v>0</v>
      </c>
      <c r="AF414" s="7">
        <f>IF($AD414=0,0,N(#REF!)*N(INDEX(F_KPE,MATCH($C414,FA,0))))</f>
        <v>0</v>
      </c>
      <c r="AG414" s="7" t="e">
        <f>IF(ISNA(MATCH($C414,FA,0)),0,N(#REF!)*N(INDEX(F_MODUL,MATCH($C414,FA,0))))</f>
        <v>#REF!</v>
      </c>
      <c r="AH414" s="7" t="e">
        <f>N(#REF!)*N($I414)</f>
        <v>#REF!</v>
      </c>
      <c r="AI414" s="7" t="e">
        <f t="shared" si="119"/>
        <v>#REF!</v>
      </c>
      <c r="AJ414" s="7">
        <f t="shared" si="120"/>
        <v>0</v>
      </c>
    </row>
    <row r="415" spans="1:36" x14ac:dyDescent="0.25">
      <c r="A415" s="4" t="str">
        <f t="shared" si="114"/>
        <v>ЩАО-7 (260922 akram aulet)</v>
      </c>
      <c r="B415" s="4" t="s">
        <v>111</v>
      </c>
      <c r="C415" s="4" t="s">
        <v>571</v>
      </c>
      <c r="D415" s="4" t="s">
        <v>572</v>
      </c>
      <c r="E415" s="4" t="s">
        <v>522</v>
      </c>
      <c r="F415" s="4" t="s">
        <v>486</v>
      </c>
      <c r="G415" s="4" t="s">
        <v>236</v>
      </c>
      <c r="H415" s="5" t="e">
        <f>#REF!</f>
        <v>#REF!</v>
      </c>
      <c r="I415" s="6" t="e">
        <f t="shared" si="115"/>
        <v>#REF!</v>
      </c>
      <c r="J415" s="6" t="s">
        <v>84</v>
      </c>
      <c r="K415" s="6" t="s">
        <v>111</v>
      </c>
      <c r="L415" s="7" t="e">
        <f t="shared" si="116"/>
        <v>#REF!</v>
      </c>
      <c r="M415" s="7" t="s">
        <v>112</v>
      </c>
      <c r="O415" s="7" t="str">
        <f>IF(OR($C415="",$C415="FID YOK"),"",IF(ISNUMBER(MATCH($C415,FA_ANA,0)),"",IF(COUNTIF($C$1:$C414,$C415)&gt;0,"",MAX($O$1:$O414)+1)))</f>
        <v/>
      </c>
      <c r="T415" s="7">
        <f>IF(ISNA(MATCH($C415,FA,0)),0,IF($J415="GIRIS",N(INDEX(F_INKOR,MATCH($C415,FA,0))),0))</f>
        <v>0</v>
      </c>
      <c r="Y415" s="7" t="e">
        <f>N(#REF!)*IF($E415="упак",MAX(1,IF(ISNA(MATCH($C415,FA,0)),1,N(INDEX(F_PAKET,MATCH($C415,FA,0))))),1)</f>
        <v>#REF!</v>
      </c>
      <c r="Z415" s="7" t="e">
        <f t="shared" si="117"/>
        <v>#REF!</v>
      </c>
      <c r="AA415" s="7">
        <f>IF(OR(ISNA(MATCH($C415,FA,0)),$J415="YEDEK",$J415="SARF"),0,N(#REF!)*N(INDEX(F_TEL,MATCH($C415,FA,0))))</f>
        <v>0</v>
      </c>
      <c r="AB415" s="7">
        <f>IF(OR(ISNA(MATCH($C415,FA,0)),$J415="YEDEK",$J415="SARF"),0,N(#REF!)*N(INDEX(F_TELM,MATCH($C415,FA,0))))</f>
        <v>0</v>
      </c>
      <c r="AC415" s="7" t="e">
        <f t="shared" si="118"/>
        <v>#REF!</v>
      </c>
      <c r="AD415" s="7">
        <f>IF(OR(ISNA(MATCH($C415,FA,0)),$J415&lt;&gt;"CIKIS"),0,N(INDEX(F_KK,MATCH($C415,FA,0))))</f>
        <v>0</v>
      </c>
      <c r="AE415" s="7">
        <f>IF($AD415=0,0,N(#REF!)*N(INDEX(F_KLN,MATCH($C415,FA,0))))</f>
        <v>0</v>
      </c>
      <c r="AF415" s="7">
        <f>IF($AD415=0,0,N(#REF!)*N(INDEX(F_KPE,MATCH($C415,FA,0))))</f>
        <v>0</v>
      </c>
      <c r="AG415" s="7" t="e">
        <f>IF(ISNA(MATCH($C415,FA,0)),0,N(#REF!)*N(INDEX(F_MODUL,MATCH($C415,FA,0))))</f>
        <v>#REF!</v>
      </c>
      <c r="AH415" s="7" t="e">
        <f>N(#REF!)*N($I415)</f>
        <v>#REF!</v>
      </c>
      <c r="AI415" s="7" t="e">
        <f t="shared" si="119"/>
        <v>#REF!</v>
      </c>
      <c r="AJ415" s="7">
        <f t="shared" si="120"/>
        <v>0</v>
      </c>
    </row>
    <row r="416" spans="1:36" x14ac:dyDescent="0.25">
      <c r="A416" s="4" t="str">
        <f t="shared" si="114"/>
        <v>ЩАО-7 (260922 akram aulet)</v>
      </c>
      <c r="B416" s="4" t="s">
        <v>113</v>
      </c>
      <c r="C416" s="4" t="s">
        <v>113</v>
      </c>
      <c r="D416" s="4" t="s">
        <v>113</v>
      </c>
      <c r="E416" s="4" t="s">
        <v>114</v>
      </c>
      <c r="F416" s="4" t="s">
        <v>113</v>
      </c>
      <c r="G416" s="4" t="s">
        <v>236</v>
      </c>
      <c r="H416" s="5" t="e">
        <f>#REF!</f>
        <v>#REF!</v>
      </c>
      <c r="I416" s="6" t="e">
        <f t="shared" si="115"/>
        <v>#REF!</v>
      </c>
    </row>
    <row r="417" spans="1:36" x14ac:dyDescent="0.25">
      <c r="A417" s="4" t="str">
        <f t="shared" si="114"/>
        <v>ЩАО-7 (260922 akram aulet)</v>
      </c>
      <c r="B417" s="4" t="s">
        <v>115</v>
      </c>
      <c r="C417" s="4" t="s">
        <v>115</v>
      </c>
      <c r="D417" s="4" t="s">
        <v>115</v>
      </c>
      <c r="E417" s="4" t="s">
        <v>116</v>
      </c>
      <c r="F417" s="4" t="s">
        <v>115</v>
      </c>
      <c r="G417" s="4" t="s">
        <v>236</v>
      </c>
      <c r="H417" s="5" t="e">
        <f>#REF!</f>
        <v>#REF!</v>
      </c>
      <c r="I417" s="6" t="e">
        <f t="shared" si="115"/>
        <v>#REF!</v>
      </c>
    </row>
    <row r="418" spans="1:36" x14ac:dyDescent="0.25">
      <c r="A418" s="1" t="str">
        <f>D418</f>
        <v>ЩСВ-7 (260922 akram aulet)</v>
      </c>
      <c r="B418" s="12"/>
      <c r="C418" s="2"/>
      <c r="D418" s="1" t="s">
        <v>252</v>
      </c>
      <c r="E418" s="1" t="s">
        <v>36</v>
      </c>
      <c r="F418" s="1" t="s">
        <v>37</v>
      </c>
      <c r="G418" s="1" t="s">
        <v>236</v>
      </c>
      <c r="I418" s="3" t="e">
        <f>#REF!</f>
        <v>#REF!</v>
      </c>
    </row>
    <row r="419" spans="1:36" x14ac:dyDescent="0.25">
      <c r="A419" s="4" t="str">
        <f t="shared" ref="A419:A432" si="121">A418</f>
        <v>ЩСВ-7 (260922 akram aulet)</v>
      </c>
      <c r="B419" s="4" t="s">
        <v>39</v>
      </c>
      <c r="C419" s="4" t="s">
        <v>506</v>
      </c>
      <c r="D419" s="4" t="s">
        <v>507</v>
      </c>
      <c r="E419" s="4" t="s">
        <v>114</v>
      </c>
      <c r="F419" s="4" t="s">
        <v>591</v>
      </c>
      <c r="G419" s="4" t="s">
        <v>236</v>
      </c>
      <c r="H419" s="5" t="e">
        <f>#REF!</f>
        <v>#REF!</v>
      </c>
      <c r="I419" s="6" t="e">
        <f t="shared" ref="I419:I432" si="122">I418</f>
        <v>#REF!</v>
      </c>
      <c r="J419" s="6" t="s">
        <v>40</v>
      </c>
      <c r="K419" s="6" t="s">
        <v>195</v>
      </c>
      <c r="L419" s="7" t="e">
        <f t="shared" ref="L419:L430" si="123">IF(ISNA(MATCH($C419,FA,0)),"ARTİKÜL YOK",INDEX(FIYAT_DURUM,MATCH($C419,FA,0)))</f>
        <v>#REF!</v>
      </c>
      <c r="M419" s="7" t="s">
        <v>249</v>
      </c>
      <c r="N419" s="7" t="s">
        <v>197</v>
      </c>
      <c r="O419" s="7" t="str">
        <f>IF(OR($C419="",$C419="FID YOK"),"",IF(ISNUMBER(MATCH($C419,FA_ANA,0)),"",IF(COUNTIF($C$1:$C418,$C419)&gt;0,"",MAX($O$1:$O418)+1)))</f>
        <v/>
      </c>
      <c r="Q419" s="7"/>
      <c r="R419" s="7"/>
      <c r="S419" s="7"/>
      <c r="T419" s="7">
        <f>IF(ISNA(MATCH($C419,FA,0)),0,IF($J419="GIRIS",N(INDEX(F_INKOR,MATCH($C419,FA,0))),0))</f>
        <v>0</v>
      </c>
      <c r="U419" s="7"/>
      <c r="V419" s="7"/>
      <c r="W419" s="7"/>
      <c r="X419" s="7"/>
      <c r="Y419" s="7" t="e">
        <f>N(#REF!)*IF($E419="упак",MAX(1,IF(ISNA(MATCH($C419,FA,0)),1,N(INDEX(F_PAKET,MATCH($C419,FA,0))))),1)</f>
        <v>#REF!</v>
      </c>
      <c r="Z419" s="7" t="e">
        <f t="shared" ref="Z419:Z430" si="124">IF(ISNA(MATCH($C419,FA,0)),0,N(INDEX(F_BK,MATCH($C419,FA,0))))</f>
        <v>#REF!</v>
      </c>
      <c r="AA419" s="7" t="e">
        <f>IF(OR(ISNA(MATCH($C419,FA,0)),$J419="YEDEK",$J419="SARF"),0,N(#REF!)*N(INDEX(F_TEL,MATCH($C419,FA,0))))</f>
        <v>#REF!</v>
      </c>
      <c r="AB419" s="7" t="e">
        <f>IF(OR(ISNA(MATCH($C419,FA,0)),$J419="YEDEK",$J419="SARF"),0,N(#REF!)*N(INDEX(F_TELM,MATCH($C419,FA,0))))</f>
        <v>#REF!</v>
      </c>
      <c r="AC419" s="7" t="e">
        <f t="shared" ref="AC419:AC430" si="125">IF(ISNA(MATCH($C419,FA,0)),"",INDEX(F_UC,MATCH($C419,FA,0))&amp;"")</f>
        <v>#REF!</v>
      </c>
      <c r="AD419" s="7">
        <f>IF(OR(ISNA(MATCH($C419,FA,0)),$J419&lt;&gt;"CIKIS"),0,N(INDEX(F_KK,MATCH($C419,FA,0))))</f>
        <v>0</v>
      </c>
      <c r="AE419" s="7">
        <f>IF($AD419=0,0,N(#REF!)*N(INDEX(F_KLN,MATCH($C419,FA,0))))</f>
        <v>0</v>
      </c>
      <c r="AF419" s="7">
        <f>IF($AD419=0,0,N(#REF!)*N(INDEX(F_KPE,MATCH($C419,FA,0))))</f>
        <v>0</v>
      </c>
      <c r="AG419" s="7" t="e">
        <f>IF(ISNA(MATCH($C419,FA,0)),0,N(#REF!)*N(INDEX(F_MODUL,MATCH($C419,FA,0))))</f>
        <v>#REF!</v>
      </c>
      <c r="AH419" s="7" t="e">
        <f>N(#REF!)*N($I419)</f>
        <v>#REF!</v>
      </c>
      <c r="AI419" s="7" t="e">
        <f t="shared" ref="AI419:AI430" si="126">IF(ISNA(MATCH($K419,TIP_AD,0)),"YOK",IF(INDEX(NORM_DK,MATCH($K419,TIP_AD,0))="","BOŞ",INDEX(NORM_DK,MATCH($K419,TIP_AD,0))))</f>
        <v>#REF!</v>
      </c>
      <c r="AJ419" s="7">
        <f t="shared" ref="AJ419:AJ430" si="127">IF(ISNUMBER($AI419),$Y419*$AI419,0)</f>
        <v>0</v>
      </c>
    </row>
    <row r="420" spans="1:36" x14ac:dyDescent="0.25">
      <c r="A420" s="4" t="str">
        <f t="shared" si="121"/>
        <v>ЩСВ-7 (260922 akram aulet)</v>
      </c>
      <c r="B420" s="4" t="s">
        <v>198</v>
      </c>
      <c r="C420" s="4" t="s">
        <v>380</v>
      </c>
      <c r="D420" s="4" t="s">
        <v>381</v>
      </c>
      <c r="E420" s="4" t="s">
        <v>114</v>
      </c>
      <c r="F420" s="4" t="s">
        <v>377</v>
      </c>
      <c r="G420" s="4" t="s">
        <v>236</v>
      </c>
      <c r="H420" s="5" t="e">
        <f>#REF!</f>
        <v>#REF!</v>
      </c>
      <c r="I420" s="6" t="e">
        <f t="shared" si="122"/>
        <v>#REF!</v>
      </c>
      <c r="J420" s="6" t="s">
        <v>48</v>
      </c>
      <c r="K420" s="6" t="s">
        <v>198</v>
      </c>
      <c r="L420" s="7" t="e">
        <f t="shared" si="123"/>
        <v>#REF!</v>
      </c>
      <c r="M420" s="7" t="s">
        <v>250</v>
      </c>
      <c r="N420" s="7" t="s">
        <v>200</v>
      </c>
      <c r="O420" s="7" t="str">
        <f>IF(OR($C420="",$C420="FID YOK"),"",IF(ISNUMBER(MATCH($C420,FA_ANA,0)),"",IF(COUNTIF($C$1:$C419,$C420)&gt;0,"",MAX($O$1:$O419)+1)))</f>
        <v/>
      </c>
      <c r="P420" s="8">
        <v>1</v>
      </c>
      <c r="Q420" s="7" t="e">
        <f>IF(OR($P420="",$P420="G",ISNA(MATCH($C420,FA,0))),"",IF(N(INDEX(F_G,MATCH($C420,FA,0)))&gt;0,INDEX(F_G,MATCH($C420,FA,0)),IF(N(INDEX(F_MODUL,MATCH($C420,FA,0)))&gt;0,INDEX(F_MODUL,MATCH($C420,FA,0))*MODUL_MM,"")))</f>
        <v>#REF!</v>
      </c>
      <c r="R420" s="7" t="e">
        <f>IF(OR($P420="",$P420="G",ISNA(MATCH($C420,FA,0))),"",IF(N(INDEX(F_Y,MATCH($C420,FA,0)))&gt;0,INDEX(F_Y,MATCH($C420,FA,0)),""))</f>
        <v>#REF!</v>
      </c>
      <c r="S420" s="7" t="e">
        <f>IF(OR($P420="",$P420="G",ISNA(MATCH($C420,FA,0))),"",IF(N(INDEX(F_D,MATCH($C420,FA,0)))&gt;0,INDEX(F_D,MATCH($C420,FA,0)),""))</f>
        <v>#REF!</v>
      </c>
      <c r="T420" s="7" t="e">
        <f>IF(ISNA(MATCH($C420,FA,0)),0,IF($J420="GIRIS",N(INDEX(F_INKOR,MATCH($C420,FA,0))),0))</f>
        <v>#REF!</v>
      </c>
      <c r="U420" s="7" t="e">
        <f>IF(ISNA(MATCH($B420,TIP_AD,0)),"",INDEX(TIP_KAT,MATCH($B420,TIP_AD,0))&amp;"")</f>
        <v>#REF!</v>
      </c>
      <c r="V420" s="7" t="e">
        <f>IF(NOT(ISNUMBER($P420)),"",IF($Z420=0,0,IF(ISNA(MATCH($Z420,BUK_KESIT,0)),"",IF(INDEX(BUK_ALAN,MATCH($Z420,BUK_KESIT,0))&amp;""="","",INDEX(BUK_ALAN,MATCH($Z420,BUK_KESIT,0))))))</f>
        <v>#REF!</v>
      </c>
      <c r="W420" s="7" t="e">
        <f>IF(OR(NOT(ISNUMBER($P420)),$Q420=""),"",N(#REF!)*($Q420+IF(ISNA(MATCH($B420,TIP_AD,0)),0,N(INDEX(TIP_BOSLUK,MATCH($B420,TIP_AD,0))))))</f>
        <v>#REF!</v>
      </c>
      <c r="X420" s="7" t="e">
        <f>IF(ISNUMBER($P420),($Q420="")+($R420="")+($V420="")+IF(AND($U420="KONTAKTOR",NOT(ISNA(MATCH($B420,TIP_AD,0)))),IF(INDEX(TIP_BOSLUK,MATCH($B420,TIP_AD,0))&amp;""="",1,0),0),IF($P420="K",IF($S420="",1,0),0))</f>
        <v>#REF!</v>
      </c>
      <c r="Y420" s="7" t="e">
        <f>N(#REF!)*IF($E420="упак",MAX(1,IF(ISNA(MATCH($C420,FA,0)),1,N(INDEX(F_PAKET,MATCH($C420,FA,0))))),1)</f>
        <v>#REF!</v>
      </c>
      <c r="Z420" s="7" t="e">
        <f t="shared" si="124"/>
        <v>#REF!</v>
      </c>
      <c r="AA420" s="7" t="e">
        <f>IF(OR(ISNA(MATCH($C420,FA,0)),$J420="YEDEK",$J420="SARF"),0,N(#REF!)*N(INDEX(F_TEL,MATCH($C420,FA,0))))</f>
        <v>#REF!</v>
      </c>
      <c r="AB420" s="7" t="e">
        <f>IF(OR(ISNA(MATCH($C420,FA,0)),$J420="YEDEK",$J420="SARF"),0,N(#REF!)*N(INDEX(F_TELM,MATCH($C420,FA,0))))</f>
        <v>#REF!</v>
      </c>
      <c r="AC420" s="7" t="e">
        <f t="shared" si="125"/>
        <v>#REF!</v>
      </c>
      <c r="AD420" s="7">
        <f>IF(OR(ISNA(MATCH($C420,FA,0)),$J420&lt;&gt;"CIKIS"),0,N(INDEX(F_KK,MATCH($C420,FA,0))))</f>
        <v>0</v>
      </c>
      <c r="AE420" s="7">
        <f>IF($AD420=0,0,N(#REF!)*N(INDEX(F_KLN,MATCH($C420,FA,0))))</f>
        <v>0</v>
      </c>
      <c r="AF420" s="7">
        <f>IF($AD420=0,0,N(#REF!)*N(INDEX(F_KPE,MATCH($C420,FA,0))))</f>
        <v>0</v>
      </c>
      <c r="AG420" s="7" t="e">
        <f>IF(ISNA(MATCH($C420,FA,0)),0,N(#REF!)*N(INDEX(F_MODUL,MATCH($C420,FA,0))))</f>
        <v>#REF!</v>
      </c>
      <c r="AH420" s="7" t="e">
        <f>N(#REF!)*N($I420)</f>
        <v>#REF!</v>
      </c>
      <c r="AI420" s="7" t="e">
        <f t="shared" si="126"/>
        <v>#REF!</v>
      </c>
      <c r="AJ420" s="7">
        <f t="shared" si="127"/>
        <v>0</v>
      </c>
    </row>
    <row r="421" spans="1:36" x14ac:dyDescent="0.25">
      <c r="A421" s="4" t="str">
        <f t="shared" si="121"/>
        <v>ЩСВ-7 (260922 akram aulet)</v>
      </c>
      <c r="B421" s="4" t="s">
        <v>65</v>
      </c>
      <c r="C421" s="4" t="s">
        <v>388</v>
      </c>
      <c r="D421" s="4" t="s">
        <v>389</v>
      </c>
      <c r="E421" s="4" t="s">
        <v>114</v>
      </c>
      <c r="F421" s="4" t="s">
        <v>377</v>
      </c>
      <c r="G421" s="4" t="s">
        <v>236</v>
      </c>
      <c r="H421" s="5" t="e">
        <f>#REF!</f>
        <v>#REF!</v>
      </c>
      <c r="I421" s="6" t="e">
        <f t="shared" si="122"/>
        <v>#REF!</v>
      </c>
      <c r="J421" s="6" t="s">
        <v>52</v>
      </c>
      <c r="K421" s="6" t="s">
        <v>65</v>
      </c>
      <c r="L421" s="7" t="e">
        <f t="shared" si="123"/>
        <v>#REF!</v>
      </c>
      <c r="M421" s="7" t="s">
        <v>253</v>
      </c>
      <c r="N421" s="7" t="s">
        <v>228</v>
      </c>
      <c r="O421" s="7" t="str">
        <f>IF(OR($C421="",$C421="FID YOK"),"",IF(ISNUMBER(MATCH($C421,FA_ANA,0)),"",IF(COUNTIF($C$1:$C420,$C421)&gt;0,"",MAX($O$1:$O420)+1)))</f>
        <v/>
      </c>
      <c r="P421" s="8">
        <v>1</v>
      </c>
      <c r="Q421" s="7" t="e">
        <f>IF(OR($P421="",$P421="G",ISNA(MATCH($C421,FA,0))),"",IF(N(INDEX(F_G,MATCH($C421,FA,0)))&gt;0,INDEX(F_G,MATCH($C421,FA,0)),IF(N(INDEX(F_MODUL,MATCH($C421,FA,0)))&gt;0,INDEX(F_MODUL,MATCH($C421,FA,0))*MODUL_MM,"")))</f>
        <v>#REF!</v>
      </c>
      <c r="R421" s="7" t="e">
        <f>IF(OR($P421="",$P421="G",ISNA(MATCH($C421,FA,0))),"",IF(N(INDEX(F_Y,MATCH($C421,FA,0)))&gt;0,INDEX(F_Y,MATCH($C421,FA,0)),""))</f>
        <v>#REF!</v>
      </c>
      <c r="S421" s="7" t="e">
        <f>IF(OR($P421="",$P421="G",ISNA(MATCH($C421,FA,0))),"",IF(N(INDEX(F_D,MATCH($C421,FA,0)))&gt;0,INDEX(F_D,MATCH($C421,FA,0)),""))</f>
        <v>#REF!</v>
      </c>
      <c r="T421" s="7">
        <f>IF(ISNA(MATCH($C421,FA,0)),0,IF($J421="GIRIS",N(INDEX(F_INKOR,MATCH($C421,FA,0))),0))</f>
        <v>0</v>
      </c>
      <c r="U421" s="7" t="e">
        <f>IF(ISNA(MATCH($B421,TIP_AD,0)),"",INDEX(TIP_KAT,MATCH($B421,TIP_AD,0))&amp;"")</f>
        <v>#REF!</v>
      </c>
      <c r="V421" s="7" t="e">
        <f>IF(NOT(ISNUMBER($P421)),"",IF($Z421=0,0,IF(ISNA(MATCH($Z421,BUK_KESIT,0)),"",IF(INDEX(BUK_ALAN,MATCH($Z421,BUK_KESIT,0))&amp;""="","",INDEX(BUK_ALAN,MATCH($Z421,BUK_KESIT,0))))))</f>
        <v>#REF!</v>
      </c>
      <c r="W421" s="7" t="e">
        <f>IF(OR(NOT(ISNUMBER($P421)),$Q421=""),"",N(#REF!)*($Q421+IF(ISNA(MATCH($B421,TIP_AD,0)),0,N(INDEX(TIP_BOSLUK,MATCH($B421,TIP_AD,0))))))</f>
        <v>#REF!</v>
      </c>
      <c r="X421" s="7" t="e">
        <f>IF(ISNUMBER($P421),($Q421="")+($R421="")+($V421="")+IF(AND($U421="KONTAKTOR",NOT(ISNA(MATCH($B421,TIP_AD,0)))),IF(INDEX(TIP_BOSLUK,MATCH($B421,TIP_AD,0))&amp;""="",1,0),0),IF($P421="K",IF($S421="",1,0),0))</f>
        <v>#REF!</v>
      </c>
      <c r="Y421" s="7" t="e">
        <f>N(#REF!)*IF($E421="упак",MAX(1,IF(ISNA(MATCH($C421,FA,0)),1,N(INDEX(F_PAKET,MATCH($C421,FA,0))))),1)</f>
        <v>#REF!</v>
      </c>
      <c r="Z421" s="7" t="e">
        <f t="shared" si="124"/>
        <v>#REF!</v>
      </c>
      <c r="AA421" s="7" t="e">
        <f>IF(OR(ISNA(MATCH($C421,FA,0)),$J421="YEDEK",$J421="SARF"),0,N(#REF!)*N(INDEX(F_TEL,MATCH($C421,FA,0))))</f>
        <v>#REF!</v>
      </c>
      <c r="AB421" s="7" t="e">
        <f>IF(OR(ISNA(MATCH($C421,FA,0)),$J421="YEDEK",$J421="SARF"),0,N(#REF!)*N(INDEX(F_TELM,MATCH($C421,FA,0))))</f>
        <v>#REF!</v>
      </c>
      <c r="AC421" s="7" t="e">
        <f t="shared" si="125"/>
        <v>#REF!</v>
      </c>
      <c r="AD421" s="7" t="e">
        <f>IF(OR(ISNA(MATCH($C421,FA,0)),$J421&lt;&gt;"CIKIS"),0,N(INDEX(F_KK,MATCH($C421,FA,0))))</f>
        <v>#REF!</v>
      </c>
      <c r="AE421" s="7" t="e">
        <f>IF($AD421=0,0,N(#REF!)*N(INDEX(F_KLN,MATCH($C421,FA,0))))</f>
        <v>#REF!</v>
      </c>
      <c r="AF421" s="7" t="e">
        <f>IF($AD421=0,0,N(#REF!)*N(INDEX(F_KPE,MATCH($C421,FA,0))))</f>
        <v>#REF!</v>
      </c>
      <c r="AG421" s="7" t="e">
        <f>IF(ISNA(MATCH($C421,FA,0)),0,N(#REF!)*N(INDEX(F_MODUL,MATCH($C421,FA,0))))</f>
        <v>#REF!</v>
      </c>
      <c r="AH421" s="7" t="e">
        <f>N(#REF!)*N($I421)</f>
        <v>#REF!</v>
      </c>
      <c r="AI421" s="7" t="e">
        <f t="shared" si="126"/>
        <v>#REF!</v>
      </c>
      <c r="AJ421" s="7">
        <f t="shared" si="127"/>
        <v>0</v>
      </c>
    </row>
    <row r="422" spans="1:36" x14ac:dyDescent="0.25">
      <c r="A422" s="4" t="str">
        <f t="shared" si="121"/>
        <v>ЩСВ-7 (260922 akram aulet)</v>
      </c>
      <c r="B422" s="4" t="s">
        <v>202</v>
      </c>
      <c r="C422" s="4" t="s">
        <v>575</v>
      </c>
      <c r="D422" s="4" t="s">
        <v>576</v>
      </c>
      <c r="E422" s="4" t="s">
        <v>114</v>
      </c>
      <c r="F422" s="4" t="s">
        <v>486</v>
      </c>
      <c r="G422" s="4" t="s">
        <v>236</v>
      </c>
      <c r="H422" s="5" t="e">
        <f>#REF!</f>
        <v>#REF!</v>
      </c>
      <c r="I422" s="6" t="e">
        <f t="shared" si="122"/>
        <v>#REF!</v>
      </c>
      <c r="J422" s="6" t="s">
        <v>84</v>
      </c>
      <c r="K422" s="6" t="s">
        <v>202</v>
      </c>
      <c r="L422" s="7" t="e">
        <f t="shared" si="123"/>
        <v>#REF!</v>
      </c>
      <c r="M422" s="7" t="s">
        <v>203</v>
      </c>
      <c r="O422" s="7" t="str">
        <f>IF(OR($C422="",$C422="FID YOK"),"",IF(ISNUMBER(MATCH($C422,FA_ANA,0)),"",IF(COUNTIF($C$1:$C421,$C422)&gt;0,"",MAX($O$1:$O421)+1)))</f>
        <v/>
      </c>
      <c r="T422" s="7">
        <f>IF(ISNA(MATCH($C422,FA,0)),0,IF($J422="GIRIS",N(INDEX(F_INKOR,MATCH($C422,FA,0))),0))</f>
        <v>0</v>
      </c>
      <c r="Y422" s="7" t="e">
        <f>N(#REF!)*IF($E422="упак",MAX(1,IF(ISNA(MATCH($C422,FA,0)),1,N(INDEX(F_PAKET,MATCH($C422,FA,0))))),1)</f>
        <v>#REF!</v>
      </c>
      <c r="Z422" s="7" t="e">
        <f t="shared" si="124"/>
        <v>#REF!</v>
      </c>
      <c r="AA422" s="7">
        <f>IF(OR(ISNA(MATCH($C422,FA,0)),$J422="YEDEK",$J422="SARF"),0,N(#REF!)*N(INDEX(F_TEL,MATCH($C422,FA,0))))</f>
        <v>0</v>
      </c>
      <c r="AB422" s="7">
        <f>IF(OR(ISNA(MATCH($C422,FA,0)),$J422="YEDEK",$J422="SARF"),0,N(#REF!)*N(INDEX(F_TELM,MATCH($C422,FA,0))))</f>
        <v>0</v>
      </c>
      <c r="AC422" s="7" t="e">
        <f t="shared" si="125"/>
        <v>#REF!</v>
      </c>
      <c r="AD422" s="7">
        <f>IF(OR(ISNA(MATCH($C422,FA,0)),$J422&lt;&gt;"CIKIS"),0,N(INDEX(F_KK,MATCH($C422,FA,0))))</f>
        <v>0</v>
      </c>
      <c r="AE422" s="7">
        <f>IF($AD422=0,0,N(#REF!)*N(INDEX(F_KLN,MATCH($C422,FA,0))))</f>
        <v>0</v>
      </c>
      <c r="AF422" s="7">
        <f>IF($AD422=0,0,N(#REF!)*N(INDEX(F_KPE,MATCH($C422,FA,0))))</f>
        <v>0</v>
      </c>
      <c r="AG422" s="7" t="e">
        <f>IF(ISNA(MATCH($C422,FA,0)),0,N(#REF!)*N(INDEX(F_MODUL,MATCH($C422,FA,0))))</f>
        <v>#REF!</v>
      </c>
      <c r="AH422" s="7" t="e">
        <f>N(#REF!)*N($I422)</f>
        <v>#REF!</v>
      </c>
      <c r="AI422" s="7" t="e">
        <f t="shared" si="126"/>
        <v>#REF!</v>
      </c>
      <c r="AJ422" s="7">
        <f t="shared" si="127"/>
        <v>0</v>
      </c>
    </row>
    <row r="423" spans="1:36" x14ac:dyDescent="0.25">
      <c r="A423" s="4" t="str">
        <f t="shared" si="121"/>
        <v>ЩСВ-7 (260922 akram aulet)</v>
      </c>
      <c r="B423" s="4" t="s">
        <v>202</v>
      </c>
      <c r="C423" s="4" t="s">
        <v>575</v>
      </c>
      <c r="D423" s="4" t="s">
        <v>576</v>
      </c>
      <c r="E423" s="4" t="s">
        <v>114</v>
      </c>
      <c r="F423" s="4" t="s">
        <v>486</v>
      </c>
      <c r="G423" s="4" t="s">
        <v>236</v>
      </c>
      <c r="H423" s="5" t="e">
        <f>#REF!</f>
        <v>#REF!</v>
      </c>
      <c r="I423" s="6" t="e">
        <f t="shared" si="122"/>
        <v>#REF!</v>
      </c>
      <c r="J423" s="6" t="s">
        <v>84</v>
      </c>
      <c r="K423" s="6" t="s">
        <v>202</v>
      </c>
      <c r="L423" s="7" t="e">
        <f t="shared" si="123"/>
        <v>#REF!</v>
      </c>
      <c r="M423" s="7" t="s">
        <v>204</v>
      </c>
      <c r="O423" s="7" t="str">
        <f>IF(OR($C423="",$C423="FID YOK"),"",IF(ISNUMBER(MATCH($C423,FA_ANA,0)),"",IF(COUNTIF($C$1:$C422,$C423)&gt;0,"",MAX($O$1:$O422)+1)))</f>
        <v/>
      </c>
      <c r="T423" s="7">
        <f>IF(ISNA(MATCH($C423,FA,0)),0,IF($J423="GIRIS",N(INDEX(F_INKOR,MATCH($C423,FA,0))),0))</f>
        <v>0</v>
      </c>
      <c r="Y423" s="7" t="e">
        <f>N(#REF!)*IF($E423="упак",MAX(1,IF(ISNA(MATCH($C423,FA,0)),1,N(INDEX(F_PAKET,MATCH($C423,FA,0))))),1)</f>
        <v>#REF!</v>
      </c>
      <c r="Z423" s="7" t="e">
        <f t="shared" si="124"/>
        <v>#REF!</v>
      </c>
      <c r="AA423" s="7">
        <f>IF(OR(ISNA(MATCH($C423,FA,0)),$J423="YEDEK",$J423="SARF"),0,N(#REF!)*N(INDEX(F_TEL,MATCH($C423,FA,0))))</f>
        <v>0</v>
      </c>
      <c r="AB423" s="7">
        <f>IF(OR(ISNA(MATCH($C423,FA,0)),$J423="YEDEK",$J423="SARF"),0,N(#REF!)*N(INDEX(F_TELM,MATCH($C423,FA,0))))</f>
        <v>0</v>
      </c>
      <c r="AC423" s="7" t="e">
        <f t="shared" si="125"/>
        <v>#REF!</v>
      </c>
      <c r="AD423" s="7">
        <f>IF(OR(ISNA(MATCH($C423,FA,0)),$J423&lt;&gt;"CIKIS"),0,N(INDEX(F_KK,MATCH($C423,FA,0))))</f>
        <v>0</v>
      </c>
      <c r="AE423" s="7">
        <f>IF($AD423=0,0,N(#REF!)*N(INDEX(F_KLN,MATCH($C423,FA,0))))</f>
        <v>0</v>
      </c>
      <c r="AF423" s="7">
        <f>IF($AD423=0,0,N(#REF!)*N(INDEX(F_KPE,MATCH($C423,FA,0))))</f>
        <v>0</v>
      </c>
      <c r="AG423" s="7" t="e">
        <f>IF(ISNA(MATCH($C423,FA,0)),0,N(#REF!)*N(INDEX(F_MODUL,MATCH($C423,FA,0))))</f>
        <v>#REF!</v>
      </c>
      <c r="AH423" s="7" t="e">
        <f>N(#REF!)*N($I423)</f>
        <v>#REF!</v>
      </c>
      <c r="AI423" s="7" t="e">
        <f t="shared" si="126"/>
        <v>#REF!</v>
      </c>
      <c r="AJ423" s="7">
        <f t="shared" si="127"/>
        <v>0</v>
      </c>
    </row>
    <row r="424" spans="1:36" x14ac:dyDescent="0.25">
      <c r="A424" s="4" t="str">
        <f t="shared" si="121"/>
        <v>ЩСВ-7 (260922 akram aulet)</v>
      </c>
      <c r="B424" s="4" t="s">
        <v>92</v>
      </c>
      <c r="C424" s="4" t="s">
        <v>523</v>
      </c>
      <c r="D424" s="4" t="s">
        <v>524</v>
      </c>
      <c r="E424" s="4" t="s">
        <v>520</v>
      </c>
      <c r="F424" s="4" t="s">
        <v>521</v>
      </c>
      <c r="G424" s="4" t="s">
        <v>236</v>
      </c>
      <c r="H424" s="5" t="e">
        <f>#REF!</f>
        <v>#REF!</v>
      </c>
      <c r="I424" s="6" t="e">
        <f t="shared" si="122"/>
        <v>#REF!</v>
      </c>
      <c r="J424" s="6" t="s">
        <v>84</v>
      </c>
      <c r="K424" s="6" t="s">
        <v>92</v>
      </c>
      <c r="L424" s="7" t="e">
        <f t="shared" si="123"/>
        <v>#REF!</v>
      </c>
      <c r="M424" s="7" t="s">
        <v>93</v>
      </c>
      <c r="O424" s="7" t="str">
        <f>IF(OR($C424="",$C424="FID YOK"),"",IF(ISNUMBER(MATCH($C424,FA_ANA,0)),"",IF(COUNTIF($C$1:$C423,$C424)&gt;0,"",MAX($O$1:$O423)+1)))</f>
        <v/>
      </c>
      <c r="T424" s="7">
        <f>IF(ISNA(MATCH($C424,FA,0)),0,IF($J424="GIRIS",N(INDEX(F_INKOR,MATCH($C424,FA,0))),0))</f>
        <v>0</v>
      </c>
      <c r="Y424" s="7" t="e">
        <f>N(#REF!)*IF($E424="упак",MAX(1,IF(ISNA(MATCH($C424,FA,0)),1,N(INDEX(F_PAKET,MATCH($C424,FA,0))))),1)</f>
        <v>#REF!</v>
      </c>
      <c r="Z424" s="7" t="e">
        <f t="shared" si="124"/>
        <v>#REF!</v>
      </c>
      <c r="AA424" s="7">
        <f>IF(OR(ISNA(MATCH($C424,FA,0)),$J424="YEDEK",$J424="SARF"),0,N(#REF!)*N(INDEX(F_TEL,MATCH($C424,FA,0))))</f>
        <v>0</v>
      </c>
      <c r="AB424" s="7">
        <f>IF(OR(ISNA(MATCH($C424,FA,0)),$J424="YEDEK",$J424="SARF"),0,N(#REF!)*N(INDEX(F_TELM,MATCH($C424,FA,0))))</f>
        <v>0</v>
      </c>
      <c r="AC424" s="7" t="e">
        <f t="shared" si="125"/>
        <v>#REF!</v>
      </c>
      <c r="AD424" s="7">
        <f>IF(OR(ISNA(MATCH($C424,FA,0)),$J424&lt;&gt;"CIKIS"),0,N(INDEX(F_KK,MATCH($C424,FA,0))))</f>
        <v>0</v>
      </c>
      <c r="AE424" s="7">
        <f>IF($AD424=0,0,N(#REF!)*N(INDEX(F_KLN,MATCH($C424,FA,0))))</f>
        <v>0</v>
      </c>
      <c r="AF424" s="7">
        <f>IF($AD424=0,0,N(#REF!)*N(INDEX(F_KPE,MATCH($C424,FA,0))))</f>
        <v>0</v>
      </c>
      <c r="AG424" s="7" t="e">
        <f>IF(ISNA(MATCH($C424,FA,0)),0,N(#REF!)*N(INDEX(F_MODUL,MATCH($C424,FA,0))))</f>
        <v>#REF!</v>
      </c>
      <c r="AH424" s="7" t="e">
        <f>N(#REF!)*N($I424)</f>
        <v>#REF!</v>
      </c>
      <c r="AI424" s="7" t="e">
        <f t="shared" si="126"/>
        <v>#REF!</v>
      </c>
      <c r="AJ424" s="7">
        <f t="shared" si="127"/>
        <v>0</v>
      </c>
    </row>
    <row r="425" spans="1:36" x14ac:dyDescent="0.25">
      <c r="A425" s="4" t="str">
        <f t="shared" si="121"/>
        <v>ЩСВ-7 (260922 akram aulet)</v>
      </c>
      <c r="B425" s="4" t="s">
        <v>92</v>
      </c>
      <c r="C425" s="4" t="s">
        <v>535</v>
      </c>
      <c r="D425" s="4" t="s">
        <v>536</v>
      </c>
      <c r="E425" s="4" t="s">
        <v>520</v>
      </c>
      <c r="F425" s="4" t="s">
        <v>521</v>
      </c>
      <c r="G425" s="4" t="s">
        <v>236</v>
      </c>
      <c r="H425" s="5" t="e">
        <f>#REF!</f>
        <v>#REF!</v>
      </c>
      <c r="I425" s="6" t="e">
        <f t="shared" si="122"/>
        <v>#REF!</v>
      </c>
      <c r="J425" s="6" t="s">
        <v>84</v>
      </c>
      <c r="K425" s="6" t="s">
        <v>92</v>
      </c>
      <c r="L425" s="7" t="e">
        <f t="shared" si="123"/>
        <v>#REF!</v>
      </c>
      <c r="M425" s="7" t="s">
        <v>130</v>
      </c>
      <c r="O425" s="7" t="str">
        <f>IF(OR($C425="",$C425="FID YOK"),"",IF(ISNUMBER(MATCH($C425,FA_ANA,0)),"",IF(COUNTIF($C$1:$C424,$C425)&gt;0,"",MAX($O$1:$O424)+1)))</f>
        <v/>
      </c>
      <c r="T425" s="7">
        <f>IF(ISNA(MATCH($C425,FA,0)),0,IF($J425="GIRIS",N(INDEX(F_INKOR,MATCH($C425,FA,0))),0))</f>
        <v>0</v>
      </c>
      <c r="Y425" s="7" t="e">
        <f>N(#REF!)*IF($E425="упак",MAX(1,IF(ISNA(MATCH($C425,FA,0)),1,N(INDEX(F_PAKET,MATCH($C425,FA,0))))),1)</f>
        <v>#REF!</v>
      </c>
      <c r="Z425" s="7" t="e">
        <f t="shared" si="124"/>
        <v>#REF!</v>
      </c>
      <c r="AA425" s="7">
        <f>IF(OR(ISNA(MATCH($C425,FA,0)),$J425="YEDEK",$J425="SARF"),0,N(#REF!)*N(INDEX(F_TEL,MATCH($C425,FA,0))))</f>
        <v>0</v>
      </c>
      <c r="AB425" s="7">
        <f>IF(OR(ISNA(MATCH($C425,FA,0)),$J425="YEDEK",$J425="SARF"),0,N(#REF!)*N(INDEX(F_TELM,MATCH($C425,FA,0))))</f>
        <v>0</v>
      </c>
      <c r="AC425" s="7" t="e">
        <f t="shared" si="125"/>
        <v>#REF!</v>
      </c>
      <c r="AD425" s="7">
        <f>IF(OR(ISNA(MATCH($C425,FA,0)),$J425&lt;&gt;"CIKIS"),0,N(INDEX(F_KK,MATCH($C425,FA,0))))</f>
        <v>0</v>
      </c>
      <c r="AE425" s="7">
        <f>IF($AD425=0,0,N(#REF!)*N(INDEX(F_KLN,MATCH($C425,FA,0))))</f>
        <v>0</v>
      </c>
      <c r="AF425" s="7">
        <f>IF($AD425=0,0,N(#REF!)*N(INDEX(F_KPE,MATCH($C425,FA,0))))</f>
        <v>0</v>
      </c>
      <c r="AG425" s="7" t="e">
        <f>IF(ISNA(MATCH($C425,FA,0)),0,N(#REF!)*N(INDEX(F_MODUL,MATCH($C425,FA,0))))</f>
        <v>#REF!</v>
      </c>
      <c r="AH425" s="7" t="e">
        <f>N(#REF!)*N($I425)</f>
        <v>#REF!</v>
      </c>
      <c r="AI425" s="7" t="e">
        <f t="shared" si="126"/>
        <v>#REF!</v>
      </c>
      <c r="AJ425" s="7">
        <f t="shared" si="127"/>
        <v>0</v>
      </c>
    </row>
    <row r="426" spans="1:36" x14ac:dyDescent="0.25">
      <c r="A426" s="4" t="str">
        <f t="shared" si="121"/>
        <v>ЩСВ-7 (260922 akram aulet)</v>
      </c>
      <c r="B426" s="4" t="s">
        <v>92</v>
      </c>
      <c r="C426" s="4" t="s">
        <v>535</v>
      </c>
      <c r="D426" s="4" t="s">
        <v>536</v>
      </c>
      <c r="E426" s="4" t="s">
        <v>520</v>
      </c>
      <c r="F426" s="4" t="s">
        <v>521</v>
      </c>
      <c r="G426" s="4" t="s">
        <v>236</v>
      </c>
      <c r="H426" s="5" t="e">
        <f>#REF!</f>
        <v>#REF!</v>
      </c>
      <c r="I426" s="6" t="e">
        <f t="shared" si="122"/>
        <v>#REF!</v>
      </c>
      <c r="J426" s="6" t="s">
        <v>84</v>
      </c>
      <c r="K426" s="6" t="s">
        <v>92</v>
      </c>
      <c r="L426" s="7" t="e">
        <f t="shared" si="123"/>
        <v>#REF!</v>
      </c>
      <c r="M426" s="7" t="s">
        <v>100</v>
      </c>
      <c r="O426" s="7" t="str">
        <f>IF(OR($C426="",$C426="FID YOK"),"",IF(ISNUMBER(MATCH($C426,FA_ANA,0)),"",IF(COUNTIF($C$1:$C425,$C426)&gt;0,"",MAX($O$1:$O425)+1)))</f>
        <v/>
      </c>
      <c r="T426" s="7">
        <f>IF(ISNA(MATCH($C426,FA,0)),0,IF($J426="GIRIS",N(INDEX(F_INKOR,MATCH($C426,FA,0))),0))</f>
        <v>0</v>
      </c>
      <c r="Y426" s="7" t="e">
        <f>N(#REF!)*IF($E426="упак",MAX(1,IF(ISNA(MATCH($C426,FA,0)),1,N(INDEX(F_PAKET,MATCH($C426,FA,0))))),1)</f>
        <v>#REF!</v>
      </c>
      <c r="Z426" s="7" t="e">
        <f t="shared" si="124"/>
        <v>#REF!</v>
      </c>
      <c r="AA426" s="7">
        <f>IF(OR(ISNA(MATCH($C426,FA,0)),$J426="YEDEK",$J426="SARF"),0,N(#REF!)*N(INDEX(F_TEL,MATCH($C426,FA,0))))</f>
        <v>0</v>
      </c>
      <c r="AB426" s="7">
        <f>IF(OR(ISNA(MATCH($C426,FA,0)),$J426="YEDEK",$J426="SARF"),0,N(#REF!)*N(INDEX(F_TELM,MATCH($C426,FA,0))))</f>
        <v>0</v>
      </c>
      <c r="AC426" s="7" t="e">
        <f t="shared" si="125"/>
        <v>#REF!</v>
      </c>
      <c r="AD426" s="7">
        <f>IF(OR(ISNA(MATCH($C426,FA,0)),$J426&lt;&gt;"CIKIS"),0,N(INDEX(F_KK,MATCH($C426,FA,0))))</f>
        <v>0</v>
      </c>
      <c r="AE426" s="7">
        <f>IF($AD426=0,0,N(#REF!)*N(INDEX(F_KLN,MATCH($C426,FA,0))))</f>
        <v>0</v>
      </c>
      <c r="AF426" s="7">
        <f>IF($AD426=0,0,N(#REF!)*N(INDEX(F_KPE,MATCH($C426,FA,0))))</f>
        <v>0</v>
      </c>
      <c r="AG426" s="7" t="e">
        <f>IF(ISNA(MATCH($C426,FA,0)),0,N(#REF!)*N(INDEX(F_MODUL,MATCH($C426,FA,0))))</f>
        <v>#REF!</v>
      </c>
      <c r="AH426" s="7" t="e">
        <f>N(#REF!)*N($I426)</f>
        <v>#REF!</v>
      </c>
      <c r="AI426" s="7" t="e">
        <f t="shared" si="126"/>
        <v>#REF!</v>
      </c>
      <c r="AJ426" s="7">
        <f t="shared" si="127"/>
        <v>0</v>
      </c>
    </row>
    <row r="427" spans="1:36" x14ac:dyDescent="0.25">
      <c r="A427" s="4" t="str">
        <f t="shared" si="121"/>
        <v>ЩСВ-7 (260922 akram aulet)</v>
      </c>
      <c r="B427" s="4" t="s">
        <v>101</v>
      </c>
      <c r="C427" s="4" t="s">
        <v>525</v>
      </c>
      <c r="D427" s="4" t="s">
        <v>526</v>
      </c>
      <c r="E427" s="4" t="s">
        <v>522</v>
      </c>
      <c r="F427" s="4" t="s">
        <v>486</v>
      </c>
      <c r="G427" s="4" t="s">
        <v>236</v>
      </c>
      <c r="H427" s="5" t="e">
        <f>#REF!</f>
        <v>#REF!</v>
      </c>
      <c r="I427" s="6" t="e">
        <f t="shared" si="122"/>
        <v>#REF!</v>
      </c>
      <c r="J427" s="6" t="s">
        <v>84</v>
      </c>
      <c r="K427" s="6" t="s">
        <v>101</v>
      </c>
      <c r="L427" s="7" t="e">
        <f t="shared" si="123"/>
        <v>#REF!</v>
      </c>
      <c r="M427" s="7" t="s">
        <v>102</v>
      </c>
      <c r="O427" s="7" t="str">
        <f>IF(OR($C427="",$C427="FID YOK"),"",IF(ISNUMBER(MATCH($C427,FA_ANA,0)),"",IF(COUNTIF($C$1:$C426,$C427)&gt;0,"",MAX($O$1:$O426)+1)))</f>
        <v/>
      </c>
      <c r="T427" s="7">
        <f>IF(ISNA(MATCH($C427,FA,0)),0,IF($J427="GIRIS",N(INDEX(F_INKOR,MATCH($C427,FA,0))),0))</f>
        <v>0</v>
      </c>
      <c r="Y427" s="7" t="e">
        <f>N(#REF!)*IF($E427="упак",MAX(1,IF(ISNA(MATCH($C427,FA,0)),1,N(INDEX(F_PAKET,MATCH($C427,FA,0))))),1)</f>
        <v>#REF!</v>
      </c>
      <c r="Z427" s="7" t="e">
        <f t="shared" si="124"/>
        <v>#REF!</v>
      </c>
      <c r="AA427" s="7">
        <f>IF(OR(ISNA(MATCH($C427,FA,0)),$J427="YEDEK",$J427="SARF"),0,N(#REF!)*N(INDEX(F_TEL,MATCH($C427,FA,0))))</f>
        <v>0</v>
      </c>
      <c r="AB427" s="7">
        <f>IF(OR(ISNA(MATCH($C427,FA,0)),$J427="YEDEK",$J427="SARF"),0,N(#REF!)*N(INDEX(F_TELM,MATCH($C427,FA,0))))</f>
        <v>0</v>
      </c>
      <c r="AC427" s="7" t="e">
        <f t="shared" si="125"/>
        <v>#REF!</v>
      </c>
      <c r="AD427" s="7">
        <f>IF(OR(ISNA(MATCH($C427,FA,0)),$J427&lt;&gt;"CIKIS"),0,N(INDEX(F_KK,MATCH($C427,FA,0))))</f>
        <v>0</v>
      </c>
      <c r="AE427" s="7">
        <f>IF($AD427=0,0,N(#REF!)*N(INDEX(F_KLN,MATCH($C427,FA,0))))</f>
        <v>0</v>
      </c>
      <c r="AF427" s="7">
        <f>IF($AD427=0,0,N(#REF!)*N(INDEX(F_KPE,MATCH($C427,FA,0))))</f>
        <v>0</v>
      </c>
      <c r="AG427" s="7" t="e">
        <f>IF(ISNA(MATCH($C427,FA,0)),0,N(#REF!)*N(INDEX(F_MODUL,MATCH($C427,FA,0))))</f>
        <v>#REF!</v>
      </c>
      <c r="AH427" s="7" t="e">
        <f>N(#REF!)*N($I427)</f>
        <v>#REF!</v>
      </c>
      <c r="AI427" s="7" t="e">
        <f t="shared" si="126"/>
        <v>#REF!</v>
      </c>
      <c r="AJ427" s="7">
        <f t="shared" si="127"/>
        <v>0</v>
      </c>
    </row>
    <row r="428" spans="1:36" x14ac:dyDescent="0.25">
      <c r="A428" s="4" t="str">
        <f t="shared" si="121"/>
        <v>ЩСВ-7 (260922 akram aulet)</v>
      </c>
      <c r="B428" s="4" t="s">
        <v>101</v>
      </c>
      <c r="C428" s="4" t="s">
        <v>537</v>
      </c>
      <c r="D428" s="4" t="s">
        <v>538</v>
      </c>
      <c r="E428" s="4" t="s">
        <v>522</v>
      </c>
      <c r="F428" s="4" t="s">
        <v>486</v>
      </c>
      <c r="G428" s="4" t="s">
        <v>236</v>
      </c>
      <c r="H428" s="5" t="e">
        <f>#REF!</f>
        <v>#REF!</v>
      </c>
      <c r="I428" s="6" t="e">
        <f t="shared" si="122"/>
        <v>#REF!</v>
      </c>
      <c r="J428" s="6" t="s">
        <v>84</v>
      </c>
      <c r="K428" s="6" t="s">
        <v>101</v>
      </c>
      <c r="L428" s="7" t="e">
        <f t="shared" si="123"/>
        <v>#REF!</v>
      </c>
      <c r="M428" s="7" t="s">
        <v>205</v>
      </c>
      <c r="O428" s="7" t="str">
        <f>IF(OR($C428="",$C428="FID YOK"),"",IF(ISNUMBER(MATCH($C428,FA_ANA,0)),"",IF(COUNTIF($C$1:$C427,$C428)&gt;0,"",MAX($O$1:$O427)+1)))</f>
        <v/>
      </c>
      <c r="T428" s="7">
        <f>IF(ISNA(MATCH($C428,FA,0)),0,IF($J428="GIRIS",N(INDEX(F_INKOR,MATCH($C428,FA,0))),0))</f>
        <v>0</v>
      </c>
      <c r="Y428" s="7" t="e">
        <f>N(#REF!)*IF($E428="упак",MAX(1,IF(ISNA(MATCH($C428,FA,0)),1,N(INDEX(F_PAKET,MATCH($C428,FA,0))))),1)</f>
        <v>#REF!</v>
      </c>
      <c r="Z428" s="7" t="e">
        <f t="shared" si="124"/>
        <v>#REF!</v>
      </c>
      <c r="AA428" s="7">
        <f>IF(OR(ISNA(MATCH($C428,FA,0)),$J428="YEDEK",$J428="SARF"),0,N(#REF!)*N(INDEX(F_TEL,MATCH($C428,FA,0))))</f>
        <v>0</v>
      </c>
      <c r="AB428" s="7">
        <f>IF(OR(ISNA(MATCH($C428,FA,0)),$J428="YEDEK",$J428="SARF"),0,N(#REF!)*N(INDEX(F_TELM,MATCH($C428,FA,0))))</f>
        <v>0</v>
      </c>
      <c r="AC428" s="7" t="e">
        <f t="shared" si="125"/>
        <v>#REF!</v>
      </c>
      <c r="AD428" s="7">
        <f>IF(OR(ISNA(MATCH($C428,FA,0)),$J428&lt;&gt;"CIKIS"),0,N(INDEX(F_KK,MATCH($C428,FA,0))))</f>
        <v>0</v>
      </c>
      <c r="AE428" s="7">
        <f>IF($AD428=0,0,N(#REF!)*N(INDEX(F_KLN,MATCH($C428,FA,0))))</f>
        <v>0</v>
      </c>
      <c r="AF428" s="7">
        <f>IF($AD428=0,0,N(#REF!)*N(INDEX(F_KPE,MATCH($C428,FA,0))))</f>
        <v>0</v>
      </c>
      <c r="AG428" s="7" t="e">
        <f>IF(ISNA(MATCH($C428,FA,0)),0,N(#REF!)*N(INDEX(F_MODUL,MATCH($C428,FA,0))))</f>
        <v>#REF!</v>
      </c>
      <c r="AH428" s="7" t="e">
        <f>N(#REF!)*N($I428)</f>
        <v>#REF!</v>
      </c>
      <c r="AI428" s="7" t="e">
        <f t="shared" si="126"/>
        <v>#REF!</v>
      </c>
      <c r="AJ428" s="7">
        <f t="shared" si="127"/>
        <v>0</v>
      </c>
    </row>
    <row r="429" spans="1:36" x14ac:dyDescent="0.25">
      <c r="A429" s="4" t="str">
        <f t="shared" si="121"/>
        <v>ЩСВ-7 (260922 akram aulet)</v>
      </c>
      <c r="B429" s="4" t="s">
        <v>105</v>
      </c>
      <c r="C429" s="4" t="s">
        <v>539</v>
      </c>
      <c r="D429" s="4" t="s">
        <v>540</v>
      </c>
      <c r="E429" s="4" t="s">
        <v>114</v>
      </c>
      <c r="F429" s="4" t="s">
        <v>486</v>
      </c>
      <c r="G429" s="4" t="s">
        <v>236</v>
      </c>
      <c r="H429" s="5" t="e">
        <f>#REF!</f>
        <v>#REF!</v>
      </c>
      <c r="I429" s="6" t="e">
        <f t="shared" si="122"/>
        <v>#REF!</v>
      </c>
      <c r="J429" s="6" t="s">
        <v>84</v>
      </c>
      <c r="K429" s="6" t="s">
        <v>105</v>
      </c>
      <c r="L429" s="7" t="e">
        <f t="shared" si="123"/>
        <v>#REF!</v>
      </c>
      <c r="M429" s="7" t="s">
        <v>110</v>
      </c>
      <c r="O429" s="7" t="str">
        <f>IF(OR($C429="",$C429="FID YOK"),"",IF(ISNUMBER(MATCH($C429,FA_ANA,0)),"",IF(COUNTIF($C$1:$C428,$C429)&gt;0,"",MAX($O$1:$O428)+1)))</f>
        <v/>
      </c>
      <c r="T429" s="7">
        <f>IF(ISNA(MATCH($C429,FA,0)),0,IF($J429="GIRIS",N(INDEX(F_INKOR,MATCH($C429,FA,0))),0))</f>
        <v>0</v>
      </c>
      <c r="Y429" s="7" t="e">
        <f>N(#REF!)*IF($E429="упак",MAX(1,IF(ISNA(MATCH($C429,FA,0)),1,N(INDEX(F_PAKET,MATCH($C429,FA,0))))),1)</f>
        <v>#REF!</v>
      </c>
      <c r="Z429" s="7" t="e">
        <f t="shared" si="124"/>
        <v>#REF!</v>
      </c>
      <c r="AA429" s="7">
        <f>IF(OR(ISNA(MATCH($C429,FA,0)),$J429="YEDEK",$J429="SARF"),0,N(#REF!)*N(INDEX(F_TEL,MATCH($C429,FA,0))))</f>
        <v>0</v>
      </c>
      <c r="AB429" s="7">
        <f>IF(OR(ISNA(MATCH($C429,FA,0)),$J429="YEDEK",$J429="SARF"),0,N(#REF!)*N(INDEX(F_TELM,MATCH($C429,FA,0))))</f>
        <v>0</v>
      </c>
      <c r="AC429" s="7" t="e">
        <f t="shared" si="125"/>
        <v>#REF!</v>
      </c>
      <c r="AD429" s="7">
        <f>IF(OR(ISNA(MATCH($C429,FA,0)),$J429&lt;&gt;"CIKIS"),0,N(INDEX(F_KK,MATCH($C429,FA,0))))</f>
        <v>0</v>
      </c>
      <c r="AE429" s="7">
        <f>IF($AD429=0,0,N(#REF!)*N(INDEX(F_KLN,MATCH($C429,FA,0))))</f>
        <v>0</v>
      </c>
      <c r="AF429" s="7">
        <f>IF($AD429=0,0,N(#REF!)*N(INDEX(F_KPE,MATCH($C429,FA,0))))</f>
        <v>0</v>
      </c>
      <c r="AG429" s="7" t="e">
        <f>IF(ISNA(MATCH($C429,FA,0)),0,N(#REF!)*N(INDEX(F_MODUL,MATCH($C429,FA,0))))</f>
        <v>#REF!</v>
      </c>
      <c r="AH429" s="7" t="e">
        <f>N(#REF!)*N($I429)</f>
        <v>#REF!</v>
      </c>
      <c r="AI429" s="7" t="e">
        <f t="shared" si="126"/>
        <v>#REF!</v>
      </c>
      <c r="AJ429" s="7">
        <f t="shared" si="127"/>
        <v>0</v>
      </c>
    </row>
    <row r="430" spans="1:36" x14ac:dyDescent="0.25">
      <c r="A430" s="4" t="str">
        <f t="shared" si="121"/>
        <v>ЩСВ-7 (260922 akram aulet)</v>
      </c>
      <c r="B430" s="4" t="s">
        <v>111</v>
      </c>
      <c r="C430" s="4" t="s">
        <v>571</v>
      </c>
      <c r="D430" s="4" t="s">
        <v>572</v>
      </c>
      <c r="E430" s="4" t="s">
        <v>522</v>
      </c>
      <c r="F430" s="4" t="s">
        <v>486</v>
      </c>
      <c r="G430" s="4" t="s">
        <v>236</v>
      </c>
      <c r="H430" s="5" t="e">
        <f>#REF!</f>
        <v>#REF!</v>
      </c>
      <c r="I430" s="6" t="e">
        <f t="shared" si="122"/>
        <v>#REF!</v>
      </c>
      <c r="J430" s="6" t="s">
        <v>84</v>
      </c>
      <c r="K430" s="6" t="s">
        <v>111</v>
      </c>
      <c r="L430" s="7" t="e">
        <f t="shared" si="123"/>
        <v>#REF!</v>
      </c>
      <c r="M430" s="7" t="s">
        <v>112</v>
      </c>
      <c r="O430" s="7" t="str">
        <f>IF(OR($C430="",$C430="FID YOK"),"",IF(ISNUMBER(MATCH($C430,FA_ANA,0)),"",IF(COUNTIF($C$1:$C429,$C430)&gt;0,"",MAX($O$1:$O429)+1)))</f>
        <v/>
      </c>
      <c r="T430" s="7">
        <f>IF(ISNA(MATCH($C430,FA,0)),0,IF($J430="GIRIS",N(INDEX(F_INKOR,MATCH($C430,FA,0))),0))</f>
        <v>0</v>
      </c>
      <c r="Y430" s="7" t="e">
        <f>N(#REF!)*IF($E430="упак",MAX(1,IF(ISNA(MATCH($C430,FA,0)),1,N(INDEX(F_PAKET,MATCH($C430,FA,0))))),1)</f>
        <v>#REF!</v>
      </c>
      <c r="Z430" s="7" t="e">
        <f t="shared" si="124"/>
        <v>#REF!</v>
      </c>
      <c r="AA430" s="7">
        <f>IF(OR(ISNA(MATCH($C430,FA,0)),$J430="YEDEK",$J430="SARF"),0,N(#REF!)*N(INDEX(F_TEL,MATCH($C430,FA,0))))</f>
        <v>0</v>
      </c>
      <c r="AB430" s="7">
        <f>IF(OR(ISNA(MATCH($C430,FA,0)),$J430="YEDEK",$J430="SARF"),0,N(#REF!)*N(INDEX(F_TELM,MATCH($C430,FA,0))))</f>
        <v>0</v>
      </c>
      <c r="AC430" s="7" t="e">
        <f t="shared" si="125"/>
        <v>#REF!</v>
      </c>
      <c r="AD430" s="7">
        <f>IF(OR(ISNA(MATCH($C430,FA,0)),$J430&lt;&gt;"CIKIS"),0,N(INDEX(F_KK,MATCH($C430,FA,0))))</f>
        <v>0</v>
      </c>
      <c r="AE430" s="7">
        <f>IF($AD430=0,0,N(#REF!)*N(INDEX(F_KLN,MATCH($C430,FA,0))))</f>
        <v>0</v>
      </c>
      <c r="AF430" s="7">
        <f>IF($AD430=0,0,N(#REF!)*N(INDEX(F_KPE,MATCH($C430,FA,0))))</f>
        <v>0</v>
      </c>
      <c r="AG430" s="7" t="e">
        <f>IF(ISNA(MATCH($C430,FA,0)),0,N(#REF!)*N(INDEX(F_MODUL,MATCH($C430,FA,0))))</f>
        <v>#REF!</v>
      </c>
      <c r="AH430" s="7" t="e">
        <f>N(#REF!)*N($I430)</f>
        <v>#REF!</v>
      </c>
      <c r="AI430" s="7" t="e">
        <f t="shared" si="126"/>
        <v>#REF!</v>
      </c>
      <c r="AJ430" s="7">
        <f t="shared" si="127"/>
        <v>0</v>
      </c>
    </row>
    <row r="431" spans="1:36" x14ac:dyDescent="0.25">
      <c r="A431" s="4" t="str">
        <f t="shared" si="121"/>
        <v>ЩСВ-7 (260922 akram aulet)</v>
      </c>
      <c r="B431" s="4" t="s">
        <v>113</v>
      </c>
      <c r="C431" s="4" t="s">
        <v>113</v>
      </c>
      <c r="D431" s="4" t="s">
        <v>113</v>
      </c>
      <c r="E431" s="4" t="s">
        <v>114</v>
      </c>
      <c r="F431" s="4" t="s">
        <v>113</v>
      </c>
      <c r="G431" s="4" t="s">
        <v>236</v>
      </c>
      <c r="H431" s="5" t="e">
        <f>#REF!</f>
        <v>#REF!</v>
      </c>
      <c r="I431" s="6" t="e">
        <f t="shared" si="122"/>
        <v>#REF!</v>
      </c>
    </row>
    <row r="432" spans="1:36" x14ac:dyDescent="0.25">
      <c r="A432" s="4" t="str">
        <f t="shared" si="121"/>
        <v>ЩСВ-7 (260922 akram aulet)</v>
      </c>
      <c r="B432" s="4" t="s">
        <v>115</v>
      </c>
      <c r="C432" s="4" t="s">
        <v>115</v>
      </c>
      <c r="D432" s="4" t="s">
        <v>115</v>
      </c>
      <c r="E432" s="4" t="s">
        <v>116</v>
      </c>
      <c r="F432" s="4" t="s">
        <v>115</v>
      </c>
      <c r="G432" s="4" t="s">
        <v>236</v>
      </c>
      <c r="H432" s="5" t="e">
        <f>#REF!</f>
        <v>#REF!</v>
      </c>
      <c r="I432" s="6" t="e">
        <f t="shared" si="122"/>
        <v>#REF!</v>
      </c>
    </row>
    <row r="433" spans="1:36" x14ac:dyDescent="0.25">
      <c r="A433" s="1" t="str">
        <f>D433</f>
        <v>ЩС-7 (260922 akram aulet)</v>
      </c>
      <c r="B433" s="12"/>
      <c r="C433" s="2"/>
      <c r="D433" s="1" t="s">
        <v>254</v>
      </c>
      <c r="E433" s="1" t="s">
        <v>36</v>
      </c>
      <c r="F433" s="1" t="s">
        <v>37</v>
      </c>
      <c r="G433" s="1" t="s">
        <v>236</v>
      </c>
      <c r="I433" s="3" t="e">
        <f>#REF!</f>
        <v>#REF!</v>
      </c>
    </row>
    <row r="434" spans="1:36" x14ac:dyDescent="0.25">
      <c r="A434" s="4" t="str">
        <f t="shared" ref="A434:A447" si="128">A433</f>
        <v>ЩС-7 (260922 akram aulet)</v>
      </c>
      <c r="B434" s="4" t="s">
        <v>39</v>
      </c>
      <c r="C434" s="4" t="s">
        <v>502</v>
      </c>
      <c r="D434" s="4" t="s">
        <v>503</v>
      </c>
      <c r="E434" s="4" t="s">
        <v>114</v>
      </c>
      <c r="F434" s="4" t="s">
        <v>591</v>
      </c>
      <c r="G434" s="4" t="s">
        <v>236</v>
      </c>
      <c r="H434" s="5" t="e">
        <f>#REF!</f>
        <v>#REF!</v>
      </c>
      <c r="I434" s="6" t="e">
        <f t="shared" ref="I434:I447" si="129">I433</f>
        <v>#REF!</v>
      </c>
      <c r="J434" s="6" t="s">
        <v>40</v>
      </c>
      <c r="K434" s="6" t="s">
        <v>195</v>
      </c>
      <c r="L434" s="7" t="e">
        <f t="shared" ref="L434:L445" si="130">IF(ISNA(MATCH($C434,FA,0)),"ARTİKÜL YOK",INDEX(FIYAT_DURUM,MATCH($C434,FA,0)))</f>
        <v>#REF!</v>
      </c>
      <c r="M434" s="7" t="s">
        <v>249</v>
      </c>
      <c r="N434" s="7" t="s">
        <v>255</v>
      </c>
      <c r="O434" s="7">
        <f>IF(OR($C434="",$C434="FID YOK"),"",IF(ISNUMBER(MATCH($C434,FA_ANA,0)),"",IF(COUNTIF($C$1:$C433,$C434)&gt;0,"",MAX($O$1:$O433)+1)))</f>
        <v>84</v>
      </c>
      <c r="Q434" s="7"/>
      <c r="R434" s="7"/>
      <c r="S434" s="7"/>
      <c r="T434" s="7">
        <f>IF(ISNA(MATCH($C434,FA,0)),0,IF($J434="GIRIS",N(INDEX(F_INKOR,MATCH($C434,FA,0))),0))</f>
        <v>0</v>
      </c>
      <c r="U434" s="7"/>
      <c r="V434" s="7"/>
      <c r="W434" s="7"/>
      <c r="X434" s="7"/>
      <c r="Y434" s="7" t="e">
        <f>N(#REF!)*IF($E434="упак",MAX(1,IF(ISNA(MATCH($C434,FA,0)),1,N(INDEX(F_PAKET,MATCH($C434,FA,0))))),1)</f>
        <v>#REF!</v>
      </c>
      <c r="Z434" s="7" t="e">
        <f t="shared" ref="Z434:Z445" si="131">IF(ISNA(MATCH($C434,FA,0)),0,N(INDEX(F_BK,MATCH($C434,FA,0))))</f>
        <v>#REF!</v>
      </c>
      <c r="AA434" s="7" t="e">
        <f>IF(OR(ISNA(MATCH($C434,FA,0)),$J434="YEDEK",$J434="SARF"),0,N(#REF!)*N(INDEX(F_TEL,MATCH($C434,FA,0))))</f>
        <v>#REF!</v>
      </c>
      <c r="AB434" s="7" t="e">
        <f>IF(OR(ISNA(MATCH($C434,FA,0)),$J434="YEDEK",$J434="SARF"),0,N(#REF!)*N(INDEX(F_TELM,MATCH($C434,FA,0))))</f>
        <v>#REF!</v>
      </c>
      <c r="AC434" s="7" t="e">
        <f t="shared" ref="AC434:AC445" si="132">IF(ISNA(MATCH($C434,FA,0)),"",INDEX(F_UC,MATCH($C434,FA,0))&amp;"")</f>
        <v>#REF!</v>
      </c>
      <c r="AD434" s="7">
        <f>IF(OR(ISNA(MATCH($C434,FA,0)),$J434&lt;&gt;"CIKIS"),0,N(INDEX(F_KK,MATCH($C434,FA,0))))</f>
        <v>0</v>
      </c>
      <c r="AE434" s="7">
        <f>IF($AD434=0,0,N(#REF!)*N(INDEX(F_KLN,MATCH($C434,FA,0))))</f>
        <v>0</v>
      </c>
      <c r="AF434" s="7">
        <f>IF($AD434=0,0,N(#REF!)*N(INDEX(F_KPE,MATCH($C434,FA,0))))</f>
        <v>0</v>
      </c>
      <c r="AG434" s="7" t="e">
        <f>IF(ISNA(MATCH($C434,FA,0)),0,N(#REF!)*N(INDEX(F_MODUL,MATCH($C434,FA,0))))</f>
        <v>#REF!</v>
      </c>
      <c r="AH434" s="7" t="e">
        <f>N(#REF!)*N($I434)</f>
        <v>#REF!</v>
      </c>
      <c r="AI434" s="7" t="e">
        <f t="shared" ref="AI434:AI445" si="133">IF(ISNA(MATCH($K434,TIP_AD,0)),"YOK",IF(INDEX(NORM_DK,MATCH($K434,TIP_AD,0))="","BOŞ",INDEX(NORM_DK,MATCH($K434,TIP_AD,0))))</f>
        <v>#REF!</v>
      </c>
      <c r="AJ434" s="7">
        <f t="shared" ref="AJ434:AJ445" si="134">IF(ISNUMBER($AI434),$Y434*$AI434,0)</f>
        <v>0</v>
      </c>
    </row>
    <row r="435" spans="1:36" x14ac:dyDescent="0.25">
      <c r="A435" s="4" t="str">
        <f t="shared" si="128"/>
        <v>ЩС-7 (260922 akram aulet)</v>
      </c>
      <c r="B435" s="4" t="s">
        <v>198</v>
      </c>
      <c r="C435" s="4" t="s">
        <v>380</v>
      </c>
      <c r="D435" s="4" t="s">
        <v>381</v>
      </c>
      <c r="E435" s="4" t="s">
        <v>114</v>
      </c>
      <c r="F435" s="4" t="s">
        <v>377</v>
      </c>
      <c r="G435" s="4" t="s">
        <v>236</v>
      </c>
      <c r="H435" s="5" t="e">
        <f>#REF!</f>
        <v>#REF!</v>
      </c>
      <c r="I435" s="6" t="e">
        <f t="shared" si="129"/>
        <v>#REF!</v>
      </c>
      <c r="J435" s="6" t="s">
        <v>48</v>
      </c>
      <c r="K435" s="6" t="s">
        <v>198</v>
      </c>
      <c r="L435" s="7" t="e">
        <f t="shared" si="130"/>
        <v>#REF!</v>
      </c>
      <c r="M435" s="7" t="s">
        <v>256</v>
      </c>
      <c r="N435" s="7" t="s">
        <v>200</v>
      </c>
      <c r="O435" s="7" t="str">
        <f>IF(OR($C435="",$C435="FID YOK"),"",IF(ISNUMBER(MATCH($C435,FA_ANA,0)),"",IF(COUNTIF($C$1:$C434,$C435)&gt;0,"",MAX($O$1:$O434)+1)))</f>
        <v/>
      </c>
      <c r="P435" s="8">
        <v>1</v>
      </c>
      <c r="Q435" s="7" t="e">
        <f>IF(OR($P435="",$P435="G",ISNA(MATCH($C435,FA,0))),"",IF(N(INDEX(F_G,MATCH($C435,FA,0)))&gt;0,INDEX(F_G,MATCH($C435,FA,0)),IF(N(INDEX(F_MODUL,MATCH($C435,FA,0)))&gt;0,INDEX(F_MODUL,MATCH($C435,FA,0))*MODUL_MM,"")))</f>
        <v>#REF!</v>
      </c>
      <c r="R435" s="7" t="e">
        <f>IF(OR($P435="",$P435="G",ISNA(MATCH($C435,FA,0))),"",IF(N(INDEX(F_Y,MATCH($C435,FA,0)))&gt;0,INDEX(F_Y,MATCH($C435,FA,0)),""))</f>
        <v>#REF!</v>
      </c>
      <c r="S435" s="7" t="e">
        <f>IF(OR($P435="",$P435="G",ISNA(MATCH($C435,FA,0))),"",IF(N(INDEX(F_D,MATCH($C435,FA,0)))&gt;0,INDEX(F_D,MATCH($C435,FA,0)),""))</f>
        <v>#REF!</v>
      </c>
      <c r="T435" s="7" t="e">
        <f>IF(ISNA(MATCH($C435,FA,0)),0,IF($J435="GIRIS",N(INDEX(F_INKOR,MATCH($C435,FA,0))),0))</f>
        <v>#REF!</v>
      </c>
      <c r="U435" s="7" t="e">
        <f>IF(ISNA(MATCH($B435,TIP_AD,0)),"",INDEX(TIP_KAT,MATCH($B435,TIP_AD,0))&amp;"")</f>
        <v>#REF!</v>
      </c>
      <c r="V435" s="7" t="e">
        <f>IF(NOT(ISNUMBER($P435)),"",IF($Z435=0,0,IF(ISNA(MATCH($Z435,BUK_KESIT,0)),"",IF(INDEX(BUK_ALAN,MATCH($Z435,BUK_KESIT,0))&amp;""="","",INDEX(BUK_ALAN,MATCH($Z435,BUK_KESIT,0))))))</f>
        <v>#REF!</v>
      </c>
      <c r="W435" s="7" t="e">
        <f>IF(OR(NOT(ISNUMBER($P435)),$Q435=""),"",N(#REF!)*($Q435+IF(ISNA(MATCH($B435,TIP_AD,0)),0,N(INDEX(TIP_BOSLUK,MATCH($B435,TIP_AD,0))))))</f>
        <v>#REF!</v>
      </c>
      <c r="X435" s="7" t="e">
        <f>IF(ISNUMBER($P435),($Q435="")+($R435="")+($V435="")+IF(AND($U435="KONTAKTOR",NOT(ISNA(MATCH($B435,TIP_AD,0)))),IF(INDEX(TIP_BOSLUK,MATCH($B435,TIP_AD,0))&amp;""="",1,0),0),IF($P435="K",IF($S435="",1,0),0))</f>
        <v>#REF!</v>
      </c>
      <c r="Y435" s="7" t="e">
        <f>N(#REF!)*IF($E435="упак",MAX(1,IF(ISNA(MATCH($C435,FA,0)),1,N(INDEX(F_PAKET,MATCH($C435,FA,0))))),1)</f>
        <v>#REF!</v>
      </c>
      <c r="Z435" s="7" t="e">
        <f t="shared" si="131"/>
        <v>#REF!</v>
      </c>
      <c r="AA435" s="7" t="e">
        <f>IF(OR(ISNA(MATCH($C435,FA,0)),$J435="YEDEK",$J435="SARF"),0,N(#REF!)*N(INDEX(F_TEL,MATCH($C435,FA,0))))</f>
        <v>#REF!</v>
      </c>
      <c r="AB435" s="7" t="e">
        <f>IF(OR(ISNA(MATCH($C435,FA,0)),$J435="YEDEK",$J435="SARF"),0,N(#REF!)*N(INDEX(F_TELM,MATCH($C435,FA,0))))</f>
        <v>#REF!</v>
      </c>
      <c r="AC435" s="7" t="e">
        <f t="shared" si="132"/>
        <v>#REF!</v>
      </c>
      <c r="AD435" s="7">
        <f>IF(OR(ISNA(MATCH($C435,FA,0)),$J435&lt;&gt;"CIKIS"),0,N(INDEX(F_KK,MATCH($C435,FA,0))))</f>
        <v>0</v>
      </c>
      <c r="AE435" s="7">
        <f>IF($AD435=0,0,N(#REF!)*N(INDEX(F_KLN,MATCH($C435,FA,0))))</f>
        <v>0</v>
      </c>
      <c r="AF435" s="7">
        <f>IF($AD435=0,0,N(#REF!)*N(INDEX(F_KPE,MATCH($C435,FA,0))))</f>
        <v>0</v>
      </c>
      <c r="AG435" s="7" t="e">
        <f>IF(ISNA(MATCH($C435,FA,0)),0,N(#REF!)*N(INDEX(F_MODUL,MATCH($C435,FA,0))))</f>
        <v>#REF!</v>
      </c>
      <c r="AH435" s="7" t="e">
        <f>N(#REF!)*N($I435)</f>
        <v>#REF!</v>
      </c>
      <c r="AI435" s="7" t="e">
        <f t="shared" si="133"/>
        <v>#REF!</v>
      </c>
      <c r="AJ435" s="7">
        <f t="shared" si="134"/>
        <v>0</v>
      </c>
    </row>
    <row r="436" spans="1:36" x14ac:dyDescent="0.25">
      <c r="A436" s="4" t="str">
        <f t="shared" si="128"/>
        <v>ЩС-7 (260922 akram aulet)</v>
      </c>
      <c r="B436" s="4" t="s">
        <v>213</v>
      </c>
      <c r="C436" s="4" t="s">
        <v>410</v>
      </c>
      <c r="D436" s="4" t="s">
        <v>411</v>
      </c>
      <c r="E436" s="4" t="s">
        <v>114</v>
      </c>
      <c r="F436" s="4" t="s">
        <v>377</v>
      </c>
      <c r="G436" s="4" t="s">
        <v>236</v>
      </c>
      <c r="H436" s="5" t="e">
        <f>#REF!</f>
        <v>#REF!</v>
      </c>
      <c r="I436" s="6" t="e">
        <f t="shared" si="129"/>
        <v>#REF!</v>
      </c>
      <c r="J436" s="6" t="s">
        <v>52</v>
      </c>
      <c r="K436" s="6" t="s">
        <v>213</v>
      </c>
      <c r="L436" s="7" t="e">
        <f t="shared" si="130"/>
        <v>#REF!</v>
      </c>
      <c r="M436" s="7" t="s">
        <v>214</v>
      </c>
      <c r="N436" s="7" t="s">
        <v>215</v>
      </c>
      <c r="O436" s="7" t="str">
        <f>IF(OR($C436="",$C436="FID YOK"),"",IF(ISNUMBER(MATCH($C436,FA_ANA,0)),"",IF(COUNTIF($C$1:$C435,$C436)&gt;0,"",MAX($O$1:$O435)+1)))</f>
        <v/>
      </c>
      <c r="P436" s="8">
        <v>1</v>
      </c>
      <c r="Q436" s="7" t="e">
        <f>IF(OR($P436="",$P436="G",ISNA(MATCH($C436,FA,0))),"",IF(N(INDEX(F_G,MATCH($C436,FA,0)))&gt;0,INDEX(F_G,MATCH($C436,FA,0)),IF(N(INDEX(F_MODUL,MATCH($C436,FA,0)))&gt;0,INDEX(F_MODUL,MATCH($C436,FA,0))*MODUL_MM,"")))</f>
        <v>#REF!</v>
      </c>
      <c r="R436" s="7" t="e">
        <f>IF(OR($P436="",$P436="G",ISNA(MATCH($C436,FA,0))),"",IF(N(INDEX(F_Y,MATCH($C436,FA,0)))&gt;0,INDEX(F_Y,MATCH($C436,FA,0)),""))</f>
        <v>#REF!</v>
      </c>
      <c r="S436" s="7" t="e">
        <f>IF(OR($P436="",$P436="G",ISNA(MATCH($C436,FA,0))),"",IF(N(INDEX(F_D,MATCH($C436,FA,0)))&gt;0,INDEX(F_D,MATCH($C436,FA,0)),""))</f>
        <v>#REF!</v>
      </c>
      <c r="T436" s="7">
        <f>IF(ISNA(MATCH($C436,FA,0)),0,IF($J436="GIRIS",N(INDEX(F_INKOR,MATCH($C436,FA,0))),0))</f>
        <v>0</v>
      </c>
      <c r="U436" s="7" t="e">
        <f>IF(ISNA(MATCH($B436,TIP_AD,0)),"",INDEX(TIP_KAT,MATCH($B436,TIP_AD,0))&amp;"")</f>
        <v>#REF!</v>
      </c>
      <c r="V436" s="7" t="e">
        <f>IF(NOT(ISNUMBER($P436)),"",IF($Z436=0,0,IF(ISNA(MATCH($Z436,BUK_KESIT,0)),"",IF(INDEX(BUK_ALAN,MATCH($Z436,BUK_KESIT,0))&amp;""="","",INDEX(BUK_ALAN,MATCH($Z436,BUK_KESIT,0))))))</f>
        <v>#REF!</v>
      </c>
      <c r="W436" s="7" t="e">
        <f>IF(OR(NOT(ISNUMBER($P436)),$Q436=""),"",N(#REF!)*($Q436+IF(ISNA(MATCH($B436,TIP_AD,0)),0,N(INDEX(TIP_BOSLUK,MATCH($B436,TIP_AD,0))))))</f>
        <v>#REF!</v>
      </c>
      <c r="X436" s="7" t="e">
        <f>IF(ISNUMBER($P436),($Q436="")+($R436="")+($V436="")+IF(AND($U436="KONTAKTOR",NOT(ISNA(MATCH($B436,TIP_AD,0)))),IF(INDEX(TIP_BOSLUK,MATCH($B436,TIP_AD,0))&amp;""="",1,0),0),IF($P436="K",IF($S436="",1,0),0))</f>
        <v>#REF!</v>
      </c>
      <c r="Y436" s="7" t="e">
        <f>N(#REF!)*IF($E436="упак",MAX(1,IF(ISNA(MATCH($C436,FA,0)),1,N(INDEX(F_PAKET,MATCH($C436,FA,0))))),1)</f>
        <v>#REF!</v>
      </c>
      <c r="Z436" s="7" t="e">
        <f t="shared" si="131"/>
        <v>#REF!</v>
      </c>
      <c r="AA436" s="7" t="e">
        <f>IF(OR(ISNA(MATCH($C436,FA,0)),$J436="YEDEK",$J436="SARF"),0,N(#REF!)*N(INDEX(F_TEL,MATCH($C436,FA,0))))</f>
        <v>#REF!</v>
      </c>
      <c r="AB436" s="7" t="e">
        <f>IF(OR(ISNA(MATCH($C436,FA,0)),$J436="YEDEK",$J436="SARF"),0,N(#REF!)*N(INDEX(F_TELM,MATCH($C436,FA,0))))</f>
        <v>#REF!</v>
      </c>
      <c r="AC436" s="7" t="e">
        <f t="shared" si="132"/>
        <v>#REF!</v>
      </c>
      <c r="AD436" s="7" t="e">
        <f>IF(OR(ISNA(MATCH($C436,FA,0)),$J436&lt;&gt;"CIKIS"),0,N(INDEX(F_KK,MATCH($C436,FA,0))))</f>
        <v>#REF!</v>
      </c>
      <c r="AE436" s="7" t="e">
        <f>IF($AD436=0,0,N(#REF!)*N(INDEX(F_KLN,MATCH($C436,FA,0))))</f>
        <v>#REF!</v>
      </c>
      <c r="AF436" s="7" t="e">
        <f>IF($AD436=0,0,N(#REF!)*N(INDEX(F_KPE,MATCH($C436,FA,0))))</f>
        <v>#REF!</v>
      </c>
      <c r="AG436" s="7" t="e">
        <f>IF(ISNA(MATCH($C436,FA,0)),0,N(#REF!)*N(INDEX(F_MODUL,MATCH($C436,FA,0))))</f>
        <v>#REF!</v>
      </c>
      <c r="AH436" s="7" t="e">
        <f>N(#REF!)*N($I436)</f>
        <v>#REF!</v>
      </c>
      <c r="AI436" s="7" t="e">
        <f t="shared" si="133"/>
        <v>#REF!</v>
      </c>
      <c r="AJ436" s="7">
        <f t="shared" si="134"/>
        <v>0</v>
      </c>
    </row>
    <row r="437" spans="1:36" x14ac:dyDescent="0.25">
      <c r="A437" s="4" t="str">
        <f t="shared" si="128"/>
        <v>ЩС-7 (260922 akram aulet)</v>
      </c>
      <c r="B437" s="4" t="s">
        <v>202</v>
      </c>
      <c r="C437" s="4" t="s">
        <v>575</v>
      </c>
      <c r="D437" s="4" t="s">
        <v>576</v>
      </c>
      <c r="E437" s="4" t="s">
        <v>114</v>
      </c>
      <c r="F437" s="4" t="s">
        <v>486</v>
      </c>
      <c r="G437" s="4" t="s">
        <v>236</v>
      </c>
      <c r="H437" s="5" t="e">
        <f>#REF!</f>
        <v>#REF!</v>
      </c>
      <c r="I437" s="6" t="e">
        <f t="shared" si="129"/>
        <v>#REF!</v>
      </c>
      <c r="J437" s="6" t="s">
        <v>84</v>
      </c>
      <c r="K437" s="6" t="s">
        <v>202</v>
      </c>
      <c r="L437" s="7" t="e">
        <f t="shared" si="130"/>
        <v>#REF!</v>
      </c>
      <c r="M437" s="7" t="s">
        <v>203</v>
      </c>
      <c r="O437" s="7" t="str">
        <f>IF(OR($C437="",$C437="FID YOK"),"",IF(ISNUMBER(MATCH($C437,FA_ANA,0)),"",IF(COUNTIF($C$1:$C436,$C437)&gt;0,"",MAX($O$1:$O436)+1)))</f>
        <v/>
      </c>
      <c r="T437" s="7">
        <f>IF(ISNA(MATCH($C437,FA,0)),0,IF($J437="GIRIS",N(INDEX(F_INKOR,MATCH($C437,FA,0))),0))</f>
        <v>0</v>
      </c>
      <c r="Y437" s="7" t="e">
        <f>N(#REF!)*IF($E437="упак",MAX(1,IF(ISNA(MATCH($C437,FA,0)),1,N(INDEX(F_PAKET,MATCH($C437,FA,0))))),1)</f>
        <v>#REF!</v>
      </c>
      <c r="Z437" s="7" t="e">
        <f t="shared" si="131"/>
        <v>#REF!</v>
      </c>
      <c r="AA437" s="7">
        <f>IF(OR(ISNA(MATCH($C437,FA,0)),$J437="YEDEK",$J437="SARF"),0,N(#REF!)*N(INDEX(F_TEL,MATCH($C437,FA,0))))</f>
        <v>0</v>
      </c>
      <c r="AB437" s="7">
        <f>IF(OR(ISNA(MATCH($C437,FA,0)),$J437="YEDEK",$J437="SARF"),0,N(#REF!)*N(INDEX(F_TELM,MATCH($C437,FA,0))))</f>
        <v>0</v>
      </c>
      <c r="AC437" s="7" t="e">
        <f t="shared" si="132"/>
        <v>#REF!</v>
      </c>
      <c r="AD437" s="7">
        <f>IF(OR(ISNA(MATCH($C437,FA,0)),$J437&lt;&gt;"CIKIS"),0,N(INDEX(F_KK,MATCH($C437,FA,0))))</f>
        <v>0</v>
      </c>
      <c r="AE437" s="7">
        <f>IF($AD437=0,0,N(#REF!)*N(INDEX(F_KLN,MATCH($C437,FA,0))))</f>
        <v>0</v>
      </c>
      <c r="AF437" s="7">
        <f>IF($AD437=0,0,N(#REF!)*N(INDEX(F_KPE,MATCH($C437,FA,0))))</f>
        <v>0</v>
      </c>
      <c r="AG437" s="7" t="e">
        <f>IF(ISNA(MATCH($C437,FA,0)),0,N(#REF!)*N(INDEX(F_MODUL,MATCH($C437,FA,0))))</f>
        <v>#REF!</v>
      </c>
      <c r="AH437" s="7" t="e">
        <f>N(#REF!)*N($I437)</f>
        <v>#REF!</v>
      </c>
      <c r="AI437" s="7" t="e">
        <f t="shared" si="133"/>
        <v>#REF!</v>
      </c>
      <c r="AJ437" s="7">
        <f t="shared" si="134"/>
        <v>0</v>
      </c>
    </row>
    <row r="438" spans="1:36" x14ac:dyDescent="0.25">
      <c r="A438" s="4" t="str">
        <f t="shared" si="128"/>
        <v>ЩС-7 (260922 akram aulet)</v>
      </c>
      <c r="B438" s="4" t="s">
        <v>202</v>
      </c>
      <c r="C438" s="4" t="s">
        <v>577</v>
      </c>
      <c r="D438" s="4" t="s">
        <v>578</v>
      </c>
      <c r="E438" s="4" t="s">
        <v>114</v>
      </c>
      <c r="F438" s="4" t="s">
        <v>486</v>
      </c>
      <c r="G438" s="4" t="s">
        <v>236</v>
      </c>
      <c r="H438" s="5" t="e">
        <f>#REF!</f>
        <v>#REF!</v>
      </c>
      <c r="I438" s="6" t="e">
        <f t="shared" si="129"/>
        <v>#REF!</v>
      </c>
      <c r="J438" s="6" t="s">
        <v>84</v>
      </c>
      <c r="K438" s="6" t="s">
        <v>202</v>
      </c>
      <c r="L438" s="7" t="e">
        <f t="shared" si="130"/>
        <v>#REF!</v>
      </c>
      <c r="M438" s="7" t="s">
        <v>204</v>
      </c>
      <c r="O438" s="7" t="str">
        <f>IF(OR($C438="",$C438="FID YOK"),"",IF(ISNUMBER(MATCH($C438,FA_ANA,0)),"",IF(COUNTIF($C$1:$C437,$C438)&gt;0,"",MAX($O$1:$O437)+1)))</f>
        <v/>
      </c>
      <c r="T438" s="7">
        <f>IF(ISNA(MATCH($C438,FA,0)),0,IF($J438="GIRIS",N(INDEX(F_INKOR,MATCH($C438,FA,0))),0))</f>
        <v>0</v>
      </c>
      <c r="Y438" s="7" t="e">
        <f>N(#REF!)*IF($E438="упак",MAX(1,IF(ISNA(MATCH($C438,FA,0)),1,N(INDEX(F_PAKET,MATCH($C438,FA,0))))),1)</f>
        <v>#REF!</v>
      </c>
      <c r="Z438" s="7" t="e">
        <f t="shared" si="131"/>
        <v>#REF!</v>
      </c>
      <c r="AA438" s="7">
        <f>IF(OR(ISNA(MATCH($C438,FA,0)),$J438="YEDEK",$J438="SARF"),0,N(#REF!)*N(INDEX(F_TEL,MATCH($C438,FA,0))))</f>
        <v>0</v>
      </c>
      <c r="AB438" s="7">
        <f>IF(OR(ISNA(MATCH($C438,FA,0)),$J438="YEDEK",$J438="SARF"),0,N(#REF!)*N(INDEX(F_TELM,MATCH($C438,FA,0))))</f>
        <v>0</v>
      </c>
      <c r="AC438" s="7" t="e">
        <f t="shared" si="132"/>
        <v>#REF!</v>
      </c>
      <c r="AD438" s="7">
        <f>IF(OR(ISNA(MATCH($C438,FA,0)),$J438&lt;&gt;"CIKIS"),0,N(INDEX(F_KK,MATCH($C438,FA,0))))</f>
        <v>0</v>
      </c>
      <c r="AE438" s="7">
        <f>IF($AD438=0,0,N(#REF!)*N(INDEX(F_KLN,MATCH($C438,FA,0))))</f>
        <v>0</v>
      </c>
      <c r="AF438" s="7">
        <f>IF($AD438=0,0,N(#REF!)*N(INDEX(F_KPE,MATCH($C438,FA,0))))</f>
        <v>0</v>
      </c>
      <c r="AG438" s="7" t="e">
        <f>IF(ISNA(MATCH($C438,FA,0)),0,N(#REF!)*N(INDEX(F_MODUL,MATCH($C438,FA,0))))</f>
        <v>#REF!</v>
      </c>
      <c r="AH438" s="7" t="e">
        <f>N(#REF!)*N($I438)</f>
        <v>#REF!</v>
      </c>
      <c r="AI438" s="7" t="e">
        <f t="shared" si="133"/>
        <v>#REF!</v>
      </c>
      <c r="AJ438" s="7">
        <f t="shared" si="134"/>
        <v>0</v>
      </c>
    </row>
    <row r="439" spans="1:36" x14ac:dyDescent="0.25">
      <c r="A439" s="4" t="str">
        <f t="shared" si="128"/>
        <v>ЩС-7 (260922 akram aulet)</v>
      </c>
      <c r="B439" s="4" t="s">
        <v>92</v>
      </c>
      <c r="C439" s="4" t="s">
        <v>527</v>
      </c>
      <c r="D439" s="4" t="s">
        <v>528</v>
      </c>
      <c r="E439" s="4" t="s">
        <v>520</v>
      </c>
      <c r="F439" s="4" t="s">
        <v>521</v>
      </c>
      <c r="G439" s="4" t="s">
        <v>236</v>
      </c>
      <c r="H439" s="5" t="e">
        <f>#REF!</f>
        <v>#REF!</v>
      </c>
      <c r="I439" s="6" t="e">
        <f t="shared" si="129"/>
        <v>#REF!</v>
      </c>
      <c r="J439" s="6" t="s">
        <v>84</v>
      </c>
      <c r="K439" s="6" t="s">
        <v>92</v>
      </c>
      <c r="L439" s="7" t="e">
        <f t="shared" si="130"/>
        <v>#REF!</v>
      </c>
      <c r="M439" s="7" t="s">
        <v>94</v>
      </c>
      <c r="O439" s="7" t="str">
        <f>IF(OR($C439="",$C439="FID YOK"),"",IF(ISNUMBER(MATCH($C439,FA_ANA,0)),"",IF(COUNTIF($C$1:$C438,$C439)&gt;0,"",MAX($O$1:$O438)+1)))</f>
        <v/>
      </c>
      <c r="T439" s="7">
        <f>IF(ISNA(MATCH($C439,FA,0)),0,IF($J439="GIRIS",N(INDEX(F_INKOR,MATCH($C439,FA,0))),0))</f>
        <v>0</v>
      </c>
      <c r="Y439" s="7" t="e">
        <f>N(#REF!)*IF($E439="упак",MAX(1,IF(ISNA(MATCH($C439,FA,0)),1,N(INDEX(F_PAKET,MATCH($C439,FA,0))))),1)</f>
        <v>#REF!</v>
      </c>
      <c r="Z439" s="7" t="e">
        <f t="shared" si="131"/>
        <v>#REF!</v>
      </c>
      <c r="AA439" s="7">
        <f>IF(OR(ISNA(MATCH($C439,FA,0)),$J439="YEDEK",$J439="SARF"),0,N(#REF!)*N(INDEX(F_TEL,MATCH($C439,FA,0))))</f>
        <v>0</v>
      </c>
      <c r="AB439" s="7">
        <f>IF(OR(ISNA(MATCH($C439,FA,0)),$J439="YEDEK",$J439="SARF"),0,N(#REF!)*N(INDEX(F_TELM,MATCH($C439,FA,0))))</f>
        <v>0</v>
      </c>
      <c r="AC439" s="7" t="e">
        <f t="shared" si="132"/>
        <v>#REF!</v>
      </c>
      <c r="AD439" s="7">
        <f>IF(OR(ISNA(MATCH($C439,FA,0)),$J439&lt;&gt;"CIKIS"),0,N(INDEX(F_KK,MATCH($C439,FA,0))))</f>
        <v>0</v>
      </c>
      <c r="AE439" s="7">
        <f>IF($AD439=0,0,N(#REF!)*N(INDEX(F_KLN,MATCH($C439,FA,0))))</f>
        <v>0</v>
      </c>
      <c r="AF439" s="7">
        <f>IF($AD439=0,0,N(#REF!)*N(INDEX(F_KPE,MATCH($C439,FA,0))))</f>
        <v>0</v>
      </c>
      <c r="AG439" s="7" t="e">
        <f>IF(ISNA(MATCH($C439,FA,0)),0,N(#REF!)*N(INDEX(F_MODUL,MATCH($C439,FA,0))))</f>
        <v>#REF!</v>
      </c>
      <c r="AH439" s="7" t="e">
        <f>N(#REF!)*N($I439)</f>
        <v>#REF!</v>
      </c>
      <c r="AI439" s="7" t="e">
        <f t="shared" si="133"/>
        <v>#REF!</v>
      </c>
      <c r="AJ439" s="7">
        <f t="shared" si="134"/>
        <v>0</v>
      </c>
    </row>
    <row r="440" spans="1:36" x14ac:dyDescent="0.25">
      <c r="A440" s="4" t="str">
        <f t="shared" si="128"/>
        <v>ЩС-7 (260922 akram aulet)</v>
      </c>
      <c r="B440" s="4" t="s">
        <v>92</v>
      </c>
      <c r="C440" s="4" t="s">
        <v>535</v>
      </c>
      <c r="D440" s="4" t="s">
        <v>536</v>
      </c>
      <c r="E440" s="4" t="s">
        <v>520</v>
      </c>
      <c r="F440" s="4" t="s">
        <v>521</v>
      </c>
      <c r="G440" s="4" t="s">
        <v>236</v>
      </c>
      <c r="H440" s="5" t="e">
        <f>#REF!</f>
        <v>#REF!</v>
      </c>
      <c r="I440" s="6" t="e">
        <f t="shared" si="129"/>
        <v>#REF!</v>
      </c>
      <c r="J440" s="6" t="s">
        <v>84</v>
      </c>
      <c r="K440" s="6" t="s">
        <v>92</v>
      </c>
      <c r="L440" s="7" t="e">
        <f t="shared" si="130"/>
        <v>#REF!</v>
      </c>
      <c r="M440" s="7" t="s">
        <v>130</v>
      </c>
      <c r="O440" s="7" t="str">
        <f>IF(OR($C440="",$C440="FID YOK"),"",IF(ISNUMBER(MATCH($C440,FA_ANA,0)),"",IF(COUNTIF($C$1:$C439,$C440)&gt;0,"",MAX($O$1:$O439)+1)))</f>
        <v/>
      </c>
      <c r="T440" s="7">
        <f>IF(ISNA(MATCH($C440,FA,0)),0,IF($J440="GIRIS",N(INDEX(F_INKOR,MATCH($C440,FA,0))),0))</f>
        <v>0</v>
      </c>
      <c r="Y440" s="7" t="e">
        <f>N(#REF!)*IF($E440="упак",MAX(1,IF(ISNA(MATCH($C440,FA,0)),1,N(INDEX(F_PAKET,MATCH($C440,FA,0))))),1)</f>
        <v>#REF!</v>
      </c>
      <c r="Z440" s="7" t="e">
        <f t="shared" si="131"/>
        <v>#REF!</v>
      </c>
      <c r="AA440" s="7">
        <f>IF(OR(ISNA(MATCH($C440,FA,0)),$J440="YEDEK",$J440="SARF"),0,N(#REF!)*N(INDEX(F_TEL,MATCH($C440,FA,0))))</f>
        <v>0</v>
      </c>
      <c r="AB440" s="7">
        <f>IF(OR(ISNA(MATCH($C440,FA,0)),$J440="YEDEK",$J440="SARF"),0,N(#REF!)*N(INDEX(F_TELM,MATCH($C440,FA,0))))</f>
        <v>0</v>
      </c>
      <c r="AC440" s="7" t="e">
        <f t="shared" si="132"/>
        <v>#REF!</v>
      </c>
      <c r="AD440" s="7">
        <f>IF(OR(ISNA(MATCH($C440,FA,0)),$J440&lt;&gt;"CIKIS"),0,N(INDEX(F_KK,MATCH($C440,FA,0))))</f>
        <v>0</v>
      </c>
      <c r="AE440" s="7">
        <f>IF($AD440=0,0,N(#REF!)*N(INDEX(F_KLN,MATCH($C440,FA,0))))</f>
        <v>0</v>
      </c>
      <c r="AF440" s="7">
        <f>IF($AD440=0,0,N(#REF!)*N(INDEX(F_KPE,MATCH($C440,FA,0))))</f>
        <v>0</v>
      </c>
      <c r="AG440" s="7" t="e">
        <f>IF(ISNA(MATCH($C440,FA,0)),0,N(#REF!)*N(INDEX(F_MODUL,MATCH($C440,FA,0))))</f>
        <v>#REF!</v>
      </c>
      <c r="AH440" s="7" t="e">
        <f>N(#REF!)*N($I440)</f>
        <v>#REF!</v>
      </c>
      <c r="AI440" s="7" t="e">
        <f t="shared" si="133"/>
        <v>#REF!</v>
      </c>
      <c r="AJ440" s="7">
        <f t="shared" si="134"/>
        <v>0</v>
      </c>
    </row>
    <row r="441" spans="1:36" x14ac:dyDescent="0.25">
      <c r="A441" s="4" t="str">
        <f t="shared" si="128"/>
        <v>ЩС-7 (260922 akram aulet)</v>
      </c>
      <c r="B441" s="4" t="s">
        <v>92</v>
      </c>
      <c r="C441" s="4" t="s">
        <v>535</v>
      </c>
      <c r="D441" s="4" t="s">
        <v>536</v>
      </c>
      <c r="E441" s="4" t="s">
        <v>520</v>
      </c>
      <c r="F441" s="4" t="s">
        <v>521</v>
      </c>
      <c r="G441" s="4" t="s">
        <v>236</v>
      </c>
      <c r="H441" s="5" t="e">
        <f>#REF!</f>
        <v>#REF!</v>
      </c>
      <c r="I441" s="6" t="e">
        <f t="shared" si="129"/>
        <v>#REF!</v>
      </c>
      <c r="J441" s="6" t="s">
        <v>84</v>
      </c>
      <c r="K441" s="6" t="s">
        <v>92</v>
      </c>
      <c r="L441" s="7" t="e">
        <f t="shared" si="130"/>
        <v>#REF!</v>
      </c>
      <c r="M441" s="7" t="s">
        <v>100</v>
      </c>
      <c r="O441" s="7" t="str">
        <f>IF(OR($C441="",$C441="FID YOK"),"",IF(ISNUMBER(MATCH($C441,FA_ANA,0)),"",IF(COUNTIF($C$1:$C440,$C441)&gt;0,"",MAX($O$1:$O440)+1)))</f>
        <v/>
      </c>
      <c r="T441" s="7">
        <f>IF(ISNA(MATCH($C441,FA,0)),0,IF($J441="GIRIS",N(INDEX(F_INKOR,MATCH($C441,FA,0))),0))</f>
        <v>0</v>
      </c>
      <c r="Y441" s="7" t="e">
        <f>N(#REF!)*IF($E441="упак",MAX(1,IF(ISNA(MATCH($C441,FA,0)),1,N(INDEX(F_PAKET,MATCH($C441,FA,0))))),1)</f>
        <v>#REF!</v>
      </c>
      <c r="Z441" s="7" t="e">
        <f t="shared" si="131"/>
        <v>#REF!</v>
      </c>
      <c r="AA441" s="7">
        <f>IF(OR(ISNA(MATCH($C441,FA,0)),$J441="YEDEK",$J441="SARF"),0,N(#REF!)*N(INDEX(F_TEL,MATCH($C441,FA,0))))</f>
        <v>0</v>
      </c>
      <c r="AB441" s="7">
        <f>IF(OR(ISNA(MATCH($C441,FA,0)),$J441="YEDEK",$J441="SARF"),0,N(#REF!)*N(INDEX(F_TELM,MATCH($C441,FA,0))))</f>
        <v>0</v>
      </c>
      <c r="AC441" s="7" t="e">
        <f t="shared" si="132"/>
        <v>#REF!</v>
      </c>
      <c r="AD441" s="7">
        <f>IF(OR(ISNA(MATCH($C441,FA,0)),$J441&lt;&gt;"CIKIS"),0,N(INDEX(F_KK,MATCH($C441,FA,0))))</f>
        <v>0</v>
      </c>
      <c r="AE441" s="7">
        <f>IF($AD441=0,0,N(#REF!)*N(INDEX(F_KLN,MATCH($C441,FA,0))))</f>
        <v>0</v>
      </c>
      <c r="AF441" s="7">
        <f>IF($AD441=0,0,N(#REF!)*N(INDEX(F_KPE,MATCH($C441,FA,0))))</f>
        <v>0</v>
      </c>
      <c r="AG441" s="7" t="e">
        <f>IF(ISNA(MATCH($C441,FA,0)),0,N(#REF!)*N(INDEX(F_MODUL,MATCH($C441,FA,0))))</f>
        <v>#REF!</v>
      </c>
      <c r="AH441" s="7" t="e">
        <f>N(#REF!)*N($I441)</f>
        <v>#REF!</v>
      </c>
      <c r="AI441" s="7" t="e">
        <f t="shared" si="133"/>
        <v>#REF!</v>
      </c>
      <c r="AJ441" s="7">
        <f t="shared" si="134"/>
        <v>0</v>
      </c>
    </row>
    <row r="442" spans="1:36" x14ac:dyDescent="0.25">
      <c r="A442" s="4" t="str">
        <f t="shared" si="128"/>
        <v>ЩС-7 (260922 akram aulet)</v>
      </c>
      <c r="B442" s="4" t="s">
        <v>101</v>
      </c>
      <c r="C442" s="4" t="s">
        <v>529</v>
      </c>
      <c r="D442" s="4" t="s">
        <v>530</v>
      </c>
      <c r="E442" s="4" t="s">
        <v>522</v>
      </c>
      <c r="F442" s="4" t="s">
        <v>486</v>
      </c>
      <c r="G442" s="4" t="s">
        <v>236</v>
      </c>
      <c r="H442" s="5" t="e">
        <f>#REF!</f>
        <v>#REF!</v>
      </c>
      <c r="I442" s="6" t="e">
        <f t="shared" si="129"/>
        <v>#REF!</v>
      </c>
      <c r="J442" s="6" t="s">
        <v>84</v>
      </c>
      <c r="K442" s="6" t="s">
        <v>101</v>
      </c>
      <c r="L442" s="7" t="e">
        <f t="shared" si="130"/>
        <v>#REF!</v>
      </c>
      <c r="M442" s="7" t="s">
        <v>103</v>
      </c>
      <c r="O442" s="7" t="str">
        <f>IF(OR($C442="",$C442="FID YOK"),"",IF(ISNUMBER(MATCH($C442,FA_ANA,0)),"",IF(COUNTIF($C$1:$C441,$C442)&gt;0,"",MAX($O$1:$O441)+1)))</f>
        <v/>
      </c>
      <c r="T442" s="7">
        <f>IF(ISNA(MATCH($C442,FA,0)),0,IF($J442="GIRIS",N(INDEX(F_INKOR,MATCH($C442,FA,0))),0))</f>
        <v>0</v>
      </c>
      <c r="Y442" s="7" t="e">
        <f>N(#REF!)*IF($E442="упак",MAX(1,IF(ISNA(MATCH($C442,FA,0)),1,N(INDEX(F_PAKET,MATCH($C442,FA,0))))),1)</f>
        <v>#REF!</v>
      </c>
      <c r="Z442" s="7" t="e">
        <f t="shared" si="131"/>
        <v>#REF!</v>
      </c>
      <c r="AA442" s="7">
        <f>IF(OR(ISNA(MATCH($C442,FA,0)),$J442="YEDEK",$J442="SARF"),0,N(#REF!)*N(INDEX(F_TEL,MATCH($C442,FA,0))))</f>
        <v>0</v>
      </c>
      <c r="AB442" s="7">
        <f>IF(OR(ISNA(MATCH($C442,FA,0)),$J442="YEDEK",$J442="SARF"),0,N(#REF!)*N(INDEX(F_TELM,MATCH($C442,FA,0))))</f>
        <v>0</v>
      </c>
      <c r="AC442" s="7" t="e">
        <f t="shared" si="132"/>
        <v>#REF!</v>
      </c>
      <c r="AD442" s="7">
        <f>IF(OR(ISNA(MATCH($C442,FA,0)),$J442&lt;&gt;"CIKIS"),0,N(INDEX(F_KK,MATCH($C442,FA,0))))</f>
        <v>0</v>
      </c>
      <c r="AE442" s="7">
        <f>IF($AD442=0,0,N(#REF!)*N(INDEX(F_KLN,MATCH($C442,FA,0))))</f>
        <v>0</v>
      </c>
      <c r="AF442" s="7">
        <f>IF($AD442=0,0,N(#REF!)*N(INDEX(F_KPE,MATCH($C442,FA,0))))</f>
        <v>0</v>
      </c>
      <c r="AG442" s="7" t="e">
        <f>IF(ISNA(MATCH($C442,FA,0)),0,N(#REF!)*N(INDEX(F_MODUL,MATCH($C442,FA,0))))</f>
        <v>#REF!</v>
      </c>
      <c r="AH442" s="7" t="e">
        <f>N(#REF!)*N($I442)</f>
        <v>#REF!</v>
      </c>
      <c r="AI442" s="7" t="e">
        <f t="shared" si="133"/>
        <v>#REF!</v>
      </c>
      <c r="AJ442" s="7">
        <f t="shared" si="134"/>
        <v>0</v>
      </c>
    </row>
    <row r="443" spans="1:36" x14ac:dyDescent="0.25">
      <c r="A443" s="4" t="str">
        <f t="shared" si="128"/>
        <v>ЩС-7 (260922 akram aulet)</v>
      </c>
      <c r="B443" s="4" t="s">
        <v>101</v>
      </c>
      <c r="C443" s="4" t="s">
        <v>537</v>
      </c>
      <c r="D443" s="4" t="s">
        <v>538</v>
      </c>
      <c r="E443" s="4" t="s">
        <v>522</v>
      </c>
      <c r="F443" s="4" t="s">
        <v>486</v>
      </c>
      <c r="G443" s="4" t="s">
        <v>236</v>
      </c>
      <c r="H443" s="5" t="e">
        <f>#REF!</f>
        <v>#REF!</v>
      </c>
      <c r="I443" s="6" t="e">
        <f t="shared" si="129"/>
        <v>#REF!</v>
      </c>
      <c r="J443" s="6" t="s">
        <v>84</v>
      </c>
      <c r="K443" s="6" t="s">
        <v>101</v>
      </c>
      <c r="L443" s="7" t="e">
        <f t="shared" si="130"/>
        <v>#REF!</v>
      </c>
      <c r="M443" s="7" t="s">
        <v>205</v>
      </c>
      <c r="O443" s="7" t="str">
        <f>IF(OR($C443="",$C443="FID YOK"),"",IF(ISNUMBER(MATCH($C443,FA_ANA,0)),"",IF(COUNTIF($C$1:$C442,$C443)&gt;0,"",MAX($O$1:$O442)+1)))</f>
        <v/>
      </c>
      <c r="T443" s="7">
        <f>IF(ISNA(MATCH($C443,FA,0)),0,IF($J443="GIRIS",N(INDEX(F_INKOR,MATCH($C443,FA,0))),0))</f>
        <v>0</v>
      </c>
      <c r="Y443" s="7" t="e">
        <f>N(#REF!)*IF($E443="упак",MAX(1,IF(ISNA(MATCH($C443,FA,0)),1,N(INDEX(F_PAKET,MATCH($C443,FA,0))))),1)</f>
        <v>#REF!</v>
      </c>
      <c r="Z443" s="7" t="e">
        <f t="shared" si="131"/>
        <v>#REF!</v>
      </c>
      <c r="AA443" s="7">
        <f>IF(OR(ISNA(MATCH($C443,FA,0)),$J443="YEDEK",$J443="SARF"),0,N(#REF!)*N(INDEX(F_TEL,MATCH($C443,FA,0))))</f>
        <v>0</v>
      </c>
      <c r="AB443" s="7">
        <f>IF(OR(ISNA(MATCH($C443,FA,0)),$J443="YEDEK",$J443="SARF"),0,N(#REF!)*N(INDEX(F_TELM,MATCH($C443,FA,0))))</f>
        <v>0</v>
      </c>
      <c r="AC443" s="7" t="e">
        <f t="shared" si="132"/>
        <v>#REF!</v>
      </c>
      <c r="AD443" s="7">
        <f>IF(OR(ISNA(MATCH($C443,FA,0)),$J443&lt;&gt;"CIKIS"),0,N(INDEX(F_KK,MATCH($C443,FA,0))))</f>
        <v>0</v>
      </c>
      <c r="AE443" s="7">
        <f>IF($AD443=0,0,N(#REF!)*N(INDEX(F_KLN,MATCH($C443,FA,0))))</f>
        <v>0</v>
      </c>
      <c r="AF443" s="7">
        <f>IF($AD443=0,0,N(#REF!)*N(INDEX(F_KPE,MATCH($C443,FA,0))))</f>
        <v>0</v>
      </c>
      <c r="AG443" s="7" t="e">
        <f>IF(ISNA(MATCH($C443,FA,0)),0,N(#REF!)*N(INDEX(F_MODUL,MATCH($C443,FA,0))))</f>
        <v>#REF!</v>
      </c>
      <c r="AH443" s="7" t="e">
        <f>N(#REF!)*N($I443)</f>
        <v>#REF!</v>
      </c>
      <c r="AI443" s="7" t="e">
        <f t="shared" si="133"/>
        <v>#REF!</v>
      </c>
      <c r="AJ443" s="7">
        <f t="shared" si="134"/>
        <v>0</v>
      </c>
    </row>
    <row r="444" spans="1:36" x14ac:dyDescent="0.25">
      <c r="A444" s="4" t="str">
        <f t="shared" si="128"/>
        <v>ЩС-7 (260922 akram aulet)</v>
      </c>
      <c r="B444" s="4" t="s">
        <v>105</v>
      </c>
      <c r="C444" s="4" t="s">
        <v>539</v>
      </c>
      <c r="D444" s="4" t="s">
        <v>540</v>
      </c>
      <c r="E444" s="4" t="s">
        <v>114</v>
      </c>
      <c r="F444" s="4" t="s">
        <v>486</v>
      </c>
      <c r="G444" s="4" t="s">
        <v>236</v>
      </c>
      <c r="H444" s="5" t="e">
        <f>#REF!</f>
        <v>#REF!</v>
      </c>
      <c r="I444" s="6" t="e">
        <f t="shared" si="129"/>
        <v>#REF!</v>
      </c>
      <c r="J444" s="6" t="s">
        <v>84</v>
      </c>
      <c r="K444" s="6" t="s">
        <v>105</v>
      </c>
      <c r="L444" s="7" t="e">
        <f t="shared" si="130"/>
        <v>#REF!</v>
      </c>
      <c r="M444" s="7" t="s">
        <v>110</v>
      </c>
      <c r="O444" s="7" t="str">
        <f>IF(OR($C444="",$C444="FID YOK"),"",IF(ISNUMBER(MATCH($C444,FA_ANA,0)),"",IF(COUNTIF($C$1:$C443,$C444)&gt;0,"",MAX($O$1:$O443)+1)))</f>
        <v/>
      </c>
      <c r="T444" s="7">
        <f>IF(ISNA(MATCH($C444,FA,0)),0,IF($J444="GIRIS",N(INDEX(F_INKOR,MATCH($C444,FA,0))),0))</f>
        <v>0</v>
      </c>
      <c r="Y444" s="7" t="e">
        <f>N(#REF!)*IF($E444="упак",MAX(1,IF(ISNA(MATCH($C444,FA,0)),1,N(INDEX(F_PAKET,MATCH($C444,FA,0))))),1)</f>
        <v>#REF!</v>
      </c>
      <c r="Z444" s="7" t="e">
        <f t="shared" si="131"/>
        <v>#REF!</v>
      </c>
      <c r="AA444" s="7">
        <f>IF(OR(ISNA(MATCH($C444,FA,0)),$J444="YEDEK",$J444="SARF"),0,N(#REF!)*N(INDEX(F_TEL,MATCH($C444,FA,0))))</f>
        <v>0</v>
      </c>
      <c r="AB444" s="7">
        <f>IF(OR(ISNA(MATCH($C444,FA,0)),$J444="YEDEK",$J444="SARF"),0,N(#REF!)*N(INDEX(F_TELM,MATCH($C444,FA,0))))</f>
        <v>0</v>
      </c>
      <c r="AC444" s="7" t="e">
        <f t="shared" si="132"/>
        <v>#REF!</v>
      </c>
      <c r="AD444" s="7">
        <f>IF(OR(ISNA(MATCH($C444,FA,0)),$J444&lt;&gt;"CIKIS"),0,N(INDEX(F_KK,MATCH($C444,FA,0))))</f>
        <v>0</v>
      </c>
      <c r="AE444" s="7">
        <f>IF($AD444=0,0,N(#REF!)*N(INDEX(F_KLN,MATCH($C444,FA,0))))</f>
        <v>0</v>
      </c>
      <c r="AF444" s="7">
        <f>IF($AD444=0,0,N(#REF!)*N(INDEX(F_KPE,MATCH($C444,FA,0))))</f>
        <v>0</v>
      </c>
      <c r="AG444" s="7" t="e">
        <f>IF(ISNA(MATCH($C444,FA,0)),0,N(#REF!)*N(INDEX(F_MODUL,MATCH($C444,FA,0))))</f>
        <v>#REF!</v>
      </c>
      <c r="AH444" s="7" t="e">
        <f>N(#REF!)*N($I444)</f>
        <v>#REF!</v>
      </c>
      <c r="AI444" s="7" t="e">
        <f t="shared" si="133"/>
        <v>#REF!</v>
      </c>
      <c r="AJ444" s="7">
        <f t="shared" si="134"/>
        <v>0</v>
      </c>
    </row>
    <row r="445" spans="1:36" x14ac:dyDescent="0.25">
      <c r="A445" s="4" t="str">
        <f t="shared" si="128"/>
        <v>ЩС-7 (260922 akram aulet)</v>
      </c>
      <c r="B445" s="4" t="s">
        <v>111</v>
      </c>
      <c r="C445" s="4" t="s">
        <v>571</v>
      </c>
      <c r="D445" s="4" t="s">
        <v>572</v>
      </c>
      <c r="E445" s="4" t="s">
        <v>522</v>
      </c>
      <c r="F445" s="4" t="s">
        <v>486</v>
      </c>
      <c r="G445" s="4" t="s">
        <v>236</v>
      </c>
      <c r="H445" s="5" t="e">
        <f>#REF!</f>
        <v>#REF!</v>
      </c>
      <c r="I445" s="6" t="e">
        <f t="shared" si="129"/>
        <v>#REF!</v>
      </c>
      <c r="J445" s="6" t="s">
        <v>84</v>
      </c>
      <c r="K445" s="6" t="s">
        <v>111</v>
      </c>
      <c r="L445" s="7" t="e">
        <f t="shared" si="130"/>
        <v>#REF!</v>
      </c>
      <c r="M445" s="7" t="s">
        <v>112</v>
      </c>
      <c r="O445" s="7" t="str">
        <f>IF(OR($C445="",$C445="FID YOK"),"",IF(ISNUMBER(MATCH($C445,FA_ANA,0)),"",IF(COUNTIF($C$1:$C444,$C445)&gt;0,"",MAX($O$1:$O444)+1)))</f>
        <v/>
      </c>
      <c r="T445" s="7">
        <f>IF(ISNA(MATCH($C445,FA,0)),0,IF($J445="GIRIS",N(INDEX(F_INKOR,MATCH($C445,FA,0))),0))</f>
        <v>0</v>
      </c>
      <c r="Y445" s="7" t="e">
        <f>N(#REF!)*IF($E445="упак",MAX(1,IF(ISNA(MATCH($C445,FA,0)),1,N(INDEX(F_PAKET,MATCH($C445,FA,0))))),1)</f>
        <v>#REF!</v>
      </c>
      <c r="Z445" s="7" t="e">
        <f t="shared" si="131"/>
        <v>#REF!</v>
      </c>
      <c r="AA445" s="7">
        <f>IF(OR(ISNA(MATCH($C445,FA,0)),$J445="YEDEK",$J445="SARF"),0,N(#REF!)*N(INDEX(F_TEL,MATCH($C445,FA,0))))</f>
        <v>0</v>
      </c>
      <c r="AB445" s="7">
        <f>IF(OR(ISNA(MATCH($C445,FA,0)),$J445="YEDEK",$J445="SARF"),0,N(#REF!)*N(INDEX(F_TELM,MATCH($C445,FA,0))))</f>
        <v>0</v>
      </c>
      <c r="AC445" s="7" t="e">
        <f t="shared" si="132"/>
        <v>#REF!</v>
      </c>
      <c r="AD445" s="7">
        <f>IF(OR(ISNA(MATCH($C445,FA,0)),$J445&lt;&gt;"CIKIS"),0,N(INDEX(F_KK,MATCH($C445,FA,0))))</f>
        <v>0</v>
      </c>
      <c r="AE445" s="7">
        <f>IF($AD445=0,0,N(#REF!)*N(INDEX(F_KLN,MATCH($C445,FA,0))))</f>
        <v>0</v>
      </c>
      <c r="AF445" s="7">
        <f>IF($AD445=0,0,N(#REF!)*N(INDEX(F_KPE,MATCH($C445,FA,0))))</f>
        <v>0</v>
      </c>
      <c r="AG445" s="7" t="e">
        <f>IF(ISNA(MATCH($C445,FA,0)),0,N(#REF!)*N(INDEX(F_MODUL,MATCH($C445,FA,0))))</f>
        <v>#REF!</v>
      </c>
      <c r="AH445" s="7" t="e">
        <f>N(#REF!)*N($I445)</f>
        <v>#REF!</v>
      </c>
      <c r="AI445" s="7" t="e">
        <f t="shared" si="133"/>
        <v>#REF!</v>
      </c>
      <c r="AJ445" s="7">
        <f t="shared" si="134"/>
        <v>0</v>
      </c>
    </row>
    <row r="446" spans="1:36" x14ac:dyDescent="0.25">
      <c r="A446" s="4" t="str">
        <f t="shared" si="128"/>
        <v>ЩС-7 (260922 akram aulet)</v>
      </c>
      <c r="B446" s="4" t="s">
        <v>113</v>
      </c>
      <c r="C446" s="4" t="s">
        <v>113</v>
      </c>
      <c r="D446" s="4" t="s">
        <v>113</v>
      </c>
      <c r="E446" s="4" t="s">
        <v>114</v>
      </c>
      <c r="F446" s="4" t="s">
        <v>113</v>
      </c>
      <c r="G446" s="4" t="s">
        <v>236</v>
      </c>
      <c r="H446" s="5" t="e">
        <f>#REF!</f>
        <v>#REF!</v>
      </c>
      <c r="I446" s="6" t="e">
        <f t="shared" si="129"/>
        <v>#REF!</v>
      </c>
    </row>
    <row r="447" spans="1:36" x14ac:dyDescent="0.25">
      <c r="A447" s="4" t="str">
        <f t="shared" si="128"/>
        <v>ЩС-7 (260922 akram aulet)</v>
      </c>
      <c r="B447" s="4" t="s">
        <v>115</v>
      </c>
      <c r="C447" s="4" t="s">
        <v>115</v>
      </c>
      <c r="D447" s="4" t="s">
        <v>115</v>
      </c>
      <c r="E447" s="4" t="s">
        <v>116</v>
      </c>
      <c r="F447" s="4" t="s">
        <v>115</v>
      </c>
      <c r="G447" s="4" t="s">
        <v>236</v>
      </c>
      <c r="H447" s="5" t="e">
        <f>#REF!</f>
        <v>#REF!</v>
      </c>
      <c r="I447" s="6" t="e">
        <f t="shared" si="129"/>
        <v>#REF!</v>
      </c>
    </row>
    <row r="448" spans="1:36" x14ac:dyDescent="0.25">
      <c r="A448" s="1" t="str">
        <f>D448</f>
        <v>ЩО-1, ЩО-2, ЩО-3 (260922 akram aulet)</v>
      </c>
      <c r="B448" s="12"/>
      <c r="C448" s="2"/>
      <c r="D448" s="1" t="s">
        <v>257</v>
      </c>
      <c r="E448" s="1" t="s">
        <v>36</v>
      </c>
      <c r="F448" s="1" t="s">
        <v>37</v>
      </c>
      <c r="G448" s="1" t="s">
        <v>258</v>
      </c>
      <c r="I448" s="3" t="e">
        <f>#REF!</f>
        <v>#REF!</v>
      </c>
    </row>
    <row r="449" spans="1:36" x14ac:dyDescent="0.25">
      <c r="A449" s="4" t="str">
        <f t="shared" ref="A449:A471" si="135">A448</f>
        <v>ЩО-1, ЩО-2, ЩО-3 (260922 akram aulet)</v>
      </c>
      <c r="B449" s="4" t="s">
        <v>39</v>
      </c>
      <c r="C449" s="4" t="s">
        <v>496</v>
      </c>
      <c r="D449" s="4" t="s">
        <v>497</v>
      </c>
      <c r="E449" s="4" t="s">
        <v>114</v>
      </c>
      <c r="F449" s="4" t="s">
        <v>491</v>
      </c>
      <c r="G449" s="4" t="s">
        <v>258</v>
      </c>
      <c r="H449" s="5" t="e">
        <f>#REF!</f>
        <v>#REF!</v>
      </c>
      <c r="I449" s="6" t="e">
        <f t="shared" ref="I449:I471" si="136">I448</f>
        <v>#REF!</v>
      </c>
      <c r="J449" s="6" t="s">
        <v>40</v>
      </c>
      <c r="K449" s="6" t="s">
        <v>195</v>
      </c>
      <c r="L449" s="7" t="e">
        <f t="shared" ref="L449:L469" si="137">IF(ISNA(MATCH($C449,FA,0)),"ARTİKÜL YOK",INDEX(FIYAT_DURUM,MATCH($C449,FA,0)))</f>
        <v>#REF!</v>
      </c>
      <c r="M449" s="7" t="s">
        <v>259</v>
      </c>
      <c r="N449" s="7" t="s">
        <v>260</v>
      </c>
      <c r="O449" s="7">
        <f>IF(OR($C449="",$C449="FID YOK"),"",IF(ISNUMBER(MATCH($C449,FA_ANA,0)),"",IF(COUNTIF($C$1:$C448,$C449)&gt;0,"",MAX($O$1:$O448)+1)))</f>
        <v>85</v>
      </c>
      <c r="Q449" s="7"/>
      <c r="R449" s="7"/>
      <c r="S449" s="7"/>
      <c r="T449" s="7">
        <f>IF(ISNA(MATCH($C449,FA,0)),0,IF($J449="GIRIS",N(INDEX(F_INKOR,MATCH($C449,FA,0))),0))</f>
        <v>0</v>
      </c>
      <c r="U449" s="7"/>
      <c r="V449" s="7"/>
      <c r="W449" s="7"/>
      <c r="X449" s="7"/>
      <c r="Y449" s="7" t="e">
        <f>N(#REF!)*IF($E449="упак",MAX(1,IF(ISNA(MATCH($C449,FA,0)),1,N(INDEX(F_PAKET,MATCH($C449,FA,0))))),1)</f>
        <v>#REF!</v>
      </c>
      <c r="Z449" s="7" t="e">
        <f t="shared" ref="Z449:Z469" si="138">IF(ISNA(MATCH($C449,FA,0)),0,N(INDEX(F_BK,MATCH($C449,FA,0))))</f>
        <v>#REF!</v>
      </c>
      <c r="AA449" s="7" t="e">
        <f>IF(OR(ISNA(MATCH($C449,FA,0)),$J449="YEDEK",$J449="SARF"),0,N(#REF!)*N(INDEX(F_TEL,MATCH($C449,FA,0))))</f>
        <v>#REF!</v>
      </c>
      <c r="AB449" s="7" t="e">
        <f>IF(OR(ISNA(MATCH($C449,FA,0)),$J449="YEDEK",$J449="SARF"),0,N(#REF!)*N(INDEX(F_TELM,MATCH($C449,FA,0))))</f>
        <v>#REF!</v>
      </c>
      <c r="AC449" s="7" t="e">
        <f t="shared" ref="AC449:AC469" si="139">IF(ISNA(MATCH($C449,FA,0)),"",INDEX(F_UC,MATCH($C449,FA,0))&amp;"")</f>
        <v>#REF!</v>
      </c>
      <c r="AD449" s="7">
        <f>IF(OR(ISNA(MATCH($C449,FA,0)),$J449&lt;&gt;"CIKIS"),0,N(INDEX(F_KK,MATCH($C449,FA,0))))</f>
        <v>0</v>
      </c>
      <c r="AE449" s="7">
        <f>IF($AD449=0,0,N(#REF!)*N(INDEX(F_KLN,MATCH($C449,FA,0))))</f>
        <v>0</v>
      </c>
      <c r="AF449" s="7">
        <f>IF($AD449=0,0,N(#REF!)*N(INDEX(F_KPE,MATCH($C449,FA,0))))</f>
        <v>0</v>
      </c>
      <c r="AG449" s="7" t="e">
        <f>IF(ISNA(MATCH($C449,FA,0)),0,N(#REF!)*N(INDEX(F_MODUL,MATCH($C449,FA,0))))</f>
        <v>#REF!</v>
      </c>
      <c r="AH449" s="7" t="e">
        <f>N(#REF!)*N($I449)</f>
        <v>#REF!</v>
      </c>
      <c r="AI449" s="7" t="e">
        <f t="shared" ref="AI449:AI469" si="140">IF(ISNA(MATCH($K449,TIP_AD,0)),"YOK",IF(INDEX(NORM_DK,MATCH($K449,TIP_AD,0))="","BOŞ",INDEX(NORM_DK,MATCH($K449,TIP_AD,0))))</f>
        <v>#REF!</v>
      </c>
      <c r="AJ449" s="7">
        <f t="shared" ref="AJ449:AJ469" si="141">IF(ISNUMBER($AI449),$Y449*$AI449,0)</f>
        <v>0</v>
      </c>
    </row>
    <row r="450" spans="1:36" x14ac:dyDescent="0.25">
      <c r="A450" s="4" t="str">
        <f t="shared" si="135"/>
        <v>ЩО-1, ЩО-2, ЩО-3 (260922 akram aulet)</v>
      </c>
      <c r="B450" s="4" t="s">
        <v>198</v>
      </c>
      <c r="C450" s="4" t="s">
        <v>380</v>
      </c>
      <c r="D450" s="4" t="s">
        <v>381</v>
      </c>
      <c r="E450" s="4" t="s">
        <v>114</v>
      </c>
      <c r="F450" s="4" t="s">
        <v>377</v>
      </c>
      <c r="G450" s="4" t="s">
        <v>258</v>
      </c>
      <c r="H450" s="5" t="e">
        <f>#REF!</f>
        <v>#REF!</v>
      </c>
      <c r="I450" s="6" t="e">
        <f t="shared" si="136"/>
        <v>#REF!</v>
      </c>
      <c r="J450" s="6" t="s">
        <v>48</v>
      </c>
      <c r="K450" s="6" t="s">
        <v>198</v>
      </c>
      <c r="L450" s="7" t="e">
        <f t="shared" si="137"/>
        <v>#REF!</v>
      </c>
      <c r="M450" s="7" t="s">
        <v>261</v>
      </c>
      <c r="N450" s="7" t="s">
        <v>200</v>
      </c>
      <c r="O450" s="7" t="str">
        <f>IF(OR($C450="",$C450="FID YOK"),"",IF(ISNUMBER(MATCH($C450,FA_ANA,0)),"",IF(COUNTIF($C$1:$C449,$C450)&gt;0,"",MAX($O$1:$O449)+1)))</f>
        <v/>
      </c>
      <c r="P450" s="8">
        <v>1</v>
      </c>
      <c r="Q450" s="7" t="e">
        <f>IF(OR($P450="",$P450="G",ISNA(MATCH($C450,FA,0))),"",IF(N(INDEX(F_G,MATCH($C450,FA,0)))&gt;0,INDEX(F_G,MATCH($C450,FA,0)),IF(N(INDEX(F_MODUL,MATCH($C450,FA,0)))&gt;0,INDEX(F_MODUL,MATCH($C450,FA,0))*MODUL_MM,"")))</f>
        <v>#REF!</v>
      </c>
      <c r="R450" s="7" t="e">
        <f>IF(OR($P450="",$P450="G",ISNA(MATCH($C450,FA,0))),"",IF(N(INDEX(F_Y,MATCH($C450,FA,0)))&gt;0,INDEX(F_Y,MATCH($C450,FA,0)),""))</f>
        <v>#REF!</v>
      </c>
      <c r="S450" s="7" t="e">
        <f>IF(OR($P450="",$P450="G",ISNA(MATCH($C450,FA,0))),"",IF(N(INDEX(F_D,MATCH($C450,FA,0)))&gt;0,INDEX(F_D,MATCH($C450,FA,0)),""))</f>
        <v>#REF!</v>
      </c>
      <c r="T450" s="7" t="e">
        <f>IF(ISNA(MATCH($C450,FA,0)),0,IF($J450="GIRIS",N(INDEX(F_INKOR,MATCH($C450,FA,0))),0))</f>
        <v>#REF!</v>
      </c>
      <c r="U450" s="7" t="e">
        <f t="shared" ref="U450:U456" si="142">IF(ISNA(MATCH($B450,TIP_AD,0)),"",INDEX(TIP_KAT,MATCH($B450,TIP_AD,0))&amp;"")</f>
        <v>#REF!</v>
      </c>
      <c r="V450" s="7" t="e">
        <f t="shared" ref="V450:V456" si="143">IF(NOT(ISNUMBER($P450)),"",IF($Z450=0,0,IF(ISNA(MATCH($Z450,BUK_KESIT,0)),"",IF(INDEX(BUK_ALAN,MATCH($Z450,BUK_KESIT,0))&amp;""="","",INDEX(BUK_ALAN,MATCH($Z450,BUK_KESIT,0))))))</f>
        <v>#REF!</v>
      </c>
      <c r="W450" s="7" t="e">
        <f>IF(OR(NOT(ISNUMBER($P450)),$Q450=""),"",N(#REF!)*($Q450+IF(ISNA(MATCH($B450,TIP_AD,0)),0,N(INDEX(TIP_BOSLUK,MATCH($B450,TIP_AD,0))))))</f>
        <v>#REF!</v>
      </c>
      <c r="X450" s="7" t="e">
        <f>IF(ISNUMBER($P450),($Q450="")+($R450="")+($V450="")+IF(AND($U450="KONTAKTOR",NOT(ISNA(MATCH($B450,TIP_AD,0)))),IF(INDEX(TIP_BOSLUK,MATCH($B450,TIP_AD,0))&amp;""="",1,0),0),IF($P450="K",IF($S450="",1,0),0))</f>
        <v>#REF!</v>
      </c>
      <c r="Y450" s="7" t="e">
        <f>N(#REF!)*IF($E450="упак",MAX(1,IF(ISNA(MATCH($C450,FA,0)),1,N(INDEX(F_PAKET,MATCH($C450,FA,0))))),1)</f>
        <v>#REF!</v>
      </c>
      <c r="Z450" s="7" t="e">
        <f t="shared" si="138"/>
        <v>#REF!</v>
      </c>
      <c r="AA450" s="7" t="e">
        <f>IF(OR(ISNA(MATCH($C450,FA,0)),$J450="YEDEK",$J450="SARF"),0,N(#REF!)*N(INDEX(F_TEL,MATCH($C450,FA,0))))</f>
        <v>#REF!</v>
      </c>
      <c r="AB450" s="7" t="e">
        <f>IF(OR(ISNA(MATCH($C450,FA,0)),$J450="YEDEK",$J450="SARF"),0,N(#REF!)*N(INDEX(F_TELM,MATCH($C450,FA,0))))</f>
        <v>#REF!</v>
      </c>
      <c r="AC450" s="7" t="e">
        <f t="shared" si="139"/>
        <v>#REF!</v>
      </c>
      <c r="AD450" s="7">
        <f>IF(OR(ISNA(MATCH($C450,FA,0)),$J450&lt;&gt;"CIKIS"),0,N(INDEX(F_KK,MATCH($C450,FA,0))))</f>
        <v>0</v>
      </c>
      <c r="AE450" s="7">
        <f>IF($AD450=0,0,N(#REF!)*N(INDEX(F_KLN,MATCH($C450,FA,0))))</f>
        <v>0</v>
      </c>
      <c r="AF450" s="7">
        <f>IF($AD450=0,0,N(#REF!)*N(INDEX(F_KPE,MATCH($C450,FA,0))))</f>
        <v>0</v>
      </c>
      <c r="AG450" s="7" t="e">
        <f>IF(ISNA(MATCH($C450,FA,0)),0,N(#REF!)*N(INDEX(F_MODUL,MATCH($C450,FA,0))))</f>
        <v>#REF!</v>
      </c>
      <c r="AH450" s="7" t="e">
        <f>N(#REF!)*N($I450)</f>
        <v>#REF!</v>
      </c>
      <c r="AI450" s="7" t="e">
        <f t="shared" si="140"/>
        <v>#REF!</v>
      </c>
      <c r="AJ450" s="7">
        <f t="shared" si="141"/>
        <v>0</v>
      </c>
    </row>
    <row r="451" spans="1:36" x14ac:dyDescent="0.25">
      <c r="A451" s="4" t="str">
        <f t="shared" si="135"/>
        <v>ЩО-1, ЩО-2, ЩО-3 (260922 akram aulet)</v>
      </c>
      <c r="B451" s="4" t="s">
        <v>61</v>
      </c>
      <c r="C451" s="4" t="s">
        <v>604</v>
      </c>
      <c r="D451" s="4" t="s">
        <v>605</v>
      </c>
      <c r="E451" s="4" t="s">
        <v>114</v>
      </c>
      <c r="F451" s="4" t="s">
        <v>479</v>
      </c>
      <c r="G451" s="4" t="s">
        <v>258</v>
      </c>
      <c r="H451" s="5" t="e">
        <f>#REF!</f>
        <v>#REF!</v>
      </c>
      <c r="I451" s="6" t="e">
        <f t="shared" si="136"/>
        <v>#REF!</v>
      </c>
      <c r="J451" s="6" t="s">
        <v>62</v>
      </c>
      <c r="K451" s="6" t="s">
        <v>61</v>
      </c>
      <c r="L451" s="7" t="e">
        <f t="shared" si="137"/>
        <v>#REF!</v>
      </c>
      <c r="M451" s="7" t="s">
        <v>262</v>
      </c>
      <c r="N451" s="7" t="s">
        <v>263</v>
      </c>
      <c r="O451" s="7">
        <f>IF(OR($C451="",$C451="FID YOK"),"",IF(ISNUMBER(MATCH($C451,FA_ANA,0)),"",IF(COUNTIF($C$1:$C450,$C451)&gt;0,"",MAX($O$1:$O450)+1)))</f>
        <v>86</v>
      </c>
      <c r="P451" s="8">
        <v>2</v>
      </c>
      <c r="Q451" s="7" t="e">
        <f>IF(OR($P451="",$P451="G",ISNA(MATCH($C451,FA,0))),"",IF(N(INDEX(F_G,MATCH($C451,FA,0)))&gt;0,INDEX(F_G,MATCH($C451,FA,0)),IF(N(INDEX(F_MODUL,MATCH($C451,FA,0)))&gt;0,INDEX(F_MODUL,MATCH($C451,FA,0))*MODUL_MM,"")))</f>
        <v>#REF!</v>
      </c>
      <c r="R451" s="7" t="e">
        <f>IF(OR($P451="",$P451="G",ISNA(MATCH($C451,FA,0))),"",IF(N(INDEX(F_Y,MATCH($C451,FA,0)))&gt;0,INDEX(F_Y,MATCH($C451,FA,0)),""))</f>
        <v>#REF!</v>
      </c>
      <c r="S451" s="7" t="e">
        <f>IF(OR($P451="",$P451="G",ISNA(MATCH($C451,FA,0))),"",IF(N(INDEX(F_D,MATCH($C451,FA,0)))&gt;0,INDEX(F_D,MATCH($C451,FA,0)),""))</f>
        <v>#REF!</v>
      </c>
      <c r="T451" s="7">
        <f>IF(ISNA(MATCH($C451,FA,0)),0,IF($J451="GIRIS",N(INDEX(F_INKOR,MATCH($C451,FA,0))),0))</f>
        <v>0</v>
      </c>
      <c r="U451" s="7" t="e">
        <f t="shared" si="142"/>
        <v>#REF!</v>
      </c>
      <c r="V451" s="7" t="e">
        <f t="shared" si="143"/>
        <v>#REF!</v>
      </c>
      <c r="W451" s="7" t="e">
        <f>IF(OR(NOT(ISNUMBER($P451)),$Q451=""),"",N(#REF!)*($Q451+IF(ISNA(MATCH($B451,TIP_AD,0)),0,N(INDEX(TIP_BOSLUK,MATCH($B451,TIP_AD,0))))))</f>
        <v>#REF!</v>
      </c>
      <c r="X451" s="7" t="e">
        <f>IF(ISNUMBER($P451),($Q451="")+($R451="")+($V451="")+IF(AND($U451="KONTAKTOR",NOT(ISNA(MATCH($B451,TIP_AD,0)))),IF(INDEX(TIP_BOSLUK,MATCH($B451,TIP_AD,0))&amp;""="",1,0),0),IF($P451="K",IF($S451="",1,0),0))</f>
        <v>#REF!</v>
      </c>
      <c r="Y451" s="7" t="e">
        <f>N(#REF!)*IF($E451="упак",MAX(1,IF(ISNA(MATCH($C451,FA,0)),1,N(INDEX(F_PAKET,MATCH($C451,FA,0))))),1)</f>
        <v>#REF!</v>
      </c>
      <c r="Z451" s="7" t="e">
        <f t="shared" si="138"/>
        <v>#REF!</v>
      </c>
      <c r="AA451" s="7" t="e">
        <f>IF(OR(ISNA(MATCH($C451,FA,0)),$J451="YEDEK",$J451="SARF"),0,N(#REF!)*N(INDEX(F_TEL,MATCH($C451,FA,0))))</f>
        <v>#REF!</v>
      </c>
      <c r="AB451" s="7" t="e">
        <f>IF(OR(ISNA(MATCH($C451,FA,0)),$J451="YEDEK",$J451="SARF"),0,N(#REF!)*N(INDEX(F_TELM,MATCH($C451,FA,0))))</f>
        <v>#REF!</v>
      </c>
      <c r="AC451" s="7" t="e">
        <f t="shared" si="139"/>
        <v>#REF!</v>
      </c>
      <c r="AD451" s="7">
        <f>IF(OR(ISNA(MATCH($C451,FA,0)),$J451&lt;&gt;"CIKIS"),0,N(INDEX(F_KK,MATCH($C451,FA,0))))</f>
        <v>0</v>
      </c>
      <c r="AE451" s="7">
        <f>IF($AD451=0,0,N(#REF!)*N(INDEX(F_KLN,MATCH($C451,FA,0))))</f>
        <v>0</v>
      </c>
      <c r="AF451" s="7">
        <f>IF($AD451=0,0,N(#REF!)*N(INDEX(F_KPE,MATCH($C451,FA,0))))</f>
        <v>0</v>
      </c>
      <c r="AG451" s="7" t="e">
        <f>IF(ISNA(MATCH($C451,FA,0)),0,N(#REF!)*N(INDEX(F_MODUL,MATCH($C451,FA,0))))</f>
        <v>#REF!</v>
      </c>
      <c r="AH451" s="7" t="e">
        <f>N(#REF!)*N($I451)</f>
        <v>#REF!</v>
      </c>
      <c r="AI451" s="7" t="e">
        <f t="shared" si="140"/>
        <v>#REF!</v>
      </c>
      <c r="AJ451" s="7">
        <f t="shared" si="141"/>
        <v>0</v>
      </c>
    </row>
    <row r="452" spans="1:36" x14ac:dyDescent="0.25">
      <c r="A452" s="4" t="str">
        <f t="shared" si="135"/>
        <v>ЩО-1, ЩО-2, ЩО-3 (260922 akram aulet)</v>
      </c>
      <c r="B452" s="4" t="s">
        <v>65</v>
      </c>
      <c r="C452" s="4" t="s">
        <v>384</v>
      </c>
      <c r="D452" s="4" t="s">
        <v>385</v>
      </c>
      <c r="E452" s="4" t="s">
        <v>114</v>
      </c>
      <c r="F452" s="4" t="s">
        <v>377</v>
      </c>
      <c r="G452" s="4" t="s">
        <v>258</v>
      </c>
      <c r="H452" s="5" t="e">
        <f>#REF!</f>
        <v>#REF!</v>
      </c>
      <c r="I452" s="6" t="e">
        <f t="shared" si="136"/>
        <v>#REF!</v>
      </c>
      <c r="J452" s="6" t="s">
        <v>52</v>
      </c>
      <c r="K452" s="6" t="s">
        <v>65</v>
      </c>
      <c r="L452" s="7" t="e">
        <f t="shared" si="137"/>
        <v>#REF!</v>
      </c>
      <c r="M452" s="7" t="s">
        <v>264</v>
      </c>
      <c r="N452" s="7" t="s">
        <v>201</v>
      </c>
      <c r="O452" s="7" t="str">
        <f>IF(OR($C452="",$C452="FID YOK"),"",IF(ISNUMBER(MATCH($C452,FA_ANA,0)),"",IF(COUNTIF($C$1:$C451,$C452)&gt;0,"",MAX($O$1:$O451)+1)))</f>
        <v/>
      </c>
      <c r="P452" s="8">
        <v>1</v>
      </c>
      <c r="Q452" s="7" t="e">
        <f>IF(OR($P452="",$P452="G",ISNA(MATCH($C452,FA,0))),"",IF(N(INDEX(F_G,MATCH($C452,FA,0)))&gt;0,INDEX(F_G,MATCH($C452,FA,0)),IF(N(INDEX(F_MODUL,MATCH($C452,FA,0)))&gt;0,INDEX(F_MODUL,MATCH($C452,FA,0))*MODUL_MM,"")))</f>
        <v>#REF!</v>
      </c>
      <c r="R452" s="7" t="e">
        <f>IF(OR($P452="",$P452="G",ISNA(MATCH($C452,FA,0))),"",IF(N(INDEX(F_Y,MATCH($C452,FA,0)))&gt;0,INDEX(F_Y,MATCH($C452,FA,0)),""))</f>
        <v>#REF!</v>
      </c>
      <c r="S452" s="7" t="e">
        <f>IF(OR($P452="",$P452="G",ISNA(MATCH($C452,FA,0))),"",IF(N(INDEX(F_D,MATCH($C452,FA,0)))&gt;0,INDEX(F_D,MATCH($C452,FA,0)),""))</f>
        <v>#REF!</v>
      </c>
      <c r="T452" s="7">
        <f>IF(ISNA(MATCH($C452,FA,0)),0,IF($J452="GIRIS",N(INDEX(F_INKOR,MATCH($C452,FA,0))),0))</f>
        <v>0</v>
      </c>
      <c r="U452" s="7" t="e">
        <f t="shared" si="142"/>
        <v>#REF!</v>
      </c>
      <c r="V452" s="7" t="e">
        <f t="shared" si="143"/>
        <v>#REF!</v>
      </c>
      <c r="W452" s="7" t="e">
        <f>IF(OR(NOT(ISNUMBER($P452)),$Q452=""),"",N(#REF!)*($Q452+IF(ISNA(MATCH($B452,TIP_AD,0)),0,N(INDEX(TIP_BOSLUK,MATCH($B452,TIP_AD,0))))))</f>
        <v>#REF!</v>
      </c>
      <c r="X452" s="7" t="e">
        <f>IF(ISNUMBER($P452),($Q452="")+($R452="")+($V452="")+IF(AND($U452="KONTAKTOR",NOT(ISNA(MATCH($B452,TIP_AD,0)))),IF(INDEX(TIP_BOSLUK,MATCH($B452,TIP_AD,0))&amp;""="",1,0),0),IF($P452="K",IF($S452="",1,0),0))</f>
        <v>#REF!</v>
      </c>
      <c r="Y452" s="7" t="e">
        <f>N(#REF!)*IF($E452="упак",MAX(1,IF(ISNA(MATCH($C452,FA,0)),1,N(INDEX(F_PAKET,MATCH($C452,FA,0))))),1)</f>
        <v>#REF!</v>
      </c>
      <c r="Z452" s="7" t="e">
        <f t="shared" si="138"/>
        <v>#REF!</v>
      </c>
      <c r="AA452" s="7" t="e">
        <f>IF(OR(ISNA(MATCH($C452,FA,0)),$J452="YEDEK",$J452="SARF"),0,N(#REF!)*N(INDEX(F_TEL,MATCH($C452,FA,0))))</f>
        <v>#REF!</v>
      </c>
      <c r="AB452" s="7" t="e">
        <f>IF(OR(ISNA(MATCH($C452,FA,0)),$J452="YEDEK",$J452="SARF"),0,N(#REF!)*N(INDEX(F_TELM,MATCH($C452,FA,0))))</f>
        <v>#REF!</v>
      </c>
      <c r="AC452" s="7" t="e">
        <f t="shared" si="139"/>
        <v>#REF!</v>
      </c>
      <c r="AD452" s="7" t="e">
        <f>IF(OR(ISNA(MATCH($C452,FA,0)),$J452&lt;&gt;"CIKIS"),0,N(INDEX(F_KK,MATCH($C452,FA,0))))</f>
        <v>#REF!</v>
      </c>
      <c r="AE452" s="7" t="e">
        <f>IF($AD452=0,0,N(#REF!)*N(INDEX(F_KLN,MATCH($C452,FA,0))))</f>
        <v>#REF!</v>
      </c>
      <c r="AF452" s="7" t="e">
        <f>IF($AD452=0,0,N(#REF!)*N(INDEX(F_KPE,MATCH($C452,FA,0))))</f>
        <v>#REF!</v>
      </c>
      <c r="AG452" s="7" t="e">
        <f>IF(ISNA(MATCH($C452,FA,0)),0,N(#REF!)*N(INDEX(F_MODUL,MATCH($C452,FA,0))))</f>
        <v>#REF!</v>
      </c>
      <c r="AH452" s="7" t="e">
        <f>N(#REF!)*N($I452)</f>
        <v>#REF!</v>
      </c>
      <c r="AI452" s="7" t="e">
        <f t="shared" si="140"/>
        <v>#REF!</v>
      </c>
      <c r="AJ452" s="7">
        <f t="shared" si="141"/>
        <v>0</v>
      </c>
    </row>
    <row r="453" spans="1:36" x14ac:dyDescent="0.25">
      <c r="A453" s="4" t="str">
        <f t="shared" si="135"/>
        <v>ЩО-1, ЩО-2, ЩО-3 (260922 akram aulet)</v>
      </c>
      <c r="B453" s="4" t="s">
        <v>265</v>
      </c>
      <c r="C453" s="4" t="s">
        <v>484</v>
      </c>
      <c r="D453" s="4" t="s">
        <v>485</v>
      </c>
      <c r="E453" s="4" t="s">
        <v>114</v>
      </c>
      <c r="F453" s="4" t="s">
        <v>486</v>
      </c>
      <c r="G453" s="4" t="s">
        <v>258</v>
      </c>
      <c r="H453" s="5" t="e">
        <f>#REF!</f>
        <v>#REF!</v>
      </c>
      <c r="I453" s="6" t="e">
        <f t="shared" si="136"/>
        <v>#REF!</v>
      </c>
      <c r="J453" s="6" t="s">
        <v>66</v>
      </c>
      <c r="K453" s="6" t="s">
        <v>265</v>
      </c>
      <c r="L453" s="7" t="e">
        <f t="shared" si="137"/>
        <v>#REF!</v>
      </c>
      <c r="M453" s="7" t="s">
        <v>266</v>
      </c>
      <c r="N453" s="7" t="s">
        <v>267</v>
      </c>
      <c r="O453" s="7">
        <f>IF(OR($C453="",$C453="FID YOK"),"",IF(ISNUMBER(MATCH($C453,FA_ANA,0)),"",IF(COUNTIF($C$1:$C452,$C453)&gt;0,"",MAX($O$1:$O452)+1)))</f>
        <v>87</v>
      </c>
      <c r="P453" s="8">
        <v>1</v>
      </c>
      <c r="Q453" s="7" t="e">
        <f>IF(OR($P453="",$P453="G",ISNA(MATCH($C453,FA,0))),"",IF(N(INDEX(F_G,MATCH($C453,FA,0)))&gt;0,INDEX(F_G,MATCH($C453,FA,0)),IF(N(INDEX(F_MODUL,MATCH($C453,FA,0)))&gt;0,INDEX(F_MODUL,MATCH($C453,FA,0))*MODUL_MM,"")))</f>
        <v>#REF!</v>
      </c>
      <c r="R453" s="7" t="e">
        <f>IF(OR($P453="",$P453="G",ISNA(MATCH($C453,FA,0))),"",IF(N(INDEX(F_Y,MATCH($C453,FA,0)))&gt;0,INDEX(F_Y,MATCH($C453,FA,0)),""))</f>
        <v>#REF!</v>
      </c>
      <c r="S453" s="7" t="e">
        <f>IF(OR($P453="",$P453="G",ISNA(MATCH($C453,FA,0))),"",IF(N(INDEX(F_D,MATCH($C453,FA,0)))&gt;0,INDEX(F_D,MATCH($C453,FA,0)),""))</f>
        <v>#REF!</v>
      </c>
      <c r="T453" s="7">
        <f>IF(ISNA(MATCH($C453,FA,0)),0,IF($J453="GIRIS",N(INDEX(F_INKOR,MATCH($C453,FA,0))),0))</f>
        <v>0</v>
      </c>
      <c r="U453" s="7" t="e">
        <f t="shared" si="142"/>
        <v>#REF!</v>
      </c>
      <c r="V453" s="7" t="e">
        <f t="shared" si="143"/>
        <v>#REF!</v>
      </c>
      <c r="W453" s="7" t="e">
        <f>IF(OR(NOT(ISNUMBER($P453)),$Q453=""),"",N(#REF!)*($Q453+IF(ISNA(MATCH($B453,TIP_AD,0)),0,N(INDEX(TIP_BOSLUK,MATCH($B453,TIP_AD,0))))))</f>
        <v>#REF!</v>
      </c>
      <c r="X453" s="7" t="e">
        <f>IF(ISNUMBER($P453),($Q453="")+($R453="")+($V453="")+IF(AND($U453="KONTAKTOR",NOT(ISNA(MATCH($B453,TIP_AD,0)))),IF(INDEX(TIP_BOSLUK,MATCH($B453,TIP_AD,0))&amp;""="",1,0),0),IF($P453="K",IF($S453="",1,0),0))</f>
        <v>#REF!</v>
      </c>
      <c r="Y453" s="7" t="e">
        <f>N(#REF!)*IF($E453="упак",MAX(1,IF(ISNA(MATCH($C453,FA,0)),1,N(INDEX(F_PAKET,MATCH($C453,FA,0))))),1)</f>
        <v>#REF!</v>
      </c>
      <c r="Z453" s="7" t="e">
        <f t="shared" si="138"/>
        <v>#REF!</v>
      </c>
      <c r="AA453" s="7" t="e">
        <f>IF(OR(ISNA(MATCH($C453,FA,0)),$J453="YEDEK",$J453="SARF"),0,N(#REF!)*N(INDEX(F_TEL,MATCH($C453,FA,0))))</f>
        <v>#REF!</v>
      </c>
      <c r="AB453" s="7" t="e">
        <f>IF(OR(ISNA(MATCH($C453,FA,0)),$J453="YEDEK",$J453="SARF"),0,N(#REF!)*N(INDEX(F_TELM,MATCH($C453,FA,0))))</f>
        <v>#REF!</v>
      </c>
      <c r="AC453" s="7" t="e">
        <f t="shared" si="139"/>
        <v>#REF!</v>
      </c>
      <c r="AD453" s="7">
        <f>IF(OR(ISNA(MATCH($C453,FA,0)),$J453&lt;&gt;"CIKIS"),0,N(INDEX(F_KK,MATCH($C453,FA,0))))</f>
        <v>0</v>
      </c>
      <c r="AE453" s="7">
        <f>IF($AD453=0,0,N(#REF!)*N(INDEX(F_KLN,MATCH($C453,FA,0))))</f>
        <v>0</v>
      </c>
      <c r="AF453" s="7">
        <f>IF($AD453=0,0,N(#REF!)*N(INDEX(F_KPE,MATCH($C453,FA,0))))</f>
        <v>0</v>
      </c>
      <c r="AG453" s="7" t="e">
        <f>IF(ISNA(MATCH($C453,FA,0)),0,N(#REF!)*N(INDEX(F_MODUL,MATCH($C453,FA,0))))</f>
        <v>#REF!</v>
      </c>
      <c r="AH453" s="7" t="e">
        <f>N(#REF!)*N($I453)</f>
        <v>#REF!</v>
      </c>
      <c r="AI453" s="7" t="e">
        <f t="shared" si="140"/>
        <v>#REF!</v>
      </c>
      <c r="AJ453" s="7">
        <f t="shared" si="141"/>
        <v>0</v>
      </c>
    </row>
    <row r="454" spans="1:36" x14ac:dyDescent="0.25">
      <c r="A454" s="4" t="str">
        <f t="shared" si="135"/>
        <v>ЩО-1, ЩО-2, ЩО-3 (260922 akram aulet)</v>
      </c>
      <c r="B454" s="4" t="s">
        <v>65</v>
      </c>
      <c r="C454" s="4" t="s">
        <v>386</v>
      </c>
      <c r="D454" s="4" t="s">
        <v>387</v>
      </c>
      <c r="E454" s="4" t="s">
        <v>114</v>
      </c>
      <c r="F454" s="4" t="s">
        <v>377</v>
      </c>
      <c r="G454" s="4" t="s">
        <v>258</v>
      </c>
      <c r="H454" s="5" t="e">
        <f>#REF!</f>
        <v>#REF!</v>
      </c>
      <c r="I454" s="6" t="e">
        <f t="shared" si="136"/>
        <v>#REF!</v>
      </c>
      <c r="J454" s="6" t="s">
        <v>66</v>
      </c>
      <c r="K454" s="6" t="s">
        <v>65</v>
      </c>
      <c r="L454" s="7" t="e">
        <f t="shared" si="137"/>
        <v>#REF!</v>
      </c>
      <c r="M454" s="7" t="s">
        <v>268</v>
      </c>
      <c r="N454" s="7" t="s">
        <v>269</v>
      </c>
      <c r="O454" s="7">
        <f>IF(OR($C454="",$C454="FID YOK"),"",IF(ISNUMBER(MATCH($C454,FA_ANA,0)),"",IF(COUNTIF($C$1:$C453,$C454)&gt;0,"",MAX($O$1:$O453)+1)))</f>
        <v>88</v>
      </c>
      <c r="P454" s="8">
        <v>1</v>
      </c>
      <c r="Q454" s="7" t="e">
        <f>IF(OR($P454="",$P454="G",ISNA(MATCH($C454,FA,0))),"",IF(N(INDEX(F_G,MATCH($C454,FA,0)))&gt;0,INDEX(F_G,MATCH($C454,FA,0)),IF(N(INDEX(F_MODUL,MATCH($C454,FA,0)))&gt;0,INDEX(F_MODUL,MATCH($C454,FA,0))*MODUL_MM,"")))</f>
        <v>#REF!</v>
      </c>
      <c r="R454" s="7" t="e">
        <f>IF(OR($P454="",$P454="G",ISNA(MATCH($C454,FA,0))),"",IF(N(INDEX(F_Y,MATCH($C454,FA,0)))&gt;0,INDEX(F_Y,MATCH($C454,FA,0)),""))</f>
        <v>#REF!</v>
      </c>
      <c r="S454" s="7" t="e">
        <f>IF(OR($P454="",$P454="G",ISNA(MATCH($C454,FA,0))),"",IF(N(INDEX(F_D,MATCH($C454,FA,0)))&gt;0,INDEX(F_D,MATCH($C454,FA,0)),""))</f>
        <v>#REF!</v>
      </c>
      <c r="T454" s="7">
        <f>IF(ISNA(MATCH($C454,FA,0)),0,IF($J454="GIRIS",N(INDEX(F_INKOR,MATCH($C454,FA,0))),0))</f>
        <v>0</v>
      </c>
      <c r="U454" s="7" t="e">
        <f t="shared" si="142"/>
        <v>#REF!</v>
      </c>
      <c r="V454" s="7" t="e">
        <f t="shared" si="143"/>
        <v>#REF!</v>
      </c>
      <c r="W454" s="7" t="e">
        <f>IF(OR(NOT(ISNUMBER($P454)),$Q454=""),"",N(#REF!)*($Q454+IF(ISNA(MATCH($B454,TIP_AD,0)),0,N(INDEX(TIP_BOSLUK,MATCH($B454,TIP_AD,0))))))</f>
        <v>#REF!</v>
      </c>
      <c r="X454" s="7" t="e">
        <f>IF(ISNUMBER($P454),($Q454="")+($R454="")+($V454="")+IF(AND($U454="KONTAKTOR",NOT(ISNA(MATCH($B454,TIP_AD,0)))),IF(INDEX(TIP_BOSLUK,MATCH($B454,TIP_AD,0))&amp;""="",1,0),0),IF($P454="K",IF($S454="",1,0),0))</f>
        <v>#REF!</v>
      </c>
      <c r="Y454" s="7" t="e">
        <f>N(#REF!)*IF($E454="упак",MAX(1,IF(ISNA(MATCH($C454,FA,0)),1,N(INDEX(F_PAKET,MATCH($C454,FA,0))))),1)</f>
        <v>#REF!</v>
      </c>
      <c r="Z454" s="7" t="e">
        <f t="shared" si="138"/>
        <v>#REF!</v>
      </c>
      <c r="AA454" s="7" t="e">
        <f>IF(OR(ISNA(MATCH($C454,FA,0)),$J454="YEDEK",$J454="SARF"),0,N(#REF!)*N(INDEX(F_TEL,MATCH($C454,FA,0))))</f>
        <v>#REF!</v>
      </c>
      <c r="AB454" s="7" t="e">
        <f>IF(OR(ISNA(MATCH($C454,FA,0)),$J454="YEDEK",$J454="SARF"),0,N(#REF!)*N(INDEX(F_TELM,MATCH($C454,FA,0))))</f>
        <v>#REF!</v>
      </c>
      <c r="AC454" s="7" t="e">
        <f t="shared" si="139"/>
        <v>#REF!</v>
      </c>
      <c r="AD454" s="7">
        <f>IF(OR(ISNA(MATCH($C454,FA,0)),$J454&lt;&gt;"CIKIS"),0,N(INDEX(F_KK,MATCH($C454,FA,0))))</f>
        <v>0</v>
      </c>
      <c r="AE454" s="7">
        <f>IF($AD454=0,0,N(#REF!)*N(INDEX(F_KLN,MATCH($C454,FA,0))))</f>
        <v>0</v>
      </c>
      <c r="AF454" s="7">
        <f>IF($AD454=0,0,N(#REF!)*N(INDEX(F_KPE,MATCH($C454,FA,0))))</f>
        <v>0</v>
      </c>
      <c r="AG454" s="7" t="e">
        <f>IF(ISNA(MATCH($C454,FA,0)),0,N(#REF!)*N(INDEX(F_MODUL,MATCH($C454,FA,0))))</f>
        <v>#REF!</v>
      </c>
      <c r="AH454" s="7" t="e">
        <f>N(#REF!)*N($I454)</f>
        <v>#REF!</v>
      </c>
      <c r="AI454" s="7" t="e">
        <f t="shared" si="140"/>
        <v>#REF!</v>
      </c>
      <c r="AJ454" s="7">
        <f t="shared" si="141"/>
        <v>0</v>
      </c>
    </row>
    <row r="455" spans="1:36" x14ac:dyDescent="0.25">
      <c r="A455" s="4" t="str">
        <f t="shared" si="135"/>
        <v>ЩО-1, ЩО-2, ЩО-3 (260922 akram aulet)</v>
      </c>
      <c r="B455" s="4" t="s">
        <v>213</v>
      </c>
      <c r="C455" s="4" t="s">
        <v>418</v>
      </c>
      <c r="D455" s="4" t="s">
        <v>419</v>
      </c>
      <c r="E455" s="4" t="s">
        <v>114</v>
      </c>
      <c r="F455" s="4" t="s">
        <v>377</v>
      </c>
      <c r="G455" s="4" t="s">
        <v>258</v>
      </c>
      <c r="H455" s="5" t="e">
        <f>#REF!</f>
        <v>#REF!</v>
      </c>
      <c r="I455" s="6" t="e">
        <f t="shared" si="136"/>
        <v>#REF!</v>
      </c>
      <c r="J455" s="6" t="s">
        <v>52</v>
      </c>
      <c r="K455" s="6" t="s">
        <v>213</v>
      </c>
      <c r="L455" s="7" t="e">
        <f t="shared" si="137"/>
        <v>#REF!</v>
      </c>
      <c r="M455" s="7" t="s">
        <v>270</v>
      </c>
      <c r="N455" s="7" t="s">
        <v>271</v>
      </c>
      <c r="O455" s="7">
        <f>IF(OR($C455="",$C455="FID YOK"),"",IF(ISNUMBER(MATCH($C455,FA_ANA,0)),"",IF(COUNTIF($C$1:$C454,$C455)&gt;0,"",MAX($O$1:$O454)+1)))</f>
        <v>89</v>
      </c>
      <c r="P455" s="8">
        <v>1</v>
      </c>
      <c r="Q455" s="7" t="e">
        <f>IF(OR($P455="",$P455="G",ISNA(MATCH($C455,FA,0))),"",IF(N(INDEX(F_G,MATCH($C455,FA,0)))&gt;0,INDEX(F_G,MATCH($C455,FA,0)),IF(N(INDEX(F_MODUL,MATCH($C455,FA,0)))&gt;0,INDEX(F_MODUL,MATCH($C455,FA,0))*MODUL_MM,"")))</f>
        <v>#REF!</v>
      </c>
      <c r="R455" s="7" t="e">
        <f>IF(OR($P455="",$P455="G",ISNA(MATCH($C455,FA,0))),"",IF(N(INDEX(F_Y,MATCH($C455,FA,0)))&gt;0,INDEX(F_Y,MATCH($C455,FA,0)),""))</f>
        <v>#REF!</v>
      </c>
      <c r="S455" s="7" t="e">
        <f>IF(OR($P455="",$P455="G",ISNA(MATCH($C455,FA,0))),"",IF(N(INDEX(F_D,MATCH($C455,FA,0)))&gt;0,INDEX(F_D,MATCH($C455,FA,0)),""))</f>
        <v>#REF!</v>
      </c>
      <c r="T455" s="7">
        <f>IF(ISNA(MATCH($C455,FA,0)),0,IF($J455="GIRIS",N(INDEX(F_INKOR,MATCH($C455,FA,0))),0))</f>
        <v>0</v>
      </c>
      <c r="U455" s="7" t="e">
        <f t="shared" si="142"/>
        <v>#REF!</v>
      </c>
      <c r="V455" s="7" t="e">
        <f t="shared" si="143"/>
        <v>#REF!</v>
      </c>
      <c r="W455" s="7" t="e">
        <f>IF(OR(NOT(ISNUMBER($P455)),$Q455=""),"",N(#REF!)*($Q455+IF(ISNA(MATCH($B455,TIP_AD,0)),0,N(INDEX(TIP_BOSLUK,MATCH($B455,TIP_AD,0))))))</f>
        <v>#REF!</v>
      </c>
      <c r="X455" s="7" t="e">
        <f>IF(ISNUMBER($P455),($Q455="")+($R455="")+($V455="")+IF(AND($U455="KONTAKTOR",NOT(ISNA(MATCH($B455,TIP_AD,0)))),IF(INDEX(TIP_BOSLUK,MATCH($B455,TIP_AD,0))&amp;""="",1,0),0),IF($P455="K",IF($S455="",1,0),0))</f>
        <v>#REF!</v>
      </c>
      <c r="Y455" s="7" t="e">
        <f>N(#REF!)*IF($E455="упак",MAX(1,IF(ISNA(MATCH($C455,FA,0)),1,N(INDEX(F_PAKET,MATCH($C455,FA,0))))),1)</f>
        <v>#REF!</v>
      </c>
      <c r="Z455" s="7" t="e">
        <f t="shared" si="138"/>
        <v>#REF!</v>
      </c>
      <c r="AA455" s="7" t="e">
        <f>IF(OR(ISNA(MATCH($C455,FA,0)),$J455="YEDEK",$J455="SARF"),0,N(#REF!)*N(INDEX(F_TEL,MATCH($C455,FA,0))))</f>
        <v>#REF!</v>
      </c>
      <c r="AB455" s="7" t="e">
        <f>IF(OR(ISNA(MATCH($C455,FA,0)),$J455="YEDEK",$J455="SARF"),0,N(#REF!)*N(INDEX(F_TELM,MATCH($C455,FA,0))))</f>
        <v>#REF!</v>
      </c>
      <c r="AC455" s="7" t="e">
        <f t="shared" si="139"/>
        <v>#REF!</v>
      </c>
      <c r="AD455" s="7" t="e">
        <f>IF(OR(ISNA(MATCH($C455,FA,0)),$J455&lt;&gt;"CIKIS"),0,N(INDEX(F_KK,MATCH($C455,FA,0))))</f>
        <v>#REF!</v>
      </c>
      <c r="AE455" s="7" t="e">
        <f>IF($AD455=0,0,N(#REF!)*N(INDEX(F_KLN,MATCH($C455,FA,0))))</f>
        <v>#REF!</v>
      </c>
      <c r="AF455" s="7" t="e">
        <f>IF($AD455=0,0,N(#REF!)*N(INDEX(F_KPE,MATCH($C455,FA,0))))</f>
        <v>#REF!</v>
      </c>
      <c r="AG455" s="7" t="e">
        <f>IF(ISNA(MATCH($C455,FA,0)),0,N(#REF!)*N(INDEX(F_MODUL,MATCH($C455,FA,0))))</f>
        <v>#REF!</v>
      </c>
      <c r="AH455" s="7" t="e">
        <f>N(#REF!)*N($I455)</f>
        <v>#REF!</v>
      </c>
      <c r="AI455" s="7" t="e">
        <f t="shared" si="140"/>
        <v>#REF!</v>
      </c>
      <c r="AJ455" s="7">
        <f t="shared" si="141"/>
        <v>0</v>
      </c>
    </row>
    <row r="456" spans="1:36" x14ac:dyDescent="0.25">
      <c r="A456" s="4" t="str">
        <f t="shared" si="135"/>
        <v>ЩО-1, ЩО-2, ЩО-3 (260922 akram aulet)</v>
      </c>
      <c r="B456" s="4" t="s">
        <v>69</v>
      </c>
      <c r="C456" s="4" t="s">
        <v>455</v>
      </c>
      <c r="D456" s="4" t="s">
        <v>456</v>
      </c>
      <c r="E456" s="4" t="s">
        <v>114</v>
      </c>
      <c r="F456" s="4" t="s">
        <v>377</v>
      </c>
      <c r="G456" s="4" t="s">
        <v>258</v>
      </c>
      <c r="H456" s="5" t="e">
        <f>#REF!</f>
        <v>#REF!</v>
      </c>
      <c r="I456" s="6" t="e">
        <f t="shared" si="136"/>
        <v>#REF!</v>
      </c>
      <c r="J456" s="6" t="s">
        <v>52</v>
      </c>
      <c r="K456" s="6" t="s">
        <v>69</v>
      </c>
      <c r="L456" s="7" t="e">
        <f t="shared" si="137"/>
        <v>#REF!</v>
      </c>
      <c r="M456" s="7" t="s">
        <v>272</v>
      </c>
      <c r="N456" s="7" t="s">
        <v>71</v>
      </c>
      <c r="O456" s="7" t="str">
        <f>IF(OR($C456="",$C456="FID YOK"),"",IF(ISNUMBER(MATCH($C456,FA_ANA,0)),"",IF(COUNTIF($C$1:$C455,$C456)&gt;0,"",MAX($O$1:$O455)+1)))</f>
        <v/>
      </c>
      <c r="P456" s="8">
        <v>1</v>
      </c>
      <c r="Q456" s="7" t="e">
        <f>IF(OR($P456="",$P456="G",ISNA(MATCH($C456,FA,0))),"",IF(N(INDEX(F_G,MATCH($C456,FA,0)))&gt;0,INDEX(F_G,MATCH($C456,FA,0)),IF(N(INDEX(F_MODUL,MATCH($C456,FA,0)))&gt;0,INDEX(F_MODUL,MATCH($C456,FA,0))*MODUL_MM,"")))</f>
        <v>#REF!</v>
      </c>
      <c r="R456" s="7" t="e">
        <f>IF(OR($P456="",$P456="G",ISNA(MATCH($C456,FA,0))),"",IF(N(INDEX(F_Y,MATCH($C456,FA,0)))&gt;0,INDEX(F_Y,MATCH($C456,FA,0)),""))</f>
        <v>#REF!</v>
      </c>
      <c r="S456" s="7" t="e">
        <f>IF(OR($P456="",$P456="G",ISNA(MATCH($C456,FA,0))),"",IF(N(INDEX(F_D,MATCH($C456,FA,0)))&gt;0,INDEX(F_D,MATCH($C456,FA,0)),""))</f>
        <v>#REF!</v>
      </c>
      <c r="T456" s="7">
        <f>IF(ISNA(MATCH($C456,FA,0)),0,IF($J456="GIRIS",N(INDEX(F_INKOR,MATCH($C456,FA,0))),0))</f>
        <v>0</v>
      </c>
      <c r="U456" s="7" t="e">
        <f t="shared" si="142"/>
        <v>#REF!</v>
      </c>
      <c r="V456" s="7" t="e">
        <f t="shared" si="143"/>
        <v>#REF!</v>
      </c>
      <c r="W456" s="7" t="e">
        <f>IF(OR(NOT(ISNUMBER($P456)),$Q456=""),"",N(#REF!)*($Q456+IF(ISNA(MATCH($B456,TIP_AD,0)),0,N(INDEX(TIP_BOSLUK,MATCH($B456,TIP_AD,0))))))</f>
        <v>#REF!</v>
      </c>
      <c r="X456" s="7" t="e">
        <f>IF(ISNUMBER($P456),($Q456="")+($R456="")+($V456="")+IF(AND($U456="KONTAKTOR",NOT(ISNA(MATCH($B456,TIP_AD,0)))),IF(INDEX(TIP_BOSLUK,MATCH($B456,TIP_AD,0))&amp;""="",1,0),0),IF($P456="K",IF($S456="",1,0),0))</f>
        <v>#REF!</v>
      </c>
      <c r="Y456" s="7" t="e">
        <f>N(#REF!)*IF($E456="упак",MAX(1,IF(ISNA(MATCH($C456,FA,0)),1,N(INDEX(F_PAKET,MATCH($C456,FA,0))))),1)</f>
        <v>#REF!</v>
      </c>
      <c r="Z456" s="7" t="e">
        <f t="shared" si="138"/>
        <v>#REF!</v>
      </c>
      <c r="AA456" s="7" t="e">
        <f>IF(OR(ISNA(MATCH($C456,FA,0)),$J456="YEDEK",$J456="SARF"),0,N(#REF!)*N(INDEX(F_TEL,MATCH($C456,FA,0))))</f>
        <v>#REF!</v>
      </c>
      <c r="AB456" s="7" t="e">
        <f>IF(OR(ISNA(MATCH($C456,FA,0)),$J456="YEDEK",$J456="SARF"),0,N(#REF!)*N(INDEX(F_TELM,MATCH($C456,FA,0))))</f>
        <v>#REF!</v>
      </c>
      <c r="AC456" s="7" t="e">
        <f t="shared" si="139"/>
        <v>#REF!</v>
      </c>
      <c r="AD456" s="7" t="e">
        <f>IF(OR(ISNA(MATCH($C456,FA,0)),$J456&lt;&gt;"CIKIS"),0,N(INDEX(F_KK,MATCH($C456,FA,0))))</f>
        <v>#REF!</v>
      </c>
      <c r="AE456" s="7" t="e">
        <f>IF($AD456=0,0,N(#REF!)*N(INDEX(F_KLN,MATCH($C456,FA,0))))</f>
        <v>#REF!</v>
      </c>
      <c r="AF456" s="7" t="e">
        <f>IF($AD456=0,0,N(#REF!)*N(INDEX(F_KPE,MATCH($C456,FA,0))))</f>
        <v>#REF!</v>
      </c>
      <c r="AG456" s="7" t="e">
        <f>IF(ISNA(MATCH($C456,FA,0)),0,N(#REF!)*N(INDEX(F_MODUL,MATCH($C456,FA,0))))</f>
        <v>#REF!</v>
      </c>
      <c r="AH456" s="7" t="e">
        <f>N(#REF!)*N($I456)</f>
        <v>#REF!</v>
      </c>
      <c r="AI456" s="7" t="e">
        <f t="shared" si="140"/>
        <v>#REF!</v>
      </c>
      <c r="AJ456" s="7">
        <f t="shared" si="141"/>
        <v>0</v>
      </c>
    </row>
    <row r="457" spans="1:36" x14ac:dyDescent="0.25">
      <c r="A457" s="4" t="str">
        <f t="shared" si="135"/>
        <v>ЩО-1, ЩО-2, ЩО-3 (260922 akram aulet)</v>
      </c>
      <c r="B457" s="4" t="s">
        <v>202</v>
      </c>
      <c r="C457" s="4" t="s">
        <v>579</v>
      </c>
      <c r="D457" s="4" t="s">
        <v>580</v>
      </c>
      <c r="E457" s="4" t="s">
        <v>114</v>
      </c>
      <c r="F457" s="4" t="s">
        <v>486</v>
      </c>
      <c r="G457" s="4" t="s">
        <v>258</v>
      </c>
      <c r="H457" s="5" t="e">
        <f>#REF!</f>
        <v>#REF!</v>
      </c>
      <c r="I457" s="6" t="e">
        <f t="shared" si="136"/>
        <v>#REF!</v>
      </c>
      <c r="J457" s="6" t="s">
        <v>84</v>
      </c>
      <c r="K457" s="6" t="s">
        <v>202</v>
      </c>
      <c r="L457" s="7" t="e">
        <f t="shared" si="137"/>
        <v>#REF!</v>
      </c>
      <c r="M457" s="7" t="s">
        <v>203</v>
      </c>
      <c r="O457" s="7" t="str">
        <f>IF(OR($C457="",$C457="FID YOK"),"",IF(ISNUMBER(MATCH($C457,FA_ANA,0)),"",IF(COUNTIF($C$1:$C456,$C457)&gt;0,"",MAX($O$1:$O456)+1)))</f>
        <v/>
      </c>
      <c r="T457" s="7">
        <f>IF(ISNA(MATCH($C457,FA,0)),0,IF($J457="GIRIS",N(INDEX(F_INKOR,MATCH($C457,FA,0))),0))</f>
        <v>0</v>
      </c>
      <c r="Y457" s="7" t="e">
        <f>N(#REF!)*IF($E457="упак",MAX(1,IF(ISNA(MATCH($C457,FA,0)),1,N(INDEX(F_PAKET,MATCH($C457,FA,0))))),1)</f>
        <v>#REF!</v>
      </c>
      <c r="Z457" s="7" t="e">
        <f t="shared" si="138"/>
        <v>#REF!</v>
      </c>
      <c r="AA457" s="7">
        <f>IF(OR(ISNA(MATCH($C457,FA,0)),$J457="YEDEK",$J457="SARF"),0,N(#REF!)*N(INDEX(F_TEL,MATCH($C457,FA,0))))</f>
        <v>0</v>
      </c>
      <c r="AB457" s="7">
        <f>IF(OR(ISNA(MATCH($C457,FA,0)),$J457="YEDEK",$J457="SARF"),0,N(#REF!)*N(INDEX(F_TELM,MATCH($C457,FA,0))))</f>
        <v>0</v>
      </c>
      <c r="AC457" s="7" t="e">
        <f t="shared" si="139"/>
        <v>#REF!</v>
      </c>
      <c r="AD457" s="7">
        <f>IF(OR(ISNA(MATCH($C457,FA,0)),$J457&lt;&gt;"CIKIS"),0,N(INDEX(F_KK,MATCH($C457,FA,0))))</f>
        <v>0</v>
      </c>
      <c r="AE457" s="7">
        <f>IF($AD457=0,0,N(#REF!)*N(INDEX(F_KLN,MATCH($C457,FA,0))))</f>
        <v>0</v>
      </c>
      <c r="AF457" s="7">
        <f>IF($AD457=0,0,N(#REF!)*N(INDEX(F_KPE,MATCH($C457,FA,0))))</f>
        <v>0</v>
      </c>
      <c r="AG457" s="7" t="e">
        <f>IF(ISNA(MATCH($C457,FA,0)),0,N(#REF!)*N(INDEX(F_MODUL,MATCH($C457,FA,0))))</f>
        <v>#REF!</v>
      </c>
      <c r="AH457" s="7" t="e">
        <f>N(#REF!)*N($I457)</f>
        <v>#REF!</v>
      </c>
      <c r="AI457" s="7" t="e">
        <f t="shared" si="140"/>
        <v>#REF!</v>
      </c>
      <c r="AJ457" s="7">
        <f t="shared" si="141"/>
        <v>0</v>
      </c>
    </row>
    <row r="458" spans="1:36" x14ac:dyDescent="0.25">
      <c r="A458" s="4" t="str">
        <f t="shared" si="135"/>
        <v>ЩО-1, ЩО-2, ЩО-3 (260922 akram aulet)</v>
      </c>
      <c r="B458" s="4" t="s">
        <v>202</v>
      </c>
      <c r="C458" s="4" t="s">
        <v>579</v>
      </c>
      <c r="D458" s="4" t="s">
        <v>580</v>
      </c>
      <c r="E458" s="4" t="s">
        <v>114</v>
      </c>
      <c r="F458" s="4" t="s">
        <v>486</v>
      </c>
      <c r="G458" s="4" t="s">
        <v>258</v>
      </c>
      <c r="H458" s="5" t="e">
        <f>#REF!</f>
        <v>#REF!</v>
      </c>
      <c r="I458" s="6" t="e">
        <f t="shared" si="136"/>
        <v>#REF!</v>
      </c>
      <c r="J458" s="6" t="s">
        <v>84</v>
      </c>
      <c r="K458" s="6" t="s">
        <v>202</v>
      </c>
      <c r="L458" s="7" t="e">
        <f t="shared" si="137"/>
        <v>#REF!</v>
      </c>
      <c r="M458" s="7" t="s">
        <v>204</v>
      </c>
      <c r="O458" s="7" t="str">
        <f>IF(OR($C458="",$C458="FID YOK"),"",IF(ISNUMBER(MATCH($C458,FA_ANA,0)),"",IF(COUNTIF($C$1:$C457,$C458)&gt;0,"",MAX($O$1:$O457)+1)))</f>
        <v/>
      </c>
      <c r="T458" s="7">
        <f>IF(ISNA(MATCH($C458,FA,0)),0,IF($J458="GIRIS",N(INDEX(F_INKOR,MATCH($C458,FA,0))),0))</f>
        <v>0</v>
      </c>
      <c r="Y458" s="7" t="e">
        <f>N(#REF!)*IF($E458="упак",MAX(1,IF(ISNA(MATCH($C458,FA,0)),1,N(INDEX(F_PAKET,MATCH($C458,FA,0))))),1)</f>
        <v>#REF!</v>
      </c>
      <c r="Z458" s="7" t="e">
        <f t="shared" si="138"/>
        <v>#REF!</v>
      </c>
      <c r="AA458" s="7">
        <f>IF(OR(ISNA(MATCH($C458,FA,0)),$J458="YEDEK",$J458="SARF"),0,N(#REF!)*N(INDEX(F_TEL,MATCH($C458,FA,0))))</f>
        <v>0</v>
      </c>
      <c r="AB458" s="7">
        <f>IF(OR(ISNA(MATCH($C458,FA,0)),$J458="YEDEK",$J458="SARF"),0,N(#REF!)*N(INDEX(F_TELM,MATCH($C458,FA,0))))</f>
        <v>0</v>
      </c>
      <c r="AC458" s="7" t="e">
        <f t="shared" si="139"/>
        <v>#REF!</v>
      </c>
      <c r="AD458" s="7">
        <f>IF(OR(ISNA(MATCH($C458,FA,0)),$J458&lt;&gt;"CIKIS"),0,N(INDEX(F_KK,MATCH($C458,FA,0))))</f>
        <v>0</v>
      </c>
      <c r="AE458" s="7">
        <f>IF($AD458=0,0,N(#REF!)*N(INDEX(F_KLN,MATCH($C458,FA,0))))</f>
        <v>0</v>
      </c>
      <c r="AF458" s="7">
        <f>IF($AD458=0,0,N(#REF!)*N(INDEX(F_KPE,MATCH($C458,FA,0))))</f>
        <v>0</v>
      </c>
      <c r="AG458" s="7" t="e">
        <f>IF(ISNA(MATCH($C458,FA,0)),0,N(#REF!)*N(INDEX(F_MODUL,MATCH($C458,FA,0))))</f>
        <v>#REF!</v>
      </c>
      <c r="AH458" s="7" t="e">
        <f>N(#REF!)*N($I458)</f>
        <v>#REF!</v>
      </c>
      <c r="AI458" s="7" t="e">
        <f t="shared" si="140"/>
        <v>#REF!</v>
      </c>
      <c r="AJ458" s="7">
        <f t="shared" si="141"/>
        <v>0</v>
      </c>
    </row>
    <row r="459" spans="1:36" x14ac:dyDescent="0.25">
      <c r="A459" s="4" t="str">
        <f t="shared" si="135"/>
        <v>ЩО-1, ЩО-2, ЩО-3 (260922 akram aulet)</v>
      </c>
      <c r="B459" s="4" t="s">
        <v>92</v>
      </c>
      <c r="C459" s="4" t="s">
        <v>523</v>
      </c>
      <c r="D459" s="4" t="s">
        <v>524</v>
      </c>
      <c r="E459" s="4" t="s">
        <v>520</v>
      </c>
      <c r="F459" s="4" t="s">
        <v>521</v>
      </c>
      <c r="G459" s="4" t="s">
        <v>258</v>
      </c>
      <c r="H459" s="5" t="e">
        <f>#REF!</f>
        <v>#REF!</v>
      </c>
      <c r="I459" s="6" t="e">
        <f t="shared" si="136"/>
        <v>#REF!</v>
      </c>
      <c r="J459" s="6" t="s">
        <v>84</v>
      </c>
      <c r="K459" s="6" t="s">
        <v>92</v>
      </c>
      <c r="L459" s="7" t="e">
        <f t="shared" si="137"/>
        <v>#REF!</v>
      </c>
      <c r="M459" s="7" t="s">
        <v>93</v>
      </c>
      <c r="O459" s="7" t="str">
        <f>IF(OR($C459="",$C459="FID YOK"),"",IF(ISNUMBER(MATCH($C459,FA_ANA,0)),"",IF(COUNTIF($C$1:$C458,$C459)&gt;0,"",MAX($O$1:$O458)+1)))</f>
        <v/>
      </c>
      <c r="T459" s="7">
        <f>IF(ISNA(MATCH($C459,FA,0)),0,IF($J459="GIRIS",N(INDEX(F_INKOR,MATCH($C459,FA,0))),0))</f>
        <v>0</v>
      </c>
      <c r="Y459" s="7" t="e">
        <f>N(#REF!)*IF($E459="упак",MAX(1,IF(ISNA(MATCH($C459,FA,0)),1,N(INDEX(F_PAKET,MATCH($C459,FA,0))))),1)</f>
        <v>#REF!</v>
      </c>
      <c r="Z459" s="7" t="e">
        <f t="shared" si="138"/>
        <v>#REF!</v>
      </c>
      <c r="AA459" s="7">
        <f>IF(OR(ISNA(MATCH($C459,FA,0)),$J459="YEDEK",$J459="SARF"),0,N(#REF!)*N(INDEX(F_TEL,MATCH($C459,FA,0))))</f>
        <v>0</v>
      </c>
      <c r="AB459" s="7">
        <f>IF(OR(ISNA(MATCH($C459,FA,0)),$J459="YEDEK",$J459="SARF"),0,N(#REF!)*N(INDEX(F_TELM,MATCH($C459,FA,0))))</f>
        <v>0</v>
      </c>
      <c r="AC459" s="7" t="e">
        <f t="shared" si="139"/>
        <v>#REF!</v>
      </c>
      <c r="AD459" s="7">
        <f>IF(OR(ISNA(MATCH($C459,FA,0)),$J459&lt;&gt;"CIKIS"),0,N(INDEX(F_KK,MATCH($C459,FA,0))))</f>
        <v>0</v>
      </c>
      <c r="AE459" s="7">
        <f>IF($AD459=0,0,N(#REF!)*N(INDEX(F_KLN,MATCH($C459,FA,0))))</f>
        <v>0</v>
      </c>
      <c r="AF459" s="7">
        <f>IF($AD459=0,0,N(#REF!)*N(INDEX(F_KPE,MATCH($C459,FA,0))))</f>
        <v>0</v>
      </c>
      <c r="AG459" s="7" t="e">
        <f>IF(ISNA(MATCH($C459,FA,0)),0,N(#REF!)*N(INDEX(F_MODUL,MATCH($C459,FA,0))))</f>
        <v>#REF!</v>
      </c>
      <c r="AH459" s="7" t="e">
        <f>N(#REF!)*N($I459)</f>
        <v>#REF!</v>
      </c>
      <c r="AI459" s="7" t="e">
        <f t="shared" si="140"/>
        <v>#REF!</v>
      </c>
      <c r="AJ459" s="7">
        <f t="shared" si="141"/>
        <v>0</v>
      </c>
    </row>
    <row r="460" spans="1:36" x14ac:dyDescent="0.25">
      <c r="A460" s="4" t="str">
        <f t="shared" si="135"/>
        <v>ЩО-1, ЩО-2, ЩО-3 (260922 akram aulet)</v>
      </c>
      <c r="B460" s="4" t="s">
        <v>92</v>
      </c>
      <c r="C460" s="4" t="s">
        <v>527</v>
      </c>
      <c r="D460" s="4" t="s">
        <v>528</v>
      </c>
      <c r="E460" s="4" t="s">
        <v>520</v>
      </c>
      <c r="F460" s="4" t="s">
        <v>521</v>
      </c>
      <c r="G460" s="4" t="s">
        <v>258</v>
      </c>
      <c r="H460" s="5" t="e">
        <f>#REF!</f>
        <v>#REF!</v>
      </c>
      <c r="I460" s="6" t="e">
        <f t="shared" si="136"/>
        <v>#REF!</v>
      </c>
      <c r="J460" s="6" t="s">
        <v>84</v>
      </c>
      <c r="K460" s="6" t="s">
        <v>92</v>
      </c>
      <c r="L460" s="7" t="e">
        <f t="shared" si="137"/>
        <v>#REF!</v>
      </c>
      <c r="M460" s="7" t="s">
        <v>94</v>
      </c>
      <c r="O460" s="7" t="str">
        <f>IF(OR($C460="",$C460="FID YOK"),"",IF(ISNUMBER(MATCH($C460,FA_ANA,0)),"",IF(COUNTIF($C$1:$C459,$C460)&gt;0,"",MAX($O$1:$O459)+1)))</f>
        <v/>
      </c>
      <c r="T460" s="7">
        <f>IF(ISNA(MATCH($C460,FA,0)),0,IF($J460="GIRIS",N(INDEX(F_INKOR,MATCH($C460,FA,0))),0))</f>
        <v>0</v>
      </c>
      <c r="Y460" s="7" t="e">
        <f>N(#REF!)*IF($E460="упак",MAX(1,IF(ISNA(MATCH($C460,FA,0)),1,N(INDEX(F_PAKET,MATCH($C460,FA,0))))),1)</f>
        <v>#REF!</v>
      </c>
      <c r="Z460" s="7" t="e">
        <f t="shared" si="138"/>
        <v>#REF!</v>
      </c>
      <c r="AA460" s="7">
        <f>IF(OR(ISNA(MATCH($C460,FA,0)),$J460="YEDEK",$J460="SARF"),0,N(#REF!)*N(INDEX(F_TEL,MATCH($C460,FA,0))))</f>
        <v>0</v>
      </c>
      <c r="AB460" s="7">
        <f>IF(OR(ISNA(MATCH($C460,FA,0)),$J460="YEDEK",$J460="SARF"),0,N(#REF!)*N(INDEX(F_TELM,MATCH($C460,FA,0))))</f>
        <v>0</v>
      </c>
      <c r="AC460" s="7" t="e">
        <f t="shared" si="139"/>
        <v>#REF!</v>
      </c>
      <c r="AD460" s="7">
        <f>IF(OR(ISNA(MATCH($C460,FA,0)),$J460&lt;&gt;"CIKIS"),0,N(INDEX(F_KK,MATCH($C460,FA,0))))</f>
        <v>0</v>
      </c>
      <c r="AE460" s="7">
        <f>IF($AD460=0,0,N(#REF!)*N(INDEX(F_KLN,MATCH($C460,FA,0))))</f>
        <v>0</v>
      </c>
      <c r="AF460" s="7">
        <f>IF($AD460=0,0,N(#REF!)*N(INDEX(F_KPE,MATCH($C460,FA,0))))</f>
        <v>0</v>
      </c>
      <c r="AG460" s="7" t="e">
        <f>IF(ISNA(MATCH($C460,FA,0)),0,N(#REF!)*N(INDEX(F_MODUL,MATCH($C460,FA,0))))</f>
        <v>#REF!</v>
      </c>
      <c r="AH460" s="7" t="e">
        <f>N(#REF!)*N($I460)</f>
        <v>#REF!</v>
      </c>
      <c r="AI460" s="7" t="e">
        <f t="shared" si="140"/>
        <v>#REF!</v>
      </c>
      <c r="AJ460" s="7">
        <f t="shared" si="141"/>
        <v>0</v>
      </c>
    </row>
    <row r="461" spans="1:36" x14ac:dyDescent="0.25">
      <c r="A461" s="4" t="str">
        <f t="shared" si="135"/>
        <v>ЩО-1, ЩО-2, ЩО-3 (260922 akram aulet)</v>
      </c>
      <c r="B461" s="4" t="s">
        <v>92</v>
      </c>
      <c r="C461" s="4" t="s">
        <v>531</v>
      </c>
      <c r="D461" s="4" t="s">
        <v>532</v>
      </c>
      <c r="E461" s="4" t="s">
        <v>520</v>
      </c>
      <c r="F461" s="4" t="s">
        <v>521</v>
      </c>
      <c r="G461" s="4" t="s">
        <v>258</v>
      </c>
      <c r="H461" s="5" t="e">
        <f>#REF!</f>
        <v>#REF!</v>
      </c>
      <c r="I461" s="6" t="e">
        <f t="shared" si="136"/>
        <v>#REF!</v>
      </c>
      <c r="J461" s="6" t="s">
        <v>84</v>
      </c>
      <c r="K461" s="6" t="s">
        <v>92</v>
      </c>
      <c r="L461" s="7" t="e">
        <f t="shared" si="137"/>
        <v>#REF!</v>
      </c>
      <c r="M461" s="7" t="s">
        <v>95</v>
      </c>
      <c r="O461" s="7" t="str">
        <f>IF(OR($C461="",$C461="FID YOK"),"",IF(ISNUMBER(MATCH($C461,FA_ANA,0)),"",IF(COUNTIF($C$1:$C460,$C461)&gt;0,"",MAX($O$1:$O460)+1)))</f>
        <v/>
      </c>
      <c r="T461" s="7">
        <f>IF(ISNA(MATCH($C461,FA,0)),0,IF($J461="GIRIS",N(INDEX(F_INKOR,MATCH($C461,FA,0))),0))</f>
        <v>0</v>
      </c>
      <c r="Y461" s="7" t="e">
        <f>N(#REF!)*IF($E461="упак",MAX(1,IF(ISNA(MATCH($C461,FA,0)),1,N(INDEX(F_PAKET,MATCH($C461,FA,0))))),1)</f>
        <v>#REF!</v>
      </c>
      <c r="Z461" s="7" t="e">
        <f t="shared" si="138"/>
        <v>#REF!</v>
      </c>
      <c r="AA461" s="7">
        <f>IF(OR(ISNA(MATCH($C461,FA,0)),$J461="YEDEK",$J461="SARF"),0,N(#REF!)*N(INDEX(F_TEL,MATCH($C461,FA,0))))</f>
        <v>0</v>
      </c>
      <c r="AB461" s="7">
        <f>IF(OR(ISNA(MATCH($C461,FA,0)),$J461="YEDEK",$J461="SARF"),0,N(#REF!)*N(INDEX(F_TELM,MATCH($C461,FA,0))))</f>
        <v>0</v>
      </c>
      <c r="AC461" s="7" t="e">
        <f t="shared" si="139"/>
        <v>#REF!</v>
      </c>
      <c r="AD461" s="7">
        <f>IF(OR(ISNA(MATCH($C461,FA,0)),$J461&lt;&gt;"CIKIS"),0,N(INDEX(F_KK,MATCH($C461,FA,0))))</f>
        <v>0</v>
      </c>
      <c r="AE461" s="7">
        <f>IF($AD461=0,0,N(#REF!)*N(INDEX(F_KLN,MATCH($C461,FA,0))))</f>
        <v>0</v>
      </c>
      <c r="AF461" s="7">
        <f>IF($AD461=0,0,N(#REF!)*N(INDEX(F_KPE,MATCH($C461,FA,0))))</f>
        <v>0</v>
      </c>
      <c r="AG461" s="7" t="e">
        <f>IF(ISNA(MATCH($C461,FA,0)),0,N(#REF!)*N(INDEX(F_MODUL,MATCH($C461,FA,0))))</f>
        <v>#REF!</v>
      </c>
      <c r="AH461" s="7" t="e">
        <f>N(#REF!)*N($I461)</f>
        <v>#REF!</v>
      </c>
      <c r="AI461" s="7" t="e">
        <f t="shared" si="140"/>
        <v>#REF!</v>
      </c>
      <c r="AJ461" s="7">
        <f t="shared" si="141"/>
        <v>0</v>
      </c>
    </row>
    <row r="462" spans="1:36" x14ac:dyDescent="0.25">
      <c r="A462" s="4" t="str">
        <f t="shared" si="135"/>
        <v>ЩО-1, ЩО-2, ЩО-3 (260922 akram aulet)</v>
      </c>
      <c r="B462" s="4" t="s">
        <v>92</v>
      </c>
      <c r="C462" s="4" t="s">
        <v>535</v>
      </c>
      <c r="D462" s="4" t="s">
        <v>536</v>
      </c>
      <c r="E462" s="4" t="s">
        <v>520</v>
      </c>
      <c r="F462" s="4" t="s">
        <v>521</v>
      </c>
      <c r="G462" s="4" t="s">
        <v>258</v>
      </c>
      <c r="H462" s="5" t="e">
        <f>#REF!</f>
        <v>#REF!</v>
      </c>
      <c r="I462" s="6" t="e">
        <f t="shared" si="136"/>
        <v>#REF!</v>
      </c>
      <c r="J462" s="6" t="s">
        <v>84</v>
      </c>
      <c r="K462" s="6" t="s">
        <v>92</v>
      </c>
      <c r="L462" s="7" t="e">
        <f t="shared" si="137"/>
        <v>#REF!</v>
      </c>
      <c r="M462" s="7" t="s">
        <v>130</v>
      </c>
      <c r="O462" s="7" t="str">
        <f>IF(OR($C462="",$C462="FID YOK"),"",IF(ISNUMBER(MATCH($C462,FA_ANA,0)),"",IF(COUNTIF($C$1:$C461,$C462)&gt;0,"",MAX($O$1:$O461)+1)))</f>
        <v/>
      </c>
      <c r="T462" s="7">
        <f>IF(ISNA(MATCH($C462,FA,0)),0,IF($J462="GIRIS",N(INDEX(F_INKOR,MATCH($C462,FA,0))),0))</f>
        <v>0</v>
      </c>
      <c r="Y462" s="7" t="e">
        <f>N(#REF!)*IF($E462="упак",MAX(1,IF(ISNA(MATCH($C462,FA,0)),1,N(INDEX(F_PAKET,MATCH($C462,FA,0))))),1)</f>
        <v>#REF!</v>
      </c>
      <c r="Z462" s="7" t="e">
        <f t="shared" si="138"/>
        <v>#REF!</v>
      </c>
      <c r="AA462" s="7">
        <f>IF(OR(ISNA(MATCH($C462,FA,0)),$J462="YEDEK",$J462="SARF"),0,N(#REF!)*N(INDEX(F_TEL,MATCH($C462,FA,0))))</f>
        <v>0</v>
      </c>
      <c r="AB462" s="7">
        <f>IF(OR(ISNA(MATCH($C462,FA,0)),$J462="YEDEK",$J462="SARF"),0,N(#REF!)*N(INDEX(F_TELM,MATCH($C462,FA,0))))</f>
        <v>0</v>
      </c>
      <c r="AC462" s="7" t="e">
        <f t="shared" si="139"/>
        <v>#REF!</v>
      </c>
      <c r="AD462" s="7">
        <f>IF(OR(ISNA(MATCH($C462,FA,0)),$J462&lt;&gt;"CIKIS"),0,N(INDEX(F_KK,MATCH($C462,FA,0))))</f>
        <v>0</v>
      </c>
      <c r="AE462" s="7">
        <f>IF($AD462=0,0,N(#REF!)*N(INDEX(F_KLN,MATCH($C462,FA,0))))</f>
        <v>0</v>
      </c>
      <c r="AF462" s="7">
        <f>IF($AD462=0,0,N(#REF!)*N(INDEX(F_KPE,MATCH($C462,FA,0))))</f>
        <v>0</v>
      </c>
      <c r="AG462" s="7" t="e">
        <f>IF(ISNA(MATCH($C462,FA,0)),0,N(#REF!)*N(INDEX(F_MODUL,MATCH($C462,FA,0))))</f>
        <v>#REF!</v>
      </c>
      <c r="AH462" s="7" t="e">
        <f>N(#REF!)*N($I462)</f>
        <v>#REF!</v>
      </c>
      <c r="AI462" s="7" t="e">
        <f t="shared" si="140"/>
        <v>#REF!</v>
      </c>
      <c r="AJ462" s="7">
        <f t="shared" si="141"/>
        <v>0</v>
      </c>
    </row>
    <row r="463" spans="1:36" x14ac:dyDescent="0.25">
      <c r="A463" s="4" t="str">
        <f t="shared" si="135"/>
        <v>ЩО-1, ЩО-2, ЩО-3 (260922 akram aulet)</v>
      </c>
      <c r="B463" s="4" t="s">
        <v>92</v>
      </c>
      <c r="C463" s="4" t="s">
        <v>535</v>
      </c>
      <c r="D463" s="4" t="s">
        <v>536</v>
      </c>
      <c r="E463" s="4" t="s">
        <v>520</v>
      </c>
      <c r="F463" s="4" t="s">
        <v>521</v>
      </c>
      <c r="G463" s="4" t="s">
        <v>258</v>
      </c>
      <c r="H463" s="5" t="e">
        <f>#REF!</f>
        <v>#REF!</v>
      </c>
      <c r="I463" s="6" t="e">
        <f t="shared" si="136"/>
        <v>#REF!</v>
      </c>
      <c r="J463" s="6" t="s">
        <v>84</v>
      </c>
      <c r="K463" s="6" t="s">
        <v>92</v>
      </c>
      <c r="L463" s="7" t="e">
        <f t="shared" si="137"/>
        <v>#REF!</v>
      </c>
      <c r="M463" s="7" t="s">
        <v>100</v>
      </c>
      <c r="O463" s="7" t="str">
        <f>IF(OR($C463="",$C463="FID YOK"),"",IF(ISNUMBER(MATCH($C463,FA_ANA,0)),"",IF(COUNTIF($C$1:$C462,$C463)&gt;0,"",MAX($O$1:$O462)+1)))</f>
        <v/>
      </c>
      <c r="T463" s="7">
        <f>IF(ISNA(MATCH($C463,FA,0)),0,IF($J463="GIRIS",N(INDEX(F_INKOR,MATCH($C463,FA,0))),0))</f>
        <v>0</v>
      </c>
      <c r="Y463" s="7" t="e">
        <f>N(#REF!)*IF($E463="упак",MAX(1,IF(ISNA(MATCH($C463,FA,0)),1,N(INDEX(F_PAKET,MATCH($C463,FA,0))))),1)</f>
        <v>#REF!</v>
      </c>
      <c r="Z463" s="7" t="e">
        <f t="shared" si="138"/>
        <v>#REF!</v>
      </c>
      <c r="AA463" s="7">
        <f>IF(OR(ISNA(MATCH($C463,FA,0)),$J463="YEDEK",$J463="SARF"),0,N(#REF!)*N(INDEX(F_TEL,MATCH($C463,FA,0))))</f>
        <v>0</v>
      </c>
      <c r="AB463" s="7">
        <f>IF(OR(ISNA(MATCH($C463,FA,0)),$J463="YEDEK",$J463="SARF"),0,N(#REF!)*N(INDEX(F_TELM,MATCH($C463,FA,0))))</f>
        <v>0</v>
      </c>
      <c r="AC463" s="7" t="e">
        <f t="shared" si="139"/>
        <v>#REF!</v>
      </c>
      <c r="AD463" s="7">
        <f>IF(OR(ISNA(MATCH($C463,FA,0)),$J463&lt;&gt;"CIKIS"),0,N(INDEX(F_KK,MATCH($C463,FA,0))))</f>
        <v>0</v>
      </c>
      <c r="AE463" s="7">
        <f>IF($AD463=0,0,N(#REF!)*N(INDEX(F_KLN,MATCH($C463,FA,0))))</f>
        <v>0</v>
      </c>
      <c r="AF463" s="7">
        <f>IF($AD463=0,0,N(#REF!)*N(INDEX(F_KPE,MATCH($C463,FA,0))))</f>
        <v>0</v>
      </c>
      <c r="AG463" s="7" t="e">
        <f>IF(ISNA(MATCH($C463,FA,0)),0,N(#REF!)*N(INDEX(F_MODUL,MATCH($C463,FA,0))))</f>
        <v>#REF!</v>
      </c>
      <c r="AH463" s="7" t="e">
        <f>N(#REF!)*N($I463)</f>
        <v>#REF!</v>
      </c>
      <c r="AI463" s="7" t="e">
        <f t="shared" si="140"/>
        <v>#REF!</v>
      </c>
      <c r="AJ463" s="7">
        <f t="shared" si="141"/>
        <v>0</v>
      </c>
    </row>
    <row r="464" spans="1:36" x14ac:dyDescent="0.25">
      <c r="A464" s="4" t="str">
        <f t="shared" si="135"/>
        <v>ЩО-1, ЩО-2, ЩО-3 (260922 akram aulet)</v>
      </c>
      <c r="B464" s="4" t="s">
        <v>101</v>
      </c>
      <c r="C464" s="4" t="s">
        <v>525</v>
      </c>
      <c r="D464" s="4" t="s">
        <v>526</v>
      </c>
      <c r="E464" s="4" t="s">
        <v>522</v>
      </c>
      <c r="F464" s="4" t="s">
        <v>486</v>
      </c>
      <c r="G464" s="4" t="s">
        <v>258</v>
      </c>
      <c r="H464" s="5" t="e">
        <f>#REF!</f>
        <v>#REF!</v>
      </c>
      <c r="I464" s="6" t="e">
        <f t="shared" si="136"/>
        <v>#REF!</v>
      </c>
      <c r="J464" s="6" t="s">
        <v>84</v>
      </c>
      <c r="K464" s="6" t="s">
        <v>101</v>
      </c>
      <c r="L464" s="7" t="e">
        <f t="shared" si="137"/>
        <v>#REF!</v>
      </c>
      <c r="M464" s="7" t="s">
        <v>102</v>
      </c>
      <c r="O464" s="7" t="str">
        <f>IF(OR($C464="",$C464="FID YOK"),"",IF(ISNUMBER(MATCH($C464,FA_ANA,0)),"",IF(COUNTIF($C$1:$C463,$C464)&gt;0,"",MAX($O$1:$O463)+1)))</f>
        <v/>
      </c>
      <c r="T464" s="7">
        <f>IF(ISNA(MATCH($C464,FA,0)),0,IF($J464="GIRIS",N(INDEX(F_INKOR,MATCH($C464,FA,0))),0))</f>
        <v>0</v>
      </c>
      <c r="Y464" s="7" t="e">
        <f>N(#REF!)*IF($E464="упак",MAX(1,IF(ISNA(MATCH($C464,FA,0)),1,N(INDEX(F_PAKET,MATCH($C464,FA,0))))),1)</f>
        <v>#REF!</v>
      </c>
      <c r="Z464" s="7" t="e">
        <f t="shared" si="138"/>
        <v>#REF!</v>
      </c>
      <c r="AA464" s="7">
        <f>IF(OR(ISNA(MATCH($C464,FA,0)),$J464="YEDEK",$J464="SARF"),0,N(#REF!)*N(INDEX(F_TEL,MATCH($C464,FA,0))))</f>
        <v>0</v>
      </c>
      <c r="AB464" s="7">
        <f>IF(OR(ISNA(MATCH($C464,FA,0)),$J464="YEDEK",$J464="SARF"),0,N(#REF!)*N(INDEX(F_TELM,MATCH($C464,FA,0))))</f>
        <v>0</v>
      </c>
      <c r="AC464" s="7" t="e">
        <f t="shared" si="139"/>
        <v>#REF!</v>
      </c>
      <c r="AD464" s="7">
        <f>IF(OR(ISNA(MATCH($C464,FA,0)),$J464&lt;&gt;"CIKIS"),0,N(INDEX(F_KK,MATCH($C464,FA,0))))</f>
        <v>0</v>
      </c>
      <c r="AE464" s="7">
        <f>IF($AD464=0,0,N(#REF!)*N(INDEX(F_KLN,MATCH($C464,FA,0))))</f>
        <v>0</v>
      </c>
      <c r="AF464" s="7">
        <f>IF($AD464=0,0,N(#REF!)*N(INDEX(F_KPE,MATCH($C464,FA,0))))</f>
        <v>0</v>
      </c>
      <c r="AG464" s="7" t="e">
        <f>IF(ISNA(MATCH($C464,FA,0)),0,N(#REF!)*N(INDEX(F_MODUL,MATCH($C464,FA,0))))</f>
        <v>#REF!</v>
      </c>
      <c r="AH464" s="7" t="e">
        <f>N(#REF!)*N($I464)</f>
        <v>#REF!</v>
      </c>
      <c r="AI464" s="7" t="e">
        <f t="shared" si="140"/>
        <v>#REF!</v>
      </c>
      <c r="AJ464" s="7">
        <f t="shared" si="141"/>
        <v>0</v>
      </c>
    </row>
    <row r="465" spans="1:36" x14ac:dyDescent="0.25">
      <c r="A465" s="4" t="str">
        <f t="shared" si="135"/>
        <v>ЩО-1, ЩО-2, ЩО-3 (260922 akram aulet)</v>
      </c>
      <c r="B465" s="4" t="s">
        <v>101</v>
      </c>
      <c r="C465" s="4" t="s">
        <v>529</v>
      </c>
      <c r="D465" s="4" t="s">
        <v>530</v>
      </c>
      <c r="E465" s="4" t="s">
        <v>522</v>
      </c>
      <c r="F465" s="4" t="s">
        <v>486</v>
      </c>
      <c r="G465" s="4" t="s">
        <v>258</v>
      </c>
      <c r="H465" s="5" t="e">
        <f>#REF!</f>
        <v>#REF!</v>
      </c>
      <c r="I465" s="6" t="e">
        <f t="shared" si="136"/>
        <v>#REF!</v>
      </c>
      <c r="J465" s="6" t="s">
        <v>84</v>
      </c>
      <c r="K465" s="6" t="s">
        <v>101</v>
      </c>
      <c r="L465" s="7" t="e">
        <f t="shared" si="137"/>
        <v>#REF!</v>
      </c>
      <c r="M465" s="7" t="s">
        <v>103</v>
      </c>
      <c r="O465" s="7" t="str">
        <f>IF(OR($C465="",$C465="FID YOK"),"",IF(ISNUMBER(MATCH($C465,FA_ANA,0)),"",IF(COUNTIF($C$1:$C464,$C465)&gt;0,"",MAX($O$1:$O464)+1)))</f>
        <v/>
      </c>
      <c r="T465" s="7">
        <f>IF(ISNA(MATCH($C465,FA,0)),0,IF($J465="GIRIS",N(INDEX(F_INKOR,MATCH($C465,FA,0))),0))</f>
        <v>0</v>
      </c>
      <c r="Y465" s="7" t="e">
        <f>N(#REF!)*IF($E465="упак",MAX(1,IF(ISNA(MATCH($C465,FA,0)),1,N(INDEX(F_PAKET,MATCH($C465,FA,0))))),1)</f>
        <v>#REF!</v>
      </c>
      <c r="Z465" s="7" t="e">
        <f t="shared" si="138"/>
        <v>#REF!</v>
      </c>
      <c r="AA465" s="7">
        <f>IF(OR(ISNA(MATCH($C465,FA,0)),$J465="YEDEK",$J465="SARF"),0,N(#REF!)*N(INDEX(F_TEL,MATCH($C465,FA,0))))</f>
        <v>0</v>
      </c>
      <c r="AB465" s="7">
        <f>IF(OR(ISNA(MATCH($C465,FA,0)),$J465="YEDEK",$J465="SARF"),0,N(#REF!)*N(INDEX(F_TELM,MATCH($C465,FA,0))))</f>
        <v>0</v>
      </c>
      <c r="AC465" s="7" t="e">
        <f t="shared" si="139"/>
        <v>#REF!</v>
      </c>
      <c r="AD465" s="7">
        <f>IF(OR(ISNA(MATCH($C465,FA,0)),$J465&lt;&gt;"CIKIS"),0,N(INDEX(F_KK,MATCH($C465,FA,0))))</f>
        <v>0</v>
      </c>
      <c r="AE465" s="7">
        <f>IF($AD465=0,0,N(#REF!)*N(INDEX(F_KLN,MATCH($C465,FA,0))))</f>
        <v>0</v>
      </c>
      <c r="AF465" s="7">
        <f>IF($AD465=0,0,N(#REF!)*N(INDEX(F_KPE,MATCH($C465,FA,0))))</f>
        <v>0</v>
      </c>
      <c r="AG465" s="7" t="e">
        <f>IF(ISNA(MATCH($C465,FA,0)),0,N(#REF!)*N(INDEX(F_MODUL,MATCH($C465,FA,0))))</f>
        <v>#REF!</v>
      </c>
      <c r="AH465" s="7" t="e">
        <f>N(#REF!)*N($I465)</f>
        <v>#REF!</v>
      </c>
      <c r="AI465" s="7" t="e">
        <f t="shared" si="140"/>
        <v>#REF!</v>
      </c>
      <c r="AJ465" s="7">
        <f t="shared" si="141"/>
        <v>0</v>
      </c>
    </row>
    <row r="466" spans="1:36" x14ac:dyDescent="0.25">
      <c r="A466" s="4" t="str">
        <f t="shared" si="135"/>
        <v>ЩО-1, ЩО-2, ЩО-3 (260922 akram aulet)</v>
      </c>
      <c r="B466" s="4" t="s">
        <v>101</v>
      </c>
      <c r="C466" s="4" t="s">
        <v>533</v>
      </c>
      <c r="D466" s="4" t="s">
        <v>534</v>
      </c>
      <c r="E466" s="4" t="s">
        <v>522</v>
      </c>
      <c r="F466" s="4" t="s">
        <v>486</v>
      </c>
      <c r="G466" s="4" t="s">
        <v>258</v>
      </c>
      <c r="H466" s="5" t="e">
        <f>#REF!</f>
        <v>#REF!</v>
      </c>
      <c r="I466" s="6" t="e">
        <f t="shared" si="136"/>
        <v>#REF!</v>
      </c>
      <c r="J466" s="6" t="s">
        <v>84</v>
      </c>
      <c r="K466" s="6" t="s">
        <v>101</v>
      </c>
      <c r="L466" s="7" t="e">
        <f t="shared" si="137"/>
        <v>#REF!</v>
      </c>
      <c r="M466" s="7" t="s">
        <v>104</v>
      </c>
      <c r="O466" s="7" t="str">
        <f>IF(OR($C466="",$C466="FID YOK"),"",IF(ISNUMBER(MATCH($C466,FA_ANA,0)),"",IF(COUNTIF($C$1:$C465,$C466)&gt;0,"",MAX($O$1:$O465)+1)))</f>
        <v/>
      </c>
      <c r="T466" s="7">
        <f>IF(ISNA(MATCH($C466,FA,0)),0,IF($J466="GIRIS",N(INDEX(F_INKOR,MATCH($C466,FA,0))),0))</f>
        <v>0</v>
      </c>
      <c r="Y466" s="7" t="e">
        <f>N(#REF!)*IF($E466="упак",MAX(1,IF(ISNA(MATCH($C466,FA,0)),1,N(INDEX(F_PAKET,MATCH($C466,FA,0))))),1)</f>
        <v>#REF!</v>
      </c>
      <c r="Z466" s="7" t="e">
        <f t="shared" si="138"/>
        <v>#REF!</v>
      </c>
      <c r="AA466" s="7">
        <f>IF(OR(ISNA(MATCH($C466,FA,0)),$J466="YEDEK",$J466="SARF"),0,N(#REF!)*N(INDEX(F_TEL,MATCH($C466,FA,0))))</f>
        <v>0</v>
      </c>
      <c r="AB466" s="7">
        <f>IF(OR(ISNA(MATCH($C466,FA,0)),$J466="YEDEK",$J466="SARF"),0,N(#REF!)*N(INDEX(F_TELM,MATCH($C466,FA,0))))</f>
        <v>0</v>
      </c>
      <c r="AC466" s="7" t="e">
        <f t="shared" si="139"/>
        <v>#REF!</v>
      </c>
      <c r="AD466" s="7">
        <f>IF(OR(ISNA(MATCH($C466,FA,0)),$J466&lt;&gt;"CIKIS"),0,N(INDEX(F_KK,MATCH($C466,FA,0))))</f>
        <v>0</v>
      </c>
      <c r="AE466" s="7">
        <f>IF($AD466=0,0,N(#REF!)*N(INDEX(F_KLN,MATCH($C466,FA,0))))</f>
        <v>0</v>
      </c>
      <c r="AF466" s="7">
        <f>IF($AD466=0,0,N(#REF!)*N(INDEX(F_KPE,MATCH($C466,FA,0))))</f>
        <v>0</v>
      </c>
      <c r="AG466" s="7" t="e">
        <f>IF(ISNA(MATCH($C466,FA,0)),0,N(#REF!)*N(INDEX(F_MODUL,MATCH($C466,FA,0))))</f>
        <v>#REF!</v>
      </c>
      <c r="AH466" s="7" t="e">
        <f>N(#REF!)*N($I466)</f>
        <v>#REF!</v>
      </c>
      <c r="AI466" s="7" t="e">
        <f t="shared" si="140"/>
        <v>#REF!</v>
      </c>
      <c r="AJ466" s="7">
        <f t="shared" si="141"/>
        <v>0</v>
      </c>
    </row>
    <row r="467" spans="1:36" x14ac:dyDescent="0.25">
      <c r="A467" s="4" t="str">
        <f t="shared" si="135"/>
        <v>ЩО-1, ЩО-2, ЩО-3 (260922 akram aulet)</v>
      </c>
      <c r="B467" s="4" t="s">
        <v>101</v>
      </c>
      <c r="C467" s="4" t="s">
        <v>537</v>
      </c>
      <c r="D467" s="4" t="s">
        <v>538</v>
      </c>
      <c r="E467" s="4" t="s">
        <v>522</v>
      </c>
      <c r="F467" s="4" t="s">
        <v>486</v>
      </c>
      <c r="G467" s="4" t="s">
        <v>258</v>
      </c>
      <c r="H467" s="5" t="e">
        <f>#REF!</f>
        <v>#REF!</v>
      </c>
      <c r="I467" s="6" t="e">
        <f t="shared" si="136"/>
        <v>#REF!</v>
      </c>
      <c r="J467" s="6" t="s">
        <v>84</v>
      </c>
      <c r="K467" s="6" t="s">
        <v>101</v>
      </c>
      <c r="L467" s="7" t="e">
        <f t="shared" si="137"/>
        <v>#REF!</v>
      </c>
      <c r="M467" s="7" t="s">
        <v>205</v>
      </c>
      <c r="O467" s="7" t="str">
        <f>IF(OR($C467="",$C467="FID YOK"),"",IF(ISNUMBER(MATCH($C467,FA_ANA,0)),"",IF(COUNTIF($C$1:$C466,$C467)&gt;0,"",MAX($O$1:$O466)+1)))</f>
        <v/>
      </c>
      <c r="T467" s="7">
        <f>IF(ISNA(MATCH($C467,FA,0)),0,IF($J467="GIRIS",N(INDEX(F_INKOR,MATCH($C467,FA,0))),0))</f>
        <v>0</v>
      </c>
      <c r="Y467" s="7" t="e">
        <f>N(#REF!)*IF($E467="упак",MAX(1,IF(ISNA(MATCH($C467,FA,0)),1,N(INDEX(F_PAKET,MATCH($C467,FA,0))))),1)</f>
        <v>#REF!</v>
      </c>
      <c r="Z467" s="7" t="e">
        <f t="shared" si="138"/>
        <v>#REF!</v>
      </c>
      <c r="AA467" s="7">
        <f>IF(OR(ISNA(MATCH($C467,FA,0)),$J467="YEDEK",$J467="SARF"),0,N(#REF!)*N(INDEX(F_TEL,MATCH($C467,FA,0))))</f>
        <v>0</v>
      </c>
      <c r="AB467" s="7">
        <f>IF(OR(ISNA(MATCH($C467,FA,0)),$J467="YEDEK",$J467="SARF"),0,N(#REF!)*N(INDEX(F_TELM,MATCH($C467,FA,0))))</f>
        <v>0</v>
      </c>
      <c r="AC467" s="7" t="e">
        <f t="shared" si="139"/>
        <v>#REF!</v>
      </c>
      <c r="AD467" s="7">
        <f>IF(OR(ISNA(MATCH($C467,FA,0)),$J467&lt;&gt;"CIKIS"),0,N(INDEX(F_KK,MATCH($C467,FA,0))))</f>
        <v>0</v>
      </c>
      <c r="AE467" s="7">
        <f>IF($AD467=0,0,N(#REF!)*N(INDEX(F_KLN,MATCH($C467,FA,0))))</f>
        <v>0</v>
      </c>
      <c r="AF467" s="7">
        <f>IF($AD467=0,0,N(#REF!)*N(INDEX(F_KPE,MATCH($C467,FA,0))))</f>
        <v>0</v>
      </c>
      <c r="AG467" s="7" t="e">
        <f>IF(ISNA(MATCH($C467,FA,0)),0,N(#REF!)*N(INDEX(F_MODUL,MATCH($C467,FA,0))))</f>
        <v>#REF!</v>
      </c>
      <c r="AH467" s="7" t="e">
        <f>N(#REF!)*N($I467)</f>
        <v>#REF!</v>
      </c>
      <c r="AI467" s="7" t="e">
        <f t="shared" si="140"/>
        <v>#REF!</v>
      </c>
      <c r="AJ467" s="7">
        <f t="shared" si="141"/>
        <v>0</v>
      </c>
    </row>
    <row r="468" spans="1:36" x14ac:dyDescent="0.25">
      <c r="A468" s="4" t="str">
        <f t="shared" si="135"/>
        <v>ЩО-1, ЩО-2, ЩО-3 (260922 akram aulet)</v>
      </c>
      <c r="B468" s="4" t="s">
        <v>105</v>
      </c>
      <c r="C468" s="4" t="s">
        <v>539</v>
      </c>
      <c r="D468" s="4" t="s">
        <v>540</v>
      </c>
      <c r="E468" s="4" t="s">
        <v>114</v>
      </c>
      <c r="F468" s="4" t="s">
        <v>486</v>
      </c>
      <c r="G468" s="4" t="s">
        <v>258</v>
      </c>
      <c r="H468" s="5" t="e">
        <f>#REF!</f>
        <v>#REF!</v>
      </c>
      <c r="I468" s="6" t="e">
        <f t="shared" si="136"/>
        <v>#REF!</v>
      </c>
      <c r="J468" s="6" t="s">
        <v>84</v>
      </c>
      <c r="K468" s="6" t="s">
        <v>105</v>
      </c>
      <c r="L468" s="7" t="e">
        <f t="shared" si="137"/>
        <v>#REF!</v>
      </c>
      <c r="M468" s="7" t="s">
        <v>110</v>
      </c>
      <c r="O468" s="7" t="str">
        <f>IF(OR($C468="",$C468="FID YOK"),"",IF(ISNUMBER(MATCH($C468,FA_ANA,0)),"",IF(COUNTIF($C$1:$C467,$C468)&gt;0,"",MAX($O$1:$O467)+1)))</f>
        <v/>
      </c>
      <c r="T468" s="7">
        <f>IF(ISNA(MATCH($C468,FA,0)),0,IF($J468="GIRIS",N(INDEX(F_INKOR,MATCH($C468,FA,0))),0))</f>
        <v>0</v>
      </c>
      <c r="Y468" s="7" t="e">
        <f>N(#REF!)*IF($E468="упак",MAX(1,IF(ISNA(MATCH($C468,FA,0)),1,N(INDEX(F_PAKET,MATCH($C468,FA,0))))),1)</f>
        <v>#REF!</v>
      </c>
      <c r="Z468" s="7" t="e">
        <f t="shared" si="138"/>
        <v>#REF!</v>
      </c>
      <c r="AA468" s="7">
        <f>IF(OR(ISNA(MATCH($C468,FA,0)),$J468="YEDEK",$J468="SARF"),0,N(#REF!)*N(INDEX(F_TEL,MATCH($C468,FA,0))))</f>
        <v>0</v>
      </c>
      <c r="AB468" s="7">
        <f>IF(OR(ISNA(MATCH($C468,FA,0)),$J468="YEDEK",$J468="SARF"),0,N(#REF!)*N(INDEX(F_TELM,MATCH($C468,FA,0))))</f>
        <v>0</v>
      </c>
      <c r="AC468" s="7" t="e">
        <f t="shared" si="139"/>
        <v>#REF!</v>
      </c>
      <c r="AD468" s="7">
        <f>IF(OR(ISNA(MATCH($C468,FA,0)),$J468&lt;&gt;"CIKIS"),0,N(INDEX(F_KK,MATCH($C468,FA,0))))</f>
        <v>0</v>
      </c>
      <c r="AE468" s="7">
        <f>IF($AD468=0,0,N(#REF!)*N(INDEX(F_KLN,MATCH($C468,FA,0))))</f>
        <v>0</v>
      </c>
      <c r="AF468" s="7">
        <f>IF($AD468=0,0,N(#REF!)*N(INDEX(F_KPE,MATCH($C468,FA,0))))</f>
        <v>0</v>
      </c>
      <c r="AG468" s="7" t="e">
        <f>IF(ISNA(MATCH($C468,FA,0)),0,N(#REF!)*N(INDEX(F_MODUL,MATCH($C468,FA,0))))</f>
        <v>#REF!</v>
      </c>
      <c r="AH468" s="7" t="e">
        <f>N(#REF!)*N($I468)</f>
        <v>#REF!</v>
      </c>
      <c r="AI468" s="7" t="e">
        <f t="shared" si="140"/>
        <v>#REF!</v>
      </c>
      <c r="AJ468" s="7">
        <f t="shared" si="141"/>
        <v>0</v>
      </c>
    </row>
    <row r="469" spans="1:36" x14ac:dyDescent="0.25">
      <c r="A469" s="4" t="str">
        <f t="shared" si="135"/>
        <v>ЩО-1, ЩО-2, ЩО-3 (260922 akram aulet)</v>
      </c>
      <c r="B469" s="4" t="s">
        <v>111</v>
      </c>
      <c r="C469" s="4" t="s">
        <v>571</v>
      </c>
      <c r="D469" s="4" t="s">
        <v>572</v>
      </c>
      <c r="E469" s="4" t="s">
        <v>522</v>
      </c>
      <c r="F469" s="4" t="s">
        <v>486</v>
      </c>
      <c r="G469" s="4" t="s">
        <v>258</v>
      </c>
      <c r="H469" s="5" t="e">
        <f>#REF!</f>
        <v>#REF!</v>
      </c>
      <c r="I469" s="6" t="e">
        <f t="shared" si="136"/>
        <v>#REF!</v>
      </c>
      <c r="J469" s="6" t="s">
        <v>84</v>
      </c>
      <c r="K469" s="6" t="s">
        <v>111</v>
      </c>
      <c r="L469" s="7" t="e">
        <f t="shared" si="137"/>
        <v>#REF!</v>
      </c>
      <c r="M469" s="7" t="s">
        <v>112</v>
      </c>
      <c r="O469" s="7" t="str">
        <f>IF(OR($C469="",$C469="FID YOK"),"",IF(ISNUMBER(MATCH($C469,FA_ANA,0)),"",IF(COUNTIF($C$1:$C468,$C469)&gt;0,"",MAX($O$1:$O468)+1)))</f>
        <v/>
      </c>
      <c r="T469" s="7">
        <f>IF(ISNA(MATCH($C469,FA,0)),0,IF($J469="GIRIS",N(INDEX(F_INKOR,MATCH($C469,FA,0))),0))</f>
        <v>0</v>
      </c>
      <c r="Y469" s="7" t="e">
        <f>N(#REF!)*IF($E469="упак",MAX(1,IF(ISNA(MATCH($C469,FA,0)),1,N(INDEX(F_PAKET,MATCH($C469,FA,0))))),1)</f>
        <v>#REF!</v>
      </c>
      <c r="Z469" s="7" t="e">
        <f t="shared" si="138"/>
        <v>#REF!</v>
      </c>
      <c r="AA469" s="7">
        <f>IF(OR(ISNA(MATCH($C469,FA,0)),$J469="YEDEK",$J469="SARF"),0,N(#REF!)*N(INDEX(F_TEL,MATCH($C469,FA,0))))</f>
        <v>0</v>
      </c>
      <c r="AB469" s="7">
        <f>IF(OR(ISNA(MATCH($C469,FA,0)),$J469="YEDEK",$J469="SARF"),0,N(#REF!)*N(INDEX(F_TELM,MATCH($C469,FA,0))))</f>
        <v>0</v>
      </c>
      <c r="AC469" s="7" t="e">
        <f t="shared" si="139"/>
        <v>#REF!</v>
      </c>
      <c r="AD469" s="7">
        <f>IF(OR(ISNA(MATCH($C469,FA,0)),$J469&lt;&gt;"CIKIS"),0,N(INDEX(F_KK,MATCH($C469,FA,0))))</f>
        <v>0</v>
      </c>
      <c r="AE469" s="7">
        <f>IF($AD469=0,0,N(#REF!)*N(INDEX(F_KLN,MATCH($C469,FA,0))))</f>
        <v>0</v>
      </c>
      <c r="AF469" s="7">
        <f>IF($AD469=0,0,N(#REF!)*N(INDEX(F_KPE,MATCH($C469,FA,0))))</f>
        <v>0</v>
      </c>
      <c r="AG469" s="7" t="e">
        <f>IF(ISNA(MATCH($C469,FA,0)),0,N(#REF!)*N(INDEX(F_MODUL,MATCH($C469,FA,0))))</f>
        <v>#REF!</v>
      </c>
      <c r="AH469" s="7" t="e">
        <f>N(#REF!)*N($I469)</f>
        <v>#REF!</v>
      </c>
      <c r="AI469" s="7" t="e">
        <f t="shared" si="140"/>
        <v>#REF!</v>
      </c>
      <c r="AJ469" s="7">
        <f t="shared" si="141"/>
        <v>0</v>
      </c>
    </row>
    <row r="470" spans="1:36" x14ac:dyDescent="0.25">
      <c r="A470" s="4" t="str">
        <f t="shared" si="135"/>
        <v>ЩО-1, ЩО-2, ЩО-3 (260922 akram aulet)</v>
      </c>
      <c r="B470" s="4" t="s">
        <v>113</v>
      </c>
      <c r="C470" s="4" t="s">
        <v>113</v>
      </c>
      <c r="D470" s="4" t="s">
        <v>113</v>
      </c>
      <c r="E470" s="4" t="s">
        <v>114</v>
      </c>
      <c r="F470" s="4" t="s">
        <v>113</v>
      </c>
      <c r="G470" s="4" t="s">
        <v>258</v>
      </c>
      <c r="H470" s="5" t="e">
        <f>#REF!</f>
        <v>#REF!</v>
      </c>
      <c r="I470" s="6" t="e">
        <f t="shared" si="136"/>
        <v>#REF!</v>
      </c>
    </row>
    <row r="471" spans="1:36" x14ac:dyDescent="0.25">
      <c r="A471" s="4" t="str">
        <f t="shared" si="135"/>
        <v>ЩО-1, ЩО-2, ЩО-3 (260922 akram aulet)</v>
      </c>
      <c r="B471" s="4" t="s">
        <v>115</v>
      </c>
      <c r="C471" s="4" t="s">
        <v>115</v>
      </c>
      <c r="D471" s="4" t="s">
        <v>115</v>
      </c>
      <c r="E471" s="4" t="s">
        <v>116</v>
      </c>
      <c r="F471" s="4" t="s">
        <v>115</v>
      </c>
      <c r="G471" s="4" t="s">
        <v>258</v>
      </c>
      <c r="H471" s="5" t="e">
        <f>#REF!</f>
        <v>#REF!</v>
      </c>
      <c r="I471" s="6" t="e">
        <f t="shared" si="136"/>
        <v>#REF!</v>
      </c>
    </row>
    <row r="472" spans="1:36" x14ac:dyDescent="0.25">
      <c r="A472" s="1" t="str">
        <f>D472</f>
        <v>ЩО-4, ЩО-5, ЩО-6 (260922 akram aulet)</v>
      </c>
      <c r="B472" s="12"/>
      <c r="C472" s="2"/>
      <c r="D472" s="1" t="s">
        <v>273</v>
      </c>
      <c r="E472" s="1" t="s">
        <v>36</v>
      </c>
      <c r="F472" s="1" t="s">
        <v>37</v>
      </c>
      <c r="G472" s="1" t="s">
        <v>274</v>
      </c>
      <c r="I472" s="3" t="e">
        <f>#REF!</f>
        <v>#REF!</v>
      </c>
    </row>
    <row r="473" spans="1:36" x14ac:dyDescent="0.25">
      <c r="A473" s="4" t="str">
        <f t="shared" ref="A473:A496" si="144">A472</f>
        <v>ЩО-4, ЩО-5, ЩО-6 (260922 akram aulet)</v>
      </c>
      <c r="B473" s="4" t="s">
        <v>39</v>
      </c>
      <c r="C473" s="4" t="s">
        <v>498</v>
      </c>
      <c r="D473" s="4" t="s">
        <v>499</v>
      </c>
      <c r="E473" s="4" t="s">
        <v>114</v>
      </c>
      <c r="F473" s="4" t="s">
        <v>491</v>
      </c>
      <c r="G473" s="4" t="s">
        <v>274</v>
      </c>
      <c r="H473" s="5" t="e">
        <f>#REF!</f>
        <v>#REF!</v>
      </c>
      <c r="I473" s="6" t="e">
        <f t="shared" ref="I473:I496" si="145">I472</f>
        <v>#REF!</v>
      </c>
      <c r="J473" s="6" t="s">
        <v>40</v>
      </c>
      <c r="K473" s="6" t="s">
        <v>195</v>
      </c>
      <c r="L473" s="7" t="e">
        <f t="shared" ref="L473:L494" si="146">IF(ISNA(MATCH($C473,FA,0)),"ARTİKÜL YOK",INDEX(FIYAT_DURUM,MATCH($C473,FA,0)))</f>
        <v>#REF!</v>
      </c>
      <c r="M473" s="7" t="s">
        <v>275</v>
      </c>
      <c r="N473" s="7" t="s">
        <v>276</v>
      </c>
      <c r="O473" s="7">
        <f>IF(OR($C473="",$C473="FID YOK"),"",IF(ISNUMBER(MATCH($C473,FA_ANA,0)),"",IF(COUNTIF($C$1:$C472,$C473)&gt;0,"",MAX($O$1:$O472)+1)))</f>
        <v>90</v>
      </c>
      <c r="Q473" s="7"/>
      <c r="R473" s="7"/>
      <c r="S473" s="7"/>
      <c r="T473" s="7">
        <f>IF(ISNA(MATCH($C473,FA,0)),0,IF($J473="GIRIS",N(INDEX(F_INKOR,MATCH($C473,FA,0))),0))</f>
        <v>0</v>
      </c>
      <c r="U473" s="7"/>
      <c r="V473" s="7"/>
      <c r="W473" s="7"/>
      <c r="X473" s="7"/>
      <c r="Y473" s="7" t="e">
        <f>N(#REF!)*IF($E473="упак",MAX(1,IF(ISNA(MATCH($C473,FA,0)),1,N(INDEX(F_PAKET,MATCH($C473,FA,0))))),1)</f>
        <v>#REF!</v>
      </c>
      <c r="Z473" s="7" t="e">
        <f t="shared" ref="Z473:Z494" si="147">IF(ISNA(MATCH($C473,FA,0)),0,N(INDEX(F_BK,MATCH($C473,FA,0))))</f>
        <v>#REF!</v>
      </c>
      <c r="AA473" s="7" t="e">
        <f>IF(OR(ISNA(MATCH($C473,FA,0)),$J473="YEDEK",$J473="SARF"),0,N(#REF!)*N(INDEX(F_TEL,MATCH($C473,FA,0))))</f>
        <v>#REF!</v>
      </c>
      <c r="AB473" s="7" t="e">
        <f>IF(OR(ISNA(MATCH($C473,FA,0)),$J473="YEDEK",$J473="SARF"),0,N(#REF!)*N(INDEX(F_TELM,MATCH($C473,FA,0))))</f>
        <v>#REF!</v>
      </c>
      <c r="AC473" s="7" t="e">
        <f t="shared" ref="AC473:AC494" si="148">IF(ISNA(MATCH($C473,FA,0)),"",INDEX(F_UC,MATCH($C473,FA,0))&amp;"")</f>
        <v>#REF!</v>
      </c>
      <c r="AD473" s="7">
        <f>IF(OR(ISNA(MATCH($C473,FA,0)),$J473&lt;&gt;"CIKIS"),0,N(INDEX(F_KK,MATCH($C473,FA,0))))</f>
        <v>0</v>
      </c>
      <c r="AE473" s="7">
        <f>IF($AD473=0,0,N(#REF!)*N(INDEX(F_KLN,MATCH($C473,FA,0))))</f>
        <v>0</v>
      </c>
      <c r="AF473" s="7">
        <f>IF($AD473=0,0,N(#REF!)*N(INDEX(F_KPE,MATCH($C473,FA,0))))</f>
        <v>0</v>
      </c>
      <c r="AG473" s="7" t="e">
        <f>IF(ISNA(MATCH($C473,FA,0)),0,N(#REF!)*N(INDEX(F_MODUL,MATCH($C473,FA,0))))</f>
        <v>#REF!</v>
      </c>
      <c r="AH473" s="7" t="e">
        <f>N(#REF!)*N($I473)</f>
        <v>#REF!</v>
      </c>
      <c r="AI473" s="7" t="e">
        <f t="shared" ref="AI473:AI494" si="149">IF(ISNA(MATCH($K473,TIP_AD,0)),"YOK",IF(INDEX(NORM_DK,MATCH($K473,TIP_AD,0))="","BOŞ",INDEX(NORM_DK,MATCH($K473,TIP_AD,0))))</f>
        <v>#REF!</v>
      </c>
      <c r="AJ473" s="7">
        <f t="shared" ref="AJ473:AJ494" si="150">IF(ISNUMBER($AI473),$Y473*$AI473,0)</f>
        <v>0</v>
      </c>
    </row>
    <row r="474" spans="1:36" x14ac:dyDescent="0.25">
      <c r="A474" s="4" t="str">
        <f t="shared" si="144"/>
        <v>ЩО-4, ЩО-5, ЩО-6 (260922 akram aulet)</v>
      </c>
      <c r="B474" s="4" t="s">
        <v>198</v>
      </c>
      <c r="C474" s="4" t="s">
        <v>380</v>
      </c>
      <c r="D474" s="4" t="s">
        <v>381</v>
      </c>
      <c r="E474" s="4" t="s">
        <v>114</v>
      </c>
      <c r="F474" s="4" t="s">
        <v>377</v>
      </c>
      <c r="G474" s="4" t="s">
        <v>274</v>
      </c>
      <c r="H474" s="5" t="e">
        <f>#REF!</f>
        <v>#REF!</v>
      </c>
      <c r="I474" s="6" t="e">
        <f t="shared" si="145"/>
        <v>#REF!</v>
      </c>
      <c r="J474" s="6" t="s">
        <v>48</v>
      </c>
      <c r="K474" s="6" t="s">
        <v>198</v>
      </c>
      <c r="L474" s="7" t="e">
        <f t="shared" si="146"/>
        <v>#REF!</v>
      </c>
      <c r="M474" s="7" t="s">
        <v>261</v>
      </c>
      <c r="N474" s="7" t="s">
        <v>200</v>
      </c>
      <c r="O474" s="7" t="str">
        <f>IF(OR($C474="",$C474="FID YOK"),"",IF(ISNUMBER(MATCH($C474,FA_ANA,0)),"",IF(COUNTIF($C$1:$C473,$C474)&gt;0,"",MAX($O$1:$O473)+1)))</f>
        <v/>
      </c>
      <c r="P474" s="8">
        <v>1</v>
      </c>
      <c r="Q474" s="7" t="e">
        <f>IF(OR($P474="",$P474="G",ISNA(MATCH($C474,FA,0))),"",IF(N(INDEX(F_G,MATCH($C474,FA,0)))&gt;0,INDEX(F_G,MATCH($C474,FA,0)),IF(N(INDEX(F_MODUL,MATCH($C474,FA,0)))&gt;0,INDEX(F_MODUL,MATCH($C474,FA,0))*MODUL_MM,"")))</f>
        <v>#REF!</v>
      </c>
      <c r="R474" s="7" t="e">
        <f>IF(OR($P474="",$P474="G",ISNA(MATCH($C474,FA,0))),"",IF(N(INDEX(F_Y,MATCH($C474,FA,0)))&gt;0,INDEX(F_Y,MATCH($C474,FA,0)),""))</f>
        <v>#REF!</v>
      </c>
      <c r="S474" s="7" t="e">
        <f>IF(OR($P474="",$P474="G",ISNA(MATCH($C474,FA,0))),"",IF(N(INDEX(F_D,MATCH($C474,FA,0)))&gt;0,INDEX(F_D,MATCH($C474,FA,0)),""))</f>
        <v>#REF!</v>
      </c>
      <c r="T474" s="7" t="e">
        <f>IF(ISNA(MATCH($C474,FA,0)),0,IF($J474="GIRIS",N(INDEX(F_INKOR,MATCH($C474,FA,0))),0))</f>
        <v>#REF!</v>
      </c>
      <c r="U474" s="7" t="e">
        <f t="shared" ref="U474:U481" si="151">IF(ISNA(MATCH($B474,TIP_AD,0)),"",INDEX(TIP_KAT,MATCH($B474,TIP_AD,0))&amp;"")</f>
        <v>#REF!</v>
      </c>
      <c r="V474" s="7" t="e">
        <f t="shared" ref="V474:V481" si="152">IF(NOT(ISNUMBER($P474)),"",IF($Z474=0,0,IF(ISNA(MATCH($Z474,BUK_KESIT,0)),"",IF(INDEX(BUK_ALAN,MATCH($Z474,BUK_KESIT,0))&amp;""="","",INDEX(BUK_ALAN,MATCH($Z474,BUK_KESIT,0))))))</f>
        <v>#REF!</v>
      </c>
      <c r="W474" s="7" t="e">
        <f>IF(OR(NOT(ISNUMBER($P474)),$Q474=""),"",N(#REF!)*($Q474+IF(ISNA(MATCH($B474,TIP_AD,0)),0,N(INDEX(TIP_BOSLUK,MATCH($B474,TIP_AD,0))))))</f>
        <v>#REF!</v>
      </c>
      <c r="X474" s="7" t="e">
        <f>IF(ISNUMBER($P474),($Q474="")+($R474="")+($V474="")+IF(AND($U474="KONTAKTOR",NOT(ISNA(MATCH($B474,TIP_AD,0)))),IF(INDEX(TIP_BOSLUK,MATCH($B474,TIP_AD,0))&amp;""="",1,0),0),IF($P474="K",IF($S474="",1,0),0))</f>
        <v>#REF!</v>
      </c>
      <c r="Y474" s="7" t="e">
        <f>N(#REF!)*IF($E474="упак",MAX(1,IF(ISNA(MATCH($C474,FA,0)),1,N(INDEX(F_PAKET,MATCH($C474,FA,0))))),1)</f>
        <v>#REF!</v>
      </c>
      <c r="Z474" s="7" t="e">
        <f t="shared" si="147"/>
        <v>#REF!</v>
      </c>
      <c r="AA474" s="7" t="e">
        <f>IF(OR(ISNA(MATCH($C474,FA,0)),$J474="YEDEK",$J474="SARF"),0,N(#REF!)*N(INDEX(F_TEL,MATCH($C474,FA,0))))</f>
        <v>#REF!</v>
      </c>
      <c r="AB474" s="7" t="e">
        <f>IF(OR(ISNA(MATCH($C474,FA,0)),$J474="YEDEK",$J474="SARF"),0,N(#REF!)*N(INDEX(F_TELM,MATCH($C474,FA,0))))</f>
        <v>#REF!</v>
      </c>
      <c r="AC474" s="7" t="e">
        <f t="shared" si="148"/>
        <v>#REF!</v>
      </c>
      <c r="AD474" s="7">
        <f>IF(OR(ISNA(MATCH($C474,FA,0)),$J474&lt;&gt;"CIKIS"),0,N(INDEX(F_KK,MATCH($C474,FA,0))))</f>
        <v>0</v>
      </c>
      <c r="AE474" s="7">
        <f>IF($AD474=0,0,N(#REF!)*N(INDEX(F_KLN,MATCH($C474,FA,0))))</f>
        <v>0</v>
      </c>
      <c r="AF474" s="7">
        <f>IF($AD474=0,0,N(#REF!)*N(INDEX(F_KPE,MATCH($C474,FA,0))))</f>
        <v>0</v>
      </c>
      <c r="AG474" s="7" t="e">
        <f>IF(ISNA(MATCH($C474,FA,0)),0,N(#REF!)*N(INDEX(F_MODUL,MATCH($C474,FA,0))))</f>
        <v>#REF!</v>
      </c>
      <c r="AH474" s="7" t="e">
        <f>N(#REF!)*N($I474)</f>
        <v>#REF!</v>
      </c>
      <c r="AI474" s="7" t="e">
        <f t="shared" si="149"/>
        <v>#REF!</v>
      </c>
      <c r="AJ474" s="7">
        <f t="shared" si="150"/>
        <v>0</v>
      </c>
    </row>
    <row r="475" spans="1:36" x14ac:dyDescent="0.25">
      <c r="A475" s="4" t="str">
        <f t="shared" si="144"/>
        <v>ЩО-4, ЩО-5, ЩО-6 (260922 akram aulet)</v>
      </c>
      <c r="B475" s="4" t="s">
        <v>61</v>
      </c>
      <c r="C475" s="4" t="s">
        <v>604</v>
      </c>
      <c r="D475" s="4" t="s">
        <v>605</v>
      </c>
      <c r="E475" s="4" t="s">
        <v>114</v>
      </c>
      <c r="F475" s="4" t="s">
        <v>479</v>
      </c>
      <c r="G475" s="4" t="s">
        <v>274</v>
      </c>
      <c r="H475" s="5" t="e">
        <f>#REF!</f>
        <v>#REF!</v>
      </c>
      <c r="I475" s="6" t="e">
        <f t="shared" si="145"/>
        <v>#REF!</v>
      </c>
      <c r="J475" s="6" t="s">
        <v>62</v>
      </c>
      <c r="K475" s="6" t="s">
        <v>61</v>
      </c>
      <c r="L475" s="7" t="e">
        <f t="shared" si="146"/>
        <v>#REF!</v>
      </c>
      <c r="M475" s="7" t="s">
        <v>262</v>
      </c>
      <c r="N475" s="7" t="s">
        <v>263</v>
      </c>
      <c r="O475" s="7" t="str">
        <f>IF(OR($C475="",$C475="FID YOK"),"",IF(ISNUMBER(MATCH($C475,FA_ANA,0)),"",IF(COUNTIF($C$1:$C474,$C475)&gt;0,"",MAX($O$1:$O474)+1)))</f>
        <v/>
      </c>
      <c r="P475" s="8">
        <v>2</v>
      </c>
      <c r="Q475" s="7" t="e">
        <f>IF(OR($P475="",$P475="G",ISNA(MATCH($C475,FA,0))),"",IF(N(INDEX(F_G,MATCH($C475,FA,0)))&gt;0,INDEX(F_G,MATCH($C475,FA,0)),IF(N(INDEX(F_MODUL,MATCH($C475,FA,0)))&gt;0,INDEX(F_MODUL,MATCH($C475,FA,0))*MODUL_MM,"")))</f>
        <v>#REF!</v>
      </c>
      <c r="R475" s="7" t="e">
        <f>IF(OR($P475="",$P475="G",ISNA(MATCH($C475,FA,0))),"",IF(N(INDEX(F_Y,MATCH($C475,FA,0)))&gt;0,INDEX(F_Y,MATCH($C475,FA,0)),""))</f>
        <v>#REF!</v>
      </c>
      <c r="S475" s="7" t="e">
        <f>IF(OR($P475="",$P475="G",ISNA(MATCH($C475,FA,0))),"",IF(N(INDEX(F_D,MATCH($C475,FA,0)))&gt;0,INDEX(F_D,MATCH($C475,FA,0)),""))</f>
        <v>#REF!</v>
      </c>
      <c r="T475" s="7">
        <f>IF(ISNA(MATCH($C475,FA,0)),0,IF($J475="GIRIS",N(INDEX(F_INKOR,MATCH($C475,FA,0))),0))</f>
        <v>0</v>
      </c>
      <c r="U475" s="7" t="e">
        <f t="shared" si="151"/>
        <v>#REF!</v>
      </c>
      <c r="V475" s="7" t="e">
        <f t="shared" si="152"/>
        <v>#REF!</v>
      </c>
      <c r="W475" s="7" t="e">
        <f>IF(OR(NOT(ISNUMBER($P475)),$Q475=""),"",N(#REF!)*($Q475+IF(ISNA(MATCH($B475,TIP_AD,0)),0,N(INDEX(TIP_BOSLUK,MATCH($B475,TIP_AD,0))))))</f>
        <v>#REF!</v>
      </c>
      <c r="X475" s="7" t="e">
        <f>IF(ISNUMBER($P475),($Q475="")+($R475="")+($V475="")+IF(AND($U475="KONTAKTOR",NOT(ISNA(MATCH($B475,TIP_AD,0)))),IF(INDEX(TIP_BOSLUK,MATCH($B475,TIP_AD,0))&amp;""="",1,0),0),IF($P475="K",IF($S475="",1,0),0))</f>
        <v>#REF!</v>
      </c>
      <c r="Y475" s="7" t="e">
        <f>N(#REF!)*IF($E475="упак",MAX(1,IF(ISNA(MATCH($C475,FA,0)),1,N(INDEX(F_PAKET,MATCH($C475,FA,0))))),1)</f>
        <v>#REF!</v>
      </c>
      <c r="Z475" s="7" t="e">
        <f t="shared" si="147"/>
        <v>#REF!</v>
      </c>
      <c r="AA475" s="7" t="e">
        <f>IF(OR(ISNA(MATCH($C475,FA,0)),$J475="YEDEK",$J475="SARF"),0,N(#REF!)*N(INDEX(F_TEL,MATCH($C475,FA,0))))</f>
        <v>#REF!</v>
      </c>
      <c r="AB475" s="7" t="e">
        <f>IF(OR(ISNA(MATCH($C475,FA,0)),$J475="YEDEK",$J475="SARF"),0,N(#REF!)*N(INDEX(F_TELM,MATCH($C475,FA,0))))</f>
        <v>#REF!</v>
      </c>
      <c r="AC475" s="7" t="e">
        <f t="shared" si="148"/>
        <v>#REF!</v>
      </c>
      <c r="AD475" s="7">
        <f>IF(OR(ISNA(MATCH($C475,FA,0)),$J475&lt;&gt;"CIKIS"),0,N(INDEX(F_KK,MATCH($C475,FA,0))))</f>
        <v>0</v>
      </c>
      <c r="AE475" s="7">
        <f>IF($AD475=0,0,N(#REF!)*N(INDEX(F_KLN,MATCH($C475,FA,0))))</f>
        <v>0</v>
      </c>
      <c r="AF475" s="7">
        <f>IF($AD475=0,0,N(#REF!)*N(INDEX(F_KPE,MATCH($C475,FA,0))))</f>
        <v>0</v>
      </c>
      <c r="AG475" s="7" t="e">
        <f>IF(ISNA(MATCH($C475,FA,0)),0,N(#REF!)*N(INDEX(F_MODUL,MATCH($C475,FA,0))))</f>
        <v>#REF!</v>
      </c>
      <c r="AH475" s="7" t="e">
        <f>N(#REF!)*N($I475)</f>
        <v>#REF!</v>
      </c>
      <c r="AI475" s="7" t="e">
        <f t="shared" si="149"/>
        <v>#REF!</v>
      </c>
      <c r="AJ475" s="7">
        <f t="shared" si="150"/>
        <v>0</v>
      </c>
    </row>
    <row r="476" spans="1:36" x14ac:dyDescent="0.25">
      <c r="A476" s="4" t="str">
        <f t="shared" si="144"/>
        <v>ЩО-4, ЩО-5, ЩО-6 (260922 akram aulet)</v>
      </c>
      <c r="B476" s="4" t="s">
        <v>61</v>
      </c>
      <c r="C476" s="4" t="s">
        <v>480</v>
      </c>
      <c r="D476" s="4" t="s">
        <v>481</v>
      </c>
      <c r="E476" s="4" t="s">
        <v>114</v>
      </c>
      <c r="F476" s="4" t="s">
        <v>479</v>
      </c>
      <c r="G476" s="4" t="s">
        <v>274</v>
      </c>
      <c r="H476" s="5" t="e">
        <f>#REF!</f>
        <v>#REF!</v>
      </c>
      <c r="I476" s="6" t="e">
        <f t="shared" si="145"/>
        <v>#REF!</v>
      </c>
      <c r="J476" s="6" t="s">
        <v>62</v>
      </c>
      <c r="K476" s="6" t="s">
        <v>61</v>
      </c>
      <c r="L476" s="7" t="e">
        <f t="shared" si="146"/>
        <v>#REF!</v>
      </c>
      <c r="M476" s="7" t="s">
        <v>277</v>
      </c>
      <c r="N476" s="7" t="s">
        <v>278</v>
      </c>
      <c r="O476" s="7">
        <f>IF(OR($C476="",$C476="FID YOK"),"",IF(ISNUMBER(MATCH($C476,FA_ANA,0)),"",IF(COUNTIF($C$1:$C475,$C476)&gt;0,"",MAX($O$1:$O475)+1)))</f>
        <v>91</v>
      </c>
      <c r="P476" s="8">
        <v>2</v>
      </c>
      <c r="Q476" s="7" t="e">
        <f>IF(OR($P476="",$P476="G",ISNA(MATCH($C476,FA,0))),"",IF(N(INDEX(F_G,MATCH($C476,FA,0)))&gt;0,INDEX(F_G,MATCH($C476,FA,0)),IF(N(INDEX(F_MODUL,MATCH($C476,FA,0)))&gt;0,INDEX(F_MODUL,MATCH($C476,FA,0))*MODUL_MM,"")))</f>
        <v>#REF!</v>
      </c>
      <c r="R476" s="7" t="e">
        <f>IF(OR($P476="",$P476="G",ISNA(MATCH($C476,FA,0))),"",IF(N(INDEX(F_Y,MATCH($C476,FA,0)))&gt;0,INDEX(F_Y,MATCH($C476,FA,0)),""))</f>
        <v>#REF!</v>
      </c>
      <c r="S476" s="7" t="e">
        <f>IF(OR($P476="",$P476="G",ISNA(MATCH($C476,FA,0))),"",IF(N(INDEX(F_D,MATCH($C476,FA,0)))&gt;0,INDEX(F_D,MATCH($C476,FA,0)),""))</f>
        <v>#REF!</v>
      </c>
      <c r="T476" s="7">
        <f>IF(ISNA(MATCH($C476,FA,0)),0,IF($J476="GIRIS",N(INDEX(F_INKOR,MATCH($C476,FA,0))),0))</f>
        <v>0</v>
      </c>
      <c r="U476" s="7" t="e">
        <f t="shared" si="151"/>
        <v>#REF!</v>
      </c>
      <c r="V476" s="7" t="e">
        <f t="shared" si="152"/>
        <v>#REF!</v>
      </c>
      <c r="W476" s="7" t="e">
        <f>IF(OR(NOT(ISNUMBER($P476)),$Q476=""),"",N(#REF!)*($Q476+IF(ISNA(MATCH($B476,TIP_AD,0)),0,N(INDEX(TIP_BOSLUK,MATCH($B476,TIP_AD,0))))))</f>
        <v>#REF!</v>
      </c>
      <c r="X476" s="7" t="e">
        <f>IF(ISNUMBER($P476),($Q476="")+($R476="")+($V476="")+IF(AND($U476="KONTAKTOR",NOT(ISNA(MATCH($B476,TIP_AD,0)))),IF(INDEX(TIP_BOSLUK,MATCH($B476,TIP_AD,0))&amp;""="",1,0),0),IF($P476="K",IF($S476="",1,0),0))</f>
        <v>#REF!</v>
      </c>
      <c r="Y476" s="7" t="e">
        <f>N(#REF!)*IF($E476="упак",MAX(1,IF(ISNA(MATCH($C476,FA,0)),1,N(INDEX(F_PAKET,MATCH($C476,FA,0))))),1)</f>
        <v>#REF!</v>
      </c>
      <c r="Z476" s="7" t="e">
        <f t="shared" si="147"/>
        <v>#REF!</v>
      </c>
      <c r="AA476" s="7" t="e">
        <f>IF(OR(ISNA(MATCH($C476,FA,0)),$J476="YEDEK",$J476="SARF"),0,N(#REF!)*N(INDEX(F_TEL,MATCH($C476,FA,0))))</f>
        <v>#REF!</v>
      </c>
      <c r="AB476" s="7" t="e">
        <f>IF(OR(ISNA(MATCH($C476,FA,0)),$J476="YEDEK",$J476="SARF"),0,N(#REF!)*N(INDEX(F_TELM,MATCH($C476,FA,0))))</f>
        <v>#REF!</v>
      </c>
      <c r="AC476" s="7" t="e">
        <f t="shared" si="148"/>
        <v>#REF!</v>
      </c>
      <c r="AD476" s="7">
        <f>IF(OR(ISNA(MATCH($C476,FA,0)),$J476&lt;&gt;"CIKIS"),0,N(INDEX(F_KK,MATCH($C476,FA,0))))</f>
        <v>0</v>
      </c>
      <c r="AE476" s="7">
        <f>IF($AD476=0,0,N(#REF!)*N(INDEX(F_KLN,MATCH($C476,FA,0))))</f>
        <v>0</v>
      </c>
      <c r="AF476" s="7">
        <f>IF($AD476=0,0,N(#REF!)*N(INDEX(F_KPE,MATCH($C476,FA,0))))</f>
        <v>0</v>
      </c>
      <c r="AG476" s="7" t="e">
        <f>IF(ISNA(MATCH($C476,FA,0)),0,N(#REF!)*N(INDEX(F_MODUL,MATCH($C476,FA,0))))</f>
        <v>#REF!</v>
      </c>
      <c r="AH476" s="7" t="e">
        <f>N(#REF!)*N($I476)</f>
        <v>#REF!</v>
      </c>
      <c r="AI476" s="7" t="e">
        <f t="shared" si="149"/>
        <v>#REF!</v>
      </c>
      <c r="AJ476" s="7">
        <f t="shared" si="150"/>
        <v>0</v>
      </c>
    </row>
    <row r="477" spans="1:36" x14ac:dyDescent="0.25">
      <c r="A477" s="4" t="str">
        <f t="shared" si="144"/>
        <v>ЩО-4, ЩО-5, ЩО-6 (260922 akram aulet)</v>
      </c>
      <c r="B477" s="4" t="s">
        <v>65</v>
      </c>
      <c r="C477" s="4" t="s">
        <v>384</v>
      </c>
      <c r="D477" s="4" t="s">
        <v>385</v>
      </c>
      <c r="E477" s="4" t="s">
        <v>114</v>
      </c>
      <c r="F477" s="4" t="s">
        <v>377</v>
      </c>
      <c r="G477" s="4" t="s">
        <v>274</v>
      </c>
      <c r="H477" s="5" t="e">
        <f>#REF!</f>
        <v>#REF!</v>
      </c>
      <c r="I477" s="6" t="e">
        <f t="shared" si="145"/>
        <v>#REF!</v>
      </c>
      <c r="J477" s="6" t="s">
        <v>52</v>
      </c>
      <c r="K477" s="6" t="s">
        <v>65</v>
      </c>
      <c r="L477" s="7" t="e">
        <f t="shared" si="146"/>
        <v>#REF!</v>
      </c>
      <c r="M477" s="7" t="s">
        <v>264</v>
      </c>
      <c r="N477" s="7" t="s">
        <v>201</v>
      </c>
      <c r="O477" s="7" t="str">
        <f>IF(OR($C477="",$C477="FID YOK"),"",IF(ISNUMBER(MATCH($C477,FA_ANA,0)),"",IF(COUNTIF($C$1:$C476,$C477)&gt;0,"",MAX($O$1:$O476)+1)))</f>
        <v/>
      </c>
      <c r="P477" s="8">
        <v>1</v>
      </c>
      <c r="Q477" s="7" t="e">
        <f>IF(OR($P477="",$P477="G",ISNA(MATCH($C477,FA,0))),"",IF(N(INDEX(F_G,MATCH($C477,FA,0)))&gt;0,INDEX(F_G,MATCH($C477,FA,0)),IF(N(INDEX(F_MODUL,MATCH($C477,FA,0)))&gt;0,INDEX(F_MODUL,MATCH($C477,FA,0))*MODUL_MM,"")))</f>
        <v>#REF!</v>
      </c>
      <c r="R477" s="7" t="e">
        <f>IF(OR($P477="",$P477="G",ISNA(MATCH($C477,FA,0))),"",IF(N(INDEX(F_Y,MATCH($C477,FA,0)))&gt;0,INDEX(F_Y,MATCH($C477,FA,0)),""))</f>
        <v>#REF!</v>
      </c>
      <c r="S477" s="7" t="e">
        <f>IF(OR($P477="",$P477="G",ISNA(MATCH($C477,FA,0))),"",IF(N(INDEX(F_D,MATCH($C477,FA,0)))&gt;0,INDEX(F_D,MATCH($C477,FA,0)),""))</f>
        <v>#REF!</v>
      </c>
      <c r="T477" s="7">
        <f>IF(ISNA(MATCH($C477,FA,0)),0,IF($J477="GIRIS",N(INDEX(F_INKOR,MATCH($C477,FA,0))),0))</f>
        <v>0</v>
      </c>
      <c r="U477" s="7" t="e">
        <f t="shared" si="151"/>
        <v>#REF!</v>
      </c>
      <c r="V477" s="7" t="e">
        <f t="shared" si="152"/>
        <v>#REF!</v>
      </c>
      <c r="W477" s="7" t="e">
        <f>IF(OR(NOT(ISNUMBER($P477)),$Q477=""),"",N(#REF!)*($Q477+IF(ISNA(MATCH($B477,TIP_AD,0)),0,N(INDEX(TIP_BOSLUK,MATCH($B477,TIP_AD,0))))))</f>
        <v>#REF!</v>
      </c>
      <c r="X477" s="7" t="e">
        <f>IF(ISNUMBER($P477),($Q477="")+($R477="")+($V477="")+IF(AND($U477="KONTAKTOR",NOT(ISNA(MATCH($B477,TIP_AD,0)))),IF(INDEX(TIP_BOSLUK,MATCH($B477,TIP_AD,0))&amp;""="",1,0),0),IF($P477="K",IF($S477="",1,0),0))</f>
        <v>#REF!</v>
      </c>
      <c r="Y477" s="7" t="e">
        <f>N(#REF!)*IF($E477="упак",MAX(1,IF(ISNA(MATCH($C477,FA,0)),1,N(INDEX(F_PAKET,MATCH($C477,FA,0))))),1)</f>
        <v>#REF!</v>
      </c>
      <c r="Z477" s="7" t="e">
        <f t="shared" si="147"/>
        <v>#REF!</v>
      </c>
      <c r="AA477" s="7" t="e">
        <f>IF(OR(ISNA(MATCH($C477,FA,0)),$J477="YEDEK",$J477="SARF"),0,N(#REF!)*N(INDEX(F_TEL,MATCH($C477,FA,0))))</f>
        <v>#REF!</v>
      </c>
      <c r="AB477" s="7" t="e">
        <f>IF(OR(ISNA(MATCH($C477,FA,0)),$J477="YEDEK",$J477="SARF"),0,N(#REF!)*N(INDEX(F_TELM,MATCH($C477,FA,0))))</f>
        <v>#REF!</v>
      </c>
      <c r="AC477" s="7" t="e">
        <f t="shared" si="148"/>
        <v>#REF!</v>
      </c>
      <c r="AD477" s="7" t="e">
        <f>IF(OR(ISNA(MATCH($C477,FA,0)),$J477&lt;&gt;"CIKIS"),0,N(INDEX(F_KK,MATCH($C477,FA,0))))</f>
        <v>#REF!</v>
      </c>
      <c r="AE477" s="7" t="e">
        <f>IF($AD477=0,0,N(#REF!)*N(INDEX(F_KLN,MATCH($C477,FA,0))))</f>
        <v>#REF!</v>
      </c>
      <c r="AF477" s="7" t="e">
        <f>IF($AD477=0,0,N(#REF!)*N(INDEX(F_KPE,MATCH($C477,FA,0))))</f>
        <v>#REF!</v>
      </c>
      <c r="AG477" s="7" t="e">
        <f>IF(ISNA(MATCH($C477,FA,0)),0,N(#REF!)*N(INDEX(F_MODUL,MATCH($C477,FA,0))))</f>
        <v>#REF!</v>
      </c>
      <c r="AH477" s="7" t="e">
        <f>N(#REF!)*N($I477)</f>
        <v>#REF!</v>
      </c>
      <c r="AI477" s="7" t="e">
        <f t="shared" si="149"/>
        <v>#REF!</v>
      </c>
      <c r="AJ477" s="7">
        <f t="shared" si="150"/>
        <v>0</v>
      </c>
    </row>
    <row r="478" spans="1:36" x14ac:dyDescent="0.25">
      <c r="A478" s="4" t="str">
        <f t="shared" si="144"/>
        <v>ЩО-4, ЩО-5, ЩО-6 (260922 akram aulet)</v>
      </c>
      <c r="B478" s="4" t="s">
        <v>265</v>
      </c>
      <c r="C478" s="4" t="s">
        <v>484</v>
      </c>
      <c r="D478" s="4" t="s">
        <v>485</v>
      </c>
      <c r="E478" s="4" t="s">
        <v>114</v>
      </c>
      <c r="F478" s="4" t="s">
        <v>486</v>
      </c>
      <c r="G478" s="4" t="s">
        <v>274</v>
      </c>
      <c r="H478" s="5" t="e">
        <f>#REF!</f>
        <v>#REF!</v>
      </c>
      <c r="I478" s="6" t="e">
        <f t="shared" si="145"/>
        <v>#REF!</v>
      </c>
      <c r="J478" s="6" t="s">
        <v>66</v>
      </c>
      <c r="K478" s="6" t="s">
        <v>265</v>
      </c>
      <c r="L478" s="7" t="e">
        <f t="shared" si="146"/>
        <v>#REF!</v>
      </c>
      <c r="M478" s="7" t="s">
        <v>266</v>
      </c>
      <c r="N478" s="7" t="s">
        <v>267</v>
      </c>
      <c r="O478" s="7" t="str">
        <f>IF(OR($C478="",$C478="FID YOK"),"",IF(ISNUMBER(MATCH($C478,FA_ANA,0)),"",IF(COUNTIF($C$1:$C477,$C478)&gt;0,"",MAX($O$1:$O477)+1)))</f>
        <v/>
      </c>
      <c r="P478" s="8">
        <v>1</v>
      </c>
      <c r="Q478" s="7" t="e">
        <f>IF(OR($P478="",$P478="G",ISNA(MATCH($C478,FA,0))),"",IF(N(INDEX(F_G,MATCH($C478,FA,0)))&gt;0,INDEX(F_G,MATCH($C478,FA,0)),IF(N(INDEX(F_MODUL,MATCH($C478,FA,0)))&gt;0,INDEX(F_MODUL,MATCH($C478,FA,0))*MODUL_MM,"")))</f>
        <v>#REF!</v>
      </c>
      <c r="R478" s="7" t="e">
        <f>IF(OR($P478="",$P478="G",ISNA(MATCH($C478,FA,0))),"",IF(N(INDEX(F_Y,MATCH($C478,FA,0)))&gt;0,INDEX(F_Y,MATCH($C478,FA,0)),""))</f>
        <v>#REF!</v>
      </c>
      <c r="S478" s="7" t="e">
        <f>IF(OR($P478="",$P478="G",ISNA(MATCH($C478,FA,0))),"",IF(N(INDEX(F_D,MATCH($C478,FA,0)))&gt;0,INDEX(F_D,MATCH($C478,FA,0)),""))</f>
        <v>#REF!</v>
      </c>
      <c r="T478" s="7">
        <f>IF(ISNA(MATCH($C478,FA,0)),0,IF($J478="GIRIS",N(INDEX(F_INKOR,MATCH($C478,FA,0))),0))</f>
        <v>0</v>
      </c>
      <c r="U478" s="7" t="e">
        <f t="shared" si="151"/>
        <v>#REF!</v>
      </c>
      <c r="V478" s="7" t="e">
        <f t="shared" si="152"/>
        <v>#REF!</v>
      </c>
      <c r="W478" s="7" t="e">
        <f>IF(OR(NOT(ISNUMBER($P478)),$Q478=""),"",N(#REF!)*($Q478+IF(ISNA(MATCH($B478,TIP_AD,0)),0,N(INDEX(TIP_BOSLUK,MATCH($B478,TIP_AD,0))))))</f>
        <v>#REF!</v>
      </c>
      <c r="X478" s="7" t="e">
        <f>IF(ISNUMBER($P478),($Q478="")+($R478="")+($V478="")+IF(AND($U478="KONTAKTOR",NOT(ISNA(MATCH($B478,TIP_AD,0)))),IF(INDEX(TIP_BOSLUK,MATCH($B478,TIP_AD,0))&amp;""="",1,0),0),IF($P478="K",IF($S478="",1,0),0))</f>
        <v>#REF!</v>
      </c>
      <c r="Y478" s="7" t="e">
        <f>N(#REF!)*IF($E478="упак",MAX(1,IF(ISNA(MATCH($C478,FA,0)),1,N(INDEX(F_PAKET,MATCH($C478,FA,0))))),1)</f>
        <v>#REF!</v>
      </c>
      <c r="Z478" s="7" t="e">
        <f t="shared" si="147"/>
        <v>#REF!</v>
      </c>
      <c r="AA478" s="7" t="e">
        <f>IF(OR(ISNA(MATCH($C478,FA,0)),$J478="YEDEK",$J478="SARF"),0,N(#REF!)*N(INDEX(F_TEL,MATCH($C478,FA,0))))</f>
        <v>#REF!</v>
      </c>
      <c r="AB478" s="7" t="e">
        <f>IF(OR(ISNA(MATCH($C478,FA,0)),$J478="YEDEK",$J478="SARF"),0,N(#REF!)*N(INDEX(F_TELM,MATCH($C478,FA,0))))</f>
        <v>#REF!</v>
      </c>
      <c r="AC478" s="7" t="e">
        <f t="shared" si="148"/>
        <v>#REF!</v>
      </c>
      <c r="AD478" s="7">
        <f>IF(OR(ISNA(MATCH($C478,FA,0)),$J478&lt;&gt;"CIKIS"),0,N(INDEX(F_KK,MATCH($C478,FA,0))))</f>
        <v>0</v>
      </c>
      <c r="AE478" s="7">
        <f>IF($AD478=0,0,N(#REF!)*N(INDEX(F_KLN,MATCH($C478,FA,0))))</f>
        <v>0</v>
      </c>
      <c r="AF478" s="7">
        <f>IF($AD478=0,0,N(#REF!)*N(INDEX(F_KPE,MATCH($C478,FA,0))))</f>
        <v>0</v>
      </c>
      <c r="AG478" s="7" t="e">
        <f>IF(ISNA(MATCH($C478,FA,0)),0,N(#REF!)*N(INDEX(F_MODUL,MATCH($C478,FA,0))))</f>
        <v>#REF!</v>
      </c>
      <c r="AH478" s="7" t="e">
        <f>N(#REF!)*N($I478)</f>
        <v>#REF!</v>
      </c>
      <c r="AI478" s="7" t="e">
        <f t="shared" si="149"/>
        <v>#REF!</v>
      </c>
      <c r="AJ478" s="7">
        <f t="shared" si="150"/>
        <v>0</v>
      </c>
    </row>
    <row r="479" spans="1:36" x14ac:dyDescent="0.25">
      <c r="A479" s="4" t="str">
        <f t="shared" si="144"/>
        <v>ЩО-4, ЩО-5, ЩО-6 (260922 akram aulet)</v>
      </c>
      <c r="B479" s="4" t="s">
        <v>65</v>
      </c>
      <c r="C479" s="4" t="s">
        <v>386</v>
      </c>
      <c r="D479" s="4" t="s">
        <v>387</v>
      </c>
      <c r="E479" s="4" t="s">
        <v>114</v>
      </c>
      <c r="F479" s="4" t="s">
        <v>377</v>
      </c>
      <c r="G479" s="4" t="s">
        <v>274</v>
      </c>
      <c r="H479" s="5" t="e">
        <f>#REF!</f>
        <v>#REF!</v>
      </c>
      <c r="I479" s="6" t="e">
        <f t="shared" si="145"/>
        <v>#REF!</v>
      </c>
      <c r="J479" s="6" t="s">
        <v>66</v>
      </c>
      <c r="K479" s="6" t="s">
        <v>65</v>
      </c>
      <c r="L479" s="7" t="e">
        <f t="shared" si="146"/>
        <v>#REF!</v>
      </c>
      <c r="M479" s="7" t="s">
        <v>268</v>
      </c>
      <c r="N479" s="7" t="s">
        <v>269</v>
      </c>
      <c r="O479" s="7" t="str">
        <f>IF(OR($C479="",$C479="FID YOK"),"",IF(ISNUMBER(MATCH($C479,FA_ANA,0)),"",IF(COUNTIF($C$1:$C478,$C479)&gt;0,"",MAX($O$1:$O478)+1)))</f>
        <v/>
      </c>
      <c r="P479" s="8">
        <v>1</v>
      </c>
      <c r="Q479" s="7" t="e">
        <f>IF(OR($P479="",$P479="G",ISNA(MATCH($C479,FA,0))),"",IF(N(INDEX(F_G,MATCH($C479,FA,0)))&gt;0,INDEX(F_G,MATCH($C479,FA,0)),IF(N(INDEX(F_MODUL,MATCH($C479,FA,0)))&gt;0,INDEX(F_MODUL,MATCH($C479,FA,0))*MODUL_MM,"")))</f>
        <v>#REF!</v>
      </c>
      <c r="R479" s="7" t="e">
        <f>IF(OR($P479="",$P479="G",ISNA(MATCH($C479,FA,0))),"",IF(N(INDEX(F_Y,MATCH($C479,FA,0)))&gt;0,INDEX(F_Y,MATCH($C479,FA,0)),""))</f>
        <v>#REF!</v>
      </c>
      <c r="S479" s="7" t="e">
        <f>IF(OR($P479="",$P479="G",ISNA(MATCH($C479,FA,0))),"",IF(N(INDEX(F_D,MATCH($C479,FA,0)))&gt;0,INDEX(F_D,MATCH($C479,FA,0)),""))</f>
        <v>#REF!</v>
      </c>
      <c r="T479" s="7">
        <f>IF(ISNA(MATCH($C479,FA,0)),0,IF($J479="GIRIS",N(INDEX(F_INKOR,MATCH($C479,FA,0))),0))</f>
        <v>0</v>
      </c>
      <c r="U479" s="7" t="e">
        <f t="shared" si="151"/>
        <v>#REF!</v>
      </c>
      <c r="V479" s="7" t="e">
        <f t="shared" si="152"/>
        <v>#REF!</v>
      </c>
      <c r="W479" s="7" t="e">
        <f>IF(OR(NOT(ISNUMBER($P479)),$Q479=""),"",N(#REF!)*($Q479+IF(ISNA(MATCH($B479,TIP_AD,0)),0,N(INDEX(TIP_BOSLUK,MATCH($B479,TIP_AD,0))))))</f>
        <v>#REF!</v>
      </c>
      <c r="X479" s="7" t="e">
        <f>IF(ISNUMBER($P479),($Q479="")+($R479="")+($V479="")+IF(AND($U479="KONTAKTOR",NOT(ISNA(MATCH($B479,TIP_AD,0)))),IF(INDEX(TIP_BOSLUK,MATCH($B479,TIP_AD,0))&amp;""="",1,0),0),IF($P479="K",IF($S479="",1,0),0))</f>
        <v>#REF!</v>
      </c>
      <c r="Y479" s="7" t="e">
        <f>N(#REF!)*IF($E479="упак",MAX(1,IF(ISNA(MATCH($C479,FA,0)),1,N(INDEX(F_PAKET,MATCH($C479,FA,0))))),1)</f>
        <v>#REF!</v>
      </c>
      <c r="Z479" s="7" t="e">
        <f t="shared" si="147"/>
        <v>#REF!</v>
      </c>
      <c r="AA479" s="7" t="e">
        <f>IF(OR(ISNA(MATCH($C479,FA,0)),$J479="YEDEK",$J479="SARF"),0,N(#REF!)*N(INDEX(F_TEL,MATCH($C479,FA,0))))</f>
        <v>#REF!</v>
      </c>
      <c r="AB479" s="7" t="e">
        <f>IF(OR(ISNA(MATCH($C479,FA,0)),$J479="YEDEK",$J479="SARF"),0,N(#REF!)*N(INDEX(F_TELM,MATCH($C479,FA,0))))</f>
        <v>#REF!</v>
      </c>
      <c r="AC479" s="7" t="e">
        <f t="shared" si="148"/>
        <v>#REF!</v>
      </c>
      <c r="AD479" s="7">
        <f>IF(OR(ISNA(MATCH($C479,FA,0)),$J479&lt;&gt;"CIKIS"),0,N(INDEX(F_KK,MATCH($C479,FA,0))))</f>
        <v>0</v>
      </c>
      <c r="AE479" s="7">
        <f>IF($AD479=0,0,N(#REF!)*N(INDEX(F_KLN,MATCH($C479,FA,0))))</f>
        <v>0</v>
      </c>
      <c r="AF479" s="7">
        <f>IF($AD479=0,0,N(#REF!)*N(INDEX(F_KPE,MATCH($C479,FA,0))))</f>
        <v>0</v>
      </c>
      <c r="AG479" s="7" t="e">
        <f>IF(ISNA(MATCH($C479,FA,0)),0,N(#REF!)*N(INDEX(F_MODUL,MATCH($C479,FA,0))))</f>
        <v>#REF!</v>
      </c>
      <c r="AH479" s="7" t="e">
        <f>N(#REF!)*N($I479)</f>
        <v>#REF!</v>
      </c>
      <c r="AI479" s="7" t="e">
        <f t="shared" si="149"/>
        <v>#REF!</v>
      </c>
      <c r="AJ479" s="7">
        <f t="shared" si="150"/>
        <v>0</v>
      </c>
    </row>
    <row r="480" spans="1:36" x14ac:dyDescent="0.25">
      <c r="A480" s="4" t="str">
        <f t="shared" si="144"/>
        <v>ЩО-4, ЩО-5, ЩО-6 (260922 akram aulet)</v>
      </c>
      <c r="B480" s="4" t="s">
        <v>213</v>
      </c>
      <c r="C480" s="4" t="s">
        <v>418</v>
      </c>
      <c r="D480" s="4" t="s">
        <v>419</v>
      </c>
      <c r="E480" s="4" t="s">
        <v>114</v>
      </c>
      <c r="F480" s="4" t="s">
        <v>377</v>
      </c>
      <c r="G480" s="4" t="s">
        <v>274</v>
      </c>
      <c r="H480" s="5" t="e">
        <f>#REF!</f>
        <v>#REF!</v>
      </c>
      <c r="I480" s="6" t="e">
        <f t="shared" si="145"/>
        <v>#REF!</v>
      </c>
      <c r="J480" s="6" t="s">
        <v>52</v>
      </c>
      <c r="K480" s="6" t="s">
        <v>213</v>
      </c>
      <c r="L480" s="7" t="e">
        <f t="shared" si="146"/>
        <v>#REF!</v>
      </c>
      <c r="M480" s="7" t="s">
        <v>270</v>
      </c>
      <c r="N480" s="7" t="s">
        <v>271</v>
      </c>
      <c r="O480" s="7" t="str">
        <f>IF(OR($C480="",$C480="FID YOK"),"",IF(ISNUMBER(MATCH($C480,FA_ANA,0)),"",IF(COUNTIF($C$1:$C479,$C480)&gt;0,"",MAX($O$1:$O479)+1)))</f>
        <v/>
      </c>
      <c r="P480" s="8">
        <v>1</v>
      </c>
      <c r="Q480" s="7" t="e">
        <f>IF(OR($P480="",$P480="G",ISNA(MATCH($C480,FA,0))),"",IF(N(INDEX(F_G,MATCH($C480,FA,0)))&gt;0,INDEX(F_G,MATCH($C480,FA,0)),IF(N(INDEX(F_MODUL,MATCH($C480,FA,0)))&gt;0,INDEX(F_MODUL,MATCH($C480,FA,0))*MODUL_MM,"")))</f>
        <v>#REF!</v>
      </c>
      <c r="R480" s="7" t="e">
        <f>IF(OR($P480="",$P480="G",ISNA(MATCH($C480,FA,0))),"",IF(N(INDEX(F_Y,MATCH($C480,FA,0)))&gt;0,INDEX(F_Y,MATCH($C480,FA,0)),""))</f>
        <v>#REF!</v>
      </c>
      <c r="S480" s="7" t="e">
        <f>IF(OR($P480="",$P480="G",ISNA(MATCH($C480,FA,0))),"",IF(N(INDEX(F_D,MATCH($C480,FA,0)))&gt;0,INDEX(F_D,MATCH($C480,FA,0)),""))</f>
        <v>#REF!</v>
      </c>
      <c r="T480" s="7">
        <f>IF(ISNA(MATCH($C480,FA,0)),0,IF($J480="GIRIS",N(INDEX(F_INKOR,MATCH($C480,FA,0))),0))</f>
        <v>0</v>
      </c>
      <c r="U480" s="7" t="e">
        <f t="shared" si="151"/>
        <v>#REF!</v>
      </c>
      <c r="V480" s="7" t="e">
        <f t="shared" si="152"/>
        <v>#REF!</v>
      </c>
      <c r="W480" s="7" t="e">
        <f>IF(OR(NOT(ISNUMBER($P480)),$Q480=""),"",N(#REF!)*($Q480+IF(ISNA(MATCH($B480,TIP_AD,0)),0,N(INDEX(TIP_BOSLUK,MATCH($B480,TIP_AD,0))))))</f>
        <v>#REF!</v>
      </c>
      <c r="X480" s="7" t="e">
        <f>IF(ISNUMBER($P480),($Q480="")+($R480="")+($V480="")+IF(AND($U480="KONTAKTOR",NOT(ISNA(MATCH($B480,TIP_AD,0)))),IF(INDEX(TIP_BOSLUK,MATCH($B480,TIP_AD,0))&amp;""="",1,0),0),IF($P480="K",IF($S480="",1,0),0))</f>
        <v>#REF!</v>
      </c>
      <c r="Y480" s="7" t="e">
        <f>N(#REF!)*IF($E480="упак",MAX(1,IF(ISNA(MATCH($C480,FA,0)),1,N(INDEX(F_PAKET,MATCH($C480,FA,0))))),1)</f>
        <v>#REF!</v>
      </c>
      <c r="Z480" s="7" t="e">
        <f t="shared" si="147"/>
        <v>#REF!</v>
      </c>
      <c r="AA480" s="7" t="e">
        <f>IF(OR(ISNA(MATCH($C480,FA,0)),$J480="YEDEK",$J480="SARF"),0,N(#REF!)*N(INDEX(F_TEL,MATCH($C480,FA,0))))</f>
        <v>#REF!</v>
      </c>
      <c r="AB480" s="7" t="e">
        <f>IF(OR(ISNA(MATCH($C480,FA,0)),$J480="YEDEK",$J480="SARF"),0,N(#REF!)*N(INDEX(F_TELM,MATCH($C480,FA,0))))</f>
        <v>#REF!</v>
      </c>
      <c r="AC480" s="7" t="e">
        <f t="shared" si="148"/>
        <v>#REF!</v>
      </c>
      <c r="AD480" s="7" t="e">
        <f>IF(OR(ISNA(MATCH($C480,FA,0)),$J480&lt;&gt;"CIKIS"),0,N(INDEX(F_KK,MATCH($C480,FA,0))))</f>
        <v>#REF!</v>
      </c>
      <c r="AE480" s="7" t="e">
        <f>IF($AD480=0,0,N(#REF!)*N(INDEX(F_KLN,MATCH($C480,FA,0))))</f>
        <v>#REF!</v>
      </c>
      <c r="AF480" s="7" t="e">
        <f>IF($AD480=0,0,N(#REF!)*N(INDEX(F_KPE,MATCH($C480,FA,0))))</f>
        <v>#REF!</v>
      </c>
      <c r="AG480" s="7" t="e">
        <f>IF(ISNA(MATCH($C480,FA,0)),0,N(#REF!)*N(INDEX(F_MODUL,MATCH($C480,FA,0))))</f>
        <v>#REF!</v>
      </c>
      <c r="AH480" s="7" t="e">
        <f>N(#REF!)*N($I480)</f>
        <v>#REF!</v>
      </c>
      <c r="AI480" s="7" t="e">
        <f t="shared" si="149"/>
        <v>#REF!</v>
      </c>
      <c r="AJ480" s="7">
        <f t="shared" si="150"/>
        <v>0</v>
      </c>
    </row>
    <row r="481" spans="1:36" x14ac:dyDescent="0.25">
      <c r="A481" s="4" t="str">
        <f t="shared" si="144"/>
        <v>ЩО-4, ЩО-5, ЩО-6 (260922 akram aulet)</v>
      </c>
      <c r="B481" s="4" t="s">
        <v>69</v>
      </c>
      <c r="C481" s="4" t="s">
        <v>455</v>
      </c>
      <c r="D481" s="4" t="s">
        <v>456</v>
      </c>
      <c r="E481" s="4" t="s">
        <v>114</v>
      </c>
      <c r="F481" s="4" t="s">
        <v>377</v>
      </c>
      <c r="G481" s="4" t="s">
        <v>274</v>
      </c>
      <c r="H481" s="5" t="e">
        <f>#REF!</f>
        <v>#REF!</v>
      </c>
      <c r="I481" s="6" t="e">
        <f t="shared" si="145"/>
        <v>#REF!</v>
      </c>
      <c r="J481" s="6" t="s">
        <v>52</v>
      </c>
      <c r="K481" s="6" t="s">
        <v>69</v>
      </c>
      <c r="L481" s="7" t="e">
        <f t="shared" si="146"/>
        <v>#REF!</v>
      </c>
      <c r="M481" s="7" t="s">
        <v>272</v>
      </c>
      <c r="N481" s="7" t="s">
        <v>71</v>
      </c>
      <c r="O481" s="7" t="str">
        <f>IF(OR($C481="",$C481="FID YOK"),"",IF(ISNUMBER(MATCH($C481,FA_ANA,0)),"",IF(COUNTIF($C$1:$C480,$C481)&gt;0,"",MAX($O$1:$O480)+1)))</f>
        <v/>
      </c>
      <c r="P481" s="8">
        <v>1</v>
      </c>
      <c r="Q481" s="7" t="e">
        <f>IF(OR($P481="",$P481="G",ISNA(MATCH($C481,FA,0))),"",IF(N(INDEX(F_G,MATCH($C481,FA,0)))&gt;0,INDEX(F_G,MATCH($C481,FA,0)),IF(N(INDEX(F_MODUL,MATCH($C481,FA,0)))&gt;0,INDEX(F_MODUL,MATCH($C481,FA,0))*MODUL_MM,"")))</f>
        <v>#REF!</v>
      </c>
      <c r="R481" s="7" t="e">
        <f>IF(OR($P481="",$P481="G",ISNA(MATCH($C481,FA,0))),"",IF(N(INDEX(F_Y,MATCH($C481,FA,0)))&gt;0,INDEX(F_Y,MATCH($C481,FA,0)),""))</f>
        <v>#REF!</v>
      </c>
      <c r="S481" s="7" t="e">
        <f>IF(OR($P481="",$P481="G",ISNA(MATCH($C481,FA,0))),"",IF(N(INDEX(F_D,MATCH($C481,FA,0)))&gt;0,INDEX(F_D,MATCH($C481,FA,0)),""))</f>
        <v>#REF!</v>
      </c>
      <c r="T481" s="7">
        <f>IF(ISNA(MATCH($C481,FA,0)),0,IF($J481="GIRIS",N(INDEX(F_INKOR,MATCH($C481,FA,0))),0))</f>
        <v>0</v>
      </c>
      <c r="U481" s="7" t="e">
        <f t="shared" si="151"/>
        <v>#REF!</v>
      </c>
      <c r="V481" s="7" t="e">
        <f t="shared" si="152"/>
        <v>#REF!</v>
      </c>
      <c r="W481" s="7" t="e">
        <f>IF(OR(NOT(ISNUMBER($P481)),$Q481=""),"",N(#REF!)*($Q481+IF(ISNA(MATCH($B481,TIP_AD,0)),0,N(INDEX(TIP_BOSLUK,MATCH($B481,TIP_AD,0))))))</f>
        <v>#REF!</v>
      </c>
      <c r="X481" s="7" t="e">
        <f>IF(ISNUMBER($P481),($Q481="")+($R481="")+($V481="")+IF(AND($U481="KONTAKTOR",NOT(ISNA(MATCH($B481,TIP_AD,0)))),IF(INDEX(TIP_BOSLUK,MATCH($B481,TIP_AD,0))&amp;""="",1,0),0),IF($P481="K",IF($S481="",1,0),0))</f>
        <v>#REF!</v>
      </c>
      <c r="Y481" s="7" t="e">
        <f>N(#REF!)*IF($E481="упак",MAX(1,IF(ISNA(MATCH($C481,FA,0)),1,N(INDEX(F_PAKET,MATCH($C481,FA,0))))),1)</f>
        <v>#REF!</v>
      </c>
      <c r="Z481" s="7" t="e">
        <f t="shared" si="147"/>
        <v>#REF!</v>
      </c>
      <c r="AA481" s="7" t="e">
        <f>IF(OR(ISNA(MATCH($C481,FA,0)),$J481="YEDEK",$J481="SARF"),0,N(#REF!)*N(INDEX(F_TEL,MATCH($C481,FA,0))))</f>
        <v>#REF!</v>
      </c>
      <c r="AB481" s="7" t="e">
        <f>IF(OR(ISNA(MATCH($C481,FA,0)),$J481="YEDEK",$J481="SARF"),0,N(#REF!)*N(INDEX(F_TELM,MATCH($C481,FA,0))))</f>
        <v>#REF!</v>
      </c>
      <c r="AC481" s="7" t="e">
        <f t="shared" si="148"/>
        <v>#REF!</v>
      </c>
      <c r="AD481" s="7" t="e">
        <f>IF(OR(ISNA(MATCH($C481,FA,0)),$J481&lt;&gt;"CIKIS"),0,N(INDEX(F_KK,MATCH($C481,FA,0))))</f>
        <v>#REF!</v>
      </c>
      <c r="AE481" s="7" t="e">
        <f>IF($AD481=0,0,N(#REF!)*N(INDEX(F_KLN,MATCH($C481,FA,0))))</f>
        <v>#REF!</v>
      </c>
      <c r="AF481" s="7" t="e">
        <f>IF($AD481=0,0,N(#REF!)*N(INDEX(F_KPE,MATCH($C481,FA,0))))</f>
        <v>#REF!</v>
      </c>
      <c r="AG481" s="7" t="e">
        <f>IF(ISNA(MATCH($C481,FA,0)),0,N(#REF!)*N(INDEX(F_MODUL,MATCH($C481,FA,0))))</f>
        <v>#REF!</v>
      </c>
      <c r="AH481" s="7" t="e">
        <f>N(#REF!)*N($I481)</f>
        <v>#REF!</v>
      </c>
      <c r="AI481" s="7" t="e">
        <f t="shared" si="149"/>
        <v>#REF!</v>
      </c>
      <c r="AJ481" s="7">
        <f t="shared" si="150"/>
        <v>0</v>
      </c>
    </row>
    <row r="482" spans="1:36" x14ac:dyDescent="0.25">
      <c r="A482" s="4" t="str">
        <f t="shared" si="144"/>
        <v>ЩО-4, ЩО-5, ЩО-6 (260922 akram aulet)</v>
      </c>
      <c r="B482" s="4" t="s">
        <v>202</v>
      </c>
      <c r="C482" s="4" t="s">
        <v>579</v>
      </c>
      <c r="D482" s="4" t="s">
        <v>580</v>
      </c>
      <c r="E482" s="4" t="s">
        <v>114</v>
      </c>
      <c r="F482" s="4" t="s">
        <v>486</v>
      </c>
      <c r="G482" s="4" t="s">
        <v>274</v>
      </c>
      <c r="H482" s="5" t="e">
        <f>#REF!</f>
        <v>#REF!</v>
      </c>
      <c r="I482" s="6" t="e">
        <f t="shared" si="145"/>
        <v>#REF!</v>
      </c>
      <c r="J482" s="6" t="s">
        <v>84</v>
      </c>
      <c r="K482" s="6" t="s">
        <v>202</v>
      </c>
      <c r="L482" s="7" t="e">
        <f t="shared" si="146"/>
        <v>#REF!</v>
      </c>
      <c r="M482" s="7" t="s">
        <v>203</v>
      </c>
      <c r="O482" s="7" t="str">
        <f>IF(OR($C482="",$C482="FID YOK"),"",IF(ISNUMBER(MATCH($C482,FA_ANA,0)),"",IF(COUNTIF($C$1:$C481,$C482)&gt;0,"",MAX($O$1:$O481)+1)))</f>
        <v/>
      </c>
      <c r="T482" s="7">
        <f>IF(ISNA(MATCH($C482,FA,0)),0,IF($J482="GIRIS",N(INDEX(F_INKOR,MATCH($C482,FA,0))),0))</f>
        <v>0</v>
      </c>
      <c r="Y482" s="7" t="e">
        <f>N(#REF!)*IF($E482="упак",MAX(1,IF(ISNA(MATCH($C482,FA,0)),1,N(INDEX(F_PAKET,MATCH($C482,FA,0))))),1)</f>
        <v>#REF!</v>
      </c>
      <c r="Z482" s="7" t="e">
        <f t="shared" si="147"/>
        <v>#REF!</v>
      </c>
      <c r="AA482" s="7">
        <f>IF(OR(ISNA(MATCH($C482,FA,0)),$J482="YEDEK",$J482="SARF"),0,N(#REF!)*N(INDEX(F_TEL,MATCH($C482,FA,0))))</f>
        <v>0</v>
      </c>
      <c r="AB482" s="7">
        <f>IF(OR(ISNA(MATCH($C482,FA,0)),$J482="YEDEK",$J482="SARF"),0,N(#REF!)*N(INDEX(F_TELM,MATCH($C482,FA,0))))</f>
        <v>0</v>
      </c>
      <c r="AC482" s="7" t="e">
        <f t="shared" si="148"/>
        <v>#REF!</v>
      </c>
      <c r="AD482" s="7">
        <f>IF(OR(ISNA(MATCH($C482,FA,0)),$J482&lt;&gt;"CIKIS"),0,N(INDEX(F_KK,MATCH($C482,FA,0))))</f>
        <v>0</v>
      </c>
      <c r="AE482" s="7">
        <f>IF($AD482=0,0,N(#REF!)*N(INDEX(F_KLN,MATCH($C482,FA,0))))</f>
        <v>0</v>
      </c>
      <c r="AF482" s="7">
        <f>IF($AD482=0,0,N(#REF!)*N(INDEX(F_KPE,MATCH($C482,FA,0))))</f>
        <v>0</v>
      </c>
      <c r="AG482" s="7" t="e">
        <f>IF(ISNA(MATCH($C482,FA,0)),0,N(#REF!)*N(INDEX(F_MODUL,MATCH($C482,FA,0))))</f>
        <v>#REF!</v>
      </c>
      <c r="AH482" s="7" t="e">
        <f>N(#REF!)*N($I482)</f>
        <v>#REF!</v>
      </c>
      <c r="AI482" s="7" t="e">
        <f t="shared" si="149"/>
        <v>#REF!</v>
      </c>
      <c r="AJ482" s="7">
        <f t="shared" si="150"/>
        <v>0</v>
      </c>
    </row>
    <row r="483" spans="1:36" x14ac:dyDescent="0.25">
      <c r="A483" s="4" t="str">
        <f t="shared" si="144"/>
        <v>ЩО-4, ЩО-5, ЩО-6 (260922 akram aulet)</v>
      </c>
      <c r="B483" s="4" t="s">
        <v>202</v>
      </c>
      <c r="C483" s="4" t="s">
        <v>579</v>
      </c>
      <c r="D483" s="4" t="s">
        <v>580</v>
      </c>
      <c r="E483" s="4" t="s">
        <v>114</v>
      </c>
      <c r="F483" s="4" t="s">
        <v>486</v>
      </c>
      <c r="G483" s="4" t="s">
        <v>274</v>
      </c>
      <c r="H483" s="5" t="e">
        <f>#REF!</f>
        <v>#REF!</v>
      </c>
      <c r="I483" s="6" t="e">
        <f t="shared" si="145"/>
        <v>#REF!</v>
      </c>
      <c r="J483" s="6" t="s">
        <v>84</v>
      </c>
      <c r="K483" s="6" t="s">
        <v>202</v>
      </c>
      <c r="L483" s="7" t="e">
        <f t="shared" si="146"/>
        <v>#REF!</v>
      </c>
      <c r="M483" s="7" t="s">
        <v>204</v>
      </c>
      <c r="O483" s="7" t="str">
        <f>IF(OR($C483="",$C483="FID YOK"),"",IF(ISNUMBER(MATCH($C483,FA_ANA,0)),"",IF(COUNTIF($C$1:$C482,$C483)&gt;0,"",MAX($O$1:$O482)+1)))</f>
        <v/>
      </c>
      <c r="T483" s="7">
        <f>IF(ISNA(MATCH($C483,FA,0)),0,IF($J483="GIRIS",N(INDEX(F_INKOR,MATCH($C483,FA,0))),0))</f>
        <v>0</v>
      </c>
      <c r="Y483" s="7" t="e">
        <f>N(#REF!)*IF($E483="упак",MAX(1,IF(ISNA(MATCH($C483,FA,0)),1,N(INDEX(F_PAKET,MATCH($C483,FA,0))))),1)</f>
        <v>#REF!</v>
      </c>
      <c r="Z483" s="7" t="e">
        <f t="shared" si="147"/>
        <v>#REF!</v>
      </c>
      <c r="AA483" s="7">
        <f>IF(OR(ISNA(MATCH($C483,FA,0)),$J483="YEDEK",$J483="SARF"),0,N(#REF!)*N(INDEX(F_TEL,MATCH($C483,FA,0))))</f>
        <v>0</v>
      </c>
      <c r="AB483" s="7">
        <f>IF(OR(ISNA(MATCH($C483,FA,0)),$J483="YEDEK",$J483="SARF"),0,N(#REF!)*N(INDEX(F_TELM,MATCH($C483,FA,0))))</f>
        <v>0</v>
      </c>
      <c r="AC483" s="7" t="e">
        <f t="shared" si="148"/>
        <v>#REF!</v>
      </c>
      <c r="AD483" s="7">
        <f>IF(OR(ISNA(MATCH($C483,FA,0)),$J483&lt;&gt;"CIKIS"),0,N(INDEX(F_KK,MATCH($C483,FA,0))))</f>
        <v>0</v>
      </c>
      <c r="AE483" s="7">
        <f>IF($AD483=0,0,N(#REF!)*N(INDEX(F_KLN,MATCH($C483,FA,0))))</f>
        <v>0</v>
      </c>
      <c r="AF483" s="7">
        <f>IF($AD483=0,0,N(#REF!)*N(INDEX(F_KPE,MATCH($C483,FA,0))))</f>
        <v>0</v>
      </c>
      <c r="AG483" s="7" t="e">
        <f>IF(ISNA(MATCH($C483,FA,0)),0,N(#REF!)*N(INDEX(F_MODUL,MATCH($C483,FA,0))))</f>
        <v>#REF!</v>
      </c>
      <c r="AH483" s="7" t="e">
        <f>N(#REF!)*N($I483)</f>
        <v>#REF!</v>
      </c>
      <c r="AI483" s="7" t="e">
        <f t="shared" si="149"/>
        <v>#REF!</v>
      </c>
      <c r="AJ483" s="7">
        <f t="shared" si="150"/>
        <v>0</v>
      </c>
    </row>
    <row r="484" spans="1:36" x14ac:dyDescent="0.25">
      <c r="A484" s="4" t="str">
        <f t="shared" si="144"/>
        <v>ЩО-4, ЩО-5, ЩО-6 (260922 akram aulet)</v>
      </c>
      <c r="B484" s="4" t="s">
        <v>92</v>
      </c>
      <c r="C484" s="4" t="s">
        <v>523</v>
      </c>
      <c r="D484" s="4" t="s">
        <v>524</v>
      </c>
      <c r="E484" s="4" t="s">
        <v>520</v>
      </c>
      <c r="F484" s="4" t="s">
        <v>521</v>
      </c>
      <c r="G484" s="4" t="s">
        <v>274</v>
      </c>
      <c r="H484" s="5" t="e">
        <f>#REF!</f>
        <v>#REF!</v>
      </c>
      <c r="I484" s="6" t="e">
        <f t="shared" si="145"/>
        <v>#REF!</v>
      </c>
      <c r="J484" s="6" t="s">
        <v>84</v>
      </c>
      <c r="K484" s="6" t="s">
        <v>92</v>
      </c>
      <c r="L484" s="7" t="e">
        <f t="shared" si="146"/>
        <v>#REF!</v>
      </c>
      <c r="M484" s="7" t="s">
        <v>93</v>
      </c>
      <c r="O484" s="7" t="str">
        <f>IF(OR($C484="",$C484="FID YOK"),"",IF(ISNUMBER(MATCH($C484,FA_ANA,0)),"",IF(COUNTIF($C$1:$C483,$C484)&gt;0,"",MAX($O$1:$O483)+1)))</f>
        <v/>
      </c>
      <c r="T484" s="7">
        <f>IF(ISNA(MATCH($C484,FA,0)),0,IF($J484="GIRIS",N(INDEX(F_INKOR,MATCH($C484,FA,0))),0))</f>
        <v>0</v>
      </c>
      <c r="Y484" s="7" t="e">
        <f>N(#REF!)*IF($E484="упак",MAX(1,IF(ISNA(MATCH($C484,FA,0)),1,N(INDEX(F_PAKET,MATCH($C484,FA,0))))),1)</f>
        <v>#REF!</v>
      </c>
      <c r="Z484" s="7" t="e">
        <f t="shared" si="147"/>
        <v>#REF!</v>
      </c>
      <c r="AA484" s="7">
        <f>IF(OR(ISNA(MATCH($C484,FA,0)),$J484="YEDEK",$J484="SARF"),0,N(#REF!)*N(INDEX(F_TEL,MATCH($C484,FA,0))))</f>
        <v>0</v>
      </c>
      <c r="AB484" s="7">
        <f>IF(OR(ISNA(MATCH($C484,FA,0)),$J484="YEDEK",$J484="SARF"),0,N(#REF!)*N(INDEX(F_TELM,MATCH($C484,FA,0))))</f>
        <v>0</v>
      </c>
      <c r="AC484" s="7" t="e">
        <f t="shared" si="148"/>
        <v>#REF!</v>
      </c>
      <c r="AD484" s="7">
        <f>IF(OR(ISNA(MATCH($C484,FA,0)),$J484&lt;&gt;"CIKIS"),0,N(INDEX(F_KK,MATCH($C484,FA,0))))</f>
        <v>0</v>
      </c>
      <c r="AE484" s="7">
        <f>IF($AD484=0,0,N(#REF!)*N(INDEX(F_KLN,MATCH($C484,FA,0))))</f>
        <v>0</v>
      </c>
      <c r="AF484" s="7">
        <f>IF($AD484=0,0,N(#REF!)*N(INDEX(F_KPE,MATCH($C484,FA,0))))</f>
        <v>0</v>
      </c>
      <c r="AG484" s="7" t="e">
        <f>IF(ISNA(MATCH($C484,FA,0)),0,N(#REF!)*N(INDEX(F_MODUL,MATCH($C484,FA,0))))</f>
        <v>#REF!</v>
      </c>
      <c r="AH484" s="7" t="e">
        <f>N(#REF!)*N($I484)</f>
        <v>#REF!</v>
      </c>
      <c r="AI484" s="7" t="e">
        <f t="shared" si="149"/>
        <v>#REF!</v>
      </c>
      <c r="AJ484" s="7">
        <f t="shared" si="150"/>
        <v>0</v>
      </c>
    </row>
    <row r="485" spans="1:36" x14ac:dyDescent="0.25">
      <c r="A485" s="4" t="str">
        <f t="shared" si="144"/>
        <v>ЩО-4, ЩО-5, ЩО-6 (260922 akram aulet)</v>
      </c>
      <c r="B485" s="4" t="s">
        <v>92</v>
      </c>
      <c r="C485" s="4" t="s">
        <v>527</v>
      </c>
      <c r="D485" s="4" t="s">
        <v>528</v>
      </c>
      <c r="E485" s="4" t="s">
        <v>520</v>
      </c>
      <c r="F485" s="4" t="s">
        <v>521</v>
      </c>
      <c r="G485" s="4" t="s">
        <v>274</v>
      </c>
      <c r="H485" s="5" t="e">
        <f>#REF!</f>
        <v>#REF!</v>
      </c>
      <c r="I485" s="6" t="e">
        <f t="shared" si="145"/>
        <v>#REF!</v>
      </c>
      <c r="J485" s="6" t="s">
        <v>84</v>
      </c>
      <c r="K485" s="6" t="s">
        <v>92</v>
      </c>
      <c r="L485" s="7" t="e">
        <f t="shared" si="146"/>
        <v>#REF!</v>
      </c>
      <c r="M485" s="7" t="s">
        <v>94</v>
      </c>
      <c r="O485" s="7" t="str">
        <f>IF(OR($C485="",$C485="FID YOK"),"",IF(ISNUMBER(MATCH($C485,FA_ANA,0)),"",IF(COUNTIF($C$1:$C484,$C485)&gt;0,"",MAX($O$1:$O484)+1)))</f>
        <v/>
      </c>
      <c r="T485" s="7">
        <f>IF(ISNA(MATCH($C485,FA,0)),0,IF($J485="GIRIS",N(INDEX(F_INKOR,MATCH($C485,FA,0))),0))</f>
        <v>0</v>
      </c>
      <c r="Y485" s="7" t="e">
        <f>N(#REF!)*IF($E485="упак",MAX(1,IF(ISNA(MATCH($C485,FA,0)),1,N(INDEX(F_PAKET,MATCH($C485,FA,0))))),1)</f>
        <v>#REF!</v>
      </c>
      <c r="Z485" s="7" t="e">
        <f t="shared" si="147"/>
        <v>#REF!</v>
      </c>
      <c r="AA485" s="7">
        <f>IF(OR(ISNA(MATCH($C485,FA,0)),$J485="YEDEK",$J485="SARF"),0,N(#REF!)*N(INDEX(F_TEL,MATCH($C485,FA,0))))</f>
        <v>0</v>
      </c>
      <c r="AB485" s="7">
        <f>IF(OR(ISNA(MATCH($C485,FA,0)),$J485="YEDEK",$J485="SARF"),0,N(#REF!)*N(INDEX(F_TELM,MATCH($C485,FA,0))))</f>
        <v>0</v>
      </c>
      <c r="AC485" s="7" t="e">
        <f t="shared" si="148"/>
        <v>#REF!</v>
      </c>
      <c r="AD485" s="7">
        <f>IF(OR(ISNA(MATCH($C485,FA,0)),$J485&lt;&gt;"CIKIS"),0,N(INDEX(F_KK,MATCH($C485,FA,0))))</f>
        <v>0</v>
      </c>
      <c r="AE485" s="7">
        <f>IF($AD485=0,0,N(#REF!)*N(INDEX(F_KLN,MATCH($C485,FA,0))))</f>
        <v>0</v>
      </c>
      <c r="AF485" s="7">
        <f>IF($AD485=0,0,N(#REF!)*N(INDEX(F_KPE,MATCH($C485,FA,0))))</f>
        <v>0</v>
      </c>
      <c r="AG485" s="7" t="e">
        <f>IF(ISNA(MATCH($C485,FA,0)),0,N(#REF!)*N(INDEX(F_MODUL,MATCH($C485,FA,0))))</f>
        <v>#REF!</v>
      </c>
      <c r="AH485" s="7" t="e">
        <f>N(#REF!)*N($I485)</f>
        <v>#REF!</v>
      </c>
      <c r="AI485" s="7" t="e">
        <f t="shared" si="149"/>
        <v>#REF!</v>
      </c>
      <c r="AJ485" s="7">
        <f t="shared" si="150"/>
        <v>0</v>
      </c>
    </row>
    <row r="486" spans="1:36" x14ac:dyDescent="0.25">
      <c r="A486" s="4" t="str">
        <f t="shared" si="144"/>
        <v>ЩО-4, ЩО-5, ЩО-6 (260922 akram aulet)</v>
      </c>
      <c r="B486" s="4" t="s">
        <v>92</v>
      </c>
      <c r="C486" s="4" t="s">
        <v>531</v>
      </c>
      <c r="D486" s="4" t="s">
        <v>532</v>
      </c>
      <c r="E486" s="4" t="s">
        <v>520</v>
      </c>
      <c r="F486" s="4" t="s">
        <v>521</v>
      </c>
      <c r="G486" s="4" t="s">
        <v>274</v>
      </c>
      <c r="H486" s="5" t="e">
        <f>#REF!</f>
        <v>#REF!</v>
      </c>
      <c r="I486" s="6" t="e">
        <f t="shared" si="145"/>
        <v>#REF!</v>
      </c>
      <c r="J486" s="6" t="s">
        <v>84</v>
      </c>
      <c r="K486" s="6" t="s">
        <v>92</v>
      </c>
      <c r="L486" s="7" t="e">
        <f t="shared" si="146"/>
        <v>#REF!</v>
      </c>
      <c r="M486" s="7" t="s">
        <v>95</v>
      </c>
      <c r="O486" s="7" t="str">
        <f>IF(OR($C486="",$C486="FID YOK"),"",IF(ISNUMBER(MATCH($C486,FA_ANA,0)),"",IF(COUNTIF($C$1:$C485,$C486)&gt;0,"",MAX($O$1:$O485)+1)))</f>
        <v/>
      </c>
      <c r="T486" s="7">
        <f>IF(ISNA(MATCH($C486,FA,0)),0,IF($J486="GIRIS",N(INDEX(F_INKOR,MATCH($C486,FA,0))),0))</f>
        <v>0</v>
      </c>
      <c r="Y486" s="7" t="e">
        <f>N(#REF!)*IF($E486="упак",MAX(1,IF(ISNA(MATCH($C486,FA,0)),1,N(INDEX(F_PAKET,MATCH($C486,FA,0))))),1)</f>
        <v>#REF!</v>
      </c>
      <c r="Z486" s="7" t="e">
        <f t="shared" si="147"/>
        <v>#REF!</v>
      </c>
      <c r="AA486" s="7">
        <f>IF(OR(ISNA(MATCH($C486,FA,0)),$J486="YEDEK",$J486="SARF"),0,N(#REF!)*N(INDEX(F_TEL,MATCH($C486,FA,0))))</f>
        <v>0</v>
      </c>
      <c r="AB486" s="7">
        <f>IF(OR(ISNA(MATCH($C486,FA,0)),$J486="YEDEK",$J486="SARF"),0,N(#REF!)*N(INDEX(F_TELM,MATCH($C486,FA,0))))</f>
        <v>0</v>
      </c>
      <c r="AC486" s="7" t="e">
        <f t="shared" si="148"/>
        <v>#REF!</v>
      </c>
      <c r="AD486" s="7">
        <f>IF(OR(ISNA(MATCH($C486,FA,0)),$J486&lt;&gt;"CIKIS"),0,N(INDEX(F_KK,MATCH($C486,FA,0))))</f>
        <v>0</v>
      </c>
      <c r="AE486" s="7">
        <f>IF($AD486=0,0,N(#REF!)*N(INDEX(F_KLN,MATCH($C486,FA,0))))</f>
        <v>0</v>
      </c>
      <c r="AF486" s="7">
        <f>IF($AD486=0,0,N(#REF!)*N(INDEX(F_KPE,MATCH($C486,FA,0))))</f>
        <v>0</v>
      </c>
      <c r="AG486" s="7" t="e">
        <f>IF(ISNA(MATCH($C486,FA,0)),0,N(#REF!)*N(INDEX(F_MODUL,MATCH($C486,FA,0))))</f>
        <v>#REF!</v>
      </c>
      <c r="AH486" s="7" t="e">
        <f>N(#REF!)*N($I486)</f>
        <v>#REF!</v>
      </c>
      <c r="AI486" s="7" t="e">
        <f t="shared" si="149"/>
        <v>#REF!</v>
      </c>
      <c r="AJ486" s="7">
        <f t="shared" si="150"/>
        <v>0</v>
      </c>
    </row>
    <row r="487" spans="1:36" x14ac:dyDescent="0.25">
      <c r="A487" s="4" t="str">
        <f t="shared" si="144"/>
        <v>ЩО-4, ЩО-5, ЩО-6 (260922 akram aulet)</v>
      </c>
      <c r="B487" s="4" t="s">
        <v>92</v>
      </c>
      <c r="C487" s="4" t="s">
        <v>535</v>
      </c>
      <c r="D487" s="4" t="s">
        <v>536</v>
      </c>
      <c r="E487" s="4" t="s">
        <v>520</v>
      </c>
      <c r="F487" s="4" t="s">
        <v>521</v>
      </c>
      <c r="G487" s="4" t="s">
        <v>274</v>
      </c>
      <c r="H487" s="5" t="e">
        <f>#REF!</f>
        <v>#REF!</v>
      </c>
      <c r="I487" s="6" t="e">
        <f t="shared" si="145"/>
        <v>#REF!</v>
      </c>
      <c r="J487" s="6" t="s">
        <v>84</v>
      </c>
      <c r="K487" s="6" t="s">
        <v>92</v>
      </c>
      <c r="L487" s="7" t="e">
        <f t="shared" si="146"/>
        <v>#REF!</v>
      </c>
      <c r="M487" s="7" t="s">
        <v>130</v>
      </c>
      <c r="O487" s="7" t="str">
        <f>IF(OR($C487="",$C487="FID YOK"),"",IF(ISNUMBER(MATCH($C487,FA_ANA,0)),"",IF(COUNTIF($C$1:$C486,$C487)&gt;0,"",MAX($O$1:$O486)+1)))</f>
        <v/>
      </c>
      <c r="T487" s="7">
        <f>IF(ISNA(MATCH($C487,FA,0)),0,IF($J487="GIRIS",N(INDEX(F_INKOR,MATCH($C487,FA,0))),0))</f>
        <v>0</v>
      </c>
      <c r="Y487" s="7" t="e">
        <f>N(#REF!)*IF($E487="упак",MAX(1,IF(ISNA(MATCH($C487,FA,0)),1,N(INDEX(F_PAKET,MATCH($C487,FA,0))))),1)</f>
        <v>#REF!</v>
      </c>
      <c r="Z487" s="7" t="e">
        <f t="shared" si="147"/>
        <v>#REF!</v>
      </c>
      <c r="AA487" s="7">
        <f>IF(OR(ISNA(MATCH($C487,FA,0)),$J487="YEDEK",$J487="SARF"),0,N(#REF!)*N(INDEX(F_TEL,MATCH($C487,FA,0))))</f>
        <v>0</v>
      </c>
      <c r="AB487" s="7">
        <f>IF(OR(ISNA(MATCH($C487,FA,0)),$J487="YEDEK",$J487="SARF"),0,N(#REF!)*N(INDEX(F_TELM,MATCH($C487,FA,0))))</f>
        <v>0</v>
      </c>
      <c r="AC487" s="7" t="e">
        <f t="shared" si="148"/>
        <v>#REF!</v>
      </c>
      <c r="AD487" s="7">
        <f>IF(OR(ISNA(MATCH($C487,FA,0)),$J487&lt;&gt;"CIKIS"),0,N(INDEX(F_KK,MATCH($C487,FA,0))))</f>
        <v>0</v>
      </c>
      <c r="AE487" s="7">
        <f>IF($AD487=0,0,N(#REF!)*N(INDEX(F_KLN,MATCH($C487,FA,0))))</f>
        <v>0</v>
      </c>
      <c r="AF487" s="7">
        <f>IF($AD487=0,0,N(#REF!)*N(INDEX(F_KPE,MATCH($C487,FA,0))))</f>
        <v>0</v>
      </c>
      <c r="AG487" s="7" t="e">
        <f>IF(ISNA(MATCH($C487,FA,0)),0,N(#REF!)*N(INDEX(F_MODUL,MATCH($C487,FA,0))))</f>
        <v>#REF!</v>
      </c>
      <c r="AH487" s="7" t="e">
        <f>N(#REF!)*N($I487)</f>
        <v>#REF!</v>
      </c>
      <c r="AI487" s="7" t="e">
        <f t="shared" si="149"/>
        <v>#REF!</v>
      </c>
      <c r="AJ487" s="7">
        <f t="shared" si="150"/>
        <v>0</v>
      </c>
    </row>
    <row r="488" spans="1:36" x14ac:dyDescent="0.25">
      <c r="A488" s="4" t="str">
        <f t="shared" si="144"/>
        <v>ЩО-4, ЩО-5, ЩО-6 (260922 akram aulet)</v>
      </c>
      <c r="B488" s="4" t="s">
        <v>92</v>
      </c>
      <c r="C488" s="4" t="s">
        <v>535</v>
      </c>
      <c r="D488" s="4" t="s">
        <v>536</v>
      </c>
      <c r="E488" s="4" t="s">
        <v>520</v>
      </c>
      <c r="F488" s="4" t="s">
        <v>521</v>
      </c>
      <c r="G488" s="4" t="s">
        <v>274</v>
      </c>
      <c r="H488" s="5" t="e">
        <f>#REF!</f>
        <v>#REF!</v>
      </c>
      <c r="I488" s="6" t="e">
        <f t="shared" si="145"/>
        <v>#REF!</v>
      </c>
      <c r="J488" s="6" t="s">
        <v>84</v>
      </c>
      <c r="K488" s="6" t="s">
        <v>92</v>
      </c>
      <c r="L488" s="7" t="e">
        <f t="shared" si="146"/>
        <v>#REF!</v>
      </c>
      <c r="M488" s="7" t="s">
        <v>100</v>
      </c>
      <c r="O488" s="7" t="str">
        <f>IF(OR($C488="",$C488="FID YOK"),"",IF(ISNUMBER(MATCH($C488,FA_ANA,0)),"",IF(COUNTIF($C$1:$C487,$C488)&gt;0,"",MAX($O$1:$O487)+1)))</f>
        <v/>
      </c>
      <c r="T488" s="7">
        <f>IF(ISNA(MATCH($C488,FA,0)),0,IF($J488="GIRIS",N(INDEX(F_INKOR,MATCH($C488,FA,0))),0))</f>
        <v>0</v>
      </c>
      <c r="Y488" s="7" t="e">
        <f>N(#REF!)*IF($E488="упак",MAX(1,IF(ISNA(MATCH($C488,FA,0)),1,N(INDEX(F_PAKET,MATCH($C488,FA,0))))),1)</f>
        <v>#REF!</v>
      </c>
      <c r="Z488" s="7" t="e">
        <f t="shared" si="147"/>
        <v>#REF!</v>
      </c>
      <c r="AA488" s="7">
        <f>IF(OR(ISNA(MATCH($C488,FA,0)),$J488="YEDEK",$J488="SARF"),0,N(#REF!)*N(INDEX(F_TEL,MATCH($C488,FA,0))))</f>
        <v>0</v>
      </c>
      <c r="AB488" s="7">
        <f>IF(OR(ISNA(MATCH($C488,FA,0)),$J488="YEDEK",$J488="SARF"),0,N(#REF!)*N(INDEX(F_TELM,MATCH($C488,FA,0))))</f>
        <v>0</v>
      </c>
      <c r="AC488" s="7" t="e">
        <f t="shared" si="148"/>
        <v>#REF!</v>
      </c>
      <c r="AD488" s="7">
        <f>IF(OR(ISNA(MATCH($C488,FA,0)),$J488&lt;&gt;"CIKIS"),0,N(INDEX(F_KK,MATCH($C488,FA,0))))</f>
        <v>0</v>
      </c>
      <c r="AE488" s="7">
        <f>IF($AD488=0,0,N(#REF!)*N(INDEX(F_KLN,MATCH($C488,FA,0))))</f>
        <v>0</v>
      </c>
      <c r="AF488" s="7">
        <f>IF($AD488=0,0,N(#REF!)*N(INDEX(F_KPE,MATCH($C488,FA,0))))</f>
        <v>0</v>
      </c>
      <c r="AG488" s="7" t="e">
        <f>IF(ISNA(MATCH($C488,FA,0)),0,N(#REF!)*N(INDEX(F_MODUL,MATCH($C488,FA,0))))</f>
        <v>#REF!</v>
      </c>
      <c r="AH488" s="7" t="e">
        <f>N(#REF!)*N($I488)</f>
        <v>#REF!</v>
      </c>
      <c r="AI488" s="7" t="e">
        <f t="shared" si="149"/>
        <v>#REF!</v>
      </c>
      <c r="AJ488" s="7">
        <f t="shared" si="150"/>
        <v>0</v>
      </c>
    </row>
    <row r="489" spans="1:36" x14ac:dyDescent="0.25">
      <c r="A489" s="4" t="str">
        <f t="shared" si="144"/>
        <v>ЩО-4, ЩО-5, ЩО-6 (260922 akram aulet)</v>
      </c>
      <c r="B489" s="4" t="s">
        <v>101</v>
      </c>
      <c r="C489" s="4" t="s">
        <v>525</v>
      </c>
      <c r="D489" s="4" t="s">
        <v>526</v>
      </c>
      <c r="E489" s="4" t="s">
        <v>522</v>
      </c>
      <c r="F489" s="4" t="s">
        <v>486</v>
      </c>
      <c r="G489" s="4" t="s">
        <v>274</v>
      </c>
      <c r="H489" s="5" t="e">
        <f>#REF!</f>
        <v>#REF!</v>
      </c>
      <c r="I489" s="6" t="e">
        <f t="shared" si="145"/>
        <v>#REF!</v>
      </c>
      <c r="J489" s="6" t="s">
        <v>84</v>
      </c>
      <c r="K489" s="6" t="s">
        <v>101</v>
      </c>
      <c r="L489" s="7" t="e">
        <f t="shared" si="146"/>
        <v>#REF!</v>
      </c>
      <c r="M489" s="7" t="s">
        <v>102</v>
      </c>
      <c r="O489" s="7" t="str">
        <f>IF(OR($C489="",$C489="FID YOK"),"",IF(ISNUMBER(MATCH($C489,FA_ANA,0)),"",IF(COUNTIF($C$1:$C488,$C489)&gt;0,"",MAX($O$1:$O488)+1)))</f>
        <v/>
      </c>
      <c r="T489" s="7">
        <f>IF(ISNA(MATCH($C489,FA,0)),0,IF($J489="GIRIS",N(INDEX(F_INKOR,MATCH($C489,FA,0))),0))</f>
        <v>0</v>
      </c>
      <c r="Y489" s="7" t="e">
        <f>N(#REF!)*IF($E489="упак",MAX(1,IF(ISNA(MATCH($C489,FA,0)),1,N(INDEX(F_PAKET,MATCH($C489,FA,0))))),1)</f>
        <v>#REF!</v>
      </c>
      <c r="Z489" s="7" t="e">
        <f t="shared" si="147"/>
        <v>#REF!</v>
      </c>
      <c r="AA489" s="7">
        <f>IF(OR(ISNA(MATCH($C489,FA,0)),$J489="YEDEK",$J489="SARF"),0,N(#REF!)*N(INDEX(F_TEL,MATCH($C489,FA,0))))</f>
        <v>0</v>
      </c>
      <c r="AB489" s="7">
        <f>IF(OR(ISNA(MATCH($C489,FA,0)),$J489="YEDEK",$J489="SARF"),0,N(#REF!)*N(INDEX(F_TELM,MATCH($C489,FA,0))))</f>
        <v>0</v>
      </c>
      <c r="AC489" s="7" t="e">
        <f t="shared" si="148"/>
        <v>#REF!</v>
      </c>
      <c r="AD489" s="7">
        <f>IF(OR(ISNA(MATCH($C489,FA,0)),$J489&lt;&gt;"CIKIS"),0,N(INDEX(F_KK,MATCH($C489,FA,0))))</f>
        <v>0</v>
      </c>
      <c r="AE489" s="7">
        <f>IF($AD489=0,0,N(#REF!)*N(INDEX(F_KLN,MATCH($C489,FA,0))))</f>
        <v>0</v>
      </c>
      <c r="AF489" s="7">
        <f>IF($AD489=0,0,N(#REF!)*N(INDEX(F_KPE,MATCH($C489,FA,0))))</f>
        <v>0</v>
      </c>
      <c r="AG489" s="7" t="e">
        <f>IF(ISNA(MATCH($C489,FA,0)),0,N(#REF!)*N(INDEX(F_MODUL,MATCH($C489,FA,0))))</f>
        <v>#REF!</v>
      </c>
      <c r="AH489" s="7" t="e">
        <f>N(#REF!)*N($I489)</f>
        <v>#REF!</v>
      </c>
      <c r="AI489" s="7" t="e">
        <f t="shared" si="149"/>
        <v>#REF!</v>
      </c>
      <c r="AJ489" s="7">
        <f t="shared" si="150"/>
        <v>0</v>
      </c>
    </row>
    <row r="490" spans="1:36" x14ac:dyDescent="0.25">
      <c r="A490" s="4" t="str">
        <f t="shared" si="144"/>
        <v>ЩО-4, ЩО-5, ЩО-6 (260922 akram aulet)</v>
      </c>
      <c r="B490" s="4" t="s">
        <v>101</v>
      </c>
      <c r="C490" s="4" t="s">
        <v>529</v>
      </c>
      <c r="D490" s="4" t="s">
        <v>530</v>
      </c>
      <c r="E490" s="4" t="s">
        <v>522</v>
      </c>
      <c r="F490" s="4" t="s">
        <v>486</v>
      </c>
      <c r="G490" s="4" t="s">
        <v>274</v>
      </c>
      <c r="H490" s="5" t="e">
        <f>#REF!</f>
        <v>#REF!</v>
      </c>
      <c r="I490" s="6" t="e">
        <f t="shared" si="145"/>
        <v>#REF!</v>
      </c>
      <c r="J490" s="6" t="s">
        <v>84</v>
      </c>
      <c r="K490" s="6" t="s">
        <v>101</v>
      </c>
      <c r="L490" s="7" t="e">
        <f t="shared" si="146"/>
        <v>#REF!</v>
      </c>
      <c r="M490" s="7" t="s">
        <v>103</v>
      </c>
      <c r="O490" s="7" t="str">
        <f>IF(OR($C490="",$C490="FID YOK"),"",IF(ISNUMBER(MATCH($C490,FA_ANA,0)),"",IF(COUNTIF($C$1:$C489,$C490)&gt;0,"",MAX($O$1:$O489)+1)))</f>
        <v/>
      </c>
      <c r="T490" s="7">
        <f>IF(ISNA(MATCH($C490,FA,0)),0,IF($J490="GIRIS",N(INDEX(F_INKOR,MATCH($C490,FA,0))),0))</f>
        <v>0</v>
      </c>
      <c r="Y490" s="7" t="e">
        <f>N(#REF!)*IF($E490="упак",MAX(1,IF(ISNA(MATCH($C490,FA,0)),1,N(INDEX(F_PAKET,MATCH($C490,FA,0))))),1)</f>
        <v>#REF!</v>
      </c>
      <c r="Z490" s="7" t="e">
        <f t="shared" si="147"/>
        <v>#REF!</v>
      </c>
      <c r="AA490" s="7">
        <f>IF(OR(ISNA(MATCH($C490,FA,0)),$J490="YEDEK",$J490="SARF"),0,N(#REF!)*N(INDEX(F_TEL,MATCH($C490,FA,0))))</f>
        <v>0</v>
      </c>
      <c r="AB490" s="7">
        <f>IF(OR(ISNA(MATCH($C490,FA,0)),$J490="YEDEK",$J490="SARF"),0,N(#REF!)*N(INDEX(F_TELM,MATCH($C490,FA,0))))</f>
        <v>0</v>
      </c>
      <c r="AC490" s="7" t="e">
        <f t="shared" si="148"/>
        <v>#REF!</v>
      </c>
      <c r="AD490" s="7">
        <f>IF(OR(ISNA(MATCH($C490,FA,0)),$J490&lt;&gt;"CIKIS"),0,N(INDEX(F_KK,MATCH($C490,FA,0))))</f>
        <v>0</v>
      </c>
      <c r="AE490" s="7">
        <f>IF($AD490=0,0,N(#REF!)*N(INDEX(F_KLN,MATCH($C490,FA,0))))</f>
        <v>0</v>
      </c>
      <c r="AF490" s="7">
        <f>IF($AD490=0,0,N(#REF!)*N(INDEX(F_KPE,MATCH($C490,FA,0))))</f>
        <v>0</v>
      </c>
      <c r="AG490" s="7" t="e">
        <f>IF(ISNA(MATCH($C490,FA,0)),0,N(#REF!)*N(INDEX(F_MODUL,MATCH($C490,FA,0))))</f>
        <v>#REF!</v>
      </c>
      <c r="AH490" s="7" t="e">
        <f>N(#REF!)*N($I490)</f>
        <v>#REF!</v>
      </c>
      <c r="AI490" s="7" t="e">
        <f t="shared" si="149"/>
        <v>#REF!</v>
      </c>
      <c r="AJ490" s="7">
        <f t="shared" si="150"/>
        <v>0</v>
      </c>
    </row>
    <row r="491" spans="1:36" x14ac:dyDescent="0.25">
      <c r="A491" s="4" t="str">
        <f t="shared" si="144"/>
        <v>ЩО-4, ЩО-5, ЩО-6 (260922 akram aulet)</v>
      </c>
      <c r="B491" s="4" t="s">
        <v>101</v>
      </c>
      <c r="C491" s="4" t="s">
        <v>533</v>
      </c>
      <c r="D491" s="4" t="s">
        <v>534</v>
      </c>
      <c r="E491" s="4" t="s">
        <v>522</v>
      </c>
      <c r="F491" s="4" t="s">
        <v>486</v>
      </c>
      <c r="G491" s="4" t="s">
        <v>274</v>
      </c>
      <c r="H491" s="5" t="e">
        <f>#REF!</f>
        <v>#REF!</v>
      </c>
      <c r="I491" s="6" t="e">
        <f t="shared" si="145"/>
        <v>#REF!</v>
      </c>
      <c r="J491" s="6" t="s">
        <v>84</v>
      </c>
      <c r="K491" s="6" t="s">
        <v>101</v>
      </c>
      <c r="L491" s="7" t="e">
        <f t="shared" si="146"/>
        <v>#REF!</v>
      </c>
      <c r="M491" s="7" t="s">
        <v>104</v>
      </c>
      <c r="O491" s="7" t="str">
        <f>IF(OR($C491="",$C491="FID YOK"),"",IF(ISNUMBER(MATCH($C491,FA_ANA,0)),"",IF(COUNTIF($C$1:$C490,$C491)&gt;0,"",MAX($O$1:$O490)+1)))</f>
        <v/>
      </c>
      <c r="T491" s="7">
        <f>IF(ISNA(MATCH($C491,FA,0)),0,IF($J491="GIRIS",N(INDEX(F_INKOR,MATCH($C491,FA,0))),0))</f>
        <v>0</v>
      </c>
      <c r="Y491" s="7" t="e">
        <f>N(#REF!)*IF($E491="упак",MAX(1,IF(ISNA(MATCH($C491,FA,0)),1,N(INDEX(F_PAKET,MATCH($C491,FA,0))))),1)</f>
        <v>#REF!</v>
      </c>
      <c r="Z491" s="7" t="e">
        <f t="shared" si="147"/>
        <v>#REF!</v>
      </c>
      <c r="AA491" s="7">
        <f>IF(OR(ISNA(MATCH($C491,FA,0)),$J491="YEDEK",$J491="SARF"),0,N(#REF!)*N(INDEX(F_TEL,MATCH($C491,FA,0))))</f>
        <v>0</v>
      </c>
      <c r="AB491" s="7">
        <f>IF(OR(ISNA(MATCH($C491,FA,0)),$J491="YEDEK",$J491="SARF"),0,N(#REF!)*N(INDEX(F_TELM,MATCH($C491,FA,0))))</f>
        <v>0</v>
      </c>
      <c r="AC491" s="7" t="e">
        <f t="shared" si="148"/>
        <v>#REF!</v>
      </c>
      <c r="AD491" s="7">
        <f>IF(OR(ISNA(MATCH($C491,FA,0)),$J491&lt;&gt;"CIKIS"),0,N(INDEX(F_KK,MATCH($C491,FA,0))))</f>
        <v>0</v>
      </c>
      <c r="AE491" s="7">
        <f>IF($AD491=0,0,N(#REF!)*N(INDEX(F_KLN,MATCH($C491,FA,0))))</f>
        <v>0</v>
      </c>
      <c r="AF491" s="7">
        <f>IF($AD491=0,0,N(#REF!)*N(INDEX(F_KPE,MATCH($C491,FA,0))))</f>
        <v>0</v>
      </c>
      <c r="AG491" s="7" t="e">
        <f>IF(ISNA(MATCH($C491,FA,0)),0,N(#REF!)*N(INDEX(F_MODUL,MATCH($C491,FA,0))))</f>
        <v>#REF!</v>
      </c>
      <c r="AH491" s="7" t="e">
        <f>N(#REF!)*N($I491)</f>
        <v>#REF!</v>
      </c>
      <c r="AI491" s="7" t="e">
        <f t="shared" si="149"/>
        <v>#REF!</v>
      </c>
      <c r="AJ491" s="7">
        <f t="shared" si="150"/>
        <v>0</v>
      </c>
    </row>
    <row r="492" spans="1:36" x14ac:dyDescent="0.25">
      <c r="A492" s="4" t="str">
        <f t="shared" si="144"/>
        <v>ЩО-4, ЩО-5, ЩО-6 (260922 akram aulet)</v>
      </c>
      <c r="B492" s="4" t="s">
        <v>101</v>
      </c>
      <c r="C492" s="4" t="s">
        <v>537</v>
      </c>
      <c r="D492" s="4" t="s">
        <v>538</v>
      </c>
      <c r="E492" s="4" t="s">
        <v>522</v>
      </c>
      <c r="F492" s="4" t="s">
        <v>486</v>
      </c>
      <c r="G492" s="4" t="s">
        <v>274</v>
      </c>
      <c r="H492" s="5" t="e">
        <f>#REF!</f>
        <v>#REF!</v>
      </c>
      <c r="I492" s="6" t="e">
        <f t="shared" si="145"/>
        <v>#REF!</v>
      </c>
      <c r="J492" s="6" t="s">
        <v>84</v>
      </c>
      <c r="K492" s="6" t="s">
        <v>101</v>
      </c>
      <c r="L492" s="7" t="e">
        <f t="shared" si="146"/>
        <v>#REF!</v>
      </c>
      <c r="M492" s="7" t="s">
        <v>205</v>
      </c>
      <c r="O492" s="7" t="str">
        <f>IF(OR($C492="",$C492="FID YOK"),"",IF(ISNUMBER(MATCH($C492,FA_ANA,0)),"",IF(COUNTIF($C$1:$C491,$C492)&gt;0,"",MAX($O$1:$O491)+1)))</f>
        <v/>
      </c>
      <c r="T492" s="7">
        <f>IF(ISNA(MATCH($C492,FA,0)),0,IF($J492="GIRIS",N(INDEX(F_INKOR,MATCH($C492,FA,0))),0))</f>
        <v>0</v>
      </c>
      <c r="Y492" s="7" t="e">
        <f>N(#REF!)*IF($E492="упак",MAX(1,IF(ISNA(MATCH($C492,FA,0)),1,N(INDEX(F_PAKET,MATCH($C492,FA,0))))),1)</f>
        <v>#REF!</v>
      </c>
      <c r="Z492" s="7" t="e">
        <f t="shared" si="147"/>
        <v>#REF!</v>
      </c>
      <c r="AA492" s="7">
        <f>IF(OR(ISNA(MATCH($C492,FA,0)),$J492="YEDEK",$J492="SARF"),0,N(#REF!)*N(INDEX(F_TEL,MATCH($C492,FA,0))))</f>
        <v>0</v>
      </c>
      <c r="AB492" s="7">
        <f>IF(OR(ISNA(MATCH($C492,FA,0)),$J492="YEDEK",$J492="SARF"),0,N(#REF!)*N(INDEX(F_TELM,MATCH($C492,FA,0))))</f>
        <v>0</v>
      </c>
      <c r="AC492" s="7" t="e">
        <f t="shared" si="148"/>
        <v>#REF!</v>
      </c>
      <c r="AD492" s="7">
        <f>IF(OR(ISNA(MATCH($C492,FA,0)),$J492&lt;&gt;"CIKIS"),0,N(INDEX(F_KK,MATCH($C492,FA,0))))</f>
        <v>0</v>
      </c>
      <c r="AE492" s="7">
        <f>IF($AD492=0,0,N(#REF!)*N(INDEX(F_KLN,MATCH($C492,FA,0))))</f>
        <v>0</v>
      </c>
      <c r="AF492" s="7">
        <f>IF($AD492=0,0,N(#REF!)*N(INDEX(F_KPE,MATCH($C492,FA,0))))</f>
        <v>0</v>
      </c>
      <c r="AG492" s="7" t="e">
        <f>IF(ISNA(MATCH($C492,FA,0)),0,N(#REF!)*N(INDEX(F_MODUL,MATCH($C492,FA,0))))</f>
        <v>#REF!</v>
      </c>
      <c r="AH492" s="7" t="e">
        <f>N(#REF!)*N($I492)</f>
        <v>#REF!</v>
      </c>
      <c r="AI492" s="7" t="e">
        <f t="shared" si="149"/>
        <v>#REF!</v>
      </c>
      <c r="AJ492" s="7">
        <f t="shared" si="150"/>
        <v>0</v>
      </c>
    </row>
    <row r="493" spans="1:36" x14ac:dyDescent="0.25">
      <c r="A493" s="4" t="str">
        <f t="shared" si="144"/>
        <v>ЩО-4, ЩО-5, ЩО-6 (260922 akram aulet)</v>
      </c>
      <c r="B493" s="4" t="s">
        <v>105</v>
      </c>
      <c r="C493" s="4" t="s">
        <v>539</v>
      </c>
      <c r="D493" s="4" t="s">
        <v>540</v>
      </c>
      <c r="E493" s="4" t="s">
        <v>114</v>
      </c>
      <c r="F493" s="4" t="s">
        <v>486</v>
      </c>
      <c r="G493" s="4" t="s">
        <v>274</v>
      </c>
      <c r="H493" s="5" t="e">
        <f>#REF!</f>
        <v>#REF!</v>
      </c>
      <c r="I493" s="6" t="e">
        <f t="shared" si="145"/>
        <v>#REF!</v>
      </c>
      <c r="J493" s="6" t="s">
        <v>84</v>
      </c>
      <c r="K493" s="6" t="s">
        <v>105</v>
      </c>
      <c r="L493" s="7" t="e">
        <f t="shared" si="146"/>
        <v>#REF!</v>
      </c>
      <c r="M493" s="7" t="s">
        <v>110</v>
      </c>
      <c r="O493" s="7" t="str">
        <f>IF(OR($C493="",$C493="FID YOK"),"",IF(ISNUMBER(MATCH($C493,FA_ANA,0)),"",IF(COUNTIF($C$1:$C492,$C493)&gt;0,"",MAX($O$1:$O492)+1)))</f>
        <v/>
      </c>
      <c r="T493" s="7">
        <f>IF(ISNA(MATCH($C493,FA,0)),0,IF($J493="GIRIS",N(INDEX(F_INKOR,MATCH($C493,FA,0))),0))</f>
        <v>0</v>
      </c>
      <c r="Y493" s="7" t="e">
        <f>N(#REF!)*IF($E493="упак",MAX(1,IF(ISNA(MATCH($C493,FA,0)),1,N(INDEX(F_PAKET,MATCH($C493,FA,0))))),1)</f>
        <v>#REF!</v>
      </c>
      <c r="Z493" s="7" t="e">
        <f t="shared" si="147"/>
        <v>#REF!</v>
      </c>
      <c r="AA493" s="7">
        <f>IF(OR(ISNA(MATCH($C493,FA,0)),$J493="YEDEK",$J493="SARF"),0,N(#REF!)*N(INDEX(F_TEL,MATCH($C493,FA,0))))</f>
        <v>0</v>
      </c>
      <c r="AB493" s="7">
        <f>IF(OR(ISNA(MATCH($C493,FA,0)),$J493="YEDEK",$J493="SARF"),0,N(#REF!)*N(INDEX(F_TELM,MATCH($C493,FA,0))))</f>
        <v>0</v>
      </c>
      <c r="AC493" s="7" t="e">
        <f t="shared" si="148"/>
        <v>#REF!</v>
      </c>
      <c r="AD493" s="7">
        <f>IF(OR(ISNA(MATCH($C493,FA,0)),$J493&lt;&gt;"CIKIS"),0,N(INDEX(F_KK,MATCH($C493,FA,0))))</f>
        <v>0</v>
      </c>
      <c r="AE493" s="7">
        <f>IF($AD493=0,0,N(#REF!)*N(INDEX(F_KLN,MATCH($C493,FA,0))))</f>
        <v>0</v>
      </c>
      <c r="AF493" s="7">
        <f>IF($AD493=0,0,N(#REF!)*N(INDEX(F_KPE,MATCH($C493,FA,0))))</f>
        <v>0</v>
      </c>
      <c r="AG493" s="7" t="e">
        <f>IF(ISNA(MATCH($C493,FA,0)),0,N(#REF!)*N(INDEX(F_MODUL,MATCH($C493,FA,0))))</f>
        <v>#REF!</v>
      </c>
      <c r="AH493" s="7" t="e">
        <f>N(#REF!)*N($I493)</f>
        <v>#REF!</v>
      </c>
      <c r="AI493" s="7" t="e">
        <f t="shared" si="149"/>
        <v>#REF!</v>
      </c>
      <c r="AJ493" s="7">
        <f t="shared" si="150"/>
        <v>0</v>
      </c>
    </row>
    <row r="494" spans="1:36" x14ac:dyDescent="0.25">
      <c r="A494" s="4" t="str">
        <f t="shared" si="144"/>
        <v>ЩО-4, ЩО-5, ЩО-6 (260922 akram aulet)</v>
      </c>
      <c r="B494" s="4" t="s">
        <v>111</v>
      </c>
      <c r="C494" s="4" t="s">
        <v>571</v>
      </c>
      <c r="D494" s="4" t="s">
        <v>572</v>
      </c>
      <c r="E494" s="4" t="s">
        <v>522</v>
      </c>
      <c r="F494" s="4" t="s">
        <v>486</v>
      </c>
      <c r="G494" s="4" t="s">
        <v>274</v>
      </c>
      <c r="H494" s="5" t="e">
        <f>#REF!</f>
        <v>#REF!</v>
      </c>
      <c r="I494" s="6" t="e">
        <f t="shared" si="145"/>
        <v>#REF!</v>
      </c>
      <c r="J494" s="6" t="s">
        <v>84</v>
      </c>
      <c r="K494" s="6" t="s">
        <v>111</v>
      </c>
      <c r="L494" s="7" t="e">
        <f t="shared" si="146"/>
        <v>#REF!</v>
      </c>
      <c r="M494" s="7" t="s">
        <v>112</v>
      </c>
      <c r="O494" s="7" t="str">
        <f>IF(OR($C494="",$C494="FID YOK"),"",IF(ISNUMBER(MATCH($C494,FA_ANA,0)),"",IF(COUNTIF($C$1:$C493,$C494)&gt;0,"",MAX($O$1:$O493)+1)))</f>
        <v/>
      </c>
      <c r="T494" s="7">
        <f>IF(ISNA(MATCH($C494,FA,0)),0,IF($J494="GIRIS",N(INDEX(F_INKOR,MATCH($C494,FA,0))),0))</f>
        <v>0</v>
      </c>
      <c r="Y494" s="7" t="e">
        <f>N(#REF!)*IF($E494="упак",MAX(1,IF(ISNA(MATCH($C494,FA,0)),1,N(INDEX(F_PAKET,MATCH($C494,FA,0))))),1)</f>
        <v>#REF!</v>
      </c>
      <c r="Z494" s="7" t="e">
        <f t="shared" si="147"/>
        <v>#REF!</v>
      </c>
      <c r="AA494" s="7">
        <f>IF(OR(ISNA(MATCH($C494,FA,0)),$J494="YEDEK",$J494="SARF"),0,N(#REF!)*N(INDEX(F_TEL,MATCH($C494,FA,0))))</f>
        <v>0</v>
      </c>
      <c r="AB494" s="7">
        <f>IF(OR(ISNA(MATCH($C494,FA,0)),$J494="YEDEK",$J494="SARF"),0,N(#REF!)*N(INDEX(F_TELM,MATCH($C494,FA,0))))</f>
        <v>0</v>
      </c>
      <c r="AC494" s="7" t="e">
        <f t="shared" si="148"/>
        <v>#REF!</v>
      </c>
      <c r="AD494" s="7">
        <f>IF(OR(ISNA(MATCH($C494,FA,0)),$J494&lt;&gt;"CIKIS"),0,N(INDEX(F_KK,MATCH($C494,FA,0))))</f>
        <v>0</v>
      </c>
      <c r="AE494" s="7">
        <f>IF($AD494=0,0,N(#REF!)*N(INDEX(F_KLN,MATCH($C494,FA,0))))</f>
        <v>0</v>
      </c>
      <c r="AF494" s="7">
        <f>IF($AD494=0,0,N(#REF!)*N(INDEX(F_KPE,MATCH($C494,FA,0))))</f>
        <v>0</v>
      </c>
      <c r="AG494" s="7" t="e">
        <f>IF(ISNA(MATCH($C494,FA,0)),0,N(#REF!)*N(INDEX(F_MODUL,MATCH($C494,FA,0))))</f>
        <v>#REF!</v>
      </c>
      <c r="AH494" s="7" t="e">
        <f>N(#REF!)*N($I494)</f>
        <v>#REF!</v>
      </c>
      <c r="AI494" s="7" t="e">
        <f t="shared" si="149"/>
        <v>#REF!</v>
      </c>
      <c r="AJ494" s="7">
        <f t="shared" si="150"/>
        <v>0</v>
      </c>
    </row>
    <row r="495" spans="1:36" x14ac:dyDescent="0.25">
      <c r="A495" s="4" t="str">
        <f t="shared" si="144"/>
        <v>ЩО-4, ЩО-5, ЩО-6 (260922 akram aulet)</v>
      </c>
      <c r="B495" s="4" t="s">
        <v>113</v>
      </c>
      <c r="C495" s="4" t="s">
        <v>113</v>
      </c>
      <c r="D495" s="4" t="s">
        <v>113</v>
      </c>
      <c r="E495" s="4" t="s">
        <v>114</v>
      </c>
      <c r="F495" s="4" t="s">
        <v>113</v>
      </c>
      <c r="G495" s="4" t="s">
        <v>274</v>
      </c>
      <c r="H495" s="5" t="e">
        <f>#REF!</f>
        <v>#REF!</v>
      </c>
      <c r="I495" s="6" t="e">
        <f t="shared" si="145"/>
        <v>#REF!</v>
      </c>
    </row>
    <row r="496" spans="1:36" x14ac:dyDescent="0.25">
      <c r="A496" s="4" t="str">
        <f t="shared" si="144"/>
        <v>ЩО-4, ЩО-5, ЩО-6 (260922 akram aulet)</v>
      </c>
      <c r="B496" s="4" t="s">
        <v>115</v>
      </c>
      <c r="C496" s="4" t="s">
        <v>115</v>
      </c>
      <c r="D496" s="4" t="s">
        <v>115</v>
      </c>
      <c r="E496" s="4" t="s">
        <v>116</v>
      </c>
      <c r="F496" s="4" t="s">
        <v>115</v>
      </c>
      <c r="G496" s="4" t="s">
        <v>274</v>
      </c>
      <c r="H496" s="5" t="e">
        <f>#REF!</f>
        <v>#REF!</v>
      </c>
      <c r="I496" s="6" t="e">
        <f t="shared" si="145"/>
        <v>#REF!</v>
      </c>
    </row>
    <row r="497" spans="1:36" x14ac:dyDescent="0.25">
      <c r="A497" s="1" t="str">
        <f>D497</f>
        <v>ЩАО-1, ЩАО-2, ЩАО-3 (260922 akram aulet)</v>
      </c>
      <c r="B497" s="12"/>
      <c r="C497" s="2"/>
      <c r="D497" s="1" t="s">
        <v>279</v>
      </c>
      <c r="E497" s="1" t="s">
        <v>36</v>
      </c>
      <c r="F497" s="1" t="s">
        <v>37</v>
      </c>
      <c r="G497" s="1" t="s">
        <v>258</v>
      </c>
      <c r="I497" s="3" t="e">
        <f>#REF!</f>
        <v>#REF!</v>
      </c>
    </row>
    <row r="498" spans="1:36" x14ac:dyDescent="0.25">
      <c r="A498" s="4" t="str">
        <f t="shared" ref="A498:A512" si="153">A497</f>
        <v>ЩАО-1, ЩАО-2, ЩАО-3 (260922 akram aulet)</v>
      </c>
      <c r="B498" s="4" t="s">
        <v>39</v>
      </c>
      <c r="C498" s="4" t="s">
        <v>502</v>
      </c>
      <c r="D498" s="4" t="s">
        <v>503</v>
      </c>
      <c r="E498" s="4" t="s">
        <v>114</v>
      </c>
      <c r="F498" s="4" t="s">
        <v>591</v>
      </c>
      <c r="G498" s="4" t="s">
        <v>258</v>
      </c>
      <c r="H498" s="5" t="e">
        <f>#REF!</f>
        <v>#REF!</v>
      </c>
      <c r="I498" s="6" t="e">
        <f t="shared" ref="I498:I512" si="154">I497</f>
        <v>#REF!</v>
      </c>
      <c r="J498" s="6" t="s">
        <v>40</v>
      </c>
      <c r="K498" s="6" t="s">
        <v>195</v>
      </c>
      <c r="L498" s="7" t="e">
        <f t="shared" ref="L498:L510" si="155">IF(ISNA(MATCH($C498,FA,0)),"ARTİKÜL YOK",INDEX(FIYAT_DURUM,MATCH($C498,FA,0)))</f>
        <v>#REF!</v>
      </c>
      <c r="M498" s="7" t="s">
        <v>280</v>
      </c>
      <c r="N498" s="7" t="s">
        <v>255</v>
      </c>
      <c r="O498" s="7" t="str">
        <f>IF(OR($C498="",$C498="FID YOK"),"",IF(ISNUMBER(MATCH($C498,FA_ANA,0)),"",IF(COUNTIF($C$1:$C497,$C498)&gt;0,"",MAX($O$1:$O497)+1)))</f>
        <v/>
      </c>
      <c r="Q498" s="7"/>
      <c r="R498" s="7"/>
      <c r="S498" s="7"/>
      <c r="T498" s="7">
        <f>IF(ISNA(MATCH($C498,FA,0)),0,IF($J498="GIRIS",N(INDEX(F_INKOR,MATCH($C498,FA,0))),0))</f>
        <v>0</v>
      </c>
      <c r="U498" s="7"/>
      <c r="V498" s="7"/>
      <c r="W498" s="7"/>
      <c r="X498" s="7"/>
      <c r="Y498" s="7" t="e">
        <f>N(#REF!)*IF($E498="упак",MAX(1,IF(ISNA(MATCH($C498,FA,0)),1,N(INDEX(F_PAKET,MATCH($C498,FA,0))))),1)</f>
        <v>#REF!</v>
      </c>
      <c r="Z498" s="7" t="e">
        <f t="shared" ref="Z498:Z510" si="156">IF(ISNA(MATCH($C498,FA,0)),0,N(INDEX(F_BK,MATCH($C498,FA,0))))</f>
        <v>#REF!</v>
      </c>
      <c r="AA498" s="7" t="e">
        <f>IF(OR(ISNA(MATCH($C498,FA,0)),$J498="YEDEK",$J498="SARF"),0,N(#REF!)*N(INDEX(F_TEL,MATCH($C498,FA,0))))</f>
        <v>#REF!</v>
      </c>
      <c r="AB498" s="7" t="e">
        <f>IF(OR(ISNA(MATCH($C498,FA,0)),$J498="YEDEK",$J498="SARF"),0,N(#REF!)*N(INDEX(F_TELM,MATCH($C498,FA,0))))</f>
        <v>#REF!</v>
      </c>
      <c r="AC498" s="7" t="e">
        <f t="shared" ref="AC498:AC510" si="157">IF(ISNA(MATCH($C498,FA,0)),"",INDEX(F_UC,MATCH($C498,FA,0))&amp;"")</f>
        <v>#REF!</v>
      </c>
      <c r="AD498" s="7">
        <f>IF(OR(ISNA(MATCH($C498,FA,0)),$J498&lt;&gt;"CIKIS"),0,N(INDEX(F_KK,MATCH($C498,FA,0))))</f>
        <v>0</v>
      </c>
      <c r="AE498" s="7">
        <f>IF($AD498=0,0,N(#REF!)*N(INDEX(F_KLN,MATCH($C498,FA,0))))</f>
        <v>0</v>
      </c>
      <c r="AF498" s="7">
        <f>IF($AD498=0,0,N(#REF!)*N(INDEX(F_KPE,MATCH($C498,FA,0))))</f>
        <v>0</v>
      </c>
      <c r="AG498" s="7" t="e">
        <f>IF(ISNA(MATCH($C498,FA,0)),0,N(#REF!)*N(INDEX(F_MODUL,MATCH($C498,FA,0))))</f>
        <v>#REF!</v>
      </c>
      <c r="AH498" s="7" t="e">
        <f>N(#REF!)*N($I498)</f>
        <v>#REF!</v>
      </c>
      <c r="AI498" s="7" t="e">
        <f t="shared" ref="AI498:AI510" si="158">IF(ISNA(MATCH($K498,TIP_AD,0)),"YOK",IF(INDEX(NORM_DK,MATCH($K498,TIP_AD,0))="","BOŞ",INDEX(NORM_DK,MATCH($K498,TIP_AD,0))))</f>
        <v>#REF!</v>
      </c>
      <c r="AJ498" s="7">
        <f t="shared" ref="AJ498:AJ510" si="159">IF(ISNUMBER($AI498),$Y498*$AI498,0)</f>
        <v>0</v>
      </c>
    </row>
    <row r="499" spans="1:36" x14ac:dyDescent="0.25">
      <c r="A499" s="4" t="str">
        <f t="shared" si="153"/>
        <v>ЩАО-1, ЩАО-2, ЩАО-3 (260922 akram aulet)</v>
      </c>
      <c r="B499" s="4" t="s">
        <v>198</v>
      </c>
      <c r="C499" s="4" t="s">
        <v>378</v>
      </c>
      <c r="D499" s="4" t="s">
        <v>379</v>
      </c>
      <c r="E499" s="4" t="s">
        <v>114</v>
      </c>
      <c r="F499" s="4" t="s">
        <v>377</v>
      </c>
      <c r="G499" s="4" t="s">
        <v>258</v>
      </c>
      <c r="H499" s="5" t="e">
        <f>#REF!</f>
        <v>#REF!</v>
      </c>
      <c r="I499" s="6" t="e">
        <f t="shared" si="154"/>
        <v>#REF!</v>
      </c>
      <c r="J499" s="6" t="s">
        <v>48</v>
      </c>
      <c r="K499" s="6" t="s">
        <v>198</v>
      </c>
      <c r="L499" s="7" t="e">
        <f t="shared" si="155"/>
        <v>#REF!</v>
      </c>
      <c r="M499" s="7" t="s">
        <v>281</v>
      </c>
      <c r="N499" s="7" t="s">
        <v>282</v>
      </c>
      <c r="O499" s="7">
        <f>IF(OR($C499="",$C499="FID YOK"),"",IF(ISNUMBER(MATCH($C499,FA_ANA,0)),"",IF(COUNTIF($C$1:$C498,$C499)&gt;0,"",MAX($O$1:$O498)+1)))</f>
        <v>92</v>
      </c>
      <c r="P499" s="8">
        <v>1</v>
      </c>
      <c r="Q499" s="7" t="e">
        <f>IF(OR($P499="",$P499="G",ISNA(MATCH($C499,FA,0))),"",IF(N(INDEX(F_G,MATCH($C499,FA,0)))&gt;0,INDEX(F_G,MATCH($C499,FA,0)),IF(N(INDEX(F_MODUL,MATCH($C499,FA,0)))&gt;0,INDEX(F_MODUL,MATCH($C499,FA,0))*MODUL_MM,"")))</f>
        <v>#REF!</v>
      </c>
      <c r="R499" s="7" t="e">
        <f>IF(OR($P499="",$P499="G",ISNA(MATCH($C499,FA,0))),"",IF(N(INDEX(F_Y,MATCH($C499,FA,0)))&gt;0,INDEX(F_Y,MATCH($C499,FA,0)),""))</f>
        <v>#REF!</v>
      </c>
      <c r="S499" s="7" t="e">
        <f>IF(OR($P499="",$P499="G",ISNA(MATCH($C499,FA,0))),"",IF(N(INDEX(F_D,MATCH($C499,FA,0)))&gt;0,INDEX(F_D,MATCH($C499,FA,0)),""))</f>
        <v>#REF!</v>
      </c>
      <c r="T499" s="7" t="e">
        <f>IF(ISNA(MATCH($C499,FA,0)),0,IF($J499="GIRIS",N(INDEX(F_INKOR,MATCH($C499,FA,0))),0))</f>
        <v>#REF!</v>
      </c>
      <c r="U499" s="7" t="e">
        <f>IF(ISNA(MATCH($B499,TIP_AD,0)),"",INDEX(TIP_KAT,MATCH($B499,TIP_AD,0))&amp;"")</f>
        <v>#REF!</v>
      </c>
      <c r="V499" s="7" t="e">
        <f>IF(NOT(ISNUMBER($P499)),"",IF($Z499=0,0,IF(ISNA(MATCH($Z499,BUK_KESIT,0)),"",IF(INDEX(BUK_ALAN,MATCH($Z499,BUK_KESIT,0))&amp;""="","",INDEX(BUK_ALAN,MATCH($Z499,BUK_KESIT,0))))))</f>
        <v>#REF!</v>
      </c>
      <c r="W499" s="7" t="e">
        <f>IF(OR(NOT(ISNUMBER($P499)),$Q499=""),"",N(#REF!)*($Q499+IF(ISNA(MATCH($B499,TIP_AD,0)),0,N(INDEX(TIP_BOSLUK,MATCH($B499,TIP_AD,0))))))</f>
        <v>#REF!</v>
      </c>
      <c r="X499" s="7" t="e">
        <f>IF(ISNUMBER($P499),($Q499="")+($R499="")+($V499="")+IF(AND($U499="KONTAKTOR",NOT(ISNA(MATCH($B499,TIP_AD,0)))),IF(INDEX(TIP_BOSLUK,MATCH($B499,TIP_AD,0))&amp;""="",1,0),0),IF($P499="K",IF($S499="",1,0),0))</f>
        <v>#REF!</v>
      </c>
      <c r="Y499" s="7" t="e">
        <f>N(#REF!)*IF($E499="упак",MAX(1,IF(ISNA(MATCH($C499,FA,0)),1,N(INDEX(F_PAKET,MATCH($C499,FA,0))))),1)</f>
        <v>#REF!</v>
      </c>
      <c r="Z499" s="7" t="e">
        <f t="shared" si="156"/>
        <v>#REF!</v>
      </c>
      <c r="AA499" s="7" t="e">
        <f>IF(OR(ISNA(MATCH($C499,FA,0)),$J499="YEDEK",$J499="SARF"),0,N(#REF!)*N(INDEX(F_TEL,MATCH($C499,FA,0))))</f>
        <v>#REF!</v>
      </c>
      <c r="AB499" s="7" t="e">
        <f>IF(OR(ISNA(MATCH($C499,FA,0)),$J499="YEDEK",$J499="SARF"),0,N(#REF!)*N(INDEX(F_TELM,MATCH($C499,FA,0))))</f>
        <v>#REF!</v>
      </c>
      <c r="AC499" s="7" t="e">
        <f t="shared" si="157"/>
        <v>#REF!</v>
      </c>
      <c r="AD499" s="7">
        <f>IF(OR(ISNA(MATCH($C499,FA,0)),$J499&lt;&gt;"CIKIS"),0,N(INDEX(F_KK,MATCH($C499,FA,0))))</f>
        <v>0</v>
      </c>
      <c r="AE499" s="7">
        <f>IF($AD499=0,0,N(#REF!)*N(INDEX(F_KLN,MATCH($C499,FA,0))))</f>
        <v>0</v>
      </c>
      <c r="AF499" s="7">
        <f>IF($AD499=0,0,N(#REF!)*N(INDEX(F_KPE,MATCH($C499,FA,0))))</f>
        <v>0</v>
      </c>
      <c r="AG499" s="7" t="e">
        <f>IF(ISNA(MATCH($C499,FA,0)),0,N(#REF!)*N(INDEX(F_MODUL,MATCH($C499,FA,0))))</f>
        <v>#REF!</v>
      </c>
      <c r="AH499" s="7" t="e">
        <f>N(#REF!)*N($I499)</f>
        <v>#REF!</v>
      </c>
      <c r="AI499" s="7" t="e">
        <f t="shared" si="158"/>
        <v>#REF!</v>
      </c>
      <c r="AJ499" s="7">
        <f t="shared" si="159"/>
        <v>0</v>
      </c>
    </row>
    <row r="500" spans="1:36" x14ac:dyDescent="0.25">
      <c r="A500" s="4" t="str">
        <f t="shared" si="153"/>
        <v>ЩАО-1, ЩАО-2, ЩАО-3 (260922 akram aulet)</v>
      </c>
      <c r="B500" s="4" t="s">
        <v>65</v>
      </c>
      <c r="C500" s="4" t="s">
        <v>386</v>
      </c>
      <c r="D500" s="4" t="s">
        <v>387</v>
      </c>
      <c r="E500" s="4" t="s">
        <v>114</v>
      </c>
      <c r="F500" s="4" t="s">
        <v>377</v>
      </c>
      <c r="G500" s="4" t="s">
        <v>258</v>
      </c>
      <c r="H500" s="5" t="e">
        <f>#REF!</f>
        <v>#REF!</v>
      </c>
      <c r="I500" s="6" t="e">
        <f t="shared" si="154"/>
        <v>#REF!</v>
      </c>
      <c r="J500" s="6" t="s">
        <v>52</v>
      </c>
      <c r="K500" s="6" t="s">
        <v>65</v>
      </c>
      <c r="L500" s="7" t="e">
        <f t="shared" si="155"/>
        <v>#REF!</v>
      </c>
      <c r="M500" s="7" t="s">
        <v>283</v>
      </c>
      <c r="N500" s="7" t="s">
        <v>269</v>
      </c>
      <c r="O500" s="7" t="str">
        <f>IF(OR($C500="",$C500="FID YOK"),"",IF(ISNUMBER(MATCH($C500,FA_ANA,0)),"",IF(COUNTIF($C$1:$C499,$C500)&gt;0,"",MAX($O$1:$O499)+1)))</f>
        <v/>
      </c>
      <c r="P500" s="8">
        <v>1</v>
      </c>
      <c r="Q500" s="7" t="e">
        <f>IF(OR($P500="",$P500="G",ISNA(MATCH($C500,FA,0))),"",IF(N(INDEX(F_G,MATCH($C500,FA,0)))&gt;0,INDEX(F_G,MATCH($C500,FA,0)),IF(N(INDEX(F_MODUL,MATCH($C500,FA,0)))&gt;0,INDEX(F_MODUL,MATCH($C500,FA,0))*MODUL_MM,"")))</f>
        <v>#REF!</v>
      </c>
      <c r="R500" s="7" t="e">
        <f>IF(OR($P500="",$P500="G",ISNA(MATCH($C500,FA,0))),"",IF(N(INDEX(F_Y,MATCH($C500,FA,0)))&gt;0,INDEX(F_Y,MATCH($C500,FA,0)),""))</f>
        <v>#REF!</v>
      </c>
      <c r="S500" s="7" t="e">
        <f>IF(OR($P500="",$P500="G",ISNA(MATCH($C500,FA,0))),"",IF(N(INDEX(F_D,MATCH($C500,FA,0)))&gt;0,INDEX(F_D,MATCH($C500,FA,0)),""))</f>
        <v>#REF!</v>
      </c>
      <c r="T500" s="7">
        <f>IF(ISNA(MATCH($C500,FA,0)),0,IF($J500="GIRIS",N(INDEX(F_INKOR,MATCH($C500,FA,0))),0))</f>
        <v>0</v>
      </c>
      <c r="U500" s="7" t="e">
        <f>IF(ISNA(MATCH($B500,TIP_AD,0)),"",INDEX(TIP_KAT,MATCH($B500,TIP_AD,0))&amp;"")</f>
        <v>#REF!</v>
      </c>
      <c r="V500" s="7" t="e">
        <f>IF(NOT(ISNUMBER($P500)),"",IF($Z500=0,0,IF(ISNA(MATCH($Z500,BUK_KESIT,0)),"",IF(INDEX(BUK_ALAN,MATCH($Z500,BUK_KESIT,0))&amp;""="","",INDEX(BUK_ALAN,MATCH($Z500,BUK_KESIT,0))))))</f>
        <v>#REF!</v>
      </c>
      <c r="W500" s="7" t="e">
        <f>IF(OR(NOT(ISNUMBER($P500)),$Q500=""),"",N(#REF!)*($Q500+IF(ISNA(MATCH($B500,TIP_AD,0)),0,N(INDEX(TIP_BOSLUK,MATCH($B500,TIP_AD,0))))))</f>
        <v>#REF!</v>
      </c>
      <c r="X500" s="7" t="e">
        <f>IF(ISNUMBER($P500),($Q500="")+($R500="")+($V500="")+IF(AND($U500="KONTAKTOR",NOT(ISNA(MATCH($B500,TIP_AD,0)))),IF(INDEX(TIP_BOSLUK,MATCH($B500,TIP_AD,0))&amp;""="",1,0),0),IF($P500="K",IF($S500="",1,0),0))</f>
        <v>#REF!</v>
      </c>
      <c r="Y500" s="7" t="e">
        <f>N(#REF!)*IF($E500="упак",MAX(1,IF(ISNA(MATCH($C500,FA,0)),1,N(INDEX(F_PAKET,MATCH($C500,FA,0))))),1)</f>
        <v>#REF!</v>
      </c>
      <c r="Z500" s="7" t="e">
        <f t="shared" si="156"/>
        <v>#REF!</v>
      </c>
      <c r="AA500" s="7" t="e">
        <f>IF(OR(ISNA(MATCH($C500,FA,0)),$J500="YEDEK",$J500="SARF"),0,N(#REF!)*N(INDEX(F_TEL,MATCH($C500,FA,0))))</f>
        <v>#REF!</v>
      </c>
      <c r="AB500" s="7" t="e">
        <f>IF(OR(ISNA(MATCH($C500,FA,0)),$J500="YEDEK",$J500="SARF"),0,N(#REF!)*N(INDEX(F_TELM,MATCH($C500,FA,0))))</f>
        <v>#REF!</v>
      </c>
      <c r="AC500" s="7" t="e">
        <f t="shared" si="157"/>
        <v>#REF!</v>
      </c>
      <c r="AD500" s="7" t="e">
        <f>IF(OR(ISNA(MATCH($C500,FA,0)),$J500&lt;&gt;"CIKIS"),0,N(INDEX(F_KK,MATCH($C500,FA,0))))</f>
        <v>#REF!</v>
      </c>
      <c r="AE500" s="7" t="e">
        <f>IF($AD500=0,0,N(#REF!)*N(INDEX(F_KLN,MATCH($C500,FA,0))))</f>
        <v>#REF!</v>
      </c>
      <c r="AF500" s="7" t="e">
        <f>IF($AD500=0,0,N(#REF!)*N(INDEX(F_KPE,MATCH($C500,FA,0))))</f>
        <v>#REF!</v>
      </c>
      <c r="AG500" s="7" t="e">
        <f>IF(ISNA(MATCH($C500,FA,0)),0,N(#REF!)*N(INDEX(F_MODUL,MATCH($C500,FA,0))))</f>
        <v>#REF!</v>
      </c>
      <c r="AH500" s="7" t="e">
        <f>N(#REF!)*N($I500)</f>
        <v>#REF!</v>
      </c>
      <c r="AI500" s="7" t="e">
        <f t="shared" si="158"/>
        <v>#REF!</v>
      </c>
      <c r="AJ500" s="7">
        <f t="shared" si="159"/>
        <v>0</v>
      </c>
    </row>
    <row r="501" spans="1:36" x14ac:dyDescent="0.25">
      <c r="A501" s="4" t="str">
        <f t="shared" si="153"/>
        <v>ЩАО-1, ЩАО-2, ЩАО-3 (260922 akram aulet)</v>
      </c>
      <c r="B501" s="4" t="s">
        <v>69</v>
      </c>
      <c r="C501" s="4" t="s">
        <v>451</v>
      </c>
      <c r="D501" s="4" t="s">
        <v>452</v>
      </c>
      <c r="E501" s="4" t="s">
        <v>114</v>
      </c>
      <c r="F501" s="4" t="s">
        <v>377</v>
      </c>
      <c r="G501" s="4" t="s">
        <v>258</v>
      </c>
      <c r="H501" s="5" t="e">
        <f>#REF!</f>
        <v>#REF!</v>
      </c>
      <c r="I501" s="6" t="e">
        <f t="shared" si="154"/>
        <v>#REF!</v>
      </c>
      <c r="J501" s="6" t="s">
        <v>52</v>
      </c>
      <c r="K501" s="6" t="s">
        <v>69</v>
      </c>
      <c r="L501" s="7" t="e">
        <f t="shared" si="155"/>
        <v>#REF!</v>
      </c>
      <c r="M501" s="7" t="s">
        <v>284</v>
      </c>
      <c r="N501" s="7" t="s">
        <v>285</v>
      </c>
      <c r="O501" s="7">
        <f>IF(OR($C501="",$C501="FID YOK"),"",IF(ISNUMBER(MATCH($C501,FA_ANA,0)),"",IF(COUNTIF($C$1:$C500,$C501)&gt;0,"",MAX($O$1:$O500)+1)))</f>
        <v>93</v>
      </c>
      <c r="P501" s="8">
        <v>1</v>
      </c>
      <c r="Q501" s="7" t="e">
        <f>IF(OR($P501="",$P501="G",ISNA(MATCH($C501,FA,0))),"",IF(N(INDEX(F_G,MATCH($C501,FA,0)))&gt;0,INDEX(F_G,MATCH($C501,FA,0)),IF(N(INDEX(F_MODUL,MATCH($C501,FA,0)))&gt;0,INDEX(F_MODUL,MATCH($C501,FA,0))*MODUL_MM,"")))</f>
        <v>#REF!</v>
      </c>
      <c r="R501" s="7" t="e">
        <f>IF(OR($P501="",$P501="G",ISNA(MATCH($C501,FA,0))),"",IF(N(INDEX(F_Y,MATCH($C501,FA,0)))&gt;0,INDEX(F_Y,MATCH($C501,FA,0)),""))</f>
        <v>#REF!</v>
      </c>
      <c r="S501" s="7" t="e">
        <f>IF(OR($P501="",$P501="G",ISNA(MATCH($C501,FA,0))),"",IF(N(INDEX(F_D,MATCH($C501,FA,0)))&gt;0,INDEX(F_D,MATCH($C501,FA,0)),""))</f>
        <v>#REF!</v>
      </c>
      <c r="T501" s="7">
        <f>IF(ISNA(MATCH($C501,FA,0)),0,IF($J501="GIRIS",N(INDEX(F_INKOR,MATCH($C501,FA,0))),0))</f>
        <v>0</v>
      </c>
      <c r="U501" s="7" t="e">
        <f>IF(ISNA(MATCH($B501,TIP_AD,0)),"",INDEX(TIP_KAT,MATCH($B501,TIP_AD,0))&amp;"")</f>
        <v>#REF!</v>
      </c>
      <c r="V501" s="7" t="e">
        <f>IF(NOT(ISNUMBER($P501)),"",IF($Z501=0,0,IF(ISNA(MATCH($Z501,BUK_KESIT,0)),"",IF(INDEX(BUK_ALAN,MATCH($Z501,BUK_KESIT,0))&amp;""="","",INDEX(BUK_ALAN,MATCH($Z501,BUK_KESIT,0))))))</f>
        <v>#REF!</v>
      </c>
      <c r="W501" s="7" t="e">
        <f>IF(OR(NOT(ISNUMBER($P501)),$Q501=""),"",N(#REF!)*($Q501+IF(ISNA(MATCH($B501,TIP_AD,0)),0,N(INDEX(TIP_BOSLUK,MATCH($B501,TIP_AD,0))))))</f>
        <v>#REF!</v>
      </c>
      <c r="X501" s="7" t="e">
        <f>IF(ISNUMBER($P501),($Q501="")+($R501="")+($V501="")+IF(AND($U501="KONTAKTOR",NOT(ISNA(MATCH($B501,TIP_AD,0)))),IF(INDEX(TIP_BOSLUK,MATCH($B501,TIP_AD,0))&amp;""="",1,0),0),IF($P501="K",IF($S501="",1,0),0))</f>
        <v>#REF!</v>
      </c>
      <c r="Y501" s="7" t="e">
        <f>N(#REF!)*IF($E501="упак",MAX(1,IF(ISNA(MATCH($C501,FA,0)),1,N(INDEX(F_PAKET,MATCH($C501,FA,0))))),1)</f>
        <v>#REF!</v>
      </c>
      <c r="Z501" s="7" t="e">
        <f t="shared" si="156"/>
        <v>#REF!</v>
      </c>
      <c r="AA501" s="7" t="e">
        <f>IF(OR(ISNA(MATCH($C501,FA,0)),$J501="YEDEK",$J501="SARF"),0,N(#REF!)*N(INDEX(F_TEL,MATCH($C501,FA,0))))</f>
        <v>#REF!</v>
      </c>
      <c r="AB501" s="7" t="e">
        <f>IF(OR(ISNA(MATCH($C501,FA,0)),$J501="YEDEK",$J501="SARF"),0,N(#REF!)*N(INDEX(F_TELM,MATCH($C501,FA,0))))</f>
        <v>#REF!</v>
      </c>
      <c r="AC501" s="7" t="e">
        <f t="shared" si="157"/>
        <v>#REF!</v>
      </c>
      <c r="AD501" s="7" t="e">
        <f>IF(OR(ISNA(MATCH($C501,FA,0)),$J501&lt;&gt;"CIKIS"),0,N(INDEX(F_KK,MATCH($C501,FA,0))))</f>
        <v>#REF!</v>
      </c>
      <c r="AE501" s="7" t="e">
        <f>IF($AD501=0,0,N(#REF!)*N(INDEX(F_KLN,MATCH($C501,FA,0))))</f>
        <v>#REF!</v>
      </c>
      <c r="AF501" s="7" t="e">
        <f>IF($AD501=0,0,N(#REF!)*N(INDEX(F_KPE,MATCH($C501,FA,0))))</f>
        <v>#REF!</v>
      </c>
      <c r="AG501" s="7" t="e">
        <f>IF(ISNA(MATCH($C501,FA,0)),0,N(#REF!)*N(INDEX(F_MODUL,MATCH($C501,FA,0))))</f>
        <v>#REF!</v>
      </c>
      <c r="AH501" s="7" t="e">
        <f>N(#REF!)*N($I501)</f>
        <v>#REF!</v>
      </c>
      <c r="AI501" s="7" t="e">
        <f t="shared" si="158"/>
        <v>#REF!</v>
      </c>
      <c r="AJ501" s="7">
        <f t="shared" si="159"/>
        <v>0</v>
      </c>
    </row>
    <row r="502" spans="1:36" x14ac:dyDescent="0.25">
      <c r="A502" s="4" t="str">
        <f t="shared" si="153"/>
        <v>ЩАО-1, ЩАО-2, ЩАО-3 (260922 akram aulet)</v>
      </c>
      <c r="B502" s="4" t="s">
        <v>202</v>
      </c>
      <c r="C502" s="4" t="s">
        <v>577</v>
      </c>
      <c r="D502" s="4" t="s">
        <v>578</v>
      </c>
      <c r="E502" s="4" t="s">
        <v>114</v>
      </c>
      <c r="F502" s="4" t="s">
        <v>486</v>
      </c>
      <c r="G502" s="4" t="s">
        <v>258</v>
      </c>
      <c r="H502" s="5" t="e">
        <f>#REF!</f>
        <v>#REF!</v>
      </c>
      <c r="I502" s="6" t="e">
        <f t="shared" si="154"/>
        <v>#REF!</v>
      </c>
      <c r="J502" s="6" t="s">
        <v>84</v>
      </c>
      <c r="K502" s="6" t="s">
        <v>202</v>
      </c>
      <c r="L502" s="7" t="e">
        <f t="shared" si="155"/>
        <v>#REF!</v>
      </c>
      <c r="M502" s="7" t="s">
        <v>203</v>
      </c>
      <c r="O502" s="7" t="str">
        <f>IF(OR($C502="",$C502="FID YOK"),"",IF(ISNUMBER(MATCH($C502,FA_ANA,0)),"",IF(COUNTIF($C$1:$C501,$C502)&gt;0,"",MAX($O$1:$O501)+1)))</f>
        <v/>
      </c>
      <c r="T502" s="7">
        <f>IF(ISNA(MATCH($C502,FA,0)),0,IF($J502="GIRIS",N(INDEX(F_INKOR,MATCH($C502,FA,0))),0))</f>
        <v>0</v>
      </c>
      <c r="Y502" s="7" t="e">
        <f>N(#REF!)*IF($E502="упак",MAX(1,IF(ISNA(MATCH($C502,FA,0)),1,N(INDEX(F_PAKET,MATCH($C502,FA,0))))),1)</f>
        <v>#REF!</v>
      </c>
      <c r="Z502" s="7" t="e">
        <f t="shared" si="156"/>
        <v>#REF!</v>
      </c>
      <c r="AA502" s="7">
        <f>IF(OR(ISNA(MATCH($C502,FA,0)),$J502="YEDEK",$J502="SARF"),0,N(#REF!)*N(INDEX(F_TEL,MATCH($C502,FA,0))))</f>
        <v>0</v>
      </c>
      <c r="AB502" s="7">
        <f>IF(OR(ISNA(MATCH($C502,FA,0)),$J502="YEDEK",$J502="SARF"),0,N(#REF!)*N(INDEX(F_TELM,MATCH($C502,FA,0))))</f>
        <v>0</v>
      </c>
      <c r="AC502" s="7" t="e">
        <f t="shared" si="157"/>
        <v>#REF!</v>
      </c>
      <c r="AD502" s="7">
        <f>IF(OR(ISNA(MATCH($C502,FA,0)),$J502&lt;&gt;"CIKIS"),0,N(INDEX(F_KK,MATCH($C502,FA,0))))</f>
        <v>0</v>
      </c>
      <c r="AE502" s="7">
        <f>IF($AD502=0,0,N(#REF!)*N(INDEX(F_KLN,MATCH($C502,FA,0))))</f>
        <v>0</v>
      </c>
      <c r="AF502" s="7">
        <f>IF($AD502=0,0,N(#REF!)*N(INDEX(F_KPE,MATCH($C502,FA,0))))</f>
        <v>0</v>
      </c>
      <c r="AG502" s="7" t="e">
        <f>IF(ISNA(MATCH($C502,FA,0)),0,N(#REF!)*N(INDEX(F_MODUL,MATCH($C502,FA,0))))</f>
        <v>#REF!</v>
      </c>
      <c r="AH502" s="7" t="e">
        <f>N(#REF!)*N($I502)</f>
        <v>#REF!</v>
      </c>
      <c r="AI502" s="7" t="e">
        <f t="shared" si="158"/>
        <v>#REF!</v>
      </c>
      <c r="AJ502" s="7">
        <f t="shared" si="159"/>
        <v>0</v>
      </c>
    </row>
    <row r="503" spans="1:36" x14ac:dyDescent="0.25">
      <c r="A503" s="4" t="str">
        <f t="shared" si="153"/>
        <v>ЩАО-1, ЩАО-2, ЩАО-3 (260922 akram aulet)</v>
      </c>
      <c r="B503" s="4" t="s">
        <v>202</v>
      </c>
      <c r="C503" s="4" t="s">
        <v>579</v>
      </c>
      <c r="D503" s="4" t="s">
        <v>580</v>
      </c>
      <c r="E503" s="4" t="s">
        <v>114</v>
      </c>
      <c r="F503" s="4" t="s">
        <v>486</v>
      </c>
      <c r="G503" s="4" t="s">
        <v>258</v>
      </c>
      <c r="H503" s="5" t="e">
        <f>#REF!</f>
        <v>#REF!</v>
      </c>
      <c r="I503" s="6" t="e">
        <f t="shared" si="154"/>
        <v>#REF!</v>
      </c>
      <c r="J503" s="6" t="s">
        <v>84</v>
      </c>
      <c r="K503" s="6" t="s">
        <v>202</v>
      </c>
      <c r="L503" s="7" t="e">
        <f t="shared" si="155"/>
        <v>#REF!</v>
      </c>
      <c r="M503" s="7" t="s">
        <v>204</v>
      </c>
      <c r="O503" s="7" t="str">
        <f>IF(OR($C503="",$C503="FID YOK"),"",IF(ISNUMBER(MATCH($C503,FA_ANA,0)),"",IF(COUNTIF($C$1:$C502,$C503)&gt;0,"",MAX($O$1:$O502)+1)))</f>
        <v/>
      </c>
      <c r="T503" s="7">
        <f>IF(ISNA(MATCH($C503,FA,0)),0,IF($J503="GIRIS",N(INDEX(F_INKOR,MATCH($C503,FA,0))),0))</f>
        <v>0</v>
      </c>
      <c r="Y503" s="7" t="e">
        <f>N(#REF!)*IF($E503="упак",MAX(1,IF(ISNA(MATCH($C503,FA,0)),1,N(INDEX(F_PAKET,MATCH($C503,FA,0))))),1)</f>
        <v>#REF!</v>
      </c>
      <c r="Z503" s="7" t="e">
        <f t="shared" si="156"/>
        <v>#REF!</v>
      </c>
      <c r="AA503" s="7">
        <f>IF(OR(ISNA(MATCH($C503,FA,0)),$J503="YEDEK",$J503="SARF"),0,N(#REF!)*N(INDEX(F_TEL,MATCH($C503,FA,0))))</f>
        <v>0</v>
      </c>
      <c r="AB503" s="7">
        <f>IF(OR(ISNA(MATCH($C503,FA,0)),$J503="YEDEK",$J503="SARF"),0,N(#REF!)*N(INDEX(F_TELM,MATCH($C503,FA,0))))</f>
        <v>0</v>
      </c>
      <c r="AC503" s="7" t="e">
        <f t="shared" si="157"/>
        <v>#REF!</v>
      </c>
      <c r="AD503" s="7">
        <f>IF(OR(ISNA(MATCH($C503,FA,0)),$J503&lt;&gt;"CIKIS"),0,N(INDEX(F_KK,MATCH($C503,FA,0))))</f>
        <v>0</v>
      </c>
      <c r="AE503" s="7">
        <f>IF($AD503=0,0,N(#REF!)*N(INDEX(F_KLN,MATCH($C503,FA,0))))</f>
        <v>0</v>
      </c>
      <c r="AF503" s="7">
        <f>IF($AD503=0,0,N(#REF!)*N(INDEX(F_KPE,MATCH($C503,FA,0))))</f>
        <v>0</v>
      </c>
      <c r="AG503" s="7" t="e">
        <f>IF(ISNA(MATCH($C503,FA,0)),0,N(#REF!)*N(INDEX(F_MODUL,MATCH($C503,FA,0))))</f>
        <v>#REF!</v>
      </c>
      <c r="AH503" s="7" t="e">
        <f>N(#REF!)*N($I503)</f>
        <v>#REF!</v>
      </c>
      <c r="AI503" s="7" t="e">
        <f t="shared" si="158"/>
        <v>#REF!</v>
      </c>
      <c r="AJ503" s="7">
        <f t="shared" si="159"/>
        <v>0</v>
      </c>
    </row>
    <row r="504" spans="1:36" x14ac:dyDescent="0.25">
      <c r="A504" s="4" t="str">
        <f t="shared" si="153"/>
        <v>ЩАО-1, ЩАО-2, ЩАО-3 (260922 akram aulet)</v>
      </c>
      <c r="B504" s="4" t="s">
        <v>92</v>
      </c>
      <c r="C504" s="4" t="s">
        <v>523</v>
      </c>
      <c r="D504" s="4" t="s">
        <v>524</v>
      </c>
      <c r="E504" s="4" t="s">
        <v>520</v>
      </c>
      <c r="F504" s="4" t="s">
        <v>521</v>
      </c>
      <c r="G504" s="4" t="s">
        <v>258</v>
      </c>
      <c r="H504" s="5" t="e">
        <f>#REF!</f>
        <v>#REF!</v>
      </c>
      <c r="I504" s="6" t="e">
        <f t="shared" si="154"/>
        <v>#REF!</v>
      </c>
      <c r="J504" s="6" t="s">
        <v>84</v>
      </c>
      <c r="K504" s="6" t="s">
        <v>92</v>
      </c>
      <c r="L504" s="7" t="e">
        <f t="shared" si="155"/>
        <v>#REF!</v>
      </c>
      <c r="M504" s="7" t="s">
        <v>93</v>
      </c>
      <c r="O504" s="7" t="str">
        <f>IF(OR($C504="",$C504="FID YOK"),"",IF(ISNUMBER(MATCH($C504,FA_ANA,0)),"",IF(COUNTIF($C$1:$C503,$C504)&gt;0,"",MAX($O$1:$O503)+1)))</f>
        <v/>
      </c>
      <c r="T504" s="7">
        <f>IF(ISNA(MATCH($C504,FA,0)),0,IF($J504="GIRIS",N(INDEX(F_INKOR,MATCH($C504,FA,0))),0))</f>
        <v>0</v>
      </c>
      <c r="Y504" s="7" t="e">
        <f>N(#REF!)*IF($E504="упак",MAX(1,IF(ISNA(MATCH($C504,FA,0)),1,N(INDEX(F_PAKET,MATCH($C504,FA,0))))),1)</f>
        <v>#REF!</v>
      </c>
      <c r="Z504" s="7" t="e">
        <f t="shared" si="156"/>
        <v>#REF!</v>
      </c>
      <c r="AA504" s="7">
        <f>IF(OR(ISNA(MATCH($C504,FA,0)),$J504="YEDEK",$J504="SARF"),0,N(#REF!)*N(INDEX(F_TEL,MATCH($C504,FA,0))))</f>
        <v>0</v>
      </c>
      <c r="AB504" s="7">
        <f>IF(OR(ISNA(MATCH($C504,FA,0)),$J504="YEDEK",$J504="SARF"),0,N(#REF!)*N(INDEX(F_TELM,MATCH($C504,FA,0))))</f>
        <v>0</v>
      </c>
      <c r="AC504" s="7" t="e">
        <f t="shared" si="157"/>
        <v>#REF!</v>
      </c>
      <c r="AD504" s="7">
        <f>IF(OR(ISNA(MATCH($C504,FA,0)),$J504&lt;&gt;"CIKIS"),0,N(INDEX(F_KK,MATCH($C504,FA,0))))</f>
        <v>0</v>
      </c>
      <c r="AE504" s="7">
        <f>IF($AD504=0,0,N(#REF!)*N(INDEX(F_KLN,MATCH($C504,FA,0))))</f>
        <v>0</v>
      </c>
      <c r="AF504" s="7">
        <f>IF($AD504=0,0,N(#REF!)*N(INDEX(F_KPE,MATCH($C504,FA,0))))</f>
        <v>0</v>
      </c>
      <c r="AG504" s="7" t="e">
        <f>IF(ISNA(MATCH($C504,FA,0)),0,N(#REF!)*N(INDEX(F_MODUL,MATCH($C504,FA,0))))</f>
        <v>#REF!</v>
      </c>
      <c r="AH504" s="7" t="e">
        <f>N(#REF!)*N($I504)</f>
        <v>#REF!</v>
      </c>
      <c r="AI504" s="7" t="e">
        <f t="shared" si="158"/>
        <v>#REF!</v>
      </c>
      <c r="AJ504" s="7">
        <f t="shared" si="159"/>
        <v>0</v>
      </c>
    </row>
    <row r="505" spans="1:36" x14ac:dyDescent="0.25">
      <c r="A505" s="4" t="str">
        <f t="shared" si="153"/>
        <v>ЩАО-1, ЩАО-2, ЩАО-3 (260922 akram aulet)</v>
      </c>
      <c r="B505" s="4" t="s">
        <v>92</v>
      </c>
      <c r="C505" s="4" t="s">
        <v>531</v>
      </c>
      <c r="D505" s="4" t="s">
        <v>532</v>
      </c>
      <c r="E505" s="4" t="s">
        <v>520</v>
      </c>
      <c r="F505" s="4" t="s">
        <v>521</v>
      </c>
      <c r="G505" s="4" t="s">
        <v>258</v>
      </c>
      <c r="H505" s="5" t="e">
        <f>#REF!</f>
        <v>#REF!</v>
      </c>
      <c r="I505" s="6" t="e">
        <f t="shared" si="154"/>
        <v>#REF!</v>
      </c>
      <c r="J505" s="6" t="s">
        <v>84</v>
      </c>
      <c r="K505" s="6" t="s">
        <v>92</v>
      </c>
      <c r="L505" s="7" t="e">
        <f t="shared" si="155"/>
        <v>#REF!</v>
      </c>
      <c r="M505" s="7" t="s">
        <v>95</v>
      </c>
      <c r="O505" s="7" t="str">
        <f>IF(OR($C505="",$C505="FID YOK"),"",IF(ISNUMBER(MATCH($C505,FA_ANA,0)),"",IF(COUNTIF($C$1:$C504,$C505)&gt;0,"",MAX($O$1:$O504)+1)))</f>
        <v/>
      </c>
      <c r="T505" s="7">
        <f>IF(ISNA(MATCH($C505,FA,0)),0,IF($J505="GIRIS",N(INDEX(F_INKOR,MATCH($C505,FA,0))),0))</f>
        <v>0</v>
      </c>
      <c r="Y505" s="7" t="e">
        <f>N(#REF!)*IF($E505="упак",MAX(1,IF(ISNA(MATCH($C505,FA,0)),1,N(INDEX(F_PAKET,MATCH($C505,FA,0))))),1)</f>
        <v>#REF!</v>
      </c>
      <c r="Z505" s="7" t="e">
        <f t="shared" si="156"/>
        <v>#REF!</v>
      </c>
      <c r="AA505" s="7">
        <f>IF(OR(ISNA(MATCH($C505,FA,0)),$J505="YEDEK",$J505="SARF"),0,N(#REF!)*N(INDEX(F_TEL,MATCH($C505,FA,0))))</f>
        <v>0</v>
      </c>
      <c r="AB505" s="7">
        <f>IF(OR(ISNA(MATCH($C505,FA,0)),$J505="YEDEK",$J505="SARF"),0,N(#REF!)*N(INDEX(F_TELM,MATCH($C505,FA,0))))</f>
        <v>0</v>
      </c>
      <c r="AC505" s="7" t="e">
        <f t="shared" si="157"/>
        <v>#REF!</v>
      </c>
      <c r="AD505" s="7">
        <f>IF(OR(ISNA(MATCH($C505,FA,0)),$J505&lt;&gt;"CIKIS"),0,N(INDEX(F_KK,MATCH($C505,FA,0))))</f>
        <v>0</v>
      </c>
      <c r="AE505" s="7">
        <f>IF($AD505=0,0,N(#REF!)*N(INDEX(F_KLN,MATCH($C505,FA,0))))</f>
        <v>0</v>
      </c>
      <c r="AF505" s="7">
        <f>IF($AD505=0,0,N(#REF!)*N(INDEX(F_KPE,MATCH($C505,FA,0))))</f>
        <v>0</v>
      </c>
      <c r="AG505" s="7" t="e">
        <f>IF(ISNA(MATCH($C505,FA,0)),0,N(#REF!)*N(INDEX(F_MODUL,MATCH($C505,FA,0))))</f>
        <v>#REF!</v>
      </c>
      <c r="AH505" s="7" t="e">
        <f>N(#REF!)*N($I505)</f>
        <v>#REF!</v>
      </c>
      <c r="AI505" s="7" t="e">
        <f t="shared" si="158"/>
        <v>#REF!</v>
      </c>
      <c r="AJ505" s="7">
        <f t="shared" si="159"/>
        <v>0</v>
      </c>
    </row>
    <row r="506" spans="1:36" x14ac:dyDescent="0.25">
      <c r="A506" s="4" t="str">
        <f t="shared" si="153"/>
        <v>ЩАО-1, ЩАО-2, ЩАО-3 (260922 akram aulet)</v>
      </c>
      <c r="B506" s="4" t="s">
        <v>92</v>
      </c>
      <c r="C506" s="4" t="s">
        <v>535</v>
      </c>
      <c r="D506" s="4" t="s">
        <v>536</v>
      </c>
      <c r="E506" s="4" t="s">
        <v>520</v>
      </c>
      <c r="F506" s="4" t="s">
        <v>521</v>
      </c>
      <c r="G506" s="4" t="s">
        <v>258</v>
      </c>
      <c r="H506" s="5" t="e">
        <f>#REF!</f>
        <v>#REF!</v>
      </c>
      <c r="I506" s="6" t="e">
        <f t="shared" si="154"/>
        <v>#REF!</v>
      </c>
      <c r="J506" s="6" t="s">
        <v>84</v>
      </c>
      <c r="K506" s="6" t="s">
        <v>92</v>
      </c>
      <c r="L506" s="7" t="e">
        <f t="shared" si="155"/>
        <v>#REF!</v>
      </c>
      <c r="M506" s="7" t="s">
        <v>100</v>
      </c>
      <c r="O506" s="7" t="str">
        <f>IF(OR($C506="",$C506="FID YOK"),"",IF(ISNUMBER(MATCH($C506,FA_ANA,0)),"",IF(COUNTIF($C$1:$C505,$C506)&gt;0,"",MAX($O$1:$O505)+1)))</f>
        <v/>
      </c>
      <c r="T506" s="7">
        <f>IF(ISNA(MATCH($C506,FA,0)),0,IF($J506="GIRIS",N(INDEX(F_INKOR,MATCH($C506,FA,0))),0))</f>
        <v>0</v>
      </c>
      <c r="Y506" s="7" t="e">
        <f>N(#REF!)*IF($E506="упак",MAX(1,IF(ISNA(MATCH($C506,FA,0)),1,N(INDEX(F_PAKET,MATCH($C506,FA,0))))),1)</f>
        <v>#REF!</v>
      </c>
      <c r="Z506" s="7" t="e">
        <f t="shared" si="156"/>
        <v>#REF!</v>
      </c>
      <c r="AA506" s="7">
        <f>IF(OR(ISNA(MATCH($C506,FA,0)),$J506="YEDEK",$J506="SARF"),0,N(#REF!)*N(INDEX(F_TEL,MATCH($C506,FA,0))))</f>
        <v>0</v>
      </c>
      <c r="AB506" s="7">
        <f>IF(OR(ISNA(MATCH($C506,FA,0)),$J506="YEDEK",$J506="SARF"),0,N(#REF!)*N(INDEX(F_TELM,MATCH($C506,FA,0))))</f>
        <v>0</v>
      </c>
      <c r="AC506" s="7" t="e">
        <f t="shared" si="157"/>
        <v>#REF!</v>
      </c>
      <c r="AD506" s="7">
        <f>IF(OR(ISNA(MATCH($C506,FA,0)),$J506&lt;&gt;"CIKIS"),0,N(INDEX(F_KK,MATCH($C506,FA,0))))</f>
        <v>0</v>
      </c>
      <c r="AE506" s="7">
        <f>IF($AD506=0,0,N(#REF!)*N(INDEX(F_KLN,MATCH($C506,FA,0))))</f>
        <v>0</v>
      </c>
      <c r="AF506" s="7">
        <f>IF($AD506=0,0,N(#REF!)*N(INDEX(F_KPE,MATCH($C506,FA,0))))</f>
        <v>0</v>
      </c>
      <c r="AG506" s="7" t="e">
        <f>IF(ISNA(MATCH($C506,FA,0)),0,N(#REF!)*N(INDEX(F_MODUL,MATCH($C506,FA,0))))</f>
        <v>#REF!</v>
      </c>
      <c r="AH506" s="7" t="e">
        <f>N(#REF!)*N($I506)</f>
        <v>#REF!</v>
      </c>
      <c r="AI506" s="7" t="e">
        <f t="shared" si="158"/>
        <v>#REF!</v>
      </c>
      <c r="AJ506" s="7">
        <f t="shared" si="159"/>
        <v>0</v>
      </c>
    </row>
    <row r="507" spans="1:36" x14ac:dyDescent="0.25">
      <c r="A507" s="4" t="str">
        <f t="shared" si="153"/>
        <v>ЩАО-1, ЩАО-2, ЩАО-3 (260922 akram aulet)</v>
      </c>
      <c r="B507" s="4" t="s">
        <v>101</v>
      </c>
      <c r="C507" s="4" t="s">
        <v>525</v>
      </c>
      <c r="D507" s="4" t="s">
        <v>526</v>
      </c>
      <c r="E507" s="4" t="s">
        <v>522</v>
      </c>
      <c r="F507" s="4" t="s">
        <v>486</v>
      </c>
      <c r="G507" s="4" t="s">
        <v>258</v>
      </c>
      <c r="H507" s="5" t="e">
        <f>#REF!</f>
        <v>#REF!</v>
      </c>
      <c r="I507" s="6" t="e">
        <f t="shared" si="154"/>
        <v>#REF!</v>
      </c>
      <c r="J507" s="6" t="s">
        <v>84</v>
      </c>
      <c r="K507" s="6" t="s">
        <v>101</v>
      </c>
      <c r="L507" s="7" t="e">
        <f t="shared" si="155"/>
        <v>#REF!</v>
      </c>
      <c r="M507" s="7" t="s">
        <v>102</v>
      </c>
      <c r="O507" s="7" t="str">
        <f>IF(OR($C507="",$C507="FID YOK"),"",IF(ISNUMBER(MATCH($C507,FA_ANA,0)),"",IF(COUNTIF($C$1:$C506,$C507)&gt;0,"",MAX($O$1:$O506)+1)))</f>
        <v/>
      </c>
      <c r="T507" s="7">
        <f>IF(ISNA(MATCH($C507,FA,0)),0,IF($J507="GIRIS",N(INDEX(F_INKOR,MATCH($C507,FA,0))),0))</f>
        <v>0</v>
      </c>
      <c r="Y507" s="7" t="e">
        <f>N(#REF!)*IF($E507="упак",MAX(1,IF(ISNA(MATCH($C507,FA,0)),1,N(INDEX(F_PAKET,MATCH($C507,FA,0))))),1)</f>
        <v>#REF!</v>
      </c>
      <c r="Z507" s="7" t="e">
        <f t="shared" si="156"/>
        <v>#REF!</v>
      </c>
      <c r="AA507" s="7">
        <f>IF(OR(ISNA(MATCH($C507,FA,0)),$J507="YEDEK",$J507="SARF"),0,N(#REF!)*N(INDEX(F_TEL,MATCH($C507,FA,0))))</f>
        <v>0</v>
      </c>
      <c r="AB507" s="7">
        <f>IF(OR(ISNA(MATCH($C507,FA,0)),$J507="YEDEK",$J507="SARF"),0,N(#REF!)*N(INDEX(F_TELM,MATCH($C507,FA,0))))</f>
        <v>0</v>
      </c>
      <c r="AC507" s="7" t="e">
        <f t="shared" si="157"/>
        <v>#REF!</v>
      </c>
      <c r="AD507" s="7">
        <f>IF(OR(ISNA(MATCH($C507,FA,0)),$J507&lt;&gt;"CIKIS"),0,N(INDEX(F_KK,MATCH($C507,FA,0))))</f>
        <v>0</v>
      </c>
      <c r="AE507" s="7">
        <f>IF($AD507=0,0,N(#REF!)*N(INDEX(F_KLN,MATCH($C507,FA,0))))</f>
        <v>0</v>
      </c>
      <c r="AF507" s="7">
        <f>IF($AD507=0,0,N(#REF!)*N(INDEX(F_KPE,MATCH($C507,FA,0))))</f>
        <v>0</v>
      </c>
      <c r="AG507" s="7" t="e">
        <f>IF(ISNA(MATCH($C507,FA,0)),0,N(#REF!)*N(INDEX(F_MODUL,MATCH($C507,FA,0))))</f>
        <v>#REF!</v>
      </c>
      <c r="AH507" s="7" t="e">
        <f>N(#REF!)*N($I507)</f>
        <v>#REF!</v>
      </c>
      <c r="AI507" s="7" t="e">
        <f t="shared" si="158"/>
        <v>#REF!</v>
      </c>
      <c r="AJ507" s="7">
        <f t="shared" si="159"/>
        <v>0</v>
      </c>
    </row>
    <row r="508" spans="1:36" x14ac:dyDescent="0.25">
      <c r="A508" s="4" t="str">
        <f t="shared" si="153"/>
        <v>ЩАО-1, ЩАО-2, ЩАО-3 (260922 akram aulet)</v>
      </c>
      <c r="B508" s="4" t="s">
        <v>101</v>
      </c>
      <c r="C508" s="4" t="s">
        <v>533</v>
      </c>
      <c r="D508" s="4" t="s">
        <v>534</v>
      </c>
      <c r="E508" s="4" t="s">
        <v>522</v>
      </c>
      <c r="F508" s="4" t="s">
        <v>486</v>
      </c>
      <c r="G508" s="4" t="s">
        <v>258</v>
      </c>
      <c r="H508" s="5" t="e">
        <f>#REF!</f>
        <v>#REF!</v>
      </c>
      <c r="I508" s="6" t="e">
        <f t="shared" si="154"/>
        <v>#REF!</v>
      </c>
      <c r="J508" s="6" t="s">
        <v>84</v>
      </c>
      <c r="K508" s="6" t="s">
        <v>101</v>
      </c>
      <c r="L508" s="7" t="e">
        <f t="shared" si="155"/>
        <v>#REF!</v>
      </c>
      <c r="M508" s="7" t="s">
        <v>104</v>
      </c>
      <c r="O508" s="7" t="str">
        <f>IF(OR($C508="",$C508="FID YOK"),"",IF(ISNUMBER(MATCH($C508,FA_ANA,0)),"",IF(COUNTIF($C$1:$C507,$C508)&gt;0,"",MAX($O$1:$O507)+1)))</f>
        <v/>
      </c>
      <c r="T508" s="7">
        <f>IF(ISNA(MATCH($C508,FA,0)),0,IF($J508="GIRIS",N(INDEX(F_INKOR,MATCH($C508,FA,0))),0))</f>
        <v>0</v>
      </c>
      <c r="Y508" s="7" t="e">
        <f>N(#REF!)*IF($E508="упак",MAX(1,IF(ISNA(MATCH($C508,FA,0)),1,N(INDEX(F_PAKET,MATCH($C508,FA,0))))),1)</f>
        <v>#REF!</v>
      </c>
      <c r="Z508" s="7" t="e">
        <f t="shared" si="156"/>
        <v>#REF!</v>
      </c>
      <c r="AA508" s="7">
        <f>IF(OR(ISNA(MATCH($C508,FA,0)),$J508="YEDEK",$J508="SARF"),0,N(#REF!)*N(INDEX(F_TEL,MATCH($C508,FA,0))))</f>
        <v>0</v>
      </c>
      <c r="AB508" s="7">
        <f>IF(OR(ISNA(MATCH($C508,FA,0)),$J508="YEDEK",$J508="SARF"),0,N(#REF!)*N(INDEX(F_TELM,MATCH($C508,FA,0))))</f>
        <v>0</v>
      </c>
      <c r="AC508" s="7" t="e">
        <f t="shared" si="157"/>
        <v>#REF!</v>
      </c>
      <c r="AD508" s="7">
        <f>IF(OR(ISNA(MATCH($C508,FA,0)),$J508&lt;&gt;"CIKIS"),0,N(INDEX(F_KK,MATCH($C508,FA,0))))</f>
        <v>0</v>
      </c>
      <c r="AE508" s="7">
        <f>IF($AD508=0,0,N(#REF!)*N(INDEX(F_KLN,MATCH($C508,FA,0))))</f>
        <v>0</v>
      </c>
      <c r="AF508" s="7">
        <f>IF($AD508=0,0,N(#REF!)*N(INDEX(F_KPE,MATCH($C508,FA,0))))</f>
        <v>0</v>
      </c>
      <c r="AG508" s="7" t="e">
        <f>IF(ISNA(MATCH($C508,FA,0)),0,N(#REF!)*N(INDEX(F_MODUL,MATCH($C508,FA,0))))</f>
        <v>#REF!</v>
      </c>
      <c r="AH508" s="7" t="e">
        <f>N(#REF!)*N($I508)</f>
        <v>#REF!</v>
      </c>
      <c r="AI508" s="7" t="e">
        <f t="shared" si="158"/>
        <v>#REF!</v>
      </c>
      <c r="AJ508" s="7">
        <f t="shared" si="159"/>
        <v>0</v>
      </c>
    </row>
    <row r="509" spans="1:36" x14ac:dyDescent="0.25">
      <c r="A509" s="4" t="str">
        <f t="shared" si="153"/>
        <v>ЩАО-1, ЩАО-2, ЩАО-3 (260922 akram aulet)</v>
      </c>
      <c r="B509" s="4" t="s">
        <v>105</v>
      </c>
      <c r="C509" s="4" t="s">
        <v>539</v>
      </c>
      <c r="D509" s="4" t="s">
        <v>540</v>
      </c>
      <c r="E509" s="4" t="s">
        <v>114</v>
      </c>
      <c r="F509" s="4" t="s">
        <v>486</v>
      </c>
      <c r="G509" s="4" t="s">
        <v>258</v>
      </c>
      <c r="H509" s="5" t="e">
        <f>#REF!</f>
        <v>#REF!</v>
      </c>
      <c r="I509" s="6" t="e">
        <f t="shared" si="154"/>
        <v>#REF!</v>
      </c>
      <c r="J509" s="6" t="s">
        <v>84</v>
      </c>
      <c r="K509" s="6" t="s">
        <v>105</v>
      </c>
      <c r="L509" s="7" t="e">
        <f t="shared" si="155"/>
        <v>#REF!</v>
      </c>
      <c r="M509" s="7" t="s">
        <v>110</v>
      </c>
      <c r="O509" s="7" t="str">
        <f>IF(OR($C509="",$C509="FID YOK"),"",IF(ISNUMBER(MATCH($C509,FA_ANA,0)),"",IF(COUNTIF($C$1:$C508,$C509)&gt;0,"",MAX($O$1:$O508)+1)))</f>
        <v/>
      </c>
      <c r="T509" s="7">
        <f>IF(ISNA(MATCH($C509,FA,0)),0,IF($J509="GIRIS",N(INDEX(F_INKOR,MATCH($C509,FA,0))),0))</f>
        <v>0</v>
      </c>
      <c r="Y509" s="7" t="e">
        <f>N(#REF!)*IF($E509="упак",MAX(1,IF(ISNA(MATCH($C509,FA,0)),1,N(INDEX(F_PAKET,MATCH($C509,FA,0))))),1)</f>
        <v>#REF!</v>
      </c>
      <c r="Z509" s="7" t="e">
        <f t="shared" si="156"/>
        <v>#REF!</v>
      </c>
      <c r="AA509" s="7">
        <f>IF(OR(ISNA(MATCH($C509,FA,0)),$J509="YEDEK",$J509="SARF"),0,N(#REF!)*N(INDEX(F_TEL,MATCH($C509,FA,0))))</f>
        <v>0</v>
      </c>
      <c r="AB509" s="7">
        <f>IF(OR(ISNA(MATCH($C509,FA,0)),$J509="YEDEK",$J509="SARF"),0,N(#REF!)*N(INDEX(F_TELM,MATCH($C509,FA,0))))</f>
        <v>0</v>
      </c>
      <c r="AC509" s="7" t="e">
        <f t="shared" si="157"/>
        <v>#REF!</v>
      </c>
      <c r="AD509" s="7">
        <f>IF(OR(ISNA(MATCH($C509,FA,0)),$J509&lt;&gt;"CIKIS"),0,N(INDEX(F_KK,MATCH($C509,FA,0))))</f>
        <v>0</v>
      </c>
      <c r="AE509" s="7">
        <f>IF($AD509=0,0,N(#REF!)*N(INDEX(F_KLN,MATCH($C509,FA,0))))</f>
        <v>0</v>
      </c>
      <c r="AF509" s="7">
        <f>IF($AD509=0,0,N(#REF!)*N(INDEX(F_KPE,MATCH($C509,FA,0))))</f>
        <v>0</v>
      </c>
      <c r="AG509" s="7" t="e">
        <f>IF(ISNA(MATCH($C509,FA,0)),0,N(#REF!)*N(INDEX(F_MODUL,MATCH($C509,FA,0))))</f>
        <v>#REF!</v>
      </c>
      <c r="AH509" s="7" t="e">
        <f>N(#REF!)*N($I509)</f>
        <v>#REF!</v>
      </c>
      <c r="AI509" s="7" t="e">
        <f t="shared" si="158"/>
        <v>#REF!</v>
      </c>
      <c r="AJ509" s="7">
        <f t="shared" si="159"/>
        <v>0</v>
      </c>
    </row>
    <row r="510" spans="1:36" x14ac:dyDescent="0.25">
      <c r="A510" s="4" t="str">
        <f t="shared" si="153"/>
        <v>ЩАО-1, ЩАО-2, ЩАО-3 (260922 akram aulet)</v>
      </c>
      <c r="B510" s="4" t="s">
        <v>111</v>
      </c>
      <c r="C510" s="4" t="s">
        <v>571</v>
      </c>
      <c r="D510" s="4" t="s">
        <v>572</v>
      </c>
      <c r="E510" s="4" t="s">
        <v>522</v>
      </c>
      <c r="F510" s="4" t="s">
        <v>486</v>
      </c>
      <c r="G510" s="4" t="s">
        <v>258</v>
      </c>
      <c r="H510" s="5" t="e">
        <f>#REF!</f>
        <v>#REF!</v>
      </c>
      <c r="I510" s="6" t="e">
        <f t="shared" si="154"/>
        <v>#REF!</v>
      </c>
      <c r="J510" s="6" t="s">
        <v>84</v>
      </c>
      <c r="K510" s="6" t="s">
        <v>111</v>
      </c>
      <c r="L510" s="7" t="e">
        <f t="shared" si="155"/>
        <v>#REF!</v>
      </c>
      <c r="M510" s="7" t="s">
        <v>112</v>
      </c>
      <c r="O510" s="7" t="str">
        <f>IF(OR($C510="",$C510="FID YOK"),"",IF(ISNUMBER(MATCH($C510,FA_ANA,0)),"",IF(COUNTIF($C$1:$C509,$C510)&gt;0,"",MAX($O$1:$O509)+1)))</f>
        <v/>
      </c>
      <c r="T510" s="7">
        <f>IF(ISNA(MATCH($C510,FA,0)),0,IF($J510="GIRIS",N(INDEX(F_INKOR,MATCH($C510,FA,0))),0))</f>
        <v>0</v>
      </c>
      <c r="Y510" s="7" t="e">
        <f>N(#REF!)*IF($E510="упак",MAX(1,IF(ISNA(MATCH($C510,FA,0)),1,N(INDEX(F_PAKET,MATCH($C510,FA,0))))),1)</f>
        <v>#REF!</v>
      </c>
      <c r="Z510" s="7" t="e">
        <f t="shared" si="156"/>
        <v>#REF!</v>
      </c>
      <c r="AA510" s="7">
        <f>IF(OR(ISNA(MATCH($C510,FA,0)),$J510="YEDEK",$J510="SARF"),0,N(#REF!)*N(INDEX(F_TEL,MATCH($C510,FA,0))))</f>
        <v>0</v>
      </c>
      <c r="AB510" s="7">
        <f>IF(OR(ISNA(MATCH($C510,FA,0)),$J510="YEDEK",$J510="SARF"),0,N(#REF!)*N(INDEX(F_TELM,MATCH($C510,FA,0))))</f>
        <v>0</v>
      </c>
      <c r="AC510" s="7" t="e">
        <f t="shared" si="157"/>
        <v>#REF!</v>
      </c>
      <c r="AD510" s="7">
        <f>IF(OR(ISNA(MATCH($C510,FA,0)),$J510&lt;&gt;"CIKIS"),0,N(INDEX(F_KK,MATCH($C510,FA,0))))</f>
        <v>0</v>
      </c>
      <c r="AE510" s="7">
        <f>IF($AD510=0,0,N(#REF!)*N(INDEX(F_KLN,MATCH($C510,FA,0))))</f>
        <v>0</v>
      </c>
      <c r="AF510" s="7">
        <f>IF($AD510=0,0,N(#REF!)*N(INDEX(F_KPE,MATCH($C510,FA,0))))</f>
        <v>0</v>
      </c>
      <c r="AG510" s="7" t="e">
        <f>IF(ISNA(MATCH($C510,FA,0)),0,N(#REF!)*N(INDEX(F_MODUL,MATCH($C510,FA,0))))</f>
        <v>#REF!</v>
      </c>
      <c r="AH510" s="7" t="e">
        <f>N(#REF!)*N($I510)</f>
        <v>#REF!</v>
      </c>
      <c r="AI510" s="7" t="e">
        <f t="shared" si="158"/>
        <v>#REF!</v>
      </c>
      <c r="AJ510" s="7">
        <f t="shared" si="159"/>
        <v>0</v>
      </c>
    </row>
    <row r="511" spans="1:36" x14ac:dyDescent="0.25">
      <c r="A511" s="4" t="str">
        <f t="shared" si="153"/>
        <v>ЩАО-1, ЩАО-2, ЩАО-3 (260922 akram aulet)</v>
      </c>
      <c r="B511" s="4" t="s">
        <v>113</v>
      </c>
      <c r="C511" s="4" t="s">
        <v>113</v>
      </c>
      <c r="D511" s="4" t="s">
        <v>113</v>
      </c>
      <c r="E511" s="4" t="s">
        <v>114</v>
      </c>
      <c r="F511" s="4" t="s">
        <v>113</v>
      </c>
      <c r="G511" s="4" t="s">
        <v>258</v>
      </c>
      <c r="H511" s="5" t="e">
        <f>#REF!</f>
        <v>#REF!</v>
      </c>
      <c r="I511" s="6" t="e">
        <f t="shared" si="154"/>
        <v>#REF!</v>
      </c>
    </row>
    <row r="512" spans="1:36" x14ac:dyDescent="0.25">
      <c r="A512" s="4" t="str">
        <f t="shared" si="153"/>
        <v>ЩАО-1, ЩАО-2, ЩАО-3 (260922 akram aulet)</v>
      </c>
      <c r="B512" s="4" t="s">
        <v>115</v>
      </c>
      <c r="C512" s="4" t="s">
        <v>115</v>
      </c>
      <c r="D512" s="4" t="s">
        <v>115</v>
      </c>
      <c r="E512" s="4" t="s">
        <v>116</v>
      </c>
      <c r="F512" s="4" t="s">
        <v>115</v>
      </c>
      <c r="G512" s="4" t="s">
        <v>258</v>
      </c>
      <c r="H512" s="5" t="e">
        <f>#REF!</f>
        <v>#REF!</v>
      </c>
      <c r="I512" s="6" t="e">
        <f t="shared" si="154"/>
        <v>#REF!</v>
      </c>
    </row>
    <row r="513" spans="1:36" x14ac:dyDescent="0.25">
      <c r="A513" s="1" t="str">
        <f>D513</f>
        <v>ЩАО-4, ЩАО-5, ЩАО-6 (260922 akram aulet)</v>
      </c>
      <c r="B513" s="12"/>
      <c r="C513" s="2"/>
      <c r="D513" s="1" t="s">
        <v>286</v>
      </c>
      <c r="E513" s="1" t="s">
        <v>36</v>
      </c>
      <c r="F513" s="1" t="s">
        <v>37</v>
      </c>
      <c r="G513" s="1" t="s">
        <v>274</v>
      </c>
      <c r="I513" s="3" t="e">
        <f>#REF!</f>
        <v>#REF!</v>
      </c>
    </row>
    <row r="514" spans="1:36" x14ac:dyDescent="0.25">
      <c r="A514" s="4" t="str">
        <f t="shared" ref="A514:A528" si="160">A513</f>
        <v>ЩАО-4, ЩАО-5, ЩАО-6 (260922 akram aulet)</v>
      </c>
      <c r="B514" s="4" t="s">
        <v>39</v>
      </c>
      <c r="C514" s="4" t="s">
        <v>500</v>
      </c>
      <c r="D514" s="4" t="s">
        <v>501</v>
      </c>
      <c r="E514" s="4" t="s">
        <v>114</v>
      </c>
      <c r="F514" s="4" t="s">
        <v>591</v>
      </c>
      <c r="G514" s="4" t="s">
        <v>274</v>
      </c>
      <c r="H514" s="5" t="e">
        <f>#REF!</f>
        <v>#REF!</v>
      </c>
      <c r="I514" s="6" t="e">
        <f t="shared" ref="I514:I528" si="161">I513</f>
        <v>#REF!</v>
      </c>
      <c r="J514" s="6" t="s">
        <v>40</v>
      </c>
      <c r="K514" s="6" t="s">
        <v>195</v>
      </c>
      <c r="L514" s="7" t="e">
        <f t="shared" ref="L514:L526" si="162">IF(ISNA(MATCH($C514,FA,0)),"ARTİKÜL YOK",INDEX(FIYAT_DURUM,MATCH($C514,FA,0)))</f>
        <v>#REF!</v>
      </c>
      <c r="M514" s="7" t="s">
        <v>287</v>
      </c>
      <c r="N514" s="7" t="s">
        <v>288</v>
      </c>
      <c r="O514" s="7">
        <f>IF(OR($C514="",$C514="FID YOK"),"",IF(ISNUMBER(MATCH($C514,FA_ANA,0)),"",IF(COUNTIF($C$1:$C513,$C514)&gt;0,"",MAX($O$1:$O513)+1)))</f>
        <v>94</v>
      </c>
      <c r="Q514" s="7"/>
      <c r="R514" s="7"/>
      <c r="S514" s="7"/>
      <c r="T514" s="7">
        <f>IF(ISNA(MATCH($C514,FA,0)),0,IF($J514="GIRIS",N(INDEX(F_INKOR,MATCH($C514,FA,0))),0))</f>
        <v>0</v>
      </c>
      <c r="U514" s="7"/>
      <c r="V514" s="7"/>
      <c r="W514" s="7"/>
      <c r="X514" s="7"/>
      <c r="Y514" s="7" t="e">
        <f>N(#REF!)*IF($E514="упак",MAX(1,IF(ISNA(MATCH($C514,FA,0)),1,N(INDEX(F_PAKET,MATCH($C514,FA,0))))),1)</f>
        <v>#REF!</v>
      </c>
      <c r="Z514" s="7" t="e">
        <f t="shared" ref="Z514:Z526" si="163">IF(ISNA(MATCH($C514,FA,0)),0,N(INDEX(F_BK,MATCH($C514,FA,0))))</f>
        <v>#REF!</v>
      </c>
      <c r="AA514" s="7" t="e">
        <f>IF(OR(ISNA(MATCH($C514,FA,0)),$J514="YEDEK",$J514="SARF"),0,N(#REF!)*N(INDEX(F_TEL,MATCH($C514,FA,0))))</f>
        <v>#REF!</v>
      </c>
      <c r="AB514" s="7" t="e">
        <f>IF(OR(ISNA(MATCH($C514,FA,0)),$J514="YEDEK",$J514="SARF"),0,N(#REF!)*N(INDEX(F_TELM,MATCH($C514,FA,0))))</f>
        <v>#REF!</v>
      </c>
      <c r="AC514" s="7" t="e">
        <f t="shared" ref="AC514:AC526" si="164">IF(ISNA(MATCH($C514,FA,0)),"",INDEX(F_UC,MATCH($C514,FA,0))&amp;"")</f>
        <v>#REF!</v>
      </c>
      <c r="AD514" s="7">
        <f>IF(OR(ISNA(MATCH($C514,FA,0)),$J514&lt;&gt;"CIKIS"),0,N(INDEX(F_KK,MATCH($C514,FA,0))))</f>
        <v>0</v>
      </c>
      <c r="AE514" s="7">
        <f>IF($AD514=0,0,N(#REF!)*N(INDEX(F_KLN,MATCH($C514,FA,0))))</f>
        <v>0</v>
      </c>
      <c r="AF514" s="7">
        <f>IF($AD514=0,0,N(#REF!)*N(INDEX(F_KPE,MATCH($C514,FA,0))))</f>
        <v>0</v>
      </c>
      <c r="AG514" s="7" t="e">
        <f>IF(ISNA(MATCH($C514,FA,0)),0,N(#REF!)*N(INDEX(F_MODUL,MATCH($C514,FA,0))))</f>
        <v>#REF!</v>
      </c>
      <c r="AH514" s="7" t="e">
        <f>N(#REF!)*N($I514)</f>
        <v>#REF!</v>
      </c>
      <c r="AI514" s="7" t="e">
        <f t="shared" ref="AI514:AI526" si="165">IF(ISNA(MATCH($K514,TIP_AD,0)),"YOK",IF(INDEX(NORM_DK,MATCH($K514,TIP_AD,0))="","BOŞ",INDEX(NORM_DK,MATCH($K514,TIP_AD,0))))</f>
        <v>#REF!</v>
      </c>
      <c r="AJ514" s="7">
        <f t="shared" ref="AJ514:AJ526" si="166">IF(ISNUMBER($AI514),$Y514*$AI514,0)</f>
        <v>0</v>
      </c>
    </row>
    <row r="515" spans="1:36" x14ac:dyDescent="0.25">
      <c r="A515" s="4" t="str">
        <f t="shared" si="160"/>
        <v>ЩАО-4, ЩАО-5, ЩАО-6 (260922 akram aulet)</v>
      </c>
      <c r="B515" s="4" t="s">
        <v>198</v>
      </c>
      <c r="C515" s="4" t="s">
        <v>378</v>
      </c>
      <c r="D515" s="4" t="s">
        <v>379</v>
      </c>
      <c r="E515" s="4" t="s">
        <v>114</v>
      </c>
      <c r="F515" s="4" t="s">
        <v>377</v>
      </c>
      <c r="G515" s="4" t="s">
        <v>274</v>
      </c>
      <c r="H515" s="5" t="e">
        <f>#REF!</f>
        <v>#REF!</v>
      </c>
      <c r="I515" s="6" t="e">
        <f t="shared" si="161"/>
        <v>#REF!</v>
      </c>
      <c r="J515" s="6" t="s">
        <v>48</v>
      </c>
      <c r="K515" s="6" t="s">
        <v>198</v>
      </c>
      <c r="L515" s="7" t="e">
        <f t="shared" si="162"/>
        <v>#REF!</v>
      </c>
      <c r="M515" s="7" t="s">
        <v>281</v>
      </c>
      <c r="N515" s="7" t="s">
        <v>282</v>
      </c>
      <c r="O515" s="7" t="str">
        <f>IF(OR($C515="",$C515="FID YOK"),"",IF(ISNUMBER(MATCH($C515,FA_ANA,0)),"",IF(COUNTIF($C$1:$C514,$C515)&gt;0,"",MAX($O$1:$O514)+1)))</f>
        <v/>
      </c>
      <c r="P515" s="8">
        <v>1</v>
      </c>
      <c r="Q515" s="7" t="e">
        <f>IF(OR($P515="",$P515="G",ISNA(MATCH($C515,FA,0))),"",IF(N(INDEX(F_G,MATCH($C515,FA,0)))&gt;0,INDEX(F_G,MATCH($C515,FA,0)),IF(N(INDEX(F_MODUL,MATCH($C515,FA,0)))&gt;0,INDEX(F_MODUL,MATCH($C515,FA,0))*MODUL_MM,"")))</f>
        <v>#REF!</v>
      </c>
      <c r="R515" s="7" t="e">
        <f>IF(OR($P515="",$P515="G",ISNA(MATCH($C515,FA,0))),"",IF(N(INDEX(F_Y,MATCH($C515,FA,0)))&gt;0,INDEX(F_Y,MATCH($C515,FA,0)),""))</f>
        <v>#REF!</v>
      </c>
      <c r="S515" s="7" t="e">
        <f>IF(OR($P515="",$P515="G",ISNA(MATCH($C515,FA,0))),"",IF(N(INDEX(F_D,MATCH($C515,FA,0)))&gt;0,INDEX(F_D,MATCH($C515,FA,0)),""))</f>
        <v>#REF!</v>
      </c>
      <c r="T515" s="7" t="e">
        <f>IF(ISNA(MATCH($C515,FA,0)),0,IF($J515="GIRIS",N(INDEX(F_INKOR,MATCH($C515,FA,0))),0))</f>
        <v>#REF!</v>
      </c>
      <c r="U515" s="7" t="e">
        <f>IF(ISNA(MATCH($B515,TIP_AD,0)),"",INDEX(TIP_KAT,MATCH($B515,TIP_AD,0))&amp;"")</f>
        <v>#REF!</v>
      </c>
      <c r="V515" s="7" t="e">
        <f>IF(NOT(ISNUMBER($P515)),"",IF($Z515=0,0,IF(ISNA(MATCH($Z515,BUK_KESIT,0)),"",IF(INDEX(BUK_ALAN,MATCH($Z515,BUK_KESIT,0))&amp;""="","",INDEX(BUK_ALAN,MATCH($Z515,BUK_KESIT,0))))))</f>
        <v>#REF!</v>
      </c>
      <c r="W515" s="7" t="e">
        <f>IF(OR(NOT(ISNUMBER($P515)),$Q515=""),"",N(#REF!)*($Q515+IF(ISNA(MATCH($B515,TIP_AD,0)),0,N(INDEX(TIP_BOSLUK,MATCH($B515,TIP_AD,0))))))</f>
        <v>#REF!</v>
      </c>
      <c r="X515" s="7" t="e">
        <f>IF(ISNUMBER($P515),($Q515="")+($R515="")+($V515="")+IF(AND($U515="KONTAKTOR",NOT(ISNA(MATCH($B515,TIP_AD,0)))),IF(INDEX(TIP_BOSLUK,MATCH($B515,TIP_AD,0))&amp;""="",1,0),0),IF($P515="K",IF($S515="",1,0),0))</f>
        <v>#REF!</v>
      </c>
      <c r="Y515" s="7" t="e">
        <f>N(#REF!)*IF($E515="упак",MAX(1,IF(ISNA(MATCH($C515,FA,0)),1,N(INDEX(F_PAKET,MATCH($C515,FA,0))))),1)</f>
        <v>#REF!</v>
      </c>
      <c r="Z515" s="7" t="e">
        <f t="shared" si="163"/>
        <v>#REF!</v>
      </c>
      <c r="AA515" s="7" t="e">
        <f>IF(OR(ISNA(MATCH($C515,FA,0)),$J515="YEDEK",$J515="SARF"),0,N(#REF!)*N(INDEX(F_TEL,MATCH($C515,FA,0))))</f>
        <v>#REF!</v>
      </c>
      <c r="AB515" s="7" t="e">
        <f>IF(OR(ISNA(MATCH($C515,FA,0)),$J515="YEDEK",$J515="SARF"),0,N(#REF!)*N(INDEX(F_TELM,MATCH($C515,FA,0))))</f>
        <v>#REF!</v>
      </c>
      <c r="AC515" s="7" t="e">
        <f t="shared" si="164"/>
        <v>#REF!</v>
      </c>
      <c r="AD515" s="7">
        <f>IF(OR(ISNA(MATCH($C515,FA,0)),$J515&lt;&gt;"CIKIS"),0,N(INDEX(F_KK,MATCH($C515,FA,0))))</f>
        <v>0</v>
      </c>
      <c r="AE515" s="7">
        <f>IF($AD515=0,0,N(#REF!)*N(INDEX(F_KLN,MATCH($C515,FA,0))))</f>
        <v>0</v>
      </c>
      <c r="AF515" s="7">
        <f>IF($AD515=0,0,N(#REF!)*N(INDEX(F_KPE,MATCH($C515,FA,0))))</f>
        <v>0</v>
      </c>
      <c r="AG515" s="7" t="e">
        <f>IF(ISNA(MATCH($C515,FA,0)),0,N(#REF!)*N(INDEX(F_MODUL,MATCH($C515,FA,0))))</f>
        <v>#REF!</v>
      </c>
      <c r="AH515" s="7" t="e">
        <f>N(#REF!)*N($I515)</f>
        <v>#REF!</v>
      </c>
      <c r="AI515" s="7" t="e">
        <f t="shared" si="165"/>
        <v>#REF!</v>
      </c>
      <c r="AJ515" s="7">
        <f t="shared" si="166"/>
        <v>0</v>
      </c>
    </row>
    <row r="516" spans="1:36" x14ac:dyDescent="0.25">
      <c r="A516" s="4" t="str">
        <f t="shared" si="160"/>
        <v>ЩАО-4, ЩАО-5, ЩАО-6 (260922 akram aulet)</v>
      </c>
      <c r="B516" s="4" t="s">
        <v>65</v>
      </c>
      <c r="C516" s="4" t="s">
        <v>386</v>
      </c>
      <c r="D516" s="4" t="s">
        <v>387</v>
      </c>
      <c r="E516" s="4" t="s">
        <v>114</v>
      </c>
      <c r="F516" s="4" t="s">
        <v>377</v>
      </c>
      <c r="G516" s="4" t="s">
        <v>274</v>
      </c>
      <c r="H516" s="5" t="e">
        <f>#REF!</f>
        <v>#REF!</v>
      </c>
      <c r="I516" s="6" t="e">
        <f t="shared" si="161"/>
        <v>#REF!</v>
      </c>
      <c r="J516" s="6" t="s">
        <v>52</v>
      </c>
      <c r="K516" s="6" t="s">
        <v>65</v>
      </c>
      <c r="L516" s="7" t="e">
        <f t="shared" si="162"/>
        <v>#REF!</v>
      </c>
      <c r="M516" s="7" t="s">
        <v>283</v>
      </c>
      <c r="N516" s="7" t="s">
        <v>269</v>
      </c>
      <c r="O516" s="7" t="str">
        <f>IF(OR($C516="",$C516="FID YOK"),"",IF(ISNUMBER(MATCH($C516,FA_ANA,0)),"",IF(COUNTIF($C$1:$C515,$C516)&gt;0,"",MAX($O$1:$O515)+1)))</f>
        <v/>
      </c>
      <c r="P516" s="8">
        <v>1</v>
      </c>
      <c r="Q516" s="7" t="e">
        <f>IF(OR($P516="",$P516="G",ISNA(MATCH($C516,FA,0))),"",IF(N(INDEX(F_G,MATCH($C516,FA,0)))&gt;0,INDEX(F_G,MATCH($C516,FA,0)),IF(N(INDEX(F_MODUL,MATCH($C516,FA,0)))&gt;0,INDEX(F_MODUL,MATCH($C516,FA,0))*MODUL_MM,"")))</f>
        <v>#REF!</v>
      </c>
      <c r="R516" s="7" t="e">
        <f>IF(OR($P516="",$P516="G",ISNA(MATCH($C516,FA,0))),"",IF(N(INDEX(F_Y,MATCH($C516,FA,0)))&gt;0,INDEX(F_Y,MATCH($C516,FA,0)),""))</f>
        <v>#REF!</v>
      </c>
      <c r="S516" s="7" t="e">
        <f>IF(OR($P516="",$P516="G",ISNA(MATCH($C516,FA,0))),"",IF(N(INDEX(F_D,MATCH($C516,FA,0)))&gt;0,INDEX(F_D,MATCH($C516,FA,0)),""))</f>
        <v>#REF!</v>
      </c>
      <c r="T516" s="7">
        <f>IF(ISNA(MATCH($C516,FA,0)),0,IF($J516="GIRIS",N(INDEX(F_INKOR,MATCH($C516,FA,0))),0))</f>
        <v>0</v>
      </c>
      <c r="U516" s="7" t="e">
        <f>IF(ISNA(MATCH($B516,TIP_AD,0)),"",INDEX(TIP_KAT,MATCH($B516,TIP_AD,0))&amp;"")</f>
        <v>#REF!</v>
      </c>
      <c r="V516" s="7" t="e">
        <f>IF(NOT(ISNUMBER($P516)),"",IF($Z516=0,0,IF(ISNA(MATCH($Z516,BUK_KESIT,0)),"",IF(INDEX(BUK_ALAN,MATCH($Z516,BUK_KESIT,0))&amp;""="","",INDEX(BUK_ALAN,MATCH($Z516,BUK_KESIT,0))))))</f>
        <v>#REF!</v>
      </c>
      <c r="W516" s="7" t="e">
        <f>IF(OR(NOT(ISNUMBER($P516)),$Q516=""),"",N(#REF!)*($Q516+IF(ISNA(MATCH($B516,TIP_AD,0)),0,N(INDEX(TIP_BOSLUK,MATCH($B516,TIP_AD,0))))))</f>
        <v>#REF!</v>
      </c>
      <c r="X516" s="7" t="e">
        <f>IF(ISNUMBER($P516),($Q516="")+($R516="")+($V516="")+IF(AND($U516="KONTAKTOR",NOT(ISNA(MATCH($B516,TIP_AD,0)))),IF(INDEX(TIP_BOSLUK,MATCH($B516,TIP_AD,0))&amp;""="",1,0),0),IF($P516="K",IF($S516="",1,0),0))</f>
        <v>#REF!</v>
      </c>
      <c r="Y516" s="7" t="e">
        <f>N(#REF!)*IF($E516="упак",MAX(1,IF(ISNA(MATCH($C516,FA,0)),1,N(INDEX(F_PAKET,MATCH($C516,FA,0))))),1)</f>
        <v>#REF!</v>
      </c>
      <c r="Z516" s="7" t="e">
        <f t="shared" si="163"/>
        <v>#REF!</v>
      </c>
      <c r="AA516" s="7" t="e">
        <f>IF(OR(ISNA(MATCH($C516,FA,0)),$J516="YEDEK",$J516="SARF"),0,N(#REF!)*N(INDEX(F_TEL,MATCH($C516,FA,0))))</f>
        <v>#REF!</v>
      </c>
      <c r="AB516" s="7" t="e">
        <f>IF(OR(ISNA(MATCH($C516,FA,0)),$J516="YEDEK",$J516="SARF"),0,N(#REF!)*N(INDEX(F_TELM,MATCH($C516,FA,0))))</f>
        <v>#REF!</v>
      </c>
      <c r="AC516" s="7" t="e">
        <f t="shared" si="164"/>
        <v>#REF!</v>
      </c>
      <c r="AD516" s="7" t="e">
        <f>IF(OR(ISNA(MATCH($C516,FA,0)),$J516&lt;&gt;"CIKIS"),0,N(INDEX(F_KK,MATCH($C516,FA,0))))</f>
        <v>#REF!</v>
      </c>
      <c r="AE516" s="7" t="e">
        <f>IF($AD516=0,0,N(#REF!)*N(INDEX(F_KLN,MATCH($C516,FA,0))))</f>
        <v>#REF!</v>
      </c>
      <c r="AF516" s="7" t="e">
        <f>IF($AD516=0,0,N(#REF!)*N(INDEX(F_KPE,MATCH($C516,FA,0))))</f>
        <v>#REF!</v>
      </c>
      <c r="AG516" s="7" t="e">
        <f>IF(ISNA(MATCH($C516,FA,0)),0,N(#REF!)*N(INDEX(F_MODUL,MATCH($C516,FA,0))))</f>
        <v>#REF!</v>
      </c>
      <c r="AH516" s="7" t="e">
        <f>N(#REF!)*N($I516)</f>
        <v>#REF!</v>
      </c>
      <c r="AI516" s="7" t="e">
        <f t="shared" si="165"/>
        <v>#REF!</v>
      </c>
      <c r="AJ516" s="7">
        <f t="shared" si="166"/>
        <v>0</v>
      </c>
    </row>
    <row r="517" spans="1:36" x14ac:dyDescent="0.25">
      <c r="A517" s="4" t="str">
        <f t="shared" si="160"/>
        <v>ЩАО-4, ЩАО-5, ЩАО-6 (260922 akram aulet)</v>
      </c>
      <c r="B517" s="4" t="s">
        <v>69</v>
      </c>
      <c r="C517" s="4" t="s">
        <v>451</v>
      </c>
      <c r="D517" s="4" t="s">
        <v>452</v>
      </c>
      <c r="E517" s="4" t="s">
        <v>114</v>
      </c>
      <c r="F517" s="4" t="s">
        <v>377</v>
      </c>
      <c r="G517" s="4" t="s">
        <v>274</v>
      </c>
      <c r="H517" s="5" t="e">
        <f>#REF!</f>
        <v>#REF!</v>
      </c>
      <c r="I517" s="6" t="e">
        <f t="shared" si="161"/>
        <v>#REF!</v>
      </c>
      <c r="J517" s="6" t="s">
        <v>52</v>
      </c>
      <c r="K517" s="6" t="s">
        <v>69</v>
      </c>
      <c r="L517" s="7" t="e">
        <f t="shared" si="162"/>
        <v>#REF!</v>
      </c>
      <c r="M517" s="7" t="s">
        <v>284</v>
      </c>
      <c r="N517" s="7" t="s">
        <v>285</v>
      </c>
      <c r="O517" s="7" t="str">
        <f>IF(OR($C517="",$C517="FID YOK"),"",IF(ISNUMBER(MATCH($C517,FA_ANA,0)),"",IF(COUNTIF($C$1:$C516,$C517)&gt;0,"",MAX($O$1:$O516)+1)))</f>
        <v/>
      </c>
      <c r="P517" s="8">
        <v>1</v>
      </c>
      <c r="Q517" s="7" t="e">
        <f>IF(OR($P517="",$P517="G",ISNA(MATCH($C517,FA,0))),"",IF(N(INDEX(F_G,MATCH($C517,FA,0)))&gt;0,INDEX(F_G,MATCH($C517,FA,0)),IF(N(INDEX(F_MODUL,MATCH($C517,FA,0)))&gt;0,INDEX(F_MODUL,MATCH($C517,FA,0))*MODUL_MM,"")))</f>
        <v>#REF!</v>
      </c>
      <c r="R517" s="7" t="e">
        <f>IF(OR($P517="",$P517="G",ISNA(MATCH($C517,FA,0))),"",IF(N(INDEX(F_Y,MATCH($C517,FA,0)))&gt;0,INDEX(F_Y,MATCH($C517,FA,0)),""))</f>
        <v>#REF!</v>
      </c>
      <c r="S517" s="7" t="e">
        <f>IF(OR($P517="",$P517="G",ISNA(MATCH($C517,FA,0))),"",IF(N(INDEX(F_D,MATCH($C517,FA,0)))&gt;0,INDEX(F_D,MATCH($C517,FA,0)),""))</f>
        <v>#REF!</v>
      </c>
      <c r="T517" s="7">
        <f>IF(ISNA(MATCH($C517,FA,0)),0,IF($J517="GIRIS",N(INDEX(F_INKOR,MATCH($C517,FA,0))),0))</f>
        <v>0</v>
      </c>
      <c r="U517" s="7" t="e">
        <f>IF(ISNA(MATCH($B517,TIP_AD,0)),"",INDEX(TIP_KAT,MATCH($B517,TIP_AD,0))&amp;"")</f>
        <v>#REF!</v>
      </c>
      <c r="V517" s="7" t="e">
        <f>IF(NOT(ISNUMBER($P517)),"",IF($Z517=0,0,IF(ISNA(MATCH($Z517,BUK_KESIT,0)),"",IF(INDEX(BUK_ALAN,MATCH($Z517,BUK_KESIT,0))&amp;""="","",INDEX(BUK_ALAN,MATCH($Z517,BUK_KESIT,0))))))</f>
        <v>#REF!</v>
      </c>
      <c r="W517" s="7" t="e">
        <f>IF(OR(NOT(ISNUMBER($P517)),$Q517=""),"",N(#REF!)*($Q517+IF(ISNA(MATCH($B517,TIP_AD,0)),0,N(INDEX(TIP_BOSLUK,MATCH($B517,TIP_AD,0))))))</f>
        <v>#REF!</v>
      </c>
      <c r="X517" s="7" t="e">
        <f>IF(ISNUMBER($P517),($Q517="")+($R517="")+($V517="")+IF(AND($U517="KONTAKTOR",NOT(ISNA(MATCH($B517,TIP_AD,0)))),IF(INDEX(TIP_BOSLUK,MATCH($B517,TIP_AD,0))&amp;""="",1,0),0),IF($P517="K",IF($S517="",1,0),0))</f>
        <v>#REF!</v>
      </c>
      <c r="Y517" s="7" t="e">
        <f>N(#REF!)*IF($E517="упак",MAX(1,IF(ISNA(MATCH($C517,FA,0)),1,N(INDEX(F_PAKET,MATCH($C517,FA,0))))),1)</f>
        <v>#REF!</v>
      </c>
      <c r="Z517" s="7" t="e">
        <f t="shared" si="163"/>
        <v>#REF!</v>
      </c>
      <c r="AA517" s="7" t="e">
        <f>IF(OR(ISNA(MATCH($C517,FA,0)),$J517="YEDEK",$J517="SARF"),0,N(#REF!)*N(INDEX(F_TEL,MATCH($C517,FA,0))))</f>
        <v>#REF!</v>
      </c>
      <c r="AB517" s="7" t="e">
        <f>IF(OR(ISNA(MATCH($C517,FA,0)),$J517="YEDEK",$J517="SARF"),0,N(#REF!)*N(INDEX(F_TELM,MATCH($C517,FA,0))))</f>
        <v>#REF!</v>
      </c>
      <c r="AC517" s="7" t="e">
        <f t="shared" si="164"/>
        <v>#REF!</v>
      </c>
      <c r="AD517" s="7" t="e">
        <f>IF(OR(ISNA(MATCH($C517,FA,0)),$J517&lt;&gt;"CIKIS"),0,N(INDEX(F_KK,MATCH($C517,FA,0))))</f>
        <v>#REF!</v>
      </c>
      <c r="AE517" s="7" t="e">
        <f>IF($AD517=0,0,N(#REF!)*N(INDEX(F_KLN,MATCH($C517,FA,0))))</f>
        <v>#REF!</v>
      </c>
      <c r="AF517" s="7" t="e">
        <f>IF($AD517=0,0,N(#REF!)*N(INDEX(F_KPE,MATCH($C517,FA,0))))</f>
        <v>#REF!</v>
      </c>
      <c r="AG517" s="7" t="e">
        <f>IF(ISNA(MATCH($C517,FA,0)),0,N(#REF!)*N(INDEX(F_MODUL,MATCH($C517,FA,0))))</f>
        <v>#REF!</v>
      </c>
      <c r="AH517" s="7" t="e">
        <f>N(#REF!)*N($I517)</f>
        <v>#REF!</v>
      </c>
      <c r="AI517" s="7" t="e">
        <f t="shared" si="165"/>
        <v>#REF!</v>
      </c>
      <c r="AJ517" s="7">
        <f t="shared" si="166"/>
        <v>0</v>
      </c>
    </row>
    <row r="518" spans="1:36" x14ac:dyDescent="0.25">
      <c r="A518" s="4" t="str">
        <f t="shared" si="160"/>
        <v>ЩАО-4, ЩАО-5, ЩАО-6 (260922 akram aulet)</v>
      </c>
      <c r="B518" s="4" t="s">
        <v>202</v>
      </c>
      <c r="C518" s="4" t="s">
        <v>577</v>
      </c>
      <c r="D518" s="4" t="s">
        <v>578</v>
      </c>
      <c r="E518" s="4" t="s">
        <v>114</v>
      </c>
      <c r="F518" s="4" t="s">
        <v>486</v>
      </c>
      <c r="G518" s="4" t="s">
        <v>274</v>
      </c>
      <c r="H518" s="5" t="e">
        <f>#REF!</f>
        <v>#REF!</v>
      </c>
      <c r="I518" s="6" t="e">
        <f t="shared" si="161"/>
        <v>#REF!</v>
      </c>
      <c r="J518" s="6" t="s">
        <v>84</v>
      </c>
      <c r="K518" s="6" t="s">
        <v>202</v>
      </c>
      <c r="L518" s="7" t="e">
        <f t="shared" si="162"/>
        <v>#REF!</v>
      </c>
      <c r="M518" s="7" t="s">
        <v>203</v>
      </c>
      <c r="O518" s="7" t="str">
        <f>IF(OR($C518="",$C518="FID YOK"),"",IF(ISNUMBER(MATCH($C518,FA_ANA,0)),"",IF(COUNTIF($C$1:$C517,$C518)&gt;0,"",MAX($O$1:$O517)+1)))</f>
        <v/>
      </c>
      <c r="T518" s="7">
        <f>IF(ISNA(MATCH($C518,FA,0)),0,IF($J518="GIRIS",N(INDEX(F_INKOR,MATCH($C518,FA,0))),0))</f>
        <v>0</v>
      </c>
      <c r="Y518" s="7" t="e">
        <f>N(#REF!)*IF($E518="упак",MAX(1,IF(ISNA(MATCH($C518,FA,0)),1,N(INDEX(F_PAKET,MATCH($C518,FA,0))))),1)</f>
        <v>#REF!</v>
      </c>
      <c r="Z518" s="7" t="e">
        <f t="shared" si="163"/>
        <v>#REF!</v>
      </c>
      <c r="AA518" s="7">
        <f>IF(OR(ISNA(MATCH($C518,FA,0)),$J518="YEDEK",$J518="SARF"),0,N(#REF!)*N(INDEX(F_TEL,MATCH($C518,FA,0))))</f>
        <v>0</v>
      </c>
      <c r="AB518" s="7">
        <f>IF(OR(ISNA(MATCH($C518,FA,0)),$J518="YEDEK",$J518="SARF"),0,N(#REF!)*N(INDEX(F_TELM,MATCH($C518,FA,0))))</f>
        <v>0</v>
      </c>
      <c r="AC518" s="7" t="e">
        <f t="shared" si="164"/>
        <v>#REF!</v>
      </c>
      <c r="AD518" s="7">
        <f>IF(OR(ISNA(MATCH($C518,FA,0)),$J518&lt;&gt;"CIKIS"),0,N(INDEX(F_KK,MATCH($C518,FA,0))))</f>
        <v>0</v>
      </c>
      <c r="AE518" s="7">
        <f>IF($AD518=0,0,N(#REF!)*N(INDEX(F_KLN,MATCH($C518,FA,0))))</f>
        <v>0</v>
      </c>
      <c r="AF518" s="7">
        <f>IF($AD518=0,0,N(#REF!)*N(INDEX(F_KPE,MATCH($C518,FA,0))))</f>
        <v>0</v>
      </c>
      <c r="AG518" s="7" t="e">
        <f>IF(ISNA(MATCH($C518,FA,0)),0,N(#REF!)*N(INDEX(F_MODUL,MATCH($C518,FA,0))))</f>
        <v>#REF!</v>
      </c>
      <c r="AH518" s="7" t="e">
        <f>N(#REF!)*N($I518)</f>
        <v>#REF!</v>
      </c>
      <c r="AI518" s="7" t="e">
        <f t="shared" si="165"/>
        <v>#REF!</v>
      </c>
      <c r="AJ518" s="7">
        <f t="shared" si="166"/>
        <v>0</v>
      </c>
    </row>
    <row r="519" spans="1:36" x14ac:dyDescent="0.25">
      <c r="A519" s="4" t="str">
        <f t="shared" si="160"/>
        <v>ЩАО-4, ЩАО-5, ЩАО-6 (260922 akram aulet)</v>
      </c>
      <c r="B519" s="4" t="s">
        <v>202</v>
      </c>
      <c r="C519" s="4" t="s">
        <v>579</v>
      </c>
      <c r="D519" s="4" t="s">
        <v>580</v>
      </c>
      <c r="E519" s="4" t="s">
        <v>114</v>
      </c>
      <c r="F519" s="4" t="s">
        <v>486</v>
      </c>
      <c r="G519" s="4" t="s">
        <v>274</v>
      </c>
      <c r="H519" s="5" t="e">
        <f>#REF!</f>
        <v>#REF!</v>
      </c>
      <c r="I519" s="6" t="e">
        <f t="shared" si="161"/>
        <v>#REF!</v>
      </c>
      <c r="J519" s="6" t="s">
        <v>84</v>
      </c>
      <c r="K519" s="6" t="s">
        <v>202</v>
      </c>
      <c r="L519" s="7" t="e">
        <f t="shared" si="162"/>
        <v>#REF!</v>
      </c>
      <c r="M519" s="7" t="s">
        <v>204</v>
      </c>
      <c r="O519" s="7" t="str">
        <f>IF(OR($C519="",$C519="FID YOK"),"",IF(ISNUMBER(MATCH($C519,FA_ANA,0)),"",IF(COUNTIF($C$1:$C518,$C519)&gt;0,"",MAX($O$1:$O518)+1)))</f>
        <v/>
      </c>
      <c r="T519" s="7">
        <f>IF(ISNA(MATCH($C519,FA,0)),0,IF($J519="GIRIS",N(INDEX(F_INKOR,MATCH($C519,FA,0))),0))</f>
        <v>0</v>
      </c>
      <c r="Y519" s="7" t="e">
        <f>N(#REF!)*IF($E519="упак",MAX(1,IF(ISNA(MATCH($C519,FA,0)),1,N(INDEX(F_PAKET,MATCH($C519,FA,0))))),1)</f>
        <v>#REF!</v>
      </c>
      <c r="Z519" s="7" t="e">
        <f t="shared" si="163"/>
        <v>#REF!</v>
      </c>
      <c r="AA519" s="7">
        <f>IF(OR(ISNA(MATCH($C519,FA,0)),$J519="YEDEK",$J519="SARF"),0,N(#REF!)*N(INDEX(F_TEL,MATCH($C519,FA,0))))</f>
        <v>0</v>
      </c>
      <c r="AB519" s="7">
        <f>IF(OR(ISNA(MATCH($C519,FA,0)),$J519="YEDEK",$J519="SARF"),0,N(#REF!)*N(INDEX(F_TELM,MATCH($C519,FA,0))))</f>
        <v>0</v>
      </c>
      <c r="AC519" s="7" t="e">
        <f t="shared" si="164"/>
        <v>#REF!</v>
      </c>
      <c r="AD519" s="7">
        <f>IF(OR(ISNA(MATCH($C519,FA,0)),$J519&lt;&gt;"CIKIS"),0,N(INDEX(F_KK,MATCH($C519,FA,0))))</f>
        <v>0</v>
      </c>
      <c r="AE519" s="7">
        <f>IF($AD519=0,0,N(#REF!)*N(INDEX(F_KLN,MATCH($C519,FA,0))))</f>
        <v>0</v>
      </c>
      <c r="AF519" s="7">
        <f>IF($AD519=0,0,N(#REF!)*N(INDEX(F_KPE,MATCH($C519,FA,0))))</f>
        <v>0</v>
      </c>
      <c r="AG519" s="7" t="e">
        <f>IF(ISNA(MATCH($C519,FA,0)),0,N(#REF!)*N(INDEX(F_MODUL,MATCH($C519,FA,0))))</f>
        <v>#REF!</v>
      </c>
      <c r="AH519" s="7" t="e">
        <f>N(#REF!)*N($I519)</f>
        <v>#REF!</v>
      </c>
      <c r="AI519" s="7" t="e">
        <f t="shared" si="165"/>
        <v>#REF!</v>
      </c>
      <c r="AJ519" s="7">
        <f t="shared" si="166"/>
        <v>0</v>
      </c>
    </row>
    <row r="520" spans="1:36" x14ac:dyDescent="0.25">
      <c r="A520" s="4" t="str">
        <f t="shared" si="160"/>
        <v>ЩАО-4, ЩАО-5, ЩАО-6 (260922 akram aulet)</v>
      </c>
      <c r="B520" s="4" t="s">
        <v>92</v>
      </c>
      <c r="C520" s="4" t="s">
        <v>523</v>
      </c>
      <c r="D520" s="4" t="s">
        <v>524</v>
      </c>
      <c r="E520" s="4" t="s">
        <v>520</v>
      </c>
      <c r="F520" s="4" t="s">
        <v>521</v>
      </c>
      <c r="G520" s="4" t="s">
        <v>274</v>
      </c>
      <c r="H520" s="5" t="e">
        <f>#REF!</f>
        <v>#REF!</v>
      </c>
      <c r="I520" s="6" t="e">
        <f t="shared" si="161"/>
        <v>#REF!</v>
      </c>
      <c r="J520" s="6" t="s">
        <v>84</v>
      </c>
      <c r="K520" s="6" t="s">
        <v>92</v>
      </c>
      <c r="L520" s="7" t="e">
        <f t="shared" si="162"/>
        <v>#REF!</v>
      </c>
      <c r="M520" s="7" t="s">
        <v>93</v>
      </c>
      <c r="O520" s="7" t="str">
        <f>IF(OR($C520="",$C520="FID YOK"),"",IF(ISNUMBER(MATCH($C520,FA_ANA,0)),"",IF(COUNTIF($C$1:$C519,$C520)&gt;0,"",MAX($O$1:$O519)+1)))</f>
        <v/>
      </c>
      <c r="T520" s="7">
        <f>IF(ISNA(MATCH($C520,FA,0)),0,IF($J520="GIRIS",N(INDEX(F_INKOR,MATCH($C520,FA,0))),0))</f>
        <v>0</v>
      </c>
      <c r="Y520" s="7" t="e">
        <f>N(#REF!)*IF($E520="упак",MAX(1,IF(ISNA(MATCH($C520,FA,0)),1,N(INDEX(F_PAKET,MATCH($C520,FA,0))))),1)</f>
        <v>#REF!</v>
      </c>
      <c r="Z520" s="7" t="e">
        <f t="shared" si="163"/>
        <v>#REF!</v>
      </c>
      <c r="AA520" s="7">
        <f>IF(OR(ISNA(MATCH($C520,FA,0)),$J520="YEDEK",$J520="SARF"),0,N(#REF!)*N(INDEX(F_TEL,MATCH($C520,FA,0))))</f>
        <v>0</v>
      </c>
      <c r="AB520" s="7">
        <f>IF(OR(ISNA(MATCH($C520,FA,0)),$J520="YEDEK",$J520="SARF"),0,N(#REF!)*N(INDEX(F_TELM,MATCH($C520,FA,0))))</f>
        <v>0</v>
      </c>
      <c r="AC520" s="7" t="e">
        <f t="shared" si="164"/>
        <v>#REF!</v>
      </c>
      <c r="AD520" s="7">
        <f>IF(OR(ISNA(MATCH($C520,FA,0)),$J520&lt;&gt;"CIKIS"),0,N(INDEX(F_KK,MATCH($C520,FA,0))))</f>
        <v>0</v>
      </c>
      <c r="AE520" s="7">
        <f>IF($AD520=0,0,N(#REF!)*N(INDEX(F_KLN,MATCH($C520,FA,0))))</f>
        <v>0</v>
      </c>
      <c r="AF520" s="7">
        <f>IF($AD520=0,0,N(#REF!)*N(INDEX(F_KPE,MATCH($C520,FA,0))))</f>
        <v>0</v>
      </c>
      <c r="AG520" s="7" t="e">
        <f>IF(ISNA(MATCH($C520,FA,0)),0,N(#REF!)*N(INDEX(F_MODUL,MATCH($C520,FA,0))))</f>
        <v>#REF!</v>
      </c>
      <c r="AH520" s="7" t="e">
        <f>N(#REF!)*N($I520)</f>
        <v>#REF!</v>
      </c>
      <c r="AI520" s="7" t="e">
        <f t="shared" si="165"/>
        <v>#REF!</v>
      </c>
      <c r="AJ520" s="7">
        <f t="shared" si="166"/>
        <v>0</v>
      </c>
    </row>
    <row r="521" spans="1:36" x14ac:dyDescent="0.25">
      <c r="A521" s="4" t="str">
        <f t="shared" si="160"/>
        <v>ЩАО-4, ЩАО-5, ЩАО-6 (260922 akram aulet)</v>
      </c>
      <c r="B521" s="4" t="s">
        <v>92</v>
      </c>
      <c r="C521" s="4" t="s">
        <v>531</v>
      </c>
      <c r="D521" s="4" t="s">
        <v>532</v>
      </c>
      <c r="E521" s="4" t="s">
        <v>520</v>
      </c>
      <c r="F521" s="4" t="s">
        <v>521</v>
      </c>
      <c r="G521" s="4" t="s">
        <v>274</v>
      </c>
      <c r="H521" s="5" t="e">
        <f>#REF!</f>
        <v>#REF!</v>
      </c>
      <c r="I521" s="6" t="e">
        <f t="shared" si="161"/>
        <v>#REF!</v>
      </c>
      <c r="J521" s="6" t="s">
        <v>84</v>
      </c>
      <c r="K521" s="6" t="s">
        <v>92</v>
      </c>
      <c r="L521" s="7" t="e">
        <f t="shared" si="162"/>
        <v>#REF!</v>
      </c>
      <c r="M521" s="7" t="s">
        <v>95</v>
      </c>
      <c r="O521" s="7" t="str">
        <f>IF(OR($C521="",$C521="FID YOK"),"",IF(ISNUMBER(MATCH($C521,FA_ANA,0)),"",IF(COUNTIF($C$1:$C520,$C521)&gt;0,"",MAX($O$1:$O520)+1)))</f>
        <v/>
      </c>
      <c r="T521" s="7">
        <f>IF(ISNA(MATCH($C521,FA,0)),0,IF($J521="GIRIS",N(INDEX(F_INKOR,MATCH($C521,FA,0))),0))</f>
        <v>0</v>
      </c>
      <c r="Y521" s="7" t="e">
        <f>N(#REF!)*IF($E521="упак",MAX(1,IF(ISNA(MATCH($C521,FA,0)),1,N(INDEX(F_PAKET,MATCH($C521,FA,0))))),1)</f>
        <v>#REF!</v>
      </c>
      <c r="Z521" s="7" t="e">
        <f t="shared" si="163"/>
        <v>#REF!</v>
      </c>
      <c r="AA521" s="7">
        <f>IF(OR(ISNA(MATCH($C521,FA,0)),$J521="YEDEK",$J521="SARF"),0,N(#REF!)*N(INDEX(F_TEL,MATCH($C521,FA,0))))</f>
        <v>0</v>
      </c>
      <c r="AB521" s="7">
        <f>IF(OR(ISNA(MATCH($C521,FA,0)),$J521="YEDEK",$J521="SARF"),0,N(#REF!)*N(INDEX(F_TELM,MATCH($C521,FA,0))))</f>
        <v>0</v>
      </c>
      <c r="AC521" s="7" t="e">
        <f t="shared" si="164"/>
        <v>#REF!</v>
      </c>
      <c r="AD521" s="7">
        <f>IF(OR(ISNA(MATCH($C521,FA,0)),$J521&lt;&gt;"CIKIS"),0,N(INDEX(F_KK,MATCH($C521,FA,0))))</f>
        <v>0</v>
      </c>
      <c r="AE521" s="7">
        <f>IF($AD521=0,0,N(#REF!)*N(INDEX(F_KLN,MATCH($C521,FA,0))))</f>
        <v>0</v>
      </c>
      <c r="AF521" s="7">
        <f>IF($AD521=0,0,N(#REF!)*N(INDEX(F_KPE,MATCH($C521,FA,0))))</f>
        <v>0</v>
      </c>
      <c r="AG521" s="7" t="e">
        <f>IF(ISNA(MATCH($C521,FA,0)),0,N(#REF!)*N(INDEX(F_MODUL,MATCH($C521,FA,0))))</f>
        <v>#REF!</v>
      </c>
      <c r="AH521" s="7" t="e">
        <f>N(#REF!)*N($I521)</f>
        <v>#REF!</v>
      </c>
      <c r="AI521" s="7" t="e">
        <f t="shared" si="165"/>
        <v>#REF!</v>
      </c>
      <c r="AJ521" s="7">
        <f t="shared" si="166"/>
        <v>0</v>
      </c>
    </row>
    <row r="522" spans="1:36" x14ac:dyDescent="0.25">
      <c r="A522" s="4" t="str">
        <f t="shared" si="160"/>
        <v>ЩАО-4, ЩАО-5, ЩАО-6 (260922 akram aulet)</v>
      </c>
      <c r="B522" s="4" t="s">
        <v>92</v>
      </c>
      <c r="C522" s="4" t="s">
        <v>535</v>
      </c>
      <c r="D522" s="4" t="s">
        <v>536</v>
      </c>
      <c r="E522" s="4" t="s">
        <v>520</v>
      </c>
      <c r="F522" s="4" t="s">
        <v>521</v>
      </c>
      <c r="G522" s="4" t="s">
        <v>274</v>
      </c>
      <c r="H522" s="5" t="e">
        <f>#REF!</f>
        <v>#REF!</v>
      </c>
      <c r="I522" s="6" t="e">
        <f t="shared" si="161"/>
        <v>#REF!</v>
      </c>
      <c r="J522" s="6" t="s">
        <v>84</v>
      </c>
      <c r="K522" s="6" t="s">
        <v>92</v>
      </c>
      <c r="L522" s="7" t="e">
        <f t="shared" si="162"/>
        <v>#REF!</v>
      </c>
      <c r="M522" s="7" t="s">
        <v>100</v>
      </c>
      <c r="O522" s="7" t="str">
        <f>IF(OR($C522="",$C522="FID YOK"),"",IF(ISNUMBER(MATCH($C522,FA_ANA,0)),"",IF(COUNTIF($C$1:$C521,$C522)&gt;0,"",MAX($O$1:$O521)+1)))</f>
        <v/>
      </c>
      <c r="T522" s="7">
        <f>IF(ISNA(MATCH($C522,FA,0)),0,IF($J522="GIRIS",N(INDEX(F_INKOR,MATCH($C522,FA,0))),0))</f>
        <v>0</v>
      </c>
      <c r="Y522" s="7" t="e">
        <f>N(#REF!)*IF($E522="упак",MAX(1,IF(ISNA(MATCH($C522,FA,0)),1,N(INDEX(F_PAKET,MATCH($C522,FA,0))))),1)</f>
        <v>#REF!</v>
      </c>
      <c r="Z522" s="7" t="e">
        <f t="shared" si="163"/>
        <v>#REF!</v>
      </c>
      <c r="AA522" s="7">
        <f>IF(OR(ISNA(MATCH($C522,FA,0)),$J522="YEDEK",$J522="SARF"),0,N(#REF!)*N(INDEX(F_TEL,MATCH($C522,FA,0))))</f>
        <v>0</v>
      </c>
      <c r="AB522" s="7">
        <f>IF(OR(ISNA(MATCH($C522,FA,0)),$J522="YEDEK",$J522="SARF"),0,N(#REF!)*N(INDEX(F_TELM,MATCH($C522,FA,0))))</f>
        <v>0</v>
      </c>
      <c r="AC522" s="7" t="e">
        <f t="shared" si="164"/>
        <v>#REF!</v>
      </c>
      <c r="AD522" s="7">
        <f>IF(OR(ISNA(MATCH($C522,FA,0)),$J522&lt;&gt;"CIKIS"),0,N(INDEX(F_KK,MATCH($C522,FA,0))))</f>
        <v>0</v>
      </c>
      <c r="AE522" s="7">
        <f>IF($AD522=0,0,N(#REF!)*N(INDEX(F_KLN,MATCH($C522,FA,0))))</f>
        <v>0</v>
      </c>
      <c r="AF522" s="7">
        <f>IF($AD522=0,0,N(#REF!)*N(INDEX(F_KPE,MATCH($C522,FA,0))))</f>
        <v>0</v>
      </c>
      <c r="AG522" s="7" t="e">
        <f>IF(ISNA(MATCH($C522,FA,0)),0,N(#REF!)*N(INDEX(F_MODUL,MATCH($C522,FA,0))))</f>
        <v>#REF!</v>
      </c>
      <c r="AH522" s="7" t="e">
        <f>N(#REF!)*N($I522)</f>
        <v>#REF!</v>
      </c>
      <c r="AI522" s="7" t="e">
        <f t="shared" si="165"/>
        <v>#REF!</v>
      </c>
      <c r="AJ522" s="7">
        <f t="shared" si="166"/>
        <v>0</v>
      </c>
    </row>
    <row r="523" spans="1:36" x14ac:dyDescent="0.25">
      <c r="A523" s="4" t="str">
        <f t="shared" si="160"/>
        <v>ЩАО-4, ЩАО-5, ЩАО-6 (260922 akram aulet)</v>
      </c>
      <c r="B523" s="4" t="s">
        <v>101</v>
      </c>
      <c r="C523" s="4" t="s">
        <v>525</v>
      </c>
      <c r="D523" s="4" t="s">
        <v>526</v>
      </c>
      <c r="E523" s="4" t="s">
        <v>522</v>
      </c>
      <c r="F523" s="4" t="s">
        <v>486</v>
      </c>
      <c r="G523" s="4" t="s">
        <v>274</v>
      </c>
      <c r="H523" s="5" t="e">
        <f>#REF!</f>
        <v>#REF!</v>
      </c>
      <c r="I523" s="6" t="e">
        <f t="shared" si="161"/>
        <v>#REF!</v>
      </c>
      <c r="J523" s="6" t="s">
        <v>84</v>
      </c>
      <c r="K523" s="6" t="s">
        <v>101</v>
      </c>
      <c r="L523" s="7" t="e">
        <f t="shared" si="162"/>
        <v>#REF!</v>
      </c>
      <c r="M523" s="7" t="s">
        <v>102</v>
      </c>
      <c r="O523" s="7" t="str">
        <f>IF(OR($C523="",$C523="FID YOK"),"",IF(ISNUMBER(MATCH($C523,FA_ANA,0)),"",IF(COUNTIF($C$1:$C522,$C523)&gt;0,"",MAX($O$1:$O522)+1)))</f>
        <v/>
      </c>
      <c r="T523" s="7">
        <f>IF(ISNA(MATCH($C523,FA,0)),0,IF($J523="GIRIS",N(INDEX(F_INKOR,MATCH($C523,FA,0))),0))</f>
        <v>0</v>
      </c>
      <c r="Y523" s="7" t="e">
        <f>N(#REF!)*IF($E523="упак",MAX(1,IF(ISNA(MATCH($C523,FA,0)),1,N(INDEX(F_PAKET,MATCH($C523,FA,0))))),1)</f>
        <v>#REF!</v>
      </c>
      <c r="Z523" s="7" t="e">
        <f t="shared" si="163"/>
        <v>#REF!</v>
      </c>
      <c r="AA523" s="7">
        <f>IF(OR(ISNA(MATCH($C523,FA,0)),$J523="YEDEK",$J523="SARF"),0,N(#REF!)*N(INDEX(F_TEL,MATCH($C523,FA,0))))</f>
        <v>0</v>
      </c>
      <c r="AB523" s="7">
        <f>IF(OR(ISNA(MATCH($C523,FA,0)),$J523="YEDEK",$J523="SARF"),0,N(#REF!)*N(INDEX(F_TELM,MATCH($C523,FA,0))))</f>
        <v>0</v>
      </c>
      <c r="AC523" s="7" t="e">
        <f t="shared" si="164"/>
        <v>#REF!</v>
      </c>
      <c r="AD523" s="7">
        <f>IF(OR(ISNA(MATCH($C523,FA,0)),$J523&lt;&gt;"CIKIS"),0,N(INDEX(F_KK,MATCH($C523,FA,0))))</f>
        <v>0</v>
      </c>
      <c r="AE523" s="7">
        <f>IF($AD523=0,0,N(#REF!)*N(INDEX(F_KLN,MATCH($C523,FA,0))))</f>
        <v>0</v>
      </c>
      <c r="AF523" s="7">
        <f>IF($AD523=0,0,N(#REF!)*N(INDEX(F_KPE,MATCH($C523,FA,0))))</f>
        <v>0</v>
      </c>
      <c r="AG523" s="7" t="e">
        <f>IF(ISNA(MATCH($C523,FA,0)),0,N(#REF!)*N(INDEX(F_MODUL,MATCH($C523,FA,0))))</f>
        <v>#REF!</v>
      </c>
      <c r="AH523" s="7" t="e">
        <f>N(#REF!)*N($I523)</f>
        <v>#REF!</v>
      </c>
      <c r="AI523" s="7" t="e">
        <f t="shared" si="165"/>
        <v>#REF!</v>
      </c>
      <c r="AJ523" s="7">
        <f t="shared" si="166"/>
        <v>0</v>
      </c>
    </row>
    <row r="524" spans="1:36" x14ac:dyDescent="0.25">
      <c r="A524" s="4" t="str">
        <f t="shared" si="160"/>
        <v>ЩАО-4, ЩАО-5, ЩАО-6 (260922 akram aulet)</v>
      </c>
      <c r="B524" s="4" t="s">
        <v>101</v>
      </c>
      <c r="C524" s="4" t="s">
        <v>533</v>
      </c>
      <c r="D524" s="4" t="s">
        <v>534</v>
      </c>
      <c r="E524" s="4" t="s">
        <v>522</v>
      </c>
      <c r="F524" s="4" t="s">
        <v>486</v>
      </c>
      <c r="G524" s="4" t="s">
        <v>274</v>
      </c>
      <c r="H524" s="5" t="e">
        <f>#REF!</f>
        <v>#REF!</v>
      </c>
      <c r="I524" s="6" t="e">
        <f t="shared" si="161"/>
        <v>#REF!</v>
      </c>
      <c r="J524" s="6" t="s">
        <v>84</v>
      </c>
      <c r="K524" s="6" t="s">
        <v>101</v>
      </c>
      <c r="L524" s="7" t="e">
        <f t="shared" si="162"/>
        <v>#REF!</v>
      </c>
      <c r="M524" s="7" t="s">
        <v>104</v>
      </c>
      <c r="O524" s="7" t="str">
        <f>IF(OR($C524="",$C524="FID YOK"),"",IF(ISNUMBER(MATCH($C524,FA_ANA,0)),"",IF(COUNTIF($C$1:$C523,$C524)&gt;0,"",MAX($O$1:$O523)+1)))</f>
        <v/>
      </c>
      <c r="T524" s="7">
        <f>IF(ISNA(MATCH($C524,FA,0)),0,IF($J524="GIRIS",N(INDEX(F_INKOR,MATCH($C524,FA,0))),0))</f>
        <v>0</v>
      </c>
      <c r="Y524" s="7" t="e">
        <f>N(#REF!)*IF($E524="упак",MAX(1,IF(ISNA(MATCH($C524,FA,0)),1,N(INDEX(F_PAKET,MATCH($C524,FA,0))))),1)</f>
        <v>#REF!</v>
      </c>
      <c r="Z524" s="7" t="e">
        <f t="shared" si="163"/>
        <v>#REF!</v>
      </c>
      <c r="AA524" s="7">
        <f>IF(OR(ISNA(MATCH($C524,FA,0)),$J524="YEDEK",$J524="SARF"),0,N(#REF!)*N(INDEX(F_TEL,MATCH($C524,FA,0))))</f>
        <v>0</v>
      </c>
      <c r="AB524" s="7">
        <f>IF(OR(ISNA(MATCH($C524,FA,0)),$J524="YEDEK",$J524="SARF"),0,N(#REF!)*N(INDEX(F_TELM,MATCH($C524,FA,0))))</f>
        <v>0</v>
      </c>
      <c r="AC524" s="7" t="e">
        <f t="shared" si="164"/>
        <v>#REF!</v>
      </c>
      <c r="AD524" s="7">
        <f>IF(OR(ISNA(MATCH($C524,FA,0)),$J524&lt;&gt;"CIKIS"),0,N(INDEX(F_KK,MATCH($C524,FA,0))))</f>
        <v>0</v>
      </c>
      <c r="AE524" s="7">
        <f>IF($AD524=0,0,N(#REF!)*N(INDEX(F_KLN,MATCH($C524,FA,0))))</f>
        <v>0</v>
      </c>
      <c r="AF524" s="7">
        <f>IF($AD524=0,0,N(#REF!)*N(INDEX(F_KPE,MATCH($C524,FA,0))))</f>
        <v>0</v>
      </c>
      <c r="AG524" s="7" t="e">
        <f>IF(ISNA(MATCH($C524,FA,0)),0,N(#REF!)*N(INDEX(F_MODUL,MATCH($C524,FA,0))))</f>
        <v>#REF!</v>
      </c>
      <c r="AH524" s="7" t="e">
        <f>N(#REF!)*N($I524)</f>
        <v>#REF!</v>
      </c>
      <c r="AI524" s="7" t="e">
        <f t="shared" si="165"/>
        <v>#REF!</v>
      </c>
      <c r="AJ524" s="7">
        <f t="shared" si="166"/>
        <v>0</v>
      </c>
    </row>
    <row r="525" spans="1:36" x14ac:dyDescent="0.25">
      <c r="A525" s="4" t="str">
        <f t="shared" si="160"/>
        <v>ЩАО-4, ЩАО-5, ЩАО-6 (260922 akram aulet)</v>
      </c>
      <c r="B525" s="4" t="s">
        <v>105</v>
      </c>
      <c r="C525" s="4" t="s">
        <v>539</v>
      </c>
      <c r="D525" s="4" t="s">
        <v>540</v>
      </c>
      <c r="E525" s="4" t="s">
        <v>114</v>
      </c>
      <c r="F525" s="4" t="s">
        <v>486</v>
      </c>
      <c r="G525" s="4" t="s">
        <v>274</v>
      </c>
      <c r="H525" s="5" t="e">
        <f>#REF!</f>
        <v>#REF!</v>
      </c>
      <c r="I525" s="6" t="e">
        <f t="shared" si="161"/>
        <v>#REF!</v>
      </c>
      <c r="J525" s="6" t="s">
        <v>84</v>
      </c>
      <c r="K525" s="6" t="s">
        <v>105</v>
      </c>
      <c r="L525" s="7" t="e">
        <f t="shared" si="162"/>
        <v>#REF!</v>
      </c>
      <c r="M525" s="7" t="s">
        <v>110</v>
      </c>
      <c r="O525" s="7" t="str">
        <f>IF(OR($C525="",$C525="FID YOK"),"",IF(ISNUMBER(MATCH($C525,FA_ANA,0)),"",IF(COUNTIF($C$1:$C524,$C525)&gt;0,"",MAX($O$1:$O524)+1)))</f>
        <v/>
      </c>
      <c r="T525" s="7">
        <f>IF(ISNA(MATCH($C525,FA,0)),0,IF($J525="GIRIS",N(INDEX(F_INKOR,MATCH($C525,FA,0))),0))</f>
        <v>0</v>
      </c>
      <c r="Y525" s="7" t="e">
        <f>N(#REF!)*IF($E525="упак",MAX(1,IF(ISNA(MATCH($C525,FA,0)),1,N(INDEX(F_PAKET,MATCH($C525,FA,0))))),1)</f>
        <v>#REF!</v>
      </c>
      <c r="Z525" s="7" t="e">
        <f t="shared" si="163"/>
        <v>#REF!</v>
      </c>
      <c r="AA525" s="7">
        <f>IF(OR(ISNA(MATCH($C525,FA,0)),$J525="YEDEK",$J525="SARF"),0,N(#REF!)*N(INDEX(F_TEL,MATCH($C525,FA,0))))</f>
        <v>0</v>
      </c>
      <c r="AB525" s="7">
        <f>IF(OR(ISNA(MATCH($C525,FA,0)),$J525="YEDEK",$J525="SARF"),0,N(#REF!)*N(INDEX(F_TELM,MATCH($C525,FA,0))))</f>
        <v>0</v>
      </c>
      <c r="AC525" s="7" t="e">
        <f t="shared" si="164"/>
        <v>#REF!</v>
      </c>
      <c r="AD525" s="7">
        <f>IF(OR(ISNA(MATCH($C525,FA,0)),$J525&lt;&gt;"CIKIS"),0,N(INDEX(F_KK,MATCH($C525,FA,0))))</f>
        <v>0</v>
      </c>
      <c r="AE525" s="7">
        <f>IF($AD525=0,0,N(#REF!)*N(INDEX(F_KLN,MATCH($C525,FA,0))))</f>
        <v>0</v>
      </c>
      <c r="AF525" s="7">
        <f>IF($AD525=0,0,N(#REF!)*N(INDEX(F_KPE,MATCH($C525,FA,0))))</f>
        <v>0</v>
      </c>
      <c r="AG525" s="7" t="e">
        <f>IF(ISNA(MATCH($C525,FA,0)),0,N(#REF!)*N(INDEX(F_MODUL,MATCH($C525,FA,0))))</f>
        <v>#REF!</v>
      </c>
      <c r="AH525" s="7" t="e">
        <f>N(#REF!)*N($I525)</f>
        <v>#REF!</v>
      </c>
      <c r="AI525" s="7" t="e">
        <f t="shared" si="165"/>
        <v>#REF!</v>
      </c>
      <c r="AJ525" s="7">
        <f t="shared" si="166"/>
        <v>0</v>
      </c>
    </row>
    <row r="526" spans="1:36" x14ac:dyDescent="0.25">
      <c r="A526" s="4" t="str">
        <f t="shared" si="160"/>
        <v>ЩАО-4, ЩАО-5, ЩАО-6 (260922 akram aulet)</v>
      </c>
      <c r="B526" s="4" t="s">
        <v>111</v>
      </c>
      <c r="C526" s="4" t="s">
        <v>571</v>
      </c>
      <c r="D526" s="4" t="s">
        <v>572</v>
      </c>
      <c r="E526" s="4" t="s">
        <v>522</v>
      </c>
      <c r="F526" s="4" t="s">
        <v>486</v>
      </c>
      <c r="G526" s="4" t="s">
        <v>274</v>
      </c>
      <c r="H526" s="5" t="e">
        <f>#REF!</f>
        <v>#REF!</v>
      </c>
      <c r="I526" s="6" t="e">
        <f t="shared" si="161"/>
        <v>#REF!</v>
      </c>
      <c r="J526" s="6" t="s">
        <v>84</v>
      </c>
      <c r="K526" s="6" t="s">
        <v>111</v>
      </c>
      <c r="L526" s="7" t="e">
        <f t="shared" si="162"/>
        <v>#REF!</v>
      </c>
      <c r="M526" s="7" t="s">
        <v>112</v>
      </c>
      <c r="O526" s="7" t="str">
        <f>IF(OR($C526="",$C526="FID YOK"),"",IF(ISNUMBER(MATCH($C526,FA_ANA,0)),"",IF(COUNTIF($C$1:$C525,$C526)&gt;0,"",MAX($O$1:$O525)+1)))</f>
        <v/>
      </c>
      <c r="T526" s="7">
        <f>IF(ISNA(MATCH($C526,FA,0)),0,IF($J526="GIRIS",N(INDEX(F_INKOR,MATCH($C526,FA,0))),0))</f>
        <v>0</v>
      </c>
      <c r="Y526" s="7" t="e">
        <f>N(#REF!)*IF($E526="упак",MAX(1,IF(ISNA(MATCH($C526,FA,0)),1,N(INDEX(F_PAKET,MATCH($C526,FA,0))))),1)</f>
        <v>#REF!</v>
      </c>
      <c r="Z526" s="7" t="e">
        <f t="shared" si="163"/>
        <v>#REF!</v>
      </c>
      <c r="AA526" s="7">
        <f>IF(OR(ISNA(MATCH($C526,FA,0)),$J526="YEDEK",$J526="SARF"),0,N(#REF!)*N(INDEX(F_TEL,MATCH($C526,FA,0))))</f>
        <v>0</v>
      </c>
      <c r="AB526" s="7">
        <f>IF(OR(ISNA(MATCH($C526,FA,0)),$J526="YEDEK",$J526="SARF"),0,N(#REF!)*N(INDEX(F_TELM,MATCH($C526,FA,0))))</f>
        <v>0</v>
      </c>
      <c r="AC526" s="7" t="e">
        <f t="shared" si="164"/>
        <v>#REF!</v>
      </c>
      <c r="AD526" s="7">
        <f>IF(OR(ISNA(MATCH($C526,FA,0)),$J526&lt;&gt;"CIKIS"),0,N(INDEX(F_KK,MATCH($C526,FA,0))))</f>
        <v>0</v>
      </c>
      <c r="AE526" s="7">
        <f>IF($AD526=0,0,N(#REF!)*N(INDEX(F_KLN,MATCH($C526,FA,0))))</f>
        <v>0</v>
      </c>
      <c r="AF526" s="7">
        <f>IF($AD526=0,0,N(#REF!)*N(INDEX(F_KPE,MATCH($C526,FA,0))))</f>
        <v>0</v>
      </c>
      <c r="AG526" s="7" t="e">
        <f>IF(ISNA(MATCH($C526,FA,0)),0,N(#REF!)*N(INDEX(F_MODUL,MATCH($C526,FA,0))))</f>
        <v>#REF!</v>
      </c>
      <c r="AH526" s="7" t="e">
        <f>N(#REF!)*N($I526)</f>
        <v>#REF!</v>
      </c>
      <c r="AI526" s="7" t="e">
        <f t="shared" si="165"/>
        <v>#REF!</v>
      </c>
      <c r="AJ526" s="7">
        <f t="shared" si="166"/>
        <v>0</v>
      </c>
    </row>
    <row r="527" spans="1:36" x14ac:dyDescent="0.25">
      <c r="A527" s="4" t="str">
        <f t="shared" si="160"/>
        <v>ЩАО-4, ЩАО-5, ЩАО-6 (260922 akram aulet)</v>
      </c>
      <c r="B527" s="4" t="s">
        <v>113</v>
      </c>
      <c r="C527" s="4" t="s">
        <v>113</v>
      </c>
      <c r="D527" s="4" t="s">
        <v>113</v>
      </c>
      <c r="E527" s="4" t="s">
        <v>114</v>
      </c>
      <c r="F527" s="4" t="s">
        <v>113</v>
      </c>
      <c r="G527" s="4" t="s">
        <v>274</v>
      </c>
      <c r="H527" s="5" t="e">
        <f>#REF!</f>
        <v>#REF!</v>
      </c>
      <c r="I527" s="6" t="e">
        <f t="shared" si="161"/>
        <v>#REF!</v>
      </c>
    </row>
    <row r="528" spans="1:36" x14ac:dyDescent="0.25">
      <c r="A528" s="4" t="str">
        <f t="shared" si="160"/>
        <v>ЩАО-4, ЩАО-5, ЩАО-6 (260922 akram aulet)</v>
      </c>
      <c r="B528" s="4" t="s">
        <v>115</v>
      </c>
      <c r="C528" s="4" t="s">
        <v>115</v>
      </c>
      <c r="D528" s="4" t="s">
        <v>115</v>
      </c>
      <c r="E528" s="4" t="s">
        <v>116</v>
      </c>
      <c r="F528" s="4" t="s">
        <v>115</v>
      </c>
      <c r="G528" s="4" t="s">
        <v>274</v>
      </c>
      <c r="H528" s="5" t="e">
        <f>#REF!</f>
        <v>#REF!</v>
      </c>
      <c r="I528" s="6" t="e">
        <f t="shared" si="161"/>
        <v>#REF!</v>
      </c>
    </row>
    <row r="529" spans="1:36" x14ac:dyDescent="0.25">
      <c r="A529" s="1" t="str">
        <f>D529</f>
        <v>ЩОФ-1 ... ЩОФ-6 (ЩУФО) (260922 akram aulet)</v>
      </c>
      <c r="B529" s="12"/>
      <c r="C529" s="2"/>
      <c r="D529" s="1" t="s">
        <v>289</v>
      </c>
      <c r="E529" s="1" t="s">
        <v>36</v>
      </c>
      <c r="F529" s="1" t="s">
        <v>37</v>
      </c>
      <c r="G529" s="1" t="s">
        <v>290</v>
      </c>
      <c r="I529" s="3" t="e">
        <f>#REF!</f>
        <v>#REF!</v>
      </c>
    </row>
    <row r="530" spans="1:36" x14ac:dyDescent="0.25">
      <c r="A530" s="4" t="str">
        <f t="shared" ref="A530:A555" si="167">A529</f>
        <v>ЩОФ-1 ... ЩОФ-6 (ЩУФО) (260922 akram aulet)</v>
      </c>
      <c r="B530" s="4" t="s">
        <v>39</v>
      </c>
      <c r="C530" s="4" t="s">
        <v>498</v>
      </c>
      <c r="D530" s="4" t="s">
        <v>499</v>
      </c>
      <c r="E530" s="4" t="s">
        <v>114</v>
      </c>
      <c r="F530" s="4" t="s">
        <v>491</v>
      </c>
      <c r="G530" s="4" t="s">
        <v>290</v>
      </c>
      <c r="H530" s="5" t="e">
        <f>#REF!</f>
        <v>#REF!</v>
      </c>
      <c r="I530" s="6" t="e">
        <f t="shared" ref="I530:I555" si="168">I529</f>
        <v>#REF!</v>
      </c>
      <c r="J530" s="6" t="s">
        <v>40</v>
      </c>
      <c r="K530" s="6" t="s">
        <v>291</v>
      </c>
      <c r="L530" s="7" t="e">
        <f t="shared" ref="L530:L553" si="169">IF(ISNA(MATCH($C530,FA,0)),"ARTİKÜL YOK",INDEX(FIYAT_DURUM,MATCH($C530,FA,0)))</f>
        <v>#REF!</v>
      </c>
      <c r="M530" s="7" t="s">
        <v>292</v>
      </c>
      <c r="N530" s="7" t="s">
        <v>293</v>
      </c>
      <c r="O530" s="7" t="str">
        <f>IF(OR($C530="",$C530="FID YOK"),"",IF(ISNUMBER(MATCH($C530,FA_ANA,0)),"",IF(COUNTIF($C$1:$C529,$C530)&gt;0,"",MAX($O$1:$O529)+1)))</f>
        <v/>
      </c>
      <c r="Q530" s="7"/>
      <c r="R530" s="7"/>
      <c r="S530" s="7"/>
      <c r="T530" s="7">
        <f>IF(ISNA(MATCH($C530,FA,0)),0,IF($J530="GIRIS",N(INDEX(F_INKOR,MATCH($C530,FA,0))),0))</f>
        <v>0</v>
      </c>
      <c r="U530" s="7"/>
      <c r="V530" s="7"/>
      <c r="W530" s="7"/>
      <c r="X530" s="7"/>
      <c r="Y530" s="7" t="e">
        <f>N(#REF!)*IF($E530="упак",MAX(1,IF(ISNA(MATCH($C530,FA,0)),1,N(INDEX(F_PAKET,MATCH($C530,FA,0))))),1)</f>
        <v>#REF!</v>
      </c>
      <c r="Z530" s="7" t="e">
        <f t="shared" ref="Z530:Z553" si="170">IF(ISNA(MATCH($C530,FA,0)),0,N(INDEX(F_BK,MATCH($C530,FA,0))))</f>
        <v>#REF!</v>
      </c>
      <c r="AA530" s="7" t="e">
        <f>IF(OR(ISNA(MATCH($C530,FA,0)),$J530="YEDEK",$J530="SARF"),0,N(#REF!)*N(INDEX(F_TEL,MATCH($C530,FA,0))))</f>
        <v>#REF!</v>
      </c>
      <c r="AB530" s="7" t="e">
        <f>IF(OR(ISNA(MATCH($C530,FA,0)),$J530="YEDEK",$J530="SARF"),0,N(#REF!)*N(INDEX(F_TELM,MATCH($C530,FA,0))))</f>
        <v>#REF!</v>
      </c>
      <c r="AC530" s="7" t="e">
        <f t="shared" ref="AC530:AC553" si="171">IF(ISNA(MATCH($C530,FA,0)),"",INDEX(F_UC,MATCH($C530,FA,0))&amp;"")</f>
        <v>#REF!</v>
      </c>
      <c r="AD530" s="7">
        <f>IF(OR(ISNA(MATCH($C530,FA,0)),$J530&lt;&gt;"CIKIS"),0,N(INDEX(F_KK,MATCH($C530,FA,0))))</f>
        <v>0</v>
      </c>
      <c r="AE530" s="7">
        <f>IF($AD530=0,0,N(#REF!)*N(INDEX(F_KLN,MATCH($C530,FA,0))))</f>
        <v>0</v>
      </c>
      <c r="AF530" s="7">
        <f>IF($AD530=0,0,N(#REF!)*N(INDEX(F_KPE,MATCH($C530,FA,0))))</f>
        <v>0</v>
      </c>
      <c r="AG530" s="7" t="e">
        <f>IF(ISNA(MATCH($C530,FA,0)),0,N(#REF!)*N(INDEX(F_MODUL,MATCH($C530,FA,0))))</f>
        <v>#REF!</v>
      </c>
      <c r="AH530" s="7" t="e">
        <f>N(#REF!)*N($I530)</f>
        <v>#REF!</v>
      </c>
      <c r="AI530" s="7" t="e">
        <f t="shared" ref="AI530:AI553" si="172">IF(ISNA(MATCH($K530,TIP_AD,0)),"YOK",IF(INDEX(NORM_DK,MATCH($K530,TIP_AD,0))="","BOŞ",INDEX(NORM_DK,MATCH($K530,TIP_AD,0))))</f>
        <v>#REF!</v>
      </c>
      <c r="AJ530" s="7">
        <f t="shared" ref="AJ530:AJ553" si="173">IF(ISNUMBER($AI530),$Y530*$AI530,0)</f>
        <v>0</v>
      </c>
    </row>
    <row r="531" spans="1:36" x14ac:dyDescent="0.25">
      <c r="A531" s="4" t="str">
        <f t="shared" si="167"/>
        <v>ЩОФ-1 ... ЩОФ-6 (ЩУФО) (260922 akram aulet)</v>
      </c>
      <c r="B531" s="4" t="s">
        <v>61</v>
      </c>
      <c r="C531" s="4" t="s">
        <v>604</v>
      </c>
      <c r="D531" s="4" t="s">
        <v>605</v>
      </c>
      <c r="E531" s="4" t="s">
        <v>114</v>
      </c>
      <c r="F531" s="4" t="s">
        <v>479</v>
      </c>
      <c r="G531" s="4" t="s">
        <v>290</v>
      </c>
      <c r="H531" s="5" t="e">
        <f>#REF!</f>
        <v>#REF!</v>
      </c>
      <c r="I531" s="6" t="e">
        <f t="shared" si="168"/>
        <v>#REF!</v>
      </c>
      <c r="J531" s="6" t="s">
        <v>62</v>
      </c>
      <c r="K531" s="6" t="s">
        <v>61</v>
      </c>
      <c r="L531" s="7" t="e">
        <f t="shared" si="169"/>
        <v>#REF!</v>
      </c>
      <c r="M531" s="7" t="s">
        <v>294</v>
      </c>
      <c r="N531" s="7" t="s">
        <v>263</v>
      </c>
      <c r="O531" s="7" t="str">
        <f>IF(OR($C531="",$C531="FID YOK"),"",IF(ISNUMBER(MATCH($C531,FA_ANA,0)),"",IF(COUNTIF($C$1:$C530,$C531)&gt;0,"",MAX($O$1:$O530)+1)))</f>
        <v/>
      </c>
      <c r="P531" s="8">
        <v>3</v>
      </c>
      <c r="Q531" s="7" t="e">
        <f>IF(OR($P531="",$P531="G",ISNA(MATCH($C531,FA,0))),"",IF(N(INDEX(F_G,MATCH($C531,FA,0)))&gt;0,INDEX(F_G,MATCH($C531,FA,0)),IF(N(INDEX(F_MODUL,MATCH($C531,FA,0)))&gt;0,INDEX(F_MODUL,MATCH($C531,FA,0))*MODUL_MM,"")))</f>
        <v>#REF!</v>
      </c>
      <c r="R531" s="7" t="e">
        <f>IF(OR($P531="",$P531="G",ISNA(MATCH($C531,FA,0))),"",IF(N(INDEX(F_Y,MATCH($C531,FA,0)))&gt;0,INDEX(F_Y,MATCH($C531,FA,0)),""))</f>
        <v>#REF!</v>
      </c>
      <c r="S531" s="7" t="e">
        <f>IF(OR($P531="",$P531="G",ISNA(MATCH($C531,FA,0))),"",IF(N(INDEX(F_D,MATCH($C531,FA,0)))&gt;0,INDEX(F_D,MATCH($C531,FA,0)),""))</f>
        <v>#REF!</v>
      </c>
      <c r="T531" s="7">
        <f>IF(ISNA(MATCH($C531,FA,0)),0,IF($J531="GIRIS",N(INDEX(F_INKOR,MATCH($C531,FA,0))),0))</f>
        <v>0</v>
      </c>
      <c r="U531" s="7" t="e">
        <f t="shared" ref="U531:U542" si="174">IF(ISNA(MATCH($B531,TIP_AD,0)),"",INDEX(TIP_KAT,MATCH($B531,TIP_AD,0))&amp;"")</f>
        <v>#REF!</v>
      </c>
      <c r="V531" s="7" t="e">
        <f t="shared" ref="V531:V542" si="175">IF(NOT(ISNUMBER($P531)),"",IF($Z531=0,0,IF(ISNA(MATCH($Z531,BUK_KESIT,0)),"",IF(INDEX(BUK_ALAN,MATCH($Z531,BUK_KESIT,0))&amp;""="","",INDEX(BUK_ALAN,MATCH($Z531,BUK_KESIT,0))))))</f>
        <v>#REF!</v>
      </c>
      <c r="W531" s="7" t="e">
        <f>IF(OR(NOT(ISNUMBER($P531)),$Q531=""),"",N(#REF!)*($Q531+IF(ISNA(MATCH($B531,TIP_AD,0)),0,N(INDEX(TIP_BOSLUK,MATCH($B531,TIP_AD,0))))))</f>
        <v>#REF!</v>
      </c>
      <c r="X531" s="7" t="e">
        <f>IF(ISNUMBER($P531),($Q531="")+($R531="")+($V531="")+IF(AND($U531="KONTAKTOR",NOT(ISNA(MATCH($B531,TIP_AD,0)))),IF(INDEX(TIP_BOSLUK,MATCH($B531,TIP_AD,0))&amp;""="",1,0),0),IF($P531="K",IF($S531="",1,0),0))</f>
        <v>#REF!</v>
      </c>
      <c r="Y531" s="7" t="e">
        <f>N(#REF!)*IF($E531="упак",MAX(1,IF(ISNA(MATCH($C531,FA,0)),1,N(INDEX(F_PAKET,MATCH($C531,FA,0))))),1)</f>
        <v>#REF!</v>
      </c>
      <c r="Z531" s="7" t="e">
        <f t="shared" si="170"/>
        <v>#REF!</v>
      </c>
      <c r="AA531" s="7" t="e">
        <f>IF(OR(ISNA(MATCH($C531,FA,0)),$J531="YEDEK",$J531="SARF"),0,N(#REF!)*N(INDEX(F_TEL,MATCH($C531,FA,0))))</f>
        <v>#REF!</v>
      </c>
      <c r="AB531" s="7" t="e">
        <f>IF(OR(ISNA(MATCH($C531,FA,0)),$J531="YEDEK",$J531="SARF"),0,N(#REF!)*N(INDEX(F_TELM,MATCH($C531,FA,0))))</f>
        <v>#REF!</v>
      </c>
      <c r="AC531" s="7" t="e">
        <f t="shared" si="171"/>
        <v>#REF!</v>
      </c>
      <c r="AD531" s="7">
        <f>IF(OR(ISNA(MATCH($C531,FA,0)),$J531&lt;&gt;"CIKIS"),0,N(INDEX(F_KK,MATCH($C531,FA,0))))</f>
        <v>0</v>
      </c>
      <c r="AE531" s="7">
        <f>IF($AD531=0,0,N(#REF!)*N(INDEX(F_KLN,MATCH($C531,FA,0))))</f>
        <v>0</v>
      </c>
      <c r="AF531" s="7">
        <f>IF($AD531=0,0,N(#REF!)*N(INDEX(F_KPE,MATCH($C531,FA,0))))</f>
        <v>0</v>
      </c>
      <c r="AG531" s="7" t="e">
        <f>IF(ISNA(MATCH($C531,FA,0)),0,N(#REF!)*N(INDEX(F_MODUL,MATCH($C531,FA,0))))</f>
        <v>#REF!</v>
      </c>
      <c r="AH531" s="7" t="e">
        <f>N(#REF!)*N($I531)</f>
        <v>#REF!</v>
      </c>
      <c r="AI531" s="7" t="e">
        <f t="shared" si="172"/>
        <v>#REF!</v>
      </c>
      <c r="AJ531" s="7">
        <f t="shared" si="173"/>
        <v>0</v>
      </c>
    </row>
    <row r="532" spans="1:36" x14ac:dyDescent="0.25">
      <c r="A532" s="4" t="str">
        <f t="shared" si="167"/>
        <v>ЩОФ-1 ... ЩОФ-6 (ЩУФО) (260922 akram aulet)</v>
      </c>
      <c r="B532" s="4" t="s">
        <v>65</v>
      </c>
      <c r="C532" s="4" t="s">
        <v>398</v>
      </c>
      <c r="D532" s="4" t="s">
        <v>399</v>
      </c>
      <c r="E532" s="4" t="s">
        <v>114</v>
      </c>
      <c r="F532" s="4" t="s">
        <v>377</v>
      </c>
      <c r="G532" s="4" t="s">
        <v>290</v>
      </c>
      <c r="H532" s="5" t="e">
        <f>#REF!</f>
        <v>#REF!</v>
      </c>
      <c r="I532" s="6" t="e">
        <f t="shared" si="168"/>
        <v>#REF!</v>
      </c>
      <c r="J532" s="6" t="s">
        <v>48</v>
      </c>
      <c r="K532" s="6" t="s">
        <v>65</v>
      </c>
      <c r="L532" s="7" t="e">
        <f t="shared" si="169"/>
        <v>#REF!</v>
      </c>
      <c r="M532" s="7" t="s">
        <v>295</v>
      </c>
      <c r="N532" s="7" t="s">
        <v>296</v>
      </c>
      <c r="O532" s="7">
        <f>IF(OR($C532="",$C532="FID YOK"),"",IF(ISNUMBER(MATCH($C532,FA_ANA,0)),"",IF(COUNTIF($C$1:$C531,$C532)&gt;0,"",MAX($O$1:$O531)+1)))</f>
        <v>95</v>
      </c>
      <c r="P532" s="8">
        <v>1</v>
      </c>
      <c r="Q532" s="7" t="e">
        <f>IF(OR($P532="",$P532="G",ISNA(MATCH($C532,FA,0))),"",IF(N(INDEX(F_G,MATCH($C532,FA,0)))&gt;0,INDEX(F_G,MATCH($C532,FA,0)),IF(N(INDEX(F_MODUL,MATCH($C532,FA,0)))&gt;0,INDEX(F_MODUL,MATCH($C532,FA,0))*MODUL_MM,"")))</f>
        <v>#REF!</v>
      </c>
      <c r="R532" s="7" t="e">
        <f>IF(OR($P532="",$P532="G",ISNA(MATCH($C532,FA,0))),"",IF(N(INDEX(F_Y,MATCH($C532,FA,0)))&gt;0,INDEX(F_Y,MATCH($C532,FA,0)),""))</f>
        <v>#REF!</v>
      </c>
      <c r="S532" s="7" t="e">
        <f>IF(OR($P532="",$P532="G",ISNA(MATCH($C532,FA,0))),"",IF(N(INDEX(F_D,MATCH($C532,FA,0)))&gt;0,INDEX(F_D,MATCH($C532,FA,0)),""))</f>
        <v>#REF!</v>
      </c>
      <c r="T532" s="7" t="e">
        <f>IF(ISNA(MATCH($C532,FA,0)),0,IF($J532="GIRIS",N(INDEX(F_INKOR,MATCH($C532,FA,0))),0))</f>
        <v>#REF!</v>
      </c>
      <c r="U532" s="7" t="e">
        <f t="shared" si="174"/>
        <v>#REF!</v>
      </c>
      <c r="V532" s="7" t="e">
        <f t="shared" si="175"/>
        <v>#REF!</v>
      </c>
      <c r="W532" s="7" t="e">
        <f>IF(OR(NOT(ISNUMBER($P532)),$Q532=""),"",N(#REF!)*($Q532+IF(ISNA(MATCH($B532,TIP_AD,0)),0,N(INDEX(TIP_BOSLUK,MATCH($B532,TIP_AD,0))))))</f>
        <v>#REF!</v>
      </c>
      <c r="X532" s="7" t="e">
        <f>IF(ISNUMBER($P532),($Q532="")+($R532="")+($V532="")+IF(AND($U532="KONTAKTOR",NOT(ISNA(MATCH($B532,TIP_AD,0)))),IF(INDEX(TIP_BOSLUK,MATCH($B532,TIP_AD,0))&amp;""="",1,0),0),IF($P532="K",IF($S532="",1,0),0))</f>
        <v>#REF!</v>
      </c>
      <c r="Y532" s="7" t="e">
        <f>N(#REF!)*IF($E532="упак",MAX(1,IF(ISNA(MATCH($C532,FA,0)),1,N(INDEX(F_PAKET,MATCH($C532,FA,0))))),1)</f>
        <v>#REF!</v>
      </c>
      <c r="Z532" s="7" t="e">
        <f t="shared" si="170"/>
        <v>#REF!</v>
      </c>
      <c r="AA532" s="7" t="e">
        <f>IF(OR(ISNA(MATCH($C532,FA,0)),$J532="YEDEK",$J532="SARF"),0,N(#REF!)*N(INDEX(F_TEL,MATCH($C532,FA,0))))</f>
        <v>#REF!</v>
      </c>
      <c r="AB532" s="7" t="e">
        <f>IF(OR(ISNA(MATCH($C532,FA,0)),$J532="YEDEK",$J532="SARF"),0,N(#REF!)*N(INDEX(F_TELM,MATCH($C532,FA,0))))</f>
        <v>#REF!</v>
      </c>
      <c r="AC532" s="7" t="e">
        <f t="shared" si="171"/>
        <v>#REF!</v>
      </c>
      <c r="AD532" s="7">
        <f>IF(OR(ISNA(MATCH($C532,FA,0)),$J532&lt;&gt;"CIKIS"),0,N(INDEX(F_KK,MATCH($C532,FA,0))))</f>
        <v>0</v>
      </c>
      <c r="AE532" s="7">
        <f>IF($AD532=0,0,N(#REF!)*N(INDEX(F_KLN,MATCH($C532,FA,0))))</f>
        <v>0</v>
      </c>
      <c r="AF532" s="7">
        <f>IF($AD532=0,0,N(#REF!)*N(INDEX(F_KPE,MATCH($C532,FA,0))))</f>
        <v>0</v>
      </c>
      <c r="AG532" s="7" t="e">
        <f>IF(ISNA(MATCH($C532,FA,0)),0,N(#REF!)*N(INDEX(F_MODUL,MATCH($C532,FA,0))))</f>
        <v>#REF!</v>
      </c>
      <c r="AH532" s="7" t="e">
        <f>N(#REF!)*N($I532)</f>
        <v>#REF!</v>
      </c>
      <c r="AI532" s="7" t="e">
        <f t="shared" si="172"/>
        <v>#REF!</v>
      </c>
      <c r="AJ532" s="7">
        <f t="shared" si="173"/>
        <v>0</v>
      </c>
    </row>
    <row r="533" spans="1:36" x14ac:dyDescent="0.25">
      <c r="A533" s="4" t="str">
        <f t="shared" si="167"/>
        <v>ЩОФ-1 ... ЩОФ-6 (ЩУФО) (260922 akram aulet)</v>
      </c>
      <c r="B533" s="4" t="s">
        <v>65</v>
      </c>
      <c r="C533" s="4" t="s">
        <v>386</v>
      </c>
      <c r="D533" s="4" t="s">
        <v>387</v>
      </c>
      <c r="E533" s="4" t="s">
        <v>114</v>
      </c>
      <c r="F533" s="4" t="s">
        <v>377</v>
      </c>
      <c r="G533" s="4" t="s">
        <v>290</v>
      </c>
      <c r="H533" s="5" t="e">
        <f>#REF!</f>
        <v>#REF!</v>
      </c>
      <c r="I533" s="6" t="e">
        <f t="shared" si="168"/>
        <v>#REF!</v>
      </c>
      <c r="J533" s="6" t="s">
        <v>66</v>
      </c>
      <c r="K533" s="6" t="s">
        <v>65</v>
      </c>
      <c r="L533" s="7" t="e">
        <f t="shared" si="169"/>
        <v>#REF!</v>
      </c>
      <c r="M533" s="7" t="s">
        <v>297</v>
      </c>
      <c r="N533" s="7" t="s">
        <v>269</v>
      </c>
      <c r="O533" s="7" t="str">
        <f>IF(OR($C533="",$C533="FID YOK"),"",IF(ISNUMBER(MATCH($C533,FA_ANA,0)),"",IF(COUNTIF($C$1:$C532,$C533)&gt;0,"",MAX($O$1:$O532)+1)))</f>
        <v/>
      </c>
      <c r="P533" s="8">
        <v>1</v>
      </c>
      <c r="Q533" s="7" t="e">
        <f>IF(OR($P533="",$P533="G",ISNA(MATCH($C533,FA,0))),"",IF(N(INDEX(F_G,MATCH($C533,FA,0)))&gt;0,INDEX(F_G,MATCH($C533,FA,0)),IF(N(INDEX(F_MODUL,MATCH($C533,FA,0)))&gt;0,INDEX(F_MODUL,MATCH($C533,FA,0))*MODUL_MM,"")))</f>
        <v>#REF!</v>
      </c>
      <c r="R533" s="7" t="e">
        <f>IF(OR($P533="",$P533="G",ISNA(MATCH($C533,FA,0))),"",IF(N(INDEX(F_Y,MATCH($C533,FA,0)))&gt;0,INDEX(F_Y,MATCH($C533,FA,0)),""))</f>
        <v>#REF!</v>
      </c>
      <c r="S533" s="7" t="e">
        <f>IF(OR($P533="",$P533="G",ISNA(MATCH($C533,FA,0))),"",IF(N(INDEX(F_D,MATCH($C533,FA,0)))&gt;0,INDEX(F_D,MATCH($C533,FA,0)),""))</f>
        <v>#REF!</v>
      </c>
      <c r="T533" s="7">
        <f>IF(ISNA(MATCH($C533,FA,0)),0,IF($J533="GIRIS",N(INDEX(F_INKOR,MATCH($C533,FA,0))),0))</f>
        <v>0</v>
      </c>
      <c r="U533" s="7" t="e">
        <f t="shared" si="174"/>
        <v>#REF!</v>
      </c>
      <c r="V533" s="7" t="e">
        <f t="shared" si="175"/>
        <v>#REF!</v>
      </c>
      <c r="W533" s="7" t="e">
        <f>IF(OR(NOT(ISNUMBER($P533)),$Q533=""),"",N(#REF!)*($Q533+IF(ISNA(MATCH($B533,TIP_AD,0)),0,N(INDEX(TIP_BOSLUK,MATCH($B533,TIP_AD,0))))))</f>
        <v>#REF!</v>
      </c>
      <c r="X533" s="7" t="e">
        <f>IF(ISNUMBER($P533),($Q533="")+($R533="")+($V533="")+IF(AND($U533="KONTAKTOR",NOT(ISNA(MATCH($B533,TIP_AD,0)))),IF(INDEX(TIP_BOSLUK,MATCH($B533,TIP_AD,0))&amp;""="",1,0),0),IF($P533="K",IF($S533="",1,0),0))</f>
        <v>#REF!</v>
      </c>
      <c r="Y533" s="7" t="e">
        <f>N(#REF!)*IF($E533="упак",MAX(1,IF(ISNA(MATCH($C533,FA,0)),1,N(INDEX(F_PAKET,MATCH($C533,FA,0))))),1)</f>
        <v>#REF!</v>
      </c>
      <c r="Z533" s="7" t="e">
        <f t="shared" si="170"/>
        <v>#REF!</v>
      </c>
      <c r="AA533" s="7" t="e">
        <f>IF(OR(ISNA(MATCH($C533,FA,0)),$J533="YEDEK",$J533="SARF"),0,N(#REF!)*N(INDEX(F_TEL,MATCH($C533,FA,0))))</f>
        <v>#REF!</v>
      </c>
      <c r="AB533" s="7" t="e">
        <f>IF(OR(ISNA(MATCH($C533,FA,0)),$J533="YEDEK",$J533="SARF"),0,N(#REF!)*N(INDEX(F_TELM,MATCH($C533,FA,0))))</f>
        <v>#REF!</v>
      </c>
      <c r="AC533" s="7" t="e">
        <f t="shared" si="171"/>
        <v>#REF!</v>
      </c>
      <c r="AD533" s="7">
        <f>IF(OR(ISNA(MATCH($C533,FA,0)),$J533&lt;&gt;"CIKIS"),0,N(INDEX(F_KK,MATCH($C533,FA,0))))</f>
        <v>0</v>
      </c>
      <c r="AE533" s="7">
        <f>IF($AD533=0,0,N(#REF!)*N(INDEX(F_KLN,MATCH($C533,FA,0))))</f>
        <v>0</v>
      </c>
      <c r="AF533" s="7">
        <f>IF($AD533=0,0,N(#REF!)*N(INDEX(F_KPE,MATCH($C533,FA,0))))</f>
        <v>0</v>
      </c>
      <c r="AG533" s="7" t="e">
        <f>IF(ISNA(MATCH($C533,FA,0)),0,N(#REF!)*N(INDEX(F_MODUL,MATCH($C533,FA,0))))</f>
        <v>#REF!</v>
      </c>
      <c r="AH533" s="7" t="e">
        <f>N(#REF!)*N($I533)</f>
        <v>#REF!</v>
      </c>
      <c r="AI533" s="7" t="e">
        <f t="shared" si="172"/>
        <v>#REF!</v>
      </c>
      <c r="AJ533" s="7">
        <f t="shared" si="173"/>
        <v>0</v>
      </c>
    </row>
    <row r="534" spans="1:36" x14ac:dyDescent="0.25">
      <c r="A534" s="4" t="str">
        <f t="shared" si="167"/>
        <v>ЩОФ-1 ... ЩОФ-6 (ЩУФО) (260922 akram aulet)</v>
      </c>
      <c r="B534" s="4" t="s">
        <v>265</v>
      </c>
      <c r="C534" s="4" t="s">
        <v>484</v>
      </c>
      <c r="D534" s="4" t="s">
        <v>485</v>
      </c>
      <c r="E534" s="4" t="s">
        <v>114</v>
      </c>
      <c r="F534" s="4" t="s">
        <v>486</v>
      </c>
      <c r="G534" s="4" t="s">
        <v>290</v>
      </c>
      <c r="H534" s="5" t="e">
        <f>#REF!</f>
        <v>#REF!</v>
      </c>
      <c r="I534" s="6" t="e">
        <f t="shared" si="168"/>
        <v>#REF!</v>
      </c>
      <c r="J534" s="6" t="s">
        <v>66</v>
      </c>
      <c r="K534" s="6" t="s">
        <v>265</v>
      </c>
      <c r="L534" s="7" t="e">
        <f t="shared" si="169"/>
        <v>#REF!</v>
      </c>
      <c r="M534" s="7" t="s">
        <v>298</v>
      </c>
      <c r="N534" s="7" t="s">
        <v>267</v>
      </c>
      <c r="O534" s="7" t="str">
        <f>IF(OR($C534="",$C534="FID YOK"),"",IF(ISNUMBER(MATCH($C534,FA_ANA,0)),"",IF(COUNTIF($C$1:$C533,$C534)&gt;0,"",MAX($O$1:$O533)+1)))</f>
        <v/>
      </c>
      <c r="P534" s="8">
        <v>1</v>
      </c>
      <c r="Q534" s="7" t="e">
        <f>IF(OR($P534="",$P534="G",ISNA(MATCH($C534,FA,0))),"",IF(N(INDEX(F_G,MATCH($C534,FA,0)))&gt;0,INDEX(F_G,MATCH($C534,FA,0)),IF(N(INDEX(F_MODUL,MATCH($C534,FA,0)))&gt;0,INDEX(F_MODUL,MATCH($C534,FA,0))*MODUL_MM,"")))</f>
        <v>#REF!</v>
      </c>
      <c r="R534" s="7" t="e">
        <f>IF(OR($P534="",$P534="G",ISNA(MATCH($C534,FA,0))),"",IF(N(INDEX(F_Y,MATCH($C534,FA,0)))&gt;0,INDEX(F_Y,MATCH($C534,FA,0)),""))</f>
        <v>#REF!</v>
      </c>
      <c r="S534" s="7" t="e">
        <f>IF(OR($P534="",$P534="G",ISNA(MATCH($C534,FA,0))),"",IF(N(INDEX(F_D,MATCH($C534,FA,0)))&gt;0,INDEX(F_D,MATCH($C534,FA,0)),""))</f>
        <v>#REF!</v>
      </c>
      <c r="T534" s="7">
        <f>IF(ISNA(MATCH($C534,FA,0)),0,IF($J534="GIRIS",N(INDEX(F_INKOR,MATCH($C534,FA,0))),0))</f>
        <v>0</v>
      </c>
      <c r="U534" s="7" t="e">
        <f t="shared" si="174"/>
        <v>#REF!</v>
      </c>
      <c r="V534" s="7" t="e">
        <f t="shared" si="175"/>
        <v>#REF!</v>
      </c>
      <c r="W534" s="7" t="e">
        <f>IF(OR(NOT(ISNUMBER($P534)),$Q534=""),"",N(#REF!)*($Q534+IF(ISNA(MATCH($B534,TIP_AD,0)),0,N(INDEX(TIP_BOSLUK,MATCH($B534,TIP_AD,0))))))</f>
        <v>#REF!</v>
      </c>
      <c r="X534" s="7" t="e">
        <f>IF(ISNUMBER($P534),($Q534="")+($R534="")+($V534="")+IF(AND($U534="KONTAKTOR",NOT(ISNA(MATCH($B534,TIP_AD,0)))),IF(INDEX(TIP_BOSLUK,MATCH($B534,TIP_AD,0))&amp;""="",1,0),0),IF($P534="K",IF($S534="",1,0),0))</f>
        <v>#REF!</v>
      </c>
      <c r="Y534" s="7" t="e">
        <f>N(#REF!)*IF($E534="упак",MAX(1,IF(ISNA(MATCH($C534,FA,0)),1,N(INDEX(F_PAKET,MATCH($C534,FA,0))))),1)</f>
        <v>#REF!</v>
      </c>
      <c r="Z534" s="7" t="e">
        <f t="shared" si="170"/>
        <v>#REF!</v>
      </c>
      <c r="AA534" s="7" t="e">
        <f>IF(OR(ISNA(MATCH($C534,FA,0)),$J534="YEDEK",$J534="SARF"),0,N(#REF!)*N(INDEX(F_TEL,MATCH($C534,FA,0))))</f>
        <v>#REF!</v>
      </c>
      <c r="AB534" s="7" t="e">
        <f>IF(OR(ISNA(MATCH($C534,FA,0)),$J534="YEDEK",$J534="SARF"),0,N(#REF!)*N(INDEX(F_TELM,MATCH($C534,FA,0))))</f>
        <v>#REF!</v>
      </c>
      <c r="AC534" s="7" t="e">
        <f t="shared" si="171"/>
        <v>#REF!</v>
      </c>
      <c r="AD534" s="7">
        <f>IF(OR(ISNA(MATCH($C534,FA,0)),$J534&lt;&gt;"CIKIS"),0,N(INDEX(F_KK,MATCH($C534,FA,0))))</f>
        <v>0</v>
      </c>
      <c r="AE534" s="7">
        <f>IF($AD534=0,0,N(#REF!)*N(INDEX(F_KLN,MATCH($C534,FA,0))))</f>
        <v>0</v>
      </c>
      <c r="AF534" s="7">
        <f>IF($AD534=0,0,N(#REF!)*N(INDEX(F_KPE,MATCH($C534,FA,0))))</f>
        <v>0</v>
      </c>
      <c r="AG534" s="7" t="e">
        <f>IF(ISNA(MATCH($C534,FA,0)),0,N(#REF!)*N(INDEX(F_MODUL,MATCH($C534,FA,0))))</f>
        <v>#REF!</v>
      </c>
      <c r="AH534" s="7" t="e">
        <f>N(#REF!)*N($I534)</f>
        <v>#REF!</v>
      </c>
      <c r="AI534" s="7" t="e">
        <f t="shared" si="172"/>
        <v>#REF!</v>
      </c>
      <c r="AJ534" s="7">
        <f t="shared" si="173"/>
        <v>0</v>
      </c>
    </row>
    <row r="535" spans="1:36" x14ac:dyDescent="0.25">
      <c r="A535" s="4" t="str">
        <f t="shared" si="167"/>
        <v>ЩОФ-1 ... ЩОФ-6 (ЩУФО) (260922 akram aulet)</v>
      </c>
      <c r="B535" s="4" t="s">
        <v>213</v>
      </c>
      <c r="C535" s="4" t="s">
        <v>406</v>
      </c>
      <c r="D535" s="4" t="s">
        <v>407</v>
      </c>
      <c r="E535" s="4" t="s">
        <v>114</v>
      </c>
      <c r="F535" s="4" t="s">
        <v>377</v>
      </c>
      <c r="G535" s="4" t="s">
        <v>290</v>
      </c>
      <c r="H535" s="5" t="e">
        <f>#REF!</f>
        <v>#REF!</v>
      </c>
      <c r="I535" s="6" t="e">
        <f t="shared" si="168"/>
        <v>#REF!</v>
      </c>
      <c r="J535" s="6" t="s">
        <v>52</v>
      </c>
      <c r="K535" s="6" t="s">
        <v>213</v>
      </c>
      <c r="L535" s="7" t="e">
        <f t="shared" si="169"/>
        <v>#REF!</v>
      </c>
      <c r="M535" s="7" t="s">
        <v>299</v>
      </c>
      <c r="N535" s="7" t="s">
        <v>300</v>
      </c>
      <c r="O535" s="7">
        <f>IF(OR($C535="",$C535="FID YOK"),"",IF(ISNUMBER(MATCH($C535,FA_ANA,0)),"",IF(COUNTIF($C$1:$C534,$C535)&gt;0,"",MAX($O$1:$O534)+1)))</f>
        <v>96</v>
      </c>
      <c r="P535" s="8">
        <v>1</v>
      </c>
      <c r="Q535" s="7" t="e">
        <f>IF(OR($P535="",$P535="G",ISNA(MATCH($C535,FA,0))),"",IF(N(INDEX(F_G,MATCH($C535,FA,0)))&gt;0,INDEX(F_G,MATCH($C535,FA,0)),IF(N(INDEX(F_MODUL,MATCH($C535,FA,0)))&gt;0,INDEX(F_MODUL,MATCH($C535,FA,0))*MODUL_MM,"")))</f>
        <v>#REF!</v>
      </c>
      <c r="R535" s="7" t="e">
        <f>IF(OR($P535="",$P535="G",ISNA(MATCH($C535,FA,0))),"",IF(N(INDEX(F_Y,MATCH($C535,FA,0)))&gt;0,INDEX(F_Y,MATCH($C535,FA,0)),""))</f>
        <v>#REF!</v>
      </c>
      <c r="S535" s="7" t="e">
        <f>IF(OR($P535="",$P535="G",ISNA(MATCH($C535,FA,0))),"",IF(N(INDEX(F_D,MATCH($C535,FA,0)))&gt;0,INDEX(F_D,MATCH($C535,FA,0)),""))</f>
        <v>#REF!</v>
      </c>
      <c r="T535" s="7">
        <f>IF(ISNA(MATCH($C535,FA,0)),0,IF($J535="GIRIS",N(INDEX(F_INKOR,MATCH($C535,FA,0))),0))</f>
        <v>0</v>
      </c>
      <c r="U535" s="7" t="e">
        <f t="shared" si="174"/>
        <v>#REF!</v>
      </c>
      <c r="V535" s="7" t="e">
        <f t="shared" si="175"/>
        <v>#REF!</v>
      </c>
      <c r="W535" s="7" t="e">
        <f>IF(OR(NOT(ISNUMBER($P535)),$Q535=""),"",N(#REF!)*($Q535+IF(ISNA(MATCH($B535,TIP_AD,0)),0,N(INDEX(TIP_BOSLUK,MATCH($B535,TIP_AD,0))))))</f>
        <v>#REF!</v>
      </c>
      <c r="X535" s="7" t="e">
        <f>IF(ISNUMBER($P535),($Q535="")+($R535="")+($V535="")+IF(AND($U535="KONTAKTOR",NOT(ISNA(MATCH($B535,TIP_AD,0)))),IF(INDEX(TIP_BOSLUK,MATCH($B535,TIP_AD,0))&amp;""="",1,0),0),IF($P535="K",IF($S535="",1,0),0))</f>
        <v>#REF!</v>
      </c>
      <c r="Y535" s="7" t="e">
        <f>N(#REF!)*IF($E535="упак",MAX(1,IF(ISNA(MATCH($C535,FA,0)),1,N(INDEX(F_PAKET,MATCH($C535,FA,0))))),1)</f>
        <v>#REF!</v>
      </c>
      <c r="Z535" s="7" t="e">
        <f t="shared" si="170"/>
        <v>#REF!</v>
      </c>
      <c r="AA535" s="7" t="e">
        <f>IF(OR(ISNA(MATCH($C535,FA,0)),$J535="YEDEK",$J535="SARF"),0,N(#REF!)*N(INDEX(F_TEL,MATCH($C535,FA,0))))</f>
        <v>#REF!</v>
      </c>
      <c r="AB535" s="7" t="e">
        <f>IF(OR(ISNA(MATCH($C535,FA,0)),$J535="YEDEK",$J535="SARF"),0,N(#REF!)*N(INDEX(F_TELM,MATCH($C535,FA,0))))</f>
        <v>#REF!</v>
      </c>
      <c r="AC535" s="7" t="e">
        <f t="shared" si="171"/>
        <v>#REF!</v>
      </c>
      <c r="AD535" s="7" t="e">
        <f>IF(OR(ISNA(MATCH($C535,FA,0)),$J535&lt;&gt;"CIKIS"),0,N(INDEX(F_KK,MATCH($C535,FA,0))))</f>
        <v>#REF!</v>
      </c>
      <c r="AE535" s="7" t="e">
        <f>IF($AD535=0,0,N(#REF!)*N(INDEX(F_KLN,MATCH($C535,FA,0))))</f>
        <v>#REF!</v>
      </c>
      <c r="AF535" s="7" t="e">
        <f>IF($AD535=0,0,N(#REF!)*N(INDEX(F_KPE,MATCH($C535,FA,0))))</f>
        <v>#REF!</v>
      </c>
      <c r="AG535" s="7" t="e">
        <f>IF(ISNA(MATCH($C535,FA,0)),0,N(#REF!)*N(INDEX(F_MODUL,MATCH($C535,FA,0))))</f>
        <v>#REF!</v>
      </c>
      <c r="AH535" s="7" t="e">
        <f>N(#REF!)*N($I535)</f>
        <v>#REF!</v>
      </c>
      <c r="AI535" s="7" t="e">
        <f t="shared" si="172"/>
        <v>#REF!</v>
      </c>
      <c r="AJ535" s="7">
        <f t="shared" si="173"/>
        <v>0</v>
      </c>
    </row>
    <row r="536" spans="1:36" x14ac:dyDescent="0.25">
      <c r="A536" s="4" t="str">
        <f t="shared" si="167"/>
        <v>ЩОФ-1 ... ЩОФ-6 (ЩУФО) (260922 akram aulet)</v>
      </c>
      <c r="B536" s="4" t="s">
        <v>69</v>
      </c>
      <c r="C536" s="4" t="s">
        <v>453</v>
      </c>
      <c r="D536" s="4" t="s">
        <v>454</v>
      </c>
      <c r="E536" s="4" t="s">
        <v>114</v>
      </c>
      <c r="F536" s="4" t="s">
        <v>377</v>
      </c>
      <c r="G536" s="4" t="s">
        <v>290</v>
      </c>
      <c r="H536" s="5" t="e">
        <f>#REF!</f>
        <v>#REF!</v>
      </c>
      <c r="I536" s="6" t="e">
        <f t="shared" si="168"/>
        <v>#REF!</v>
      </c>
      <c r="J536" s="6" t="s">
        <v>52</v>
      </c>
      <c r="K536" s="6" t="s">
        <v>69</v>
      </c>
      <c r="L536" s="7" t="e">
        <f t="shared" si="169"/>
        <v>#REF!</v>
      </c>
      <c r="M536" s="7" t="s">
        <v>301</v>
      </c>
      <c r="N536" s="7" t="s">
        <v>302</v>
      </c>
      <c r="O536" s="7">
        <f>IF(OR($C536="",$C536="FID YOK"),"",IF(ISNUMBER(MATCH($C536,FA_ANA,0)),"",IF(COUNTIF($C$1:$C535,$C536)&gt;0,"",MAX($O$1:$O535)+1)))</f>
        <v>97</v>
      </c>
      <c r="P536" s="8">
        <v>2</v>
      </c>
      <c r="Q536" s="7" t="e">
        <f>IF(OR($P536="",$P536="G",ISNA(MATCH($C536,FA,0))),"",IF(N(INDEX(F_G,MATCH($C536,FA,0)))&gt;0,INDEX(F_G,MATCH($C536,FA,0)),IF(N(INDEX(F_MODUL,MATCH($C536,FA,0)))&gt;0,INDEX(F_MODUL,MATCH($C536,FA,0))*MODUL_MM,"")))</f>
        <v>#REF!</v>
      </c>
      <c r="R536" s="7" t="e">
        <f>IF(OR($P536="",$P536="G",ISNA(MATCH($C536,FA,0))),"",IF(N(INDEX(F_Y,MATCH($C536,FA,0)))&gt;0,INDEX(F_Y,MATCH($C536,FA,0)),""))</f>
        <v>#REF!</v>
      </c>
      <c r="S536" s="7" t="e">
        <f>IF(OR($P536="",$P536="G",ISNA(MATCH($C536,FA,0))),"",IF(N(INDEX(F_D,MATCH($C536,FA,0)))&gt;0,INDEX(F_D,MATCH($C536,FA,0)),""))</f>
        <v>#REF!</v>
      </c>
      <c r="T536" s="7">
        <f>IF(ISNA(MATCH($C536,FA,0)),0,IF($J536="GIRIS",N(INDEX(F_INKOR,MATCH($C536,FA,0))),0))</f>
        <v>0</v>
      </c>
      <c r="U536" s="7" t="e">
        <f t="shared" si="174"/>
        <v>#REF!</v>
      </c>
      <c r="V536" s="7" t="e">
        <f t="shared" si="175"/>
        <v>#REF!</v>
      </c>
      <c r="W536" s="7" t="e">
        <f>IF(OR(NOT(ISNUMBER($P536)),$Q536=""),"",N(#REF!)*($Q536+IF(ISNA(MATCH($B536,TIP_AD,0)),0,N(INDEX(TIP_BOSLUK,MATCH($B536,TIP_AD,0))))))</f>
        <v>#REF!</v>
      </c>
      <c r="X536" s="7" t="e">
        <f>IF(ISNUMBER($P536),($Q536="")+($R536="")+($V536="")+IF(AND($U536="KONTAKTOR",NOT(ISNA(MATCH($B536,TIP_AD,0)))),IF(INDEX(TIP_BOSLUK,MATCH($B536,TIP_AD,0))&amp;""="",1,0),0),IF($P536="K",IF($S536="",1,0),0))</f>
        <v>#REF!</v>
      </c>
      <c r="Y536" s="7" t="e">
        <f>N(#REF!)*IF($E536="упак",MAX(1,IF(ISNA(MATCH($C536,FA,0)),1,N(INDEX(F_PAKET,MATCH($C536,FA,0))))),1)</f>
        <v>#REF!</v>
      </c>
      <c r="Z536" s="7" t="e">
        <f t="shared" si="170"/>
        <v>#REF!</v>
      </c>
      <c r="AA536" s="7" t="e">
        <f>IF(OR(ISNA(MATCH($C536,FA,0)),$J536="YEDEK",$J536="SARF"),0,N(#REF!)*N(INDEX(F_TEL,MATCH($C536,FA,0))))</f>
        <v>#REF!</v>
      </c>
      <c r="AB536" s="7" t="e">
        <f>IF(OR(ISNA(MATCH($C536,FA,0)),$J536="YEDEK",$J536="SARF"),0,N(#REF!)*N(INDEX(F_TELM,MATCH($C536,FA,0))))</f>
        <v>#REF!</v>
      </c>
      <c r="AC536" s="7" t="e">
        <f t="shared" si="171"/>
        <v>#REF!</v>
      </c>
      <c r="AD536" s="7" t="e">
        <f>IF(OR(ISNA(MATCH($C536,FA,0)),$J536&lt;&gt;"CIKIS"),0,N(INDEX(F_KK,MATCH($C536,FA,0))))</f>
        <v>#REF!</v>
      </c>
      <c r="AE536" s="7" t="e">
        <f>IF($AD536=0,0,N(#REF!)*N(INDEX(F_KLN,MATCH($C536,FA,0))))</f>
        <v>#REF!</v>
      </c>
      <c r="AF536" s="7" t="e">
        <f>IF($AD536=0,0,N(#REF!)*N(INDEX(F_KPE,MATCH($C536,FA,0))))</f>
        <v>#REF!</v>
      </c>
      <c r="AG536" s="7" t="e">
        <f>IF(ISNA(MATCH($C536,FA,0)),0,N(#REF!)*N(INDEX(F_MODUL,MATCH($C536,FA,0))))</f>
        <v>#REF!</v>
      </c>
      <c r="AH536" s="7" t="e">
        <f>N(#REF!)*N($I536)</f>
        <v>#REF!</v>
      </c>
      <c r="AI536" s="7" t="e">
        <f t="shared" si="172"/>
        <v>#REF!</v>
      </c>
      <c r="AJ536" s="7">
        <f t="shared" si="173"/>
        <v>0</v>
      </c>
    </row>
    <row r="537" spans="1:36" x14ac:dyDescent="0.25">
      <c r="A537" s="4" t="str">
        <f t="shared" si="167"/>
        <v>ЩОФ-1 ... ЩОФ-6 (ЩУФО) (260922 akram aulet)</v>
      </c>
      <c r="B537" s="4" t="s">
        <v>218</v>
      </c>
      <c r="C537" s="4" t="s">
        <v>457</v>
      </c>
      <c r="D537" s="4" t="s">
        <v>458</v>
      </c>
      <c r="E537" s="4" t="s">
        <v>114</v>
      </c>
      <c r="F537" s="4" t="s">
        <v>377</v>
      </c>
      <c r="G537" s="4" t="s">
        <v>290</v>
      </c>
      <c r="H537" s="5" t="e">
        <f>#REF!</f>
        <v>#REF!</v>
      </c>
      <c r="I537" s="6" t="e">
        <f t="shared" si="168"/>
        <v>#REF!</v>
      </c>
      <c r="J537" s="6" t="s">
        <v>66</v>
      </c>
      <c r="K537" s="6" t="s">
        <v>218</v>
      </c>
      <c r="L537" s="7" t="e">
        <f t="shared" si="169"/>
        <v>#REF!</v>
      </c>
      <c r="M537" s="7" t="s">
        <v>303</v>
      </c>
      <c r="N537" s="7" t="s">
        <v>304</v>
      </c>
      <c r="O537" s="7">
        <f>IF(OR($C537="",$C537="FID YOK"),"",IF(ISNUMBER(MATCH($C537,FA_ANA,0)),"",IF(COUNTIF($C$1:$C536,$C537)&gt;0,"",MAX($O$1:$O536)+1)))</f>
        <v>98</v>
      </c>
      <c r="P537" s="8">
        <v>2</v>
      </c>
      <c r="Q537" s="7" t="e">
        <f>IF(OR($P537="",$P537="G",ISNA(MATCH($C537,FA,0))),"",IF(N(INDEX(F_G,MATCH($C537,FA,0)))&gt;0,INDEX(F_G,MATCH($C537,FA,0)),IF(N(INDEX(F_MODUL,MATCH($C537,FA,0)))&gt;0,INDEX(F_MODUL,MATCH($C537,FA,0))*MODUL_MM,"")))</f>
        <v>#REF!</v>
      </c>
      <c r="R537" s="7" t="e">
        <f>IF(OR($P537="",$P537="G",ISNA(MATCH($C537,FA,0))),"",IF(N(INDEX(F_Y,MATCH($C537,FA,0)))&gt;0,INDEX(F_Y,MATCH($C537,FA,0)),""))</f>
        <v>#REF!</v>
      </c>
      <c r="S537" s="7" t="e">
        <f>IF(OR($P537="",$P537="G",ISNA(MATCH($C537,FA,0))),"",IF(N(INDEX(F_D,MATCH($C537,FA,0)))&gt;0,INDEX(F_D,MATCH($C537,FA,0)),""))</f>
        <v>#REF!</v>
      </c>
      <c r="T537" s="7">
        <f>IF(ISNA(MATCH($C537,FA,0)),0,IF($J537="GIRIS",N(INDEX(F_INKOR,MATCH($C537,FA,0))),0))</f>
        <v>0</v>
      </c>
      <c r="U537" s="7" t="e">
        <f t="shared" si="174"/>
        <v>#REF!</v>
      </c>
      <c r="V537" s="7" t="e">
        <f t="shared" si="175"/>
        <v>#REF!</v>
      </c>
      <c r="W537" s="7" t="e">
        <f>IF(OR(NOT(ISNUMBER($P537)),$Q537=""),"",N(#REF!)*($Q537+IF(ISNA(MATCH($B537,TIP_AD,0)),0,N(INDEX(TIP_BOSLUK,MATCH($B537,TIP_AD,0))))))</f>
        <v>#REF!</v>
      </c>
      <c r="X537" s="7" t="e">
        <f>IF(ISNUMBER($P537),($Q537="")+($R537="")+($V537="")+IF(AND($U537="KONTAKTOR",NOT(ISNA(MATCH($B537,TIP_AD,0)))),IF(INDEX(TIP_BOSLUK,MATCH($B537,TIP_AD,0))&amp;""="",1,0),0),IF($P537="K",IF($S537="",1,0),0))</f>
        <v>#REF!</v>
      </c>
      <c r="Y537" s="7" t="e">
        <f>N(#REF!)*IF($E537="упак",MAX(1,IF(ISNA(MATCH($C537,FA,0)),1,N(INDEX(F_PAKET,MATCH($C537,FA,0))))),1)</f>
        <v>#REF!</v>
      </c>
      <c r="Z537" s="7" t="e">
        <f t="shared" si="170"/>
        <v>#REF!</v>
      </c>
      <c r="AA537" s="7" t="e">
        <f>IF(OR(ISNA(MATCH($C537,FA,0)),$J537="YEDEK",$J537="SARF"),0,N(#REF!)*N(INDEX(F_TEL,MATCH($C537,FA,0))))</f>
        <v>#REF!</v>
      </c>
      <c r="AB537" s="7" t="e">
        <f>IF(OR(ISNA(MATCH($C537,FA,0)),$J537="YEDEK",$J537="SARF"),0,N(#REF!)*N(INDEX(F_TELM,MATCH($C537,FA,0))))</f>
        <v>#REF!</v>
      </c>
      <c r="AC537" s="7" t="e">
        <f t="shared" si="171"/>
        <v>#REF!</v>
      </c>
      <c r="AD537" s="7">
        <f>IF(OR(ISNA(MATCH($C537,FA,0)),$J537&lt;&gt;"CIKIS"),0,N(INDEX(F_KK,MATCH($C537,FA,0))))</f>
        <v>0</v>
      </c>
      <c r="AE537" s="7">
        <f>IF($AD537=0,0,N(#REF!)*N(INDEX(F_KLN,MATCH($C537,FA,0))))</f>
        <v>0</v>
      </c>
      <c r="AF537" s="7">
        <f>IF($AD537=0,0,N(#REF!)*N(INDEX(F_KPE,MATCH($C537,FA,0))))</f>
        <v>0</v>
      </c>
      <c r="AG537" s="7" t="e">
        <f>IF(ISNA(MATCH($C537,FA,0)),0,N(#REF!)*N(INDEX(F_MODUL,MATCH($C537,FA,0))))</f>
        <v>#REF!</v>
      </c>
      <c r="AH537" s="7" t="e">
        <f>N(#REF!)*N($I537)</f>
        <v>#REF!</v>
      </c>
      <c r="AI537" s="7" t="e">
        <f t="shared" si="172"/>
        <v>#REF!</v>
      </c>
      <c r="AJ537" s="7">
        <f t="shared" si="173"/>
        <v>0</v>
      </c>
    </row>
    <row r="538" spans="1:36" x14ac:dyDescent="0.25">
      <c r="A538" s="4" t="str">
        <f t="shared" si="167"/>
        <v>ЩОФ-1 ... ЩОФ-6 (ЩУФО) (260922 akram aulet)</v>
      </c>
      <c r="B538" s="4" t="s">
        <v>305</v>
      </c>
      <c r="C538" s="4" t="s">
        <v>477</v>
      </c>
      <c r="D538" s="4" t="s">
        <v>478</v>
      </c>
      <c r="E538" s="4" t="s">
        <v>114</v>
      </c>
      <c r="F538" s="4" t="s">
        <v>377</v>
      </c>
      <c r="G538" s="4" t="s">
        <v>290</v>
      </c>
      <c r="H538" s="5" t="e">
        <f>#REF!</f>
        <v>#REF!</v>
      </c>
      <c r="I538" s="6" t="e">
        <f t="shared" si="168"/>
        <v>#REF!</v>
      </c>
      <c r="J538" s="6" t="s">
        <v>66</v>
      </c>
      <c r="K538" s="6" t="s">
        <v>305</v>
      </c>
      <c r="L538" s="7" t="e">
        <f t="shared" si="169"/>
        <v>#REF!</v>
      </c>
      <c r="M538" s="7" t="s">
        <v>306</v>
      </c>
      <c r="N538" s="7" t="s">
        <v>307</v>
      </c>
      <c r="O538" s="7">
        <f>IF(OR($C538="",$C538="FID YOK"),"",IF(ISNUMBER(MATCH($C538,FA_ANA,0)),"",IF(COUNTIF($C$1:$C537,$C538)&gt;0,"",MAX($O$1:$O537)+1)))</f>
        <v>99</v>
      </c>
      <c r="P538" s="8">
        <v>1</v>
      </c>
      <c r="Q538" s="7" t="e">
        <f>IF(OR($P538="",$P538="G",ISNA(MATCH($C538,FA,0))),"",IF(N(INDEX(F_G,MATCH($C538,FA,0)))&gt;0,INDEX(F_G,MATCH($C538,FA,0)),IF(N(INDEX(F_MODUL,MATCH($C538,FA,0)))&gt;0,INDEX(F_MODUL,MATCH($C538,FA,0))*MODUL_MM,"")))</f>
        <v>#REF!</v>
      </c>
      <c r="R538" s="7" t="e">
        <f>IF(OR($P538="",$P538="G",ISNA(MATCH($C538,FA,0))),"",IF(N(INDEX(F_Y,MATCH($C538,FA,0)))&gt;0,INDEX(F_Y,MATCH($C538,FA,0)),""))</f>
        <v>#REF!</v>
      </c>
      <c r="S538" s="7" t="e">
        <f>IF(OR($P538="",$P538="G",ISNA(MATCH($C538,FA,0))),"",IF(N(INDEX(F_D,MATCH($C538,FA,0)))&gt;0,INDEX(F_D,MATCH($C538,FA,0)),""))</f>
        <v>#REF!</v>
      </c>
      <c r="T538" s="7">
        <f>IF(ISNA(MATCH($C538,FA,0)),0,IF($J538="GIRIS",N(INDEX(F_INKOR,MATCH($C538,FA,0))),0))</f>
        <v>0</v>
      </c>
      <c r="U538" s="7" t="e">
        <f t="shared" si="174"/>
        <v>#REF!</v>
      </c>
      <c r="V538" s="7" t="e">
        <f t="shared" si="175"/>
        <v>#REF!</v>
      </c>
      <c r="W538" s="7" t="e">
        <f>IF(OR(NOT(ISNUMBER($P538)),$Q538=""),"",N(#REF!)*($Q538+IF(ISNA(MATCH($B538,TIP_AD,0)),0,N(INDEX(TIP_BOSLUK,MATCH($B538,TIP_AD,0))))))</f>
        <v>#REF!</v>
      </c>
      <c r="X538" s="7" t="e">
        <f>IF(ISNUMBER($P538),($Q538="")+($R538="")+($V538="")+IF(AND($U538="KONTAKTOR",NOT(ISNA(MATCH($B538,TIP_AD,0)))),IF(INDEX(TIP_BOSLUK,MATCH($B538,TIP_AD,0))&amp;""="",1,0),0),IF($P538="K",IF($S538="",1,0),0))</f>
        <v>#REF!</v>
      </c>
      <c r="Y538" s="7" t="e">
        <f>N(#REF!)*IF($E538="упак",MAX(1,IF(ISNA(MATCH($C538,FA,0)),1,N(INDEX(F_PAKET,MATCH($C538,FA,0))))),1)</f>
        <v>#REF!</v>
      </c>
      <c r="Z538" s="7" t="e">
        <f t="shared" si="170"/>
        <v>#REF!</v>
      </c>
      <c r="AA538" s="7" t="e">
        <f>IF(OR(ISNA(MATCH($C538,FA,0)),$J538="YEDEK",$J538="SARF"),0,N(#REF!)*N(INDEX(F_TEL,MATCH($C538,FA,0))))</f>
        <v>#REF!</v>
      </c>
      <c r="AB538" s="7" t="e">
        <f>IF(OR(ISNA(MATCH($C538,FA,0)),$J538="YEDEK",$J538="SARF"),0,N(#REF!)*N(INDEX(F_TELM,MATCH($C538,FA,0))))</f>
        <v>#REF!</v>
      </c>
      <c r="AC538" s="7" t="e">
        <f t="shared" si="171"/>
        <v>#REF!</v>
      </c>
      <c r="AD538" s="7">
        <f>IF(OR(ISNA(MATCH($C538,FA,0)),$J538&lt;&gt;"CIKIS"),0,N(INDEX(F_KK,MATCH($C538,FA,0))))</f>
        <v>0</v>
      </c>
      <c r="AE538" s="7">
        <f>IF($AD538=0,0,N(#REF!)*N(INDEX(F_KLN,MATCH($C538,FA,0))))</f>
        <v>0</v>
      </c>
      <c r="AF538" s="7">
        <f>IF($AD538=0,0,N(#REF!)*N(INDEX(F_KPE,MATCH($C538,FA,0))))</f>
        <v>0</v>
      </c>
      <c r="AG538" s="7" t="e">
        <f>IF(ISNA(MATCH($C538,FA,0)),0,N(#REF!)*N(INDEX(F_MODUL,MATCH($C538,FA,0))))</f>
        <v>#REF!</v>
      </c>
      <c r="AH538" s="7" t="e">
        <f>N(#REF!)*N($I538)</f>
        <v>#REF!</v>
      </c>
      <c r="AI538" s="7" t="e">
        <f t="shared" si="172"/>
        <v>#REF!</v>
      </c>
      <c r="AJ538" s="7">
        <f t="shared" si="173"/>
        <v>0</v>
      </c>
    </row>
    <row r="539" spans="1:36" x14ac:dyDescent="0.25">
      <c r="A539" s="4" t="str">
        <f t="shared" si="167"/>
        <v>ЩОФ-1 ... ЩОФ-6 (ЩУФО) (260922 akram aulet)</v>
      </c>
      <c r="B539" s="4" t="s">
        <v>308</v>
      </c>
      <c r="C539" s="4" t="s">
        <v>471</v>
      </c>
      <c r="D539" s="4" t="s">
        <v>472</v>
      </c>
      <c r="E539" s="4" t="s">
        <v>114</v>
      </c>
      <c r="F539" s="4" t="s">
        <v>377</v>
      </c>
      <c r="G539" s="4" t="s">
        <v>290</v>
      </c>
      <c r="H539" s="5" t="e">
        <f>#REF!</f>
        <v>#REF!</v>
      </c>
      <c r="I539" s="6" t="e">
        <f t="shared" si="168"/>
        <v>#REF!</v>
      </c>
      <c r="J539" s="6" t="s">
        <v>66</v>
      </c>
      <c r="K539" s="6" t="s">
        <v>308</v>
      </c>
      <c r="L539" s="7" t="e">
        <f t="shared" si="169"/>
        <v>#REF!</v>
      </c>
      <c r="M539" s="7" t="s">
        <v>309</v>
      </c>
      <c r="N539" s="7" t="s">
        <v>310</v>
      </c>
      <c r="O539" s="7">
        <f>IF(OR($C539="",$C539="FID YOK"),"",IF(ISNUMBER(MATCH($C539,FA_ANA,0)),"",IF(COUNTIF($C$1:$C538,$C539)&gt;0,"",MAX($O$1:$O538)+1)))</f>
        <v>100</v>
      </c>
      <c r="P539" s="8" t="s">
        <v>78</v>
      </c>
      <c r="Q539" s="7" t="e">
        <f>IF(OR($P539="",$P539="G",ISNA(MATCH($C539,FA,0))),"",IF(N(INDEX(F_G,MATCH($C539,FA,0)))&gt;0,INDEX(F_G,MATCH($C539,FA,0)),IF(N(INDEX(F_MODUL,MATCH($C539,FA,0)))&gt;0,INDEX(F_MODUL,MATCH($C539,FA,0))*MODUL_MM,"")))</f>
        <v>#REF!</v>
      </c>
      <c r="R539" s="7" t="e">
        <f>IF(OR($P539="",$P539="G",ISNA(MATCH($C539,FA,0))),"",IF(N(INDEX(F_Y,MATCH($C539,FA,0)))&gt;0,INDEX(F_Y,MATCH($C539,FA,0)),""))</f>
        <v>#REF!</v>
      </c>
      <c r="S539" s="7" t="e">
        <f>IF(OR($P539="",$P539="G",ISNA(MATCH($C539,FA,0))),"",IF(N(INDEX(F_D,MATCH($C539,FA,0)))&gt;0,INDEX(F_D,MATCH($C539,FA,0)),""))</f>
        <v>#REF!</v>
      </c>
      <c r="T539" s="7">
        <f>IF(ISNA(MATCH($C539,FA,0)),0,IF($J539="GIRIS",N(INDEX(F_INKOR,MATCH($C539,FA,0))),0))</f>
        <v>0</v>
      </c>
      <c r="U539" s="7" t="e">
        <f t="shared" si="174"/>
        <v>#REF!</v>
      </c>
      <c r="V539" s="7" t="str">
        <f t="shared" si="175"/>
        <v/>
      </c>
      <c r="W539" s="7" t="e">
        <f>IF(OR(NOT(ISNUMBER($P539)),$Q539=""),"",N(#REF!)*($Q539+IF(ISNA(MATCH($B539,TIP_AD,0)),0,N(INDEX(TIP_BOSLUK,MATCH($B539,TIP_AD,0))))))</f>
        <v>#REF!</v>
      </c>
      <c r="X539" s="7" t="e">
        <f>IF(ISNUMBER($P539),($Q539="")+($R539="")+($V539="")+IF(AND($U539="KONTAKTOR",NOT(ISNA(MATCH($B539,TIP_AD,0)))),IF(INDEX(TIP_BOSLUK,MATCH($B539,TIP_AD,0))&amp;""="",1,0),0),IF($P539="K",IF($S539="",1,0),0))</f>
        <v>#REF!</v>
      </c>
      <c r="Y539" s="7" t="e">
        <f>N(#REF!)*IF($E539="упак",MAX(1,IF(ISNA(MATCH($C539,FA,0)),1,N(INDEX(F_PAKET,MATCH($C539,FA,0))))),1)</f>
        <v>#REF!</v>
      </c>
      <c r="Z539" s="7" t="e">
        <f t="shared" si="170"/>
        <v>#REF!</v>
      </c>
      <c r="AA539" s="7" t="e">
        <f>IF(OR(ISNA(MATCH($C539,FA,0)),$J539="YEDEK",$J539="SARF"),0,N(#REF!)*N(INDEX(F_TEL,MATCH($C539,FA,0))))</f>
        <v>#REF!</v>
      </c>
      <c r="AB539" s="7" t="e">
        <f>IF(OR(ISNA(MATCH($C539,FA,0)),$J539="YEDEK",$J539="SARF"),0,N(#REF!)*N(INDEX(F_TELM,MATCH($C539,FA,0))))</f>
        <v>#REF!</v>
      </c>
      <c r="AC539" s="7" t="e">
        <f t="shared" si="171"/>
        <v>#REF!</v>
      </c>
      <c r="AD539" s="7">
        <f>IF(OR(ISNA(MATCH($C539,FA,0)),$J539&lt;&gt;"CIKIS"),0,N(INDEX(F_KK,MATCH($C539,FA,0))))</f>
        <v>0</v>
      </c>
      <c r="AE539" s="7">
        <f>IF($AD539=0,0,N(#REF!)*N(INDEX(F_KLN,MATCH($C539,FA,0))))</f>
        <v>0</v>
      </c>
      <c r="AF539" s="7">
        <f>IF($AD539=0,0,N(#REF!)*N(INDEX(F_KPE,MATCH($C539,FA,0))))</f>
        <v>0</v>
      </c>
      <c r="AG539" s="7" t="e">
        <f>IF(ISNA(MATCH($C539,FA,0)),0,N(#REF!)*N(INDEX(F_MODUL,MATCH($C539,FA,0))))</f>
        <v>#REF!</v>
      </c>
      <c r="AH539" s="7" t="e">
        <f>N(#REF!)*N($I539)</f>
        <v>#REF!</v>
      </c>
      <c r="AI539" s="7" t="e">
        <f t="shared" si="172"/>
        <v>#REF!</v>
      </c>
      <c r="AJ539" s="7">
        <f t="shared" si="173"/>
        <v>0</v>
      </c>
    </row>
    <row r="540" spans="1:36" x14ac:dyDescent="0.25">
      <c r="A540" s="4" t="str">
        <f t="shared" si="167"/>
        <v>ЩОФ-1 ... ЩОФ-6 (ЩУФО) (260922 akram aulet)</v>
      </c>
      <c r="B540" s="4" t="s">
        <v>308</v>
      </c>
      <c r="C540" s="4" t="s">
        <v>473</v>
      </c>
      <c r="D540" s="4" t="s">
        <v>474</v>
      </c>
      <c r="E540" s="4" t="s">
        <v>114</v>
      </c>
      <c r="F540" s="4" t="s">
        <v>377</v>
      </c>
      <c r="G540" s="4" t="s">
        <v>290</v>
      </c>
      <c r="H540" s="5" t="e">
        <f>#REF!</f>
        <v>#REF!</v>
      </c>
      <c r="I540" s="6" t="e">
        <f t="shared" si="168"/>
        <v>#REF!</v>
      </c>
      <c r="J540" s="6" t="s">
        <v>66</v>
      </c>
      <c r="K540" s="6" t="s">
        <v>308</v>
      </c>
      <c r="L540" s="7" t="e">
        <f t="shared" si="169"/>
        <v>#REF!</v>
      </c>
      <c r="M540" s="7" t="s">
        <v>311</v>
      </c>
      <c r="N540" s="7" t="s">
        <v>312</v>
      </c>
      <c r="O540" s="7">
        <f>IF(OR($C540="",$C540="FID YOK"),"",IF(ISNUMBER(MATCH($C540,FA_ANA,0)),"",IF(COUNTIF($C$1:$C539,$C540)&gt;0,"",MAX($O$1:$O539)+1)))</f>
        <v>101</v>
      </c>
      <c r="P540" s="8" t="s">
        <v>78</v>
      </c>
      <c r="Q540" s="7" t="e">
        <f>IF(OR($P540="",$P540="G",ISNA(MATCH($C540,FA,0))),"",IF(N(INDEX(F_G,MATCH($C540,FA,0)))&gt;0,INDEX(F_G,MATCH($C540,FA,0)),IF(N(INDEX(F_MODUL,MATCH($C540,FA,0)))&gt;0,INDEX(F_MODUL,MATCH($C540,FA,0))*MODUL_MM,"")))</f>
        <v>#REF!</v>
      </c>
      <c r="R540" s="7" t="e">
        <f>IF(OR($P540="",$P540="G",ISNA(MATCH($C540,FA,0))),"",IF(N(INDEX(F_Y,MATCH($C540,FA,0)))&gt;0,INDEX(F_Y,MATCH($C540,FA,0)),""))</f>
        <v>#REF!</v>
      </c>
      <c r="S540" s="7" t="e">
        <f>IF(OR($P540="",$P540="G",ISNA(MATCH($C540,FA,0))),"",IF(N(INDEX(F_D,MATCH($C540,FA,0)))&gt;0,INDEX(F_D,MATCH($C540,FA,0)),""))</f>
        <v>#REF!</v>
      </c>
      <c r="T540" s="7">
        <f>IF(ISNA(MATCH($C540,FA,0)),0,IF($J540="GIRIS",N(INDEX(F_INKOR,MATCH($C540,FA,0))),0))</f>
        <v>0</v>
      </c>
      <c r="U540" s="7" t="e">
        <f t="shared" si="174"/>
        <v>#REF!</v>
      </c>
      <c r="V540" s="7" t="str">
        <f t="shared" si="175"/>
        <v/>
      </c>
      <c r="W540" s="7" t="e">
        <f>IF(OR(NOT(ISNUMBER($P540)),$Q540=""),"",N(#REF!)*($Q540+IF(ISNA(MATCH($B540,TIP_AD,0)),0,N(INDEX(TIP_BOSLUK,MATCH($B540,TIP_AD,0))))))</f>
        <v>#REF!</v>
      </c>
      <c r="X540" s="7" t="e">
        <f>IF(ISNUMBER($P540),($Q540="")+($R540="")+($V540="")+IF(AND($U540="KONTAKTOR",NOT(ISNA(MATCH($B540,TIP_AD,0)))),IF(INDEX(TIP_BOSLUK,MATCH($B540,TIP_AD,0))&amp;""="",1,0),0),IF($P540="K",IF($S540="",1,0),0))</f>
        <v>#REF!</v>
      </c>
      <c r="Y540" s="7" t="e">
        <f>N(#REF!)*IF($E540="упак",MAX(1,IF(ISNA(MATCH($C540,FA,0)),1,N(INDEX(F_PAKET,MATCH($C540,FA,0))))),1)</f>
        <v>#REF!</v>
      </c>
      <c r="Z540" s="7" t="e">
        <f t="shared" si="170"/>
        <v>#REF!</v>
      </c>
      <c r="AA540" s="7" t="e">
        <f>IF(OR(ISNA(MATCH($C540,FA,0)),$J540="YEDEK",$J540="SARF"),0,N(#REF!)*N(INDEX(F_TEL,MATCH($C540,FA,0))))</f>
        <v>#REF!</v>
      </c>
      <c r="AB540" s="7" t="e">
        <f>IF(OR(ISNA(MATCH($C540,FA,0)),$J540="YEDEK",$J540="SARF"),0,N(#REF!)*N(INDEX(F_TELM,MATCH($C540,FA,0))))</f>
        <v>#REF!</v>
      </c>
      <c r="AC540" s="7" t="e">
        <f t="shared" si="171"/>
        <v>#REF!</v>
      </c>
      <c r="AD540" s="7">
        <f>IF(OR(ISNA(MATCH($C540,FA,0)),$J540&lt;&gt;"CIKIS"),0,N(INDEX(F_KK,MATCH($C540,FA,0))))</f>
        <v>0</v>
      </c>
      <c r="AE540" s="7">
        <f>IF($AD540=0,0,N(#REF!)*N(INDEX(F_KLN,MATCH($C540,FA,0))))</f>
        <v>0</v>
      </c>
      <c r="AF540" s="7">
        <f>IF($AD540=0,0,N(#REF!)*N(INDEX(F_KPE,MATCH($C540,FA,0))))</f>
        <v>0</v>
      </c>
      <c r="AG540" s="7" t="e">
        <f>IF(ISNA(MATCH($C540,FA,0)),0,N(#REF!)*N(INDEX(F_MODUL,MATCH($C540,FA,0))))</f>
        <v>#REF!</v>
      </c>
      <c r="AH540" s="7" t="e">
        <f>N(#REF!)*N($I540)</f>
        <v>#REF!</v>
      </c>
      <c r="AI540" s="7" t="e">
        <f t="shared" si="172"/>
        <v>#REF!</v>
      </c>
      <c r="AJ540" s="7">
        <f t="shared" si="173"/>
        <v>0</v>
      </c>
    </row>
    <row r="541" spans="1:36" x14ac:dyDescent="0.25">
      <c r="A541" s="4" t="str">
        <f t="shared" si="167"/>
        <v>ЩОФ-1 ... ЩОФ-6 (ЩУФО) (260922 akram aulet)</v>
      </c>
      <c r="B541" s="4" t="s">
        <v>313</v>
      </c>
      <c r="C541" s="4" t="s">
        <v>475</v>
      </c>
      <c r="D541" s="4" t="s">
        <v>476</v>
      </c>
      <c r="E541" s="4" t="s">
        <v>114</v>
      </c>
      <c r="F541" s="4" t="s">
        <v>377</v>
      </c>
      <c r="G541" s="4" t="s">
        <v>290</v>
      </c>
      <c r="H541" s="5" t="e">
        <f>#REF!</f>
        <v>#REF!</v>
      </c>
      <c r="I541" s="6" t="e">
        <f t="shared" si="168"/>
        <v>#REF!</v>
      </c>
      <c r="J541" s="6" t="s">
        <v>66</v>
      </c>
      <c r="K541" s="6" t="s">
        <v>313</v>
      </c>
      <c r="L541" s="7" t="e">
        <f t="shared" si="169"/>
        <v>#REF!</v>
      </c>
      <c r="M541" s="7" t="s">
        <v>314</v>
      </c>
      <c r="N541" s="7" t="s">
        <v>315</v>
      </c>
      <c r="O541" s="7">
        <f>IF(OR($C541="",$C541="FID YOK"),"",IF(ISNUMBER(MATCH($C541,FA_ANA,0)),"",IF(COUNTIF($C$1:$C540,$C541)&gt;0,"",MAX($O$1:$O540)+1)))</f>
        <v>102</v>
      </c>
      <c r="P541" s="8" t="s">
        <v>78</v>
      </c>
      <c r="Q541" s="7" t="e">
        <f>IF(OR($P541="",$P541="G",ISNA(MATCH($C541,FA,0))),"",IF(N(INDEX(F_G,MATCH($C541,FA,0)))&gt;0,INDEX(F_G,MATCH($C541,FA,0)),IF(N(INDEX(F_MODUL,MATCH($C541,FA,0)))&gt;0,INDEX(F_MODUL,MATCH($C541,FA,0))*MODUL_MM,"")))</f>
        <v>#REF!</v>
      </c>
      <c r="R541" s="7" t="e">
        <f>IF(OR($P541="",$P541="G",ISNA(MATCH($C541,FA,0))),"",IF(N(INDEX(F_Y,MATCH($C541,FA,0)))&gt;0,INDEX(F_Y,MATCH($C541,FA,0)),""))</f>
        <v>#REF!</v>
      </c>
      <c r="S541" s="7" t="e">
        <f>IF(OR($P541="",$P541="G",ISNA(MATCH($C541,FA,0))),"",IF(N(INDEX(F_D,MATCH($C541,FA,0)))&gt;0,INDEX(F_D,MATCH($C541,FA,0)),""))</f>
        <v>#REF!</v>
      </c>
      <c r="T541" s="7">
        <f>IF(ISNA(MATCH($C541,FA,0)),0,IF($J541="GIRIS",N(INDEX(F_INKOR,MATCH($C541,FA,0))),0))</f>
        <v>0</v>
      </c>
      <c r="U541" s="7" t="e">
        <f t="shared" si="174"/>
        <v>#REF!</v>
      </c>
      <c r="V541" s="7" t="str">
        <f t="shared" si="175"/>
        <v/>
      </c>
      <c r="W541" s="7" t="e">
        <f>IF(OR(NOT(ISNUMBER($P541)),$Q541=""),"",N(#REF!)*($Q541+IF(ISNA(MATCH($B541,TIP_AD,0)),0,N(INDEX(TIP_BOSLUK,MATCH($B541,TIP_AD,0))))))</f>
        <v>#REF!</v>
      </c>
      <c r="X541" s="7" t="e">
        <f>IF(ISNUMBER($P541),($Q541="")+($R541="")+($V541="")+IF(AND($U541="KONTAKTOR",NOT(ISNA(MATCH($B541,TIP_AD,0)))),IF(INDEX(TIP_BOSLUK,MATCH($B541,TIP_AD,0))&amp;""="",1,0),0),IF($P541="K",IF($S541="",1,0),0))</f>
        <v>#REF!</v>
      </c>
      <c r="Y541" s="7" t="e">
        <f>N(#REF!)*IF($E541="упак",MAX(1,IF(ISNA(MATCH($C541,FA,0)),1,N(INDEX(F_PAKET,MATCH($C541,FA,0))))),1)</f>
        <v>#REF!</v>
      </c>
      <c r="Z541" s="7" t="e">
        <f t="shared" si="170"/>
        <v>#REF!</v>
      </c>
      <c r="AA541" s="7" t="e">
        <f>IF(OR(ISNA(MATCH($C541,FA,0)),$J541="YEDEK",$J541="SARF"),0,N(#REF!)*N(INDEX(F_TEL,MATCH($C541,FA,0))))</f>
        <v>#REF!</v>
      </c>
      <c r="AB541" s="7" t="e">
        <f>IF(OR(ISNA(MATCH($C541,FA,0)),$J541="YEDEK",$J541="SARF"),0,N(#REF!)*N(INDEX(F_TELM,MATCH($C541,FA,0))))</f>
        <v>#REF!</v>
      </c>
      <c r="AC541" s="7" t="e">
        <f t="shared" si="171"/>
        <v>#REF!</v>
      </c>
      <c r="AD541" s="7">
        <f>IF(OR(ISNA(MATCH($C541,FA,0)),$J541&lt;&gt;"CIKIS"),0,N(INDEX(F_KK,MATCH($C541,FA,0))))</f>
        <v>0</v>
      </c>
      <c r="AE541" s="7">
        <f>IF($AD541=0,0,N(#REF!)*N(INDEX(F_KLN,MATCH($C541,FA,0))))</f>
        <v>0</v>
      </c>
      <c r="AF541" s="7">
        <f>IF($AD541=0,0,N(#REF!)*N(INDEX(F_KPE,MATCH($C541,FA,0))))</f>
        <v>0</v>
      </c>
      <c r="AG541" s="7" t="e">
        <f>IF(ISNA(MATCH($C541,FA,0)),0,N(#REF!)*N(INDEX(F_MODUL,MATCH($C541,FA,0))))</f>
        <v>#REF!</v>
      </c>
      <c r="AH541" s="7" t="e">
        <f>N(#REF!)*N($I541)</f>
        <v>#REF!</v>
      </c>
      <c r="AI541" s="7" t="e">
        <f t="shared" si="172"/>
        <v>#REF!</v>
      </c>
      <c r="AJ541" s="7">
        <f t="shared" si="173"/>
        <v>0</v>
      </c>
    </row>
    <row r="542" spans="1:36" x14ac:dyDescent="0.25">
      <c r="A542" s="4" t="str">
        <f t="shared" si="167"/>
        <v>ЩОФ-1 ... ЩОФ-6 (ЩУФО) (260922 akram aulet)</v>
      </c>
      <c r="B542" s="4" t="s">
        <v>75</v>
      </c>
      <c r="C542" s="4" t="s">
        <v>467</v>
      </c>
      <c r="D542" s="4" t="s">
        <v>468</v>
      </c>
      <c r="E542" s="4" t="s">
        <v>114</v>
      </c>
      <c r="F542" s="4" t="s">
        <v>377</v>
      </c>
      <c r="G542" s="4" t="s">
        <v>290</v>
      </c>
      <c r="H542" s="5" t="e">
        <f>#REF!</f>
        <v>#REF!</v>
      </c>
      <c r="I542" s="6" t="e">
        <f t="shared" si="168"/>
        <v>#REF!</v>
      </c>
      <c r="J542" s="6" t="s">
        <v>66</v>
      </c>
      <c r="K542" s="6" t="s">
        <v>75</v>
      </c>
      <c r="L542" s="7" t="e">
        <f t="shared" si="169"/>
        <v>#REF!</v>
      </c>
      <c r="M542" s="7" t="s">
        <v>316</v>
      </c>
      <c r="N542" s="7" t="s">
        <v>80</v>
      </c>
      <c r="O542" s="7" t="str">
        <f>IF(OR($C542="",$C542="FID YOK"),"",IF(ISNUMBER(MATCH($C542,FA_ANA,0)),"",IF(COUNTIF($C$1:$C541,$C542)&gt;0,"",MAX($O$1:$O541)+1)))</f>
        <v/>
      </c>
      <c r="P542" s="8" t="s">
        <v>78</v>
      </c>
      <c r="Q542" s="7" t="e">
        <f>IF(OR($P542="",$P542="G",ISNA(MATCH($C542,FA,0))),"",IF(N(INDEX(F_G,MATCH($C542,FA,0)))&gt;0,INDEX(F_G,MATCH($C542,FA,0)),IF(N(INDEX(F_MODUL,MATCH($C542,FA,0)))&gt;0,INDEX(F_MODUL,MATCH($C542,FA,0))*MODUL_MM,"")))</f>
        <v>#REF!</v>
      </c>
      <c r="R542" s="7" t="e">
        <f>IF(OR($P542="",$P542="G",ISNA(MATCH($C542,FA,0))),"",IF(N(INDEX(F_Y,MATCH($C542,FA,0)))&gt;0,INDEX(F_Y,MATCH($C542,FA,0)),""))</f>
        <v>#REF!</v>
      </c>
      <c r="S542" s="7" t="e">
        <f>IF(OR($P542="",$P542="G",ISNA(MATCH($C542,FA,0))),"",IF(N(INDEX(F_D,MATCH($C542,FA,0)))&gt;0,INDEX(F_D,MATCH($C542,FA,0)),""))</f>
        <v>#REF!</v>
      </c>
      <c r="T542" s="7">
        <f>IF(ISNA(MATCH($C542,FA,0)),0,IF($J542="GIRIS",N(INDEX(F_INKOR,MATCH($C542,FA,0))),0))</f>
        <v>0</v>
      </c>
      <c r="U542" s="7" t="e">
        <f t="shared" si="174"/>
        <v>#REF!</v>
      </c>
      <c r="V542" s="7" t="str">
        <f t="shared" si="175"/>
        <v/>
      </c>
      <c r="W542" s="7" t="e">
        <f>IF(OR(NOT(ISNUMBER($P542)),$Q542=""),"",N(#REF!)*($Q542+IF(ISNA(MATCH($B542,TIP_AD,0)),0,N(INDEX(TIP_BOSLUK,MATCH($B542,TIP_AD,0))))))</f>
        <v>#REF!</v>
      </c>
      <c r="X542" s="7" t="e">
        <f>IF(ISNUMBER($P542),($Q542="")+($R542="")+($V542="")+IF(AND($U542="KONTAKTOR",NOT(ISNA(MATCH($B542,TIP_AD,0)))),IF(INDEX(TIP_BOSLUK,MATCH($B542,TIP_AD,0))&amp;""="",1,0),0),IF($P542="K",IF($S542="",1,0),0))</f>
        <v>#REF!</v>
      </c>
      <c r="Y542" s="7" t="e">
        <f>N(#REF!)*IF($E542="упак",MAX(1,IF(ISNA(MATCH($C542,FA,0)),1,N(INDEX(F_PAKET,MATCH($C542,FA,0))))),1)</f>
        <v>#REF!</v>
      </c>
      <c r="Z542" s="7" t="e">
        <f t="shared" si="170"/>
        <v>#REF!</v>
      </c>
      <c r="AA542" s="7" t="e">
        <f>IF(OR(ISNA(MATCH($C542,FA,0)),$J542="YEDEK",$J542="SARF"),0,N(#REF!)*N(INDEX(F_TEL,MATCH($C542,FA,0))))</f>
        <v>#REF!</v>
      </c>
      <c r="AB542" s="7" t="e">
        <f>IF(OR(ISNA(MATCH($C542,FA,0)),$J542="YEDEK",$J542="SARF"),0,N(#REF!)*N(INDEX(F_TELM,MATCH($C542,FA,0))))</f>
        <v>#REF!</v>
      </c>
      <c r="AC542" s="7" t="e">
        <f t="shared" si="171"/>
        <v>#REF!</v>
      </c>
      <c r="AD542" s="7">
        <f>IF(OR(ISNA(MATCH($C542,FA,0)),$J542&lt;&gt;"CIKIS"),0,N(INDEX(F_KK,MATCH($C542,FA,0))))</f>
        <v>0</v>
      </c>
      <c r="AE542" s="7">
        <f>IF($AD542=0,0,N(#REF!)*N(INDEX(F_KLN,MATCH($C542,FA,0))))</f>
        <v>0</v>
      </c>
      <c r="AF542" s="7">
        <f>IF($AD542=0,0,N(#REF!)*N(INDEX(F_KPE,MATCH($C542,FA,0))))</f>
        <v>0</v>
      </c>
      <c r="AG542" s="7" t="e">
        <f>IF(ISNA(MATCH($C542,FA,0)),0,N(#REF!)*N(INDEX(F_MODUL,MATCH($C542,FA,0))))</f>
        <v>#REF!</v>
      </c>
      <c r="AH542" s="7" t="e">
        <f>N(#REF!)*N($I542)</f>
        <v>#REF!</v>
      </c>
      <c r="AI542" s="7" t="e">
        <f t="shared" si="172"/>
        <v>#REF!</v>
      </c>
      <c r="AJ542" s="7">
        <f t="shared" si="173"/>
        <v>0</v>
      </c>
    </row>
    <row r="543" spans="1:36" x14ac:dyDescent="0.25">
      <c r="A543" s="4" t="str">
        <f t="shared" si="167"/>
        <v>ЩОФ-1 ... ЩОФ-6 (ЩУФО) (260922 akram aulet)</v>
      </c>
      <c r="B543" s="4" t="s">
        <v>202</v>
      </c>
      <c r="C543" s="4" t="s">
        <v>583</v>
      </c>
      <c r="D543" s="4" t="s">
        <v>584</v>
      </c>
      <c r="E543" s="4" t="s">
        <v>114</v>
      </c>
      <c r="F543" s="4" t="s">
        <v>486</v>
      </c>
      <c r="G543" s="4" t="s">
        <v>290</v>
      </c>
      <c r="H543" s="5" t="e">
        <f>#REF!</f>
        <v>#REF!</v>
      </c>
      <c r="I543" s="6" t="e">
        <f t="shared" si="168"/>
        <v>#REF!</v>
      </c>
      <c r="J543" s="6" t="s">
        <v>84</v>
      </c>
      <c r="K543" s="6" t="s">
        <v>202</v>
      </c>
      <c r="L543" s="7" t="e">
        <f t="shared" si="169"/>
        <v>#REF!</v>
      </c>
      <c r="M543" s="7" t="s">
        <v>203</v>
      </c>
      <c r="O543" s="7" t="str">
        <f>IF(OR($C543="",$C543="FID YOK"),"",IF(ISNUMBER(MATCH($C543,FA_ANA,0)),"",IF(COUNTIF($C$1:$C542,$C543)&gt;0,"",MAX($O$1:$O542)+1)))</f>
        <v/>
      </c>
      <c r="T543" s="7">
        <f>IF(ISNA(MATCH($C543,FA,0)),0,IF($J543="GIRIS",N(INDEX(F_INKOR,MATCH($C543,FA,0))),0))</f>
        <v>0</v>
      </c>
      <c r="Y543" s="7" t="e">
        <f>N(#REF!)*IF($E543="упак",MAX(1,IF(ISNA(MATCH($C543,FA,0)),1,N(INDEX(F_PAKET,MATCH($C543,FA,0))))),1)</f>
        <v>#REF!</v>
      </c>
      <c r="Z543" s="7" t="e">
        <f t="shared" si="170"/>
        <v>#REF!</v>
      </c>
      <c r="AA543" s="7">
        <f>IF(OR(ISNA(MATCH($C543,FA,0)),$J543="YEDEK",$J543="SARF"),0,N(#REF!)*N(INDEX(F_TEL,MATCH($C543,FA,0))))</f>
        <v>0</v>
      </c>
      <c r="AB543" s="7">
        <f>IF(OR(ISNA(MATCH($C543,FA,0)),$J543="YEDEK",$J543="SARF"),0,N(#REF!)*N(INDEX(F_TELM,MATCH($C543,FA,0))))</f>
        <v>0</v>
      </c>
      <c r="AC543" s="7" t="e">
        <f t="shared" si="171"/>
        <v>#REF!</v>
      </c>
      <c r="AD543" s="7">
        <f>IF(OR(ISNA(MATCH($C543,FA,0)),$J543&lt;&gt;"CIKIS"),0,N(INDEX(F_KK,MATCH($C543,FA,0))))</f>
        <v>0</v>
      </c>
      <c r="AE543" s="7">
        <f>IF($AD543=0,0,N(#REF!)*N(INDEX(F_KLN,MATCH($C543,FA,0))))</f>
        <v>0</v>
      </c>
      <c r="AF543" s="7">
        <f>IF($AD543=0,0,N(#REF!)*N(INDEX(F_KPE,MATCH($C543,FA,0))))</f>
        <v>0</v>
      </c>
      <c r="AG543" s="7" t="e">
        <f>IF(ISNA(MATCH($C543,FA,0)),0,N(#REF!)*N(INDEX(F_MODUL,MATCH($C543,FA,0))))</f>
        <v>#REF!</v>
      </c>
      <c r="AH543" s="7" t="e">
        <f>N(#REF!)*N($I543)</f>
        <v>#REF!</v>
      </c>
      <c r="AI543" s="7" t="e">
        <f t="shared" si="172"/>
        <v>#REF!</v>
      </c>
      <c r="AJ543" s="7">
        <f t="shared" si="173"/>
        <v>0</v>
      </c>
    </row>
    <row r="544" spans="1:36" x14ac:dyDescent="0.25">
      <c r="A544" s="4" t="str">
        <f t="shared" si="167"/>
        <v>ЩОФ-1 ... ЩОФ-6 (ЩУФО) (260922 akram aulet)</v>
      </c>
      <c r="B544" s="4" t="s">
        <v>202</v>
      </c>
      <c r="C544" s="4" t="s">
        <v>577</v>
      </c>
      <c r="D544" s="4" t="s">
        <v>578</v>
      </c>
      <c r="E544" s="4" t="s">
        <v>114</v>
      </c>
      <c r="F544" s="4" t="s">
        <v>486</v>
      </c>
      <c r="G544" s="4" t="s">
        <v>290</v>
      </c>
      <c r="H544" s="5" t="e">
        <f>#REF!</f>
        <v>#REF!</v>
      </c>
      <c r="I544" s="6" t="e">
        <f t="shared" si="168"/>
        <v>#REF!</v>
      </c>
      <c r="J544" s="6" t="s">
        <v>84</v>
      </c>
      <c r="K544" s="6" t="s">
        <v>202</v>
      </c>
      <c r="L544" s="7" t="e">
        <f t="shared" si="169"/>
        <v>#REF!</v>
      </c>
      <c r="M544" s="7" t="s">
        <v>204</v>
      </c>
      <c r="O544" s="7" t="str">
        <f>IF(OR($C544="",$C544="FID YOK"),"",IF(ISNUMBER(MATCH($C544,FA_ANA,0)),"",IF(COUNTIF($C$1:$C543,$C544)&gt;0,"",MAX($O$1:$O543)+1)))</f>
        <v/>
      </c>
      <c r="T544" s="7">
        <f>IF(ISNA(MATCH($C544,FA,0)),0,IF($J544="GIRIS",N(INDEX(F_INKOR,MATCH($C544,FA,0))),0))</f>
        <v>0</v>
      </c>
      <c r="Y544" s="7" t="e">
        <f>N(#REF!)*IF($E544="упак",MAX(1,IF(ISNA(MATCH($C544,FA,0)),1,N(INDEX(F_PAKET,MATCH($C544,FA,0))))),1)</f>
        <v>#REF!</v>
      </c>
      <c r="Z544" s="7" t="e">
        <f t="shared" si="170"/>
        <v>#REF!</v>
      </c>
      <c r="AA544" s="7">
        <f>IF(OR(ISNA(MATCH($C544,FA,0)),$J544="YEDEK",$J544="SARF"),0,N(#REF!)*N(INDEX(F_TEL,MATCH($C544,FA,0))))</f>
        <v>0</v>
      </c>
      <c r="AB544" s="7">
        <f>IF(OR(ISNA(MATCH($C544,FA,0)),$J544="YEDEK",$J544="SARF"),0,N(#REF!)*N(INDEX(F_TELM,MATCH($C544,FA,0))))</f>
        <v>0</v>
      </c>
      <c r="AC544" s="7" t="e">
        <f t="shared" si="171"/>
        <v>#REF!</v>
      </c>
      <c r="AD544" s="7">
        <f>IF(OR(ISNA(MATCH($C544,FA,0)),$J544&lt;&gt;"CIKIS"),0,N(INDEX(F_KK,MATCH($C544,FA,0))))</f>
        <v>0</v>
      </c>
      <c r="AE544" s="7">
        <f>IF($AD544=0,0,N(#REF!)*N(INDEX(F_KLN,MATCH($C544,FA,0))))</f>
        <v>0</v>
      </c>
      <c r="AF544" s="7">
        <f>IF($AD544=0,0,N(#REF!)*N(INDEX(F_KPE,MATCH($C544,FA,0))))</f>
        <v>0</v>
      </c>
      <c r="AG544" s="7" t="e">
        <f>IF(ISNA(MATCH($C544,FA,0)),0,N(#REF!)*N(INDEX(F_MODUL,MATCH($C544,FA,0))))</f>
        <v>#REF!</v>
      </c>
      <c r="AH544" s="7" t="e">
        <f>N(#REF!)*N($I544)</f>
        <v>#REF!</v>
      </c>
      <c r="AI544" s="7" t="e">
        <f t="shared" si="172"/>
        <v>#REF!</v>
      </c>
      <c r="AJ544" s="7">
        <f t="shared" si="173"/>
        <v>0</v>
      </c>
    </row>
    <row r="545" spans="1:36" x14ac:dyDescent="0.25">
      <c r="A545" s="4" t="str">
        <f t="shared" si="167"/>
        <v>ЩОФ-1 ... ЩОФ-6 (ЩУФО) (260922 akram aulet)</v>
      </c>
      <c r="B545" s="4" t="s">
        <v>92</v>
      </c>
      <c r="C545" s="4" t="s">
        <v>523</v>
      </c>
      <c r="D545" s="4" t="s">
        <v>524</v>
      </c>
      <c r="E545" s="4" t="s">
        <v>520</v>
      </c>
      <c r="F545" s="4" t="s">
        <v>521</v>
      </c>
      <c r="G545" s="4" t="s">
        <v>290</v>
      </c>
      <c r="H545" s="5" t="e">
        <f>#REF!</f>
        <v>#REF!</v>
      </c>
      <c r="I545" s="6" t="e">
        <f t="shared" si="168"/>
        <v>#REF!</v>
      </c>
      <c r="J545" s="6" t="s">
        <v>84</v>
      </c>
      <c r="K545" s="6" t="s">
        <v>92</v>
      </c>
      <c r="L545" s="7" t="e">
        <f t="shared" si="169"/>
        <v>#REF!</v>
      </c>
      <c r="M545" s="7" t="s">
        <v>93</v>
      </c>
      <c r="O545" s="7" t="str">
        <f>IF(OR($C545="",$C545="FID YOK"),"",IF(ISNUMBER(MATCH($C545,FA_ANA,0)),"",IF(COUNTIF($C$1:$C544,$C545)&gt;0,"",MAX($O$1:$O544)+1)))</f>
        <v/>
      </c>
      <c r="T545" s="7">
        <f>IF(ISNA(MATCH($C545,FA,0)),0,IF($J545="GIRIS",N(INDEX(F_INKOR,MATCH($C545,FA,0))),0))</f>
        <v>0</v>
      </c>
      <c r="Y545" s="7" t="e">
        <f>N(#REF!)*IF($E545="упак",MAX(1,IF(ISNA(MATCH($C545,FA,0)),1,N(INDEX(F_PAKET,MATCH($C545,FA,0))))),1)</f>
        <v>#REF!</v>
      </c>
      <c r="Z545" s="7" t="e">
        <f t="shared" si="170"/>
        <v>#REF!</v>
      </c>
      <c r="AA545" s="7">
        <f>IF(OR(ISNA(MATCH($C545,FA,0)),$J545="YEDEK",$J545="SARF"),0,N(#REF!)*N(INDEX(F_TEL,MATCH($C545,FA,0))))</f>
        <v>0</v>
      </c>
      <c r="AB545" s="7">
        <f>IF(OR(ISNA(MATCH($C545,FA,0)),$J545="YEDEK",$J545="SARF"),0,N(#REF!)*N(INDEX(F_TELM,MATCH($C545,FA,0))))</f>
        <v>0</v>
      </c>
      <c r="AC545" s="7" t="e">
        <f t="shared" si="171"/>
        <v>#REF!</v>
      </c>
      <c r="AD545" s="7">
        <f>IF(OR(ISNA(MATCH($C545,FA,0)),$J545&lt;&gt;"CIKIS"),0,N(INDEX(F_KK,MATCH($C545,FA,0))))</f>
        <v>0</v>
      </c>
      <c r="AE545" s="7">
        <f>IF($AD545=0,0,N(#REF!)*N(INDEX(F_KLN,MATCH($C545,FA,0))))</f>
        <v>0</v>
      </c>
      <c r="AF545" s="7">
        <f>IF($AD545=0,0,N(#REF!)*N(INDEX(F_KPE,MATCH($C545,FA,0))))</f>
        <v>0</v>
      </c>
      <c r="AG545" s="7" t="e">
        <f>IF(ISNA(MATCH($C545,FA,0)),0,N(#REF!)*N(INDEX(F_MODUL,MATCH($C545,FA,0))))</f>
        <v>#REF!</v>
      </c>
      <c r="AH545" s="7" t="e">
        <f>N(#REF!)*N($I545)</f>
        <v>#REF!</v>
      </c>
      <c r="AI545" s="7" t="e">
        <f t="shared" si="172"/>
        <v>#REF!</v>
      </c>
      <c r="AJ545" s="7">
        <f t="shared" si="173"/>
        <v>0</v>
      </c>
    </row>
    <row r="546" spans="1:36" x14ac:dyDescent="0.25">
      <c r="A546" s="4" t="str">
        <f t="shared" si="167"/>
        <v>ЩОФ-1 ... ЩОФ-6 (ЩУФО) (260922 akram aulet)</v>
      </c>
      <c r="B546" s="4" t="s">
        <v>92</v>
      </c>
      <c r="C546" s="4" t="s">
        <v>527</v>
      </c>
      <c r="D546" s="4" t="s">
        <v>528</v>
      </c>
      <c r="E546" s="4" t="s">
        <v>520</v>
      </c>
      <c r="F546" s="4" t="s">
        <v>521</v>
      </c>
      <c r="G546" s="4" t="s">
        <v>290</v>
      </c>
      <c r="H546" s="5" t="e">
        <f>#REF!</f>
        <v>#REF!</v>
      </c>
      <c r="I546" s="6" t="e">
        <f t="shared" si="168"/>
        <v>#REF!</v>
      </c>
      <c r="J546" s="6" t="s">
        <v>84</v>
      </c>
      <c r="K546" s="6" t="s">
        <v>92</v>
      </c>
      <c r="L546" s="7" t="e">
        <f t="shared" si="169"/>
        <v>#REF!</v>
      </c>
      <c r="M546" s="7" t="s">
        <v>94</v>
      </c>
      <c r="O546" s="7" t="str">
        <f>IF(OR($C546="",$C546="FID YOK"),"",IF(ISNUMBER(MATCH($C546,FA_ANA,0)),"",IF(COUNTIF($C$1:$C545,$C546)&gt;0,"",MAX($O$1:$O545)+1)))</f>
        <v/>
      </c>
      <c r="T546" s="7">
        <f>IF(ISNA(MATCH($C546,FA,0)),0,IF($J546="GIRIS",N(INDEX(F_INKOR,MATCH($C546,FA,0))),0))</f>
        <v>0</v>
      </c>
      <c r="Y546" s="7" t="e">
        <f>N(#REF!)*IF($E546="упак",MAX(1,IF(ISNA(MATCH($C546,FA,0)),1,N(INDEX(F_PAKET,MATCH($C546,FA,0))))),1)</f>
        <v>#REF!</v>
      </c>
      <c r="Z546" s="7" t="e">
        <f t="shared" si="170"/>
        <v>#REF!</v>
      </c>
      <c r="AA546" s="7">
        <f>IF(OR(ISNA(MATCH($C546,FA,0)),$J546="YEDEK",$J546="SARF"),0,N(#REF!)*N(INDEX(F_TEL,MATCH($C546,FA,0))))</f>
        <v>0</v>
      </c>
      <c r="AB546" s="7">
        <f>IF(OR(ISNA(MATCH($C546,FA,0)),$J546="YEDEK",$J546="SARF"),0,N(#REF!)*N(INDEX(F_TELM,MATCH($C546,FA,0))))</f>
        <v>0</v>
      </c>
      <c r="AC546" s="7" t="e">
        <f t="shared" si="171"/>
        <v>#REF!</v>
      </c>
      <c r="AD546" s="7">
        <f>IF(OR(ISNA(MATCH($C546,FA,0)),$J546&lt;&gt;"CIKIS"),0,N(INDEX(F_KK,MATCH($C546,FA,0))))</f>
        <v>0</v>
      </c>
      <c r="AE546" s="7">
        <f>IF($AD546=0,0,N(#REF!)*N(INDEX(F_KLN,MATCH($C546,FA,0))))</f>
        <v>0</v>
      </c>
      <c r="AF546" s="7">
        <f>IF($AD546=0,0,N(#REF!)*N(INDEX(F_KPE,MATCH($C546,FA,0))))</f>
        <v>0</v>
      </c>
      <c r="AG546" s="7" t="e">
        <f>IF(ISNA(MATCH($C546,FA,0)),0,N(#REF!)*N(INDEX(F_MODUL,MATCH($C546,FA,0))))</f>
        <v>#REF!</v>
      </c>
      <c r="AH546" s="7" t="e">
        <f>N(#REF!)*N($I546)</f>
        <v>#REF!</v>
      </c>
      <c r="AI546" s="7" t="e">
        <f t="shared" si="172"/>
        <v>#REF!</v>
      </c>
      <c r="AJ546" s="7">
        <f t="shared" si="173"/>
        <v>0</v>
      </c>
    </row>
    <row r="547" spans="1:36" x14ac:dyDescent="0.25">
      <c r="A547" s="4" t="str">
        <f t="shared" si="167"/>
        <v>ЩОФ-1 ... ЩОФ-6 (ЩУФО) (260922 akram aulet)</v>
      </c>
      <c r="B547" s="4" t="s">
        <v>92</v>
      </c>
      <c r="C547" s="4" t="s">
        <v>531</v>
      </c>
      <c r="D547" s="4" t="s">
        <v>532</v>
      </c>
      <c r="E547" s="4" t="s">
        <v>520</v>
      </c>
      <c r="F547" s="4" t="s">
        <v>521</v>
      </c>
      <c r="G547" s="4" t="s">
        <v>290</v>
      </c>
      <c r="H547" s="5" t="e">
        <f>#REF!</f>
        <v>#REF!</v>
      </c>
      <c r="I547" s="6" t="e">
        <f t="shared" si="168"/>
        <v>#REF!</v>
      </c>
      <c r="J547" s="6" t="s">
        <v>84</v>
      </c>
      <c r="K547" s="6" t="s">
        <v>92</v>
      </c>
      <c r="L547" s="7" t="e">
        <f t="shared" si="169"/>
        <v>#REF!</v>
      </c>
      <c r="M547" s="7" t="s">
        <v>95</v>
      </c>
      <c r="O547" s="7" t="str">
        <f>IF(OR($C547="",$C547="FID YOK"),"",IF(ISNUMBER(MATCH($C547,FA_ANA,0)),"",IF(COUNTIF($C$1:$C546,$C547)&gt;0,"",MAX($O$1:$O546)+1)))</f>
        <v/>
      </c>
      <c r="T547" s="7">
        <f>IF(ISNA(MATCH($C547,FA,0)),0,IF($J547="GIRIS",N(INDEX(F_INKOR,MATCH($C547,FA,0))),0))</f>
        <v>0</v>
      </c>
      <c r="Y547" s="7" t="e">
        <f>N(#REF!)*IF($E547="упак",MAX(1,IF(ISNA(MATCH($C547,FA,0)),1,N(INDEX(F_PAKET,MATCH($C547,FA,0))))),1)</f>
        <v>#REF!</v>
      </c>
      <c r="Z547" s="7" t="e">
        <f t="shared" si="170"/>
        <v>#REF!</v>
      </c>
      <c r="AA547" s="7">
        <f>IF(OR(ISNA(MATCH($C547,FA,0)),$J547="YEDEK",$J547="SARF"),0,N(#REF!)*N(INDEX(F_TEL,MATCH($C547,FA,0))))</f>
        <v>0</v>
      </c>
      <c r="AB547" s="7">
        <f>IF(OR(ISNA(MATCH($C547,FA,0)),$J547="YEDEK",$J547="SARF"),0,N(#REF!)*N(INDEX(F_TELM,MATCH($C547,FA,0))))</f>
        <v>0</v>
      </c>
      <c r="AC547" s="7" t="e">
        <f t="shared" si="171"/>
        <v>#REF!</v>
      </c>
      <c r="AD547" s="7">
        <f>IF(OR(ISNA(MATCH($C547,FA,0)),$J547&lt;&gt;"CIKIS"),0,N(INDEX(F_KK,MATCH($C547,FA,0))))</f>
        <v>0</v>
      </c>
      <c r="AE547" s="7">
        <f>IF($AD547=0,0,N(#REF!)*N(INDEX(F_KLN,MATCH($C547,FA,0))))</f>
        <v>0</v>
      </c>
      <c r="AF547" s="7">
        <f>IF($AD547=0,0,N(#REF!)*N(INDEX(F_KPE,MATCH($C547,FA,0))))</f>
        <v>0</v>
      </c>
      <c r="AG547" s="7" t="e">
        <f>IF(ISNA(MATCH($C547,FA,0)),0,N(#REF!)*N(INDEX(F_MODUL,MATCH($C547,FA,0))))</f>
        <v>#REF!</v>
      </c>
      <c r="AH547" s="7" t="e">
        <f>N(#REF!)*N($I547)</f>
        <v>#REF!</v>
      </c>
      <c r="AI547" s="7" t="e">
        <f t="shared" si="172"/>
        <v>#REF!</v>
      </c>
      <c r="AJ547" s="7">
        <f t="shared" si="173"/>
        <v>0</v>
      </c>
    </row>
    <row r="548" spans="1:36" x14ac:dyDescent="0.25">
      <c r="A548" s="4" t="str">
        <f t="shared" si="167"/>
        <v>ЩОФ-1 ... ЩОФ-6 (ЩУФО) (260922 akram aulet)</v>
      </c>
      <c r="B548" s="4" t="s">
        <v>92</v>
      </c>
      <c r="C548" s="4" t="s">
        <v>535</v>
      </c>
      <c r="D548" s="4" t="s">
        <v>536</v>
      </c>
      <c r="E548" s="4" t="s">
        <v>520</v>
      </c>
      <c r="F548" s="4" t="s">
        <v>521</v>
      </c>
      <c r="G548" s="4" t="s">
        <v>290</v>
      </c>
      <c r="H548" s="5" t="e">
        <f>#REF!</f>
        <v>#REF!</v>
      </c>
      <c r="I548" s="6" t="e">
        <f t="shared" si="168"/>
        <v>#REF!</v>
      </c>
      <c r="J548" s="6" t="s">
        <v>84</v>
      </c>
      <c r="K548" s="6" t="s">
        <v>92</v>
      </c>
      <c r="L548" s="7" t="e">
        <f t="shared" si="169"/>
        <v>#REF!</v>
      </c>
      <c r="M548" s="7" t="s">
        <v>100</v>
      </c>
      <c r="O548" s="7" t="str">
        <f>IF(OR($C548="",$C548="FID YOK"),"",IF(ISNUMBER(MATCH($C548,FA_ANA,0)),"",IF(COUNTIF($C$1:$C547,$C548)&gt;0,"",MAX($O$1:$O547)+1)))</f>
        <v/>
      </c>
      <c r="T548" s="7">
        <f>IF(ISNA(MATCH($C548,FA,0)),0,IF($J548="GIRIS",N(INDEX(F_INKOR,MATCH($C548,FA,0))),0))</f>
        <v>0</v>
      </c>
      <c r="Y548" s="7" t="e">
        <f>N(#REF!)*IF($E548="упак",MAX(1,IF(ISNA(MATCH($C548,FA,0)),1,N(INDEX(F_PAKET,MATCH($C548,FA,0))))),1)</f>
        <v>#REF!</v>
      </c>
      <c r="Z548" s="7" t="e">
        <f t="shared" si="170"/>
        <v>#REF!</v>
      </c>
      <c r="AA548" s="7">
        <f>IF(OR(ISNA(MATCH($C548,FA,0)),$J548="YEDEK",$J548="SARF"),0,N(#REF!)*N(INDEX(F_TEL,MATCH($C548,FA,0))))</f>
        <v>0</v>
      </c>
      <c r="AB548" s="7">
        <f>IF(OR(ISNA(MATCH($C548,FA,0)),$J548="YEDEK",$J548="SARF"),0,N(#REF!)*N(INDEX(F_TELM,MATCH($C548,FA,0))))</f>
        <v>0</v>
      </c>
      <c r="AC548" s="7" t="e">
        <f t="shared" si="171"/>
        <v>#REF!</v>
      </c>
      <c r="AD548" s="7">
        <f>IF(OR(ISNA(MATCH($C548,FA,0)),$J548&lt;&gt;"CIKIS"),0,N(INDEX(F_KK,MATCH($C548,FA,0))))</f>
        <v>0</v>
      </c>
      <c r="AE548" s="7">
        <f>IF($AD548=0,0,N(#REF!)*N(INDEX(F_KLN,MATCH($C548,FA,0))))</f>
        <v>0</v>
      </c>
      <c r="AF548" s="7">
        <f>IF($AD548=0,0,N(#REF!)*N(INDEX(F_KPE,MATCH($C548,FA,0))))</f>
        <v>0</v>
      </c>
      <c r="AG548" s="7" t="e">
        <f>IF(ISNA(MATCH($C548,FA,0)),0,N(#REF!)*N(INDEX(F_MODUL,MATCH($C548,FA,0))))</f>
        <v>#REF!</v>
      </c>
      <c r="AH548" s="7" t="e">
        <f>N(#REF!)*N($I548)</f>
        <v>#REF!</v>
      </c>
      <c r="AI548" s="7" t="e">
        <f t="shared" si="172"/>
        <v>#REF!</v>
      </c>
      <c r="AJ548" s="7">
        <f t="shared" si="173"/>
        <v>0</v>
      </c>
    </row>
    <row r="549" spans="1:36" x14ac:dyDescent="0.25">
      <c r="A549" s="4" t="str">
        <f t="shared" si="167"/>
        <v>ЩОФ-1 ... ЩОФ-6 (ЩУФО) (260922 akram aulet)</v>
      </c>
      <c r="B549" s="4" t="s">
        <v>101</v>
      </c>
      <c r="C549" s="4" t="s">
        <v>525</v>
      </c>
      <c r="D549" s="4" t="s">
        <v>526</v>
      </c>
      <c r="E549" s="4" t="s">
        <v>522</v>
      </c>
      <c r="F549" s="4" t="s">
        <v>486</v>
      </c>
      <c r="G549" s="4" t="s">
        <v>290</v>
      </c>
      <c r="H549" s="5" t="e">
        <f>#REF!</f>
        <v>#REF!</v>
      </c>
      <c r="I549" s="6" t="e">
        <f t="shared" si="168"/>
        <v>#REF!</v>
      </c>
      <c r="J549" s="6" t="s">
        <v>84</v>
      </c>
      <c r="K549" s="6" t="s">
        <v>101</v>
      </c>
      <c r="L549" s="7" t="e">
        <f t="shared" si="169"/>
        <v>#REF!</v>
      </c>
      <c r="M549" s="7" t="s">
        <v>102</v>
      </c>
      <c r="O549" s="7" t="str">
        <f>IF(OR($C549="",$C549="FID YOK"),"",IF(ISNUMBER(MATCH($C549,FA_ANA,0)),"",IF(COUNTIF($C$1:$C548,$C549)&gt;0,"",MAX($O$1:$O548)+1)))</f>
        <v/>
      </c>
      <c r="T549" s="7">
        <f>IF(ISNA(MATCH($C549,FA,0)),0,IF($J549="GIRIS",N(INDEX(F_INKOR,MATCH($C549,FA,0))),0))</f>
        <v>0</v>
      </c>
      <c r="Y549" s="7" t="e">
        <f>N(#REF!)*IF($E549="упак",MAX(1,IF(ISNA(MATCH($C549,FA,0)),1,N(INDEX(F_PAKET,MATCH($C549,FA,0))))),1)</f>
        <v>#REF!</v>
      </c>
      <c r="Z549" s="7" t="e">
        <f t="shared" si="170"/>
        <v>#REF!</v>
      </c>
      <c r="AA549" s="7">
        <f>IF(OR(ISNA(MATCH($C549,FA,0)),$J549="YEDEK",$J549="SARF"),0,N(#REF!)*N(INDEX(F_TEL,MATCH($C549,FA,0))))</f>
        <v>0</v>
      </c>
      <c r="AB549" s="7">
        <f>IF(OR(ISNA(MATCH($C549,FA,0)),$J549="YEDEK",$J549="SARF"),0,N(#REF!)*N(INDEX(F_TELM,MATCH($C549,FA,0))))</f>
        <v>0</v>
      </c>
      <c r="AC549" s="7" t="e">
        <f t="shared" si="171"/>
        <v>#REF!</v>
      </c>
      <c r="AD549" s="7">
        <f>IF(OR(ISNA(MATCH($C549,FA,0)),$J549&lt;&gt;"CIKIS"),0,N(INDEX(F_KK,MATCH($C549,FA,0))))</f>
        <v>0</v>
      </c>
      <c r="AE549" s="7">
        <f>IF($AD549=0,0,N(#REF!)*N(INDEX(F_KLN,MATCH($C549,FA,0))))</f>
        <v>0</v>
      </c>
      <c r="AF549" s="7">
        <f>IF($AD549=0,0,N(#REF!)*N(INDEX(F_KPE,MATCH($C549,FA,0))))</f>
        <v>0</v>
      </c>
      <c r="AG549" s="7" t="e">
        <f>IF(ISNA(MATCH($C549,FA,0)),0,N(#REF!)*N(INDEX(F_MODUL,MATCH($C549,FA,0))))</f>
        <v>#REF!</v>
      </c>
      <c r="AH549" s="7" t="e">
        <f>N(#REF!)*N($I549)</f>
        <v>#REF!</v>
      </c>
      <c r="AI549" s="7" t="e">
        <f t="shared" si="172"/>
        <v>#REF!</v>
      </c>
      <c r="AJ549" s="7">
        <f t="shared" si="173"/>
        <v>0</v>
      </c>
    </row>
    <row r="550" spans="1:36" x14ac:dyDescent="0.25">
      <c r="A550" s="4" t="str">
        <f t="shared" si="167"/>
        <v>ЩОФ-1 ... ЩОФ-6 (ЩУФО) (260922 akram aulet)</v>
      </c>
      <c r="B550" s="4" t="s">
        <v>101</v>
      </c>
      <c r="C550" s="4" t="s">
        <v>529</v>
      </c>
      <c r="D550" s="4" t="s">
        <v>530</v>
      </c>
      <c r="E550" s="4" t="s">
        <v>522</v>
      </c>
      <c r="F550" s="4" t="s">
        <v>486</v>
      </c>
      <c r="G550" s="4" t="s">
        <v>290</v>
      </c>
      <c r="H550" s="5" t="e">
        <f>#REF!</f>
        <v>#REF!</v>
      </c>
      <c r="I550" s="6" t="e">
        <f t="shared" si="168"/>
        <v>#REF!</v>
      </c>
      <c r="J550" s="6" t="s">
        <v>84</v>
      </c>
      <c r="K550" s="6" t="s">
        <v>101</v>
      </c>
      <c r="L550" s="7" t="e">
        <f t="shared" si="169"/>
        <v>#REF!</v>
      </c>
      <c r="M550" s="7" t="s">
        <v>103</v>
      </c>
      <c r="O550" s="7" t="str">
        <f>IF(OR($C550="",$C550="FID YOK"),"",IF(ISNUMBER(MATCH($C550,FA_ANA,0)),"",IF(COUNTIF($C$1:$C549,$C550)&gt;0,"",MAX($O$1:$O549)+1)))</f>
        <v/>
      </c>
      <c r="T550" s="7">
        <f>IF(ISNA(MATCH($C550,FA,0)),0,IF($J550="GIRIS",N(INDEX(F_INKOR,MATCH($C550,FA,0))),0))</f>
        <v>0</v>
      </c>
      <c r="Y550" s="7" t="e">
        <f>N(#REF!)*IF($E550="упак",MAX(1,IF(ISNA(MATCH($C550,FA,0)),1,N(INDEX(F_PAKET,MATCH($C550,FA,0))))),1)</f>
        <v>#REF!</v>
      </c>
      <c r="Z550" s="7" t="e">
        <f t="shared" si="170"/>
        <v>#REF!</v>
      </c>
      <c r="AA550" s="7">
        <f>IF(OR(ISNA(MATCH($C550,FA,0)),$J550="YEDEK",$J550="SARF"),0,N(#REF!)*N(INDEX(F_TEL,MATCH($C550,FA,0))))</f>
        <v>0</v>
      </c>
      <c r="AB550" s="7">
        <f>IF(OR(ISNA(MATCH($C550,FA,0)),$J550="YEDEK",$J550="SARF"),0,N(#REF!)*N(INDEX(F_TELM,MATCH($C550,FA,0))))</f>
        <v>0</v>
      </c>
      <c r="AC550" s="7" t="e">
        <f t="shared" si="171"/>
        <v>#REF!</v>
      </c>
      <c r="AD550" s="7">
        <f>IF(OR(ISNA(MATCH($C550,FA,0)),$J550&lt;&gt;"CIKIS"),0,N(INDEX(F_KK,MATCH($C550,FA,0))))</f>
        <v>0</v>
      </c>
      <c r="AE550" s="7">
        <f>IF($AD550=0,0,N(#REF!)*N(INDEX(F_KLN,MATCH($C550,FA,0))))</f>
        <v>0</v>
      </c>
      <c r="AF550" s="7">
        <f>IF($AD550=0,0,N(#REF!)*N(INDEX(F_KPE,MATCH($C550,FA,0))))</f>
        <v>0</v>
      </c>
      <c r="AG550" s="7" t="e">
        <f>IF(ISNA(MATCH($C550,FA,0)),0,N(#REF!)*N(INDEX(F_MODUL,MATCH($C550,FA,0))))</f>
        <v>#REF!</v>
      </c>
      <c r="AH550" s="7" t="e">
        <f>N(#REF!)*N($I550)</f>
        <v>#REF!</v>
      </c>
      <c r="AI550" s="7" t="e">
        <f t="shared" si="172"/>
        <v>#REF!</v>
      </c>
      <c r="AJ550" s="7">
        <f t="shared" si="173"/>
        <v>0</v>
      </c>
    </row>
    <row r="551" spans="1:36" x14ac:dyDescent="0.25">
      <c r="A551" s="4" t="str">
        <f t="shared" si="167"/>
        <v>ЩОФ-1 ... ЩОФ-6 (ЩУФО) (260922 akram aulet)</v>
      </c>
      <c r="B551" s="4" t="s">
        <v>101</v>
      </c>
      <c r="C551" s="4" t="s">
        <v>533</v>
      </c>
      <c r="D551" s="4" t="s">
        <v>534</v>
      </c>
      <c r="E551" s="4" t="s">
        <v>522</v>
      </c>
      <c r="F551" s="4" t="s">
        <v>486</v>
      </c>
      <c r="G551" s="4" t="s">
        <v>290</v>
      </c>
      <c r="H551" s="5" t="e">
        <f>#REF!</f>
        <v>#REF!</v>
      </c>
      <c r="I551" s="6" t="e">
        <f t="shared" si="168"/>
        <v>#REF!</v>
      </c>
      <c r="J551" s="6" t="s">
        <v>84</v>
      </c>
      <c r="K551" s="6" t="s">
        <v>101</v>
      </c>
      <c r="L551" s="7" t="e">
        <f t="shared" si="169"/>
        <v>#REF!</v>
      </c>
      <c r="M551" s="7" t="s">
        <v>104</v>
      </c>
      <c r="O551" s="7" t="str">
        <f>IF(OR($C551="",$C551="FID YOK"),"",IF(ISNUMBER(MATCH($C551,FA_ANA,0)),"",IF(COUNTIF($C$1:$C550,$C551)&gt;0,"",MAX($O$1:$O550)+1)))</f>
        <v/>
      </c>
      <c r="T551" s="7">
        <f>IF(ISNA(MATCH($C551,FA,0)),0,IF($J551="GIRIS",N(INDEX(F_INKOR,MATCH($C551,FA,0))),0))</f>
        <v>0</v>
      </c>
      <c r="Y551" s="7" t="e">
        <f>N(#REF!)*IF($E551="упак",MAX(1,IF(ISNA(MATCH($C551,FA,0)),1,N(INDEX(F_PAKET,MATCH($C551,FA,0))))),1)</f>
        <v>#REF!</v>
      </c>
      <c r="Z551" s="7" t="e">
        <f t="shared" si="170"/>
        <v>#REF!</v>
      </c>
      <c r="AA551" s="7">
        <f>IF(OR(ISNA(MATCH($C551,FA,0)),$J551="YEDEK",$J551="SARF"),0,N(#REF!)*N(INDEX(F_TEL,MATCH($C551,FA,0))))</f>
        <v>0</v>
      </c>
      <c r="AB551" s="7">
        <f>IF(OR(ISNA(MATCH($C551,FA,0)),$J551="YEDEK",$J551="SARF"),0,N(#REF!)*N(INDEX(F_TELM,MATCH($C551,FA,0))))</f>
        <v>0</v>
      </c>
      <c r="AC551" s="7" t="e">
        <f t="shared" si="171"/>
        <v>#REF!</v>
      </c>
      <c r="AD551" s="7">
        <f>IF(OR(ISNA(MATCH($C551,FA,0)),$J551&lt;&gt;"CIKIS"),0,N(INDEX(F_KK,MATCH($C551,FA,0))))</f>
        <v>0</v>
      </c>
      <c r="AE551" s="7">
        <f>IF($AD551=0,0,N(#REF!)*N(INDEX(F_KLN,MATCH($C551,FA,0))))</f>
        <v>0</v>
      </c>
      <c r="AF551" s="7">
        <f>IF($AD551=0,0,N(#REF!)*N(INDEX(F_KPE,MATCH($C551,FA,0))))</f>
        <v>0</v>
      </c>
      <c r="AG551" s="7" t="e">
        <f>IF(ISNA(MATCH($C551,FA,0)),0,N(#REF!)*N(INDEX(F_MODUL,MATCH($C551,FA,0))))</f>
        <v>#REF!</v>
      </c>
      <c r="AH551" s="7" t="e">
        <f>N(#REF!)*N($I551)</f>
        <v>#REF!</v>
      </c>
      <c r="AI551" s="7" t="e">
        <f t="shared" si="172"/>
        <v>#REF!</v>
      </c>
      <c r="AJ551" s="7">
        <f t="shared" si="173"/>
        <v>0</v>
      </c>
    </row>
    <row r="552" spans="1:36" x14ac:dyDescent="0.25">
      <c r="A552" s="4" t="str">
        <f t="shared" si="167"/>
        <v>ЩОФ-1 ... ЩОФ-6 (ЩУФО) (260922 akram aulet)</v>
      </c>
      <c r="B552" s="4" t="s">
        <v>105</v>
      </c>
      <c r="C552" s="4" t="s">
        <v>539</v>
      </c>
      <c r="D552" s="4" t="s">
        <v>540</v>
      </c>
      <c r="E552" s="4" t="s">
        <v>114</v>
      </c>
      <c r="F552" s="4" t="s">
        <v>486</v>
      </c>
      <c r="G552" s="4" t="s">
        <v>290</v>
      </c>
      <c r="H552" s="5" t="e">
        <f>#REF!</f>
        <v>#REF!</v>
      </c>
      <c r="I552" s="6" t="e">
        <f t="shared" si="168"/>
        <v>#REF!</v>
      </c>
      <c r="J552" s="6" t="s">
        <v>84</v>
      </c>
      <c r="K552" s="6" t="s">
        <v>105</v>
      </c>
      <c r="L552" s="7" t="e">
        <f t="shared" si="169"/>
        <v>#REF!</v>
      </c>
      <c r="M552" s="7" t="s">
        <v>110</v>
      </c>
      <c r="O552" s="7" t="str">
        <f>IF(OR($C552="",$C552="FID YOK"),"",IF(ISNUMBER(MATCH($C552,FA_ANA,0)),"",IF(COUNTIF($C$1:$C551,$C552)&gt;0,"",MAX($O$1:$O551)+1)))</f>
        <v/>
      </c>
      <c r="T552" s="7">
        <f>IF(ISNA(MATCH($C552,FA,0)),0,IF($J552="GIRIS",N(INDEX(F_INKOR,MATCH($C552,FA,0))),0))</f>
        <v>0</v>
      </c>
      <c r="Y552" s="7" t="e">
        <f>N(#REF!)*IF($E552="упак",MAX(1,IF(ISNA(MATCH($C552,FA,0)),1,N(INDEX(F_PAKET,MATCH($C552,FA,0))))),1)</f>
        <v>#REF!</v>
      </c>
      <c r="Z552" s="7" t="e">
        <f t="shared" si="170"/>
        <v>#REF!</v>
      </c>
      <c r="AA552" s="7">
        <f>IF(OR(ISNA(MATCH($C552,FA,0)),$J552="YEDEK",$J552="SARF"),0,N(#REF!)*N(INDEX(F_TEL,MATCH($C552,FA,0))))</f>
        <v>0</v>
      </c>
      <c r="AB552" s="7">
        <f>IF(OR(ISNA(MATCH($C552,FA,0)),$J552="YEDEK",$J552="SARF"),0,N(#REF!)*N(INDEX(F_TELM,MATCH($C552,FA,0))))</f>
        <v>0</v>
      </c>
      <c r="AC552" s="7" t="e">
        <f t="shared" si="171"/>
        <v>#REF!</v>
      </c>
      <c r="AD552" s="7">
        <f>IF(OR(ISNA(MATCH($C552,FA,0)),$J552&lt;&gt;"CIKIS"),0,N(INDEX(F_KK,MATCH($C552,FA,0))))</f>
        <v>0</v>
      </c>
      <c r="AE552" s="7">
        <f>IF($AD552=0,0,N(#REF!)*N(INDEX(F_KLN,MATCH($C552,FA,0))))</f>
        <v>0</v>
      </c>
      <c r="AF552" s="7">
        <f>IF($AD552=0,0,N(#REF!)*N(INDEX(F_KPE,MATCH($C552,FA,0))))</f>
        <v>0</v>
      </c>
      <c r="AG552" s="7" t="e">
        <f>IF(ISNA(MATCH($C552,FA,0)),0,N(#REF!)*N(INDEX(F_MODUL,MATCH($C552,FA,0))))</f>
        <v>#REF!</v>
      </c>
      <c r="AH552" s="7" t="e">
        <f>N(#REF!)*N($I552)</f>
        <v>#REF!</v>
      </c>
      <c r="AI552" s="7" t="e">
        <f t="shared" si="172"/>
        <v>#REF!</v>
      </c>
      <c r="AJ552" s="7">
        <f t="shared" si="173"/>
        <v>0</v>
      </c>
    </row>
    <row r="553" spans="1:36" x14ac:dyDescent="0.25">
      <c r="A553" s="4" t="str">
        <f t="shared" si="167"/>
        <v>ЩОФ-1 ... ЩОФ-6 (ЩУФО) (260922 akram aulet)</v>
      </c>
      <c r="B553" s="4" t="s">
        <v>111</v>
      </c>
      <c r="C553" s="4" t="s">
        <v>571</v>
      </c>
      <c r="D553" s="4" t="s">
        <v>572</v>
      </c>
      <c r="E553" s="4" t="s">
        <v>522</v>
      </c>
      <c r="F553" s="4" t="s">
        <v>486</v>
      </c>
      <c r="G553" s="4" t="s">
        <v>290</v>
      </c>
      <c r="H553" s="5" t="e">
        <f>#REF!</f>
        <v>#REF!</v>
      </c>
      <c r="I553" s="6" t="e">
        <f t="shared" si="168"/>
        <v>#REF!</v>
      </c>
      <c r="J553" s="6" t="s">
        <v>84</v>
      </c>
      <c r="K553" s="6" t="s">
        <v>111</v>
      </c>
      <c r="L553" s="7" t="e">
        <f t="shared" si="169"/>
        <v>#REF!</v>
      </c>
      <c r="M553" s="7" t="s">
        <v>112</v>
      </c>
      <c r="O553" s="7" t="str">
        <f>IF(OR($C553="",$C553="FID YOK"),"",IF(ISNUMBER(MATCH($C553,FA_ANA,0)),"",IF(COUNTIF($C$1:$C552,$C553)&gt;0,"",MAX($O$1:$O552)+1)))</f>
        <v/>
      </c>
      <c r="T553" s="7">
        <f>IF(ISNA(MATCH($C553,FA,0)),0,IF($J553="GIRIS",N(INDEX(F_INKOR,MATCH($C553,FA,0))),0))</f>
        <v>0</v>
      </c>
      <c r="Y553" s="7" t="e">
        <f>N(#REF!)*IF($E553="упак",MAX(1,IF(ISNA(MATCH($C553,FA,0)),1,N(INDEX(F_PAKET,MATCH($C553,FA,0))))),1)</f>
        <v>#REF!</v>
      </c>
      <c r="Z553" s="7" t="e">
        <f t="shared" si="170"/>
        <v>#REF!</v>
      </c>
      <c r="AA553" s="7">
        <f>IF(OR(ISNA(MATCH($C553,FA,0)),$J553="YEDEK",$J553="SARF"),0,N(#REF!)*N(INDEX(F_TEL,MATCH($C553,FA,0))))</f>
        <v>0</v>
      </c>
      <c r="AB553" s="7">
        <f>IF(OR(ISNA(MATCH($C553,FA,0)),$J553="YEDEK",$J553="SARF"),0,N(#REF!)*N(INDEX(F_TELM,MATCH($C553,FA,0))))</f>
        <v>0</v>
      </c>
      <c r="AC553" s="7" t="e">
        <f t="shared" si="171"/>
        <v>#REF!</v>
      </c>
      <c r="AD553" s="7">
        <f>IF(OR(ISNA(MATCH($C553,FA,0)),$J553&lt;&gt;"CIKIS"),0,N(INDEX(F_KK,MATCH($C553,FA,0))))</f>
        <v>0</v>
      </c>
      <c r="AE553" s="7">
        <f>IF($AD553=0,0,N(#REF!)*N(INDEX(F_KLN,MATCH($C553,FA,0))))</f>
        <v>0</v>
      </c>
      <c r="AF553" s="7">
        <f>IF($AD553=0,0,N(#REF!)*N(INDEX(F_KPE,MATCH($C553,FA,0))))</f>
        <v>0</v>
      </c>
      <c r="AG553" s="7" t="e">
        <f>IF(ISNA(MATCH($C553,FA,0)),0,N(#REF!)*N(INDEX(F_MODUL,MATCH($C553,FA,0))))</f>
        <v>#REF!</v>
      </c>
      <c r="AH553" s="7" t="e">
        <f>N(#REF!)*N($I553)</f>
        <v>#REF!</v>
      </c>
      <c r="AI553" s="7" t="e">
        <f t="shared" si="172"/>
        <v>#REF!</v>
      </c>
      <c r="AJ553" s="7">
        <f t="shared" si="173"/>
        <v>0</v>
      </c>
    </row>
    <row r="554" spans="1:36" x14ac:dyDescent="0.25">
      <c r="A554" s="4" t="str">
        <f t="shared" si="167"/>
        <v>ЩОФ-1 ... ЩОФ-6 (ЩУФО) (260922 akram aulet)</v>
      </c>
      <c r="B554" s="4" t="s">
        <v>113</v>
      </c>
      <c r="C554" s="4" t="s">
        <v>113</v>
      </c>
      <c r="D554" s="4" t="s">
        <v>113</v>
      </c>
      <c r="E554" s="4" t="s">
        <v>114</v>
      </c>
      <c r="F554" s="4" t="s">
        <v>113</v>
      </c>
      <c r="G554" s="4" t="s">
        <v>290</v>
      </c>
      <c r="H554" s="5" t="e">
        <f>#REF!</f>
        <v>#REF!</v>
      </c>
      <c r="I554" s="6" t="e">
        <f t="shared" si="168"/>
        <v>#REF!</v>
      </c>
    </row>
    <row r="555" spans="1:36" x14ac:dyDescent="0.25">
      <c r="A555" s="4" t="str">
        <f t="shared" si="167"/>
        <v>ЩОФ-1 ... ЩОФ-6 (ЩУФО) (260922 akram aulet)</v>
      </c>
      <c r="B555" s="4" t="s">
        <v>115</v>
      </c>
      <c r="C555" s="4" t="s">
        <v>115</v>
      </c>
      <c r="D555" s="4" t="s">
        <v>115</v>
      </c>
      <c r="E555" s="4" t="s">
        <v>116</v>
      </c>
      <c r="F555" s="4" t="s">
        <v>115</v>
      </c>
      <c r="G555" s="4" t="s">
        <v>290</v>
      </c>
      <c r="H555" s="5" t="e">
        <f>#REF!</f>
        <v>#REF!</v>
      </c>
      <c r="I555" s="6" t="e">
        <f t="shared" si="168"/>
        <v>#REF!</v>
      </c>
    </row>
    <row r="556" spans="1:36" x14ac:dyDescent="0.25">
      <c r="A556" s="1" t="str">
        <f>D556</f>
        <v>ЩС-1 (260922 akram aulet)</v>
      </c>
      <c r="B556" s="12"/>
      <c r="C556" s="2"/>
      <c r="D556" s="1" t="s">
        <v>317</v>
      </c>
      <c r="E556" s="1" t="s">
        <v>36</v>
      </c>
      <c r="F556" s="1" t="s">
        <v>37</v>
      </c>
      <c r="G556" s="1" t="s">
        <v>318</v>
      </c>
      <c r="I556" s="3" t="e">
        <f>#REF!</f>
        <v>#REF!</v>
      </c>
    </row>
    <row r="557" spans="1:36" x14ac:dyDescent="0.25">
      <c r="A557" s="4" t="str">
        <f t="shared" ref="A557:A577" si="176">A556</f>
        <v>ЩС-1 (260922 akram aulet)</v>
      </c>
      <c r="B557" s="4" t="s">
        <v>39</v>
      </c>
      <c r="C557" s="4" t="s">
        <v>516</v>
      </c>
      <c r="D557" s="4" t="s">
        <v>517</v>
      </c>
      <c r="E557" s="4" t="s">
        <v>114</v>
      </c>
      <c r="F557" s="4" t="s">
        <v>486</v>
      </c>
      <c r="G557" s="4" t="s">
        <v>318</v>
      </c>
      <c r="H557" s="5" t="e">
        <f>#REF!</f>
        <v>#REF!</v>
      </c>
      <c r="I557" s="6" t="e">
        <f t="shared" ref="I557:I577" si="177">I556</f>
        <v>#REF!</v>
      </c>
      <c r="J557" s="6" t="s">
        <v>40</v>
      </c>
      <c r="K557" s="6" t="s">
        <v>195</v>
      </c>
      <c r="L557" s="7" t="e">
        <f t="shared" ref="L557:L575" si="178">IF(ISNA(MATCH($C557,FA,0)),"ARTİKÜL YOK",INDEX(FIYAT_DURUM,MATCH($C557,FA,0)))</f>
        <v>#REF!</v>
      </c>
      <c r="M557" s="7" t="s">
        <v>319</v>
      </c>
      <c r="N557" s="7" t="s">
        <v>320</v>
      </c>
      <c r="O557" s="7">
        <f>IF(OR($C557="",$C557="FID YOK"),"",IF(ISNUMBER(MATCH($C557,FA_ANA,0)),"",IF(COUNTIF($C$1:$C556,$C557)&gt;0,"",MAX($O$1:$O556)+1)))</f>
        <v>103</v>
      </c>
      <c r="Q557" s="7"/>
      <c r="R557" s="7"/>
      <c r="S557" s="7"/>
      <c r="T557" s="7">
        <f>IF(ISNA(MATCH($C557,FA,0)),0,IF($J557="GIRIS",N(INDEX(F_INKOR,MATCH($C557,FA,0))),0))</f>
        <v>0</v>
      </c>
      <c r="U557" s="7"/>
      <c r="V557" s="7"/>
      <c r="W557" s="7"/>
      <c r="X557" s="7"/>
      <c r="Y557" s="7" t="e">
        <f>N(#REF!)*IF($E557="упак",MAX(1,IF(ISNA(MATCH($C557,FA,0)),1,N(INDEX(F_PAKET,MATCH($C557,FA,0))))),1)</f>
        <v>#REF!</v>
      </c>
      <c r="Z557" s="7" t="e">
        <f t="shared" ref="Z557:Z575" si="179">IF(ISNA(MATCH($C557,FA,0)),0,N(INDEX(F_BK,MATCH($C557,FA,0))))</f>
        <v>#REF!</v>
      </c>
      <c r="AA557" s="7" t="e">
        <f>IF(OR(ISNA(MATCH($C557,FA,0)),$J557="YEDEK",$J557="SARF"),0,N(#REF!)*N(INDEX(F_TEL,MATCH($C557,FA,0))))</f>
        <v>#REF!</v>
      </c>
      <c r="AB557" s="7" t="e">
        <f>IF(OR(ISNA(MATCH($C557,FA,0)),$J557="YEDEK",$J557="SARF"),0,N(#REF!)*N(INDEX(F_TELM,MATCH($C557,FA,0))))</f>
        <v>#REF!</v>
      </c>
      <c r="AC557" s="7" t="e">
        <f t="shared" ref="AC557:AC575" si="180">IF(ISNA(MATCH($C557,FA,0)),"",INDEX(F_UC,MATCH($C557,FA,0))&amp;"")</f>
        <v>#REF!</v>
      </c>
      <c r="AD557" s="7">
        <f>IF(OR(ISNA(MATCH($C557,FA,0)),$J557&lt;&gt;"CIKIS"),0,N(INDEX(F_KK,MATCH($C557,FA,0))))</f>
        <v>0</v>
      </c>
      <c r="AE557" s="7">
        <f>IF($AD557=0,0,N(#REF!)*N(INDEX(F_KLN,MATCH($C557,FA,0))))</f>
        <v>0</v>
      </c>
      <c r="AF557" s="7">
        <f>IF($AD557=0,0,N(#REF!)*N(INDEX(F_KPE,MATCH($C557,FA,0))))</f>
        <v>0</v>
      </c>
      <c r="AG557" s="7" t="e">
        <f>IF(ISNA(MATCH($C557,FA,0)),0,N(#REF!)*N(INDEX(F_MODUL,MATCH($C557,FA,0))))</f>
        <v>#REF!</v>
      </c>
      <c r="AH557" s="7" t="e">
        <f>N(#REF!)*N($I557)</f>
        <v>#REF!</v>
      </c>
      <c r="AI557" s="7" t="e">
        <f t="shared" ref="AI557:AI575" si="181">IF(ISNA(MATCH($K557,TIP_AD,0)),"YOK",IF(INDEX(NORM_DK,MATCH($K557,TIP_AD,0))="","BOŞ",INDEX(NORM_DK,MATCH($K557,TIP_AD,0))))</f>
        <v>#REF!</v>
      </c>
      <c r="AJ557" s="7">
        <f t="shared" ref="AJ557:AJ575" si="182">IF(ISNUMBER($AI557),$Y557*$AI557,0)</f>
        <v>0</v>
      </c>
    </row>
    <row r="558" spans="1:36" x14ac:dyDescent="0.25">
      <c r="A558" s="4" t="str">
        <f t="shared" si="176"/>
        <v>ЩС-1 (260922 akram aulet)</v>
      </c>
      <c r="B558" s="4" t="s">
        <v>198</v>
      </c>
      <c r="C558" s="4" t="s">
        <v>380</v>
      </c>
      <c r="D558" s="4" t="s">
        <v>381</v>
      </c>
      <c r="E558" s="4" t="s">
        <v>114</v>
      </c>
      <c r="F558" s="4" t="s">
        <v>377</v>
      </c>
      <c r="G558" s="4" t="s">
        <v>318</v>
      </c>
      <c r="H558" s="5" t="e">
        <f>#REF!</f>
        <v>#REF!</v>
      </c>
      <c r="I558" s="6" t="e">
        <f t="shared" si="177"/>
        <v>#REF!</v>
      </c>
      <c r="J558" s="6" t="s">
        <v>48</v>
      </c>
      <c r="K558" s="6" t="s">
        <v>198</v>
      </c>
      <c r="L558" s="7" t="e">
        <f t="shared" si="178"/>
        <v>#REF!</v>
      </c>
      <c r="M558" s="7" t="s">
        <v>321</v>
      </c>
      <c r="N558" s="7" t="s">
        <v>200</v>
      </c>
      <c r="O558" s="7" t="str">
        <f>IF(OR($C558="",$C558="FID YOK"),"",IF(ISNUMBER(MATCH($C558,FA_ANA,0)),"",IF(COUNTIF($C$1:$C557,$C558)&gt;0,"",MAX($O$1:$O557)+1)))</f>
        <v/>
      </c>
      <c r="P558" s="8">
        <v>1</v>
      </c>
      <c r="Q558" s="7" t="e">
        <f>IF(OR($P558="",$P558="G",ISNA(MATCH($C558,FA,0))),"",IF(N(INDEX(F_G,MATCH($C558,FA,0)))&gt;0,INDEX(F_G,MATCH($C558,FA,0)),IF(N(INDEX(F_MODUL,MATCH($C558,FA,0)))&gt;0,INDEX(F_MODUL,MATCH($C558,FA,0))*MODUL_MM,"")))</f>
        <v>#REF!</v>
      </c>
      <c r="R558" s="7" t="e">
        <f>IF(OR($P558="",$P558="G",ISNA(MATCH($C558,FA,0))),"",IF(N(INDEX(F_Y,MATCH($C558,FA,0)))&gt;0,INDEX(F_Y,MATCH($C558,FA,0)),""))</f>
        <v>#REF!</v>
      </c>
      <c r="S558" s="7" t="e">
        <f>IF(OR($P558="",$P558="G",ISNA(MATCH($C558,FA,0))),"",IF(N(INDEX(F_D,MATCH($C558,FA,0)))&gt;0,INDEX(F_D,MATCH($C558,FA,0)),""))</f>
        <v>#REF!</v>
      </c>
      <c r="T558" s="7" t="e">
        <f>IF(ISNA(MATCH($C558,FA,0)),0,IF($J558="GIRIS",N(INDEX(F_INKOR,MATCH($C558,FA,0))),0))</f>
        <v>#REF!</v>
      </c>
      <c r="U558" s="7" t="e">
        <f t="shared" ref="U558:U564" si="183">IF(ISNA(MATCH($B558,TIP_AD,0)),"",INDEX(TIP_KAT,MATCH($B558,TIP_AD,0))&amp;"")</f>
        <v>#REF!</v>
      </c>
      <c r="V558" s="7" t="e">
        <f t="shared" ref="V558:V564" si="184">IF(NOT(ISNUMBER($P558)),"",IF($Z558=0,0,IF(ISNA(MATCH($Z558,BUK_KESIT,0)),"",IF(INDEX(BUK_ALAN,MATCH($Z558,BUK_KESIT,0))&amp;""="","",INDEX(BUK_ALAN,MATCH($Z558,BUK_KESIT,0))))))</f>
        <v>#REF!</v>
      </c>
      <c r="W558" s="7" t="e">
        <f>IF(OR(NOT(ISNUMBER($P558)),$Q558=""),"",N(#REF!)*($Q558+IF(ISNA(MATCH($B558,TIP_AD,0)),0,N(INDEX(TIP_BOSLUK,MATCH($B558,TIP_AD,0))))))</f>
        <v>#REF!</v>
      </c>
      <c r="X558" s="7" t="e">
        <f>IF(ISNUMBER($P558),($Q558="")+($R558="")+($V558="")+IF(AND($U558="KONTAKTOR",NOT(ISNA(MATCH($B558,TIP_AD,0)))),IF(INDEX(TIP_BOSLUK,MATCH($B558,TIP_AD,0))&amp;""="",1,0),0),IF($P558="K",IF($S558="",1,0),0))</f>
        <v>#REF!</v>
      </c>
      <c r="Y558" s="7" t="e">
        <f>N(#REF!)*IF($E558="упак",MAX(1,IF(ISNA(MATCH($C558,FA,0)),1,N(INDEX(F_PAKET,MATCH($C558,FA,0))))),1)</f>
        <v>#REF!</v>
      </c>
      <c r="Z558" s="7" t="e">
        <f t="shared" si="179"/>
        <v>#REF!</v>
      </c>
      <c r="AA558" s="7" t="e">
        <f>IF(OR(ISNA(MATCH($C558,FA,0)),$J558="YEDEK",$J558="SARF"),0,N(#REF!)*N(INDEX(F_TEL,MATCH($C558,FA,0))))</f>
        <v>#REF!</v>
      </c>
      <c r="AB558" s="7" t="e">
        <f>IF(OR(ISNA(MATCH($C558,FA,0)),$J558="YEDEK",$J558="SARF"),0,N(#REF!)*N(INDEX(F_TELM,MATCH($C558,FA,0))))</f>
        <v>#REF!</v>
      </c>
      <c r="AC558" s="7" t="e">
        <f t="shared" si="180"/>
        <v>#REF!</v>
      </c>
      <c r="AD558" s="7">
        <f>IF(OR(ISNA(MATCH($C558,FA,0)),$J558&lt;&gt;"CIKIS"),0,N(INDEX(F_KK,MATCH($C558,FA,0))))</f>
        <v>0</v>
      </c>
      <c r="AE558" s="7">
        <f>IF($AD558=0,0,N(#REF!)*N(INDEX(F_KLN,MATCH($C558,FA,0))))</f>
        <v>0</v>
      </c>
      <c r="AF558" s="7">
        <f>IF($AD558=0,0,N(#REF!)*N(INDEX(F_KPE,MATCH($C558,FA,0))))</f>
        <v>0</v>
      </c>
      <c r="AG558" s="7" t="e">
        <f>IF(ISNA(MATCH($C558,FA,0)),0,N(#REF!)*N(INDEX(F_MODUL,MATCH($C558,FA,0))))</f>
        <v>#REF!</v>
      </c>
      <c r="AH558" s="7" t="e">
        <f>N(#REF!)*N($I558)</f>
        <v>#REF!</v>
      </c>
      <c r="AI558" s="7" t="e">
        <f t="shared" si="181"/>
        <v>#REF!</v>
      </c>
      <c r="AJ558" s="7">
        <f t="shared" si="182"/>
        <v>0</v>
      </c>
    </row>
    <row r="559" spans="1:36" x14ac:dyDescent="0.25">
      <c r="A559" s="4" t="str">
        <f t="shared" si="176"/>
        <v>ЩС-1 (260922 akram aulet)</v>
      </c>
      <c r="B559" s="4" t="s">
        <v>173</v>
      </c>
      <c r="C559" s="4" t="s">
        <v>459</v>
      </c>
      <c r="D559" s="4" t="s">
        <v>460</v>
      </c>
      <c r="E559" s="4" t="s">
        <v>114</v>
      </c>
      <c r="F559" s="4" t="s">
        <v>377</v>
      </c>
      <c r="G559" s="4" t="s">
        <v>318</v>
      </c>
      <c r="H559" s="5" t="e">
        <f>#REF!</f>
        <v>#REF!</v>
      </c>
      <c r="I559" s="6" t="e">
        <f t="shared" si="177"/>
        <v>#REF!</v>
      </c>
      <c r="J559" s="6" t="s">
        <v>66</v>
      </c>
      <c r="K559" s="6" t="s">
        <v>173</v>
      </c>
      <c r="L559" s="7" t="e">
        <f t="shared" si="178"/>
        <v>#REF!</v>
      </c>
      <c r="M559" s="7" t="s">
        <v>322</v>
      </c>
      <c r="N559" s="7" t="s">
        <v>323</v>
      </c>
      <c r="O559" s="7">
        <f>IF(OR($C559="",$C559="FID YOK"),"",IF(ISNUMBER(MATCH($C559,FA_ANA,0)),"",IF(COUNTIF($C$1:$C558,$C559)&gt;0,"",MAX($O$1:$O558)+1)))</f>
        <v>104</v>
      </c>
      <c r="P559" s="8">
        <v>1</v>
      </c>
      <c r="Q559" s="7" t="e">
        <f>IF(OR($P559="",$P559="G",ISNA(MATCH($C559,FA,0))),"",IF(N(INDEX(F_G,MATCH($C559,FA,0)))&gt;0,INDEX(F_G,MATCH($C559,FA,0)),IF(N(INDEX(F_MODUL,MATCH($C559,FA,0)))&gt;0,INDEX(F_MODUL,MATCH($C559,FA,0))*MODUL_MM,"")))</f>
        <v>#REF!</v>
      </c>
      <c r="R559" s="7" t="e">
        <f>IF(OR($P559="",$P559="G",ISNA(MATCH($C559,FA,0))),"",IF(N(INDEX(F_Y,MATCH($C559,FA,0)))&gt;0,INDEX(F_Y,MATCH($C559,FA,0)),""))</f>
        <v>#REF!</v>
      </c>
      <c r="S559" s="7" t="e">
        <f>IF(OR($P559="",$P559="G",ISNA(MATCH($C559,FA,0))),"",IF(N(INDEX(F_D,MATCH($C559,FA,0)))&gt;0,INDEX(F_D,MATCH($C559,FA,0)),""))</f>
        <v>#REF!</v>
      </c>
      <c r="T559" s="7">
        <f>IF(ISNA(MATCH($C559,FA,0)),0,IF($J559="GIRIS",N(INDEX(F_INKOR,MATCH($C559,FA,0))),0))</f>
        <v>0</v>
      </c>
      <c r="U559" s="7" t="e">
        <f t="shared" si="183"/>
        <v>#REF!</v>
      </c>
      <c r="V559" s="7" t="e">
        <f t="shared" si="184"/>
        <v>#REF!</v>
      </c>
      <c r="W559" s="7" t="e">
        <f>IF(OR(NOT(ISNUMBER($P559)),$Q559=""),"",N(#REF!)*($Q559+IF(ISNA(MATCH($B559,TIP_AD,0)),0,N(INDEX(TIP_BOSLUK,MATCH($B559,TIP_AD,0))))))</f>
        <v>#REF!</v>
      </c>
      <c r="X559" s="7" t="e">
        <f>IF(ISNUMBER($P559),($Q559="")+($R559="")+($V559="")+IF(AND($U559="KONTAKTOR",NOT(ISNA(MATCH($B559,TIP_AD,0)))),IF(INDEX(TIP_BOSLUK,MATCH($B559,TIP_AD,0))&amp;""="",1,0),0),IF($P559="K",IF($S559="",1,0),0))</f>
        <v>#REF!</v>
      </c>
      <c r="Y559" s="7" t="e">
        <f>N(#REF!)*IF($E559="упак",MAX(1,IF(ISNA(MATCH($C559,FA,0)),1,N(INDEX(F_PAKET,MATCH($C559,FA,0))))),1)</f>
        <v>#REF!</v>
      </c>
      <c r="Z559" s="7" t="e">
        <f t="shared" si="179"/>
        <v>#REF!</v>
      </c>
      <c r="AA559" s="7" t="e">
        <f>IF(OR(ISNA(MATCH($C559,FA,0)),$J559="YEDEK",$J559="SARF"),0,N(#REF!)*N(INDEX(F_TEL,MATCH($C559,FA,0))))</f>
        <v>#REF!</v>
      </c>
      <c r="AB559" s="7" t="e">
        <f>IF(OR(ISNA(MATCH($C559,FA,0)),$J559="YEDEK",$J559="SARF"),0,N(#REF!)*N(INDEX(F_TELM,MATCH($C559,FA,0))))</f>
        <v>#REF!</v>
      </c>
      <c r="AC559" s="7" t="e">
        <f t="shared" si="180"/>
        <v>#REF!</v>
      </c>
      <c r="AD559" s="7">
        <f>IF(OR(ISNA(MATCH($C559,FA,0)),$J559&lt;&gt;"CIKIS"),0,N(INDEX(F_KK,MATCH($C559,FA,0))))</f>
        <v>0</v>
      </c>
      <c r="AE559" s="7">
        <f>IF($AD559=0,0,N(#REF!)*N(INDEX(F_KLN,MATCH($C559,FA,0))))</f>
        <v>0</v>
      </c>
      <c r="AF559" s="7">
        <f>IF($AD559=0,0,N(#REF!)*N(INDEX(F_KPE,MATCH($C559,FA,0))))</f>
        <v>0</v>
      </c>
      <c r="AG559" s="7" t="e">
        <f>IF(ISNA(MATCH($C559,FA,0)),0,N(#REF!)*N(INDEX(F_MODUL,MATCH($C559,FA,0))))</f>
        <v>#REF!</v>
      </c>
      <c r="AH559" s="7" t="e">
        <f>N(#REF!)*N($I559)</f>
        <v>#REF!</v>
      </c>
      <c r="AI559" s="7" t="e">
        <f t="shared" si="181"/>
        <v>#REF!</v>
      </c>
      <c r="AJ559" s="7">
        <f t="shared" si="182"/>
        <v>0</v>
      </c>
    </row>
    <row r="560" spans="1:36" x14ac:dyDescent="0.25">
      <c r="A560" s="4" t="str">
        <f t="shared" si="176"/>
        <v>ЩС-1 (260922 akram aulet)</v>
      </c>
      <c r="B560" s="4" t="s">
        <v>65</v>
      </c>
      <c r="C560" s="4" t="s">
        <v>388</v>
      </c>
      <c r="D560" s="4" t="s">
        <v>389</v>
      </c>
      <c r="E560" s="4" t="s">
        <v>114</v>
      </c>
      <c r="F560" s="4" t="s">
        <v>377</v>
      </c>
      <c r="G560" s="4" t="s">
        <v>318</v>
      </c>
      <c r="H560" s="5" t="e">
        <f>#REF!</f>
        <v>#REF!</v>
      </c>
      <c r="I560" s="6" t="e">
        <f t="shared" si="177"/>
        <v>#REF!</v>
      </c>
      <c r="J560" s="6" t="s">
        <v>52</v>
      </c>
      <c r="K560" s="6" t="s">
        <v>65</v>
      </c>
      <c r="L560" s="7" t="e">
        <f t="shared" si="178"/>
        <v>#REF!</v>
      </c>
      <c r="M560" s="7" t="s">
        <v>324</v>
      </c>
      <c r="N560" s="7" t="s">
        <v>228</v>
      </c>
      <c r="O560" s="7" t="str">
        <f>IF(OR($C560="",$C560="FID YOK"),"",IF(ISNUMBER(MATCH($C560,FA_ANA,0)),"",IF(COUNTIF($C$1:$C559,$C560)&gt;0,"",MAX($O$1:$O559)+1)))</f>
        <v/>
      </c>
      <c r="P560" s="8">
        <v>1</v>
      </c>
      <c r="Q560" s="7" t="e">
        <f>IF(OR($P560="",$P560="G",ISNA(MATCH($C560,FA,0))),"",IF(N(INDEX(F_G,MATCH($C560,FA,0)))&gt;0,INDEX(F_G,MATCH($C560,FA,0)),IF(N(INDEX(F_MODUL,MATCH($C560,FA,0)))&gt;0,INDEX(F_MODUL,MATCH($C560,FA,0))*MODUL_MM,"")))</f>
        <v>#REF!</v>
      </c>
      <c r="R560" s="7" t="e">
        <f>IF(OR($P560="",$P560="G",ISNA(MATCH($C560,FA,0))),"",IF(N(INDEX(F_Y,MATCH($C560,FA,0)))&gt;0,INDEX(F_Y,MATCH($C560,FA,0)),""))</f>
        <v>#REF!</v>
      </c>
      <c r="S560" s="7" t="e">
        <f>IF(OR($P560="",$P560="G",ISNA(MATCH($C560,FA,0))),"",IF(N(INDEX(F_D,MATCH($C560,FA,0)))&gt;0,INDEX(F_D,MATCH($C560,FA,0)),""))</f>
        <v>#REF!</v>
      </c>
      <c r="T560" s="7">
        <f>IF(ISNA(MATCH($C560,FA,0)),0,IF($J560="GIRIS",N(INDEX(F_INKOR,MATCH($C560,FA,0))),0))</f>
        <v>0</v>
      </c>
      <c r="U560" s="7" t="e">
        <f t="shared" si="183"/>
        <v>#REF!</v>
      </c>
      <c r="V560" s="7" t="e">
        <f t="shared" si="184"/>
        <v>#REF!</v>
      </c>
      <c r="W560" s="7" t="e">
        <f>IF(OR(NOT(ISNUMBER($P560)),$Q560=""),"",N(#REF!)*($Q560+IF(ISNA(MATCH($B560,TIP_AD,0)),0,N(INDEX(TIP_BOSLUK,MATCH($B560,TIP_AD,0))))))</f>
        <v>#REF!</v>
      </c>
      <c r="X560" s="7" t="e">
        <f>IF(ISNUMBER($P560),($Q560="")+($R560="")+($V560="")+IF(AND($U560="KONTAKTOR",NOT(ISNA(MATCH($B560,TIP_AD,0)))),IF(INDEX(TIP_BOSLUK,MATCH($B560,TIP_AD,0))&amp;""="",1,0),0),IF($P560="K",IF($S560="",1,0),0))</f>
        <v>#REF!</v>
      </c>
      <c r="Y560" s="7" t="e">
        <f>N(#REF!)*IF($E560="упак",MAX(1,IF(ISNA(MATCH($C560,FA,0)),1,N(INDEX(F_PAKET,MATCH($C560,FA,0))))),1)</f>
        <v>#REF!</v>
      </c>
      <c r="Z560" s="7" t="e">
        <f t="shared" si="179"/>
        <v>#REF!</v>
      </c>
      <c r="AA560" s="7" t="e">
        <f>IF(OR(ISNA(MATCH($C560,FA,0)),$J560="YEDEK",$J560="SARF"),0,N(#REF!)*N(INDEX(F_TEL,MATCH($C560,FA,0))))</f>
        <v>#REF!</v>
      </c>
      <c r="AB560" s="7" t="e">
        <f>IF(OR(ISNA(MATCH($C560,FA,0)),$J560="YEDEK",$J560="SARF"),0,N(#REF!)*N(INDEX(F_TELM,MATCH($C560,FA,0))))</f>
        <v>#REF!</v>
      </c>
      <c r="AC560" s="7" t="e">
        <f t="shared" si="180"/>
        <v>#REF!</v>
      </c>
      <c r="AD560" s="7" t="e">
        <f>IF(OR(ISNA(MATCH($C560,FA,0)),$J560&lt;&gt;"CIKIS"),0,N(INDEX(F_KK,MATCH($C560,FA,0))))</f>
        <v>#REF!</v>
      </c>
      <c r="AE560" s="7" t="e">
        <f>IF($AD560=0,0,N(#REF!)*N(INDEX(F_KLN,MATCH($C560,FA,0))))</f>
        <v>#REF!</v>
      </c>
      <c r="AF560" s="7" t="e">
        <f>IF($AD560=0,0,N(#REF!)*N(INDEX(F_KPE,MATCH($C560,FA,0))))</f>
        <v>#REF!</v>
      </c>
      <c r="AG560" s="7" t="e">
        <f>IF(ISNA(MATCH($C560,FA,0)),0,N(#REF!)*N(INDEX(F_MODUL,MATCH($C560,FA,0))))</f>
        <v>#REF!</v>
      </c>
      <c r="AH560" s="7" t="e">
        <f>N(#REF!)*N($I560)</f>
        <v>#REF!</v>
      </c>
      <c r="AI560" s="7" t="e">
        <f t="shared" si="181"/>
        <v>#REF!</v>
      </c>
      <c r="AJ560" s="7">
        <f t="shared" si="182"/>
        <v>0</v>
      </c>
    </row>
    <row r="561" spans="1:36" x14ac:dyDescent="0.25">
      <c r="A561" s="4" t="str">
        <f t="shared" si="176"/>
        <v>ЩС-1 (260922 akram aulet)</v>
      </c>
      <c r="B561" s="4" t="s">
        <v>65</v>
      </c>
      <c r="C561" s="4" t="s">
        <v>398</v>
      </c>
      <c r="D561" s="4" t="s">
        <v>399</v>
      </c>
      <c r="E561" s="4" t="s">
        <v>114</v>
      </c>
      <c r="F561" s="4" t="s">
        <v>377</v>
      </c>
      <c r="G561" s="4" t="s">
        <v>318</v>
      </c>
      <c r="H561" s="5" t="e">
        <f>#REF!</f>
        <v>#REF!</v>
      </c>
      <c r="I561" s="6" t="e">
        <f t="shared" si="177"/>
        <v>#REF!</v>
      </c>
      <c r="J561" s="6" t="s">
        <v>52</v>
      </c>
      <c r="K561" s="6" t="s">
        <v>65</v>
      </c>
      <c r="L561" s="7" t="e">
        <f t="shared" si="178"/>
        <v>#REF!</v>
      </c>
      <c r="M561" s="7" t="s">
        <v>325</v>
      </c>
      <c r="N561" s="7" t="s">
        <v>296</v>
      </c>
      <c r="O561" s="7" t="str">
        <f>IF(OR($C561="",$C561="FID YOK"),"",IF(ISNUMBER(MATCH($C561,FA_ANA,0)),"",IF(COUNTIF($C$1:$C560,$C561)&gt;0,"",MAX($O$1:$O560)+1)))</f>
        <v/>
      </c>
      <c r="P561" s="8">
        <v>1</v>
      </c>
      <c r="Q561" s="7" t="e">
        <f>IF(OR($P561="",$P561="G",ISNA(MATCH($C561,FA,0))),"",IF(N(INDEX(F_G,MATCH($C561,FA,0)))&gt;0,INDEX(F_G,MATCH($C561,FA,0)),IF(N(INDEX(F_MODUL,MATCH($C561,FA,0)))&gt;0,INDEX(F_MODUL,MATCH($C561,FA,0))*MODUL_MM,"")))</f>
        <v>#REF!</v>
      </c>
      <c r="R561" s="7" t="e">
        <f>IF(OR($P561="",$P561="G",ISNA(MATCH($C561,FA,0))),"",IF(N(INDEX(F_Y,MATCH($C561,FA,0)))&gt;0,INDEX(F_Y,MATCH($C561,FA,0)),""))</f>
        <v>#REF!</v>
      </c>
      <c r="S561" s="7" t="e">
        <f>IF(OR($P561="",$P561="G",ISNA(MATCH($C561,FA,0))),"",IF(N(INDEX(F_D,MATCH($C561,FA,0)))&gt;0,INDEX(F_D,MATCH($C561,FA,0)),""))</f>
        <v>#REF!</v>
      </c>
      <c r="T561" s="7">
        <f>IF(ISNA(MATCH($C561,FA,0)),0,IF($J561="GIRIS",N(INDEX(F_INKOR,MATCH($C561,FA,0))),0))</f>
        <v>0</v>
      </c>
      <c r="U561" s="7" t="e">
        <f t="shared" si="183"/>
        <v>#REF!</v>
      </c>
      <c r="V561" s="7" t="e">
        <f t="shared" si="184"/>
        <v>#REF!</v>
      </c>
      <c r="W561" s="7" t="e">
        <f>IF(OR(NOT(ISNUMBER($P561)),$Q561=""),"",N(#REF!)*($Q561+IF(ISNA(MATCH($B561,TIP_AD,0)),0,N(INDEX(TIP_BOSLUK,MATCH($B561,TIP_AD,0))))))</f>
        <v>#REF!</v>
      </c>
      <c r="X561" s="7" t="e">
        <f>IF(ISNUMBER($P561),($Q561="")+($R561="")+($V561="")+IF(AND($U561="KONTAKTOR",NOT(ISNA(MATCH($B561,TIP_AD,0)))),IF(INDEX(TIP_BOSLUK,MATCH($B561,TIP_AD,0))&amp;""="",1,0),0),IF($P561="K",IF($S561="",1,0),0))</f>
        <v>#REF!</v>
      </c>
      <c r="Y561" s="7" t="e">
        <f>N(#REF!)*IF($E561="упак",MAX(1,IF(ISNA(MATCH($C561,FA,0)),1,N(INDEX(F_PAKET,MATCH($C561,FA,0))))),1)</f>
        <v>#REF!</v>
      </c>
      <c r="Z561" s="7" t="e">
        <f t="shared" si="179"/>
        <v>#REF!</v>
      </c>
      <c r="AA561" s="7" t="e">
        <f>IF(OR(ISNA(MATCH($C561,FA,0)),$J561="YEDEK",$J561="SARF"),0,N(#REF!)*N(INDEX(F_TEL,MATCH($C561,FA,0))))</f>
        <v>#REF!</v>
      </c>
      <c r="AB561" s="7" t="e">
        <f>IF(OR(ISNA(MATCH($C561,FA,0)),$J561="YEDEK",$J561="SARF"),0,N(#REF!)*N(INDEX(F_TELM,MATCH($C561,FA,0))))</f>
        <v>#REF!</v>
      </c>
      <c r="AC561" s="7" t="e">
        <f t="shared" si="180"/>
        <v>#REF!</v>
      </c>
      <c r="AD561" s="7" t="e">
        <f>IF(OR(ISNA(MATCH($C561,FA,0)),$J561&lt;&gt;"CIKIS"),0,N(INDEX(F_KK,MATCH($C561,FA,0))))</f>
        <v>#REF!</v>
      </c>
      <c r="AE561" s="7" t="e">
        <f>IF($AD561=0,0,N(#REF!)*N(INDEX(F_KLN,MATCH($C561,FA,0))))</f>
        <v>#REF!</v>
      </c>
      <c r="AF561" s="7" t="e">
        <f>IF($AD561=0,0,N(#REF!)*N(INDEX(F_KPE,MATCH($C561,FA,0))))</f>
        <v>#REF!</v>
      </c>
      <c r="AG561" s="7" t="e">
        <f>IF(ISNA(MATCH($C561,FA,0)),0,N(#REF!)*N(INDEX(F_MODUL,MATCH($C561,FA,0))))</f>
        <v>#REF!</v>
      </c>
      <c r="AH561" s="7" t="e">
        <f>N(#REF!)*N($I561)</f>
        <v>#REF!</v>
      </c>
      <c r="AI561" s="7" t="e">
        <f t="shared" si="181"/>
        <v>#REF!</v>
      </c>
      <c r="AJ561" s="7">
        <f t="shared" si="182"/>
        <v>0</v>
      </c>
    </row>
    <row r="562" spans="1:36" x14ac:dyDescent="0.25">
      <c r="A562" s="4" t="str">
        <f t="shared" si="176"/>
        <v>ЩС-1 (260922 akram aulet)</v>
      </c>
      <c r="B562" s="4" t="s">
        <v>213</v>
      </c>
      <c r="C562" s="4" t="s">
        <v>408</v>
      </c>
      <c r="D562" s="4" t="s">
        <v>409</v>
      </c>
      <c r="E562" s="4" t="s">
        <v>114</v>
      </c>
      <c r="F562" s="4" t="s">
        <v>377</v>
      </c>
      <c r="G562" s="4" t="s">
        <v>318</v>
      </c>
      <c r="H562" s="5" t="e">
        <f>#REF!</f>
        <v>#REF!</v>
      </c>
      <c r="I562" s="6" t="e">
        <f t="shared" si="177"/>
        <v>#REF!</v>
      </c>
      <c r="J562" s="6" t="s">
        <v>52</v>
      </c>
      <c r="K562" s="6" t="s">
        <v>213</v>
      </c>
      <c r="L562" s="7" t="e">
        <f t="shared" si="178"/>
        <v>#REF!</v>
      </c>
      <c r="M562" s="7" t="s">
        <v>326</v>
      </c>
      <c r="N562" s="7" t="s">
        <v>217</v>
      </c>
      <c r="O562" s="7" t="str">
        <f>IF(OR($C562="",$C562="FID YOK"),"",IF(ISNUMBER(MATCH($C562,FA_ANA,0)),"",IF(COUNTIF($C$1:$C561,$C562)&gt;0,"",MAX($O$1:$O561)+1)))</f>
        <v/>
      </c>
      <c r="P562" s="8">
        <v>1</v>
      </c>
      <c r="Q562" s="7" t="e">
        <f>IF(OR($P562="",$P562="G",ISNA(MATCH($C562,FA,0))),"",IF(N(INDEX(F_G,MATCH($C562,FA,0)))&gt;0,INDEX(F_G,MATCH($C562,FA,0)),IF(N(INDEX(F_MODUL,MATCH($C562,FA,0)))&gt;0,INDEX(F_MODUL,MATCH($C562,FA,0))*MODUL_MM,"")))</f>
        <v>#REF!</v>
      </c>
      <c r="R562" s="7" t="e">
        <f>IF(OR($P562="",$P562="G",ISNA(MATCH($C562,FA,0))),"",IF(N(INDEX(F_Y,MATCH($C562,FA,0)))&gt;0,INDEX(F_Y,MATCH($C562,FA,0)),""))</f>
        <v>#REF!</v>
      </c>
      <c r="S562" s="7" t="e">
        <f>IF(OR($P562="",$P562="G",ISNA(MATCH($C562,FA,0))),"",IF(N(INDEX(F_D,MATCH($C562,FA,0)))&gt;0,INDEX(F_D,MATCH($C562,FA,0)),""))</f>
        <v>#REF!</v>
      </c>
      <c r="T562" s="7">
        <f>IF(ISNA(MATCH($C562,FA,0)),0,IF($J562="GIRIS",N(INDEX(F_INKOR,MATCH($C562,FA,0))),0))</f>
        <v>0</v>
      </c>
      <c r="U562" s="7" t="e">
        <f t="shared" si="183"/>
        <v>#REF!</v>
      </c>
      <c r="V562" s="7" t="e">
        <f t="shared" si="184"/>
        <v>#REF!</v>
      </c>
      <c r="W562" s="7" t="e">
        <f>IF(OR(NOT(ISNUMBER($P562)),$Q562=""),"",N(#REF!)*($Q562+IF(ISNA(MATCH($B562,TIP_AD,0)),0,N(INDEX(TIP_BOSLUK,MATCH($B562,TIP_AD,0))))))</f>
        <v>#REF!</v>
      </c>
      <c r="X562" s="7" t="e">
        <f>IF(ISNUMBER($P562),($Q562="")+($R562="")+($V562="")+IF(AND($U562="KONTAKTOR",NOT(ISNA(MATCH($B562,TIP_AD,0)))),IF(INDEX(TIP_BOSLUK,MATCH($B562,TIP_AD,0))&amp;""="",1,0),0),IF($P562="K",IF($S562="",1,0),0))</f>
        <v>#REF!</v>
      </c>
      <c r="Y562" s="7" t="e">
        <f>N(#REF!)*IF($E562="упак",MAX(1,IF(ISNA(MATCH($C562,FA,0)),1,N(INDEX(F_PAKET,MATCH($C562,FA,0))))),1)</f>
        <v>#REF!</v>
      </c>
      <c r="Z562" s="7" t="e">
        <f t="shared" si="179"/>
        <v>#REF!</v>
      </c>
      <c r="AA562" s="7" t="e">
        <f>IF(OR(ISNA(MATCH($C562,FA,0)),$J562="YEDEK",$J562="SARF"),0,N(#REF!)*N(INDEX(F_TEL,MATCH($C562,FA,0))))</f>
        <v>#REF!</v>
      </c>
      <c r="AB562" s="7" t="e">
        <f>IF(OR(ISNA(MATCH($C562,FA,0)),$J562="YEDEK",$J562="SARF"),0,N(#REF!)*N(INDEX(F_TELM,MATCH($C562,FA,0))))</f>
        <v>#REF!</v>
      </c>
      <c r="AC562" s="7" t="e">
        <f t="shared" si="180"/>
        <v>#REF!</v>
      </c>
      <c r="AD562" s="7" t="e">
        <f>IF(OR(ISNA(MATCH($C562,FA,0)),$J562&lt;&gt;"CIKIS"),0,N(INDEX(F_KK,MATCH($C562,FA,0))))</f>
        <v>#REF!</v>
      </c>
      <c r="AE562" s="7" t="e">
        <f>IF($AD562=0,0,N(#REF!)*N(INDEX(F_KLN,MATCH($C562,FA,0))))</f>
        <v>#REF!</v>
      </c>
      <c r="AF562" s="7" t="e">
        <f>IF($AD562=0,0,N(#REF!)*N(INDEX(F_KPE,MATCH($C562,FA,0))))</f>
        <v>#REF!</v>
      </c>
      <c r="AG562" s="7" t="e">
        <f>IF(ISNA(MATCH($C562,FA,0)),0,N(#REF!)*N(INDEX(F_MODUL,MATCH($C562,FA,0))))</f>
        <v>#REF!</v>
      </c>
      <c r="AH562" s="7" t="e">
        <f>N(#REF!)*N($I562)</f>
        <v>#REF!</v>
      </c>
      <c r="AI562" s="7" t="e">
        <f t="shared" si="181"/>
        <v>#REF!</v>
      </c>
      <c r="AJ562" s="7">
        <f t="shared" si="182"/>
        <v>0</v>
      </c>
    </row>
    <row r="563" spans="1:36" x14ac:dyDescent="0.25">
      <c r="A563" s="4" t="str">
        <f t="shared" si="176"/>
        <v>ЩС-1 (260922 akram aulet)</v>
      </c>
      <c r="B563" s="4" t="s">
        <v>213</v>
      </c>
      <c r="C563" s="4" t="s">
        <v>410</v>
      </c>
      <c r="D563" s="4" t="s">
        <v>411</v>
      </c>
      <c r="E563" s="4" t="s">
        <v>114</v>
      </c>
      <c r="F563" s="4" t="s">
        <v>377</v>
      </c>
      <c r="G563" s="4" t="s">
        <v>318</v>
      </c>
      <c r="H563" s="5" t="e">
        <f>#REF!</f>
        <v>#REF!</v>
      </c>
      <c r="I563" s="6" t="e">
        <f t="shared" si="177"/>
        <v>#REF!</v>
      </c>
      <c r="J563" s="6" t="s">
        <v>52</v>
      </c>
      <c r="K563" s="6" t="s">
        <v>213</v>
      </c>
      <c r="L563" s="7" t="e">
        <f t="shared" si="178"/>
        <v>#REF!</v>
      </c>
      <c r="M563" s="7" t="s">
        <v>327</v>
      </c>
      <c r="N563" s="7" t="s">
        <v>215</v>
      </c>
      <c r="O563" s="7" t="str">
        <f>IF(OR($C563="",$C563="FID YOK"),"",IF(ISNUMBER(MATCH($C563,FA_ANA,0)),"",IF(COUNTIF($C$1:$C562,$C563)&gt;0,"",MAX($O$1:$O562)+1)))</f>
        <v/>
      </c>
      <c r="P563" s="8">
        <v>1</v>
      </c>
      <c r="Q563" s="7" t="e">
        <f>IF(OR($P563="",$P563="G",ISNA(MATCH($C563,FA,0))),"",IF(N(INDEX(F_G,MATCH($C563,FA,0)))&gt;0,INDEX(F_G,MATCH($C563,FA,0)),IF(N(INDEX(F_MODUL,MATCH($C563,FA,0)))&gt;0,INDEX(F_MODUL,MATCH($C563,FA,0))*MODUL_MM,"")))</f>
        <v>#REF!</v>
      </c>
      <c r="R563" s="7" t="e">
        <f>IF(OR($P563="",$P563="G",ISNA(MATCH($C563,FA,0))),"",IF(N(INDEX(F_Y,MATCH($C563,FA,0)))&gt;0,INDEX(F_Y,MATCH($C563,FA,0)),""))</f>
        <v>#REF!</v>
      </c>
      <c r="S563" s="7" t="e">
        <f>IF(OR($P563="",$P563="G",ISNA(MATCH($C563,FA,0))),"",IF(N(INDEX(F_D,MATCH($C563,FA,0)))&gt;0,INDEX(F_D,MATCH($C563,FA,0)),""))</f>
        <v>#REF!</v>
      </c>
      <c r="T563" s="7">
        <f>IF(ISNA(MATCH($C563,FA,0)),0,IF($J563="GIRIS",N(INDEX(F_INKOR,MATCH($C563,FA,0))),0))</f>
        <v>0</v>
      </c>
      <c r="U563" s="7" t="e">
        <f t="shared" si="183"/>
        <v>#REF!</v>
      </c>
      <c r="V563" s="7" t="e">
        <f t="shared" si="184"/>
        <v>#REF!</v>
      </c>
      <c r="W563" s="7" t="e">
        <f>IF(OR(NOT(ISNUMBER($P563)),$Q563=""),"",N(#REF!)*($Q563+IF(ISNA(MATCH($B563,TIP_AD,0)),0,N(INDEX(TIP_BOSLUK,MATCH($B563,TIP_AD,0))))))</f>
        <v>#REF!</v>
      </c>
      <c r="X563" s="7" t="e">
        <f>IF(ISNUMBER($P563),($Q563="")+($R563="")+($V563="")+IF(AND($U563="KONTAKTOR",NOT(ISNA(MATCH($B563,TIP_AD,0)))),IF(INDEX(TIP_BOSLUK,MATCH($B563,TIP_AD,0))&amp;""="",1,0),0),IF($P563="K",IF($S563="",1,0),0))</f>
        <v>#REF!</v>
      </c>
      <c r="Y563" s="7" t="e">
        <f>N(#REF!)*IF($E563="упак",MAX(1,IF(ISNA(MATCH($C563,FA,0)),1,N(INDEX(F_PAKET,MATCH($C563,FA,0))))),1)</f>
        <v>#REF!</v>
      </c>
      <c r="Z563" s="7" t="e">
        <f t="shared" si="179"/>
        <v>#REF!</v>
      </c>
      <c r="AA563" s="7" t="e">
        <f>IF(OR(ISNA(MATCH($C563,FA,0)),$J563="YEDEK",$J563="SARF"),0,N(#REF!)*N(INDEX(F_TEL,MATCH($C563,FA,0))))</f>
        <v>#REF!</v>
      </c>
      <c r="AB563" s="7" t="e">
        <f>IF(OR(ISNA(MATCH($C563,FA,0)),$J563="YEDEK",$J563="SARF"),0,N(#REF!)*N(INDEX(F_TELM,MATCH($C563,FA,0))))</f>
        <v>#REF!</v>
      </c>
      <c r="AC563" s="7" t="e">
        <f t="shared" si="180"/>
        <v>#REF!</v>
      </c>
      <c r="AD563" s="7" t="e">
        <f>IF(OR(ISNA(MATCH($C563,FA,0)),$J563&lt;&gt;"CIKIS"),0,N(INDEX(F_KK,MATCH($C563,FA,0))))</f>
        <v>#REF!</v>
      </c>
      <c r="AE563" s="7" t="e">
        <f>IF($AD563=0,0,N(#REF!)*N(INDEX(F_KLN,MATCH($C563,FA,0))))</f>
        <v>#REF!</v>
      </c>
      <c r="AF563" s="7" t="e">
        <f>IF($AD563=0,0,N(#REF!)*N(INDEX(F_KPE,MATCH($C563,FA,0))))</f>
        <v>#REF!</v>
      </c>
      <c r="AG563" s="7" t="e">
        <f>IF(ISNA(MATCH($C563,FA,0)),0,N(#REF!)*N(INDEX(F_MODUL,MATCH($C563,FA,0))))</f>
        <v>#REF!</v>
      </c>
      <c r="AH563" s="7" t="e">
        <f>N(#REF!)*N($I563)</f>
        <v>#REF!</v>
      </c>
      <c r="AI563" s="7" t="e">
        <f t="shared" si="181"/>
        <v>#REF!</v>
      </c>
      <c r="AJ563" s="7">
        <f t="shared" si="182"/>
        <v>0</v>
      </c>
    </row>
    <row r="564" spans="1:36" x14ac:dyDescent="0.25">
      <c r="A564" s="4" t="str">
        <f t="shared" si="176"/>
        <v>ЩС-1 (260922 akram aulet)</v>
      </c>
      <c r="B564" s="4" t="s">
        <v>218</v>
      </c>
      <c r="C564" s="4" t="s">
        <v>487</v>
      </c>
      <c r="D564" s="4" t="s">
        <v>488</v>
      </c>
      <c r="E564" s="4" t="s">
        <v>114</v>
      </c>
      <c r="F564" s="4" t="s">
        <v>486</v>
      </c>
      <c r="G564" s="4" t="s">
        <v>318</v>
      </c>
      <c r="H564" s="5" t="e">
        <f>#REF!</f>
        <v>#REF!</v>
      </c>
      <c r="I564" s="6" t="e">
        <f t="shared" si="177"/>
        <v>#REF!</v>
      </c>
      <c r="J564" s="6" t="s">
        <v>66</v>
      </c>
      <c r="K564" s="6" t="s">
        <v>218</v>
      </c>
      <c r="L564" s="7" t="e">
        <f t="shared" si="178"/>
        <v>#REF!</v>
      </c>
      <c r="M564" s="7" t="s">
        <v>328</v>
      </c>
      <c r="N564" s="7" t="s">
        <v>220</v>
      </c>
      <c r="O564" s="7" t="str">
        <f>IF(OR($C564="",$C564="FID YOK"),"",IF(ISNUMBER(MATCH($C564,FA_ANA,0)),"",IF(COUNTIF($C$1:$C563,$C564)&gt;0,"",MAX($O$1:$O563)+1)))</f>
        <v/>
      </c>
      <c r="P564" s="8">
        <v>1</v>
      </c>
      <c r="Q564" s="7" t="e">
        <f>IF(OR($P564="",$P564="G",ISNA(MATCH($C564,FA,0))),"",IF(N(INDEX(F_G,MATCH($C564,FA,0)))&gt;0,INDEX(F_G,MATCH($C564,FA,0)),IF(N(INDEX(F_MODUL,MATCH($C564,FA,0)))&gt;0,INDEX(F_MODUL,MATCH($C564,FA,0))*MODUL_MM,"")))</f>
        <v>#REF!</v>
      </c>
      <c r="R564" s="7" t="e">
        <f>IF(OR($P564="",$P564="G",ISNA(MATCH($C564,FA,0))),"",IF(N(INDEX(F_Y,MATCH($C564,FA,0)))&gt;0,INDEX(F_Y,MATCH($C564,FA,0)),""))</f>
        <v>#REF!</v>
      </c>
      <c r="S564" s="7" t="e">
        <f>IF(OR($P564="",$P564="G",ISNA(MATCH($C564,FA,0))),"",IF(N(INDEX(F_D,MATCH($C564,FA,0)))&gt;0,INDEX(F_D,MATCH($C564,FA,0)),""))</f>
        <v>#REF!</v>
      </c>
      <c r="T564" s="7">
        <f>IF(ISNA(MATCH($C564,FA,0)),0,IF($J564="GIRIS",N(INDEX(F_INKOR,MATCH($C564,FA,0))),0))</f>
        <v>0</v>
      </c>
      <c r="U564" s="7" t="e">
        <f t="shared" si="183"/>
        <v>#REF!</v>
      </c>
      <c r="V564" s="7" t="e">
        <f t="shared" si="184"/>
        <v>#REF!</v>
      </c>
      <c r="W564" s="7" t="e">
        <f>IF(OR(NOT(ISNUMBER($P564)),$Q564=""),"",N(#REF!)*($Q564+IF(ISNA(MATCH($B564,TIP_AD,0)),0,N(INDEX(TIP_BOSLUK,MATCH($B564,TIP_AD,0))))))</f>
        <v>#REF!</v>
      </c>
      <c r="X564" s="7" t="e">
        <f>IF(ISNUMBER($P564),($Q564="")+($R564="")+($V564="")+IF(AND($U564="KONTAKTOR",NOT(ISNA(MATCH($B564,TIP_AD,0)))),IF(INDEX(TIP_BOSLUK,MATCH($B564,TIP_AD,0))&amp;""="",1,0),0),IF($P564="K",IF($S564="",1,0),0))</f>
        <v>#REF!</v>
      </c>
      <c r="Y564" s="7" t="e">
        <f>N(#REF!)*IF($E564="упак",MAX(1,IF(ISNA(MATCH($C564,FA,0)),1,N(INDEX(F_PAKET,MATCH($C564,FA,0))))),1)</f>
        <v>#REF!</v>
      </c>
      <c r="Z564" s="7" t="e">
        <f t="shared" si="179"/>
        <v>#REF!</v>
      </c>
      <c r="AA564" s="7" t="e">
        <f>IF(OR(ISNA(MATCH($C564,FA,0)),$J564="YEDEK",$J564="SARF"),0,N(#REF!)*N(INDEX(F_TEL,MATCH($C564,FA,0))))</f>
        <v>#REF!</v>
      </c>
      <c r="AB564" s="7" t="e">
        <f>IF(OR(ISNA(MATCH($C564,FA,0)),$J564="YEDEK",$J564="SARF"),0,N(#REF!)*N(INDEX(F_TELM,MATCH($C564,FA,0))))</f>
        <v>#REF!</v>
      </c>
      <c r="AC564" s="7" t="e">
        <f t="shared" si="180"/>
        <v>#REF!</v>
      </c>
      <c r="AD564" s="7">
        <f>IF(OR(ISNA(MATCH($C564,FA,0)),$J564&lt;&gt;"CIKIS"),0,N(INDEX(F_KK,MATCH($C564,FA,0))))</f>
        <v>0</v>
      </c>
      <c r="AE564" s="7">
        <f>IF($AD564=0,0,N(#REF!)*N(INDEX(F_KLN,MATCH($C564,FA,0))))</f>
        <v>0</v>
      </c>
      <c r="AF564" s="7">
        <f>IF($AD564=0,0,N(#REF!)*N(INDEX(F_KPE,MATCH($C564,FA,0))))</f>
        <v>0</v>
      </c>
      <c r="AG564" s="7" t="e">
        <f>IF(ISNA(MATCH($C564,FA,0)),0,N(#REF!)*N(INDEX(F_MODUL,MATCH($C564,FA,0))))</f>
        <v>#REF!</v>
      </c>
      <c r="AH564" s="7" t="e">
        <f>N(#REF!)*N($I564)</f>
        <v>#REF!</v>
      </c>
      <c r="AI564" s="7" t="e">
        <f t="shared" si="181"/>
        <v>#REF!</v>
      </c>
      <c r="AJ564" s="7">
        <f t="shared" si="182"/>
        <v>0</v>
      </c>
    </row>
    <row r="565" spans="1:36" x14ac:dyDescent="0.25">
      <c r="A565" s="4" t="str">
        <f t="shared" si="176"/>
        <v>ЩС-1 (260922 akram aulet)</v>
      </c>
      <c r="B565" s="4" t="s">
        <v>202</v>
      </c>
      <c r="C565" s="4" t="s">
        <v>581</v>
      </c>
      <c r="D565" s="4" t="s">
        <v>582</v>
      </c>
      <c r="E565" s="4" t="s">
        <v>114</v>
      </c>
      <c r="F565" s="4" t="s">
        <v>486</v>
      </c>
      <c r="G565" s="4" t="s">
        <v>318</v>
      </c>
      <c r="H565" s="5" t="e">
        <f>#REF!</f>
        <v>#REF!</v>
      </c>
      <c r="I565" s="6" t="e">
        <f t="shared" si="177"/>
        <v>#REF!</v>
      </c>
      <c r="J565" s="6" t="s">
        <v>84</v>
      </c>
      <c r="K565" s="6" t="s">
        <v>202</v>
      </c>
      <c r="L565" s="7" t="e">
        <f t="shared" si="178"/>
        <v>#REF!</v>
      </c>
      <c r="M565" s="7" t="s">
        <v>203</v>
      </c>
      <c r="O565" s="7" t="str">
        <f>IF(OR($C565="",$C565="FID YOK"),"",IF(ISNUMBER(MATCH($C565,FA_ANA,0)),"",IF(COUNTIF($C$1:$C564,$C565)&gt;0,"",MAX($O$1:$O564)+1)))</f>
        <v/>
      </c>
      <c r="T565" s="7">
        <f>IF(ISNA(MATCH($C565,FA,0)),0,IF($J565="GIRIS",N(INDEX(F_INKOR,MATCH($C565,FA,0))),0))</f>
        <v>0</v>
      </c>
      <c r="Y565" s="7" t="e">
        <f>N(#REF!)*IF($E565="упак",MAX(1,IF(ISNA(MATCH($C565,FA,0)),1,N(INDEX(F_PAKET,MATCH($C565,FA,0))))),1)</f>
        <v>#REF!</v>
      </c>
      <c r="Z565" s="7" t="e">
        <f t="shared" si="179"/>
        <v>#REF!</v>
      </c>
      <c r="AA565" s="7">
        <f>IF(OR(ISNA(MATCH($C565,FA,0)),$J565="YEDEK",$J565="SARF"),0,N(#REF!)*N(INDEX(F_TEL,MATCH($C565,FA,0))))</f>
        <v>0</v>
      </c>
      <c r="AB565" s="7">
        <f>IF(OR(ISNA(MATCH($C565,FA,0)),$J565="YEDEK",$J565="SARF"),0,N(#REF!)*N(INDEX(F_TELM,MATCH($C565,FA,0))))</f>
        <v>0</v>
      </c>
      <c r="AC565" s="7" t="e">
        <f t="shared" si="180"/>
        <v>#REF!</v>
      </c>
      <c r="AD565" s="7">
        <f>IF(OR(ISNA(MATCH($C565,FA,0)),$J565&lt;&gt;"CIKIS"),0,N(INDEX(F_KK,MATCH($C565,FA,0))))</f>
        <v>0</v>
      </c>
      <c r="AE565" s="7">
        <f>IF($AD565=0,0,N(#REF!)*N(INDEX(F_KLN,MATCH($C565,FA,0))))</f>
        <v>0</v>
      </c>
      <c r="AF565" s="7">
        <f>IF($AD565=0,0,N(#REF!)*N(INDEX(F_KPE,MATCH($C565,FA,0))))</f>
        <v>0</v>
      </c>
      <c r="AG565" s="7" t="e">
        <f>IF(ISNA(MATCH($C565,FA,0)),0,N(#REF!)*N(INDEX(F_MODUL,MATCH($C565,FA,0))))</f>
        <v>#REF!</v>
      </c>
      <c r="AH565" s="7" t="e">
        <f>N(#REF!)*N($I565)</f>
        <v>#REF!</v>
      </c>
      <c r="AI565" s="7" t="e">
        <f t="shared" si="181"/>
        <v>#REF!</v>
      </c>
      <c r="AJ565" s="7">
        <f t="shared" si="182"/>
        <v>0</v>
      </c>
    </row>
    <row r="566" spans="1:36" x14ac:dyDescent="0.25">
      <c r="A566" s="4" t="str">
        <f t="shared" si="176"/>
        <v>ЩС-1 (260922 akram aulet)</v>
      </c>
      <c r="B566" s="4" t="s">
        <v>202</v>
      </c>
      <c r="C566" s="4" t="s">
        <v>579</v>
      </c>
      <c r="D566" s="4" t="s">
        <v>580</v>
      </c>
      <c r="E566" s="4" t="s">
        <v>114</v>
      </c>
      <c r="F566" s="4" t="s">
        <v>486</v>
      </c>
      <c r="G566" s="4" t="s">
        <v>318</v>
      </c>
      <c r="H566" s="5" t="e">
        <f>#REF!</f>
        <v>#REF!</v>
      </c>
      <c r="I566" s="6" t="e">
        <f t="shared" si="177"/>
        <v>#REF!</v>
      </c>
      <c r="J566" s="6" t="s">
        <v>84</v>
      </c>
      <c r="K566" s="6" t="s">
        <v>202</v>
      </c>
      <c r="L566" s="7" t="e">
        <f t="shared" si="178"/>
        <v>#REF!</v>
      </c>
      <c r="M566" s="7" t="s">
        <v>204</v>
      </c>
      <c r="O566" s="7" t="str">
        <f>IF(OR($C566="",$C566="FID YOK"),"",IF(ISNUMBER(MATCH($C566,FA_ANA,0)),"",IF(COUNTIF($C$1:$C565,$C566)&gt;0,"",MAX($O$1:$O565)+1)))</f>
        <v/>
      </c>
      <c r="T566" s="7">
        <f>IF(ISNA(MATCH($C566,FA,0)),0,IF($J566="GIRIS",N(INDEX(F_INKOR,MATCH($C566,FA,0))),0))</f>
        <v>0</v>
      </c>
      <c r="Y566" s="7" t="e">
        <f>N(#REF!)*IF($E566="упак",MAX(1,IF(ISNA(MATCH($C566,FA,0)),1,N(INDEX(F_PAKET,MATCH($C566,FA,0))))),1)</f>
        <v>#REF!</v>
      </c>
      <c r="Z566" s="7" t="e">
        <f t="shared" si="179"/>
        <v>#REF!</v>
      </c>
      <c r="AA566" s="7">
        <f>IF(OR(ISNA(MATCH($C566,FA,0)),$J566="YEDEK",$J566="SARF"),0,N(#REF!)*N(INDEX(F_TEL,MATCH($C566,FA,0))))</f>
        <v>0</v>
      </c>
      <c r="AB566" s="7">
        <f>IF(OR(ISNA(MATCH($C566,FA,0)),$J566="YEDEK",$J566="SARF"),0,N(#REF!)*N(INDEX(F_TELM,MATCH($C566,FA,0))))</f>
        <v>0</v>
      </c>
      <c r="AC566" s="7" t="e">
        <f t="shared" si="180"/>
        <v>#REF!</v>
      </c>
      <c r="AD566" s="7">
        <f>IF(OR(ISNA(MATCH($C566,FA,0)),$J566&lt;&gt;"CIKIS"),0,N(INDEX(F_KK,MATCH($C566,FA,0))))</f>
        <v>0</v>
      </c>
      <c r="AE566" s="7">
        <f>IF($AD566=0,0,N(#REF!)*N(INDEX(F_KLN,MATCH($C566,FA,0))))</f>
        <v>0</v>
      </c>
      <c r="AF566" s="7">
        <f>IF($AD566=0,0,N(#REF!)*N(INDEX(F_KPE,MATCH($C566,FA,0))))</f>
        <v>0</v>
      </c>
      <c r="AG566" s="7" t="e">
        <f>IF(ISNA(MATCH($C566,FA,0)),0,N(#REF!)*N(INDEX(F_MODUL,MATCH($C566,FA,0))))</f>
        <v>#REF!</v>
      </c>
      <c r="AH566" s="7" t="e">
        <f>N(#REF!)*N($I566)</f>
        <v>#REF!</v>
      </c>
      <c r="AI566" s="7" t="e">
        <f t="shared" si="181"/>
        <v>#REF!</v>
      </c>
      <c r="AJ566" s="7">
        <f t="shared" si="182"/>
        <v>0</v>
      </c>
    </row>
    <row r="567" spans="1:36" x14ac:dyDescent="0.25">
      <c r="A567" s="4" t="str">
        <f t="shared" si="176"/>
        <v>ЩС-1 (260922 akram aulet)</v>
      </c>
      <c r="B567" s="4" t="s">
        <v>92</v>
      </c>
      <c r="C567" s="4" t="s">
        <v>523</v>
      </c>
      <c r="D567" s="4" t="s">
        <v>524</v>
      </c>
      <c r="E567" s="4" t="s">
        <v>520</v>
      </c>
      <c r="F567" s="4" t="s">
        <v>521</v>
      </c>
      <c r="G567" s="4" t="s">
        <v>318</v>
      </c>
      <c r="H567" s="5" t="e">
        <f>#REF!</f>
        <v>#REF!</v>
      </c>
      <c r="I567" s="6" t="e">
        <f t="shared" si="177"/>
        <v>#REF!</v>
      </c>
      <c r="J567" s="6" t="s">
        <v>84</v>
      </c>
      <c r="K567" s="6" t="s">
        <v>92</v>
      </c>
      <c r="L567" s="7" t="e">
        <f t="shared" si="178"/>
        <v>#REF!</v>
      </c>
      <c r="M567" s="7" t="s">
        <v>93</v>
      </c>
      <c r="O567" s="7" t="str">
        <f>IF(OR($C567="",$C567="FID YOK"),"",IF(ISNUMBER(MATCH($C567,FA_ANA,0)),"",IF(COUNTIF($C$1:$C566,$C567)&gt;0,"",MAX($O$1:$O566)+1)))</f>
        <v/>
      </c>
      <c r="T567" s="7">
        <f>IF(ISNA(MATCH($C567,FA,0)),0,IF($J567="GIRIS",N(INDEX(F_INKOR,MATCH($C567,FA,0))),0))</f>
        <v>0</v>
      </c>
      <c r="Y567" s="7" t="e">
        <f>N(#REF!)*IF($E567="упак",MAX(1,IF(ISNA(MATCH($C567,FA,0)),1,N(INDEX(F_PAKET,MATCH($C567,FA,0))))),1)</f>
        <v>#REF!</v>
      </c>
      <c r="Z567" s="7" t="e">
        <f t="shared" si="179"/>
        <v>#REF!</v>
      </c>
      <c r="AA567" s="7">
        <f>IF(OR(ISNA(MATCH($C567,FA,0)),$J567="YEDEK",$J567="SARF"),0,N(#REF!)*N(INDEX(F_TEL,MATCH($C567,FA,0))))</f>
        <v>0</v>
      </c>
      <c r="AB567" s="7">
        <f>IF(OR(ISNA(MATCH($C567,FA,0)),$J567="YEDEK",$J567="SARF"),0,N(#REF!)*N(INDEX(F_TELM,MATCH($C567,FA,0))))</f>
        <v>0</v>
      </c>
      <c r="AC567" s="7" t="e">
        <f t="shared" si="180"/>
        <v>#REF!</v>
      </c>
      <c r="AD567" s="7">
        <f>IF(OR(ISNA(MATCH($C567,FA,0)),$J567&lt;&gt;"CIKIS"),0,N(INDEX(F_KK,MATCH($C567,FA,0))))</f>
        <v>0</v>
      </c>
      <c r="AE567" s="7">
        <f>IF($AD567=0,0,N(#REF!)*N(INDEX(F_KLN,MATCH($C567,FA,0))))</f>
        <v>0</v>
      </c>
      <c r="AF567" s="7">
        <f>IF($AD567=0,0,N(#REF!)*N(INDEX(F_KPE,MATCH($C567,FA,0))))</f>
        <v>0</v>
      </c>
      <c r="AG567" s="7" t="e">
        <f>IF(ISNA(MATCH($C567,FA,0)),0,N(#REF!)*N(INDEX(F_MODUL,MATCH($C567,FA,0))))</f>
        <v>#REF!</v>
      </c>
      <c r="AH567" s="7" t="e">
        <f>N(#REF!)*N($I567)</f>
        <v>#REF!</v>
      </c>
      <c r="AI567" s="7" t="e">
        <f t="shared" si="181"/>
        <v>#REF!</v>
      </c>
      <c r="AJ567" s="7">
        <f t="shared" si="182"/>
        <v>0</v>
      </c>
    </row>
    <row r="568" spans="1:36" x14ac:dyDescent="0.25">
      <c r="A568" s="4" t="str">
        <f t="shared" si="176"/>
        <v>ЩС-1 (260922 akram aulet)</v>
      </c>
      <c r="B568" s="4" t="s">
        <v>92</v>
      </c>
      <c r="C568" s="4" t="s">
        <v>527</v>
      </c>
      <c r="D568" s="4" t="s">
        <v>528</v>
      </c>
      <c r="E568" s="4" t="s">
        <v>520</v>
      </c>
      <c r="F568" s="4" t="s">
        <v>521</v>
      </c>
      <c r="G568" s="4" t="s">
        <v>318</v>
      </c>
      <c r="H568" s="5" t="e">
        <f>#REF!</f>
        <v>#REF!</v>
      </c>
      <c r="I568" s="6" t="e">
        <f t="shared" si="177"/>
        <v>#REF!</v>
      </c>
      <c r="J568" s="6" t="s">
        <v>84</v>
      </c>
      <c r="K568" s="6" t="s">
        <v>92</v>
      </c>
      <c r="L568" s="7" t="e">
        <f t="shared" si="178"/>
        <v>#REF!</v>
      </c>
      <c r="M568" s="7" t="s">
        <v>94</v>
      </c>
      <c r="O568" s="7" t="str">
        <f>IF(OR($C568="",$C568="FID YOK"),"",IF(ISNUMBER(MATCH($C568,FA_ANA,0)),"",IF(COUNTIF($C$1:$C567,$C568)&gt;0,"",MAX($O$1:$O567)+1)))</f>
        <v/>
      </c>
      <c r="T568" s="7">
        <f>IF(ISNA(MATCH($C568,FA,0)),0,IF($J568="GIRIS",N(INDEX(F_INKOR,MATCH($C568,FA,0))),0))</f>
        <v>0</v>
      </c>
      <c r="Y568" s="7" t="e">
        <f>N(#REF!)*IF($E568="упак",MAX(1,IF(ISNA(MATCH($C568,FA,0)),1,N(INDEX(F_PAKET,MATCH($C568,FA,0))))),1)</f>
        <v>#REF!</v>
      </c>
      <c r="Z568" s="7" t="e">
        <f t="shared" si="179"/>
        <v>#REF!</v>
      </c>
      <c r="AA568" s="7">
        <f>IF(OR(ISNA(MATCH($C568,FA,0)),$J568="YEDEK",$J568="SARF"),0,N(#REF!)*N(INDEX(F_TEL,MATCH($C568,FA,0))))</f>
        <v>0</v>
      </c>
      <c r="AB568" s="7">
        <f>IF(OR(ISNA(MATCH($C568,FA,0)),$J568="YEDEK",$J568="SARF"),0,N(#REF!)*N(INDEX(F_TELM,MATCH($C568,FA,0))))</f>
        <v>0</v>
      </c>
      <c r="AC568" s="7" t="e">
        <f t="shared" si="180"/>
        <v>#REF!</v>
      </c>
      <c r="AD568" s="7">
        <f>IF(OR(ISNA(MATCH($C568,FA,0)),$J568&lt;&gt;"CIKIS"),0,N(INDEX(F_KK,MATCH($C568,FA,0))))</f>
        <v>0</v>
      </c>
      <c r="AE568" s="7">
        <f>IF($AD568=0,0,N(#REF!)*N(INDEX(F_KLN,MATCH($C568,FA,0))))</f>
        <v>0</v>
      </c>
      <c r="AF568" s="7">
        <f>IF($AD568=0,0,N(#REF!)*N(INDEX(F_KPE,MATCH($C568,FA,0))))</f>
        <v>0</v>
      </c>
      <c r="AG568" s="7" t="e">
        <f>IF(ISNA(MATCH($C568,FA,0)),0,N(#REF!)*N(INDEX(F_MODUL,MATCH($C568,FA,0))))</f>
        <v>#REF!</v>
      </c>
      <c r="AH568" s="7" t="e">
        <f>N(#REF!)*N($I568)</f>
        <v>#REF!</v>
      </c>
      <c r="AI568" s="7" t="e">
        <f t="shared" si="181"/>
        <v>#REF!</v>
      </c>
      <c r="AJ568" s="7">
        <f t="shared" si="182"/>
        <v>0</v>
      </c>
    </row>
    <row r="569" spans="1:36" x14ac:dyDescent="0.25">
      <c r="A569" s="4" t="str">
        <f t="shared" si="176"/>
        <v>ЩС-1 (260922 akram aulet)</v>
      </c>
      <c r="B569" s="4" t="s">
        <v>92</v>
      </c>
      <c r="C569" s="4" t="s">
        <v>535</v>
      </c>
      <c r="D569" s="4" t="s">
        <v>536</v>
      </c>
      <c r="E569" s="4" t="s">
        <v>520</v>
      </c>
      <c r="F569" s="4" t="s">
        <v>521</v>
      </c>
      <c r="G569" s="4" t="s">
        <v>318</v>
      </c>
      <c r="H569" s="5" t="e">
        <f>#REF!</f>
        <v>#REF!</v>
      </c>
      <c r="I569" s="6" t="e">
        <f t="shared" si="177"/>
        <v>#REF!</v>
      </c>
      <c r="J569" s="6" t="s">
        <v>84</v>
      </c>
      <c r="K569" s="6" t="s">
        <v>92</v>
      </c>
      <c r="L569" s="7" t="e">
        <f t="shared" si="178"/>
        <v>#REF!</v>
      </c>
      <c r="M569" s="7" t="s">
        <v>130</v>
      </c>
      <c r="O569" s="7" t="str">
        <f>IF(OR($C569="",$C569="FID YOK"),"",IF(ISNUMBER(MATCH($C569,FA_ANA,0)),"",IF(COUNTIF($C$1:$C568,$C569)&gt;0,"",MAX($O$1:$O568)+1)))</f>
        <v/>
      </c>
      <c r="T569" s="7">
        <f>IF(ISNA(MATCH($C569,FA,0)),0,IF($J569="GIRIS",N(INDEX(F_INKOR,MATCH($C569,FA,0))),0))</f>
        <v>0</v>
      </c>
      <c r="Y569" s="7" t="e">
        <f>N(#REF!)*IF($E569="упак",MAX(1,IF(ISNA(MATCH($C569,FA,0)),1,N(INDEX(F_PAKET,MATCH($C569,FA,0))))),1)</f>
        <v>#REF!</v>
      </c>
      <c r="Z569" s="7" t="e">
        <f t="shared" si="179"/>
        <v>#REF!</v>
      </c>
      <c r="AA569" s="7">
        <f>IF(OR(ISNA(MATCH($C569,FA,0)),$J569="YEDEK",$J569="SARF"),0,N(#REF!)*N(INDEX(F_TEL,MATCH($C569,FA,0))))</f>
        <v>0</v>
      </c>
      <c r="AB569" s="7">
        <f>IF(OR(ISNA(MATCH($C569,FA,0)),$J569="YEDEK",$J569="SARF"),0,N(#REF!)*N(INDEX(F_TELM,MATCH($C569,FA,0))))</f>
        <v>0</v>
      </c>
      <c r="AC569" s="7" t="e">
        <f t="shared" si="180"/>
        <v>#REF!</v>
      </c>
      <c r="AD569" s="7">
        <f>IF(OR(ISNA(MATCH($C569,FA,0)),$J569&lt;&gt;"CIKIS"),0,N(INDEX(F_KK,MATCH($C569,FA,0))))</f>
        <v>0</v>
      </c>
      <c r="AE569" s="7">
        <f>IF($AD569=0,0,N(#REF!)*N(INDEX(F_KLN,MATCH($C569,FA,0))))</f>
        <v>0</v>
      </c>
      <c r="AF569" s="7">
        <f>IF($AD569=0,0,N(#REF!)*N(INDEX(F_KPE,MATCH($C569,FA,0))))</f>
        <v>0</v>
      </c>
      <c r="AG569" s="7" t="e">
        <f>IF(ISNA(MATCH($C569,FA,0)),0,N(#REF!)*N(INDEX(F_MODUL,MATCH($C569,FA,0))))</f>
        <v>#REF!</v>
      </c>
      <c r="AH569" s="7" t="e">
        <f>N(#REF!)*N($I569)</f>
        <v>#REF!</v>
      </c>
      <c r="AI569" s="7" t="e">
        <f t="shared" si="181"/>
        <v>#REF!</v>
      </c>
      <c r="AJ569" s="7">
        <f t="shared" si="182"/>
        <v>0</v>
      </c>
    </row>
    <row r="570" spans="1:36" x14ac:dyDescent="0.25">
      <c r="A570" s="4" t="str">
        <f t="shared" si="176"/>
        <v>ЩС-1 (260922 akram aulet)</v>
      </c>
      <c r="B570" s="4" t="s">
        <v>92</v>
      </c>
      <c r="C570" s="4" t="s">
        <v>535</v>
      </c>
      <c r="D570" s="4" t="s">
        <v>536</v>
      </c>
      <c r="E570" s="4" t="s">
        <v>520</v>
      </c>
      <c r="F570" s="4" t="s">
        <v>521</v>
      </c>
      <c r="G570" s="4" t="s">
        <v>318</v>
      </c>
      <c r="H570" s="5" t="e">
        <f>#REF!</f>
        <v>#REF!</v>
      </c>
      <c r="I570" s="6" t="e">
        <f t="shared" si="177"/>
        <v>#REF!</v>
      </c>
      <c r="J570" s="6" t="s">
        <v>84</v>
      </c>
      <c r="K570" s="6" t="s">
        <v>92</v>
      </c>
      <c r="L570" s="7" t="e">
        <f t="shared" si="178"/>
        <v>#REF!</v>
      </c>
      <c r="M570" s="7" t="s">
        <v>100</v>
      </c>
      <c r="O570" s="7" t="str">
        <f>IF(OR($C570="",$C570="FID YOK"),"",IF(ISNUMBER(MATCH($C570,FA_ANA,0)),"",IF(COUNTIF($C$1:$C569,$C570)&gt;0,"",MAX($O$1:$O569)+1)))</f>
        <v/>
      </c>
      <c r="T570" s="7">
        <f>IF(ISNA(MATCH($C570,FA,0)),0,IF($J570="GIRIS",N(INDEX(F_INKOR,MATCH($C570,FA,0))),0))</f>
        <v>0</v>
      </c>
      <c r="Y570" s="7" t="e">
        <f>N(#REF!)*IF($E570="упак",MAX(1,IF(ISNA(MATCH($C570,FA,0)),1,N(INDEX(F_PAKET,MATCH($C570,FA,0))))),1)</f>
        <v>#REF!</v>
      </c>
      <c r="Z570" s="7" t="e">
        <f t="shared" si="179"/>
        <v>#REF!</v>
      </c>
      <c r="AA570" s="7">
        <f>IF(OR(ISNA(MATCH($C570,FA,0)),$J570="YEDEK",$J570="SARF"),0,N(#REF!)*N(INDEX(F_TEL,MATCH($C570,FA,0))))</f>
        <v>0</v>
      </c>
      <c r="AB570" s="7">
        <f>IF(OR(ISNA(MATCH($C570,FA,0)),$J570="YEDEK",$J570="SARF"),0,N(#REF!)*N(INDEX(F_TELM,MATCH($C570,FA,0))))</f>
        <v>0</v>
      </c>
      <c r="AC570" s="7" t="e">
        <f t="shared" si="180"/>
        <v>#REF!</v>
      </c>
      <c r="AD570" s="7">
        <f>IF(OR(ISNA(MATCH($C570,FA,0)),$J570&lt;&gt;"CIKIS"),0,N(INDEX(F_KK,MATCH($C570,FA,0))))</f>
        <v>0</v>
      </c>
      <c r="AE570" s="7">
        <f>IF($AD570=0,0,N(#REF!)*N(INDEX(F_KLN,MATCH($C570,FA,0))))</f>
        <v>0</v>
      </c>
      <c r="AF570" s="7">
        <f>IF($AD570=0,0,N(#REF!)*N(INDEX(F_KPE,MATCH($C570,FA,0))))</f>
        <v>0</v>
      </c>
      <c r="AG570" s="7" t="e">
        <f>IF(ISNA(MATCH($C570,FA,0)),0,N(#REF!)*N(INDEX(F_MODUL,MATCH($C570,FA,0))))</f>
        <v>#REF!</v>
      </c>
      <c r="AH570" s="7" t="e">
        <f>N(#REF!)*N($I570)</f>
        <v>#REF!</v>
      </c>
      <c r="AI570" s="7" t="e">
        <f t="shared" si="181"/>
        <v>#REF!</v>
      </c>
      <c r="AJ570" s="7">
        <f t="shared" si="182"/>
        <v>0</v>
      </c>
    </row>
    <row r="571" spans="1:36" x14ac:dyDescent="0.25">
      <c r="A571" s="4" t="str">
        <f t="shared" si="176"/>
        <v>ЩС-1 (260922 akram aulet)</v>
      </c>
      <c r="B571" s="4" t="s">
        <v>101</v>
      </c>
      <c r="C571" s="4" t="s">
        <v>525</v>
      </c>
      <c r="D571" s="4" t="s">
        <v>526</v>
      </c>
      <c r="E571" s="4" t="s">
        <v>522</v>
      </c>
      <c r="F571" s="4" t="s">
        <v>486</v>
      </c>
      <c r="G571" s="4" t="s">
        <v>318</v>
      </c>
      <c r="H571" s="5" t="e">
        <f>#REF!</f>
        <v>#REF!</v>
      </c>
      <c r="I571" s="6" t="e">
        <f t="shared" si="177"/>
        <v>#REF!</v>
      </c>
      <c r="J571" s="6" t="s">
        <v>84</v>
      </c>
      <c r="K571" s="6" t="s">
        <v>101</v>
      </c>
      <c r="L571" s="7" t="e">
        <f t="shared" si="178"/>
        <v>#REF!</v>
      </c>
      <c r="M571" s="7" t="s">
        <v>102</v>
      </c>
      <c r="O571" s="7" t="str">
        <f>IF(OR($C571="",$C571="FID YOK"),"",IF(ISNUMBER(MATCH($C571,FA_ANA,0)),"",IF(COUNTIF($C$1:$C570,$C571)&gt;0,"",MAX($O$1:$O570)+1)))</f>
        <v/>
      </c>
      <c r="T571" s="7">
        <f>IF(ISNA(MATCH($C571,FA,0)),0,IF($J571="GIRIS",N(INDEX(F_INKOR,MATCH($C571,FA,0))),0))</f>
        <v>0</v>
      </c>
      <c r="Y571" s="7" t="e">
        <f>N(#REF!)*IF($E571="упак",MAX(1,IF(ISNA(MATCH($C571,FA,0)),1,N(INDEX(F_PAKET,MATCH($C571,FA,0))))),1)</f>
        <v>#REF!</v>
      </c>
      <c r="Z571" s="7" t="e">
        <f t="shared" si="179"/>
        <v>#REF!</v>
      </c>
      <c r="AA571" s="7">
        <f>IF(OR(ISNA(MATCH($C571,FA,0)),$J571="YEDEK",$J571="SARF"),0,N(#REF!)*N(INDEX(F_TEL,MATCH($C571,FA,0))))</f>
        <v>0</v>
      </c>
      <c r="AB571" s="7">
        <f>IF(OR(ISNA(MATCH($C571,FA,0)),$J571="YEDEK",$J571="SARF"),0,N(#REF!)*N(INDEX(F_TELM,MATCH($C571,FA,0))))</f>
        <v>0</v>
      </c>
      <c r="AC571" s="7" t="e">
        <f t="shared" si="180"/>
        <v>#REF!</v>
      </c>
      <c r="AD571" s="7">
        <f>IF(OR(ISNA(MATCH($C571,FA,0)),$J571&lt;&gt;"CIKIS"),0,N(INDEX(F_KK,MATCH($C571,FA,0))))</f>
        <v>0</v>
      </c>
      <c r="AE571" s="7">
        <f>IF($AD571=0,0,N(#REF!)*N(INDEX(F_KLN,MATCH($C571,FA,0))))</f>
        <v>0</v>
      </c>
      <c r="AF571" s="7">
        <f>IF($AD571=0,0,N(#REF!)*N(INDEX(F_KPE,MATCH($C571,FA,0))))</f>
        <v>0</v>
      </c>
      <c r="AG571" s="7" t="e">
        <f>IF(ISNA(MATCH($C571,FA,0)),0,N(#REF!)*N(INDEX(F_MODUL,MATCH($C571,FA,0))))</f>
        <v>#REF!</v>
      </c>
      <c r="AH571" s="7" t="e">
        <f>N(#REF!)*N($I571)</f>
        <v>#REF!</v>
      </c>
      <c r="AI571" s="7" t="e">
        <f t="shared" si="181"/>
        <v>#REF!</v>
      </c>
      <c r="AJ571" s="7">
        <f t="shared" si="182"/>
        <v>0</v>
      </c>
    </row>
    <row r="572" spans="1:36" x14ac:dyDescent="0.25">
      <c r="A572" s="4" t="str">
        <f t="shared" si="176"/>
        <v>ЩС-1 (260922 akram aulet)</v>
      </c>
      <c r="B572" s="4" t="s">
        <v>101</v>
      </c>
      <c r="C572" s="4" t="s">
        <v>529</v>
      </c>
      <c r="D572" s="4" t="s">
        <v>530</v>
      </c>
      <c r="E572" s="4" t="s">
        <v>522</v>
      </c>
      <c r="F572" s="4" t="s">
        <v>486</v>
      </c>
      <c r="G572" s="4" t="s">
        <v>318</v>
      </c>
      <c r="H572" s="5" t="e">
        <f>#REF!</f>
        <v>#REF!</v>
      </c>
      <c r="I572" s="6" t="e">
        <f t="shared" si="177"/>
        <v>#REF!</v>
      </c>
      <c r="J572" s="6" t="s">
        <v>84</v>
      </c>
      <c r="K572" s="6" t="s">
        <v>101</v>
      </c>
      <c r="L572" s="7" t="e">
        <f t="shared" si="178"/>
        <v>#REF!</v>
      </c>
      <c r="M572" s="7" t="s">
        <v>103</v>
      </c>
      <c r="O572" s="7" t="str">
        <f>IF(OR($C572="",$C572="FID YOK"),"",IF(ISNUMBER(MATCH($C572,FA_ANA,0)),"",IF(COUNTIF($C$1:$C571,$C572)&gt;0,"",MAX($O$1:$O571)+1)))</f>
        <v/>
      </c>
      <c r="T572" s="7">
        <f>IF(ISNA(MATCH($C572,FA,0)),0,IF($J572="GIRIS",N(INDEX(F_INKOR,MATCH($C572,FA,0))),0))</f>
        <v>0</v>
      </c>
      <c r="Y572" s="7" t="e">
        <f>N(#REF!)*IF($E572="упак",MAX(1,IF(ISNA(MATCH($C572,FA,0)),1,N(INDEX(F_PAKET,MATCH($C572,FA,0))))),1)</f>
        <v>#REF!</v>
      </c>
      <c r="Z572" s="7" t="e">
        <f t="shared" si="179"/>
        <v>#REF!</v>
      </c>
      <c r="AA572" s="7">
        <f>IF(OR(ISNA(MATCH($C572,FA,0)),$J572="YEDEK",$J572="SARF"),0,N(#REF!)*N(INDEX(F_TEL,MATCH($C572,FA,0))))</f>
        <v>0</v>
      </c>
      <c r="AB572" s="7">
        <f>IF(OR(ISNA(MATCH($C572,FA,0)),$J572="YEDEK",$J572="SARF"),0,N(#REF!)*N(INDEX(F_TELM,MATCH($C572,FA,0))))</f>
        <v>0</v>
      </c>
      <c r="AC572" s="7" t="e">
        <f t="shared" si="180"/>
        <v>#REF!</v>
      </c>
      <c r="AD572" s="7">
        <f>IF(OR(ISNA(MATCH($C572,FA,0)),$J572&lt;&gt;"CIKIS"),0,N(INDEX(F_KK,MATCH($C572,FA,0))))</f>
        <v>0</v>
      </c>
      <c r="AE572" s="7">
        <f>IF($AD572=0,0,N(#REF!)*N(INDEX(F_KLN,MATCH($C572,FA,0))))</f>
        <v>0</v>
      </c>
      <c r="AF572" s="7">
        <f>IF($AD572=0,0,N(#REF!)*N(INDEX(F_KPE,MATCH($C572,FA,0))))</f>
        <v>0</v>
      </c>
      <c r="AG572" s="7" t="e">
        <f>IF(ISNA(MATCH($C572,FA,0)),0,N(#REF!)*N(INDEX(F_MODUL,MATCH($C572,FA,0))))</f>
        <v>#REF!</v>
      </c>
      <c r="AH572" s="7" t="e">
        <f>N(#REF!)*N($I572)</f>
        <v>#REF!</v>
      </c>
      <c r="AI572" s="7" t="e">
        <f t="shared" si="181"/>
        <v>#REF!</v>
      </c>
      <c r="AJ572" s="7">
        <f t="shared" si="182"/>
        <v>0</v>
      </c>
    </row>
    <row r="573" spans="1:36" x14ac:dyDescent="0.25">
      <c r="A573" s="4" t="str">
        <f t="shared" si="176"/>
        <v>ЩС-1 (260922 akram aulet)</v>
      </c>
      <c r="B573" s="4" t="s">
        <v>101</v>
      </c>
      <c r="C573" s="4" t="s">
        <v>537</v>
      </c>
      <c r="D573" s="4" t="s">
        <v>538</v>
      </c>
      <c r="E573" s="4" t="s">
        <v>522</v>
      </c>
      <c r="F573" s="4" t="s">
        <v>486</v>
      </c>
      <c r="G573" s="4" t="s">
        <v>318</v>
      </c>
      <c r="H573" s="5" t="e">
        <f>#REF!</f>
        <v>#REF!</v>
      </c>
      <c r="I573" s="6" t="e">
        <f t="shared" si="177"/>
        <v>#REF!</v>
      </c>
      <c r="J573" s="6" t="s">
        <v>84</v>
      </c>
      <c r="K573" s="6" t="s">
        <v>101</v>
      </c>
      <c r="L573" s="7" t="e">
        <f t="shared" si="178"/>
        <v>#REF!</v>
      </c>
      <c r="M573" s="7" t="s">
        <v>205</v>
      </c>
      <c r="O573" s="7" t="str">
        <f>IF(OR($C573="",$C573="FID YOK"),"",IF(ISNUMBER(MATCH($C573,FA_ANA,0)),"",IF(COUNTIF($C$1:$C572,$C573)&gt;0,"",MAX($O$1:$O572)+1)))</f>
        <v/>
      </c>
      <c r="T573" s="7">
        <f>IF(ISNA(MATCH($C573,FA,0)),0,IF($J573="GIRIS",N(INDEX(F_INKOR,MATCH($C573,FA,0))),0))</f>
        <v>0</v>
      </c>
      <c r="Y573" s="7" t="e">
        <f>N(#REF!)*IF($E573="упак",MAX(1,IF(ISNA(MATCH($C573,FA,0)),1,N(INDEX(F_PAKET,MATCH($C573,FA,0))))),1)</f>
        <v>#REF!</v>
      </c>
      <c r="Z573" s="7" t="e">
        <f t="shared" si="179"/>
        <v>#REF!</v>
      </c>
      <c r="AA573" s="7">
        <f>IF(OR(ISNA(MATCH($C573,FA,0)),$J573="YEDEK",$J573="SARF"),0,N(#REF!)*N(INDEX(F_TEL,MATCH($C573,FA,0))))</f>
        <v>0</v>
      </c>
      <c r="AB573" s="7">
        <f>IF(OR(ISNA(MATCH($C573,FA,0)),$J573="YEDEK",$J573="SARF"),0,N(#REF!)*N(INDEX(F_TELM,MATCH($C573,FA,0))))</f>
        <v>0</v>
      </c>
      <c r="AC573" s="7" t="e">
        <f t="shared" si="180"/>
        <v>#REF!</v>
      </c>
      <c r="AD573" s="7">
        <f>IF(OR(ISNA(MATCH($C573,FA,0)),$J573&lt;&gt;"CIKIS"),0,N(INDEX(F_KK,MATCH($C573,FA,0))))</f>
        <v>0</v>
      </c>
      <c r="AE573" s="7">
        <f>IF($AD573=0,0,N(#REF!)*N(INDEX(F_KLN,MATCH($C573,FA,0))))</f>
        <v>0</v>
      </c>
      <c r="AF573" s="7">
        <f>IF($AD573=0,0,N(#REF!)*N(INDEX(F_KPE,MATCH($C573,FA,0))))</f>
        <v>0</v>
      </c>
      <c r="AG573" s="7" t="e">
        <f>IF(ISNA(MATCH($C573,FA,0)),0,N(#REF!)*N(INDEX(F_MODUL,MATCH($C573,FA,0))))</f>
        <v>#REF!</v>
      </c>
      <c r="AH573" s="7" t="e">
        <f>N(#REF!)*N($I573)</f>
        <v>#REF!</v>
      </c>
      <c r="AI573" s="7" t="e">
        <f t="shared" si="181"/>
        <v>#REF!</v>
      </c>
      <c r="AJ573" s="7">
        <f t="shared" si="182"/>
        <v>0</v>
      </c>
    </row>
    <row r="574" spans="1:36" x14ac:dyDescent="0.25">
      <c r="A574" s="4" t="str">
        <f t="shared" si="176"/>
        <v>ЩС-1 (260922 akram aulet)</v>
      </c>
      <c r="B574" s="4" t="s">
        <v>105</v>
      </c>
      <c r="C574" s="4" t="s">
        <v>539</v>
      </c>
      <c r="D574" s="4" t="s">
        <v>540</v>
      </c>
      <c r="E574" s="4" t="s">
        <v>114</v>
      </c>
      <c r="F574" s="4" t="s">
        <v>486</v>
      </c>
      <c r="G574" s="4" t="s">
        <v>318</v>
      </c>
      <c r="H574" s="5" t="e">
        <f>#REF!</f>
        <v>#REF!</v>
      </c>
      <c r="I574" s="6" t="e">
        <f t="shared" si="177"/>
        <v>#REF!</v>
      </c>
      <c r="J574" s="6" t="s">
        <v>84</v>
      </c>
      <c r="K574" s="6" t="s">
        <v>105</v>
      </c>
      <c r="L574" s="7" t="e">
        <f t="shared" si="178"/>
        <v>#REF!</v>
      </c>
      <c r="M574" s="7" t="s">
        <v>110</v>
      </c>
      <c r="O574" s="7" t="str">
        <f>IF(OR($C574="",$C574="FID YOK"),"",IF(ISNUMBER(MATCH($C574,FA_ANA,0)),"",IF(COUNTIF($C$1:$C573,$C574)&gt;0,"",MAX($O$1:$O573)+1)))</f>
        <v/>
      </c>
      <c r="T574" s="7">
        <f>IF(ISNA(MATCH($C574,FA,0)),0,IF($J574="GIRIS",N(INDEX(F_INKOR,MATCH($C574,FA,0))),0))</f>
        <v>0</v>
      </c>
      <c r="Y574" s="7" t="e">
        <f>N(#REF!)*IF($E574="упак",MAX(1,IF(ISNA(MATCH($C574,FA,0)),1,N(INDEX(F_PAKET,MATCH($C574,FA,0))))),1)</f>
        <v>#REF!</v>
      </c>
      <c r="Z574" s="7" t="e">
        <f t="shared" si="179"/>
        <v>#REF!</v>
      </c>
      <c r="AA574" s="7">
        <f>IF(OR(ISNA(MATCH($C574,FA,0)),$J574="YEDEK",$J574="SARF"),0,N(#REF!)*N(INDEX(F_TEL,MATCH($C574,FA,0))))</f>
        <v>0</v>
      </c>
      <c r="AB574" s="7">
        <f>IF(OR(ISNA(MATCH($C574,FA,0)),$J574="YEDEK",$J574="SARF"),0,N(#REF!)*N(INDEX(F_TELM,MATCH($C574,FA,0))))</f>
        <v>0</v>
      </c>
      <c r="AC574" s="7" t="e">
        <f t="shared" si="180"/>
        <v>#REF!</v>
      </c>
      <c r="AD574" s="7">
        <f>IF(OR(ISNA(MATCH($C574,FA,0)),$J574&lt;&gt;"CIKIS"),0,N(INDEX(F_KK,MATCH($C574,FA,0))))</f>
        <v>0</v>
      </c>
      <c r="AE574" s="7">
        <f>IF($AD574=0,0,N(#REF!)*N(INDEX(F_KLN,MATCH($C574,FA,0))))</f>
        <v>0</v>
      </c>
      <c r="AF574" s="7">
        <f>IF($AD574=0,0,N(#REF!)*N(INDEX(F_KPE,MATCH($C574,FA,0))))</f>
        <v>0</v>
      </c>
      <c r="AG574" s="7" t="e">
        <f>IF(ISNA(MATCH($C574,FA,0)),0,N(#REF!)*N(INDEX(F_MODUL,MATCH($C574,FA,0))))</f>
        <v>#REF!</v>
      </c>
      <c r="AH574" s="7" t="e">
        <f>N(#REF!)*N($I574)</f>
        <v>#REF!</v>
      </c>
      <c r="AI574" s="7" t="e">
        <f t="shared" si="181"/>
        <v>#REF!</v>
      </c>
      <c r="AJ574" s="7">
        <f t="shared" si="182"/>
        <v>0</v>
      </c>
    </row>
    <row r="575" spans="1:36" x14ac:dyDescent="0.25">
      <c r="A575" s="4" t="str">
        <f t="shared" si="176"/>
        <v>ЩС-1 (260922 akram aulet)</v>
      </c>
      <c r="B575" s="4" t="s">
        <v>111</v>
      </c>
      <c r="C575" s="4" t="s">
        <v>571</v>
      </c>
      <c r="D575" s="4" t="s">
        <v>572</v>
      </c>
      <c r="E575" s="4" t="s">
        <v>522</v>
      </c>
      <c r="F575" s="4" t="s">
        <v>486</v>
      </c>
      <c r="G575" s="4" t="s">
        <v>318</v>
      </c>
      <c r="H575" s="5" t="e">
        <f>#REF!</f>
        <v>#REF!</v>
      </c>
      <c r="I575" s="6" t="e">
        <f t="shared" si="177"/>
        <v>#REF!</v>
      </c>
      <c r="J575" s="6" t="s">
        <v>84</v>
      </c>
      <c r="K575" s="6" t="s">
        <v>111</v>
      </c>
      <c r="L575" s="7" t="e">
        <f t="shared" si="178"/>
        <v>#REF!</v>
      </c>
      <c r="M575" s="7" t="s">
        <v>112</v>
      </c>
      <c r="O575" s="7" t="str">
        <f>IF(OR($C575="",$C575="FID YOK"),"",IF(ISNUMBER(MATCH($C575,FA_ANA,0)),"",IF(COUNTIF($C$1:$C574,$C575)&gt;0,"",MAX($O$1:$O574)+1)))</f>
        <v/>
      </c>
      <c r="T575" s="7">
        <f>IF(ISNA(MATCH($C575,FA,0)),0,IF($J575="GIRIS",N(INDEX(F_INKOR,MATCH($C575,FA,0))),0))</f>
        <v>0</v>
      </c>
      <c r="Y575" s="7" t="e">
        <f>N(#REF!)*IF($E575="упак",MAX(1,IF(ISNA(MATCH($C575,FA,0)),1,N(INDEX(F_PAKET,MATCH($C575,FA,0))))),1)</f>
        <v>#REF!</v>
      </c>
      <c r="Z575" s="7" t="e">
        <f t="shared" si="179"/>
        <v>#REF!</v>
      </c>
      <c r="AA575" s="7">
        <f>IF(OR(ISNA(MATCH($C575,FA,0)),$J575="YEDEK",$J575="SARF"),0,N(#REF!)*N(INDEX(F_TEL,MATCH($C575,FA,0))))</f>
        <v>0</v>
      </c>
      <c r="AB575" s="7">
        <f>IF(OR(ISNA(MATCH($C575,FA,0)),$J575="YEDEK",$J575="SARF"),0,N(#REF!)*N(INDEX(F_TELM,MATCH($C575,FA,0))))</f>
        <v>0</v>
      </c>
      <c r="AC575" s="7" t="e">
        <f t="shared" si="180"/>
        <v>#REF!</v>
      </c>
      <c r="AD575" s="7">
        <f>IF(OR(ISNA(MATCH($C575,FA,0)),$J575&lt;&gt;"CIKIS"),0,N(INDEX(F_KK,MATCH($C575,FA,0))))</f>
        <v>0</v>
      </c>
      <c r="AE575" s="7">
        <f>IF($AD575=0,0,N(#REF!)*N(INDEX(F_KLN,MATCH($C575,FA,0))))</f>
        <v>0</v>
      </c>
      <c r="AF575" s="7">
        <f>IF($AD575=0,0,N(#REF!)*N(INDEX(F_KPE,MATCH($C575,FA,0))))</f>
        <v>0</v>
      </c>
      <c r="AG575" s="7" t="e">
        <f>IF(ISNA(MATCH($C575,FA,0)),0,N(#REF!)*N(INDEX(F_MODUL,MATCH($C575,FA,0))))</f>
        <v>#REF!</v>
      </c>
      <c r="AH575" s="7" t="e">
        <f>N(#REF!)*N($I575)</f>
        <v>#REF!</v>
      </c>
      <c r="AI575" s="7" t="e">
        <f t="shared" si="181"/>
        <v>#REF!</v>
      </c>
      <c r="AJ575" s="7">
        <f t="shared" si="182"/>
        <v>0</v>
      </c>
    </row>
    <row r="576" spans="1:36" x14ac:dyDescent="0.25">
      <c r="A576" s="4" t="str">
        <f t="shared" si="176"/>
        <v>ЩС-1 (260922 akram aulet)</v>
      </c>
      <c r="B576" s="4" t="s">
        <v>113</v>
      </c>
      <c r="C576" s="4" t="s">
        <v>113</v>
      </c>
      <c r="D576" s="4" t="s">
        <v>113</v>
      </c>
      <c r="E576" s="4" t="s">
        <v>114</v>
      </c>
      <c r="F576" s="4" t="s">
        <v>113</v>
      </c>
      <c r="G576" s="4" t="s">
        <v>318</v>
      </c>
      <c r="H576" s="5" t="e">
        <f>#REF!</f>
        <v>#REF!</v>
      </c>
      <c r="I576" s="6" t="e">
        <f t="shared" si="177"/>
        <v>#REF!</v>
      </c>
    </row>
    <row r="577" spans="1:36" x14ac:dyDescent="0.25">
      <c r="A577" s="4" t="str">
        <f t="shared" si="176"/>
        <v>ЩС-1 (260922 akram aulet)</v>
      </c>
      <c r="B577" s="4" t="s">
        <v>115</v>
      </c>
      <c r="C577" s="4" t="s">
        <v>115</v>
      </c>
      <c r="D577" s="4" t="s">
        <v>115</v>
      </c>
      <c r="E577" s="4" t="s">
        <v>116</v>
      </c>
      <c r="F577" s="4" t="s">
        <v>115</v>
      </c>
      <c r="G577" s="4" t="s">
        <v>318</v>
      </c>
      <c r="H577" s="5" t="e">
        <f>#REF!</f>
        <v>#REF!</v>
      </c>
      <c r="I577" s="6" t="e">
        <f t="shared" si="177"/>
        <v>#REF!</v>
      </c>
    </row>
    <row r="578" spans="1:36" x14ac:dyDescent="0.25">
      <c r="A578" s="1" t="str">
        <f>D578</f>
        <v>ЩС-2, ЩС-3 (260922 akram aulet)</v>
      </c>
      <c r="B578" s="12"/>
      <c r="C578" s="2"/>
      <c r="D578" s="1" t="s">
        <v>329</v>
      </c>
      <c r="E578" s="1" t="s">
        <v>36</v>
      </c>
      <c r="F578" s="1" t="s">
        <v>37</v>
      </c>
      <c r="G578" s="1" t="s">
        <v>330</v>
      </c>
      <c r="I578" s="3" t="e">
        <f>#REF!</f>
        <v>#REF!</v>
      </c>
    </row>
    <row r="579" spans="1:36" x14ac:dyDescent="0.25">
      <c r="A579" s="4" t="str">
        <f t="shared" ref="A579:A598" si="185">A578</f>
        <v>ЩС-2, ЩС-3 (260922 akram aulet)</v>
      </c>
      <c r="B579" s="4" t="s">
        <v>39</v>
      </c>
      <c r="C579" s="4" t="s">
        <v>516</v>
      </c>
      <c r="D579" s="4" t="s">
        <v>517</v>
      </c>
      <c r="E579" s="4" t="s">
        <v>114</v>
      </c>
      <c r="F579" s="4" t="s">
        <v>486</v>
      </c>
      <c r="G579" s="4" t="s">
        <v>330</v>
      </c>
      <c r="H579" s="5" t="e">
        <f>#REF!</f>
        <v>#REF!</v>
      </c>
      <c r="I579" s="6" t="e">
        <f t="shared" ref="I579:I598" si="186">I578</f>
        <v>#REF!</v>
      </c>
      <c r="J579" s="6" t="s">
        <v>40</v>
      </c>
      <c r="K579" s="6" t="s">
        <v>195</v>
      </c>
      <c r="L579" s="7" t="e">
        <f t="shared" ref="L579:L596" si="187">IF(ISNA(MATCH($C579,FA,0)),"ARTİKÜL YOK",INDEX(FIYAT_DURUM,MATCH($C579,FA,0)))</f>
        <v>#REF!</v>
      </c>
      <c r="M579" s="7" t="s">
        <v>319</v>
      </c>
      <c r="N579" s="7" t="s">
        <v>320</v>
      </c>
      <c r="O579" s="7" t="str">
        <f>IF(OR($C579="",$C579="FID YOK"),"",IF(ISNUMBER(MATCH($C579,FA_ANA,0)),"",IF(COUNTIF($C$1:$C578,$C579)&gt;0,"",MAX($O$1:$O578)+1)))</f>
        <v/>
      </c>
      <c r="Q579" s="7"/>
      <c r="R579" s="7"/>
      <c r="S579" s="7"/>
      <c r="T579" s="7">
        <f>IF(ISNA(MATCH($C579,FA,0)),0,IF($J579="GIRIS",N(INDEX(F_INKOR,MATCH($C579,FA,0))),0))</f>
        <v>0</v>
      </c>
      <c r="U579" s="7"/>
      <c r="V579" s="7"/>
      <c r="W579" s="7"/>
      <c r="X579" s="7"/>
      <c r="Y579" s="7" t="e">
        <f>N(#REF!)*IF($E579="упак",MAX(1,IF(ISNA(MATCH($C579,FA,0)),1,N(INDEX(F_PAKET,MATCH($C579,FA,0))))),1)</f>
        <v>#REF!</v>
      </c>
      <c r="Z579" s="7" t="e">
        <f t="shared" ref="Z579:Z596" si="188">IF(ISNA(MATCH($C579,FA,0)),0,N(INDEX(F_BK,MATCH($C579,FA,0))))</f>
        <v>#REF!</v>
      </c>
      <c r="AA579" s="7" t="e">
        <f>IF(OR(ISNA(MATCH($C579,FA,0)),$J579="YEDEK",$J579="SARF"),0,N(#REF!)*N(INDEX(F_TEL,MATCH($C579,FA,0))))</f>
        <v>#REF!</v>
      </c>
      <c r="AB579" s="7" t="e">
        <f>IF(OR(ISNA(MATCH($C579,FA,0)),$J579="YEDEK",$J579="SARF"),0,N(#REF!)*N(INDEX(F_TELM,MATCH($C579,FA,0))))</f>
        <v>#REF!</v>
      </c>
      <c r="AC579" s="7" t="e">
        <f t="shared" ref="AC579:AC596" si="189">IF(ISNA(MATCH($C579,FA,0)),"",INDEX(F_UC,MATCH($C579,FA,0))&amp;"")</f>
        <v>#REF!</v>
      </c>
      <c r="AD579" s="7">
        <f>IF(OR(ISNA(MATCH($C579,FA,0)),$J579&lt;&gt;"CIKIS"),0,N(INDEX(F_KK,MATCH($C579,FA,0))))</f>
        <v>0</v>
      </c>
      <c r="AE579" s="7">
        <f>IF($AD579=0,0,N(#REF!)*N(INDEX(F_KLN,MATCH($C579,FA,0))))</f>
        <v>0</v>
      </c>
      <c r="AF579" s="7">
        <f>IF($AD579=0,0,N(#REF!)*N(INDEX(F_KPE,MATCH($C579,FA,0))))</f>
        <v>0</v>
      </c>
      <c r="AG579" s="7" t="e">
        <f>IF(ISNA(MATCH($C579,FA,0)),0,N(#REF!)*N(INDEX(F_MODUL,MATCH($C579,FA,0))))</f>
        <v>#REF!</v>
      </c>
      <c r="AH579" s="7" t="e">
        <f>N(#REF!)*N($I579)</f>
        <v>#REF!</v>
      </c>
      <c r="AI579" s="7" t="e">
        <f t="shared" ref="AI579:AI596" si="190">IF(ISNA(MATCH($K579,TIP_AD,0)),"YOK",IF(INDEX(NORM_DK,MATCH($K579,TIP_AD,0))="","BOŞ",INDEX(NORM_DK,MATCH($K579,TIP_AD,0))))</f>
        <v>#REF!</v>
      </c>
      <c r="AJ579" s="7">
        <f t="shared" ref="AJ579:AJ596" si="191">IF(ISNUMBER($AI579),$Y579*$AI579,0)</f>
        <v>0</v>
      </c>
    </row>
    <row r="580" spans="1:36" x14ac:dyDescent="0.25">
      <c r="A580" s="4" t="str">
        <f t="shared" si="185"/>
        <v>ЩС-2, ЩС-3 (260922 akram aulet)</v>
      </c>
      <c r="B580" s="4" t="s">
        <v>198</v>
      </c>
      <c r="C580" s="4" t="s">
        <v>380</v>
      </c>
      <c r="D580" s="4" t="s">
        <v>381</v>
      </c>
      <c r="E580" s="4" t="s">
        <v>114</v>
      </c>
      <c r="F580" s="4" t="s">
        <v>377</v>
      </c>
      <c r="G580" s="4" t="s">
        <v>330</v>
      </c>
      <c r="H580" s="5" t="e">
        <f>#REF!</f>
        <v>#REF!</v>
      </c>
      <c r="I580" s="6" t="e">
        <f t="shared" si="186"/>
        <v>#REF!</v>
      </c>
      <c r="J580" s="6" t="s">
        <v>48</v>
      </c>
      <c r="K580" s="6" t="s">
        <v>198</v>
      </c>
      <c r="L580" s="7" t="e">
        <f t="shared" si="187"/>
        <v>#REF!</v>
      </c>
      <c r="M580" s="7" t="s">
        <v>321</v>
      </c>
      <c r="N580" s="7" t="s">
        <v>200</v>
      </c>
      <c r="O580" s="7" t="str">
        <f>IF(OR($C580="",$C580="FID YOK"),"",IF(ISNUMBER(MATCH($C580,FA_ANA,0)),"",IF(COUNTIF($C$1:$C579,$C580)&gt;0,"",MAX($O$1:$O579)+1)))</f>
        <v/>
      </c>
      <c r="P580" s="8">
        <v>1</v>
      </c>
      <c r="Q580" s="7" t="e">
        <f>IF(OR($P580="",$P580="G",ISNA(MATCH($C580,FA,0))),"",IF(N(INDEX(F_G,MATCH($C580,FA,0)))&gt;0,INDEX(F_G,MATCH($C580,FA,0)),IF(N(INDEX(F_MODUL,MATCH($C580,FA,0)))&gt;0,INDEX(F_MODUL,MATCH($C580,FA,0))*MODUL_MM,"")))</f>
        <v>#REF!</v>
      </c>
      <c r="R580" s="7" t="e">
        <f>IF(OR($P580="",$P580="G",ISNA(MATCH($C580,FA,0))),"",IF(N(INDEX(F_Y,MATCH($C580,FA,0)))&gt;0,INDEX(F_Y,MATCH($C580,FA,0)),""))</f>
        <v>#REF!</v>
      </c>
      <c r="S580" s="7" t="e">
        <f>IF(OR($P580="",$P580="G",ISNA(MATCH($C580,FA,0))),"",IF(N(INDEX(F_D,MATCH($C580,FA,0)))&gt;0,INDEX(F_D,MATCH($C580,FA,0)),""))</f>
        <v>#REF!</v>
      </c>
      <c r="T580" s="7" t="e">
        <f>IF(ISNA(MATCH($C580,FA,0)),0,IF($J580="GIRIS",N(INDEX(F_INKOR,MATCH($C580,FA,0))),0))</f>
        <v>#REF!</v>
      </c>
      <c r="U580" s="7" t="e">
        <f t="shared" ref="U580:U585" si="192">IF(ISNA(MATCH($B580,TIP_AD,0)),"",INDEX(TIP_KAT,MATCH($B580,TIP_AD,0))&amp;"")</f>
        <v>#REF!</v>
      </c>
      <c r="V580" s="7" t="e">
        <f t="shared" ref="V580:V585" si="193">IF(NOT(ISNUMBER($P580)),"",IF($Z580=0,0,IF(ISNA(MATCH($Z580,BUK_KESIT,0)),"",IF(INDEX(BUK_ALAN,MATCH($Z580,BUK_KESIT,0))&amp;""="","",INDEX(BUK_ALAN,MATCH($Z580,BUK_KESIT,0))))))</f>
        <v>#REF!</v>
      </c>
      <c r="W580" s="7" t="e">
        <f>IF(OR(NOT(ISNUMBER($P580)),$Q580=""),"",N(#REF!)*($Q580+IF(ISNA(MATCH($B580,TIP_AD,0)),0,N(INDEX(TIP_BOSLUK,MATCH($B580,TIP_AD,0))))))</f>
        <v>#REF!</v>
      </c>
      <c r="X580" s="7" t="e">
        <f>IF(ISNUMBER($P580),($Q580="")+($R580="")+($V580="")+IF(AND($U580="KONTAKTOR",NOT(ISNA(MATCH($B580,TIP_AD,0)))),IF(INDEX(TIP_BOSLUK,MATCH($B580,TIP_AD,0))&amp;""="",1,0),0),IF($P580="K",IF($S580="",1,0),0))</f>
        <v>#REF!</v>
      </c>
      <c r="Y580" s="7" t="e">
        <f>N(#REF!)*IF($E580="упак",MAX(1,IF(ISNA(MATCH($C580,FA,0)),1,N(INDEX(F_PAKET,MATCH($C580,FA,0))))),1)</f>
        <v>#REF!</v>
      </c>
      <c r="Z580" s="7" t="e">
        <f t="shared" si="188"/>
        <v>#REF!</v>
      </c>
      <c r="AA580" s="7" t="e">
        <f>IF(OR(ISNA(MATCH($C580,FA,0)),$J580="YEDEK",$J580="SARF"),0,N(#REF!)*N(INDEX(F_TEL,MATCH($C580,FA,0))))</f>
        <v>#REF!</v>
      </c>
      <c r="AB580" s="7" t="e">
        <f>IF(OR(ISNA(MATCH($C580,FA,0)),$J580="YEDEK",$J580="SARF"),0,N(#REF!)*N(INDEX(F_TELM,MATCH($C580,FA,0))))</f>
        <v>#REF!</v>
      </c>
      <c r="AC580" s="7" t="e">
        <f t="shared" si="189"/>
        <v>#REF!</v>
      </c>
      <c r="AD580" s="7">
        <f>IF(OR(ISNA(MATCH($C580,FA,0)),$J580&lt;&gt;"CIKIS"),0,N(INDEX(F_KK,MATCH($C580,FA,0))))</f>
        <v>0</v>
      </c>
      <c r="AE580" s="7">
        <f>IF($AD580=0,0,N(#REF!)*N(INDEX(F_KLN,MATCH($C580,FA,0))))</f>
        <v>0</v>
      </c>
      <c r="AF580" s="7">
        <f>IF($AD580=0,0,N(#REF!)*N(INDEX(F_KPE,MATCH($C580,FA,0))))</f>
        <v>0</v>
      </c>
      <c r="AG580" s="7" t="e">
        <f>IF(ISNA(MATCH($C580,FA,0)),0,N(#REF!)*N(INDEX(F_MODUL,MATCH($C580,FA,0))))</f>
        <v>#REF!</v>
      </c>
      <c r="AH580" s="7" t="e">
        <f>N(#REF!)*N($I580)</f>
        <v>#REF!</v>
      </c>
      <c r="AI580" s="7" t="e">
        <f t="shared" si="190"/>
        <v>#REF!</v>
      </c>
      <c r="AJ580" s="7">
        <f t="shared" si="191"/>
        <v>0</v>
      </c>
    </row>
    <row r="581" spans="1:36" x14ac:dyDescent="0.25">
      <c r="A581" s="4" t="str">
        <f t="shared" si="185"/>
        <v>ЩС-2, ЩС-3 (260922 akram aulet)</v>
      </c>
      <c r="B581" s="4" t="s">
        <v>173</v>
      </c>
      <c r="C581" s="4" t="s">
        <v>459</v>
      </c>
      <c r="D581" s="4" t="s">
        <v>460</v>
      </c>
      <c r="E581" s="4" t="s">
        <v>114</v>
      </c>
      <c r="F581" s="4" t="s">
        <v>377</v>
      </c>
      <c r="G581" s="4" t="s">
        <v>330</v>
      </c>
      <c r="H581" s="5" t="e">
        <f>#REF!</f>
        <v>#REF!</v>
      </c>
      <c r="I581" s="6" t="e">
        <f t="shared" si="186"/>
        <v>#REF!</v>
      </c>
      <c r="J581" s="6" t="s">
        <v>66</v>
      </c>
      <c r="K581" s="6" t="s">
        <v>173</v>
      </c>
      <c r="L581" s="7" t="e">
        <f t="shared" si="187"/>
        <v>#REF!</v>
      </c>
      <c r="M581" s="7" t="s">
        <v>322</v>
      </c>
      <c r="N581" s="7" t="s">
        <v>323</v>
      </c>
      <c r="O581" s="7" t="str">
        <f>IF(OR($C581="",$C581="FID YOK"),"",IF(ISNUMBER(MATCH($C581,FA_ANA,0)),"",IF(COUNTIF($C$1:$C580,$C581)&gt;0,"",MAX($O$1:$O580)+1)))</f>
        <v/>
      </c>
      <c r="P581" s="8">
        <v>1</v>
      </c>
      <c r="Q581" s="7" t="e">
        <f>IF(OR($P581="",$P581="G",ISNA(MATCH($C581,FA,0))),"",IF(N(INDEX(F_G,MATCH($C581,FA,0)))&gt;0,INDEX(F_G,MATCH($C581,FA,0)),IF(N(INDEX(F_MODUL,MATCH($C581,FA,0)))&gt;0,INDEX(F_MODUL,MATCH($C581,FA,0))*MODUL_MM,"")))</f>
        <v>#REF!</v>
      </c>
      <c r="R581" s="7" t="e">
        <f>IF(OR($P581="",$P581="G",ISNA(MATCH($C581,FA,0))),"",IF(N(INDEX(F_Y,MATCH($C581,FA,0)))&gt;0,INDEX(F_Y,MATCH($C581,FA,0)),""))</f>
        <v>#REF!</v>
      </c>
      <c r="S581" s="7" t="e">
        <f>IF(OR($P581="",$P581="G",ISNA(MATCH($C581,FA,0))),"",IF(N(INDEX(F_D,MATCH($C581,FA,0)))&gt;0,INDEX(F_D,MATCH($C581,FA,0)),""))</f>
        <v>#REF!</v>
      </c>
      <c r="T581" s="7">
        <f>IF(ISNA(MATCH($C581,FA,0)),0,IF($J581="GIRIS",N(INDEX(F_INKOR,MATCH($C581,FA,0))),0))</f>
        <v>0</v>
      </c>
      <c r="U581" s="7" t="e">
        <f t="shared" si="192"/>
        <v>#REF!</v>
      </c>
      <c r="V581" s="7" t="e">
        <f t="shared" si="193"/>
        <v>#REF!</v>
      </c>
      <c r="W581" s="7" t="e">
        <f>IF(OR(NOT(ISNUMBER($P581)),$Q581=""),"",N(#REF!)*($Q581+IF(ISNA(MATCH($B581,TIP_AD,0)),0,N(INDEX(TIP_BOSLUK,MATCH($B581,TIP_AD,0))))))</f>
        <v>#REF!</v>
      </c>
      <c r="X581" s="7" t="e">
        <f>IF(ISNUMBER($P581),($Q581="")+($R581="")+($V581="")+IF(AND($U581="KONTAKTOR",NOT(ISNA(MATCH($B581,TIP_AD,0)))),IF(INDEX(TIP_BOSLUK,MATCH($B581,TIP_AD,0))&amp;""="",1,0),0),IF($P581="K",IF($S581="",1,0),0))</f>
        <v>#REF!</v>
      </c>
      <c r="Y581" s="7" t="e">
        <f>N(#REF!)*IF($E581="упак",MAX(1,IF(ISNA(MATCH($C581,FA,0)),1,N(INDEX(F_PAKET,MATCH($C581,FA,0))))),1)</f>
        <v>#REF!</v>
      </c>
      <c r="Z581" s="7" t="e">
        <f t="shared" si="188"/>
        <v>#REF!</v>
      </c>
      <c r="AA581" s="7" t="e">
        <f>IF(OR(ISNA(MATCH($C581,FA,0)),$J581="YEDEK",$J581="SARF"),0,N(#REF!)*N(INDEX(F_TEL,MATCH($C581,FA,0))))</f>
        <v>#REF!</v>
      </c>
      <c r="AB581" s="7" t="e">
        <f>IF(OR(ISNA(MATCH($C581,FA,0)),$J581="YEDEK",$J581="SARF"),0,N(#REF!)*N(INDEX(F_TELM,MATCH($C581,FA,0))))</f>
        <v>#REF!</v>
      </c>
      <c r="AC581" s="7" t="e">
        <f t="shared" si="189"/>
        <v>#REF!</v>
      </c>
      <c r="AD581" s="7">
        <f>IF(OR(ISNA(MATCH($C581,FA,0)),$J581&lt;&gt;"CIKIS"),0,N(INDEX(F_KK,MATCH($C581,FA,0))))</f>
        <v>0</v>
      </c>
      <c r="AE581" s="7">
        <f>IF($AD581=0,0,N(#REF!)*N(INDEX(F_KLN,MATCH($C581,FA,0))))</f>
        <v>0</v>
      </c>
      <c r="AF581" s="7">
        <f>IF($AD581=0,0,N(#REF!)*N(INDEX(F_KPE,MATCH($C581,FA,0))))</f>
        <v>0</v>
      </c>
      <c r="AG581" s="7" t="e">
        <f>IF(ISNA(MATCH($C581,FA,0)),0,N(#REF!)*N(INDEX(F_MODUL,MATCH($C581,FA,0))))</f>
        <v>#REF!</v>
      </c>
      <c r="AH581" s="7" t="e">
        <f>N(#REF!)*N($I581)</f>
        <v>#REF!</v>
      </c>
      <c r="AI581" s="7" t="e">
        <f t="shared" si="190"/>
        <v>#REF!</v>
      </c>
      <c r="AJ581" s="7">
        <f t="shared" si="191"/>
        <v>0</v>
      </c>
    </row>
    <row r="582" spans="1:36" x14ac:dyDescent="0.25">
      <c r="A582" s="4" t="str">
        <f t="shared" si="185"/>
        <v>ЩС-2, ЩС-3 (260922 akram aulet)</v>
      </c>
      <c r="B582" s="4" t="s">
        <v>65</v>
      </c>
      <c r="C582" s="4" t="s">
        <v>398</v>
      </c>
      <c r="D582" s="4" t="s">
        <v>399</v>
      </c>
      <c r="E582" s="4" t="s">
        <v>114</v>
      </c>
      <c r="F582" s="4" t="s">
        <v>377</v>
      </c>
      <c r="G582" s="4" t="s">
        <v>330</v>
      </c>
      <c r="H582" s="5" t="e">
        <f>#REF!</f>
        <v>#REF!</v>
      </c>
      <c r="I582" s="6" t="e">
        <f t="shared" si="186"/>
        <v>#REF!</v>
      </c>
      <c r="J582" s="6" t="s">
        <v>52</v>
      </c>
      <c r="K582" s="6" t="s">
        <v>65</v>
      </c>
      <c r="L582" s="7" t="e">
        <f t="shared" si="187"/>
        <v>#REF!</v>
      </c>
      <c r="M582" s="7" t="s">
        <v>331</v>
      </c>
      <c r="N582" s="7" t="s">
        <v>296</v>
      </c>
      <c r="O582" s="7" t="str">
        <f>IF(OR($C582="",$C582="FID YOK"),"",IF(ISNUMBER(MATCH($C582,FA_ANA,0)),"",IF(COUNTIF($C$1:$C581,$C582)&gt;0,"",MAX($O$1:$O581)+1)))</f>
        <v/>
      </c>
      <c r="P582" s="8">
        <v>1</v>
      </c>
      <c r="Q582" s="7" t="e">
        <f>IF(OR($P582="",$P582="G",ISNA(MATCH($C582,FA,0))),"",IF(N(INDEX(F_G,MATCH($C582,FA,0)))&gt;0,INDEX(F_G,MATCH($C582,FA,0)),IF(N(INDEX(F_MODUL,MATCH($C582,FA,0)))&gt;0,INDEX(F_MODUL,MATCH($C582,FA,0))*MODUL_MM,"")))</f>
        <v>#REF!</v>
      </c>
      <c r="R582" s="7" t="e">
        <f>IF(OR($P582="",$P582="G",ISNA(MATCH($C582,FA,0))),"",IF(N(INDEX(F_Y,MATCH($C582,FA,0)))&gt;0,INDEX(F_Y,MATCH($C582,FA,0)),""))</f>
        <v>#REF!</v>
      </c>
      <c r="S582" s="7" t="e">
        <f>IF(OR($P582="",$P582="G",ISNA(MATCH($C582,FA,0))),"",IF(N(INDEX(F_D,MATCH($C582,FA,0)))&gt;0,INDEX(F_D,MATCH($C582,FA,0)),""))</f>
        <v>#REF!</v>
      </c>
      <c r="T582" s="7">
        <f>IF(ISNA(MATCH($C582,FA,0)),0,IF($J582="GIRIS",N(INDEX(F_INKOR,MATCH($C582,FA,0))),0))</f>
        <v>0</v>
      </c>
      <c r="U582" s="7" t="e">
        <f t="shared" si="192"/>
        <v>#REF!</v>
      </c>
      <c r="V582" s="7" t="e">
        <f t="shared" si="193"/>
        <v>#REF!</v>
      </c>
      <c r="W582" s="7" t="e">
        <f>IF(OR(NOT(ISNUMBER($P582)),$Q582=""),"",N(#REF!)*($Q582+IF(ISNA(MATCH($B582,TIP_AD,0)),0,N(INDEX(TIP_BOSLUK,MATCH($B582,TIP_AD,0))))))</f>
        <v>#REF!</v>
      </c>
      <c r="X582" s="7" t="e">
        <f>IF(ISNUMBER($P582),($Q582="")+($R582="")+($V582="")+IF(AND($U582="KONTAKTOR",NOT(ISNA(MATCH($B582,TIP_AD,0)))),IF(INDEX(TIP_BOSLUK,MATCH($B582,TIP_AD,0))&amp;""="",1,0),0),IF($P582="K",IF($S582="",1,0),0))</f>
        <v>#REF!</v>
      </c>
      <c r="Y582" s="7" t="e">
        <f>N(#REF!)*IF($E582="упак",MAX(1,IF(ISNA(MATCH($C582,FA,0)),1,N(INDEX(F_PAKET,MATCH($C582,FA,0))))),1)</f>
        <v>#REF!</v>
      </c>
      <c r="Z582" s="7" t="e">
        <f t="shared" si="188"/>
        <v>#REF!</v>
      </c>
      <c r="AA582" s="7" t="e">
        <f>IF(OR(ISNA(MATCH($C582,FA,0)),$J582="YEDEK",$J582="SARF"),0,N(#REF!)*N(INDEX(F_TEL,MATCH($C582,FA,0))))</f>
        <v>#REF!</v>
      </c>
      <c r="AB582" s="7" t="e">
        <f>IF(OR(ISNA(MATCH($C582,FA,0)),$J582="YEDEK",$J582="SARF"),0,N(#REF!)*N(INDEX(F_TELM,MATCH($C582,FA,0))))</f>
        <v>#REF!</v>
      </c>
      <c r="AC582" s="7" t="e">
        <f t="shared" si="189"/>
        <v>#REF!</v>
      </c>
      <c r="AD582" s="7" t="e">
        <f>IF(OR(ISNA(MATCH($C582,FA,0)),$J582&lt;&gt;"CIKIS"),0,N(INDEX(F_KK,MATCH($C582,FA,0))))</f>
        <v>#REF!</v>
      </c>
      <c r="AE582" s="7" t="e">
        <f>IF($AD582=0,0,N(#REF!)*N(INDEX(F_KLN,MATCH($C582,FA,0))))</f>
        <v>#REF!</v>
      </c>
      <c r="AF582" s="7" t="e">
        <f>IF($AD582=0,0,N(#REF!)*N(INDEX(F_KPE,MATCH($C582,FA,0))))</f>
        <v>#REF!</v>
      </c>
      <c r="AG582" s="7" t="e">
        <f>IF(ISNA(MATCH($C582,FA,0)),0,N(#REF!)*N(INDEX(F_MODUL,MATCH($C582,FA,0))))</f>
        <v>#REF!</v>
      </c>
      <c r="AH582" s="7" t="e">
        <f>N(#REF!)*N($I582)</f>
        <v>#REF!</v>
      </c>
      <c r="AI582" s="7" t="e">
        <f t="shared" si="190"/>
        <v>#REF!</v>
      </c>
      <c r="AJ582" s="7">
        <f t="shared" si="191"/>
        <v>0</v>
      </c>
    </row>
    <row r="583" spans="1:36" x14ac:dyDescent="0.25">
      <c r="A583" s="4" t="str">
        <f t="shared" si="185"/>
        <v>ЩС-2, ЩС-3 (260922 akram aulet)</v>
      </c>
      <c r="B583" s="4" t="s">
        <v>213</v>
      </c>
      <c r="C583" s="4" t="s">
        <v>408</v>
      </c>
      <c r="D583" s="4" t="s">
        <v>409</v>
      </c>
      <c r="E583" s="4" t="s">
        <v>114</v>
      </c>
      <c r="F583" s="4" t="s">
        <v>377</v>
      </c>
      <c r="G583" s="4" t="s">
        <v>330</v>
      </c>
      <c r="H583" s="5" t="e">
        <f>#REF!</f>
        <v>#REF!</v>
      </c>
      <c r="I583" s="6" t="e">
        <f t="shared" si="186"/>
        <v>#REF!</v>
      </c>
      <c r="J583" s="6" t="s">
        <v>52</v>
      </c>
      <c r="K583" s="6" t="s">
        <v>213</v>
      </c>
      <c r="L583" s="7" t="e">
        <f t="shared" si="187"/>
        <v>#REF!</v>
      </c>
      <c r="M583" s="7" t="s">
        <v>326</v>
      </c>
      <c r="N583" s="7" t="s">
        <v>217</v>
      </c>
      <c r="O583" s="7" t="str">
        <f>IF(OR($C583="",$C583="FID YOK"),"",IF(ISNUMBER(MATCH($C583,FA_ANA,0)),"",IF(COUNTIF($C$1:$C582,$C583)&gt;0,"",MAX($O$1:$O582)+1)))</f>
        <v/>
      </c>
      <c r="P583" s="8">
        <v>1</v>
      </c>
      <c r="Q583" s="7" t="e">
        <f>IF(OR($P583="",$P583="G",ISNA(MATCH($C583,FA,0))),"",IF(N(INDEX(F_G,MATCH($C583,FA,0)))&gt;0,INDEX(F_G,MATCH($C583,FA,0)),IF(N(INDEX(F_MODUL,MATCH($C583,FA,0)))&gt;0,INDEX(F_MODUL,MATCH($C583,FA,0))*MODUL_MM,"")))</f>
        <v>#REF!</v>
      </c>
      <c r="R583" s="7" t="e">
        <f>IF(OR($P583="",$P583="G",ISNA(MATCH($C583,FA,0))),"",IF(N(INDEX(F_Y,MATCH($C583,FA,0)))&gt;0,INDEX(F_Y,MATCH($C583,FA,0)),""))</f>
        <v>#REF!</v>
      </c>
      <c r="S583" s="7" t="e">
        <f>IF(OR($P583="",$P583="G",ISNA(MATCH($C583,FA,0))),"",IF(N(INDEX(F_D,MATCH($C583,FA,0)))&gt;0,INDEX(F_D,MATCH($C583,FA,0)),""))</f>
        <v>#REF!</v>
      </c>
      <c r="T583" s="7">
        <f>IF(ISNA(MATCH($C583,FA,0)),0,IF($J583="GIRIS",N(INDEX(F_INKOR,MATCH($C583,FA,0))),0))</f>
        <v>0</v>
      </c>
      <c r="U583" s="7" t="e">
        <f t="shared" si="192"/>
        <v>#REF!</v>
      </c>
      <c r="V583" s="7" t="e">
        <f t="shared" si="193"/>
        <v>#REF!</v>
      </c>
      <c r="W583" s="7" t="e">
        <f>IF(OR(NOT(ISNUMBER($P583)),$Q583=""),"",N(#REF!)*($Q583+IF(ISNA(MATCH($B583,TIP_AD,0)),0,N(INDEX(TIP_BOSLUK,MATCH($B583,TIP_AD,0))))))</f>
        <v>#REF!</v>
      </c>
      <c r="X583" s="7" t="e">
        <f>IF(ISNUMBER($P583),($Q583="")+($R583="")+($V583="")+IF(AND($U583="KONTAKTOR",NOT(ISNA(MATCH($B583,TIP_AD,0)))),IF(INDEX(TIP_BOSLUK,MATCH($B583,TIP_AD,0))&amp;""="",1,0),0),IF($P583="K",IF($S583="",1,0),0))</f>
        <v>#REF!</v>
      </c>
      <c r="Y583" s="7" t="e">
        <f>N(#REF!)*IF($E583="упак",MAX(1,IF(ISNA(MATCH($C583,FA,0)),1,N(INDEX(F_PAKET,MATCH($C583,FA,0))))),1)</f>
        <v>#REF!</v>
      </c>
      <c r="Z583" s="7" t="e">
        <f t="shared" si="188"/>
        <v>#REF!</v>
      </c>
      <c r="AA583" s="7" t="e">
        <f>IF(OR(ISNA(MATCH($C583,FA,0)),$J583="YEDEK",$J583="SARF"),0,N(#REF!)*N(INDEX(F_TEL,MATCH($C583,FA,0))))</f>
        <v>#REF!</v>
      </c>
      <c r="AB583" s="7" t="e">
        <f>IF(OR(ISNA(MATCH($C583,FA,0)),$J583="YEDEK",$J583="SARF"),0,N(#REF!)*N(INDEX(F_TELM,MATCH($C583,FA,0))))</f>
        <v>#REF!</v>
      </c>
      <c r="AC583" s="7" t="e">
        <f t="shared" si="189"/>
        <v>#REF!</v>
      </c>
      <c r="AD583" s="7" t="e">
        <f>IF(OR(ISNA(MATCH($C583,FA,0)),$J583&lt;&gt;"CIKIS"),0,N(INDEX(F_KK,MATCH($C583,FA,0))))</f>
        <v>#REF!</v>
      </c>
      <c r="AE583" s="7" t="e">
        <f>IF($AD583=0,0,N(#REF!)*N(INDEX(F_KLN,MATCH($C583,FA,0))))</f>
        <v>#REF!</v>
      </c>
      <c r="AF583" s="7" t="e">
        <f>IF($AD583=0,0,N(#REF!)*N(INDEX(F_KPE,MATCH($C583,FA,0))))</f>
        <v>#REF!</v>
      </c>
      <c r="AG583" s="7" t="e">
        <f>IF(ISNA(MATCH($C583,FA,0)),0,N(#REF!)*N(INDEX(F_MODUL,MATCH($C583,FA,0))))</f>
        <v>#REF!</v>
      </c>
      <c r="AH583" s="7" t="e">
        <f>N(#REF!)*N($I583)</f>
        <v>#REF!</v>
      </c>
      <c r="AI583" s="7" t="e">
        <f t="shared" si="190"/>
        <v>#REF!</v>
      </c>
      <c r="AJ583" s="7">
        <f t="shared" si="191"/>
        <v>0</v>
      </c>
    </row>
    <row r="584" spans="1:36" x14ac:dyDescent="0.25">
      <c r="A584" s="4" t="str">
        <f t="shared" si="185"/>
        <v>ЩС-2, ЩС-3 (260922 akram aulet)</v>
      </c>
      <c r="B584" s="4" t="s">
        <v>213</v>
      </c>
      <c r="C584" s="4" t="s">
        <v>410</v>
      </c>
      <c r="D584" s="4" t="s">
        <v>411</v>
      </c>
      <c r="E584" s="4" t="s">
        <v>114</v>
      </c>
      <c r="F584" s="4" t="s">
        <v>377</v>
      </c>
      <c r="G584" s="4" t="s">
        <v>330</v>
      </c>
      <c r="H584" s="5" t="e">
        <f>#REF!</f>
        <v>#REF!</v>
      </c>
      <c r="I584" s="6" t="e">
        <f t="shared" si="186"/>
        <v>#REF!</v>
      </c>
      <c r="J584" s="6" t="s">
        <v>52</v>
      </c>
      <c r="K584" s="6" t="s">
        <v>213</v>
      </c>
      <c r="L584" s="7" t="e">
        <f t="shared" si="187"/>
        <v>#REF!</v>
      </c>
      <c r="M584" s="7" t="s">
        <v>327</v>
      </c>
      <c r="N584" s="7" t="s">
        <v>215</v>
      </c>
      <c r="O584" s="7" t="str">
        <f>IF(OR($C584="",$C584="FID YOK"),"",IF(ISNUMBER(MATCH($C584,FA_ANA,0)),"",IF(COUNTIF($C$1:$C583,$C584)&gt;0,"",MAX($O$1:$O583)+1)))</f>
        <v/>
      </c>
      <c r="P584" s="8">
        <v>1</v>
      </c>
      <c r="Q584" s="7" t="e">
        <f>IF(OR($P584="",$P584="G",ISNA(MATCH($C584,FA,0))),"",IF(N(INDEX(F_G,MATCH($C584,FA,0)))&gt;0,INDEX(F_G,MATCH($C584,FA,0)),IF(N(INDEX(F_MODUL,MATCH($C584,FA,0)))&gt;0,INDEX(F_MODUL,MATCH($C584,FA,0))*MODUL_MM,"")))</f>
        <v>#REF!</v>
      </c>
      <c r="R584" s="7" t="e">
        <f>IF(OR($P584="",$P584="G",ISNA(MATCH($C584,FA,0))),"",IF(N(INDEX(F_Y,MATCH($C584,FA,0)))&gt;0,INDEX(F_Y,MATCH($C584,FA,0)),""))</f>
        <v>#REF!</v>
      </c>
      <c r="S584" s="7" t="e">
        <f>IF(OR($P584="",$P584="G",ISNA(MATCH($C584,FA,0))),"",IF(N(INDEX(F_D,MATCH($C584,FA,0)))&gt;0,INDEX(F_D,MATCH($C584,FA,0)),""))</f>
        <v>#REF!</v>
      </c>
      <c r="T584" s="7">
        <f>IF(ISNA(MATCH($C584,FA,0)),0,IF($J584="GIRIS",N(INDEX(F_INKOR,MATCH($C584,FA,0))),0))</f>
        <v>0</v>
      </c>
      <c r="U584" s="7" t="e">
        <f t="shared" si="192"/>
        <v>#REF!</v>
      </c>
      <c r="V584" s="7" t="e">
        <f t="shared" si="193"/>
        <v>#REF!</v>
      </c>
      <c r="W584" s="7" t="e">
        <f>IF(OR(NOT(ISNUMBER($P584)),$Q584=""),"",N(#REF!)*($Q584+IF(ISNA(MATCH($B584,TIP_AD,0)),0,N(INDEX(TIP_BOSLUK,MATCH($B584,TIP_AD,0))))))</f>
        <v>#REF!</v>
      </c>
      <c r="X584" s="7" t="e">
        <f>IF(ISNUMBER($P584),($Q584="")+($R584="")+($V584="")+IF(AND($U584="KONTAKTOR",NOT(ISNA(MATCH($B584,TIP_AD,0)))),IF(INDEX(TIP_BOSLUK,MATCH($B584,TIP_AD,0))&amp;""="",1,0),0),IF($P584="K",IF($S584="",1,0),0))</f>
        <v>#REF!</v>
      </c>
      <c r="Y584" s="7" t="e">
        <f>N(#REF!)*IF($E584="упак",MAX(1,IF(ISNA(MATCH($C584,FA,0)),1,N(INDEX(F_PAKET,MATCH($C584,FA,0))))),1)</f>
        <v>#REF!</v>
      </c>
      <c r="Z584" s="7" t="e">
        <f t="shared" si="188"/>
        <v>#REF!</v>
      </c>
      <c r="AA584" s="7" t="e">
        <f>IF(OR(ISNA(MATCH($C584,FA,0)),$J584="YEDEK",$J584="SARF"),0,N(#REF!)*N(INDEX(F_TEL,MATCH($C584,FA,0))))</f>
        <v>#REF!</v>
      </c>
      <c r="AB584" s="7" t="e">
        <f>IF(OR(ISNA(MATCH($C584,FA,0)),$J584="YEDEK",$J584="SARF"),0,N(#REF!)*N(INDEX(F_TELM,MATCH($C584,FA,0))))</f>
        <v>#REF!</v>
      </c>
      <c r="AC584" s="7" t="e">
        <f t="shared" si="189"/>
        <v>#REF!</v>
      </c>
      <c r="AD584" s="7" t="e">
        <f>IF(OR(ISNA(MATCH($C584,FA,0)),$J584&lt;&gt;"CIKIS"),0,N(INDEX(F_KK,MATCH($C584,FA,0))))</f>
        <v>#REF!</v>
      </c>
      <c r="AE584" s="7" t="e">
        <f>IF($AD584=0,0,N(#REF!)*N(INDEX(F_KLN,MATCH($C584,FA,0))))</f>
        <v>#REF!</v>
      </c>
      <c r="AF584" s="7" t="e">
        <f>IF($AD584=0,0,N(#REF!)*N(INDEX(F_KPE,MATCH($C584,FA,0))))</f>
        <v>#REF!</v>
      </c>
      <c r="AG584" s="7" t="e">
        <f>IF(ISNA(MATCH($C584,FA,0)),0,N(#REF!)*N(INDEX(F_MODUL,MATCH($C584,FA,0))))</f>
        <v>#REF!</v>
      </c>
      <c r="AH584" s="7" t="e">
        <f>N(#REF!)*N($I584)</f>
        <v>#REF!</v>
      </c>
      <c r="AI584" s="7" t="e">
        <f t="shared" si="190"/>
        <v>#REF!</v>
      </c>
      <c r="AJ584" s="7">
        <f t="shared" si="191"/>
        <v>0</v>
      </c>
    </row>
    <row r="585" spans="1:36" x14ac:dyDescent="0.25">
      <c r="A585" s="4" t="str">
        <f t="shared" si="185"/>
        <v>ЩС-2, ЩС-3 (260922 akram aulet)</v>
      </c>
      <c r="B585" s="4" t="s">
        <v>218</v>
      </c>
      <c r="C585" s="4" t="s">
        <v>487</v>
      </c>
      <c r="D585" s="4" t="s">
        <v>488</v>
      </c>
      <c r="E585" s="4" t="s">
        <v>114</v>
      </c>
      <c r="F585" s="4" t="s">
        <v>486</v>
      </c>
      <c r="G585" s="4" t="s">
        <v>330</v>
      </c>
      <c r="H585" s="5" t="e">
        <f>#REF!</f>
        <v>#REF!</v>
      </c>
      <c r="I585" s="6" t="e">
        <f t="shared" si="186"/>
        <v>#REF!</v>
      </c>
      <c r="J585" s="6" t="s">
        <v>66</v>
      </c>
      <c r="K585" s="6" t="s">
        <v>218</v>
      </c>
      <c r="L585" s="7" t="e">
        <f t="shared" si="187"/>
        <v>#REF!</v>
      </c>
      <c r="M585" s="7" t="s">
        <v>328</v>
      </c>
      <c r="N585" s="7" t="s">
        <v>220</v>
      </c>
      <c r="O585" s="7" t="str">
        <f>IF(OR($C585="",$C585="FID YOK"),"",IF(ISNUMBER(MATCH($C585,FA_ANA,0)),"",IF(COUNTIF($C$1:$C584,$C585)&gt;0,"",MAX($O$1:$O584)+1)))</f>
        <v/>
      </c>
      <c r="P585" s="8">
        <v>1</v>
      </c>
      <c r="Q585" s="7" t="e">
        <f>IF(OR($P585="",$P585="G",ISNA(MATCH($C585,FA,0))),"",IF(N(INDEX(F_G,MATCH($C585,FA,0)))&gt;0,INDEX(F_G,MATCH($C585,FA,0)),IF(N(INDEX(F_MODUL,MATCH($C585,FA,0)))&gt;0,INDEX(F_MODUL,MATCH($C585,FA,0))*MODUL_MM,"")))</f>
        <v>#REF!</v>
      </c>
      <c r="R585" s="7" t="e">
        <f>IF(OR($P585="",$P585="G",ISNA(MATCH($C585,FA,0))),"",IF(N(INDEX(F_Y,MATCH($C585,FA,0)))&gt;0,INDEX(F_Y,MATCH($C585,FA,0)),""))</f>
        <v>#REF!</v>
      </c>
      <c r="S585" s="7" t="e">
        <f>IF(OR($P585="",$P585="G",ISNA(MATCH($C585,FA,0))),"",IF(N(INDEX(F_D,MATCH($C585,FA,0)))&gt;0,INDEX(F_D,MATCH($C585,FA,0)),""))</f>
        <v>#REF!</v>
      </c>
      <c r="T585" s="7">
        <f>IF(ISNA(MATCH($C585,FA,0)),0,IF($J585="GIRIS",N(INDEX(F_INKOR,MATCH($C585,FA,0))),0))</f>
        <v>0</v>
      </c>
      <c r="U585" s="7" t="e">
        <f t="shared" si="192"/>
        <v>#REF!</v>
      </c>
      <c r="V585" s="7" t="e">
        <f t="shared" si="193"/>
        <v>#REF!</v>
      </c>
      <c r="W585" s="7" t="e">
        <f>IF(OR(NOT(ISNUMBER($P585)),$Q585=""),"",N(#REF!)*($Q585+IF(ISNA(MATCH($B585,TIP_AD,0)),0,N(INDEX(TIP_BOSLUK,MATCH($B585,TIP_AD,0))))))</f>
        <v>#REF!</v>
      </c>
      <c r="X585" s="7" t="e">
        <f>IF(ISNUMBER($P585),($Q585="")+($R585="")+($V585="")+IF(AND($U585="KONTAKTOR",NOT(ISNA(MATCH($B585,TIP_AD,0)))),IF(INDEX(TIP_BOSLUK,MATCH($B585,TIP_AD,0))&amp;""="",1,0),0),IF($P585="K",IF($S585="",1,0),0))</f>
        <v>#REF!</v>
      </c>
      <c r="Y585" s="7" t="e">
        <f>N(#REF!)*IF($E585="упак",MAX(1,IF(ISNA(MATCH($C585,FA,0)),1,N(INDEX(F_PAKET,MATCH($C585,FA,0))))),1)</f>
        <v>#REF!</v>
      </c>
      <c r="Z585" s="7" t="e">
        <f t="shared" si="188"/>
        <v>#REF!</v>
      </c>
      <c r="AA585" s="7" t="e">
        <f>IF(OR(ISNA(MATCH($C585,FA,0)),$J585="YEDEK",$J585="SARF"),0,N(#REF!)*N(INDEX(F_TEL,MATCH($C585,FA,0))))</f>
        <v>#REF!</v>
      </c>
      <c r="AB585" s="7" t="e">
        <f>IF(OR(ISNA(MATCH($C585,FA,0)),$J585="YEDEK",$J585="SARF"),0,N(#REF!)*N(INDEX(F_TELM,MATCH($C585,FA,0))))</f>
        <v>#REF!</v>
      </c>
      <c r="AC585" s="7" t="e">
        <f t="shared" si="189"/>
        <v>#REF!</v>
      </c>
      <c r="AD585" s="7">
        <f>IF(OR(ISNA(MATCH($C585,FA,0)),$J585&lt;&gt;"CIKIS"),0,N(INDEX(F_KK,MATCH($C585,FA,0))))</f>
        <v>0</v>
      </c>
      <c r="AE585" s="7">
        <f>IF($AD585=0,0,N(#REF!)*N(INDEX(F_KLN,MATCH($C585,FA,0))))</f>
        <v>0</v>
      </c>
      <c r="AF585" s="7">
        <f>IF($AD585=0,0,N(#REF!)*N(INDEX(F_KPE,MATCH($C585,FA,0))))</f>
        <v>0</v>
      </c>
      <c r="AG585" s="7" t="e">
        <f>IF(ISNA(MATCH($C585,FA,0)),0,N(#REF!)*N(INDEX(F_MODUL,MATCH($C585,FA,0))))</f>
        <v>#REF!</v>
      </c>
      <c r="AH585" s="7" t="e">
        <f>N(#REF!)*N($I585)</f>
        <v>#REF!</v>
      </c>
      <c r="AI585" s="7" t="e">
        <f t="shared" si="190"/>
        <v>#REF!</v>
      </c>
      <c r="AJ585" s="7">
        <f t="shared" si="191"/>
        <v>0</v>
      </c>
    </row>
    <row r="586" spans="1:36" x14ac:dyDescent="0.25">
      <c r="A586" s="4" t="str">
        <f t="shared" si="185"/>
        <v>ЩС-2, ЩС-3 (260922 akram aulet)</v>
      </c>
      <c r="B586" s="4" t="s">
        <v>202</v>
      </c>
      <c r="C586" s="4" t="s">
        <v>581</v>
      </c>
      <c r="D586" s="4" t="s">
        <v>582</v>
      </c>
      <c r="E586" s="4" t="s">
        <v>114</v>
      </c>
      <c r="F586" s="4" t="s">
        <v>486</v>
      </c>
      <c r="G586" s="4" t="s">
        <v>330</v>
      </c>
      <c r="H586" s="5" t="e">
        <f>#REF!</f>
        <v>#REF!</v>
      </c>
      <c r="I586" s="6" t="e">
        <f t="shared" si="186"/>
        <v>#REF!</v>
      </c>
      <c r="J586" s="6" t="s">
        <v>84</v>
      </c>
      <c r="K586" s="6" t="s">
        <v>202</v>
      </c>
      <c r="L586" s="7" t="e">
        <f t="shared" si="187"/>
        <v>#REF!</v>
      </c>
      <c r="M586" s="7" t="s">
        <v>203</v>
      </c>
      <c r="O586" s="7" t="str">
        <f>IF(OR($C586="",$C586="FID YOK"),"",IF(ISNUMBER(MATCH($C586,FA_ANA,0)),"",IF(COUNTIF($C$1:$C585,$C586)&gt;0,"",MAX($O$1:$O585)+1)))</f>
        <v/>
      </c>
      <c r="T586" s="7">
        <f>IF(ISNA(MATCH($C586,FA,0)),0,IF($J586="GIRIS",N(INDEX(F_INKOR,MATCH($C586,FA,0))),0))</f>
        <v>0</v>
      </c>
      <c r="Y586" s="7" t="e">
        <f>N(#REF!)*IF($E586="упак",MAX(1,IF(ISNA(MATCH($C586,FA,0)),1,N(INDEX(F_PAKET,MATCH($C586,FA,0))))),1)</f>
        <v>#REF!</v>
      </c>
      <c r="Z586" s="7" t="e">
        <f t="shared" si="188"/>
        <v>#REF!</v>
      </c>
      <c r="AA586" s="7">
        <f>IF(OR(ISNA(MATCH($C586,FA,0)),$J586="YEDEK",$J586="SARF"),0,N(#REF!)*N(INDEX(F_TEL,MATCH($C586,FA,0))))</f>
        <v>0</v>
      </c>
      <c r="AB586" s="7">
        <f>IF(OR(ISNA(MATCH($C586,FA,0)),$J586="YEDEK",$J586="SARF"),0,N(#REF!)*N(INDEX(F_TELM,MATCH($C586,FA,0))))</f>
        <v>0</v>
      </c>
      <c r="AC586" s="7" t="e">
        <f t="shared" si="189"/>
        <v>#REF!</v>
      </c>
      <c r="AD586" s="7">
        <f>IF(OR(ISNA(MATCH($C586,FA,0)),$J586&lt;&gt;"CIKIS"),0,N(INDEX(F_KK,MATCH($C586,FA,0))))</f>
        <v>0</v>
      </c>
      <c r="AE586" s="7">
        <f>IF($AD586=0,0,N(#REF!)*N(INDEX(F_KLN,MATCH($C586,FA,0))))</f>
        <v>0</v>
      </c>
      <c r="AF586" s="7">
        <f>IF($AD586=0,0,N(#REF!)*N(INDEX(F_KPE,MATCH($C586,FA,0))))</f>
        <v>0</v>
      </c>
      <c r="AG586" s="7" t="e">
        <f>IF(ISNA(MATCH($C586,FA,0)),0,N(#REF!)*N(INDEX(F_MODUL,MATCH($C586,FA,0))))</f>
        <v>#REF!</v>
      </c>
      <c r="AH586" s="7" t="e">
        <f>N(#REF!)*N($I586)</f>
        <v>#REF!</v>
      </c>
      <c r="AI586" s="7" t="e">
        <f t="shared" si="190"/>
        <v>#REF!</v>
      </c>
      <c r="AJ586" s="7">
        <f t="shared" si="191"/>
        <v>0</v>
      </c>
    </row>
    <row r="587" spans="1:36" x14ac:dyDescent="0.25">
      <c r="A587" s="4" t="str">
        <f t="shared" si="185"/>
        <v>ЩС-2, ЩС-3 (260922 akram aulet)</v>
      </c>
      <c r="B587" s="4" t="s">
        <v>202</v>
      </c>
      <c r="C587" s="4" t="s">
        <v>579</v>
      </c>
      <c r="D587" s="4" t="s">
        <v>580</v>
      </c>
      <c r="E587" s="4" t="s">
        <v>114</v>
      </c>
      <c r="F587" s="4" t="s">
        <v>486</v>
      </c>
      <c r="G587" s="4" t="s">
        <v>330</v>
      </c>
      <c r="H587" s="5" t="e">
        <f>#REF!</f>
        <v>#REF!</v>
      </c>
      <c r="I587" s="6" t="e">
        <f t="shared" si="186"/>
        <v>#REF!</v>
      </c>
      <c r="J587" s="6" t="s">
        <v>84</v>
      </c>
      <c r="K587" s="6" t="s">
        <v>202</v>
      </c>
      <c r="L587" s="7" t="e">
        <f t="shared" si="187"/>
        <v>#REF!</v>
      </c>
      <c r="M587" s="7" t="s">
        <v>204</v>
      </c>
      <c r="O587" s="7" t="str">
        <f>IF(OR($C587="",$C587="FID YOK"),"",IF(ISNUMBER(MATCH($C587,FA_ANA,0)),"",IF(COUNTIF($C$1:$C586,$C587)&gt;0,"",MAX($O$1:$O586)+1)))</f>
        <v/>
      </c>
      <c r="T587" s="7">
        <f>IF(ISNA(MATCH($C587,FA,0)),0,IF($J587="GIRIS",N(INDEX(F_INKOR,MATCH($C587,FA,0))),0))</f>
        <v>0</v>
      </c>
      <c r="Y587" s="7" t="e">
        <f>N(#REF!)*IF($E587="упак",MAX(1,IF(ISNA(MATCH($C587,FA,0)),1,N(INDEX(F_PAKET,MATCH($C587,FA,0))))),1)</f>
        <v>#REF!</v>
      </c>
      <c r="Z587" s="7" t="e">
        <f t="shared" si="188"/>
        <v>#REF!</v>
      </c>
      <c r="AA587" s="7">
        <f>IF(OR(ISNA(MATCH($C587,FA,0)),$J587="YEDEK",$J587="SARF"),0,N(#REF!)*N(INDEX(F_TEL,MATCH($C587,FA,0))))</f>
        <v>0</v>
      </c>
      <c r="AB587" s="7">
        <f>IF(OR(ISNA(MATCH($C587,FA,0)),$J587="YEDEK",$J587="SARF"),0,N(#REF!)*N(INDEX(F_TELM,MATCH($C587,FA,0))))</f>
        <v>0</v>
      </c>
      <c r="AC587" s="7" t="e">
        <f t="shared" si="189"/>
        <v>#REF!</v>
      </c>
      <c r="AD587" s="7">
        <f>IF(OR(ISNA(MATCH($C587,FA,0)),$J587&lt;&gt;"CIKIS"),0,N(INDEX(F_KK,MATCH($C587,FA,0))))</f>
        <v>0</v>
      </c>
      <c r="AE587" s="7">
        <f>IF($AD587=0,0,N(#REF!)*N(INDEX(F_KLN,MATCH($C587,FA,0))))</f>
        <v>0</v>
      </c>
      <c r="AF587" s="7">
        <f>IF($AD587=0,0,N(#REF!)*N(INDEX(F_KPE,MATCH($C587,FA,0))))</f>
        <v>0</v>
      </c>
      <c r="AG587" s="7" t="e">
        <f>IF(ISNA(MATCH($C587,FA,0)),0,N(#REF!)*N(INDEX(F_MODUL,MATCH($C587,FA,0))))</f>
        <v>#REF!</v>
      </c>
      <c r="AH587" s="7" t="e">
        <f>N(#REF!)*N($I587)</f>
        <v>#REF!</v>
      </c>
      <c r="AI587" s="7" t="e">
        <f t="shared" si="190"/>
        <v>#REF!</v>
      </c>
      <c r="AJ587" s="7">
        <f t="shared" si="191"/>
        <v>0</v>
      </c>
    </row>
    <row r="588" spans="1:36" x14ac:dyDescent="0.25">
      <c r="A588" s="4" t="str">
        <f t="shared" si="185"/>
        <v>ЩС-2, ЩС-3 (260922 akram aulet)</v>
      </c>
      <c r="B588" s="4" t="s">
        <v>92</v>
      </c>
      <c r="C588" s="4" t="s">
        <v>523</v>
      </c>
      <c r="D588" s="4" t="s">
        <v>524</v>
      </c>
      <c r="E588" s="4" t="s">
        <v>520</v>
      </c>
      <c r="F588" s="4" t="s">
        <v>521</v>
      </c>
      <c r="G588" s="4" t="s">
        <v>330</v>
      </c>
      <c r="H588" s="5" t="e">
        <f>#REF!</f>
        <v>#REF!</v>
      </c>
      <c r="I588" s="6" t="e">
        <f t="shared" si="186"/>
        <v>#REF!</v>
      </c>
      <c r="J588" s="6" t="s">
        <v>84</v>
      </c>
      <c r="K588" s="6" t="s">
        <v>92</v>
      </c>
      <c r="L588" s="7" t="e">
        <f t="shared" si="187"/>
        <v>#REF!</v>
      </c>
      <c r="M588" s="7" t="s">
        <v>93</v>
      </c>
      <c r="O588" s="7" t="str">
        <f>IF(OR($C588="",$C588="FID YOK"),"",IF(ISNUMBER(MATCH($C588,FA_ANA,0)),"",IF(COUNTIF($C$1:$C587,$C588)&gt;0,"",MAX($O$1:$O587)+1)))</f>
        <v/>
      </c>
      <c r="T588" s="7">
        <f>IF(ISNA(MATCH($C588,FA,0)),0,IF($J588="GIRIS",N(INDEX(F_INKOR,MATCH($C588,FA,0))),0))</f>
        <v>0</v>
      </c>
      <c r="Y588" s="7" t="e">
        <f>N(#REF!)*IF($E588="упак",MAX(1,IF(ISNA(MATCH($C588,FA,0)),1,N(INDEX(F_PAKET,MATCH($C588,FA,0))))),1)</f>
        <v>#REF!</v>
      </c>
      <c r="Z588" s="7" t="e">
        <f t="shared" si="188"/>
        <v>#REF!</v>
      </c>
      <c r="AA588" s="7">
        <f>IF(OR(ISNA(MATCH($C588,FA,0)),$J588="YEDEK",$J588="SARF"),0,N(#REF!)*N(INDEX(F_TEL,MATCH($C588,FA,0))))</f>
        <v>0</v>
      </c>
      <c r="AB588" s="7">
        <f>IF(OR(ISNA(MATCH($C588,FA,0)),$J588="YEDEK",$J588="SARF"),0,N(#REF!)*N(INDEX(F_TELM,MATCH($C588,FA,0))))</f>
        <v>0</v>
      </c>
      <c r="AC588" s="7" t="e">
        <f t="shared" si="189"/>
        <v>#REF!</v>
      </c>
      <c r="AD588" s="7">
        <f>IF(OR(ISNA(MATCH($C588,FA,0)),$J588&lt;&gt;"CIKIS"),0,N(INDEX(F_KK,MATCH($C588,FA,0))))</f>
        <v>0</v>
      </c>
      <c r="AE588" s="7">
        <f>IF($AD588=0,0,N(#REF!)*N(INDEX(F_KLN,MATCH($C588,FA,0))))</f>
        <v>0</v>
      </c>
      <c r="AF588" s="7">
        <f>IF($AD588=0,0,N(#REF!)*N(INDEX(F_KPE,MATCH($C588,FA,0))))</f>
        <v>0</v>
      </c>
      <c r="AG588" s="7" t="e">
        <f>IF(ISNA(MATCH($C588,FA,0)),0,N(#REF!)*N(INDEX(F_MODUL,MATCH($C588,FA,0))))</f>
        <v>#REF!</v>
      </c>
      <c r="AH588" s="7" t="e">
        <f>N(#REF!)*N($I588)</f>
        <v>#REF!</v>
      </c>
      <c r="AI588" s="7" t="e">
        <f t="shared" si="190"/>
        <v>#REF!</v>
      </c>
      <c r="AJ588" s="7">
        <f t="shared" si="191"/>
        <v>0</v>
      </c>
    </row>
    <row r="589" spans="1:36" x14ac:dyDescent="0.25">
      <c r="A589" s="4" t="str">
        <f t="shared" si="185"/>
        <v>ЩС-2, ЩС-3 (260922 akram aulet)</v>
      </c>
      <c r="B589" s="4" t="s">
        <v>92</v>
      </c>
      <c r="C589" s="4" t="s">
        <v>527</v>
      </c>
      <c r="D589" s="4" t="s">
        <v>528</v>
      </c>
      <c r="E589" s="4" t="s">
        <v>520</v>
      </c>
      <c r="F589" s="4" t="s">
        <v>521</v>
      </c>
      <c r="G589" s="4" t="s">
        <v>330</v>
      </c>
      <c r="H589" s="5" t="e">
        <f>#REF!</f>
        <v>#REF!</v>
      </c>
      <c r="I589" s="6" t="e">
        <f t="shared" si="186"/>
        <v>#REF!</v>
      </c>
      <c r="J589" s="6" t="s">
        <v>84</v>
      </c>
      <c r="K589" s="6" t="s">
        <v>92</v>
      </c>
      <c r="L589" s="7" t="e">
        <f t="shared" si="187"/>
        <v>#REF!</v>
      </c>
      <c r="M589" s="7" t="s">
        <v>94</v>
      </c>
      <c r="O589" s="7" t="str">
        <f>IF(OR($C589="",$C589="FID YOK"),"",IF(ISNUMBER(MATCH($C589,FA_ANA,0)),"",IF(COUNTIF($C$1:$C588,$C589)&gt;0,"",MAX($O$1:$O588)+1)))</f>
        <v/>
      </c>
      <c r="T589" s="7">
        <f>IF(ISNA(MATCH($C589,FA,0)),0,IF($J589="GIRIS",N(INDEX(F_INKOR,MATCH($C589,FA,0))),0))</f>
        <v>0</v>
      </c>
      <c r="Y589" s="7" t="e">
        <f>N(#REF!)*IF($E589="упак",MAX(1,IF(ISNA(MATCH($C589,FA,0)),1,N(INDEX(F_PAKET,MATCH($C589,FA,0))))),1)</f>
        <v>#REF!</v>
      </c>
      <c r="Z589" s="7" t="e">
        <f t="shared" si="188"/>
        <v>#REF!</v>
      </c>
      <c r="AA589" s="7">
        <f>IF(OR(ISNA(MATCH($C589,FA,0)),$J589="YEDEK",$J589="SARF"),0,N(#REF!)*N(INDEX(F_TEL,MATCH($C589,FA,0))))</f>
        <v>0</v>
      </c>
      <c r="AB589" s="7">
        <f>IF(OR(ISNA(MATCH($C589,FA,0)),$J589="YEDEK",$J589="SARF"),0,N(#REF!)*N(INDEX(F_TELM,MATCH($C589,FA,0))))</f>
        <v>0</v>
      </c>
      <c r="AC589" s="7" t="e">
        <f t="shared" si="189"/>
        <v>#REF!</v>
      </c>
      <c r="AD589" s="7">
        <f>IF(OR(ISNA(MATCH($C589,FA,0)),$J589&lt;&gt;"CIKIS"),0,N(INDEX(F_KK,MATCH($C589,FA,0))))</f>
        <v>0</v>
      </c>
      <c r="AE589" s="7">
        <f>IF($AD589=0,0,N(#REF!)*N(INDEX(F_KLN,MATCH($C589,FA,0))))</f>
        <v>0</v>
      </c>
      <c r="AF589" s="7">
        <f>IF($AD589=0,0,N(#REF!)*N(INDEX(F_KPE,MATCH($C589,FA,0))))</f>
        <v>0</v>
      </c>
      <c r="AG589" s="7" t="e">
        <f>IF(ISNA(MATCH($C589,FA,0)),0,N(#REF!)*N(INDEX(F_MODUL,MATCH($C589,FA,0))))</f>
        <v>#REF!</v>
      </c>
      <c r="AH589" s="7" t="e">
        <f>N(#REF!)*N($I589)</f>
        <v>#REF!</v>
      </c>
      <c r="AI589" s="7" t="e">
        <f t="shared" si="190"/>
        <v>#REF!</v>
      </c>
      <c r="AJ589" s="7">
        <f t="shared" si="191"/>
        <v>0</v>
      </c>
    </row>
    <row r="590" spans="1:36" x14ac:dyDescent="0.25">
      <c r="A590" s="4" t="str">
        <f t="shared" si="185"/>
        <v>ЩС-2, ЩС-3 (260922 akram aulet)</v>
      </c>
      <c r="B590" s="4" t="s">
        <v>92</v>
      </c>
      <c r="C590" s="4" t="s">
        <v>535</v>
      </c>
      <c r="D590" s="4" t="s">
        <v>536</v>
      </c>
      <c r="E590" s="4" t="s">
        <v>520</v>
      </c>
      <c r="F590" s="4" t="s">
        <v>521</v>
      </c>
      <c r="G590" s="4" t="s">
        <v>330</v>
      </c>
      <c r="H590" s="5" t="e">
        <f>#REF!</f>
        <v>#REF!</v>
      </c>
      <c r="I590" s="6" t="e">
        <f t="shared" si="186"/>
        <v>#REF!</v>
      </c>
      <c r="J590" s="6" t="s">
        <v>84</v>
      </c>
      <c r="K590" s="6" t="s">
        <v>92</v>
      </c>
      <c r="L590" s="7" t="e">
        <f t="shared" si="187"/>
        <v>#REF!</v>
      </c>
      <c r="M590" s="7" t="s">
        <v>130</v>
      </c>
      <c r="O590" s="7" t="str">
        <f>IF(OR($C590="",$C590="FID YOK"),"",IF(ISNUMBER(MATCH($C590,FA_ANA,0)),"",IF(COUNTIF($C$1:$C589,$C590)&gt;0,"",MAX($O$1:$O589)+1)))</f>
        <v/>
      </c>
      <c r="T590" s="7">
        <f>IF(ISNA(MATCH($C590,FA,0)),0,IF($J590="GIRIS",N(INDEX(F_INKOR,MATCH($C590,FA,0))),0))</f>
        <v>0</v>
      </c>
      <c r="Y590" s="7" t="e">
        <f>N(#REF!)*IF($E590="упак",MAX(1,IF(ISNA(MATCH($C590,FA,0)),1,N(INDEX(F_PAKET,MATCH($C590,FA,0))))),1)</f>
        <v>#REF!</v>
      </c>
      <c r="Z590" s="7" t="e">
        <f t="shared" si="188"/>
        <v>#REF!</v>
      </c>
      <c r="AA590" s="7">
        <f>IF(OR(ISNA(MATCH($C590,FA,0)),$J590="YEDEK",$J590="SARF"),0,N(#REF!)*N(INDEX(F_TEL,MATCH($C590,FA,0))))</f>
        <v>0</v>
      </c>
      <c r="AB590" s="7">
        <f>IF(OR(ISNA(MATCH($C590,FA,0)),$J590="YEDEK",$J590="SARF"),0,N(#REF!)*N(INDEX(F_TELM,MATCH($C590,FA,0))))</f>
        <v>0</v>
      </c>
      <c r="AC590" s="7" t="e">
        <f t="shared" si="189"/>
        <v>#REF!</v>
      </c>
      <c r="AD590" s="7">
        <f>IF(OR(ISNA(MATCH($C590,FA,0)),$J590&lt;&gt;"CIKIS"),0,N(INDEX(F_KK,MATCH($C590,FA,0))))</f>
        <v>0</v>
      </c>
      <c r="AE590" s="7">
        <f>IF($AD590=0,0,N(#REF!)*N(INDEX(F_KLN,MATCH($C590,FA,0))))</f>
        <v>0</v>
      </c>
      <c r="AF590" s="7">
        <f>IF($AD590=0,0,N(#REF!)*N(INDEX(F_KPE,MATCH($C590,FA,0))))</f>
        <v>0</v>
      </c>
      <c r="AG590" s="7" t="e">
        <f>IF(ISNA(MATCH($C590,FA,0)),0,N(#REF!)*N(INDEX(F_MODUL,MATCH($C590,FA,0))))</f>
        <v>#REF!</v>
      </c>
      <c r="AH590" s="7" t="e">
        <f>N(#REF!)*N($I590)</f>
        <v>#REF!</v>
      </c>
      <c r="AI590" s="7" t="e">
        <f t="shared" si="190"/>
        <v>#REF!</v>
      </c>
      <c r="AJ590" s="7">
        <f t="shared" si="191"/>
        <v>0</v>
      </c>
    </row>
    <row r="591" spans="1:36" x14ac:dyDescent="0.25">
      <c r="A591" s="4" t="str">
        <f t="shared" si="185"/>
        <v>ЩС-2, ЩС-3 (260922 akram aulet)</v>
      </c>
      <c r="B591" s="4" t="s">
        <v>92</v>
      </c>
      <c r="C591" s="4" t="s">
        <v>535</v>
      </c>
      <c r="D591" s="4" t="s">
        <v>536</v>
      </c>
      <c r="E591" s="4" t="s">
        <v>520</v>
      </c>
      <c r="F591" s="4" t="s">
        <v>521</v>
      </c>
      <c r="G591" s="4" t="s">
        <v>330</v>
      </c>
      <c r="H591" s="5" t="e">
        <f>#REF!</f>
        <v>#REF!</v>
      </c>
      <c r="I591" s="6" t="e">
        <f t="shared" si="186"/>
        <v>#REF!</v>
      </c>
      <c r="J591" s="6" t="s">
        <v>84</v>
      </c>
      <c r="K591" s="6" t="s">
        <v>92</v>
      </c>
      <c r="L591" s="7" t="e">
        <f t="shared" si="187"/>
        <v>#REF!</v>
      </c>
      <c r="M591" s="7" t="s">
        <v>100</v>
      </c>
      <c r="O591" s="7" t="str">
        <f>IF(OR($C591="",$C591="FID YOK"),"",IF(ISNUMBER(MATCH($C591,FA_ANA,0)),"",IF(COUNTIF($C$1:$C590,$C591)&gt;0,"",MAX($O$1:$O590)+1)))</f>
        <v/>
      </c>
      <c r="T591" s="7">
        <f>IF(ISNA(MATCH($C591,FA,0)),0,IF($J591="GIRIS",N(INDEX(F_INKOR,MATCH($C591,FA,0))),0))</f>
        <v>0</v>
      </c>
      <c r="Y591" s="7" t="e">
        <f>N(#REF!)*IF($E591="упак",MAX(1,IF(ISNA(MATCH($C591,FA,0)),1,N(INDEX(F_PAKET,MATCH($C591,FA,0))))),1)</f>
        <v>#REF!</v>
      </c>
      <c r="Z591" s="7" t="e">
        <f t="shared" si="188"/>
        <v>#REF!</v>
      </c>
      <c r="AA591" s="7">
        <f>IF(OR(ISNA(MATCH($C591,FA,0)),$J591="YEDEK",$J591="SARF"),0,N(#REF!)*N(INDEX(F_TEL,MATCH($C591,FA,0))))</f>
        <v>0</v>
      </c>
      <c r="AB591" s="7">
        <f>IF(OR(ISNA(MATCH($C591,FA,0)),$J591="YEDEK",$J591="SARF"),0,N(#REF!)*N(INDEX(F_TELM,MATCH($C591,FA,0))))</f>
        <v>0</v>
      </c>
      <c r="AC591" s="7" t="e">
        <f t="shared" si="189"/>
        <v>#REF!</v>
      </c>
      <c r="AD591" s="7">
        <f>IF(OR(ISNA(MATCH($C591,FA,0)),$J591&lt;&gt;"CIKIS"),0,N(INDEX(F_KK,MATCH($C591,FA,0))))</f>
        <v>0</v>
      </c>
      <c r="AE591" s="7">
        <f>IF($AD591=0,0,N(#REF!)*N(INDEX(F_KLN,MATCH($C591,FA,0))))</f>
        <v>0</v>
      </c>
      <c r="AF591" s="7">
        <f>IF($AD591=0,0,N(#REF!)*N(INDEX(F_KPE,MATCH($C591,FA,0))))</f>
        <v>0</v>
      </c>
      <c r="AG591" s="7" t="e">
        <f>IF(ISNA(MATCH($C591,FA,0)),0,N(#REF!)*N(INDEX(F_MODUL,MATCH($C591,FA,0))))</f>
        <v>#REF!</v>
      </c>
      <c r="AH591" s="7" t="e">
        <f>N(#REF!)*N($I591)</f>
        <v>#REF!</v>
      </c>
      <c r="AI591" s="7" t="e">
        <f t="shared" si="190"/>
        <v>#REF!</v>
      </c>
      <c r="AJ591" s="7">
        <f t="shared" si="191"/>
        <v>0</v>
      </c>
    </row>
    <row r="592" spans="1:36" x14ac:dyDescent="0.25">
      <c r="A592" s="4" t="str">
        <f t="shared" si="185"/>
        <v>ЩС-2, ЩС-3 (260922 akram aulet)</v>
      </c>
      <c r="B592" s="4" t="s">
        <v>101</v>
      </c>
      <c r="C592" s="4" t="s">
        <v>525</v>
      </c>
      <c r="D592" s="4" t="s">
        <v>526</v>
      </c>
      <c r="E592" s="4" t="s">
        <v>522</v>
      </c>
      <c r="F592" s="4" t="s">
        <v>486</v>
      </c>
      <c r="G592" s="4" t="s">
        <v>330</v>
      </c>
      <c r="H592" s="5" t="e">
        <f>#REF!</f>
        <v>#REF!</v>
      </c>
      <c r="I592" s="6" t="e">
        <f t="shared" si="186"/>
        <v>#REF!</v>
      </c>
      <c r="J592" s="6" t="s">
        <v>84</v>
      </c>
      <c r="K592" s="6" t="s">
        <v>101</v>
      </c>
      <c r="L592" s="7" t="e">
        <f t="shared" si="187"/>
        <v>#REF!</v>
      </c>
      <c r="M592" s="7" t="s">
        <v>102</v>
      </c>
      <c r="O592" s="7" t="str">
        <f>IF(OR($C592="",$C592="FID YOK"),"",IF(ISNUMBER(MATCH($C592,FA_ANA,0)),"",IF(COUNTIF($C$1:$C591,$C592)&gt;0,"",MAX($O$1:$O591)+1)))</f>
        <v/>
      </c>
      <c r="T592" s="7">
        <f>IF(ISNA(MATCH($C592,FA,0)),0,IF($J592="GIRIS",N(INDEX(F_INKOR,MATCH($C592,FA,0))),0))</f>
        <v>0</v>
      </c>
      <c r="Y592" s="7" t="e">
        <f>N(#REF!)*IF($E592="упак",MAX(1,IF(ISNA(MATCH($C592,FA,0)),1,N(INDEX(F_PAKET,MATCH($C592,FA,0))))),1)</f>
        <v>#REF!</v>
      </c>
      <c r="Z592" s="7" t="e">
        <f t="shared" si="188"/>
        <v>#REF!</v>
      </c>
      <c r="AA592" s="7">
        <f>IF(OR(ISNA(MATCH($C592,FA,0)),$J592="YEDEK",$J592="SARF"),0,N(#REF!)*N(INDEX(F_TEL,MATCH($C592,FA,0))))</f>
        <v>0</v>
      </c>
      <c r="AB592" s="7">
        <f>IF(OR(ISNA(MATCH($C592,FA,0)),$J592="YEDEK",$J592="SARF"),0,N(#REF!)*N(INDEX(F_TELM,MATCH($C592,FA,0))))</f>
        <v>0</v>
      </c>
      <c r="AC592" s="7" t="e">
        <f t="shared" si="189"/>
        <v>#REF!</v>
      </c>
      <c r="AD592" s="7">
        <f>IF(OR(ISNA(MATCH($C592,FA,0)),$J592&lt;&gt;"CIKIS"),0,N(INDEX(F_KK,MATCH($C592,FA,0))))</f>
        <v>0</v>
      </c>
      <c r="AE592" s="7">
        <f>IF($AD592=0,0,N(#REF!)*N(INDEX(F_KLN,MATCH($C592,FA,0))))</f>
        <v>0</v>
      </c>
      <c r="AF592" s="7">
        <f>IF($AD592=0,0,N(#REF!)*N(INDEX(F_KPE,MATCH($C592,FA,0))))</f>
        <v>0</v>
      </c>
      <c r="AG592" s="7" t="e">
        <f>IF(ISNA(MATCH($C592,FA,0)),0,N(#REF!)*N(INDEX(F_MODUL,MATCH($C592,FA,0))))</f>
        <v>#REF!</v>
      </c>
      <c r="AH592" s="7" t="e">
        <f>N(#REF!)*N($I592)</f>
        <v>#REF!</v>
      </c>
      <c r="AI592" s="7" t="e">
        <f t="shared" si="190"/>
        <v>#REF!</v>
      </c>
      <c r="AJ592" s="7">
        <f t="shared" si="191"/>
        <v>0</v>
      </c>
    </row>
    <row r="593" spans="1:36" x14ac:dyDescent="0.25">
      <c r="A593" s="4" t="str">
        <f t="shared" si="185"/>
        <v>ЩС-2, ЩС-3 (260922 akram aulet)</v>
      </c>
      <c r="B593" s="4" t="s">
        <v>101</v>
      </c>
      <c r="C593" s="4" t="s">
        <v>529</v>
      </c>
      <c r="D593" s="4" t="s">
        <v>530</v>
      </c>
      <c r="E593" s="4" t="s">
        <v>522</v>
      </c>
      <c r="F593" s="4" t="s">
        <v>486</v>
      </c>
      <c r="G593" s="4" t="s">
        <v>330</v>
      </c>
      <c r="H593" s="5" t="e">
        <f>#REF!</f>
        <v>#REF!</v>
      </c>
      <c r="I593" s="6" t="e">
        <f t="shared" si="186"/>
        <v>#REF!</v>
      </c>
      <c r="J593" s="6" t="s">
        <v>84</v>
      </c>
      <c r="K593" s="6" t="s">
        <v>101</v>
      </c>
      <c r="L593" s="7" t="e">
        <f t="shared" si="187"/>
        <v>#REF!</v>
      </c>
      <c r="M593" s="7" t="s">
        <v>103</v>
      </c>
      <c r="O593" s="7" t="str">
        <f>IF(OR($C593="",$C593="FID YOK"),"",IF(ISNUMBER(MATCH($C593,FA_ANA,0)),"",IF(COUNTIF($C$1:$C592,$C593)&gt;0,"",MAX($O$1:$O592)+1)))</f>
        <v/>
      </c>
      <c r="T593" s="7">
        <f>IF(ISNA(MATCH($C593,FA,0)),0,IF($J593="GIRIS",N(INDEX(F_INKOR,MATCH($C593,FA,0))),0))</f>
        <v>0</v>
      </c>
      <c r="Y593" s="7" t="e">
        <f>N(#REF!)*IF($E593="упак",MAX(1,IF(ISNA(MATCH($C593,FA,0)),1,N(INDEX(F_PAKET,MATCH($C593,FA,0))))),1)</f>
        <v>#REF!</v>
      </c>
      <c r="Z593" s="7" t="e">
        <f t="shared" si="188"/>
        <v>#REF!</v>
      </c>
      <c r="AA593" s="7">
        <f>IF(OR(ISNA(MATCH($C593,FA,0)),$J593="YEDEK",$J593="SARF"),0,N(#REF!)*N(INDEX(F_TEL,MATCH($C593,FA,0))))</f>
        <v>0</v>
      </c>
      <c r="AB593" s="7">
        <f>IF(OR(ISNA(MATCH($C593,FA,0)),$J593="YEDEK",$J593="SARF"),0,N(#REF!)*N(INDEX(F_TELM,MATCH($C593,FA,0))))</f>
        <v>0</v>
      </c>
      <c r="AC593" s="7" t="e">
        <f t="shared" si="189"/>
        <v>#REF!</v>
      </c>
      <c r="AD593" s="7">
        <f>IF(OR(ISNA(MATCH($C593,FA,0)),$J593&lt;&gt;"CIKIS"),0,N(INDEX(F_KK,MATCH($C593,FA,0))))</f>
        <v>0</v>
      </c>
      <c r="AE593" s="7">
        <f>IF($AD593=0,0,N(#REF!)*N(INDEX(F_KLN,MATCH($C593,FA,0))))</f>
        <v>0</v>
      </c>
      <c r="AF593" s="7">
        <f>IF($AD593=0,0,N(#REF!)*N(INDEX(F_KPE,MATCH($C593,FA,0))))</f>
        <v>0</v>
      </c>
      <c r="AG593" s="7" t="e">
        <f>IF(ISNA(MATCH($C593,FA,0)),0,N(#REF!)*N(INDEX(F_MODUL,MATCH($C593,FA,0))))</f>
        <v>#REF!</v>
      </c>
      <c r="AH593" s="7" t="e">
        <f>N(#REF!)*N($I593)</f>
        <v>#REF!</v>
      </c>
      <c r="AI593" s="7" t="e">
        <f t="shared" si="190"/>
        <v>#REF!</v>
      </c>
      <c r="AJ593" s="7">
        <f t="shared" si="191"/>
        <v>0</v>
      </c>
    </row>
    <row r="594" spans="1:36" x14ac:dyDescent="0.25">
      <c r="A594" s="4" t="str">
        <f t="shared" si="185"/>
        <v>ЩС-2, ЩС-3 (260922 akram aulet)</v>
      </c>
      <c r="B594" s="4" t="s">
        <v>101</v>
      </c>
      <c r="C594" s="4" t="s">
        <v>537</v>
      </c>
      <c r="D594" s="4" t="s">
        <v>538</v>
      </c>
      <c r="E594" s="4" t="s">
        <v>522</v>
      </c>
      <c r="F594" s="4" t="s">
        <v>486</v>
      </c>
      <c r="G594" s="4" t="s">
        <v>330</v>
      </c>
      <c r="H594" s="5" t="e">
        <f>#REF!</f>
        <v>#REF!</v>
      </c>
      <c r="I594" s="6" t="e">
        <f t="shared" si="186"/>
        <v>#REF!</v>
      </c>
      <c r="J594" s="6" t="s">
        <v>84</v>
      </c>
      <c r="K594" s="6" t="s">
        <v>101</v>
      </c>
      <c r="L594" s="7" t="e">
        <f t="shared" si="187"/>
        <v>#REF!</v>
      </c>
      <c r="M594" s="7" t="s">
        <v>205</v>
      </c>
      <c r="O594" s="7" t="str">
        <f>IF(OR($C594="",$C594="FID YOK"),"",IF(ISNUMBER(MATCH($C594,FA_ANA,0)),"",IF(COUNTIF($C$1:$C593,$C594)&gt;0,"",MAX($O$1:$O593)+1)))</f>
        <v/>
      </c>
      <c r="T594" s="7">
        <f>IF(ISNA(MATCH($C594,FA,0)),0,IF($J594="GIRIS",N(INDEX(F_INKOR,MATCH($C594,FA,0))),0))</f>
        <v>0</v>
      </c>
      <c r="Y594" s="7" t="e">
        <f>N(#REF!)*IF($E594="упак",MAX(1,IF(ISNA(MATCH($C594,FA,0)),1,N(INDEX(F_PAKET,MATCH($C594,FA,0))))),1)</f>
        <v>#REF!</v>
      </c>
      <c r="Z594" s="7" t="e">
        <f t="shared" si="188"/>
        <v>#REF!</v>
      </c>
      <c r="AA594" s="7">
        <f>IF(OR(ISNA(MATCH($C594,FA,0)),$J594="YEDEK",$J594="SARF"),0,N(#REF!)*N(INDEX(F_TEL,MATCH($C594,FA,0))))</f>
        <v>0</v>
      </c>
      <c r="AB594" s="7">
        <f>IF(OR(ISNA(MATCH($C594,FA,0)),$J594="YEDEK",$J594="SARF"),0,N(#REF!)*N(INDEX(F_TELM,MATCH($C594,FA,0))))</f>
        <v>0</v>
      </c>
      <c r="AC594" s="7" t="e">
        <f t="shared" si="189"/>
        <v>#REF!</v>
      </c>
      <c r="AD594" s="7">
        <f>IF(OR(ISNA(MATCH($C594,FA,0)),$J594&lt;&gt;"CIKIS"),0,N(INDEX(F_KK,MATCH($C594,FA,0))))</f>
        <v>0</v>
      </c>
      <c r="AE594" s="7">
        <f>IF($AD594=0,0,N(#REF!)*N(INDEX(F_KLN,MATCH($C594,FA,0))))</f>
        <v>0</v>
      </c>
      <c r="AF594" s="7">
        <f>IF($AD594=0,0,N(#REF!)*N(INDEX(F_KPE,MATCH($C594,FA,0))))</f>
        <v>0</v>
      </c>
      <c r="AG594" s="7" t="e">
        <f>IF(ISNA(MATCH($C594,FA,0)),0,N(#REF!)*N(INDEX(F_MODUL,MATCH($C594,FA,0))))</f>
        <v>#REF!</v>
      </c>
      <c r="AH594" s="7" t="e">
        <f>N(#REF!)*N($I594)</f>
        <v>#REF!</v>
      </c>
      <c r="AI594" s="7" t="e">
        <f t="shared" si="190"/>
        <v>#REF!</v>
      </c>
      <c r="AJ594" s="7">
        <f t="shared" si="191"/>
        <v>0</v>
      </c>
    </row>
    <row r="595" spans="1:36" x14ac:dyDescent="0.25">
      <c r="A595" s="4" t="str">
        <f t="shared" si="185"/>
        <v>ЩС-2, ЩС-3 (260922 akram aulet)</v>
      </c>
      <c r="B595" s="4" t="s">
        <v>105</v>
      </c>
      <c r="C595" s="4" t="s">
        <v>539</v>
      </c>
      <c r="D595" s="4" t="s">
        <v>540</v>
      </c>
      <c r="E595" s="4" t="s">
        <v>114</v>
      </c>
      <c r="F595" s="4" t="s">
        <v>486</v>
      </c>
      <c r="G595" s="4" t="s">
        <v>330</v>
      </c>
      <c r="H595" s="5" t="e">
        <f>#REF!</f>
        <v>#REF!</v>
      </c>
      <c r="I595" s="6" t="e">
        <f t="shared" si="186"/>
        <v>#REF!</v>
      </c>
      <c r="J595" s="6" t="s">
        <v>84</v>
      </c>
      <c r="K595" s="6" t="s">
        <v>105</v>
      </c>
      <c r="L595" s="7" t="e">
        <f t="shared" si="187"/>
        <v>#REF!</v>
      </c>
      <c r="M595" s="7" t="s">
        <v>110</v>
      </c>
      <c r="O595" s="7" t="str">
        <f>IF(OR($C595="",$C595="FID YOK"),"",IF(ISNUMBER(MATCH($C595,FA_ANA,0)),"",IF(COUNTIF($C$1:$C594,$C595)&gt;0,"",MAX($O$1:$O594)+1)))</f>
        <v/>
      </c>
      <c r="T595" s="7">
        <f>IF(ISNA(MATCH($C595,FA,0)),0,IF($J595="GIRIS",N(INDEX(F_INKOR,MATCH($C595,FA,0))),0))</f>
        <v>0</v>
      </c>
      <c r="Y595" s="7" t="e">
        <f>N(#REF!)*IF($E595="упак",MAX(1,IF(ISNA(MATCH($C595,FA,0)),1,N(INDEX(F_PAKET,MATCH($C595,FA,0))))),1)</f>
        <v>#REF!</v>
      </c>
      <c r="Z595" s="7" t="e">
        <f t="shared" si="188"/>
        <v>#REF!</v>
      </c>
      <c r="AA595" s="7">
        <f>IF(OR(ISNA(MATCH($C595,FA,0)),$J595="YEDEK",$J595="SARF"),0,N(#REF!)*N(INDEX(F_TEL,MATCH($C595,FA,0))))</f>
        <v>0</v>
      </c>
      <c r="AB595" s="7">
        <f>IF(OR(ISNA(MATCH($C595,FA,0)),$J595="YEDEK",$J595="SARF"),0,N(#REF!)*N(INDEX(F_TELM,MATCH($C595,FA,0))))</f>
        <v>0</v>
      </c>
      <c r="AC595" s="7" t="e">
        <f t="shared" si="189"/>
        <v>#REF!</v>
      </c>
      <c r="AD595" s="7">
        <f>IF(OR(ISNA(MATCH($C595,FA,0)),$J595&lt;&gt;"CIKIS"),0,N(INDEX(F_KK,MATCH($C595,FA,0))))</f>
        <v>0</v>
      </c>
      <c r="AE595" s="7">
        <f>IF($AD595=0,0,N(#REF!)*N(INDEX(F_KLN,MATCH($C595,FA,0))))</f>
        <v>0</v>
      </c>
      <c r="AF595" s="7">
        <f>IF($AD595=0,0,N(#REF!)*N(INDEX(F_KPE,MATCH($C595,FA,0))))</f>
        <v>0</v>
      </c>
      <c r="AG595" s="7" t="e">
        <f>IF(ISNA(MATCH($C595,FA,0)),0,N(#REF!)*N(INDEX(F_MODUL,MATCH($C595,FA,0))))</f>
        <v>#REF!</v>
      </c>
      <c r="AH595" s="7" t="e">
        <f>N(#REF!)*N($I595)</f>
        <v>#REF!</v>
      </c>
      <c r="AI595" s="7" t="e">
        <f t="shared" si="190"/>
        <v>#REF!</v>
      </c>
      <c r="AJ595" s="7">
        <f t="shared" si="191"/>
        <v>0</v>
      </c>
    </row>
    <row r="596" spans="1:36" x14ac:dyDescent="0.25">
      <c r="A596" s="4" t="str">
        <f t="shared" si="185"/>
        <v>ЩС-2, ЩС-3 (260922 akram aulet)</v>
      </c>
      <c r="B596" s="4" t="s">
        <v>111</v>
      </c>
      <c r="C596" s="4" t="s">
        <v>571</v>
      </c>
      <c r="D596" s="4" t="s">
        <v>572</v>
      </c>
      <c r="E596" s="4" t="s">
        <v>522</v>
      </c>
      <c r="F596" s="4" t="s">
        <v>486</v>
      </c>
      <c r="G596" s="4" t="s">
        <v>330</v>
      </c>
      <c r="H596" s="5" t="e">
        <f>#REF!</f>
        <v>#REF!</v>
      </c>
      <c r="I596" s="6" t="e">
        <f t="shared" si="186"/>
        <v>#REF!</v>
      </c>
      <c r="J596" s="6" t="s">
        <v>84</v>
      </c>
      <c r="K596" s="6" t="s">
        <v>111</v>
      </c>
      <c r="L596" s="7" t="e">
        <f t="shared" si="187"/>
        <v>#REF!</v>
      </c>
      <c r="M596" s="7" t="s">
        <v>112</v>
      </c>
      <c r="O596" s="7" t="str">
        <f>IF(OR($C596="",$C596="FID YOK"),"",IF(ISNUMBER(MATCH($C596,FA_ANA,0)),"",IF(COUNTIF($C$1:$C595,$C596)&gt;0,"",MAX($O$1:$O595)+1)))</f>
        <v/>
      </c>
      <c r="T596" s="7">
        <f>IF(ISNA(MATCH($C596,FA,0)),0,IF($J596="GIRIS",N(INDEX(F_INKOR,MATCH($C596,FA,0))),0))</f>
        <v>0</v>
      </c>
      <c r="Y596" s="7" t="e">
        <f>N(#REF!)*IF($E596="упак",MAX(1,IF(ISNA(MATCH($C596,FA,0)),1,N(INDEX(F_PAKET,MATCH($C596,FA,0))))),1)</f>
        <v>#REF!</v>
      </c>
      <c r="Z596" s="7" t="e">
        <f t="shared" si="188"/>
        <v>#REF!</v>
      </c>
      <c r="AA596" s="7">
        <f>IF(OR(ISNA(MATCH($C596,FA,0)),$J596="YEDEK",$J596="SARF"),0,N(#REF!)*N(INDEX(F_TEL,MATCH($C596,FA,0))))</f>
        <v>0</v>
      </c>
      <c r="AB596" s="7">
        <f>IF(OR(ISNA(MATCH($C596,FA,0)),$J596="YEDEK",$J596="SARF"),0,N(#REF!)*N(INDEX(F_TELM,MATCH($C596,FA,0))))</f>
        <v>0</v>
      </c>
      <c r="AC596" s="7" t="e">
        <f t="shared" si="189"/>
        <v>#REF!</v>
      </c>
      <c r="AD596" s="7">
        <f>IF(OR(ISNA(MATCH($C596,FA,0)),$J596&lt;&gt;"CIKIS"),0,N(INDEX(F_KK,MATCH($C596,FA,0))))</f>
        <v>0</v>
      </c>
      <c r="AE596" s="7">
        <f>IF($AD596=0,0,N(#REF!)*N(INDEX(F_KLN,MATCH($C596,FA,0))))</f>
        <v>0</v>
      </c>
      <c r="AF596" s="7">
        <f>IF($AD596=0,0,N(#REF!)*N(INDEX(F_KPE,MATCH($C596,FA,0))))</f>
        <v>0</v>
      </c>
      <c r="AG596" s="7" t="e">
        <f>IF(ISNA(MATCH($C596,FA,0)),0,N(#REF!)*N(INDEX(F_MODUL,MATCH($C596,FA,0))))</f>
        <v>#REF!</v>
      </c>
      <c r="AH596" s="7" t="e">
        <f>N(#REF!)*N($I596)</f>
        <v>#REF!</v>
      </c>
      <c r="AI596" s="7" t="e">
        <f t="shared" si="190"/>
        <v>#REF!</v>
      </c>
      <c r="AJ596" s="7">
        <f t="shared" si="191"/>
        <v>0</v>
      </c>
    </row>
    <row r="597" spans="1:36" x14ac:dyDescent="0.25">
      <c r="A597" s="4" t="str">
        <f t="shared" si="185"/>
        <v>ЩС-2, ЩС-3 (260922 akram aulet)</v>
      </c>
      <c r="B597" s="4" t="s">
        <v>113</v>
      </c>
      <c r="C597" s="4" t="s">
        <v>113</v>
      </c>
      <c r="D597" s="4" t="s">
        <v>113</v>
      </c>
      <c r="E597" s="4" t="s">
        <v>114</v>
      </c>
      <c r="F597" s="4" t="s">
        <v>113</v>
      </c>
      <c r="G597" s="4" t="s">
        <v>330</v>
      </c>
      <c r="H597" s="5" t="e">
        <f>#REF!</f>
        <v>#REF!</v>
      </c>
      <c r="I597" s="6" t="e">
        <f t="shared" si="186"/>
        <v>#REF!</v>
      </c>
    </row>
    <row r="598" spans="1:36" x14ac:dyDescent="0.25">
      <c r="A598" s="4" t="str">
        <f t="shared" si="185"/>
        <v>ЩС-2, ЩС-3 (260922 akram aulet)</v>
      </c>
      <c r="B598" s="4" t="s">
        <v>115</v>
      </c>
      <c r="C598" s="4" t="s">
        <v>115</v>
      </c>
      <c r="D598" s="4" t="s">
        <v>115</v>
      </c>
      <c r="E598" s="4" t="s">
        <v>116</v>
      </c>
      <c r="F598" s="4" t="s">
        <v>115</v>
      </c>
      <c r="G598" s="4" t="s">
        <v>330</v>
      </c>
      <c r="H598" s="5" t="e">
        <f>#REF!</f>
        <v>#REF!</v>
      </c>
      <c r="I598" s="6" t="e">
        <f t="shared" si="186"/>
        <v>#REF!</v>
      </c>
    </row>
    <row r="599" spans="1:36" x14ac:dyDescent="0.25">
      <c r="A599" s="1" t="str">
        <f>D599</f>
        <v>ЩС-4, ЩС-5, ЩС-6 (260922 akram aulet)</v>
      </c>
      <c r="B599" s="12"/>
      <c r="C599" s="2"/>
      <c r="D599" s="1" t="s">
        <v>332</v>
      </c>
      <c r="E599" s="1" t="s">
        <v>36</v>
      </c>
      <c r="F599" s="1" t="s">
        <v>37</v>
      </c>
      <c r="G599" s="1" t="s">
        <v>274</v>
      </c>
      <c r="I599" s="3" t="e">
        <f>#REF!</f>
        <v>#REF!</v>
      </c>
    </row>
    <row r="600" spans="1:36" x14ac:dyDescent="0.25">
      <c r="A600" s="4" t="str">
        <f t="shared" ref="A600:A619" si="194">A599</f>
        <v>ЩС-4, ЩС-5, ЩС-6 (260922 akram aulet)</v>
      </c>
      <c r="B600" s="4" t="s">
        <v>39</v>
      </c>
      <c r="C600" s="4" t="s">
        <v>516</v>
      </c>
      <c r="D600" s="4" t="s">
        <v>517</v>
      </c>
      <c r="E600" s="4" t="s">
        <v>114</v>
      </c>
      <c r="F600" s="4" t="s">
        <v>486</v>
      </c>
      <c r="G600" s="4" t="s">
        <v>274</v>
      </c>
      <c r="H600" s="5" t="e">
        <f>#REF!</f>
        <v>#REF!</v>
      </c>
      <c r="I600" s="6" t="e">
        <f t="shared" ref="I600:I619" si="195">I599</f>
        <v>#REF!</v>
      </c>
      <c r="J600" s="6" t="s">
        <v>40</v>
      </c>
      <c r="K600" s="6" t="s">
        <v>195</v>
      </c>
      <c r="L600" s="7" t="e">
        <f t="shared" ref="L600:L617" si="196">IF(ISNA(MATCH($C600,FA,0)),"ARTİKÜL YOK",INDEX(FIYAT_DURUM,MATCH($C600,FA,0)))</f>
        <v>#REF!</v>
      </c>
      <c r="M600" s="7" t="s">
        <v>319</v>
      </c>
      <c r="N600" s="7" t="s">
        <v>320</v>
      </c>
      <c r="O600" s="7" t="str">
        <f>IF(OR($C600="",$C600="FID YOK"),"",IF(ISNUMBER(MATCH($C600,FA_ANA,0)),"",IF(COUNTIF($C$1:$C599,$C600)&gt;0,"",MAX($O$1:$O599)+1)))</f>
        <v/>
      </c>
      <c r="Q600" s="7"/>
      <c r="R600" s="7"/>
      <c r="S600" s="7"/>
      <c r="T600" s="7">
        <f>IF(ISNA(MATCH($C600,FA,0)),0,IF($J600="GIRIS",N(INDEX(F_INKOR,MATCH($C600,FA,0))),0))</f>
        <v>0</v>
      </c>
      <c r="U600" s="7"/>
      <c r="V600" s="7"/>
      <c r="W600" s="7"/>
      <c r="X600" s="7"/>
      <c r="Y600" s="7" t="e">
        <f>N(#REF!)*IF($E600="упак",MAX(1,IF(ISNA(MATCH($C600,FA,0)),1,N(INDEX(F_PAKET,MATCH($C600,FA,0))))),1)</f>
        <v>#REF!</v>
      </c>
      <c r="Z600" s="7" t="e">
        <f t="shared" ref="Z600:Z617" si="197">IF(ISNA(MATCH($C600,FA,0)),0,N(INDEX(F_BK,MATCH($C600,FA,0))))</f>
        <v>#REF!</v>
      </c>
      <c r="AA600" s="7" t="e">
        <f>IF(OR(ISNA(MATCH($C600,FA,0)),$J600="YEDEK",$J600="SARF"),0,N(#REF!)*N(INDEX(F_TEL,MATCH($C600,FA,0))))</f>
        <v>#REF!</v>
      </c>
      <c r="AB600" s="7" t="e">
        <f>IF(OR(ISNA(MATCH($C600,FA,0)),$J600="YEDEK",$J600="SARF"),0,N(#REF!)*N(INDEX(F_TELM,MATCH($C600,FA,0))))</f>
        <v>#REF!</v>
      </c>
      <c r="AC600" s="7" t="e">
        <f t="shared" ref="AC600:AC617" si="198">IF(ISNA(MATCH($C600,FA,0)),"",INDEX(F_UC,MATCH($C600,FA,0))&amp;"")</f>
        <v>#REF!</v>
      </c>
      <c r="AD600" s="7">
        <f>IF(OR(ISNA(MATCH($C600,FA,0)),$J600&lt;&gt;"CIKIS"),0,N(INDEX(F_KK,MATCH($C600,FA,0))))</f>
        <v>0</v>
      </c>
      <c r="AE600" s="7">
        <f>IF($AD600=0,0,N(#REF!)*N(INDEX(F_KLN,MATCH($C600,FA,0))))</f>
        <v>0</v>
      </c>
      <c r="AF600" s="7">
        <f>IF($AD600=0,0,N(#REF!)*N(INDEX(F_KPE,MATCH($C600,FA,0))))</f>
        <v>0</v>
      </c>
      <c r="AG600" s="7" t="e">
        <f>IF(ISNA(MATCH($C600,FA,0)),0,N(#REF!)*N(INDEX(F_MODUL,MATCH($C600,FA,0))))</f>
        <v>#REF!</v>
      </c>
      <c r="AH600" s="7" t="e">
        <f>N(#REF!)*N($I600)</f>
        <v>#REF!</v>
      </c>
      <c r="AI600" s="7" t="e">
        <f t="shared" ref="AI600:AI617" si="199">IF(ISNA(MATCH($K600,TIP_AD,0)),"YOK",IF(INDEX(NORM_DK,MATCH($K600,TIP_AD,0))="","BOŞ",INDEX(NORM_DK,MATCH($K600,TIP_AD,0))))</f>
        <v>#REF!</v>
      </c>
      <c r="AJ600" s="7">
        <f t="shared" ref="AJ600:AJ617" si="200">IF(ISNUMBER($AI600),$Y600*$AI600,0)</f>
        <v>0</v>
      </c>
    </row>
    <row r="601" spans="1:36" x14ac:dyDescent="0.25">
      <c r="A601" s="4" t="str">
        <f t="shared" si="194"/>
        <v>ЩС-4, ЩС-5, ЩС-6 (260922 akram aulet)</v>
      </c>
      <c r="B601" s="4" t="s">
        <v>198</v>
      </c>
      <c r="C601" s="4" t="s">
        <v>380</v>
      </c>
      <c r="D601" s="4" t="s">
        <v>381</v>
      </c>
      <c r="E601" s="4" t="s">
        <v>114</v>
      </c>
      <c r="F601" s="4" t="s">
        <v>377</v>
      </c>
      <c r="G601" s="4" t="s">
        <v>274</v>
      </c>
      <c r="H601" s="5" t="e">
        <f>#REF!</f>
        <v>#REF!</v>
      </c>
      <c r="I601" s="6" t="e">
        <f t="shared" si="195"/>
        <v>#REF!</v>
      </c>
      <c r="J601" s="6" t="s">
        <v>48</v>
      </c>
      <c r="K601" s="6" t="s">
        <v>198</v>
      </c>
      <c r="L601" s="7" t="e">
        <f t="shared" si="196"/>
        <v>#REF!</v>
      </c>
      <c r="M601" s="7" t="s">
        <v>321</v>
      </c>
      <c r="N601" s="7" t="s">
        <v>200</v>
      </c>
      <c r="O601" s="7" t="str">
        <f>IF(OR($C601="",$C601="FID YOK"),"",IF(ISNUMBER(MATCH($C601,FA_ANA,0)),"",IF(COUNTIF($C$1:$C600,$C601)&gt;0,"",MAX($O$1:$O600)+1)))</f>
        <v/>
      </c>
      <c r="P601" s="8">
        <v>1</v>
      </c>
      <c r="Q601" s="7" t="e">
        <f>IF(OR($P601="",$P601="G",ISNA(MATCH($C601,FA,0))),"",IF(N(INDEX(F_G,MATCH($C601,FA,0)))&gt;0,INDEX(F_G,MATCH($C601,FA,0)),IF(N(INDEX(F_MODUL,MATCH($C601,FA,0)))&gt;0,INDEX(F_MODUL,MATCH($C601,FA,0))*MODUL_MM,"")))</f>
        <v>#REF!</v>
      </c>
      <c r="R601" s="7" t="e">
        <f>IF(OR($P601="",$P601="G",ISNA(MATCH($C601,FA,0))),"",IF(N(INDEX(F_Y,MATCH($C601,FA,0)))&gt;0,INDEX(F_Y,MATCH($C601,FA,0)),""))</f>
        <v>#REF!</v>
      </c>
      <c r="S601" s="7" t="e">
        <f>IF(OR($P601="",$P601="G",ISNA(MATCH($C601,FA,0))),"",IF(N(INDEX(F_D,MATCH($C601,FA,0)))&gt;0,INDEX(F_D,MATCH($C601,FA,0)),""))</f>
        <v>#REF!</v>
      </c>
      <c r="T601" s="7" t="e">
        <f>IF(ISNA(MATCH($C601,FA,0)),0,IF($J601="GIRIS",N(INDEX(F_INKOR,MATCH($C601,FA,0))),0))</f>
        <v>#REF!</v>
      </c>
      <c r="U601" s="7" t="e">
        <f t="shared" ref="U601:U606" si="201">IF(ISNA(MATCH($B601,TIP_AD,0)),"",INDEX(TIP_KAT,MATCH($B601,TIP_AD,0))&amp;"")</f>
        <v>#REF!</v>
      </c>
      <c r="V601" s="7" t="e">
        <f t="shared" ref="V601:V606" si="202">IF(NOT(ISNUMBER($P601)),"",IF($Z601=0,0,IF(ISNA(MATCH($Z601,BUK_KESIT,0)),"",IF(INDEX(BUK_ALAN,MATCH($Z601,BUK_KESIT,0))&amp;""="","",INDEX(BUK_ALAN,MATCH($Z601,BUK_KESIT,0))))))</f>
        <v>#REF!</v>
      </c>
      <c r="W601" s="7" t="e">
        <f>IF(OR(NOT(ISNUMBER($P601)),$Q601=""),"",N(#REF!)*($Q601+IF(ISNA(MATCH($B601,TIP_AD,0)),0,N(INDEX(TIP_BOSLUK,MATCH($B601,TIP_AD,0))))))</f>
        <v>#REF!</v>
      </c>
      <c r="X601" s="7" t="e">
        <f>IF(ISNUMBER($P601),($Q601="")+($R601="")+($V601="")+IF(AND($U601="KONTAKTOR",NOT(ISNA(MATCH($B601,TIP_AD,0)))),IF(INDEX(TIP_BOSLUK,MATCH($B601,TIP_AD,0))&amp;""="",1,0),0),IF($P601="K",IF($S601="",1,0),0))</f>
        <v>#REF!</v>
      </c>
      <c r="Y601" s="7" t="e">
        <f>N(#REF!)*IF($E601="упак",MAX(1,IF(ISNA(MATCH($C601,FA,0)),1,N(INDEX(F_PAKET,MATCH($C601,FA,0))))),1)</f>
        <v>#REF!</v>
      </c>
      <c r="Z601" s="7" t="e">
        <f t="shared" si="197"/>
        <v>#REF!</v>
      </c>
      <c r="AA601" s="7" t="e">
        <f>IF(OR(ISNA(MATCH($C601,FA,0)),$J601="YEDEK",$J601="SARF"),0,N(#REF!)*N(INDEX(F_TEL,MATCH($C601,FA,0))))</f>
        <v>#REF!</v>
      </c>
      <c r="AB601" s="7" t="e">
        <f>IF(OR(ISNA(MATCH($C601,FA,0)),$J601="YEDEK",$J601="SARF"),0,N(#REF!)*N(INDEX(F_TELM,MATCH($C601,FA,0))))</f>
        <v>#REF!</v>
      </c>
      <c r="AC601" s="7" t="e">
        <f t="shared" si="198"/>
        <v>#REF!</v>
      </c>
      <c r="AD601" s="7">
        <f>IF(OR(ISNA(MATCH($C601,FA,0)),$J601&lt;&gt;"CIKIS"),0,N(INDEX(F_KK,MATCH($C601,FA,0))))</f>
        <v>0</v>
      </c>
      <c r="AE601" s="7">
        <f>IF($AD601=0,0,N(#REF!)*N(INDEX(F_KLN,MATCH($C601,FA,0))))</f>
        <v>0</v>
      </c>
      <c r="AF601" s="7">
        <f>IF($AD601=0,0,N(#REF!)*N(INDEX(F_KPE,MATCH($C601,FA,0))))</f>
        <v>0</v>
      </c>
      <c r="AG601" s="7" t="e">
        <f>IF(ISNA(MATCH($C601,FA,0)),0,N(#REF!)*N(INDEX(F_MODUL,MATCH($C601,FA,0))))</f>
        <v>#REF!</v>
      </c>
      <c r="AH601" s="7" t="e">
        <f>N(#REF!)*N($I601)</f>
        <v>#REF!</v>
      </c>
      <c r="AI601" s="7" t="e">
        <f t="shared" si="199"/>
        <v>#REF!</v>
      </c>
      <c r="AJ601" s="7">
        <f t="shared" si="200"/>
        <v>0</v>
      </c>
    </row>
    <row r="602" spans="1:36" x14ac:dyDescent="0.25">
      <c r="A602" s="4" t="str">
        <f t="shared" si="194"/>
        <v>ЩС-4, ЩС-5, ЩС-6 (260922 akram aulet)</v>
      </c>
      <c r="B602" s="4" t="s">
        <v>173</v>
      </c>
      <c r="C602" s="4" t="s">
        <v>459</v>
      </c>
      <c r="D602" s="4" t="s">
        <v>460</v>
      </c>
      <c r="E602" s="4" t="s">
        <v>114</v>
      </c>
      <c r="F602" s="4" t="s">
        <v>377</v>
      </c>
      <c r="G602" s="4" t="s">
        <v>274</v>
      </c>
      <c r="H602" s="5" t="e">
        <f>#REF!</f>
        <v>#REF!</v>
      </c>
      <c r="I602" s="6" t="e">
        <f t="shared" si="195"/>
        <v>#REF!</v>
      </c>
      <c r="J602" s="6" t="s">
        <v>66</v>
      </c>
      <c r="K602" s="6" t="s">
        <v>173</v>
      </c>
      <c r="L602" s="7" t="e">
        <f t="shared" si="196"/>
        <v>#REF!</v>
      </c>
      <c r="M602" s="7" t="s">
        <v>322</v>
      </c>
      <c r="N602" s="7" t="s">
        <v>323</v>
      </c>
      <c r="O602" s="7" t="str">
        <f>IF(OR($C602="",$C602="FID YOK"),"",IF(ISNUMBER(MATCH($C602,FA_ANA,0)),"",IF(COUNTIF($C$1:$C601,$C602)&gt;0,"",MAX($O$1:$O601)+1)))</f>
        <v/>
      </c>
      <c r="P602" s="8">
        <v>1</v>
      </c>
      <c r="Q602" s="7" t="e">
        <f>IF(OR($P602="",$P602="G",ISNA(MATCH($C602,FA,0))),"",IF(N(INDEX(F_G,MATCH($C602,FA,0)))&gt;0,INDEX(F_G,MATCH($C602,FA,0)),IF(N(INDEX(F_MODUL,MATCH($C602,FA,0)))&gt;0,INDEX(F_MODUL,MATCH($C602,FA,0))*MODUL_MM,"")))</f>
        <v>#REF!</v>
      </c>
      <c r="R602" s="7" t="e">
        <f>IF(OR($P602="",$P602="G",ISNA(MATCH($C602,FA,0))),"",IF(N(INDEX(F_Y,MATCH($C602,FA,0)))&gt;0,INDEX(F_Y,MATCH($C602,FA,0)),""))</f>
        <v>#REF!</v>
      </c>
      <c r="S602" s="7" t="e">
        <f>IF(OR($P602="",$P602="G",ISNA(MATCH($C602,FA,0))),"",IF(N(INDEX(F_D,MATCH($C602,FA,0)))&gt;0,INDEX(F_D,MATCH($C602,FA,0)),""))</f>
        <v>#REF!</v>
      </c>
      <c r="T602" s="7">
        <f>IF(ISNA(MATCH($C602,FA,0)),0,IF($J602="GIRIS",N(INDEX(F_INKOR,MATCH($C602,FA,0))),0))</f>
        <v>0</v>
      </c>
      <c r="U602" s="7" t="e">
        <f t="shared" si="201"/>
        <v>#REF!</v>
      </c>
      <c r="V602" s="7" t="e">
        <f t="shared" si="202"/>
        <v>#REF!</v>
      </c>
      <c r="W602" s="7" t="e">
        <f>IF(OR(NOT(ISNUMBER($P602)),$Q602=""),"",N(#REF!)*($Q602+IF(ISNA(MATCH($B602,TIP_AD,0)),0,N(INDEX(TIP_BOSLUK,MATCH($B602,TIP_AD,0))))))</f>
        <v>#REF!</v>
      </c>
      <c r="X602" s="7" t="e">
        <f>IF(ISNUMBER($P602),($Q602="")+($R602="")+($V602="")+IF(AND($U602="KONTAKTOR",NOT(ISNA(MATCH($B602,TIP_AD,0)))),IF(INDEX(TIP_BOSLUK,MATCH($B602,TIP_AD,0))&amp;""="",1,0),0),IF($P602="K",IF($S602="",1,0),0))</f>
        <v>#REF!</v>
      </c>
      <c r="Y602" s="7" t="e">
        <f>N(#REF!)*IF($E602="упак",MAX(1,IF(ISNA(MATCH($C602,FA,0)),1,N(INDEX(F_PAKET,MATCH($C602,FA,0))))),1)</f>
        <v>#REF!</v>
      </c>
      <c r="Z602" s="7" t="e">
        <f t="shared" si="197"/>
        <v>#REF!</v>
      </c>
      <c r="AA602" s="7" t="e">
        <f>IF(OR(ISNA(MATCH($C602,FA,0)),$J602="YEDEK",$J602="SARF"),0,N(#REF!)*N(INDEX(F_TEL,MATCH($C602,FA,0))))</f>
        <v>#REF!</v>
      </c>
      <c r="AB602" s="7" t="e">
        <f>IF(OR(ISNA(MATCH($C602,FA,0)),$J602="YEDEK",$J602="SARF"),0,N(#REF!)*N(INDEX(F_TELM,MATCH($C602,FA,0))))</f>
        <v>#REF!</v>
      </c>
      <c r="AC602" s="7" t="e">
        <f t="shared" si="198"/>
        <v>#REF!</v>
      </c>
      <c r="AD602" s="7">
        <f>IF(OR(ISNA(MATCH($C602,FA,0)),$J602&lt;&gt;"CIKIS"),0,N(INDEX(F_KK,MATCH($C602,FA,0))))</f>
        <v>0</v>
      </c>
      <c r="AE602" s="7">
        <f>IF($AD602=0,0,N(#REF!)*N(INDEX(F_KLN,MATCH($C602,FA,0))))</f>
        <v>0</v>
      </c>
      <c r="AF602" s="7">
        <f>IF($AD602=0,0,N(#REF!)*N(INDEX(F_KPE,MATCH($C602,FA,0))))</f>
        <v>0</v>
      </c>
      <c r="AG602" s="7" t="e">
        <f>IF(ISNA(MATCH($C602,FA,0)),0,N(#REF!)*N(INDEX(F_MODUL,MATCH($C602,FA,0))))</f>
        <v>#REF!</v>
      </c>
      <c r="AH602" s="7" t="e">
        <f>N(#REF!)*N($I602)</f>
        <v>#REF!</v>
      </c>
      <c r="AI602" s="7" t="e">
        <f t="shared" si="199"/>
        <v>#REF!</v>
      </c>
      <c r="AJ602" s="7">
        <f t="shared" si="200"/>
        <v>0</v>
      </c>
    </row>
    <row r="603" spans="1:36" x14ac:dyDescent="0.25">
      <c r="A603" s="4" t="str">
        <f t="shared" si="194"/>
        <v>ЩС-4, ЩС-5, ЩС-6 (260922 akram aulet)</v>
      </c>
      <c r="B603" s="4" t="s">
        <v>65</v>
      </c>
      <c r="C603" s="4" t="s">
        <v>388</v>
      </c>
      <c r="D603" s="4" t="s">
        <v>389</v>
      </c>
      <c r="E603" s="4" t="s">
        <v>114</v>
      </c>
      <c r="F603" s="4" t="s">
        <v>377</v>
      </c>
      <c r="G603" s="4" t="s">
        <v>274</v>
      </c>
      <c r="H603" s="5" t="e">
        <f>#REF!</f>
        <v>#REF!</v>
      </c>
      <c r="I603" s="6" t="e">
        <f t="shared" si="195"/>
        <v>#REF!</v>
      </c>
      <c r="J603" s="6" t="s">
        <v>52</v>
      </c>
      <c r="K603" s="6" t="s">
        <v>65</v>
      </c>
      <c r="L603" s="7" t="e">
        <f t="shared" si="196"/>
        <v>#REF!</v>
      </c>
      <c r="M603" s="7" t="s">
        <v>333</v>
      </c>
      <c r="N603" s="7" t="s">
        <v>228</v>
      </c>
      <c r="O603" s="7" t="str">
        <f>IF(OR($C603="",$C603="FID YOK"),"",IF(ISNUMBER(MATCH($C603,FA_ANA,0)),"",IF(COUNTIF($C$1:$C602,$C603)&gt;0,"",MAX($O$1:$O602)+1)))</f>
        <v/>
      </c>
      <c r="P603" s="8">
        <v>1</v>
      </c>
      <c r="Q603" s="7" t="e">
        <f>IF(OR($P603="",$P603="G",ISNA(MATCH($C603,FA,0))),"",IF(N(INDEX(F_G,MATCH($C603,FA,0)))&gt;0,INDEX(F_G,MATCH($C603,FA,0)),IF(N(INDEX(F_MODUL,MATCH($C603,FA,0)))&gt;0,INDEX(F_MODUL,MATCH($C603,FA,0))*MODUL_MM,"")))</f>
        <v>#REF!</v>
      </c>
      <c r="R603" s="7" t="e">
        <f>IF(OR($P603="",$P603="G",ISNA(MATCH($C603,FA,0))),"",IF(N(INDEX(F_Y,MATCH($C603,FA,0)))&gt;0,INDEX(F_Y,MATCH($C603,FA,0)),""))</f>
        <v>#REF!</v>
      </c>
      <c r="S603" s="7" t="e">
        <f>IF(OR($P603="",$P603="G",ISNA(MATCH($C603,FA,0))),"",IF(N(INDEX(F_D,MATCH($C603,FA,0)))&gt;0,INDEX(F_D,MATCH($C603,FA,0)),""))</f>
        <v>#REF!</v>
      </c>
      <c r="T603" s="7">
        <f>IF(ISNA(MATCH($C603,FA,0)),0,IF($J603="GIRIS",N(INDEX(F_INKOR,MATCH($C603,FA,0))),0))</f>
        <v>0</v>
      </c>
      <c r="U603" s="7" t="e">
        <f t="shared" si="201"/>
        <v>#REF!</v>
      </c>
      <c r="V603" s="7" t="e">
        <f t="shared" si="202"/>
        <v>#REF!</v>
      </c>
      <c r="W603" s="7" t="e">
        <f>IF(OR(NOT(ISNUMBER($P603)),$Q603=""),"",N(#REF!)*($Q603+IF(ISNA(MATCH($B603,TIP_AD,0)),0,N(INDEX(TIP_BOSLUK,MATCH($B603,TIP_AD,0))))))</f>
        <v>#REF!</v>
      </c>
      <c r="X603" s="7" t="e">
        <f>IF(ISNUMBER($P603),($Q603="")+($R603="")+($V603="")+IF(AND($U603="KONTAKTOR",NOT(ISNA(MATCH($B603,TIP_AD,0)))),IF(INDEX(TIP_BOSLUK,MATCH($B603,TIP_AD,0))&amp;""="",1,0),0),IF($P603="K",IF($S603="",1,0),0))</f>
        <v>#REF!</v>
      </c>
      <c r="Y603" s="7" t="e">
        <f>N(#REF!)*IF($E603="упак",MAX(1,IF(ISNA(MATCH($C603,FA,0)),1,N(INDEX(F_PAKET,MATCH($C603,FA,0))))),1)</f>
        <v>#REF!</v>
      </c>
      <c r="Z603" s="7" t="e">
        <f t="shared" si="197"/>
        <v>#REF!</v>
      </c>
      <c r="AA603" s="7" t="e">
        <f>IF(OR(ISNA(MATCH($C603,FA,0)),$J603="YEDEK",$J603="SARF"),0,N(#REF!)*N(INDEX(F_TEL,MATCH($C603,FA,0))))</f>
        <v>#REF!</v>
      </c>
      <c r="AB603" s="7" t="e">
        <f>IF(OR(ISNA(MATCH($C603,FA,0)),$J603="YEDEK",$J603="SARF"),0,N(#REF!)*N(INDEX(F_TELM,MATCH($C603,FA,0))))</f>
        <v>#REF!</v>
      </c>
      <c r="AC603" s="7" t="e">
        <f t="shared" si="198"/>
        <v>#REF!</v>
      </c>
      <c r="AD603" s="7" t="e">
        <f>IF(OR(ISNA(MATCH($C603,FA,0)),$J603&lt;&gt;"CIKIS"),0,N(INDEX(F_KK,MATCH($C603,FA,0))))</f>
        <v>#REF!</v>
      </c>
      <c r="AE603" s="7" t="e">
        <f>IF($AD603=0,0,N(#REF!)*N(INDEX(F_KLN,MATCH($C603,FA,0))))</f>
        <v>#REF!</v>
      </c>
      <c r="AF603" s="7" t="e">
        <f>IF($AD603=0,0,N(#REF!)*N(INDEX(F_KPE,MATCH($C603,FA,0))))</f>
        <v>#REF!</v>
      </c>
      <c r="AG603" s="7" t="e">
        <f>IF(ISNA(MATCH($C603,FA,0)),0,N(#REF!)*N(INDEX(F_MODUL,MATCH($C603,FA,0))))</f>
        <v>#REF!</v>
      </c>
      <c r="AH603" s="7" t="e">
        <f>N(#REF!)*N($I603)</f>
        <v>#REF!</v>
      </c>
      <c r="AI603" s="7" t="e">
        <f t="shared" si="199"/>
        <v>#REF!</v>
      </c>
      <c r="AJ603" s="7">
        <f t="shared" si="200"/>
        <v>0</v>
      </c>
    </row>
    <row r="604" spans="1:36" x14ac:dyDescent="0.25">
      <c r="A604" s="4" t="str">
        <f t="shared" si="194"/>
        <v>ЩС-4, ЩС-5, ЩС-6 (260922 akram aulet)</v>
      </c>
      <c r="B604" s="4" t="s">
        <v>213</v>
      </c>
      <c r="C604" s="4" t="s">
        <v>408</v>
      </c>
      <c r="D604" s="4" t="s">
        <v>409</v>
      </c>
      <c r="E604" s="4" t="s">
        <v>114</v>
      </c>
      <c r="F604" s="4" t="s">
        <v>377</v>
      </c>
      <c r="G604" s="4" t="s">
        <v>274</v>
      </c>
      <c r="H604" s="5" t="e">
        <f>#REF!</f>
        <v>#REF!</v>
      </c>
      <c r="I604" s="6" t="e">
        <f t="shared" si="195"/>
        <v>#REF!</v>
      </c>
      <c r="J604" s="6" t="s">
        <v>52</v>
      </c>
      <c r="K604" s="6" t="s">
        <v>213</v>
      </c>
      <c r="L604" s="7" t="e">
        <f t="shared" si="196"/>
        <v>#REF!</v>
      </c>
      <c r="M604" s="7" t="s">
        <v>326</v>
      </c>
      <c r="N604" s="7" t="s">
        <v>217</v>
      </c>
      <c r="O604" s="7" t="str">
        <f>IF(OR($C604="",$C604="FID YOK"),"",IF(ISNUMBER(MATCH($C604,FA_ANA,0)),"",IF(COUNTIF($C$1:$C603,$C604)&gt;0,"",MAX($O$1:$O603)+1)))</f>
        <v/>
      </c>
      <c r="P604" s="8">
        <v>1</v>
      </c>
      <c r="Q604" s="7" t="e">
        <f>IF(OR($P604="",$P604="G",ISNA(MATCH($C604,FA,0))),"",IF(N(INDEX(F_G,MATCH($C604,FA,0)))&gt;0,INDEX(F_G,MATCH($C604,FA,0)),IF(N(INDEX(F_MODUL,MATCH($C604,FA,0)))&gt;0,INDEX(F_MODUL,MATCH($C604,FA,0))*MODUL_MM,"")))</f>
        <v>#REF!</v>
      </c>
      <c r="R604" s="7" t="e">
        <f>IF(OR($P604="",$P604="G",ISNA(MATCH($C604,FA,0))),"",IF(N(INDEX(F_Y,MATCH($C604,FA,0)))&gt;0,INDEX(F_Y,MATCH($C604,FA,0)),""))</f>
        <v>#REF!</v>
      </c>
      <c r="S604" s="7" t="e">
        <f>IF(OR($P604="",$P604="G",ISNA(MATCH($C604,FA,0))),"",IF(N(INDEX(F_D,MATCH($C604,FA,0)))&gt;0,INDEX(F_D,MATCH($C604,FA,0)),""))</f>
        <v>#REF!</v>
      </c>
      <c r="T604" s="7">
        <f>IF(ISNA(MATCH($C604,FA,0)),0,IF($J604="GIRIS",N(INDEX(F_INKOR,MATCH($C604,FA,0))),0))</f>
        <v>0</v>
      </c>
      <c r="U604" s="7" t="e">
        <f t="shared" si="201"/>
        <v>#REF!</v>
      </c>
      <c r="V604" s="7" t="e">
        <f t="shared" si="202"/>
        <v>#REF!</v>
      </c>
      <c r="W604" s="7" t="e">
        <f>IF(OR(NOT(ISNUMBER($P604)),$Q604=""),"",N(#REF!)*($Q604+IF(ISNA(MATCH($B604,TIP_AD,0)),0,N(INDEX(TIP_BOSLUK,MATCH($B604,TIP_AD,0))))))</f>
        <v>#REF!</v>
      </c>
      <c r="X604" s="7" t="e">
        <f>IF(ISNUMBER($P604),($Q604="")+($R604="")+($V604="")+IF(AND($U604="KONTAKTOR",NOT(ISNA(MATCH($B604,TIP_AD,0)))),IF(INDEX(TIP_BOSLUK,MATCH($B604,TIP_AD,0))&amp;""="",1,0),0),IF($P604="K",IF($S604="",1,0),0))</f>
        <v>#REF!</v>
      </c>
      <c r="Y604" s="7" t="e">
        <f>N(#REF!)*IF($E604="упак",MAX(1,IF(ISNA(MATCH($C604,FA,0)),1,N(INDEX(F_PAKET,MATCH($C604,FA,0))))),1)</f>
        <v>#REF!</v>
      </c>
      <c r="Z604" s="7" t="e">
        <f t="shared" si="197"/>
        <v>#REF!</v>
      </c>
      <c r="AA604" s="7" t="e">
        <f>IF(OR(ISNA(MATCH($C604,FA,0)),$J604="YEDEK",$J604="SARF"),0,N(#REF!)*N(INDEX(F_TEL,MATCH($C604,FA,0))))</f>
        <v>#REF!</v>
      </c>
      <c r="AB604" s="7" t="e">
        <f>IF(OR(ISNA(MATCH($C604,FA,0)),$J604="YEDEK",$J604="SARF"),0,N(#REF!)*N(INDEX(F_TELM,MATCH($C604,FA,0))))</f>
        <v>#REF!</v>
      </c>
      <c r="AC604" s="7" t="e">
        <f t="shared" si="198"/>
        <v>#REF!</v>
      </c>
      <c r="AD604" s="7" t="e">
        <f>IF(OR(ISNA(MATCH($C604,FA,0)),$J604&lt;&gt;"CIKIS"),0,N(INDEX(F_KK,MATCH($C604,FA,0))))</f>
        <v>#REF!</v>
      </c>
      <c r="AE604" s="7" t="e">
        <f>IF($AD604=0,0,N(#REF!)*N(INDEX(F_KLN,MATCH($C604,FA,0))))</f>
        <v>#REF!</v>
      </c>
      <c r="AF604" s="7" t="e">
        <f>IF($AD604=0,0,N(#REF!)*N(INDEX(F_KPE,MATCH($C604,FA,0))))</f>
        <v>#REF!</v>
      </c>
      <c r="AG604" s="7" t="e">
        <f>IF(ISNA(MATCH($C604,FA,0)),0,N(#REF!)*N(INDEX(F_MODUL,MATCH($C604,FA,0))))</f>
        <v>#REF!</v>
      </c>
      <c r="AH604" s="7" t="e">
        <f>N(#REF!)*N($I604)</f>
        <v>#REF!</v>
      </c>
      <c r="AI604" s="7" t="e">
        <f t="shared" si="199"/>
        <v>#REF!</v>
      </c>
      <c r="AJ604" s="7">
        <f t="shared" si="200"/>
        <v>0</v>
      </c>
    </row>
    <row r="605" spans="1:36" x14ac:dyDescent="0.25">
      <c r="A605" s="4" t="str">
        <f t="shared" si="194"/>
        <v>ЩС-4, ЩС-5, ЩС-6 (260922 akram aulet)</v>
      </c>
      <c r="B605" s="4" t="s">
        <v>213</v>
      </c>
      <c r="C605" s="4" t="s">
        <v>410</v>
      </c>
      <c r="D605" s="4" t="s">
        <v>411</v>
      </c>
      <c r="E605" s="4" t="s">
        <v>114</v>
      </c>
      <c r="F605" s="4" t="s">
        <v>377</v>
      </c>
      <c r="G605" s="4" t="s">
        <v>274</v>
      </c>
      <c r="H605" s="5" t="e">
        <f>#REF!</f>
        <v>#REF!</v>
      </c>
      <c r="I605" s="6" t="e">
        <f t="shared" si="195"/>
        <v>#REF!</v>
      </c>
      <c r="J605" s="6" t="s">
        <v>52</v>
      </c>
      <c r="K605" s="6" t="s">
        <v>213</v>
      </c>
      <c r="L605" s="7" t="e">
        <f t="shared" si="196"/>
        <v>#REF!</v>
      </c>
      <c r="M605" s="7" t="s">
        <v>327</v>
      </c>
      <c r="N605" s="7" t="s">
        <v>215</v>
      </c>
      <c r="O605" s="7" t="str">
        <f>IF(OR($C605="",$C605="FID YOK"),"",IF(ISNUMBER(MATCH($C605,FA_ANA,0)),"",IF(COUNTIF($C$1:$C604,$C605)&gt;0,"",MAX($O$1:$O604)+1)))</f>
        <v/>
      </c>
      <c r="P605" s="8">
        <v>1</v>
      </c>
      <c r="Q605" s="7" t="e">
        <f>IF(OR($P605="",$P605="G",ISNA(MATCH($C605,FA,0))),"",IF(N(INDEX(F_G,MATCH($C605,FA,0)))&gt;0,INDEX(F_G,MATCH($C605,FA,0)),IF(N(INDEX(F_MODUL,MATCH($C605,FA,0)))&gt;0,INDEX(F_MODUL,MATCH($C605,FA,0))*MODUL_MM,"")))</f>
        <v>#REF!</v>
      </c>
      <c r="R605" s="7" t="e">
        <f>IF(OR($P605="",$P605="G",ISNA(MATCH($C605,FA,0))),"",IF(N(INDEX(F_Y,MATCH($C605,FA,0)))&gt;0,INDEX(F_Y,MATCH($C605,FA,0)),""))</f>
        <v>#REF!</v>
      </c>
      <c r="S605" s="7" t="e">
        <f>IF(OR($P605="",$P605="G",ISNA(MATCH($C605,FA,0))),"",IF(N(INDEX(F_D,MATCH($C605,FA,0)))&gt;0,INDEX(F_D,MATCH($C605,FA,0)),""))</f>
        <v>#REF!</v>
      </c>
      <c r="T605" s="7">
        <f>IF(ISNA(MATCH($C605,FA,0)),0,IF($J605="GIRIS",N(INDEX(F_INKOR,MATCH($C605,FA,0))),0))</f>
        <v>0</v>
      </c>
      <c r="U605" s="7" t="e">
        <f t="shared" si="201"/>
        <v>#REF!</v>
      </c>
      <c r="V605" s="7" t="e">
        <f t="shared" si="202"/>
        <v>#REF!</v>
      </c>
      <c r="W605" s="7" t="e">
        <f>IF(OR(NOT(ISNUMBER($P605)),$Q605=""),"",N(#REF!)*($Q605+IF(ISNA(MATCH($B605,TIP_AD,0)),0,N(INDEX(TIP_BOSLUK,MATCH($B605,TIP_AD,0))))))</f>
        <v>#REF!</v>
      </c>
      <c r="X605" s="7" t="e">
        <f>IF(ISNUMBER($P605),($Q605="")+($R605="")+($V605="")+IF(AND($U605="KONTAKTOR",NOT(ISNA(MATCH($B605,TIP_AD,0)))),IF(INDEX(TIP_BOSLUK,MATCH($B605,TIP_AD,0))&amp;""="",1,0),0),IF($P605="K",IF($S605="",1,0),0))</f>
        <v>#REF!</v>
      </c>
      <c r="Y605" s="7" t="e">
        <f>N(#REF!)*IF($E605="упак",MAX(1,IF(ISNA(MATCH($C605,FA,0)),1,N(INDEX(F_PAKET,MATCH($C605,FA,0))))),1)</f>
        <v>#REF!</v>
      </c>
      <c r="Z605" s="7" t="e">
        <f t="shared" si="197"/>
        <v>#REF!</v>
      </c>
      <c r="AA605" s="7" t="e">
        <f>IF(OR(ISNA(MATCH($C605,FA,0)),$J605="YEDEK",$J605="SARF"),0,N(#REF!)*N(INDEX(F_TEL,MATCH($C605,FA,0))))</f>
        <v>#REF!</v>
      </c>
      <c r="AB605" s="7" t="e">
        <f>IF(OR(ISNA(MATCH($C605,FA,0)),$J605="YEDEK",$J605="SARF"),0,N(#REF!)*N(INDEX(F_TELM,MATCH($C605,FA,0))))</f>
        <v>#REF!</v>
      </c>
      <c r="AC605" s="7" t="e">
        <f t="shared" si="198"/>
        <v>#REF!</v>
      </c>
      <c r="AD605" s="7" t="e">
        <f>IF(OR(ISNA(MATCH($C605,FA,0)),$J605&lt;&gt;"CIKIS"),0,N(INDEX(F_KK,MATCH($C605,FA,0))))</f>
        <v>#REF!</v>
      </c>
      <c r="AE605" s="7" t="e">
        <f>IF($AD605=0,0,N(#REF!)*N(INDEX(F_KLN,MATCH($C605,FA,0))))</f>
        <v>#REF!</v>
      </c>
      <c r="AF605" s="7" t="e">
        <f>IF($AD605=0,0,N(#REF!)*N(INDEX(F_KPE,MATCH($C605,FA,0))))</f>
        <v>#REF!</v>
      </c>
      <c r="AG605" s="7" t="e">
        <f>IF(ISNA(MATCH($C605,FA,0)),0,N(#REF!)*N(INDEX(F_MODUL,MATCH($C605,FA,0))))</f>
        <v>#REF!</v>
      </c>
      <c r="AH605" s="7" t="e">
        <f>N(#REF!)*N($I605)</f>
        <v>#REF!</v>
      </c>
      <c r="AI605" s="7" t="e">
        <f t="shared" si="199"/>
        <v>#REF!</v>
      </c>
      <c r="AJ605" s="7">
        <f t="shared" si="200"/>
        <v>0</v>
      </c>
    </row>
    <row r="606" spans="1:36" x14ac:dyDescent="0.25">
      <c r="A606" s="4" t="str">
        <f t="shared" si="194"/>
        <v>ЩС-4, ЩС-5, ЩС-6 (260922 akram aulet)</v>
      </c>
      <c r="B606" s="4" t="s">
        <v>218</v>
      </c>
      <c r="C606" s="4" t="s">
        <v>487</v>
      </c>
      <c r="D606" s="4" t="s">
        <v>488</v>
      </c>
      <c r="E606" s="4" t="s">
        <v>114</v>
      </c>
      <c r="F606" s="4" t="s">
        <v>486</v>
      </c>
      <c r="G606" s="4" t="s">
        <v>274</v>
      </c>
      <c r="H606" s="5" t="e">
        <f>#REF!</f>
        <v>#REF!</v>
      </c>
      <c r="I606" s="6" t="e">
        <f t="shared" si="195"/>
        <v>#REF!</v>
      </c>
      <c r="J606" s="6" t="s">
        <v>66</v>
      </c>
      <c r="K606" s="6" t="s">
        <v>218</v>
      </c>
      <c r="L606" s="7" t="e">
        <f t="shared" si="196"/>
        <v>#REF!</v>
      </c>
      <c r="M606" s="7" t="s">
        <v>328</v>
      </c>
      <c r="N606" s="7" t="s">
        <v>220</v>
      </c>
      <c r="O606" s="7" t="str">
        <f>IF(OR($C606="",$C606="FID YOK"),"",IF(ISNUMBER(MATCH($C606,FA_ANA,0)),"",IF(COUNTIF($C$1:$C605,$C606)&gt;0,"",MAX($O$1:$O605)+1)))</f>
        <v/>
      </c>
      <c r="P606" s="8">
        <v>1</v>
      </c>
      <c r="Q606" s="7" t="e">
        <f>IF(OR($P606="",$P606="G",ISNA(MATCH($C606,FA,0))),"",IF(N(INDEX(F_G,MATCH($C606,FA,0)))&gt;0,INDEX(F_G,MATCH($C606,FA,0)),IF(N(INDEX(F_MODUL,MATCH($C606,FA,0)))&gt;0,INDEX(F_MODUL,MATCH($C606,FA,0))*MODUL_MM,"")))</f>
        <v>#REF!</v>
      </c>
      <c r="R606" s="7" t="e">
        <f>IF(OR($P606="",$P606="G",ISNA(MATCH($C606,FA,0))),"",IF(N(INDEX(F_Y,MATCH($C606,FA,0)))&gt;0,INDEX(F_Y,MATCH($C606,FA,0)),""))</f>
        <v>#REF!</v>
      </c>
      <c r="S606" s="7" t="e">
        <f>IF(OR($P606="",$P606="G",ISNA(MATCH($C606,FA,0))),"",IF(N(INDEX(F_D,MATCH($C606,FA,0)))&gt;0,INDEX(F_D,MATCH($C606,FA,0)),""))</f>
        <v>#REF!</v>
      </c>
      <c r="T606" s="7">
        <f>IF(ISNA(MATCH($C606,FA,0)),0,IF($J606="GIRIS",N(INDEX(F_INKOR,MATCH($C606,FA,0))),0))</f>
        <v>0</v>
      </c>
      <c r="U606" s="7" t="e">
        <f t="shared" si="201"/>
        <v>#REF!</v>
      </c>
      <c r="V606" s="7" t="e">
        <f t="shared" si="202"/>
        <v>#REF!</v>
      </c>
      <c r="W606" s="7" t="e">
        <f>IF(OR(NOT(ISNUMBER($P606)),$Q606=""),"",N(#REF!)*($Q606+IF(ISNA(MATCH($B606,TIP_AD,0)),0,N(INDEX(TIP_BOSLUK,MATCH($B606,TIP_AD,0))))))</f>
        <v>#REF!</v>
      </c>
      <c r="X606" s="7" t="e">
        <f>IF(ISNUMBER($P606),($Q606="")+($R606="")+($V606="")+IF(AND($U606="KONTAKTOR",NOT(ISNA(MATCH($B606,TIP_AD,0)))),IF(INDEX(TIP_BOSLUK,MATCH($B606,TIP_AD,0))&amp;""="",1,0),0),IF($P606="K",IF($S606="",1,0),0))</f>
        <v>#REF!</v>
      </c>
      <c r="Y606" s="7" t="e">
        <f>N(#REF!)*IF($E606="упак",MAX(1,IF(ISNA(MATCH($C606,FA,0)),1,N(INDEX(F_PAKET,MATCH($C606,FA,0))))),1)</f>
        <v>#REF!</v>
      </c>
      <c r="Z606" s="7" t="e">
        <f t="shared" si="197"/>
        <v>#REF!</v>
      </c>
      <c r="AA606" s="7" t="e">
        <f>IF(OR(ISNA(MATCH($C606,FA,0)),$J606="YEDEK",$J606="SARF"),0,N(#REF!)*N(INDEX(F_TEL,MATCH($C606,FA,0))))</f>
        <v>#REF!</v>
      </c>
      <c r="AB606" s="7" t="e">
        <f>IF(OR(ISNA(MATCH($C606,FA,0)),$J606="YEDEK",$J606="SARF"),0,N(#REF!)*N(INDEX(F_TELM,MATCH($C606,FA,0))))</f>
        <v>#REF!</v>
      </c>
      <c r="AC606" s="7" t="e">
        <f t="shared" si="198"/>
        <v>#REF!</v>
      </c>
      <c r="AD606" s="7">
        <f>IF(OR(ISNA(MATCH($C606,FA,0)),$J606&lt;&gt;"CIKIS"),0,N(INDEX(F_KK,MATCH($C606,FA,0))))</f>
        <v>0</v>
      </c>
      <c r="AE606" s="7">
        <f>IF($AD606=0,0,N(#REF!)*N(INDEX(F_KLN,MATCH($C606,FA,0))))</f>
        <v>0</v>
      </c>
      <c r="AF606" s="7">
        <f>IF($AD606=0,0,N(#REF!)*N(INDEX(F_KPE,MATCH($C606,FA,0))))</f>
        <v>0</v>
      </c>
      <c r="AG606" s="7" t="e">
        <f>IF(ISNA(MATCH($C606,FA,0)),0,N(#REF!)*N(INDEX(F_MODUL,MATCH($C606,FA,0))))</f>
        <v>#REF!</v>
      </c>
      <c r="AH606" s="7" t="e">
        <f>N(#REF!)*N($I606)</f>
        <v>#REF!</v>
      </c>
      <c r="AI606" s="7" t="e">
        <f t="shared" si="199"/>
        <v>#REF!</v>
      </c>
      <c r="AJ606" s="7">
        <f t="shared" si="200"/>
        <v>0</v>
      </c>
    </row>
    <row r="607" spans="1:36" x14ac:dyDescent="0.25">
      <c r="A607" s="4" t="str">
        <f t="shared" si="194"/>
        <v>ЩС-4, ЩС-5, ЩС-6 (260922 akram aulet)</v>
      </c>
      <c r="B607" s="4" t="s">
        <v>202</v>
      </c>
      <c r="C607" s="4" t="s">
        <v>581</v>
      </c>
      <c r="D607" s="4" t="s">
        <v>582</v>
      </c>
      <c r="E607" s="4" t="s">
        <v>114</v>
      </c>
      <c r="F607" s="4" t="s">
        <v>486</v>
      </c>
      <c r="G607" s="4" t="s">
        <v>274</v>
      </c>
      <c r="H607" s="5" t="e">
        <f>#REF!</f>
        <v>#REF!</v>
      </c>
      <c r="I607" s="6" t="e">
        <f t="shared" si="195"/>
        <v>#REF!</v>
      </c>
      <c r="J607" s="6" t="s">
        <v>84</v>
      </c>
      <c r="K607" s="6" t="s">
        <v>202</v>
      </c>
      <c r="L607" s="7" t="e">
        <f t="shared" si="196"/>
        <v>#REF!</v>
      </c>
      <c r="M607" s="7" t="s">
        <v>203</v>
      </c>
      <c r="O607" s="7" t="str">
        <f>IF(OR($C607="",$C607="FID YOK"),"",IF(ISNUMBER(MATCH($C607,FA_ANA,0)),"",IF(COUNTIF($C$1:$C606,$C607)&gt;0,"",MAX($O$1:$O606)+1)))</f>
        <v/>
      </c>
      <c r="T607" s="7">
        <f>IF(ISNA(MATCH($C607,FA,0)),0,IF($J607="GIRIS",N(INDEX(F_INKOR,MATCH($C607,FA,0))),0))</f>
        <v>0</v>
      </c>
      <c r="Y607" s="7" t="e">
        <f>N(#REF!)*IF($E607="упак",MAX(1,IF(ISNA(MATCH($C607,FA,0)),1,N(INDEX(F_PAKET,MATCH($C607,FA,0))))),1)</f>
        <v>#REF!</v>
      </c>
      <c r="Z607" s="7" t="e">
        <f t="shared" si="197"/>
        <v>#REF!</v>
      </c>
      <c r="AA607" s="7">
        <f>IF(OR(ISNA(MATCH($C607,FA,0)),$J607="YEDEK",$J607="SARF"),0,N(#REF!)*N(INDEX(F_TEL,MATCH($C607,FA,0))))</f>
        <v>0</v>
      </c>
      <c r="AB607" s="7">
        <f>IF(OR(ISNA(MATCH($C607,FA,0)),$J607="YEDEK",$J607="SARF"),0,N(#REF!)*N(INDEX(F_TELM,MATCH($C607,FA,0))))</f>
        <v>0</v>
      </c>
      <c r="AC607" s="7" t="e">
        <f t="shared" si="198"/>
        <v>#REF!</v>
      </c>
      <c r="AD607" s="7">
        <f>IF(OR(ISNA(MATCH($C607,FA,0)),$J607&lt;&gt;"CIKIS"),0,N(INDEX(F_KK,MATCH($C607,FA,0))))</f>
        <v>0</v>
      </c>
      <c r="AE607" s="7">
        <f>IF($AD607=0,0,N(#REF!)*N(INDEX(F_KLN,MATCH($C607,FA,0))))</f>
        <v>0</v>
      </c>
      <c r="AF607" s="7">
        <f>IF($AD607=0,0,N(#REF!)*N(INDEX(F_KPE,MATCH($C607,FA,0))))</f>
        <v>0</v>
      </c>
      <c r="AG607" s="7" t="e">
        <f>IF(ISNA(MATCH($C607,FA,0)),0,N(#REF!)*N(INDEX(F_MODUL,MATCH($C607,FA,0))))</f>
        <v>#REF!</v>
      </c>
      <c r="AH607" s="7" t="e">
        <f>N(#REF!)*N($I607)</f>
        <v>#REF!</v>
      </c>
      <c r="AI607" s="7" t="e">
        <f t="shared" si="199"/>
        <v>#REF!</v>
      </c>
      <c r="AJ607" s="7">
        <f t="shared" si="200"/>
        <v>0</v>
      </c>
    </row>
    <row r="608" spans="1:36" x14ac:dyDescent="0.25">
      <c r="A608" s="4" t="str">
        <f t="shared" si="194"/>
        <v>ЩС-4, ЩС-5, ЩС-6 (260922 akram aulet)</v>
      </c>
      <c r="B608" s="4" t="s">
        <v>202</v>
      </c>
      <c r="C608" s="4" t="s">
        <v>579</v>
      </c>
      <c r="D608" s="4" t="s">
        <v>580</v>
      </c>
      <c r="E608" s="4" t="s">
        <v>114</v>
      </c>
      <c r="F608" s="4" t="s">
        <v>486</v>
      </c>
      <c r="G608" s="4" t="s">
        <v>274</v>
      </c>
      <c r="H608" s="5" t="e">
        <f>#REF!</f>
        <v>#REF!</v>
      </c>
      <c r="I608" s="6" t="e">
        <f t="shared" si="195"/>
        <v>#REF!</v>
      </c>
      <c r="J608" s="6" t="s">
        <v>84</v>
      </c>
      <c r="K608" s="6" t="s">
        <v>202</v>
      </c>
      <c r="L608" s="7" t="e">
        <f t="shared" si="196"/>
        <v>#REF!</v>
      </c>
      <c r="M608" s="7" t="s">
        <v>204</v>
      </c>
      <c r="O608" s="7" t="str">
        <f>IF(OR($C608="",$C608="FID YOK"),"",IF(ISNUMBER(MATCH($C608,FA_ANA,0)),"",IF(COUNTIF($C$1:$C607,$C608)&gt;0,"",MAX($O$1:$O607)+1)))</f>
        <v/>
      </c>
      <c r="T608" s="7">
        <f>IF(ISNA(MATCH($C608,FA,0)),0,IF($J608="GIRIS",N(INDEX(F_INKOR,MATCH($C608,FA,0))),0))</f>
        <v>0</v>
      </c>
      <c r="Y608" s="7" t="e">
        <f>N(#REF!)*IF($E608="упак",MAX(1,IF(ISNA(MATCH($C608,FA,0)),1,N(INDEX(F_PAKET,MATCH($C608,FA,0))))),1)</f>
        <v>#REF!</v>
      </c>
      <c r="Z608" s="7" t="e">
        <f t="shared" si="197"/>
        <v>#REF!</v>
      </c>
      <c r="AA608" s="7">
        <f>IF(OR(ISNA(MATCH($C608,FA,0)),$J608="YEDEK",$J608="SARF"),0,N(#REF!)*N(INDEX(F_TEL,MATCH($C608,FA,0))))</f>
        <v>0</v>
      </c>
      <c r="AB608" s="7">
        <f>IF(OR(ISNA(MATCH($C608,FA,0)),$J608="YEDEK",$J608="SARF"),0,N(#REF!)*N(INDEX(F_TELM,MATCH($C608,FA,0))))</f>
        <v>0</v>
      </c>
      <c r="AC608" s="7" t="e">
        <f t="shared" si="198"/>
        <v>#REF!</v>
      </c>
      <c r="AD608" s="7">
        <f>IF(OR(ISNA(MATCH($C608,FA,0)),$J608&lt;&gt;"CIKIS"),0,N(INDEX(F_KK,MATCH($C608,FA,0))))</f>
        <v>0</v>
      </c>
      <c r="AE608" s="7">
        <f>IF($AD608=0,0,N(#REF!)*N(INDEX(F_KLN,MATCH($C608,FA,0))))</f>
        <v>0</v>
      </c>
      <c r="AF608" s="7">
        <f>IF($AD608=0,0,N(#REF!)*N(INDEX(F_KPE,MATCH($C608,FA,0))))</f>
        <v>0</v>
      </c>
      <c r="AG608" s="7" t="e">
        <f>IF(ISNA(MATCH($C608,FA,0)),0,N(#REF!)*N(INDEX(F_MODUL,MATCH($C608,FA,0))))</f>
        <v>#REF!</v>
      </c>
      <c r="AH608" s="7" t="e">
        <f>N(#REF!)*N($I608)</f>
        <v>#REF!</v>
      </c>
      <c r="AI608" s="7" t="e">
        <f t="shared" si="199"/>
        <v>#REF!</v>
      </c>
      <c r="AJ608" s="7">
        <f t="shared" si="200"/>
        <v>0</v>
      </c>
    </row>
    <row r="609" spans="1:36" x14ac:dyDescent="0.25">
      <c r="A609" s="4" t="str">
        <f t="shared" si="194"/>
        <v>ЩС-4, ЩС-5, ЩС-6 (260922 akram aulet)</v>
      </c>
      <c r="B609" s="4" t="s">
        <v>92</v>
      </c>
      <c r="C609" s="4" t="s">
        <v>523</v>
      </c>
      <c r="D609" s="4" t="s">
        <v>524</v>
      </c>
      <c r="E609" s="4" t="s">
        <v>520</v>
      </c>
      <c r="F609" s="4" t="s">
        <v>521</v>
      </c>
      <c r="G609" s="4" t="s">
        <v>274</v>
      </c>
      <c r="H609" s="5" t="e">
        <f>#REF!</f>
        <v>#REF!</v>
      </c>
      <c r="I609" s="6" t="e">
        <f t="shared" si="195"/>
        <v>#REF!</v>
      </c>
      <c r="J609" s="6" t="s">
        <v>84</v>
      </c>
      <c r="K609" s="6" t="s">
        <v>92</v>
      </c>
      <c r="L609" s="7" t="e">
        <f t="shared" si="196"/>
        <v>#REF!</v>
      </c>
      <c r="M609" s="7" t="s">
        <v>93</v>
      </c>
      <c r="O609" s="7" t="str">
        <f>IF(OR($C609="",$C609="FID YOK"),"",IF(ISNUMBER(MATCH($C609,FA_ANA,0)),"",IF(COUNTIF($C$1:$C608,$C609)&gt;0,"",MAX($O$1:$O608)+1)))</f>
        <v/>
      </c>
      <c r="T609" s="7">
        <f>IF(ISNA(MATCH($C609,FA,0)),0,IF($J609="GIRIS",N(INDEX(F_INKOR,MATCH($C609,FA,0))),0))</f>
        <v>0</v>
      </c>
      <c r="Y609" s="7" t="e">
        <f>N(#REF!)*IF($E609="упак",MAX(1,IF(ISNA(MATCH($C609,FA,0)),1,N(INDEX(F_PAKET,MATCH($C609,FA,0))))),1)</f>
        <v>#REF!</v>
      </c>
      <c r="Z609" s="7" t="e">
        <f t="shared" si="197"/>
        <v>#REF!</v>
      </c>
      <c r="AA609" s="7">
        <f>IF(OR(ISNA(MATCH($C609,FA,0)),$J609="YEDEK",$J609="SARF"),0,N(#REF!)*N(INDEX(F_TEL,MATCH($C609,FA,0))))</f>
        <v>0</v>
      </c>
      <c r="AB609" s="7">
        <f>IF(OR(ISNA(MATCH($C609,FA,0)),$J609="YEDEK",$J609="SARF"),0,N(#REF!)*N(INDEX(F_TELM,MATCH($C609,FA,0))))</f>
        <v>0</v>
      </c>
      <c r="AC609" s="7" t="e">
        <f t="shared" si="198"/>
        <v>#REF!</v>
      </c>
      <c r="AD609" s="7">
        <f>IF(OR(ISNA(MATCH($C609,FA,0)),$J609&lt;&gt;"CIKIS"),0,N(INDEX(F_KK,MATCH($C609,FA,0))))</f>
        <v>0</v>
      </c>
      <c r="AE609" s="7">
        <f>IF($AD609=0,0,N(#REF!)*N(INDEX(F_KLN,MATCH($C609,FA,0))))</f>
        <v>0</v>
      </c>
      <c r="AF609" s="7">
        <f>IF($AD609=0,0,N(#REF!)*N(INDEX(F_KPE,MATCH($C609,FA,0))))</f>
        <v>0</v>
      </c>
      <c r="AG609" s="7" t="e">
        <f>IF(ISNA(MATCH($C609,FA,0)),0,N(#REF!)*N(INDEX(F_MODUL,MATCH($C609,FA,0))))</f>
        <v>#REF!</v>
      </c>
      <c r="AH609" s="7" t="e">
        <f>N(#REF!)*N($I609)</f>
        <v>#REF!</v>
      </c>
      <c r="AI609" s="7" t="e">
        <f t="shared" si="199"/>
        <v>#REF!</v>
      </c>
      <c r="AJ609" s="7">
        <f t="shared" si="200"/>
        <v>0</v>
      </c>
    </row>
    <row r="610" spans="1:36" x14ac:dyDescent="0.25">
      <c r="A610" s="4" t="str">
        <f t="shared" si="194"/>
        <v>ЩС-4, ЩС-5, ЩС-6 (260922 akram aulet)</v>
      </c>
      <c r="B610" s="4" t="s">
        <v>92</v>
      </c>
      <c r="C610" s="4" t="s">
        <v>527</v>
      </c>
      <c r="D610" s="4" t="s">
        <v>528</v>
      </c>
      <c r="E610" s="4" t="s">
        <v>520</v>
      </c>
      <c r="F610" s="4" t="s">
        <v>521</v>
      </c>
      <c r="G610" s="4" t="s">
        <v>274</v>
      </c>
      <c r="H610" s="5" t="e">
        <f>#REF!</f>
        <v>#REF!</v>
      </c>
      <c r="I610" s="6" t="e">
        <f t="shared" si="195"/>
        <v>#REF!</v>
      </c>
      <c r="J610" s="6" t="s">
        <v>84</v>
      </c>
      <c r="K610" s="6" t="s">
        <v>92</v>
      </c>
      <c r="L610" s="7" t="e">
        <f t="shared" si="196"/>
        <v>#REF!</v>
      </c>
      <c r="M610" s="7" t="s">
        <v>94</v>
      </c>
      <c r="O610" s="7" t="str">
        <f>IF(OR($C610="",$C610="FID YOK"),"",IF(ISNUMBER(MATCH($C610,FA_ANA,0)),"",IF(COUNTIF($C$1:$C609,$C610)&gt;0,"",MAX($O$1:$O609)+1)))</f>
        <v/>
      </c>
      <c r="T610" s="7">
        <f>IF(ISNA(MATCH($C610,FA,0)),0,IF($J610="GIRIS",N(INDEX(F_INKOR,MATCH($C610,FA,0))),0))</f>
        <v>0</v>
      </c>
      <c r="Y610" s="7" t="e">
        <f>N(#REF!)*IF($E610="упак",MAX(1,IF(ISNA(MATCH($C610,FA,0)),1,N(INDEX(F_PAKET,MATCH($C610,FA,0))))),1)</f>
        <v>#REF!</v>
      </c>
      <c r="Z610" s="7" t="e">
        <f t="shared" si="197"/>
        <v>#REF!</v>
      </c>
      <c r="AA610" s="7">
        <f>IF(OR(ISNA(MATCH($C610,FA,0)),$J610="YEDEK",$J610="SARF"),0,N(#REF!)*N(INDEX(F_TEL,MATCH($C610,FA,0))))</f>
        <v>0</v>
      </c>
      <c r="AB610" s="7">
        <f>IF(OR(ISNA(MATCH($C610,FA,0)),$J610="YEDEK",$J610="SARF"),0,N(#REF!)*N(INDEX(F_TELM,MATCH($C610,FA,0))))</f>
        <v>0</v>
      </c>
      <c r="AC610" s="7" t="e">
        <f t="shared" si="198"/>
        <v>#REF!</v>
      </c>
      <c r="AD610" s="7">
        <f>IF(OR(ISNA(MATCH($C610,FA,0)),$J610&lt;&gt;"CIKIS"),0,N(INDEX(F_KK,MATCH($C610,FA,0))))</f>
        <v>0</v>
      </c>
      <c r="AE610" s="7">
        <f>IF($AD610=0,0,N(#REF!)*N(INDEX(F_KLN,MATCH($C610,FA,0))))</f>
        <v>0</v>
      </c>
      <c r="AF610" s="7">
        <f>IF($AD610=0,0,N(#REF!)*N(INDEX(F_KPE,MATCH($C610,FA,0))))</f>
        <v>0</v>
      </c>
      <c r="AG610" s="7" t="e">
        <f>IF(ISNA(MATCH($C610,FA,0)),0,N(#REF!)*N(INDEX(F_MODUL,MATCH($C610,FA,0))))</f>
        <v>#REF!</v>
      </c>
      <c r="AH610" s="7" t="e">
        <f>N(#REF!)*N($I610)</f>
        <v>#REF!</v>
      </c>
      <c r="AI610" s="7" t="e">
        <f t="shared" si="199"/>
        <v>#REF!</v>
      </c>
      <c r="AJ610" s="7">
        <f t="shared" si="200"/>
        <v>0</v>
      </c>
    </row>
    <row r="611" spans="1:36" x14ac:dyDescent="0.25">
      <c r="A611" s="4" t="str">
        <f t="shared" si="194"/>
        <v>ЩС-4, ЩС-5, ЩС-6 (260922 akram aulet)</v>
      </c>
      <c r="B611" s="4" t="s">
        <v>92</v>
      </c>
      <c r="C611" s="4" t="s">
        <v>535</v>
      </c>
      <c r="D611" s="4" t="s">
        <v>536</v>
      </c>
      <c r="E611" s="4" t="s">
        <v>520</v>
      </c>
      <c r="F611" s="4" t="s">
        <v>521</v>
      </c>
      <c r="G611" s="4" t="s">
        <v>274</v>
      </c>
      <c r="H611" s="5" t="e">
        <f>#REF!</f>
        <v>#REF!</v>
      </c>
      <c r="I611" s="6" t="e">
        <f t="shared" si="195"/>
        <v>#REF!</v>
      </c>
      <c r="J611" s="6" t="s">
        <v>84</v>
      </c>
      <c r="K611" s="6" t="s">
        <v>92</v>
      </c>
      <c r="L611" s="7" t="e">
        <f t="shared" si="196"/>
        <v>#REF!</v>
      </c>
      <c r="M611" s="7" t="s">
        <v>130</v>
      </c>
      <c r="O611" s="7" t="str">
        <f>IF(OR($C611="",$C611="FID YOK"),"",IF(ISNUMBER(MATCH($C611,FA_ANA,0)),"",IF(COUNTIF($C$1:$C610,$C611)&gt;0,"",MAX($O$1:$O610)+1)))</f>
        <v/>
      </c>
      <c r="T611" s="7">
        <f>IF(ISNA(MATCH($C611,FA,0)),0,IF($J611="GIRIS",N(INDEX(F_INKOR,MATCH($C611,FA,0))),0))</f>
        <v>0</v>
      </c>
      <c r="Y611" s="7" t="e">
        <f>N(#REF!)*IF($E611="упак",MAX(1,IF(ISNA(MATCH($C611,FA,0)),1,N(INDEX(F_PAKET,MATCH($C611,FA,0))))),1)</f>
        <v>#REF!</v>
      </c>
      <c r="Z611" s="7" t="e">
        <f t="shared" si="197"/>
        <v>#REF!</v>
      </c>
      <c r="AA611" s="7">
        <f>IF(OR(ISNA(MATCH($C611,FA,0)),$J611="YEDEK",$J611="SARF"),0,N(#REF!)*N(INDEX(F_TEL,MATCH($C611,FA,0))))</f>
        <v>0</v>
      </c>
      <c r="AB611" s="7">
        <f>IF(OR(ISNA(MATCH($C611,FA,0)),$J611="YEDEK",$J611="SARF"),0,N(#REF!)*N(INDEX(F_TELM,MATCH($C611,FA,0))))</f>
        <v>0</v>
      </c>
      <c r="AC611" s="7" t="e">
        <f t="shared" si="198"/>
        <v>#REF!</v>
      </c>
      <c r="AD611" s="7">
        <f>IF(OR(ISNA(MATCH($C611,FA,0)),$J611&lt;&gt;"CIKIS"),0,N(INDEX(F_KK,MATCH($C611,FA,0))))</f>
        <v>0</v>
      </c>
      <c r="AE611" s="7">
        <f>IF($AD611=0,0,N(#REF!)*N(INDEX(F_KLN,MATCH($C611,FA,0))))</f>
        <v>0</v>
      </c>
      <c r="AF611" s="7">
        <f>IF($AD611=0,0,N(#REF!)*N(INDEX(F_KPE,MATCH($C611,FA,0))))</f>
        <v>0</v>
      </c>
      <c r="AG611" s="7" t="e">
        <f>IF(ISNA(MATCH($C611,FA,0)),0,N(#REF!)*N(INDEX(F_MODUL,MATCH($C611,FA,0))))</f>
        <v>#REF!</v>
      </c>
      <c r="AH611" s="7" t="e">
        <f>N(#REF!)*N($I611)</f>
        <v>#REF!</v>
      </c>
      <c r="AI611" s="7" t="e">
        <f t="shared" si="199"/>
        <v>#REF!</v>
      </c>
      <c r="AJ611" s="7">
        <f t="shared" si="200"/>
        <v>0</v>
      </c>
    </row>
    <row r="612" spans="1:36" x14ac:dyDescent="0.25">
      <c r="A612" s="4" t="str">
        <f t="shared" si="194"/>
        <v>ЩС-4, ЩС-5, ЩС-6 (260922 akram aulet)</v>
      </c>
      <c r="B612" s="4" t="s">
        <v>92</v>
      </c>
      <c r="C612" s="4" t="s">
        <v>535</v>
      </c>
      <c r="D612" s="4" t="s">
        <v>536</v>
      </c>
      <c r="E612" s="4" t="s">
        <v>520</v>
      </c>
      <c r="F612" s="4" t="s">
        <v>521</v>
      </c>
      <c r="G612" s="4" t="s">
        <v>274</v>
      </c>
      <c r="H612" s="5" t="e">
        <f>#REF!</f>
        <v>#REF!</v>
      </c>
      <c r="I612" s="6" t="e">
        <f t="shared" si="195"/>
        <v>#REF!</v>
      </c>
      <c r="J612" s="6" t="s">
        <v>84</v>
      </c>
      <c r="K612" s="6" t="s">
        <v>92</v>
      </c>
      <c r="L612" s="7" t="e">
        <f t="shared" si="196"/>
        <v>#REF!</v>
      </c>
      <c r="M612" s="7" t="s">
        <v>100</v>
      </c>
      <c r="O612" s="7" t="str">
        <f>IF(OR($C612="",$C612="FID YOK"),"",IF(ISNUMBER(MATCH($C612,FA_ANA,0)),"",IF(COUNTIF($C$1:$C611,$C612)&gt;0,"",MAX($O$1:$O611)+1)))</f>
        <v/>
      </c>
      <c r="T612" s="7">
        <f>IF(ISNA(MATCH($C612,FA,0)),0,IF($J612="GIRIS",N(INDEX(F_INKOR,MATCH($C612,FA,0))),0))</f>
        <v>0</v>
      </c>
      <c r="Y612" s="7" t="e">
        <f>N(#REF!)*IF($E612="упак",MAX(1,IF(ISNA(MATCH($C612,FA,0)),1,N(INDEX(F_PAKET,MATCH($C612,FA,0))))),1)</f>
        <v>#REF!</v>
      </c>
      <c r="Z612" s="7" t="e">
        <f t="shared" si="197"/>
        <v>#REF!</v>
      </c>
      <c r="AA612" s="7">
        <f>IF(OR(ISNA(MATCH($C612,FA,0)),$J612="YEDEK",$J612="SARF"),0,N(#REF!)*N(INDEX(F_TEL,MATCH($C612,FA,0))))</f>
        <v>0</v>
      </c>
      <c r="AB612" s="7">
        <f>IF(OR(ISNA(MATCH($C612,FA,0)),$J612="YEDEK",$J612="SARF"),0,N(#REF!)*N(INDEX(F_TELM,MATCH($C612,FA,0))))</f>
        <v>0</v>
      </c>
      <c r="AC612" s="7" t="e">
        <f t="shared" si="198"/>
        <v>#REF!</v>
      </c>
      <c r="AD612" s="7">
        <f>IF(OR(ISNA(MATCH($C612,FA,0)),$J612&lt;&gt;"CIKIS"),0,N(INDEX(F_KK,MATCH($C612,FA,0))))</f>
        <v>0</v>
      </c>
      <c r="AE612" s="7">
        <f>IF($AD612=0,0,N(#REF!)*N(INDEX(F_KLN,MATCH($C612,FA,0))))</f>
        <v>0</v>
      </c>
      <c r="AF612" s="7">
        <f>IF($AD612=0,0,N(#REF!)*N(INDEX(F_KPE,MATCH($C612,FA,0))))</f>
        <v>0</v>
      </c>
      <c r="AG612" s="7" t="e">
        <f>IF(ISNA(MATCH($C612,FA,0)),0,N(#REF!)*N(INDEX(F_MODUL,MATCH($C612,FA,0))))</f>
        <v>#REF!</v>
      </c>
      <c r="AH612" s="7" t="e">
        <f>N(#REF!)*N($I612)</f>
        <v>#REF!</v>
      </c>
      <c r="AI612" s="7" t="e">
        <f t="shared" si="199"/>
        <v>#REF!</v>
      </c>
      <c r="AJ612" s="7">
        <f t="shared" si="200"/>
        <v>0</v>
      </c>
    </row>
    <row r="613" spans="1:36" x14ac:dyDescent="0.25">
      <c r="A613" s="4" t="str">
        <f t="shared" si="194"/>
        <v>ЩС-4, ЩС-5, ЩС-6 (260922 akram aulet)</v>
      </c>
      <c r="B613" s="4" t="s">
        <v>101</v>
      </c>
      <c r="C613" s="4" t="s">
        <v>525</v>
      </c>
      <c r="D613" s="4" t="s">
        <v>526</v>
      </c>
      <c r="E613" s="4" t="s">
        <v>522</v>
      </c>
      <c r="F613" s="4" t="s">
        <v>486</v>
      </c>
      <c r="G613" s="4" t="s">
        <v>274</v>
      </c>
      <c r="H613" s="5" t="e">
        <f>#REF!</f>
        <v>#REF!</v>
      </c>
      <c r="I613" s="6" t="e">
        <f t="shared" si="195"/>
        <v>#REF!</v>
      </c>
      <c r="J613" s="6" t="s">
        <v>84</v>
      </c>
      <c r="K613" s="6" t="s">
        <v>101</v>
      </c>
      <c r="L613" s="7" t="e">
        <f t="shared" si="196"/>
        <v>#REF!</v>
      </c>
      <c r="M613" s="7" t="s">
        <v>102</v>
      </c>
      <c r="O613" s="7" t="str">
        <f>IF(OR($C613="",$C613="FID YOK"),"",IF(ISNUMBER(MATCH($C613,FA_ANA,0)),"",IF(COUNTIF($C$1:$C612,$C613)&gt;0,"",MAX($O$1:$O612)+1)))</f>
        <v/>
      </c>
      <c r="T613" s="7">
        <f>IF(ISNA(MATCH($C613,FA,0)),0,IF($J613="GIRIS",N(INDEX(F_INKOR,MATCH($C613,FA,0))),0))</f>
        <v>0</v>
      </c>
      <c r="Y613" s="7" t="e">
        <f>N(#REF!)*IF($E613="упак",MAX(1,IF(ISNA(MATCH($C613,FA,0)),1,N(INDEX(F_PAKET,MATCH($C613,FA,0))))),1)</f>
        <v>#REF!</v>
      </c>
      <c r="Z613" s="7" t="e">
        <f t="shared" si="197"/>
        <v>#REF!</v>
      </c>
      <c r="AA613" s="7">
        <f>IF(OR(ISNA(MATCH($C613,FA,0)),$J613="YEDEK",$J613="SARF"),0,N(#REF!)*N(INDEX(F_TEL,MATCH($C613,FA,0))))</f>
        <v>0</v>
      </c>
      <c r="AB613" s="7">
        <f>IF(OR(ISNA(MATCH($C613,FA,0)),$J613="YEDEK",$J613="SARF"),0,N(#REF!)*N(INDEX(F_TELM,MATCH($C613,FA,0))))</f>
        <v>0</v>
      </c>
      <c r="AC613" s="7" t="e">
        <f t="shared" si="198"/>
        <v>#REF!</v>
      </c>
      <c r="AD613" s="7">
        <f>IF(OR(ISNA(MATCH($C613,FA,0)),$J613&lt;&gt;"CIKIS"),0,N(INDEX(F_KK,MATCH($C613,FA,0))))</f>
        <v>0</v>
      </c>
      <c r="AE613" s="7">
        <f>IF($AD613=0,0,N(#REF!)*N(INDEX(F_KLN,MATCH($C613,FA,0))))</f>
        <v>0</v>
      </c>
      <c r="AF613" s="7">
        <f>IF($AD613=0,0,N(#REF!)*N(INDEX(F_KPE,MATCH($C613,FA,0))))</f>
        <v>0</v>
      </c>
      <c r="AG613" s="7" t="e">
        <f>IF(ISNA(MATCH($C613,FA,0)),0,N(#REF!)*N(INDEX(F_MODUL,MATCH($C613,FA,0))))</f>
        <v>#REF!</v>
      </c>
      <c r="AH613" s="7" t="e">
        <f>N(#REF!)*N($I613)</f>
        <v>#REF!</v>
      </c>
      <c r="AI613" s="7" t="e">
        <f t="shared" si="199"/>
        <v>#REF!</v>
      </c>
      <c r="AJ613" s="7">
        <f t="shared" si="200"/>
        <v>0</v>
      </c>
    </row>
    <row r="614" spans="1:36" x14ac:dyDescent="0.25">
      <c r="A614" s="4" t="str">
        <f t="shared" si="194"/>
        <v>ЩС-4, ЩС-5, ЩС-6 (260922 akram aulet)</v>
      </c>
      <c r="B614" s="4" t="s">
        <v>101</v>
      </c>
      <c r="C614" s="4" t="s">
        <v>529</v>
      </c>
      <c r="D614" s="4" t="s">
        <v>530</v>
      </c>
      <c r="E614" s="4" t="s">
        <v>522</v>
      </c>
      <c r="F614" s="4" t="s">
        <v>486</v>
      </c>
      <c r="G614" s="4" t="s">
        <v>274</v>
      </c>
      <c r="H614" s="5" t="e">
        <f>#REF!</f>
        <v>#REF!</v>
      </c>
      <c r="I614" s="6" t="e">
        <f t="shared" si="195"/>
        <v>#REF!</v>
      </c>
      <c r="J614" s="6" t="s">
        <v>84</v>
      </c>
      <c r="K614" s="6" t="s">
        <v>101</v>
      </c>
      <c r="L614" s="7" t="e">
        <f t="shared" si="196"/>
        <v>#REF!</v>
      </c>
      <c r="M614" s="7" t="s">
        <v>103</v>
      </c>
      <c r="O614" s="7" t="str">
        <f>IF(OR($C614="",$C614="FID YOK"),"",IF(ISNUMBER(MATCH($C614,FA_ANA,0)),"",IF(COUNTIF($C$1:$C613,$C614)&gt;0,"",MAX($O$1:$O613)+1)))</f>
        <v/>
      </c>
      <c r="T614" s="7">
        <f>IF(ISNA(MATCH($C614,FA,0)),0,IF($J614="GIRIS",N(INDEX(F_INKOR,MATCH($C614,FA,0))),0))</f>
        <v>0</v>
      </c>
      <c r="Y614" s="7" t="e">
        <f>N(#REF!)*IF($E614="упак",MAX(1,IF(ISNA(MATCH($C614,FA,0)),1,N(INDEX(F_PAKET,MATCH($C614,FA,0))))),1)</f>
        <v>#REF!</v>
      </c>
      <c r="Z614" s="7" t="e">
        <f t="shared" si="197"/>
        <v>#REF!</v>
      </c>
      <c r="AA614" s="7">
        <f>IF(OR(ISNA(MATCH($C614,FA,0)),$J614="YEDEK",$J614="SARF"),0,N(#REF!)*N(INDEX(F_TEL,MATCH($C614,FA,0))))</f>
        <v>0</v>
      </c>
      <c r="AB614" s="7">
        <f>IF(OR(ISNA(MATCH($C614,FA,0)),$J614="YEDEK",$J614="SARF"),0,N(#REF!)*N(INDEX(F_TELM,MATCH($C614,FA,0))))</f>
        <v>0</v>
      </c>
      <c r="AC614" s="7" t="e">
        <f t="shared" si="198"/>
        <v>#REF!</v>
      </c>
      <c r="AD614" s="7">
        <f>IF(OR(ISNA(MATCH($C614,FA,0)),$J614&lt;&gt;"CIKIS"),0,N(INDEX(F_KK,MATCH($C614,FA,0))))</f>
        <v>0</v>
      </c>
      <c r="AE614" s="7">
        <f>IF($AD614=0,0,N(#REF!)*N(INDEX(F_KLN,MATCH($C614,FA,0))))</f>
        <v>0</v>
      </c>
      <c r="AF614" s="7">
        <f>IF($AD614=0,0,N(#REF!)*N(INDEX(F_KPE,MATCH($C614,FA,0))))</f>
        <v>0</v>
      </c>
      <c r="AG614" s="7" t="e">
        <f>IF(ISNA(MATCH($C614,FA,0)),0,N(#REF!)*N(INDEX(F_MODUL,MATCH($C614,FA,0))))</f>
        <v>#REF!</v>
      </c>
      <c r="AH614" s="7" t="e">
        <f>N(#REF!)*N($I614)</f>
        <v>#REF!</v>
      </c>
      <c r="AI614" s="7" t="e">
        <f t="shared" si="199"/>
        <v>#REF!</v>
      </c>
      <c r="AJ614" s="7">
        <f t="shared" si="200"/>
        <v>0</v>
      </c>
    </row>
    <row r="615" spans="1:36" x14ac:dyDescent="0.25">
      <c r="A615" s="4" t="str">
        <f t="shared" si="194"/>
        <v>ЩС-4, ЩС-5, ЩС-6 (260922 akram aulet)</v>
      </c>
      <c r="B615" s="4" t="s">
        <v>101</v>
      </c>
      <c r="C615" s="4" t="s">
        <v>537</v>
      </c>
      <c r="D615" s="4" t="s">
        <v>538</v>
      </c>
      <c r="E615" s="4" t="s">
        <v>522</v>
      </c>
      <c r="F615" s="4" t="s">
        <v>486</v>
      </c>
      <c r="G615" s="4" t="s">
        <v>274</v>
      </c>
      <c r="H615" s="5" t="e">
        <f>#REF!</f>
        <v>#REF!</v>
      </c>
      <c r="I615" s="6" t="e">
        <f t="shared" si="195"/>
        <v>#REF!</v>
      </c>
      <c r="J615" s="6" t="s">
        <v>84</v>
      </c>
      <c r="K615" s="6" t="s">
        <v>101</v>
      </c>
      <c r="L615" s="7" t="e">
        <f t="shared" si="196"/>
        <v>#REF!</v>
      </c>
      <c r="M615" s="7" t="s">
        <v>205</v>
      </c>
      <c r="O615" s="7" t="str">
        <f>IF(OR($C615="",$C615="FID YOK"),"",IF(ISNUMBER(MATCH($C615,FA_ANA,0)),"",IF(COUNTIF($C$1:$C614,$C615)&gt;0,"",MAX($O$1:$O614)+1)))</f>
        <v/>
      </c>
      <c r="T615" s="7">
        <f>IF(ISNA(MATCH($C615,FA,0)),0,IF($J615="GIRIS",N(INDEX(F_INKOR,MATCH($C615,FA,0))),0))</f>
        <v>0</v>
      </c>
      <c r="Y615" s="7" t="e">
        <f>N(#REF!)*IF($E615="упак",MAX(1,IF(ISNA(MATCH($C615,FA,0)),1,N(INDEX(F_PAKET,MATCH($C615,FA,0))))),1)</f>
        <v>#REF!</v>
      </c>
      <c r="Z615" s="7" t="e">
        <f t="shared" si="197"/>
        <v>#REF!</v>
      </c>
      <c r="AA615" s="7">
        <f>IF(OR(ISNA(MATCH($C615,FA,0)),$J615="YEDEK",$J615="SARF"),0,N(#REF!)*N(INDEX(F_TEL,MATCH($C615,FA,0))))</f>
        <v>0</v>
      </c>
      <c r="AB615" s="7">
        <f>IF(OR(ISNA(MATCH($C615,FA,0)),$J615="YEDEK",$J615="SARF"),0,N(#REF!)*N(INDEX(F_TELM,MATCH($C615,FA,0))))</f>
        <v>0</v>
      </c>
      <c r="AC615" s="7" t="e">
        <f t="shared" si="198"/>
        <v>#REF!</v>
      </c>
      <c r="AD615" s="7">
        <f>IF(OR(ISNA(MATCH($C615,FA,0)),$J615&lt;&gt;"CIKIS"),0,N(INDEX(F_KK,MATCH($C615,FA,0))))</f>
        <v>0</v>
      </c>
      <c r="AE615" s="7">
        <f>IF($AD615=0,0,N(#REF!)*N(INDEX(F_KLN,MATCH($C615,FA,0))))</f>
        <v>0</v>
      </c>
      <c r="AF615" s="7">
        <f>IF($AD615=0,0,N(#REF!)*N(INDEX(F_KPE,MATCH($C615,FA,0))))</f>
        <v>0</v>
      </c>
      <c r="AG615" s="7" t="e">
        <f>IF(ISNA(MATCH($C615,FA,0)),0,N(#REF!)*N(INDEX(F_MODUL,MATCH($C615,FA,0))))</f>
        <v>#REF!</v>
      </c>
      <c r="AH615" s="7" t="e">
        <f>N(#REF!)*N($I615)</f>
        <v>#REF!</v>
      </c>
      <c r="AI615" s="7" t="e">
        <f t="shared" si="199"/>
        <v>#REF!</v>
      </c>
      <c r="AJ615" s="7">
        <f t="shared" si="200"/>
        <v>0</v>
      </c>
    </row>
    <row r="616" spans="1:36" x14ac:dyDescent="0.25">
      <c r="A616" s="4" t="str">
        <f t="shared" si="194"/>
        <v>ЩС-4, ЩС-5, ЩС-6 (260922 akram aulet)</v>
      </c>
      <c r="B616" s="4" t="s">
        <v>105</v>
      </c>
      <c r="C616" s="4" t="s">
        <v>539</v>
      </c>
      <c r="D616" s="4" t="s">
        <v>540</v>
      </c>
      <c r="E616" s="4" t="s">
        <v>114</v>
      </c>
      <c r="F616" s="4" t="s">
        <v>486</v>
      </c>
      <c r="G616" s="4" t="s">
        <v>274</v>
      </c>
      <c r="H616" s="5" t="e">
        <f>#REF!</f>
        <v>#REF!</v>
      </c>
      <c r="I616" s="6" t="e">
        <f t="shared" si="195"/>
        <v>#REF!</v>
      </c>
      <c r="J616" s="6" t="s">
        <v>84</v>
      </c>
      <c r="K616" s="6" t="s">
        <v>105</v>
      </c>
      <c r="L616" s="7" t="e">
        <f t="shared" si="196"/>
        <v>#REF!</v>
      </c>
      <c r="M616" s="7" t="s">
        <v>110</v>
      </c>
      <c r="O616" s="7" t="str">
        <f>IF(OR($C616="",$C616="FID YOK"),"",IF(ISNUMBER(MATCH($C616,FA_ANA,0)),"",IF(COUNTIF($C$1:$C615,$C616)&gt;0,"",MAX($O$1:$O615)+1)))</f>
        <v/>
      </c>
      <c r="T616" s="7">
        <f>IF(ISNA(MATCH($C616,FA,0)),0,IF($J616="GIRIS",N(INDEX(F_INKOR,MATCH($C616,FA,0))),0))</f>
        <v>0</v>
      </c>
      <c r="Y616" s="7" t="e">
        <f>N(#REF!)*IF($E616="упак",MAX(1,IF(ISNA(MATCH($C616,FA,0)),1,N(INDEX(F_PAKET,MATCH($C616,FA,0))))),1)</f>
        <v>#REF!</v>
      </c>
      <c r="Z616" s="7" t="e">
        <f t="shared" si="197"/>
        <v>#REF!</v>
      </c>
      <c r="AA616" s="7">
        <f>IF(OR(ISNA(MATCH($C616,FA,0)),$J616="YEDEK",$J616="SARF"),0,N(#REF!)*N(INDEX(F_TEL,MATCH($C616,FA,0))))</f>
        <v>0</v>
      </c>
      <c r="AB616" s="7">
        <f>IF(OR(ISNA(MATCH($C616,FA,0)),$J616="YEDEK",$J616="SARF"),0,N(#REF!)*N(INDEX(F_TELM,MATCH($C616,FA,0))))</f>
        <v>0</v>
      </c>
      <c r="AC616" s="7" t="e">
        <f t="shared" si="198"/>
        <v>#REF!</v>
      </c>
      <c r="AD616" s="7">
        <f>IF(OR(ISNA(MATCH($C616,FA,0)),$J616&lt;&gt;"CIKIS"),0,N(INDEX(F_KK,MATCH($C616,FA,0))))</f>
        <v>0</v>
      </c>
      <c r="AE616" s="7">
        <f>IF($AD616=0,0,N(#REF!)*N(INDEX(F_KLN,MATCH($C616,FA,0))))</f>
        <v>0</v>
      </c>
      <c r="AF616" s="7">
        <f>IF($AD616=0,0,N(#REF!)*N(INDEX(F_KPE,MATCH($C616,FA,0))))</f>
        <v>0</v>
      </c>
      <c r="AG616" s="7" t="e">
        <f>IF(ISNA(MATCH($C616,FA,0)),0,N(#REF!)*N(INDEX(F_MODUL,MATCH($C616,FA,0))))</f>
        <v>#REF!</v>
      </c>
      <c r="AH616" s="7" t="e">
        <f>N(#REF!)*N($I616)</f>
        <v>#REF!</v>
      </c>
      <c r="AI616" s="7" t="e">
        <f t="shared" si="199"/>
        <v>#REF!</v>
      </c>
      <c r="AJ616" s="7">
        <f t="shared" si="200"/>
        <v>0</v>
      </c>
    </row>
    <row r="617" spans="1:36" x14ac:dyDescent="0.25">
      <c r="A617" s="4" t="str">
        <f t="shared" si="194"/>
        <v>ЩС-4, ЩС-5, ЩС-6 (260922 akram aulet)</v>
      </c>
      <c r="B617" s="4" t="s">
        <v>111</v>
      </c>
      <c r="C617" s="4" t="s">
        <v>571</v>
      </c>
      <c r="D617" s="4" t="s">
        <v>572</v>
      </c>
      <c r="E617" s="4" t="s">
        <v>522</v>
      </c>
      <c r="F617" s="4" t="s">
        <v>486</v>
      </c>
      <c r="G617" s="4" t="s">
        <v>274</v>
      </c>
      <c r="H617" s="5" t="e">
        <f>#REF!</f>
        <v>#REF!</v>
      </c>
      <c r="I617" s="6" t="e">
        <f t="shared" si="195"/>
        <v>#REF!</v>
      </c>
      <c r="J617" s="6" t="s">
        <v>84</v>
      </c>
      <c r="K617" s="6" t="s">
        <v>111</v>
      </c>
      <c r="L617" s="7" t="e">
        <f t="shared" si="196"/>
        <v>#REF!</v>
      </c>
      <c r="M617" s="7" t="s">
        <v>112</v>
      </c>
      <c r="O617" s="7" t="str">
        <f>IF(OR($C617="",$C617="FID YOK"),"",IF(ISNUMBER(MATCH($C617,FA_ANA,0)),"",IF(COUNTIF($C$1:$C616,$C617)&gt;0,"",MAX($O$1:$O616)+1)))</f>
        <v/>
      </c>
      <c r="T617" s="7">
        <f>IF(ISNA(MATCH($C617,FA,0)),0,IF($J617="GIRIS",N(INDEX(F_INKOR,MATCH($C617,FA,0))),0))</f>
        <v>0</v>
      </c>
      <c r="Y617" s="7" t="e">
        <f>N(#REF!)*IF($E617="упак",MAX(1,IF(ISNA(MATCH($C617,FA,0)),1,N(INDEX(F_PAKET,MATCH($C617,FA,0))))),1)</f>
        <v>#REF!</v>
      </c>
      <c r="Z617" s="7" t="e">
        <f t="shared" si="197"/>
        <v>#REF!</v>
      </c>
      <c r="AA617" s="7">
        <f>IF(OR(ISNA(MATCH($C617,FA,0)),$J617="YEDEK",$J617="SARF"),0,N(#REF!)*N(INDEX(F_TEL,MATCH($C617,FA,0))))</f>
        <v>0</v>
      </c>
      <c r="AB617" s="7">
        <f>IF(OR(ISNA(MATCH($C617,FA,0)),$J617="YEDEK",$J617="SARF"),0,N(#REF!)*N(INDEX(F_TELM,MATCH($C617,FA,0))))</f>
        <v>0</v>
      </c>
      <c r="AC617" s="7" t="e">
        <f t="shared" si="198"/>
        <v>#REF!</v>
      </c>
      <c r="AD617" s="7">
        <f>IF(OR(ISNA(MATCH($C617,FA,0)),$J617&lt;&gt;"CIKIS"),0,N(INDEX(F_KK,MATCH($C617,FA,0))))</f>
        <v>0</v>
      </c>
      <c r="AE617" s="7">
        <f>IF($AD617=0,0,N(#REF!)*N(INDEX(F_KLN,MATCH($C617,FA,0))))</f>
        <v>0</v>
      </c>
      <c r="AF617" s="7">
        <f>IF($AD617=0,0,N(#REF!)*N(INDEX(F_KPE,MATCH($C617,FA,0))))</f>
        <v>0</v>
      </c>
      <c r="AG617" s="7" t="e">
        <f>IF(ISNA(MATCH($C617,FA,0)),0,N(#REF!)*N(INDEX(F_MODUL,MATCH($C617,FA,0))))</f>
        <v>#REF!</v>
      </c>
      <c r="AH617" s="7" t="e">
        <f>N(#REF!)*N($I617)</f>
        <v>#REF!</v>
      </c>
      <c r="AI617" s="7" t="e">
        <f t="shared" si="199"/>
        <v>#REF!</v>
      </c>
      <c r="AJ617" s="7">
        <f t="shared" si="200"/>
        <v>0</v>
      </c>
    </row>
    <row r="618" spans="1:36" x14ac:dyDescent="0.25">
      <c r="A618" s="4" t="str">
        <f t="shared" si="194"/>
        <v>ЩС-4, ЩС-5, ЩС-6 (260922 akram aulet)</v>
      </c>
      <c r="B618" s="4" t="s">
        <v>113</v>
      </c>
      <c r="C618" s="4" t="s">
        <v>113</v>
      </c>
      <c r="D618" s="4" t="s">
        <v>113</v>
      </c>
      <c r="E618" s="4" t="s">
        <v>114</v>
      </c>
      <c r="F618" s="4" t="s">
        <v>113</v>
      </c>
      <c r="G618" s="4" t="s">
        <v>274</v>
      </c>
      <c r="H618" s="5" t="e">
        <f>#REF!</f>
        <v>#REF!</v>
      </c>
      <c r="I618" s="6" t="e">
        <f t="shared" si="195"/>
        <v>#REF!</v>
      </c>
    </row>
    <row r="619" spans="1:36" x14ac:dyDescent="0.25">
      <c r="A619" s="4" t="str">
        <f t="shared" si="194"/>
        <v>ЩС-4, ЩС-5, ЩС-6 (260922 akram aulet)</v>
      </c>
      <c r="B619" s="4" t="s">
        <v>115</v>
      </c>
      <c r="C619" s="4" t="s">
        <v>115</v>
      </c>
      <c r="D619" s="4" t="s">
        <v>115</v>
      </c>
      <c r="E619" s="4" t="s">
        <v>116</v>
      </c>
      <c r="F619" s="4" t="s">
        <v>115</v>
      </c>
      <c r="G619" s="4" t="s">
        <v>274</v>
      </c>
      <c r="H619" s="5" t="e">
        <f>#REF!</f>
        <v>#REF!</v>
      </c>
      <c r="I619" s="6" t="e">
        <f t="shared" si="195"/>
        <v>#REF!</v>
      </c>
    </row>
    <row r="620" spans="1:36" x14ac:dyDescent="0.25">
      <c r="A620" s="1" t="str">
        <f>D620</f>
        <v>ЩСС-1, ЩСС-2, ЩСС-3 (260922 akram aulet)</v>
      </c>
      <c r="B620" s="12"/>
      <c r="C620" s="2"/>
      <c r="D620" s="1" t="s">
        <v>334</v>
      </c>
      <c r="E620" s="1" t="s">
        <v>36</v>
      </c>
      <c r="F620" s="1" t="s">
        <v>37</v>
      </c>
      <c r="G620" s="1" t="s">
        <v>258</v>
      </c>
      <c r="I620" s="3" t="e">
        <f>#REF!</f>
        <v>#REF!</v>
      </c>
    </row>
    <row r="621" spans="1:36" x14ac:dyDescent="0.25">
      <c r="A621" s="4" t="str">
        <f t="shared" ref="A621:A635" si="203">A620</f>
        <v>ЩСС-1, ЩСС-2, ЩСС-3 (260922 akram aulet)</v>
      </c>
      <c r="B621" s="4" t="s">
        <v>39</v>
      </c>
      <c r="C621" s="4" t="s">
        <v>504</v>
      </c>
      <c r="D621" s="4" t="s">
        <v>505</v>
      </c>
      <c r="E621" s="4" t="s">
        <v>114</v>
      </c>
      <c r="F621" s="4" t="s">
        <v>591</v>
      </c>
      <c r="G621" s="4" t="s">
        <v>258</v>
      </c>
      <c r="H621" s="5" t="e">
        <f>#REF!</f>
        <v>#REF!</v>
      </c>
      <c r="I621" s="6" t="e">
        <f t="shared" ref="I621:I635" si="204">I620</f>
        <v>#REF!</v>
      </c>
      <c r="J621" s="6" t="s">
        <v>40</v>
      </c>
      <c r="K621" s="6" t="s">
        <v>195</v>
      </c>
      <c r="L621" s="7" t="e">
        <f t="shared" ref="L621:L633" si="205">IF(ISNA(MATCH($C621,FA,0)),"ARTİKÜL YOK",INDEX(FIYAT_DURUM,MATCH($C621,FA,0)))</f>
        <v>#REF!</v>
      </c>
      <c r="M621" s="7" t="s">
        <v>335</v>
      </c>
      <c r="N621" s="7" t="s">
        <v>336</v>
      </c>
      <c r="O621" s="7">
        <f>IF(OR($C621="",$C621="FID YOK"),"",IF(ISNUMBER(MATCH($C621,FA_ANA,0)),"",IF(COUNTIF($C$1:$C620,$C621)&gt;0,"",MAX($O$1:$O620)+1)))</f>
        <v>105</v>
      </c>
      <c r="Q621" s="7"/>
      <c r="R621" s="7"/>
      <c r="S621" s="7"/>
      <c r="T621" s="7">
        <f>IF(ISNA(MATCH($C621,FA,0)),0,IF($J621="GIRIS",N(INDEX(F_INKOR,MATCH($C621,FA,0))),0))</f>
        <v>0</v>
      </c>
      <c r="U621" s="7"/>
      <c r="V621" s="7"/>
      <c r="W621" s="7"/>
      <c r="X621" s="7"/>
      <c r="Y621" s="7" t="e">
        <f>N(#REF!)*IF($E621="упак",MAX(1,IF(ISNA(MATCH($C621,FA,0)),1,N(INDEX(F_PAKET,MATCH($C621,FA,0))))),1)</f>
        <v>#REF!</v>
      </c>
      <c r="Z621" s="7" t="e">
        <f t="shared" ref="Z621:Z633" si="206">IF(ISNA(MATCH($C621,FA,0)),0,N(INDEX(F_BK,MATCH($C621,FA,0))))</f>
        <v>#REF!</v>
      </c>
      <c r="AA621" s="7" t="e">
        <f>IF(OR(ISNA(MATCH($C621,FA,0)),$J621="YEDEK",$J621="SARF"),0,N(#REF!)*N(INDEX(F_TEL,MATCH($C621,FA,0))))</f>
        <v>#REF!</v>
      </c>
      <c r="AB621" s="7" t="e">
        <f>IF(OR(ISNA(MATCH($C621,FA,0)),$J621="YEDEK",$J621="SARF"),0,N(#REF!)*N(INDEX(F_TELM,MATCH($C621,FA,0))))</f>
        <v>#REF!</v>
      </c>
      <c r="AC621" s="7" t="e">
        <f t="shared" ref="AC621:AC633" si="207">IF(ISNA(MATCH($C621,FA,0)),"",INDEX(F_UC,MATCH($C621,FA,0))&amp;"")</f>
        <v>#REF!</v>
      </c>
      <c r="AD621" s="7">
        <f>IF(OR(ISNA(MATCH($C621,FA,0)),$J621&lt;&gt;"CIKIS"),0,N(INDEX(F_KK,MATCH($C621,FA,0))))</f>
        <v>0</v>
      </c>
      <c r="AE621" s="7">
        <f>IF($AD621=0,0,N(#REF!)*N(INDEX(F_KLN,MATCH($C621,FA,0))))</f>
        <v>0</v>
      </c>
      <c r="AF621" s="7">
        <f>IF($AD621=0,0,N(#REF!)*N(INDEX(F_KPE,MATCH($C621,FA,0))))</f>
        <v>0</v>
      </c>
      <c r="AG621" s="7" t="e">
        <f>IF(ISNA(MATCH($C621,FA,0)),0,N(#REF!)*N(INDEX(F_MODUL,MATCH($C621,FA,0))))</f>
        <v>#REF!</v>
      </c>
      <c r="AH621" s="7" t="e">
        <f>N(#REF!)*N($I621)</f>
        <v>#REF!</v>
      </c>
      <c r="AI621" s="7" t="e">
        <f t="shared" ref="AI621:AI633" si="208">IF(ISNA(MATCH($K621,TIP_AD,0)),"YOK",IF(INDEX(NORM_DK,MATCH($K621,TIP_AD,0))="","BOŞ",INDEX(NORM_DK,MATCH($K621,TIP_AD,0))))</f>
        <v>#REF!</v>
      </c>
      <c r="AJ621" s="7">
        <f t="shared" ref="AJ621:AJ633" si="209">IF(ISNUMBER($AI621),$Y621*$AI621,0)</f>
        <v>0</v>
      </c>
    </row>
    <row r="622" spans="1:36" x14ac:dyDescent="0.25">
      <c r="A622" s="4" t="str">
        <f t="shared" si="203"/>
        <v>ЩСС-1, ЩСС-2, ЩСС-3 (260922 akram aulet)</v>
      </c>
      <c r="B622" s="4" t="s">
        <v>198</v>
      </c>
      <c r="C622" s="4" t="s">
        <v>380</v>
      </c>
      <c r="D622" s="4" t="s">
        <v>381</v>
      </c>
      <c r="E622" s="4" t="s">
        <v>114</v>
      </c>
      <c r="F622" s="4" t="s">
        <v>377</v>
      </c>
      <c r="G622" s="4" t="s">
        <v>258</v>
      </c>
      <c r="H622" s="5" t="e">
        <f>#REF!</f>
        <v>#REF!</v>
      </c>
      <c r="I622" s="6" t="e">
        <f t="shared" si="204"/>
        <v>#REF!</v>
      </c>
      <c r="J622" s="6" t="s">
        <v>48</v>
      </c>
      <c r="K622" s="6" t="s">
        <v>198</v>
      </c>
      <c r="L622" s="7" t="e">
        <f t="shared" si="205"/>
        <v>#REF!</v>
      </c>
      <c r="M622" s="7" t="s">
        <v>208</v>
      </c>
      <c r="N622" s="7" t="s">
        <v>200</v>
      </c>
      <c r="O622" s="7" t="str">
        <f>IF(OR($C622="",$C622="FID YOK"),"",IF(ISNUMBER(MATCH($C622,FA_ANA,0)),"",IF(COUNTIF($C$1:$C621,$C622)&gt;0,"",MAX($O$1:$O621)+1)))</f>
        <v/>
      </c>
      <c r="P622" s="8">
        <v>1</v>
      </c>
      <c r="Q622" s="7" t="e">
        <f>IF(OR($P622="",$P622="G",ISNA(MATCH($C622,FA,0))),"",IF(N(INDEX(F_G,MATCH($C622,FA,0)))&gt;0,INDEX(F_G,MATCH($C622,FA,0)),IF(N(INDEX(F_MODUL,MATCH($C622,FA,0)))&gt;0,INDEX(F_MODUL,MATCH($C622,FA,0))*MODUL_MM,"")))</f>
        <v>#REF!</v>
      </c>
      <c r="R622" s="7" t="e">
        <f>IF(OR($P622="",$P622="G",ISNA(MATCH($C622,FA,0))),"",IF(N(INDEX(F_Y,MATCH($C622,FA,0)))&gt;0,INDEX(F_Y,MATCH($C622,FA,0)),""))</f>
        <v>#REF!</v>
      </c>
      <c r="S622" s="7" t="e">
        <f>IF(OR($P622="",$P622="G",ISNA(MATCH($C622,FA,0))),"",IF(N(INDEX(F_D,MATCH($C622,FA,0)))&gt;0,INDEX(F_D,MATCH($C622,FA,0)),""))</f>
        <v>#REF!</v>
      </c>
      <c r="T622" s="7" t="e">
        <f>IF(ISNA(MATCH($C622,FA,0)),0,IF($J622="GIRIS",N(INDEX(F_INKOR,MATCH($C622,FA,0))),0))</f>
        <v>#REF!</v>
      </c>
      <c r="U622" s="7" t="e">
        <f>IF(ISNA(MATCH($B622,TIP_AD,0)),"",INDEX(TIP_KAT,MATCH($B622,TIP_AD,0))&amp;"")</f>
        <v>#REF!</v>
      </c>
      <c r="V622" s="7" t="e">
        <f>IF(NOT(ISNUMBER($P622)),"",IF($Z622=0,0,IF(ISNA(MATCH($Z622,BUK_KESIT,0)),"",IF(INDEX(BUK_ALAN,MATCH($Z622,BUK_KESIT,0))&amp;""="","",INDEX(BUK_ALAN,MATCH($Z622,BUK_KESIT,0))))))</f>
        <v>#REF!</v>
      </c>
      <c r="W622" s="7" t="e">
        <f>IF(OR(NOT(ISNUMBER($P622)),$Q622=""),"",N(#REF!)*($Q622+IF(ISNA(MATCH($B622,TIP_AD,0)),0,N(INDEX(TIP_BOSLUK,MATCH($B622,TIP_AD,0))))))</f>
        <v>#REF!</v>
      </c>
      <c r="X622" s="7" t="e">
        <f>IF(ISNUMBER($P622),($Q622="")+($R622="")+($V622="")+IF(AND($U622="KONTAKTOR",NOT(ISNA(MATCH($B622,TIP_AD,0)))),IF(INDEX(TIP_BOSLUK,MATCH($B622,TIP_AD,0))&amp;""="",1,0),0),IF($P622="K",IF($S622="",1,0),0))</f>
        <v>#REF!</v>
      </c>
      <c r="Y622" s="7" t="e">
        <f>N(#REF!)*IF($E622="упак",MAX(1,IF(ISNA(MATCH($C622,FA,0)),1,N(INDEX(F_PAKET,MATCH($C622,FA,0))))),1)</f>
        <v>#REF!</v>
      </c>
      <c r="Z622" s="7" t="e">
        <f t="shared" si="206"/>
        <v>#REF!</v>
      </c>
      <c r="AA622" s="7" t="e">
        <f>IF(OR(ISNA(MATCH($C622,FA,0)),$J622="YEDEK",$J622="SARF"),0,N(#REF!)*N(INDEX(F_TEL,MATCH($C622,FA,0))))</f>
        <v>#REF!</v>
      </c>
      <c r="AB622" s="7" t="e">
        <f>IF(OR(ISNA(MATCH($C622,FA,0)),$J622="YEDEK",$J622="SARF"),0,N(#REF!)*N(INDEX(F_TELM,MATCH($C622,FA,0))))</f>
        <v>#REF!</v>
      </c>
      <c r="AC622" s="7" t="e">
        <f t="shared" si="207"/>
        <v>#REF!</v>
      </c>
      <c r="AD622" s="7">
        <f>IF(OR(ISNA(MATCH($C622,FA,0)),$J622&lt;&gt;"CIKIS"),0,N(INDEX(F_KK,MATCH($C622,FA,0))))</f>
        <v>0</v>
      </c>
      <c r="AE622" s="7">
        <f>IF($AD622=0,0,N(#REF!)*N(INDEX(F_KLN,MATCH($C622,FA,0))))</f>
        <v>0</v>
      </c>
      <c r="AF622" s="7">
        <f>IF($AD622=0,0,N(#REF!)*N(INDEX(F_KPE,MATCH($C622,FA,0))))</f>
        <v>0</v>
      </c>
      <c r="AG622" s="7" t="e">
        <f>IF(ISNA(MATCH($C622,FA,0)),0,N(#REF!)*N(INDEX(F_MODUL,MATCH($C622,FA,0))))</f>
        <v>#REF!</v>
      </c>
      <c r="AH622" s="7" t="e">
        <f>N(#REF!)*N($I622)</f>
        <v>#REF!</v>
      </c>
      <c r="AI622" s="7" t="e">
        <f t="shared" si="208"/>
        <v>#REF!</v>
      </c>
      <c r="AJ622" s="7">
        <f t="shared" si="209"/>
        <v>0</v>
      </c>
    </row>
    <row r="623" spans="1:36" x14ac:dyDescent="0.25">
      <c r="A623" s="4" t="str">
        <f t="shared" si="203"/>
        <v>ЩСС-1, ЩСС-2, ЩСС-3 (260922 akram aulet)</v>
      </c>
      <c r="B623" s="4" t="s">
        <v>65</v>
      </c>
      <c r="C623" s="4" t="s">
        <v>384</v>
      </c>
      <c r="D623" s="4" t="s">
        <v>385</v>
      </c>
      <c r="E623" s="4" t="s">
        <v>114</v>
      </c>
      <c r="F623" s="4" t="s">
        <v>377</v>
      </c>
      <c r="G623" s="4" t="s">
        <v>258</v>
      </c>
      <c r="H623" s="5" t="e">
        <f>#REF!</f>
        <v>#REF!</v>
      </c>
      <c r="I623" s="6" t="e">
        <f t="shared" si="204"/>
        <v>#REF!</v>
      </c>
      <c r="J623" s="6" t="s">
        <v>52</v>
      </c>
      <c r="K623" s="6" t="s">
        <v>65</v>
      </c>
      <c r="L623" s="7" t="e">
        <f t="shared" si="205"/>
        <v>#REF!</v>
      </c>
      <c r="M623" s="7" t="s">
        <v>337</v>
      </c>
      <c r="N623" s="7" t="s">
        <v>201</v>
      </c>
      <c r="O623" s="7" t="str">
        <f>IF(OR($C623="",$C623="FID YOK"),"",IF(ISNUMBER(MATCH($C623,FA_ANA,0)),"",IF(COUNTIF($C$1:$C622,$C623)&gt;0,"",MAX($O$1:$O622)+1)))</f>
        <v/>
      </c>
      <c r="P623" s="8">
        <v>1</v>
      </c>
      <c r="Q623" s="7" t="e">
        <f>IF(OR($P623="",$P623="G",ISNA(MATCH($C623,FA,0))),"",IF(N(INDEX(F_G,MATCH($C623,FA,0)))&gt;0,INDEX(F_G,MATCH($C623,FA,0)),IF(N(INDEX(F_MODUL,MATCH($C623,FA,0)))&gt;0,INDEX(F_MODUL,MATCH($C623,FA,0))*MODUL_MM,"")))</f>
        <v>#REF!</v>
      </c>
      <c r="R623" s="7" t="e">
        <f>IF(OR($P623="",$P623="G",ISNA(MATCH($C623,FA,0))),"",IF(N(INDEX(F_Y,MATCH($C623,FA,0)))&gt;0,INDEX(F_Y,MATCH($C623,FA,0)),""))</f>
        <v>#REF!</v>
      </c>
      <c r="S623" s="7" t="e">
        <f>IF(OR($P623="",$P623="G",ISNA(MATCH($C623,FA,0))),"",IF(N(INDEX(F_D,MATCH($C623,FA,0)))&gt;0,INDEX(F_D,MATCH($C623,FA,0)),""))</f>
        <v>#REF!</v>
      </c>
      <c r="T623" s="7">
        <f>IF(ISNA(MATCH($C623,FA,0)),0,IF($J623="GIRIS",N(INDEX(F_INKOR,MATCH($C623,FA,0))),0))</f>
        <v>0</v>
      </c>
      <c r="U623" s="7" t="e">
        <f>IF(ISNA(MATCH($B623,TIP_AD,0)),"",INDEX(TIP_KAT,MATCH($B623,TIP_AD,0))&amp;"")</f>
        <v>#REF!</v>
      </c>
      <c r="V623" s="7" t="e">
        <f>IF(NOT(ISNUMBER($P623)),"",IF($Z623=0,0,IF(ISNA(MATCH($Z623,BUK_KESIT,0)),"",IF(INDEX(BUK_ALAN,MATCH($Z623,BUK_KESIT,0))&amp;""="","",INDEX(BUK_ALAN,MATCH($Z623,BUK_KESIT,0))))))</f>
        <v>#REF!</v>
      </c>
      <c r="W623" s="7" t="e">
        <f>IF(OR(NOT(ISNUMBER($P623)),$Q623=""),"",N(#REF!)*($Q623+IF(ISNA(MATCH($B623,TIP_AD,0)),0,N(INDEX(TIP_BOSLUK,MATCH($B623,TIP_AD,0))))))</f>
        <v>#REF!</v>
      </c>
      <c r="X623" s="7" t="e">
        <f>IF(ISNUMBER($P623),($Q623="")+($R623="")+($V623="")+IF(AND($U623="KONTAKTOR",NOT(ISNA(MATCH($B623,TIP_AD,0)))),IF(INDEX(TIP_BOSLUK,MATCH($B623,TIP_AD,0))&amp;""="",1,0),0),IF($P623="K",IF($S623="",1,0),0))</f>
        <v>#REF!</v>
      </c>
      <c r="Y623" s="7" t="e">
        <f>N(#REF!)*IF($E623="упак",MAX(1,IF(ISNA(MATCH($C623,FA,0)),1,N(INDEX(F_PAKET,MATCH($C623,FA,0))))),1)</f>
        <v>#REF!</v>
      </c>
      <c r="Z623" s="7" t="e">
        <f t="shared" si="206"/>
        <v>#REF!</v>
      </c>
      <c r="AA623" s="7" t="e">
        <f>IF(OR(ISNA(MATCH($C623,FA,0)),$J623="YEDEK",$J623="SARF"),0,N(#REF!)*N(INDEX(F_TEL,MATCH($C623,FA,0))))</f>
        <v>#REF!</v>
      </c>
      <c r="AB623" s="7" t="e">
        <f>IF(OR(ISNA(MATCH($C623,FA,0)),$J623="YEDEK",$J623="SARF"),0,N(#REF!)*N(INDEX(F_TELM,MATCH($C623,FA,0))))</f>
        <v>#REF!</v>
      </c>
      <c r="AC623" s="7" t="e">
        <f t="shared" si="207"/>
        <v>#REF!</v>
      </c>
      <c r="AD623" s="7" t="e">
        <f>IF(OR(ISNA(MATCH($C623,FA,0)),$J623&lt;&gt;"CIKIS"),0,N(INDEX(F_KK,MATCH($C623,FA,0))))</f>
        <v>#REF!</v>
      </c>
      <c r="AE623" s="7" t="e">
        <f>IF($AD623=0,0,N(#REF!)*N(INDEX(F_KLN,MATCH($C623,FA,0))))</f>
        <v>#REF!</v>
      </c>
      <c r="AF623" s="7" t="e">
        <f>IF($AD623=0,0,N(#REF!)*N(INDEX(F_KPE,MATCH($C623,FA,0))))</f>
        <v>#REF!</v>
      </c>
      <c r="AG623" s="7" t="e">
        <f>IF(ISNA(MATCH($C623,FA,0)),0,N(#REF!)*N(INDEX(F_MODUL,MATCH($C623,FA,0))))</f>
        <v>#REF!</v>
      </c>
      <c r="AH623" s="7" t="e">
        <f>N(#REF!)*N($I623)</f>
        <v>#REF!</v>
      </c>
      <c r="AI623" s="7" t="e">
        <f t="shared" si="208"/>
        <v>#REF!</v>
      </c>
      <c r="AJ623" s="7">
        <f t="shared" si="209"/>
        <v>0</v>
      </c>
    </row>
    <row r="624" spans="1:36" x14ac:dyDescent="0.25">
      <c r="A624" s="4" t="str">
        <f t="shared" si="203"/>
        <v>ЩСС-1, ЩСС-2, ЩСС-3 (260922 akram aulet)</v>
      </c>
      <c r="B624" s="4" t="s">
        <v>213</v>
      </c>
      <c r="C624" s="4" t="s">
        <v>408</v>
      </c>
      <c r="D624" s="4" t="s">
        <v>409</v>
      </c>
      <c r="E624" s="4" t="s">
        <v>114</v>
      </c>
      <c r="F624" s="4" t="s">
        <v>377</v>
      </c>
      <c r="G624" s="4" t="s">
        <v>258</v>
      </c>
      <c r="H624" s="5" t="e">
        <f>#REF!</f>
        <v>#REF!</v>
      </c>
      <c r="I624" s="6" t="e">
        <f t="shared" si="204"/>
        <v>#REF!</v>
      </c>
      <c r="J624" s="6" t="s">
        <v>52</v>
      </c>
      <c r="K624" s="6" t="s">
        <v>213</v>
      </c>
      <c r="L624" s="7" t="e">
        <f t="shared" si="205"/>
        <v>#REF!</v>
      </c>
      <c r="M624" s="7" t="s">
        <v>326</v>
      </c>
      <c r="N624" s="7" t="s">
        <v>217</v>
      </c>
      <c r="O624" s="7" t="str">
        <f>IF(OR($C624="",$C624="FID YOK"),"",IF(ISNUMBER(MATCH($C624,FA_ANA,0)),"",IF(COUNTIF($C$1:$C623,$C624)&gt;0,"",MAX($O$1:$O623)+1)))</f>
        <v/>
      </c>
      <c r="P624" s="8">
        <v>1</v>
      </c>
      <c r="Q624" s="7" t="e">
        <f>IF(OR($P624="",$P624="G",ISNA(MATCH($C624,FA,0))),"",IF(N(INDEX(F_G,MATCH($C624,FA,0)))&gt;0,INDEX(F_G,MATCH($C624,FA,0)),IF(N(INDEX(F_MODUL,MATCH($C624,FA,0)))&gt;0,INDEX(F_MODUL,MATCH($C624,FA,0))*MODUL_MM,"")))</f>
        <v>#REF!</v>
      </c>
      <c r="R624" s="7" t="e">
        <f>IF(OR($P624="",$P624="G",ISNA(MATCH($C624,FA,0))),"",IF(N(INDEX(F_Y,MATCH($C624,FA,0)))&gt;0,INDEX(F_Y,MATCH($C624,FA,0)),""))</f>
        <v>#REF!</v>
      </c>
      <c r="S624" s="7" t="e">
        <f>IF(OR($P624="",$P624="G",ISNA(MATCH($C624,FA,0))),"",IF(N(INDEX(F_D,MATCH($C624,FA,0)))&gt;0,INDEX(F_D,MATCH($C624,FA,0)),""))</f>
        <v>#REF!</v>
      </c>
      <c r="T624" s="7">
        <f>IF(ISNA(MATCH($C624,FA,0)),0,IF($J624="GIRIS",N(INDEX(F_INKOR,MATCH($C624,FA,0))),0))</f>
        <v>0</v>
      </c>
      <c r="U624" s="7" t="e">
        <f>IF(ISNA(MATCH($B624,TIP_AD,0)),"",INDEX(TIP_KAT,MATCH($B624,TIP_AD,0))&amp;"")</f>
        <v>#REF!</v>
      </c>
      <c r="V624" s="7" t="e">
        <f>IF(NOT(ISNUMBER($P624)),"",IF($Z624=0,0,IF(ISNA(MATCH($Z624,BUK_KESIT,0)),"",IF(INDEX(BUK_ALAN,MATCH($Z624,BUK_KESIT,0))&amp;""="","",INDEX(BUK_ALAN,MATCH($Z624,BUK_KESIT,0))))))</f>
        <v>#REF!</v>
      </c>
      <c r="W624" s="7" t="e">
        <f>IF(OR(NOT(ISNUMBER($P624)),$Q624=""),"",N(#REF!)*($Q624+IF(ISNA(MATCH($B624,TIP_AD,0)),0,N(INDEX(TIP_BOSLUK,MATCH($B624,TIP_AD,0))))))</f>
        <v>#REF!</v>
      </c>
      <c r="X624" s="7" t="e">
        <f>IF(ISNUMBER($P624),($Q624="")+($R624="")+($V624="")+IF(AND($U624="KONTAKTOR",NOT(ISNA(MATCH($B624,TIP_AD,0)))),IF(INDEX(TIP_BOSLUK,MATCH($B624,TIP_AD,0))&amp;""="",1,0),0),IF($P624="K",IF($S624="",1,0),0))</f>
        <v>#REF!</v>
      </c>
      <c r="Y624" s="7" t="e">
        <f>N(#REF!)*IF($E624="упак",MAX(1,IF(ISNA(MATCH($C624,FA,0)),1,N(INDEX(F_PAKET,MATCH($C624,FA,0))))),1)</f>
        <v>#REF!</v>
      </c>
      <c r="Z624" s="7" t="e">
        <f t="shared" si="206"/>
        <v>#REF!</v>
      </c>
      <c r="AA624" s="7" t="e">
        <f>IF(OR(ISNA(MATCH($C624,FA,0)),$J624="YEDEK",$J624="SARF"),0,N(#REF!)*N(INDEX(F_TEL,MATCH($C624,FA,0))))</f>
        <v>#REF!</v>
      </c>
      <c r="AB624" s="7" t="e">
        <f>IF(OR(ISNA(MATCH($C624,FA,0)),$J624="YEDEK",$J624="SARF"),0,N(#REF!)*N(INDEX(F_TELM,MATCH($C624,FA,0))))</f>
        <v>#REF!</v>
      </c>
      <c r="AC624" s="7" t="e">
        <f t="shared" si="207"/>
        <v>#REF!</v>
      </c>
      <c r="AD624" s="7" t="e">
        <f>IF(OR(ISNA(MATCH($C624,FA,0)),$J624&lt;&gt;"CIKIS"),0,N(INDEX(F_KK,MATCH($C624,FA,0))))</f>
        <v>#REF!</v>
      </c>
      <c r="AE624" s="7" t="e">
        <f>IF($AD624=0,0,N(#REF!)*N(INDEX(F_KLN,MATCH($C624,FA,0))))</f>
        <v>#REF!</v>
      </c>
      <c r="AF624" s="7" t="e">
        <f>IF($AD624=0,0,N(#REF!)*N(INDEX(F_KPE,MATCH($C624,FA,0))))</f>
        <v>#REF!</v>
      </c>
      <c r="AG624" s="7" t="e">
        <f>IF(ISNA(MATCH($C624,FA,0)),0,N(#REF!)*N(INDEX(F_MODUL,MATCH($C624,FA,0))))</f>
        <v>#REF!</v>
      </c>
      <c r="AH624" s="7" t="e">
        <f>N(#REF!)*N($I624)</f>
        <v>#REF!</v>
      </c>
      <c r="AI624" s="7" t="e">
        <f t="shared" si="208"/>
        <v>#REF!</v>
      </c>
      <c r="AJ624" s="7">
        <f t="shared" si="209"/>
        <v>0</v>
      </c>
    </row>
    <row r="625" spans="1:36" x14ac:dyDescent="0.25">
      <c r="A625" s="4" t="str">
        <f t="shared" si="203"/>
        <v>ЩСС-1, ЩСС-2, ЩСС-3 (260922 akram aulet)</v>
      </c>
      <c r="B625" s="4" t="s">
        <v>202</v>
      </c>
      <c r="C625" s="4" t="s">
        <v>581</v>
      </c>
      <c r="D625" s="4" t="s">
        <v>582</v>
      </c>
      <c r="E625" s="4" t="s">
        <v>114</v>
      </c>
      <c r="F625" s="4" t="s">
        <v>486</v>
      </c>
      <c r="G625" s="4" t="s">
        <v>258</v>
      </c>
      <c r="H625" s="5" t="e">
        <f>#REF!</f>
        <v>#REF!</v>
      </c>
      <c r="I625" s="6" t="e">
        <f t="shared" si="204"/>
        <v>#REF!</v>
      </c>
      <c r="J625" s="6" t="s">
        <v>84</v>
      </c>
      <c r="K625" s="6" t="s">
        <v>202</v>
      </c>
      <c r="L625" s="7" t="e">
        <f t="shared" si="205"/>
        <v>#REF!</v>
      </c>
      <c r="M625" s="7" t="s">
        <v>203</v>
      </c>
      <c r="O625" s="7" t="str">
        <f>IF(OR($C625="",$C625="FID YOK"),"",IF(ISNUMBER(MATCH($C625,FA_ANA,0)),"",IF(COUNTIF($C$1:$C624,$C625)&gt;0,"",MAX($O$1:$O624)+1)))</f>
        <v/>
      </c>
      <c r="T625" s="7">
        <f>IF(ISNA(MATCH($C625,FA,0)),0,IF($J625="GIRIS",N(INDEX(F_INKOR,MATCH($C625,FA,0))),0))</f>
        <v>0</v>
      </c>
      <c r="Y625" s="7" t="e">
        <f>N(#REF!)*IF($E625="упак",MAX(1,IF(ISNA(MATCH($C625,FA,0)),1,N(INDEX(F_PAKET,MATCH($C625,FA,0))))),1)</f>
        <v>#REF!</v>
      </c>
      <c r="Z625" s="7" t="e">
        <f t="shared" si="206"/>
        <v>#REF!</v>
      </c>
      <c r="AA625" s="7">
        <f>IF(OR(ISNA(MATCH($C625,FA,0)),$J625="YEDEK",$J625="SARF"),0,N(#REF!)*N(INDEX(F_TEL,MATCH($C625,FA,0))))</f>
        <v>0</v>
      </c>
      <c r="AB625" s="7">
        <f>IF(OR(ISNA(MATCH($C625,FA,0)),$J625="YEDEK",$J625="SARF"),0,N(#REF!)*N(INDEX(F_TELM,MATCH($C625,FA,0))))</f>
        <v>0</v>
      </c>
      <c r="AC625" s="7" t="e">
        <f t="shared" si="207"/>
        <v>#REF!</v>
      </c>
      <c r="AD625" s="7">
        <f>IF(OR(ISNA(MATCH($C625,FA,0)),$J625&lt;&gt;"CIKIS"),0,N(INDEX(F_KK,MATCH($C625,FA,0))))</f>
        <v>0</v>
      </c>
      <c r="AE625" s="7">
        <f>IF($AD625=0,0,N(#REF!)*N(INDEX(F_KLN,MATCH($C625,FA,0))))</f>
        <v>0</v>
      </c>
      <c r="AF625" s="7">
        <f>IF($AD625=0,0,N(#REF!)*N(INDEX(F_KPE,MATCH($C625,FA,0))))</f>
        <v>0</v>
      </c>
      <c r="AG625" s="7" t="e">
        <f>IF(ISNA(MATCH($C625,FA,0)),0,N(#REF!)*N(INDEX(F_MODUL,MATCH($C625,FA,0))))</f>
        <v>#REF!</v>
      </c>
      <c r="AH625" s="7" t="e">
        <f>N(#REF!)*N($I625)</f>
        <v>#REF!</v>
      </c>
      <c r="AI625" s="7" t="e">
        <f t="shared" si="208"/>
        <v>#REF!</v>
      </c>
      <c r="AJ625" s="7">
        <f t="shared" si="209"/>
        <v>0</v>
      </c>
    </row>
    <row r="626" spans="1:36" x14ac:dyDescent="0.25">
      <c r="A626" s="4" t="str">
        <f t="shared" si="203"/>
        <v>ЩСС-1, ЩСС-2, ЩСС-3 (260922 akram aulet)</v>
      </c>
      <c r="B626" s="4" t="s">
        <v>202</v>
      </c>
      <c r="C626" s="4" t="s">
        <v>583</v>
      </c>
      <c r="D626" s="4" t="s">
        <v>584</v>
      </c>
      <c r="E626" s="4" t="s">
        <v>114</v>
      </c>
      <c r="F626" s="4" t="s">
        <v>486</v>
      </c>
      <c r="G626" s="4" t="s">
        <v>258</v>
      </c>
      <c r="H626" s="5" t="e">
        <f>#REF!</f>
        <v>#REF!</v>
      </c>
      <c r="I626" s="6" t="e">
        <f t="shared" si="204"/>
        <v>#REF!</v>
      </c>
      <c r="J626" s="6" t="s">
        <v>84</v>
      </c>
      <c r="K626" s="6" t="s">
        <v>202</v>
      </c>
      <c r="L626" s="7" t="e">
        <f t="shared" si="205"/>
        <v>#REF!</v>
      </c>
      <c r="M626" s="7" t="s">
        <v>204</v>
      </c>
      <c r="O626" s="7" t="str">
        <f>IF(OR($C626="",$C626="FID YOK"),"",IF(ISNUMBER(MATCH($C626,FA_ANA,0)),"",IF(COUNTIF($C$1:$C625,$C626)&gt;0,"",MAX($O$1:$O625)+1)))</f>
        <v/>
      </c>
      <c r="T626" s="7">
        <f>IF(ISNA(MATCH($C626,FA,0)),0,IF($J626="GIRIS",N(INDEX(F_INKOR,MATCH($C626,FA,0))),0))</f>
        <v>0</v>
      </c>
      <c r="Y626" s="7" t="e">
        <f>N(#REF!)*IF($E626="упак",MAX(1,IF(ISNA(MATCH($C626,FA,0)),1,N(INDEX(F_PAKET,MATCH($C626,FA,0))))),1)</f>
        <v>#REF!</v>
      </c>
      <c r="Z626" s="7" t="e">
        <f t="shared" si="206"/>
        <v>#REF!</v>
      </c>
      <c r="AA626" s="7">
        <f>IF(OR(ISNA(MATCH($C626,FA,0)),$J626="YEDEK",$J626="SARF"),0,N(#REF!)*N(INDEX(F_TEL,MATCH($C626,FA,0))))</f>
        <v>0</v>
      </c>
      <c r="AB626" s="7">
        <f>IF(OR(ISNA(MATCH($C626,FA,0)),$J626="YEDEK",$J626="SARF"),0,N(#REF!)*N(INDEX(F_TELM,MATCH($C626,FA,0))))</f>
        <v>0</v>
      </c>
      <c r="AC626" s="7" t="e">
        <f t="shared" si="207"/>
        <v>#REF!</v>
      </c>
      <c r="AD626" s="7">
        <f>IF(OR(ISNA(MATCH($C626,FA,0)),$J626&lt;&gt;"CIKIS"),0,N(INDEX(F_KK,MATCH($C626,FA,0))))</f>
        <v>0</v>
      </c>
      <c r="AE626" s="7">
        <f>IF($AD626=0,0,N(#REF!)*N(INDEX(F_KLN,MATCH($C626,FA,0))))</f>
        <v>0</v>
      </c>
      <c r="AF626" s="7">
        <f>IF($AD626=0,0,N(#REF!)*N(INDEX(F_KPE,MATCH($C626,FA,0))))</f>
        <v>0</v>
      </c>
      <c r="AG626" s="7" t="e">
        <f>IF(ISNA(MATCH($C626,FA,0)),0,N(#REF!)*N(INDEX(F_MODUL,MATCH($C626,FA,0))))</f>
        <v>#REF!</v>
      </c>
      <c r="AH626" s="7" t="e">
        <f>N(#REF!)*N($I626)</f>
        <v>#REF!</v>
      </c>
      <c r="AI626" s="7" t="e">
        <f t="shared" si="208"/>
        <v>#REF!</v>
      </c>
      <c r="AJ626" s="7">
        <f t="shared" si="209"/>
        <v>0</v>
      </c>
    </row>
    <row r="627" spans="1:36" x14ac:dyDescent="0.25">
      <c r="A627" s="4" t="str">
        <f t="shared" si="203"/>
        <v>ЩСС-1, ЩСС-2, ЩСС-3 (260922 akram aulet)</v>
      </c>
      <c r="B627" s="4" t="s">
        <v>92</v>
      </c>
      <c r="C627" s="4" t="s">
        <v>523</v>
      </c>
      <c r="D627" s="4" t="s">
        <v>524</v>
      </c>
      <c r="E627" s="4" t="s">
        <v>520</v>
      </c>
      <c r="F627" s="4" t="s">
        <v>521</v>
      </c>
      <c r="G627" s="4" t="s">
        <v>258</v>
      </c>
      <c r="H627" s="5" t="e">
        <f>#REF!</f>
        <v>#REF!</v>
      </c>
      <c r="I627" s="6" t="e">
        <f t="shared" si="204"/>
        <v>#REF!</v>
      </c>
      <c r="J627" s="6" t="s">
        <v>84</v>
      </c>
      <c r="K627" s="6" t="s">
        <v>92</v>
      </c>
      <c r="L627" s="7" t="e">
        <f t="shared" si="205"/>
        <v>#REF!</v>
      </c>
      <c r="M627" s="7" t="s">
        <v>93</v>
      </c>
      <c r="O627" s="7" t="str">
        <f>IF(OR($C627="",$C627="FID YOK"),"",IF(ISNUMBER(MATCH($C627,FA_ANA,0)),"",IF(COUNTIF($C$1:$C626,$C627)&gt;0,"",MAX($O$1:$O626)+1)))</f>
        <v/>
      </c>
      <c r="T627" s="7">
        <f>IF(ISNA(MATCH($C627,FA,0)),0,IF($J627="GIRIS",N(INDEX(F_INKOR,MATCH($C627,FA,0))),0))</f>
        <v>0</v>
      </c>
      <c r="Y627" s="7" t="e">
        <f>N(#REF!)*IF($E627="упак",MAX(1,IF(ISNA(MATCH($C627,FA,0)),1,N(INDEX(F_PAKET,MATCH($C627,FA,0))))),1)</f>
        <v>#REF!</v>
      </c>
      <c r="Z627" s="7" t="e">
        <f t="shared" si="206"/>
        <v>#REF!</v>
      </c>
      <c r="AA627" s="7">
        <f>IF(OR(ISNA(MATCH($C627,FA,0)),$J627="YEDEK",$J627="SARF"),0,N(#REF!)*N(INDEX(F_TEL,MATCH($C627,FA,0))))</f>
        <v>0</v>
      </c>
      <c r="AB627" s="7">
        <f>IF(OR(ISNA(MATCH($C627,FA,0)),$J627="YEDEK",$J627="SARF"),0,N(#REF!)*N(INDEX(F_TELM,MATCH($C627,FA,0))))</f>
        <v>0</v>
      </c>
      <c r="AC627" s="7" t="e">
        <f t="shared" si="207"/>
        <v>#REF!</v>
      </c>
      <c r="AD627" s="7">
        <f>IF(OR(ISNA(MATCH($C627,FA,0)),$J627&lt;&gt;"CIKIS"),0,N(INDEX(F_KK,MATCH($C627,FA,0))))</f>
        <v>0</v>
      </c>
      <c r="AE627" s="7">
        <f>IF($AD627=0,0,N(#REF!)*N(INDEX(F_KLN,MATCH($C627,FA,0))))</f>
        <v>0</v>
      </c>
      <c r="AF627" s="7">
        <f>IF($AD627=0,0,N(#REF!)*N(INDEX(F_KPE,MATCH($C627,FA,0))))</f>
        <v>0</v>
      </c>
      <c r="AG627" s="7" t="e">
        <f>IF(ISNA(MATCH($C627,FA,0)),0,N(#REF!)*N(INDEX(F_MODUL,MATCH($C627,FA,0))))</f>
        <v>#REF!</v>
      </c>
      <c r="AH627" s="7" t="e">
        <f>N(#REF!)*N($I627)</f>
        <v>#REF!</v>
      </c>
      <c r="AI627" s="7" t="e">
        <f t="shared" si="208"/>
        <v>#REF!</v>
      </c>
      <c r="AJ627" s="7">
        <f t="shared" si="209"/>
        <v>0</v>
      </c>
    </row>
    <row r="628" spans="1:36" x14ac:dyDescent="0.25">
      <c r="A628" s="4" t="str">
        <f t="shared" si="203"/>
        <v>ЩСС-1, ЩСС-2, ЩСС-3 (260922 akram aulet)</v>
      </c>
      <c r="B628" s="4" t="s">
        <v>92</v>
      </c>
      <c r="C628" s="4" t="s">
        <v>535</v>
      </c>
      <c r="D628" s="4" t="s">
        <v>536</v>
      </c>
      <c r="E628" s="4" t="s">
        <v>520</v>
      </c>
      <c r="F628" s="4" t="s">
        <v>521</v>
      </c>
      <c r="G628" s="4" t="s">
        <v>258</v>
      </c>
      <c r="H628" s="5" t="e">
        <f>#REF!</f>
        <v>#REF!</v>
      </c>
      <c r="I628" s="6" t="e">
        <f t="shared" si="204"/>
        <v>#REF!</v>
      </c>
      <c r="J628" s="6" t="s">
        <v>84</v>
      </c>
      <c r="K628" s="6" t="s">
        <v>92</v>
      </c>
      <c r="L628" s="7" t="e">
        <f t="shared" si="205"/>
        <v>#REF!</v>
      </c>
      <c r="M628" s="7" t="s">
        <v>130</v>
      </c>
      <c r="O628" s="7" t="str">
        <f>IF(OR($C628="",$C628="FID YOK"),"",IF(ISNUMBER(MATCH($C628,FA_ANA,0)),"",IF(COUNTIF($C$1:$C627,$C628)&gt;0,"",MAX($O$1:$O627)+1)))</f>
        <v/>
      </c>
      <c r="T628" s="7">
        <f>IF(ISNA(MATCH($C628,FA,0)),0,IF($J628="GIRIS",N(INDEX(F_INKOR,MATCH($C628,FA,0))),0))</f>
        <v>0</v>
      </c>
      <c r="Y628" s="7" t="e">
        <f>N(#REF!)*IF($E628="упак",MAX(1,IF(ISNA(MATCH($C628,FA,0)),1,N(INDEX(F_PAKET,MATCH($C628,FA,0))))),1)</f>
        <v>#REF!</v>
      </c>
      <c r="Z628" s="7" t="e">
        <f t="shared" si="206"/>
        <v>#REF!</v>
      </c>
      <c r="AA628" s="7">
        <f>IF(OR(ISNA(MATCH($C628,FA,0)),$J628="YEDEK",$J628="SARF"),0,N(#REF!)*N(INDEX(F_TEL,MATCH($C628,FA,0))))</f>
        <v>0</v>
      </c>
      <c r="AB628" s="7">
        <f>IF(OR(ISNA(MATCH($C628,FA,0)),$J628="YEDEK",$J628="SARF"),0,N(#REF!)*N(INDEX(F_TELM,MATCH($C628,FA,0))))</f>
        <v>0</v>
      </c>
      <c r="AC628" s="7" t="e">
        <f t="shared" si="207"/>
        <v>#REF!</v>
      </c>
      <c r="AD628" s="7">
        <f>IF(OR(ISNA(MATCH($C628,FA,0)),$J628&lt;&gt;"CIKIS"),0,N(INDEX(F_KK,MATCH($C628,FA,0))))</f>
        <v>0</v>
      </c>
      <c r="AE628" s="7">
        <f>IF($AD628=0,0,N(#REF!)*N(INDEX(F_KLN,MATCH($C628,FA,0))))</f>
        <v>0</v>
      </c>
      <c r="AF628" s="7">
        <f>IF($AD628=0,0,N(#REF!)*N(INDEX(F_KPE,MATCH($C628,FA,0))))</f>
        <v>0</v>
      </c>
      <c r="AG628" s="7" t="e">
        <f>IF(ISNA(MATCH($C628,FA,0)),0,N(#REF!)*N(INDEX(F_MODUL,MATCH($C628,FA,0))))</f>
        <v>#REF!</v>
      </c>
      <c r="AH628" s="7" t="e">
        <f>N(#REF!)*N($I628)</f>
        <v>#REF!</v>
      </c>
      <c r="AI628" s="7" t="e">
        <f t="shared" si="208"/>
        <v>#REF!</v>
      </c>
      <c r="AJ628" s="7">
        <f t="shared" si="209"/>
        <v>0</v>
      </c>
    </row>
    <row r="629" spans="1:36" x14ac:dyDescent="0.25">
      <c r="A629" s="4" t="str">
        <f t="shared" si="203"/>
        <v>ЩСС-1, ЩСС-2, ЩСС-3 (260922 akram aulet)</v>
      </c>
      <c r="B629" s="4" t="s">
        <v>92</v>
      </c>
      <c r="C629" s="4" t="s">
        <v>535</v>
      </c>
      <c r="D629" s="4" t="s">
        <v>536</v>
      </c>
      <c r="E629" s="4" t="s">
        <v>520</v>
      </c>
      <c r="F629" s="4" t="s">
        <v>521</v>
      </c>
      <c r="G629" s="4" t="s">
        <v>258</v>
      </c>
      <c r="H629" s="5" t="e">
        <f>#REF!</f>
        <v>#REF!</v>
      </c>
      <c r="I629" s="6" t="e">
        <f t="shared" si="204"/>
        <v>#REF!</v>
      </c>
      <c r="J629" s="6" t="s">
        <v>84</v>
      </c>
      <c r="K629" s="6" t="s">
        <v>92</v>
      </c>
      <c r="L629" s="7" t="e">
        <f t="shared" si="205"/>
        <v>#REF!</v>
      </c>
      <c r="M629" s="7" t="s">
        <v>100</v>
      </c>
      <c r="O629" s="7" t="str">
        <f>IF(OR($C629="",$C629="FID YOK"),"",IF(ISNUMBER(MATCH($C629,FA_ANA,0)),"",IF(COUNTIF($C$1:$C628,$C629)&gt;0,"",MAX($O$1:$O628)+1)))</f>
        <v/>
      </c>
      <c r="T629" s="7">
        <f>IF(ISNA(MATCH($C629,FA,0)),0,IF($J629="GIRIS",N(INDEX(F_INKOR,MATCH($C629,FA,0))),0))</f>
        <v>0</v>
      </c>
      <c r="Y629" s="7" t="e">
        <f>N(#REF!)*IF($E629="упак",MAX(1,IF(ISNA(MATCH($C629,FA,0)),1,N(INDEX(F_PAKET,MATCH($C629,FA,0))))),1)</f>
        <v>#REF!</v>
      </c>
      <c r="Z629" s="7" t="e">
        <f t="shared" si="206"/>
        <v>#REF!</v>
      </c>
      <c r="AA629" s="7">
        <f>IF(OR(ISNA(MATCH($C629,FA,0)),$J629="YEDEK",$J629="SARF"),0,N(#REF!)*N(INDEX(F_TEL,MATCH($C629,FA,0))))</f>
        <v>0</v>
      </c>
      <c r="AB629" s="7">
        <f>IF(OR(ISNA(MATCH($C629,FA,0)),$J629="YEDEK",$J629="SARF"),0,N(#REF!)*N(INDEX(F_TELM,MATCH($C629,FA,0))))</f>
        <v>0</v>
      </c>
      <c r="AC629" s="7" t="e">
        <f t="shared" si="207"/>
        <v>#REF!</v>
      </c>
      <c r="AD629" s="7">
        <f>IF(OR(ISNA(MATCH($C629,FA,0)),$J629&lt;&gt;"CIKIS"),0,N(INDEX(F_KK,MATCH($C629,FA,0))))</f>
        <v>0</v>
      </c>
      <c r="AE629" s="7">
        <f>IF($AD629=0,0,N(#REF!)*N(INDEX(F_KLN,MATCH($C629,FA,0))))</f>
        <v>0</v>
      </c>
      <c r="AF629" s="7">
        <f>IF($AD629=0,0,N(#REF!)*N(INDEX(F_KPE,MATCH($C629,FA,0))))</f>
        <v>0</v>
      </c>
      <c r="AG629" s="7" t="e">
        <f>IF(ISNA(MATCH($C629,FA,0)),0,N(#REF!)*N(INDEX(F_MODUL,MATCH($C629,FA,0))))</f>
        <v>#REF!</v>
      </c>
      <c r="AH629" s="7" t="e">
        <f>N(#REF!)*N($I629)</f>
        <v>#REF!</v>
      </c>
      <c r="AI629" s="7" t="e">
        <f t="shared" si="208"/>
        <v>#REF!</v>
      </c>
      <c r="AJ629" s="7">
        <f t="shared" si="209"/>
        <v>0</v>
      </c>
    </row>
    <row r="630" spans="1:36" x14ac:dyDescent="0.25">
      <c r="A630" s="4" t="str">
        <f t="shared" si="203"/>
        <v>ЩСС-1, ЩСС-2, ЩСС-3 (260922 akram aulet)</v>
      </c>
      <c r="B630" s="4" t="s">
        <v>101</v>
      </c>
      <c r="C630" s="4" t="s">
        <v>525</v>
      </c>
      <c r="D630" s="4" t="s">
        <v>526</v>
      </c>
      <c r="E630" s="4" t="s">
        <v>522</v>
      </c>
      <c r="F630" s="4" t="s">
        <v>486</v>
      </c>
      <c r="G630" s="4" t="s">
        <v>258</v>
      </c>
      <c r="H630" s="5" t="e">
        <f>#REF!</f>
        <v>#REF!</v>
      </c>
      <c r="I630" s="6" t="e">
        <f t="shared" si="204"/>
        <v>#REF!</v>
      </c>
      <c r="J630" s="6" t="s">
        <v>84</v>
      </c>
      <c r="K630" s="6" t="s">
        <v>101</v>
      </c>
      <c r="L630" s="7" t="e">
        <f t="shared" si="205"/>
        <v>#REF!</v>
      </c>
      <c r="M630" s="7" t="s">
        <v>102</v>
      </c>
      <c r="O630" s="7" t="str">
        <f>IF(OR($C630="",$C630="FID YOK"),"",IF(ISNUMBER(MATCH($C630,FA_ANA,0)),"",IF(COUNTIF($C$1:$C629,$C630)&gt;0,"",MAX($O$1:$O629)+1)))</f>
        <v/>
      </c>
      <c r="T630" s="7">
        <f>IF(ISNA(MATCH($C630,FA,0)),0,IF($J630="GIRIS",N(INDEX(F_INKOR,MATCH($C630,FA,0))),0))</f>
        <v>0</v>
      </c>
      <c r="Y630" s="7" t="e">
        <f>N(#REF!)*IF($E630="упак",MAX(1,IF(ISNA(MATCH($C630,FA,0)),1,N(INDEX(F_PAKET,MATCH($C630,FA,0))))),1)</f>
        <v>#REF!</v>
      </c>
      <c r="Z630" s="7" t="e">
        <f t="shared" si="206"/>
        <v>#REF!</v>
      </c>
      <c r="AA630" s="7">
        <f>IF(OR(ISNA(MATCH($C630,FA,0)),$J630="YEDEK",$J630="SARF"),0,N(#REF!)*N(INDEX(F_TEL,MATCH($C630,FA,0))))</f>
        <v>0</v>
      </c>
      <c r="AB630" s="7">
        <f>IF(OR(ISNA(MATCH($C630,FA,0)),$J630="YEDEK",$J630="SARF"),0,N(#REF!)*N(INDEX(F_TELM,MATCH($C630,FA,0))))</f>
        <v>0</v>
      </c>
      <c r="AC630" s="7" t="e">
        <f t="shared" si="207"/>
        <v>#REF!</v>
      </c>
      <c r="AD630" s="7">
        <f>IF(OR(ISNA(MATCH($C630,FA,0)),$J630&lt;&gt;"CIKIS"),0,N(INDEX(F_KK,MATCH($C630,FA,0))))</f>
        <v>0</v>
      </c>
      <c r="AE630" s="7">
        <f>IF($AD630=0,0,N(#REF!)*N(INDEX(F_KLN,MATCH($C630,FA,0))))</f>
        <v>0</v>
      </c>
      <c r="AF630" s="7">
        <f>IF($AD630=0,0,N(#REF!)*N(INDEX(F_KPE,MATCH($C630,FA,0))))</f>
        <v>0</v>
      </c>
      <c r="AG630" s="7" t="e">
        <f>IF(ISNA(MATCH($C630,FA,0)),0,N(#REF!)*N(INDEX(F_MODUL,MATCH($C630,FA,0))))</f>
        <v>#REF!</v>
      </c>
      <c r="AH630" s="7" t="e">
        <f>N(#REF!)*N($I630)</f>
        <v>#REF!</v>
      </c>
      <c r="AI630" s="7" t="e">
        <f t="shared" si="208"/>
        <v>#REF!</v>
      </c>
      <c r="AJ630" s="7">
        <f t="shared" si="209"/>
        <v>0</v>
      </c>
    </row>
    <row r="631" spans="1:36" x14ac:dyDescent="0.25">
      <c r="A631" s="4" t="str">
        <f t="shared" si="203"/>
        <v>ЩСС-1, ЩСС-2, ЩСС-3 (260922 akram aulet)</v>
      </c>
      <c r="B631" s="4" t="s">
        <v>101</v>
      </c>
      <c r="C631" s="4" t="s">
        <v>537</v>
      </c>
      <c r="D631" s="4" t="s">
        <v>538</v>
      </c>
      <c r="E631" s="4" t="s">
        <v>522</v>
      </c>
      <c r="F631" s="4" t="s">
        <v>486</v>
      </c>
      <c r="G631" s="4" t="s">
        <v>258</v>
      </c>
      <c r="H631" s="5" t="e">
        <f>#REF!</f>
        <v>#REF!</v>
      </c>
      <c r="I631" s="6" t="e">
        <f t="shared" si="204"/>
        <v>#REF!</v>
      </c>
      <c r="J631" s="6" t="s">
        <v>84</v>
      </c>
      <c r="K631" s="6" t="s">
        <v>101</v>
      </c>
      <c r="L631" s="7" t="e">
        <f t="shared" si="205"/>
        <v>#REF!</v>
      </c>
      <c r="M631" s="7" t="s">
        <v>205</v>
      </c>
      <c r="O631" s="7" t="str">
        <f>IF(OR($C631="",$C631="FID YOK"),"",IF(ISNUMBER(MATCH($C631,FA_ANA,0)),"",IF(COUNTIF($C$1:$C630,$C631)&gt;0,"",MAX($O$1:$O630)+1)))</f>
        <v/>
      </c>
      <c r="T631" s="7">
        <f>IF(ISNA(MATCH($C631,FA,0)),0,IF($J631="GIRIS",N(INDEX(F_INKOR,MATCH($C631,FA,0))),0))</f>
        <v>0</v>
      </c>
      <c r="Y631" s="7" t="e">
        <f>N(#REF!)*IF($E631="упак",MAX(1,IF(ISNA(MATCH($C631,FA,0)),1,N(INDEX(F_PAKET,MATCH($C631,FA,0))))),1)</f>
        <v>#REF!</v>
      </c>
      <c r="Z631" s="7" t="e">
        <f t="shared" si="206"/>
        <v>#REF!</v>
      </c>
      <c r="AA631" s="7">
        <f>IF(OR(ISNA(MATCH($C631,FA,0)),$J631="YEDEK",$J631="SARF"),0,N(#REF!)*N(INDEX(F_TEL,MATCH($C631,FA,0))))</f>
        <v>0</v>
      </c>
      <c r="AB631" s="7">
        <f>IF(OR(ISNA(MATCH($C631,FA,0)),$J631="YEDEK",$J631="SARF"),0,N(#REF!)*N(INDEX(F_TELM,MATCH($C631,FA,0))))</f>
        <v>0</v>
      </c>
      <c r="AC631" s="7" t="e">
        <f t="shared" si="207"/>
        <v>#REF!</v>
      </c>
      <c r="AD631" s="7">
        <f>IF(OR(ISNA(MATCH($C631,FA,0)),$J631&lt;&gt;"CIKIS"),0,N(INDEX(F_KK,MATCH($C631,FA,0))))</f>
        <v>0</v>
      </c>
      <c r="AE631" s="7">
        <f>IF($AD631=0,0,N(#REF!)*N(INDEX(F_KLN,MATCH($C631,FA,0))))</f>
        <v>0</v>
      </c>
      <c r="AF631" s="7">
        <f>IF($AD631=0,0,N(#REF!)*N(INDEX(F_KPE,MATCH($C631,FA,0))))</f>
        <v>0</v>
      </c>
      <c r="AG631" s="7" t="e">
        <f>IF(ISNA(MATCH($C631,FA,0)),0,N(#REF!)*N(INDEX(F_MODUL,MATCH($C631,FA,0))))</f>
        <v>#REF!</v>
      </c>
      <c r="AH631" s="7" t="e">
        <f>N(#REF!)*N($I631)</f>
        <v>#REF!</v>
      </c>
      <c r="AI631" s="7" t="e">
        <f t="shared" si="208"/>
        <v>#REF!</v>
      </c>
      <c r="AJ631" s="7">
        <f t="shared" si="209"/>
        <v>0</v>
      </c>
    </row>
    <row r="632" spans="1:36" x14ac:dyDescent="0.25">
      <c r="A632" s="4" t="str">
        <f t="shared" si="203"/>
        <v>ЩСС-1, ЩСС-2, ЩСС-3 (260922 akram aulet)</v>
      </c>
      <c r="B632" s="4" t="s">
        <v>105</v>
      </c>
      <c r="C632" s="4" t="s">
        <v>539</v>
      </c>
      <c r="D632" s="4" t="s">
        <v>540</v>
      </c>
      <c r="E632" s="4" t="s">
        <v>114</v>
      </c>
      <c r="F632" s="4" t="s">
        <v>486</v>
      </c>
      <c r="G632" s="4" t="s">
        <v>258</v>
      </c>
      <c r="H632" s="5" t="e">
        <f>#REF!</f>
        <v>#REF!</v>
      </c>
      <c r="I632" s="6" t="e">
        <f t="shared" si="204"/>
        <v>#REF!</v>
      </c>
      <c r="J632" s="6" t="s">
        <v>84</v>
      </c>
      <c r="K632" s="6" t="s">
        <v>105</v>
      </c>
      <c r="L632" s="7" t="e">
        <f t="shared" si="205"/>
        <v>#REF!</v>
      </c>
      <c r="M632" s="7" t="s">
        <v>110</v>
      </c>
      <c r="O632" s="7" t="str">
        <f>IF(OR($C632="",$C632="FID YOK"),"",IF(ISNUMBER(MATCH($C632,FA_ANA,0)),"",IF(COUNTIF($C$1:$C631,$C632)&gt;0,"",MAX($O$1:$O631)+1)))</f>
        <v/>
      </c>
      <c r="T632" s="7">
        <f>IF(ISNA(MATCH($C632,FA,0)),0,IF($J632="GIRIS",N(INDEX(F_INKOR,MATCH($C632,FA,0))),0))</f>
        <v>0</v>
      </c>
      <c r="Y632" s="7" t="e">
        <f>N(#REF!)*IF($E632="упак",MAX(1,IF(ISNA(MATCH($C632,FA,0)),1,N(INDEX(F_PAKET,MATCH($C632,FA,0))))),1)</f>
        <v>#REF!</v>
      </c>
      <c r="Z632" s="7" t="e">
        <f t="shared" si="206"/>
        <v>#REF!</v>
      </c>
      <c r="AA632" s="7">
        <f>IF(OR(ISNA(MATCH($C632,FA,0)),$J632="YEDEK",$J632="SARF"),0,N(#REF!)*N(INDEX(F_TEL,MATCH($C632,FA,0))))</f>
        <v>0</v>
      </c>
      <c r="AB632" s="7">
        <f>IF(OR(ISNA(MATCH($C632,FA,0)),$J632="YEDEK",$J632="SARF"),0,N(#REF!)*N(INDEX(F_TELM,MATCH($C632,FA,0))))</f>
        <v>0</v>
      </c>
      <c r="AC632" s="7" t="e">
        <f t="shared" si="207"/>
        <v>#REF!</v>
      </c>
      <c r="AD632" s="7">
        <f>IF(OR(ISNA(MATCH($C632,FA,0)),$J632&lt;&gt;"CIKIS"),0,N(INDEX(F_KK,MATCH($C632,FA,0))))</f>
        <v>0</v>
      </c>
      <c r="AE632" s="7">
        <f>IF($AD632=0,0,N(#REF!)*N(INDEX(F_KLN,MATCH($C632,FA,0))))</f>
        <v>0</v>
      </c>
      <c r="AF632" s="7">
        <f>IF($AD632=0,0,N(#REF!)*N(INDEX(F_KPE,MATCH($C632,FA,0))))</f>
        <v>0</v>
      </c>
      <c r="AG632" s="7" t="e">
        <f>IF(ISNA(MATCH($C632,FA,0)),0,N(#REF!)*N(INDEX(F_MODUL,MATCH($C632,FA,0))))</f>
        <v>#REF!</v>
      </c>
      <c r="AH632" s="7" t="e">
        <f>N(#REF!)*N($I632)</f>
        <v>#REF!</v>
      </c>
      <c r="AI632" s="7" t="e">
        <f t="shared" si="208"/>
        <v>#REF!</v>
      </c>
      <c r="AJ632" s="7">
        <f t="shared" si="209"/>
        <v>0</v>
      </c>
    </row>
    <row r="633" spans="1:36" x14ac:dyDescent="0.25">
      <c r="A633" s="4" t="str">
        <f t="shared" si="203"/>
        <v>ЩСС-1, ЩСС-2, ЩСС-3 (260922 akram aulet)</v>
      </c>
      <c r="B633" s="4" t="s">
        <v>111</v>
      </c>
      <c r="C633" s="4" t="s">
        <v>571</v>
      </c>
      <c r="D633" s="4" t="s">
        <v>572</v>
      </c>
      <c r="E633" s="4" t="s">
        <v>522</v>
      </c>
      <c r="F633" s="4" t="s">
        <v>486</v>
      </c>
      <c r="G633" s="4" t="s">
        <v>258</v>
      </c>
      <c r="H633" s="5" t="e">
        <f>#REF!</f>
        <v>#REF!</v>
      </c>
      <c r="I633" s="6" t="e">
        <f t="shared" si="204"/>
        <v>#REF!</v>
      </c>
      <c r="J633" s="6" t="s">
        <v>84</v>
      </c>
      <c r="K633" s="6" t="s">
        <v>111</v>
      </c>
      <c r="L633" s="7" t="e">
        <f t="shared" si="205"/>
        <v>#REF!</v>
      </c>
      <c r="M633" s="7" t="s">
        <v>112</v>
      </c>
      <c r="O633" s="7" t="str">
        <f>IF(OR($C633="",$C633="FID YOK"),"",IF(ISNUMBER(MATCH($C633,FA_ANA,0)),"",IF(COUNTIF($C$1:$C632,$C633)&gt;0,"",MAX($O$1:$O632)+1)))</f>
        <v/>
      </c>
      <c r="T633" s="7">
        <f>IF(ISNA(MATCH($C633,FA,0)),0,IF($J633="GIRIS",N(INDEX(F_INKOR,MATCH($C633,FA,0))),0))</f>
        <v>0</v>
      </c>
      <c r="Y633" s="7" t="e">
        <f>N(#REF!)*IF($E633="упак",MAX(1,IF(ISNA(MATCH($C633,FA,0)),1,N(INDEX(F_PAKET,MATCH($C633,FA,0))))),1)</f>
        <v>#REF!</v>
      </c>
      <c r="Z633" s="7" t="e">
        <f t="shared" si="206"/>
        <v>#REF!</v>
      </c>
      <c r="AA633" s="7">
        <f>IF(OR(ISNA(MATCH($C633,FA,0)),$J633="YEDEK",$J633="SARF"),0,N(#REF!)*N(INDEX(F_TEL,MATCH($C633,FA,0))))</f>
        <v>0</v>
      </c>
      <c r="AB633" s="7">
        <f>IF(OR(ISNA(MATCH($C633,FA,0)),$J633="YEDEK",$J633="SARF"),0,N(#REF!)*N(INDEX(F_TELM,MATCH($C633,FA,0))))</f>
        <v>0</v>
      </c>
      <c r="AC633" s="7" t="e">
        <f t="shared" si="207"/>
        <v>#REF!</v>
      </c>
      <c r="AD633" s="7">
        <f>IF(OR(ISNA(MATCH($C633,FA,0)),$J633&lt;&gt;"CIKIS"),0,N(INDEX(F_KK,MATCH($C633,FA,0))))</f>
        <v>0</v>
      </c>
      <c r="AE633" s="7">
        <f>IF($AD633=0,0,N(#REF!)*N(INDEX(F_KLN,MATCH($C633,FA,0))))</f>
        <v>0</v>
      </c>
      <c r="AF633" s="7">
        <f>IF($AD633=0,0,N(#REF!)*N(INDEX(F_KPE,MATCH($C633,FA,0))))</f>
        <v>0</v>
      </c>
      <c r="AG633" s="7" t="e">
        <f>IF(ISNA(MATCH($C633,FA,0)),0,N(#REF!)*N(INDEX(F_MODUL,MATCH($C633,FA,0))))</f>
        <v>#REF!</v>
      </c>
      <c r="AH633" s="7" t="e">
        <f>N(#REF!)*N($I633)</f>
        <v>#REF!</v>
      </c>
      <c r="AI633" s="7" t="e">
        <f t="shared" si="208"/>
        <v>#REF!</v>
      </c>
      <c r="AJ633" s="7">
        <f t="shared" si="209"/>
        <v>0</v>
      </c>
    </row>
    <row r="634" spans="1:36" x14ac:dyDescent="0.25">
      <c r="A634" s="4" t="str">
        <f t="shared" si="203"/>
        <v>ЩСС-1, ЩСС-2, ЩСС-3 (260922 akram aulet)</v>
      </c>
      <c r="B634" s="4" t="s">
        <v>113</v>
      </c>
      <c r="C634" s="4" t="s">
        <v>113</v>
      </c>
      <c r="D634" s="4" t="s">
        <v>113</v>
      </c>
      <c r="E634" s="4" t="s">
        <v>114</v>
      </c>
      <c r="F634" s="4" t="s">
        <v>113</v>
      </c>
      <c r="G634" s="4" t="s">
        <v>258</v>
      </c>
      <c r="H634" s="5" t="e">
        <f>#REF!</f>
        <v>#REF!</v>
      </c>
      <c r="I634" s="6" t="e">
        <f t="shared" si="204"/>
        <v>#REF!</v>
      </c>
    </row>
    <row r="635" spans="1:36" x14ac:dyDescent="0.25">
      <c r="A635" s="4" t="str">
        <f t="shared" si="203"/>
        <v>ЩСС-1, ЩСС-2, ЩСС-3 (260922 akram aulet)</v>
      </c>
      <c r="B635" s="4" t="s">
        <v>115</v>
      </c>
      <c r="C635" s="4" t="s">
        <v>115</v>
      </c>
      <c r="D635" s="4" t="s">
        <v>115</v>
      </c>
      <c r="E635" s="4" t="s">
        <v>116</v>
      </c>
      <c r="F635" s="4" t="s">
        <v>115</v>
      </c>
      <c r="G635" s="4" t="s">
        <v>258</v>
      </c>
      <c r="H635" s="5" t="e">
        <f>#REF!</f>
        <v>#REF!</v>
      </c>
      <c r="I635" s="6" t="e">
        <f t="shared" si="204"/>
        <v>#REF!</v>
      </c>
    </row>
    <row r="636" spans="1:36" x14ac:dyDescent="0.25">
      <c r="A636" s="1" t="str">
        <f>D636</f>
        <v>ЩСС-4, ЩСС-5, ЩСС-6 (260922 akram aulet)</v>
      </c>
      <c r="B636" s="12"/>
      <c r="C636" s="2"/>
      <c r="D636" s="1" t="s">
        <v>338</v>
      </c>
      <c r="E636" s="1" t="s">
        <v>36</v>
      </c>
      <c r="F636" s="1" t="s">
        <v>37</v>
      </c>
      <c r="G636" s="1" t="s">
        <v>274</v>
      </c>
      <c r="I636" s="3" t="e">
        <f>#REF!</f>
        <v>#REF!</v>
      </c>
    </row>
    <row r="637" spans="1:36" x14ac:dyDescent="0.25">
      <c r="A637" s="4" t="str">
        <f t="shared" ref="A637:A651" si="210">A636</f>
        <v>ЩСС-4, ЩСС-5, ЩСС-6 (260922 akram aulet)</v>
      </c>
      <c r="B637" s="4" t="s">
        <v>39</v>
      </c>
      <c r="C637" s="4" t="s">
        <v>506</v>
      </c>
      <c r="D637" s="4" t="s">
        <v>507</v>
      </c>
      <c r="E637" s="4" t="s">
        <v>114</v>
      </c>
      <c r="F637" s="4" t="s">
        <v>591</v>
      </c>
      <c r="G637" s="4" t="s">
        <v>274</v>
      </c>
      <c r="H637" s="5" t="e">
        <f>#REF!</f>
        <v>#REF!</v>
      </c>
      <c r="I637" s="6" t="e">
        <f t="shared" ref="I637:I651" si="211">I636</f>
        <v>#REF!</v>
      </c>
      <c r="J637" s="6" t="s">
        <v>40</v>
      </c>
      <c r="K637" s="6" t="s">
        <v>195</v>
      </c>
      <c r="L637" s="7" t="e">
        <f t="shared" ref="L637:L649" si="212">IF(ISNA(MATCH($C637,FA,0)),"ARTİKÜL YOK",INDEX(FIYAT_DURUM,MATCH($C637,FA,0)))</f>
        <v>#REF!</v>
      </c>
      <c r="M637" s="7" t="s">
        <v>339</v>
      </c>
      <c r="N637" s="7" t="s">
        <v>197</v>
      </c>
      <c r="O637" s="7" t="str">
        <f>IF(OR($C637="",$C637="FID YOK"),"",IF(ISNUMBER(MATCH($C637,FA_ANA,0)),"",IF(COUNTIF($C$1:$C636,$C637)&gt;0,"",MAX($O$1:$O636)+1)))</f>
        <v/>
      </c>
      <c r="Q637" s="7"/>
      <c r="R637" s="7"/>
      <c r="S637" s="7"/>
      <c r="T637" s="7">
        <f>IF(ISNA(MATCH($C637,FA,0)),0,IF($J637="GIRIS",N(INDEX(F_INKOR,MATCH($C637,FA,0))),0))</f>
        <v>0</v>
      </c>
      <c r="U637" s="7"/>
      <c r="V637" s="7"/>
      <c r="W637" s="7"/>
      <c r="X637" s="7"/>
      <c r="Y637" s="7" t="e">
        <f>N(#REF!)*IF($E637="упак",MAX(1,IF(ISNA(MATCH($C637,FA,0)),1,N(INDEX(F_PAKET,MATCH($C637,FA,0))))),1)</f>
        <v>#REF!</v>
      </c>
      <c r="Z637" s="7" t="e">
        <f t="shared" ref="Z637:Z649" si="213">IF(ISNA(MATCH($C637,FA,0)),0,N(INDEX(F_BK,MATCH($C637,FA,0))))</f>
        <v>#REF!</v>
      </c>
      <c r="AA637" s="7" t="e">
        <f>IF(OR(ISNA(MATCH($C637,FA,0)),$J637="YEDEK",$J637="SARF"),0,N(#REF!)*N(INDEX(F_TEL,MATCH($C637,FA,0))))</f>
        <v>#REF!</v>
      </c>
      <c r="AB637" s="7" t="e">
        <f>IF(OR(ISNA(MATCH($C637,FA,0)),$J637="YEDEK",$J637="SARF"),0,N(#REF!)*N(INDEX(F_TELM,MATCH($C637,FA,0))))</f>
        <v>#REF!</v>
      </c>
      <c r="AC637" s="7" t="e">
        <f t="shared" ref="AC637:AC649" si="214">IF(ISNA(MATCH($C637,FA,0)),"",INDEX(F_UC,MATCH($C637,FA,0))&amp;"")</f>
        <v>#REF!</v>
      </c>
      <c r="AD637" s="7">
        <f>IF(OR(ISNA(MATCH($C637,FA,0)),$J637&lt;&gt;"CIKIS"),0,N(INDEX(F_KK,MATCH($C637,FA,0))))</f>
        <v>0</v>
      </c>
      <c r="AE637" s="7">
        <f>IF($AD637=0,0,N(#REF!)*N(INDEX(F_KLN,MATCH($C637,FA,0))))</f>
        <v>0</v>
      </c>
      <c r="AF637" s="7">
        <f>IF($AD637=0,0,N(#REF!)*N(INDEX(F_KPE,MATCH($C637,FA,0))))</f>
        <v>0</v>
      </c>
      <c r="AG637" s="7" t="e">
        <f>IF(ISNA(MATCH($C637,FA,0)),0,N(#REF!)*N(INDEX(F_MODUL,MATCH($C637,FA,0))))</f>
        <v>#REF!</v>
      </c>
      <c r="AH637" s="7" t="e">
        <f>N(#REF!)*N($I637)</f>
        <v>#REF!</v>
      </c>
      <c r="AI637" s="7" t="e">
        <f t="shared" ref="AI637:AI649" si="215">IF(ISNA(MATCH($K637,TIP_AD,0)),"YOK",IF(INDEX(NORM_DK,MATCH($K637,TIP_AD,0))="","BOŞ",INDEX(NORM_DK,MATCH($K637,TIP_AD,0))))</f>
        <v>#REF!</v>
      </c>
      <c r="AJ637" s="7">
        <f t="shared" ref="AJ637:AJ649" si="216">IF(ISNUMBER($AI637),$Y637*$AI637,0)</f>
        <v>0</v>
      </c>
    </row>
    <row r="638" spans="1:36" x14ac:dyDescent="0.25">
      <c r="A638" s="4" t="str">
        <f t="shared" si="210"/>
        <v>ЩСС-4, ЩСС-5, ЩСС-6 (260922 akram aulet)</v>
      </c>
      <c r="B638" s="4" t="s">
        <v>198</v>
      </c>
      <c r="C638" s="4" t="s">
        <v>380</v>
      </c>
      <c r="D638" s="4" t="s">
        <v>381</v>
      </c>
      <c r="E638" s="4" t="s">
        <v>114</v>
      </c>
      <c r="F638" s="4" t="s">
        <v>377</v>
      </c>
      <c r="G638" s="4" t="s">
        <v>274</v>
      </c>
      <c r="H638" s="5" t="e">
        <f>#REF!</f>
        <v>#REF!</v>
      </c>
      <c r="I638" s="6" t="e">
        <f t="shared" si="211"/>
        <v>#REF!</v>
      </c>
      <c r="J638" s="6" t="s">
        <v>48</v>
      </c>
      <c r="K638" s="6" t="s">
        <v>198</v>
      </c>
      <c r="L638" s="7" t="e">
        <f t="shared" si="212"/>
        <v>#REF!</v>
      </c>
      <c r="M638" s="7" t="s">
        <v>256</v>
      </c>
      <c r="N638" s="7" t="s">
        <v>200</v>
      </c>
      <c r="O638" s="7" t="str">
        <f>IF(OR($C638="",$C638="FID YOK"),"",IF(ISNUMBER(MATCH($C638,FA_ANA,0)),"",IF(COUNTIF($C$1:$C637,$C638)&gt;0,"",MAX($O$1:$O637)+1)))</f>
        <v/>
      </c>
      <c r="P638" s="8">
        <v>1</v>
      </c>
      <c r="Q638" s="7" t="e">
        <f>IF(OR($P638="",$P638="G",ISNA(MATCH($C638,FA,0))),"",IF(N(INDEX(F_G,MATCH($C638,FA,0)))&gt;0,INDEX(F_G,MATCH($C638,FA,0)),IF(N(INDEX(F_MODUL,MATCH($C638,FA,0)))&gt;0,INDEX(F_MODUL,MATCH($C638,FA,0))*MODUL_MM,"")))</f>
        <v>#REF!</v>
      </c>
      <c r="R638" s="7" t="e">
        <f>IF(OR($P638="",$P638="G",ISNA(MATCH($C638,FA,0))),"",IF(N(INDEX(F_Y,MATCH($C638,FA,0)))&gt;0,INDEX(F_Y,MATCH($C638,FA,0)),""))</f>
        <v>#REF!</v>
      </c>
      <c r="S638" s="7" t="e">
        <f>IF(OR($P638="",$P638="G",ISNA(MATCH($C638,FA,0))),"",IF(N(INDEX(F_D,MATCH($C638,FA,0)))&gt;0,INDEX(F_D,MATCH($C638,FA,0)),""))</f>
        <v>#REF!</v>
      </c>
      <c r="T638" s="7" t="e">
        <f>IF(ISNA(MATCH($C638,FA,0)),0,IF($J638="GIRIS",N(INDEX(F_INKOR,MATCH($C638,FA,0))),0))</f>
        <v>#REF!</v>
      </c>
      <c r="U638" s="7" t="e">
        <f>IF(ISNA(MATCH($B638,TIP_AD,0)),"",INDEX(TIP_KAT,MATCH($B638,TIP_AD,0))&amp;"")</f>
        <v>#REF!</v>
      </c>
      <c r="V638" s="7" t="e">
        <f>IF(NOT(ISNUMBER($P638)),"",IF($Z638=0,0,IF(ISNA(MATCH($Z638,BUK_KESIT,0)),"",IF(INDEX(BUK_ALAN,MATCH($Z638,BUK_KESIT,0))&amp;""="","",INDEX(BUK_ALAN,MATCH($Z638,BUK_KESIT,0))))))</f>
        <v>#REF!</v>
      </c>
      <c r="W638" s="7" t="e">
        <f>IF(OR(NOT(ISNUMBER($P638)),$Q638=""),"",N(#REF!)*($Q638+IF(ISNA(MATCH($B638,TIP_AD,0)),0,N(INDEX(TIP_BOSLUK,MATCH($B638,TIP_AD,0))))))</f>
        <v>#REF!</v>
      </c>
      <c r="X638" s="7" t="e">
        <f>IF(ISNUMBER($P638),($Q638="")+($R638="")+($V638="")+IF(AND($U638="KONTAKTOR",NOT(ISNA(MATCH($B638,TIP_AD,0)))),IF(INDEX(TIP_BOSLUK,MATCH($B638,TIP_AD,0))&amp;""="",1,0),0),IF($P638="K",IF($S638="",1,0),0))</f>
        <v>#REF!</v>
      </c>
      <c r="Y638" s="7" t="e">
        <f>N(#REF!)*IF($E638="упак",MAX(1,IF(ISNA(MATCH($C638,FA,0)),1,N(INDEX(F_PAKET,MATCH($C638,FA,0))))),1)</f>
        <v>#REF!</v>
      </c>
      <c r="Z638" s="7" t="e">
        <f t="shared" si="213"/>
        <v>#REF!</v>
      </c>
      <c r="AA638" s="7" t="e">
        <f>IF(OR(ISNA(MATCH($C638,FA,0)),$J638="YEDEK",$J638="SARF"),0,N(#REF!)*N(INDEX(F_TEL,MATCH($C638,FA,0))))</f>
        <v>#REF!</v>
      </c>
      <c r="AB638" s="7" t="e">
        <f>IF(OR(ISNA(MATCH($C638,FA,0)),$J638="YEDEK",$J638="SARF"),0,N(#REF!)*N(INDEX(F_TELM,MATCH($C638,FA,0))))</f>
        <v>#REF!</v>
      </c>
      <c r="AC638" s="7" t="e">
        <f t="shared" si="214"/>
        <v>#REF!</v>
      </c>
      <c r="AD638" s="7">
        <f>IF(OR(ISNA(MATCH($C638,FA,0)),$J638&lt;&gt;"CIKIS"),0,N(INDEX(F_KK,MATCH($C638,FA,0))))</f>
        <v>0</v>
      </c>
      <c r="AE638" s="7">
        <f>IF($AD638=0,0,N(#REF!)*N(INDEX(F_KLN,MATCH($C638,FA,0))))</f>
        <v>0</v>
      </c>
      <c r="AF638" s="7">
        <f>IF($AD638=0,0,N(#REF!)*N(INDEX(F_KPE,MATCH($C638,FA,0))))</f>
        <v>0</v>
      </c>
      <c r="AG638" s="7" t="e">
        <f>IF(ISNA(MATCH($C638,FA,0)),0,N(#REF!)*N(INDEX(F_MODUL,MATCH($C638,FA,0))))</f>
        <v>#REF!</v>
      </c>
      <c r="AH638" s="7" t="e">
        <f>N(#REF!)*N($I638)</f>
        <v>#REF!</v>
      </c>
      <c r="AI638" s="7" t="e">
        <f t="shared" si="215"/>
        <v>#REF!</v>
      </c>
      <c r="AJ638" s="7">
        <f t="shared" si="216"/>
        <v>0</v>
      </c>
    </row>
    <row r="639" spans="1:36" x14ac:dyDescent="0.25">
      <c r="A639" s="4" t="str">
        <f t="shared" si="210"/>
        <v>ЩСС-4, ЩСС-5, ЩСС-6 (260922 akram aulet)</v>
      </c>
      <c r="B639" s="4" t="s">
        <v>65</v>
      </c>
      <c r="C639" s="4" t="s">
        <v>384</v>
      </c>
      <c r="D639" s="4" t="s">
        <v>385</v>
      </c>
      <c r="E639" s="4" t="s">
        <v>114</v>
      </c>
      <c r="F639" s="4" t="s">
        <v>377</v>
      </c>
      <c r="G639" s="4" t="s">
        <v>274</v>
      </c>
      <c r="H639" s="5" t="e">
        <f>#REF!</f>
        <v>#REF!</v>
      </c>
      <c r="I639" s="6" t="e">
        <f t="shared" si="211"/>
        <v>#REF!</v>
      </c>
      <c r="J639" s="6" t="s">
        <v>52</v>
      </c>
      <c r="K639" s="6" t="s">
        <v>65</v>
      </c>
      <c r="L639" s="7" t="e">
        <f t="shared" si="212"/>
        <v>#REF!</v>
      </c>
      <c r="N639" s="7" t="s">
        <v>201</v>
      </c>
      <c r="O639" s="7" t="str">
        <f>IF(OR($C639="",$C639="FID YOK"),"",IF(ISNUMBER(MATCH($C639,FA_ANA,0)),"",IF(COUNTIF($C$1:$C638,$C639)&gt;0,"",MAX($O$1:$O638)+1)))</f>
        <v/>
      </c>
      <c r="P639" s="8">
        <v>1</v>
      </c>
      <c r="Q639" s="7" t="e">
        <f>IF(OR($P639="",$P639="G",ISNA(MATCH($C639,FA,0))),"",IF(N(INDEX(F_G,MATCH($C639,FA,0)))&gt;0,INDEX(F_G,MATCH($C639,FA,0)),IF(N(INDEX(F_MODUL,MATCH($C639,FA,0)))&gt;0,INDEX(F_MODUL,MATCH($C639,FA,0))*MODUL_MM,"")))</f>
        <v>#REF!</v>
      </c>
      <c r="R639" s="7" t="e">
        <f>IF(OR($P639="",$P639="G",ISNA(MATCH($C639,FA,0))),"",IF(N(INDEX(F_Y,MATCH($C639,FA,0)))&gt;0,INDEX(F_Y,MATCH($C639,FA,0)),""))</f>
        <v>#REF!</v>
      </c>
      <c r="S639" s="7" t="e">
        <f>IF(OR($P639="",$P639="G",ISNA(MATCH($C639,FA,0))),"",IF(N(INDEX(F_D,MATCH($C639,FA,0)))&gt;0,INDEX(F_D,MATCH($C639,FA,0)),""))</f>
        <v>#REF!</v>
      </c>
      <c r="T639" s="7">
        <f>IF(ISNA(MATCH($C639,FA,0)),0,IF($J639="GIRIS",N(INDEX(F_INKOR,MATCH($C639,FA,0))),0))</f>
        <v>0</v>
      </c>
      <c r="U639" s="7" t="e">
        <f>IF(ISNA(MATCH($B639,TIP_AD,0)),"",INDEX(TIP_KAT,MATCH($B639,TIP_AD,0))&amp;"")</f>
        <v>#REF!</v>
      </c>
      <c r="V639" s="7" t="e">
        <f>IF(NOT(ISNUMBER($P639)),"",IF($Z639=0,0,IF(ISNA(MATCH($Z639,BUK_KESIT,0)),"",IF(INDEX(BUK_ALAN,MATCH($Z639,BUK_KESIT,0))&amp;""="","",INDEX(BUK_ALAN,MATCH($Z639,BUK_KESIT,0))))))</f>
        <v>#REF!</v>
      </c>
      <c r="W639" s="7" t="e">
        <f>IF(OR(NOT(ISNUMBER($P639)),$Q639=""),"",N(#REF!)*($Q639+IF(ISNA(MATCH($B639,TIP_AD,0)),0,N(INDEX(TIP_BOSLUK,MATCH($B639,TIP_AD,0))))))</f>
        <v>#REF!</v>
      </c>
      <c r="X639" s="7" t="e">
        <f>IF(ISNUMBER($P639),($Q639="")+($R639="")+($V639="")+IF(AND($U639="KONTAKTOR",NOT(ISNA(MATCH($B639,TIP_AD,0)))),IF(INDEX(TIP_BOSLUK,MATCH($B639,TIP_AD,0))&amp;""="",1,0),0),IF($P639="K",IF($S639="",1,0),0))</f>
        <v>#REF!</v>
      </c>
      <c r="Y639" s="7" t="e">
        <f>N(#REF!)*IF($E639="упак",MAX(1,IF(ISNA(MATCH($C639,FA,0)),1,N(INDEX(F_PAKET,MATCH($C639,FA,0))))),1)</f>
        <v>#REF!</v>
      </c>
      <c r="Z639" s="7" t="e">
        <f t="shared" si="213"/>
        <v>#REF!</v>
      </c>
      <c r="AA639" s="7" t="e">
        <f>IF(OR(ISNA(MATCH($C639,FA,0)),$J639="YEDEK",$J639="SARF"),0,N(#REF!)*N(INDEX(F_TEL,MATCH($C639,FA,0))))</f>
        <v>#REF!</v>
      </c>
      <c r="AB639" s="7" t="e">
        <f>IF(OR(ISNA(MATCH($C639,FA,0)),$J639="YEDEK",$J639="SARF"),0,N(#REF!)*N(INDEX(F_TELM,MATCH($C639,FA,0))))</f>
        <v>#REF!</v>
      </c>
      <c r="AC639" s="7" t="e">
        <f t="shared" si="214"/>
        <v>#REF!</v>
      </c>
      <c r="AD639" s="7" t="e">
        <f>IF(OR(ISNA(MATCH($C639,FA,0)),$J639&lt;&gt;"CIKIS"),0,N(INDEX(F_KK,MATCH($C639,FA,0))))</f>
        <v>#REF!</v>
      </c>
      <c r="AE639" s="7" t="e">
        <f>IF($AD639=0,0,N(#REF!)*N(INDEX(F_KLN,MATCH($C639,FA,0))))</f>
        <v>#REF!</v>
      </c>
      <c r="AF639" s="7" t="e">
        <f>IF($AD639=0,0,N(#REF!)*N(INDEX(F_KPE,MATCH($C639,FA,0))))</f>
        <v>#REF!</v>
      </c>
      <c r="AG639" s="7" t="e">
        <f>IF(ISNA(MATCH($C639,FA,0)),0,N(#REF!)*N(INDEX(F_MODUL,MATCH($C639,FA,0))))</f>
        <v>#REF!</v>
      </c>
      <c r="AH639" s="7" t="e">
        <f>N(#REF!)*N($I639)</f>
        <v>#REF!</v>
      </c>
      <c r="AI639" s="7" t="e">
        <f t="shared" si="215"/>
        <v>#REF!</v>
      </c>
      <c r="AJ639" s="7">
        <f t="shared" si="216"/>
        <v>0</v>
      </c>
    </row>
    <row r="640" spans="1:36" x14ac:dyDescent="0.25">
      <c r="A640" s="4" t="str">
        <f t="shared" si="210"/>
        <v>ЩСС-4, ЩСС-5, ЩСС-6 (260922 akram aulet)</v>
      </c>
      <c r="B640" s="4" t="s">
        <v>213</v>
      </c>
      <c r="C640" s="4" t="s">
        <v>408</v>
      </c>
      <c r="D640" s="4" t="s">
        <v>409</v>
      </c>
      <c r="E640" s="4" t="s">
        <v>114</v>
      </c>
      <c r="F640" s="4" t="s">
        <v>377</v>
      </c>
      <c r="G640" s="4" t="s">
        <v>274</v>
      </c>
      <c r="H640" s="5" t="e">
        <f>#REF!</f>
        <v>#REF!</v>
      </c>
      <c r="I640" s="6" t="e">
        <f t="shared" si="211"/>
        <v>#REF!</v>
      </c>
      <c r="J640" s="6" t="s">
        <v>52</v>
      </c>
      <c r="K640" s="6" t="s">
        <v>213</v>
      </c>
      <c r="L640" s="7" t="e">
        <f t="shared" si="212"/>
        <v>#REF!</v>
      </c>
      <c r="N640" s="7" t="s">
        <v>217</v>
      </c>
      <c r="O640" s="7" t="str">
        <f>IF(OR($C640="",$C640="FID YOK"),"",IF(ISNUMBER(MATCH($C640,FA_ANA,0)),"",IF(COUNTIF($C$1:$C639,$C640)&gt;0,"",MAX($O$1:$O639)+1)))</f>
        <v/>
      </c>
      <c r="P640" s="8">
        <v>1</v>
      </c>
      <c r="Q640" s="7" t="e">
        <f>IF(OR($P640="",$P640="G",ISNA(MATCH($C640,FA,0))),"",IF(N(INDEX(F_G,MATCH($C640,FA,0)))&gt;0,INDEX(F_G,MATCH($C640,FA,0)),IF(N(INDEX(F_MODUL,MATCH($C640,FA,0)))&gt;0,INDEX(F_MODUL,MATCH($C640,FA,0))*MODUL_MM,"")))</f>
        <v>#REF!</v>
      </c>
      <c r="R640" s="7" t="e">
        <f>IF(OR($P640="",$P640="G",ISNA(MATCH($C640,FA,0))),"",IF(N(INDEX(F_Y,MATCH($C640,FA,0)))&gt;0,INDEX(F_Y,MATCH($C640,FA,0)),""))</f>
        <v>#REF!</v>
      </c>
      <c r="S640" s="7" t="e">
        <f>IF(OR($P640="",$P640="G",ISNA(MATCH($C640,FA,0))),"",IF(N(INDEX(F_D,MATCH($C640,FA,0)))&gt;0,INDEX(F_D,MATCH($C640,FA,0)),""))</f>
        <v>#REF!</v>
      </c>
      <c r="T640" s="7">
        <f>IF(ISNA(MATCH($C640,FA,0)),0,IF($J640="GIRIS",N(INDEX(F_INKOR,MATCH($C640,FA,0))),0))</f>
        <v>0</v>
      </c>
      <c r="U640" s="7" t="e">
        <f>IF(ISNA(MATCH($B640,TIP_AD,0)),"",INDEX(TIP_KAT,MATCH($B640,TIP_AD,0))&amp;"")</f>
        <v>#REF!</v>
      </c>
      <c r="V640" s="7" t="e">
        <f>IF(NOT(ISNUMBER($P640)),"",IF($Z640=0,0,IF(ISNA(MATCH($Z640,BUK_KESIT,0)),"",IF(INDEX(BUK_ALAN,MATCH($Z640,BUK_KESIT,0))&amp;""="","",INDEX(BUK_ALAN,MATCH($Z640,BUK_KESIT,0))))))</f>
        <v>#REF!</v>
      </c>
      <c r="W640" s="7" t="e">
        <f>IF(OR(NOT(ISNUMBER($P640)),$Q640=""),"",N(#REF!)*($Q640+IF(ISNA(MATCH($B640,TIP_AD,0)),0,N(INDEX(TIP_BOSLUK,MATCH($B640,TIP_AD,0))))))</f>
        <v>#REF!</v>
      </c>
      <c r="X640" s="7" t="e">
        <f>IF(ISNUMBER($P640),($Q640="")+($R640="")+($V640="")+IF(AND($U640="KONTAKTOR",NOT(ISNA(MATCH($B640,TIP_AD,0)))),IF(INDEX(TIP_BOSLUK,MATCH($B640,TIP_AD,0))&amp;""="",1,0),0),IF($P640="K",IF($S640="",1,0),0))</f>
        <v>#REF!</v>
      </c>
      <c r="Y640" s="7" t="e">
        <f>N(#REF!)*IF($E640="упак",MAX(1,IF(ISNA(MATCH($C640,FA,0)),1,N(INDEX(F_PAKET,MATCH($C640,FA,0))))),1)</f>
        <v>#REF!</v>
      </c>
      <c r="Z640" s="7" t="e">
        <f t="shared" si="213"/>
        <v>#REF!</v>
      </c>
      <c r="AA640" s="7" t="e">
        <f>IF(OR(ISNA(MATCH($C640,FA,0)),$J640="YEDEK",$J640="SARF"),0,N(#REF!)*N(INDEX(F_TEL,MATCH($C640,FA,0))))</f>
        <v>#REF!</v>
      </c>
      <c r="AB640" s="7" t="e">
        <f>IF(OR(ISNA(MATCH($C640,FA,0)),$J640="YEDEK",$J640="SARF"),0,N(#REF!)*N(INDEX(F_TELM,MATCH($C640,FA,0))))</f>
        <v>#REF!</v>
      </c>
      <c r="AC640" s="7" t="e">
        <f t="shared" si="214"/>
        <v>#REF!</v>
      </c>
      <c r="AD640" s="7" t="e">
        <f>IF(OR(ISNA(MATCH($C640,FA,0)),$J640&lt;&gt;"CIKIS"),0,N(INDEX(F_KK,MATCH($C640,FA,0))))</f>
        <v>#REF!</v>
      </c>
      <c r="AE640" s="7" t="e">
        <f>IF($AD640=0,0,N(#REF!)*N(INDEX(F_KLN,MATCH($C640,FA,0))))</f>
        <v>#REF!</v>
      </c>
      <c r="AF640" s="7" t="e">
        <f>IF($AD640=0,0,N(#REF!)*N(INDEX(F_KPE,MATCH($C640,FA,0))))</f>
        <v>#REF!</v>
      </c>
      <c r="AG640" s="7" t="e">
        <f>IF(ISNA(MATCH($C640,FA,0)),0,N(#REF!)*N(INDEX(F_MODUL,MATCH($C640,FA,0))))</f>
        <v>#REF!</v>
      </c>
      <c r="AH640" s="7" t="e">
        <f>N(#REF!)*N($I640)</f>
        <v>#REF!</v>
      </c>
      <c r="AI640" s="7" t="e">
        <f t="shared" si="215"/>
        <v>#REF!</v>
      </c>
      <c r="AJ640" s="7">
        <f t="shared" si="216"/>
        <v>0</v>
      </c>
    </row>
    <row r="641" spans="1:36" x14ac:dyDescent="0.25">
      <c r="A641" s="4" t="str">
        <f t="shared" si="210"/>
        <v>ЩСС-4, ЩСС-5, ЩСС-6 (260922 akram aulet)</v>
      </c>
      <c r="B641" s="4" t="s">
        <v>202</v>
      </c>
      <c r="C641" s="4" t="s">
        <v>575</v>
      </c>
      <c r="D641" s="4" t="s">
        <v>576</v>
      </c>
      <c r="E641" s="4" t="s">
        <v>114</v>
      </c>
      <c r="F641" s="4" t="s">
        <v>486</v>
      </c>
      <c r="G641" s="4" t="s">
        <v>274</v>
      </c>
      <c r="H641" s="5" t="e">
        <f>#REF!</f>
        <v>#REF!</v>
      </c>
      <c r="I641" s="6" t="e">
        <f t="shared" si="211"/>
        <v>#REF!</v>
      </c>
      <c r="J641" s="6" t="s">
        <v>84</v>
      </c>
      <c r="K641" s="6" t="s">
        <v>202</v>
      </c>
      <c r="L641" s="7" t="e">
        <f t="shared" si="212"/>
        <v>#REF!</v>
      </c>
      <c r="M641" s="7" t="s">
        <v>203</v>
      </c>
      <c r="O641" s="7" t="str">
        <f>IF(OR($C641="",$C641="FID YOK"),"",IF(ISNUMBER(MATCH($C641,FA_ANA,0)),"",IF(COUNTIF($C$1:$C640,$C641)&gt;0,"",MAX($O$1:$O640)+1)))</f>
        <v/>
      </c>
      <c r="T641" s="7">
        <f>IF(ISNA(MATCH($C641,FA,0)),0,IF($J641="GIRIS",N(INDEX(F_INKOR,MATCH($C641,FA,0))),0))</f>
        <v>0</v>
      </c>
      <c r="Y641" s="7" t="e">
        <f>N(#REF!)*IF($E641="упак",MAX(1,IF(ISNA(MATCH($C641,FA,0)),1,N(INDEX(F_PAKET,MATCH($C641,FA,0))))),1)</f>
        <v>#REF!</v>
      </c>
      <c r="Z641" s="7" t="e">
        <f t="shared" si="213"/>
        <v>#REF!</v>
      </c>
      <c r="AA641" s="7">
        <f>IF(OR(ISNA(MATCH($C641,FA,0)),$J641="YEDEK",$J641="SARF"),0,N(#REF!)*N(INDEX(F_TEL,MATCH($C641,FA,0))))</f>
        <v>0</v>
      </c>
      <c r="AB641" s="7">
        <f>IF(OR(ISNA(MATCH($C641,FA,0)),$J641="YEDEK",$J641="SARF"),0,N(#REF!)*N(INDEX(F_TELM,MATCH($C641,FA,0))))</f>
        <v>0</v>
      </c>
      <c r="AC641" s="7" t="e">
        <f t="shared" si="214"/>
        <v>#REF!</v>
      </c>
      <c r="AD641" s="7">
        <f>IF(OR(ISNA(MATCH($C641,FA,0)),$J641&lt;&gt;"CIKIS"),0,N(INDEX(F_KK,MATCH($C641,FA,0))))</f>
        <v>0</v>
      </c>
      <c r="AE641" s="7">
        <f>IF($AD641=0,0,N(#REF!)*N(INDEX(F_KLN,MATCH($C641,FA,0))))</f>
        <v>0</v>
      </c>
      <c r="AF641" s="7">
        <f>IF($AD641=0,0,N(#REF!)*N(INDEX(F_KPE,MATCH($C641,FA,0))))</f>
        <v>0</v>
      </c>
      <c r="AG641" s="7" t="e">
        <f>IF(ISNA(MATCH($C641,FA,0)),0,N(#REF!)*N(INDEX(F_MODUL,MATCH($C641,FA,0))))</f>
        <v>#REF!</v>
      </c>
      <c r="AH641" s="7" t="e">
        <f>N(#REF!)*N($I641)</f>
        <v>#REF!</v>
      </c>
      <c r="AI641" s="7" t="e">
        <f t="shared" si="215"/>
        <v>#REF!</v>
      </c>
      <c r="AJ641" s="7">
        <f t="shared" si="216"/>
        <v>0</v>
      </c>
    </row>
    <row r="642" spans="1:36" x14ac:dyDescent="0.25">
      <c r="A642" s="4" t="str">
        <f t="shared" si="210"/>
        <v>ЩСС-4, ЩСС-5, ЩСС-6 (260922 akram aulet)</v>
      </c>
      <c r="B642" s="4" t="s">
        <v>202</v>
      </c>
      <c r="C642" s="4" t="s">
        <v>577</v>
      </c>
      <c r="D642" s="4" t="s">
        <v>578</v>
      </c>
      <c r="E642" s="4" t="s">
        <v>114</v>
      </c>
      <c r="F642" s="4" t="s">
        <v>486</v>
      </c>
      <c r="G642" s="4" t="s">
        <v>274</v>
      </c>
      <c r="H642" s="5" t="e">
        <f>#REF!</f>
        <v>#REF!</v>
      </c>
      <c r="I642" s="6" t="e">
        <f t="shared" si="211"/>
        <v>#REF!</v>
      </c>
      <c r="J642" s="6" t="s">
        <v>84</v>
      </c>
      <c r="K642" s="6" t="s">
        <v>202</v>
      </c>
      <c r="L642" s="7" t="e">
        <f t="shared" si="212"/>
        <v>#REF!</v>
      </c>
      <c r="M642" s="7" t="s">
        <v>204</v>
      </c>
      <c r="O642" s="7" t="str">
        <f>IF(OR($C642="",$C642="FID YOK"),"",IF(ISNUMBER(MATCH($C642,FA_ANA,0)),"",IF(COUNTIF($C$1:$C641,$C642)&gt;0,"",MAX($O$1:$O641)+1)))</f>
        <v/>
      </c>
      <c r="T642" s="7">
        <f>IF(ISNA(MATCH($C642,FA,0)),0,IF($J642="GIRIS",N(INDEX(F_INKOR,MATCH($C642,FA,0))),0))</f>
        <v>0</v>
      </c>
      <c r="Y642" s="7" t="e">
        <f>N(#REF!)*IF($E642="упак",MAX(1,IF(ISNA(MATCH($C642,FA,0)),1,N(INDEX(F_PAKET,MATCH($C642,FA,0))))),1)</f>
        <v>#REF!</v>
      </c>
      <c r="Z642" s="7" t="e">
        <f t="shared" si="213"/>
        <v>#REF!</v>
      </c>
      <c r="AA642" s="7">
        <f>IF(OR(ISNA(MATCH($C642,FA,0)),$J642="YEDEK",$J642="SARF"),0,N(#REF!)*N(INDEX(F_TEL,MATCH($C642,FA,0))))</f>
        <v>0</v>
      </c>
      <c r="AB642" s="7">
        <f>IF(OR(ISNA(MATCH($C642,FA,0)),$J642="YEDEK",$J642="SARF"),0,N(#REF!)*N(INDEX(F_TELM,MATCH($C642,FA,0))))</f>
        <v>0</v>
      </c>
      <c r="AC642" s="7" t="e">
        <f t="shared" si="214"/>
        <v>#REF!</v>
      </c>
      <c r="AD642" s="7">
        <f>IF(OR(ISNA(MATCH($C642,FA,0)),$J642&lt;&gt;"CIKIS"),0,N(INDEX(F_KK,MATCH($C642,FA,0))))</f>
        <v>0</v>
      </c>
      <c r="AE642" s="7">
        <f>IF($AD642=0,0,N(#REF!)*N(INDEX(F_KLN,MATCH($C642,FA,0))))</f>
        <v>0</v>
      </c>
      <c r="AF642" s="7">
        <f>IF($AD642=0,0,N(#REF!)*N(INDEX(F_KPE,MATCH($C642,FA,0))))</f>
        <v>0</v>
      </c>
      <c r="AG642" s="7" t="e">
        <f>IF(ISNA(MATCH($C642,FA,0)),0,N(#REF!)*N(INDEX(F_MODUL,MATCH($C642,FA,0))))</f>
        <v>#REF!</v>
      </c>
      <c r="AH642" s="7" t="e">
        <f>N(#REF!)*N($I642)</f>
        <v>#REF!</v>
      </c>
      <c r="AI642" s="7" t="e">
        <f t="shared" si="215"/>
        <v>#REF!</v>
      </c>
      <c r="AJ642" s="7">
        <f t="shared" si="216"/>
        <v>0</v>
      </c>
    </row>
    <row r="643" spans="1:36" x14ac:dyDescent="0.25">
      <c r="A643" s="4" t="str">
        <f t="shared" si="210"/>
        <v>ЩСС-4, ЩСС-5, ЩСС-6 (260922 akram aulet)</v>
      </c>
      <c r="B643" s="4" t="s">
        <v>92</v>
      </c>
      <c r="C643" s="4" t="s">
        <v>523</v>
      </c>
      <c r="D643" s="4" t="s">
        <v>524</v>
      </c>
      <c r="E643" s="4" t="s">
        <v>520</v>
      </c>
      <c r="F643" s="4" t="s">
        <v>521</v>
      </c>
      <c r="G643" s="4" t="s">
        <v>274</v>
      </c>
      <c r="H643" s="5" t="e">
        <f>#REF!</f>
        <v>#REF!</v>
      </c>
      <c r="I643" s="6" t="e">
        <f t="shared" si="211"/>
        <v>#REF!</v>
      </c>
      <c r="J643" s="6" t="s">
        <v>84</v>
      </c>
      <c r="K643" s="6" t="s">
        <v>92</v>
      </c>
      <c r="L643" s="7" t="e">
        <f t="shared" si="212"/>
        <v>#REF!</v>
      </c>
      <c r="M643" s="7" t="s">
        <v>93</v>
      </c>
      <c r="O643" s="7" t="str">
        <f>IF(OR($C643="",$C643="FID YOK"),"",IF(ISNUMBER(MATCH($C643,FA_ANA,0)),"",IF(COUNTIF($C$1:$C642,$C643)&gt;0,"",MAX($O$1:$O642)+1)))</f>
        <v/>
      </c>
      <c r="T643" s="7">
        <f>IF(ISNA(MATCH($C643,FA,0)),0,IF($J643="GIRIS",N(INDEX(F_INKOR,MATCH($C643,FA,0))),0))</f>
        <v>0</v>
      </c>
      <c r="Y643" s="7" t="e">
        <f>N(#REF!)*IF($E643="упак",MAX(1,IF(ISNA(MATCH($C643,FA,0)),1,N(INDEX(F_PAKET,MATCH($C643,FA,0))))),1)</f>
        <v>#REF!</v>
      </c>
      <c r="Z643" s="7" t="e">
        <f t="shared" si="213"/>
        <v>#REF!</v>
      </c>
      <c r="AA643" s="7">
        <f>IF(OR(ISNA(MATCH($C643,FA,0)),$J643="YEDEK",$J643="SARF"),0,N(#REF!)*N(INDEX(F_TEL,MATCH($C643,FA,0))))</f>
        <v>0</v>
      </c>
      <c r="AB643" s="7">
        <f>IF(OR(ISNA(MATCH($C643,FA,0)),$J643="YEDEK",$J643="SARF"),0,N(#REF!)*N(INDEX(F_TELM,MATCH($C643,FA,0))))</f>
        <v>0</v>
      </c>
      <c r="AC643" s="7" t="e">
        <f t="shared" si="214"/>
        <v>#REF!</v>
      </c>
      <c r="AD643" s="7">
        <f>IF(OR(ISNA(MATCH($C643,FA,0)),$J643&lt;&gt;"CIKIS"),0,N(INDEX(F_KK,MATCH($C643,FA,0))))</f>
        <v>0</v>
      </c>
      <c r="AE643" s="7">
        <f>IF($AD643=0,0,N(#REF!)*N(INDEX(F_KLN,MATCH($C643,FA,0))))</f>
        <v>0</v>
      </c>
      <c r="AF643" s="7">
        <f>IF($AD643=0,0,N(#REF!)*N(INDEX(F_KPE,MATCH($C643,FA,0))))</f>
        <v>0</v>
      </c>
      <c r="AG643" s="7" t="e">
        <f>IF(ISNA(MATCH($C643,FA,0)),0,N(#REF!)*N(INDEX(F_MODUL,MATCH($C643,FA,0))))</f>
        <v>#REF!</v>
      </c>
      <c r="AH643" s="7" t="e">
        <f>N(#REF!)*N($I643)</f>
        <v>#REF!</v>
      </c>
      <c r="AI643" s="7" t="e">
        <f t="shared" si="215"/>
        <v>#REF!</v>
      </c>
      <c r="AJ643" s="7">
        <f t="shared" si="216"/>
        <v>0</v>
      </c>
    </row>
    <row r="644" spans="1:36" x14ac:dyDescent="0.25">
      <c r="A644" s="4" t="str">
        <f t="shared" si="210"/>
        <v>ЩСС-4, ЩСС-5, ЩСС-6 (260922 akram aulet)</v>
      </c>
      <c r="B644" s="4" t="s">
        <v>92</v>
      </c>
      <c r="C644" s="4" t="s">
        <v>535</v>
      </c>
      <c r="D644" s="4" t="s">
        <v>536</v>
      </c>
      <c r="E644" s="4" t="s">
        <v>520</v>
      </c>
      <c r="F644" s="4" t="s">
        <v>521</v>
      </c>
      <c r="G644" s="4" t="s">
        <v>274</v>
      </c>
      <c r="H644" s="5" t="e">
        <f>#REF!</f>
        <v>#REF!</v>
      </c>
      <c r="I644" s="6" t="e">
        <f t="shared" si="211"/>
        <v>#REF!</v>
      </c>
      <c r="J644" s="6" t="s">
        <v>84</v>
      </c>
      <c r="K644" s="6" t="s">
        <v>92</v>
      </c>
      <c r="L644" s="7" t="e">
        <f t="shared" si="212"/>
        <v>#REF!</v>
      </c>
      <c r="M644" s="7" t="s">
        <v>130</v>
      </c>
      <c r="O644" s="7" t="str">
        <f>IF(OR($C644="",$C644="FID YOK"),"",IF(ISNUMBER(MATCH($C644,FA_ANA,0)),"",IF(COUNTIF($C$1:$C643,$C644)&gt;0,"",MAX($O$1:$O643)+1)))</f>
        <v/>
      </c>
      <c r="T644" s="7">
        <f>IF(ISNA(MATCH($C644,FA,0)),0,IF($J644="GIRIS",N(INDEX(F_INKOR,MATCH($C644,FA,0))),0))</f>
        <v>0</v>
      </c>
      <c r="Y644" s="7" t="e">
        <f>N(#REF!)*IF($E644="упак",MAX(1,IF(ISNA(MATCH($C644,FA,0)),1,N(INDEX(F_PAKET,MATCH($C644,FA,0))))),1)</f>
        <v>#REF!</v>
      </c>
      <c r="Z644" s="7" t="e">
        <f t="shared" si="213"/>
        <v>#REF!</v>
      </c>
      <c r="AA644" s="7">
        <f>IF(OR(ISNA(MATCH($C644,FA,0)),$J644="YEDEK",$J644="SARF"),0,N(#REF!)*N(INDEX(F_TEL,MATCH($C644,FA,0))))</f>
        <v>0</v>
      </c>
      <c r="AB644" s="7">
        <f>IF(OR(ISNA(MATCH($C644,FA,0)),$J644="YEDEK",$J644="SARF"),0,N(#REF!)*N(INDEX(F_TELM,MATCH($C644,FA,0))))</f>
        <v>0</v>
      </c>
      <c r="AC644" s="7" t="e">
        <f t="shared" si="214"/>
        <v>#REF!</v>
      </c>
      <c r="AD644" s="7">
        <f>IF(OR(ISNA(MATCH($C644,FA,0)),$J644&lt;&gt;"CIKIS"),0,N(INDEX(F_KK,MATCH($C644,FA,0))))</f>
        <v>0</v>
      </c>
      <c r="AE644" s="7">
        <f>IF($AD644=0,0,N(#REF!)*N(INDEX(F_KLN,MATCH($C644,FA,0))))</f>
        <v>0</v>
      </c>
      <c r="AF644" s="7">
        <f>IF($AD644=0,0,N(#REF!)*N(INDEX(F_KPE,MATCH($C644,FA,0))))</f>
        <v>0</v>
      </c>
      <c r="AG644" s="7" t="e">
        <f>IF(ISNA(MATCH($C644,FA,0)),0,N(#REF!)*N(INDEX(F_MODUL,MATCH($C644,FA,0))))</f>
        <v>#REF!</v>
      </c>
      <c r="AH644" s="7" t="e">
        <f>N(#REF!)*N($I644)</f>
        <v>#REF!</v>
      </c>
      <c r="AI644" s="7" t="e">
        <f t="shared" si="215"/>
        <v>#REF!</v>
      </c>
      <c r="AJ644" s="7">
        <f t="shared" si="216"/>
        <v>0</v>
      </c>
    </row>
    <row r="645" spans="1:36" x14ac:dyDescent="0.25">
      <c r="A645" s="4" t="str">
        <f t="shared" si="210"/>
        <v>ЩСС-4, ЩСС-5, ЩСС-6 (260922 akram aulet)</v>
      </c>
      <c r="B645" s="4" t="s">
        <v>92</v>
      </c>
      <c r="C645" s="4" t="s">
        <v>535</v>
      </c>
      <c r="D645" s="4" t="s">
        <v>536</v>
      </c>
      <c r="E645" s="4" t="s">
        <v>520</v>
      </c>
      <c r="F645" s="4" t="s">
        <v>521</v>
      </c>
      <c r="G645" s="4" t="s">
        <v>274</v>
      </c>
      <c r="H645" s="5" t="e">
        <f>#REF!</f>
        <v>#REF!</v>
      </c>
      <c r="I645" s="6" t="e">
        <f t="shared" si="211"/>
        <v>#REF!</v>
      </c>
      <c r="J645" s="6" t="s">
        <v>84</v>
      </c>
      <c r="K645" s="6" t="s">
        <v>92</v>
      </c>
      <c r="L645" s="7" t="e">
        <f t="shared" si="212"/>
        <v>#REF!</v>
      </c>
      <c r="M645" s="7" t="s">
        <v>100</v>
      </c>
      <c r="O645" s="7" t="str">
        <f>IF(OR($C645="",$C645="FID YOK"),"",IF(ISNUMBER(MATCH($C645,FA_ANA,0)),"",IF(COUNTIF($C$1:$C644,$C645)&gt;0,"",MAX($O$1:$O644)+1)))</f>
        <v/>
      </c>
      <c r="T645" s="7">
        <f>IF(ISNA(MATCH($C645,FA,0)),0,IF($J645="GIRIS",N(INDEX(F_INKOR,MATCH($C645,FA,0))),0))</f>
        <v>0</v>
      </c>
      <c r="Y645" s="7" t="e">
        <f>N(#REF!)*IF($E645="упак",MAX(1,IF(ISNA(MATCH($C645,FA,0)),1,N(INDEX(F_PAKET,MATCH($C645,FA,0))))),1)</f>
        <v>#REF!</v>
      </c>
      <c r="Z645" s="7" t="e">
        <f t="shared" si="213"/>
        <v>#REF!</v>
      </c>
      <c r="AA645" s="7">
        <f>IF(OR(ISNA(MATCH($C645,FA,0)),$J645="YEDEK",$J645="SARF"),0,N(#REF!)*N(INDEX(F_TEL,MATCH($C645,FA,0))))</f>
        <v>0</v>
      </c>
      <c r="AB645" s="7">
        <f>IF(OR(ISNA(MATCH($C645,FA,0)),$J645="YEDEK",$J645="SARF"),0,N(#REF!)*N(INDEX(F_TELM,MATCH($C645,FA,0))))</f>
        <v>0</v>
      </c>
      <c r="AC645" s="7" t="e">
        <f t="shared" si="214"/>
        <v>#REF!</v>
      </c>
      <c r="AD645" s="7">
        <f>IF(OR(ISNA(MATCH($C645,FA,0)),$J645&lt;&gt;"CIKIS"),0,N(INDEX(F_KK,MATCH($C645,FA,0))))</f>
        <v>0</v>
      </c>
      <c r="AE645" s="7">
        <f>IF($AD645=0,0,N(#REF!)*N(INDEX(F_KLN,MATCH($C645,FA,0))))</f>
        <v>0</v>
      </c>
      <c r="AF645" s="7">
        <f>IF($AD645=0,0,N(#REF!)*N(INDEX(F_KPE,MATCH($C645,FA,0))))</f>
        <v>0</v>
      </c>
      <c r="AG645" s="7" t="e">
        <f>IF(ISNA(MATCH($C645,FA,0)),0,N(#REF!)*N(INDEX(F_MODUL,MATCH($C645,FA,0))))</f>
        <v>#REF!</v>
      </c>
      <c r="AH645" s="7" t="e">
        <f>N(#REF!)*N($I645)</f>
        <v>#REF!</v>
      </c>
      <c r="AI645" s="7" t="e">
        <f t="shared" si="215"/>
        <v>#REF!</v>
      </c>
      <c r="AJ645" s="7">
        <f t="shared" si="216"/>
        <v>0</v>
      </c>
    </row>
    <row r="646" spans="1:36" x14ac:dyDescent="0.25">
      <c r="A646" s="4" t="str">
        <f t="shared" si="210"/>
        <v>ЩСС-4, ЩСС-5, ЩСС-6 (260922 akram aulet)</v>
      </c>
      <c r="B646" s="4" t="s">
        <v>101</v>
      </c>
      <c r="C646" s="4" t="s">
        <v>525</v>
      </c>
      <c r="D646" s="4" t="s">
        <v>526</v>
      </c>
      <c r="E646" s="4" t="s">
        <v>522</v>
      </c>
      <c r="F646" s="4" t="s">
        <v>486</v>
      </c>
      <c r="G646" s="4" t="s">
        <v>274</v>
      </c>
      <c r="H646" s="5" t="e">
        <f>#REF!</f>
        <v>#REF!</v>
      </c>
      <c r="I646" s="6" t="e">
        <f t="shared" si="211"/>
        <v>#REF!</v>
      </c>
      <c r="J646" s="6" t="s">
        <v>84</v>
      </c>
      <c r="K646" s="6" t="s">
        <v>101</v>
      </c>
      <c r="L646" s="7" t="e">
        <f t="shared" si="212"/>
        <v>#REF!</v>
      </c>
      <c r="M646" s="7" t="s">
        <v>102</v>
      </c>
      <c r="O646" s="7" t="str">
        <f>IF(OR($C646="",$C646="FID YOK"),"",IF(ISNUMBER(MATCH($C646,FA_ANA,0)),"",IF(COUNTIF($C$1:$C645,$C646)&gt;0,"",MAX($O$1:$O645)+1)))</f>
        <v/>
      </c>
      <c r="T646" s="7">
        <f>IF(ISNA(MATCH($C646,FA,0)),0,IF($J646="GIRIS",N(INDEX(F_INKOR,MATCH($C646,FA,0))),0))</f>
        <v>0</v>
      </c>
      <c r="Y646" s="7" t="e">
        <f>N(#REF!)*IF($E646="упак",MAX(1,IF(ISNA(MATCH($C646,FA,0)),1,N(INDEX(F_PAKET,MATCH($C646,FA,0))))),1)</f>
        <v>#REF!</v>
      </c>
      <c r="Z646" s="7" t="e">
        <f t="shared" si="213"/>
        <v>#REF!</v>
      </c>
      <c r="AA646" s="7">
        <f>IF(OR(ISNA(MATCH($C646,FA,0)),$J646="YEDEK",$J646="SARF"),0,N(#REF!)*N(INDEX(F_TEL,MATCH($C646,FA,0))))</f>
        <v>0</v>
      </c>
      <c r="AB646" s="7">
        <f>IF(OR(ISNA(MATCH($C646,FA,0)),$J646="YEDEK",$J646="SARF"),0,N(#REF!)*N(INDEX(F_TELM,MATCH($C646,FA,0))))</f>
        <v>0</v>
      </c>
      <c r="AC646" s="7" t="e">
        <f t="shared" si="214"/>
        <v>#REF!</v>
      </c>
      <c r="AD646" s="7">
        <f>IF(OR(ISNA(MATCH($C646,FA,0)),$J646&lt;&gt;"CIKIS"),0,N(INDEX(F_KK,MATCH($C646,FA,0))))</f>
        <v>0</v>
      </c>
      <c r="AE646" s="7">
        <f>IF($AD646=0,0,N(#REF!)*N(INDEX(F_KLN,MATCH($C646,FA,0))))</f>
        <v>0</v>
      </c>
      <c r="AF646" s="7">
        <f>IF($AD646=0,0,N(#REF!)*N(INDEX(F_KPE,MATCH($C646,FA,0))))</f>
        <v>0</v>
      </c>
      <c r="AG646" s="7" t="e">
        <f>IF(ISNA(MATCH($C646,FA,0)),0,N(#REF!)*N(INDEX(F_MODUL,MATCH($C646,FA,0))))</f>
        <v>#REF!</v>
      </c>
      <c r="AH646" s="7" t="e">
        <f>N(#REF!)*N($I646)</f>
        <v>#REF!</v>
      </c>
      <c r="AI646" s="7" t="e">
        <f t="shared" si="215"/>
        <v>#REF!</v>
      </c>
      <c r="AJ646" s="7">
        <f t="shared" si="216"/>
        <v>0</v>
      </c>
    </row>
    <row r="647" spans="1:36" x14ac:dyDescent="0.25">
      <c r="A647" s="4" t="str">
        <f t="shared" si="210"/>
        <v>ЩСС-4, ЩСС-5, ЩСС-6 (260922 akram aulet)</v>
      </c>
      <c r="B647" s="4" t="s">
        <v>101</v>
      </c>
      <c r="C647" s="4" t="s">
        <v>537</v>
      </c>
      <c r="D647" s="4" t="s">
        <v>538</v>
      </c>
      <c r="E647" s="4" t="s">
        <v>522</v>
      </c>
      <c r="F647" s="4" t="s">
        <v>486</v>
      </c>
      <c r="G647" s="4" t="s">
        <v>274</v>
      </c>
      <c r="H647" s="5" t="e">
        <f>#REF!</f>
        <v>#REF!</v>
      </c>
      <c r="I647" s="6" t="e">
        <f t="shared" si="211"/>
        <v>#REF!</v>
      </c>
      <c r="J647" s="6" t="s">
        <v>84</v>
      </c>
      <c r="K647" s="6" t="s">
        <v>101</v>
      </c>
      <c r="L647" s="7" t="e">
        <f t="shared" si="212"/>
        <v>#REF!</v>
      </c>
      <c r="M647" s="7" t="s">
        <v>205</v>
      </c>
      <c r="O647" s="7" t="str">
        <f>IF(OR($C647="",$C647="FID YOK"),"",IF(ISNUMBER(MATCH($C647,FA_ANA,0)),"",IF(COUNTIF($C$1:$C646,$C647)&gt;0,"",MAX($O$1:$O646)+1)))</f>
        <v/>
      </c>
      <c r="T647" s="7">
        <f>IF(ISNA(MATCH($C647,FA,0)),0,IF($J647="GIRIS",N(INDEX(F_INKOR,MATCH($C647,FA,0))),0))</f>
        <v>0</v>
      </c>
      <c r="Y647" s="7" t="e">
        <f>N(#REF!)*IF($E647="упак",MAX(1,IF(ISNA(MATCH($C647,FA,0)),1,N(INDEX(F_PAKET,MATCH($C647,FA,0))))),1)</f>
        <v>#REF!</v>
      </c>
      <c r="Z647" s="7" t="e">
        <f t="shared" si="213"/>
        <v>#REF!</v>
      </c>
      <c r="AA647" s="7">
        <f>IF(OR(ISNA(MATCH($C647,FA,0)),$J647="YEDEK",$J647="SARF"),0,N(#REF!)*N(INDEX(F_TEL,MATCH($C647,FA,0))))</f>
        <v>0</v>
      </c>
      <c r="AB647" s="7">
        <f>IF(OR(ISNA(MATCH($C647,FA,0)),$J647="YEDEK",$J647="SARF"),0,N(#REF!)*N(INDEX(F_TELM,MATCH($C647,FA,0))))</f>
        <v>0</v>
      </c>
      <c r="AC647" s="7" t="e">
        <f t="shared" si="214"/>
        <v>#REF!</v>
      </c>
      <c r="AD647" s="7">
        <f>IF(OR(ISNA(MATCH($C647,FA,0)),$J647&lt;&gt;"CIKIS"),0,N(INDEX(F_KK,MATCH($C647,FA,0))))</f>
        <v>0</v>
      </c>
      <c r="AE647" s="7">
        <f>IF($AD647=0,0,N(#REF!)*N(INDEX(F_KLN,MATCH($C647,FA,0))))</f>
        <v>0</v>
      </c>
      <c r="AF647" s="7">
        <f>IF($AD647=0,0,N(#REF!)*N(INDEX(F_KPE,MATCH($C647,FA,0))))</f>
        <v>0</v>
      </c>
      <c r="AG647" s="7" t="e">
        <f>IF(ISNA(MATCH($C647,FA,0)),0,N(#REF!)*N(INDEX(F_MODUL,MATCH($C647,FA,0))))</f>
        <v>#REF!</v>
      </c>
      <c r="AH647" s="7" t="e">
        <f>N(#REF!)*N($I647)</f>
        <v>#REF!</v>
      </c>
      <c r="AI647" s="7" t="e">
        <f t="shared" si="215"/>
        <v>#REF!</v>
      </c>
      <c r="AJ647" s="7">
        <f t="shared" si="216"/>
        <v>0</v>
      </c>
    </row>
    <row r="648" spans="1:36" x14ac:dyDescent="0.25">
      <c r="A648" s="4" t="str">
        <f t="shared" si="210"/>
        <v>ЩСС-4, ЩСС-5, ЩСС-6 (260922 akram aulet)</v>
      </c>
      <c r="B648" s="4" t="s">
        <v>105</v>
      </c>
      <c r="C648" s="4" t="s">
        <v>539</v>
      </c>
      <c r="D648" s="4" t="s">
        <v>540</v>
      </c>
      <c r="E648" s="4" t="s">
        <v>114</v>
      </c>
      <c r="F648" s="4" t="s">
        <v>486</v>
      </c>
      <c r="G648" s="4" t="s">
        <v>274</v>
      </c>
      <c r="H648" s="5" t="e">
        <f>#REF!</f>
        <v>#REF!</v>
      </c>
      <c r="I648" s="6" t="e">
        <f t="shared" si="211"/>
        <v>#REF!</v>
      </c>
      <c r="J648" s="6" t="s">
        <v>84</v>
      </c>
      <c r="K648" s="6" t="s">
        <v>105</v>
      </c>
      <c r="L648" s="7" t="e">
        <f t="shared" si="212"/>
        <v>#REF!</v>
      </c>
      <c r="M648" s="7" t="s">
        <v>110</v>
      </c>
      <c r="O648" s="7" t="str">
        <f>IF(OR($C648="",$C648="FID YOK"),"",IF(ISNUMBER(MATCH($C648,FA_ANA,0)),"",IF(COUNTIF($C$1:$C647,$C648)&gt;0,"",MAX($O$1:$O647)+1)))</f>
        <v/>
      </c>
      <c r="T648" s="7">
        <f>IF(ISNA(MATCH($C648,FA,0)),0,IF($J648="GIRIS",N(INDEX(F_INKOR,MATCH($C648,FA,0))),0))</f>
        <v>0</v>
      </c>
      <c r="Y648" s="7" t="e">
        <f>N(#REF!)*IF($E648="упак",MAX(1,IF(ISNA(MATCH($C648,FA,0)),1,N(INDEX(F_PAKET,MATCH($C648,FA,0))))),1)</f>
        <v>#REF!</v>
      </c>
      <c r="Z648" s="7" t="e">
        <f t="shared" si="213"/>
        <v>#REF!</v>
      </c>
      <c r="AA648" s="7">
        <f>IF(OR(ISNA(MATCH($C648,FA,0)),$J648="YEDEK",$J648="SARF"),0,N(#REF!)*N(INDEX(F_TEL,MATCH($C648,FA,0))))</f>
        <v>0</v>
      </c>
      <c r="AB648" s="7">
        <f>IF(OR(ISNA(MATCH($C648,FA,0)),$J648="YEDEK",$J648="SARF"),0,N(#REF!)*N(INDEX(F_TELM,MATCH($C648,FA,0))))</f>
        <v>0</v>
      </c>
      <c r="AC648" s="7" t="e">
        <f t="shared" si="214"/>
        <v>#REF!</v>
      </c>
      <c r="AD648" s="7">
        <f>IF(OR(ISNA(MATCH($C648,FA,0)),$J648&lt;&gt;"CIKIS"),0,N(INDEX(F_KK,MATCH($C648,FA,0))))</f>
        <v>0</v>
      </c>
      <c r="AE648" s="7">
        <f>IF($AD648=0,0,N(#REF!)*N(INDEX(F_KLN,MATCH($C648,FA,0))))</f>
        <v>0</v>
      </c>
      <c r="AF648" s="7">
        <f>IF($AD648=0,0,N(#REF!)*N(INDEX(F_KPE,MATCH($C648,FA,0))))</f>
        <v>0</v>
      </c>
      <c r="AG648" s="7" t="e">
        <f>IF(ISNA(MATCH($C648,FA,0)),0,N(#REF!)*N(INDEX(F_MODUL,MATCH($C648,FA,0))))</f>
        <v>#REF!</v>
      </c>
      <c r="AH648" s="7" t="e">
        <f>N(#REF!)*N($I648)</f>
        <v>#REF!</v>
      </c>
      <c r="AI648" s="7" t="e">
        <f t="shared" si="215"/>
        <v>#REF!</v>
      </c>
      <c r="AJ648" s="7">
        <f t="shared" si="216"/>
        <v>0</v>
      </c>
    </row>
    <row r="649" spans="1:36" x14ac:dyDescent="0.25">
      <c r="A649" s="4" t="str">
        <f t="shared" si="210"/>
        <v>ЩСС-4, ЩСС-5, ЩСС-6 (260922 akram aulet)</v>
      </c>
      <c r="B649" s="4" t="s">
        <v>111</v>
      </c>
      <c r="C649" s="4" t="s">
        <v>571</v>
      </c>
      <c r="D649" s="4" t="s">
        <v>572</v>
      </c>
      <c r="E649" s="4" t="s">
        <v>522</v>
      </c>
      <c r="F649" s="4" t="s">
        <v>486</v>
      </c>
      <c r="G649" s="4" t="s">
        <v>274</v>
      </c>
      <c r="H649" s="5" t="e">
        <f>#REF!</f>
        <v>#REF!</v>
      </c>
      <c r="I649" s="6" t="e">
        <f t="shared" si="211"/>
        <v>#REF!</v>
      </c>
      <c r="J649" s="6" t="s">
        <v>84</v>
      </c>
      <c r="K649" s="6" t="s">
        <v>111</v>
      </c>
      <c r="L649" s="7" t="e">
        <f t="shared" si="212"/>
        <v>#REF!</v>
      </c>
      <c r="M649" s="7" t="s">
        <v>112</v>
      </c>
      <c r="O649" s="7" t="str">
        <f>IF(OR($C649="",$C649="FID YOK"),"",IF(ISNUMBER(MATCH($C649,FA_ANA,0)),"",IF(COUNTIF($C$1:$C648,$C649)&gt;0,"",MAX($O$1:$O648)+1)))</f>
        <v/>
      </c>
      <c r="T649" s="7">
        <f>IF(ISNA(MATCH($C649,FA,0)),0,IF($J649="GIRIS",N(INDEX(F_INKOR,MATCH($C649,FA,0))),0))</f>
        <v>0</v>
      </c>
      <c r="Y649" s="7" t="e">
        <f>N(#REF!)*IF($E649="упак",MAX(1,IF(ISNA(MATCH($C649,FA,0)),1,N(INDEX(F_PAKET,MATCH($C649,FA,0))))),1)</f>
        <v>#REF!</v>
      </c>
      <c r="Z649" s="7" t="e">
        <f t="shared" si="213"/>
        <v>#REF!</v>
      </c>
      <c r="AA649" s="7">
        <f>IF(OR(ISNA(MATCH($C649,FA,0)),$J649="YEDEK",$J649="SARF"),0,N(#REF!)*N(INDEX(F_TEL,MATCH($C649,FA,0))))</f>
        <v>0</v>
      </c>
      <c r="AB649" s="7">
        <f>IF(OR(ISNA(MATCH($C649,FA,0)),$J649="YEDEK",$J649="SARF"),0,N(#REF!)*N(INDEX(F_TELM,MATCH($C649,FA,0))))</f>
        <v>0</v>
      </c>
      <c r="AC649" s="7" t="e">
        <f t="shared" si="214"/>
        <v>#REF!</v>
      </c>
      <c r="AD649" s="7">
        <f>IF(OR(ISNA(MATCH($C649,FA,0)),$J649&lt;&gt;"CIKIS"),0,N(INDEX(F_KK,MATCH($C649,FA,0))))</f>
        <v>0</v>
      </c>
      <c r="AE649" s="7">
        <f>IF($AD649=0,0,N(#REF!)*N(INDEX(F_KLN,MATCH($C649,FA,0))))</f>
        <v>0</v>
      </c>
      <c r="AF649" s="7">
        <f>IF($AD649=0,0,N(#REF!)*N(INDEX(F_KPE,MATCH($C649,FA,0))))</f>
        <v>0</v>
      </c>
      <c r="AG649" s="7" t="e">
        <f>IF(ISNA(MATCH($C649,FA,0)),0,N(#REF!)*N(INDEX(F_MODUL,MATCH($C649,FA,0))))</f>
        <v>#REF!</v>
      </c>
      <c r="AH649" s="7" t="e">
        <f>N(#REF!)*N($I649)</f>
        <v>#REF!</v>
      </c>
      <c r="AI649" s="7" t="e">
        <f t="shared" si="215"/>
        <v>#REF!</v>
      </c>
      <c r="AJ649" s="7">
        <f t="shared" si="216"/>
        <v>0</v>
      </c>
    </row>
    <row r="650" spans="1:36" x14ac:dyDescent="0.25">
      <c r="A650" s="4" t="str">
        <f t="shared" si="210"/>
        <v>ЩСС-4, ЩСС-5, ЩСС-6 (260922 akram aulet)</v>
      </c>
      <c r="B650" s="4" t="s">
        <v>113</v>
      </c>
      <c r="C650" s="4" t="s">
        <v>113</v>
      </c>
      <c r="D650" s="4" t="s">
        <v>113</v>
      </c>
      <c r="E650" s="4" t="s">
        <v>114</v>
      </c>
      <c r="F650" s="4" t="s">
        <v>113</v>
      </c>
      <c r="G650" s="4" t="s">
        <v>274</v>
      </c>
      <c r="H650" s="5" t="e">
        <f>#REF!</f>
        <v>#REF!</v>
      </c>
      <c r="I650" s="6" t="e">
        <f t="shared" si="211"/>
        <v>#REF!</v>
      </c>
    </row>
    <row r="651" spans="1:36" x14ac:dyDescent="0.25">
      <c r="A651" s="4" t="str">
        <f t="shared" si="210"/>
        <v>ЩСС-4, ЩСС-5, ЩСС-6 (260922 akram aulet)</v>
      </c>
      <c r="B651" s="4" t="s">
        <v>115</v>
      </c>
      <c r="C651" s="4" t="s">
        <v>115</v>
      </c>
      <c r="D651" s="4" t="s">
        <v>115</v>
      </c>
      <c r="E651" s="4" t="s">
        <v>116</v>
      </c>
      <c r="F651" s="4" t="s">
        <v>115</v>
      </c>
      <c r="G651" s="4" t="s">
        <v>274</v>
      </c>
      <c r="H651" s="5" t="e">
        <f>#REF!</f>
        <v>#REF!</v>
      </c>
      <c r="I651" s="6" t="e">
        <f t="shared" si="211"/>
        <v>#REF!</v>
      </c>
    </row>
    <row r="652" spans="1:36" x14ac:dyDescent="0.25">
      <c r="A652" s="1" t="str">
        <f>D652</f>
        <v>ЩЭ (3 кв.) (260922 akram aulet)</v>
      </c>
      <c r="B652" s="12"/>
      <c r="C652" s="2"/>
      <c r="D652" s="1" t="s">
        <v>340</v>
      </c>
      <c r="E652" s="1" t="s">
        <v>36</v>
      </c>
      <c r="F652" s="1" t="s">
        <v>37</v>
      </c>
      <c r="G652" s="1" t="s">
        <v>290</v>
      </c>
      <c r="I652" s="3" t="e">
        <f>#REF!</f>
        <v>#REF!</v>
      </c>
    </row>
    <row r="653" spans="1:36" x14ac:dyDescent="0.25">
      <c r="A653" s="4" t="str">
        <f t="shared" ref="A653:A667" si="217">A652</f>
        <v>ЩЭ (3 кв.) (260922 akram aulet)</v>
      </c>
      <c r="B653" s="4" t="s">
        <v>39</v>
      </c>
      <c r="C653" s="4" t="s">
        <v>598</v>
      </c>
      <c r="D653" s="4" t="s">
        <v>619</v>
      </c>
      <c r="E653" s="4" t="s">
        <v>114</v>
      </c>
      <c r="F653" s="4" t="s">
        <v>491</v>
      </c>
      <c r="G653" s="4" t="s">
        <v>290</v>
      </c>
      <c r="H653" s="5" t="e">
        <f>#REF!</f>
        <v>#REF!</v>
      </c>
      <c r="I653" s="6" t="e">
        <f t="shared" ref="I653:I667" si="218">I652</f>
        <v>#REF!</v>
      </c>
      <c r="J653" s="6" t="s">
        <v>40</v>
      </c>
      <c r="K653" s="6" t="s">
        <v>291</v>
      </c>
      <c r="L653" s="7" t="e">
        <f t="shared" ref="L653:L665" si="219">IF(ISNA(MATCH($C653,FA,0)),"ARTİKÜL YOK",INDEX(FIYAT_DURUM,MATCH($C653,FA,0)))</f>
        <v>#REF!</v>
      </c>
      <c r="M653" s="7" t="s">
        <v>341</v>
      </c>
      <c r="N653" s="7" t="s">
        <v>342</v>
      </c>
      <c r="O653" s="7">
        <f>IF(OR($C653="",$C653="FID YOK"),"",IF(ISNUMBER(MATCH($C653,FA_ANA,0)),"",IF(COUNTIF($C$1:$C652,$C653)&gt;0,"",MAX($O$1:$O652)+1)))</f>
        <v>106</v>
      </c>
      <c r="Q653" s="7"/>
      <c r="R653" s="7"/>
      <c r="S653" s="7"/>
      <c r="T653" s="7">
        <f>IF(ISNA(MATCH($C653,FA,0)),0,IF($J653="GIRIS",N(INDEX(F_INKOR,MATCH($C653,FA,0))),0))</f>
        <v>0</v>
      </c>
      <c r="U653" s="7"/>
      <c r="V653" s="7"/>
      <c r="W653" s="7"/>
      <c r="X653" s="7"/>
      <c r="Y653" s="7" t="e">
        <f>N(#REF!)*IF($E653="упак",MAX(1,IF(ISNA(MATCH($C653,FA,0)),1,N(INDEX(F_PAKET,MATCH($C653,FA,0))))),1)</f>
        <v>#REF!</v>
      </c>
      <c r="Z653" s="7" t="e">
        <f t="shared" ref="Z653:Z665" si="220">IF(ISNA(MATCH($C653,FA,0)),0,N(INDEX(F_BK,MATCH($C653,FA,0))))</f>
        <v>#REF!</v>
      </c>
      <c r="AA653" s="7" t="e">
        <f>IF(OR(ISNA(MATCH($C653,FA,0)),$J653="YEDEK",$J653="SARF"),0,N(#REF!)*N(INDEX(F_TEL,MATCH($C653,FA,0))))</f>
        <v>#REF!</v>
      </c>
      <c r="AB653" s="7" t="e">
        <f>IF(OR(ISNA(MATCH($C653,FA,0)),$J653="YEDEK",$J653="SARF"),0,N(#REF!)*N(INDEX(F_TELM,MATCH($C653,FA,0))))</f>
        <v>#REF!</v>
      </c>
      <c r="AC653" s="7" t="e">
        <f t="shared" ref="AC653:AC665" si="221">IF(ISNA(MATCH($C653,FA,0)),"",INDEX(F_UC,MATCH($C653,FA,0))&amp;"")</f>
        <v>#REF!</v>
      </c>
      <c r="AD653" s="7">
        <f>IF(OR(ISNA(MATCH($C653,FA,0)),$J653&lt;&gt;"CIKIS"),0,N(INDEX(F_KK,MATCH($C653,FA,0))))</f>
        <v>0</v>
      </c>
      <c r="AE653" s="7">
        <f>IF($AD653=0,0,N(#REF!)*N(INDEX(F_KLN,MATCH($C653,FA,0))))</f>
        <v>0</v>
      </c>
      <c r="AF653" s="7">
        <f>IF($AD653=0,0,N(#REF!)*N(INDEX(F_KPE,MATCH($C653,FA,0))))</f>
        <v>0</v>
      </c>
      <c r="AG653" s="7" t="e">
        <f>IF(ISNA(MATCH($C653,FA,0)),0,N(#REF!)*N(INDEX(F_MODUL,MATCH($C653,FA,0))))</f>
        <v>#REF!</v>
      </c>
      <c r="AH653" s="7" t="e">
        <f>N(#REF!)*N($I653)</f>
        <v>#REF!</v>
      </c>
      <c r="AI653" s="7" t="e">
        <f t="shared" ref="AI653:AI665" si="222">IF(ISNA(MATCH($K653,TIP_AD,0)),"YOK",IF(INDEX(NORM_DK,MATCH($K653,TIP_AD,0))="","BOŞ",INDEX(NORM_DK,MATCH($K653,TIP_AD,0))))</f>
        <v>#REF!</v>
      </c>
      <c r="AJ653" s="7">
        <f t="shared" ref="AJ653:AJ665" si="223">IF(ISNUMBER($AI653),$Y653*$AI653,0)</f>
        <v>0</v>
      </c>
    </row>
    <row r="654" spans="1:36" x14ac:dyDescent="0.25">
      <c r="A654" s="4" t="str">
        <f t="shared" si="217"/>
        <v>ЩЭ (3 кв.) (260922 akram aulet)</v>
      </c>
      <c r="B654" s="4" t="s">
        <v>198</v>
      </c>
      <c r="C654" s="4" t="s">
        <v>375</v>
      </c>
      <c r="D654" s="4" t="s">
        <v>376</v>
      </c>
      <c r="E654" s="4" t="s">
        <v>114</v>
      </c>
      <c r="F654" s="4" t="s">
        <v>377</v>
      </c>
      <c r="G654" s="4" t="s">
        <v>290</v>
      </c>
      <c r="H654" s="5" t="e">
        <f>#REF!</f>
        <v>#REF!</v>
      </c>
      <c r="I654" s="6" t="e">
        <f t="shared" si="218"/>
        <v>#REF!</v>
      </c>
      <c r="J654" s="6" t="s">
        <v>48</v>
      </c>
      <c r="K654" s="6" t="s">
        <v>198</v>
      </c>
      <c r="L654" s="7" t="e">
        <f t="shared" si="219"/>
        <v>#REF!</v>
      </c>
      <c r="M654" s="7" t="s">
        <v>343</v>
      </c>
      <c r="N654" s="7" t="s">
        <v>344</v>
      </c>
      <c r="O654" s="7">
        <f>IF(OR($C654="",$C654="FID YOK"),"",IF(ISNUMBER(MATCH($C654,FA_ANA,0)),"",IF(COUNTIF($C$1:$C653,$C654)&gt;0,"",MAX($O$1:$O653)+1)))</f>
        <v>107</v>
      </c>
      <c r="P654" s="8">
        <v>2</v>
      </c>
      <c r="Q654" s="7" t="e">
        <f>IF(OR($P654="",$P654="G",ISNA(MATCH($C654,FA,0))),"",IF(N(INDEX(F_G,MATCH($C654,FA,0)))&gt;0,INDEX(F_G,MATCH($C654,FA,0)),IF(N(INDEX(F_MODUL,MATCH($C654,FA,0)))&gt;0,INDEX(F_MODUL,MATCH($C654,FA,0))*MODUL_MM,"")))</f>
        <v>#REF!</v>
      </c>
      <c r="R654" s="7" t="e">
        <f>IF(OR($P654="",$P654="G",ISNA(MATCH($C654,FA,0))),"",IF(N(INDEX(F_Y,MATCH($C654,FA,0)))&gt;0,INDEX(F_Y,MATCH($C654,FA,0)),""))</f>
        <v>#REF!</v>
      </c>
      <c r="S654" s="7" t="e">
        <f>IF(OR($P654="",$P654="G",ISNA(MATCH($C654,FA,0))),"",IF(N(INDEX(F_D,MATCH($C654,FA,0)))&gt;0,INDEX(F_D,MATCH($C654,FA,0)),""))</f>
        <v>#REF!</v>
      </c>
      <c r="T654" s="7" t="e">
        <f>IF(ISNA(MATCH($C654,FA,0)),0,IF($J654="GIRIS",N(INDEX(F_INKOR,MATCH($C654,FA,0))),0))</f>
        <v>#REF!</v>
      </c>
      <c r="U654" s="7" t="e">
        <f>IF(ISNA(MATCH($B654,TIP_AD,0)),"",INDEX(TIP_KAT,MATCH($B654,TIP_AD,0))&amp;"")</f>
        <v>#REF!</v>
      </c>
      <c r="V654" s="7" t="e">
        <f>IF(NOT(ISNUMBER($P654)),"",IF($Z654=0,0,IF(ISNA(MATCH($Z654,BUK_KESIT,0)),"",IF(INDEX(BUK_ALAN,MATCH($Z654,BUK_KESIT,0))&amp;""="","",INDEX(BUK_ALAN,MATCH($Z654,BUK_KESIT,0))))))</f>
        <v>#REF!</v>
      </c>
      <c r="W654" s="7" t="e">
        <f>IF(OR(NOT(ISNUMBER($P654)),$Q654=""),"",N(#REF!)*($Q654+IF(ISNA(MATCH($B654,TIP_AD,0)),0,N(INDEX(TIP_BOSLUK,MATCH($B654,TIP_AD,0))))))</f>
        <v>#REF!</v>
      </c>
      <c r="X654" s="7" t="e">
        <f>IF(ISNUMBER($P654),($Q654="")+($R654="")+($V654="")+IF(AND($U654="KONTAKTOR",NOT(ISNA(MATCH($B654,TIP_AD,0)))),IF(INDEX(TIP_BOSLUK,MATCH($B654,TIP_AD,0))&amp;""="",1,0),0),IF($P654="K",IF($S654="",1,0),0))</f>
        <v>#REF!</v>
      </c>
      <c r="Y654" s="7" t="e">
        <f>N(#REF!)*IF($E654="упак",MAX(1,IF(ISNA(MATCH($C654,FA,0)),1,N(INDEX(F_PAKET,MATCH($C654,FA,0))))),1)</f>
        <v>#REF!</v>
      </c>
      <c r="Z654" s="7" t="e">
        <f t="shared" si="220"/>
        <v>#REF!</v>
      </c>
      <c r="AA654" s="7" t="e">
        <f>IF(OR(ISNA(MATCH($C654,FA,0)),$J654="YEDEK",$J654="SARF"),0,N(#REF!)*N(INDEX(F_TEL,MATCH($C654,FA,0))))</f>
        <v>#REF!</v>
      </c>
      <c r="AB654" s="7" t="e">
        <f>IF(OR(ISNA(MATCH($C654,FA,0)),$J654="YEDEK",$J654="SARF"),0,N(#REF!)*N(INDEX(F_TELM,MATCH($C654,FA,0))))</f>
        <v>#REF!</v>
      </c>
      <c r="AC654" s="7" t="e">
        <f t="shared" si="221"/>
        <v>#REF!</v>
      </c>
      <c r="AD654" s="7">
        <f>IF(OR(ISNA(MATCH($C654,FA,0)),$J654&lt;&gt;"CIKIS"),0,N(INDEX(F_KK,MATCH($C654,FA,0))))</f>
        <v>0</v>
      </c>
      <c r="AE654" s="7">
        <f>IF($AD654=0,0,N(#REF!)*N(INDEX(F_KLN,MATCH($C654,FA,0))))</f>
        <v>0</v>
      </c>
      <c r="AF654" s="7">
        <f>IF($AD654=0,0,N(#REF!)*N(INDEX(F_KPE,MATCH($C654,FA,0))))</f>
        <v>0</v>
      </c>
      <c r="AG654" s="7" t="e">
        <f>IF(ISNA(MATCH($C654,FA,0)),0,N(#REF!)*N(INDEX(F_MODUL,MATCH($C654,FA,0))))</f>
        <v>#REF!</v>
      </c>
      <c r="AH654" s="7" t="e">
        <f>N(#REF!)*N($I654)</f>
        <v>#REF!</v>
      </c>
      <c r="AI654" s="7" t="e">
        <f t="shared" si="222"/>
        <v>#REF!</v>
      </c>
      <c r="AJ654" s="7">
        <f t="shared" si="223"/>
        <v>0</v>
      </c>
    </row>
    <row r="655" spans="1:36" x14ac:dyDescent="0.25">
      <c r="A655" s="4" t="str">
        <f t="shared" si="217"/>
        <v>ЩЭ (3 кв.) (260922 akram aulet)</v>
      </c>
      <c r="B655" s="4" t="s">
        <v>61</v>
      </c>
      <c r="C655" s="4" t="s">
        <v>480</v>
      </c>
      <c r="D655" s="4" t="s">
        <v>481</v>
      </c>
      <c r="E655" s="4" t="s">
        <v>114</v>
      </c>
      <c r="F655" s="4" t="s">
        <v>479</v>
      </c>
      <c r="G655" s="4" t="s">
        <v>290</v>
      </c>
      <c r="H655" s="5" t="e">
        <f>#REF!</f>
        <v>#REF!</v>
      </c>
      <c r="I655" s="6" t="e">
        <f t="shared" si="218"/>
        <v>#REF!</v>
      </c>
      <c r="J655" s="6" t="s">
        <v>62</v>
      </c>
      <c r="K655" s="6" t="s">
        <v>61</v>
      </c>
      <c r="L655" s="7" t="e">
        <f t="shared" si="219"/>
        <v>#REF!</v>
      </c>
      <c r="M655" s="7" t="s">
        <v>345</v>
      </c>
      <c r="N655" s="7" t="s">
        <v>278</v>
      </c>
      <c r="O655" s="7" t="str">
        <f>IF(OR($C655="",$C655="FID YOK"),"",IF(ISNUMBER(MATCH($C655,FA_ANA,0)),"",IF(COUNTIF($C$1:$C654,$C655)&gt;0,"",MAX($O$1:$O654)+1)))</f>
        <v/>
      </c>
      <c r="P655" s="8">
        <v>1</v>
      </c>
      <c r="Q655" s="7" t="e">
        <f>IF(OR($P655="",$P655="G",ISNA(MATCH($C655,FA,0))),"",IF(N(INDEX(F_G,MATCH($C655,FA,0)))&gt;0,INDEX(F_G,MATCH($C655,FA,0)),IF(N(INDEX(F_MODUL,MATCH($C655,FA,0)))&gt;0,INDEX(F_MODUL,MATCH($C655,FA,0))*MODUL_MM,"")))</f>
        <v>#REF!</v>
      </c>
      <c r="R655" s="7" t="e">
        <f>IF(OR($P655="",$P655="G",ISNA(MATCH($C655,FA,0))),"",IF(N(INDEX(F_Y,MATCH($C655,FA,0)))&gt;0,INDEX(F_Y,MATCH($C655,FA,0)),""))</f>
        <v>#REF!</v>
      </c>
      <c r="S655" s="7" t="e">
        <f>IF(OR($P655="",$P655="G",ISNA(MATCH($C655,FA,0))),"",IF(N(INDEX(F_D,MATCH($C655,FA,0)))&gt;0,INDEX(F_D,MATCH($C655,FA,0)),""))</f>
        <v>#REF!</v>
      </c>
      <c r="T655" s="7">
        <f>IF(ISNA(MATCH($C655,FA,0)),0,IF($J655="GIRIS",N(INDEX(F_INKOR,MATCH($C655,FA,0))),0))</f>
        <v>0</v>
      </c>
      <c r="U655" s="7" t="e">
        <f>IF(ISNA(MATCH($B655,TIP_AD,0)),"",INDEX(TIP_KAT,MATCH($B655,TIP_AD,0))&amp;"")</f>
        <v>#REF!</v>
      </c>
      <c r="V655" s="7" t="e">
        <f>IF(NOT(ISNUMBER($P655)),"",IF($Z655=0,0,IF(ISNA(MATCH($Z655,BUK_KESIT,0)),"",IF(INDEX(BUK_ALAN,MATCH($Z655,BUK_KESIT,0))&amp;""="","",INDEX(BUK_ALAN,MATCH($Z655,BUK_KESIT,0))))))</f>
        <v>#REF!</v>
      </c>
      <c r="W655" s="7" t="e">
        <f>IF(OR(NOT(ISNUMBER($P655)),$Q655=""),"",N(#REF!)*($Q655+IF(ISNA(MATCH($B655,TIP_AD,0)),0,N(INDEX(TIP_BOSLUK,MATCH($B655,TIP_AD,0))))))</f>
        <v>#REF!</v>
      </c>
      <c r="X655" s="7" t="e">
        <f>IF(ISNUMBER($P655),($Q655="")+($R655="")+($V655="")+IF(AND($U655="KONTAKTOR",NOT(ISNA(MATCH($B655,TIP_AD,0)))),IF(INDEX(TIP_BOSLUK,MATCH($B655,TIP_AD,0))&amp;""="",1,0),0),IF($P655="K",IF($S655="",1,0),0))</f>
        <v>#REF!</v>
      </c>
      <c r="Y655" s="7" t="e">
        <f>N(#REF!)*IF($E655="упак",MAX(1,IF(ISNA(MATCH($C655,FA,0)),1,N(INDEX(F_PAKET,MATCH($C655,FA,0))))),1)</f>
        <v>#REF!</v>
      </c>
      <c r="Z655" s="7" t="e">
        <f t="shared" si="220"/>
        <v>#REF!</v>
      </c>
      <c r="AA655" s="7" t="e">
        <f>IF(OR(ISNA(MATCH($C655,FA,0)),$J655="YEDEK",$J655="SARF"),0,N(#REF!)*N(INDEX(F_TEL,MATCH($C655,FA,0))))</f>
        <v>#REF!</v>
      </c>
      <c r="AB655" s="7" t="e">
        <f>IF(OR(ISNA(MATCH($C655,FA,0)),$J655="YEDEK",$J655="SARF"),0,N(#REF!)*N(INDEX(F_TELM,MATCH($C655,FA,0))))</f>
        <v>#REF!</v>
      </c>
      <c r="AC655" s="7" t="e">
        <f t="shared" si="221"/>
        <v>#REF!</v>
      </c>
      <c r="AD655" s="7">
        <f>IF(OR(ISNA(MATCH($C655,FA,0)),$J655&lt;&gt;"CIKIS"),0,N(INDEX(F_KK,MATCH($C655,FA,0))))</f>
        <v>0</v>
      </c>
      <c r="AE655" s="7">
        <f>IF($AD655=0,0,N(#REF!)*N(INDEX(F_KLN,MATCH($C655,FA,0))))</f>
        <v>0</v>
      </c>
      <c r="AF655" s="7">
        <f>IF($AD655=0,0,N(#REF!)*N(INDEX(F_KPE,MATCH($C655,FA,0))))</f>
        <v>0</v>
      </c>
      <c r="AG655" s="7" t="e">
        <f>IF(ISNA(MATCH($C655,FA,0)),0,N(#REF!)*N(INDEX(F_MODUL,MATCH($C655,FA,0))))</f>
        <v>#REF!</v>
      </c>
      <c r="AH655" s="7" t="e">
        <f>N(#REF!)*N($I655)</f>
        <v>#REF!</v>
      </c>
      <c r="AI655" s="7" t="e">
        <f t="shared" si="222"/>
        <v>#REF!</v>
      </c>
      <c r="AJ655" s="7">
        <f t="shared" si="223"/>
        <v>0</v>
      </c>
    </row>
    <row r="656" spans="1:36" x14ac:dyDescent="0.25">
      <c r="A656" s="4" t="str">
        <f t="shared" si="217"/>
        <v>ЩЭ (3 кв.) (260922 akram aulet)</v>
      </c>
      <c r="B656" s="4" t="s">
        <v>213</v>
      </c>
      <c r="C656" s="4" t="s">
        <v>416</v>
      </c>
      <c r="D656" s="4" t="s">
        <v>417</v>
      </c>
      <c r="E656" s="4" t="s">
        <v>114</v>
      </c>
      <c r="F656" s="4" t="s">
        <v>377</v>
      </c>
      <c r="G656" s="4" t="s">
        <v>290</v>
      </c>
      <c r="H656" s="5" t="e">
        <f>#REF!</f>
        <v>#REF!</v>
      </c>
      <c r="I656" s="6" t="e">
        <f t="shared" si="218"/>
        <v>#REF!</v>
      </c>
      <c r="J656" s="6" t="s">
        <v>52</v>
      </c>
      <c r="K656" s="6" t="s">
        <v>213</v>
      </c>
      <c r="L656" s="7" t="e">
        <f t="shared" si="219"/>
        <v>#REF!</v>
      </c>
      <c r="M656" s="7" t="s">
        <v>346</v>
      </c>
      <c r="N656" s="7" t="s">
        <v>347</v>
      </c>
      <c r="O656" s="7">
        <f>IF(OR($C656="",$C656="FID YOK"),"",IF(ISNUMBER(MATCH($C656,FA_ANA,0)),"",IF(COUNTIF($C$1:$C655,$C656)&gt;0,"",MAX($O$1:$O655)+1)))</f>
        <v>108</v>
      </c>
      <c r="P656" s="8">
        <v>2</v>
      </c>
      <c r="Q656" s="7" t="e">
        <f>IF(OR($P656="",$P656="G",ISNA(MATCH($C656,FA,0))),"",IF(N(INDEX(F_G,MATCH($C656,FA,0)))&gt;0,INDEX(F_G,MATCH($C656,FA,0)),IF(N(INDEX(F_MODUL,MATCH($C656,FA,0)))&gt;0,INDEX(F_MODUL,MATCH($C656,FA,0))*MODUL_MM,"")))</f>
        <v>#REF!</v>
      </c>
      <c r="R656" s="7" t="e">
        <f>IF(OR($P656="",$P656="G",ISNA(MATCH($C656,FA,0))),"",IF(N(INDEX(F_Y,MATCH($C656,FA,0)))&gt;0,INDEX(F_Y,MATCH($C656,FA,0)),""))</f>
        <v>#REF!</v>
      </c>
      <c r="S656" s="7" t="e">
        <f>IF(OR($P656="",$P656="G",ISNA(MATCH($C656,FA,0))),"",IF(N(INDEX(F_D,MATCH($C656,FA,0)))&gt;0,INDEX(F_D,MATCH($C656,FA,0)),""))</f>
        <v>#REF!</v>
      </c>
      <c r="T656" s="7">
        <f>IF(ISNA(MATCH($C656,FA,0)),0,IF($J656="GIRIS",N(INDEX(F_INKOR,MATCH($C656,FA,0))),0))</f>
        <v>0</v>
      </c>
      <c r="U656" s="7" t="e">
        <f>IF(ISNA(MATCH($B656,TIP_AD,0)),"",INDEX(TIP_KAT,MATCH($B656,TIP_AD,0))&amp;"")</f>
        <v>#REF!</v>
      </c>
      <c r="V656" s="7" t="e">
        <f>IF(NOT(ISNUMBER($P656)),"",IF($Z656=0,0,IF(ISNA(MATCH($Z656,BUK_KESIT,0)),"",IF(INDEX(BUK_ALAN,MATCH($Z656,BUK_KESIT,0))&amp;""="","",INDEX(BUK_ALAN,MATCH($Z656,BUK_KESIT,0))))))</f>
        <v>#REF!</v>
      </c>
      <c r="W656" s="7" t="e">
        <f>IF(OR(NOT(ISNUMBER($P656)),$Q656=""),"",N(#REF!)*($Q656+IF(ISNA(MATCH($B656,TIP_AD,0)),0,N(INDEX(TIP_BOSLUK,MATCH($B656,TIP_AD,0))))))</f>
        <v>#REF!</v>
      </c>
      <c r="X656" s="7" t="e">
        <f>IF(ISNUMBER($P656),($Q656="")+($R656="")+($V656="")+IF(AND($U656="KONTAKTOR",NOT(ISNA(MATCH($B656,TIP_AD,0)))),IF(INDEX(TIP_BOSLUK,MATCH($B656,TIP_AD,0))&amp;""="",1,0),0),IF($P656="K",IF($S656="",1,0),0))</f>
        <v>#REF!</v>
      </c>
      <c r="Y656" s="7" t="e">
        <f>N(#REF!)*IF($E656="упак",MAX(1,IF(ISNA(MATCH($C656,FA,0)),1,N(INDEX(F_PAKET,MATCH($C656,FA,0))))),1)</f>
        <v>#REF!</v>
      </c>
      <c r="Z656" s="7" t="e">
        <f t="shared" si="220"/>
        <v>#REF!</v>
      </c>
      <c r="AA656" s="7" t="e">
        <f>IF(OR(ISNA(MATCH($C656,FA,0)),$J656="YEDEK",$J656="SARF"),0,N(#REF!)*N(INDEX(F_TEL,MATCH($C656,FA,0))))</f>
        <v>#REF!</v>
      </c>
      <c r="AB656" s="7" t="e">
        <f>IF(OR(ISNA(MATCH($C656,FA,0)),$J656="YEDEK",$J656="SARF"),0,N(#REF!)*N(INDEX(F_TELM,MATCH($C656,FA,0))))</f>
        <v>#REF!</v>
      </c>
      <c r="AC656" s="7" t="e">
        <f t="shared" si="221"/>
        <v>#REF!</v>
      </c>
      <c r="AD656" s="7" t="e">
        <f>IF(OR(ISNA(MATCH($C656,FA,0)),$J656&lt;&gt;"CIKIS"),0,N(INDEX(F_KK,MATCH($C656,FA,0))))</f>
        <v>#REF!</v>
      </c>
      <c r="AE656" s="7" t="e">
        <f>IF($AD656=0,0,N(#REF!)*N(INDEX(F_KLN,MATCH($C656,FA,0))))</f>
        <v>#REF!</v>
      </c>
      <c r="AF656" s="7" t="e">
        <f>IF($AD656=0,0,N(#REF!)*N(INDEX(F_KPE,MATCH($C656,FA,0))))</f>
        <v>#REF!</v>
      </c>
      <c r="AG656" s="7" t="e">
        <f>IF(ISNA(MATCH($C656,FA,0)),0,N(#REF!)*N(INDEX(F_MODUL,MATCH($C656,FA,0))))</f>
        <v>#REF!</v>
      </c>
      <c r="AH656" s="7" t="e">
        <f>N(#REF!)*N($I656)</f>
        <v>#REF!</v>
      </c>
      <c r="AI656" s="7" t="e">
        <f t="shared" si="222"/>
        <v>#REF!</v>
      </c>
      <c r="AJ656" s="7">
        <f t="shared" si="223"/>
        <v>0</v>
      </c>
    </row>
    <row r="657" spans="1:36" x14ac:dyDescent="0.25">
      <c r="A657" s="4" t="str">
        <f t="shared" si="217"/>
        <v>ЩЭ (3 кв.) (260922 akram aulet)</v>
      </c>
      <c r="B657" s="4" t="s">
        <v>202</v>
      </c>
      <c r="C657" s="4" t="s">
        <v>575</v>
      </c>
      <c r="D657" s="4" t="s">
        <v>576</v>
      </c>
      <c r="E657" s="4" t="s">
        <v>114</v>
      </c>
      <c r="F657" s="4" t="s">
        <v>486</v>
      </c>
      <c r="G657" s="4" t="s">
        <v>290</v>
      </c>
      <c r="H657" s="5" t="e">
        <f>#REF!</f>
        <v>#REF!</v>
      </c>
      <c r="I657" s="6" t="e">
        <f t="shared" si="218"/>
        <v>#REF!</v>
      </c>
      <c r="J657" s="6" t="s">
        <v>84</v>
      </c>
      <c r="K657" s="6" t="s">
        <v>202</v>
      </c>
      <c r="L657" s="7" t="e">
        <f t="shared" si="219"/>
        <v>#REF!</v>
      </c>
      <c r="M657" s="7" t="s">
        <v>203</v>
      </c>
      <c r="O657" s="7" t="str">
        <f>IF(OR($C657="",$C657="FID YOK"),"",IF(ISNUMBER(MATCH($C657,FA_ANA,0)),"",IF(COUNTIF($C$1:$C656,$C657)&gt;0,"",MAX($O$1:$O656)+1)))</f>
        <v/>
      </c>
      <c r="T657" s="7">
        <f>IF(ISNA(MATCH($C657,FA,0)),0,IF($J657="GIRIS",N(INDEX(F_INKOR,MATCH($C657,FA,0))),0))</f>
        <v>0</v>
      </c>
      <c r="Y657" s="7" t="e">
        <f>N(#REF!)*IF($E657="упак",MAX(1,IF(ISNA(MATCH($C657,FA,0)),1,N(INDEX(F_PAKET,MATCH($C657,FA,0))))),1)</f>
        <v>#REF!</v>
      </c>
      <c r="Z657" s="7" t="e">
        <f t="shared" si="220"/>
        <v>#REF!</v>
      </c>
      <c r="AA657" s="7">
        <f>IF(OR(ISNA(MATCH($C657,FA,0)),$J657="YEDEK",$J657="SARF"),0,N(#REF!)*N(INDEX(F_TEL,MATCH($C657,FA,0))))</f>
        <v>0</v>
      </c>
      <c r="AB657" s="7">
        <f>IF(OR(ISNA(MATCH($C657,FA,0)),$J657="YEDEK",$J657="SARF"),0,N(#REF!)*N(INDEX(F_TELM,MATCH($C657,FA,0))))</f>
        <v>0</v>
      </c>
      <c r="AC657" s="7" t="e">
        <f t="shared" si="221"/>
        <v>#REF!</v>
      </c>
      <c r="AD657" s="7">
        <f>IF(OR(ISNA(MATCH($C657,FA,0)),$J657&lt;&gt;"CIKIS"),0,N(INDEX(F_KK,MATCH($C657,FA,0))))</f>
        <v>0</v>
      </c>
      <c r="AE657" s="7">
        <f>IF($AD657=0,0,N(#REF!)*N(INDEX(F_KLN,MATCH($C657,FA,0))))</f>
        <v>0</v>
      </c>
      <c r="AF657" s="7">
        <f>IF($AD657=0,0,N(#REF!)*N(INDEX(F_KPE,MATCH($C657,FA,0))))</f>
        <v>0</v>
      </c>
      <c r="AG657" s="7" t="e">
        <f>IF(ISNA(MATCH($C657,FA,0)),0,N(#REF!)*N(INDEX(F_MODUL,MATCH($C657,FA,0))))</f>
        <v>#REF!</v>
      </c>
      <c r="AH657" s="7" t="e">
        <f>N(#REF!)*N($I657)</f>
        <v>#REF!</v>
      </c>
      <c r="AI657" s="7" t="e">
        <f t="shared" si="222"/>
        <v>#REF!</v>
      </c>
      <c r="AJ657" s="7">
        <f t="shared" si="223"/>
        <v>0</v>
      </c>
    </row>
    <row r="658" spans="1:36" x14ac:dyDescent="0.25">
      <c r="A658" s="4" t="str">
        <f t="shared" si="217"/>
        <v>ЩЭ (3 кв.) (260922 akram aulet)</v>
      </c>
      <c r="B658" s="4" t="s">
        <v>202</v>
      </c>
      <c r="C658" s="4" t="s">
        <v>575</v>
      </c>
      <c r="D658" s="4" t="s">
        <v>576</v>
      </c>
      <c r="E658" s="4" t="s">
        <v>114</v>
      </c>
      <c r="F658" s="4" t="s">
        <v>486</v>
      </c>
      <c r="G658" s="4" t="s">
        <v>290</v>
      </c>
      <c r="H658" s="5" t="e">
        <f>#REF!</f>
        <v>#REF!</v>
      </c>
      <c r="I658" s="6" t="e">
        <f t="shared" si="218"/>
        <v>#REF!</v>
      </c>
      <c r="J658" s="6" t="s">
        <v>84</v>
      </c>
      <c r="K658" s="6" t="s">
        <v>202</v>
      </c>
      <c r="L658" s="7" t="e">
        <f t="shared" si="219"/>
        <v>#REF!</v>
      </c>
      <c r="M658" s="7" t="s">
        <v>204</v>
      </c>
      <c r="O658" s="7" t="str">
        <f>IF(OR($C658="",$C658="FID YOK"),"",IF(ISNUMBER(MATCH($C658,FA_ANA,0)),"",IF(COUNTIF($C$1:$C657,$C658)&gt;0,"",MAX($O$1:$O657)+1)))</f>
        <v/>
      </c>
      <c r="T658" s="7">
        <f>IF(ISNA(MATCH($C658,FA,0)),0,IF($J658="GIRIS",N(INDEX(F_INKOR,MATCH($C658,FA,0))),0))</f>
        <v>0</v>
      </c>
      <c r="Y658" s="7" t="e">
        <f>N(#REF!)*IF($E658="упак",MAX(1,IF(ISNA(MATCH($C658,FA,0)),1,N(INDEX(F_PAKET,MATCH($C658,FA,0))))),1)</f>
        <v>#REF!</v>
      </c>
      <c r="Z658" s="7" t="e">
        <f t="shared" si="220"/>
        <v>#REF!</v>
      </c>
      <c r="AA658" s="7">
        <f>IF(OR(ISNA(MATCH($C658,FA,0)),$J658="YEDEK",$J658="SARF"),0,N(#REF!)*N(INDEX(F_TEL,MATCH($C658,FA,0))))</f>
        <v>0</v>
      </c>
      <c r="AB658" s="7">
        <f>IF(OR(ISNA(MATCH($C658,FA,0)),$J658="YEDEK",$J658="SARF"),0,N(#REF!)*N(INDEX(F_TELM,MATCH($C658,FA,0))))</f>
        <v>0</v>
      </c>
      <c r="AC658" s="7" t="e">
        <f t="shared" si="221"/>
        <v>#REF!</v>
      </c>
      <c r="AD658" s="7">
        <f>IF(OR(ISNA(MATCH($C658,FA,0)),$J658&lt;&gt;"CIKIS"),0,N(INDEX(F_KK,MATCH($C658,FA,0))))</f>
        <v>0</v>
      </c>
      <c r="AE658" s="7">
        <f>IF($AD658=0,0,N(#REF!)*N(INDEX(F_KLN,MATCH($C658,FA,0))))</f>
        <v>0</v>
      </c>
      <c r="AF658" s="7">
        <f>IF($AD658=0,0,N(#REF!)*N(INDEX(F_KPE,MATCH($C658,FA,0))))</f>
        <v>0</v>
      </c>
      <c r="AG658" s="7" t="e">
        <f>IF(ISNA(MATCH($C658,FA,0)),0,N(#REF!)*N(INDEX(F_MODUL,MATCH($C658,FA,0))))</f>
        <v>#REF!</v>
      </c>
      <c r="AH658" s="7" t="e">
        <f>N(#REF!)*N($I658)</f>
        <v>#REF!</v>
      </c>
      <c r="AI658" s="7" t="e">
        <f t="shared" si="222"/>
        <v>#REF!</v>
      </c>
      <c r="AJ658" s="7">
        <f t="shared" si="223"/>
        <v>0</v>
      </c>
    </row>
    <row r="659" spans="1:36" x14ac:dyDescent="0.25">
      <c r="A659" s="4" t="str">
        <f t="shared" si="217"/>
        <v>ЩЭ (3 кв.) (260922 akram aulet)</v>
      </c>
      <c r="B659" s="4" t="s">
        <v>92</v>
      </c>
      <c r="C659" s="4" t="s">
        <v>527</v>
      </c>
      <c r="D659" s="4" t="s">
        <v>528</v>
      </c>
      <c r="E659" s="4" t="s">
        <v>520</v>
      </c>
      <c r="F659" s="4" t="s">
        <v>521</v>
      </c>
      <c r="G659" s="4" t="s">
        <v>290</v>
      </c>
      <c r="H659" s="5" t="e">
        <f>#REF!</f>
        <v>#REF!</v>
      </c>
      <c r="I659" s="6" t="e">
        <f t="shared" si="218"/>
        <v>#REF!</v>
      </c>
      <c r="J659" s="6" t="s">
        <v>84</v>
      </c>
      <c r="K659" s="6" t="s">
        <v>92</v>
      </c>
      <c r="L659" s="7" t="e">
        <f t="shared" si="219"/>
        <v>#REF!</v>
      </c>
      <c r="M659" s="7" t="s">
        <v>94</v>
      </c>
      <c r="O659" s="7" t="str">
        <f>IF(OR($C659="",$C659="FID YOK"),"",IF(ISNUMBER(MATCH($C659,FA_ANA,0)),"",IF(COUNTIF($C$1:$C658,$C659)&gt;0,"",MAX($O$1:$O658)+1)))</f>
        <v/>
      </c>
      <c r="T659" s="7">
        <f>IF(ISNA(MATCH($C659,FA,0)),0,IF($J659="GIRIS",N(INDEX(F_INKOR,MATCH($C659,FA,0))),0))</f>
        <v>0</v>
      </c>
      <c r="Y659" s="7" t="e">
        <f>N(#REF!)*IF($E659="упак",MAX(1,IF(ISNA(MATCH($C659,FA,0)),1,N(INDEX(F_PAKET,MATCH($C659,FA,0))))),1)</f>
        <v>#REF!</v>
      </c>
      <c r="Z659" s="7" t="e">
        <f t="shared" si="220"/>
        <v>#REF!</v>
      </c>
      <c r="AA659" s="7">
        <f>IF(OR(ISNA(MATCH($C659,FA,0)),$J659="YEDEK",$J659="SARF"),0,N(#REF!)*N(INDEX(F_TEL,MATCH($C659,FA,0))))</f>
        <v>0</v>
      </c>
      <c r="AB659" s="7">
        <f>IF(OR(ISNA(MATCH($C659,FA,0)),$J659="YEDEK",$J659="SARF"),0,N(#REF!)*N(INDEX(F_TELM,MATCH($C659,FA,0))))</f>
        <v>0</v>
      </c>
      <c r="AC659" s="7" t="e">
        <f t="shared" si="221"/>
        <v>#REF!</v>
      </c>
      <c r="AD659" s="7">
        <f>IF(OR(ISNA(MATCH($C659,FA,0)),$J659&lt;&gt;"CIKIS"),0,N(INDEX(F_KK,MATCH($C659,FA,0))))</f>
        <v>0</v>
      </c>
      <c r="AE659" s="7">
        <f>IF($AD659=0,0,N(#REF!)*N(INDEX(F_KLN,MATCH($C659,FA,0))))</f>
        <v>0</v>
      </c>
      <c r="AF659" s="7">
        <f>IF($AD659=0,0,N(#REF!)*N(INDEX(F_KPE,MATCH($C659,FA,0))))</f>
        <v>0</v>
      </c>
      <c r="AG659" s="7" t="e">
        <f>IF(ISNA(MATCH($C659,FA,0)),0,N(#REF!)*N(INDEX(F_MODUL,MATCH($C659,FA,0))))</f>
        <v>#REF!</v>
      </c>
      <c r="AH659" s="7" t="e">
        <f>N(#REF!)*N($I659)</f>
        <v>#REF!</v>
      </c>
      <c r="AI659" s="7" t="e">
        <f t="shared" si="222"/>
        <v>#REF!</v>
      </c>
      <c r="AJ659" s="7">
        <f t="shared" si="223"/>
        <v>0</v>
      </c>
    </row>
    <row r="660" spans="1:36" x14ac:dyDescent="0.25">
      <c r="A660" s="4" t="str">
        <f t="shared" si="217"/>
        <v>ЩЭ (3 кв.) (260922 akram aulet)</v>
      </c>
      <c r="B660" s="4" t="s">
        <v>92</v>
      </c>
      <c r="C660" s="4" t="s">
        <v>535</v>
      </c>
      <c r="D660" s="4" t="s">
        <v>536</v>
      </c>
      <c r="E660" s="4" t="s">
        <v>520</v>
      </c>
      <c r="F660" s="4" t="s">
        <v>521</v>
      </c>
      <c r="G660" s="4" t="s">
        <v>290</v>
      </c>
      <c r="H660" s="5" t="e">
        <f>#REF!</f>
        <v>#REF!</v>
      </c>
      <c r="I660" s="6" t="e">
        <f t="shared" si="218"/>
        <v>#REF!</v>
      </c>
      <c r="J660" s="6" t="s">
        <v>84</v>
      </c>
      <c r="K660" s="6" t="s">
        <v>92</v>
      </c>
      <c r="L660" s="7" t="e">
        <f t="shared" si="219"/>
        <v>#REF!</v>
      </c>
      <c r="M660" s="7" t="s">
        <v>130</v>
      </c>
      <c r="O660" s="7" t="str">
        <f>IF(OR($C660="",$C660="FID YOK"),"",IF(ISNUMBER(MATCH($C660,FA_ANA,0)),"",IF(COUNTIF($C$1:$C659,$C660)&gt;0,"",MAX($O$1:$O659)+1)))</f>
        <v/>
      </c>
      <c r="T660" s="7">
        <f>IF(ISNA(MATCH($C660,FA,0)),0,IF($J660="GIRIS",N(INDEX(F_INKOR,MATCH($C660,FA,0))),0))</f>
        <v>0</v>
      </c>
      <c r="Y660" s="7" t="e">
        <f>N(#REF!)*IF($E660="упак",MAX(1,IF(ISNA(MATCH($C660,FA,0)),1,N(INDEX(F_PAKET,MATCH($C660,FA,0))))),1)</f>
        <v>#REF!</v>
      </c>
      <c r="Z660" s="7" t="e">
        <f t="shared" si="220"/>
        <v>#REF!</v>
      </c>
      <c r="AA660" s="7">
        <f>IF(OR(ISNA(MATCH($C660,FA,0)),$J660="YEDEK",$J660="SARF"),0,N(#REF!)*N(INDEX(F_TEL,MATCH($C660,FA,0))))</f>
        <v>0</v>
      </c>
      <c r="AB660" s="7">
        <f>IF(OR(ISNA(MATCH($C660,FA,0)),$J660="YEDEK",$J660="SARF"),0,N(#REF!)*N(INDEX(F_TELM,MATCH($C660,FA,0))))</f>
        <v>0</v>
      </c>
      <c r="AC660" s="7" t="e">
        <f t="shared" si="221"/>
        <v>#REF!</v>
      </c>
      <c r="AD660" s="7">
        <f>IF(OR(ISNA(MATCH($C660,FA,0)),$J660&lt;&gt;"CIKIS"),0,N(INDEX(F_KK,MATCH($C660,FA,0))))</f>
        <v>0</v>
      </c>
      <c r="AE660" s="7">
        <f>IF($AD660=0,0,N(#REF!)*N(INDEX(F_KLN,MATCH($C660,FA,0))))</f>
        <v>0</v>
      </c>
      <c r="AF660" s="7">
        <f>IF($AD660=0,0,N(#REF!)*N(INDEX(F_KPE,MATCH($C660,FA,0))))</f>
        <v>0</v>
      </c>
      <c r="AG660" s="7" t="e">
        <f>IF(ISNA(MATCH($C660,FA,0)),0,N(#REF!)*N(INDEX(F_MODUL,MATCH($C660,FA,0))))</f>
        <v>#REF!</v>
      </c>
      <c r="AH660" s="7" t="e">
        <f>N(#REF!)*N($I660)</f>
        <v>#REF!</v>
      </c>
      <c r="AI660" s="7" t="e">
        <f t="shared" si="222"/>
        <v>#REF!</v>
      </c>
      <c r="AJ660" s="7">
        <f t="shared" si="223"/>
        <v>0</v>
      </c>
    </row>
    <row r="661" spans="1:36" x14ac:dyDescent="0.25">
      <c r="A661" s="4" t="str">
        <f t="shared" si="217"/>
        <v>ЩЭ (3 кв.) (260922 akram aulet)</v>
      </c>
      <c r="B661" s="4" t="s">
        <v>92</v>
      </c>
      <c r="C661" s="4" t="s">
        <v>535</v>
      </c>
      <c r="D661" s="4" t="s">
        <v>536</v>
      </c>
      <c r="E661" s="4" t="s">
        <v>520</v>
      </c>
      <c r="F661" s="4" t="s">
        <v>521</v>
      </c>
      <c r="G661" s="4" t="s">
        <v>290</v>
      </c>
      <c r="H661" s="5" t="e">
        <f>#REF!</f>
        <v>#REF!</v>
      </c>
      <c r="I661" s="6" t="e">
        <f t="shared" si="218"/>
        <v>#REF!</v>
      </c>
      <c r="J661" s="6" t="s">
        <v>84</v>
      </c>
      <c r="K661" s="6" t="s">
        <v>92</v>
      </c>
      <c r="L661" s="7" t="e">
        <f t="shared" si="219"/>
        <v>#REF!</v>
      </c>
      <c r="M661" s="7" t="s">
        <v>100</v>
      </c>
      <c r="O661" s="7" t="str">
        <f>IF(OR($C661="",$C661="FID YOK"),"",IF(ISNUMBER(MATCH($C661,FA_ANA,0)),"",IF(COUNTIF($C$1:$C660,$C661)&gt;0,"",MAX($O$1:$O660)+1)))</f>
        <v/>
      </c>
      <c r="T661" s="7">
        <f>IF(ISNA(MATCH($C661,FA,0)),0,IF($J661="GIRIS",N(INDEX(F_INKOR,MATCH($C661,FA,0))),0))</f>
        <v>0</v>
      </c>
      <c r="Y661" s="7" t="e">
        <f>N(#REF!)*IF($E661="упак",MAX(1,IF(ISNA(MATCH($C661,FA,0)),1,N(INDEX(F_PAKET,MATCH($C661,FA,0))))),1)</f>
        <v>#REF!</v>
      </c>
      <c r="Z661" s="7" t="e">
        <f t="shared" si="220"/>
        <v>#REF!</v>
      </c>
      <c r="AA661" s="7">
        <f>IF(OR(ISNA(MATCH($C661,FA,0)),$J661="YEDEK",$J661="SARF"),0,N(#REF!)*N(INDEX(F_TEL,MATCH($C661,FA,0))))</f>
        <v>0</v>
      </c>
      <c r="AB661" s="7">
        <f>IF(OR(ISNA(MATCH($C661,FA,0)),$J661="YEDEK",$J661="SARF"),0,N(#REF!)*N(INDEX(F_TELM,MATCH($C661,FA,0))))</f>
        <v>0</v>
      </c>
      <c r="AC661" s="7" t="e">
        <f t="shared" si="221"/>
        <v>#REF!</v>
      </c>
      <c r="AD661" s="7">
        <f>IF(OR(ISNA(MATCH($C661,FA,0)),$J661&lt;&gt;"CIKIS"),0,N(INDEX(F_KK,MATCH($C661,FA,0))))</f>
        <v>0</v>
      </c>
      <c r="AE661" s="7">
        <f>IF($AD661=0,0,N(#REF!)*N(INDEX(F_KLN,MATCH($C661,FA,0))))</f>
        <v>0</v>
      </c>
      <c r="AF661" s="7">
        <f>IF($AD661=0,0,N(#REF!)*N(INDEX(F_KPE,MATCH($C661,FA,0))))</f>
        <v>0</v>
      </c>
      <c r="AG661" s="7" t="e">
        <f>IF(ISNA(MATCH($C661,FA,0)),0,N(#REF!)*N(INDEX(F_MODUL,MATCH($C661,FA,0))))</f>
        <v>#REF!</v>
      </c>
      <c r="AH661" s="7" t="e">
        <f>N(#REF!)*N($I661)</f>
        <v>#REF!</v>
      </c>
      <c r="AI661" s="7" t="e">
        <f t="shared" si="222"/>
        <v>#REF!</v>
      </c>
      <c r="AJ661" s="7">
        <f t="shared" si="223"/>
        <v>0</v>
      </c>
    </row>
    <row r="662" spans="1:36" x14ac:dyDescent="0.25">
      <c r="A662" s="4" t="str">
        <f t="shared" si="217"/>
        <v>ЩЭ (3 кв.) (260922 akram aulet)</v>
      </c>
      <c r="B662" s="4" t="s">
        <v>101</v>
      </c>
      <c r="C662" s="4" t="s">
        <v>529</v>
      </c>
      <c r="D662" s="4" t="s">
        <v>530</v>
      </c>
      <c r="E662" s="4" t="s">
        <v>522</v>
      </c>
      <c r="F662" s="4" t="s">
        <v>486</v>
      </c>
      <c r="G662" s="4" t="s">
        <v>290</v>
      </c>
      <c r="H662" s="5" t="e">
        <f>#REF!</f>
        <v>#REF!</v>
      </c>
      <c r="I662" s="6" t="e">
        <f t="shared" si="218"/>
        <v>#REF!</v>
      </c>
      <c r="J662" s="6" t="s">
        <v>84</v>
      </c>
      <c r="K662" s="6" t="s">
        <v>101</v>
      </c>
      <c r="L662" s="7" t="e">
        <f t="shared" si="219"/>
        <v>#REF!</v>
      </c>
      <c r="M662" s="7" t="s">
        <v>103</v>
      </c>
      <c r="O662" s="7" t="str">
        <f>IF(OR($C662="",$C662="FID YOK"),"",IF(ISNUMBER(MATCH($C662,FA_ANA,0)),"",IF(COUNTIF($C$1:$C661,$C662)&gt;0,"",MAX($O$1:$O661)+1)))</f>
        <v/>
      </c>
      <c r="T662" s="7">
        <f>IF(ISNA(MATCH($C662,FA,0)),0,IF($J662="GIRIS",N(INDEX(F_INKOR,MATCH($C662,FA,0))),0))</f>
        <v>0</v>
      </c>
      <c r="Y662" s="7" t="e">
        <f>N(#REF!)*IF($E662="упак",MAX(1,IF(ISNA(MATCH($C662,FA,0)),1,N(INDEX(F_PAKET,MATCH($C662,FA,0))))),1)</f>
        <v>#REF!</v>
      </c>
      <c r="Z662" s="7" t="e">
        <f t="shared" si="220"/>
        <v>#REF!</v>
      </c>
      <c r="AA662" s="7">
        <f>IF(OR(ISNA(MATCH($C662,FA,0)),$J662="YEDEK",$J662="SARF"),0,N(#REF!)*N(INDEX(F_TEL,MATCH($C662,FA,0))))</f>
        <v>0</v>
      </c>
      <c r="AB662" s="7">
        <f>IF(OR(ISNA(MATCH($C662,FA,0)),$J662="YEDEK",$J662="SARF"),0,N(#REF!)*N(INDEX(F_TELM,MATCH($C662,FA,0))))</f>
        <v>0</v>
      </c>
      <c r="AC662" s="7" t="e">
        <f t="shared" si="221"/>
        <v>#REF!</v>
      </c>
      <c r="AD662" s="7">
        <f>IF(OR(ISNA(MATCH($C662,FA,0)),$J662&lt;&gt;"CIKIS"),0,N(INDEX(F_KK,MATCH($C662,FA,0))))</f>
        <v>0</v>
      </c>
      <c r="AE662" s="7">
        <f>IF($AD662=0,0,N(#REF!)*N(INDEX(F_KLN,MATCH($C662,FA,0))))</f>
        <v>0</v>
      </c>
      <c r="AF662" s="7">
        <f>IF($AD662=0,0,N(#REF!)*N(INDEX(F_KPE,MATCH($C662,FA,0))))</f>
        <v>0</v>
      </c>
      <c r="AG662" s="7" t="e">
        <f>IF(ISNA(MATCH($C662,FA,0)),0,N(#REF!)*N(INDEX(F_MODUL,MATCH($C662,FA,0))))</f>
        <v>#REF!</v>
      </c>
      <c r="AH662" s="7" t="e">
        <f>N(#REF!)*N($I662)</f>
        <v>#REF!</v>
      </c>
      <c r="AI662" s="7" t="e">
        <f t="shared" si="222"/>
        <v>#REF!</v>
      </c>
      <c r="AJ662" s="7">
        <f t="shared" si="223"/>
        <v>0</v>
      </c>
    </row>
    <row r="663" spans="1:36" x14ac:dyDescent="0.25">
      <c r="A663" s="4" t="str">
        <f t="shared" si="217"/>
        <v>ЩЭ (3 кв.) (260922 akram aulet)</v>
      </c>
      <c r="B663" s="4" t="s">
        <v>101</v>
      </c>
      <c r="C663" s="4" t="s">
        <v>537</v>
      </c>
      <c r="D663" s="4" t="s">
        <v>538</v>
      </c>
      <c r="E663" s="4" t="s">
        <v>522</v>
      </c>
      <c r="F663" s="4" t="s">
        <v>486</v>
      </c>
      <c r="G663" s="4" t="s">
        <v>290</v>
      </c>
      <c r="H663" s="5" t="e">
        <f>#REF!</f>
        <v>#REF!</v>
      </c>
      <c r="I663" s="6" t="e">
        <f t="shared" si="218"/>
        <v>#REF!</v>
      </c>
      <c r="J663" s="6" t="s">
        <v>84</v>
      </c>
      <c r="K663" s="6" t="s">
        <v>101</v>
      </c>
      <c r="L663" s="7" t="e">
        <f t="shared" si="219"/>
        <v>#REF!</v>
      </c>
      <c r="M663" s="7" t="s">
        <v>205</v>
      </c>
      <c r="O663" s="7" t="str">
        <f>IF(OR($C663="",$C663="FID YOK"),"",IF(ISNUMBER(MATCH($C663,FA_ANA,0)),"",IF(COUNTIF($C$1:$C662,$C663)&gt;0,"",MAX($O$1:$O662)+1)))</f>
        <v/>
      </c>
      <c r="T663" s="7">
        <f>IF(ISNA(MATCH($C663,FA,0)),0,IF($J663="GIRIS",N(INDEX(F_INKOR,MATCH($C663,FA,0))),0))</f>
        <v>0</v>
      </c>
      <c r="Y663" s="7" t="e">
        <f>N(#REF!)*IF($E663="упак",MAX(1,IF(ISNA(MATCH($C663,FA,0)),1,N(INDEX(F_PAKET,MATCH($C663,FA,0))))),1)</f>
        <v>#REF!</v>
      </c>
      <c r="Z663" s="7" t="e">
        <f t="shared" si="220"/>
        <v>#REF!</v>
      </c>
      <c r="AA663" s="7">
        <f>IF(OR(ISNA(MATCH($C663,FA,0)),$J663="YEDEK",$J663="SARF"),0,N(#REF!)*N(INDEX(F_TEL,MATCH($C663,FA,0))))</f>
        <v>0</v>
      </c>
      <c r="AB663" s="7">
        <f>IF(OR(ISNA(MATCH($C663,FA,0)),$J663="YEDEK",$J663="SARF"),0,N(#REF!)*N(INDEX(F_TELM,MATCH($C663,FA,0))))</f>
        <v>0</v>
      </c>
      <c r="AC663" s="7" t="e">
        <f t="shared" si="221"/>
        <v>#REF!</v>
      </c>
      <c r="AD663" s="7">
        <f>IF(OR(ISNA(MATCH($C663,FA,0)),$J663&lt;&gt;"CIKIS"),0,N(INDEX(F_KK,MATCH($C663,FA,0))))</f>
        <v>0</v>
      </c>
      <c r="AE663" s="7">
        <f>IF($AD663=0,0,N(#REF!)*N(INDEX(F_KLN,MATCH($C663,FA,0))))</f>
        <v>0</v>
      </c>
      <c r="AF663" s="7">
        <f>IF($AD663=0,0,N(#REF!)*N(INDEX(F_KPE,MATCH($C663,FA,0))))</f>
        <v>0</v>
      </c>
      <c r="AG663" s="7" t="e">
        <f>IF(ISNA(MATCH($C663,FA,0)),0,N(#REF!)*N(INDEX(F_MODUL,MATCH($C663,FA,0))))</f>
        <v>#REF!</v>
      </c>
      <c r="AH663" s="7" t="e">
        <f>N(#REF!)*N($I663)</f>
        <v>#REF!</v>
      </c>
      <c r="AI663" s="7" t="e">
        <f t="shared" si="222"/>
        <v>#REF!</v>
      </c>
      <c r="AJ663" s="7">
        <f t="shared" si="223"/>
        <v>0</v>
      </c>
    </row>
    <row r="664" spans="1:36" x14ac:dyDescent="0.25">
      <c r="A664" s="4" t="str">
        <f t="shared" si="217"/>
        <v>ЩЭ (3 кв.) (260922 akram aulet)</v>
      </c>
      <c r="B664" s="4" t="s">
        <v>105</v>
      </c>
      <c r="C664" s="4" t="s">
        <v>539</v>
      </c>
      <c r="D664" s="4" t="s">
        <v>540</v>
      </c>
      <c r="E664" s="4" t="s">
        <v>114</v>
      </c>
      <c r="F664" s="4" t="s">
        <v>486</v>
      </c>
      <c r="G664" s="4" t="s">
        <v>290</v>
      </c>
      <c r="H664" s="5" t="e">
        <f>#REF!</f>
        <v>#REF!</v>
      </c>
      <c r="I664" s="6" t="e">
        <f t="shared" si="218"/>
        <v>#REF!</v>
      </c>
      <c r="J664" s="6" t="s">
        <v>84</v>
      </c>
      <c r="K664" s="6" t="s">
        <v>105</v>
      </c>
      <c r="L664" s="7" t="e">
        <f t="shared" si="219"/>
        <v>#REF!</v>
      </c>
      <c r="M664" s="7" t="s">
        <v>110</v>
      </c>
      <c r="O664" s="7" t="str">
        <f>IF(OR($C664="",$C664="FID YOK"),"",IF(ISNUMBER(MATCH($C664,FA_ANA,0)),"",IF(COUNTIF($C$1:$C663,$C664)&gt;0,"",MAX($O$1:$O663)+1)))</f>
        <v/>
      </c>
      <c r="T664" s="7">
        <f>IF(ISNA(MATCH($C664,FA,0)),0,IF($J664="GIRIS",N(INDEX(F_INKOR,MATCH($C664,FA,0))),0))</f>
        <v>0</v>
      </c>
      <c r="Y664" s="7" t="e">
        <f>N(#REF!)*IF($E664="упак",MAX(1,IF(ISNA(MATCH($C664,FA,0)),1,N(INDEX(F_PAKET,MATCH($C664,FA,0))))),1)</f>
        <v>#REF!</v>
      </c>
      <c r="Z664" s="7" t="e">
        <f t="shared" si="220"/>
        <v>#REF!</v>
      </c>
      <c r="AA664" s="7">
        <f>IF(OR(ISNA(MATCH($C664,FA,0)),$J664="YEDEK",$J664="SARF"),0,N(#REF!)*N(INDEX(F_TEL,MATCH($C664,FA,0))))</f>
        <v>0</v>
      </c>
      <c r="AB664" s="7">
        <f>IF(OR(ISNA(MATCH($C664,FA,0)),$J664="YEDEK",$J664="SARF"),0,N(#REF!)*N(INDEX(F_TELM,MATCH($C664,FA,0))))</f>
        <v>0</v>
      </c>
      <c r="AC664" s="7" t="e">
        <f t="shared" si="221"/>
        <v>#REF!</v>
      </c>
      <c r="AD664" s="7">
        <f>IF(OR(ISNA(MATCH($C664,FA,0)),$J664&lt;&gt;"CIKIS"),0,N(INDEX(F_KK,MATCH($C664,FA,0))))</f>
        <v>0</v>
      </c>
      <c r="AE664" s="7">
        <f>IF($AD664=0,0,N(#REF!)*N(INDEX(F_KLN,MATCH($C664,FA,0))))</f>
        <v>0</v>
      </c>
      <c r="AF664" s="7">
        <f>IF($AD664=0,0,N(#REF!)*N(INDEX(F_KPE,MATCH($C664,FA,0))))</f>
        <v>0</v>
      </c>
      <c r="AG664" s="7" t="e">
        <f>IF(ISNA(MATCH($C664,FA,0)),0,N(#REF!)*N(INDEX(F_MODUL,MATCH($C664,FA,0))))</f>
        <v>#REF!</v>
      </c>
      <c r="AH664" s="7" t="e">
        <f>N(#REF!)*N($I664)</f>
        <v>#REF!</v>
      </c>
      <c r="AI664" s="7" t="e">
        <f t="shared" si="222"/>
        <v>#REF!</v>
      </c>
      <c r="AJ664" s="7">
        <f t="shared" si="223"/>
        <v>0</v>
      </c>
    </row>
    <row r="665" spans="1:36" x14ac:dyDescent="0.25">
      <c r="A665" s="4" t="str">
        <f t="shared" si="217"/>
        <v>ЩЭ (3 кв.) (260922 akram aulet)</v>
      </c>
      <c r="B665" s="4" t="s">
        <v>111</v>
      </c>
      <c r="C665" s="4" t="s">
        <v>571</v>
      </c>
      <c r="D665" s="4" t="s">
        <v>572</v>
      </c>
      <c r="E665" s="4" t="s">
        <v>522</v>
      </c>
      <c r="F665" s="4" t="s">
        <v>486</v>
      </c>
      <c r="G665" s="4" t="s">
        <v>290</v>
      </c>
      <c r="H665" s="5" t="e">
        <f>#REF!</f>
        <v>#REF!</v>
      </c>
      <c r="I665" s="6" t="e">
        <f t="shared" si="218"/>
        <v>#REF!</v>
      </c>
      <c r="J665" s="6" t="s">
        <v>84</v>
      </c>
      <c r="K665" s="6" t="s">
        <v>111</v>
      </c>
      <c r="L665" s="7" t="e">
        <f t="shared" si="219"/>
        <v>#REF!</v>
      </c>
      <c r="M665" s="7" t="s">
        <v>112</v>
      </c>
      <c r="O665" s="7" t="str">
        <f>IF(OR($C665="",$C665="FID YOK"),"",IF(ISNUMBER(MATCH($C665,FA_ANA,0)),"",IF(COUNTIF($C$1:$C664,$C665)&gt;0,"",MAX($O$1:$O664)+1)))</f>
        <v/>
      </c>
      <c r="T665" s="7">
        <f>IF(ISNA(MATCH($C665,FA,0)),0,IF($J665="GIRIS",N(INDEX(F_INKOR,MATCH($C665,FA,0))),0))</f>
        <v>0</v>
      </c>
      <c r="Y665" s="7" t="e">
        <f>N(#REF!)*IF($E665="упак",MAX(1,IF(ISNA(MATCH($C665,FA,0)),1,N(INDEX(F_PAKET,MATCH($C665,FA,0))))),1)</f>
        <v>#REF!</v>
      </c>
      <c r="Z665" s="7" t="e">
        <f t="shared" si="220"/>
        <v>#REF!</v>
      </c>
      <c r="AA665" s="7">
        <f>IF(OR(ISNA(MATCH($C665,FA,0)),$J665="YEDEK",$J665="SARF"),0,N(#REF!)*N(INDEX(F_TEL,MATCH($C665,FA,0))))</f>
        <v>0</v>
      </c>
      <c r="AB665" s="7">
        <f>IF(OR(ISNA(MATCH($C665,FA,0)),$J665="YEDEK",$J665="SARF"),0,N(#REF!)*N(INDEX(F_TELM,MATCH($C665,FA,0))))</f>
        <v>0</v>
      </c>
      <c r="AC665" s="7" t="e">
        <f t="shared" si="221"/>
        <v>#REF!</v>
      </c>
      <c r="AD665" s="7">
        <f>IF(OR(ISNA(MATCH($C665,FA,0)),$J665&lt;&gt;"CIKIS"),0,N(INDEX(F_KK,MATCH($C665,FA,0))))</f>
        <v>0</v>
      </c>
      <c r="AE665" s="7">
        <f>IF($AD665=0,0,N(#REF!)*N(INDEX(F_KLN,MATCH($C665,FA,0))))</f>
        <v>0</v>
      </c>
      <c r="AF665" s="7">
        <f>IF($AD665=0,0,N(#REF!)*N(INDEX(F_KPE,MATCH($C665,FA,0))))</f>
        <v>0</v>
      </c>
      <c r="AG665" s="7" t="e">
        <f>IF(ISNA(MATCH($C665,FA,0)),0,N(#REF!)*N(INDEX(F_MODUL,MATCH($C665,FA,0))))</f>
        <v>#REF!</v>
      </c>
      <c r="AH665" s="7" t="e">
        <f>N(#REF!)*N($I665)</f>
        <v>#REF!</v>
      </c>
      <c r="AI665" s="7" t="e">
        <f t="shared" si="222"/>
        <v>#REF!</v>
      </c>
      <c r="AJ665" s="7">
        <f t="shared" si="223"/>
        <v>0</v>
      </c>
    </row>
    <row r="666" spans="1:36" x14ac:dyDescent="0.25">
      <c r="A666" s="4" t="str">
        <f t="shared" si="217"/>
        <v>ЩЭ (3 кв.) (260922 akram aulet)</v>
      </c>
      <c r="B666" s="4" t="s">
        <v>113</v>
      </c>
      <c r="C666" s="4" t="s">
        <v>113</v>
      </c>
      <c r="D666" s="4" t="s">
        <v>113</v>
      </c>
      <c r="E666" s="4" t="s">
        <v>114</v>
      </c>
      <c r="F666" s="4" t="s">
        <v>113</v>
      </c>
      <c r="G666" s="4" t="s">
        <v>290</v>
      </c>
      <c r="H666" s="5" t="e">
        <f>#REF!</f>
        <v>#REF!</v>
      </c>
      <c r="I666" s="6" t="e">
        <f t="shared" si="218"/>
        <v>#REF!</v>
      </c>
    </row>
    <row r="667" spans="1:36" x14ac:dyDescent="0.25">
      <c r="A667" s="4" t="str">
        <f t="shared" si="217"/>
        <v>ЩЭ (3 кв.) (260922 akram aulet)</v>
      </c>
      <c r="B667" s="4" t="s">
        <v>115</v>
      </c>
      <c r="C667" s="4" t="s">
        <v>115</v>
      </c>
      <c r="D667" s="4" t="s">
        <v>115</v>
      </c>
      <c r="E667" s="4" t="s">
        <v>116</v>
      </c>
      <c r="F667" s="4" t="s">
        <v>115</v>
      </c>
      <c r="G667" s="4" t="s">
        <v>290</v>
      </c>
      <c r="H667" s="5" t="e">
        <f>#REF!</f>
        <v>#REF!</v>
      </c>
      <c r="I667" s="6" t="e">
        <f t="shared" si="218"/>
        <v>#REF!</v>
      </c>
    </row>
    <row r="668" spans="1:36" x14ac:dyDescent="0.25">
      <c r="A668" s="1" t="str">
        <f>D668</f>
        <v>ЩЭ (4 кв.) (260922 akram aulet)</v>
      </c>
      <c r="B668" s="2"/>
      <c r="C668" s="2"/>
      <c r="D668" s="1" t="s">
        <v>348</v>
      </c>
      <c r="E668" s="1" t="s">
        <v>36</v>
      </c>
      <c r="F668" s="1" t="s">
        <v>37</v>
      </c>
      <c r="G668" s="1" t="s">
        <v>258</v>
      </c>
      <c r="I668" s="3" t="e">
        <f>#REF!</f>
        <v>#REF!</v>
      </c>
    </row>
    <row r="669" spans="1:36" x14ac:dyDescent="0.25">
      <c r="A669" s="4" t="str">
        <f t="shared" ref="A669:A683" si="224">A668</f>
        <v>ЩЭ (4 кв.) (260922 akram aulet)</v>
      </c>
      <c r="B669" s="14" t="s">
        <v>39</v>
      </c>
      <c r="C669" s="4" t="s">
        <v>596</v>
      </c>
      <c r="D669" s="4" t="s">
        <v>597</v>
      </c>
      <c r="E669" s="4" t="s">
        <v>114</v>
      </c>
      <c r="F669" s="4" t="s">
        <v>491</v>
      </c>
      <c r="G669" s="4" t="s">
        <v>258</v>
      </c>
      <c r="H669" s="5" t="e">
        <f>#REF!</f>
        <v>#REF!</v>
      </c>
      <c r="I669" s="6" t="e">
        <f t="shared" ref="I669:I683" si="225">I668</f>
        <v>#REF!</v>
      </c>
      <c r="J669" s="6" t="s">
        <v>40</v>
      </c>
      <c r="K669" s="6" t="s">
        <v>291</v>
      </c>
      <c r="L669" s="7" t="e">
        <f t="shared" ref="L669:L681" si="226">IF(ISNA(MATCH($C669,FA,0)),"ARTİKÜL YOK",INDEX(FIYAT_DURUM,MATCH($C669,FA,0)))</f>
        <v>#REF!</v>
      </c>
      <c r="M669" s="7" t="s">
        <v>349</v>
      </c>
      <c r="N669" s="7" t="s">
        <v>350</v>
      </c>
      <c r="O669" s="7">
        <f>IF(OR($C669="",$C669="FID YOK"),"",IF(ISNUMBER(MATCH($C669,FA_ANA,0)),"",IF(COUNTIF($C$1:$C668,$C669)&gt;0,"",MAX($O$1:$O668)+1)))</f>
        <v>109</v>
      </c>
      <c r="Q669" s="7"/>
      <c r="R669" s="7"/>
      <c r="S669" s="7"/>
      <c r="T669" s="7">
        <f>IF(ISNA(MATCH($C669,FA,0)),0,IF($J669="GIRIS",N(INDEX(F_INKOR,MATCH($C669,FA,0))),0))</f>
        <v>0</v>
      </c>
      <c r="U669" s="7"/>
      <c r="V669" s="7"/>
      <c r="W669" s="7"/>
      <c r="X669" s="7"/>
      <c r="Y669" s="7" t="e">
        <f>N(#REF!)*IF($E669="упак",MAX(1,IF(ISNA(MATCH($C669,FA,0)),1,N(INDEX(F_PAKET,MATCH($C669,FA,0))))),1)</f>
        <v>#REF!</v>
      </c>
      <c r="Z669" s="7" t="e">
        <f t="shared" ref="Z669:Z681" si="227">IF(ISNA(MATCH($C669,FA,0)),0,N(INDEX(F_BK,MATCH($C669,FA,0))))</f>
        <v>#REF!</v>
      </c>
      <c r="AA669" s="7" t="e">
        <f>IF(OR(ISNA(MATCH($C669,FA,0)),$J669="YEDEK",$J669="SARF"),0,N(#REF!)*N(INDEX(F_TEL,MATCH($C669,FA,0))))</f>
        <v>#REF!</v>
      </c>
      <c r="AB669" s="7" t="e">
        <f>IF(OR(ISNA(MATCH($C669,FA,0)),$J669="YEDEK",$J669="SARF"),0,N(#REF!)*N(INDEX(F_TELM,MATCH($C669,FA,0))))</f>
        <v>#REF!</v>
      </c>
      <c r="AC669" s="7" t="e">
        <f t="shared" ref="AC669:AC681" si="228">IF(ISNA(MATCH($C669,FA,0)),"",INDEX(F_UC,MATCH($C669,FA,0))&amp;"")</f>
        <v>#REF!</v>
      </c>
      <c r="AD669" s="7">
        <f>IF(OR(ISNA(MATCH($C669,FA,0)),$J669&lt;&gt;"CIKIS"),0,N(INDEX(F_KK,MATCH($C669,FA,0))))</f>
        <v>0</v>
      </c>
      <c r="AE669" s="7">
        <f>IF($AD669=0,0,N(#REF!)*N(INDEX(F_KLN,MATCH($C669,FA,0))))</f>
        <v>0</v>
      </c>
      <c r="AF669" s="7">
        <f>IF($AD669=0,0,N(#REF!)*N(INDEX(F_KPE,MATCH($C669,FA,0))))</f>
        <v>0</v>
      </c>
      <c r="AG669" s="7" t="e">
        <f>IF(ISNA(MATCH($C669,FA,0)),0,N(#REF!)*N(INDEX(F_MODUL,MATCH($C669,FA,0))))</f>
        <v>#REF!</v>
      </c>
      <c r="AH669" s="7" t="e">
        <f>N(#REF!)*N($I669)</f>
        <v>#REF!</v>
      </c>
      <c r="AI669" s="7" t="e">
        <f t="shared" ref="AI669:AI681" si="229">IF(ISNA(MATCH($K669,TIP_AD,0)),"YOK",IF(INDEX(NORM_DK,MATCH($K669,TIP_AD,0))="","BOŞ",INDEX(NORM_DK,MATCH($K669,TIP_AD,0))))</f>
        <v>#REF!</v>
      </c>
      <c r="AJ669" s="7">
        <f t="shared" ref="AJ669:AJ681" si="230">IF(ISNUMBER($AI669),$Y669*$AI669,0)</f>
        <v>0</v>
      </c>
    </row>
    <row r="670" spans="1:36" x14ac:dyDescent="0.25">
      <c r="A670" s="4" t="str">
        <f t="shared" si="224"/>
        <v>ЩЭ (4 кв.) (260922 akram aulet)</v>
      </c>
      <c r="B670" s="4" t="s">
        <v>198</v>
      </c>
      <c r="C670" s="4" t="s">
        <v>375</v>
      </c>
      <c r="D670" s="4" t="s">
        <v>376</v>
      </c>
      <c r="E670" s="4" t="s">
        <v>114</v>
      </c>
      <c r="F670" s="4" t="s">
        <v>377</v>
      </c>
      <c r="G670" s="4" t="s">
        <v>258</v>
      </c>
      <c r="H670" s="5" t="e">
        <f>#REF!</f>
        <v>#REF!</v>
      </c>
      <c r="I670" s="6" t="e">
        <f t="shared" si="225"/>
        <v>#REF!</v>
      </c>
      <c r="J670" s="6" t="s">
        <v>48</v>
      </c>
      <c r="K670" s="6" t="s">
        <v>198</v>
      </c>
      <c r="L670" s="7" t="e">
        <f t="shared" si="226"/>
        <v>#REF!</v>
      </c>
      <c r="M670" s="7" t="s">
        <v>343</v>
      </c>
      <c r="N670" s="7" t="s">
        <v>344</v>
      </c>
      <c r="O670" s="7" t="str">
        <f>IF(OR($C670="",$C670="FID YOK"),"",IF(ISNUMBER(MATCH($C670,FA_ANA,0)),"",IF(COUNTIF($C$1:$C669,$C670)&gt;0,"",MAX($O$1:$O669)+1)))</f>
        <v/>
      </c>
      <c r="P670" s="8">
        <v>2</v>
      </c>
      <c r="Q670" s="7" t="e">
        <f>IF(OR($P670="",$P670="G",ISNA(MATCH($C670,FA,0))),"",IF(N(INDEX(F_G,MATCH($C670,FA,0)))&gt;0,INDEX(F_G,MATCH($C670,FA,0)),IF(N(INDEX(F_MODUL,MATCH($C670,FA,0)))&gt;0,INDEX(F_MODUL,MATCH($C670,FA,0))*MODUL_MM,"")))</f>
        <v>#REF!</v>
      </c>
      <c r="R670" s="7" t="e">
        <f>IF(OR($P670="",$P670="G",ISNA(MATCH($C670,FA,0))),"",IF(N(INDEX(F_Y,MATCH($C670,FA,0)))&gt;0,INDEX(F_Y,MATCH($C670,FA,0)),""))</f>
        <v>#REF!</v>
      </c>
      <c r="S670" s="7" t="e">
        <f>IF(OR($P670="",$P670="G",ISNA(MATCH($C670,FA,0))),"",IF(N(INDEX(F_D,MATCH($C670,FA,0)))&gt;0,INDEX(F_D,MATCH($C670,FA,0)),""))</f>
        <v>#REF!</v>
      </c>
      <c r="T670" s="7" t="e">
        <f>IF(ISNA(MATCH($C670,FA,0)),0,IF($J670="GIRIS",N(INDEX(F_INKOR,MATCH($C670,FA,0))),0))</f>
        <v>#REF!</v>
      </c>
      <c r="U670" s="7" t="e">
        <f>IF(ISNA(MATCH($B670,TIP_AD,0)),"",INDEX(TIP_KAT,MATCH($B670,TIP_AD,0))&amp;"")</f>
        <v>#REF!</v>
      </c>
      <c r="V670" s="7" t="e">
        <f>IF(NOT(ISNUMBER($P670)),"",IF($Z670=0,0,IF(ISNA(MATCH($Z670,BUK_KESIT,0)),"",IF(INDEX(BUK_ALAN,MATCH($Z670,BUK_KESIT,0))&amp;""="","",INDEX(BUK_ALAN,MATCH($Z670,BUK_KESIT,0))))))</f>
        <v>#REF!</v>
      </c>
      <c r="W670" s="7" t="e">
        <f>IF(OR(NOT(ISNUMBER($P670)),$Q670=""),"",N(#REF!)*($Q670+IF(ISNA(MATCH($B670,TIP_AD,0)),0,N(INDEX(TIP_BOSLUK,MATCH($B670,TIP_AD,0))))))</f>
        <v>#REF!</v>
      </c>
      <c r="X670" s="7" t="e">
        <f>IF(ISNUMBER($P670),($Q670="")+($R670="")+($V670="")+IF(AND($U670="KONTAKTOR",NOT(ISNA(MATCH($B670,TIP_AD,0)))),IF(INDEX(TIP_BOSLUK,MATCH($B670,TIP_AD,0))&amp;""="",1,0),0),IF($P670="K",IF($S670="",1,0),0))</f>
        <v>#REF!</v>
      </c>
      <c r="Y670" s="7" t="e">
        <f>N(#REF!)*IF($E670="упак",MAX(1,IF(ISNA(MATCH($C670,FA,0)),1,N(INDEX(F_PAKET,MATCH($C670,FA,0))))),1)</f>
        <v>#REF!</v>
      </c>
      <c r="Z670" s="7" t="e">
        <f t="shared" si="227"/>
        <v>#REF!</v>
      </c>
      <c r="AA670" s="7" t="e">
        <f>IF(OR(ISNA(MATCH($C670,FA,0)),$J670="YEDEK",$J670="SARF"),0,N(#REF!)*N(INDEX(F_TEL,MATCH($C670,FA,0))))</f>
        <v>#REF!</v>
      </c>
      <c r="AB670" s="7" t="e">
        <f>IF(OR(ISNA(MATCH($C670,FA,0)),$J670="YEDEK",$J670="SARF"),0,N(#REF!)*N(INDEX(F_TELM,MATCH($C670,FA,0))))</f>
        <v>#REF!</v>
      </c>
      <c r="AC670" s="7" t="e">
        <f t="shared" si="228"/>
        <v>#REF!</v>
      </c>
      <c r="AD670" s="7">
        <f>IF(OR(ISNA(MATCH($C670,FA,0)),$J670&lt;&gt;"CIKIS"),0,N(INDEX(F_KK,MATCH($C670,FA,0))))</f>
        <v>0</v>
      </c>
      <c r="AE670" s="7">
        <f>IF($AD670=0,0,N(#REF!)*N(INDEX(F_KLN,MATCH($C670,FA,0))))</f>
        <v>0</v>
      </c>
      <c r="AF670" s="7">
        <f>IF($AD670=0,0,N(#REF!)*N(INDEX(F_KPE,MATCH($C670,FA,0))))</f>
        <v>0</v>
      </c>
      <c r="AG670" s="7" t="e">
        <f>IF(ISNA(MATCH($C670,FA,0)),0,N(#REF!)*N(INDEX(F_MODUL,MATCH($C670,FA,0))))</f>
        <v>#REF!</v>
      </c>
      <c r="AH670" s="7" t="e">
        <f>N(#REF!)*N($I670)</f>
        <v>#REF!</v>
      </c>
      <c r="AI670" s="7" t="e">
        <f t="shared" si="229"/>
        <v>#REF!</v>
      </c>
      <c r="AJ670" s="7">
        <f t="shared" si="230"/>
        <v>0</v>
      </c>
    </row>
    <row r="671" spans="1:36" x14ac:dyDescent="0.25">
      <c r="A671" s="4" t="str">
        <f t="shared" si="224"/>
        <v>ЩЭ (4 кв.) (260922 akram aulet)</v>
      </c>
      <c r="B671" s="4" t="s">
        <v>61</v>
      </c>
      <c r="C671" s="4" t="s">
        <v>480</v>
      </c>
      <c r="D671" s="4" t="s">
        <v>481</v>
      </c>
      <c r="E671" s="4" t="s">
        <v>114</v>
      </c>
      <c r="F671" s="4" t="s">
        <v>479</v>
      </c>
      <c r="G671" s="4" t="s">
        <v>258</v>
      </c>
      <c r="H671" s="5" t="e">
        <f>#REF!</f>
        <v>#REF!</v>
      </c>
      <c r="I671" s="6" t="e">
        <f t="shared" si="225"/>
        <v>#REF!</v>
      </c>
      <c r="J671" s="6" t="s">
        <v>62</v>
      </c>
      <c r="K671" s="6" t="s">
        <v>61</v>
      </c>
      <c r="L671" s="7" t="e">
        <f t="shared" si="226"/>
        <v>#REF!</v>
      </c>
      <c r="M671" s="7" t="s">
        <v>345</v>
      </c>
      <c r="N671" s="7" t="s">
        <v>278</v>
      </c>
      <c r="O671" s="7" t="str">
        <f>IF(OR($C671="",$C671="FID YOK"),"",IF(ISNUMBER(MATCH($C671,FA_ANA,0)),"",IF(COUNTIF($C$1:$C670,$C671)&gt;0,"",MAX($O$1:$O670)+1)))</f>
        <v/>
      </c>
      <c r="P671" s="8">
        <v>1</v>
      </c>
      <c r="Q671" s="7" t="e">
        <f>IF(OR($P671="",$P671="G",ISNA(MATCH($C671,FA,0))),"",IF(N(INDEX(F_G,MATCH($C671,FA,0)))&gt;0,INDEX(F_G,MATCH($C671,FA,0)),IF(N(INDEX(F_MODUL,MATCH($C671,FA,0)))&gt;0,INDEX(F_MODUL,MATCH($C671,FA,0))*MODUL_MM,"")))</f>
        <v>#REF!</v>
      </c>
      <c r="R671" s="7" t="e">
        <f>IF(OR($P671="",$P671="G",ISNA(MATCH($C671,FA,0))),"",IF(N(INDEX(F_Y,MATCH($C671,FA,0)))&gt;0,INDEX(F_Y,MATCH($C671,FA,0)),""))</f>
        <v>#REF!</v>
      </c>
      <c r="S671" s="7" t="e">
        <f>IF(OR($P671="",$P671="G",ISNA(MATCH($C671,FA,0))),"",IF(N(INDEX(F_D,MATCH($C671,FA,0)))&gt;0,INDEX(F_D,MATCH($C671,FA,0)),""))</f>
        <v>#REF!</v>
      </c>
      <c r="T671" s="7">
        <f>IF(ISNA(MATCH($C671,FA,0)),0,IF($J671="GIRIS",N(INDEX(F_INKOR,MATCH($C671,FA,0))),0))</f>
        <v>0</v>
      </c>
      <c r="U671" s="7" t="e">
        <f>IF(ISNA(MATCH($B671,TIP_AD,0)),"",INDEX(TIP_KAT,MATCH($B671,TIP_AD,0))&amp;"")</f>
        <v>#REF!</v>
      </c>
      <c r="V671" s="7" t="e">
        <f>IF(NOT(ISNUMBER($P671)),"",IF($Z671=0,0,IF(ISNA(MATCH($Z671,BUK_KESIT,0)),"",IF(INDEX(BUK_ALAN,MATCH($Z671,BUK_KESIT,0))&amp;""="","",INDEX(BUK_ALAN,MATCH($Z671,BUK_KESIT,0))))))</f>
        <v>#REF!</v>
      </c>
      <c r="W671" s="7" t="e">
        <f>IF(OR(NOT(ISNUMBER($P671)),$Q671=""),"",N(#REF!)*($Q671+IF(ISNA(MATCH($B671,TIP_AD,0)),0,N(INDEX(TIP_BOSLUK,MATCH($B671,TIP_AD,0))))))</f>
        <v>#REF!</v>
      </c>
      <c r="X671" s="7" t="e">
        <f>IF(ISNUMBER($P671),($Q671="")+($R671="")+($V671="")+IF(AND($U671="KONTAKTOR",NOT(ISNA(MATCH($B671,TIP_AD,0)))),IF(INDEX(TIP_BOSLUK,MATCH($B671,TIP_AD,0))&amp;""="",1,0),0),IF($P671="K",IF($S671="",1,0),0))</f>
        <v>#REF!</v>
      </c>
      <c r="Y671" s="7" t="e">
        <f>N(#REF!)*IF($E671="упак",MAX(1,IF(ISNA(MATCH($C671,FA,0)),1,N(INDEX(F_PAKET,MATCH($C671,FA,0))))),1)</f>
        <v>#REF!</v>
      </c>
      <c r="Z671" s="7" t="e">
        <f t="shared" si="227"/>
        <v>#REF!</v>
      </c>
      <c r="AA671" s="7" t="e">
        <f>IF(OR(ISNA(MATCH($C671,FA,0)),$J671="YEDEK",$J671="SARF"),0,N(#REF!)*N(INDEX(F_TEL,MATCH($C671,FA,0))))</f>
        <v>#REF!</v>
      </c>
      <c r="AB671" s="7" t="e">
        <f>IF(OR(ISNA(MATCH($C671,FA,0)),$J671="YEDEK",$J671="SARF"),0,N(#REF!)*N(INDEX(F_TELM,MATCH($C671,FA,0))))</f>
        <v>#REF!</v>
      </c>
      <c r="AC671" s="7" t="e">
        <f t="shared" si="228"/>
        <v>#REF!</v>
      </c>
      <c r="AD671" s="7">
        <f>IF(OR(ISNA(MATCH($C671,FA,0)),$J671&lt;&gt;"CIKIS"),0,N(INDEX(F_KK,MATCH($C671,FA,0))))</f>
        <v>0</v>
      </c>
      <c r="AE671" s="7">
        <f>IF($AD671=0,0,N(#REF!)*N(INDEX(F_KLN,MATCH($C671,FA,0))))</f>
        <v>0</v>
      </c>
      <c r="AF671" s="7">
        <f>IF($AD671=0,0,N(#REF!)*N(INDEX(F_KPE,MATCH($C671,FA,0))))</f>
        <v>0</v>
      </c>
      <c r="AG671" s="7" t="e">
        <f>IF(ISNA(MATCH($C671,FA,0)),0,N(#REF!)*N(INDEX(F_MODUL,MATCH($C671,FA,0))))</f>
        <v>#REF!</v>
      </c>
      <c r="AH671" s="7" t="e">
        <f>N(#REF!)*N($I671)</f>
        <v>#REF!</v>
      </c>
      <c r="AI671" s="7" t="e">
        <f t="shared" si="229"/>
        <v>#REF!</v>
      </c>
      <c r="AJ671" s="7">
        <f t="shared" si="230"/>
        <v>0</v>
      </c>
    </row>
    <row r="672" spans="1:36" x14ac:dyDescent="0.25">
      <c r="A672" s="4" t="str">
        <f t="shared" si="224"/>
        <v>ЩЭ (4 кв.) (260922 akram aulet)</v>
      </c>
      <c r="B672" s="4" t="s">
        <v>213</v>
      </c>
      <c r="C672" s="4" t="s">
        <v>416</v>
      </c>
      <c r="D672" s="4" t="s">
        <v>417</v>
      </c>
      <c r="E672" s="4" t="s">
        <v>114</v>
      </c>
      <c r="F672" s="4" t="s">
        <v>377</v>
      </c>
      <c r="G672" s="4" t="s">
        <v>258</v>
      </c>
      <c r="H672" s="5" t="e">
        <f>#REF!</f>
        <v>#REF!</v>
      </c>
      <c r="I672" s="6" t="e">
        <f t="shared" si="225"/>
        <v>#REF!</v>
      </c>
      <c r="J672" s="6" t="s">
        <v>52</v>
      </c>
      <c r="K672" s="6" t="s">
        <v>213</v>
      </c>
      <c r="L672" s="7" t="e">
        <f t="shared" si="226"/>
        <v>#REF!</v>
      </c>
      <c r="M672" s="7" t="s">
        <v>346</v>
      </c>
      <c r="N672" s="7" t="s">
        <v>347</v>
      </c>
      <c r="O672" s="7" t="str">
        <f>IF(OR($C672="",$C672="FID YOK"),"",IF(ISNUMBER(MATCH($C672,FA_ANA,0)),"",IF(COUNTIF($C$1:$C671,$C672)&gt;0,"",MAX($O$1:$O671)+1)))</f>
        <v/>
      </c>
      <c r="P672" s="8">
        <v>2</v>
      </c>
      <c r="Q672" s="7" t="e">
        <f>IF(OR($P672="",$P672="G",ISNA(MATCH($C672,FA,0))),"",IF(N(INDEX(F_G,MATCH($C672,FA,0)))&gt;0,INDEX(F_G,MATCH($C672,FA,0)),IF(N(INDEX(F_MODUL,MATCH($C672,FA,0)))&gt;0,INDEX(F_MODUL,MATCH($C672,FA,0))*MODUL_MM,"")))</f>
        <v>#REF!</v>
      </c>
      <c r="R672" s="7" t="e">
        <f>IF(OR($P672="",$P672="G",ISNA(MATCH($C672,FA,0))),"",IF(N(INDEX(F_Y,MATCH($C672,FA,0)))&gt;0,INDEX(F_Y,MATCH($C672,FA,0)),""))</f>
        <v>#REF!</v>
      </c>
      <c r="S672" s="7" t="e">
        <f>IF(OR($P672="",$P672="G",ISNA(MATCH($C672,FA,0))),"",IF(N(INDEX(F_D,MATCH($C672,FA,0)))&gt;0,INDEX(F_D,MATCH($C672,FA,0)),""))</f>
        <v>#REF!</v>
      </c>
      <c r="T672" s="7">
        <f>IF(ISNA(MATCH($C672,FA,0)),0,IF($J672="GIRIS",N(INDEX(F_INKOR,MATCH($C672,FA,0))),0))</f>
        <v>0</v>
      </c>
      <c r="U672" s="7" t="e">
        <f>IF(ISNA(MATCH($B672,TIP_AD,0)),"",INDEX(TIP_KAT,MATCH($B672,TIP_AD,0))&amp;"")</f>
        <v>#REF!</v>
      </c>
      <c r="V672" s="7" t="e">
        <f>IF(NOT(ISNUMBER($P672)),"",IF($Z672=0,0,IF(ISNA(MATCH($Z672,BUK_KESIT,0)),"",IF(INDEX(BUK_ALAN,MATCH($Z672,BUK_KESIT,0))&amp;""="","",INDEX(BUK_ALAN,MATCH($Z672,BUK_KESIT,0))))))</f>
        <v>#REF!</v>
      </c>
      <c r="W672" s="7" t="e">
        <f>IF(OR(NOT(ISNUMBER($P672)),$Q672=""),"",N(#REF!)*($Q672+IF(ISNA(MATCH($B672,TIP_AD,0)),0,N(INDEX(TIP_BOSLUK,MATCH($B672,TIP_AD,0))))))</f>
        <v>#REF!</v>
      </c>
      <c r="X672" s="7" t="e">
        <f>IF(ISNUMBER($P672),($Q672="")+($R672="")+($V672="")+IF(AND($U672="KONTAKTOR",NOT(ISNA(MATCH($B672,TIP_AD,0)))),IF(INDEX(TIP_BOSLUK,MATCH($B672,TIP_AD,0))&amp;""="",1,0),0),IF($P672="K",IF($S672="",1,0),0))</f>
        <v>#REF!</v>
      </c>
      <c r="Y672" s="7" t="e">
        <f>N(#REF!)*IF($E672="упак",MAX(1,IF(ISNA(MATCH($C672,FA,0)),1,N(INDEX(F_PAKET,MATCH($C672,FA,0))))),1)</f>
        <v>#REF!</v>
      </c>
      <c r="Z672" s="7" t="e">
        <f t="shared" si="227"/>
        <v>#REF!</v>
      </c>
      <c r="AA672" s="7" t="e">
        <f>IF(OR(ISNA(MATCH($C672,FA,0)),$J672="YEDEK",$J672="SARF"),0,N(#REF!)*N(INDEX(F_TEL,MATCH($C672,FA,0))))</f>
        <v>#REF!</v>
      </c>
      <c r="AB672" s="7" t="e">
        <f>IF(OR(ISNA(MATCH($C672,FA,0)),$J672="YEDEK",$J672="SARF"),0,N(#REF!)*N(INDEX(F_TELM,MATCH($C672,FA,0))))</f>
        <v>#REF!</v>
      </c>
      <c r="AC672" s="7" t="e">
        <f t="shared" si="228"/>
        <v>#REF!</v>
      </c>
      <c r="AD672" s="7" t="e">
        <f>IF(OR(ISNA(MATCH($C672,FA,0)),$J672&lt;&gt;"CIKIS"),0,N(INDEX(F_KK,MATCH($C672,FA,0))))</f>
        <v>#REF!</v>
      </c>
      <c r="AE672" s="7" t="e">
        <f>IF($AD672=0,0,N(#REF!)*N(INDEX(F_KLN,MATCH($C672,FA,0))))</f>
        <v>#REF!</v>
      </c>
      <c r="AF672" s="7" t="e">
        <f>IF($AD672=0,0,N(#REF!)*N(INDEX(F_KPE,MATCH($C672,FA,0))))</f>
        <v>#REF!</v>
      </c>
      <c r="AG672" s="7" t="e">
        <f>IF(ISNA(MATCH($C672,FA,0)),0,N(#REF!)*N(INDEX(F_MODUL,MATCH($C672,FA,0))))</f>
        <v>#REF!</v>
      </c>
      <c r="AH672" s="7" t="e">
        <f>N(#REF!)*N($I672)</f>
        <v>#REF!</v>
      </c>
      <c r="AI672" s="7" t="e">
        <f t="shared" si="229"/>
        <v>#REF!</v>
      </c>
      <c r="AJ672" s="7">
        <f t="shared" si="230"/>
        <v>0</v>
      </c>
    </row>
    <row r="673" spans="1:36" x14ac:dyDescent="0.25">
      <c r="A673" s="4" t="str">
        <f t="shared" si="224"/>
        <v>ЩЭ (4 кв.) (260922 akram aulet)</v>
      </c>
      <c r="B673" s="4" t="s">
        <v>202</v>
      </c>
      <c r="C673" s="4" t="s">
        <v>575</v>
      </c>
      <c r="D673" s="4" t="s">
        <v>576</v>
      </c>
      <c r="E673" s="4" t="s">
        <v>114</v>
      </c>
      <c r="F673" s="4" t="s">
        <v>486</v>
      </c>
      <c r="G673" s="4" t="s">
        <v>258</v>
      </c>
      <c r="H673" s="5" t="e">
        <f>#REF!</f>
        <v>#REF!</v>
      </c>
      <c r="I673" s="6" t="e">
        <f t="shared" si="225"/>
        <v>#REF!</v>
      </c>
      <c r="J673" s="6" t="s">
        <v>84</v>
      </c>
      <c r="K673" s="6" t="s">
        <v>202</v>
      </c>
      <c r="L673" s="7" t="e">
        <f t="shared" si="226"/>
        <v>#REF!</v>
      </c>
      <c r="M673" s="7" t="s">
        <v>203</v>
      </c>
      <c r="O673" s="7" t="str">
        <f>IF(OR($C673="",$C673="FID YOK"),"",IF(ISNUMBER(MATCH($C673,FA_ANA,0)),"",IF(COUNTIF($C$1:$C672,$C673)&gt;0,"",MAX($O$1:$O672)+1)))</f>
        <v/>
      </c>
      <c r="T673" s="7">
        <f>IF(ISNA(MATCH($C673,FA,0)),0,IF($J673="GIRIS",N(INDEX(F_INKOR,MATCH($C673,FA,0))),0))</f>
        <v>0</v>
      </c>
      <c r="Y673" s="7" t="e">
        <f>N(#REF!)*IF($E673="упак",MAX(1,IF(ISNA(MATCH($C673,FA,0)),1,N(INDEX(F_PAKET,MATCH($C673,FA,0))))),1)</f>
        <v>#REF!</v>
      </c>
      <c r="Z673" s="7" t="e">
        <f t="shared" si="227"/>
        <v>#REF!</v>
      </c>
      <c r="AA673" s="7">
        <f>IF(OR(ISNA(MATCH($C673,FA,0)),$J673="YEDEK",$J673="SARF"),0,N(#REF!)*N(INDEX(F_TEL,MATCH($C673,FA,0))))</f>
        <v>0</v>
      </c>
      <c r="AB673" s="7">
        <f>IF(OR(ISNA(MATCH($C673,FA,0)),$J673="YEDEK",$J673="SARF"),0,N(#REF!)*N(INDEX(F_TELM,MATCH($C673,FA,0))))</f>
        <v>0</v>
      </c>
      <c r="AC673" s="7" t="e">
        <f t="shared" si="228"/>
        <v>#REF!</v>
      </c>
      <c r="AD673" s="7">
        <f>IF(OR(ISNA(MATCH($C673,FA,0)),$J673&lt;&gt;"CIKIS"),0,N(INDEX(F_KK,MATCH($C673,FA,0))))</f>
        <v>0</v>
      </c>
      <c r="AE673" s="7">
        <f>IF($AD673=0,0,N(#REF!)*N(INDEX(F_KLN,MATCH($C673,FA,0))))</f>
        <v>0</v>
      </c>
      <c r="AF673" s="7">
        <f>IF($AD673=0,0,N(#REF!)*N(INDEX(F_KPE,MATCH($C673,FA,0))))</f>
        <v>0</v>
      </c>
      <c r="AG673" s="7" t="e">
        <f>IF(ISNA(MATCH($C673,FA,0)),0,N(#REF!)*N(INDEX(F_MODUL,MATCH($C673,FA,0))))</f>
        <v>#REF!</v>
      </c>
      <c r="AH673" s="7" t="e">
        <f>N(#REF!)*N($I673)</f>
        <v>#REF!</v>
      </c>
      <c r="AI673" s="7" t="e">
        <f t="shared" si="229"/>
        <v>#REF!</v>
      </c>
      <c r="AJ673" s="7">
        <f t="shared" si="230"/>
        <v>0</v>
      </c>
    </row>
    <row r="674" spans="1:36" x14ac:dyDescent="0.25">
      <c r="A674" s="4" t="str">
        <f t="shared" si="224"/>
        <v>ЩЭ (4 кв.) (260922 akram aulet)</v>
      </c>
      <c r="B674" s="4" t="s">
        <v>202</v>
      </c>
      <c r="C674" s="4" t="s">
        <v>577</v>
      </c>
      <c r="D674" s="4" t="s">
        <v>578</v>
      </c>
      <c r="E674" s="4" t="s">
        <v>114</v>
      </c>
      <c r="F674" s="4" t="s">
        <v>486</v>
      </c>
      <c r="G674" s="4" t="s">
        <v>258</v>
      </c>
      <c r="H674" s="5" t="e">
        <f>#REF!</f>
        <v>#REF!</v>
      </c>
      <c r="I674" s="6" t="e">
        <f t="shared" si="225"/>
        <v>#REF!</v>
      </c>
      <c r="J674" s="6" t="s">
        <v>84</v>
      </c>
      <c r="K674" s="6" t="s">
        <v>202</v>
      </c>
      <c r="L674" s="7" t="e">
        <f t="shared" si="226"/>
        <v>#REF!</v>
      </c>
      <c r="M674" s="7" t="s">
        <v>204</v>
      </c>
      <c r="O674" s="7" t="str">
        <f>IF(OR($C674="",$C674="FID YOK"),"",IF(ISNUMBER(MATCH($C674,FA_ANA,0)),"",IF(COUNTIF($C$1:$C673,$C674)&gt;0,"",MAX($O$1:$O673)+1)))</f>
        <v/>
      </c>
      <c r="T674" s="7">
        <f>IF(ISNA(MATCH($C674,FA,0)),0,IF($J674="GIRIS",N(INDEX(F_INKOR,MATCH($C674,FA,0))),0))</f>
        <v>0</v>
      </c>
      <c r="Y674" s="7" t="e">
        <f>N(#REF!)*IF($E674="упак",MAX(1,IF(ISNA(MATCH($C674,FA,0)),1,N(INDEX(F_PAKET,MATCH($C674,FA,0))))),1)</f>
        <v>#REF!</v>
      </c>
      <c r="Z674" s="7" t="e">
        <f t="shared" si="227"/>
        <v>#REF!</v>
      </c>
      <c r="AA674" s="7">
        <f>IF(OR(ISNA(MATCH($C674,FA,0)),$J674="YEDEK",$J674="SARF"),0,N(#REF!)*N(INDEX(F_TEL,MATCH($C674,FA,0))))</f>
        <v>0</v>
      </c>
      <c r="AB674" s="7">
        <f>IF(OR(ISNA(MATCH($C674,FA,0)),$J674="YEDEK",$J674="SARF"),0,N(#REF!)*N(INDEX(F_TELM,MATCH($C674,FA,0))))</f>
        <v>0</v>
      </c>
      <c r="AC674" s="7" t="e">
        <f t="shared" si="228"/>
        <v>#REF!</v>
      </c>
      <c r="AD674" s="7">
        <f>IF(OR(ISNA(MATCH($C674,FA,0)),$J674&lt;&gt;"CIKIS"),0,N(INDEX(F_KK,MATCH($C674,FA,0))))</f>
        <v>0</v>
      </c>
      <c r="AE674" s="7">
        <f>IF($AD674=0,0,N(#REF!)*N(INDEX(F_KLN,MATCH($C674,FA,0))))</f>
        <v>0</v>
      </c>
      <c r="AF674" s="7">
        <f>IF($AD674=0,0,N(#REF!)*N(INDEX(F_KPE,MATCH($C674,FA,0))))</f>
        <v>0</v>
      </c>
      <c r="AG674" s="7" t="e">
        <f>IF(ISNA(MATCH($C674,FA,0)),0,N(#REF!)*N(INDEX(F_MODUL,MATCH($C674,FA,0))))</f>
        <v>#REF!</v>
      </c>
      <c r="AH674" s="7" t="e">
        <f>N(#REF!)*N($I674)</f>
        <v>#REF!</v>
      </c>
      <c r="AI674" s="7" t="e">
        <f t="shared" si="229"/>
        <v>#REF!</v>
      </c>
      <c r="AJ674" s="7">
        <f t="shared" si="230"/>
        <v>0</v>
      </c>
    </row>
    <row r="675" spans="1:36" x14ac:dyDescent="0.25">
      <c r="A675" s="4" t="str">
        <f t="shared" si="224"/>
        <v>ЩЭ (4 кв.) (260922 akram aulet)</v>
      </c>
      <c r="B675" s="4" t="s">
        <v>92</v>
      </c>
      <c r="C675" s="4" t="s">
        <v>527</v>
      </c>
      <c r="D675" s="4" t="s">
        <v>528</v>
      </c>
      <c r="E675" s="4" t="s">
        <v>520</v>
      </c>
      <c r="F675" s="4" t="s">
        <v>521</v>
      </c>
      <c r="G675" s="4" t="s">
        <v>258</v>
      </c>
      <c r="H675" s="5" t="e">
        <f>#REF!</f>
        <v>#REF!</v>
      </c>
      <c r="I675" s="6" t="e">
        <f t="shared" si="225"/>
        <v>#REF!</v>
      </c>
      <c r="J675" s="6" t="s">
        <v>84</v>
      </c>
      <c r="K675" s="6" t="s">
        <v>92</v>
      </c>
      <c r="L675" s="7" t="e">
        <f t="shared" si="226"/>
        <v>#REF!</v>
      </c>
      <c r="M675" s="7" t="s">
        <v>94</v>
      </c>
      <c r="O675" s="7" t="str">
        <f>IF(OR($C675="",$C675="FID YOK"),"",IF(ISNUMBER(MATCH($C675,FA_ANA,0)),"",IF(COUNTIF($C$1:$C674,$C675)&gt;0,"",MAX($O$1:$O674)+1)))</f>
        <v/>
      </c>
      <c r="T675" s="7">
        <f>IF(ISNA(MATCH($C675,FA,0)),0,IF($J675="GIRIS",N(INDEX(F_INKOR,MATCH($C675,FA,0))),0))</f>
        <v>0</v>
      </c>
      <c r="Y675" s="7" t="e">
        <f>N(#REF!)*IF($E675="упак",MAX(1,IF(ISNA(MATCH($C675,FA,0)),1,N(INDEX(F_PAKET,MATCH($C675,FA,0))))),1)</f>
        <v>#REF!</v>
      </c>
      <c r="Z675" s="7" t="e">
        <f t="shared" si="227"/>
        <v>#REF!</v>
      </c>
      <c r="AA675" s="7">
        <f>IF(OR(ISNA(MATCH($C675,FA,0)),$J675="YEDEK",$J675="SARF"),0,N(#REF!)*N(INDEX(F_TEL,MATCH($C675,FA,0))))</f>
        <v>0</v>
      </c>
      <c r="AB675" s="7">
        <f>IF(OR(ISNA(MATCH($C675,FA,0)),$J675="YEDEK",$J675="SARF"),0,N(#REF!)*N(INDEX(F_TELM,MATCH($C675,FA,0))))</f>
        <v>0</v>
      </c>
      <c r="AC675" s="7" t="e">
        <f t="shared" si="228"/>
        <v>#REF!</v>
      </c>
      <c r="AD675" s="7">
        <f>IF(OR(ISNA(MATCH($C675,FA,0)),$J675&lt;&gt;"CIKIS"),0,N(INDEX(F_KK,MATCH($C675,FA,0))))</f>
        <v>0</v>
      </c>
      <c r="AE675" s="7">
        <f>IF($AD675=0,0,N(#REF!)*N(INDEX(F_KLN,MATCH($C675,FA,0))))</f>
        <v>0</v>
      </c>
      <c r="AF675" s="7">
        <f>IF($AD675=0,0,N(#REF!)*N(INDEX(F_KPE,MATCH($C675,FA,0))))</f>
        <v>0</v>
      </c>
      <c r="AG675" s="7" t="e">
        <f>IF(ISNA(MATCH($C675,FA,0)),0,N(#REF!)*N(INDEX(F_MODUL,MATCH($C675,FA,0))))</f>
        <v>#REF!</v>
      </c>
      <c r="AH675" s="7" t="e">
        <f>N(#REF!)*N($I675)</f>
        <v>#REF!</v>
      </c>
      <c r="AI675" s="7" t="e">
        <f t="shared" si="229"/>
        <v>#REF!</v>
      </c>
      <c r="AJ675" s="7">
        <f t="shared" si="230"/>
        <v>0</v>
      </c>
    </row>
    <row r="676" spans="1:36" x14ac:dyDescent="0.25">
      <c r="A676" s="4" t="str">
        <f t="shared" si="224"/>
        <v>ЩЭ (4 кв.) (260922 akram aulet)</v>
      </c>
      <c r="B676" s="4" t="s">
        <v>92</v>
      </c>
      <c r="C676" s="4" t="s">
        <v>535</v>
      </c>
      <c r="D676" s="4" t="s">
        <v>536</v>
      </c>
      <c r="E676" s="4" t="s">
        <v>520</v>
      </c>
      <c r="F676" s="4" t="s">
        <v>521</v>
      </c>
      <c r="G676" s="4" t="s">
        <v>258</v>
      </c>
      <c r="H676" s="5" t="e">
        <f>#REF!</f>
        <v>#REF!</v>
      </c>
      <c r="I676" s="6" t="e">
        <f t="shared" si="225"/>
        <v>#REF!</v>
      </c>
      <c r="J676" s="6" t="s">
        <v>84</v>
      </c>
      <c r="K676" s="6" t="s">
        <v>92</v>
      </c>
      <c r="L676" s="7" t="e">
        <f t="shared" si="226"/>
        <v>#REF!</v>
      </c>
      <c r="M676" s="7" t="s">
        <v>130</v>
      </c>
      <c r="O676" s="7" t="str">
        <f>IF(OR($C676="",$C676="FID YOK"),"",IF(ISNUMBER(MATCH($C676,FA_ANA,0)),"",IF(COUNTIF($C$1:$C675,$C676)&gt;0,"",MAX($O$1:$O675)+1)))</f>
        <v/>
      </c>
      <c r="T676" s="7">
        <f>IF(ISNA(MATCH($C676,FA,0)),0,IF($J676="GIRIS",N(INDEX(F_INKOR,MATCH($C676,FA,0))),0))</f>
        <v>0</v>
      </c>
      <c r="Y676" s="7" t="e">
        <f>N(#REF!)*IF($E676="упак",MAX(1,IF(ISNA(MATCH($C676,FA,0)),1,N(INDEX(F_PAKET,MATCH($C676,FA,0))))),1)</f>
        <v>#REF!</v>
      </c>
      <c r="Z676" s="7" t="e">
        <f t="shared" si="227"/>
        <v>#REF!</v>
      </c>
      <c r="AA676" s="7">
        <f>IF(OR(ISNA(MATCH($C676,FA,0)),$J676="YEDEK",$J676="SARF"),0,N(#REF!)*N(INDEX(F_TEL,MATCH($C676,FA,0))))</f>
        <v>0</v>
      </c>
      <c r="AB676" s="7">
        <f>IF(OR(ISNA(MATCH($C676,FA,0)),$J676="YEDEK",$J676="SARF"),0,N(#REF!)*N(INDEX(F_TELM,MATCH($C676,FA,0))))</f>
        <v>0</v>
      </c>
      <c r="AC676" s="7" t="e">
        <f t="shared" si="228"/>
        <v>#REF!</v>
      </c>
      <c r="AD676" s="7">
        <f>IF(OR(ISNA(MATCH($C676,FA,0)),$J676&lt;&gt;"CIKIS"),0,N(INDEX(F_KK,MATCH($C676,FA,0))))</f>
        <v>0</v>
      </c>
      <c r="AE676" s="7">
        <f>IF($AD676=0,0,N(#REF!)*N(INDEX(F_KLN,MATCH($C676,FA,0))))</f>
        <v>0</v>
      </c>
      <c r="AF676" s="7">
        <f>IF($AD676=0,0,N(#REF!)*N(INDEX(F_KPE,MATCH($C676,FA,0))))</f>
        <v>0</v>
      </c>
      <c r="AG676" s="7" t="e">
        <f>IF(ISNA(MATCH($C676,FA,0)),0,N(#REF!)*N(INDEX(F_MODUL,MATCH($C676,FA,0))))</f>
        <v>#REF!</v>
      </c>
      <c r="AH676" s="7" t="e">
        <f>N(#REF!)*N($I676)</f>
        <v>#REF!</v>
      </c>
      <c r="AI676" s="7" t="e">
        <f t="shared" si="229"/>
        <v>#REF!</v>
      </c>
      <c r="AJ676" s="7">
        <f t="shared" si="230"/>
        <v>0</v>
      </c>
    </row>
    <row r="677" spans="1:36" x14ac:dyDescent="0.25">
      <c r="A677" s="4" t="str">
        <f t="shared" si="224"/>
        <v>ЩЭ (4 кв.) (260922 akram aulet)</v>
      </c>
      <c r="B677" s="4" t="s">
        <v>92</v>
      </c>
      <c r="C677" s="4" t="s">
        <v>535</v>
      </c>
      <c r="D677" s="4" t="s">
        <v>536</v>
      </c>
      <c r="E677" s="4" t="s">
        <v>520</v>
      </c>
      <c r="F677" s="4" t="s">
        <v>521</v>
      </c>
      <c r="G677" s="4" t="s">
        <v>258</v>
      </c>
      <c r="H677" s="5" t="e">
        <f>#REF!</f>
        <v>#REF!</v>
      </c>
      <c r="I677" s="6" t="e">
        <f t="shared" si="225"/>
        <v>#REF!</v>
      </c>
      <c r="J677" s="6" t="s">
        <v>84</v>
      </c>
      <c r="K677" s="6" t="s">
        <v>92</v>
      </c>
      <c r="L677" s="7" t="e">
        <f t="shared" si="226"/>
        <v>#REF!</v>
      </c>
      <c r="M677" s="7" t="s">
        <v>100</v>
      </c>
      <c r="O677" s="7" t="str">
        <f>IF(OR($C677="",$C677="FID YOK"),"",IF(ISNUMBER(MATCH($C677,FA_ANA,0)),"",IF(COUNTIF($C$1:$C676,$C677)&gt;0,"",MAX($O$1:$O676)+1)))</f>
        <v/>
      </c>
      <c r="T677" s="7">
        <f>IF(ISNA(MATCH($C677,FA,0)),0,IF($J677="GIRIS",N(INDEX(F_INKOR,MATCH($C677,FA,0))),0))</f>
        <v>0</v>
      </c>
      <c r="Y677" s="7" t="e">
        <f>N(#REF!)*IF($E677="упак",MAX(1,IF(ISNA(MATCH($C677,FA,0)),1,N(INDEX(F_PAKET,MATCH($C677,FA,0))))),1)</f>
        <v>#REF!</v>
      </c>
      <c r="Z677" s="7" t="e">
        <f t="shared" si="227"/>
        <v>#REF!</v>
      </c>
      <c r="AA677" s="7">
        <f>IF(OR(ISNA(MATCH($C677,FA,0)),$J677="YEDEK",$J677="SARF"),0,N(#REF!)*N(INDEX(F_TEL,MATCH($C677,FA,0))))</f>
        <v>0</v>
      </c>
      <c r="AB677" s="7">
        <f>IF(OR(ISNA(MATCH($C677,FA,0)),$J677="YEDEK",$J677="SARF"),0,N(#REF!)*N(INDEX(F_TELM,MATCH($C677,FA,0))))</f>
        <v>0</v>
      </c>
      <c r="AC677" s="7" t="e">
        <f t="shared" si="228"/>
        <v>#REF!</v>
      </c>
      <c r="AD677" s="7">
        <f>IF(OR(ISNA(MATCH($C677,FA,0)),$J677&lt;&gt;"CIKIS"),0,N(INDEX(F_KK,MATCH($C677,FA,0))))</f>
        <v>0</v>
      </c>
      <c r="AE677" s="7">
        <f>IF($AD677=0,0,N(#REF!)*N(INDEX(F_KLN,MATCH($C677,FA,0))))</f>
        <v>0</v>
      </c>
      <c r="AF677" s="7">
        <f>IF($AD677=0,0,N(#REF!)*N(INDEX(F_KPE,MATCH($C677,FA,0))))</f>
        <v>0</v>
      </c>
      <c r="AG677" s="7" t="e">
        <f>IF(ISNA(MATCH($C677,FA,0)),0,N(#REF!)*N(INDEX(F_MODUL,MATCH($C677,FA,0))))</f>
        <v>#REF!</v>
      </c>
      <c r="AH677" s="7" t="e">
        <f>N(#REF!)*N($I677)</f>
        <v>#REF!</v>
      </c>
      <c r="AI677" s="7" t="e">
        <f t="shared" si="229"/>
        <v>#REF!</v>
      </c>
      <c r="AJ677" s="7">
        <f t="shared" si="230"/>
        <v>0</v>
      </c>
    </row>
    <row r="678" spans="1:36" x14ac:dyDescent="0.25">
      <c r="A678" s="4" t="str">
        <f t="shared" si="224"/>
        <v>ЩЭ (4 кв.) (260922 akram aulet)</v>
      </c>
      <c r="B678" s="4" t="s">
        <v>101</v>
      </c>
      <c r="C678" s="4" t="s">
        <v>529</v>
      </c>
      <c r="D678" s="4" t="s">
        <v>530</v>
      </c>
      <c r="E678" s="4" t="s">
        <v>522</v>
      </c>
      <c r="F678" s="4" t="s">
        <v>486</v>
      </c>
      <c r="G678" s="4" t="s">
        <v>258</v>
      </c>
      <c r="H678" s="5" t="e">
        <f>#REF!</f>
        <v>#REF!</v>
      </c>
      <c r="I678" s="6" t="e">
        <f t="shared" si="225"/>
        <v>#REF!</v>
      </c>
      <c r="J678" s="6" t="s">
        <v>84</v>
      </c>
      <c r="K678" s="6" t="s">
        <v>101</v>
      </c>
      <c r="L678" s="7" t="e">
        <f t="shared" si="226"/>
        <v>#REF!</v>
      </c>
      <c r="M678" s="7" t="s">
        <v>103</v>
      </c>
      <c r="O678" s="7" t="str">
        <f>IF(OR($C678="",$C678="FID YOK"),"",IF(ISNUMBER(MATCH($C678,FA_ANA,0)),"",IF(COUNTIF($C$1:$C677,$C678)&gt;0,"",MAX($O$1:$O677)+1)))</f>
        <v/>
      </c>
      <c r="T678" s="7">
        <f>IF(ISNA(MATCH($C678,FA,0)),0,IF($J678="GIRIS",N(INDEX(F_INKOR,MATCH($C678,FA,0))),0))</f>
        <v>0</v>
      </c>
      <c r="Y678" s="7" t="e">
        <f>N(#REF!)*IF($E678="упак",MAX(1,IF(ISNA(MATCH($C678,FA,0)),1,N(INDEX(F_PAKET,MATCH($C678,FA,0))))),1)</f>
        <v>#REF!</v>
      </c>
      <c r="Z678" s="7" t="e">
        <f t="shared" si="227"/>
        <v>#REF!</v>
      </c>
      <c r="AA678" s="7">
        <f>IF(OR(ISNA(MATCH($C678,FA,0)),$J678="YEDEK",$J678="SARF"),0,N(#REF!)*N(INDEX(F_TEL,MATCH($C678,FA,0))))</f>
        <v>0</v>
      </c>
      <c r="AB678" s="7">
        <f>IF(OR(ISNA(MATCH($C678,FA,0)),$J678="YEDEK",$J678="SARF"),0,N(#REF!)*N(INDEX(F_TELM,MATCH($C678,FA,0))))</f>
        <v>0</v>
      </c>
      <c r="AC678" s="7" t="e">
        <f t="shared" si="228"/>
        <v>#REF!</v>
      </c>
      <c r="AD678" s="7">
        <f>IF(OR(ISNA(MATCH($C678,FA,0)),$J678&lt;&gt;"CIKIS"),0,N(INDEX(F_KK,MATCH($C678,FA,0))))</f>
        <v>0</v>
      </c>
      <c r="AE678" s="7">
        <f>IF($AD678=0,0,N(#REF!)*N(INDEX(F_KLN,MATCH($C678,FA,0))))</f>
        <v>0</v>
      </c>
      <c r="AF678" s="7">
        <f>IF($AD678=0,0,N(#REF!)*N(INDEX(F_KPE,MATCH($C678,FA,0))))</f>
        <v>0</v>
      </c>
      <c r="AG678" s="7" t="e">
        <f>IF(ISNA(MATCH($C678,FA,0)),0,N(#REF!)*N(INDEX(F_MODUL,MATCH($C678,FA,0))))</f>
        <v>#REF!</v>
      </c>
      <c r="AH678" s="7" t="e">
        <f>N(#REF!)*N($I678)</f>
        <v>#REF!</v>
      </c>
      <c r="AI678" s="7" t="e">
        <f t="shared" si="229"/>
        <v>#REF!</v>
      </c>
      <c r="AJ678" s="7">
        <f t="shared" si="230"/>
        <v>0</v>
      </c>
    </row>
    <row r="679" spans="1:36" x14ac:dyDescent="0.25">
      <c r="A679" s="4" t="str">
        <f t="shared" si="224"/>
        <v>ЩЭ (4 кв.) (260922 akram aulet)</v>
      </c>
      <c r="B679" s="4" t="s">
        <v>101</v>
      </c>
      <c r="C679" s="4" t="s">
        <v>537</v>
      </c>
      <c r="D679" s="4" t="s">
        <v>538</v>
      </c>
      <c r="E679" s="4" t="s">
        <v>522</v>
      </c>
      <c r="F679" s="4" t="s">
        <v>486</v>
      </c>
      <c r="G679" s="4" t="s">
        <v>258</v>
      </c>
      <c r="H679" s="5" t="e">
        <f>#REF!</f>
        <v>#REF!</v>
      </c>
      <c r="I679" s="6" t="e">
        <f t="shared" si="225"/>
        <v>#REF!</v>
      </c>
      <c r="J679" s="6" t="s">
        <v>84</v>
      </c>
      <c r="K679" s="6" t="s">
        <v>101</v>
      </c>
      <c r="L679" s="7" t="e">
        <f t="shared" si="226"/>
        <v>#REF!</v>
      </c>
      <c r="M679" s="7" t="s">
        <v>205</v>
      </c>
      <c r="O679" s="7" t="str">
        <f>IF(OR($C679="",$C679="FID YOK"),"",IF(ISNUMBER(MATCH($C679,FA_ANA,0)),"",IF(COUNTIF($C$1:$C678,$C679)&gt;0,"",MAX($O$1:$O678)+1)))</f>
        <v/>
      </c>
      <c r="T679" s="7">
        <f>IF(ISNA(MATCH($C679,FA,0)),0,IF($J679="GIRIS",N(INDEX(F_INKOR,MATCH($C679,FA,0))),0))</f>
        <v>0</v>
      </c>
      <c r="Y679" s="7" t="e">
        <f>N(#REF!)*IF($E679="упак",MAX(1,IF(ISNA(MATCH($C679,FA,0)),1,N(INDEX(F_PAKET,MATCH($C679,FA,0))))),1)</f>
        <v>#REF!</v>
      </c>
      <c r="Z679" s="7" t="e">
        <f t="shared" si="227"/>
        <v>#REF!</v>
      </c>
      <c r="AA679" s="7">
        <f>IF(OR(ISNA(MATCH($C679,FA,0)),$J679="YEDEK",$J679="SARF"),0,N(#REF!)*N(INDEX(F_TEL,MATCH($C679,FA,0))))</f>
        <v>0</v>
      </c>
      <c r="AB679" s="7">
        <f>IF(OR(ISNA(MATCH($C679,FA,0)),$J679="YEDEK",$J679="SARF"),0,N(#REF!)*N(INDEX(F_TELM,MATCH($C679,FA,0))))</f>
        <v>0</v>
      </c>
      <c r="AC679" s="7" t="e">
        <f t="shared" si="228"/>
        <v>#REF!</v>
      </c>
      <c r="AD679" s="7">
        <f>IF(OR(ISNA(MATCH($C679,FA,0)),$J679&lt;&gt;"CIKIS"),0,N(INDEX(F_KK,MATCH($C679,FA,0))))</f>
        <v>0</v>
      </c>
      <c r="AE679" s="7">
        <f>IF($AD679=0,0,N(#REF!)*N(INDEX(F_KLN,MATCH($C679,FA,0))))</f>
        <v>0</v>
      </c>
      <c r="AF679" s="7">
        <f>IF($AD679=0,0,N(#REF!)*N(INDEX(F_KPE,MATCH($C679,FA,0))))</f>
        <v>0</v>
      </c>
      <c r="AG679" s="7" t="e">
        <f>IF(ISNA(MATCH($C679,FA,0)),0,N(#REF!)*N(INDEX(F_MODUL,MATCH($C679,FA,0))))</f>
        <v>#REF!</v>
      </c>
      <c r="AH679" s="7" t="e">
        <f>N(#REF!)*N($I679)</f>
        <v>#REF!</v>
      </c>
      <c r="AI679" s="7" t="e">
        <f t="shared" si="229"/>
        <v>#REF!</v>
      </c>
      <c r="AJ679" s="7">
        <f t="shared" si="230"/>
        <v>0</v>
      </c>
    </row>
    <row r="680" spans="1:36" x14ac:dyDescent="0.25">
      <c r="A680" s="4" t="str">
        <f t="shared" si="224"/>
        <v>ЩЭ (4 кв.) (260922 akram aulet)</v>
      </c>
      <c r="B680" s="4" t="s">
        <v>105</v>
      </c>
      <c r="C680" s="4" t="s">
        <v>539</v>
      </c>
      <c r="D680" s="4" t="s">
        <v>540</v>
      </c>
      <c r="E680" s="4" t="s">
        <v>114</v>
      </c>
      <c r="F680" s="4" t="s">
        <v>486</v>
      </c>
      <c r="G680" s="4" t="s">
        <v>258</v>
      </c>
      <c r="H680" s="5" t="e">
        <f>#REF!</f>
        <v>#REF!</v>
      </c>
      <c r="I680" s="6" t="e">
        <f t="shared" si="225"/>
        <v>#REF!</v>
      </c>
      <c r="J680" s="6" t="s">
        <v>84</v>
      </c>
      <c r="K680" s="6" t="s">
        <v>105</v>
      </c>
      <c r="L680" s="7" t="e">
        <f t="shared" si="226"/>
        <v>#REF!</v>
      </c>
      <c r="M680" s="7" t="s">
        <v>110</v>
      </c>
      <c r="O680" s="7" t="str">
        <f>IF(OR($C680="",$C680="FID YOK"),"",IF(ISNUMBER(MATCH($C680,FA_ANA,0)),"",IF(COUNTIF($C$1:$C679,$C680)&gt;0,"",MAX($O$1:$O679)+1)))</f>
        <v/>
      </c>
      <c r="T680" s="7">
        <f>IF(ISNA(MATCH($C680,FA,0)),0,IF($J680="GIRIS",N(INDEX(F_INKOR,MATCH($C680,FA,0))),0))</f>
        <v>0</v>
      </c>
      <c r="Y680" s="7" t="e">
        <f>N(#REF!)*IF($E680="упак",MAX(1,IF(ISNA(MATCH($C680,FA,0)),1,N(INDEX(F_PAKET,MATCH($C680,FA,0))))),1)</f>
        <v>#REF!</v>
      </c>
      <c r="Z680" s="7" t="e">
        <f t="shared" si="227"/>
        <v>#REF!</v>
      </c>
      <c r="AA680" s="7">
        <f>IF(OR(ISNA(MATCH($C680,FA,0)),$J680="YEDEK",$J680="SARF"),0,N(#REF!)*N(INDEX(F_TEL,MATCH($C680,FA,0))))</f>
        <v>0</v>
      </c>
      <c r="AB680" s="7">
        <f>IF(OR(ISNA(MATCH($C680,FA,0)),$J680="YEDEK",$J680="SARF"),0,N(#REF!)*N(INDEX(F_TELM,MATCH($C680,FA,0))))</f>
        <v>0</v>
      </c>
      <c r="AC680" s="7" t="e">
        <f t="shared" si="228"/>
        <v>#REF!</v>
      </c>
      <c r="AD680" s="7">
        <f>IF(OR(ISNA(MATCH($C680,FA,0)),$J680&lt;&gt;"CIKIS"),0,N(INDEX(F_KK,MATCH($C680,FA,0))))</f>
        <v>0</v>
      </c>
      <c r="AE680" s="7">
        <f>IF($AD680=0,0,N(#REF!)*N(INDEX(F_KLN,MATCH($C680,FA,0))))</f>
        <v>0</v>
      </c>
      <c r="AF680" s="7">
        <f>IF($AD680=0,0,N(#REF!)*N(INDEX(F_KPE,MATCH($C680,FA,0))))</f>
        <v>0</v>
      </c>
      <c r="AG680" s="7" t="e">
        <f>IF(ISNA(MATCH($C680,FA,0)),0,N(#REF!)*N(INDEX(F_MODUL,MATCH($C680,FA,0))))</f>
        <v>#REF!</v>
      </c>
      <c r="AH680" s="7" t="e">
        <f>N(#REF!)*N($I680)</f>
        <v>#REF!</v>
      </c>
      <c r="AI680" s="7" t="e">
        <f t="shared" si="229"/>
        <v>#REF!</v>
      </c>
      <c r="AJ680" s="7">
        <f t="shared" si="230"/>
        <v>0</v>
      </c>
    </row>
    <row r="681" spans="1:36" x14ac:dyDescent="0.25">
      <c r="A681" s="4" t="str">
        <f t="shared" si="224"/>
        <v>ЩЭ (4 кв.) (260922 akram aulet)</v>
      </c>
      <c r="B681" s="4" t="s">
        <v>111</v>
      </c>
      <c r="C681" s="4" t="s">
        <v>571</v>
      </c>
      <c r="D681" s="4" t="s">
        <v>572</v>
      </c>
      <c r="E681" s="4" t="s">
        <v>522</v>
      </c>
      <c r="F681" s="4" t="s">
        <v>486</v>
      </c>
      <c r="G681" s="4" t="s">
        <v>258</v>
      </c>
      <c r="H681" s="5" t="e">
        <f>#REF!</f>
        <v>#REF!</v>
      </c>
      <c r="I681" s="6" t="e">
        <f t="shared" si="225"/>
        <v>#REF!</v>
      </c>
      <c r="J681" s="6" t="s">
        <v>84</v>
      </c>
      <c r="K681" s="6" t="s">
        <v>111</v>
      </c>
      <c r="L681" s="7" t="e">
        <f t="shared" si="226"/>
        <v>#REF!</v>
      </c>
      <c r="M681" s="7" t="s">
        <v>112</v>
      </c>
      <c r="O681" s="7" t="str">
        <f>IF(OR($C681="",$C681="FID YOK"),"",IF(ISNUMBER(MATCH($C681,FA_ANA,0)),"",IF(COUNTIF($C$1:$C680,$C681)&gt;0,"",MAX($O$1:$O680)+1)))</f>
        <v/>
      </c>
      <c r="T681" s="7">
        <f>IF(ISNA(MATCH($C681,FA,0)),0,IF($J681="GIRIS",N(INDEX(F_INKOR,MATCH($C681,FA,0))),0))</f>
        <v>0</v>
      </c>
      <c r="Y681" s="7" t="e">
        <f>N(#REF!)*IF($E681="упак",MAX(1,IF(ISNA(MATCH($C681,FA,0)),1,N(INDEX(F_PAKET,MATCH($C681,FA,0))))),1)</f>
        <v>#REF!</v>
      </c>
      <c r="Z681" s="7" t="e">
        <f t="shared" si="227"/>
        <v>#REF!</v>
      </c>
      <c r="AA681" s="7">
        <f>IF(OR(ISNA(MATCH($C681,FA,0)),$J681="YEDEK",$J681="SARF"),0,N(#REF!)*N(INDEX(F_TEL,MATCH($C681,FA,0))))</f>
        <v>0</v>
      </c>
      <c r="AB681" s="7">
        <f>IF(OR(ISNA(MATCH($C681,FA,0)),$J681="YEDEK",$J681="SARF"),0,N(#REF!)*N(INDEX(F_TELM,MATCH($C681,FA,0))))</f>
        <v>0</v>
      </c>
      <c r="AC681" s="7" t="e">
        <f t="shared" si="228"/>
        <v>#REF!</v>
      </c>
      <c r="AD681" s="7">
        <f>IF(OR(ISNA(MATCH($C681,FA,0)),$J681&lt;&gt;"CIKIS"),0,N(INDEX(F_KK,MATCH($C681,FA,0))))</f>
        <v>0</v>
      </c>
      <c r="AE681" s="7">
        <f>IF($AD681=0,0,N(#REF!)*N(INDEX(F_KLN,MATCH($C681,FA,0))))</f>
        <v>0</v>
      </c>
      <c r="AF681" s="7">
        <f>IF($AD681=0,0,N(#REF!)*N(INDEX(F_KPE,MATCH($C681,FA,0))))</f>
        <v>0</v>
      </c>
      <c r="AG681" s="7" t="e">
        <f>IF(ISNA(MATCH($C681,FA,0)),0,N(#REF!)*N(INDEX(F_MODUL,MATCH($C681,FA,0))))</f>
        <v>#REF!</v>
      </c>
      <c r="AH681" s="7" t="e">
        <f>N(#REF!)*N($I681)</f>
        <v>#REF!</v>
      </c>
      <c r="AI681" s="7" t="e">
        <f t="shared" si="229"/>
        <v>#REF!</v>
      </c>
      <c r="AJ681" s="7">
        <f t="shared" si="230"/>
        <v>0</v>
      </c>
    </row>
    <row r="682" spans="1:36" x14ac:dyDescent="0.25">
      <c r="A682" s="4" t="str">
        <f t="shared" si="224"/>
        <v>ЩЭ (4 кв.) (260922 akram aulet)</v>
      </c>
      <c r="B682" s="4" t="s">
        <v>113</v>
      </c>
      <c r="C682" s="4" t="s">
        <v>113</v>
      </c>
      <c r="D682" s="4" t="s">
        <v>113</v>
      </c>
      <c r="E682" s="4" t="s">
        <v>114</v>
      </c>
      <c r="F682" s="4" t="s">
        <v>113</v>
      </c>
      <c r="G682" s="4" t="s">
        <v>258</v>
      </c>
      <c r="H682" s="5" t="e">
        <f>#REF!</f>
        <v>#REF!</v>
      </c>
      <c r="I682" s="6" t="e">
        <f t="shared" si="225"/>
        <v>#REF!</v>
      </c>
    </row>
    <row r="683" spans="1:36" x14ac:dyDescent="0.25">
      <c r="A683" s="4" t="str">
        <f t="shared" si="224"/>
        <v>ЩЭ (4 кв.) (260922 akram aulet)</v>
      </c>
      <c r="B683" s="4" t="s">
        <v>115</v>
      </c>
      <c r="C683" s="4" t="s">
        <v>115</v>
      </c>
      <c r="D683" s="4" t="s">
        <v>115</v>
      </c>
      <c r="E683" s="4" t="s">
        <v>116</v>
      </c>
      <c r="F683" s="4" t="s">
        <v>115</v>
      </c>
      <c r="G683" s="4" t="s">
        <v>258</v>
      </c>
      <c r="H683" s="5" t="e">
        <f>#REF!</f>
        <v>#REF!</v>
      </c>
      <c r="I683" s="6" t="e">
        <f t="shared" si="225"/>
        <v>#REF!</v>
      </c>
    </row>
    <row r="684" spans="1:36" x14ac:dyDescent="0.25">
      <c r="A684" s="1" t="str">
        <f>D684</f>
        <v>ЩК тип 1 (2x1P + 8 АВДТ) (260922 akram aulet)</v>
      </c>
      <c r="B684" s="2"/>
      <c r="C684" s="2"/>
      <c r="D684" s="1" t="s">
        <v>351</v>
      </c>
      <c r="E684" s="1" t="s">
        <v>36</v>
      </c>
      <c r="F684" s="1" t="s">
        <v>37</v>
      </c>
      <c r="G684" s="1" t="s">
        <v>290</v>
      </c>
      <c r="I684" s="3" t="e">
        <f>#REF!</f>
        <v>#REF!</v>
      </c>
    </row>
    <row r="685" spans="1:36" x14ac:dyDescent="0.25">
      <c r="A685" s="4" t="str">
        <f t="shared" ref="A685:A703" si="231">A684</f>
        <v>ЩК тип 1 (2x1P + 8 АВДТ) (260922 akram aulet)</v>
      </c>
      <c r="B685" s="4" t="s">
        <v>39</v>
      </c>
      <c r="C685" s="4" t="s">
        <v>508</v>
      </c>
      <c r="D685" s="4" t="s">
        <v>509</v>
      </c>
      <c r="E685" s="4" t="s">
        <v>114</v>
      </c>
      <c r="F685" s="4" t="s">
        <v>591</v>
      </c>
      <c r="G685" s="4" t="s">
        <v>290</v>
      </c>
      <c r="H685" s="5" t="e">
        <f>#REF!</f>
        <v>#REF!</v>
      </c>
      <c r="I685" s="6" t="e">
        <f t="shared" ref="I685:I703" si="232">I684</f>
        <v>#REF!</v>
      </c>
      <c r="J685" s="6" t="s">
        <v>40</v>
      </c>
      <c r="K685" s="6" t="s">
        <v>195</v>
      </c>
      <c r="L685" s="7" t="e">
        <f t="shared" ref="L685:L701" si="233">IF(ISNA(MATCH($C685,FA,0)),"ARTİKÜL YOK",INDEX(FIYAT_DURUM,MATCH($C685,FA,0)))</f>
        <v>#REF!</v>
      </c>
      <c r="M685" s="7" t="s">
        <v>352</v>
      </c>
      <c r="N685" s="7" t="s">
        <v>353</v>
      </c>
      <c r="O685" s="7">
        <f>IF(OR($C685="",$C685="FID YOK"),"",IF(ISNUMBER(MATCH($C685,FA_ANA,0)),"",IF(COUNTIF($C$1:$C684,$C685)&gt;0,"",MAX($O$1:$O684)+1)))</f>
        <v>110</v>
      </c>
      <c r="Q685" s="7"/>
      <c r="R685" s="7"/>
      <c r="S685" s="7"/>
      <c r="T685" s="7">
        <f>IF(ISNA(MATCH($C685,FA,0)),0,IF($J685="GIRIS",N(INDEX(F_INKOR,MATCH($C685,FA,0))),0))</f>
        <v>0</v>
      </c>
      <c r="U685" s="7"/>
      <c r="V685" s="7"/>
      <c r="W685" s="7"/>
      <c r="X685" s="7"/>
      <c r="Y685" s="7" t="e">
        <f>N(#REF!)*IF($E685="упак",MAX(1,IF(ISNA(MATCH($C685,FA,0)),1,N(INDEX(F_PAKET,MATCH($C685,FA,0))))),1)</f>
        <v>#REF!</v>
      </c>
      <c r="Z685" s="7" t="e">
        <f t="shared" ref="Z685:Z701" si="234">IF(ISNA(MATCH($C685,FA,0)),0,N(INDEX(F_BK,MATCH($C685,FA,0))))</f>
        <v>#REF!</v>
      </c>
      <c r="AA685" s="7" t="e">
        <f>IF(OR(ISNA(MATCH($C685,FA,0)),$J685="YEDEK",$J685="SARF"),0,N(#REF!)*N(INDEX(F_TEL,MATCH($C685,FA,0))))</f>
        <v>#REF!</v>
      </c>
      <c r="AB685" s="7" t="e">
        <f>IF(OR(ISNA(MATCH($C685,FA,0)),$J685="YEDEK",$J685="SARF"),0,N(#REF!)*N(INDEX(F_TELM,MATCH($C685,FA,0))))</f>
        <v>#REF!</v>
      </c>
      <c r="AC685" s="7" t="e">
        <f t="shared" ref="AC685:AC701" si="235">IF(ISNA(MATCH($C685,FA,0)),"",INDEX(F_UC,MATCH($C685,FA,0))&amp;"")</f>
        <v>#REF!</v>
      </c>
      <c r="AD685" s="7">
        <f>IF(OR(ISNA(MATCH($C685,FA,0)),$J685&lt;&gt;"CIKIS"),0,N(INDEX(F_KK,MATCH($C685,FA,0))))</f>
        <v>0</v>
      </c>
      <c r="AE685" s="7">
        <f>IF($AD685=0,0,N(#REF!)*N(INDEX(F_KLN,MATCH($C685,FA,0))))</f>
        <v>0</v>
      </c>
      <c r="AF685" s="7">
        <f>IF($AD685=0,0,N(#REF!)*N(INDEX(F_KPE,MATCH($C685,FA,0))))</f>
        <v>0</v>
      </c>
      <c r="AG685" s="7" t="e">
        <f>IF(ISNA(MATCH($C685,FA,0)),0,N(#REF!)*N(INDEX(F_MODUL,MATCH($C685,FA,0))))</f>
        <v>#REF!</v>
      </c>
      <c r="AH685" s="7" t="e">
        <f>N(#REF!)*N($I685)</f>
        <v>#REF!</v>
      </c>
      <c r="AI685" s="7" t="e">
        <f t="shared" ref="AI685:AI701" si="236">IF(ISNA(MATCH($K685,TIP_AD,0)),"YOK",IF(INDEX(NORM_DK,MATCH($K685,TIP_AD,0))="","BOŞ",INDEX(NORM_DK,MATCH($K685,TIP_AD,0))))</f>
        <v>#REF!</v>
      </c>
      <c r="AJ685" s="7">
        <f t="shared" ref="AJ685:AJ701" si="237">IF(ISNUMBER($AI685),$Y685*$AI685,0)</f>
        <v>0</v>
      </c>
    </row>
    <row r="686" spans="1:36" x14ac:dyDescent="0.25">
      <c r="A686" s="4" t="str">
        <f t="shared" si="231"/>
        <v>ЩК тип 1 (2x1P + 8 АВДТ) (260922 akram aulet)</v>
      </c>
      <c r="B686" s="4" t="s">
        <v>198</v>
      </c>
      <c r="C686" s="4" t="s">
        <v>375</v>
      </c>
      <c r="D686" s="4" t="s">
        <v>376</v>
      </c>
      <c r="E686" s="4" t="s">
        <v>114</v>
      </c>
      <c r="F686" s="4" t="s">
        <v>377</v>
      </c>
      <c r="G686" s="4" t="s">
        <v>290</v>
      </c>
      <c r="H686" s="5" t="e">
        <f>#REF!</f>
        <v>#REF!</v>
      </c>
      <c r="I686" s="6" t="e">
        <f t="shared" si="232"/>
        <v>#REF!</v>
      </c>
      <c r="J686" s="6" t="s">
        <v>48</v>
      </c>
      <c r="K686" s="6" t="s">
        <v>198</v>
      </c>
      <c r="L686" s="7" t="e">
        <f t="shared" si="233"/>
        <v>#REF!</v>
      </c>
      <c r="M686" s="7" t="s">
        <v>354</v>
      </c>
      <c r="N686" s="7" t="s">
        <v>344</v>
      </c>
      <c r="O686" s="7" t="str">
        <f>IF(OR($C686="",$C686="FID YOK"),"",IF(ISNUMBER(MATCH($C686,FA_ANA,0)),"",IF(COUNTIF($C$1:$C685,$C686)&gt;0,"",MAX($O$1:$O685)+1)))</f>
        <v/>
      </c>
      <c r="P686" s="8">
        <v>1</v>
      </c>
      <c r="Q686" s="7" t="e">
        <f>IF(OR($P686="",$P686="G",ISNA(MATCH($C686,FA,0))),"",IF(N(INDEX(F_G,MATCH($C686,FA,0)))&gt;0,INDEX(F_G,MATCH($C686,FA,0)),IF(N(INDEX(F_MODUL,MATCH($C686,FA,0)))&gt;0,INDEX(F_MODUL,MATCH($C686,FA,0))*MODUL_MM,"")))</f>
        <v>#REF!</v>
      </c>
      <c r="R686" s="7" t="e">
        <f>IF(OR($P686="",$P686="G",ISNA(MATCH($C686,FA,0))),"",IF(N(INDEX(F_Y,MATCH($C686,FA,0)))&gt;0,INDEX(F_Y,MATCH($C686,FA,0)),""))</f>
        <v>#REF!</v>
      </c>
      <c r="S686" s="7" t="e">
        <f>IF(OR($P686="",$P686="G",ISNA(MATCH($C686,FA,0))),"",IF(N(INDEX(F_D,MATCH($C686,FA,0)))&gt;0,INDEX(F_D,MATCH($C686,FA,0)),""))</f>
        <v>#REF!</v>
      </c>
      <c r="T686" s="7" t="e">
        <f>IF(ISNA(MATCH($C686,FA,0)),0,IF($J686="GIRIS",N(INDEX(F_INKOR,MATCH($C686,FA,0))),0))</f>
        <v>#REF!</v>
      </c>
      <c r="U686" s="7" t="e">
        <f>IF(ISNA(MATCH($B686,TIP_AD,0)),"",INDEX(TIP_KAT,MATCH($B686,TIP_AD,0))&amp;"")</f>
        <v>#REF!</v>
      </c>
      <c r="V686" s="7" t="e">
        <f>IF(NOT(ISNUMBER($P686)),"",IF($Z686=0,0,IF(ISNA(MATCH($Z686,BUK_KESIT,0)),"",IF(INDEX(BUK_ALAN,MATCH($Z686,BUK_KESIT,0))&amp;""="","",INDEX(BUK_ALAN,MATCH($Z686,BUK_KESIT,0))))))</f>
        <v>#REF!</v>
      </c>
      <c r="W686" s="7" t="e">
        <f>IF(OR(NOT(ISNUMBER($P686)),$Q686=""),"",N(#REF!)*($Q686+IF(ISNA(MATCH($B686,TIP_AD,0)),0,N(INDEX(TIP_BOSLUK,MATCH($B686,TIP_AD,0))))))</f>
        <v>#REF!</v>
      </c>
      <c r="X686" s="7" t="e">
        <f>IF(ISNUMBER($P686),($Q686="")+($R686="")+($V686="")+IF(AND($U686="KONTAKTOR",NOT(ISNA(MATCH($B686,TIP_AD,0)))),IF(INDEX(TIP_BOSLUK,MATCH($B686,TIP_AD,0))&amp;""="",1,0),0),IF($P686="K",IF($S686="",1,0),0))</f>
        <v>#REF!</v>
      </c>
      <c r="Y686" s="7" t="e">
        <f>N(#REF!)*IF($E686="упак",MAX(1,IF(ISNA(MATCH($C686,FA,0)),1,N(INDEX(F_PAKET,MATCH($C686,FA,0))))),1)</f>
        <v>#REF!</v>
      </c>
      <c r="Z686" s="7" t="e">
        <f t="shared" si="234"/>
        <v>#REF!</v>
      </c>
      <c r="AA686" s="7" t="e">
        <f>IF(OR(ISNA(MATCH($C686,FA,0)),$J686="YEDEK",$J686="SARF"),0,N(#REF!)*N(INDEX(F_TEL,MATCH($C686,FA,0))))</f>
        <v>#REF!</v>
      </c>
      <c r="AB686" s="7" t="e">
        <f>IF(OR(ISNA(MATCH($C686,FA,0)),$J686="YEDEK",$J686="SARF"),0,N(#REF!)*N(INDEX(F_TELM,MATCH($C686,FA,0))))</f>
        <v>#REF!</v>
      </c>
      <c r="AC686" s="7" t="e">
        <f t="shared" si="235"/>
        <v>#REF!</v>
      </c>
      <c r="AD686" s="7">
        <f>IF(OR(ISNA(MATCH($C686,FA,0)),$J686&lt;&gt;"CIKIS"),0,N(INDEX(F_KK,MATCH($C686,FA,0))))</f>
        <v>0</v>
      </c>
      <c r="AE686" s="7">
        <f>IF($AD686=0,0,N(#REF!)*N(INDEX(F_KLN,MATCH($C686,FA,0))))</f>
        <v>0</v>
      </c>
      <c r="AF686" s="7">
        <f>IF($AD686=0,0,N(#REF!)*N(INDEX(F_KPE,MATCH($C686,FA,0))))</f>
        <v>0</v>
      </c>
      <c r="AG686" s="7" t="e">
        <f>IF(ISNA(MATCH($C686,FA,0)),0,N(#REF!)*N(INDEX(F_MODUL,MATCH($C686,FA,0))))</f>
        <v>#REF!</v>
      </c>
      <c r="AH686" s="7" t="e">
        <f>N(#REF!)*N($I686)</f>
        <v>#REF!</v>
      </c>
      <c r="AI686" s="7" t="e">
        <f t="shared" si="236"/>
        <v>#REF!</v>
      </c>
      <c r="AJ686" s="7">
        <f t="shared" si="237"/>
        <v>0</v>
      </c>
    </row>
    <row r="687" spans="1:36" x14ac:dyDescent="0.25">
      <c r="A687" s="4" t="str">
        <f t="shared" si="231"/>
        <v>ЩК тип 1 (2x1P + 8 АВДТ) (260922 akram aulet)</v>
      </c>
      <c r="B687" s="4" t="s">
        <v>65</v>
      </c>
      <c r="C687" s="4" t="s">
        <v>390</v>
      </c>
      <c r="D687" s="4" t="s">
        <v>391</v>
      </c>
      <c r="E687" s="4" t="s">
        <v>114</v>
      </c>
      <c r="F687" s="4" t="s">
        <v>377</v>
      </c>
      <c r="G687" s="4" t="s">
        <v>290</v>
      </c>
      <c r="H687" s="5" t="e">
        <f>#REF!</f>
        <v>#REF!</v>
      </c>
      <c r="I687" s="6" t="e">
        <f t="shared" si="232"/>
        <v>#REF!</v>
      </c>
      <c r="J687" s="6" t="s">
        <v>52</v>
      </c>
      <c r="K687" s="6" t="s">
        <v>65</v>
      </c>
      <c r="L687" s="7" t="e">
        <f t="shared" si="233"/>
        <v>#REF!</v>
      </c>
      <c r="M687" s="7" t="s">
        <v>355</v>
      </c>
      <c r="N687" s="7" t="s">
        <v>356</v>
      </c>
      <c r="O687" s="7">
        <f>IF(OR($C687="",$C687="FID YOK"),"",IF(ISNUMBER(MATCH($C687,FA_ANA,0)),"",IF(COUNTIF($C$1:$C686,$C687)&gt;0,"",MAX($O$1:$O686)+1)))</f>
        <v>111</v>
      </c>
      <c r="P687" s="8">
        <v>1</v>
      </c>
      <c r="Q687" s="7" t="e">
        <f>IF(OR($P687="",$P687="G",ISNA(MATCH($C687,FA,0))),"",IF(N(INDEX(F_G,MATCH($C687,FA,0)))&gt;0,INDEX(F_G,MATCH($C687,FA,0)),IF(N(INDEX(F_MODUL,MATCH($C687,FA,0)))&gt;0,INDEX(F_MODUL,MATCH($C687,FA,0))*MODUL_MM,"")))</f>
        <v>#REF!</v>
      </c>
      <c r="R687" s="7" t="e">
        <f>IF(OR($P687="",$P687="G",ISNA(MATCH($C687,FA,0))),"",IF(N(INDEX(F_Y,MATCH($C687,FA,0)))&gt;0,INDEX(F_Y,MATCH($C687,FA,0)),""))</f>
        <v>#REF!</v>
      </c>
      <c r="S687" s="7" t="e">
        <f>IF(OR($P687="",$P687="G",ISNA(MATCH($C687,FA,0))),"",IF(N(INDEX(F_D,MATCH($C687,FA,0)))&gt;0,INDEX(F_D,MATCH($C687,FA,0)),""))</f>
        <v>#REF!</v>
      </c>
      <c r="T687" s="7">
        <f>IF(ISNA(MATCH($C687,FA,0)),0,IF($J687="GIRIS",N(INDEX(F_INKOR,MATCH($C687,FA,0))),0))</f>
        <v>0</v>
      </c>
      <c r="U687" s="7" t="e">
        <f>IF(ISNA(MATCH($B687,TIP_AD,0)),"",INDEX(TIP_KAT,MATCH($B687,TIP_AD,0))&amp;"")</f>
        <v>#REF!</v>
      </c>
      <c r="V687" s="7" t="e">
        <f>IF(NOT(ISNUMBER($P687)),"",IF($Z687=0,0,IF(ISNA(MATCH($Z687,BUK_KESIT,0)),"",IF(INDEX(BUK_ALAN,MATCH($Z687,BUK_KESIT,0))&amp;""="","",INDEX(BUK_ALAN,MATCH($Z687,BUK_KESIT,0))))))</f>
        <v>#REF!</v>
      </c>
      <c r="W687" s="7" t="e">
        <f>IF(OR(NOT(ISNUMBER($P687)),$Q687=""),"",N(#REF!)*($Q687+IF(ISNA(MATCH($B687,TIP_AD,0)),0,N(INDEX(TIP_BOSLUK,MATCH($B687,TIP_AD,0))))))</f>
        <v>#REF!</v>
      </c>
      <c r="X687" s="7" t="e">
        <f>IF(ISNUMBER($P687),($Q687="")+($R687="")+($V687="")+IF(AND($U687="KONTAKTOR",NOT(ISNA(MATCH($B687,TIP_AD,0)))),IF(INDEX(TIP_BOSLUK,MATCH($B687,TIP_AD,0))&amp;""="",1,0),0),IF($P687="K",IF($S687="",1,0),0))</f>
        <v>#REF!</v>
      </c>
      <c r="Y687" s="7" t="e">
        <f>N(#REF!)*IF($E687="упак",MAX(1,IF(ISNA(MATCH($C687,FA,0)),1,N(INDEX(F_PAKET,MATCH($C687,FA,0))))),1)</f>
        <v>#REF!</v>
      </c>
      <c r="Z687" s="7" t="e">
        <f t="shared" si="234"/>
        <v>#REF!</v>
      </c>
      <c r="AA687" s="7" t="e">
        <f>IF(OR(ISNA(MATCH($C687,FA,0)),$J687="YEDEK",$J687="SARF"),0,N(#REF!)*N(INDEX(F_TEL,MATCH($C687,FA,0))))</f>
        <v>#REF!</v>
      </c>
      <c r="AB687" s="7" t="e">
        <f>IF(OR(ISNA(MATCH($C687,FA,0)),$J687="YEDEK",$J687="SARF"),0,N(#REF!)*N(INDEX(F_TELM,MATCH($C687,FA,0))))</f>
        <v>#REF!</v>
      </c>
      <c r="AC687" s="7" t="e">
        <f t="shared" si="235"/>
        <v>#REF!</v>
      </c>
      <c r="AD687" s="7" t="e">
        <f>IF(OR(ISNA(MATCH($C687,FA,0)),$J687&lt;&gt;"CIKIS"),0,N(INDEX(F_KK,MATCH($C687,FA,0))))</f>
        <v>#REF!</v>
      </c>
      <c r="AE687" s="7" t="e">
        <f>IF($AD687=0,0,N(#REF!)*N(INDEX(F_KLN,MATCH($C687,FA,0))))</f>
        <v>#REF!</v>
      </c>
      <c r="AF687" s="7" t="e">
        <f>IF($AD687=0,0,N(#REF!)*N(INDEX(F_KPE,MATCH($C687,FA,0))))</f>
        <v>#REF!</v>
      </c>
      <c r="AG687" s="7" t="e">
        <f>IF(ISNA(MATCH($C687,FA,0)),0,N(#REF!)*N(INDEX(F_MODUL,MATCH($C687,FA,0))))</f>
        <v>#REF!</v>
      </c>
      <c r="AH687" s="7" t="e">
        <f>N(#REF!)*N($I687)</f>
        <v>#REF!</v>
      </c>
      <c r="AI687" s="7" t="e">
        <f t="shared" si="236"/>
        <v>#REF!</v>
      </c>
      <c r="AJ687" s="7">
        <f t="shared" si="237"/>
        <v>0</v>
      </c>
    </row>
    <row r="688" spans="1:36" x14ac:dyDescent="0.25">
      <c r="A688" s="4" t="str">
        <f t="shared" si="231"/>
        <v>ЩК тип 1 (2x1P + 8 АВДТ) (260922 akram aulet)</v>
      </c>
      <c r="B688" s="4" t="s">
        <v>213</v>
      </c>
      <c r="C688" s="4" t="s">
        <v>410</v>
      </c>
      <c r="D688" s="4" t="s">
        <v>411</v>
      </c>
      <c r="E688" s="4" t="s">
        <v>114</v>
      </c>
      <c r="F688" s="4" t="s">
        <v>377</v>
      </c>
      <c r="G688" s="4" t="s">
        <v>290</v>
      </c>
      <c r="H688" s="5" t="e">
        <f>#REF!</f>
        <v>#REF!</v>
      </c>
      <c r="I688" s="6" t="e">
        <f t="shared" si="232"/>
        <v>#REF!</v>
      </c>
      <c r="J688" s="6" t="s">
        <v>52</v>
      </c>
      <c r="K688" s="6" t="s">
        <v>213</v>
      </c>
      <c r="L688" s="7" t="e">
        <f t="shared" si="233"/>
        <v>#REF!</v>
      </c>
      <c r="M688" s="7" t="s">
        <v>214</v>
      </c>
      <c r="N688" s="7" t="s">
        <v>215</v>
      </c>
      <c r="O688" s="7" t="str">
        <f>IF(OR($C688="",$C688="FID YOK"),"",IF(ISNUMBER(MATCH($C688,FA_ANA,0)),"",IF(COUNTIF($C$1:$C687,$C688)&gt;0,"",MAX($O$1:$O687)+1)))</f>
        <v/>
      </c>
      <c r="P688" s="8">
        <v>1</v>
      </c>
      <c r="Q688" s="7" t="e">
        <f>IF(OR($P688="",$P688="G",ISNA(MATCH($C688,FA,0))),"",IF(N(INDEX(F_G,MATCH($C688,FA,0)))&gt;0,INDEX(F_G,MATCH($C688,FA,0)),IF(N(INDEX(F_MODUL,MATCH($C688,FA,0)))&gt;0,INDEX(F_MODUL,MATCH($C688,FA,0))*MODUL_MM,"")))</f>
        <v>#REF!</v>
      </c>
      <c r="R688" s="7" t="e">
        <f>IF(OR($P688="",$P688="G",ISNA(MATCH($C688,FA,0))),"",IF(N(INDEX(F_Y,MATCH($C688,FA,0)))&gt;0,INDEX(F_Y,MATCH($C688,FA,0)),""))</f>
        <v>#REF!</v>
      </c>
      <c r="S688" s="7" t="e">
        <f>IF(OR($P688="",$P688="G",ISNA(MATCH($C688,FA,0))),"",IF(N(INDEX(F_D,MATCH($C688,FA,0)))&gt;0,INDEX(F_D,MATCH($C688,FA,0)),""))</f>
        <v>#REF!</v>
      </c>
      <c r="T688" s="7">
        <f>IF(ISNA(MATCH($C688,FA,0)),0,IF($J688="GIRIS",N(INDEX(F_INKOR,MATCH($C688,FA,0))),0))</f>
        <v>0</v>
      </c>
      <c r="U688" s="7" t="e">
        <f>IF(ISNA(MATCH($B688,TIP_AD,0)),"",INDEX(TIP_KAT,MATCH($B688,TIP_AD,0))&amp;"")</f>
        <v>#REF!</v>
      </c>
      <c r="V688" s="7" t="e">
        <f>IF(NOT(ISNUMBER($P688)),"",IF($Z688=0,0,IF(ISNA(MATCH($Z688,BUK_KESIT,0)),"",IF(INDEX(BUK_ALAN,MATCH($Z688,BUK_KESIT,0))&amp;""="","",INDEX(BUK_ALAN,MATCH($Z688,BUK_KESIT,0))))))</f>
        <v>#REF!</v>
      </c>
      <c r="W688" s="7" t="e">
        <f>IF(OR(NOT(ISNUMBER($P688)),$Q688=""),"",N(#REF!)*($Q688+IF(ISNA(MATCH($B688,TIP_AD,0)),0,N(INDEX(TIP_BOSLUK,MATCH($B688,TIP_AD,0))))))</f>
        <v>#REF!</v>
      </c>
      <c r="X688" s="7" t="e">
        <f>IF(ISNUMBER($P688),($Q688="")+($R688="")+($V688="")+IF(AND($U688="KONTAKTOR",NOT(ISNA(MATCH($B688,TIP_AD,0)))),IF(INDEX(TIP_BOSLUK,MATCH($B688,TIP_AD,0))&amp;""="",1,0),0),IF($P688="K",IF($S688="",1,0),0))</f>
        <v>#REF!</v>
      </c>
      <c r="Y688" s="7" t="e">
        <f>N(#REF!)*IF($E688="упак",MAX(1,IF(ISNA(MATCH($C688,FA,0)),1,N(INDEX(F_PAKET,MATCH($C688,FA,0))))),1)</f>
        <v>#REF!</v>
      </c>
      <c r="Z688" s="7" t="e">
        <f t="shared" si="234"/>
        <v>#REF!</v>
      </c>
      <c r="AA688" s="7" t="e">
        <f>IF(OR(ISNA(MATCH($C688,FA,0)),$J688="YEDEK",$J688="SARF"),0,N(#REF!)*N(INDEX(F_TEL,MATCH($C688,FA,0))))</f>
        <v>#REF!</v>
      </c>
      <c r="AB688" s="7" t="e">
        <f>IF(OR(ISNA(MATCH($C688,FA,0)),$J688="YEDEK",$J688="SARF"),0,N(#REF!)*N(INDEX(F_TELM,MATCH($C688,FA,0))))</f>
        <v>#REF!</v>
      </c>
      <c r="AC688" s="7" t="e">
        <f t="shared" si="235"/>
        <v>#REF!</v>
      </c>
      <c r="AD688" s="7" t="e">
        <f>IF(OR(ISNA(MATCH($C688,FA,0)),$J688&lt;&gt;"CIKIS"),0,N(INDEX(F_KK,MATCH($C688,FA,0))))</f>
        <v>#REF!</v>
      </c>
      <c r="AE688" s="7" t="e">
        <f>IF($AD688=0,0,N(#REF!)*N(INDEX(F_KLN,MATCH($C688,FA,0))))</f>
        <v>#REF!</v>
      </c>
      <c r="AF688" s="7" t="e">
        <f>IF($AD688=0,0,N(#REF!)*N(INDEX(F_KPE,MATCH($C688,FA,0))))</f>
        <v>#REF!</v>
      </c>
      <c r="AG688" s="7" t="e">
        <f>IF(ISNA(MATCH($C688,FA,0)),0,N(#REF!)*N(INDEX(F_MODUL,MATCH($C688,FA,0))))</f>
        <v>#REF!</v>
      </c>
      <c r="AH688" s="7" t="e">
        <f>N(#REF!)*N($I688)</f>
        <v>#REF!</v>
      </c>
      <c r="AI688" s="7" t="e">
        <f t="shared" si="236"/>
        <v>#REF!</v>
      </c>
      <c r="AJ688" s="7">
        <f t="shared" si="237"/>
        <v>0</v>
      </c>
    </row>
    <row r="689" spans="1:36" x14ac:dyDescent="0.25">
      <c r="A689" s="4" t="str">
        <f t="shared" si="231"/>
        <v>ЩК тип 1 (2x1P + 8 АВДТ) (260922 akram aulet)</v>
      </c>
      <c r="B689" s="4" t="s">
        <v>213</v>
      </c>
      <c r="C689" s="4" t="s">
        <v>412</v>
      </c>
      <c r="D689" s="4" t="s">
        <v>413</v>
      </c>
      <c r="E689" s="4" t="s">
        <v>114</v>
      </c>
      <c r="F689" s="4" t="s">
        <v>377</v>
      </c>
      <c r="G689" s="4" t="s">
        <v>290</v>
      </c>
      <c r="H689" s="5" t="e">
        <f>#REF!</f>
        <v>#REF!</v>
      </c>
      <c r="I689" s="6" t="e">
        <f t="shared" si="232"/>
        <v>#REF!</v>
      </c>
      <c r="J689" s="6" t="s">
        <v>52</v>
      </c>
      <c r="K689" s="6" t="s">
        <v>213</v>
      </c>
      <c r="L689" s="7" t="e">
        <f t="shared" si="233"/>
        <v>#REF!</v>
      </c>
      <c r="M689" s="7" t="s">
        <v>357</v>
      </c>
      <c r="N689" s="7" t="s">
        <v>358</v>
      </c>
      <c r="O689" s="7">
        <f>IF(OR($C689="",$C689="FID YOK"),"",IF(ISNUMBER(MATCH($C689,FA_ANA,0)),"",IF(COUNTIF($C$1:$C688,$C689)&gt;0,"",MAX($O$1:$O688)+1)))</f>
        <v>112</v>
      </c>
      <c r="P689" s="8">
        <v>1</v>
      </c>
      <c r="Q689" s="7" t="e">
        <f>IF(OR($P689="",$P689="G",ISNA(MATCH($C689,FA,0))),"",IF(N(INDEX(F_G,MATCH($C689,FA,0)))&gt;0,INDEX(F_G,MATCH($C689,FA,0)),IF(N(INDEX(F_MODUL,MATCH($C689,FA,0)))&gt;0,INDEX(F_MODUL,MATCH($C689,FA,0))*MODUL_MM,"")))</f>
        <v>#REF!</v>
      </c>
      <c r="R689" s="7" t="e">
        <f>IF(OR($P689="",$P689="G",ISNA(MATCH($C689,FA,0))),"",IF(N(INDEX(F_Y,MATCH($C689,FA,0)))&gt;0,INDEX(F_Y,MATCH($C689,FA,0)),""))</f>
        <v>#REF!</v>
      </c>
      <c r="S689" s="7" t="e">
        <f>IF(OR($P689="",$P689="G",ISNA(MATCH($C689,FA,0))),"",IF(N(INDEX(F_D,MATCH($C689,FA,0)))&gt;0,INDEX(F_D,MATCH($C689,FA,0)),""))</f>
        <v>#REF!</v>
      </c>
      <c r="T689" s="7">
        <f>IF(ISNA(MATCH($C689,FA,0)),0,IF($J689="GIRIS",N(INDEX(F_INKOR,MATCH($C689,FA,0))),0))</f>
        <v>0</v>
      </c>
      <c r="U689" s="7" t="e">
        <f>IF(ISNA(MATCH($B689,TIP_AD,0)),"",INDEX(TIP_KAT,MATCH($B689,TIP_AD,0))&amp;"")</f>
        <v>#REF!</v>
      </c>
      <c r="V689" s="7" t="e">
        <f>IF(NOT(ISNUMBER($P689)),"",IF($Z689=0,0,IF(ISNA(MATCH($Z689,BUK_KESIT,0)),"",IF(INDEX(BUK_ALAN,MATCH($Z689,BUK_KESIT,0))&amp;""="","",INDEX(BUK_ALAN,MATCH($Z689,BUK_KESIT,0))))))</f>
        <v>#REF!</v>
      </c>
      <c r="W689" s="7" t="e">
        <f>IF(OR(NOT(ISNUMBER($P689)),$Q689=""),"",N(#REF!)*($Q689+IF(ISNA(MATCH($B689,TIP_AD,0)),0,N(INDEX(TIP_BOSLUK,MATCH($B689,TIP_AD,0))))))</f>
        <v>#REF!</v>
      </c>
      <c r="X689" s="7" t="e">
        <f>IF(ISNUMBER($P689),($Q689="")+($R689="")+($V689="")+IF(AND($U689="KONTAKTOR",NOT(ISNA(MATCH($B689,TIP_AD,0)))),IF(INDEX(TIP_BOSLUK,MATCH($B689,TIP_AD,0))&amp;""="",1,0),0),IF($P689="K",IF($S689="",1,0),0))</f>
        <v>#REF!</v>
      </c>
      <c r="Y689" s="7" t="e">
        <f>N(#REF!)*IF($E689="упак",MAX(1,IF(ISNA(MATCH($C689,FA,0)),1,N(INDEX(F_PAKET,MATCH($C689,FA,0))))),1)</f>
        <v>#REF!</v>
      </c>
      <c r="Z689" s="7" t="e">
        <f t="shared" si="234"/>
        <v>#REF!</v>
      </c>
      <c r="AA689" s="7" t="e">
        <f>IF(OR(ISNA(MATCH($C689,FA,0)),$J689="YEDEK",$J689="SARF"),0,N(#REF!)*N(INDEX(F_TEL,MATCH($C689,FA,0))))</f>
        <v>#REF!</v>
      </c>
      <c r="AB689" s="7" t="e">
        <f>IF(OR(ISNA(MATCH($C689,FA,0)),$J689="YEDEK",$J689="SARF"),0,N(#REF!)*N(INDEX(F_TELM,MATCH($C689,FA,0))))</f>
        <v>#REF!</v>
      </c>
      <c r="AC689" s="7" t="e">
        <f t="shared" si="235"/>
        <v>#REF!</v>
      </c>
      <c r="AD689" s="7" t="e">
        <f>IF(OR(ISNA(MATCH($C689,FA,0)),$J689&lt;&gt;"CIKIS"),0,N(INDEX(F_KK,MATCH($C689,FA,0))))</f>
        <v>#REF!</v>
      </c>
      <c r="AE689" s="7" t="e">
        <f>IF($AD689=0,0,N(#REF!)*N(INDEX(F_KLN,MATCH($C689,FA,0))))</f>
        <v>#REF!</v>
      </c>
      <c r="AF689" s="7" t="e">
        <f>IF($AD689=0,0,N(#REF!)*N(INDEX(F_KPE,MATCH($C689,FA,0))))</f>
        <v>#REF!</v>
      </c>
      <c r="AG689" s="7" t="e">
        <f>IF(ISNA(MATCH($C689,FA,0)),0,N(#REF!)*N(INDEX(F_MODUL,MATCH($C689,FA,0))))</f>
        <v>#REF!</v>
      </c>
      <c r="AH689" s="7" t="e">
        <f>N(#REF!)*N($I689)</f>
        <v>#REF!</v>
      </c>
      <c r="AI689" s="7" t="e">
        <f t="shared" si="236"/>
        <v>#REF!</v>
      </c>
      <c r="AJ689" s="7">
        <f t="shared" si="237"/>
        <v>0</v>
      </c>
    </row>
    <row r="690" spans="1:36" x14ac:dyDescent="0.25">
      <c r="A690" s="4" t="str">
        <f t="shared" si="231"/>
        <v>ЩК тип 1 (2x1P + 8 АВДТ) (260922 akram aulet)</v>
      </c>
      <c r="B690" s="4" t="s">
        <v>213</v>
      </c>
      <c r="C690" s="4" t="s">
        <v>414</v>
      </c>
      <c r="D690" s="4" t="s">
        <v>415</v>
      </c>
      <c r="E690" s="4" t="s">
        <v>114</v>
      </c>
      <c r="F690" s="4" t="s">
        <v>377</v>
      </c>
      <c r="G690" s="4" t="s">
        <v>290</v>
      </c>
      <c r="H690" s="5" t="e">
        <f>#REF!</f>
        <v>#REF!</v>
      </c>
      <c r="I690" s="6" t="e">
        <f t="shared" si="232"/>
        <v>#REF!</v>
      </c>
      <c r="J690" s="6" t="s">
        <v>52</v>
      </c>
      <c r="K690" s="6" t="s">
        <v>213</v>
      </c>
      <c r="L690" s="7" t="e">
        <f t="shared" si="233"/>
        <v>#REF!</v>
      </c>
      <c r="M690" s="7" t="s">
        <v>359</v>
      </c>
      <c r="N690" s="7" t="s">
        <v>360</v>
      </c>
      <c r="O690" s="7">
        <f>IF(OR($C690="",$C690="FID YOK"),"",IF(ISNUMBER(MATCH($C690,FA_ANA,0)),"",IF(COUNTIF($C$1:$C689,$C690)&gt;0,"",MAX($O$1:$O689)+1)))</f>
        <v>113</v>
      </c>
      <c r="P690" s="8">
        <v>1</v>
      </c>
      <c r="Q690" s="7" t="e">
        <f>IF(OR($P690="",$P690="G",ISNA(MATCH($C690,FA,0))),"",IF(N(INDEX(F_G,MATCH($C690,FA,0)))&gt;0,INDEX(F_G,MATCH($C690,FA,0)),IF(N(INDEX(F_MODUL,MATCH($C690,FA,0)))&gt;0,INDEX(F_MODUL,MATCH($C690,FA,0))*MODUL_MM,"")))</f>
        <v>#REF!</v>
      </c>
      <c r="R690" s="7" t="e">
        <f>IF(OR($P690="",$P690="G",ISNA(MATCH($C690,FA,0))),"",IF(N(INDEX(F_Y,MATCH($C690,FA,0)))&gt;0,INDEX(F_Y,MATCH($C690,FA,0)),""))</f>
        <v>#REF!</v>
      </c>
      <c r="S690" s="7" t="e">
        <f>IF(OR($P690="",$P690="G",ISNA(MATCH($C690,FA,0))),"",IF(N(INDEX(F_D,MATCH($C690,FA,0)))&gt;0,INDEX(F_D,MATCH($C690,FA,0)),""))</f>
        <v>#REF!</v>
      </c>
      <c r="T690" s="7">
        <f>IF(ISNA(MATCH($C690,FA,0)),0,IF($J690="GIRIS",N(INDEX(F_INKOR,MATCH($C690,FA,0))),0))</f>
        <v>0</v>
      </c>
      <c r="U690" s="7" t="e">
        <f>IF(ISNA(MATCH($B690,TIP_AD,0)),"",INDEX(TIP_KAT,MATCH($B690,TIP_AD,0))&amp;"")</f>
        <v>#REF!</v>
      </c>
      <c r="V690" s="7" t="e">
        <f>IF(NOT(ISNUMBER($P690)),"",IF($Z690=0,0,IF(ISNA(MATCH($Z690,BUK_KESIT,0)),"",IF(INDEX(BUK_ALAN,MATCH($Z690,BUK_KESIT,0))&amp;""="","",INDEX(BUK_ALAN,MATCH($Z690,BUK_KESIT,0))))))</f>
        <v>#REF!</v>
      </c>
      <c r="W690" s="7" t="e">
        <f>IF(OR(NOT(ISNUMBER($P690)),$Q690=""),"",N(#REF!)*($Q690+IF(ISNA(MATCH($B690,TIP_AD,0)),0,N(INDEX(TIP_BOSLUK,MATCH($B690,TIP_AD,0))))))</f>
        <v>#REF!</v>
      </c>
      <c r="X690" s="7" t="e">
        <f>IF(ISNUMBER($P690),($Q690="")+($R690="")+($V690="")+IF(AND($U690="KONTAKTOR",NOT(ISNA(MATCH($B690,TIP_AD,0)))),IF(INDEX(TIP_BOSLUK,MATCH($B690,TIP_AD,0))&amp;""="",1,0),0),IF($P690="K",IF($S690="",1,0),0))</f>
        <v>#REF!</v>
      </c>
      <c r="Y690" s="7" t="e">
        <f>N(#REF!)*IF($E690="упак",MAX(1,IF(ISNA(MATCH($C690,FA,0)),1,N(INDEX(F_PAKET,MATCH($C690,FA,0))))),1)</f>
        <v>#REF!</v>
      </c>
      <c r="Z690" s="7" t="e">
        <f t="shared" si="234"/>
        <v>#REF!</v>
      </c>
      <c r="AA690" s="7" t="e">
        <f>IF(OR(ISNA(MATCH($C690,FA,0)),$J690="YEDEK",$J690="SARF"),0,N(#REF!)*N(INDEX(F_TEL,MATCH($C690,FA,0))))</f>
        <v>#REF!</v>
      </c>
      <c r="AB690" s="7" t="e">
        <f>IF(OR(ISNA(MATCH($C690,FA,0)),$J690="YEDEK",$J690="SARF"),0,N(#REF!)*N(INDEX(F_TELM,MATCH($C690,FA,0))))</f>
        <v>#REF!</v>
      </c>
      <c r="AC690" s="7" t="e">
        <f t="shared" si="235"/>
        <v>#REF!</v>
      </c>
      <c r="AD690" s="7" t="e">
        <f>IF(OR(ISNA(MATCH($C690,FA,0)),$J690&lt;&gt;"CIKIS"),0,N(INDEX(F_KK,MATCH($C690,FA,0))))</f>
        <v>#REF!</v>
      </c>
      <c r="AE690" s="7" t="e">
        <f>IF($AD690=0,0,N(#REF!)*N(INDEX(F_KLN,MATCH($C690,FA,0))))</f>
        <v>#REF!</v>
      </c>
      <c r="AF690" s="7" t="e">
        <f>IF($AD690=0,0,N(#REF!)*N(INDEX(F_KPE,MATCH($C690,FA,0))))</f>
        <v>#REF!</v>
      </c>
      <c r="AG690" s="7" t="e">
        <f>IF(ISNA(MATCH($C690,FA,0)),0,N(#REF!)*N(INDEX(F_MODUL,MATCH($C690,FA,0))))</f>
        <v>#REF!</v>
      </c>
      <c r="AH690" s="7" t="e">
        <f>N(#REF!)*N($I690)</f>
        <v>#REF!</v>
      </c>
      <c r="AI690" s="7" t="e">
        <f t="shared" si="236"/>
        <v>#REF!</v>
      </c>
      <c r="AJ690" s="7">
        <f t="shared" si="237"/>
        <v>0</v>
      </c>
    </row>
    <row r="691" spans="1:36" x14ac:dyDescent="0.25">
      <c r="A691" s="4" t="str">
        <f t="shared" si="231"/>
        <v>ЩК тип 1 (2x1P + 8 АВДТ) (260922 akram aulet)</v>
      </c>
      <c r="B691" s="4" t="s">
        <v>202</v>
      </c>
      <c r="C691" s="4" t="s">
        <v>581</v>
      </c>
      <c r="D691" s="4" t="s">
        <v>582</v>
      </c>
      <c r="E691" s="4" t="s">
        <v>114</v>
      </c>
      <c r="F691" s="4" t="s">
        <v>486</v>
      </c>
      <c r="G691" s="4" t="s">
        <v>290</v>
      </c>
      <c r="H691" s="5" t="e">
        <f>#REF!</f>
        <v>#REF!</v>
      </c>
      <c r="I691" s="6" t="e">
        <f t="shared" si="232"/>
        <v>#REF!</v>
      </c>
      <c r="J691" s="6" t="s">
        <v>84</v>
      </c>
      <c r="K691" s="6" t="s">
        <v>202</v>
      </c>
      <c r="L691" s="7" t="e">
        <f t="shared" si="233"/>
        <v>#REF!</v>
      </c>
      <c r="M691" s="7" t="s">
        <v>203</v>
      </c>
      <c r="O691" s="7" t="str">
        <f>IF(OR($C691="",$C691="FID YOK"),"",IF(ISNUMBER(MATCH($C691,FA_ANA,0)),"",IF(COUNTIF($C$1:$C690,$C691)&gt;0,"",MAX($O$1:$O690)+1)))</f>
        <v/>
      </c>
      <c r="T691" s="7">
        <f>IF(ISNA(MATCH($C691,FA,0)),0,IF($J691="GIRIS",N(INDEX(F_INKOR,MATCH($C691,FA,0))),0))</f>
        <v>0</v>
      </c>
      <c r="Y691" s="7" t="e">
        <f>N(#REF!)*IF($E691="упак",MAX(1,IF(ISNA(MATCH($C691,FA,0)),1,N(INDEX(F_PAKET,MATCH($C691,FA,0))))),1)</f>
        <v>#REF!</v>
      </c>
      <c r="Z691" s="7" t="e">
        <f t="shared" si="234"/>
        <v>#REF!</v>
      </c>
      <c r="AA691" s="7">
        <f>IF(OR(ISNA(MATCH($C691,FA,0)),$J691="YEDEK",$J691="SARF"),0,N(#REF!)*N(INDEX(F_TEL,MATCH($C691,FA,0))))</f>
        <v>0</v>
      </c>
      <c r="AB691" s="7">
        <f>IF(OR(ISNA(MATCH($C691,FA,0)),$J691="YEDEK",$J691="SARF"),0,N(#REF!)*N(INDEX(F_TELM,MATCH($C691,FA,0))))</f>
        <v>0</v>
      </c>
      <c r="AC691" s="7" t="e">
        <f t="shared" si="235"/>
        <v>#REF!</v>
      </c>
      <c r="AD691" s="7">
        <f>IF(OR(ISNA(MATCH($C691,FA,0)),$J691&lt;&gt;"CIKIS"),0,N(INDEX(F_KK,MATCH($C691,FA,0))))</f>
        <v>0</v>
      </c>
      <c r="AE691" s="7">
        <f>IF($AD691=0,0,N(#REF!)*N(INDEX(F_KLN,MATCH($C691,FA,0))))</f>
        <v>0</v>
      </c>
      <c r="AF691" s="7">
        <f>IF($AD691=0,0,N(#REF!)*N(INDEX(F_KPE,MATCH($C691,FA,0))))</f>
        <v>0</v>
      </c>
      <c r="AG691" s="7" t="e">
        <f>IF(ISNA(MATCH($C691,FA,0)),0,N(#REF!)*N(INDEX(F_MODUL,MATCH($C691,FA,0))))</f>
        <v>#REF!</v>
      </c>
      <c r="AH691" s="7" t="e">
        <f>N(#REF!)*N($I691)</f>
        <v>#REF!</v>
      </c>
      <c r="AI691" s="7" t="e">
        <f t="shared" si="236"/>
        <v>#REF!</v>
      </c>
      <c r="AJ691" s="7">
        <f t="shared" si="237"/>
        <v>0</v>
      </c>
    </row>
    <row r="692" spans="1:36" x14ac:dyDescent="0.25">
      <c r="A692" s="4" t="str">
        <f t="shared" si="231"/>
        <v>ЩК тип 1 (2x1P + 8 АВДТ) (260922 akram aulet)</v>
      </c>
      <c r="B692" s="4" t="s">
        <v>202</v>
      </c>
      <c r="C692" s="4" t="s">
        <v>583</v>
      </c>
      <c r="D692" s="4" t="s">
        <v>584</v>
      </c>
      <c r="E692" s="4" t="s">
        <v>114</v>
      </c>
      <c r="F692" s="4" t="s">
        <v>486</v>
      </c>
      <c r="G692" s="4" t="s">
        <v>290</v>
      </c>
      <c r="H692" s="5" t="e">
        <f>#REF!</f>
        <v>#REF!</v>
      </c>
      <c r="I692" s="6" t="e">
        <f t="shared" si="232"/>
        <v>#REF!</v>
      </c>
      <c r="J692" s="6" t="s">
        <v>84</v>
      </c>
      <c r="K692" s="6" t="s">
        <v>202</v>
      </c>
      <c r="L692" s="7" t="e">
        <f t="shared" si="233"/>
        <v>#REF!</v>
      </c>
      <c r="M692" s="7" t="s">
        <v>204</v>
      </c>
      <c r="O692" s="7" t="str">
        <f>IF(OR($C692="",$C692="FID YOK"),"",IF(ISNUMBER(MATCH($C692,FA_ANA,0)),"",IF(COUNTIF($C$1:$C691,$C692)&gt;0,"",MAX($O$1:$O691)+1)))</f>
        <v/>
      </c>
      <c r="T692" s="7">
        <f>IF(ISNA(MATCH($C692,FA,0)),0,IF($J692="GIRIS",N(INDEX(F_INKOR,MATCH($C692,FA,0))),0))</f>
        <v>0</v>
      </c>
      <c r="Y692" s="7" t="e">
        <f>N(#REF!)*IF($E692="упак",MAX(1,IF(ISNA(MATCH($C692,FA,0)),1,N(INDEX(F_PAKET,MATCH($C692,FA,0))))),1)</f>
        <v>#REF!</v>
      </c>
      <c r="Z692" s="7" t="e">
        <f t="shared" si="234"/>
        <v>#REF!</v>
      </c>
      <c r="AA692" s="7">
        <f>IF(OR(ISNA(MATCH($C692,FA,0)),$J692="YEDEK",$J692="SARF"),0,N(#REF!)*N(INDEX(F_TEL,MATCH($C692,FA,0))))</f>
        <v>0</v>
      </c>
      <c r="AB692" s="7">
        <f>IF(OR(ISNA(MATCH($C692,FA,0)),$J692="YEDEK",$J692="SARF"),0,N(#REF!)*N(INDEX(F_TELM,MATCH($C692,FA,0))))</f>
        <v>0</v>
      </c>
      <c r="AC692" s="7" t="e">
        <f t="shared" si="235"/>
        <v>#REF!</v>
      </c>
      <c r="AD692" s="7">
        <f>IF(OR(ISNA(MATCH($C692,FA,0)),$J692&lt;&gt;"CIKIS"),0,N(INDEX(F_KK,MATCH($C692,FA,0))))</f>
        <v>0</v>
      </c>
      <c r="AE692" s="7">
        <f>IF($AD692=0,0,N(#REF!)*N(INDEX(F_KLN,MATCH($C692,FA,0))))</f>
        <v>0</v>
      </c>
      <c r="AF692" s="7">
        <f>IF($AD692=0,0,N(#REF!)*N(INDEX(F_KPE,MATCH($C692,FA,0))))</f>
        <v>0</v>
      </c>
      <c r="AG692" s="7" t="e">
        <f>IF(ISNA(MATCH($C692,FA,0)),0,N(#REF!)*N(INDEX(F_MODUL,MATCH($C692,FA,0))))</f>
        <v>#REF!</v>
      </c>
      <c r="AH692" s="7" t="e">
        <f>N(#REF!)*N($I692)</f>
        <v>#REF!</v>
      </c>
      <c r="AI692" s="7" t="e">
        <f t="shared" si="236"/>
        <v>#REF!</v>
      </c>
      <c r="AJ692" s="7">
        <f t="shared" si="237"/>
        <v>0</v>
      </c>
    </row>
    <row r="693" spans="1:36" x14ac:dyDescent="0.25">
      <c r="A693" s="4" t="str">
        <f t="shared" si="231"/>
        <v>ЩК тип 1 (2x1P + 8 АВДТ) (260922 akram aulet)</v>
      </c>
      <c r="B693" s="4" t="s">
        <v>92</v>
      </c>
      <c r="C693" s="4" t="s">
        <v>527</v>
      </c>
      <c r="D693" s="4" t="s">
        <v>528</v>
      </c>
      <c r="E693" s="4" t="s">
        <v>520</v>
      </c>
      <c r="F693" s="4" t="s">
        <v>521</v>
      </c>
      <c r="G693" s="4" t="s">
        <v>290</v>
      </c>
      <c r="H693" s="5" t="e">
        <f>#REF!</f>
        <v>#REF!</v>
      </c>
      <c r="I693" s="6" t="e">
        <f t="shared" si="232"/>
        <v>#REF!</v>
      </c>
      <c r="J693" s="6" t="s">
        <v>84</v>
      </c>
      <c r="K693" s="6" t="s">
        <v>92</v>
      </c>
      <c r="L693" s="7" t="e">
        <f t="shared" si="233"/>
        <v>#REF!</v>
      </c>
      <c r="M693" s="7" t="s">
        <v>94</v>
      </c>
      <c r="O693" s="7" t="str">
        <f>IF(OR($C693="",$C693="FID YOK"),"",IF(ISNUMBER(MATCH($C693,FA_ANA,0)),"",IF(COUNTIF($C$1:$C692,$C693)&gt;0,"",MAX($O$1:$O692)+1)))</f>
        <v/>
      </c>
      <c r="T693" s="7">
        <f>IF(ISNA(MATCH($C693,FA,0)),0,IF($J693="GIRIS",N(INDEX(F_INKOR,MATCH($C693,FA,0))),0))</f>
        <v>0</v>
      </c>
      <c r="Y693" s="7" t="e">
        <f>N(#REF!)*IF($E693="упак",MAX(1,IF(ISNA(MATCH($C693,FA,0)),1,N(INDEX(F_PAKET,MATCH($C693,FA,0))))),1)</f>
        <v>#REF!</v>
      </c>
      <c r="Z693" s="7" t="e">
        <f t="shared" si="234"/>
        <v>#REF!</v>
      </c>
      <c r="AA693" s="7">
        <f>IF(OR(ISNA(MATCH($C693,FA,0)),$J693="YEDEK",$J693="SARF"),0,N(#REF!)*N(INDEX(F_TEL,MATCH($C693,FA,0))))</f>
        <v>0</v>
      </c>
      <c r="AB693" s="7">
        <f>IF(OR(ISNA(MATCH($C693,FA,0)),$J693="YEDEK",$J693="SARF"),0,N(#REF!)*N(INDEX(F_TELM,MATCH($C693,FA,0))))</f>
        <v>0</v>
      </c>
      <c r="AC693" s="7" t="e">
        <f t="shared" si="235"/>
        <v>#REF!</v>
      </c>
      <c r="AD693" s="7">
        <f>IF(OR(ISNA(MATCH($C693,FA,0)),$J693&lt;&gt;"CIKIS"),0,N(INDEX(F_KK,MATCH($C693,FA,0))))</f>
        <v>0</v>
      </c>
      <c r="AE693" s="7">
        <f>IF($AD693=0,0,N(#REF!)*N(INDEX(F_KLN,MATCH($C693,FA,0))))</f>
        <v>0</v>
      </c>
      <c r="AF693" s="7">
        <f>IF($AD693=0,0,N(#REF!)*N(INDEX(F_KPE,MATCH($C693,FA,0))))</f>
        <v>0</v>
      </c>
      <c r="AG693" s="7" t="e">
        <f>IF(ISNA(MATCH($C693,FA,0)),0,N(#REF!)*N(INDEX(F_MODUL,MATCH($C693,FA,0))))</f>
        <v>#REF!</v>
      </c>
      <c r="AH693" s="7" t="e">
        <f>N(#REF!)*N($I693)</f>
        <v>#REF!</v>
      </c>
      <c r="AI693" s="7" t="e">
        <f t="shared" si="236"/>
        <v>#REF!</v>
      </c>
      <c r="AJ693" s="7">
        <f t="shared" si="237"/>
        <v>0</v>
      </c>
    </row>
    <row r="694" spans="1:36" x14ac:dyDescent="0.25">
      <c r="A694" s="4" t="str">
        <f t="shared" si="231"/>
        <v>ЩК тип 1 (2x1P + 8 АВДТ) (260922 akram aulet)</v>
      </c>
      <c r="B694" s="4" t="s">
        <v>92</v>
      </c>
      <c r="C694" s="4" t="s">
        <v>531</v>
      </c>
      <c r="D694" s="4" t="s">
        <v>532</v>
      </c>
      <c r="E694" s="4" t="s">
        <v>520</v>
      </c>
      <c r="F694" s="4" t="s">
        <v>521</v>
      </c>
      <c r="G694" s="4" t="s">
        <v>290</v>
      </c>
      <c r="H694" s="5" t="e">
        <f>#REF!</f>
        <v>#REF!</v>
      </c>
      <c r="I694" s="6" t="e">
        <f t="shared" si="232"/>
        <v>#REF!</v>
      </c>
      <c r="J694" s="6" t="s">
        <v>84</v>
      </c>
      <c r="K694" s="6" t="s">
        <v>92</v>
      </c>
      <c r="L694" s="7" t="e">
        <f t="shared" si="233"/>
        <v>#REF!</v>
      </c>
      <c r="M694" s="7" t="s">
        <v>95</v>
      </c>
      <c r="O694" s="7" t="str">
        <f>IF(OR($C694="",$C694="FID YOK"),"",IF(ISNUMBER(MATCH($C694,FA_ANA,0)),"",IF(COUNTIF($C$1:$C693,$C694)&gt;0,"",MAX($O$1:$O693)+1)))</f>
        <v/>
      </c>
      <c r="T694" s="7">
        <f>IF(ISNA(MATCH($C694,FA,0)),0,IF($J694="GIRIS",N(INDEX(F_INKOR,MATCH($C694,FA,0))),0))</f>
        <v>0</v>
      </c>
      <c r="Y694" s="7" t="e">
        <f>N(#REF!)*IF($E694="упак",MAX(1,IF(ISNA(MATCH($C694,FA,0)),1,N(INDEX(F_PAKET,MATCH($C694,FA,0))))),1)</f>
        <v>#REF!</v>
      </c>
      <c r="Z694" s="7" t="e">
        <f t="shared" si="234"/>
        <v>#REF!</v>
      </c>
      <c r="AA694" s="7">
        <f>IF(OR(ISNA(MATCH($C694,FA,0)),$J694="YEDEK",$J694="SARF"),0,N(#REF!)*N(INDEX(F_TEL,MATCH($C694,FA,0))))</f>
        <v>0</v>
      </c>
      <c r="AB694" s="7">
        <f>IF(OR(ISNA(MATCH($C694,FA,0)),$J694="YEDEK",$J694="SARF"),0,N(#REF!)*N(INDEX(F_TELM,MATCH($C694,FA,0))))</f>
        <v>0</v>
      </c>
      <c r="AC694" s="7" t="e">
        <f t="shared" si="235"/>
        <v>#REF!</v>
      </c>
      <c r="AD694" s="7">
        <f>IF(OR(ISNA(MATCH($C694,FA,0)),$J694&lt;&gt;"CIKIS"),0,N(INDEX(F_KK,MATCH($C694,FA,0))))</f>
        <v>0</v>
      </c>
      <c r="AE694" s="7">
        <f>IF($AD694=0,0,N(#REF!)*N(INDEX(F_KLN,MATCH($C694,FA,0))))</f>
        <v>0</v>
      </c>
      <c r="AF694" s="7">
        <f>IF($AD694=0,0,N(#REF!)*N(INDEX(F_KPE,MATCH($C694,FA,0))))</f>
        <v>0</v>
      </c>
      <c r="AG694" s="7" t="e">
        <f>IF(ISNA(MATCH($C694,FA,0)),0,N(#REF!)*N(INDEX(F_MODUL,MATCH($C694,FA,0))))</f>
        <v>#REF!</v>
      </c>
      <c r="AH694" s="7" t="e">
        <f>N(#REF!)*N($I694)</f>
        <v>#REF!</v>
      </c>
      <c r="AI694" s="7" t="e">
        <f t="shared" si="236"/>
        <v>#REF!</v>
      </c>
      <c r="AJ694" s="7">
        <f t="shared" si="237"/>
        <v>0</v>
      </c>
    </row>
    <row r="695" spans="1:36" x14ac:dyDescent="0.25">
      <c r="A695" s="4" t="str">
        <f t="shared" si="231"/>
        <v>ЩК тип 1 (2x1P + 8 АВДТ) (260922 akram aulet)</v>
      </c>
      <c r="B695" s="4" t="s">
        <v>92</v>
      </c>
      <c r="C695" s="4" t="s">
        <v>535</v>
      </c>
      <c r="D695" s="4" t="s">
        <v>536</v>
      </c>
      <c r="E695" s="4" t="s">
        <v>520</v>
      </c>
      <c r="F695" s="4" t="s">
        <v>521</v>
      </c>
      <c r="G695" s="4" t="s">
        <v>290</v>
      </c>
      <c r="H695" s="5" t="e">
        <f>#REF!</f>
        <v>#REF!</v>
      </c>
      <c r="I695" s="6" t="e">
        <f t="shared" si="232"/>
        <v>#REF!</v>
      </c>
      <c r="J695" s="6" t="s">
        <v>84</v>
      </c>
      <c r="K695" s="6" t="s">
        <v>92</v>
      </c>
      <c r="L695" s="7" t="e">
        <f t="shared" si="233"/>
        <v>#REF!</v>
      </c>
      <c r="M695" s="7" t="s">
        <v>130</v>
      </c>
      <c r="O695" s="7" t="str">
        <f>IF(OR($C695="",$C695="FID YOK"),"",IF(ISNUMBER(MATCH($C695,FA_ANA,0)),"",IF(COUNTIF($C$1:$C694,$C695)&gt;0,"",MAX($O$1:$O694)+1)))</f>
        <v/>
      </c>
      <c r="T695" s="7">
        <f>IF(ISNA(MATCH($C695,FA,0)),0,IF($J695="GIRIS",N(INDEX(F_INKOR,MATCH($C695,FA,0))),0))</f>
        <v>0</v>
      </c>
      <c r="Y695" s="7" t="e">
        <f>N(#REF!)*IF($E695="упак",MAX(1,IF(ISNA(MATCH($C695,FA,0)),1,N(INDEX(F_PAKET,MATCH($C695,FA,0))))),1)</f>
        <v>#REF!</v>
      </c>
      <c r="Z695" s="7" t="e">
        <f t="shared" si="234"/>
        <v>#REF!</v>
      </c>
      <c r="AA695" s="7">
        <f>IF(OR(ISNA(MATCH($C695,FA,0)),$J695="YEDEK",$J695="SARF"),0,N(#REF!)*N(INDEX(F_TEL,MATCH($C695,FA,0))))</f>
        <v>0</v>
      </c>
      <c r="AB695" s="7">
        <f>IF(OR(ISNA(MATCH($C695,FA,0)),$J695="YEDEK",$J695="SARF"),0,N(#REF!)*N(INDEX(F_TELM,MATCH($C695,FA,0))))</f>
        <v>0</v>
      </c>
      <c r="AC695" s="7" t="e">
        <f t="shared" si="235"/>
        <v>#REF!</v>
      </c>
      <c r="AD695" s="7">
        <f>IF(OR(ISNA(MATCH($C695,FA,0)),$J695&lt;&gt;"CIKIS"),0,N(INDEX(F_KK,MATCH($C695,FA,0))))</f>
        <v>0</v>
      </c>
      <c r="AE695" s="7">
        <f>IF($AD695=0,0,N(#REF!)*N(INDEX(F_KLN,MATCH($C695,FA,0))))</f>
        <v>0</v>
      </c>
      <c r="AF695" s="7">
        <f>IF($AD695=0,0,N(#REF!)*N(INDEX(F_KPE,MATCH($C695,FA,0))))</f>
        <v>0</v>
      </c>
      <c r="AG695" s="7" t="e">
        <f>IF(ISNA(MATCH($C695,FA,0)),0,N(#REF!)*N(INDEX(F_MODUL,MATCH($C695,FA,0))))</f>
        <v>#REF!</v>
      </c>
      <c r="AH695" s="7" t="e">
        <f>N(#REF!)*N($I695)</f>
        <v>#REF!</v>
      </c>
      <c r="AI695" s="7" t="e">
        <f t="shared" si="236"/>
        <v>#REF!</v>
      </c>
      <c r="AJ695" s="7">
        <f t="shared" si="237"/>
        <v>0</v>
      </c>
    </row>
    <row r="696" spans="1:36" x14ac:dyDescent="0.25">
      <c r="A696" s="4" t="str">
        <f t="shared" si="231"/>
        <v>ЩК тип 1 (2x1P + 8 АВДТ) (260922 akram aulet)</v>
      </c>
      <c r="B696" s="4" t="s">
        <v>92</v>
      </c>
      <c r="C696" s="4" t="s">
        <v>535</v>
      </c>
      <c r="D696" s="4" t="s">
        <v>536</v>
      </c>
      <c r="E696" s="4" t="s">
        <v>520</v>
      </c>
      <c r="F696" s="4" t="s">
        <v>521</v>
      </c>
      <c r="G696" s="4" t="s">
        <v>290</v>
      </c>
      <c r="H696" s="5" t="e">
        <f>#REF!</f>
        <v>#REF!</v>
      </c>
      <c r="I696" s="6" t="e">
        <f t="shared" si="232"/>
        <v>#REF!</v>
      </c>
      <c r="J696" s="6" t="s">
        <v>84</v>
      </c>
      <c r="K696" s="6" t="s">
        <v>92</v>
      </c>
      <c r="L696" s="7" t="e">
        <f t="shared" si="233"/>
        <v>#REF!</v>
      </c>
      <c r="M696" s="7" t="s">
        <v>100</v>
      </c>
      <c r="O696" s="7" t="str">
        <f>IF(OR($C696="",$C696="FID YOK"),"",IF(ISNUMBER(MATCH($C696,FA_ANA,0)),"",IF(COUNTIF($C$1:$C695,$C696)&gt;0,"",MAX($O$1:$O695)+1)))</f>
        <v/>
      </c>
      <c r="T696" s="7">
        <f>IF(ISNA(MATCH($C696,FA,0)),0,IF($J696="GIRIS",N(INDEX(F_INKOR,MATCH($C696,FA,0))),0))</f>
        <v>0</v>
      </c>
      <c r="Y696" s="7" t="e">
        <f>N(#REF!)*IF($E696="упак",MAX(1,IF(ISNA(MATCH($C696,FA,0)),1,N(INDEX(F_PAKET,MATCH($C696,FA,0))))),1)</f>
        <v>#REF!</v>
      </c>
      <c r="Z696" s="7" t="e">
        <f t="shared" si="234"/>
        <v>#REF!</v>
      </c>
      <c r="AA696" s="7">
        <f>IF(OR(ISNA(MATCH($C696,FA,0)),$J696="YEDEK",$J696="SARF"),0,N(#REF!)*N(INDEX(F_TEL,MATCH($C696,FA,0))))</f>
        <v>0</v>
      </c>
      <c r="AB696" s="7">
        <f>IF(OR(ISNA(MATCH($C696,FA,0)),$J696="YEDEK",$J696="SARF"),0,N(#REF!)*N(INDEX(F_TELM,MATCH($C696,FA,0))))</f>
        <v>0</v>
      </c>
      <c r="AC696" s="7" t="e">
        <f t="shared" si="235"/>
        <v>#REF!</v>
      </c>
      <c r="AD696" s="7">
        <f>IF(OR(ISNA(MATCH($C696,FA,0)),$J696&lt;&gt;"CIKIS"),0,N(INDEX(F_KK,MATCH($C696,FA,0))))</f>
        <v>0</v>
      </c>
      <c r="AE696" s="7">
        <f>IF($AD696=0,0,N(#REF!)*N(INDEX(F_KLN,MATCH($C696,FA,0))))</f>
        <v>0</v>
      </c>
      <c r="AF696" s="7">
        <f>IF($AD696=0,0,N(#REF!)*N(INDEX(F_KPE,MATCH($C696,FA,0))))</f>
        <v>0</v>
      </c>
      <c r="AG696" s="7" t="e">
        <f>IF(ISNA(MATCH($C696,FA,0)),0,N(#REF!)*N(INDEX(F_MODUL,MATCH($C696,FA,0))))</f>
        <v>#REF!</v>
      </c>
      <c r="AH696" s="7" t="e">
        <f>N(#REF!)*N($I696)</f>
        <v>#REF!</v>
      </c>
      <c r="AI696" s="7" t="e">
        <f t="shared" si="236"/>
        <v>#REF!</v>
      </c>
      <c r="AJ696" s="7">
        <f t="shared" si="237"/>
        <v>0</v>
      </c>
    </row>
    <row r="697" spans="1:36" x14ac:dyDescent="0.25">
      <c r="A697" s="4" t="str">
        <f t="shared" si="231"/>
        <v>ЩК тип 1 (2x1P + 8 АВДТ) (260922 akram aulet)</v>
      </c>
      <c r="B697" s="4" t="s">
        <v>101</v>
      </c>
      <c r="C697" s="4" t="s">
        <v>529</v>
      </c>
      <c r="D697" s="4" t="s">
        <v>530</v>
      </c>
      <c r="E697" s="4" t="s">
        <v>522</v>
      </c>
      <c r="F697" s="4" t="s">
        <v>486</v>
      </c>
      <c r="G697" s="4" t="s">
        <v>290</v>
      </c>
      <c r="H697" s="5" t="e">
        <f>#REF!</f>
        <v>#REF!</v>
      </c>
      <c r="I697" s="6" t="e">
        <f t="shared" si="232"/>
        <v>#REF!</v>
      </c>
      <c r="J697" s="6" t="s">
        <v>84</v>
      </c>
      <c r="K697" s="6" t="s">
        <v>101</v>
      </c>
      <c r="L697" s="7" t="e">
        <f t="shared" si="233"/>
        <v>#REF!</v>
      </c>
      <c r="M697" s="7" t="s">
        <v>103</v>
      </c>
      <c r="O697" s="7" t="str">
        <f>IF(OR($C697="",$C697="FID YOK"),"",IF(ISNUMBER(MATCH($C697,FA_ANA,0)),"",IF(COUNTIF($C$1:$C696,$C697)&gt;0,"",MAX($O$1:$O696)+1)))</f>
        <v/>
      </c>
      <c r="T697" s="7">
        <f>IF(ISNA(MATCH($C697,FA,0)),0,IF($J697="GIRIS",N(INDEX(F_INKOR,MATCH($C697,FA,0))),0))</f>
        <v>0</v>
      </c>
      <c r="Y697" s="7" t="e">
        <f>N(#REF!)*IF($E697="упак",MAX(1,IF(ISNA(MATCH($C697,FA,0)),1,N(INDEX(F_PAKET,MATCH($C697,FA,0))))),1)</f>
        <v>#REF!</v>
      </c>
      <c r="Z697" s="7" t="e">
        <f t="shared" si="234"/>
        <v>#REF!</v>
      </c>
      <c r="AA697" s="7">
        <f>IF(OR(ISNA(MATCH($C697,FA,0)),$J697="YEDEK",$J697="SARF"),0,N(#REF!)*N(INDEX(F_TEL,MATCH($C697,FA,0))))</f>
        <v>0</v>
      </c>
      <c r="AB697" s="7">
        <f>IF(OR(ISNA(MATCH($C697,FA,0)),$J697="YEDEK",$J697="SARF"),0,N(#REF!)*N(INDEX(F_TELM,MATCH($C697,FA,0))))</f>
        <v>0</v>
      </c>
      <c r="AC697" s="7" t="e">
        <f t="shared" si="235"/>
        <v>#REF!</v>
      </c>
      <c r="AD697" s="7">
        <f>IF(OR(ISNA(MATCH($C697,FA,0)),$J697&lt;&gt;"CIKIS"),0,N(INDEX(F_KK,MATCH($C697,FA,0))))</f>
        <v>0</v>
      </c>
      <c r="AE697" s="7">
        <f>IF($AD697=0,0,N(#REF!)*N(INDEX(F_KLN,MATCH($C697,FA,0))))</f>
        <v>0</v>
      </c>
      <c r="AF697" s="7">
        <f>IF($AD697=0,0,N(#REF!)*N(INDEX(F_KPE,MATCH($C697,FA,0))))</f>
        <v>0</v>
      </c>
      <c r="AG697" s="7" t="e">
        <f>IF(ISNA(MATCH($C697,FA,0)),0,N(#REF!)*N(INDEX(F_MODUL,MATCH($C697,FA,0))))</f>
        <v>#REF!</v>
      </c>
      <c r="AH697" s="7" t="e">
        <f>N(#REF!)*N($I697)</f>
        <v>#REF!</v>
      </c>
      <c r="AI697" s="7" t="e">
        <f t="shared" si="236"/>
        <v>#REF!</v>
      </c>
      <c r="AJ697" s="7">
        <f t="shared" si="237"/>
        <v>0</v>
      </c>
    </row>
    <row r="698" spans="1:36" x14ac:dyDescent="0.25">
      <c r="A698" s="4" t="str">
        <f t="shared" si="231"/>
        <v>ЩК тип 1 (2x1P + 8 АВДТ) (260922 akram aulet)</v>
      </c>
      <c r="B698" s="4" t="s">
        <v>101</v>
      </c>
      <c r="C698" s="4" t="s">
        <v>533</v>
      </c>
      <c r="D698" s="4" t="s">
        <v>534</v>
      </c>
      <c r="E698" s="4" t="s">
        <v>522</v>
      </c>
      <c r="F698" s="4" t="s">
        <v>486</v>
      </c>
      <c r="G698" s="4" t="s">
        <v>290</v>
      </c>
      <c r="H698" s="5" t="e">
        <f>#REF!</f>
        <v>#REF!</v>
      </c>
      <c r="I698" s="6" t="e">
        <f t="shared" si="232"/>
        <v>#REF!</v>
      </c>
      <c r="J698" s="6" t="s">
        <v>84</v>
      </c>
      <c r="K698" s="6" t="s">
        <v>101</v>
      </c>
      <c r="L698" s="7" t="e">
        <f t="shared" si="233"/>
        <v>#REF!</v>
      </c>
      <c r="M698" s="7" t="s">
        <v>104</v>
      </c>
      <c r="O698" s="7" t="str">
        <f>IF(OR($C698="",$C698="FID YOK"),"",IF(ISNUMBER(MATCH($C698,FA_ANA,0)),"",IF(COUNTIF($C$1:$C697,$C698)&gt;0,"",MAX($O$1:$O697)+1)))</f>
        <v/>
      </c>
      <c r="T698" s="7">
        <f>IF(ISNA(MATCH($C698,FA,0)),0,IF($J698="GIRIS",N(INDEX(F_INKOR,MATCH($C698,FA,0))),0))</f>
        <v>0</v>
      </c>
      <c r="Y698" s="7" t="e">
        <f>N(#REF!)*IF($E698="упак",MAX(1,IF(ISNA(MATCH($C698,FA,0)),1,N(INDEX(F_PAKET,MATCH($C698,FA,0))))),1)</f>
        <v>#REF!</v>
      </c>
      <c r="Z698" s="7" t="e">
        <f t="shared" si="234"/>
        <v>#REF!</v>
      </c>
      <c r="AA698" s="7">
        <f>IF(OR(ISNA(MATCH($C698,FA,0)),$J698="YEDEK",$J698="SARF"),0,N(#REF!)*N(INDEX(F_TEL,MATCH($C698,FA,0))))</f>
        <v>0</v>
      </c>
      <c r="AB698" s="7">
        <f>IF(OR(ISNA(MATCH($C698,FA,0)),$J698="YEDEK",$J698="SARF"),0,N(#REF!)*N(INDEX(F_TELM,MATCH($C698,FA,0))))</f>
        <v>0</v>
      </c>
      <c r="AC698" s="7" t="e">
        <f t="shared" si="235"/>
        <v>#REF!</v>
      </c>
      <c r="AD698" s="7">
        <f>IF(OR(ISNA(MATCH($C698,FA,0)),$J698&lt;&gt;"CIKIS"),0,N(INDEX(F_KK,MATCH($C698,FA,0))))</f>
        <v>0</v>
      </c>
      <c r="AE698" s="7">
        <f>IF($AD698=0,0,N(#REF!)*N(INDEX(F_KLN,MATCH($C698,FA,0))))</f>
        <v>0</v>
      </c>
      <c r="AF698" s="7">
        <f>IF($AD698=0,0,N(#REF!)*N(INDEX(F_KPE,MATCH($C698,FA,0))))</f>
        <v>0</v>
      </c>
      <c r="AG698" s="7" t="e">
        <f>IF(ISNA(MATCH($C698,FA,0)),0,N(#REF!)*N(INDEX(F_MODUL,MATCH($C698,FA,0))))</f>
        <v>#REF!</v>
      </c>
      <c r="AH698" s="7" t="e">
        <f>N(#REF!)*N($I698)</f>
        <v>#REF!</v>
      </c>
      <c r="AI698" s="7" t="e">
        <f t="shared" si="236"/>
        <v>#REF!</v>
      </c>
      <c r="AJ698" s="7">
        <f t="shared" si="237"/>
        <v>0</v>
      </c>
    </row>
    <row r="699" spans="1:36" x14ac:dyDescent="0.25">
      <c r="A699" s="4" t="str">
        <f t="shared" si="231"/>
        <v>ЩК тип 1 (2x1P + 8 АВДТ) (260922 akram aulet)</v>
      </c>
      <c r="B699" s="4" t="s">
        <v>101</v>
      </c>
      <c r="C699" s="4" t="s">
        <v>537</v>
      </c>
      <c r="D699" s="4" t="s">
        <v>538</v>
      </c>
      <c r="E699" s="4" t="s">
        <v>522</v>
      </c>
      <c r="F699" s="4" t="s">
        <v>486</v>
      </c>
      <c r="G699" s="4" t="s">
        <v>290</v>
      </c>
      <c r="H699" s="5" t="e">
        <f>#REF!</f>
        <v>#REF!</v>
      </c>
      <c r="I699" s="6" t="e">
        <f t="shared" si="232"/>
        <v>#REF!</v>
      </c>
      <c r="J699" s="6" t="s">
        <v>84</v>
      </c>
      <c r="K699" s="6" t="s">
        <v>101</v>
      </c>
      <c r="L699" s="7" t="e">
        <f t="shared" si="233"/>
        <v>#REF!</v>
      </c>
      <c r="M699" s="7" t="s">
        <v>205</v>
      </c>
      <c r="O699" s="7" t="str">
        <f>IF(OR($C699="",$C699="FID YOK"),"",IF(ISNUMBER(MATCH($C699,FA_ANA,0)),"",IF(COUNTIF($C$1:$C698,$C699)&gt;0,"",MAX($O$1:$O698)+1)))</f>
        <v/>
      </c>
      <c r="T699" s="7">
        <f>IF(ISNA(MATCH($C699,FA,0)),0,IF($J699="GIRIS",N(INDEX(F_INKOR,MATCH($C699,FA,0))),0))</f>
        <v>0</v>
      </c>
      <c r="Y699" s="7" t="e">
        <f>N(#REF!)*IF($E699="упак",MAX(1,IF(ISNA(MATCH($C699,FA,0)),1,N(INDEX(F_PAKET,MATCH($C699,FA,0))))),1)</f>
        <v>#REF!</v>
      </c>
      <c r="Z699" s="7" t="e">
        <f t="shared" si="234"/>
        <v>#REF!</v>
      </c>
      <c r="AA699" s="7">
        <f>IF(OR(ISNA(MATCH($C699,FA,0)),$J699="YEDEK",$J699="SARF"),0,N(#REF!)*N(INDEX(F_TEL,MATCH($C699,FA,0))))</f>
        <v>0</v>
      </c>
      <c r="AB699" s="7">
        <f>IF(OR(ISNA(MATCH($C699,FA,0)),$J699="YEDEK",$J699="SARF"),0,N(#REF!)*N(INDEX(F_TELM,MATCH($C699,FA,0))))</f>
        <v>0</v>
      </c>
      <c r="AC699" s="7" t="e">
        <f t="shared" si="235"/>
        <v>#REF!</v>
      </c>
      <c r="AD699" s="7">
        <f>IF(OR(ISNA(MATCH($C699,FA,0)),$J699&lt;&gt;"CIKIS"),0,N(INDEX(F_KK,MATCH($C699,FA,0))))</f>
        <v>0</v>
      </c>
      <c r="AE699" s="7">
        <f>IF($AD699=0,0,N(#REF!)*N(INDEX(F_KLN,MATCH($C699,FA,0))))</f>
        <v>0</v>
      </c>
      <c r="AF699" s="7">
        <f>IF($AD699=0,0,N(#REF!)*N(INDEX(F_KPE,MATCH($C699,FA,0))))</f>
        <v>0</v>
      </c>
      <c r="AG699" s="7" t="e">
        <f>IF(ISNA(MATCH($C699,FA,0)),0,N(#REF!)*N(INDEX(F_MODUL,MATCH($C699,FA,0))))</f>
        <v>#REF!</v>
      </c>
      <c r="AH699" s="7" t="e">
        <f>N(#REF!)*N($I699)</f>
        <v>#REF!</v>
      </c>
      <c r="AI699" s="7" t="e">
        <f t="shared" si="236"/>
        <v>#REF!</v>
      </c>
      <c r="AJ699" s="7">
        <f t="shared" si="237"/>
        <v>0</v>
      </c>
    </row>
    <row r="700" spans="1:36" x14ac:dyDescent="0.25">
      <c r="A700" s="4" t="str">
        <f t="shared" si="231"/>
        <v>ЩК тип 1 (2x1P + 8 АВДТ) (260922 akram aulet)</v>
      </c>
      <c r="B700" s="4" t="s">
        <v>105</v>
      </c>
      <c r="C700" s="4" t="s">
        <v>539</v>
      </c>
      <c r="D700" s="4" t="s">
        <v>540</v>
      </c>
      <c r="E700" s="4" t="s">
        <v>114</v>
      </c>
      <c r="F700" s="4" t="s">
        <v>486</v>
      </c>
      <c r="G700" s="4" t="s">
        <v>290</v>
      </c>
      <c r="H700" s="5" t="e">
        <f>#REF!</f>
        <v>#REF!</v>
      </c>
      <c r="I700" s="6" t="e">
        <f t="shared" si="232"/>
        <v>#REF!</v>
      </c>
      <c r="J700" s="6" t="s">
        <v>84</v>
      </c>
      <c r="K700" s="6" t="s">
        <v>105</v>
      </c>
      <c r="L700" s="7" t="e">
        <f t="shared" si="233"/>
        <v>#REF!</v>
      </c>
      <c r="M700" s="7" t="s">
        <v>110</v>
      </c>
      <c r="O700" s="7" t="str">
        <f>IF(OR($C700="",$C700="FID YOK"),"",IF(ISNUMBER(MATCH($C700,FA_ANA,0)),"",IF(COUNTIF($C$1:$C699,$C700)&gt;0,"",MAX($O$1:$O699)+1)))</f>
        <v/>
      </c>
      <c r="T700" s="7">
        <f>IF(ISNA(MATCH($C700,FA,0)),0,IF($J700="GIRIS",N(INDEX(F_INKOR,MATCH($C700,FA,0))),0))</f>
        <v>0</v>
      </c>
      <c r="Y700" s="7" t="e">
        <f>N(#REF!)*IF($E700="упак",MAX(1,IF(ISNA(MATCH($C700,FA,0)),1,N(INDEX(F_PAKET,MATCH($C700,FA,0))))),1)</f>
        <v>#REF!</v>
      </c>
      <c r="Z700" s="7" t="e">
        <f t="shared" si="234"/>
        <v>#REF!</v>
      </c>
      <c r="AA700" s="7">
        <f>IF(OR(ISNA(MATCH($C700,FA,0)),$J700="YEDEK",$J700="SARF"),0,N(#REF!)*N(INDEX(F_TEL,MATCH($C700,FA,0))))</f>
        <v>0</v>
      </c>
      <c r="AB700" s="7">
        <f>IF(OR(ISNA(MATCH($C700,FA,0)),$J700="YEDEK",$J700="SARF"),0,N(#REF!)*N(INDEX(F_TELM,MATCH($C700,FA,0))))</f>
        <v>0</v>
      </c>
      <c r="AC700" s="7" t="e">
        <f t="shared" si="235"/>
        <v>#REF!</v>
      </c>
      <c r="AD700" s="7">
        <f>IF(OR(ISNA(MATCH($C700,FA,0)),$J700&lt;&gt;"CIKIS"),0,N(INDEX(F_KK,MATCH($C700,FA,0))))</f>
        <v>0</v>
      </c>
      <c r="AE700" s="7">
        <f>IF($AD700=0,0,N(#REF!)*N(INDEX(F_KLN,MATCH($C700,FA,0))))</f>
        <v>0</v>
      </c>
      <c r="AF700" s="7">
        <f>IF($AD700=0,0,N(#REF!)*N(INDEX(F_KPE,MATCH($C700,FA,0))))</f>
        <v>0</v>
      </c>
      <c r="AG700" s="7" t="e">
        <f>IF(ISNA(MATCH($C700,FA,0)),0,N(#REF!)*N(INDEX(F_MODUL,MATCH($C700,FA,0))))</f>
        <v>#REF!</v>
      </c>
      <c r="AH700" s="7" t="e">
        <f>N(#REF!)*N($I700)</f>
        <v>#REF!</v>
      </c>
      <c r="AI700" s="7" t="e">
        <f t="shared" si="236"/>
        <v>#REF!</v>
      </c>
      <c r="AJ700" s="7">
        <f t="shared" si="237"/>
        <v>0</v>
      </c>
    </row>
    <row r="701" spans="1:36" x14ac:dyDescent="0.25">
      <c r="A701" s="4" t="str">
        <f t="shared" si="231"/>
        <v>ЩК тип 1 (2x1P + 8 АВДТ) (260922 akram aulet)</v>
      </c>
      <c r="B701" s="4" t="s">
        <v>111</v>
      </c>
      <c r="C701" s="4" t="s">
        <v>571</v>
      </c>
      <c r="D701" s="4" t="s">
        <v>572</v>
      </c>
      <c r="E701" s="4" t="s">
        <v>522</v>
      </c>
      <c r="F701" s="4" t="s">
        <v>486</v>
      </c>
      <c r="G701" s="4" t="s">
        <v>290</v>
      </c>
      <c r="H701" s="5" t="e">
        <f>#REF!</f>
        <v>#REF!</v>
      </c>
      <c r="I701" s="6" t="e">
        <f t="shared" si="232"/>
        <v>#REF!</v>
      </c>
      <c r="J701" s="6" t="s">
        <v>84</v>
      </c>
      <c r="K701" s="6" t="s">
        <v>111</v>
      </c>
      <c r="L701" s="7" t="e">
        <f t="shared" si="233"/>
        <v>#REF!</v>
      </c>
      <c r="M701" s="7" t="s">
        <v>112</v>
      </c>
      <c r="O701" s="7" t="str">
        <f>IF(OR($C701="",$C701="FID YOK"),"",IF(ISNUMBER(MATCH($C701,FA_ANA,0)),"",IF(COUNTIF($C$1:$C700,$C701)&gt;0,"",MAX($O$1:$O700)+1)))</f>
        <v/>
      </c>
      <c r="T701" s="7">
        <f>IF(ISNA(MATCH($C701,FA,0)),0,IF($J701="GIRIS",N(INDEX(F_INKOR,MATCH($C701,FA,0))),0))</f>
        <v>0</v>
      </c>
      <c r="Y701" s="7" t="e">
        <f>N(#REF!)*IF($E701="упак",MAX(1,IF(ISNA(MATCH($C701,FA,0)),1,N(INDEX(F_PAKET,MATCH($C701,FA,0))))),1)</f>
        <v>#REF!</v>
      </c>
      <c r="Z701" s="7" t="e">
        <f t="shared" si="234"/>
        <v>#REF!</v>
      </c>
      <c r="AA701" s="7">
        <f>IF(OR(ISNA(MATCH($C701,FA,0)),$J701="YEDEK",$J701="SARF"),0,N(#REF!)*N(INDEX(F_TEL,MATCH($C701,FA,0))))</f>
        <v>0</v>
      </c>
      <c r="AB701" s="7">
        <f>IF(OR(ISNA(MATCH($C701,FA,0)),$J701="YEDEK",$J701="SARF"),0,N(#REF!)*N(INDEX(F_TELM,MATCH($C701,FA,0))))</f>
        <v>0</v>
      </c>
      <c r="AC701" s="7" t="e">
        <f t="shared" si="235"/>
        <v>#REF!</v>
      </c>
      <c r="AD701" s="7">
        <f>IF(OR(ISNA(MATCH($C701,FA,0)),$J701&lt;&gt;"CIKIS"),0,N(INDEX(F_KK,MATCH($C701,FA,0))))</f>
        <v>0</v>
      </c>
      <c r="AE701" s="7">
        <f>IF($AD701=0,0,N(#REF!)*N(INDEX(F_KLN,MATCH($C701,FA,0))))</f>
        <v>0</v>
      </c>
      <c r="AF701" s="7">
        <f>IF($AD701=0,0,N(#REF!)*N(INDEX(F_KPE,MATCH($C701,FA,0))))</f>
        <v>0</v>
      </c>
      <c r="AG701" s="7" t="e">
        <f>IF(ISNA(MATCH($C701,FA,0)),0,N(#REF!)*N(INDEX(F_MODUL,MATCH($C701,FA,0))))</f>
        <v>#REF!</v>
      </c>
      <c r="AH701" s="7" t="e">
        <f>N(#REF!)*N($I701)</f>
        <v>#REF!</v>
      </c>
      <c r="AI701" s="7" t="e">
        <f t="shared" si="236"/>
        <v>#REF!</v>
      </c>
      <c r="AJ701" s="7">
        <f t="shared" si="237"/>
        <v>0</v>
      </c>
    </row>
    <row r="702" spans="1:36" x14ac:dyDescent="0.25">
      <c r="A702" s="4" t="str">
        <f t="shared" si="231"/>
        <v>ЩК тип 1 (2x1P + 8 АВДТ) (260922 akram aulet)</v>
      </c>
      <c r="B702" s="4" t="s">
        <v>113</v>
      </c>
      <c r="C702" s="4" t="s">
        <v>113</v>
      </c>
      <c r="D702" s="4" t="s">
        <v>113</v>
      </c>
      <c r="E702" s="4" t="s">
        <v>114</v>
      </c>
      <c r="F702" s="4" t="s">
        <v>113</v>
      </c>
      <c r="G702" s="4" t="s">
        <v>290</v>
      </c>
      <c r="H702" s="5" t="e">
        <f>#REF!</f>
        <v>#REF!</v>
      </c>
      <c r="I702" s="6" t="e">
        <f t="shared" si="232"/>
        <v>#REF!</v>
      </c>
    </row>
    <row r="703" spans="1:36" x14ac:dyDescent="0.25">
      <c r="A703" s="4" t="str">
        <f t="shared" si="231"/>
        <v>ЩК тип 1 (2x1P + 8 АВДТ) (260922 akram aulet)</v>
      </c>
      <c r="B703" s="4" t="s">
        <v>115</v>
      </c>
      <c r="C703" s="4" t="s">
        <v>115</v>
      </c>
      <c r="D703" s="4" t="s">
        <v>115</v>
      </c>
      <c r="E703" s="4" t="s">
        <v>116</v>
      </c>
      <c r="F703" s="4" t="s">
        <v>115</v>
      </c>
      <c r="G703" s="4" t="s">
        <v>290</v>
      </c>
      <c r="H703" s="5" t="e">
        <f>#REF!</f>
        <v>#REF!</v>
      </c>
      <c r="I703" s="6" t="e">
        <f t="shared" si="232"/>
        <v>#REF!</v>
      </c>
    </row>
    <row r="704" spans="1:36" x14ac:dyDescent="0.25">
      <c r="A704" s="1" t="str">
        <f>D704</f>
        <v>ЩК тип 2 (1x1P + 7 АВДТ) (260922 akram aulet)</v>
      </c>
      <c r="B704" s="2"/>
      <c r="C704" s="2"/>
      <c r="D704" s="1" t="s">
        <v>361</v>
      </c>
      <c r="E704" s="1" t="s">
        <v>36</v>
      </c>
      <c r="F704" s="1" t="s">
        <v>37</v>
      </c>
      <c r="G704" s="1" t="s">
        <v>290</v>
      </c>
      <c r="I704" s="3" t="e">
        <f>#REF!</f>
        <v>#REF!</v>
      </c>
    </row>
    <row r="705" spans="1:36" x14ac:dyDescent="0.25">
      <c r="A705" s="4" t="str">
        <f t="shared" ref="A705:A723" si="238">A704</f>
        <v>ЩК тип 2 (1x1P + 7 АВДТ) (260922 akram aulet)</v>
      </c>
      <c r="B705" s="4" t="s">
        <v>39</v>
      </c>
      <c r="C705" s="4" t="s">
        <v>508</v>
      </c>
      <c r="D705" s="4" t="s">
        <v>509</v>
      </c>
      <c r="E705" s="4" t="s">
        <v>114</v>
      </c>
      <c r="F705" s="4" t="s">
        <v>591</v>
      </c>
      <c r="G705" s="4" t="s">
        <v>290</v>
      </c>
      <c r="H705" s="5" t="e">
        <f>#REF!</f>
        <v>#REF!</v>
      </c>
      <c r="I705" s="6" t="e">
        <f t="shared" ref="I705:I723" si="239">I704</f>
        <v>#REF!</v>
      </c>
      <c r="J705" s="6" t="s">
        <v>40</v>
      </c>
      <c r="K705" s="6" t="s">
        <v>195</v>
      </c>
      <c r="L705" s="7" t="e">
        <f t="shared" ref="L705:L721" si="240">IF(ISNA(MATCH($C705,FA,0)),"ARTİKÜL YOK",INDEX(FIYAT_DURUM,MATCH($C705,FA,0)))</f>
        <v>#REF!</v>
      </c>
      <c r="M705" s="7" t="s">
        <v>352</v>
      </c>
      <c r="N705" s="7" t="s">
        <v>353</v>
      </c>
      <c r="O705" s="7" t="str">
        <f>IF(OR($C705="",$C705="FID YOK"),"",IF(ISNUMBER(MATCH($C705,FA_ANA,0)),"",IF(COUNTIF($C$1:$C704,$C705)&gt;0,"",MAX($O$1:$O704)+1)))</f>
        <v/>
      </c>
      <c r="Q705" s="7"/>
      <c r="R705" s="7"/>
      <c r="S705" s="7"/>
      <c r="T705" s="7">
        <f>IF(ISNA(MATCH($C705,FA,0)),0,IF($J705="GIRIS",N(INDEX(F_INKOR,MATCH($C705,FA,0))),0))</f>
        <v>0</v>
      </c>
      <c r="U705" s="7"/>
      <c r="V705" s="7"/>
      <c r="W705" s="7"/>
      <c r="X705" s="7"/>
      <c r="Y705" s="7" t="e">
        <f>N(#REF!)*IF($E705="упак",MAX(1,IF(ISNA(MATCH($C705,FA,0)),1,N(INDEX(F_PAKET,MATCH($C705,FA,0))))),1)</f>
        <v>#REF!</v>
      </c>
      <c r="Z705" s="7" t="e">
        <f t="shared" ref="Z705:Z721" si="241">IF(ISNA(MATCH($C705,FA,0)),0,N(INDEX(F_BK,MATCH($C705,FA,0))))</f>
        <v>#REF!</v>
      </c>
      <c r="AA705" s="7" t="e">
        <f>IF(OR(ISNA(MATCH($C705,FA,0)),$J705="YEDEK",$J705="SARF"),0,N(#REF!)*N(INDEX(F_TEL,MATCH($C705,FA,0))))</f>
        <v>#REF!</v>
      </c>
      <c r="AB705" s="7" t="e">
        <f>IF(OR(ISNA(MATCH($C705,FA,0)),$J705="YEDEK",$J705="SARF"),0,N(#REF!)*N(INDEX(F_TELM,MATCH($C705,FA,0))))</f>
        <v>#REF!</v>
      </c>
      <c r="AC705" s="7" t="e">
        <f t="shared" ref="AC705:AC721" si="242">IF(ISNA(MATCH($C705,FA,0)),"",INDEX(F_UC,MATCH($C705,FA,0))&amp;"")</f>
        <v>#REF!</v>
      </c>
      <c r="AD705" s="7">
        <f>IF(OR(ISNA(MATCH($C705,FA,0)),$J705&lt;&gt;"CIKIS"),0,N(INDEX(F_KK,MATCH($C705,FA,0))))</f>
        <v>0</v>
      </c>
      <c r="AE705" s="7">
        <f>IF($AD705=0,0,N(#REF!)*N(INDEX(F_KLN,MATCH($C705,FA,0))))</f>
        <v>0</v>
      </c>
      <c r="AF705" s="7">
        <f>IF($AD705=0,0,N(#REF!)*N(INDEX(F_KPE,MATCH($C705,FA,0))))</f>
        <v>0</v>
      </c>
      <c r="AG705" s="7" t="e">
        <f>IF(ISNA(MATCH($C705,FA,0)),0,N(#REF!)*N(INDEX(F_MODUL,MATCH($C705,FA,0))))</f>
        <v>#REF!</v>
      </c>
      <c r="AH705" s="7" t="e">
        <f>N(#REF!)*N($I705)</f>
        <v>#REF!</v>
      </c>
      <c r="AI705" s="7" t="e">
        <f t="shared" ref="AI705:AI721" si="243">IF(ISNA(MATCH($K705,TIP_AD,0)),"YOK",IF(INDEX(NORM_DK,MATCH($K705,TIP_AD,0))="","BOŞ",INDEX(NORM_DK,MATCH($K705,TIP_AD,0))))</f>
        <v>#REF!</v>
      </c>
      <c r="AJ705" s="7">
        <f t="shared" ref="AJ705:AJ721" si="244">IF(ISNUMBER($AI705),$Y705*$AI705,0)</f>
        <v>0</v>
      </c>
    </row>
    <row r="706" spans="1:36" x14ac:dyDescent="0.25">
      <c r="A706" s="4" t="str">
        <f t="shared" si="238"/>
        <v>ЩК тип 2 (1x1P + 7 АВДТ) (260922 akram aulet)</v>
      </c>
      <c r="B706" s="4" t="s">
        <v>198</v>
      </c>
      <c r="C706" s="4" t="s">
        <v>375</v>
      </c>
      <c r="D706" s="4" t="s">
        <v>376</v>
      </c>
      <c r="E706" s="4" t="s">
        <v>114</v>
      </c>
      <c r="F706" s="4" t="s">
        <v>377</v>
      </c>
      <c r="G706" s="4" t="s">
        <v>290</v>
      </c>
      <c r="H706" s="5" t="e">
        <f>#REF!</f>
        <v>#REF!</v>
      </c>
      <c r="I706" s="6" t="e">
        <f t="shared" si="239"/>
        <v>#REF!</v>
      </c>
      <c r="J706" s="6" t="s">
        <v>48</v>
      </c>
      <c r="K706" s="6" t="s">
        <v>198</v>
      </c>
      <c r="L706" s="7" t="e">
        <f t="shared" si="240"/>
        <v>#REF!</v>
      </c>
      <c r="M706" s="7" t="s">
        <v>354</v>
      </c>
      <c r="N706" s="7" t="s">
        <v>344</v>
      </c>
      <c r="O706" s="7" t="str">
        <f>IF(OR($C706="",$C706="FID YOK"),"",IF(ISNUMBER(MATCH($C706,FA_ANA,0)),"",IF(COUNTIF($C$1:$C705,$C706)&gt;0,"",MAX($O$1:$O705)+1)))</f>
        <v/>
      </c>
      <c r="P706" s="8">
        <v>1</v>
      </c>
      <c r="Q706" s="7" t="e">
        <f>IF(OR($P706="",$P706="G",ISNA(MATCH($C706,FA,0))),"",IF(N(INDEX(F_G,MATCH($C706,FA,0)))&gt;0,INDEX(F_G,MATCH($C706,FA,0)),IF(N(INDEX(F_MODUL,MATCH($C706,FA,0)))&gt;0,INDEX(F_MODUL,MATCH($C706,FA,0))*MODUL_MM,"")))</f>
        <v>#REF!</v>
      </c>
      <c r="R706" s="7" t="e">
        <f>IF(OR($P706="",$P706="G",ISNA(MATCH($C706,FA,0))),"",IF(N(INDEX(F_Y,MATCH($C706,FA,0)))&gt;0,INDEX(F_Y,MATCH($C706,FA,0)),""))</f>
        <v>#REF!</v>
      </c>
      <c r="S706" s="7" t="e">
        <f>IF(OR($P706="",$P706="G",ISNA(MATCH($C706,FA,0))),"",IF(N(INDEX(F_D,MATCH($C706,FA,0)))&gt;0,INDEX(F_D,MATCH($C706,FA,0)),""))</f>
        <v>#REF!</v>
      </c>
      <c r="T706" s="7" t="e">
        <f>IF(ISNA(MATCH($C706,FA,0)),0,IF($J706="GIRIS",N(INDEX(F_INKOR,MATCH($C706,FA,0))),0))</f>
        <v>#REF!</v>
      </c>
      <c r="U706" s="7" t="e">
        <f>IF(ISNA(MATCH($B706,TIP_AD,0)),"",INDEX(TIP_KAT,MATCH($B706,TIP_AD,0))&amp;"")</f>
        <v>#REF!</v>
      </c>
      <c r="V706" s="7" t="e">
        <f>IF(NOT(ISNUMBER($P706)),"",IF($Z706=0,0,IF(ISNA(MATCH($Z706,BUK_KESIT,0)),"",IF(INDEX(BUK_ALAN,MATCH($Z706,BUK_KESIT,0))&amp;""="","",INDEX(BUK_ALAN,MATCH($Z706,BUK_KESIT,0))))))</f>
        <v>#REF!</v>
      </c>
      <c r="W706" s="7" t="e">
        <f>IF(OR(NOT(ISNUMBER($P706)),$Q706=""),"",N(#REF!)*($Q706+IF(ISNA(MATCH($B706,TIP_AD,0)),0,N(INDEX(TIP_BOSLUK,MATCH($B706,TIP_AD,0))))))</f>
        <v>#REF!</v>
      </c>
      <c r="X706" s="7" t="e">
        <f>IF(ISNUMBER($P706),($Q706="")+($R706="")+($V706="")+IF(AND($U706="KONTAKTOR",NOT(ISNA(MATCH($B706,TIP_AD,0)))),IF(INDEX(TIP_BOSLUK,MATCH($B706,TIP_AD,0))&amp;""="",1,0),0),IF($P706="K",IF($S706="",1,0),0))</f>
        <v>#REF!</v>
      </c>
      <c r="Y706" s="7" t="e">
        <f>N(#REF!)*IF($E706="упак",MAX(1,IF(ISNA(MATCH($C706,FA,0)),1,N(INDEX(F_PAKET,MATCH($C706,FA,0))))),1)</f>
        <v>#REF!</v>
      </c>
      <c r="Z706" s="7" t="e">
        <f t="shared" si="241"/>
        <v>#REF!</v>
      </c>
      <c r="AA706" s="7" t="e">
        <f>IF(OR(ISNA(MATCH($C706,FA,0)),$J706="YEDEK",$J706="SARF"),0,N(#REF!)*N(INDEX(F_TEL,MATCH($C706,FA,0))))</f>
        <v>#REF!</v>
      </c>
      <c r="AB706" s="7" t="e">
        <f>IF(OR(ISNA(MATCH($C706,FA,0)),$J706="YEDEK",$J706="SARF"),0,N(#REF!)*N(INDEX(F_TELM,MATCH($C706,FA,0))))</f>
        <v>#REF!</v>
      </c>
      <c r="AC706" s="7" t="e">
        <f t="shared" si="242"/>
        <v>#REF!</v>
      </c>
      <c r="AD706" s="7">
        <f>IF(OR(ISNA(MATCH($C706,FA,0)),$J706&lt;&gt;"CIKIS"),0,N(INDEX(F_KK,MATCH($C706,FA,0))))</f>
        <v>0</v>
      </c>
      <c r="AE706" s="7">
        <f>IF($AD706=0,0,N(#REF!)*N(INDEX(F_KLN,MATCH($C706,FA,0))))</f>
        <v>0</v>
      </c>
      <c r="AF706" s="7">
        <f>IF($AD706=0,0,N(#REF!)*N(INDEX(F_KPE,MATCH($C706,FA,0))))</f>
        <v>0</v>
      </c>
      <c r="AG706" s="7" t="e">
        <f>IF(ISNA(MATCH($C706,FA,0)),0,N(#REF!)*N(INDEX(F_MODUL,MATCH($C706,FA,0))))</f>
        <v>#REF!</v>
      </c>
      <c r="AH706" s="7" t="e">
        <f>N(#REF!)*N($I706)</f>
        <v>#REF!</v>
      </c>
      <c r="AI706" s="7" t="e">
        <f t="shared" si="243"/>
        <v>#REF!</v>
      </c>
      <c r="AJ706" s="7">
        <f t="shared" si="244"/>
        <v>0</v>
      </c>
    </row>
    <row r="707" spans="1:36" x14ac:dyDescent="0.25">
      <c r="A707" s="4" t="str">
        <f t="shared" si="238"/>
        <v>ЩК тип 2 (1x1P + 7 АВДТ) (260922 akram aulet)</v>
      </c>
      <c r="B707" s="4" t="s">
        <v>65</v>
      </c>
      <c r="C707" s="4" t="s">
        <v>390</v>
      </c>
      <c r="D707" s="4" t="s">
        <v>391</v>
      </c>
      <c r="E707" s="4" t="s">
        <v>114</v>
      </c>
      <c r="F707" s="4" t="s">
        <v>377</v>
      </c>
      <c r="G707" s="4" t="s">
        <v>290</v>
      </c>
      <c r="H707" s="5" t="e">
        <f>#REF!</f>
        <v>#REF!</v>
      </c>
      <c r="I707" s="6" t="e">
        <f t="shared" si="239"/>
        <v>#REF!</v>
      </c>
      <c r="J707" s="6" t="s">
        <v>52</v>
      </c>
      <c r="K707" s="6" t="s">
        <v>65</v>
      </c>
      <c r="L707" s="7" t="e">
        <f t="shared" si="240"/>
        <v>#REF!</v>
      </c>
      <c r="M707" s="7" t="s">
        <v>355</v>
      </c>
      <c r="N707" s="7" t="s">
        <v>356</v>
      </c>
      <c r="O707" s="7" t="str">
        <f>IF(OR($C707="",$C707="FID YOK"),"",IF(ISNUMBER(MATCH($C707,FA_ANA,0)),"",IF(COUNTIF($C$1:$C706,$C707)&gt;0,"",MAX($O$1:$O706)+1)))</f>
        <v/>
      </c>
      <c r="P707" s="8">
        <v>1</v>
      </c>
      <c r="Q707" s="7" t="e">
        <f>IF(OR($P707="",$P707="G",ISNA(MATCH($C707,FA,0))),"",IF(N(INDEX(F_G,MATCH($C707,FA,0)))&gt;0,INDEX(F_G,MATCH($C707,FA,0)),IF(N(INDEX(F_MODUL,MATCH($C707,FA,0)))&gt;0,INDEX(F_MODUL,MATCH($C707,FA,0))*MODUL_MM,"")))</f>
        <v>#REF!</v>
      </c>
      <c r="R707" s="7" t="e">
        <f>IF(OR($P707="",$P707="G",ISNA(MATCH($C707,FA,0))),"",IF(N(INDEX(F_Y,MATCH($C707,FA,0)))&gt;0,INDEX(F_Y,MATCH($C707,FA,0)),""))</f>
        <v>#REF!</v>
      </c>
      <c r="S707" s="7" t="e">
        <f>IF(OR($P707="",$P707="G",ISNA(MATCH($C707,FA,0))),"",IF(N(INDEX(F_D,MATCH($C707,FA,0)))&gt;0,INDEX(F_D,MATCH($C707,FA,0)),""))</f>
        <v>#REF!</v>
      </c>
      <c r="T707" s="7">
        <f>IF(ISNA(MATCH($C707,FA,0)),0,IF($J707="GIRIS",N(INDEX(F_INKOR,MATCH($C707,FA,0))),0))</f>
        <v>0</v>
      </c>
      <c r="U707" s="7" t="e">
        <f>IF(ISNA(MATCH($B707,TIP_AD,0)),"",INDEX(TIP_KAT,MATCH($B707,TIP_AD,0))&amp;"")</f>
        <v>#REF!</v>
      </c>
      <c r="V707" s="7" t="e">
        <f>IF(NOT(ISNUMBER($P707)),"",IF($Z707=0,0,IF(ISNA(MATCH($Z707,BUK_KESIT,0)),"",IF(INDEX(BUK_ALAN,MATCH($Z707,BUK_KESIT,0))&amp;""="","",INDEX(BUK_ALAN,MATCH($Z707,BUK_KESIT,0))))))</f>
        <v>#REF!</v>
      </c>
      <c r="W707" s="7" t="e">
        <f>IF(OR(NOT(ISNUMBER($P707)),$Q707=""),"",N(#REF!)*($Q707+IF(ISNA(MATCH($B707,TIP_AD,0)),0,N(INDEX(TIP_BOSLUK,MATCH($B707,TIP_AD,0))))))</f>
        <v>#REF!</v>
      </c>
      <c r="X707" s="7" t="e">
        <f>IF(ISNUMBER($P707),($Q707="")+($R707="")+($V707="")+IF(AND($U707="KONTAKTOR",NOT(ISNA(MATCH($B707,TIP_AD,0)))),IF(INDEX(TIP_BOSLUK,MATCH($B707,TIP_AD,0))&amp;""="",1,0),0),IF($P707="K",IF($S707="",1,0),0))</f>
        <v>#REF!</v>
      </c>
      <c r="Y707" s="7" t="e">
        <f>N(#REF!)*IF($E707="упак",MAX(1,IF(ISNA(MATCH($C707,FA,0)),1,N(INDEX(F_PAKET,MATCH($C707,FA,0))))),1)</f>
        <v>#REF!</v>
      </c>
      <c r="Z707" s="7" t="e">
        <f t="shared" si="241"/>
        <v>#REF!</v>
      </c>
      <c r="AA707" s="7" t="e">
        <f>IF(OR(ISNA(MATCH($C707,FA,0)),$J707="YEDEK",$J707="SARF"),0,N(#REF!)*N(INDEX(F_TEL,MATCH($C707,FA,0))))</f>
        <v>#REF!</v>
      </c>
      <c r="AB707" s="7" t="e">
        <f>IF(OR(ISNA(MATCH($C707,FA,0)),$J707="YEDEK",$J707="SARF"),0,N(#REF!)*N(INDEX(F_TELM,MATCH($C707,FA,0))))</f>
        <v>#REF!</v>
      </c>
      <c r="AC707" s="7" t="e">
        <f t="shared" si="242"/>
        <v>#REF!</v>
      </c>
      <c r="AD707" s="7" t="e">
        <f>IF(OR(ISNA(MATCH($C707,FA,0)),$J707&lt;&gt;"CIKIS"),0,N(INDEX(F_KK,MATCH($C707,FA,0))))</f>
        <v>#REF!</v>
      </c>
      <c r="AE707" s="7" t="e">
        <f>IF($AD707=0,0,N(#REF!)*N(INDEX(F_KLN,MATCH($C707,FA,0))))</f>
        <v>#REF!</v>
      </c>
      <c r="AF707" s="7" t="e">
        <f>IF($AD707=0,0,N(#REF!)*N(INDEX(F_KPE,MATCH($C707,FA,0))))</f>
        <v>#REF!</v>
      </c>
      <c r="AG707" s="7" t="e">
        <f>IF(ISNA(MATCH($C707,FA,0)),0,N(#REF!)*N(INDEX(F_MODUL,MATCH($C707,FA,0))))</f>
        <v>#REF!</v>
      </c>
      <c r="AH707" s="7" t="e">
        <f>N(#REF!)*N($I707)</f>
        <v>#REF!</v>
      </c>
      <c r="AI707" s="7" t="e">
        <f t="shared" si="243"/>
        <v>#REF!</v>
      </c>
      <c r="AJ707" s="7">
        <f t="shared" si="244"/>
        <v>0</v>
      </c>
    </row>
    <row r="708" spans="1:36" x14ac:dyDescent="0.25">
      <c r="A708" s="4" t="str">
        <f t="shared" si="238"/>
        <v>ЩК тип 2 (1x1P + 7 АВДТ) (260922 akram aulet)</v>
      </c>
      <c r="B708" s="4" t="s">
        <v>213</v>
      </c>
      <c r="C708" s="4" t="s">
        <v>410</v>
      </c>
      <c r="D708" s="4" t="s">
        <v>411</v>
      </c>
      <c r="E708" s="4" t="s">
        <v>114</v>
      </c>
      <c r="F708" s="4" t="s">
        <v>377</v>
      </c>
      <c r="G708" s="4" t="s">
        <v>290</v>
      </c>
      <c r="H708" s="5" t="e">
        <f>#REF!</f>
        <v>#REF!</v>
      </c>
      <c r="I708" s="6" t="e">
        <f t="shared" si="239"/>
        <v>#REF!</v>
      </c>
      <c r="J708" s="6" t="s">
        <v>52</v>
      </c>
      <c r="K708" s="6" t="s">
        <v>213</v>
      </c>
      <c r="L708" s="7" t="e">
        <f t="shared" si="240"/>
        <v>#REF!</v>
      </c>
      <c r="M708" s="7" t="s">
        <v>214</v>
      </c>
      <c r="N708" s="7" t="s">
        <v>215</v>
      </c>
      <c r="O708" s="7" t="str">
        <f>IF(OR($C708="",$C708="FID YOK"),"",IF(ISNUMBER(MATCH($C708,FA_ANA,0)),"",IF(COUNTIF($C$1:$C707,$C708)&gt;0,"",MAX($O$1:$O707)+1)))</f>
        <v/>
      </c>
      <c r="P708" s="8">
        <v>1</v>
      </c>
      <c r="Q708" s="7" t="e">
        <f>IF(OR($P708="",$P708="G",ISNA(MATCH($C708,FA,0))),"",IF(N(INDEX(F_G,MATCH($C708,FA,0)))&gt;0,INDEX(F_G,MATCH($C708,FA,0)),IF(N(INDEX(F_MODUL,MATCH($C708,FA,0)))&gt;0,INDEX(F_MODUL,MATCH($C708,FA,0))*MODUL_MM,"")))</f>
        <v>#REF!</v>
      </c>
      <c r="R708" s="7" t="e">
        <f>IF(OR($P708="",$P708="G",ISNA(MATCH($C708,FA,0))),"",IF(N(INDEX(F_Y,MATCH($C708,FA,0)))&gt;0,INDEX(F_Y,MATCH($C708,FA,0)),""))</f>
        <v>#REF!</v>
      </c>
      <c r="S708" s="7" t="e">
        <f>IF(OR($P708="",$P708="G",ISNA(MATCH($C708,FA,0))),"",IF(N(INDEX(F_D,MATCH($C708,FA,0)))&gt;0,INDEX(F_D,MATCH($C708,FA,0)),""))</f>
        <v>#REF!</v>
      </c>
      <c r="T708" s="7">
        <f>IF(ISNA(MATCH($C708,FA,0)),0,IF($J708="GIRIS",N(INDEX(F_INKOR,MATCH($C708,FA,0))),0))</f>
        <v>0</v>
      </c>
      <c r="U708" s="7" t="e">
        <f>IF(ISNA(MATCH($B708,TIP_AD,0)),"",INDEX(TIP_KAT,MATCH($B708,TIP_AD,0))&amp;"")</f>
        <v>#REF!</v>
      </c>
      <c r="V708" s="7" t="e">
        <f>IF(NOT(ISNUMBER($P708)),"",IF($Z708=0,0,IF(ISNA(MATCH($Z708,BUK_KESIT,0)),"",IF(INDEX(BUK_ALAN,MATCH($Z708,BUK_KESIT,0))&amp;""="","",INDEX(BUK_ALAN,MATCH($Z708,BUK_KESIT,0))))))</f>
        <v>#REF!</v>
      </c>
      <c r="W708" s="7" t="e">
        <f>IF(OR(NOT(ISNUMBER($P708)),$Q708=""),"",N(#REF!)*($Q708+IF(ISNA(MATCH($B708,TIP_AD,0)),0,N(INDEX(TIP_BOSLUK,MATCH($B708,TIP_AD,0))))))</f>
        <v>#REF!</v>
      </c>
      <c r="X708" s="7" t="e">
        <f>IF(ISNUMBER($P708),($Q708="")+($R708="")+($V708="")+IF(AND($U708="KONTAKTOR",NOT(ISNA(MATCH($B708,TIP_AD,0)))),IF(INDEX(TIP_BOSLUK,MATCH($B708,TIP_AD,0))&amp;""="",1,0),0),IF($P708="K",IF($S708="",1,0),0))</f>
        <v>#REF!</v>
      </c>
      <c r="Y708" s="7" t="e">
        <f>N(#REF!)*IF($E708="упак",MAX(1,IF(ISNA(MATCH($C708,FA,0)),1,N(INDEX(F_PAKET,MATCH($C708,FA,0))))),1)</f>
        <v>#REF!</v>
      </c>
      <c r="Z708" s="7" t="e">
        <f t="shared" si="241"/>
        <v>#REF!</v>
      </c>
      <c r="AA708" s="7" t="e">
        <f>IF(OR(ISNA(MATCH($C708,FA,0)),$J708="YEDEK",$J708="SARF"),0,N(#REF!)*N(INDEX(F_TEL,MATCH($C708,FA,0))))</f>
        <v>#REF!</v>
      </c>
      <c r="AB708" s="7" t="e">
        <f>IF(OR(ISNA(MATCH($C708,FA,0)),$J708="YEDEK",$J708="SARF"),0,N(#REF!)*N(INDEX(F_TELM,MATCH($C708,FA,0))))</f>
        <v>#REF!</v>
      </c>
      <c r="AC708" s="7" t="e">
        <f t="shared" si="242"/>
        <v>#REF!</v>
      </c>
      <c r="AD708" s="7" t="e">
        <f>IF(OR(ISNA(MATCH($C708,FA,0)),$J708&lt;&gt;"CIKIS"),0,N(INDEX(F_KK,MATCH($C708,FA,0))))</f>
        <v>#REF!</v>
      </c>
      <c r="AE708" s="7" t="e">
        <f>IF($AD708=0,0,N(#REF!)*N(INDEX(F_KLN,MATCH($C708,FA,0))))</f>
        <v>#REF!</v>
      </c>
      <c r="AF708" s="7" t="e">
        <f>IF($AD708=0,0,N(#REF!)*N(INDEX(F_KPE,MATCH($C708,FA,0))))</f>
        <v>#REF!</v>
      </c>
      <c r="AG708" s="7" t="e">
        <f>IF(ISNA(MATCH($C708,FA,0)),0,N(#REF!)*N(INDEX(F_MODUL,MATCH($C708,FA,0))))</f>
        <v>#REF!</v>
      </c>
      <c r="AH708" s="7" t="e">
        <f>N(#REF!)*N($I708)</f>
        <v>#REF!</v>
      </c>
      <c r="AI708" s="7" t="e">
        <f t="shared" si="243"/>
        <v>#REF!</v>
      </c>
      <c r="AJ708" s="7">
        <f t="shared" si="244"/>
        <v>0</v>
      </c>
    </row>
    <row r="709" spans="1:36" x14ac:dyDescent="0.25">
      <c r="A709" s="4" t="str">
        <f t="shared" si="238"/>
        <v>ЩК тип 2 (1x1P + 7 АВДТ) (260922 akram aulet)</v>
      </c>
      <c r="B709" s="4" t="s">
        <v>213</v>
      </c>
      <c r="C709" s="4" t="s">
        <v>412</v>
      </c>
      <c r="D709" s="4" t="s">
        <v>413</v>
      </c>
      <c r="E709" s="4" t="s">
        <v>114</v>
      </c>
      <c r="F709" s="4" t="s">
        <v>377</v>
      </c>
      <c r="G709" s="4" t="s">
        <v>290</v>
      </c>
      <c r="H709" s="5" t="e">
        <f>#REF!</f>
        <v>#REF!</v>
      </c>
      <c r="I709" s="6" t="e">
        <f t="shared" si="239"/>
        <v>#REF!</v>
      </c>
      <c r="J709" s="6" t="s">
        <v>52</v>
      </c>
      <c r="K709" s="6" t="s">
        <v>213</v>
      </c>
      <c r="L709" s="7" t="e">
        <f t="shared" si="240"/>
        <v>#REF!</v>
      </c>
      <c r="M709" s="7" t="s">
        <v>357</v>
      </c>
      <c r="N709" s="7" t="s">
        <v>358</v>
      </c>
      <c r="O709" s="7" t="str">
        <f>IF(OR($C709="",$C709="FID YOK"),"",IF(ISNUMBER(MATCH($C709,FA_ANA,0)),"",IF(COUNTIF($C$1:$C708,$C709)&gt;0,"",MAX($O$1:$O708)+1)))</f>
        <v/>
      </c>
      <c r="P709" s="8">
        <v>1</v>
      </c>
      <c r="Q709" s="7" t="e">
        <f>IF(OR($P709="",$P709="G",ISNA(MATCH($C709,FA,0))),"",IF(N(INDEX(F_G,MATCH($C709,FA,0)))&gt;0,INDEX(F_G,MATCH($C709,FA,0)),IF(N(INDEX(F_MODUL,MATCH($C709,FA,0)))&gt;0,INDEX(F_MODUL,MATCH($C709,FA,0))*MODUL_MM,"")))</f>
        <v>#REF!</v>
      </c>
      <c r="R709" s="7" t="e">
        <f>IF(OR($P709="",$P709="G",ISNA(MATCH($C709,FA,0))),"",IF(N(INDEX(F_Y,MATCH($C709,FA,0)))&gt;0,INDEX(F_Y,MATCH($C709,FA,0)),""))</f>
        <v>#REF!</v>
      </c>
      <c r="S709" s="7" t="e">
        <f>IF(OR($P709="",$P709="G",ISNA(MATCH($C709,FA,0))),"",IF(N(INDEX(F_D,MATCH($C709,FA,0)))&gt;0,INDEX(F_D,MATCH($C709,FA,0)),""))</f>
        <v>#REF!</v>
      </c>
      <c r="T709" s="7">
        <f>IF(ISNA(MATCH($C709,FA,0)),0,IF($J709="GIRIS",N(INDEX(F_INKOR,MATCH($C709,FA,0))),0))</f>
        <v>0</v>
      </c>
      <c r="U709" s="7" t="e">
        <f>IF(ISNA(MATCH($B709,TIP_AD,0)),"",INDEX(TIP_KAT,MATCH($B709,TIP_AD,0))&amp;"")</f>
        <v>#REF!</v>
      </c>
      <c r="V709" s="7" t="e">
        <f>IF(NOT(ISNUMBER($P709)),"",IF($Z709=0,0,IF(ISNA(MATCH($Z709,BUK_KESIT,0)),"",IF(INDEX(BUK_ALAN,MATCH($Z709,BUK_KESIT,0))&amp;""="","",INDEX(BUK_ALAN,MATCH($Z709,BUK_KESIT,0))))))</f>
        <v>#REF!</v>
      </c>
      <c r="W709" s="7" t="e">
        <f>IF(OR(NOT(ISNUMBER($P709)),$Q709=""),"",N(#REF!)*($Q709+IF(ISNA(MATCH($B709,TIP_AD,0)),0,N(INDEX(TIP_BOSLUK,MATCH($B709,TIP_AD,0))))))</f>
        <v>#REF!</v>
      </c>
      <c r="X709" s="7" t="e">
        <f>IF(ISNUMBER($P709),($Q709="")+($R709="")+($V709="")+IF(AND($U709="KONTAKTOR",NOT(ISNA(MATCH($B709,TIP_AD,0)))),IF(INDEX(TIP_BOSLUK,MATCH($B709,TIP_AD,0))&amp;""="",1,0),0),IF($P709="K",IF($S709="",1,0),0))</f>
        <v>#REF!</v>
      </c>
      <c r="Y709" s="7" t="e">
        <f>N(#REF!)*IF($E709="упак",MAX(1,IF(ISNA(MATCH($C709,FA,0)),1,N(INDEX(F_PAKET,MATCH($C709,FA,0))))),1)</f>
        <v>#REF!</v>
      </c>
      <c r="Z709" s="7" t="e">
        <f t="shared" si="241"/>
        <v>#REF!</v>
      </c>
      <c r="AA709" s="7" t="e">
        <f>IF(OR(ISNA(MATCH($C709,FA,0)),$J709="YEDEK",$J709="SARF"),0,N(#REF!)*N(INDEX(F_TEL,MATCH($C709,FA,0))))</f>
        <v>#REF!</v>
      </c>
      <c r="AB709" s="7" t="e">
        <f>IF(OR(ISNA(MATCH($C709,FA,0)),$J709="YEDEK",$J709="SARF"),0,N(#REF!)*N(INDEX(F_TELM,MATCH($C709,FA,0))))</f>
        <v>#REF!</v>
      </c>
      <c r="AC709" s="7" t="e">
        <f t="shared" si="242"/>
        <v>#REF!</v>
      </c>
      <c r="AD709" s="7" t="e">
        <f>IF(OR(ISNA(MATCH($C709,FA,0)),$J709&lt;&gt;"CIKIS"),0,N(INDEX(F_KK,MATCH($C709,FA,0))))</f>
        <v>#REF!</v>
      </c>
      <c r="AE709" s="7" t="e">
        <f>IF($AD709=0,0,N(#REF!)*N(INDEX(F_KLN,MATCH($C709,FA,0))))</f>
        <v>#REF!</v>
      </c>
      <c r="AF709" s="7" t="e">
        <f>IF($AD709=0,0,N(#REF!)*N(INDEX(F_KPE,MATCH($C709,FA,0))))</f>
        <v>#REF!</v>
      </c>
      <c r="AG709" s="7" t="e">
        <f>IF(ISNA(MATCH($C709,FA,0)),0,N(#REF!)*N(INDEX(F_MODUL,MATCH($C709,FA,0))))</f>
        <v>#REF!</v>
      </c>
      <c r="AH709" s="7" t="e">
        <f>N(#REF!)*N($I709)</f>
        <v>#REF!</v>
      </c>
      <c r="AI709" s="7" t="e">
        <f t="shared" si="243"/>
        <v>#REF!</v>
      </c>
      <c r="AJ709" s="7">
        <f t="shared" si="244"/>
        <v>0</v>
      </c>
    </row>
    <row r="710" spans="1:36" x14ac:dyDescent="0.25">
      <c r="A710" s="4" t="str">
        <f t="shared" si="238"/>
        <v>ЩК тип 2 (1x1P + 7 АВДТ) (260922 akram aulet)</v>
      </c>
      <c r="B710" s="4" t="s">
        <v>213</v>
      </c>
      <c r="C710" s="4" t="s">
        <v>414</v>
      </c>
      <c r="D710" s="4" t="s">
        <v>415</v>
      </c>
      <c r="E710" s="4" t="s">
        <v>114</v>
      </c>
      <c r="F710" s="4" t="s">
        <v>377</v>
      </c>
      <c r="G710" s="4" t="s">
        <v>290</v>
      </c>
      <c r="H710" s="5" t="e">
        <f>#REF!</f>
        <v>#REF!</v>
      </c>
      <c r="I710" s="6" t="e">
        <f t="shared" si="239"/>
        <v>#REF!</v>
      </c>
      <c r="J710" s="6" t="s">
        <v>52</v>
      </c>
      <c r="K710" s="6" t="s">
        <v>213</v>
      </c>
      <c r="L710" s="7" t="e">
        <f t="shared" si="240"/>
        <v>#REF!</v>
      </c>
      <c r="M710" s="7" t="s">
        <v>359</v>
      </c>
      <c r="N710" s="7" t="s">
        <v>360</v>
      </c>
      <c r="O710" s="7" t="str">
        <f>IF(OR($C710="",$C710="FID YOK"),"",IF(ISNUMBER(MATCH($C710,FA_ANA,0)),"",IF(COUNTIF($C$1:$C709,$C710)&gt;0,"",MAX($O$1:$O709)+1)))</f>
        <v/>
      </c>
      <c r="P710" s="8">
        <v>1</v>
      </c>
      <c r="Q710" s="7" t="e">
        <f>IF(OR($P710="",$P710="G",ISNA(MATCH($C710,FA,0))),"",IF(N(INDEX(F_G,MATCH($C710,FA,0)))&gt;0,INDEX(F_G,MATCH($C710,FA,0)),IF(N(INDEX(F_MODUL,MATCH($C710,FA,0)))&gt;0,INDEX(F_MODUL,MATCH($C710,FA,0))*MODUL_MM,"")))</f>
        <v>#REF!</v>
      </c>
      <c r="R710" s="7" t="e">
        <f>IF(OR($P710="",$P710="G",ISNA(MATCH($C710,FA,0))),"",IF(N(INDEX(F_Y,MATCH($C710,FA,0)))&gt;0,INDEX(F_Y,MATCH($C710,FA,0)),""))</f>
        <v>#REF!</v>
      </c>
      <c r="S710" s="7" t="e">
        <f>IF(OR($P710="",$P710="G",ISNA(MATCH($C710,FA,0))),"",IF(N(INDEX(F_D,MATCH($C710,FA,0)))&gt;0,INDEX(F_D,MATCH($C710,FA,0)),""))</f>
        <v>#REF!</v>
      </c>
      <c r="T710" s="7">
        <f>IF(ISNA(MATCH($C710,FA,0)),0,IF($J710="GIRIS",N(INDEX(F_INKOR,MATCH($C710,FA,0))),0))</f>
        <v>0</v>
      </c>
      <c r="U710" s="7" t="e">
        <f>IF(ISNA(MATCH($B710,TIP_AD,0)),"",INDEX(TIP_KAT,MATCH($B710,TIP_AD,0))&amp;"")</f>
        <v>#REF!</v>
      </c>
      <c r="V710" s="7" t="e">
        <f>IF(NOT(ISNUMBER($P710)),"",IF($Z710=0,0,IF(ISNA(MATCH($Z710,BUK_KESIT,0)),"",IF(INDEX(BUK_ALAN,MATCH($Z710,BUK_KESIT,0))&amp;""="","",INDEX(BUK_ALAN,MATCH($Z710,BUK_KESIT,0))))))</f>
        <v>#REF!</v>
      </c>
      <c r="W710" s="7" t="e">
        <f>IF(OR(NOT(ISNUMBER($P710)),$Q710=""),"",N(#REF!)*($Q710+IF(ISNA(MATCH($B710,TIP_AD,0)),0,N(INDEX(TIP_BOSLUK,MATCH($B710,TIP_AD,0))))))</f>
        <v>#REF!</v>
      </c>
      <c r="X710" s="7" t="e">
        <f>IF(ISNUMBER($P710),($Q710="")+($R710="")+($V710="")+IF(AND($U710="KONTAKTOR",NOT(ISNA(MATCH($B710,TIP_AD,0)))),IF(INDEX(TIP_BOSLUK,MATCH($B710,TIP_AD,0))&amp;""="",1,0),0),IF($P710="K",IF($S710="",1,0),0))</f>
        <v>#REF!</v>
      </c>
      <c r="Y710" s="7" t="e">
        <f>N(#REF!)*IF($E710="упак",MAX(1,IF(ISNA(MATCH($C710,FA,0)),1,N(INDEX(F_PAKET,MATCH($C710,FA,0))))),1)</f>
        <v>#REF!</v>
      </c>
      <c r="Z710" s="7" t="e">
        <f t="shared" si="241"/>
        <v>#REF!</v>
      </c>
      <c r="AA710" s="7" t="e">
        <f>IF(OR(ISNA(MATCH($C710,FA,0)),$J710="YEDEK",$J710="SARF"),0,N(#REF!)*N(INDEX(F_TEL,MATCH($C710,FA,0))))</f>
        <v>#REF!</v>
      </c>
      <c r="AB710" s="7" t="e">
        <f>IF(OR(ISNA(MATCH($C710,FA,0)),$J710="YEDEK",$J710="SARF"),0,N(#REF!)*N(INDEX(F_TELM,MATCH($C710,FA,0))))</f>
        <v>#REF!</v>
      </c>
      <c r="AC710" s="7" t="e">
        <f t="shared" si="242"/>
        <v>#REF!</v>
      </c>
      <c r="AD710" s="7" t="e">
        <f>IF(OR(ISNA(MATCH($C710,FA,0)),$J710&lt;&gt;"CIKIS"),0,N(INDEX(F_KK,MATCH($C710,FA,0))))</f>
        <v>#REF!</v>
      </c>
      <c r="AE710" s="7" t="e">
        <f>IF($AD710=0,0,N(#REF!)*N(INDEX(F_KLN,MATCH($C710,FA,0))))</f>
        <v>#REF!</v>
      </c>
      <c r="AF710" s="7" t="e">
        <f>IF($AD710=0,0,N(#REF!)*N(INDEX(F_KPE,MATCH($C710,FA,0))))</f>
        <v>#REF!</v>
      </c>
      <c r="AG710" s="7" t="e">
        <f>IF(ISNA(MATCH($C710,FA,0)),0,N(#REF!)*N(INDEX(F_MODUL,MATCH($C710,FA,0))))</f>
        <v>#REF!</v>
      </c>
      <c r="AH710" s="7" t="e">
        <f>N(#REF!)*N($I710)</f>
        <v>#REF!</v>
      </c>
      <c r="AI710" s="7" t="e">
        <f t="shared" si="243"/>
        <v>#REF!</v>
      </c>
      <c r="AJ710" s="7">
        <f t="shared" si="244"/>
        <v>0</v>
      </c>
    </row>
    <row r="711" spans="1:36" x14ac:dyDescent="0.25">
      <c r="A711" s="4" t="str">
        <f t="shared" si="238"/>
        <v>ЩК тип 2 (1x1P + 7 АВДТ) (260922 akram aulet)</v>
      </c>
      <c r="B711" s="4" t="s">
        <v>202</v>
      </c>
      <c r="C711" s="4" t="s">
        <v>579</v>
      </c>
      <c r="D711" s="4" t="s">
        <v>580</v>
      </c>
      <c r="E711" s="4" t="s">
        <v>114</v>
      </c>
      <c r="F711" s="4" t="s">
        <v>486</v>
      </c>
      <c r="G711" s="4" t="s">
        <v>290</v>
      </c>
      <c r="H711" s="5" t="e">
        <f>#REF!</f>
        <v>#REF!</v>
      </c>
      <c r="I711" s="6" t="e">
        <f t="shared" si="239"/>
        <v>#REF!</v>
      </c>
      <c r="J711" s="6" t="s">
        <v>84</v>
      </c>
      <c r="K711" s="6" t="s">
        <v>202</v>
      </c>
      <c r="L711" s="7" t="e">
        <f t="shared" si="240"/>
        <v>#REF!</v>
      </c>
      <c r="M711" s="7" t="s">
        <v>203</v>
      </c>
      <c r="O711" s="7" t="str">
        <f>IF(OR($C711="",$C711="FID YOK"),"",IF(ISNUMBER(MATCH($C711,FA_ANA,0)),"",IF(COUNTIF($C$1:$C710,$C711)&gt;0,"",MAX($O$1:$O710)+1)))</f>
        <v/>
      </c>
      <c r="T711" s="7">
        <f>IF(ISNA(MATCH($C711,FA,0)),0,IF($J711="GIRIS",N(INDEX(F_INKOR,MATCH($C711,FA,0))),0))</f>
        <v>0</v>
      </c>
      <c r="Y711" s="7" t="e">
        <f>N(#REF!)*IF($E711="упак",MAX(1,IF(ISNA(MATCH($C711,FA,0)),1,N(INDEX(F_PAKET,MATCH($C711,FA,0))))),1)</f>
        <v>#REF!</v>
      </c>
      <c r="Z711" s="7" t="e">
        <f t="shared" si="241"/>
        <v>#REF!</v>
      </c>
      <c r="AA711" s="7">
        <f>IF(OR(ISNA(MATCH($C711,FA,0)),$J711="YEDEK",$J711="SARF"),0,N(#REF!)*N(INDEX(F_TEL,MATCH($C711,FA,0))))</f>
        <v>0</v>
      </c>
      <c r="AB711" s="7">
        <f>IF(OR(ISNA(MATCH($C711,FA,0)),$J711="YEDEK",$J711="SARF"),0,N(#REF!)*N(INDEX(F_TELM,MATCH($C711,FA,0))))</f>
        <v>0</v>
      </c>
      <c r="AC711" s="7" t="e">
        <f t="shared" si="242"/>
        <v>#REF!</v>
      </c>
      <c r="AD711" s="7">
        <f>IF(OR(ISNA(MATCH($C711,FA,0)),$J711&lt;&gt;"CIKIS"),0,N(INDEX(F_KK,MATCH($C711,FA,0))))</f>
        <v>0</v>
      </c>
      <c r="AE711" s="7">
        <f>IF($AD711=0,0,N(#REF!)*N(INDEX(F_KLN,MATCH($C711,FA,0))))</f>
        <v>0</v>
      </c>
      <c r="AF711" s="7">
        <f>IF($AD711=0,0,N(#REF!)*N(INDEX(F_KPE,MATCH($C711,FA,0))))</f>
        <v>0</v>
      </c>
      <c r="AG711" s="7" t="e">
        <f>IF(ISNA(MATCH($C711,FA,0)),0,N(#REF!)*N(INDEX(F_MODUL,MATCH($C711,FA,0))))</f>
        <v>#REF!</v>
      </c>
      <c r="AH711" s="7" t="e">
        <f>N(#REF!)*N($I711)</f>
        <v>#REF!</v>
      </c>
      <c r="AI711" s="7" t="e">
        <f t="shared" si="243"/>
        <v>#REF!</v>
      </c>
      <c r="AJ711" s="7">
        <f t="shared" si="244"/>
        <v>0</v>
      </c>
    </row>
    <row r="712" spans="1:36" x14ac:dyDescent="0.25">
      <c r="A712" s="4" t="str">
        <f t="shared" si="238"/>
        <v>ЩК тип 2 (1x1P + 7 АВДТ) (260922 akram aulet)</v>
      </c>
      <c r="B712" s="4" t="s">
        <v>202</v>
      </c>
      <c r="C712" s="4" t="s">
        <v>581</v>
      </c>
      <c r="D712" s="4" t="s">
        <v>582</v>
      </c>
      <c r="E712" s="4" t="s">
        <v>114</v>
      </c>
      <c r="F712" s="4" t="s">
        <v>486</v>
      </c>
      <c r="G712" s="4" t="s">
        <v>290</v>
      </c>
      <c r="H712" s="5" t="e">
        <f>#REF!</f>
        <v>#REF!</v>
      </c>
      <c r="I712" s="6" t="e">
        <f t="shared" si="239"/>
        <v>#REF!</v>
      </c>
      <c r="J712" s="6" t="s">
        <v>84</v>
      </c>
      <c r="K712" s="6" t="s">
        <v>202</v>
      </c>
      <c r="L712" s="7" t="e">
        <f t="shared" si="240"/>
        <v>#REF!</v>
      </c>
      <c r="M712" s="7" t="s">
        <v>204</v>
      </c>
      <c r="O712" s="7" t="str">
        <f>IF(OR($C712="",$C712="FID YOK"),"",IF(ISNUMBER(MATCH($C712,FA_ANA,0)),"",IF(COUNTIF($C$1:$C711,$C712)&gt;0,"",MAX($O$1:$O711)+1)))</f>
        <v/>
      </c>
      <c r="T712" s="7">
        <f>IF(ISNA(MATCH($C712,FA,0)),0,IF($J712="GIRIS",N(INDEX(F_INKOR,MATCH($C712,FA,0))),0))</f>
        <v>0</v>
      </c>
      <c r="Y712" s="7" t="e">
        <f>N(#REF!)*IF($E712="упак",MAX(1,IF(ISNA(MATCH($C712,FA,0)),1,N(INDEX(F_PAKET,MATCH($C712,FA,0))))),1)</f>
        <v>#REF!</v>
      </c>
      <c r="Z712" s="7" t="e">
        <f t="shared" si="241"/>
        <v>#REF!</v>
      </c>
      <c r="AA712" s="7">
        <f>IF(OR(ISNA(MATCH($C712,FA,0)),$J712="YEDEK",$J712="SARF"),0,N(#REF!)*N(INDEX(F_TEL,MATCH($C712,FA,0))))</f>
        <v>0</v>
      </c>
      <c r="AB712" s="7">
        <f>IF(OR(ISNA(MATCH($C712,FA,0)),$J712="YEDEK",$J712="SARF"),0,N(#REF!)*N(INDEX(F_TELM,MATCH($C712,FA,0))))</f>
        <v>0</v>
      </c>
      <c r="AC712" s="7" t="e">
        <f t="shared" si="242"/>
        <v>#REF!</v>
      </c>
      <c r="AD712" s="7">
        <f>IF(OR(ISNA(MATCH($C712,FA,0)),$J712&lt;&gt;"CIKIS"),0,N(INDEX(F_KK,MATCH($C712,FA,0))))</f>
        <v>0</v>
      </c>
      <c r="AE712" s="7">
        <f>IF($AD712=0,0,N(#REF!)*N(INDEX(F_KLN,MATCH($C712,FA,0))))</f>
        <v>0</v>
      </c>
      <c r="AF712" s="7">
        <f>IF($AD712=0,0,N(#REF!)*N(INDEX(F_KPE,MATCH($C712,FA,0))))</f>
        <v>0</v>
      </c>
      <c r="AG712" s="7" t="e">
        <f>IF(ISNA(MATCH($C712,FA,0)),0,N(#REF!)*N(INDEX(F_MODUL,MATCH($C712,FA,0))))</f>
        <v>#REF!</v>
      </c>
      <c r="AH712" s="7" t="e">
        <f>N(#REF!)*N($I712)</f>
        <v>#REF!</v>
      </c>
      <c r="AI712" s="7" t="e">
        <f t="shared" si="243"/>
        <v>#REF!</v>
      </c>
      <c r="AJ712" s="7">
        <f t="shared" si="244"/>
        <v>0</v>
      </c>
    </row>
    <row r="713" spans="1:36" x14ac:dyDescent="0.25">
      <c r="A713" s="4" t="str">
        <f t="shared" si="238"/>
        <v>ЩК тип 2 (1x1P + 7 АВДТ) (260922 akram aulet)</v>
      </c>
      <c r="B713" s="4" t="s">
        <v>92</v>
      </c>
      <c r="C713" s="4" t="s">
        <v>527</v>
      </c>
      <c r="D713" s="4" t="s">
        <v>528</v>
      </c>
      <c r="E713" s="4" t="s">
        <v>520</v>
      </c>
      <c r="F713" s="4" t="s">
        <v>521</v>
      </c>
      <c r="G713" s="4" t="s">
        <v>290</v>
      </c>
      <c r="H713" s="5" t="e">
        <f>#REF!</f>
        <v>#REF!</v>
      </c>
      <c r="I713" s="6" t="e">
        <f t="shared" si="239"/>
        <v>#REF!</v>
      </c>
      <c r="J713" s="6" t="s">
        <v>84</v>
      </c>
      <c r="K713" s="6" t="s">
        <v>92</v>
      </c>
      <c r="L713" s="7" t="e">
        <f t="shared" si="240"/>
        <v>#REF!</v>
      </c>
      <c r="M713" s="7" t="s">
        <v>94</v>
      </c>
      <c r="O713" s="7" t="str">
        <f>IF(OR($C713="",$C713="FID YOK"),"",IF(ISNUMBER(MATCH($C713,FA_ANA,0)),"",IF(COUNTIF($C$1:$C712,$C713)&gt;0,"",MAX($O$1:$O712)+1)))</f>
        <v/>
      </c>
      <c r="T713" s="7">
        <f>IF(ISNA(MATCH($C713,FA,0)),0,IF($J713="GIRIS",N(INDEX(F_INKOR,MATCH($C713,FA,0))),0))</f>
        <v>0</v>
      </c>
      <c r="Y713" s="7" t="e">
        <f>N(#REF!)*IF($E713="упак",MAX(1,IF(ISNA(MATCH($C713,FA,0)),1,N(INDEX(F_PAKET,MATCH($C713,FA,0))))),1)</f>
        <v>#REF!</v>
      </c>
      <c r="Z713" s="7" t="e">
        <f t="shared" si="241"/>
        <v>#REF!</v>
      </c>
      <c r="AA713" s="7">
        <f>IF(OR(ISNA(MATCH($C713,FA,0)),$J713="YEDEK",$J713="SARF"),0,N(#REF!)*N(INDEX(F_TEL,MATCH($C713,FA,0))))</f>
        <v>0</v>
      </c>
      <c r="AB713" s="7">
        <f>IF(OR(ISNA(MATCH($C713,FA,0)),$J713="YEDEK",$J713="SARF"),0,N(#REF!)*N(INDEX(F_TELM,MATCH($C713,FA,0))))</f>
        <v>0</v>
      </c>
      <c r="AC713" s="7" t="e">
        <f t="shared" si="242"/>
        <v>#REF!</v>
      </c>
      <c r="AD713" s="7">
        <f>IF(OR(ISNA(MATCH($C713,FA,0)),$J713&lt;&gt;"CIKIS"),0,N(INDEX(F_KK,MATCH($C713,FA,0))))</f>
        <v>0</v>
      </c>
      <c r="AE713" s="7">
        <f>IF($AD713=0,0,N(#REF!)*N(INDEX(F_KLN,MATCH($C713,FA,0))))</f>
        <v>0</v>
      </c>
      <c r="AF713" s="7">
        <f>IF($AD713=0,0,N(#REF!)*N(INDEX(F_KPE,MATCH($C713,FA,0))))</f>
        <v>0</v>
      </c>
      <c r="AG713" s="7" t="e">
        <f>IF(ISNA(MATCH($C713,FA,0)),0,N(#REF!)*N(INDEX(F_MODUL,MATCH($C713,FA,0))))</f>
        <v>#REF!</v>
      </c>
      <c r="AH713" s="7" t="e">
        <f>N(#REF!)*N($I713)</f>
        <v>#REF!</v>
      </c>
      <c r="AI713" s="7" t="e">
        <f t="shared" si="243"/>
        <v>#REF!</v>
      </c>
      <c r="AJ713" s="7">
        <f t="shared" si="244"/>
        <v>0</v>
      </c>
    </row>
    <row r="714" spans="1:36" x14ac:dyDescent="0.25">
      <c r="A714" s="4" t="str">
        <f t="shared" si="238"/>
        <v>ЩК тип 2 (1x1P + 7 АВДТ) (260922 akram aulet)</v>
      </c>
      <c r="B714" s="4" t="s">
        <v>92</v>
      </c>
      <c r="C714" s="4" t="s">
        <v>531</v>
      </c>
      <c r="D714" s="4" t="s">
        <v>532</v>
      </c>
      <c r="E714" s="4" t="s">
        <v>520</v>
      </c>
      <c r="F714" s="4" t="s">
        <v>521</v>
      </c>
      <c r="G714" s="4" t="s">
        <v>290</v>
      </c>
      <c r="H714" s="5" t="e">
        <f>#REF!</f>
        <v>#REF!</v>
      </c>
      <c r="I714" s="6" t="e">
        <f t="shared" si="239"/>
        <v>#REF!</v>
      </c>
      <c r="J714" s="6" t="s">
        <v>84</v>
      </c>
      <c r="K714" s="6" t="s">
        <v>92</v>
      </c>
      <c r="L714" s="7" t="e">
        <f t="shared" si="240"/>
        <v>#REF!</v>
      </c>
      <c r="M714" s="7" t="s">
        <v>95</v>
      </c>
      <c r="O714" s="7" t="str">
        <f>IF(OR($C714="",$C714="FID YOK"),"",IF(ISNUMBER(MATCH($C714,FA_ANA,0)),"",IF(COUNTIF($C$1:$C713,$C714)&gt;0,"",MAX($O$1:$O713)+1)))</f>
        <v/>
      </c>
      <c r="T714" s="7">
        <f>IF(ISNA(MATCH($C714,FA,0)),0,IF($J714="GIRIS",N(INDEX(F_INKOR,MATCH($C714,FA,0))),0))</f>
        <v>0</v>
      </c>
      <c r="Y714" s="7" t="e">
        <f>N(#REF!)*IF($E714="упак",MAX(1,IF(ISNA(MATCH($C714,FA,0)),1,N(INDEX(F_PAKET,MATCH($C714,FA,0))))),1)</f>
        <v>#REF!</v>
      </c>
      <c r="Z714" s="7" t="e">
        <f t="shared" si="241"/>
        <v>#REF!</v>
      </c>
      <c r="AA714" s="7">
        <f>IF(OR(ISNA(MATCH($C714,FA,0)),$J714="YEDEK",$J714="SARF"),0,N(#REF!)*N(INDEX(F_TEL,MATCH($C714,FA,0))))</f>
        <v>0</v>
      </c>
      <c r="AB714" s="7">
        <f>IF(OR(ISNA(MATCH($C714,FA,0)),$J714="YEDEK",$J714="SARF"),0,N(#REF!)*N(INDEX(F_TELM,MATCH($C714,FA,0))))</f>
        <v>0</v>
      </c>
      <c r="AC714" s="7" t="e">
        <f t="shared" si="242"/>
        <v>#REF!</v>
      </c>
      <c r="AD714" s="7">
        <f>IF(OR(ISNA(MATCH($C714,FA,0)),$J714&lt;&gt;"CIKIS"),0,N(INDEX(F_KK,MATCH($C714,FA,0))))</f>
        <v>0</v>
      </c>
      <c r="AE714" s="7">
        <f>IF($AD714=0,0,N(#REF!)*N(INDEX(F_KLN,MATCH($C714,FA,0))))</f>
        <v>0</v>
      </c>
      <c r="AF714" s="7">
        <f>IF($AD714=0,0,N(#REF!)*N(INDEX(F_KPE,MATCH($C714,FA,0))))</f>
        <v>0</v>
      </c>
      <c r="AG714" s="7" t="e">
        <f>IF(ISNA(MATCH($C714,FA,0)),0,N(#REF!)*N(INDEX(F_MODUL,MATCH($C714,FA,0))))</f>
        <v>#REF!</v>
      </c>
      <c r="AH714" s="7" t="e">
        <f>N(#REF!)*N($I714)</f>
        <v>#REF!</v>
      </c>
      <c r="AI714" s="7" t="e">
        <f t="shared" si="243"/>
        <v>#REF!</v>
      </c>
      <c r="AJ714" s="7">
        <f t="shared" si="244"/>
        <v>0</v>
      </c>
    </row>
    <row r="715" spans="1:36" x14ac:dyDescent="0.25">
      <c r="A715" s="4" t="str">
        <f t="shared" si="238"/>
        <v>ЩК тип 2 (1x1P + 7 АВДТ) (260922 akram aulet)</v>
      </c>
      <c r="B715" s="4" t="s">
        <v>92</v>
      </c>
      <c r="C715" s="4" t="s">
        <v>535</v>
      </c>
      <c r="D715" s="4" t="s">
        <v>536</v>
      </c>
      <c r="E715" s="4" t="s">
        <v>520</v>
      </c>
      <c r="F715" s="4" t="s">
        <v>521</v>
      </c>
      <c r="G715" s="4" t="s">
        <v>290</v>
      </c>
      <c r="H715" s="5" t="e">
        <f>#REF!</f>
        <v>#REF!</v>
      </c>
      <c r="I715" s="6" t="e">
        <f t="shared" si="239"/>
        <v>#REF!</v>
      </c>
      <c r="J715" s="6" t="s">
        <v>84</v>
      </c>
      <c r="K715" s="6" t="s">
        <v>92</v>
      </c>
      <c r="L715" s="7" t="e">
        <f t="shared" si="240"/>
        <v>#REF!</v>
      </c>
      <c r="M715" s="7" t="s">
        <v>130</v>
      </c>
      <c r="O715" s="7" t="str">
        <f>IF(OR($C715="",$C715="FID YOK"),"",IF(ISNUMBER(MATCH($C715,FA_ANA,0)),"",IF(COUNTIF($C$1:$C714,$C715)&gt;0,"",MAX($O$1:$O714)+1)))</f>
        <v/>
      </c>
      <c r="T715" s="7">
        <f>IF(ISNA(MATCH($C715,FA,0)),0,IF($J715="GIRIS",N(INDEX(F_INKOR,MATCH($C715,FA,0))),0))</f>
        <v>0</v>
      </c>
      <c r="Y715" s="7" t="e">
        <f>N(#REF!)*IF($E715="упак",MAX(1,IF(ISNA(MATCH($C715,FA,0)),1,N(INDEX(F_PAKET,MATCH($C715,FA,0))))),1)</f>
        <v>#REF!</v>
      </c>
      <c r="Z715" s="7" t="e">
        <f t="shared" si="241"/>
        <v>#REF!</v>
      </c>
      <c r="AA715" s="7">
        <f>IF(OR(ISNA(MATCH($C715,FA,0)),$J715="YEDEK",$J715="SARF"),0,N(#REF!)*N(INDEX(F_TEL,MATCH($C715,FA,0))))</f>
        <v>0</v>
      </c>
      <c r="AB715" s="7">
        <f>IF(OR(ISNA(MATCH($C715,FA,0)),$J715="YEDEK",$J715="SARF"),0,N(#REF!)*N(INDEX(F_TELM,MATCH($C715,FA,0))))</f>
        <v>0</v>
      </c>
      <c r="AC715" s="7" t="e">
        <f t="shared" si="242"/>
        <v>#REF!</v>
      </c>
      <c r="AD715" s="7">
        <f>IF(OR(ISNA(MATCH($C715,FA,0)),$J715&lt;&gt;"CIKIS"),0,N(INDEX(F_KK,MATCH($C715,FA,0))))</f>
        <v>0</v>
      </c>
      <c r="AE715" s="7">
        <f>IF($AD715=0,0,N(#REF!)*N(INDEX(F_KLN,MATCH($C715,FA,0))))</f>
        <v>0</v>
      </c>
      <c r="AF715" s="7">
        <f>IF($AD715=0,0,N(#REF!)*N(INDEX(F_KPE,MATCH($C715,FA,0))))</f>
        <v>0</v>
      </c>
      <c r="AG715" s="7" t="e">
        <f>IF(ISNA(MATCH($C715,FA,0)),0,N(#REF!)*N(INDEX(F_MODUL,MATCH($C715,FA,0))))</f>
        <v>#REF!</v>
      </c>
      <c r="AH715" s="7" t="e">
        <f>N(#REF!)*N($I715)</f>
        <v>#REF!</v>
      </c>
      <c r="AI715" s="7" t="e">
        <f t="shared" si="243"/>
        <v>#REF!</v>
      </c>
      <c r="AJ715" s="7">
        <f t="shared" si="244"/>
        <v>0</v>
      </c>
    </row>
    <row r="716" spans="1:36" x14ac:dyDescent="0.25">
      <c r="A716" s="4" t="str">
        <f t="shared" si="238"/>
        <v>ЩК тип 2 (1x1P + 7 АВДТ) (260922 akram aulet)</v>
      </c>
      <c r="B716" s="4" t="s">
        <v>92</v>
      </c>
      <c r="C716" s="4" t="s">
        <v>535</v>
      </c>
      <c r="D716" s="4" t="s">
        <v>536</v>
      </c>
      <c r="E716" s="4" t="s">
        <v>520</v>
      </c>
      <c r="F716" s="4" t="s">
        <v>521</v>
      </c>
      <c r="G716" s="4" t="s">
        <v>290</v>
      </c>
      <c r="H716" s="5" t="e">
        <f>#REF!</f>
        <v>#REF!</v>
      </c>
      <c r="I716" s="6" t="e">
        <f t="shared" si="239"/>
        <v>#REF!</v>
      </c>
      <c r="J716" s="6" t="s">
        <v>84</v>
      </c>
      <c r="K716" s="6" t="s">
        <v>92</v>
      </c>
      <c r="L716" s="7" t="e">
        <f t="shared" si="240"/>
        <v>#REF!</v>
      </c>
      <c r="M716" s="7" t="s">
        <v>100</v>
      </c>
      <c r="O716" s="7" t="str">
        <f>IF(OR($C716="",$C716="FID YOK"),"",IF(ISNUMBER(MATCH($C716,FA_ANA,0)),"",IF(COUNTIF($C$1:$C715,$C716)&gt;0,"",MAX($O$1:$O715)+1)))</f>
        <v/>
      </c>
      <c r="T716" s="7">
        <f>IF(ISNA(MATCH($C716,FA,0)),0,IF($J716="GIRIS",N(INDEX(F_INKOR,MATCH($C716,FA,0))),0))</f>
        <v>0</v>
      </c>
      <c r="Y716" s="7" t="e">
        <f>N(#REF!)*IF($E716="упак",MAX(1,IF(ISNA(MATCH($C716,FA,0)),1,N(INDEX(F_PAKET,MATCH($C716,FA,0))))),1)</f>
        <v>#REF!</v>
      </c>
      <c r="Z716" s="7" t="e">
        <f t="shared" si="241"/>
        <v>#REF!</v>
      </c>
      <c r="AA716" s="7">
        <f>IF(OR(ISNA(MATCH($C716,FA,0)),$J716="YEDEK",$J716="SARF"),0,N(#REF!)*N(INDEX(F_TEL,MATCH($C716,FA,0))))</f>
        <v>0</v>
      </c>
      <c r="AB716" s="7">
        <f>IF(OR(ISNA(MATCH($C716,FA,0)),$J716="YEDEK",$J716="SARF"),0,N(#REF!)*N(INDEX(F_TELM,MATCH($C716,FA,0))))</f>
        <v>0</v>
      </c>
      <c r="AC716" s="7" t="e">
        <f t="shared" si="242"/>
        <v>#REF!</v>
      </c>
      <c r="AD716" s="7">
        <f>IF(OR(ISNA(MATCH($C716,FA,0)),$J716&lt;&gt;"CIKIS"),0,N(INDEX(F_KK,MATCH($C716,FA,0))))</f>
        <v>0</v>
      </c>
      <c r="AE716" s="7">
        <f>IF($AD716=0,0,N(#REF!)*N(INDEX(F_KLN,MATCH($C716,FA,0))))</f>
        <v>0</v>
      </c>
      <c r="AF716" s="7">
        <f>IF($AD716=0,0,N(#REF!)*N(INDEX(F_KPE,MATCH($C716,FA,0))))</f>
        <v>0</v>
      </c>
      <c r="AG716" s="7" t="e">
        <f>IF(ISNA(MATCH($C716,FA,0)),0,N(#REF!)*N(INDEX(F_MODUL,MATCH($C716,FA,0))))</f>
        <v>#REF!</v>
      </c>
      <c r="AH716" s="7" t="e">
        <f>N(#REF!)*N($I716)</f>
        <v>#REF!</v>
      </c>
      <c r="AI716" s="7" t="e">
        <f t="shared" si="243"/>
        <v>#REF!</v>
      </c>
      <c r="AJ716" s="7">
        <f t="shared" si="244"/>
        <v>0</v>
      </c>
    </row>
    <row r="717" spans="1:36" x14ac:dyDescent="0.25">
      <c r="A717" s="4" t="str">
        <f t="shared" si="238"/>
        <v>ЩК тип 2 (1x1P + 7 АВДТ) (260922 akram aulet)</v>
      </c>
      <c r="B717" s="4" t="s">
        <v>101</v>
      </c>
      <c r="C717" s="4" t="s">
        <v>529</v>
      </c>
      <c r="D717" s="4" t="s">
        <v>530</v>
      </c>
      <c r="E717" s="4" t="s">
        <v>522</v>
      </c>
      <c r="F717" s="4" t="s">
        <v>486</v>
      </c>
      <c r="G717" s="4" t="s">
        <v>290</v>
      </c>
      <c r="H717" s="5" t="e">
        <f>#REF!</f>
        <v>#REF!</v>
      </c>
      <c r="I717" s="6" t="e">
        <f t="shared" si="239"/>
        <v>#REF!</v>
      </c>
      <c r="J717" s="6" t="s">
        <v>84</v>
      </c>
      <c r="K717" s="6" t="s">
        <v>101</v>
      </c>
      <c r="L717" s="7" t="e">
        <f t="shared" si="240"/>
        <v>#REF!</v>
      </c>
      <c r="M717" s="7" t="s">
        <v>103</v>
      </c>
      <c r="O717" s="7" t="str">
        <f>IF(OR($C717="",$C717="FID YOK"),"",IF(ISNUMBER(MATCH($C717,FA_ANA,0)),"",IF(COUNTIF($C$1:$C716,$C717)&gt;0,"",MAX($O$1:$O716)+1)))</f>
        <v/>
      </c>
      <c r="T717" s="7">
        <f>IF(ISNA(MATCH($C717,FA,0)),0,IF($J717="GIRIS",N(INDEX(F_INKOR,MATCH($C717,FA,0))),0))</f>
        <v>0</v>
      </c>
      <c r="Y717" s="7" t="e">
        <f>N(#REF!)*IF($E717="упак",MAX(1,IF(ISNA(MATCH($C717,FA,0)),1,N(INDEX(F_PAKET,MATCH($C717,FA,0))))),1)</f>
        <v>#REF!</v>
      </c>
      <c r="Z717" s="7" t="e">
        <f t="shared" si="241"/>
        <v>#REF!</v>
      </c>
      <c r="AA717" s="7">
        <f>IF(OR(ISNA(MATCH($C717,FA,0)),$J717="YEDEK",$J717="SARF"),0,N(#REF!)*N(INDEX(F_TEL,MATCH($C717,FA,0))))</f>
        <v>0</v>
      </c>
      <c r="AB717" s="7">
        <f>IF(OR(ISNA(MATCH($C717,FA,0)),$J717="YEDEK",$J717="SARF"),0,N(#REF!)*N(INDEX(F_TELM,MATCH($C717,FA,0))))</f>
        <v>0</v>
      </c>
      <c r="AC717" s="7" t="e">
        <f t="shared" si="242"/>
        <v>#REF!</v>
      </c>
      <c r="AD717" s="7">
        <f>IF(OR(ISNA(MATCH($C717,FA,0)),$J717&lt;&gt;"CIKIS"),0,N(INDEX(F_KK,MATCH($C717,FA,0))))</f>
        <v>0</v>
      </c>
      <c r="AE717" s="7">
        <f>IF($AD717=0,0,N(#REF!)*N(INDEX(F_KLN,MATCH($C717,FA,0))))</f>
        <v>0</v>
      </c>
      <c r="AF717" s="7">
        <f>IF($AD717=0,0,N(#REF!)*N(INDEX(F_KPE,MATCH($C717,FA,0))))</f>
        <v>0</v>
      </c>
      <c r="AG717" s="7" t="e">
        <f>IF(ISNA(MATCH($C717,FA,0)),0,N(#REF!)*N(INDEX(F_MODUL,MATCH($C717,FA,0))))</f>
        <v>#REF!</v>
      </c>
      <c r="AH717" s="7" t="e">
        <f>N(#REF!)*N($I717)</f>
        <v>#REF!</v>
      </c>
      <c r="AI717" s="7" t="e">
        <f t="shared" si="243"/>
        <v>#REF!</v>
      </c>
      <c r="AJ717" s="7">
        <f t="shared" si="244"/>
        <v>0</v>
      </c>
    </row>
    <row r="718" spans="1:36" x14ac:dyDescent="0.25">
      <c r="A718" s="4" t="str">
        <f t="shared" si="238"/>
        <v>ЩК тип 2 (1x1P + 7 АВДТ) (260922 akram aulet)</v>
      </c>
      <c r="B718" s="4" t="s">
        <v>101</v>
      </c>
      <c r="C718" s="4" t="s">
        <v>533</v>
      </c>
      <c r="D718" s="4" t="s">
        <v>534</v>
      </c>
      <c r="E718" s="4" t="s">
        <v>522</v>
      </c>
      <c r="F718" s="4" t="s">
        <v>486</v>
      </c>
      <c r="G718" s="4" t="s">
        <v>290</v>
      </c>
      <c r="H718" s="5" t="e">
        <f>#REF!</f>
        <v>#REF!</v>
      </c>
      <c r="I718" s="6" t="e">
        <f t="shared" si="239"/>
        <v>#REF!</v>
      </c>
      <c r="J718" s="6" t="s">
        <v>84</v>
      </c>
      <c r="K718" s="6" t="s">
        <v>101</v>
      </c>
      <c r="L718" s="7" t="e">
        <f t="shared" si="240"/>
        <v>#REF!</v>
      </c>
      <c r="M718" s="7" t="s">
        <v>104</v>
      </c>
      <c r="O718" s="7" t="str">
        <f>IF(OR($C718="",$C718="FID YOK"),"",IF(ISNUMBER(MATCH($C718,FA_ANA,0)),"",IF(COUNTIF($C$1:$C717,$C718)&gt;0,"",MAX($O$1:$O717)+1)))</f>
        <v/>
      </c>
      <c r="T718" s="7">
        <f>IF(ISNA(MATCH($C718,FA,0)),0,IF($J718="GIRIS",N(INDEX(F_INKOR,MATCH($C718,FA,0))),0))</f>
        <v>0</v>
      </c>
      <c r="Y718" s="7" t="e">
        <f>N(#REF!)*IF($E718="упак",MAX(1,IF(ISNA(MATCH($C718,FA,0)),1,N(INDEX(F_PAKET,MATCH($C718,FA,0))))),1)</f>
        <v>#REF!</v>
      </c>
      <c r="Z718" s="7" t="e">
        <f t="shared" si="241"/>
        <v>#REF!</v>
      </c>
      <c r="AA718" s="7">
        <f>IF(OR(ISNA(MATCH($C718,FA,0)),$J718="YEDEK",$J718="SARF"),0,N(#REF!)*N(INDEX(F_TEL,MATCH($C718,FA,0))))</f>
        <v>0</v>
      </c>
      <c r="AB718" s="7">
        <f>IF(OR(ISNA(MATCH($C718,FA,0)),$J718="YEDEK",$J718="SARF"),0,N(#REF!)*N(INDEX(F_TELM,MATCH($C718,FA,0))))</f>
        <v>0</v>
      </c>
      <c r="AC718" s="7" t="e">
        <f t="shared" si="242"/>
        <v>#REF!</v>
      </c>
      <c r="AD718" s="7">
        <f>IF(OR(ISNA(MATCH($C718,FA,0)),$J718&lt;&gt;"CIKIS"),0,N(INDEX(F_KK,MATCH($C718,FA,0))))</f>
        <v>0</v>
      </c>
      <c r="AE718" s="7">
        <f>IF($AD718=0,0,N(#REF!)*N(INDEX(F_KLN,MATCH($C718,FA,0))))</f>
        <v>0</v>
      </c>
      <c r="AF718" s="7">
        <f>IF($AD718=0,0,N(#REF!)*N(INDEX(F_KPE,MATCH($C718,FA,0))))</f>
        <v>0</v>
      </c>
      <c r="AG718" s="7" t="e">
        <f>IF(ISNA(MATCH($C718,FA,0)),0,N(#REF!)*N(INDEX(F_MODUL,MATCH($C718,FA,0))))</f>
        <v>#REF!</v>
      </c>
      <c r="AH718" s="7" t="e">
        <f>N(#REF!)*N($I718)</f>
        <v>#REF!</v>
      </c>
      <c r="AI718" s="7" t="e">
        <f t="shared" si="243"/>
        <v>#REF!</v>
      </c>
      <c r="AJ718" s="7">
        <f t="shared" si="244"/>
        <v>0</v>
      </c>
    </row>
    <row r="719" spans="1:36" x14ac:dyDescent="0.25">
      <c r="A719" s="4" t="str">
        <f t="shared" si="238"/>
        <v>ЩК тип 2 (1x1P + 7 АВДТ) (260922 akram aulet)</v>
      </c>
      <c r="B719" s="4" t="s">
        <v>101</v>
      </c>
      <c r="C719" s="4" t="s">
        <v>537</v>
      </c>
      <c r="D719" s="4" t="s">
        <v>538</v>
      </c>
      <c r="E719" s="4" t="s">
        <v>522</v>
      </c>
      <c r="F719" s="4" t="s">
        <v>486</v>
      </c>
      <c r="G719" s="4" t="s">
        <v>290</v>
      </c>
      <c r="H719" s="5" t="e">
        <f>#REF!</f>
        <v>#REF!</v>
      </c>
      <c r="I719" s="6" t="e">
        <f t="shared" si="239"/>
        <v>#REF!</v>
      </c>
      <c r="J719" s="6" t="s">
        <v>84</v>
      </c>
      <c r="K719" s="6" t="s">
        <v>101</v>
      </c>
      <c r="L719" s="7" t="e">
        <f t="shared" si="240"/>
        <v>#REF!</v>
      </c>
      <c r="M719" s="7" t="s">
        <v>205</v>
      </c>
      <c r="O719" s="7" t="str">
        <f>IF(OR($C719="",$C719="FID YOK"),"",IF(ISNUMBER(MATCH($C719,FA_ANA,0)),"",IF(COUNTIF($C$1:$C718,$C719)&gt;0,"",MAX($O$1:$O718)+1)))</f>
        <v/>
      </c>
      <c r="T719" s="7">
        <f>IF(ISNA(MATCH($C719,FA,0)),0,IF($J719="GIRIS",N(INDEX(F_INKOR,MATCH($C719,FA,0))),0))</f>
        <v>0</v>
      </c>
      <c r="Y719" s="7" t="e">
        <f>N(#REF!)*IF($E719="упак",MAX(1,IF(ISNA(MATCH($C719,FA,0)),1,N(INDEX(F_PAKET,MATCH($C719,FA,0))))),1)</f>
        <v>#REF!</v>
      </c>
      <c r="Z719" s="7" t="e">
        <f t="shared" si="241"/>
        <v>#REF!</v>
      </c>
      <c r="AA719" s="7">
        <f>IF(OR(ISNA(MATCH($C719,FA,0)),$J719="YEDEK",$J719="SARF"),0,N(#REF!)*N(INDEX(F_TEL,MATCH($C719,FA,0))))</f>
        <v>0</v>
      </c>
      <c r="AB719" s="7">
        <f>IF(OR(ISNA(MATCH($C719,FA,0)),$J719="YEDEK",$J719="SARF"),0,N(#REF!)*N(INDEX(F_TELM,MATCH($C719,FA,0))))</f>
        <v>0</v>
      </c>
      <c r="AC719" s="7" t="e">
        <f t="shared" si="242"/>
        <v>#REF!</v>
      </c>
      <c r="AD719" s="7">
        <f>IF(OR(ISNA(MATCH($C719,FA,0)),$J719&lt;&gt;"CIKIS"),0,N(INDEX(F_KK,MATCH($C719,FA,0))))</f>
        <v>0</v>
      </c>
      <c r="AE719" s="7">
        <f>IF($AD719=0,0,N(#REF!)*N(INDEX(F_KLN,MATCH($C719,FA,0))))</f>
        <v>0</v>
      </c>
      <c r="AF719" s="7">
        <f>IF($AD719=0,0,N(#REF!)*N(INDEX(F_KPE,MATCH($C719,FA,0))))</f>
        <v>0</v>
      </c>
      <c r="AG719" s="7" t="e">
        <f>IF(ISNA(MATCH($C719,FA,0)),0,N(#REF!)*N(INDEX(F_MODUL,MATCH($C719,FA,0))))</f>
        <v>#REF!</v>
      </c>
      <c r="AH719" s="7" t="e">
        <f>N(#REF!)*N($I719)</f>
        <v>#REF!</v>
      </c>
      <c r="AI719" s="7" t="e">
        <f t="shared" si="243"/>
        <v>#REF!</v>
      </c>
      <c r="AJ719" s="7">
        <f t="shared" si="244"/>
        <v>0</v>
      </c>
    </row>
    <row r="720" spans="1:36" x14ac:dyDescent="0.25">
      <c r="A720" s="4" t="str">
        <f t="shared" si="238"/>
        <v>ЩК тип 2 (1x1P + 7 АВДТ) (260922 akram aulet)</v>
      </c>
      <c r="B720" s="4" t="s">
        <v>105</v>
      </c>
      <c r="C720" s="4" t="s">
        <v>539</v>
      </c>
      <c r="D720" s="4" t="s">
        <v>540</v>
      </c>
      <c r="E720" s="4" t="s">
        <v>114</v>
      </c>
      <c r="F720" s="4" t="s">
        <v>486</v>
      </c>
      <c r="G720" s="4" t="s">
        <v>290</v>
      </c>
      <c r="H720" s="5" t="e">
        <f>#REF!</f>
        <v>#REF!</v>
      </c>
      <c r="I720" s="6" t="e">
        <f t="shared" si="239"/>
        <v>#REF!</v>
      </c>
      <c r="J720" s="6" t="s">
        <v>84</v>
      </c>
      <c r="K720" s="6" t="s">
        <v>105</v>
      </c>
      <c r="L720" s="7" t="e">
        <f t="shared" si="240"/>
        <v>#REF!</v>
      </c>
      <c r="M720" s="7" t="s">
        <v>110</v>
      </c>
      <c r="O720" s="7" t="str">
        <f>IF(OR($C720="",$C720="FID YOK"),"",IF(ISNUMBER(MATCH($C720,FA_ANA,0)),"",IF(COUNTIF($C$1:$C719,$C720)&gt;0,"",MAX($O$1:$O719)+1)))</f>
        <v/>
      </c>
      <c r="T720" s="7">
        <f>IF(ISNA(MATCH($C720,FA,0)),0,IF($J720="GIRIS",N(INDEX(F_INKOR,MATCH($C720,FA,0))),0))</f>
        <v>0</v>
      </c>
      <c r="Y720" s="7" t="e">
        <f>N(#REF!)*IF($E720="упак",MAX(1,IF(ISNA(MATCH($C720,FA,0)),1,N(INDEX(F_PAKET,MATCH($C720,FA,0))))),1)</f>
        <v>#REF!</v>
      </c>
      <c r="Z720" s="7" t="e">
        <f t="shared" si="241"/>
        <v>#REF!</v>
      </c>
      <c r="AA720" s="7">
        <f>IF(OR(ISNA(MATCH($C720,FA,0)),$J720="YEDEK",$J720="SARF"),0,N(#REF!)*N(INDEX(F_TEL,MATCH($C720,FA,0))))</f>
        <v>0</v>
      </c>
      <c r="AB720" s="7">
        <f>IF(OR(ISNA(MATCH($C720,FA,0)),$J720="YEDEK",$J720="SARF"),0,N(#REF!)*N(INDEX(F_TELM,MATCH($C720,FA,0))))</f>
        <v>0</v>
      </c>
      <c r="AC720" s="7" t="e">
        <f t="shared" si="242"/>
        <v>#REF!</v>
      </c>
      <c r="AD720" s="7">
        <f>IF(OR(ISNA(MATCH($C720,FA,0)),$J720&lt;&gt;"CIKIS"),0,N(INDEX(F_KK,MATCH($C720,FA,0))))</f>
        <v>0</v>
      </c>
      <c r="AE720" s="7">
        <f>IF($AD720=0,0,N(#REF!)*N(INDEX(F_KLN,MATCH($C720,FA,0))))</f>
        <v>0</v>
      </c>
      <c r="AF720" s="7">
        <f>IF($AD720=0,0,N(#REF!)*N(INDEX(F_KPE,MATCH($C720,FA,0))))</f>
        <v>0</v>
      </c>
      <c r="AG720" s="7" t="e">
        <f>IF(ISNA(MATCH($C720,FA,0)),0,N(#REF!)*N(INDEX(F_MODUL,MATCH($C720,FA,0))))</f>
        <v>#REF!</v>
      </c>
      <c r="AH720" s="7" t="e">
        <f>N(#REF!)*N($I720)</f>
        <v>#REF!</v>
      </c>
      <c r="AI720" s="7" t="e">
        <f t="shared" si="243"/>
        <v>#REF!</v>
      </c>
      <c r="AJ720" s="7">
        <f t="shared" si="244"/>
        <v>0</v>
      </c>
    </row>
    <row r="721" spans="1:36" x14ac:dyDescent="0.25">
      <c r="A721" s="4" t="str">
        <f t="shared" si="238"/>
        <v>ЩК тип 2 (1x1P + 7 АВДТ) (260922 akram aulet)</v>
      </c>
      <c r="B721" s="4" t="s">
        <v>111</v>
      </c>
      <c r="C721" s="4" t="s">
        <v>571</v>
      </c>
      <c r="D721" s="4" t="s">
        <v>572</v>
      </c>
      <c r="E721" s="4" t="s">
        <v>522</v>
      </c>
      <c r="F721" s="4" t="s">
        <v>486</v>
      </c>
      <c r="G721" s="4" t="s">
        <v>290</v>
      </c>
      <c r="H721" s="5" t="e">
        <f>#REF!</f>
        <v>#REF!</v>
      </c>
      <c r="I721" s="6" t="e">
        <f t="shared" si="239"/>
        <v>#REF!</v>
      </c>
      <c r="J721" s="6" t="s">
        <v>84</v>
      </c>
      <c r="K721" s="6" t="s">
        <v>111</v>
      </c>
      <c r="L721" s="7" t="e">
        <f t="shared" si="240"/>
        <v>#REF!</v>
      </c>
      <c r="M721" s="7" t="s">
        <v>112</v>
      </c>
      <c r="O721" s="7" t="str">
        <f>IF(OR($C721="",$C721="FID YOK"),"",IF(ISNUMBER(MATCH($C721,FA_ANA,0)),"",IF(COUNTIF($C$1:$C720,$C721)&gt;0,"",MAX($O$1:$O720)+1)))</f>
        <v/>
      </c>
      <c r="T721" s="7">
        <f>IF(ISNA(MATCH($C721,FA,0)),0,IF($J721="GIRIS",N(INDEX(F_INKOR,MATCH($C721,FA,0))),0))</f>
        <v>0</v>
      </c>
      <c r="Y721" s="7" t="e">
        <f>N(#REF!)*IF($E721="упак",MAX(1,IF(ISNA(MATCH($C721,FA,0)),1,N(INDEX(F_PAKET,MATCH($C721,FA,0))))),1)</f>
        <v>#REF!</v>
      </c>
      <c r="Z721" s="7" t="e">
        <f t="shared" si="241"/>
        <v>#REF!</v>
      </c>
      <c r="AA721" s="7">
        <f>IF(OR(ISNA(MATCH($C721,FA,0)),$J721="YEDEK",$J721="SARF"),0,N(#REF!)*N(INDEX(F_TEL,MATCH($C721,FA,0))))</f>
        <v>0</v>
      </c>
      <c r="AB721" s="7">
        <f>IF(OR(ISNA(MATCH($C721,FA,0)),$J721="YEDEK",$J721="SARF"),0,N(#REF!)*N(INDEX(F_TELM,MATCH($C721,FA,0))))</f>
        <v>0</v>
      </c>
      <c r="AC721" s="7" t="e">
        <f t="shared" si="242"/>
        <v>#REF!</v>
      </c>
      <c r="AD721" s="7">
        <f>IF(OR(ISNA(MATCH($C721,FA,0)),$J721&lt;&gt;"CIKIS"),0,N(INDEX(F_KK,MATCH($C721,FA,0))))</f>
        <v>0</v>
      </c>
      <c r="AE721" s="7">
        <f>IF($AD721=0,0,N(#REF!)*N(INDEX(F_KLN,MATCH($C721,FA,0))))</f>
        <v>0</v>
      </c>
      <c r="AF721" s="7">
        <f>IF($AD721=0,0,N(#REF!)*N(INDEX(F_KPE,MATCH($C721,FA,0))))</f>
        <v>0</v>
      </c>
      <c r="AG721" s="7" t="e">
        <f>IF(ISNA(MATCH($C721,FA,0)),0,N(#REF!)*N(INDEX(F_MODUL,MATCH($C721,FA,0))))</f>
        <v>#REF!</v>
      </c>
      <c r="AH721" s="7" t="e">
        <f>N(#REF!)*N($I721)</f>
        <v>#REF!</v>
      </c>
      <c r="AI721" s="7" t="e">
        <f t="shared" si="243"/>
        <v>#REF!</v>
      </c>
      <c r="AJ721" s="7">
        <f t="shared" si="244"/>
        <v>0</v>
      </c>
    </row>
    <row r="722" spans="1:36" x14ac:dyDescent="0.25">
      <c r="A722" s="4" t="str">
        <f t="shared" si="238"/>
        <v>ЩК тип 2 (1x1P + 7 АВДТ) (260922 akram aulet)</v>
      </c>
      <c r="B722" s="4" t="s">
        <v>113</v>
      </c>
      <c r="C722" s="4" t="s">
        <v>113</v>
      </c>
      <c r="D722" s="4" t="s">
        <v>113</v>
      </c>
      <c r="E722" s="4" t="s">
        <v>114</v>
      </c>
      <c r="F722" s="4" t="s">
        <v>113</v>
      </c>
      <c r="G722" s="4" t="s">
        <v>290</v>
      </c>
      <c r="H722" s="5" t="e">
        <f>#REF!</f>
        <v>#REF!</v>
      </c>
      <c r="I722" s="6" t="e">
        <f t="shared" si="239"/>
        <v>#REF!</v>
      </c>
    </row>
    <row r="723" spans="1:36" x14ac:dyDescent="0.25">
      <c r="A723" s="4" t="str">
        <f t="shared" si="238"/>
        <v>ЩК тип 2 (1x1P + 7 АВДТ) (260922 akram aulet)</v>
      </c>
      <c r="B723" s="4" t="s">
        <v>115</v>
      </c>
      <c r="C723" s="4" t="s">
        <v>115</v>
      </c>
      <c r="D723" s="4" t="s">
        <v>115</v>
      </c>
      <c r="E723" s="4" t="s">
        <v>116</v>
      </c>
      <c r="F723" s="4" t="s">
        <v>115</v>
      </c>
      <c r="G723" s="4" t="s">
        <v>290</v>
      </c>
      <c r="H723" s="5" t="e">
        <f>#REF!</f>
        <v>#REF!</v>
      </c>
      <c r="I723" s="6" t="e">
        <f t="shared" si="239"/>
        <v>#REF!</v>
      </c>
    </row>
    <row r="724" spans="1:36" x14ac:dyDescent="0.25">
      <c r="A724" s="1" t="str">
        <f>D724</f>
        <v>ЩК тип 3 (1x1P + 6 АВДТ) (260922 akram aulet)</v>
      </c>
      <c r="B724" s="2"/>
      <c r="C724" s="2"/>
      <c r="D724" s="1" t="s">
        <v>362</v>
      </c>
      <c r="E724" s="1" t="s">
        <v>36</v>
      </c>
      <c r="F724" s="1" t="s">
        <v>37</v>
      </c>
      <c r="G724" s="1" t="s">
        <v>258</v>
      </c>
      <c r="I724" s="3" t="e">
        <f>#REF!</f>
        <v>#REF!</v>
      </c>
    </row>
    <row r="725" spans="1:36" x14ac:dyDescent="0.25">
      <c r="A725" s="4" t="str">
        <f t="shared" ref="A725:A743" si="245">A724</f>
        <v>ЩК тип 3 (1x1P + 6 АВДТ) (260922 akram aulet)</v>
      </c>
      <c r="B725" s="4" t="s">
        <v>39</v>
      </c>
      <c r="C725" s="4" t="s">
        <v>510</v>
      </c>
      <c r="D725" s="4" t="s">
        <v>511</v>
      </c>
      <c r="E725" s="4" t="s">
        <v>114</v>
      </c>
      <c r="F725" s="4" t="s">
        <v>591</v>
      </c>
      <c r="G725" s="4" t="s">
        <v>258</v>
      </c>
      <c r="H725" s="5" t="e">
        <f>#REF!</f>
        <v>#REF!</v>
      </c>
      <c r="I725" s="6" t="e">
        <f t="shared" ref="I725:I743" si="246">I724</f>
        <v>#REF!</v>
      </c>
      <c r="J725" s="6" t="s">
        <v>40</v>
      </c>
      <c r="K725" s="6" t="s">
        <v>195</v>
      </c>
      <c r="L725" s="7" t="e">
        <f t="shared" ref="L725:L741" si="247">IF(ISNA(MATCH($C725,FA,0)),"ARTİKÜL YOK",INDEX(FIYAT_DURUM,MATCH($C725,FA,0)))</f>
        <v>#REF!</v>
      </c>
      <c r="M725" s="7" t="s">
        <v>352</v>
      </c>
      <c r="N725" s="7" t="s">
        <v>363</v>
      </c>
      <c r="O725" s="7">
        <f>IF(OR($C725="",$C725="FID YOK"),"",IF(ISNUMBER(MATCH($C725,FA_ANA,0)),"",IF(COUNTIF($C$1:$C724,$C725)&gt;0,"",MAX($O$1:$O724)+1)))</f>
        <v>114</v>
      </c>
      <c r="Q725" s="7"/>
      <c r="R725" s="7"/>
      <c r="S725" s="7"/>
      <c r="T725" s="7">
        <f>IF(ISNA(MATCH($C725,FA,0)),0,IF($J725="GIRIS",N(INDEX(F_INKOR,MATCH($C725,FA,0))),0))</f>
        <v>0</v>
      </c>
      <c r="U725" s="7"/>
      <c r="V725" s="7"/>
      <c r="W725" s="7"/>
      <c r="X725" s="7"/>
      <c r="Y725" s="7" t="e">
        <f>N(#REF!)*IF($E725="упак",MAX(1,IF(ISNA(MATCH($C725,FA,0)),1,N(INDEX(F_PAKET,MATCH($C725,FA,0))))),1)</f>
        <v>#REF!</v>
      </c>
      <c r="Z725" s="7" t="e">
        <f t="shared" ref="Z725:Z741" si="248">IF(ISNA(MATCH($C725,FA,0)),0,N(INDEX(F_BK,MATCH($C725,FA,0))))</f>
        <v>#REF!</v>
      </c>
      <c r="AA725" s="7" t="e">
        <f>IF(OR(ISNA(MATCH($C725,FA,0)),$J725="YEDEK",$J725="SARF"),0,N(#REF!)*N(INDEX(F_TEL,MATCH($C725,FA,0))))</f>
        <v>#REF!</v>
      </c>
      <c r="AB725" s="7" t="e">
        <f>IF(OR(ISNA(MATCH($C725,FA,0)),$J725="YEDEK",$J725="SARF"),0,N(#REF!)*N(INDEX(F_TELM,MATCH($C725,FA,0))))</f>
        <v>#REF!</v>
      </c>
      <c r="AC725" s="7" t="e">
        <f t="shared" ref="AC725:AC741" si="249">IF(ISNA(MATCH($C725,FA,0)),"",INDEX(F_UC,MATCH($C725,FA,0))&amp;"")</f>
        <v>#REF!</v>
      </c>
      <c r="AD725" s="7">
        <f>IF(OR(ISNA(MATCH($C725,FA,0)),$J725&lt;&gt;"CIKIS"),0,N(INDEX(F_KK,MATCH($C725,FA,0))))</f>
        <v>0</v>
      </c>
      <c r="AE725" s="7">
        <f>IF($AD725=0,0,N(#REF!)*N(INDEX(F_KLN,MATCH($C725,FA,0))))</f>
        <v>0</v>
      </c>
      <c r="AF725" s="7">
        <f>IF($AD725=0,0,N(#REF!)*N(INDEX(F_KPE,MATCH($C725,FA,0))))</f>
        <v>0</v>
      </c>
      <c r="AG725" s="7" t="e">
        <f>IF(ISNA(MATCH($C725,FA,0)),0,N(#REF!)*N(INDEX(F_MODUL,MATCH($C725,FA,0))))</f>
        <v>#REF!</v>
      </c>
      <c r="AH725" s="7" t="e">
        <f>N(#REF!)*N($I725)</f>
        <v>#REF!</v>
      </c>
      <c r="AI725" s="7" t="e">
        <f t="shared" ref="AI725:AI741" si="250">IF(ISNA(MATCH($K725,TIP_AD,0)),"YOK",IF(INDEX(NORM_DK,MATCH($K725,TIP_AD,0))="","BOŞ",INDEX(NORM_DK,MATCH($K725,TIP_AD,0))))</f>
        <v>#REF!</v>
      </c>
      <c r="AJ725" s="7">
        <f t="shared" ref="AJ725:AJ741" si="251">IF(ISNUMBER($AI725),$Y725*$AI725,0)</f>
        <v>0</v>
      </c>
    </row>
    <row r="726" spans="1:36" x14ac:dyDescent="0.25">
      <c r="A726" s="4" t="str">
        <f t="shared" si="245"/>
        <v>ЩК тип 3 (1x1P + 6 АВДТ) (260922 akram aulet)</v>
      </c>
      <c r="B726" s="4" t="s">
        <v>198</v>
      </c>
      <c r="C726" s="4" t="s">
        <v>375</v>
      </c>
      <c r="D726" s="4" t="s">
        <v>376</v>
      </c>
      <c r="E726" s="4" t="s">
        <v>114</v>
      </c>
      <c r="F726" s="4" t="s">
        <v>377</v>
      </c>
      <c r="G726" s="4" t="s">
        <v>258</v>
      </c>
      <c r="H726" s="5" t="e">
        <f>#REF!</f>
        <v>#REF!</v>
      </c>
      <c r="I726" s="6" t="e">
        <f t="shared" si="246"/>
        <v>#REF!</v>
      </c>
      <c r="J726" s="6" t="s">
        <v>48</v>
      </c>
      <c r="K726" s="6" t="s">
        <v>198</v>
      </c>
      <c r="L726" s="7" t="e">
        <f t="shared" si="247"/>
        <v>#REF!</v>
      </c>
      <c r="M726" s="7" t="s">
        <v>354</v>
      </c>
      <c r="N726" s="7" t="s">
        <v>344</v>
      </c>
      <c r="O726" s="7" t="str">
        <f>IF(OR($C726="",$C726="FID YOK"),"",IF(ISNUMBER(MATCH($C726,FA_ANA,0)),"",IF(COUNTIF($C$1:$C725,$C726)&gt;0,"",MAX($O$1:$O725)+1)))</f>
        <v/>
      </c>
      <c r="P726" s="8">
        <v>1</v>
      </c>
      <c r="Q726" s="7" t="e">
        <f>IF(OR($P726="",$P726="G",ISNA(MATCH($C726,FA,0))),"",IF(N(INDEX(F_G,MATCH($C726,FA,0)))&gt;0,INDEX(F_G,MATCH($C726,FA,0)),IF(N(INDEX(F_MODUL,MATCH($C726,FA,0)))&gt;0,INDEX(F_MODUL,MATCH($C726,FA,0))*MODUL_MM,"")))</f>
        <v>#REF!</v>
      </c>
      <c r="R726" s="7" t="e">
        <f>IF(OR($P726="",$P726="G",ISNA(MATCH($C726,FA,0))),"",IF(N(INDEX(F_Y,MATCH($C726,FA,0)))&gt;0,INDEX(F_Y,MATCH($C726,FA,0)),""))</f>
        <v>#REF!</v>
      </c>
      <c r="S726" s="7" t="e">
        <f>IF(OR($P726="",$P726="G",ISNA(MATCH($C726,FA,0))),"",IF(N(INDEX(F_D,MATCH($C726,FA,0)))&gt;0,INDEX(F_D,MATCH($C726,FA,0)),""))</f>
        <v>#REF!</v>
      </c>
      <c r="T726" s="7" t="e">
        <f>IF(ISNA(MATCH($C726,FA,0)),0,IF($J726="GIRIS",N(INDEX(F_INKOR,MATCH($C726,FA,0))),0))</f>
        <v>#REF!</v>
      </c>
      <c r="U726" s="7" t="e">
        <f>IF(ISNA(MATCH($B726,TIP_AD,0)),"",INDEX(TIP_KAT,MATCH($B726,TIP_AD,0))&amp;"")</f>
        <v>#REF!</v>
      </c>
      <c r="V726" s="7" t="e">
        <f>IF(NOT(ISNUMBER($P726)),"",IF($Z726=0,0,IF(ISNA(MATCH($Z726,BUK_KESIT,0)),"",IF(INDEX(BUK_ALAN,MATCH($Z726,BUK_KESIT,0))&amp;""="","",INDEX(BUK_ALAN,MATCH($Z726,BUK_KESIT,0))))))</f>
        <v>#REF!</v>
      </c>
      <c r="W726" s="7" t="e">
        <f>IF(OR(NOT(ISNUMBER($P726)),$Q726=""),"",N(#REF!)*($Q726+IF(ISNA(MATCH($B726,TIP_AD,0)),0,N(INDEX(TIP_BOSLUK,MATCH($B726,TIP_AD,0))))))</f>
        <v>#REF!</v>
      </c>
      <c r="X726" s="7" t="e">
        <f>IF(ISNUMBER($P726),($Q726="")+($R726="")+($V726="")+IF(AND($U726="KONTAKTOR",NOT(ISNA(MATCH($B726,TIP_AD,0)))),IF(INDEX(TIP_BOSLUK,MATCH($B726,TIP_AD,0))&amp;""="",1,0),0),IF($P726="K",IF($S726="",1,0),0))</f>
        <v>#REF!</v>
      </c>
      <c r="Y726" s="7" t="e">
        <f>N(#REF!)*IF($E726="упак",MAX(1,IF(ISNA(MATCH($C726,FA,0)),1,N(INDEX(F_PAKET,MATCH($C726,FA,0))))),1)</f>
        <v>#REF!</v>
      </c>
      <c r="Z726" s="7" t="e">
        <f t="shared" si="248"/>
        <v>#REF!</v>
      </c>
      <c r="AA726" s="7" t="e">
        <f>IF(OR(ISNA(MATCH($C726,FA,0)),$J726="YEDEK",$J726="SARF"),0,N(#REF!)*N(INDEX(F_TEL,MATCH($C726,FA,0))))</f>
        <v>#REF!</v>
      </c>
      <c r="AB726" s="7" t="e">
        <f>IF(OR(ISNA(MATCH($C726,FA,0)),$J726="YEDEK",$J726="SARF"),0,N(#REF!)*N(INDEX(F_TELM,MATCH($C726,FA,0))))</f>
        <v>#REF!</v>
      </c>
      <c r="AC726" s="7" t="e">
        <f t="shared" si="249"/>
        <v>#REF!</v>
      </c>
      <c r="AD726" s="7">
        <f>IF(OR(ISNA(MATCH($C726,FA,0)),$J726&lt;&gt;"CIKIS"),0,N(INDEX(F_KK,MATCH($C726,FA,0))))</f>
        <v>0</v>
      </c>
      <c r="AE726" s="7">
        <f>IF($AD726=0,0,N(#REF!)*N(INDEX(F_KLN,MATCH($C726,FA,0))))</f>
        <v>0</v>
      </c>
      <c r="AF726" s="7">
        <f>IF($AD726=0,0,N(#REF!)*N(INDEX(F_KPE,MATCH($C726,FA,0))))</f>
        <v>0</v>
      </c>
      <c r="AG726" s="7" t="e">
        <f>IF(ISNA(MATCH($C726,FA,0)),0,N(#REF!)*N(INDEX(F_MODUL,MATCH($C726,FA,0))))</f>
        <v>#REF!</v>
      </c>
      <c r="AH726" s="7" t="e">
        <f>N(#REF!)*N($I726)</f>
        <v>#REF!</v>
      </c>
      <c r="AI726" s="7" t="e">
        <f t="shared" si="250"/>
        <v>#REF!</v>
      </c>
      <c r="AJ726" s="7">
        <f t="shared" si="251"/>
        <v>0</v>
      </c>
    </row>
    <row r="727" spans="1:36" x14ac:dyDescent="0.25">
      <c r="A727" s="4" t="str">
        <f t="shared" si="245"/>
        <v>ЩК тип 3 (1x1P + 6 АВДТ) (260922 akram aulet)</v>
      </c>
      <c r="B727" s="4" t="s">
        <v>65</v>
      </c>
      <c r="C727" s="4" t="s">
        <v>390</v>
      </c>
      <c r="D727" s="4" t="s">
        <v>391</v>
      </c>
      <c r="E727" s="4" t="s">
        <v>114</v>
      </c>
      <c r="F727" s="4" t="s">
        <v>377</v>
      </c>
      <c r="G727" s="4" t="s">
        <v>258</v>
      </c>
      <c r="H727" s="5" t="e">
        <f>#REF!</f>
        <v>#REF!</v>
      </c>
      <c r="I727" s="6" t="e">
        <f t="shared" si="246"/>
        <v>#REF!</v>
      </c>
      <c r="J727" s="6" t="s">
        <v>52</v>
      </c>
      <c r="K727" s="6" t="s">
        <v>65</v>
      </c>
      <c r="L727" s="7" t="e">
        <f t="shared" si="247"/>
        <v>#REF!</v>
      </c>
      <c r="M727" s="7" t="s">
        <v>355</v>
      </c>
      <c r="N727" s="7" t="s">
        <v>356</v>
      </c>
      <c r="O727" s="7" t="str">
        <f>IF(OR($C727="",$C727="FID YOK"),"",IF(ISNUMBER(MATCH($C727,FA_ANA,0)),"",IF(COUNTIF($C$1:$C726,$C727)&gt;0,"",MAX($O$1:$O726)+1)))</f>
        <v/>
      </c>
      <c r="P727" s="8">
        <v>1</v>
      </c>
      <c r="Q727" s="7" t="e">
        <f>IF(OR($P727="",$P727="G",ISNA(MATCH($C727,FA,0))),"",IF(N(INDEX(F_G,MATCH($C727,FA,0)))&gt;0,INDEX(F_G,MATCH($C727,FA,0)),IF(N(INDEX(F_MODUL,MATCH($C727,FA,0)))&gt;0,INDEX(F_MODUL,MATCH($C727,FA,0))*MODUL_MM,"")))</f>
        <v>#REF!</v>
      </c>
      <c r="R727" s="7" t="e">
        <f>IF(OR($P727="",$P727="G",ISNA(MATCH($C727,FA,0))),"",IF(N(INDEX(F_Y,MATCH($C727,FA,0)))&gt;0,INDEX(F_Y,MATCH($C727,FA,0)),""))</f>
        <v>#REF!</v>
      </c>
      <c r="S727" s="7" t="e">
        <f>IF(OR($P727="",$P727="G",ISNA(MATCH($C727,FA,0))),"",IF(N(INDEX(F_D,MATCH($C727,FA,0)))&gt;0,INDEX(F_D,MATCH($C727,FA,0)),""))</f>
        <v>#REF!</v>
      </c>
      <c r="T727" s="7">
        <f>IF(ISNA(MATCH($C727,FA,0)),0,IF($J727="GIRIS",N(INDEX(F_INKOR,MATCH($C727,FA,0))),0))</f>
        <v>0</v>
      </c>
      <c r="U727" s="7" t="e">
        <f>IF(ISNA(MATCH($B727,TIP_AD,0)),"",INDEX(TIP_KAT,MATCH($B727,TIP_AD,0))&amp;"")</f>
        <v>#REF!</v>
      </c>
      <c r="V727" s="7" t="e">
        <f>IF(NOT(ISNUMBER($P727)),"",IF($Z727=0,0,IF(ISNA(MATCH($Z727,BUK_KESIT,0)),"",IF(INDEX(BUK_ALAN,MATCH($Z727,BUK_KESIT,0))&amp;""="","",INDEX(BUK_ALAN,MATCH($Z727,BUK_KESIT,0))))))</f>
        <v>#REF!</v>
      </c>
      <c r="W727" s="7" t="e">
        <f>IF(OR(NOT(ISNUMBER($P727)),$Q727=""),"",N(#REF!)*($Q727+IF(ISNA(MATCH($B727,TIP_AD,0)),0,N(INDEX(TIP_BOSLUK,MATCH($B727,TIP_AD,0))))))</f>
        <v>#REF!</v>
      </c>
      <c r="X727" s="7" t="e">
        <f>IF(ISNUMBER($P727),($Q727="")+($R727="")+($V727="")+IF(AND($U727="KONTAKTOR",NOT(ISNA(MATCH($B727,TIP_AD,0)))),IF(INDEX(TIP_BOSLUK,MATCH($B727,TIP_AD,0))&amp;""="",1,0),0),IF($P727="K",IF($S727="",1,0),0))</f>
        <v>#REF!</v>
      </c>
      <c r="Y727" s="7" t="e">
        <f>N(#REF!)*IF($E727="упак",MAX(1,IF(ISNA(MATCH($C727,FA,0)),1,N(INDEX(F_PAKET,MATCH($C727,FA,0))))),1)</f>
        <v>#REF!</v>
      </c>
      <c r="Z727" s="7" t="e">
        <f t="shared" si="248"/>
        <v>#REF!</v>
      </c>
      <c r="AA727" s="7" t="e">
        <f>IF(OR(ISNA(MATCH($C727,FA,0)),$J727="YEDEK",$J727="SARF"),0,N(#REF!)*N(INDEX(F_TEL,MATCH($C727,FA,0))))</f>
        <v>#REF!</v>
      </c>
      <c r="AB727" s="7" t="e">
        <f>IF(OR(ISNA(MATCH($C727,FA,0)),$J727="YEDEK",$J727="SARF"),0,N(#REF!)*N(INDEX(F_TELM,MATCH($C727,FA,0))))</f>
        <v>#REF!</v>
      </c>
      <c r="AC727" s="7" t="e">
        <f t="shared" si="249"/>
        <v>#REF!</v>
      </c>
      <c r="AD727" s="7" t="e">
        <f>IF(OR(ISNA(MATCH($C727,FA,0)),$J727&lt;&gt;"CIKIS"),0,N(INDEX(F_KK,MATCH($C727,FA,0))))</f>
        <v>#REF!</v>
      </c>
      <c r="AE727" s="7" t="e">
        <f>IF($AD727=0,0,N(#REF!)*N(INDEX(F_KLN,MATCH($C727,FA,0))))</f>
        <v>#REF!</v>
      </c>
      <c r="AF727" s="7" t="e">
        <f>IF($AD727=0,0,N(#REF!)*N(INDEX(F_KPE,MATCH($C727,FA,0))))</f>
        <v>#REF!</v>
      </c>
      <c r="AG727" s="7" t="e">
        <f>IF(ISNA(MATCH($C727,FA,0)),0,N(#REF!)*N(INDEX(F_MODUL,MATCH($C727,FA,0))))</f>
        <v>#REF!</v>
      </c>
      <c r="AH727" s="7" t="e">
        <f>N(#REF!)*N($I727)</f>
        <v>#REF!</v>
      </c>
      <c r="AI727" s="7" t="e">
        <f t="shared" si="250"/>
        <v>#REF!</v>
      </c>
      <c r="AJ727" s="7">
        <f t="shared" si="251"/>
        <v>0</v>
      </c>
    </row>
    <row r="728" spans="1:36" x14ac:dyDescent="0.25">
      <c r="A728" s="4" t="str">
        <f t="shared" si="245"/>
        <v>ЩК тип 3 (1x1P + 6 АВДТ) (260922 akram aulet)</v>
      </c>
      <c r="B728" s="4" t="s">
        <v>213</v>
      </c>
      <c r="C728" s="4" t="s">
        <v>410</v>
      </c>
      <c r="D728" s="4" t="s">
        <v>411</v>
      </c>
      <c r="E728" s="4" t="s">
        <v>114</v>
      </c>
      <c r="F728" s="4" t="s">
        <v>377</v>
      </c>
      <c r="G728" s="4" t="s">
        <v>258</v>
      </c>
      <c r="H728" s="5" t="e">
        <f>#REF!</f>
        <v>#REF!</v>
      </c>
      <c r="I728" s="6" t="e">
        <f t="shared" si="246"/>
        <v>#REF!</v>
      </c>
      <c r="J728" s="6" t="s">
        <v>52</v>
      </c>
      <c r="K728" s="6" t="s">
        <v>213</v>
      </c>
      <c r="L728" s="7" t="e">
        <f t="shared" si="247"/>
        <v>#REF!</v>
      </c>
      <c r="M728" s="7" t="s">
        <v>214</v>
      </c>
      <c r="N728" s="7" t="s">
        <v>215</v>
      </c>
      <c r="O728" s="7" t="str">
        <f>IF(OR($C728="",$C728="FID YOK"),"",IF(ISNUMBER(MATCH($C728,FA_ANA,0)),"",IF(COUNTIF($C$1:$C727,$C728)&gt;0,"",MAX($O$1:$O727)+1)))</f>
        <v/>
      </c>
      <c r="P728" s="8">
        <v>1</v>
      </c>
      <c r="Q728" s="7" t="e">
        <f>IF(OR($P728="",$P728="G",ISNA(MATCH($C728,FA,0))),"",IF(N(INDEX(F_G,MATCH($C728,FA,0)))&gt;0,INDEX(F_G,MATCH($C728,FA,0)),IF(N(INDEX(F_MODUL,MATCH($C728,FA,0)))&gt;0,INDEX(F_MODUL,MATCH($C728,FA,0))*MODUL_MM,"")))</f>
        <v>#REF!</v>
      </c>
      <c r="R728" s="7" t="e">
        <f>IF(OR($P728="",$P728="G",ISNA(MATCH($C728,FA,0))),"",IF(N(INDEX(F_Y,MATCH($C728,FA,0)))&gt;0,INDEX(F_Y,MATCH($C728,FA,0)),""))</f>
        <v>#REF!</v>
      </c>
      <c r="S728" s="7" t="e">
        <f>IF(OR($P728="",$P728="G",ISNA(MATCH($C728,FA,0))),"",IF(N(INDEX(F_D,MATCH($C728,FA,0)))&gt;0,INDEX(F_D,MATCH($C728,FA,0)),""))</f>
        <v>#REF!</v>
      </c>
      <c r="T728" s="7">
        <f>IF(ISNA(MATCH($C728,FA,0)),0,IF($J728="GIRIS",N(INDEX(F_INKOR,MATCH($C728,FA,0))),0))</f>
        <v>0</v>
      </c>
      <c r="U728" s="7" t="e">
        <f>IF(ISNA(MATCH($B728,TIP_AD,0)),"",INDEX(TIP_KAT,MATCH($B728,TIP_AD,0))&amp;"")</f>
        <v>#REF!</v>
      </c>
      <c r="V728" s="7" t="e">
        <f>IF(NOT(ISNUMBER($P728)),"",IF($Z728=0,0,IF(ISNA(MATCH($Z728,BUK_KESIT,0)),"",IF(INDEX(BUK_ALAN,MATCH($Z728,BUK_KESIT,0))&amp;""="","",INDEX(BUK_ALAN,MATCH($Z728,BUK_KESIT,0))))))</f>
        <v>#REF!</v>
      </c>
      <c r="W728" s="7" t="e">
        <f>IF(OR(NOT(ISNUMBER($P728)),$Q728=""),"",N(#REF!)*($Q728+IF(ISNA(MATCH($B728,TIP_AD,0)),0,N(INDEX(TIP_BOSLUK,MATCH($B728,TIP_AD,0))))))</f>
        <v>#REF!</v>
      </c>
      <c r="X728" s="7" t="e">
        <f>IF(ISNUMBER($P728),($Q728="")+($R728="")+($V728="")+IF(AND($U728="KONTAKTOR",NOT(ISNA(MATCH($B728,TIP_AD,0)))),IF(INDEX(TIP_BOSLUK,MATCH($B728,TIP_AD,0))&amp;""="",1,0),0),IF($P728="K",IF($S728="",1,0),0))</f>
        <v>#REF!</v>
      </c>
      <c r="Y728" s="7" t="e">
        <f>N(#REF!)*IF($E728="упак",MAX(1,IF(ISNA(MATCH($C728,FA,0)),1,N(INDEX(F_PAKET,MATCH($C728,FA,0))))),1)</f>
        <v>#REF!</v>
      </c>
      <c r="Z728" s="7" t="e">
        <f t="shared" si="248"/>
        <v>#REF!</v>
      </c>
      <c r="AA728" s="7" t="e">
        <f>IF(OR(ISNA(MATCH($C728,FA,0)),$J728="YEDEK",$J728="SARF"),0,N(#REF!)*N(INDEX(F_TEL,MATCH($C728,FA,0))))</f>
        <v>#REF!</v>
      </c>
      <c r="AB728" s="7" t="e">
        <f>IF(OR(ISNA(MATCH($C728,FA,0)),$J728="YEDEK",$J728="SARF"),0,N(#REF!)*N(INDEX(F_TELM,MATCH($C728,FA,0))))</f>
        <v>#REF!</v>
      </c>
      <c r="AC728" s="7" t="e">
        <f t="shared" si="249"/>
        <v>#REF!</v>
      </c>
      <c r="AD728" s="7" t="e">
        <f>IF(OR(ISNA(MATCH($C728,FA,0)),$J728&lt;&gt;"CIKIS"),0,N(INDEX(F_KK,MATCH($C728,FA,0))))</f>
        <v>#REF!</v>
      </c>
      <c r="AE728" s="7" t="e">
        <f>IF($AD728=0,0,N(#REF!)*N(INDEX(F_KLN,MATCH($C728,FA,0))))</f>
        <v>#REF!</v>
      </c>
      <c r="AF728" s="7" t="e">
        <f>IF($AD728=0,0,N(#REF!)*N(INDEX(F_KPE,MATCH($C728,FA,0))))</f>
        <v>#REF!</v>
      </c>
      <c r="AG728" s="7" t="e">
        <f>IF(ISNA(MATCH($C728,FA,0)),0,N(#REF!)*N(INDEX(F_MODUL,MATCH($C728,FA,0))))</f>
        <v>#REF!</v>
      </c>
      <c r="AH728" s="7" t="e">
        <f>N(#REF!)*N($I728)</f>
        <v>#REF!</v>
      </c>
      <c r="AI728" s="7" t="e">
        <f t="shared" si="250"/>
        <v>#REF!</v>
      </c>
      <c r="AJ728" s="7">
        <f t="shared" si="251"/>
        <v>0</v>
      </c>
    </row>
    <row r="729" spans="1:36" x14ac:dyDescent="0.25">
      <c r="A729" s="4" t="str">
        <f t="shared" si="245"/>
        <v>ЩК тип 3 (1x1P + 6 АВДТ) (260922 akram aulet)</v>
      </c>
      <c r="B729" s="4" t="s">
        <v>213</v>
      </c>
      <c r="C729" s="4" t="s">
        <v>412</v>
      </c>
      <c r="D729" s="4" t="s">
        <v>413</v>
      </c>
      <c r="E729" s="4" t="s">
        <v>114</v>
      </c>
      <c r="F729" s="4" t="s">
        <v>377</v>
      </c>
      <c r="G729" s="4" t="s">
        <v>258</v>
      </c>
      <c r="H729" s="5" t="e">
        <f>#REF!</f>
        <v>#REF!</v>
      </c>
      <c r="I729" s="6" t="e">
        <f t="shared" si="246"/>
        <v>#REF!</v>
      </c>
      <c r="J729" s="6" t="s">
        <v>52</v>
      </c>
      <c r="K729" s="6" t="s">
        <v>213</v>
      </c>
      <c r="L729" s="7" t="e">
        <f t="shared" si="247"/>
        <v>#REF!</v>
      </c>
      <c r="M729" s="7" t="s">
        <v>357</v>
      </c>
      <c r="N729" s="7" t="s">
        <v>358</v>
      </c>
      <c r="O729" s="7" t="str">
        <f>IF(OR($C729="",$C729="FID YOK"),"",IF(ISNUMBER(MATCH($C729,FA_ANA,0)),"",IF(COUNTIF($C$1:$C728,$C729)&gt;0,"",MAX($O$1:$O728)+1)))</f>
        <v/>
      </c>
      <c r="P729" s="8">
        <v>1</v>
      </c>
      <c r="Q729" s="7" t="e">
        <f>IF(OR($P729="",$P729="G",ISNA(MATCH($C729,FA,0))),"",IF(N(INDEX(F_G,MATCH($C729,FA,0)))&gt;0,INDEX(F_G,MATCH($C729,FA,0)),IF(N(INDEX(F_MODUL,MATCH($C729,FA,0)))&gt;0,INDEX(F_MODUL,MATCH($C729,FA,0))*MODUL_MM,"")))</f>
        <v>#REF!</v>
      </c>
      <c r="R729" s="7" t="e">
        <f>IF(OR($P729="",$P729="G",ISNA(MATCH($C729,FA,0))),"",IF(N(INDEX(F_Y,MATCH($C729,FA,0)))&gt;0,INDEX(F_Y,MATCH($C729,FA,0)),""))</f>
        <v>#REF!</v>
      </c>
      <c r="S729" s="7" t="e">
        <f>IF(OR($P729="",$P729="G",ISNA(MATCH($C729,FA,0))),"",IF(N(INDEX(F_D,MATCH($C729,FA,0)))&gt;0,INDEX(F_D,MATCH($C729,FA,0)),""))</f>
        <v>#REF!</v>
      </c>
      <c r="T729" s="7">
        <f>IF(ISNA(MATCH($C729,FA,0)),0,IF($J729="GIRIS",N(INDEX(F_INKOR,MATCH($C729,FA,0))),0))</f>
        <v>0</v>
      </c>
      <c r="U729" s="7" t="e">
        <f>IF(ISNA(MATCH($B729,TIP_AD,0)),"",INDEX(TIP_KAT,MATCH($B729,TIP_AD,0))&amp;"")</f>
        <v>#REF!</v>
      </c>
      <c r="V729" s="7" t="e">
        <f>IF(NOT(ISNUMBER($P729)),"",IF($Z729=0,0,IF(ISNA(MATCH($Z729,BUK_KESIT,0)),"",IF(INDEX(BUK_ALAN,MATCH($Z729,BUK_KESIT,0))&amp;""="","",INDEX(BUK_ALAN,MATCH($Z729,BUK_KESIT,0))))))</f>
        <v>#REF!</v>
      </c>
      <c r="W729" s="7" t="e">
        <f>IF(OR(NOT(ISNUMBER($P729)),$Q729=""),"",N(#REF!)*($Q729+IF(ISNA(MATCH($B729,TIP_AD,0)),0,N(INDEX(TIP_BOSLUK,MATCH($B729,TIP_AD,0))))))</f>
        <v>#REF!</v>
      </c>
      <c r="X729" s="7" t="e">
        <f>IF(ISNUMBER($P729),($Q729="")+($R729="")+($V729="")+IF(AND($U729="KONTAKTOR",NOT(ISNA(MATCH($B729,TIP_AD,0)))),IF(INDEX(TIP_BOSLUK,MATCH($B729,TIP_AD,0))&amp;""="",1,0),0),IF($P729="K",IF($S729="",1,0),0))</f>
        <v>#REF!</v>
      </c>
      <c r="Y729" s="7" t="e">
        <f>N(#REF!)*IF($E729="упак",MAX(1,IF(ISNA(MATCH($C729,FA,0)),1,N(INDEX(F_PAKET,MATCH($C729,FA,0))))),1)</f>
        <v>#REF!</v>
      </c>
      <c r="Z729" s="7" t="e">
        <f t="shared" si="248"/>
        <v>#REF!</v>
      </c>
      <c r="AA729" s="7" t="e">
        <f>IF(OR(ISNA(MATCH($C729,FA,0)),$J729="YEDEK",$J729="SARF"),0,N(#REF!)*N(INDEX(F_TEL,MATCH($C729,FA,0))))</f>
        <v>#REF!</v>
      </c>
      <c r="AB729" s="7" t="e">
        <f>IF(OR(ISNA(MATCH($C729,FA,0)),$J729="YEDEK",$J729="SARF"),0,N(#REF!)*N(INDEX(F_TELM,MATCH($C729,FA,0))))</f>
        <v>#REF!</v>
      </c>
      <c r="AC729" s="7" t="e">
        <f t="shared" si="249"/>
        <v>#REF!</v>
      </c>
      <c r="AD729" s="7" t="e">
        <f>IF(OR(ISNA(MATCH($C729,FA,0)),$J729&lt;&gt;"CIKIS"),0,N(INDEX(F_KK,MATCH($C729,FA,0))))</f>
        <v>#REF!</v>
      </c>
      <c r="AE729" s="7" t="e">
        <f>IF($AD729=0,0,N(#REF!)*N(INDEX(F_KLN,MATCH($C729,FA,0))))</f>
        <v>#REF!</v>
      </c>
      <c r="AF729" s="7" t="e">
        <f>IF($AD729=0,0,N(#REF!)*N(INDEX(F_KPE,MATCH($C729,FA,0))))</f>
        <v>#REF!</v>
      </c>
      <c r="AG729" s="7" t="e">
        <f>IF(ISNA(MATCH($C729,FA,0)),0,N(#REF!)*N(INDEX(F_MODUL,MATCH($C729,FA,0))))</f>
        <v>#REF!</v>
      </c>
      <c r="AH729" s="7" t="e">
        <f>N(#REF!)*N($I729)</f>
        <v>#REF!</v>
      </c>
      <c r="AI729" s="7" t="e">
        <f t="shared" si="250"/>
        <v>#REF!</v>
      </c>
      <c r="AJ729" s="7">
        <f t="shared" si="251"/>
        <v>0</v>
      </c>
    </row>
    <row r="730" spans="1:36" x14ac:dyDescent="0.25">
      <c r="A730" s="4" t="str">
        <f t="shared" si="245"/>
        <v>ЩК тип 3 (1x1P + 6 АВДТ) (260922 akram aulet)</v>
      </c>
      <c r="B730" s="4" t="s">
        <v>213</v>
      </c>
      <c r="C730" s="4" t="s">
        <v>414</v>
      </c>
      <c r="D730" s="4" t="s">
        <v>415</v>
      </c>
      <c r="E730" s="4" t="s">
        <v>114</v>
      </c>
      <c r="F730" s="4" t="s">
        <v>377</v>
      </c>
      <c r="G730" s="4" t="s">
        <v>258</v>
      </c>
      <c r="H730" s="5" t="e">
        <f>#REF!</f>
        <v>#REF!</v>
      </c>
      <c r="I730" s="6" t="e">
        <f t="shared" si="246"/>
        <v>#REF!</v>
      </c>
      <c r="J730" s="6" t="s">
        <v>52</v>
      </c>
      <c r="K730" s="6" t="s">
        <v>213</v>
      </c>
      <c r="L730" s="7" t="e">
        <f t="shared" si="247"/>
        <v>#REF!</v>
      </c>
      <c r="M730" s="7" t="s">
        <v>359</v>
      </c>
      <c r="N730" s="7" t="s">
        <v>360</v>
      </c>
      <c r="O730" s="7" t="str">
        <f>IF(OR($C730="",$C730="FID YOK"),"",IF(ISNUMBER(MATCH($C730,FA_ANA,0)),"",IF(COUNTIF($C$1:$C729,$C730)&gt;0,"",MAX($O$1:$O729)+1)))</f>
        <v/>
      </c>
      <c r="P730" s="8">
        <v>1</v>
      </c>
      <c r="Q730" s="7" t="e">
        <f>IF(OR($P730="",$P730="G",ISNA(MATCH($C730,FA,0))),"",IF(N(INDEX(F_G,MATCH($C730,FA,0)))&gt;0,INDEX(F_G,MATCH($C730,FA,0)),IF(N(INDEX(F_MODUL,MATCH($C730,FA,0)))&gt;0,INDEX(F_MODUL,MATCH($C730,FA,0))*MODUL_MM,"")))</f>
        <v>#REF!</v>
      </c>
      <c r="R730" s="7" t="e">
        <f>IF(OR($P730="",$P730="G",ISNA(MATCH($C730,FA,0))),"",IF(N(INDEX(F_Y,MATCH($C730,FA,0)))&gt;0,INDEX(F_Y,MATCH($C730,FA,0)),""))</f>
        <v>#REF!</v>
      </c>
      <c r="S730" s="7" t="e">
        <f>IF(OR($P730="",$P730="G",ISNA(MATCH($C730,FA,0))),"",IF(N(INDEX(F_D,MATCH($C730,FA,0)))&gt;0,INDEX(F_D,MATCH($C730,FA,0)),""))</f>
        <v>#REF!</v>
      </c>
      <c r="T730" s="7">
        <f>IF(ISNA(MATCH($C730,FA,0)),0,IF($J730="GIRIS",N(INDEX(F_INKOR,MATCH($C730,FA,0))),0))</f>
        <v>0</v>
      </c>
      <c r="U730" s="7" t="e">
        <f>IF(ISNA(MATCH($B730,TIP_AD,0)),"",INDEX(TIP_KAT,MATCH($B730,TIP_AD,0))&amp;"")</f>
        <v>#REF!</v>
      </c>
      <c r="V730" s="7" t="e">
        <f>IF(NOT(ISNUMBER($P730)),"",IF($Z730=0,0,IF(ISNA(MATCH($Z730,BUK_KESIT,0)),"",IF(INDEX(BUK_ALAN,MATCH($Z730,BUK_KESIT,0))&amp;""="","",INDEX(BUK_ALAN,MATCH($Z730,BUK_KESIT,0))))))</f>
        <v>#REF!</v>
      </c>
      <c r="W730" s="7" t="e">
        <f>IF(OR(NOT(ISNUMBER($P730)),$Q730=""),"",N(#REF!)*($Q730+IF(ISNA(MATCH($B730,TIP_AD,0)),0,N(INDEX(TIP_BOSLUK,MATCH($B730,TIP_AD,0))))))</f>
        <v>#REF!</v>
      </c>
      <c r="X730" s="7" t="e">
        <f>IF(ISNUMBER($P730),($Q730="")+($R730="")+($V730="")+IF(AND($U730="KONTAKTOR",NOT(ISNA(MATCH($B730,TIP_AD,0)))),IF(INDEX(TIP_BOSLUK,MATCH($B730,TIP_AD,0))&amp;""="",1,0),0),IF($P730="K",IF($S730="",1,0),0))</f>
        <v>#REF!</v>
      </c>
      <c r="Y730" s="7" t="e">
        <f>N(#REF!)*IF($E730="упак",MAX(1,IF(ISNA(MATCH($C730,FA,0)),1,N(INDEX(F_PAKET,MATCH($C730,FA,0))))),1)</f>
        <v>#REF!</v>
      </c>
      <c r="Z730" s="7" t="e">
        <f t="shared" si="248"/>
        <v>#REF!</v>
      </c>
      <c r="AA730" s="7" t="e">
        <f>IF(OR(ISNA(MATCH($C730,FA,0)),$J730="YEDEK",$J730="SARF"),0,N(#REF!)*N(INDEX(F_TEL,MATCH($C730,FA,0))))</f>
        <v>#REF!</v>
      </c>
      <c r="AB730" s="7" t="e">
        <f>IF(OR(ISNA(MATCH($C730,FA,0)),$J730="YEDEK",$J730="SARF"),0,N(#REF!)*N(INDEX(F_TELM,MATCH($C730,FA,0))))</f>
        <v>#REF!</v>
      </c>
      <c r="AC730" s="7" t="e">
        <f t="shared" si="249"/>
        <v>#REF!</v>
      </c>
      <c r="AD730" s="7" t="e">
        <f>IF(OR(ISNA(MATCH($C730,FA,0)),$J730&lt;&gt;"CIKIS"),0,N(INDEX(F_KK,MATCH($C730,FA,0))))</f>
        <v>#REF!</v>
      </c>
      <c r="AE730" s="7" t="e">
        <f>IF($AD730=0,0,N(#REF!)*N(INDEX(F_KLN,MATCH($C730,FA,0))))</f>
        <v>#REF!</v>
      </c>
      <c r="AF730" s="7" t="e">
        <f>IF($AD730=0,0,N(#REF!)*N(INDEX(F_KPE,MATCH($C730,FA,0))))</f>
        <v>#REF!</v>
      </c>
      <c r="AG730" s="7" t="e">
        <f>IF(ISNA(MATCH($C730,FA,0)),0,N(#REF!)*N(INDEX(F_MODUL,MATCH($C730,FA,0))))</f>
        <v>#REF!</v>
      </c>
      <c r="AH730" s="7" t="e">
        <f>N(#REF!)*N($I730)</f>
        <v>#REF!</v>
      </c>
      <c r="AI730" s="7" t="e">
        <f t="shared" si="250"/>
        <v>#REF!</v>
      </c>
      <c r="AJ730" s="7">
        <f t="shared" si="251"/>
        <v>0</v>
      </c>
    </row>
    <row r="731" spans="1:36" x14ac:dyDescent="0.25">
      <c r="A731" s="4" t="str">
        <f t="shared" si="245"/>
        <v>ЩК тип 3 (1x1P + 6 АВДТ) (260922 akram aulet)</v>
      </c>
      <c r="B731" s="4" t="s">
        <v>202</v>
      </c>
      <c r="C731" s="4" t="s">
        <v>577</v>
      </c>
      <c r="D731" s="4" t="s">
        <v>578</v>
      </c>
      <c r="E731" s="4" t="s">
        <v>114</v>
      </c>
      <c r="F731" s="4" t="s">
        <v>486</v>
      </c>
      <c r="G731" s="4" t="s">
        <v>258</v>
      </c>
      <c r="H731" s="5" t="e">
        <f>#REF!</f>
        <v>#REF!</v>
      </c>
      <c r="I731" s="6" t="e">
        <f t="shared" si="246"/>
        <v>#REF!</v>
      </c>
      <c r="J731" s="6" t="s">
        <v>84</v>
      </c>
      <c r="K731" s="6" t="s">
        <v>202</v>
      </c>
      <c r="L731" s="7" t="e">
        <f t="shared" si="247"/>
        <v>#REF!</v>
      </c>
      <c r="M731" s="7" t="s">
        <v>203</v>
      </c>
      <c r="O731" s="7" t="str">
        <f>IF(OR($C731="",$C731="FID YOK"),"",IF(ISNUMBER(MATCH($C731,FA_ANA,0)),"",IF(COUNTIF($C$1:$C730,$C731)&gt;0,"",MAX($O$1:$O730)+1)))</f>
        <v/>
      </c>
      <c r="T731" s="7">
        <f>IF(ISNA(MATCH($C731,FA,0)),0,IF($J731="GIRIS",N(INDEX(F_INKOR,MATCH($C731,FA,0))),0))</f>
        <v>0</v>
      </c>
      <c r="Y731" s="7" t="e">
        <f>N(#REF!)*IF($E731="упак",MAX(1,IF(ISNA(MATCH($C731,FA,0)),1,N(INDEX(F_PAKET,MATCH($C731,FA,0))))),1)</f>
        <v>#REF!</v>
      </c>
      <c r="Z731" s="7" t="e">
        <f t="shared" si="248"/>
        <v>#REF!</v>
      </c>
      <c r="AA731" s="7">
        <f>IF(OR(ISNA(MATCH($C731,FA,0)),$J731="YEDEK",$J731="SARF"),0,N(#REF!)*N(INDEX(F_TEL,MATCH($C731,FA,0))))</f>
        <v>0</v>
      </c>
      <c r="AB731" s="7">
        <f>IF(OR(ISNA(MATCH($C731,FA,0)),$J731="YEDEK",$J731="SARF"),0,N(#REF!)*N(INDEX(F_TELM,MATCH($C731,FA,0))))</f>
        <v>0</v>
      </c>
      <c r="AC731" s="7" t="e">
        <f t="shared" si="249"/>
        <v>#REF!</v>
      </c>
      <c r="AD731" s="7">
        <f>IF(OR(ISNA(MATCH($C731,FA,0)),$J731&lt;&gt;"CIKIS"),0,N(INDEX(F_KK,MATCH($C731,FA,0))))</f>
        <v>0</v>
      </c>
      <c r="AE731" s="7">
        <f>IF($AD731=0,0,N(#REF!)*N(INDEX(F_KLN,MATCH($C731,FA,0))))</f>
        <v>0</v>
      </c>
      <c r="AF731" s="7">
        <f>IF($AD731=0,0,N(#REF!)*N(INDEX(F_KPE,MATCH($C731,FA,0))))</f>
        <v>0</v>
      </c>
      <c r="AG731" s="7" t="e">
        <f>IF(ISNA(MATCH($C731,FA,0)),0,N(#REF!)*N(INDEX(F_MODUL,MATCH($C731,FA,0))))</f>
        <v>#REF!</v>
      </c>
      <c r="AH731" s="7" t="e">
        <f>N(#REF!)*N($I731)</f>
        <v>#REF!</v>
      </c>
      <c r="AI731" s="7" t="e">
        <f t="shared" si="250"/>
        <v>#REF!</v>
      </c>
      <c r="AJ731" s="7">
        <f t="shared" si="251"/>
        <v>0</v>
      </c>
    </row>
    <row r="732" spans="1:36" x14ac:dyDescent="0.25">
      <c r="A732" s="4" t="str">
        <f t="shared" si="245"/>
        <v>ЩК тип 3 (1x1P + 6 АВДТ) (260922 akram aulet)</v>
      </c>
      <c r="B732" s="4" t="s">
        <v>202</v>
      </c>
      <c r="C732" s="4" t="s">
        <v>579</v>
      </c>
      <c r="D732" s="4" t="s">
        <v>580</v>
      </c>
      <c r="E732" s="4" t="s">
        <v>114</v>
      </c>
      <c r="F732" s="4" t="s">
        <v>486</v>
      </c>
      <c r="G732" s="4" t="s">
        <v>258</v>
      </c>
      <c r="H732" s="5" t="e">
        <f>#REF!</f>
        <v>#REF!</v>
      </c>
      <c r="I732" s="6" t="e">
        <f t="shared" si="246"/>
        <v>#REF!</v>
      </c>
      <c r="J732" s="6" t="s">
        <v>84</v>
      </c>
      <c r="K732" s="6" t="s">
        <v>202</v>
      </c>
      <c r="L732" s="7" t="e">
        <f t="shared" si="247"/>
        <v>#REF!</v>
      </c>
      <c r="M732" s="7" t="s">
        <v>204</v>
      </c>
      <c r="O732" s="7" t="str">
        <f>IF(OR($C732="",$C732="FID YOK"),"",IF(ISNUMBER(MATCH($C732,FA_ANA,0)),"",IF(COUNTIF($C$1:$C731,$C732)&gt;0,"",MAX($O$1:$O731)+1)))</f>
        <v/>
      </c>
      <c r="T732" s="7">
        <f>IF(ISNA(MATCH($C732,FA,0)),0,IF($J732="GIRIS",N(INDEX(F_INKOR,MATCH($C732,FA,0))),0))</f>
        <v>0</v>
      </c>
      <c r="Y732" s="7" t="e">
        <f>N(#REF!)*IF($E732="упак",MAX(1,IF(ISNA(MATCH($C732,FA,0)),1,N(INDEX(F_PAKET,MATCH($C732,FA,0))))),1)</f>
        <v>#REF!</v>
      </c>
      <c r="Z732" s="7" t="e">
        <f t="shared" si="248"/>
        <v>#REF!</v>
      </c>
      <c r="AA732" s="7">
        <f>IF(OR(ISNA(MATCH($C732,FA,0)),$J732="YEDEK",$J732="SARF"),0,N(#REF!)*N(INDEX(F_TEL,MATCH($C732,FA,0))))</f>
        <v>0</v>
      </c>
      <c r="AB732" s="7">
        <f>IF(OR(ISNA(MATCH($C732,FA,0)),$J732="YEDEK",$J732="SARF"),0,N(#REF!)*N(INDEX(F_TELM,MATCH($C732,FA,0))))</f>
        <v>0</v>
      </c>
      <c r="AC732" s="7" t="e">
        <f t="shared" si="249"/>
        <v>#REF!</v>
      </c>
      <c r="AD732" s="7">
        <f>IF(OR(ISNA(MATCH($C732,FA,0)),$J732&lt;&gt;"CIKIS"),0,N(INDEX(F_KK,MATCH($C732,FA,0))))</f>
        <v>0</v>
      </c>
      <c r="AE732" s="7">
        <f>IF($AD732=0,0,N(#REF!)*N(INDEX(F_KLN,MATCH($C732,FA,0))))</f>
        <v>0</v>
      </c>
      <c r="AF732" s="7">
        <f>IF($AD732=0,0,N(#REF!)*N(INDEX(F_KPE,MATCH($C732,FA,0))))</f>
        <v>0</v>
      </c>
      <c r="AG732" s="7" t="e">
        <f>IF(ISNA(MATCH($C732,FA,0)),0,N(#REF!)*N(INDEX(F_MODUL,MATCH($C732,FA,0))))</f>
        <v>#REF!</v>
      </c>
      <c r="AH732" s="7" t="e">
        <f>N(#REF!)*N($I732)</f>
        <v>#REF!</v>
      </c>
      <c r="AI732" s="7" t="e">
        <f t="shared" si="250"/>
        <v>#REF!</v>
      </c>
      <c r="AJ732" s="7">
        <f t="shared" si="251"/>
        <v>0</v>
      </c>
    </row>
    <row r="733" spans="1:36" x14ac:dyDescent="0.25">
      <c r="A733" s="4" t="str">
        <f t="shared" si="245"/>
        <v>ЩК тип 3 (1x1P + 6 АВДТ) (260922 akram aulet)</v>
      </c>
      <c r="B733" s="4" t="s">
        <v>92</v>
      </c>
      <c r="C733" s="4" t="s">
        <v>527</v>
      </c>
      <c r="D733" s="4" t="s">
        <v>528</v>
      </c>
      <c r="E733" s="4" t="s">
        <v>520</v>
      </c>
      <c r="F733" s="4" t="s">
        <v>521</v>
      </c>
      <c r="G733" s="4" t="s">
        <v>258</v>
      </c>
      <c r="H733" s="5" t="e">
        <f>#REF!</f>
        <v>#REF!</v>
      </c>
      <c r="I733" s="6" t="e">
        <f t="shared" si="246"/>
        <v>#REF!</v>
      </c>
      <c r="J733" s="6" t="s">
        <v>84</v>
      </c>
      <c r="K733" s="6" t="s">
        <v>92</v>
      </c>
      <c r="L733" s="7" t="e">
        <f t="shared" si="247"/>
        <v>#REF!</v>
      </c>
      <c r="M733" s="7" t="s">
        <v>94</v>
      </c>
      <c r="O733" s="7" t="str">
        <f>IF(OR($C733="",$C733="FID YOK"),"",IF(ISNUMBER(MATCH($C733,FA_ANA,0)),"",IF(COUNTIF($C$1:$C732,$C733)&gt;0,"",MAX($O$1:$O732)+1)))</f>
        <v/>
      </c>
      <c r="T733" s="7">
        <f>IF(ISNA(MATCH($C733,FA,0)),0,IF($J733="GIRIS",N(INDEX(F_INKOR,MATCH($C733,FA,0))),0))</f>
        <v>0</v>
      </c>
      <c r="Y733" s="7" t="e">
        <f>N(#REF!)*IF($E733="упак",MAX(1,IF(ISNA(MATCH($C733,FA,0)),1,N(INDEX(F_PAKET,MATCH($C733,FA,0))))),1)</f>
        <v>#REF!</v>
      </c>
      <c r="Z733" s="7" t="e">
        <f t="shared" si="248"/>
        <v>#REF!</v>
      </c>
      <c r="AA733" s="7">
        <f>IF(OR(ISNA(MATCH($C733,FA,0)),$J733="YEDEK",$J733="SARF"),0,N(#REF!)*N(INDEX(F_TEL,MATCH($C733,FA,0))))</f>
        <v>0</v>
      </c>
      <c r="AB733" s="7">
        <f>IF(OR(ISNA(MATCH($C733,FA,0)),$J733="YEDEK",$J733="SARF"),0,N(#REF!)*N(INDEX(F_TELM,MATCH($C733,FA,0))))</f>
        <v>0</v>
      </c>
      <c r="AC733" s="7" t="e">
        <f t="shared" si="249"/>
        <v>#REF!</v>
      </c>
      <c r="AD733" s="7">
        <f>IF(OR(ISNA(MATCH($C733,FA,0)),$J733&lt;&gt;"CIKIS"),0,N(INDEX(F_KK,MATCH($C733,FA,0))))</f>
        <v>0</v>
      </c>
      <c r="AE733" s="7">
        <f>IF($AD733=0,0,N(#REF!)*N(INDEX(F_KLN,MATCH($C733,FA,0))))</f>
        <v>0</v>
      </c>
      <c r="AF733" s="7">
        <f>IF($AD733=0,0,N(#REF!)*N(INDEX(F_KPE,MATCH($C733,FA,0))))</f>
        <v>0</v>
      </c>
      <c r="AG733" s="7" t="e">
        <f>IF(ISNA(MATCH($C733,FA,0)),0,N(#REF!)*N(INDEX(F_MODUL,MATCH($C733,FA,0))))</f>
        <v>#REF!</v>
      </c>
      <c r="AH733" s="7" t="e">
        <f>N(#REF!)*N($I733)</f>
        <v>#REF!</v>
      </c>
      <c r="AI733" s="7" t="e">
        <f t="shared" si="250"/>
        <v>#REF!</v>
      </c>
      <c r="AJ733" s="7">
        <f t="shared" si="251"/>
        <v>0</v>
      </c>
    </row>
    <row r="734" spans="1:36" x14ac:dyDescent="0.25">
      <c r="A734" s="4" t="str">
        <f t="shared" si="245"/>
        <v>ЩК тип 3 (1x1P + 6 АВДТ) (260922 akram aulet)</v>
      </c>
      <c r="B734" s="4" t="s">
        <v>92</v>
      </c>
      <c r="C734" s="4" t="s">
        <v>531</v>
      </c>
      <c r="D734" s="4" t="s">
        <v>532</v>
      </c>
      <c r="E734" s="4" t="s">
        <v>520</v>
      </c>
      <c r="F734" s="4" t="s">
        <v>521</v>
      </c>
      <c r="G734" s="4" t="s">
        <v>258</v>
      </c>
      <c r="H734" s="5" t="e">
        <f>#REF!</f>
        <v>#REF!</v>
      </c>
      <c r="I734" s="6" t="e">
        <f t="shared" si="246"/>
        <v>#REF!</v>
      </c>
      <c r="J734" s="6" t="s">
        <v>84</v>
      </c>
      <c r="K734" s="6" t="s">
        <v>92</v>
      </c>
      <c r="L734" s="7" t="e">
        <f t="shared" si="247"/>
        <v>#REF!</v>
      </c>
      <c r="M734" s="7" t="s">
        <v>95</v>
      </c>
      <c r="O734" s="7" t="str">
        <f>IF(OR($C734="",$C734="FID YOK"),"",IF(ISNUMBER(MATCH($C734,FA_ANA,0)),"",IF(COUNTIF($C$1:$C733,$C734)&gt;0,"",MAX($O$1:$O733)+1)))</f>
        <v/>
      </c>
      <c r="T734" s="7">
        <f>IF(ISNA(MATCH($C734,FA,0)),0,IF($J734="GIRIS",N(INDEX(F_INKOR,MATCH($C734,FA,0))),0))</f>
        <v>0</v>
      </c>
      <c r="Y734" s="7" t="e">
        <f>N(#REF!)*IF($E734="упак",MAX(1,IF(ISNA(MATCH($C734,FA,0)),1,N(INDEX(F_PAKET,MATCH($C734,FA,0))))),1)</f>
        <v>#REF!</v>
      </c>
      <c r="Z734" s="7" t="e">
        <f t="shared" si="248"/>
        <v>#REF!</v>
      </c>
      <c r="AA734" s="7">
        <f>IF(OR(ISNA(MATCH($C734,FA,0)),$J734="YEDEK",$J734="SARF"),0,N(#REF!)*N(INDEX(F_TEL,MATCH($C734,FA,0))))</f>
        <v>0</v>
      </c>
      <c r="AB734" s="7">
        <f>IF(OR(ISNA(MATCH($C734,FA,0)),$J734="YEDEK",$J734="SARF"),0,N(#REF!)*N(INDEX(F_TELM,MATCH($C734,FA,0))))</f>
        <v>0</v>
      </c>
      <c r="AC734" s="7" t="e">
        <f t="shared" si="249"/>
        <v>#REF!</v>
      </c>
      <c r="AD734" s="7">
        <f>IF(OR(ISNA(MATCH($C734,FA,0)),$J734&lt;&gt;"CIKIS"),0,N(INDEX(F_KK,MATCH($C734,FA,0))))</f>
        <v>0</v>
      </c>
      <c r="AE734" s="7">
        <f>IF($AD734=0,0,N(#REF!)*N(INDEX(F_KLN,MATCH($C734,FA,0))))</f>
        <v>0</v>
      </c>
      <c r="AF734" s="7">
        <f>IF($AD734=0,0,N(#REF!)*N(INDEX(F_KPE,MATCH($C734,FA,0))))</f>
        <v>0</v>
      </c>
      <c r="AG734" s="7" t="e">
        <f>IF(ISNA(MATCH($C734,FA,0)),0,N(#REF!)*N(INDEX(F_MODUL,MATCH($C734,FA,0))))</f>
        <v>#REF!</v>
      </c>
      <c r="AH734" s="7" t="e">
        <f>N(#REF!)*N($I734)</f>
        <v>#REF!</v>
      </c>
      <c r="AI734" s="7" t="e">
        <f t="shared" si="250"/>
        <v>#REF!</v>
      </c>
      <c r="AJ734" s="7">
        <f t="shared" si="251"/>
        <v>0</v>
      </c>
    </row>
    <row r="735" spans="1:36" x14ac:dyDescent="0.25">
      <c r="A735" s="4" t="str">
        <f t="shared" si="245"/>
        <v>ЩК тип 3 (1x1P + 6 АВДТ) (260922 akram aulet)</v>
      </c>
      <c r="B735" s="4" t="s">
        <v>92</v>
      </c>
      <c r="C735" s="4" t="s">
        <v>535</v>
      </c>
      <c r="D735" s="4" t="s">
        <v>536</v>
      </c>
      <c r="E735" s="4" t="s">
        <v>520</v>
      </c>
      <c r="F735" s="4" t="s">
        <v>521</v>
      </c>
      <c r="G735" s="4" t="s">
        <v>258</v>
      </c>
      <c r="H735" s="5" t="e">
        <f>#REF!</f>
        <v>#REF!</v>
      </c>
      <c r="I735" s="6" t="e">
        <f t="shared" si="246"/>
        <v>#REF!</v>
      </c>
      <c r="J735" s="6" t="s">
        <v>84</v>
      </c>
      <c r="K735" s="6" t="s">
        <v>92</v>
      </c>
      <c r="L735" s="7" t="e">
        <f t="shared" si="247"/>
        <v>#REF!</v>
      </c>
      <c r="M735" s="7" t="s">
        <v>130</v>
      </c>
      <c r="O735" s="7" t="str">
        <f>IF(OR($C735="",$C735="FID YOK"),"",IF(ISNUMBER(MATCH($C735,FA_ANA,0)),"",IF(COUNTIF($C$1:$C734,$C735)&gt;0,"",MAX($O$1:$O734)+1)))</f>
        <v/>
      </c>
      <c r="T735" s="7">
        <f>IF(ISNA(MATCH($C735,FA,0)),0,IF($J735="GIRIS",N(INDEX(F_INKOR,MATCH($C735,FA,0))),0))</f>
        <v>0</v>
      </c>
      <c r="Y735" s="7" t="e">
        <f>N(#REF!)*IF($E735="упак",MAX(1,IF(ISNA(MATCH($C735,FA,0)),1,N(INDEX(F_PAKET,MATCH($C735,FA,0))))),1)</f>
        <v>#REF!</v>
      </c>
      <c r="Z735" s="7" t="e">
        <f t="shared" si="248"/>
        <v>#REF!</v>
      </c>
      <c r="AA735" s="7">
        <f>IF(OR(ISNA(MATCH($C735,FA,0)),$J735="YEDEK",$J735="SARF"),0,N(#REF!)*N(INDEX(F_TEL,MATCH($C735,FA,0))))</f>
        <v>0</v>
      </c>
      <c r="AB735" s="7">
        <f>IF(OR(ISNA(MATCH($C735,FA,0)),$J735="YEDEK",$J735="SARF"),0,N(#REF!)*N(INDEX(F_TELM,MATCH($C735,FA,0))))</f>
        <v>0</v>
      </c>
      <c r="AC735" s="7" t="e">
        <f t="shared" si="249"/>
        <v>#REF!</v>
      </c>
      <c r="AD735" s="7">
        <f>IF(OR(ISNA(MATCH($C735,FA,0)),$J735&lt;&gt;"CIKIS"),0,N(INDEX(F_KK,MATCH($C735,FA,0))))</f>
        <v>0</v>
      </c>
      <c r="AE735" s="7">
        <f>IF($AD735=0,0,N(#REF!)*N(INDEX(F_KLN,MATCH($C735,FA,0))))</f>
        <v>0</v>
      </c>
      <c r="AF735" s="7">
        <f>IF($AD735=0,0,N(#REF!)*N(INDEX(F_KPE,MATCH($C735,FA,0))))</f>
        <v>0</v>
      </c>
      <c r="AG735" s="7" t="e">
        <f>IF(ISNA(MATCH($C735,FA,0)),0,N(#REF!)*N(INDEX(F_MODUL,MATCH($C735,FA,0))))</f>
        <v>#REF!</v>
      </c>
      <c r="AH735" s="7" t="e">
        <f>N(#REF!)*N($I735)</f>
        <v>#REF!</v>
      </c>
      <c r="AI735" s="7" t="e">
        <f t="shared" si="250"/>
        <v>#REF!</v>
      </c>
      <c r="AJ735" s="7">
        <f t="shared" si="251"/>
        <v>0</v>
      </c>
    </row>
    <row r="736" spans="1:36" x14ac:dyDescent="0.25">
      <c r="A736" s="4" t="str">
        <f t="shared" si="245"/>
        <v>ЩК тип 3 (1x1P + 6 АВДТ) (260922 akram aulet)</v>
      </c>
      <c r="B736" s="4" t="s">
        <v>92</v>
      </c>
      <c r="C736" s="4" t="s">
        <v>535</v>
      </c>
      <c r="D736" s="4" t="s">
        <v>536</v>
      </c>
      <c r="E736" s="4" t="s">
        <v>520</v>
      </c>
      <c r="F736" s="4" t="s">
        <v>521</v>
      </c>
      <c r="G736" s="4" t="s">
        <v>258</v>
      </c>
      <c r="H736" s="5" t="e">
        <f>#REF!</f>
        <v>#REF!</v>
      </c>
      <c r="I736" s="6" t="e">
        <f t="shared" si="246"/>
        <v>#REF!</v>
      </c>
      <c r="J736" s="6" t="s">
        <v>84</v>
      </c>
      <c r="K736" s="6" t="s">
        <v>92</v>
      </c>
      <c r="L736" s="7" t="e">
        <f t="shared" si="247"/>
        <v>#REF!</v>
      </c>
      <c r="M736" s="7" t="s">
        <v>100</v>
      </c>
      <c r="O736" s="7" t="str">
        <f>IF(OR($C736="",$C736="FID YOK"),"",IF(ISNUMBER(MATCH($C736,FA_ANA,0)),"",IF(COUNTIF($C$1:$C735,$C736)&gt;0,"",MAX($O$1:$O735)+1)))</f>
        <v/>
      </c>
      <c r="T736" s="7">
        <f>IF(ISNA(MATCH($C736,FA,0)),0,IF($J736="GIRIS",N(INDEX(F_INKOR,MATCH($C736,FA,0))),0))</f>
        <v>0</v>
      </c>
      <c r="Y736" s="7" t="e">
        <f>N(#REF!)*IF($E736="упак",MAX(1,IF(ISNA(MATCH($C736,FA,0)),1,N(INDEX(F_PAKET,MATCH($C736,FA,0))))),1)</f>
        <v>#REF!</v>
      </c>
      <c r="Z736" s="7" t="e">
        <f t="shared" si="248"/>
        <v>#REF!</v>
      </c>
      <c r="AA736" s="7">
        <f>IF(OR(ISNA(MATCH($C736,FA,0)),$J736="YEDEK",$J736="SARF"),0,N(#REF!)*N(INDEX(F_TEL,MATCH($C736,FA,0))))</f>
        <v>0</v>
      </c>
      <c r="AB736" s="7">
        <f>IF(OR(ISNA(MATCH($C736,FA,0)),$J736="YEDEK",$J736="SARF"),0,N(#REF!)*N(INDEX(F_TELM,MATCH($C736,FA,0))))</f>
        <v>0</v>
      </c>
      <c r="AC736" s="7" t="e">
        <f t="shared" si="249"/>
        <v>#REF!</v>
      </c>
      <c r="AD736" s="7">
        <f>IF(OR(ISNA(MATCH($C736,FA,0)),$J736&lt;&gt;"CIKIS"),0,N(INDEX(F_KK,MATCH($C736,FA,0))))</f>
        <v>0</v>
      </c>
      <c r="AE736" s="7">
        <f>IF($AD736=0,0,N(#REF!)*N(INDEX(F_KLN,MATCH($C736,FA,0))))</f>
        <v>0</v>
      </c>
      <c r="AF736" s="7">
        <f>IF($AD736=0,0,N(#REF!)*N(INDEX(F_KPE,MATCH($C736,FA,0))))</f>
        <v>0</v>
      </c>
      <c r="AG736" s="7" t="e">
        <f>IF(ISNA(MATCH($C736,FA,0)),0,N(#REF!)*N(INDEX(F_MODUL,MATCH($C736,FA,0))))</f>
        <v>#REF!</v>
      </c>
      <c r="AH736" s="7" t="e">
        <f>N(#REF!)*N($I736)</f>
        <v>#REF!</v>
      </c>
      <c r="AI736" s="7" t="e">
        <f t="shared" si="250"/>
        <v>#REF!</v>
      </c>
      <c r="AJ736" s="7">
        <f t="shared" si="251"/>
        <v>0</v>
      </c>
    </row>
    <row r="737" spans="1:36" x14ac:dyDescent="0.25">
      <c r="A737" s="4" t="str">
        <f t="shared" si="245"/>
        <v>ЩК тип 3 (1x1P + 6 АВДТ) (260922 akram aulet)</v>
      </c>
      <c r="B737" s="4" t="s">
        <v>101</v>
      </c>
      <c r="C737" s="4" t="s">
        <v>529</v>
      </c>
      <c r="D737" s="4" t="s">
        <v>530</v>
      </c>
      <c r="E737" s="4" t="s">
        <v>522</v>
      </c>
      <c r="F737" s="4" t="s">
        <v>486</v>
      </c>
      <c r="G737" s="4" t="s">
        <v>258</v>
      </c>
      <c r="H737" s="5" t="e">
        <f>#REF!</f>
        <v>#REF!</v>
      </c>
      <c r="I737" s="6" t="e">
        <f t="shared" si="246"/>
        <v>#REF!</v>
      </c>
      <c r="J737" s="6" t="s">
        <v>84</v>
      </c>
      <c r="K737" s="6" t="s">
        <v>101</v>
      </c>
      <c r="L737" s="7" t="e">
        <f t="shared" si="247"/>
        <v>#REF!</v>
      </c>
      <c r="M737" s="7" t="s">
        <v>103</v>
      </c>
      <c r="O737" s="7" t="str">
        <f>IF(OR($C737="",$C737="FID YOK"),"",IF(ISNUMBER(MATCH($C737,FA_ANA,0)),"",IF(COUNTIF($C$1:$C736,$C737)&gt;0,"",MAX($O$1:$O736)+1)))</f>
        <v/>
      </c>
      <c r="T737" s="7">
        <f>IF(ISNA(MATCH($C737,FA,0)),0,IF($J737="GIRIS",N(INDEX(F_INKOR,MATCH($C737,FA,0))),0))</f>
        <v>0</v>
      </c>
      <c r="Y737" s="7" t="e">
        <f>N(#REF!)*IF($E737="упак",MAX(1,IF(ISNA(MATCH($C737,FA,0)),1,N(INDEX(F_PAKET,MATCH($C737,FA,0))))),1)</f>
        <v>#REF!</v>
      </c>
      <c r="Z737" s="7" t="e">
        <f t="shared" si="248"/>
        <v>#REF!</v>
      </c>
      <c r="AA737" s="7">
        <f>IF(OR(ISNA(MATCH($C737,FA,0)),$J737="YEDEK",$J737="SARF"),0,N(#REF!)*N(INDEX(F_TEL,MATCH($C737,FA,0))))</f>
        <v>0</v>
      </c>
      <c r="AB737" s="7">
        <f>IF(OR(ISNA(MATCH($C737,FA,0)),$J737="YEDEK",$J737="SARF"),0,N(#REF!)*N(INDEX(F_TELM,MATCH($C737,FA,0))))</f>
        <v>0</v>
      </c>
      <c r="AC737" s="7" t="e">
        <f t="shared" si="249"/>
        <v>#REF!</v>
      </c>
      <c r="AD737" s="7">
        <f>IF(OR(ISNA(MATCH($C737,FA,0)),$J737&lt;&gt;"CIKIS"),0,N(INDEX(F_KK,MATCH($C737,FA,0))))</f>
        <v>0</v>
      </c>
      <c r="AE737" s="7">
        <f>IF($AD737=0,0,N(#REF!)*N(INDEX(F_KLN,MATCH($C737,FA,0))))</f>
        <v>0</v>
      </c>
      <c r="AF737" s="7">
        <f>IF($AD737=0,0,N(#REF!)*N(INDEX(F_KPE,MATCH($C737,FA,0))))</f>
        <v>0</v>
      </c>
      <c r="AG737" s="7" t="e">
        <f>IF(ISNA(MATCH($C737,FA,0)),0,N(#REF!)*N(INDEX(F_MODUL,MATCH($C737,FA,0))))</f>
        <v>#REF!</v>
      </c>
      <c r="AH737" s="7" t="e">
        <f>N(#REF!)*N($I737)</f>
        <v>#REF!</v>
      </c>
      <c r="AI737" s="7" t="e">
        <f t="shared" si="250"/>
        <v>#REF!</v>
      </c>
      <c r="AJ737" s="7">
        <f t="shared" si="251"/>
        <v>0</v>
      </c>
    </row>
    <row r="738" spans="1:36" x14ac:dyDescent="0.25">
      <c r="A738" s="4" t="str">
        <f t="shared" si="245"/>
        <v>ЩК тип 3 (1x1P + 6 АВДТ) (260922 akram aulet)</v>
      </c>
      <c r="B738" s="4" t="s">
        <v>101</v>
      </c>
      <c r="C738" s="4" t="s">
        <v>533</v>
      </c>
      <c r="D738" s="4" t="s">
        <v>534</v>
      </c>
      <c r="E738" s="4" t="s">
        <v>522</v>
      </c>
      <c r="F738" s="4" t="s">
        <v>486</v>
      </c>
      <c r="G738" s="4" t="s">
        <v>258</v>
      </c>
      <c r="H738" s="5" t="e">
        <f>#REF!</f>
        <v>#REF!</v>
      </c>
      <c r="I738" s="6" t="e">
        <f t="shared" si="246"/>
        <v>#REF!</v>
      </c>
      <c r="J738" s="6" t="s">
        <v>84</v>
      </c>
      <c r="K738" s="6" t="s">
        <v>101</v>
      </c>
      <c r="L738" s="7" t="e">
        <f t="shared" si="247"/>
        <v>#REF!</v>
      </c>
      <c r="M738" s="7" t="s">
        <v>104</v>
      </c>
      <c r="O738" s="7" t="str">
        <f>IF(OR($C738="",$C738="FID YOK"),"",IF(ISNUMBER(MATCH($C738,FA_ANA,0)),"",IF(COUNTIF($C$1:$C737,$C738)&gt;0,"",MAX($O$1:$O737)+1)))</f>
        <v/>
      </c>
      <c r="T738" s="7">
        <f>IF(ISNA(MATCH($C738,FA,0)),0,IF($J738="GIRIS",N(INDEX(F_INKOR,MATCH($C738,FA,0))),0))</f>
        <v>0</v>
      </c>
      <c r="Y738" s="7" t="e">
        <f>N(#REF!)*IF($E738="упак",MAX(1,IF(ISNA(MATCH($C738,FA,0)),1,N(INDEX(F_PAKET,MATCH($C738,FA,0))))),1)</f>
        <v>#REF!</v>
      </c>
      <c r="Z738" s="7" t="e">
        <f t="shared" si="248"/>
        <v>#REF!</v>
      </c>
      <c r="AA738" s="7">
        <f>IF(OR(ISNA(MATCH($C738,FA,0)),$J738="YEDEK",$J738="SARF"),0,N(#REF!)*N(INDEX(F_TEL,MATCH($C738,FA,0))))</f>
        <v>0</v>
      </c>
      <c r="AB738" s="7">
        <f>IF(OR(ISNA(MATCH($C738,FA,0)),$J738="YEDEK",$J738="SARF"),0,N(#REF!)*N(INDEX(F_TELM,MATCH($C738,FA,0))))</f>
        <v>0</v>
      </c>
      <c r="AC738" s="7" t="e">
        <f t="shared" si="249"/>
        <v>#REF!</v>
      </c>
      <c r="AD738" s="7">
        <f>IF(OR(ISNA(MATCH($C738,FA,0)),$J738&lt;&gt;"CIKIS"),0,N(INDEX(F_KK,MATCH($C738,FA,0))))</f>
        <v>0</v>
      </c>
      <c r="AE738" s="7">
        <f>IF($AD738=0,0,N(#REF!)*N(INDEX(F_KLN,MATCH($C738,FA,0))))</f>
        <v>0</v>
      </c>
      <c r="AF738" s="7">
        <f>IF($AD738=0,0,N(#REF!)*N(INDEX(F_KPE,MATCH($C738,FA,0))))</f>
        <v>0</v>
      </c>
      <c r="AG738" s="7" t="e">
        <f>IF(ISNA(MATCH($C738,FA,0)),0,N(#REF!)*N(INDEX(F_MODUL,MATCH($C738,FA,0))))</f>
        <v>#REF!</v>
      </c>
      <c r="AH738" s="7" t="e">
        <f>N(#REF!)*N($I738)</f>
        <v>#REF!</v>
      </c>
      <c r="AI738" s="7" t="e">
        <f t="shared" si="250"/>
        <v>#REF!</v>
      </c>
      <c r="AJ738" s="7">
        <f t="shared" si="251"/>
        <v>0</v>
      </c>
    </row>
    <row r="739" spans="1:36" x14ac:dyDescent="0.25">
      <c r="A739" s="4" t="str">
        <f t="shared" si="245"/>
        <v>ЩК тип 3 (1x1P + 6 АВДТ) (260922 akram aulet)</v>
      </c>
      <c r="B739" s="4" t="s">
        <v>101</v>
      </c>
      <c r="C739" s="4" t="s">
        <v>537</v>
      </c>
      <c r="D739" s="4" t="s">
        <v>538</v>
      </c>
      <c r="E739" s="4" t="s">
        <v>522</v>
      </c>
      <c r="F739" s="4" t="s">
        <v>486</v>
      </c>
      <c r="G739" s="4" t="s">
        <v>258</v>
      </c>
      <c r="H739" s="5" t="e">
        <f>#REF!</f>
        <v>#REF!</v>
      </c>
      <c r="I739" s="6" t="e">
        <f t="shared" si="246"/>
        <v>#REF!</v>
      </c>
      <c r="J739" s="6" t="s">
        <v>84</v>
      </c>
      <c r="K739" s="6" t="s">
        <v>101</v>
      </c>
      <c r="L739" s="7" t="e">
        <f t="shared" si="247"/>
        <v>#REF!</v>
      </c>
      <c r="M739" s="7" t="s">
        <v>205</v>
      </c>
      <c r="O739" s="7" t="str">
        <f>IF(OR($C739="",$C739="FID YOK"),"",IF(ISNUMBER(MATCH($C739,FA_ANA,0)),"",IF(COUNTIF($C$1:$C738,$C739)&gt;0,"",MAX($O$1:$O738)+1)))</f>
        <v/>
      </c>
      <c r="T739" s="7">
        <f>IF(ISNA(MATCH($C739,FA,0)),0,IF($J739="GIRIS",N(INDEX(F_INKOR,MATCH($C739,FA,0))),0))</f>
        <v>0</v>
      </c>
      <c r="Y739" s="7" t="e">
        <f>N(#REF!)*IF($E739="упак",MAX(1,IF(ISNA(MATCH($C739,FA,0)),1,N(INDEX(F_PAKET,MATCH($C739,FA,0))))),1)</f>
        <v>#REF!</v>
      </c>
      <c r="Z739" s="7" t="e">
        <f t="shared" si="248"/>
        <v>#REF!</v>
      </c>
      <c r="AA739" s="7">
        <f>IF(OR(ISNA(MATCH($C739,FA,0)),$J739="YEDEK",$J739="SARF"),0,N(#REF!)*N(INDEX(F_TEL,MATCH($C739,FA,0))))</f>
        <v>0</v>
      </c>
      <c r="AB739" s="7">
        <f>IF(OR(ISNA(MATCH($C739,FA,0)),$J739="YEDEK",$J739="SARF"),0,N(#REF!)*N(INDEX(F_TELM,MATCH($C739,FA,0))))</f>
        <v>0</v>
      </c>
      <c r="AC739" s="7" t="e">
        <f t="shared" si="249"/>
        <v>#REF!</v>
      </c>
      <c r="AD739" s="7">
        <f>IF(OR(ISNA(MATCH($C739,FA,0)),$J739&lt;&gt;"CIKIS"),0,N(INDEX(F_KK,MATCH($C739,FA,0))))</f>
        <v>0</v>
      </c>
      <c r="AE739" s="7">
        <f>IF($AD739=0,0,N(#REF!)*N(INDEX(F_KLN,MATCH($C739,FA,0))))</f>
        <v>0</v>
      </c>
      <c r="AF739" s="7">
        <f>IF($AD739=0,0,N(#REF!)*N(INDEX(F_KPE,MATCH($C739,FA,0))))</f>
        <v>0</v>
      </c>
      <c r="AG739" s="7" t="e">
        <f>IF(ISNA(MATCH($C739,FA,0)),0,N(#REF!)*N(INDEX(F_MODUL,MATCH($C739,FA,0))))</f>
        <v>#REF!</v>
      </c>
      <c r="AH739" s="7" t="e">
        <f>N(#REF!)*N($I739)</f>
        <v>#REF!</v>
      </c>
      <c r="AI739" s="7" t="e">
        <f t="shared" si="250"/>
        <v>#REF!</v>
      </c>
      <c r="AJ739" s="7">
        <f t="shared" si="251"/>
        <v>0</v>
      </c>
    </row>
    <row r="740" spans="1:36" x14ac:dyDescent="0.25">
      <c r="A740" s="4" t="str">
        <f t="shared" si="245"/>
        <v>ЩК тип 3 (1x1P + 6 АВДТ) (260922 akram aulet)</v>
      </c>
      <c r="B740" s="4" t="s">
        <v>105</v>
      </c>
      <c r="C740" s="4" t="s">
        <v>539</v>
      </c>
      <c r="D740" s="4" t="s">
        <v>540</v>
      </c>
      <c r="E740" s="4" t="s">
        <v>114</v>
      </c>
      <c r="F740" s="4" t="s">
        <v>486</v>
      </c>
      <c r="G740" s="4" t="s">
        <v>258</v>
      </c>
      <c r="H740" s="5" t="e">
        <f>#REF!</f>
        <v>#REF!</v>
      </c>
      <c r="I740" s="6" t="e">
        <f t="shared" si="246"/>
        <v>#REF!</v>
      </c>
      <c r="J740" s="6" t="s">
        <v>84</v>
      </c>
      <c r="K740" s="6" t="s">
        <v>105</v>
      </c>
      <c r="L740" s="7" t="e">
        <f t="shared" si="247"/>
        <v>#REF!</v>
      </c>
      <c r="M740" s="7" t="s">
        <v>110</v>
      </c>
      <c r="O740" s="7" t="str">
        <f>IF(OR($C740="",$C740="FID YOK"),"",IF(ISNUMBER(MATCH($C740,FA_ANA,0)),"",IF(COUNTIF($C$1:$C739,$C740)&gt;0,"",MAX($O$1:$O739)+1)))</f>
        <v/>
      </c>
      <c r="T740" s="7">
        <f>IF(ISNA(MATCH($C740,FA,0)),0,IF($J740="GIRIS",N(INDEX(F_INKOR,MATCH($C740,FA,0))),0))</f>
        <v>0</v>
      </c>
      <c r="Y740" s="7" t="e">
        <f>N(#REF!)*IF($E740="упак",MAX(1,IF(ISNA(MATCH($C740,FA,0)),1,N(INDEX(F_PAKET,MATCH($C740,FA,0))))),1)</f>
        <v>#REF!</v>
      </c>
      <c r="Z740" s="7" t="e">
        <f t="shared" si="248"/>
        <v>#REF!</v>
      </c>
      <c r="AA740" s="7">
        <f>IF(OR(ISNA(MATCH($C740,FA,0)),$J740="YEDEK",$J740="SARF"),0,N(#REF!)*N(INDEX(F_TEL,MATCH($C740,FA,0))))</f>
        <v>0</v>
      </c>
      <c r="AB740" s="7">
        <f>IF(OR(ISNA(MATCH($C740,FA,0)),$J740="YEDEK",$J740="SARF"),0,N(#REF!)*N(INDEX(F_TELM,MATCH($C740,FA,0))))</f>
        <v>0</v>
      </c>
      <c r="AC740" s="7" t="e">
        <f t="shared" si="249"/>
        <v>#REF!</v>
      </c>
      <c r="AD740" s="7">
        <f>IF(OR(ISNA(MATCH($C740,FA,0)),$J740&lt;&gt;"CIKIS"),0,N(INDEX(F_KK,MATCH($C740,FA,0))))</f>
        <v>0</v>
      </c>
      <c r="AE740" s="7">
        <f>IF($AD740=0,0,N(#REF!)*N(INDEX(F_KLN,MATCH($C740,FA,0))))</f>
        <v>0</v>
      </c>
      <c r="AF740" s="7">
        <f>IF($AD740=0,0,N(#REF!)*N(INDEX(F_KPE,MATCH($C740,FA,0))))</f>
        <v>0</v>
      </c>
      <c r="AG740" s="7" t="e">
        <f>IF(ISNA(MATCH($C740,FA,0)),0,N(#REF!)*N(INDEX(F_MODUL,MATCH($C740,FA,0))))</f>
        <v>#REF!</v>
      </c>
      <c r="AH740" s="7" t="e">
        <f>N(#REF!)*N($I740)</f>
        <v>#REF!</v>
      </c>
      <c r="AI740" s="7" t="e">
        <f t="shared" si="250"/>
        <v>#REF!</v>
      </c>
      <c r="AJ740" s="7">
        <f t="shared" si="251"/>
        <v>0</v>
      </c>
    </row>
    <row r="741" spans="1:36" x14ac:dyDescent="0.25">
      <c r="A741" s="4" t="str">
        <f t="shared" si="245"/>
        <v>ЩК тип 3 (1x1P + 6 АВДТ) (260922 akram aulet)</v>
      </c>
      <c r="B741" s="4" t="s">
        <v>111</v>
      </c>
      <c r="C741" s="4" t="s">
        <v>571</v>
      </c>
      <c r="D741" s="4" t="s">
        <v>572</v>
      </c>
      <c r="E741" s="4" t="s">
        <v>522</v>
      </c>
      <c r="F741" s="4" t="s">
        <v>486</v>
      </c>
      <c r="G741" s="4" t="s">
        <v>258</v>
      </c>
      <c r="H741" s="5" t="e">
        <f>#REF!</f>
        <v>#REF!</v>
      </c>
      <c r="I741" s="6" t="e">
        <f t="shared" si="246"/>
        <v>#REF!</v>
      </c>
      <c r="J741" s="6" t="s">
        <v>84</v>
      </c>
      <c r="K741" s="6" t="s">
        <v>111</v>
      </c>
      <c r="L741" s="7" t="e">
        <f t="shared" si="247"/>
        <v>#REF!</v>
      </c>
      <c r="M741" s="7" t="s">
        <v>112</v>
      </c>
      <c r="O741" s="7" t="str">
        <f>IF(OR($C741="",$C741="FID YOK"),"",IF(ISNUMBER(MATCH($C741,FA_ANA,0)),"",IF(COUNTIF($C$1:$C740,$C741)&gt;0,"",MAX($O$1:$O740)+1)))</f>
        <v/>
      </c>
      <c r="T741" s="7">
        <f>IF(ISNA(MATCH($C741,FA,0)),0,IF($J741="GIRIS",N(INDEX(F_INKOR,MATCH($C741,FA,0))),0))</f>
        <v>0</v>
      </c>
      <c r="Y741" s="7" t="e">
        <f>N(#REF!)*IF($E741="упак",MAX(1,IF(ISNA(MATCH($C741,FA,0)),1,N(INDEX(F_PAKET,MATCH($C741,FA,0))))),1)</f>
        <v>#REF!</v>
      </c>
      <c r="Z741" s="7" t="e">
        <f t="shared" si="248"/>
        <v>#REF!</v>
      </c>
      <c r="AA741" s="7">
        <f>IF(OR(ISNA(MATCH($C741,FA,0)),$J741="YEDEK",$J741="SARF"),0,N(#REF!)*N(INDEX(F_TEL,MATCH($C741,FA,0))))</f>
        <v>0</v>
      </c>
      <c r="AB741" s="7">
        <f>IF(OR(ISNA(MATCH($C741,FA,0)),$J741="YEDEK",$J741="SARF"),0,N(#REF!)*N(INDEX(F_TELM,MATCH($C741,FA,0))))</f>
        <v>0</v>
      </c>
      <c r="AC741" s="7" t="e">
        <f t="shared" si="249"/>
        <v>#REF!</v>
      </c>
      <c r="AD741" s="7">
        <f>IF(OR(ISNA(MATCH($C741,FA,0)),$J741&lt;&gt;"CIKIS"),0,N(INDEX(F_KK,MATCH($C741,FA,0))))</f>
        <v>0</v>
      </c>
      <c r="AE741" s="7">
        <f>IF($AD741=0,0,N(#REF!)*N(INDEX(F_KLN,MATCH($C741,FA,0))))</f>
        <v>0</v>
      </c>
      <c r="AF741" s="7">
        <f>IF($AD741=0,0,N(#REF!)*N(INDEX(F_KPE,MATCH($C741,FA,0))))</f>
        <v>0</v>
      </c>
      <c r="AG741" s="7" t="e">
        <f>IF(ISNA(MATCH($C741,FA,0)),0,N(#REF!)*N(INDEX(F_MODUL,MATCH($C741,FA,0))))</f>
        <v>#REF!</v>
      </c>
      <c r="AH741" s="7" t="e">
        <f>N(#REF!)*N($I741)</f>
        <v>#REF!</v>
      </c>
      <c r="AI741" s="7" t="e">
        <f t="shared" si="250"/>
        <v>#REF!</v>
      </c>
      <c r="AJ741" s="7">
        <f t="shared" si="251"/>
        <v>0</v>
      </c>
    </row>
    <row r="742" spans="1:36" x14ac:dyDescent="0.25">
      <c r="A742" s="4" t="str">
        <f t="shared" si="245"/>
        <v>ЩК тип 3 (1x1P + 6 АВДТ) (260922 akram aulet)</v>
      </c>
      <c r="B742" s="4" t="s">
        <v>113</v>
      </c>
      <c r="C742" s="4" t="s">
        <v>113</v>
      </c>
      <c r="D742" s="4" t="s">
        <v>113</v>
      </c>
      <c r="E742" s="4" t="s">
        <v>114</v>
      </c>
      <c r="F742" s="4" t="s">
        <v>113</v>
      </c>
      <c r="G742" s="4" t="s">
        <v>258</v>
      </c>
      <c r="H742" s="5" t="e">
        <f>#REF!</f>
        <v>#REF!</v>
      </c>
      <c r="I742" s="6" t="e">
        <f t="shared" si="246"/>
        <v>#REF!</v>
      </c>
    </row>
    <row r="743" spans="1:36" x14ac:dyDescent="0.25">
      <c r="A743" s="4" t="str">
        <f t="shared" si="245"/>
        <v>ЩК тип 3 (1x1P + 6 АВДТ) (260922 akram aulet)</v>
      </c>
      <c r="B743" s="4" t="s">
        <v>115</v>
      </c>
      <c r="C743" s="4" t="s">
        <v>115</v>
      </c>
      <c r="D743" s="4" t="s">
        <v>115</v>
      </c>
      <c r="E743" s="4" t="s">
        <v>116</v>
      </c>
      <c r="F743" s="4" t="s">
        <v>115</v>
      </c>
      <c r="G743" s="4" t="s">
        <v>258</v>
      </c>
      <c r="H743" s="5" t="e">
        <f>#REF!</f>
        <v>#REF!</v>
      </c>
      <c r="I743" s="6" t="e">
        <f t="shared" si="246"/>
        <v>#REF!</v>
      </c>
    </row>
    <row r="744" spans="1:36" x14ac:dyDescent="0.25">
      <c r="A744" s="1" t="str">
        <f>D744</f>
        <v>ЩК тип 4 (ЩК-4.3: 1x1P + 5 АВДТ C16 + C32) (260922 akram aulet)</v>
      </c>
      <c r="B744" s="2"/>
      <c r="C744" s="2"/>
      <c r="D744" s="1" t="s">
        <v>364</v>
      </c>
      <c r="E744" s="1" t="s">
        <v>36</v>
      </c>
      <c r="F744" s="1" t="s">
        <v>37</v>
      </c>
      <c r="G744" s="1" t="s">
        <v>274</v>
      </c>
      <c r="I744" s="3" t="e">
        <f>#REF!</f>
        <v>#REF!</v>
      </c>
    </row>
    <row r="745" spans="1:36" x14ac:dyDescent="0.25">
      <c r="A745" s="4" t="str">
        <f t="shared" ref="A745:A760" si="252">A744</f>
        <v>ЩК тип 4 (ЩК-4.3: 1x1P + 5 АВДТ C16 + C32) (260922 akram aulet)</v>
      </c>
      <c r="B745" s="4" t="s">
        <v>39</v>
      </c>
      <c r="C745" s="4" t="s">
        <v>510</v>
      </c>
      <c r="D745" s="4" t="s">
        <v>511</v>
      </c>
      <c r="E745" s="4" t="s">
        <v>114</v>
      </c>
      <c r="F745" s="4" t="s">
        <v>591</v>
      </c>
      <c r="G745" s="4" t="s">
        <v>274</v>
      </c>
      <c r="H745" s="5" t="e">
        <f>#REF!</f>
        <v>#REF!</v>
      </c>
      <c r="I745" s="6" t="e">
        <f t="shared" ref="I745:I760" si="253">I744</f>
        <v>#REF!</v>
      </c>
      <c r="J745" s="6" t="s">
        <v>40</v>
      </c>
      <c r="K745" s="6" t="s">
        <v>195</v>
      </c>
      <c r="L745" s="7" t="e">
        <f t="shared" ref="L745:L758" si="254">IF(ISNA(MATCH($C745,FA,0)),"ARTİKÜL YOK",INDEX(FIYAT_DURUM,MATCH($C745,FA,0)))</f>
        <v>#REF!</v>
      </c>
      <c r="M745" s="7" t="s">
        <v>352</v>
      </c>
      <c r="N745" s="7" t="s">
        <v>363</v>
      </c>
      <c r="O745" s="7" t="str">
        <f>IF(OR($C745="",$C745="FID YOK"),"",IF(ISNUMBER(MATCH($C745,FA_ANA,0)),"",IF(COUNTIF($C$1:$C744,$C745)&gt;0,"",MAX($O$1:$O744)+1)))</f>
        <v/>
      </c>
      <c r="Q745" s="7"/>
      <c r="R745" s="7"/>
      <c r="S745" s="7"/>
      <c r="T745" s="7">
        <f>IF(ISNA(MATCH($C745,FA,0)),0,IF($J745="GIRIS",N(INDEX(F_INKOR,MATCH($C745,FA,0))),0))</f>
        <v>0</v>
      </c>
      <c r="U745" s="7"/>
      <c r="V745" s="7"/>
      <c r="W745" s="7"/>
      <c r="X745" s="7"/>
      <c r="Y745" s="7" t="e">
        <f>N(#REF!)*IF($E745="упак",MAX(1,IF(ISNA(MATCH($C745,FA,0)),1,N(INDEX(F_PAKET,MATCH($C745,FA,0))))),1)</f>
        <v>#REF!</v>
      </c>
      <c r="Z745" s="7" t="e">
        <f t="shared" ref="Z745:Z758" si="255">IF(ISNA(MATCH($C745,FA,0)),0,N(INDEX(F_BK,MATCH($C745,FA,0))))</f>
        <v>#REF!</v>
      </c>
      <c r="AA745" s="7" t="e">
        <f>IF(OR(ISNA(MATCH($C745,FA,0)),$J745="YEDEK",$J745="SARF"),0,N(#REF!)*N(INDEX(F_TEL,MATCH($C745,FA,0))))</f>
        <v>#REF!</v>
      </c>
      <c r="AB745" s="7" t="e">
        <f>IF(OR(ISNA(MATCH($C745,FA,0)),$J745="YEDEK",$J745="SARF"),0,N(#REF!)*N(INDEX(F_TELM,MATCH($C745,FA,0))))</f>
        <v>#REF!</v>
      </c>
      <c r="AC745" s="7" t="e">
        <f t="shared" ref="AC745:AC758" si="256">IF(ISNA(MATCH($C745,FA,0)),"",INDEX(F_UC,MATCH($C745,FA,0))&amp;"")</f>
        <v>#REF!</v>
      </c>
      <c r="AD745" s="7">
        <f>IF(OR(ISNA(MATCH($C745,FA,0)),$J745&lt;&gt;"CIKIS"),0,N(INDEX(F_KK,MATCH($C745,FA,0))))</f>
        <v>0</v>
      </c>
      <c r="AE745" s="7">
        <f>IF($AD745=0,0,N(#REF!)*N(INDEX(F_KLN,MATCH($C745,FA,0))))</f>
        <v>0</v>
      </c>
      <c r="AF745" s="7">
        <f>IF($AD745=0,0,N(#REF!)*N(INDEX(F_KPE,MATCH($C745,FA,0))))</f>
        <v>0</v>
      </c>
      <c r="AG745" s="7" t="e">
        <f>IF(ISNA(MATCH($C745,FA,0)),0,N(#REF!)*N(INDEX(F_MODUL,MATCH($C745,FA,0))))</f>
        <v>#REF!</v>
      </c>
      <c r="AH745" s="7" t="e">
        <f>N(#REF!)*N($I745)</f>
        <v>#REF!</v>
      </c>
      <c r="AI745" s="7" t="e">
        <f t="shared" ref="AI745:AI758" si="257">IF(ISNA(MATCH($K745,TIP_AD,0)),"YOK",IF(INDEX(NORM_DK,MATCH($K745,TIP_AD,0))="","BOŞ",INDEX(NORM_DK,MATCH($K745,TIP_AD,0))))</f>
        <v>#REF!</v>
      </c>
      <c r="AJ745" s="7">
        <f t="shared" ref="AJ745:AJ758" si="258">IF(ISNUMBER($AI745),$Y745*$AI745,0)</f>
        <v>0</v>
      </c>
    </row>
    <row r="746" spans="1:36" x14ac:dyDescent="0.25">
      <c r="A746" s="4" t="str">
        <f t="shared" si="252"/>
        <v>ЩК тип 4 (ЩК-4.3: 1x1P + 5 АВДТ C16 + C32) (260922 akram aulet)</v>
      </c>
      <c r="B746" s="4" t="s">
        <v>198</v>
      </c>
      <c r="C746" s="4" t="s">
        <v>375</v>
      </c>
      <c r="D746" s="4" t="s">
        <v>376</v>
      </c>
      <c r="E746" s="4" t="s">
        <v>114</v>
      </c>
      <c r="F746" s="4" t="s">
        <v>377</v>
      </c>
      <c r="G746" s="4" t="s">
        <v>274</v>
      </c>
      <c r="H746" s="5" t="e">
        <f>#REF!</f>
        <v>#REF!</v>
      </c>
      <c r="I746" s="6" t="e">
        <f t="shared" si="253"/>
        <v>#REF!</v>
      </c>
      <c r="J746" s="6" t="s">
        <v>48</v>
      </c>
      <c r="K746" s="6" t="s">
        <v>198</v>
      </c>
      <c r="L746" s="7" t="e">
        <f t="shared" si="254"/>
        <v>#REF!</v>
      </c>
      <c r="M746" s="7" t="s">
        <v>354</v>
      </c>
      <c r="N746" s="7" t="s">
        <v>344</v>
      </c>
      <c r="O746" s="7" t="str">
        <f>IF(OR($C746="",$C746="FID YOK"),"",IF(ISNUMBER(MATCH($C746,FA_ANA,0)),"",IF(COUNTIF($C$1:$C745,$C746)&gt;0,"",MAX($O$1:$O745)+1)))</f>
        <v/>
      </c>
      <c r="P746" s="8">
        <v>1</v>
      </c>
      <c r="Q746" s="7" t="e">
        <f>IF(OR($P746="",$P746="G",ISNA(MATCH($C746,FA,0))),"",IF(N(INDEX(F_G,MATCH($C746,FA,0)))&gt;0,INDEX(F_G,MATCH($C746,FA,0)),IF(N(INDEX(F_MODUL,MATCH($C746,FA,0)))&gt;0,INDEX(F_MODUL,MATCH($C746,FA,0))*MODUL_MM,"")))</f>
        <v>#REF!</v>
      </c>
      <c r="R746" s="7" t="e">
        <f>IF(OR($P746="",$P746="G",ISNA(MATCH($C746,FA,0))),"",IF(N(INDEX(F_Y,MATCH($C746,FA,0)))&gt;0,INDEX(F_Y,MATCH($C746,FA,0)),""))</f>
        <v>#REF!</v>
      </c>
      <c r="S746" s="7" t="e">
        <f>IF(OR($P746="",$P746="G",ISNA(MATCH($C746,FA,0))),"",IF(N(INDEX(F_D,MATCH($C746,FA,0)))&gt;0,INDEX(F_D,MATCH($C746,FA,0)),""))</f>
        <v>#REF!</v>
      </c>
      <c r="T746" s="7" t="e">
        <f>IF(ISNA(MATCH($C746,FA,0)),0,IF($J746="GIRIS",N(INDEX(F_INKOR,MATCH($C746,FA,0))),0))</f>
        <v>#REF!</v>
      </c>
      <c r="U746" s="7" t="e">
        <f>IF(ISNA(MATCH($B746,TIP_AD,0)),"",INDEX(TIP_KAT,MATCH($B746,TIP_AD,0))&amp;"")</f>
        <v>#REF!</v>
      </c>
      <c r="V746" s="7" t="e">
        <f>IF(NOT(ISNUMBER($P746)),"",IF($Z746=0,0,IF(ISNA(MATCH($Z746,BUK_KESIT,0)),"",IF(INDEX(BUK_ALAN,MATCH($Z746,BUK_KESIT,0))&amp;""="","",INDEX(BUK_ALAN,MATCH($Z746,BUK_KESIT,0))))))</f>
        <v>#REF!</v>
      </c>
      <c r="W746" s="7" t="e">
        <f>IF(OR(NOT(ISNUMBER($P746)),$Q746=""),"",N(#REF!)*($Q746+IF(ISNA(MATCH($B746,TIP_AD,0)),0,N(INDEX(TIP_BOSLUK,MATCH($B746,TIP_AD,0))))))</f>
        <v>#REF!</v>
      </c>
      <c r="X746" s="7" t="e">
        <f>IF(ISNUMBER($P746),($Q746="")+($R746="")+($V746="")+IF(AND($U746="KONTAKTOR",NOT(ISNA(MATCH($B746,TIP_AD,0)))),IF(INDEX(TIP_BOSLUK,MATCH($B746,TIP_AD,0))&amp;""="",1,0),0),IF($P746="K",IF($S746="",1,0),0))</f>
        <v>#REF!</v>
      </c>
      <c r="Y746" s="7" t="e">
        <f>N(#REF!)*IF($E746="упак",MAX(1,IF(ISNA(MATCH($C746,FA,0)),1,N(INDEX(F_PAKET,MATCH($C746,FA,0))))),1)</f>
        <v>#REF!</v>
      </c>
      <c r="Z746" s="7" t="e">
        <f t="shared" si="255"/>
        <v>#REF!</v>
      </c>
      <c r="AA746" s="7" t="e">
        <f>IF(OR(ISNA(MATCH($C746,FA,0)),$J746="YEDEK",$J746="SARF"),0,N(#REF!)*N(INDEX(F_TEL,MATCH($C746,FA,0))))</f>
        <v>#REF!</v>
      </c>
      <c r="AB746" s="7" t="e">
        <f>IF(OR(ISNA(MATCH($C746,FA,0)),$J746="YEDEK",$J746="SARF"),0,N(#REF!)*N(INDEX(F_TELM,MATCH($C746,FA,0))))</f>
        <v>#REF!</v>
      </c>
      <c r="AC746" s="7" t="e">
        <f t="shared" si="256"/>
        <v>#REF!</v>
      </c>
      <c r="AD746" s="7">
        <f>IF(OR(ISNA(MATCH($C746,FA,0)),$J746&lt;&gt;"CIKIS"),0,N(INDEX(F_KK,MATCH($C746,FA,0))))</f>
        <v>0</v>
      </c>
      <c r="AE746" s="7">
        <f>IF($AD746=0,0,N(#REF!)*N(INDEX(F_KLN,MATCH($C746,FA,0))))</f>
        <v>0</v>
      </c>
      <c r="AF746" s="7">
        <f>IF($AD746=0,0,N(#REF!)*N(INDEX(F_KPE,MATCH($C746,FA,0))))</f>
        <v>0</v>
      </c>
      <c r="AG746" s="7" t="e">
        <f>IF(ISNA(MATCH($C746,FA,0)),0,N(#REF!)*N(INDEX(F_MODUL,MATCH($C746,FA,0))))</f>
        <v>#REF!</v>
      </c>
      <c r="AH746" s="7" t="e">
        <f>N(#REF!)*N($I746)</f>
        <v>#REF!</v>
      </c>
      <c r="AI746" s="7" t="e">
        <f t="shared" si="257"/>
        <v>#REF!</v>
      </c>
      <c r="AJ746" s="7">
        <f t="shared" si="258"/>
        <v>0</v>
      </c>
    </row>
    <row r="747" spans="1:36" x14ac:dyDescent="0.25">
      <c r="A747" s="4" t="str">
        <f t="shared" si="252"/>
        <v>ЩК тип 4 (ЩК-4.3: 1x1P + 5 АВДТ C16 + C32) (260922 akram aulet)</v>
      </c>
      <c r="B747" s="4" t="s">
        <v>65</v>
      </c>
      <c r="C747" s="4" t="s">
        <v>390</v>
      </c>
      <c r="D747" s="4" t="s">
        <v>391</v>
      </c>
      <c r="E747" s="4" t="s">
        <v>114</v>
      </c>
      <c r="F747" s="4" t="s">
        <v>377</v>
      </c>
      <c r="G747" s="4" t="s">
        <v>274</v>
      </c>
      <c r="H747" s="5" t="e">
        <f>#REF!</f>
        <v>#REF!</v>
      </c>
      <c r="I747" s="6" t="e">
        <f t="shared" si="253"/>
        <v>#REF!</v>
      </c>
      <c r="J747" s="6" t="s">
        <v>52</v>
      </c>
      <c r="K747" s="6" t="s">
        <v>65</v>
      </c>
      <c r="L747" s="7" t="e">
        <f t="shared" si="254"/>
        <v>#REF!</v>
      </c>
      <c r="M747" s="7" t="s">
        <v>355</v>
      </c>
      <c r="N747" s="7" t="s">
        <v>356</v>
      </c>
      <c r="O747" s="7" t="str">
        <f>IF(OR($C747="",$C747="FID YOK"),"",IF(ISNUMBER(MATCH($C747,FA_ANA,0)),"",IF(COUNTIF($C$1:$C746,$C747)&gt;0,"",MAX($O$1:$O746)+1)))</f>
        <v/>
      </c>
      <c r="P747" s="8">
        <v>1</v>
      </c>
      <c r="Q747" s="7" t="e">
        <f>IF(OR($P747="",$P747="G",ISNA(MATCH($C747,FA,0))),"",IF(N(INDEX(F_G,MATCH($C747,FA,0)))&gt;0,INDEX(F_G,MATCH($C747,FA,0)),IF(N(INDEX(F_MODUL,MATCH($C747,FA,0)))&gt;0,INDEX(F_MODUL,MATCH($C747,FA,0))*MODUL_MM,"")))</f>
        <v>#REF!</v>
      </c>
      <c r="R747" s="7" t="e">
        <f>IF(OR($P747="",$P747="G",ISNA(MATCH($C747,FA,0))),"",IF(N(INDEX(F_Y,MATCH($C747,FA,0)))&gt;0,INDEX(F_Y,MATCH($C747,FA,0)),""))</f>
        <v>#REF!</v>
      </c>
      <c r="S747" s="7" t="e">
        <f>IF(OR($P747="",$P747="G",ISNA(MATCH($C747,FA,0))),"",IF(N(INDEX(F_D,MATCH($C747,FA,0)))&gt;0,INDEX(F_D,MATCH($C747,FA,0)),""))</f>
        <v>#REF!</v>
      </c>
      <c r="T747" s="7">
        <f>IF(ISNA(MATCH($C747,FA,0)),0,IF($J747="GIRIS",N(INDEX(F_INKOR,MATCH($C747,FA,0))),0))</f>
        <v>0</v>
      </c>
      <c r="U747" s="7" t="e">
        <f>IF(ISNA(MATCH($B747,TIP_AD,0)),"",INDEX(TIP_KAT,MATCH($B747,TIP_AD,0))&amp;"")</f>
        <v>#REF!</v>
      </c>
      <c r="V747" s="7" t="e">
        <f>IF(NOT(ISNUMBER($P747)),"",IF($Z747=0,0,IF(ISNA(MATCH($Z747,BUK_KESIT,0)),"",IF(INDEX(BUK_ALAN,MATCH($Z747,BUK_KESIT,0))&amp;""="","",INDEX(BUK_ALAN,MATCH($Z747,BUK_KESIT,0))))))</f>
        <v>#REF!</v>
      </c>
      <c r="W747" s="7" t="e">
        <f>IF(OR(NOT(ISNUMBER($P747)),$Q747=""),"",N(#REF!)*($Q747+IF(ISNA(MATCH($B747,TIP_AD,0)),0,N(INDEX(TIP_BOSLUK,MATCH($B747,TIP_AD,0))))))</f>
        <v>#REF!</v>
      </c>
      <c r="X747" s="7" t="e">
        <f>IF(ISNUMBER($P747),($Q747="")+($R747="")+($V747="")+IF(AND($U747="KONTAKTOR",NOT(ISNA(MATCH($B747,TIP_AD,0)))),IF(INDEX(TIP_BOSLUK,MATCH($B747,TIP_AD,0))&amp;""="",1,0),0),IF($P747="K",IF($S747="",1,0),0))</f>
        <v>#REF!</v>
      </c>
      <c r="Y747" s="7" t="e">
        <f>N(#REF!)*IF($E747="упак",MAX(1,IF(ISNA(MATCH($C747,FA,0)),1,N(INDEX(F_PAKET,MATCH($C747,FA,0))))),1)</f>
        <v>#REF!</v>
      </c>
      <c r="Z747" s="7" t="e">
        <f t="shared" si="255"/>
        <v>#REF!</v>
      </c>
      <c r="AA747" s="7" t="e">
        <f>IF(OR(ISNA(MATCH($C747,FA,0)),$J747="YEDEK",$J747="SARF"),0,N(#REF!)*N(INDEX(F_TEL,MATCH($C747,FA,0))))</f>
        <v>#REF!</v>
      </c>
      <c r="AB747" s="7" t="e">
        <f>IF(OR(ISNA(MATCH($C747,FA,0)),$J747="YEDEK",$J747="SARF"),0,N(#REF!)*N(INDEX(F_TELM,MATCH($C747,FA,0))))</f>
        <v>#REF!</v>
      </c>
      <c r="AC747" s="7" t="e">
        <f t="shared" si="256"/>
        <v>#REF!</v>
      </c>
      <c r="AD747" s="7" t="e">
        <f>IF(OR(ISNA(MATCH($C747,FA,0)),$J747&lt;&gt;"CIKIS"),0,N(INDEX(F_KK,MATCH($C747,FA,0))))</f>
        <v>#REF!</v>
      </c>
      <c r="AE747" s="7" t="e">
        <f>IF($AD747=0,0,N(#REF!)*N(INDEX(F_KLN,MATCH($C747,FA,0))))</f>
        <v>#REF!</v>
      </c>
      <c r="AF747" s="7" t="e">
        <f>IF($AD747=0,0,N(#REF!)*N(INDEX(F_KPE,MATCH($C747,FA,0))))</f>
        <v>#REF!</v>
      </c>
      <c r="AG747" s="7" t="e">
        <f>IF(ISNA(MATCH($C747,FA,0)),0,N(#REF!)*N(INDEX(F_MODUL,MATCH($C747,FA,0))))</f>
        <v>#REF!</v>
      </c>
      <c r="AH747" s="7" t="e">
        <f>N(#REF!)*N($I747)</f>
        <v>#REF!</v>
      </c>
      <c r="AI747" s="7" t="e">
        <f t="shared" si="257"/>
        <v>#REF!</v>
      </c>
      <c r="AJ747" s="7">
        <f t="shared" si="258"/>
        <v>0</v>
      </c>
    </row>
    <row r="748" spans="1:36" x14ac:dyDescent="0.25">
      <c r="A748" s="4" t="str">
        <f t="shared" si="252"/>
        <v>ЩК тип 4 (ЩК-4.3: 1x1P + 5 АВДТ C16 + C32) (260922 akram aulet)</v>
      </c>
      <c r="B748" s="4" t="s">
        <v>213</v>
      </c>
      <c r="C748" s="4" t="s">
        <v>410</v>
      </c>
      <c r="D748" s="4" t="s">
        <v>411</v>
      </c>
      <c r="E748" s="4" t="s">
        <v>114</v>
      </c>
      <c r="F748" s="4" t="s">
        <v>377</v>
      </c>
      <c r="G748" s="4" t="s">
        <v>274</v>
      </c>
      <c r="H748" s="5" t="e">
        <f>#REF!</f>
        <v>#REF!</v>
      </c>
      <c r="I748" s="6" t="e">
        <f t="shared" si="253"/>
        <v>#REF!</v>
      </c>
      <c r="J748" s="6" t="s">
        <v>52</v>
      </c>
      <c r="K748" s="6" t="s">
        <v>213</v>
      </c>
      <c r="L748" s="7" t="e">
        <f t="shared" si="254"/>
        <v>#REF!</v>
      </c>
      <c r="M748" s="7" t="s">
        <v>214</v>
      </c>
      <c r="N748" s="7" t="s">
        <v>215</v>
      </c>
      <c r="O748" s="7" t="str">
        <f>IF(OR($C748="",$C748="FID YOK"),"",IF(ISNUMBER(MATCH($C748,FA_ANA,0)),"",IF(COUNTIF($C$1:$C747,$C748)&gt;0,"",MAX($O$1:$O747)+1)))</f>
        <v/>
      </c>
      <c r="P748" s="8">
        <v>1</v>
      </c>
      <c r="Q748" s="7" t="e">
        <f>IF(OR($P748="",$P748="G",ISNA(MATCH($C748,FA,0))),"",IF(N(INDEX(F_G,MATCH($C748,FA,0)))&gt;0,INDEX(F_G,MATCH($C748,FA,0)),IF(N(INDEX(F_MODUL,MATCH($C748,FA,0)))&gt;0,INDEX(F_MODUL,MATCH($C748,FA,0))*MODUL_MM,"")))</f>
        <v>#REF!</v>
      </c>
      <c r="R748" s="7" t="e">
        <f>IF(OR($P748="",$P748="G",ISNA(MATCH($C748,FA,0))),"",IF(N(INDEX(F_Y,MATCH($C748,FA,0)))&gt;0,INDEX(F_Y,MATCH($C748,FA,0)),""))</f>
        <v>#REF!</v>
      </c>
      <c r="S748" s="7" t="e">
        <f>IF(OR($P748="",$P748="G",ISNA(MATCH($C748,FA,0))),"",IF(N(INDEX(F_D,MATCH($C748,FA,0)))&gt;0,INDEX(F_D,MATCH($C748,FA,0)),""))</f>
        <v>#REF!</v>
      </c>
      <c r="T748" s="7">
        <f>IF(ISNA(MATCH($C748,FA,0)),0,IF($J748="GIRIS",N(INDEX(F_INKOR,MATCH($C748,FA,0))),0))</f>
        <v>0</v>
      </c>
      <c r="U748" s="7" t="e">
        <f>IF(ISNA(MATCH($B748,TIP_AD,0)),"",INDEX(TIP_KAT,MATCH($B748,TIP_AD,0))&amp;"")</f>
        <v>#REF!</v>
      </c>
      <c r="V748" s="7" t="e">
        <f>IF(NOT(ISNUMBER($P748)),"",IF($Z748=0,0,IF(ISNA(MATCH($Z748,BUK_KESIT,0)),"",IF(INDEX(BUK_ALAN,MATCH($Z748,BUK_KESIT,0))&amp;""="","",INDEX(BUK_ALAN,MATCH($Z748,BUK_KESIT,0))))))</f>
        <v>#REF!</v>
      </c>
      <c r="W748" s="7" t="e">
        <f>IF(OR(NOT(ISNUMBER($P748)),$Q748=""),"",N(#REF!)*($Q748+IF(ISNA(MATCH($B748,TIP_AD,0)),0,N(INDEX(TIP_BOSLUK,MATCH($B748,TIP_AD,0))))))</f>
        <v>#REF!</v>
      </c>
      <c r="X748" s="7" t="e">
        <f>IF(ISNUMBER($P748),($Q748="")+($R748="")+($V748="")+IF(AND($U748="KONTAKTOR",NOT(ISNA(MATCH($B748,TIP_AD,0)))),IF(INDEX(TIP_BOSLUK,MATCH($B748,TIP_AD,0))&amp;""="",1,0),0),IF($P748="K",IF($S748="",1,0),0))</f>
        <v>#REF!</v>
      </c>
      <c r="Y748" s="7" t="e">
        <f>N(#REF!)*IF($E748="упак",MAX(1,IF(ISNA(MATCH($C748,FA,0)),1,N(INDEX(F_PAKET,MATCH($C748,FA,0))))),1)</f>
        <v>#REF!</v>
      </c>
      <c r="Z748" s="7" t="e">
        <f t="shared" si="255"/>
        <v>#REF!</v>
      </c>
      <c r="AA748" s="7" t="e">
        <f>IF(OR(ISNA(MATCH($C748,FA,0)),$J748="YEDEK",$J748="SARF"),0,N(#REF!)*N(INDEX(F_TEL,MATCH($C748,FA,0))))</f>
        <v>#REF!</v>
      </c>
      <c r="AB748" s="7" t="e">
        <f>IF(OR(ISNA(MATCH($C748,FA,0)),$J748="YEDEK",$J748="SARF"),0,N(#REF!)*N(INDEX(F_TELM,MATCH($C748,FA,0))))</f>
        <v>#REF!</v>
      </c>
      <c r="AC748" s="7" t="e">
        <f t="shared" si="256"/>
        <v>#REF!</v>
      </c>
      <c r="AD748" s="7" t="e">
        <f>IF(OR(ISNA(MATCH($C748,FA,0)),$J748&lt;&gt;"CIKIS"),0,N(INDEX(F_KK,MATCH($C748,FA,0))))</f>
        <v>#REF!</v>
      </c>
      <c r="AE748" s="7" t="e">
        <f>IF($AD748=0,0,N(#REF!)*N(INDEX(F_KLN,MATCH($C748,FA,0))))</f>
        <v>#REF!</v>
      </c>
      <c r="AF748" s="7" t="e">
        <f>IF($AD748=0,0,N(#REF!)*N(INDEX(F_KPE,MATCH($C748,FA,0))))</f>
        <v>#REF!</v>
      </c>
      <c r="AG748" s="7" t="e">
        <f>IF(ISNA(MATCH($C748,FA,0)),0,N(#REF!)*N(INDEX(F_MODUL,MATCH($C748,FA,0))))</f>
        <v>#REF!</v>
      </c>
      <c r="AH748" s="7" t="e">
        <f>N(#REF!)*N($I748)</f>
        <v>#REF!</v>
      </c>
      <c r="AI748" s="7" t="e">
        <f t="shared" si="257"/>
        <v>#REF!</v>
      </c>
      <c r="AJ748" s="7">
        <f t="shared" si="258"/>
        <v>0</v>
      </c>
    </row>
    <row r="749" spans="1:36" x14ac:dyDescent="0.25">
      <c r="A749" s="4" t="str">
        <f t="shared" si="252"/>
        <v>ЩК тип 4 (ЩК-4.3: 1x1P + 5 АВДТ C16 + C32) (260922 akram aulet)</v>
      </c>
      <c r="B749" s="4" t="s">
        <v>213</v>
      </c>
      <c r="C749" s="4" t="s">
        <v>414</v>
      </c>
      <c r="D749" s="4" t="s">
        <v>415</v>
      </c>
      <c r="E749" s="4" t="s">
        <v>114</v>
      </c>
      <c r="F749" s="4" t="s">
        <v>377</v>
      </c>
      <c r="G749" s="4" t="s">
        <v>274</v>
      </c>
      <c r="H749" s="5" t="e">
        <f>#REF!</f>
        <v>#REF!</v>
      </c>
      <c r="I749" s="6" t="e">
        <f t="shared" si="253"/>
        <v>#REF!</v>
      </c>
      <c r="J749" s="6" t="s">
        <v>52</v>
      </c>
      <c r="K749" s="6" t="s">
        <v>213</v>
      </c>
      <c r="L749" s="7" t="e">
        <f t="shared" si="254"/>
        <v>#REF!</v>
      </c>
      <c r="M749" s="7" t="s">
        <v>359</v>
      </c>
      <c r="N749" s="7" t="s">
        <v>360</v>
      </c>
      <c r="O749" s="7" t="str">
        <f>IF(OR($C749="",$C749="FID YOK"),"",IF(ISNUMBER(MATCH($C749,FA_ANA,0)),"",IF(COUNTIF($C$1:$C748,$C749)&gt;0,"",MAX($O$1:$O748)+1)))</f>
        <v/>
      </c>
      <c r="P749" s="8">
        <v>1</v>
      </c>
      <c r="Q749" s="7" t="e">
        <f>IF(OR($P749="",$P749="G",ISNA(MATCH($C749,FA,0))),"",IF(N(INDEX(F_G,MATCH($C749,FA,0)))&gt;0,INDEX(F_G,MATCH($C749,FA,0)),IF(N(INDEX(F_MODUL,MATCH($C749,FA,0)))&gt;0,INDEX(F_MODUL,MATCH($C749,FA,0))*MODUL_MM,"")))</f>
        <v>#REF!</v>
      </c>
      <c r="R749" s="7" t="e">
        <f>IF(OR($P749="",$P749="G",ISNA(MATCH($C749,FA,0))),"",IF(N(INDEX(F_Y,MATCH($C749,FA,0)))&gt;0,INDEX(F_Y,MATCH($C749,FA,0)),""))</f>
        <v>#REF!</v>
      </c>
      <c r="S749" s="7" t="e">
        <f>IF(OR($P749="",$P749="G",ISNA(MATCH($C749,FA,0))),"",IF(N(INDEX(F_D,MATCH($C749,FA,0)))&gt;0,INDEX(F_D,MATCH($C749,FA,0)),""))</f>
        <v>#REF!</v>
      </c>
      <c r="T749" s="7">
        <f>IF(ISNA(MATCH($C749,FA,0)),0,IF($J749="GIRIS",N(INDEX(F_INKOR,MATCH($C749,FA,0))),0))</f>
        <v>0</v>
      </c>
      <c r="U749" s="7" t="e">
        <f>IF(ISNA(MATCH($B749,TIP_AD,0)),"",INDEX(TIP_KAT,MATCH($B749,TIP_AD,0))&amp;"")</f>
        <v>#REF!</v>
      </c>
      <c r="V749" s="7" t="e">
        <f>IF(NOT(ISNUMBER($P749)),"",IF($Z749=0,0,IF(ISNA(MATCH($Z749,BUK_KESIT,0)),"",IF(INDEX(BUK_ALAN,MATCH($Z749,BUK_KESIT,0))&amp;""="","",INDEX(BUK_ALAN,MATCH($Z749,BUK_KESIT,0))))))</f>
        <v>#REF!</v>
      </c>
      <c r="W749" s="7" t="e">
        <f>IF(OR(NOT(ISNUMBER($P749)),$Q749=""),"",N(#REF!)*($Q749+IF(ISNA(MATCH($B749,TIP_AD,0)),0,N(INDEX(TIP_BOSLUK,MATCH($B749,TIP_AD,0))))))</f>
        <v>#REF!</v>
      </c>
      <c r="X749" s="7" t="e">
        <f>IF(ISNUMBER($P749),($Q749="")+($R749="")+($V749="")+IF(AND($U749="KONTAKTOR",NOT(ISNA(MATCH($B749,TIP_AD,0)))),IF(INDEX(TIP_BOSLUK,MATCH($B749,TIP_AD,0))&amp;""="",1,0),0),IF($P749="K",IF($S749="",1,0),0))</f>
        <v>#REF!</v>
      </c>
      <c r="Y749" s="7" t="e">
        <f>N(#REF!)*IF($E749="упак",MAX(1,IF(ISNA(MATCH($C749,FA,0)),1,N(INDEX(F_PAKET,MATCH($C749,FA,0))))),1)</f>
        <v>#REF!</v>
      </c>
      <c r="Z749" s="7" t="e">
        <f t="shared" si="255"/>
        <v>#REF!</v>
      </c>
      <c r="AA749" s="7" t="e">
        <f>IF(OR(ISNA(MATCH($C749,FA,0)),$J749="YEDEK",$J749="SARF"),0,N(#REF!)*N(INDEX(F_TEL,MATCH($C749,FA,0))))</f>
        <v>#REF!</v>
      </c>
      <c r="AB749" s="7" t="e">
        <f>IF(OR(ISNA(MATCH($C749,FA,0)),$J749="YEDEK",$J749="SARF"),0,N(#REF!)*N(INDEX(F_TELM,MATCH($C749,FA,0))))</f>
        <v>#REF!</v>
      </c>
      <c r="AC749" s="7" t="e">
        <f t="shared" si="256"/>
        <v>#REF!</v>
      </c>
      <c r="AD749" s="7" t="e">
        <f>IF(OR(ISNA(MATCH($C749,FA,0)),$J749&lt;&gt;"CIKIS"),0,N(INDEX(F_KK,MATCH($C749,FA,0))))</f>
        <v>#REF!</v>
      </c>
      <c r="AE749" s="7" t="e">
        <f>IF($AD749=0,0,N(#REF!)*N(INDEX(F_KLN,MATCH($C749,FA,0))))</f>
        <v>#REF!</v>
      </c>
      <c r="AF749" s="7" t="e">
        <f>IF($AD749=0,0,N(#REF!)*N(INDEX(F_KPE,MATCH($C749,FA,0))))</f>
        <v>#REF!</v>
      </c>
      <c r="AG749" s="7" t="e">
        <f>IF(ISNA(MATCH($C749,FA,0)),0,N(#REF!)*N(INDEX(F_MODUL,MATCH($C749,FA,0))))</f>
        <v>#REF!</v>
      </c>
      <c r="AH749" s="7" t="e">
        <f>N(#REF!)*N($I749)</f>
        <v>#REF!</v>
      </c>
      <c r="AI749" s="7" t="e">
        <f t="shared" si="257"/>
        <v>#REF!</v>
      </c>
      <c r="AJ749" s="7">
        <f t="shared" si="258"/>
        <v>0</v>
      </c>
    </row>
    <row r="750" spans="1:36" x14ac:dyDescent="0.25">
      <c r="A750" s="4" t="str">
        <f t="shared" si="252"/>
        <v>ЩК тип 4 (ЩК-4.3: 1x1P + 5 АВДТ C16 + C32) (260922 akram aulet)</v>
      </c>
      <c r="B750" s="4" t="s">
        <v>202</v>
      </c>
      <c r="C750" s="4" t="s">
        <v>577</v>
      </c>
      <c r="D750" s="4" t="s">
        <v>578</v>
      </c>
      <c r="E750" s="4" t="s">
        <v>114</v>
      </c>
      <c r="F750" s="4" t="s">
        <v>486</v>
      </c>
      <c r="G750" s="4" t="s">
        <v>274</v>
      </c>
      <c r="H750" s="5" t="e">
        <f>#REF!</f>
        <v>#REF!</v>
      </c>
      <c r="I750" s="6" t="e">
        <f t="shared" si="253"/>
        <v>#REF!</v>
      </c>
      <c r="J750" s="6" t="s">
        <v>84</v>
      </c>
      <c r="K750" s="6" t="s">
        <v>202</v>
      </c>
      <c r="L750" s="7" t="e">
        <f t="shared" si="254"/>
        <v>#REF!</v>
      </c>
      <c r="M750" s="7" t="s">
        <v>203</v>
      </c>
      <c r="O750" s="7" t="str">
        <f>IF(OR($C750="",$C750="FID YOK"),"",IF(ISNUMBER(MATCH($C750,FA_ANA,0)),"",IF(COUNTIF($C$1:$C749,$C750)&gt;0,"",MAX($O$1:$O749)+1)))</f>
        <v/>
      </c>
      <c r="T750" s="7">
        <f>IF(ISNA(MATCH($C750,FA,0)),0,IF($J750="GIRIS",N(INDEX(F_INKOR,MATCH($C750,FA,0))),0))</f>
        <v>0</v>
      </c>
      <c r="Y750" s="7" t="e">
        <f>N(#REF!)*IF($E750="упак",MAX(1,IF(ISNA(MATCH($C750,FA,0)),1,N(INDEX(F_PAKET,MATCH($C750,FA,0))))),1)</f>
        <v>#REF!</v>
      </c>
      <c r="Z750" s="7" t="e">
        <f t="shared" si="255"/>
        <v>#REF!</v>
      </c>
      <c r="AA750" s="7">
        <f>IF(OR(ISNA(MATCH($C750,FA,0)),$J750="YEDEK",$J750="SARF"),0,N(#REF!)*N(INDEX(F_TEL,MATCH($C750,FA,0))))</f>
        <v>0</v>
      </c>
      <c r="AB750" s="7">
        <f>IF(OR(ISNA(MATCH($C750,FA,0)),$J750="YEDEK",$J750="SARF"),0,N(#REF!)*N(INDEX(F_TELM,MATCH($C750,FA,0))))</f>
        <v>0</v>
      </c>
      <c r="AC750" s="7" t="e">
        <f t="shared" si="256"/>
        <v>#REF!</v>
      </c>
      <c r="AD750" s="7">
        <f>IF(OR(ISNA(MATCH($C750,FA,0)),$J750&lt;&gt;"CIKIS"),0,N(INDEX(F_KK,MATCH($C750,FA,0))))</f>
        <v>0</v>
      </c>
      <c r="AE750" s="7">
        <f>IF($AD750=0,0,N(#REF!)*N(INDEX(F_KLN,MATCH($C750,FA,0))))</f>
        <v>0</v>
      </c>
      <c r="AF750" s="7">
        <f>IF($AD750=0,0,N(#REF!)*N(INDEX(F_KPE,MATCH($C750,FA,0))))</f>
        <v>0</v>
      </c>
      <c r="AG750" s="7" t="e">
        <f>IF(ISNA(MATCH($C750,FA,0)),0,N(#REF!)*N(INDEX(F_MODUL,MATCH($C750,FA,0))))</f>
        <v>#REF!</v>
      </c>
      <c r="AH750" s="7" t="e">
        <f>N(#REF!)*N($I750)</f>
        <v>#REF!</v>
      </c>
      <c r="AI750" s="7" t="e">
        <f t="shared" si="257"/>
        <v>#REF!</v>
      </c>
      <c r="AJ750" s="7">
        <f t="shared" si="258"/>
        <v>0</v>
      </c>
    </row>
    <row r="751" spans="1:36" x14ac:dyDescent="0.25">
      <c r="A751" s="4" t="str">
        <f t="shared" si="252"/>
        <v>ЩК тип 4 (ЩК-4.3: 1x1P + 5 АВДТ C16 + C32) (260922 akram aulet)</v>
      </c>
      <c r="B751" s="4" t="s">
        <v>202</v>
      </c>
      <c r="C751" s="4" t="s">
        <v>579</v>
      </c>
      <c r="D751" s="4" t="s">
        <v>580</v>
      </c>
      <c r="E751" s="4" t="s">
        <v>114</v>
      </c>
      <c r="F751" s="4" t="s">
        <v>486</v>
      </c>
      <c r="G751" s="4" t="s">
        <v>274</v>
      </c>
      <c r="H751" s="5" t="e">
        <f>#REF!</f>
        <v>#REF!</v>
      </c>
      <c r="I751" s="6" t="e">
        <f t="shared" si="253"/>
        <v>#REF!</v>
      </c>
      <c r="J751" s="6" t="s">
        <v>84</v>
      </c>
      <c r="K751" s="6" t="s">
        <v>202</v>
      </c>
      <c r="L751" s="7" t="e">
        <f t="shared" si="254"/>
        <v>#REF!</v>
      </c>
      <c r="M751" s="7" t="s">
        <v>204</v>
      </c>
      <c r="O751" s="7" t="str">
        <f>IF(OR($C751="",$C751="FID YOK"),"",IF(ISNUMBER(MATCH($C751,FA_ANA,0)),"",IF(COUNTIF($C$1:$C750,$C751)&gt;0,"",MAX($O$1:$O750)+1)))</f>
        <v/>
      </c>
      <c r="T751" s="7">
        <f>IF(ISNA(MATCH($C751,FA,0)),0,IF($J751="GIRIS",N(INDEX(F_INKOR,MATCH($C751,FA,0))),0))</f>
        <v>0</v>
      </c>
      <c r="Y751" s="7" t="e">
        <f>N(#REF!)*IF($E751="упак",MAX(1,IF(ISNA(MATCH($C751,FA,0)),1,N(INDEX(F_PAKET,MATCH($C751,FA,0))))),1)</f>
        <v>#REF!</v>
      </c>
      <c r="Z751" s="7" t="e">
        <f t="shared" si="255"/>
        <v>#REF!</v>
      </c>
      <c r="AA751" s="7">
        <f>IF(OR(ISNA(MATCH($C751,FA,0)),$J751="YEDEK",$J751="SARF"),0,N(#REF!)*N(INDEX(F_TEL,MATCH($C751,FA,0))))</f>
        <v>0</v>
      </c>
      <c r="AB751" s="7">
        <f>IF(OR(ISNA(MATCH($C751,FA,0)),$J751="YEDEK",$J751="SARF"),0,N(#REF!)*N(INDEX(F_TELM,MATCH($C751,FA,0))))</f>
        <v>0</v>
      </c>
      <c r="AC751" s="7" t="e">
        <f t="shared" si="256"/>
        <v>#REF!</v>
      </c>
      <c r="AD751" s="7">
        <f>IF(OR(ISNA(MATCH($C751,FA,0)),$J751&lt;&gt;"CIKIS"),0,N(INDEX(F_KK,MATCH($C751,FA,0))))</f>
        <v>0</v>
      </c>
      <c r="AE751" s="7">
        <f>IF($AD751=0,0,N(#REF!)*N(INDEX(F_KLN,MATCH($C751,FA,0))))</f>
        <v>0</v>
      </c>
      <c r="AF751" s="7">
        <f>IF($AD751=0,0,N(#REF!)*N(INDEX(F_KPE,MATCH($C751,FA,0))))</f>
        <v>0</v>
      </c>
      <c r="AG751" s="7" t="e">
        <f>IF(ISNA(MATCH($C751,FA,0)),0,N(#REF!)*N(INDEX(F_MODUL,MATCH($C751,FA,0))))</f>
        <v>#REF!</v>
      </c>
      <c r="AH751" s="7" t="e">
        <f>N(#REF!)*N($I751)</f>
        <v>#REF!</v>
      </c>
      <c r="AI751" s="7" t="e">
        <f t="shared" si="257"/>
        <v>#REF!</v>
      </c>
      <c r="AJ751" s="7">
        <f t="shared" si="258"/>
        <v>0</v>
      </c>
    </row>
    <row r="752" spans="1:36" x14ac:dyDescent="0.25">
      <c r="A752" s="4" t="str">
        <f t="shared" si="252"/>
        <v>ЩК тип 4 (ЩК-4.3: 1x1P + 5 АВДТ C16 + C32) (260922 akram aulet)</v>
      </c>
      <c r="B752" s="4" t="s">
        <v>92</v>
      </c>
      <c r="C752" s="4" t="s">
        <v>527</v>
      </c>
      <c r="D752" s="4" t="s">
        <v>528</v>
      </c>
      <c r="E752" s="4" t="s">
        <v>520</v>
      </c>
      <c r="F752" s="4" t="s">
        <v>521</v>
      </c>
      <c r="G752" s="4" t="s">
        <v>274</v>
      </c>
      <c r="H752" s="5" t="e">
        <f>#REF!</f>
        <v>#REF!</v>
      </c>
      <c r="I752" s="6" t="e">
        <f t="shared" si="253"/>
        <v>#REF!</v>
      </c>
      <c r="J752" s="6" t="s">
        <v>84</v>
      </c>
      <c r="K752" s="6" t="s">
        <v>92</v>
      </c>
      <c r="L752" s="7" t="e">
        <f t="shared" si="254"/>
        <v>#REF!</v>
      </c>
      <c r="M752" s="7" t="s">
        <v>94</v>
      </c>
      <c r="O752" s="7" t="str">
        <f>IF(OR($C752="",$C752="FID YOK"),"",IF(ISNUMBER(MATCH($C752,FA_ANA,0)),"",IF(COUNTIF($C$1:$C751,$C752)&gt;0,"",MAX($O$1:$O751)+1)))</f>
        <v/>
      </c>
      <c r="T752" s="7">
        <f>IF(ISNA(MATCH($C752,FA,0)),0,IF($J752="GIRIS",N(INDEX(F_INKOR,MATCH($C752,FA,0))),0))</f>
        <v>0</v>
      </c>
      <c r="Y752" s="7" t="e">
        <f>N(#REF!)*IF($E752="упак",MAX(1,IF(ISNA(MATCH($C752,FA,0)),1,N(INDEX(F_PAKET,MATCH($C752,FA,0))))),1)</f>
        <v>#REF!</v>
      </c>
      <c r="Z752" s="7" t="e">
        <f t="shared" si="255"/>
        <v>#REF!</v>
      </c>
      <c r="AA752" s="7">
        <f>IF(OR(ISNA(MATCH($C752,FA,0)),$J752="YEDEK",$J752="SARF"),0,N(#REF!)*N(INDEX(F_TEL,MATCH($C752,FA,0))))</f>
        <v>0</v>
      </c>
      <c r="AB752" s="7">
        <f>IF(OR(ISNA(MATCH($C752,FA,0)),$J752="YEDEK",$J752="SARF"),0,N(#REF!)*N(INDEX(F_TELM,MATCH($C752,FA,0))))</f>
        <v>0</v>
      </c>
      <c r="AC752" s="7" t="e">
        <f t="shared" si="256"/>
        <v>#REF!</v>
      </c>
      <c r="AD752" s="7">
        <f>IF(OR(ISNA(MATCH($C752,FA,0)),$J752&lt;&gt;"CIKIS"),0,N(INDEX(F_KK,MATCH($C752,FA,0))))</f>
        <v>0</v>
      </c>
      <c r="AE752" s="7">
        <f>IF($AD752=0,0,N(#REF!)*N(INDEX(F_KLN,MATCH($C752,FA,0))))</f>
        <v>0</v>
      </c>
      <c r="AF752" s="7">
        <f>IF($AD752=0,0,N(#REF!)*N(INDEX(F_KPE,MATCH($C752,FA,0))))</f>
        <v>0</v>
      </c>
      <c r="AG752" s="7" t="e">
        <f>IF(ISNA(MATCH($C752,FA,0)),0,N(#REF!)*N(INDEX(F_MODUL,MATCH($C752,FA,0))))</f>
        <v>#REF!</v>
      </c>
      <c r="AH752" s="7" t="e">
        <f>N(#REF!)*N($I752)</f>
        <v>#REF!</v>
      </c>
      <c r="AI752" s="7" t="e">
        <f t="shared" si="257"/>
        <v>#REF!</v>
      </c>
      <c r="AJ752" s="7">
        <f t="shared" si="258"/>
        <v>0</v>
      </c>
    </row>
    <row r="753" spans="1:36" x14ac:dyDescent="0.25">
      <c r="A753" s="4" t="str">
        <f t="shared" si="252"/>
        <v>ЩК тип 4 (ЩК-4.3: 1x1P + 5 АВДТ C16 + C32) (260922 akram aulet)</v>
      </c>
      <c r="B753" s="4" t="s">
        <v>92</v>
      </c>
      <c r="C753" s="4" t="s">
        <v>535</v>
      </c>
      <c r="D753" s="4" t="s">
        <v>536</v>
      </c>
      <c r="E753" s="4" t="s">
        <v>520</v>
      </c>
      <c r="F753" s="4" t="s">
        <v>521</v>
      </c>
      <c r="G753" s="4" t="s">
        <v>274</v>
      </c>
      <c r="H753" s="5" t="e">
        <f>#REF!</f>
        <v>#REF!</v>
      </c>
      <c r="I753" s="6" t="e">
        <f t="shared" si="253"/>
        <v>#REF!</v>
      </c>
      <c r="J753" s="6" t="s">
        <v>84</v>
      </c>
      <c r="K753" s="6" t="s">
        <v>92</v>
      </c>
      <c r="L753" s="7" t="e">
        <f t="shared" si="254"/>
        <v>#REF!</v>
      </c>
      <c r="M753" s="7" t="s">
        <v>130</v>
      </c>
      <c r="O753" s="7" t="str">
        <f>IF(OR($C753="",$C753="FID YOK"),"",IF(ISNUMBER(MATCH($C753,FA_ANA,0)),"",IF(COUNTIF($C$1:$C752,$C753)&gt;0,"",MAX($O$1:$O752)+1)))</f>
        <v/>
      </c>
      <c r="T753" s="7">
        <f>IF(ISNA(MATCH($C753,FA,0)),0,IF($J753="GIRIS",N(INDEX(F_INKOR,MATCH($C753,FA,0))),0))</f>
        <v>0</v>
      </c>
      <c r="Y753" s="7" t="e">
        <f>N(#REF!)*IF($E753="упак",MAX(1,IF(ISNA(MATCH($C753,FA,0)),1,N(INDEX(F_PAKET,MATCH($C753,FA,0))))),1)</f>
        <v>#REF!</v>
      </c>
      <c r="Z753" s="7" t="e">
        <f t="shared" si="255"/>
        <v>#REF!</v>
      </c>
      <c r="AA753" s="7">
        <f>IF(OR(ISNA(MATCH($C753,FA,0)),$J753="YEDEK",$J753="SARF"),0,N(#REF!)*N(INDEX(F_TEL,MATCH($C753,FA,0))))</f>
        <v>0</v>
      </c>
      <c r="AB753" s="7">
        <f>IF(OR(ISNA(MATCH($C753,FA,0)),$J753="YEDEK",$J753="SARF"),0,N(#REF!)*N(INDEX(F_TELM,MATCH($C753,FA,0))))</f>
        <v>0</v>
      </c>
      <c r="AC753" s="7" t="e">
        <f t="shared" si="256"/>
        <v>#REF!</v>
      </c>
      <c r="AD753" s="7">
        <f>IF(OR(ISNA(MATCH($C753,FA,0)),$J753&lt;&gt;"CIKIS"),0,N(INDEX(F_KK,MATCH($C753,FA,0))))</f>
        <v>0</v>
      </c>
      <c r="AE753" s="7">
        <f>IF($AD753=0,0,N(#REF!)*N(INDEX(F_KLN,MATCH($C753,FA,0))))</f>
        <v>0</v>
      </c>
      <c r="AF753" s="7">
        <f>IF($AD753=0,0,N(#REF!)*N(INDEX(F_KPE,MATCH($C753,FA,0))))</f>
        <v>0</v>
      </c>
      <c r="AG753" s="7" t="e">
        <f>IF(ISNA(MATCH($C753,FA,0)),0,N(#REF!)*N(INDEX(F_MODUL,MATCH($C753,FA,0))))</f>
        <v>#REF!</v>
      </c>
      <c r="AH753" s="7" t="e">
        <f>N(#REF!)*N($I753)</f>
        <v>#REF!</v>
      </c>
      <c r="AI753" s="7" t="e">
        <f t="shared" si="257"/>
        <v>#REF!</v>
      </c>
      <c r="AJ753" s="7">
        <f t="shared" si="258"/>
        <v>0</v>
      </c>
    </row>
    <row r="754" spans="1:36" x14ac:dyDescent="0.25">
      <c r="A754" s="4" t="str">
        <f t="shared" si="252"/>
        <v>ЩК тип 4 (ЩК-4.3: 1x1P + 5 АВДТ C16 + C32) (260922 akram aulet)</v>
      </c>
      <c r="B754" s="4" t="s">
        <v>92</v>
      </c>
      <c r="C754" s="4" t="s">
        <v>535</v>
      </c>
      <c r="D754" s="4" t="s">
        <v>536</v>
      </c>
      <c r="E754" s="4" t="s">
        <v>520</v>
      </c>
      <c r="F754" s="4" t="s">
        <v>521</v>
      </c>
      <c r="G754" s="4" t="s">
        <v>274</v>
      </c>
      <c r="H754" s="5" t="e">
        <f>#REF!</f>
        <v>#REF!</v>
      </c>
      <c r="I754" s="6" t="e">
        <f t="shared" si="253"/>
        <v>#REF!</v>
      </c>
      <c r="J754" s="6" t="s">
        <v>84</v>
      </c>
      <c r="K754" s="6" t="s">
        <v>92</v>
      </c>
      <c r="L754" s="7" t="e">
        <f t="shared" si="254"/>
        <v>#REF!</v>
      </c>
      <c r="M754" s="7" t="s">
        <v>100</v>
      </c>
      <c r="O754" s="7" t="str">
        <f>IF(OR($C754="",$C754="FID YOK"),"",IF(ISNUMBER(MATCH($C754,FA_ANA,0)),"",IF(COUNTIF($C$1:$C753,$C754)&gt;0,"",MAX($O$1:$O753)+1)))</f>
        <v/>
      </c>
      <c r="T754" s="7">
        <f>IF(ISNA(MATCH($C754,FA,0)),0,IF($J754="GIRIS",N(INDEX(F_INKOR,MATCH($C754,FA,0))),0))</f>
        <v>0</v>
      </c>
      <c r="Y754" s="7" t="e">
        <f>N(#REF!)*IF($E754="упак",MAX(1,IF(ISNA(MATCH($C754,FA,0)),1,N(INDEX(F_PAKET,MATCH($C754,FA,0))))),1)</f>
        <v>#REF!</v>
      </c>
      <c r="Z754" s="7" t="e">
        <f t="shared" si="255"/>
        <v>#REF!</v>
      </c>
      <c r="AA754" s="7">
        <f>IF(OR(ISNA(MATCH($C754,FA,0)),$J754="YEDEK",$J754="SARF"),0,N(#REF!)*N(INDEX(F_TEL,MATCH($C754,FA,0))))</f>
        <v>0</v>
      </c>
      <c r="AB754" s="7">
        <f>IF(OR(ISNA(MATCH($C754,FA,0)),$J754="YEDEK",$J754="SARF"),0,N(#REF!)*N(INDEX(F_TELM,MATCH($C754,FA,0))))</f>
        <v>0</v>
      </c>
      <c r="AC754" s="7" t="e">
        <f t="shared" si="256"/>
        <v>#REF!</v>
      </c>
      <c r="AD754" s="7">
        <f>IF(OR(ISNA(MATCH($C754,FA,0)),$J754&lt;&gt;"CIKIS"),0,N(INDEX(F_KK,MATCH($C754,FA,0))))</f>
        <v>0</v>
      </c>
      <c r="AE754" s="7">
        <f>IF($AD754=0,0,N(#REF!)*N(INDEX(F_KLN,MATCH($C754,FA,0))))</f>
        <v>0</v>
      </c>
      <c r="AF754" s="7">
        <f>IF($AD754=0,0,N(#REF!)*N(INDEX(F_KPE,MATCH($C754,FA,0))))</f>
        <v>0</v>
      </c>
      <c r="AG754" s="7" t="e">
        <f>IF(ISNA(MATCH($C754,FA,0)),0,N(#REF!)*N(INDEX(F_MODUL,MATCH($C754,FA,0))))</f>
        <v>#REF!</v>
      </c>
      <c r="AH754" s="7" t="e">
        <f>N(#REF!)*N($I754)</f>
        <v>#REF!</v>
      </c>
      <c r="AI754" s="7" t="e">
        <f t="shared" si="257"/>
        <v>#REF!</v>
      </c>
      <c r="AJ754" s="7">
        <f t="shared" si="258"/>
        <v>0</v>
      </c>
    </row>
    <row r="755" spans="1:36" x14ac:dyDescent="0.25">
      <c r="A755" s="4" t="str">
        <f t="shared" si="252"/>
        <v>ЩК тип 4 (ЩК-4.3: 1x1P + 5 АВДТ C16 + C32) (260922 akram aulet)</v>
      </c>
      <c r="B755" s="4" t="s">
        <v>101</v>
      </c>
      <c r="C755" s="4" t="s">
        <v>529</v>
      </c>
      <c r="D755" s="4" t="s">
        <v>530</v>
      </c>
      <c r="E755" s="4" t="s">
        <v>522</v>
      </c>
      <c r="F755" s="4" t="s">
        <v>486</v>
      </c>
      <c r="G755" s="4" t="s">
        <v>274</v>
      </c>
      <c r="H755" s="5" t="e">
        <f>#REF!</f>
        <v>#REF!</v>
      </c>
      <c r="I755" s="6" t="e">
        <f t="shared" si="253"/>
        <v>#REF!</v>
      </c>
      <c r="J755" s="6" t="s">
        <v>84</v>
      </c>
      <c r="K755" s="6" t="s">
        <v>101</v>
      </c>
      <c r="L755" s="7" t="e">
        <f t="shared" si="254"/>
        <v>#REF!</v>
      </c>
      <c r="M755" s="7" t="s">
        <v>103</v>
      </c>
      <c r="O755" s="7" t="str">
        <f>IF(OR($C755="",$C755="FID YOK"),"",IF(ISNUMBER(MATCH($C755,FA_ANA,0)),"",IF(COUNTIF($C$1:$C754,$C755)&gt;0,"",MAX($O$1:$O754)+1)))</f>
        <v/>
      </c>
      <c r="T755" s="7">
        <f>IF(ISNA(MATCH($C755,FA,0)),0,IF($J755="GIRIS",N(INDEX(F_INKOR,MATCH($C755,FA,0))),0))</f>
        <v>0</v>
      </c>
      <c r="Y755" s="7" t="e">
        <f>N(#REF!)*IF($E755="упак",MAX(1,IF(ISNA(MATCH($C755,FA,0)),1,N(INDEX(F_PAKET,MATCH($C755,FA,0))))),1)</f>
        <v>#REF!</v>
      </c>
      <c r="Z755" s="7" t="e">
        <f t="shared" si="255"/>
        <v>#REF!</v>
      </c>
      <c r="AA755" s="7">
        <f>IF(OR(ISNA(MATCH($C755,FA,0)),$J755="YEDEK",$J755="SARF"),0,N(#REF!)*N(INDEX(F_TEL,MATCH($C755,FA,0))))</f>
        <v>0</v>
      </c>
      <c r="AB755" s="7">
        <f>IF(OR(ISNA(MATCH($C755,FA,0)),$J755="YEDEK",$J755="SARF"),0,N(#REF!)*N(INDEX(F_TELM,MATCH($C755,FA,0))))</f>
        <v>0</v>
      </c>
      <c r="AC755" s="7" t="e">
        <f t="shared" si="256"/>
        <v>#REF!</v>
      </c>
      <c r="AD755" s="7">
        <f>IF(OR(ISNA(MATCH($C755,FA,0)),$J755&lt;&gt;"CIKIS"),0,N(INDEX(F_KK,MATCH($C755,FA,0))))</f>
        <v>0</v>
      </c>
      <c r="AE755" s="7">
        <f>IF($AD755=0,0,N(#REF!)*N(INDEX(F_KLN,MATCH($C755,FA,0))))</f>
        <v>0</v>
      </c>
      <c r="AF755" s="7">
        <f>IF($AD755=0,0,N(#REF!)*N(INDEX(F_KPE,MATCH($C755,FA,0))))</f>
        <v>0</v>
      </c>
      <c r="AG755" s="7" t="e">
        <f>IF(ISNA(MATCH($C755,FA,0)),0,N(#REF!)*N(INDEX(F_MODUL,MATCH($C755,FA,0))))</f>
        <v>#REF!</v>
      </c>
      <c r="AH755" s="7" t="e">
        <f>N(#REF!)*N($I755)</f>
        <v>#REF!</v>
      </c>
      <c r="AI755" s="7" t="e">
        <f t="shared" si="257"/>
        <v>#REF!</v>
      </c>
      <c r="AJ755" s="7">
        <f t="shared" si="258"/>
        <v>0</v>
      </c>
    </row>
    <row r="756" spans="1:36" x14ac:dyDescent="0.25">
      <c r="A756" s="4" t="str">
        <f t="shared" si="252"/>
        <v>ЩК тип 4 (ЩК-4.3: 1x1P + 5 АВДТ C16 + C32) (260922 akram aulet)</v>
      </c>
      <c r="B756" s="4" t="s">
        <v>101</v>
      </c>
      <c r="C756" s="4" t="s">
        <v>537</v>
      </c>
      <c r="D756" s="4" t="s">
        <v>538</v>
      </c>
      <c r="E756" s="4" t="s">
        <v>522</v>
      </c>
      <c r="F756" s="4" t="s">
        <v>486</v>
      </c>
      <c r="G756" s="4" t="s">
        <v>274</v>
      </c>
      <c r="H756" s="5" t="e">
        <f>#REF!</f>
        <v>#REF!</v>
      </c>
      <c r="I756" s="6" t="e">
        <f t="shared" si="253"/>
        <v>#REF!</v>
      </c>
      <c r="J756" s="6" t="s">
        <v>84</v>
      </c>
      <c r="K756" s="6" t="s">
        <v>101</v>
      </c>
      <c r="L756" s="7" t="e">
        <f t="shared" si="254"/>
        <v>#REF!</v>
      </c>
      <c r="M756" s="7" t="s">
        <v>205</v>
      </c>
      <c r="O756" s="7" t="str">
        <f>IF(OR($C756="",$C756="FID YOK"),"",IF(ISNUMBER(MATCH($C756,FA_ANA,0)),"",IF(COUNTIF($C$1:$C755,$C756)&gt;0,"",MAX($O$1:$O755)+1)))</f>
        <v/>
      </c>
      <c r="T756" s="7">
        <f>IF(ISNA(MATCH($C756,FA,0)),0,IF($J756="GIRIS",N(INDEX(F_INKOR,MATCH($C756,FA,0))),0))</f>
        <v>0</v>
      </c>
      <c r="Y756" s="7" t="e">
        <f>N(#REF!)*IF($E756="упак",MAX(1,IF(ISNA(MATCH($C756,FA,0)),1,N(INDEX(F_PAKET,MATCH($C756,FA,0))))),1)</f>
        <v>#REF!</v>
      </c>
      <c r="Z756" s="7" t="e">
        <f t="shared" si="255"/>
        <v>#REF!</v>
      </c>
      <c r="AA756" s="7">
        <f>IF(OR(ISNA(MATCH($C756,FA,0)),$J756="YEDEK",$J756="SARF"),0,N(#REF!)*N(INDEX(F_TEL,MATCH($C756,FA,0))))</f>
        <v>0</v>
      </c>
      <c r="AB756" s="7">
        <f>IF(OR(ISNA(MATCH($C756,FA,0)),$J756="YEDEK",$J756="SARF"),0,N(#REF!)*N(INDEX(F_TELM,MATCH($C756,FA,0))))</f>
        <v>0</v>
      </c>
      <c r="AC756" s="7" t="e">
        <f t="shared" si="256"/>
        <v>#REF!</v>
      </c>
      <c r="AD756" s="7">
        <f>IF(OR(ISNA(MATCH($C756,FA,0)),$J756&lt;&gt;"CIKIS"),0,N(INDEX(F_KK,MATCH($C756,FA,0))))</f>
        <v>0</v>
      </c>
      <c r="AE756" s="7">
        <f>IF($AD756=0,0,N(#REF!)*N(INDEX(F_KLN,MATCH($C756,FA,0))))</f>
        <v>0</v>
      </c>
      <c r="AF756" s="7">
        <f>IF($AD756=0,0,N(#REF!)*N(INDEX(F_KPE,MATCH($C756,FA,0))))</f>
        <v>0</v>
      </c>
      <c r="AG756" s="7" t="e">
        <f>IF(ISNA(MATCH($C756,FA,0)),0,N(#REF!)*N(INDEX(F_MODUL,MATCH($C756,FA,0))))</f>
        <v>#REF!</v>
      </c>
      <c r="AH756" s="7" t="e">
        <f>N(#REF!)*N($I756)</f>
        <v>#REF!</v>
      </c>
      <c r="AI756" s="7" t="e">
        <f t="shared" si="257"/>
        <v>#REF!</v>
      </c>
      <c r="AJ756" s="7">
        <f t="shared" si="258"/>
        <v>0</v>
      </c>
    </row>
    <row r="757" spans="1:36" x14ac:dyDescent="0.25">
      <c r="A757" s="4" t="str">
        <f t="shared" si="252"/>
        <v>ЩК тип 4 (ЩК-4.3: 1x1P + 5 АВДТ C16 + C32) (260922 akram aulet)</v>
      </c>
      <c r="B757" s="4" t="s">
        <v>105</v>
      </c>
      <c r="C757" s="4" t="s">
        <v>539</v>
      </c>
      <c r="D757" s="4" t="s">
        <v>540</v>
      </c>
      <c r="E757" s="4" t="s">
        <v>114</v>
      </c>
      <c r="F757" s="4" t="s">
        <v>486</v>
      </c>
      <c r="G757" s="4" t="s">
        <v>274</v>
      </c>
      <c r="H757" s="5" t="e">
        <f>#REF!</f>
        <v>#REF!</v>
      </c>
      <c r="I757" s="6" t="e">
        <f t="shared" si="253"/>
        <v>#REF!</v>
      </c>
      <c r="J757" s="6" t="s">
        <v>84</v>
      </c>
      <c r="K757" s="6" t="s">
        <v>105</v>
      </c>
      <c r="L757" s="7" t="e">
        <f t="shared" si="254"/>
        <v>#REF!</v>
      </c>
      <c r="M757" s="7" t="s">
        <v>110</v>
      </c>
      <c r="O757" s="7" t="str">
        <f>IF(OR($C757="",$C757="FID YOK"),"",IF(ISNUMBER(MATCH($C757,FA_ANA,0)),"",IF(COUNTIF($C$1:$C756,$C757)&gt;0,"",MAX($O$1:$O756)+1)))</f>
        <v/>
      </c>
      <c r="T757" s="7">
        <f>IF(ISNA(MATCH($C757,FA,0)),0,IF($J757="GIRIS",N(INDEX(F_INKOR,MATCH($C757,FA,0))),0))</f>
        <v>0</v>
      </c>
      <c r="Y757" s="7" t="e">
        <f>N(#REF!)*IF($E757="упак",MAX(1,IF(ISNA(MATCH($C757,FA,0)),1,N(INDEX(F_PAKET,MATCH($C757,FA,0))))),1)</f>
        <v>#REF!</v>
      </c>
      <c r="Z757" s="7" t="e">
        <f t="shared" si="255"/>
        <v>#REF!</v>
      </c>
      <c r="AA757" s="7">
        <f>IF(OR(ISNA(MATCH($C757,FA,0)),$J757="YEDEK",$J757="SARF"),0,N(#REF!)*N(INDEX(F_TEL,MATCH($C757,FA,0))))</f>
        <v>0</v>
      </c>
      <c r="AB757" s="7">
        <f>IF(OR(ISNA(MATCH($C757,FA,0)),$J757="YEDEK",$J757="SARF"),0,N(#REF!)*N(INDEX(F_TELM,MATCH($C757,FA,0))))</f>
        <v>0</v>
      </c>
      <c r="AC757" s="7" t="e">
        <f t="shared" si="256"/>
        <v>#REF!</v>
      </c>
      <c r="AD757" s="7">
        <f>IF(OR(ISNA(MATCH($C757,FA,0)),$J757&lt;&gt;"CIKIS"),0,N(INDEX(F_KK,MATCH($C757,FA,0))))</f>
        <v>0</v>
      </c>
      <c r="AE757" s="7">
        <f>IF($AD757=0,0,N(#REF!)*N(INDEX(F_KLN,MATCH($C757,FA,0))))</f>
        <v>0</v>
      </c>
      <c r="AF757" s="7">
        <f>IF($AD757=0,0,N(#REF!)*N(INDEX(F_KPE,MATCH($C757,FA,0))))</f>
        <v>0</v>
      </c>
      <c r="AG757" s="7" t="e">
        <f>IF(ISNA(MATCH($C757,FA,0)),0,N(#REF!)*N(INDEX(F_MODUL,MATCH($C757,FA,0))))</f>
        <v>#REF!</v>
      </c>
      <c r="AH757" s="7" t="e">
        <f>N(#REF!)*N($I757)</f>
        <v>#REF!</v>
      </c>
      <c r="AI757" s="7" t="e">
        <f t="shared" si="257"/>
        <v>#REF!</v>
      </c>
      <c r="AJ757" s="7">
        <f t="shared" si="258"/>
        <v>0</v>
      </c>
    </row>
    <row r="758" spans="1:36" x14ac:dyDescent="0.25">
      <c r="A758" s="4" t="str">
        <f t="shared" si="252"/>
        <v>ЩК тип 4 (ЩК-4.3: 1x1P + 5 АВДТ C16 + C32) (260922 akram aulet)</v>
      </c>
      <c r="B758" s="4" t="s">
        <v>111</v>
      </c>
      <c r="C758" s="4" t="s">
        <v>571</v>
      </c>
      <c r="D758" s="4" t="s">
        <v>572</v>
      </c>
      <c r="E758" s="4" t="s">
        <v>522</v>
      </c>
      <c r="F758" s="4" t="s">
        <v>486</v>
      </c>
      <c r="G758" s="4" t="s">
        <v>274</v>
      </c>
      <c r="H758" s="5" t="e">
        <f>#REF!</f>
        <v>#REF!</v>
      </c>
      <c r="I758" s="6" t="e">
        <f t="shared" si="253"/>
        <v>#REF!</v>
      </c>
      <c r="J758" s="6" t="s">
        <v>84</v>
      </c>
      <c r="K758" s="6" t="s">
        <v>111</v>
      </c>
      <c r="L758" s="7" t="e">
        <f t="shared" si="254"/>
        <v>#REF!</v>
      </c>
      <c r="M758" s="7" t="s">
        <v>112</v>
      </c>
      <c r="O758" s="7" t="str">
        <f>IF(OR($C758="",$C758="FID YOK"),"",IF(ISNUMBER(MATCH($C758,FA_ANA,0)),"",IF(COUNTIF($C$1:$C757,$C758)&gt;0,"",MAX($O$1:$O757)+1)))</f>
        <v/>
      </c>
      <c r="T758" s="7">
        <f>IF(ISNA(MATCH($C758,FA,0)),0,IF($J758="GIRIS",N(INDEX(F_INKOR,MATCH($C758,FA,0))),0))</f>
        <v>0</v>
      </c>
      <c r="Y758" s="7" t="e">
        <f>N(#REF!)*IF($E758="упак",MAX(1,IF(ISNA(MATCH($C758,FA,0)),1,N(INDEX(F_PAKET,MATCH($C758,FA,0))))),1)</f>
        <v>#REF!</v>
      </c>
      <c r="Z758" s="7" t="e">
        <f t="shared" si="255"/>
        <v>#REF!</v>
      </c>
      <c r="AA758" s="7">
        <f>IF(OR(ISNA(MATCH($C758,FA,0)),$J758="YEDEK",$J758="SARF"),0,N(#REF!)*N(INDEX(F_TEL,MATCH($C758,FA,0))))</f>
        <v>0</v>
      </c>
      <c r="AB758" s="7">
        <f>IF(OR(ISNA(MATCH($C758,FA,0)),$J758="YEDEK",$J758="SARF"),0,N(#REF!)*N(INDEX(F_TELM,MATCH($C758,FA,0))))</f>
        <v>0</v>
      </c>
      <c r="AC758" s="7" t="e">
        <f t="shared" si="256"/>
        <v>#REF!</v>
      </c>
      <c r="AD758" s="7">
        <f>IF(OR(ISNA(MATCH($C758,FA,0)),$J758&lt;&gt;"CIKIS"),0,N(INDEX(F_KK,MATCH($C758,FA,0))))</f>
        <v>0</v>
      </c>
      <c r="AE758" s="7">
        <f>IF($AD758=0,0,N(#REF!)*N(INDEX(F_KLN,MATCH($C758,FA,0))))</f>
        <v>0</v>
      </c>
      <c r="AF758" s="7">
        <f>IF($AD758=0,0,N(#REF!)*N(INDEX(F_KPE,MATCH($C758,FA,0))))</f>
        <v>0</v>
      </c>
      <c r="AG758" s="7" t="e">
        <f>IF(ISNA(MATCH($C758,FA,0)),0,N(#REF!)*N(INDEX(F_MODUL,MATCH($C758,FA,0))))</f>
        <v>#REF!</v>
      </c>
      <c r="AH758" s="7" t="e">
        <f>N(#REF!)*N($I758)</f>
        <v>#REF!</v>
      </c>
      <c r="AI758" s="7" t="e">
        <f t="shared" si="257"/>
        <v>#REF!</v>
      </c>
      <c r="AJ758" s="7">
        <f t="shared" si="258"/>
        <v>0</v>
      </c>
    </row>
    <row r="759" spans="1:36" x14ac:dyDescent="0.25">
      <c r="A759" s="4" t="str">
        <f t="shared" si="252"/>
        <v>ЩК тип 4 (ЩК-4.3: 1x1P + 5 АВДТ C16 + C32) (260922 akram aulet)</v>
      </c>
      <c r="B759" s="4" t="s">
        <v>113</v>
      </c>
      <c r="C759" s="4" t="s">
        <v>113</v>
      </c>
      <c r="D759" s="4" t="s">
        <v>113</v>
      </c>
      <c r="E759" s="4" t="s">
        <v>114</v>
      </c>
      <c r="F759" s="4" t="s">
        <v>113</v>
      </c>
      <c r="G759" s="4" t="s">
        <v>274</v>
      </c>
      <c r="H759" s="5" t="e">
        <f>#REF!</f>
        <v>#REF!</v>
      </c>
      <c r="I759" s="6" t="e">
        <f t="shared" si="253"/>
        <v>#REF!</v>
      </c>
    </row>
    <row r="760" spans="1:36" x14ac:dyDescent="0.25">
      <c r="A760" s="4" t="str">
        <f t="shared" si="252"/>
        <v>ЩК тип 4 (ЩК-4.3: 1x1P + 5 АВДТ C16 + C32) (260922 akram aulet)</v>
      </c>
      <c r="B760" s="4" t="s">
        <v>115</v>
      </c>
      <c r="C760" s="4" t="s">
        <v>115</v>
      </c>
      <c r="D760" s="4" t="s">
        <v>115</v>
      </c>
      <c r="E760" s="4" t="s">
        <v>116</v>
      </c>
      <c r="F760" s="4" t="s">
        <v>115</v>
      </c>
      <c r="G760" s="4" t="s">
        <v>274</v>
      </c>
      <c r="H760" s="5" t="e">
        <f>#REF!</f>
        <v>#REF!</v>
      </c>
      <c r="I760" s="6" t="e">
        <f t="shared" si="253"/>
        <v>#REF!</v>
      </c>
    </row>
    <row r="761" spans="1:36" x14ac:dyDescent="0.25">
      <c r="A761" s="1" t="str">
        <f>D761</f>
        <v>ЩА-6.1, ЩА-6.3 (260922 akram aulet)</v>
      </c>
      <c r="B761" s="2"/>
      <c r="C761" s="2"/>
      <c r="D761" s="1" t="s">
        <v>365</v>
      </c>
      <c r="E761" s="1" t="s">
        <v>36</v>
      </c>
      <c r="F761" s="1" t="s">
        <v>37</v>
      </c>
      <c r="G761" s="1" t="s">
        <v>366</v>
      </c>
      <c r="I761" s="3" t="e">
        <f>#REF!</f>
        <v>#REF!</v>
      </c>
    </row>
    <row r="762" spans="1:36" x14ac:dyDescent="0.25">
      <c r="A762" s="4" t="str">
        <f t="shared" ref="A762:A780" si="259">A761</f>
        <v>ЩА-6.1, ЩА-6.3 (260922 akram aulet)</v>
      </c>
      <c r="B762" s="4" t="s">
        <v>39</v>
      </c>
      <c r="C762" s="4" t="s">
        <v>498</v>
      </c>
      <c r="D762" s="4" t="s">
        <v>499</v>
      </c>
      <c r="E762" s="4" t="s">
        <v>114</v>
      </c>
      <c r="F762" s="4" t="s">
        <v>491</v>
      </c>
      <c r="G762" s="4" t="s">
        <v>366</v>
      </c>
      <c r="H762" s="5" t="e">
        <f>#REF!</f>
        <v>#REF!</v>
      </c>
      <c r="I762" s="6" t="e">
        <f t="shared" ref="I762:I780" si="260">I761</f>
        <v>#REF!</v>
      </c>
      <c r="J762" s="6" t="s">
        <v>40</v>
      </c>
      <c r="K762" s="6" t="s">
        <v>291</v>
      </c>
      <c r="L762" s="7" t="e">
        <f t="shared" ref="L762:L778" si="261">IF(ISNA(MATCH($C762,FA,0)),"ARTİKÜL YOK",INDEX(FIYAT_DURUM,MATCH($C762,FA,0)))</f>
        <v>#REF!</v>
      </c>
      <c r="M762" s="7" t="s">
        <v>367</v>
      </c>
      <c r="N762" s="7" t="s">
        <v>293</v>
      </c>
      <c r="O762" s="7" t="str">
        <f>IF(OR($C762="",$C762="FID YOK"),"",IF(ISNUMBER(MATCH($C762,FA_ANA,0)),"",IF(COUNTIF($C$1:$C761,$C762)&gt;0,"",MAX($O$1:$O761)+1)))</f>
        <v/>
      </c>
      <c r="Q762" s="7"/>
      <c r="R762" s="7"/>
      <c r="S762" s="7"/>
      <c r="T762" s="7">
        <f>IF(ISNA(MATCH($C762,FA,0)),0,IF($J762="GIRIS",N(INDEX(F_INKOR,MATCH($C762,FA,0))),0))</f>
        <v>0</v>
      </c>
      <c r="U762" s="7"/>
      <c r="V762" s="7"/>
      <c r="W762" s="7"/>
      <c r="X762" s="7"/>
      <c r="Y762" s="7" t="e">
        <f>N(#REF!)*IF($E762="упак",MAX(1,IF(ISNA(MATCH($C762,FA,0)),1,N(INDEX(F_PAKET,MATCH($C762,FA,0))))),1)</f>
        <v>#REF!</v>
      </c>
      <c r="Z762" s="7" t="e">
        <f t="shared" ref="Z762:Z778" si="262">IF(ISNA(MATCH($C762,FA,0)),0,N(INDEX(F_BK,MATCH($C762,FA,0))))</f>
        <v>#REF!</v>
      </c>
      <c r="AA762" s="7" t="e">
        <f>IF(OR(ISNA(MATCH($C762,FA,0)),$J762="YEDEK",$J762="SARF"),0,N(#REF!)*N(INDEX(F_TEL,MATCH($C762,FA,0))))</f>
        <v>#REF!</v>
      </c>
      <c r="AB762" s="7" t="e">
        <f>IF(OR(ISNA(MATCH($C762,FA,0)),$J762="YEDEK",$J762="SARF"),0,N(#REF!)*N(INDEX(F_TELM,MATCH($C762,FA,0))))</f>
        <v>#REF!</v>
      </c>
      <c r="AC762" s="7" t="e">
        <f t="shared" ref="AC762:AC778" si="263">IF(ISNA(MATCH($C762,FA,0)),"",INDEX(F_UC,MATCH($C762,FA,0))&amp;"")</f>
        <v>#REF!</v>
      </c>
      <c r="AD762" s="7">
        <f>IF(OR(ISNA(MATCH($C762,FA,0)),$J762&lt;&gt;"CIKIS"),0,N(INDEX(F_KK,MATCH($C762,FA,0))))</f>
        <v>0</v>
      </c>
      <c r="AE762" s="7">
        <f>IF($AD762=0,0,N(#REF!)*N(INDEX(F_KLN,MATCH($C762,FA,0))))</f>
        <v>0</v>
      </c>
      <c r="AF762" s="7">
        <f>IF($AD762=0,0,N(#REF!)*N(INDEX(F_KPE,MATCH($C762,FA,0))))</f>
        <v>0</v>
      </c>
      <c r="AG762" s="7" t="e">
        <f>IF(ISNA(MATCH($C762,FA,0)),0,N(#REF!)*N(INDEX(F_MODUL,MATCH($C762,FA,0))))</f>
        <v>#REF!</v>
      </c>
      <c r="AH762" s="7" t="e">
        <f>N(#REF!)*N($I762)</f>
        <v>#REF!</v>
      </c>
      <c r="AI762" s="7" t="e">
        <f t="shared" ref="AI762:AI778" si="264">IF(ISNA(MATCH($K762,TIP_AD,0)),"YOK",IF(INDEX(NORM_DK,MATCH($K762,TIP_AD,0))="","BOŞ",INDEX(NORM_DK,MATCH($K762,TIP_AD,0))))</f>
        <v>#REF!</v>
      </c>
      <c r="AJ762" s="7">
        <f t="shared" ref="AJ762:AJ778" si="265">IF(ISNUMBER($AI762),$Y762*$AI762,0)</f>
        <v>0</v>
      </c>
    </row>
    <row r="763" spans="1:36" x14ac:dyDescent="0.25">
      <c r="A763" s="4" t="str">
        <f t="shared" si="259"/>
        <v>ЩА-6.1, ЩА-6.3 (260922 akram aulet)</v>
      </c>
      <c r="B763" s="4" t="s">
        <v>51</v>
      </c>
      <c r="C763" s="4" t="s">
        <v>428</v>
      </c>
      <c r="D763" s="4" t="s">
        <v>429</v>
      </c>
      <c r="E763" s="4" t="s">
        <v>114</v>
      </c>
      <c r="F763" s="4" t="s">
        <v>377</v>
      </c>
      <c r="G763" s="4" t="s">
        <v>366</v>
      </c>
      <c r="H763" s="5" t="e">
        <f>#REF!</f>
        <v>#REF!</v>
      </c>
      <c r="I763" s="6" t="e">
        <f t="shared" si="260"/>
        <v>#REF!</v>
      </c>
      <c r="J763" s="6" t="s">
        <v>48</v>
      </c>
      <c r="K763" s="6" t="s">
        <v>51</v>
      </c>
      <c r="L763" s="7" t="e">
        <f t="shared" si="261"/>
        <v>#REF!</v>
      </c>
      <c r="M763" s="7" t="s">
        <v>368</v>
      </c>
      <c r="N763" s="7" t="s">
        <v>122</v>
      </c>
      <c r="O763" s="7" t="str">
        <f>IF(OR($C763="",$C763="FID YOK"),"",IF(ISNUMBER(MATCH($C763,FA_ANA,0)),"",IF(COUNTIF($C$1:$C762,$C763)&gt;0,"",MAX($O$1:$O762)+1)))</f>
        <v/>
      </c>
      <c r="P763" s="8">
        <v>1</v>
      </c>
      <c r="Q763" s="7" t="e">
        <f>IF(OR($P763="",$P763="G",ISNA(MATCH($C763,FA,0))),"",IF(N(INDEX(F_G,MATCH($C763,FA,0)))&gt;0,INDEX(F_G,MATCH($C763,FA,0)),IF(N(INDEX(F_MODUL,MATCH($C763,FA,0)))&gt;0,INDEX(F_MODUL,MATCH($C763,FA,0))*MODUL_MM,"")))</f>
        <v>#REF!</v>
      </c>
      <c r="R763" s="7" t="e">
        <f>IF(OR($P763="",$P763="G",ISNA(MATCH($C763,FA,0))),"",IF(N(INDEX(F_Y,MATCH($C763,FA,0)))&gt;0,INDEX(F_Y,MATCH($C763,FA,0)),""))</f>
        <v>#REF!</v>
      </c>
      <c r="S763" s="7" t="e">
        <f>IF(OR($P763="",$P763="G",ISNA(MATCH($C763,FA,0))),"",IF(N(INDEX(F_D,MATCH($C763,FA,0)))&gt;0,INDEX(F_D,MATCH($C763,FA,0)),""))</f>
        <v>#REF!</v>
      </c>
      <c r="T763" s="7" t="e">
        <f>IF(ISNA(MATCH($C763,FA,0)),0,IF($J763="GIRIS",N(INDEX(F_INKOR,MATCH($C763,FA,0))),0))</f>
        <v>#REF!</v>
      </c>
      <c r="U763" s="7" t="e">
        <f>IF(ISNA(MATCH($B763,TIP_AD,0)),"",INDEX(TIP_KAT,MATCH($B763,TIP_AD,0))&amp;"")</f>
        <v>#REF!</v>
      </c>
      <c r="V763" s="7" t="e">
        <f>IF(NOT(ISNUMBER($P763)),"",IF($Z763=0,0,IF(ISNA(MATCH($Z763,BUK_KESIT,0)),"",IF(INDEX(BUK_ALAN,MATCH($Z763,BUK_KESIT,0))&amp;""="","",INDEX(BUK_ALAN,MATCH($Z763,BUK_KESIT,0))))))</f>
        <v>#REF!</v>
      </c>
      <c r="W763" s="7" t="e">
        <f>IF(OR(NOT(ISNUMBER($P763)),$Q763=""),"",N(#REF!)*($Q763+IF(ISNA(MATCH($B763,TIP_AD,0)),0,N(INDEX(TIP_BOSLUK,MATCH($B763,TIP_AD,0))))))</f>
        <v>#REF!</v>
      </c>
      <c r="X763" s="7" t="e">
        <f>IF(ISNUMBER($P763),($Q763="")+($R763="")+($V763="")+IF(AND($U763="KONTAKTOR",NOT(ISNA(MATCH($B763,TIP_AD,0)))),IF(INDEX(TIP_BOSLUK,MATCH($B763,TIP_AD,0))&amp;""="",1,0),0),IF($P763="K",IF($S763="",1,0),0))</f>
        <v>#REF!</v>
      </c>
      <c r="Y763" s="7" t="e">
        <f>N(#REF!)*IF($E763="упак",MAX(1,IF(ISNA(MATCH($C763,FA,0)),1,N(INDEX(F_PAKET,MATCH($C763,FA,0))))),1)</f>
        <v>#REF!</v>
      </c>
      <c r="Z763" s="7" t="e">
        <f t="shared" si="262"/>
        <v>#REF!</v>
      </c>
      <c r="AA763" s="7" t="e">
        <f>IF(OR(ISNA(MATCH($C763,FA,0)),$J763="YEDEK",$J763="SARF"),0,N(#REF!)*N(INDEX(F_TEL,MATCH($C763,FA,0))))</f>
        <v>#REF!</v>
      </c>
      <c r="AB763" s="7" t="e">
        <f>IF(OR(ISNA(MATCH($C763,FA,0)),$J763="YEDEK",$J763="SARF"),0,N(#REF!)*N(INDEX(F_TELM,MATCH($C763,FA,0))))</f>
        <v>#REF!</v>
      </c>
      <c r="AC763" s="7" t="e">
        <f t="shared" si="263"/>
        <v>#REF!</v>
      </c>
      <c r="AD763" s="7">
        <f>IF(OR(ISNA(MATCH($C763,FA,0)),$J763&lt;&gt;"CIKIS"),0,N(INDEX(F_KK,MATCH($C763,FA,0))))</f>
        <v>0</v>
      </c>
      <c r="AE763" s="7">
        <f>IF($AD763=0,0,N(#REF!)*N(INDEX(F_KLN,MATCH($C763,FA,0))))</f>
        <v>0</v>
      </c>
      <c r="AF763" s="7">
        <f>IF($AD763=0,0,N(#REF!)*N(INDEX(F_KPE,MATCH($C763,FA,0))))</f>
        <v>0</v>
      </c>
      <c r="AG763" s="7" t="e">
        <f>IF(ISNA(MATCH($C763,FA,0)),0,N(#REF!)*N(INDEX(F_MODUL,MATCH($C763,FA,0))))</f>
        <v>#REF!</v>
      </c>
      <c r="AH763" s="7" t="e">
        <f>N(#REF!)*N($I763)</f>
        <v>#REF!</v>
      </c>
      <c r="AI763" s="7" t="e">
        <f t="shared" si="264"/>
        <v>#REF!</v>
      </c>
      <c r="AJ763" s="7">
        <f t="shared" si="265"/>
        <v>0</v>
      </c>
    </row>
    <row r="764" spans="1:36" x14ac:dyDescent="0.25">
      <c r="A764" s="4" t="str">
        <f t="shared" si="259"/>
        <v>ЩА-6.1, ЩА-6.3 (260922 akram aulet)</v>
      </c>
      <c r="B764" s="4" t="s">
        <v>173</v>
      </c>
      <c r="C764" s="4" t="s">
        <v>459</v>
      </c>
      <c r="D764" s="4" t="s">
        <v>460</v>
      </c>
      <c r="E764" s="4" t="s">
        <v>114</v>
      </c>
      <c r="F764" s="4" t="s">
        <v>377</v>
      </c>
      <c r="G764" s="4" t="s">
        <v>366</v>
      </c>
      <c r="H764" s="5" t="e">
        <f>#REF!</f>
        <v>#REF!</v>
      </c>
      <c r="I764" s="6" t="e">
        <f t="shared" si="260"/>
        <v>#REF!</v>
      </c>
      <c r="J764" s="6" t="s">
        <v>66</v>
      </c>
      <c r="K764" s="6" t="s">
        <v>173</v>
      </c>
      <c r="L764" s="7" t="e">
        <f t="shared" si="261"/>
        <v>#REF!</v>
      </c>
      <c r="M764" s="7" t="s">
        <v>369</v>
      </c>
      <c r="N764" s="7" t="s">
        <v>323</v>
      </c>
      <c r="O764" s="7" t="str">
        <f>IF(OR($C764="",$C764="FID YOK"),"",IF(ISNUMBER(MATCH($C764,FA_ANA,0)),"",IF(COUNTIF($C$1:$C763,$C764)&gt;0,"",MAX($O$1:$O763)+1)))</f>
        <v/>
      </c>
      <c r="P764" s="8">
        <v>3</v>
      </c>
      <c r="Q764" s="7" t="e">
        <f>IF(OR($P764="",$P764="G",ISNA(MATCH($C764,FA,0))),"",IF(N(INDEX(F_G,MATCH($C764,FA,0)))&gt;0,INDEX(F_G,MATCH($C764,FA,0)),IF(N(INDEX(F_MODUL,MATCH($C764,FA,0)))&gt;0,INDEX(F_MODUL,MATCH($C764,FA,0))*MODUL_MM,"")))</f>
        <v>#REF!</v>
      </c>
      <c r="R764" s="7" t="e">
        <f>IF(OR($P764="",$P764="G",ISNA(MATCH($C764,FA,0))),"",IF(N(INDEX(F_Y,MATCH($C764,FA,0)))&gt;0,INDEX(F_Y,MATCH($C764,FA,0)),""))</f>
        <v>#REF!</v>
      </c>
      <c r="S764" s="7" t="e">
        <f>IF(OR($P764="",$P764="G",ISNA(MATCH($C764,FA,0))),"",IF(N(INDEX(F_D,MATCH($C764,FA,0)))&gt;0,INDEX(F_D,MATCH($C764,FA,0)),""))</f>
        <v>#REF!</v>
      </c>
      <c r="T764" s="7">
        <f>IF(ISNA(MATCH($C764,FA,0)),0,IF($J764="GIRIS",N(INDEX(F_INKOR,MATCH($C764,FA,0))),0))</f>
        <v>0</v>
      </c>
      <c r="U764" s="7" t="e">
        <f>IF(ISNA(MATCH($B764,TIP_AD,0)),"",INDEX(TIP_KAT,MATCH($B764,TIP_AD,0))&amp;"")</f>
        <v>#REF!</v>
      </c>
      <c r="V764" s="7" t="e">
        <f>IF(NOT(ISNUMBER($P764)),"",IF($Z764=0,0,IF(ISNA(MATCH($Z764,BUK_KESIT,0)),"",IF(INDEX(BUK_ALAN,MATCH($Z764,BUK_KESIT,0))&amp;""="","",INDEX(BUK_ALAN,MATCH($Z764,BUK_KESIT,0))))))</f>
        <v>#REF!</v>
      </c>
      <c r="W764" s="7" t="e">
        <f>IF(OR(NOT(ISNUMBER($P764)),$Q764=""),"",N(#REF!)*($Q764+IF(ISNA(MATCH($B764,TIP_AD,0)),0,N(INDEX(TIP_BOSLUK,MATCH($B764,TIP_AD,0))))))</f>
        <v>#REF!</v>
      </c>
      <c r="X764" s="7" t="e">
        <f>IF(ISNUMBER($P764),($Q764="")+($R764="")+($V764="")+IF(AND($U764="KONTAKTOR",NOT(ISNA(MATCH($B764,TIP_AD,0)))),IF(INDEX(TIP_BOSLUK,MATCH($B764,TIP_AD,0))&amp;""="",1,0),0),IF($P764="K",IF($S764="",1,0),0))</f>
        <v>#REF!</v>
      </c>
      <c r="Y764" s="7" t="e">
        <f>N(#REF!)*IF($E764="упак",MAX(1,IF(ISNA(MATCH($C764,FA,0)),1,N(INDEX(F_PAKET,MATCH($C764,FA,0))))),1)</f>
        <v>#REF!</v>
      </c>
      <c r="Z764" s="7" t="e">
        <f t="shared" si="262"/>
        <v>#REF!</v>
      </c>
      <c r="AA764" s="7" t="e">
        <f>IF(OR(ISNA(MATCH($C764,FA,0)),$J764="YEDEK",$J764="SARF"),0,N(#REF!)*N(INDEX(F_TEL,MATCH($C764,FA,0))))</f>
        <v>#REF!</v>
      </c>
      <c r="AB764" s="7" t="e">
        <f>IF(OR(ISNA(MATCH($C764,FA,0)),$J764="YEDEK",$J764="SARF"),0,N(#REF!)*N(INDEX(F_TELM,MATCH($C764,FA,0))))</f>
        <v>#REF!</v>
      </c>
      <c r="AC764" s="7" t="e">
        <f t="shared" si="263"/>
        <v>#REF!</v>
      </c>
      <c r="AD764" s="7">
        <f>IF(OR(ISNA(MATCH($C764,FA,0)),$J764&lt;&gt;"CIKIS"),0,N(INDEX(F_KK,MATCH($C764,FA,0))))</f>
        <v>0</v>
      </c>
      <c r="AE764" s="7">
        <f>IF($AD764=0,0,N(#REF!)*N(INDEX(F_KLN,MATCH($C764,FA,0))))</f>
        <v>0</v>
      </c>
      <c r="AF764" s="7">
        <f>IF($AD764=0,0,N(#REF!)*N(INDEX(F_KPE,MATCH($C764,FA,0))))</f>
        <v>0</v>
      </c>
      <c r="AG764" s="7" t="e">
        <f>IF(ISNA(MATCH($C764,FA,0)),0,N(#REF!)*N(INDEX(F_MODUL,MATCH($C764,FA,0))))</f>
        <v>#REF!</v>
      </c>
      <c r="AH764" s="7" t="e">
        <f>N(#REF!)*N($I764)</f>
        <v>#REF!</v>
      </c>
      <c r="AI764" s="7" t="e">
        <f t="shared" si="264"/>
        <v>#REF!</v>
      </c>
      <c r="AJ764" s="7">
        <f t="shared" si="265"/>
        <v>0</v>
      </c>
    </row>
    <row r="765" spans="1:36" x14ac:dyDescent="0.25">
      <c r="A765" s="4" t="str">
        <f t="shared" si="259"/>
        <v>ЩА-6.1, ЩА-6.3 (260922 akram aulet)</v>
      </c>
      <c r="B765" s="4" t="s">
        <v>61</v>
      </c>
      <c r="C765" s="4" t="s">
        <v>606</v>
      </c>
      <c r="D765" s="4" t="s">
        <v>607</v>
      </c>
      <c r="E765" s="4" t="s">
        <v>114</v>
      </c>
      <c r="F765" s="4" t="s">
        <v>479</v>
      </c>
      <c r="G765" s="4" t="s">
        <v>366</v>
      </c>
      <c r="H765" s="5" t="e">
        <f>#REF!</f>
        <v>#REF!</v>
      </c>
      <c r="I765" s="6" t="e">
        <f t="shared" si="260"/>
        <v>#REF!</v>
      </c>
      <c r="J765" s="6" t="s">
        <v>62</v>
      </c>
      <c r="K765" s="6" t="s">
        <v>61</v>
      </c>
      <c r="L765" s="7" t="e">
        <f t="shared" si="261"/>
        <v>#REF!</v>
      </c>
      <c r="M765" s="7" t="s">
        <v>370</v>
      </c>
      <c r="N765" s="7" t="s">
        <v>64</v>
      </c>
      <c r="O765" s="7" t="str">
        <f>IF(OR($C765="",$C765="FID YOK"),"",IF(ISNUMBER(MATCH($C765,FA_ANA,0)),"",IF(COUNTIF($C$1:$C764,$C765)&gt;0,"",MAX($O$1:$O764)+1)))</f>
        <v/>
      </c>
      <c r="P765" s="8">
        <v>2</v>
      </c>
      <c r="Q765" s="7" t="e">
        <f>IF(OR($P765="",$P765="G",ISNA(MATCH($C765,FA,0))),"",IF(N(INDEX(F_G,MATCH($C765,FA,0)))&gt;0,INDEX(F_G,MATCH($C765,FA,0)),IF(N(INDEX(F_MODUL,MATCH($C765,FA,0)))&gt;0,INDEX(F_MODUL,MATCH($C765,FA,0))*MODUL_MM,"")))</f>
        <v>#REF!</v>
      </c>
      <c r="R765" s="7" t="e">
        <f>IF(OR($P765="",$P765="G",ISNA(MATCH($C765,FA,0))),"",IF(N(INDEX(F_Y,MATCH($C765,FA,0)))&gt;0,INDEX(F_Y,MATCH($C765,FA,0)),""))</f>
        <v>#REF!</v>
      </c>
      <c r="S765" s="7" t="e">
        <f>IF(OR($P765="",$P765="G",ISNA(MATCH($C765,FA,0))),"",IF(N(INDEX(F_D,MATCH($C765,FA,0)))&gt;0,INDEX(F_D,MATCH($C765,FA,0)),""))</f>
        <v>#REF!</v>
      </c>
      <c r="T765" s="7">
        <f>IF(ISNA(MATCH($C765,FA,0)),0,IF($J765="GIRIS",N(INDEX(F_INKOR,MATCH($C765,FA,0))),0))</f>
        <v>0</v>
      </c>
      <c r="U765" s="7" t="e">
        <f>IF(ISNA(MATCH($B765,TIP_AD,0)),"",INDEX(TIP_KAT,MATCH($B765,TIP_AD,0))&amp;"")</f>
        <v>#REF!</v>
      </c>
      <c r="V765" s="7" t="e">
        <f>IF(NOT(ISNUMBER($P765)),"",IF($Z765=0,0,IF(ISNA(MATCH($Z765,BUK_KESIT,0)),"",IF(INDEX(BUK_ALAN,MATCH($Z765,BUK_KESIT,0))&amp;""="","",INDEX(BUK_ALAN,MATCH($Z765,BUK_KESIT,0))))))</f>
        <v>#REF!</v>
      </c>
      <c r="W765" s="7" t="e">
        <f>IF(OR(NOT(ISNUMBER($P765)),$Q765=""),"",N(#REF!)*($Q765+IF(ISNA(MATCH($B765,TIP_AD,0)),0,N(INDEX(TIP_BOSLUK,MATCH($B765,TIP_AD,0))))))</f>
        <v>#REF!</v>
      </c>
      <c r="X765" s="7" t="e">
        <f>IF(ISNUMBER($P765),($Q765="")+($R765="")+($V765="")+IF(AND($U765="KONTAKTOR",NOT(ISNA(MATCH($B765,TIP_AD,0)))),IF(INDEX(TIP_BOSLUK,MATCH($B765,TIP_AD,0))&amp;""="",1,0),0),IF($P765="K",IF($S765="",1,0),0))</f>
        <v>#REF!</v>
      </c>
      <c r="Y765" s="7" t="e">
        <f>N(#REF!)*IF($E765="упак",MAX(1,IF(ISNA(MATCH($C765,FA,0)),1,N(INDEX(F_PAKET,MATCH($C765,FA,0))))),1)</f>
        <v>#REF!</v>
      </c>
      <c r="Z765" s="7" t="e">
        <f t="shared" si="262"/>
        <v>#REF!</v>
      </c>
      <c r="AA765" s="7" t="e">
        <f>IF(OR(ISNA(MATCH($C765,FA,0)),$J765="YEDEK",$J765="SARF"),0,N(#REF!)*N(INDEX(F_TEL,MATCH($C765,FA,0))))</f>
        <v>#REF!</v>
      </c>
      <c r="AB765" s="7" t="e">
        <f>IF(OR(ISNA(MATCH($C765,FA,0)),$J765="YEDEK",$J765="SARF"),0,N(#REF!)*N(INDEX(F_TELM,MATCH($C765,FA,0))))</f>
        <v>#REF!</v>
      </c>
      <c r="AC765" s="7" t="e">
        <f t="shared" si="263"/>
        <v>#REF!</v>
      </c>
      <c r="AD765" s="7">
        <f>IF(OR(ISNA(MATCH($C765,FA,0)),$J765&lt;&gt;"CIKIS"),0,N(INDEX(F_KK,MATCH($C765,FA,0))))</f>
        <v>0</v>
      </c>
      <c r="AE765" s="7">
        <f>IF($AD765=0,0,N(#REF!)*N(INDEX(F_KLN,MATCH($C765,FA,0))))</f>
        <v>0</v>
      </c>
      <c r="AF765" s="7">
        <f>IF($AD765=0,0,N(#REF!)*N(INDEX(F_KPE,MATCH($C765,FA,0))))</f>
        <v>0</v>
      </c>
      <c r="AG765" s="7" t="e">
        <f>IF(ISNA(MATCH($C765,FA,0)),0,N(#REF!)*N(INDEX(F_MODUL,MATCH($C765,FA,0))))</f>
        <v>#REF!</v>
      </c>
      <c r="AH765" s="7" t="e">
        <f>N(#REF!)*N($I765)</f>
        <v>#REF!</v>
      </c>
      <c r="AI765" s="7" t="e">
        <f t="shared" si="264"/>
        <v>#REF!</v>
      </c>
      <c r="AJ765" s="7">
        <f t="shared" si="265"/>
        <v>0</v>
      </c>
    </row>
    <row r="766" spans="1:36" x14ac:dyDescent="0.25">
      <c r="A766" s="4" t="str">
        <f t="shared" si="259"/>
        <v>ЩА-6.1, ЩА-6.3 (260922 akram aulet)</v>
      </c>
      <c r="B766" s="4" t="s">
        <v>65</v>
      </c>
      <c r="C766" s="4" t="s">
        <v>390</v>
      </c>
      <c r="D766" s="4" t="s">
        <v>391</v>
      </c>
      <c r="E766" s="4" t="s">
        <v>114</v>
      </c>
      <c r="F766" s="4" t="s">
        <v>377</v>
      </c>
      <c r="G766" s="4" t="s">
        <v>366</v>
      </c>
      <c r="H766" s="5" t="e">
        <f>#REF!</f>
        <v>#REF!</v>
      </c>
      <c r="I766" s="6" t="e">
        <f t="shared" si="260"/>
        <v>#REF!</v>
      </c>
      <c r="J766" s="6" t="s">
        <v>52</v>
      </c>
      <c r="K766" s="6" t="s">
        <v>65</v>
      </c>
      <c r="L766" s="7" t="e">
        <f t="shared" si="261"/>
        <v>#REF!</v>
      </c>
      <c r="N766" s="7" t="s">
        <v>356</v>
      </c>
      <c r="O766" s="7" t="str">
        <f>IF(OR($C766="",$C766="FID YOK"),"",IF(ISNUMBER(MATCH($C766,FA_ANA,0)),"",IF(COUNTIF($C$1:$C765,$C766)&gt;0,"",MAX($O$1:$O765)+1)))</f>
        <v/>
      </c>
      <c r="P766" s="8">
        <v>3</v>
      </c>
      <c r="Q766" s="7" t="e">
        <f>IF(OR($P766="",$P766="G",ISNA(MATCH($C766,FA,0))),"",IF(N(INDEX(F_G,MATCH($C766,FA,0)))&gt;0,INDEX(F_G,MATCH($C766,FA,0)),IF(N(INDEX(F_MODUL,MATCH($C766,FA,0)))&gt;0,INDEX(F_MODUL,MATCH($C766,FA,0))*MODUL_MM,"")))</f>
        <v>#REF!</v>
      </c>
      <c r="R766" s="7" t="e">
        <f>IF(OR($P766="",$P766="G",ISNA(MATCH($C766,FA,0))),"",IF(N(INDEX(F_Y,MATCH($C766,FA,0)))&gt;0,INDEX(F_Y,MATCH($C766,FA,0)),""))</f>
        <v>#REF!</v>
      </c>
      <c r="S766" s="7" t="e">
        <f>IF(OR($P766="",$P766="G",ISNA(MATCH($C766,FA,0))),"",IF(N(INDEX(F_D,MATCH($C766,FA,0)))&gt;0,INDEX(F_D,MATCH($C766,FA,0)),""))</f>
        <v>#REF!</v>
      </c>
      <c r="T766" s="7">
        <f>IF(ISNA(MATCH($C766,FA,0)),0,IF($J766="GIRIS",N(INDEX(F_INKOR,MATCH($C766,FA,0))),0))</f>
        <v>0</v>
      </c>
      <c r="U766" s="7" t="e">
        <f>IF(ISNA(MATCH($B766,TIP_AD,0)),"",INDEX(TIP_KAT,MATCH($B766,TIP_AD,0))&amp;"")</f>
        <v>#REF!</v>
      </c>
      <c r="V766" s="7" t="e">
        <f>IF(NOT(ISNUMBER($P766)),"",IF($Z766=0,0,IF(ISNA(MATCH($Z766,BUK_KESIT,0)),"",IF(INDEX(BUK_ALAN,MATCH($Z766,BUK_KESIT,0))&amp;""="","",INDEX(BUK_ALAN,MATCH($Z766,BUK_KESIT,0))))))</f>
        <v>#REF!</v>
      </c>
      <c r="W766" s="7" t="e">
        <f>IF(OR(NOT(ISNUMBER($P766)),$Q766=""),"",N(#REF!)*($Q766+IF(ISNA(MATCH($B766,TIP_AD,0)),0,N(INDEX(TIP_BOSLUK,MATCH($B766,TIP_AD,0))))))</f>
        <v>#REF!</v>
      </c>
      <c r="X766" s="7" t="e">
        <f>IF(ISNUMBER($P766),($Q766="")+($R766="")+($V766="")+IF(AND($U766="KONTAKTOR",NOT(ISNA(MATCH($B766,TIP_AD,0)))),IF(INDEX(TIP_BOSLUK,MATCH($B766,TIP_AD,0))&amp;""="",1,0),0),IF($P766="K",IF($S766="",1,0),0))</f>
        <v>#REF!</v>
      </c>
      <c r="Y766" s="7" t="e">
        <f>N(#REF!)*IF($E766="упак",MAX(1,IF(ISNA(MATCH($C766,FA,0)),1,N(INDEX(F_PAKET,MATCH($C766,FA,0))))),1)</f>
        <v>#REF!</v>
      </c>
      <c r="Z766" s="7" t="e">
        <f t="shared" si="262"/>
        <v>#REF!</v>
      </c>
      <c r="AA766" s="7" t="e">
        <f>IF(OR(ISNA(MATCH($C766,FA,0)),$J766="YEDEK",$J766="SARF"),0,N(#REF!)*N(INDEX(F_TEL,MATCH($C766,FA,0))))</f>
        <v>#REF!</v>
      </c>
      <c r="AB766" s="7" t="e">
        <f>IF(OR(ISNA(MATCH($C766,FA,0)),$J766="YEDEK",$J766="SARF"),0,N(#REF!)*N(INDEX(F_TELM,MATCH($C766,FA,0))))</f>
        <v>#REF!</v>
      </c>
      <c r="AC766" s="7" t="e">
        <f t="shared" si="263"/>
        <v>#REF!</v>
      </c>
      <c r="AD766" s="7" t="e">
        <f>IF(OR(ISNA(MATCH($C766,FA,0)),$J766&lt;&gt;"CIKIS"),0,N(INDEX(F_KK,MATCH($C766,FA,0))))</f>
        <v>#REF!</v>
      </c>
      <c r="AE766" s="7" t="e">
        <f>IF($AD766=0,0,N(#REF!)*N(INDEX(F_KLN,MATCH($C766,FA,0))))</f>
        <v>#REF!</v>
      </c>
      <c r="AF766" s="7" t="e">
        <f>IF($AD766=0,0,N(#REF!)*N(INDEX(F_KPE,MATCH($C766,FA,0))))</f>
        <v>#REF!</v>
      </c>
      <c r="AG766" s="7" t="e">
        <f>IF(ISNA(MATCH($C766,FA,0)),0,N(#REF!)*N(INDEX(F_MODUL,MATCH($C766,FA,0))))</f>
        <v>#REF!</v>
      </c>
      <c r="AH766" s="7" t="e">
        <f>N(#REF!)*N($I766)</f>
        <v>#REF!</v>
      </c>
      <c r="AI766" s="7" t="e">
        <f t="shared" si="264"/>
        <v>#REF!</v>
      </c>
      <c r="AJ766" s="7">
        <f t="shared" si="265"/>
        <v>0</v>
      </c>
    </row>
    <row r="767" spans="1:36" x14ac:dyDescent="0.25">
      <c r="A767" s="4" t="str">
        <f t="shared" si="259"/>
        <v>ЩА-6.1, ЩА-6.3 (260922 akram aulet)</v>
      </c>
      <c r="B767" s="4" t="s">
        <v>65</v>
      </c>
      <c r="C767" s="4" t="s">
        <v>388</v>
      </c>
      <c r="D767" s="4" t="s">
        <v>389</v>
      </c>
      <c r="E767" s="4" t="s">
        <v>114</v>
      </c>
      <c r="F767" s="4" t="s">
        <v>377</v>
      </c>
      <c r="G767" s="4" t="s">
        <v>366</v>
      </c>
      <c r="H767" s="5" t="e">
        <f>#REF!</f>
        <v>#REF!</v>
      </c>
      <c r="I767" s="6" t="e">
        <f t="shared" si="260"/>
        <v>#REF!</v>
      </c>
      <c r="J767" s="6" t="s">
        <v>52</v>
      </c>
      <c r="K767" s="6" t="s">
        <v>65</v>
      </c>
      <c r="L767" s="7" t="e">
        <f t="shared" si="261"/>
        <v>#REF!</v>
      </c>
      <c r="M767" s="7" t="s">
        <v>371</v>
      </c>
      <c r="N767" s="7" t="s">
        <v>228</v>
      </c>
      <c r="O767" s="7" t="str">
        <f>IF(OR($C767="",$C767="FID YOK"),"",IF(ISNUMBER(MATCH($C767,FA_ANA,0)),"",IF(COUNTIF($C$1:$C766,$C767)&gt;0,"",MAX($O$1:$O766)+1)))</f>
        <v/>
      </c>
      <c r="P767" s="8">
        <v>3</v>
      </c>
      <c r="Q767" s="7" t="e">
        <f>IF(OR($P767="",$P767="G",ISNA(MATCH($C767,FA,0))),"",IF(N(INDEX(F_G,MATCH($C767,FA,0)))&gt;0,INDEX(F_G,MATCH($C767,FA,0)),IF(N(INDEX(F_MODUL,MATCH($C767,FA,0)))&gt;0,INDEX(F_MODUL,MATCH($C767,FA,0))*MODUL_MM,"")))</f>
        <v>#REF!</v>
      </c>
      <c r="R767" s="7" t="e">
        <f>IF(OR($P767="",$P767="G",ISNA(MATCH($C767,FA,0))),"",IF(N(INDEX(F_Y,MATCH($C767,FA,0)))&gt;0,INDEX(F_Y,MATCH($C767,FA,0)),""))</f>
        <v>#REF!</v>
      </c>
      <c r="S767" s="7" t="e">
        <f>IF(OR($P767="",$P767="G",ISNA(MATCH($C767,FA,0))),"",IF(N(INDEX(F_D,MATCH($C767,FA,0)))&gt;0,INDEX(F_D,MATCH($C767,FA,0)),""))</f>
        <v>#REF!</v>
      </c>
      <c r="T767" s="7">
        <f>IF(ISNA(MATCH($C767,FA,0)),0,IF($J767="GIRIS",N(INDEX(F_INKOR,MATCH($C767,FA,0))),0))</f>
        <v>0</v>
      </c>
      <c r="U767" s="7" t="e">
        <f>IF(ISNA(MATCH($B767,TIP_AD,0)),"",INDEX(TIP_KAT,MATCH($B767,TIP_AD,0))&amp;"")</f>
        <v>#REF!</v>
      </c>
      <c r="V767" s="7" t="e">
        <f>IF(NOT(ISNUMBER($P767)),"",IF($Z767=0,0,IF(ISNA(MATCH($Z767,BUK_KESIT,0)),"",IF(INDEX(BUK_ALAN,MATCH($Z767,BUK_KESIT,0))&amp;""="","",INDEX(BUK_ALAN,MATCH($Z767,BUK_KESIT,0))))))</f>
        <v>#REF!</v>
      </c>
      <c r="W767" s="7" t="e">
        <f>IF(OR(NOT(ISNUMBER($P767)),$Q767=""),"",N(#REF!)*($Q767+IF(ISNA(MATCH($B767,TIP_AD,0)),0,N(INDEX(TIP_BOSLUK,MATCH($B767,TIP_AD,0))))))</f>
        <v>#REF!</v>
      </c>
      <c r="X767" s="7" t="e">
        <f>IF(ISNUMBER($P767),($Q767="")+($R767="")+($V767="")+IF(AND($U767="KONTAKTOR",NOT(ISNA(MATCH($B767,TIP_AD,0)))),IF(INDEX(TIP_BOSLUK,MATCH($B767,TIP_AD,0))&amp;""="",1,0),0),IF($P767="K",IF($S767="",1,0),0))</f>
        <v>#REF!</v>
      </c>
      <c r="Y767" s="7" t="e">
        <f>N(#REF!)*IF($E767="упак",MAX(1,IF(ISNA(MATCH($C767,FA,0)),1,N(INDEX(F_PAKET,MATCH($C767,FA,0))))),1)</f>
        <v>#REF!</v>
      </c>
      <c r="Z767" s="7" t="e">
        <f t="shared" si="262"/>
        <v>#REF!</v>
      </c>
      <c r="AA767" s="7" t="e">
        <f>IF(OR(ISNA(MATCH($C767,FA,0)),$J767="YEDEK",$J767="SARF"),0,N(#REF!)*N(INDEX(F_TEL,MATCH($C767,FA,0))))</f>
        <v>#REF!</v>
      </c>
      <c r="AB767" s="7" t="e">
        <f>IF(OR(ISNA(MATCH($C767,FA,0)),$J767="YEDEK",$J767="SARF"),0,N(#REF!)*N(INDEX(F_TELM,MATCH($C767,FA,0))))</f>
        <v>#REF!</v>
      </c>
      <c r="AC767" s="7" t="e">
        <f t="shared" si="263"/>
        <v>#REF!</v>
      </c>
      <c r="AD767" s="7" t="e">
        <f>IF(OR(ISNA(MATCH($C767,FA,0)),$J767&lt;&gt;"CIKIS"),0,N(INDEX(F_KK,MATCH($C767,FA,0))))</f>
        <v>#REF!</v>
      </c>
      <c r="AE767" s="7" t="e">
        <f>IF($AD767=0,0,N(#REF!)*N(INDEX(F_KLN,MATCH($C767,FA,0))))</f>
        <v>#REF!</v>
      </c>
      <c r="AF767" s="7" t="e">
        <f>IF($AD767=0,0,N(#REF!)*N(INDEX(F_KPE,MATCH($C767,FA,0))))</f>
        <v>#REF!</v>
      </c>
      <c r="AG767" s="7" t="e">
        <f>IF(ISNA(MATCH($C767,FA,0)),0,N(#REF!)*N(INDEX(F_MODUL,MATCH($C767,FA,0))))</f>
        <v>#REF!</v>
      </c>
      <c r="AH767" s="7" t="e">
        <f>N(#REF!)*N($I767)</f>
        <v>#REF!</v>
      </c>
      <c r="AI767" s="7" t="e">
        <f t="shared" si="264"/>
        <v>#REF!</v>
      </c>
      <c r="AJ767" s="7">
        <f t="shared" si="265"/>
        <v>0</v>
      </c>
    </row>
    <row r="768" spans="1:36" x14ac:dyDescent="0.25">
      <c r="A768" s="4" t="str">
        <f t="shared" si="259"/>
        <v>ЩА-6.1, ЩА-6.3 (260922 akram aulet)</v>
      </c>
      <c r="B768" s="4" t="s">
        <v>202</v>
      </c>
      <c r="C768" s="4" t="s">
        <v>575</v>
      </c>
      <c r="D768" s="4" t="s">
        <v>576</v>
      </c>
      <c r="E768" s="4" t="s">
        <v>114</v>
      </c>
      <c r="F768" s="4" t="s">
        <v>486</v>
      </c>
      <c r="G768" s="4" t="s">
        <v>366</v>
      </c>
      <c r="H768" s="5" t="e">
        <f>#REF!</f>
        <v>#REF!</v>
      </c>
      <c r="I768" s="6" t="e">
        <f t="shared" si="260"/>
        <v>#REF!</v>
      </c>
      <c r="J768" s="6" t="s">
        <v>84</v>
      </c>
      <c r="K768" s="6" t="s">
        <v>202</v>
      </c>
      <c r="L768" s="7" t="e">
        <f t="shared" si="261"/>
        <v>#REF!</v>
      </c>
      <c r="M768" s="7" t="s">
        <v>203</v>
      </c>
      <c r="O768" s="7" t="str">
        <f>IF(OR($C768="",$C768="FID YOK"),"",IF(ISNUMBER(MATCH($C768,FA_ANA,0)),"",IF(COUNTIF($C$1:$C767,$C768)&gt;0,"",MAX($O$1:$O767)+1)))</f>
        <v/>
      </c>
      <c r="T768" s="7">
        <f>IF(ISNA(MATCH($C768,FA,0)),0,IF($J768="GIRIS",N(INDEX(F_INKOR,MATCH($C768,FA,0))),0))</f>
        <v>0</v>
      </c>
      <c r="Y768" s="7" t="e">
        <f>N(#REF!)*IF($E768="упак",MAX(1,IF(ISNA(MATCH($C768,FA,0)),1,N(INDEX(F_PAKET,MATCH($C768,FA,0))))),1)</f>
        <v>#REF!</v>
      </c>
      <c r="Z768" s="7" t="e">
        <f t="shared" si="262"/>
        <v>#REF!</v>
      </c>
      <c r="AA768" s="7">
        <f>IF(OR(ISNA(MATCH($C768,FA,0)),$J768="YEDEK",$J768="SARF"),0,N(#REF!)*N(INDEX(F_TEL,MATCH($C768,FA,0))))</f>
        <v>0</v>
      </c>
      <c r="AB768" s="7">
        <f>IF(OR(ISNA(MATCH($C768,FA,0)),$J768="YEDEK",$J768="SARF"),0,N(#REF!)*N(INDEX(F_TELM,MATCH($C768,FA,0))))</f>
        <v>0</v>
      </c>
      <c r="AC768" s="7" t="e">
        <f t="shared" si="263"/>
        <v>#REF!</v>
      </c>
      <c r="AD768" s="7">
        <f>IF(OR(ISNA(MATCH($C768,FA,0)),$J768&lt;&gt;"CIKIS"),0,N(INDEX(F_KK,MATCH($C768,FA,0))))</f>
        <v>0</v>
      </c>
      <c r="AE768" s="7">
        <f>IF($AD768=0,0,N(#REF!)*N(INDEX(F_KLN,MATCH($C768,FA,0))))</f>
        <v>0</v>
      </c>
      <c r="AF768" s="7">
        <f>IF($AD768=0,0,N(#REF!)*N(INDEX(F_KPE,MATCH($C768,FA,0))))</f>
        <v>0</v>
      </c>
      <c r="AG768" s="7" t="e">
        <f>IF(ISNA(MATCH($C768,FA,0)),0,N(#REF!)*N(INDEX(F_MODUL,MATCH($C768,FA,0))))</f>
        <v>#REF!</v>
      </c>
      <c r="AH768" s="7" t="e">
        <f>N(#REF!)*N($I768)</f>
        <v>#REF!</v>
      </c>
      <c r="AI768" s="7" t="e">
        <f t="shared" si="264"/>
        <v>#REF!</v>
      </c>
      <c r="AJ768" s="7">
        <f t="shared" si="265"/>
        <v>0</v>
      </c>
    </row>
    <row r="769" spans="1:36" x14ac:dyDescent="0.25">
      <c r="A769" s="4" t="str">
        <f t="shared" si="259"/>
        <v>ЩА-6.1, ЩА-6.3 (260922 akram aulet)</v>
      </c>
      <c r="B769" s="4" t="s">
        <v>202</v>
      </c>
      <c r="C769" s="4" t="s">
        <v>575</v>
      </c>
      <c r="D769" s="4" t="s">
        <v>576</v>
      </c>
      <c r="E769" s="4" t="s">
        <v>114</v>
      </c>
      <c r="F769" s="4" t="s">
        <v>486</v>
      </c>
      <c r="G769" s="4" t="s">
        <v>366</v>
      </c>
      <c r="H769" s="5" t="e">
        <f>#REF!</f>
        <v>#REF!</v>
      </c>
      <c r="I769" s="6" t="e">
        <f t="shared" si="260"/>
        <v>#REF!</v>
      </c>
      <c r="J769" s="6" t="s">
        <v>84</v>
      </c>
      <c r="K769" s="6" t="s">
        <v>202</v>
      </c>
      <c r="L769" s="7" t="e">
        <f t="shared" si="261"/>
        <v>#REF!</v>
      </c>
      <c r="M769" s="7" t="s">
        <v>204</v>
      </c>
      <c r="O769" s="7" t="str">
        <f>IF(OR($C769="",$C769="FID YOK"),"",IF(ISNUMBER(MATCH($C769,FA_ANA,0)),"",IF(COUNTIF($C$1:$C768,$C769)&gt;0,"",MAX($O$1:$O768)+1)))</f>
        <v/>
      </c>
      <c r="T769" s="7">
        <f>IF(ISNA(MATCH($C769,FA,0)),0,IF($J769="GIRIS",N(INDEX(F_INKOR,MATCH($C769,FA,0))),0))</f>
        <v>0</v>
      </c>
      <c r="Y769" s="7" t="e">
        <f>N(#REF!)*IF($E769="упак",MAX(1,IF(ISNA(MATCH($C769,FA,0)),1,N(INDEX(F_PAKET,MATCH($C769,FA,0))))),1)</f>
        <v>#REF!</v>
      </c>
      <c r="Z769" s="7" t="e">
        <f t="shared" si="262"/>
        <v>#REF!</v>
      </c>
      <c r="AA769" s="7">
        <f>IF(OR(ISNA(MATCH($C769,FA,0)),$J769="YEDEK",$J769="SARF"),0,N(#REF!)*N(INDEX(F_TEL,MATCH($C769,FA,0))))</f>
        <v>0</v>
      </c>
      <c r="AB769" s="7">
        <f>IF(OR(ISNA(MATCH($C769,FA,0)),$J769="YEDEK",$J769="SARF"),0,N(#REF!)*N(INDEX(F_TELM,MATCH($C769,FA,0))))</f>
        <v>0</v>
      </c>
      <c r="AC769" s="7" t="e">
        <f t="shared" si="263"/>
        <v>#REF!</v>
      </c>
      <c r="AD769" s="7">
        <f>IF(OR(ISNA(MATCH($C769,FA,0)),$J769&lt;&gt;"CIKIS"),0,N(INDEX(F_KK,MATCH($C769,FA,0))))</f>
        <v>0</v>
      </c>
      <c r="AE769" s="7">
        <f>IF($AD769=0,0,N(#REF!)*N(INDEX(F_KLN,MATCH($C769,FA,0))))</f>
        <v>0</v>
      </c>
      <c r="AF769" s="7">
        <f>IF($AD769=0,0,N(#REF!)*N(INDEX(F_KPE,MATCH($C769,FA,0))))</f>
        <v>0</v>
      </c>
      <c r="AG769" s="7" t="e">
        <f>IF(ISNA(MATCH($C769,FA,0)),0,N(#REF!)*N(INDEX(F_MODUL,MATCH($C769,FA,0))))</f>
        <v>#REF!</v>
      </c>
      <c r="AH769" s="7" t="e">
        <f>N(#REF!)*N($I769)</f>
        <v>#REF!</v>
      </c>
      <c r="AI769" s="7" t="e">
        <f t="shared" si="264"/>
        <v>#REF!</v>
      </c>
      <c r="AJ769" s="7">
        <f t="shared" si="265"/>
        <v>0</v>
      </c>
    </row>
    <row r="770" spans="1:36" x14ac:dyDescent="0.25">
      <c r="A770" s="4" t="str">
        <f t="shared" si="259"/>
        <v>ЩА-6.1, ЩА-6.3 (260922 akram aulet)</v>
      </c>
      <c r="B770" s="4" t="s">
        <v>92</v>
      </c>
      <c r="C770" s="4" t="s">
        <v>523</v>
      </c>
      <c r="D770" s="4" t="s">
        <v>524</v>
      </c>
      <c r="E770" s="4" t="s">
        <v>520</v>
      </c>
      <c r="F770" s="4" t="s">
        <v>521</v>
      </c>
      <c r="G770" s="4" t="s">
        <v>366</v>
      </c>
      <c r="H770" s="5" t="e">
        <f>#REF!</f>
        <v>#REF!</v>
      </c>
      <c r="I770" s="6" t="e">
        <f t="shared" si="260"/>
        <v>#REF!</v>
      </c>
      <c r="J770" s="6" t="s">
        <v>84</v>
      </c>
      <c r="K770" s="6" t="s">
        <v>92</v>
      </c>
      <c r="L770" s="7" t="e">
        <f t="shared" si="261"/>
        <v>#REF!</v>
      </c>
      <c r="M770" s="7" t="s">
        <v>93</v>
      </c>
      <c r="O770" s="7" t="str">
        <f>IF(OR($C770="",$C770="FID YOK"),"",IF(ISNUMBER(MATCH($C770,FA_ANA,0)),"",IF(COUNTIF($C$1:$C769,$C770)&gt;0,"",MAX($O$1:$O769)+1)))</f>
        <v/>
      </c>
      <c r="T770" s="7">
        <f>IF(ISNA(MATCH($C770,FA,0)),0,IF($J770="GIRIS",N(INDEX(F_INKOR,MATCH($C770,FA,0))),0))</f>
        <v>0</v>
      </c>
      <c r="Y770" s="7" t="e">
        <f>N(#REF!)*IF($E770="упак",MAX(1,IF(ISNA(MATCH($C770,FA,0)),1,N(INDEX(F_PAKET,MATCH($C770,FA,0))))),1)</f>
        <v>#REF!</v>
      </c>
      <c r="Z770" s="7" t="e">
        <f t="shared" si="262"/>
        <v>#REF!</v>
      </c>
      <c r="AA770" s="7">
        <f>IF(OR(ISNA(MATCH($C770,FA,0)),$J770="YEDEK",$J770="SARF"),0,N(#REF!)*N(INDEX(F_TEL,MATCH($C770,FA,0))))</f>
        <v>0</v>
      </c>
      <c r="AB770" s="7">
        <f>IF(OR(ISNA(MATCH($C770,FA,0)),$J770="YEDEK",$J770="SARF"),0,N(#REF!)*N(INDEX(F_TELM,MATCH($C770,FA,0))))</f>
        <v>0</v>
      </c>
      <c r="AC770" s="7" t="e">
        <f t="shared" si="263"/>
        <v>#REF!</v>
      </c>
      <c r="AD770" s="7">
        <f>IF(OR(ISNA(MATCH($C770,FA,0)),$J770&lt;&gt;"CIKIS"),0,N(INDEX(F_KK,MATCH($C770,FA,0))))</f>
        <v>0</v>
      </c>
      <c r="AE770" s="7">
        <f>IF($AD770=0,0,N(#REF!)*N(INDEX(F_KLN,MATCH($C770,FA,0))))</f>
        <v>0</v>
      </c>
      <c r="AF770" s="7">
        <f>IF($AD770=0,0,N(#REF!)*N(INDEX(F_KPE,MATCH($C770,FA,0))))</f>
        <v>0</v>
      </c>
      <c r="AG770" s="7" t="e">
        <f>IF(ISNA(MATCH($C770,FA,0)),0,N(#REF!)*N(INDEX(F_MODUL,MATCH($C770,FA,0))))</f>
        <v>#REF!</v>
      </c>
      <c r="AH770" s="7" t="e">
        <f>N(#REF!)*N($I770)</f>
        <v>#REF!</v>
      </c>
      <c r="AI770" s="7" t="e">
        <f t="shared" si="264"/>
        <v>#REF!</v>
      </c>
      <c r="AJ770" s="7">
        <f t="shared" si="265"/>
        <v>0</v>
      </c>
    </row>
    <row r="771" spans="1:36" x14ac:dyDescent="0.25">
      <c r="A771" s="4" t="str">
        <f t="shared" si="259"/>
        <v>ЩА-6.1, ЩА-6.3 (260922 akram aulet)</v>
      </c>
      <c r="B771" s="4" t="s">
        <v>92</v>
      </c>
      <c r="C771" s="4" t="s">
        <v>527</v>
      </c>
      <c r="D771" s="4" t="s">
        <v>528</v>
      </c>
      <c r="E771" s="4" t="s">
        <v>520</v>
      </c>
      <c r="F771" s="4" t="s">
        <v>521</v>
      </c>
      <c r="G771" s="4" t="s">
        <v>366</v>
      </c>
      <c r="H771" s="5" t="e">
        <f>#REF!</f>
        <v>#REF!</v>
      </c>
      <c r="I771" s="6" t="e">
        <f t="shared" si="260"/>
        <v>#REF!</v>
      </c>
      <c r="J771" s="6" t="s">
        <v>84</v>
      </c>
      <c r="K771" s="6" t="s">
        <v>92</v>
      </c>
      <c r="L771" s="7" t="e">
        <f t="shared" si="261"/>
        <v>#REF!</v>
      </c>
      <c r="M771" s="7" t="s">
        <v>94</v>
      </c>
      <c r="O771" s="7" t="str">
        <f>IF(OR($C771="",$C771="FID YOK"),"",IF(ISNUMBER(MATCH($C771,FA_ANA,0)),"",IF(COUNTIF($C$1:$C770,$C771)&gt;0,"",MAX($O$1:$O770)+1)))</f>
        <v/>
      </c>
      <c r="T771" s="7">
        <f>IF(ISNA(MATCH($C771,FA,0)),0,IF($J771="GIRIS",N(INDEX(F_INKOR,MATCH($C771,FA,0))),0))</f>
        <v>0</v>
      </c>
      <c r="Y771" s="7" t="e">
        <f>N(#REF!)*IF($E771="упак",MAX(1,IF(ISNA(MATCH($C771,FA,0)),1,N(INDEX(F_PAKET,MATCH($C771,FA,0))))),1)</f>
        <v>#REF!</v>
      </c>
      <c r="Z771" s="7" t="e">
        <f t="shared" si="262"/>
        <v>#REF!</v>
      </c>
      <c r="AA771" s="7">
        <f>IF(OR(ISNA(MATCH($C771,FA,0)),$J771="YEDEK",$J771="SARF"),0,N(#REF!)*N(INDEX(F_TEL,MATCH($C771,FA,0))))</f>
        <v>0</v>
      </c>
      <c r="AB771" s="7">
        <f>IF(OR(ISNA(MATCH($C771,FA,0)),$J771="YEDEK",$J771="SARF"),0,N(#REF!)*N(INDEX(F_TELM,MATCH($C771,FA,0))))</f>
        <v>0</v>
      </c>
      <c r="AC771" s="7" t="e">
        <f t="shared" si="263"/>
        <v>#REF!</v>
      </c>
      <c r="AD771" s="7">
        <f>IF(OR(ISNA(MATCH($C771,FA,0)),$J771&lt;&gt;"CIKIS"),0,N(INDEX(F_KK,MATCH($C771,FA,0))))</f>
        <v>0</v>
      </c>
      <c r="AE771" s="7">
        <f>IF($AD771=0,0,N(#REF!)*N(INDEX(F_KLN,MATCH($C771,FA,0))))</f>
        <v>0</v>
      </c>
      <c r="AF771" s="7">
        <f>IF($AD771=0,0,N(#REF!)*N(INDEX(F_KPE,MATCH($C771,FA,0))))</f>
        <v>0</v>
      </c>
      <c r="AG771" s="7" t="e">
        <f>IF(ISNA(MATCH($C771,FA,0)),0,N(#REF!)*N(INDEX(F_MODUL,MATCH($C771,FA,0))))</f>
        <v>#REF!</v>
      </c>
      <c r="AH771" s="7" t="e">
        <f>N(#REF!)*N($I771)</f>
        <v>#REF!</v>
      </c>
      <c r="AI771" s="7" t="e">
        <f t="shared" si="264"/>
        <v>#REF!</v>
      </c>
      <c r="AJ771" s="7">
        <f t="shared" si="265"/>
        <v>0</v>
      </c>
    </row>
    <row r="772" spans="1:36" x14ac:dyDescent="0.25">
      <c r="A772" s="4" t="str">
        <f t="shared" si="259"/>
        <v>ЩА-6.1, ЩА-6.3 (260922 akram aulet)</v>
      </c>
      <c r="B772" s="4" t="s">
        <v>92</v>
      </c>
      <c r="C772" s="4" t="s">
        <v>545</v>
      </c>
      <c r="D772" s="4" t="s">
        <v>546</v>
      </c>
      <c r="E772" s="4" t="s">
        <v>520</v>
      </c>
      <c r="F772" s="4" t="s">
        <v>521</v>
      </c>
      <c r="G772" s="4" t="s">
        <v>366</v>
      </c>
      <c r="H772" s="5" t="e">
        <f>#REF!</f>
        <v>#REF!</v>
      </c>
      <c r="I772" s="6" t="e">
        <f t="shared" si="260"/>
        <v>#REF!</v>
      </c>
      <c r="J772" s="6" t="s">
        <v>84</v>
      </c>
      <c r="K772" s="6" t="s">
        <v>92</v>
      </c>
      <c r="L772" s="7" t="e">
        <f t="shared" si="261"/>
        <v>#REF!</v>
      </c>
      <c r="M772" s="7" t="s">
        <v>131</v>
      </c>
      <c r="O772" s="7" t="str">
        <f>IF(OR($C772="",$C772="FID YOK"),"",IF(ISNUMBER(MATCH($C772,FA_ANA,0)),"",IF(COUNTIF($C$1:$C771,$C772)&gt;0,"",MAX($O$1:$O771)+1)))</f>
        <v/>
      </c>
      <c r="T772" s="7">
        <f>IF(ISNA(MATCH($C772,FA,0)),0,IF($J772="GIRIS",N(INDEX(F_INKOR,MATCH($C772,FA,0))),0))</f>
        <v>0</v>
      </c>
      <c r="Y772" s="7" t="e">
        <f>N(#REF!)*IF($E772="упак",MAX(1,IF(ISNA(MATCH($C772,FA,0)),1,N(INDEX(F_PAKET,MATCH($C772,FA,0))))),1)</f>
        <v>#REF!</v>
      </c>
      <c r="Z772" s="7" t="e">
        <f t="shared" si="262"/>
        <v>#REF!</v>
      </c>
      <c r="AA772" s="7">
        <f>IF(OR(ISNA(MATCH($C772,FA,0)),$J772="YEDEK",$J772="SARF"),0,N(#REF!)*N(INDEX(F_TEL,MATCH($C772,FA,0))))</f>
        <v>0</v>
      </c>
      <c r="AB772" s="7">
        <f>IF(OR(ISNA(MATCH($C772,FA,0)),$J772="YEDEK",$J772="SARF"),0,N(#REF!)*N(INDEX(F_TELM,MATCH($C772,FA,0))))</f>
        <v>0</v>
      </c>
      <c r="AC772" s="7" t="e">
        <f t="shared" si="263"/>
        <v>#REF!</v>
      </c>
      <c r="AD772" s="7">
        <f>IF(OR(ISNA(MATCH($C772,FA,0)),$J772&lt;&gt;"CIKIS"),0,N(INDEX(F_KK,MATCH($C772,FA,0))))</f>
        <v>0</v>
      </c>
      <c r="AE772" s="7">
        <f>IF($AD772=0,0,N(#REF!)*N(INDEX(F_KLN,MATCH($C772,FA,0))))</f>
        <v>0</v>
      </c>
      <c r="AF772" s="7">
        <f>IF($AD772=0,0,N(#REF!)*N(INDEX(F_KPE,MATCH($C772,FA,0))))</f>
        <v>0</v>
      </c>
      <c r="AG772" s="7" t="e">
        <f>IF(ISNA(MATCH($C772,FA,0)),0,N(#REF!)*N(INDEX(F_MODUL,MATCH($C772,FA,0))))</f>
        <v>#REF!</v>
      </c>
      <c r="AH772" s="7" t="e">
        <f>N(#REF!)*N($I772)</f>
        <v>#REF!</v>
      </c>
      <c r="AI772" s="7" t="e">
        <f t="shared" si="264"/>
        <v>#REF!</v>
      </c>
      <c r="AJ772" s="7">
        <f t="shared" si="265"/>
        <v>0</v>
      </c>
    </row>
    <row r="773" spans="1:36" x14ac:dyDescent="0.25">
      <c r="A773" s="4" t="str">
        <f t="shared" si="259"/>
        <v>ЩА-6.1, ЩА-6.3 (260922 akram aulet)</v>
      </c>
      <c r="B773" s="4" t="s">
        <v>92</v>
      </c>
      <c r="C773" s="4" t="s">
        <v>535</v>
      </c>
      <c r="D773" s="4" t="s">
        <v>536</v>
      </c>
      <c r="E773" s="4" t="s">
        <v>520</v>
      </c>
      <c r="F773" s="4" t="s">
        <v>521</v>
      </c>
      <c r="G773" s="4" t="s">
        <v>366</v>
      </c>
      <c r="H773" s="5" t="e">
        <f>#REF!</f>
        <v>#REF!</v>
      </c>
      <c r="I773" s="6" t="e">
        <f t="shared" si="260"/>
        <v>#REF!</v>
      </c>
      <c r="J773" s="6" t="s">
        <v>84</v>
      </c>
      <c r="K773" s="6" t="s">
        <v>92</v>
      </c>
      <c r="L773" s="7" t="e">
        <f t="shared" si="261"/>
        <v>#REF!</v>
      </c>
      <c r="M773" s="7" t="s">
        <v>100</v>
      </c>
      <c r="O773" s="7" t="str">
        <f>IF(OR($C773="",$C773="FID YOK"),"",IF(ISNUMBER(MATCH($C773,FA_ANA,0)),"",IF(COUNTIF($C$1:$C772,$C773)&gt;0,"",MAX($O$1:$O772)+1)))</f>
        <v/>
      </c>
      <c r="T773" s="7">
        <f>IF(ISNA(MATCH($C773,FA,0)),0,IF($J773="GIRIS",N(INDEX(F_INKOR,MATCH($C773,FA,0))),0))</f>
        <v>0</v>
      </c>
      <c r="Y773" s="7" t="e">
        <f>N(#REF!)*IF($E773="упак",MAX(1,IF(ISNA(MATCH($C773,FA,0)),1,N(INDEX(F_PAKET,MATCH($C773,FA,0))))),1)</f>
        <v>#REF!</v>
      </c>
      <c r="Z773" s="7" t="e">
        <f t="shared" si="262"/>
        <v>#REF!</v>
      </c>
      <c r="AA773" s="7">
        <f>IF(OR(ISNA(MATCH($C773,FA,0)),$J773="YEDEK",$J773="SARF"),0,N(#REF!)*N(INDEX(F_TEL,MATCH($C773,FA,0))))</f>
        <v>0</v>
      </c>
      <c r="AB773" s="7">
        <f>IF(OR(ISNA(MATCH($C773,FA,0)),$J773="YEDEK",$J773="SARF"),0,N(#REF!)*N(INDEX(F_TELM,MATCH($C773,FA,0))))</f>
        <v>0</v>
      </c>
      <c r="AC773" s="7" t="e">
        <f t="shared" si="263"/>
        <v>#REF!</v>
      </c>
      <c r="AD773" s="7">
        <f>IF(OR(ISNA(MATCH($C773,FA,0)),$J773&lt;&gt;"CIKIS"),0,N(INDEX(F_KK,MATCH($C773,FA,0))))</f>
        <v>0</v>
      </c>
      <c r="AE773" s="7">
        <f>IF($AD773=0,0,N(#REF!)*N(INDEX(F_KLN,MATCH($C773,FA,0))))</f>
        <v>0</v>
      </c>
      <c r="AF773" s="7">
        <f>IF($AD773=0,0,N(#REF!)*N(INDEX(F_KPE,MATCH($C773,FA,0))))</f>
        <v>0</v>
      </c>
      <c r="AG773" s="7" t="e">
        <f>IF(ISNA(MATCH($C773,FA,0)),0,N(#REF!)*N(INDEX(F_MODUL,MATCH($C773,FA,0))))</f>
        <v>#REF!</v>
      </c>
      <c r="AH773" s="7" t="e">
        <f>N(#REF!)*N($I773)</f>
        <v>#REF!</v>
      </c>
      <c r="AI773" s="7" t="e">
        <f t="shared" si="264"/>
        <v>#REF!</v>
      </c>
      <c r="AJ773" s="7">
        <f t="shared" si="265"/>
        <v>0</v>
      </c>
    </row>
    <row r="774" spans="1:36" x14ac:dyDescent="0.25">
      <c r="A774" s="4" t="str">
        <f t="shared" si="259"/>
        <v>ЩА-6.1, ЩА-6.3 (260922 akram aulet)</v>
      </c>
      <c r="B774" s="4" t="s">
        <v>101</v>
      </c>
      <c r="C774" s="4" t="s">
        <v>525</v>
      </c>
      <c r="D774" s="4" t="s">
        <v>526</v>
      </c>
      <c r="E774" s="4" t="s">
        <v>522</v>
      </c>
      <c r="F774" s="4" t="s">
        <v>486</v>
      </c>
      <c r="G774" s="4" t="s">
        <v>366</v>
      </c>
      <c r="H774" s="5" t="e">
        <f>#REF!</f>
        <v>#REF!</v>
      </c>
      <c r="I774" s="6" t="e">
        <f t="shared" si="260"/>
        <v>#REF!</v>
      </c>
      <c r="J774" s="6" t="s">
        <v>84</v>
      </c>
      <c r="K774" s="6" t="s">
        <v>101</v>
      </c>
      <c r="L774" s="7" t="e">
        <f t="shared" si="261"/>
        <v>#REF!</v>
      </c>
      <c r="M774" s="7" t="s">
        <v>102</v>
      </c>
      <c r="O774" s="7" t="str">
        <f>IF(OR($C774="",$C774="FID YOK"),"",IF(ISNUMBER(MATCH($C774,FA_ANA,0)),"",IF(COUNTIF($C$1:$C773,$C774)&gt;0,"",MAX($O$1:$O773)+1)))</f>
        <v/>
      </c>
      <c r="T774" s="7">
        <f>IF(ISNA(MATCH($C774,FA,0)),0,IF($J774="GIRIS",N(INDEX(F_INKOR,MATCH($C774,FA,0))),0))</f>
        <v>0</v>
      </c>
      <c r="Y774" s="7" t="e">
        <f>N(#REF!)*IF($E774="упак",MAX(1,IF(ISNA(MATCH($C774,FA,0)),1,N(INDEX(F_PAKET,MATCH($C774,FA,0))))),1)</f>
        <v>#REF!</v>
      </c>
      <c r="Z774" s="7" t="e">
        <f t="shared" si="262"/>
        <v>#REF!</v>
      </c>
      <c r="AA774" s="7">
        <f>IF(OR(ISNA(MATCH($C774,FA,0)),$J774="YEDEK",$J774="SARF"),0,N(#REF!)*N(INDEX(F_TEL,MATCH($C774,FA,0))))</f>
        <v>0</v>
      </c>
      <c r="AB774" s="7">
        <f>IF(OR(ISNA(MATCH($C774,FA,0)),$J774="YEDEK",$J774="SARF"),0,N(#REF!)*N(INDEX(F_TELM,MATCH($C774,FA,0))))</f>
        <v>0</v>
      </c>
      <c r="AC774" s="7" t="e">
        <f t="shared" si="263"/>
        <v>#REF!</v>
      </c>
      <c r="AD774" s="7">
        <f>IF(OR(ISNA(MATCH($C774,FA,0)),$J774&lt;&gt;"CIKIS"),0,N(INDEX(F_KK,MATCH($C774,FA,0))))</f>
        <v>0</v>
      </c>
      <c r="AE774" s="7">
        <f>IF($AD774=0,0,N(#REF!)*N(INDEX(F_KLN,MATCH($C774,FA,0))))</f>
        <v>0</v>
      </c>
      <c r="AF774" s="7">
        <f>IF($AD774=0,0,N(#REF!)*N(INDEX(F_KPE,MATCH($C774,FA,0))))</f>
        <v>0</v>
      </c>
      <c r="AG774" s="7" t="e">
        <f>IF(ISNA(MATCH($C774,FA,0)),0,N(#REF!)*N(INDEX(F_MODUL,MATCH($C774,FA,0))))</f>
        <v>#REF!</v>
      </c>
      <c r="AH774" s="7" t="e">
        <f>N(#REF!)*N($I774)</f>
        <v>#REF!</v>
      </c>
      <c r="AI774" s="7" t="e">
        <f t="shared" si="264"/>
        <v>#REF!</v>
      </c>
      <c r="AJ774" s="7">
        <f t="shared" si="265"/>
        <v>0</v>
      </c>
    </row>
    <row r="775" spans="1:36" x14ac:dyDescent="0.25">
      <c r="A775" s="4" t="str">
        <f t="shared" si="259"/>
        <v>ЩА-6.1, ЩА-6.3 (260922 akram aulet)</v>
      </c>
      <c r="B775" s="4" t="s">
        <v>101</v>
      </c>
      <c r="C775" s="4" t="s">
        <v>529</v>
      </c>
      <c r="D775" s="4" t="s">
        <v>530</v>
      </c>
      <c r="E775" s="4" t="s">
        <v>522</v>
      </c>
      <c r="F775" s="4" t="s">
        <v>486</v>
      </c>
      <c r="G775" s="4" t="s">
        <v>366</v>
      </c>
      <c r="H775" s="5" t="e">
        <f>#REF!</f>
        <v>#REF!</v>
      </c>
      <c r="I775" s="6" t="e">
        <f t="shared" si="260"/>
        <v>#REF!</v>
      </c>
      <c r="J775" s="6" t="s">
        <v>84</v>
      </c>
      <c r="K775" s="6" t="s">
        <v>101</v>
      </c>
      <c r="L775" s="7" t="e">
        <f t="shared" si="261"/>
        <v>#REF!</v>
      </c>
      <c r="M775" s="7" t="s">
        <v>103</v>
      </c>
      <c r="O775" s="7" t="str">
        <f>IF(OR($C775="",$C775="FID YOK"),"",IF(ISNUMBER(MATCH($C775,FA_ANA,0)),"",IF(COUNTIF($C$1:$C774,$C775)&gt;0,"",MAX($O$1:$O774)+1)))</f>
        <v/>
      </c>
      <c r="T775" s="7">
        <f>IF(ISNA(MATCH($C775,FA,0)),0,IF($J775="GIRIS",N(INDEX(F_INKOR,MATCH($C775,FA,0))),0))</f>
        <v>0</v>
      </c>
      <c r="Y775" s="7" t="e">
        <f>N(#REF!)*IF($E775="упак",MAX(1,IF(ISNA(MATCH($C775,FA,0)),1,N(INDEX(F_PAKET,MATCH($C775,FA,0))))),1)</f>
        <v>#REF!</v>
      </c>
      <c r="Z775" s="7" t="e">
        <f t="shared" si="262"/>
        <v>#REF!</v>
      </c>
      <c r="AA775" s="7">
        <f>IF(OR(ISNA(MATCH($C775,FA,0)),$J775="YEDEK",$J775="SARF"),0,N(#REF!)*N(INDEX(F_TEL,MATCH($C775,FA,0))))</f>
        <v>0</v>
      </c>
      <c r="AB775" s="7">
        <f>IF(OR(ISNA(MATCH($C775,FA,0)),$J775="YEDEK",$J775="SARF"),0,N(#REF!)*N(INDEX(F_TELM,MATCH($C775,FA,0))))</f>
        <v>0</v>
      </c>
      <c r="AC775" s="7" t="e">
        <f t="shared" si="263"/>
        <v>#REF!</v>
      </c>
      <c r="AD775" s="7">
        <f>IF(OR(ISNA(MATCH($C775,FA,0)),$J775&lt;&gt;"CIKIS"),0,N(INDEX(F_KK,MATCH($C775,FA,0))))</f>
        <v>0</v>
      </c>
      <c r="AE775" s="7">
        <f>IF($AD775=0,0,N(#REF!)*N(INDEX(F_KLN,MATCH($C775,FA,0))))</f>
        <v>0</v>
      </c>
      <c r="AF775" s="7">
        <f>IF($AD775=0,0,N(#REF!)*N(INDEX(F_KPE,MATCH($C775,FA,0))))</f>
        <v>0</v>
      </c>
      <c r="AG775" s="7" t="e">
        <f>IF(ISNA(MATCH($C775,FA,0)),0,N(#REF!)*N(INDEX(F_MODUL,MATCH($C775,FA,0))))</f>
        <v>#REF!</v>
      </c>
      <c r="AH775" s="7" t="e">
        <f>N(#REF!)*N($I775)</f>
        <v>#REF!</v>
      </c>
      <c r="AI775" s="7" t="e">
        <f t="shared" si="264"/>
        <v>#REF!</v>
      </c>
      <c r="AJ775" s="7">
        <f t="shared" si="265"/>
        <v>0</v>
      </c>
    </row>
    <row r="776" spans="1:36" x14ac:dyDescent="0.25">
      <c r="A776" s="4" t="str">
        <f t="shared" si="259"/>
        <v>ЩА-6.1, ЩА-6.3 (260922 akram aulet)</v>
      </c>
      <c r="B776" s="4" t="s">
        <v>105</v>
      </c>
      <c r="C776" s="4" t="s">
        <v>549</v>
      </c>
      <c r="D776" s="4" t="s">
        <v>550</v>
      </c>
      <c r="E776" s="4" t="s">
        <v>114</v>
      </c>
      <c r="F776" s="4" t="s">
        <v>486</v>
      </c>
      <c r="G776" s="4" t="s">
        <v>366</v>
      </c>
      <c r="H776" s="5" t="e">
        <f>#REF!</f>
        <v>#REF!</v>
      </c>
      <c r="I776" s="6" t="e">
        <f t="shared" si="260"/>
        <v>#REF!</v>
      </c>
      <c r="J776" s="6" t="s">
        <v>84</v>
      </c>
      <c r="K776" s="6" t="s">
        <v>105</v>
      </c>
      <c r="L776" s="7" t="e">
        <f t="shared" si="261"/>
        <v>#REF!</v>
      </c>
      <c r="M776" s="7" t="s">
        <v>134</v>
      </c>
      <c r="O776" s="7" t="str">
        <f>IF(OR($C776="",$C776="FID YOK"),"",IF(ISNUMBER(MATCH($C776,FA_ANA,0)),"",IF(COUNTIF($C$1:$C775,$C776)&gt;0,"",MAX($O$1:$O775)+1)))</f>
        <v/>
      </c>
      <c r="T776" s="7">
        <f>IF(ISNA(MATCH($C776,FA,0)),0,IF($J776="GIRIS",N(INDEX(F_INKOR,MATCH($C776,FA,0))),0))</f>
        <v>0</v>
      </c>
      <c r="Y776" s="7" t="e">
        <f>N(#REF!)*IF($E776="упак",MAX(1,IF(ISNA(MATCH($C776,FA,0)),1,N(INDEX(F_PAKET,MATCH($C776,FA,0))))),1)</f>
        <v>#REF!</v>
      </c>
      <c r="Z776" s="7" t="e">
        <f t="shared" si="262"/>
        <v>#REF!</v>
      </c>
      <c r="AA776" s="7">
        <f>IF(OR(ISNA(MATCH($C776,FA,0)),$J776="YEDEK",$J776="SARF"),0,N(#REF!)*N(INDEX(F_TEL,MATCH($C776,FA,0))))</f>
        <v>0</v>
      </c>
      <c r="AB776" s="7">
        <f>IF(OR(ISNA(MATCH($C776,FA,0)),$J776="YEDEK",$J776="SARF"),0,N(#REF!)*N(INDEX(F_TELM,MATCH($C776,FA,0))))</f>
        <v>0</v>
      </c>
      <c r="AC776" s="7" t="e">
        <f t="shared" si="263"/>
        <v>#REF!</v>
      </c>
      <c r="AD776" s="7">
        <f>IF(OR(ISNA(MATCH($C776,FA,0)),$J776&lt;&gt;"CIKIS"),0,N(INDEX(F_KK,MATCH($C776,FA,0))))</f>
        <v>0</v>
      </c>
      <c r="AE776" s="7">
        <f>IF($AD776=0,0,N(#REF!)*N(INDEX(F_KLN,MATCH($C776,FA,0))))</f>
        <v>0</v>
      </c>
      <c r="AF776" s="7">
        <f>IF($AD776=0,0,N(#REF!)*N(INDEX(F_KPE,MATCH($C776,FA,0))))</f>
        <v>0</v>
      </c>
      <c r="AG776" s="7" t="e">
        <f>IF(ISNA(MATCH($C776,FA,0)),0,N(#REF!)*N(INDEX(F_MODUL,MATCH($C776,FA,0))))</f>
        <v>#REF!</v>
      </c>
      <c r="AH776" s="7" t="e">
        <f>N(#REF!)*N($I776)</f>
        <v>#REF!</v>
      </c>
      <c r="AI776" s="7" t="e">
        <f t="shared" si="264"/>
        <v>#REF!</v>
      </c>
      <c r="AJ776" s="7">
        <f t="shared" si="265"/>
        <v>0</v>
      </c>
    </row>
    <row r="777" spans="1:36" x14ac:dyDescent="0.25">
      <c r="A777" s="4" t="str">
        <f t="shared" si="259"/>
        <v>ЩА-6.1, ЩА-6.3 (260922 akram aulet)</v>
      </c>
      <c r="B777" s="4" t="s">
        <v>105</v>
      </c>
      <c r="C777" s="4" t="s">
        <v>539</v>
      </c>
      <c r="D777" s="4" t="s">
        <v>540</v>
      </c>
      <c r="E777" s="4" t="s">
        <v>114</v>
      </c>
      <c r="F777" s="4" t="s">
        <v>486</v>
      </c>
      <c r="G777" s="4" t="s">
        <v>366</v>
      </c>
      <c r="H777" s="5" t="e">
        <f>#REF!</f>
        <v>#REF!</v>
      </c>
      <c r="I777" s="6" t="e">
        <f t="shared" si="260"/>
        <v>#REF!</v>
      </c>
      <c r="J777" s="6" t="s">
        <v>84</v>
      </c>
      <c r="K777" s="6" t="s">
        <v>105</v>
      </c>
      <c r="L777" s="7" t="e">
        <f t="shared" si="261"/>
        <v>#REF!</v>
      </c>
      <c r="M777" s="7" t="s">
        <v>110</v>
      </c>
      <c r="O777" s="7" t="str">
        <f>IF(OR($C777="",$C777="FID YOK"),"",IF(ISNUMBER(MATCH($C777,FA_ANA,0)),"",IF(COUNTIF($C$1:$C776,$C777)&gt;0,"",MAX($O$1:$O776)+1)))</f>
        <v/>
      </c>
      <c r="T777" s="7">
        <f>IF(ISNA(MATCH($C777,FA,0)),0,IF($J777="GIRIS",N(INDEX(F_INKOR,MATCH($C777,FA,0))),0))</f>
        <v>0</v>
      </c>
      <c r="Y777" s="7" t="e">
        <f>N(#REF!)*IF($E777="упак",MAX(1,IF(ISNA(MATCH($C777,FA,0)),1,N(INDEX(F_PAKET,MATCH($C777,FA,0))))),1)</f>
        <v>#REF!</v>
      </c>
      <c r="Z777" s="7" t="e">
        <f t="shared" si="262"/>
        <v>#REF!</v>
      </c>
      <c r="AA777" s="7">
        <f>IF(OR(ISNA(MATCH($C777,FA,0)),$J777="YEDEK",$J777="SARF"),0,N(#REF!)*N(INDEX(F_TEL,MATCH($C777,FA,0))))</f>
        <v>0</v>
      </c>
      <c r="AB777" s="7">
        <f>IF(OR(ISNA(MATCH($C777,FA,0)),$J777="YEDEK",$J777="SARF"),0,N(#REF!)*N(INDEX(F_TELM,MATCH($C777,FA,0))))</f>
        <v>0</v>
      </c>
      <c r="AC777" s="7" t="e">
        <f t="shared" si="263"/>
        <v>#REF!</v>
      </c>
      <c r="AD777" s="7">
        <f>IF(OR(ISNA(MATCH($C777,FA,0)),$J777&lt;&gt;"CIKIS"),0,N(INDEX(F_KK,MATCH($C777,FA,0))))</f>
        <v>0</v>
      </c>
      <c r="AE777" s="7">
        <f>IF($AD777=0,0,N(#REF!)*N(INDEX(F_KLN,MATCH($C777,FA,0))))</f>
        <v>0</v>
      </c>
      <c r="AF777" s="7">
        <f>IF($AD777=0,0,N(#REF!)*N(INDEX(F_KPE,MATCH($C777,FA,0))))</f>
        <v>0</v>
      </c>
      <c r="AG777" s="7" t="e">
        <f>IF(ISNA(MATCH($C777,FA,0)),0,N(#REF!)*N(INDEX(F_MODUL,MATCH($C777,FA,0))))</f>
        <v>#REF!</v>
      </c>
      <c r="AH777" s="7" t="e">
        <f>N(#REF!)*N($I777)</f>
        <v>#REF!</v>
      </c>
      <c r="AI777" s="7" t="e">
        <f t="shared" si="264"/>
        <v>#REF!</v>
      </c>
      <c r="AJ777" s="7">
        <f t="shared" si="265"/>
        <v>0</v>
      </c>
    </row>
    <row r="778" spans="1:36" x14ac:dyDescent="0.25">
      <c r="A778" s="4" t="str">
        <f t="shared" si="259"/>
        <v>ЩА-6.1, ЩА-6.3 (260922 akram aulet)</v>
      </c>
      <c r="B778" s="4" t="s">
        <v>111</v>
      </c>
      <c r="C778" s="4" t="s">
        <v>571</v>
      </c>
      <c r="D778" s="4" t="s">
        <v>572</v>
      </c>
      <c r="E778" s="4" t="s">
        <v>522</v>
      </c>
      <c r="F778" s="4" t="s">
        <v>486</v>
      </c>
      <c r="G778" s="4" t="s">
        <v>366</v>
      </c>
      <c r="H778" s="5" t="e">
        <f>#REF!</f>
        <v>#REF!</v>
      </c>
      <c r="I778" s="6" t="e">
        <f t="shared" si="260"/>
        <v>#REF!</v>
      </c>
      <c r="J778" s="6" t="s">
        <v>84</v>
      </c>
      <c r="K778" s="6" t="s">
        <v>111</v>
      </c>
      <c r="L778" s="7" t="e">
        <f t="shared" si="261"/>
        <v>#REF!</v>
      </c>
      <c r="M778" s="7" t="s">
        <v>112</v>
      </c>
      <c r="O778" s="7" t="str">
        <f>IF(OR($C778="",$C778="FID YOK"),"",IF(ISNUMBER(MATCH($C778,FA_ANA,0)),"",IF(COUNTIF($C$1:$C777,$C778)&gt;0,"",MAX($O$1:$O777)+1)))</f>
        <v/>
      </c>
      <c r="T778" s="7">
        <f>IF(ISNA(MATCH($C778,FA,0)),0,IF($J778="GIRIS",N(INDEX(F_INKOR,MATCH($C778,FA,0))),0))</f>
        <v>0</v>
      </c>
      <c r="Y778" s="7" t="e">
        <f>N(#REF!)*IF($E778="упак",MAX(1,IF(ISNA(MATCH($C778,FA,0)),1,N(INDEX(F_PAKET,MATCH($C778,FA,0))))),1)</f>
        <v>#REF!</v>
      </c>
      <c r="Z778" s="7" t="e">
        <f t="shared" si="262"/>
        <v>#REF!</v>
      </c>
      <c r="AA778" s="7">
        <f>IF(OR(ISNA(MATCH($C778,FA,0)),$J778="YEDEK",$J778="SARF"),0,N(#REF!)*N(INDEX(F_TEL,MATCH($C778,FA,0))))</f>
        <v>0</v>
      </c>
      <c r="AB778" s="7">
        <f>IF(OR(ISNA(MATCH($C778,FA,0)),$J778="YEDEK",$J778="SARF"),0,N(#REF!)*N(INDEX(F_TELM,MATCH($C778,FA,0))))</f>
        <v>0</v>
      </c>
      <c r="AC778" s="7" t="e">
        <f t="shared" si="263"/>
        <v>#REF!</v>
      </c>
      <c r="AD778" s="7">
        <f>IF(OR(ISNA(MATCH($C778,FA,0)),$J778&lt;&gt;"CIKIS"),0,N(INDEX(F_KK,MATCH($C778,FA,0))))</f>
        <v>0</v>
      </c>
      <c r="AE778" s="7">
        <f>IF($AD778=0,0,N(#REF!)*N(INDEX(F_KLN,MATCH($C778,FA,0))))</f>
        <v>0</v>
      </c>
      <c r="AF778" s="7">
        <f>IF($AD778=0,0,N(#REF!)*N(INDEX(F_KPE,MATCH($C778,FA,0))))</f>
        <v>0</v>
      </c>
      <c r="AG778" s="7" t="e">
        <f>IF(ISNA(MATCH($C778,FA,0)),0,N(#REF!)*N(INDEX(F_MODUL,MATCH($C778,FA,0))))</f>
        <v>#REF!</v>
      </c>
      <c r="AH778" s="7" t="e">
        <f>N(#REF!)*N($I778)</f>
        <v>#REF!</v>
      </c>
      <c r="AI778" s="7" t="e">
        <f t="shared" si="264"/>
        <v>#REF!</v>
      </c>
      <c r="AJ778" s="7">
        <f t="shared" si="265"/>
        <v>0</v>
      </c>
    </row>
    <row r="779" spans="1:36" x14ac:dyDescent="0.25">
      <c r="A779" s="4" t="str">
        <f t="shared" si="259"/>
        <v>ЩА-6.1, ЩА-6.3 (260922 akram aulet)</v>
      </c>
      <c r="B779" s="4" t="s">
        <v>113</v>
      </c>
      <c r="C779" s="4" t="s">
        <v>113</v>
      </c>
      <c r="D779" s="4" t="s">
        <v>113</v>
      </c>
      <c r="E779" s="4" t="s">
        <v>114</v>
      </c>
      <c r="F779" s="4" t="s">
        <v>113</v>
      </c>
      <c r="G779" s="4" t="s">
        <v>366</v>
      </c>
      <c r="H779" s="5" t="e">
        <f>#REF!</f>
        <v>#REF!</v>
      </c>
      <c r="I779" s="6" t="e">
        <f t="shared" si="260"/>
        <v>#REF!</v>
      </c>
    </row>
    <row r="780" spans="1:36" x14ac:dyDescent="0.25">
      <c r="A780" s="4" t="str">
        <f t="shared" si="259"/>
        <v>ЩА-6.1, ЩА-6.3 (260922 akram aulet)</v>
      </c>
      <c r="B780" s="4" t="s">
        <v>115</v>
      </c>
      <c r="C780" s="4" t="s">
        <v>115</v>
      </c>
      <c r="D780" s="4" t="s">
        <v>115</v>
      </c>
      <c r="E780" s="4" t="s">
        <v>116</v>
      </c>
      <c r="F780" s="4" t="s">
        <v>115</v>
      </c>
      <c r="G780" s="4" t="s">
        <v>366</v>
      </c>
      <c r="H780" s="5" t="e">
        <f>#REF!</f>
        <v>#REF!</v>
      </c>
      <c r="I780" s="6" t="e">
        <f t="shared" si="260"/>
        <v>#REF!</v>
      </c>
    </row>
    <row r="781" spans="1:36" x14ac:dyDescent="0.25">
      <c r="A781" s="1" t="str">
        <f>D781</f>
        <v>ЩА-6.2 (260922 akram aulet)</v>
      </c>
      <c r="B781" s="2"/>
      <c r="C781" s="2"/>
      <c r="D781" s="1" t="s">
        <v>372</v>
      </c>
      <c r="E781" s="1" t="s">
        <v>36</v>
      </c>
      <c r="F781" s="1" t="s">
        <v>37</v>
      </c>
      <c r="G781" s="1" t="s">
        <v>366</v>
      </c>
      <c r="I781" s="3" t="e">
        <f>#REF!</f>
        <v>#REF!</v>
      </c>
    </row>
    <row r="782" spans="1:36" x14ac:dyDescent="0.25">
      <c r="A782" s="4" t="str">
        <f t="shared" ref="A782:A800" si="266">A781</f>
        <v>ЩА-6.2 (260922 akram aulet)</v>
      </c>
      <c r="B782" s="4" t="s">
        <v>39</v>
      </c>
      <c r="C782" s="4" t="s">
        <v>498</v>
      </c>
      <c r="D782" s="4" t="s">
        <v>499</v>
      </c>
      <c r="E782" s="4" t="s">
        <v>114</v>
      </c>
      <c r="F782" s="4" t="s">
        <v>491</v>
      </c>
      <c r="G782" s="4" t="s">
        <v>366</v>
      </c>
      <c r="H782" s="5" t="e">
        <f>#REF!</f>
        <v>#REF!</v>
      </c>
      <c r="I782" s="6" t="e">
        <f t="shared" ref="I782:I800" si="267">I781</f>
        <v>#REF!</v>
      </c>
      <c r="J782" s="6" t="s">
        <v>40</v>
      </c>
      <c r="K782" s="6" t="s">
        <v>291</v>
      </c>
      <c r="L782" s="7" t="e">
        <f t="shared" ref="L782:L798" si="268">IF(ISNA(MATCH($C782,FA,0)),"ARTİKÜL YOK",INDEX(FIYAT_DURUM,MATCH($C782,FA,0)))</f>
        <v>#REF!</v>
      </c>
      <c r="M782" s="7" t="s">
        <v>367</v>
      </c>
      <c r="N782" s="7" t="s">
        <v>293</v>
      </c>
      <c r="O782" s="7" t="str">
        <f>IF(OR($C782="",$C782="FID YOK"),"",IF(ISNUMBER(MATCH($C782,FA_ANA,0)),"",IF(COUNTIF($C$1:$C781,$C782)&gt;0,"",MAX($O$1:$O781)+1)))</f>
        <v/>
      </c>
      <c r="Q782" s="7"/>
      <c r="R782" s="7"/>
      <c r="S782" s="7"/>
      <c r="T782" s="7">
        <f>IF(ISNA(MATCH($C782,FA,0)),0,IF($J782="GIRIS",N(INDEX(F_INKOR,MATCH($C782,FA,0))),0))</f>
        <v>0</v>
      </c>
      <c r="U782" s="7"/>
      <c r="V782" s="7"/>
      <c r="W782" s="7"/>
      <c r="X782" s="7"/>
      <c r="Y782" s="7" t="e">
        <f>N(#REF!)*IF($E782="упак",MAX(1,IF(ISNA(MATCH($C782,FA,0)),1,N(INDEX(F_PAKET,MATCH($C782,FA,0))))),1)</f>
        <v>#REF!</v>
      </c>
      <c r="Z782" s="7" t="e">
        <f t="shared" ref="Z782:Z798" si="269">IF(ISNA(MATCH($C782,FA,0)),0,N(INDEX(F_BK,MATCH($C782,FA,0))))</f>
        <v>#REF!</v>
      </c>
      <c r="AA782" s="7" t="e">
        <f>IF(OR(ISNA(MATCH($C782,FA,0)),$J782="YEDEK",$J782="SARF"),0,N(#REF!)*N(INDEX(F_TEL,MATCH($C782,FA,0))))</f>
        <v>#REF!</v>
      </c>
      <c r="AB782" s="7" t="e">
        <f>IF(OR(ISNA(MATCH($C782,FA,0)),$J782="YEDEK",$J782="SARF"),0,N(#REF!)*N(INDEX(F_TELM,MATCH($C782,FA,0))))</f>
        <v>#REF!</v>
      </c>
      <c r="AC782" s="7" t="e">
        <f t="shared" ref="AC782:AC798" si="270">IF(ISNA(MATCH($C782,FA,0)),"",INDEX(F_UC,MATCH($C782,FA,0))&amp;"")</f>
        <v>#REF!</v>
      </c>
      <c r="AD782" s="7">
        <f>IF(OR(ISNA(MATCH($C782,FA,0)),$J782&lt;&gt;"CIKIS"),0,N(INDEX(F_KK,MATCH($C782,FA,0))))</f>
        <v>0</v>
      </c>
      <c r="AE782" s="7">
        <f>IF($AD782=0,0,N(#REF!)*N(INDEX(F_KLN,MATCH($C782,FA,0))))</f>
        <v>0</v>
      </c>
      <c r="AF782" s="7">
        <f>IF($AD782=0,0,N(#REF!)*N(INDEX(F_KPE,MATCH($C782,FA,0))))</f>
        <v>0</v>
      </c>
      <c r="AG782" s="7" t="e">
        <f>IF(ISNA(MATCH($C782,FA,0)),0,N(#REF!)*N(INDEX(F_MODUL,MATCH($C782,FA,0))))</f>
        <v>#REF!</v>
      </c>
      <c r="AH782" s="7" t="e">
        <f>N(#REF!)*N($I782)</f>
        <v>#REF!</v>
      </c>
      <c r="AI782" s="7" t="e">
        <f t="shared" ref="AI782:AI798" si="271">IF(ISNA(MATCH($K782,TIP_AD,0)),"YOK",IF(INDEX(NORM_DK,MATCH($K782,TIP_AD,0))="","BOŞ",INDEX(NORM_DK,MATCH($K782,TIP_AD,0))))</f>
        <v>#REF!</v>
      </c>
      <c r="AJ782" s="7">
        <f t="shared" ref="AJ782:AJ798" si="272">IF(ISNUMBER($AI782),$Y782*$AI782,0)</f>
        <v>0</v>
      </c>
    </row>
    <row r="783" spans="1:36" x14ac:dyDescent="0.25">
      <c r="A783" s="4" t="str">
        <f t="shared" si="266"/>
        <v>ЩА-6.2 (260922 akram aulet)</v>
      </c>
      <c r="B783" s="4" t="s">
        <v>51</v>
      </c>
      <c r="C783" s="4" t="s">
        <v>424</v>
      </c>
      <c r="D783" s="4" t="s">
        <v>425</v>
      </c>
      <c r="E783" s="4" t="s">
        <v>114</v>
      </c>
      <c r="F783" s="4" t="s">
        <v>377</v>
      </c>
      <c r="G783" s="4" t="s">
        <v>366</v>
      </c>
      <c r="H783" s="5" t="e">
        <f>#REF!</f>
        <v>#REF!</v>
      </c>
      <c r="I783" s="6" t="e">
        <f t="shared" si="267"/>
        <v>#REF!</v>
      </c>
      <c r="J783" s="6" t="s">
        <v>48</v>
      </c>
      <c r="K783" s="6" t="s">
        <v>51</v>
      </c>
      <c r="L783" s="7" t="e">
        <f t="shared" si="268"/>
        <v>#REF!</v>
      </c>
      <c r="M783" s="7" t="s">
        <v>373</v>
      </c>
      <c r="N783" s="7" t="s">
        <v>126</v>
      </c>
      <c r="O783" s="7" t="str">
        <f>IF(OR($C783="",$C783="FID YOK"),"",IF(ISNUMBER(MATCH($C783,FA_ANA,0)),"",IF(COUNTIF($C$1:$C782,$C783)&gt;0,"",MAX($O$1:$O782)+1)))</f>
        <v/>
      </c>
      <c r="P783" s="8">
        <v>1</v>
      </c>
      <c r="Q783" s="7" t="e">
        <f>IF(OR($P783="",$P783="G",ISNA(MATCH($C783,FA,0))),"",IF(N(INDEX(F_G,MATCH($C783,FA,0)))&gt;0,INDEX(F_G,MATCH($C783,FA,0)),IF(N(INDEX(F_MODUL,MATCH($C783,FA,0)))&gt;0,INDEX(F_MODUL,MATCH($C783,FA,0))*MODUL_MM,"")))</f>
        <v>#REF!</v>
      </c>
      <c r="R783" s="7" t="e">
        <f>IF(OR($P783="",$P783="G",ISNA(MATCH($C783,FA,0))),"",IF(N(INDEX(F_Y,MATCH($C783,FA,0)))&gt;0,INDEX(F_Y,MATCH($C783,FA,0)),""))</f>
        <v>#REF!</v>
      </c>
      <c r="S783" s="7" t="e">
        <f>IF(OR($P783="",$P783="G",ISNA(MATCH($C783,FA,0))),"",IF(N(INDEX(F_D,MATCH($C783,FA,0)))&gt;0,INDEX(F_D,MATCH($C783,FA,0)),""))</f>
        <v>#REF!</v>
      </c>
      <c r="T783" s="7" t="e">
        <f>IF(ISNA(MATCH($C783,FA,0)),0,IF($J783="GIRIS",N(INDEX(F_INKOR,MATCH($C783,FA,0))),0))</f>
        <v>#REF!</v>
      </c>
      <c r="U783" s="7" t="e">
        <f>IF(ISNA(MATCH($B783,TIP_AD,0)),"",INDEX(TIP_KAT,MATCH($B783,TIP_AD,0))&amp;"")</f>
        <v>#REF!</v>
      </c>
      <c r="V783" s="7" t="e">
        <f>IF(NOT(ISNUMBER($P783)),"",IF($Z783=0,0,IF(ISNA(MATCH($Z783,BUK_KESIT,0)),"",IF(INDEX(BUK_ALAN,MATCH($Z783,BUK_KESIT,0))&amp;""="","",INDEX(BUK_ALAN,MATCH($Z783,BUK_KESIT,0))))))</f>
        <v>#REF!</v>
      </c>
      <c r="W783" s="7" t="e">
        <f>IF(OR(NOT(ISNUMBER($P783)),$Q783=""),"",N(#REF!)*($Q783+IF(ISNA(MATCH($B783,TIP_AD,0)),0,N(INDEX(TIP_BOSLUK,MATCH($B783,TIP_AD,0))))))</f>
        <v>#REF!</v>
      </c>
      <c r="X783" s="7" t="e">
        <f>IF(ISNUMBER($P783),($Q783="")+($R783="")+($V783="")+IF(AND($U783="KONTAKTOR",NOT(ISNA(MATCH($B783,TIP_AD,0)))),IF(INDEX(TIP_BOSLUK,MATCH($B783,TIP_AD,0))&amp;""="",1,0),0),IF($P783="K",IF($S783="",1,0),0))</f>
        <v>#REF!</v>
      </c>
      <c r="Y783" s="7" t="e">
        <f>N(#REF!)*IF($E783="упак",MAX(1,IF(ISNA(MATCH($C783,FA,0)),1,N(INDEX(F_PAKET,MATCH($C783,FA,0))))),1)</f>
        <v>#REF!</v>
      </c>
      <c r="Z783" s="7" t="e">
        <f t="shared" si="269"/>
        <v>#REF!</v>
      </c>
      <c r="AA783" s="7" t="e">
        <f>IF(OR(ISNA(MATCH($C783,FA,0)),$J783="YEDEK",$J783="SARF"),0,N(#REF!)*N(INDEX(F_TEL,MATCH($C783,FA,0))))</f>
        <v>#REF!</v>
      </c>
      <c r="AB783" s="7" t="e">
        <f>IF(OR(ISNA(MATCH($C783,FA,0)),$J783="YEDEK",$J783="SARF"),0,N(#REF!)*N(INDEX(F_TELM,MATCH($C783,FA,0))))</f>
        <v>#REF!</v>
      </c>
      <c r="AC783" s="7" t="e">
        <f t="shared" si="270"/>
        <v>#REF!</v>
      </c>
      <c r="AD783" s="7">
        <f>IF(OR(ISNA(MATCH($C783,FA,0)),$J783&lt;&gt;"CIKIS"),0,N(INDEX(F_KK,MATCH($C783,FA,0))))</f>
        <v>0</v>
      </c>
      <c r="AE783" s="7">
        <f>IF($AD783=0,0,N(#REF!)*N(INDEX(F_KLN,MATCH($C783,FA,0))))</f>
        <v>0</v>
      </c>
      <c r="AF783" s="7">
        <f>IF($AD783=0,0,N(#REF!)*N(INDEX(F_KPE,MATCH($C783,FA,0))))</f>
        <v>0</v>
      </c>
      <c r="AG783" s="7" t="e">
        <f>IF(ISNA(MATCH($C783,FA,0)),0,N(#REF!)*N(INDEX(F_MODUL,MATCH($C783,FA,0))))</f>
        <v>#REF!</v>
      </c>
      <c r="AH783" s="7" t="e">
        <f>N(#REF!)*N($I783)</f>
        <v>#REF!</v>
      </c>
      <c r="AI783" s="7" t="e">
        <f t="shared" si="271"/>
        <v>#REF!</v>
      </c>
      <c r="AJ783" s="7">
        <f t="shared" si="272"/>
        <v>0</v>
      </c>
    </row>
    <row r="784" spans="1:36" x14ac:dyDescent="0.25">
      <c r="A784" s="4" t="str">
        <f t="shared" si="266"/>
        <v>ЩА-6.2 (260922 akram aulet)</v>
      </c>
      <c r="B784" s="4" t="s">
        <v>173</v>
      </c>
      <c r="C784" s="4" t="s">
        <v>459</v>
      </c>
      <c r="D784" s="4" t="s">
        <v>460</v>
      </c>
      <c r="E784" s="4" t="s">
        <v>114</v>
      </c>
      <c r="F784" s="4" t="s">
        <v>377</v>
      </c>
      <c r="G784" s="4" t="s">
        <v>366</v>
      </c>
      <c r="H784" s="5" t="e">
        <f>#REF!</f>
        <v>#REF!</v>
      </c>
      <c r="I784" s="6" t="e">
        <f t="shared" si="267"/>
        <v>#REF!</v>
      </c>
      <c r="J784" s="6" t="s">
        <v>66</v>
      </c>
      <c r="K784" s="6" t="s">
        <v>173</v>
      </c>
      <c r="L784" s="7" t="e">
        <f t="shared" si="268"/>
        <v>#REF!</v>
      </c>
      <c r="M784" s="7" t="s">
        <v>369</v>
      </c>
      <c r="N784" s="7" t="s">
        <v>323</v>
      </c>
      <c r="O784" s="7" t="str">
        <f>IF(OR($C784="",$C784="FID YOK"),"",IF(ISNUMBER(MATCH($C784,FA_ANA,0)),"",IF(COUNTIF($C$1:$C783,$C784)&gt;0,"",MAX($O$1:$O783)+1)))</f>
        <v/>
      </c>
      <c r="P784" s="8">
        <v>3</v>
      </c>
      <c r="Q784" s="7" t="e">
        <f>IF(OR($P784="",$P784="G",ISNA(MATCH($C784,FA,0))),"",IF(N(INDEX(F_G,MATCH($C784,FA,0)))&gt;0,INDEX(F_G,MATCH($C784,FA,0)),IF(N(INDEX(F_MODUL,MATCH($C784,FA,0)))&gt;0,INDEX(F_MODUL,MATCH($C784,FA,0))*MODUL_MM,"")))</f>
        <v>#REF!</v>
      </c>
      <c r="R784" s="7" t="e">
        <f>IF(OR($P784="",$P784="G",ISNA(MATCH($C784,FA,0))),"",IF(N(INDEX(F_Y,MATCH($C784,FA,0)))&gt;0,INDEX(F_Y,MATCH($C784,FA,0)),""))</f>
        <v>#REF!</v>
      </c>
      <c r="S784" s="7" t="e">
        <f>IF(OR($P784="",$P784="G",ISNA(MATCH($C784,FA,0))),"",IF(N(INDEX(F_D,MATCH($C784,FA,0)))&gt;0,INDEX(F_D,MATCH($C784,FA,0)),""))</f>
        <v>#REF!</v>
      </c>
      <c r="T784" s="7">
        <f>IF(ISNA(MATCH($C784,FA,0)),0,IF($J784="GIRIS",N(INDEX(F_INKOR,MATCH($C784,FA,0))),0))</f>
        <v>0</v>
      </c>
      <c r="U784" s="7" t="e">
        <f>IF(ISNA(MATCH($B784,TIP_AD,0)),"",INDEX(TIP_KAT,MATCH($B784,TIP_AD,0))&amp;"")</f>
        <v>#REF!</v>
      </c>
      <c r="V784" s="7" t="e">
        <f>IF(NOT(ISNUMBER($P784)),"",IF($Z784=0,0,IF(ISNA(MATCH($Z784,BUK_KESIT,0)),"",IF(INDEX(BUK_ALAN,MATCH($Z784,BUK_KESIT,0))&amp;""="","",INDEX(BUK_ALAN,MATCH($Z784,BUK_KESIT,0))))))</f>
        <v>#REF!</v>
      </c>
      <c r="W784" s="7" t="e">
        <f>IF(OR(NOT(ISNUMBER($P784)),$Q784=""),"",N(#REF!)*($Q784+IF(ISNA(MATCH($B784,TIP_AD,0)),0,N(INDEX(TIP_BOSLUK,MATCH($B784,TIP_AD,0))))))</f>
        <v>#REF!</v>
      </c>
      <c r="X784" s="7" t="e">
        <f>IF(ISNUMBER($P784),($Q784="")+($R784="")+($V784="")+IF(AND($U784="KONTAKTOR",NOT(ISNA(MATCH($B784,TIP_AD,0)))),IF(INDEX(TIP_BOSLUK,MATCH($B784,TIP_AD,0))&amp;""="",1,0),0),IF($P784="K",IF($S784="",1,0),0))</f>
        <v>#REF!</v>
      </c>
      <c r="Y784" s="7" t="e">
        <f>N(#REF!)*IF($E784="упак",MAX(1,IF(ISNA(MATCH($C784,FA,0)),1,N(INDEX(F_PAKET,MATCH($C784,FA,0))))),1)</f>
        <v>#REF!</v>
      </c>
      <c r="Z784" s="7" t="e">
        <f t="shared" si="269"/>
        <v>#REF!</v>
      </c>
      <c r="AA784" s="7" t="e">
        <f>IF(OR(ISNA(MATCH($C784,FA,0)),$J784="YEDEK",$J784="SARF"),0,N(#REF!)*N(INDEX(F_TEL,MATCH($C784,FA,0))))</f>
        <v>#REF!</v>
      </c>
      <c r="AB784" s="7" t="e">
        <f>IF(OR(ISNA(MATCH($C784,FA,0)),$J784="YEDEK",$J784="SARF"),0,N(#REF!)*N(INDEX(F_TELM,MATCH($C784,FA,0))))</f>
        <v>#REF!</v>
      </c>
      <c r="AC784" s="7" t="e">
        <f t="shared" si="270"/>
        <v>#REF!</v>
      </c>
      <c r="AD784" s="7">
        <f>IF(OR(ISNA(MATCH($C784,FA,0)),$J784&lt;&gt;"CIKIS"),0,N(INDEX(F_KK,MATCH($C784,FA,0))))</f>
        <v>0</v>
      </c>
      <c r="AE784" s="7">
        <f>IF($AD784=0,0,N(#REF!)*N(INDEX(F_KLN,MATCH($C784,FA,0))))</f>
        <v>0</v>
      </c>
      <c r="AF784" s="7">
        <f>IF($AD784=0,0,N(#REF!)*N(INDEX(F_KPE,MATCH($C784,FA,0))))</f>
        <v>0</v>
      </c>
      <c r="AG784" s="7" t="e">
        <f>IF(ISNA(MATCH($C784,FA,0)),0,N(#REF!)*N(INDEX(F_MODUL,MATCH($C784,FA,0))))</f>
        <v>#REF!</v>
      </c>
      <c r="AH784" s="7" t="e">
        <f>N(#REF!)*N($I784)</f>
        <v>#REF!</v>
      </c>
      <c r="AI784" s="7" t="e">
        <f t="shared" si="271"/>
        <v>#REF!</v>
      </c>
      <c r="AJ784" s="7">
        <f t="shared" si="272"/>
        <v>0</v>
      </c>
    </row>
    <row r="785" spans="1:36" x14ac:dyDescent="0.25">
      <c r="A785" s="4" t="str">
        <f t="shared" si="266"/>
        <v>ЩА-6.2 (260922 akram aulet)</v>
      </c>
      <c r="B785" s="4" t="s">
        <v>61</v>
      </c>
      <c r="C785" s="4" t="s">
        <v>606</v>
      </c>
      <c r="D785" s="4" t="s">
        <v>607</v>
      </c>
      <c r="E785" s="4" t="s">
        <v>114</v>
      </c>
      <c r="F785" s="4" t="s">
        <v>479</v>
      </c>
      <c r="G785" s="4" t="s">
        <v>366</v>
      </c>
      <c r="H785" s="5" t="e">
        <f>#REF!</f>
        <v>#REF!</v>
      </c>
      <c r="I785" s="6" t="e">
        <f t="shared" si="267"/>
        <v>#REF!</v>
      </c>
      <c r="J785" s="6" t="s">
        <v>62</v>
      </c>
      <c r="K785" s="6" t="s">
        <v>61</v>
      </c>
      <c r="L785" s="7" t="e">
        <f t="shared" si="268"/>
        <v>#REF!</v>
      </c>
      <c r="M785" s="7" t="s">
        <v>374</v>
      </c>
      <c r="N785" s="7" t="s">
        <v>64</v>
      </c>
      <c r="O785" s="7" t="str">
        <f>IF(OR($C785="",$C785="FID YOK"),"",IF(ISNUMBER(MATCH($C785,FA_ANA,0)),"",IF(COUNTIF($C$1:$C784,$C785)&gt;0,"",MAX($O$1:$O784)+1)))</f>
        <v/>
      </c>
      <c r="P785" s="8">
        <v>2</v>
      </c>
      <c r="Q785" s="7" t="e">
        <f>IF(OR($P785="",$P785="G",ISNA(MATCH($C785,FA,0))),"",IF(N(INDEX(F_G,MATCH($C785,FA,0)))&gt;0,INDEX(F_G,MATCH($C785,FA,0)),IF(N(INDEX(F_MODUL,MATCH($C785,FA,0)))&gt;0,INDEX(F_MODUL,MATCH($C785,FA,0))*MODUL_MM,"")))</f>
        <v>#REF!</v>
      </c>
      <c r="R785" s="7" t="e">
        <f>IF(OR($P785="",$P785="G",ISNA(MATCH($C785,FA,0))),"",IF(N(INDEX(F_Y,MATCH($C785,FA,0)))&gt;0,INDEX(F_Y,MATCH($C785,FA,0)),""))</f>
        <v>#REF!</v>
      </c>
      <c r="S785" s="7" t="e">
        <f>IF(OR($P785="",$P785="G",ISNA(MATCH($C785,FA,0))),"",IF(N(INDEX(F_D,MATCH($C785,FA,0)))&gt;0,INDEX(F_D,MATCH($C785,FA,0)),""))</f>
        <v>#REF!</v>
      </c>
      <c r="T785" s="7">
        <f>IF(ISNA(MATCH($C785,FA,0)),0,IF($J785="GIRIS",N(INDEX(F_INKOR,MATCH($C785,FA,0))),0))</f>
        <v>0</v>
      </c>
      <c r="U785" s="7" t="e">
        <f>IF(ISNA(MATCH($B785,TIP_AD,0)),"",INDEX(TIP_KAT,MATCH($B785,TIP_AD,0))&amp;"")</f>
        <v>#REF!</v>
      </c>
      <c r="V785" s="7" t="e">
        <f>IF(NOT(ISNUMBER($P785)),"",IF($Z785=0,0,IF(ISNA(MATCH($Z785,BUK_KESIT,0)),"",IF(INDEX(BUK_ALAN,MATCH($Z785,BUK_KESIT,0))&amp;""="","",INDEX(BUK_ALAN,MATCH($Z785,BUK_KESIT,0))))))</f>
        <v>#REF!</v>
      </c>
      <c r="W785" s="7" t="e">
        <f>IF(OR(NOT(ISNUMBER($P785)),$Q785=""),"",N(#REF!)*($Q785+IF(ISNA(MATCH($B785,TIP_AD,0)),0,N(INDEX(TIP_BOSLUK,MATCH($B785,TIP_AD,0))))))</f>
        <v>#REF!</v>
      </c>
      <c r="X785" s="7" t="e">
        <f>IF(ISNUMBER($P785),($Q785="")+($R785="")+($V785="")+IF(AND($U785="KONTAKTOR",NOT(ISNA(MATCH($B785,TIP_AD,0)))),IF(INDEX(TIP_BOSLUK,MATCH($B785,TIP_AD,0))&amp;""="",1,0),0),IF($P785="K",IF($S785="",1,0),0))</f>
        <v>#REF!</v>
      </c>
      <c r="Y785" s="7" t="e">
        <f>N(#REF!)*IF($E785="упак",MAX(1,IF(ISNA(MATCH($C785,FA,0)),1,N(INDEX(F_PAKET,MATCH($C785,FA,0))))),1)</f>
        <v>#REF!</v>
      </c>
      <c r="Z785" s="7" t="e">
        <f t="shared" si="269"/>
        <v>#REF!</v>
      </c>
      <c r="AA785" s="7" t="e">
        <f>IF(OR(ISNA(MATCH($C785,FA,0)),$J785="YEDEK",$J785="SARF"),0,N(#REF!)*N(INDEX(F_TEL,MATCH($C785,FA,0))))</f>
        <v>#REF!</v>
      </c>
      <c r="AB785" s="7" t="e">
        <f>IF(OR(ISNA(MATCH($C785,FA,0)),$J785="YEDEK",$J785="SARF"),0,N(#REF!)*N(INDEX(F_TELM,MATCH($C785,FA,0))))</f>
        <v>#REF!</v>
      </c>
      <c r="AC785" s="7" t="e">
        <f t="shared" si="270"/>
        <v>#REF!</v>
      </c>
      <c r="AD785" s="7">
        <f>IF(OR(ISNA(MATCH($C785,FA,0)),$J785&lt;&gt;"CIKIS"),0,N(INDEX(F_KK,MATCH($C785,FA,0))))</f>
        <v>0</v>
      </c>
      <c r="AE785" s="7">
        <f>IF($AD785=0,0,N(#REF!)*N(INDEX(F_KLN,MATCH($C785,FA,0))))</f>
        <v>0</v>
      </c>
      <c r="AF785" s="7">
        <f>IF($AD785=0,0,N(#REF!)*N(INDEX(F_KPE,MATCH($C785,FA,0))))</f>
        <v>0</v>
      </c>
      <c r="AG785" s="7" t="e">
        <f>IF(ISNA(MATCH($C785,FA,0)),0,N(#REF!)*N(INDEX(F_MODUL,MATCH($C785,FA,0))))</f>
        <v>#REF!</v>
      </c>
      <c r="AH785" s="7" t="e">
        <f>N(#REF!)*N($I785)</f>
        <v>#REF!</v>
      </c>
      <c r="AI785" s="7" t="e">
        <f t="shared" si="271"/>
        <v>#REF!</v>
      </c>
      <c r="AJ785" s="7">
        <f t="shared" si="272"/>
        <v>0</v>
      </c>
    </row>
    <row r="786" spans="1:36" x14ac:dyDescent="0.25">
      <c r="A786" s="4" t="str">
        <f t="shared" si="266"/>
        <v>ЩА-6.2 (260922 akram aulet)</v>
      </c>
      <c r="B786" s="4" t="s">
        <v>65</v>
      </c>
      <c r="C786" s="4" t="s">
        <v>390</v>
      </c>
      <c r="D786" s="4" t="s">
        <v>391</v>
      </c>
      <c r="E786" s="4" t="s">
        <v>114</v>
      </c>
      <c r="F786" s="4" t="s">
        <v>377</v>
      </c>
      <c r="G786" s="4" t="s">
        <v>366</v>
      </c>
      <c r="H786" s="5" t="e">
        <f>#REF!</f>
        <v>#REF!</v>
      </c>
      <c r="I786" s="6" t="e">
        <f t="shared" si="267"/>
        <v>#REF!</v>
      </c>
      <c r="J786" s="6" t="s">
        <v>52</v>
      </c>
      <c r="K786" s="6" t="s">
        <v>65</v>
      </c>
      <c r="L786" s="7" t="e">
        <f t="shared" si="268"/>
        <v>#REF!</v>
      </c>
      <c r="N786" s="7" t="s">
        <v>356</v>
      </c>
      <c r="O786" s="7" t="str">
        <f>IF(OR($C786="",$C786="FID YOK"),"",IF(ISNUMBER(MATCH($C786,FA_ANA,0)),"",IF(COUNTIF($C$1:$C785,$C786)&gt;0,"",MAX($O$1:$O785)+1)))</f>
        <v/>
      </c>
      <c r="P786" s="8">
        <v>3</v>
      </c>
      <c r="Q786" s="7" t="e">
        <f>IF(OR($P786="",$P786="G",ISNA(MATCH($C786,FA,0))),"",IF(N(INDEX(F_G,MATCH($C786,FA,0)))&gt;0,INDEX(F_G,MATCH($C786,FA,0)),IF(N(INDEX(F_MODUL,MATCH($C786,FA,0)))&gt;0,INDEX(F_MODUL,MATCH($C786,FA,0))*MODUL_MM,"")))</f>
        <v>#REF!</v>
      </c>
      <c r="R786" s="7" t="e">
        <f>IF(OR($P786="",$P786="G",ISNA(MATCH($C786,FA,0))),"",IF(N(INDEX(F_Y,MATCH($C786,FA,0)))&gt;0,INDEX(F_Y,MATCH($C786,FA,0)),""))</f>
        <v>#REF!</v>
      </c>
      <c r="S786" s="7" t="e">
        <f>IF(OR($P786="",$P786="G",ISNA(MATCH($C786,FA,0))),"",IF(N(INDEX(F_D,MATCH($C786,FA,0)))&gt;0,INDEX(F_D,MATCH($C786,FA,0)),""))</f>
        <v>#REF!</v>
      </c>
      <c r="T786" s="7">
        <f>IF(ISNA(MATCH($C786,FA,0)),0,IF($J786="GIRIS",N(INDEX(F_INKOR,MATCH($C786,FA,0))),0))</f>
        <v>0</v>
      </c>
      <c r="U786" s="7" t="e">
        <f>IF(ISNA(MATCH($B786,TIP_AD,0)),"",INDEX(TIP_KAT,MATCH($B786,TIP_AD,0))&amp;"")</f>
        <v>#REF!</v>
      </c>
      <c r="V786" s="7" t="e">
        <f>IF(NOT(ISNUMBER($P786)),"",IF($Z786=0,0,IF(ISNA(MATCH($Z786,BUK_KESIT,0)),"",IF(INDEX(BUK_ALAN,MATCH($Z786,BUK_KESIT,0))&amp;""="","",INDEX(BUK_ALAN,MATCH($Z786,BUK_KESIT,0))))))</f>
        <v>#REF!</v>
      </c>
      <c r="W786" s="7" t="e">
        <f>IF(OR(NOT(ISNUMBER($P786)),$Q786=""),"",N(#REF!)*($Q786+IF(ISNA(MATCH($B786,TIP_AD,0)),0,N(INDEX(TIP_BOSLUK,MATCH($B786,TIP_AD,0))))))</f>
        <v>#REF!</v>
      </c>
      <c r="X786" s="7" t="e">
        <f>IF(ISNUMBER($P786),($Q786="")+($R786="")+($V786="")+IF(AND($U786="KONTAKTOR",NOT(ISNA(MATCH($B786,TIP_AD,0)))),IF(INDEX(TIP_BOSLUK,MATCH($B786,TIP_AD,0))&amp;""="",1,0),0),IF($P786="K",IF($S786="",1,0),0))</f>
        <v>#REF!</v>
      </c>
      <c r="Y786" s="7" t="e">
        <f>N(#REF!)*IF($E786="упак",MAX(1,IF(ISNA(MATCH($C786,FA,0)),1,N(INDEX(F_PAKET,MATCH($C786,FA,0))))),1)</f>
        <v>#REF!</v>
      </c>
      <c r="Z786" s="7" t="e">
        <f t="shared" si="269"/>
        <v>#REF!</v>
      </c>
      <c r="AA786" s="7" t="e">
        <f>IF(OR(ISNA(MATCH($C786,FA,0)),$J786="YEDEK",$J786="SARF"),0,N(#REF!)*N(INDEX(F_TEL,MATCH($C786,FA,0))))</f>
        <v>#REF!</v>
      </c>
      <c r="AB786" s="7" t="e">
        <f>IF(OR(ISNA(MATCH($C786,FA,0)),$J786="YEDEK",$J786="SARF"),0,N(#REF!)*N(INDEX(F_TELM,MATCH($C786,FA,0))))</f>
        <v>#REF!</v>
      </c>
      <c r="AC786" s="7" t="e">
        <f t="shared" si="270"/>
        <v>#REF!</v>
      </c>
      <c r="AD786" s="7" t="e">
        <f>IF(OR(ISNA(MATCH($C786,FA,0)),$J786&lt;&gt;"CIKIS"),0,N(INDEX(F_KK,MATCH($C786,FA,0))))</f>
        <v>#REF!</v>
      </c>
      <c r="AE786" s="7" t="e">
        <f>IF($AD786=0,0,N(#REF!)*N(INDEX(F_KLN,MATCH($C786,FA,0))))</f>
        <v>#REF!</v>
      </c>
      <c r="AF786" s="7" t="e">
        <f>IF($AD786=0,0,N(#REF!)*N(INDEX(F_KPE,MATCH($C786,FA,0))))</f>
        <v>#REF!</v>
      </c>
      <c r="AG786" s="7" t="e">
        <f>IF(ISNA(MATCH($C786,FA,0)),0,N(#REF!)*N(INDEX(F_MODUL,MATCH($C786,FA,0))))</f>
        <v>#REF!</v>
      </c>
      <c r="AH786" s="7" t="e">
        <f>N(#REF!)*N($I786)</f>
        <v>#REF!</v>
      </c>
      <c r="AI786" s="7" t="e">
        <f t="shared" si="271"/>
        <v>#REF!</v>
      </c>
      <c r="AJ786" s="7">
        <f t="shared" si="272"/>
        <v>0</v>
      </c>
    </row>
    <row r="787" spans="1:36" x14ac:dyDescent="0.25">
      <c r="A787" s="4" t="str">
        <f t="shared" si="266"/>
        <v>ЩА-6.2 (260922 akram aulet)</v>
      </c>
      <c r="B787" s="4" t="s">
        <v>65</v>
      </c>
      <c r="C787" s="4" t="s">
        <v>388</v>
      </c>
      <c r="D787" s="4" t="s">
        <v>389</v>
      </c>
      <c r="E787" s="4" t="s">
        <v>114</v>
      </c>
      <c r="F787" s="4" t="s">
        <v>377</v>
      </c>
      <c r="G787" s="4" t="s">
        <v>366</v>
      </c>
      <c r="H787" s="5" t="e">
        <f>#REF!</f>
        <v>#REF!</v>
      </c>
      <c r="I787" s="6" t="e">
        <f t="shared" si="267"/>
        <v>#REF!</v>
      </c>
      <c r="J787" s="6" t="s">
        <v>52</v>
      </c>
      <c r="K787" s="6" t="s">
        <v>65</v>
      </c>
      <c r="L787" s="7" t="e">
        <f t="shared" si="268"/>
        <v>#REF!</v>
      </c>
      <c r="M787" s="7" t="s">
        <v>371</v>
      </c>
      <c r="N787" s="7" t="s">
        <v>228</v>
      </c>
      <c r="O787" s="7" t="str">
        <f>IF(OR($C787="",$C787="FID YOK"),"",IF(ISNUMBER(MATCH($C787,FA_ANA,0)),"",IF(COUNTIF($C$1:$C786,$C787)&gt;0,"",MAX($O$1:$O786)+1)))</f>
        <v/>
      </c>
      <c r="P787" s="8">
        <v>3</v>
      </c>
      <c r="Q787" s="7" t="e">
        <f>IF(OR($P787="",$P787="G",ISNA(MATCH($C787,FA,0))),"",IF(N(INDEX(F_G,MATCH($C787,FA,0)))&gt;0,INDEX(F_G,MATCH($C787,FA,0)),IF(N(INDEX(F_MODUL,MATCH($C787,FA,0)))&gt;0,INDEX(F_MODUL,MATCH($C787,FA,0))*MODUL_MM,"")))</f>
        <v>#REF!</v>
      </c>
      <c r="R787" s="7" t="e">
        <f>IF(OR($P787="",$P787="G",ISNA(MATCH($C787,FA,0))),"",IF(N(INDEX(F_Y,MATCH($C787,FA,0)))&gt;0,INDEX(F_Y,MATCH($C787,FA,0)),""))</f>
        <v>#REF!</v>
      </c>
      <c r="S787" s="7" t="e">
        <f>IF(OR($P787="",$P787="G",ISNA(MATCH($C787,FA,0))),"",IF(N(INDEX(F_D,MATCH($C787,FA,0)))&gt;0,INDEX(F_D,MATCH($C787,FA,0)),""))</f>
        <v>#REF!</v>
      </c>
      <c r="T787" s="7">
        <f>IF(ISNA(MATCH($C787,FA,0)),0,IF($J787="GIRIS",N(INDEX(F_INKOR,MATCH($C787,FA,0))),0))</f>
        <v>0</v>
      </c>
      <c r="U787" s="7" t="e">
        <f>IF(ISNA(MATCH($B787,TIP_AD,0)),"",INDEX(TIP_KAT,MATCH($B787,TIP_AD,0))&amp;"")</f>
        <v>#REF!</v>
      </c>
      <c r="V787" s="7" t="e">
        <f>IF(NOT(ISNUMBER($P787)),"",IF($Z787=0,0,IF(ISNA(MATCH($Z787,BUK_KESIT,0)),"",IF(INDEX(BUK_ALAN,MATCH($Z787,BUK_KESIT,0))&amp;""="","",INDEX(BUK_ALAN,MATCH($Z787,BUK_KESIT,0))))))</f>
        <v>#REF!</v>
      </c>
      <c r="W787" s="7" t="e">
        <f>IF(OR(NOT(ISNUMBER($P787)),$Q787=""),"",N(#REF!)*($Q787+IF(ISNA(MATCH($B787,TIP_AD,0)),0,N(INDEX(TIP_BOSLUK,MATCH($B787,TIP_AD,0))))))</f>
        <v>#REF!</v>
      </c>
      <c r="X787" s="7" t="e">
        <f>IF(ISNUMBER($P787),($Q787="")+($R787="")+($V787="")+IF(AND($U787="KONTAKTOR",NOT(ISNA(MATCH($B787,TIP_AD,0)))),IF(INDEX(TIP_BOSLUK,MATCH($B787,TIP_AD,0))&amp;""="",1,0),0),IF($P787="K",IF($S787="",1,0),0))</f>
        <v>#REF!</v>
      </c>
      <c r="Y787" s="7" t="e">
        <f>N(#REF!)*IF($E787="упак",MAX(1,IF(ISNA(MATCH($C787,FA,0)),1,N(INDEX(F_PAKET,MATCH($C787,FA,0))))),1)</f>
        <v>#REF!</v>
      </c>
      <c r="Z787" s="7" t="e">
        <f t="shared" si="269"/>
        <v>#REF!</v>
      </c>
      <c r="AA787" s="7" t="e">
        <f>IF(OR(ISNA(MATCH($C787,FA,0)),$J787="YEDEK",$J787="SARF"),0,N(#REF!)*N(INDEX(F_TEL,MATCH($C787,FA,0))))</f>
        <v>#REF!</v>
      </c>
      <c r="AB787" s="7" t="e">
        <f>IF(OR(ISNA(MATCH($C787,FA,0)),$J787="YEDEK",$J787="SARF"),0,N(#REF!)*N(INDEX(F_TELM,MATCH($C787,FA,0))))</f>
        <v>#REF!</v>
      </c>
      <c r="AC787" s="7" t="e">
        <f t="shared" si="270"/>
        <v>#REF!</v>
      </c>
      <c r="AD787" s="7" t="e">
        <f>IF(OR(ISNA(MATCH($C787,FA,0)),$J787&lt;&gt;"CIKIS"),0,N(INDEX(F_KK,MATCH($C787,FA,0))))</f>
        <v>#REF!</v>
      </c>
      <c r="AE787" s="7" t="e">
        <f>IF($AD787=0,0,N(#REF!)*N(INDEX(F_KLN,MATCH($C787,FA,0))))</f>
        <v>#REF!</v>
      </c>
      <c r="AF787" s="7" t="e">
        <f>IF($AD787=0,0,N(#REF!)*N(INDEX(F_KPE,MATCH($C787,FA,0))))</f>
        <v>#REF!</v>
      </c>
      <c r="AG787" s="7" t="e">
        <f>IF(ISNA(MATCH($C787,FA,0)),0,N(#REF!)*N(INDEX(F_MODUL,MATCH($C787,FA,0))))</f>
        <v>#REF!</v>
      </c>
      <c r="AH787" s="7" t="e">
        <f>N(#REF!)*N($I787)</f>
        <v>#REF!</v>
      </c>
      <c r="AI787" s="7" t="e">
        <f t="shared" si="271"/>
        <v>#REF!</v>
      </c>
      <c r="AJ787" s="7">
        <f t="shared" si="272"/>
        <v>0</v>
      </c>
    </row>
    <row r="788" spans="1:36" x14ac:dyDescent="0.25">
      <c r="A788" s="4" t="str">
        <f t="shared" si="266"/>
        <v>ЩА-6.2 (260922 akram aulet)</v>
      </c>
      <c r="B788" s="4" t="s">
        <v>202</v>
      </c>
      <c r="C788" s="4" t="s">
        <v>575</v>
      </c>
      <c r="D788" s="4" t="s">
        <v>576</v>
      </c>
      <c r="E788" s="4" t="s">
        <v>114</v>
      </c>
      <c r="F788" s="4" t="s">
        <v>486</v>
      </c>
      <c r="G788" s="4" t="s">
        <v>366</v>
      </c>
      <c r="H788" s="5" t="e">
        <f>#REF!</f>
        <v>#REF!</v>
      </c>
      <c r="I788" s="6" t="e">
        <f t="shared" si="267"/>
        <v>#REF!</v>
      </c>
      <c r="J788" s="6" t="s">
        <v>84</v>
      </c>
      <c r="K788" s="6" t="s">
        <v>202</v>
      </c>
      <c r="L788" s="7" t="e">
        <f t="shared" si="268"/>
        <v>#REF!</v>
      </c>
      <c r="M788" s="7" t="s">
        <v>203</v>
      </c>
      <c r="O788" s="7" t="str">
        <f>IF(OR($C788="",$C788="FID YOK"),"",IF(ISNUMBER(MATCH($C788,FA_ANA,0)),"",IF(COUNTIF($C$1:$C787,$C788)&gt;0,"",MAX($O$1:$O787)+1)))</f>
        <v/>
      </c>
      <c r="T788" s="7">
        <f>IF(ISNA(MATCH($C788,FA,0)),0,IF($J788="GIRIS",N(INDEX(F_INKOR,MATCH($C788,FA,0))),0))</f>
        <v>0</v>
      </c>
      <c r="Y788" s="7" t="e">
        <f>N(#REF!)*IF($E788="упак",MAX(1,IF(ISNA(MATCH($C788,FA,0)),1,N(INDEX(F_PAKET,MATCH($C788,FA,0))))),1)</f>
        <v>#REF!</v>
      </c>
      <c r="Z788" s="7" t="e">
        <f t="shared" si="269"/>
        <v>#REF!</v>
      </c>
      <c r="AA788" s="7">
        <f>IF(OR(ISNA(MATCH($C788,FA,0)),$J788="YEDEK",$J788="SARF"),0,N(#REF!)*N(INDEX(F_TEL,MATCH($C788,FA,0))))</f>
        <v>0</v>
      </c>
      <c r="AB788" s="7">
        <f>IF(OR(ISNA(MATCH($C788,FA,0)),$J788="YEDEK",$J788="SARF"),0,N(#REF!)*N(INDEX(F_TELM,MATCH($C788,FA,0))))</f>
        <v>0</v>
      </c>
      <c r="AC788" s="7" t="e">
        <f t="shared" si="270"/>
        <v>#REF!</v>
      </c>
      <c r="AD788" s="7">
        <f>IF(OR(ISNA(MATCH($C788,FA,0)),$J788&lt;&gt;"CIKIS"),0,N(INDEX(F_KK,MATCH($C788,FA,0))))</f>
        <v>0</v>
      </c>
      <c r="AE788" s="7">
        <f>IF($AD788=0,0,N(#REF!)*N(INDEX(F_KLN,MATCH($C788,FA,0))))</f>
        <v>0</v>
      </c>
      <c r="AF788" s="7">
        <f>IF($AD788=0,0,N(#REF!)*N(INDEX(F_KPE,MATCH($C788,FA,0))))</f>
        <v>0</v>
      </c>
      <c r="AG788" s="7" t="e">
        <f>IF(ISNA(MATCH($C788,FA,0)),0,N(#REF!)*N(INDEX(F_MODUL,MATCH($C788,FA,0))))</f>
        <v>#REF!</v>
      </c>
      <c r="AH788" s="7" t="e">
        <f>N(#REF!)*N($I788)</f>
        <v>#REF!</v>
      </c>
      <c r="AI788" s="7" t="e">
        <f t="shared" si="271"/>
        <v>#REF!</v>
      </c>
      <c r="AJ788" s="7">
        <f t="shared" si="272"/>
        <v>0</v>
      </c>
    </row>
    <row r="789" spans="1:36" x14ac:dyDescent="0.25">
      <c r="A789" s="4" t="str">
        <f t="shared" si="266"/>
        <v>ЩА-6.2 (260922 akram aulet)</v>
      </c>
      <c r="B789" s="4" t="s">
        <v>202</v>
      </c>
      <c r="C789" s="4" t="s">
        <v>575</v>
      </c>
      <c r="D789" s="4" t="s">
        <v>576</v>
      </c>
      <c r="E789" s="4" t="s">
        <v>114</v>
      </c>
      <c r="F789" s="4" t="s">
        <v>486</v>
      </c>
      <c r="G789" s="4" t="s">
        <v>366</v>
      </c>
      <c r="H789" s="5" t="e">
        <f>#REF!</f>
        <v>#REF!</v>
      </c>
      <c r="I789" s="6" t="e">
        <f t="shared" si="267"/>
        <v>#REF!</v>
      </c>
      <c r="J789" s="6" t="s">
        <v>84</v>
      </c>
      <c r="K789" s="6" t="s">
        <v>202</v>
      </c>
      <c r="L789" s="7" t="e">
        <f t="shared" si="268"/>
        <v>#REF!</v>
      </c>
      <c r="M789" s="7" t="s">
        <v>204</v>
      </c>
      <c r="O789" s="7" t="str">
        <f>IF(OR($C789="",$C789="FID YOK"),"",IF(ISNUMBER(MATCH($C789,FA_ANA,0)),"",IF(COUNTIF($C$1:$C788,$C789)&gt;0,"",MAX($O$1:$O788)+1)))</f>
        <v/>
      </c>
      <c r="T789" s="7">
        <f>IF(ISNA(MATCH($C789,FA,0)),0,IF($J789="GIRIS",N(INDEX(F_INKOR,MATCH($C789,FA,0))),0))</f>
        <v>0</v>
      </c>
      <c r="Y789" s="7" t="e">
        <f>N(#REF!)*IF($E789="упак",MAX(1,IF(ISNA(MATCH($C789,FA,0)),1,N(INDEX(F_PAKET,MATCH($C789,FA,0))))),1)</f>
        <v>#REF!</v>
      </c>
      <c r="Z789" s="7" t="e">
        <f t="shared" si="269"/>
        <v>#REF!</v>
      </c>
      <c r="AA789" s="7">
        <f>IF(OR(ISNA(MATCH($C789,FA,0)),$J789="YEDEK",$J789="SARF"),0,N(#REF!)*N(INDEX(F_TEL,MATCH($C789,FA,0))))</f>
        <v>0</v>
      </c>
      <c r="AB789" s="7">
        <f>IF(OR(ISNA(MATCH($C789,FA,0)),$J789="YEDEK",$J789="SARF"),0,N(#REF!)*N(INDEX(F_TELM,MATCH($C789,FA,0))))</f>
        <v>0</v>
      </c>
      <c r="AC789" s="7" t="e">
        <f t="shared" si="270"/>
        <v>#REF!</v>
      </c>
      <c r="AD789" s="7">
        <f>IF(OR(ISNA(MATCH($C789,FA,0)),$J789&lt;&gt;"CIKIS"),0,N(INDEX(F_KK,MATCH($C789,FA,0))))</f>
        <v>0</v>
      </c>
      <c r="AE789" s="7">
        <f>IF($AD789=0,0,N(#REF!)*N(INDEX(F_KLN,MATCH($C789,FA,0))))</f>
        <v>0</v>
      </c>
      <c r="AF789" s="7">
        <f>IF($AD789=0,0,N(#REF!)*N(INDEX(F_KPE,MATCH($C789,FA,0))))</f>
        <v>0</v>
      </c>
      <c r="AG789" s="7" t="e">
        <f>IF(ISNA(MATCH($C789,FA,0)),0,N(#REF!)*N(INDEX(F_MODUL,MATCH($C789,FA,0))))</f>
        <v>#REF!</v>
      </c>
      <c r="AH789" s="7" t="e">
        <f>N(#REF!)*N($I789)</f>
        <v>#REF!</v>
      </c>
      <c r="AI789" s="7" t="e">
        <f t="shared" si="271"/>
        <v>#REF!</v>
      </c>
      <c r="AJ789" s="7">
        <f t="shared" si="272"/>
        <v>0</v>
      </c>
    </row>
    <row r="790" spans="1:36" x14ac:dyDescent="0.25">
      <c r="A790" s="4" t="str">
        <f t="shared" si="266"/>
        <v>ЩА-6.2 (260922 akram aulet)</v>
      </c>
      <c r="B790" s="4" t="s">
        <v>92</v>
      </c>
      <c r="C790" s="4" t="s">
        <v>523</v>
      </c>
      <c r="D790" s="4" t="s">
        <v>524</v>
      </c>
      <c r="E790" s="4" t="s">
        <v>520</v>
      </c>
      <c r="F790" s="4" t="s">
        <v>521</v>
      </c>
      <c r="G790" s="4" t="s">
        <v>366</v>
      </c>
      <c r="H790" s="5" t="e">
        <f>#REF!</f>
        <v>#REF!</v>
      </c>
      <c r="I790" s="6" t="e">
        <f t="shared" si="267"/>
        <v>#REF!</v>
      </c>
      <c r="J790" s="6" t="s">
        <v>84</v>
      </c>
      <c r="K790" s="6" t="s">
        <v>92</v>
      </c>
      <c r="L790" s="7" t="e">
        <f t="shared" si="268"/>
        <v>#REF!</v>
      </c>
      <c r="M790" s="7" t="s">
        <v>93</v>
      </c>
      <c r="O790" s="7" t="str">
        <f>IF(OR($C790="",$C790="FID YOK"),"",IF(ISNUMBER(MATCH($C790,FA_ANA,0)),"",IF(COUNTIF($C$1:$C789,$C790)&gt;0,"",MAX($O$1:$O789)+1)))</f>
        <v/>
      </c>
      <c r="T790" s="7">
        <f>IF(ISNA(MATCH($C790,FA,0)),0,IF($J790="GIRIS",N(INDEX(F_INKOR,MATCH($C790,FA,0))),0))</f>
        <v>0</v>
      </c>
      <c r="Y790" s="7" t="e">
        <f>N(#REF!)*IF($E790="упак",MAX(1,IF(ISNA(MATCH($C790,FA,0)),1,N(INDEX(F_PAKET,MATCH($C790,FA,0))))),1)</f>
        <v>#REF!</v>
      </c>
      <c r="Z790" s="7" t="e">
        <f t="shared" si="269"/>
        <v>#REF!</v>
      </c>
      <c r="AA790" s="7">
        <f>IF(OR(ISNA(MATCH($C790,FA,0)),$J790="YEDEK",$J790="SARF"),0,N(#REF!)*N(INDEX(F_TEL,MATCH($C790,FA,0))))</f>
        <v>0</v>
      </c>
      <c r="AB790" s="7">
        <f>IF(OR(ISNA(MATCH($C790,FA,0)),$J790="YEDEK",$J790="SARF"),0,N(#REF!)*N(INDEX(F_TELM,MATCH($C790,FA,0))))</f>
        <v>0</v>
      </c>
      <c r="AC790" s="7" t="e">
        <f t="shared" si="270"/>
        <v>#REF!</v>
      </c>
      <c r="AD790" s="7">
        <f>IF(OR(ISNA(MATCH($C790,FA,0)),$J790&lt;&gt;"CIKIS"),0,N(INDEX(F_KK,MATCH($C790,FA,0))))</f>
        <v>0</v>
      </c>
      <c r="AE790" s="7">
        <f>IF($AD790=0,0,N(#REF!)*N(INDEX(F_KLN,MATCH($C790,FA,0))))</f>
        <v>0</v>
      </c>
      <c r="AF790" s="7">
        <f>IF($AD790=0,0,N(#REF!)*N(INDEX(F_KPE,MATCH($C790,FA,0))))</f>
        <v>0</v>
      </c>
      <c r="AG790" s="7" t="e">
        <f>IF(ISNA(MATCH($C790,FA,0)),0,N(#REF!)*N(INDEX(F_MODUL,MATCH($C790,FA,0))))</f>
        <v>#REF!</v>
      </c>
      <c r="AH790" s="7" t="e">
        <f>N(#REF!)*N($I790)</f>
        <v>#REF!</v>
      </c>
      <c r="AI790" s="7" t="e">
        <f t="shared" si="271"/>
        <v>#REF!</v>
      </c>
      <c r="AJ790" s="7">
        <f t="shared" si="272"/>
        <v>0</v>
      </c>
    </row>
    <row r="791" spans="1:36" x14ac:dyDescent="0.25">
      <c r="A791" s="4" t="str">
        <f t="shared" si="266"/>
        <v>ЩА-6.2 (260922 akram aulet)</v>
      </c>
      <c r="B791" s="4" t="s">
        <v>92</v>
      </c>
      <c r="C791" s="4" t="s">
        <v>527</v>
      </c>
      <c r="D791" s="4" t="s">
        <v>528</v>
      </c>
      <c r="E791" s="4" t="s">
        <v>520</v>
      </c>
      <c r="F791" s="4" t="s">
        <v>521</v>
      </c>
      <c r="G791" s="4" t="s">
        <v>366</v>
      </c>
      <c r="H791" s="5" t="e">
        <f>#REF!</f>
        <v>#REF!</v>
      </c>
      <c r="I791" s="6" t="e">
        <f t="shared" si="267"/>
        <v>#REF!</v>
      </c>
      <c r="J791" s="6" t="s">
        <v>84</v>
      </c>
      <c r="K791" s="6" t="s">
        <v>92</v>
      </c>
      <c r="L791" s="7" t="e">
        <f t="shared" si="268"/>
        <v>#REF!</v>
      </c>
      <c r="M791" s="7" t="s">
        <v>94</v>
      </c>
      <c r="O791" s="7" t="str">
        <f>IF(OR($C791="",$C791="FID YOK"),"",IF(ISNUMBER(MATCH($C791,FA_ANA,0)),"",IF(COUNTIF($C$1:$C790,$C791)&gt;0,"",MAX($O$1:$O790)+1)))</f>
        <v/>
      </c>
      <c r="T791" s="7">
        <f>IF(ISNA(MATCH($C791,FA,0)),0,IF($J791="GIRIS",N(INDEX(F_INKOR,MATCH($C791,FA,0))),0))</f>
        <v>0</v>
      </c>
      <c r="Y791" s="7" t="e">
        <f>N(#REF!)*IF($E791="упак",MAX(1,IF(ISNA(MATCH($C791,FA,0)),1,N(INDEX(F_PAKET,MATCH($C791,FA,0))))),1)</f>
        <v>#REF!</v>
      </c>
      <c r="Z791" s="7" t="e">
        <f t="shared" si="269"/>
        <v>#REF!</v>
      </c>
      <c r="AA791" s="7">
        <f>IF(OR(ISNA(MATCH($C791,FA,0)),$J791="YEDEK",$J791="SARF"),0,N(#REF!)*N(INDEX(F_TEL,MATCH($C791,FA,0))))</f>
        <v>0</v>
      </c>
      <c r="AB791" s="7">
        <f>IF(OR(ISNA(MATCH($C791,FA,0)),$J791="YEDEK",$J791="SARF"),0,N(#REF!)*N(INDEX(F_TELM,MATCH($C791,FA,0))))</f>
        <v>0</v>
      </c>
      <c r="AC791" s="7" t="e">
        <f t="shared" si="270"/>
        <v>#REF!</v>
      </c>
      <c r="AD791" s="7">
        <f>IF(OR(ISNA(MATCH($C791,FA,0)),$J791&lt;&gt;"CIKIS"),0,N(INDEX(F_KK,MATCH($C791,FA,0))))</f>
        <v>0</v>
      </c>
      <c r="AE791" s="7">
        <f>IF($AD791=0,0,N(#REF!)*N(INDEX(F_KLN,MATCH($C791,FA,0))))</f>
        <v>0</v>
      </c>
      <c r="AF791" s="7">
        <f>IF($AD791=0,0,N(#REF!)*N(INDEX(F_KPE,MATCH($C791,FA,0))))</f>
        <v>0</v>
      </c>
      <c r="AG791" s="7" t="e">
        <f>IF(ISNA(MATCH($C791,FA,0)),0,N(#REF!)*N(INDEX(F_MODUL,MATCH($C791,FA,0))))</f>
        <v>#REF!</v>
      </c>
      <c r="AH791" s="7" t="e">
        <f>N(#REF!)*N($I791)</f>
        <v>#REF!</v>
      </c>
      <c r="AI791" s="7" t="e">
        <f t="shared" si="271"/>
        <v>#REF!</v>
      </c>
      <c r="AJ791" s="7">
        <f t="shared" si="272"/>
        <v>0</v>
      </c>
    </row>
    <row r="792" spans="1:36" x14ac:dyDescent="0.25">
      <c r="A792" s="4" t="str">
        <f t="shared" si="266"/>
        <v>ЩА-6.2 (260922 akram aulet)</v>
      </c>
      <c r="B792" s="4" t="s">
        <v>92</v>
      </c>
      <c r="C792" s="4" t="s">
        <v>535</v>
      </c>
      <c r="D792" s="4" t="s">
        <v>536</v>
      </c>
      <c r="E792" s="4" t="s">
        <v>520</v>
      </c>
      <c r="F792" s="4" t="s">
        <v>521</v>
      </c>
      <c r="G792" s="4" t="s">
        <v>366</v>
      </c>
      <c r="H792" s="5" t="e">
        <f>#REF!</f>
        <v>#REF!</v>
      </c>
      <c r="I792" s="6" t="e">
        <f t="shared" si="267"/>
        <v>#REF!</v>
      </c>
      <c r="J792" s="6" t="s">
        <v>84</v>
      </c>
      <c r="K792" s="6" t="s">
        <v>92</v>
      </c>
      <c r="L792" s="7" t="e">
        <f t="shared" si="268"/>
        <v>#REF!</v>
      </c>
      <c r="M792" s="7" t="s">
        <v>130</v>
      </c>
      <c r="O792" s="7" t="str">
        <f>IF(OR($C792="",$C792="FID YOK"),"",IF(ISNUMBER(MATCH($C792,FA_ANA,0)),"",IF(COUNTIF($C$1:$C791,$C792)&gt;0,"",MAX($O$1:$O791)+1)))</f>
        <v/>
      </c>
      <c r="T792" s="7">
        <f>IF(ISNA(MATCH($C792,FA,0)),0,IF($J792="GIRIS",N(INDEX(F_INKOR,MATCH($C792,FA,0))),0))</f>
        <v>0</v>
      </c>
      <c r="Y792" s="7" t="e">
        <f>N(#REF!)*IF($E792="упак",MAX(1,IF(ISNA(MATCH($C792,FA,0)),1,N(INDEX(F_PAKET,MATCH($C792,FA,0))))),1)</f>
        <v>#REF!</v>
      </c>
      <c r="Z792" s="7" t="e">
        <f t="shared" si="269"/>
        <v>#REF!</v>
      </c>
      <c r="AA792" s="7">
        <f>IF(OR(ISNA(MATCH($C792,FA,0)),$J792="YEDEK",$J792="SARF"),0,N(#REF!)*N(INDEX(F_TEL,MATCH($C792,FA,0))))</f>
        <v>0</v>
      </c>
      <c r="AB792" s="7">
        <f>IF(OR(ISNA(MATCH($C792,FA,0)),$J792="YEDEK",$J792="SARF"),0,N(#REF!)*N(INDEX(F_TELM,MATCH($C792,FA,0))))</f>
        <v>0</v>
      </c>
      <c r="AC792" s="7" t="e">
        <f t="shared" si="270"/>
        <v>#REF!</v>
      </c>
      <c r="AD792" s="7">
        <f>IF(OR(ISNA(MATCH($C792,FA,0)),$J792&lt;&gt;"CIKIS"),0,N(INDEX(F_KK,MATCH($C792,FA,0))))</f>
        <v>0</v>
      </c>
      <c r="AE792" s="7">
        <f>IF($AD792=0,0,N(#REF!)*N(INDEX(F_KLN,MATCH($C792,FA,0))))</f>
        <v>0</v>
      </c>
      <c r="AF792" s="7">
        <f>IF($AD792=0,0,N(#REF!)*N(INDEX(F_KPE,MATCH($C792,FA,0))))</f>
        <v>0</v>
      </c>
      <c r="AG792" s="7" t="e">
        <f>IF(ISNA(MATCH($C792,FA,0)),0,N(#REF!)*N(INDEX(F_MODUL,MATCH($C792,FA,0))))</f>
        <v>#REF!</v>
      </c>
      <c r="AH792" s="7" t="e">
        <f>N(#REF!)*N($I792)</f>
        <v>#REF!</v>
      </c>
      <c r="AI792" s="7" t="e">
        <f t="shared" si="271"/>
        <v>#REF!</v>
      </c>
      <c r="AJ792" s="7">
        <f t="shared" si="272"/>
        <v>0</v>
      </c>
    </row>
    <row r="793" spans="1:36" x14ac:dyDescent="0.25">
      <c r="A793" s="4" t="str">
        <f t="shared" si="266"/>
        <v>ЩА-6.2 (260922 akram aulet)</v>
      </c>
      <c r="B793" s="4" t="s">
        <v>92</v>
      </c>
      <c r="C793" s="4" t="s">
        <v>535</v>
      </c>
      <c r="D793" s="4" t="s">
        <v>536</v>
      </c>
      <c r="E793" s="4" t="s">
        <v>520</v>
      </c>
      <c r="F793" s="4" t="s">
        <v>521</v>
      </c>
      <c r="G793" s="4" t="s">
        <v>366</v>
      </c>
      <c r="H793" s="5" t="e">
        <f>#REF!</f>
        <v>#REF!</v>
      </c>
      <c r="I793" s="6" t="e">
        <f t="shared" si="267"/>
        <v>#REF!</v>
      </c>
      <c r="J793" s="6" t="s">
        <v>84</v>
      </c>
      <c r="K793" s="6" t="s">
        <v>92</v>
      </c>
      <c r="L793" s="7" t="e">
        <f t="shared" si="268"/>
        <v>#REF!</v>
      </c>
      <c r="M793" s="7" t="s">
        <v>100</v>
      </c>
      <c r="O793" s="7" t="str">
        <f>IF(OR($C793="",$C793="FID YOK"),"",IF(ISNUMBER(MATCH($C793,FA_ANA,0)),"",IF(COUNTIF($C$1:$C792,$C793)&gt;0,"",MAX($O$1:$O792)+1)))</f>
        <v/>
      </c>
      <c r="T793" s="7">
        <f>IF(ISNA(MATCH($C793,FA,0)),0,IF($J793="GIRIS",N(INDEX(F_INKOR,MATCH($C793,FA,0))),0))</f>
        <v>0</v>
      </c>
      <c r="Y793" s="7" t="e">
        <f>N(#REF!)*IF($E793="упак",MAX(1,IF(ISNA(MATCH($C793,FA,0)),1,N(INDEX(F_PAKET,MATCH($C793,FA,0))))),1)</f>
        <v>#REF!</v>
      </c>
      <c r="Z793" s="7" t="e">
        <f t="shared" si="269"/>
        <v>#REF!</v>
      </c>
      <c r="AA793" s="7">
        <f>IF(OR(ISNA(MATCH($C793,FA,0)),$J793="YEDEK",$J793="SARF"),0,N(#REF!)*N(INDEX(F_TEL,MATCH($C793,FA,0))))</f>
        <v>0</v>
      </c>
      <c r="AB793" s="7">
        <f>IF(OR(ISNA(MATCH($C793,FA,0)),$J793="YEDEK",$J793="SARF"),0,N(#REF!)*N(INDEX(F_TELM,MATCH($C793,FA,0))))</f>
        <v>0</v>
      </c>
      <c r="AC793" s="7" t="e">
        <f t="shared" si="270"/>
        <v>#REF!</v>
      </c>
      <c r="AD793" s="7">
        <f>IF(OR(ISNA(MATCH($C793,FA,0)),$J793&lt;&gt;"CIKIS"),0,N(INDEX(F_KK,MATCH($C793,FA,0))))</f>
        <v>0</v>
      </c>
      <c r="AE793" s="7">
        <f>IF($AD793=0,0,N(#REF!)*N(INDEX(F_KLN,MATCH($C793,FA,0))))</f>
        <v>0</v>
      </c>
      <c r="AF793" s="7">
        <f>IF($AD793=0,0,N(#REF!)*N(INDEX(F_KPE,MATCH($C793,FA,0))))</f>
        <v>0</v>
      </c>
      <c r="AG793" s="7" t="e">
        <f>IF(ISNA(MATCH($C793,FA,0)),0,N(#REF!)*N(INDEX(F_MODUL,MATCH($C793,FA,0))))</f>
        <v>#REF!</v>
      </c>
      <c r="AH793" s="7" t="e">
        <f>N(#REF!)*N($I793)</f>
        <v>#REF!</v>
      </c>
      <c r="AI793" s="7" t="e">
        <f t="shared" si="271"/>
        <v>#REF!</v>
      </c>
      <c r="AJ793" s="7">
        <f t="shared" si="272"/>
        <v>0</v>
      </c>
    </row>
    <row r="794" spans="1:36" x14ac:dyDescent="0.25">
      <c r="A794" s="4" t="str">
        <f t="shared" si="266"/>
        <v>ЩА-6.2 (260922 akram aulet)</v>
      </c>
      <c r="B794" s="4" t="s">
        <v>101</v>
      </c>
      <c r="C794" s="4" t="s">
        <v>525</v>
      </c>
      <c r="D794" s="4" t="s">
        <v>526</v>
      </c>
      <c r="E794" s="4" t="s">
        <v>522</v>
      </c>
      <c r="F794" s="4" t="s">
        <v>486</v>
      </c>
      <c r="G794" s="4" t="s">
        <v>366</v>
      </c>
      <c r="H794" s="5" t="e">
        <f>#REF!</f>
        <v>#REF!</v>
      </c>
      <c r="I794" s="6" t="e">
        <f t="shared" si="267"/>
        <v>#REF!</v>
      </c>
      <c r="J794" s="6" t="s">
        <v>84</v>
      </c>
      <c r="K794" s="6" t="s">
        <v>101</v>
      </c>
      <c r="L794" s="7" t="e">
        <f t="shared" si="268"/>
        <v>#REF!</v>
      </c>
      <c r="M794" s="7" t="s">
        <v>102</v>
      </c>
      <c r="O794" s="7" t="str">
        <f>IF(OR($C794="",$C794="FID YOK"),"",IF(ISNUMBER(MATCH($C794,FA_ANA,0)),"",IF(COUNTIF($C$1:$C793,$C794)&gt;0,"",MAX($O$1:$O793)+1)))</f>
        <v/>
      </c>
      <c r="T794" s="7">
        <f>IF(ISNA(MATCH($C794,FA,0)),0,IF($J794="GIRIS",N(INDEX(F_INKOR,MATCH($C794,FA,0))),0))</f>
        <v>0</v>
      </c>
      <c r="Y794" s="7" t="e">
        <f>N(#REF!)*IF($E794="упак",MAX(1,IF(ISNA(MATCH($C794,FA,0)),1,N(INDEX(F_PAKET,MATCH($C794,FA,0))))),1)</f>
        <v>#REF!</v>
      </c>
      <c r="Z794" s="7" t="e">
        <f t="shared" si="269"/>
        <v>#REF!</v>
      </c>
      <c r="AA794" s="7">
        <f>IF(OR(ISNA(MATCH($C794,FA,0)),$J794="YEDEK",$J794="SARF"),0,N(#REF!)*N(INDEX(F_TEL,MATCH($C794,FA,0))))</f>
        <v>0</v>
      </c>
      <c r="AB794" s="7">
        <f>IF(OR(ISNA(MATCH($C794,FA,0)),$J794="YEDEK",$J794="SARF"),0,N(#REF!)*N(INDEX(F_TELM,MATCH($C794,FA,0))))</f>
        <v>0</v>
      </c>
      <c r="AC794" s="7" t="e">
        <f t="shared" si="270"/>
        <v>#REF!</v>
      </c>
      <c r="AD794" s="7">
        <f>IF(OR(ISNA(MATCH($C794,FA,0)),$J794&lt;&gt;"CIKIS"),0,N(INDEX(F_KK,MATCH($C794,FA,0))))</f>
        <v>0</v>
      </c>
      <c r="AE794" s="7">
        <f>IF($AD794=0,0,N(#REF!)*N(INDEX(F_KLN,MATCH($C794,FA,0))))</f>
        <v>0</v>
      </c>
      <c r="AF794" s="7">
        <f>IF($AD794=0,0,N(#REF!)*N(INDEX(F_KPE,MATCH($C794,FA,0))))</f>
        <v>0</v>
      </c>
      <c r="AG794" s="7" t="e">
        <f>IF(ISNA(MATCH($C794,FA,0)),0,N(#REF!)*N(INDEX(F_MODUL,MATCH($C794,FA,0))))</f>
        <v>#REF!</v>
      </c>
      <c r="AH794" s="7" t="e">
        <f>N(#REF!)*N($I794)</f>
        <v>#REF!</v>
      </c>
      <c r="AI794" s="7" t="e">
        <f t="shared" si="271"/>
        <v>#REF!</v>
      </c>
      <c r="AJ794" s="7">
        <f t="shared" si="272"/>
        <v>0</v>
      </c>
    </row>
    <row r="795" spans="1:36" x14ac:dyDescent="0.25">
      <c r="A795" s="4" t="str">
        <f t="shared" si="266"/>
        <v>ЩА-6.2 (260922 akram aulet)</v>
      </c>
      <c r="B795" s="4" t="s">
        <v>101</v>
      </c>
      <c r="C795" s="4" t="s">
        <v>529</v>
      </c>
      <c r="D795" s="4" t="s">
        <v>530</v>
      </c>
      <c r="E795" s="4" t="s">
        <v>522</v>
      </c>
      <c r="F795" s="4" t="s">
        <v>486</v>
      </c>
      <c r="G795" s="4" t="s">
        <v>366</v>
      </c>
      <c r="H795" s="5" t="e">
        <f>#REF!</f>
        <v>#REF!</v>
      </c>
      <c r="I795" s="6" t="e">
        <f t="shared" si="267"/>
        <v>#REF!</v>
      </c>
      <c r="J795" s="6" t="s">
        <v>84</v>
      </c>
      <c r="K795" s="6" t="s">
        <v>101</v>
      </c>
      <c r="L795" s="7" t="e">
        <f t="shared" si="268"/>
        <v>#REF!</v>
      </c>
      <c r="M795" s="7" t="s">
        <v>103</v>
      </c>
      <c r="O795" s="7" t="str">
        <f>IF(OR($C795="",$C795="FID YOK"),"",IF(ISNUMBER(MATCH($C795,FA_ANA,0)),"",IF(COUNTIF($C$1:$C794,$C795)&gt;0,"",MAX($O$1:$O794)+1)))</f>
        <v/>
      </c>
      <c r="T795" s="7">
        <f>IF(ISNA(MATCH($C795,FA,0)),0,IF($J795="GIRIS",N(INDEX(F_INKOR,MATCH($C795,FA,0))),0))</f>
        <v>0</v>
      </c>
      <c r="Y795" s="7" t="e">
        <f>N(#REF!)*IF($E795="упак",MAX(1,IF(ISNA(MATCH($C795,FA,0)),1,N(INDEX(F_PAKET,MATCH($C795,FA,0))))),1)</f>
        <v>#REF!</v>
      </c>
      <c r="Z795" s="7" t="e">
        <f t="shared" si="269"/>
        <v>#REF!</v>
      </c>
      <c r="AA795" s="7">
        <f>IF(OR(ISNA(MATCH($C795,FA,0)),$J795="YEDEK",$J795="SARF"),0,N(#REF!)*N(INDEX(F_TEL,MATCH($C795,FA,0))))</f>
        <v>0</v>
      </c>
      <c r="AB795" s="7">
        <f>IF(OR(ISNA(MATCH($C795,FA,0)),$J795="YEDEK",$J795="SARF"),0,N(#REF!)*N(INDEX(F_TELM,MATCH($C795,FA,0))))</f>
        <v>0</v>
      </c>
      <c r="AC795" s="7" t="e">
        <f t="shared" si="270"/>
        <v>#REF!</v>
      </c>
      <c r="AD795" s="7">
        <f>IF(OR(ISNA(MATCH($C795,FA,0)),$J795&lt;&gt;"CIKIS"),0,N(INDEX(F_KK,MATCH($C795,FA,0))))</f>
        <v>0</v>
      </c>
      <c r="AE795" s="7">
        <f>IF($AD795=0,0,N(#REF!)*N(INDEX(F_KLN,MATCH($C795,FA,0))))</f>
        <v>0</v>
      </c>
      <c r="AF795" s="7">
        <f>IF($AD795=0,0,N(#REF!)*N(INDEX(F_KPE,MATCH($C795,FA,0))))</f>
        <v>0</v>
      </c>
      <c r="AG795" s="7" t="e">
        <f>IF(ISNA(MATCH($C795,FA,0)),0,N(#REF!)*N(INDEX(F_MODUL,MATCH($C795,FA,0))))</f>
        <v>#REF!</v>
      </c>
      <c r="AH795" s="7" t="e">
        <f>N(#REF!)*N($I795)</f>
        <v>#REF!</v>
      </c>
      <c r="AI795" s="7" t="e">
        <f t="shared" si="271"/>
        <v>#REF!</v>
      </c>
      <c r="AJ795" s="7">
        <f t="shared" si="272"/>
        <v>0</v>
      </c>
    </row>
    <row r="796" spans="1:36" x14ac:dyDescent="0.25">
      <c r="A796" s="4" t="str">
        <f t="shared" si="266"/>
        <v>ЩА-6.2 (260922 akram aulet)</v>
      </c>
      <c r="B796" s="4" t="s">
        <v>105</v>
      </c>
      <c r="C796" s="4" t="s">
        <v>539</v>
      </c>
      <c r="D796" s="4" t="s">
        <v>540</v>
      </c>
      <c r="E796" s="4" t="s">
        <v>114</v>
      </c>
      <c r="F796" s="4" t="s">
        <v>486</v>
      </c>
      <c r="G796" s="4" t="s">
        <v>366</v>
      </c>
      <c r="H796" s="5" t="e">
        <f>#REF!</f>
        <v>#REF!</v>
      </c>
      <c r="I796" s="6" t="e">
        <f t="shared" si="267"/>
        <v>#REF!</v>
      </c>
      <c r="J796" s="6" t="s">
        <v>84</v>
      </c>
      <c r="K796" s="6" t="s">
        <v>105</v>
      </c>
      <c r="L796" s="7" t="e">
        <f t="shared" si="268"/>
        <v>#REF!</v>
      </c>
      <c r="M796" s="7" t="s">
        <v>133</v>
      </c>
      <c r="O796" s="7" t="str">
        <f>IF(OR($C796="",$C796="FID YOK"),"",IF(ISNUMBER(MATCH($C796,FA_ANA,0)),"",IF(COUNTIF($C$1:$C795,$C796)&gt;0,"",MAX($O$1:$O795)+1)))</f>
        <v/>
      </c>
      <c r="T796" s="7">
        <f>IF(ISNA(MATCH($C796,FA,0)),0,IF($J796="GIRIS",N(INDEX(F_INKOR,MATCH($C796,FA,0))),0))</f>
        <v>0</v>
      </c>
      <c r="Y796" s="7" t="e">
        <f>N(#REF!)*IF($E796="упак",MAX(1,IF(ISNA(MATCH($C796,FA,0)),1,N(INDEX(F_PAKET,MATCH($C796,FA,0))))),1)</f>
        <v>#REF!</v>
      </c>
      <c r="Z796" s="7" t="e">
        <f t="shared" si="269"/>
        <v>#REF!</v>
      </c>
      <c r="AA796" s="7">
        <f>IF(OR(ISNA(MATCH($C796,FA,0)),$J796="YEDEK",$J796="SARF"),0,N(#REF!)*N(INDEX(F_TEL,MATCH($C796,FA,0))))</f>
        <v>0</v>
      </c>
      <c r="AB796" s="7">
        <f>IF(OR(ISNA(MATCH($C796,FA,0)),$J796="YEDEK",$J796="SARF"),0,N(#REF!)*N(INDEX(F_TELM,MATCH($C796,FA,0))))</f>
        <v>0</v>
      </c>
      <c r="AC796" s="7" t="e">
        <f t="shared" si="270"/>
        <v>#REF!</v>
      </c>
      <c r="AD796" s="7">
        <f>IF(OR(ISNA(MATCH($C796,FA,0)),$J796&lt;&gt;"CIKIS"),0,N(INDEX(F_KK,MATCH($C796,FA,0))))</f>
        <v>0</v>
      </c>
      <c r="AE796" s="7">
        <f>IF($AD796=0,0,N(#REF!)*N(INDEX(F_KLN,MATCH($C796,FA,0))))</f>
        <v>0</v>
      </c>
      <c r="AF796" s="7">
        <f>IF($AD796=0,0,N(#REF!)*N(INDEX(F_KPE,MATCH($C796,FA,0))))</f>
        <v>0</v>
      </c>
      <c r="AG796" s="7" t="e">
        <f>IF(ISNA(MATCH($C796,FA,0)),0,N(#REF!)*N(INDEX(F_MODUL,MATCH($C796,FA,0))))</f>
        <v>#REF!</v>
      </c>
      <c r="AH796" s="7" t="e">
        <f>N(#REF!)*N($I796)</f>
        <v>#REF!</v>
      </c>
      <c r="AI796" s="7" t="e">
        <f t="shared" si="271"/>
        <v>#REF!</v>
      </c>
      <c r="AJ796" s="7">
        <f t="shared" si="272"/>
        <v>0</v>
      </c>
    </row>
    <row r="797" spans="1:36" x14ac:dyDescent="0.25">
      <c r="A797" s="4" t="str">
        <f t="shared" si="266"/>
        <v>ЩА-6.2 (260922 akram aulet)</v>
      </c>
      <c r="B797" s="4" t="s">
        <v>105</v>
      </c>
      <c r="C797" s="4" t="s">
        <v>539</v>
      </c>
      <c r="D797" s="4" t="s">
        <v>540</v>
      </c>
      <c r="E797" s="4" t="s">
        <v>114</v>
      </c>
      <c r="F797" s="4" t="s">
        <v>486</v>
      </c>
      <c r="G797" s="4" t="s">
        <v>366</v>
      </c>
      <c r="H797" s="5" t="e">
        <f>#REF!</f>
        <v>#REF!</v>
      </c>
      <c r="I797" s="6" t="e">
        <f t="shared" si="267"/>
        <v>#REF!</v>
      </c>
      <c r="J797" s="6" t="s">
        <v>84</v>
      </c>
      <c r="K797" s="6" t="s">
        <v>105</v>
      </c>
      <c r="L797" s="7" t="e">
        <f t="shared" si="268"/>
        <v>#REF!</v>
      </c>
      <c r="M797" s="7" t="s">
        <v>110</v>
      </c>
      <c r="O797" s="7" t="str">
        <f>IF(OR($C797="",$C797="FID YOK"),"",IF(ISNUMBER(MATCH($C797,FA_ANA,0)),"",IF(COUNTIF($C$1:$C796,$C797)&gt;0,"",MAX($O$1:$O796)+1)))</f>
        <v/>
      </c>
      <c r="T797" s="7">
        <f>IF(ISNA(MATCH($C797,FA,0)),0,IF($J797="GIRIS",N(INDEX(F_INKOR,MATCH($C797,FA,0))),0))</f>
        <v>0</v>
      </c>
      <c r="Y797" s="7" t="e">
        <f>N(#REF!)*IF($E797="упак",MAX(1,IF(ISNA(MATCH($C797,FA,0)),1,N(INDEX(F_PAKET,MATCH($C797,FA,0))))),1)</f>
        <v>#REF!</v>
      </c>
      <c r="Z797" s="7" t="e">
        <f t="shared" si="269"/>
        <v>#REF!</v>
      </c>
      <c r="AA797" s="7">
        <f>IF(OR(ISNA(MATCH($C797,FA,0)),$J797="YEDEK",$J797="SARF"),0,N(#REF!)*N(INDEX(F_TEL,MATCH($C797,FA,0))))</f>
        <v>0</v>
      </c>
      <c r="AB797" s="7">
        <f>IF(OR(ISNA(MATCH($C797,FA,0)),$J797="YEDEK",$J797="SARF"),0,N(#REF!)*N(INDEX(F_TELM,MATCH($C797,FA,0))))</f>
        <v>0</v>
      </c>
      <c r="AC797" s="7" t="e">
        <f t="shared" si="270"/>
        <v>#REF!</v>
      </c>
      <c r="AD797" s="7">
        <f>IF(OR(ISNA(MATCH($C797,FA,0)),$J797&lt;&gt;"CIKIS"),0,N(INDEX(F_KK,MATCH($C797,FA,0))))</f>
        <v>0</v>
      </c>
      <c r="AE797" s="7">
        <f>IF($AD797=0,0,N(#REF!)*N(INDEX(F_KLN,MATCH($C797,FA,0))))</f>
        <v>0</v>
      </c>
      <c r="AF797" s="7">
        <f>IF($AD797=0,0,N(#REF!)*N(INDEX(F_KPE,MATCH($C797,FA,0))))</f>
        <v>0</v>
      </c>
      <c r="AG797" s="7" t="e">
        <f>IF(ISNA(MATCH($C797,FA,0)),0,N(#REF!)*N(INDEX(F_MODUL,MATCH($C797,FA,0))))</f>
        <v>#REF!</v>
      </c>
      <c r="AH797" s="7" t="e">
        <f>N(#REF!)*N($I797)</f>
        <v>#REF!</v>
      </c>
      <c r="AI797" s="7" t="e">
        <f t="shared" si="271"/>
        <v>#REF!</v>
      </c>
      <c r="AJ797" s="7">
        <f t="shared" si="272"/>
        <v>0</v>
      </c>
    </row>
    <row r="798" spans="1:36" x14ac:dyDescent="0.25">
      <c r="A798" s="4" t="str">
        <f t="shared" si="266"/>
        <v>ЩА-6.2 (260922 akram aulet)</v>
      </c>
      <c r="B798" s="4" t="s">
        <v>111</v>
      </c>
      <c r="C798" s="4" t="s">
        <v>571</v>
      </c>
      <c r="D798" s="4" t="s">
        <v>572</v>
      </c>
      <c r="E798" s="4" t="s">
        <v>522</v>
      </c>
      <c r="F798" s="4" t="s">
        <v>486</v>
      </c>
      <c r="G798" s="4" t="s">
        <v>366</v>
      </c>
      <c r="H798" s="5" t="e">
        <f>#REF!</f>
        <v>#REF!</v>
      </c>
      <c r="I798" s="6" t="e">
        <f t="shared" si="267"/>
        <v>#REF!</v>
      </c>
      <c r="J798" s="6" t="s">
        <v>84</v>
      </c>
      <c r="K798" s="6" t="s">
        <v>111</v>
      </c>
      <c r="L798" s="7" t="e">
        <f t="shared" si="268"/>
        <v>#REF!</v>
      </c>
      <c r="M798" s="7" t="s">
        <v>112</v>
      </c>
      <c r="O798" s="7" t="str">
        <f>IF(OR($C798="",$C798="FID YOK"),"",IF(ISNUMBER(MATCH($C798,FA_ANA,0)),"",IF(COUNTIF($C$1:$C797,$C798)&gt;0,"",MAX($O$1:$O797)+1)))</f>
        <v/>
      </c>
      <c r="T798" s="7">
        <f>IF(ISNA(MATCH($C798,FA,0)),0,IF($J798="GIRIS",N(INDEX(F_INKOR,MATCH($C798,FA,0))),0))</f>
        <v>0</v>
      </c>
      <c r="Y798" s="7" t="e">
        <f>N(#REF!)*IF($E798="упак",MAX(1,IF(ISNA(MATCH($C798,FA,0)),1,N(INDEX(F_PAKET,MATCH($C798,FA,0))))),1)</f>
        <v>#REF!</v>
      </c>
      <c r="Z798" s="7" t="e">
        <f t="shared" si="269"/>
        <v>#REF!</v>
      </c>
      <c r="AA798" s="7">
        <f>IF(OR(ISNA(MATCH($C798,FA,0)),$J798="YEDEK",$J798="SARF"),0,N(#REF!)*N(INDEX(F_TEL,MATCH($C798,FA,0))))</f>
        <v>0</v>
      </c>
      <c r="AB798" s="7">
        <f>IF(OR(ISNA(MATCH($C798,FA,0)),$J798="YEDEK",$J798="SARF"),0,N(#REF!)*N(INDEX(F_TELM,MATCH($C798,FA,0))))</f>
        <v>0</v>
      </c>
      <c r="AC798" s="7" t="e">
        <f t="shared" si="270"/>
        <v>#REF!</v>
      </c>
      <c r="AD798" s="7">
        <f>IF(OR(ISNA(MATCH($C798,FA,0)),$J798&lt;&gt;"CIKIS"),0,N(INDEX(F_KK,MATCH($C798,FA,0))))</f>
        <v>0</v>
      </c>
      <c r="AE798" s="7">
        <f>IF($AD798=0,0,N(#REF!)*N(INDEX(F_KLN,MATCH($C798,FA,0))))</f>
        <v>0</v>
      </c>
      <c r="AF798" s="7">
        <f>IF($AD798=0,0,N(#REF!)*N(INDEX(F_KPE,MATCH($C798,FA,0))))</f>
        <v>0</v>
      </c>
      <c r="AG798" s="7" t="e">
        <f>IF(ISNA(MATCH($C798,FA,0)),0,N(#REF!)*N(INDEX(F_MODUL,MATCH($C798,FA,0))))</f>
        <v>#REF!</v>
      </c>
      <c r="AH798" s="7" t="e">
        <f>N(#REF!)*N($I798)</f>
        <v>#REF!</v>
      </c>
      <c r="AI798" s="7" t="e">
        <f t="shared" si="271"/>
        <v>#REF!</v>
      </c>
      <c r="AJ798" s="7">
        <f t="shared" si="272"/>
        <v>0</v>
      </c>
    </row>
    <row r="799" spans="1:36" x14ac:dyDescent="0.25">
      <c r="A799" s="4" t="str">
        <f t="shared" si="266"/>
        <v>ЩА-6.2 (260922 akram aulet)</v>
      </c>
      <c r="B799" s="4" t="s">
        <v>113</v>
      </c>
      <c r="C799" s="4" t="s">
        <v>113</v>
      </c>
      <c r="D799" s="4" t="s">
        <v>113</v>
      </c>
      <c r="E799" s="4" t="s">
        <v>114</v>
      </c>
      <c r="F799" s="4" t="s">
        <v>113</v>
      </c>
      <c r="G799" s="4" t="s">
        <v>366</v>
      </c>
      <c r="H799" s="5" t="e">
        <f>#REF!</f>
        <v>#REF!</v>
      </c>
      <c r="I799" s="6" t="e">
        <f t="shared" si="267"/>
        <v>#REF!</v>
      </c>
    </row>
    <row r="800" spans="1:36" x14ac:dyDescent="0.25">
      <c r="A800" s="4" t="str">
        <f t="shared" si="266"/>
        <v>ЩА-6.2 (260922 akram aulet)</v>
      </c>
      <c r="B800" s="4" t="s">
        <v>115</v>
      </c>
      <c r="C800" s="4" t="s">
        <v>115</v>
      </c>
      <c r="D800" s="4" t="s">
        <v>115</v>
      </c>
      <c r="E800" s="4" t="s">
        <v>116</v>
      </c>
      <c r="F800" s="4" t="s">
        <v>115</v>
      </c>
      <c r="G800" s="4" t="s">
        <v>366</v>
      </c>
      <c r="H800" s="5" t="e">
        <f>#REF!</f>
        <v>#REF!</v>
      </c>
      <c r="I800" s="6" t="e">
        <f t="shared" si="267"/>
        <v>#REF!</v>
      </c>
    </row>
  </sheetData>
  <autoFilter ref="A1:AJ800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2026-09-23T07:27:11Z</dcterms:created>
  <dcterms:modified xsi:type="dcterms:W3CDTF">2026-09-23T13:29:53Z</dcterms:modified>
  <dc:language>en-US</dc:language>
</cp:coreProperties>
</file>