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9 chımkent akram aulet\"/>
    </mc:Choice>
  </mc:AlternateContent>
  <xr:revisionPtr revIDLastSave="0" documentId="13_ncr:1_{61F3FF85-ACD3-49C7-A0C6-7321CE51BFA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TEKLIF!$A$1:$H$75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4" l="1"/>
  <c r="G35" i="4"/>
  <c r="G40" i="4" l="1"/>
  <c r="G25" i="4"/>
  <c r="G32" i="4"/>
  <c r="G39" i="4"/>
  <c r="G31" i="4"/>
  <c r="G24" i="4"/>
  <c r="G38" i="4"/>
  <c r="G37" i="4"/>
  <c r="G50" i="4" l="1"/>
  <c r="G44" i="4"/>
  <c r="G48" i="4"/>
  <c r="G22" i="4"/>
  <c r="G46" i="4"/>
  <c r="G19" i="4"/>
  <c r="G47" i="4"/>
  <c r="G42" i="4"/>
  <c r="G41" i="4"/>
  <c r="G49" i="4"/>
  <c r="G29" i="4"/>
  <c r="G30" i="4"/>
  <c r="G28" i="4"/>
  <c r="G23" i="4"/>
  <c r="G45" i="4"/>
  <c r="G43" i="4"/>
  <c r="G21" i="4" l="1"/>
  <c r="G16" i="4" l="1"/>
  <c r="G27" i="4"/>
  <c r="G17" i="4"/>
  <c r="G18" i="4"/>
  <c r="G20" i="4"/>
  <c r="G26" i="4" l="1"/>
  <c r="G34" i="4" l="1"/>
  <c r="G33" i="4" l="1"/>
  <c r="G51" i="4" s="1"/>
</calcChain>
</file>

<file path=xl/sharedStrings.xml><?xml version="1.0" encoding="utf-8"?>
<sst xmlns="http://schemas.openxmlformats.org/spreadsheetml/2006/main" count="159" uniqueCount="80">
  <si>
    <t>ЩО-П (260922 akram aulet)</t>
  </si>
  <si>
    <t>ЩАО-П (260922 akram aulet)</t>
  </si>
  <si>
    <t>ЩС-П (260922 akram aulet)</t>
  </si>
  <si>
    <t>ЩСВ-П (260922 akram aulet)</t>
  </si>
  <si>
    <t>ЩДУ-П (260922 akram aulet)</t>
  </si>
  <si>
    <t>ЩО-7 (260922 akram aulet)</t>
  </si>
  <si>
    <t>ЩАО-7 (260922 akram aulet)</t>
  </si>
  <si>
    <t>ЩСВ-7 (260922 akram aulet)</t>
  </si>
  <si>
    <t>ЩС-7 (260922 akram aulet)</t>
  </si>
  <si>
    <t>ЩО-1, ЩО-2, ЩО-3 (260922 akram aulet)</t>
  </si>
  <si>
    <t>ЩО-4, ЩО-5, ЩО-6 (260922 akram aulet)</t>
  </si>
  <si>
    <t>ЩАО-1, ЩАО-2, ЩАО-3 (260922 akram aulet)</t>
  </si>
  <si>
    <t>ЩАО-4, ЩАО-5, ЩАО-6 (260922 akram aulet)</t>
  </si>
  <si>
    <t>ЩОФ-1 ... ЩОФ-6 (ЩУФО) (260922 akram aulet)</t>
  </si>
  <si>
    <t>ЩС-1 (260922 akram aulet)</t>
  </si>
  <si>
    <t>ЩС-2, ЩС-3 (260922 akram aulet)</t>
  </si>
  <si>
    <t>ЩС-4, ЩС-5, ЩС-6 (260922 akram aulet)</t>
  </si>
  <si>
    <t>ЩСС-1, ЩСС-2, ЩСС-3 (260922 akram aulet)</t>
  </si>
  <si>
    <t>ЩСС-4, ЩСС-5, ЩСС-6 (260922 akram aulet)</t>
  </si>
  <si>
    <t>ЩЭ (3 кв.) (260922 akram aulet)</t>
  </si>
  <si>
    <t>ЩЭ (4 кв.) (260922 akram aulet)</t>
  </si>
  <si>
    <t>ЩК тип 1 (2x1P + 8 АВДТ) (260922 akram aulet)</t>
  </si>
  <si>
    <t>ЩК тип 2 (1x1P + 7 АВДТ) (260922 akram aulet)</t>
  </si>
  <si>
    <t>ЩК тип 3 (1x1P + 6 АВДТ) (260922 akram aulet)</t>
  </si>
  <si>
    <t>ЩК тип 4 (ЩК-4.3: 1x1P + 5 АВДТ C16 + C32) (260922 akram aulet)</t>
  </si>
  <si>
    <t>ЩА-6.1, ЩА-6.3 (260922 akram aulet)</t>
  </si>
  <si>
    <t>ЩА-6.2 (260922 akram aulet)</t>
  </si>
  <si>
    <t>0020151130</t>
  </si>
  <si>
    <t>ТОО "ADG Park"</t>
  </si>
  <si>
    <t>ЖК Gardens Business by Aulet, 3 очередь (106/24-3-ЭОМ)</t>
  </si>
  <si>
    <t>—</t>
  </si>
  <si>
    <t>ТОО "TEK LED"</t>
  </si>
  <si>
    <t>г. Алматы</t>
  </si>
  <si>
    <t>Директор</t>
  </si>
  <si>
    <t>Akram Kozak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</si>
  <si>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</si>
  <si>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</si>
  <si>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</si>
  <si>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</si>
  <si>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</si>
  <si>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</si>
  <si>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</si>
  <si>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</si>
  <si>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</si>
  <si>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</si>
  <si>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</si>
  <si>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</si>
  <si>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</si>
  <si>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</si>
  <si>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</si>
  <si>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</si>
  <si>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</si>
  <si>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</si>
  <si>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</si>
  <si>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</si>
  <si>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</si>
  <si>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</si>
  <si>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</si>
  <si>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</si>
  <si>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</si>
  <si>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</si>
  <si>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</si>
  <si>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</si>
  <si>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ВРУ-П (Ввод + Секция 1) (ВРУ1-15-30)(ВРУ1-41-00А)(260922 akram aulet)</t>
  </si>
  <si>
    <t>ШГП-П (Ввод + Секция 1) (ВРУ1-21-10 модифицированная)+(ВРУ1-41-00А)(260922 akram aulet)</t>
  </si>
  <si>
    <t>ВРУ-1 (Ввод + Секция 1 + Секция 2)(ВРУ1-14-20А)(ВРУ1-41-00А) (260922 akram aulet)</t>
  </si>
  <si>
    <t>ШГП-1, ШГП-2 (Ввод + Секция 1)(ВРУ1-18-80А)(ВРУ1-41-00А)(260922 akram aulet)</t>
  </si>
  <si>
    <t>ВРУ-2 (Ввод + Секция 1 + Секция 2) (ВРУ1-14-20А)(ВРУ1-41-00А)(260922 akram aulet)</t>
  </si>
  <si>
    <t>ВРУА-2 (ВРУ1-25-60А)(260922 akram aulet)</t>
  </si>
  <si>
    <t>ВРУ-3 (Ввод + Секция 1) (ВРУ1-15-30)(ВРУ1-41-00А)(260922 akram aulet)</t>
  </si>
  <si>
    <t>ШГП-3 (Ввод + Секция 1) (ВРУ1-21-10 модифицированная)(ВРУ1-41-00А)(260922 akram aulet)</t>
  </si>
  <si>
    <t/>
  </si>
  <si>
    <t>1) Срок действия ценового предложения 3 (три) рабочих дней.</t>
  </si>
  <si>
    <t>2) Место поставки: г. Алматы, объект заказчика.</t>
  </si>
  <si>
    <t>3) Условия оплаты: 50% предоплата.</t>
  </si>
  <si>
    <t>4) В щитах с системой сборных шин применяются алюминиевые (Al) шины.</t>
  </si>
  <si>
    <t>5) Коммутационная аппаратура (автоматические выключатели, рубильники, контакторы и др.): CHINT.</t>
  </si>
  <si>
    <t>6)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</si>
  <si>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</si>
  <si>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35 раб.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</si>
</sst>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KZT&quot;"/>
  </numFmts>
  <fonts count="11" x14ac:knownFonts="1">
    <font>
      <sz val="11"/>
      <color theme="1"/>
      <name val="Calibri"/>
      <family val="2"/>
      <charset val="1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/>
    <xf numFmtId="165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34</xdr:row>
      <xdr:rowOff>142920</xdr:rowOff>
    </xdr:from>
    <xdr:to>
      <xdr:col>1</xdr:col>
      <xdr:colOff>1228320</xdr:colOff>
      <xdr:row>34</xdr:row>
      <xdr:rowOff>390240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306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35</xdr:row>
      <xdr:rowOff>142920</xdr:rowOff>
    </xdr:from>
    <xdr:to>
      <xdr:col>1</xdr:col>
      <xdr:colOff>1228320</xdr:colOff>
      <xdr:row>35</xdr:row>
      <xdr:rowOff>390240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839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36</xdr:row>
      <xdr:rowOff>142920</xdr:rowOff>
    </xdr:from>
    <xdr:to>
      <xdr:col>1</xdr:col>
      <xdr:colOff>1228320</xdr:colOff>
      <xdr:row>36</xdr:row>
      <xdr:rowOff>390240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373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37</xdr:row>
      <xdr:rowOff>142920</xdr:rowOff>
    </xdr:from>
    <xdr:to>
      <xdr:col>1</xdr:col>
      <xdr:colOff>1228320</xdr:colOff>
      <xdr:row>37</xdr:row>
      <xdr:rowOff>390240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906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38</xdr:row>
      <xdr:rowOff>142920</xdr:rowOff>
    </xdr:from>
    <xdr:to>
      <xdr:col>1</xdr:col>
      <xdr:colOff>1228320</xdr:colOff>
      <xdr:row>38</xdr:row>
      <xdr:rowOff>390240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440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39</xdr:row>
      <xdr:rowOff>142920</xdr:rowOff>
    </xdr:from>
    <xdr:to>
      <xdr:col>1</xdr:col>
      <xdr:colOff>1228320</xdr:colOff>
      <xdr:row>39</xdr:row>
      <xdr:rowOff>390240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973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40</xdr:row>
      <xdr:rowOff>142920</xdr:rowOff>
    </xdr:from>
    <xdr:to>
      <xdr:col>1</xdr:col>
      <xdr:colOff>1228320</xdr:colOff>
      <xdr:row>40</xdr:row>
      <xdr:rowOff>390240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7507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41</xdr:row>
      <xdr:rowOff>142920</xdr:rowOff>
    </xdr:from>
    <xdr:to>
      <xdr:col>1</xdr:col>
      <xdr:colOff>1228320</xdr:colOff>
      <xdr:row>41</xdr:row>
      <xdr:rowOff>390240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040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42</xdr:row>
      <xdr:rowOff>142920</xdr:rowOff>
    </xdr:from>
    <xdr:to>
      <xdr:col>1</xdr:col>
      <xdr:colOff>1228320</xdr:colOff>
      <xdr:row>42</xdr:row>
      <xdr:rowOff>390240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573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43</xdr:row>
      <xdr:rowOff>142920</xdr:rowOff>
    </xdr:from>
    <xdr:to>
      <xdr:col>1</xdr:col>
      <xdr:colOff>1228320</xdr:colOff>
      <xdr:row>43</xdr:row>
      <xdr:rowOff>390240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107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44</xdr:row>
      <xdr:rowOff>142920</xdr:rowOff>
    </xdr:from>
    <xdr:to>
      <xdr:col>1</xdr:col>
      <xdr:colOff>1228320</xdr:colOff>
      <xdr:row>44</xdr:row>
      <xdr:rowOff>390240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640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45</xdr:row>
      <xdr:rowOff>142920</xdr:rowOff>
    </xdr:from>
    <xdr:to>
      <xdr:col>1</xdr:col>
      <xdr:colOff>1228320</xdr:colOff>
      <xdr:row>45</xdr:row>
      <xdr:rowOff>390240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174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46</xdr:row>
      <xdr:rowOff>142920</xdr:rowOff>
    </xdr:from>
    <xdr:to>
      <xdr:col>1</xdr:col>
      <xdr:colOff>1228320</xdr:colOff>
      <xdr:row>46</xdr:row>
      <xdr:rowOff>390240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707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47</xdr:row>
      <xdr:rowOff>142920</xdr:rowOff>
    </xdr:from>
    <xdr:to>
      <xdr:col>1</xdr:col>
      <xdr:colOff>1228320</xdr:colOff>
      <xdr:row>47</xdr:row>
      <xdr:rowOff>390240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240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48</xdr:row>
      <xdr:rowOff>142920</xdr:rowOff>
    </xdr:from>
    <xdr:to>
      <xdr:col>1</xdr:col>
      <xdr:colOff>1228320</xdr:colOff>
      <xdr:row>48</xdr:row>
      <xdr:rowOff>390240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774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49</xdr:row>
      <xdr:rowOff>142920</xdr:rowOff>
    </xdr:from>
    <xdr:to>
      <xdr:col>1</xdr:col>
      <xdr:colOff>1228320</xdr:colOff>
      <xdr:row>49</xdr:row>
      <xdr:rowOff>390240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2307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73</xdr:row>
      <xdr:rowOff>19080</xdr:rowOff>
    </xdr:from>
    <xdr:to>
      <xdr:col>2</xdr:col>
      <xdr:colOff>2666580</xdr:colOff>
      <xdr:row>73</xdr:row>
      <xdr:rowOff>399600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281559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4"/>
  <sheetViews>
    <sheetView showGridLines="0" tabSelected="1" topLeftCell="A43" zoomScaleNormal="100" workbookViewId="0">
      <selection activeCell="N48" sqref="N48"/>
    </sheetView>
  </sheetViews>
  <sheetFormatPr defaultColWidth="8.7109375" defaultRowHeight="15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4.140625" customWidth="1"/>
    <col min="8" max="10" width="14.28515625" customWidth="1"/>
  </cols>
  <sheetData>
    <row r="1" spans="1:8" ht="30" customHeight="1" x14ac:dyDescent="0.25">
      <c r="G1" s="12" t="s">
        <v>31</v>
      </c>
      <c r="H1" s="12"/>
    </row>
    <row r="2" spans="1:8" ht="30" customHeight="1" x14ac:dyDescent="0.25">
      <c r="G2" s="12"/>
      <c r="H2" s="12"/>
    </row>
    <row r="3" spans="1:8" ht="13.5" customHeight="1" x14ac:dyDescent="0.25">
      <c r="G3" s="12"/>
      <c r="H3" s="12"/>
    </row>
    <row r="5" spans="1:8" ht="27.75" customHeight="1" x14ac:dyDescent="0.25">
      <c r="A5" s="13" t="s">
        <v>38</v>
      </c>
      <c r="B5" s="13"/>
      <c r="C5" s="13"/>
      <c r="D5" s="13"/>
      <c r="E5" s="13"/>
      <c r="F5" s="13"/>
      <c r="G5" s="13"/>
      <c r="H5" s="13"/>
    </row>
    <row r="7" spans="1:8" ht="15.75" customHeight="1" x14ac:dyDescent="0.25">
      <c r="A7" s="14" t="s">
        <v>39</v>
      </c>
      <c r="B7" s="14"/>
      <c r="C7" s="2" t="s">
        <v>27</v>
      </c>
      <c r="D7" s="15" t="s">
        <v>40</v>
      </c>
      <c r="E7" s="15"/>
      <c r="F7" s="16" t="s">
        <v>28</v>
      </c>
      <c r="G7" s="16"/>
      <c r="H7" s="16"/>
    </row>
    <row r="8" spans="1:8" ht="27.75" customHeight="1" x14ac:dyDescent="0.25">
      <c r="A8" s="14" t="s">
        <v>41</v>
      </c>
      <c r="B8" s="14"/>
      <c r="C8" s="3">
        <v>46287</v>
      </c>
      <c r="D8" s="15" t="s">
        <v>42</v>
      </c>
      <c r="E8" s="15"/>
      <c r="F8" s="16" t="s">
        <v>32</v>
      </c>
      <c r="G8" s="16"/>
      <c r="H8" s="16"/>
    </row>
    <row r="9" spans="1:8" ht="27.75" customHeight="1" x14ac:dyDescent="0.25">
      <c r="D9" s="15" t="s">
        <v>43</v>
      </c>
      <c r="E9" s="15"/>
      <c r="F9" s="16" t="s">
        <v>29</v>
      </c>
      <c r="G9" s="16"/>
      <c r="H9" s="16"/>
    </row>
    <row r="10" spans="1:8" ht="15" customHeight="1" x14ac:dyDescent="0.25">
      <c r="D10" s="15" t="s">
        <v>44</v>
      </c>
      <c r="E10" s="15"/>
      <c r="F10" s="16" t="s">
        <v>71</v>
      </c>
      <c r="G10" s="16"/>
      <c r="H10" s="16"/>
    </row>
    <row r="11" spans="1:8" ht="15" customHeight="1" x14ac:dyDescent="0.25">
      <c r="D11" s="15" t="s">
        <v>45</v>
      </c>
      <c r="E11" s="15"/>
      <c r="F11" s="16" t="s">
        <v>71</v>
      </c>
      <c r="G11" s="16"/>
      <c r="H11" s="16"/>
    </row>
    <row r="12" spans="1:8" ht="15" customHeight="1" x14ac:dyDescent="0.25">
      <c r="D12" s="15" t="s">
        <v>46</v>
      </c>
      <c r="E12" s="15"/>
      <c r="F12" s="16" t="s">
        <v>71</v>
      </c>
      <c r="G12" s="16"/>
      <c r="H12" s="16"/>
    </row>
    <row r="13" spans="1:8" ht="15" customHeight="1" x14ac:dyDescent="0.25">
      <c r="D13" s="15" t="s">
        <v>47</v>
      </c>
      <c r="E13" s="15"/>
      <c r="F13" s="16" t="s">
        <v>71</v>
      </c>
      <c r="G13" s="16"/>
      <c r="H13" s="16"/>
    </row>
    <row r="15" spans="1:8" ht="39.75" customHeight="1" x14ac:dyDescent="0.25">
      <c r="A15" s="4" t="s">
        <v>48</v>
      </c>
      <c r="B15" s="4" t="s">
        <v>49</v>
      </c>
      <c r="C15" s="4" t="s">
        <v>50</v>
      </c>
      <c r="D15" s="4" t="s">
        <v>51</v>
      </c>
      <c r="E15" s="4" t="s">
        <v>52</v>
      </c>
      <c r="F15" s="4" t="s">
        <v>53</v>
      </c>
      <c r="G15" s="4" t="s">
        <v>54</v>
      </c>
      <c r="H15" s="4" t="s">
        <v>55</v>
      </c>
    </row>
    <row r="16" spans="1:8" ht="42" customHeight="1" x14ac:dyDescent="0.25">
      <c r="A16" s="5">
        <v>1</v>
      </c>
      <c r="B16" s="6"/>
      <c r="C16" s="7" t="s">
        <v>65</v>
      </c>
      <c r="D16" s="8">
        <v>1</v>
      </c>
      <c r="E16" s="5" t="s">
        <v>56</v>
      </c>
      <c r="F16" s="9">
        <v>2282000</v>
      </c>
      <c r="G16" s="9">
        <f t="shared" ref="G16:G50" si="0">IF(F16="","",D16*F16)</f>
        <v>2282000</v>
      </c>
      <c r="H16" s="5" t="s">
        <v>79</v>
      </c>
    </row>
    <row r="17" spans="1:8" ht="42" customHeight="1" x14ac:dyDescent="0.25">
      <c r="A17" s="5">
        <v>2</v>
      </c>
      <c r="B17" s="6"/>
      <c r="C17" s="7" t="s">
        <v>66</v>
      </c>
      <c r="D17" s="8">
        <v>2</v>
      </c>
      <c r="E17" s="5" t="s">
        <v>56</v>
      </c>
      <c r="F17" s="9">
        <v>2248000</v>
      </c>
      <c r="G17" s="9">
        <f t="shared" si="0"/>
        <v>4496000</v>
      </c>
      <c r="H17" s="5" t="s">
        <v>79</v>
      </c>
    </row>
    <row r="18" spans="1:8" ht="42" customHeight="1" x14ac:dyDescent="0.25">
      <c r="A18" s="5">
        <v>3</v>
      </c>
      <c r="B18" s="6"/>
      <c r="C18" s="7" t="s">
        <v>67</v>
      </c>
      <c r="D18" s="8">
        <v>1</v>
      </c>
      <c r="E18" s="5" t="s">
        <v>56</v>
      </c>
      <c r="F18" s="9">
        <v>2279000</v>
      </c>
      <c r="G18" s="9">
        <f t="shared" si="0"/>
        <v>2279000</v>
      </c>
      <c r="H18" s="5" t="s">
        <v>79</v>
      </c>
    </row>
    <row r="19" spans="1:8" ht="42" customHeight="1" x14ac:dyDescent="0.25">
      <c r="A19" s="5">
        <v>4</v>
      </c>
      <c r="B19" s="6"/>
      <c r="C19" s="7" t="s">
        <v>68</v>
      </c>
      <c r="D19" s="8">
        <v>1</v>
      </c>
      <c r="E19" s="5" t="s">
        <v>56</v>
      </c>
      <c r="F19" s="9">
        <v>964000</v>
      </c>
      <c r="G19" s="9">
        <f t="shared" si="0"/>
        <v>964000</v>
      </c>
      <c r="H19" s="5" t="s">
        <v>79</v>
      </c>
    </row>
    <row r="20" spans="1:8" ht="42" customHeight="1" x14ac:dyDescent="0.25">
      <c r="A20" s="5">
        <v>5</v>
      </c>
      <c r="B20" s="6"/>
      <c r="C20" s="7" t="s">
        <v>63</v>
      </c>
      <c r="D20" s="8">
        <v>1</v>
      </c>
      <c r="E20" s="5" t="s">
        <v>56</v>
      </c>
      <c r="F20" s="9">
        <v>1198000</v>
      </c>
      <c r="G20" s="9">
        <f t="shared" si="0"/>
        <v>1198000</v>
      </c>
      <c r="H20" s="5" t="s">
        <v>79</v>
      </c>
    </row>
    <row r="21" spans="1:8" ht="42" customHeight="1" x14ac:dyDescent="0.25">
      <c r="A21" s="5">
        <v>6</v>
      </c>
      <c r="B21" s="6"/>
      <c r="C21" s="7" t="s">
        <v>64</v>
      </c>
      <c r="D21" s="8">
        <v>1</v>
      </c>
      <c r="E21" s="5" t="s">
        <v>56</v>
      </c>
      <c r="F21" s="9">
        <v>1640000</v>
      </c>
      <c r="G21" s="9">
        <f t="shared" si="0"/>
        <v>1640000</v>
      </c>
      <c r="H21" s="5" t="s">
        <v>79</v>
      </c>
    </row>
    <row r="22" spans="1:8" ht="42" customHeight="1" x14ac:dyDescent="0.25">
      <c r="A22" s="5">
        <v>7</v>
      </c>
      <c r="B22" s="6"/>
      <c r="C22" s="7" t="s">
        <v>0</v>
      </c>
      <c r="D22" s="8">
        <v>1</v>
      </c>
      <c r="E22" s="5" t="s">
        <v>56</v>
      </c>
      <c r="F22" s="9">
        <v>30000</v>
      </c>
      <c r="G22" s="9">
        <f t="shared" si="0"/>
        <v>30000</v>
      </c>
      <c r="H22" s="5" t="s">
        <v>79</v>
      </c>
    </row>
    <row r="23" spans="1:8" ht="42" customHeight="1" x14ac:dyDescent="0.25">
      <c r="A23" s="5">
        <v>8</v>
      </c>
      <c r="B23" s="6"/>
      <c r="C23" s="7" t="s">
        <v>1</v>
      </c>
      <c r="D23" s="8">
        <v>1</v>
      </c>
      <c r="E23" s="5" t="s">
        <v>56</v>
      </c>
      <c r="F23" s="9">
        <v>31000</v>
      </c>
      <c r="G23" s="9">
        <f t="shared" si="0"/>
        <v>31000</v>
      </c>
      <c r="H23" s="5" t="s">
        <v>79</v>
      </c>
    </row>
    <row r="24" spans="1:8" ht="42" customHeight="1" x14ac:dyDescent="0.25">
      <c r="A24" s="5">
        <v>9</v>
      </c>
      <c r="B24" s="6"/>
      <c r="C24" s="7" t="s">
        <v>2</v>
      </c>
      <c r="D24" s="8">
        <v>1</v>
      </c>
      <c r="E24" s="5" t="s">
        <v>56</v>
      </c>
      <c r="F24" s="9">
        <v>251000</v>
      </c>
      <c r="G24" s="9">
        <f t="shared" si="0"/>
        <v>251000</v>
      </c>
      <c r="H24" s="5" t="s">
        <v>79</v>
      </c>
    </row>
    <row r="25" spans="1:8" ht="42" customHeight="1" x14ac:dyDescent="0.25">
      <c r="A25" s="5">
        <v>10</v>
      </c>
      <c r="B25" s="6"/>
      <c r="C25" s="7" t="s">
        <v>3</v>
      </c>
      <c r="D25" s="8">
        <v>1</v>
      </c>
      <c r="E25" s="5" t="s">
        <v>56</v>
      </c>
      <c r="F25" s="9">
        <v>79000</v>
      </c>
      <c r="G25" s="9">
        <f t="shared" si="0"/>
        <v>79000</v>
      </c>
      <c r="H25" s="5" t="s">
        <v>79</v>
      </c>
    </row>
    <row r="26" spans="1:8" ht="42" customHeight="1" x14ac:dyDescent="0.25">
      <c r="A26" s="5">
        <v>11</v>
      </c>
      <c r="B26" s="6"/>
      <c r="C26" s="7" t="s">
        <v>4</v>
      </c>
      <c r="D26" s="8">
        <v>1</v>
      </c>
      <c r="E26" s="5" t="s">
        <v>56</v>
      </c>
      <c r="F26" s="9">
        <v>145000</v>
      </c>
      <c r="G26" s="9">
        <f t="shared" si="0"/>
        <v>145000</v>
      </c>
      <c r="H26" s="5" t="s">
        <v>79</v>
      </c>
    </row>
    <row r="27" spans="1:8" ht="42" customHeight="1" x14ac:dyDescent="0.25">
      <c r="A27" s="5">
        <v>12</v>
      </c>
      <c r="B27" s="6"/>
      <c r="C27" s="7" t="s">
        <v>69</v>
      </c>
      <c r="D27" s="8">
        <v>1</v>
      </c>
      <c r="E27" s="5" t="s">
        <v>56</v>
      </c>
      <c r="F27" s="9">
        <v>993000</v>
      </c>
      <c r="G27" s="9">
        <f t="shared" si="0"/>
        <v>993000</v>
      </c>
      <c r="H27" s="5" t="s">
        <v>79</v>
      </c>
    </row>
    <row r="28" spans="1:8" ht="42" customHeight="1" x14ac:dyDescent="0.25">
      <c r="A28" s="5">
        <v>13</v>
      </c>
      <c r="B28" s="6"/>
      <c r="C28" s="7" t="s">
        <v>70</v>
      </c>
      <c r="D28" s="8">
        <v>1</v>
      </c>
      <c r="E28" s="5" t="s">
        <v>56</v>
      </c>
      <c r="F28" s="9">
        <v>1597000</v>
      </c>
      <c r="G28" s="9">
        <f t="shared" si="0"/>
        <v>1597000</v>
      </c>
      <c r="H28" s="5" t="s">
        <v>79</v>
      </c>
    </row>
    <row r="29" spans="1:8" ht="42" customHeight="1" x14ac:dyDescent="0.25">
      <c r="A29" s="5">
        <v>14</v>
      </c>
      <c r="B29" s="6"/>
      <c r="C29" s="7" t="s">
        <v>5</v>
      </c>
      <c r="D29" s="8">
        <v>1</v>
      </c>
      <c r="E29" s="5" t="s">
        <v>56</v>
      </c>
      <c r="F29" s="9">
        <v>36000</v>
      </c>
      <c r="G29" s="9">
        <f t="shared" si="0"/>
        <v>36000</v>
      </c>
      <c r="H29" s="5" t="s">
        <v>79</v>
      </c>
    </row>
    <row r="30" spans="1:8" ht="42" customHeight="1" x14ac:dyDescent="0.25">
      <c r="A30" s="5">
        <v>15</v>
      </c>
      <c r="B30" s="6"/>
      <c r="C30" s="7" t="s">
        <v>6</v>
      </c>
      <c r="D30" s="8">
        <v>1</v>
      </c>
      <c r="E30" s="5" t="s">
        <v>56</v>
      </c>
      <c r="F30" s="9">
        <v>36000</v>
      </c>
      <c r="G30" s="9">
        <f t="shared" si="0"/>
        <v>36000</v>
      </c>
      <c r="H30" s="5" t="s">
        <v>79</v>
      </c>
    </row>
    <row r="31" spans="1:8" ht="42" customHeight="1" x14ac:dyDescent="0.25">
      <c r="A31" s="5">
        <v>16</v>
      </c>
      <c r="B31" s="6"/>
      <c r="C31" s="7" t="s">
        <v>7</v>
      </c>
      <c r="D31" s="8">
        <v>1</v>
      </c>
      <c r="E31" s="5" t="s">
        <v>56</v>
      </c>
      <c r="F31" s="9">
        <v>35000</v>
      </c>
      <c r="G31" s="9">
        <f t="shared" si="0"/>
        <v>35000</v>
      </c>
      <c r="H31" s="5" t="s">
        <v>79</v>
      </c>
    </row>
    <row r="32" spans="1:8" ht="42" customHeight="1" x14ac:dyDescent="0.25">
      <c r="A32" s="5">
        <v>17</v>
      </c>
      <c r="B32" s="6"/>
      <c r="C32" s="7" t="s">
        <v>8</v>
      </c>
      <c r="D32" s="8">
        <v>1</v>
      </c>
      <c r="E32" s="5" t="s">
        <v>56</v>
      </c>
      <c r="F32" s="9">
        <v>80000</v>
      </c>
      <c r="G32" s="9">
        <f t="shared" si="0"/>
        <v>80000</v>
      </c>
      <c r="H32" s="5" t="s">
        <v>79</v>
      </c>
    </row>
    <row r="33" spans="1:8" ht="42" customHeight="1" x14ac:dyDescent="0.25">
      <c r="A33" s="5">
        <v>18</v>
      </c>
      <c r="B33" s="6"/>
      <c r="C33" s="7" t="s">
        <v>9</v>
      </c>
      <c r="D33" s="8">
        <v>3</v>
      </c>
      <c r="E33" s="5" t="s">
        <v>56</v>
      </c>
      <c r="F33" s="9">
        <v>328000</v>
      </c>
      <c r="G33" s="9">
        <f t="shared" si="0"/>
        <v>984000</v>
      </c>
      <c r="H33" s="5" t="s">
        <v>79</v>
      </c>
    </row>
    <row r="34" spans="1:8" ht="42" customHeight="1" x14ac:dyDescent="0.25">
      <c r="A34" s="5">
        <v>19</v>
      </c>
      <c r="B34" s="6"/>
      <c r="C34" s="7" t="s">
        <v>10</v>
      </c>
      <c r="D34" s="8">
        <v>3</v>
      </c>
      <c r="E34" s="5" t="s">
        <v>56</v>
      </c>
      <c r="F34" s="9">
        <v>450000</v>
      </c>
      <c r="G34" s="9">
        <f t="shared" si="0"/>
        <v>1350000</v>
      </c>
      <c r="H34" s="5" t="s">
        <v>79</v>
      </c>
    </row>
    <row r="35" spans="1:8" ht="42" customHeight="1" x14ac:dyDescent="0.25">
      <c r="A35" s="5">
        <v>20</v>
      </c>
      <c r="B35" s="6"/>
      <c r="C35" s="7" t="s">
        <v>11</v>
      </c>
      <c r="D35" s="8">
        <v>3</v>
      </c>
      <c r="E35" s="5" t="s">
        <v>56</v>
      </c>
      <c r="F35" s="9">
        <v>64000</v>
      </c>
      <c r="G35" s="9">
        <f t="shared" si="0"/>
        <v>192000</v>
      </c>
      <c r="H35" s="5" t="s">
        <v>79</v>
      </c>
    </row>
    <row r="36" spans="1:8" ht="42" customHeight="1" x14ac:dyDescent="0.25">
      <c r="A36" s="5">
        <v>21</v>
      </c>
      <c r="B36" s="6"/>
      <c r="C36" s="7" t="s">
        <v>12</v>
      </c>
      <c r="D36" s="8">
        <v>3</v>
      </c>
      <c r="E36" s="5" t="s">
        <v>56</v>
      </c>
      <c r="F36" s="9">
        <v>61000</v>
      </c>
      <c r="G36" s="9">
        <f t="shared" si="0"/>
        <v>183000</v>
      </c>
      <c r="H36" s="5" t="s">
        <v>79</v>
      </c>
    </row>
    <row r="37" spans="1:8" ht="42" customHeight="1" x14ac:dyDescent="0.25">
      <c r="A37" s="5">
        <v>22</v>
      </c>
      <c r="B37" s="6"/>
      <c r="C37" s="7" t="s">
        <v>13</v>
      </c>
      <c r="D37" s="8">
        <v>6</v>
      </c>
      <c r="E37" s="5" t="s">
        <v>56</v>
      </c>
      <c r="F37" s="9">
        <v>454000</v>
      </c>
      <c r="G37" s="9">
        <f t="shared" si="0"/>
        <v>2724000</v>
      </c>
      <c r="H37" s="5" t="s">
        <v>79</v>
      </c>
    </row>
    <row r="38" spans="1:8" ht="42" customHeight="1" x14ac:dyDescent="0.25">
      <c r="A38" s="5">
        <v>23</v>
      </c>
      <c r="B38" s="6"/>
      <c r="C38" s="7" t="s">
        <v>14</v>
      </c>
      <c r="D38" s="8">
        <v>1</v>
      </c>
      <c r="E38" s="5" t="s">
        <v>56</v>
      </c>
      <c r="F38" s="9">
        <v>232000</v>
      </c>
      <c r="G38" s="9">
        <f t="shared" si="0"/>
        <v>232000</v>
      </c>
      <c r="H38" s="5" t="s">
        <v>79</v>
      </c>
    </row>
    <row r="39" spans="1:8" ht="42" customHeight="1" x14ac:dyDescent="0.25">
      <c r="A39" s="5">
        <v>24</v>
      </c>
      <c r="B39" s="6"/>
      <c r="C39" s="7" t="s">
        <v>15</v>
      </c>
      <c r="D39" s="8">
        <v>2</v>
      </c>
      <c r="E39" s="5" t="s">
        <v>56</v>
      </c>
      <c r="F39" s="9">
        <v>234000</v>
      </c>
      <c r="G39" s="9">
        <f t="shared" si="0"/>
        <v>468000</v>
      </c>
      <c r="H39" s="5" t="s">
        <v>79</v>
      </c>
    </row>
    <row r="40" spans="1:8" ht="42" customHeight="1" x14ac:dyDescent="0.25">
      <c r="A40" s="5">
        <v>25</v>
      </c>
      <c r="B40" s="6"/>
      <c r="C40" s="7" t="s">
        <v>16</v>
      </c>
      <c r="D40" s="8">
        <v>3</v>
      </c>
      <c r="E40" s="5" t="s">
        <v>56</v>
      </c>
      <c r="F40" s="9">
        <v>230000</v>
      </c>
      <c r="G40" s="9">
        <f t="shared" si="0"/>
        <v>690000</v>
      </c>
      <c r="H40" s="5" t="s">
        <v>79</v>
      </c>
    </row>
    <row r="41" spans="1:8" ht="42" customHeight="1" x14ac:dyDescent="0.25">
      <c r="A41" s="5">
        <v>26</v>
      </c>
      <c r="B41" s="6"/>
      <c r="C41" s="7" t="s">
        <v>17</v>
      </c>
      <c r="D41" s="8">
        <v>3</v>
      </c>
      <c r="E41" s="5" t="s">
        <v>56</v>
      </c>
      <c r="F41" s="9">
        <v>90000</v>
      </c>
      <c r="G41" s="9">
        <f t="shared" si="0"/>
        <v>270000</v>
      </c>
      <c r="H41" s="5" t="s">
        <v>79</v>
      </c>
    </row>
    <row r="42" spans="1:8" ht="42" customHeight="1" x14ac:dyDescent="0.25">
      <c r="A42" s="5">
        <v>27</v>
      </c>
      <c r="B42" s="6"/>
      <c r="C42" s="7" t="s">
        <v>18</v>
      </c>
      <c r="D42" s="8">
        <v>3</v>
      </c>
      <c r="E42" s="5" t="s">
        <v>56</v>
      </c>
      <c r="F42" s="9">
        <v>54000</v>
      </c>
      <c r="G42" s="9">
        <f t="shared" si="0"/>
        <v>162000</v>
      </c>
      <c r="H42" s="5" t="s">
        <v>79</v>
      </c>
    </row>
    <row r="43" spans="1:8" ht="42" customHeight="1" x14ac:dyDescent="0.25">
      <c r="A43" s="5">
        <v>28</v>
      </c>
      <c r="B43" s="6"/>
      <c r="C43" s="7" t="s">
        <v>19</v>
      </c>
      <c r="D43" s="8">
        <v>7</v>
      </c>
      <c r="E43" s="5" t="s">
        <v>56</v>
      </c>
      <c r="F43" s="9">
        <v>494000</v>
      </c>
      <c r="G43" s="9">
        <f t="shared" si="0"/>
        <v>3458000</v>
      </c>
      <c r="H43" s="5" t="s">
        <v>79</v>
      </c>
    </row>
    <row r="44" spans="1:8" ht="42" customHeight="1" x14ac:dyDescent="0.25">
      <c r="A44" s="5">
        <v>29</v>
      </c>
      <c r="B44" s="6"/>
      <c r="C44" s="7" t="s">
        <v>20</v>
      </c>
      <c r="D44" s="8">
        <v>20</v>
      </c>
      <c r="E44" s="5" t="s">
        <v>56</v>
      </c>
      <c r="F44" s="9">
        <v>620000</v>
      </c>
      <c r="G44" s="9">
        <f t="shared" si="0"/>
        <v>12400000</v>
      </c>
      <c r="H44" s="5" t="s">
        <v>79</v>
      </c>
    </row>
    <row r="45" spans="1:8" ht="42" customHeight="1" x14ac:dyDescent="0.25">
      <c r="A45" s="5">
        <v>30</v>
      </c>
      <c r="B45" s="6"/>
      <c r="C45" s="7" t="s">
        <v>21</v>
      </c>
      <c r="D45" s="8">
        <v>43</v>
      </c>
      <c r="E45" s="5" t="s">
        <v>56</v>
      </c>
      <c r="F45" s="9">
        <v>95000</v>
      </c>
      <c r="G45" s="9">
        <f t="shared" si="0"/>
        <v>4085000</v>
      </c>
      <c r="H45" s="5" t="s">
        <v>79</v>
      </c>
    </row>
    <row r="46" spans="1:8" ht="42" customHeight="1" x14ac:dyDescent="0.25">
      <c r="A46" s="5">
        <v>31</v>
      </c>
      <c r="B46" s="6"/>
      <c r="C46" s="7" t="s">
        <v>22</v>
      </c>
      <c r="D46" s="8">
        <v>29</v>
      </c>
      <c r="E46" s="5" t="s">
        <v>56</v>
      </c>
      <c r="F46" s="9">
        <v>86000</v>
      </c>
      <c r="G46" s="9">
        <f t="shared" si="0"/>
        <v>2494000</v>
      </c>
      <c r="H46" s="5" t="s">
        <v>79</v>
      </c>
    </row>
    <row r="47" spans="1:8" ht="42" customHeight="1" x14ac:dyDescent="0.25">
      <c r="A47" s="5">
        <v>32</v>
      </c>
      <c r="B47" s="6"/>
      <c r="C47" s="7" t="s">
        <v>23</v>
      </c>
      <c r="D47" s="8">
        <v>26</v>
      </c>
      <c r="E47" s="5" t="s">
        <v>56</v>
      </c>
      <c r="F47" s="9">
        <v>77000</v>
      </c>
      <c r="G47" s="9">
        <f t="shared" si="0"/>
        <v>2002000</v>
      </c>
      <c r="H47" s="5" t="s">
        <v>79</v>
      </c>
    </row>
    <row r="48" spans="1:8" ht="42" customHeight="1" x14ac:dyDescent="0.25">
      <c r="A48" s="5">
        <v>33</v>
      </c>
      <c r="B48" s="6"/>
      <c r="C48" s="7" t="s">
        <v>24</v>
      </c>
      <c r="D48" s="8">
        <v>3</v>
      </c>
      <c r="E48" s="5" t="s">
        <v>56</v>
      </c>
      <c r="F48" s="9">
        <v>74000</v>
      </c>
      <c r="G48" s="9">
        <f t="shared" si="0"/>
        <v>222000</v>
      </c>
      <c r="H48" s="5" t="s">
        <v>79</v>
      </c>
    </row>
    <row r="49" spans="1:8" ht="42" customHeight="1" x14ac:dyDescent="0.25">
      <c r="A49" s="5">
        <v>34</v>
      </c>
      <c r="B49" s="6"/>
      <c r="C49" s="7" t="s">
        <v>25</v>
      </c>
      <c r="D49" s="8">
        <v>2</v>
      </c>
      <c r="E49" s="5" t="s">
        <v>56</v>
      </c>
      <c r="F49" s="9">
        <v>310000</v>
      </c>
      <c r="G49" s="9">
        <f t="shared" si="0"/>
        <v>620000</v>
      </c>
      <c r="H49" s="5" t="s">
        <v>79</v>
      </c>
    </row>
    <row r="50" spans="1:8" ht="42" customHeight="1" x14ac:dyDescent="0.25">
      <c r="A50" s="5">
        <v>35</v>
      </c>
      <c r="B50" s="6"/>
      <c r="C50" s="7" t="s">
        <v>26</v>
      </c>
      <c r="D50" s="8">
        <v>1</v>
      </c>
      <c r="E50" s="5" t="s">
        <v>56</v>
      </c>
      <c r="F50" s="9">
        <v>309000</v>
      </c>
      <c r="G50" s="9">
        <f t="shared" si="0"/>
        <v>309000</v>
      </c>
      <c r="H50" s="5" t="s">
        <v>79</v>
      </c>
    </row>
    <row r="51" spans="1:8" ht="21.75" customHeight="1" x14ac:dyDescent="0.25">
      <c r="A51" s="10"/>
      <c r="B51" s="4" t="s">
        <v>57</v>
      </c>
      <c r="C51" s="10"/>
      <c r="D51" s="10"/>
      <c r="E51" s="10"/>
      <c r="F51" s="10"/>
      <c r="G51" s="11">
        <f>SUM(G16:G50)</f>
        <v>49017000</v>
      </c>
      <c r="H51" s="10"/>
    </row>
    <row r="53" spans="1:8" ht="24" customHeight="1" x14ac:dyDescent="0.25">
      <c r="A53" s="17" t="s">
        <v>72</v>
      </c>
      <c r="B53" s="17"/>
      <c r="C53" s="17"/>
      <c r="D53" s="17"/>
      <c r="E53" s="17"/>
      <c r="F53" s="17"/>
      <c r="G53" s="17"/>
      <c r="H53" s="17"/>
    </row>
    <row r="54" spans="1:8" ht="24" customHeight="1" x14ac:dyDescent="0.25">
      <c r="A54" s="17" t="s">
        <v>73</v>
      </c>
      <c r="B54" s="17"/>
      <c r="C54" s="17"/>
      <c r="D54" s="17"/>
      <c r="E54" s="17"/>
      <c r="F54" s="17"/>
      <c r="G54" s="17"/>
      <c r="H54" s="17"/>
    </row>
    <row r="55" spans="1:8" ht="24" customHeight="1" x14ac:dyDescent="0.25">
      <c r="A55" s="17" t="s">
        <v>74</v>
      </c>
      <c r="B55" s="17"/>
      <c r="C55" s="17"/>
      <c r="D55" s="17"/>
      <c r="E55" s="17"/>
      <c r="F55" s="17"/>
      <c r="G55" s="17"/>
      <c r="H55" s="17"/>
    </row>
    <row r="56" spans="1:8" ht="24" customHeight="1" x14ac:dyDescent="0.25">
      <c r="A56" s="17" t="s">
        <v>75</v>
      </c>
      <c r="B56" s="17"/>
      <c r="C56" s="17"/>
      <c r="D56" s="17"/>
      <c r="E56" s="17"/>
      <c r="F56" s="17"/>
      <c r="G56" s="17"/>
      <c r="H56" s="17"/>
    </row>
    <row r="57" spans="1:8" ht="24" customHeight="1" x14ac:dyDescent="0.25">
      <c r="A57" s="17" t="s">
        <v>76</v>
      </c>
      <c r="B57" s="17"/>
      <c r="C57" s="17"/>
      <c r="D57" s="17"/>
      <c r="E57" s="17"/>
      <c r="F57" s="17"/>
      <c r="G57" s="17"/>
      <c r="H57" s="17"/>
    </row>
    <row r="58" spans="1:8" ht="24" customHeight="1" x14ac:dyDescent="0.25">
      <c r="A58" s="17" t="s">
        <v>77</v>
      </c>
      <c r="B58" s="17"/>
      <c r="C58" s="17"/>
      <c r="D58" s="17"/>
      <c r="E58" s="17"/>
      <c r="F58" s="17"/>
      <c r="G58" s="17"/>
      <c r="H58" s="17"/>
    </row>
    <row r="59" spans="1:8" ht="24" customHeight="1" x14ac:dyDescent="0.25">
      <c r="A59" s="17" t="s">
        <v>71</v>
      </c>
      <c r="B59" s="17"/>
      <c r="C59" s="17"/>
      <c r="D59" s="17"/>
      <c r="E59" s="17"/>
      <c r="F59" s="17"/>
      <c r="G59" s="17"/>
      <c r="H59" s="17"/>
    </row>
    <row r="60" spans="1:8" ht="24" customHeight="1" x14ac:dyDescent="0.25">
      <c r="A60" s="17" t="s">
        <v>71</v>
      </c>
      <c r="B60" s="17"/>
      <c r="C60" s="17"/>
      <c r="D60" s="17"/>
      <c r="E60" s="17"/>
      <c r="F60" s="17"/>
      <c r="G60" s="17"/>
      <c r="H60" s="17"/>
    </row>
    <row r="62" spans="1:8" ht="19.5" customHeight="1" x14ac:dyDescent="0.25">
      <c r="A62" s="18" t="s">
        <v>71</v>
      </c>
      <c r="B62" s="18"/>
      <c r="C62" s="18"/>
      <c r="D62" s="18"/>
      <c r="E62" s="18"/>
      <c r="F62" s="18"/>
      <c r="G62" s="18"/>
      <c r="H62" s="18"/>
    </row>
    <row r="64" spans="1:8" ht="15" customHeight="1" x14ac:dyDescent="0.25">
      <c r="A64" s="19" t="s">
        <v>58</v>
      </c>
      <c r="B64" s="19"/>
      <c r="C64" s="19"/>
    </row>
    <row r="65" spans="1:8" x14ac:dyDescent="0.25">
      <c r="A65" s="19" t="s">
        <v>33</v>
      </c>
      <c r="B65" s="19"/>
      <c r="C65" s="19"/>
      <c r="F65" s="19" t="s">
        <v>30</v>
      </c>
      <c r="G65" s="19"/>
      <c r="H65" s="19"/>
    </row>
    <row r="68" spans="1:8" x14ac:dyDescent="0.25">
      <c r="A68" s="20" t="s">
        <v>59</v>
      </c>
      <c r="B68" s="20"/>
      <c r="C68" s="1" t="s">
        <v>78</v>
      </c>
      <c r="E68" s="21" t="s">
        <v>60</v>
      </c>
      <c r="F68" s="21"/>
      <c r="G68" s="22" t="s">
        <v>34</v>
      </c>
      <c r="H68" s="22"/>
    </row>
    <row r="69" spans="1:8" x14ac:dyDescent="0.25">
      <c r="A69" s="20" t="s">
        <v>61</v>
      </c>
      <c r="B69" s="20"/>
      <c r="C69" s="1" t="s">
        <v>78</v>
      </c>
    </row>
    <row r="70" spans="1:8" x14ac:dyDescent="0.25">
      <c r="A70" s="20" t="s">
        <v>62</v>
      </c>
      <c r="B70" s="20"/>
      <c r="C70" s="1" t="s">
        <v>78</v>
      </c>
    </row>
    <row r="71" spans="1:8" x14ac:dyDescent="0.25">
      <c r="A71" s="20" t="s">
        <v>35</v>
      </c>
      <c r="B71" s="20"/>
      <c r="C71" s="1" t="s">
        <v>78</v>
      </c>
    </row>
    <row r="72" spans="1:8" x14ac:dyDescent="0.25">
      <c r="A72" s="20" t="s">
        <v>36</v>
      </c>
      <c r="B72" s="20"/>
      <c r="C72" s="1" t="s">
        <v>78</v>
      </c>
    </row>
    <row r="73" spans="1:8" x14ac:dyDescent="0.25">
      <c r="A73" s="20" t="s">
        <v>37</v>
      </c>
      <c r="B73" s="20"/>
      <c r="C73" s="1" t="s">
        <v>78</v>
      </c>
    </row>
    <row r="74" spans="1:8" ht="33.75" customHeight="1" x14ac:dyDescent="0.25"/>
  </sheetData>
  <mergeCells count="38">
    <mergeCell ref="A69:B69"/>
    <mergeCell ref="A70:B70"/>
    <mergeCell ref="A71:B71"/>
    <mergeCell ref="A72:B72"/>
    <mergeCell ref="A73:B73"/>
    <mergeCell ref="A62:H62"/>
    <mergeCell ref="A64:C64"/>
    <mergeCell ref="A65:C65"/>
    <mergeCell ref="F65:H65"/>
    <mergeCell ref="A68:B68"/>
    <mergeCell ref="E68:F68"/>
    <mergeCell ref="G68:H68"/>
    <mergeCell ref="A56:H56"/>
    <mergeCell ref="A57:H57"/>
    <mergeCell ref="A58:H58"/>
    <mergeCell ref="A59:H59"/>
    <mergeCell ref="A60:H60"/>
    <mergeCell ref="D13:E13"/>
    <mergeCell ref="F13:H13"/>
    <mergeCell ref="A53:H53"/>
    <mergeCell ref="A54:H54"/>
    <mergeCell ref="A55:H55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honeticPr fontId="10" type="noConversion"/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2026-09-23T07:27:11Z</dcterms:created>
  <dcterms:modified xsi:type="dcterms:W3CDTF">2026-09-23T12:56:13Z</dcterms:modified>
  <dc:language>en-US</dc:language>
</cp:coreProperties>
</file>