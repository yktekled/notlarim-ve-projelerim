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7 laura chimkent poliklinik\"/>
    </mc:Choice>
  </mc:AlternateContent>
  <xr:revisionPtr revIDLastSave="0" documentId="13_ncr:1_{2F050E86-D8BA-4033-AFED-9DA3CFF77EA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ty" sheetId="2" r:id="rId1"/>
    <sheet name="fiyat" sheetId="6" r:id="rId2"/>
    <sheet name="Sayfa3" sheetId="4" r:id="rId3"/>
    <sheet name="Sayfa4" sheetId="5" r:id="rId4"/>
  </sheets>
  <definedNames>
    <definedName name="_xlnm._FilterDatabase" localSheetId="0" hidden="1">dty!$B$1:$M$1895</definedName>
    <definedName name="_xlnm._FilterDatabase" localSheetId="1" hidden="1">fiyat!$A$1:$I$203</definedName>
    <definedName name="sayac">dty!#REF!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6" l="1"/>
  <c r="D34" i="6"/>
  <c r="D35" i="6"/>
  <c r="D36" i="6"/>
  <c r="D37" i="6"/>
  <c r="E37" i="6" s="1"/>
  <c r="D38" i="6"/>
  <c r="E38" i="6" s="1"/>
  <c r="D39" i="6"/>
  <c r="E39" i="6" s="1"/>
  <c r="D40" i="6"/>
  <c r="D41" i="6"/>
  <c r="E41" i="6" s="1"/>
  <c r="D42" i="6"/>
  <c r="E42" i="6" s="1"/>
  <c r="D43" i="6"/>
  <c r="E43" i="6" s="1"/>
  <c r="D44" i="6"/>
  <c r="E44" i="6" s="1"/>
  <c r="D45" i="6"/>
  <c r="D46" i="6"/>
  <c r="D47" i="6"/>
  <c r="D48" i="6"/>
  <c r="D49" i="6"/>
  <c r="E49" i="6" s="1"/>
  <c r="D50" i="6"/>
  <c r="E50" i="6" s="1"/>
  <c r="D51" i="6"/>
  <c r="E51" i="6" s="1"/>
  <c r="D52" i="6"/>
  <c r="D53" i="6"/>
  <c r="E53" i="6" s="1"/>
  <c r="D54" i="6"/>
  <c r="E54" i="6" s="1"/>
  <c r="D55" i="6"/>
  <c r="E55" i="6" s="1"/>
  <c r="D56" i="6"/>
  <c r="E56" i="6" s="1"/>
  <c r="D57" i="6"/>
  <c r="D58" i="6"/>
  <c r="D59" i="6"/>
  <c r="D60" i="6"/>
  <c r="D61" i="6"/>
  <c r="E61" i="6" s="1"/>
  <c r="D62" i="6"/>
  <c r="E62" i="6" s="1"/>
  <c r="D63" i="6"/>
  <c r="E63" i="6" s="1"/>
  <c r="D64" i="6"/>
  <c r="D65" i="6"/>
  <c r="E65" i="6" s="1"/>
  <c r="D66" i="6"/>
  <c r="E66" i="6" s="1"/>
  <c r="D67" i="6"/>
  <c r="E67" i="6" s="1"/>
  <c r="D68" i="6"/>
  <c r="E68" i="6" s="1"/>
  <c r="D69" i="6"/>
  <c r="D70" i="6"/>
  <c r="D71" i="6"/>
  <c r="D72" i="6"/>
  <c r="D73" i="6"/>
  <c r="E73" i="6" s="1"/>
  <c r="D74" i="6"/>
  <c r="E74" i="6" s="1"/>
  <c r="D75" i="6"/>
  <c r="E75" i="6" s="1"/>
  <c r="D76" i="6"/>
  <c r="D77" i="6"/>
  <c r="E77" i="6" s="1"/>
  <c r="D78" i="6"/>
  <c r="E78" i="6" s="1"/>
  <c r="D79" i="6"/>
  <c r="E79" i="6" s="1"/>
  <c r="D80" i="6"/>
  <c r="E80" i="6" s="1"/>
  <c r="D81" i="6"/>
  <c r="D82" i="6"/>
  <c r="D83" i="6"/>
  <c r="D84" i="6"/>
  <c r="D85" i="6"/>
  <c r="E85" i="6" s="1"/>
  <c r="D86" i="6"/>
  <c r="E86" i="6" s="1"/>
  <c r="D87" i="6"/>
  <c r="E87" i="6" s="1"/>
  <c r="D88" i="6"/>
  <c r="D89" i="6"/>
  <c r="E89" i="6" s="1"/>
  <c r="D90" i="6"/>
  <c r="E90" i="6" s="1"/>
  <c r="D91" i="6"/>
  <c r="E91" i="6" s="1"/>
  <c r="D92" i="6"/>
  <c r="E92" i="6" s="1"/>
  <c r="D93" i="6"/>
  <c r="D94" i="6"/>
  <c r="D95" i="6"/>
  <c r="D96" i="6"/>
  <c r="D97" i="6"/>
  <c r="E97" i="6" s="1"/>
  <c r="D98" i="6"/>
  <c r="E98" i="6" s="1"/>
  <c r="D99" i="6"/>
  <c r="E99" i="6" s="1"/>
  <c r="D100" i="6"/>
  <c r="D101" i="6"/>
  <c r="E101" i="6" s="1"/>
  <c r="D102" i="6"/>
  <c r="E102" i="6" s="1"/>
  <c r="D103" i="6"/>
  <c r="E103" i="6" s="1"/>
  <c r="D104" i="6"/>
  <c r="E104" i="6" s="1"/>
  <c r="D105" i="6"/>
  <c r="D106" i="6"/>
  <c r="D107" i="6"/>
  <c r="D108" i="6"/>
  <c r="D109" i="6"/>
  <c r="E109" i="6" s="1"/>
  <c r="D110" i="6"/>
  <c r="E110" i="6" s="1"/>
  <c r="D111" i="6"/>
  <c r="E111" i="6" s="1"/>
  <c r="D112" i="6"/>
  <c r="D113" i="6"/>
  <c r="E113" i="6" s="1"/>
  <c r="D114" i="6"/>
  <c r="E114" i="6" s="1"/>
  <c r="D115" i="6"/>
  <c r="E115" i="6" s="1"/>
  <c r="D116" i="6"/>
  <c r="E116" i="6" s="1"/>
  <c r="D117" i="6"/>
  <c r="D118" i="6"/>
  <c r="D119" i="6"/>
  <c r="D120" i="6"/>
  <c r="D121" i="6"/>
  <c r="E121" i="6" s="1"/>
  <c r="D122" i="6"/>
  <c r="E122" i="6" s="1"/>
  <c r="D123" i="6"/>
  <c r="E123" i="6" s="1"/>
  <c r="D124" i="6"/>
  <c r="D125" i="6"/>
  <c r="E125" i="6" s="1"/>
  <c r="D126" i="6"/>
  <c r="E126" i="6" s="1"/>
  <c r="D127" i="6"/>
  <c r="E127" i="6" s="1"/>
  <c r="D128" i="6"/>
  <c r="E128" i="6" s="1"/>
  <c r="D129" i="6"/>
  <c r="D130" i="6"/>
  <c r="D131" i="6"/>
  <c r="D132" i="6"/>
  <c r="D133" i="6"/>
  <c r="E133" i="6" s="1"/>
  <c r="D134" i="6"/>
  <c r="E134" i="6" s="1"/>
  <c r="D135" i="6"/>
  <c r="E135" i="6" s="1"/>
  <c r="D136" i="6"/>
  <c r="D137" i="6"/>
  <c r="E137" i="6" s="1"/>
  <c r="D138" i="6"/>
  <c r="E138" i="6" s="1"/>
  <c r="D139" i="6"/>
  <c r="E139" i="6" s="1"/>
  <c r="D140" i="6"/>
  <c r="E140" i="6" s="1"/>
  <c r="D141" i="6"/>
  <c r="D142" i="6"/>
  <c r="D143" i="6"/>
  <c r="D144" i="6"/>
  <c r="D145" i="6"/>
  <c r="E145" i="6" s="1"/>
  <c r="D146" i="6"/>
  <c r="E146" i="6" s="1"/>
  <c r="D147" i="6"/>
  <c r="E147" i="6" s="1"/>
  <c r="D148" i="6"/>
  <c r="D149" i="6"/>
  <c r="E149" i="6" s="1"/>
  <c r="D150" i="6"/>
  <c r="E150" i="6" s="1"/>
  <c r="D151" i="6"/>
  <c r="E151" i="6" s="1"/>
  <c r="D152" i="6"/>
  <c r="E152" i="6" s="1"/>
  <c r="D153" i="6"/>
  <c r="D154" i="6"/>
  <c r="D155" i="6"/>
  <c r="D156" i="6"/>
  <c r="D157" i="6"/>
  <c r="E157" i="6" s="1"/>
  <c r="D158" i="6"/>
  <c r="E158" i="6" s="1"/>
  <c r="D159" i="6"/>
  <c r="E159" i="6" s="1"/>
  <c r="D160" i="6"/>
  <c r="D161" i="6"/>
  <c r="E161" i="6" s="1"/>
  <c r="D162" i="6"/>
  <c r="E162" i="6" s="1"/>
  <c r="D163" i="6"/>
  <c r="E163" i="6" s="1"/>
  <c r="D166" i="6"/>
  <c r="D167" i="6"/>
  <c r="D168" i="6"/>
  <c r="D169" i="6"/>
  <c r="E169" i="6" s="1"/>
  <c r="D170" i="6"/>
  <c r="E170" i="6" s="1"/>
  <c r="D171" i="6"/>
  <c r="E171" i="6" s="1"/>
  <c r="D172" i="6"/>
  <c r="D173" i="6"/>
  <c r="E173" i="6" s="1"/>
  <c r="D174" i="6"/>
  <c r="E174" i="6" s="1"/>
  <c r="D175" i="6"/>
  <c r="E175" i="6" s="1"/>
  <c r="D176" i="6"/>
  <c r="E176" i="6" s="1"/>
  <c r="D177" i="6"/>
  <c r="D178" i="6"/>
  <c r="D179" i="6"/>
  <c r="D180" i="6"/>
  <c r="D181" i="6"/>
  <c r="E181" i="6" s="1"/>
  <c r="D182" i="6"/>
  <c r="E182" i="6" s="1"/>
  <c r="D183" i="6"/>
  <c r="E183" i="6" s="1"/>
  <c r="D184" i="6"/>
  <c r="D185" i="6"/>
  <c r="E185" i="6" s="1"/>
  <c r="D186" i="6"/>
  <c r="E186" i="6" s="1"/>
  <c r="D187" i="6"/>
  <c r="E187" i="6" s="1"/>
  <c r="D188" i="6"/>
  <c r="E188" i="6" s="1"/>
  <c r="D189" i="6"/>
  <c r="D190" i="6"/>
  <c r="D191" i="6"/>
  <c r="D192" i="6"/>
  <c r="D193" i="6"/>
  <c r="E193" i="6" s="1"/>
  <c r="D194" i="6"/>
  <c r="E194" i="6" s="1"/>
  <c r="D195" i="6"/>
  <c r="E195" i="6" s="1"/>
  <c r="D196" i="6"/>
  <c r="D197" i="6"/>
  <c r="E197" i="6" s="1"/>
  <c r="D198" i="6"/>
  <c r="E198" i="6" s="1"/>
  <c r="D199" i="6"/>
  <c r="E199" i="6" s="1"/>
  <c r="D200" i="6"/>
  <c r="E200" i="6" s="1"/>
  <c r="D201" i="6"/>
  <c r="D202" i="6"/>
  <c r="D203" i="6"/>
  <c r="D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40" i="6"/>
  <c r="E45" i="6"/>
  <c r="E46" i="6"/>
  <c r="E47" i="6"/>
  <c r="E48" i="6"/>
  <c r="E52" i="6"/>
  <c r="E57" i="6"/>
  <c r="E58" i="6"/>
  <c r="E59" i="6"/>
  <c r="E60" i="6"/>
  <c r="E64" i="6"/>
  <c r="E69" i="6"/>
  <c r="E70" i="6"/>
  <c r="E71" i="6"/>
  <c r="E72" i="6"/>
  <c r="E76" i="6"/>
  <c r="E81" i="6"/>
  <c r="E82" i="6"/>
  <c r="E83" i="6"/>
  <c r="E84" i="6"/>
  <c r="E88" i="6"/>
  <c r="E93" i="6"/>
  <c r="E94" i="6"/>
  <c r="E95" i="6"/>
  <c r="E96" i="6"/>
  <c r="E100" i="6"/>
  <c r="E105" i="6"/>
  <c r="E106" i="6"/>
  <c r="E107" i="6"/>
  <c r="E108" i="6"/>
  <c r="E112" i="6"/>
  <c r="E117" i="6"/>
  <c r="E118" i="6"/>
  <c r="E119" i="6"/>
  <c r="E120" i="6"/>
  <c r="E124" i="6"/>
  <c r="E129" i="6"/>
  <c r="E130" i="6"/>
  <c r="E131" i="6"/>
  <c r="E132" i="6"/>
  <c r="E136" i="6"/>
  <c r="E141" i="6"/>
  <c r="E142" i="6"/>
  <c r="E143" i="6"/>
  <c r="E144" i="6"/>
  <c r="E148" i="6"/>
  <c r="E153" i="6"/>
  <c r="E154" i="6"/>
  <c r="E155" i="6"/>
  <c r="E156" i="6"/>
  <c r="E160" i="6"/>
  <c r="E166" i="6"/>
  <c r="E167" i="6"/>
  <c r="E168" i="6"/>
  <c r="E172" i="6"/>
  <c r="E177" i="6"/>
  <c r="E178" i="6"/>
  <c r="E179" i="6"/>
  <c r="E180" i="6"/>
  <c r="E184" i="6"/>
  <c r="E189" i="6"/>
  <c r="E190" i="6"/>
  <c r="E191" i="6"/>
  <c r="E192" i="6"/>
  <c r="E196" i="6"/>
  <c r="E201" i="6"/>
  <c r="E202" i="6"/>
  <c r="E203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C164" i="6" s="1"/>
  <c r="D164" i="6" s="1"/>
  <c r="E164" i="6" s="1"/>
  <c r="J165" i="6"/>
  <c r="C165" i="6" s="1"/>
  <c r="D165" i="6" s="1"/>
  <c r="E165" i="6" s="1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" i="6"/>
  <c r="A3" i="2"/>
  <c r="A4" i="2"/>
  <c r="A5" i="2"/>
  <c r="A6" i="2"/>
  <c r="A7" i="2"/>
  <c r="A8" i="2"/>
  <c r="A9" i="2"/>
  <c r="A10" i="2"/>
  <c r="A11" i="2"/>
  <c r="A12" i="2"/>
  <c r="A13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4" i="2"/>
  <c r="A35" i="2"/>
  <c r="A36" i="2"/>
  <c r="A38" i="2"/>
  <c r="A39" i="2"/>
  <c r="A40" i="2"/>
  <c r="A41" i="2"/>
  <c r="A42" i="2"/>
  <c r="A43" i="2"/>
  <c r="A44" i="2"/>
  <c r="A45" i="2"/>
  <c r="A47" i="2"/>
  <c r="A48" i="2"/>
  <c r="A49" i="2"/>
  <c r="A50" i="2"/>
  <c r="A51" i="2"/>
  <c r="A52" i="2"/>
  <c r="A53" i="2"/>
  <c r="A54" i="2"/>
  <c r="A56" i="2"/>
  <c r="A57" i="2"/>
  <c r="A58" i="2"/>
  <c r="A59" i="2"/>
  <c r="A60" i="2"/>
  <c r="A61" i="2"/>
  <c r="A63" i="2"/>
  <c r="A64" i="2"/>
  <c r="A65" i="2"/>
  <c r="A66" i="2"/>
  <c r="A67" i="2"/>
  <c r="A68" i="2"/>
  <c r="A70" i="2"/>
  <c r="A71" i="2"/>
  <c r="A72" i="2"/>
  <c r="A73" i="2"/>
  <c r="A74" i="2"/>
  <c r="A75" i="2"/>
  <c r="A77" i="2"/>
  <c r="A78" i="2"/>
  <c r="A79" i="2"/>
  <c r="A80" i="2"/>
  <c r="A81" i="2"/>
  <c r="A82" i="2"/>
  <c r="A84" i="2"/>
  <c r="A85" i="2"/>
  <c r="A86" i="2"/>
  <c r="A87" i="2"/>
  <c r="A88" i="2"/>
  <c r="A89" i="2"/>
  <c r="A91" i="2"/>
  <c r="A92" i="2"/>
  <c r="A93" i="2"/>
  <c r="A94" i="2"/>
  <c r="A95" i="2"/>
  <c r="A96" i="2"/>
  <c r="A98" i="2"/>
  <c r="A99" i="2"/>
  <c r="A100" i="2"/>
  <c r="A101" i="2"/>
  <c r="A102" i="2"/>
  <c r="A103" i="2"/>
  <c r="A105" i="2"/>
  <c r="A106" i="2"/>
  <c r="A107" i="2"/>
  <c r="A108" i="2"/>
  <c r="A109" i="2"/>
  <c r="A110" i="2"/>
  <c r="A112" i="2"/>
  <c r="A113" i="2"/>
  <c r="A114" i="2"/>
  <c r="A115" i="2"/>
  <c r="A116" i="2"/>
  <c r="A117" i="2"/>
  <c r="A119" i="2"/>
  <c r="A120" i="2"/>
  <c r="A121" i="2"/>
  <c r="A122" i="2"/>
  <c r="A123" i="2"/>
  <c r="A124" i="2"/>
  <c r="A126" i="2"/>
  <c r="A127" i="2"/>
  <c r="A128" i="2"/>
  <c r="A129" i="2"/>
  <c r="A130" i="2"/>
  <c r="A131" i="2"/>
  <c r="A132" i="2"/>
  <c r="A134" i="2"/>
  <c r="A135" i="2"/>
  <c r="A136" i="2"/>
  <c r="A137" i="2"/>
  <c r="A138" i="2"/>
  <c r="A139" i="2"/>
  <c r="A141" i="2"/>
  <c r="A142" i="2"/>
  <c r="A143" i="2"/>
  <c r="A144" i="2"/>
  <c r="A145" i="2"/>
  <c r="A146" i="2"/>
  <c r="A148" i="2"/>
  <c r="A149" i="2"/>
  <c r="A150" i="2"/>
  <c r="A151" i="2"/>
  <c r="A152" i="2"/>
  <c r="A153" i="2"/>
  <c r="A154" i="2"/>
  <c r="A156" i="2"/>
  <c r="A157" i="2"/>
  <c r="A158" i="2"/>
  <c r="A159" i="2"/>
  <c r="A160" i="2"/>
  <c r="A161" i="2"/>
  <c r="A163" i="2"/>
  <c r="A164" i="2"/>
  <c r="A165" i="2"/>
  <c r="A166" i="2"/>
  <c r="A167" i="2"/>
  <c r="A168" i="2"/>
  <c r="A170" i="2"/>
  <c r="A171" i="2"/>
  <c r="A172" i="2"/>
  <c r="A173" i="2"/>
  <c r="A174" i="2"/>
  <c r="A175" i="2"/>
  <c r="A177" i="2"/>
  <c r="A178" i="2"/>
  <c r="A179" i="2"/>
  <c r="A180" i="2"/>
  <c r="A181" i="2"/>
  <c r="A182" i="2"/>
  <c r="A183" i="2"/>
  <c r="A185" i="2"/>
  <c r="A186" i="2"/>
  <c r="A187" i="2"/>
  <c r="A188" i="2"/>
  <c r="A189" i="2"/>
  <c r="A190" i="2"/>
  <c r="A191" i="2"/>
  <c r="A193" i="2"/>
  <c r="A194" i="2"/>
  <c r="A195" i="2"/>
  <c r="A196" i="2"/>
  <c r="A197" i="2"/>
  <c r="A198" i="2"/>
  <c r="A200" i="2"/>
  <c r="A201" i="2"/>
  <c r="A202" i="2"/>
  <c r="A203" i="2"/>
  <c r="A204" i="2"/>
  <c r="A205" i="2"/>
  <c r="A206" i="2"/>
  <c r="A208" i="2"/>
  <c r="A209" i="2"/>
  <c r="A210" i="2"/>
  <c r="A211" i="2"/>
  <c r="A212" i="2"/>
  <c r="A213" i="2"/>
  <c r="A214" i="2"/>
  <c r="A215" i="2"/>
  <c r="A216" i="2"/>
  <c r="A217" i="2"/>
  <c r="A219" i="2"/>
  <c r="A220" i="2"/>
  <c r="A221" i="2"/>
  <c r="A222" i="2"/>
  <c r="A223" i="2"/>
  <c r="A224" i="2"/>
  <c r="A225" i="2"/>
  <c r="A226" i="2"/>
  <c r="A228" i="2"/>
  <c r="A229" i="2"/>
  <c r="A230" i="2"/>
  <c r="A232" i="2"/>
  <c r="A233" i="2"/>
  <c r="A234" i="2"/>
  <c r="A235" i="2"/>
  <c r="A236" i="2"/>
  <c r="A237" i="2"/>
  <c r="A238" i="2"/>
  <c r="A240" i="2"/>
  <c r="A242" i="2"/>
  <c r="A243" i="2"/>
  <c r="A244" i="2"/>
  <c r="A245" i="2"/>
  <c r="A246" i="2"/>
  <c r="A247" i="2"/>
  <c r="A248" i="2"/>
  <c r="A249" i="2"/>
  <c r="A251" i="2"/>
  <c r="A252" i="2"/>
  <c r="A253" i="2"/>
  <c r="A254" i="2"/>
  <c r="A255" i="2"/>
  <c r="A256" i="2"/>
  <c r="A257" i="2"/>
  <c r="A259" i="2"/>
  <c r="A260" i="2"/>
  <c r="A261" i="2"/>
  <c r="A262" i="2"/>
  <c r="A263" i="2"/>
  <c r="A264" i="2"/>
  <c r="A265" i="2"/>
  <c r="A267" i="2"/>
  <c r="A268" i="2"/>
  <c r="A269" i="2"/>
  <c r="A270" i="2"/>
  <c r="A271" i="2"/>
  <c r="A272" i="2"/>
  <c r="A273" i="2"/>
  <c r="A275" i="2"/>
  <c r="A276" i="2"/>
  <c r="A277" i="2"/>
  <c r="A278" i="2"/>
  <c r="A279" i="2"/>
  <c r="A280" i="2"/>
  <c r="A281" i="2"/>
  <c r="A282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7" i="2"/>
  <c r="A298" i="2"/>
  <c r="A299" i="2"/>
  <c r="A300" i="2"/>
  <c r="A301" i="2"/>
  <c r="A302" i="2"/>
  <c r="A303" i="2"/>
  <c r="A304" i="2"/>
  <c r="A306" i="2"/>
  <c r="A307" i="2"/>
  <c r="A308" i="2"/>
  <c r="A309" i="2"/>
  <c r="A310" i="2"/>
  <c r="A311" i="2"/>
  <c r="A312" i="2"/>
  <c r="A313" i="2"/>
  <c r="A314" i="2"/>
  <c r="A315" i="2"/>
  <c r="A317" i="2"/>
  <c r="A318" i="2"/>
  <c r="A319" i="2"/>
  <c r="A320" i="2"/>
  <c r="A321" i="2"/>
  <c r="A322" i="2"/>
  <c r="A323" i="2"/>
  <c r="A324" i="2"/>
  <c r="A326" i="2"/>
  <c r="A327" i="2"/>
  <c r="A328" i="2"/>
  <c r="A329" i="2"/>
  <c r="A330" i="2"/>
  <c r="A331" i="2"/>
  <c r="A332" i="2"/>
  <c r="A333" i="2"/>
  <c r="A335" i="2"/>
  <c r="A336" i="2"/>
  <c r="A337" i="2"/>
  <c r="A338" i="2"/>
  <c r="A339" i="2"/>
  <c r="A340" i="2"/>
  <c r="A342" i="2"/>
  <c r="A343" i="2"/>
  <c r="A344" i="2"/>
  <c r="A345" i="2"/>
  <c r="A346" i="2"/>
  <c r="A347" i="2"/>
  <c r="A349" i="2"/>
  <c r="A350" i="2"/>
  <c r="A351" i="2"/>
  <c r="A352" i="2"/>
  <c r="A353" i="2"/>
  <c r="A354" i="2"/>
  <c r="A356" i="2"/>
  <c r="A357" i="2"/>
  <c r="A358" i="2"/>
  <c r="A359" i="2"/>
  <c r="A360" i="2"/>
  <c r="A361" i="2"/>
  <c r="A363" i="2"/>
  <c r="A364" i="2"/>
  <c r="A365" i="2"/>
  <c r="A366" i="2"/>
  <c r="A367" i="2"/>
  <c r="A368" i="2"/>
  <c r="A370" i="2"/>
  <c r="A371" i="2"/>
  <c r="A372" i="2"/>
  <c r="A373" i="2"/>
  <c r="A374" i="2"/>
  <c r="A375" i="2"/>
  <c r="A377" i="2"/>
  <c r="A378" i="2"/>
  <c r="A379" i="2"/>
  <c r="A380" i="2"/>
  <c r="A381" i="2"/>
  <c r="A382" i="2"/>
  <c r="A384" i="2"/>
  <c r="A385" i="2"/>
  <c r="A386" i="2"/>
  <c r="A387" i="2"/>
  <c r="A388" i="2"/>
  <c r="A389" i="2"/>
  <c r="A391" i="2"/>
  <c r="A392" i="2"/>
  <c r="A393" i="2"/>
  <c r="A394" i="2"/>
  <c r="A395" i="2"/>
  <c r="A396" i="2"/>
  <c r="A398" i="2"/>
  <c r="A399" i="2"/>
  <c r="A400" i="2"/>
  <c r="A401" i="2"/>
  <c r="A402" i="2"/>
  <c r="A403" i="2"/>
  <c r="A405" i="2"/>
  <c r="A406" i="2"/>
  <c r="A407" i="2"/>
  <c r="A408" i="2"/>
  <c r="A409" i="2"/>
  <c r="A410" i="2"/>
  <c r="A411" i="2"/>
  <c r="A413" i="2"/>
  <c r="A414" i="2"/>
  <c r="A415" i="2"/>
  <c r="A416" i="2"/>
  <c r="A417" i="2"/>
  <c r="A418" i="2"/>
  <c r="A420" i="2"/>
  <c r="A421" i="2"/>
  <c r="A422" i="2"/>
  <c r="A423" i="2"/>
  <c r="A424" i="2"/>
  <c r="A425" i="2"/>
  <c r="A427" i="2"/>
  <c r="A428" i="2"/>
  <c r="A429" i="2"/>
  <c r="A430" i="2"/>
  <c r="A431" i="2"/>
  <c r="A432" i="2"/>
  <c r="A434" i="2"/>
  <c r="A435" i="2"/>
  <c r="A436" i="2"/>
  <c r="A437" i="2"/>
  <c r="A438" i="2"/>
  <c r="A439" i="2"/>
  <c r="A441" i="2"/>
  <c r="A442" i="2"/>
  <c r="A443" i="2"/>
  <c r="A444" i="2"/>
  <c r="A445" i="2"/>
  <c r="A446" i="2"/>
  <c r="A448" i="2"/>
  <c r="A449" i="2"/>
  <c r="A450" i="2"/>
  <c r="A451" i="2"/>
  <c r="A452" i="2"/>
  <c r="A453" i="2"/>
  <c r="A455" i="2"/>
  <c r="A456" i="2"/>
  <c r="A457" i="2"/>
  <c r="A458" i="2"/>
  <c r="A459" i="2"/>
  <c r="A460" i="2"/>
  <c r="A462" i="2"/>
  <c r="A463" i="2"/>
  <c r="A464" i="2"/>
  <c r="A465" i="2"/>
  <c r="A466" i="2"/>
  <c r="A467" i="2"/>
  <c r="A468" i="2"/>
  <c r="A470" i="2"/>
  <c r="A471" i="2"/>
  <c r="A472" i="2"/>
  <c r="A473" i="2"/>
  <c r="A474" i="2"/>
  <c r="A475" i="2"/>
  <c r="A476" i="2"/>
  <c r="A477" i="2"/>
  <c r="A478" i="2"/>
  <c r="A479" i="2"/>
  <c r="A481" i="2"/>
  <c r="A482" i="2"/>
  <c r="A483" i="2"/>
  <c r="A484" i="2"/>
  <c r="A485" i="2"/>
  <c r="A486" i="2"/>
  <c r="A487" i="2"/>
  <c r="A489" i="2"/>
  <c r="A490" i="2"/>
  <c r="A491" i="2"/>
  <c r="A492" i="2"/>
  <c r="A493" i="2"/>
  <c r="A494" i="2"/>
  <c r="A495" i="2"/>
  <c r="A496" i="2"/>
  <c r="A497" i="2"/>
  <c r="A498" i="2"/>
  <c r="A499" i="2"/>
  <c r="A501" i="2"/>
  <c r="A502" i="2"/>
  <c r="A503" i="2"/>
  <c r="A504" i="2"/>
  <c r="A505" i="2"/>
  <c r="A506" i="2"/>
  <c r="A507" i="2"/>
  <c r="A509" i="2"/>
  <c r="A510" i="2"/>
  <c r="A511" i="2"/>
  <c r="A512" i="2"/>
  <c r="A513" i="2"/>
  <c r="A514" i="2"/>
  <c r="A515" i="2"/>
  <c r="A516" i="2"/>
  <c r="A518" i="2"/>
  <c r="A519" i="2"/>
  <c r="A520" i="2"/>
  <c r="A521" i="2"/>
  <c r="A522" i="2"/>
  <c r="A523" i="2"/>
  <c r="A524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3" i="2"/>
  <c r="A554" i="2"/>
  <c r="A555" i="2"/>
  <c r="A556" i="2"/>
  <c r="A557" i="2"/>
  <c r="A558" i="2"/>
  <c r="A559" i="2"/>
  <c r="A560" i="2"/>
  <c r="A561" i="2"/>
  <c r="A562" i="2"/>
  <c r="A564" i="2"/>
  <c r="A565" i="2"/>
  <c r="A566" i="2"/>
  <c r="A567" i="2"/>
  <c r="A568" i="2"/>
  <c r="A569" i="2"/>
  <c r="A570" i="2"/>
  <c r="A571" i="2"/>
  <c r="A573" i="2"/>
  <c r="A574" i="2"/>
  <c r="A575" i="2"/>
  <c r="A576" i="2"/>
  <c r="A577" i="2"/>
  <c r="A578" i="2"/>
  <c r="A579" i="2"/>
  <c r="A581" i="2"/>
  <c r="A582" i="2"/>
  <c r="A583" i="2"/>
  <c r="A584" i="2"/>
  <c r="A585" i="2"/>
  <c r="A586" i="2"/>
  <c r="A588" i="2"/>
  <c r="A589" i="2"/>
  <c r="A590" i="2"/>
  <c r="A591" i="2"/>
  <c r="A592" i="2"/>
  <c r="A593" i="2"/>
  <c r="A595" i="2"/>
  <c r="A596" i="2"/>
  <c r="A597" i="2"/>
  <c r="A598" i="2"/>
  <c r="A599" i="2"/>
  <c r="A600" i="2"/>
  <c r="A602" i="2"/>
  <c r="A603" i="2"/>
  <c r="A604" i="2"/>
  <c r="A605" i="2"/>
  <c r="A606" i="2"/>
  <c r="A607" i="2"/>
  <c r="A609" i="2"/>
  <c r="A610" i="2"/>
  <c r="A611" i="2"/>
  <c r="A612" i="2"/>
  <c r="A613" i="2"/>
  <c r="A614" i="2"/>
  <c r="A616" i="2"/>
  <c r="A617" i="2"/>
  <c r="A618" i="2"/>
  <c r="A619" i="2"/>
  <c r="A620" i="2"/>
  <c r="A621" i="2"/>
  <c r="A623" i="2"/>
  <c r="A624" i="2"/>
  <c r="A625" i="2"/>
  <c r="A626" i="2"/>
  <c r="A627" i="2"/>
  <c r="A628" i="2"/>
  <c r="A630" i="2"/>
  <c r="A631" i="2"/>
  <c r="A632" i="2"/>
  <c r="A633" i="2"/>
  <c r="A634" i="2"/>
  <c r="A635" i="2"/>
  <c r="A637" i="2"/>
  <c r="A638" i="2"/>
  <c r="A639" i="2"/>
  <c r="A640" i="2"/>
  <c r="A641" i="2"/>
  <c r="A642" i="2"/>
  <c r="A643" i="2"/>
  <c r="A644" i="2"/>
  <c r="A645" i="2"/>
  <c r="A646" i="2"/>
  <c r="A648" i="2"/>
  <c r="A649" i="2"/>
  <c r="A650" i="2"/>
  <c r="A651" i="2"/>
  <c r="A652" i="2"/>
  <c r="A653" i="2"/>
  <c r="A654" i="2"/>
  <c r="A655" i="2"/>
  <c r="A656" i="2"/>
  <c r="A657" i="2"/>
  <c r="A658" i="2"/>
  <c r="A660" i="2"/>
  <c r="A661" i="2"/>
  <c r="A662" i="2"/>
  <c r="A663" i="2"/>
  <c r="A664" i="2"/>
  <c r="A665" i="2"/>
  <c r="A666" i="2"/>
  <c r="A667" i="2"/>
  <c r="A669" i="2"/>
  <c r="A670" i="2"/>
  <c r="A671" i="2"/>
  <c r="A672" i="2"/>
  <c r="A673" i="2"/>
  <c r="A674" i="2"/>
  <c r="A675" i="2"/>
  <c r="A676" i="2"/>
  <c r="A678" i="2"/>
  <c r="A679" i="2"/>
  <c r="A680" i="2"/>
  <c r="A681" i="2"/>
  <c r="A682" i="2"/>
  <c r="A683" i="2"/>
  <c r="A684" i="2"/>
  <c r="A685" i="2"/>
  <c r="A687" i="2"/>
  <c r="A688" i="2"/>
  <c r="A689" i="2"/>
  <c r="A690" i="2"/>
  <c r="A691" i="2"/>
  <c r="A692" i="2"/>
  <c r="A693" i="2"/>
  <c r="A695" i="2"/>
  <c r="A696" i="2"/>
  <c r="A697" i="2"/>
  <c r="A698" i="2"/>
  <c r="A699" i="2"/>
  <c r="A700" i="2"/>
  <c r="A701" i="2"/>
  <c r="A702" i="2"/>
  <c r="A704" i="2"/>
  <c r="A705" i="2"/>
  <c r="A706" i="2"/>
  <c r="A707" i="2"/>
  <c r="A708" i="2"/>
  <c r="A709" i="2"/>
  <c r="A710" i="2"/>
  <c r="A711" i="2"/>
  <c r="A713" i="2"/>
  <c r="A714" i="2"/>
  <c r="A715" i="2"/>
  <c r="A716" i="2"/>
  <c r="A717" i="2"/>
  <c r="A718" i="2"/>
  <c r="A720" i="2"/>
  <c r="A721" i="2"/>
  <c r="A722" i="2"/>
  <c r="A723" i="2"/>
  <c r="A724" i="2"/>
  <c r="A725" i="2"/>
  <c r="A727" i="2"/>
  <c r="A728" i="2"/>
  <c r="A729" i="2"/>
  <c r="A730" i="2"/>
  <c r="A731" i="2"/>
  <c r="A732" i="2"/>
  <c r="A733" i="2"/>
  <c r="A734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8" i="2"/>
  <c r="A779" i="2"/>
  <c r="A780" i="2"/>
  <c r="A781" i="2"/>
  <c r="A782" i="2"/>
  <c r="A783" i="2"/>
  <c r="A785" i="2"/>
  <c r="A786" i="2"/>
  <c r="A787" i="2"/>
  <c r="A788" i="2"/>
  <c r="A789" i="2"/>
  <c r="A790" i="2"/>
  <c r="A791" i="2"/>
  <c r="A792" i="2"/>
  <c r="A793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3" i="2"/>
  <c r="A814" i="2"/>
  <c r="A815" i="2"/>
  <c r="A816" i="2"/>
  <c r="A817" i="2"/>
  <c r="A818" i="2"/>
  <c r="A819" i="2"/>
  <c r="A820" i="2"/>
  <c r="A821" i="2"/>
  <c r="A822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7" i="2"/>
  <c r="A838" i="2"/>
  <c r="A839" i="2"/>
  <c r="A840" i="2"/>
  <c r="A841" i="2"/>
  <c r="A842" i="2"/>
  <c r="A843" i="2"/>
  <c r="A844" i="2"/>
  <c r="A845" i="2"/>
  <c r="A846" i="2"/>
  <c r="A847" i="2"/>
  <c r="A849" i="2"/>
  <c r="A850" i="2"/>
  <c r="A851" i="2"/>
  <c r="A852" i="2"/>
  <c r="A853" i="2"/>
  <c r="A854" i="2"/>
  <c r="A855" i="2"/>
  <c r="A856" i="2"/>
  <c r="A857" i="2"/>
  <c r="A859" i="2"/>
  <c r="A860" i="2"/>
  <c r="A861" i="2"/>
  <c r="A862" i="2"/>
  <c r="A863" i="2"/>
  <c r="A864" i="2"/>
  <c r="A865" i="2"/>
  <c r="A866" i="2"/>
  <c r="A867" i="2"/>
  <c r="A868" i="2"/>
  <c r="A869" i="2"/>
  <c r="A871" i="2"/>
  <c r="A872" i="2"/>
  <c r="A873" i="2"/>
  <c r="A874" i="2"/>
  <c r="A875" i="2"/>
  <c r="A876" i="2"/>
  <c r="A877" i="2"/>
  <c r="A878" i="2"/>
  <c r="A879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10" i="2"/>
  <c r="A911" i="2"/>
  <c r="A912" i="2"/>
  <c r="A913" i="2"/>
  <c r="A914" i="2"/>
  <c r="A915" i="2"/>
  <c r="A916" i="2"/>
  <c r="A917" i="2"/>
  <c r="A918" i="2"/>
  <c r="A920" i="2"/>
  <c r="A921" i="2"/>
  <c r="A922" i="2"/>
  <c r="A923" i="2"/>
  <c r="A924" i="2"/>
  <c r="A925" i="2"/>
  <c r="A926" i="2"/>
  <c r="A927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2" i="2"/>
  <c r="A963" i="2"/>
  <c r="A964" i="2"/>
  <c r="A965" i="2"/>
  <c r="A966" i="2"/>
  <c r="A967" i="2"/>
  <c r="A968" i="2"/>
  <c r="A970" i="2"/>
  <c r="A971" i="2"/>
  <c r="A972" i="2"/>
  <c r="A973" i="2"/>
  <c r="A974" i="2"/>
  <c r="A975" i="2"/>
  <c r="A976" i="2"/>
  <c r="A978" i="2"/>
  <c r="A979" i="2"/>
  <c r="A980" i="2"/>
  <c r="A981" i="2"/>
  <c r="A982" i="2"/>
  <c r="A983" i="2"/>
  <c r="A984" i="2"/>
  <c r="A986" i="2"/>
  <c r="A987" i="2"/>
  <c r="A988" i="2"/>
  <c r="A989" i="2"/>
  <c r="A990" i="2"/>
  <c r="A991" i="2"/>
  <c r="A992" i="2"/>
  <c r="A994" i="2"/>
  <c r="A995" i="2"/>
  <c r="A996" i="2"/>
  <c r="A997" i="2"/>
  <c r="A998" i="2"/>
  <c r="A999" i="2"/>
  <c r="A1000" i="2"/>
  <c r="A1002" i="2"/>
  <c r="A1003" i="2"/>
  <c r="A1004" i="2"/>
  <c r="A1005" i="2"/>
  <c r="A1006" i="2"/>
  <c r="A1007" i="2"/>
  <c r="A1008" i="2"/>
  <c r="A1010" i="2"/>
  <c r="A1011" i="2"/>
  <c r="A1012" i="2"/>
  <c r="A1013" i="2"/>
  <c r="A1014" i="2"/>
  <c r="A1015" i="2"/>
  <c r="A1016" i="2"/>
  <c r="A1018" i="2"/>
  <c r="A1019" i="2"/>
  <c r="A1020" i="2"/>
  <c r="A1021" i="2"/>
  <c r="A1022" i="2"/>
  <c r="A1023" i="2"/>
  <c r="A1024" i="2"/>
  <c r="A1026" i="2"/>
  <c r="A1027" i="2"/>
  <c r="A1028" i="2"/>
  <c r="A1029" i="2"/>
  <c r="A1030" i="2"/>
  <c r="A1031" i="2"/>
  <c r="A1033" i="2"/>
  <c r="A1034" i="2"/>
  <c r="A1035" i="2"/>
  <c r="A1036" i="2"/>
  <c r="A1037" i="2"/>
  <c r="A1038" i="2"/>
  <c r="A1039" i="2"/>
  <c r="A1041" i="2"/>
  <c r="A1042" i="2"/>
  <c r="A1043" i="2"/>
  <c r="A1044" i="2"/>
  <c r="A1045" i="2"/>
  <c r="A1046" i="2"/>
  <c r="A1047" i="2"/>
  <c r="A1049" i="2"/>
  <c r="A1050" i="2"/>
  <c r="A1051" i="2"/>
  <c r="A1052" i="2"/>
  <c r="A1053" i="2"/>
  <c r="A1054" i="2"/>
  <c r="A1055" i="2"/>
  <c r="A1057" i="2"/>
  <c r="A1058" i="2"/>
  <c r="A1059" i="2"/>
  <c r="A1060" i="2"/>
  <c r="A1061" i="2"/>
  <c r="A1062" i="2"/>
  <c r="A1063" i="2"/>
  <c r="A1065" i="2"/>
  <c r="A1066" i="2"/>
  <c r="A1067" i="2"/>
  <c r="A1068" i="2"/>
  <c r="A1069" i="2"/>
  <c r="A1070" i="2"/>
  <c r="A1071" i="2"/>
  <c r="A1073" i="2"/>
  <c r="A1074" i="2"/>
  <c r="A1075" i="2"/>
  <c r="A1076" i="2"/>
  <c r="A1077" i="2"/>
  <c r="A1078" i="2"/>
  <c r="A1079" i="2"/>
  <c r="A1081" i="2"/>
  <c r="A1082" i="2"/>
  <c r="A1083" i="2"/>
  <c r="A1084" i="2"/>
  <c r="A1085" i="2"/>
  <c r="A1086" i="2"/>
  <c r="A1088" i="2"/>
  <c r="A1089" i="2"/>
  <c r="A1090" i="2"/>
  <c r="A1091" i="2"/>
  <c r="A1092" i="2"/>
  <c r="A1093" i="2"/>
  <c r="A1094" i="2"/>
  <c r="A1096" i="2"/>
  <c r="A1097" i="2"/>
  <c r="A1098" i="2"/>
  <c r="A1099" i="2"/>
  <c r="A1100" i="2"/>
  <c r="A1101" i="2"/>
  <c r="A1102" i="2"/>
  <c r="A1104" i="2"/>
  <c r="A1105" i="2"/>
  <c r="A1106" i="2"/>
  <c r="A1107" i="2"/>
  <c r="A1108" i="2"/>
  <c r="A1109" i="2"/>
  <c r="A1110" i="2"/>
  <c r="A1112" i="2"/>
  <c r="A1113" i="2"/>
  <c r="A1114" i="2"/>
  <c r="A1115" i="2"/>
  <c r="A1116" i="2"/>
  <c r="A1117" i="2"/>
  <c r="A1118" i="2"/>
  <c r="A1120" i="2"/>
  <c r="A1121" i="2"/>
  <c r="A1122" i="2"/>
  <c r="A1123" i="2"/>
  <c r="A1124" i="2"/>
  <c r="A1125" i="2"/>
  <c r="A1126" i="2"/>
  <c r="A1128" i="2"/>
  <c r="A1129" i="2"/>
  <c r="A1130" i="2"/>
  <c r="A1131" i="2"/>
  <c r="A1132" i="2"/>
  <c r="A1133" i="2"/>
  <c r="A1134" i="2"/>
  <c r="A1136" i="2"/>
  <c r="A1137" i="2"/>
  <c r="A1138" i="2"/>
  <c r="A1139" i="2"/>
  <c r="A1140" i="2"/>
  <c r="A1141" i="2"/>
  <c r="A1142" i="2"/>
  <c r="A1144" i="2"/>
  <c r="A1145" i="2"/>
  <c r="A1146" i="2"/>
  <c r="A1147" i="2"/>
  <c r="A1148" i="2"/>
  <c r="A1149" i="2"/>
  <c r="A1150" i="2"/>
  <c r="A1152" i="2"/>
  <c r="A1153" i="2"/>
  <c r="A1154" i="2"/>
  <c r="A1155" i="2"/>
  <c r="A1156" i="2"/>
  <c r="A1157" i="2"/>
  <c r="A1158" i="2"/>
  <c r="A1160" i="2"/>
  <c r="A1161" i="2"/>
  <c r="A1162" i="2"/>
  <c r="A1163" i="2"/>
  <c r="A1164" i="2"/>
  <c r="A1165" i="2"/>
  <c r="A1166" i="2"/>
  <c r="A1168" i="2"/>
  <c r="A1169" i="2"/>
  <c r="A1170" i="2"/>
  <c r="A1171" i="2"/>
  <c r="A1172" i="2"/>
  <c r="A1173" i="2"/>
  <c r="A1174" i="2"/>
  <c r="A1176" i="2"/>
  <c r="A1177" i="2"/>
  <c r="A1178" i="2"/>
  <c r="A1179" i="2"/>
  <c r="A1180" i="2"/>
  <c r="A1181" i="2"/>
  <c r="A1182" i="2"/>
  <c r="A1184" i="2"/>
  <c r="A1185" i="2"/>
  <c r="A1186" i="2"/>
  <c r="A1187" i="2"/>
  <c r="A1188" i="2"/>
  <c r="A1189" i="2"/>
  <c r="A1190" i="2"/>
  <c r="A1192" i="2"/>
  <c r="A1193" i="2"/>
  <c r="A1194" i="2"/>
  <c r="A1195" i="2"/>
  <c r="A1196" i="2"/>
  <c r="A1197" i="2"/>
  <c r="A1198" i="2"/>
  <c r="A1200" i="2"/>
  <c r="A1201" i="2"/>
  <c r="A1202" i="2"/>
  <c r="A1203" i="2"/>
  <c r="A1204" i="2"/>
  <c r="A1205" i="2"/>
  <c r="A1206" i="2"/>
  <c r="A1208" i="2"/>
  <c r="A1209" i="2"/>
  <c r="A1210" i="2"/>
  <c r="A1211" i="2"/>
  <c r="A1212" i="2"/>
  <c r="A1213" i="2"/>
  <c r="A1214" i="2"/>
  <c r="A1216" i="2"/>
  <c r="A1217" i="2"/>
  <c r="A1218" i="2"/>
  <c r="A1219" i="2"/>
  <c r="A1220" i="2"/>
  <c r="A1221" i="2"/>
  <c r="A1222" i="2"/>
  <c r="A1224" i="2"/>
  <c r="A1225" i="2"/>
  <c r="A1226" i="2"/>
  <c r="A1227" i="2"/>
  <c r="A1228" i="2"/>
  <c r="A1229" i="2"/>
  <c r="A1230" i="2"/>
  <c r="A1232" i="2"/>
  <c r="A1233" i="2"/>
  <c r="A1234" i="2"/>
  <c r="A1235" i="2"/>
  <c r="A1236" i="2"/>
  <c r="A1237" i="2"/>
  <c r="A1238" i="2"/>
  <c r="A1240" i="2"/>
  <c r="A1241" i="2"/>
  <c r="A1242" i="2"/>
  <c r="A1243" i="2"/>
  <c r="A1244" i="2"/>
  <c r="A1245" i="2"/>
  <c r="A1246" i="2"/>
  <c r="A1248" i="2"/>
  <c r="A1249" i="2"/>
  <c r="A1250" i="2"/>
  <c r="A1251" i="2"/>
  <c r="A1252" i="2"/>
  <c r="A1253" i="2"/>
  <c r="A1254" i="2"/>
  <c r="A1256" i="2"/>
  <c r="A1257" i="2"/>
  <c r="A1258" i="2"/>
  <c r="A1259" i="2"/>
  <c r="A1260" i="2"/>
  <c r="A1261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9" i="2"/>
  <c r="A1310" i="2"/>
  <c r="A1311" i="2"/>
  <c r="A1312" i="2"/>
  <c r="A1313" i="2"/>
  <c r="A1314" i="2"/>
  <c r="A1315" i="2"/>
  <c r="A1317" i="2"/>
  <c r="A1318" i="2"/>
  <c r="A1319" i="2"/>
  <c r="A1320" i="2"/>
  <c r="A1321" i="2"/>
  <c r="A1322" i="2"/>
  <c r="A1323" i="2"/>
  <c r="A1324" i="2"/>
  <c r="A1325" i="2"/>
  <c r="A1326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6" i="2"/>
  <c r="A1347" i="2"/>
  <c r="A1348" i="2"/>
  <c r="A1349" i="2"/>
  <c r="A1350" i="2"/>
  <c r="A1351" i="2"/>
  <c r="A1352" i="2"/>
  <c r="A1353" i="2"/>
  <c r="A1354" i="2"/>
  <c r="A1355" i="2"/>
  <c r="A1356" i="2"/>
  <c r="A1358" i="2"/>
  <c r="A1359" i="2"/>
  <c r="A1360" i="2"/>
  <c r="A1361" i="2"/>
  <c r="A1362" i="2"/>
  <c r="A1363" i="2"/>
  <c r="A1364" i="2"/>
  <c r="A1365" i="2"/>
  <c r="A1366" i="2"/>
  <c r="A1367" i="2"/>
  <c r="A1368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3" i="2"/>
  <c r="A1384" i="2"/>
  <c r="A1385" i="2"/>
  <c r="A1386" i="2"/>
  <c r="A1387" i="2"/>
  <c r="A1388" i="2"/>
  <c r="A1389" i="2"/>
  <c r="A1390" i="2"/>
  <c r="A1391" i="2"/>
  <c r="A1392" i="2"/>
  <c r="A1394" i="2"/>
  <c r="A1395" i="2"/>
  <c r="A1396" i="2"/>
  <c r="A1397" i="2"/>
  <c r="A1398" i="2"/>
  <c r="A1399" i="2"/>
  <c r="A1400" i="2"/>
  <c r="A1401" i="2"/>
  <c r="A1402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1" i="2"/>
  <c r="A1422" i="2"/>
  <c r="A1423" i="2"/>
  <c r="A1424" i="2"/>
  <c r="A1425" i="2"/>
  <c r="A1426" i="2"/>
  <c r="A1427" i="2"/>
  <c r="A1428" i="2"/>
  <c r="A1429" i="2"/>
  <c r="A1430" i="2"/>
  <c r="A1431" i="2"/>
  <c r="A1433" i="2"/>
  <c r="A1434" i="2"/>
  <c r="A1435" i="2"/>
  <c r="A1436" i="2"/>
  <c r="A1437" i="2"/>
  <c r="A1438" i="2"/>
  <c r="A1439" i="2"/>
  <c r="A1440" i="2"/>
  <c r="A1441" i="2"/>
  <c r="A1442" i="2"/>
  <c r="A1444" i="2"/>
  <c r="A1445" i="2"/>
  <c r="A1446" i="2"/>
  <c r="A1447" i="2"/>
  <c r="A1448" i="2"/>
  <c r="A1449" i="2"/>
  <c r="A1450" i="2"/>
  <c r="A1451" i="2"/>
  <c r="A1452" i="2"/>
  <c r="A1454" i="2"/>
  <c r="A1455" i="2"/>
  <c r="A1456" i="2"/>
  <c r="A1457" i="2"/>
  <c r="A1458" i="2"/>
  <c r="A1459" i="2"/>
  <c r="A1460" i="2"/>
  <c r="A1461" i="2"/>
  <c r="A1462" i="2"/>
  <c r="A1463" i="2"/>
  <c r="A1465" i="2"/>
  <c r="A1466" i="2"/>
  <c r="A1467" i="2"/>
  <c r="A1468" i="2"/>
  <c r="A1469" i="2"/>
  <c r="A1470" i="2"/>
  <c r="A1471" i="2"/>
  <c r="A1472" i="2"/>
  <c r="A1473" i="2"/>
  <c r="A1475" i="2"/>
  <c r="A1476" i="2"/>
  <c r="A1477" i="2"/>
  <c r="A1478" i="2"/>
  <c r="A1479" i="2"/>
  <c r="A1480" i="2"/>
  <c r="A1481" i="2"/>
  <c r="A1483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4" i="2"/>
  <c r="A1515" i="2"/>
  <c r="A1516" i="2"/>
  <c r="A1517" i="2"/>
  <c r="A1518" i="2"/>
  <c r="A1519" i="2"/>
  <c r="A1520" i="2"/>
  <c r="A1521" i="2"/>
  <c r="A1522" i="2"/>
  <c r="A1523" i="2"/>
  <c r="A1525" i="2"/>
  <c r="A1526" i="2"/>
  <c r="A1527" i="2"/>
  <c r="A1528" i="2"/>
  <c r="A1529" i="2"/>
  <c r="A1530" i="2"/>
  <c r="A1531" i="2"/>
  <c r="A1532" i="2"/>
  <c r="A1533" i="2"/>
  <c r="A1534" i="2"/>
  <c r="A1536" i="2"/>
  <c r="A1537" i="2"/>
  <c r="A1538" i="2"/>
  <c r="A1539" i="2"/>
  <c r="A1540" i="2"/>
  <c r="A1541" i="2"/>
  <c r="A1542" i="2"/>
  <c r="A1543" i="2"/>
  <c r="A1545" i="2"/>
  <c r="A1546" i="2"/>
  <c r="A1547" i="2"/>
  <c r="A1548" i="2"/>
  <c r="A1549" i="2"/>
  <c r="A1550" i="2"/>
  <c r="A1551" i="2"/>
  <c r="A1552" i="2"/>
  <c r="A1554" i="2"/>
  <c r="A1555" i="2"/>
  <c r="A1556" i="2"/>
  <c r="A1557" i="2"/>
  <c r="A1558" i="2"/>
  <c r="A1559" i="2"/>
  <c r="A1560" i="2"/>
  <c r="A1562" i="2"/>
  <c r="A1563" i="2"/>
  <c r="A1564" i="2"/>
  <c r="A1565" i="2"/>
  <c r="A1566" i="2"/>
  <c r="A1567" i="2"/>
  <c r="A1568" i="2"/>
  <c r="A1570" i="2"/>
  <c r="A1571" i="2"/>
  <c r="A1572" i="2"/>
  <c r="A1573" i="2"/>
  <c r="A1574" i="2"/>
  <c r="A1575" i="2"/>
  <c r="A1576" i="2"/>
  <c r="A1577" i="2"/>
  <c r="A1579" i="2"/>
  <c r="A1580" i="2"/>
  <c r="A1581" i="2"/>
  <c r="A1582" i="2"/>
  <c r="A1583" i="2"/>
  <c r="A1584" i="2"/>
  <c r="A1585" i="2"/>
  <c r="A1586" i="2"/>
  <c r="A1588" i="2"/>
  <c r="A1589" i="2"/>
  <c r="A1590" i="2"/>
  <c r="A1591" i="2"/>
  <c r="A1592" i="2"/>
  <c r="A1593" i="2"/>
  <c r="A1594" i="2"/>
  <c r="A1595" i="2"/>
  <c r="A1597" i="2"/>
  <c r="A1598" i="2"/>
  <c r="A1599" i="2"/>
  <c r="A1600" i="2"/>
  <c r="A1601" i="2"/>
  <c r="A1602" i="2"/>
  <c r="A1603" i="2"/>
  <c r="A1604" i="2"/>
  <c r="A1606" i="2"/>
  <c r="A1607" i="2"/>
  <c r="A1608" i="2"/>
  <c r="A1609" i="2"/>
  <c r="A1610" i="2"/>
  <c r="A1611" i="2"/>
  <c r="A1612" i="2"/>
  <c r="A1613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4" i="2"/>
  <c r="A1655" i="2"/>
  <c r="A1656" i="2"/>
  <c r="A1657" i="2"/>
  <c r="A1658" i="2"/>
  <c r="A1659" i="2"/>
  <c r="A1660" i="2"/>
  <c r="A1662" i="2"/>
  <c r="A1663" i="2"/>
  <c r="A1664" i="2"/>
  <c r="A1665" i="2"/>
  <c r="A1666" i="2"/>
  <c r="A1667" i="2"/>
  <c r="A1668" i="2"/>
  <c r="A1670" i="2"/>
  <c r="A1671" i="2"/>
  <c r="A1672" i="2"/>
  <c r="A1673" i="2"/>
  <c r="A1674" i="2"/>
  <c r="A1675" i="2"/>
  <c r="A1676" i="2"/>
  <c r="A1678" i="2"/>
  <c r="A1679" i="2"/>
  <c r="A1680" i="2"/>
  <c r="A1681" i="2"/>
  <c r="A1682" i="2"/>
  <c r="A1683" i="2"/>
  <c r="A1684" i="2"/>
  <c r="A1686" i="2"/>
  <c r="A1687" i="2"/>
  <c r="A1688" i="2"/>
  <c r="A1689" i="2"/>
  <c r="A1690" i="2"/>
  <c r="A1691" i="2"/>
  <c r="A1692" i="2"/>
  <c r="A1694" i="2"/>
  <c r="A1695" i="2"/>
  <c r="A1696" i="2"/>
  <c r="A1697" i="2"/>
  <c r="A1698" i="2"/>
  <c r="A1699" i="2"/>
  <c r="A1700" i="2"/>
  <c r="A1701" i="2"/>
  <c r="A1703" i="2"/>
  <c r="A1704" i="2"/>
  <c r="A1705" i="2"/>
  <c r="A1706" i="2"/>
  <c r="A1707" i="2"/>
  <c r="A1708" i="2"/>
  <c r="A1709" i="2"/>
  <c r="A1711" i="2"/>
  <c r="A1712" i="2"/>
  <c r="A1713" i="2"/>
  <c r="A1714" i="2"/>
  <c r="A1715" i="2"/>
  <c r="A1716" i="2"/>
  <c r="A1717" i="2"/>
  <c r="A1719" i="2"/>
  <c r="A1720" i="2"/>
  <c r="A1721" i="2"/>
  <c r="A1722" i="2"/>
  <c r="A1723" i="2"/>
  <c r="A1724" i="2"/>
  <c r="A1725" i="2"/>
  <c r="A1727" i="2"/>
  <c r="A1728" i="2"/>
  <c r="A1729" i="2"/>
  <c r="A1730" i="2"/>
  <c r="A1731" i="2"/>
  <c r="A1732" i="2"/>
  <c r="A1733" i="2"/>
  <c r="A1735" i="2"/>
  <c r="A1736" i="2"/>
  <c r="A1737" i="2"/>
  <c r="A1738" i="2"/>
  <c r="A1739" i="2"/>
  <c r="A1740" i="2"/>
  <c r="A1741" i="2"/>
  <c r="A1743" i="2"/>
  <c r="A1744" i="2"/>
  <c r="A1745" i="2"/>
  <c r="A1746" i="2"/>
  <c r="A1747" i="2"/>
  <c r="A1748" i="2"/>
  <c r="A1749" i="2"/>
  <c r="A1751" i="2"/>
  <c r="A1752" i="2"/>
  <c r="A1753" i="2"/>
  <c r="A1754" i="2"/>
  <c r="A1755" i="2"/>
  <c r="A1756" i="2"/>
  <c r="A1757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3" i="2"/>
  <c r="A1774" i="2"/>
  <c r="A1775" i="2"/>
  <c r="A1776" i="2"/>
  <c r="A1777" i="2"/>
  <c r="A1778" i="2"/>
  <c r="A1779" i="2"/>
  <c r="A1780" i="2"/>
  <c r="A1781" i="2"/>
  <c r="A1782" i="2"/>
  <c r="A1784" i="2"/>
  <c r="A1785" i="2"/>
  <c r="A1786" i="2"/>
  <c r="A1787" i="2"/>
  <c r="A1788" i="2"/>
  <c r="A1789" i="2"/>
  <c r="A1790" i="2"/>
  <c r="A1792" i="2"/>
  <c r="A1793" i="2"/>
  <c r="A1794" i="2"/>
  <c r="A1795" i="2"/>
  <c r="A1796" i="2"/>
  <c r="A1797" i="2"/>
  <c r="A1798" i="2"/>
  <c r="A1799" i="2"/>
  <c r="A1800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2" i="2"/>
  <c r="A1873" i="2"/>
  <c r="A1874" i="2"/>
  <c r="A1875" i="2"/>
  <c r="A1876" i="2"/>
  <c r="A1877" i="2"/>
  <c r="A1878" i="2"/>
  <c r="A1880" i="2"/>
  <c r="A1881" i="2"/>
  <c r="A1882" i="2"/>
  <c r="A1883" i="2"/>
  <c r="A1884" i="2"/>
  <c r="A1885" i="2"/>
  <c r="A1886" i="2"/>
  <c r="A1888" i="2"/>
  <c r="A1889" i="2"/>
  <c r="A1890" i="2"/>
  <c r="A1891" i="2"/>
  <c r="A1892" i="2"/>
  <c r="A1893" i="2"/>
  <c r="A1894" i="2"/>
  <c r="A2" i="2"/>
  <c r="G1795" i="2"/>
  <c r="H1795" i="2" s="1"/>
  <c r="G1778" i="2"/>
  <c r="H1778" i="2" s="1"/>
  <c r="G1777" i="2"/>
  <c r="H1777" i="2" s="1"/>
  <c r="G1776" i="2"/>
  <c r="H1776" i="2" s="1"/>
  <c r="G1321" i="2"/>
  <c r="H1321" i="2" s="1"/>
  <c r="G1320" i="2"/>
  <c r="H1320" i="2" s="1"/>
  <c r="G788" i="2"/>
  <c r="H788" i="2" s="1"/>
  <c r="I1307" i="2"/>
  <c r="H1307" i="2"/>
  <c r="F1306" i="2" s="1"/>
  <c r="G1306" i="2" s="1"/>
  <c r="H1306" i="2" s="1"/>
  <c r="G1305" i="2"/>
  <c r="H1305" i="2" s="1"/>
  <c r="G1304" i="2"/>
  <c r="H1304" i="2" s="1"/>
  <c r="G1303" i="2"/>
  <c r="H1303" i="2" s="1"/>
  <c r="G1302" i="2"/>
  <c r="H1302" i="2" s="1"/>
  <c r="G1301" i="2"/>
  <c r="H1301" i="2" s="1"/>
  <c r="G1300" i="2"/>
  <c r="H1300" i="2" s="1"/>
  <c r="G1299" i="2"/>
  <c r="H1299" i="2" s="1"/>
  <c r="G1298" i="2"/>
  <c r="H1298" i="2" s="1"/>
  <c r="G1297" i="2"/>
  <c r="H1297" i="2" s="1"/>
  <c r="G1296" i="2"/>
  <c r="H1296" i="2" s="1"/>
  <c r="G1295" i="2"/>
  <c r="H1295" i="2" s="1"/>
  <c r="G1294" i="2"/>
  <c r="H1294" i="2" s="1"/>
  <c r="G1293" i="2"/>
  <c r="H1293" i="2" s="1"/>
  <c r="G1292" i="2"/>
  <c r="H1292" i="2" s="1"/>
  <c r="G1291" i="2"/>
  <c r="H1291" i="2" s="1"/>
  <c r="G1290" i="2"/>
  <c r="H1290" i="2" s="1"/>
  <c r="G1289" i="2"/>
  <c r="H1289" i="2" s="1"/>
  <c r="G1288" i="2"/>
  <c r="H1288" i="2" s="1"/>
  <c r="G1287" i="2"/>
  <c r="H1287" i="2" s="1"/>
  <c r="G1286" i="2"/>
  <c r="H1286" i="2" s="1"/>
  <c r="G1285" i="2"/>
  <c r="H1285" i="2" s="1"/>
  <c r="B1309" i="2"/>
  <c r="B1310" i="2" s="1"/>
  <c r="B1311" i="2" s="1"/>
  <c r="B1312" i="2" s="1"/>
  <c r="B1313" i="2" s="1"/>
  <c r="G1310" i="2"/>
  <c r="H1310" i="2" s="1"/>
  <c r="G1311" i="2"/>
  <c r="H1311" i="2" s="1"/>
  <c r="G1312" i="2"/>
  <c r="H1312" i="2" s="1"/>
  <c r="G1313" i="2"/>
  <c r="H1313" i="2" s="1"/>
  <c r="B1483" i="2"/>
  <c r="H8" i="5"/>
  <c r="G8" i="5"/>
  <c r="E7" i="5"/>
  <c r="F7" i="5" s="1"/>
  <c r="G7" i="5" s="1"/>
  <c r="F6" i="5"/>
  <c r="G6" i="5" s="1"/>
  <c r="G5" i="5"/>
  <c r="F5" i="5"/>
  <c r="F4" i="5"/>
  <c r="G4" i="5" s="1"/>
  <c r="F3" i="5"/>
  <c r="G3" i="5" s="1"/>
  <c r="F2" i="5"/>
  <c r="G2" i="5" s="1"/>
  <c r="F1" i="5"/>
  <c r="G1" i="5" s="1"/>
  <c r="G806" i="2"/>
  <c r="G805" i="2"/>
  <c r="G482" i="2"/>
  <c r="H482" i="2" s="1"/>
  <c r="B481" i="2"/>
  <c r="B482" i="2" s="1"/>
  <c r="B483" i="2" s="1"/>
  <c r="B484" i="2" s="1"/>
  <c r="B485" i="2" s="1"/>
  <c r="B486" i="2" s="1"/>
  <c r="B487" i="2" s="1"/>
  <c r="H1308" i="2" l="1"/>
  <c r="G9" i="5"/>
  <c r="B1888" i="2"/>
  <c r="B1889" i="2" s="1"/>
  <c r="B1890" i="2" s="1"/>
  <c r="B1891" i="2" s="1"/>
  <c r="B1892" i="2" s="1"/>
  <c r="B1893" i="2" s="1"/>
  <c r="B1894" i="2" s="1"/>
  <c r="B1880" i="2"/>
  <c r="B1881" i="2" s="1"/>
  <c r="B1882" i="2" s="1"/>
  <c r="B1883" i="2" s="1"/>
  <c r="B1884" i="2" s="1"/>
  <c r="B1885" i="2" s="1"/>
  <c r="B1886" i="2" s="1"/>
  <c r="B1872" i="2"/>
  <c r="B1873" i="2" s="1"/>
  <c r="B1874" i="2" s="1"/>
  <c r="B1875" i="2" s="1"/>
  <c r="B1876" i="2" s="1"/>
  <c r="B1877" i="2" s="1"/>
  <c r="B1878" i="2" s="1"/>
  <c r="B1859" i="2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46" i="2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22" i="2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02" i="2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792" i="2"/>
  <c r="B1793" i="2" s="1"/>
  <c r="B1794" i="2" s="1"/>
  <c r="B1784" i="2"/>
  <c r="B1785" i="2" s="1"/>
  <c r="B1786" i="2" s="1"/>
  <c r="B1787" i="2" s="1"/>
  <c r="B1788" i="2" s="1"/>
  <c r="B1789" i="2" s="1"/>
  <c r="B1790" i="2" s="1"/>
  <c r="B1773" i="2"/>
  <c r="B1774" i="2" s="1"/>
  <c r="B1775" i="2" s="1"/>
  <c r="B1759" i="2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51" i="2"/>
  <c r="B1752" i="2" s="1"/>
  <c r="B1753" i="2" s="1"/>
  <c r="B1754" i="2" s="1"/>
  <c r="B1755" i="2" s="1"/>
  <c r="B1756" i="2" s="1"/>
  <c r="B1757" i="2" s="1"/>
  <c r="B1743" i="2"/>
  <c r="B1744" i="2" s="1"/>
  <c r="B1745" i="2" s="1"/>
  <c r="B1746" i="2" s="1"/>
  <c r="B1747" i="2" s="1"/>
  <c r="B1748" i="2" s="1"/>
  <c r="B1749" i="2" s="1"/>
  <c r="B1735" i="2"/>
  <c r="B1736" i="2" s="1"/>
  <c r="B1737" i="2" s="1"/>
  <c r="B1738" i="2" s="1"/>
  <c r="B1739" i="2" s="1"/>
  <c r="B1740" i="2" s="1"/>
  <c r="B1741" i="2" s="1"/>
  <c r="B1727" i="2"/>
  <c r="B1728" i="2" s="1"/>
  <c r="B1729" i="2" s="1"/>
  <c r="B1730" i="2" s="1"/>
  <c r="B1731" i="2" s="1"/>
  <c r="B1732" i="2" s="1"/>
  <c r="B1733" i="2" s="1"/>
  <c r="B1719" i="2"/>
  <c r="B1720" i="2" s="1"/>
  <c r="B1721" i="2" s="1"/>
  <c r="B1722" i="2" s="1"/>
  <c r="B1723" i="2" s="1"/>
  <c r="B1724" i="2" s="1"/>
  <c r="B1725" i="2" s="1"/>
  <c r="B1711" i="2"/>
  <c r="B1712" i="2" s="1"/>
  <c r="B1713" i="2" s="1"/>
  <c r="B1714" i="2" s="1"/>
  <c r="B1715" i="2" s="1"/>
  <c r="B1716" i="2" s="1"/>
  <c r="B1717" i="2" s="1"/>
  <c r="B1703" i="2"/>
  <c r="B1704" i="2" s="1"/>
  <c r="B1705" i="2" s="1"/>
  <c r="B1706" i="2" s="1"/>
  <c r="B1707" i="2" s="1"/>
  <c r="B1708" i="2" s="1"/>
  <c r="B1709" i="2" s="1"/>
  <c r="B1694" i="2"/>
  <c r="B1695" i="2" s="1"/>
  <c r="B1696" i="2" s="1"/>
  <c r="B1697" i="2" s="1"/>
  <c r="B1698" i="2" s="1"/>
  <c r="B1699" i="2" s="1"/>
  <c r="B1700" i="2" s="1"/>
  <c r="B1701" i="2" s="1"/>
  <c r="B1686" i="2"/>
  <c r="B1687" i="2" s="1"/>
  <c r="B1688" i="2" s="1"/>
  <c r="B1689" i="2" s="1"/>
  <c r="B1690" i="2" s="1"/>
  <c r="B1691" i="2" s="1"/>
  <c r="B1692" i="2" s="1"/>
  <c r="B1678" i="2"/>
  <c r="B1679" i="2" s="1"/>
  <c r="B1680" i="2" s="1"/>
  <c r="B1681" i="2" s="1"/>
  <c r="B1682" i="2" s="1"/>
  <c r="B1683" i="2" s="1"/>
  <c r="B1684" i="2" s="1"/>
  <c r="B1670" i="2"/>
  <c r="B1671" i="2" s="1"/>
  <c r="B1672" i="2" s="1"/>
  <c r="B1673" i="2" s="1"/>
  <c r="B1674" i="2" s="1"/>
  <c r="B1675" i="2" s="1"/>
  <c r="B1676" i="2" s="1"/>
  <c r="B1662" i="2"/>
  <c r="B1663" i="2" s="1"/>
  <c r="B1664" i="2" s="1"/>
  <c r="B1665" i="2" s="1"/>
  <c r="B1666" i="2" s="1"/>
  <c r="B1667" i="2" s="1"/>
  <c r="B1668" i="2" s="1"/>
  <c r="B1654" i="2"/>
  <c r="B1655" i="2" s="1"/>
  <c r="B1656" i="2" s="1"/>
  <c r="B1657" i="2" s="1"/>
  <c r="B1658" i="2" s="1"/>
  <c r="B1659" i="2" s="1"/>
  <c r="B1660" i="2" s="1"/>
  <c r="B1631" i="2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15" i="2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06" i="2"/>
  <c r="B1607" i="2" s="1"/>
  <c r="B1608" i="2" s="1"/>
  <c r="B1609" i="2" s="1"/>
  <c r="B1610" i="2" s="1"/>
  <c r="B1611" i="2" s="1"/>
  <c r="B1612" i="2" s="1"/>
  <c r="B1613" i="2" s="1"/>
  <c r="B1597" i="2"/>
  <c r="B1598" i="2" s="1"/>
  <c r="B1599" i="2" s="1"/>
  <c r="B1600" i="2" s="1"/>
  <c r="B1601" i="2" s="1"/>
  <c r="B1602" i="2" s="1"/>
  <c r="B1603" i="2" s="1"/>
  <c r="B1604" i="2" s="1"/>
  <c r="B1588" i="2"/>
  <c r="B1589" i="2" s="1"/>
  <c r="B1590" i="2" s="1"/>
  <c r="B1591" i="2" s="1"/>
  <c r="B1592" i="2" s="1"/>
  <c r="B1593" i="2" s="1"/>
  <c r="B1594" i="2" s="1"/>
  <c r="B1595" i="2" s="1"/>
  <c r="B1579" i="2"/>
  <c r="B1580" i="2" s="1"/>
  <c r="B1581" i="2" s="1"/>
  <c r="B1582" i="2" s="1"/>
  <c r="B1583" i="2" s="1"/>
  <c r="B1584" i="2" s="1"/>
  <c r="B1585" i="2" s="1"/>
  <c r="B1586" i="2" s="1"/>
  <c r="B1570" i="2"/>
  <c r="B1571" i="2" s="1"/>
  <c r="B1572" i="2" s="1"/>
  <c r="B1573" i="2" s="1"/>
  <c r="B1574" i="2" s="1"/>
  <c r="B1575" i="2" s="1"/>
  <c r="B1576" i="2" s="1"/>
  <c r="B1577" i="2" s="1"/>
  <c r="B1562" i="2"/>
  <c r="B1563" i="2" s="1"/>
  <c r="B1564" i="2" s="1"/>
  <c r="B1565" i="2" s="1"/>
  <c r="B1566" i="2" s="1"/>
  <c r="B1567" i="2" s="1"/>
  <c r="B1568" i="2" s="1"/>
  <c r="B1554" i="2"/>
  <c r="B1555" i="2" s="1"/>
  <c r="B1556" i="2" s="1"/>
  <c r="B1557" i="2" s="1"/>
  <c r="B1558" i="2" s="1"/>
  <c r="B1559" i="2" s="1"/>
  <c r="B1560" i="2" s="1"/>
  <c r="B1545" i="2"/>
  <c r="B1546" i="2" s="1"/>
  <c r="B1547" i="2" s="1"/>
  <c r="B1548" i="2" s="1"/>
  <c r="B1549" i="2" s="1"/>
  <c r="B1550" i="2" s="1"/>
  <c r="B1551" i="2" s="1"/>
  <c r="B1552" i="2" s="1"/>
  <c r="B1536" i="2"/>
  <c r="B1537" i="2" s="1"/>
  <c r="B1538" i="2" s="1"/>
  <c r="B1539" i="2" s="1"/>
  <c r="B1540" i="2" s="1"/>
  <c r="B1541" i="2" s="1"/>
  <c r="B1542" i="2" s="1"/>
  <c r="B1543" i="2" s="1"/>
  <c r="B1525" i="2"/>
  <c r="B1526" i="2" s="1"/>
  <c r="B1527" i="2" s="1"/>
  <c r="B1528" i="2" s="1"/>
  <c r="B1529" i="2" s="1"/>
  <c r="B1530" i="2" s="1"/>
  <c r="B1531" i="2" s="1"/>
  <c r="B1532" i="2" s="1"/>
  <c r="B1533" i="2" s="1"/>
  <c r="B1534" i="2" s="1"/>
  <c r="B1514" i="2"/>
  <c r="B1515" i="2" s="1"/>
  <c r="B1516" i="2" s="1"/>
  <c r="B1517" i="2" s="1"/>
  <c r="B1518" i="2" s="1"/>
  <c r="B1519" i="2" s="1"/>
  <c r="B1520" i="2" s="1"/>
  <c r="B1521" i="2" s="1"/>
  <c r="B1522" i="2" s="1"/>
  <c r="B1523" i="2" s="1"/>
  <c r="B1500" i="2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485" i="2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75" i="2"/>
  <c r="B1476" i="2" s="1"/>
  <c r="B1477" i="2" s="1"/>
  <c r="B1478" i="2" s="1"/>
  <c r="B1479" i="2" s="1"/>
  <c r="B1480" i="2" s="1"/>
  <c r="B1481" i="2" s="1"/>
  <c r="B1465" i="2"/>
  <c r="B1466" i="2" s="1"/>
  <c r="B1467" i="2" s="1"/>
  <c r="B1468" i="2" s="1"/>
  <c r="B1469" i="2" s="1"/>
  <c r="B1470" i="2" s="1"/>
  <c r="B1471" i="2" s="1"/>
  <c r="B1472" i="2" s="1"/>
  <c r="B1473" i="2" s="1"/>
  <c r="B1454" i="2"/>
  <c r="B1455" i="2" s="1"/>
  <c r="B1456" i="2" s="1"/>
  <c r="B1457" i="2" s="1"/>
  <c r="B1458" i="2" s="1"/>
  <c r="B1459" i="2" s="1"/>
  <c r="B1460" i="2" s="1"/>
  <c r="B1461" i="2" s="1"/>
  <c r="B1462" i="2" s="1"/>
  <c r="B1463" i="2" s="1"/>
  <c r="B1444" i="2"/>
  <c r="B1445" i="2" s="1"/>
  <c r="B1446" i="2" s="1"/>
  <c r="B1447" i="2" s="1"/>
  <c r="B1448" i="2" s="1"/>
  <c r="B1449" i="2" s="1"/>
  <c r="B1450" i="2" s="1"/>
  <c r="B1451" i="2" s="1"/>
  <c r="B1452" i="2" s="1"/>
  <c r="B1433" i="2"/>
  <c r="B1434" i="2" s="1"/>
  <c r="B1435" i="2" s="1"/>
  <c r="B1436" i="2" s="1"/>
  <c r="B1437" i="2" s="1"/>
  <c r="B1438" i="2" s="1"/>
  <c r="B1439" i="2" s="1"/>
  <c r="B1440" i="2" s="1"/>
  <c r="B1441" i="2" s="1"/>
  <c r="B1442" i="2" s="1"/>
  <c r="B1421" i="2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04" i="2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394" i="2"/>
  <c r="B1395" i="2" s="1"/>
  <c r="B1396" i="2" s="1"/>
  <c r="B1397" i="2" s="1"/>
  <c r="B1398" i="2" s="1"/>
  <c r="B1399" i="2" s="1"/>
  <c r="B1400" i="2" s="1"/>
  <c r="B1401" i="2" s="1"/>
  <c r="B1402" i="2" s="1"/>
  <c r="B1383" i="2"/>
  <c r="B1384" i="2" s="1"/>
  <c r="B1385" i="2" s="1"/>
  <c r="B1386" i="2" s="1"/>
  <c r="B1387" i="2" s="1"/>
  <c r="B1388" i="2" s="1"/>
  <c r="B1389" i="2" s="1"/>
  <c r="B1390" i="2" s="1"/>
  <c r="B1391" i="2" s="1"/>
  <c r="B1392" i="2" s="1"/>
  <c r="B1370" i="2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58" i="2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46" i="2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28" i="2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17" i="2"/>
  <c r="B1318" i="2" s="1"/>
  <c r="B1319" i="2" s="1"/>
  <c r="B1314" i="2"/>
  <c r="B1315" i="2" s="1"/>
  <c r="B1284" i="2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263" i="2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56" i="2"/>
  <c r="B1257" i="2" s="1"/>
  <c r="B1258" i="2" s="1"/>
  <c r="B1259" i="2" s="1"/>
  <c r="B1260" i="2" s="1"/>
  <c r="B1261" i="2" s="1"/>
  <c r="B1248" i="2"/>
  <c r="B1249" i="2" s="1"/>
  <c r="B1250" i="2" s="1"/>
  <c r="B1251" i="2" s="1"/>
  <c r="B1252" i="2" s="1"/>
  <c r="B1253" i="2" s="1"/>
  <c r="B1254" i="2" s="1"/>
  <c r="B1240" i="2"/>
  <c r="B1241" i="2" s="1"/>
  <c r="B1242" i="2" s="1"/>
  <c r="B1243" i="2" s="1"/>
  <c r="B1244" i="2" s="1"/>
  <c r="B1245" i="2" s="1"/>
  <c r="B1246" i="2" s="1"/>
  <c r="B1232" i="2"/>
  <c r="B1233" i="2" s="1"/>
  <c r="B1234" i="2" s="1"/>
  <c r="B1235" i="2" s="1"/>
  <c r="B1236" i="2" s="1"/>
  <c r="B1237" i="2" s="1"/>
  <c r="B1238" i="2" s="1"/>
  <c r="B1224" i="2"/>
  <c r="B1225" i="2" s="1"/>
  <c r="B1226" i="2" s="1"/>
  <c r="B1227" i="2" s="1"/>
  <c r="B1228" i="2" s="1"/>
  <c r="B1229" i="2" s="1"/>
  <c r="B1230" i="2" s="1"/>
  <c r="B1216" i="2"/>
  <c r="B1217" i="2" s="1"/>
  <c r="B1218" i="2" s="1"/>
  <c r="B1219" i="2" s="1"/>
  <c r="B1220" i="2" s="1"/>
  <c r="B1221" i="2" s="1"/>
  <c r="B1222" i="2" s="1"/>
  <c r="B1208" i="2"/>
  <c r="B1209" i="2" s="1"/>
  <c r="B1210" i="2" s="1"/>
  <c r="B1211" i="2" s="1"/>
  <c r="B1212" i="2" s="1"/>
  <c r="B1213" i="2" s="1"/>
  <c r="B1214" i="2" s="1"/>
  <c r="B1200" i="2"/>
  <c r="B1201" i="2" s="1"/>
  <c r="B1202" i="2" s="1"/>
  <c r="B1203" i="2" s="1"/>
  <c r="B1204" i="2" s="1"/>
  <c r="B1205" i="2" s="1"/>
  <c r="B1206" i="2" s="1"/>
  <c r="B1192" i="2"/>
  <c r="B1193" i="2" s="1"/>
  <c r="B1194" i="2" s="1"/>
  <c r="B1195" i="2" s="1"/>
  <c r="B1196" i="2" s="1"/>
  <c r="B1197" i="2" s="1"/>
  <c r="B1198" i="2" s="1"/>
  <c r="B1184" i="2"/>
  <c r="B1185" i="2" s="1"/>
  <c r="B1186" i="2" s="1"/>
  <c r="B1187" i="2" s="1"/>
  <c r="B1188" i="2" s="1"/>
  <c r="B1189" i="2" s="1"/>
  <c r="B1190" i="2" s="1"/>
  <c r="B1176" i="2"/>
  <c r="B1177" i="2" s="1"/>
  <c r="B1178" i="2" s="1"/>
  <c r="B1179" i="2" s="1"/>
  <c r="B1180" i="2" s="1"/>
  <c r="B1181" i="2" s="1"/>
  <c r="B1182" i="2" s="1"/>
  <c r="B1168" i="2"/>
  <c r="B1169" i="2" s="1"/>
  <c r="B1170" i="2" s="1"/>
  <c r="B1171" i="2" s="1"/>
  <c r="B1172" i="2" s="1"/>
  <c r="B1173" i="2" s="1"/>
  <c r="B1174" i="2" s="1"/>
  <c r="B1160" i="2"/>
  <c r="B1161" i="2" s="1"/>
  <c r="B1162" i="2" s="1"/>
  <c r="B1163" i="2" s="1"/>
  <c r="B1164" i="2" s="1"/>
  <c r="B1165" i="2" s="1"/>
  <c r="B1166" i="2" s="1"/>
  <c r="B1152" i="2"/>
  <c r="B1153" i="2" s="1"/>
  <c r="B1154" i="2" s="1"/>
  <c r="B1155" i="2" s="1"/>
  <c r="B1156" i="2" s="1"/>
  <c r="B1157" i="2" s="1"/>
  <c r="B1158" i="2" s="1"/>
  <c r="B1144" i="2"/>
  <c r="B1145" i="2" s="1"/>
  <c r="B1146" i="2" s="1"/>
  <c r="B1147" i="2" s="1"/>
  <c r="B1148" i="2" s="1"/>
  <c r="B1149" i="2" s="1"/>
  <c r="B1150" i="2" s="1"/>
  <c r="B1136" i="2"/>
  <c r="B1137" i="2" s="1"/>
  <c r="B1138" i="2" s="1"/>
  <c r="B1139" i="2" s="1"/>
  <c r="B1140" i="2" s="1"/>
  <c r="B1141" i="2" s="1"/>
  <c r="B1142" i="2" s="1"/>
  <c r="B1128" i="2"/>
  <c r="B1129" i="2" s="1"/>
  <c r="B1130" i="2" s="1"/>
  <c r="B1131" i="2" s="1"/>
  <c r="B1132" i="2" s="1"/>
  <c r="B1133" i="2" s="1"/>
  <c r="B1134" i="2" s="1"/>
  <c r="B1120" i="2"/>
  <c r="B1121" i="2" s="1"/>
  <c r="B1122" i="2" s="1"/>
  <c r="B1123" i="2" s="1"/>
  <c r="B1124" i="2" s="1"/>
  <c r="B1125" i="2" s="1"/>
  <c r="B1126" i="2" s="1"/>
  <c r="B1112" i="2"/>
  <c r="B1113" i="2" s="1"/>
  <c r="B1114" i="2" s="1"/>
  <c r="B1115" i="2" s="1"/>
  <c r="B1116" i="2" s="1"/>
  <c r="B1117" i="2" s="1"/>
  <c r="B1118" i="2" s="1"/>
  <c r="B1104" i="2"/>
  <c r="B1105" i="2" s="1"/>
  <c r="B1106" i="2" s="1"/>
  <c r="B1107" i="2" s="1"/>
  <c r="B1108" i="2" s="1"/>
  <c r="B1109" i="2" s="1"/>
  <c r="B1110" i="2" s="1"/>
  <c r="B1096" i="2"/>
  <c r="B1097" i="2" s="1"/>
  <c r="B1098" i="2" s="1"/>
  <c r="B1099" i="2" s="1"/>
  <c r="B1100" i="2" s="1"/>
  <c r="B1101" i="2" s="1"/>
  <c r="B1102" i="2" s="1"/>
  <c r="B1088" i="2"/>
  <c r="B1089" i="2" s="1"/>
  <c r="B1090" i="2" s="1"/>
  <c r="B1091" i="2" s="1"/>
  <c r="B1092" i="2" s="1"/>
  <c r="B1093" i="2" s="1"/>
  <c r="B1094" i="2" s="1"/>
  <c r="B1081" i="2"/>
  <c r="B1082" i="2" s="1"/>
  <c r="B1083" i="2" s="1"/>
  <c r="B1084" i="2" s="1"/>
  <c r="B1085" i="2" s="1"/>
  <c r="B1086" i="2" s="1"/>
  <c r="B1073" i="2"/>
  <c r="B1074" i="2" s="1"/>
  <c r="B1075" i="2" s="1"/>
  <c r="B1076" i="2" s="1"/>
  <c r="B1077" i="2" s="1"/>
  <c r="B1078" i="2" s="1"/>
  <c r="B1079" i="2" s="1"/>
  <c r="B1065" i="2"/>
  <c r="B1066" i="2" s="1"/>
  <c r="B1067" i="2" s="1"/>
  <c r="B1068" i="2" s="1"/>
  <c r="B1069" i="2" s="1"/>
  <c r="B1070" i="2" s="1"/>
  <c r="B1071" i="2" s="1"/>
  <c r="B1057" i="2"/>
  <c r="B1058" i="2" s="1"/>
  <c r="B1059" i="2" s="1"/>
  <c r="B1060" i="2" s="1"/>
  <c r="B1061" i="2" s="1"/>
  <c r="B1062" i="2" s="1"/>
  <c r="B1063" i="2" s="1"/>
  <c r="B1049" i="2"/>
  <c r="B1050" i="2" s="1"/>
  <c r="B1051" i="2" s="1"/>
  <c r="B1052" i="2" s="1"/>
  <c r="B1053" i="2" s="1"/>
  <c r="B1054" i="2" s="1"/>
  <c r="B1055" i="2" s="1"/>
  <c r="B1041" i="2"/>
  <c r="B1042" i="2" s="1"/>
  <c r="B1043" i="2" s="1"/>
  <c r="B1044" i="2" s="1"/>
  <c r="B1045" i="2" s="1"/>
  <c r="B1046" i="2" s="1"/>
  <c r="B1047" i="2" s="1"/>
  <c r="B1033" i="2"/>
  <c r="B1034" i="2" s="1"/>
  <c r="B1035" i="2" s="1"/>
  <c r="B1036" i="2" s="1"/>
  <c r="B1037" i="2" s="1"/>
  <c r="B1038" i="2" s="1"/>
  <c r="B1039" i="2" s="1"/>
  <c r="B1026" i="2"/>
  <c r="B1027" i="2" s="1"/>
  <c r="B1028" i="2" s="1"/>
  <c r="B1029" i="2" s="1"/>
  <c r="B1030" i="2" s="1"/>
  <c r="B1031" i="2" s="1"/>
  <c r="B1018" i="2"/>
  <c r="B1019" i="2" s="1"/>
  <c r="B1020" i="2" s="1"/>
  <c r="B1021" i="2" s="1"/>
  <c r="B1022" i="2" s="1"/>
  <c r="B1023" i="2" s="1"/>
  <c r="B1024" i="2" s="1"/>
  <c r="B1010" i="2"/>
  <c r="B1011" i="2" s="1"/>
  <c r="B1012" i="2" s="1"/>
  <c r="B1013" i="2" s="1"/>
  <c r="B1014" i="2" s="1"/>
  <c r="B1015" i="2" s="1"/>
  <c r="B1016" i="2" s="1"/>
  <c r="B1002" i="2"/>
  <c r="B1003" i="2" s="1"/>
  <c r="B1004" i="2" s="1"/>
  <c r="B1005" i="2" s="1"/>
  <c r="B1006" i="2" s="1"/>
  <c r="B1007" i="2" s="1"/>
  <c r="B1008" i="2" s="1"/>
  <c r="B994" i="2"/>
  <c r="B995" i="2" s="1"/>
  <c r="B996" i="2" s="1"/>
  <c r="B997" i="2" s="1"/>
  <c r="B998" i="2" s="1"/>
  <c r="B999" i="2" s="1"/>
  <c r="B1000" i="2" s="1"/>
  <c r="B986" i="2"/>
  <c r="B987" i="2" s="1"/>
  <c r="B988" i="2" s="1"/>
  <c r="B989" i="2" s="1"/>
  <c r="B990" i="2" s="1"/>
  <c r="B991" i="2" s="1"/>
  <c r="B992" i="2" s="1"/>
  <c r="B978" i="2"/>
  <c r="B979" i="2" s="1"/>
  <c r="B980" i="2" s="1"/>
  <c r="B981" i="2" s="1"/>
  <c r="B982" i="2" s="1"/>
  <c r="B983" i="2" s="1"/>
  <c r="B984" i="2" s="1"/>
  <c r="B970" i="2"/>
  <c r="B971" i="2" s="1"/>
  <c r="B972" i="2" s="1"/>
  <c r="B973" i="2" s="1"/>
  <c r="B974" i="2" s="1"/>
  <c r="B975" i="2" s="1"/>
  <c r="B976" i="2" s="1"/>
  <c r="B962" i="2"/>
  <c r="B963" i="2" s="1"/>
  <c r="B964" i="2" s="1"/>
  <c r="B965" i="2" s="1"/>
  <c r="B966" i="2" s="1"/>
  <c r="B967" i="2" s="1"/>
  <c r="B968" i="2" s="1"/>
  <c r="B948" i="2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29" i="2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20" i="2"/>
  <c r="B921" i="2" s="1"/>
  <c r="B922" i="2" s="1"/>
  <c r="B923" i="2" s="1"/>
  <c r="B924" i="2" s="1"/>
  <c r="B925" i="2" s="1"/>
  <c r="B926" i="2" s="1"/>
  <c r="B927" i="2" s="1"/>
  <c r="B910" i="2"/>
  <c r="B911" i="2" s="1"/>
  <c r="B912" i="2" s="1"/>
  <c r="B913" i="2" s="1"/>
  <c r="B914" i="2" s="1"/>
  <c r="B915" i="2" s="1"/>
  <c r="B916" i="2" s="1"/>
  <c r="B917" i="2" s="1"/>
  <c r="B918" i="2" s="1"/>
  <c r="B896" i="2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881" i="2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71" i="2"/>
  <c r="B872" i="2" s="1"/>
  <c r="B873" i="2" s="1"/>
  <c r="B874" i="2" s="1"/>
  <c r="B875" i="2" s="1"/>
  <c r="B876" i="2" s="1"/>
  <c r="B877" i="2" s="1"/>
  <c r="B878" i="2" s="1"/>
  <c r="B879" i="2" s="1"/>
  <c r="B859" i="2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49" i="2"/>
  <c r="B850" i="2" s="1"/>
  <c r="B851" i="2" s="1"/>
  <c r="B852" i="2" s="1"/>
  <c r="B853" i="2" s="1"/>
  <c r="B854" i="2" s="1"/>
  <c r="B855" i="2" s="1"/>
  <c r="B856" i="2" s="1"/>
  <c r="B857" i="2" s="1"/>
  <c r="B837" i="2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24" i="2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13" i="2"/>
  <c r="B814" i="2" s="1"/>
  <c r="B815" i="2" s="1"/>
  <c r="B817" i="2" s="1"/>
  <c r="B818" i="2" s="1"/>
  <c r="B819" i="2" s="1"/>
  <c r="B816" i="2" s="1"/>
  <c r="B820" i="2" s="1"/>
  <c r="B821" i="2" s="1"/>
  <c r="B822" i="2" s="1"/>
  <c r="B795" i="2"/>
  <c r="B796" i="2" s="1"/>
  <c r="B797" i="2" s="1"/>
  <c r="B798" i="2" s="1"/>
  <c r="B799" i="2" s="1"/>
  <c r="B800" i="2" s="1"/>
  <c r="B803" i="2" s="1"/>
  <c r="B801" i="2" s="1"/>
  <c r="B804" i="2" s="1"/>
  <c r="B802" i="2" s="1"/>
  <c r="B805" i="2" s="1"/>
  <c r="B806" i="2" s="1"/>
  <c r="B807" i="2" s="1"/>
  <c r="B808" i="2" s="1"/>
  <c r="B809" i="2" s="1"/>
  <c r="B810" i="2" s="1"/>
  <c r="B811" i="2" s="1"/>
  <c r="B785" i="2"/>
  <c r="B786" i="2" s="1"/>
  <c r="B787" i="2" s="1"/>
  <c r="B778" i="2"/>
  <c r="B779" i="2" s="1"/>
  <c r="B780" i="2" s="1"/>
  <c r="B781" i="2" s="1"/>
  <c r="B782" i="2" s="1"/>
  <c r="B783" i="2" s="1"/>
  <c r="B753" i="2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36" i="2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27" i="2"/>
  <c r="B728" i="2" s="1"/>
  <c r="B729" i="2" s="1"/>
  <c r="B730" i="2" s="1"/>
  <c r="B731" i="2" s="1"/>
  <c r="B732" i="2" s="1"/>
  <c r="B733" i="2" s="1"/>
  <c r="B734" i="2" s="1"/>
  <c r="B720" i="2"/>
  <c r="B721" i="2" s="1"/>
  <c r="B722" i="2" s="1"/>
  <c r="B723" i="2" s="1"/>
  <c r="B724" i="2" s="1"/>
  <c r="B725" i="2" s="1"/>
  <c r="B713" i="2"/>
  <c r="B714" i="2" s="1"/>
  <c r="B715" i="2" s="1"/>
  <c r="B716" i="2" s="1"/>
  <c r="B717" i="2" s="1"/>
  <c r="B718" i="2" s="1"/>
  <c r="B704" i="2"/>
  <c r="B705" i="2" s="1"/>
  <c r="B706" i="2" s="1"/>
  <c r="B707" i="2" s="1"/>
  <c r="B708" i="2" s="1"/>
  <c r="B709" i="2" s="1"/>
  <c r="B710" i="2" s="1"/>
  <c r="B711" i="2" s="1"/>
  <c r="B695" i="2"/>
  <c r="B696" i="2" s="1"/>
  <c r="B697" i="2" s="1"/>
  <c r="B698" i="2" s="1"/>
  <c r="B699" i="2" s="1"/>
  <c r="B700" i="2" s="1"/>
  <c r="B701" i="2" s="1"/>
  <c r="B702" i="2" s="1"/>
  <c r="B687" i="2"/>
  <c r="B688" i="2" s="1"/>
  <c r="B689" i="2" s="1"/>
  <c r="B690" i="2" s="1"/>
  <c r="B691" i="2" s="1"/>
  <c r="B692" i="2" s="1"/>
  <c r="B693" i="2" s="1"/>
  <c r="B678" i="2"/>
  <c r="B679" i="2" s="1"/>
  <c r="B680" i="2" s="1"/>
  <c r="B681" i="2" s="1"/>
  <c r="B682" i="2" s="1"/>
  <c r="B683" i="2" s="1"/>
  <c r="B684" i="2" s="1"/>
  <c r="B685" i="2" s="1"/>
  <c r="B669" i="2"/>
  <c r="B670" i="2" s="1"/>
  <c r="B671" i="2" s="1"/>
  <c r="B672" i="2" s="1"/>
  <c r="B673" i="2" s="1"/>
  <c r="B674" i="2" s="1"/>
  <c r="B675" i="2" s="1"/>
  <c r="B676" i="2" s="1"/>
  <c r="B660" i="2"/>
  <c r="B661" i="2" s="1"/>
  <c r="B662" i="2" s="1"/>
  <c r="B663" i="2" s="1"/>
  <c r="B664" i="2" s="1"/>
  <c r="B665" i="2" s="1"/>
  <c r="B666" i="2" s="1"/>
  <c r="B667" i="2" s="1"/>
  <c r="B648" i="2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37" i="2"/>
  <c r="B638" i="2" s="1"/>
  <c r="B639" i="2" s="1"/>
  <c r="B640" i="2" s="1"/>
  <c r="B641" i="2" s="1"/>
  <c r="B642" i="2" s="1"/>
  <c r="B643" i="2" s="1"/>
  <c r="B644" i="2" s="1"/>
  <c r="B645" i="2" s="1"/>
  <c r="B646" i="2" s="1"/>
  <c r="B630" i="2"/>
  <c r="B631" i="2" s="1"/>
  <c r="B632" i="2" s="1"/>
  <c r="B633" i="2" s="1"/>
  <c r="B634" i="2" s="1"/>
  <c r="B635" i="2" s="1"/>
  <c r="B623" i="2"/>
  <c r="B624" i="2" s="1"/>
  <c r="B625" i="2" s="1"/>
  <c r="B626" i="2" s="1"/>
  <c r="B627" i="2" s="1"/>
  <c r="B628" i="2" s="1"/>
  <c r="B616" i="2"/>
  <c r="B617" i="2" s="1"/>
  <c r="B618" i="2" s="1"/>
  <c r="B619" i="2" s="1"/>
  <c r="B620" i="2" s="1"/>
  <c r="B621" i="2" s="1"/>
  <c r="B609" i="2"/>
  <c r="B610" i="2" s="1"/>
  <c r="B611" i="2" s="1"/>
  <c r="B612" i="2" s="1"/>
  <c r="B613" i="2" s="1"/>
  <c r="B614" i="2" s="1"/>
  <c r="B602" i="2"/>
  <c r="B603" i="2" s="1"/>
  <c r="B604" i="2" s="1"/>
  <c r="B605" i="2" s="1"/>
  <c r="B606" i="2" s="1"/>
  <c r="B607" i="2" s="1"/>
  <c r="B595" i="2"/>
  <c r="B596" i="2" s="1"/>
  <c r="B597" i="2" s="1"/>
  <c r="B598" i="2" s="1"/>
  <c r="B599" i="2" s="1"/>
  <c r="B600" i="2" s="1"/>
  <c r="B588" i="2"/>
  <c r="B589" i="2" s="1"/>
  <c r="B590" i="2" s="1"/>
  <c r="B591" i="2" s="1"/>
  <c r="B592" i="2" s="1"/>
  <c r="B593" i="2" s="1"/>
  <c r="B581" i="2"/>
  <c r="B582" i="2" s="1"/>
  <c r="B583" i="2" s="1"/>
  <c r="B584" i="2" s="1"/>
  <c r="B585" i="2" s="1"/>
  <c r="B586" i="2" s="1"/>
  <c r="B573" i="2"/>
  <c r="B574" i="2" s="1"/>
  <c r="B575" i="2" s="1"/>
  <c r="B576" i="2" s="1"/>
  <c r="B577" i="2" s="1"/>
  <c r="B578" i="2" s="1"/>
  <c r="B579" i="2" s="1"/>
  <c r="B564" i="2"/>
  <c r="B565" i="2" s="1"/>
  <c r="B566" i="2" s="1"/>
  <c r="B567" i="2" s="1"/>
  <c r="B568" i="2" s="1"/>
  <c r="B569" i="2" s="1"/>
  <c r="B570" i="2" s="1"/>
  <c r="B571" i="2" s="1"/>
  <c r="B553" i="2"/>
  <c r="B554" i="2" s="1"/>
  <c r="B555" i="2" s="1"/>
  <c r="B556" i="2" s="1"/>
  <c r="B557" i="2" s="1"/>
  <c r="B558" i="2" s="1"/>
  <c r="B559" i="2" s="1"/>
  <c r="B560" i="2" s="1"/>
  <c r="B561" i="2" s="1"/>
  <c r="B562" i="2" s="1"/>
  <c r="B539" i="2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26" i="2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18" i="2"/>
  <c r="B519" i="2" s="1"/>
  <c r="B520" i="2" s="1"/>
  <c r="B521" i="2" s="1"/>
  <c r="B522" i="2" s="1"/>
  <c r="B523" i="2" s="1"/>
  <c r="B524" i="2" s="1"/>
  <c r="B509" i="2"/>
  <c r="B510" i="2" s="1"/>
  <c r="B511" i="2" s="1"/>
  <c r="B512" i="2" s="1"/>
  <c r="B513" i="2" s="1"/>
  <c r="B514" i="2" s="1"/>
  <c r="B515" i="2" s="1"/>
  <c r="B516" i="2" s="1"/>
  <c r="B501" i="2"/>
  <c r="B502" i="2" s="1"/>
  <c r="B503" i="2" s="1"/>
  <c r="B504" i="2" s="1"/>
  <c r="B505" i="2" s="1"/>
  <c r="B506" i="2" s="1"/>
  <c r="B507" i="2" s="1"/>
  <c r="B228" i="2"/>
  <c r="B229" i="2" s="1"/>
  <c r="B230" i="2" s="1"/>
  <c r="B470" i="2"/>
  <c r="B471" i="2" s="1"/>
  <c r="B472" i="2" s="1"/>
  <c r="B473" i="2" s="1"/>
  <c r="B474" i="2" s="1"/>
  <c r="B475" i="2" s="1"/>
  <c r="B476" i="2" s="1"/>
  <c r="B477" i="2" s="1"/>
  <c r="B478" i="2" s="1"/>
  <c r="B479" i="2" s="1"/>
  <c r="B462" i="2"/>
  <c r="B463" i="2" s="1"/>
  <c r="B464" i="2" s="1"/>
  <c r="B465" i="2" s="1"/>
  <c r="B466" i="2" s="1"/>
  <c r="B467" i="2" s="1"/>
  <c r="B468" i="2" s="1"/>
  <c r="B455" i="2"/>
  <c r="B456" i="2" s="1"/>
  <c r="B457" i="2" s="1"/>
  <c r="B458" i="2" s="1"/>
  <c r="B459" i="2" s="1"/>
  <c r="B460" i="2" s="1"/>
  <c r="B448" i="2"/>
  <c r="B449" i="2" s="1"/>
  <c r="B450" i="2" s="1"/>
  <c r="B451" i="2" s="1"/>
  <c r="B452" i="2" s="1"/>
  <c r="B453" i="2" s="1"/>
  <c r="B441" i="2"/>
  <c r="B442" i="2" s="1"/>
  <c r="B443" i="2" s="1"/>
  <c r="B444" i="2" s="1"/>
  <c r="B445" i="2" s="1"/>
  <c r="B446" i="2" s="1"/>
  <c r="B434" i="2"/>
  <c r="B435" i="2" s="1"/>
  <c r="B436" i="2" s="1"/>
  <c r="B437" i="2" s="1"/>
  <c r="B438" i="2" s="1"/>
  <c r="B439" i="2" s="1"/>
  <c r="B427" i="2"/>
  <c r="B428" i="2" s="1"/>
  <c r="B429" i="2" s="1"/>
  <c r="B430" i="2" s="1"/>
  <c r="B431" i="2" s="1"/>
  <c r="B432" i="2" s="1"/>
  <c r="B420" i="2"/>
  <c r="B421" i="2" s="1"/>
  <c r="B422" i="2" s="1"/>
  <c r="B423" i="2" s="1"/>
  <c r="B424" i="2" s="1"/>
  <c r="B425" i="2" s="1"/>
  <c r="B413" i="2"/>
  <c r="B414" i="2" s="1"/>
  <c r="B415" i="2" s="1"/>
  <c r="B416" i="2" s="1"/>
  <c r="B417" i="2" s="1"/>
  <c r="B418" i="2" s="1"/>
  <c r="B405" i="2"/>
  <c r="B406" i="2" s="1"/>
  <c r="B407" i="2" s="1"/>
  <c r="B408" i="2" s="1"/>
  <c r="B409" i="2" s="1"/>
  <c r="B410" i="2" s="1"/>
  <c r="B411" i="2" s="1"/>
  <c r="B398" i="2"/>
  <c r="B399" i="2" s="1"/>
  <c r="B400" i="2" s="1"/>
  <c r="B401" i="2" s="1"/>
  <c r="B402" i="2" s="1"/>
  <c r="B403" i="2" s="1"/>
  <c r="B391" i="2"/>
  <c r="B392" i="2" s="1"/>
  <c r="B393" i="2" s="1"/>
  <c r="B394" i="2" s="1"/>
  <c r="B395" i="2" s="1"/>
  <c r="B396" i="2" s="1"/>
  <c r="B384" i="2"/>
  <c r="B385" i="2" s="1"/>
  <c r="B386" i="2" s="1"/>
  <c r="B387" i="2" s="1"/>
  <c r="B388" i="2" s="1"/>
  <c r="B389" i="2" s="1"/>
  <c r="B377" i="2"/>
  <c r="B378" i="2" s="1"/>
  <c r="B379" i="2" s="1"/>
  <c r="B380" i="2" s="1"/>
  <c r="B381" i="2" s="1"/>
  <c r="B382" i="2" s="1"/>
  <c r="B370" i="2"/>
  <c r="B371" i="2" s="1"/>
  <c r="B372" i="2" s="1"/>
  <c r="B373" i="2" s="1"/>
  <c r="B374" i="2" s="1"/>
  <c r="B375" i="2" s="1"/>
  <c r="B363" i="2"/>
  <c r="B364" i="2" s="1"/>
  <c r="B365" i="2" s="1"/>
  <c r="B366" i="2" s="1"/>
  <c r="B367" i="2" s="1"/>
  <c r="B368" i="2" s="1"/>
  <c r="B356" i="2"/>
  <c r="B357" i="2" s="1"/>
  <c r="B358" i="2" s="1"/>
  <c r="B359" i="2" s="1"/>
  <c r="B360" i="2" s="1"/>
  <c r="B361" i="2" s="1"/>
  <c r="B349" i="2"/>
  <c r="B350" i="2" s="1"/>
  <c r="B351" i="2" s="1"/>
  <c r="B352" i="2" s="1"/>
  <c r="B353" i="2" s="1"/>
  <c r="B354" i="2" s="1"/>
  <c r="B342" i="2"/>
  <c r="B343" i="2" s="1"/>
  <c r="B344" i="2" s="1"/>
  <c r="B345" i="2" s="1"/>
  <c r="B346" i="2" s="1"/>
  <c r="B347" i="2" s="1"/>
  <c r="B335" i="2"/>
  <c r="B336" i="2" s="1"/>
  <c r="B337" i="2" s="1"/>
  <c r="B338" i="2" s="1"/>
  <c r="B339" i="2" s="1"/>
  <c r="B340" i="2" s="1"/>
  <c r="B326" i="2"/>
  <c r="B327" i="2" s="1"/>
  <c r="B328" i="2" s="1"/>
  <c r="B329" i="2" s="1"/>
  <c r="B330" i="2" s="1"/>
  <c r="B331" i="2" s="1"/>
  <c r="B332" i="2" s="1"/>
  <c r="B333" i="2" s="1"/>
  <c r="B317" i="2"/>
  <c r="B318" i="2" s="1"/>
  <c r="B319" i="2" s="1"/>
  <c r="B320" i="2" s="1"/>
  <c r="B321" i="2" s="1"/>
  <c r="B322" i="2" s="1"/>
  <c r="B323" i="2" s="1"/>
  <c r="B324" i="2" s="1"/>
  <c r="B306" i="2"/>
  <c r="B307" i="2" s="1"/>
  <c r="B308" i="2" s="1"/>
  <c r="B309" i="2" s="1"/>
  <c r="B310" i="2" s="1"/>
  <c r="B311" i="2" s="1"/>
  <c r="B312" i="2" s="1"/>
  <c r="B313" i="2" s="1"/>
  <c r="B314" i="2" s="1"/>
  <c r="B315" i="2" s="1"/>
  <c r="B297" i="2"/>
  <c r="B298" i="2" s="1"/>
  <c r="B299" i="2" s="1"/>
  <c r="B300" i="2" s="1"/>
  <c r="B301" i="2" s="1"/>
  <c r="B302" i="2" s="1"/>
  <c r="B303" i="2" s="1"/>
  <c r="B304" i="2" s="1"/>
  <c r="B284" i="2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75" i="2"/>
  <c r="B276" i="2" s="1"/>
  <c r="B277" i="2" s="1"/>
  <c r="B278" i="2" s="1"/>
  <c r="B279" i="2" s="1"/>
  <c r="B280" i="2" s="1"/>
  <c r="B281" i="2" s="1"/>
  <c r="B282" i="2" s="1"/>
  <c r="B267" i="2"/>
  <c r="B268" i="2" s="1"/>
  <c r="B269" i="2" s="1"/>
  <c r="B270" i="2" s="1"/>
  <c r="B271" i="2" s="1"/>
  <c r="B272" i="2" s="1"/>
  <c r="B273" i="2" s="1"/>
  <c r="B259" i="2"/>
  <c r="B260" i="2" s="1"/>
  <c r="B261" i="2" s="1"/>
  <c r="B262" i="2" s="1"/>
  <c r="B263" i="2" s="1"/>
  <c r="B264" i="2" s="1"/>
  <c r="B265" i="2" s="1"/>
  <c r="B251" i="2"/>
  <c r="B252" i="2" s="1"/>
  <c r="B253" i="2" s="1"/>
  <c r="B254" i="2" s="1"/>
  <c r="B255" i="2" s="1"/>
  <c r="B256" i="2" s="1"/>
  <c r="B257" i="2" s="1"/>
  <c r="B242" i="2"/>
  <c r="B243" i="2" s="1"/>
  <c r="B244" i="2" s="1"/>
  <c r="B245" i="2" s="1"/>
  <c r="B246" i="2" s="1"/>
  <c r="B247" i="2" s="1"/>
  <c r="B248" i="2" s="1"/>
  <c r="B249" i="2" s="1"/>
  <c r="B240" i="2"/>
  <c r="B232" i="2"/>
  <c r="B233" i="2" s="1"/>
  <c r="B234" i="2" s="1"/>
  <c r="B235" i="2" s="1"/>
  <c r="B236" i="2" s="1"/>
  <c r="B237" i="2" s="1"/>
  <c r="B238" i="2" s="1"/>
  <c r="B489" i="2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219" i="2"/>
  <c r="B220" i="2" s="1"/>
  <c r="B221" i="2" s="1"/>
  <c r="B222" i="2" s="1"/>
  <c r="B223" i="2" s="1"/>
  <c r="B224" i="2" s="1"/>
  <c r="B225" i="2" s="1"/>
  <c r="B226" i="2" s="1"/>
  <c r="B208" i="2"/>
  <c r="B209" i="2" s="1"/>
  <c r="B210" i="2" s="1"/>
  <c r="B211" i="2" s="1"/>
  <c r="B212" i="2" s="1"/>
  <c r="B213" i="2" s="1"/>
  <c r="B214" i="2" s="1"/>
  <c r="B215" i="2" s="1"/>
  <c r="B216" i="2" s="1"/>
  <c r="B217" i="2" s="1"/>
  <c r="B200" i="2"/>
  <c r="B201" i="2" s="1"/>
  <c r="B202" i="2" s="1"/>
  <c r="B203" i="2" s="1"/>
  <c r="B204" i="2" s="1"/>
  <c r="B205" i="2" s="1"/>
  <c r="B206" i="2" s="1"/>
  <c r="B193" i="2"/>
  <c r="B194" i="2" s="1"/>
  <c r="B195" i="2" s="1"/>
  <c r="B196" i="2" s="1"/>
  <c r="B197" i="2" s="1"/>
  <c r="B198" i="2" s="1"/>
  <c r="B185" i="2"/>
  <c r="B186" i="2" s="1"/>
  <c r="B187" i="2" s="1"/>
  <c r="B188" i="2" s="1"/>
  <c r="B189" i="2" s="1"/>
  <c r="B190" i="2" s="1"/>
  <c r="B191" i="2" s="1"/>
  <c r="B177" i="2"/>
  <c r="B178" i="2" s="1"/>
  <c r="B179" i="2" s="1"/>
  <c r="B180" i="2" s="1"/>
  <c r="B181" i="2" s="1"/>
  <c r="B182" i="2" s="1"/>
  <c r="B183" i="2" s="1"/>
  <c r="B170" i="2"/>
  <c r="B171" i="2" s="1"/>
  <c r="B172" i="2" s="1"/>
  <c r="B173" i="2" s="1"/>
  <c r="B174" i="2" s="1"/>
  <c r="B175" i="2" s="1"/>
  <c r="B163" i="2"/>
  <c r="B164" i="2" s="1"/>
  <c r="B165" i="2" s="1"/>
  <c r="B166" i="2" s="1"/>
  <c r="B167" i="2" s="1"/>
  <c r="B168" i="2" s="1"/>
  <c r="B156" i="2"/>
  <c r="B157" i="2" s="1"/>
  <c r="B158" i="2" s="1"/>
  <c r="B159" i="2" s="1"/>
  <c r="B160" i="2" s="1"/>
  <c r="B161" i="2" s="1"/>
  <c r="B148" i="2"/>
  <c r="B149" i="2" s="1"/>
  <c r="B150" i="2" s="1"/>
  <c r="B151" i="2" s="1"/>
  <c r="B152" i="2" s="1"/>
  <c r="B153" i="2" s="1"/>
  <c r="B154" i="2" s="1"/>
  <c r="B141" i="2"/>
  <c r="B142" i="2" s="1"/>
  <c r="B143" i="2" s="1"/>
  <c r="B144" i="2" s="1"/>
  <c r="B145" i="2" s="1"/>
  <c r="B146" i="2" s="1"/>
  <c r="B134" i="2"/>
  <c r="B135" i="2" s="1"/>
  <c r="B136" i="2" s="1"/>
  <c r="B137" i="2" s="1"/>
  <c r="B138" i="2" s="1"/>
  <c r="B139" i="2" s="1"/>
  <c r="B126" i="2"/>
  <c r="B127" i="2" s="1"/>
  <c r="B128" i="2" s="1"/>
  <c r="B129" i="2" s="1"/>
  <c r="B130" i="2" s="1"/>
  <c r="B131" i="2" s="1"/>
  <c r="B132" i="2" s="1"/>
  <c r="B119" i="2"/>
  <c r="B120" i="2" s="1"/>
  <c r="B121" i="2" s="1"/>
  <c r="B122" i="2" s="1"/>
  <c r="B123" i="2" s="1"/>
  <c r="B124" i="2" s="1"/>
  <c r="B112" i="2"/>
  <c r="B113" i="2" s="1"/>
  <c r="B114" i="2" s="1"/>
  <c r="B115" i="2" s="1"/>
  <c r="B116" i="2" s="1"/>
  <c r="B117" i="2" s="1"/>
  <c r="B105" i="2"/>
  <c r="B106" i="2" s="1"/>
  <c r="B107" i="2" s="1"/>
  <c r="B108" i="2" s="1"/>
  <c r="B109" i="2" s="1"/>
  <c r="B110" i="2" s="1"/>
  <c r="B98" i="2"/>
  <c r="B99" i="2" s="1"/>
  <c r="B100" i="2" s="1"/>
  <c r="B101" i="2" s="1"/>
  <c r="B102" i="2" s="1"/>
  <c r="B103" i="2" s="1"/>
  <c r="B91" i="2"/>
  <c r="B92" i="2" s="1"/>
  <c r="B93" i="2" s="1"/>
  <c r="B94" i="2" s="1"/>
  <c r="B95" i="2" s="1"/>
  <c r="B96" i="2" s="1"/>
  <c r="B84" i="2"/>
  <c r="B85" i="2" s="1"/>
  <c r="B86" i="2" s="1"/>
  <c r="B87" i="2" s="1"/>
  <c r="B88" i="2" s="1"/>
  <c r="B89" i="2" s="1"/>
  <c r="B77" i="2"/>
  <c r="B78" i="2" s="1"/>
  <c r="B79" i="2" s="1"/>
  <c r="B80" i="2" s="1"/>
  <c r="B81" i="2" s="1"/>
  <c r="B82" i="2" s="1"/>
  <c r="B70" i="2"/>
  <c r="B71" i="2" s="1"/>
  <c r="B72" i="2" s="1"/>
  <c r="B73" i="2" s="1"/>
  <c r="B74" i="2" s="1"/>
  <c r="B75" i="2" s="1"/>
  <c r="B63" i="2"/>
  <c r="B64" i="2" s="1"/>
  <c r="B65" i="2" s="1"/>
  <c r="B66" i="2" s="1"/>
  <c r="B67" i="2" s="1"/>
  <c r="B68" i="2" s="1"/>
  <c r="B56" i="2"/>
  <c r="B57" i="2" s="1"/>
  <c r="B58" i="2" s="1"/>
  <c r="B59" i="2" s="1"/>
  <c r="B60" i="2" s="1"/>
  <c r="B61" i="2" s="1"/>
  <c r="B47" i="2"/>
  <c r="B48" i="2" s="1"/>
  <c r="B49" i="2" s="1"/>
  <c r="B50" i="2" s="1"/>
  <c r="B51" i="2" s="1"/>
  <c r="B52" i="2" s="1"/>
  <c r="B53" i="2" s="1"/>
  <c r="B54" i="2" s="1"/>
  <c r="B38" i="2"/>
  <c r="B39" i="2" s="1"/>
  <c r="B40" i="2" s="1"/>
  <c r="B41" i="2" s="1"/>
  <c r="B42" i="2" s="1"/>
  <c r="B43" i="2" s="1"/>
  <c r="B44" i="2" s="1"/>
  <c r="B45" i="2" s="1"/>
  <c r="B27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G1508" i="2"/>
  <c r="H1508" i="2" s="1"/>
  <c r="H211" i="4"/>
  <c r="G211" i="4"/>
  <c r="E210" i="4"/>
  <c r="F210" i="4" s="1"/>
  <c r="G210" i="4" s="1"/>
  <c r="F209" i="4"/>
  <c r="G209" i="4" s="1"/>
  <c r="G208" i="4"/>
  <c r="F208" i="4"/>
  <c r="F207" i="4"/>
  <c r="G207" i="4" s="1"/>
  <c r="G206" i="4"/>
  <c r="F206" i="4"/>
  <c r="F205" i="4"/>
  <c r="G205" i="4" s="1"/>
  <c r="A204" i="4"/>
  <c r="A205" i="4" s="1"/>
  <c r="H202" i="4"/>
  <c r="G202" i="4"/>
  <c r="E201" i="4"/>
  <c r="F201" i="4" s="1"/>
  <c r="G201" i="4" s="1"/>
  <c r="F200" i="4"/>
  <c r="G200" i="4" s="1"/>
  <c r="G199" i="4"/>
  <c r="F199" i="4"/>
  <c r="F198" i="4"/>
  <c r="G198" i="4" s="1"/>
  <c r="A198" i="4"/>
  <c r="A199" i="4" s="1"/>
  <c r="A200" i="4" s="1"/>
  <c r="A201" i="4" s="1"/>
  <c r="A202" i="4" s="1"/>
  <c r="A203" i="4" s="1"/>
  <c r="A197" i="4"/>
  <c r="H195" i="4"/>
  <c r="G195" i="4"/>
  <c r="E194" i="4" s="1"/>
  <c r="F194" i="4" s="1"/>
  <c r="G194" i="4" s="1"/>
  <c r="F193" i="4"/>
  <c r="G193" i="4" s="1"/>
  <c r="F192" i="4"/>
  <c r="G192" i="4" s="1"/>
  <c r="A192" i="4"/>
  <c r="A193" i="4" s="1"/>
  <c r="A194" i="4" s="1"/>
  <c r="A195" i="4" s="1"/>
  <c r="A196" i="4" s="1"/>
  <c r="F191" i="4"/>
  <c r="G191" i="4" s="1"/>
  <c r="A191" i="4"/>
  <c r="A190" i="4"/>
  <c r="H188" i="4"/>
  <c r="G188" i="4"/>
  <c r="E187" i="4"/>
  <c r="F187" i="4" s="1"/>
  <c r="G187" i="4" s="1"/>
  <c r="G186" i="4"/>
  <c r="F186" i="4"/>
  <c r="G185" i="4"/>
  <c r="F185" i="4"/>
  <c r="G184" i="4"/>
  <c r="F184" i="4"/>
  <c r="F183" i="4"/>
  <c r="G183" i="4" s="1"/>
  <c r="G182" i="4"/>
  <c r="F182" i="4"/>
  <c r="G181" i="4"/>
  <c r="F181" i="4"/>
  <c r="A180" i="4"/>
  <c r="A181" i="4" s="1"/>
  <c r="H178" i="4"/>
  <c r="G178" i="4"/>
  <c r="E177" i="4" s="1"/>
  <c r="F177" i="4" s="1"/>
  <c r="G177" i="4" s="1"/>
  <c r="F176" i="4"/>
  <c r="G176" i="4" s="1"/>
  <c r="F175" i="4"/>
  <c r="G175" i="4" s="1"/>
  <c r="F174" i="4"/>
  <c r="G174" i="4" s="1"/>
  <c r="A174" i="4"/>
  <c r="A175" i="4" s="1"/>
  <c r="G173" i="4"/>
  <c r="F173" i="4"/>
  <c r="A173" i="4"/>
  <c r="A172" i="4"/>
  <c r="H170" i="4"/>
  <c r="G170" i="4"/>
  <c r="E169" i="4"/>
  <c r="F169" i="4" s="1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A163" i="4"/>
  <c r="A164" i="4" s="1"/>
  <c r="A165" i="4" s="1"/>
  <c r="A166" i="4" s="1"/>
  <c r="H161" i="4"/>
  <c r="G161" i="4"/>
  <c r="E160" i="4"/>
  <c r="F160" i="4" s="1"/>
  <c r="G160" i="4" s="1"/>
  <c r="G159" i="4"/>
  <c r="F159" i="4"/>
  <c r="G158" i="4"/>
  <c r="F158" i="4"/>
  <c r="F157" i="4"/>
  <c r="G157" i="4" s="1"/>
  <c r="G156" i="4"/>
  <c r="F156" i="4"/>
  <c r="G155" i="4"/>
  <c r="F155" i="4"/>
  <c r="G154" i="4"/>
  <c r="F154" i="4"/>
  <c r="A153" i="4"/>
  <c r="A154" i="4" s="1"/>
  <c r="A155" i="4" s="1"/>
  <c r="A156" i="4" s="1"/>
  <c r="A157" i="4" s="1"/>
  <c r="A158" i="4" s="1"/>
  <c r="H151" i="4"/>
  <c r="G151" i="4"/>
  <c r="E150" i="4" s="1"/>
  <c r="F150" i="4" s="1"/>
  <c r="G150" i="4" s="1"/>
  <c r="F149" i="4"/>
  <c r="G149" i="4" s="1"/>
  <c r="F148" i="4"/>
  <c r="G148" i="4" s="1"/>
  <c r="G147" i="4"/>
  <c r="F147" i="4"/>
  <c r="F146" i="4"/>
  <c r="G146" i="4" s="1"/>
  <c r="F145" i="4"/>
  <c r="G145" i="4" s="1"/>
  <c r="F144" i="4"/>
  <c r="G144" i="4" s="1"/>
  <c r="A144" i="4"/>
  <c r="A145" i="4" s="1"/>
  <c r="A146" i="4" s="1"/>
  <c r="A147" i="4" s="1"/>
  <c r="A148" i="4" s="1"/>
  <c r="A143" i="4"/>
  <c r="H141" i="4"/>
  <c r="G141" i="4"/>
  <c r="E140" i="4"/>
  <c r="F140" i="4" s="1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A131" i="4"/>
  <c r="A132" i="4" s="1"/>
  <c r="H129" i="4"/>
  <c r="G129" i="4"/>
  <c r="E128" i="4"/>
  <c r="F128" i="4" s="1"/>
  <c r="G128" i="4" s="1"/>
  <c r="F127" i="4"/>
  <c r="G127" i="4" s="1"/>
  <c r="G126" i="4"/>
  <c r="F126" i="4"/>
  <c r="G125" i="4"/>
  <c r="F125" i="4"/>
  <c r="G124" i="4"/>
  <c r="F124" i="4"/>
  <c r="F123" i="4"/>
  <c r="G123" i="4" s="1"/>
  <c r="G122" i="4"/>
  <c r="F122" i="4"/>
  <c r="G121" i="4"/>
  <c r="F121" i="4"/>
  <c r="A120" i="4"/>
  <c r="A122" i="4" s="1"/>
  <c r="A123" i="4" s="1"/>
  <c r="H118" i="4"/>
  <c r="G118" i="4"/>
  <c r="E117" i="4" s="1"/>
  <c r="F117" i="4" s="1"/>
  <c r="G117" i="4" s="1"/>
  <c r="F116" i="4"/>
  <c r="G116" i="4" s="1"/>
  <c r="F115" i="4"/>
  <c r="G115" i="4" s="1"/>
  <c r="F114" i="4"/>
  <c r="G114" i="4" s="1"/>
  <c r="A114" i="4"/>
  <c r="A116" i="4" s="1"/>
  <c r="A117" i="4" s="1"/>
  <c r="A118" i="4" s="1"/>
  <c r="A119" i="4" s="1"/>
  <c r="G113" i="4"/>
  <c r="F113" i="4"/>
  <c r="A113" i="4"/>
  <c r="A112" i="4"/>
  <c r="H110" i="4"/>
  <c r="G110" i="4"/>
  <c r="E109" i="4"/>
  <c r="F109" i="4" s="1"/>
  <c r="G109" i="4" s="1"/>
  <c r="F108" i="4"/>
  <c r="G108" i="4" s="1"/>
  <c r="F107" i="4"/>
  <c r="G107" i="4" s="1"/>
  <c r="F106" i="4"/>
  <c r="G106" i="4" s="1"/>
  <c r="A105" i="4"/>
  <c r="A106" i="4" s="1"/>
  <c r="A107" i="4" s="1"/>
  <c r="A108" i="4" s="1"/>
  <c r="A109" i="4" s="1"/>
  <c r="A110" i="4" s="1"/>
  <c r="A111" i="4" s="1"/>
  <c r="H103" i="4"/>
  <c r="G103" i="4"/>
  <c r="E102" i="4"/>
  <c r="F102" i="4" s="1"/>
  <c r="G102" i="4" s="1"/>
  <c r="F101" i="4"/>
  <c r="G101" i="4" s="1"/>
  <c r="G100" i="4"/>
  <c r="F100" i="4"/>
  <c r="G99" i="4"/>
  <c r="F99" i="4"/>
  <c r="A98" i="4"/>
  <c r="A99" i="4" s="1"/>
  <c r="A100" i="4" s="1"/>
  <c r="A101" i="4" s="1"/>
  <c r="A102" i="4" s="1"/>
  <c r="A103" i="4" s="1"/>
  <c r="A104" i="4" s="1"/>
  <c r="H96" i="4"/>
  <c r="G96" i="4"/>
  <c r="E95" i="4" s="1"/>
  <c r="F95" i="4" s="1"/>
  <c r="G95" i="4" s="1"/>
  <c r="G94" i="4"/>
  <c r="F94" i="4"/>
  <c r="F93" i="4"/>
  <c r="G93" i="4" s="1"/>
  <c r="F92" i="4"/>
  <c r="G92" i="4" s="1"/>
  <c r="A92" i="4"/>
  <c r="A93" i="4" s="1"/>
  <c r="A94" i="4" s="1"/>
  <c r="A95" i="4" s="1"/>
  <c r="A96" i="4" s="1"/>
  <c r="A97" i="4" s="1"/>
  <c r="A91" i="4"/>
  <c r="H89" i="4"/>
  <c r="G89" i="4"/>
  <c r="E88" i="4"/>
  <c r="F88" i="4" s="1"/>
  <c r="G88" i="4" s="1"/>
  <c r="F87" i="4"/>
  <c r="G87" i="4" s="1"/>
  <c r="F86" i="4"/>
  <c r="G86" i="4" s="1"/>
  <c r="F85" i="4"/>
  <c r="G85" i="4" s="1"/>
  <c r="A84" i="4"/>
  <c r="A85" i="4" s="1"/>
  <c r="A86" i="4" s="1"/>
  <c r="A87" i="4" s="1"/>
  <c r="A88" i="4" s="1"/>
  <c r="A89" i="4" s="1"/>
  <c r="A90" i="4" s="1"/>
  <c r="H82" i="4"/>
  <c r="G82" i="4"/>
  <c r="E81" i="4" s="1"/>
  <c r="F81" i="4" s="1"/>
  <c r="G81" i="4" s="1"/>
  <c r="G80" i="4"/>
  <c r="F80" i="4"/>
  <c r="F79" i="4"/>
  <c r="G79" i="4" s="1"/>
  <c r="G78" i="4"/>
  <c r="F78" i="4"/>
  <c r="A77" i="4"/>
  <c r="A78" i="4" s="1"/>
  <c r="A79" i="4" s="1"/>
  <c r="A80" i="4" s="1"/>
  <c r="A81" i="4" s="1"/>
  <c r="A82" i="4" s="1"/>
  <c r="A83" i="4" s="1"/>
  <c r="H75" i="4"/>
  <c r="G75" i="4"/>
  <c r="E74" i="4"/>
  <c r="F74" i="4" s="1"/>
  <c r="G74" i="4" s="1"/>
  <c r="G73" i="4"/>
  <c r="F73" i="4"/>
  <c r="G72" i="4"/>
  <c r="F72" i="4"/>
  <c r="F71" i="4"/>
  <c r="G71" i="4" s="1"/>
  <c r="A70" i="4"/>
  <c r="A72" i="4" s="1"/>
  <c r="A73" i="4" s="1"/>
  <c r="A74" i="4" s="1"/>
  <c r="A75" i="4" s="1"/>
  <c r="A76" i="4" s="1"/>
  <c r="H68" i="4"/>
  <c r="G68" i="4"/>
  <c r="E67" i="4"/>
  <c r="F67" i="4" s="1"/>
  <c r="G67" i="4" s="1"/>
  <c r="F66" i="4"/>
  <c r="G66" i="4" s="1"/>
  <c r="F65" i="4"/>
  <c r="G65" i="4" s="1"/>
  <c r="A65" i="4"/>
  <c r="A66" i="4" s="1"/>
  <c r="A67" i="4" s="1"/>
  <c r="A68" i="4" s="1"/>
  <c r="A69" i="4" s="1"/>
  <c r="F64" i="4"/>
  <c r="G64" i="4" s="1"/>
  <c r="A64" i="4"/>
  <c r="A63" i="4"/>
  <c r="H61" i="4"/>
  <c r="G61" i="4"/>
  <c r="E60" i="4"/>
  <c r="F60" i="4" s="1"/>
  <c r="G60" i="4" s="1"/>
  <c r="F59" i="4"/>
  <c r="G59" i="4" s="1"/>
  <c r="G58" i="4"/>
  <c r="F58" i="4"/>
  <c r="F57" i="4"/>
  <c r="G57" i="4" s="1"/>
  <c r="A56" i="4"/>
  <c r="A57" i="4" s="1"/>
  <c r="A58" i="4" s="1"/>
  <c r="A59" i="4" s="1"/>
  <c r="A60" i="4" s="1"/>
  <c r="A61" i="4" s="1"/>
  <c r="A62" i="4" s="1"/>
  <c r="H54" i="4"/>
  <c r="G54" i="4"/>
  <c r="E53" i="4"/>
  <c r="F53" i="4" s="1"/>
  <c r="G53" i="4" s="1"/>
  <c r="F52" i="4"/>
  <c r="G52" i="4" s="1"/>
  <c r="G51" i="4"/>
  <c r="F51" i="4"/>
  <c r="G50" i="4"/>
  <c r="F50" i="4"/>
  <c r="F49" i="4"/>
  <c r="G49" i="4" s="1"/>
  <c r="A48" i="4"/>
  <c r="A49" i="4" s="1"/>
  <c r="A50" i="4" s="1"/>
  <c r="A51" i="4" s="1"/>
  <c r="A52" i="4" s="1"/>
  <c r="A53" i="4" s="1"/>
  <c r="A54" i="4" s="1"/>
  <c r="A55" i="4" s="1"/>
  <c r="H46" i="4"/>
  <c r="G46" i="4"/>
  <c r="E45" i="4"/>
  <c r="F45" i="4" s="1"/>
  <c r="G45" i="4" s="1"/>
  <c r="F44" i="4"/>
  <c r="G44" i="4" s="1"/>
  <c r="F43" i="4"/>
  <c r="G43" i="4" s="1"/>
  <c r="F42" i="4"/>
  <c r="G42" i="4" s="1"/>
  <c r="F41" i="4"/>
  <c r="G41" i="4" s="1"/>
  <c r="F40" i="4"/>
  <c r="G40" i="4" s="1"/>
  <c r="A39" i="4"/>
  <c r="A40" i="4" s="1"/>
  <c r="A41" i="4" s="1"/>
  <c r="A42" i="4" s="1"/>
  <c r="A43" i="4" s="1"/>
  <c r="A44" i="4" s="1"/>
  <c r="A45" i="4" s="1"/>
  <c r="A46" i="4" s="1"/>
  <c r="A47" i="4" s="1"/>
  <c r="H37" i="4"/>
  <c r="G37" i="4"/>
  <c r="E36" i="4"/>
  <c r="F36" i="4" s="1"/>
  <c r="G36" i="4" s="1"/>
  <c r="F35" i="4"/>
  <c r="G35" i="4" s="1"/>
  <c r="G34" i="4"/>
  <c r="F34" i="4"/>
  <c r="F33" i="4"/>
  <c r="G33" i="4" s="1"/>
  <c r="G32" i="4"/>
  <c r="F32" i="4"/>
  <c r="F31" i="4"/>
  <c r="G31" i="4" s="1"/>
  <c r="G30" i="4"/>
  <c r="F30" i="4"/>
  <c r="F29" i="4"/>
  <c r="G29" i="4" s="1"/>
  <c r="A28" i="4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H26" i="4"/>
  <c r="G26" i="4"/>
  <c r="E25" i="4" s="1"/>
  <c r="F25" i="4" s="1"/>
  <c r="G25" i="4" s="1"/>
  <c r="F24" i="4"/>
  <c r="G24" i="4" s="1"/>
  <c r="F23" i="4"/>
  <c r="G23" i="4" s="1"/>
  <c r="F22" i="4"/>
  <c r="G22" i="4" s="1"/>
  <c r="G21" i="4"/>
  <c r="F21" i="4"/>
  <c r="F20" i="4"/>
  <c r="G20" i="4" s="1"/>
  <c r="F19" i="4"/>
  <c r="G19" i="4" s="1"/>
  <c r="F18" i="4"/>
  <c r="G18" i="4" s="1"/>
  <c r="G17" i="4"/>
  <c r="F17" i="4"/>
  <c r="F16" i="4"/>
  <c r="G16" i="4" s="1"/>
  <c r="F15" i="4"/>
  <c r="G15" i="4" s="1"/>
  <c r="A14" i="4"/>
  <c r="A15" i="4" s="1"/>
  <c r="H12" i="4"/>
  <c r="G12" i="4"/>
  <c r="E11" i="4"/>
  <c r="F11" i="4" s="1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A1" i="4"/>
  <c r="A2" i="4" s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H551" i="2"/>
  <c r="F550" i="2" s="1"/>
  <c r="G550" i="2" s="1"/>
  <c r="H550" i="2" s="1"/>
  <c r="I551" i="2"/>
  <c r="G549" i="2"/>
  <c r="H549" i="2" s="1"/>
  <c r="G772" i="2"/>
  <c r="H772" i="2" s="1"/>
  <c r="G771" i="2"/>
  <c r="G773" i="2"/>
  <c r="H773" i="2" s="1"/>
  <c r="G766" i="2"/>
  <c r="H766" i="2" s="1"/>
  <c r="G764" i="2"/>
  <c r="H764" i="2" s="1"/>
  <c r="G765" i="2"/>
  <c r="H765" i="2" s="1"/>
  <c r="G758" i="2"/>
  <c r="H758" i="2" s="1"/>
  <c r="A1" i="5" l="1"/>
  <c r="A2" i="5" s="1"/>
  <c r="A3" i="5" s="1"/>
  <c r="A4" i="5" s="1"/>
  <c r="A5" i="5" s="1"/>
  <c r="A6" i="5" s="1"/>
  <c r="A7" i="5" s="1"/>
  <c r="A8" i="5" s="1"/>
  <c r="A9" i="5" s="1"/>
  <c r="B1796" i="2"/>
  <c r="B1797" i="2" s="1"/>
  <c r="B1798" i="2" s="1"/>
  <c r="B1799" i="2" s="1"/>
  <c r="B1800" i="2" s="1"/>
  <c r="B1795" i="2"/>
  <c r="B1779" i="2"/>
  <c r="B1780" i="2" s="1"/>
  <c r="B1781" i="2" s="1"/>
  <c r="B1782" i="2" s="1"/>
  <c r="B1776" i="2"/>
  <c r="B1777" i="2" s="1"/>
  <c r="B1778" i="2" s="1"/>
  <c r="B1322" i="2"/>
  <c r="B1323" i="2" s="1"/>
  <c r="B1324" i="2" s="1"/>
  <c r="B1325" i="2" s="1"/>
  <c r="B1326" i="2" s="1"/>
  <c r="B1320" i="2"/>
  <c r="B1321" i="2" s="1"/>
  <c r="B789" i="2"/>
  <c r="B790" i="2" s="1"/>
  <c r="B791" i="2" s="1"/>
  <c r="B792" i="2" s="1"/>
  <c r="B793" i="2" s="1"/>
  <c r="B788" i="2"/>
  <c r="B28" i="2"/>
  <c r="B29" i="2" s="1"/>
  <c r="B30" i="2" s="1"/>
  <c r="B31" i="2" s="1"/>
  <c r="B32" i="2" s="1"/>
  <c r="B33" i="2" s="1"/>
  <c r="B34" i="2" s="1"/>
  <c r="B35" i="2" s="1"/>
  <c r="B36" i="2" s="1"/>
  <c r="G83" i="4"/>
  <c r="G90" i="4"/>
  <c r="G203" i="4"/>
  <c r="G97" i="4"/>
  <c r="G76" i="4"/>
  <c r="G119" i="4"/>
  <c r="G47" i="4"/>
  <c r="G69" i="4"/>
  <c r="G212" i="4"/>
  <c r="G104" i="4"/>
  <c r="A182" i="4"/>
  <c r="A183" i="4" s="1"/>
  <c r="A184" i="4"/>
  <c r="A185" i="4" s="1"/>
  <c r="G130" i="4"/>
  <c r="G13" i="4"/>
  <c r="A17" i="4"/>
  <c r="A19" i="4" s="1"/>
  <c r="A21" i="4" s="1"/>
  <c r="A22" i="4" s="1"/>
  <c r="A20" i="4"/>
  <c r="G142" i="4"/>
  <c r="A150" i="4"/>
  <c r="A151" i="4" s="1"/>
  <c r="A152" i="4" s="1"/>
  <c r="A149" i="4"/>
  <c r="G162" i="4"/>
  <c r="G27" i="4"/>
  <c r="G152" i="4"/>
  <c r="A160" i="4"/>
  <c r="A161" i="4" s="1"/>
  <c r="A162" i="4" s="1"/>
  <c r="A159" i="4"/>
  <c r="G189" i="4"/>
  <c r="G62" i="4"/>
  <c r="G111" i="4"/>
  <c r="A169" i="4"/>
  <c r="A170" i="4" s="1"/>
  <c r="A171" i="4" s="1"/>
  <c r="A168" i="4"/>
  <c r="A167" i="4"/>
  <c r="G179" i="4"/>
  <c r="G196" i="4"/>
  <c r="A207" i="4"/>
  <c r="A206" i="4"/>
  <c r="A135" i="4"/>
  <c r="A138" i="4" s="1"/>
  <c r="A139" i="4" s="1"/>
  <c r="A133" i="4"/>
  <c r="G171" i="4"/>
  <c r="A177" i="4"/>
  <c r="A178" i="4" s="1"/>
  <c r="A179" i="4" s="1"/>
  <c r="A176" i="4"/>
  <c r="A126" i="4"/>
  <c r="A127" i="4" s="1"/>
  <c r="A125" i="4"/>
  <c r="G38" i="4"/>
  <c r="G55" i="4"/>
  <c r="A71" i="4"/>
  <c r="A121" i="4"/>
  <c r="A124" i="4" s="1"/>
  <c r="A128" i="4" s="1"/>
  <c r="A129" i="4" s="1"/>
  <c r="A130" i="4" s="1"/>
  <c r="A115" i="4"/>
  <c r="A208" i="4" l="1"/>
  <c r="A209" i="4" s="1"/>
  <c r="A210" i="4"/>
  <c r="A211" i="4" s="1"/>
  <c r="A212" i="4" s="1"/>
  <c r="A16" i="4"/>
  <c r="A18" i="4" s="1"/>
  <c r="A23" i="4"/>
  <c r="A24" i="4" s="1"/>
  <c r="A25" i="4" s="1"/>
  <c r="A26" i="4" s="1"/>
  <c r="A27" i="4" s="1"/>
  <c r="A136" i="4"/>
  <c r="A134" i="4"/>
  <c r="A137" i="4"/>
  <c r="A140" i="4" s="1"/>
  <c r="A141" i="4" s="1"/>
  <c r="A142" i="4" s="1"/>
  <c r="A186" i="4"/>
  <c r="A187" i="4"/>
  <c r="A188" i="4" s="1"/>
  <c r="A189" i="4" s="1"/>
  <c r="G1892" i="2"/>
  <c r="H1892" i="2" s="1"/>
  <c r="G1891" i="2"/>
  <c r="H1891" i="2" s="1"/>
  <c r="G1890" i="2"/>
  <c r="H1890" i="2" s="1"/>
  <c r="G1884" i="2"/>
  <c r="H1884" i="2" s="1"/>
  <c r="G1883" i="2"/>
  <c r="H1883" i="2" s="1"/>
  <c r="G1882" i="2"/>
  <c r="H1882" i="2" s="1"/>
  <c r="G1876" i="2"/>
  <c r="H1876" i="2" s="1"/>
  <c r="G1875" i="2"/>
  <c r="H1875" i="2" s="1"/>
  <c r="G1874" i="2"/>
  <c r="H1874" i="2" s="1"/>
  <c r="G1868" i="2"/>
  <c r="H1868" i="2" s="1"/>
  <c r="G1867" i="2"/>
  <c r="H1867" i="2" s="1"/>
  <c r="G1866" i="2"/>
  <c r="H1866" i="2" s="1"/>
  <c r="G1865" i="2"/>
  <c r="H1865" i="2" s="1"/>
  <c r="G1864" i="2"/>
  <c r="H1864" i="2" s="1"/>
  <c r="G1863" i="2"/>
  <c r="H1863" i="2" s="1"/>
  <c r="G1862" i="2"/>
  <c r="H1862" i="2" s="1"/>
  <c r="G1861" i="2"/>
  <c r="H1861" i="2" s="1"/>
  <c r="G1855" i="2"/>
  <c r="H1855" i="2" s="1"/>
  <c r="G1854" i="2"/>
  <c r="H1854" i="2" s="1"/>
  <c r="G1853" i="2"/>
  <c r="H1853" i="2" s="1"/>
  <c r="G1852" i="2"/>
  <c r="H1852" i="2" s="1"/>
  <c r="G1851" i="2"/>
  <c r="H1851" i="2" s="1"/>
  <c r="G1850" i="2"/>
  <c r="H1850" i="2" s="1"/>
  <c r="G1849" i="2"/>
  <c r="H1849" i="2" s="1"/>
  <c r="G1848" i="2"/>
  <c r="H1848" i="2" s="1"/>
  <c r="G1842" i="2"/>
  <c r="H1842" i="2" s="1"/>
  <c r="G1841" i="2"/>
  <c r="H1841" i="2" s="1"/>
  <c r="G1840" i="2"/>
  <c r="H1840" i="2" s="1"/>
  <c r="G1839" i="2"/>
  <c r="H1839" i="2" s="1"/>
  <c r="G1838" i="2"/>
  <c r="H1838" i="2" s="1"/>
  <c r="G1837" i="2"/>
  <c r="H1837" i="2" s="1"/>
  <c r="G1836" i="2"/>
  <c r="H1836" i="2" s="1"/>
  <c r="G1835" i="2"/>
  <c r="H1835" i="2" s="1"/>
  <c r="G1834" i="2"/>
  <c r="H1834" i="2" s="1"/>
  <c r="G1833" i="2"/>
  <c r="H1833" i="2" s="1"/>
  <c r="G1832" i="2"/>
  <c r="H1832" i="2" s="1"/>
  <c r="G1831" i="2"/>
  <c r="H1831" i="2" s="1"/>
  <c r="G1830" i="2"/>
  <c r="H1830" i="2" s="1"/>
  <c r="G1829" i="2"/>
  <c r="H1829" i="2" s="1"/>
  <c r="G1828" i="2"/>
  <c r="H1828" i="2" s="1"/>
  <c r="G1827" i="2"/>
  <c r="H1827" i="2" s="1"/>
  <c r="G1826" i="2"/>
  <c r="H1826" i="2" s="1"/>
  <c r="G1825" i="2"/>
  <c r="H1825" i="2" s="1"/>
  <c r="G1824" i="2"/>
  <c r="H1824" i="2" s="1"/>
  <c r="G1818" i="2"/>
  <c r="H1818" i="2" s="1"/>
  <c r="G1817" i="2"/>
  <c r="H1817" i="2" s="1"/>
  <c r="G1816" i="2"/>
  <c r="H1816" i="2" s="1"/>
  <c r="G1815" i="2"/>
  <c r="H1815" i="2" s="1"/>
  <c r="G1814" i="2"/>
  <c r="H1814" i="2" s="1"/>
  <c r="G1813" i="2"/>
  <c r="H1813" i="2" s="1"/>
  <c r="G1812" i="2"/>
  <c r="H1812" i="2" s="1"/>
  <c r="G1811" i="2"/>
  <c r="H1811" i="2" s="1"/>
  <c r="G1810" i="2"/>
  <c r="H1810" i="2" s="1"/>
  <c r="G1809" i="2"/>
  <c r="H1809" i="2" s="1"/>
  <c r="G1808" i="2"/>
  <c r="H1808" i="2" s="1"/>
  <c r="G1807" i="2"/>
  <c r="H1807" i="2" s="1"/>
  <c r="G1806" i="2"/>
  <c r="H1806" i="2" s="1"/>
  <c r="G1805" i="2"/>
  <c r="H1805" i="2" s="1"/>
  <c r="G1804" i="2"/>
  <c r="H1804" i="2" s="1"/>
  <c r="G1798" i="2"/>
  <c r="H1798" i="2" s="1"/>
  <c r="G1797" i="2"/>
  <c r="H1797" i="2" s="1"/>
  <c r="G1796" i="2"/>
  <c r="H1796" i="2" s="1"/>
  <c r="G1794" i="2"/>
  <c r="H1794" i="2" s="1"/>
  <c r="G1788" i="2"/>
  <c r="H1788" i="2" s="1"/>
  <c r="G1787" i="2"/>
  <c r="H1787" i="2" s="1"/>
  <c r="G1786" i="2"/>
  <c r="H1786" i="2" s="1"/>
  <c r="G1780" i="2"/>
  <c r="H1780" i="2" s="1"/>
  <c r="G1779" i="2"/>
  <c r="H1779" i="2" s="1"/>
  <c r="G1775" i="2"/>
  <c r="H1775" i="2" s="1"/>
  <c r="G1768" i="2"/>
  <c r="H1768" i="2" s="1"/>
  <c r="G1767" i="2"/>
  <c r="H1767" i="2" s="1"/>
  <c r="G1766" i="2"/>
  <c r="H1766" i="2" s="1"/>
  <c r="G1765" i="2"/>
  <c r="H1765" i="2" s="1"/>
  <c r="G1764" i="2"/>
  <c r="H1764" i="2" s="1"/>
  <c r="G1763" i="2"/>
  <c r="H1763" i="2" s="1"/>
  <c r="G1762" i="2"/>
  <c r="H1762" i="2" s="1"/>
  <c r="G1761" i="2"/>
  <c r="H1761" i="2" s="1"/>
  <c r="G1755" i="2"/>
  <c r="H1755" i="2" s="1"/>
  <c r="G1754" i="2"/>
  <c r="H1754" i="2" s="1"/>
  <c r="G1753" i="2"/>
  <c r="H1753" i="2" s="1"/>
  <c r="G1747" i="2"/>
  <c r="H1747" i="2" s="1"/>
  <c r="G1746" i="2"/>
  <c r="H1746" i="2" s="1"/>
  <c r="G1745" i="2"/>
  <c r="H1745" i="2" s="1"/>
  <c r="G1739" i="2"/>
  <c r="H1739" i="2" s="1"/>
  <c r="G1738" i="2"/>
  <c r="H1738" i="2" s="1"/>
  <c r="G1737" i="2"/>
  <c r="H1737" i="2" s="1"/>
  <c r="G1731" i="2"/>
  <c r="H1731" i="2" s="1"/>
  <c r="G1730" i="2"/>
  <c r="H1730" i="2" s="1"/>
  <c r="G1729" i="2"/>
  <c r="H1729" i="2" s="1"/>
  <c r="G1723" i="2"/>
  <c r="H1723" i="2" s="1"/>
  <c r="G1722" i="2"/>
  <c r="H1722" i="2" s="1"/>
  <c r="G1721" i="2"/>
  <c r="H1721" i="2" s="1"/>
  <c r="G1715" i="2"/>
  <c r="H1715" i="2" s="1"/>
  <c r="G1714" i="2"/>
  <c r="H1714" i="2" s="1"/>
  <c r="G1713" i="2"/>
  <c r="H1713" i="2" s="1"/>
  <c r="G1707" i="2"/>
  <c r="H1707" i="2" s="1"/>
  <c r="G1706" i="2"/>
  <c r="H1706" i="2" s="1"/>
  <c r="G1705" i="2"/>
  <c r="H1705" i="2" s="1"/>
  <c r="G1699" i="2"/>
  <c r="H1699" i="2" s="1"/>
  <c r="G1698" i="2"/>
  <c r="H1698" i="2" s="1"/>
  <c r="G1697" i="2"/>
  <c r="H1697" i="2" s="1"/>
  <c r="G1696" i="2"/>
  <c r="H1696" i="2" s="1"/>
  <c r="G1690" i="2"/>
  <c r="H1690" i="2" s="1"/>
  <c r="G1689" i="2"/>
  <c r="H1689" i="2" s="1"/>
  <c r="G1688" i="2"/>
  <c r="H1688" i="2" s="1"/>
  <c r="G1682" i="2"/>
  <c r="H1682" i="2" s="1"/>
  <c r="G1681" i="2"/>
  <c r="H1681" i="2" s="1"/>
  <c r="G1680" i="2"/>
  <c r="H1680" i="2" s="1"/>
  <c r="G1674" i="2"/>
  <c r="H1674" i="2" s="1"/>
  <c r="G1673" i="2"/>
  <c r="H1673" i="2" s="1"/>
  <c r="G1672" i="2"/>
  <c r="H1672" i="2" s="1"/>
  <c r="G1666" i="2"/>
  <c r="H1666" i="2" s="1"/>
  <c r="G1665" i="2"/>
  <c r="H1665" i="2" s="1"/>
  <c r="G1664" i="2"/>
  <c r="H1664" i="2" s="1"/>
  <c r="G1658" i="2"/>
  <c r="H1658" i="2" s="1"/>
  <c r="G1657" i="2"/>
  <c r="H1657" i="2" s="1"/>
  <c r="G1656" i="2"/>
  <c r="H1656" i="2" s="1"/>
  <c r="G1650" i="2"/>
  <c r="H1650" i="2" s="1"/>
  <c r="G1649" i="2"/>
  <c r="H1649" i="2" s="1"/>
  <c r="G1648" i="2"/>
  <c r="H1648" i="2" s="1"/>
  <c r="G1647" i="2"/>
  <c r="H1647" i="2" s="1"/>
  <c r="G1646" i="2"/>
  <c r="H1646" i="2" s="1"/>
  <c r="G1645" i="2"/>
  <c r="H1645" i="2" s="1"/>
  <c r="G1644" i="2"/>
  <c r="H1644" i="2" s="1"/>
  <c r="G1643" i="2"/>
  <c r="H1643" i="2" s="1"/>
  <c r="G1642" i="2"/>
  <c r="H1642" i="2" s="1"/>
  <c r="G1641" i="2"/>
  <c r="H1641" i="2" s="1"/>
  <c r="G1640" i="2"/>
  <c r="H1640" i="2" s="1"/>
  <c r="G1639" i="2"/>
  <c r="H1639" i="2" s="1"/>
  <c r="G1638" i="2"/>
  <c r="H1638" i="2" s="1"/>
  <c r="G1637" i="2"/>
  <c r="H1637" i="2" s="1"/>
  <c r="G1636" i="2"/>
  <c r="H1636" i="2" s="1"/>
  <c r="G1635" i="2"/>
  <c r="H1635" i="2" s="1"/>
  <c r="G1634" i="2"/>
  <c r="H1634" i="2" s="1"/>
  <c r="G1633" i="2"/>
  <c r="H1633" i="2" s="1"/>
  <c r="G1627" i="2"/>
  <c r="H1627" i="2" s="1"/>
  <c r="G1626" i="2"/>
  <c r="H1626" i="2" s="1"/>
  <c r="G1625" i="2"/>
  <c r="H1625" i="2" s="1"/>
  <c r="G1624" i="2"/>
  <c r="H1624" i="2" s="1"/>
  <c r="G1623" i="2"/>
  <c r="H1623" i="2" s="1"/>
  <c r="G1622" i="2"/>
  <c r="H1622" i="2" s="1"/>
  <c r="G1621" i="2"/>
  <c r="H1621" i="2" s="1"/>
  <c r="G1620" i="2"/>
  <c r="H1620" i="2" s="1"/>
  <c r="G1619" i="2"/>
  <c r="H1619" i="2" s="1"/>
  <c r="G1618" i="2"/>
  <c r="H1618" i="2" s="1"/>
  <c r="G1617" i="2"/>
  <c r="H1617" i="2" s="1"/>
  <c r="G1611" i="2"/>
  <c r="H1611" i="2" s="1"/>
  <c r="G1610" i="2"/>
  <c r="H1610" i="2" s="1"/>
  <c r="G1609" i="2"/>
  <c r="H1609" i="2" s="1"/>
  <c r="G1608" i="2"/>
  <c r="H1608" i="2" s="1"/>
  <c r="G1602" i="2"/>
  <c r="H1602" i="2" s="1"/>
  <c r="G1601" i="2"/>
  <c r="H1601" i="2" s="1"/>
  <c r="G1600" i="2"/>
  <c r="H1600" i="2" s="1"/>
  <c r="G1599" i="2"/>
  <c r="H1599" i="2" s="1"/>
  <c r="G1593" i="2"/>
  <c r="H1593" i="2" s="1"/>
  <c r="G1592" i="2"/>
  <c r="H1592" i="2" s="1"/>
  <c r="G1591" i="2"/>
  <c r="H1591" i="2" s="1"/>
  <c r="G1590" i="2"/>
  <c r="H1590" i="2" s="1"/>
  <c r="G1584" i="2"/>
  <c r="H1584" i="2" s="1"/>
  <c r="G1583" i="2"/>
  <c r="H1583" i="2" s="1"/>
  <c r="G1582" i="2"/>
  <c r="H1582" i="2" s="1"/>
  <c r="G1581" i="2"/>
  <c r="H1581" i="2" s="1"/>
  <c r="G1575" i="2"/>
  <c r="H1575" i="2" s="1"/>
  <c r="G1574" i="2"/>
  <c r="H1574" i="2" s="1"/>
  <c r="G1573" i="2"/>
  <c r="H1573" i="2" s="1"/>
  <c r="G1572" i="2"/>
  <c r="H1572" i="2" s="1"/>
  <c r="G1566" i="2"/>
  <c r="H1566" i="2" s="1"/>
  <c r="G1565" i="2"/>
  <c r="H1565" i="2" s="1"/>
  <c r="G1564" i="2"/>
  <c r="H1564" i="2" s="1"/>
  <c r="G1558" i="2"/>
  <c r="H1558" i="2" s="1"/>
  <c r="G1557" i="2"/>
  <c r="H1557" i="2" s="1"/>
  <c r="G1556" i="2"/>
  <c r="H1556" i="2" s="1"/>
  <c r="G1550" i="2"/>
  <c r="H1550" i="2" s="1"/>
  <c r="G1549" i="2"/>
  <c r="H1549" i="2" s="1"/>
  <c r="G1548" i="2"/>
  <c r="H1548" i="2" s="1"/>
  <c r="G1547" i="2"/>
  <c r="H1547" i="2" s="1"/>
  <c r="G1541" i="2"/>
  <c r="H1541" i="2" s="1"/>
  <c r="G1540" i="2"/>
  <c r="H1540" i="2" s="1"/>
  <c r="G1539" i="2"/>
  <c r="H1539" i="2" s="1"/>
  <c r="G1538" i="2"/>
  <c r="H1538" i="2" s="1"/>
  <c r="G1532" i="2"/>
  <c r="H1532" i="2" s="1"/>
  <c r="G1531" i="2"/>
  <c r="H1531" i="2" s="1"/>
  <c r="G1530" i="2"/>
  <c r="H1530" i="2" s="1"/>
  <c r="G1529" i="2"/>
  <c r="H1529" i="2" s="1"/>
  <c r="G1528" i="2"/>
  <c r="H1528" i="2" s="1"/>
  <c r="G1527" i="2"/>
  <c r="H1527" i="2" s="1"/>
  <c r="G1521" i="2"/>
  <c r="H1521" i="2" s="1"/>
  <c r="G1520" i="2"/>
  <c r="H1520" i="2" s="1"/>
  <c r="G1519" i="2"/>
  <c r="H1519" i="2" s="1"/>
  <c r="G1518" i="2"/>
  <c r="H1518" i="2" s="1"/>
  <c r="G1517" i="2"/>
  <c r="H1517" i="2" s="1"/>
  <c r="G1516" i="2"/>
  <c r="H1516" i="2" s="1"/>
  <c r="G1510" i="2"/>
  <c r="H1510" i="2" s="1"/>
  <c r="G1509" i="2"/>
  <c r="H1509" i="2" s="1"/>
  <c r="G1507" i="2"/>
  <c r="H1507" i="2" s="1"/>
  <c r="G1506" i="2"/>
  <c r="H1506" i="2" s="1"/>
  <c r="G1505" i="2"/>
  <c r="H1505" i="2" s="1"/>
  <c r="G1504" i="2"/>
  <c r="H1504" i="2" s="1"/>
  <c r="G1503" i="2"/>
  <c r="H1503" i="2" s="1"/>
  <c r="G1502" i="2"/>
  <c r="H1502" i="2" s="1"/>
  <c r="G1496" i="2"/>
  <c r="H1496" i="2" s="1"/>
  <c r="G1495" i="2"/>
  <c r="H1495" i="2" s="1"/>
  <c r="G1494" i="2"/>
  <c r="H1494" i="2" s="1"/>
  <c r="G1493" i="2"/>
  <c r="H1493" i="2" s="1"/>
  <c r="G1492" i="2"/>
  <c r="H1492" i="2" s="1"/>
  <c r="G1491" i="2"/>
  <c r="H1491" i="2" s="1"/>
  <c r="G1490" i="2"/>
  <c r="H1490" i="2" s="1"/>
  <c r="G1489" i="2"/>
  <c r="H1489" i="2" s="1"/>
  <c r="G1488" i="2"/>
  <c r="H1488" i="2" s="1"/>
  <c r="G1487" i="2"/>
  <c r="H1487" i="2" s="1"/>
  <c r="G1479" i="2"/>
  <c r="H1479" i="2" s="1"/>
  <c r="G1478" i="2"/>
  <c r="H1478" i="2" s="1"/>
  <c r="G1477" i="2"/>
  <c r="H1477" i="2" s="1"/>
  <c r="G1471" i="2"/>
  <c r="H1471" i="2" s="1"/>
  <c r="G1470" i="2"/>
  <c r="H1470" i="2" s="1"/>
  <c r="G1469" i="2"/>
  <c r="H1469" i="2" s="1"/>
  <c r="G1468" i="2"/>
  <c r="H1468" i="2" s="1"/>
  <c r="G1467" i="2"/>
  <c r="H1467" i="2" s="1"/>
  <c r="G1461" i="2"/>
  <c r="H1461" i="2" s="1"/>
  <c r="G1460" i="2"/>
  <c r="H1460" i="2" s="1"/>
  <c r="G1459" i="2"/>
  <c r="H1459" i="2" s="1"/>
  <c r="G1458" i="2"/>
  <c r="H1458" i="2" s="1"/>
  <c r="G1457" i="2"/>
  <c r="H1457" i="2" s="1"/>
  <c r="G1456" i="2"/>
  <c r="H1456" i="2" s="1"/>
  <c r="G1450" i="2"/>
  <c r="H1450" i="2" s="1"/>
  <c r="G1449" i="2"/>
  <c r="H1449" i="2" s="1"/>
  <c r="G1448" i="2"/>
  <c r="H1448" i="2" s="1"/>
  <c r="G1447" i="2"/>
  <c r="H1447" i="2" s="1"/>
  <c r="G1446" i="2"/>
  <c r="H1446" i="2" s="1"/>
  <c r="G1440" i="2"/>
  <c r="H1440" i="2" s="1"/>
  <c r="G1439" i="2"/>
  <c r="H1439" i="2" s="1"/>
  <c r="G1438" i="2"/>
  <c r="H1438" i="2" s="1"/>
  <c r="G1437" i="2"/>
  <c r="H1437" i="2" s="1"/>
  <c r="G1436" i="2"/>
  <c r="H1436" i="2" s="1"/>
  <c r="G1435" i="2"/>
  <c r="H1435" i="2" s="1"/>
  <c r="G1429" i="2"/>
  <c r="H1429" i="2" s="1"/>
  <c r="G1428" i="2"/>
  <c r="H1428" i="2" s="1"/>
  <c r="G1427" i="2"/>
  <c r="H1427" i="2" s="1"/>
  <c r="G1426" i="2"/>
  <c r="H1426" i="2" s="1"/>
  <c r="G1425" i="2"/>
  <c r="H1425" i="2" s="1"/>
  <c r="G1424" i="2"/>
  <c r="H1424" i="2" s="1"/>
  <c r="G1423" i="2"/>
  <c r="H1423" i="2" s="1"/>
  <c r="G1417" i="2"/>
  <c r="H1417" i="2" s="1"/>
  <c r="G1416" i="2"/>
  <c r="H1416" i="2" s="1"/>
  <c r="G1415" i="2"/>
  <c r="H1415" i="2" s="1"/>
  <c r="G1414" i="2"/>
  <c r="H1414" i="2" s="1"/>
  <c r="G1413" i="2"/>
  <c r="H1413" i="2" s="1"/>
  <c r="G1412" i="2"/>
  <c r="H1412" i="2" s="1"/>
  <c r="G1411" i="2"/>
  <c r="H1411" i="2" s="1"/>
  <c r="G1410" i="2"/>
  <c r="H1410" i="2" s="1"/>
  <c r="G1409" i="2"/>
  <c r="H1409" i="2" s="1"/>
  <c r="G1408" i="2"/>
  <c r="H1408" i="2" s="1"/>
  <c r="G1407" i="2"/>
  <c r="H1407" i="2" s="1"/>
  <c r="G1406" i="2"/>
  <c r="H1406" i="2" s="1"/>
  <c r="G1400" i="2"/>
  <c r="H1400" i="2" s="1"/>
  <c r="G1399" i="2"/>
  <c r="H1399" i="2" s="1"/>
  <c r="G1398" i="2"/>
  <c r="H1398" i="2" s="1"/>
  <c r="G1397" i="2"/>
  <c r="H1397" i="2" s="1"/>
  <c r="G1396" i="2"/>
  <c r="H1396" i="2" s="1"/>
  <c r="G1390" i="2"/>
  <c r="H1390" i="2" s="1"/>
  <c r="G1389" i="2"/>
  <c r="H1389" i="2" s="1"/>
  <c r="G1388" i="2"/>
  <c r="H1388" i="2" s="1"/>
  <c r="G1387" i="2"/>
  <c r="H1387" i="2" s="1"/>
  <c r="G1386" i="2"/>
  <c r="H1386" i="2" s="1"/>
  <c r="G1385" i="2"/>
  <c r="H1385" i="2" s="1"/>
  <c r="G1379" i="2"/>
  <c r="H1379" i="2" s="1"/>
  <c r="G1378" i="2"/>
  <c r="H1378" i="2" s="1"/>
  <c r="G1377" i="2"/>
  <c r="H1377" i="2" s="1"/>
  <c r="G1376" i="2"/>
  <c r="H1376" i="2" s="1"/>
  <c r="G1375" i="2"/>
  <c r="H1375" i="2" s="1"/>
  <c r="G1374" i="2"/>
  <c r="H1374" i="2" s="1"/>
  <c r="G1373" i="2"/>
  <c r="H1373" i="2" s="1"/>
  <c r="G1372" i="2"/>
  <c r="H1372" i="2" s="1"/>
  <c r="G1366" i="2"/>
  <c r="H1366" i="2" s="1"/>
  <c r="G1365" i="2"/>
  <c r="H1365" i="2" s="1"/>
  <c r="G1364" i="2"/>
  <c r="H1364" i="2" s="1"/>
  <c r="G1363" i="2"/>
  <c r="H1363" i="2" s="1"/>
  <c r="G1362" i="2"/>
  <c r="H1362" i="2" s="1"/>
  <c r="G1361" i="2"/>
  <c r="H1361" i="2" s="1"/>
  <c r="G1360" i="2"/>
  <c r="H1360" i="2" s="1"/>
  <c r="G1354" i="2"/>
  <c r="H1354" i="2" s="1"/>
  <c r="G1353" i="2"/>
  <c r="H1353" i="2" s="1"/>
  <c r="G1352" i="2"/>
  <c r="H1352" i="2" s="1"/>
  <c r="G1351" i="2"/>
  <c r="H1351" i="2" s="1"/>
  <c r="G1350" i="2"/>
  <c r="H1350" i="2" s="1"/>
  <c r="G1349" i="2"/>
  <c r="H1349" i="2" s="1"/>
  <c r="G1348" i="2"/>
  <c r="H1348" i="2" s="1"/>
  <c r="G1342" i="2"/>
  <c r="H1342" i="2" s="1"/>
  <c r="G1341" i="2"/>
  <c r="H1341" i="2" s="1"/>
  <c r="G1340" i="2"/>
  <c r="H1340" i="2" s="1"/>
  <c r="G1339" i="2"/>
  <c r="H1339" i="2" s="1"/>
  <c r="G1338" i="2"/>
  <c r="H1338" i="2" s="1"/>
  <c r="G1337" i="2"/>
  <c r="H1337" i="2" s="1"/>
  <c r="G1336" i="2"/>
  <c r="H1336" i="2" s="1"/>
  <c r="G1335" i="2"/>
  <c r="H1335" i="2" s="1"/>
  <c r="G1334" i="2"/>
  <c r="H1334" i="2" s="1"/>
  <c r="G1333" i="2"/>
  <c r="H1333" i="2" s="1"/>
  <c r="G1332" i="2"/>
  <c r="H1332" i="2" s="1"/>
  <c r="G1331" i="2"/>
  <c r="H1331" i="2" s="1"/>
  <c r="G1330" i="2"/>
  <c r="H1330" i="2" s="1"/>
  <c r="G1324" i="2"/>
  <c r="H1324" i="2" s="1"/>
  <c r="G1323" i="2"/>
  <c r="H1323" i="2" s="1"/>
  <c r="G1322" i="2"/>
  <c r="H1322" i="2" s="1"/>
  <c r="G1319" i="2"/>
  <c r="H1319" i="2" s="1"/>
  <c r="G1279" i="2"/>
  <c r="H1279" i="2" s="1"/>
  <c r="G1278" i="2"/>
  <c r="H1278" i="2" s="1"/>
  <c r="G1277" i="2"/>
  <c r="H1277" i="2" s="1"/>
  <c r="G1276" i="2"/>
  <c r="H1276" i="2" s="1"/>
  <c r="G1275" i="2"/>
  <c r="H1275" i="2" s="1"/>
  <c r="G1274" i="2"/>
  <c r="H1274" i="2" s="1"/>
  <c r="G1273" i="2"/>
  <c r="H1273" i="2" s="1"/>
  <c r="G1272" i="2"/>
  <c r="H1272" i="2" s="1"/>
  <c r="G1271" i="2"/>
  <c r="H1271" i="2" s="1"/>
  <c r="G1270" i="2"/>
  <c r="H1270" i="2" s="1"/>
  <c r="G1269" i="2"/>
  <c r="H1269" i="2" s="1"/>
  <c r="G1268" i="2"/>
  <c r="H1268" i="2" s="1"/>
  <c r="G1267" i="2"/>
  <c r="H1267" i="2" s="1"/>
  <c r="G1266" i="2"/>
  <c r="H1266" i="2" s="1"/>
  <c r="G1265" i="2"/>
  <c r="H1265" i="2" s="1"/>
  <c r="G1259" i="2"/>
  <c r="H1259" i="2" s="1"/>
  <c r="G1258" i="2"/>
  <c r="H1258" i="2" s="1"/>
  <c r="G1252" i="2"/>
  <c r="H1252" i="2" s="1"/>
  <c r="G1251" i="2"/>
  <c r="H1251" i="2" s="1"/>
  <c r="G1250" i="2"/>
  <c r="H1250" i="2" s="1"/>
  <c r="G1244" i="2"/>
  <c r="H1244" i="2" s="1"/>
  <c r="G1243" i="2"/>
  <c r="H1243" i="2" s="1"/>
  <c r="G1242" i="2"/>
  <c r="H1242" i="2" s="1"/>
  <c r="G1236" i="2"/>
  <c r="H1236" i="2" s="1"/>
  <c r="G1235" i="2"/>
  <c r="H1235" i="2" s="1"/>
  <c r="G1234" i="2"/>
  <c r="H1234" i="2" s="1"/>
  <c r="G1228" i="2"/>
  <c r="H1228" i="2" s="1"/>
  <c r="G1227" i="2"/>
  <c r="H1227" i="2" s="1"/>
  <c r="G1226" i="2"/>
  <c r="H1226" i="2" s="1"/>
  <c r="G1220" i="2"/>
  <c r="H1220" i="2" s="1"/>
  <c r="G1219" i="2"/>
  <c r="H1219" i="2" s="1"/>
  <c r="G1218" i="2"/>
  <c r="H1218" i="2" s="1"/>
  <c r="G1212" i="2"/>
  <c r="H1212" i="2" s="1"/>
  <c r="G1211" i="2"/>
  <c r="H1211" i="2" s="1"/>
  <c r="G1210" i="2"/>
  <c r="H1210" i="2" s="1"/>
  <c r="G1204" i="2"/>
  <c r="H1204" i="2" s="1"/>
  <c r="G1203" i="2"/>
  <c r="H1203" i="2" s="1"/>
  <c r="G1202" i="2"/>
  <c r="H1202" i="2" s="1"/>
  <c r="G1196" i="2"/>
  <c r="H1196" i="2" s="1"/>
  <c r="G1195" i="2"/>
  <c r="H1195" i="2" s="1"/>
  <c r="G1194" i="2"/>
  <c r="H1194" i="2" s="1"/>
  <c r="G1188" i="2"/>
  <c r="H1188" i="2" s="1"/>
  <c r="G1187" i="2"/>
  <c r="H1187" i="2" s="1"/>
  <c r="G1186" i="2"/>
  <c r="H1186" i="2" s="1"/>
  <c r="G1180" i="2"/>
  <c r="H1180" i="2" s="1"/>
  <c r="G1179" i="2"/>
  <c r="H1179" i="2" s="1"/>
  <c r="G1178" i="2"/>
  <c r="H1178" i="2" s="1"/>
  <c r="G1172" i="2"/>
  <c r="H1172" i="2" s="1"/>
  <c r="G1171" i="2"/>
  <c r="H1171" i="2" s="1"/>
  <c r="G1170" i="2"/>
  <c r="H1170" i="2" s="1"/>
  <c r="G1164" i="2"/>
  <c r="H1164" i="2" s="1"/>
  <c r="G1163" i="2"/>
  <c r="H1163" i="2" s="1"/>
  <c r="G1162" i="2"/>
  <c r="H1162" i="2" s="1"/>
  <c r="G1156" i="2"/>
  <c r="H1156" i="2" s="1"/>
  <c r="G1155" i="2"/>
  <c r="H1155" i="2" s="1"/>
  <c r="G1154" i="2"/>
  <c r="H1154" i="2" s="1"/>
  <c r="G1148" i="2"/>
  <c r="H1148" i="2" s="1"/>
  <c r="G1147" i="2"/>
  <c r="H1147" i="2" s="1"/>
  <c r="G1146" i="2"/>
  <c r="H1146" i="2" s="1"/>
  <c r="G1140" i="2"/>
  <c r="H1140" i="2" s="1"/>
  <c r="G1139" i="2"/>
  <c r="H1139" i="2" s="1"/>
  <c r="G1138" i="2"/>
  <c r="H1138" i="2" s="1"/>
  <c r="G1132" i="2"/>
  <c r="H1132" i="2" s="1"/>
  <c r="G1131" i="2"/>
  <c r="H1131" i="2" s="1"/>
  <c r="G1130" i="2"/>
  <c r="H1130" i="2" s="1"/>
  <c r="G1124" i="2"/>
  <c r="H1124" i="2" s="1"/>
  <c r="G1123" i="2"/>
  <c r="H1123" i="2" s="1"/>
  <c r="G1122" i="2"/>
  <c r="H1122" i="2" s="1"/>
  <c r="G1116" i="2"/>
  <c r="H1116" i="2" s="1"/>
  <c r="G1115" i="2"/>
  <c r="H1115" i="2" s="1"/>
  <c r="G1114" i="2"/>
  <c r="H1114" i="2" s="1"/>
  <c r="G1108" i="2"/>
  <c r="H1108" i="2" s="1"/>
  <c r="G1107" i="2"/>
  <c r="H1107" i="2" s="1"/>
  <c r="G1106" i="2"/>
  <c r="H1106" i="2" s="1"/>
  <c r="G1100" i="2"/>
  <c r="H1100" i="2" s="1"/>
  <c r="G1099" i="2"/>
  <c r="H1099" i="2" s="1"/>
  <c r="G1098" i="2"/>
  <c r="H1098" i="2" s="1"/>
  <c r="G1092" i="2"/>
  <c r="H1092" i="2" s="1"/>
  <c r="G1091" i="2"/>
  <c r="H1091" i="2" s="1"/>
  <c r="G1090" i="2"/>
  <c r="H1090" i="2" s="1"/>
  <c r="G1084" i="2"/>
  <c r="H1084" i="2" s="1"/>
  <c r="G1083" i="2"/>
  <c r="H1083" i="2" s="1"/>
  <c r="G1077" i="2"/>
  <c r="H1077" i="2" s="1"/>
  <c r="G1076" i="2"/>
  <c r="H1076" i="2" s="1"/>
  <c r="G1075" i="2"/>
  <c r="H1075" i="2" s="1"/>
  <c r="G1069" i="2"/>
  <c r="H1069" i="2" s="1"/>
  <c r="G1068" i="2"/>
  <c r="H1068" i="2" s="1"/>
  <c r="G1067" i="2"/>
  <c r="H1067" i="2" s="1"/>
  <c r="G1061" i="2"/>
  <c r="H1061" i="2" s="1"/>
  <c r="G1060" i="2"/>
  <c r="H1060" i="2" s="1"/>
  <c r="G1059" i="2"/>
  <c r="H1059" i="2" s="1"/>
  <c r="G1053" i="2"/>
  <c r="H1053" i="2" s="1"/>
  <c r="G1052" i="2"/>
  <c r="H1052" i="2" s="1"/>
  <c r="G1051" i="2"/>
  <c r="H1051" i="2" s="1"/>
  <c r="G1045" i="2"/>
  <c r="H1045" i="2" s="1"/>
  <c r="G1044" i="2"/>
  <c r="H1044" i="2" s="1"/>
  <c r="G1043" i="2"/>
  <c r="H1043" i="2" s="1"/>
  <c r="G1037" i="2"/>
  <c r="H1037" i="2" s="1"/>
  <c r="G1036" i="2"/>
  <c r="H1036" i="2" s="1"/>
  <c r="G1035" i="2"/>
  <c r="H1035" i="2" s="1"/>
  <c r="G1029" i="2"/>
  <c r="H1029" i="2" s="1"/>
  <c r="G1028" i="2"/>
  <c r="H1028" i="2" s="1"/>
  <c r="G1022" i="2"/>
  <c r="H1022" i="2" s="1"/>
  <c r="G1021" i="2"/>
  <c r="H1021" i="2" s="1"/>
  <c r="G1020" i="2"/>
  <c r="H1020" i="2" s="1"/>
  <c r="G1014" i="2"/>
  <c r="H1014" i="2" s="1"/>
  <c r="G1013" i="2"/>
  <c r="H1013" i="2" s="1"/>
  <c r="G1012" i="2"/>
  <c r="H1012" i="2" s="1"/>
  <c r="G1006" i="2"/>
  <c r="H1006" i="2" s="1"/>
  <c r="G1005" i="2"/>
  <c r="H1005" i="2" s="1"/>
  <c r="G1004" i="2"/>
  <c r="H1004" i="2" s="1"/>
  <c r="G998" i="2"/>
  <c r="H998" i="2" s="1"/>
  <c r="G997" i="2"/>
  <c r="H997" i="2" s="1"/>
  <c r="G996" i="2"/>
  <c r="H996" i="2" s="1"/>
  <c r="G990" i="2"/>
  <c r="H990" i="2" s="1"/>
  <c r="G989" i="2"/>
  <c r="H989" i="2" s="1"/>
  <c r="G988" i="2"/>
  <c r="H988" i="2" s="1"/>
  <c r="G982" i="2"/>
  <c r="H982" i="2" s="1"/>
  <c r="G981" i="2"/>
  <c r="H981" i="2" s="1"/>
  <c r="G980" i="2"/>
  <c r="H980" i="2" s="1"/>
  <c r="G974" i="2"/>
  <c r="H974" i="2" s="1"/>
  <c r="G973" i="2"/>
  <c r="H973" i="2" s="1"/>
  <c r="G972" i="2"/>
  <c r="H972" i="2" s="1"/>
  <c r="G966" i="2"/>
  <c r="H966" i="2" s="1"/>
  <c r="G965" i="2"/>
  <c r="H965" i="2" s="1"/>
  <c r="G964" i="2"/>
  <c r="H964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3" i="2"/>
  <c r="H933" i="2" s="1"/>
  <c r="G932" i="2"/>
  <c r="H932" i="2" s="1"/>
  <c r="G931" i="2"/>
  <c r="H931" i="2" s="1"/>
  <c r="G925" i="2"/>
  <c r="H925" i="2" s="1"/>
  <c r="G924" i="2"/>
  <c r="H924" i="2" s="1"/>
  <c r="G923" i="2"/>
  <c r="H923" i="2" s="1"/>
  <c r="G922" i="2"/>
  <c r="H922" i="2" s="1"/>
  <c r="G916" i="2"/>
  <c r="H916" i="2" s="1"/>
  <c r="G915" i="2"/>
  <c r="H915" i="2" s="1"/>
  <c r="G914" i="2"/>
  <c r="H914" i="2" s="1"/>
  <c r="G913" i="2"/>
  <c r="H913" i="2" s="1"/>
  <c r="G912" i="2"/>
  <c r="H912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77" i="2"/>
  <c r="H877" i="2" s="1"/>
  <c r="G876" i="2"/>
  <c r="H876" i="2" s="1"/>
  <c r="G875" i="2"/>
  <c r="H875" i="2" s="1"/>
  <c r="G874" i="2"/>
  <c r="H874" i="2" s="1"/>
  <c r="G873" i="2"/>
  <c r="H873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55" i="2"/>
  <c r="H855" i="2" s="1"/>
  <c r="G854" i="2"/>
  <c r="H854" i="2" s="1"/>
  <c r="G853" i="2"/>
  <c r="H853" i="2" s="1"/>
  <c r="G852" i="2"/>
  <c r="H852" i="2" s="1"/>
  <c r="G851" i="2"/>
  <c r="H851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0" i="2"/>
  <c r="H820" i="2" s="1"/>
  <c r="G816" i="2"/>
  <c r="H816" i="2" s="1"/>
  <c r="G819" i="2"/>
  <c r="H819" i="2" s="1"/>
  <c r="G818" i="2"/>
  <c r="H818" i="2" s="1"/>
  <c r="G817" i="2"/>
  <c r="H817" i="2" s="1"/>
  <c r="G815" i="2"/>
  <c r="H815" i="2" s="1"/>
  <c r="G809" i="2"/>
  <c r="H809" i="2" s="1"/>
  <c r="G808" i="2"/>
  <c r="H808" i="2" s="1"/>
  <c r="G807" i="2"/>
  <c r="H807" i="2" s="1"/>
  <c r="G802" i="2"/>
  <c r="H802" i="2" s="1"/>
  <c r="G804" i="2"/>
  <c r="H804" i="2" s="1"/>
  <c r="G801" i="2"/>
  <c r="H801" i="2" s="1"/>
  <c r="G803" i="2"/>
  <c r="H803" i="2" s="1"/>
  <c r="G800" i="2"/>
  <c r="H800" i="2" s="1"/>
  <c r="G799" i="2"/>
  <c r="H799" i="2" s="1"/>
  <c r="G798" i="2"/>
  <c r="H798" i="2" s="1"/>
  <c r="G797" i="2"/>
  <c r="H797" i="2" s="1"/>
  <c r="G791" i="2"/>
  <c r="H791" i="2" s="1"/>
  <c r="G790" i="2"/>
  <c r="H790" i="2" s="1"/>
  <c r="G789" i="2"/>
  <c r="H789" i="2" s="1"/>
  <c r="G787" i="2"/>
  <c r="H787" i="2" s="1"/>
  <c r="G781" i="2"/>
  <c r="H781" i="2" s="1"/>
  <c r="G780" i="2"/>
  <c r="H780" i="2" s="1"/>
  <c r="G770" i="2"/>
  <c r="H770" i="2" s="1"/>
  <c r="G769" i="2"/>
  <c r="H769" i="2" s="1"/>
  <c r="G768" i="2"/>
  <c r="H768" i="2" s="1"/>
  <c r="G767" i="2"/>
  <c r="H767" i="2" s="1"/>
  <c r="G763" i="2"/>
  <c r="H763" i="2" s="1"/>
  <c r="G762" i="2"/>
  <c r="H762" i="2" s="1"/>
  <c r="G756" i="2"/>
  <c r="H756" i="2" s="1"/>
  <c r="G755" i="2"/>
  <c r="H755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2" i="2"/>
  <c r="H732" i="2" s="1"/>
  <c r="G731" i="2"/>
  <c r="H731" i="2" s="1"/>
  <c r="G730" i="2"/>
  <c r="H730" i="2" s="1"/>
  <c r="G729" i="2"/>
  <c r="H729" i="2" s="1"/>
  <c r="G723" i="2"/>
  <c r="H723" i="2" s="1"/>
  <c r="G722" i="2"/>
  <c r="H722" i="2" s="1"/>
  <c r="G716" i="2"/>
  <c r="H716" i="2" s="1"/>
  <c r="G715" i="2"/>
  <c r="H715" i="2" s="1"/>
  <c r="G709" i="2"/>
  <c r="H709" i="2" s="1"/>
  <c r="G708" i="2"/>
  <c r="H708" i="2" s="1"/>
  <c r="G707" i="2"/>
  <c r="H707" i="2" s="1"/>
  <c r="G706" i="2"/>
  <c r="H706" i="2" s="1"/>
  <c r="G700" i="2"/>
  <c r="H700" i="2" s="1"/>
  <c r="G699" i="2"/>
  <c r="H699" i="2" s="1"/>
  <c r="G698" i="2"/>
  <c r="H698" i="2" s="1"/>
  <c r="G697" i="2"/>
  <c r="H697" i="2" s="1"/>
  <c r="G691" i="2"/>
  <c r="H691" i="2" s="1"/>
  <c r="G690" i="2"/>
  <c r="H690" i="2" s="1"/>
  <c r="G689" i="2"/>
  <c r="H689" i="2" s="1"/>
  <c r="G683" i="2"/>
  <c r="H683" i="2" s="1"/>
  <c r="G682" i="2"/>
  <c r="H682" i="2" s="1"/>
  <c r="G681" i="2"/>
  <c r="H681" i="2" s="1"/>
  <c r="G680" i="2"/>
  <c r="H680" i="2" s="1"/>
  <c r="G674" i="2"/>
  <c r="H674" i="2" s="1"/>
  <c r="G673" i="2"/>
  <c r="H673" i="2" s="1"/>
  <c r="G672" i="2"/>
  <c r="H672" i="2" s="1"/>
  <c r="G671" i="2"/>
  <c r="H671" i="2" s="1"/>
  <c r="G665" i="2"/>
  <c r="H665" i="2" s="1"/>
  <c r="G664" i="2"/>
  <c r="H664" i="2" s="1"/>
  <c r="G663" i="2"/>
  <c r="H663" i="2" s="1"/>
  <c r="G662" i="2"/>
  <c r="H662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3" i="2"/>
  <c r="H633" i="2" s="1"/>
  <c r="G632" i="2"/>
  <c r="H632" i="2" s="1"/>
  <c r="G626" i="2"/>
  <c r="H626" i="2" s="1"/>
  <c r="G625" i="2"/>
  <c r="H625" i="2" s="1"/>
  <c r="G619" i="2"/>
  <c r="H619" i="2" s="1"/>
  <c r="G618" i="2"/>
  <c r="H618" i="2" s="1"/>
  <c r="G612" i="2"/>
  <c r="H612" i="2" s="1"/>
  <c r="G611" i="2"/>
  <c r="H611" i="2" s="1"/>
  <c r="G605" i="2"/>
  <c r="H605" i="2" s="1"/>
  <c r="G604" i="2"/>
  <c r="H604" i="2" s="1"/>
  <c r="G598" i="2"/>
  <c r="H598" i="2" s="1"/>
  <c r="G597" i="2"/>
  <c r="H597" i="2" s="1"/>
  <c r="G591" i="2"/>
  <c r="H591" i="2" s="1"/>
  <c r="G590" i="2"/>
  <c r="H590" i="2" s="1"/>
  <c r="G584" i="2"/>
  <c r="H584" i="2" s="1"/>
  <c r="G583" i="2"/>
  <c r="H583" i="2" s="1"/>
  <c r="G577" i="2"/>
  <c r="H577" i="2" s="1"/>
  <c r="G576" i="2"/>
  <c r="H576" i="2" s="1"/>
  <c r="G569" i="2"/>
  <c r="H569" i="2" s="1"/>
  <c r="G568" i="2"/>
  <c r="H568" i="2" s="1"/>
  <c r="G567" i="2"/>
  <c r="H567" i="2" s="1"/>
  <c r="G566" i="2"/>
  <c r="H566" i="2" s="1"/>
  <c r="G560" i="2"/>
  <c r="H560" i="2" s="1"/>
  <c r="G558" i="2"/>
  <c r="H558" i="2" s="1"/>
  <c r="G557" i="2"/>
  <c r="H557" i="2" s="1"/>
  <c r="G556" i="2"/>
  <c r="H556" i="2" s="1"/>
  <c r="G548" i="2"/>
  <c r="H548" i="2" s="1"/>
  <c r="G543" i="2"/>
  <c r="H543" i="2" s="1"/>
  <c r="G541" i="2"/>
  <c r="H541" i="2" s="1"/>
  <c r="G547" i="2"/>
  <c r="H547" i="2" s="1"/>
  <c r="G546" i="2"/>
  <c r="H546" i="2" s="1"/>
  <c r="G545" i="2"/>
  <c r="H545" i="2" s="1"/>
  <c r="G544" i="2"/>
  <c r="H544" i="2" s="1"/>
  <c r="G542" i="2"/>
  <c r="H542" i="2" s="1"/>
  <c r="G532" i="2"/>
  <c r="H532" i="2" s="1"/>
  <c r="G531" i="2"/>
  <c r="H531" i="2" s="1"/>
  <c r="G530" i="2"/>
  <c r="H530" i="2" s="1"/>
  <c r="G522" i="2"/>
  <c r="H522" i="2" s="1"/>
  <c r="G521" i="2"/>
  <c r="H521" i="2" s="1"/>
  <c r="G520" i="2"/>
  <c r="H520" i="2" s="1"/>
  <c r="G514" i="2"/>
  <c r="H514" i="2" s="1"/>
  <c r="G513" i="2"/>
  <c r="H513" i="2" s="1"/>
  <c r="G512" i="2"/>
  <c r="H512" i="2" s="1"/>
  <c r="G511" i="2"/>
  <c r="H511" i="2" s="1"/>
  <c r="G505" i="2"/>
  <c r="H505" i="2" s="1"/>
  <c r="G504" i="2"/>
  <c r="H504" i="2" s="1"/>
  <c r="G503" i="2"/>
  <c r="H503" i="2" s="1"/>
  <c r="G485" i="2"/>
  <c r="H485" i="2" s="1"/>
  <c r="G484" i="2"/>
  <c r="H484" i="2" s="1"/>
  <c r="G483" i="2"/>
  <c r="H483" i="2" s="1"/>
  <c r="G230" i="2"/>
  <c r="H230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66" i="2"/>
  <c r="H466" i="2" s="1"/>
  <c r="G465" i="2"/>
  <c r="H465" i="2" s="1"/>
  <c r="G464" i="2"/>
  <c r="H464" i="2" s="1"/>
  <c r="G458" i="2"/>
  <c r="H458" i="2" s="1"/>
  <c r="G457" i="2"/>
  <c r="H457" i="2" s="1"/>
  <c r="G451" i="2"/>
  <c r="H451" i="2" s="1"/>
  <c r="G450" i="2"/>
  <c r="H450" i="2" s="1"/>
  <c r="G444" i="2"/>
  <c r="H444" i="2" s="1"/>
  <c r="G443" i="2"/>
  <c r="H443" i="2" s="1"/>
  <c r="G437" i="2"/>
  <c r="H437" i="2" s="1"/>
  <c r="G436" i="2"/>
  <c r="H436" i="2" s="1"/>
  <c r="G430" i="2"/>
  <c r="H430" i="2" s="1"/>
  <c r="G429" i="2"/>
  <c r="H429" i="2" s="1"/>
  <c r="G423" i="2"/>
  <c r="H423" i="2" s="1"/>
  <c r="G422" i="2"/>
  <c r="H422" i="2" s="1"/>
  <c r="G416" i="2"/>
  <c r="H416" i="2" s="1"/>
  <c r="G415" i="2"/>
  <c r="H415" i="2" s="1"/>
  <c r="G409" i="2"/>
  <c r="H409" i="2" s="1"/>
  <c r="G408" i="2"/>
  <c r="H408" i="2" s="1"/>
  <c r="G407" i="2"/>
  <c r="H407" i="2" s="1"/>
  <c r="G401" i="2"/>
  <c r="H401" i="2" s="1"/>
  <c r="G400" i="2"/>
  <c r="H400" i="2" s="1"/>
  <c r="G394" i="2"/>
  <c r="H394" i="2" s="1"/>
  <c r="G393" i="2"/>
  <c r="H393" i="2" s="1"/>
  <c r="G387" i="2"/>
  <c r="H387" i="2" s="1"/>
  <c r="G386" i="2"/>
  <c r="H386" i="2" s="1"/>
  <c r="G380" i="2"/>
  <c r="H380" i="2" s="1"/>
  <c r="G379" i="2"/>
  <c r="H379" i="2" s="1"/>
  <c r="G373" i="2"/>
  <c r="H373" i="2" s="1"/>
  <c r="G372" i="2"/>
  <c r="H372" i="2" s="1"/>
  <c r="G366" i="2"/>
  <c r="H366" i="2" s="1"/>
  <c r="G365" i="2"/>
  <c r="H365" i="2" s="1"/>
  <c r="G359" i="2"/>
  <c r="H359" i="2" s="1"/>
  <c r="G358" i="2"/>
  <c r="H358" i="2" s="1"/>
  <c r="G352" i="2"/>
  <c r="H352" i="2" s="1"/>
  <c r="G351" i="2"/>
  <c r="H351" i="2" s="1"/>
  <c r="G345" i="2"/>
  <c r="H345" i="2" s="1"/>
  <c r="G344" i="2"/>
  <c r="H344" i="2" s="1"/>
  <c r="G338" i="2"/>
  <c r="H338" i="2" s="1"/>
  <c r="G337" i="2"/>
  <c r="H337" i="2" s="1"/>
  <c r="G331" i="2"/>
  <c r="H331" i="2" s="1"/>
  <c r="G330" i="2"/>
  <c r="H330" i="2" s="1"/>
  <c r="G329" i="2"/>
  <c r="H329" i="2" s="1"/>
  <c r="G328" i="2"/>
  <c r="H328" i="2" s="1"/>
  <c r="G322" i="2"/>
  <c r="H322" i="2" s="1"/>
  <c r="G321" i="2"/>
  <c r="H321" i="2" s="1"/>
  <c r="G320" i="2"/>
  <c r="H320" i="2" s="1"/>
  <c r="G319" i="2"/>
  <c r="H319" i="2" s="1"/>
  <c r="G313" i="2"/>
  <c r="H313" i="2" s="1"/>
  <c r="G311" i="2"/>
  <c r="H311" i="2" s="1"/>
  <c r="G310" i="2"/>
  <c r="H310" i="2" s="1"/>
  <c r="G309" i="2"/>
  <c r="H309" i="2" s="1"/>
  <c r="G301" i="2"/>
  <c r="H301" i="2" s="1"/>
  <c r="G300" i="2"/>
  <c r="H300" i="2" s="1"/>
  <c r="G299" i="2"/>
  <c r="H299" i="2" s="1"/>
  <c r="G290" i="2"/>
  <c r="H290" i="2" s="1"/>
  <c r="G289" i="2"/>
  <c r="H289" i="2" s="1"/>
  <c r="G288" i="2"/>
  <c r="H288" i="2" s="1"/>
  <c r="G280" i="2"/>
  <c r="H280" i="2" s="1"/>
  <c r="G279" i="2"/>
  <c r="H279" i="2" s="1"/>
  <c r="G278" i="2"/>
  <c r="H278" i="2" s="1"/>
  <c r="G277" i="2"/>
  <c r="H277" i="2" s="1"/>
  <c r="G271" i="2"/>
  <c r="H271" i="2" s="1"/>
  <c r="G270" i="2"/>
  <c r="H270" i="2" s="1"/>
  <c r="G269" i="2"/>
  <c r="H269" i="2" s="1"/>
  <c r="G263" i="2"/>
  <c r="H263" i="2" s="1"/>
  <c r="G262" i="2"/>
  <c r="H262" i="2" s="1"/>
  <c r="G261" i="2"/>
  <c r="H261" i="2" s="1"/>
  <c r="G255" i="2"/>
  <c r="H255" i="2" s="1"/>
  <c r="G254" i="2"/>
  <c r="H254" i="2" s="1"/>
  <c r="G253" i="2"/>
  <c r="H253" i="2" s="1"/>
  <c r="G247" i="2"/>
  <c r="H247" i="2" s="1"/>
  <c r="G246" i="2"/>
  <c r="H246" i="2" s="1"/>
  <c r="G245" i="2"/>
  <c r="H245" i="2" s="1"/>
  <c r="G244" i="2"/>
  <c r="H244" i="2" s="1"/>
  <c r="G236" i="2"/>
  <c r="H236" i="2" s="1"/>
  <c r="G235" i="2"/>
  <c r="H235" i="2" s="1"/>
  <c r="G234" i="2"/>
  <c r="H234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224" i="2"/>
  <c r="H224" i="2" s="1"/>
  <c r="G223" i="2"/>
  <c r="H223" i="2" s="1"/>
  <c r="G222" i="2"/>
  <c r="H222" i="2" s="1"/>
  <c r="G221" i="2"/>
  <c r="H221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4" i="2"/>
  <c r="H204" i="2" s="1"/>
  <c r="G203" i="2"/>
  <c r="H203" i="2" s="1"/>
  <c r="G202" i="2"/>
  <c r="H202" i="2" s="1"/>
  <c r="G196" i="2"/>
  <c r="H196" i="2" s="1"/>
  <c r="G195" i="2"/>
  <c r="H195" i="2" s="1"/>
  <c r="G189" i="2"/>
  <c r="H189" i="2" s="1"/>
  <c r="G188" i="2"/>
  <c r="H188" i="2" s="1"/>
  <c r="G187" i="2"/>
  <c r="H187" i="2" s="1"/>
  <c r="G181" i="2"/>
  <c r="H181" i="2" s="1"/>
  <c r="G180" i="2"/>
  <c r="H180" i="2" s="1"/>
  <c r="G179" i="2"/>
  <c r="H179" i="2" s="1"/>
  <c r="G173" i="2"/>
  <c r="H173" i="2" s="1"/>
  <c r="G172" i="2"/>
  <c r="H172" i="2" s="1"/>
  <c r="G166" i="2"/>
  <c r="H166" i="2" s="1"/>
  <c r="G165" i="2"/>
  <c r="H165" i="2" s="1"/>
  <c r="G159" i="2"/>
  <c r="H159" i="2" s="1"/>
  <c r="G158" i="2"/>
  <c r="H158" i="2" s="1"/>
  <c r="G152" i="2"/>
  <c r="H152" i="2" s="1"/>
  <c r="G151" i="2"/>
  <c r="H151" i="2" s="1"/>
  <c r="G150" i="2"/>
  <c r="H150" i="2" s="1"/>
  <c r="G144" i="2"/>
  <c r="H144" i="2" s="1"/>
  <c r="G143" i="2"/>
  <c r="H143" i="2" s="1"/>
  <c r="G137" i="2"/>
  <c r="H137" i="2" s="1"/>
  <c r="G136" i="2"/>
  <c r="H136" i="2" s="1"/>
  <c r="G130" i="2"/>
  <c r="H130" i="2" s="1"/>
  <c r="G129" i="2"/>
  <c r="H129" i="2" s="1"/>
  <c r="G128" i="2"/>
  <c r="H128" i="2" s="1"/>
  <c r="G122" i="2"/>
  <c r="H122" i="2" s="1"/>
  <c r="G121" i="2"/>
  <c r="H121" i="2" s="1"/>
  <c r="G115" i="2"/>
  <c r="H115" i="2" s="1"/>
  <c r="G114" i="2"/>
  <c r="H114" i="2" s="1"/>
  <c r="G108" i="2"/>
  <c r="H108" i="2" s="1"/>
  <c r="G107" i="2"/>
  <c r="H107" i="2" s="1"/>
  <c r="G101" i="2"/>
  <c r="H101" i="2" s="1"/>
  <c r="G100" i="2"/>
  <c r="H100" i="2" s="1"/>
  <c r="G94" i="2"/>
  <c r="H94" i="2" s="1"/>
  <c r="G93" i="2"/>
  <c r="H93" i="2" s="1"/>
  <c r="G87" i="2"/>
  <c r="H87" i="2" s="1"/>
  <c r="G86" i="2"/>
  <c r="H86" i="2" s="1"/>
  <c r="G80" i="2"/>
  <c r="H80" i="2" s="1"/>
  <c r="G79" i="2"/>
  <c r="H79" i="2" s="1"/>
  <c r="G73" i="2"/>
  <c r="H73" i="2" s="1"/>
  <c r="G72" i="2"/>
  <c r="H72" i="2" s="1"/>
  <c r="G66" i="2"/>
  <c r="H66" i="2" s="1"/>
  <c r="G65" i="2"/>
  <c r="H65" i="2" s="1"/>
  <c r="G59" i="2"/>
  <c r="H59" i="2" s="1"/>
  <c r="G58" i="2"/>
  <c r="H58" i="2" s="1"/>
  <c r="G52" i="2"/>
  <c r="H52" i="2" s="1"/>
  <c r="G51" i="2"/>
  <c r="H51" i="2" s="1"/>
  <c r="G50" i="2"/>
  <c r="H50" i="2" s="1"/>
  <c r="G49" i="2"/>
  <c r="H49" i="2" s="1"/>
  <c r="G43" i="2"/>
  <c r="H43" i="2" s="1"/>
  <c r="G42" i="2"/>
  <c r="H42" i="2" s="1"/>
  <c r="G41" i="2"/>
  <c r="H41" i="2" s="1"/>
  <c r="G40" i="2"/>
  <c r="H40" i="2" s="1"/>
  <c r="G34" i="2"/>
  <c r="H34" i="2" s="1"/>
  <c r="G32" i="2"/>
  <c r="H32" i="2" s="1"/>
  <c r="G31" i="2"/>
  <c r="H31" i="2" s="1"/>
  <c r="G30" i="2"/>
  <c r="H30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8" i="2"/>
  <c r="H8" i="2" s="1"/>
  <c r="G7" i="2"/>
  <c r="H7" i="2" s="1"/>
  <c r="G1769" i="2"/>
  <c r="H1769" i="2" s="1"/>
  <c r="G1280" i="2"/>
  <c r="H1280" i="2" s="1"/>
  <c r="G934" i="2"/>
  <c r="H934" i="2" s="1"/>
  <c r="G774" i="2"/>
  <c r="H774" i="2" s="1"/>
  <c r="H771" i="2"/>
  <c r="G757" i="2"/>
  <c r="H757" i="2" s="1"/>
  <c r="G761" i="2"/>
  <c r="H761" i="2" s="1"/>
  <c r="G760" i="2"/>
  <c r="H760" i="2" s="1"/>
  <c r="G759" i="2"/>
  <c r="H759" i="2" s="1"/>
  <c r="G749" i="2"/>
  <c r="H749" i="2" s="1"/>
  <c r="G575" i="2"/>
  <c r="H575" i="2" s="1"/>
  <c r="G559" i="2"/>
  <c r="H559" i="2" s="1"/>
  <c r="G555" i="2"/>
  <c r="H555" i="2" s="1"/>
  <c r="G535" i="2"/>
  <c r="H535" i="2" s="1"/>
  <c r="G534" i="2"/>
  <c r="H534" i="2" s="1"/>
  <c r="G533" i="2"/>
  <c r="H533" i="2" s="1"/>
  <c r="G529" i="2"/>
  <c r="H529" i="2" s="1"/>
  <c r="G528" i="2"/>
  <c r="H528" i="2" s="1"/>
  <c r="G312" i="2"/>
  <c r="H312" i="2" s="1"/>
  <c r="G308" i="2"/>
  <c r="H308" i="2" s="1"/>
  <c r="G302" i="2"/>
  <c r="H302" i="2" s="1"/>
  <c r="G293" i="2"/>
  <c r="H293" i="2" s="1"/>
  <c r="G292" i="2"/>
  <c r="H292" i="2" s="1"/>
  <c r="G291" i="2"/>
  <c r="H291" i="2" s="1"/>
  <c r="G287" i="2"/>
  <c r="H287" i="2" s="1"/>
  <c r="G286" i="2"/>
  <c r="H286" i="2" s="1"/>
  <c r="G33" i="2"/>
  <c r="H33" i="2" s="1"/>
  <c r="G29" i="2"/>
  <c r="H29" i="2" s="1"/>
  <c r="G23" i="2"/>
  <c r="H23" i="2" s="1"/>
  <c r="G11" i="2"/>
  <c r="G10" i="2"/>
  <c r="H10" i="2" s="1"/>
  <c r="G9" i="2"/>
  <c r="H9" i="2" s="1"/>
  <c r="G5" i="2"/>
  <c r="I711" i="2"/>
  <c r="H711" i="2"/>
  <c r="F710" i="2" s="1"/>
  <c r="G710" i="2" s="1"/>
  <c r="H710" i="2" s="1"/>
  <c r="G705" i="2"/>
  <c r="H705" i="2" s="1"/>
  <c r="I693" i="2"/>
  <c r="H693" i="2"/>
  <c r="F692" i="2" s="1"/>
  <c r="G692" i="2" s="1"/>
  <c r="H692" i="2" s="1"/>
  <c r="G688" i="2"/>
  <c r="H688" i="2" s="1"/>
  <c r="I1894" i="2"/>
  <c r="H1894" i="2"/>
  <c r="F1893" i="2" s="1"/>
  <c r="G1893" i="2" s="1"/>
  <c r="H1893" i="2" s="1"/>
  <c r="G1889" i="2"/>
  <c r="H1889" i="2" s="1"/>
  <c r="I1886" i="2"/>
  <c r="H1886" i="2"/>
  <c r="F1885" i="2" s="1"/>
  <c r="G1885" i="2" s="1"/>
  <c r="H1885" i="2" s="1"/>
  <c r="G1881" i="2"/>
  <c r="H1881" i="2" s="1"/>
  <c r="I1878" i="2"/>
  <c r="H1878" i="2"/>
  <c r="F1877" i="2" s="1"/>
  <c r="G1877" i="2" s="1"/>
  <c r="H1877" i="2" s="1"/>
  <c r="G1873" i="2"/>
  <c r="H1873" i="2" s="1"/>
  <c r="I1870" i="2"/>
  <c r="H1870" i="2"/>
  <c r="F1869" i="2" s="1"/>
  <c r="G1869" i="2" s="1"/>
  <c r="H1869" i="2" s="1"/>
  <c r="G1860" i="2"/>
  <c r="H1860" i="2" s="1"/>
  <c r="I1857" i="2"/>
  <c r="H1857" i="2"/>
  <c r="F1856" i="2" s="1"/>
  <c r="G1856" i="2" s="1"/>
  <c r="H1856" i="2" s="1"/>
  <c r="G1847" i="2"/>
  <c r="H1847" i="2" s="1"/>
  <c r="I1844" i="2"/>
  <c r="H1844" i="2"/>
  <c r="F1843" i="2" s="1"/>
  <c r="G1843" i="2" s="1"/>
  <c r="H1843" i="2" s="1"/>
  <c r="G1823" i="2"/>
  <c r="H1823" i="2" s="1"/>
  <c r="I1820" i="2"/>
  <c r="H1820" i="2"/>
  <c r="F1819" i="2" s="1"/>
  <c r="G1819" i="2" s="1"/>
  <c r="H1819" i="2" s="1"/>
  <c r="G1803" i="2"/>
  <c r="H1803" i="2" s="1"/>
  <c r="I1800" i="2"/>
  <c r="H1800" i="2"/>
  <c r="F1799" i="2" s="1"/>
  <c r="G1799" i="2" s="1"/>
  <c r="H1799" i="2" s="1"/>
  <c r="G1793" i="2"/>
  <c r="H1793" i="2" s="1"/>
  <c r="I1790" i="2"/>
  <c r="H1790" i="2"/>
  <c r="F1789" i="2" s="1"/>
  <c r="G1789" i="2" s="1"/>
  <c r="H1789" i="2" s="1"/>
  <c r="G1785" i="2"/>
  <c r="H1785" i="2" s="1"/>
  <c r="I1782" i="2"/>
  <c r="H1782" i="2"/>
  <c r="F1781" i="2" s="1"/>
  <c r="G1781" i="2" s="1"/>
  <c r="H1781" i="2" s="1"/>
  <c r="G1774" i="2"/>
  <c r="H1774" i="2" s="1"/>
  <c r="I1771" i="2"/>
  <c r="H1771" i="2"/>
  <c r="F1770" i="2" s="1"/>
  <c r="G1770" i="2" s="1"/>
  <c r="H1770" i="2" s="1"/>
  <c r="G1760" i="2"/>
  <c r="H1760" i="2" s="1"/>
  <c r="I1757" i="2"/>
  <c r="H1757" i="2"/>
  <c r="F1756" i="2" s="1"/>
  <c r="G1756" i="2" s="1"/>
  <c r="H1756" i="2" s="1"/>
  <c r="G1752" i="2"/>
  <c r="H1752" i="2" s="1"/>
  <c r="I1749" i="2"/>
  <c r="H1749" i="2"/>
  <c r="F1748" i="2" s="1"/>
  <c r="G1748" i="2" s="1"/>
  <c r="H1748" i="2" s="1"/>
  <c r="G1744" i="2"/>
  <c r="H1744" i="2" s="1"/>
  <c r="I1741" i="2"/>
  <c r="H1741" i="2"/>
  <c r="F1740" i="2" s="1"/>
  <c r="G1740" i="2" s="1"/>
  <c r="H1740" i="2" s="1"/>
  <c r="G1736" i="2"/>
  <c r="H1736" i="2" s="1"/>
  <c r="I1733" i="2"/>
  <c r="H1733" i="2"/>
  <c r="F1732" i="2" s="1"/>
  <c r="G1732" i="2" s="1"/>
  <c r="H1732" i="2" s="1"/>
  <c r="G1728" i="2"/>
  <c r="H1728" i="2" s="1"/>
  <c r="I1725" i="2"/>
  <c r="H1725" i="2"/>
  <c r="F1724" i="2" s="1"/>
  <c r="G1724" i="2" s="1"/>
  <c r="H1724" i="2" s="1"/>
  <c r="G1720" i="2"/>
  <c r="H1720" i="2" s="1"/>
  <c r="I1717" i="2"/>
  <c r="H1717" i="2"/>
  <c r="F1716" i="2" s="1"/>
  <c r="G1716" i="2" s="1"/>
  <c r="H1716" i="2" s="1"/>
  <c r="G1712" i="2"/>
  <c r="H1712" i="2" s="1"/>
  <c r="I1709" i="2"/>
  <c r="H1709" i="2"/>
  <c r="F1708" i="2" s="1"/>
  <c r="G1708" i="2" s="1"/>
  <c r="H1708" i="2" s="1"/>
  <c r="G1704" i="2"/>
  <c r="H1704" i="2" s="1"/>
  <c r="I1701" i="2"/>
  <c r="H1701" i="2"/>
  <c r="F1700" i="2" s="1"/>
  <c r="G1700" i="2" s="1"/>
  <c r="H1700" i="2" s="1"/>
  <c r="G1695" i="2"/>
  <c r="H1695" i="2" s="1"/>
  <c r="I1692" i="2"/>
  <c r="H1692" i="2"/>
  <c r="F1691" i="2" s="1"/>
  <c r="G1691" i="2" s="1"/>
  <c r="H1691" i="2" s="1"/>
  <c r="G1687" i="2"/>
  <c r="H1687" i="2" s="1"/>
  <c r="I1684" i="2"/>
  <c r="H1684" i="2"/>
  <c r="F1683" i="2" s="1"/>
  <c r="G1683" i="2" s="1"/>
  <c r="H1683" i="2" s="1"/>
  <c r="G1679" i="2"/>
  <c r="H1679" i="2" s="1"/>
  <c r="I1676" i="2"/>
  <c r="H1676" i="2"/>
  <c r="F1675" i="2" s="1"/>
  <c r="G1675" i="2" s="1"/>
  <c r="H1675" i="2" s="1"/>
  <c r="G1671" i="2"/>
  <c r="H1671" i="2" s="1"/>
  <c r="I1668" i="2"/>
  <c r="H1668" i="2"/>
  <c r="F1667" i="2" s="1"/>
  <c r="G1667" i="2" s="1"/>
  <c r="H1667" i="2" s="1"/>
  <c r="G1663" i="2"/>
  <c r="H1663" i="2" s="1"/>
  <c r="I1660" i="2"/>
  <c r="H1660" i="2"/>
  <c r="F1659" i="2" s="1"/>
  <c r="G1659" i="2" s="1"/>
  <c r="H1659" i="2" s="1"/>
  <c r="G1655" i="2"/>
  <c r="H1655" i="2" s="1"/>
  <c r="I1652" i="2"/>
  <c r="H1652" i="2"/>
  <c r="G1632" i="2"/>
  <c r="H1632" i="2" s="1"/>
  <c r="I1629" i="2"/>
  <c r="H1629" i="2"/>
  <c r="F1628" i="2" s="1"/>
  <c r="G1628" i="2" s="1"/>
  <c r="H1628" i="2" s="1"/>
  <c r="G1616" i="2"/>
  <c r="H1616" i="2" s="1"/>
  <c r="I1613" i="2"/>
  <c r="H1613" i="2"/>
  <c r="F1612" i="2" s="1"/>
  <c r="G1612" i="2" s="1"/>
  <c r="H1612" i="2" s="1"/>
  <c r="G1607" i="2"/>
  <c r="H1607" i="2" s="1"/>
  <c r="I1604" i="2"/>
  <c r="H1604" i="2"/>
  <c r="F1603" i="2" s="1"/>
  <c r="G1603" i="2" s="1"/>
  <c r="H1603" i="2" s="1"/>
  <c r="G1598" i="2"/>
  <c r="H1598" i="2" s="1"/>
  <c r="I1595" i="2"/>
  <c r="H1595" i="2"/>
  <c r="F1594" i="2" s="1"/>
  <c r="G1594" i="2" s="1"/>
  <c r="H1594" i="2" s="1"/>
  <c r="G1589" i="2"/>
  <c r="H1589" i="2" s="1"/>
  <c r="I1586" i="2"/>
  <c r="H1586" i="2"/>
  <c r="F1585" i="2" s="1"/>
  <c r="G1585" i="2" s="1"/>
  <c r="H1585" i="2" s="1"/>
  <c r="G1580" i="2"/>
  <c r="H1580" i="2" s="1"/>
  <c r="I1577" i="2"/>
  <c r="H1577" i="2"/>
  <c r="F1576" i="2" s="1"/>
  <c r="G1576" i="2" s="1"/>
  <c r="H1576" i="2" s="1"/>
  <c r="G1571" i="2"/>
  <c r="H1571" i="2" s="1"/>
  <c r="I1568" i="2"/>
  <c r="H1568" i="2"/>
  <c r="F1567" i="2" s="1"/>
  <c r="G1567" i="2" s="1"/>
  <c r="H1567" i="2" s="1"/>
  <c r="G1563" i="2"/>
  <c r="H1563" i="2" s="1"/>
  <c r="I1560" i="2"/>
  <c r="H1560" i="2"/>
  <c r="F1559" i="2" s="1"/>
  <c r="G1559" i="2" s="1"/>
  <c r="H1559" i="2" s="1"/>
  <c r="G1555" i="2"/>
  <c r="H1555" i="2" s="1"/>
  <c r="I1552" i="2"/>
  <c r="H1552" i="2"/>
  <c r="F1551" i="2" s="1"/>
  <c r="G1551" i="2" s="1"/>
  <c r="H1551" i="2" s="1"/>
  <c r="G1546" i="2"/>
  <c r="H1546" i="2" s="1"/>
  <c r="I1543" i="2"/>
  <c r="H1543" i="2"/>
  <c r="F1542" i="2" s="1"/>
  <c r="G1542" i="2" s="1"/>
  <c r="H1542" i="2" s="1"/>
  <c r="G1537" i="2"/>
  <c r="H1537" i="2" s="1"/>
  <c r="I1534" i="2"/>
  <c r="H1534" i="2"/>
  <c r="F1533" i="2" s="1"/>
  <c r="G1533" i="2" s="1"/>
  <c r="H1533" i="2" s="1"/>
  <c r="G1526" i="2"/>
  <c r="H1526" i="2" s="1"/>
  <c r="I1523" i="2"/>
  <c r="H1523" i="2"/>
  <c r="F1522" i="2" s="1"/>
  <c r="G1522" i="2" s="1"/>
  <c r="H1522" i="2" s="1"/>
  <c r="G1515" i="2"/>
  <c r="H1515" i="2" s="1"/>
  <c r="I1512" i="2"/>
  <c r="H1512" i="2"/>
  <c r="F1511" i="2" s="1"/>
  <c r="G1511" i="2" s="1"/>
  <c r="H1511" i="2" s="1"/>
  <c r="G1501" i="2"/>
  <c r="H1501" i="2" s="1"/>
  <c r="I1498" i="2"/>
  <c r="H1498" i="2"/>
  <c r="F1497" i="2" s="1"/>
  <c r="G1497" i="2" s="1"/>
  <c r="H1497" i="2" s="1"/>
  <c r="G1486" i="2"/>
  <c r="H1486" i="2" s="1"/>
  <c r="I1481" i="2"/>
  <c r="H1481" i="2"/>
  <c r="F1480" i="2" s="1"/>
  <c r="G1480" i="2" s="1"/>
  <c r="H1480" i="2" s="1"/>
  <c r="G1476" i="2"/>
  <c r="H1476" i="2" s="1"/>
  <c r="I1473" i="2"/>
  <c r="H1473" i="2"/>
  <c r="F1472" i="2" s="1"/>
  <c r="G1472" i="2" s="1"/>
  <c r="H1472" i="2" s="1"/>
  <c r="G1466" i="2"/>
  <c r="H1466" i="2" s="1"/>
  <c r="I1463" i="2"/>
  <c r="H1463" i="2"/>
  <c r="F1462" i="2" s="1"/>
  <c r="G1462" i="2" s="1"/>
  <c r="H1462" i="2" s="1"/>
  <c r="G1455" i="2"/>
  <c r="H1455" i="2" s="1"/>
  <c r="I1452" i="2"/>
  <c r="H1452" i="2"/>
  <c r="F1451" i="2" s="1"/>
  <c r="G1451" i="2" s="1"/>
  <c r="H1451" i="2" s="1"/>
  <c r="G1445" i="2"/>
  <c r="H1445" i="2" s="1"/>
  <c r="I1442" i="2"/>
  <c r="H1442" i="2"/>
  <c r="F1441" i="2" s="1"/>
  <c r="G1441" i="2" s="1"/>
  <c r="H1441" i="2" s="1"/>
  <c r="G1434" i="2"/>
  <c r="H1434" i="2" s="1"/>
  <c r="I1431" i="2"/>
  <c r="H1431" i="2"/>
  <c r="F1430" i="2" s="1"/>
  <c r="G1430" i="2" s="1"/>
  <c r="H1430" i="2" s="1"/>
  <c r="G1422" i="2"/>
  <c r="H1422" i="2" s="1"/>
  <c r="I1419" i="2"/>
  <c r="H1419" i="2"/>
  <c r="F1418" i="2" s="1"/>
  <c r="G1418" i="2" s="1"/>
  <c r="H1418" i="2" s="1"/>
  <c r="G1405" i="2"/>
  <c r="H1405" i="2" s="1"/>
  <c r="I1402" i="2"/>
  <c r="H1402" i="2"/>
  <c r="F1401" i="2" s="1"/>
  <c r="G1401" i="2" s="1"/>
  <c r="H1401" i="2" s="1"/>
  <c r="G1395" i="2"/>
  <c r="H1395" i="2" s="1"/>
  <c r="I1392" i="2"/>
  <c r="H1392" i="2"/>
  <c r="F1391" i="2" s="1"/>
  <c r="G1391" i="2" s="1"/>
  <c r="H1391" i="2" s="1"/>
  <c r="G1384" i="2"/>
  <c r="H1384" i="2" s="1"/>
  <c r="I1381" i="2"/>
  <c r="H1381" i="2"/>
  <c r="F1380" i="2" s="1"/>
  <c r="G1380" i="2" s="1"/>
  <c r="H1380" i="2" s="1"/>
  <c r="G1371" i="2"/>
  <c r="H1371" i="2" s="1"/>
  <c r="I1368" i="2"/>
  <c r="H1368" i="2"/>
  <c r="F1367" i="2" s="1"/>
  <c r="G1367" i="2" s="1"/>
  <c r="H1367" i="2" s="1"/>
  <c r="G1359" i="2"/>
  <c r="H1359" i="2" s="1"/>
  <c r="I1356" i="2"/>
  <c r="H1356" i="2"/>
  <c r="F1355" i="2" s="1"/>
  <c r="G1355" i="2" s="1"/>
  <c r="H1355" i="2" s="1"/>
  <c r="G1347" i="2"/>
  <c r="H1347" i="2" s="1"/>
  <c r="I1344" i="2"/>
  <c r="H1344" i="2"/>
  <c r="F1343" i="2" s="1"/>
  <c r="G1343" i="2" s="1"/>
  <c r="H1343" i="2" s="1"/>
  <c r="G1329" i="2"/>
  <c r="H1329" i="2" s="1"/>
  <c r="I1326" i="2"/>
  <c r="H1326" i="2"/>
  <c r="F1325" i="2" s="1"/>
  <c r="G1325" i="2" s="1"/>
  <c r="H1325" i="2" s="1"/>
  <c r="G1318" i="2"/>
  <c r="H1318" i="2" s="1"/>
  <c r="I1315" i="2"/>
  <c r="H1315" i="2"/>
  <c r="F1314" i="2" s="1"/>
  <c r="G1314" i="2" s="1"/>
  <c r="H1314" i="2" s="1"/>
  <c r="H1316" i="2" s="1"/>
  <c r="I1282" i="2"/>
  <c r="H1282" i="2"/>
  <c r="F1281" i="2" s="1"/>
  <c r="G1281" i="2" s="1"/>
  <c r="H1281" i="2" s="1"/>
  <c r="G1264" i="2"/>
  <c r="H1264" i="2" s="1"/>
  <c r="H1261" i="2"/>
  <c r="F1260" i="2" s="1"/>
  <c r="G1260" i="2" s="1"/>
  <c r="H1260" i="2" s="1"/>
  <c r="G1257" i="2"/>
  <c r="H1257" i="2" s="1"/>
  <c r="H1254" i="2"/>
  <c r="F1253" i="2" s="1"/>
  <c r="G1253" i="2" s="1"/>
  <c r="H1253" i="2" s="1"/>
  <c r="G1249" i="2"/>
  <c r="H1249" i="2" s="1"/>
  <c r="H1246" i="2"/>
  <c r="F1245" i="2" s="1"/>
  <c r="G1245" i="2" s="1"/>
  <c r="H1245" i="2" s="1"/>
  <c r="G1241" i="2"/>
  <c r="H1241" i="2" s="1"/>
  <c r="H1238" i="2"/>
  <c r="F1237" i="2" s="1"/>
  <c r="G1237" i="2" s="1"/>
  <c r="H1237" i="2" s="1"/>
  <c r="G1233" i="2"/>
  <c r="H1233" i="2" s="1"/>
  <c r="H1230" i="2"/>
  <c r="F1229" i="2" s="1"/>
  <c r="G1229" i="2" s="1"/>
  <c r="H1229" i="2" s="1"/>
  <c r="G1225" i="2"/>
  <c r="H1225" i="2" s="1"/>
  <c r="H1222" i="2"/>
  <c r="F1221" i="2" s="1"/>
  <c r="G1221" i="2" s="1"/>
  <c r="H1221" i="2" s="1"/>
  <c r="G1217" i="2"/>
  <c r="H1217" i="2" s="1"/>
  <c r="H1214" i="2"/>
  <c r="F1213" i="2" s="1"/>
  <c r="G1213" i="2" s="1"/>
  <c r="H1213" i="2" s="1"/>
  <c r="G1209" i="2"/>
  <c r="H1209" i="2" s="1"/>
  <c r="H1206" i="2"/>
  <c r="F1205" i="2" s="1"/>
  <c r="G1205" i="2" s="1"/>
  <c r="H1205" i="2" s="1"/>
  <c r="G1201" i="2"/>
  <c r="H1201" i="2" s="1"/>
  <c r="H1198" i="2"/>
  <c r="F1197" i="2" s="1"/>
  <c r="G1197" i="2" s="1"/>
  <c r="H1197" i="2" s="1"/>
  <c r="G1193" i="2"/>
  <c r="H1193" i="2" s="1"/>
  <c r="H1190" i="2"/>
  <c r="F1189" i="2" s="1"/>
  <c r="G1189" i="2" s="1"/>
  <c r="H1189" i="2" s="1"/>
  <c r="G1185" i="2"/>
  <c r="H1185" i="2" s="1"/>
  <c r="H1182" i="2"/>
  <c r="F1181" i="2" s="1"/>
  <c r="G1181" i="2" s="1"/>
  <c r="H1181" i="2" s="1"/>
  <c r="G1177" i="2"/>
  <c r="H1177" i="2" s="1"/>
  <c r="H1174" i="2"/>
  <c r="F1173" i="2" s="1"/>
  <c r="G1173" i="2" s="1"/>
  <c r="H1173" i="2" s="1"/>
  <c r="G1169" i="2"/>
  <c r="H1169" i="2" s="1"/>
  <c r="H1166" i="2"/>
  <c r="F1165" i="2" s="1"/>
  <c r="G1165" i="2" s="1"/>
  <c r="H1165" i="2" s="1"/>
  <c r="G1161" i="2"/>
  <c r="H1161" i="2" s="1"/>
  <c r="H1158" i="2"/>
  <c r="F1157" i="2" s="1"/>
  <c r="G1157" i="2" s="1"/>
  <c r="H1157" i="2" s="1"/>
  <c r="G1153" i="2"/>
  <c r="H1153" i="2" s="1"/>
  <c r="H1150" i="2"/>
  <c r="F1149" i="2" s="1"/>
  <c r="G1149" i="2" s="1"/>
  <c r="H1149" i="2" s="1"/>
  <c r="G1145" i="2"/>
  <c r="H1145" i="2" s="1"/>
  <c r="H1142" i="2"/>
  <c r="F1141" i="2" s="1"/>
  <c r="G1141" i="2" s="1"/>
  <c r="H1141" i="2" s="1"/>
  <c r="G1137" i="2"/>
  <c r="H1137" i="2" s="1"/>
  <c r="H1134" i="2"/>
  <c r="F1133" i="2" s="1"/>
  <c r="G1133" i="2" s="1"/>
  <c r="H1133" i="2" s="1"/>
  <c r="G1129" i="2"/>
  <c r="H1129" i="2" s="1"/>
  <c r="H1126" i="2"/>
  <c r="F1125" i="2" s="1"/>
  <c r="G1125" i="2" s="1"/>
  <c r="H1125" i="2" s="1"/>
  <c r="G1121" i="2"/>
  <c r="H1121" i="2" s="1"/>
  <c r="H1118" i="2"/>
  <c r="F1117" i="2" s="1"/>
  <c r="G1117" i="2" s="1"/>
  <c r="H1117" i="2" s="1"/>
  <c r="G1113" i="2"/>
  <c r="H1113" i="2" s="1"/>
  <c r="H1110" i="2"/>
  <c r="F1109" i="2" s="1"/>
  <c r="G1109" i="2" s="1"/>
  <c r="H1109" i="2" s="1"/>
  <c r="G1105" i="2"/>
  <c r="H1105" i="2" s="1"/>
  <c r="H1102" i="2"/>
  <c r="F1101" i="2" s="1"/>
  <c r="G1101" i="2" s="1"/>
  <c r="H1101" i="2" s="1"/>
  <c r="G1097" i="2"/>
  <c r="H1097" i="2" s="1"/>
  <c r="H1094" i="2"/>
  <c r="F1093" i="2" s="1"/>
  <c r="G1093" i="2" s="1"/>
  <c r="H1093" i="2" s="1"/>
  <c r="G1089" i="2"/>
  <c r="H1089" i="2" s="1"/>
  <c r="H1086" i="2"/>
  <c r="F1085" i="2" s="1"/>
  <c r="G1085" i="2" s="1"/>
  <c r="H1085" i="2" s="1"/>
  <c r="G1082" i="2"/>
  <c r="H1082" i="2" s="1"/>
  <c r="H1079" i="2"/>
  <c r="F1078" i="2" s="1"/>
  <c r="G1078" i="2" s="1"/>
  <c r="H1078" i="2" s="1"/>
  <c r="G1074" i="2"/>
  <c r="H1074" i="2" s="1"/>
  <c r="H1071" i="2"/>
  <c r="F1070" i="2" s="1"/>
  <c r="G1070" i="2" s="1"/>
  <c r="H1070" i="2" s="1"/>
  <c r="G1066" i="2"/>
  <c r="H1066" i="2" s="1"/>
  <c r="H1063" i="2"/>
  <c r="F1062" i="2" s="1"/>
  <c r="G1062" i="2" s="1"/>
  <c r="H1062" i="2" s="1"/>
  <c r="G1058" i="2"/>
  <c r="H1058" i="2" s="1"/>
  <c r="I1055" i="2"/>
  <c r="H1055" i="2"/>
  <c r="F1054" i="2" s="1"/>
  <c r="G1054" i="2" s="1"/>
  <c r="H1054" i="2" s="1"/>
  <c r="G1050" i="2"/>
  <c r="H1050" i="2" s="1"/>
  <c r="I1047" i="2"/>
  <c r="H1047" i="2"/>
  <c r="F1046" i="2" s="1"/>
  <c r="G1046" i="2" s="1"/>
  <c r="H1046" i="2" s="1"/>
  <c r="G1042" i="2"/>
  <c r="H1042" i="2" s="1"/>
  <c r="I1039" i="2"/>
  <c r="H1039" i="2"/>
  <c r="F1038" i="2" s="1"/>
  <c r="G1038" i="2" s="1"/>
  <c r="H1038" i="2" s="1"/>
  <c r="G1034" i="2"/>
  <c r="H1034" i="2" s="1"/>
  <c r="I1031" i="2"/>
  <c r="H1031" i="2"/>
  <c r="F1030" i="2" s="1"/>
  <c r="G1030" i="2" s="1"/>
  <c r="H1030" i="2" s="1"/>
  <c r="G1027" i="2"/>
  <c r="H1027" i="2" s="1"/>
  <c r="I1024" i="2"/>
  <c r="H1024" i="2"/>
  <c r="F1023" i="2" s="1"/>
  <c r="G1023" i="2" s="1"/>
  <c r="H1023" i="2" s="1"/>
  <c r="G1019" i="2"/>
  <c r="H1019" i="2" s="1"/>
  <c r="I1016" i="2"/>
  <c r="H1016" i="2"/>
  <c r="F1015" i="2" s="1"/>
  <c r="G1015" i="2" s="1"/>
  <c r="H1015" i="2" s="1"/>
  <c r="G1011" i="2"/>
  <c r="H1011" i="2" s="1"/>
  <c r="I1008" i="2"/>
  <c r="H1008" i="2"/>
  <c r="F1007" i="2" s="1"/>
  <c r="G1007" i="2" s="1"/>
  <c r="H1007" i="2" s="1"/>
  <c r="G1003" i="2"/>
  <c r="H1003" i="2" s="1"/>
  <c r="I1000" i="2"/>
  <c r="H1000" i="2"/>
  <c r="F999" i="2" s="1"/>
  <c r="G999" i="2" s="1"/>
  <c r="H999" i="2" s="1"/>
  <c r="G995" i="2"/>
  <c r="H995" i="2" s="1"/>
  <c r="I992" i="2"/>
  <c r="H992" i="2"/>
  <c r="F991" i="2" s="1"/>
  <c r="G991" i="2" s="1"/>
  <c r="H991" i="2" s="1"/>
  <c r="G987" i="2"/>
  <c r="H987" i="2" s="1"/>
  <c r="I984" i="2"/>
  <c r="H984" i="2"/>
  <c r="F983" i="2" s="1"/>
  <c r="G983" i="2" s="1"/>
  <c r="H983" i="2" s="1"/>
  <c r="G979" i="2"/>
  <c r="H979" i="2" s="1"/>
  <c r="I976" i="2"/>
  <c r="H976" i="2"/>
  <c r="F975" i="2" s="1"/>
  <c r="G975" i="2" s="1"/>
  <c r="H975" i="2" s="1"/>
  <c r="G971" i="2"/>
  <c r="H971" i="2" s="1"/>
  <c r="I968" i="2"/>
  <c r="H968" i="2"/>
  <c r="F967" i="2" s="1"/>
  <c r="G967" i="2" s="1"/>
  <c r="H967" i="2" s="1"/>
  <c r="G963" i="2"/>
  <c r="H963" i="2" s="1"/>
  <c r="I960" i="2"/>
  <c r="H960" i="2"/>
  <c r="F959" i="2" s="1"/>
  <c r="G959" i="2" s="1"/>
  <c r="H959" i="2" s="1"/>
  <c r="G949" i="2"/>
  <c r="H949" i="2" s="1"/>
  <c r="I946" i="2"/>
  <c r="H946" i="2"/>
  <c r="F945" i="2" s="1"/>
  <c r="G945" i="2" s="1"/>
  <c r="H945" i="2" s="1"/>
  <c r="G930" i="2"/>
  <c r="H930" i="2" s="1"/>
  <c r="I927" i="2"/>
  <c r="H927" i="2"/>
  <c r="F926" i="2" s="1"/>
  <c r="G926" i="2" s="1"/>
  <c r="H926" i="2" s="1"/>
  <c r="G921" i="2"/>
  <c r="H921" i="2" s="1"/>
  <c r="I918" i="2"/>
  <c r="H918" i="2"/>
  <c r="F917" i="2" s="1"/>
  <c r="G917" i="2" s="1"/>
  <c r="H917" i="2" s="1"/>
  <c r="G911" i="2"/>
  <c r="H911" i="2" s="1"/>
  <c r="I908" i="2"/>
  <c r="H908" i="2"/>
  <c r="F907" i="2" s="1"/>
  <c r="G907" i="2" s="1"/>
  <c r="H907" i="2" s="1"/>
  <c r="G897" i="2"/>
  <c r="H897" i="2" s="1"/>
  <c r="I894" i="2"/>
  <c r="H894" i="2"/>
  <c r="F893" i="2" s="1"/>
  <c r="G893" i="2" s="1"/>
  <c r="H893" i="2" s="1"/>
  <c r="G882" i="2"/>
  <c r="H882" i="2" s="1"/>
  <c r="I879" i="2"/>
  <c r="H879" i="2"/>
  <c r="F878" i="2" s="1"/>
  <c r="G878" i="2" s="1"/>
  <c r="H878" i="2" s="1"/>
  <c r="G872" i="2"/>
  <c r="H872" i="2" s="1"/>
  <c r="I869" i="2"/>
  <c r="H869" i="2"/>
  <c r="F868" i="2" s="1"/>
  <c r="G868" i="2" s="1"/>
  <c r="H868" i="2" s="1"/>
  <c r="G860" i="2"/>
  <c r="H860" i="2" s="1"/>
  <c r="I857" i="2"/>
  <c r="H857" i="2"/>
  <c r="F856" i="2" s="1"/>
  <c r="G856" i="2" s="1"/>
  <c r="H856" i="2" s="1"/>
  <c r="G850" i="2"/>
  <c r="H850" i="2" s="1"/>
  <c r="I847" i="2"/>
  <c r="H847" i="2"/>
  <c r="F846" i="2" s="1"/>
  <c r="G846" i="2" s="1"/>
  <c r="H846" i="2" s="1"/>
  <c r="G838" i="2"/>
  <c r="H838" i="2" s="1"/>
  <c r="I835" i="2"/>
  <c r="H835" i="2"/>
  <c r="F834" i="2" s="1"/>
  <c r="G834" i="2" s="1"/>
  <c r="H834" i="2" s="1"/>
  <c r="G825" i="2"/>
  <c r="H825" i="2" s="1"/>
  <c r="I822" i="2"/>
  <c r="H822" i="2"/>
  <c r="F821" i="2" s="1"/>
  <c r="G821" i="2" s="1"/>
  <c r="H821" i="2" s="1"/>
  <c r="G814" i="2"/>
  <c r="H814" i="2" s="1"/>
  <c r="H806" i="2"/>
  <c r="H805" i="2"/>
  <c r="I811" i="2"/>
  <c r="H811" i="2"/>
  <c r="F810" i="2" s="1"/>
  <c r="G810" i="2" s="1"/>
  <c r="H810" i="2" s="1"/>
  <c r="G796" i="2"/>
  <c r="H796" i="2" s="1"/>
  <c r="I783" i="2"/>
  <c r="H783" i="2"/>
  <c r="F782" i="2" s="1"/>
  <c r="G782" i="2" s="1"/>
  <c r="H782" i="2" s="1"/>
  <c r="G779" i="2"/>
  <c r="H779" i="2" s="1"/>
  <c r="I751" i="2"/>
  <c r="H751" i="2"/>
  <c r="F750" i="2" s="1"/>
  <c r="G750" i="2" s="1"/>
  <c r="H750" i="2" s="1"/>
  <c r="G737" i="2"/>
  <c r="H737" i="2" s="1"/>
  <c r="I793" i="2"/>
  <c r="H793" i="2"/>
  <c r="F792" i="2" s="1"/>
  <c r="G792" i="2" s="1"/>
  <c r="H792" i="2" s="1"/>
  <c r="G786" i="2"/>
  <c r="H786" i="2" s="1"/>
  <c r="I776" i="2"/>
  <c r="H776" i="2"/>
  <c r="F775" i="2" s="1"/>
  <c r="G775" i="2" s="1"/>
  <c r="H775" i="2" s="1"/>
  <c r="G754" i="2"/>
  <c r="H754" i="2" s="1"/>
  <c r="I734" i="2"/>
  <c r="H734" i="2"/>
  <c r="F733" i="2" s="1"/>
  <c r="G733" i="2" s="1"/>
  <c r="H733" i="2" s="1"/>
  <c r="G728" i="2"/>
  <c r="H728" i="2" s="1"/>
  <c r="I725" i="2"/>
  <c r="H725" i="2"/>
  <c r="F724" i="2" s="1"/>
  <c r="G724" i="2" s="1"/>
  <c r="H724" i="2" s="1"/>
  <c r="G721" i="2"/>
  <c r="H721" i="2" s="1"/>
  <c r="I718" i="2"/>
  <c r="H718" i="2"/>
  <c r="F717" i="2" s="1"/>
  <c r="G717" i="2" s="1"/>
  <c r="H717" i="2" s="1"/>
  <c r="G714" i="2"/>
  <c r="H714" i="2" s="1"/>
  <c r="I702" i="2"/>
  <c r="H702" i="2"/>
  <c r="F701" i="2" s="1"/>
  <c r="G701" i="2" s="1"/>
  <c r="H701" i="2" s="1"/>
  <c r="G696" i="2"/>
  <c r="H696" i="2" s="1"/>
  <c r="I685" i="2"/>
  <c r="H685" i="2"/>
  <c r="F684" i="2" s="1"/>
  <c r="G684" i="2" s="1"/>
  <c r="H684" i="2" s="1"/>
  <c r="G679" i="2"/>
  <c r="H679" i="2" s="1"/>
  <c r="I676" i="2"/>
  <c r="H676" i="2"/>
  <c r="F675" i="2" s="1"/>
  <c r="G675" i="2" s="1"/>
  <c r="H675" i="2" s="1"/>
  <c r="G670" i="2"/>
  <c r="H670" i="2" s="1"/>
  <c r="I635" i="2"/>
  <c r="H635" i="2"/>
  <c r="F634" i="2" s="1"/>
  <c r="G634" i="2" s="1"/>
  <c r="H634" i="2" s="1"/>
  <c r="G631" i="2"/>
  <c r="H631" i="2" s="1"/>
  <c r="I628" i="2"/>
  <c r="H628" i="2"/>
  <c r="F627" i="2" s="1"/>
  <c r="G627" i="2" s="1"/>
  <c r="H627" i="2" s="1"/>
  <c r="G624" i="2"/>
  <c r="H624" i="2" s="1"/>
  <c r="I621" i="2"/>
  <c r="H621" i="2"/>
  <c r="F620" i="2" s="1"/>
  <c r="G620" i="2" s="1"/>
  <c r="H620" i="2" s="1"/>
  <c r="G617" i="2"/>
  <c r="H617" i="2" s="1"/>
  <c r="I614" i="2"/>
  <c r="H614" i="2"/>
  <c r="F613" i="2" s="1"/>
  <c r="G613" i="2" s="1"/>
  <c r="H613" i="2" s="1"/>
  <c r="G610" i="2"/>
  <c r="H610" i="2" s="1"/>
  <c r="I667" i="2"/>
  <c r="H667" i="2"/>
  <c r="F666" i="2" s="1"/>
  <c r="G666" i="2" s="1"/>
  <c r="H666" i="2" s="1"/>
  <c r="G661" i="2"/>
  <c r="H661" i="2" s="1"/>
  <c r="I658" i="2"/>
  <c r="H658" i="2"/>
  <c r="G649" i="2"/>
  <c r="H649" i="2" s="1"/>
  <c r="I646" i="2"/>
  <c r="H646" i="2"/>
  <c r="F645" i="2" s="1"/>
  <c r="G645" i="2" s="1"/>
  <c r="H645" i="2" s="1"/>
  <c r="G638" i="2"/>
  <c r="H638" i="2" s="1"/>
  <c r="I607" i="2"/>
  <c r="H607" i="2"/>
  <c r="F606" i="2" s="1"/>
  <c r="G606" i="2" s="1"/>
  <c r="H606" i="2" s="1"/>
  <c r="G603" i="2"/>
  <c r="H603" i="2" s="1"/>
  <c r="I600" i="2"/>
  <c r="H600" i="2"/>
  <c r="F599" i="2" s="1"/>
  <c r="G599" i="2" s="1"/>
  <c r="H599" i="2" s="1"/>
  <c r="G596" i="2"/>
  <c r="H596" i="2" s="1"/>
  <c r="I593" i="2"/>
  <c r="H593" i="2"/>
  <c r="F592" i="2" s="1"/>
  <c r="G592" i="2" s="1"/>
  <c r="H592" i="2" s="1"/>
  <c r="G589" i="2"/>
  <c r="H589" i="2" s="1"/>
  <c r="I586" i="2"/>
  <c r="H586" i="2"/>
  <c r="F585" i="2" s="1"/>
  <c r="G585" i="2" s="1"/>
  <c r="H585" i="2" s="1"/>
  <c r="G582" i="2"/>
  <c r="H582" i="2" s="1"/>
  <c r="I579" i="2"/>
  <c r="H579" i="2"/>
  <c r="F578" i="2" s="1"/>
  <c r="G578" i="2" s="1"/>
  <c r="H578" i="2" s="1"/>
  <c r="G574" i="2"/>
  <c r="H574" i="2" s="1"/>
  <c r="I571" i="2"/>
  <c r="H571" i="2"/>
  <c r="F570" i="2" s="1"/>
  <c r="G570" i="2" s="1"/>
  <c r="H570" i="2" s="1"/>
  <c r="G565" i="2"/>
  <c r="H565" i="2" s="1"/>
  <c r="I562" i="2"/>
  <c r="H562" i="2"/>
  <c r="F561" i="2" s="1"/>
  <c r="G561" i="2" s="1"/>
  <c r="H561" i="2" s="1"/>
  <c r="G554" i="2"/>
  <c r="H554" i="2" s="1"/>
  <c r="G540" i="2"/>
  <c r="H540" i="2" s="1"/>
  <c r="I537" i="2"/>
  <c r="H537" i="2"/>
  <c r="F536" i="2" s="1"/>
  <c r="G536" i="2" s="1"/>
  <c r="H536" i="2" s="1"/>
  <c r="G527" i="2"/>
  <c r="H527" i="2" s="1"/>
  <c r="I460" i="2"/>
  <c r="H460" i="2"/>
  <c r="F459" i="2" s="1"/>
  <c r="G459" i="2" s="1"/>
  <c r="H459" i="2" s="1"/>
  <c r="G456" i="2"/>
  <c r="H456" i="2" s="1"/>
  <c r="I524" i="2"/>
  <c r="H524" i="2"/>
  <c r="F523" i="2" s="1"/>
  <c r="G523" i="2" s="1"/>
  <c r="H523" i="2" s="1"/>
  <c r="G519" i="2"/>
  <c r="H519" i="2" s="1"/>
  <c r="I516" i="2"/>
  <c r="H516" i="2"/>
  <c r="F515" i="2" s="1"/>
  <c r="G515" i="2" s="1"/>
  <c r="H515" i="2" s="1"/>
  <c r="G510" i="2"/>
  <c r="H510" i="2" s="1"/>
  <c r="I507" i="2"/>
  <c r="H507" i="2"/>
  <c r="F506" i="2" s="1"/>
  <c r="G506" i="2" s="1"/>
  <c r="H506" i="2" s="1"/>
  <c r="G502" i="2"/>
  <c r="H502" i="2" s="1"/>
  <c r="I487" i="2"/>
  <c r="H487" i="2"/>
  <c r="F486" i="2" s="1"/>
  <c r="G486" i="2" s="1"/>
  <c r="H486" i="2" s="1"/>
  <c r="G229" i="2"/>
  <c r="H229" i="2" s="1"/>
  <c r="I479" i="2"/>
  <c r="H479" i="2"/>
  <c r="F478" i="2" s="1"/>
  <c r="G478" i="2" s="1"/>
  <c r="H478" i="2" s="1"/>
  <c r="G471" i="2"/>
  <c r="H471" i="2" s="1"/>
  <c r="I468" i="2"/>
  <c r="H468" i="2"/>
  <c r="F467" i="2" s="1"/>
  <c r="G467" i="2" s="1"/>
  <c r="H467" i="2" s="1"/>
  <c r="G463" i="2"/>
  <c r="H463" i="2" s="1"/>
  <c r="I453" i="2"/>
  <c r="H453" i="2"/>
  <c r="F452" i="2" s="1"/>
  <c r="G452" i="2" s="1"/>
  <c r="H452" i="2" s="1"/>
  <c r="G449" i="2"/>
  <c r="H449" i="2" s="1"/>
  <c r="I446" i="2"/>
  <c r="H446" i="2"/>
  <c r="F445" i="2" s="1"/>
  <c r="G445" i="2" s="1"/>
  <c r="H445" i="2" s="1"/>
  <c r="G442" i="2"/>
  <c r="H442" i="2" s="1"/>
  <c r="I439" i="2"/>
  <c r="H439" i="2"/>
  <c r="F438" i="2" s="1"/>
  <c r="G438" i="2" s="1"/>
  <c r="H438" i="2" s="1"/>
  <c r="G435" i="2"/>
  <c r="H435" i="2" s="1"/>
  <c r="I432" i="2"/>
  <c r="H432" i="2"/>
  <c r="F431" i="2" s="1"/>
  <c r="G431" i="2" s="1"/>
  <c r="H431" i="2" s="1"/>
  <c r="G428" i="2"/>
  <c r="H428" i="2" s="1"/>
  <c r="I425" i="2"/>
  <c r="H425" i="2"/>
  <c r="F424" i="2" s="1"/>
  <c r="G424" i="2" s="1"/>
  <c r="H424" i="2" s="1"/>
  <c r="G421" i="2"/>
  <c r="H421" i="2" s="1"/>
  <c r="I418" i="2"/>
  <c r="H418" i="2"/>
  <c r="F417" i="2" s="1"/>
  <c r="G417" i="2" s="1"/>
  <c r="H417" i="2" s="1"/>
  <c r="G414" i="2"/>
  <c r="H414" i="2" s="1"/>
  <c r="I411" i="2"/>
  <c r="H411" i="2"/>
  <c r="F410" i="2" s="1"/>
  <c r="G410" i="2" s="1"/>
  <c r="H410" i="2" s="1"/>
  <c r="G406" i="2"/>
  <c r="H406" i="2" s="1"/>
  <c r="I403" i="2"/>
  <c r="H403" i="2"/>
  <c r="F402" i="2" s="1"/>
  <c r="G402" i="2" s="1"/>
  <c r="H402" i="2" s="1"/>
  <c r="G399" i="2"/>
  <c r="H399" i="2" s="1"/>
  <c r="I396" i="2"/>
  <c r="H396" i="2"/>
  <c r="F395" i="2" s="1"/>
  <c r="G395" i="2" s="1"/>
  <c r="H395" i="2" s="1"/>
  <c r="G392" i="2"/>
  <c r="H392" i="2" s="1"/>
  <c r="I389" i="2"/>
  <c r="H389" i="2"/>
  <c r="F388" i="2" s="1"/>
  <c r="G388" i="2" s="1"/>
  <c r="H388" i="2" s="1"/>
  <c r="G385" i="2"/>
  <c r="H385" i="2" s="1"/>
  <c r="I382" i="2"/>
  <c r="H382" i="2"/>
  <c r="F381" i="2" s="1"/>
  <c r="G381" i="2" s="1"/>
  <c r="H381" i="2" s="1"/>
  <c r="G378" i="2"/>
  <c r="H378" i="2" s="1"/>
  <c r="I375" i="2"/>
  <c r="H375" i="2"/>
  <c r="F374" i="2" s="1"/>
  <c r="G374" i="2" s="1"/>
  <c r="H374" i="2" s="1"/>
  <c r="G371" i="2"/>
  <c r="H371" i="2" s="1"/>
  <c r="I368" i="2"/>
  <c r="H368" i="2"/>
  <c r="F367" i="2" s="1"/>
  <c r="G367" i="2" s="1"/>
  <c r="H367" i="2" s="1"/>
  <c r="G364" i="2"/>
  <c r="H364" i="2" s="1"/>
  <c r="I361" i="2"/>
  <c r="H361" i="2"/>
  <c r="F360" i="2" s="1"/>
  <c r="G360" i="2" s="1"/>
  <c r="H360" i="2" s="1"/>
  <c r="G357" i="2"/>
  <c r="H357" i="2" s="1"/>
  <c r="I354" i="2"/>
  <c r="H354" i="2"/>
  <c r="F353" i="2" s="1"/>
  <c r="G353" i="2" s="1"/>
  <c r="H353" i="2" s="1"/>
  <c r="G350" i="2"/>
  <c r="H350" i="2" s="1"/>
  <c r="I347" i="2"/>
  <c r="H347" i="2"/>
  <c r="F346" i="2" s="1"/>
  <c r="G346" i="2" s="1"/>
  <c r="H346" i="2" s="1"/>
  <c r="G343" i="2"/>
  <c r="H343" i="2" s="1"/>
  <c r="I340" i="2"/>
  <c r="H340" i="2"/>
  <c r="F339" i="2" s="1"/>
  <c r="G339" i="2" s="1"/>
  <c r="H339" i="2" s="1"/>
  <c r="G336" i="2"/>
  <c r="H336" i="2" s="1"/>
  <c r="I333" i="2"/>
  <c r="H333" i="2"/>
  <c r="F332" i="2" s="1"/>
  <c r="G332" i="2" s="1"/>
  <c r="H332" i="2" s="1"/>
  <c r="G327" i="2"/>
  <c r="H327" i="2" s="1"/>
  <c r="I324" i="2"/>
  <c r="H324" i="2"/>
  <c r="F323" i="2" s="1"/>
  <c r="G323" i="2" s="1"/>
  <c r="H323" i="2" s="1"/>
  <c r="G318" i="2"/>
  <c r="H318" i="2" s="1"/>
  <c r="I315" i="2"/>
  <c r="H315" i="2"/>
  <c r="F314" i="2" s="1"/>
  <c r="G314" i="2" s="1"/>
  <c r="H314" i="2" s="1"/>
  <c r="G307" i="2"/>
  <c r="H307" i="2" s="1"/>
  <c r="I304" i="2"/>
  <c r="H304" i="2"/>
  <c r="F303" i="2" s="1"/>
  <c r="G303" i="2" s="1"/>
  <c r="H303" i="2" s="1"/>
  <c r="G298" i="2"/>
  <c r="H298" i="2" s="1"/>
  <c r="I295" i="2"/>
  <c r="H295" i="2"/>
  <c r="F294" i="2" s="1"/>
  <c r="G294" i="2" s="1"/>
  <c r="H294" i="2" s="1"/>
  <c r="G285" i="2"/>
  <c r="H285" i="2" s="1"/>
  <c r="I282" i="2"/>
  <c r="H282" i="2"/>
  <c r="F281" i="2" s="1"/>
  <c r="G281" i="2" s="1"/>
  <c r="H281" i="2" s="1"/>
  <c r="G276" i="2"/>
  <c r="H276" i="2" s="1"/>
  <c r="I273" i="2"/>
  <c r="H273" i="2"/>
  <c r="F272" i="2" s="1"/>
  <c r="G272" i="2" s="1"/>
  <c r="H272" i="2" s="1"/>
  <c r="G268" i="2"/>
  <c r="H268" i="2" s="1"/>
  <c r="I265" i="2"/>
  <c r="H265" i="2"/>
  <c r="F264" i="2" s="1"/>
  <c r="G264" i="2" s="1"/>
  <c r="H264" i="2" s="1"/>
  <c r="G260" i="2"/>
  <c r="H260" i="2" s="1"/>
  <c r="I257" i="2"/>
  <c r="H257" i="2"/>
  <c r="F256" i="2" s="1"/>
  <c r="G256" i="2" s="1"/>
  <c r="H256" i="2" s="1"/>
  <c r="G252" i="2"/>
  <c r="H252" i="2" s="1"/>
  <c r="I249" i="2"/>
  <c r="H249" i="2"/>
  <c r="F248" i="2" s="1"/>
  <c r="G248" i="2" s="1"/>
  <c r="H248" i="2" s="1"/>
  <c r="G243" i="2"/>
  <c r="H243" i="2" s="1"/>
  <c r="I238" i="2"/>
  <c r="H238" i="2"/>
  <c r="F237" i="2" s="1"/>
  <c r="G237" i="2" s="1"/>
  <c r="H237" i="2" s="1"/>
  <c r="G233" i="2"/>
  <c r="H233" i="2" s="1"/>
  <c r="I499" i="2"/>
  <c r="H499" i="2"/>
  <c r="F498" i="2" s="1"/>
  <c r="G498" i="2" s="1"/>
  <c r="H498" i="2" s="1"/>
  <c r="G490" i="2"/>
  <c r="H490" i="2" s="1"/>
  <c r="I226" i="2"/>
  <c r="H226" i="2"/>
  <c r="F225" i="2" s="1"/>
  <c r="G225" i="2" s="1"/>
  <c r="H225" i="2" s="1"/>
  <c r="G220" i="2"/>
  <c r="H220" i="2" s="1"/>
  <c r="I217" i="2"/>
  <c r="H217" i="2"/>
  <c r="F216" i="2" s="1"/>
  <c r="G216" i="2" s="1"/>
  <c r="H216" i="2" s="1"/>
  <c r="G209" i="2"/>
  <c r="H209" i="2" s="1"/>
  <c r="I206" i="2"/>
  <c r="H206" i="2"/>
  <c r="F205" i="2" s="1"/>
  <c r="G205" i="2" s="1"/>
  <c r="H205" i="2" s="1"/>
  <c r="G201" i="2"/>
  <c r="H201" i="2" s="1"/>
  <c r="I198" i="2"/>
  <c r="H198" i="2"/>
  <c r="F197" i="2" s="1"/>
  <c r="G197" i="2" s="1"/>
  <c r="H197" i="2" s="1"/>
  <c r="G194" i="2"/>
  <c r="H194" i="2" s="1"/>
  <c r="I191" i="2"/>
  <c r="H191" i="2"/>
  <c r="F190" i="2" s="1"/>
  <c r="G190" i="2" s="1"/>
  <c r="H190" i="2" s="1"/>
  <c r="G186" i="2"/>
  <c r="H186" i="2" s="1"/>
  <c r="I183" i="2"/>
  <c r="H183" i="2"/>
  <c r="F182" i="2" s="1"/>
  <c r="G182" i="2" s="1"/>
  <c r="H182" i="2" s="1"/>
  <c r="G178" i="2"/>
  <c r="H178" i="2" s="1"/>
  <c r="I175" i="2"/>
  <c r="H175" i="2"/>
  <c r="F174" i="2" s="1"/>
  <c r="G174" i="2" s="1"/>
  <c r="H174" i="2" s="1"/>
  <c r="G171" i="2"/>
  <c r="H171" i="2" s="1"/>
  <c r="I168" i="2"/>
  <c r="H168" i="2"/>
  <c r="F167" i="2" s="1"/>
  <c r="G167" i="2" s="1"/>
  <c r="H167" i="2" s="1"/>
  <c r="G164" i="2"/>
  <c r="H164" i="2" s="1"/>
  <c r="I161" i="2"/>
  <c r="H161" i="2"/>
  <c r="F160" i="2" s="1"/>
  <c r="G160" i="2" s="1"/>
  <c r="H160" i="2" s="1"/>
  <c r="G157" i="2"/>
  <c r="H157" i="2" s="1"/>
  <c r="I154" i="2"/>
  <c r="H154" i="2"/>
  <c r="F153" i="2" s="1"/>
  <c r="G153" i="2" s="1"/>
  <c r="H153" i="2" s="1"/>
  <c r="G149" i="2"/>
  <c r="H149" i="2" s="1"/>
  <c r="I146" i="2"/>
  <c r="H146" i="2"/>
  <c r="F145" i="2" s="1"/>
  <c r="G145" i="2" s="1"/>
  <c r="H145" i="2" s="1"/>
  <c r="G142" i="2"/>
  <c r="H142" i="2" s="1"/>
  <c r="I139" i="2"/>
  <c r="H139" i="2"/>
  <c r="F138" i="2" s="1"/>
  <c r="G138" i="2" s="1"/>
  <c r="H138" i="2" s="1"/>
  <c r="G135" i="2"/>
  <c r="H135" i="2" s="1"/>
  <c r="I132" i="2"/>
  <c r="H132" i="2"/>
  <c r="F131" i="2" s="1"/>
  <c r="G131" i="2" s="1"/>
  <c r="H131" i="2" s="1"/>
  <c r="G127" i="2"/>
  <c r="H127" i="2" s="1"/>
  <c r="I124" i="2"/>
  <c r="H124" i="2"/>
  <c r="F123" i="2" s="1"/>
  <c r="G123" i="2" s="1"/>
  <c r="H123" i="2" s="1"/>
  <c r="G120" i="2"/>
  <c r="H120" i="2" s="1"/>
  <c r="I117" i="2"/>
  <c r="H117" i="2"/>
  <c r="F116" i="2" s="1"/>
  <c r="G116" i="2" s="1"/>
  <c r="H116" i="2" s="1"/>
  <c r="G113" i="2"/>
  <c r="H113" i="2" s="1"/>
  <c r="I110" i="2"/>
  <c r="H110" i="2"/>
  <c r="F109" i="2" s="1"/>
  <c r="G109" i="2" s="1"/>
  <c r="H109" i="2" s="1"/>
  <c r="G106" i="2"/>
  <c r="H106" i="2" s="1"/>
  <c r="I103" i="2"/>
  <c r="H103" i="2"/>
  <c r="F102" i="2" s="1"/>
  <c r="G102" i="2" s="1"/>
  <c r="H102" i="2" s="1"/>
  <c r="G99" i="2"/>
  <c r="H99" i="2" s="1"/>
  <c r="I96" i="2"/>
  <c r="H96" i="2"/>
  <c r="F95" i="2" s="1"/>
  <c r="G95" i="2" s="1"/>
  <c r="H95" i="2" s="1"/>
  <c r="G92" i="2"/>
  <c r="H92" i="2" s="1"/>
  <c r="I89" i="2"/>
  <c r="H89" i="2"/>
  <c r="F88" i="2" s="1"/>
  <c r="G88" i="2" s="1"/>
  <c r="H88" i="2" s="1"/>
  <c r="G85" i="2"/>
  <c r="H85" i="2" s="1"/>
  <c r="I82" i="2"/>
  <c r="H82" i="2"/>
  <c r="F81" i="2" s="1"/>
  <c r="G81" i="2" s="1"/>
  <c r="H81" i="2" s="1"/>
  <c r="G78" i="2"/>
  <c r="H78" i="2" s="1"/>
  <c r="I75" i="2"/>
  <c r="H75" i="2"/>
  <c r="F74" i="2" s="1"/>
  <c r="G74" i="2" s="1"/>
  <c r="H74" i="2" s="1"/>
  <c r="G71" i="2"/>
  <c r="H71" i="2" s="1"/>
  <c r="I68" i="2"/>
  <c r="H68" i="2"/>
  <c r="F67" i="2" s="1"/>
  <c r="G67" i="2" s="1"/>
  <c r="H67" i="2" s="1"/>
  <c r="G64" i="2"/>
  <c r="H64" i="2" s="1"/>
  <c r="I61" i="2"/>
  <c r="H61" i="2"/>
  <c r="F60" i="2" s="1"/>
  <c r="G60" i="2" s="1"/>
  <c r="H60" i="2" s="1"/>
  <c r="G57" i="2"/>
  <c r="H57" i="2" s="1"/>
  <c r="I54" i="2"/>
  <c r="H54" i="2"/>
  <c r="F53" i="2" s="1"/>
  <c r="G53" i="2" s="1"/>
  <c r="H53" i="2" s="1"/>
  <c r="G48" i="2"/>
  <c r="H48" i="2" s="1"/>
  <c r="I45" i="2"/>
  <c r="H45" i="2"/>
  <c r="F44" i="2" s="1"/>
  <c r="G44" i="2" s="1"/>
  <c r="H44" i="2" s="1"/>
  <c r="G39" i="2"/>
  <c r="H39" i="2" s="1"/>
  <c r="I36" i="2"/>
  <c r="H36" i="2"/>
  <c r="F35" i="2" s="1"/>
  <c r="G35" i="2" s="1"/>
  <c r="H35" i="2" s="1"/>
  <c r="G28" i="2"/>
  <c r="H28" i="2" s="1"/>
  <c r="I25" i="2"/>
  <c r="H25" i="2"/>
  <c r="F24" i="2" s="1"/>
  <c r="G24" i="2" s="1"/>
  <c r="H24" i="2" s="1"/>
  <c r="G16" i="2"/>
  <c r="H16" i="2" s="1"/>
  <c r="H13" i="2"/>
  <c r="I13" i="2"/>
  <c r="G4" i="2"/>
  <c r="H4" i="2" s="1"/>
  <c r="G3" i="2"/>
  <c r="G6" i="2"/>
  <c r="H6" i="2" s="1"/>
  <c r="H647" i="2" l="1"/>
  <c r="H622" i="2"/>
  <c r="H735" i="2"/>
  <c r="H784" i="2"/>
  <c r="H1080" i="2"/>
  <c r="H1127" i="2"/>
  <c r="H1175" i="2"/>
  <c r="H1223" i="2"/>
  <c r="H1283" i="2"/>
  <c r="H488" i="2"/>
  <c r="H37" i="2"/>
  <c r="H69" i="2"/>
  <c r="H97" i="2"/>
  <c r="H125" i="2"/>
  <c r="H184" i="2"/>
  <c r="H250" i="2"/>
  <c r="H283" i="2"/>
  <c r="H325" i="2"/>
  <c r="H355" i="2"/>
  <c r="H1561" i="2"/>
  <c r="H1718" i="2"/>
  <c r="H1750" i="2"/>
  <c r="H55" i="2"/>
  <c r="H83" i="2"/>
  <c r="H111" i="2"/>
  <c r="H169" i="2"/>
  <c r="H199" i="2"/>
  <c r="H500" i="2"/>
  <c r="H266" i="2"/>
  <c r="H305" i="2"/>
  <c r="H341" i="2"/>
  <c r="H369" i="2"/>
  <c r="H397" i="2"/>
  <c r="H426" i="2"/>
  <c r="H454" i="2"/>
  <c r="H508" i="2"/>
  <c r="H538" i="2"/>
  <c r="H836" i="2"/>
  <c r="H880" i="2"/>
  <c r="H928" i="2"/>
  <c r="H977" i="2"/>
  <c r="H1009" i="2"/>
  <c r="H1040" i="2"/>
  <c r="H1357" i="2"/>
  <c r="H1403" i="2"/>
  <c r="H1453" i="2"/>
  <c r="H1499" i="2"/>
  <c r="H1544" i="2"/>
  <c r="H1578" i="2"/>
  <c r="H1614" i="2"/>
  <c r="H1669" i="2"/>
  <c r="H1702" i="2"/>
  <c r="H1734" i="2"/>
  <c r="H1772" i="2"/>
  <c r="H1821" i="2"/>
  <c r="H1879" i="2"/>
  <c r="H712" i="2"/>
  <c r="H383" i="2"/>
  <c r="H440" i="2"/>
  <c r="H1524" i="2"/>
  <c r="H1685" i="2"/>
  <c r="H140" i="2"/>
  <c r="H985" i="2"/>
  <c r="H1017" i="2"/>
  <c r="H1887" i="2"/>
  <c r="H480" i="2"/>
  <c r="H1382" i="2"/>
  <c r="H1791" i="2"/>
  <c r="H390" i="2"/>
  <c r="H447" i="2"/>
  <c r="H969" i="2"/>
  <c r="H1001" i="2"/>
  <c r="H1032" i="2"/>
  <c r="H26" i="2"/>
  <c r="H62" i="2"/>
  <c r="H90" i="2"/>
  <c r="H118" i="2"/>
  <c r="H147" i="2"/>
  <c r="H176" i="2"/>
  <c r="H207" i="2"/>
  <c r="H239" i="2"/>
  <c r="H274" i="2"/>
  <c r="H316" i="2"/>
  <c r="H348" i="2"/>
  <c r="H376" i="2"/>
  <c r="H404" i="2"/>
  <c r="H433" i="2"/>
  <c r="H469" i="2"/>
  <c r="H517" i="2"/>
  <c r="H552" i="2"/>
  <c r="H848" i="2"/>
  <c r="H895" i="2"/>
  <c r="H947" i="2"/>
  <c r="H1048" i="2"/>
  <c r="H1087" i="2"/>
  <c r="H1135" i="2"/>
  <c r="H1183" i="2"/>
  <c r="H1231" i="2"/>
  <c r="H1369" i="2"/>
  <c r="H1420" i="2"/>
  <c r="H1464" i="2"/>
  <c r="H1513" i="2"/>
  <c r="H1553" i="2"/>
  <c r="H1587" i="2"/>
  <c r="H1630" i="2"/>
  <c r="H1677" i="2"/>
  <c r="H1710" i="2"/>
  <c r="H1742" i="2"/>
  <c r="H1783" i="2"/>
  <c r="H1845" i="2"/>
  <c r="H587" i="2"/>
  <c r="H563" i="2"/>
  <c r="H594" i="2"/>
  <c r="H629" i="2"/>
  <c r="H703" i="2"/>
  <c r="H777" i="2"/>
  <c r="H812" i="2"/>
  <c r="H686" i="2"/>
  <c r="H1095" i="2"/>
  <c r="H1143" i="2"/>
  <c r="H1191" i="2"/>
  <c r="H1239" i="2"/>
  <c r="H572" i="2"/>
  <c r="H601" i="2"/>
  <c r="H668" i="2"/>
  <c r="H636" i="2"/>
  <c r="H719" i="2"/>
  <c r="H794" i="2"/>
  <c r="H1103" i="2"/>
  <c r="H1151" i="2"/>
  <c r="H1199" i="2"/>
  <c r="H1247" i="2"/>
  <c r="H858" i="2"/>
  <c r="H993" i="2"/>
  <c r="H1025" i="2"/>
  <c r="H1596" i="2"/>
  <c r="H1895" i="2"/>
  <c r="H133" i="2"/>
  <c r="H227" i="2"/>
  <c r="H334" i="2"/>
  <c r="H362" i="2"/>
  <c r="H419" i="2"/>
  <c r="H461" i="2"/>
  <c r="H823" i="2"/>
  <c r="H870" i="2"/>
  <c r="H919" i="2"/>
  <c r="H1064" i="2"/>
  <c r="H1111" i="2"/>
  <c r="H1159" i="2"/>
  <c r="H1207" i="2"/>
  <c r="H1255" i="2"/>
  <c r="H1345" i="2"/>
  <c r="H1393" i="2"/>
  <c r="H1443" i="2"/>
  <c r="H1482" i="2"/>
  <c r="H1535" i="2"/>
  <c r="H1569" i="2"/>
  <c r="H1605" i="2"/>
  <c r="H1661" i="2"/>
  <c r="H1693" i="2"/>
  <c r="H1726" i="2"/>
  <c r="H1758" i="2"/>
  <c r="H1801" i="2"/>
  <c r="H1871" i="2"/>
  <c r="H694" i="2"/>
  <c r="H155" i="2"/>
  <c r="H412" i="2"/>
  <c r="H525" i="2"/>
  <c r="H961" i="2"/>
  <c r="H1056" i="2"/>
  <c r="H1327" i="2"/>
  <c r="H1432" i="2"/>
  <c r="H1858" i="2"/>
  <c r="H76" i="2"/>
  <c r="H162" i="2"/>
  <c r="H258" i="2"/>
  <c r="H231" i="2"/>
  <c r="H580" i="2"/>
  <c r="H608" i="2"/>
  <c r="H615" i="2"/>
  <c r="H677" i="2"/>
  <c r="H726" i="2"/>
  <c r="H752" i="2"/>
  <c r="H218" i="2"/>
  <c r="H909" i="2"/>
  <c r="H1474" i="2"/>
  <c r="H46" i="2"/>
  <c r="H104" i="2"/>
  <c r="H192" i="2"/>
  <c r="H296" i="2"/>
  <c r="H1072" i="2"/>
  <c r="H1119" i="2"/>
  <c r="H1167" i="2"/>
  <c r="H1215" i="2"/>
  <c r="H1262" i="2"/>
  <c r="F657" i="2"/>
  <c r="G657" i="2" s="1"/>
  <c r="H657" i="2" s="1"/>
  <c r="H659" i="2" s="1"/>
  <c r="F1651" i="2"/>
  <c r="G1651" i="2" s="1"/>
  <c r="H1651" i="2" s="1"/>
  <c r="H1653" i="2" s="1"/>
  <c r="F12" i="2"/>
  <c r="G12" i="2" s="1"/>
  <c r="H5" i="2"/>
  <c r="H3" i="2"/>
  <c r="H11" i="2"/>
  <c r="H12" i="2" l="1"/>
  <c r="H14" i="2" l="1"/>
  <c r="H1896" i="2" s="1"/>
</calcChain>
</file>

<file path=xl/sharedStrings.xml><?xml version="1.0" encoding="utf-8"?>
<sst xmlns="http://schemas.openxmlformats.org/spreadsheetml/2006/main" count="10030" uniqueCount="804">
  <si>
    <t>malzeme</t>
  </si>
  <si>
    <t>Артикул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</si>
  <si>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</si>
  <si>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</si>
  <si>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</si>
  <si>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</si>
  <si>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</si>
  <si>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</si>
  <si>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</si>
  <si>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</si>
  <si>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</si>
  <si>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</si>
  <si>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</si>
  <si>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</si>
  <si>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</si>
  <si>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</si>
  <si>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</si>
  <si>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</si>
  <si>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296708</t>
  </si>
  <si>
    <t>Авт. выкл. NXB-63S 1P 6А 4.5kA х-ка C (R)</t>
  </si>
  <si>
    <t>296829</t>
  </si>
  <si>
    <t>Авт. выкл. NXB-63S 3P 25А 4.5kA х-ка C (R)</t>
  </si>
  <si>
    <t>dif</t>
  </si>
  <si>
    <t>131362</t>
  </si>
  <si>
    <t>Авт. выкл. NXM-125S/3Р 100A 25кА (R)</t>
  </si>
  <si>
    <t>pys</t>
  </si>
  <si>
    <t>tt</t>
  </si>
  <si>
    <t>Авт. выкл. NXB-63S 3P 32А 4.5kA х-ка C (R)</t>
  </si>
  <si>
    <t>296830</t>
  </si>
  <si>
    <t>296832</t>
  </si>
  <si>
    <t>Авт. выкл. NXB-63S 3P 50А 4.5kA х-ка C (R)</t>
  </si>
  <si>
    <t>131360</t>
  </si>
  <si>
    <t>Авт. выкл. NXM-125S/3Р 63A 25кА (R)</t>
  </si>
  <si>
    <t>lamb</t>
  </si>
  <si>
    <t>521368</t>
  </si>
  <si>
    <t>Держатель плавкой вставки RT36-2-400, габарит 2, 400А</t>
  </si>
  <si>
    <t>rubilnik</t>
  </si>
  <si>
    <t>ppn</t>
  </si>
  <si>
    <t>condencator</t>
  </si>
  <si>
    <t>131363</t>
  </si>
  <si>
    <t>Авт. выкл. NXM-125S/3Р 125A 25кА (R)</t>
  </si>
  <si>
    <t>131361</t>
  </si>
  <si>
    <t>Авт. выкл. NXM-125S/3Р 80A 25кА (R)</t>
  </si>
  <si>
    <t>mccb</t>
  </si>
  <si>
    <t>270100161_</t>
  </si>
  <si>
    <t>814989</t>
  </si>
  <si>
    <t>Независимый расцепитель SHT-X1 AC230V/400V для NXB-63 (R)</t>
  </si>
  <si>
    <t>rn</t>
  </si>
  <si>
    <t>contactor</t>
  </si>
  <si>
    <t>836704</t>
  </si>
  <si>
    <t>Контактор NXC-09 9A 220В/АС3 1НО+1НЗ 50Гц (R)</t>
  </si>
  <si>
    <t>296827</t>
  </si>
  <si>
    <t>Авт. выкл. NXB-63S 3P 16А 4.5kA х-ка C (R)</t>
  </si>
  <si>
    <t>296710</t>
  </si>
  <si>
    <t>Авт. выкл. NXB-63S 1P 16А 4.5kA х-ка C (R)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</si>
  <si>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</si>
  <si>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</si>
  <si>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</si>
  <si>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</si>
  <si>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</si>
  <si>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719-15043</t>
  </si>
  <si>
    <t>Мет. Щит ВРУ 1700х800х450+10CM База</t>
  </si>
  <si>
    <t>ITT20-2-05-0250</t>
  </si>
  <si>
    <t xml:space="preserve"> Трансформатор тока ТТИ-30  250/5А 5ВА 0,5 IEK E-PRO</t>
  </si>
  <si>
    <t>Рубильник ВР-32-37  В71250-400А на 2 направления (+6камер) UNIT (1/6)</t>
  </si>
  <si>
    <t>296831</t>
  </si>
  <si>
    <t>Авт. выкл. NXB-63S 3P 40А 4.5kA х-ка C (R)</t>
  </si>
  <si>
    <t>816141</t>
  </si>
  <si>
    <t>Авт. выкл. NXB-125 3P 100A 10кА х-ка C (R)</t>
  </si>
  <si>
    <t>270300025_</t>
  </si>
  <si>
    <t xml:space="preserve"> Трансформатор тока ТТИ-40  400/5А  5ВА  класс 0,5  IEK</t>
  </si>
  <si>
    <t>521218</t>
  </si>
  <si>
    <t>Плавкая вставка предохранителя RT36-2-400, габарит 2, 400А</t>
  </si>
  <si>
    <t xml:space="preserve"> </t>
  </si>
  <si>
    <t>844301</t>
  </si>
  <si>
    <t>Авт. выкл. NXM-125S/3Р 40A 25кА (R)</t>
  </si>
  <si>
    <t>131364</t>
  </si>
  <si>
    <t>Авт. выкл. NXM-160S/3Р 160A 36кА (R)</t>
  </si>
  <si>
    <t>Трансформатор тока ТТИ-А 150/5А 5ВА класс 0,5 IEK</t>
  </si>
  <si>
    <t>270300100_</t>
  </si>
  <si>
    <t>256790</t>
  </si>
  <si>
    <t>Устройство автоматического ввода резерва NXZM-160S/3B 160A (R)</t>
  </si>
  <si>
    <t>296833</t>
  </si>
  <si>
    <t>Авт. выкл. NXB-63S 3P 63А 4.5kA х-ка C (R)</t>
  </si>
  <si>
    <t>ЩАО.1 (Блок 1)</t>
  </si>
  <si>
    <t>ЩАО.2 (Блок 1)</t>
  </si>
  <si>
    <t>ats</t>
  </si>
  <si>
    <t>ЩО.1 (Блок 1)</t>
  </si>
  <si>
    <t>ЩО.2 (Блок 1)</t>
  </si>
  <si>
    <t>ЩО.3 (Блок 1)</t>
  </si>
  <si>
    <t>ЩО.4 (Блок 1)</t>
  </si>
  <si>
    <t>ЩО.5 (Блок 1)</t>
  </si>
  <si>
    <t>ЩО.6 (Блок 1)</t>
  </si>
  <si>
    <t>ЩО.7 (Блок 1)</t>
  </si>
  <si>
    <t>ЩО.8 (Блок 1)</t>
  </si>
  <si>
    <t>ЩР.1 (Блок 1)</t>
  </si>
  <si>
    <t>515394</t>
  </si>
  <si>
    <t>Диф. авт. выкл. NXBLE-63YH 1P+N C25 30mA тип AC, 6kA (R)</t>
  </si>
  <si>
    <t>ЩР.2 (Блок 1)</t>
  </si>
  <si>
    <t>ЩР.3 (Блок 1)</t>
  </si>
  <si>
    <t>ЩР.4 (Блок 1)</t>
  </si>
  <si>
    <t>539859</t>
  </si>
  <si>
    <t>Диф. авт. выкл. NXBLE-63YH 3P+N C25 30mA тип AC, 6kA (R)</t>
  </si>
  <si>
    <t>ЩР.5 (Блок 1)</t>
  </si>
  <si>
    <t>ЩР.6 (Блок 1)</t>
  </si>
  <si>
    <t>ЩР.7 (Блок 1)</t>
  </si>
  <si>
    <t>ЩГП.1 (Блок 1)</t>
  </si>
  <si>
    <t>ЩГП.2 (Блок 1)</t>
  </si>
  <si>
    <t>ЩСС (Блок 1)</t>
  </si>
  <si>
    <t>ЩСВ.1 (Блок 1)</t>
  </si>
  <si>
    <t>ЩСВ.2 (Блок 1)</t>
  </si>
  <si>
    <t>ЩДУ.1 (Блок 1)</t>
  </si>
  <si>
    <t>836712</t>
  </si>
  <si>
    <t>Контактор NXC-12 12A 220В/АС3 1НО+1НЗ 50Гц (R)</t>
  </si>
  <si>
    <t>256052</t>
  </si>
  <si>
    <t>Контактор модульный NCH8-20/11 20A 1НО+1НЗ AC220/230В 50Гц (R)</t>
  </si>
  <si>
    <t>ЩВ.1 (Блок 1)</t>
  </si>
  <si>
    <t>515380</t>
  </si>
  <si>
    <t>Диф. авт. выкл. NXBLE-63YH 1P+N C16 30mA тип AC, 6kA (R)</t>
  </si>
  <si>
    <t>ЩВ.2 (Блок 1)</t>
  </si>
  <si>
    <t>ЩВ.3 (Блок 1)</t>
  </si>
  <si>
    <t>ЩВ.4 (Блок 1)</t>
  </si>
  <si>
    <t>ЩВ.5 (Блок 1)</t>
  </si>
  <si>
    <t>ЩВ.6 (Блок 1)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</si>
  <si>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</si>
  <si>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</si>
  <si>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</si>
  <si>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</si>
  <si>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539889</t>
  </si>
  <si>
    <t>Диф. авт. выкл. NXBLE-63YH 3P+N C63 30mA тип AC, 6kA (R)</t>
  </si>
  <si>
    <t>АВР-1 (АВР-3-160-2-У) (Блок 1)</t>
  </si>
  <si>
    <t>АВР-2 (АВР-3-160-2) (Блок 1)</t>
  </si>
  <si>
    <t>ВРУ-2 (ВРУ1-41-00УХЛ4) (Блок 1)</t>
  </si>
  <si>
    <t>836705</t>
  </si>
  <si>
    <t>Контактор NXC-09 9A 380В/АС3 1НО+1НЗ 50Гц (R)</t>
  </si>
  <si>
    <t>270100160_</t>
  </si>
  <si>
    <t>Рубильник ВР-32-35  В71250-250А на 2 направления (+6камер) UNIT (1/8)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</si>
  <si>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</si>
  <si>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</si>
  <si>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</si>
  <si>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</si>
  <si>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844302</t>
  </si>
  <si>
    <t>Авт. выкл. NXM-125S/3Р 50A 25кА (R)</t>
  </si>
  <si>
    <t>256781</t>
  </si>
  <si>
    <t>Устройство автоматического ввода резерва NXZM-125S/3B 100A (R)</t>
  </si>
  <si>
    <t>ВРУ-2 (ВРУ1-41-00УХЛ4) (Блок 2, 3)</t>
  </si>
  <si>
    <t>ЩАО.1 (Блок 2, 3)</t>
  </si>
  <si>
    <t>ЩАО.2 (Блок 2, 3)</t>
  </si>
  <si>
    <t>ЩО.1 (Блок 2, 3)</t>
  </si>
  <si>
    <t>ЩО.2 (Блок 2, 3)</t>
  </si>
  <si>
    <t>ЩО.3 (Блок 2, 3)</t>
  </si>
  <si>
    <t>ЩО.4 (Блок 2, 3)</t>
  </si>
  <si>
    <t>ЩО.5 (Блок 2, 3)</t>
  </si>
  <si>
    <t>ЩО.6 (Блок 2, 3)</t>
  </si>
  <si>
    <t>ЩО.7 (Блок 2, 3)</t>
  </si>
  <si>
    <t>ЩО.8 (Блок 2, 3)</t>
  </si>
  <si>
    <t>ЩР.1 (Блок 2, 3)</t>
  </si>
  <si>
    <t>ЩР.2 (Блок 2, 3)</t>
  </si>
  <si>
    <t>ЩР.3 (Блок 2, 3)</t>
  </si>
  <si>
    <t>ЩР.4 (Блок 2, 3)</t>
  </si>
  <si>
    <t>ЩР.5 (Блок 2, 3)</t>
  </si>
  <si>
    <t>ЩР.6 (Блок 2, 3)</t>
  </si>
  <si>
    <t>ЩР.7 (Блок 2 ,3)</t>
  </si>
  <si>
    <t>ЩР.8 (Блок 2 ,3)</t>
  </si>
  <si>
    <t>ЩСВ.1 (Блок 2, 3)</t>
  </si>
  <si>
    <t>ЩСВ.2 (Блок 2, 3)</t>
  </si>
  <si>
    <t>ЩДУ.1 (Блок 2, 3)</t>
  </si>
  <si>
    <t>296712</t>
  </si>
  <si>
    <t>Авт. выкл. NXB-63S 1P 25А 4.5kA х-ка C (R)</t>
  </si>
  <si>
    <t>ЩДУ.2 (Блок 2, 3)</t>
  </si>
  <si>
    <t>ЩВ.1 (Блок 2, 3)</t>
  </si>
  <si>
    <t>ЩВ.2 (Блок 2, 3)</t>
  </si>
  <si>
    <t>ЩВ.3 (Блок 2, 3)</t>
  </si>
  <si>
    <t>270100173_</t>
  </si>
  <si>
    <t>Рубильник ВР-32-39  В71250-630А на 2 направления (+6 камер) UNIT (1/2)</t>
  </si>
  <si>
    <t>521202</t>
  </si>
  <si>
    <t>Плавкая вставка предохранителя RT36-3-630, габарит 3, 630А</t>
  </si>
  <si>
    <t>521369</t>
  </si>
  <si>
    <t>Держатель плавкой вставки RT36-3-630, габарит 3, 630А</t>
  </si>
  <si>
    <t>844300</t>
  </si>
  <si>
    <t>Авт. выкл. NXM-125S/3Р 32A 25кА (R)</t>
  </si>
  <si>
    <t>131367</t>
  </si>
  <si>
    <t>Авт. выкл. NXM-250S/3Р 200A 36кА (R)</t>
  </si>
  <si>
    <t>270300099_</t>
  </si>
  <si>
    <t xml:space="preserve">  Трансформатор тока ТТИ-А  100/5А  5ВА  класс 0,5  IEK</t>
  </si>
  <si>
    <t>816139</t>
  </si>
  <si>
    <t>Авт. выкл. NXB-125 3P 80A 10кА х-ка C (R)</t>
  </si>
  <si>
    <t>ЩО.1 (Блок 4, 5)</t>
  </si>
  <si>
    <t>ЩО.2 (Блок 4, 5)</t>
  </si>
  <si>
    <t>ЩО.3 (Блок 4, 5)</t>
  </si>
  <si>
    <t>ЩО(Г) (Блок 4, 5)</t>
  </si>
  <si>
    <t>ЩАО1 (Блок 4, 5)</t>
  </si>
  <si>
    <t>ЩАО2 (Блок 4, 5)</t>
  </si>
  <si>
    <t>ЩАО3 (Блок 4, 5)</t>
  </si>
  <si>
    <t>ЩАОГ (Блок 4, 5)</t>
  </si>
  <si>
    <t>ЩВ.1 (Блок 4, 5)</t>
  </si>
  <si>
    <t>ЩВ.2 (Блок 4, 5)</t>
  </si>
  <si>
    <t>ЩВ.3 (Блок 4, 5)</t>
  </si>
  <si>
    <t>ЩДУ (Блок 4, 5)</t>
  </si>
  <si>
    <t>256093</t>
  </si>
  <si>
    <t>Контактор модульный NCH8-63/20 63A 2НО AC220/230В 50Гц (R)</t>
  </si>
  <si>
    <t>ЩР2 (Блок 4, 5)</t>
  </si>
  <si>
    <t>ЩР(ГЦ)1 (Блок 4, 5)</t>
  </si>
  <si>
    <t>ЩР(БО)1 (Блок 4, 5)</t>
  </si>
  <si>
    <t>ЩСО (Блок 4, 5)</t>
  </si>
  <si>
    <t>256091</t>
  </si>
  <si>
    <t>Контактор модульный NCH8-25/22 25A 2НЗ+2НО AC230В 50Гц (R)</t>
  </si>
  <si>
    <t>АВР-1000А (АВР-3-1000-2-У) (Блок 6)</t>
  </si>
  <si>
    <t>131377</t>
  </si>
  <si>
    <t>Авт. выкл. NXM-1000S/3Р 1000A 50кА (R)</t>
  </si>
  <si>
    <t>946916</t>
  </si>
  <si>
    <t>Моторный привод MD-M6 D3/A1 для NXM(S)-1000 DC220V/AC230V (R)</t>
  </si>
  <si>
    <t>697034</t>
  </si>
  <si>
    <t>Реле контроля фаз NJYB3-15 AC220V (R)</t>
  </si>
  <si>
    <t>258438</t>
  </si>
  <si>
    <t>Реле времени NTE8-10B (задержка времени включения)  1-10с, 1НО, AC230В (R)</t>
  </si>
  <si>
    <t>С1-С3</t>
  </si>
  <si>
    <t>130300963_</t>
  </si>
  <si>
    <t>Амперметр Э47 1000/5A 72х72 ИЭК</t>
  </si>
  <si>
    <t>ampermetr</t>
  </si>
  <si>
    <t>voltmetr</t>
  </si>
  <si>
    <t>130301016_</t>
  </si>
  <si>
    <t>Вольтметр Э47 500В кл. точн. 1,5 72х72 IEK (1/100)</t>
  </si>
  <si>
    <t>593076</t>
  </si>
  <si>
    <t>Индикатор ND16-22D/2 желтый AC/DC230В (R)</t>
  </si>
  <si>
    <t>Механическая блокировка для  NXM-1000S/3Р 1000A 50кА (R)</t>
  </si>
  <si>
    <t>block</t>
  </si>
  <si>
    <t>motor</t>
  </si>
  <si>
    <t>ст-9952441</t>
  </si>
  <si>
    <t xml:space="preserve"> Трансформатор тока ТТИ-60 1000\5 10ВА кл.т.0,5 (IEK) (40) !!!</t>
  </si>
  <si>
    <t>АВР-100А (АВР-Б-100-2-1 (Блок 6)</t>
  </si>
  <si>
    <t>131375</t>
  </si>
  <si>
    <t>Авт. выкл. NXM-630S/3Р 630A 50кА (R)</t>
  </si>
  <si>
    <t>844363</t>
  </si>
  <si>
    <t>Авт. выкл. NXM-400S/3Р 320A 50кА (R)</t>
  </si>
  <si>
    <t>457106</t>
  </si>
  <si>
    <t>Авт. выкл. NXM-250S/3Р 125A 36кА (R)</t>
  </si>
  <si>
    <t>205883</t>
  </si>
  <si>
    <t>Авт. выкл. NXM-63S/3P 25кА 16A (R)</t>
  </si>
  <si>
    <t>205882</t>
  </si>
  <si>
    <t>Авт. выкл. NXM-63S/3P 25кА 10A (R)</t>
  </si>
  <si>
    <t>fotorele</t>
  </si>
  <si>
    <t>256054</t>
  </si>
  <si>
    <t>Контактор модульный NCH8-20/20 20A 2НО AC220/230В 50Гц (R)</t>
  </si>
  <si>
    <t>perekluchatel</t>
  </si>
  <si>
    <t>844299</t>
  </si>
  <si>
    <t>Авт. выкл. NXM-125S/3Р 25A 25кА (R)</t>
  </si>
  <si>
    <t>ЩС-6.1 (БЛОК 6)</t>
  </si>
  <si>
    <t>515405</t>
  </si>
  <si>
    <t>Диф. авт. выкл. NXBLE-63YH 1P+N C40 100mA тип AC, 6kA (R)</t>
  </si>
  <si>
    <t>539847</t>
  </si>
  <si>
    <t>Диф. авт. выкл. NXBLE-63YH 3P+N C16 30mA тип AC, 6kA (R)</t>
  </si>
  <si>
    <t>XT1N 160, TMD, In=80A</t>
  </si>
  <si>
    <t>1SDA067415R1</t>
  </si>
  <si>
    <t>ABB</t>
  </si>
  <si>
    <t xml:space="preserve">XT1, 3 kutup RC Inst. tipA 0,03…3A </t>
  </si>
  <si>
    <t xml:space="preserve">1SDA067122R1 </t>
  </si>
  <si>
    <t>131374</t>
  </si>
  <si>
    <t>Авт. выкл. NXM-630S/3Р 500A 50кА (R)</t>
  </si>
  <si>
    <t>235643</t>
  </si>
  <si>
    <t>Контактор NC2-115 115A 220-240В/АС3 50Гц (старый артикул)</t>
  </si>
  <si>
    <t>223027</t>
  </si>
  <si>
    <t>Контактор NC1-9504 95А 4P 230В 50Гц (R)</t>
  </si>
  <si>
    <t>836816</t>
  </si>
  <si>
    <t>Контактор NXC-85 85A 220В/АС3 1НО+1НЗ 50Гц (R)</t>
  </si>
  <si>
    <t>ЩС-6.2 (БЛОК 6)</t>
  </si>
  <si>
    <t>515401</t>
  </si>
  <si>
    <t>Диф. авт. выкл. NXBLE-63YH 1P+N C32 30mA тип AC, 6kA (R)</t>
  </si>
  <si>
    <t>515387</t>
  </si>
  <si>
    <t>Диф. авт. выкл. NXBLE-63YH 1P+N C20 30mA тип AC, 6kA (R)</t>
  </si>
  <si>
    <t>515373</t>
  </si>
  <si>
    <t>Диф. авт. выкл. NXBLE-63YH 1P+N C10 30mA тип AC, 6kA (R)</t>
  </si>
  <si>
    <t>ЩС-6.3 (БЛОК 6)</t>
  </si>
  <si>
    <t>296828</t>
  </si>
  <si>
    <t>Авт. выкл. NXB-63S 3P 20А 4.5kA х-ка C (R)</t>
  </si>
  <si>
    <t>844333</t>
  </si>
  <si>
    <t>Авт. выкл. NXM-250H/3Р 250A 50кА (R)</t>
  </si>
  <si>
    <t>ЩС-6.4 (БЛОК 6)</t>
  </si>
  <si>
    <t>ЩС-6.5 (БЛОК 6)</t>
  </si>
  <si>
    <t>ЩС-6.6 (БЛОК 6)</t>
  </si>
  <si>
    <t>296826</t>
  </si>
  <si>
    <t>Авт. выкл. NXB-63S 3P 10А 4.5kA х-ка C (R)</t>
  </si>
  <si>
    <t>256089</t>
  </si>
  <si>
    <t>Контактор модульный NCH8-25/40 25A 4НО AC220/230В 50Гц (R)</t>
  </si>
  <si>
    <t>296711</t>
  </si>
  <si>
    <t>Авт. выкл. NXB-63S 1P 20А 4.5kA х-ка C (R)</t>
  </si>
  <si>
    <t>ЩВ-6.1 (БЛОК 6)</t>
  </si>
  <si>
    <t>ЩВ-6.0 (БЛОК 6)</t>
  </si>
  <si>
    <t>ЩВ-6.2 (БЛОК 6)</t>
  </si>
  <si>
    <t>256099</t>
  </si>
  <si>
    <t>Контактор модульный NCH8-40/40 40A 4НО AC220/230В 50Гц (R)</t>
  </si>
  <si>
    <t>ЩВ-6.3 (БЛОК 6)</t>
  </si>
  <si>
    <t>296709</t>
  </si>
  <si>
    <t>Авт. выкл. NXB-63S 1P 10А 4.5kA х-ка C (R)</t>
  </si>
  <si>
    <t>ЩВ-6.4 (БЛОК 6)</t>
  </si>
  <si>
    <t>ЩВ-6.5 (БЛОК 6)</t>
  </si>
  <si>
    <t>256101</t>
  </si>
  <si>
    <t>Контактор модульный NCH8-63/40 63A 4НО AC220/230В 50Гц (R)</t>
  </si>
  <si>
    <t>533294</t>
  </si>
  <si>
    <t>Авт. выкл. NXM-250S/3Р 100A 36кА (R)</t>
  </si>
  <si>
    <t>ЩВ-6.6 (БЛОК 6)</t>
  </si>
  <si>
    <t>ЩО-6.0 (БЛОК 6)</t>
  </si>
  <si>
    <t>ЩО-6.1 (БЛОК 6)</t>
  </si>
  <si>
    <t>ЩО-6.2 (БЛОК 6)</t>
  </si>
  <si>
    <t>ЩО-6.3 (БЛОК 6)</t>
  </si>
  <si>
    <t>ЩО-6.4 (БЛОК 6)</t>
  </si>
  <si>
    <t>ЩО-6.6 (БЛОК 6)</t>
  </si>
  <si>
    <t>ЩО-6.5 (БЛОК 6)</t>
  </si>
  <si>
    <t>ЩСО (БЛОК 6)</t>
  </si>
  <si>
    <t>ЩРО-1, ЩРО-2  (БЛОК 7)</t>
  </si>
  <si>
    <t>ЩР1.1, ЩР1.2 (БЛОК 7)</t>
  </si>
  <si>
    <t>ЩР1.3(БЛОК 7)</t>
  </si>
  <si>
    <t>ЩР1.4(БЛОК 7)</t>
  </si>
  <si>
    <t>ЩР1.5(БЛОК 7)</t>
  </si>
  <si>
    <t>ЩР2.1(БЛОК 7)</t>
  </si>
  <si>
    <t>ЩР2.2(БЛОК 7)</t>
  </si>
  <si>
    <t>ЩР2.3(БЛОК 7)</t>
  </si>
  <si>
    <t>ЩР2.4(БЛОК 7)</t>
  </si>
  <si>
    <t>ЩР2.5(БЛОК 7)</t>
  </si>
  <si>
    <t>ЩР3.1(БЛОК 7)</t>
  </si>
  <si>
    <t>ЩР3.2(БЛОК 7)</t>
  </si>
  <si>
    <t>ЩР3.3(БЛОК 7)</t>
  </si>
  <si>
    <t>ЩР3.4(БЛОК 7)</t>
  </si>
  <si>
    <t>ЩР3.5(БЛОК 7)</t>
  </si>
  <si>
    <t>ЩР4.1(БЛОК 7)</t>
  </si>
  <si>
    <t>ЩР4.2(БЛОК 7)</t>
  </si>
  <si>
    <t>ЩР4.3(БЛОК 7)</t>
  </si>
  <si>
    <t>ЩР4.4(БЛОК 7)</t>
  </si>
  <si>
    <t>ЩР5.1(БЛОК 7)</t>
  </si>
  <si>
    <t>ЩР5.2(БЛОК 7)</t>
  </si>
  <si>
    <t>ЩР5.3(БЛОК 7)</t>
  </si>
  <si>
    <t>ЩР5.4(БЛОК 7)</t>
  </si>
  <si>
    <t>ЩР6.1(БЛОК 7)</t>
  </si>
  <si>
    <t>ЩР6.2, ЩР6.3(БЛОК 7)</t>
  </si>
  <si>
    <t>ЩР6.4(БЛОК 7)</t>
  </si>
  <si>
    <t>ЩР7.1(БЛОК 7)</t>
  </si>
  <si>
    <t>ЩР7.2, ЩР7.3(БЛОК 7)</t>
  </si>
  <si>
    <t>ЩР7.4(БЛОК 7)</t>
  </si>
  <si>
    <t>ЩРк-1, ЩРк-2, ЩРк-3, ЩРк-4(БЛОК 7)</t>
  </si>
  <si>
    <t>button</t>
  </si>
  <si>
    <t>АВР-1000А (АВР-3-1000-2-У) (Блок 8, 9)</t>
  </si>
  <si>
    <t>Авт. выкл. NXM-400S/3Р 315A 50кА (R)</t>
  </si>
  <si>
    <t>205884</t>
  </si>
  <si>
    <t>Авт. выкл. NXM-63S/3P 25кА 20A (R)</t>
  </si>
  <si>
    <t>131373</t>
  </si>
  <si>
    <t>Авт. выкл. NXM-400S/3Р 400A 50кА (R)</t>
  </si>
  <si>
    <t>256796</t>
  </si>
  <si>
    <t>Устройство автоматического ввода резерва NXZM-250S/3B 250A (R)</t>
  </si>
  <si>
    <t>ЩС-0.1 (БЛОК 8, 9)</t>
  </si>
  <si>
    <t>836515</t>
  </si>
  <si>
    <t>Контактор NXC-160 160A 220В/АС3 2НО+2НЗ 50Гц (R)</t>
  </si>
  <si>
    <t>ЩС-0.2 (БЛОК 8, 9)</t>
  </si>
  <si>
    <t>ЩС-0.3 (БЛОК 8, 9)</t>
  </si>
  <si>
    <t>ЩС-1.1 (БЛОК 8, 9)</t>
  </si>
  <si>
    <t>ЩС-1.2 (БЛОК 8, 9)</t>
  </si>
  <si>
    <t>ЩС-1.3 (БЛОК 8, 9)</t>
  </si>
  <si>
    <t>ЩC-2.1 (БЛОК 8, 9)</t>
  </si>
  <si>
    <t>ЩC-2.2 (БЛОК 8, 9)</t>
  </si>
  <si>
    <t>131371</t>
  </si>
  <si>
    <t>131369</t>
  </si>
  <si>
    <t>Авт. выкл. NXM-250S/3Р 250A 36кА (R)</t>
  </si>
  <si>
    <t>ЩС-3.1 (БЛОК 8, 9)</t>
  </si>
  <si>
    <t>ЩC-3.2 (БЛОК 8, 9)</t>
  </si>
  <si>
    <t>ЩС-4.1 (БЛОК 8, 9)</t>
  </si>
  <si>
    <t>ЩC-4.2 (БЛОК 8, 9)</t>
  </si>
  <si>
    <t>ЩC-5 (БЛОК 8, 9)</t>
  </si>
  <si>
    <t>ТРО1, ТРО2, ТРО3, ТРО4, ТРО5 (БЛОК 8, 9)</t>
  </si>
  <si>
    <t>ЩВ-0.0.1 (БЛОК 8, 9)</t>
  </si>
  <si>
    <t>946953</t>
  </si>
  <si>
    <t>Независимый расцепитель SHT-M2 A1 L для NXM(LE)-160 AC230V (левый) (R)</t>
  </si>
  <si>
    <t>ЩВ-0.0.2 (БЛОК 8, 9)</t>
  </si>
  <si>
    <t>925599</t>
  </si>
  <si>
    <t>Контактор NXC-18 18A 110В/АС3 1НО+1НЗ 50/60Гц (R)</t>
  </si>
  <si>
    <t>ЩВ-0.1 (БЛОК 8, 9)</t>
  </si>
  <si>
    <t>539842</t>
  </si>
  <si>
    <t>Диф. авт. выкл. NXBLE-63YH 3P+N C10 30mA тип A, 6kA (R)</t>
  </si>
  <si>
    <t>ЩВ-0.2 (БЛОК 8, 9)</t>
  </si>
  <si>
    <t>ЩВ-0.3 (БЛОК 8, 9)</t>
  </si>
  <si>
    <t>ЩВ-1.1 (БЛОК 8, 9)</t>
  </si>
  <si>
    <t>ЩВ-1.2 (БЛОК 8, 9)</t>
  </si>
  <si>
    <t>ЩВ-1.3 (БЛОК 8, 9)</t>
  </si>
  <si>
    <t>ЩВ-2.1 (БЛОК 8, 9)</t>
  </si>
  <si>
    <t>ЩВ-2.2 (БЛОК 8, 9)</t>
  </si>
  <si>
    <t>ЩВ-3.1 (БЛОК 8, 9)</t>
  </si>
  <si>
    <t>ЩВ-3.2 (БЛОК 8, 9)</t>
  </si>
  <si>
    <t>ЩВ-4.1 (БЛОК 8, 9)</t>
  </si>
  <si>
    <t>ЩВ-4.2 (БЛОК 8, 9)</t>
  </si>
  <si>
    <t>837097</t>
  </si>
  <si>
    <t>Тепловое реле NXR-12 1-1.6A (R)</t>
  </si>
  <si>
    <t>837095</t>
  </si>
  <si>
    <t>Тепловое реле NXR-12 0.4-0.63A (R)</t>
  </si>
  <si>
    <t>837096</t>
  </si>
  <si>
    <t>Тепловое реле NXR-12 0.63-1A (R)</t>
  </si>
  <si>
    <t>837114</t>
  </si>
  <si>
    <t>Тепловое реле NXR-25 4-6A (R)</t>
  </si>
  <si>
    <t>837118</t>
  </si>
  <si>
    <t>Тепловое реле NXR-25 12-18A (R)</t>
  </si>
  <si>
    <t>837107</t>
  </si>
  <si>
    <t>Тепловое реле NXR-25 0.25-0.4A (R)</t>
  </si>
  <si>
    <t>ЩВ-5.1 (БЛОК 8, 9)</t>
  </si>
  <si>
    <t>837112</t>
  </si>
  <si>
    <t>Тепловое реле NXR-25 1.6-2.5A (R)</t>
  </si>
  <si>
    <t>837113</t>
  </si>
  <si>
    <t>Тепловое реле NXR-25 2.5-4A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</si>
  <si>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</si>
  <si>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</si>
  <si>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</si>
  <si>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</si>
  <si>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</si>
  <si>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</si>
  <si>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ЩАО-0.0.1 (БЛОК 8, 9)</t>
  </si>
  <si>
    <t>ЩО-0.1 (БЛОК 8, 9)</t>
  </si>
  <si>
    <t>ЩО-0.2 (БЛОК 8, 9)</t>
  </si>
  <si>
    <t>ЩО-1.1 (БЛОК 8, 9)</t>
  </si>
  <si>
    <t>ЩО-1.2 (БЛОК 8, 9)</t>
  </si>
  <si>
    <t>ЩО-2.1 (БЛОК 8, 9)</t>
  </si>
  <si>
    <t>ЩО-2.2 (БЛОК 8, 9)</t>
  </si>
  <si>
    <t>ЩО-3.1 (БЛОК 8, 9)</t>
  </si>
  <si>
    <t>ЩО-3.2 (БЛОК 8, 9)</t>
  </si>
  <si>
    <t>ЩО-4.1 (БЛОК 8, 9)</t>
  </si>
  <si>
    <t>ЩО-4.2 (БЛОК 8, 9)</t>
  </si>
  <si>
    <t>ЩО-5.1 (БЛОК 8, 9)</t>
  </si>
  <si>
    <t>ЩО-0.0.2 (БЛОК 8, 9)</t>
  </si>
  <si>
    <t>1200*800*400</t>
  </si>
  <si>
    <t>АВР-100А (АВР-Б-100-2-1 (Блок 10)</t>
  </si>
  <si>
    <t>ЩС-1 (БЛОК 10)</t>
  </si>
  <si>
    <t>296714</t>
  </si>
  <si>
    <t>Авт. выкл. NXB-63S 1P 40А 4.5kA х-ка C (R)</t>
  </si>
  <si>
    <t>296713</t>
  </si>
  <si>
    <t>Авт. выкл. NXB-63S 1P 32А 4.5kA х-ка C (R)</t>
  </si>
  <si>
    <t>ЩС-2 (БЛОК 10)</t>
  </si>
  <si>
    <t>836545</t>
  </si>
  <si>
    <t>Контактор NXC-330 330A 220В/АС3 2НО+2НЗ 50Гц (R)</t>
  </si>
  <si>
    <t>ЩВ-1 (БЛОК 10)</t>
  </si>
  <si>
    <t>ЩВ-2 (БЛОК 10)</t>
  </si>
  <si>
    <t>ЩО-1 (БЛОК 10)</t>
  </si>
  <si>
    <t>ЩО-2 (БЛОК 10)</t>
  </si>
  <si>
    <t>ЩСО (БЛОК 10)</t>
  </si>
  <si>
    <t>сметада 8 шт</t>
  </si>
  <si>
    <t>сметада 25А</t>
  </si>
  <si>
    <t>сметада 10</t>
  </si>
  <si>
    <t>836858</t>
  </si>
  <si>
    <t>Контактор NXC-32 32A 380В/АС3 1НО+1НЗ 50Гц (R)</t>
  </si>
  <si>
    <t>836713</t>
  </si>
  <si>
    <t>Контактор NXC-12 12A 380В/АС3 1НО+1НЗ 50Гц (R)</t>
  </si>
  <si>
    <t>сметада 2 шт</t>
  </si>
  <si>
    <t>ЩР(БО)2(Блок 4, 5)</t>
  </si>
  <si>
    <t>ЩР1 (Блок 4, 5)</t>
  </si>
  <si>
    <t>сметада 5 шт</t>
  </si>
  <si>
    <t>ЩР(ГЦ)2 (Блок 4, 5)</t>
  </si>
  <si>
    <t>fr-din-1-25, Фотореле DIN-1 (ФР) 2-100Лк 25А (3000Вт)</t>
  </si>
  <si>
    <t>сметада 3 шт</t>
  </si>
  <si>
    <t>сметада 9 шт</t>
  </si>
  <si>
    <t>813873</t>
  </si>
  <si>
    <t>Авт. выкл. NXB-63H 3P 25A 10кА х-ка C (R)</t>
  </si>
  <si>
    <t>сметада 6 9А конт</t>
  </si>
  <si>
    <t>сметада 18А</t>
  </si>
  <si>
    <t>836905</t>
  </si>
  <si>
    <t>Контактор NXC-18 18A 380В/АС3 1НО+1НЗ 50Гц (R)</t>
  </si>
  <si>
    <t>712-03034</t>
  </si>
  <si>
    <t>Щит расп. x12, пласт., о/у, крышка бел., IP40, кор</t>
  </si>
  <si>
    <t>712-03058</t>
  </si>
  <si>
    <t>FS1-M18S FS1 Щит пластиковый о/у Х18 (крышка черная) IP65 NEXUS (TEKLED ELECTR)</t>
  </si>
  <si>
    <t>712-03014</t>
  </si>
  <si>
    <t>714-15005</t>
  </si>
  <si>
    <t>Pano met.ShRn-12 b/o (313х268х120)S/U 36 IP31 (TS)</t>
  </si>
  <si>
    <t>714-15007</t>
  </si>
  <si>
    <t>Щит мет.ЩРн-18 б/o (448х268х120)S/U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</si>
  <si>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</si>
  <si>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</si>
  <si>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</si>
  <si>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</si>
  <si>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714-15040</t>
  </si>
  <si>
    <t>Мет. Корпус ЩРН- 48 (660x310x120) IP31  (TS)</t>
  </si>
  <si>
    <t>714-15105</t>
  </si>
  <si>
    <t>Щит ЩРн-54 (540x440x120) S/U  IP31</t>
  </si>
  <si>
    <t>714-15067</t>
  </si>
  <si>
    <t>Мет. Корпус ЩРН-72 (540x600x120) S/U IP31</t>
  </si>
  <si>
    <t>719-15445</t>
  </si>
  <si>
    <t>Мет.Корпус ЩМП-5 (1000x650x300) IP31</t>
  </si>
  <si>
    <t>714-15113</t>
  </si>
  <si>
    <t>Щит мет. ЩРн-7-2 PR (1320x750x300) IP31 (TS)</t>
  </si>
  <si>
    <t>574114</t>
  </si>
  <si>
    <t>Кнопка управления Двойная кнопка "Пуск-Стоп" NP2-EL8325 1НО+1НЗ AC230В IP40 (R)</t>
  </si>
  <si>
    <t>IA</t>
  </si>
  <si>
    <t>ДАЛА СА4У-Э720 R TX OP П RS1 Д W  (3x220/380V 5-7,5A)</t>
  </si>
  <si>
    <t>АВР-1 (АВР-3-100-2-У) (Блок 2, 3)</t>
  </si>
  <si>
    <t>АВР-2 (АВР-3-100-2) (Блок 2, 3)</t>
  </si>
  <si>
    <t>АВР-1 (АВР-3-100-2-У) (Блок 4, 5)</t>
  </si>
  <si>
    <t>АВР-2 (АВР-3-100-2) (Блок 4, 5)</t>
  </si>
  <si>
    <t>АВР-250А (АВР-Б-250-2-1 (Блок 8, 9)</t>
  </si>
  <si>
    <t>ВРУ-1 (ВРУ-1-13-10УХЛ4) c PLC счетчиком(Блок 1)</t>
  </si>
  <si>
    <t>712-03010</t>
  </si>
  <si>
    <t>Щит расп. x20, пластик., о/у, крышка проз., серия NEXUS (TEKLED ELECTRIC)5</t>
  </si>
  <si>
    <t>712-03008</t>
  </si>
  <si>
    <t>Щит расп. x16, пластик., о/у, крышка проз., серия NEXUS (TEKLED ELECTRIC)5</t>
  </si>
  <si>
    <t xml:space="preserve">ПВК-15(1ПЛ)-ХЛ1 </t>
  </si>
  <si>
    <t>ITT20-2-05-0200</t>
  </si>
  <si>
    <t xml:space="preserve"> Трансформатор тока ТТИ-30  200/5А 5ВА 0,5 IEK E-PRO</t>
  </si>
  <si>
    <t>ВРУ-2 (ВРУ-1-50-01УХЛ4) (Блок 2,3)</t>
  </si>
  <si>
    <t xml:space="preserve">ВРУ-ИНД. С (АВР-3-630-2-У) (Блок 10) </t>
  </si>
  <si>
    <t>714-15120</t>
  </si>
  <si>
    <t>Щит мет. ЩРн-3-2 PR (650x500x220) IP54 (TS)</t>
  </si>
  <si>
    <t>719-15901</t>
  </si>
  <si>
    <t>Мет. ЩМП-3 (650х500х220) IP31</t>
  </si>
  <si>
    <t>719-159</t>
  </si>
  <si>
    <t>Мет. ЩМП-3 (650х500х250) IP31</t>
  </si>
  <si>
    <t>719-15420</t>
  </si>
  <si>
    <t>Мет.Корпус ЩМП-4 (800x650x250)  IP54</t>
  </si>
  <si>
    <t>719-15</t>
  </si>
  <si>
    <t>Мет. Корпус ЩМП- 13.75(1300х750х300) IP54</t>
  </si>
  <si>
    <t>Мет. Щит ВРУ (2000x700x600)+10 база (TS)</t>
  </si>
  <si>
    <t>actirma bobini</t>
  </si>
  <si>
    <t>946988</t>
  </si>
  <si>
    <t>Независимый расцепитель SHT-M6 A1 R для NXM-1000 AC230V (правый) (R)</t>
  </si>
  <si>
    <t>fınder r.</t>
  </si>
  <si>
    <t>285448</t>
  </si>
  <si>
    <t>Промежуточное реле JZX-22F(D) 4 конт. с инд. LED 3А 220В AC (R)</t>
  </si>
  <si>
    <t>fınder r.t.</t>
  </si>
  <si>
    <t>285982</t>
  </si>
  <si>
    <t>Розетка CZY14B для NJDC-17/4ZS, JZX-22F/(D) и JSZ6.  4 конт (R)</t>
  </si>
  <si>
    <t>abp rolesi</t>
  </si>
  <si>
    <t>Устройство управления резервным питанием F&amp;F AVR-02-G NEW</t>
  </si>
  <si>
    <t>f&amp;f</t>
  </si>
  <si>
    <t>izalatör</t>
  </si>
  <si>
    <t>130500005_</t>
  </si>
  <si>
    <t>Изолятор SM76 IEK (10)</t>
  </si>
  <si>
    <t>bakir bara</t>
  </si>
  <si>
    <t>Шина медн 10*100*4000</t>
  </si>
  <si>
    <t>256823</t>
  </si>
  <si>
    <t>Устройство автоматического ввода резерва NXZM-630S/3B 630A (R)</t>
  </si>
  <si>
    <t>ВРУ-2  (ВРУ-1-50-01УХЛ4) (Блок 4, 5)</t>
  </si>
  <si>
    <t>Мет. Щит ВРУ 1700х700х450+10CM База</t>
  </si>
  <si>
    <t>ВРУ-2 (ВРУ-1-50-01УХЛ4) (Блок 6)</t>
  </si>
  <si>
    <t>АВР-1 (АВР-3-100-2-У) (Блок 6)</t>
  </si>
  <si>
    <t>АВР-2 (АВР-3-100-2) (Блок 6)</t>
  </si>
  <si>
    <t>ВРУ-2 (ВРУ1-41-00УХЛ4) (Блок 6)</t>
  </si>
  <si>
    <t>ЩО.1 (Блок 6)</t>
  </si>
  <si>
    <t>ЩО.2 (Блок 6)</t>
  </si>
  <si>
    <t>ЩО.3 (Блок 6)</t>
  </si>
  <si>
    <t>ЩО(Г) (Блок 6)</t>
  </si>
  <si>
    <t>ЩАО1 (Блок 6)</t>
  </si>
  <si>
    <t>ЩАО2 (Блок 6)</t>
  </si>
  <si>
    <t>ЩАО3 (Блок 6)</t>
  </si>
  <si>
    <t>ЩАОГ (Блок 6))</t>
  </si>
  <si>
    <t>ЩСВ.1 (Блок 6)</t>
  </si>
  <si>
    <t>ЩВ.1 (Блок 6)</t>
  </si>
  <si>
    <t>ЩВ.2 (Блок 6)</t>
  </si>
  <si>
    <t>ЩВ.3 (Блок 6)</t>
  </si>
  <si>
    <t>ЩДУ (Блок 6)</t>
  </si>
  <si>
    <t>ЩР3 (Блок 6)</t>
  </si>
  <si>
    <t>ЩР2 (Блок 6)</t>
  </si>
  <si>
    <t>ЩР(ГЦ)1 (Блок 6)</t>
  </si>
  <si>
    <t>ЩР(БО)1 (Блок 6)</t>
  </si>
  <si>
    <t>ЩР(БО)12 (Блок 6)</t>
  </si>
  <si>
    <t>ЩСО (Блок 6)</t>
  </si>
  <si>
    <t xml:space="preserve">ВРУ1 (ВРУ1-17-70) (БЛОК 6) </t>
  </si>
  <si>
    <t>ВРУ2 (ВРУ1-41-00 УХЛ4)  (БЛОК 6)</t>
  </si>
  <si>
    <t xml:space="preserve">ВРУ1(ВРУ1-17-70)  (БЛОК 8, 9) </t>
  </si>
  <si>
    <t>ВРУ2 (ВРУ1-41-00 УХЛ4)  (БЛОК 8, 9)</t>
  </si>
  <si>
    <t>ВРУ2 (ВРУ1-41-00 УХЛ4)  (БЛОК 10)</t>
  </si>
  <si>
    <t>ВРУ-1 (ВРУ-1-13-10УХЛ4) c PLC счетчиком (Блок 2,3)</t>
  </si>
  <si>
    <t>ВРУ-1 (ВРУ-1-13-10УХЛ4) c PLC счетчиком (Блок 4,5)</t>
  </si>
  <si>
    <t>ВРУ-1 (ВРУ-1-13-10УХЛ4) c PLC счетчиком (Блок 6)</t>
  </si>
  <si>
    <t>ВРУ-1   (ВРУ-1-50-01УХЛ4) (Блок 1)</t>
  </si>
  <si>
    <t>719-15437</t>
  </si>
  <si>
    <t>Мет.Корпус Щит (1600x600x400+10см база)</t>
  </si>
  <si>
    <t>ВРУ-3 (ВРУ1-41-00УХЛ4) (Блок 4, 5)</t>
  </si>
  <si>
    <t>714-15</t>
  </si>
  <si>
    <t>Щит мет. ЩРн-5-3 PR (1000x650x220) IP54 (TS)</t>
  </si>
  <si>
    <t>termik</t>
  </si>
  <si>
    <t>837119</t>
  </si>
  <si>
    <t>Тепловое реле NXR-25 17-25A (R)</t>
  </si>
  <si>
    <t>714-15122</t>
  </si>
  <si>
    <t>Щит мет. ЩРн-2-2 PR (540x400x220) IP54 (TS)</t>
  </si>
  <si>
    <t>Номенклатура1</t>
  </si>
  <si>
    <t>719-15065</t>
  </si>
  <si>
    <t>Мет.Корпус Пустой 1400x600x300 10см (baza)</t>
  </si>
  <si>
    <t>719-15614</t>
  </si>
  <si>
    <t>Мет. Корпус (Пустой) (1700x600x450)+10CM База IP31</t>
  </si>
  <si>
    <t>ВРУ1 (ВРУ1-17-70) (БЛОК 10)</t>
  </si>
  <si>
    <t>tekled electric</t>
  </si>
  <si>
    <t>IB</t>
  </si>
  <si>
    <t>ДАЛА СА4-Э720 R TX OP P П RS1 Д W (3x220/380V 5-100A)</t>
  </si>
  <si>
    <t>719-15450</t>
  </si>
  <si>
    <t>Корпус ЩМП5 (1000x650x300) ip54</t>
  </si>
  <si>
    <t>270300035_</t>
  </si>
  <si>
    <t xml:space="preserve"> Трансформатор тока ТТИ-40 600/5А 5ВА 0,5 IEK</t>
  </si>
  <si>
    <t>712-03006</t>
  </si>
  <si>
    <t>Щит расп. x12, пластик., о/у, крышка проз., серия NEXUS (TEKLED ELECTRIC) 10</t>
  </si>
  <si>
    <t>712-03012</t>
  </si>
  <si>
    <t>Щит расп. x24, пластик., о/у, крышка проз., серия NEXUS (TEKLED ELECTRIC)5</t>
  </si>
  <si>
    <t>Щит расп. x32, пластик., о/у, крышка проз., серия NEXUS (TEKLED ELECTRIC)5</t>
  </si>
  <si>
    <t>574849</t>
  </si>
  <si>
    <t>Переключатель NP2-BD33, 3 положения с фиксацией, 2НО IP40</t>
  </si>
  <si>
    <t>toroid rolesi</t>
  </si>
  <si>
    <t>ph47</t>
  </si>
  <si>
    <t>saiman</t>
  </si>
  <si>
    <t>timer</t>
  </si>
  <si>
    <t>faz role</t>
  </si>
  <si>
    <t>sira no</t>
  </si>
  <si>
    <t>Toplam ВРУ-1 (ВРУ-1-13-10УХЛ4) c PLC счетчиком(Блок 1)</t>
  </si>
  <si>
    <t>Toplam ВРУ-1   (ВРУ-1-50-01УХЛ4) (Блок 1)</t>
  </si>
  <si>
    <t>Toplam АВР-1 (АВР-3-160-2-У) (Блок 1)</t>
  </si>
  <si>
    <t>Toplam АВР-2 (АВР-3-160-2) (Блок 1)</t>
  </si>
  <si>
    <t>Toplam ВРУ-2 (ВРУ1-41-00УХЛ4) (Блок 1)</t>
  </si>
  <si>
    <t>Toplam ЩАО.1 (Блок 1)</t>
  </si>
  <si>
    <t>Toplam ЩАО.2 (Блок 1)</t>
  </si>
  <si>
    <t>Toplam ЩО.1 (Блок 1)</t>
  </si>
  <si>
    <t>Toplam ЩО.2 (Блок 1)</t>
  </si>
  <si>
    <t>Toplam ЩО.3 (Блок 1)</t>
  </si>
  <si>
    <t>Toplam ЩО.4 (Блок 1)</t>
  </si>
  <si>
    <t>Toplam ЩО.5 (Блок 1)</t>
  </si>
  <si>
    <t>Toplam ЩО.6 (Блок 1)</t>
  </si>
  <si>
    <t>Toplam ЩО.7 (Блок 1)</t>
  </si>
  <si>
    <t>Toplam ЩО.8 (Блок 1)</t>
  </si>
  <si>
    <t>Toplam ЩР.1 (Блок 1)</t>
  </si>
  <si>
    <t>Toplam ЩР.2 (Блок 1)</t>
  </si>
  <si>
    <t>Toplam ЩР.3 (Блок 1)</t>
  </si>
  <si>
    <t>Toplam ЩР.4 (Блок 1)</t>
  </si>
  <si>
    <t>Toplam ЩР.5 (Блок 1)</t>
  </si>
  <si>
    <t>Toplam ЩР.6 (Блок 1)</t>
  </si>
  <si>
    <t>Toplam ЩР.7 (Блок 1)</t>
  </si>
  <si>
    <t>Toplam ЩГП.1 (Блок 1)</t>
  </si>
  <si>
    <t>Toplam ЩГП.2 (Блок 1)</t>
  </si>
  <si>
    <t>Toplam ЩСС (Блок 1)</t>
  </si>
  <si>
    <t>Toplam ЩСВ.1 (Блок 1)</t>
  </si>
  <si>
    <t>Toplam ЩСВ.2 (Блок 1)</t>
  </si>
  <si>
    <t>Toplam ЩДУ.1 (Блок 1)</t>
  </si>
  <si>
    <t>Toplam ЩДУ.1 (Блок 2, 3)</t>
  </si>
  <si>
    <t>Toplam ЩВ.1 (Блок 1)</t>
  </si>
  <si>
    <t xml:space="preserve">Toplam ПВК-15(1ПЛ)-ХЛ1 </t>
  </si>
  <si>
    <t>Toplam ЩВ.2 (Блок 1)</t>
  </si>
  <si>
    <t>Toplam ЩВ.3 (Блок 1)</t>
  </si>
  <si>
    <t>Toplam ЩВ.4 (Блок 1)</t>
  </si>
  <si>
    <t>Toplam ЩВ.5 (Блок 1)</t>
  </si>
  <si>
    <t>Toplam ЩВ.6 (Блок 1)</t>
  </si>
  <si>
    <t>Toplam ВРУ-1 (ВРУ-1-13-10УХЛ4) c PLC счетчиком (Блок 2,3)</t>
  </si>
  <si>
    <t>Toplam ВРУ-2 (ВРУ-1-50-01УХЛ4) (Блок 2,3)</t>
  </si>
  <si>
    <t>Toplam АВР-1 (АВР-3-100-2-У) (Блок 2, 3)</t>
  </si>
  <si>
    <t>Toplam АВР-2 (АВР-3-100-2) (Блок 2, 3)</t>
  </si>
  <si>
    <t>Toplam ВРУ-2 (ВРУ1-41-00УХЛ4) (Блок 2, 3)</t>
  </si>
  <si>
    <t>Toplam ЩАО.1 (Блок 2, 3)</t>
  </si>
  <si>
    <t>Toplam ЩАО.2 (Блок 2, 3)</t>
  </si>
  <si>
    <t>Toplam ЩО.1 (Блок 2, 3)</t>
  </si>
  <si>
    <t>Toplam ЩО.2 (Блок 2, 3)</t>
  </si>
  <si>
    <t>Toplam ЩО.3 (Блок 2, 3)</t>
  </si>
  <si>
    <t>Toplam ЩО.4 (Блок 2, 3)</t>
  </si>
  <si>
    <t>Toplam ЩО.5 (Блок 2, 3)</t>
  </si>
  <si>
    <t>Toplam ЩО.6 (Блок 2, 3)</t>
  </si>
  <si>
    <t>Toplam ЩО.7 (Блок 2, 3)</t>
  </si>
  <si>
    <t>Toplam ЩО.8 (Блок 2, 3)</t>
  </si>
  <si>
    <t>Toplam ЩР.1 (Блок 2, 3)</t>
  </si>
  <si>
    <t>Toplam ЩР.2 (Блок 2, 3)</t>
  </si>
  <si>
    <t>Toplam ЩР.3 (Блок 2, 3)</t>
  </si>
  <si>
    <t>Toplam ЩР.4 (Блок 2, 3)</t>
  </si>
  <si>
    <t>Toplam ЩР.5 (Блок 2, 3)</t>
  </si>
  <si>
    <t>Toplam ЩР.6 (Блок 2, 3)</t>
  </si>
  <si>
    <t>Toplam ЩР.7 (Блок 2 ,3)</t>
  </si>
  <si>
    <t>Toplam ЩР.8 (Блок 2 ,3)</t>
  </si>
  <si>
    <t>Toplam ЩСВ.1 (Блок 2, 3)</t>
  </si>
  <si>
    <t>Toplam ЩСВ.2 (Блок 2, 3)</t>
  </si>
  <si>
    <t>Toplam ЩДУ.2 (Блок 2, 3)</t>
  </si>
  <si>
    <t>Toplam ЩВ.1 (Блок 2, 3)</t>
  </si>
  <si>
    <t>Toplam ЩВ.2 (Блок 2, 3)</t>
  </si>
  <si>
    <t>Toplam ЩВ.3 (Блок 2, 3)</t>
  </si>
  <si>
    <t>Toplam ВРУ-1 (ВРУ-1-13-10УХЛ4) c PLC счетчиком (Блок 4,5)</t>
  </si>
  <si>
    <t>Toplam ВРУ-2  (ВРУ-1-50-01УХЛ4) (Блок 4, 5)</t>
  </si>
  <si>
    <t>Toplam АВР-1 (АВР-3-100-2-У) (Блок 4, 5)</t>
  </si>
  <si>
    <t>Toplam АВР-2 (АВР-3-100-2) (Блок 4, 5)</t>
  </si>
  <si>
    <t>Toplam ВРУ-3 (ВРУ1-41-00УХЛ4) (Блок 4, 5)</t>
  </si>
  <si>
    <t>Toplam ЩО.1 (Блок 4, 5)</t>
  </si>
  <si>
    <t>Toplam ЩО.2 (Блок 4, 5)</t>
  </si>
  <si>
    <t>Toplam ЩО.3 (Блок 4, 5)</t>
  </si>
  <si>
    <t>Toplam ЩО(Г) (Блок 4, 5)</t>
  </si>
  <si>
    <t>Toplam ЩАО1 (Блок 4, 5)</t>
  </si>
  <si>
    <t>Toplam ЩАО2 (Блок 4, 5)</t>
  </si>
  <si>
    <t>Toplam ЩАО3 (Блок 4, 5)</t>
  </si>
  <si>
    <t>Toplam ЩАОГ (Блок 4, 5)</t>
  </si>
  <si>
    <t>Toplam ЩВ.1 (Блок 4, 5)</t>
  </si>
  <si>
    <t>Toplam ЩВ.2 (Блок 4, 5)</t>
  </si>
  <si>
    <t>Toplam ЩВ.3 (Блок 4, 5)</t>
  </si>
  <si>
    <t>Toplam ЩДУ (Блок 4, 5)</t>
  </si>
  <si>
    <t>Toplam ЩР1 (Блок 4, 5)</t>
  </si>
  <si>
    <t>Toplam ЩР2 (Блок 4, 5)</t>
  </si>
  <si>
    <t>Toplam ЩР(ГЦ)1 (Блок 4, 5)</t>
  </si>
  <si>
    <t>Toplam ЩР(ГЦ)2 (Блок 4, 5)</t>
  </si>
  <si>
    <t>Toplam ЩР(БО)1 (Блок 4, 5)</t>
  </si>
  <si>
    <t>Toplam ЩР(БО)2(Блок 4, 5)</t>
  </si>
  <si>
    <t>Toplam ЩСО (Блок 4, 5)</t>
  </si>
  <si>
    <t xml:space="preserve">Toplam ВРУ1 (ВРУ1-17-70) (БЛОК 6) </t>
  </si>
  <si>
    <t>Toplam АВР-1000А (АВР-3-1000-2-У) (Блок 6)</t>
  </si>
  <si>
    <t>Toplam ВРУ2 (ВРУ1-41-00 УХЛ4)  (БЛОК 6)</t>
  </si>
  <si>
    <t>Toplam АВР-100А (АВР-Б-100-2-1 (Блок 6)</t>
  </si>
  <si>
    <t>Toplam ЩС-6.1 (БЛОК 6)</t>
  </si>
  <si>
    <t>Toplam ЩС-6.2 (БЛОК 6)</t>
  </si>
  <si>
    <t>Toplam ЩС-6.3 (БЛОК 6)</t>
  </si>
  <si>
    <t>Toplam ЩС-6.4 (БЛОК 6)</t>
  </si>
  <si>
    <t>Toplam ЩС-6.5 (БЛОК 6)</t>
  </si>
  <si>
    <t>Toplam ЩС-6.6 (БЛОК 6)</t>
  </si>
  <si>
    <t>Toplam ЩВ-6.0 (БЛОК 6)</t>
  </si>
  <si>
    <t>Toplam ЩВ-6.1 (БЛОК 6)</t>
  </si>
  <si>
    <t>Toplam ЩВ-6.2 (БЛОК 6)</t>
  </si>
  <si>
    <t>Toplam ЩВ-6.3 (БЛОК 6)</t>
  </si>
  <si>
    <t>Toplam ЩВ-6.4 (БЛОК 6)</t>
  </si>
  <si>
    <t>Toplam ЩВ-6.5 (БЛОК 6)</t>
  </si>
  <si>
    <t>Toplam ЩВ-6.6 (БЛОК 6)</t>
  </si>
  <si>
    <t>Toplam ЩО-6.0 (БЛОК 6)</t>
  </si>
  <si>
    <t>Toplam ЩО-6.1 (БЛОК 6)</t>
  </si>
  <si>
    <t>Toplam ЩО-6.2 (БЛОК 6)</t>
  </si>
  <si>
    <t>Toplam ЩО-6.3 (БЛОК 6)</t>
  </si>
  <si>
    <t>Toplam ЩО-6.4 (БЛОК 6)</t>
  </si>
  <si>
    <t>Toplam ЩО-6.5 (БЛОК 6)</t>
  </si>
  <si>
    <t>Toplam ЩО-6.6 (БЛОК 6)</t>
  </si>
  <si>
    <t>Toplam ЩСО (БЛОК 6)</t>
  </si>
  <si>
    <t>Toplam ЩРО-1, ЩРО-2  (БЛОК 7)</t>
  </si>
  <si>
    <t>Toplam ЩР1.1, ЩР1.2 (БЛОК 7)</t>
  </si>
  <si>
    <t>Toplam ЩР1.3(БЛОК 7)</t>
  </si>
  <si>
    <t>Toplam ЩР1.4(БЛОК 7)</t>
  </si>
  <si>
    <t>Toplam ЩР1.5(БЛОК 7)</t>
  </si>
  <si>
    <t>Toplam ЩР2.1(БЛОК 7)</t>
  </si>
  <si>
    <t>Toplam ЩР2.2(БЛОК 7)</t>
  </si>
  <si>
    <t>Toplam ЩР2.3(БЛОК 7)</t>
  </si>
  <si>
    <t>Toplam ЩР2.4(БЛОК 7)</t>
  </si>
  <si>
    <t>Toplam ЩР2.5(БЛОК 7)</t>
  </si>
  <si>
    <t>Toplam ЩР3.1(БЛОК 7)</t>
  </si>
  <si>
    <t>Toplam ЩР3.2(БЛОК 7)</t>
  </si>
  <si>
    <t>Toplam ЩР3.3(БЛОК 7)</t>
  </si>
  <si>
    <t>Toplam ЩР3.4(БЛОК 7)</t>
  </si>
  <si>
    <t>Toplam ЩР3.5(БЛОК 7)</t>
  </si>
  <si>
    <t>Toplam ЩР4.1(БЛОК 7)</t>
  </si>
  <si>
    <t>Toplam ЩР4.2(БЛОК 7)</t>
  </si>
  <si>
    <t>Toplam ЩР4.3(БЛОК 7)</t>
  </si>
  <si>
    <t>Toplam ЩР4.4(БЛОК 7)</t>
  </si>
  <si>
    <t>Toplam ЩР5.1(БЛОК 7)</t>
  </si>
  <si>
    <t>Toplam ЩР5.2(БЛОК 7)</t>
  </si>
  <si>
    <t>Toplam ЩР5.3(БЛОК 7)</t>
  </si>
  <si>
    <t>Toplam ЩР5.4(БЛОК 7)</t>
  </si>
  <si>
    <t>Toplam ЩР6.1(БЛОК 7)</t>
  </si>
  <si>
    <t>Toplam ЩР6.2, ЩР6.3(БЛОК 7)</t>
  </si>
  <si>
    <t>Toplam ЩР6.4(БЛОК 7)</t>
  </si>
  <si>
    <t>Toplam ЩР7.1(БЛОК 7)</t>
  </si>
  <si>
    <t>Toplam ЩР7.2, ЩР7.3(БЛОК 7)</t>
  </si>
  <si>
    <t>Toplam ЩР7.4(БЛОК 7)</t>
  </si>
  <si>
    <t>Toplam ЩРк-1, ЩРк-2, ЩРк-3, ЩРк-4(БЛОК 7)</t>
  </si>
  <si>
    <t xml:space="preserve">Toplam ВРУ1(ВРУ1-17-70)  (БЛОК 8, 9) </t>
  </si>
  <si>
    <t>Toplam АВР-1000А (АВР-3-1000-2-У) (Блок 8, 9)</t>
  </si>
  <si>
    <t>Toplam ВРУ2 (ВРУ1-41-00 УХЛ4)  (БЛОК 8, 9)</t>
  </si>
  <si>
    <t>Toplam АВР-250А (АВР-Б-250-2-1 (Блок 8, 9)</t>
  </si>
  <si>
    <t>Toplam ЩС-0.1 (БЛОК 8, 9)</t>
  </si>
  <si>
    <t>Toplam ЩС-0.2 (БЛОК 8, 9)</t>
  </si>
  <si>
    <t>Toplam ЩС-0.3 (БЛОК 8, 9)</t>
  </si>
  <si>
    <t>Toplam ЩС-1.1 (БЛОК 8, 9)</t>
  </si>
  <si>
    <t>Toplam ЩС-1.2 (БЛОК 8, 9)</t>
  </si>
  <si>
    <t>Toplam ЩС-1.3 (БЛОК 8, 9)</t>
  </si>
  <si>
    <t>Toplam ЩC-2.1 (БЛОК 8, 9)</t>
  </si>
  <si>
    <t>Toplam ЩC-2.2 (БЛОК 8, 9)</t>
  </si>
  <si>
    <t>Toplam ЩС-3.1 (БЛОК 8, 9)</t>
  </si>
  <si>
    <t>Toplam ЩC-3.2 (БЛОК 8, 9)</t>
  </si>
  <si>
    <t>Toplam ЩС-4.1 (БЛОК 8, 9)</t>
  </si>
  <si>
    <t>Toplam ЩC-4.2 (БЛОК 8, 9)</t>
  </si>
  <si>
    <t>Toplam ЩC-5 (БЛОК 8, 9)</t>
  </si>
  <si>
    <t>Toplam ТРО1, ТРО2, ТРО3, ТРО4, ТРО5 (БЛОК 8, 9)</t>
  </si>
  <si>
    <t>Toplam ЩВ-0.0.1 (БЛОК 8, 9)</t>
  </si>
  <si>
    <t>Toplam ЩВ-0.0.2 (БЛОК 8, 9)</t>
  </si>
  <si>
    <t>Toplam ЩВ-0.1 (БЛОК 8, 9)</t>
  </si>
  <si>
    <t>Toplam ЩВ-0.2 (БЛОК 8, 9)</t>
  </si>
  <si>
    <t>Toplam ЩВ-0.3 (БЛОК 8, 9)</t>
  </si>
  <si>
    <t>Toplam ЩВ-1.1 (БЛОК 8, 9)</t>
  </si>
  <si>
    <t>Toplam ЩВ-1.2 (БЛОК 8, 9)</t>
  </si>
  <si>
    <t>Toplam ЩВ-1.3 (БЛОК 8, 9)</t>
  </si>
  <si>
    <t>Toplam ЩВ-2.1 (БЛОК 8, 9)</t>
  </si>
  <si>
    <t>Toplam ЩВ-2.2 (БЛОК 8, 9)</t>
  </si>
  <si>
    <t>Toplam ЩВ-3.1 (БЛОК 8, 9)</t>
  </si>
  <si>
    <t>Toplam ЩВ-3.2 (БЛОК 8, 9)</t>
  </si>
  <si>
    <t>Toplam ЩВ-4.1 (БЛОК 8, 9)</t>
  </si>
  <si>
    <t>Toplam ЩВ-4.2 (БЛОК 8, 9)</t>
  </si>
  <si>
    <t>Toplam ЩВ-5.1 (БЛОК 8, 9)</t>
  </si>
  <si>
    <t>Toplam ЩАО-0.0.1 (БЛОК 8, 9)</t>
  </si>
  <si>
    <t>Toplam ЩО-0.0.2 (БЛОК 8, 9)</t>
  </si>
  <si>
    <t>Toplam ЩО-0.1 (БЛОК 8, 9)</t>
  </si>
  <si>
    <t>Toplam ЩО-0.2 (БЛОК 8, 9)</t>
  </si>
  <si>
    <t>Toplam ЩО-1.1 (БЛОК 8, 9)</t>
  </si>
  <si>
    <t>Toplam ЩО-1.2 (БЛОК 8, 9)</t>
  </si>
  <si>
    <t>Toplam ЩО-2.1 (БЛОК 8, 9)</t>
  </si>
  <si>
    <t>Toplam ЩО-2.2 (БЛОК 8, 9)</t>
  </si>
  <si>
    <t>Toplam ЩО-3.1 (БЛОК 8, 9)</t>
  </si>
  <si>
    <t>Toplam ЩО-3.2 (БЛОК 8, 9)</t>
  </si>
  <si>
    <t>Toplam ЩО-4.1 (БЛОК 8, 9)</t>
  </si>
  <si>
    <t>Toplam ЩО-4.2 (БЛОК 8, 9)</t>
  </si>
  <si>
    <t>Toplam ЩО-5.1 (БЛОК 8, 9)</t>
  </si>
  <si>
    <t>Toplam ВРУ1 (ВРУ1-17-70) (БЛОК 10)</t>
  </si>
  <si>
    <t xml:space="preserve">Toplam ВРУ-ИНД. С (АВР-3-630-2-У) (Блок 10) </t>
  </si>
  <si>
    <t>Toplam ВРУ2 (ВРУ1-41-00 УХЛ4)  (БЛОК 10)</t>
  </si>
  <si>
    <t>Toplam АВР-100А (АВР-Б-100-2-1 (Блок 10)</t>
  </si>
  <si>
    <t>Toplam ЩС-1 (БЛОК 10)</t>
  </si>
  <si>
    <t>Toplam ЩС-2 (БЛОК 10)</t>
  </si>
  <si>
    <t>Toplam ЩВ-1 (БЛОК 10)</t>
  </si>
  <si>
    <t>Toplam ЩВ-2 (БЛОК 10)</t>
  </si>
  <si>
    <t>Toplam ЩО-1 (БЛОК 10)</t>
  </si>
  <si>
    <t>Toplam ЩО-2 (БЛОК 10)</t>
  </si>
  <si>
    <t>Toplam ЩСО (БЛОК 10)</t>
  </si>
  <si>
    <t>Genel Toplam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</si>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</sst>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6" fillId="4" borderId="3" xfId="1" applyNumberFormat="1" applyFont="1" applyFill="1" applyBorder="1" applyAlignment="1" applyProtection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165" fontId="6" fillId="4" borderId="0" xfId="1" applyNumberFormat="1" applyFont="1" applyFill="1" applyBorder="1" applyAlignment="1" applyProtection="1">
      <alignment horizontal="center" vertical="center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/>
    </xf>
    <xf numFmtId="3" fontId="7" fillId="5" borderId="1" xfId="0" applyNumberFormat="1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/>
    </xf>
    <xf numFmtId="3" fontId="7" fillId="5" borderId="2" xfId="0" applyNumberFormat="1" applyFont="1" applyFill="1" applyBorder="1" applyAlignment="1">
      <alignment horizontal="center" vertical="center" wrapText="1"/>
    </xf>
    <xf numFmtId="3" fontId="6" fillId="4" borderId="3" xfId="1" applyNumberFormat="1" applyFont="1" applyFill="1" applyBorder="1" applyAlignment="1" applyProtection="1">
      <alignment horizontal="center" vertical="center"/>
    </xf>
    <xf numFmtId="3" fontId="6" fillId="4" borderId="0" xfId="0" applyNumberFormat="1" applyFont="1" applyFill="1" applyBorder="1" applyAlignment="1">
      <alignment horizontal="center" vertical="center" wrapText="1"/>
    </xf>
    <xf numFmtId="3" fontId="6" fillId="4" borderId="0" xfId="1" applyNumberFormat="1" applyFont="1" applyFill="1" applyBorder="1" applyAlignment="1" applyProtection="1">
      <alignment horizontal="center" vertical="center"/>
    </xf>
    <xf numFmtId="3" fontId="0" fillId="0" borderId="0" xfId="0" applyNumberFormat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5CC2292-5ECE-4197-8C0B-91D6B18511E0}">
  <we:reference id="WA200006007" version="1.2.3.0" store="Omex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65DEF1B-7016-4635-9DB5-431AFA0338DA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N1896"/>
  <sheetViews>
    <sheetView tabSelected="1" zoomScale="115" zoomScaleNormal="115" workbookViewId="0">
      <pane ySplit="1" topLeftCell="A1480" activePane="bottomLeft" state="frozen"/>
      <selection pane="bottomLeft" activeCell="H1485" sqref="H1485"/>
    </sheetView>
  </sheetViews>
  <sheetFormatPr defaultRowHeight="21" customHeight="1" outlineLevelRow="2" x14ac:dyDescent="0.25"/>
  <cols>
    <col min="1" max="1" width="9.28515625" bestFit="1" customWidth="1"/>
    <col min="2" max="2" width="33.5703125" customWidth="1"/>
    <col min="4" max="4" width="13.85546875" style="31" customWidth="1"/>
    <col min="5" max="5" width="72.42578125" customWidth="1"/>
    <col min="6" max="7" width="10" style="43" bestFit="1" customWidth="1"/>
    <col min="8" max="8" width="15.7109375" style="43" bestFit="1" customWidth="1"/>
    <col min="9" max="9" width="9.28515625" bestFit="1" customWidth="1"/>
    <col min="12" max="12" width="15.7109375" bestFit="1" customWidth="1"/>
    <col min="13" max="13" width="18.140625" customWidth="1"/>
  </cols>
  <sheetData>
    <row r="1" spans="1:12" ht="39.75" customHeight="1" x14ac:dyDescent="0.25">
      <c r="A1" s="4" t="s">
        <v>600</v>
      </c>
      <c r="B1" s="1" t="s">
        <v>575</v>
      </c>
      <c r="C1" s="1" t="s">
        <v>0</v>
      </c>
      <c r="D1" s="27" t="s">
        <v>1</v>
      </c>
      <c r="E1" s="1" t="s">
        <v>13</v>
      </c>
      <c r="F1" s="2" t="s">
        <v>2</v>
      </c>
      <c r="G1" s="2" t="s">
        <v>2</v>
      </c>
      <c r="H1" s="35" t="s">
        <v>5</v>
      </c>
      <c r="I1" s="4" t="s">
        <v>14</v>
      </c>
      <c r="J1" s="4" t="s">
        <v>3</v>
      </c>
      <c r="K1" s="4" t="s">
        <v>4</v>
      </c>
      <c r="L1" s="3" t="s">
        <v>803</v>
      </c>
    </row>
    <row r="2" spans="1:12" ht="39.75" customHeight="1" outlineLevel="2" x14ac:dyDescent="0.25">
      <c r="A2" s="10">
        <f>ROW(A1)</f>
        <v>1</v>
      </c>
      <c r="B2" s="6" t="str">
        <f>E2</f>
        <v>ВРУ-1 (ВРУ-1-13-10УХЛ4) c PLC счетчиком(Блок 1)</v>
      </c>
      <c r="C2" s="6"/>
      <c r="D2" s="28"/>
      <c r="E2" s="6" t="s">
        <v>491</v>
      </c>
      <c r="F2" s="36"/>
      <c r="G2" s="36" t="s">
        <v>73</v>
      </c>
      <c r="H2" s="7"/>
      <c r="I2" s="10">
        <v>1</v>
      </c>
      <c r="J2" s="11" t="s">
        <v>6</v>
      </c>
      <c r="K2" s="6" t="s">
        <v>8</v>
      </c>
      <c r="L2" s="9"/>
    </row>
    <row r="3" spans="1:12" ht="21" customHeight="1" outlineLevel="2" x14ac:dyDescent="0.25">
      <c r="A3" s="16">
        <f t="shared" ref="A3:A73" si="0">ROW(A2)</f>
        <v>2</v>
      </c>
      <c r="B3" s="12" t="str">
        <f>B2</f>
        <v>ВРУ-1 (ВРУ-1-13-10УХЛ4) c PLC счетчиком(Блок 1)</v>
      </c>
      <c r="C3" s="13" t="s">
        <v>7</v>
      </c>
      <c r="D3" s="29" t="s">
        <v>60</v>
      </c>
      <c r="E3" s="12" t="s">
        <v>61</v>
      </c>
      <c r="F3" s="37">
        <v>155000</v>
      </c>
      <c r="G3" s="38">
        <f>F3*0.6</f>
        <v>93000</v>
      </c>
      <c r="H3" s="38">
        <f>I3*G3</f>
        <v>93000</v>
      </c>
      <c r="I3" s="16">
        <v>1</v>
      </c>
      <c r="J3" s="17" t="s">
        <v>12</v>
      </c>
      <c r="K3" s="13" t="s">
        <v>15</v>
      </c>
      <c r="L3" s="15">
        <v>93000</v>
      </c>
    </row>
    <row r="4" spans="1:12" ht="21" customHeight="1" outlineLevel="2" x14ac:dyDescent="0.25">
      <c r="A4" s="16">
        <f t="shared" si="0"/>
        <v>3</v>
      </c>
      <c r="B4" s="12" t="str">
        <f>B3</f>
        <v>ВРУ-1 (ВРУ-1-13-10УХЛ4) c PLC счетчиком(Блок 1)</v>
      </c>
      <c r="C4" s="13" t="s">
        <v>26</v>
      </c>
      <c r="D4" s="29" t="s">
        <v>69</v>
      </c>
      <c r="E4" s="12" t="s">
        <v>70</v>
      </c>
      <c r="F4" s="37">
        <v>5523</v>
      </c>
      <c r="G4" s="38">
        <f>F4</f>
        <v>5523</v>
      </c>
      <c r="H4" s="38">
        <f>G4*I4</f>
        <v>33138</v>
      </c>
      <c r="I4" s="16">
        <v>6</v>
      </c>
      <c r="J4" s="17" t="s">
        <v>12</v>
      </c>
      <c r="K4" s="13" t="s">
        <v>25</v>
      </c>
      <c r="L4" s="15">
        <v>33138</v>
      </c>
    </row>
    <row r="5" spans="1:12" ht="21" customHeight="1" outlineLevel="2" x14ac:dyDescent="0.25">
      <c r="A5" s="16">
        <f t="shared" si="0"/>
        <v>4</v>
      </c>
      <c r="B5" s="12" t="str">
        <f>B4</f>
        <v>ВРУ-1 (ВРУ-1-13-10УХЛ4) c PLC счетчиком(Блок 1)</v>
      </c>
      <c r="C5" s="13" t="s">
        <v>36</v>
      </c>
      <c r="D5" s="29" t="s">
        <v>44</v>
      </c>
      <c r="E5" s="12" t="s">
        <v>64</v>
      </c>
      <c r="F5" s="37">
        <v>21950</v>
      </c>
      <c r="G5" s="38">
        <f>F5</f>
        <v>21950</v>
      </c>
      <c r="H5" s="38">
        <f>G5*I5</f>
        <v>43900</v>
      </c>
      <c r="I5" s="16">
        <v>2</v>
      </c>
      <c r="J5" s="17" t="s">
        <v>12</v>
      </c>
      <c r="K5" s="13" t="s">
        <v>25</v>
      </c>
      <c r="L5" s="15">
        <v>43900</v>
      </c>
    </row>
    <row r="6" spans="1:12" ht="21" customHeight="1" outlineLevel="2" x14ac:dyDescent="0.25">
      <c r="A6" s="16">
        <f t="shared" si="0"/>
        <v>5</v>
      </c>
      <c r="B6" s="12" t="str">
        <f>B5</f>
        <v>ВРУ-1 (ВРУ-1-13-10УХЛ4) c PLC счетчиком(Блок 1)</v>
      </c>
      <c r="C6" s="13" t="s">
        <v>37</v>
      </c>
      <c r="D6" s="29" t="s">
        <v>71</v>
      </c>
      <c r="E6" s="12" t="s">
        <v>72</v>
      </c>
      <c r="F6" s="37">
        <v>4965</v>
      </c>
      <c r="G6" s="38">
        <f>F6*0.6</f>
        <v>2979</v>
      </c>
      <c r="H6" s="38">
        <f>G6*I6</f>
        <v>17874</v>
      </c>
      <c r="I6" s="16">
        <v>6</v>
      </c>
      <c r="J6" s="17" t="s">
        <v>12</v>
      </c>
      <c r="K6" s="13" t="s">
        <v>16</v>
      </c>
      <c r="L6" s="15">
        <v>17874</v>
      </c>
    </row>
    <row r="7" spans="1:12" ht="21" customHeight="1" outlineLevel="2" x14ac:dyDescent="0.25">
      <c r="A7" s="16">
        <f t="shared" si="0"/>
        <v>6</v>
      </c>
      <c r="B7" s="12" t="str">
        <f>B6</f>
        <v>ВРУ-1 (ВРУ-1-13-10УХЛ4) c PLC счетчиком(Блок 1)</v>
      </c>
      <c r="C7" s="13" t="s">
        <v>37</v>
      </c>
      <c r="D7" s="29" t="s">
        <v>34</v>
      </c>
      <c r="E7" s="12" t="s">
        <v>35</v>
      </c>
      <c r="F7" s="37">
        <v>7443</v>
      </c>
      <c r="G7" s="38">
        <f>F7*0.6</f>
        <v>4465.8</v>
      </c>
      <c r="H7" s="38">
        <f>G7*I7</f>
        <v>26794.800000000003</v>
      </c>
      <c r="I7" s="16">
        <v>6</v>
      </c>
      <c r="J7" s="17" t="s">
        <v>12</v>
      </c>
      <c r="K7" s="13" t="s">
        <v>16</v>
      </c>
      <c r="L7" s="15">
        <v>26794.800000000003</v>
      </c>
    </row>
    <row r="8" spans="1:12" ht="21" customHeight="1" outlineLevel="2" x14ac:dyDescent="0.25">
      <c r="A8" s="16">
        <f t="shared" si="0"/>
        <v>7</v>
      </c>
      <c r="B8" s="12" t="str">
        <f>B7</f>
        <v>ВРУ-1 (ВРУ-1-13-10УХЛ4) c PLC счетчиком(Блок 1)</v>
      </c>
      <c r="C8" s="13" t="s">
        <v>11</v>
      </c>
      <c r="D8" s="29" t="s">
        <v>18</v>
      </c>
      <c r="E8" s="12" t="s">
        <v>19</v>
      </c>
      <c r="F8" s="37">
        <v>975</v>
      </c>
      <c r="G8" s="38">
        <f>F8*0.6</f>
        <v>585</v>
      </c>
      <c r="H8" s="38">
        <f>G8*I8</f>
        <v>1170</v>
      </c>
      <c r="I8" s="16">
        <v>2</v>
      </c>
      <c r="J8" s="17" t="s">
        <v>12</v>
      </c>
      <c r="K8" s="13" t="s">
        <v>16</v>
      </c>
      <c r="L8" s="15">
        <v>1170</v>
      </c>
    </row>
    <row r="9" spans="1:12" ht="22.5" customHeight="1" outlineLevel="2" x14ac:dyDescent="0.25">
      <c r="A9" s="16">
        <f t="shared" si="0"/>
        <v>8</v>
      </c>
      <c r="B9" s="12" t="str">
        <f>B8</f>
        <v>ВРУ-1 (ВРУ-1-13-10УХЛ4) c PLC счетчиком(Блок 1)</v>
      </c>
      <c r="C9" s="13" t="s">
        <v>17</v>
      </c>
      <c r="D9" s="29" t="s">
        <v>484</v>
      </c>
      <c r="E9" s="12" t="s">
        <v>485</v>
      </c>
      <c r="F9" s="37">
        <v>88000</v>
      </c>
      <c r="G9" s="38">
        <f>F9</f>
        <v>88000</v>
      </c>
      <c r="H9" s="38">
        <f>G9*I9</f>
        <v>176000</v>
      </c>
      <c r="I9" s="16">
        <v>2</v>
      </c>
      <c r="J9" s="17" t="s">
        <v>12</v>
      </c>
      <c r="K9" s="13" t="s">
        <v>597</v>
      </c>
      <c r="L9" s="15">
        <v>176000</v>
      </c>
    </row>
    <row r="10" spans="1:12" ht="21" customHeight="1" outlineLevel="2" x14ac:dyDescent="0.25">
      <c r="A10" s="16">
        <f t="shared" si="0"/>
        <v>9</v>
      </c>
      <c r="B10" s="12" t="str">
        <f>B9</f>
        <v>ВРУ-1 (ВРУ-1-13-10УХЛ4) c PLC счетчиком(Блок 1)</v>
      </c>
      <c r="C10" s="13" t="s">
        <v>38</v>
      </c>
      <c r="D10" s="29"/>
      <c r="E10" s="12" t="s">
        <v>216</v>
      </c>
      <c r="F10" s="37">
        <v>4500</v>
      </c>
      <c r="G10" s="38">
        <f>F10</f>
        <v>4500</v>
      </c>
      <c r="H10" s="38">
        <f>G10*I10</f>
        <v>27000</v>
      </c>
      <c r="I10" s="16">
        <v>6</v>
      </c>
      <c r="J10" s="17" t="s">
        <v>12</v>
      </c>
      <c r="K10" s="13" t="s">
        <v>25</v>
      </c>
      <c r="L10" s="15">
        <v>27000</v>
      </c>
    </row>
    <row r="11" spans="1:12" ht="21" customHeight="1" outlineLevel="2" x14ac:dyDescent="0.25">
      <c r="A11" s="16">
        <f t="shared" si="0"/>
        <v>10</v>
      </c>
      <c r="B11" s="12" t="str">
        <f>B10</f>
        <v>ВРУ-1 (ВРУ-1-13-10УХЛ4) c PLC счетчиком(Блок 1)</v>
      </c>
      <c r="C11" s="13" t="s">
        <v>33</v>
      </c>
      <c r="D11" s="29"/>
      <c r="E11" s="12" t="s">
        <v>33</v>
      </c>
      <c r="F11" s="37">
        <v>1000</v>
      </c>
      <c r="G11" s="38">
        <f>F11</f>
        <v>1000</v>
      </c>
      <c r="H11" s="38">
        <f>G11*I11</f>
        <v>1000</v>
      </c>
      <c r="I11" s="16">
        <v>1</v>
      </c>
      <c r="J11" s="17" t="s">
        <v>12</v>
      </c>
      <c r="K11" s="13" t="s">
        <v>25</v>
      </c>
      <c r="L11" s="15">
        <v>1000</v>
      </c>
    </row>
    <row r="12" spans="1:12" ht="24" customHeight="1" outlineLevel="2" x14ac:dyDescent="0.25">
      <c r="A12" s="12">
        <f t="shared" si="0"/>
        <v>11</v>
      </c>
      <c r="B12" s="12" t="str">
        <f>B11</f>
        <v>ВРУ-1 (ВРУ-1-13-10УХЛ4) c PLC счетчиком(Блок 1)</v>
      </c>
      <c r="C12" s="12" t="s">
        <v>9</v>
      </c>
      <c r="D12" s="30" t="s">
        <v>9</v>
      </c>
      <c r="E12" s="12" t="s">
        <v>9</v>
      </c>
      <c r="F12" s="18">
        <f ca="1">OFFSET(F12,1,2)</f>
        <v>84000</v>
      </c>
      <c r="G12" s="38">
        <f ca="1">F12</f>
        <v>84000</v>
      </c>
      <c r="H12" s="38">
        <f ca="1">G12*I12</f>
        <v>84000</v>
      </c>
      <c r="I12" s="12">
        <v>1</v>
      </c>
      <c r="J12" s="12" t="s">
        <v>12</v>
      </c>
      <c r="K12" s="12" t="s">
        <v>9</v>
      </c>
      <c r="L12" s="15">
        <v>84000</v>
      </c>
    </row>
    <row r="13" spans="1:12" ht="21" customHeight="1" outlineLevel="2" x14ac:dyDescent="0.25">
      <c r="A13" s="12">
        <f t="shared" si="0"/>
        <v>12</v>
      </c>
      <c r="B13" s="12" t="str">
        <f>B12</f>
        <v>ВРУ-1 (ВРУ-1-13-10УХЛ4) c PLC счетчиком(Блок 1)</v>
      </c>
      <c r="C13" s="12" t="s">
        <v>10</v>
      </c>
      <c r="D13" s="30" t="s">
        <v>10</v>
      </c>
      <c r="E13" s="12" t="s">
        <v>10</v>
      </c>
      <c r="F13" s="18">
        <v>14</v>
      </c>
      <c r="G13" s="38">
        <v>100</v>
      </c>
      <c r="H13" s="38">
        <f>60*F13*G13</f>
        <v>84000</v>
      </c>
      <c r="I13" s="12">
        <f>60*F13</f>
        <v>840</v>
      </c>
      <c r="J13" s="12" t="s">
        <v>12</v>
      </c>
      <c r="K13" s="12" t="s">
        <v>10</v>
      </c>
      <c r="L13" s="15">
        <v>84000</v>
      </c>
    </row>
    <row r="14" spans="1:12" ht="21" customHeight="1" outlineLevel="1" x14ac:dyDescent="0.25">
      <c r="A14" s="12"/>
      <c r="B14" s="12" t="s">
        <v>601</v>
      </c>
      <c r="C14" s="12"/>
      <c r="D14" s="30"/>
      <c r="E14" s="12"/>
      <c r="F14" s="18"/>
      <c r="G14" s="38"/>
      <c r="H14" s="38">
        <f ca="1">SUBTOTAL(9,H2:H13)</f>
        <v>587876.80000000005</v>
      </c>
      <c r="I14" s="12"/>
      <c r="J14" s="12"/>
      <c r="K14" s="12"/>
      <c r="L14" s="15">
        <v>587876.80000000005</v>
      </c>
    </row>
    <row r="15" spans="1:12" ht="39.75" customHeight="1" outlineLevel="2" x14ac:dyDescent="0.25">
      <c r="A15" s="10">
        <f>ROW(A13)</f>
        <v>13</v>
      </c>
      <c r="B15" s="6" t="str">
        <f>E15</f>
        <v>ВРУ-1   (ВРУ-1-50-01УХЛ4) (Блок 1)</v>
      </c>
      <c r="C15" s="6"/>
      <c r="D15" s="28"/>
      <c r="E15" s="6" t="s">
        <v>564</v>
      </c>
      <c r="F15" s="36"/>
      <c r="G15" s="36" t="s">
        <v>73</v>
      </c>
      <c r="H15" s="7"/>
      <c r="I15" s="10">
        <v>1</v>
      </c>
      <c r="J15" s="11" t="s">
        <v>6</v>
      </c>
      <c r="K15" s="6" t="s">
        <v>8</v>
      </c>
      <c r="L15" s="9"/>
    </row>
    <row r="16" spans="1:12" ht="21" customHeight="1" outlineLevel="2" x14ac:dyDescent="0.25">
      <c r="A16" s="16">
        <f t="shared" si="0"/>
        <v>15</v>
      </c>
      <c r="B16" s="12" t="str">
        <f>B15</f>
        <v>ВРУ-1   (ВРУ-1-50-01УХЛ4) (Блок 1)</v>
      </c>
      <c r="C16" s="13" t="s">
        <v>7</v>
      </c>
      <c r="D16" s="29" t="s">
        <v>60</v>
      </c>
      <c r="E16" s="12" t="s">
        <v>61</v>
      </c>
      <c r="F16" s="37">
        <v>155000</v>
      </c>
      <c r="G16" s="38">
        <f>F16*0.6</f>
        <v>93000</v>
      </c>
      <c r="H16" s="38">
        <f>I16*G16</f>
        <v>93000</v>
      </c>
      <c r="I16" s="16">
        <v>1</v>
      </c>
      <c r="J16" s="17" t="s">
        <v>12</v>
      </c>
      <c r="K16" s="13" t="s">
        <v>15</v>
      </c>
      <c r="L16" s="15">
        <v>93000</v>
      </c>
    </row>
    <row r="17" spans="1:12" ht="21" customHeight="1" outlineLevel="2" x14ac:dyDescent="0.25">
      <c r="A17" s="16">
        <f t="shared" si="0"/>
        <v>16</v>
      </c>
      <c r="B17" s="12" t="str">
        <f>B16</f>
        <v>ВРУ-1   (ВРУ-1-50-01УХЛ4) (Блок 1)</v>
      </c>
      <c r="C17" s="13" t="s">
        <v>43</v>
      </c>
      <c r="D17" s="29" t="s">
        <v>39</v>
      </c>
      <c r="E17" s="12" t="s">
        <v>40</v>
      </c>
      <c r="F17" s="37">
        <v>19760</v>
      </c>
      <c r="G17" s="38">
        <f>F17*0.6</f>
        <v>11856</v>
      </c>
      <c r="H17" s="38">
        <f>G17*I17</f>
        <v>23712</v>
      </c>
      <c r="I17" s="16">
        <v>2</v>
      </c>
      <c r="J17" s="17" t="s">
        <v>12</v>
      </c>
      <c r="K17" s="13" t="s">
        <v>16</v>
      </c>
      <c r="L17" s="15">
        <v>23712</v>
      </c>
    </row>
    <row r="18" spans="1:12" ht="21" customHeight="1" outlineLevel="2" x14ac:dyDescent="0.25">
      <c r="A18" s="16">
        <f t="shared" si="0"/>
        <v>17</v>
      </c>
      <c r="B18" s="12" t="str">
        <f>B17</f>
        <v>ВРУ-1   (ВРУ-1-50-01УХЛ4) (Блок 1)</v>
      </c>
      <c r="C18" s="13" t="s">
        <v>43</v>
      </c>
      <c r="D18" s="29" t="s">
        <v>23</v>
      </c>
      <c r="E18" s="12" t="s">
        <v>24</v>
      </c>
      <c r="F18" s="37">
        <v>19443</v>
      </c>
      <c r="G18" s="38">
        <f>F18*0.6</f>
        <v>11665.8</v>
      </c>
      <c r="H18" s="38">
        <f>G18*I18</f>
        <v>23331.599999999999</v>
      </c>
      <c r="I18" s="16">
        <v>2</v>
      </c>
      <c r="J18" s="17" t="s">
        <v>12</v>
      </c>
      <c r="K18" s="13" t="s">
        <v>16</v>
      </c>
      <c r="L18" s="15">
        <v>23331.599999999999</v>
      </c>
    </row>
    <row r="19" spans="1:12" ht="21" customHeight="1" outlineLevel="2" x14ac:dyDescent="0.25">
      <c r="A19" s="16">
        <f t="shared" si="0"/>
        <v>18</v>
      </c>
      <c r="B19" s="12" t="str">
        <f>B18</f>
        <v>ВРУ-1   (ВРУ-1-50-01УХЛ4) (Блок 1)</v>
      </c>
      <c r="C19" s="13" t="s">
        <v>43</v>
      </c>
      <c r="D19" s="29" t="s">
        <v>31</v>
      </c>
      <c r="E19" s="12" t="s">
        <v>32</v>
      </c>
      <c r="F19" s="37">
        <v>18263</v>
      </c>
      <c r="G19" s="38">
        <f>F19*0.6</f>
        <v>10957.8</v>
      </c>
      <c r="H19" s="38">
        <f>G19*I19</f>
        <v>21915.599999999999</v>
      </c>
      <c r="I19" s="16">
        <v>2</v>
      </c>
      <c r="J19" s="17" t="s">
        <v>12</v>
      </c>
      <c r="K19" s="13" t="s">
        <v>16</v>
      </c>
      <c r="L19" s="15">
        <v>21915.599999999999</v>
      </c>
    </row>
    <row r="20" spans="1:12" ht="21" customHeight="1" outlineLevel="2" x14ac:dyDescent="0.25">
      <c r="A20" s="16">
        <f t="shared" si="0"/>
        <v>19</v>
      </c>
      <c r="B20" s="12" t="str">
        <f>B19</f>
        <v>ВРУ-1   (ВРУ-1-50-01УХЛ4) (Блок 1)</v>
      </c>
      <c r="C20" s="13" t="s">
        <v>43</v>
      </c>
      <c r="D20" s="29" t="s">
        <v>76</v>
      </c>
      <c r="E20" s="12" t="s">
        <v>77</v>
      </c>
      <c r="F20" s="37">
        <v>27169</v>
      </c>
      <c r="G20" s="38">
        <f>F20*0.6</f>
        <v>16301.4</v>
      </c>
      <c r="H20" s="38">
        <f>G20*I20</f>
        <v>16301.4</v>
      </c>
      <c r="I20" s="16">
        <v>1</v>
      </c>
      <c r="J20" s="17" t="s">
        <v>12</v>
      </c>
      <c r="K20" s="13" t="s">
        <v>16</v>
      </c>
      <c r="L20" s="15">
        <v>16301.4</v>
      </c>
    </row>
    <row r="21" spans="1:12" ht="21" customHeight="1" outlineLevel="2" x14ac:dyDescent="0.25">
      <c r="A21" s="16">
        <f t="shared" si="0"/>
        <v>20</v>
      </c>
      <c r="B21" s="12" t="str">
        <f>B20</f>
        <v>ВРУ-1   (ВРУ-1-50-01УХЛ4) (Блок 1)</v>
      </c>
      <c r="C21" s="13" t="s">
        <v>43</v>
      </c>
      <c r="D21" s="29" t="s">
        <v>41</v>
      </c>
      <c r="E21" s="12" t="s">
        <v>42</v>
      </c>
      <c r="F21" s="37">
        <v>19418</v>
      </c>
      <c r="G21" s="38">
        <f>F21*0.6</f>
        <v>11650.8</v>
      </c>
      <c r="H21" s="38">
        <f>G21*I21</f>
        <v>11650.8</v>
      </c>
      <c r="I21" s="16">
        <v>1</v>
      </c>
      <c r="J21" s="17" t="s">
        <v>12</v>
      </c>
      <c r="K21" s="13" t="s">
        <v>16</v>
      </c>
      <c r="L21" s="15">
        <v>11650.8</v>
      </c>
    </row>
    <row r="22" spans="1:12" ht="21" customHeight="1" outlineLevel="2" x14ac:dyDescent="0.25">
      <c r="A22" s="16">
        <f t="shared" si="0"/>
        <v>21</v>
      </c>
      <c r="B22" s="12" t="str">
        <f>B21</f>
        <v>ВРУ-1   (ВРУ-1-50-01УХЛ4) (Блок 1)</v>
      </c>
      <c r="C22" s="13" t="s">
        <v>43</v>
      </c>
      <c r="D22" s="29" t="s">
        <v>74</v>
      </c>
      <c r="E22" s="12" t="s">
        <v>75</v>
      </c>
      <c r="F22" s="37">
        <v>20174</v>
      </c>
      <c r="G22" s="38">
        <f>F22*0.6</f>
        <v>12104.4</v>
      </c>
      <c r="H22" s="38">
        <f>G22*I22</f>
        <v>12104.4</v>
      </c>
      <c r="I22" s="16">
        <v>1</v>
      </c>
      <c r="J22" s="17" t="s">
        <v>12</v>
      </c>
      <c r="K22" s="13" t="s">
        <v>16</v>
      </c>
      <c r="L22" s="15">
        <v>12104.4</v>
      </c>
    </row>
    <row r="23" spans="1:12" ht="21" customHeight="1" outlineLevel="2" x14ac:dyDescent="0.25">
      <c r="A23" s="16">
        <f t="shared" si="0"/>
        <v>22</v>
      </c>
      <c r="B23" s="12" t="str">
        <f>B22</f>
        <v>ВРУ-1   (ВРУ-1-50-01УХЛ4) (Блок 1)</v>
      </c>
      <c r="C23" s="13" t="s">
        <v>33</v>
      </c>
      <c r="D23" s="29"/>
      <c r="E23" s="12" t="s">
        <v>33</v>
      </c>
      <c r="F23" s="37">
        <v>1000</v>
      </c>
      <c r="G23" s="38">
        <f>F23</f>
        <v>1000</v>
      </c>
      <c r="H23" s="38">
        <f>G23*I23</f>
        <v>1000</v>
      </c>
      <c r="I23" s="16">
        <v>1</v>
      </c>
      <c r="J23" s="17" t="s">
        <v>12</v>
      </c>
      <c r="K23" s="13" t="s">
        <v>25</v>
      </c>
      <c r="L23" s="15">
        <v>1000</v>
      </c>
    </row>
    <row r="24" spans="1:12" ht="24" customHeight="1" outlineLevel="2" x14ac:dyDescent="0.25">
      <c r="A24" s="12">
        <f t="shared" si="0"/>
        <v>23</v>
      </c>
      <c r="B24" s="12" t="str">
        <f>B23</f>
        <v>ВРУ-1   (ВРУ-1-50-01УХЛ4) (Блок 1)</v>
      </c>
      <c r="C24" s="12" t="s">
        <v>9</v>
      </c>
      <c r="D24" s="30" t="s">
        <v>9</v>
      </c>
      <c r="E24" s="12" t="s">
        <v>9</v>
      </c>
      <c r="F24" s="18">
        <f ca="1">OFFSET(F24,1,2)</f>
        <v>54000</v>
      </c>
      <c r="G24" s="38">
        <f ca="1">F24</f>
        <v>54000</v>
      </c>
      <c r="H24" s="38">
        <f ca="1">G24*I24</f>
        <v>54000</v>
      </c>
      <c r="I24" s="12">
        <v>1</v>
      </c>
      <c r="J24" s="12" t="s">
        <v>12</v>
      </c>
      <c r="K24" s="12" t="s">
        <v>9</v>
      </c>
      <c r="L24" s="15">
        <v>54000</v>
      </c>
    </row>
    <row r="25" spans="1:12" ht="21" customHeight="1" outlineLevel="2" x14ac:dyDescent="0.25">
      <c r="A25" s="12">
        <f t="shared" si="0"/>
        <v>24</v>
      </c>
      <c r="B25" s="12" t="str">
        <f>B24</f>
        <v>ВРУ-1   (ВРУ-1-50-01УХЛ4) (Блок 1)</v>
      </c>
      <c r="C25" s="12" t="s">
        <v>10</v>
      </c>
      <c r="D25" s="30" t="s">
        <v>10</v>
      </c>
      <c r="E25" s="12" t="s">
        <v>10</v>
      </c>
      <c r="F25" s="18">
        <v>9</v>
      </c>
      <c r="G25" s="38">
        <v>100</v>
      </c>
      <c r="H25" s="38">
        <f>60*F25*G25</f>
        <v>54000</v>
      </c>
      <c r="I25" s="12">
        <f>60*F25</f>
        <v>540</v>
      </c>
      <c r="J25" s="12" t="s">
        <v>12</v>
      </c>
      <c r="K25" s="12" t="s">
        <v>10</v>
      </c>
      <c r="L25" s="15">
        <v>54000</v>
      </c>
    </row>
    <row r="26" spans="1:12" ht="21" customHeight="1" outlineLevel="1" x14ac:dyDescent="0.25">
      <c r="A26" s="12"/>
      <c r="B26" s="12" t="s">
        <v>602</v>
      </c>
      <c r="C26" s="12"/>
      <c r="D26" s="30"/>
      <c r="E26" s="12"/>
      <c r="F26" s="18"/>
      <c r="G26" s="38"/>
      <c r="H26" s="38">
        <f ca="1">SUBTOTAL(9,H15:H25)</f>
        <v>311015.8</v>
      </c>
      <c r="I26" s="12"/>
      <c r="J26" s="12"/>
      <c r="K26" s="12"/>
      <c r="L26" s="15">
        <v>311015.8</v>
      </c>
    </row>
    <row r="27" spans="1:12" ht="39.75" customHeight="1" outlineLevel="2" x14ac:dyDescent="0.25">
      <c r="A27" s="10">
        <f>ROW(A25)</f>
        <v>25</v>
      </c>
      <c r="B27" s="6" t="str">
        <f>E27</f>
        <v>АВР-1 (АВР-3-160-2-У) (Блок 1)</v>
      </c>
      <c r="C27" s="6"/>
      <c r="D27" s="28"/>
      <c r="E27" s="6" t="s">
        <v>130</v>
      </c>
      <c r="F27" s="36"/>
      <c r="G27" s="36" t="s">
        <v>73</v>
      </c>
      <c r="H27" s="7"/>
      <c r="I27" s="10">
        <v>1</v>
      </c>
      <c r="J27" s="11" t="s">
        <v>6</v>
      </c>
      <c r="K27" s="6" t="s">
        <v>8</v>
      </c>
      <c r="L27" s="9"/>
    </row>
    <row r="28" spans="1:12" ht="21" customHeight="1" outlineLevel="2" x14ac:dyDescent="0.25">
      <c r="A28" s="16">
        <f t="shared" si="0"/>
        <v>27</v>
      </c>
      <c r="B28" s="12" t="str">
        <f>B27</f>
        <v>АВР-1 (АВР-3-160-2-У) (Блок 1)</v>
      </c>
      <c r="C28" s="13" t="s">
        <v>7</v>
      </c>
      <c r="D28" s="29" t="s">
        <v>576</v>
      </c>
      <c r="E28" s="12" t="s">
        <v>577</v>
      </c>
      <c r="F28" s="37">
        <v>125000</v>
      </c>
      <c r="G28" s="38">
        <f>F28*0.6</f>
        <v>75000</v>
      </c>
      <c r="H28" s="38">
        <f>I28*G28</f>
        <v>75000</v>
      </c>
      <c r="I28" s="16">
        <v>1</v>
      </c>
      <c r="J28" s="17" t="s">
        <v>12</v>
      </c>
      <c r="K28" s="13" t="s">
        <v>15</v>
      </c>
      <c r="L28" s="15">
        <v>75000</v>
      </c>
    </row>
    <row r="29" spans="1:12" ht="21" customHeight="1" outlineLevel="2" x14ac:dyDescent="0.25">
      <c r="A29" s="16">
        <f t="shared" si="0"/>
        <v>28</v>
      </c>
      <c r="B29" s="12" t="str">
        <f>B28</f>
        <v>АВР-1 (АВР-3-160-2-У) (Блок 1)</v>
      </c>
      <c r="C29" s="13" t="s">
        <v>26</v>
      </c>
      <c r="D29" s="29" t="s">
        <v>79</v>
      </c>
      <c r="E29" s="12" t="s">
        <v>78</v>
      </c>
      <c r="F29" s="37">
        <v>6018</v>
      </c>
      <c r="G29" s="38">
        <f>F29</f>
        <v>6018</v>
      </c>
      <c r="H29" s="38">
        <f>G29*I29</f>
        <v>18054</v>
      </c>
      <c r="I29" s="16">
        <v>3</v>
      </c>
      <c r="J29" s="17" t="s">
        <v>12</v>
      </c>
      <c r="K29" s="13" t="s">
        <v>25</v>
      </c>
      <c r="L29" s="15">
        <v>18054</v>
      </c>
    </row>
    <row r="30" spans="1:12" ht="21" customHeight="1" outlineLevel="2" x14ac:dyDescent="0.25">
      <c r="A30" s="16">
        <f t="shared" si="0"/>
        <v>29</v>
      </c>
      <c r="B30" s="12" t="str">
        <f>B29</f>
        <v>АВР-1 (АВР-3-160-2-У) (Блок 1)</v>
      </c>
      <c r="C30" s="13" t="s">
        <v>86</v>
      </c>
      <c r="D30" s="29" t="s">
        <v>80</v>
      </c>
      <c r="E30" s="12" t="s">
        <v>81</v>
      </c>
      <c r="F30" s="37">
        <v>238152</v>
      </c>
      <c r="G30" s="38">
        <f>F30*0.6</f>
        <v>142891.19999999998</v>
      </c>
      <c r="H30" s="38">
        <f>G30*I30</f>
        <v>142891.19999999998</v>
      </c>
      <c r="I30" s="16">
        <v>1</v>
      </c>
      <c r="J30" s="17" t="s">
        <v>12</v>
      </c>
      <c r="K30" s="13" t="s">
        <v>16</v>
      </c>
      <c r="L30" s="15">
        <v>142891.19999999998</v>
      </c>
    </row>
    <row r="31" spans="1:12" ht="21" customHeight="1" outlineLevel="2" x14ac:dyDescent="0.25">
      <c r="A31" s="16">
        <f t="shared" si="0"/>
        <v>30</v>
      </c>
      <c r="B31" s="12" t="str">
        <f>B30</f>
        <v>АВР-1 (АВР-3-160-2-У) (Блок 1)</v>
      </c>
      <c r="C31" s="13" t="s">
        <v>59</v>
      </c>
      <c r="D31" s="29" t="s">
        <v>57</v>
      </c>
      <c r="E31" s="12" t="s">
        <v>58</v>
      </c>
      <c r="F31" s="37">
        <v>571</v>
      </c>
      <c r="G31" s="38">
        <f>F31*0.6</f>
        <v>342.59999999999997</v>
      </c>
      <c r="H31" s="38">
        <f>G31*I31</f>
        <v>685.19999999999993</v>
      </c>
      <c r="I31" s="16">
        <v>2</v>
      </c>
      <c r="J31" s="17" t="s">
        <v>12</v>
      </c>
      <c r="K31" s="13" t="s">
        <v>16</v>
      </c>
      <c r="L31" s="15">
        <v>685.19999999999993</v>
      </c>
    </row>
    <row r="32" spans="1:12" ht="21" customHeight="1" outlineLevel="2" x14ac:dyDescent="0.25">
      <c r="A32" s="16">
        <f t="shared" si="0"/>
        <v>31</v>
      </c>
      <c r="B32" s="12" t="str">
        <f>B31</f>
        <v>АВР-1 (АВР-3-160-2-У) (Блок 1)</v>
      </c>
      <c r="C32" s="13" t="s">
        <v>59</v>
      </c>
      <c r="D32" s="29" t="s">
        <v>55</v>
      </c>
      <c r="E32" s="12" t="s">
        <v>56</v>
      </c>
      <c r="F32" s="37">
        <v>589</v>
      </c>
      <c r="G32" s="38">
        <f>F32*0.6</f>
        <v>353.4</v>
      </c>
      <c r="H32" s="38">
        <f>G32*I32</f>
        <v>706.8</v>
      </c>
      <c r="I32" s="16">
        <v>2</v>
      </c>
      <c r="J32" s="17" t="s">
        <v>12</v>
      </c>
      <c r="K32" s="13" t="s">
        <v>16</v>
      </c>
      <c r="L32" s="15">
        <v>706.8</v>
      </c>
    </row>
    <row r="33" spans="1:12" ht="22.5" customHeight="1" outlineLevel="2" x14ac:dyDescent="0.25">
      <c r="A33" s="16">
        <f t="shared" si="0"/>
        <v>32</v>
      </c>
      <c r="B33" s="12" t="str">
        <f>B32</f>
        <v>АВР-1 (АВР-3-160-2-У) (Блок 1)</v>
      </c>
      <c r="C33" s="13" t="s">
        <v>17</v>
      </c>
      <c r="D33" s="29" t="s">
        <v>484</v>
      </c>
      <c r="E33" s="12" t="s">
        <v>485</v>
      </c>
      <c r="F33" s="37">
        <v>90000</v>
      </c>
      <c r="G33" s="38">
        <f>F33</f>
        <v>90000</v>
      </c>
      <c r="H33" s="38">
        <f>G33*I33</f>
        <v>90000</v>
      </c>
      <c r="I33" s="16">
        <v>1</v>
      </c>
      <c r="J33" s="17" t="s">
        <v>12</v>
      </c>
      <c r="K33" s="13" t="s">
        <v>597</v>
      </c>
      <c r="L33" s="15">
        <v>90000</v>
      </c>
    </row>
    <row r="34" spans="1:12" ht="21" customHeight="1" outlineLevel="2" x14ac:dyDescent="0.25">
      <c r="A34" s="16">
        <f t="shared" si="0"/>
        <v>33</v>
      </c>
      <c r="B34" s="12" t="str">
        <f>B33</f>
        <v>АВР-1 (АВР-3-160-2-У) (Блок 1)</v>
      </c>
      <c r="C34" s="13" t="s">
        <v>11</v>
      </c>
      <c r="D34" s="29" t="s">
        <v>18</v>
      </c>
      <c r="E34" s="12" t="s">
        <v>19</v>
      </c>
      <c r="F34" s="37">
        <v>975</v>
      </c>
      <c r="G34" s="38">
        <f>F34*0.6</f>
        <v>585</v>
      </c>
      <c r="H34" s="38">
        <f>G34*I34</f>
        <v>1170</v>
      </c>
      <c r="I34" s="16">
        <v>2</v>
      </c>
      <c r="J34" s="17" t="s">
        <v>12</v>
      </c>
      <c r="K34" s="13" t="s">
        <v>16</v>
      </c>
      <c r="L34" s="15">
        <v>1170</v>
      </c>
    </row>
    <row r="35" spans="1:12" ht="24" customHeight="1" outlineLevel="2" x14ac:dyDescent="0.25">
      <c r="A35" s="12">
        <f t="shared" si="0"/>
        <v>34</v>
      </c>
      <c r="B35" s="12" t="str">
        <f>B34</f>
        <v>АВР-1 (АВР-3-160-2-У) (Блок 1)</v>
      </c>
      <c r="C35" s="12" t="s">
        <v>9</v>
      </c>
      <c r="D35" s="30" t="s">
        <v>9</v>
      </c>
      <c r="E35" s="12" t="s">
        <v>9</v>
      </c>
      <c r="F35" s="18">
        <f ca="1">OFFSET(F35,1,2)</f>
        <v>48000</v>
      </c>
      <c r="G35" s="38">
        <f ca="1">F35</f>
        <v>48000</v>
      </c>
      <c r="H35" s="38">
        <f ca="1">G35*I35</f>
        <v>48000</v>
      </c>
      <c r="I35" s="12">
        <v>1</v>
      </c>
      <c r="J35" s="12" t="s">
        <v>12</v>
      </c>
      <c r="K35" s="12" t="s">
        <v>9</v>
      </c>
      <c r="L35" s="15">
        <v>48000</v>
      </c>
    </row>
    <row r="36" spans="1:12" ht="21" customHeight="1" outlineLevel="2" x14ac:dyDescent="0.25">
      <c r="A36" s="12">
        <f t="shared" si="0"/>
        <v>35</v>
      </c>
      <c r="B36" s="12" t="str">
        <f>B35</f>
        <v>АВР-1 (АВР-3-160-2-У) (Блок 1)</v>
      </c>
      <c r="C36" s="12" t="s">
        <v>10</v>
      </c>
      <c r="D36" s="30" t="s">
        <v>10</v>
      </c>
      <c r="E36" s="12" t="s">
        <v>10</v>
      </c>
      <c r="F36" s="18">
        <v>8</v>
      </c>
      <c r="G36" s="38">
        <v>100</v>
      </c>
      <c r="H36" s="38">
        <f>60*F36*G36</f>
        <v>48000</v>
      </c>
      <c r="I36" s="12">
        <f>60*F36</f>
        <v>480</v>
      </c>
      <c r="J36" s="12" t="s">
        <v>12</v>
      </c>
      <c r="K36" s="12" t="s">
        <v>10</v>
      </c>
      <c r="L36" s="15">
        <v>48000</v>
      </c>
    </row>
    <row r="37" spans="1:12" ht="21" customHeight="1" outlineLevel="1" x14ac:dyDescent="0.25">
      <c r="A37" s="12"/>
      <c r="B37" s="12" t="s">
        <v>603</v>
      </c>
      <c r="C37" s="12"/>
      <c r="D37" s="30"/>
      <c r="E37" s="12"/>
      <c r="F37" s="18"/>
      <c r="G37" s="38"/>
      <c r="H37" s="38">
        <f ca="1">SUBTOTAL(9,H27:H36)</f>
        <v>424507.19999999995</v>
      </c>
      <c r="I37" s="12"/>
      <c r="J37" s="12"/>
      <c r="K37" s="12"/>
      <c r="L37" s="15">
        <v>424507.19999999995</v>
      </c>
    </row>
    <row r="38" spans="1:12" ht="39.75" customHeight="1" outlineLevel="2" x14ac:dyDescent="0.25">
      <c r="A38" s="10">
        <f>ROW(A36)</f>
        <v>36</v>
      </c>
      <c r="B38" s="6" t="str">
        <f>E38</f>
        <v>АВР-2 (АВР-3-160-2) (Блок 1)</v>
      </c>
      <c r="C38" s="6"/>
      <c r="D38" s="28"/>
      <c r="E38" s="6" t="s">
        <v>131</v>
      </c>
      <c r="F38" s="36"/>
      <c r="G38" s="36" t="s">
        <v>73</v>
      </c>
      <c r="H38" s="7"/>
      <c r="I38" s="10">
        <v>1</v>
      </c>
      <c r="J38" s="11" t="s">
        <v>6</v>
      </c>
      <c r="K38" s="6" t="s">
        <v>8</v>
      </c>
      <c r="L38" s="9"/>
    </row>
    <row r="39" spans="1:12" ht="21" customHeight="1" outlineLevel="2" x14ac:dyDescent="0.25">
      <c r="A39" s="16">
        <f t="shared" si="0"/>
        <v>38</v>
      </c>
      <c r="B39" s="12" t="str">
        <f>B38</f>
        <v>АВР-2 (АВР-3-160-2) (Блок 1)</v>
      </c>
      <c r="C39" s="13" t="s">
        <v>7</v>
      </c>
      <c r="D39" s="29" t="s">
        <v>507</v>
      </c>
      <c r="E39" s="12" t="s">
        <v>508</v>
      </c>
      <c r="F39" s="37">
        <v>30540</v>
      </c>
      <c r="G39" s="38">
        <f>F39*0.6</f>
        <v>18324</v>
      </c>
      <c r="H39" s="38">
        <f>I39*G39</f>
        <v>18324</v>
      </c>
      <c r="I39" s="16">
        <v>1</v>
      </c>
      <c r="J39" s="17" t="s">
        <v>12</v>
      </c>
      <c r="K39" s="13" t="s">
        <v>15</v>
      </c>
      <c r="L39" s="15">
        <v>18324</v>
      </c>
    </row>
    <row r="40" spans="1:12" ht="21" customHeight="1" outlineLevel="2" x14ac:dyDescent="0.25">
      <c r="A40" s="16">
        <f t="shared" si="0"/>
        <v>39</v>
      </c>
      <c r="B40" s="12" t="str">
        <f>B39</f>
        <v>АВР-2 (АВР-3-160-2) (Блок 1)</v>
      </c>
      <c r="C40" s="13" t="s">
        <v>86</v>
      </c>
      <c r="D40" s="29" t="s">
        <v>80</v>
      </c>
      <c r="E40" s="12" t="s">
        <v>81</v>
      </c>
      <c r="F40" s="37">
        <v>238152</v>
      </c>
      <c r="G40" s="38">
        <f>F40*0.6</f>
        <v>142891.19999999998</v>
      </c>
      <c r="H40" s="38">
        <f>G40*I40</f>
        <v>142891.19999999998</v>
      </c>
      <c r="I40" s="16">
        <v>1</v>
      </c>
      <c r="J40" s="17" t="s">
        <v>12</v>
      </c>
      <c r="K40" s="13" t="s">
        <v>16</v>
      </c>
      <c r="L40" s="15">
        <v>142891.19999999998</v>
      </c>
    </row>
    <row r="41" spans="1:12" ht="21" customHeight="1" outlineLevel="2" x14ac:dyDescent="0.25">
      <c r="A41" s="16">
        <f t="shared" si="0"/>
        <v>40</v>
      </c>
      <c r="B41" s="12" t="str">
        <f>B40</f>
        <v>АВР-2 (АВР-3-160-2) (Блок 1)</v>
      </c>
      <c r="C41" s="13" t="s">
        <v>59</v>
      </c>
      <c r="D41" s="29" t="s">
        <v>57</v>
      </c>
      <c r="E41" s="12" t="s">
        <v>58</v>
      </c>
      <c r="F41" s="37">
        <v>571</v>
      </c>
      <c r="G41" s="38">
        <f>F41*0.6</f>
        <v>342.59999999999997</v>
      </c>
      <c r="H41" s="38">
        <f>G41*I41</f>
        <v>685.19999999999993</v>
      </c>
      <c r="I41" s="16">
        <v>2</v>
      </c>
      <c r="J41" s="17" t="s">
        <v>12</v>
      </c>
      <c r="K41" s="13" t="s">
        <v>16</v>
      </c>
      <c r="L41" s="15">
        <v>685.19999999999993</v>
      </c>
    </row>
    <row r="42" spans="1:12" ht="21" customHeight="1" outlineLevel="2" x14ac:dyDescent="0.25">
      <c r="A42" s="16">
        <f t="shared" si="0"/>
        <v>41</v>
      </c>
      <c r="B42" s="12" t="str">
        <f>B41</f>
        <v>АВР-2 (АВР-3-160-2) (Блок 1)</v>
      </c>
      <c r="C42" s="13" t="s">
        <v>59</v>
      </c>
      <c r="D42" s="29" t="s">
        <v>55</v>
      </c>
      <c r="E42" s="12" t="s">
        <v>56</v>
      </c>
      <c r="F42" s="37">
        <v>589</v>
      </c>
      <c r="G42" s="38">
        <f>F42*0.6</f>
        <v>353.4</v>
      </c>
      <c r="H42" s="38">
        <f>G42*I42</f>
        <v>706.8</v>
      </c>
      <c r="I42" s="16">
        <v>2</v>
      </c>
      <c r="J42" s="17" t="s">
        <v>12</v>
      </c>
      <c r="K42" s="13" t="s">
        <v>16</v>
      </c>
      <c r="L42" s="15">
        <v>706.8</v>
      </c>
    </row>
    <row r="43" spans="1:12" ht="21" customHeight="1" outlineLevel="2" x14ac:dyDescent="0.25">
      <c r="A43" s="16">
        <f t="shared" si="0"/>
        <v>42</v>
      </c>
      <c r="B43" s="12" t="str">
        <f>B42</f>
        <v>АВР-2 (АВР-3-160-2) (Блок 1)</v>
      </c>
      <c r="C43" s="13" t="s">
        <v>11</v>
      </c>
      <c r="D43" s="29" t="s">
        <v>18</v>
      </c>
      <c r="E43" s="12" t="s">
        <v>19</v>
      </c>
      <c r="F43" s="37">
        <v>975</v>
      </c>
      <c r="G43" s="38">
        <f>F43*0.6</f>
        <v>585</v>
      </c>
      <c r="H43" s="38">
        <f>G43*I43</f>
        <v>1170</v>
      </c>
      <c r="I43" s="16">
        <v>2</v>
      </c>
      <c r="J43" s="17" t="s">
        <v>12</v>
      </c>
      <c r="K43" s="13" t="s">
        <v>16</v>
      </c>
      <c r="L43" s="15">
        <v>1170</v>
      </c>
    </row>
    <row r="44" spans="1:12" ht="24" customHeight="1" outlineLevel="2" x14ac:dyDescent="0.25">
      <c r="A44" s="12">
        <f t="shared" si="0"/>
        <v>43</v>
      </c>
      <c r="B44" s="12" t="str">
        <f>B43</f>
        <v>АВР-2 (АВР-3-160-2) (Блок 1)</v>
      </c>
      <c r="C44" s="12" t="s">
        <v>9</v>
      </c>
      <c r="D44" s="30" t="s">
        <v>9</v>
      </c>
      <c r="E44" s="12" t="s">
        <v>9</v>
      </c>
      <c r="F44" s="18">
        <f ca="1">OFFSET(F44,1,2)</f>
        <v>48000</v>
      </c>
      <c r="G44" s="38">
        <f ca="1">F44</f>
        <v>48000</v>
      </c>
      <c r="H44" s="38">
        <f ca="1">G44*I44</f>
        <v>48000</v>
      </c>
      <c r="I44" s="12">
        <v>1</v>
      </c>
      <c r="J44" s="12" t="s">
        <v>12</v>
      </c>
      <c r="K44" s="12" t="s">
        <v>9</v>
      </c>
      <c r="L44" s="15">
        <v>48000</v>
      </c>
    </row>
    <row r="45" spans="1:12" ht="21" customHeight="1" outlineLevel="2" x14ac:dyDescent="0.25">
      <c r="A45" s="12">
        <f t="shared" si="0"/>
        <v>44</v>
      </c>
      <c r="B45" s="12" t="str">
        <f>B44</f>
        <v>АВР-2 (АВР-3-160-2) (Блок 1)</v>
      </c>
      <c r="C45" s="12" t="s">
        <v>10</v>
      </c>
      <c r="D45" s="30" t="s">
        <v>10</v>
      </c>
      <c r="E45" s="12" t="s">
        <v>10</v>
      </c>
      <c r="F45" s="18">
        <v>8</v>
      </c>
      <c r="G45" s="38">
        <v>100</v>
      </c>
      <c r="H45" s="38">
        <f>60*F45*G45</f>
        <v>48000</v>
      </c>
      <c r="I45" s="12">
        <f>60*F45</f>
        <v>480</v>
      </c>
      <c r="J45" s="12" t="s">
        <v>12</v>
      </c>
      <c r="K45" s="12" t="s">
        <v>10</v>
      </c>
      <c r="L45" s="15">
        <v>48000</v>
      </c>
    </row>
    <row r="46" spans="1:12" ht="21" customHeight="1" outlineLevel="1" x14ac:dyDescent="0.25">
      <c r="A46" s="12"/>
      <c r="B46" s="12" t="s">
        <v>604</v>
      </c>
      <c r="C46" s="12"/>
      <c r="D46" s="30"/>
      <c r="E46" s="12"/>
      <c r="F46" s="18"/>
      <c r="G46" s="38"/>
      <c r="H46" s="38">
        <f ca="1">SUBTOTAL(9,H38:H45)</f>
        <v>259777.19999999998</v>
      </c>
      <c r="I46" s="12"/>
      <c r="J46" s="12"/>
      <c r="K46" s="12"/>
      <c r="L46" s="15">
        <v>259777.19999999998</v>
      </c>
    </row>
    <row r="47" spans="1:12" ht="39.75" customHeight="1" outlineLevel="2" x14ac:dyDescent="0.25">
      <c r="A47" s="10">
        <f>ROW(A45)</f>
        <v>45</v>
      </c>
      <c r="B47" s="6" t="str">
        <f>E47</f>
        <v>ВРУ-2 (ВРУ1-41-00УХЛ4) (Блок 1)</v>
      </c>
      <c r="C47" s="6"/>
      <c r="D47" s="28"/>
      <c r="E47" s="6" t="s">
        <v>132</v>
      </c>
      <c r="F47" s="36"/>
      <c r="G47" s="36" t="s">
        <v>73</v>
      </c>
      <c r="H47" s="7"/>
      <c r="I47" s="10">
        <v>1</v>
      </c>
      <c r="J47" s="11" t="s">
        <v>6</v>
      </c>
      <c r="K47" s="6" t="s">
        <v>8</v>
      </c>
      <c r="L47" s="9"/>
    </row>
    <row r="48" spans="1:12" ht="21" customHeight="1" outlineLevel="2" x14ac:dyDescent="0.25">
      <c r="A48" s="16">
        <f t="shared" si="0"/>
        <v>47</v>
      </c>
      <c r="B48" s="12" t="str">
        <f>B47</f>
        <v>ВРУ-2 (ВРУ1-41-00УХЛ4) (Блок 1)</v>
      </c>
      <c r="C48" s="13" t="s">
        <v>7</v>
      </c>
      <c r="D48" s="29" t="s">
        <v>501</v>
      </c>
      <c r="E48" s="12" t="s">
        <v>502</v>
      </c>
      <c r="F48" s="37">
        <v>29525</v>
      </c>
      <c r="G48" s="38">
        <f>F48*0.6</f>
        <v>17715</v>
      </c>
      <c r="H48" s="38">
        <f>I48*G48</f>
        <v>17715</v>
      </c>
      <c r="I48" s="16">
        <v>1</v>
      </c>
      <c r="J48" s="17" t="s">
        <v>12</v>
      </c>
      <c r="K48" s="13" t="s">
        <v>15</v>
      </c>
      <c r="L48" s="15">
        <v>17715</v>
      </c>
    </row>
    <row r="49" spans="1:12" ht="21" customHeight="1" outlineLevel="2" x14ac:dyDescent="0.25">
      <c r="A49" s="16">
        <f t="shared" si="0"/>
        <v>48</v>
      </c>
      <c r="B49" s="12" t="str">
        <f>B48</f>
        <v>ВРУ-2 (ВРУ1-41-00УХЛ4) (Блок 1)</v>
      </c>
      <c r="C49" s="13" t="s">
        <v>11</v>
      </c>
      <c r="D49" s="29" t="s">
        <v>82</v>
      </c>
      <c r="E49" s="12" t="s">
        <v>83</v>
      </c>
      <c r="F49" s="37">
        <v>3641</v>
      </c>
      <c r="G49" s="38">
        <f>F49*0.6</f>
        <v>2184.6</v>
      </c>
      <c r="H49" s="38">
        <f>G49*I49</f>
        <v>2184.6</v>
      </c>
      <c r="I49" s="16">
        <v>1</v>
      </c>
      <c r="J49" s="17" t="s">
        <v>12</v>
      </c>
      <c r="K49" s="13" t="s">
        <v>16</v>
      </c>
      <c r="L49" s="15">
        <v>2184.6</v>
      </c>
    </row>
    <row r="50" spans="1:12" ht="21" customHeight="1" outlineLevel="2" x14ac:dyDescent="0.25">
      <c r="A50" s="16">
        <f t="shared" si="0"/>
        <v>49</v>
      </c>
      <c r="B50" s="12" t="str">
        <f>B49</f>
        <v>ВРУ-2 (ВРУ1-41-00УХЛ4) (Блок 1)</v>
      </c>
      <c r="C50" s="13" t="s">
        <v>11</v>
      </c>
      <c r="D50" s="29" t="s">
        <v>28</v>
      </c>
      <c r="E50" s="12" t="s">
        <v>27</v>
      </c>
      <c r="F50" s="37">
        <v>2606</v>
      </c>
      <c r="G50" s="38">
        <f>F50*0.6</f>
        <v>1563.6</v>
      </c>
      <c r="H50" s="38">
        <f>G50*I50</f>
        <v>7818</v>
      </c>
      <c r="I50" s="16">
        <v>5</v>
      </c>
      <c r="J50" s="17" t="s">
        <v>12</v>
      </c>
      <c r="K50" s="13" t="s">
        <v>16</v>
      </c>
      <c r="L50" s="15">
        <v>7818</v>
      </c>
    </row>
    <row r="51" spans="1:12" ht="21" customHeight="1" outlineLevel="2" x14ac:dyDescent="0.25">
      <c r="A51" s="16">
        <f t="shared" si="0"/>
        <v>50</v>
      </c>
      <c r="B51" s="12" t="str">
        <f>B50</f>
        <v>ВРУ-2 (ВРУ1-41-00УХЛ4) (Блок 1)</v>
      </c>
      <c r="C51" s="13" t="s">
        <v>11</v>
      </c>
      <c r="D51" s="29" t="s">
        <v>20</v>
      </c>
      <c r="E51" s="12" t="s">
        <v>21</v>
      </c>
      <c r="F51" s="37">
        <v>2429</v>
      </c>
      <c r="G51" s="38">
        <f>F51*0.6</f>
        <v>1457.3999999999999</v>
      </c>
      <c r="H51" s="38">
        <f>G51*I51</f>
        <v>1457.3999999999999</v>
      </c>
      <c r="I51" s="16">
        <v>1</v>
      </c>
      <c r="J51" s="17" t="s">
        <v>12</v>
      </c>
      <c r="K51" s="13" t="s">
        <v>16</v>
      </c>
      <c r="L51" s="15">
        <v>1457.3999999999999</v>
      </c>
    </row>
    <row r="52" spans="1:12" ht="21" customHeight="1" outlineLevel="2" x14ac:dyDescent="0.25">
      <c r="A52" s="16">
        <f t="shared" si="0"/>
        <v>51</v>
      </c>
      <c r="B52" s="12" t="str">
        <f>B51</f>
        <v>ВРУ-2 (ВРУ1-41-00УХЛ4) (Блок 1)</v>
      </c>
      <c r="C52" s="13" t="s">
        <v>11</v>
      </c>
      <c r="D52" s="29" t="s">
        <v>65</v>
      </c>
      <c r="E52" s="12" t="s">
        <v>66</v>
      </c>
      <c r="F52" s="37">
        <v>2807</v>
      </c>
      <c r="G52" s="38">
        <f>F52*0.6</f>
        <v>1684.2</v>
      </c>
      <c r="H52" s="38">
        <f>G52*I52</f>
        <v>5052.6000000000004</v>
      </c>
      <c r="I52" s="16">
        <v>3</v>
      </c>
      <c r="J52" s="17" t="s">
        <v>12</v>
      </c>
      <c r="K52" s="13" t="s">
        <v>16</v>
      </c>
      <c r="L52" s="15">
        <v>5052.6000000000004</v>
      </c>
    </row>
    <row r="53" spans="1:12" ht="24" customHeight="1" outlineLevel="2" x14ac:dyDescent="0.25">
      <c r="A53" s="12">
        <f t="shared" si="0"/>
        <v>52</v>
      </c>
      <c r="B53" s="12" t="str">
        <f>B52</f>
        <v>ВРУ-2 (ВРУ1-41-00УХЛ4) (Блок 1)</v>
      </c>
      <c r="C53" s="12" t="s">
        <v>9</v>
      </c>
      <c r="D53" s="30" t="s">
        <v>9</v>
      </c>
      <c r="E53" s="12" t="s">
        <v>9</v>
      </c>
      <c r="F53" s="18">
        <f ca="1">OFFSET(F53,1,2)</f>
        <v>12000</v>
      </c>
      <c r="G53" s="38">
        <f ca="1">F53</f>
        <v>12000</v>
      </c>
      <c r="H53" s="38">
        <f ca="1">G53*I53</f>
        <v>12000</v>
      </c>
      <c r="I53" s="12">
        <v>1</v>
      </c>
      <c r="J53" s="12" t="s">
        <v>12</v>
      </c>
      <c r="K53" s="12" t="s">
        <v>9</v>
      </c>
      <c r="L53" s="15">
        <v>12000</v>
      </c>
    </row>
    <row r="54" spans="1:12" ht="21" customHeight="1" outlineLevel="2" x14ac:dyDescent="0.25">
      <c r="A54" s="12">
        <f t="shared" si="0"/>
        <v>53</v>
      </c>
      <c r="B54" s="12" t="str">
        <f>B53</f>
        <v>ВРУ-2 (ВРУ1-41-00УХЛ4) (Блок 1)</v>
      </c>
      <c r="C54" s="12" t="s">
        <v>10</v>
      </c>
      <c r="D54" s="30" t="s">
        <v>10</v>
      </c>
      <c r="E54" s="12" t="s">
        <v>10</v>
      </c>
      <c r="F54" s="18">
        <v>2</v>
      </c>
      <c r="G54" s="38">
        <v>100</v>
      </c>
      <c r="H54" s="38">
        <f>60*F54*G54</f>
        <v>12000</v>
      </c>
      <c r="I54" s="12">
        <f>60*F54</f>
        <v>120</v>
      </c>
      <c r="J54" s="12" t="s">
        <v>12</v>
      </c>
      <c r="K54" s="12" t="s">
        <v>10</v>
      </c>
      <c r="L54" s="15">
        <v>12000</v>
      </c>
    </row>
    <row r="55" spans="1:12" ht="21" customHeight="1" outlineLevel="1" x14ac:dyDescent="0.25">
      <c r="A55" s="12"/>
      <c r="B55" s="12" t="s">
        <v>605</v>
      </c>
      <c r="C55" s="12"/>
      <c r="D55" s="30"/>
      <c r="E55" s="12"/>
      <c r="F55" s="18"/>
      <c r="G55" s="38"/>
      <c r="H55" s="38">
        <f ca="1">SUBTOTAL(9,H47:H54)</f>
        <v>58227.6</v>
      </c>
      <c r="I55" s="12"/>
      <c r="J55" s="12"/>
      <c r="K55" s="12"/>
      <c r="L55" s="15">
        <v>58227.6</v>
      </c>
    </row>
    <row r="56" spans="1:12" ht="39.75" customHeight="1" outlineLevel="2" x14ac:dyDescent="0.25">
      <c r="A56" s="10">
        <f>ROW(A54)</f>
        <v>54</v>
      </c>
      <c r="B56" s="6" t="str">
        <f>E56</f>
        <v>ЩАО.1 (Блок 1)</v>
      </c>
      <c r="C56" s="6"/>
      <c r="D56" s="28"/>
      <c r="E56" s="6" t="s">
        <v>84</v>
      </c>
      <c r="F56" s="36"/>
      <c r="G56" s="36" t="s">
        <v>73</v>
      </c>
      <c r="H56" s="7"/>
      <c r="I56" s="10">
        <v>1</v>
      </c>
      <c r="J56" s="11" t="s">
        <v>6</v>
      </c>
      <c r="K56" s="6" t="s">
        <v>8</v>
      </c>
      <c r="L56" s="9"/>
    </row>
    <row r="57" spans="1:12" ht="21" customHeight="1" outlineLevel="2" x14ac:dyDescent="0.25">
      <c r="A57" s="16">
        <f t="shared" si="0"/>
        <v>56</v>
      </c>
      <c r="B57" s="12" t="str">
        <f>B56</f>
        <v>ЩАО.1 (Блок 1)</v>
      </c>
      <c r="C57" s="13" t="s">
        <v>7</v>
      </c>
      <c r="D57" s="29" t="s">
        <v>588</v>
      </c>
      <c r="E57" s="12" t="s">
        <v>589</v>
      </c>
      <c r="F57" s="37">
        <v>6300</v>
      </c>
      <c r="G57" s="38">
        <f>F57*0.6</f>
        <v>3780</v>
      </c>
      <c r="H57" s="38">
        <f>I57*G57</f>
        <v>3780</v>
      </c>
      <c r="I57" s="16">
        <v>1</v>
      </c>
      <c r="J57" s="17" t="s">
        <v>12</v>
      </c>
      <c r="K57" s="13" t="s">
        <v>581</v>
      </c>
      <c r="L57" s="15">
        <v>3780</v>
      </c>
    </row>
    <row r="58" spans="1:12" ht="21" customHeight="1" outlineLevel="2" x14ac:dyDescent="0.25">
      <c r="A58" s="16">
        <f t="shared" si="0"/>
        <v>57</v>
      </c>
      <c r="B58" s="12" t="str">
        <f>B57</f>
        <v>ЩАО.1 (Блок 1)</v>
      </c>
      <c r="C58" s="13" t="s">
        <v>11</v>
      </c>
      <c r="D58" s="29" t="s">
        <v>20</v>
      </c>
      <c r="E58" s="12" t="s">
        <v>21</v>
      </c>
      <c r="F58" s="37">
        <v>2429</v>
      </c>
      <c r="G58" s="38">
        <f>F58*0.6</f>
        <v>1457.3999999999999</v>
      </c>
      <c r="H58" s="38">
        <f>G58*I58</f>
        <v>1457.3999999999999</v>
      </c>
      <c r="I58" s="16">
        <v>1</v>
      </c>
      <c r="J58" s="17" t="s">
        <v>12</v>
      </c>
      <c r="K58" s="13" t="s">
        <v>16</v>
      </c>
      <c r="L58" s="15">
        <v>1457.3999999999999</v>
      </c>
    </row>
    <row r="59" spans="1:12" ht="21" customHeight="1" outlineLevel="2" x14ac:dyDescent="0.25">
      <c r="A59" s="16">
        <f t="shared" si="0"/>
        <v>58</v>
      </c>
      <c r="B59" s="12" t="str">
        <f>B58</f>
        <v>ЩАО.1 (Блок 1)</v>
      </c>
      <c r="C59" s="13" t="s">
        <v>11</v>
      </c>
      <c r="D59" s="29" t="s">
        <v>53</v>
      </c>
      <c r="E59" s="12" t="s">
        <v>54</v>
      </c>
      <c r="F59" s="37">
        <v>783</v>
      </c>
      <c r="G59" s="38">
        <f>F59*0.6</f>
        <v>469.79999999999995</v>
      </c>
      <c r="H59" s="38">
        <f>G59*I59</f>
        <v>2818.7999999999997</v>
      </c>
      <c r="I59" s="16">
        <v>6</v>
      </c>
      <c r="J59" s="17" t="s">
        <v>12</v>
      </c>
      <c r="K59" s="13" t="s">
        <v>16</v>
      </c>
      <c r="L59" s="15">
        <v>2818.7999999999997</v>
      </c>
    </row>
    <row r="60" spans="1:12" ht="24" customHeight="1" outlineLevel="2" x14ac:dyDescent="0.25">
      <c r="A60" s="12">
        <f t="shared" si="0"/>
        <v>59</v>
      </c>
      <c r="B60" s="12" t="str">
        <f>B59</f>
        <v>ЩАО.1 (Блок 1)</v>
      </c>
      <c r="C60" s="12" t="s">
        <v>9</v>
      </c>
      <c r="D60" s="30" t="s">
        <v>9</v>
      </c>
      <c r="E60" s="12" t="s">
        <v>9</v>
      </c>
      <c r="F60" s="18">
        <f ca="1">OFFSET(F60,1,2)</f>
        <v>4200</v>
      </c>
      <c r="G60" s="38">
        <f ca="1">F60</f>
        <v>4200</v>
      </c>
      <c r="H60" s="38">
        <f ca="1">G60*I60</f>
        <v>4200</v>
      </c>
      <c r="I60" s="12">
        <v>1</v>
      </c>
      <c r="J60" s="12" t="s">
        <v>12</v>
      </c>
      <c r="K60" s="12" t="s">
        <v>9</v>
      </c>
      <c r="L60" s="15">
        <v>4200</v>
      </c>
    </row>
    <row r="61" spans="1:12" ht="21" customHeight="1" outlineLevel="2" x14ac:dyDescent="0.25">
      <c r="A61" s="12">
        <f t="shared" si="0"/>
        <v>60</v>
      </c>
      <c r="B61" s="12" t="str">
        <f>B60</f>
        <v>ЩАО.1 (Блок 1)</v>
      </c>
      <c r="C61" s="12" t="s">
        <v>10</v>
      </c>
      <c r="D61" s="30" t="s">
        <v>10</v>
      </c>
      <c r="E61" s="12" t="s">
        <v>10</v>
      </c>
      <c r="F61" s="18">
        <v>0.7</v>
      </c>
      <c r="G61" s="38">
        <v>100</v>
      </c>
      <c r="H61" s="38">
        <f>60*F61*G61</f>
        <v>4200</v>
      </c>
      <c r="I61" s="12">
        <f>60*F61</f>
        <v>42</v>
      </c>
      <c r="J61" s="12" t="s">
        <v>12</v>
      </c>
      <c r="K61" s="12" t="s">
        <v>10</v>
      </c>
      <c r="L61" s="15">
        <v>4200</v>
      </c>
    </row>
    <row r="62" spans="1:12" ht="21" customHeight="1" outlineLevel="1" x14ac:dyDescent="0.25">
      <c r="A62" s="12"/>
      <c r="B62" s="12" t="s">
        <v>606</v>
      </c>
      <c r="C62" s="12"/>
      <c r="D62" s="30"/>
      <c r="E62" s="12"/>
      <c r="F62" s="18"/>
      <c r="G62" s="38"/>
      <c r="H62" s="38">
        <f ca="1">SUBTOTAL(9,H56:H61)</f>
        <v>16456.199999999997</v>
      </c>
      <c r="I62" s="12"/>
      <c r="J62" s="12"/>
      <c r="K62" s="12"/>
      <c r="L62" s="15">
        <v>16456.199999999997</v>
      </c>
    </row>
    <row r="63" spans="1:12" ht="39.75" customHeight="1" outlineLevel="2" x14ac:dyDescent="0.25">
      <c r="A63" s="10">
        <f>ROW(A61)</f>
        <v>61</v>
      </c>
      <c r="B63" s="6" t="str">
        <f>E63</f>
        <v>ЩАО.2 (Блок 1)</v>
      </c>
      <c r="C63" s="6"/>
      <c r="D63" s="28"/>
      <c r="E63" s="6" t="s">
        <v>85</v>
      </c>
      <c r="F63" s="36"/>
      <c r="G63" s="36" t="s">
        <v>73</v>
      </c>
      <c r="H63" s="7"/>
      <c r="I63" s="10">
        <v>1</v>
      </c>
      <c r="J63" s="11" t="s">
        <v>6</v>
      </c>
      <c r="K63" s="6" t="s">
        <v>8</v>
      </c>
      <c r="L63" s="9"/>
    </row>
    <row r="64" spans="1:12" ht="21" customHeight="1" outlineLevel="2" x14ac:dyDescent="0.25">
      <c r="A64" s="16">
        <f t="shared" si="0"/>
        <v>63</v>
      </c>
      <c r="B64" s="12" t="str">
        <f>B63</f>
        <v>ЩАО.2 (Блок 1)</v>
      </c>
      <c r="C64" s="13" t="s">
        <v>7</v>
      </c>
      <c r="D64" s="29" t="s">
        <v>492</v>
      </c>
      <c r="E64" s="12" t="s">
        <v>493</v>
      </c>
      <c r="F64" s="37">
        <v>9990</v>
      </c>
      <c r="G64" s="38">
        <f>F64*0.6</f>
        <v>5994</v>
      </c>
      <c r="H64" s="38">
        <f>I64*G64</f>
        <v>5994</v>
      </c>
      <c r="I64" s="16">
        <v>1</v>
      </c>
      <c r="J64" s="17" t="s">
        <v>12</v>
      </c>
      <c r="K64" s="13" t="s">
        <v>581</v>
      </c>
      <c r="L64" s="15">
        <v>5994</v>
      </c>
    </row>
    <row r="65" spans="1:12" ht="21" customHeight="1" outlineLevel="2" x14ac:dyDescent="0.25">
      <c r="A65" s="16">
        <f t="shared" si="0"/>
        <v>64</v>
      </c>
      <c r="B65" s="12" t="str">
        <f>B64</f>
        <v>ЩАО.2 (Блок 1)</v>
      </c>
      <c r="C65" s="13" t="s">
        <v>11</v>
      </c>
      <c r="D65" s="29" t="s">
        <v>28</v>
      </c>
      <c r="E65" s="12" t="s">
        <v>27</v>
      </c>
      <c r="F65" s="37">
        <v>2606</v>
      </c>
      <c r="G65" s="38">
        <f>F65*0.6</f>
        <v>1563.6</v>
      </c>
      <c r="H65" s="38">
        <f>G65*I65</f>
        <v>1563.6</v>
      </c>
      <c r="I65" s="16">
        <v>1</v>
      </c>
      <c r="J65" s="17" t="s">
        <v>12</v>
      </c>
      <c r="K65" s="13" t="s">
        <v>16</v>
      </c>
      <c r="L65" s="15">
        <v>1563.6</v>
      </c>
    </row>
    <row r="66" spans="1:12" ht="21" customHeight="1" outlineLevel="2" x14ac:dyDescent="0.25">
      <c r="A66" s="16">
        <f t="shared" si="0"/>
        <v>65</v>
      </c>
      <c r="B66" s="12" t="str">
        <f>B65</f>
        <v>ЩАО.2 (Блок 1)</v>
      </c>
      <c r="C66" s="13" t="s">
        <v>11</v>
      </c>
      <c r="D66" s="29" t="s">
        <v>53</v>
      </c>
      <c r="E66" s="12" t="s">
        <v>54</v>
      </c>
      <c r="F66" s="37">
        <v>783</v>
      </c>
      <c r="G66" s="38">
        <f>F66*0.6</f>
        <v>469.79999999999995</v>
      </c>
      <c r="H66" s="38">
        <f>G66*I66</f>
        <v>5167.7999999999993</v>
      </c>
      <c r="I66" s="16">
        <v>11</v>
      </c>
      <c r="J66" s="17" t="s">
        <v>12</v>
      </c>
      <c r="K66" s="13" t="s">
        <v>16</v>
      </c>
      <c r="L66" s="15">
        <v>5167.7999999999993</v>
      </c>
    </row>
    <row r="67" spans="1:12" ht="24" customHeight="1" outlineLevel="2" x14ac:dyDescent="0.25">
      <c r="A67" s="12">
        <f t="shared" si="0"/>
        <v>66</v>
      </c>
      <c r="B67" s="12" t="str">
        <f>B66</f>
        <v>ЩАО.2 (Блок 1)</v>
      </c>
      <c r="C67" s="12" t="s">
        <v>9</v>
      </c>
      <c r="D67" s="30" t="s">
        <v>9</v>
      </c>
      <c r="E67" s="12" t="s">
        <v>9</v>
      </c>
      <c r="F67" s="18">
        <f ca="1">OFFSET(F67,1,2)</f>
        <v>4800</v>
      </c>
      <c r="G67" s="38">
        <f ca="1">F67</f>
        <v>4800</v>
      </c>
      <c r="H67" s="38">
        <f ca="1">G67*I67</f>
        <v>4800</v>
      </c>
      <c r="I67" s="12">
        <v>1</v>
      </c>
      <c r="J67" s="12" t="s">
        <v>12</v>
      </c>
      <c r="K67" s="12" t="s">
        <v>9</v>
      </c>
      <c r="L67" s="15">
        <v>4800</v>
      </c>
    </row>
    <row r="68" spans="1:12" ht="21" customHeight="1" outlineLevel="2" x14ac:dyDescent="0.25">
      <c r="A68" s="12">
        <f t="shared" si="0"/>
        <v>67</v>
      </c>
      <c r="B68" s="12" t="str">
        <f>B67</f>
        <v>ЩАО.2 (Блок 1)</v>
      </c>
      <c r="C68" s="12" t="s">
        <v>10</v>
      </c>
      <c r="D68" s="30" t="s">
        <v>10</v>
      </c>
      <c r="E68" s="12" t="s">
        <v>10</v>
      </c>
      <c r="F68" s="18">
        <v>0.8</v>
      </c>
      <c r="G68" s="38">
        <v>100</v>
      </c>
      <c r="H68" s="38">
        <f>60*F68*G68</f>
        <v>4800</v>
      </c>
      <c r="I68" s="12">
        <f>60*F68</f>
        <v>48</v>
      </c>
      <c r="J68" s="12" t="s">
        <v>12</v>
      </c>
      <c r="K68" s="12" t="s">
        <v>10</v>
      </c>
      <c r="L68" s="15">
        <v>4800</v>
      </c>
    </row>
    <row r="69" spans="1:12" ht="21" customHeight="1" outlineLevel="1" x14ac:dyDescent="0.25">
      <c r="A69" s="12"/>
      <c r="B69" s="12" t="s">
        <v>607</v>
      </c>
      <c r="C69" s="12"/>
      <c r="D69" s="30"/>
      <c r="E69" s="12"/>
      <c r="F69" s="18"/>
      <c r="G69" s="38"/>
      <c r="H69" s="38">
        <f ca="1">SUBTOTAL(9,H63:H68)</f>
        <v>22325.4</v>
      </c>
      <c r="I69" s="12"/>
      <c r="J69" s="12"/>
      <c r="K69" s="12"/>
      <c r="L69" s="15">
        <v>22325.4</v>
      </c>
    </row>
    <row r="70" spans="1:12" ht="39.75" customHeight="1" outlineLevel="2" x14ac:dyDescent="0.25">
      <c r="A70" s="10">
        <f>ROW(A68)</f>
        <v>68</v>
      </c>
      <c r="B70" s="6" t="str">
        <f>E70</f>
        <v>ЩО.1 (Блок 1)</v>
      </c>
      <c r="C70" s="6"/>
      <c r="D70" s="28"/>
      <c r="E70" s="6" t="s">
        <v>87</v>
      </c>
      <c r="F70" s="36"/>
      <c r="G70" s="36" t="s">
        <v>73</v>
      </c>
      <c r="H70" s="7"/>
      <c r="I70" s="10">
        <v>1</v>
      </c>
      <c r="J70" s="11" t="s">
        <v>6</v>
      </c>
      <c r="K70" s="6" t="s">
        <v>8</v>
      </c>
      <c r="L70" s="9"/>
    </row>
    <row r="71" spans="1:12" ht="21" customHeight="1" outlineLevel="2" x14ac:dyDescent="0.25">
      <c r="A71" s="16">
        <f t="shared" si="0"/>
        <v>70</v>
      </c>
      <c r="B71" s="12" t="str">
        <f>B70</f>
        <v>ЩО.1 (Блок 1)</v>
      </c>
      <c r="C71" s="13" t="s">
        <v>7</v>
      </c>
      <c r="D71" s="29" t="s">
        <v>588</v>
      </c>
      <c r="E71" s="12" t="s">
        <v>589</v>
      </c>
      <c r="F71" s="37">
        <v>6300</v>
      </c>
      <c r="G71" s="38">
        <f>F71*0.6</f>
        <v>3780</v>
      </c>
      <c r="H71" s="38">
        <f>I71*G71</f>
        <v>3780</v>
      </c>
      <c r="I71" s="16">
        <v>1</v>
      </c>
      <c r="J71" s="17" t="s">
        <v>12</v>
      </c>
      <c r="K71" s="13" t="s">
        <v>581</v>
      </c>
      <c r="L71" s="15">
        <v>3780</v>
      </c>
    </row>
    <row r="72" spans="1:12" ht="21" customHeight="1" outlineLevel="2" x14ac:dyDescent="0.25">
      <c r="A72" s="16">
        <f t="shared" si="0"/>
        <v>71</v>
      </c>
      <c r="B72" s="12" t="str">
        <f>B71</f>
        <v>ЩО.1 (Блок 1)</v>
      </c>
      <c r="C72" s="13" t="s">
        <v>11</v>
      </c>
      <c r="D72" s="29" t="s">
        <v>20</v>
      </c>
      <c r="E72" s="12" t="s">
        <v>21</v>
      </c>
      <c r="F72" s="37">
        <v>2429</v>
      </c>
      <c r="G72" s="38">
        <f>F72*0.6</f>
        <v>1457.3999999999999</v>
      </c>
      <c r="H72" s="38">
        <f>G72*I72</f>
        <v>1457.3999999999999</v>
      </c>
      <c r="I72" s="16">
        <v>1</v>
      </c>
      <c r="J72" s="17" t="s">
        <v>12</v>
      </c>
      <c r="K72" s="13" t="s">
        <v>16</v>
      </c>
      <c r="L72" s="15">
        <v>1457.3999999999999</v>
      </c>
    </row>
    <row r="73" spans="1:12" ht="21" customHeight="1" outlineLevel="2" x14ac:dyDescent="0.25">
      <c r="A73" s="16">
        <f t="shared" si="0"/>
        <v>72</v>
      </c>
      <c r="B73" s="12" t="str">
        <f>B72</f>
        <v>ЩО.1 (Блок 1)</v>
      </c>
      <c r="C73" s="13" t="s">
        <v>11</v>
      </c>
      <c r="D73" s="29" t="s">
        <v>53</v>
      </c>
      <c r="E73" s="12" t="s">
        <v>54</v>
      </c>
      <c r="F73" s="37">
        <v>783</v>
      </c>
      <c r="G73" s="38">
        <f>F73*0.6</f>
        <v>469.79999999999995</v>
      </c>
      <c r="H73" s="38">
        <f>G73*I73</f>
        <v>2818.7999999999997</v>
      </c>
      <c r="I73" s="16">
        <v>6</v>
      </c>
      <c r="J73" s="17" t="s">
        <v>12</v>
      </c>
      <c r="K73" s="13" t="s">
        <v>16</v>
      </c>
      <c r="L73" s="15">
        <v>2818.7999999999997</v>
      </c>
    </row>
    <row r="74" spans="1:12" ht="24" customHeight="1" outlineLevel="2" x14ac:dyDescent="0.25">
      <c r="A74" s="12">
        <f t="shared" ref="A74:A146" si="1">ROW(A73)</f>
        <v>73</v>
      </c>
      <c r="B74" s="12" t="str">
        <f>B73</f>
        <v>ЩО.1 (Блок 1)</v>
      </c>
      <c r="C74" s="12" t="s">
        <v>9</v>
      </c>
      <c r="D74" s="30" t="s">
        <v>9</v>
      </c>
      <c r="E74" s="12" t="s">
        <v>9</v>
      </c>
      <c r="F74" s="18">
        <f ca="1">OFFSET(F74,1,2)</f>
        <v>4200</v>
      </c>
      <c r="G74" s="38">
        <f ca="1">F74</f>
        <v>4200</v>
      </c>
      <c r="H74" s="38">
        <f ca="1">G74*I74</f>
        <v>4200</v>
      </c>
      <c r="I74" s="12">
        <v>1</v>
      </c>
      <c r="J74" s="12" t="s">
        <v>12</v>
      </c>
      <c r="K74" s="12" t="s">
        <v>9</v>
      </c>
      <c r="L74" s="15">
        <v>4200</v>
      </c>
    </row>
    <row r="75" spans="1:12" ht="21" customHeight="1" outlineLevel="2" x14ac:dyDescent="0.25">
      <c r="A75" s="12">
        <f t="shared" si="1"/>
        <v>74</v>
      </c>
      <c r="B75" s="12" t="str">
        <f>B74</f>
        <v>ЩО.1 (Блок 1)</v>
      </c>
      <c r="C75" s="12" t="s">
        <v>10</v>
      </c>
      <c r="D75" s="30" t="s">
        <v>10</v>
      </c>
      <c r="E75" s="12" t="s">
        <v>10</v>
      </c>
      <c r="F75" s="18">
        <v>0.7</v>
      </c>
      <c r="G75" s="38">
        <v>100</v>
      </c>
      <c r="H75" s="38">
        <f>60*F75*G75</f>
        <v>4200</v>
      </c>
      <c r="I75" s="12">
        <f>60*F75</f>
        <v>42</v>
      </c>
      <c r="J75" s="12" t="s">
        <v>12</v>
      </c>
      <c r="K75" s="12" t="s">
        <v>10</v>
      </c>
      <c r="L75" s="15">
        <v>4200</v>
      </c>
    </row>
    <row r="76" spans="1:12" ht="21" customHeight="1" outlineLevel="1" x14ac:dyDescent="0.25">
      <c r="A76" s="12"/>
      <c r="B76" s="12" t="s">
        <v>608</v>
      </c>
      <c r="C76" s="12"/>
      <c r="D76" s="30"/>
      <c r="E76" s="12"/>
      <c r="F76" s="18"/>
      <c r="G76" s="38"/>
      <c r="H76" s="38">
        <f ca="1">SUBTOTAL(9,H70:H75)</f>
        <v>16456.199999999997</v>
      </c>
      <c r="I76" s="12"/>
      <c r="J76" s="12"/>
      <c r="K76" s="12"/>
      <c r="L76" s="15">
        <v>16456.199999999997</v>
      </c>
    </row>
    <row r="77" spans="1:12" ht="39.75" customHeight="1" outlineLevel="2" x14ac:dyDescent="0.25">
      <c r="A77" s="10">
        <f>ROW(A75)</f>
        <v>75</v>
      </c>
      <c r="B77" s="6" t="str">
        <f>E77</f>
        <v>ЩО.2 (Блок 1)</v>
      </c>
      <c r="C77" s="6"/>
      <c r="D77" s="28"/>
      <c r="E77" s="6" t="s">
        <v>88</v>
      </c>
      <c r="F77" s="36"/>
      <c r="G77" s="36" t="s">
        <v>73</v>
      </c>
      <c r="H77" s="7"/>
      <c r="I77" s="10">
        <v>1</v>
      </c>
      <c r="J77" s="11" t="s">
        <v>6</v>
      </c>
      <c r="K77" s="6" t="s">
        <v>8</v>
      </c>
      <c r="L77" s="9"/>
    </row>
    <row r="78" spans="1:12" ht="21" customHeight="1" outlineLevel="2" x14ac:dyDescent="0.25">
      <c r="A78" s="16">
        <f t="shared" si="1"/>
        <v>77</v>
      </c>
      <c r="B78" s="12" t="str">
        <f>B77</f>
        <v>ЩО.2 (Блок 1)</v>
      </c>
      <c r="C78" s="13" t="s">
        <v>7</v>
      </c>
      <c r="D78" s="29" t="s">
        <v>588</v>
      </c>
      <c r="E78" s="12" t="s">
        <v>589</v>
      </c>
      <c r="F78" s="37">
        <v>6300</v>
      </c>
      <c r="G78" s="38">
        <f>F78*0.6</f>
        <v>3780</v>
      </c>
      <c r="H78" s="38">
        <f>I78*G78</f>
        <v>3780</v>
      </c>
      <c r="I78" s="16">
        <v>1</v>
      </c>
      <c r="J78" s="17" t="s">
        <v>12</v>
      </c>
      <c r="K78" s="13" t="s">
        <v>581</v>
      </c>
      <c r="L78" s="15">
        <v>3780</v>
      </c>
    </row>
    <row r="79" spans="1:12" ht="21" customHeight="1" outlineLevel="2" x14ac:dyDescent="0.25">
      <c r="A79" s="16">
        <f t="shared" si="1"/>
        <v>78</v>
      </c>
      <c r="B79" s="12" t="str">
        <f>B78</f>
        <v>ЩО.2 (Блок 1)</v>
      </c>
      <c r="C79" s="13" t="s">
        <v>11</v>
      </c>
      <c r="D79" s="29" t="s">
        <v>28</v>
      </c>
      <c r="E79" s="12" t="s">
        <v>27</v>
      </c>
      <c r="F79" s="37">
        <v>2606</v>
      </c>
      <c r="G79" s="38">
        <f>F79*0.6</f>
        <v>1563.6</v>
      </c>
      <c r="H79" s="38">
        <f>G79*I79</f>
        <v>1563.6</v>
      </c>
      <c r="I79" s="16">
        <v>1</v>
      </c>
      <c r="J79" s="17" t="s">
        <v>12</v>
      </c>
      <c r="K79" s="13" t="s">
        <v>16</v>
      </c>
      <c r="L79" s="15">
        <v>1563.6</v>
      </c>
    </row>
    <row r="80" spans="1:12" ht="21" customHeight="1" outlineLevel="2" x14ac:dyDescent="0.25">
      <c r="A80" s="16">
        <f t="shared" si="1"/>
        <v>79</v>
      </c>
      <c r="B80" s="12" t="str">
        <f>B79</f>
        <v>ЩО.2 (Блок 1)</v>
      </c>
      <c r="C80" s="13" t="s">
        <v>11</v>
      </c>
      <c r="D80" s="29" t="s">
        <v>53</v>
      </c>
      <c r="E80" s="12" t="s">
        <v>54</v>
      </c>
      <c r="F80" s="37">
        <v>783</v>
      </c>
      <c r="G80" s="38">
        <f>F80*0.6</f>
        <v>469.79999999999995</v>
      </c>
      <c r="H80" s="38">
        <f>G80*I80</f>
        <v>3758.3999999999996</v>
      </c>
      <c r="I80" s="16">
        <v>8</v>
      </c>
      <c r="J80" s="17" t="s">
        <v>12</v>
      </c>
      <c r="K80" s="13" t="s">
        <v>16</v>
      </c>
      <c r="L80" s="15">
        <v>3758.3999999999996</v>
      </c>
    </row>
    <row r="81" spans="1:14" ht="24" customHeight="1" outlineLevel="2" x14ac:dyDescent="0.25">
      <c r="A81" s="12">
        <f t="shared" si="1"/>
        <v>80</v>
      </c>
      <c r="B81" s="12" t="str">
        <f>B80</f>
        <v>ЩО.2 (Блок 1)</v>
      </c>
      <c r="C81" s="12" t="s">
        <v>9</v>
      </c>
      <c r="D81" s="30" t="s">
        <v>9</v>
      </c>
      <c r="E81" s="12" t="s">
        <v>9</v>
      </c>
      <c r="F81" s="18">
        <f ca="1">OFFSET(F81,1,2)</f>
        <v>4200</v>
      </c>
      <c r="G81" s="38">
        <f ca="1">F81</f>
        <v>4200</v>
      </c>
      <c r="H81" s="38">
        <f ca="1">G81*I81</f>
        <v>4200</v>
      </c>
      <c r="I81" s="12">
        <v>1</v>
      </c>
      <c r="J81" s="12" t="s">
        <v>12</v>
      </c>
      <c r="K81" s="12" t="s">
        <v>9</v>
      </c>
      <c r="L81" s="15">
        <v>4200</v>
      </c>
    </row>
    <row r="82" spans="1:14" ht="21" customHeight="1" outlineLevel="2" x14ac:dyDescent="0.25">
      <c r="A82" s="12">
        <f t="shared" si="1"/>
        <v>81</v>
      </c>
      <c r="B82" s="12" t="str">
        <f>B81</f>
        <v>ЩО.2 (Блок 1)</v>
      </c>
      <c r="C82" s="12" t="s">
        <v>10</v>
      </c>
      <c r="D82" s="30" t="s">
        <v>10</v>
      </c>
      <c r="E82" s="12" t="s">
        <v>10</v>
      </c>
      <c r="F82" s="18">
        <v>0.7</v>
      </c>
      <c r="G82" s="38">
        <v>100</v>
      </c>
      <c r="H82" s="38">
        <f>60*F82*G82</f>
        <v>4200</v>
      </c>
      <c r="I82" s="12">
        <f>60*F82</f>
        <v>42</v>
      </c>
      <c r="J82" s="12" t="s">
        <v>12</v>
      </c>
      <c r="K82" s="12" t="s">
        <v>10</v>
      </c>
      <c r="L82" s="15">
        <v>4200</v>
      </c>
    </row>
    <row r="83" spans="1:14" ht="21" customHeight="1" outlineLevel="1" x14ac:dyDescent="0.25">
      <c r="A83" s="12"/>
      <c r="B83" s="12" t="s">
        <v>609</v>
      </c>
      <c r="C83" s="12"/>
      <c r="D83" s="30"/>
      <c r="E83" s="12"/>
      <c r="F83" s="18"/>
      <c r="G83" s="38"/>
      <c r="H83" s="38">
        <f ca="1">SUBTOTAL(9,H77:H82)</f>
        <v>17502</v>
      </c>
      <c r="I83" s="12"/>
      <c r="J83" s="12"/>
      <c r="K83" s="12"/>
      <c r="L83" s="15">
        <v>17502</v>
      </c>
    </row>
    <row r="84" spans="1:14" ht="39.75" customHeight="1" outlineLevel="2" x14ac:dyDescent="0.25">
      <c r="A84" s="10">
        <f>ROW(A82)</f>
        <v>82</v>
      </c>
      <c r="B84" s="6" t="str">
        <f>E84</f>
        <v>ЩО.3 (Блок 1)</v>
      </c>
      <c r="C84" s="6"/>
      <c r="D84" s="28"/>
      <c r="E84" s="6" t="s">
        <v>89</v>
      </c>
      <c r="F84" s="36"/>
      <c r="G84" s="36" t="s">
        <v>73</v>
      </c>
      <c r="H84" s="7"/>
      <c r="I84" s="10">
        <v>1</v>
      </c>
      <c r="J84" s="11" t="s">
        <v>6</v>
      </c>
      <c r="K84" s="6" t="s">
        <v>8</v>
      </c>
      <c r="L84" s="9"/>
    </row>
    <row r="85" spans="1:14" ht="21" customHeight="1" outlineLevel="2" x14ac:dyDescent="0.25">
      <c r="A85" s="16">
        <f t="shared" si="1"/>
        <v>84</v>
      </c>
      <c r="B85" s="12" t="str">
        <f>B84</f>
        <v>ЩО.3 (Блок 1)</v>
      </c>
      <c r="C85" s="13" t="s">
        <v>7</v>
      </c>
      <c r="D85" s="29" t="s">
        <v>588</v>
      </c>
      <c r="E85" s="12" t="s">
        <v>589</v>
      </c>
      <c r="F85" s="37">
        <v>6300</v>
      </c>
      <c r="G85" s="38">
        <f>F85*0.6</f>
        <v>3780</v>
      </c>
      <c r="H85" s="38">
        <f>I85*G85</f>
        <v>3780</v>
      </c>
      <c r="I85" s="16">
        <v>1</v>
      </c>
      <c r="J85" s="17" t="s">
        <v>12</v>
      </c>
      <c r="K85" s="13" t="s">
        <v>581</v>
      </c>
      <c r="L85" s="15">
        <v>3780</v>
      </c>
    </row>
    <row r="86" spans="1:14" ht="21" customHeight="1" outlineLevel="2" x14ac:dyDescent="0.25">
      <c r="A86" s="16">
        <f t="shared" si="1"/>
        <v>85</v>
      </c>
      <c r="B86" s="12" t="str">
        <f>B85</f>
        <v>ЩО.3 (Блок 1)</v>
      </c>
      <c r="C86" s="13" t="s">
        <v>11</v>
      </c>
      <c r="D86" s="29" t="s">
        <v>28</v>
      </c>
      <c r="E86" s="12" t="s">
        <v>27</v>
      </c>
      <c r="F86" s="37">
        <v>2606</v>
      </c>
      <c r="G86" s="38">
        <f>F86*0.6</f>
        <v>1563.6</v>
      </c>
      <c r="H86" s="38">
        <f>G86*I86</f>
        <v>1563.6</v>
      </c>
      <c r="I86" s="16">
        <v>1</v>
      </c>
      <c r="J86" s="17" t="s">
        <v>12</v>
      </c>
      <c r="K86" s="13" t="s">
        <v>16</v>
      </c>
      <c r="L86" s="15">
        <v>1563.6</v>
      </c>
    </row>
    <row r="87" spans="1:14" ht="21" customHeight="1" outlineLevel="2" x14ac:dyDescent="0.25">
      <c r="A87" s="16">
        <f t="shared" si="1"/>
        <v>86</v>
      </c>
      <c r="B87" s="12" t="str">
        <f>B86</f>
        <v>ЩО.3 (Блок 1)</v>
      </c>
      <c r="C87" s="13" t="s">
        <v>11</v>
      </c>
      <c r="D87" s="29" t="s">
        <v>53</v>
      </c>
      <c r="E87" s="12" t="s">
        <v>54</v>
      </c>
      <c r="F87" s="37">
        <v>783</v>
      </c>
      <c r="G87" s="38">
        <f>F87*0.6</f>
        <v>469.79999999999995</v>
      </c>
      <c r="H87" s="38">
        <f>G87*I87</f>
        <v>3758.3999999999996</v>
      </c>
      <c r="I87" s="16">
        <v>8</v>
      </c>
      <c r="J87" s="17" t="s">
        <v>12</v>
      </c>
      <c r="K87" s="13" t="s">
        <v>16</v>
      </c>
      <c r="L87" s="15">
        <v>3758.3999999999996</v>
      </c>
    </row>
    <row r="88" spans="1:14" ht="24" customHeight="1" outlineLevel="2" x14ac:dyDescent="0.25">
      <c r="A88" s="12">
        <f t="shared" si="1"/>
        <v>87</v>
      </c>
      <c r="B88" s="12" t="str">
        <f>B87</f>
        <v>ЩО.3 (Блок 1)</v>
      </c>
      <c r="C88" s="12" t="s">
        <v>9</v>
      </c>
      <c r="D88" s="30" t="s">
        <v>9</v>
      </c>
      <c r="E88" s="12" t="s">
        <v>9</v>
      </c>
      <c r="F88" s="18">
        <f ca="1">OFFSET(F88,1,2)</f>
        <v>4200</v>
      </c>
      <c r="G88" s="38">
        <f ca="1">F88</f>
        <v>4200</v>
      </c>
      <c r="H88" s="38">
        <f ca="1">G88*I88</f>
        <v>4200</v>
      </c>
      <c r="I88" s="12">
        <v>1</v>
      </c>
      <c r="J88" s="12" t="s">
        <v>12</v>
      </c>
      <c r="K88" s="12" t="s">
        <v>9</v>
      </c>
      <c r="L88" s="15">
        <v>4200</v>
      </c>
    </row>
    <row r="89" spans="1:14" ht="21" customHeight="1" outlineLevel="2" x14ac:dyDescent="0.25">
      <c r="A89" s="12">
        <f t="shared" si="1"/>
        <v>88</v>
      </c>
      <c r="B89" s="12" t="str">
        <f>B88</f>
        <v>ЩО.3 (Блок 1)</v>
      </c>
      <c r="C89" s="12" t="s">
        <v>10</v>
      </c>
      <c r="D89" s="30" t="s">
        <v>10</v>
      </c>
      <c r="E89" s="12" t="s">
        <v>10</v>
      </c>
      <c r="F89" s="18">
        <v>0.7</v>
      </c>
      <c r="G89" s="38">
        <v>100</v>
      </c>
      <c r="H89" s="38">
        <f>60*F89*G89</f>
        <v>4200</v>
      </c>
      <c r="I89" s="12">
        <f>60*F89</f>
        <v>42</v>
      </c>
      <c r="J89" s="12" t="s">
        <v>12</v>
      </c>
      <c r="K89" s="12" t="s">
        <v>10</v>
      </c>
      <c r="L89" s="15">
        <v>4200</v>
      </c>
    </row>
    <row r="90" spans="1:14" ht="21" customHeight="1" outlineLevel="1" x14ac:dyDescent="0.25">
      <c r="A90" s="12"/>
      <c r="B90" s="12" t="s">
        <v>610</v>
      </c>
      <c r="C90" s="12"/>
      <c r="D90" s="30"/>
      <c r="E90" s="12"/>
      <c r="F90" s="18"/>
      <c r="G90" s="38"/>
      <c r="H90" s="38">
        <f ca="1">SUBTOTAL(9,H84:H89)</f>
        <v>17502</v>
      </c>
      <c r="I90" s="12"/>
      <c r="J90" s="12"/>
      <c r="K90" s="12"/>
      <c r="L90" s="15">
        <v>17502</v>
      </c>
    </row>
    <row r="91" spans="1:14" ht="39.75" customHeight="1" outlineLevel="2" x14ac:dyDescent="0.25">
      <c r="A91" s="10">
        <f>ROW(A89)</f>
        <v>89</v>
      </c>
      <c r="B91" s="6" t="str">
        <f>E91</f>
        <v>ЩО.4 (Блок 1)</v>
      </c>
      <c r="C91" s="6"/>
      <c r="D91" s="28"/>
      <c r="E91" s="6" t="s">
        <v>90</v>
      </c>
      <c r="F91" s="36"/>
      <c r="G91" s="36" t="s">
        <v>73</v>
      </c>
      <c r="H91" s="7"/>
      <c r="I91" s="10">
        <v>1</v>
      </c>
      <c r="J91" s="11" t="s">
        <v>6</v>
      </c>
      <c r="K91" s="6" t="s">
        <v>8</v>
      </c>
      <c r="L91" s="9"/>
    </row>
    <row r="92" spans="1:14" ht="21" customHeight="1" outlineLevel="2" x14ac:dyDescent="0.25">
      <c r="A92" s="16">
        <f t="shared" si="1"/>
        <v>91</v>
      </c>
      <c r="B92" s="12" t="str">
        <f>B91</f>
        <v>ЩО.4 (Блок 1)</v>
      </c>
      <c r="C92" s="13" t="s">
        <v>7</v>
      </c>
      <c r="D92" s="29" t="s">
        <v>494</v>
      </c>
      <c r="E92" s="12" t="s">
        <v>495</v>
      </c>
      <c r="F92" s="37">
        <v>7950</v>
      </c>
      <c r="G92" s="38">
        <f>F92*0.6</f>
        <v>4770</v>
      </c>
      <c r="H92" s="38">
        <f>I92*G92</f>
        <v>4770</v>
      </c>
      <c r="I92" s="16">
        <v>1</v>
      </c>
      <c r="J92" s="17" t="s">
        <v>12</v>
      </c>
      <c r="K92" s="13" t="s">
        <v>581</v>
      </c>
      <c r="L92" s="15">
        <v>4770</v>
      </c>
      <c r="N92" t="s">
        <v>130</v>
      </c>
    </row>
    <row r="93" spans="1:14" ht="21" customHeight="1" outlineLevel="2" x14ac:dyDescent="0.25">
      <c r="A93" s="16">
        <f t="shared" si="1"/>
        <v>92</v>
      </c>
      <c r="B93" s="12" t="str">
        <f>B92</f>
        <v>ЩО.4 (Блок 1)</v>
      </c>
      <c r="C93" s="13" t="s">
        <v>11</v>
      </c>
      <c r="D93" s="29" t="s">
        <v>28</v>
      </c>
      <c r="E93" s="12" t="s">
        <v>27</v>
      </c>
      <c r="F93" s="37">
        <v>2606</v>
      </c>
      <c r="G93" s="38">
        <f>F93*0.6</f>
        <v>1563.6</v>
      </c>
      <c r="H93" s="38">
        <f>G93*I93</f>
        <v>1563.6</v>
      </c>
      <c r="I93" s="16">
        <v>1</v>
      </c>
      <c r="J93" s="17" t="s">
        <v>12</v>
      </c>
      <c r="K93" s="13" t="s">
        <v>16</v>
      </c>
      <c r="L93" s="15">
        <v>1563.6</v>
      </c>
    </row>
    <row r="94" spans="1:14" ht="21" customHeight="1" outlineLevel="2" x14ac:dyDescent="0.25">
      <c r="A94" s="16">
        <f t="shared" si="1"/>
        <v>93</v>
      </c>
      <c r="B94" s="12" t="str">
        <f>B93</f>
        <v>ЩО.4 (Блок 1)</v>
      </c>
      <c r="C94" s="13" t="s">
        <v>11</v>
      </c>
      <c r="D94" s="29" t="s">
        <v>53</v>
      </c>
      <c r="E94" s="12" t="s">
        <v>54</v>
      </c>
      <c r="F94" s="37">
        <v>783</v>
      </c>
      <c r="G94" s="38">
        <f>F94*0.6</f>
        <v>469.79999999999995</v>
      </c>
      <c r="H94" s="38">
        <f>G94*I94</f>
        <v>4228.2</v>
      </c>
      <c r="I94" s="16">
        <v>9</v>
      </c>
      <c r="J94" s="17" t="s">
        <v>12</v>
      </c>
      <c r="K94" s="13" t="s">
        <v>16</v>
      </c>
      <c r="L94" s="15">
        <v>4228.2</v>
      </c>
    </row>
    <row r="95" spans="1:14" ht="24" customHeight="1" outlineLevel="2" x14ac:dyDescent="0.25">
      <c r="A95" s="12">
        <f t="shared" si="1"/>
        <v>94</v>
      </c>
      <c r="B95" s="12" t="str">
        <f>B94</f>
        <v>ЩО.4 (Блок 1)</v>
      </c>
      <c r="C95" s="12" t="s">
        <v>9</v>
      </c>
      <c r="D95" s="30" t="s">
        <v>9</v>
      </c>
      <c r="E95" s="12" t="s">
        <v>9</v>
      </c>
      <c r="F95" s="18">
        <f ca="1">OFFSET(F95,1,2)</f>
        <v>4200</v>
      </c>
      <c r="G95" s="38">
        <f ca="1">F95</f>
        <v>4200</v>
      </c>
      <c r="H95" s="38">
        <f ca="1">G95*I95</f>
        <v>4200</v>
      </c>
      <c r="I95" s="12">
        <v>1</v>
      </c>
      <c r="J95" s="12" t="s">
        <v>12</v>
      </c>
      <c r="K95" s="12" t="s">
        <v>9</v>
      </c>
      <c r="L95" s="15">
        <v>4200</v>
      </c>
    </row>
    <row r="96" spans="1:14" ht="21" customHeight="1" outlineLevel="2" x14ac:dyDescent="0.25">
      <c r="A96" s="12">
        <f t="shared" si="1"/>
        <v>95</v>
      </c>
      <c r="B96" s="12" t="str">
        <f>B95</f>
        <v>ЩО.4 (Блок 1)</v>
      </c>
      <c r="C96" s="12" t="s">
        <v>10</v>
      </c>
      <c r="D96" s="30" t="s">
        <v>10</v>
      </c>
      <c r="E96" s="12" t="s">
        <v>10</v>
      </c>
      <c r="F96" s="18">
        <v>0.7</v>
      </c>
      <c r="G96" s="38">
        <v>100</v>
      </c>
      <c r="H96" s="38">
        <f>60*F96*G96</f>
        <v>4200</v>
      </c>
      <c r="I96" s="12">
        <f>60*F96</f>
        <v>42</v>
      </c>
      <c r="J96" s="12" t="s">
        <v>12</v>
      </c>
      <c r="K96" s="12" t="s">
        <v>10</v>
      </c>
      <c r="L96" s="15">
        <v>4200</v>
      </c>
    </row>
    <row r="97" spans="1:12" ht="21" customHeight="1" outlineLevel="1" x14ac:dyDescent="0.25">
      <c r="A97" s="12"/>
      <c r="B97" s="12" t="s">
        <v>611</v>
      </c>
      <c r="C97" s="12"/>
      <c r="D97" s="30"/>
      <c r="E97" s="12"/>
      <c r="F97" s="18"/>
      <c r="G97" s="38"/>
      <c r="H97" s="38">
        <f ca="1">SUBTOTAL(9,H91:H96)</f>
        <v>18961.8</v>
      </c>
      <c r="I97" s="12"/>
      <c r="J97" s="12"/>
      <c r="K97" s="12"/>
      <c r="L97" s="15">
        <v>18961.8</v>
      </c>
    </row>
    <row r="98" spans="1:12" ht="39.75" customHeight="1" outlineLevel="2" x14ac:dyDescent="0.25">
      <c r="A98" s="10">
        <f>ROW(A96)</f>
        <v>96</v>
      </c>
      <c r="B98" s="6" t="str">
        <f>E98</f>
        <v>ЩО.5 (Блок 1)</v>
      </c>
      <c r="C98" s="6"/>
      <c r="D98" s="28"/>
      <c r="E98" s="6" t="s">
        <v>91</v>
      </c>
      <c r="F98" s="36"/>
      <c r="G98" s="36" t="s">
        <v>73</v>
      </c>
      <c r="H98" s="7"/>
      <c r="I98" s="10">
        <v>1</v>
      </c>
      <c r="J98" s="11" t="s">
        <v>6</v>
      </c>
      <c r="K98" s="6" t="s">
        <v>8</v>
      </c>
      <c r="L98" s="9"/>
    </row>
    <row r="99" spans="1:12" ht="21" customHeight="1" outlineLevel="2" x14ac:dyDescent="0.25">
      <c r="A99" s="16">
        <f t="shared" si="1"/>
        <v>98</v>
      </c>
      <c r="B99" s="12" t="str">
        <f>B98</f>
        <v>ЩО.5 (Блок 1)</v>
      </c>
      <c r="C99" s="13" t="s">
        <v>7</v>
      </c>
      <c r="D99" s="29" t="s">
        <v>588</v>
      </c>
      <c r="E99" s="12" t="s">
        <v>589</v>
      </c>
      <c r="F99" s="37">
        <v>6300</v>
      </c>
      <c r="G99" s="38">
        <f>F99*0.6</f>
        <v>3780</v>
      </c>
      <c r="H99" s="38">
        <f>I99*G99</f>
        <v>3780</v>
      </c>
      <c r="I99" s="16">
        <v>1</v>
      </c>
      <c r="J99" s="17" t="s">
        <v>12</v>
      </c>
      <c r="K99" s="13" t="s">
        <v>581</v>
      </c>
      <c r="L99" s="15">
        <v>3780</v>
      </c>
    </row>
    <row r="100" spans="1:12" ht="21" customHeight="1" outlineLevel="2" x14ac:dyDescent="0.25">
      <c r="A100" s="16">
        <f t="shared" si="1"/>
        <v>99</v>
      </c>
      <c r="B100" s="12" t="str">
        <f>B99</f>
        <v>ЩО.5 (Блок 1)</v>
      </c>
      <c r="C100" s="13" t="s">
        <v>11</v>
      </c>
      <c r="D100" s="29" t="s">
        <v>28</v>
      </c>
      <c r="E100" s="12" t="s">
        <v>27</v>
      </c>
      <c r="F100" s="37">
        <v>2606</v>
      </c>
      <c r="G100" s="38">
        <f>F100*0.6</f>
        <v>1563.6</v>
      </c>
      <c r="H100" s="38">
        <f>G100*I100</f>
        <v>1563.6</v>
      </c>
      <c r="I100" s="16">
        <v>1</v>
      </c>
      <c r="J100" s="17" t="s">
        <v>12</v>
      </c>
      <c r="K100" s="13" t="s">
        <v>16</v>
      </c>
      <c r="L100" s="15">
        <v>1563.6</v>
      </c>
    </row>
    <row r="101" spans="1:12" ht="21" customHeight="1" outlineLevel="2" x14ac:dyDescent="0.25">
      <c r="A101" s="16">
        <f t="shared" si="1"/>
        <v>100</v>
      </c>
      <c r="B101" s="12" t="str">
        <f>B100</f>
        <v>ЩО.5 (Блок 1)</v>
      </c>
      <c r="C101" s="13" t="s">
        <v>11</v>
      </c>
      <c r="D101" s="29" t="s">
        <v>53</v>
      </c>
      <c r="E101" s="12" t="s">
        <v>54</v>
      </c>
      <c r="F101" s="37">
        <v>783</v>
      </c>
      <c r="G101" s="38">
        <f>F101*0.6</f>
        <v>469.79999999999995</v>
      </c>
      <c r="H101" s="38">
        <f>G101*I101</f>
        <v>3288.5999999999995</v>
      </c>
      <c r="I101" s="16">
        <v>7</v>
      </c>
      <c r="J101" s="17" t="s">
        <v>12</v>
      </c>
      <c r="K101" s="13" t="s">
        <v>16</v>
      </c>
      <c r="L101" s="15">
        <v>3288.5999999999995</v>
      </c>
    </row>
    <row r="102" spans="1:12" ht="24" customHeight="1" outlineLevel="2" x14ac:dyDescent="0.25">
      <c r="A102" s="12">
        <f t="shared" si="1"/>
        <v>101</v>
      </c>
      <c r="B102" s="12" t="str">
        <f>B101</f>
        <v>ЩО.5 (Блок 1)</v>
      </c>
      <c r="C102" s="12" t="s">
        <v>9</v>
      </c>
      <c r="D102" s="30" t="s">
        <v>9</v>
      </c>
      <c r="E102" s="12" t="s">
        <v>9</v>
      </c>
      <c r="F102" s="18">
        <f ca="1">OFFSET(F102,1,2)</f>
        <v>4200</v>
      </c>
      <c r="G102" s="38">
        <f ca="1">F102</f>
        <v>4200</v>
      </c>
      <c r="H102" s="38">
        <f ca="1">G102*I102</f>
        <v>4200</v>
      </c>
      <c r="I102" s="12">
        <v>1</v>
      </c>
      <c r="J102" s="12" t="s">
        <v>12</v>
      </c>
      <c r="K102" s="12" t="s">
        <v>9</v>
      </c>
      <c r="L102" s="15">
        <v>4200</v>
      </c>
    </row>
    <row r="103" spans="1:12" ht="21" customHeight="1" outlineLevel="2" x14ac:dyDescent="0.25">
      <c r="A103" s="12">
        <f t="shared" si="1"/>
        <v>102</v>
      </c>
      <c r="B103" s="12" t="str">
        <f>B102</f>
        <v>ЩО.5 (Блок 1)</v>
      </c>
      <c r="C103" s="12" t="s">
        <v>10</v>
      </c>
      <c r="D103" s="30" t="s">
        <v>10</v>
      </c>
      <c r="E103" s="12" t="s">
        <v>10</v>
      </c>
      <c r="F103" s="18">
        <v>0.7</v>
      </c>
      <c r="G103" s="38">
        <v>100</v>
      </c>
      <c r="H103" s="38">
        <f>60*F103*G103</f>
        <v>4200</v>
      </c>
      <c r="I103" s="12">
        <f>60*F103</f>
        <v>42</v>
      </c>
      <c r="J103" s="12" t="s">
        <v>12</v>
      </c>
      <c r="K103" s="12" t="s">
        <v>10</v>
      </c>
      <c r="L103" s="15">
        <v>4200</v>
      </c>
    </row>
    <row r="104" spans="1:12" ht="21" customHeight="1" outlineLevel="1" x14ac:dyDescent="0.25">
      <c r="A104" s="12"/>
      <c r="B104" s="12" t="s">
        <v>612</v>
      </c>
      <c r="C104" s="12"/>
      <c r="D104" s="30"/>
      <c r="E104" s="12"/>
      <c r="F104" s="18"/>
      <c r="G104" s="38"/>
      <c r="H104" s="38">
        <f ca="1">SUBTOTAL(9,H98:H103)</f>
        <v>17032.2</v>
      </c>
      <c r="I104" s="12"/>
      <c r="J104" s="12"/>
      <c r="K104" s="12"/>
      <c r="L104" s="15">
        <v>17032.2</v>
      </c>
    </row>
    <row r="105" spans="1:12" ht="39.75" customHeight="1" outlineLevel="2" x14ac:dyDescent="0.25">
      <c r="A105" s="10">
        <f>ROW(A103)</f>
        <v>103</v>
      </c>
      <c r="B105" s="6" t="str">
        <f>E105</f>
        <v>ЩО.6 (Блок 1)</v>
      </c>
      <c r="C105" s="6"/>
      <c r="D105" s="28"/>
      <c r="E105" s="6" t="s">
        <v>92</v>
      </c>
      <c r="F105" s="36"/>
      <c r="G105" s="36" t="s">
        <v>73</v>
      </c>
      <c r="H105" s="7"/>
      <c r="I105" s="10">
        <v>1</v>
      </c>
      <c r="J105" s="11" t="s">
        <v>6</v>
      </c>
      <c r="K105" s="6" t="s">
        <v>8</v>
      </c>
      <c r="L105" s="9"/>
    </row>
    <row r="106" spans="1:12" ht="21" customHeight="1" outlineLevel="2" x14ac:dyDescent="0.25">
      <c r="A106" s="16">
        <f t="shared" si="1"/>
        <v>105</v>
      </c>
      <c r="B106" s="12" t="str">
        <f>B105</f>
        <v>ЩО.6 (Блок 1)</v>
      </c>
      <c r="C106" s="13" t="s">
        <v>7</v>
      </c>
      <c r="D106" s="29" t="s">
        <v>588</v>
      </c>
      <c r="E106" s="12" t="s">
        <v>589</v>
      </c>
      <c r="F106" s="37">
        <v>6300</v>
      </c>
      <c r="G106" s="38">
        <f>F106*0.6</f>
        <v>3780</v>
      </c>
      <c r="H106" s="38">
        <f>I106*G106</f>
        <v>3780</v>
      </c>
      <c r="I106" s="16">
        <v>1</v>
      </c>
      <c r="J106" s="17" t="s">
        <v>12</v>
      </c>
      <c r="K106" s="13" t="s">
        <v>581</v>
      </c>
      <c r="L106" s="15">
        <v>3780</v>
      </c>
    </row>
    <row r="107" spans="1:12" ht="21" customHeight="1" outlineLevel="2" x14ac:dyDescent="0.25">
      <c r="A107" s="16">
        <f t="shared" si="1"/>
        <v>106</v>
      </c>
      <c r="B107" s="12" t="str">
        <f>B106</f>
        <v>ЩО.6 (Блок 1)</v>
      </c>
      <c r="C107" s="13" t="s">
        <v>11</v>
      </c>
      <c r="D107" s="29" t="s">
        <v>28</v>
      </c>
      <c r="E107" s="12" t="s">
        <v>27</v>
      </c>
      <c r="F107" s="37">
        <v>2606</v>
      </c>
      <c r="G107" s="38">
        <f>F107*0.6</f>
        <v>1563.6</v>
      </c>
      <c r="H107" s="38">
        <f>G107*I107</f>
        <v>1563.6</v>
      </c>
      <c r="I107" s="16">
        <v>1</v>
      </c>
      <c r="J107" s="17" t="s">
        <v>12</v>
      </c>
      <c r="K107" s="13" t="s">
        <v>16</v>
      </c>
      <c r="L107" s="15">
        <v>1563.6</v>
      </c>
    </row>
    <row r="108" spans="1:12" ht="21" customHeight="1" outlineLevel="2" x14ac:dyDescent="0.25">
      <c r="A108" s="16">
        <f t="shared" si="1"/>
        <v>107</v>
      </c>
      <c r="B108" s="12" t="str">
        <f>B107</f>
        <v>ЩО.6 (Блок 1)</v>
      </c>
      <c r="C108" s="13" t="s">
        <v>11</v>
      </c>
      <c r="D108" s="29" t="s">
        <v>53</v>
      </c>
      <c r="E108" s="12" t="s">
        <v>54</v>
      </c>
      <c r="F108" s="37">
        <v>783</v>
      </c>
      <c r="G108" s="38">
        <f>F108*0.6</f>
        <v>469.79999999999995</v>
      </c>
      <c r="H108" s="38">
        <f>G108*I108</f>
        <v>3288.5999999999995</v>
      </c>
      <c r="I108" s="16">
        <v>7</v>
      </c>
      <c r="J108" s="17" t="s">
        <v>12</v>
      </c>
      <c r="K108" s="13" t="s">
        <v>16</v>
      </c>
      <c r="L108" s="15">
        <v>3288.5999999999995</v>
      </c>
    </row>
    <row r="109" spans="1:12" ht="24" customHeight="1" outlineLevel="2" x14ac:dyDescent="0.25">
      <c r="A109" s="12">
        <f t="shared" si="1"/>
        <v>108</v>
      </c>
      <c r="B109" s="12" t="str">
        <f>B108</f>
        <v>ЩО.6 (Блок 1)</v>
      </c>
      <c r="C109" s="12" t="s">
        <v>9</v>
      </c>
      <c r="D109" s="30" t="s">
        <v>9</v>
      </c>
      <c r="E109" s="12" t="s">
        <v>9</v>
      </c>
      <c r="F109" s="18">
        <f ca="1">OFFSET(F109,1,2)</f>
        <v>4200</v>
      </c>
      <c r="G109" s="38">
        <f ca="1">F109</f>
        <v>4200</v>
      </c>
      <c r="H109" s="38">
        <f ca="1">G109*I109</f>
        <v>4200</v>
      </c>
      <c r="I109" s="12">
        <v>1</v>
      </c>
      <c r="J109" s="12" t="s">
        <v>12</v>
      </c>
      <c r="K109" s="12" t="s">
        <v>9</v>
      </c>
      <c r="L109" s="15">
        <v>4200</v>
      </c>
    </row>
    <row r="110" spans="1:12" ht="21" customHeight="1" outlineLevel="2" x14ac:dyDescent="0.25">
      <c r="A110" s="12">
        <f t="shared" si="1"/>
        <v>109</v>
      </c>
      <c r="B110" s="12" t="str">
        <f>B109</f>
        <v>ЩО.6 (Блок 1)</v>
      </c>
      <c r="C110" s="12" t="s">
        <v>10</v>
      </c>
      <c r="D110" s="30" t="s">
        <v>10</v>
      </c>
      <c r="E110" s="12" t="s">
        <v>10</v>
      </c>
      <c r="F110" s="18">
        <v>0.7</v>
      </c>
      <c r="G110" s="38">
        <v>100</v>
      </c>
      <c r="H110" s="38">
        <f>60*F110*G110</f>
        <v>4200</v>
      </c>
      <c r="I110" s="12">
        <f>60*F110</f>
        <v>42</v>
      </c>
      <c r="J110" s="12" t="s">
        <v>12</v>
      </c>
      <c r="K110" s="12" t="s">
        <v>10</v>
      </c>
      <c r="L110" s="15">
        <v>4200</v>
      </c>
    </row>
    <row r="111" spans="1:12" ht="21" customHeight="1" outlineLevel="1" x14ac:dyDescent="0.25">
      <c r="A111" s="12"/>
      <c r="B111" s="12" t="s">
        <v>613</v>
      </c>
      <c r="C111" s="12"/>
      <c r="D111" s="30"/>
      <c r="E111" s="12"/>
      <c r="F111" s="18"/>
      <c r="G111" s="38"/>
      <c r="H111" s="38">
        <f ca="1">SUBTOTAL(9,H105:H110)</f>
        <v>17032.2</v>
      </c>
      <c r="I111" s="12"/>
      <c r="J111" s="12"/>
      <c r="K111" s="12"/>
      <c r="L111" s="15">
        <v>17032.2</v>
      </c>
    </row>
    <row r="112" spans="1:12" ht="39.75" customHeight="1" outlineLevel="2" x14ac:dyDescent="0.25">
      <c r="A112" s="10">
        <f>ROW(A110)</f>
        <v>110</v>
      </c>
      <c r="B112" s="6" t="str">
        <f>E112</f>
        <v>ЩО.7 (Блок 1)</v>
      </c>
      <c r="C112" s="6"/>
      <c r="D112" s="28"/>
      <c r="E112" s="6" t="s">
        <v>93</v>
      </c>
      <c r="F112" s="36"/>
      <c r="G112" s="36" t="s">
        <v>73</v>
      </c>
      <c r="H112" s="7"/>
      <c r="I112" s="10">
        <v>1</v>
      </c>
      <c r="J112" s="11" t="s">
        <v>6</v>
      </c>
      <c r="K112" s="6" t="s">
        <v>8</v>
      </c>
      <c r="L112" s="9"/>
    </row>
    <row r="113" spans="1:12" ht="21" customHeight="1" outlineLevel="2" x14ac:dyDescent="0.25">
      <c r="A113" s="16">
        <f t="shared" si="1"/>
        <v>112</v>
      </c>
      <c r="B113" s="12" t="str">
        <f>B112</f>
        <v>ЩО.7 (Блок 1)</v>
      </c>
      <c r="C113" s="13" t="s">
        <v>7</v>
      </c>
      <c r="D113" s="29" t="s">
        <v>588</v>
      </c>
      <c r="E113" s="12" t="s">
        <v>589</v>
      </c>
      <c r="F113" s="37">
        <v>6300</v>
      </c>
      <c r="G113" s="38">
        <f>F113*0.6</f>
        <v>3780</v>
      </c>
      <c r="H113" s="38">
        <f>I113*G113</f>
        <v>3780</v>
      </c>
      <c r="I113" s="16">
        <v>1</v>
      </c>
      <c r="J113" s="17" t="s">
        <v>12</v>
      </c>
      <c r="K113" s="13" t="s">
        <v>581</v>
      </c>
      <c r="L113" s="15">
        <v>3780</v>
      </c>
    </row>
    <row r="114" spans="1:12" ht="21" customHeight="1" outlineLevel="2" x14ac:dyDescent="0.25">
      <c r="A114" s="16">
        <f t="shared" si="1"/>
        <v>113</v>
      </c>
      <c r="B114" s="12" t="str">
        <f>B113</f>
        <v>ЩО.7 (Блок 1)</v>
      </c>
      <c r="C114" s="13" t="s">
        <v>11</v>
      </c>
      <c r="D114" s="29" t="s">
        <v>28</v>
      </c>
      <c r="E114" s="12" t="s">
        <v>27</v>
      </c>
      <c r="F114" s="37">
        <v>2606</v>
      </c>
      <c r="G114" s="38">
        <f>F114*0.6</f>
        <v>1563.6</v>
      </c>
      <c r="H114" s="38">
        <f>G114*I114</f>
        <v>1563.6</v>
      </c>
      <c r="I114" s="16">
        <v>1</v>
      </c>
      <c r="J114" s="17" t="s">
        <v>12</v>
      </c>
      <c r="K114" s="13" t="s">
        <v>16</v>
      </c>
      <c r="L114" s="15">
        <v>1563.6</v>
      </c>
    </row>
    <row r="115" spans="1:12" ht="21" customHeight="1" outlineLevel="2" x14ac:dyDescent="0.25">
      <c r="A115" s="16">
        <f t="shared" si="1"/>
        <v>114</v>
      </c>
      <c r="B115" s="12" t="str">
        <f>B114</f>
        <v>ЩО.7 (Блок 1)</v>
      </c>
      <c r="C115" s="13" t="s">
        <v>11</v>
      </c>
      <c r="D115" s="29" t="s">
        <v>53</v>
      </c>
      <c r="E115" s="12" t="s">
        <v>54</v>
      </c>
      <c r="F115" s="37">
        <v>783</v>
      </c>
      <c r="G115" s="38">
        <f>F115*0.6</f>
        <v>469.79999999999995</v>
      </c>
      <c r="H115" s="38">
        <f>G115*I115</f>
        <v>3288.5999999999995</v>
      </c>
      <c r="I115" s="16">
        <v>7</v>
      </c>
      <c r="J115" s="17" t="s">
        <v>12</v>
      </c>
      <c r="K115" s="13" t="s">
        <v>16</v>
      </c>
      <c r="L115" s="15">
        <v>3288.5999999999995</v>
      </c>
    </row>
    <row r="116" spans="1:12" ht="24" customHeight="1" outlineLevel="2" x14ac:dyDescent="0.25">
      <c r="A116" s="12">
        <f t="shared" si="1"/>
        <v>115</v>
      </c>
      <c r="B116" s="12" t="str">
        <f>B115</f>
        <v>ЩО.7 (Блок 1)</v>
      </c>
      <c r="C116" s="12" t="s">
        <v>9</v>
      </c>
      <c r="D116" s="30" t="s">
        <v>9</v>
      </c>
      <c r="E116" s="12" t="s">
        <v>9</v>
      </c>
      <c r="F116" s="18">
        <f ca="1">OFFSET(F116,1,2)</f>
        <v>4200</v>
      </c>
      <c r="G116" s="38">
        <f ca="1">F116</f>
        <v>4200</v>
      </c>
      <c r="H116" s="38">
        <f ca="1">G116*I116</f>
        <v>4200</v>
      </c>
      <c r="I116" s="12">
        <v>1</v>
      </c>
      <c r="J116" s="12" t="s">
        <v>12</v>
      </c>
      <c r="K116" s="12" t="s">
        <v>9</v>
      </c>
      <c r="L116" s="15">
        <v>4200</v>
      </c>
    </row>
    <row r="117" spans="1:12" ht="21" customHeight="1" outlineLevel="2" x14ac:dyDescent="0.25">
      <c r="A117" s="12">
        <f t="shared" si="1"/>
        <v>116</v>
      </c>
      <c r="B117" s="12" t="str">
        <f>B116</f>
        <v>ЩО.7 (Блок 1)</v>
      </c>
      <c r="C117" s="12" t="s">
        <v>10</v>
      </c>
      <c r="D117" s="30" t="s">
        <v>10</v>
      </c>
      <c r="E117" s="12" t="s">
        <v>10</v>
      </c>
      <c r="F117" s="18">
        <v>0.7</v>
      </c>
      <c r="G117" s="38">
        <v>100</v>
      </c>
      <c r="H117" s="38">
        <f>60*F117*G117</f>
        <v>4200</v>
      </c>
      <c r="I117" s="12">
        <f>60*F117</f>
        <v>42</v>
      </c>
      <c r="J117" s="12" t="s">
        <v>12</v>
      </c>
      <c r="K117" s="12" t="s">
        <v>10</v>
      </c>
      <c r="L117" s="15">
        <v>4200</v>
      </c>
    </row>
    <row r="118" spans="1:12" ht="21" customHeight="1" outlineLevel="1" x14ac:dyDescent="0.25">
      <c r="A118" s="12"/>
      <c r="B118" s="12" t="s">
        <v>614</v>
      </c>
      <c r="C118" s="12"/>
      <c r="D118" s="30"/>
      <c r="E118" s="12"/>
      <c r="F118" s="18"/>
      <c r="G118" s="38"/>
      <c r="H118" s="38">
        <f ca="1">SUBTOTAL(9,H112:H117)</f>
        <v>17032.2</v>
      </c>
      <c r="I118" s="12"/>
      <c r="J118" s="12"/>
      <c r="K118" s="12"/>
      <c r="L118" s="15">
        <v>17032.2</v>
      </c>
    </row>
    <row r="119" spans="1:12" ht="39.75" customHeight="1" outlineLevel="2" x14ac:dyDescent="0.25">
      <c r="A119" s="10">
        <f>ROW(A117)</f>
        <v>117</v>
      </c>
      <c r="B119" s="6" t="str">
        <f>E119</f>
        <v>ЩО.8 (Блок 1)</v>
      </c>
      <c r="C119" s="6"/>
      <c r="D119" s="28"/>
      <c r="E119" s="6" t="s">
        <v>94</v>
      </c>
      <c r="F119" s="36"/>
      <c r="G119" s="36" t="s">
        <v>73</v>
      </c>
      <c r="H119" s="7"/>
      <c r="I119" s="10">
        <v>1</v>
      </c>
      <c r="J119" s="11" t="s">
        <v>6</v>
      </c>
      <c r="K119" s="6" t="s">
        <v>8</v>
      </c>
      <c r="L119" s="9"/>
    </row>
    <row r="120" spans="1:12" ht="21" customHeight="1" outlineLevel="2" x14ac:dyDescent="0.25">
      <c r="A120" s="16">
        <f t="shared" si="1"/>
        <v>119</v>
      </c>
      <c r="B120" s="12" t="str">
        <f>B119</f>
        <v>ЩО.8 (Блок 1)</v>
      </c>
      <c r="C120" s="13" t="s">
        <v>7</v>
      </c>
      <c r="D120" s="29" t="s">
        <v>588</v>
      </c>
      <c r="E120" s="12" t="s">
        <v>589</v>
      </c>
      <c r="F120" s="37">
        <v>6300</v>
      </c>
      <c r="G120" s="38">
        <f>F120*0.6</f>
        <v>3780</v>
      </c>
      <c r="H120" s="38">
        <f>I120*G120</f>
        <v>3780</v>
      </c>
      <c r="I120" s="16">
        <v>1</v>
      </c>
      <c r="J120" s="17" t="s">
        <v>12</v>
      </c>
      <c r="K120" s="13" t="s">
        <v>581</v>
      </c>
      <c r="L120" s="15">
        <v>3780</v>
      </c>
    </row>
    <row r="121" spans="1:12" ht="21" customHeight="1" outlineLevel="2" x14ac:dyDescent="0.25">
      <c r="A121" s="16">
        <f t="shared" si="1"/>
        <v>120</v>
      </c>
      <c r="B121" s="12" t="str">
        <f>B120</f>
        <v>ЩО.8 (Блок 1)</v>
      </c>
      <c r="C121" s="13" t="s">
        <v>11</v>
      </c>
      <c r="D121" s="29" t="s">
        <v>28</v>
      </c>
      <c r="E121" s="12" t="s">
        <v>27</v>
      </c>
      <c r="F121" s="37">
        <v>2606</v>
      </c>
      <c r="G121" s="38">
        <f>F121*0.6</f>
        <v>1563.6</v>
      </c>
      <c r="H121" s="38">
        <f>G121*I121</f>
        <v>1563.6</v>
      </c>
      <c r="I121" s="16">
        <v>1</v>
      </c>
      <c r="J121" s="17" t="s">
        <v>12</v>
      </c>
      <c r="K121" s="13" t="s">
        <v>16</v>
      </c>
      <c r="L121" s="15">
        <v>1563.6</v>
      </c>
    </row>
    <row r="122" spans="1:12" ht="21" customHeight="1" outlineLevel="2" x14ac:dyDescent="0.25">
      <c r="A122" s="16">
        <f t="shared" si="1"/>
        <v>121</v>
      </c>
      <c r="B122" s="12" t="str">
        <f>B121</f>
        <v>ЩО.8 (Блок 1)</v>
      </c>
      <c r="C122" s="13" t="s">
        <v>11</v>
      </c>
      <c r="D122" s="29" t="s">
        <v>53</v>
      </c>
      <c r="E122" s="12" t="s">
        <v>54</v>
      </c>
      <c r="F122" s="37">
        <v>783</v>
      </c>
      <c r="G122" s="38">
        <f>F122*0.6</f>
        <v>469.79999999999995</v>
      </c>
      <c r="H122" s="38">
        <f>G122*I122</f>
        <v>2818.7999999999997</v>
      </c>
      <c r="I122" s="16">
        <v>6</v>
      </c>
      <c r="J122" s="17" t="s">
        <v>12</v>
      </c>
      <c r="K122" s="13" t="s">
        <v>16</v>
      </c>
      <c r="L122" s="15">
        <v>2818.7999999999997</v>
      </c>
    </row>
    <row r="123" spans="1:12" ht="24" customHeight="1" outlineLevel="2" x14ac:dyDescent="0.25">
      <c r="A123" s="12">
        <f t="shared" si="1"/>
        <v>122</v>
      </c>
      <c r="B123" s="12" t="str">
        <f>B122</f>
        <v>ЩО.8 (Блок 1)</v>
      </c>
      <c r="C123" s="12" t="s">
        <v>9</v>
      </c>
      <c r="D123" s="30" t="s">
        <v>9</v>
      </c>
      <c r="E123" s="12" t="s">
        <v>9</v>
      </c>
      <c r="F123" s="18">
        <f ca="1">OFFSET(F123,1,2)</f>
        <v>4200</v>
      </c>
      <c r="G123" s="38">
        <f ca="1">F123</f>
        <v>4200</v>
      </c>
      <c r="H123" s="38">
        <f ca="1">G123*I123</f>
        <v>4200</v>
      </c>
      <c r="I123" s="12">
        <v>1</v>
      </c>
      <c r="J123" s="12" t="s">
        <v>12</v>
      </c>
      <c r="K123" s="12" t="s">
        <v>9</v>
      </c>
      <c r="L123" s="15">
        <v>4200</v>
      </c>
    </row>
    <row r="124" spans="1:12" ht="21" customHeight="1" outlineLevel="2" x14ac:dyDescent="0.25">
      <c r="A124" s="12">
        <f t="shared" si="1"/>
        <v>123</v>
      </c>
      <c r="B124" s="12" t="str">
        <f>B123</f>
        <v>ЩО.8 (Блок 1)</v>
      </c>
      <c r="C124" s="12" t="s">
        <v>10</v>
      </c>
      <c r="D124" s="30" t="s">
        <v>10</v>
      </c>
      <c r="E124" s="12" t="s">
        <v>10</v>
      </c>
      <c r="F124" s="18">
        <v>0.7</v>
      </c>
      <c r="G124" s="38">
        <v>100</v>
      </c>
      <c r="H124" s="38">
        <f>60*F124*G124</f>
        <v>4200</v>
      </c>
      <c r="I124" s="12">
        <f>60*F124</f>
        <v>42</v>
      </c>
      <c r="J124" s="12" t="s">
        <v>12</v>
      </c>
      <c r="K124" s="12" t="s">
        <v>10</v>
      </c>
      <c r="L124" s="15">
        <v>4200</v>
      </c>
    </row>
    <row r="125" spans="1:12" ht="21" customHeight="1" outlineLevel="1" x14ac:dyDescent="0.25">
      <c r="A125" s="12"/>
      <c r="B125" s="12" t="s">
        <v>615</v>
      </c>
      <c r="C125" s="12"/>
      <c r="D125" s="30"/>
      <c r="E125" s="12"/>
      <c r="F125" s="18"/>
      <c r="G125" s="38"/>
      <c r="H125" s="38">
        <f ca="1">SUBTOTAL(9,H119:H124)</f>
        <v>16562.400000000001</v>
      </c>
      <c r="I125" s="12"/>
      <c r="J125" s="12"/>
      <c r="K125" s="12"/>
      <c r="L125" s="15">
        <v>16562.400000000001</v>
      </c>
    </row>
    <row r="126" spans="1:12" ht="39.75" customHeight="1" outlineLevel="2" x14ac:dyDescent="0.25">
      <c r="A126" s="10">
        <f>ROW(A124)</f>
        <v>124</v>
      </c>
      <c r="B126" s="6" t="str">
        <f>E126</f>
        <v>ЩР.1 (Блок 1)</v>
      </c>
      <c r="C126" s="6"/>
      <c r="D126" s="28"/>
      <c r="E126" s="6" t="s">
        <v>95</v>
      </c>
      <c r="F126" s="36"/>
      <c r="G126" s="36" t="s">
        <v>73</v>
      </c>
      <c r="H126" s="7"/>
      <c r="I126" s="10">
        <v>1</v>
      </c>
      <c r="J126" s="11" t="s">
        <v>6</v>
      </c>
      <c r="K126" s="6" t="s">
        <v>8</v>
      </c>
      <c r="L126" s="9"/>
    </row>
    <row r="127" spans="1:12" ht="21" customHeight="1" outlineLevel="2" x14ac:dyDescent="0.25">
      <c r="A127" s="16">
        <f t="shared" si="1"/>
        <v>126</v>
      </c>
      <c r="B127" s="12" t="str">
        <f>B126</f>
        <v>ЩР.1 (Блок 1)</v>
      </c>
      <c r="C127" s="13" t="s">
        <v>7</v>
      </c>
      <c r="D127" s="29" t="s">
        <v>474</v>
      </c>
      <c r="E127" s="12" t="s">
        <v>475</v>
      </c>
      <c r="F127" s="37">
        <v>25000</v>
      </c>
      <c r="G127" s="38">
        <f>F127*0.6</f>
        <v>15000</v>
      </c>
      <c r="H127" s="38">
        <f>I127*G127</f>
        <v>15000</v>
      </c>
      <c r="I127" s="16">
        <v>1</v>
      </c>
      <c r="J127" s="17" t="s">
        <v>12</v>
      </c>
      <c r="K127" s="13" t="s">
        <v>15</v>
      </c>
      <c r="L127" s="15">
        <v>15000</v>
      </c>
    </row>
    <row r="128" spans="1:12" ht="21" customHeight="1" outlineLevel="2" x14ac:dyDescent="0.25">
      <c r="A128" s="16">
        <f t="shared" si="1"/>
        <v>127</v>
      </c>
      <c r="B128" s="12" t="str">
        <f>B127</f>
        <v>ЩР.1 (Блок 1)</v>
      </c>
      <c r="C128" s="13" t="s">
        <v>11</v>
      </c>
      <c r="D128" s="29" t="s">
        <v>65</v>
      </c>
      <c r="E128" s="12" t="s">
        <v>66</v>
      </c>
      <c r="F128" s="37">
        <v>2807</v>
      </c>
      <c r="G128" s="38">
        <f>F128*0.6</f>
        <v>1684.2</v>
      </c>
      <c r="H128" s="38">
        <f>G128*I128</f>
        <v>1684.2</v>
      </c>
      <c r="I128" s="16">
        <v>1</v>
      </c>
      <c r="J128" s="17" t="s">
        <v>12</v>
      </c>
      <c r="K128" s="13" t="s">
        <v>16</v>
      </c>
      <c r="L128" s="15">
        <v>1684.2</v>
      </c>
    </row>
    <row r="129" spans="1:12" ht="21" customHeight="1" outlineLevel="2" x14ac:dyDescent="0.25">
      <c r="A129" s="16">
        <f t="shared" si="1"/>
        <v>128</v>
      </c>
      <c r="B129" s="12" t="str">
        <f>B128</f>
        <v>ЩР.1 (Блок 1)</v>
      </c>
      <c r="C129" s="13" t="s">
        <v>22</v>
      </c>
      <c r="D129" s="29" t="s">
        <v>101</v>
      </c>
      <c r="E129" s="12" t="s">
        <v>102</v>
      </c>
      <c r="F129" s="37">
        <v>8889</v>
      </c>
      <c r="G129" s="38">
        <f>F129*0.6</f>
        <v>5333.4</v>
      </c>
      <c r="H129" s="38">
        <f>G129*I129</f>
        <v>10666.8</v>
      </c>
      <c r="I129" s="16">
        <v>2</v>
      </c>
      <c r="J129" s="17" t="s">
        <v>12</v>
      </c>
      <c r="K129" s="13" t="s">
        <v>16</v>
      </c>
      <c r="L129" s="15">
        <v>10666.8</v>
      </c>
    </row>
    <row r="130" spans="1:12" ht="21" customHeight="1" outlineLevel="2" x14ac:dyDescent="0.25">
      <c r="A130" s="16">
        <f t="shared" si="1"/>
        <v>129</v>
      </c>
      <c r="B130" s="12" t="str">
        <f>B129</f>
        <v>ЩР.1 (Блок 1)</v>
      </c>
      <c r="C130" s="13" t="s">
        <v>22</v>
      </c>
      <c r="D130" s="29" t="s">
        <v>96</v>
      </c>
      <c r="E130" s="12" t="s">
        <v>97</v>
      </c>
      <c r="F130" s="37">
        <v>5069</v>
      </c>
      <c r="G130" s="38">
        <f>F130*0.6</f>
        <v>3041.4</v>
      </c>
      <c r="H130" s="38">
        <f>G130*I130</f>
        <v>39538.200000000004</v>
      </c>
      <c r="I130" s="16">
        <v>13</v>
      </c>
      <c r="J130" s="17" t="s">
        <v>12</v>
      </c>
      <c r="K130" s="13" t="s">
        <v>16</v>
      </c>
      <c r="L130" s="15">
        <v>39538.200000000004</v>
      </c>
    </row>
    <row r="131" spans="1:12" ht="24" customHeight="1" outlineLevel="2" x14ac:dyDescent="0.25">
      <c r="A131" s="12">
        <f t="shared" si="1"/>
        <v>130</v>
      </c>
      <c r="B131" s="12" t="str">
        <f>B130</f>
        <v>ЩР.1 (Блок 1)</v>
      </c>
      <c r="C131" s="12" t="s">
        <v>9</v>
      </c>
      <c r="D131" s="30" t="s">
        <v>9</v>
      </c>
      <c r="E131" s="12" t="s">
        <v>9</v>
      </c>
      <c r="F131" s="18">
        <f ca="1">OFFSET(F131,1,2)</f>
        <v>12000</v>
      </c>
      <c r="G131" s="38">
        <f ca="1">F131</f>
        <v>12000</v>
      </c>
      <c r="H131" s="38">
        <f ca="1">G131*I131</f>
        <v>12000</v>
      </c>
      <c r="I131" s="12">
        <v>1</v>
      </c>
      <c r="J131" s="12" t="s">
        <v>12</v>
      </c>
      <c r="K131" s="12" t="s">
        <v>9</v>
      </c>
      <c r="L131" s="15">
        <v>12000</v>
      </c>
    </row>
    <row r="132" spans="1:12" ht="21" customHeight="1" outlineLevel="2" x14ac:dyDescent="0.25">
      <c r="A132" s="12">
        <f t="shared" si="1"/>
        <v>131</v>
      </c>
      <c r="B132" s="12" t="str">
        <f>B131</f>
        <v>ЩР.1 (Блок 1)</v>
      </c>
      <c r="C132" s="12" t="s">
        <v>10</v>
      </c>
      <c r="D132" s="30" t="s">
        <v>10</v>
      </c>
      <c r="E132" s="12" t="s">
        <v>10</v>
      </c>
      <c r="F132" s="18">
        <v>2</v>
      </c>
      <c r="G132" s="38">
        <v>100</v>
      </c>
      <c r="H132" s="38">
        <f>60*F132*G132</f>
        <v>12000</v>
      </c>
      <c r="I132" s="12">
        <f>60*F132</f>
        <v>120</v>
      </c>
      <c r="J132" s="12" t="s">
        <v>12</v>
      </c>
      <c r="K132" s="12" t="s">
        <v>10</v>
      </c>
      <c r="L132" s="15">
        <v>12000</v>
      </c>
    </row>
    <row r="133" spans="1:12" ht="21" customHeight="1" outlineLevel="1" x14ac:dyDescent="0.25">
      <c r="A133" s="12"/>
      <c r="B133" s="12" t="s">
        <v>616</v>
      </c>
      <c r="C133" s="12"/>
      <c r="D133" s="30"/>
      <c r="E133" s="12"/>
      <c r="F133" s="18"/>
      <c r="G133" s="38"/>
      <c r="H133" s="38">
        <f ca="1">SUBTOTAL(9,H126:H132)</f>
        <v>90889.200000000012</v>
      </c>
      <c r="I133" s="12"/>
      <c r="J133" s="12"/>
      <c r="K133" s="12"/>
      <c r="L133" s="15">
        <v>90889.200000000012</v>
      </c>
    </row>
    <row r="134" spans="1:12" ht="39.75" customHeight="1" outlineLevel="2" x14ac:dyDescent="0.25">
      <c r="A134" s="10">
        <f>ROW(A132)</f>
        <v>132</v>
      </c>
      <c r="B134" s="6" t="str">
        <f>E134</f>
        <v>ЩР.2 (Блок 1)</v>
      </c>
      <c r="C134" s="6"/>
      <c r="D134" s="28"/>
      <c r="E134" s="6" t="s">
        <v>98</v>
      </c>
      <c r="F134" s="36"/>
      <c r="G134" s="36" t="s">
        <v>73</v>
      </c>
      <c r="H134" s="7"/>
      <c r="I134" s="10">
        <v>1</v>
      </c>
      <c r="J134" s="11" t="s">
        <v>6</v>
      </c>
      <c r="K134" s="6" t="s">
        <v>8</v>
      </c>
      <c r="L134" s="9"/>
    </row>
    <row r="135" spans="1:12" ht="21" customHeight="1" outlineLevel="2" x14ac:dyDescent="0.25">
      <c r="A135" s="16">
        <f t="shared" si="1"/>
        <v>134</v>
      </c>
      <c r="B135" s="12" t="str">
        <f>B134</f>
        <v>ЩР.2 (Блок 1)</v>
      </c>
      <c r="C135" s="13" t="s">
        <v>7</v>
      </c>
      <c r="D135" s="29" t="s">
        <v>472</v>
      </c>
      <c r="E135" s="12" t="s">
        <v>473</v>
      </c>
      <c r="F135" s="37">
        <v>22000</v>
      </c>
      <c r="G135" s="38">
        <f>F135*0.6</f>
        <v>13200</v>
      </c>
      <c r="H135" s="38">
        <f>I135*G135</f>
        <v>13200</v>
      </c>
      <c r="I135" s="16">
        <v>1</v>
      </c>
      <c r="J135" s="17" t="s">
        <v>12</v>
      </c>
      <c r="K135" s="13" t="s">
        <v>15</v>
      </c>
      <c r="L135" s="15">
        <v>13200</v>
      </c>
    </row>
    <row r="136" spans="1:12" ht="21" customHeight="1" outlineLevel="2" x14ac:dyDescent="0.25">
      <c r="A136" s="16">
        <f t="shared" si="1"/>
        <v>135</v>
      </c>
      <c r="B136" s="12" t="str">
        <f>B135</f>
        <v>ЩР.2 (Блок 1)</v>
      </c>
      <c r="C136" s="13" t="s">
        <v>11</v>
      </c>
      <c r="D136" s="29" t="s">
        <v>65</v>
      </c>
      <c r="E136" s="12" t="s">
        <v>66</v>
      </c>
      <c r="F136" s="37">
        <v>2807</v>
      </c>
      <c r="G136" s="38">
        <f>F136*0.6</f>
        <v>1684.2</v>
      </c>
      <c r="H136" s="38">
        <f>G136*I136</f>
        <v>1684.2</v>
      </c>
      <c r="I136" s="16">
        <v>1</v>
      </c>
      <c r="J136" s="17" t="s">
        <v>12</v>
      </c>
      <c r="K136" s="13" t="s">
        <v>16</v>
      </c>
      <c r="L136" s="15">
        <v>1684.2</v>
      </c>
    </row>
    <row r="137" spans="1:12" ht="21" customHeight="1" outlineLevel="2" x14ac:dyDescent="0.25">
      <c r="A137" s="16">
        <f t="shared" si="1"/>
        <v>136</v>
      </c>
      <c r="B137" s="12" t="str">
        <f>B136</f>
        <v>ЩР.2 (Блок 1)</v>
      </c>
      <c r="C137" s="13" t="s">
        <v>22</v>
      </c>
      <c r="D137" s="29" t="s">
        <v>96</v>
      </c>
      <c r="E137" s="12" t="s">
        <v>97</v>
      </c>
      <c r="F137" s="37">
        <v>5069</v>
      </c>
      <c r="G137" s="38">
        <f>F137*0.6</f>
        <v>3041.4</v>
      </c>
      <c r="H137" s="38">
        <f>G137*I137</f>
        <v>39538.200000000004</v>
      </c>
      <c r="I137" s="16">
        <v>13</v>
      </c>
      <c r="J137" s="17" t="s">
        <v>12</v>
      </c>
      <c r="K137" s="13" t="s">
        <v>16</v>
      </c>
      <c r="L137" s="15">
        <v>39538.200000000004</v>
      </c>
    </row>
    <row r="138" spans="1:12" ht="24" customHeight="1" outlineLevel="2" x14ac:dyDescent="0.25">
      <c r="A138" s="12">
        <f t="shared" si="1"/>
        <v>137</v>
      </c>
      <c r="B138" s="12" t="str">
        <f>B137</f>
        <v>ЩР.2 (Блок 1)</v>
      </c>
      <c r="C138" s="12" t="s">
        <v>9</v>
      </c>
      <c r="D138" s="30" t="s">
        <v>9</v>
      </c>
      <c r="E138" s="12" t="s">
        <v>9</v>
      </c>
      <c r="F138" s="18">
        <f ca="1">OFFSET(F138,1,2)</f>
        <v>12000</v>
      </c>
      <c r="G138" s="38">
        <f ca="1">F138</f>
        <v>12000</v>
      </c>
      <c r="H138" s="38">
        <f ca="1">G138*I138</f>
        <v>12000</v>
      </c>
      <c r="I138" s="12">
        <v>1</v>
      </c>
      <c r="J138" s="12" t="s">
        <v>12</v>
      </c>
      <c r="K138" s="12" t="s">
        <v>9</v>
      </c>
      <c r="L138" s="15">
        <v>12000</v>
      </c>
    </row>
    <row r="139" spans="1:12" ht="21" customHeight="1" outlineLevel="2" x14ac:dyDescent="0.25">
      <c r="A139" s="12">
        <f t="shared" si="1"/>
        <v>138</v>
      </c>
      <c r="B139" s="12" t="str">
        <f>B138</f>
        <v>ЩР.2 (Блок 1)</v>
      </c>
      <c r="C139" s="12" t="s">
        <v>10</v>
      </c>
      <c r="D139" s="30" t="s">
        <v>10</v>
      </c>
      <c r="E139" s="12" t="s">
        <v>10</v>
      </c>
      <c r="F139" s="18">
        <v>2</v>
      </c>
      <c r="G139" s="38">
        <v>100</v>
      </c>
      <c r="H139" s="38">
        <f>60*F139*G139</f>
        <v>12000</v>
      </c>
      <c r="I139" s="12">
        <f>60*F139</f>
        <v>120</v>
      </c>
      <c r="J139" s="12" t="s">
        <v>12</v>
      </c>
      <c r="K139" s="12" t="s">
        <v>10</v>
      </c>
      <c r="L139" s="15">
        <v>12000</v>
      </c>
    </row>
    <row r="140" spans="1:12" ht="21" customHeight="1" outlineLevel="1" x14ac:dyDescent="0.25">
      <c r="A140" s="12"/>
      <c r="B140" s="12" t="s">
        <v>617</v>
      </c>
      <c r="C140" s="12"/>
      <c r="D140" s="30"/>
      <c r="E140" s="12"/>
      <c r="F140" s="18"/>
      <c r="G140" s="38"/>
      <c r="H140" s="38">
        <f ca="1">SUBTOTAL(9,H134:H139)</f>
        <v>78422.400000000009</v>
      </c>
      <c r="I140" s="12"/>
      <c r="J140" s="12"/>
      <c r="K140" s="12"/>
      <c r="L140" s="15">
        <v>78422.400000000009</v>
      </c>
    </row>
    <row r="141" spans="1:12" ht="39.75" customHeight="1" outlineLevel="2" x14ac:dyDescent="0.25">
      <c r="A141" s="10">
        <f>ROW(A139)</f>
        <v>139</v>
      </c>
      <c r="B141" s="6" t="str">
        <f>E141</f>
        <v>ЩР.3 (Блок 1)</v>
      </c>
      <c r="C141" s="6"/>
      <c r="D141" s="28"/>
      <c r="E141" s="6" t="s">
        <v>99</v>
      </c>
      <c r="F141" s="36"/>
      <c r="G141" s="36" t="s">
        <v>73</v>
      </c>
      <c r="H141" s="7"/>
      <c r="I141" s="10">
        <v>1</v>
      </c>
      <c r="J141" s="11" t="s">
        <v>6</v>
      </c>
      <c r="K141" s="6" t="s">
        <v>8</v>
      </c>
      <c r="L141" s="9"/>
    </row>
    <row r="142" spans="1:12" ht="21" customHeight="1" outlineLevel="2" x14ac:dyDescent="0.25">
      <c r="A142" s="16">
        <f t="shared" si="1"/>
        <v>141</v>
      </c>
      <c r="B142" s="12" t="str">
        <f>B141</f>
        <v>ЩР.3 (Блок 1)</v>
      </c>
      <c r="C142" s="13" t="s">
        <v>7</v>
      </c>
      <c r="D142" s="29" t="s">
        <v>472</v>
      </c>
      <c r="E142" s="12" t="s">
        <v>473</v>
      </c>
      <c r="F142" s="37">
        <v>22000</v>
      </c>
      <c r="G142" s="38">
        <f>F142*0.6</f>
        <v>13200</v>
      </c>
      <c r="H142" s="38">
        <f>I142*G142</f>
        <v>13200</v>
      </c>
      <c r="I142" s="16">
        <v>1</v>
      </c>
      <c r="J142" s="17" t="s">
        <v>12</v>
      </c>
      <c r="K142" s="13" t="s">
        <v>15</v>
      </c>
      <c r="L142" s="15">
        <v>13200</v>
      </c>
    </row>
    <row r="143" spans="1:12" ht="21" customHeight="1" outlineLevel="2" x14ac:dyDescent="0.25">
      <c r="A143" s="16">
        <f t="shared" si="1"/>
        <v>142</v>
      </c>
      <c r="B143" s="12" t="str">
        <f>B142</f>
        <v>ЩР.3 (Блок 1)</v>
      </c>
      <c r="C143" s="13" t="s">
        <v>11</v>
      </c>
      <c r="D143" s="29" t="s">
        <v>65</v>
      </c>
      <c r="E143" s="12" t="s">
        <v>66</v>
      </c>
      <c r="F143" s="37">
        <v>2807</v>
      </c>
      <c r="G143" s="38">
        <f>F143*0.6</f>
        <v>1684.2</v>
      </c>
      <c r="H143" s="38">
        <f>G143*I143</f>
        <v>1684.2</v>
      </c>
      <c r="I143" s="16">
        <v>1</v>
      </c>
      <c r="J143" s="17" t="s">
        <v>12</v>
      </c>
      <c r="K143" s="13" t="s">
        <v>16</v>
      </c>
      <c r="L143" s="15">
        <v>1684.2</v>
      </c>
    </row>
    <row r="144" spans="1:12" ht="21" customHeight="1" outlineLevel="2" x14ac:dyDescent="0.25">
      <c r="A144" s="16">
        <f t="shared" si="1"/>
        <v>143</v>
      </c>
      <c r="B144" s="12" t="str">
        <f>B143</f>
        <v>ЩР.3 (Блок 1)</v>
      </c>
      <c r="C144" s="13" t="s">
        <v>22</v>
      </c>
      <c r="D144" s="29" t="s">
        <v>96</v>
      </c>
      <c r="E144" s="12" t="s">
        <v>97</v>
      </c>
      <c r="F144" s="37">
        <v>5069</v>
      </c>
      <c r="G144" s="38">
        <f>F144*0.6</f>
        <v>3041.4</v>
      </c>
      <c r="H144" s="38">
        <f>G144*I144</f>
        <v>36496.800000000003</v>
      </c>
      <c r="I144" s="16">
        <v>12</v>
      </c>
      <c r="J144" s="17" t="s">
        <v>12</v>
      </c>
      <c r="K144" s="13" t="s">
        <v>16</v>
      </c>
      <c r="L144" s="15">
        <v>36496.800000000003</v>
      </c>
    </row>
    <row r="145" spans="1:12" ht="24" customHeight="1" outlineLevel="2" x14ac:dyDescent="0.25">
      <c r="A145" s="12">
        <f t="shared" si="1"/>
        <v>144</v>
      </c>
      <c r="B145" s="12" t="str">
        <f>B144</f>
        <v>ЩР.3 (Блок 1)</v>
      </c>
      <c r="C145" s="12" t="s">
        <v>9</v>
      </c>
      <c r="D145" s="30" t="s">
        <v>9</v>
      </c>
      <c r="E145" s="12" t="s">
        <v>9</v>
      </c>
      <c r="F145" s="18">
        <f ca="1">OFFSET(F145,1,2)</f>
        <v>12000</v>
      </c>
      <c r="G145" s="38">
        <f ca="1">F145</f>
        <v>12000</v>
      </c>
      <c r="H145" s="38">
        <f ca="1">G145*I145</f>
        <v>12000</v>
      </c>
      <c r="I145" s="12">
        <v>1</v>
      </c>
      <c r="J145" s="12" t="s">
        <v>12</v>
      </c>
      <c r="K145" s="12" t="s">
        <v>9</v>
      </c>
      <c r="L145" s="15">
        <v>12000</v>
      </c>
    </row>
    <row r="146" spans="1:12" ht="21" customHeight="1" outlineLevel="2" x14ac:dyDescent="0.25">
      <c r="A146" s="12">
        <f t="shared" si="1"/>
        <v>145</v>
      </c>
      <c r="B146" s="12" t="str">
        <f>B145</f>
        <v>ЩР.3 (Блок 1)</v>
      </c>
      <c r="C146" s="12" t="s">
        <v>10</v>
      </c>
      <c r="D146" s="30" t="s">
        <v>10</v>
      </c>
      <c r="E146" s="12" t="s">
        <v>10</v>
      </c>
      <c r="F146" s="18">
        <v>2</v>
      </c>
      <c r="G146" s="38">
        <v>100</v>
      </c>
      <c r="H146" s="38">
        <f>60*F146*G146</f>
        <v>12000</v>
      </c>
      <c r="I146" s="12">
        <f>60*F146</f>
        <v>120</v>
      </c>
      <c r="J146" s="12" t="s">
        <v>12</v>
      </c>
      <c r="K146" s="12" t="s">
        <v>10</v>
      </c>
      <c r="L146" s="15">
        <v>12000</v>
      </c>
    </row>
    <row r="147" spans="1:12" ht="21" customHeight="1" outlineLevel="1" x14ac:dyDescent="0.25">
      <c r="A147" s="12"/>
      <c r="B147" s="12" t="s">
        <v>618</v>
      </c>
      <c r="C147" s="12"/>
      <c r="D147" s="30"/>
      <c r="E147" s="12"/>
      <c r="F147" s="18"/>
      <c r="G147" s="38"/>
      <c r="H147" s="38">
        <f ca="1">SUBTOTAL(9,H141:H146)</f>
        <v>75381</v>
      </c>
      <c r="I147" s="12"/>
      <c r="J147" s="12"/>
      <c r="K147" s="12"/>
      <c r="L147" s="15">
        <v>75381</v>
      </c>
    </row>
    <row r="148" spans="1:12" ht="39.75" customHeight="1" outlineLevel="2" x14ac:dyDescent="0.25">
      <c r="A148" s="10">
        <f>ROW(A146)</f>
        <v>146</v>
      </c>
      <c r="B148" s="6" t="str">
        <f>E148</f>
        <v>ЩР.4 (Блок 1)</v>
      </c>
      <c r="C148" s="6"/>
      <c r="D148" s="28"/>
      <c r="E148" s="6" t="s">
        <v>100</v>
      </c>
      <c r="F148" s="36"/>
      <c r="G148" s="36" t="s">
        <v>73</v>
      </c>
      <c r="H148" s="7"/>
      <c r="I148" s="10">
        <v>1</v>
      </c>
      <c r="J148" s="11" t="s">
        <v>6</v>
      </c>
      <c r="K148" s="6" t="s">
        <v>8</v>
      </c>
      <c r="L148" s="9"/>
    </row>
    <row r="149" spans="1:12" ht="21" customHeight="1" outlineLevel="2" x14ac:dyDescent="0.25">
      <c r="A149" s="16">
        <f t="shared" ref="A149:A221" si="2">ROW(A148)</f>
        <v>148</v>
      </c>
      <c r="B149" s="12" t="str">
        <f>B148</f>
        <v>ЩР.4 (Блок 1)</v>
      </c>
      <c r="C149" s="13" t="s">
        <v>7</v>
      </c>
      <c r="D149" s="29" t="s">
        <v>472</v>
      </c>
      <c r="E149" s="12" t="s">
        <v>473</v>
      </c>
      <c r="F149" s="37">
        <v>22000</v>
      </c>
      <c r="G149" s="38">
        <f>F149*0.6</f>
        <v>13200</v>
      </c>
      <c r="H149" s="38">
        <f>I149*G149</f>
        <v>13200</v>
      </c>
      <c r="I149" s="16">
        <v>1</v>
      </c>
      <c r="J149" s="17" t="s">
        <v>12</v>
      </c>
      <c r="K149" s="13" t="s">
        <v>15</v>
      </c>
      <c r="L149" s="15">
        <v>13200</v>
      </c>
    </row>
    <row r="150" spans="1:12" ht="21" customHeight="1" outlineLevel="2" x14ac:dyDescent="0.25">
      <c r="A150" s="16">
        <f t="shared" si="2"/>
        <v>149</v>
      </c>
      <c r="B150" s="12" t="str">
        <f>B149</f>
        <v>ЩР.4 (Блок 1)</v>
      </c>
      <c r="C150" s="13" t="s">
        <v>11</v>
      </c>
      <c r="D150" s="29" t="s">
        <v>29</v>
      </c>
      <c r="E150" s="12" t="s">
        <v>30</v>
      </c>
      <c r="F150" s="37">
        <v>3172</v>
      </c>
      <c r="G150" s="38">
        <f>F150*0.6</f>
        <v>1903.1999999999998</v>
      </c>
      <c r="H150" s="38">
        <f>G150*I150</f>
        <v>1903.1999999999998</v>
      </c>
      <c r="I150" s="16">
        <v>1</v>
      </c>
      <c r="J150" s="17" t="s">
        <v>12</v>
      </c>
      <c r="K150" s="13" t="s">
        <v>16</v>
      </c>
      <c r="L150" s="15">
        <v>1903.1999999999998</v>
      </c>
    </row>
    <row r="151" spans="1:12" ht="21" customHeight="1" outlineLevel="2" x14ac:dyDescent="0.25">
      <c r="A151" s="16">
        <f t="shared" si="2"/>
        <v>150</v>
      </c>
      <c r="B151" s="12" t="str">
        <f>B150</f>
        <v>ЩР.4 (Блок 1)</v>
      </c>
      <c r="C151" s="13" t="s">
        <v>22</v>
      </c>
      <c r="D151" s="29" t="s">
        <v>101</v>
      </c>
      <c r="E151" s="12" t="s">
        <v>102</v>
      </c>
      <c r="F151" s="37">
        <v>8889</v>
      </c>
      <c r="G151" s="38">
        <f>F151*0.6</f>
        <v>5333.4</v>
      </c>
      <c r="H151" s="38">
        <f>G151*I151</f>
        <v>10666.8</v>
      </c>
      <c r="I151" s="16">
        <v>2</v>
      </c>
      <c r="J151" s="17" t="s">
        <v>12</v>
      </c>
      <c r="K151" s="13" t="s">
        <v>16</v>
      </c>
      <c r="L151" s="15">
        <v>10666.8</v>
      </c>
    </row>
    <row r="152" spans="1:12" ht="21" customHeight="1" outlineLevel="2" x14ac:dyDescent="0.25">
      <c r="A152" s="16">
        <f t="shared" si="2"/>
        <v>151</v>
      </c>
      <c r="B152" s="12" t="str">
        <f>B151</f>
        <v>ЩР.4 (Блок 1)</v>
      </c>
      <c r="C152" s="13" t="s">
        <v>22</v>
      </c>
      <c r="D152" s="29" t="s">
        <v>96</v>
      </c>
      <c r="E152" s="12" t="s">
        <v>97</v>
      </c>
      <c r="F152" s="37">
        <v>5069</v>
      </c>
      <c r="G152" s="38">
        <f>F152*0.6</f>
        <v>3041.4</v>
      </c>
      <c r="H152" s="38">
        <f>G152*I152</f>
        <v>30414</v>
      </c>
      <c r="I152" s="16">
        <v>10</v>
      </c>
      <c r="J152" s="17" t="s">
        <v>12</v>
      </c>
      <c r="K152" s="13" t="s">
        <v>16</v>
      </c>
      <c r="L152" s="15">
        <v>30414</v>
      </c>
    </row>
    <row r="153" spans="1:12" ht="24" customHeight="1" outlineLevel="2" x14ac:dyDescent="0.25">
      <c r="A153" s="12">
        <f t="shared" si="2"/>
        <v>152</v>
      </c>
      <c r="B153" s="12" t="str">
        <f>B152</f>
        <v>ЩР.4 (Блок 1)</v>
      </c>
      <c r="C153" s="12" t="s">
        <v>9</v>
      </c>
      <c r="D153" s="30" t="s">
        <v>9</v>
      </c>
      <c r="E153" s="12" t="s">
        <v>9</v>
      </c>
      <c r="F153" s="18">
        <f ca="1">OFFSET(F153,1,2)</f>
        <v>12000</v>
      </c>
      <c r="G153" s="38">
        <f ca="1">F153</f>
        <v>12000</v>
      </c>
      <c r="H153" s="38">
        <f ca="1">G153*I153</f>
        <v>12000</v>
      </c>
      <c r="I153" s="12">
        <v>1</v>
      </c>
      <c r="J153" s="12" t="s">
        <v>12</v>
      </c>
      <c r="K153" s="12" t="s">
        <v>9</v>
      </c>
      <c r="L153" s="15">
        <v>12000</v>
      </c>
    </row>
    <row r="154" spans="1:12" ht="21" customHeight="1" outlineLevel="2" x14ac:dyDescent="0.25">
      <c r="A154" s="12">
        <f t="shared" si="2"/>
        <v>153</v>
      </c>
      <c r="B154" s="12" t="str">
        <f>B153</f>
        <v>ЩР.4 (Блок 1)</v>
      </c>
      <c r="C154" s="12" t="s">
        <v>10</v>
      </c>
      <c r="D154" s="30" t="s">
        <v>10</v>
      </c>
      <c r="E154" s="12" t="s">
        <v>10</v>
      </c>
      <c r="F154" s="18">
        <v>2</v>
      </c>
      <c r="G154" s="38">
        <v>100</v>
      </c>
      <c r="H154" s="38">
        <f>60*F154*G154</f>
        <v>12000</v>
      </c>
      <c r="I154" s="12">
        <f>60*F154</f>
        <v>120</v>
      </c>
      <c r="J154" s="12" t="s">
        <v>12</v>
      </c>
      <c r="K154" s="12" t="s">
        <v>10</v>
      </c>
      <c r="L154" s="15">
        <v>12000</v>
      </c>
    </row>
    <row r="155" spans="1:12" ht="21" customHeight="1" outlineLevel="1" x14ac:dyDescent="0.25">
      <c r="A155" s="12"/>
      <c r="B155" s="12" t="s">
        <v>619</v>
      </c>
      <c r="C155" s="12"/>
      <c r="D155" s="30"/>
      <c r="E155" s="12"/>
      <c r="F155" s="18"/>
      <c r="G155" s="38"/>
      <c r="H155" s="38">
        <f ca="1">SUBTOTAL(9,H148:H154)</f>
        <v>80184</v>
      </c>
      <c r="I155" s="12"/>
      <c r="J155" s="12"/>
      <c r="K155" s="12"/>
      <c r="L155" s="15">
        <v>80184</v>
      </c>
    </row>
    <row r="156" spans="1:12" ht="39.75" customHeight="1" outlineLevel="2" x14ac:dyDescent="0.25">
      <c r="A156" s="10">
        <f>ROW(A154)</f>
        <v>154</v>
      </c>
      <c r="B156" s="6" t="str">
        <f>E156</f>
        <v>ЩР.5 (Блок 1)</v>
      </c>
      <c r="C156" s="6"/>
      <c r="D156" s="28"/>
      <c r="E156" s="6" t="s">
        <v>103</v>
      </c>
      <c r="F156" s="36"/>
      <c r="G156" s="36" t="s">
        <v>73</v>
      </c>
      <c r="H156" s="7"/>
      <c r="I156" s="10">
        <v>1</v>
      </c>
      <c r="J156" s="11" t="s">
        <v>6</v>
      </c>
      <c r="K156" s="6" t="s">
        <v>8</v>
      </c>
      <c r="L156" s="9"/>
    </row>
    <row r="157" spans="1:12" ht="21" customHeight="1" outlineLevel="2" x14ac:dyDescent="0.25">
      <c r="A157" s="16">
        <f t="shared" si="2"/>
        <v>156</v>
      </c>
      <c r="B157" s="12" t="str">
        <f>B156</f>
        <v>ЩР.5 (Блок 1)</v>
      </c>
      <c r="C157" s="13" t="s">
        <v>7</v>
      </c>
      <c r="D157" s="29" t="s">
        <v>472</v>
      </c>
      <c r="E157" s="12" t="s">
        <v>473</v>
      </c>
      <c r="F157" s="37">
        <v>22000</v>
      </c>
      <c r="G157" s="38">
        <f>F157*0.6</f>
        <v>13200</v>
      </c>
      <c r="H157" s="38">
        <f>I157*G157</f>
        <v>13200</v>
      </c>
      <c r="I157" s="16">
        <v>1</v>
      </c>
      <c r="J157" s="17" t="s">
        <v>12</v>
      </c>
      <c r="K157" s="13" t="s">
        <v>15</v>
      </c>
      <c r="L157" s="15">
        <v>13200</v>
      </c>
    </row>
    <row r="158" spans="1:12" ht="21" customHeight="1" outlineLevel="2" x14ac:dyDescent="0.25">
      <c r="A158" s="16">
        <f t="shared" si="2"/>
        <v>157</v>
      </c>
      <c r="B158" s="12" t="str">
        <f>B157</f>
        <v>ЩР.5 (Блок 1)</v>
      </c>
      <c r="C158" s="13" t="s">
        <v>11</v>
      </c>
      <c r="D158" s="29" t="s">
        <v>65</v>
      </c>
      <c r="E158" s="12" t="s">
        <v>66</v>
      </c>
      <c r="F158" s="37">
        <v>2807</v>
      </c>
      <c r="G158" s="38">
        <f>F158*0.6</f>
        <v>1684.2</v>
      </c>
      <c r="H158" s="38">
        <f>G158*I158</f>
        <v>1684.2</v>
      </c>
      <c r="I158" s="16">
        <v>1</v>
      </c>
      <c r="J158" s="17" t="s">
        <v>12</v>
      </c>
      <c r="K158" s="13" t="s">
        <v>16</v>
      </c>
      <c r="L158" s="15">
        <v>1684.2</v>
      </c>
    </row>
    <row r="159" spans="1:12" ht="21" customHeight="1" outlineLevel="2" x14ac:dyDescent="0.25">
      <c r="A159" s="16">
        <f t="shared" si="2"/>
        <v>158</v>
      </c>
      <c r="B159" s="12" t="str">
        <f>B158</f>
        <v>ЩР.5 (Блок 1)</v>
      </c>
      <c r="C159" s="13" t="s">
        <v>22</v>
      </c>
      <c r="D159" s="29" t="s">
        <v>96</v>
      </c>
      <c r="E159" s="12" t="s">
        <v>97</v>
      </c>
      <c r="F159" s="37">
        <v>5069</v>
      </c>
      <c r="G159" s="38">
        <f>F159*0.6</f>
        <v>3041.4</v>
      </c>
      <c r="H159" s="38">
        <f>G159*I159</f>
        <v>36496.800000000003</v>
      </c>
      <c r="I159" s="16">
        <v>12</v>
      </c>
      <c r="J159" s="17" t="s">
        <v>12</v>
      </c>
      <c r="K159" s="13" t="s">
        <v>16</v>
      </c>
      <c r="L159" s="15">
        <v>36496.800000000003</v>
      </c>
    </row>
    <row r="160" spans="1:12" ht="24" customHeight="1" outlineLevel="2" x14ac:dyDescent="0.25">
      <c r="A160" s="12">
        <f t="shared" si="2"/>
        <v>159</v>
      </c>
      <c r="B160" s="12" t="str">
        <f>B159</f>
        <v>ЩР.5 (Блок 1)</v>
      </c>
      <c r="C160" s="12" t="s">
        <v>9</v>
      </c>
      <c r="D160" s="30" t="s">
        <v>9</v>
      </c>
      <c r="E160" s="12" t="s">
        <v>9</v>
      </c>
      <c r="F160" s="18">
        <f ca="1">OFFSET(F160,1,2)</f>
        <v>12000</v>
      </c>
      <c r="G160" s="38">
        <f ca="1">F160</f>
        <v>12000</v>
      </c>
      <c r="H160" s="38">
        <f ca="1">G160*I160</f>
        <v>12000</v>
      </c>
      <c r="I160" s="12">
        <v>1</v>
      </c>
      <c r="J160" s="12" t="s">
        <v>12</v>
      </c>
      <c r="K160" s="12" t="s">
        <v>9</v>
      </c>
      <c r="L160" s="15">
        <v>12000</v>
      </c>
    </row>
    <row r="161" spans="1:12" ht="21" customHeight="1" outlineLevel="2" x14ac:dyDescent="0.25">
      <c r="A161" s="12">
        <f t="shared" si="2"/>
        <v>160</v>
      </c>
      <c r="B161" s="12" t="str">
        <f>B160</f>
        <v>ЩР.5 (Блок 1)</v>
      </c>
      <c r="C161" s="12" t="s">
        <v>10</v>
      </c>
      <c r="D161" s="30" t="s">
        <v>10</v>
      </c>
      <c r="E161" s="12" t="s">
        <v>10</v>
      </c>
      <c r="F161" s="18">
        <v>2</v>
      </c>
      <c r="G161" s="38">
        <v>100</v>
      </c>
      <c r="H161" s="38">
        <f>60*F161*G161</f>
        <v>12000</v>
      </c>
      <c r="I161" s="12">
        <f>60*F161</f>
        <v>120</v>
      </c>
      <c r="J161" s="12" t="s">
        <v>12</v>
      </c>
      <c r="K161" s="12" t="s">
        <v>10</v>
      </c>
      <c r="L161" s="15">
        <v>12000</v>
      </c>
    </row>
    <row r="162" spans="1:12" ht="21" customHeight="1" outlineLevel="1" x14ac:dyDescent="0.25">
      <c r="A162" s="12"/>
      <c r="B162" s="12" t="s">
        <v>620</v>
      </c>
      <c r="C162" s="12"/>
      <c r="D162" s="30"/>
      <c r="E162" s="12"/>
      <c r="F162" s="18"/>
      <c r="G162" s="38"/>
      <c r="H162" s="38">
        <f ca="1">SUBTOTAL(9,H156:H161)</f>
        <v>75381</v>
      </c>
      <c r="I162" s="12"/>
      <c r="J162" s="12"/>
      <c r="K162" s="12"/>
      <c r="L162" s="15">
        <v>75381</v>
      </c>
    </row>
    <row r="163" spans="1:12" ht="39.75" customHeight="1" outlineLevel="2" x14ac:dyDescent="0.25">
      <c r="A163" s="10">
        <f>ROW(A161)</f>
        <v>161</v>
      </c>
      <c r="B163" s="6" t="str">
        <f>E163</f>
        <v>ЩР.6 (Блок 1)</v>
      </c>
      <c r="C163" s="6"/>
      <c r="D163" s="28"/>
      <c r="E163" s="6" t="s">
        <v>104</v>
      </c>
      <c r="F163" s="36"/>
      <c r="G163" s="36" t="s">
        <v>73</v>
      </c>
      <c r="H163" s="7"/>
      <c r="I163" s="10">
        <v>1</v>
      </c>
      <c r="J163" s="11" t="s">
        <v>6</v>
      </c>
      <c r="K163" s="6" t="s">
        <v>8</v>
      </c>
      <c r="L163" s="9"/>
    </row>
    <row r="164" spans="1:12" ht="21" customHeight="1" outlineLevel="2" x14ac:dyDescent="0.25">
      <c r="A164" s="16">
        <f t="shared" si="2"/>
        <v>163</v>
      </c>
      <c r="B164" s="12" t="str">
        <f>B163</f>
        <v>ЩР.6 (Блок 1)</v>
      </c>
      <c r="C164" s="13" t="s">
        <v>7</v>
      </c>
      <c r="D164" s="29" t="s">
        <v>472</v>
      </c>
      <c r="E164" s="12" t="s">
        <v>473</v>
      </c>
      <c r="F164" s="37">
        <v>22000</v>
      </c>
      <c r="G164" s="38">
        <f>F164*0.6</f>
        <v>13200</v>
      </c>
      <c r="H164" s="38">
        <f>I164*G164</f>
        <v>13200</v>
      </c>
      <c r="I164" s="16">
        <v>1</v>
      </c>
      <c r="J164" s="17" t="s">
        <v>12</v>
      </c>
      <c r="K164" s="13" t="s">
        <v>15</v>
      </c>
      <c r="L164" s="15">
        <v>13200</v>
      </c>
    </row>
    <row r="165" spans="1:12" ht="21" customHeight="1" outlineLevel="2" x14ac:dyDescent="0.25">
      <c r="A165" s="16">
        <f t="shared" si="2"/>
        <v>164</v>
      </c>
      <c r="B165" s="12" t="str">
        <f>B164</f>
        <v>ЩР.6 (Блок 1)</v>
      </c>
      <c r="C165" s="13" t="s">
        <v>11</v>
      </c>
      <c r="D165" s="29" t="s">
        <v>28</v>
      </c>
      <c r="E165" s="12" t="s">
        <v>27</v>
      </c>
      <c r="F165" s="37">
        <v>2606</v>
      </c>
      <c r="G165" s="38">
        <f>F165*0.6</f>
        <v>1563.6</v>
      </c>
      <c r="H165" s="38">
        <f>G165*I165</f>
        <v>1563.6</v>
      </c>
      <c r="I165" s="16">
        <v>1</v>
      </c>
      <c r="J165" s="17" t="s">
        <v>12</v>
      </c>
      <c r="K165" s="13" t="s">
        <v>16</v>
      </c>
      <c r="L165" s="15">
        <v>1563.6</v>
      </c>
    </row>
    <row r="166" spans="1:12" ht="21" customHeight="1" outlineLevel="2" x14ac:dyDescent="0.25">
      <c r="A166" s="16">
        <f t="shared" si="2"/>
        <v>165</v>
      </c>
      <c r="B166" s="12" t="str">
        <f>B165</f>
        <v>ЩР.6 (Блок 1)</v>
      </c>
      <c r="C166" s="13" t="s">
        <v>22</v>
      </c>
      <c r="D166" s="29" t="s">
        <v>96</v>
      </c>
      <c r="E166" s="12" t="s">
        <v>97</v>
      </c>
      <c r="F166" s="37">
        <v>5069</v>
      </c>
      <c r="G166" s="38">
        <f>F166*0.6</f>
        <v>3041.4</v>
      </c>
      <c r="H166" s="38">
        <f>G166*I166</f>
        <v>33455.4</v>
      </c>
      <c r="I166" s="16">
        <v>11</v>
      </c>
      <c r="J166" s="17" t="s">
        <v>12</v>
      </c>
      <c r="K166" s="13" t="s">
        <v>16</v>
      </c>
      <c r="L166" s="15">
        <v>33455.4</v>
      </c>
    </row>
    <row r="167" spans="1:12" ht="24" customHeight="1" outlineLevel="2" x14ac:dyDescent="0.25">
      <c r="A167" s="12">
        <f t="shared" si="2"/>
        <v>166</v>
      </c>
      <c r="B167" s="12" t="str">
        <f>B166</f>
        <v>ЩР.6 (Блок 1)</v>
      </c>
      <c r="C167" s="12" t="s">
        <v>9</v>
      </c>
      <c r="D167" s="30" t="s">
        <v>9</v>
      </c>
      <c r="E167" s="12" t="s">
        <v>9</v>
      </c>
      <c r="F167" s="18">
        <f ca="1">OFFSET(F167,1,2)</f>
        <v>12000</v>
      </c>
      <c r="G167" s="38">
        <f ca="1">F167</f>
        <v>12000</v>
      </c>
      <c r="H167" s="38">
        <f ca="1">G167*I167</f>
        <v>12000</v>
      </c>
      <c r="I167" s="12">
        <v>1</v>
      </c>
      <c r="J167" s="12" t="s">
        <v>12</v>
      </c>
      <c r="K167" s="12" t="s">
        <v>9</v>
      </c>
      <c r="L167" s="15">
        <v>12000</v>
      </c>
    </row>
    <row r="168" spans="1:12" ht="21" customHeight="1" outlineLevel="2" x14ac:dyDescent="0.25">
      <c r="A168" s="12">
        <f t="shared" si="2"/>
        <v>167</v>
      </c>
      <c r="B168" s="12" t="str">
        <f>B167</f>
        <v>ЩР.6 (Блок 1)</v>
      </c>
      <c r="C168" s="12" t="s">
        <v>10</v>
      </c>
      <c r="D168" s="30" t="s">
        <v>10</v>
      </c>
      <c r="E168" s="12" t="s">
        <v>10</v>
      </c>
      <c r="F168" s="18">
        <v>2</v>
      </c>
      <c r="G168" s="38">
        <v>100</v>
      </c>
      <c r="H168" s="38">
        <f>60*F168*G168</f>
        <v>12000</v>
      </c>
      <c r="I168" s="12">
        <f>60*F168</f>
        <v>120</v>
      </c>
      <c r="J168" s="12" t="s">
        <v>12</v>
      </c>
      <c r="K168" s="12" t="s">
        <v>10</v>
      </c>
      <c r="L168" s="15">
        <v>12000</v>
      </c>
    </row>
    <row r="169" spans="1:12" ht="21" customHeight="1" outlineLevel="1" x14ac:dyDescent="0.25">
      <c r="A169" s="12"/>
      <c r="B169" s="12" t="s">
        <v>621</v>
      </c>
      <c r="C169" s="12"/>
      <c r="D169" s="30"/>
      <c r="E169" s="12"/>
      <c r="F169" s="18"/>
      <c r="G169" s="38"/>
      <c r="H169" s="38">
        <f ca="1">SUBTOTAL(9,H163:H168)</f>
        <v>72219</v>
      </c>
      <c r="I169" s="12"/>
      <c r="J169" s="12"/>
      <c r="K169" s="12"/>
      <c r="L169" s="15">
        <v>72219</v>
      </c>
    </row>
    <row r="170" spans="1:12" ht="39.75" customHeight="1" outlineLevel="2" x14ac:dyDescent="0.25">
      <c r="A170" s="10">
        <f>ROW(A168)</f>
        <v>168</v>
      </c>
      <c r="B170" s="6" t="str">
        <f>E170</f>
        <v>ЩР.7 (Блок 1)</v>
      </c>
      <c r="C170" s="6"/>
      <c r="D170" s="28"/>
      <c r="E170" s="6" t="s">
        <v>105</v>
      </c>
      <c r="F170" s="36"/>
      <c r="G170" s="36" t="s">
        <v>73</v>
      </c>
      <c r="H170" s="7"/>
      <c r="I170" s="10">
        <v>1</v>
      </c>
      <c r="J170" s="11" t="s">
        <v>6</v>
      </c>
      <c r="K170" s="6" t="s">
        <v>8</v>
      </c>
      <c r="L170" s="9"/>
    </row>
    <row r="171" spans="1:12" ht="21" customHeight="1" outlineLevel="2" x14ac:dyDescent="0.25">
      <c r="A171" s="16">
        <f t="shared" si="2"/>
        <v>170</v>
      </c>
      <c r="B171" s="12" t="str">
        <f>B170</f>
        <v>ЩР.7 (Блок 1)</v>
      </c>
      <c r="C171" s="13" t="s">
        <v>7</v>
      </c>
      <c r="D171" s="29" t="s">
        <v>468</v>
      </c>
      <c r="E171" s="12" t="s">
        <v>469</v>
      </c>
      <c r="F171" s="37">
        <v>15500</v>
      </c>
      <c r="G171" s="38">
        <f>F171*0.6</f>
        <v>9300</v>
      </c>
      <c r="H171" s="38">
        <f>I171*G171</f>
        <v>9300</v>
      </c>
      <c r="I171" s="16">
        <v>1</v>
      </c>
      <c r="J171" s="17" t="s">
        <v>12</v>
      </c>
      <c r="K171" s="13" t="s">
        <v>15</v>
      </c>
      <c r="L171" s="15">
        <v>9300</v>
      </c>
    </row>
    <row r="172" spans="1:12" ht="21" customHeight="1" outlineLevel="2" x14ac:dyDescent="0.25">
      <c r="A172" s="16">
        <f t="shared" si="2"/>
        <v>171</v>
      </c>
      <c r="B172" s="12" t="str">
        <f>B171</f>
        <v>ЩР.7 (Блок 1)</v>
      </c>
      <c r="C172" s="13" t="s">
        <v>11</v>
      </c>
      <c r="D172" s="29" t="s">
        <v>28</v>
      </c>
      <c r="E172" s="12" t="s">
        <v>27</v>
      </c>
      <c r="F172" s="37">
        <v>2606</v>
      </c>
      <c r="G172" s="38">
        <f>F172*0.6</f>
        <v>1563.6</v>
      </c>
      <c r="H172" s="38">
        <f>G172*I172</f>
        <v>1563.6</v>
      </c>
      <c r="I172" s="16">
        <v>1</v>
      </c>
      <c r="J172" s="17" t="s">
        <v>12</v>
      </c>
      <c r="K172" s="13" t="s">
        <v>16</v>
      </c>
      <c r="L172" s="15">
        <v>1563.6</v>
      </c>
    </row>
    <row r="173" spans="1:12" ht="21" customHeight="1" outlineLevel="2" x14ac:dyDescent="0.25">
      <c r="A173" s="16">
        <f t="shared" si="2"/>
        <v>172</v>
      </c>
      <c r="B173" s="12" t="str">
        <f>B172</f>
        <v>ЩР.7 (Блок 1)</v>
      </c>
      <c r="C173" s="13" t="s">
        <v>22</v>
      </c>
      <c r="D173" s="29" t="s">
        <v>96</v>
      </c>
      <c r="E173" s="12" t="s">
        <v>97</v>
      </c>
      <c r="F173" s="37">
        <v>5069</v>
      </c>
      <c r="G173" s="38">
        <f>F173*0.6</f>
        <v>3041.4</v>
      </c>
      <c r="H173" s="38">
        <f>G173*I173</f>
        <v>21289.8</v>
      </c>
      <c r="I173" s="16">
        <v>7</v>
      </c>
      <c r="J173" s="17" t="s">
        <v>12</v>
      </c>
      <c r="K173" s="13" t="s">
        <v>16</v>
      </c>
      <c r="L173" s="15">
        <v>21289.8</v>
      </c>
    </row>
    <row r="174" spans="1:12" ht="24" customHeight="1" outlineLevel="2" x14ac:dyDescent="0.25">
      <c r="A174" s="12">
        <f t="shared" si="2"/>
        <v>173</v>
      </c>
      <c r="B174" s="12" t="str">
        <f>B173</f>
        <v>ЩР.7 (Блок 1)</v>
      </c>
      <c r="C174" s="12" t="s">
        <v>9</v>
      </c>
      <c r="D174" s="30" t="s">
        <v>9</v>
      </c>
      <c r="E174" s="12" t="s">
        <v>9</v>
      </c>
      <c r="F174" s="18">
        <f ca="1">OFFSET(F174,1,2)</f>
        <v>9000</v>
      </c>
      <c r="G174" s="38">
        <f ca="1">F174</f>
        <v>9000</v>
      </c>
      <c r="H174" s="38">
        <f ca="1">G174*I174</f>
        <v>9000</v>
      </c>
      <c r="I174" s="12">
        <v>1</v>
      </c>
      <c r="J174" s="12" t="s">
        <v>12</v>
      </c>
      <c r="K174" s="12" t="s">
        <v>9</v>
      </c>
      <c r="L174" s="15">
        <v>9000</v>
      </c>
    </row>
    <row r="175" spans="1:12" ht="21" customHeight="1" outlineLevel="2" x14ac:dyDescent="0.25">
      <c r="A175" s="12">
        <f t="shared" si="2"/>
        <v>174</v>
      </c>
      <c r="B175" s="12" t="str">
        <f>B174</f>
        <v>ЩР.7 (Блок 1)</v>
      </c>
      <c r="C175" s="12" t="s">
        <v>10</v>
      </c>
      <c r="D175" s="30" t="s">
        <v>10</v>
      </c>
      <c r="E175" s="12" t="s">
        <v>10</v>
      </c>
      <c r="F175" s="18">
        <v>1.5</v>
      </c>
      <c r="G175" s="38">
        <v>100</v>
      </c>
      <c r="H175" s="38">
        <f>60*F175*G175</f>
        <v>9000</v>
      </c>
      <c r="I175" s="12">
        <f>60*F175</f>
        <v>90</v>
      </c>
      <c r="J175" s="12" t="s">
        <v>12</v>
      </c>
      <c r="K175" s="12" t="s">
        <v>10</v>
      </c>
      <c r="L175" s="15">
        <v>9000</v>
      </c>
    </row>
    <row r="176" spans="1:12" ht="21" customHeight="1" outlineLevel="1" x14ac:dyDescent="0.25">
      <c r="A176" s="12"/>
      <c r="B176" s="12" t="s">
        <v>622</v>
      </c>
      <c r="C176" s="12"/>
      <c r="D176" s="30"/>
      <c r="E176" s="12"/>
      <c r="F176" s="18"/>
      <c r="G176" s="38"/>
      <c r="H176" s="38">
        <f ca="1">SUBTOTAL(9,H170:H175)</f>
        <v>50153.4</v>
      </c>
      <c r="I176" s="12"/>
      <c r="J176" s="12"/>
      <c r="K176" s="12"/>
      <c r="L176" s="15">
        <v>50153.4</v>
      </c>
    </row>
    <row r="177" spans="1:12" ht="39.75" customHeight="1" outlineLevel="2" x14ac:dyDescent="0.25">
      <c r="A177" s="10">
        <f>ROW(A175)</f>
        <v>175</v>
      </c>
      <c r="B177" s="6" t="str">
        <f>E177</f>
        <v>ЩГП.1 (Блок 1)</v>
      </c>
      <c r="C177" s="6"/>
      <c r="D177" s="28"/>
      <c r="E177" s="6" t="s">
        <v>106</v>
      </c>
      <c r="F177" s="36"/>
      <c r="G177" s="36" t="s">
        <v>73</v>
      </c>
      <c r="H177" s="7"/>
      <c r="I177" s="10">
        <v>1</v>
      </c>
      <c r="J177" s="11" t="s">
        <v>6</v>
      </c>
      <c r="K177" s="6" t="s">
        <v>8</v>
      </c>
      <c r="L177" s="9"/>
    </row>
    <row r="178" spans="1:12" ht="21" customHeight="1" outlineLevel="2" x14ac:dyDescent="0.25">
      <c r="A178" s="16">
        <f t="shared" si="2"/>
        <v>177</v>
      </c>
      <c r="B178" s="12" t="str">
        <f>B177</f>
        <v>ЩГП.1 (Блок 1)</v>
      </c>
      <c r="C178" s="13" t="s">
        <v>7</v>
      </c>
      <c r="D178" s="29" t="s">
        <v>470</v>
      </c>
      <c r="E178" s="12" t="s">
        <v>471</v>
      </c>
      <c r="F178" s="37">
        <v>19000</v>
      </c>
      <c r="G178" s="38">
        <f>F178*0.6</f>
        <v>11400</v>
      </c>
      <c r="H178" s="38">
        <f>I178*G178</f>
        <v>11400</v>
      </c>
      <c r="I178" s="16">
        <v>1</v>
      </c>
      <c r="J178" s="17" t="s">
        <v>12</v>
      </c>
      <c r="K178" s="13" t="s">
        <v>15</v>
      </c>
      <c r="L178" s="15">
        <v>11400</v>
      </c>
    </row>
    <row r="179" spans="1:12" ht="21" customHeight="1" outlineLevel="2" x14ac:dyDescent="0.25">
      <c r="A179" s="16">
        <f t="shared" si="2"/>
        <v>178</v>
      </c>
      <c r="B179" s="12" t="str">
        <f>B178</f>
        <v>ЩГП.1 (Блок 1)</v>
      </c>
      <c r="C179" s="13" t="s">
        <v>11</v>
      </c>
      <c r="D179" s="29" t="s">
        <v>28</v>
      </c>
      <c r="E179" s="12" t="s">
        <v>27</v>
      </c>
      <c r="F179" s="37">
        <v>2606</v>
      </c>
      <c r="G179" s="38">
        <f>F179*0.6</f>
        <v>1563.6</v>
      </c>
      <c r="H179" s="38">
        <f>G179*I179</f>
        <v>1563.6</v>
      </c>
      <c r="I179" s="16">
        <v>1</v>
      </c>
      <c r="J179" s="17" t="s">
        <v>12</v>
      </c>
      <c r="K179" s="13" t="s">
        <v>16</v>
      </c>
      <c r="L179" s="15">
        <v>1563.6</v>
      </c>
    </row>
    <row r="180" spans="1:12" ht="21" customHeight="1" outlineLevel="2" x14ac:dyDescent="0.25">
      <c r="A180" s="16">
        <f t="shared" si="2"/>
        <v>179</v>
      </c>
      <c r="B180" s="12" t="str">
        <f>B179</f>
        <v>ЩГП.1 (Блок 1)</v>
      </c>
      <c r="C180" s="13" t="s">
        <v>22</v>
      </c>
      <c r="D180" s="29" t="s">
        <v>101</v>
      </c>
      <c r="E180" s="12" t="s">
        <v>102</v>
      </c>
      <c r="F180" s="37">
        <v>8889</v>
      </c>
      <c r="G180" s="38">
        <f>F180*0.6</f>
        <v>5333.4</v>
      </c>
      <c r="H180" s="38">
        <f>G180*I180</f>
        <v>5333.4</v>
      </c>
      <c r="I180" s="16">
        <v>1</v>
      </c>
      <c r="J180" s="17" t="s">
        <v>12</v>
      </c>
      <c r="K180" s="13" t="s">
        <v>16</v>
      </c>
      <c r="L180" s="15">
        <v>5333.4</v>
      </c>
    </row>
    <row r="181" spans="1:12" ht="21" customHeight="1" outlineLevel="2" x14ac:dyDescent="0.25">
      <c r="A181" s="16">
        <f t="shared" si="2"/>
        <v>180</v>
      </c>
      <c r="B181" s="12" t="str">
        <f>B180</f>
        <v>ЩГП.1 (Блок 1)</v>
      </c>
      <c r="C181" s="13" t="s">
        <v>22</v>
      </c>
      <c r="D181" s="29" t="s">
        <v>96</v>
      </c>
      <c r="E181" s="12" t="s">
        <v>97</v>
      </c>
      <c r="F181" s="37">
        <v>5069</v>
      </c>
      <c r="G181" s="38">
        <f>F181*0.6</f>
        <v>3041.4</v>
      </c>
      <c r="H181" s="38">
        <f>G181*I181</f>
        <v>21289.8</v>
      </c>
      <c r="I181" s="16">
        <v>7</v>
      </c>
      <c r="J181" s="17" t="s">
        <v>12</v>
      </c>
      <c r="K181" s="13" t="s">
        <v>16</v>
      </c>
      <c r="L181" s="15">
        <v>21289.8</v>
      </c>
    </row>
    <row r="182" spans="1:12" ht="24" customHeight="1" outlineLevel="2" x14ac:dyDescent="0.25">
      <c r="A182" s="12">
        <f t="shared" si="2"/>
        <v>181</v>
      </c>
      <c r="B182" s="12" t="str">
        <f>B181</f>
        <v>ЩГП.1 (Блок 1)</v>
      </c>
      <c r="C182" s="12" t="s">
        <v>9</v>
      </c>
      <c r="D182" s="30" t="s">
        <v>9</v>
      </c>
      <c r="E182" s="12" t="s">
        <v>9</v>
      </c>
      <c r="F182" s="18">
        <f ca="1">OFFSET(F182,1,2)</f>
        <v>12000</v>
      </c>
      <c r="G182" s="38">
        <f ca="1">F182</f>
        <v>12000</v>
      </c>
      <c r="H182" s="38">
        <f ca="1">G182*I182</f>
        <v>12000</v>
      </c>
      <c r="I182" s="12">
        <v>1</v>
      </c>
      <c r="J182" s="12" t="s">
        <v>12</v>
      </c>
      <c r="K182" s="12" t="s">
        <v>9</v>
      </c>
      <c r="L182" s="15">
        <v>12000</v>
      </c>
    </row>
    <row r="183" spans="1:12" ht="21" customHeight="1" outlineLevel="2" x14ac:dyDescent="0.25">
      <c r="A183" s="12">
        <f t="shared" si="2"/>
        <v>182</v>
      </c>
      <c r="B183" s="12" t="str">
        <f>B182</f>
        <v>ЩГП.1 (Блок 1)</v>
      </c>
      <c r="C183" s="12" t="s">
        <v>10</v>
      </c>
      <c r="D183" s="30" t="s">
        <v>10</v>
      </c>
      <c r="E183" s="12" t="s">
        <v>10</v>
      </c>
      <c r="F183" s="18">
        <v>2</v>
      </c>
      <c r="G183" s="38">
        <v>100</v>
      </c>
      <c r="H183" s="38">
        <f>60*F183*G183</f>
        <v>12000</v>
      </c>
      <c r="I183" s="12">
        <f>60*F183</f>
        <v>120</v>
      </c>
      <c r="J183" s="12" t="s">
        <v>12</v>
      </c>
      <c r="K183" s="12" t="s">
        <v>10</v>
      </c>
      <c r="L183" s="15">
        <v>12000</v>
      </c>
    </row>
    <row r="184" spans="1:12" ht="21" customHeight="1" outlineLevel="1" x14ac:dyDescent="0.25">
      <c r="A184" s="12"/>
      <c r="B184" s="12" t="s">
        <v>623</v>
      </c>
      <c r="C184" s="12"/>
      <c r="D184" s="30"/>
      <c r="E184" s="12"/>
      <c r="F184" s="18"/>
      <c r="G184" s="38"/>
      <c r="H184" s="38">
        <f ca="1">SUBTOTAL(9,H177:H183)</f>
        <v>63586.8</v>
      </c>
      <c r="I184" s="12"/>
      <c r="J184" s="12"/>
      <c r="K184" s="12"/>
      <c r="L184" s="15">
        <v>63586.8</v>
      </c>
    </row>
    <row r="185" spans="1:12" ht="39.75" customHeight="1" outlineLevel="2" x14ac:dyDescent="0.25">
      <c r="A185" s="10">
        <f>ROW(A183)</f>
        <v>183</v>
      </c>
      <c r="B185" s="6" t="str">
        <f>E185</f>
        <v>ЩГП.2 (Блок 1)</v>
      </c>
      <c r="C185" s="6"/>
      <c r="D185" s="28"/>
      <c r="E185" s="6" t="s">
        <v>107</v>
      </c>
      <c r="F185" s="36"/>
      <c r="G185" s="36" t="s">
        <v>73</v>
      </c>
      <c r="H185" s="7"/>
      <c r="I185" s="10">
        <v>1</v>
      </c>
      <c r="J185" s="11" t="s">
        <v>6</v>
      </c>
      <c r="K185" s="6" t="s">
        <v>8</v>
      </c>
      <c r="L185" s="9"/>
    </row>
    <row r="186" spans="1:12" ht="21" customHeight="1" outlineLevel="2" x14ac:dyDescent="0.25">
      <c r="A186" s="16">
        <f t="shared" si="2"/>
        <v>185</v>
      </c>
      <c r="B186" s="12" t="str">
        <f>B185</f>
        <v>ЩГП.2 (Блок 1)</v>
      </c>
      <c r="C186" s="13" t="s">
        <v>7</v>
      </c>
      <c r="D186" s="29" t="s">
        <v>470</v>
      </c>
      <c r="E186" s="12" t="s">
        <v>471</v>
      </c>
      <c r="F186" s="37">
        <v>19000</v>
      </c>
      <c r="G186" s="38">
        <f>F186*0.6</f>
        <v>11400</v>
      </c>
      <c r="H186" s="38">
        <f>I186*G186</f>
        <v>11400</v>
      </c>
      <c r="I186" s="16">
        <v>1</v>
      </c>
      <c r="J186" s="17" t="s">
        <v>12</v>
      </c>
      <c r="K186" s="13" t="s">
        <v>15</v>
      </c>
      <c r="L186" s="15">
        <v>11400</v>
      </c>
    </row>
    <row r="187" spans="1:12" ht="21" customHeight="1" outlineLevel="2" x14ac:dyDescent="0.25">
      <c r="A187" s="16">
        <f t="shared" si="2"/>
        <v>186</v>
      </c>
      <c r="B187" s="12" t="str">
        <f>B186</f>
        <v>ЩГП.2 (Блок 1)</v>
      </c>
      <c r="C187" s="13" t="s">
        <v>11</v>
      </c>
      <c r="D187" s="29" t="s">
        <v>28</v>
      </c>
      <c r="E187" s="12" t="s">
        <v>27</v>
      </c>
      <c r="F187" s="37">
        <v>2606</v>
      </c>
      <c r="G187" s="38">
        <f>F187*0.6</f>
        <v>1563.6</v>
      </c>
      <c r="H187" s="38">
        <f>G187*I187</f>
        <v>1563.6</v>
      </c>
      <c r="I187" s="16">
        <v>1</v>
      </c>
      <c r="J187" s="17" t="s">
        <v>12</v>
      </c>
      <c r="K187" s="13" t="s">
        <v>16</v>
      </c>
      <c r="L187" s="15">
        <v>1563.6</v>
      </c>
    </row>
    <row r="188" spans="1:12" ht="21" customHeight="1" outlineLevel="2" x14ac:dyDescent="0.25">
      <c r="A188" s="16">
        <f t="shared" si="2"/>
        <v>187</v>
      </c>
      <c r="B188" s="12" t="str">
        <f>B187</f>
        <v>ЩГП.2 (Блок 1)</v>
      </c>
      <c r="C188" s="13" t="s">
        <v>22</v>
      </c>
      <c r="D188" s="29" t="s">
        <v>101</v>
      </c>
      <c r="E188" s="12" t="s">
        <v>102</v>
      </c>
      <c r="F188" s="37">
        <v>8889</v>
      </c>
      <c r="G188" s="38">
        <f>F188*0.6</f>
        <v>5333.4</v>
      </c>
      <c r="H188" s="38">
        <f>G188*I188</f>
        <v>5333.4</v>
      </c>
      <c r="I188" s="16">
        <v>1</v>
      </c>
      <c r="J188" s="17" t="s">
        <v>12</v>
      </c>
      <c r="K188" s="13" t="s">
        <v>16</v>
      </c>
      <c r="L188" s="15">
        <v>5333.4</v>
      </c>
    </row>
    <row r="189" spans="1:12" ht="21" customHeight="1" outlineLevel="2" x14ac:dyDescent="0.25">
      <c r="A189" s="16">
        <f t="shared" si="2"/>
        <v>188</v>
      </c>
      <c r="B189" s="12" t="str">
        <f>B188</f>
        <v>ЩГП.2 (Блок 1)</v>
      </c>
      <c r="C189" s="13" t="s">
        <v>22</v>
      </c>
      <c r="D189" s="29" t="s">
        <v>96</v>
      </c>
      <c r="E189" s="12" t="s">
        <v>97</v>
      </c>
      <c r="F189" s="37">
        <v>5069</v>
      </c>
      <c r="G189" s="38">
        <f>F189*0.6</f>
        <v>3041.4</v>
      </c>
      <c r="H189" s="38">
        <f>G189*I189</f>
        <v>18248.400000000001</v>
      </c>
      <c r="I189" s="16">
        <v>6</v>
      </c>
      <c r="J189" s="17" t="s">
        <v>12</v>
      </c>
      <c r="K189" s="13" t="s">
        <v>16</v>
      </c>
      <c r="L189" s="15">
        <v>18248.400000000001</v>
      </c>
    </row>
    <row r="190" spans="1:12" ht="24" customHeight="1" outlineLevel="2" x14ac:dyDescent="0.25">
      <c r="A190" s="12">
        <f t="shared" si="2"/>
        <v>189</v>
      </c>
      <c r="B190" s="12" t="str">
        <f>B189</f>
        <v>ЩГП.2 (Блок 1)</v>
      </c>
      <c r="C190" s="12" t="s">
        <v>9</v>
      </c>
      <c r="D190" s="30" t="s">
        <v>9</v>
      </c>
      <c r="E190" s="12" t="s">
        <v>9</v>
      </c>
      <c r="F190" s="18">
        <f ca="1">OFFSET(F190,1,2)</f>
        <v>12000</v>
      </c>
      <c r="G190" s="38">
        <f ca="1">F190</f>
        <v>12000</v>
      </c>
      <c r="H190" s="38">
        <f ca="1">G190*I190</f>
        <v>12000</v>
      </c>
      <c r="I190" s="12">
        <v>1</v>
      </c>
      <c r="J190" s="12" t="s">
        <v>12</v>
      </c>
      <c r="K190" s="12" t="s">
        <v>9</v>
      </c>
      <c r="L190" s="15">
        <v>12000</v>
      </c>
    </row>
    <row r="191" spans="1:12" ht="21" customHeight="1" outlineLevel="2" x14ac:dyDescent="0.25">
      <c r="A191" s="12">
        <f t="shared" si="2"/>
        <v>190</v>
      </c>
      <c r="B191" s="12" t="str">
        <f>B190</f>
        <v>ЩГП.2 (Блок 1)</v>
      </c>
      <c r="C191" s="12" t="s">
        <v>10</v>
      </c>
      <c r="D191" s="30" t="s">
        <v>10</v>
      </c>
      <c r="E191" s="12" t="s">
        <v>10</v>
      </c>
      <c r="F191" s="18">
        <v>2</v>
      </c>
      <c r="G191" s="38">
        <v>100</v>
      </c>
      <c r="H191" s="38">
        <f>60*F191*G191</f>
        <v>12000</v>
      </c>
      <c r="I191" s="12">
        <f>60*F191</f>
        <v>120</v>
      </c>
      <c r="J191" s="12" t="s">
        <v>12</v>
      </c>
      <c r="K191" s="12" t="s">
        <v>10</v>
      </c>
      <c r="L191" s="15">
        <v>12000</v>
      </c>
    </row>
    <row r="192" spans="1:12" ht="21" customHeight="1" outlineLevel="1" x14ac:dyDescent="0.25">
      <c r="A192" s="12"/>
      <c r="B192" s="12" t="s">
        <v>624</v>
      </c>
      <c r="C192" s="12"/>
      <c r="D192" s="30"/>
      <c r="E192" s="12"/>
      <c r="F192" s="18"/>
      <c r="G192" s="38"/>
      <c r="H192" s="38">
        <f ca="1">SUBTOTAL(9,H185:H191)</f>
        <v>60545.4</v>
      </c>
      <c r="I192" s="12"/>
      <c r="J192" s="12"/>
      <c r="K192" s="12"/>
      <c r="L192" s="15">
        <v>60545.4</v>
      </c>
    </row>
    <row r="193" spans="1:12" ht="39.75" customHeight="1" outlineLevel="2" x14ac:dyDescent="0.25">
      <c r="A193" s="10">
        <f>ROW(A191)</f>
        <v>191</v>
      </c>
      <c r="B193" s="6" t="str">
        <f>E193</f>
        <v>ЩСС (Блок 1)</v>
      </c>
      <c r="C193" s="6"/>
      <c r="D193" s="28"/>
      <c r="E193" s="6" t="s">
        <v>108</v>
      </c>
      <c r="F193" s="36"/>
      <c r="G193" s="36" t="s">
        <v>73</v>
      </c>
      <c r="H193" s="7"/>
      <c r="I193" s="10">
        <v>1</v>
      </c>
      <c r="J193" s="11" t="s">
        <v>6</v>
      </c>
      <c r="K193" s="6" t="s">
        <v>8</v>
      </c>
      <c r="L193" s="9"/>
    </row>
    <row r="194" spans="1:12" ht="21" customHeight="1" outlineLevel="2" x14ac:dyDescent="0.25">
      <c r="A194" s="16">
        <f t="shared" si="2"/>
        <v>193</v>
      </c>
      <c r="B194" s="12" t="str">
        <f>B193</f>
        <v>ЩСС (Блок 1)</v>
      </c>
      <c r="C194" s="13" t="s">
        <v>7</v>
      </c>
      <c r="D194" s="29" t="s">
        <v>468</v>
      </c>
      <c r="E194" s="12" t="s">
        <v>469</v>
      </c>
      <c r="F194" s="37">
        <v>15500</v>
      </c>
      <c r="G194" s="38">
        <f>F194*0.6</f>
        <v>9300</v>
      </c>
      <c r="H194" s="38">
        <f>I194*G194</f>
        <v>9300</v>
      </c>
      <c r="I194" s="16">
        <v>1</v>
      </c>
      <c r="J194" s="17" t="s">
        <v>12</v>
      </c>
      <c r="K194" s="13" t="s">
        <v>15</v>
      </c>
      <c r="L194" s="15">
        <v>9300</v>
      </c>
    </row>
    <row r="195" spans="1:12" ht="21" customHeight="1" outlineLevel="2" x14ac:dyDescent="0.25">
      <c r="A195" s="16">
        <f t="shared" si="2"/>
        <v>194</v>
      </c>
      <c r="B195" s="12" t="str">
        <f>B194</f>
        <v>ЩСС (Блок 1)</v>
      </c>
      <c r="C195" s="13" t="s">
        <v>11</v>
      </c>
      <c r="D195" s="29" t="s">
        <v>28</v>
      </c>
      <c r="E195" s="12" t="s">
        <v>27</v>
      </c>
      <c r="F195" s="37">
        <v>2606</v>
      </c>
      <c r="G195" s="38">
        <f>F195*0.6</f>
        <v>1563.6</v>
      </c>
      <c r="H195" s="38">
        <f>G195*I195</f>
        <v>1563.6</v>
      </c>
      <c r="I195" s="16">
        <v>1</v>
      </c>
      <c r="J195" s="17" t="s">
        <v>12</v>
      </c>
      <c r="K195" s="13" t="s">
        <v>16</v>
      </c>
      <c r="L195" s="15">
        <v>1563.6</v>
      </c>
    </row>
    <row r="196" spans="1:12" ht="21" customHeight="1" outlineLevel="2" x14ac:dyDescent="0.25">
      <c r="A196" s="16">
        <f t="shared" si="2"/>
        <v>195</v>
      </c>
      <c r="B196" s="12" t="str">
        <f>B195</f>
        <v>ЩСС (Блок 1)</v>
      </c>
      <c r="C196" s="13" t="s">
        <v>22</v>
      </c>
      <c r="D196" s="29" t="s">
        <v>96</v>
      </c>
      <c r="E196" s="12" t="s">
        <v>97</v>
      </c>
      <c r="F196" s="37">
        <v>5069</v>
      </c>
      <c r="G196" s="38">
        <f>F196*0.6</f>
        <v>3041.4</v>
      </c>
      <c r="H196" s="38">
        <f>G196*I196</f>
        <v>18248.400000000001</v>
      </c>
      <c r="I196" s="16">
        <v>6</v>
      </c>
      <c r="J196" s="17" t="s">
        <v>12</v>
      </c>
      <c r="K196" s="13" t="s">
        <v>16</v>
      </c>
      <c r="L196" s="15">
        <v>18248.400000000001</v>
      </c>
    </row>
    <row r="197" spans="1:12" ht="24" customHeight="1" outlineLevel="2" x14ac:dyDescent="0.25">
      <c r="A197" s="12">
        <f t="shared" si="2"/>
        <v>196</v>
      </c>
      <c r="B197" s="12" t="str">
        <f>B196</f>
        <v>ЩСС (Блок 1)</v>
      </c>
      <c r="C197" s="12" t="s">
        <v>9</v>
      </c>
      <c r="D197" s="30" t="s">
        <v>9</v>
      </c>
      <c r="E197" s="12" t="s">
        <v>9</v>
      </c>
      <c r="F197" s="18">
        <f ca="1">OFFSET(F197,1,2)</f>
        <v>9000</v>
      </c>
      <c r="G197" s="38">
        <f ca="1">F197</f>
        <v>9000</v>
      </c>
      <c r="H197" s="38">
        <f ca="1">G197*I197</f>
        <v>9000</v>
      </c>
      <c r="I197" s="12">
        <v>1</v>
      </c>
      <c r="J197" s="12" t="s">
        <v>12</v>
      </c>
      <c r="K197" s="12" t="s">
        <v>9</v>
      </c>
      <c r="L197" s="15">
        <v>9000</v>
      </c>
    </row>
    <row r="198" spans="1:12" ht="21" customHeight="1" outlineLevel="2" x14ac:dyDescent="0.25">
      <c r="A198" s="12">
        <f t="shared" si="2"/>
        <v>197</v>
      </c>
      <c r="B198" s="12" t="str">
        <f>B197</f>
        <v>ЩСС (Блок 1)</v>
      </c>
      <c r="C198" s="12" t="s">
        <v>10</v>
      </c>
      <c r="D198" s="30" t="s">
        <v>10</v>
      </c>
      <c r="E198" s="12" t="s">
        <v>10</v>
      </c>
      <c r="F198" s="18">
        <v>1.5</v>
      </c>
      <c r="G198" s="38">
        <v>100</v>
      </c>
      <c r="H198" s="38">
        <f>60*F198*G198</f>
        <v>9000</v>
      </c>
      <c r="I198" s="12">
        <f>60*F198</f>
        <v>90</v>
      </c>
      <c r="J198" s="12" t="s">
        <v>12</v>
      </c>
      <c r="K198" s="12" t="s">
        <v>10</v>
      </c>
      <c r="L198" s="15">
        <v>9000</v>
      </c>
    </row>
    <row r="199" spans="1:12" ht="21" customHeight="1" outlineLevel="1" x14ac:dyDescent="0.25">
      <c r="A199" s="12"/>
      <c r="B199" s="12" t="s">
        <v>625</v>
      </c>
      <c r="C199" s="12"/>
      <c r="D199" s="30"/>
      <c r="E199" s="12"/>
      <c r="F199" s="18"/>
      <c r="G199" s="38"/>
      <c r="H199" s="38">
        <f ca="1">SUBTOTAL(9,H193:H198)</f>
        <v>47112</v>
      </c>
      <c r="I199" s="12"/>
      <c r="J199" s="12"/>
      <c r="K199" s="12"/>
      <c r="L199" s="15">
        <v>47112</v>
      </c>
    </row>
    <row r="200" spans="1:12" ht="39.75" customHeight="1" outlineLevel="2" x14ac:dyDescent="0.25">
      <c r="A200" s="10">
        <f>ROW(A198)</f>
        <v>198</v>
      </c>
      <c r="B200" s="6" t="str">
        <f>E200</f>
        <v>ЩСВ.1 (Блок 1)</v>
      </c>
      <c r="C200" s="6"/>
      <c r="D200" s="28"/>
      <c r="E200" s="6" t="s">
        <v>109</v>
      </c>
      <c r="F200" s="36"/>
      <c r="G200" s="36" t="s">
        <v>73</v>
      </c>
      <c r="H200" s="7"/>
      <c r="I200" s="10">
        <v>1</v>
      </c>
      <c r="J200" s="11" t="s">
        <v>6</v>
      </c>
      <c r="K200" s="6" t="s">
        <v>8</v>
      </c>
      <c r="L200" s="9"/>
    </row>
    <row r="201" spans="1:12" ht="21" customHeight="1" outlineLevel="2" x14ac:dyDescent="0.25">
      <c r="A201" s="16">
        <f t="shared" si="2"/>
        <v>200</v>
      </c>
      <c r="B201" s="12" t="str">
        <f>B200</f>
        <v>ЩСВ.1 (Блок 1)</v>
      </c>
      <c r="C201" s="13" t="s">
        <v>7</v>
      </c>
      <c r="D201" s="29" t="s">
        <v>472</v>
      </c>
      <c r="E201" s="12" t="s">
        <v>473</v>
      </c>
      <c r="F201" s="37">
        <v>22000</v>
      </c>
      <c r="G201" s="38">
        <f>F201*0.6</f>
        <v>13200</v>
      </c>
      <c r="H201" s="38">
        <f>I201*G201</f>
        <v>13200</v>
      </c>
      <c r="I201" s="16">
        <v>1</v>
      </c>
      <c r="J201" s="17" t="s">
        <v>12</v>
      </c>
      <c r="K201" s="13" t="s">
        <v>15</v>
      </c>
      <c r="L201" s="15">
        <v>13200</v>
      </c>
    </row>
    <row r="202" spans="1:12" ht="21" customHeight="1" outlineLevel="2" x14ac:dyDescent="0.25">
      <c r="A202" s="16">
        <f t="shared" si="2"/>
        <v>201</v>
      </c>
      <c r="B202" s="12" t="str">
        <f>B201</f>
        <v>ЩСВ.1 (Блок 1)</v>
      </c>
      <c r="C202" s="13" t="s">
        <v>11</v>
      </c>
      <c r="D202" s="29" t="s">
        <v>82</v>
      </c>
      <c r="E202" s="12" t="s">
        <v>83</v>
      </c>
      <c r="F202" s="37">
        <v>3641</v>
      </c>
      <c r="G202" s="38">
        <f>F202*0.6</f>
        <v>2184.6</v>
      </c>
      <c r="H202" s="38">
        <f>G202*I202</f>
        <v>2184.6</v>
      </c>
      <c r="I202" s="16">
        <v>1</v>
      </c>
      <c r="J202" s="17" t="s">
        <v>12</v>
      </c>
      <c r="K202" s="13" t="s">
        <v>16</v>
      </c>
      <c r="L202" s="15">
        <v>2184.6</v>
      </c>
    </row>
    <row r="203" spans="1:12" ht="21" customHeight="1" outlineLevel="2" x14ac:dyDescent="0.25">
      <c r="A203" s="16">
        <f t="shared" si="2"/>
        <v>202</v>
      </c>
      <c r="B203" s="12" t="str">
        <f>B202</f>
        <v>ЩСВ.1 (Блок 1)</v>
      </c>
      <c r="C203" s="13" t="s">
        <v>596</v>
      </c>
      <c r="D203" s="29" t="s">
        <v>45</v>
      </c>
      <c r="E203" s="12" t="s">
        <v>46</v>
      </c>
      <c r="F203" s="37">
        <v>5354</v>
      </c>
      <c r="G203" s="38">
        <f>F203*0.6</f>
        <v>3212.4</v>
      </c>
      <c r="H203" s="38">
        <f>G203*I203</f>
        <v>3212.4</v>
      </c>
      <c r="I203" s="16">
        <v>1</v>
      </c>
      <c r="J203" s="17" t="s">
        <v>12</v>
      </c>
      <c r="K203" s="13" t="s">
        <v>16</v>
      </c>
      <c r="L203" s="15">
        <v>3212.4</v>
      </c>
    </row>
    <row r="204" spans="1:12" ht="21" customHeight="1" outlineLevel="2" x14ac:dyDescent="0.25">
      <c r="A204" s="16">
        <f t="shared" si="2"/>
        <v>203</v>
      </c>
      <c r="B204" s="12" t="str">
        <f>B203</f>
        <v>ЩСВ.1 (Блок 1)</v>
      </c>
      <c r="C204" s="13" t="s">
        <v>11</v>
      </c>
      <c r="D204" s="29" t="s">
        <v>20</v>
      </c>
      <c r="E204" s="12" t="s">
        <v>21</v>
      </c>
      <c r="F204" s="37">
        <v>2429</v>
      </c>
      <c r="G204" s="38">
        <f>F204*0.6</f>
        <v>1457.3999999999999</v>
      </c>
      <c r="H204" s="38">
        <f>G204*I204</f>
        <v>17488.8</v>
      </c>
      <c r="I204" s="16">
        <v>12</v>
      </c>
      <c r="J204" s="17" t="s">
        <v>12</v>
      </c>
      <c r="K204" s="13" t="s">
        <v>16</v>
      </c>
      <c r="L204" s="15">
        <v>17488.8</v>
      </c>
    </row>
    <row r="205" spans="1:12" ht="24" customHeight="1" outlineLevel="2" x14ac:dyDescent="0.25">
      <c r="A205" s="12">
        <f t="shared" si="2"/>
        <v>204</v>
      </c>
      <c r="B205" s="12" t="str">
        <f>B204</f>
        <v>ЩСВ.1 (Блок 1)</v>
      </c>
      <c r="C205" s="12" t="s">
        <v>9</v>
      </c>
      <c r="D205" s="30" t="s">
        <v>9</v>
      </c>
      <c r="E205" s="12" t="s">
        <v>9</v>
      </c>
      <c r="F205" s="18">
        <f ca="1">OFFSET(F205,1,2)</f>
        <v>12000</v>
      </c>
      <c r="G205" s="38">
        <f ca="1">F205</f>
        <v>12000</v>
      </c>
      <c r="H205" s="38">
        <f ca="1">G205*I205</f>
        <v>12000</v>
      </c>
      <c r="I205" s="12">
        <v>1</v>
      </c>
      <c r="J205" s="12" t="s">
        <v>12</v>
      </c>
      <c r="K205" s="12" t="s">
        <v>9</v>
      </c>
      <c r="L205" s="15">
        <v>12000</v>
      </c>
    </row>
    <row r="206" spans="1:12" ht="21" customHeight="1" outlineLevel="2" x14ac:dyDescent="0.25">
      <c r="A206" s="12">
        <f t="shared" si="2"/>
        <v>205</v>
      </c>
      <c r="B206" s="12" t="str">
        <f>B205</f>
        <v>ЩСВ.1 (Блок 1)</v>
      </c>
      <c r="C206" s="12" t="s">
        <v>10</v>
      </c>
      <c r="D206" s="30" t="s">
        <v>10</v>
      </c>
      <c r="E206" s="12" t="s">
        <v>10</v>
      </c>
      <c r="F206" s="18">
        <v>2</v>
      </c>
      <c r="G206" s="38">
        <v>100</v>
      </c>
      <c r="H206" s="38">
        <f>60*F206*G206</f>
        <v>12000</v>
      </c>
      <c r="I206" s="12">
        <f>60*F206</f>
        <v>120</v>
      </c>
      <c r="J206" s="12" t="s">
        <v>12</v>
      </c>
      <c r="K206" s="12" t="s">
        <v>10</v>
      </c>
      <c r="L206" s="15">
        <v>12000</v>
      </c>
    </row>
    <row r="207" spans="1:12" ht="21" customHeight="1" outlineLevel="1" x14ac:dyDescent="0.25">
      <c r="A207" s="12"/>
      <c r="B207" s="12" t="s">
        <v>626</v>
      </c>
      <c r="C207" s="12"/>
      <c r="D207" s="30"/>
      <c r="E207" s="12"/>
      <c r="F207" s="18"/>
      <c r="G207" s="38"/>
      <c r="H207" s="38">
        <f ca="1">SUBTOTAL(9,H200:H206)</f>
        <v>60085.8</v>
      </c>
      <c r="I207" s="12"/>
      <c r="J207" s="12"/>
      <c r="K207" s="12"/>
      <c r="L207" s="15">
        <v>60085.8</v>
      </c>
    </row>
    <row r="208" spans="1:12" ht="39.75" customHeight="1" outlineLevel="2" x14ac:dyDescent="0.25">
      <c r="A208" s="10">
        <f>ROW(A206)</f>
        <v>206</v>
      </c>
      <c r="B208" s="6" t="str">
        <f>E208</f>
        <v>ЩСВ.2 (Блок 1)</v>
      </c>
      <c r="C208" s="6"/>
      <c r="D208" s="28"/>
      <c r="E208" s="6" t="s">
        <v>110</v>
      </c>
      <c r="F208" s="36"/>
      <c r="G208" s="36" t="s">
        <v>73</v>
      </c>
      <c r="H208" s="7"/>
      <c r="I208" s="10">
        <v>1</v>
      </c>
      <c r="J208" s="11" t="s">
        <v>6</v>
      </c>
      <c r="K208" s="6" t="s">
        <v>8</v>
      </c>
      <c r="L208" s="9"/>
    </row>
    <row r="209" spans="1:13" ht="21" customHeight="1" outlineLevel="2" x14ac:dyDescent="0.25">
      <c r="A209" s="16">
        <f t="shared" si="2"/>
        <v>208</v>
      </c>
      <c r="B209" s="12" t="str">
        <f>B208</f>
        <v>ЩСВ.2 (Блок 1)</v>
      </c>
      <c r="C209" s="13" t="s">
        <v>7</v>
      </c>
      <c r="D209" s="29" t="s">
        <v>576</v>
      </c>
      <c r="E209" s="12" t="s">
        <v>577</v>
      </c>
      <c r="F209" s="37">
        <v>125000</v>
      </c>
      <c r="G209" s="38">
        <f>F209*0.6</f>
        <v>75000</v>
      </c>
      <c r="H209" s="38">
        <f>I209*G209</f>
        <v>75000</v>
      </c>
      <c r="I209" s="16">
        <v>1</v>
      </c>
      <c r="J209" s="17" t="s">
        <v>12</v>
      </c>
      <c r="K209" s="13" t="s">
        <v>15</v>
      </c>
      <c r="L209" s="15">
        <v>75000</v>
      </c>
    </row>
    <row r="210" spans="1:13" ht="21" customHeight="1" outlineLevel="2" x14ac:dyDescent="0.25">
      <c r="A210" s="16">
        <f t="shared" si="2"/>
        <v>209</v>
      </c>
      <c r="B210" s="12" t="str">
        <f>B209</f>
        <v>ЩСВ.2 (Блок 1)</v>
      </c>
      <c r="C210" s="13" t="s">
        <v>11</v>
      </c>
      <c r="D210" s="29" t="s">
        <v>65</v>
      </c>
      <c r="E210" s="12" t="s">
        <v>66</v>
      </c>
      <c r="F210" s="37">
        <v>2807</v>
      </c>
      <c r="G210" s="38">
        <f>F210*0.6</f>
        <v>1684.2</v>
      </c>
      <c r="H210" s="38">
        <f>G210*I210</f>
        <v>1684.2</v>
      </c>
      <c r="I210" s="16">
        <v>1</v>
      </c>
      <c r="J210" s="17" t="s">
        <v>12</v>
      </c>
      <c r="K210" s="13" t="s">
        <v>16</v>
      </c>
      <c r="L210" s="15">
        <v>1684.2</v>
      </c>
    </row>
    <row r="211" spans="1:13" ht="21" customHeight="1" outlineLevel="2" x14ac:dyDescent="0.25">
      <c r="A211" s="16">
        <f t="shared" si="2"/>
        <v>210</v>
      </c>
      <c r="B211" s="12" t="str">
        <f>B210</f>
        <v>ЩСВ.2 (Блок 1)</v>
      </c>
      <c r="C211" s="13" t="s">
        <v>596</v>
      </c>
      <c r="D211" s="29" t="s">
        <v>45</v>
      </c>
      <c r="E211" s="12" t="s">
        <v>46</v>
      </c>
      <c r="F211" s="37">
        <v>5354</v>
      </c>
      <c r="G211" s="38">
        <f>F211*0.6</f>
        <v>3212.4</v>
      </c>
      <c r="H211" s="38">
        <f>G211*I211</f>
        <v>3212.4</v>
      </c>
      <c r="I211" s="16">
        <v>1</v>
      </c>
      <c r="J211" s="17" t="s">
        <v>12</v>
      </c>
      <c r="K211" s="13" t="s">
        <v>16</v>
      </c>
      <c r="L211" s="15">
        <v>3212.4</v>
      </c>
    </row>
    <row r="212" spans="1:13" ht="21" customHeight="1" outlineLevel="2" x14ac:dyDescent="0.25">
      <c r="A212" s="16">
        <f t="shared" si="2"/>
        <v>211</v>
      </c>
      <c r="B212" s="12" t="str">
        <f>B211</f>
        <v>ЩСВ.2 (Блок 1)</v>
      </c>
      <c r="C212" s="13" t="s">
        <v>11</v>
      </c>
      <c r="D212" s="29" t="s">
        <v>51</v>
      </c>
      <c r="E212" s="12" t="s">
        <v>52</v>
      </c>
      <c r="F212" s="37">
        <v>2337</v>
      </c>
      <c r="G212" s="38">
        <f>F212*0.6</f>
        <v>1402.2</v>
      </c>
      <c r="H212" s="38">
        <f>G212*I212</f>
        <v>15424.2</v>
      </c>
      <c r="I212" s="16">
        <v>11</v>
      </c>
      <c r="J212" s="17" t="s">
        <v>12</v>
      </c>
      <c r="K212" s="13" t="s">
        <v>16</v>
      </c>
      <c r="L212" s="15">
        <v>15424.2</v>
      </c>
    </row>
    <row r="213" spans="1:13" ht="21" customHeight="1" outlineLevel="2" x14ac:dyDescent="0.25">
      <c r="A213" s="16">
        <f t="shared" si="2"/>
        <v>212</v>
      </c>
      <c r="B213" s="12" t="str">
        <f>B212</f>
        <v>ЩСВ.2 (Блок 1)</v>
      </c>
      <c r="C213" s="13" t="s">
        <v>11</v>
      </c>
      <c r="D213" s="29" t="s">
        <v>53</v>
      </c>
      <c r="E213" s="12" t="s">
        <v>54</v>
      </c>
      <c r="F213" s="37">
        <v>783</v>
      </c>
      <c r="G213" s="38">
        <f>F213*0.6</f>
        <v>469.79999999999995</v>
      </c>
      <c r="H213" s="38">
        <f>G213*I213</f>
        <v>7986.5999999999995</v>
      </c>
      <c r="I213" s="16">
        <v>17</v>
      </c>
      <c r="J213" s="17" t="s">
        <v>12</v>
      </c>
      <c r="K213" s="13" t="s">
        <v>16</v>
      </c>
      <c r="L213" s="15">
        <v>7986.5999999999995</v>
      </c>
    </row>
    <row r="214" spans="1:13" ht="21" customHeight="1" outlineLevel="2" x14ac:dyDescent="0.25">
      <c r="A214" s="16">
        <f t="shared" si="2"/>
        <v>213</v>
      </c>
      <c r="B214" s="12" t="str">
        <f>B213</f>
        <v>ЩСВ.2 (Блок 1)</v>
      </c>
      <c r="C214" s="13" t="s">
        <v>48</v>
      </c>
      <c r="D214" s="29" t="s">
        <v>133</v>
      </c>
      <c r="E214" s="12" t="s">
        <v>134</v>
      </c>
      <c r="F214" s="37">
        <v>5109</v>
      </c>
      <c r="G214" s="38">
        <f>F214*0.6</f>
        <v>3065.4</v>
      </c>
      <c r="H214" s="38">
        <f>G214*I214</f>
        <v>33719.4</v>
      </c>
      <c r="I214" s="16">
        <v>11</v>
      </c>
      <c r="J214" s="17" t="s">
        <v>12</v>
      </c>
      <c r="K214" s="13" t="s">
        <v>16</v>
      </c>
      <c r="L214" s="15">
        <v>33719.4</v>
      </c>
    </row>
    <row r="215" spans="1:13" ht="21" customHeight="1" outlineLevel="2" x14ac:dyDescent="0.25">
      <c r="A215" s="16">
        <f t="shared" si="2"/>
        <v>214</v>
      </c>
      <c r="B215" s="12" t="str">
        <f>B214</f>
        <v>ЩСВ.2 (Блок 1)</v>
      </c>
      <c r="C215" s="13" t="s">
        <v>48</v>
      </c>
      <c r="D215" s="29" t="s">
        <v>49</v>
      </c>
      <c r="E215" s="12" t="s">
        <v>50</v>
      </c>
      <c r="F215" s="37">
        <v>5214</v>
      </c>
      <c r="G215" s="38">
        <f>F215*0.6</f>
        <v>3128.4</v>
      </c>
      <c r="H215" s="38">
        <f>G215*I215</f>
        <v>53182.8</v>
      </c>
      <c r="I215" s="16">
        <v>17</v>
      </c>
      <c r="J215" s="17" t="s">
        <v>12</v>
      </c>
      <c r="K215" s="13" t="s">
        <v>16</v>
      </c>
      <c r="L215" s="15">
        <v>53182.8</v>
      </c>
    </row>
    <row r="216" spans="1:13" ht="24" customHeight="1" outlineLevel="2" x14ac:dyDescent="0.25">
      <c r="A216" s="12">
        <f t="shared" si="2"/>
        <v>215</v>
      </c>
      <c r="B216" s="12" t="str">
        <f>B215</f>
        <v>ЩСВ.2 (Блок 1)</v>
      </c>
      <c r="C216" s="12" t="s">
        <v>9</v>
      </c>
      <c r="D216" s="30" t="s">
        <v>9</v>
      </c>
      <c r="E216" s="12" t="s">
        <v>9</v>
      </c>
      <c r="F216" s="18">
        <f ca="1">OFFSET(F216,1,2)</f>
        <v>48000</v>
      </c>
      <c r="G216" s="38">
        <f ca="1">F216</f>
        <v>48000</v>
      </c>
      <c r="H216" s="38">
        <f ca="1">G216*I216</f>
        <v>48000</v>
      </c>
      <c r="I216" s="12">
        <v>1</v>
      </c>
      <c r="J216" s="12" t="s">
        <v>12</v>
      </c>
      <c r="K216" s="12" t="s">
        <v>9</v>
      </c>
      <c r="L216" s="15">
        <v>48000</v>
      </c>
    </row>
    <row r="217" spans="1:13" ht="21" customHeight="1" outlineLevel="2" x14ac:dyDescent="0.25">
      <c r="A217" s="12">
        <f t="shared" si="2"/>
        <v>216</v>
      </c>
      <c r="B217" s="12" t="str">
        <f>B216</f>
        <v>ЩСВ.2 (Блок 1)</v>
      </c>
      <c r="C217" s="12" t="s">
        <v>10</v>
      </c>
      <c r="D217" s="30" t="s">
        <v>10</v>
      </c>
      <c r="E217" s="12" t="s">
        <v>10</v>
      </c>
      <c r="F217" s="18">
        <v>8</v>
      </c>
      <c r="G217" s="38">
        <v>100</v>
      </c>
      <c r="H217" s="38">
        <f>60*F217*G217</f>
        <v>48000</v>
      </c>
      <c r="I217" s="12">
        <f>60*F217</f>
        <v>480</v>
      </c>
      <c r="J217" s="12" t="s">
        <v>12</v>
      </c>
      <c r="K217" s="12" t="s">
        <v>10</v>
      </c>
      <c r="L217" s="15">
        <v>48000</v>
      </c>
    </row>
    <row r="218" spans="1:13" ht="21" customHeight="1" outlineLevel="1" x14ac:dyDescent="0.25">
      <c r="A218" s="12"/>
      <c r="B218" s="12" t="s">
        <v>627</v>
      </c>
      <c r="C218" s="12"/>
      <c r="D218" s="30"/>
      <c r="E218" s="12"/>
      <c r="F218" s="18"/>
      <c r="G218" s="38"/>
      <c r="H218" s="38">
        <f ca="1">SUBTOTAL(9,H208:H217)</f>
        <v>286209.59999999998</v>
      </c>
      <c r="I218" s="12"/>
      <c r="J218" s="12"/>
      <c r="K218" s="12"/>
      <c r="L218" s="15">
        <v>286209.59999999998</v>
      </c>
    </row>
    <row r="219" spans="1:13" ht="39.75" customHeight="1" outlineLevel="2" x14ac:dyDescent="0.25">
      <c r="A219" s="10">
        <f>ROW(A217)</f>
        <v>217</v>
      </c>
      <c r="B219" s="6" t="str">
        <f>E219</f>
        <v>ЩДУ.1 (Блок 1)</v>
      </c>
      <c r="C219" s="6"/>
      <c r="D219" s="28"/>
      <c r="E219" s="6" t="s">
        <v>111</v>
      </c>
      <c r="F219" s="36"/>
      <c r="G219" s="36" t="s">
        <v>73</v>
      </c>
      <c r="H219" s="7"/>
      <c r="I219" s="10">
        <v>1</v>
      </c>
      <c r="J219" s="11" t="s">
        <v>6</v>
      </c>
      <c r="K219" s="6" t="s">
        <v>8</v>
      </c>
      <c r="L219" s="9"/>
    </row>
    <row r="220" spans="1:13" ht="21" customHeight="1" outlineLevel="2" x14ac:dyDescent="0.25">
      <c r="A220" s="16">
        <f t="shared" si="2"/>
        <v>219</v>
      </c>
      <c r="B220" s="12" t="str">
        <f>B219</f>
        <v>ЩДУ.1 (Блок 1)</v>
      </c>
      <c r="C220" s="13" t="s">
        <v>7</v>
      </c>
      <c r="D220" s="29" t="s">
        <v>503</v>
      </c>
      <c r="E220" s="12" t="s">
        <v>504</v>
      </c>
      <c r="F220" s="37">
        <v>26770</v>
      </c>
      <c r="G220" s="38">
        <f>F220*0.6</f>
        <v>16062</v>
      </c>
      <c r="H220" s="38">
        <f>I220*G220</f>
        <v>16062</v>
      </c>
      <c r="I220" s="16">
        <v>1</v>
      </c>
      <c r="J220" s="17" t="s">
        <v>12</v>
      </c>
      <c r="K220" s="13" t="s">
        <v>15</v>
      </c>
      <c r="L220" s="15">
        <v>16062</v>
      </c>
    </row>
    <row r="221" spans="1:13" ht="21" customHeight="1" outlineLevel="2" x14ac:dyDescent="0.25">
      <c r="A221" s="16">
        <f t="shared" si="2"/>
        <v>220</v>
      </c>
      <c r="B221" s="12" t="str">
        <f>B220</f>
        <v>ЩДУ.1 (Блок 1)</v>
      </c>
      <c r="C221" s="13" t="s">
        <v>11</v>
      </c>
      <c r="D221" s="29" t="s">
        <v>28</v>
      </c>
      <c r="E221" s="12" t="s">
        <v>27</v>
      </c>
      <c r="F221" s="37">
        <v>2606</v>
      </c>
      <c r="G221" s="38">
        <f>F221*0.6</f>
        <v>1563.6</v>
      </c>
      <c r="H221" s="38">
        <f>G221*I221</f>
        <v>1563.6</v>
      </c>
      <c r="I221" s="16">
        <v>1</v>
      </c>
      <c r="J221" s="17" t="s">
        <v>12</v>
      </c>
      <c r="K221" s="13" t="s">
        <v>16</v>
      </c>
      <c r="L221" s="15">
        <v>1563.6</v>
      </c>
    </row>
    <row r="222" spans="1:13" ht="21" customHeight="1" outlineLevel="2" x14ac:dyDescent="0.25">
      <c r="A222" s="16">
        <f t="shared" ref="A222:A294" si="3">ROW(A221)</f>
        <v>221</v>
      </c>
      <c r="B222" s="12" t="str">
        <f>B221</f>
        <v>ЩДУ.1 (Блок 1)</v>
      </c>
      <c r="C222" s="13" t="s">
        <v>11</v>
      </c>
      <c r="D222" s="29" t="s">
        <v>53</v>
      </c>
      <c r="E222" s="12" t="s">
        <v>54</v>
      </c>
      <c r="F222" s="37">
        <v>783</v>
      </c>
      <c r="G222" s="38">
        <f>F222*0.6</f>
        <v>469.79999999999995</v>
      </c>
      <c r="H222" s="38">
        <f>G222*I222</f>
        <v>4228.2</v>
      </c>
      <c r="I222" s="16">
        <v>9</v>
      </c>
      <c r="J222" s="17" t="s">
        <v>12</v>
      </c>
      <c r="K222" s="13" t="s">
        <v>16</v>
      </c>
      <c r="L222" s="15">
        <v>4228.2</v>
      </c>
      <c r="M222" t="s">
        <v>438</v>
      </c>
    </row>
    <row r="223" spans="1:13" ht="21" customHeight="1" outlineLevel="2" x14ac:dyDescent="0.25">
      <c r="A223" s="16">
        <f t="shared" si="3"/>
        <v>222</v>
      </c>
      <c r="B223" s="12" t="str">
        <f>B222</f>
        <v>ЩДУ.1 (Блок 1)</v>
      </c>
      <c r="C223" s="13" t="s">
        <v>48</v>
      </c>
      <c r="D223" s="29" t="s">
        <v>133</v>
      </c>
      <c r="E223" s="12" t="s">
        <v>134</v>
      </c>
      <c r="F223" s="37">
        <v>5109</v>
      </c>
      <c r="G223" s="38">
        <f>F223*0.6</f>
        <v>3065.4</v>
      </c>
      <c r="H223" s="38">
        <f>G223*I223</f>
        <v>3065.4</v>
      </c>
      <c r="I223" s="16">
        <v>1</v>
      </c>
      <c r="J223" s="17" t="s">
        <v>12</v>
      </c>
      <c r="K223" s="13" t="s">
        <v>16</v>
      </c>
      <c r="L223" s="15">
        <v>3065.4</v>
      </c>
    </row>
    <row r="224" spans="1:13" ht="21" customHeight="1" outlineLevel="2" x14ac:dyDescent="0.25">
      <c r="A224" s="16">
        <f t="shared" si="3"/>
        <v>223</v>
      </c>
      <c r="B224" s="12" t="str">
        <f>B223</f>
        <v>ЩДУ.1 (Блок 1)</v>
      </c>
      <c r="C224" s="13" t="s">
        <v>48</v>
      </c>
      <c r="D224" s="29" t="s">
        <v>49</v>
      </c>
      <c r="E224" s="12" t="s">
        <v>50</v>
      </c>
      <c r="F224" s="37">
        <v>5214</v>
      </c>
      <c r="G224" s="38">
        <f>F224*0.6</f>
        <v>3128.4</v>
      </c>
      <c r="H224" s="38">
        <f>G224*I224</f>
        <v>21898.799999999999</v>
      </c>
      <c r="I224" s="16">
        <v>7</v>
      </c>
      <c r="J224" s="17" t="s">
        <v>12</v>
      </c>
      <c r="K224" s="13" t="s">
        <v>16</v>
      </c>
      <c r="L224" s="15">
        <v>21898.799999999999</v>
      </c>
    </row>
    <row r="225" spans="1:12" ht="21" customHeight="1" outlineLevel="2" x14ac:dyDescent="0.25">
      <c r="A225" s="12">
        <f t="shared" si="3"/>
        <v>224</v>
      </c>
      <c r="B225" s="12" t="str">
        <f>B224</f>
        <v>ЩДУ.1 (Блок 1)</v>
      </c>
      <c r="C225" s="12" t="s">
        <v>9</v>
      </c>
      <c r="D225" s="30" t="s">
        <v>9</v>
      </c>
      <c r="E225" s="12" t="s">
        <v>9</v>
      </c>
      <c r="F225" s="18">
        <f ca="1">OFFSET(F225,1,2)</f>
        <v>15000</v>
      </c>
      <c r="G225" s="38">
        <f ca="1">F225</f>
        <v>15000</v>
      </c>
      <c r="H225" s="38">
        <f ca="1">G225*I225</f>
        <v>15000</v>
      </c>
      <c r="I225" s="12">
        <v>1</v>
      </c>
      <c r="J225" s="12" t="s">
        <v>12</v>
      </c>
      <c r="K225" s="12" t="s">
        <v>9</v>
      </c>
      <c r="L225" s="15">
        <v>15000</v>
      </c>
    </row>
    <row r="226" spans="1:12" ht="21" customHeight="1" outlineLevel="2" x14ac:dyDescent="0.25">
      <c r="A226" s="12">
        <f t="shared" si="3"/>
        <v>225</v>
      </c>
      <c r="B226" s="12" t="str">
        <f>B225</f>
        <v>ЩДУ.1 (Блок 1)</v>
      </c>
      <c r="C226" s="12" t="s">
        <v>10</v>
      </c>
      <c r="D226" s="30" t="s">
        <v>10</v>
      </c>
      <c r="E226" s="12" t="s">
        <v>10</v>
      </c>
      <c r="F226" s="18">
        <v>2.5</v>
      </c>
      <c r="G226" s="38">
        <v>100</v>
      </c>
      <c r="H226" s="38">
        <f>60*F226*G226</f>
        <v>15000</v>
      </c>
      <c r="I226" s="12">
        <f>60*F226</f>
        <v>150</v>
      </c>
      <c r="J226" s="12" t="s">
        <v>12</v>
      </c>
      <c r="K226" s="12" t="s">
        <v>10</v>
      </c>
      <c r="L226" s="15">
        <v>15000</v>
      </c>
    </row>
    <row r="227" spans="1:12" ht="21" customHeight="1" outlineLevel="1" x14ac:dyDescent="0.25">
      <c r="A227" s="12"/>
      <c r="B227" s="12" t="s">
        <v>628</v>
      </c>
      <c r="C227" s="12"/>
      <c r="D227" s="30"/>
      <c r="E227" s="12"/>
      <c r="F227" s="18"/>
      <c r="G227" s="38"/>
      <c r="H227" s="38">
        <f ca="1">SUBTOTAL(9,H219:H226)</f>
        <v>76818</v>
      </c>
      <c r="I227" s="12"/>
      <c r="J227" s="12"/>
      <c r="K227" s="12"/>
      <c r="L227" s="15">
        <v>76818</v>
      </c>
    </row>
    <row r="228" spans="1:12" ht="24" customHeight="1" outlineLevel="2" x14ac:dyDescent="0.25">
      <c r="A228" s="10">
        <f>ROW(A226)</f>
        <v>226</v>
      </c>
      <c r="B228" s="6" t="str">
        <f>E228</f>
        <v>ЩДУ.1 (Блок 2, 3)</v>
      </c>
      <c r="C228" s="6"/>
      <c r="D228" s="28"/>
      <c r="E228" s="6" t="s">
        <v>166</v>
      </c>
      <c r="F228" s="36"/>
      <c r="G228" s="36" t="s">
        <v>73</v>
      </c>
      <c r="H228" s="7"/>
      <c r="I228" s="10">
        <v>1</v>
      </c>
      <c r="J228" s="11" t="s">
        <v>6</v>
      </c>
      <c r="K228" s="6" t="s">
        <v>8</v>
      </c>
      <c r="L228" s="9"/>
    </row>
    <row r="229" spans="1:12" ht="21" customHeight="1" outlineLevel="2" x14ac:dyDescent="0.25">
      <c r="A229" s="16">
        <f t="shared" si="3"/>
        <v>228</v>
      </c>
      <c r="B229" s="12" t="str">
        <f>B228</f>
        <v>ЩДУ.1 (Блок 2, 3)</v>
      </c>
      <c r="C229" s="13" t="s">
        <v>7</v>
      </c>
      <c r="D229" s="29" t="s">
        <v>507</v>
      </c>
      <c r="E229" s="12" t="s">
        <v>508</v>
      </c>
      <c r="F229" s="37">
        <v>30540</v>
      </c>
      <c r="G229" s="38">
        <f>F229*0.6</f>
        <v>18324</v>
      </c>
      <c r="H229" s="38">
        <f>I229*G229</f>
        <v>18324</v>
      </c>
      <c r="I229" s="16">
        <v>1</v>
      </c>
      <c r="J229" s="17" t="s">
        <v>12</v>
      </c>
      <c r="K229" s="13" t="s">
        <v>15</v>
      </c>
      <c r="L229" s="15">
        <v>18324</v>
      </c>
    </row>
    <row r="230" spans="1:12" ht="30" customHeight="1" outlineLevel="2" x14ac:dyDescent="0.25">
      <c r="A230" s="16">
        <f t="shared" si="3"/>
        <v>229</v>
      </c>
      <c r="B230" s="12" t="str">
        <f>B229</f>
        <v>ЩДУ.1 (Блок 2, 3)</v>
      </c>
      <c r="C230" s="13" t="s">
        <v>11</v>
      </c>
      <c r="D230" s="29" t="s">
        <v>20</v>
      </c>
      <c r="E230" s="12" t="s">
        <v>21</v>
      </c>
      <c r="F230" s="39">
        <v>2429</v>
      </c>
      <c r="G230" s="38">
        <f>F230*0.6</f>
        <v>1457.3999999999999</v>
      </c>
      <c r="H230" s="40">
        <f>G230*I230</f>
        <v>1457.3999999999999</v>
      </c>
      <c r="I230" s="16">
        <v>1</v>
      </c>
      <c r="J230" s="17" t="s">
        <v>12</v>
      </c>
      <c r="K230" s="13" t="s">
        <v>16</v>
      </c>
      <c r="L230" s="26">
        <v>1457.3999999999999</v>
      </c>
    </row>
    <row r="231" spans="1:12" ht="30" customHeight="1" outlineLevel="1" x14ac:dyDescent="0.25">
      <c r="A231" s="16"/>
      <c r="B231" s="12" t="s">
        <v>629</v>
      </c>
      <c r="C231" s="13"/>
      <c r="D231" s="29"/>
      <c r="E231" s="12"/>
      <c r="F231" s="39"/>
      <c r="G231" s="38"/>
      <c r="H231" s="40">
        <f>SUBTOTAL(9,H228:H230)</f>
        <v>19781.400000000001</v>
      </c>
      <c r="I231" s="16"/>
      <c r="J231" s="17"/>
      <c r="K231" s="13"/>
      <c r="L231" s="26">
        <v>19781.400000000001</v>
      </c>
    </row>
    <row r="232" spans="1:12" ht="39.75" customHeight="1" outlineLevel="2" x14ac:dyDescent="0.25">
      <c r="A232" s="10">
        <f>ROW(A230)</f>
        <v>230</v>
      </c>
      <c r="B232" s="6" t="str">
        <f>E232</f>
        <v>ЩВ.1 (Блок 1)</v>
      </c>
      <c r="C232" s="6"/>
      <c r="D232" s="28"/>
      <c r="E232" s="6" t="s">
        <v>116</v>
      </c>
      <c r="F232" s="36"/>
      <c r="G232" s="36" t="s">
        <v>73</v>
      </c>
      <c r="H232" s="7"/>
      <c r="I232" s="10">
        <v>1</v>
      </c>
      <c r="J232" s="11" t="s">
        <v>6</v>
      </c>
      <c r="K232" s="6" t="s">
        <v>8</v>
      </c>
      <c r="L232" s="9"/>
    </row>
    <row r="233" spans="1:12" ht="21" customHeight="1" outlineLevel="2" x14ac:dyDescent="0.25">
      <c r="A233" s="16">
        <f t="shared" si="3"/>
        <v>232</v>
      </c>
      <c r="B233" s="12" t="str">
        <f>B232</f>
        <v>ЩВ.1 (Блок 1)</v>
      </c>
      <c r="C233" s="13" t="s">
        <v>7</v>
      </c>
      <c r="D233" s="29" t="s">
        <v>466</v>
      </c>
      <c r="E233" s="12" t="s">
        <v>467</v>
      </c>
      <c r="F233" s="37">
        <v>14695</v>
      </c>
      <c r="G233" s="38">
        <f>F233*0.6</f>
        <v>8817</v>
      </c>
      <c r="H233" s="38">
        <f>I233*G233</f>
        <v>8817</v>
      </c>
      <c r="I233" s="16">
        <v>1</v>
      </c>
      <c r="J233" s="17" t="s">
        <v>12</v>
      </c>
      <c r="K233" s="13" t="s">
        <v>15</v>
      </c>
      <c r="L233" s="15">
        <v>8817</v>
      </c>
    </row>
    <row r="234" spans="1:12" ht="21" customHeight="1" outlineLevel="2" x14ac:dyDescent="0.25">
      <c r="A234" s="16">
        <f t="shared" si="3"/>
        <v>233</v>
      </c>
      <c r="B234" s="12" t="str">
        <f>B233</f>
        <v>ЩВ.1 (Блок 1)</v>
      </c>
      <c r="C234" s="13" t="s">
        <v>11</v>
      </c>
      <c r="D234" s="29" t="s">
        <v>20</v>
      </c>
      <c r="E234" s="12" t="s">
        <v>21</v>
      </c>
      <c r="F234" s="37">
        <v>2429</v>
      </c>
      <c r="G234" s="38">
        <f>F234*0.6</f>
        <v>1457.3999999999999</v>
      </c>
      <c r="H234" s="38">
        <f>G234*I234</f>
        <v>1457.3999999999999</v>
      </c>
      <c r="I234" s="16">
        <v>1</v>
      </c>
      <c r="J234" s="17" t="s">
        <v>12</v>
      </c>
      <c r="K234" s="13" t="s">
        <v>16</v>
      </c>
      <c r="L234" s="15">
        <v>1457.3999999999999</v>
      </c>
    </row>
    <row r="235" spans="1:12" ht="21" customHeight="1" outlineLevel="2" x14ac:dyDescent="0.25">
      <c r="A235" s="16">
        <f t="shared" si="3"/>
        <v>234</v>
      </c>
      <c r="B235" s="12" t="str">
        <f>B234</f>
        <v>ЩВ.1 (Блок 1)</v>
      </c>
      <c r="C235" s="13" t="s">
        <v>596</v>
      </c>
      <c r="D235" s="29" t="s">
        <v>45</v>
      </c>
      <c r="E235" s="12" t="s">
        <v>46</v>
      </c>
      <c r="F235" s="37">
        <v>5354</v>
      </c>
      <c r="G235" s="38">
        <f>F235*0.6</f>
        <v>3212.4</v>
      </c>
      <c r="H235" s="38">
        <f>G235*I235</f>
        <v>3212.4</v>
      </c>
      <c r="I235" s="16">
        <v>1</v>
      </c>
      <c r="J235" s="17" t="s">
        <v>12</v>
      </c>
      <c r="K235" s="13" t="s">
        <v>16</v>
      </c>
      <c r="L235" s="15">
        <v>3212.4</v>
      </c>
    </row>
    <row r="236" spans="1:12" ht="21" customHeight="1" outlineLevel="2" x14ac:dyDescent="0.25">
      <c r="A236" s="16">
        <f t="shared" si="3"/>
        <v>235</v>
      </c>
      <c r="B236" s="12" t="str">
        <f>B235</f>
        <v>ЩВ.1 (Блок 1)</v>
      </c>
      <c r="C236" s="13" t="s">
        <v>22</v>
      </c>
      <c r="D236" s="29" t="s">
        <v>117</v>
      </c>
      <c r="E236" s="12" t="s">
        <v>118</v>
      </c>
      <c r="F236" s="37">
        <v>5104</v>
      </c>
      <c r="G236" s="38">
        <f>F236*0.6</f>
        <v>3062.4</v>
      </c>
      <c r="H236" s="38">
        <f>G236*I236</f>
        <v>12249.6</v>
      </c>
      <c r="I236" s="16">
        <v>4</v>
      </c>
      <c r="J236" s="17" t="s">
        <v>12</v>
      </c>
      <c r="K236" s="13" t="s">
        <v>16</v>
      </c>
      <c r="L236" s="15">
        <v>12249.6</v>
      </c>
    </row>
    <row r="237" spans="1:12" ht="24" customHeight="1" outlineLevel="2" x14ac:dyDescent="0.25">
      <c r="A237" s="12">
        <f t="shared" si="3"/>
        <v>236</v>
      </c>
      <c r="B237" s="12" t="str">
        <f>B236</f>
        <v>ЩВ.1 (Блок 1)</v>
      </c>
      <c r="C237" s="12" t="s">
        <v>9</v>
      </c>
      <c r="D237" s="30" t="s">
        <v>9</v>
      </c>
      <c r="E237" s="12" t="s">
        <v>9</v>
      </c>
      <c r="F237" s="18">
        <f ca="1">OFFSET(F237,1,2)</f>
        <v>4200</v>
      </c>
      <c r="G237" s="38">
        <f ca="1">F237</f>
        <v>4200</v>
      </c>
      <c r="H237" s="38">
        <f ca="1">G237*I237</f>
        <v>4200</v>
      </c>
      <c r="I237" s="12">
        <v>1</v>
      </c>
      <c r="J237" s="12" t="s">
        <v>12</v>
      </c>
      <c r="K237" s="12" t="s">
        <v>9</v>
      </c>
      <c r="L237" s="15">
        <v>4200</v>
      </c>
    </row>
    <row r="238" spans="1:12" ht="21" customHeight="1" outlineLevel="2" x14ac:dyDescent="0.25">
      <c r="A238" s="12">
        <f t="shared" si="3"/>
        <v>237</v>
      </c>
      <c r="B238" s="12" t="str">
        <f>B237</f>
        <v>ЩВ.1 (Блок 1)</v>
      </c>
      <c r="C238" s="12" t="s">
        <v>10</v>
      </c>
      <c r="D238" s="30" t="s">
        <v>10</v>
      </c>
      <c r="E238" s="12" t="s">
        <v>10</v>
      </c>
      <c r="F238" s="18">
        <v>0.7</v>
      </c>
      <c r="G238" s="38">
        <v>100</v>
      </c>
      <c r="H238" s="38">
        <f>60*F238*G238</f>
        <v>4200</v>
      </c>
      <c r="I238" s="12">
        <f>60*F238</f>
        <v>42</v>
      </c>
      <c r="J238" s="12" t="s">
        <v>12</v>
      </c>
      <c r="K238" s="12" t="s">
        <v>10</v>
      </c>
      <c r="L238" s="15">
        <v>4200</v>
      </c>
    </row>
    <row r="239" spans="1:12" ht="21" customHeight="1" outlineLevel="1" x14ac:dyDescent="0.25">
      <c r="A239" s="12"/>
      <c r="B239" s="12" t="s">
        <v>630</v>
      </c>
      <c r="C239" s="12"/>
      <c r="D239" s="30"/>
      <c r="E239" s="12"/>
      <c r="F239" s="18"/>
      <c r="G239" s="38"/>
      <c r="H239" s="38">
        <f ca="1">SUBTOTAL(9,H232:H238)</f>
        <v>34136.400000000001</v>
      </c>
      <c r="I239" s="12"/>
      <c r="J239" s="12"/>
      <c r="K239" s="12"/>
      <c r="L239" s="15">
        <v>34136.400000000001</v>
      </c>
    </row>
    <row r="240" spans="1:12" ht="39.75" customHeight="1" outlineLevel="2" x14ac:dyDescent="0.25">
      <c r="A240" s="10">
        <f>ROW(A238)</f>
        <v>238</v>
      </c>
      <c r="B240" s="6" t="str">
        <f>E240</f>
        <v xml:space="preserve">ПВК-15(1ПЛ)-ХЛ1 </v>
      </c>
      <c r="C240" s="6"/>
      <c r="D240" s="28"/>
      <c r="E240" s="6" t="s">
        <v>496</v>
      </c>
      <c r="F240" s="36"/>
      <c r="G240" s="36"/>
      <c r="H240" s="7"/>
      <c r="I240" s="10">
        <v>24</v>
      </c>
      <c r="J240" s="11" t="s">
        <v>6</v>
      </c>
      <c r="K240" s="6" t="s">
        <v>8</v>
      </c>
      <c r="L240" s="9"/>
    </row>
    <row r="241" spans="1:13" ht="39.75" customHeight="1" outlineLevel="1" x14ac:dyDescent="0.25">
      <c r="A241" s="10"/>
      <c r="B241" s="6" t="s">
        <v>631</v>
      </c>
      <c r="C241" s="6"/>
      <c r="D241" s="28"/>
      <c r="E241" s="6"/>
      <c r="F241" s="36"/>
      <c r="G241" s="36"/>
      <c r="H241" s="7">
        <v>20000</v>
      </c>
      <c r="I241" s="10"/>
      <c r="J241" s="11"/>
      <c r="K241" s="6"/>
      <c r="L241" s="9">
        <v>0</v>
      </c>
    </row>
    <row r="242" spans="1:13" ht="39.75" customHeight="1" outlineLevel="2" x14ac:dyDescent="0.25">
      <c r="A242" s="10">
        <f>ROW(A240)</f>
        <v>240</v>
      </c>
      <c r="B242" s="6" t="str">
        <f>E242</f>
        <v>ЩВ.2 (Блок 1)</v>
      </c>
      <c r="C242" s="6"/>
      <c r="D242" s="28"/>
      <c r="E242" s="6" t="s">
        <v>119</v>
      </c>
      <c r="F242" s="36"/>
      <c r="G242" s="36" t="s">
        <v>73</v>
      </c>
      <c r="H242" s="7"/>
      <c r="I242" s="10">
        <v>1</v>
      </c>
      <c r="J242" s="11" t="s">
        <v>6</v>
      </c>
      <c r="K242" s="6" t="s">
        <v>8</v>
      </c>
      <c r="L242" s="9"/>
    </row>
    <row r="243" spans="1:13" ht="21" customHeight="1" outlineLevel="2" x14ac:dyDescent="0.25">
      <c r="A243" s="16">
        <f t="shared" si="3"/>
        <v>242</v>
      </c>
      <c r="B243" s="12" t="str">
        <f>B242</f>
        <v>ЩВ.2 (Блок 1)</v>
      </c>
      <c r="C243" s="13" t="s">
        <v>7</v>
      </c>
      <c r="D243" s="29" t="s">
        <v>470</v>
      </c>
      <c r="E243" s="12" t="s">
        <v>471</v>
      </c>
      <c r="F243" s="37">
        <v>19000</v>
      </c>
      <c r="G243" s="38">
        <f>F243*0.6</f>
        <v>11400</v>
      </c>
      <c r="H243" s="38">
        <f>I243*G243</f>
        <v>11400</v>
      </c>
      <c r="I243" s="16">
        <v>1</v>
      </c>
      <c r="J243" s="17" t="s">
        <v>12</v>
      </c>
      <c r="K243" s="13" t="s">
        <v>15</v>
      </c>
      <c r="L243" s="15">
        <v>11400</v>
      </c>
    </row>
    <row r="244" spans="1:13" ht="21" customHeight="1" outlineLevel="2" x14ac:dyDescent="0.25">
      <c r="A244" s="16">
        <f t="shared" si="3"/>
        <v>243</v>
      </c>
      <c r="B244" s="12" t="str">
        <f>B243</f>
        <v>ЩВ.2 (Блок 1)</v>
      </c>
      <c r="C244" s="13" t="s">
        <v>11</v>
      </c>
      <c r="D244" s="29" t="s">
        <v>29</v>
      </c>
      <c r="E244" s="12" t="s">
        <v>30</v>
      </c>
      <c r="F244" s="37">
        <v>3172</v>
      </c>
      <c r="G244" s="38">
        <f>F244*0.6</f>
        <v>1903.1999999999998</v>
      </c>
      <c r="H244" s="38">
        <f>G244*I244</f>
        <v>1903.1999999999998</v>
      </c>
      <c r="I244" s="16">
        <v>1</v>
      </c>
      <c r="J244" s="17" t="s">
        <v>12</v>
      </c>
      <c r="K244" s="13" t="s">
        <v>16</v>
      </c>
      <c r="L244" s="15">
        <v>1903.1999999999998</v>
      </c>
    </row>
    <row r="245" spans="1:13" ht="21" customHeight="1" outlineLevel="2" x14ac:dyDescent="0.25">
      <c r="A245" s="16">
        <f t="shared" si="3"/>
        <v>244</v>
      </c>
      <c r="B245" s="12" t="str">
        <f>B244</f>
        <v>ЩВ.2 (Блок 1)</v>
      </c>
      <c r="C245" s="13" t="s">
        <v>596</v>
      </c>
      <c r="D245" s="29" t="s">
        <v>45</v>
      </c>
      <c r="E245" s="12" t="s">
        <v>46</v>
      </c>
      <c r="F245" s="37">
        <v>5354</v>
      </c>
      <c r="G245" s="38">
        <f>F245*0.6</f>
        <v>3212.4</v>
      </c>
      <c r="H245" s="38">
        <f>G245*I245</f>
        <v>3212.4</v>
      </c>
      <c r="I245" s="16">
        <v>1</v>
      </c>
      <c r="J245" s="17" t="s">
        <v>12</v>
      </c>
      <c r="K245" s="13" t="s">
        <v>16</v>
      </c>
      <c r="L245" s="15">
        <v>3212.4</v>
      </c>
    </row>
    <row r="246" spans="1:13" ht="21" customHeight="1" outlineLevel="2" x14ac:dyDescent="0.25">
      <c r="A246" s="16">
        <f t="shared" si="3"/>
        <v>245</v>
      </c>
      <c r="B246" s="12" t="str">
        <f>B245</f>
        <v>ЩВ.2 (Блок 1)</v>
      </c>
      <c r="C246" s="13" t="s">
        <v>22</v>
      </c>
      <c r="D246" s="29" t="s">
        <v>124</v>
      </c>
      <c r="E246" s="12" t="s">
        <v>125</v>
      </c>
      <c r="F246" s="37">
        <v>8934</v>
      </c>
      <c r="G246" s="38">
        <f>F246*0.6</f>
        <v>5360.4</v>
      </c>
      <c r="H246" s="38">
        <f>G246*I246</f>
        <v>10720.8</v>
      </c>
      <c r="I246" s="16">
        <v>2</v>
      </c>
      <c r="J246" s="17" t="s">
        <v>12</v>
      </c>
      <c r="K246" s="13" t="s">
        <v>16</v>
      </c>
      <c r="L246" s="15">
        <v>10720.8</v>
      </c>
      <c r="M246" t="s">
        <v>439</v>
      </c>
    </row>
    <row r="247" spans="1:13" ht="21" customHeight="1" outlineLevel="2" x14ac:dyDescent="0.25">
      <c r="A247" s="16">
        <f t="shared" si="3"/>
        <v>246</v>
      </c>
      <c r="B247" s="12" t="str">
        <f>B246</f>
        <v>ЩВ.2 (Блок 1)</v>
      </c>
      <c r="C247" s="13" t="s">
        <v>22</v>
      </c>
      <c r="D247" s="29" t="s">
        <v>117</v>
      </c>
      <c r="E247" s="12" t="s">
        <v>118</v>
      </c>
      <c r="F247" s="37">
        <v>5104</v>
      </c>
      <c r="G247" s="38">
        <f>F247*0.6</f>
        <v>3062.4</v>
      </c>
      <c r="H247" s="38">
        <f>G247*I247</f>
        <v>12249.6</v>
      </c>
      <c r="I247" s="16">
        <v>4</v>
      </c>
      <c r="J247" s="17" t="s">
        <v>12</v>
      </c>
      <c r="K247" s="13" t="s">
        <v>16</v>
      </c>
      <c r="L247" s="15">
        <v>12249.6</v>
      </c>
    </row>
    <row r="248" spans="1:13" ht="24" customHeight="1" outlineLevel="2" x14ac:dyDescent="0.25">
      <c r="A248" s="12">
        <f t="shared" si="3"/>
        <v>247</v>
      </c>
      <c r="B248" s="12" t="str">
        <f>B247</f>
        <v>ЩВ.2 (Блок 1)</v>
      </c>
      <c r="C248" s="12" t="s">
        <v>9</v>
      </c>
      <c r="D248" s="30" t="s">
        <v>9</v>
      </c>
      <c r="E248" s="12" t="s">
        <v>9</v>
      </c>
      <c r="F248" s="18">
        <f ca="1">OFFSET(F248,1,2)</f>
        <v>12000</v>
      </c>
      <c r="G248" s="38">
        <f ca="1">F248</f>
        <v>12000</v>
      </c>
      <c r="H248" s="38">
        <f ca="1">G248*I248</f>
        <v>12000</v>
      </c>
      <c r="I248" s="12">
        <v>1</v>
      </c>
      <c r="J248" s="12" t="s">
        <v>12</v>
      </c>
      <c r="K248" s="12" t="s">
        <v>9</v>
      </c>
      <c r="L248" s="15">
        <v>12000</v>
      </c>
    </row>
    <row r="249" spans="1:13" ht="21" customHeight="1" outlineLevel="2" x14ac:dyDescent="0.25">
      <c r="A249" s="12">
        <f t="shared" si="3"/>
        <v>248</v>
      </c>
      <c r="B249" s="12" t="str">
        <f>B248</f>
        <v>ЩВ.2 (Блок 1)</v>
      </c>
      <c r="C249" s="12" t="s">
        <v>10</v>
      </c>
      <c r="D249" s="30" t="s">
        <v>10</v>
      </c>
      <c r="E249" s="12" t="s">
        <v>10</v>
      </c>
      <c r="F249" s="18">
        <v>2</v>
      </c>
      <c r="G249" s="38">
        <v>100</v>
      </c>
      <c r="H249" s="38">
        <f>60*F249*G249</f>
        <v>12000</v>
      </c>
      <c r="I249" s="12">
        <f>60*F249</f>
        <v>120</v>
      </c>
      <c r="J249" s="12" t="s">
        <v>12</v>
      </c>
      <c r="K249" s="12" t="s">
        <v>10</v>
      </c>
      <c r="L249" s="15">
        <v>12000</v>
      </c>
    </row>
    <row r="250" spans="1:13" ht="21" customHeight="1" outlineLevel="1" x14ac:dyDescent="0.25">
      <c r="A250" s="12"/>
      <c r="B250" s="12" t="s">
        <v>632</v>
      </c>
      <c r="C250" s="12"/>
      <c r="D250" s="30"/>
      <c r="E250" s="12"/>
      <c r="F250" s="18"/>
      <c r="G250" s="38"/>
      <c r="H250" s="38">
        <f ca="1">SUBTOTAL(9,H242:H249)</f>
        <v>63486</v>
      </c>
      <c r="I250" s="12"/>
      <c r="J250" s="12"/>
      <c r="K250" s="12"/>
      <c r="L250" s="15">
        <v>63486</v>
      </c>
    </row>
    <row r="251" spans="1:13" ht="39.75" customHeight="1" outlineLevel="2" x14ac:dyDescent="0.25">
      <c r="A251" s="10">
        <f>ROW(A249)</f>
        <v>249</v>
      </c>
      <c r="B251" s="6" t="str">
        <f>E251</f>
        <v>ЩВ.3 (Блок 1)</v>
      </c>
      <c r="C251" s="6"/>
      <c r="D251" s="28"/>
      <c r="E251" s="6" t="s">
        <v>120</v>
      </c>
      <c r="F251" s="36"/>
      <c r="G251" s="36" t="s">
        <v>73</v>
      </c>
      <c r="H251" s="7"/>
      <c r="I251" s="10">
        <v>1</v>
      </c>
      <c r="J251" s="11" t="s">
        <v>6</v>
      </c>
      <c r="K251" s="6" t="s">
        <v>8</v>
      </c>
      <c r="L251" s="9"/>
    </row>
    <row r="252" spans="1:13" ht="21" customHeight="1" outlineLevel="2" x14ac:dyDescent="0.25">
      <c r="A252" s="16">
        <f t="shared" si="3"/>
        <v>251</v>
      </c>
      <c r="B252" s="12" t="str">
        <f>B251</f>
        <v>ЩВ.3 (Блок 1)</v>
      </c>
      <c r="C252" s="13" t="s">
        <v>7</v>
      </c>
      <c r="D252" s="29" t="s">
        <v>466</v>
      </c>
      <c r="E252" s="12" t="s">
        <v>467</v>
      </c>
      <c r="F252" s="37">
        <v>14695</v>
      </c>
      <c r="G252" s="38">
        <f>F252*0.6</f>
        <v>8817</v>
      </c>
      <c r="H252" s="38">
        <f>I252*G252</f>
        <v>8817</v>
      </c>
      <c r="I252" s="16">
        <v>1</v>
      </c>
      <c r="J252" s="17" t="s">
        <v>12</v>
      </c>
      <c r="K252" s="13" t="s">
        <v>15</v>
      </c>
      <c r="L252" s="15">
        <v>8817</v>
      </c>
    </row>
    <row r="253" spans="1:13" ht="21" customHeight="1" outlineLevel="2" x14ac:dyDescent="0.25">
      <c r="A253" s="16">
        <f t="shared" si="3"/>
        <v>252</v>
      </c>
      <c r="B253" s="12" t="str">
        <f>B252</f>
        <v>ЩВ.3 (Блок 1)</v>
      </c>
      <c r="C253" s="13" t="s">
        <v>11</v>
      </c>
      <c r="D253" s="29" t="s">
        <v>20</v>
      </c>
      <c r="E253" s="12" t="s">
        <v>21</v>
      </c>
      <c r="F253" s="37">
        <v>2429</v>
      </c>
      <c r="G253" s="38">
        <f>F253*0.6</f>
        <v>1457.3999999999999</v>
      </c>
      <c r="H253" s="38">
        <f>G253*I253</f>
        <v>1457.3999999999999</v>
      </c>
      <c r="I253" s="16">
        <v>1</v>
      </c>
      <c r="J253" s="17" t="s">
        <v>12</v>
      </c>
      <c r="K253" s="13" t="s">
        <v>16</v>
      </c>
      <c r="L253" s="15">
        <v>1457.3999999999999</v>
      </c>
    </row>
    <row r="254" spans="1:13" ht="21" customHeight="1" outlineLevel="2" x14ac:dyDescent="0.25">
      <c r="A254" s="16">
        <f t="shared" si="3"/>
        <v>253</v>
      </c>
      <c r="B254" s="12" t="str">
        <f>B253</f>
        <v>ЩВ.3 (Блок 1)</v>
      </c>
      <c r="C254" s="13" t="s">
        <v>596</v>
      </c>
      <c r="D254" s="29" t="s">
        <v>45</v>
      </c>
      <c r="E254" s="12" t="s">
        <v>46</v>
      </c>
      <c r="F254" s="37">
        <v>5354</v>
      </c>
      <c r="G254" s="38">
        <f>F254*0.6</f>
        <v>3212.4</v>
      </c>
      <c r="H254" s="38">
        <f>G254*I254</f>
        <v>3212.4</v>
      </c>
      <c r="I254" s="16">
        <v>1</v>
      </c>
      <c r="J254" s="17" t="s">
        <v>12</v>
      </c>
      <c r="K254" s="13" t="s">
        <v>16</v>
      </c>
      <c r="L254" s="15">
        <v>3212.4</v>
      </c>
    </row>
    <row r="255" spans="1:13" ht="21" customHeight="1" outlineLevel="2" x14ac:dyDescent="0.25">
      <c r="A255" s="16">
        <f t="shared" si="3"/>
        <v>254</v>
      </c>
      <c r="B255" s="12" t="str">
        <f>B254</f>
        <v>ЩВ.3 (Блок 1)</v>
      </c>
      <c r="C255" s="13" t="s">
        <v>22</v>
      </c>
      <c r="D255" s="29" t="s">
        <v>117</v>
      </c>
      <c r="E255" s="12" t="s">
        <v>118</v>
      </c>
      <c r="F255" s="37">
        <v>5104</v>
      </c>
      <c r="G255" s="38">
        <f>F255*0.6</f>
        <v>3062.4</v>
      </c>
      <c r="H255" s="38">
        <f>G255*I255</f>
        <v>12249.6</v>
      </c>
      <c r="I255" s="16">
        <v>4</v>
      </c>
      <c r="J255" s="17" t="s">
        <v>12</v>
      </c>
      <c r="K255" s="13" t="s">
        <v>16</v>
      </c>
      <c r="L255" s="15">
        <v>12249.6</v>
      </c>
    </row>
    <row r="256" spans="1:13" ht="24" customHeight="1" outlineLevel="2" x14ac:dyDescent="0.25">
      <c r="A256" s="12">
        <f t="shared" si="3"/>
        <v>255</v>
      </c>
      <c r="B256" s="12" t="str">
        <f>B255</f>
        <v>ЩВ.3 (Блок 1)</v>
      </c>
      <c r="C256" s="12" t="s">
        <v>9</v>
      </c>
      <c r="D256" s="30" t="s">
        <v>9</v>
      </c>
      <c r="E256" s="12" t="s">
        <v>9</v>
      </c>
      <c r="F256" s="18">
        <f ca="1">OFFSET(F256,1,2)</f>
        <v>4200</v>
      </c>
      <c r="G256" s="38">
        <f ca="1">F256</f>
        <v>4200</v>
      </c>
      <c r="H256" s="38">
        <f ca="1">G256*I256</f>
        <v>4200</v>
      </c>
      <c r="I256" s="12">
        <v>1</v>
      </c>
      <c r="J256" s="12" t="s">
        <v>12</v>
      </c>
      <c r="K256" s="12" t="s">
        <v>9</v>
      </c>
      <c r="L256" s="15">
        <v>4200</v>
      </c>
    </row>
    <row r="257" spans="1:12" ht="21" customHeight="1" outlineLevel="2" x14ac:dyDescent="0.25">
      <c r="A257" s="12">
        <f t="shared" si="3"/>
        <v>256</v>
      </c>
      <c r="B257" s="12" t="str">
        <f>B256</f>
        <v>ЩВ.3 (Блок 1)</v>
      </c>
      <c r="C257" s="12" t="s">
        <v>10</v>
      </c>
      <c r="D257" s="30" t="s">
        <v>10</v>
      </c>
      <c r="E257" s="12" t="s">
        <v>10</v>
      </c>
      <c r="F257" s="18">
        <v>0.7</v>
      </c>
      <c r="G257" s="38">
        <v>100</v>
      </c>
      <c r="H257" s="38">
        <f>60*F257*G257</f>
        <v>4200</v>
      </c>
      <c r="I257" s="12">
        <f>60*F257</f>
        <v>42</v>
      </c>
      <c r="J257" s="12" t="s">
        <v>12</v>
      </c>
      <c r="K257" s="12" t="s">
        <v>10</v>
      </c>
      <c r="L257" s="15">
        <v>4200</v>
      </c>
    </row>
    <row r="258" spans="1:12" ht="21" customHeight="1" outlineLevel="1" x14ac:dyDescent="0.25">
      <c r="A258" s="12"/>
      <c r="B258" s="12" t="s">
        <v>633</v>
      </c>
      <c r="C258" s="12"/>
      <c r="D258" s="30"/>
      <c r="E258" s="12"/>
      <c r="F258" s="18"/>
      <c r="G258" s="38"/>
      <c r="H258" s="38">
        <f ca="1">SUBTOTAL(9,H251:H257)</f>
        <v>34136.400000000001</v>
      </c>
      <c r="I258" s="12"/>
      <c r="J258" s="12"/>
      <c r="K258" s="12"/>
      <c r="L258" s="15">
        <v>34136.400000000001</v>
      </c>
    </row>
    <row r="259" spans="1:12" ht="39.75" customHeight="1" outlineLevel="2" x14ac:dyDescent="0.25">
      <c r="A259" s="10">
        <f>ROW(A257)</f>
        <v>257</v>
      </c>
      <c r="B259" s="6" t="str">
        <f>E259</f>
        <v>ЩВ.4 (Блок 1)</v>
      </c>
      <c r="C259" s="6"/>
      <c r="D259" s="28"/>
      <c r="E259" s="6" t="s">
        <v>121</v>
      </c>
      <c r="F259" s="36"/>
      <c r="G259" s="36" t="s">
        <v>73</v>
      </c>
      <c r="H259" s="7"/>
      <c r="I259" s="10">
        <v>1</v>
      </c>
      <c r="J259" s="11" t="s">
        <v>6</v>
      </c>
      <c r="K259" s="6" t="s">
        <v>8</v>
      </c>
      <c r="L259" s="9"/>
    </row>
    <row r="260" spans="1:12" ht="21" customHeight="1" outlineLevel="2" x14ac:dyDescent="0.25">
      <c r="A260" s="16">
        <f t="shared" si="3"/>
        <v>259</v>
      </c>
      <c r="B260" s="12" t="str">
        <f>B259</f>
        <v>ЩВ.4 (Блок 1)</v>
      </c>
      <c r="C260" s="13" t="s">
        <v>7</v>
      </c>
      <c r="D260" s="29" t="s">
        <v>468</v>
      </c>
      <c r="E260" s="12" t="s">
        <v>469</v>
      </c>
      <c r="F260" s="37">
        <v>15500</v>
      </c>
      <c r="G260" s="38">
        <f>F260*0.6</f>
        <v>9300</v>
      </c>
      <c r="H260" s="38">
        <f>I260*G260</f>
        <v>9300</v>
      </c>
      <c r="I260" s="16">
        <v>1</v>
      </c>
      <c r="J260" s="17" t="s">
        <v>12</v>
      </c>
      <c r="K260" s="13" t="s">
        <v>15</v>
      </c>
      <c r="L260" s="15">
        <v>9300</v>
      </c>
    </row>
    <row r="261" spans="1:12" ht="21" customHeight="1" outlineLevel="2" x14ac:dyDescent="0.25">
      <c r="A261" s="16">
        <f t="shared" si="3"/>
        <v>260</v>
      </c>
      <c r="B261" s="12" t="str">
        <f>B260</f>
        <v>ЩВ.4 (Блок 1)</v>
      </c>
      <c r="C261" s="13" t="s">
        <v>11</v>
      </c>
      <c r="D261" s="29" t="s">
        <v>20</v>
      </c>
      <c r="E261" s="12" t="s">
        <v>21</v>
      </c>
      <c r="F261" s="37">
        <v>2429</v>
      </c>
      <c r="G261" s="38">
        <f>F261*0.6</f>
        <v>1457.3999999999999</v>
      </c>
      <c r="H261" s="38">
        <f>G261*I261</f>
        <v>1457.3999999999999</v>
      </c>
      <c r="I261" s="16">
        <v>1</v>
      </c>
      <c r="J261" s="17" t="s">
        <v>12</v>
      </c>
      <c r="K261" s="13" t="s">
        <v>16</v>
      </c>
      <c r="L261" s="15">
        <v>1457.3999999999999</v>
      </c>
    </row>
    <row r="262" spans="1:12" ht="21" customHeight="1" outlineLevel="2" x14ac:dyDescent="0.25">
      <c r="A262" s="16">
        <f t="shared" si="3"/>
        <v>261</v>
      </c>
      <c r="B262" s="12" t="str">
        <f>B261</f>
        <v>ЩВ.4 (Блок 1)</v>
      </c>
      <c r="C262" s="13" t="s">
        <v>596</v>
      </c>
      <c r="D262" s="29" t="s">
        <v>45</v>
      </c>
      <c r="E262" s="12" t="s">
        <v>46</v>
      </c>
      <c r="F262" s="37">
        <v>5354</v>
      </c>
      <c r="G262" s="38">
        <f>F262*0.6</f>
        <v>3212.4</v>
      </c>
      <c r="H262" s="38">
        <f>G262*I262</f>
        <v>3212.4</v>
      </c>
      <c r="I262" s="16">
        <v>1</v>
      </c>
      <c r="J262" s="17" t="s">
        <v>12</v>
      </c>
      <c r="K262" s="13" t="s">
        <v>16</v>
      </c>
      <c r="L262" s="15">
        <v>3212.4</v>
      </c>
    </row>
    <row r="263" spans="1:12" ht="21" customHeight="1" outlineLevel="2" x14ac:dyDescent="0.25">
      <c r="A263" s="16">
        <f t="shared" si="3"/>
        <v>262</v>
      </c>
      <c r="B263" s="12" t="str">
        <f>B262</f>
        <v>ЩВ.4 (Блок 1)</v>
      </c>
      <c r="C263" s="13" t="s">
        <v>22</v>
      </c>
      <c r="D263" s="29" t="s">
        <v>117</v>
      </c>
      <c r="E263" s="12" t="s">
        <v>118</v>
      </c>
      <c r="F263" s="37">
        <v>5104</v>
      </c>
      <c r="G263" s="38">
        <f>F263*0.6</f>
        <v>3062.4</v>
      </c>
      <c r="H263" s="38">
        <f>G263*I263</f>
        <v>18374.400000000001</v>
      </c>
      <c r="I263" s="16">
        <v>6</v>
      </c>
      <c r="J263" s="17" t="s">
        <v>12</v>
      </c>
      <c r="K263" s="13" t="s">
        <v>16</v>
      </c>
      <c r="L263" s="15">
        <v>18374.400000000001</v>
      </c>
    </row>
    <row r="264" spans="1:12" ht="24" customHeight="1" outlineLevel="2" x14ac:dyDescent="0.25">
      <c r="A264" s="12">
        <f t="shared" si="3"/>
        <v>263</v>
      </c>
      <c r="B264" s="12" t="str">
        <f>B263</f>
        <v>ЩВ.4 (Блок 1)</v>
      </c>
      <c r="C264" s="12" t="s">
        <v>9</v>
      </c>
      <c r="D264" s="30" t="s">
        <v>9</v>
      </c>
      <c r="E264" s="12" t="s">
        <v>9</v>
      </c>
      <c r="F264" s="18">
        <f ca="1">OFFSET(F264,1,2)</f>
        <v>6000</v>
      </c>
      <c r="G264" s="38">
        <f ca="1">F264</f>
        <v>6000</v>
      </c>
      <c r="H264" s="38">
        <f ca="1">G264*I264</f>
        <v>6000</v>
      </c>
      <c r="I264" s="12">
        <v>1</v>
      </c>
      <c r="J264" s="12" t="s">
        <v>12</v>
      </c>
      <c r="K264" s="12" t="s">
        <v>9</v>
      </c>
      <c r="L264" s="15">
        <v>6000</v>
      </c>
    </row>
    <row r="265" spans="1:12" ht="21" customHeight="1" outlineLevel="2" x14ac:dyDescent="0.25">
      <c r="A265" s="12">
        <f t="shared" si="3"/>
        <v>264</v>
      </c>
      <c r="B265" s="12" t="str">
        <f>B264</f>
        <v>ЩВ.4 (Блок 1)</v>
      </c>
      <c r="C265" s="12" t="s">
        <v>10</v>
      </c>
      <c r="D265" s="30" t="s">
        <v>10</v>
      </c>
      <c r="E265" s="12" t="s">
        <v>10</v>
      </c>
      <c r="F265" s="18">
        <v>1</v>
      </c>
      <c r="G265" s="38">
        <v>100</v>
      </c>
      <c r="H265" s="38">
        <f>60*F265*G265</f>
        <v>6000</v>
      </c>
      <c r="I265" s="12">
        <f>60*F265</f>
        <v>60</v>
      </c>
      <c r="J265" s="12" t="s">
        <v>12</v>
      </c>
      <c r="K265" s="12" t="s">
        <v>10</v>
      </c>
      <c r="L265" s="15">
        <v>6000</v>
      </c>
    </row>
    <row r="266" spans="1:12" ht="21" customHeight="1" outlineLevel="1" x14ac:dyDescent="0.25">
      <c r="A266" s="12"/>
      <c r="B266" s="12" t="s">
        <v>634</v>
      </c>
      <c r="C266" s="12"/>
      <c r="D266" s="30"/>
      <c r="E266" s="12"/>
      <c r="F266" s="18"/>
      <c r="G266" s="38"/>
      <c r="H266" s="38">
        <f ca="1">SUBTOTAL(9,H259:H265)</f>
        <v>44344.2</v>
      </c>
      <c r="I266" s="12"/>
      <c r="J266" s="12"/>
      <c r="K266" s="12"/>
      <c r="L266" s="15">
        <v>44344.2</v>
      </c>
    </row>
    <row r="267" spans="1:12" ht="39.75" customHeight="1" outlineLevel="2" x14ac:dyDescent="0.25">
      <c r="A267" s="10">
        <f>ROW(A265)</f>
        <v>265</v>
      </c>
      <c r="B267" s="6" t="str">
        <f>E267</f>
        <v>ЩВ.5 (Блок 1)</v>
      </c>
      <c r="C267" s="6"/>
      <c r="D267" s="28"/>
      <c r="E267" s="6" t="s">
        <v>122</v>
      </c>
      <c r="F267" s="36"/>
      <c r="G267" s="36" t="s">
        <v>73</v>
      </c>
      <c r="H267" s="7"/>
      <c r="I267" s="10">
        <v>1</v>
      </c>
      <c r="J267" s="11" t="s">
        <v>6</v>
      </c>
      <c r="K267" s="6" t="s">
        <v>8</v>
      </c>
      <c r="L267" s="9"/>
    </row>
    <row r="268" spans="1:12" ht="21" customHeight="1" outlineLevel="2" x14ac:dyDescent="0.25">
      <c r="A268" s="16">
        <f t="shared" si="3"/>
        <v>267</v>
      </c>
      <c r="B268" s="12" t="str">
        <f>B267</f>
        <v>ЩВ.5 (Блок 1)</v>
      </c>
      <c r="C268" s="13" t="s">
        <v>7</v>
      </c>
      <c r="D268" s="29" t="s">
        <v>468</v>
      </c>
      <c r="E268" s="12" t="s">
        <v>469</v>
      </c>
      <c r="F268" s="37">
        <v>15500</v>
      </c>
      <c r="G268" s="38">
        <f>F268*0.6</f>
        <v>9300</v>
      </c>
      <c r="H268" s="38">
        <f>I268*G268</f>
        <v>9300</v>
      </c>
      <c r="I268" s="16">
        <v>1</v>
      </c>
      <c r="J268" s="17" t="s">
        <v>12</v>
      </c>
      <c r="K268" s="13" t="s">
        <v>15</v>
      </c>
      <c r="L268" s="15">
        <v>9300</v>
      </c>
    </row>
    <row r="269" spans="1:12" ht="21" customHeight="1" outlineLevel="2" x14ac:dyDescent="0.25">
      <c r="A269" s="16">
        <f t="shared" si="3"/>
        <v>268</v>
      </c>
      <c r="B269" s="12" t="str">
        <f>B268</f>
        <v>ЩВ.5 (Блок 1)</v>
      </c>
      <c r="C269" s="13" t="s">
        <v>11</v>
      </c>
      <c r="D269" s="29" t="s">
        <v>20</v>
      </c>
      <c r="E269" s="12" t="s">
        <v>21</v>
      </c>
      <c r="F269" s="37">
        <v>2429</v>
      </c>
      <c r="G269" s="38">
        <f>F269*0.6</f>
        <v>1457.3999999999999</v>
      </c>
      <c r="H269" s="38">
        <f>G269*I269</f>
        <v>1457.3999999999999</v>
      </c>
      <c r="I269" s="16">
        <v>1</v>
      </c>
      <c r="J269" s="17" t="s">
        <v>12</v>
      </c>
      <c r="K269" s="13" t="s">
        <v>16</v>
      </c>
      <c r="L269" s="15">
        <v>1457.3999999999999</v>
      </c>
    </row>
    <row r="270" spans="1:12" ht="21" customHeight="1" outlineLevel="2" x14ac:dyDescent="0.25">
      <c r="A270" s="16">
        <f t="shared" si="3"/>
        <v>269</v>
      </c>
      <c r="B270" s="12" t="str">
        <f>B269</f>
        <v>ЩВ.5 (Блок 1)</v>
      </c>
      <c r="C270" s="13" t="s">
        <v>596</v>
      </c>
      <c r="D270" s="29" t="s">
        <v>45</v>
      </c>
      <c r="E270" s="12" t="s">
        <v>46</v>
      </c>
      <c r="F270" s="37">
        <v>5354</v>
      </c>
      <c r="G270" s="38">
        <f>F270*0.6</f>
        <v>3212.4</v>
      </c>
      <c r="H270" s="38">
        <f>G270*I270</f>
        <v>3212.4</v>
      </c>
      <c r="I270" s="16">
        <v>1</v>
      </c>
      <c r="J270" s="17" t="s">
        <v>12</v>
      </c>
      <c r="K270" s="13" t="s">
        <v>16</v>
      </c>
      <c r="L270" s="15">
        <v>3212.4</v>
      </c>
    </row>
    <row r="271" spans="1:12" ht="21" customHeight="1" outlineLevel="2" x14ac:dyDescent="0.25">
      <c r="A271" s="16">
        <f t="shared" si="3"/>
        <v>270</v>
      </c>
      <c r="B271" s="12" t="str">
        <f>B270</f>
        <v>ЩВ.5 (Блок 1)</v>
      </c>
      <c r="C271" s="13" t="s">
        <v>22</v>
      </c>
      <c r="D271" s="29" t="s">
        <v>117</v>
      </c>
      <c r="E271" s="12" t="s">
        <v>118</v>
      </c>
      <c r="F271" s="37">
        <v>5104</v>
      </c>
      <c r="G271" s="38">
        <f>F271*0.6</f>
        <v>3062.4</v>
      </c>
      <c r="H271" s="38">
        <f>G271*I271</f>
        <v>18374.400000000001</v>
      </c>
      <c r="I271" s="16">
        <v>6</v>
      </c>
      <c r="J271" s="17" t="s">
        <v>12</v>
      </c>
      <c r="K271" s="13" t="s">
        <v>16</v>
      </c>
      <c r="L271" s="15">
        <v>18374.400000000001</v>
      </c>
    </row>
    <row r="272" spans="1:12" ht="24" customHeight="1" outlineLevel="2" x14ac:dyDescent="0.25">
      <c r="A272" s="12">
        <f t="shared" si="3"/>
        <v>271</v>
      </c>
      <c r="B272" s="12" t="str">
        <f>B271</f>
        <v>ЩВ.5 (Блок 1)</v>
      </c>
      <c r="C272" s="12" t="s">
        <v>9</v>
      </c>
      <c r="D272" s="30" t="s">
        <v>9</v>
      </c>
      <c r="E272" s="12" t="s">
        <v>9</v>
      </c>
      <c r="F272" s="18">
        <f ca="1">OFFSET(F272,1,2)</f>
        <v>6000</v>
      </c>
      <c r="G272" s="38">
        <f ca="1">F272</f>
        <v>6000</v>
      </c>
      <c r="H272" s="38">
        <f ca="1">G272*I272</f>
        <v>6000</v>
      </c>
      <c r="I272" s="12">
        <v>1</v>
      </c>
      <c r="J272" s="12" t="s">
        <v>12</v>
      </c>
      <c r="K272" s="12" t="s">
        <v>9</v>
      </c>
      <c r="L272" s="15">
        <v>6000</v>
      </c>
    </row>
    <row r="273" spans="1:12" ht="21" customHeight="1" outlineLevel="2" x14ac:dyDescent="0.25">
      <c r="A273" s="12">
        <f t="shared" si="3"/>
        <v>272</v>
      </c>
      <c r="B273" s="12" t="str">
        <f>B272</f>
        <v>ЩВ.5 (Блок 1)</v>
      </c>
      <c r="C273" s="12" t="s">
        <v>10</v>
      </c>
      <c r="D273" s="30" t="s">
        <v>10</v>
      </c>
      <c r="E273" s="12" t="s">
        <v>10</v>
      </c>
      <c r="F273" s="18">
        <v>1</v>
      </c>
      <c r="G273" s="38">
        <v>100</v>
      </c>
      <c r="H273" s="38">
        <f>60*F273*G273</f>
        <v>6000</v>
      </c>
      <c r="I273" s="12">
        <f>60*F273</f>
        <v>60</v>
      </c>
      <c r="J273" s="12" t="s">
        <v>12</v>
      </c>
      <c r="K273" s="12" t="s">
        <v>10</v>
      </c>
      <c r="L273" s="15">
        <v>6000</v>
      </c>
    </row>
    <row r="274" spans="1:12" ht="21" customHeight="1" outlineLevel="1" x14ac:dyDescent="0.25">
      <c r="A274" s="12"/>
      <c r="B274" s="12" t="s">
        <v>635</v>
      </c>
      <c r="C274" s="12"/>
      <c r="D274" s="30"/>
      <c r="E274" s="12"/>
      <c r="F274" s="18"/>
      <c r="G274" s="38"/>
      <c r="H274" s="38">
        <f ca="1">SUBTOTAL(9,H267:H273)</f>
        <v>44344.2</v>
      </c>
      <c r="I274" s="12"/>
      <c r="J274" s="12"/>
      <c r="K274" s="12"/>
      <c r="L274" s="15">
        <v>44344.2</v>
      </c>
    </row>
    <row r="275" spans="1:12" ht="39.75" customHeight="1" outlineLevel="2" x14ac:dyDescent="0.25">
      <c r="A275" s="10">
        <f>ROW(A273)</f>
        <v>273</v>
      </c>
      <c r="B275" s="6" t="str">
        <f>E275</f>
        <v>ЩВ.6 (Блок 1)</v>
      </c>
      <c r="C275" s="6"/>
      <c r="D275" s="28"/>
      <c r="E275" s="6" t="s">
        <v>123</v>
      </c>
      <c r="F275" s="36"/>
      <c r="G275" s="36" t="s">
        <v>73</v>
      </c>
      <c r="H275" s="7"/>
      <c r="I275" s="10">
        <v>1</v>
      </c>
      <c r="J275" s="11" t="s">
        <v>6</v>
      </c>
      <c r="K275" s="6" t="s">
        <v>8</v>
      </c>
      <c r="L275" s="9"/>
    </row>
    <row r="276" spans="1:12" ht="21" customHeight="1" outlineLevel="2" x14ac:dyDescent="0.25">
      <c r="A276" s="16">
        <f t="shared" si="3"/>
        <v>275</v>
      </c>
      <c r="B276" s="12" t="str">
        <f>B275</f>
        <v>ЩВ.6 (Блок 1)</v>
      </c>
      <c r="C276" s="13" t="s">
        <v>7</v>
      </c>
      <c r="D276" s="29" t="s">
        <v>470</v>
      </c>
      <c r="E276" s="12" t="s">
        <v>471</v>
      </c>
      <c r="F276" s="37">
        <v>19000</v>
      </c>
      <c r="G276" s="38">
        <f>F276*0.6</f>
        <v>11400</v>
      </c>
      <c r="H276" s="38">
        <f>I276*G276</f>
        <v>11400</v>
      </c>
      <c r="I276" s="16">
        <v>1</v>
      </c>
      <c r="J276" s="17" t="s">
        <v>12</v>
      </c>
      <c r="K276" s="13" t="s">
        <v>15</v>
      </c>
      <c r="L276" s="15">
        <v>11400</v>
      </c>
    </row>
    <row r="277" spans="1:12" ht="21" customHeight="1" outlineLevel="2" x14ac:dyDescent="0.25">
      <c r="A277" s="16">
        <f t="shared" si="3"/>
        <v>276</v>
      </c>
      <c r="B277" s="12" t="str">
        <f>B276</f>
        <v>ЩВ.6 (Блок 1)</v>
      </c>
      <c r="C277" s="13" t="s">
        <v>11</v>
      </c>
      <c r="D277" s="29" t="s">
        <v>67</v>
      </c>
      <c r="E277" s="12" t="s">
        <v>68</v>
      </c>
      <c r="F277" s="37">
        <v>11015</v>
      </c>
      <c r="G277" s="38">
        <f>F277*0.6</f>
        <v>6609</v>
      </c>
      <c r="H277" s="38">
        <f>G277*I277</f>
        <v>6609</v>
      </c>
      <c r="I277" s="16">
        <v>1</v>
      </c>
      <c r="J277" s="17" t="s">
        <v>12</v>
      </c>
      <c r="K277" s="13" t="s">
        <v>16</v>
      </c>
      <c r="L277" s="15">
        <v>6609</v>
      </c>
    </row>
    <row r="278" spans="1:12" ht="21" customHeight="1" outlineLevel="2" x14ac:dyDescent="0.25">
      <c r="A278" s="16">
        <f t="shared" si="3"/>
        <v>277</v>
      </c>
      <c r="B278" s="12" t="str">
        <f>B277</f>
        <v>ЩВ.6 (Блок 1)</v>
      </c>
      <c r="C278" s="13" t="s">
        <v>22</v>
      </c>
      <c r="D278" s="29" t="s">
        <v>128</v>
      </c>
      <c r="E278" s="12" t="s">
        <v>129</v>
      </c>
      <c r="F278" s="37">
        <v>9917</v>
      </c>
      <c r="G278" s="38">
        <f>F278*0.6</f>
        <v>5950.2</v>
      </c>
      <c r="H278" s="38">
        <f>G278*I278</f>
        <v>5950.2</v>
      </c>
      <c r="I278" s="16">
        <v>1</v>
      </c>
      <c r="J278" s="17" t="s">
        <v>12</v>
      </c>
      <c r="K278" s="13" t="s">
        <v>16</v>
      </c>
      <c r="L278" s="15">
        <v>5950.2</v>
      </c>
    </row>
    <row r="279" spans="1:12" ht="21" customHeight="1" outlineLevel="2" x14ac:dyDescent="0.25">
      <c r="A279" s="16">
        <f t="shared" si="3"/>
        <v>278</v>
      </c>
      <c r="B279" s="12" t="str">
        <f>B278</f>
        <v>ЩВ.6 (Блок 1)</v>
      </c>
      <c r="C279" s="13" t="s">
        <v>22</v>
      </c>
      <c r="D279" s="29" t="s">
        <v>126</v>
      </c>
      <c r="E279" s="12" t="s">
        <v>127</v>
      </c>
      <c r="F279" s="37">
        <v>11071</v>
      </c>
      <c r="G279" s="38">
        <f>F279*0.6</f>
        <v>6642.5999999999995</v>
      </c>
      <c r="H279" s="38">
        <f>G279*I279</f>
        <v>6642.5999999999995</v>
      </c>
      <c r="I279" s="16">
        <v>1</v>
      </c>
      <c r="J279" s="17" t="s">
        <v>12</v>
      </c>
      <c r="K279" s="13" t="s">
        <v>16</v>
      </c>
      <c r="L279" s="15">
        <v>6642.5999999999995</v>
      </c>
    </row>
    <row r="280" spans="1:12" ht="21" customHeight="1" outlineLevel="2" x14ac:dyDescent="0.25">
      <c r="A280" s="16">
        <f t="shared" si="3"/>
        <v>279</v>
      </c>
      <c r="B280" s="12" t="str">
        <f>B279</f>
        <v>ЩВ.6 (Блок 1)</v>
      </c>
      <c r="C280" s="13" t="s">
        <v>22</v>
      </c>
      <c r="D280" s="29" t="s">
        <v>124</v>
      </c>
      <c r="E280" s="12" t="s">
        <v>125</v>
      </c>
      <c r="F280" s="37">
        <v>8934</v>
      </c>
      <c r="G280" s="38">
        <f>F280*0.6</f>
        <v>5360.4</v>
      </c>
      <c r="H280" s="38">
        <f>G280*I280</f>
        <v>10720.8</v>
      </c>
      <c r="I280" s="16">
        <v>2</v>
      </c>
      <c r="J280" s="17" t="s">
        <v>12</v>
      </c>
      <c r="K280" s="13" t="s">
        <v>16</v>
      </c>
      <c r="L280" s="15">
        <v>10720.8</v>
      </c>
    </row>
    <row r="281" spans="1:12" ht="24" customHeight="1" outlineLevel="2" x14ac:dyDescent="0.25">
      <c r="A281" s="12">
        <f t="shared" si="3"/>
        <v>280</v>
      </c>
      <c r="B281" s="12" t="str">
        <f>B280</f>
        <v>ЩВ.6 (Блок 1)</v>
      </c>
      <c r="C281" s="12" t="s">
        <v>9</v>
      </c>
      <c r="D281" s="30" t="s">
        <v>9</v>
      </c>
      <c r="E281" s="12" t="s">
        <v>9</v>
      </c>
      <c r="F281" s="18">
        <f ca="1">OFFSET(F281,1,2)</f>
        <v>12000</v>
      </c>
      <c r="G281" s="38">
        <f ca="1">F281</f>
        <v>12000</v>
      </c>
      <c r="H281" s="38">
        <f ca="1">G281*I281</f>
        <v>12000</v>
      </c>
      <c r="I281" s="12">
        <v>1</v>
      </c>
      <c r="J281" s="12" t="s">
        <v>12</v>
      </c>
      <c r="K281" s="12" t="s">
        <v>9</v>
      </c>
      <c r="L281" s="15">
        <v>12000</v>
      </c>
    </row>
    <row r="282" spans="1:12" ht="21" customHeight="1" outlineLevel="2" x14ac:dyDescent="0.25">
      <c r="A282" s="12">
        <f t="shared" si="3"/>
        <v>281</v>
      </c>
      <c r="B282" s="12" t="str">
        <f>B281</f>
        <v>ЩВ.6 (Блок 1)</v>
      </c>
      <c r="C282" s="12" t="s">
        <v>10</v>
      </c>
      <c r="D282" s="30" t="s">
        <v>10</v>
      </c>
      <c r="E282" s="12" t="s">
        <v>10</v>
      </c>
      <c r="F282" s="18">
        <v>2</v>
      </c>
      <c r="G282" s="38">
        <v>100</v>
      </c>
      <c r="H282" s="38">
        <f>60*F282*G282</f>
        <v>12000</v>
      </c>
      <c r="I282" s="12">
        <f>60*F282</f>
        <v>120</v>
      </c>
      <c r="J282" s="12" t="s">
        <v>12</v>
      </c>
      <c r="K282" s="12" t="s">
        <v>10</v>
      </c>
      <c r="L282" s="15">
        <v>12000</v>
      </c>
    </row>
    <row r="283" spans="1:12" ht="21" customHeight="1" outlineLevel="1" x14ac:dyDescent="0.25">
      <c r="A283" s="12"/>
      <c r="B283" s="12" t="s">
        <v>636</v>
      </c>
      <c r="C283" s="12"/>
      <c r="D283" s="30"/>
      <c r="E283" s="12"/>
      <c r="F283" s="18"/>
      <c r="G283" s="38"/>
      <c r="H283" s="38">
        <f ca="1">SUBTOTAL(9,H275:H282)</f>
        <v>65322.6</v>
      </c>
      <c r="I283" s="12"/>
      <c r="J283" s="12"/>
      <c r="K283" s="12"/>
      <c r="L283" s="15">
        <v>65322.6</v>
      </c>
    </row>
    <row r="284" spans="1:12" ht="39.75" customHeight="1" outlineLevel="2" x14ac:dyDescent="0.25">
      <c r="A284" s="10">
        <f>ROW(A282)</f>
        <v>282</v>
      </c>
      <c r="B284" s="6" t="str">
        <f>E284</f>
        <v>ВРУ-1 (ВРУ-1-13-10УХЛ4) c PLC счетчиком (Блок 2,3)</v>
      </c>
      <c r="C284" s="6"/>
      <c r="D284" s="28"/>
      <c r="E284" s="6" t="s">
        <v>561</v>
      </c>
      <c r="F284" s="36"/>
      <c r="G284" s="36" t="s">
        <v>73</v>
      </c>
      <c r="H284" s="7"/>
      <c r="I284" s="10">
        <v>1</v>
      </c>
      <c r="J284" s="11" t="s">
        <v>6</v>
      </c>
      <c r="K284" s="6" t="s">
        <v>8</v>
      </c>
      <c r="L284" s="9"/>
    </row>
    <row r="285" spans="1:12" ht="21" customHeight="1" outlineLevel="2" x14ac:dyDescent="0.25">
      <c r="A285" s="16">
        <f t="shared" si="3"/>
        <v>284</v>
      </c>
      <c r="B285" s="12" t="str">
        <f>B284</f>
        <v>ВРУ-1 (ВРУ-1-13-10УХЛ4) c PLC счетчиком (Блок 2,3)</v>
      </c>
      <c r="C285" s="13" t="s">
        <v>7</v>
      </c>
      <c r="D285" s="29" t="s">
        <v>60</v>
      </c>
      <c r="E285" s="12" t="s">
        <v>61</v>
      </c>
      <c r="F285" s="37">
        <v>155000</v>
      </c>
      <c r="G285" s="38">
        <f>F285*0.6</f>
        <v>93000</v>
      </c>
      <c r="H285" s="38">
        <f>I285*G285</f>
        <v>93000</v>
      </c>
      <c r="I285" s="16">
        <v>1</v>
      </c>
      <c r="J285" s="17" t="s">
        <v>12</v>
      </c>
      <c r="K285" s="13" t="s">
        <v>15</v>
      </c>
      <c r="L285" s="15">
        <v>93000</v>
      </c>
    </row>
    <row r="286" spans="1:12" ht="21" customHeight="1" outlineLevel="2" x14ac:dyDescent="0.25">
      <c r="A286" s="16">
        <f t="shared" si="3"/>
        <v>285</v>
      </c>
      <c r="B286" s="12" t="str">
        <f>B285</f>
        <v>ВРУ-1 (ВРУ-1-13-10УХЛ4) c PLC счетчиком (Блок 2,3)</v>
      </c>
      <c r="C286" s="13" t="s">
        <v>26</v>
      </c>
      <c r="D286" s="29" t="s">
        <v>497</v>
      </c>
      <c r="E286" s="12" t="s">
        <v>498</v>
      </c>
      <c r="F286" s="37">
        <v>6500</v>
      </c>
      <c r="G286" s="38">
        <f>F286</f>
        <v>6500</v>
      </c>
      <c r="H286" s="38">
        <f>G286*I286</f>
        <v>39000</v>
      </c>
      <c r="I286" s="16">
        <v>6</v>
      </c>
      <c r="J286" s="17" t="s">
        <v>12</v>
      </c>
      <c r="K286" s="13" t="s">
        <v>25</v>
      </c>
      <c r="L286" s="15">
        <v>39000</v>
      </c>
    </row>
    <row r="287" spans="1:12" ht="21" customHeight="1" outlineLevel="2" x14ac:dyDescent="0.25">
      <c r="A287" s="16">
        <f t="shared" si="3"/>
        <v>286</v>
      </c>
      <c r="B287" s="12" t="str">
        <f>B286</f>
        <v>ВРУ-1 (ВРУ-1-13-10УХЛ4) c PLC счетчиком (Блок 2,3)</v>
      </c>
      <c r="C287" s="13" t="s">
        <v>36</v>
      </c>
      <c r="D287" s="29" t="s">
        <v>135</v>
      </c>
      <c r="E287" s="12" t="s">
        <v>136</v>
      </c>
      <c r="F287" s="37">
        <v>16414</v>
      </c>
      <c r="G287" s="38">
        <f>F287</f>
        <v>16414</v>
      </c>
      <c r="H287" s="38">
        <f>G287*I287</f>
        <v>32828</v>
      </c>
      <c r="I287" s="16">
        <v>2</v>
      </c>
      <c r="J287" s="17" t="s">
        <v>12</v>
      </c>
      <c r="K287" s="13" t="s">
        <v>25</v>
      </c>
      <c r="L287" s="15">
        <v>32828</v>
      </c>
    </row>
    <row r="288" spans="1:12" ht="21" customHeight="1" outlineLevel="2" x14ac:dyDescent="0.25">
      <c r="A288" s="16">
        <f t="shared" si="3"/>
        <v>287</v>
      </c>
      <c r="B288" s="12" t="str">
        <f>B287</f>
        <v>ВРУ-1 (ВРУ-1-13-10УХЛ4) c PLC счетчиком (Блок 2,3)</v>
      </c>
      <c r="C288" s="13" t="s">
        <v>37</v>
      </c>
      <c r="D288" s="29" t="s">
        <v>137</v>
      </c>
      <c r="E288" s="12" t="s">
        <v>138</v>
      </c>
      <c r="F288" s="37">
        <v>3302</v>
      </c>
      <c r="G288" s="38">
        <f>F288*0.6</f>
        <v>1981.1999999999998</v>
      </c>
      <c r="H288" s="38">
        <f>G288*I288</f>
        <v>11887.199999999999</v>
      </c>
      <c r="I288" s="16">
        <v>6</v>
      </c>
      <c r="J288" s="17" t="s">
        <v>12</v>
      </c>
      <c r="K288" s="13" t="s">
        <v>16</v>
      </c>
      <c r="L288" s="15">
        <v>11887.199999999999</v>
      </c>
    </row>
    <row r="289" spans="1:12" ht="21" customHeight="1" outlineLevel="2" x14ac:dyDescent="0.25">
      <c r="A289" s="16">
        <f t="shared" si="3"/>
        <v>288</v>
      </c>
      <c r="B289" s="12" t="str">
        <f>B288</f>
        <v>ВРУ-1 (ВРУ-1-13-10УХЛ4) c PLC счетчиком (Блок 2,3)</v>
      </c>
      <c r="C289" s="13" t="s">
        <v>37</v>
      </c>
      <c r="D289" s="29" t="s">
        <v>139</v>
      </c>
      <c r="E289" s="12" t="s">
        <v>140</v>
      </c>
      <c r="F289" s="37">
        <v>4750</v>
      </c>
      <c r="G289" s="38">
        <f>F289*0.6</f>
        <v>2850</v>
      </c>
      <c r="H289" s="38">
        <f>G289*I289</f>
        <v>17100</v>
      </c>
      <c r="I289" s="16">
        <v>6</v>
      </c>
      <c r="J289" s="17" t="s">
        <v>12</v>
      </c>
      <c r="K289" s="13" t="s">
        <v>16</v>
      </c>
      <c r="L289" s="15">
        <v>17100</v>
      </c>
    </row>
    <row r="290" spans="1:12" ht="21" customHeight="1" outlineLevel="2" x14ac:dyDescent="0.25">
      <c r="A290" s="16">
        <f t="shared" si="3"/>
        <v>289</v>
      </c>
      <c r="B290" s="12" t="str">
        <f>B289</f>
        <v>ВРУ-1 (ВРУ-1-13-10УХЛ4) c PLC счетчиком (Блок 2,3)</v>
      </c>
      <c r="C290" s="13" t="s">
        <v>11</v>
      </c>
      <c r="D290" s="29" t="s">
        <v>18</v>
      </c>
      <c r="E290" s="12" t="s">
        <v>19</v>
      </c>
      <c r="F290" s="37">
        <v>975</v>
      </c>
      <c r="G290" s="38">
        <f>F290*0.6</f>
        <v>585</v>
      </c>
      <c r="H290" s="38">
        <f>G290*I290</f>
        <v>1170</v>
      </c>
      <c r="I290" s="16">
        <v>2</v>
      </c>
      <c r="J290" s="17" t="s">
        <v>12</v>
      </c>
      <c r="K290" s="13" t="s">
        <v>16</v>
      </c>
      <c r="L290" s="15">
        <v>1170</v>
      </c>
    </row>
    <row r="291" spans="1:12" ht="22.5" customHeight="1" outlineLevel="2" x14ac:dyDescent="0.25">
      <c r="A291" s="16">
        <f t="shared" si="3"/>
        <v>290</v>
      </c>
      <c r="B291" s="12" t="str">
        <f>B290</f>
        <v>ВРУ-1 (ВРУ-1-13-10УХЛ4) c PLC счетчиком (Блок 2,3)</v>
      </c>
      <c r="C291" s="13" t="s">
        <v>17</v>
      </c>
      <c r="D291" s="29" t="s">
        <v>484</v>
      </c>
      <c r="E291" s="12" t="s">
        <v>485</v>
      </c>
      <c r="F291" s="37">
        <v>90000</v>
      </c>
      <c r="G291" s="38">
        <f>F291</f>
        <v>90000</v>
      </c>
      <c r="H291" s="38">
        <f>G291*I291</f>
        <v>180000</v>
      </c>
      <c r="I291" s="16">
        <v>2</v>
      </c>
      <c r="J291" s="17" t="s">
        <v>12</v>
      </c>
      <c r="K291" s="13" t="s">
        <v>597</v>
      </c>
      <c r="L291" s="15">
        <v>180000</v>
      </c>
    </row>
    <row r="292" spans="1:12" ht="21" customHeight="1" outlineLevel="2" x14ac:dyDescent="0.25">
      <c r="A292" s="16">
        <f t="shared" si="3"/>
        <v>291</v>
      </c>
      <c r="B292" s="12" t="str">
        <f>B291</f>
        <v>ВРУ-1 (ВРУ-1-13-10УХЛ4) c PLC счетчиком (Блок 2,3)</v>
      </c>
      <c r="C292" s="13" t="s">
        <v>38</v>
      </c>
      <c r="D292" s="29"/>
      <c r="E292" s="12" t="s">
        <v>216</v>
      </c>
      <c r="F292" s="37">
        <v>4500</v>
      </c>
      <c r="G292" s="38">
        <f>F292</f>
        <v>4500</v>
      </c>
      <c r="H292" s="38">
        <f>G292*I292</f>
        <v>27000</v>
      </c>
      <c r="I292" s="16">
        <v>6</v>
      </c>
      <c r="J292" s="17" t="s">
        <v>12</v>
      </c>
      <c r="K292" s="13" t="s">
        <v>25</v>
      </c>
      <c r="L292" s="15">
        <v>27000</v>
      </c>
    </row>
    <row r="293" spans="1:12" ht="21" customHeight="1" outlineLevel="2" x14ac:dyDescent="0.25">
      <c r="A293" s="16">
        <f t="shared" si="3"/>
        <v>292</v>
      </c>
      <c r="B293" s="12" t="str">
        <f>B292</f>
        <v>ВРУ-1 (ВРУ-1-13-10УХЛ4) c PLC счетчиком (Блок 2,3)</v>
      </c>
      <c r="C293" s="13" t="s">
        <v>33</v>
      </c>
      <c r="D293" s="29"/>
      <c r="E293" s="12" t="s">
        <v>33</v>
      </c>
      <c r="F293" s="37">
        <v>1000</v>
      </c>
      <c r="G293" s="38">
        <f>F293</f>
        <v>1000</v>
      </c>
      <c r="H293" s="38">
        <f>G293*I293</f>
        <v>1000</v>
      </c>
      <c r="I293" s="16">
        <v>1</v>
      </c>
      <c r="J293" s="17" t="s">
        <v>12</v>
      </c>
      <c r="K293" s="13" t="s">
        <v>25</v>
      </c>
      <c r="L293" s="15">
        <v>1000</v>
      </c>
    </row>
    <row r="294" spans="1:12" ht="24" customHeight="1" outlineLevel="2" x14ac:dyDescent="0.25">
      <c r="A294" s="12">
        <f t="shared" si="3"/>
        <v>293</v>
      </c>
      <c r="B294" s="12" t="str">
        <f>B293</f>
        <v>ВРУ-1 (ВРУ-1-13-10УХЛ4) c PLC счетчиком (Блок 2,3)</v>
      </c>
      <c r="C294" s="12" t="s">
        <v>9</v>
      </c>
      <c r="D294" s="30" t="s">
        <v>9</v>
      </c>
      <c r="E294" s="12" t="s">
        <v>9</v>
      </c>
      <c r="F294" s="18">
        <f ca="1">OFFSET(F294,1,2)</f>
        <v>60000</v>
      </c>
      <c r="G294" s="38">
        <f ca="1">F294</f>
        <v>60000</v>
      </c>
      <c r="H294" s="38">
        <f ca="1">G294*I294</f>
        <v>60000</v>
      </c>
      <c r="I294" s="12">
        <v>1</v>
      </c>
      <c r="J294" s="12" t="s">
        <v>12</v>
      </c>
      <c r="K294" s="12" t="s">
        <v>9</v>
      </c>
      <c r="L294" s="15">
        <v>60000</v>
      </c>
    </row>
    <row r="295" spans="1:12" ht="21" customHeight="1" outlineLevel="2" x14ac:dyDescent="0.25">
      <c r="A295" s="12">
        <f t="shared" ref="A295:A367" si="4">ROW(A294)</f>
        <v>294</v>
      </c>
      <c r="B295" s="12" t="str">
        <f>B294</f>
        <v>ВРУ-1 (ВРУ-1-13-10УХЛ4) c PLC счетчиком (Блок 2,3)</v>
      </c>
      <c r="C295" s="12" t="s">
        <v>10</v>
      </c>
      <c r="D295" s="30" t="s">
        <v>10</v>
      </c>
      <c r="E295" s="12" t="s">
        <v>10</v>
      </c>
      <c r="F295" s="18">
        <v>10</v>
      </c>
      <c r="G295" s="38">
        <v>100</v>
      </c>
      <c r="H295" s="38">
        <f>60*F295*G295</f>
        <v>60000</v>
      </c>
      <c r="I295" s="12">
        <f>60*F295</f>
        <v>600</v>
      </c>
      <c r="J295" s="12" t="s">
        <v>12</v>
      </c>
      <c r="K295" s="12" t="s">
        <v>10</v>
      </c>
      <c r="L295" s="15">
        <v>60000</v>
      </c>
    </row>
    <row r="296" spans="1:12" ht="21" customHeight="1" outlineLevel="1" x14ac:dyDescent="0.25">
      <c r="A296" s="12"/>
      <c r="B296" s="12" t="s">
        <v>637</v>
      </c>
      <c r="C296" s="12"/>
      <c r="D296" s="30"/>
      <c r="E296" s="12"/>
      <c r="F296" s="18"/>
      <c r="G296" s="38"/>
      <c r="H296" s="38">
        <f ca="1">SUBTOTAL(9,H284:H295)</f>
        <v>522985.2</v>
      </c>
      <c r="I296" s="12"/>
      <c r="J296" s="12"/>
      <c r="K296" s="12"/>
      <c r="L296" s="15">
        <v>522985.2</v>
      </c>
    </row>
    <row r="297" spans="1:12" ht="39.75" customHeight="1" outlineLevel="2" x14ac:dyDescent="0.25">
      <c r="A297" s="10">
        <f>ROW(A295)</f>
        <v>295</v>
      </c>
      <c r="B297" s="6" t="str">
        <f>E297</f>
        <v>ВРУ-2 (ВРУ-1-50-01УХЛ4) (Блок 2,3)</v>
      </c>
      <c r="C297" s="6"/>
      <c r="D297" s="28"/>
      <c r="E297" s="6" t="s">
        <v>499</v>
      </c>
      <c r="F297" s="36"/>
      <c r="G297" s="36" t="s">
        <v>73</v>
      </c>
      <c r="H297" s="7"/>
      <c r="I297" s="10">
        <v>1</v>
      </c>
      <c r="J297" s="11" t="s">
        <v>6</v>
      </c>
      <c r="K297" s="6" t="s">
        <v>8</v>
      </c>
      <c r="L297" s="9"/>
    </row>
    <row r="298" spans="1:12" ht="21" customHeight="1" outlineLevel="2" x14ac:dyDescent="0.25">
      <c r="A298" s="16">
        <f t="shared" si="4"/>
        <v>297</v>
      </c>
      <c r="B298" s="12" t="str">
        <f>B297</f>
        <v>ВРУ-2 (ВРУ-1-50-01УХЛ4) (Блок 2,3)</v>
      </c>
      <c r="C298" s="13" t="s">
        <v>7</v>
      </c>
      <c r="D298" s="29" t="s">
        <v>578</v>
      </c>
      <c r="E298" s="12" t="s">
        <v>579</v>
      </c>
      <c r="F298" s="37">
        <v>145000</v>
      </c>
      <c r="G298" s="38">
        <f>F298*0.6</f>
        <v>87000</v>
      </c>
      <c r="H298" s="38">
        <f>I298*G298</f>
        <v>87000</v>
      </c>
      <c r="I298" s="16">
        <v>1</v>
      </c>
      <c r="J298" s="17" t="s">
        <v>12</v>
      </c>
      <c r="K298" s="13" t="s">
        <v>15</v>
      </c>
      <c r="L298" s="15">
        <v>87000</v>
      </c>
    </row>
    <row r="299" spans="1:12" ht="21" customHeight="1" outlineLevel="2" x14ac:dyDescent="0.25">
      <c r="A299" s="16">
        <f t="shared" si="4"/>
        <v>298</v>
      </c>
      <c r="B299" s="12" t="str">
        <f>B298</f>
        <v>ВРУ-2 (ВРУ-1-50-01УХЛ4) (Блок 2,3)</v>
      </c>
      <c r="C299" s="13" t="s">
        <v>43</v>
      </c>
      <c r="D299" s="29" t="s">
        <v>41</v>
      </c>
      <c r="E299" s="12" t="s">
        <v>42</v>
      </c>
      <c r="F299" s="37">
        <v>19418</v>
      </c>
      <c r="G299" s="38">
        <f>F299*0.6</f>
        <v>11650.8</v>
      </c>
      <c r="H299" s="38">
        <f>G299*I299</f>
        <v>11650.8</v>
      </c>
      <c r="I299" s="16">
        <v>1</v>
      </c>
      <c r="J299" s="17" t="s">
        <v>12</v>
      </c>
      <c r="K299" s="13" t="s">
        <v>16</v>
      </c>
      <c r="L299" s="15">
        <v>11650.8</v>
      </c>
    </row>
    <row r="300" spans="1:12" ht="21" customHeight="1" outlineLevel="2" x14ac:dyDescent="0.25">
      <c r="A300" s="16">
        <f t="shared" si="4"/>
        <v>299</v>
      </c>
      <c r="B300" s="12" t="str">
        <f>B299</f>
        <v>ВРУ-2 (ВРУ-1-50-01УХЛ4) (Блок 2,3)</v>
      </c>
      <c r="C300" s="13" t="s">
        <v>43</v>
      </c>
      <c r="D300" s="29" t="s">
        <v>141</v>
      </c>
      <c r="E300" s="12" t="s">
        <v>142</v>
      </c>
      <c r="F300" s="37">
        <v>19295</v>
      </c>
      <c r="G300" s="38">
        <f>F300*0.6</f>
        <v>11577</v>
      </c>
      <c r="H300" s="38">
        <f>G300*I300</f>
        <v>46308</v>
      </c>
      <c r="I300" s="16">
        <v>4</v>
      </c>
      <c r="J300" s="17" t="s">
        <v>12</v>
      </c>
      <c r="K300" s="13" t="s">
        <v>16</v>
      </c>
      <c r="L300" s="15">
        <v>46308</v>
      </c>
    </row>
    <row r="301" spans="1:12" ht="21" customHeight="1" outlineLevel="2" x14ac:dyDescent="0.25">
      <c r="A301" s="16">
        <f t="shared" si="4"/>
        <v>300</v>
      </c>
      <c r="B301" s="12" t="str">
        <f>B300</f>
        <v>ВРУ-2 (ВРУ-1-50-01УХЛ4) (Блок 2,3)</v>
      </c>
      <c r="C301" s="13" t="s">
        <v>43</v>
      </c>
      <c r="D301" s="29" t="s">
        <v>74</v>
      </c>
      <c r="E301" s="12" t="s">
        <v>75</v>
      </c>
      <c r="F301" s="37">
        <v>20174</v>
      </c>
      <c r="G301" s="38">
        <f>F301*0.6</f>
        <v>12104.4</v>
      </c>
      <c r="H301" s="38">
        <f>G301*I301</f>
        <v>84730.8</v>
      </c>
      <c r="I301" s="16">
        <v>7</v>
      </c>
      <c r="J301" s="17" t="s">
        <v>12</v>
      </c>
      <c r="K301" s="13" t="s">
        <v>16</v>
      </c>
      <c r="L301" s="15">
        <v>84730.8</v>
      </c>
    </row>
    <row r="302" spans="1:12" ht="21" customHeight="1" outlineLevel="2" x14ac:dyDescent="0.25">
      <c r="A302" s="16">
        <f t="shared" si="4"/>
        <v>301</v>
      </c>
      <c r="B302" s="12" t="str">
        <f>B301</f>
        <v>ВРУ-2 (ВРУ-1-50-01УХЛ4) (Блок 2,3)</v>
      </c>
      <c r="C302" s="13" t="s">
        <v>33</v>
      </c>
      <c r="D302" s="29"/>
      <c r="E302" s="12" t="s">
        <v>33</v>
      </c>
      <c r="F302" s="37">
        <v>1000</v>
      </c>
      <c r="G302" s="38">
        <f>F302</f>
        <v>1000</v>
      </c>
      <c r="H302" s="38">
        <f>G302*I302</f>
        <v>1000</v>
      </c>
      <c r="I302" s="16">
        <v>1</v>
      </c>
      <c r="J302" s="17" t="s">
        <v>12</v>
      </c>
      <c r="K302" s="13" t="s">
        <v>25</v>
      </c>
      <c r="L302" s="15">
        <v>1000</v>
      </c>
    </row>
    <row r="303" spans="1:12" ht="24" customHeight="1" outlineLevel="2" x14ac:dyDescent="0.25">
      <c r="A303" s="12">
        <f t="shared" si="4"/>
        <v>302</v>
      </c>
      <c r="B303" s="12" t="str">
        <f>B302</f>
        <v>ВРУ-2 (ВРУ-1-50-01УХЛ4) (Блок 2,3)</v>
      </c>
      <c r="C303" s="12" t="s">
        <v>9</v>
      </c>
      <c r="D303" s="30" t="s">
        <v>9</v>
      </c>
      <c r="E303" s="12" t="s">
        <v>9</v>
      </c>
      <c r="F303" s="18">
        <f ca="1">OFFSET(F303,1,2)</f>
        <v>36000</v>
      </c>
      <c r="G303" s="38">
        <f ca="1">F303</f>
        <v>36000</v>
      </c>
      <c r="H303" s="38">
        <f ca="1">G303*I303</f>
        <v>36000</v>
      </c>
      <c r="I303" s="12">
        <v>1</v>
      </c>
      <c r="J303" s="12" t="s">
        <v>12</v>
      </c>
      <c r="K303" s="12" t="s">
        <v>9</v>
      </c>
      <c r="L303" s="15">
        <v>36000</v>
      </c>
    </row>
    <row r="304" spans="1:12" ht="21" customHeight="1" outlineLevel="2" x14ac:dyDescent="0.25">
      <c r="A304" s="12">
        <f t="shared" si="4"/>
        <v>303</v>
      </c>
      <c r="B304" s="12" t="str">
        <f>B303</f>
        <v>ВРУ-2 (ВРУ-1-50-01УХЛ4) (Блок 2,3)</v>
      </c>
      <c r="C304" s="12" t="s">
        <v>10</v>
      </c>
      <c r="D304" s="30" t="s">
        <v>10</v>
      </c>
      <c r="E304" s="12" t="s">
        <v>10</v>
      </c>
      <c r="F304" s="18">
        <v>6</v>
      </c>
      <c r="G304" s="38">
        <v>100</v>
      </c>
      <c r="H304" s="38">
        <f>60*F304*G304</f>
        <v>36000</v>
      </c>
      <c r="I304" s="12">
        <f>60*F304</f>
        <v>360</v>
      </c>
      <c r="J304" s="12" t="s">
        <v>12</v>
      </c>
      <c r="K304" s="12" t="s">
        <v>10</v>
      </c>
      <c r="L304" s="15">
        <v>36000</v>
      </c>
    </row>
    <row r="305" spans="1:12" ht="21" customHeight="1" outlineLevel="1" x14ac:dyDescent="0.25">
      <c r="A305" s="12"/>
      <c r="B305" s="12" t="s">
        <v>638</v>
      </c>
      <c r="C305" s="12"/>
      <c r="D305" s="30"/>
      <c r="E305" s="12"/>
      <c r="F305" s="18"/>
      <c r="G305" s="38"/>
      <c r="H305" s="38">
        <f ca="1">SUBTOTAL(9,H297:H304)</f>
        <v>302689.59999999998</v>
      </c>
      <c r="I305" s="12"/>
      <c r="J305" s="12"/>
      <c r="K305" s="12"/>
      <c r="L305" s="15">
        <v>302689.59999999998</v>
      </c>
    </row>
    <row r="306" spans="1:12" ht="39.75" customHeight="1" outlineLevel="2" x14ac:dyDescent="0.25">
      <c r="A306" s="10">
        <f>ROW(A304)</f>
        <v>304</v>
      </c>
      <c r="B306" s="6" t="str">
        <f>E306</f>
        <v>АВР-1 (АВР-3-100-2-У) (Блок 2, 3)</v>
      </c>
      <c r="C306" s="6"/>
      <c r="D306" s="28"/>
      <c r="E306" s="6" t="s">
        <v>486</v>
      </c>
      <c r="F306" s="36"/>
      <c r="G306" s="36" t="s">
        <v>73</v>
      </c>
      <c r="H306" s="7"/>
      <c r="I306" s="10">
        <v>1</v>
      </c>
      <c r="J306" s="11" t="s">
        <v>6</v>
      </c>
      <c r="K306" s="6" t="s">
        <v>8</v>
      </c>
      <c r="L306" s="9"/>
    </row>
    <row r="307" spans="1:12" ht="21" customHeight="1" outlineLevel="2" x14ac:dyDescent="0.25">
      <c r="A307" s="16">
        <f t="shared" si="4"/>
        <v>306</v>
      </c>
      <c r="B307" s="12" t="str">
        <f>B306</f>
        <v>АВР-1 (АВР-3-100-2-У) (Блок 2, 3)</v>
      </c>
      <c r="C307" s="13" t="s">
        <v>7</v>
      </c>
      <c r="D307" s="29" t="s">
        <v>509</v>
      </c>
      <c r="E307" s="12" t="s">
        <v>510</v>
      </c>
      <c r="F307" s="37">
        <v>73730</v>
      </c>
      <c r="G307" s="38">
        <f>F307*0.6</f>
        <v>44238</v>
      </c>
      <c r="H307" s="38">
        <f>I307*G307</f>
        <v>44238</v>
      </c>
      <c r="I307" s="16">
        <v>1</v>
      </c>
      <c r="J307" s="17" t="s">
        <v>12</v>
      </c>
      <c r="K307" s="13" t="s">
        <v>15</v>
      </c>
      <c r="L307" s="15">
        <v>44238</v>
      </c>
    </row>
    <row r="308" spans="1:12" ht="21" customHeight="1" outlineLevel="2" x14ac:dyDescent="0.25">
      <c r="A308" s="16">
        <f t="shared" si="4"/>
        <v>307</v>
      </c>
      <c r="B308" s="12" t="str">
        <f>B307</f>
        <v>АВР-1 (АВР-3-100-2-У) (Блок 2, 3)</v>
      </c>
      <c r="C308" s="13" t="s">
        <v>26</v>
      </c>
      <c r="D308" s="29" t="s">
        <v>79</v>
      </c>
      <c r="E308" s="12" t="s">
        <v>78</v>
      </c>
      <c r="F308" s="37">
        <v>6018</v>
      </c>
      <c r="G308" s="38">
        <f>F308</f>
        <v>6018</v>
      </c>
      <c r="H308" s="38">
        <f>G308*I308</f>
        <v>18054</v>
      </c>
      <c r="I308" s="16">
        <v>3</v>
      </c>
      <c r="J308" s="17" t="s">
        <v>12</v>
      </c>
      <c r="K308" s="13" t="s">
        <v>25</v>
      </c>
      <c r="L308" s="15">
        <v>18054</v>
      </c>
    </row>
    <row r="309" spans="1:12" ht="21" customHeight="1" outlineLevel="2" x14ac:dyDescent="0.25">
      <c r="A309" s="16">
        <f t="shared" si="4"/>
        <v>308</v>
      </c>
      <c r="B309" s="12" t="str">
        <f>B308</f>
        <v>АВР-1 (АВР-3-100-2-У) (Блок 2, 3)</v>
      </c>
      <c r="C309" s="13" t="s">
        <v>86</v>
      </c>
      <c r="D309" s="29" t="s">
        <v>143</v>
      </c>
      <c r="E309" s="12" t="s">
        <v>144</v>
      </c>
      <c r="F309" s="37">
        <v>207389</v>
      </c>
      <c r="G309" s="38">
        <f>F309*0.6</f>
        <v>124433.4</v>
      </c>
      <c r="H309" s="38">
        <f>G309*I309</f>
        <v>124433.4</v>
      </c>
      <c r="I309" s="16">
        <v>1</v>
      </c>
      <c r="J309" s="17" t="s">
        <v>12</v>
      </c>
      <c r="K309" s="13" t="s">
        <v>16</v>
      </c>
      <c r="L309" s="15">
        <v>124433.4</v>
      </c>
    </row>
    <row r="310" spans="1:12" ht="21" customHeight="1" outlineLevel="2" x14ac:dyDescent="0.25">
      <c r="A310" s="16">
        <f t="shared" si="4"/>
        <v>309</v>
      </c>
      <c r="B310" s="12" t="str">
        <f>B309</f>
        <v>АВР-1 (АВР-3-100-2-У) (Блок 2, 3)</v>
      </c>
      <c r="C310" s="13" t="s">
        <v>59</v>
      </c>
      <c r="D310" s="29" t="s">
        <v>57</v>
      </c>
      <c r="E310" s="12" t="s">
        <v>58</v>
      </c>
      <c r="F310" s="37">
        <v>571</v>
      </c>
      <c r="G310" s="38">
        <f>F310*0.6</f>
        <v>342.59999999999997</v>
      </c>
      <c r="H310" s="38">
        <f>G310*I310</f>
        <v>685.19999999999993</v>
      </c>
      <c r="I310" s="16">
        <v>2</v>
      </c>
      <c r="J310" s="17" t="s">
        <v>12</v>
      </c>
      <c r="K310" s="13" t="s">
        <v>16</v>
      </c>
      <c r="L310" s="15">
        <v>685.19999999999993</v>
      </c>
    </row>
    <row r="311" spans="1:12" ht="21" customHeight="1" outlineLevel="2" x14ac:dyDescent="0.25">
      <c r="A311" s="16">
        <f t="shared" si="4"/>
        <v>310</v>
      </c>
      <c r="B311" s="12" t="str">
        <f>B310</f>
        <v>АВР-1 (АВР-3-100-2-У) (Блок 2, 3)</v>
      </c>
      <c r="C311" s="13" t="s">
        <v>59</v>
      </c>
      <c r="D311" s="29" t="s">
        <v>55</v>
      </c>
      <c r="E311" s="12" t="s">
        <v>56</v>
      </c>
      <c r="F311" s="37">
        <v>589</v>
      </c>
      <c r="G311" s="38">
        <f>F311*0.6</f>
        <v>353.4</v>
      </c>
      <c r="H311" s="38">
        <f>G311*I311</f>
        <v>706.8</v>
      </c>
      <c r="I311" s="16">
        <v>2</v>
      </c>
      <c r="J311" s="17" t="s">
        <v>12</v>
      </c>
      <c r="K311" s="13" t="s">
        <v>16</v>
      </c>
      <c r="L311" s="15">
        <v>706.8</v>
      </c>
    </row>
    <row r="312" spans="1:12" ht="22.5" customHeight="1" outlineLevel="2" x14ac:dyDescent="0.25">
      <c r="A312" s="16">
        <f t="shared" si="4"/>
        <v>311</v>
      </c>
      <c r="B312" s="12" t="str">
        <f>B311</f>
        <v>АВР-1 (АВР-3-100-2-У) (Блок 2, 3)</v>
      </c>
      <c r="C312" s="13" t="s">
        <v>17</v>
      </c>
      <c r="D312" s="29" t="s">
        <v>484</v>
      </c>
      <c r="E312" s="12" t="s">
        <v>485</v>
      </c>
      <c r="F312" s="37">
        <v>90000</v>
      </c>
      <c r="G312" s="38">
        <f>F312</f>
        <v>90000</v>
      </c>
      <c r="H312" s="38">
        <f>G312*I312</f>
        <v>90000</v>
      </c>
      <c r="I312" s="16">
        <v>1</v>
      </c>
      <c r="J312" s="17" t="s">
        <v>12</v>
      </c>
      <c r="K312" s="13" t="s">
        <v>597</v>
      </c>
      <c r="L312" s="15">
        <v>90000</v>
      </c>
    </row>
    <row r="313" spans="1:12" ht="21" customHeight="1" outlineLevel="2" x14ac:dyDescent="0.25">
      <c r="A313" s="16">
        <f t="shared" si="4"/>
        <v>312</v>
      </c>
      <c r="B313" s="12" t="str">
        <f>B312</f>
        <v>АВР-1 (АВР-3-100-2-У) (Блок 2, 3)</v>
      </c>
      <c r="C313" s="13" t="s">
        <v>11</v>
      </c>
      <c r="D313" s="29" t="s">
        <v>18</v>
      </c>
      <c r="E313" s="12" t="s">
        <v>19</v>
      </c>
      <c r="F313" s="37">
        <v>975</v>
      </c>
      <c r="G313" s="38">
        <f>F313*0.6</f>
        <v>585</v>
      </c>
      <c r="H313" s="38">
        <f>G313*I313</f>
        <v>1170</v>
      </c>
      <c r="I313" s="16">
        <v>2</v>
      </c>
      <c r="J313" s="17" t="s">
        <v>12</v>
      </c>
      <c r="K313" s="13" t="s">
        <v>16</v>
      </c>
      <c r="L313" s="15">
        <v>1170</v>
      </c>
    </row>
    <row r="314" spans="1:12" ht="24" customHeight="1" outlineLevel="2" x14ac:dyDescent="0.25">
      <c r="A314" s="12">
        <f t="shared" si="4"/>
        <v>313</v>
      </c>
      <c r="B314" s="12" t="str">
        <f>B313</f>
        <v>АВР-1 (АВР-3-100-2-У) (Блок 2, 3)</v>
      </c>
      <c r="C314" s="12" t="s">
        <v>9</v>
      </c>
      <c r="D314" s="30" t="s">
        <v>9</v>
      </c>
      <c r="E314" s="12" t="s">
        <v>9</v>
      </c>
      <c r="F314" s="18">
        <f ca="1">OFFSET(F314,1,2)</f>
        <v>30000</v>
      </c>
      <c r="G314" s="38">
        <f ca="1">F314</f>
        <v>30000</v>
      </c>
      <c r="H314" s="38">
        <f ca="1">G314*I314</f>
        <v>30000</v>
      </c>
      <c r="I314" s="12">
        <v>1</v>
      </c>
      <c r="J314" s="12" t="s">
        <v>12</v>
      </c>
      <c r="K314" s="12" t="s">
        <v>9</v>
      </c>
      <c r="L314" s="15">
        <v>30000</v>
      </c>
    </row>
    <row r="315" spans="1:12" ht="21" customHeight="1" outlineLevel="2" x14ac:dyDescent="0.25">
      <c r="A315" s="12">
        <f t="shared" si="4"/>
        <v>314</v>
      </c>
      <c r="B315" s="12" t="str">
        <f>B314</f>
        <v>АВР-1 (АВР-3-100-2-У) (Блок 2, 3)</v>
      </c>
      <c r="C315" s="12" t="s">
        <v>10</v>
      </c>
      <c r="D315" s="30" t="s">
        <v>10</v>
      </c>
      <c r="E315" s="12" t="s">
        <v>10</v>
      </c>
      <c r="F315" s="18">
        <v>5</v>
      </c>
      <c r="G315" s="38">
        <v>100</v>
      </c>
      <c r="H315" s="38">
        <f>60*F315*G315</f>
        <v>30000</v>
      </c>
      <c r="I315" s="12">
        <f>60*F315</f>
        <v>300</v>
      </c>
      <c r="J315" s="12" t="s">
        <v>12</v>
      </c>
      <c r="K315" s="12" t="s">
        <v>10</v>
      </c>
      <c r="L315" s="15">
        <v>30000</v>
      </c>
    </row>
    <row r="316" spans="1:12" ht="21" customHeight="1" outlineLevel="1" x14ac:dyDescent="0.25">
      <c r="A316" s="12"/>
      <c r="B316" s="12" t="s">
        <v>639</v>
      </c>
      <c r="C316" s="12"/>
      <c r="D316" s="30"/>
      <c r="E316" s="12"/>
      <c r="F316" s="18"/>
      <c r="G316" s="38"/>
      <c r="H316" s="38">
        <f ca="1">SUBTOTAL(9,H306:H315)</f>
        <v>339287.4</v>
      </c>
      <c r="I316" s="12"/>
      <c r="J316" s="12"/>
      <c r="K316" s="12"/>
      <c r="L316" s="15">
        <v>339287.4</v>
      </c>
    </row>
    <row r="317" spans="1:12" ht="39.75" customHeight="1" outlineLevel="2" x14ac:dyDescent="0.25">
      <c r="A317" s="10">
        <f>ROW(A315)</f>
        <v>315</v>
      </c>
      <c r="B317" s="6" t="str">
        <f>E317</f>
        <v>АВР-2 (АВР-3-100-2) (Блок 2, 3)</v>
      </c>
      <c r="C317" s="6"/>
      <c r="D317" s="28"/>
      <c r="E317" s="6" t="s">
        <v>487</v>
      </c>
      <c r="F317" s="36"/>
      <c r="G317" s="36" t="s">
        <v>73</v>
      </c>
      <c r="H317" s="7"/>
      <c r="I317" s="10">
        <v>1</v>
      </c>
      <c r="J317" s="11" t="s">
        <v>6</v>
      </c>
      <c r="K317" s="6" t="s">
        <v>8</v>
      </c>
      <c r="L317" s="9"/>
    </row>
    <row r="318" spans="1:12" ht="21" customHeight="1" outlineLevel="2" x14ac:dyDescent="0.25">
      <c r="A318" s="16">
        <f t="shared" si="4"/>
        <v>317</v>
      </c>
      <c r="B318" s="12" t="str">
        <f>B317</f>
        <v>АВР-2 (АВР-3-100-2) (Блок 2, 3)</v>
      </c>
      <c r="C318" s="13" t="s">
        <v>7</v>
      </c>
      <c r="D318" s="29" t="s">
        <v>505</v>
      </c>
      <c r="E318" s="12" t="s">
        <v>506</v>
      </c>
      <c r="F318" s="37">
        <v>29500</v>
      </c>
      <c r="G318" s="38">
        <f>F318*0.6</f>
        <v>17700</v>
      </c>
      <c r="H318" s="38">
        <f>I318*G318</f>
        <v>17700</v>
      </c>
      <c r="I318" s="16">
        <v>1</v>
      </c>
      <c r="J318" s="17" t="s">
        <v>12</v>
      </c>
      <c r="K318" s="13" t="s">
        <v>15</v>
      </c>
      <c r="L318" s="15">
        <v>17700</v>
      </c>
    </row>
    <row r="319" spans="1:12" ht="21" customHeight="1" outlineLevel="2" x14ac:dyDescent="0.25">
      <c r="A319" s="16">
        <f t="shared" si="4"/>
        <v>318</v>
      </c>
      <c r="B319" s="12" t="str">
        <f>B318</f>
        <v>АВР-2 (АВР-3-100-2) (Блок 2, 3)</v>
      </c>
      <c r="C319" s="13" t="s">
        <v>86</v>
      </c>
      <c r="D319" s="29" t="s">
        <v>143</v>
      </c>
      <c r="E319" s="12" t="s">
        <v>144</v>
      </c>
      <c r="F319" s="37">
        <v>207389</v>
      </c>
      <c r="G319" s="38">
        <f>F319*0.6</f>
        <v>124433.4</v>
      </c>
      <c r="H319" s="38">
        <f>G319*I319</f>
        <v>124433.4</v>
      </c>
      <c r="I319" s="16">
        <v>1</v>
      </c>
      <c r="J319" s="17" t="s">
        <v>12</v>
      </c>
      <c r="K319" s="13" t="s">
        <v>16</v>
      </c>
      <c r="L319" s="15">
        <v>124433.4</v>
      </c>
    </row>
    <row r="320" spans="1:12" ht="21" customHeight="1" outlineLevel="2" x14ac:dyDescent="0.25">
      <c r="A320" s="16">
        <f t="shared" si="4"/>
        <v>319</v>
      </c>
      <c r="B320" s="12" t="str">
        <f>B319</f>
        <v>АВР-2 (АВР-3-100-2) (Блок 2, 3)</v>
      </c>
      <c r="C320" s="13" t="s">
        <v>59</v>
      </c>
      <c r="D320" s="29" t="s">
        <v>57</v>
      </c>
      <c r="E320" s="12" t="s">
        <v>58</v>
      </c>
      <c r="F320" s="37">
        <v>571</v>
      </c>
      <c r="G320" s="38">
        <f>F320*0.6</f>
        <v>342.59999999999997</v>
      </c>
      <c r="H320" s="38">
        <f>G320*I320</f>
        <v>685.19999999999993</v>
      </c>
      <c r="I320" s="16">
        <v>2</v>
      </c>
      <c r="J320" s="17" t="s">
        <v>12</v>
      </c>
      <c r="K320" s="13" t="s">
        <v>16</v>
      </c>
      <c r="L320" s="15">
        <v>685.19999999999993</v>
      </c>
    </row>
    <row r="321" spans="1:12" ht="21" customHeight="1" outlineLevel="2" x14ac:dyDescent="0.25">
      <c r="A321" s="16">
        <f t="shared" si="4"/>
        <v>320</v>
      </c>
      <c r="B321" s="12" t="str">
        <f>B320</f>
        <v>АВР-2 (АВР-3-100-2) (Блок 2, 3)</v>
      </c>
      <c r="C321" s="13" t="s">
        <v>59</v>
      </c>
      <c r="D321" s="29" t="s">
        <v>55</v>
      </c>
      <c r="E321" s="12" t="s">
        <v>56</v>
      </c>
      <c r="F321" s="37">
        <v>589</v>
      </c>
      <c r="G321" s="38">
        <f>F321*0.6</f>
        <v>353.4</v>
      </c>
      <c r="H321" s="38">
        <f>G321*I321</f>
        <v>706.8</v>
      </c>
      <c r="I321" s="16">
        <v>2</v>
      </c>
      <c r="J321" s="17" t="s">
        <v>12</v>
      </c>
      <c r="K321" s="13" t="s">
        <v>16</v>
      </c>
      <c r="L321" s="15">
        <v>706.8</v>
      </c>
    </row>
    <row r="322" spans="1:12" ht="21" customHeight="1" outlineLevel="2" x14ac:dyDescent="0.25">
      <c r="A322" s="16">
        <f t="shared" si="4"/>
        <v>321</v>
      </c>
      <c r="B322" s="12" t="str">
        <f>B321</f>
        <v>АВР-2 (АВР-3-100-2) (Блок 2, 3)</v>
      </c>
      <c r="C322" s="13" t="s">
        <v>11</v>
      </c>
      <c r="D322" s="29" t="s">
        <v>18</v>
      </c>
      <c r="E322" s="12" t="s">
        <v>19</v>
      </c>
      <c r="F322" s="37">
        <v>975</v>
      </c>
      <c r="G322" s="38">
        <f>F322*0.6</f>
        <v>585</v>
      </c>
      <c r="H322" s="38">
        <f>G322*I322</f>
        <v>1170</v>
      </c>
      <c r="I322" s="16">
        <v>2</v>
      </c>
      <c r="J322" s="17" t="s">
        <v>12</v>
      </c>
      <c r="K322" s="13" t="s">
        <v>16</v>
      </c>
      <c r="L322" s="15">
        <v>1170</v>
      </c>
    </row>
    <row r="323" spans="1:12" ht="24" customHeight="1" outlineLevel="2" x14ac:dyDescent="0.25">
      <c r="A323" s="12">
        <f t="shared" si="4"/>
        <v>322</v>
      </c>
      <c r="B323" s="12" t="str">
        <f>B322</f>
        <v>АВР-2 (АВР-3-100-2) (Блок 2, 3)</v>
      </c>
      <c r="C323" s="12" t="s">
        <v>9</v>
      </c>
      <c r="D323" s="30" t="s">
        <v>9</v>
      </c>
      <c r="E323" s="12" t="s">
        <v>9</v>
      </c>
      <c r="F323" s="18">
        <f ca="1">OFFSET(F323,1,2)</f>
        <v>24000</v>
      </c>
      <c r="G323" s="38">
        <f ca="1">F323</f>
        <v>24000</v>
      </c>
      <c r="H323" s="38">
        <f ca="1">G323*I323</f>
        <v>24000</v>
      </c>
      <c r="I323" s="12">
        <v>1</v>
      </c>
      <c r="J323" s="12" t="s">
        <v>12</v>
      </c>
      <c r="K323" s="12" t="s">
        <v>9</v>
      </c>
      <c r="L323" s="15">
        <v>24000</v>
      </c>
    </row>
    <row r="324" spans="1:12" ht="21" customHeight="1" outlineLevel="2" x14ac:dyDescent="0.25">
      <c r="A324" s="12">
        <f t="shared" si="4"/>
        <v>323</v>
      </c>
      <c r="B324" s="12" t="str">
        <f>B323</f>
        <v>АВР-2 (АВР-3-100-2) (Блок 2, 3)</v>
      </c>
      <c r="C324" s="12" t="s">
        <v>10</v>
      </c>
      <c r="D324" s="30" t="s">
        <v>10</v>
      </c>
      <c r="E324" s="12" t="s">
        <v>10</v>
      </c>
      <c r="F324" s="18">
        <v>4</v>
      </c>
      <c r="G324" s="38">
        <v>100</v>
      </c>
      <c r="H324" s="38">
        <f>60*F324*G324</f>
        <v>24000</v>
      </c>
      <c r="I324" s="12">
        <f>60*F324</f>
        <v>240</v>
      </c>
      <c r="J324" s="12" t="s">
        <v>12</v>
      </c>
      <c r="K324" s="12" t="s">
        <v>10</v>
      </c>
      <c r="L324" s="15">
        <v>24000</v>
      </c>
    </row>
    <row r="325" spans="1:12" ht="21" customHeight="1" outlineLevel="1" x14ac:dyDescent="0.25">
      <c r="A325" s="12"/>
      <c r="B325" s="12" t="s">
        <v>640</v>
      </c>
      <c r="C325" s="12"/>
      <c r="D325" s="30"/>
      <c r="E325" s="12"/>
      <c r="F325" s="18"/>
      <c r="G325" s="38"/>
      <c r="H325" s="38">
        <f ca="1">SUBTOTAL(9,H317:H324)</f>
        <v>192695.4</v>
      </c>
      <c r="I325" s="12"/>
      <c r="J325" s="12"/>
      <c r="K325" s="12"/>
      <c r="L325" s="15">
        <v>192695.4</v>
      </c>
    </row>
    <row r="326" spans="1:12" ht="39.75" customHeight="1" outlineLevel="2" x14ac:dyDescent="0.25">
      <c r="A326" s="10">
        <f>ROW(A324)</f>
        <v>324</v>
      </c>
      <c r="B326" s="6" t="str">
        <f>E326</f>
        <v>ВРУ-2 (ВРУ1-41-00УХЛ4) (Блок 2, 3)</v>
      </c>
      <c r="C326" s="6"/>
      <c r="D326" s="28"/>
      <c r="E326" s="6" t="s">
        <v>145</v>
      </c>
      <c r="F326" s="36"/>
      <c r="G326" s="36" t="s">
        <v>73</v>
      </c>
      <c r="H326" s="7"/>
      <c r="I326" s="10">
        <v>1</v>
      </c>
      <c r="J326" s="11" t="s">
        <v>6</v>
      </c>
      <c r="K326" s="6" t="s">
        <v>8</v>
      </c>
      <c r="L326" s="9"/>
    </row>
    <row r="327" spans="1:12" ht="21" customHeight="1" outlineLevel="2" x14ac:dyDescent="0.25">
      <c r="A327" s="16">
        <f t="shared" si="4"/>
        <v>326</v>
      </c>
      <c r="B327" s="12" t="str">
        <f>B326</f>
        <v>ВРУ-2 (ВРУ1-41-00УХЛ4) (Блок 2, 3)</v>
      </c>
      <c r="C327" s="13" t="s">
        <v>7</v>
      </c>
      <c r="D327" s="29" t="s">
        <v>501</v>
      </c>
      <c r="E327" s="12" t="s">
        <v>502</v>
      </c>
      <c r="F327" s="37">
        <v>29525</v>
      </c>
      <c r="G327" s="38">
        <f>F327*0.6</f>
        <v>17715</v>
      </c>
      <c r="H327" s="38">
        <f>I327*G327</f>
        <v>17715</v>
      </c>
      <c r="I327" s="16">
        <v>1</v>
      </c>
      <c r="J327" s="17" t="s">
        <v>12</v>
      </c>
      <c r="K327" s="13" t="s">
        <v>15</v>
      </c>
      <c r="L327" s="15">
        <v>17715</v>
      </c>
    </row>
    <row r="328" spans="1:12" ht="21" customHeight="1" outlineLevel="2" x14ac:dyDescent="0.25">
      <c r="A328" s="16">
        <f t="shared" si="4"/>
        <v>327</v>
      </c>
      <c r="B328" s="12" t="str">
        <f>B327</f>
        <v>ВРУ-2 (ВРУ1-41-00УХЛ4) (Блок 2, 3)</v>
      </c>
      <c r="C328" s="13" t="s">
        <v>11</v>
      </c>
      <c r="D328" s="29" t="s">
        <v>29</v>
      </c>
      <c r="E328" s="12" t="s">
        <v>30</v>
      </c>
      <c r="F328" s="37">
        <v>3172</v>
      </c>
      <c r="G328" s="38">
        <f>F328*0.6</f>
        <v>1903.1999999999998</v>
      </c>
      <c r="H328" s="38">
        <f>G328*I328</f>
        <v>1903.1999999999998</v>
      </c>
      <c r="I328" s="16">
        <v>1</v>
      </c>
      <c r="J328" s="17" t="s">
        <v>12</v>
      </c>
      <c r="K328" s="13" t="s">
        <v>16</v>
      </c>
      <c r="L328" s="15">
        <v>1903.1999999999998</v>
      </c>
    </row>
    <row r="329" spans="1:12" ht="21" customHeight="1" outlineLevel="2" x14ac:dyDescent="0.25">
      <c r="A329" s="16">
        <f t="shared" si="4"/>
        <v>328</v>
      </c>
      <c r="B329" s="12" t="str">
        <f>B328</f>
        <v>ВРУ-2 (ВРУ1-41-00УХЛ4) (Блок 2, 3)</v>
      </c>
      <c r="C329" s="13" t="s">
        <v>11</v>
      </c>
      <c r="D329" s="29" t="s">
        <v>28</v>
      </c>
      <c r="E329" s="12" t="s">
        <v>27</v>
      </c>
      <c r="F329" s="37">
        <v>2606</v>
      </c>
      <c r="G329" s="38">
        <f>F329*0.6</f>
        <v>1563.6</v>
      </c>
      <c r="H329" s="38">
        <f>G329*I329</f>
        <v>4690.7999999999993</v>
      </c>
      <c r="I329" s="16">
        <v>3</v>
      </c>
      <c r="J329" s="17" t="s">
        <v>12</v>
      </c>
      <c r="K329" s="13" t="s">
        <v>16</v>
      </c>
      <c r="L329" s="15">
        <v>4690.7999999999993</v>
      </c>
    </row>
    <row r="330" spans="1:12" ht="21" customHeight="1" outlineLevel="2" x14ac:dyDescent="0.25">
      <c r="A330" s="16">
        <f t="shared" si="4"/>
        <v>329</v>
      </c>
      <c r="B330" s="12" t="str">
        <f>B329</f>
        <v>ВРУ-2 (ВРУ1-41-00УХЛ4) (Блок 2, 3)</v>
      </c>
      <c r="C330" s="13" t="s">
        <v>11</v>
      </c>
      <c r="D330" s="29" t="s">
        <v>20</v>
      </c>
      <c r="E330" s="12" t="s">
        <v>21</v>
      </c>
      <c r="F330" s="37">
        <v>2429</v>
      </c>
      <c r="G330" s="38">
        <f>F330*0.6</f>
        <v>1457.3999999999999</v>
      </c>
      <c r="H330" s="38">
        <f>G330*I330</f>
        <v>1457.3999999999999</v>
      </c>
      <c r="I330" s="16">
        <v>1</v>
      </c>
      <c r="J330" s="17" t="s">
        <v>12</v>
      </c>
      <c r="K330" s="13" t="s">
        <v>16</v>
      </c>
      <c r="L330" s="15">
        <v>1457.3999999999999</v>
      </c>
    </row>
    <row r="331" spans="1:12" ht="21" customHeight="1" outlineLevel="2" x14ac:dyDescent="0.25">
      <c r="A331" s="16">
        <f t="shared" si="4"/>
        <v>330</v>
      </c>
      <c r="B331" s="12" t="str">
        <f>B330</f>
        <v>ВРУ-2 (ВРУ1-41-00УХЛ4) (Блок 2, 3)</v>
      </c>
      <c r="C331" s="13" t="s">
        <v>11</v>
      </c>
      <c r="D331" s="29" t="s">
        <v>65</v>
      </c>
      <c r="E331" s="12" t="s">
        <v>66</v>
      </c>
      <c r="F331" s="37">
        <v>2807</v>
      </c>
      <c r="G331" s="38">
        <f>F331*0.6</f>
        <v>1684.2</v>
      </c>
      <c r="H331" s="38">
        <f>G331*I331</f>
        <v>5052.6000000000004</v>
      </c>
      <c r="I331" s="16">
        <v>3</v>
      </c>
      <c r="J331" s="17" t="s">
        <v>12</v>
      </c>
      <c r="K331" s="13" t="s">
        <v>16</v>
      </c>
      <c r="L331" s="15">
        <v>5052.6000000000004</v>
      </c>
    </row>
    <row r="332" spans="1:12" ht="24" customHeight="1" outlineLevel="2" x14ac:dyDescent="0.25">
      <c r="A332" s="12">
        <f t="shared" si="4"/>
        <v>331</v>
      </c>
      <c r="B332" s="12" t="str">
        <f>B331</f>
        <v>ВРУ-2 (ВРУ1-41-00УХЛ4) (Блок 2, 3)</v>
      </c>
      <c r="C332" s="12" t="s">
        <v>9</v>
      </c>
      <c r="D332" s="30" t="s">
        <v>9</v>
      </c>
      <c r="E332" s="12" t="s">
        <v>9</v>
      </c>
      <c r="F332" s="18">
        <f ca="1">OFFSET(F332,1,2)</f>
        <v>12000</v>
      </c>
      <c r="G332" s="38">
        <f ca="1">F332</f>
        <v>12000</v>
      </c>
      <c r="H332" s="38">
        <f ca="1">G332*I332</f>
        <v>12000</v>
      </c>
      <c r="I332" s="12">
        <v>1</v>
      </c>
      <c r="J332" s="12" t="s">
        <v>12</v>
      </c>
      <c r="K332" s="12" t="s">
        <v>9</v>
      </c>
      <c r="L332" s="15">
        <v>12000</v>
      </c>
    </row>
    <row r="333" spans="1:12" ht="21" customHeight="1" outlineLevel="2" x14ac:dyDescent="0.25">
      <c r="A333" s="12">
        <f t="shared" si="4"/>
        <v>332</v>
      </c>
      <c r="B333" s="12" t="str">
        <f>B332</f>
        <v>ВРУ-2 (ВРУ1-41-00УХЛ4) (Блок 2, 3)</v>
      </c>
      <c r="C333" s="12" t="s">
        <v>10</v>
      </c>
      <c r="D333" s="30" t="s">
        <v>10</v>
      </c>
      <c r="E333" s="12" t="s">
        <v>10</v>
      </c>
      <c r="F333" s="18">
        <v>2</v>
      </c>
      <c r="G333" s="38">
        <v>100</v>
      </c>
      <c r="H333" s="38">
        <f>60*F333*G333</f>
        <v>12000</v>
      </c>
      <c r="I333" s="12">
        <f>60*F333</f>
        <v>120</v>
      </c>
      <c r="J333" s="12" t="s">
        <v>12</v>
      </c>
      <c r="K333" s="12" t="s">
        <v>10</v>
      </c>
      <c r="L333" s="15">
        <v>12000</v>
      </c>
    </row>
    <row r="334" spans="1:12" ht="21" customHeight="1" outlineLevel="1" x14ac:dyDescent="0.25">
      <c r="A334" s="12"/>
      <c r="B334" s="12" t="s">
        <v>641</v>
      </c>
      <c r="C334" s="12"/>
      <c r="D334" s="30"/>
      <c r="E334" s="12"/>
      <c r="F334" s="18"/>
      <c r="G334" s="38"/>
      <c r="H334" s="38">
        <f ca="1">SUBTOTAL(9,H326:H333)</f>
        <v>54819</v>
      </c>
      <c r="I334" s="12"/>
      <c r="J334" s="12"/>
      <c r="K334" s="12"/>
      <c r="L334" s="15">
        <v>54819</v>
      </c>
    </row>
    <row r="335" spans="1:12" ht="39.75" customHeight="1" outlineLevel="2" x14ac:dyDescent="0.25">
      <c r="A335" s="10">
        <f>ROW(A333)</f>
        <v>333</v>
      </c>
      <c r="B335" s="6" t="str">
        <f>E335</f>
        <v>ЩАО.1 (Блок 2, 3)</v>
      </c>
      <c r="C335" s="6"/>
      <c r="D335" s="28"/>
      <c r="E335" s="6" t="s">
        <v>146</v>
      </c>
      <c r="F335" s="36"/>
      <c r="G335" s="36" t="s">
        <v>73</v>
      </c>
      <c r="H335" s="7"/>
      <c r="I335" s="10">
        <v>1</v>
      </c>
      <c r="J335" s="11" t="s">
        <v>6</v>
      </c>
      <c r="K335" s="6" t="s">
        <v>8</v>
      </c>
      <c r="L335" s="9"/>
    </row>
    <row r="336" spans="1:12" ht="21" customHeight="1" outlineLevel="2" x14ac:dyDescent="0.25">
      <c r="A336" s="16">
        <f t="shared" si="4"/>
        <v>335</v>
      </c>
      <c r="B336" s="12" t="str">
        <f>B335</f>
        <v>ЩАО.1 (Блок 2, 3)</v>
      </c>
      <c r="C336" s="13" t="s">
        <v>7</v>
      </c>
      <c r="D336" s="29" t="s">
        <v>588</v>
      </c>
      <c r="E336" s="12" t="s">
        <v>589</v>
      </c>
      <c r="F336" s="37">
        <v>6300</v>
      </c>
      <c r="G336" s="38">
        <f>F336*0.6</f>
        <v>3780</v>
      </c>
      <c r="H336" s="38">
        <f>I336*G336</f>
        <v>3780</v>
      </c>
      <c r="I336" s="16">
        <v>1</v>
      </c>
      <c r="J336" s="17" t="s">
        <v>12</v>
      </c>
      <c r="K336" s="13" t="s">
        <v>581</v>
      </c>
      <c r="L336" s="15">
        <v>3780</v>
      </c>
    </row>
    <row r="337" spans="1:12" ht="21" customHeight="1" outlineLevel="2" x14ac:dyDescent="0.25">
      <c r="A337" s="16">
        <f t="shared" si="4"/>
        <v>336</v>
      </c>
      <c r="B337" s="12" t="str">
        <f>B336</f>
        <v>ЩАО.1 (Блок 2, 3)</v>
      </c>
      <c r="C337" s="13" t="s">
        <v>11</v>
      </c>
      <c r="D337" s="29" t="s">
        <v>20</v>
      </c>
      <c r="E337" s="12" t="s">
        <v>21</v>
      </c>
      <c r="F337" s="37">
        <v>2429</v>
      </c>
      <c r="G337" s="38">
        <f>F337*0.6</f>
        <v>1457.3999999999999</v>
      </c>
      <c r="H337" s="38">
        <f>G337*I337</f>
        <v>1457.3999999999999</v>
      </c>
      <c r="I337" s="16">
        <v>1</v>
      </c>
      <c r="J337" s="17" t="s">
        <v>12</v>
      </c>
      <c r="K337" s="13" t="s">
        <v>16</v>
      </c>
      <c r="L337" s="15">
        <v>1457.3999999999999</v>
      </c>
    </row>
    <row r="338" spans="1:12" ht="21" customHeight="1" outlineLevel="2" x14ac:dyDescent="0.25">
      <c r="A338" s="16">
        <f t="shared" si="4"/>
        <v>337</v>
      </c>
      <c r="B338" s="12" t="str">
        <f>B337</f>
        <v>ЩАО.1 (Блок 2, 3)</v>
      </c>
      <c r="C338" s="13" t="s">
        <v>11</v>
      </c>
      <c r="D338" s="29" t="s">
        <v>53</v>
      </c>
      <c r="E338" s="12" t="s">
        <v>54</v>
      </c>
      <c r="F338" s="37">
        <v>783</v>
      </c>
      <c r="G338" s="38">
        <f>F338*0.6</f>
        <v>469.79999999999995</v>
      </c>
      <c r="H338" s="38">
        <f>G338*I338</f>
        <v>2818.7999999999997</v>
      </c>
      <c r="I338" s="16">
        <v>6</v>
      </c>
      <c r="J338" s="17" t="s">
        <v>12</v>
      </c>
      <c r="K338" s="13" t="s">
        <v>16</v>
      </c>
      <c r="L338" s="15">
        <v>2818.7999999999997</v>
      </c>
    </row>
    <row r="339" spans="1:12" ht="24" customHeight="1" outlineLevel="2" x14ac:dyDescent="0.25">
      <c r="A339" s="12">
        <f t="shared" si="4"/>
        <v>338</v>
      </c>
      <c r="B339" s="12" t="str">
        <f>B338</f>
        <v>ЩАО.1 (Блок 2, 3)</v>
      </c>
      <c r="C339" s="12" t="s">
        <v>9</v>
      </c>
      <c r="D339" s="30" t="s">
        <v>9</v>
      </c>
      <c r="E339" s="12" t="s">
        <v>9</v>
      </c>
      <c r="F339" s="18">
        <f ca="1">OFFSET(F339,1,2)</f>
        <v>4200</v>
      </c>
      <c r="G339" s="38">
        <f ca="1">F339</f>
        <v>4200</v>
      </c>
      <c r="H339" s="38">
        <f ca="1">G339*I339</f>
        <v>4200</v>
      </c>
      <c r="I339" s="12">
        <v>1</v>
      </c>
      <c r="J339" s="12" t="s">
        <v>12</v>
      </c>
      <c r="K339" s="12" t="s">
        <v>9</v>
      </c>
      <c r="L339" s="15">
        <v>4200</v>
      </c>
    </row>
    <row r="340" spans="1:12" ht="21" customHeight="1" outlineLevel="2" x14ac:dyDescent="0.25">
      <c r="A340" s="12">
        <f t="shared" si="4"/>
        <v>339</v>
      </c>
      <c r="B340" s="12" t="str">
        <f>B339</f>
        <v>ЩАО.1 (Блок 2, 3)</v>
      </c>
      <c r="C340" s="12" t="s">
        <v>10</v>
      </c>
      <c r="D340" s="30" t="s">
        <v>10</v>
      </c>
      <c r="E340" s="12" t="s">
        <v>10</v>
      </c>
      <c r="F340" s="18">
        <v>0.7</v>
      </c>
      <c r="G340" s="38">
        <v>100</v>
      </c>
      <c r="H340" s="38">
        <f>60*F340*G340</f>
        <v>4200</v>
      </c>
      <c r="I340" s="12">
        <f>60*F340</f>
        <v>42</v>
      </c>
      <c r="J340" s="12" t="s">
        <v>12</v>
      </c>
      <c r="K340" s="12" t="s">
        <v>10</v>
      </c>
      <c r="L340" s="15">
        <v>4200</v>
      </c>
    </row>
    <row r="341" spans="1:12" ht="21" customHeight="1" outlineLevel="1" x14ac:dyDescent="0.25">
      <c r="A341" s="12"/>
      <c r="B341" s="12" t="s">
        <v>642</v>
      </c>
      <c r="C341" s="12"/>
      <c r="D341" s="30"/>
      <c r="E341" s="12"/>
      <c r="F341" s="18"/>
      <c r="G341" s="38"/>
      <c r="H341" s="38">
        <f ca="1">SUBTOTAL(9,H335:H340)</f>
        <v>16456.199999999997</v>
      </c>
      <c r="I341" s="12"/>
      <c r="J341" s="12"/>
      <c r="K341" s="12"/>
      <c r="L341" s="15">
        <v>16456.199999999997</v>
      </c>
    </row>
    <row r="342" spans="1:12" ht="39.75" customHeight="1" outlineLevel="2" x14ac:dyDescent="0.25">
      <c r="A342" s="10">
        <f>ROW(A340)</f>
        <v>340</v>
      </c>
      <c r="B342" s="6" t="str">
        <f>E342</f>
        <v>ЩАО.2 (Блок 2, 3)</v>
      </c>
      <c r="C342" s="6"/>
      <c r="D342" s="28"/>
      <c r="E342" s="6" t="s">
        <v>147</v>
      </c>
      <c r="F342" s="36"/>
      <c r="G342" s="36" t="s">
        <v>73</v>
      </c>
      <c r="H342" s="7"/>
      <c r="I342" s="10">
        <v>1</v>
      </c>
      <c r="J342" s="11" t="s">
        <v>6</v>
      </c>
      <c r="K342" s="6" t="s">
        <v>8</v>
      </c>
      <c r="L342" s="9"/>
    </row>
    <row r="343" spans="1:12" ht="21" customHeight="1" outlineLevel="2" x14ac:dyDescent="0.25">
      <c r="A343" s="16">
        <f t="shared" si="4"/>
        <v>342</v>
      </c>
      <c r="B343" s="12" t="str">
        <f>B342</f>
        <v>ЩАО.2 (Блок 2, 3)</v>
      </c>
      <c r="C343" s="13" t="s">
        <v>7</v>
      </c>
      <c r="D343" s="29" t="s">
        <v>492</v>
      </c>
      <c r="E343" s="12" t="s">
        <v>493</v>
      </c>
      <c r="F343" s="37">
        <v>9990</v>
      </c>
      <c r="G343" s="38">
        <f>F343*0.6</f>
        <v>5994</v>
      </c>
      <c r="H343" s="38">
        <f>I343*G343</f>
        <v>5994</v>
      </c>
      <c r="I343" s="16">
        <v>1</v>
      </c>
      <c r="J343" s="17" t="s">
        <v>12</v>
      </c>
      <c r="K343" s="13" t="s">
        <v>581</v>
      </c>
      <c r="L343" s="15">
        <v>5994</v>
      </c>
    </row>
    <row r="344" spans="1:12" ht="21" customHeight="1" outlineLevel="2" x14ac:dyDescent="0.25">
      <c r="A344" s="16">
        <f t="shared" si="4"/>
        <v>343</v>
      </c>
      <c r="B344" s="12" t="str">
        <f>B343</f>
        <v>ЩАО.2 (Блок 2, 3)</v>
      </c>
      <c r="C344" s="13" t="s">
        <v>11</v>
      </c>
      <c r="D344" s="29" t="s">
        <v>28</v>
      </c>
      <c r="E344" s="12" t="s">
        <v>27</v>
      </c>
      <c r="F344" s="37">
        <v>2606</v>
      </c>
      <c r="G344" s="38">
        <f>F344*0.6</f>
        <v>1563.6</v>
      </c>
      <c r="H344" s="38">
        <f>G344*I344</f>
        <v>1563.6</v>
      </c>
      <c r="I344" s="16">
        <v>1</v>
      </c>
      <c r="J344" s="17" t="s">
        <v>12</v>
      </c>
      <c r="K344" s="13" t="s">
        <v>16</v>
      </c>
      <c r="L344" s="15">
        <v>1563.6</v>
      </c>
    </row>
    <row r="345" spans="1:12" ht="21" customHeight="1" outlineLevel="2" x14ac:dyDescent="0.25">
      <c r="A345" s="16">
        <f t="shared" si="4"/>
        <v>344</v>
      </c>
      <c r="B345" s="12" t="str">
        <f>B344</f>
        <v>ЩАО.2 (Блок 2, 3)</v>
      </c>
      <c r="C345" s="13" t="s">
        <v>11</v>
      </c>
      <c r="D345" s="29" t="s">
        <v>53</v>
      </c>
      <c r="E345" s="12" t="s">
        <v>54</v>
      </c>
      <c r="F345" s="37">
        <v>783</v>
      </c>
      <c r="G345" s="38">
        <f>F345*0.6</f>
        <v>469.79999999999995</v>
      </c>
      <c r="H345" s="38">
        <f>G345*I345</f>
        <v>4228.2</v>
      </c>
      <c r="I345" s="16">
        <v>9</v>
      </c>
      <c r="J345" s="17" t="s">
        <v>12</v>
      </c>
      <c r="K345" s="13" t="s">
        <v>16</v>
      </c>
      <c r="L345" s="15">
        <v>4228.2</v>
      </c>
    </row>
    <row r="346" spans="1:12" ht="24" customHeight="1" outlineLevel="2" x14ac:dyDescent="0.25">
      <c r="A346" s="12">
        <f t="shared" si="4"/>
        <v>345</v>
      </c>
      <c r="B346" s="12" t="str">
        <f>B345</f>
        <v>ЩАО.2 (Блок 2, 3)</v>
      </c>
      <c r="C346" s="12" t="s">
        <v>9</v>
      </c>
      <c r="D346" s="30" t="s">
        <v>9</v>
      </c>
      <c r="E346" s="12" t="s">
        <v>9</v>
      </c>
      <c r="F346" s="18">
        <f ca="1">OFFSET(F346,1,2)</f>
        <v>4200</v>
      </c>
      <c r="G346" s="38">
        <f ca="1">F346</f>
        <v>4200</v>
      </c>
      <c r="H346" s="38">
        <f ca="1">G346*I346</f>
        <v>4200</v>
      </c>
      <c r="I346" s="12">
        <v>1</v>
      </c>
      <c r="J346" s="12" t="s">
        <v>12</v>
      </c>
      <c r="K346" s="12" t="s">
        <v>9</v>
      </c>
      <c r="L346" s="15">
        <v>4200</v>
      </c>
    </row>
    <row r="347" spans="1:12" ht="21" customHeight="1" outlineLevel="2" x14ac:dyDescent="0.25">
      <c r="A347" s="12">
        <f t="shared" si="4"/>
        <v>346</v>
      </c>
      <c r="B347" s="12" t="str">
        <f>B346</f>
        <v>ЩАО.2 (Блок 2, 3)</v>
      </c>
      <c r="C347" s="12" t="s">
        <v>10</v>
      </c>
      <c r="D347" s="30" t="s">
        <v>10</v>
      </c>
      <c r="E347" s="12" t="s">
        <v>10</v>
      </c>
      <c r="F347" s="18">
        <v>0.7</v>
      </c>
      <c r="G347" s="38">
        <v>100</v>
      </c>
      <c r="H347" s="38">
        <f>60*F347*G347</f>
        <v>4200</v>
      </c>
      <c r="I347" s="12">
        <f>60*F347</f>
        <v>42</v>
      </c>
      <c r="J347" s="12" t="s">
        <v>12</v>
      </c>
      <c r="K347" s="12" t="s">
        <v>10</v>
      </c>
      <c r="L347" s="15">
        <v>4200</v>
      </c>
    </row>
    <row r="348" spans="1:12" ht="21" customHeight="1" outlineLevel="1" x14ac:dyDescent="0.25">
      <c r="A348" s="12"/>
      <c r="B348" s="12" t="s">
        <v>643</v>
      </c>
      <c r="C348" s="12"/>
      <c r="D348" s="30"/>
      <c r="E348" s="12"/>
      <c r="F348" s="18"/>
      <c r="G348" s="38"/>
      <c r="H348" s="38">
        <f ca="1">SUBTOTAL(9,H342:H347)</f>
        <v>20185.8</v>
      </c>
      <c r="I348" s="12"/>
      <c r="J348" s="12"/>
      <c r="K348" s="12"/>
      <c r="L348" s="15">
        <v>20185.8</v>
      </c>
    </row>
    <row r="349" spans="1:12" ht="39.75" customHeight="1" outlineLevel="2" x14ac:dyDescent="0.25">
      <c r="A349" s="10">
        <f>ROW(A347)</f>
        <v>347</v>
      </c>
      <c r="B349" s="6" t="str">
        <f>E349</f>
        <v>ЩО.1 (Блок 2, 3)</v>
      </c>
      <c r="C349" s="6"/>
      <c r="D349" s="28"/>
      <c r="E349" s="6" t="s">
        <v>148</v>
      </c>
      <c r="F349" s="36"/>
      <c r="G349" s="36" t="s">
        <v>73</v>
      </c>
      <c r="H349" s="7"/>
      <c r="I349" s="10">
        <v>1</v>
      </c>
      <c r="J349" s="11" t="s">
        <v>6</v>
      </c>
      <c r="K349" s="6" t="s">
        <v>8</v>
      </c>
      <c r="L349" s="9"/>
    </row>
    <row r="350" spans="1:12" ht="21" customHeight="1" outlineLevel="2" x14ac:dyDescent="0.25">
      <c r="A350" s="16">
        <f t="shared" si="4"/>
        <v>349</v>
      </c>
      <c r="B350" s="12" t="str">
        <f>B349</f>
        <v>ЩО.1 (Блок 2, 3)</v>
      </c>
      <c r="C350" s="13" t="s">
        <v>7</v>
      </c>
      <c r="D350" s="29" t="s">
        <v>588</v>
      </c>
      <c r="E350" s="12" t="s">
        <v>589</v>
      </c>
      <c r="F350" s="37">
        <v>6300</v>
      </c>
      <c r="G350" s="38">
        <f>F350*0.6</f>
        <v>3780</v>
      </c>
      <c r="H350" s="38">
        <f>I350*G350</f>
        <v>3780</v>
      </c>
      <c r="I350" s="16">
        <v>1</v>
      </c>
      <c r="J350" s="17" t="s">
        <v>12</v>
      </c>
      <c r="K350" s="13" t="s">
        <v>581</v>
      </c>
      <c r="L350" s="15">
        <v>3780</v>
      </c>
    </row>
    <row r="351" spans="1:12" ht="21" customHeight="1" outlineLevel="2" x14ac:dyDescent="0.25">
      <c r="A351" s="16">
        <f t="shared" si="4"/>
        <v>350</v>
      </c>
      <c r="B351" s="12" t="str">
        <f>B350</f>
        <v>ЩО.1 (Блок 2, 3)</v>
      </c>
      <c r="C351" s="13" t="s">
        <v>11</v>
      </c>
      <c r="D351" s="29" t="s">
        <v>28</v>
      </c>
      <c r="E351" s="12" t="s">
        <v>27</v>
      </c>
      <c r="F351" s="37">
        <v>2606</v>
      </c>
      <c r="G351" s="38">
        <f>F351*0.6</f>
        <v>1563.6</v>
      </c>
      <c r="H351" s="38">
        <f>G351*I351</f>
        <v>1563.6</v>
      </c>
      <c r="I351" s="16">
        <v>1</v>
      </c>
      <c r="J351" s="17" t="s">
        <v>12</v>
      </c>
      <c r="K351" s="13" t="s">
        <v>16</v>
      </c>
      <c r="L351" s="15">
        <v>1563.6</v>
      </c>
    </row>
    <row r="352" spans="1:12" ht="21" customHeight="1" outlineLevel="2" x14ac:dyDescent="0.25">
      <c r="A352" s="16">
        <f t="shared" si="4"/>
        <v>351</v>
      </c>
      <c r="B352" s="12" t="str">
        <f>B351</f>
        <v>ЩО.1 (Блок 2, 3)</v>
      </c>
      <c r="C352" s="13" t="s">
        <v>11</v>
      </c>
      <c r="D352" s="29" t="s">
        <v>53</v>
      </c>
      <c r="E352" s="12" t="s">
        <v>54</v>
      </c>
      <c r="F352" s="37">
        <v>783</v>
      </c>
      <c r="G352" s="38">
        <f>F352*0.6</f>
        <v>469.79999999999995</v>
      </c>
      <c r="H352" s="38">
        <f>G352*I352</f>
        <v>2818.7999999999997</v>
      </c>
      <c r="I352" s="16">
        <v>6</v>
      </c>
      <c r="J352" s="17" t="s">
        <v>12</v>
      </c>
      <c r="K352" s="13" t="s">
        <v>16</v>
      </c>
      <c r="L352" s="15">
        <v>2818.7999999999997</v>
      </c>
    </row>
    <row r="353" spans="1:12" ht="24" customHeight="1" outlineLevel="2" x14ac:dyDescent="0.25">
      <c r="A353" s="12">
        <f t="shared" si="4"/>
        <v>352</v>
      </c>
      <c r="B353" s="12" t="str">
        <f>B352</f>
        <v>ЩО.1 (Блок 2, 3)</v>
      </c>
      <c r="C353" s="12" t="s">
        <v>9</v>
      </c>
      <c r="D353" s="30" t="s">
        <v>9</v>
      </c>
      <c r="E353" s="12" t="s">
        <v>9</v>
      </c>
      <c r="F353" s="18">
        <f ca="1">OFFSET(F353,1,2)</f>
        <v>4200</v>
      </c>
      <c r="G353" s="38">
        <f ca="1">F353</f>
        <v>4200</v>
      </c>
      <c r="H353" s="38">
        <f ca="1">G353*I353</f>
        <v>4200</v>
      </c>
      <c r="I353" s="12">
        <v>1</v>
      </c>
      <c r="J353" s="12" t="s">
        <v>12</v>
      </c>
      <c r="K353" s="12" t="s">
        <v>9</v>
      </c>
      <c r="L353" s="15">
        <v>4200</v>
      </c>
    </row>
    <row r="354" spans="1:12" ht="21" customHeight="1" outlineLevel="2" x14ac:dyDescent="0.25">
      <c r="A354" s="12">
        <f t="shared" si="4"/>
        <v>353</v>
      </c>
      <c r="B354" s="12" t="str">
        <f>B353</f>
        <v>ЩО.1 (Блок 2, 3)</v>
      </c>
      <c r="C354" s="12" t="s">
        <v>10</v>
      </c>
      <c r="D354" s="30" t="s">
        <v>10</v>
      </c>
      <c r="E354" s="12" t="s">
        <v>10</v>
      </c>
      <c r="F354" s="18">
        <v>0.7</v>
      </c>
      <c r="G354" s="38">
        <v>100</v>
      </c>
      <c r="H354" s="38">
        <f>60*F354*G354</f>
        <v>4200</v>
      </c>
      <c r="I354" s="12">
        <f>60*F354</f>
        <v>42</v>
      </c>
      <c r="J354" s="12" t="s">
        <v>12</v>
      </c>
      <c r="K354" s="12" t="s">
        <v>10</v>
      </c>
      <c r="L354" s="15">
        <v>4200</v>
      </c>
    </row>
    <row r="355" spans="1:12" ht="21" customHeight="1" outlineLevel="1" x14ac:dyDescent="0.25">
      <c r="A355" s="12"/>
      <c r="B355" s="12" t="s">
        <v>644</v>
      </c>
      <c r="C355" s="12"/>
      <c r="D355" s="30"/>
      <c r="E355" s="12"/>
      <c r="F355" s="18"/>
      <c r="G355" s="38"/>
      <c r="H355" s="38">
        <f ca="1">SUBTOTAL(9,H349:H354)</f>
        <v>16562.400000000001</v>
      </c>
      <c r="I355" s="12"/>
      <c r="J355" s="12"/>
      <c r="K355" s="12"/>
      <c r="L355" s="15">
        <v>16562.400000000001</v>
      </c>
    </row>
    <row r="356" spans="1:12" ht="39.75" customHeight="1" outlineLevel="2" x14ac:dyDescent="0.25">
      <c r="A356" s="10">
        <f>ROW(A354)</f>
        <v>354</v>
      </c>
      <c r="B356" s="6" t="str">
        <f>E356</f>
        <v>ЩО.2 (Блок 2, 3)</v>
      </c>
      <c r="C356" s="6"/>
      <c r="D356" s="28"/>
      <c r="E356" s="6" t="s">
        <v>149</v>
      </c>
      <c r="F356" s="36"/>
      <c r="G356" s="36" t="s">
        <v>73</v>
      </c>
      <c r="H356" s="7"/>
      <c r="I356" s="10">
        <v>1</v>
      </c>
      <c r="J356" s="11" t="s">
        <v>6</v>
      </c>
      <c r="K356" s="6" t="s">
        <v>8</v>
      </c>
      <c r="L356" s="9"/>
    </row>
    <row r="357" spans="1:12" ht="21" customHeight="1" outlineLevel="2" x14ac:dyDescent="0.25">
      <c r="A357" s="16">
        <f t="shared" si="4"/>
        <v>356</v>
      </c>
      <c r="B357" s="12" t="str">
        <f>B356</f>
        <v>ЩО.2 (Блок 2, 3)</v>
      </c>
      <c r="C357" s="13" t="s">
        <v>7</v>
      </c>
      <c r="D357" s="29" t="s">
        <v>588</v>
      </c>
      <c r="E357" s="12" t="s">
        <v>589</v>
      </c>
      <c r="F357" s="37">
        <v>6300</v>
      </c>
      <c r="G357" s="38">
        <f>F357*0.6</f>
        <v>3780</v>
      </c>
      <c r="H357" s="38">
        <f>I357*G357</f>
        <v>3780</v>
      </c>
      <c r="I357" s="16">
        <v>1</v>
      </c>
      <c r="J357" s="17" t="s">
        <v>12</v>
      </c>
      <c r="K357" s="13" t="s">
        <v>581</v>
      </c>
      <c r="L357" s="15">
        <v>3780</v>
      </c>
    </row>
    <row r="358" spans="1:12" ht="21" customHeight="1" outlineLevel="2" x14ac:dyDescent="0.25">
      <c r="A358" s="16">
        <f t="shared" si="4"/>
        <v>357</v>
      </c>
      <c r="B358" s="12" t="str">
        <f>B357</f>
        <v>ЩО.2 (Блок 2, 3)</v>
      </c>
      <c r="C358" s="13" t="s">
        <v>11</v>
      </c>
      <c r="D358" s="29" t="s">
        <v>28</v>
      </c>
      <c r="E358" s="12" t="s">
        <v>27</v>
      </c>
      <c r="F358" s="37">
        <v>2606</v>
      </c>
      <c r="G358" s="38">
        <f>F358*0.6</f>
        <v>1563.6</v>
      </c>
      <c r="H358" s="38">
        <f>G358*I358</f>
        <v>1563.6</v>
      </c>
      <c r="I358" s="16">
        <v>1</v>
      </c>
      <c r="J358" s="17" t="s">
        <v>12</v>
      </c>
      <c r="K358" s="13" t="s">
        <v>16</v>
      </c>
      <c r="L358" s="15">
        <v>1563.6</v>
      </c>
    </row>
    <row r="359" spans="1:12" ht="21" customHeight="1" outlineLevel="2" x14ac:dyDescent="0.25">
      <c r="A359" s="16">
        <f t="shared" si="4"/>
        <v>358</v>
      </c>
      <c r="B359" s="12" t="str">
        <f>B358</f>
        <v>ЩО.2 (Блок 2, 3)</v>
      </c>
      <c r="C359" s="13" t="s">
        <v>11</v>
      </c>
      <c r="D359" s="29" t="s">
        <v>53</v>
      </c>
      <c r="E359" s="12" t="s">
        <v>54</v>
      </c>
      <c r="F359" s="37">
        <v>783</v>
      </c>
      <c r="G359" s="38">
        <f>F359*0.6</f>
        <v>469.79999999999995</v>
      </c>
      <c r="H359" s="38">
        <f>G359*I359</f>
        <v>3758.3999999999996</v>
      </c>
      <c r="I359" s="16">
        <v>8</v>
      </c>
      <c r="J359" s="17" t="s">
        <v>12</v>
      </c>
      <c r="K359" s="13" t="s">
        <v>16</v>
      </c>
      <c r="L359" s="15">
        <v>3758.3999999999996</v>
      </c>
    </row>
    <row r="360" spans="1:12" ht="24" customHeight="1" outlineLevel="2" x14ac:dyDescent="0.25">
      <c r="A360" s="12">
        <f t="shared" si="4"/>
        <v>359</v>
      </c>
      <c r="B360" s="12" t="str">
        <f>B359</f>
        <v>ЩО.2 (Блок 2, 3)</v>
      </c>
      <c r="C360" s="12" t="s">
        <v>9</v>
      </c>
      <c r="D360" s="30" t="s">
        <v>9</v>
      </c>
      <c r="E360" s="12" t="s">
        <v>9</v>
      </c>
      <c r="F360" s="18">
        <f ca="1">OFFSET(F360,1,2)</f>
        <v>4200</v>
      </c>
      <c r="G360" s="38">
        <f ca="1">F360</f>
        <v>4200</v>
      </c>
      <c r="H360" s="38">
        <f ca="1">G360*I360</f>
        <v>4200</v>
      </c>
      <c r="I360" s="12">
        <v>1</v>
      </c>
      <c r="J360" s="12" t="s">
        <v>12</v>
      </c>
      <c r="K360" s="12" t="s">
        <v>9</v>
      </c>
      <c r="L360" s="15">
        <v>4200</v>
      </c>
    </row>
    <row r="361" spans="1:12" ht="21" customHeight="1" outlineLevel="2" x14ac:dyDescent="0.25">
      <c r="A361" s="12">
        <f t="shared" si="4"/>
        <v>360</v>
      </c>
      <c r="B361" s="12" t="str">
        <f>B360</f>
        <v>ЩО.2 (Блок 2, 3)</v>
      </c>
      <c r="C361" s="12" t="s">
        <v>10</v>
      </c>
      <c r="D361" s="30" t="s">
        <v>10</v>
      </c>
      <c r="E361" s="12" t="s">
        <v>10</v>
      </c>
      <c r="F361" s="18">
        <v>0.7</v>
      </c>
      <c r="G361" s="38">
        <v>100</v>
      </c>
      <c r="H361" s="38">
        <f>60*F361*G361</f>
        <v>4200</v>
      </c>
      <c r="I361" s="12">
        <f>60*F361</f>
        <v>42</v>
      </c>
      <c r="J361" s="12" t="s">
        <v>12</v>
      </c>
      <c r="K361" s="12" t="s">
        <v>10</v>
      </c>
      <c r="L361" s="15">
        <v>4200</v>
      </c>
    </row>
    <row r="362" spans="1:12" ht="21" customHeight="1" outlineLevel="1" x14ac:dyDescent="0.25">
      <c r="A362" s="12"/>
      <c r="B362" s="12" t="s">
        <v>645</v>
      </c>
      <c r="C362" s="12"/>
      <c r="D362" s="30"/>
      <c r="E362" s="12"/>
      <c r="F362" s="18"/>
      <c r="G362" s="38"/>
      <c r="H362" s="38">
        <f ca="1">SUBTOTAL(9,H356:H361)</f>
        <v>17502</v>
      </c>
      <c r="I362" s="12"/>
      <c r="J362" s="12"/>
      <c r="K362" s="12"/>
      <c r="L362" s="15">
        <v>17502</v>
      </c>
    </row>
    <row r="363" spans="1:12" ht="39.75" customHeight="1" outlineLevel="2" x14ac:dyDescent="0.25">
      <c r="A363" s="10">
        <f>ROW(A361)</f>
        <v>361</v>
      </c>
      <c r="B363" s="6" t="str">
        <f>E363</f>
        <v>ЩО.3 (Блок 2, 3)</v>
      </c>
      <c r="C363" s="6"/>
      <c r="D363" s="28"/>
      <c r="E363" s="6" t="s">
        <v>150</v>
      </c>
      <c r="F363" s="36"/>
      <c r="G363" s="36" t="s">
        <v>73</v>
      </c>
      <c r="H363" s="7"/>
      <c r="I363" s="10">
        <v>1</v>
      </c>
      <c r="J363" s="11" t="s">
        <v>6</v>
      </c>
      <c r="K363" s="6" t="s">
        <v>8</v>
      </c>
      <c r="L363" s="9"/>
    </row>
    <row r="364" spans="1:12" ht="21" customHeight="1" outlineLevel="2" x14ac:dyDescent="0.25">
      <c r="A364" s="16">
        <f t="shared" si="4"/>
        <v>363</v>
      </c>
      <c r="B364" s="12" t="str">
        <f>B363</f>
        <v>ЩО.3 (Блок 2, 3)</v>
      </c>
      <c r="C364" s="13" t="s">
        <v>7</v>
      </c>
      <c r="D364" s="29" t="s">
        <v>588</v>
      </c>
      <c r="E364" s="12" t="s">
        <v>589</v>
      </c>
      <c r="F364" s="37">
        <v>6300</v>
      </c>
      <c r="G364" s="38">
        <f>F364*0.6</f>
        <v>3780</v>
      </c>
      <c r="H364" s="38">
        <f>I364*G364</f>
        <v>3780</v>
      </c>
      <c r="I364" s="16">
        <v>1</v>
      </c>
      <c r="J364" s="17" t="s">
        <v>12</v>
      </c>
      <c r="K364" s="13" t="s">
        <v>581</v>
      </c>
      <c r="L364" s="15">
        <v>3780</v>
      </c>
    </row>
    <row r="365" spans="1:12" ht="21" customHeight="1" outlineLevel="2" x14ac:dyDescent="0.25">
      <c r="A365" s="16">
        <f t="shared" si="4"/>
        <v>364</v>
      </c>
      <c r="B365" s="12" t="str">
        <f>B364</f>
        <v>ЩО.3 (Блок 2, 3)</v>
      </c>
      <c r="C365" s="13" t="s">
        <v>11</v>
      </c>
      <c r="D365" s="29" t="s">
        <v>28</v>
      </c>
      <c r="E365" s="12" t="s">
        <v>27</v>
      </c>
      <c r="F365" s="37">
        <v>2606</v>
      </c>
      <c r="G365" s="38">
        <f>F365*0.6</f>
        <v>1563.6</v>
      </c>
      <c r="H365" s="38">
        <f>G365*I365</f>
        <v>1563.6</v>
      </c>
      <c r="I365" s="16">
        <v>1</v>
      </c>
      <c r="J365" s="17" t="s">
        <v>12</v>
      </c>
      <c r="K365" s="13" t="s">
        <v>16</v>
      </c>
      <c r="L365" s="15">
        <v>1563.6</v>
      </c>
    </row>
    <row r="366" spans="1:12" ht="21" customHeight="1" outlineLevel="2" x14ac:dyDescent="0.25">
      <c r="A366" s="16">
        <f t="shared" si="4"/>
        <v>365</v>
      </c>
      <c r="B366" s="12" t="str">
        <f>B365</f>
        <v>ЩО.3 (Блок 2, 3)</v>
      </c>
      <c r="C366" s="13" t="s">
        <v>11</v>
      </c>
      <c r="D366" s="29" t="s">
        <v>53</v>
      </c>
      <c r="E366" s="12" t="s">
        <v>54</v>
      </c>
      <c r="F366" s="37">
        <v>783</v>
      </c>
      <c r="G366" s="38">
        <f>F366*0.6</f>
        <v>469.79999999999995</v>
      </c>
      <c r="H366" s="38">
        <f>G366*I366</f>
        <v>3758.3999999999996</v>
      </c>
      <c r="I366" s="16">
        <v>8</v>
      </c>
      <c r="J366" s="17" t="s">
        <v>12</v>
      </c>
      <c r="K366" s="13" t="s">
        <v>16</v>
      </c>
      <c r="L366" s="15">
        <v>3758.3999999999996</v>
      </c>
    </row>
    <row r="367" spans="1:12" ht="24" customHeight="1" outlineLevel="2" x14ac:dyDescent="0.25">
      <c r="A367" s="12">
        <f t="shared" si="4"/>
        <v>366</v>
      </c>
      <c r="B367" s="12" t="str">
        <f>B366</f>
        <v>ЩО.3 (Блок 2, 3)</v>
      </c>
      <c r="C367" s="12" t="s">
        <v>9</v>
      </c>
      <c r="D367" s="30" t="s">
        <v>9</v>
      </c>
      <c r="E367" s="12" t="s">
        <v>9</v>
      </c>
      <c r="F367" s="18">
        <f ca="1">OFFSET(F367,1,2)</f>
        <v>4200</v>
      </c>
      <c r="G367" s="38">
        <f ca="1">F367</f>
        <v>4200</v>
      </c>
      <c r="H367" s="38">
        <f ca="1">G367*I367</f>
        <v>4200</v>
      </c>
      <c r="I367" s="12">
        <v>1</v>
      </c>
      <c r="J367" s="12" t="s">
        <v>12</v>
      </c>
      <c r="K367" s="12" t="s">
        <v>9</v>
      </c>
      <c r="L367" s="15">
        <v>4200</v>
      </c>
    </row>
    <row r="368" spans="1:12" ht="21" customHeight="1" outlineLevel="2" x14ac:dyDescent="0.25">
      <c r="A368" s="12">
        <f t="shared" ref="A368:A442" si="5">ROW(A367)</f>
        <v>367</v>
      </c>
      <c r="B368" s="12" t="str">
        <f>B367</f>
        <v>ЩО.3 (Блок 2, 3)</v>
      </c>
      <c r="C368" s="12" t="s">
        <v>10</v>
      </c>
      <c r="D368" s="30" t="s">
        <v>10</v>
      </c>
      <c r="E368" s="12" t="s">
        <v>10</v>
      </c>
      <c r="F368" s="18">
        <v>0.7</v>
      </c>
      <c r="G368" s="38">
        <v>100</v>
      </c>
      <c r="H368" s="38">
        <f>60*F368*G368</f>
        <v>4200</v>
      </c>
      <c r="I368" s="12">
        <f>60*F368</f>
        <v>42</v>
      </c>
      <c r="J368" s="12" t="s">
        <v>12</v>
      </c>
      <c r="K368" s="12" t="s">
        <v>10</v>
      </c>
      <c r="L368" s="15">
        <v>4200</v>
      </c>
    </row>
    <row r="369" spans="1:12" ht="21" customHeight="1" outlineLevel="1" x14ac:dyDescent="0.25">
      <c r="A369" s="12"/>
      <c r="B369" s="12" t="s">
        <v>646</v>
      </c>
      <c r="C369" s="12"/>
      <c r="D369" s="30"/>
      <c r="E369" s="12"/>
      <c r="F369" s="18"/>
      <c r="G369" s="38"/>
      <c r="H369" s="38">
        <f ca="1">SUBTOTAL(9,H363:H368)</f>
        <v>17502</v>
      </c>
      <c r="I369" s="12"/>
      <c r="J369" s="12"/>
      <c r="K369" s="12"/>
      <c r="L369" s="15">
        <v>17502</v>
      </c>
    </row>
    <row r="370" spans="1:12" ht="39.75" customHeight="1" outlineLevel="2" x14ac:dyDescent="0.25">
      <c r="A370" s="10">
        <f>ROW(A368)</f>
        <v>368</v>
      </c>
      <c r="B370" s="6" t="str">
        <f>E370</f>
        <v>ЩО.4 (Блок 2, 3)</v>
      </c>
      <c r="C370" s="6"/>
      <c r="D370" s="28"/>
      <c r="E370" s="6" t="s">
        <v>151</v>
      </c>
      <c r="F370" s="36"/>
      <c r="G370" s="36" t="s">
        <v>73</v>
      </c>
      <c r="H370" s="7"/>
      <c r="I370" s="10">
        <v>1</v>
      </c>
      <c r="J370" s="11" t="s">
        <v>6</v>
      </c>
      <c r="K370" s="6" t="s">
        <v>8</v>
      </c>
      <c r="L370" s="9"/>
    </row>
    <row r="371" spans="1:12" ht="21" customHeight="1" outlineLevel="2" x14ac:dyDescent="0.25">
      <c r="A371" s="16">
        <f t="shared" si="5"/>
        <v>370</v>
      </c>
      <c r="B371" s="12" t="str">
        <f>B370</f>
        <v>ЩО.4 (Блок 2, 3)</v>
      </c>
      <c r="C371" s="13" t="s">
        <v>7</v>
      </c>
      <c r="D371" s="29" t="s">
        <v>588</v>
      </c>
      <c r="E371" s="12" t="s">
        <v>589</v>
      </c>
      <c r="F371" s="37">
        <v>6300</v>
      </c>
      <c r="G371" s="38">
        <f>F371*0.6</f>
        <v>3780</v>
      </c>
      <c r="H371" s="38">
        <f>I371*G371</f>
        <v>3780</v>
      </c>
      <c r="I371" s="16">
        <v>1</v>
      </c>
      <c r="J371" s="17" t="s">
        <v>12</v>
      </c>
      <c r="K371" s="13" t="s">
        <v>581</v>
      </c>
      <c r="L371" s="15">
        <v>3780</v>
      </c>
    </row>
    <row r="372" spans="1:12" ht="21" customHeight="1" outlineLevel="2" x14ac:dyDescent="0.25">
      <c r="A372" s="16">
        <f t="shared" si="5"/>
        <v>371</v>
      </c>
      <c r="B372" s="12" t="str">
        <f>B371</f>
        <v>ЩО.4 (Блок 2, 3)</v>
      </c>
      <c r="C372" s="13" t="s">
        <v>11</v>
      </c>
      <c r="D372" s="29" t="s">
        <v>28</v>
      </c>
      <c r="E372" s="12" t="s">
        <v>27</v>
      </c>
      <c r="F372" s="37">
        <v>2606</v>
      </c>
      <c r="G372" s="38">
        <f>F372*0.6</f>
        <v>1563.6</v>
      </c>
      <c r="H372" s="38">
        <f>G372*I372</f>
        <v>1563.6</v>
      </c>
      <c r="I372" s="16">
        <v>1</v>
      </c>
      <c r="J372" s="17" t="s">
        <v>12</v>
      </c>
      <c r="K372" s="13" t="s">
        <v>16</v>
      </c>
      <c r="L372" s="15">
        <v>1563.6</v>
      </c>
    </row>
    <row r="373" spans="1:12" ht="21" customHeight="1" outlineLevel="2" x14ac:dyDescent="0.25">
      <c r="A373" s="16">
        <f t="shared" si="5"/>
        <v>372</v>
      </c>
      <c r="B373" s="12" t="str">
        <f>B372</f>
        <v>ЩО.4 (Блок 2, 3)</v>
      </c>
      <c r="C373" s="13" t="s">
        <v>11</v>
      </c>
      <c r="D373" s="29" t="s">
        <v>53</v>
      </c>
      <c r="E373" s="12" t="s">
        <v>54</v>
      </c>
      <c r="F373" s="37">
        <v>783</v>
      </c>
      <c r="G373" s="38">
        <f>F373*0.6</f>
        <v>469.79999999999995</v>
      </c>
      <c r="H373" s="38">
        <f>G373*I373</f>
        <v>2818.7999999999997</v>
      </c>
      <c r="I373" s="16">
        <v>6</v>
      </c>
      <c r="J373" s="17" t="s">
        <v>12</v>
      </c>
      <c r="K373" s="13" t="s">
        <v>16</v>
      </c>
      <c r="L373" s="15">
        <v>2818.7999999999997</v>
      </c>
    </row>
    <row r="374" spans="1:12" ht="24" customHeight="1" outlineLevel="2" x14ac:dyDescent="0.25">
      <c r="A374" s="12">
        <f t="shared" si="5"/>
        <v>373</v>
      </c>
      <c r="B374" s="12" t="str">
        <f>B373</f>
        <v>ЩО.4 (Блок 2, 3)</v>
      </c>
      <c r="C374" s="12" t="s">
        <v>9</v>
      </c>
      <c r="D374" s="30" t="s">
        <v>9</v>
      </c>
      <c r="E374" s="12" t="s">
        <v>9</v>
      </c>
      <c r="F374" s="18">
        <f ca="1">OFFSET(F374,1,2)</f>
        <v>4200</v>
      </c>
      <c r="G374" s="38">
        <f ca="1">F374</f>
        <v>4200</v>
      </c>
      <c r="H374" s="38">
        <f ca="1">G374*I374</f>
        <v>4200</v>
      </c>
      <c r="I374" s="12">
        <v>1</v>
      </c>
      <c r="J374" s="12" t="s">
        <v>12</v>
      </c>
      <c r="K374" s="12" t="s">
        <v>9</v>
      </c>
      <c r="L374" s="15">
        <v>4200</v>
      </c>
    </row>
    <row r="375" spans="1:12" ht="21" customHeight="1" outlineLevel="2" x14ac:dyDescent="0.25">
      <c r="A375" s="12">
        <f t="shared" si="5"/>
        <v>374</v>
      </c>
      <c r="B375" s="12" t="str">
        <f>B374</f>
        <v>ЩО.4 (Блок 2, 3)</v>
      </c>
      <c r="C375" s="12" t="s">
        <v>10</v>
      </c>
      <c r="D375" s="30" t="s">
        <v>10</v>
      </c>
      <c r="E375" s="12" t="s">
        <v>10</v>
      </c>
      <c r="F375" s="18">
        <v>0.7</v>
      </c>
      <c r="G375" s="38">
        <v>100</v>
      </c>
      <c r="H375" s="38">
        <f>60*F375*G375</f>
        <v>4200</v>
      </c>
      <c r="I375" s="12">
        <f>60*F375</f>
        <v>42</v>
      </c>
      <c r="J375" s="12" t="s">
        <v>12</v>
      </c>
      <c r="K375" s="12" t="s">
        <v>10</v>
      </c>
      <c r="L375" s="15">
        <v>4200</v>
      </c>
    </row>
    <row r="376" spans="1:12" ht="21" customHeight="1" outlineLevel="1" x14ac:dyDescent="0.25">
      <c r="A376" s="12"/>
      <c r="B376" s="12" t="s">
        <v>647</v>
      </c>
      <c r="C376" s="12"/>
      <c r="D376" s="30"/>
      <c r="E376" s="12"/>
      <c r="F376" s="18"/>
      <c r="G376" s="38"/>
      <c r="H376" s="38">
        <f ca="1">SUBTOTAL(9,H370:H375)</f>
        <v>16562.400000000001</v>
      </c>
      <c r="I376" s="12"/>
      <c r="J376" s="12"/>
      <c r="K376" s="12"/>
      <c r="L376" s="15">
        <v>16562.400000000001</v>
      </c>
    </row>
    <row r="377" spans="1:12" ht="39.75" customHeight="1" outlineLevel="2" x14ac:dyDescent="0.25">
      <c r="A377" s="10">
        <f>ROW(A375)</f>
        <v>375</v>
      </c>
      <c r="B377" s="6" t="str">
        <f>E377</f>
        <v>ЩО.5 (Блок 2, 3)</v>
      </c>
      <c r="C377" s="6"/>
      <c r="D377" s="28"/>
      <c r="E377" s="6" t="s">
        <v>152</v>
      </c>
      <c r="F377" s="36"/>
      <c r="G377" s="36" t="s">
        <v>73</v>
      </c>
      <c r="H377" s="7"/>
      <c r="I377" s="10">
        <v>1</v>
      </c>
      <c r="J377" s="11" t="s">
        <v>6</v>
      </c>
      <c r="K377" s="6" t="s">
        <v>8</v>
      </c>
      <c r="L377" s="9"/>
    </row>
    <row r="378" spans="1:12" ht="21" customHeight="1" outlineLevel="2" x14ac:dyDescent="0.25">
      <c r="A378" s="16">
        <f t="shared" si="5"/>
        <v>377</v>
      </c>
      <c r="B378" s="12" t="str">
        <f>B377</f>
        <v>ЩО.5 (Блок 2, 3)</v>
      </c>
      <c r="C378" s="13" t="s">
        <v>7</v>
      </c>
      <c r="D378" s="29" t="s">
        <v>588</v>
      </c>
      <c r="E378" s="12" t="s">
        <v>589</v>
      </c>
      <c r="F378" s="37">
        <v>6300</v>
      </c>
      <c r="G378" s="38">
        <f>F378*0.6</f>
        <v>3780</v>
      </c>
      <c r="H378" s="38">
        <f>I378*G378</f>
        <v>3780</v>
      </c>
      <c r="I378" s="16">
        <v>1</v>
      </c>
      <c r="J378" s="17" t="s">
        <v>12</v>
      </c>
      <c r="K378" s="13" t="s">
        <v>581</v>
      </c>
      <c r="L378" s="15">
        <v>3780</v>
      </c>
    </row>
    <row r="379" spans="1:12" ht="21" customHeight="1" outlineLevel="2" x14ac:dyDescent="0.25">
      <c r="A379" s="16">
        <f t="shared" si="5"/>
        <v>378</v>
      </c>
      <c r="B379" s="12" t="str">
        <f>B378</f>
        <v>ЩО.5 (Блок 2, 3)</v>
      </c>
      <c r="C379" s="13" t="s">
        <v>11</v>
      </c>
      <c r="D379" s="29" t="s">
        <v>28</v>
      </c>
      <c r="E379" s="12" t="s">
        <v>27</v>
      </c>
      <c r="F379" s="37">
        <v>2606</v>
      </c>
      <c r="G379" s="38">
        <f>F379*0.6</f>
        <v>1563.6</v>
      </c>
      <c r="H379" s="38">
        <f>G379*I379</f>
        <v>1563.6</v>
      </c>
      <c r="I379" s="16">
        <v>1</v>
      </c>
      <c r="J379" s="17" t="s">
        <v>12</v>
      </c>
      <c r="K379" s="13" t="s">
        <v>16</v>
      </c>
      <c r="L379" s="15">
        <v>1563.6</v>
      </c>
    </row>
    <row r="380" spans="1:12" ht="21" customHeight="1" outlineLevel="2" x14ac:dyDescent="0.25">
      <c r="A380" s="16">
        <f t="shared" si="5"/>
        <v>379</v>
      </c>
      <c r="B380" s="12" t="str">
        <f>B379</f>
        <v>ЩО.5 (Блок 2, 3)</v>
      </c>
      <c r="C380" s="13" t="s">
        <v>11</v>
      </c>
      <c r="D380" s="29" t="s">
        <v>53</v>
      </c>
      <c r="E380" s="12" t="s">
        <v>54</v>
      </c>
      <c r="F380" s="37">
        <v>783</v>
      </c>
      <c r="G380" s="38">
        <f>F380*0.6</f>
        <v>469.79999999999995</v>
      </c>
      <c r="H380" s="38">
        <f>G380*I380</f>
        <v>2349</v>
      </c>
      <c r="I380" s="16">
        <v>5</v>
      </c>
      <c r="J380" s="17" t="s">
        <v>12</v>
      </c>
      <c r="K380" s="13" t="s">
        <v>16</v>
      </c>
      <c r="L380" s="15">
        <v>2349</v>
      </c>
    </row>
    <row r="381" spans="1:12" ht="24" customHeight="1" outlineLevel="2" x14ac:dyDescent="0.25">
      <c r="A381" s="12">
        <f t="shared" si="5"/>
        <v>380</v>
      </c>
      <c r="B381" s="12" t="str">
        <f>B380</f>
        <v>ЩО.5 (Блок 2, 3)</v>
      </c>
      <c r="C381" s="12" t="s">
        <v>9</v>
      </c>
      <c r="D381" s="30" t="s">
        <v>9</v>
      </c>
      <c r="E381" s="12" t="s">
        <v>9</v>
      </c>
      <c r="F381" s="18">
        <f ca="1">OFFSET(F381,1,2)</f>
        <v>4200</v>
      </c>
      <c r="G381" s="38">
        <f ca="1">F381</f>
        <v>4200</v>
      </c>
      <c r="H381" s="38">
        <f ca="1">G381*I381</f>
        <v>4200</v>
      </c>
      <c r="I381" s="12">
        <v>1</v>
      </c>
      <c r="J381" s="12" t="s">
        <v>12</v>
      </c>
      <c r="K381" s="12" t="s">
        <v>9</v>
      </c>
      <c r="L381" s="15">
        <v>4200</v>
      </c>
    </row>
    <row r="382" spans="1:12" ht="21" customHeight="1" outlineLevel="2" x14ac:dyDescent="0.25">
      <c r="A382" s="12">
        <f t="shared" si="5"/>
        <v>381</v>
      </c>
      <c r="B382" s="12" t="str">
        <f>B381</f>
        <v>ЩО.5 (Блок 2, 3)</v>
      </c>
      <c r="C382" s="12" t="s">
        <v>10</v>
      </c>
      <c r="D382" s="30" t="s">
        <v>10</v>
      </c>
      <c r="E382" s="12" t="s">
        <v>10</v>
      </c>
      <c r="F382" s="18">
        <v>0.7</v>
      </c>
      <c r="G382" s="38">
        <v>100</v>
      </c>
      <c r="H382" s="38">
        <f>60*F382*G382</f>
        <v>4200</v>
      </c>
      <c r="I382" s="12">
        <f>60*F382</f>
        <v>42</v>
      </c>
      <c r="J382" s="12" t="s">
        <v>12</v>
      </c>
      <c r="K382" s="12" t="s">
        <v>10</v>
      </c>
      <c r="L382" s="15">
        <v>4200</v>
      </c>
    </row>
    <row r="383" spans="1:12" ht="21" customHeight="1" outlineLevel="1" x14ac:dyDescent="0.25">
      <c r="A383" s="12"/>
      <c r="B383" s="12" t="s">
        <v>648</v>
      </c>
      <c r="C383" s="12"/>
      <c r="D383" s="30"/>
      <c r="E383" s="12"/>
      <c r="F383" s="18"/>
      <c r="G383" s="38"/>
      <c r="H383" s="38">
        <f ca="1">SUBTOTAL(9,H377:H382)</f>
        <v>16092.6</v>
      </c>
      <c r="I383" s="12"/>
      <c r="J383" s="12"/>
      <c r="K383" s="12"/>
      <c r="L383" s="15">
        <v>16092.6</v>
      </c>
    </row>
    <row r="384" spans="1:12" ht="39.75" customHeight="1" outlineLevel="2" x14ac:dyDescent="0.25">
      <c r="A384" s="10">
        <f>ROW(A382)</f>
        <v>382</v>
      </c>
      <c r="B384" s="6" t="str">
        <f>E384</f>
        <v>ЩО.6 (Блок 2, 3)</v>
      </c>
      <c r="C384" s="6"/>
      <c r="D384" s="28"/>
      <c r="E384" s="6" t="s">
        <v>153</v>
      </c>
      <c r="F384" s="36"/>
      <c r="G384" s="36" t="s">
        <v>73</v>
      </c>
      <c r="H384" s="7"/>
      <c r="I384" s="10">
        <v>1</v>
      </c>
      <c r="J384" s="11" t="s">
        <v>6</v>
      </c>
      <c r="K384" s="6" t="s">
        <v>8</v>
      </c>
      <c r="L384" s="9"/>
    </row>
    <row r="385" spans="1:12" ht="21" customHeight="1" outlineLevel="2" x14ac:dyDescent="0.25">
      <c r="A385" s="16">
        <f t="shared" si="5"/>
        <v>384</v>
      </c>
      <c r="B385" s="12" t="str">
        <f>B384</f>
        <v>ЩО.6 (Блок 2, 3)</v>
      </c>
      <c r="C385" s="13" t="s">
        <v>7</v>
      </c>
      <c r="D385" s="29" t="s">
        <v>588</v>
      </c>
      <c r="E385" s="12" t="s">
        <v>589</v>
      </c>
      <c r="F385" s="37">
        <v>6300</v>
      </c>
      <c r="G385" s="38">
        <f>F385*0.6</f>
        <v>3780</v>
      </c>
      <c r="H385" s="38">
        <f>I385*G385</f>
        <v>3780</v>
      </c>
      <c r="I385" s="16">
        <v>1</v>
      </c>
      <c r="J385" s="17" t="s">
        <v>12</v>
      </c>
      <c r="K385" s="13" t="s">
        <v>581</v>
      </c>
      <c r="L385" s="15">
        <v>3780</v>
      </c>
    </row>
    <row r="386" spans="1:12" ht="21" customHeight="1" outlineLevel="2" x14ac:dyDescent="0.25">
      <c r="A386" s="16">
        <f t="shared" si="5"/>
        <v>385</v>
      </c>
      <c r="B386" s="12" t="str">
        <f>B385</f>
        <v>ЩО.6 (Блок 2, 3)</v>
      </c>
      <c r="C386" s="13" t="s">
        <v>11</v>
      </c>
      <c r="D386" s="29" t="s">
        <v>28</v>
      </c>
      <c r="E386" s="12" t="s">
        <v>27</v>
      </c>
      <c r="F386" s="37">
        <v>2606</v>
      </c>
      <c r="G386" s="38">
        <f>F386*0.6</f>
        <v>1563.6</v>
      </c>
      <c r="H386" s="38">
        <f>G386*I386</f>
        <v>1563.6</v>
      </c>
      <c r="I386" s="16">
        <v>1</v>
      </c>
      <c r="J386" s="17" t="s">
        <v>12</v>
      </c>
      <c r="K386" s="13" t="s">
        <v>16</v>
      </c>
      <c r="L386" s="15">
        <v>1563.6</v>
      </c>
    </row>
    <row r="387" spans="1:12" ht="21" customHeight="1" outlineLevel="2" x14ac:dyDescent="0.25">
      <c r="A387" s="16">
        <f t="shared" si="5"/>
        <v>386</v>
      </c>
      <c r="B387" s="12" t="str">
        <f>B386</f>
        <v>ЩО.6 (Блок 2, 3)</v>
      </c>
      <c r="C387" s="13" t="s">
        <v>11</v>
      </c>
      <c r="D387" s="29" t="s">
        <v>53</v>
      </c>
      <c r="E387" s="12" t="s">
        <v>54</v>
      </c>
      <c r="F387" s="37">
        <v>783</v>
      </c>
      <c r="G387" s="38">
        <f>F387*0.6</f>
        <v>469.79999999999995</v>
      </c>
      <c r="H387" s="38">
        <f>G387*I387</f>
        <v>2349</v>
      </c>
      <c r="I387" s="16">
        <v>5</v>
      </c>
      <c r="J387" s="17" t="s">
        <v>12</v>
      </c>
      <c r="K387" s="13" t="s">
        <v>16</v>
      </c>
      <c r="L387" s="15">
        <v>2349</v>
      </c>
    </row>
    <row r="388" spans="1:12" ht="24" customHeight="1" outlineLevel="2" x14ac:dyDescent="0.25">
      <c r="A388" s="12">
        <f t="shared" si="5"/>
        <v>387</v>
      </c>
      <c r="B388" s="12" t="str">
        <f>B387</f>
        <v>ЩО.6 (Блок 2, 3)</v>
      </c>
      <c r="C388" s="12" t="s">
        <v>9</v>
      </c>
      <c r="D388" s="30" t="s">
        <v>9</v>
      </c>
      <c r="E388" s="12" t="s">
        <v>9</v>
      </c>
      <c r="F388" s="18">
        <f ca="1">OFFSET(F388,1,2)</f>
        <v>4200</v>
      </c>
      <c r="G388" s="38">
        <f ca="1">F388</f>
        <v>4200</v>
      </c>
      <c r="H388" s="38">
        <f ca="1">G388*I388</f>
        <v>4200</v>
      </c>
      <c r="I388" s="12">
        <v>1</v>
      </c>
      <c r="J388" s="12" t="s">
        <v>12</v>
      </c>
      <c r="K388" s="12" t="s">
        <v>9</v>
      </c>
      <c r="L388" s="15">
        <v>4200</v>
      </c>
    </row>
    <row r="389" spans="1:12" ht="21" customHeight="1" outlineLevel="2" x14ac:dyDescent="0.25">
      <c r="A389" s="12">
        <f t="shared" si="5"/>
        <v>388</v>
      </c>
      <c r="B389" s="12" t="str">
        <f>B388</f>
        <v>ЩО.6 (Блок 2, 3)</v>
      </c>
      <c r="C389" s="12" t="s">
        <v>10</v>
      </c>
      <c r="D389" s="30" t="s">
        <v>10</v>
      </c>
      <c r="E389" s="12" t="s">
        <v>10</v>
      </c>
      <c r="F389" s="18">
        <v>0.7</v>
      </c>
      <c r="G389" s="38">
        <v>100</v>
      </c>
      <c r="H389" s="38">
        <f>60*F389*G389</f>
        <v>4200</v>
      </c>
      <c r="I389" s="12">
        <f>60*F389</f>
        <v>42</v>
      </c>
      <c r="J389" s="12" t="s">
        <v>12</v>
      </c>
      <c r="K389" s="12" t="s">
        <v>10</v>
      </c>
      <c r="L389" s="15">
        <v>4200</v>
      </c>
    </row>
    <row r="390" spans="1:12" ht="21" customHeight="1" outlineLevel="1" x14ac:dyDescent="0.25">
      <c r="A390" s="12"/>
      <c r="B390" s="12" t="s">
        <v>649</v>
      </c>
      <c r="C390" s="12"/>
      <c r="D390" s="30"/>
      <c r="E390" s="12"/>
      <c r="F390" s="18"/>
      <c r="G390" s="38"/>
      <c r="H390" s="38">
        <f ca="1">SUBTOTAL(9,H384:H389)</f>
        <v>16092.6</v>
      </c>
      <c r="I390" s="12"/>
      <c r="J390" s="12"/>
      <c r="K390" s="12"/>
      <c r="L390" s="15">
        <v>16092.6</v>
      </c>
    </row>
    <row r="391" spans="1:12" ht="39.75" customHeight="1" outlineLevel="2" x14ac:dyDescent="0.25">
      <c r="A391" s="10">
        <f>ROW(A389)</f>
        <v>389</v>
      </c>
      <c r="B391" s="6" t="str">
        <f>E391</f>
        <v>ЩО.7 (Блок 2, 3)</v>
      </c>
      <c r="C391" s="6"/>
      <c r="D391" s="28"/>
      <c r="E391" s="6" t="s">
        <v>154</v>
      </c>
      <c r="F391" s="36"/>
      <c r="G391" s="36" t="s">
        <v>73</v>
      </c>
      <c r="H391" s="7"/>
      <c r="I391" s="10">
        <v>1</v>
      </c>
      <c r="J391" s="11" t="s">
        <v>6</v>
      </c>
      <c r="K391" s="6" t="s">
        <v>8</v>
      </c>
      <c r="L391" s="9"/>
    </row>
    <row r="392" spans="1:12" ht="21" customHeight="1" outlineLevel="2" x14ac:dyDescent="0.25">
      <c r="A392" s="16">
        <f t="shared" si="5"/>
        <v>391</v>
      </c>
      <c r="B392" s="12" t="str">
        <f>B391</f>
        <v>ЩО.7 (Блок 2, 3)</v>
      </c>
      <c r="C392" s="13" t="s">
        <v>7</v>
      </c>
      <c r="D392" s="29" t="s">
        <v>588</v>
      </c>
      <c r="E392" s="12" t="s">
        <v>589</v>
      </c>
      <c r="F392" s="37">
        <v>6300</v>
      </c>
      <c r="G392" s="38">
        <f>F392*0.6</f>
        <v>3780</v>
      </c>
      <c r="H392" s="38">
        <f>I392*G392</f>
        <v>3780</v>
      </c>
      <c r="I392" s="16">
        <v>1</v>
      </c>
      <c r="J392" s="17" t="s">
        <v>12</v>
      </c>
      <c r="K392" s="13" t="s">
        <v>581</v>
      </c>
      <c r="L392" s="15">
        <v>3780</v>
      </c>
    </row>
    <row r="393" spans="1:12" ht="21" customHeight="1" outlineLevel="2" x14ac:dyDescent="0.25">
      <c r="A393" s="16">
        <f t="shared" si="5"/>
        <v>392</v>
      </c>
      <c r="B393" s="12" t="str">
        <f>B392</f>
        <v>ЩО.7 (Блок 2, 3)</v>
      </c>
      <c r="C393" s="13" t="s">
        <v>11</v>
      </c>
      <c r="D393" s="29" t="s">
        <v>28</v>
      </c>
      <c r="E393" s="12" t="s">
        <v>27</v>
      </c>
      <c r="F393" s="37">
        <v>2606</v>
      </c>
      <c r="G393" s="38">
        <f>F393*0.6</f>
        <v>1563.6</v>
      </c>
      <c r="H393" s="38">
        <f>G393*I393</f>
        <v>1563.6</v>
      </c>
      <c r="I393" s="16">
        <v>1</v>
      </c>
      <c r="J393" s="17" t="s">
        <v>12</v>
      </c>
      <c r="K393" s="13" t="s">
        <v>16</v>
      </c>
      <c r="L393" s="15">
        <v>1563.6</v>
      </c>
    </row>
    <row r="394" spans="1:12" ht="21" customHeight="1" outlineLevel="2" x14ac:dyDescent="0.25">
      <c r="A394" s="16">
        <f t="shared" si="5"/>
        <v>393</v>
      </c>
      <c r="B394" s="12" t="str">
        <f>B393</f>
        <v>ЩО.7 (Блок 2, 3)</v>
      </c>
      <c r="C394" s="13" t="s">
        <v>11</v>
      </c>
      <c r="D394" s="29" t="s">
        <v>53</v>
      </c>
      <c r="E394" s="12" t="s">
        <v>54</v>
      </c>
      <c r="F394" s="37">
        <v>783</v>
      </c>
      <c r="G394" s="38">
        <f>F394*0.6</f>
        <v>469.79999999999995</v>
      </c>
      <c r="H394" s="38">
        <f>G394*I394</f>
        <v>2349</v>
      </c>
      <c r="I394" s="16">
        <v>5</v>
      </c>
      <c r="J394" s="17" t="s">
        <v>12</v>
      </c>
      <c r="K394" s="13" t="s">
        <v>16</v>
      </c>
      <c r="L394" s="15">
        <v>2349</v>
      </c>
    </row>
    <row r="395" spans="1:12" ht="24" customHeight="1" outlineLevel="2" x14ac:dyDescent="0.25">
      <c r="A395" s="12">
        <f t="shared" si="5"/>
        <v>394</v>
      </c>
      <c r="B395" s="12" t="str">
        <f>B394</f>
        <v>ЩО.7 (Блок 2, 3)</v>
      </c>
      <c r="C395" s="12" t="s">
        <v>9</v>
      </c>
      <c r="D395" s="30" t="s">
        <v>9</v>
      </c>
      <c r="E395" s="12" t="s">
        <v>9</v>
      </c>
      <c r="F395" s="18">
        <f ca="1">OFFSET(F395,1,2)</f>
        <v>4200</v>
      </c>
      <c r="G395" s="38">
        <f ca="1">F395</f>
        <v>4200</v>
      </c>
      <c r="H395" s="38">
        <f ca="1">G395*I395</f>
        <v>4200</v>
      </c>
      <c r="I395" s="12">
        <v>1</v>
      </c>
      <c r="J395" s="12" t="s">
        <v>12</v>
      </c>
      <c r="K395" s="12" t="s">
        <v>9</v>
      </c>
      <c r="L395" s="15">
        <v>4200</v>
      </c>
    </row>
    <row r="396" spans="1:12" ht="21" customHeight="1" outlineLevel="2" x14ac:dyDescent="0.25">
      <c r="A396" s="12">
        <f t="shared" si="5"/>
        <v>395</v>
      </c>
      <c r="B396" s="12" t="str">
        <f>B395</f>
        <v>ЩО.7 (Блок 2, 3)</v>
      </c>
      <c r="C396" s="12" t="s">
        <v>10</v>
      </c>
      <c r="D396" s="30" t="s">
        <v>10</v>
      </c>
      <c r="E396" s="12" t="s">
        <v>10</v>
      </c>
      <c r="F396" s="18">
        <v>0.7</v>
      </c>
      <c r="G396" s="38">
        <v>100</v>
      </c>
      <c r="H396" s="38">
        <f>60*F396*G396</f>
        <v>4200</v>
      </c>
      <c r="I396" s="12">
        <f>60*F396</f>
        <v>42</v>
      </c>
      <c r="J396" s="12" t="s">
        <v>12</v>
      </c>
      <c r="K396" s="12" t="s">
        <v>10</v>
      </c>
      <c r="L396" s="15">
        <v>4200</v>
      </c>
    </row>
    <row r="397" spans="1:12" ht="21" customHeight="1" outlineLevel="1" x14ac:dyDescent="0.25">
      <c r="A397" s="12"/>
      <c r="B397" s="12" t="s">
        <v>650</v>
      </c>
      <c r="C397" s="12"/>
      <c r="D397" s="30"/>
      <c r="E397" s="12"/>
      <c r="F397" s="18"/>
      <c r="G397" s="38"/>
      <c r="H397" s="38">
        <f ca="1">SUBTOTAL(9,H391:H396)</f>
        <v>16092.6</v>
      </c>
      <c r="I397" s="12"/>
      <c r="J397" s="12"/>
      <c r="K397" s="12"/>
      <c r="L397" s="15">
        <v>16092.6</v>
      </c>
    </row>
    <row r="398" spans="1:12" ht="39.75" customHeight="1" outlineLevel="2" x14ac:dyDescent="0.25">
      <c r="A398" s="10">
        <f>ROW(A396)</f>
        <v>396</v>
      </c>
      <c r="B398" s="6" t="str">
        <f>E398</f>
        <v>ЩО.8 (Блок 2, 3)</v>
      </c>
      <c r="C398" s="6"/>
      <c r="D398" s="28"/>
      <c r="E398" s="6" t="s">
        <v>155</v>
      </c>
      <c r="F398" s="36"/>
      <c r="G398" s="36" t="s">
        <v>73</v>
      </c>
      <c r="H398" s="7"/>
      <c r="I398" s="10">
        <v>1</v>
      </c>
      <c r="J398" s="11" t="s">
        <v>6</v>
      </c>
      <c r="K398" s="6" t="s">
        <v>8</v>
      </c>
      <c r="L398" s="9"/>
    </row>
    <row r="399" spans="1:12" ht="21" customHeight="1" outlineLevel="2" x14ac:dyDescent="0.25">
      <c r="A399" s="16">
        <f t="shared" si="5"/>
        <v>398</v>
      </c>
      <c r="B399" s="12" t="str">
        <f>B398</f>
        <v>ЩО.8 (Блок 2, 3)</v>
      </c>
      <c r="C399" s="13" t="s">
        <v>7</v>
      </c>
      <c r="D399" s="29" t="s">
        <v>588</v>
      </c>
      <c r="E399" s="12" t="s">
        <v>589</v>
      </c>
      <c r="F399" s="37">
        <v>6300</v>
      </c>
      <c r="G399" s="38">
        <f>F399*0.6</f>
        <v>3780</v>
      </c>
      <c r="H399" s="38">
        <f>I399*G399</f>
        <v>3780</v>
      </c>
      <c r="I399" s="16">
        <v>1</v>
      </c>
      <c r="J399" s="17" t="s">
        <v>12</v>
      </c>
      <c r="K399" s="13" t="s">
        <v>581</v>
      </c>
      <c r="L399" s="15">
        <v>3780</v>
      </c>
    </row>
    <row r="400" spans="1:12" ht="21" customHeight="1" outlineLevel="2" x14ac:dyDescent="0.25">
      <c r="A400" s="16">
        <f t="shared" si="5"/>
        <v>399</v>
      </c>
      <c r="B400" s="12" t="str">
        <f>B399</f>
        <v>ЩО.8 (Блок 2, 3)</v>
      </c>
      <c r="C400" s="13" t="s">
        <v>11</v>
      </c>
      <c r="D400" s="29" t="s">
        <v>28</v>
      </c>
      <c r="E400" s="12" t="s">
        <v>27</v>
      </c>
      <c r="F400" s="37">
        <v>2606</v>
      </c>
      <c r="G400" s="38">
        <f>F400*0.6</f>
        <v>1563.6</v>
      </c>
      <c r="H400" s="38">
        <f>G400*I400</f>
        <v>1563.6</v>
      </c>
      <c r="I400" s="16">
        <v>1</v>
      </c>
      <c r="J400" s="17" t="s">
        <v>12</v>
      </c>
      <c r="K400" s="13" t="s">
        <v>16</v>
      </c>
      <c r="L400" s="15">
        <v>1563.6</v>
      </c>
    </row>
    <row r="401" spans="1:12" ht="21" customHeight="1" outlineLevel="2" x14ac:dyDescent="0.25">
      <c r="A401" s="16">
        <f t="shared" si="5"/>
        <v>400</v>
      </c>
      <c r="B401" s="12" t="str">
        <f>B400</f>
        <v>ЩО.8 (Блок 2, 3)</v>
      </c>
      <c r="C401" s="13" t="s">
        <v>11</v>
      </c>
      <c r="D401" s="29" t="s">
        <v>53</v>
      </c>
      <c r="E401" s="12" t="s">
        <v>54</v>
      </c>
      <c r="F401" s="37">
        <v>783</v>
      </c>
      <c r="G401" s="38">
        <f>F401*0.6</f>
        <v>469.79999999999995</v>
      </c>
      <c r="H401" s="38">
        <f>G401*I401</f>
        <v>2349</v>
      </c>
      <c r="I401" s="16">
        <v>5</v>
      </c>
      <c r="J401" s="17" t="s">
        <v>12</v>
      </c>
      <c r="K401" s="13" t="s">
        <v>16</v>
      </c>
      <c r="L401" s="15">
        <v>2349</v>
      </c>
    </row>
    <row r="402" spans="1:12" ht="24" customHeight="1" outlineLevel="2" x14ac:dyDescent="0.25">
      <c r="A402" s="12">
        <f t="shared" si="5"/>
        <v>401</v>
      </c>
      <c r="B402" s="12" t="str">
        <f>B401</f>
        <v>ЩО.8 (Блок 2, 3)</v>
      </c>
      <c r="C402" s="12" t="s">
        <v>9</v>
      </c>
      <c r="D402" s="30" t="s">
        <v>9</v>
      </c>
      <c r="E402" s="12" t="s">
        <v>9</v>
      </c>
      <c r="F402" s="18">
        <f ca="1">OFFSET(F402,1,2)</f>
        <v>4200</v>
      </c>
      <c r="G402" s="38">
        <f ca="1">F402</f>
        <v>4200</v>
      </c>
      <c r="H402" s="38">
        <f ca="1">G402*I402</f>
        <v>4200</v>
      </c>
      <c r="I402" s="12">
        <v>1</v>
      </c>
      <c r="J402" s="12" t="s">
        <v>12</v>
      </c>
      <c r="K402" s="12" t="s">
        <v>9</v>
      </c>
      <c r="L402" s="15">
        <v>4200</v>
      </c>
    </row>
    <row r="403" spans="1:12" ht="21" customHeight="1" outlineLevel="2" x14ac:dyDescent="0.25">
      <c r="A403" s="12">
        <f t="shared" si="5"/>
        <v>402</v>
      </c>
      <c r="B403" s="12" t="str">
        <f>B402</f>
        <v>ЩО.8 (Блок 2, 3)</v>
      </c>
      <c r="C403" s="12" t="s">
        <v>10</v>
      </c>
      <c r="D403" s="30" t="s">
        <v>10</v>
      </c>
      <c r="E403" s="12" t="s">
        <v>10</v>
      </c>
      <c r="F403" s="18">
        <v>0.7</v>
      </c>
      <c r="G403" s="38">
        <v>100</v>
      </c>
      <c r="H403" s="38">
        <f>60*F403*G403</f>
        <v>4200</v>
      </c>
      <c r="I403" s="12">
        <f>60*F403</f>
        <v>42</v>
      </c>
      <c r="J403" s="12" t="s">
        <v>12</v>
      </c>
      <c r="K403" s="12" t="s">
        <v>10</v>
      </c>
      <c r="L403" s="15">
        <v>4200</v>
      </c>
    </row>
    <row r="404" spans="1:12" ht="21" customHeight="1" outlineLevel="1" x14ac:dyDescent="0.25">
      <c r="A404" s="12"/>
      <c r="B404" s="12" t="s">
        <v>651</v>
      </c>
      <c r="C404" s="12"/>
      <c r="D404" s="30"/>
      <c r="E404" s="12"/>
      <c r="F404" s="18"/>
      <c r="G404" s="38"/>
      <c r="H404" s="38">
        <f ca="1">SUBTOTAL(9,H398:H403)</f>
        <v>16092.6</v>
      </c>
      <c r="I404" s="12"/>
      <c r="J404" s="12"/>
      <c r="K404" s="12"/>
      <c r="L404" s="15">
        <v>16092.6</v>
      </c>
    </row>
    <row r="405" spans="1:12" ht="39.75" customHeight="1" outlineLevel="2" x14ac:dyDescent="0.25">
      <c r="A405" s="10">
        <f>ROW(A403)</f>
        <v>403</v>
      </c>
      <c r="B405" s="6" t="str">
        <f>E405</f>
        <v>ЩР.1 (Блок 2, 3)</v>
      </c>
      <c r="C405" s="6"/>
      <c r="D405" s="28"/>
      <c r="E405" s="6" t="s">
        <v>156</v>
      </c>
      <c r="F405" s="36"/>
      <c r="G405" s="36" t="s">
        <v>73</v>
      </c>
      <c r="H405" s="7"/>
      <c r="I405" s="10">
        <v>1</v>
      </c>
      <c r="J405" s="11" t="s">
        <v>6</v>
      </c>
      <c r="K405" s="6" t="s">
        <v>8</v>
      </c>
      <c r="L405" s="9"/>
    </row>
    <row r="406" spans="1:12" ht="21" customHeight="1" outlineLevel="2" x14ac:dyDescent="0.25">
      <c r="A406" s="16">
        <f t="shared" si="5"/>
        <v>405</v>
      </c>
      <c r="B406" s="12" t="str">
        <f>B405</f>
        <v>ЩР.1 (Блок 2, 3)</v>
      </c>
      <c r="C406" s="13" t="s">
        <v>7</v>
      </c>
      <c r="D406" s="29" t="s">
        <v>472</v>
      </c>
      <c r="E406" s="12" t="s">
        <v>473</v>
      </c>
      <c r="F406" s="37">
        <v>22000</v>
      </c>
      <c r="G406" s="38">
        <f>F406*0.6</f>
        <v>13200</v>
      </c>
      <c r="H406" s="38">
        <f>I406*G406</f>
        <v>13200</v>
      </c>
      <c r="I406" s="16">
        <v>1</v>
      </c>
      <c r="J406" s="17" t="s">
        <v>12</v>
      </c>
      <c r="K406" s="13" t="s">
        <v>15</v>
      </c>
      <c r="L406" s="15">
        <v>13200</v>
      </c>
    </row>
    <row r="407" spans="1:12" ht="21" customHeight="1" outlineLevel="2" x14ac:dyDescent="0.25">
      <c r="A407" s="16">
        <f t="shared" si="5"/>
        <v>406</v>
      </c>
      <c r="B407" s="12" t="str">
        <f>B406</f>
        <v>ЩР.1 (Блок 2, 3)</v>
      </c>
      <c r="C407" s="13" t="s">
        <v>11</v>
      </c>
      <c r="D407" s="29" t="s">
        <v>28</v>
      </c>
      <c r="E407" s="12" t="s">
        <v>27</v>
      </c>
      <c r="F407" s="37">
        <v>2606</v>
      </c>
      <c r="G407" s="38">
        <f>F407*0.6</f>
        <v>1563.6</v>
      </c>
      <c r="H407" s="38">
        <f>G407*I407</f>
        <v>1563.6</v>
      </c>
      <c r="I407" s="16">
        <v>1</v>
      </c>
      <c r="J407" s="17" t="s">
        <v>12</v>
      </c>
      <c r="K407" s="13" t="s">
        <v>16</v>
      </c>
      <c r="L407" s="15">
        <v>1563.6</v>
      </c>
    </row>
    <row r="408" spans="1:12" ht="21" customHeight="1" outlineLevel="2" x14ac:dyDescent="0.25">
      <c r="A408" s="16">
        <f t="shared" si="5"/>
        <v>407</v>
      </c>
      <c r="B408" s="12" t="str">
        <f>B407</f>
        <v>ЩР.1 (Блок 2, 3)</v>
      </c>
      <c r="C408" s="13" t="s">
        <v>22</v>
      </c>
      <c r="D408" s="29" t="s">
        <v>101</v>
      </c>
      <c r="E408" s="12" t="s">
        <v>102</v>
      </c>
      <c r="F408" s="37">
        <v>8889</v>
      </c>
      <c r="G408" s="38">
        <f>F408*0.6</f>
        <v>5333.4</v>
      </c>
      <c r="H408" s="38">
        <f>G408*I408</f>
        <v>10666.8</v>
      </c>
      <c r="I408" s="16">
        <v>2</v>
      </c>
      <c r="J408" s="17" t="s">
        <v>12</v>
      </c>
      <c r="K408" s="13" t="s">
        <v>16</v>
      </c>
      <c r="L408" s="15">
        <v>10666.8</v>
      </c>
    </row>
    <row r="409" spans="1:12" ht="21" customHeight="1" outlineLevel="2" x14ac:dyDescent="0.25">
      <c r="A409" s="16">
        <f t="shared" si="5"/>
        <v>408</v>
      </c>
      <c r="B409" s="12" t="str">
        <f>B408</f>
        <v>ЩР.1 (Блок 2, 3)</v>
      </c>
      <c r="C409" s="13" t="s">
        <v>22</v>
      </c>
      <c r="D409" s="29" t="s">
        <v>96</v>
      </c>
      <c r="E409" s="12" t="s">
        <v>97</v>
      </c>
      <c r="F409" s="37">
        <v>5069</v>
      </c>
      <c r="G409" s="38">
        <f>F409*0.6</f>
        <v>3041.4</v>
      </c>
      <c r="H409" s="38">
        <f>G409*I409</f>
        <v>30414</v>
      </c>
      <c r="I409" s="16">
        <v>10</v>
      </c>
      <c r="J409" s="17" t="s">
        <v>12</v>
      </c>
      <c r="K409" s="13" t="s">
        <v>16</v>
      </c>
      <c r="L409" s="15">
        <v>30414</v>
      </c>
    </row>
    <row r="410" spans="1:12" ht="24" customHeight="1" outlineLevel="2" x14ac:dyDescent="0.25">
      <c r="A410" s="12">
        <f t="shared" si="5"/>
        <v>409</v>
      </c>
      <c r="B410" s="12" t="str">
        <f>B409</f>
        <v>ЩР.1 (Блок 2, 3)</v>
      </c>
      <c r="C410" s="12" t="s">
        <v>9</v>
      </c>
      <c r="D410" s="30" t="s">
        <v>9</v>
      </c>
      <c r="E410" s="12" t="s">
        <v>9</v>
      </c>
      <c r="F410" s="18">
        <f ca="1">OFFSET(F410,1,2)</f>
        <v>12000</v>
      </c>
      <c r="G410" s="38">
        <f ca="1">F410</f>
        <v>12000</v>
      </c>
      <c r="H410" s="38">
        <f ca="1">G410*I410</f>
        <v>12000</v>
      </c>
      <c r="I410" s="12">
        <v>1</v>
      </c>
      <c r="J410" s="12" t="s">
        <v>12</v>
      </c>
      <c r="K410" s="12" t="s">
        <v>9</v>
      </c>
      <c r="L410" s="15">
        <v>12000</v>
      </c>
    </row>
    <row r="411" spans="1:12" ht="21" customHeight="1" outlineLevel="2" x14ac:dyDescent="0.25">
      <c r="A411" s="12">
        <f t="shared" si="5"/>
        <v>410</v>
      </c>
      <c r="B411" s="12" t="str">
        <f>B410</f>
        <v>ЩР.1 (Блок 2, 3)</v>
      </c>
      <c r="C411" s="12" t="s">
        <v>10</v>
      </c>
      <c r="D411" s="30" t="s">
        <v>10</v>
      </c>
      <c r="E411" s="12" t="s">
        <v>10</v>
      </c>
      <c r="F411" s="18">
        <v>2</v>
      </c>
      <c r="G411" s="38">
        <v>100</v>
      </c>
      <c r="H411" s="38">
        <f>60*F411*G411</f>
        <v>12000</v>
      </c>
      <c r="I411" s="12">
        <f>60*F411</f>
        <v>120</v>
      </c>
      <c r="J411" s="12" t="s">
        <v>12</v>
      </c>
      <c r="K411" s="12" t="s">
        <v>10</v>
      </c>
      <c r="L411" s="15">
        <v>12000</v>
      </c>
    </row>
    <row r="412" spans="1:12" ht="21" customHeight="1" outlineLevel="1" x14ac:dyDescent="0.25">
      <c r="A412" s="12"/>
      <c r="B412" s="12" t="s">
        <v>652</v>
      </c>
      <c r="C412" s="12"/>
      <c r="D412" s="30"/>
      <c r="E412" s="12"/>
      <c r="F412" s="18"/>
      <c r="G412" s="38"/>
      <c r="H412" s="38">
        <f ca="1">SUBTOTAL(9,H405:H411)</f>
        <v>79844.399999999994</v>
      </c>
      <c r="I412" s="12"/>
      <c r="J412" s="12"/>
      <c r="K412" s="12"/>
      <c r="L412" s="15">
        <v>79844.399999999994</v>
      </c>
    </row>
    <row r="413" spans="1:12" ht="39.75" customHeight="1" outlineLevel="2" x14ac:dyDescent="0.25">
      <c r="A413" s="10">
        <f>ROW(A411)</f>
        <v>411</v>
      </c>
      <c r="B413" s="6" t="str">
        <f>E413</f>
        <v>ЩР.2 (Блок 2, 3)</v>
      </c>
      <c r="C413" s="6"/>
      <c r="D413" s="28"/>
      <c r="E413" s="6" t="s">
        <v>157</v>
      </c>
      <c r="F413" s="36"/>
      <c r="G413" s="36" t="s">
        <v>73</v>
      </c>
      <c r="H413" s="7"/>
      <c r="I413" s="10">
        <v>1</v>
      </c>
      <c r="J413" s="11" t="s">
        <v>6</v>
      </c>
      <c r="K413" s="6" t="s">
        <v>8</v>
      </c>
      <c r="L413" s="9"/>
    </row>
    <row r="414" spans="1:12" ht="21" customHeight="1" outlineLevel="2" x14ac:dyDescent="0.25">
      <c r="A414" s="16">
        <f t="shared" si="5"/>
        <v>413</v>
      </c>
      <c r="B414" s="12" t="str">
        <f>B413</f>
        <v>ЩР.2 (Блок 2, 3)</v>
      </c>
      <c r="C414" s="13" t="s">
        <v>7</v>
      </c>
      <c r="D414" s="29" t="s">
        <v>472</v>
      </c>
      <c r="E414" s="12" t="s">
        <v>473</v>
      </c>
      <c r="F414" s="37">
        <v>22000</v>
      </c>
      <c r="G414" s="38">
        <f>F414*0.6</f>
        <v>13200</v>
      </c>
      <c r="H414" s="38">
        <f>I414*G414</f>
        <v>13200</v>
      </c>
      <c r="I414" s="16">
        <v>1</v>
      </c>
      <c r="J414" s="17" t="s">
        <v>12</v>
      </c>
      <c r="K414" s="13" t="s">
        <v>15</v>
      </c>
      <c r="L414" s="15">
        <v>13200</v>
      </c>
    </row>
    <row r="415" spans="1:12" ht="21" customHeight="1" outlineLevel="2" x14ac:dyDescent="0.25">
      <c r="A415" s="16">
        <f t="shared" si="5"/>
        <v>414</v>
      </c>
      <c r="B415" s="12" t="str">
        <f>B414</f>
        <v>ЩР.2 (Блок 2, 3)</v>
      </c>
      <c r="C415" s="13" t="s">
        <v>11</v>
      </c>
      <c r="D415" s="29" t="s">
        <v>65</v>
      </c>
      <c r="E415" s="12" t="s">
        <v>66</v>
      </c>
      <c r="F415" s="37">
        <v>2807</v>
      </c>
      <c r="G415" s="38">
        <f>F415*0.6</f>
        <v>1684.2</v>
      </c>
      <c r="H415" s="38">
        <f>G415*I415</f>
        <v>1684.2</v>
      </c>
      <c r="I415" s="16">
        <v>1</v>
      </c>
      <c r="J415" s="17" t="s">
        <v>12</v>
      </c>
      <c r="K415" s="13" t="s">
        <v>16</v>
      </c>
      <c r="L415" s="15">
        <v>1684.2</v>
      </c>
    </row>
    <row r="416" spans="1:12" ht="21" customHeight="1" outlineLevel="2" x14ac:dyDescent="0.25">
      <c r="A416" s="16">
        <f t="shared" si="5"/>
        <v>415</v>
      </c>
      <c r="B416" s="12" t="str">
        <f>B415</f>
        <v>ЩР.2 (Блок 2, 3)</v>
      </c>
      <c r="C416" s="13" t="s">
        <v>22</v>
      </c>
      <c r="D416" s="29" t="s">
        <v>96</v>
      </c>
      <c r="E416" s="12" t="s">
        <v>97</v>
      </c>
      <c r="F416" s="37">
        <v>5069</v>
      </c>
      <c r="G416" s="38">
        <f>F416*0.6</f>
        <v>3041.4</v>
      </c>
      <c r="H416" s="38">
        <f>G416*I416</f>
        <v>33455.4</v>
      </c>
      <c r="I416" s="16">
        <v>11</v>
      </c>
      <c r="J416" s="17" t="s">
        <v>12</v>
      </c>
      <c r="K416" s="13" t="s">
        <v>16</v>
      </c>
      <c r="L416" s="15">
        <v>33455.4</v>
      </c>
    </row>
    <row r="417" spans="1:12" ht="24" customHeight="1" outlineLevel="2" x14ac:dyDescent="0.25">
      <c r="A417" s="12">
        <f t="shared" si="5"/>
        <v>416</v>
      </c>
      <c r="B417" s="12" t="str">
        <f>B416</f>
        <v>ЩР.2 (Блок 2, 3)</v>
      </c>
      <c r="C417" s="12" t="s">
        <v>9</v>
      </c>
      <c r="D417" s="30" t="s">
        <v>9</v>
      </c>
      <c r="E417" s="12" t="s">
        <v>9</v>
      </c>
      <c r="F417" s="18">
        <f ca="1">OFFSET(F417,1,2)</f>
        <v>12000</v>
      </c>
      <c r="G417" s="38">
        <f ca="1">F417</f>
        <v>12000</v>
      </c>
      <c r="H417" s="38">
        <f ca="1">G417*I417</f>
        <v>12000</v>
      </c>
      <c r="I417" s="12">
        <v>1</v>
      </c>
      <c r="J417" s="12" t="s">
        <v>12</v>
      </c>
      <c r="K417" s="12" t="s">
        <v>9</v>
      </c>
      <c r="L417" s="15">
        <v>12000</v>
      </c>
    </row>
    <row r="418" spans="1:12" ht="21" customHeight="1" outlineLevel="2" x14ac:dyDescent="0.25">
      <c r="A418" s="12">
        <f t="shared" si="5"/>
        <v>417</v>
      </c>
      <c r="B418" s="12" t="str">
        <f>B417</f>
        <v>ЩР.2 (Блок 2, 3)</v>
      </c>
      <c r="C418" s="12" t="s">
        <v>10</v>
      </c>
      <c r="D418" s="30" t="s">
        <v>10</v>
      </c>
      <c r="E418" s="12" t="s">
        <v>10</v>
      </c>
      <c r="F418" s="18">
        <v>2</v>
      </c>
      <c r="G418" s="38">
        <v>100</v>
      </c>
      <c r="H418" s="38">
        <f>60*F418*G418</f>
        <v>12000</v>
      </c>
      <c r="I418" s="12">
        <f>60*F418</f>
        <v>120</v>
      </c>
      <c r="J418" s="12" t="s">
        <v>12</v>
      </c>
      <c r="K418" s="12" t="s">
        <v>10</v>
      </c>
      <c r="L418" s="15">
        <v>12000</v>
      </c>
    </row>
    <row r="419" spans="1:12" ht="21" customHeight="1" outlineLevel="1" x14ac:dyDescent="0.25">
      <c r="A419" s="12"/>
      <c r="B419" s="12" t="s">
        <v>653</v>
      </c>
      <c r="C419" s="12"/>
      <c r="D419" s="30"/>
      <c r="E419" s="12"/>
      <c r="F419" s="18"/>
      <c r="G419" s="38"/>
      <c r="H419" s="38">
        <f ca="1">SUBTOTAL(9,H413:H418)</f>
        <v>72339.600000000006</v>
      </c>
      <c r="I419" s="12"/>
      <c r="J419" s="12"/>
      <c r="K419" s="12"/>
      <c r="L419" s="15">
        <v>72339.600000000006</v>
      </c>
    </row>
    <row r="420" spans="1:12" ht="39.75" customHeight="1" outlineLevel="2" x14ac:dyDescent="0.25">
      <c r="A420" s="10">
        <f>ROW(A418)</f>
        <v>418</v>
      </c>
      <c r="B420" s="6" t="str">
        <f>E420</f>
        <v>ЩР.3 (Блок 2, 3)</v>
      </c>
      <c r="C420" s="6"/>
      <c r="D420" s="28"/>
      <c r="E420" s="6" t="s">
        <v>158</v>
      </c>
      <c r="F420" s="36"/>
      <c r="G420" s="36" t="s">
        <v>73</v>
      </c>
      <c r="H420" s="7"/>
      <c r="I420" s="10">
        <v>1</v>
      </c>
      <c r="J420" s="11" t="s">
        <v>6</v>
      </c>
      <c r="K420" s="6" t="s">
        <v>8</v>
      </c>
      <c r="L420" s="9"/>
    </row>
    <row r="421" spans="1:12" ht="21" customHeight="1" outlineLevel="2" x14ac:dyDescent="0.25">
      <c r="A421" s="16">
        <f t="shared" si="5"/>
        <v>420</v>
      </c>
      <c r="B421" s="12" t="str">
        <f>B420</f>
        <v>ЩР.3 (Блок 2, 3)</v>
      </c>
      <c r="C421" s="13" t="s">
        <v>7</v>
      </c>
      <c r="D421" s="29" t="s">
        <v>470</v>
      </c>
      <c r="E421" s="12" t="s">
        <v>471</v>
      </c>
      <c r="F421" s="37">
        <v>19000</v>
      </c>
      <c r="G421" s="38">
        <f>F421*0.6</f>
        <v>11400</v>
      </c>
      <c r="H421" s="38">
        <f>I421*G421</f>
        <v>11400</v>
      </c>
      <c r="I421" s="16">
        <v>1</v>
      </c>
      <c r="J421" s="17" t="s">
        <v>12</v>
      </c>
      <c r="K421" s="13" t="s">
        <v>15</v>
      </c>
      <c r="L421" s="15">
        <v>11400</v>
      </c>
    </row>
    <row r="422" spans="1:12" ht="21" customHeight="1" outlineLevel="2" x14ac:dyDescent="0.25">
      <c r="A422" s="16">
        <f t="shared" si="5"/>
        <v>421</v>
      </c>
      <c r="B422" s="12" t="str">
        <f>B421</f>
        <v>ЩР.3 (Блок 2, 3)</v>
      </c>
      <c r="C422" s="13" t="s">
        <v>11</v>
      </c>
      <c r="D422" s="29" t="s">
        <v>28</v>
      </c>
      <c r="E422" s="12" t="s">
        <v>27</v>
      </c>
      <c r="F422" s="37">
        <v>2606</v>
      </c>
      <c r="G422" s="38">
        <f>F422*0.6</f>
        <v>1563.6</v>
      </c>
      <c r="H422" s="38">
        <f>G422*I422</f>
        <v>1563.6</v>
      </c>
      <c r="I422" s="16">
        <v>1</v>
      </c>
      <c r="J422" s="17" t="s">
        <v>12</v>
      </c>
      <c r="K422" s="13" t="s">
        <v>16</v>
      </c>
      <c r="L422" s="15">
        <v>1563.6</v>
      </c>
    </row>
    <row r="423" spans="1:12" ht="21" customHeight="1" outlineLevel="2" x14ac:dyDescent="0.25">
      <c r="A423" s="16">
        <f t="shared" si="5"/>
        <v>422</v>
      </c>
      <c r="B423" s="12" t="str">
        <f>B422</f>
        <v>ЩР.3 (Блок 2, 3)</v>
      </c>
      <c r="C423" s="13" t="s">
        <v>22</v>
      </c>
      <c r="D423" s="29" t="s">
        <v>96</v>
      </c>
      <c r="E423" s="12" t="s">
        <v>97</v>
      </c>
      <c r="F423" s="37">
        <v>5069</v>
      </c>
      <c r="G423" s="38">
        <f>F423*0.6</f>
        <v>3041.4</v>
      </c>
      <c r="H423" s="38">
        <f>G423*I423</f>
        <v>21289.8</v>
      </c>
      <c r="I423" s="16">
        <v>7</v>
      </c>
      <c r="J423" s="17" t="s">
        <v>12</v>
      </c>
      <c r="K423" s="13" t="s">
        <v>16</v>
      </c>
      <c r="L423" s="15">
        <v>21289.8</v>
      </c>
    </row>
    <row r="424" spans="1:12" ht="24" customHeight="1" outlineLevel="2" x14ac:dyDescent="0.25">
      <c r="A424" s="12">
        <f t="shared" si="5"/>
        <v>423</v>
      </c>
      <c r="B424" s="12" t="str">
        <f>B423</f>
        <v>ЩР.3 (Блок 2, 3)</v>
      </c>
      <c r="C424" s="12" t="s">
        <v>9</v>
      </c>
      <c r="D424" s="30" t="s">
        <v>9</v>
      </c>
      <c r="E424" s="12" t="s">
        <v>9</v>
      </c>
      <c r="F424" s="18">
        <f ca="1">OFFSET(F424,1,2)</f>
        <v>12000</v>
      </c>
      <c r="G424" s="38">
        <f ca="1">F424</f>
        <v>12000</v>
      </c>
      <c r="H424" s="38">
        <f ca="1">G424*I424</f>
        <v>12000</v>
      </c>
      <c r="I424" s="12">
        <v>1</v>
      </c>
      <c r="J424" s="12" t="s">
        <v>12</v>
      </c>
      <c r="K424" s="12" t="s">
        <v>9</v>
      </c>
      <c r="L424" s="15">
        <v>12000</v>
      </c>
    </row>
    <row r="425" spans="1:12" ht="21" customHeight="1" outlineLevel="2" x14ac:dyDescent="0.25">
      <c r="A425" s="12">
        <f t="shared" si="5"/>
        <v>424</v>
      </c>
      <c r="B425" s="12" t="str">
        <f>B424</f>
        <v>ЩР.3 (Блок 2, 3)</v>
      </c>
      <c r="C425" s="12" t="s">
        <v>10</v>
      </c>
      <c r="D425" s="30" t="s">
        <v>10</v>
      </c>
      <c r="E425" s="12" t="s">
        <v>10</v>
      </c>
      <c r="F425" s="18">
        <v>2</v>
      </c>
      <c r="G425" s="38">
        <v>100</v>
      </c>
      <c r="H425" s="38">
        <f>60*F425*G425</f>
        <v>12000</v>
      </c>
      <c r="I425" s="12">
        <f>60*F425</f>
        <v>120</v>
      </c>
      <c r="J425" s="12" t="s">
        <v>12</v>
      </c>
      <c r="K425" s="12" t="s">
        <v>10</v>
      </c>
      <c r="L425" s="15">
        <v>12000</v>
      </c>
    </row>
    <row r="426" spans="1:12" ht="21" customHeight="1" outlineLevel="1" x14ac:dyDescent="0.25">
      <c r="A426" s="12"/>
      <c r="B426" s="12" t="s">
        <v>654</v>
      </c>
      <c r="C426" s="12"/>
      <c r="D426" s="30"/>
      <c r="E426" s="12"/>
      <c r="F426" s="18"/>
      <c r="G426" s="38"/>
      <c r="H426" s="38">
        <f ca="1">SUBTOTAL(9,H420:H425)</f>
        <v>58253.4</v>
      </c>
      <c r="I426" s="12"/>
      <c r="J426" s="12"/>
      <c r="K426" s="12"/>
      <c r="L426" s="15">
        <v>58253.4</v>
      </c>
    </row>
    <row r="427" spans="1:12" ht="39.75" customHeight="1" outlineLevel="2" x14ac:dyDescent="0.25">
      <c r="A427" s="10">
        <f>ROW(A425)</f>
        <v>425</v>
      </c>
      <c r="B427" s="6" t="str">
        <f>E427</f>
        <v>ЩР.4 (Блок 2, 3)</v>
      </c>
      <c r="C427" s="6"/>
      <c r="D427" s="28"/>
      <c r="E427" s="6" t="s">
        <v>159</v>
      </c>
      <c r="F427" s="36"/>
      <c r="G427" s="36" t="s">
        <v>73</v>
      </c>
      <c r="H427" s="7"/>
      <c r="I427" s="10">
        <v>1</v>
      </c>
      <c r="J427" s="11" t="s">
        <v>6</v>
      </c>
      <c r="K427" s="6" t="s">
        <v>8</v>
      </c>
      <c r="L427" s="9"/>
    </row>
    <row r="428" spans="1:12" ht="21" customHeight="1" outlineLevel="2" x14ac:dyDescent="0.25">
      <c r="A428" s="16">
        <f t="shared" si="5"/>
        <v>427</v>
      </c>
      <c r="B428" s="12" t="str">
        <f>B427</f>
        <v>ЩР.4 (Блок 2, 3)</v>
      </c>
      <c r="C428" s="13" t="s">
        <v>7</v>
      </c>
      <c r="D428" s="29" t="s">
        <v>470</v>
      </c>
      <c r="E428" s="12" t="s">
        <v>471</v>
      </c>
      <c r="F428" s="37">
        <v>19000</v>
      </c>
      <c r="G428" s="38">
        <f>F428*0.6</f>
        <v>11400</v>
      </c>
      <c r="H428" s="38">
        <f>I428*G428</f>
        <v>11400</v>
      </c>
      <c r="I428" s="16">
        <v>1</v>
      </c>
      <c r="J428" s="17" t="s">
        <v>12</v>
      </c>
      <c r="K428" s="13" t="s">
        <v>15</v>
      </c>
      <c r="L428" s="15">
        <v>11400</v>
      </c>
    </row>
    <row r="429" spans="1:12" ht="21" customHeight="1" outlineLevel="2" x14ac:dyDescent="0.25">
      <c r="A429" s="16">
        <f t="shared" si="5"/>
        <v>428</v>
      </c>
      <c r="B429" s="12" t="str">
        <f>B428</f>
        <v>ЩР.4 (Блок 2, 3)</v>
      </c>
      <c r="C429" s="13" t="s">
        <v>11</v>
      </c>
      <c r="D429" s="29" t="s">
        <v>28</v>
      </c>
      <c r="E429" s="12" t="s">
        <v>27</v>
      </c>
      <c r="F429" s="37">
        <v>2606</v>
      </c>
      <c r="G429" s="38">
        <f>F429*0.6</f>
        <v>1563.6</v>
      </c>
      <c r="H429" s="38">
        <f>G429*I429</f>
        <v>1563.6</v>
      </c>
      <c r="I429" s="16">
        <v>1</v>
      </c>
      <c r="J429" s="17" t="s">
        <v>12</v>
      </c>
      <c r="K429" s="13" t="s">
        <v>16</v>
      </c>
      <c r="L429" s="15">
        <v>1563.6</v>
      </c>
    </row>
    <row r="430" spans="1:12" ht="21" customHeight="1" outlineLevel="2" x14ac:dyDescent="0.25">
      <c r="A430" s="16">
        <f t="shared" si="5"/>
        <v>429</v>
      </c>
      <c r="B430" s="12" t="str">
        <f>B429</f>
        <v>ЩР.4 (Блок 2, 3)</v>
      </c>
      <c r="C430" s="13" t="s">
        <v>22</v>
      </c>
      <c r="D430" s="29" t="s">
        <v>96</v>
      </c>
      <c r="E430" s="12" t="s">
        <v>97</v>
      </c>
      <c r="F430" s="37">
        <v>5069</v>
      </c>
      <c r="G430" s="38">
        <f>F430*0.6</f>
        <v>3041.4</v>
      </c>
      <c r="H430" s="38">
        <f>G430*I430</f>
        <v>27372.600000000002</v>
      </c>
      <c r="I430" s="16">
        <v>9</v>
      </c>
      <c r="J430" s="17" t="s">
        <v>12</v>
      </c>
      <c r="K430" s="13" t="s">
        <v>16</v>
      </c>
      <c r="L430" s="15">
        <v>27372.600000000002</v>
      </c>
    </row>
    <row r="431" spans="1:12" ht="24" customHeight="1" outlineLevel="2" x14ac:dyDescent="0.25">
      <c r="A431" s="12">
        <f t="shared" si="5"/>
        <v>430</v>
      </c>
      <c r="B431" s="12" t="str">
        <f>B430</f>
        <v>ЩР.4 (Блок 2, 3)</v>
      </c>
      <c r="C431" s="12" t="s">
        <v>9</v>
      </c>
      <c r="D431" s="30" t="s">
        <v>9</v>
      </c>
      <c r="E431" s="12" t="s">
        <v>9</v>
      </c>
      <c r="F431" s="18">
        <f ca="1">OFFSET(F431,1,2)</f>
        <v>12000</v>
      </c>
      <c r="G431" s="38">
        <f ca="1">F431</f>
        <v>12000</v>
      </c>
      <c r="H431" s="38">
        <f ca="1">G431*I431</f>
        <v>12000</v>
      </c>
      <c r="I431" s="12">
        <v>1</v>
      </c>
      <c r="J431" s="12" t="s">
        <v>12</v>
      </c>
      <c r="K431" s="12" t="s">
        <v>9</v>
      </c>
      <c r="L431" s="15">
        <v>12000</v>
      </c>
    </row>
    <row r="432" spans="1:12" ht="21" customHeight="1" outlineLevel="2" x14ac:dyDescent="0.25">
      <c r="A432" s="12">
        <f t="shared" si="5"/>
        <v>431</v>
      </c>
      <c r="B432" s="12" t="str">
        <f>B431</f>
        <v>ЩР.4 (Блок 2, 3)</v>
      </c>
      <c r="C432" s="12" t="s">
        <v>10</v>
      </c>
      <c r="D432" s="30" t="s">
        <v>10</v>
      </c>
      <c r="E432" s="12" t="s">
        <v>10</v>
      </c>
      <c r="F432" s="18">
        <v>2</v>
      </c>
      <c r="G432" s="38">
        <v>100</v>
      </c>
      <c r="H432" s="38">
        <f>60*F432*G432</f>
        <v>12000</v>
      </c>
      <c r="I432" s="12">
        <f>60*F432</f>
        <v>120</v>
      </c>
      <c r="J432" s="12" t="s">
        <v>12</v>
      </c>
      <c r="K432" s="12" t="s">
        <v>10</v>
      </c>
      <c r="L432" s="15">
        <v>12000</v>
      </c>
    </row>
    <row r="433" spans="1:12" ht="21" customHeight="1" outlineLevel="1" x14ac:dyDescent="0.25">
      <c r="A433" s="12"/>
      <c r="B433" s="12" t="s">
        <v>655</v>
      </c>
      <c r="C433" s="12"/>
      <c r="D433" s="30"/>
      <c r="E433" s="12"/>
      <c r="F433" s="18"/>
      <c r="G433" s="38"/>
      <c r="H433" s="38">
        <f ca="1">SUBTOTAL(9,H427:H432)</f>
        <v>64336.200000000004</v>
      </c>
      <c r="I433" s="12"/>
      <c r="J433" s="12"/>
      <c r="K433" s="12"/>
      <c r="L433" s="15">
        <v>64336.200000000004</v>
      </c>
    </row>
    <row r="434" spans="1:12" ht="39.75" customHeight="1" outlineLevel="2" x14ac:dyDescent="0.25">
      <c r="A434" s="10">
        <f>ROW(A432)</f>
        <v>432</v>
      </c>
      <c r="B434" s="6" t="str">
        <f>E434</f>
        <v>ЩР.5 (Блок 2, 3)</v>
      </c>
      <c r="C434" s="6"/>
      <c r="D434" s="28"/>
      <c r="E434" s="6" t="s">
        <v>160</v>
      </c>
      <c r="F434" s="36"/>
      <c r="G434" s="36" t="s">
        <v>73</v>
      </c>
      <c r="H434" s="7"/>
      <c r="I434" s="10">
        <v>1</v>
      </c>
      <c r="J434" s="11" t="s">
        <v>6</v>
      </c>
      <c r="K434" s="6" t="s">
        <v>8</v>
      </c>
      <c r="L434" s="9"/>
    </row>
    <row r="435" spans="1:12" ht="21" customHeight="1" outlineLevel="2" x14ac:dyDescent="0.25">
      <c r="A435" s="16">
        <f t="shared" si="5"/>
        <v>434</v>
      </c>
      <c r="B435" s="12" t="str">
        <f>B434</f>
        <v>ЩР.5 (Блок 2, 3)</v>
      </c>
      <c r="C435" s="13" t="s">
        <v>7</v>
      </c>
      <c r="D435" s="29" t="s">
        <v>468</v>
      </c>
      <c r="E435" s="12" t="s">
        <v>469</v>
      </c>
      <c r="F435" s="37">
        <v>15500</v>
      </c>
      <c r="G435" s="38">
        <f>F435*0.6</f>
        <v>9300</v>
      </c>
      <c r="H435" s="38">
        <f>I435*G435</f>
        <v>9300</v>
      </c>
      <c r="I435" s="16">
        <v>1</v>
      </c>
      <c r="J435" s="17" t="s">
        <v>12</v>
      </c>
      <c r="K435" s="13" t="s">
        <v>15</v>
      </c>
      <c r="L435" s="15">
        <v>9300</v>
      </c>
    </row>
    <row r="436" spans="1:12" ht="21" customHeight="1" outlineLevel="2" x14ac:dyDescent="0.25">
      <c r="A436" s="16">
        <f t="shared" si="5"/>
        <v>435</v>
      </c>
      <c r="B436" s="12" t="str">
        <f>B435</f>
        <v>ЩР.5 (Блок 2, 3)</v>
      </c>
      <c r="C436" s="13" t="s">
        <v>11</v>
      </c>
      <c r="D436" s="29" t="s">
        <v>28</v>
      </c>
      <c r="E436" s="12" t="s">
        <v>27</v>
      </c>
      <c r="F436" s="37">
        <v>2606</v>
      </c>
      <c r="G436" s="38">
        <f>F436*0.6</f>
        <v>1563.6</v>
      </c>
      <c r="H436" s="38">
        <f>G436*I436</f>
        <v>1563.6</v>
      </c>
      <c r="I436" s="16">
        <v>1</v>
      </c>
      <c r="J436" s="17" t="s">
        <v>12</v>
      </c>
      <c r="K436" s="13" t="s">
        <v>16</v>
      </c>
      <c r="L436" s="15">
        <v>1563.6</v>
      </c>
    </row>
    <row r="437" spans="1:12" ht="21" customHeight="1" outlineLevel="2" x14ac:dyDescent="0.25">
      <c r="A437" s="16">
        <f t="shared" si="5"/>
        <v>436</v>
      </c>
      <c r="B437" s="12" t="str">
        <f>B436</f>
        <v>ЩР.5 (Блок 2, 3)</v>
      </c>
      <c r="C437" s="13" t="s">
        <v>22</v>
      </c>
      <c r="D437" s="29" t="s">
        <v>96</v>
      </c>
      <c r="E437" s="12" t="s">
        <v>97</v>
      </c>
      <c r="F437" s="37">
        <v>5069</v>
      </c>
      <c r="G437" s="38">
        <f>F437*0.6</f>
        <v>3041.4</v>
      </c>
      <c r="H437" s="38">
        <f>G437*I437</f>
        <v>18248.400000000001</v>
      </c>
      <c r="I437" s="16">
        <v>6</v>
      </c>
      <c r="J437" s="17" t="s">
        <v>12</v>
      </c>
      <c r="K437" s="13" t="s">
        <v>16</v>
      </c>
      <c r="L437" s="15">
        <v>18248.400000000001</v>
      </c>
    </row>
    <row r="438" spans="1:12" ht="24" customHeight="1" outlineLevel="2" x14ac:dyDescent="0.25">
      <c r="A438" s="12">
        <f t="shared" si="5"/>
        <v>437</v>
      </c>
      <c r="B438" s="12" t="str">
        <f>B437</f>
        <v>ЩР.5 (Блок 2, 3)</v>
      </c>
      <c r="C438" s="12" t="s">
        <v>9</v>
      </c>
      <c r="D438" s="30" t="s">
        <v>9</v>
      </c>
      <c r="E438" s="12" t="s">
        <v>9</v>
      </c>
      <c r="F438" s="18">
        <f ca="1">OFFSET(F438,1,2)</f>
        <v>9000</v>
      </c>
      <c r="G438" s="38">
        <f ca="1">F438</f>
        <v>9000</v>
      </c>
      <c r="H438" s="38">
        <f ca="1">G438*I438</f>
        <v>9000</v>
      </c>
      <c r="I438" s="12">
        <v>1</v>
      </c>
      <c r="J438" s="12" t="s">
        <v>12</v>
      </c>
      <c r="K438" s="12" t="s">
        <v>9</v>
      </c>
      <c r="L438" s="15">
        <v>9000</v>
      </c>
    </row>
    <row r="439" spans="1:12" ht="21" customHeight="1" outlineLevel="2" x14ac:dyDescent="0.25">
      <c r="A439" s="12">
        <f t="shared" si="5"/>
        <v>438</v>
      </c>
      <c r="B439" s="12" t="str">
        <f>B438</f>
        <v>ЩР.5 (Блок 2, 3)</v>
      </c>
      <c r="C439" s="12" t="s">
        <v>10</v>
      </c>
      <c r="D439" s="30" t="s">
        <v>10</v>
      </c>
      <c r="E439" s="12" t="s">
        <v>10</v>
      </c>
      <c r="F439" s="18">
        <v>1.5</v>
      </c>
      <c r="G439" s="38">
        <v>100</v>
      </c>
      <c r="H439" s="38">
        <f>60*F439*G439</f>
        <v>9000</v>
      </c>
      <c r="I439" s="12">
        <f>60*F439</f>
        <v>90</v>
      </c>
      <c r="J439" s="12" t="s">
        <v>12</v>
      </c>
      <c r="K439" s="12" t="s">
        <v>10</v>
      </c>
      <c r="L439" s="15">
        <v>9000</v>
      </c>
    </row>
    <row r="440" spans="1:12" ht="21" customHeight="1" outlineLevel="1" x14ac:dyDescent="0.25">
      <c r="A440" s="12"/>
      <c r="B440" s="12" t="s">
        <v>656</v>
      </c>
      <c r="C440" s="12"/>
      <c r="D440" s="30"/>
      <c r="E440" s="12"/>
      <c r="F440" s="18"/>
      <c r="G440" s="38"/>
      <c r="H440" s="38">
        <f ca="1">SUBTOTAL(9,H434:H439)</f>
        <v>47112</v>
      </c>
      <c r="I440" s="12"/>
      <c r="J440" s="12"/>
      <c r="K440" s="12"/>
      <c r="L440" s="15">
        <v>47112</v>
      </c>
    </row>
    <row r="441" spans="1:12" ht="39.75" customHeight="1" outlineLevel="2" x14ac:dyDescent="0.25">
      <c r="A441" s="10">
        <f>ROW(A439)</f>
        <v>439</v>
      </c>
      <c r="B441" s="6" t="str">
        <f>E441</f>
        <v>ЩР.6 (Блок 2, 3)</v>
      </c>
      <c r="C441" s="6"/>
      <c r="D441" s="28"/>
      <c r="E441" s="6" t="s">
        <v>161</v>
      </c>
      <c r="F441" s="36"/>
      <c r="G441" s="36" t="s">
        <v>73</v>
      </c>
      <c r="H441" s="7"/>
      <c r="I441" s="10">
        <v>1</v>
      </c>
      <c r="J441" s="11" t="s">
        <v>6</v>
      </c>
      <c r="K441" s="6" t="s">
        <v>8</v>
      </c>
      <c r="L441" s="9"/>
    </row>
    <row r="442" spans="1:12" ht="21" customHeight="1" outlineLevel="2" x14ac:dyDescent="0.25">
      <c r="A442" s="16">
        <f t="shared" si="5"/>
        <v>441</v>
      </c>
      <c r="B442" s="12" t="str">
        <f>B441</f>
        <v>ЩР.6 (Блок 2, 3)</v>
      </c>
      <c r="C442" s="13" t="s">
        <v>7</v>
      </c>
      <c r="D442" s="29" t="s">
        <v>470</v>
      </c>
      <c r="E442" s="12" t="s">
        <v>471</v>
      </c>
      <c r="F442" s="37">
        <v>19000</v>
      </c>
      <c r="G442" s="38">
        <f>F442*0.6</f>
        <v>11400</v>
      </c>
      <c r="H442" s="38">
        <f>I442*G442</f>
        <v>11400</v>
      </c>
      <c r="I442" s="16">
        <v>1</v>
      </c>
      <c r="J442" s="17" t="s">
        <v>12</v>
      </c>
      <c r="K442" s="13" t="s">
        <v>15</v>
      </c>
      <c r="L442" s="15">
        <v>11400</v>
      </c>
    </row>
    <row r="443" spans="1:12" ht="21" customHeight="1" outlineLevel="2" x14ac:dyDescent="0.25">
      <c r="A443" s="16">
        <f t="shared" ref="A443:A514" si="6">ROW(A442)</f>
        <v>442</v>
      </c>
      <c r="B443" s="12" t="str">
        <f>B442</f>
        <v>ЩР.6 (Блок 2, 3)</v>
      </c>
      <c r="C443" s="13" t="s">
        <v>11</v>
      </c>
      <c r="D443" s="29" t="s">
        <v>28</v>
      </c>
      <c r="E443" s="12" t="s">
        <v>27</v>
      </c>
      <c r="F443" s="37">
        <v>2606</v>
      </c>
      <c r="G443" s="38">
        <f>F443*0.6</f>
        <v>1563.6</v>
      </c>
      <c r="H443" s="38">
        <f>G443*I443</f>
        <v>1563.6</v>
      </c>
      <c r="I443" s="16">
        <v>1</v>
      </c>
      <c r="J443" s="17" t="s">
        <v>12</v>
      </c>
      <c r="K443" s="13" t="s">
        <v>16</v>
      </c>
      <c r="L443" s="15">
        <v>1563.6</v>
      </c>
    </row>
    <row r="444" spans="1:12" ht="21" customHeight="1" outlineLevel="2" x14ac:dyDescent="0.25">
      <c r="A444" s="16">
        <f t="shared" si="6"/>
        <v>443</v>
      </c>
      <c r="B444" s="12" t="str">
        <f>B443</f>
        <v>ЩР.6 (Блок 2, 3)</v>
      </c>
      <c r="C444" s="13" t="s">
        <v>22</v>
      </c>
      <c r="D444" s="29" t="s">
        <v>96</v>
      </c>
      <c r="E444" s="12" t="s">
        <v>97</v>
      </c>
      <c r="F444" s="37">
        <v>5069</v>
      </c>
      <c r="G444" s="38">
        <f>F444*0.6</f>
        <v>3041.4</v>
      </c>
      <c r="H444" s="38">
        <f>G444*I444</f>
        <v>27372.600000000002</v>
      </c>
      <c r="I444" s="16">
        <v>9</v>
      </c>
      <c r="J444" s="17" t="s">
        <v>12</v>
      </c>
      <c r="K444" s="13" t="s">
        <v>16</v>
      </c>
      <c r="L444" s="15">
        <v>27372.600000000002</v>
      </c>
    </row>
    <row r="445" spans="1:12" ht="24" customHeight="1" outlineLevel="2" x14ac:dyDescent="0.25">
      <c r="A445" s="12">
        <f t="shared" si="6"/>
        <v>444</v>
      </c>
      <c r="B445" s="12" t="str">
        <f>B444</f>
        <v>ЩР.6 (Блок 2, 3)</v>
      </c>
      <c r="C445" s="12" t="s">
        <v>9</v>
      </c>
      <c r="D445" s="30" t="s">
        <v>9</v>
      </c>
      <c r="E445" s="12" t="s">
        <v>9</v>
      </c>
      <c r="F445" s="18">
        <f ca="1">OFFSET(F445,1,2)</f>
        <v>12000</v>
      </c>
      <c r="G445" s="38">
        <f ca="1">F445</f>
        <v>12000</v>
      </c>
      <c r="H445" s="38">
        <f ca="1">G445*I445</f>
        <v>12000</v>
      </c>
      <c r="I445" s="12">
        <v>1</v>
      </c>
      <c r="J445" s="12" t="s">
        <v>12</v>
      </c>
      <c r="K445" s="12" t="s">
        <v>9</v>
      </c>
      <c r="L445" s="15">
        <v>12000</v>
      </c>
    </row>
    <row r="446" spans="1:12" ht="21" customHeight="1" outlineLevel="2" x14ac:dyDescent="0.25">
      <c r="A446" s="12">
        <f t="shared" si="6"/>
        <v>445</v>
      </c>
      <c r="B446" s="12" t="str">
        <f>B445</f>
        <v>ЩР.6 (Блок 2, 3)</v>
      </c>
      <c r="C446" s="12" t="s">
        <v>10</v>
      </c>
      <c r="D446" s="30" t="s">
        <v>10</v>
      </c>
      <c r="E446" s="12" t="s">
        <v>10</v>
      </c>
      <c r="F446" s="18">
        <v>2</v>
      </c>
      <c r="G446" s="38">
        <v>100</v>
      </c>
      <c r="H446" s="38">
        <f>60*F446*G446</f>
        <v>12000</v>
      </c>
      <c r="I446" s="12">
        <f>60*F446</f>
        <v>120</v>
      </c>
      <c r="J446" s="12" t="s">
        <v>12</v>
      </c>
      <c r="K446" s="12" t="s">
        <v>10</v>
      </c>
      <c r="L446" s="15">
        <v>12000</v>
      </c>
    </row>
    <row r="447" spans="1:12" ht="21" customHeight="1" outlineLevel="1" x14ac:dyDescent="0.25">
      <c r="A447" s="12"/>
      <c r="B447" s="12" t="s">
        <v>657</v>
      </c>
      <c r="C447" s="12"/>
      <c r="D447" s="30"/>
      <c r="E447" s="12"/>
      <c r="F447" s="18"/>
      <c r="G447" s="38"/>
      <c r="H447" s="38">
        <f ca="1">SUBTOTAL(9,H441:H446)</f>
        <v>64336.200000000004</v>
      </c>
      <c r="I447" s="12"/>
      <c r="J447" s="12"/>
      <c r="K447" s="12"/>
      <c r="L447" s="15">
        <v>64336.200000000004</v>
      </c>
    </row>
    <row r="448" spans="1:12" ht="39.75" customHeight="1" outlineLevel="2" x14ac:dyDescent="0.25">
      <c r="A448" s="10">
        <f>ROW(A446)</f>
        <v>446</v>
      </c>
      <c r="B448" s="6" t="str">
        <f>E448</f>
        <v>ЩР.7 (Блок 2 ,3)</v>
      </c>
      <c r="C448" s="6"/>
      <c r="D448" s="28"/>
      <c r="E448" s="6" t="s">
        <v>162</v>
      </c>
      <c r="F448" s="36"/>
      <c r="G448" s="36" t="s">
        <v>73</v>
      </c>
      <c r="H448" s="7"/>
      <c r="I448" s="10">
        <v>1</v>
      </c>
      <c r="J448" s="11" t="s">
        <v>6</v>
      </c>
      <c r="K448" s="6" t="s">
        <v>8</v>
      </c>
      <c r="L448" s="9"/>
    </row>
    <row r="449" spans="1:12" ht="21" customHeight="1" outlineLevel="2" x14ac:dyDescent="0.25">
      <c r="A449" s="16">
        <f t="shared" si="6"/>
        <v>448</v>
      </c>
      <c r="B449" s="12" t="str">
        <f>B448</f>
        <v>ЩР.7 (Блок 2 ,3)</v>
      </c>
      <c r="C449" s="13" t="s">
        <v>7</v>
      </c>
      <c r="D449" s="29" t="s">
        <v>470</v>
      </c>
      <c r="E449" s="12" t="s">
        <v>471</v>
      </c>
      <c r="F449" s="37">
        <v>19000</v>
      </c>
      <c r="G449" s="38">
        <f>F449*0.6</f>
        <v>11400</v>
      </c>
      <c r="H449" s="38">
        <f>I449*G449</f>
        <v>11400</v>
      </c>
      <c r="I449" s="16">
        <v>1</v>
      </c>
      <c r="J449" s="17" t="s">
        <v>12</v>
      </c>
      <c r="K449" s="13" t="s">
        <v>15</v>
      </c>
      <c r="L449" s="15">
        <v>11400</v>
      </c>
    </row>
    <row r="450" spans="1:12" ht="21" customHeight="1" outlineLevel="2" x14ac:dyDescent="0.25">
      <c r="A450" s="16">
        <f t="shared" si="6"/>
        <v>449</v>
      </c>
      <c r="B450" s="12" t="str">
        <f>B449</f>
        <v>ЩР.7 (Блок 2 ,3)</v>
      </c>
      <c r="C450" s="13" t="s">
        <v>11</v>
      </c>
      <c r="D450" s="29" t="s">
        <v>28</v>
      </c>
      <c r="E450" s="12" t="s">
        <v>27</v>
      </c>
      <c r="F450" s="37">
        <v>2606</v>
      </c>
      <c r="G450" s="38">
        <f>F450*0.6</f>
        <v>1563.6</v>
      </c>
      <c r="H450" s="38">
        <f>G450*I450</f>
        <v>1563.6</v>
      </c>
      <c r="I450" s="16">
        <v>1</v>
      </c>
      <c r="J450" s="17" t="s">
        <v>12</v>
      </c>
      <c r="K450" s="13" t="s">
        <v>16</v>
      </c>
      <c r="L450" s="15">
        <v>1563.6</v>
      </c>
    </row>
    <row r="451" spans="1:12" ht="21" customHeight="1" outlineLevel="2" x14ac:dyDescent="0.25">
      <c r="A451" s="16">
        <f t="shared" si="6"/>
        <v>450</v>
      </c>
      <c r="B451" s="12" t="str">
        <f>B450</f>
        <v>ЩР.7 (Блок 2 ,3)</v>
      </c>
      <c r="C451" s="13" t="s">
        <v>22</v>
      </c>
      <c r="D451" s="29" t="s">
        <v>96</v>
      </c>
      <c r="E451" s="12" t="s">
        <v>97</v>
      </c>
      <c r="F451" s="37">
        <v>5069</v>
      </c>
      <c r="G451" s="38">
        <f>F451*0.6</f>
        <v>3041.4</v>
      </c>
      <c r="H451" s="38">
        <f>G451*I451</f>
        <v>27372.600000000002</v>
      </c>
      <c r="I451" s="16">
        <v>9</v>
      </c>
      <c r="J451" s="17" t="s">
        <v>12</v>
      </c>
      <c r="K451" s="13" t="s">
        <v>16</v>
      </c>
      <c r="L451" s="15">
        <v>27372.600000000002</v>
      </c>
    </row>
    <row r="452" spans="1:12" ht="24" customHeight="1" outlineLevel="2" x14ac:dyDescent="0.25">
      <c r="A452" s="12">
        <f t="shared" si="6"/>
        <v>451</v>
      </c>
      <c r="B452" s="12" t="str">
        <f>B451</f>
        <v>ЩР.7 (Блок 2 ,3)</v>
      </c>
      <c r="C452" s="12" t="s">
        <v>9</v>
      </c>
      <c r="D452" s="30" t="s">
        <v>9</v>
      </c>
      <c r="E452" s="12" t="s">
        <v>9</v>
      </c>
      <c r="F452" s="18">
        <f ca="1">OFFSET(F452,1,2)</f>
        <v>12000</v>
      </c>
      <c r="G452" s="38">
        <f ca="1">F452</f>
        <v>12000</v>
      </c>
      <c r="H452" s="38">
        <f ca="1">G452*I452</f>
        <v>12000</v>
      </c>
      <c r="I452" s="12">
        <v>1</v>
      </c>
      <c r="J452" s="12" t="s">
        <v>12</v>
      </c>
      <c r="K452" s="12" t="s">
        <v>9</v>
      </c>
      <c r="L452" s="15">
        <v>12000</v>
      </c>
    </row>
    <row r="453" spans="1:12" ht="21" customHeight="1" outlineLevel="2" x14ac:dyDescent="0.25">
      <c r="A453" s="12">
        <f t="shared" si="6"/>
        <v>452</v>
      </c>
      <c r="B453" s="12" t="str">
        <f>B452</f>
        <v>ЩР.7 (Блок 2 ,3)</v>
      </c>
      <c r="C453" s="12" t="s">
        <v>10</v>
      </c>
      <c r="D453" s="30" t="s">
        <v>10</v>
      </c>
      <c r="E453" s="12" t="s">
        <v>10</v>
      </c>
      <c r="F453" s="18">
        <v>2</v>
      </c>
      <c r="G453" s="38">
        <v>100</v>
      </c>
      <c r="H453" s="38">
        <f>60*F453*G453</f>
        <v>12000</v>
      </c>
      <c r="I453" s="12">
        <f>60*F453</f>
        <v>120</v>
      </c>
      <c r="J453" s="12" t="s">
        <v>12</v>
      </c>
      <c r="K453" s="12" t="s">
        <v>10</v>
      </c>
      <c r="L453" s="15">
        <v>12000</v>
      </c>
    </row>
    <row r="454" spans="1:12" ht="21" customHeight="1" outlineLevel="1" x14ac:dyDescent="0.25">
      <c r="A454" s="12"/>
      <c r="B454" s="12" t="s">
        <v>658</v>
      </c>
      <c r="C454" s="12"/>
      <c r="D454" s="30"/>
      <c r="E454" s="12"/>
      <c r="F454" s="18"/>
      <c r="G454" s="38"/>
      <c r="H454" s="38">
        <f ca="1">SUBTOTAL(9,H448:H453)</f>
        <v>64336.200000000004</v>
      </c>
      <c r="I454" s="12"/>
      <c r="J454" s="12"/>
      <c r="K454" s="12"/>
      <c r="L454" s="15">
        <v>64336.200000000004</v>
      </c>
    </row>
    <row r="455" spans="1:12" ht="39.75" customHeight="1" outlineLevel="2" x14ac:dyDescent="0.25">
      <c r="A455" s="10">
        <f>ROW(A453)</f>
        <v>453</v>
      </c>
      <c r="B455" s="6" t="str">
        <f>E455</f>
        <v>ЩР.8 (Блок 2 ,3)</v>
      </c>
      <c r="C455" s="6"/>
      <c r="D455" s="28"/>
      <c r="E455" s="6" t="s">
        <v>163</v>
      </c>
      <c r="F455" s="36"/>
      <c r="G455" s="36" t="s">
        <v>73</v>
      </c>
      <c r="H455" s="7"/>
      <c r="I455" s="10">
        <v>1</v>
      </c>
      <c r="J455" s="11" t="s">
        <v>6</v>
      </c>
      <c r="K455" s="6" t="s">
        <v>8</v>
      </c>
      <c r="L455" s="9"/>
    </row>
    <row r="456" spans="1:12" ht="21" customHeight="1" outlineLevel="2" x14ac:dyDescent="0.25">
      <c r="A456" s="16">
        <f t="shared" si="6"/>
        <v>455</v>
      </c>
      <c r="B456" s="12" t="str">
        <f>B455</f>
        <v>ЩР.8 (Блок 2 ,3)</v>
      </c>
      <c r="C456" s="13" t="s">
        <v>7</v>
      </c>
      <c r="D456" s="29" t="s">
        <v>468</v>
      </c>
      <c r="E456" s="12" t="s">
        <v>469</v>
      </c>
      <c r="F456" s="37">
        <v>15500</v>
      </c>
      <c r="G456" s="38">
        <f>F456*0.6</f>
        <v>9300</v>
      </c>
      <c r="H456" s="38">
        <f>I456*G456</f>
        <v>9300</v>
      </c>
      <c r="I456" s="16">
        <v>1</v>
      </c>
      <c r="J456" s="17" t="s">
        <v>12</v>
      </c>
      <c r="K456" s="13" t="s">
        <v>15</v>
      </c>
      <c r="L456" s="15">
        <v>9300</v>
      </c>
    </row>
    <row r="457" spans="1:12" ht="21" customHeight="1" outlineLevel="2" x14ac:dyDescent="0.25">
      <c r="A457" s="16">
        <f t="shared" si="6"/>
        <v>456</v>
      </c>
      <c r="B457" s="12" t="str">
        <f>B456</f>
        <v>ЩР.8 (Блок 2 ,3)</v>
      </c>
      <c r="C457" s="13" t="s">
        <v>11</v>
      </c>
      <c r="D457" s="29" t="s">
        <v>65</v>
      </c>
      <c r="E457" s="12" t="s">
        <v>66</v>
      </c>
      <c r="F457" s="37">
        <v>2807</v>
      </c>
      <c r="G457" s="38">
        <f>F457*0.6</f>
        <v>1684.2</v>
      </c>
      <c r="H457" s="38">
        <f>G457*I457</f>
        <v>1684.2</v>
      </c>
      <c r="I457" s="16">
        <v>1</v>
      </c>
      <c r="J457" s="17" t="s">
        <v>12</v>
      </c>
      <c r="K457" s="13" t="s">
        <v>16</v>
      </c>
      <c r="L457" s="15">
        <v>1684.2</v>
      </c>
    </row>
    <row r="458" spans="1:12" ht="21" customHeight="1" outlineLevel="2" x14ac:dyDescent="0.25">
      <c r="A458" s="16">
        <f t="shared" si="6"/>
        <v>457</v>
      </c>
      <c r="B458" s="12" t="str">
        <f>B457</f>
        <v>ЩР.8 (Блок 2 ,3)</v>
      </c>
      <c r="C458" s="13" t="s">
        <v>22</v>
      </c>
      <c r="D458" s="29" t="s">
        <v>96</v>
      </c>
      <c r="E458" s="12" t="s">
        <v>97</v>
      </c>
      <c r="F458" s="37">
        <v>5069</v>
      </c>
      <c r="G458" s="38">
        <f>F458*0.6</f>
        <v>3041.4</v>
      </c>
      <c r="H458" s="38">
        <f>G458*I458</f>
        <v>36496.800000000003</v>
      </c>
      <c r="I458" s="16">
        <v>12</v>
      </c>
      <c r="J458" s="17" t="s">
        <v>12</v>
      </c>
      <c r="K458" s="13" t="s">
        <v>16</v>
      </c>
      <c r="L458" s="15">
        <v>36496.800000000003</v>
      </c>
    </row>
    <row r="459" spans="1:12" ht="24" customHeight="1" outlineLevel="2" x14ac:dyDescent="0.25">
      <c r="A459" s="12">
        <f t="shared" si="6"/>
        <v>458</v>
      </c>
      <c r="B459" s="12" t="str">
        <f>B458</f>
        <v>ЩР.8 (Блок 2 ,3)</v>
      </c>
      <c r="C459" s="12" t="s">
        <v>9</v>
      </c>
      <c r="D459" s="30" t="s">
        <v>9</v>
      </c>
      <c r="E459" s="12" t="s">
        <v>9</v>
      </c>
      <c r="F459" s="18">
        <f ca="1">OFFSET(F459,1,2)</f>
        <v>9000</v>
      </c>
      <c r="G459" s="38">
        <f ca="1">F459</f>
        <v>9000</v>
      </c>
      <c r="H459" s="38">
        <f ca="1">G459*I459</f>
        <v>9000</v>
      </c>
      <c r="I459" s="12">
        <v>1</v>
      </c>
      <c r="J459" s="12" t="s">
        <v>12</v>
      </c>
      <c r="K459" s="12" t="s">
        <v>9</v>
      </c>
      <c r="L459" s="15">
        <v>9000</v>
      </c>
    </row>
    <row r="460" spans="1:12" ht="21" customHeight="1" outlineLevel="2" x14ac:dyDescent="0.25">
      <c r="A460" s="12">
        <f t="shared" si="6"/>
        <v>459</v>
      </c>
      <c r="B460" s="12" t="str">
        <f>B459</f>
        <v>ЩР.8 (Блок 2 ,3)</v>
      </c>
      <c r="C460" s="12" t="s">
        <v>10</v>
      </c>
      <c r="D460" s="30" t="s">
        <v>10</v>
      </c>
      <c r="E460" s="12" t="s">
        <v>10</v>
      </c>
      <c r="F460" s="18">
        <v>1.5</v>
      </c>
      <c r="G460" s="38">
        <v>100</v>
      </c>
      <c r="H460" s="38">
        <f>60*F460*G460</f>
        <v>9000</v>
      </c>
      <c r="I460" s="12">
        <f>60*F460</f>
        <v>90</v>
      </c>
      <c r="J460" s="12" t="s">
        <v>12</v>
      </c>
      <c r="K460" s="12" t="s">
        <v>10</v>
      </c>
      <c r="L460" s="15">
        <v>9000</v>
      </c>
    </row>
    <row r="461" spans="1:12" ht="21" customHeight="1" outlineLevel="1" x14ac:dyDescent="0.25">
      <c r="A461" s="12"/>
      <c r="B461" s="12" t="s">
        <v>659</v>
      </c>
      <c r="C461" s="12"/>
      <c r="D461" s="30"/>
      <c r="E461" s="12"/>
      <c r="F461" s="18"/>
      <c r="G461" s="38"/>
      <c r="H461" s="38">
        <f ca="1">SUBTOTAL(9,H455:H460)</f>
        <v>65481</v>
      </c>
      <c r="I461" s="12"/>
      <c r="J461" s="12"/>
      <c r="K461" s="12"/>
      <c r="L461" s="15">
        <v>65481</v>
      </c>
    </row>
    <row r="462" spans="1:12" ht="39.75" customHeight="1" outlineLevel="2" x14ac:dyDescent="0.25">
      <c r="A462" s="10">
        <f>ROW(A460)</f>
        <v>460</v>
      </c>
      <c r="B462" s="6" t="str">
        <f>E462</f>
        <v>ЩСВ.1 (Блок 2, 3)</v>
      </c>
      <c r="C462" s="6"/>
      <c r="D462" s="28"/>
      <c r="E462" s="6" t="s">
        <v>164</v>
      </c>
      <c r="F462" s="36"/>
      <c r="G462" s="36" t="s">
        <v>73</v>
      </c>
      <c r="H462" s="7"/>
      <c r="I462" s="10">
        <v>1</v>
      </c>
      <c r="J462" s="11" t="s">
        <v>6</v>
      </c>
      <c r="K462" s="6" t="s">
        <v>8</v>
      </c>
      <c r="L462" s="9"/>
    </row>
    <row r="463" spans="1:12" ht="21" customHeight="1" outlineLevel="2" x14ac:dyDescent="0.25">
      <c r="A463" s="16">
        <f t="shared" si="6"/>
        <v>462</v>
      </c>
      <c r="B463" s="12" t="str">
        <f>B462</f>
        <v>ЩСВ.1 (Блок 2, 3)</v>
      </c>
      <c r="C463" s="13" t="s">
        <v>7</v>
      </c>
      <c r="D463" s="29" t="s">
        <v>468</v>
      </c>
      <c r="E463" s="12" t="s">
        <v>469</v>
      </c>
      <c r="F463" s="37">
        <v>15500</v>
      </c>
      <c r="G463" s="38">
        <f>F463*0.6</f>
        <v>9300</v>
      </c>
      <c r="H463" s="38">
        <f>I463*G463</f>
        <v>9300</v>
      </c>
      <c r="I463" s="16">
        <v>1</v>
      </c>
      <c r="J463" s="17" t="s">
        <v>12</v>
      </c>
      <c r="K463" s="13" t="s">
        <v>15</v>
      </c>
      <c r="L463" s="15">
        <v>9300</v>
      </c>
    </row>
    <row r="464" spans="1:12" ht="21" customHeight="1" outlineLevel="2" x14ac:dyDescent="0.25">
      <c r="A464" s="16">
        <f t="shared" si="6"/>
        <v>463</v>
      </c>
      <c r="B464" s="12" t="str">
        <f>B463</f>
        <v>ЩСВ.1 (Блок 2, 3)</v>
      </c>
      <c r="C464" s="13" t="s">
        <v>11</v>
      </c>
      <c r="D464" s="29" t="s">
        <v>29</v>
      </c>
      <c r="E464" s="12" t="s">
        <v>30</v>
      </c>
      <c r="F464" s="37">
        <v>3172</v>
      </c>
      <c r="G464" s="38">
        <f>F464*0.6</f>
        <v>1903.1999999999998</v>
      </c>
      <c r="H464" s="38">
        <f>G464*I464</f>
        <v>1903.1999999999998</v>
      </c>
      <c r="I464" s="16">
        <v>1</v>
      </c>
      <c r="J464" s="17" t="s">
        <v>12</v>
      </c>
      <c r="K464" s="13" t="s">
        <v>16</v>
      </c>
      <c r="L464" s="15">
        <v>1903.1999999999998</v>
      </c>
    </row>
    <row r="465" spans="1:12" ht="21" customHeight="1" outlineLevel="2" x14ac:dyDescent="0.25">
      <c r="A465" s="16">
        <f t="shared" si="6"/>
        <v>464</v>
      </c>
      <c r="B465" s="12" t="str">
        <f>B464</f>
        <v>ЩСВ.1 (Блок 2, 3)</v>
      </c>
      <c r="C465" s="13" t="s">
        <v>596</v>
      </c>
      <c r="D465" s="29" t="s">
        <v>45</v>
      </c>
      <c r="E465" s="12" t="s">
        <v>46</v>
      </c>
      <c r="F465" s="37">
        <v>5354</v>
      </c>
      <c r="G465" s="38">
        <f>F465*0.6</f>
        <v>3212.4</v>
      </c>
      <c r="H465" s="38">
        <f>G465*I465</f>
        <v>3212.4</v>
      </c>
      <c r="I465" s="16">
        <v>1</v>
      </c>
      <c r="J465" s="17" t="s">
        <v>12</v>
      </c>
      <c r="K465" s="13" t="s">
        <v>16</v>
      </c>
      <c r="L465" s="15">
        <v>3212.4</v>
      </c>
    </row>
    <row r="466" spans="1:12" ht="21" customHeight="1" outlineLevel="2" x14ac:dyDescent="0.25">
      <c r="A466" s="16">
        <f t="shared" si="6"/>
        <v>465</v>
      </c>
      <c r="B466" s="12" t="str">
        <f>B465</f>
        <v>ЩСВ.1 (Блок 2, 3)</v>
      </c>
      <c r="C466" s="13" t="s">
        <v>11</v>
      </c>
      <c r="D466" s="29" t="s">
        <v>20</v>
      </c>
      <c r="E466" s="12" t="s">
        <v>21</v>
      </c>
      <c r="F466" s="37">
        <v>2429</v>
      </c>
      <c r="G466" s="38">
        <f>F466*0.6</f>
        <v>1457.3999999999999</v>
      </c>
      <c r="H466" s="38">
        <f>G466*I466</f>
        <v>8744.4</v>
      </c>
      <c r="I466" s="16">
        <v>6</v>
      </c>
      <c r="J466" s="17" t="s">
        <v>12</v>
      </c>
      <c r="K466" s="13" t="s">
        <v>16</v>
      </c>
      <c r="L466" s="15">
        <v>8744.4</v>
      </c>
    </row>
    <row r="467" spans="1:12" ht="24" customHeight="1" outlineLevel="2" x14ac:dyDescent="0.25">
      <c r="A467" s="12">
        <f t="shared" si="6"/>
        <v>466</v>
      </c>
      <c r="B467" s="12" t="str">
        <f>B466</f>
        <v>ЩСВ.1 (Блок 2, 3)</v>
      </c>
      <c r="C467" s="12" t="s">
        <v>9</v>
      </c>
      <c r="D467" s="30" t="s">
        <v>9</v>
      </c>
      <c r="E467" s="12" t="s">
        <v>9</v>
      </c>
      <c r="F467" s="18">
        <f ca="1">OFFSET(F467,1,2)</f>
        <v>6000</v>
      </c>
      <c r="G467" s="38">
        <f ca="1">F467</f>
        <v>6000</v>
      </c>
      <c r="H467" s="38">
        <f ca="1">G467*I467</f>
        <v>6000</v>
      </c>
      <c r="I467" s="12">
        <v>1</v>
      </c>
      <c r="J467" s="12" t="s">
        <v>12</v>
      </c>
      <c r="K467" s="12" t="s">
        <v>9</v>
      </c>
      <c r="L467" s="15">
        <v>6000</v>
      </c>
    </row>
    <row r="468" spans="1:12" ht="21" customHeight="1" outlineLevel="2" x14ac:dyDescent="0.25">
      <c r="A468" s="12">
        <f t="shared" si="6"/>
        <v>467</v>
      </c>
      <c r="B468" s="12" t="str">
        <f>B467</f>
        <v>ЩСВ.1 (Блок 2, 3)</v>
      </c>
      <c r="C468" s="12" t="s">
        <v>10</v>
      </c>
      <c r="D468" s="30" t="s">
        <v>10</v>
      </c>
      <c r="E468" s="12" t="s">
        <v>10</v>
      </c>
      <c r="F468" s="18">
        <v>1</v>
      </c>
      <c r="G468" s="38">
        <v>100</v>
      </c>
      <c r="H468" s="38">
        <f>60*F468*G468</f>
        <v>6000</v>
      </c>
      <c r="I468" s="12">
        <f>60*F468</f>
        <v>60</v>
      </c>
      <c r="J468" s="12" t="s">
        <v>12</v>
      </c>
      <c r="K468" s="12" t="s">
        <v>10</v>
      </c>
      <c r="L468" s="15">
        <v>6000</v>
      </c>
    </row>
    <row r="469" spans="1:12" ht="21" customHeight="1" outlineLevel="1" x14ac:dyDescent="0.25">
      <c r="A469" s="12"/>
      <c r="B469" s="12" t="s">
        <v>660</v>
      </c>
      <c r="C469" s="12"/>
      <c r="D469" s="30"/>
      <c r="E469" s="12"/>
      <c r="F469" s="18"/>
      <c r="G469" s="38"/>
      <c r="H469" s="38">
        <f ca="1">SUBTOTAL(9,H462:H468)</f>
        <v>35160</v>
      </c>
      <c r="I469" s="12"/>
      <c r="J469" s="12"/>
      <c r="K469" s="12"/>
      <c r="L469" s="15">
        <v>35160</v>
      </c>
    </row>
    <row r="470" spans="1:12" ht="39.75" customHeight="1" outlineLevel="2" x14ac:dyDescent="0.25">
      <c r="A470" s="10">
        <f>ROW(A468)</f>
        <v>468</v>
      </c>
      <c r="B470" s="6" t="str">
        <f>E470</f>
        <v>ЩСВ.2 (Блок 2, 3)</v>
      </c>
      <c r="C470" s="6"/>
      <c r="D470" s="28"/>
      <c r="E470" s="6" t="s">
        <v>165</v>
      </c>
      <c r="F470" s="36"/>
      <c r="G470" s="36" t="s">
        <v>73</v>
      </c>
      <c r="H470" s="7"/>
      <c r="I470" s="10">
        <v>1</v>
      </c>
      <c r="J470" s="11" t="s">
        <v>6</v>
      </c>
      <c r="K470" s="6" t="s">
        <v>8</v>
      </c>
      <c r="L470" s="9"/>
    </row>
    <row r="471" spans="1:12" ht="21" customHeight="1" outlineLevel="2" x14ac:dyDescent="0.25">
      <c r="A471" s="16">
        <f t="shared" si="6"/>
        <v>470</v>
      </c>
      <c r="B471" s="12" t="str">
        <f>B470</f>
        <v>ЩСВ.2 (Блок 2, 3)</v>
      </c>
      <c r="C471" s="13" t="s">
        <v>7</v>
      </c>
      <c r="D471" s="29" t="s">
        <v>576</v>
      </c>
      <c r="E471" s="12" t="s">
        <v>577</v>
      </c>
      <c r="F471" s="37">
        <v>125000</v>
      </c>
      <c r="G471" s="38">
        <f>F471*0.6</f>
        <v>75000</v>
      </c>
      <c r="H471" s="38">
        <f>I471*G471</f>
        <v>75000</v>
      </c>
      <c r="I471" s="16">
        <v>1</v>
      </c>
      <c r="J471" s="17" t="s">
        <v>12</v>
      </c>
      <c r="K471" s="13" t="s">
        <v>15</v>
      </c>
      <c r="L471" s="15">
        <v>75000</v>
      </c>
    </row>
    <row r="472" spans="1:12" ht="21" customHeight="1" outlineLevel="2" x14ac:dyDescent="0.25">
      <c r="A472" s="16">
        <f t="shared" si="6"/>
        <v>471</v>
      </c>
      <c r="B472" s="12" t="str">
        <f>B471</f>
        <v>ЩСВ.2 (Блок 2, 3)</v>
      </c>
      <c r="C472" s="13" t="s">
        <v>11</v>
      </c>
      <c r="D472" s="29" t="s">
        <v>28</v>
      </c>
      <c r="E472" s="12" t="s">
        <v>27</v>
      </c>
      <c r="F472" s="37">
        <v>2606</v>
      </c>
      <c r="G472" s="38">
        <f>F472*0.6</f>
        <v>1563.6</v>
      </c>
      <c r="H472" s="38">
        <f>G472*I472</f>
        <v>1563.6</v>
      </c>
      <c r="I472" s="16">
        <v>1</v>
      </c>
      <c r="J472" s="17" t="s">
        <v>12</v>
      </c>
      <c r="K472" s="13" t="s">
        <v>16</v>
      </c>
      <c r="L472" s="15">
        <v>1563.6</v>
      </c>
    </row>
    <row r="473" spans="1:12" ht="21" customHeight="1" outlineLevel="2" x14ac:dyDescent="0.25">
      <c r="A473" s="16">
        <f t="shared" si="6"/>
        <v>472</v>
      </c>
      <c r="B473" s="12" t="str">
        <f>B472</f>
        <v>ЩСВ.2 (Блок 2, 3)</v>
      </c>
      <c r="C473" s="13" t="s">
        <v>596</v>
      </c>
      <c r="D473" s="29" t="s">
        <v>45</v>
      </c>
      <c r="E473" s="12" t="s">
        <v>46</v>
      </c>
      <c r="F473" s="37">
        <v>5354</v>
      </c>
      <c r="G473" s="38">
        <f>F473*0.6</f>
        <v>3212.4</v>
      </c>
      <c r="H473" s="38">
        <f>G473*I473</f>
        <v>3212.4</v>
      </c>
      <c r="I473" s="16">
        <v>1</v>
      </c>
      <c r="J473" s="17" t="s">
        <v>12</v>
      </c>
      <c r="K473" s="13" t="s">
        <v>16</v>
      </c>
      <c r="L473" s="15">
        <v>3212.4</v>
      </c>
    </row>
    <row r="474" spans="1:12" ht="21" customHeight="1" outlineLevel="2" x14ac:dyDescent="0.25">
      <c r="A474" s="16">
        <f t="shared" si="6"/>
        <v>473</v>
      </c>
      <c r="B474" s="12" t="str">
        <f>B473</f>
        <v>ЩСВ.2 (Блок 2, 3)</v>
      </c>
      <c r="C474" s="13" t="s">
        <v>11</v>
      </c>
      <c r="D474" s="29" t="s">
        <v>51</v>
      </c>
      <c r="E474" s="12" t="s">
        <v>52</v>
      </c>
      <c r="F474" s="37">
        <v>2337</v>
      </c>
      <c r="G474" s="38">
        <f>F474*0.6</f>
        <v>1402.2</v>
      </c>
      <c r="H474" s="38">
        <f>G474*I474</f>
        <v>1402.2</v>
      </c>
      <c r="I474" s="16">
        <v>1</v>
      </c>
      <c r="J474" s="17" t="s">
        <v>12</v>
      </c>
      <c r="K474" s="13" t="s">
        <v>16</v>
      </c>
      <c r="L474" s="15">
        <v>1402.2</v>
      </c>
    </row>
    <row r="475" spans="1:12" ht="21" customHeight="1" outlineLevel="2" x14ac:dyDescent="0.25">
      <c r="A475" s="16">
        <f t="shared" si="6"/>
        <v>474</v>
      </c>
      <c r="B475" s="12" t="str">
        <f>B474</f>
        <v>ЩСВ.2 (Блок 2, 3)</v>
      </c>
      <c r="C475" s="13" t="s">
        <v>11</v>
      </c>
      <c r="D475" s="29" t="s">
        <v>53</v>
      </c>
      <c r="E475" s="12" t="s">
        <v>54</v>
      </c>
      <c r="F475" s="37">
        <v>783</v>
      </c>
      <c r="G475" s="38">
        <f>F475*0.6</f>
        <v>469.79999999999995</v>
      </c>
      <c r="H475" s="38">
        <f>G475*I475</f>
        <v>9396</v>
      </c>
      <c r="I475" s="16">
        <v>20</v>
      </c>
      <c r="J475" s="17" t="s">
        <v>12</v>
      </c>
      <c r="K475" s="13" t="s">
        <v>16</v>
      </c>
      <c r="L475" s="15">
        <v>9396</v>
      </c>
    </row>
    <row r="476" spans="1:12" ht="21" customHeight="1" outlineLevel="2" x14ac:dyDescent="0.25">
      <c r="A476" s="16">
        <f t="shared" si="6"/>
        <v>475</v>
      </c>
      <c r="B476" s="12" t="str">
        <f>B475</f>
        <v>ЩСВ.2 (Блок 2, 3)</v>
      </c>
      <c r="C476" s="13" t="s">
        <v>48</v>
      </c>
      <c r="D476" s="29" t="s">
        <v>133</v>
      </c>
      <c r="E476" s="12" t="s">
        <v>134</v>
      </c>
      <c r="F476" s="37">
        <v>5109</v>
      </c>
      <c r="G476" s="38">
        <f>F476*0.6</f>
        <v>3065.4</v>
      </c>
      <c r="H476" s="38">
        <f>G476*I476</f>
        <v>3065.4</v>
      </c>
      <c r="I476" s="16">
        <v>1</v>
      </c>
      <c r="J476" s="17" t="s">
        <v>12</v>
      </c>
      <c r="K476" s="13" t="s">
        <v>16</v>
      </c>
      <c r="L476" s="15">
        <v>3065.4</v>
      </c>
    </row>
    <row r="477" spans="1:12" ht="21" customHeight="1" outlineLevel="2" x14ac:dyDescent="0.25">
      <c r="A477" s="16">
        <f t="shared" si="6"/>
        <v>476</v>
      </c>
      <c r="B477" s="12" t="str">
        <f>B476</f>
        <v>ЩСВ.2 (Блок 2, 3)</v>
      </c>
      <c r="C477" s="13" t="s">
        <v>48</v>
      </c>
      <c r="D477" s="29" t="s">
        <v>49</v>
      </c>
      <c r="E477" s="12" t="s">
        <v>50</v>
      </c>
      <c r="F477" s="37">
        <v>5214</v>
      </c>
      <c r="G477" s="38">
        <f>F477*0.6</f>
        <v>3128.4</v>
      </c>
      <c r="H477" s="38">
        <f>G477*I477</f>
        <v>62568</v>
      </c>
      <c r="I477" s="16">
        <v>20</v>
      </c>
      <c r="J477" s="17" t="s">
        <v>12</v>
      </c>
      <c r="K477" s="13" t="s">
        <v>16</v>
      </c>
      <c r="L477" s="15">
        <v>62568</v>
      </c>
    </row>
    <row r="478" spans="1:12" ht="24" customHeight="1" outlineLevel="2" x14ac:dyDescent="0.25">
      <c r="A478" s="12">
        <f t="shared" si="6"/>
        <v>477</v>
      </c>
      <c r="B478" s="12" t="str">
        <f>B477</f>
        <v>ЩСВ.2 (Блок 2, 3)</v>
      </c>
      <c r="C478" s="12" t="s">
        <v>9</v>
      </c>
      <c r="D478" s="30" t="s">
        <v>9</v>
      </c>
      <c r="E478" s="12" t="s">
        <v>9</v>
      </c>
      <c r="F478" s="18">
        <f ca="1">OFFSET(F478,1,2)</f>
        <v>48000</v>
      </c>
      <c r="G478" s="38">
        <f ca="1">F478</f>
        <v>48000</v>
      </c>
      <c r="H478" s="38">
        <f ca="1">G478*I478</f>
        <v>48000</v>
      </c>
      <c r="I478" s="12">
        <v>1</v>
      </c>
      <c r="J478" s="12" t="s">
        <v>12</v>
      </c>
      <c r="K478" s="12" t="s">
        <v>9</v>
      </c>
      <c r="L478" s="15">
        <v>48000</v>
      </c>
    </row>
    <row r="479" spans="1:12" ht="21" customHeight="1" outlineLevel="2" x14ac:dyDescent="0.25">
      <c r="A479" s="12">
        <f t="shared" si="6"/>
        <v>478</v>
      </c>
      <c r="B479" s="12" t="str">
        <f>B478</f>
        <v>ЩСВ.2 (Блок 2, 3)</v>
      </c>
      <c r="C479" s="12" t="s">
        <v>10</v>
      </c>
      <c r="D479" s="30" t="s">
        <v>10</v>
      </c>
      <c r="E479" s="12" t="s">
        <v>10</v>
      </c>
      <c r="F479" s="18">
        <v>8</v>
      </c>
      <c r="G479" s="38">
        <v>100</v>
      </c>
      <c r="H479" s="38">
        <f>60*F479*G479</f>
        <v>48000</v>
      </c>
      <c r="I479" s="12">
        <f>60*F479</f>
        <v>480</v>
      </c>
      <c r="J479" s="12" t="s">
        <v>12</v>
      </c>
      <c r="K479" s="12" t="s">
        <v>10</v>
      </c>
      <c r="L479" s="15">
        <v>48000</v>
      </c>
    </row>
    <row r="480" spans="1:12" ht="21" customHeight="1" outlineLevel="1" x14ac:dyDescent="0.25">
      <c r="A480" s="12"/>
      <c r="B480" s="12" t="s">
        <v>661</v>
      </c>
      <c r="C480" s="12"/>
      <c r="D480" s="30"/>
      <c r="E480" s="12"/>
      <c r="F480" s="18"/>
      <c r="G480" s="38"/>
      <c r="H480" s="38">
        <f ca="1">SUBTOTAL(9,H470:H479)</f>
        <v>252207.59999999998</v>
      </c>
      <c r="I480" s="12"/>
      <c r="J480" s="12"/>
      <c r="K480" s="12"/>
      <c r="L480" s="15">
        <v>252207.59999999998</v>
      </c>
    </row>
    <row r="481" spans="1:13" ht="24" customHeight="1" outlineLevel="2" x14ac:dyDescent="0.25">
      <c r="A481" s="10">
        <f>ROW(A479)</f>
        <v>479</v>
      </c>
      <c r="B481" s="6" t="str">
        <f>E481</f>
        <v>ЩДУ.1 (Блок 2, 3)</v>
      </c>
      <c r="C481" s="6"/>
      <c r="D481" s="28"/>
      <c r="E481" s="6" t="s">
        <v>166</v>
      </c>
      <c r="F481" s="36"/>
      <c r="G481" s="36" t="s">
        <v>73</v>
      </c>
      <c r="H481" s="7"/>
      <c r="I481" s="10">
        <v>1</v>
      </c>
      <c r="J481" s="11" t="s">
        <v>6</v>
      </c>
      <c r="K481" s="6" t="s">
        <v>8</v>
      </c>
      <c r="L481" s="9"/>
    </row>
    <row r="482" spans="1:13" ht="21" customHeight="1" outlineLevel="2" x14ac:dyDescent="0.25">
      <c r="A482" s="16">
        <f t="shared" si="6"/>
        <v>481</v>
      </c>
      <c r="B482" s="12" t="str">
        <f>B481</f>
        <v>ЩДУ.1 (Блок 2, 3)</v>
      </c>
      <c r="C482" s="13" t="s">
        <v>7</v>
      </c>
      <c r="D482" s="29" t="s">
        <v>503</v>
      </c>
      <c r="E482" s="12" t="s">
        <v>504</v>
      </c>
      <c r="F482" s="37">
        <v>26770</v>
      </c>
      <c r="G482" s="38">
        <f>F482*0.6</f>
        <v>16062</v>
      </c>
      <c r="H482" s="38">
        <f>I482*G482</f>
        <v>16062</v>
      </c>
      <c r="I482" s="16">
        <v>1</v>
      </c>
      <c r="J482" s="17" t="s">
        <v>12</v>
      </c>
      <c r="K482" s="13" t="s">
        <v>15</v>
      </c>
      <c r="L482" s="15">
        <v>16062</v>
      </c>
    </row>
    <row r="483" spans="1:13" ht="39.75" customHeight="1" outlineLevel="2" x14ac:dyDescent="0.25">
      <c r="A483" s="16">
        <f t="shared" si="6"/>
        <v>482</v>
      </c>
      <c r="B483" s="12" t="str">
        <f>B482</f>
        <v>ЩДУ.1 (Блок 2, 3)</v>
      </c>
      <c r="C483" s="13" t="s">
        <v>11</v>
      </c>
      <c r="D483" s="29" t="s">
        <v>167</v>
      </c>
      <c r="E483" s="12" t="s">
        <v>168</v>
      </c>
      <c r="F483" s="37">
        <v>800</v>
      </c>
      <c r="G483" s="38">
        <f>F483*0.6</f>
        <v>480</v>
      </c>
      <c r="H483" s="38">
        <f>G483*I483</f>
        <v>480</v>
      </c>
      <c r="I483" s="16">
        <v>1</v>
      </c>
      <c r="J483" s="17" t="s">
        <v>12</v>
      </c>
      <c r="K483" s="13" t="s">
        <v>16</v>
      </c>
      <c r="L483" s="15">
        <v>480</v>
      </c>
    </row>
    <row r="484" spans="1:13" ht="21" customHeight="1" outlineLevel="2" x14ac:dyDescent="0.25">
      <c r="A484" s="16">
        <f t="shared" si="6"/>
        <v>483</v>
      </c>
      <c r="B484" s="12" t="str">
        <f>B483</f>
        <v>ЩДУ.1 (Блок 2, 3)</v>
      </c>
      <c r="C484" s="13" t="s">
        <v>11</v>
      </c>
      <c r="D484" s="29" t="s">
        <v>53</v>
      </c>
      <c r="E484" s="12" t="s">
        <v>54</v>
      </c>
      <c r="F484" s="37">
        <v>783</v>
      </c>
      <c r="G484" s="38">
        <f>F484*0.6</f>
        <v>469.79999999999995</v>
      </c>
      <c r="H484" s="38">
        <f>G484*I484</f>
        <v>4228.2</v>
      </c>
      <c r="I484" s="16">
        <v>9</v>
      </c>
      <c r="J484" s="17" t="s">
        <v>12</v>
      </c>
      <c r="K484" s="13" t="s">
        <v>16</v>
      </c>
      <c r="L484" s="15">
        <v>4228.2</v>
      </c>
    </row>
    <row r="485" spans="1:13" ht="21" customHeight="1" outlineLevel="2" x14ac:dyDescent="0.25">
      <c r="A485" s="16">
        <f t="shared" si="6"/>
        <v>484</v>
      </c>
      <c r="B485" s="12" t="str">
        <f>B484</f>
        <v>ЩДУ.1 (Блок 2, 3)</v>
      </c>
      <c r="C485" s="13" t="s">
        <v>48</v>
      </c>
      <c r="D485" s="29" t="s">
        <v>49</v>
      </c>
      <c r="E485" s="12" t="s">
        <v>50</v>
      </c>
      <c r="F485" s="37">
        <v>5214</v>
      </c>
      <c r="G485" s="38">
        <f>F485*0.6</f>
        <v>3128.4</v>
      </c>
      <c r="H485" s="38">
        <f>G485*I485</f>
        <v>28155.600000000002</v>
      </c>
      <c r="I485" s="16">
        <v>9</v>
      </c>
      <c r="J485" s="17" t="s">
        <v>12</v>
      </c>
      <c r="K485" s="13" t="s">
        <v>16</v>
      </c>
      <c r="L485" s="15">
        <v>28155.600000000002</v>
      </c>
      <c r="M485" t="s">
        <v>440</v>
      </c>
    </row>
    <row r="486" spans="1:13" ht="21" customHeight="1" outlineLevel="2" x14ac:dyDescent="0.25">
      <c r="A486" s="12">
        <f t="shared" si="6"/>
        <v>485</v>
      </c>
      <c r="B486" s="12" t="str">
        <f>B485</f>
        <v>ЩДУ.1 (Блок 2, 3)</v>
      </c>
      <c r="C486" s="12" t="s">
        <v>9</v>
      </c>
      <c r="D486" s="30" t="s">
        <v>9</v>
      </c>
      <c r="E486" s="12" t="s">
        <v>9</v>
      </c>
      <c r="F486" s="18">
        <f ca="1">OFFSET(F486,1,2)</f>
        <v>19200</v>
      </c>
      <c r="G486" s="38">
        <f ca="1">F486</f>
        <v>19200</v>
      </c>
      <c r="H486" s="38">
        <f ca="1">G486*I486</f>
        <v>19200</v>
      </c>
      <c r="I486" s="12">
        <v>1</v>
      </c>
      <c r="J486" s="12" t="s">
        <v>12</v>
      </c>
      <c r="K486" s="12" t="s">
        <v>9</v>
      </c>
      <c r="L486" s="15">
        <v>19200</v>
      </c>
    </row>
    <row r="487" spans="1:13" ht="21" customHeight="1" outlineLevel="2" x14ac:dyDescent="0.25">
      <c r="A487" s="12">
        <f t="shared" si="6"/>
        <v>486</v>
      </c>
      <c r="B487" s="12" t="str">
        <f>B486</f>
        <v>ЩДУ.1 (Блок 2, 3)</v>
      </c>
      <c r="C487" s="12" t="s">
        <v>10</v>
      </c>
      <c r="D487" s="30" t="s">
        <v>10</v>
      </c>
      <c r="E487" s="12" t="s">
        <v>10</v>
      </c>
      <c r="F487" s="18">
        <v>3.2</v>
      </c>
      <c r="G487" s="38">
        <v>100</v>
      </c>
      <c r="H487" s="38">
        <f>60*F487*G487</f>
        <v>19200</v>
      </c>
      <c r="I487" s="12">
        <f>60*F487</f>
        <v>192</v>
      </c>
      <c r="J487" s="12" t="s">
        <v>12</v>
      </c>
      <c r="K487" s="12" t="s">
        <v>10</v>
      </c>
      <c r="L487" s="15">
        <v>19200</v>
      </c>
    </row>
    <row r="488" spans="1:13" ht="21" customHeight="1" outlineLevel="1" x14ac:dyDescent="0.25">
      <c r="A488" s="12"/>
      <c r="B488" s="12" t="s">
        <v>629</v>
      </c>
      <c r="C488" s="12"/>
      <c r="D488" s="30"/>
      <c r="E488" s="12"/>
      <c r="F488" s="18"/>
      <c r="G488" s="38"/>
      <c r="H488" s="38">
        <f ca="1">SUBTOTAL(9,H481:H487)</f>
        <v>87325.8</v>
      </c>
      <c r="I488" s="12"/>
      <c r="J488" s="12"/>
      <c r="K488" s="12"/>
      <c r="L488" s="15">
        <v>87325.8</v>
      </c>
    </row>
    <row r="489" spans="1:13" ht="24" customHeight="1" outlineLevel="2" x14ac:dyDescent="0.25">
      <c r="A489" s="10">
        <f>ROW(A487)</f>
        <v>487</v>
      </c>
      <c r="B489" s="6" t="str">
        <f>E489</f>
        <v>ЩДУ.2 (Блок 2, 3)</v>
      </c>
      <c r="C489" s="6"/>
      <c r="D489" s="28"/>
      <c r="E489" s="6" t="s">
        <v>169</v>
      </c>
      <c r="F489" s="36"/>
      <c r="G489" s="36" t="s">
        <v>73</v>
      </c>
      <c r="H489" s="7"/>
      <c r="I489" s="10">
        <v>1</v>
      </c>
      <c r="J489" s="11" t="s">
        <v>6</v>
      </c>
      <c r="K489" s="6" t="s">
        <v>8</v>
      </c>
      <c r="L489" s="9"/>
    </row>
    <row r="490" spans="1:13" ht="21" customHeight="1" outlineLevel="2" x14ac:dyDescent="0.25">
      <c r="A490" s="16">
        <f t="shared" si="6"/>
        <v>489</v>
      </c>
      <c r="B490" s="12" t="str">
        <f>B489</f>
        <v>ЩДУ.2 (Блок 2, 3)</v>
      </c>
      <c r="C490" s="13" t="s">
        <v>7</v>
      </c>
      <c r="D490" s="29" t="s">
        <v>503</v>
      </c>
      <c r="E490" s="12" t="s">
        <v>504</v>
      </c>
      <c r="F490" s="37">
        <v>26770</v>
      </c>
      <c r="G490" s="38">
        <f>F490*0.6</f>
        <v>16062</v>
      </c>
      <c r="H490" s="38">
        <f>I490*G490</f>
        <v>16062</v>
      </c>
      <c r="I490" s="16">
        <v>1</v>
      </c>
      <c r="J490" s="17" t="s">
        <v>12</v>
      </c>
      <c r="K490" s="13" t="s">
        <v>15</v>
      </c>
      <c r="L490" s="15">
        <v>16062</v>
      </c>
    </row>
    <row r="491" spans="1:13" ht="30" customHeight="1" outlineLevel="2" x14ac:dyDescent="0.25">
      <c r="A491" s="16">
        <f t="shared" si="6"/>
        <v>490</v>
      </c>
      <c r="B491" s="12" t="str">
        <f>B490</f>
        <v>ЩДУ.2 (Блок 2, 3)</v>
      </c>
      <c r="C491" s="13" t="s">
        <v>11</v>
      </c>
      <c r="D491" s="29" t="s">
        <v>29</v>
      </c>
      <c r="E491" s="12" t="s">
        <v>30</v>
      </c>
      <c r="F491" s="39">
        <v>3172</v>
      </c>
      <c r="G491" s="38">
        <f>F491*0.6</f>
        <v>1903.1999999999998</v>
      </c>
      <c r="H491" s="40">
        <f>G491*I491</f>
        <v>1903.1999999999998</v>
      </c>
      <c r="I491" s="16">
        <v>1</v>
      </c>
      <c r="J491" s="17" t="s">
        <v>12</v>
      </c>
      <c r="K491" s="13" t="s">
        <v>16</v>
      </c>
      <c r="L491" s="26">
        <v>1903.1999999999998</v>
      </c>
    </row>
    <row r="492" spans="1:13" ht="39.75" customHeight="1" outlineLevel="2" x14ac:dyDescent="0.25">
      <c r="A492" s="16">
        <f t="shared" si="6"/>
        <v>491</v>
      </c>
      <c r="B492" s="12" t="str">
        <f>B491</f>
        <v>ЩДУ.2 (Блок 2, 3)</v>
      </c>
      <c r="C492" s="13" t="s">
        <v>11</v>
      </c>
      <c r="D492" s="29" t="s">
        <v>20</v>
      </c>
      <c r="E492" s="12" t="s">
        <v>21</v>
      </c>
      <c r="F492" s="37">
        <v>2429</v>
      </c>
      <c r="G492" s="38">
        <f>F492*0.6</f>
        <v>1457.3999999999999</v>
      </c>
      <c r="H492" s="38">
        <f>G492*I492</f>
        <v>2914.7999999999997</v>
      </c>
      <c r="I492" s="16">
        <v>2</v>
      </c>
      <c r="J492" s="17" t="s">
        <v>12</v>
      </c>
      <c r="K492" s="13" t="s">
        <v>16</v>
      </c>
      <c r="L492" s="15">
        <v>2914.7999999999997</v>
      </c>
    </row>
    <row r="493" spans="1:13" ht="21" customHeight="1" outlineLevel="2" x14ac:dyDescent="0.25">
      <c r="A493" s="16">
        <f t="shared" si="6"/>
        <v>492</v>
      </c>
      <c r="B493" s="12" t="str">
        <f>B492</f>
        <v>ЩДУ.2 (Блок 2, 3)</v>
      </c>
      <c r="C493" s="13" t="s">
        <v>11</v>
      </c>
      <c r="D493" s="29" t="s">
        <v>51</v>
      </c>
      <c r="E493" s="12" t="s">
        <v>52</v>
      </c>
      <c r="F493" s="37">
        <v>2337</v>
      </c>
      <c r="G493" s="38">
        <f>F493*0.6</f>
        <v>1402.2</v>
      </c>
      <c r="H493" s="38">
        <f>G493*I493</f>
        <v>4206.6000000000004</v>
      </c>
      <c r="I493" s="16">
        <v>3</v>
      </c>
      <c r="J493" s="17" t="s">
        <v>12</v>
      </c>
      <c r="K493" s="13" t="s">
        <v>16</v>
      </c>
      <c r="L493" s="15">
        <v>4206.6000000000004</v>
      </c>
    </row>
    <row r="494" spans="1:13" ht="21" customHeight="1" outlineLevel="2" x14ac:dyDescent="0.25">
      <c r="A494" s="16">
        <f t="shared" si="6"/>
        <v>493</v>
      </c>
      <c r="B494" s="12" t="str">
        <f>B493</f>
        <v>ЩДУ.2 (Блок 2, 3)</v>
      </c>
      <c r="C494" s="13" t="s">
        <v>11</v>
      </c>
      <c r="D494" s="29" t="s">
        <v>53</v>
      </c>
      <c r="E494" s="12" t="s">
        <v>54</v>
      </c>
      <c r="F494" s="37">
        <v>783</v>
      </c>
      <c r="G494" s="38">
        <f>F494*0.6</f>
        <v>469.79999999999995</v>
      </c>
      <c r="H494" s="38">
        <f>G494*I494</f>
        <v>1409.3999999999999</v>
      </c>
      <c r="I494" s="16">
        <v>3</v>
      </c>
      <c r="J494" s="17" t="s">
        <v>12</v>
      </c>
      <c r="K494" s="13" t="s">
        <v>16</v>
      </c>
      <c r="L494" s="15">
        <v>1409.3999999999999</v>
      </c>
    </row>
    <row r="495" spans="1:13" ht="21" customHeight="1" outlineLevel="2" x14ac:dyDescent="0.25">
      <c r="A495" s="16">
        <f t="shared" si="6"/>
        <v>494</v>
      </c>
      <c r="B495" s="12" t="str">
        <f>B494</f>
        <v>ЩДУ.2 (Блок 2, 3)</v>
      </c>
      <c r="C495" s="13" t="s">
        <v>48</v>
      </c>
      <c r="D495" s="29" t="s">
        <v>114</v>
      </c>
      <c r="E495" s="12" t="s">
        <v>115</v>
      </c>
      <c r="F495" s="37">
        <v>5927</v>
      </c>
      <c r="G495" s="38">
        <f>F495*0.6</f>
        <v>3556.2</v>
      </c>
      <c r="H495" s="38">
        <f>G495*I495</f>
        <v>3556.2</v>
      </c>
      <c r="I495" s="16">
        <v>1</v>
      </c>
      <c r="J495" s="17" t="s">
        <v>12</v>
      </c>
      <c r="K495" s="13" t="s">
        <v>16</v>
      </c>
      <c r="L495" s="15">
        <v>3556.2</v>
      </c>
    </row>
    <row r="496" spans="1:13" ht="21" customHeight="1" outlineLevel="2" x14ac:dyDescent="0.25">
      <c r="A496" s="16">
        <f t="shared" si="6"/>
        <v>495</v>
      </c>
      <c r="B496" s="12" t="str">
        <f>B495</f>
        <v>ЩДУ.2 (Блок 2, 3)</v>
      </c>
      <c r="C496" s="13" t="s">
        <v>48</v>
      </c>
      <c r="D496" s="29" t="s">
        <v>112</v>
      </c>
      <c r="E496" s="12" t="s">
        <v>113</v>
      </c>
      <c r="F496" s="37">
        <v>5341</v>
      </c>
      <c r="G496" s="38">
        <f>F496*0.6</f>
        <v>3204.6</v>
      </c>
      <c r="H496" s="38">
        <f>G496*I496</f>
        <v>9613.7999999999993</v>
      </c>
      <c r="I496" s="16">
        <v>3</v>
      </c>
      <c r="J496" s="17" t="s">
        <v>12</v>
      </c>
      <c r="K496" s="13" t="s">
        <v>16</v>
      </c>
      <c r="L496" s="15">
        <v>9613.7999999999993</v>
      </c>
    </row>
    <row r="497" spans="1:12" ht="21" customHeight="1" outlineLevel="2" x14ac:dyDescent="0.25">
      <c r="A497" s="16">
        <f t="shared" si="6"/>
        <v>496</v>
      </c>
      <c r="B497" s="12" t="str">
        <f>B496</f>
        <v>ЩДУ.2 (Блок 2, 3)</v>
      </c>
      <c r="C497" s="13" t="s">
        <v>48</v>
      </c>
      <c r="D497" s="29" t="s">
        <v>49</v>
      </c>
      <c r="E497" s="12" t="s">
        <v>50</v>
      </c>
      <c r="F497" s="37">
        <v>5214</v>
      </c>
      <c r="G497" s="38">
        <f>F497*0.6</f>
        <v>3128.4</v>
      </c>
      <c r="H497" s="38">
        <f>G497*I497</f>
        <v>3128.4</v>
      </c>
      <c r="I497" s="16">
        <v>1</v>
      </c>
      <c r="J497" s="17" t="s">
        <v>12</v>
      </c>
      <c r="K497" s="13" t="s">
        <v>16</v>
      </c>
      <c r="L497" s="15">
        <v>3128.4</v>
      </c>
    </row>
    <row r="498" spans="1:12" ht="21" customHeight="1" outlineLevel="2" x14ac:dyDescent="0.25">
      <c r="A498" s="12">
        <f t="shared" si="6"/>
        <v>497</v>
      </c>
      <c r="B498" s="12" t="str">
        <f>B497</f>
        <v>ЩДУ.2 (Блок 2, 3)</v>
      </c>
      <c r="C498" s="12" t="s">
        <v>9</v>
      </c>
      <c r="D498" s="30" t="s">
        <v>9</v>
      </c>
      <c r="E498" s="12" t="s">
        <v>9</v>
      </c>
      <c r="F498" s="18">
        <f ca="1">OFFSET(F498,1,2)</f>
        <v>18000</v>
      </c>
      <c r="G498" s="38">
        <f ca="1">F498</f>
        <v>18000</v>
      </c>
      <c r="H498" s="38">
        <f ca="1">G498*I498</f>
        <v>18000</v>
      </c>
      <c r="I498" s="12">
        <v>1</v>
      </c>
      <c r="J498" s="12" t="s">
        <v>12</v>
      </c>
      <c r="K498" s="12" t="s">
        <v>9</v>
      </c>
      <c r="L498" s="15">
        <v>18000</v>
      </c>
    </row>
    <row r="499" spans="1:12" ht="21" customHeight="1" outlineLevel="2" x14ac:dyDescent="0.25">
      <c r="A499" s="12">
        <f t="shared" si="6"/>
        <v>498</v>
      </c>
      <c r="B499" s="12" t="str">
        <f>B498</f>
        <v>ЩДУ.2 (Блок 2, 3)</v>
      </c>
      <c r="C499" s="12" t="s">
        <v>10</v>
      </c>
      <c r="D499" s="30" t="s">
        <v>10</v>
      </c>
      <c r="E499" s="12" t="s">
        <v>10</v>
      </c>
      <c r="F499" s="18">
        <v>3</v>
      </c>
      <c r="G499" s="38">
        <v>100</v>
      </c>
      <c r="H499" s="38">
        <f>60*F499*G499</f>
        <v>18000</v>
      </c>
      <c r="I499" s="12">
        <f>60*F499</f>
        <v>180</v>
      </c>
      <c r="J499" s="12" t="s">
        <v>12</v>
      </c>
      <c r="K499" s="12" t="s">
        <v>10</v>
      </c>
      <c r="L499" s="15">
        <v>18000</v>
      </c>
    </row>
    <row r="500" spans="1:12" ht="21" customHeight="1" outlineLevel="1" x14ac:dyDescent="0.25">
      <c r="A500" s="12"/>
      <c r="B500" s="12" t="s">
        <v>662</v>
      </c>
      <c r="C500" s="12"/>
      <c r="D500" s="30"/>
      <c r="E500" s="12"/>
      <c r="F500" s="18"/>
      <c r="G500" s="38"/>
      <c r="H500" s="38">
        <f ca="1">SUBTOTAL(9,H489:H499)</f>
        <v>78794.399999999994</v>
      </c>
      <c r="I500" s="12"/>
      <c r="J500" s="12"/>
      <c r="K500" s="12"/>
      <c r="L500" s="15">
        <v>78794.399999999994</v>
      </c>
    </row>
    <row r="501" spans="1:12" ht="39.75" customHeight="1" outlineLevel="2" x14ac:dyDescent="0.25">
      <c r="A501" s="10">
        <f>ROW(A499)</f>
        <v>499</v>
      </c>
      <c r="B501" s="6" t="str">
        <f>E501</f>
        <v>ЩВ.1 (Блок 2, 3)</v>
      </c>
      <c r="C501" s="6"/>
      <c r="D501" s="28"/>
      <c r="E501" s="6" t="s">
        <v>170</v>
      </c>
      <c r="F501" s="36"/>
      <c r="G501" s="36" t="s">
        <v>73</v>
      </c>
      <c r="H501" s="7"/>
      <c r="I501" s="10">
        <v>1</v>
      </c>
      <c r="J501" s="11" t="s">
        <v>6</v>
      </c>
      <c r="K501" s="6" t="s">
        <v>8</v>
      </c>
      <c r="L501" s="9"/>
    </row>
    <row r="502" spans="1:12" ht="21" customHeight="1" outlineLevel="2" x14ac:dyDescent="0.25">
      <c r="A502" s="16">
        <f t="shared" si="6"/>
        <v>501</v>
      </c>
      <c r="B502" s="12" t="str">
        <f>B501</f>
        <v>ЩВ.1 (Блок 2, 3)</v>
      </c>
      <c r="C502" s="13" t="s">
        <v>7</v>
      </c>
      <c r="D502" s="29" t="s">
        <v>470</v>
      </c>
      <c r="E502" s="12" t="s">
        <v>471</v>
      </c>
      <c r="F502" s="37">
        <v>19000</v>
      </c>
      <c r="G502" s="38">
        <f>F502*0.6</f>
        <v>11400</v>
      </c>
      <c r="H502" s="38">
        <f>I502*G502</f>
        <v>11400</v>
      </c>
      <c r="I502" s="16">
        <v>1</v>
      </c>
      <c r="J502" s="17" t="s">
        <v>12</v>
      </c>
      <c r="K502" s="13" t="s">
        <v>15</v>
      </c>
      <c r="L502" s="15">
        <v>11400</v>
      </c>
    </row>
    <row r="503" spans="1:12" ht="21" customHeight="1" outlineLevel="2" x14ac:dyDescent="0.25">
      <c r="A503" s="16">
        <f t="shared" si="6"/>
        <v>502</v>
      </c>
      <c r="B503" s="12" t="str">
        <f>B502</f>
        <v>ЩВ.1 (Блок 2, 3)</v>
      </c>
      <c r="C503" s="13" t="s">
        <v>11</v>
      </c>
      <c r="D503" s="29" t="s">
        <v>20</v>
      </c>
      <c r="E503" s="12" t="s">
        <v>21</v>
      </c>
      <c r="F503" s="37">
        <v>2429</v>
      </c>
      <c r="G503" s="38">
        <f>F503*0.6</f>
        <v>1457.3999999999999</v>
      </c>
      <c r="H503" s="38">
        <f>G503*I503</f>
        <v>1457.3999999999999</v>
      </c>
      <c r="I503" s="16">
        <v>1</v>
      </c>
      <c r="J503" s="17" t="s">
        <v>12</v>
      </c>
      <c r="K503" s="13" t="s">
        <v>16</v>
      </c>
      <c r="L503" s="15">
        <v>1457.3999999999999</v>
      </c>
    </row>
    <row r="504" spans="1:12" ht="21" customHeight="1" outlineLevel="2" x14ac:dyDescent="0.25">
      <c r="A504" s="16">
        <f t="shared" si="6"/>
        <v>503</v>
      </c>
      <c r="B504" s="12" t="str">
        <f>B503</f>
        <v>ЩВ.1 (Блок 2, 3)</v>
      </c>
      <c r="C504" s="13" t="s">
        <v>596</v>
      </c>
      <c r="D504" s="29" t="s">
        <v>45</v>
      </c>
      <c r="E504" s="12" t="s">
        <v>46</v>
      </c>
      <c r="F504" s="37">
        <v>5354</v>
      </c>
      <c r="G504" s="38">
        <f>F504*0.6</f>
        <v>3212.4</v>
      </c>
      <c r="H504" s="38">
        <f>G504*I504</f>
        <v>3212.4</v>
      </c>
      <c r="I504" s="16">
        <v>1</v>
      </c>
      <c r="J504" s="17" t="s">
        <v>12</v>
      </c>
      <c r="K504" s="13" t="s">
        <v>16</v>
      </c>
      <c r="L504" s="15">
        <v>3212.4</v>
      </c>
    </row>
    <row r="505" spans="1:12" ht="21" customHeight="1" outlineLevel="2" x14ac:dyDescent="0.25">
      <c r="A505" s="16">
        <f t="shared" si="6"/>
        <v>504</v>
      </c>
      <c r="B505" s="12" t="str">
        <f>B504</f>
        <v>ЩВ.1 (Блок 2, 3)</v>
      </c>
      <c r="C505" s="13" t="s">
        <v>22</v>
      </c>
      <c r="D505" s="29" t="s">
        <v>117</v>
      </c>
      <c r="E505" s="12" t="s">
        <v>118</v>
      </c>
      <c r="F505" s="37">
        <v>5104</v>
      </c>
      <c r="G505" s="38">
        <f>F505*0.6</f>
        <v>3062.4</v>
      </c>
      <c r="H505" s="38">
        <f>G505*I505</f>
        <v>24499.200000000001</v>
      </c>
      <c r="I505" s="16">
        <v>8</v>
      </c>
      <c r="J505" s="17" t="s">
        <v>12</v>
      </c>
      <c r="K505" s="13" t="s">
        <v>16</v>
      </c>
      <c r="L505" s="15">
        <v>24499.200000000001</v>
      </c>
    </row>
    <row r="506" spans="1:12" ht="24" customHeight="1" outlineLevel="2" x14ac:dyDescent="0.25">
      <c r="A506" s="12">
        <f t="shared" si="6"/>
        <v>505</v>
      </c>
      <c r="B506" s="12" t="str">
        <f>B505</f>
        <v>ЩВ.1 (Блок 2, 3)</v>
      </c>
      <c r="C506" s="12" t="s">
        <v>9</v>
      </c>
      <c r="D506" s="30" t="s">
        <v>9</v>
      </c>
      <c r="E506" s="12" t="s">
        <v>9</v>
      </c>
      <c r="F506" s="18">
        <f ca="1">OFFSET(F506,1,2)</f>
        <v>12000</v>
      </c>
      <c r="G506" s="38">
        <f ca="1">F506</f>
        <v>12000</v>
      </c>
      <c r="H506" s="38">
        <f ca="1">G506*I506</f>
        <v>12000</v>
      </c>
      <c r="I506" s="12">
        <v>1</v>
      </c>
      <c r="J506" s="12" t="s">
        <v>12</v>
      </c>
      <c r="K506" s="12" t="s">
        <v>9</v>
      </c>
      <c r="L506" s="15">
        <v>12000</v>
      </c>
    </row>
    <row r="507" spans="1:12" ht="21" customHeight="1" outlineLevel="2" x14ac:dyDescent="0.25">
      <c r="A507" s="12">
        <f t="shared" si="6"/>
        <v>506</v>
      </c>
      <c r="B507" s="12" t="str">
        <f>B506</f>
        <v>ЩВ.1 (Блок 2, 3)</v>
      </c>
      <c r="C507" s="12" t="s">
        <v>10</v>
      </c>
      <c r="D507" s="30" t="s">
        <v>10</v>
      </c>
      <c r="E507" s="12" t="s">
        <v>10</v>
      </c>
      <c r="F507" s="18">
        <v>2</v>
      </c>
      <c r="G507" s="38">
        <v>100</v>
      </c>
      <c r="H507" s="38">
        <f>60*F507*G507</f>
        <v>12000</v>
      </c>
      <c r="I507" s="12">
        <f>60*F507</f>
        <v>120</v>
      </c>
      <c r="J507" s="12" t="s">
        <v>12</v>
      </c>
      <c r="K507" s="12" t="s">
        <v>10</v>
      </c>
      <c r="L507" s="15">
        <v>12000</v>
      </c>
    </row>
    <row r="508" spans="1:12" ht="21" customHeight="1" outlineLevel="1" x14ac:dyDescent="0.25">
      <c r="A508" s="12"/>
      <c r="B508" s="12" t="s">
        <v>663</v>
      </c>
      <c r="C508" s="12"/>
      <c r="D508" s="30"/>
      <c r="E508" s="12"/>
      <c r="F508" s="18"/>
      <c r="G508" s="38"/>
      <c r="H508" s="38">
        <f ca="1">SUBTOTAL(9,H501:H507)</f>
        <v>64569</v>
      </c>
      <c r="I508" s="12"/>
      <c r="J508" s="12"/>
      <c r="K508" s="12"/>
      <c r="L508" s="15">
        <v>64569</v>
      </c>
    </row>
    <row r="509" spans="1:12" ht="39.75" customHeight="1" outlineLevel="2" x14ac:dyDescent="0.25">
      <c r="A509" s="10">
        <f>ROW(A507)</f>
        <v>507</v>
      </c>
      <c r="B509" s="6" t="str">
        <f>E509</f>
        <v>ЩВ.2 (Блок 2, 3)</v>
      </c>
      <c r="C509" s="6"/>
      <c r="D509" s="28"/>
      <c r="E509" s="6" t="s">
        <v>171</v>
      </c>
      <c r="F509" s="36"/>
      <c r="G509" s="36" t="s">
        <v>73</v>
      </c>
      <c r="H509" s="7"/>
      <c r="I509" s="10">
        <v>1</v>
      </c>
      <c r="J509" s="11" t="s">
        <v>6</v>
      </c>
      <c r="K509" s="6" t="s">
        <v>8</v>
      </c>
      <c r="L509" s="9"/>
    </row>
    <row r="510" spans="1:12" ht="21" customHeight="1" outlineLevel="2" x14ac:dyDescent="0.25">
      <c r="A510" s="16">
        <f t="shared" si="6"/>
        <v>509</v>
      </c>
      <c r="B510" s="12" t="str">
        <f>B509</f>
        <v>ЩВ.2 (Блок 2, 3)</v>
      </c>
      <c r="C510" s="13" t="s">
        <v>7</v>
      </c>
      <c r="D510" s="29" t="s">
        <v>468</v>
      </c>
      <c r="E510" s="12" t="s">
        <v>469</v>
      </c>
      <c r="F510" s="37">
        <v>15500</v>
      </c>
      <c r="G510" s="38">
        <f>F510*0.6</f>
        <v>9300</v>
      </c>
      <c r="H510" s="38">
        <f>I510*G510</f>
        <v>9300</v>
      </c>
      <c r="I510" s="16">
        <v>1</v>
      </c>
      <c r="J510" s="17" t="s">
        <v>12</v>
      </c>
      <c r="K510" s="13" t="s">
        <v>15</v>
      </c>
      <c r="L510" s="15">
        <v>9300</v>
      </c>
    </row>
    <row r="511" spans="1:12" ht="21" customHeight="1" outlineLevel="2" x14ac:dyDescent="0.25">
      <c r="A511" s="16">
        <f t="shared" si="6"/>
        <v>510</v>
      </c>
      <c r="B511" s="12" t="str">
        <f>B510</f>
        <v>ЩВ.2 (Блок 2, 3)</v>
      </c>
      <c r="C511" s="13" t="s">
        <v>11</v>
      </c>
      <c r="D511" s="29" t="s">
        <v>29</v>
      </c>
      <c r="E511" s="12" t="s">
        <v>30</v>
      </c>
      <c r="F511" s="37">
        <v>3172</v>
      </c>
      <c r="G511" s="38">
        <f>F511*0.6</f>
        <v>1903.1999999999998</v>
      </c>
      <c r="H511" s="38">
        <f>G511*I511</f>
        <v>1903.1999999999998</v>
      </c>
      <c r="I511" s="16">
        <v>1</v>
      </c>
      <c r="J511" s="17" t="s">
        <v>12</v>
      </c>
      <c r="K511" s="13" t="s">
        <v>16</v>
      </c>
      <c r="L511" s="15">
        <v>1903.1999999999998</v>
      </c>
    </row>
    <row r="512" spans="1:12" ht="21" customHeight="1" outlineLevel="2" x14ac:dyDescent="0.25">
      <c r="A512" s="16">
        <f t="shared" si="6"/>
        <v>511</v>
      </c>
      <c r="B512" s="12" t="str">
        <f>B511</f>
        <v>ЩВ.2 (Блок 2, 3)</v>
      </c>
      <c r="C512" s="13" t="s">
        <v>596</v>
      </c>
      <c r="D512" s="29" t="s">
        <v>45</v>
      </c>
      <c r="E512" s="12" t="s">
        <v>46</v>
      </c>
      <c r="F512" s="37">
        <v>5354</v>
      </c>
      <c r="G512" s="38">
        <f>F512*0.6</f>
        <v>3212.4</v>
      </c>
      <c r="H512" s="38">
        <f>G512*I512</f>
        <v>3212.4</v>
      </c>
      <c r="I512" s="16">
        <v>1</v>
      </c>
      <c r="J512" s="17" t="s">
        <v>12</v>
      </c>
      <c r="K512" s="13" t="s">
        <v>16</v>
      </c>
      <c r="L512" s="15">
        <v>3212.4</v>
      </c>
    </row>
    <row r="513" spans="1:12" ht="21" customHeight="1" outlineLevel="2" x14ac:dyDescent="0.25">
      <c r="A513" s="16">
        <f t="shared" si="6"/>
        <v>512</v>
      </c>
      <c r="B513" s="12" t="str">
        <f>B512</f>
        <v>ЩВ.2 (Блок 2, 3)</v>
      </c>
      <c r="C513" s="13" t="s">
        <v>22</v>
      </c>
      <c r="D513" s="29" t="s">
        <v>126</v>
      </c>
      <c r="E513" s="12" t="s">
        <v>127</v>
      </c>
      <c r="F513" s="37">
        <v>11071</v>
      </c>
      <c r="G513" s="38">
        <f>F513*0.6</f>
        <v>6642.5999999999995</v>
      </c>
      <c r="H513" s="38">
        <f>G513*I513</f>
        <v>6642.5999999999995</v>
      </c>
      <c r="I513" s="16">
        <v>1</v>
      </c>
      <c r="J513" s="17" t="s">
        <v>12</v>
      </c>
      <c r="K513" s="13" t="s">
        <v>16</v>
      </c>
      <c r="L513" s="15">
        <v>6642.5999999999995</v>
      </c>
    </row>
    <row r="514" spans="1:12" ht="21" customHeight="1" outlineLevel="2" x14ac:dyDescent="0.25">
      <c r="A514" s="16">
        <f t="shared" si="6"/>
        <v>513</v>
      </c>
      <c r="B514" s="12" t="str">
        <f>B513</f>
        <v>ЩВ.2 (Блок 2, 3)</v>
      </c>
      <c r="C514" s="13" t="s">
        <v>22</v>
      </c>
      <c r="D514" s="29" t="s">
        <v>117</v>
      </c>
      <c r="E514" s="12" t="s">
        <v>118</v>
      </c>
      <c r="F514" s="37">
        <v>5104</v>
      </c>
      <c r="G514" s="38">
        <f>F514*0.6</f>
        <v>3062.4</v>
      </c>
      <c r="H514" s="38">
        <f>G514*I514</f>
        <v>12249.6</v>
      </c>
      <c r="I514" s="16">
        <v>4</v>
      </c>
      <c r="J514" s="17" t="s">
        <v>12</v>
      </c>
      <c r="K514" s="13" t="s">
        <v>16</v>
      </c>
      <c r="L514" s="15">
        <v>12249.6</v>
      </c>
    </row>
    <row r="515" spans="1:12" ht="24" customHeight="1" outlineLevel="2" x14ac:dyDescent="0.25">
      <c r="A515" s="12">
        <f t="shared" ref="A515:A585" si="7">ROW(A514)</f>
        <v>514</v>
      </c>
      <c r="B515" s="12" t="str">
        <f>B514</f>
        <v>ЩВ.2 (Блок 2, 3)</v>
      </c>
      <c r="C515" s="12" t="s">
        <v>9</v>
      </c>
      <c r="D515" s="30" t="s">
        <v>9</v>
      </c>
      <c r="E515" s="12" t="s">
        <v>9</v>
      </c>
      <c r="F515" s="18">
        <f ca="1">OFFSET(F515,1,2)</f>
        <v>6000</v>
      </c>
      <c r="G515" s="38">
        <f ca="1">F515</f>
        <v>6000</v>
      </c>
      <c r="H515" s="38">
        <f ca="1">G515*I515</f>
        <v>6000</v>
      </c>
      <c r="I515" s="12">
        <v>1</v>
      </c>
      <c r="J515" s="12" t="s">
        <v>12</v>
      </c>
      <c r="K515" s="12" t="s">
        <v>9</v>
      </c>
      <c r="L515" s="15">
        <v>6000</v>
      </c>
    </row>
    <row r="516" spans="1:12" ht="21" customHeight="1" outlineLevel="2" x14ac:dyDescent="0.25">
      <c r="A516" s="12">
        <f t="shared" si="7"/>
        <v>515</v>
      </c>
      <c r="B516" s="12" t="str">
        <f>B515</f>
        <v>ЩВ.2 (Блок 2, 3)</v>
      </c>
      <c r="C516" s="12" t="s">
        <v>10</v>
      </c>
      <c r="D516" s="30" t="s">
        <v>10</v>
      </c>
      <c r="E516" s="12" t="s">
        <v>10</v>
      </c>
      <c r="F516" s="18">
        <v>1</v>
      </c>
      <c r="G516" s="38">
        <v>100</v>
      </c>
      <c r="H516" s="38">
        <f>60*F516*G516</f>
        <v>6000</v>
      </c>
      <c r="I516" s="12">
        <f>60*F516</f>
        <v>60</v>
      </c>
      <c r="J516" s="12" t="s">
        <v>12</v>
      </c>
      <c r="K516" s="12" t="s">
        <v>10</v>
      </c>
      <c r="L516" s="15">
        <v>6000</v>
      </c>
    </row>
    <row r="517" spans="1:12" ht="21" customHeight="1" outlineLevel="1" x14ac:dyDescent="0.25">
      <c r="A517" s="12"/>
      <c r="B517" s="12" t="s">
        <v>664</v>
      </c>
      <c r="C517" s="12"/>
      <c r="D517" s="30"/>
      <c r="E517" s="12"/>
      <c r="F517" s="18"/>
      <c r="G517" s="38"/>
      <c r="H517" s="38">
        <f ca="1">SUBTOTAL(9,H509:H516)</f>
        <v>45307.8</v>
      </c>
      <c r="I517" s="12"/>
      <c r="J517" s="12"/>
      <c r="K517" s="12"/>
      <c r="L517" s="15">
        <v>45307.8</v>
      </c>
    </row>
    <row r="518" spans="1:12" ht="39.75" customHeight="1" outlineLevel="2" x14ac:dyDescent="0.25">
      <c r="A518" s="10">
        <f>ROW(A516)</f>
        <v>516</v>
      </c>
      <c r="B518" s="6" t="str">
        <f>E518</f>
        <v>ЩВ.3 (Блок 2, 3)</v>
      </c>
      <c r="C518" s="6"/>
      <c r="D518" s="28"/>
      <c r="E518" s="6" t="s">
        <v>172</v>
      </c>
      <c r="F518" s="36"/>
      <c r="G518" s="36" t="s">
        <v>73</v>
      </c>
      <c r="H518" s="7"/>
      <c r="I518" s="10">
        <v>1</v>
      </c>
      <c r="J518" s="11" t="s">
        <v>6</v>
      </c>
      <c r="K518" s="6" t="s">
        <v>8</v>
      </c>
      <c r="L518" s="9"/>
    </row>
    <row r="519" spans="1:12" ht="21" customHeight="1" outlineLevel="2" x14ac:dyDescent="0.25">
      <c r="A519" s="16">
        <f t="shared" si="7"/>
        <v>518</v>
      </c>
      <c r="B519" s="12" t="str">
        <f>B518</f>
        <v>ЩВ.3 (Блок 2, 3)</v>
      </c>
      <c r="C519" s="13" t="s">
        <v>7</v>
      </c>
      <c r="D519" s="29" t="s">
        <v>468</v>
      </c>
      <c r="E519" s="12" t="s">
        <v>469</v>
      </c>
      <c r="F519" s="37">
        <v>15500</v>
      </c>
      <c r="G519" s="38">
        <f>F519*0.6</f>
        <v>9300</v>
      </c>
      <c r="H519" s="38">
        <f>I519*G519</f>
        <v>9300</v>
      </c>
      <c r="I519" s="16">
        <v>1</v>
      </c>
      <c r="J519" s="17" t="s">
        <v>12</v>
      </c>
      <c r="K519" s="13" t="s">
        <v>15</v>
      </c>
      <c r="L519" s="15">
        <v>9300</v>
      </c>
    </row>
    <row r="520" spans="1:12" ht="21" customHeight="1" outlineLevel="2" x14ac:dyDescent="0.25">
      <c r="A520" s="16">
        <f t="shared" si="7"/>
        <v>519</v>
      </c>
      <c r="B520" s="12" t="str">
        <f>B519</f>
        <v>ЩВ.3 (Блок 2, 3)</v>
      </c>
      <c r="C520" s="13" t="s">
        <v>11</v>
      </c>
      <c r="D520" s="29" t="s">
        <v>82</v>
      </c>
      <c r="E520" s="12" t="s">
        <v>83</v>
      </c>
      <c r="F520" s="37">
        <v>3641</v>
      </c>
      <c r="G520" s="38">
        <f>F520*0.6</f>
        <v>2184.6</v>
      </c>
      <c r="H520" s="38">
        <f>G520*I520</f>
        <v>2184.6</v>
      </c>
      <c r="I520" s="16">
        <v>1</v>
      </c>
      <c r="J520" s="17" t="s">
        <v>12</v>
      </c>
      <c r="K520" s="13" t="s">
        <v>16</v>
      </c>
      <c r="L520" s="15">
        <v>2184.6</v>
      </c>
    </row>
    <row r="521" spans="1:12" ht="21" customHeight="1" outlineLevel="2" x14ac:dyDescent="0.25">
      <c r="A521" s="16">
        <f t="shared" si="7"/>
        <v>520</v>
      </c>
      <c r="B521" s="12" t="str">
        <f>B520</f>
        <v>ЩВ.3 (Блок 2, 3)</v>
      </c>
      <c r="C521" s="13" t="s">
        <v>596</v>
      </c>
      <c r="D521" s="29" t="s">
        <v>45</v>
      </c>
      <c r="E521" s="12" t="s">
        <v>46</v>
      </c>
      <c r="F521" s="37">
        <v>5354</v>
      </c>
      <c r="G521" s="38">
        <f>F521*0.6</f>
        <v>3212.4</v>
      </c>
      <c r="H521" s="38">
        <f>G521*I521</f>
        <v>3212.4</v>
      </c>
      <c r="I521" s="16">
        <v>1</v>
      </c>
      <c r="J521" s="17" t="s">
        <v>12</v>
      </c>
      <c r="K521" s="13" t="s">
        <v>16</v>
      </c>
      <c r="L521" s="15">
        <v>3212.4</v>
      </c>
    </row>
    <row r="522" spans="1:12" ht="21" customHeight="1" outlineLevel="2" x14ac:dyDescent="0.25">
      <c r="A522" s="16">
        <f t="shared" si="7"/>
        <v>521</v>
      </c>
      <c r="B522" s="12" t="str">
        <f>B521</f>
        <v>ЩВ.3 (Блок 2, 3)</v>
      </c>
      <c r="C522" s="13" t="s">
        <v>22</v>
      </c>
      <c r="D522" s="29" t="s">
        <v>126</v>
      </c>
      <c r="E522" s="12" t="s">
        <v>127</v>
      </c>
      <c r="F522" s="37">
        <v>11071</v>
      </c>
      <c r="G522" s="38">
        <f>F522*0.6</f>
        <v>6642.5999999999995</v>
      </c>
      <c r="H522" s="38">
        <f>G522*I522</f>
        <v>19927.8</v>
      </c>
      <c r="I522" s="16">
        <v>3</v>
      </c>
      <c r="J522" s="17" t="s">
        <v>12</v>
      </c>
      <c r="K522" s="13" t="s">
        <v>16</v>
      </c>
      <c r="L522" s="15">
        <v>19927.8</v>
      </c>
    </row>
    <row r="523" spans="1:12" ht="24" customHeight="1" outlineLevel="2" x14ac:dyDescent="0.25">
      <c r="A523" s="12">
        <f t="shared" si="7"/>
        <v>522</v>
      </c>
      <c r="B523" s="12" t="str">
        <f>B522</f>
        <v>ЩВ.3 (Блок 2, 3)</v>
      </c>
      <c r="C523" s="12" t="s">
        <v>9</v>
      </c>
      <c r="D523" s="30" t="s">
        <v>9</v>
      </c>
      <c r="E523" s="12" t="s">
        <v>9</v>
      </c>
      <c r="F523" s="18">
        <f ca="1">OFFSET(F523,1,2)</f>
        <v>6000</v>
      </c>
      <c r="G523" s="38">
        <f ca="1">F523</f>
        <v>6000</v>
      </c>
      <c r="H523" s="38">
        <f ca="1">G523*I523</f>
        <v>6000</v>
      </c>
      <c r="I523" s="12">
        <v>1</v>
      </c>
      <c r="J523" s="12" t="s">
        <v>12</v>
      </c>
      <c r="K523" s="12" t="s">
        <v>9</v>
      </c>
      <c r="L523" s="15">
        <v>6000</v>
      </c>
    </row>
    <row r="524" spans="1:12" ht="21" customHeight="1" outlineLevel="2" x14ac:dyDescent="0.25">
      <c r="A524" s="12">
        <f t="shared" si="7"/>
        <v>523</v>
      </c>
      <c r="B524" s="12" t="str">
        <f>B523</f>
        <v>ЩВ.3 (Блок 2, 3)</v>
      </c>
      <c r="C524" s="12" t="s">
        <v>10</v>
      </c>
      <c r="D524" s="30" t="s">
        <v>10</v>
      </c>
      <c r="E524" s="12" t="s">
        <v>10</v>
      </c>
      <c r="F524" s="18">
        <v>1</v>
      </c>
      <c r="G524" s="38">
        <v>100</v>
      </c>
      <c r="H524" s="38">
        <f>60*F524*G524</f>
        <v>6000</v>
      </c>
      <c r="I524" s="12">
        <f>60*F524</f>
        <v>60</v>
      </c>
      <c r="J524" s="12" t="s">
        <v>12</v>
      </c>
      <c r="K524" s="12" t="s">
        <v>10</v>
      </c>
      <c r="L524" s="15">
        <v>6000</v>
      </c>
    </row>
    <row r="525" spans="1:12" ht="21" customHeight="1" outlineLevel="1" x14ac:dyDescent="0.25">
      <c r="A525" s="12"/>
      <c r="B525" s="12" t="s">
        <v>665</v>
      </c>
      <c r="C525" s="12"/>
      <c r="D525" s="30"/>
      <c r="E525" s="12"/>
      <c r="F525" s="18"/>
      <c r="G525" s="38"/>
      <c r="H525" s="38">
        <f ca="1">SUBTOTAL(9,H518:H524)</f>
        <v>46624.800000000003</v>
      </c>
      <c r="I525" s="12"/>
      <c r="J525" s="12"/>
      <c r="K525" s="12"/>
      <c r="L525" s="15">
        <v>46624.800000000003</v>
      </c>
    </row>
    <row r="526" spans="1:12" ht="39.75" customHeight="1" outlineLevel="2" x14ac:dyDescent="0.25">
      <c r="A526" s="10">
        <f>ROW(A524)</f>
        <v>524</v>
      </c>
      <c r="B526" s="6" t="str">
        <f>E526</f>
        <v>ВРУ-1 (ВРУ-1-13-10УХЛ4) c PLC счетчиком (Блок 4,5)</v>
      </c>
      <c r="C526" s="6"/>
      <c r="D526" s="28"/>
      <c r="E526" s="6" t="s">
        <v>562</v>
      </c>
      <c r="F526" s="36"/>
      <c r="G526" s="36" t="s">
        <v>73</v>
      </c>
      <c r="H526" s="7"/>
      <c r="I526" s="10">
        <v>1</v>
      </c>
      <c r="J526" s="11" t="s">
        <v>6</v>
      </c>
      <c r="K526" s="6" t="s">
        <v>8</v>
      </c>
      <c r="L526" s="9"/>
    </row>
    <row r="527" spans="1:12" ht="21" customHeight="1" outlineLevel="2" x14ac:dyDescent="0.25">
      <c r="A527" s="16">
        <f t="shared" si="7"/>
        <v>526</v>
      </c>
      <c r="B527" s="12" t="str">
        <f>B526</f>
        <v>ВРУ-1 (ВРУ-1-13-10УХЛ4) c PLC счетчиком (Блок 4,5)</v>
      </c>
      <c r="C527" s="13" t="s">
        <v>7</v>
      </c>
      <c r="D527" s="29" t="s">
        <v>60</v>
      </c>
      <c r="E527" s="12" t="s">
        <v>61</v>
      </c>
      <c r="F527" s="37">
        <v>155000</v>
      </c>
      <c r="G527" s="38">
        <f>F527*0.6</f>
        <v>93000</v>
      </c>
      <c r="H527" s="38">
        <f>I527*G527</f>
        <v>93000</v>
      </c>
      <c r="I527" s="16">
        <v>1</v>
      </c>
      <c r="J527" s="17" t="s">
        <v>12</v>
      </c>
      <c r="K527" s="13" t="s">
        <v>15</v>
      </c>
      <c r="L527" s="15">
        <v>93000</v>
      </c>
    </row>
    <row r="528" spans="1:12" ht="21" customHeight="1" outlineLevel="2" x14ac:dyDescent="0.25">
      <c r="A528" s="16">
        <f t="shared" si="7"/>
        <v>527</v>
      </c>
      <c r="B528" s="12" t="str">
        <f>B527</f>
        <v>ВРУ-1 (ВРУ-1-13-10УХЛ4) c PLC счетчиком (Блок 4,5)</v>
      </c>
      <c r="C528" s="13" t="s">
        <v>26</v>
      </c>
      <c r="D528" s="29" t="s">
        <v>62</v>
      </c>
      <c r="E528" s="12" t="s">
        <v>63</v>
      </c>
      <c r="F528" s="37">
        <v>6500</v>
      </c>
      <c r="G528" s="38">
        <f>F528</f>
        <v>6500</v>
      </c>
      <c r="H528" s="38">
        <f>G528*I528</f>
        <v>39000</v>
      </c>
      <c r="I528" s="16">
        <v>6</v>
      </c>
      <c r="J528" s="17" t="s">
        <v>12</v>
      </c>
      <c r="K528" s="13" t="s">
        <v>25</v>
      </c>
      <c r="L528" s="15">
        <v>39000</v>
      </c>
    </row>
    <row r="529" spans="1:12" ht="21" customHeight="1" outlineLevel="2" x14ac:dyDescent="0.25">
      <c r="A529" s="16">
        <f t="shared" si="7"/>
        <v>528</v>
      </c>
      <c r="B529" s="12" t="str">
        <f>B528</f>
        <v>ВРУ-1 (ВРУ-1-13-10УХЛ4) c PLC счетчиком (Блок 4,5)</v>
      </c>
      <c r="C529" s="13" t="s">
        <v>36</v>
      </c>
      <c r="D529" s="29" t="s">
        <v>173</v>
      </c>
      <c r="E529" s="12" t="s">
        <v>174</v>
      </c>
      <c r="F529" s="37">
        <v>48003</v>
      </c>
      <c r="G529" s="38">
        <f>F529</f>
        <v>48003</v>
      </c>
      <c r="H529" s="38">
        <f>G529*I529</f>
        <v>96006</v>
      </c>
      <c r="I529" s="16">
        <v>2</v>
      </c>
      <c r="J529" s="17" t="s">
        <v>12</v>
      </c>
      <c r="K529" s="13" t="s">
        <v>25</v>
      </c>
      <c r="L529" s="15">
        <v>96006</v>
      </c>
    </row>
    <row r="530" spans="1:12" ht="21" customHeight="1" outlineLevel="2" x14ac:dyDescent="0.25">
      <c r="A530" s="16">
        <f t="shared" si="7"/>
        <v>529</v>
      </c>
      <c r="B530" s="12" t="str">
        <f>B529</f>
        <v>ВРУ-1 (ВРУ-1-13-10УХЛ4) c PLC счетчиком (Блок 4,5)</v>
      </c>
      <c r="C530" s="13" t="s">
        <v>37</v>
      </c>
      <c r="D530" s="29" t="s">
        <v>175</v>
      </c>
      <c r="E530" s="12" t="s">
        <v>176</v>
      </c>
      <c r="F530" s="37">
        <v>12956</v>
      </c>
      <c r="G530" s="38">
        <f>F530*0.6</f>
        <v>7773.5999999999995</v>
      </c>
      <c r="H530" s="38">
        <f>G530*I530</f>
        <v>46641.599999999999</v>
      </c>
      <c r="I530" s="16">
        <v>6</v>
      </c>
      <c r="J530" s="17" t="s">
        <v>12</v>
      </c>
      <c r="K530" s="13" t="s">
        <v>16</v>
      </c>
      <c r="L530" s="15">
        <v>46641.599999999999</v>
      </c>
    </row>
    <row r="531" spans="1:12" ht="21" customHeight="1" outlineLevel="2" x14ac:dyDescent="0.25">
      <c r="A531" s="16">
        <f t="shared" si="7"/>
        <v>530</v>
      </c>
      <c r="B531" s="12" t="str">
        <f>B530</f>
        <v>ВРУ-1 (ВРУ-1-13-10УХЛ4) c PLC счетчиком (Блок 4,5)</v>
      </c>
      <c r="C531" s="13" t="s">
        <v>37</v>
      </c>
      <c r="D531" s="29" t="s">
        <v>177</v>
      </c>
      <c r="E531" s="12" t="s">
        <v>178</v>
      </c>
      <c r="F531" s="37">
        <v>11728</v>
      </c>
      <c r="G531" s="38">
        <f>F531*0.6</f>
        <v>7036.8</v>
      </c>
      <c r="H531" s="38">
        <f>G531*I531</f>
        <v>42220.800000000003</v>
      </c>
      <c r="I531" s="16">
        <v>6</v>
      </c>
      <c r="J531" s="17" t="s">
        <v>12</v>
      </c>
      <c r="K531" s="13" t="s">
        <v>16</v>
      </c>
      <c r="L531" s="15">
        <v>42220.800000000003</v>
      </c>
    </row>
    <row r="532" spans="1:12" ht="21" customHeight="1" outlineLevel="2" x14ac:dyDescent="0.25">
      <c r="A532" s="16">
        <f t="shared" si="7"/>
        <v>531</v>
      </c>
      <c r="B532" s="12" t="str">
        <f>B531</f>
        <v>ВРУ-1 (ВРУ-1-13-10УХЛ4) c PLC счетчиком (Блок 4,5)</v>
      </c>
      <c r="C532" s="13" t="s">
        <v>11</v>
      </c>
      <c r="D532" s="29" t="s">
        <v>18</v>
      </c>
      <c r="E532" s="12" t="s">
        <v>19</v>
      </c>
      <c r="F532" s="37">
        <v>975</v>
      </c>
      <c r="G532" s="38">
        <f>F532*0.6</f>
        <v>585</v>
      </c>
      <c r="H532" s="38">
        <f>G532*I532</f>
        <v>1170</v>
      </c>
      <c r="I532" s="16">
        <v>2</v>
      </c>
      <c r="J532" s="17" t="s">
        <v>12</v>
      </c>
      <c r="K532" s="13" t="s">
        <v>16</v>
      </c>
      <c r="L532" s="15">
        <v>1170</v>
      </c>
    </row>
    <row r="533" spans="1:12" ht="22.5" customHeight="1" outlineLevel="2" x14ac:dyDescent="0.25">
      <c r="A533" s="16">
        <f t="shared" si="7"/>
        <v>532</v>
      </c>
      <c r="B533" s="12" t="str">
        <f>B532</f>
        <v>ВРУ-1 (ВРУ-1-13-10УХЛ4) c PLC счетчиком (Блок 4,5)</v>
      </c>
      <c r="C533" s="13" t="s">
        <v>17</v>
      </c>
      <c r="D533" s="29" t="s">
        <v>484</v>
      </c>
      <c r="E533" s="12" t="s">
        <v>485</v>
      </c>
      <c r="F533" s="37">
        <v>90000</v>
      </c>
      <c r="G533" s="38">
        <f>F533</f>
        <v>90000</v>
      </c>
      <c r="H533" s="38">
        <f>G533*I533</f>
        <v>180000</v>
      </c>
      <c r="I533" s="16">
        <v>2</v>
      </c>
      <c r="J533" s="17" t="s">
        <v>12</v>
      </c>
      <c r="K533" s="13" t="s">
        <v>597</v>
      </c>
      <c r="L533" s="15">
        <v>180000</v>
      </c>
    </row>
    <row r="534" spans="1:12" ht="21" customHeight="1" outlineLevel="2" x14ac:dyDescent="0.25">
      <c r="A534" s="16">
        <f t="shared" si="7"/>
        <v>533</v>
      </c>
      <c r="B534" s="12" t="str">
        <f>B533</f>
        <v>ВРУ-1 (ВРУ-1-13-10УХЛ4) c PLC счетчиком (Блок 4,5)</v>
      </c>
      <c r="C534" s="13" t="s">
        <v>38</v>
      </c>
      <c r="D534" s="29"/>
      <c r="E534" s="12" t="s">
        <v>216</v>
      </c>
      <c r="F534" s="37">
        <v>4500</v>
      </c>
      <c r="G534" s="38">
        <f>F534</f>
        <v>4500</v>
      </c>
      <c r="H534" s="38">
        <f>G534*I534</f>
        <v>27000</v>
      </c>
      <c r="I534" s="16">
        <v>6</v>
      </c>
      <c r="J534" s="17" t="s">
        <v>12</v>
      </c>
      <c r="K534" s="13" t="s">
        <v>25</v>
      </c>
      <c r="L534" s="15">
        <v>27000</v>
      </c>
    </row>
    <row r="535" spans="1:12" ht="21" customHeight="1" outlineLevel="2" x14ac:dyDescent="0.25">
      <c r="A535" s="16">
        <f t="shared" si="7"/>
        <v>534</v>
      </c>
      <c r="B535" s="12" t="str">
        <f>B534</f>
        <v>ВРУ-1 (ВРУ-1-13-10УХЛ4) c PLC счетчиком (Блок 4,5)</v>
      </c>
      <c r="C535" s="13" t="s">
        <v>33</v>
      </c>
      <c r="D535" s="29"/>
      <c r="E535" s="12" t="s">
        <v>33</v>
      </c>
      <c r="F535" s="37">
        <v>1000</v>
      </c>
      <c r="G535" s="38">
        <f>F535</f>
        <v>1000</v>
      </c>
      <c r="H535" s="38">
        <f>G535*I535</f>
        <v>1000</v>
      </c>
      <c r="I535" s="16">
        <v>1</v>
      </c>
      <c r="J535" s="17" t="s">
        <v>12</v>
      </c>
      <c r="K535" s="13" t="s">
        <v>25</v>
      </c>
      <c r="L535" s="15">
        <v>1000</v>
      </c>
    </row>
    <row r="536" spans="1:12" ht="24" customHeight="1" outlineLevel="2" x14ac:dyDescent="0.25">
      <c r="A536" s="12">
        <f t="shared" si="7"/>
        <v>535</v>
      </c>
      <c r="B536" s="12" t="str">
        <f>B535</f>
        <v>ВРУ-1 (ВРУ-1-13-10УХЛ4) c PLC счетчиком (Блок 4,5)</v>
      </c>
      <c r="C536" s="12" t="s">
        <v>9</v>
      </c>
      <c r="D536" s="30" t="s">
        <v>9</v>
      </c>
      <c r="E536" s="12" t="s">
        <v>9</v>
      </c>
      <c r="F536" s="18">
        <f ca="1">OFFSET(F536,1,2)</f>
        <v>60000</v>
      </c>
      <c r="G536" s="38">
        <f ca="1">F536</f>
        <v>60000</v>
      </c>
      <c r="H536" s="38">
        <f ca="1">G536*I536</f>
        <v>60000</v>
      </c>
      <c r="I536" s="12">
        <v>1</v>
      </c>
      <c r="J536" s="12" t="s">
        <v>12</v>
      </c>
      <c r="K536" s="12" t="s">
        <v>9</v>
      </c>
      <c r="L536" s="15">
        <v>60000</v>
      </c>
    </row>
    <row r="537" spans="1:12" ht="21" customHeight="1" outlineLevel="2" x14ac:dyDescent="0.25">
      <c r="A537" s="12">
        <f t="shared" si="7"/>
        <v>536</v>
      </c>
      <c r="B537" s="12" t="str">
        <f>B536</f>
        <v>ВРУ-1 (ВРУ-1-13-10УХЛ4) c PLC счетчиком (Блок 4,5)</v>
      </c>
      <c r="C537" s="12" t="s">
        <v>10</v>
      </c>
      <c r="D537" s="30" t="s">
        <v>10</v>
      </c>
      <c r="E537" s="12" t="s">
        <v>10</v>
      </c>
      <c r="F537" s="18">
        <v>10</v>
      </c>
      <c r="G537" s="38">
        <v>100</v>
      </c>
      <c r="H537" s="38">
        <f>60*F537*G537</f>
        <v>60000</v>
      </c>
      <c r="I537" s="12">
        <f>60*F537</f>
        <v>600</v>
      </c>
      <c r="J537" s="12" t="s">
        <v>12</v>
      </c>
      <c r="K537" s="12" t="s">
        <v>10</v>
      </c>
      <c r="L537" s="15">
        <v>60000</v>
      </c>
    </row>
    <row r="538" spans="1:12" ht="21" customHeight="1" outlineLevel="1" x14ac:dyDescent="0.25">
      <c r="A538" s="12"/>
      <c r="B538" s="12" t="s">
        <v>666</v>
      </c>
      <c r="C538" s="12"/>
      <c r="D538" s="30"/>
      <c r="E538" s="12"/>
      <c r="F538" s="18"/>
      <c r="G538" s="38"/>
      <c r="H538" s="38">
        <f ca="1">SUBTOTAL(9,H526:H537)</f>
        <v>646038.39999999991</v>
      </c>
      <c r="I538" s="12"/>
      <c r="J538" s="12"/>
      <c r="K538" s="12"/>
      <c r="L538" s="15">
        <v>646038.39999999991</v>
      </c>
    </row>
    <row r="539" spans="1:12" ht="39.75" customHeight="1" outlineLevel="2" x14ac:dyDescent="0.25">
      <c r="A539" s="10">
        <f>ROW(A537)</f>
        <v>537</v>
      </c>
      <c r="B539" s="6" t="str">
        <f>E539</f>
        <v>ВРУ-2  (ВРУ-1-50-01УХЛ4) (Блок 4, 5)</v>
      </c>
      <c r="C539" s="6"/>
      <c r="D539" s="28"/>
      <c r="E539" s="6" t="s">
        <v>531</v>
      </c>
      <c r="F539" s="36"/>
      <c r="G539" s="36" t="s">
        <v>73</v>
      </c>
      <c r="H539" s="7"/>
      <c r="I539" s="10">
        <v>1</v>
      </c>
      <c r="J539" s="11" t="s">
        <v>6</v>
      </c>
      <c r="K539" s="6" t="s">
        <v>8</v>
      </c>
      <c r="L539" s="9"/>
    </row>
    <row r="540" spans="1:12" ht="21" customHeight="1" outlineLevel="2" x14ac:dyDescent="0.25">
      <c r="A540" s="16">
        <f t="shared" si="7"/>
        <v>539</v>
      </c>
      <c r="B540" s="12" t="str">
        <f>B539</f>
        <v>ВРУ-2  (ВРУ-1-50-01УХЛ4) (Блок 4, 5)</v>
      </c>
      <c r="C540" s="13" t="s">
        <v>7</v>
      </c>
      <c r="D540" s="29" t="s">
        <v>578</v>
      </c>
      <c r="E540" s="12" t="s">
        <v>579</v>
      </c>
      <c r="F540" s="37">
        <v>145000</v>
      </c>
      <c r="G540" s="38">
        <f>F540*0.6</f>
        <v>87000</v>
      </c>
      <c r="H540" s="38">
        <f>I540*G540</f>
        <v>87000</v>
      </c>
      <c r="I540" s="16">
        <v>1</v>
      </c>
      <c r="J540" s="17" t="s">
        <v>12</v>
      </c>
      <c r="K540" s="13" t="s">
        <v>15</v>
      </c>
      <c r="L540" s="15">
        <v>87000</v>
      </c>
    </row>
    <row r="541" spans="1:12" ht="21" customHeight="1" outlineLevel="2" x14ac:dyDescent="0.25">
      <c r="A541" s="16">
        <f t="shared" si="7"/>
        <v>540</v>
      </c>
      <c r="B541" s="12" t="str">
        <f>B540</f>
        <v>ВРУ-2  (ВРУ-1-50-01УХЛ4) (Блок 4, 5)</v>
      </c>
      <c r="C541" s="13" t="s">
        <v>43</v>
      </c>
      <c r="D541" s="29" t="s">
        <v>181</v>
      </c>
      <c r="E541" s="12" t="s">
        <v>182</v>
      </c>
      <c r="F541" s="37">
        <v>34800</v>
      </c>
      <c r="G541" s="38">
        <f>F541*0.6</f>
        <v>20880</v>
      </c>
      <c r="H541" s="38">
        <f>G541*I541</f>
        <v>20880</v>
      </c>
      <c r="I541" s="16">
        <v>1</v>
      </c>
      <c r="J541" s="17" t="s">
        <v>12</v>
      </c>
      <c r="K541" s="13" t="s">
        <v>16</v>
      </c>
      <c r="L541" s="15">
        <v>20880</v>
      </c>
    </row>
    <row r="542" spans="1:12" ht="21" customHeight="1" outlineLevel="2" x14ac:dyDescent="0.25">
      <c r="A542" s="16">
        <f t="shared" si="7"/>
        <v>541</v>
      </c>
      <c r="B542" s="12" t="str">
        <f>B541</f>
        <v>ВРУ-2  (ВРУ-1-50-01УХЛ4) (Блок 4, 5)</v>
      </c>
      <c r="C542" s="13" t="s">
        <v>43</v>
      </c>
      <c r="D542" s="29" t="s">
        <v>39</v>
      </c>
      <c r="E542" s="12" t="s">
        <v>40</v>
      </c>
      <c r="F542" s="37">
        <v>19760</v>
      </c>
      <c r="G542" s="38">
        <f>F542*0.6</f>
        <v>11856</v>
      </c>
      <c r="H542" s="38">
        <f>G542*I542</f>
        <v>11856</v>
      </c>
      <c r="I542" s="16">
        <v>1</v>
      </c>
      <c r="J542" s="17" t="s">
        <v>12</v>
      </c>
      <c r="K542" s="13" t="s">
        <v>16</v>
      </c>
      <c r="L542" s="15">
        <v>11856</v>
      </c>
    </row>
    <row r="543" spans="1:12" ht="21" customHeight="1" outlineLevel="2" x14ac:dyDescent="0.25">
      <c r="A543" s="16">
        <f t="shared" si="7"/>
        <v>542</v>
      </c>
      <c r="B543" s="12" t="str">
        <f>B542</f>
        <v>ВРУ-2  (ВРУ-1-50-01УХЛ4) (Блок 4, 5)</v>
      </c>
      <c r="C543" s="13" t="s">
        <v>43</v>
      </c>
      <c r="D543" s="29" t="s">
        <v>23</v>
      </c>
      <c r="E543" s="12" t="s">
        <v>24</v>
      </c>
      <c r="F543" s="37">
        <v>19443</v>
      </c>
      <c r="G543" s="38">
        <f>F543*0.6</f>
        <v>11665.8</v>
      </c>
      <c r="H543" s="38">
        <f>G543*I543</f>
        <v>11665.8</v>
      </c>
      <c r="I543" s="16">
        <v>1</v>
      </c>
      <c r="J543" s="17" t="s">
        <v>12</v>
      </c>
      <c r="K543" s="13" t="s">
        <v>16</v>
      </c>
      <c r="L543" s="15">
        <v>11665.8</v>
      </c>
    </row>
    <row r="544" spans="1:12" ht="21" customHeight="1" outlineLevel="2" x14ac:dyDescent="0.25">
      <c r="A544" s="16">
        <f t="shared" si="7"/>
        <v>543</v>
      </c>
      <c r="B544" s="12" t="str">
        <f>B543</f>
        <v>ВРУ-2  (ВРУ-1-50-01УХЛ4) (Блок 4, 5)</v>
      </c>
      <c r="C544" s="13" t="s">
        <v>43</v>
      </c>
      <c r="D544" s="29" t="s">
        <v>41</v>
      </c>
      <c r="E544" s="12" t="s">
        <v>42</v>
      </c>
      <c r="F544" s="37">
        <v>19418</v>
      </c>
      <c r="G544" s="38">
        <f>F544*0.6</f>
        <v>11650.8</v>
      </c>
      <c r="H544" s="38">
        <f>G544*I544</f>
        <v>11650.8</v>
      </c>
      <c r="I544" s="16">
        <v>1</v>
      </c>
      <c r="J544" s="17" t="s">
        <v>12</v>
      </c>
      <c r="K544" s="13" t="s">
        <v>16</v>
      </c>
      <c r="L544" s="15">
        <v>11650.8</v>
      </c>
    </row>
    <row r="545" spans="1:12" ht="21" customHeight="1" outlineLevel="2" x14ac:dyDescent="0.25">
      <c r="A545" s="16">
        <f t="shared" si="7"/>
        <v>544</v>
      </c>
      <c r="B545" s="12" t="str">
        <f>B544</f>
        <v>ВРУ-2  (ВРУ-1-50-01УХЛ4) (Блок 4, 5)</v>
      </c>
      <c r="C545" s="13" t="s">
        <v>43</v>
      </c>
      <c r="D545" s="29" t="s">
        <v>31</v>
      </c>
      <c r="E545" s="12" t="s">
        <v>32</v>
      </c>
      <c r="F545" s="37">
        <v>18263</v>
      </c>
      <c r="G545" s="38">
        <f>F545*0.6</f>
        <v>10957.8</v>
      </c>
      <c r="H545" s="38">
        <f>G545*I545</f>
        <v>32873.399999999994</v>
      </c>
      <c r="I545" s="16">
        <v>3</v>
      </c>
      <c r="J545" s="17" t="s">
        <v>12</v>
      </c>
      <c r="K545" s="13" t="s">
        <v>16</v>
      </c>
      <c r="L545" s="15">
        <v>32873.399999999994</v>
      </c>
    </row>
    <row r="546" spans="1:12" ht="21" customHeight="1" outlineLevel="2" x14ac:dyDescent="0.25">
      <c r="A546" s="16">
        <f t="shared" si="7"/>
        <v>545</v>
      </c>
      <c r="B546" s="12" t="str">
        <f>B545</f>
        <v>ВРУ-2  (ВРУ-1-50-01УХЛ4) (Блок 4, 5)</v>
      </c>
      <c r="C546" s="13" t="s">
        <v>43</v>
      </c>
      <c r="D546" s="29" t="s">
        <v>141</v>
      </c>
      <c r="E546" s="12" t="s">
        <v>142</v>
      </c>
      <c r="F546" s="37">
        <v>19295</v>
      </c>
      <c r="G546" s="38">
        <f>F546*0.6</f>
        <v>11577</v>
      </c>
      <c r="H546" s="38">
        <f>G546*I546</f>
        <v>11577</v>
      </c>
      <c r="I546" s="16">
        <v>1</v>
      </c>
      <c r="J546" s="17" t="s">
        <v>12</v>
      </c>
      <c r="K546" s="13" t="s">
        <v>16</v>
      </c>
      <c r="L546" s="15">
        <v>11577</v>
      </c>
    </row>
    <row r="547" spans="1:12" ht="21" customHeight="1" outlineLevel="2" x14ac:dyDescent="0.25">
      <c r="A547" s="16">
        <f t="shared" si="7"/>
        <v>546</v>
      </c>
      <c r="B547" s="12" t="str">
        <f>B546</f>
        <v>ВРУ-2  (ВРУ-1-50-01УХЛ4) (Блок 4, 5)</v>
      </c>
      <c r="C547" s="13" t="s">
        <v>43</v>
      </c>
      <c r="D547" s="29" t="s">
        <v>74</v>
      </c>
      <c r="E547" s="12" t="s">
        <v>75</v>
      </c>
      <c r="F547" s="37">
        <v>20174</v>
      </c>
      <c r="G547" s="38">
        <f>F547*0.6</f>
        <v>12104.4</v>
      </c>
      <c r="H547" s="38">
        <f>G547*I547</f>
        <v>24208.799999999999</v>
      </c>
      <c r="I547" s="16">
        <v>2</v>
      </c>
      <c r="J547" s="17" t="s">
        <v>12</v>
      </c>
      <c r="K547" s="13" t="s">
        <v>16</v>
      </c>
      <c r="L547" s="15">
        <v>24208.799999999999</v>
      </c>
    </row>
    <row r="548" spans="1:12" ht="21" customHeight="1" outlineLevel="2" x14ac:dyDescent="0.25">
      <c r="A548" s="16">
        <f t="shared" si="7"/>
        <v>547</v>
      </c>
      <c r="B548" s="12" t="str">
        <f>B547</f>
        <v>ВРУ-2  (ВРУ-1-50-01УХЛ4) (Блок 4, 5)</v>
      </c>
      <c r="C548" s="13" t="s">
        <v>43</v>
      </c>
      <c r="D548" s="29" t="s">
        <v>179</v>
      </c>
      <c r="E548" s="12" t="s">
        <v>180</v>
      </c>
      <c r="F548" s="37">
        <v>19700</v>
      </c>
      <c r="G548" s="38">
        <f>F548*0.6</f>
        <v>11820</v>
      </c>
      <c r="H548" s="38">
        <f>G548*I548</f>
        <v>23640</v>
      </c>
      <c r="I548" s="16">
        <v>2</v>
      </c>
      <c r="J548" s="17" t="s">
        <v>12</v>
      </c>
      <c r="K548" s="13" t="s">
        <v>16</v>
      </c>
      <c r="L548" s="15">
        <v>23640</v>
      </c>
    </row>
    <row r="549" spans="1:12" ht="21" customHeight="1" outlineLevel="2" x14ac:dyDescent="0.25">
      <c r="A549" s="16">
        <f t="shared" si="7"/>
        <v>548</v>
      </c>
      <c r="B549" s="12" t="str">
        <f>B548</f>
        <v>ВРУ-2  (ВРУ-1-50-01УХЛ4) (Блок 4, 5)</v>
      </c>
      <c r="C549" s="13" t="s">
        <v>33</v>
      </c>
      <c r="D549" s="29"/>
      <c r="E549" s="12" t="s">
        <v>33</v>
      </c>
      <c r="F549" s="37">
        <v>1000</v>
      </c>
      <c r="G549" s="38">
        <f>F549</f>
        <v>1000</v>
      </c>
      <c r="H549" s="38">
        <f>G549*I549</f>
        <v>1000</v>
      </c>
      <c r="I549" s="16">
        <v>1</v>
      </c>
      <c r="J549" s="17" t="s">
        <v>12</v>
      </c>
      <c r="K549" s="13" t="s">
        <v>25</v>
      </c>
      <c r="L549" s="15">
        <v>1000</v>
      </c>
    </row>
    <row r="550" spans="1:12" ht="24" customHeight="1" outlineLevel="2" x14ac:dyDescent="0.25">
      <c r="A550" s="12">
        <f t="shared" si="7"/>
        <v>549</v>
      </c>
      <c r="B550" s="12" t="str">
        <f>B549</f>
        <v>ВРУ-2  (ВРУ-1-50-01УХЛ4) (Блок 4, 5)</v>
      </c>
      <c r="C550" s="12" t="s">
        <v>9</v>
      </c>
      <c r="D550" s="30" t="s">
        <v>9</v>
      </c>
      <c r="E550" s="12" t="s">
        <v>9</v>
      </c>
      <c r="F550" s="18">
        <f ca="1">OFFSET(F550,1,2)</f>
        <v>36000</v>
      </c>
      <c r="G550" s="38">
        <f ca="1">F550</f>
        <v>36000</v>
      </c>
      <c r="H550" s="38">
        <f ca="1">G550*I550</f>
        <v>36000</v>
      </c>
      <c r="I550" s="12">
        <v>1</v>
      </c>
      <c r="J550" s="12" t="s">
        <v>12</v>
      </c>
      <c r="K550" s="12" t="s">
        <v>9</v>
      </c>
      <c r="L550" s="15">
        <v>36000</v>
      </c>
    </row>
    <row r="551" spans="1:12" ht="21" customHeight="1" outlineLevel="2" x14ac:dyDescent="0.25">
      <c r="A551" s="12">
        <f t="shared" si="7"/>
        <v>550</v>
      </c>
      <c r="B551" s="12" t="str">
        <f>B550</f>
        <v>ВРУ-2  (ВРУ-1-50-01УХЛ4) (Блок 4, 5)</v>
      </c>
      <c r="C551" s="12" t="s">
        <v>10</v>
      </c>
      <c r="D551" s="30" t="s">
        <v>10</v>
      </c>
      <c r="E551" s="12" t="s">
        <v>10</v>
      </c>
      <c r="F551" s="18">
        <v>6</v>
      </c>
      <c r="G551" s="38">
        <v>100</v>
      </c>
      <c r="H551" s="38">
        <f>60*F551*G551</f>
        <v>36000</v>
      </c>
      <c r="I551" s="12">
        <f>60*F551</f>
        <v>360</v>
      </c>
      <c r="J551" s="12" t="s">
        <v>12</v>
      </c>
      <c r="K551" s="12" t="s">
        <v>10</v>
      </c>
      <c r="L551" s="15">
        <v>36000</v>
      </c>
    </row>
    <row r="552" spans="1:12" ht="21" customHeight="1" outlineLevel="1" x14ac:dyDescent="0.25">
      <c r="A552" s="12"/>
      <c r="B552" s="12" t="s">
        <v>667</v>
      </c>
      <c r="C552" s="12"/>
      <c r="D552" s="30"/>
      <c r="E552" s="12"/>
      <c r="F552" s="18"/>
      <c r="G552" s="38"/>
      <c r="H552" s="38">
        <f ca="1">SUBTOTAL(9,H539:H551)</f>
        <v>308351.79999999993</v>
      </c>
      <c r="I552" s="12"/>
      <c r="J552" s="12"/>
      <c r="K552" s="12"/>
      <c r="L552" s="15">
        <v>308351.79999999993</v>
      </c>
    </row>
    <row r="553" spans="1:12" ht="39.75" customHeight="1" outlineLevel="2" x14ac:dyDescent="0.25">
      <c r="A553" s="10">
        <f>ROW(A551)</f>
        <v>551</v>
      </c>
      <c r="B553" s="6" t="str">
        <f>E553</f>
        <v>АВР-1 (АВР-3-100-2-У) (Блок 4, 5)</v>
      </c>
      <c r="C553" s="6"/>
      <c r="D553" s="28"/>
      <c r="E553" s="6" t="s">
        <v>488</v>
      </c>
      <c r="F553" s="36"/>
      <c r="G553" s="36" t="s">
        <v>73</v>
      </c>
      <c r="H553" s="7"/>
      <c r="I553" s="10">
        <v>1</v>
      </c>
      <c r="J553" s="11" t="s">
        <v>6</v>
      </c>
      <c r="K553" s="6" t="s">
        <v>8</v>
      </c>
      <c r="L553" s="9"/>
    </row>
    <row r="554" spans="1:12" ht="21" customHeight="1" outlineLevel="2" x14ac:dyDescent="0.25">
      <c r="A554" s="16">
        <f t="shared" si="7"/>
        <v>553</v>
      </c>
      <c r="B554" s="12" t="str">
        <f>B553</f>
        <v>АВР-1 (АВР-3-100-2-У) (Блок 4, 5)</v>
      </c>
      <c r="C554" s="13" t="s">
        <v>7</v>
      </c>
      <c r="D554" s="29" t="s">
        <v>509</v>
      </c>
      <c r="E554" s="12" t="s">
        <v>510</v>
      </c>
      <c r="F554" s="37">
        <v>73730</v>
      </c>
      <c r="G554" s="38">
        <f>F554*0.6</f>
        <v>44238</v>
      </c>
      <c r="H554" s="38">
        <f>I554*G554</f>
        <v>44238</v>
      </c>
      <c r="I554" s="16">
        <v>1</v>
      </c>
      <c r="J554" s="17" t="s">
        <v>12</v>
      </c>
      <c r="K554" s="13" t="s">
        <v>15</v>
      </c>
      <c r="L554" s="15">
        <v>44238</v>
      </c>
    </row>
    <row r="555" spans="1:12" ht="21" customHeight="1" outlineLevel="2" x14ac:dyDescent="0.25">
      <c r="A555" s="16">
        <f t="shared" si="7"/>
        <v>554</v>
      </c>
      <c r="B555" s="12" t="str">
        <f>B554</f>
        <v>АВР-1 (АВР-3-100-2-У) (Блок 4, 5)</v>
      </c>
      <c r="C555" s="13" t="s">
        <v>26</v>
      </c>
      <c r="D555" s="29" t="s">
        <v>183</v>
      </c>
      <c r="E555" s="12" t="s">
        <v>184</v>
      </c>
      <c r="F555" s="37">
        <v>6018</v>
      </c>
      <c r="G555" s="38">
        <f>F555</f>
        <v>6018</v>
      </c>
      <c r="H555" s="38">
        <f>G555*I555</f>
        <v>18054</v>
      </c>
      <c r="I555" s="16">
        <v>3</v>
      </c>
      <c r="J555" s="17" t="s">
        <v>12</v>
      </c>
      <c r="K555" s="13" t="s">
        <v>25</v>
      </c>
      <c r="L555" s="15">
        <v>18054</v>
      </c>
    </row>
    <row r="556" spans="1:12" ht="21" customHeight="1" outlineLevel="2" x14ac:dyDescent="0.25">
      <c r="A556" s="16">
        <f t="shared" si="7"/>
        <v>555</v>
      </c>
      <c r="B556" s="12" t="str">
        <f>B555</f>
        <v>АВР-1 (АВР-3-100-2-У) (Блок 4, 5)</v>
      </c>
      <c r="C556" s="13" t="s">
        <v>86</v>
      </c>
      <c r="D556" s="29" t="s">
        <v>143</v>
      </c>
      <c r="E556" s="12" t="s">
        <v>144</v>
      </c>
      <c r="F556" s="37">
        <v>207389</v>
      </c>
      <c r="G556" s="38">
        <f>F556*0.6</f>
        <v>124433.4</v>
      </c>
      <c r="H556" s="38">
        <f>G556*I556</f>
        <v>124433.4</v>
      </c>
      <c r="I556" s="16">
        <v>1</v>
      </c>
      <c r="J556" s="17" t="s">
        <v>12</v>
      </c>
      <c r="K556" s="13" t="s">
        <v>16</v>
      </c>
      <c r="L556" s="15">
        <v>124433.4</v>
      </c>
    </row>
    <row r="557" spans="1:12" ht="21" customHeight="1" outlineLevel="2" x14ac:dyDescent="0.25">
      <c r="A557" s="16">
        <f t="shared" si="7"/>
        <v>556</v>
      </c>
      <c r="B557" s="12" t="str">
        <f>B556</f>
        <v>АВР-1 (АВР-3-100-2-У) (Блок 4, 5)</v>
      </c>
      <c r="C557" s="13" t="s">
        <v>59</v>
      </c>
      <c r="D557" s="29" t="s">
        <v>57</v>
      </c>
      <c r="E557" s="12" t="s">
        <v>58</v>
      </c>
      <c r="F557" s="37">
        <v>571</v>
      </c>
      <c r="G557" s="38">
        <f>F557*0.6</f>
        <v>342.59999999999997</v>
      </c>
      <c r="H557" s="38">
        <f>G557*I557</f>
        <v>685.19999999999993</v>
      </c>
      <c r="I557" s="16">
        <v>2</v>
      </c>
      <c r="J557" s="17" t="s">
        <v>12</v>
      </c>
      <c r="K557" s="13" t="s">
        <v>16</v>
      </c>
      <c r="L557" s="15">
        <v>685.19999999999993</v>
      </c>
    </row>
    <row r="558" spans="1:12" ht="21" customHeight="1" outlineLevel="2" x14ac:dyDescent="0.25">
      <c r="A558" s="16">
        <f t="shared" si="7"/>
        <v>557</v>
      </c>
      <c r="B558" s="12" t="str">
        <f>B557</f>
        <v>АВР-1 (АВР-3-100-2-У) (Блок 4, 5)</v>
      </c>
      <c r="C558" s="13" t="s">
        <v>59</v>
      </c>
      <c r="D558" s="29" t="s">
        <v>55</v>
      </c>
      <c r="E558" s="12" t="s">
        <v>56</v>
      </c>
      <c r="F558" s="37">
        <v>589</v>
      </c>
      <c r="G558" s="38">
        <f>F558*0.6</f>
        <v>353.4</v>
      </c>
      <c r="H558" s="38">
        <f>G558*I558</f>
        <v>706.8</v>
      </c>
      <c r="I558" s="16">
        <v>2</v>
      </c>
      <c r="J558" s="17" t="s">
        <v>12</v>
      </c>
      <c r="K558" s="13" t="s">
        <v>16</v>
      </c>
      <c r="L558" s="15">
        <v>706.8</v>
      </c>
    </row>
    <row r="559" spans="1:12" ht="22.5" customHeight="1" outlineLevel="2" x14ac:dyDescent="0.25">
      <c r="A559" s="16">
        <f t="shared" si="7"/>
        <v>558</v>
      </c>
      <c r="B559" s="12" t="str">
        <f>B558</f>
        <v>АВР-1 (АВР-3-100-2-У) (Блок 4, 5)</v>
      </c>
      <c r="C559" s="13" t="s">
        <v>17</v>
      </c>
      <c r="D559" s="29" t="s">
        <v>484</v>
      </c>
      <c r="E559" s="12" t="s">
        <v>485</v>
      </c>
      <c r="F559" s="37">
        <v>72400</v>
      </c>
      <c r="G559" s="38">
        <f>F559</f>
        <v>72400</v>
      </c>
      <c r="H559" s="38">
        <f>G559*I559</f>
        <v>144800</v>
      </c>
      <c r="I559" s="16">
        <v>2</v>
      </c>
      <c r="J559" s="17" t="s">
        <v>12</v>
      </c>
      <c r="K559" s="13" t="s">
        <v>597</v>
      </c>
      <c r="L559" s="15">
        <v>144800</v>
      </c>
    </row>
    <row r="560" spans="1:12" ht="21" customHeight="1" outlineLevel="2" x14ac:dyDescent="0.25">
      <c r="A560" s="16">
        <f t="shared" si="7"/>
        <v>559</v>
      </c>
      <c r="B560" s="12" t="str">
        <f>B559</f>
        <v>АВР-1 (АВР-3-100-2-У) (Блок 4, 5)</v>
      </c>
      <c r="C560" s="13" t="s">
        <v>11</v>
      </c>
      <c r="D560" s="29" t="s">
        <v>18</v>
      </c>
      <c r="E560" s="12" t="s">
        <v>19</v>
      </c>
      <c r="F560" s="37">
        <v>975</v>
      </c>
      <c r="G560" s="38">
        <f>F560*0.6</f>
        <v>585</v>
      </c>
      <c r="H560" s="38">
        <f>G560*I560</f>
        <v>1170</v>
      </c>
      <c r="I560" s="16">
        <v>2</v>
      </c>
      <c r="J560" s="17" t="s">
        <v>12</v>
      </c>
      <c r="K560" s="13" t="s">
        <v>16</v>
      </c>
      <c r="L560" s="15">
        <v>1170</v>
      </c>
    </row>
    <row r="561" spans="1:12" ht="24" customHeight="1" outlineLevel="2" x14ac:dyDescent="0.25">
      <c r="A561" s="12">
        <f t="shared" si="7"/>
        <v>560</v>
      </c>
      <c r="B561" s="12" t="str">
        <f>B560</f>
        <v>АВР-1 (АВР-3-100-2-У) (Блок 4, 5)</v>
      </c>
      <c r="C561" s="12" t="s">
        <v>9</v>
      </c>
      <c r="D561" s="30" t="s">
        <v>9</v>
      </c>
      <c r="E561" s="12" t="s">
        <v>9</v>
      </c>
      <c r="F561" s="18">
        <f ca="1">OFFSET(F561,1,2)</f>
        <v>30000</v>
      </c>
      <c r="G561" s="38">
        <f ca="1">F561</f>
        <v>30000</v>
      </c>
      <c r="H561" s="38">
        <f ca="1">G561*I561</f>
        <v>30000</v>
      </c>
      <c r="I561" s="12">
        <v>1</v>
      </c>
      <c r="J561" s="12" t="s">
        <v>12</v>
      </c>
      <c r="K561" s="12" t="s">
        <v>9</v>
      </c>
      <c r="L561" s="15">
        <v>30000</v>
      </c>
    </row>
    <row r="562" spans="1:12" ht="21" customHeight="1" outlineLevel="2" x14ac:dyDescent="0.25">
      <c r="A562" s="12">
        <f t="shared" si="7"/>
        <v>561</v>
      </c>
      <c r="B562" s="12" t="str">
        <f>B561</f>
        <v>АВР-1 (АВР-3-100-2-У) (Блок 4, 5)</v>
      </c>
      <c r="C562" s="12" t="s">
        <v>10</v>
      </c>
      <c r="D562" s="30" t="s">
        <v>10</v>
      </c>
      <c r="E562" s="12" t="s">
        <v>10</v>
      </c>
      <c r="F562" s="18">
        <v>5</v>
      </c>
      <c r="G562" s="38">
        <v>100</v>
      </c>
      <c r="H562" s="38">
        <f>60*F562*G562</f>
        <v>30000</v>
      </c>
      <c r="I562" s="12">
        <f>60*F562</f>
        <v>300</v>
      </c>
      <c r="J562" s="12" t="s">
        <v>12</v>
      </c>
      <c r="K562" s="12" t="s">
        <v>10</v>
      </c>
      <c r="L562" s="15">
        <v>30000</v>
      </c>
    </row>
    <row r="563" spans="1:12" ht="21" customHeight="1" outlineLevel="1" x14ac:dyDescent="0.25">
      <c r="A563" s="12"/>
      <c r="B563" s="12" t="s">
        <v>668</v>
      </c>
      <c r="C563" s="12"/>
      <c r="D563" s="30"/>
      <c r="E563" s="12"/>
      <c r="F563" s="18"/>
      <c r="G563" s="38"/>
      <c r="H563" s="38">
        <f ca="1">SUBTOTAL(9,H553:H562)</f>
        <v>394087.4</v>
      </c>
      <c r="I563" s="12"/>
      <c r="J563" s="12"/>
      <c r="K563" s="12"/>
      <c r="L563" s="15">
        <v>394087.4</v>
      </c>
    </row>
    <row r="564" spans="1:12" ht="39.75" customHeight="1" outlineLevel="2" x14ac:dyDescent="0.25">
      <c r="A564" s="10">
        <f>ROW(A562)</f>
        <v>562</v>
      </c>
      <c r="B564" s="6" t="str">
        <f>E564</f>
        <v>АВР-2 (АВР-3-100-2) (Блок 4, 5)</v>
      </c>
      <c r="C564" s="6"/>
      <c r="D564" s="28"/>
      <c r="E564" s="6" t="s">
        <v>489</v>
      </c>
      <c r="F564" s="36"/>
      <c r="G564" s="36" t="s">
        <v>73</v>
      </c>
      <c r="H564" s="7"/>
      <c r="I564" s="10">
        <v>1</v>
      </c>
      <c r="J564" s="11" t="s">
        <v>6</v>
      </c>
      <c r="K564" s="6" t="s">
        <v>8</v>
      </c>
      <c r="L564" s="9"/>
    </row>
    <row r="565" spans="1:12" ht="21" customHeight="1" outlineLevel="2" x14ac:dyDescent="0.25">
      <c r="A565" s="16">
        <f t="shared" si="7"/>
        <v>564</v>
      </c>
      <c r="B565" s="12" t="str">
        <f>B564</f>
        <v>АВР-2 (АВР-3-100-2) (Блок 4, 5)</v>
      </c>
      <c r="C565" s="13" t="s">
        <v>7</v>
      </c>
      <c r="D565" s="29" t="s">
        <v>505</v>
      </c>
      <c r="E565" s="12" t="s">
        <v>506</v>
      </c>
      <c r="F565" s="37">
        <v>29500</v>
      </c>
      <c r="G565" s="38">
        <f>F565*0.6</f>
        <v>17700</v>
      </c>
      <c r="H565" s="38">
        <f>I565*G565</f>
        <v>17700</v>
      </c>
      <c r="I565" s="16">
        <v>1</v>
      </c>
      <c r="J565" s="17" t="s">
        <v>12</v>
      </c>
      <c r="K565" s="13" t="s">
        <v>15</v>
      </c>
      <c r="L565" s="15">
        <v>17700</v>
      </c>
    </row>
    <row r="566" spans="1:12" ht="21" customHeight="1" outlineLevel="2" x14ac:dyDescent="0.25">
      <c r="A566" s="16">
        <f t="shared" si="7"/>
        <v>565</v>
      </c>
      <c r="B566" s="12" t="str">
        <f>B565</f>
        <v>АВР-2 (АВР-3-100-2) (Блок 4, 5)</v>
      </c>
      <c r="C566" s="13" t="s">
        <v>86</v>
      </c>
      <c r="D566" s="29" t="s">
        <v>143</v>
      </c>
      <c r="E566" s="12" t="s">
        <v>144</v>
      </c>
      <c r="F566" s="37">
        <v>207389</v>
      </c>
      <c r="G566" s="38">
        <f>F566*0.6</f>
        <v>124433.4</v>
      </c>
      <c r="H566" s="38">
        <f>G566*I566</f>
        <v>124433.4</v>
      </c>
      <c r="I566" s="16">
        <v>1</v>
      </c>
      <c r="J566" s="17" t="s">
        <v>12</v>
      </c>
      <c r="K566" s="13" t="s">
        <v>16</v>
      </c>
      <c r="L566" s="15">
        <v>124433.4</v>
      </c>
    </row>
    <row r="567" spans="1:12" ht="21" customHeight="1" outlineLevel="2" x14ac:dyDescent="0.25">
      <c r="A567" s="16">
        <f t="shared" si="7"/>
        <v>566</v>
      </c>
      <c r="B567" s="12" t="str">
        <f>B566</f>
        <v>АВР-2 (АВР-3-100-2) (Блок 4, 5)</v>
      </c>
      <c r="C567" s="13" t="s">
        <v>59</v>
      </c>
      <c r="D567" s="29" t="s">
        <v>57</v>
      </c>
      <c r="E567" s="12" t="s">
        <v>58</v>
      </c>
      <c r="F567" s="37">
        <v>571</v>
      </c>
      <c r="G567" s="38">
        <f>F567*0.6</f>
        <v>342.59999999999997</v>
      </c>
      <c r="H567" s="38">
        <f>G567*I567</f>
        <v>685.19999999999993</v>
      </c>
      <c r="I567" s="16">
        <v>2</v>
      </c>
      <c r="J567" s="17" t="s">
        <v>12</v>
      </c>
      <c r="K567" s="13" t="s">
        <v>16</v>
      </c>
      <c r="L567" s="15">
        <v>685.19999999999993</v>
      </c>
    </row>
    <row r="568" spans="1:12" ht="21" customHeight="1" outlineLevel="2" x14ac:dyDescent="0.25">
      <c r="A568" s="16">
        <f t="shared" si="7"/>
        <v>567</v>
      </c>
      <c r="B568" s="12" t="str">
        <f>B567</f>
        <v>АВР-2 (АВР-3-100-2) (Блок 4, 5)</v>
      </c>
      <c r="C568" s="13" t="s">
        <v>59</v>
      </c>
      <c r="D568" s="29" t="s">
        <v>55</v>
      </c>
      <c r="E568" s="12" t="s">
        <v>56</v>
      </c>
      <c r="F568" s="37">
        <v>589</v>
      </c>
      <c r="G568" s="38">
        <f>F568*0.6</f>
        <v>353.4</v>
      </c>
      <c r="H568" s="38">
        <f>G568*I568</f>
        <v>706.8</v>
      </c>
      <c r="I568" s="16">
        <v>2</v>
      </c>
      <c r="J568" s="17" t="s">
        <v>12</v>
      </c>
      <c r="K568" s="13" t="s">
        <v>16</v>
      </c>
      <c r="L568" s="15">
        <v>706.8</v>
      </c>
    </row>
    <row r="569" spans="1:12" ht="21" customHeight="1" outlineLevel="2" x14ac:dyDescent="0.25">
      <c r="A569" s="16">
        <f t="shared" si="7"/>
        <v>568</v>
      </c>
      <c r="B569" s="12" t="str">
        <f>B568</f>
        <v>АВР-2 (АВР-3-100-2) (Блок 4, 5)</v>
      </c>
      <c r="C569" s="13" t="s">
        <v>11</v>
      </c>
      <c r="D569" s="29" t="s">
        <v>18</v>
      </c>
      <c r="E569" s="12" t="s">
        <v>19</v>
      </c>
      <c r="F569" s="37">
        <v>975</v>
      </c>
      <c r="G569" s="38">
        <f>F569*0.6</f>
        <v>585</v>
      </c>
      <c r="H569" s="38">
        <f>G569*I569</f>
        <v>1170</v>
      </c>
      <c r="I569" s="16">
        <v>2</v>
      </c>
      <c r="J569" s="17" t="s">
        <v>12</v>
      </c>
      <c r="K569" s="13" t="s">
        <v>16</v>
      </c>
      <c r="L569" s="15">
        <v>1170</v>
      </c>
    </row>
    <row r="570" spans="1:12" ht="24" customHeight="1" outlineLevel="2" x14ac:dyDescent="0.25">
      <c r="A570" s="12">
        <f t="shared" si="7"/>
        <v>569</v>
      </c>
      <c r="B570" s="12" t="str">
        <f>B569</f>
        <v>АВР-2 (АВР-3-100-2) (Блок 4, 5)</v>
      </c>
      <c r="C570" s="12" t="s">
        <v>9</v>
      </c>
      <c r="D570" s="30" t="s">
        <v>9</v>
      </c>
      <c r="E570" s="12" t="s">
        <v>9</v>
      </c>
      <c r="F570" s="18">
        <f ca="1">OFFSET(F570,1,2)</f>
        <v>24000</v>
      </c>
      <c r="G570" s="38">
        <f ca="1">F570</f>
        <v>24000</v>
      </c>
      <c r="H570" s="38">
        <f ca="1">G570*I570</f>
        <v>24000</v>
      </c>
      <c r="I570" s="12">
        <v>1</v>
      </c>
      <c r="J570" s="12" t="s">
        <v>12</v>
      </c>
      <c r="K570" s="12" t="s">
        <v>9</v>
      </c>
      <c r="L570" s="15">
        <v>24000</v>
      </c>
    </row>
    <row r="571" spans="1:12" ht="21" customHeight="1" outlineLevel="2" x14ac:dyDescent="0.25">
      <c r="A571" s="12">
        <f t="shared" si="7"/>
        <v>570</v>
      </c>
      <c r="B571" s="12" t="str">
        <f>B570</f>
        <v>АВР-2 (АВР-3-100-2) (Блок 4, 5)</v>
      </c>
      <c r="C571" s="12" t="s">
        <v>10</v>
      </c>
      <c r="D571" s="30" t="s">
        <v>10</v>
      </c>
      <c r="E571" s="12" t="s">
        <v>10</v>
      </c>
      <c r="F571" s="18">
        <v>4</v>
      </c>
      <c r="G571" s="38">
        <v>100</v>
      </c>
      <c r="H571" s="38">
        <f>60*F571*G571</f>
        <v>24000</v>
      </c>
      <c r="I571" s="12">
        <f>60*F571</f>
        <v>240</v>
      </c>
      <c r="J571" s="12" t="s">
        <v>12</v>
      </c>
      <c r="K571" s="12" t="s">
        <v>10</v>
      </c>
      <c r="L571" s="15">
        <v>24000</v>
      </c>
    </row>
    <row r="572" spans="1:12" ht="21" customHeight="1" outlineLevel="1" x14ac:dyDescent="0.25">
      <c r="A572" s="12"/>
      <c r="B572" s="12" t="s">
        <v>669</v>
      </c>
      <c r="C572" s="12"/>
      <c r="D572" s="30"/>
      <c r="E572" s="12"/>
      <c r="F572" s="18"/>
      <c r="G572" s="38"/>
      <c r="H572" s="38">
        <f ca="1">SUBTOTAL(9,H564:H571)</f>
        <v>192695.4</v>
      </c>
      <c r="I572" s="12"/>
      <c r="J572" s="12"/>
      <c r="K572" s="12"/>
      <c r="L572" s="15">
        <v>192695.4</v>
      </c>
    </row>
    <row r="573" spans="1:12" ht="39.75" customHeight="1" outlineLevel="2" x14ac:dyDescent="0.25">
      <c r="A573" s="10">
        <f>ROW(A571)</f>
        <v>571</v>
      </c>
      <c r="B573" s="6" t="str">
        <f>E573</f>
        <v>ВРУ-3 (ВРУ1-41-00УХЛ4) (Блок 4, 5)</v>
      </c>
      <c r="C573" s="6"/>
      <c r="D573" s="28"/>
      <c r="E573" s="6" t="s">
        <v>567</v>
      </c>
      <c r="F573" s="36"/>
      <c r="G573" s="36" t="s">
        <v>73</v>
      </c>
      <c r="H573" s="7"/>
      <c r="I573" s="10">
        <v>1</v>
      </c>
      <c r="J573" s="11" t="s">
        <v>6</v>
      </c>
      <c r="K573" s="6" t="s">
        <v>8</v>
      </c>
      <c r="L573" s="9"/>
    </row>
    <row r="574" spans="1:12" ht="21" customHeight="1" outlineLevel="2" x14ac:dyDescent="0.25">
      <c r="A574" s="16">
        <f t="shared" si="7"/>
        <v>573</v>
      </c>
      <c r="B574" s="12" t="str">
        <f>B573</f>
        <v>ВРУ-3 (ВРУ1-41-00УХЛ4) (Блок 4, 5)</v>
      </c>
      <c r="C574" s="13" t="s">
        <v>7</v>
      </c>
      <c r="D574" s="29" t="s">
        <v>501</v>
      </c>
      <c r="E574" s="12" t="s">
        <v>502</v>
      </c>
      <c r="F574" s="37">
        <v>29525</v>
      </c>
      <c r="G574" s="38">
        <f>F574*0.6</f>
        <v>17715</v>
      </c>
      <c r="H574" s="38">
        <f>I574*G574</f>
        <v>17715</v>
      </c>
      <c r="I574" s="16">
        <v>1</v>
      </c>
      <c r="J574" s="17" t="s">
        <v>12</v>
      </c>
      <c r="K574" s="13" t="s">
        <v>15</v>
      </c>
      <c r="L574" s="15">
        <v>17715</v>
      </c>
    </row>
    <row r="575" spans="1:12" ht="21" customHeight="1" outlineLevel="2" x14ac:dyDescent="0.25">
      <c r="A575" s="16">
        <f t="shared" si="7"/>
        <v>574</v>
      </c>
      <c r="B575" s="12" t="str">
        <f>B574</f>
        <v>ВРУ-3 (ВРУ1-41-00УХЛ4) (Блок 4, 5)</v>
      </c>
      <c r="C575" s="13" t="s">
        <v>11</v>
      </c>
      <c r="D575" s="29" t="s">
        <v>185</v>
      </c>
      <c r="E575" s="12" t="s">
        <v>186</v>
      </c>
      <c r="F575" s="37">
        <v>10949</v>
      </c>
      <c r="G575" s="38">
        <f>F575</f>
        <v>10949</v>
      </c>
      <c r="H575" s="38">
        <f>G575*I575</f>
        <v>10949</v>
      </c>
      <c r="I575" s="16">
        <v>1</v>
      </c>
      <c r="J575" s="17" t="s">
        <v>12</v>
      </c>
      <c r="K575" s="13" t="s">
        <v>25</v>
      </c>
      <c r="L575" s="15">
        <v>10949</v>
      </c>
    </row>
    <row r="576" spans="1:12" ht="21" customHeight="1" outlineLevel="2" x14ac:dyDescent="0.25">
      <c r="A576" s="16">
        <f t="shared" si="7"/>
        <v>575</v>
      </c>
      <c r="B576" s="12" t="str">
        <f>B575</f>
        <v>ВРУ-3 (ВРУ1-41-00УХЛ4) (Блок 4, 5)</v>
      </c>
      <c r="C576" s="13" t="s">
        <v>11</v>
      </c>
      <c r="D576" s="29" t="s">
        <v>28</v>
      </c>
      <c r="E576" s="12" t="s">
        <v>27</v>
      </c>
      <c r="F576" s="37">
        <v>2606</v>
      </c>
      <c r="G576" s="38">
        <f>F576*0.6</f>
        <v>1563.6</v>
      </c>
      <c r="H576" s="38">
        <f>G576*I576</f>
        <v>6254.4</v>
      </c>
      <c r="I576" s="16">
        <v>4</v>
      </c>
      <c r="J576" s="17" t="s">
        <v>12</v>
      </c>
      <c r="K576" s="13" t="s">
        <v>16</v>
      </c>
      <c r="L576" s="15">
        <v>6254.4</v>
      </c>
    </row>
    <row r="577" spans="1:12" ht="21" customHeight="1" outlineLevel="2" x14ac:dyDescent="0.25">
      <c r="A577" s="16">
        <f t="shared" si="7"/>
        <v>576</v>
      </c>
      <c r="B577" s="12" t="str">
        <f>B576</f>
        <v>ВРУ-3 (ВРУ1-41-00УХЛ4) (Блок 4, 5)</v>
      </c>
      <c r="C577" s="13" t="s">
        <v>11</v>
      </c>
      <c r="D577" s="29" t="s">
        <v>65</v>
      </c>
      <c r="E577" s="12" t="s">
        <v>66</v>
      </c>
      <c r="F577" s="37">
        <v>2807</v>
      </c>
      <c r="G577" s="38">
        <f>F577*0.6</f>
        <v>1684.2</v>
      </c>
      <c r="H577" s="38">
        <f>G577*I577</f>
        <v>3368.4</v>
      </c>
      <c r="I577" s="16">
        <v>2</v>
      </c>
      <c r="J577" s="17" t="s">
        <v>12</v>
      </c>
      <c r="K577" s="13" t="s">
        <v>16</v>
      </c>
      <c r="L577" s="15">
        <v>3368.4</v>
      </c>
    </row>
    <row r="578" spans="1:12" ht="24" customHeight="1" outlineLevel="2" x14ac:dyDescent="0.25">
      <c r="A578" s="12">
        <f t="shared" si="7"/>
        <v>577</v>
      </c>
      <c r="B578" s="12" t="str">
        <f>B577</f>
        <v>ВРУ-3 (ВРУ1-41-00УХЛ4) (Блок 4, 5)</v>
      </c>
      <c r="C578" s="12" t="s">
        <v>9</v>
      </c>
      <c r="D578" s="30" t="s">
        <v>9</v>
      </c>
      <c r="E578" s="12" t="s">
        <v>9</v>
      </c>
      <c r="F578" s="18">
        <f ca="1">OFFSET(F578,1,2)</f>
        <v>12000</v>
      </c>
      <c r="G578" s="38">
        <f ca="1">F578</f>
        <v>12000</v>
      </c>
      <c r="H578" s="38">
        <f ca="1">G578*I578</f>
        <v>12000</v>
      </c>
      <c r="I578" s="12">
        <v>1</v>
      </c>
      <c r="J578" s="12" t="s">
        <v>12</v>
      </c>
      <c r="K578" s="12" t="s">
        <v>9</v>
      </c>
      <c r="L578" s="15">
        <v>12000</v>
      </c>
    </row>
    <row r="579" spans="1:12" ht="21" customHeight="1" outlineLevel="2" x14ac:dyDescent="0.25">
      <c r="A579" s="12">
        <f t="shared" si="7"/>
        <v>578</v>
      </c>
      <c r="B579" s="12" t="str">
        <f>B578</f>
        <v>ВРУ-3 (ВРУ1-41-00УХЛ4) (Блок 4, 5)</v>
      </c>
      <c r="C579" s="12" t="s">
        <v>10</v>
      </c>
      <c r="D579" s="30" t="s">
        <v>10</v>
      </c>
      <c r="E579" s="12" t="s">
        <v>10</v>
      </c>
      <c r="F579" s="18">
        <v>2</v>
      </c>
      <c r="G579" s="38">
        <v>100</v>
      </c>
      <c r="H579" s="38">
        <f>60*F579*G579</f>
        <v>12000</v>
      </c>
      <c r="I579" s="12">
        <f>60*F579</f>
        <v>120</v>
      </c>
      <c r="J579" s="12" t="s">
        <v>12</v>
      </c>
      <c r="K579" s="12" t="s">
        <v>10</v>
      </c>
      <c r="L579" s="15">
        <v>12000</v>
      </c>
    </row>
    <row r="580" spans="1:12" ht="21" customHeight="1" outlineLevel="1" x14ac:dyDescent="0.25">
      <c r="A580" s="12"/>
      <c r="B580" s="12" t="s">
        <v>670</v>
      </c>
      <c r="C580" s="12"/>
      <c r="D580" s="30"/>
      <c r="E580" s="12"/>
      <c r="F580" s="18"/>
      <c r="G580" s="38"/>
      <c r="H580" s="38">
        <f ca="1">SUBTOTAL(9,H573:H579)</f>
        <v>62286.8</v>
      </c>
      <c r="I580" s="12"/>
      <c r="J580" s="12"/>
      <c r="K580" s="12"/>
      <c r="L580" s="15">
        <v>62286.8</v>
      </c>
    </row>
    <row r="581" spans="1:12" ht="39.75" customHeight="1" outlineLevel="2" x14ac:dyDescent="0.25">
      <c r="A581" s="10">
        <f>ROW(A579)</f>
        <v>579</v>
      </c>
      <c r="B581" s="6" t="str">
        <f>E581</f>
        <v>ЩО.1 (Блок 4, 5)</v>
      </c>
      <c r="C581" s="6"/>
      <c r="D581" s="28"/>
      <c r="E581" s="6" t="s">
        <v>187</v>
      </c>
      <c r="F581" s="36"/>
      <c r="G581" s="36" t="s">
        <v>73</v>
      </c>
      <c r="H581" s="7"/>
      <c r="I581" s="10">
        <v>1</v>
      </c>
      <c r="J581" s="11" t="s">
        <v>6</v>
      </c>
      <c r="K581" s="6" t="s">
        <v>8</v>
      </c>
      <c r="L581" s="9"/>
    </row>
    <row r="582" spans="1:12" ht="21" customHeight="1" outlineLevel="2" x14ac:dyDescent="0.25">
      <c r="A582" s="16">
        <f t="shared" si="7"/>
        <v>581</v>
      </c>
      <c r="B582" s="12" t="str">
        <f>B581</f>
        <v>ЩО.1 (Блок 4, 5)</v>
      </c>
      <c r="C582" s="13" t="s">
        <v>7</v>
      </c>
      <c r="D582" s="29" t="s">
        <v>492</v>
      </c>
      <c r="E582" s="12" t="s">
        <v>493</v>
      </c>
      <c r="F582" s="37">
        <v>9990</v>
      </c>
      <c r="G582" s="38">
        <f>F582*0.6</f>
        <v>5994</v>
      </c>
      <c r="H582" s="38">
        <f>I582*G582</f>
        <v>5994</v>
      </c>
      <c r="I582" s="16">
        <v>1</v>
      </c>
      <c r="J582" s="17" t="s">
        <v>12</v>
      </c>
      <c r="K582" s="13" t="s">
        <v>581</v>
      </c>
      <c r="L582" s="15">
        <v>5994</v>
      </c>
    </row>
    <row r="583" spans="1:12" ht="21" customHeight="1" outlineLevel="2" x14ac:dyDescent="0.25">
      <c r="A583" s="16">
        <f t="shared" si="7"/>
        <v>582</v>
      </c>
      <c r="B583" s="12" t="str">
        <f>B582</f>
        <v>ЩО.1 (Блок 4, 5)</v>
      </c>
      <c r="C583" s="13" t="s">
        <v>11</v>
      </c>
      <c r="D583" s="29" t="s">
        <v>20</v>
      </c>
      <c r="E583" s="12" t="s">
        <v>21</v>
      </c>
      <c r="F583" s="37">
        <v>2429</v>
      </c>
      <c r="G583" s="38">
        <f>F583*0.6</f>
        <v>1457.3999999999999</v>
      </c>
      <c r="H583" s="38">
        <f>G583*I583</f>
        <v>1457.3999999999999</v>
      </c>
      <c r="I583" s="16">
        <v>1</v>
      </c>
      <c r="J583" s="17" t="s">
        <v>12</v>
      </c>
      <c r="K583" s="13" t="s">
        <v>16</v>
      </c>
      <c r="L583" s="15">
        <v>1457.3999999999999</v>
      </c>
    </row>
    <row r="584" spans="1:12" ht="21" customHeight="1" outlineLevel="2" x14ac:dyDescent="0.25">
      <c r="A584" s="16">
        <f t="shared" si="7"/>
        <v>583</v>
      </c>
      <c r="B584" s="12" t="str">
        <f>B583</f>
        <v>ЩО.1 (Блок 4, 5)</v>
      </c>
      <c r="C584" s="13" t="s">
        <v>11</v>
      </c>
      <c r="D584" s="29" t="s">
        <v>53</v>
      </c>
      <c r="E584" s="12" t="s">
        <v>54</v>
      </c>
      <c r="F584" s="37">
        <v>783</v>
      </c>
      <c r="G584" s="38">
        <f>F584*0.6</f>
        <v>469.79999999999995</v>
      </c>
      <c r="H584" s="38">
        <f>G584*I584</f>
        <v>5637.5999999999995</v>
      </c>
      <c r="I584" s="16">
        <v>12</v>
      </c>
      <c r="J584" s="17" t="s">
        <v>12</v>
      </c>
      <c r="K584" s="13" t="s">
        <v>16</v>
      </c>
      <c r="L584" s="15">
        <v>5637.5999999999995</v>
      </c>
    </row>
    <row r="585" spans="1:12" ht="24" customHeight="1" outlineLevel="2" x14ac:dyDescent="0.25">
      <c r="A585" s="12">
        <f t="shared" si="7"/>
        <v>584</v>
      </c>
      <c r="B585" s="12" t="str">
        <f>B584</f>
        <v>ЩО.1 (Блок 4, 5)</v>
      </c>
      <c r="C585" s="12" t="s">
        <v>9</v>
      </c>
      <c r="D585" s="30" t="s">
        <v>9</v>
      </c>
      <c r="E585" s="12" t="s">
        <v>9</v>
      </c>
      <c r="F585" s="18">
        <f ca="1">OFFSET(F585,1,2)</f>
        <v>4200</v>
      </c>
      <c r="G585" s="38">
        <f ca="1">F585</f>
        <v>4200</v>
      </c>
      <c r="H585" s="38">
        <f ca="1">G585*I585</f>
        <v>4200</v>
      </c>
      <c r="I585" s="12">
        <v>1</v>
      </c>
      <c r="J585" s="12" t="s">
        <v>12</v>
      </c>
      <c r="K585" s="12" t="s">
        <v>9</v>
      </c>
      <c r="L585" s="15">
        <v>4200</v>
      </c>
    </row>
    <row r="586" spans="1:12" ht="21" customHeight="1" outlineLevel="2" x14ac:dyDescent="0.25">
      <c r="A586" s="12">
        <f t="shared" ref="A586:A658" si="8">ROW(A585)</f>
        <v>585</v>
      </c>
      <c r="B586" s="12" t="str">
        <f>B585</f>
        <v>ЩО.1 (Блок 4, 5)</v>
      </c>
      <c r="C586" s="12" t="s">
        <v>10</v>
      </c>
      <c r="D586" s="30" t="s">
        <v>10</v>
      </c>
      <c r="E586" s="12" t="s">
        <v>10</v>
      </c>
      <c r="F586" s="18">
        <v>0.7</v>
      </c>
      <c r="G586" s="38">
        <v>100</v>
      </c>
      <c r="H586" s="38">
        <f>60*F586*G586</f>
        <v>4200</v>
      </c>
      <c r="I586" s="12">
        <f>60*F586</f>
        <v>42</v>
      </c>
      <c r="J586" s="12" t="s">
        <v>12</v>
      </c>
      <c r="K586" s="12" t="s">
        <v>10</v>
      </c>
      <c r="L586" s="15">
        <v>4200</v>
      </c>
    </row>
    <row r="587" spans="1:12" ht="21" customHeight="1" outlineLevel="1" x14ac:dyDescent="0.25">
      <c r="A587" s="12"/>
      <c r="B587" s="12" t="s">
        <v>671</v>
      </c>
      <c r="C587" s="12"/>
      <c r="D587" s="30"/>
      <c r="E587" s="12"/>
      <c r="F587" s="18"/>
      <c r="G587" s="38"/>
      <c r="H587" s="38">
        <f ca="1">SUBTOTAL(9,H581:H586)</f>
        <v>21489</v>
      </c>
      <c r="I587" s="12"/>
      <c r="J587" s="12"/>
      <c r="K587" s="12"/>
      <c r="L587" s="15">
        <v>21489</v>
      </c>
    </row>
    <row r="588" spans="1:12" ht="39.75" customHeight="1" outlineLevel="2" x14ac:dyDescent="0.25">
      <c r="A588" s="10">
        <f>ROW(A586)</f>
        <v>586</v>
      </c>
      <c r="B588" s="6" t="str">
        <f>E588</f>
        <v>ЩО.2 (Блок 4, 5)</v>
      </c>
      <c r="C588" s="6"/>
      <c r="D588" s="28"/>
      <c r="E588" s="6" t="s">
        <v>188</v>
      </c>
      <c r="F588" s="36"/>
      <c r="G588" s="36" t="s">
        <v>73</v>
      </c>
      <c r="H588" s="7"/>
      <c r="I588" s="10">
        <v>1</v>
      </c>
      <c r="J588" s="11" t="s">
        <v>6</v>
      </c>
      <c r="K588" s="6" t="s">
        <v>8</v>
      </c>
      <c r="L588" s="9"/>
    </row>
    <row r="589" spans="1:12" ht="21" customHeight="1" outlineLevel="2" x14ac:dyDescent="0.25">
      <c r="A589" s="16">
        <f t="shared" si="8"/>
        <v>588</v>
      </c>
      <c r="B589" s="12" t="str">
        <f>B588</f>
        <v>ЩО.2 (Блок 4, 5)</v>
      </c>
      <c r="C589" s="13" t="s">
        <v>7</v>
      </c>
      <c r="D589" s="29" t="s">
        <v>588</v>
      </c>
      <c r="E589" s="12" t="s">
        <v>589</v>
      </c>
      <c r="F589" s="37">
        <v>6300</v>
      </c>
      <c r="G589" s="38">
        <f>F589*0.6</f>
        <v>3780</v>
      </c>
      <c r="H589" s="38">
        <f>I589*G589</f>
        <v>3780</v>
      </c>
      <c r="I589" s="16">
        <v>1</v>
      </c>
      <c r="J589" s="17" t="s">
        <v>12</v>
      </c>
      <c r="K589" s="13" t="s">
        <v>581</v>
      </c>
      <c r="L589" s="15">
        <v>3780</v>
      </c>
    </row>
    <row r="590" spans="1:12" ht="21" customHeight="1" outlineLevel="2" x14ac:dyDescent="0.25">
      <c r="A590" s="16">
        <f t="shared" si="8"/>
        <v>589</v>
      </c>
      <c r="B590" s="12" t="str">
        <f>B589</f>
        <v>ЩО.2 (Блок 4, 5)</v>
      </c>
      <c r="C590" s="13" t="s">
        <v>11</v>
      </c>
      <c r="D590" s="29" t="s">
        <v>20</v>
      </c>
      <c r="E590" s="12" t="s">
        <v>21</v>
      </c>
      <c r="F590" s="37">
        <v>2429</v>
      </c>
      <c r="G590" s="38">
        <f>F590*0.6</f>
        <v>1457.3999999999999</v>
      </c>
      <c r="H590" s="38">
        <f>G590*I590</f>
        <v>1457.3999999999999</v>
      </c>
      <c r="I590" s="16">
        <v>1</v>
      </c>
      <c r="J590" s="17" t="s">
        <v>12</v>
      </c>
      <c r="K590" s="13" t="s">
        <v>16</v>
      </c>
      <c r="L590" s="15">
        <v>1457.3999999999999</v>
      </c>
    </row>
    <row r="591" spans="1:12" ht="21" customHeight="1" outlineLevel="2" x14ac:dyDescent="0.25">
      <c r="A591" s="16">
        <f t="shared" si="8"/>
        <v>590</v>
      </c>
      <c r="B591" s="12" t="str">
        <f>B590</f>
        <v>ЩО.2 (Блок 4, 5)</v>
      </c>
      <c r="C591" s="13" t="s">
        <v>11</v>
      </c>
      <c r="D591" s="29" t="s">
        <v>53</v>
      </c>
      <c r="E591" s="12" t="s">
        <v>54</v>
      </c>
      <c r="F591" s="37">
        <v>783</v>
      </c>
      <c r="G591" s="38">
        <f>F591*0.6</f>
        <v>469.79999999999995</v>
      </c>
      <c r="H591" s="38">
        <f>G591*I591</f>
        <v>2818.7999999999997</v>
      </c>
      <c r="I591" s="16">
        <v>6</v>
      </c>
      <c r="J591" s="17" t="s">
        <v>12</v>
      </c>
      <c r="K591" s="13" t="s">
        <v>16</v>
      </c>
      <c r="L591" s="15">
        <v>2818.7999999999997</v>
      </c>
    </row>
    <row r="592" spans="1:12" ht="24" customHeight="1" outlineLevel="2" x14ac:dyDescent="0.25">
      <c r="A592" s="12">
        <f t="shared" si="8"/>
        <v>591</v>
      </c>
      <c r="B592" s="12" t="str">
        <f>B591</f>
        <v>ЩО.2 (Блок 4, 5)</v>
      </c>
      <c r="C592" s="12" t="s">
        <v>9</v>
      </c>
      <c r="D592" s="30" t="s">
        <v>9</v>
      </c>
      <c r="E592" s="12" t="s">
        <v>9</v>
      </c>
      <c r="F592" s="18">
        <f ca="1">OFFSET(F592,1,2)</f>
        <v>4200</v>
      </c>
      <c r="G592" s="38">
        <f ca="1">F592</f>
        <v>4200</v>
      </c>
      <c r="H592" s="38">
        <f ca="1">G592*I592</f>
        <v>4200</v>
      </c>
      <c r="I592" s="12">
        <v>1</v>
      </c>
      <c r="J592" s="12" t="s">
        <v>12</v>
      </c>
      <c r="K592" s="12" t="s">
        <v>9</v>
      </c>
      <c r="L592" s="15">
        <v>4200</v>
      </c>
    </row>
    <row r="593" spans="1:12" ht="21" customHeight="1" outlineLevel="2" x14ac:dyDescent="0.25">
      <c r="A593" s="12">
        <f t="shared" si="8"/>
        <v>592</v>
      </c>
      <c r="B593" s="12" t="str">
        <f>B592</f>
        <v>ЩО.2 (Блок 4, 5)</v>
      </c>
      <c r="C593" s="12" t="s">
        <v>10</v>
      </c>
      <c r="D593" s="30" t="s">
        <v>10</v>
      </c>
      <c r="E593" s="12" t="s">
        <v>10</v>
      </c>
      <c r="F593" s="18">
        <v>0.7</v>
      </c>
      <c r="G593" s="38">
        <v>100</v>
      </c>
      <c r="H593" s="38">
        <f>60*F593*G593</f>
        <v>4200</v>
      </c>
      <c r="I593" s="12">
        <f>60*F593</f>
        <v>42</v>
      </c>
      <c r="J593" s="12" t="s">
        <v>12</v>
      </c>
      <c r="K593" s="12" t="s">
        <v>10</v>
      </c>
      <c r="L593" s="15">
        <v>4200</v>
      </c>
    </row>
    <row r="594" spans="1:12" ht="21" customHeight="1" outlineLevel="1" x14ac:dyDescent="0.25">
      <c r="A594" s="12"/>
      <c r="B594" s="12" t="s">
        <v>672</v>
      </c>
      <c r="C594" s="12"/>
      <c r="D594" s="30"/>
      <c r="E594" s="12"/>
      <c r="F594" s="18"/>
      <c r="G594" s="38"/>
      <c r="H594" s="38">
        <f ca="1">SUBTOTAL(9,H588:H593)</f>
        <v>16456.199999999997</v>
      </c>
      <c r="I594" s="12"/>
      <c r="J594" s="12"/>
      <c r="K594" s="12"/>
      <c r="L594" s="15">
        <v>16456.199999999997</v>
      </c>
    </row>
    <row r="595" spans="1:12" ht="39.75" customHeight="1" outlineLevel="2" x14ac:dyDescent="0.25">
      <c r="A595" s="10">
        <f>ROW(A593)</f>
        <v>593</v>
      </c>
      <c r="B595" s="6" t="str">
        <f>E595</f>
        <v>ЩО.3 (Блок 4, 5)</v>
      </c>
      <c r="C595" s="6"/>
      <c r="D595" s="28"/>
      <c r="E595" s="6" t="s">
        <v>189</v>
      </c>
      <c r="F595" s="36"/>
      <c r="G595" s="36" t="s">
        <v>73</v>
      </c>
      <c r="H595" s="7"/>
      <c r="I595" s="10">
        <v>1</v>
      </c>
      <c r="J595" s="11" t="s">
        <v>6</v>
      </c>
      <c r="K595" s="6" t="s">
        <v>8</v>
      </c>
      <c r="L595" s="9"/>
    </row>
    <row r="596" spans="1:12" ht="21" customHeight="1" outlineLevel="2" x14ac:dyDescent="0.25">
      <c r="A596" s="16">
        <f t="shared" si="8"/>
        <v>595</v>
      </c>
      <c r="B596" s="12" t="str">
        <f>B595</f>
        <v>ЩО.3 (Блок 4, 5)</v>
      </c>
      <c r="C596" s="13" t="s">
        <v>7</v>
      </c>
      <c r="D596" s="29" t="s">
        <v>588</v>
      </c>
      <c r="E596" s="12" t="s">
        <v>589</v>
      </c>
      <c r="F596" s="37">
        <v>6300</v>
      </c>
      <c r="G596" s="38">
        <f>F596*0.6</f>
        <v>3780</v>
      </c>
      <c r="H596" s="38">
        <f>I596*G596</f>
        <v>3780</v>
      </c>
      <c r="I596" s="16">
        <v>1</v>
      </c>
      <c r="J596" s="17" t="s">
        <v>12</v>
      </c>
      <c r="K596" s="13" t="s">
        <v>581</v>
      </c>
      <c r="L596" s="15">
        <v>3780</v>
      </c>
    </row>
    <row r="597" spans="1:12" ht="21" customHeight="1" outlineLevel="2" x14ac:dyDescent="0.25">
      <c r="A597" s="16">
        <f t="shared" si="8"/>
        <v>596</v>
      </c>
      <c r="B597" s="12" t="str">
        <f>B596</f>
        <v>ЩО.3 (Блок 4, 5)</v>
      </c>
      <c r="C597" s="13" t="s">
        <v>11</v>
      </c>
      <c r="D597" s="29" t="s">
        <v>20</v>
      </c>
      <c r="E597" s="12" t="s">
        <v>21</v>
      </c>
      <c r="F597" s="37">
        <v>2429</v>
      </c>
      <c r="G597" s="38">
        <f>F597*0.6</f>
        <v>1457.3999999999999</v>
      </c>
      <c r="H597" s="38">
        <f>G597*I597</f>
        <v>1457.3999999999999</v>
      </c>
      <c r="I597" s="16">
        <v>1</v>
      </c>
      <c r="J597" s="17" t="s">
        <v>12</v>
      </c>
      <c r="K597" s="13" t="s">
        <v>16</v>
      </c>
      <c r="L597" s="15">
        <v>1457.3999999999999</v>
      </c>
    </row>
    <row r="598" spans="1:12" ht="21" customHeight="1" outlineLevel="2" x14ac:dyDescent="0.25">
      <c r="A598" s="16">
        <f t="shared" si="8"/>
        <v>597</v>
      </c>
      <c r="B598" s="12" t="str">
        <f>B597</f>
        <v>ЩО.3 (Блок 4, 5)</v>
      </c>
      <c r="C598" s="13" t="s">
        <v>11</v>
      </c>
      <c r="D598" s="29" t="s">
        <v>53</v>
      </c>
      <c r="E598" s="12" t="s">
        <v>54</v>
      </c>
      <c r="F598" s="37">
        <v>783</v>
      </c>
      <c r="G598" s="38">
        <f>F598*0.6</f>
        <v>469.79999999999995</v>
      </c>
      <c r="H598" s="38">
        <f>G598*I598</f>
        <v>3288.5999999999995</v>
      </c>
      <c r="I598" s="16">
        <v>7</v>
      </c>
      <c r="J598" s="17" t="s">
        <v>12</v>
      </c>
      <c r="K598" s="13" t="s">
        <v>16</v>
      </c>
      <c r="L598" s="15">
        <v>3288.5999999999995</v>
      </c>
    </row>
    <row r="599" spans="1:12" ht="24" customHeight="1" outlineLevel="2" x14ac:dyDescent="0.25">
      <c r="A599" s="12">
        <f t="shared" si="8"/>
        <v>598</v>
      </c>
      <c r="B599" s="12" t="str">
        <f>B598</f>
        <v>ЩО.3 (Блок 4, 5)</v>
      </c>
      <c r="C599" s="12" t="s">
        <v>9</v>
      </c>
      <c r="D599" s="30" t="s">
        <v>9</v>
      </c>
      <c r="E599" s="12" t="s">
        <v>9</v>
      </c>
      <c r="F599" s="18">
        <f ca="1">OFFSET(F599,1,2)</f>
        <v>4200</v>
      </c>
      <c r="G599" s="38">
        <f ca="1">F599</f>
        <v>4200</v>
      </c>
      <c r="H599" s="38">
        <f ca="1">G599*I599</f>
        <v>4200</v>
      </c>
      <c r="I599" s="12">
        <v>1</v>
      </c>
      <c r="J599" s="12" t="s">
        <v>12</v>
      </c>
      <c r="K599" s="12" t="s">
        <v>9</v>
      </c>
      <c r="L599" s="15">
        <v>4200</v>
      </c>
    </row>
    <row r="600" spans="1:12" ht="21" customHeight="1" outlineLevel="2" x14ac:dyDescent="0.25">
      <c r="A600" s="12">
        <f t="shared" si="8"/>
        <v>599</v>
      </c>
      <c r="B600" s="12" t="str">
        <f>B599</f>
        <v>ЩО.3 (Блок 4, 5)</v>
      </c>
      <c r="C600" s="12" t="s">
        <v>10</v>
      </c>
      <c r="D600" s="30" t="s">
        <v>10</v>
      </c>
      <c r="E600" s="12" t="s">
        <v>10</v>
      </c>
      <c r="F600" s="18">
        <v>0.7</v>
      </c>
      <c r="G600" s="38">
        <v>100</v>
      </c>
      <c r="H600" s="38">
        <f>60*F600*G600</f>
        <v>4200</v>
      </c>
      <c r="I600" s="12">
        <f>60*F600</f>
        <v>42</v>
      </c>
      <c r="J600" s="12" t="s">
        <v>12</v>
      </c>
      <c r="K600" s="12" t="s">
        <v>10</v>
      </c>
      <c r="L600" s="15">
        <v>4200</v>
      </c>
    </row>
    <row r="601" spans="1:12" ht="21" customHeight="1" outlineLevel="1" x14ac:dyDescent="0.25">
      <c r="A601" s="12"/>
      <c r="B601" s="12" t="s">
        <v>673</v>
      </c>
      <c r="C601" s="12"/>
      <c r="D601" s="30"/>
      <c r="E601" s="12"/>
      <c r="F601" s="18"/>
      <c r="G601" s="38"/>
      <c r="H601" s="38">
        <f ca="1">SUBTOTAL(9,H595:H600)</f>
        <v>16926</v>
      </c>
      <c r="I601" s="12"/>
      <c r="J601" s="12"/>
      <c r="K601" s="12"/>
      <c r="L601" s="15">
        <v>16926</v>
      </c>
    </row>
    <row r="602" spans="1:12" ht="39.75" customHeight="1" outlineLevel="2" x14ac:dyDescent="0.25">
      <c r="A602" s="10">
        <f>ROW(A600)</f>
        <v>600</v>
      </c>
      <c r="B602" s="6" t="str">
        <f>E602</f>
        <v>ЩО(Г) (Блок 4, 5)</v>
      </c>
      <c r="C602" s="6"/>
      <c r="D602" s="28"/>
      <c r="E602" s="6" t="s">
        <v>190</v>
      </c>
      <c r="F602" s="36"/>
      <c r="G602" s="36" t="s">
        <v>73</v>
      </c>
      <c r="H602" s="7"/>
      <c r="I602" s="10">
        <v>1</v>
      </c>
      <c r="J602" s="11" t="s">
        <v>6</v>
      </c>
      <c r="K602" s="6" t="s">
        <v>8</v>
      </c>
      <c r="L602" s="9"/>
    </row>
    <row r="603" spans="1:12" ht="21" customHeight="1" outlineLevel="2" x14ac:dyDescent="0.25">
      <c r="A603" s="16">
        <f t="shared" si="8"/>
        <v>602</v>
      </c>
      <c r="B603" s="12" t="str">
        <f>B602</f>
        <v>ЩО(Г) (Блок 4, 5)</v>
      </c>
      <c r="C603" s="13" t="s">
        <v>7</v>
      </c>
      <c r="D603" s="29" t="s">
        <v>492</v>
      </c>
      <c r="E603" s="12" t="s">
        <v>493</v>
      </c>
      <c r="F603" s="37">
        <v>9990</v>
      </c>
      <c r="G603" s="38">
        <f>F603*0.6</f>
        <v>5994</v>
      </c>
      <c r="H603" s="38">
        <f>I603*G603</f>
        <v>5994</v>
      </c>
      <c r="I603" s="16">
        <v>1</v>
      </c>
      <c r="J603" s="17" t="s">
        <v>12</v>
      </c>
      <c r="K603" s="13" t="s">
        <v>581</v>
      </c>
      <c r="L603" s="15">
        <v>5994</v>
      </c>
    </row>
    <row r="604" spans="1:12" ht="21" customHeight="1" outlineLevel="2" x14ac:dyDescent="0.25">
      <c r="A604" s="16">
        <f t="shared" si="8"/>
        <v>603</v>
      </c>
      <c r="B604" s="12" t="str">
        <f>B603</f>
        <v>ЩО(Г) (Блок 4, 5)</v>
      </c>
      <c r="C604" s="13" t="s">
        <v>11</v>
      </c>
      <c r="D604" s="29" t="s">
        <v>20</v>
      </c>
      <c r="E604" s="12" t="s">
        <v>21</v>
      </c>
      <c r="F604" s="37">
        <v>2429</v>
      </c>
      <c r="G604" s="38">
        <f>F604*0.6</f>
        <v>1457.3999999999999</v>
      </c>
      <c r="H604" s="38">
        <f>G604*I604</f>
        <v>1457.3999999999999</v>
      </c>
      <c r="I604" s="16">
        <v>1</v>
      </c>
      <c r="J604" s="17" t="s">
        <v>12</v>
      </c>
      <c r="K604" s="13" t="s">
        <v>16</v>
      </c>
      <c r="L604" s="15">
        <v>1457.3999999999999</v>
      </c>
    </row>
    <row r="605" spans="1:12" ht="21" customHeight="1" outlineLevel="2" x14ac:dyDescent="0.25">
      <c r="A605" s="16">
        <f t="shared" si="8"/>
        <v>604</v>
      </c>
      <c r="B605" s="12" t="str">
        <f>B604</f>
        <v>ЩО(Г) (Блок 4, 5)</v>
      </c>
      <c r="C605" s="13" t="s">
        <v>11</v>
      </c>
      <c r="D605" s="29" t="s">
        <v>53</v>
      </c>
      <c r="E605" s="12" t="s">
        <v>54</v>
      </c>
      <c r="F605" s="37">
        <v>783</v>
      </c>
      <c r="G605" s="38">
        <f>F605*0.6</f>
        <v>469.79999999999995</v>
      </c>
      <c r="H605" s="38">
        <f>G605*I605</f>
        <v>5167.7999999999993</v>
      </c>
      <c r="I605" s="16">
        <v>11</v>
      </c>
      <c r="J605" s="17" t="s">
        <v>12</v>
      </c>
      <c r="K605" s="13" t="s">
        <v>16</v>
      </c>
      <c r="L605" s="15">
        <v>5167.7999999999993</v>
      </c>
    </row>
    <row r="606" spans="1:12" ht="24" customHeight="1" outlineLevel="2" x14ac:dyDescent="0.25">
      <c r="A606" s="12">
        <f t="shared" si="8"/>
        <v>605</v>
      </c>
      <c r="B606" s="12" t="str">
        <f>B605</f>
        <v>ЩО(Г) (Блок 4, 5)</v>
      </c>
      <c r="C606" s="12" t="s">
        <v>9</v>
      </c>
      <c r="D606" s="30" t="s">
        <v>9</v>
      </c>
      <c r="E606" s="12" t="s">
        <v>9</v>
      </c>
      <c r="F606" s="18">
        <f ca="1">OFFSET(F606,1,2)</f>
        <v>4200</v>
      </c>
      <c r="G606" s="38">
        <f ca="1">F606</f>
        <v>4200</v>
      </c>
      <c r="H606" s="38">
        <f ca="1">G606*I606</f>
        <v>4200</v>
      </c>
      <c r="I606" s="12">
        <v>1</v>
      </c>
      <c r="J606" s="12" t="s">
        <v>12</v>
      </c>
      <c r="K606" s="12" t="s">
        <v>9</v>
      </c>
      <c r="L606" s="15">
        <v>4200</v>
      </c>
    </row>
    <row r="607" spans="1:12" ht="21" customHeight="1" outlineLevel="2" x14ac:dyDescent="0.25">
      <c r="A607" s="12">
        <f t="shared" si="8"/>
        <v>606</v>
      </c>
      <c r="B607" s="12" t="str">
        <f>B606</f>
        <v>ЩО(Г) (Блок 4, 5)</v>
      </c>
      <c r="C607" s="12" t="s">
        <v>10</v>
      </c>
      <c r="D607" s="30" t="s">
        <v>10</v>
      </c>
      <c r="E607" s="12" t="s">
        <v>10</v>
      </c>
      <c r="F607" s="18">
        <v>0.7</v>
      </c>
      <c r="G607" s="38">
        <v>100</v>
      </c>
      <c r="H607" s="38">
        <f>60*F607*G607</f>
        <v>4200</v>
      </c>
      <c r="I607" s="12">
        <f>60*F607</f>
        <v>42</v>
      </c>
      <c r="J607" s="12" t="s">
        <v>12</v>
      </c>
      <c r="K607" s="12" t="s">
        <v>10</v>
      </c>
      <c r="L607" s="15">
        <v>4200</v>
      </c>
    </row>
    <row r="608" spans="1:12" ht="21" customHeight="1" outlineLevel="1" x14ac:dyDescent="0.25">
      <c r="A608" s="12"/>
      <c r="B608" s="12" t="s">
        <v>674</v>
      </c>
      <c r="C608" s="12"/>
      <c r="D608" s="30"/>
      <c r="E608" s="12"/>
      <c r="F608" s="18"/>
      <c r="G608" s="38"/>
      <c r="H608" s="38">
        <f ca="1">SUBTOTAL(9,H602:H607)</f>
        <v>21019.199999999997</v>
      </c>
      <c r="I608" s="12"/>
      <c r="J608" s="12"/>
      <c r="K608" s="12"/>
      <c r="L608" s="15">
        <v>21019.199999999997</v>
      </c>
    </row>
    <row r="609" spans="1:12" ht="39.75" customHeight="1" outlineLevel="2" x14ac:dyDescent="0.25">
      <c r="A609" s="10">
        <f>ROW(A607)</f>
        <v>607</v>
      </c>
      <c r="B609" s="6" t="str">
        <f>E609</f>
        <v>ЩАО1 (Блок 4, 5)</v>
      </c>
      <c r="C609" s="6"/>
      <c r="D609" s="28"/>
      <c r="E609" s="6" t="s">
        <v>191</v>
      </c>
      <c r="F609" s="36"/>
      <c r="G609" s="36" t="s">
        <v>73</v>
      </c>
      <c r="H609" s="7"/>
      <c r="I609" s="10">
        <v>1</v>
      </c>
      <c r="J609" s="11" t="s">
        <v>6</v>
      </c>
      <c r="K609" s="6" t="s">
        <v>8</v>
      </c>
      <c r="L609" s="9"/>
    </row>
    <row r="610" spans="1:12" ht="21" customHeight="1" outlineLevel="2" x14ac:dyDescent="0.25">
      <c r="A610" s="16">
        <f t="shared" si="8"/>
        <v>609</v>
      </c>
      <c r="B610" s="12" t="str">
        <f>B609</f>
        <v>ЩАО1 (Блок 4, 5)</v>
      </c>
      <c r="C610" s="13" t="s">
        <v>7</v>
      </c>
      <c r="D610" s="29" t="s">
        <v>588</v>
      </c>
      <c r="E610" s="12" t="s">
        <v>589</v>
      </c>
      <c r="F610" s="37">
        <v>6300</v>
      </c>
      <c r="G610" s="38">
        <f>F610*0.6</f>
        <v>3780</v>
      </c>
      <c r="H610" s="38">
        <f>I610*G610</f>
        <v>3780</v>
      </c>
      <c r="I610" s="16">
        <v>1</v>
      </c>
      <c r="J610" s="17" t="s">
        <v>12</v>
      </c>
      <c r="K610" s="13" t="s">
        <v>581</v>
      </c>
      <c r="L610" s="15">
        <v>3780</v>
      </c>
    </row>
    <row r="611" spans="1:12" ht="21" customHeight="1" outlineLevel="2" x14ac:dyDescent="0.25">
      <c r="A611" s="16">
        <f t="shared" si="8"/>
        <v>610</v>
      </c>
      <c r="B611" s="12" t="str">
        <f>B610</f>
        <v>ЩАО1 (Блок 4, 5)</v>
      </c>
      <c r="C611" s="13" t="s">
        <v>11</v>
      </c>
      <c r="D611" s="29" t="s">
        <v>20</v>
      </c>
      <c r="E611" s="12" t="s">
        <v>21</v>
      </c>
      <c r="F611" s="37">
        <v>2429</v>
      </c>
      <c r="G611" s="38">
        <f>F611*0.6</f>
        <v>1457.3999999999999</v>
      </c>
      <c r="H611" s="38">
        <f>G611*I611</f>
        <v>1457.3999999999999</v>
      </c>
      <c r="I611" s="16">
        <v>1</v>
      </c>
      <c r="J611" s="17" t="s">
        <v>12</v>
      </c>
      <c r="K611" s="13" t="s">
        <v>16</v>
      </c>
      <c r="L611" s="15">
        <v>1457.3999999999999</v>
      </c>
    </row>
    <row r="612" spans="1:12" ht="21" customHeight="1" outlineLevel="2" x14ac:dyDescent="0.25">
      <c r="A612" s="16">
        <f t="shared" si="8"/>
        <v>611</v>
      </c>
      <c r="B612" s="12" t="str">
        <f>B611</f>
        <v>ЩАО1 (Блок 4, 5)</v>
      </c>
      <c r="C612" s="13" t="s">
        <v>11</v>
      </c>
      <c r="D612" s="29" t="s">
        <v>53</v>
      </c>
      <c r="E612" s="12" t="s">
        <v>54</v>
      </c>
      <c r="F612" s="37">
        <v>783</v>
      </c>
      <c r="G612" s="38">
        <f>F612*0.6</f>
        <v>469.79999999999995</v>
      </c>
      <c r="H612" s="38">
        <f>G612*I612</f>
        <v>3758.3999999999996</v>
      </c>
      <c r="I612" s="16">
        <v>8</v>
      </c>
      <c r="J612" s="17" t="s">
        <v>12</v>
      </c>
      <c r="K612" s="13" t="s">
        <v>16</v>
      </c>
      <c r="L612" s="15">
        <v>3758.3999999999996</v>
      </c>
    </row>
    <row r="613" spans="1:12" ht="24" customHeight="1" outlineLevel="2" x14ac:dyDescent="0.25">
      <c r="A613" s="12">
        <f t="shared" si="8"/>
        <v>612</v>
      </c>
      <c r="B613" s="12" t="str">
        <f>B612</f>
        <v>ЩАО1 (Блок 4, 5)</v>
      </c>
      <c r="C613" s="12" t="s">
        <v>9</v>
      </c>
      <c r="D613" s="30" t="s">
        <v>9</v>
      </c>
      <c r="E613" s="12" t="s">
        <v>9</v>
      </c>
      <c r="F613" s="18">
        <f ca="1">OFFSET(F613,1,2)</f>
        <v>4200</v>
      </c>
      <c r="G613" s="38">
        <f ca="1">F613</f>
        <v>4200</v>
      </c>
      <c r="H613" s="38">
        <f ca="1">G613*I613</f>
        <v>4200</v>
      </c>
      <c r="I613" s="12">
        <v>1</v>
      </c>
      <c r="J613" s="12" t="s">
        <v>12</v>
      </c>
      <c r="K613" s="12" t="s">
        <v>9</v>
      </c>
      <c r="L613" s="15">
        <v>4200</v>
      </c>
    </row>
    <row r="614" spans="1:12" ht="21" customHeight="1" outlineLevel="2" x14ac:dyDescent="0.25">
      <c r="A614" s="12">
        <f t="shared" si="8"/>
        <v>613</v>
      </c>
      <c r="B614" s="12" t="str">
        <f>B613</f>
        <v>ЩАО1 (Блок 4, 5)</v>
      </c>
      <c r="C614" s="12" t="s">
        <v>10</v>
      </c>
      <c r="D614" s="30" t="s">
        <v>10</v>
      </c>
      <c r="E614" s="12" t="s">
        <v>10</v>
      </c>
      <c r="F614" s="18">
        <v>0.7</v>
      </c>
      <c r="G614" s="38">
        <v>100</v>
      </c>
      <c r="H614" s="38">
        <f>60*F614*G614</f>
        <v>4200</v>
      </c>
      <c r="I614" s="12">
        <f>60*F614</f>
        <v>42</v>
      </c>
      <c r="J614" s="12" t="s">
        <v>12</v>
      </c>
      <c r="K614" s="12" t="s">
        <v>10</v>
      </c>
      <c r="L614" s="15">
        <v>4200</v>
      </c>
    </row>
    <row r="615" spans="1:12" ht="21" customHeight="1" outlineLevel="1" x14ac:dyDescent="0.25">
      <c r="A615" s="12"/>
      <c r="B615" s="12" t="s">
        <v>675</v>
      </c>
      <c r="C615" s="12"/>
      <c r="D615" s="30"/>
      <c r="E615" s="12"/>
      <c r="F615" s="18"/>
      <c r="G615" s="38"/>
      <c r="H615" s="38">
        <f ca="1">SUBTOTAL(9,H609:H614)</f>
        <v>17395.8</v>
      </c>
      <c r="I615" s="12"/>
      <c r="J615" s="12"/>
      <c r="K615" s="12"/>
      <c r="L615" s="15">
        <v>17395.8</v>
      </c>
    </row>
    <row r="616" spans="1:12" ht="39.75" customHeight="1" outlineLevel="2" x14ac:dyDescent="0.25">
      <c r="A616" s="10">
        <f>ROW(A614)</f>
        <v>614</v>
      </c>
      <c r="B616" s="6" t="str">
        <f>E616</f>
        <v>ЩАО2 (Блок 4, 5)</v>
      </c>
      <c r="C616" s="6"/>
      <c r="D616" s="28"/>
      <c r="E616" s="6" t="s">
        <v>192</v>
      </c>
      <c r="F616" s="36"/>
      <c r="G616" s="36" t="s">
        <v>73</v>
      </c>
      <c r="H616" s="7"/>
      <c r="I616" s="10">
        <v>1</v>
      </c>
      <c r="J616" s="11" t="s">
        <v>6</v>
      </c>
      <c r="K616" s="6" t="s">
        <v>8</v>
      </c>
      <c r="L616" s="9"/>
    </row>
    <row r="617" spans="1:12" ht="21" customHeight="1" outlineLevel="2" x14ac:dyDescent="0.25">
      <c r="A617" s="16">
        <f t="shared" si="8"/>
        <v>616</v>
      </c>
      <c r="B617" s="12" t="str">
        <f>B616</f>
        <v>ЩАО2 (Блок 4, 5)</v>
      </c>
      <c r="C617" s="13" t="s">
        <v>7</v>
      </c>
      <c r="D617" s="29" t="s">
        <v>588</v>
      </c>
      <c r="E617" s="12" t="s">
        <v>589</v>
      </c>
      <c r="F617" s="37">
        <v>6300</v>
      </c>
      <c r="G617" s="38">
        <f>F617*0.6</f>
        <v>3780</v>
      </c>
      <c r="H617" s="38">
        <f>I617*G617</f>
        <v>3780</v>
      </c>
      <c r="I617" s="16">
        <v>1</v>
      </c>
      <c r="J617" s="17" t="s">
        <v>12</v>
      </c>
      <c r="K617" s="13" t="s">
        <v>581</v>
      </c>
      <c r="L617" s="15">
        <v>3780</v>
      </c>
    </row>
    <row r="618" spans="1:12" ht="21" customHeight="1" outlineLevel="2" x14ac:dyDescent="0.25">
      <c r="A618" s="16">
        <f t="shared" si="8"/>
        <v>617</v>
      </c>
      <c r="B618" s="12" t="str">
        <f>B617</f>
        <v>ЩАО2 (Блок 4, 5)</v>
      </c>
      <c r="C618" s="13" t="s">
        <v>11</v>
      </c>
      <c r="D618" s="29" t="s">
        <v>20</v>
      </c>
      <c r="E618" s="12" t="s">
        <v>21</v>
      </c>
      <c r="F618" s="37">
        <v>2429</v>
      </c>
      <c r="G618" s="38">
        <f>F618*0.6</f>
        <v>1457.3999999999999</v>
      </c>
      <c r="H618" s="38">
        <f>G618*I618</f>
        <v>1457.3999999999999</v>
      </c>
      <c r="I618" s="16">
        <v>1</v>
      </c>
      <c r="J618" s="17" t="s">
        <v>12</v>
      </c>
      <c r="K618" s="13" t="s">
        <v>16</v>
      </c>
      <c r="L618" s="15">
        <v>1457.3999999999999</v>
      </c>
    </row>
    <row r="619" spans="1:12" ht="21" customHeight="1" outlineLevel="2" x14ac:dyDescent="0.25">
      <c r="A619" s="16">
        <f t="shared" si="8"/>
        <v>618</v>
      </c>
      <c r="B619" s="12" t="str">
        <f>B618</f>
        <v>ЩАО2 (Блок 4, 5)</v>
      </c>
      <c r="C619" s="13" t="s">
        <v>11</v>
      </c>
      <c r="D619" s="29" t="s">
        <v>53</v>
      </c>
      <c r="E619" s="12" t="s">
        <v>54</v>
      </c>
      <c r="F619" s="37">
        <v>783</v>
      </c>
      <c r="G619" s="38">
        <f>F619*0.6</f>
        <v>469.79999999999995</v>
      </c>
      <c r="H619" s="38">
        <f>G619*I619</f>
        <v>3758.3999999999996</v>
      </c>
      <c r="I619" s="16">
        <v>8</v>
      </c>
      <c r="J619" s="17" t="s">
        <v>12</v>
      </c>
      <c r="K619" s="13" t="s">
        <v>16</v>
      </c>
      <c r="L619" s="15">
        <v>3758.3999999999996</v>
      </c>
    </row>
    <row r="620" spans="1:12" ht="24" customHeight="1" outlineLevel="2" x14ac:dyDescent="0.25">
      <c r="A620" s="12">
        <f t="shared" si="8"/>
        <v>619</v>
      </c>
      <c r="B620" s="12" t="str">
        <f>B619</f>
        <v>ЩАО2 (Блок 4, 5)</v>
      </c>
      <c r="C620" s="12" t="s">
        <v>9</v>
      </c>
      <c r="D620" s="30" t="s">
        <v>9</v>
      </c>
      <c r="E620" s="12" t="s">
        <v>9</v>
      </c>
      <c r="F620" s="18">
        <f ca="1">OFFSET(F620,1,2)</f>
        <v>4200</v>
      </c>
      <c r="G620" s="38">
        <f ca="1">F620</f>
        <v>4200</v>
      </c>
      <c r="H620" s="38">
        <f ca="1">G620*I620</f>
        <v>4200</v>
      </c>
      <c r="I620" s="12">
        <v>1</v>
      </c>
      <c r="J620" s="12" t="s">
        <v>12</v>
      </c>
      <c r="K620" s="12" t="s">
        <v>9</v>
      </c>
      <c r="L620" s="15">
        <v>4200</v>
      </c>
    </row>
    <row r="621" spans="1:12" ht="21" customHeight="1" outlineLevel="2" x14ac:dyDescent="0.25">
      <c r="A621" s="12">
        <f t="shared" si="8"/>
        <v>620</v>
      </c>
      <c r="B621" s="12" t="str">
        <f>B620</f>
        <v>ЩАО2 (Блок 4, 5)</v>
      </c>
      <c r="C621" s="12" t="s">
        <v>10</v>
      </c>
      <c r="D621" s="30" t="s">
        <v>10</v>
      </c>
      <c r="E621" s="12" t="s">
        <v>10</v>
      </c>
      <c r="F621" s="18">
        <v>0.7</v>
      </c>
      <c r="G621" s="38">
        <v>100</v>
      </c>
      <c r="H621" s="38">
        <f>60*F621*G621</f>
        <v>4200</v>
      </c>
      <c r="I621" s="12">
        <f>60*F621</f>
        <v>42</v>
      </c>
      <c r="J621" s="12" t="s">
        <v>12</v>
      </c>
      <c r="K621" s="12" t="s">
        <v>10</v>
      </c>
      <c r="L621" s="15">
        <v>4200</v>
      </c>
    </row>
    <row r="622" spans="1:12" ht="21" customHeight="1" outlineLevel="1" x14ac:dyDescent="0.25">
      <c r="A622" s="12"/>
      <c r="B622" s="12" t="s">
        <v>676</v>
      </c>
      <c r="C622" s="12"/>
      <c r="D622" s="30"/>
      <c r="E622" s="12"/>
      <c r="F622" s="18"/>
      <c r="G622" s="38"/>
      <c r="H622" s="38">
        <f ca="1">SUBTOTAL(9,H616:H621)</f>
        <v>17395.8</v>
      </c>
      <c r="I622" s="12"/>
      <c r="J622" s="12"/>
      <c r="K622" s="12"/>
      <c r="L622" s="15">
        <v>17395.8</v>
      </c>
    </row>
    <row r="623" spans="1:12" ht="39.75" customHeight="1" outlineLevel="2" x14ac:dyDescent="0.25">
      <c r="A623" s="10">
        <f>ROW(A621)</f>
        <v>621</v>
      </c>
      <c r="B623" s="6" t="str">
        <f>E623</f>
        <v>ЩАО3 (Блок 4, 5)</v>
      </c>
      <c r="C623" s="6"/>
      <c r="D623" s="28"/>
      <c r="E623" s="6" t="s">
        <v>193</v>
      </c>
      <c r="F623" s="36"/>
      <c r="G623" s="36" t="s">
        <v>73</v>
      </c>
      <c r="H623" s="7"/>
      <c r="I623" s="10">
        <v>1</v>
      </c>
      <c r="J623" s="11" t="s">
        <v>6</v>
      </c>
      <c r="K623" s="6" t="s">
        <v>8</v>
      </c>
      <c r="L623" s="9"/>
    </row>
    <row r="624" spans="1:12" ht="21" customHeight="1" outlineLevel="2" x14ac:dyDescent="0.25">
      <c r="A624" s="16">
        <f t="shared" si="8"/>
        <v>623</v>
      </c>
      <c r="B624" s="12" t="str">
        <f>B623</f>
        <v>ЩАО3 (Блок 4, 5)</v>
      </c>
      <c r="C624" s="13" t="s">
        <v>7</v>
      </c>
      <c r="D624" s="29" t="s">
        <v>588</v>
      </c>
      <c r="E624" s="12" t="s">
        <v>589</v>
      </c>
      <c r="F624" s="37">
        <v>6300</v>
      </c>
      <c r="G624" s="38">
        <f>F624*0.6</f>
        <v>3780</v>
      </c>
      <c r="H624" s="38">
        <f>I624*G624</f>
        <v>3780</v>
      </c>
      <c r="I624" s="16">
        <v>1</v>
      </c>
      <c r="J624" s="17" t="s">
        <v>12</v>
      </c>
      <c r="K624" s="13" t="s">
        <v>581</v>
      </c>
      <c r="L624" s="15">
        <v>3780</v>
      </c>
    </row>
    <row r="625" spans="1:12" ht="21" customHeight="1" outlineLevel="2" x14ac:dyDescent="0.25">
      <c r="A625" s="16">
        <f t="shared" si="8"/>
        <v>624</v>
      </c>
      <c r="B625" s="12" t="str">
        <f>B624</f>
        <v>ЩАО3 (Блок 4, 5)</v>
      </c>
      <c r="C625" s="13" t="s">
        <v>11</v>
      </c>
      <c r="D625" s="29" t="s">
        <v>20</v>
      </c>
      <c r="E625" s="12" t="s">
        <v>21</v>
      </c>
      <c r="F625" s="37">
        <v>2429</v>
      </c>
      <c r="G625" s="38">
        <f>F625*0.6</f>
        <v>1457.3999999999999</v>
      </c>
      <c r="H625" s="38">
        <f>G625*I625</f>
        <v>1457.3999999999999</v>
      </c>
      <c r="I625" s="16">
        <v>1</v>
      </c>
      <c r="J625" s="17" t="s">
        <v>12</v>
      </c>
      <c r="K625" s="13" t="s">
        <v>16</v>
      </c>
      <c r="L625" s="15">
        <v>1457.3999999999999</v>
      </c>
    </row>
    <row r="626" spans="1:12" ht="21" customHeight="1" outlineLevel="2" x14ac:dyDescent="0.25">
      <c r="A626" s="16">
        <f t="shared" si="8"/>
        <v>625</v>
      </c>
      <c r="B626" s="12" t="str">
        <f>B625</f>
        <v>ЩАО3 (Блок 4, 5)</v>
      </c>
      <c r="C626" s="13" t="s">
        <v>11</v>
      </c>
      <c r="D626" s="29" t="s">
        <v>53</v>
      </c>
      <c r="E626" s="12" t="s">
        <v>54</v>
      </c>
      <c r="F626" s="37">
        <v>783</v>
      </c>
      <c r="G626" s="38">
        <f>F626*0.6</f>
        <v>469.79999999999995</v>
      </c>
      <c r="H626" s="38">
        <f>G626*I626</f>
        <v>2349</v>
      </c>
      <c r="I626" s="16">
        <v>5</v>
      </c>
      <c r="J626" s="17" t="s">
        <v>12</v>
      </c>
      <c r="K626" s="13" t="s">
        <v>16</v>
      </c>
      <c r="L626" s="15">
        <v>2349</v>
      </c>
    </row>
    <row r="627" spans="1:12" ht="24" customHeight="1" outlineLevel="2" x14ac:dyDescent="0.25">
      <c r="A627" s="12">
        <f t="shared" si="8"/>
        <v>626</v>
      </c>
      <c r="B627" s="12" t="str">
        <f>B626</f>
        <v>ЩАО3 (Блок 4, 5)</v>
      </c>
      <c r="C627" s="12" t="s">
        <v>9</v>
      </c>
      <c r="D627" s="30" t="s">
        <v>9</v>
      </c>
      <c r="E627" s="12" t="s">
        <v>9</v>
      </c>
      <c r="F627" s="18">
        <f ca="1">OFFSET(F627,1,2)</f>
        <v>4200</v>
      </c>
      <c r="G627" s="38">
        <f ca="1">F627</f>
        <v>4200</v>
      </c>
      <c r="H627" s="38">
        <f ca="1">G627*I627</f>
        <v>4200</v>
      </c>
      <c r="I627" s="12">
        <v>1</v>
      </c>
      <c r="J627" s="12" t="s">
        <v>12</v>
      </c>
      <c r="K627" s="12" t="s">
        <v>9</v>
      </c>
      <c r="L627" s="15">
        <v>4200</v>
      </c>
    </row>
    <row r="628" spans="1:12" ht="21" customHeight="1" outlineLevel="2" x14ac:dyDescent="0.25">
      <c r="A628" s="12">
        <f t="shared" si="8"/>
        <v>627</v>
      </c>
      <c r="B628" s="12" t="str">
        <f>B627</f>
        <v>ЩАО3 (Блок 4, 5)</v>
      </c>
      <c r="C628" s="12" t="s">
        <v>10</v>
      </c>
      <c r="D628" s="30" t="s">
        <v>10</v>
      </c>
      <c r="E628" s="12" t="s">
        <v>10</v>
      </c>
      <c r="F628" s="18">
        <v>0.7</v>
      </c>
      <c r="G628" s="38">
        <v>100</v>
      </c>
      <c r="H628" s="38">
        <f>60*F628*G628</f>
        <v>4200</v>
      </c>
      <c r="I628" s="12">
        <f>60*F628</f>
        <v>42</v>
      </c>
      <c r="J628" s="12" t="s">
        <v>12</v>
      </c>
      <c r="K628" s="12" t="s">
        <v>10</v>
      </c>
      <c r="L628" s="15">
        <v>4200</v>
      </c>
    </row>
    <row r="629" spans="1:12" ht="21" customHeight="1" outlineLevel="1" x14ac:dyDescent="0.25">
      <c r="A629" s="12"/>
      <c r="B629" s="12" t="s">
        <v>677</v>
      </c>
      <c r="C629" s="12"/>
      <c r="D629" s="30"/>
      <c r="E629" s="12"/>
      <c r="F629" s="18"/>
      <c r="G629" s="38"/>
      <c r="H629" s="38">
        <f ca="1">SUBTOTAL(9,H623:H628)</f>
        <v>15986.4</v>
      </c>
      <c r="I629" s="12"/>
      <c r="J629" s="12"/>
      <c r="K629" s="12"/>
      <c r="L629" s="15">
        <v>15986.4</v>
      </c>
    </row>
    <row r="630" spans="1:12" ht="39.75" customHeight="1" outlineLevel="2" x14ac:dyDescent="0.25">
      <c r="A630" s="10">
        <f>ROW(A628)</f>
        <v>628</v>
      </c>
      <c r="B630" s="6" t="str">
        <f>E630</f>
        <v>ЩАОГ (Блок 4, 5)</v>
      </c>
      <c r="C630" s="6"/>
      <c r="D630" s="28"/>
      <c r="E630" s="6" t="s">
        <v>194</v>
      </c>
      <c r="F630" s="36"/>
      <c r="G630" s="36" t="s">
        <v>73</v>
      </c>
      <c r="H630" s="7"/>
      <c r="I630" s="10">
        <v>1</v>
      </c>
      <c r="J630" s="11" t="s">
        <v>6</v>
      </c>
      <c r="K630" s="6" t="s">
        <v>8</v>
      </c>
      <c r="L630" s="9"/>
    </row>
    <row r="631" spans="1:12" ht="21" customHeight="1" outlineLevel="2" x14ac:dyDescent="0.25">
      <c r="A631" s="16">
        <f t="shared" si="8"/>
        <v>630</v>
      </c>
      <c r="B631" s="12" t="str">
        <f>B630</f>
        <v>ЩАОГ (Блок 4, 5)</v>
      </c>
      <c r="C631" s="13" t="s">
        <v>7</v>
      </c>
      <c r="D631" s="29" t="s">
        <v>588</v>
      </c>
      <c r="E631" s="12" t="s">
        <v>589</v>
      </c>
      <c r="F631" s="37">
        <v>6300</v>
      </c>
      <c r="G631" s="38">
        <f>F631*0.6</f>
        <v>3780</v>
      </c>
      <c r="H631" s="38">
        <f>I631*G631</f>
        <v>3780</v>
      </c>
      <c r="I631" s="16">
        <v>1</v>
      </c>
      <c r="J631" s="17" t="s">
        <v>12</v>
      </c>
      <c r="K631" s="13" t="s">
        <v>581</v>
      </c>
      <c r="L631" s="15">
        <v>3780</v>
      </c>
    </row>
    <row r="632" spans="1:12" ht="21" customHeight="1" outlineLevel="2" x14ac:dyDescent="0.25">
      <c r="A632" s="16">
        <f t="shared" si="8"/>
        <v>631</v>
      </c>
      <c r="B632" s="12" t="str">
        <f>B631</f>
        <v>ЩАОГ (Блок 4, 5)</v>
      </c>
      <c r="C632" s="13" t="s">
        <v>11</v>
      </c>
      <c r="D632" s="29" t="s">
        <v>20</v>
      </c>
      <c r="E632" s="12" t="s">
        <v>21</v>
      </c>
      <c r="F632" s="37">
        <v>2429</v>
      </c>
      <c r="G632" s="38">
        <f>F632*0.6</f>
        <v>1457.3999999999999</v>
      </c>
      <c r="H632" s="38">
        <f>G632*I632</f>
        <v>1457.3999999999999</v>
      </c>
      <c r="I632" s="16">
        <v>1</v>
      </c>
      <c r="J632" s="17" t="s">
        <v>12</v>
      </c>
      <c r="K632" s="13" t="s">
        <v>16</v>
      </c>
      <c r="L632" s="15">
        <v>1457.3999999999999</v>
      </c>
    </row>
    <row r="633" spans="1:12" ht="21" customHeight="1" outlineLevel="2" x14ac:dyDescent="0.25">
      <c r="A633" s="16">
        <f t="shared" si="8"/>
        <v>632</v>
      </c>
      <c r="B633" s="12" t="str">
        <f>B632</f>
        <v>ЩАОГ (Блок 4, 5)</v>
      </c>
      <c r="C633" s="13" t="s">
        <v>11</v>
      </c>
      <c r="D633" s="29" t="s">
        <v>53</v>
      </c>
      <c r="E633" s="12" t="s">
        <v>54</v>
      </c>
      <c r="F633" s="37">
        <v>783</v>
      </c>
      <c r="G633" s="38">
        <f>F633*0.6</f>
        <v>469.79999999999995</v>
      </c>
      <c r="H633" s="38">
        <f>G633*I633</f>
        <v>2349</v>
      </c>
      <c r="I633" s="16">
        <v>5</v>
      </c>
      <c r="J633" s="17" t="s">
        <v>12</v>
      </c>
      <c r="K633" s="13" t="s">
        <v>16</v>
      </c>
      <c r="L633" s="15">
        <v>2349</v>
      </c>
    </row>
    <row r="634" spans="1:12" ht="24" customHeight="1" outlineLevel="2" x14ac:dyDescent="0.25">
      <c r="A634" s="12">
        <f t="shared" si="8"/>
        <v>633</v>
      </c>
      <c r="B634" s="12" t="str">
        <f>B633</f>
        <v>ЩАОГ (Блок 4, 5)</v>
      </c>
      <c r="C634" s="12" t="s">
        <v>9</v>
      </c>
      <c r="D634" s="30" t="s">
        <v>9</v>
      </c>
      <c r="E634" s="12" t="s">
        <v>9</v>
      </c>
      <c r="F634" s="18">
        <f ca="1">OFFSET(F634,1,2)</f>
        <v>4200</v>
      </c>
      <c r="G634" s="38">
        <f ca="1">F634</f>
        <v>4200</v>
      </c>
      <c r="H634" s="38">
        <f ca="1">G634*I634</f>
        <v>4200</v>
      </c>
      <c r="I634" s="12">
        <v>1</v>
      </c>
      <c r="J634" s="12" t="s">
        <v>12</v>
      </c>
      <c r="K634" s="12" t="s">
        <v>9</v>
      </c>
      <c r="L634" s="15">
        <v>4200</v>
      </c>
    </row>
    <row r="635" spans="1:12" ht="21" customHeight="1" outlineLevel="2" x14ac:dyDescent="0.25">
      <c r="A635" s="12">
        <f t="shared" si="8"/>
        <v>634</v>
      </c>
      <c r="B635" s="12" t="str">
        <f>B634</f>
        <v>ЩАОГ (Блок 4, 5)</v>
      </c>
      <c r="C635" s="12" t="s">
        <v>10</v>
      </c>
      <c r="D635" s="30" t="s">
        <v>10</v>
      </c>
      <c r="E635" s="12" t="s">
        <v>10</v>
      </c>
      <c r="F635" s="18">
        <v>0.7</v>
      </c>
      <c r="G635" s="38">
        <v>100</v>
      </c>
      <c r="H635" s="38">
        <f>60*F635*G635</f>
        <v>4200</v>
      </c>
      <c r="I635" s="12">
        <f>60*F635</f>
        <v>42</v>
      </c>
      <c r="J635" s="12" t="s">
        <v>12</v>
      </c>
      <c r="K635" s="12" t="s">
        <v>10</v>
      </c>
      <c r="L635" s="15">
        <v>4200</v>
      </c>
    </row>
    <row r="636" spans="1:12" ht="21" customHeight="1" outlineLevel="1" x14ac:dyDescent="0.25">
      <c r="A636" s="12"/>
      <c r="B636" s="12" t="s">
        <v>678</v>
      </c>
      <c r="C636" s="12"/>
      <c r="D636" s="30"/>
      <c r="E636" s="12"/>
      <c r="F636" s="18"/>
      <c r="G636" s="38"/>
      <c r="H636" s="38">
        <f ca="1">SUBTOTAL(9,H630:H635)</f>
        <v>15986.4</v>
      </c>
      <c r="I636" s="12"/>
      <c r="J636" s="12"/>
      <c r="K636" s="12"/>
      <c r="L636" s="15">
        <v>15986.4</v>
      </c>
    </row>
    <row r="637" spans="1:12" ht="39.75" customHeight="1" outlineLevel="2" x14ac:dyDescent="0.25">
      <c r="A637" s="10">
        <f>ROW(A635)</f>
        <v>635</v>
      </c>
      <c r="B637" s="6" t="str">
        <f>E637</f>
        <v>ЩВ.1 (Блок 4, 5)</v>
      </c>
      <c r="C637" s="6"/>
      <c r="D637" s="28"/>
      <c r="E637" s="6" t="s">
        <v>195</v>
      </c>
      <c r="F637" s="36"/>
      <c r="G637" s="36" t="s">
        <v>73</v>
      </c>
      <c r="H637" s="7"/>
      <c r="I637" s="10">
        <v>1</v>
      </c>
      <c r="J637" s="11" t="s">
        <v>6</v>
      </c>
      <c r="K637" s="6" t="s">
        <v>8</v>
      </c>
      <c r="L637" s="9"/>
    </row>
    <row r="638" spans="1:12" ht="21" customHeight="1" outlineLevel="2" x14ac:dyDescent="0.25">
      <c r="A638" s="16">
        <f t="shared" si="8"/>
        <v>637</v>
      </c>
      <c r="B638" s="12" t="str">
        <f>B637</f>
        <v>ЩВ.1 (Блок 4, 5)</v>
      </c>
      <c r="C638" s="13" t="s">
        <v>7</v>
      </c>
      <c r="D638" s="29" t="s">
        <v>501</v>
      </c>
      <c r="E638" s="12" t="s">
        <v>502</v>
      </c>
      <c r="F638" s="37">
        <v>29525</v>
      </c>
      <c r="G638" s="38">
        <f>F638*0.6</f>
        <v>17715</v>
      </c>
      <c r="H638" s="38">
        <f>I638*G638</f>
        <v>17715</v>
      </c>
      <c r="I638" s="16">
        <v>1</v>
      </c>
      <c r="J638" s="17" t="s">
        <v>12</v>
      </c>
      <c r="K638" s="13" t="s">
        <v>15</v>
      </c>
      <c r="L638" s="15">
        <v>17715</v>
      </c>
    </row>
    <row r="639" spans="1:12" ht="21" customHeight="1" outlineLevel="2" x14ac:dyDescent="0.25">
      <c r="A639" s="16">
        <f t="shared" si="8"/>
        <v>638</v>
      </c>
      <c r="B639" s="12" t="str">
        <f>B638</f>
        <v>ЩВ.1 (Блок 4, 5)</v>
      </c>
      <c r="C639" s="13" t="s">
        <v>11</v>
      </c>
      <c r="D639" s="29" t="s">
        <v>20</v>
      </c>
      <c r="E639" s="12" t="s">
        <v>21</v>
      </c>
      <c r="F639" s="37">
        <v>2429</v>
      </c>
      <c r="G639" s="38">
        <f>F639*0.6</f>
        <v>1457.3999999999999</v>
      </c>
      <c r="H639" s="38">
        <f>G639*I639</f>
        <v>1457.3999999999999</v>
      </c>
      <c r="I639" s="16">
        <v>1</v>
      </c>
      <c r="J639" s="17" t="s">
        <v>12</v>
      </c>
      <c r="K639" s="13" t="s">
        <v>16</v>
      </c>
      <c r="L639" s="15">
        <v>1457.3999999999999</v>
      </c>
    </row>
    <row r="640" spans="1:12" ht="21" customHeight="1" outlineLevel="2" x14ac:dyDescent="0.25">
      <c r="A640" s="16">
        <f t="shared" si="8"/>
        <v>639</v>
      </c>
      <c r="B640" s="12" t="str">
        <f>B639</f>
        <v>ЩВ.1 (Блок 4, 5)</v>
      </c>
      <c r="C640" s="13" t="s">
        <v>596</v>
      </c>
      <c r="D640" s="29" t="s">
        <v>45</v>
      </c>
      <c r="E640" s="12" t="s">
        <v>46</v>
      </c>
      <c r="F640" s="37">
        <v>5354</v>
      </c>
      <c r="G640" s="38">
        <f>F640*0.6</f>
        <v>3212.4</v>
      </c>
      <c r="H640" s="38">
        <f>G640*I640</f>
        <v>3212.4</v>
      </c>
      <c r="I640" s="16">
        <v>1</v>
      </c>
      <c r="J640" s="17" t="s">
        <v>12</v>
      </c>
      <c r="K640" s="13" t="s">
        <v>16</v>
      </c>
      <c r="L640" s="15">
        <v>3212.4</v>
      </c>
    </row>
    <row r="641" spans="1:13" ht="21" customHeight="1" outlineLevel="2" x14ac:dyDescent="0.25">
      <c r="A641" s="16">
        <f t="shared" si="8"/>
        <v>640</v>
      </c>
      <c r="B641" s="12" t="str">
        <f>B640</f>
        <v>ЩВ.1 (Блок 4, 5)</v>
      </c>
      <c r="C641" s="13" t="s">
        <v>48</v>
      </c>
      <c r="D641" s="29" t="s">
        <v>133</v>
      </c>
      <c r="E641" s="12" t="s">
        <v>134</v>
      </c>
      <c r="F641" s="37">
        <v>5109</v>
      </c>
      <c r="G641" s="38">
        <f>F641*0.6</f>
        <v>3065.4</v>
      </c>
      <c r="H641" s="38">
        <f>G641*I641</f>
        <v>15327</v>
      </c>
      <c r="I641" s="16">
        <v>5</v>
      </c>
      <c r="J641" s="17" t="s">
        <v>12</v>
      </c>
      <c r="K641" s="13" t="s">
        <v>16</v>
      </c>
      <c r="L641" s="15">
        <v>15327</v>
      </c>
    </row>
    <row r="642" spans="1:13" ht="21" customHeight="1" outlineLevel="2" x14ac:dyDescent="0.25">
      <c r="A642" s="16">
        <f t="shared" si="8"/>
        <v>641</v>
      </c>
      <c r="B642" s="12" t="str">
        <f>B641</f>
        <v>ЩВ.1 (Блок 4, 5)</v>
      </c>
      <c r="C642" s="13" t="s">
        <v>48</v>
      </c>
      <c r="D642" s="29" t="s">
        <v>49</v>
      </c>
      <c r="E642" s="12" t="s">
        <v>50</v>
      </c>
      <c r="F642" s="37">
        <v>5214</v>
      </c>
      <c r="G642" s="38">
        <f>F642*0.6</f>
        <v>3128.4</v>
      </c>
      <c r="H642" s="38">
        <f>G642*I642</f>
        <v>9385.2000000000007</v>
      </c>
      <c r="I642" s="16">
        <v>3</v>
      </c>
      <c r="J642" s="17" t="s">
        <v>12</v>
      </c>
      <c r="K642" s="13" t="s">
        <v>16</v>
      </c>
      <c r="L642" s="15">
        <v>9385.2000000000007</v>
      </c>
    </row>
    <row r="643" spans="1:13" ht="21" customHeight="1" outlineLevel="2" x14ac:dyDescent="0.25">
      <c r="A643" s="16">
        <f t="shared" si="8"/>
        <v>642</v>
      </c>
      <c r="B643" s="12" t="str">
        <f>B642</f>
        <v>ЩВ.1 (Блок 4, 5)</v>
      </c>
      <c r="C643" s="13" t="s">
        <v>11</v>
      </c>
      <c r="D643" s="29" t="s">
        <v>51</v>
      </c>
      <c r="E643" s="12" t="s">
        <v>52</v>
      </c>
      <c r="F643" s="37">
        <v>2337</v>
      </c>
      <c r="G643" s="38">
        <f>F643*0.6</f>
        <v>1402.2</v>
      </c>
      <c r="H643" s="38">
        <f>G643*I643</f>
        <v>7011</v>
      </c>
      <c r="I643" s="16">
        <v>5</v>
      </c>
      <c r="J643" s="17" t="s">
        <v>12</v>
      </c>
      <c r="K643" s="13" t="s">
        <v>16</v>
      </c>
      <c r="L643" s="15">
        <v>7011</v>
      </c>
    </row>
    <row r="644" spans="1:13" ht="21" customHeight="1" outlineLevel="2" x14ac:dyDescent="0.25">
      <c r="A644" s="16">
        <f t="shared" si="8"/>
        <v>643</v>
      </c>
      <c r="B644" s="12" t="str">
        <f>B643</f>
        <v>ЩВ.1 (Блок 4, 5)</v>
      </c>
      <c r="C644" s="13" t="s">
        <v>11</v>
      </c>
      <c r="D644" s="29" t="s">
        <v>53</v>
      </c>
      <c r="E644" s="12" t="s">
        <v>54</v>
      </c>
      <c r="F644" s="37">
        <v>783</v>
      </c>
      <c r="G644" s="38">
        <f>F644*0.6</f>
        <v>469.79999999999995</v>
      </c>
      <c r="H644" s="38">
        <f>G644*I644</f>
        <v>1879.1999999999998</v>
      </c>
      <c r="I644" s="16">
        <v>4</v>
      </c>
      <c r="J644" s="17" t="s">
        <v>12</v>
      </c>
      <c r="K644" s="13" t="s">
        <v>16</v>
      </c>
      <c r="L644" s="15">
        <v>1879.1999999999998</v>
      </c>
    </row>
    <row r="645" spans="1:13" ht="24" customHeight="1" outlineLevel="2" x14ac:dyDescent="0.25">
      <c r="A645" s="12">
        <f t="shared" si="8"/>
        <v>644</v>
      </c>
      <c r="B645" s="12" t="str">
        <f>B644</f>
        <v>ЩВ.1 (Блок 4, 5)</v>
      </c>
      <c r="C645" s="12" t="s">
        <v>9</v>
      </c>
      <c r="D645" s="30" t="s">
        <v>9</v>
      </c>
      <c r="E645" s="12" t="s">
        <v>9</v>
      </c>
      <c r="F645" s="18">
        <f ca="1">OFFSET(F645,1,2)</f>
        <v>18000</v>
      </c>
      <c r="G645" s="38">
        <f ca="1">F645</f>
        <v>18000</v>
      </c>
      <c r="H645" s="38">
        <f ca="1">G645*I645</f>
        <v>18000</v>
      </c>
      <c r="I645" s="12">
        <v>1</v>
      </c>
      <c r="J645" s="12" t="s">
        <v>12</v>
      </c>
      <c r="K645" s="12" t="s">
        <v>9</v>
      </c>
      <c r="L645" s="15">
        <v>18000</v>
      </c>
    </row>
    <row r="646" spans="1:13" ht="21" customHeight="1" outlineLevel="2" x14ac:dyDescent="0.25">
      <c r="A646" s="12">
        <f t="shared" si="8"/>
        <v>645</v>
      </c>
      <c r="B646" s="12" t="str">
        <f>B645</f>
        <v>ЩВ.1 (Блок 4, 5)</v>
      </c>
      <c r="C646" s="12" t="s">
        <v>10</v>
      </c>
      <c r="D646" s="30" t="s">
        <v>10</v>
      </c>
      <c r="E646" s="12" t="s">
        <v>10</v>
      </c>
      <c r="F646" s="18">
        <v>3</v>
      </c>
      <c r="G646" s="38">
        <v>100</v>
      </c>
      <c r="H646" s="38">
        <f>60*F646*G646</f>
        <v>18000</v>
      </c>
      <c r="I646" s="12">
        <f>60*F646</f>
        <v>180</v>
      </c>
      <c r="J646" s="12" t="s">
        <v>12</v>
      </c>
      <c r="K646" s="12" t="s">
        <v>10</v>
      </c>
      <c r="L646" s="15">
        <v>18000</v>
      </c>
    </row>
    <row r="647" spans="1:13" ht="21" customHeight="1" outlineLevel="1" x14ac:dyDescent="0.25">
      <c r="A647" s="12"/>
      <c r="B647" s="12" t="s">
        <v>679</v>
      </c>
      <c r="C647" s="12"/>
      <c r="D647" s="30"/>
      <c r="E647" s="12"/>
      <c r="F647" s="18"/>
      <c r="G647" s="38"/>
      <c r="H647" s="38">
        <f ca="1">SUBTOTAL(9,H637:H646)</f>
        <v>91987.199999999997</v>
      </c>
      <c r="I647" s="12"/>
      <c r="J647" s="12"/>
      <c r="K647" s="12"/>
      <c r="L647" s="15">
        <v>91987.199999999997</v>
      </c>
    </row>
    <row r="648" spans="1:13" ht="39.75" customHeight="1" outlineLevel="2" x14ac:dyDescent="0.25">
      <c r="A648" s="10">
        <f>ROW(A646)</f>
        <v>646</v>
      </c>
      <c r="B648" s="6" t="str">
        <f>E648</f>
        <v>ЩВ.2 (Блок 4, 5)</v>
      </c>
      <c r="C648" s="6"/>
      <c r="D648" s="28"/>
      <c r="E648" s="6" t="s">
        <v>196</v>
      </c>
      <c r="F648" s="36"/>
      <c r="G648" s="36" t="s">
        <v>73</v>
      </c>
      <c r="H648" s="7"/>
      <c r="I648" s="10">
        <v>1</v>
      </c>
      <c r="J648" s="11" t="s">
        <v>6</v>
      </c>
      <c r="K648" s="6" t="s">
        <v>8</v>
      </c>
      <c r="L648" s="9"/>
    </row>
    <row r="649" spans="1:13" ht="21" customHeight="1" outlineLevel="2" x14ac:dyDescent="0.25">
      <c r="A649" s="16">
        <f t="shared" si="8"/>
        <v>648</v>
      </c>
      <c r="B649" s="12" t="str">
        <f>B648</f>
        <v>ЩВ.2 (Блок 4, 5)</v>
      </c>
      <c r="C649" s="13" t="s">
        <v>7</v>
      </c>
      <c r="D649" s="29" t="s">
        <v>501</v>
      </c>
      <c r="E649" s="12" t="s">
        <v>502</v>
      </c>
      <c r="F649" s="37">
        <v>29525</v>
      </c>
      <c r="G649" s="38">
        <f>F649*0.6</f>
        <v>17715</v>
      </c>
      <c r="H649" s="38">
        <f>I649*G649</f>
        <v>17715</v>
      </c>
      <c r="I649" s="16">
        <v>1</v>
      </c>
      <c r="J649" s="17" t="s">
        <v>12</v>
      </c>
      <c r="K649" s="13" t="s">
        <v>15</v>
      </c>
      <c r="L649" s="15">
        <v>17715</v>
      </c>
    </row>
    <row r="650" spans="1:13" ht="21" customHeight="1" outlineLevel="2" x14ac:dyDescent="0.25">
      <c r="A650" s="16">
        <f t="shared" si="8"/>
        <v>649</v>
      </c>
      <c r="B650" s="12" t="str">
        <f>B649</f>
        <v>ЩВ.2 (Блок 4, 5)</v>
      </c>
      <c r="C650" s="13" t="s">
        <v>11</v>
      </c>
      <c r="D650" s="29" t="s">
        <v>82</v>
      </c>
      <c r="E650" s="12" t="s">
        <v>83</v>
      </c>
      <c r="F650" s="37">
        <v>3641</v>
      </c>
      <c r="G650" s="38">
        <f>F650*0.6</f>
        <v>2184.6</v>
      </c>
      <c r="H650" s="38">
        <f>G650*I650</f>
        <v>2184.6</v>
      </c>
      <c r="I650" s="16">
        <v>1</v>
      </c>
      <c r="J650" s="17" t="s">
        <v>12</v>
      </c>
      <c r="K650" s="13" t="s">
        <v>16</v>
      </c>
      <c r="L650" s="15">
        <v>2184.6</v>
      </c>
    </row>
    <row r="651" spans="1:13" ht="21" customHeight="1" outlineLevel="2" x14ac:dyDescent="0.25">
      <c r="A651" s="16">
        <f t="shared" si="8"/>
        <v>650</v>
      </c>
      <c r="B651" s="12" t="str">
        <f>B650</f>
        <v>ЩВ.2 (Блок 4, 5)</v>
      </c>
      <c r="C651" s="13" t="s">
        <v>596</v>
      </c>
      <c r="D651" s="29" t="s">
        <v>45</v>
      </c>
      <c r="E651" s="12" t="s">
        <v>46</v>
      </c>
      <c r="F651" s="37">
        <v>5354</v>
      </c>
      <c r="G651" s="38">
        <f>F651*0.6</f>
        <v>3212.4</v>
      </c>
      <c r="H651" s="38">
        <f>G651*I651</f>
        <v>3212.4</v>
      </c>
      <c r="I651" s="16">
        <v>1</v>
      </c>
      <c r="J651" s="17" t="s">
        <v>12</v>
      </c>
      <c r="K651" s="13" t="s">
        <v>16</v>
      </c>
      <c r="L651" s="15">
        <v>3212.4</v>
      </c>
    </row>
    <row r="652" spans="1:13" ht="21" customHeight="1" outlineLevel="2" x14ac:dyDescent="0.25">
      <c r="A652" s="16">
        <f t="shared" si="8"/>
        <v>651</v>
      </c>
      <c r="B652" s="12" t="str">
        <f>B651</f>
        <v>ЩВ.2 (Блок 4, 5)</v>
      </c>
      <c r="C652" s="13" t="s">
        <v>11</v>
      </c>
      <c r="D652" s="29" t="s">
        <v>28</v>
      </c>
      <c r="E652" s="12" t="s">
        <v>27</v>
      </c>
      <c r="F652" s="37">
        <v>2606</v>
      </c>
      <c r="G652" s="38">
        <f>F652*0.6</f>
        <v>1563.6</v>
      </c>
      <c r="H652" s="38">
        <f>G652*I652</f>
        <v>3127.2</v>
      </c>
      <c r="I652" s="16">
        <v>2</v>
      </c>
      <c r="J652" s="17" t="s">
        <v>12</v>
      </c>
      <c r="K652" s="13" t="s">
        <v>16</v>
      </c>
      <c r="L652" s="15">
        <v>3127.2</v>
      </c>
    </row>
    <row r="653" spans="1:13" ht="21" customHeight="1" outlineLevel="2" x14ac:dyDescent="0.25">
      <c r="A653" s="16">
        <f t="shared" si="8"/>
        <v>652</v>
      </c>
      <c r="B653" s="12" t="str">
        <f>B652</f>
        <v>ЩВ.2 (Блок 4, 5)</v>
      </c>
      <c r="C653" s="13" t="s">
        <v>11</v>
      </c>
      <c r="D653" s="29" t="s">
        <v>51</v>
      </c>
      <c r="E653" s="12" t="s">
        <v>52</v>
      </c>
      <c r="F653" s="37">
        <v>2337</v>
      </c>
      <c r="G653" s="38">
        <f>F653*0.6</f>
        <v>1402.2</v>
      </c>
      <c r="H653" s="38">
        <f>G653*I653</f>
        <v>4206.6000000000004</v>
      </c>
      <c r="I653" s="16">
        <v>3</v>
      </c>
      <c r="J653" s="17" t="s">
        <v>12</v>
      </c>
      <c r="K653" s="13" t="s">
        <v>16</v>
      </c>
      <c r="L653" s="15">
        <v>4206.6000000000004</v>
      </c>
      <c r="M653" t="s">
        <v>445</v>
      </c>
    </row>
    <row r="654" spans="1:13" ht="21" customHeight="1" outlineLevel="2" x14ac:dyDescent="0.25">
      <c r="A654" s="16">
        <f t="shared" si="8"/>
        <v>653</v>
      </c>
      <c r="B654" s="12" t="str">
        <f>B653</f>
        <v>ЩВ.2 (Блок 4, 5)</v>
      </c>
      <c r="C654" s="13" t="s">
        <v>11</v>
      </c>
      <c r="D654" s="29" t="s">
        <v>53</v>
      </c>
      <c r="E654" s="12" t="s">
        <v>54</v>
      </c>
      <c r="F654" s="37">
        <v>783</v>
      </c>
      <c r="G654" s="38">
        <f>F654*0.6</f>
        <v>469.79999999999995</v>
      </c>
      <c r="H654" s="38">
        <f>G654*I654</f>
        <v>4228.2</v>
      </c>
      <c r="I654" s="16">
        <v>9</v>
      </c>
      <c r="J654" s="17" t="s">
        <v>12</v>
      </c>
      <c r="K654" s="13" t="s">
        <v>16</v>
      </c>
      <c r="L654" s="15">
        <v>4228.2</v>
      </c>
    </row>
    <row r="655" spans="1:13" ht="21" customHeight="1" outlineLevel="2" x14ac:dyDescent="0.25">
      <c r="A655" s="16">
        <f t="shared" si="8"/>
        <v>654</v>
      </c>
      <c r="B655" s="12" t="str">
        <f>B654</f>
        <v>ЩВ.2 (Блок 4, 5)</v>
      </c>
      <c r="C655" s="13" t="s">
        <v>48</v>
      </c>
      <c r="D655" s="29" t="s">
        <v>133</v>
      </c>
      <c r="E655" s="12" t="s">
        <v>134</v>
      </c>
      <c r="F655" s="37">
        <v>5109</v>
      </c>
      <c r="G655" s="38">
        <f>F655*0.6</f>
        <v>3065.4</v>
      </c>
      <c r="H655" s="38">
        <f>G655*I655</f>
        <v>6130.8</v>
      </c>
      <c r="I655" s="16">
        <v>2</v>
      </c>
      <c r="J655" s="17" t="s">
        <v>12</v>
      </c>
      <c r="K655" s="13" t="s">
        <v>16</v>
      </c>
      <c r="L655" s="15">
        <v>6130.8</v>
      </c>
    </row>
    <row r="656" spans="1:13" ht="21" customHeight="1" outlineLevel="2" x14ac:dyDescent="0.25">
      <c r="A656" s="16">
        <f t="shared" si="8"/>
        <v>655</v>
      </c>
      <c r="B656" s="12" t="str">
        <f>B655</f>
        <v>ЩВ.2 (Блок 4, 5)</v>
      </c>
      <c r="C656" s="13" t="s">
        <v>48</v>
      </c>
      <c r="D656" s="29" t="s">
        <v>49</v>
      </c>
      <c r="E656" s="12" t="s">
        <v>50</v>
      </c>
      <c r="F656" s="37">
        <v>5214</v>
      </c>
      <c r="G656" s="38">
        <f>F656*0.6</f>
        <v>3128.4</v>
      </c>
      <c r="H656" s="38">
        <f>G656*I656</f>
        <v>25027.200000000001</v>
      </c>
      <c r="I656" s="16">
        <v>8</v>
      </c>
      <c r="J656" s="17" t="s">
        <v>12</v>
      </c>
      <c r="K656" s="13" t="s">
        <v>16</v>
      </c>
      <c r="L656" s="15">
        <v>25027.200000000001</v>
      </c>
    </row>
    <row r="657" spans="1:12" ht="24" customHeight="1" outlineLevel="2" x14ac:dyDescent="0.25">
      <c r="A657" s="12">
        <f t="shared" si="8"/>
        <v>656</v>
      </c>
      <c r="B657" s="12" t="str">
        <f>B656</f>
        <v>ЩВ.2 (Блок 4, 5)</v>
      </c>
      <c r="C657" s="12" t="s">
        <v>9</v>
      </c>
      <c r="D657" s="30" t="s">
        <v>9</v>
      </c>
      <c r="E657" s="12" t="s">
        <v>9</v>
      </c>
      <c r="F657" s="18">
        <f ca="1">OFFSET(F657,1,2)</f>
        <v>15000</v>
      </c>
      <c r="G657" s="38">
        <f ca="1">F657</f>
        <v>15000</v>
      </c>
      <c r="H657" s="38">
        <f ca="1">G657*I657</f>
        <v>15000</v>
      </c>
      <c r="I657" s="12">
        <v>1</v>
      </c>
      <c r="J657" s="12" t="s">
        <v>12</v>
      </c>
      <c r="K657" s="12" t="s">
        <v>9</v>
      </c>
      <c r="L657" s="15">
        <v>15000</v>
      </c>
    </row>
    <row r="658" spans="1:12" ht="21" customHeight="1" outlineLevel="2" x14ac:dyDescent="0.25">
      <c r="A658" s="12">
        <f t="shared" si="8"/>
        <v>657</v>
      </c>
      <c r="B658" s="12" t="str">
        <f>B657</f>
        <v>ЩВ.2 (Блок 4, 5)</v>
      </c>
      <c r="C658" s="12" t="s">
        <v>10</v>
      </c>
      <c r="D658" s="30" t="s">
        <v>10</v>
      </c>
      <c r="E658" s="12" t="s">
        <v>10</v>
      </c>
      <c r="F658" s="18">
        <v>2.5</v>
      </c>
      <c r="G658" s="38">
        <v>100</v>
      </c>
      <c r="H658" s="38">
        <f>60*F658*G658</f>
        <v>15000</v>
      </c>
      <c r="I658" s="12">
        <f>60*F658</f>
        <v>150</v>
      </c>
      <c r="J658" s="12" t="s">
        <v>12</v>
      </c>
      <c r="K658" s="12" t="s">
        <v>10</v>
      </c>
      <c r="L658" s="15">
        <v>15000</v>
      </c>
    </row>
    <row r="659" spans="1:12" ht="21" customHeight="1" outlineLevel="1" x14ac:dyDescent="0.25">
      <c r="A659" s="12"/>
      <c r="B659" s="12" t="s">
        <v>680</v>
      </c>
      <c r="C659" s="12"/>
      <c r="D659" s="30"/>
      <c r="E659" s="12"/>
      <c r="F659" s="18"/>
      <c r="G659" s="38"/>
      <c r="H659" s="38">
        <f ca="1">SUBTOTAL(9,H648:H658)</f>
        <v>95832</v>
      </c>
      <c r="I659" s="12"/>
      <c r="J659" s="12"/>
      <c r="K659" s="12"/>
      <c r="L659" s="15">
        <v>95832</v>
      </c>
    </row>
    <row r="660" spans="1:12" ht="39.75" customHeight="1" outlineLevel="2" x14ac:dyDescent="0.25">
      <c r="A660" s="10">
        <f>ROW(A658)</f>
        <v>658</v>
      </c>
      <c r="B660" s="6" t="str">
        <f>E660</f>
        <v>ЩВ.3 (Блок 4, 5)</v>
      </c>
      <c r="C660" s="6"/>
      <c r="D660" s="28"/>
      <c r="E660" s="6" t="s">
        <v>197</v>
      </c>
      <c r="F660" s="36"/>
      <c r="G660" s="36" t="s">
        <v>73</v>
      </c>
      <c r="H660" s="7"/>
      <c r="I660" s="10">
        <v>1</v>
      </c>
      <c r="J660" s="11" t="s">
        <v>6</v>
      </c>
      <c r="K660" s="6" t="s">
        <v>8</v>
      </c>
      <c r="L660" s="9"/>
    </row>
    <row r="661" spans="1:12" ht="21" customHeight="1" outlineLevel="2" x14ac:dyDescent="0.25">
      <c r="A661" s="16">
        <f t="shared" ref="A661:A731" si="9">ROW(A660)</f>
        <v>660</v>
      </c>
      <c r="B661" s="12" t="str">
        <f>B660</f>
        <v>ЩВ.3 (Блок 4, 5)</v>
      </c>
      <c r="C661" s="13" t="s">
        <v>7</v>
      </c>
      <c r="D661" s="29" t="s">
        <v>472</v>
      </c>
      <c r="E661" s="12" t="s">
        <v>473</v>
      </c>
      <c r="F661" s="37">
        <v>22000</v>
      </c>
      <c r="G661" s="38">
        <f>F661*0.6</f>
        <v>13200</v>
      </c>
      <c r="H661" s="38">
        <f>I661*G661</f>
        <v>13200</v>
      </c>
      <c r="I661" s="16">
        <v>1</v>
      </c>
      <c r="J661" s="17" t="s">
        <v>12</v>
      </c>
      <c r="K661" s="13" t="s">
        <v>15</v>
      </c>
      <c r="L661" s="15">
        <v>13200</v>
      </c>
    </row>
    <row r="662" spans="1:12" ht="21" customHeight="1" outlineLevel="2" x14ac:dyDescent="0.25">
      <c r="A662" s="16">
        <f t="shared" si="9"/>
        <v>661</v>
      </c>
      <c r="B662" s="12" t="str">
        <f>B661</f>
        <v>ЩВ.3 (Блок 4, 5)</v>
      </c>
      <c r="C662" s="13" t="s">
        <v>11</v>
      </c>
      <c r="D662" s="29" t="s">
        <v>20</v>
      </c>
      <c r="E662" s="12" t="s">
        <v>21</v>
      </c>
      <c r="F662" s="37">
        <v>2429</v>
      </c>
      <c r="G662" s="38">
        <f>F662*0.6</f>
        <v>1457.3999999999999</v>
      </c>
      <c r="H662" s="38">
        <f>G662*I662</f>
        <v>1457.3999999999999</v>
      </c>
      <c r="I662" s="16">
        <v>1</v>
      </c>
      <c r="J662" s="17" t="s">
        <v>12</v>
      </c>
      <c r="K662" s="13" t="s">
        <v>16</v>
      </c>
      <c r="L662" s="15">
        <v>1457.3999999999999</v>
      </c>
    </row>
    <row r="663" spans="1:12" ht="21" customHeight="1" outlineLevel="2" x14ac:dyDescent="0.25">
      <c r="A663" s="16">
        <f t="shared" si="9"/>
        <v>662</v>
      </c>
      <c r="B663" s="12" t="str">
        <f>B662</f>
        <v>ЩВ.3 (Блок 4, 5)</v>
      </c>
      <c r="C663" s="13" t="s">
        <v>596</v>
      </c>
      <c r="D663" s="29" t="s">
        <v>45</v>
      </c>
      <c r="E663" s="12" t="s">
        <v>46</v>
      </c>
      <c r="F663" s="37">
        <v>5354</v>
      </c>
      <c r="G663" s="38">
        <f>F663*0.6</f>
        <v>3212.4</v>
      </c>
      <c r="H663" s="38">
        <f>G663*I663</f>
        <v>3212.4</v>
      </c>
      <c r="I663" s="16">
        <v>1</v>
      </c>
      <c r="J663" s="17" t="s">
        <v>12</v>
      </c>
      <c r="K663" s="13" t="s">
        <v>16</v>
      </c>
      <c r="L663" s="15">
        <v>3212.4</v>
      </c>
    </row>
    <row r="664" spans="1:12" ht="21" customHeight="1" outlineLevel="2" x14ac:dyDescent="0.25">
      <c r="A664" s="16">
        <f t="shared" si="9"/>
        <v>663</v>
      </c>
      <c r="B664" s="12" t="str">
        <f>B663</f>
        <v>ЩВ.3 (Блок 4, 5)</v>
      </c>
      <c r="C664" s="13" t="s">
        <v>11</v>
      </c>
      <c r="D664" s="29" t="s">
        <v>51</v>
      </c>
      <c r="E664" s="12" t="s">
        <v>52</v>
      </c>
      <c r="F664" s="37">
        <v>2337</v>
      </c>
      <c r="G664" s="38">
        <f>F664*0.6</f>
        <v>1402.2</v>
      </c>
      <c r="H664" s="38">
        <f>G664*I664</f>
        <v>15424.2</v>
      </c>
      <c r="I664" s="16">
        <v>11</v>
      </c>
      <c r="J664" s="17" t="s">
        <v>12</v>
      </c>
      <c r="K664" s="13" t="s">
        <v>16</v>
      </c>
      <c r="L664" s="15">
        <v>15424.2</v>
      </c>
    </row>
    <row r="665" spans="1:12" ht="21" customHeight="1" outlineLevel="2" x14ac:dyDescent="0.25">
      <c r="A665" s="16">
        <f t="shared" si="9"/>
        <v>664</v>
      </c>
      <c r="B665" s="12" t="str">
        <f>B664</f>
        <v>ЩВ.3 (Блок 4, 5)</v>
      </c>
      <c r="C665" s="13" t="s">
        <v>11</v>
      </c>
      <c r="D665" s="29" t="s">
        <v>53</v>
      </c>
      <c r="E665" s="12" t="s">
        <v>54</v>
      </c>
      <c r="F665" s="37">
        <v>783</v>
      </c>
      <c r="G665" s="38">
        <f>F665*0.6</f>
        <v>469.79999999999995</v>
      </c>
      <c r="H665" s="38">
        <f>G665*I665</f>
        <v>469.79999999999995</v>
      </c>
      <c r="I665" s="16">
        <v>1</v>
      </c>
      <c r="J665" s="17" t="s">
        <v>12</v>
      </c>
      <c r="K665" s="13" t="s">
        <v>16</v>
      </c>
      <c r="L665" s="15">
        <v>469.79999999999995</v>
      </c>
    </row>
    <row r="666" spans="1:12" ht="24" customHeight="1" outlineLevel="2" x14ac:dyDescent="0.25">
      <c r="A666" s="12">
        <f t="shared" si="9"/>
        <v>665</v>
      </c>
      <c r="B666" s="12" t="str">
        <f>B665</f>
        <v>ЩВ.3 (Блок 4, 5)</v>
      </c>
      <c r="C666" s="12" t="s">
        <v>9</v>
      </c>
      <c r="D666" s="30" t="s">
        <v>9</v>
      </c>
      <c r="E666" s="12" t="s">
        <v>9</v>
      </c>
      <c r="F666" s="18">
        <f ca="1">OFFSET(F666,1,2)</f>
        <v>15000</v>
      </c>
      <c r="G666" s="38">
        <f ca="1">F666</f>
        <v>15000</v>
      </c>
      <c r="H666" s="38">
        <f ca="1">G666*I666</f>
        <v>15000</v>
      </c>
      <c r="I666" s="12">
        <v>1</v>
      </c>
      <c r="J666" s="12" t="s">
        <v>12</v>
      </c>
      <c r="K666" s="12" t="s">
        <v>9</v>
      </c>
      <c r="L666" s="15">
        <v>15000</v>
      </c>
    </row>
    <row r="667" spans="1:12" ht="21" customHeight="1" outlineLevel="2" x14ac:dyDescent="0.25">
      <c r="A667" s="12">
        <f t="shared" si="9"/>
        <v>666</v>
      </c>
      <c r="B667" s="12" t="str">
        <f>B666</f>
        <v>ЩВ.3 (Блок 4, 5)</v>
      </c>
      <c r="C667" s="12" t="s">
        <v>10</v>
      </c>
      <c r="D667" s="30" t="s">
        <v>10</v>
      </c>
      <c r="E667" s="12" t="s">
        <v>10</v>
      </c>
      <c r="F667" s="18">
        <v>2.5</v>
      </c>
      <c r="G667" s="38">
        <v>100</v>
      </c>
      <c r="H667" s="38">
        <f>60*F667*G667</f>
        <v>15000</v>
      </c>
      <c r="I667" s="12">
        <f>60*F667</f>
        <v>150</v>
      </c>
      <c r="J667" s="12" t="s">
        <v>12</v>
      </c>
      <c r="K667" s="12" t="s">
        <v>10</v>
      </c>
      <c r="L667" s="15">
        <v>15000</v>
      </c>
    </row>
    <row r="668" spans="1:12" ht="21" customHeight="1" outlineLevel="1" x14ac:dyDescent="0.25">
      <c r="A668" s="12"/>
      <c r="B668" s="12" t="s">
        <v>681</v>
      </c>
      <c r="C668" s="12"/>
      <c r="D668" s="30"/>
      <c r="E668" s="12"/>
      <c r="F668" s="18"/>
      <c r="G668" s="38"/>
      <c r="H668" s="38">
        <f ca="1">SUBTOTAL(9,H660:H667)</f>
        <v>63763.8</v>
      </c>
      <c r="I668" s="12"/>
      <c r="J668" s="12"/>
      <c r="K668" s="12"/>
      <c r="L668" s="15">
        <v>63763.8</v>
      </c>
    </row>
    <row r="669" spans="1:12" ht="39.75" customHeight="1" outlineLevel="2" x14ac:dyDescent="0.25">
      <c r="A669" s="10">
        <f>ROW(A667)</f>
        <v>667</v>
      </c>
      <c r="B669" s="6" t="str">
        <f>E669</f>
        <v>ЩДУ (Блок 4, 5)</v>
      </c>
      <c r="C669" s="6"/>
      <c r="D669" s="28"/>
      <c r="E669" s="6" t="s">
        <v>198</v>
      </c>
      <c r="F669" s="36"/>
      <c r="G669" s="36" t="s">
        <v>73</v>
      </c>
      <c r="H669" s="7"/>
      <c r="I669" s="10">
        <v>1</v>
      </c>
      <c r="J669" s="11" t="s">
        <v>6</v>
      </c>
      <c r="K669" s="6" t="s">
        <v>8</v>
      </c>
      <c r="L669" s="9"/>
    </row>
    <row r="670" spans="1:12" ht="21" customHeight="1" outlineLevel="2" x14ac:dyDescent="0.25">
      <c r="A670" s="16">
        <f t="shared" si="9"/>
        <v>669</v>
      </c>
      <c r="B670" s="12" t="str">
        <f>B669</f>
        <v>ЩДУ (Блок 4, 5)</v>
      </c>
      <c r="C670" s="13" t="s">
        <v>7</v>
      </c>
      <c r="D670" s="29" t="s">
        <v>507</v>
      </c>
      <c r="E670" s="12" t="s">
        <v>508</v>
      </c>
      <c r="F670" s="37">
        <v>30540</v>
      </c>
      <c r="G670" s="38">
        <f>F670*0.6</f>
        <v>18324</v>
      </c>
      <c r="H670" s="38">
        <f>I670*G670</f>
        <v>18324</v>
      </c>
      <c r="I670" s="16">
        <v>1</v>
      </c>
      <c r="J670" s="17" t="s">
        <v>12</v>
      </c>
      <c r="K670" s="13" t="s">
        <v>15</v>
      </c>
      <c r="L670" s="15">
        <v>18324</v>
      </c>
    </row>
    <row r="671" spans="1:12" ht="21" customHeight="1" outlineLevel="2" x14ac:dyDescent="0.25">
      <c r="A671" s="16">
        <f t="shared" si="9"/>
        <v>670</v>
      </c>
      <c r="B671" s="12" t="str">
        <f>B670</f>
        <v>ЩДУ (Блок 4, 5)</v>
      </c>
      <c r="C671" s="13" t="s">
        <v>11</v>
      </c>
      <c r="D671" s="29" t="s">
        <v>82</v>
      </c>
      <c r="E671" s="12" t="s">
        <v>83</v>
      </c>
      <c r="F671" s="37">
        <v>3641</v>
      </c>
      <c r="G671" s="38">
        <f>F671*0.6</f>
        <v>2184.6</v>
      </c>
      <c r="H671" s="38">
        <f>G671*I671</f>
        <v>2184.6</v>
      </c>
      <c r="I671" s="16">
        <v>1</v>
      </c>
      <c r="J671" s="17" t="s">
        <v>12</v>
      </c>
      <c r="K671" s="13" t="s">
        <v>16</v>
      </c>
      <c r="L671" s="15">
        <v>2184.6</v>
      </c>
    </row>
    <row r="672" spans="1:12" ht="21" customHeight="1" outlineLevel="2" x14ac:dyDescent="0.25">
      <c r="A672" s="16">
        <f t="shared" si="9"/>
        <v>671</v>
      </c>
      <c r="B672" s="12" t="str">
        <f>B671</f>
        <v>ЩДУ (Блок 4, 5)</v>
      </c>
      <c r="C672" s="13" t="s">
        <v>11</v>
      </c>
      <c r="D672" s="29" t="s">
        <v>20</v>
      </c>
      <c r="E672" s="12" t="s">
        <v>21</v>
      </c>
      <c r="F672" s="37">
        <v>2429</v>
      </c>
      <c r="G672" s="38">
        <f>F672*0.6</f>
        <v>1457.3999999999999</v>
      </c>
      <c r="H672" s="38">
        <f>G672*I672</f>
        <v>4372.2</v>
      </c>
      <c r="I672" s="16">
        <v>3</v>
      </c>
      <c r="J672" s="17" t="s">
        <v>12</v>
      </c>
      <c r="K672" s="13" t="s">
        <v>16</v>
      </c>
      <c r="L672" s="15">
        <v>4372.2</v>
      </c>
    </row>
    <row r="673" spans="1:12" ht="21" customHeight="1" outlineLevel="2" x14ac:dyDescent="0.25">
      <c r="A673" s="16">
        <f t="shared" si="9"/>
        <v>672</v>
      </c>
      <c r="B673" s="12" t="str">
        <f>B672</f>
        <v>ЩДУ (Блок 4, 5)</v>
      </c>
      <c r="C673" s="13" t="s">
        <v>11</v>
      </c>
      <c r="D673" s="29" t="s">
        <v>51</v>
      </c>
      <c r="E673" s="12" t="s">
        <v>52</v>
      </c>
      <c r="F673" s="37">
        <v>2337</v>
      </c>
      <c r="G673" s="38">
        <f>F673*0.6</f>
        <v>1402.2</v>
      </c>
      <c r="H673" s="38">
        <f>G673*I673</f>
        <v>5608.8</v>
      </c>
      <c r="I673" s="16">
        <v>4</v>
      </c>
      <c r="J673" s="17" t="s">
        <v>12</v>
      </c>
      <c r="K673" s="13" t="s">
        <v>16</v>
      </c>
      <c r="L673" s="15">
        <v>5608.8</v>
      </c>
    </row>
    <row r="674" spans="1:12" ht="21" customHeight="1" outlineLevel="2" x14ac:dyDescent="0.25">
      <c r="A674" s="16">
        <f t="shared" si="9"/>
        <v>673</v>
      </c>
      <c r="B674" s="12" t="str">
        <f>B673</f>
        <v>ЩДУ (Блок 4, 5)</v>
      </c>
      <c r="C674" s="13" t="s">
        <v>48</v>
      </c>
      <c r="D674" s="29" t="s">
        <v>199</v>
      </c>
      <c r="E674" s="12" t="s">
        <v>200</v>
      </c>
      <c r="F674" s="37">
        <v>8572</v>
      </c>
      <c r="G674" s="38">
        <f>F674*0.6</f>
        <v>5143.2</v>
      </c>
      <c r="H674" s="38">
        <f>G674*I674</f>
        <v>46288.799999999996</v>
      </c>
      <c r="I674" s="16">
        <v>9</v>
      </c>
      <c r="J674" s="17" t="s">
        <v>12</v>
      </c>
      <c r="K674" s="13" t="s">
        <v>16</v>
      </c>
      <c r="L674" s="15">
        <v>46288.799999999996</v>
      </c>
    </row>
    <row r="675" spans="1:12" ht="24" customHeight="1" outlineLevel="2" x14ac:dyDescent="0.25">
      <c r="A675" s="12">
        <f t="shared" si="9"/>
        <v>674</v>
      </c>
      <c r="B675" s="12" t="str">
        <f>B674</f>
        <v>ЩДУ (Блок 4, 5)</v>
      </c>
      <c r="C675" s="12" t="s">
        <v>9</v>
      </c>
      <c r="D675" s="30" t="s">
        <v>9</v>
      </c>
      <c r="E675" s="12" t="s">
        <v>9</v>
      </c>
      <c r="F675" s="18">
        <f ca="1">OFFSET(F675,1,2)</f>
        <v>21000</v>
      </c>
      <c r="G675" s="38">
        <f ca="1">F675</f>
        <v>21000</v>
      </c>
      <c r="H675" s="38">
        <f ca="1">G675*I675</f>
        <v>21000</v>
      </c>
      <c r="I675" s="12">
        <v>1</v>
      </c>
      <c r="J675" s="12" t="s">
        <v>12</v>
      </c>
      <c r="K675" s="12" t="s">
        <v>9</v>
      </c>
      <c r="L675" s="15">
        <v>21000</v>
      </c>
    </row>
    <row r="676" spans="1:12" ht="21" customHeight="1" outlineLevel="2" x14ac:dyDescent="0.25">
      <c r="A676" s="12">
        <f t="shared" si="9"/>
        <v>675</v>
      </c>
      <c r="B676" s="12" t="str">
        <f>B675</f>
        <v>ЩДУ (Блок 4, 5)</v>
      </c>
      <c r="C676" s="12" t="s">
        <v>10</v>
      </c>
      <c r="D676" s="30" t="s">
        <v>10</v>
      </c>
      <c r="E676" s="12" t="s">
        <v>10</v>
      </c>
      <c r="F676" s="18">
        <v>3.5</v>
      </c>
      <c r="G676" s="38">
        <v>100</v>
      </c>
      <c r="H676" s="38">
        <f>60*F676*G676</f>
        <v>21000</v>
      </c>
      <c r="I676" s="12">
        <f>60*F676</f>
        <v>210</v>
      </c>
      <c r="J676" s="12" t="s">
        <v>12</v>
      </c>
      <c r="K676" s="12" t="s">
        <v>10</v>
      </c>
      <c r="L676" s="15">
        <v>21000</v>
      </c>
    </row>
    <row r="677" spans="1:12" ht="21" customHeight="1" outlineLevel="1" x14ac:dyDescent="0.25">
      <c r="A677" s="12"/>
      <c r="B677" s="12" t="s">
        <v>682</v>
      </c>
      <c r="C677" s="12"/>
      <c r="D677" s="30"/>
      <c r="E677" s="12"/>
      <c r="F677" s="18"/>
      <c r="G677" s="38"/>
      <c r="H677" s="38">
        <f ca="1">SUBTOTAL(9,H669:H676)</f>
        <v>118778.4</v>
      </c>
      <c r="I677" s="12"/>
      <c r="J677" s="12"/>
      <c r="K677" s="12"/>
      <c r="L677" s="15">
        <v>118778.4</v>
      </c>
    </row>
    <row r="678" spans="1:12" ht="39.75" customHeight="1" outlineLevel="2" x14ac:dyDescent="0.25">
      <c r="A678" s="10">
        <f>ROW(A676)</f>
        <v>676</v>
      </c>
      <c r="B678" s="6" t="str">
        <f>E678</f>
        <v>ЩР1 (Блок 4, 5)</v>
      </c>
      <c r="C678" s="6"/>
      <c r="D678" s="28"/>
      <c r="E678" s="6" t="s">
        <v>447</v>
      </c>
      <c r="F678" s="36"/>
      <c r="G678" s="36" t="s">
        <v>73</v>
      </c>
      <c r="H678" s="7"/>
      <c r="I678" s="10">
        <v>1</v>
      </c>
      <c r="J678" s="11" t="s">
        <v>6</v>
      </c>
      <c r="K678" s="6" t="s">
        <v>8</v>
      </c>
      <c r="L678" s="9"/>
    </row>
    <row r="679" spans="1:12" ht="21" customHeight="1" outlineLevel="2" x14ac:dyDescent="0.25">
      <c r="A679" s="16">
        <f t="shared" si="9"/>
        <v>678</v>
      </c>
      <c r="B679" s="12" t="str">
        <f t="shared" ref="B679:B685" si="10">B678</f>
        <v>ЩР1 (Блок 4, 5)</v>
      </c>
      <c r="C679" s="13" t="s">
        <v>7</v>
      </c>
      <c r="D679" s="29" t="s">
        <v>472</v>
      </c>
      <c r="E679" s="12" t="s">
        <v>473</v>
      </c>
      <c r="F679" s="37">
        <v>22000</v>
      </c>
      <c r="G679" s="38">
        <f>F679*0.6</f>
        <v>13200</v>
      </c>
      <c r="H679" s="38">
        <f>I679*G679</f>
        <v>13200</v>
      </c>
      <c r="I679" s="16">
        <v>1</v>
      </c>
      <c r="J679" s="17" t="s">
        <v>12</v>
      </c>
      <c r="K679" s="13" t="s">
        <v>15</v>
      </c>
      <c r="L679" s="15">
        <v>13200</v>
      </c>
    </row>
    <row r="680" spans="1:12" ht="21" customHeight="1" outlineLevel="2" x14ac:dyDescent="0.25">
      <c r="A680" s="16">
        <f t="shared" si="9"/>
        <v>679</v>
      </c>
      <c r="B680" s="12" t="str">
        <f t="shared" si="10"/>
        <v>ЩР1 (Блок 4, 5)</v>
      </c>
      <c r="C680" s="13" t="s">
        <v>11</v>
      </c>
      <c r="D680" s="29" t="s">
        <v>65</v>
      </c>
      <c r="E680" s="12" t="s">
        <v>66</v>
      </c>
      <c r="F680" s="37">
        <v>2807</v>
      </c>
      <c r="G680" s="38">
        <f>F680*0.6</f>
        <v>1684.2</v>
      </c>
      <c r="H680" s="38">
        <f>G680*I680</f>
        <v>1684.2</v>
      </c>
      <c r="I680" s="16">
        <v>1</v>
      </c>
      <c r="J680" s="17" t="s">
        <v>12</v>
      </c>
      <c r="K680" s="13" t="s">
        <v>16</v>
      </c>
      <c r="L680" s="15">
        <v>1684.2</v>
      </c>
    </row>
    <row r="681" spans="1:12" ht="21" customHeight="1" outlineLevel="2" x14ac:dyDescent="0.25">
      <c r="A681" s="16">
        <f t="shared" si="9"/>
        <v>680</v>
      </c>
      <c r="B681" s="12" t="str">
        <f t="shared" si="10"/>
        <v>ЩР1 (Блок 4, 5)</v>
      </c>
      <c r="C681" s="13" t="s">
        <v>22</v>
      </c>
      <c r="D681" s="29" t="s">
        <v>96</v>
      </c>
      <c r="E681" s="12" t="s">
        <v>97</v>
      </c>
      <c r="F681" s="37">
        <v>5069</v>
      </c>
      <c r="G681" s="38">
        <f>F681*0.6</f>
        <v>3041.4</v>
      </c>
      <c r="H681" s="38">
        <f>G681*I681</f>
        <v>36496.800000000003</v>
      </c>
      <c r="I681" s="16">
        <v>12</v>
      </c>
      <c r="J681" s="17" t="s">
        <v>12</v>
      </c>
      <c r="K681" s="13" t="s">
        <v>16</v>
      </c>
      <c r="L681" s="15">
        <v>36496.800000000003</v>
      </c>
    </row>
    <row r="682" spans="1:12" ht="21" customHeight="1" outlineLevel="2" x14ac:dyDescent="0.25">
      <c r="A682" s="16">
        <f t="shared" si="9"/>
        <v>681</v>
      </c>
      <c r="B682" s="12" t="str">
        <f t="shared" si="10"/>
        <v>ЩР1 (Блок 4, 5)</v>
      </c>
      <c r="C682" s="13" t="s">
        <v>11</v>
      </c>
      <c r="D682" s="29" t="s">
        <v>28</v>
      </c>
      <c r="E682" s="12" t="s">
        <v>27</v>
      </c>
      <c r="F682" s="37">
        <v>2606</v>
      </c>
      <c r="G682" s="38">
        <f>F682*0.6</f>
        <v>1563.6</v>
      </c>
      <c r="H682" s="38">
        <f>G682*I682</f>
        <v>1563.6</v>
      </c>
      <c r="I682" s="16">
        <v>1</v>
      </c>
      <c r="J682" s="17" t="s">
        <v>12</v>
      </c>
      <c r="K682" s="13" t="s">
        <v>16</v>
      </c>
      <c r="L682" s="15">
        <v>1563.6</v>
      </c>
    </row>
    <row r="683" spans="1:12" ht="21" customHeight="1" outlineLevel="2" x14ac:dyDescent="0.25">
      <c r="A683" s="16">
        <f t="shared" si="9"/>
        <v>682</v>
      </c>
      <c r="B683" s="12" t="str">
        <f t="shared" si="10"/>
        <v>ЩР1 (Блок 4, 5)</v>
      </c>
      <c r="C683" s="13" t="s">
        <v>11</v>
      </c>
      <c r="D683" s="29" t="s">
        <v>20</v>
      </c>
      <c r="E683" s="12" t="s">
        <v>21</v>
      </c>
      <c r="F683" s="37">
        <v>2429</v>
      </c>
      <c r="G683" s="38">
        <f>F683*0.6</f>
        <v>1457.3999999999999</v>
      </c>
      <c r="H683" s="38">
        <f>G683*I683</f>
        <v>2914.7999999999997</v>
      </c>
      <c r="I683" s="16">
        <v>2</v>
      </c>
      <c r="J683" s="17" t="s">
        <v>12</v>
      </c>
      <c r="K683" s="13" t="s">
        <v>16</v>
      </c>
      <c r="L683" s="15">
        <v>2914.7999999999997</v>
      </c>
    </row>
    <row r="684" spans="1:12" ht="24" customHeight="1" outlineLevel="2" x14ac:dyDescent="0.25">
      <c r="A684" s="12">
        <f t="shared" si="9"/>
        <v>683</v>
      </c>
      <c r="B684" s="12" t="str">
        <f t="shared" si="10"/>
        <v>ЩР1 (Блок 4, 5)</v>
      </c>
      <c r="C684" s="12" t="s">
        <v>9</v>
      </c>
      <c r="D684" s="30" t="s">
        <v>9</v>
      </c>
      <c r="E684" s="12" t="s">
        <v>9</v>
      </c>
      <c r="F684" s="18">
        <f ca="1">OFFSET(F684,1,2)</f>
        <v>12000</v>
      </c>
      <c r="G684" s="38">
        <f ca="1">F684</f>
        <v>12000</v>
      </c>
      <c r="H684" s="38">
        <f ca="1">G684*I684</f>
        <v>12000</v>
      </c>
      <c r="I684" s="12">
        <v>1</v>
      </c>
      <c r="J684" s="12" t="s">
        <v>12</v>
      </c>
      <c r="K684" s="12" t="s">
        <v>9</v>
      </c>
      <c r="L684" s="15">
        <v>12000</v>
      </c>
    </row>
    <row r="685" spans="1:12" ht="21" customHeight="1" outlineLevel="2" x14ac:dyDescent="0.25">
      <c r="A685" s="12">
        <f t="shared" si="9"/>
        <v>684</v>
      </c>
      <c r="B685" s="12" t="str">
        <f t="shared" si="10"/>
        <v>ЩР1 (Блок 4, 5)</v>
      </c>
      <c r="C685" s="12" t="s">
        <v>10</v>
      </c>
      <c r="D685" s="30" t="s">
        <v>10</v>
      </c>
      <c r="E685" s="12" t="s">
        <v>10</v>
      </c>
      <c r="F685" s="18">
        <v>2</v>
      </c>
      <c r="G685" s="38">
        <v>100</v>
      </c>
      <c r="H685" s="38">
        <f>60*F685*G685</f>
        <v>12000</v>
      </c>
      <c r="I685" s="12">
        <f>60*F685</f>
        <v>120</v>
      </c>
      <c r="J685" s="12" t="s">
        <v>12</v>
      </c>
      <c r="K685" s="12" t="s">
        <v>10</v>
      </c>
      <c r="L685" s="15">
        <v>12000</v>
      </c>
    </row>
    <row r="686" spans="1:12" ht="21" customHeight="1" outlineLevel="1" x14ac:dyDescent="0.25">
      <c r="A686" s="12"/>
      <c r="B686" s="12" t="s">
        <v>683</v>
      </c>
      <c r="C686" s="12"/>
      <c r="D686" s="30"/>
      <c r="E686" s="12"/>
      <c r="F686" s="18"/>
      <c r="G686" s="38"/>
      <c r="H686" s="38">
        <f ca="1">SUBTOTAL(9,H678:H685)</f>
        <v>79859.399999999994</v>
      </c>
      <c r="I686" s="12"/>
      <c r="J686" s="12"/>
      <c r="K686" s="12"/>
      <c r="L686" s="15">
        <v>79859.399999999994</v>
      </c>
    </row>
    <row r="687" spans="1:12" ht="39.75" customHeight="1" outlineLevel="2" x14ac:dyDescent="0.25">
      <c r="A687" s="10">
        <f>ROW(A685)</f>
        <v>685</v>
      </c>
      <c r="B687" s="6" t="str">
        <f>E687</f>
        <v>ЩР2 (Блок 4, 5)</v>
      </c>
      <c r="C687" s="6"/>
      <c r="D687" s="28"/>
      <c r="E687" s="6" t="s">
        <v>201</v>
      </c>
      <c r="F687" s="36"/>
      <c r="G687" s="36" t="s">
        <v>73</v>
      </c>
      <c r="H687" s="7"/>
      <c r="I687" s="10">
        <v>1</v>
      </c>
      <c r="J687" s="11" t="s">
        <v>6</v>
      </c>
      <c r="K687" s="6" t="s">
        <v>8</v>
      </c>
      <c r="L687" s="9"/>
    </row>
    <row r="688" spans="1:12" ht="21" customHeight="1" outlineLevel="2" x14ac:dyDescent="0.25">
      <c r="A688" s="16">
        <f t="shared" si="9"/>
        <v>687</v>
      </c>
      <c r="B688" s="12" t="str">
        <f t="shared" ref="B688:B693" si="11">B687</f>
        <v>ЩР2 (Блок 4, 5)</v>
      </c>
      <c r="C688" s="13" t="s">
        <v>7</v>
      </c>
      <c r="D688" s="29" t="s">
        <v>472</v>
      </c>
      <c r="E688" s="12" t="s">
        <v>473</v>
      </c>
      <c r="F688" s="37">
        <v>22000</v>
      </c>
      <c r="G688" s="38">
        <f>F688*0.6</f>
        <v>13200</v>
      </c>
      <c r="H688" s="38">
        <f>I688*G688</f>
        <v>13200</v>
      </c>
      <c r="I688" s="16">
        <v>1</v>
      </c>
      <c r="J688" s="17" t="s">
        <v>12</v>
      </c>
      <c r="K688" s="13" t="s">
        <v>15</v>
      </c>
      <c r="L688" s="15">
        <v>13200</v>
      </c>
    </row>
    <row r="689" spans="1:13" ht="21" customHeight="1" outlineLevel="2" x14ac:dyDescent="0.25">
      <c r="A689" s="16">
        <f t="shared" si="9"/>
        <v>688</v>
      </c>
      <c r="B689" s="12" t="str">
        <f t="shared" si="11"/>
        <v>ЩР2 (Блок 4, 5)</v>
      </c>
      <c r="C689" s="13" t="s">
        <v>11</v>
      </c>
      <c r="D689" s="29" t="s">
        <v>65</v>
      </c>
      <c r="E689" s="12" t="s">
        <v>66</v>
      </c>
      <c r="F689" s="37">
        <v>2807</v>
      </c>
      <c r="G689" s="38">
        <f>F689*0.6</f>
        <v>1684.2</v>
      </c>
      <c r="H689" s="38">
        <f>G689*I689</f>
        <v>1684.2</v>
      </c>
      <c r="I689" s="16">
        <v>1</v>
      </c>
      <c r="J689" s="17" t="s">
        <v>12</v>
      </c>
      <c r="K689" s="13" t="s">
        <v>16</v>
      </c>
      <c r="L689" s="15">
        <v>1684.2</v>
      </c>
    </row>
    <row r="690" spans="1:13" ht="21" customHeight="1" outlineLevel="2" x14ac:dyDescent="0.25">
      <c r="A690" s="16">
        <f t="shared" si="9"/>
        <v>689</v>
      </c>
      <c r="B690" s="12" t="str">
        <f t="shared" si="11"/>
        <v>ЩР2 (Блок 4, 5)</v>
      </c>
      <c r="C690" s="13" t="s">
        <v>22</v>
      </c>
      <c r="D690" s="29" t="s">
        <v>96</v>
      </c>
      <c r="E690" s="12" t="s">
        <v>97</v>
      </c>
      <c r="F690" s="37">
        <v>5069</v>
      </c>
      <c r="G690" s="38">
        <f>F690*0.6</f>
        <v>3041.4</v>
      </c>
      <c r="H690" s="38">
        <f>G690*I690</f>
        <v>18248.400000000001</v>
      </c>
      <c r="I690" s="16">
        <v>6</v>
      </c>
      <c r="J690" s="17" t="s">
        <v>12</v>
      </c>
      <c r="K690" s="13" t="s">
        <v>16</v>
      </c>
      <c r="L690" s="15">
        <v>18248.400000000001</v>
      </c>
      <c r="M690" t="s">
        <v>448</v>
      </c>
    </row>
    <row r="691" spans="1:13" ht="21" customHeight="1" outlineLevel="2" x14ac:dyDescent="0.25">
      <c r="A691" s="16">
        <f t="shared" si="9"/>
        <v>690</v>
      </c>
      <c r="B691" s="12" t="str">
        <f t="shared" si="11"/>
        <v>ЩР2 (Блок 4, 5)</v>
      </c>
      <c r="C691" s="13" t="s">
        <v>11</v>
      </c>
      <c r="D691" s="29" t="s">
        <v>20</v>
      </c>
      <c r="E691" s="12" t="s">
        <v>21</v>
      </c>
      <c r="F691" s="37">
        <v>2429</v>
      </c>
      <c r="G691" s="38">
        <f>F691*0.6</f>
        <v>1457.3999999999999</v>
      </c>
      <c r="H691" s="38">
        <f>G691*I691</f>
        <v>8744.4</v>
      </c>
      <c r="I691" s="16">
        <v>6</v>
      </c>
      <c r="J691" s="17" t="s">
        <v>12</v>
      </c>
      <c r="K691" s="13" t="s">
        <v>16</v>
      </c>
      <c r="L691" s="15">
        <v>8744.4</v>
      </c>
    </row>
    <row r="692" spans="1:13" ht="24" customHeight="1" outlineLevel="2" x14ac:dyDescent="0.25">
      <c r="A692" s="12">
        <f t="shared" si="9"/>
        <v>691</v>
      </c>
      <c r="B692" s="12" t="str">
        <f t="shared" si="11"/>
        <v>ЩР2 (Блок 4, 5)</v>
      </c>
      <c r="C692" s="12" t="s">
        <v>9</v>
      </c>
      <c r="D692" s="30" t="s">
        <v>9</v>
      </c>
      <c r="E692" s="12" t="s">
        <v>9</v>
      </c>
      <c r="F692" s="18">
        <f ca="1">OFFSET(F692,1,2)</f>
        <v>12000</v>
      </c>
      <c r="G692" s="38">
        <f ca="1">F692</f>
        <v>12000</v>
      </c>
      <c r="H692" s="38">
        <f ca="1">G692*I692</f>
        <v>12000</v>
      </c>
      <c r="I692" s="12">
        <v>1</v>
      </c>
      <c r="J692" s="12" t="s">
        <v>12</v>
      </c>
      <c r="K692" s="12" t="s">
        <v>9</v>
      </c>
      <c r="L692" s="15">
        <v>12000</v>
      </c>
    </row>
    <row r="693" spans="1:13" ht="21" customHeight="1" outlineLevel="2" x14ac:dyDescent="0.25">
      <c r="A693" s="12">
        <f t="shared" si="9"/>
        <v>692</v>
      </c>
      <c r="B693" s="12" t="str">
        <f t="shared" si="11"/>
        <v>ЩР2 (Блок 4, 5)</v>
      </c>
      <c r="C693" s="12" t="s">
        <v>10</v>
      </c>
      <c r="D693" s="30" t="s">
        <v>10</v>
      </c>
      <c r="E693" s="12" t="s">
        <v>10</v>
      </c>
      <c r="F693" s="18">
        <v>2</v>
      </c>
      <c r="G693" s="38">
        <v>100</v>
      </c>
      <c r="H693" s="38">
        <f>60*F693*G693</f>
        <v>12000</v>
      </c>
      <c r="I693" s="12">
        <f>60*F693</f>
        <v>120</v>
      </c>
      <c r="J693" s="12" t="s">
        <v>12</v>
      </c>
      <c r="K693" s="12" t="s">
        <v>10</v>
      </c>
      <c r="L693" s="15">
        <v>12000</v>
      </c>
    </row>
    <row r="694" spans="1:13" ht="21" customHeight="1" outlineLevel="1" x14ac:dyDescent="0.25">
      <c r="A694" s="12"/>
      <c r="B694" s="12" t="s">
        <v>684</v>
      </c>
      <c r="C694" s="12"/>
      <c r="D694" s="30"/>
      <c r="E694" s="12"/>
      <c r="F694" s="18"/>
      <c r="G694" s="38"/>
      <c r="H694" s="38">
        <f ca="1">SUBTOTAL(9,H687:H693)</f>
        <v>65877</v>
      </c>
      <c r="I694" s="12"/>
      <c r="J694" s="12"/>
      <c r="K694" s="12"/>
      <c r="L694" s="15">
        <v>65877</v>
      </c>
    </row>
    <row r="695" spans="1:13" ht="39.75" customHeight="1" outlineLevel="2" x14ac:dyDescent="0.25">
      <c r="A695" s="10">
        <f>ROW(A693)</f>
        <v>693</v>
      </c>
      <c r="B695" s="6" t="str">
        <f>E695</f>
        <v>ЩР(ГЦ)1 (Блок 4, 5)</v>
      </c>
      <c r="C695" s="6"/>
      <c r="D695" s="28"/>
      <c r="E695" s="6" t="s">
        <v>202</v>
      </c>
      <c r="F695" s="36"/>
      <c r="G695" s="36" t="s">
        <v>73</v>
      </c>
      <c r="H695" s="7"/>
      <c r="I695" s="10">
        <v>1</v>
      </c>
      <c r="J695" s="11" t="s">
        <v>6</v>
      </c>
      <c r="K695" s="6" t="s">
        <v>8</v>
      </c>
      <c r="L695" s="9"/>
    </row>
    <row r="696" spans="1:13" ht="21" customHeight="1" outlineLevel="2" x14ac:dyDescent="0.25">
      <c r="A696" s="16">
        <f t="shared" si="9"/>
        <v>695</v>
      </c>
      <c r="B696" s="12" t="str">
        <f t="shared" ref="B696:B702" si="12">B695</f>
        <v>ЩР(ГЦ)1 (Блок 4, 5)</v>
      </c>
      <c r="C696" s="13" t="s">
        <v>7</v>
      </c>
      <c r="D696" s="29" t="s">
        <v>472</v>
      </c>
      <c r="E696" s="12" t="s">
        <v>473</v>
      </c>
      <c r="F696" s="37">
        <v>22000</v>
      </c>
      <c r="G696" s="38">
        <f>F696*0.6</f>
        <v>13200</v>
      </c>
      <c r="H696" s="38">
        <f>I696*G696</f>
        <v>13200</v>
      </c>
      <c r="I696" s="16">
        <v>1</v>
      </c>
      <c r="J696" s="17" t="s">
        <v>12</v>
      </c>
      <c r="K696" s="13" t="s">
        <v>15</v>
      </c>
      <c r="L696" s="15">
        <v>13200</v>
      </c>
    </row>
    <row r="697" spans="1:13" ht="21" customHeight="1" outlineLevel="2" x14ac:dyDescent="0.25">
      <c r="A697" s="16">
        <f t="shared" si="9"/>
        <v>696</v>
      </c>
      <c r="B697" s="12" t="str">
        <f t="shared" si="12"/>
        <v>ЩР(ГЦ)1 (Блок 4, 5)</v>
      </c>
      <c r="C697" s="13" t="s">
        <v>11</v>
      </c>
      <c r="D697" s="29" t="s">
        <v>67</v>
      </c>
      <c r="E697" s="12" t="s">
        <v>68</v>
      </c>
      <c r="F697" s="37">
        <v>11015</v>
      </c>
      <c r="G697" s="38">
        <f>F697*0.6</f>
        <v>6609</v>
      </c>
      <c r="H697" s="38">
        <f>G697*I697</f>
        <v>6609</v>
      </c>
      <c r="I697" s="16">
        <v>1</v>
      </c>
      <c r="J697" s="17" t="s">
        <v>12</v>
      </c>
      <c r="K697" s="13" t="s">
        <v>16</v>
      </c>
      <c r="L697" s="15">
        <v>6609</v>
      </c>
    </row>
    <row r="698" spans="1:13" ht="21" customHeight="1" outlineLevel="2" x14ac:dyDescent="0.25">
      <c r="A698" s="16">
        <f t="shared" si="9"/>
        <v>697</v>
      </c>
      <c r="B698" s="12" t="str">
        <f t="shared" si="12"/>
        <v>ЩР(ГЦ)1 (Блок 4, 5)</v>
      </c>
      <c r="C698" s="13" t="s">
        <v>11</v>
      </c>
      <c r="D698" s="29" t="s">
        <v>65</v>
      </c>
      <c r="E698" s="12" t="s">
        <v>66</v>
      </c>
      <c r="F698" s="37">
        <v>2807</v>
      </c>
      <c r="G698" s="38">
        <f>F698*0.6</f>
        <v>1684.2</v>
      </c>
      <c r="H698" s="38">
        <f>G698*I698</f>
        <v>3368.4</v>
      </c>
      <c r="I698" s="16">
        <v>2</v>
      </c>
      <c r="J698" s="17" t="s">
        <v>12</v>
      </c>
      <c r="K698" s="13" t="s">
        <v>16</v>
      </c>
      <c r="L698" s="15">
        <v>3368.4</v>
      </c>
    </row>
    <row r="699" spans="1:13" ht="21" customHeight="1" outlineLevel="2" x14ac:dyDescent="0.25">
      <c r="A699" s="16">
        <f t="shared" si="9"/>
        <v>698</v>
      </c>
      <c r="B699" s="12" t="str">
        <f t="shared" si="12"/>
        <v>ЩР(ГЦ)1 (Блок 4, 5)</v>
      </c>
      <c r="C699" s="13" t="s">
        <v>22</v>
      </c>
      <c r="D699" s="29" t="s">
        <v>96</v>
      </c>
      <c r="E699" s="12" t="s">
        <v>97</v>
      </c>
      <c r="F699" s="37">
        <v>5069</v>
      </c>
      <c r="G699" s="38">
        <f>F699*0.6</f>
        <v>3041.4</v>
      </c>
      <c r="H699" s="38">
        <f>G699*I699</f>
        <v>9124.2000000000007</v>
      </c>
      <c r="I699" s="16">
        <v>3</v>
      </c>
      <c r="J699" s="17" t="s">
        <v>12</v>
      </c>
      <c r="K699" s="13" t="s">
        <v>16</v>
      </c>
      <c r="L699" s="15">
        <v>9124.2000000000007</v>
      </c>
      <c r="M699" t="s">
        <v>445</v>
      </c>
    </row>
    <row r="700" spans="1:13" ht="21" customHeight="1" outlineLevel="2" x14ac:dyDescent="0.25">
      <c r="A700" s="16">
        <f t="shared" si="9"/>
        <v>699</v>
      </c>
      <c r="B700" s="12" t="str">
        <f t="shared" si="12"/>
        <v>ЩР(ГЦ)1 (Блок 4, 5)</v>
      </c>
      <c r="C700" s="13" t="s">
        <v>11</v>
      </c>
      <c r="D700" s="29" t="s">
        <v>20</v>
      </c>
      <c r="E700" s="12" t="s">
        <v>21</v>
      </c>
      <c r="F700" s="37">
        <v>2429</v>
      </c>
      <c r="G700" s="38">
        <f>F700*0.6</f>
        <v>1457.3999999999999</v>
      </c>
      <c r="H700" s="38">
        <f>G700*I700</f>
        <v>8744.4</v>
      </c>
      <c r="I700" s="16">
        <v>6</v>
      </c>
      <c r="J700" s="17" t="s">
        <v>12</v>
      </c>
      <c r="K700" s="13" t="s">
        <v>16</v>
      </c>
      <c r="L700" s="15">
        <v>8744.4</v>
      </c>
    </row>
    <row r="701" spans="1:13" ht="24" customHeight="1" outlineLevel="2" x14ac:dyDescent="0.25">
      <c r="A701" s="12">
        <f t="shared" si="9"/>
        <v>700</v>
      </c>
      <c r="B701" s="12" t="str">
        <f t="shared" si="12"/>
        <v>ЩР(ГЦ)1 (Блок 4, 5)</v>
      </c>
      <c r="C701" s="12" t="s">
        <v>9</v>
      </c>
      <c r="D701" s="30" t="s">
        <v>9</v>
      </c>
      <c r="E701" s="12" t="s">
        <v>9</v>
      </c>
      <c r="F701" s="18">
        <f ca="1">OFFSET(F701,1,2)</f>
        <v>18000</v>
      </c>
      <c r="G701" s="38">
        <f ca="1">F701</f>
        <v>18000</v>
      </c>
      <c r="H701" s="38">
        <f ca="1">G701*I701</f>
        <v>18000</v>
      </c>
      <c r="I701" s="12">
        <v>1</v>
      </c>
      <c r="J701" s="12" t="s">
        <v>12</v>
      </c>
      <c r="K701" s="12" t="s">
        <v>9</v>
      </c>
      <c r="L701" s="15">
        <v>18000</v>
      </c>
    </row>
    <row r="702" spans="1:13" ht="21" customHeight="1" outlineLevel="2" x14ac:dyDescent="0.25">
      <c r="A702" s="12">
        <f t="shared" si="9"/>
        <v>701</v>
      </c>
      <c r="B702" s="12" t="str">
        <f t="shared" si="12"/>
        <v>ЩР(ГЦ)1 (Блок 4, 5)</v>
      </c>
      <c r="C702" s="12" t="s">
        <v>10</v>
      </c>
      <c r="D702" s="30" t="s">
        <v>10</v>
      </c>
      <c r="E702" s="12" t="s">
        <v>10</v>
      </c>
      <c r="F702" s="18">
        <v>3</v>
      </c>
      <c r="G702" s="38">
        <v>100</v>
      </c>
      <c r="H702" s="38">
        <f>60*F702*G702</f>
        <v>18000</v>
      </c>
      <c r="I702" s="12">
        <f>60*F702</f>
        <v>180</v>
      </c>
      <c r="J702" s="12" t="s">
        <v>12</v>
      </c>
      <c r="K702" s="12" t="s">
        <v>10</v>
      </c>
      <c r="L702" s="15">
        <v>18000</v>
      </c>
    </row>
    <row r="703" spans="1:13" ht="21" customHeight="1" outlineLevel="1" x14ac:dyDescent="0.25">
      <c r="A703" s="12"/>
      <c r="B703" s="12" t="s">
        <v>685</v>
      </c>
      <c r="C703" s="12"/>
      <c r="D703" s="30"/>
      <c r="E703" s="12"/>
      <c r="F703" s="18"/>
      <c r="G703" s="38"/>
      <c r="H703" s="38">
        <f ca="1">SUBTOTAL(9,H695:H702)</f>
        <v>77046</v>
      </c>
      <c r="I703" s="12"/>
      <c r="J703" s="12"/>
      <c r="K703" s="12"/>
      <c r="L703" s="15">
        <v>77046</v>
      </c>
    </row>
    <row r="704" spans="1:13" ht="39.75" customHeight="1" outlineLevel="2" x14ac:dyDescent="0.25">
      <c r="A704" s="10">
        <f>ROW(A702)</f>
        <v>702</v>
      </c>
      <c r="B704" s="6" t="str">
        <f>E704</f>
        <v>ЩР(ГЦ)2 (Блок 4, 5)</v>
      </c>
      <c r="C704" s="6"/>
      <c r="D704" s="28"/>
      <c r="E704" s="6" t="s">
        <v>449</v>
      </c>
      <c r="F704" s="36"/>
      <c r="G704" s="36" t="s">
        <v>73</v>
      </c>
      <c r="H704" s="7"/>
      <c r="I704" s="10">
        <v>1</v>
      </c>
      <c r="J704" s="11" t="s">
        <v>6</v>
      </c>
      <c r="K704" s="6" t="s">
        <v>8</v>
      </c>
      <c r="L704" s="9"/>
    </row>
    <row r="705" spans="1:13" ht="21" customHeight="1" outlineLevel="2" x14ac:dyDescent="0.25">
      <c r="A705" s="16">
        <f t="shared" si="9"/>
        <v>704</v>
      </c>
      <c r="B705" s="12" t="str">
        <f t="shared" ref="B705:B711" si="13">B704</f>
        <v>ЩР(ГЦ)2 (Блок 4, 5)</v>
      </c>
      <c r="C705" s="13" t="s">
        <v>7</v>
      </c>
      <c r="D705" s="29" t="s">
        <v>472</v>
      </c>
      <c r="E705" s="12" t="s">
        <v>473</v>
      </c>
      <c r="F705" s="37">
        <v>22000</v>
      </c>
      <c r="G705" s="38">
        <f>F705*0.6</f>
        <v>13200</v>
      </c>
      <c r="H705" s="38">
        <f>I705*G705</f>
        <v>13200</v>
      </c>
      <c r="I705" s="16">
        <v>1</v>
      </c>
      <c r="J705" s="17" t="s">
        <v>12</v>
      </c>
      <c r="K705" s="13" t="s">
        <v>15</v>
      </c>
      <c r="L705" s="15">
        <v>13200</v>
      </c>
    </row>
    <row r="706" spans="1:13" ht="21" customHeight="1" outlineLevel="2" x14ac:dyDescent="0.25">
      <c r="A706" s="16">
        <f t="shared" si="9"/>
        <v>705</v>
      </c>
      <c r="B706" s="12" t="str">
        <f t="shared" si="13"/>
        <v>ЩР(ГЦ)2 (Блок 4, 5)</v>
      </c>
      <c r="C706" s="13" t="s">
        <v>11</v>
      </c>
      <c r="D706" s="29" t="s">
        <v>67</v>
      </c>
      <c r="E706" s="12" t="s">
        <v>68</v>
      </c>
      <c r="F706" s="37">
        <v>11015</v>
      </c>
      <c r="G706" s="38">
        <f>F706*0.6</f>
        <v>6609</v>
      </c>
      <c r="H706" s="38">
        <f>G706*I706</f>
        <v>6609</v>
      </c>
      <c r="I706" s="16">
        <v>1</v>
      </c>
      <c r="J706" s="17" t="s">
        <v>12</v>
      </c>
      <c r="K706" s="13" t="s">
        <v>16</v>
      </c>
      <c r="L706" s="15">
        <v>6609</v>
      </c>
    </row>
    <row r="707" spans="1:13" ht="21" customHeight="1" outlineLevel="2" x14ac:dyDescent="0.25">
      <c r="A707" s="16">
        <f t="shared" si="9"/>
        <v>706</v>
      </c>
      <c r="B707" s="12" t="str">
        <f t="shared" si="13"/>
        <v>ЩР(ГЦ)2 (Блок 4, 5)</v>
      </c>
      <c r="C707" s="13" t="s">
        <v>11</v>
      </c>
      <c r="D707" s="29" t="s">
        <v>65</v>
      </c>
      <c r="E707" s="12" t="s">
        <v>66</v>
      </c>
      <c r="F707" s="37">
        <v>2807</v>
      </c>
      <c r="G707" s="38">
        <f>F707*0.6</f>
        <v>1684.2</v>
      </c>
      <c r="H707" s="38">
        <f>G707*I707</f>
        <v>3368.4</v>
      </c>
      <c r="I707" s="16">
        <v>2</v>
      </c>
      <c r="J707" s="17" t="s">
        <v>12</v>
      </c>
      <c r="K707" s="13" t="s">
        <v>16</v>
      </c>
      <c r="L707" s="15">
        <v>3368.4</v>
      </c>
    </row>
    <row r="708" spans="1:13" ht="21" customHeight="1" outlineLevel="2" x14ac:dyDescent="0.25">
      <c r="A708" s="16">
        <f t="shared" si="9"/>
        <v>707</v>
      </c>
      <c r="B708" s="12" t="str">
        <f t="shared" si="13"/>
        <v>ЩР(ГЦ)2 (Блок 4, 5)</v>
      </c>
      <c r="C708" s="13" t="s">
        <v>22</v>
      </c>
      <c r="D708" s="29" t="s">
        <v>96</v>
      </c>
      <c r="E708" s="12" t="s">
        <v>97</v>
      </c>
      <c r="F708" s="37">
        <v>5069</v>
      </c>
      <c r="G708" s="38">
        <f>F708*0.6</f>
        <v>3041.4</v>
      </c>
      <c r="H708" s="38">
        <f>G708*I708</f>
        <v>9124.2000000000007</v>
      </c>
      <c r="I708" s="16">
        <v>3</v>
      </c>
      <c r="J708" s="17" t="s">
        <v>12</v>
      </c>
      <c r="K708" s="13" t="s">
        <v>16</v>
      </c>
      <c r="L708" s="15">
        <v>9124.2000000000007</v>
      </c>
      <c r="M708" t="s">
        <v>445</v>
      </c>
    </row>
    <row r="709" spans="1:13" ht="21" customHeight="1" outlineLevel="2" x14ac:dyDescent="0.25">
      <c r="A709" s="16">
        <f t="shared" si="9"/>
        <v>708</v>
      </c>
      <c r="B709" s="12" t="str">
        <f t="shared" si="13"/>
        <v>ЩР(ГЦ)2 (Блок 4, 5)</v>
      </c>
      <c r="C709" s="13" t="s">
        <v>11</v>
      </c>
      <c r="D709" s="29" t="s">
        <v>20</v>
      </c>
      <c r="E709" s="12" t="s">
        <v>21</v>
      </c>
      <c r="F709" s="37">
        <v>2429</v>
      </c>
      <c r="G709" s="38">
        <f>F709*0.6</f>
        <v>1457.3999999999999</v>
      </c>
      <c r="H709" s="38">
        <f>G709*I709</f>
        <v>8744.4</v>
      </c>
      <c r="I709" s="16">
        <v>6</v>
      </c>
      <c r="J709" s="17" t="s">
        <v>12</v>
      </c>
      <c r="K709" s="13" t="s">
        <v>16</v>
      </c>
      <c r="L709" s="15">
        <v>8744.4</v>
      </c>
    </row>
    <row r="710" spans="1:13" ht="24" customHeight="1" outlineLevel="2" x14ac:dyDescent="0.25">
      <c r="A710" s="12">
        <f t="shared" si="9"/>
        <v>709</v>
      </c>
      <c r="B710" s="12" t="str">
        <f t="shared" si="13"/>
        <v>ЩР(ГЦ)2 (Блок 4, 5)</v>
      </c>
      <c r="C710" s="12" t="s">
        <v>9</v>
      </c>
      <c r="D710" s="30" t="s">
        <v>9</v>
      </c>
      <c r="E710" s="12" t="s">
        <v>9</v>
      </c>
      <c r="F710" s="18">
        <f ca="1">OFFSET(F710,1,2)</f>
        <v>18000</v>
      </c>
      <c r="G710" s="38">
        <f ca="1">F710</f>
        <v>18000</v>
      </c>
      <c r="H710" s="38">
        <f ca="1">G710*I710</f>
        <v>18000</v>
      </c>
      <c r="I710" s="12">
        <v>1</v>
      </c>
      <c r="J710" s="12" t="s">
        <v>12</v>
      </c>
      <c r="K710" s="12" t="s">
        <v>9</v>
      </c>
      <c r="L710" s="15">
        <v>18000</v>
      </c>
    </row>
    <row r="711" spans="1:13" ht="21" customHeight="1" outlineLevel="2" x14ac:dyDescent="0.25">
      <c r="A711" s="12">
        <f t="shared" si="9"/>
        <v>710</v>
      </c>
      <c r="B711" s="12" t="str">
        <f t="shared" si="13"/>
        <v>ЩР(ГЦ)2 (Блок 4, 5)</v>
      </c>
      <c r="C711" s="12" t="s">
        <v>10</v>
      </c>
      <c r="D711" s="30" t="s">
        <v>10</v>
      </c>
      <c r="E711" s="12" t="s">
        <v>10</v>
      </c>
      <c r="F711" s="18">
        <v>3</v>
      </c>
      <c r="G711" s="38">
        <v>100</v>
      </c>
      <c r="H711" s="38">
        <f>60*F711*G711</f>
        <v>18000</v>
      </c>
      <c r="I711" s="12">
        <f>60*F711</f>
        <v>180</v>
      </c>
      <c r="J711" s="12" t="s">
        <v>12</v>
      </c>
      <c r="K711" s="12" t="s">
        <v>10</v>
      </c>
      <c r="L711" s="15">
        <v>18000</v>
      </c>
    </row>
    <row r="712" spans="1:13" ht="21" customHeight="1" outlineLevel="1" x14ac:dyDescent="0.25">
      <c r="A712" s="12"/>
      <c r="B712" s="12" t="s">
        <v>686</v>
      </c>
      <c r="C712" s="12"/>
      <c r="D712" s="30"/>
      <c r="E712" s="12"/>
      <c r="F712" s="18"/>
      <c r="G712" s="38"/>
      <c r="H712" s="38">
        <f ca="1">SUBTOTAL(9,H704:H711)</f>
        <v>77046</v>
      </c>
      <c r="I712" s="12"/>
      <c r="J712" s="12"/>
      <c r="K712" s="12"/>
      <c r="L712" s="15">
        <v>77046</v>
      </c>
    </row>
    <row r="713" spans="1:13" ht="39.75" customHeight="1" outlineLevel="2" x14ac:dyDescent="0.25">
      <c r="A713" s="10">
        <f>ROW(A711)</f>
        <v>711</v>
      </c>
      <c r="B713" s="6" t="str">
        <f>E713</f>
        <v>ЩР(БО)1 (Блок 4, 5)</v>
      </c>
      <c r="C713" s="6"/>
      <c r="D713" s="28"/>
      <c r="E713" s="6" t="s">
        <v>203</v>
      </c>
      <c r="F713" s="36"/>
      <c r="G713" s="36" t="s">
        <v>73</v>
      </c>
      <c r="H713" s="7"/>
      <c r="I713" s="10">
        <v>1</v>
      </c>
      <c r="J713" s="11" t="s">
        <v>6</v>
      </c>
      <c r="K713" s="6" t="s">
        <v>8</v>
      </c>
      <c r="L713" s="9"/>
    </row>
    <row r="714" spans="1:13" ht="21" customHeight="1" outlineLevel="2" x14ac:dyDescent="0.25">
      <c r="A714" s="16">
        <f t="shared" si="9"/>
        <v>713</v>
      </c>
      <c r="B714" s="12" t="str">
        <f t="shared" ref="B714:B718" si="14">B713</f>
        <v>ЩР(БО)1 (Блок 4, 5)</v>
      </c>
      <c r="C714" s="13" t="s">
        <v>7</v>
      </c>
      <c r="D714" s="29" t="s">
        <v>472</v>
      </c>
      <c r="E714" s="12" t="s">
        <v>473</v>
      </c>
      <c r="F714" s="37">
        <v>22000</v>
      </c>
      <c r="G714" s="38">
        <f>F714*0.6</f>
        <v>13200</v>
      </c>
      <c r="H714" s="38">
        <f>I714*G714</f>
        <v>13200</v>
      </c>
      <c r="I714" s="16">
        <v>1</v>
      </c>
      <c r="J714" s="17" t="s">
        <v>12</v>
      </c>
      <c r="K714" s="13" t="s">
        <v>15</v>
      </c>
      <c r="L714" s="15">
        <v>13200</v>
      </c>
    </row>
    <row r="715" spans="1:13" ht="21" customHeight="1" outlineLevel="2" x14ac:dyDescent="0.25">
      <c r="A715" s="16">
        <f t="shared" si="9"/>
        <v>714</v>
      </c>
      <c r="B715" s="12" t="str">
        <f t="shared" si="14"/>
        <v>ЩР(БО)1 (Блок 4, 5)</v>
      </c>
      <c r="C715" s="13" t="s">
        <v>11</v>
      </c>
      <c r="D715" s="29" t="s">
        <v>28</v>
      </c>
      <c r="E715" s="12" t="s">
        <v>27</v>
      </c>
      <c r="F715" s="37">
        <v>2606</v>
      </c>
      <c r="G715" s="38">
        <f>F715*0.6</f>
        <v>1563.6</v>
      </c>
      <c r="H715" s="38">
        <f>G715*I715</f>
        <v>1563.6</v>
      </c>
      <c r="I715" s="16">
        <v>1</v>
      </c>
      <c r="J715" s="17" t="s">
        <v>12</v>
      </c>
      <c r="K715" s="13" t="s">
        <v>16</v>
      </c>
      <c r="L715" s="15">
        <v>1563.6</v>
      </c>
    </row>
    <row r="716" spans="1:13" ht="21" customHeight="1" outlineLevel="2" x14ac:dyDescent="0.25">
      <c r="A716" s="16">
        <f t="shared" si="9"/>
        <v>715</v>
      </c>
      <c r="B716" s="12" t="str">
        <f t="shared" si="14"/>
        <v>ЩР(БО)1 (Блок 4, 5)</v>
      </c>
      <c r="C716" s="13" t="s">
        <v>11</v>
      </c>
      <c r="D716" s="29" t="s">
        <v>20</v>
      </c>
      <c r="E716" s="12" t="s">
        <v>21</v>
      </c>
      <c r="F716" s="37">
        <v>2429</v>
      </c>
      <c r="G716" s="38">
        <f>F716*0.6</f>
        <v>1457.3999999999999</v>
      </c>
      <c r="H716" s="38">
        <f>G716*I716</f>
        <v>8744.4</v>
      </c>
      <c r="I716" s="16">
        <v>6</v>
      </c>
      <c r="J716" s="17" t="s">
        <v>12</v>
      </c>
      <c r="K716" s="13" t="s">
        <v>16</v>
      </c>
      <c r="L716" s="15">
        <v>8744.4</v>
      </c>
    </row>
    <row r="717" spans="1:13" ht="24" customHeight="1" outlineLevel="2" x14ac:dyDescent="0.25">
      <c r="A717" s="12">
        <f t="shared" si="9"/>
        <v>716</v>
      </c>
      <c r="B717" s="12" t="str">
        <f t="shared" si="14"/>
        <v>ЩР(БО)1 (Блок 4, 5)</v>
      </c>
      <c r="C717" s="12" t="s">
        <v>9</v>
      </c>
      <c r="D717" s="30" t="s">
        <v>9</v>
      </c>
      <c r="E717" s="12" t="s">
        <v>9</v>
      </c>
      <c r="F717" s="18">
        <f ca="1">OFFSET(F717,1,2)</f>
        <v>12000</v>
      </c>
      <c r="G717" s="38">
        <f ca="1">F717</f>
        <v>12000</v>
      </c>
      <c r="H717" s="38">
        <f ca="1">G717*I717</f>
        <v>12000</v>
      </c>
      <c r="I717" s="12">
        <v>1</v>
      </c>
      <c r="J717" s="12" t="s">
        <v>12</v>
      </c>
      <c r="K717" s="12" t="s">
        <v>9</v>
      </c>
      <c r="L717" s="15">
        <v>12000</v>
      </c>
    </row>
    <row r="718" spans="1:13" ht="21" customHeight="1" outlineLevel="2" x14ac:dyDescent="0.25">
      <c r="A718" s="12">
        <f t="shared" si="9"/>
        <v>717</v>
      </c>
      <c r="B718" s="12" t="str">
        <f t="shared" si="14"/>
        <v>ЩР(БО)1 (Блок 4, 5)</v>
      </c>
      <c r="C718" s="12" t="s">
        <v>10</v>
      </c>
      <c r="D718" s="30" t="s">
        <v>10</v>
      </c>
      <c r="E718" s="12" t="s">
        <v>10</v>
      </c>
      <c r="F718" s="18">
        <v>2</v>
      </c>
      <c r="G718" s="38">
        <v>100</v>
      </c>
      <c r="H718" s="38">
        <f>60*F718*G718</f>
        <v>12000</v>
      </c>
      <c r="I718" s="12">
        <f>60*F718</f>
        <v>120</v>
      </c>
      <c r="J718" s="12" t="s">
        <v>12</v>
      </c>
      <c r="K718" s="12" t="s">
        <v>10</v>
      </c>
      <c r="L718" s="15">
        <v>12000</v>
      </c>
    </row>
    <row r="719" spans="1:13" ht="21" customHeight="1" outlineLevel="1" x14ac:dyDescent="0.25">
      <c r="A719" s="12"/>
      <c r="B719" s="12" t="s">
        <v>687</v>
      </c>
      <c r="C719" s="12"/>
      <c r="D719" s="30"/>
      <c r="E719" s="12"/>
      <c r="F719" s="18"/>
      <c r="G719" s="38"/>
      <c r="H719" s="38">
        <f ca="1">SUBTOTAL(9,H713:H718)</f>
        <v>47508</v>
      </c>
      <c r="I719" s="12"/>
      <c r="J719" s="12"/>
      <c r="K719" s="12"/>
      <c r="L719" s="15">
        <v>47508</v>
      </c>
    </row>
    <row r="720" spans="1:13" ht="39.75" customHeight="1" outlineLevel="2" x14ac:dyDescent="0.25">
      <c r="A720" s="10">
        <f>ROW(A718)</f>
        <v>718</v>
      </c>
      <c r="B720" s="6" t="str">
        <f>E720</f>
        <v>ЩР(БО)2(Блок 4, 5)</v>
      </c>
      <c r="C720" s="6"/>
      <c r="D720" s="28"/>
      <c r="E720" s="6" t="s">
        <v>446</v>
      </c>
      <c r="F720" s="36"/>
      <c r="G720" s="36" t="s">
        <v>73</v>
      </c>
      <c r="H720" s="7"/>
      <c r="I720" s="10">
        <v>1</v>
      </c>
      <c r="J720" s="11" t="s">
        <v>6</v>
      </c>
      <c r="K720" s="6" t="s">
        <v>8</v>
      </c>
      <c r="L720" s="9"/>
    </row>
    <row r="721" spans="1:12" ht="21" customHeight="1" outlineLevel="2" x14ac:dyDescent="0.25">
      <c r="A721" s="16">
        <f t="shared" si="9"/>
        <v>720</v>
      </c>
      <c r="B721" s="12" t="str">
        <f t="shared" ref="B721:B725" si="15">B720</f>
        <v>ЩР(БО)2(Блок 4, 5)</v>
      </c>
      <c r="C721" s="13" t="s">
        <v>7</v>
      </c>
      <c r="D721" s="29" t="s">
        <v>472</v>
      </c>
      <c r="E721" s="12" t="s">
        <v>473</v>
      </c>
      <c r="F721" s="37">
        <v>22000</v>
      </c>
      <c r="G721" s="38">
        <f>F721*0.6</f>
        <v>13200</v>
      </c>
      <c r="H721" s="38">
        <f>I721*G721</f>
        <v>13200</v>
      </c>
      <c r="I721" s="16">
        <v>1</v>
      </c>
      <c r="J721" s="17" t="s">
        <v>12</v>
      </c>
      <c r="K721" s="13" t="s">
        <v>15</v>
      </c>
      <c r="L721" s="15">
        <v>13200</v>
      </c>
    </row>
    <row r="722" spans="1:12" ht="21" customHeight="1" outlineLevel="2" x14ac:dyDescent="0.25">
      <c r="A722" s="16">
        <f t="shared" si="9"/>
        <v>721</v>
      </c>
      <c r="B722" s="12" t="str">
        <f t="shared" si="15"/>
        <v>ЩР(БО)2(Блок 4, 5)</v>
      </c>
      <c r="C722" s="13" t="s">
        <v>11</v>
      </c>
      <c r="D722" s="29" t="s">
        <v>28</v>
      </c>
      <c r="E722" s="12" t="s">
        <v>27</v>
      </c>
      <c r="F722" s="37">
        <v>2606</v>
      </c>
      <c r="G722" s="38">
        <f>F722*0.6</f>
        <v>1563.6</v>
      </c>
      <c r="H722" s="38">
        <f>G722*I722</f>
        <v>1563.6</v>
      </c>
      <c r="I722" s="16">
        <v>1</v>
      </c>
      <c r="J722" s="17" t="s">
        <v>12</v>
      </c>
      <c r="K722" s="13" t="s">
        <v>16</v>
      </c>
      <c r="L722" s="15">
        <v>1563.6</v>
      </c>
    </row>
    <row r="723" spans="1:12" ht="21" customHeight="1" outlineLevel="2" x14ac:dyDescent="0.25">
      <c r="A723" s="16">
        <f t="shared" si="9"/>
        <v>722</v>
      </c>
      <c r="B723" s="12" t="str">
        <f t="shared" si="15"/>
        <v>ЩР(БО)2(Блок 4, 5)</v>
      </c>
      <c r="C723" s="13" t="s">
        <v>11</v>
      </c>
      <c r="D723" s="29" t="s">
        <v>20</v>
      </c>
      <c r="E723" s="12" t="s">
        <v>21</v>
      </c>
      <c r="F723" s="37">
        <v>2429</v>
      </c>
      <c r="G723" s="38">
        <f>F723*0.6</f>
        <v>1457.3999999999999</v>
      </c>
      <c r="H723" s="38">
        <f>G723*I723</f>
        <v>8744.4</v>
      </c>
      <c r="I723" s="16">
        <v>6</v>
      </c>
      <c r="J723" s="17" t="s">
        <v>12</v>
      </c>
      <c r="K723" s="13" t="s">
        <v>16</v>
      </c>
      <c r="L723" s="15">
        <v>8744.4</v>
      </c>
    </row>
    <row r="724" spans="1:12" ht="24" customHeight="1" outlineLevel="2" x14ac:dyDescent="0.25">
      <c r="A724" s="12">
        <f t="shared" si="9"/>
        <v>723</v>
      </c>
      <c r="B724" s="12" t="str">
        <f t="shared" si="15"/>
        <v>ЩР(БО)2(Блок 4, 5)</v>
      </c>
      <c r="C724" s="12" t="s">
        <v>9</v>
      </c>
      <c r="D724" s="30" t="s">
        <v>9</v>
      </c>
      <c r="E724" s="12" t="s">
        <v>9</v>
      </c>
      <c r="F724" s="18">
        <f ca="1">OFFSET(F724,1,2)</f>
        <v>12000</v>
      </c>
      <c r="G724" s="38">
        <f ca="1">F724</f>
        <v>12000</v>
      </c>
      <c r="H724" s="38">
        <f ca="1">G724*I724</f>
        <v>12000</v>
      </c>
      <c r="I724" s="12">
        <v>1</v>
      </c>
      <c r="J724" s="12" t="s">
        <v>12</v>
      </c>
      <c r="K724" s="12" t="s">
        <v>9</v>
      </c>
      <c r="L724" s="15">
        <v>12000</v>
      </c>
    </row>
    <row r="725" spans="1:12" ht="21" customHeight="1" outlineLevel="2" x14ac:dyDescent="0.25">
      <c r="A725" s="12">
        <f t="shared" si="9"/>
        <v>724</v>
      </c>
      <c r="B725" s="12" t="str">
        <f t="shared" si="15"/>
        <v>ЩР(БО)2(Блок 4, 5)</v>
      </c>
      <c r="C725" s="12" t="s">
        <v>10</v>
      </c>
      <c r="D725" s="30" t="s">
        <v>10</v>
      </c>
      <c r="E725" s="12" t="s">
        <v>10</v>
      </c>
      <c r="F725" s="18">
        <v>2</v>
      </c>
      <c r="G725" s="38">
        <v>100</v>
      </c>
      <c r="H725" s="38">
        <f>60*F725*G725</f>
        <v>12000</v>
      </c>
      <c r="I725" s="12">
        <f>60*F725</f>
        <v>120</v>
      </c>
      <c r="J725" s="12" t="s">
        <v>12</v>
      </c>
      <c r="K725" s="12" t="s">
        <v>10</v>
      </c>
      <c r="L725" s="15">
        <v>12000</v>
      </c>
    </row>
    <row r="726" spans="1:12" ht="21" customHeight="1" outlineLevel="1" x14ac:dyDescent="0.25">
      <c r="A726" s="12"/>
      <c r="B726" s="12" t="s">
        <v>688</v>
      </c>
      <c r="C726" s="12"/>
      <c r="D726" s="30"/>
      <c r="E726" s="12"/>
      <c r="F726" s="18"/>
      <c r="G726" s="38"/>
      <c r="H726" s="38">
        <f ca="1">SUBTOTAL(9,H720:H725)</f>
        <v>47508</v>
      </c>
      <c r="I726" s="12"/>
      <c r="J726" s="12"/>
      <c r="K726" s="12"/>
      <c r="L726" s="15">
        <v>47508</v>
      </c>
    </row>
    <row r="727" spans="1:12" ht="39.75" customHeight="1" outlineLevel="2" x14ac:dyDescent="0.25">
      <c r="A727" s="10">
        <f>ROW(A725)</f>
        <v>725</v>
      </c>
      <c r="B727" s="6" t="str">
        <f>E727</f>
        <v>ЩСО (Блок 4, 5)</v>
      </c>
      <c r="C727" s="6"/>
      <c r="D727" s="28"/>
      <c r="E727" s="6" t="s">
        <v>204</v>
      </c>
      <c r="F727" s="36"/>
      <c r="G727" s="36" t="s">
        <v>73</v>
      </c>
      <c r="H727" s="7"/>
      <c r="I727" s="10">
        <v>1</v>
      </c>
      <c r="J727" s="11" t="s">
        <v>6</v>
      </c>
      <c r="K727" s="6" t="s">
        <v>8</v>
      </c>
      <c r="L727" s="9"/>
    </row>
    <row r="728" spans="1:12" ht="21" customHeight="1" outlineLevel="2" x14ac:dyDescent="0.25">
      <c r="A728" s="16">
        <f t="shared" si="9"/>
        <v>727</v>
      </c>
      <c r="B728" s="12" t="str">
        <f t="shared" ref="B728:B734" si="16">B727</f>
        <v>ЩСО (Блок 4, 5)</v>
      </c>
      <c r="C728" s="13" t="s">
        <v>7</v>
      </c>
      <c r="D728" s="29" t="s">
        <v>474</v>
      </c>
      <c r="E728" s="12" t="s">
        <v>475</v>
      </c>
      <c r="F728" s="37">
        <v>25000</v>
      </c>
      <c r="G728" s="38">
        <f>F728*0.6</f>
        <v>15000</v>
      </c>
      <c r="H728" s="38">
        <f>I728*G728</f>
        <v>15000</v>
      </c>
      <c r="I728" s="16">
        <v>1</v>
      </c>
      <c r="J728" s="17" t="s">
        <v>12</v>
      </c>
      <c r="K728" s="13" t="s">
        <v>15</v>
      </c>
      <c r="L728" s="15">
        <v>15000</v>
      </c>
    </row>
    <row r="729" spans="1:12" ht="21" customHeight="1" outlineLevel="2" x14ac:dyDescent="0.25">
      <c r="A729" s="16">
        <f t="shared" si="9"/>
        <v>728</v>
      </c>
      <c r="B729" s="12" t="str">
        <f t="shared" si="16"/>
        <v>ЩСО (Блок 4, 5)</v>
      </c>
      <c r="C729" s="13" t="s">
        <v>11</v>
      </c>
      <c r="D729" s="29" t="s">
        <v>20</v>
      </c>
      <c r="E729" s="12" t="s">
        <v>21</v>
      </c>
      <c r="F729" s="37">
        <v>2429</v>
      </c>
      <c r="G729" s="38">
        <f>F729*0.6</f>
        <v>1457.3999999999999</v>
      </c>
      <c r="H729" s="38">
        <f>G729*I729</f>
        <v>1457.3999999999999</v>
      </c>
      <c r="I729" s="16">
        <v>1</v>
      </c>
      <c r="J729" s="17" t="s">
        <v>12</v>
      </c>
      <c r="K729" s="13" t="s">
        <v>16</v>
      </c>
      <c r="L729" s="15">
        <v>1457.3999999999999</v>
      </c>
    </row>
    <row r="730" spans="1:12" ht="21" customHeight="1" outlineLevel="2" x14ac:dyDescent="0.25">
      <c r="A730" s="16">
        <f t="shared" si="9"/>
        <v>729</v>
      </c>
      <c r="B730" s="12" t="str">
        <f t="shared" si="16"/>
        <v>ЩСО (Блок 4, 5)</v>
      </c>
      <c r="C730" s="13" t="s">
        <v>11</v>
      </c>
      <c r="D730" s="29" t="s">
        <v>51</v>
      </c>
      <c r="E730" s="12" t="s">
        <v>52</v>
      </c>
      <c r="F730" s="37">
        <v>2337</v>
      </c>
      <c r="G730" s="38">
        <f>F730*0.6</f>
        <v>1402.2</v>
      </c>
      <c r="H730" s="38">
        <f>G730*I730</f>
        <v>19630.8</v>
      </c>
      <c r="I730" s="16">
        <v>14</v>
      </c>
      <c r="J730" s="17" t="s">
        <v>12</v>
      </c>
      <c r="K730" s="13" t="s">
        <v>16</v>
      </c>
      <c r="L730" s="15">
        <v>19630.8</v>
      </c>
    </row>
    <row r="731" spans="1:12" ht="21" customHeight="1" outlineLevel="2" x14ac:dyDescent="0.25">
      <c r="A731" s="16">
        <f t="shared" si="9"/>
        <v>730</v>
      </c>
      <c r="B731" s="12" t="str">
        <f t="shared" si="16"/>
        <v>ЩСО (Блок 4, 5)</v>
      </c>
      <c r="C731" s="13" t="s">
        <v>48</v>
      </c>
      <c r="D731" s="29" t="s">
        <v>205</v>
      </c>
      <c r="E731" s="12" t="s">
        <v>206</v>
      </c>
      <c r="F731" s="37">
        <v>13622</v>
      </c>
      <c r="G731" s="38">
        <f>F731*0.6</f>
        <v>8173.2</v>
      </c>
      <c r="H731" s="38">
        <f>G731*I731</f>
        <v>8173.2</v>
      </c>
      <c r="I731" s="16">
        <v>1</v>
      </c>
      <c r="J731" s="17" t="s">
        <v>12</v>
      </c>
      <c r="K731" s="13" t="s">
        <v>16</v>
      </c>
      <c r="L731" s="15">
        <v>8173.2</v>
      </c>
    </row>
    <row r="732" spans="1:12" ht="21" customHeight="1" outlineLevel="2" x14ac:dyDescent="0.25">
      <c r="A732" s="16">
        <f t="shared" ref="A732:A800" si="17">ROW(A731)</f>
        <v>731</v>
      </c>
      <c r="B732" s="12" t="str">
        <f t="shared" si="16"/>
        <v>ЩСО (Блок 4, 5)</v>
      </c>
      <c r="C732" s="13" t="s">
        <v>11</v>
      </c>
      <c r="D732" s="29" t="s">
        <v>18</v>
      </c>
      <c r="E732" s="12" t="s">
        <v>19</v>
      </c>
      <c r="F732" s="37">
        <v>975</v>
      </c>
      <c r="G732" s="38">
        <f>F732*0.6</f>
        <v>585</v>
      </c>
      <c r="H732" s="38">
        <f>G732*I732</f>
        <v>585</v>
      </c>
      <c r="I732" s="16">
        <v>1</v>
      </c>
      <c r="J732" s="17" t="s">
        <v>12</v>
      </c>
      <c r="K732" s="13" t="s">
        <v>16</v>
      </c>
      <c r="L732" s="15">
        <v>585</v>
      </c>
    </row>
    <row r="733" spans="1:12" ht="24" customHeight="1" outlineLevel="2" x14ac:dyDescent="0.25">
      <c r="A733" s="12">
        <f t="shared" si="17"/>
        <v>732</v>
      </c>
      <c r="B733" s="12" t="str">
        <f t="shared" si="16"/>
        <v>ЩСО (Блок 4, 5)</v>
      </c>
      <c r="C733" s="12" t="s">
        <v>9</v>
      </c>
      <c r="D733" s="30" t="s">
        <v>9</v>
      </c>
      <c r="E733" s="12" t="s">
        <v>9</v>
      </c>
      <c r="F733" s="18">
        <f ca="1">OFFSET(F733,1,2)</f>
        <v>15000</v>
      </c>
      <c r="G733" s="38">
        <f ca="1">F733</f>
        <v>15000</v>
      </c>
      <c r="H733" s="38">
        <f ca="1">G733*I733</f>
        <v>15000</v>
      </c>
      <c r="I733" s="12">
        <v>1</v>
      </c>
      <c r="J733" s="12" t="s">
        <v>12</v>
      </c>
      <c r="K733" s="12" t="s">
        <v>9</v>
      </c>
      <c r="L733" s="15">
        <v>15000</v>
      </c>
    </row>
    <row r="734" spans="1:12" ht="21" customHeight="1" outlineLevel="2" x14ac:dyDescent="0.25">
      <c r="A734" s="12">
        <f t="shared" si="17"/>
        <v>733</v>
      </c>
      <c r="B734" s="12" t="str">
        <f t="shared" si="16"/>
        <v>ЩСО (Блок 4, 5)</v>
      </c>
      <c r="C734" s="12" t="s">
        <v>10</v>
      </c>
      <c r="D734" s="30" t="s">
        <v>10</v>
      </c>
      <c r="E734" s="12" t="s">
        <v>10</v>
      </c>
      <c r="F734" s="18">
        <v>2.5</v>
      </c>
      <c r="G734" s="38">
        <v>100</v>
      </c>
      <c r="H734" s="38">
        <f>60*F734*G734</f>
        <v>15000</v>
      </c>
      <c r="I734" s="12">
        <f>60*F734</f>
        <v>150</v>
      </c>
      <c r="J734" s="12" t="s">
        <v>12</v>
      </c>
      <c r="K734" s="12" t="s">
        <v>10</v>
      </c>
      <c r="L734" s="15">
        <v>15000</v>
      </c>
    </row>
    <row r="735" spans="1:12" ht="21" customHeight="1" outlineLevel="1" x14ac:dyDescent="0.25">
      <c r="A735" s="12"/>
      <c r="B735" s="12" t="s">
        <v>689</v>
      </c>
      <c r="C735" s="12"/>
      <c r="D735" s="30"/>
      <c r="E735" s="12"/>
      <c r="F735" s="18"/>
      <c r="G735" s="38"/>
      <c r="H735" s="38">
        <f ca="1">SUBTOTAL(9,H727:H734)</f>
        <v>74846.399999999994</v>
      </c>
      <c r="I735" s="12"/>
      <c r="J735" s="12"/>
      <c r="K735" s="12"/>
      <c r="L735" s="15">
        <v>74846.399999999994</v>
      </c>
    </row>
    <row r="736" spans="1:12" ht="39.75" customHeight="1" outlineLevel="2" x14ac:dyDescent="0.25">
      <c r="A736" s="10">
        <f>ROW(A734)</f>
        <v>734</v>
      </c>
      <c r="B736" s="6" t="str">
        <f>E736</f>
        <v xml:space="preserve">ВРУ1 (ВРУ1-17-70) (БЛОК 6) </v>
      </c>
      <c r="C736" s="6"/>
      <c r="D736" s="28"/>
      <c r="E736" s="6" t="s">
        <v>556</v>
      </c>
      <c r="F736" s="36"/>
      <c r="G736" s="36" t="s">
        <v>73</v>
      </c>
      <c r="H736" s="7"/>
      <c r="I736" s="10">
        <v>1</v>
      </c>
      <c r="J736" s="11" t="s">
        <v>6</v>
      </c>
      <c r="K736" s="6" t="s">
        <v>8</v>
      </c>
      <c r="L736" s="9"/>
    </row>
    <row r="737" spans="1:12" ht="21" customHeight="1" outlineLevel="2" x14ac:dyDescent="0.25">
      <c r="A737" s="16">
        <f t="shared" si="17"/>
        <v>736</v>
      </c>
      <c r="B737" s="12" t="str">
        <f t="shared" ref="B737:B751" si="18">B736</f>
        <v xml:space="preserve">ВРУ1 (ВРУ1-17-70) (БЛОК 6) </v>
      </c>
      <c r="C737" s="13" t="s">
        <v>7</v>
      </c>
      <c r="D737" s="29" t="s">
        <v>60</v>
      </c>
      <c r="E737" s="12" t="s">
        <v>61</v>
      </c>
      <c r="F737" s="37">
        <v>155000</v>
      </c>
      <c r="G737" s="38">
        <f>F737*0.6</f>
        <v>93000</v>
      </c>
      <c r="H737" s="38">
        <f>I737*G737</f>
        <v>186000</v>
      </c>
      <c r="I737" s="16">
        <v>2</v>
      </c>
      <c r="J737" s="17" t="s">
        <v>12</v>
      </c>
      <c r="K737" s="13" t="s">
        <v>15</v>
      </c>
      <c r="L737" s="15">
        <v>186000</v>
      </c>
    </row>
    <row r="738" spans="1:12" ht="21" customHeight="1" outlineLevel="2" x14ac:dyDescent="0.25">
      <c r="A738" s="16">
        <f t="shared" si="17"/>
        <v>737</v>
      </c>
      <c r="B738" s="12" t="str">
        <f t="shared" si="18"/>
        <v xml:space="preserve">ВРУ1 (ВРУ1-17-70) (БЛОК 6) </v>
      </c>
      <c r="C738" s="13" t="s">
        <v>43</v>
      </c>
      <c r="D738" s="29" t="s">
        <v>231</v>
      </c>
      <c r="E738" s="12" t="s">
        <v>232</v>
      </c>
      <c r="F738" s="37">
        <v>107419</v>
      </c>
      <c r="G738" s="38">
        <f t="shared" ref="G738:G748" si="19">F738*0.6</f>
        <v>64451.399999999994</v>
      </c>
      <c r="H738" s="38">
        <f t="shared" ref="H738:H750" si="20">G738*I738</f>
        <v>64451.399999999994</v>
      </c>
      <c r="I738" s="16">
        <v>1</v>
      </c>
      <c r="J738" s="17" t="s">
        <v>12</v>
      </c>
      <c r="K738" s="13" t="s">
        <v>16</v>
      </c>
      <c r="L738" s="15">
        <v>64451.399999999994</v>
      </c>
    </row>
    <row r="739" spans="1:12" ht="21" customHeight="1" outlineLevel="2" x14ac:dyDescent="0.25">
      <c r="A739" s="16">
        <f t="shared" si="17"/>
        <v>738</v>
      </c>
      <c r="B739" s="12" t="str">
        <f t="shared" si="18"/>
        <v xml:space="preserve">ВРУ1 (ВРУ1-17-70) (БЛОК 6) </v>
      </c>
      <c r="C739" s="13" t="s">
        <v>43</v>
      </c>
      <c r="D739" s="29" t="s">
        <v>233</v>
      </c>
      <c r="E739" s="12" t="s">
        <v>234</v>
      </c>
      <c r="F739" s="37">
        <v>73736</v>
      </c>
      <c r="G739" s="38">
        <f t="shared" si="19"/>
        <v>44241.599999999999</v>
      </c>
      <c r="H739" s="38">
        <f t="shared" si="20"/>
        <v>88483.199999999997</v>
      </c>
      <c r="I739" s="16">
        <v>2</v>
      </c>
      <c r="J739" s="17" t="s">
        <v>12</v>
      </c>
      <c r="K739" s="13" t="s">
        <v>16</v>
      </c>
      <c r="L739" s="15">
        <v>88483.199999999997</v>
      </c>
    </row>
    <row r="740" spans="1:12" ht="21" customHeight="1" outlineLevel="2" x14ac:dyDescent="0.25">
      <c r="A740" s="16">
        <f t="shared" si="17"/>
        <v>739</v>
      </c>
      <c r="B740" s="12" t="str">
        <f t="shared" si="18"/>
        <v xml:space="preserve">ВРУ1 (ВРУ1-17-70) (БЛОК 6) </v>
      </c>
      <c r="C740" s="13" t="s">
        <v>43</v>
      </c>
      <c r="D740" s="29" t="s">
        <v>181</v>
      </c>
      <c r="E740" s="12" t="s">
        <v>182</v>
      </c>
      <c r="F740" s="37">
        <v>34800</v>
      </c>
      <c r="G740" s="38">
        <f t="shared" si="19"/>
        <v>20880</v>
      </c>
      <c r="H740" s="38">
        <f t="shared" si="20"/>
        <v>20880</v>
      </c>
      <c r="I740" s="16">
        <v>1</v>
      </c>
      <c r="J740" s="17" t="s">
        <v>12</v>
      </c>
      <c r="K740" s="13" t="s">
        <v>16</v>
      </c>
      <c r="L740" s="15">
        <v>20880</v>
      </c>
    </row>
    <row r="741" spans="1:12" ht="21" customHeight="1" outlineLevel="2" x14ac:dyDescent="0.25">
      <c r="A741" s="16">
        <f t="shared" si="17"/>
        <v>740</v>
      </c>
      <c r="B741" s="12" t="str">
        <f t="shared" si="18"/>
        <v xml:space="preserve">ВРУ1 (ВРУ1-17-70) (БЛОК 6) </v>
      </c>
      <c r="C741" s="13" t="s">
        <v>43</v>
      </c>
      <c r="D741" s="29" t="s">
        <v>235</v>
      </c>
      <c r="E741" s="12" t="s">
        <v>236</v>
      </c>
      <c r="F741" s="37">
        <v>37038</v>
      </c>
      <c r="G741" s="38">
        <f t="shared" si="19"/>
        <v>22222.799999999999</v>
      </c>
      <c r="H741" s="38">
        <f t="shared" si="20"/>
        <v>22222.799999999999</v>
      </c>
      <c r="I741" s="16">
        <v>1</v>
      </c>
      <c r="J741" s="17" t="s">
        <v>12</v>
      </c>
      <c r="K741" s="13" t="s">
        <v>16</v>
      </c>
      <c r="L741" s="15">
        <v>22222.799999999999</v>
      </c>
    </row>
    <row r="742" spans="1:12" ht="21" customHeight="1" outlineLevel="2" x14ac:dyDescent="0.25">
      <c r="A742" s="16">
        <f t="shared" si="17"/>
        <v>741</v>
      </c>
      <c r="B742" s="12" t="str">
        <f t="shared" si="18"/>
        <v xml:space="preserve">ВРУ1 (ВРУ1-17-70) (БЛОК 6) </v>
      </c>
      <c r="C742" s="13" t="s">
        <v>43</v>
      </c>
      <c r="D742" s="29" t="s">
        <v>31</v>
      </c>
      <c r="E742" s="12" t="s">
        <v>32</v>
      </c>
      <c r="F742" s="37">
        <v>18263</v>
      </c>
      <c r="G742" s="38">
        <f t="shared" si="19"/>
        <v>10957.8</v>
      </c>
      <c r="H742" s="38">
        <f t="shared" si="20"/>
        <v>21915.599999999999</v>
      </c>
      <c r="I742" s="16">
        <v>2</v>
      </c>
      <c r="J742" s="17" t="s">
        <v>12</v>
      </c>
      <c r="K742" s="13" t="s">
        <v>16</v>
      </c>
      <c r="L742" s="15">
        <v>21915.599999999999</v>
      </c>
    </row>
    <row r="743" spans="1:12" ht="21" customHeight="1" outlineLevel="2" x14ac:dyDescent="0.25">
      <c r="A743" s="16">
        <f t="shared" si="17"/>
        <v>742</v>
      </c>
      <c r="B743" s="12" t="str">
        <f t="shared" si="18"/>
        <v xml:space="preserve">ВРУ1 (ВРУ1-17-70) (БЛОК 6) </v>
      </c>
      <c r="C743" s="13" t="s">
        <v>43</v>
      </c>
      <c r="D743" s="29" t="s">
        <v>74</v>
      </c>
      <c r="E743" s="12" t="s">
        <v>75</v>
      </c>
      <c r="F743" s="37">
        <v>20174</v>
      </c>
      <c r="G743" s="38">
        <f t="shared" si="19"/>
        <v>12104.4</v>
      </c>
      <c r="H743" s="38">
        <f t="shared" si="20"/>
        <v>193670.39999999999</v>
      </c>
      <c r="I743" s="16">
        <v>16</v>
      </c>
      <c r="J743" s="17" t="s">
        <v>12</v>
      </c>
      <c r="K743" s="13" t="s">
        <v>16</v>
      </c>
      <c r="L743" s="15">
        <v>193670.39999999999</v>
      </c>
    </row>
    <row r="744" spans="1:12" ht="21" customHeight="1" outlineLevel="2" x14ac:dyDescent="0.25">
      <c r="A744" s="16">
        <f t="shared" si="17"/>
        <v>743</v>
      </c>
      <c r="B744" s="12" t="str">
        <f t="shared" si="18"/>
        <v xml:space="preserve">ВРУ1 (ВРУ1-17-70) (БЛОК 6) </v>
      </c>
      <c r="C744" s="13" t="s">
        <v>43</v>
      </c>
      <c r="D744" s="29" t="s">
        <v>237</v>
      </c>
      <c r="E744" s="12" t="s">
        <v>238</v>
      </c>
      <c r="F744" s="37">
        <v>17405</v>
      </c>
      <c r="G744" s="38">
        <f t="shared" si="19"/>
        <v>10443</v>
      </c>
      <c r="H744" s="38">
        <f t="shared" si="20"/>
        <v>52215</v>
      </c>
      <c r="I744" s="16">
        <v>5</v>
      </c>
      <c r="J744" s="17" t="s">
        <v>12</v>
      </c>
      <c r="K744" s="13" t="s">
        <v>16</v>
      </c>
      <c r="L744" s="15">
        <v>52215</v>
      </c>
    </row>
    <row r="745" spans="1:12" ht="21" customHeight="1" outlineLevel="2" x14ac:dyDescent="0.25">
      <c r="A745" s="16">
        <f t="shared" si="17"/>
        <v>744</v>
      </c>
      <c r="B745" s="12" t="str">
        <f t="shared" si="18"/>
        <v xml:space="preserve">ВРУ1 (ВРУ1-17-70) (БЛОК 6) </v>
      </c>
      <c r="C745" s="13" t="s">
        <v>43</v>
      </c>
      <c r="D745" s="29" t="s">
        <v>239</v>
      </c>
      <c r="E745" s="12" t="s">
        <v>240</v>
      </c>
      <c r="F745" s="37">
        <v>16489</v>
      </c>
      <c r="G745" s="38">
        <f t="shared" si="19"/>
        <v>9893.4</v>
      </c>
      <c r="H745" s="38">
        <f t="shared" si="20"/>
        <v>19786.8</v>
      </c>
      <c r="I745" s="16">
        <v>2</v>
      </c>
      <c r="J745" s="17" t="s">
        <v>12</v>
      </c>
      <c r="K745" s="13" t="s">
        <v>16</v>
      </c>
      <c r="L745" s="15">
        <v>19786.8</v>
      </c>
    </row>
    <row r="746" spans="1:12" ht="21" customHeight="1" outlineLevel="2" x14ac:dyDescent="0.25">
      <c r="A746" s="16">
        <f t="shared" si="17"/>
        <v>745</v>
      </c>
      <c r="B746" s="12" t="str">
        <f t="shared" si="18"/>
        <v xml:space="preserve">ВРУ1 (ВРУ1-17-70) (БЛОК 6) </v>
      </c>
      <c r="C746" s="13" t="s">
        <v>48</v>
      </c>
      <c r="D746" s="29" t="s">
        <v>242</v>
      </c>
      <c r="E746" s="12" t="s">
        <v>243</v>
      </c>
      <c r="F746" s="37">
        <v>6145</v>
      </c>
      <c r="G746" s="38">
        <f t="shared" si="19"/>
        <v>3687</v>
      </c>
      <c r="H746" s="38">
        <f t="shared" si="20"/>
        <v>3687</v>
      </c>
      <c r="I746" s="16">
        <v>1</v>
      </c>
      <c r="J746" s="17" t="s">
        <v>12</v>
      </c>
      <c r="K746" s="13" t="s">
        <v>16</v>
      </c>
      <c r="L746" s="15">
        <v>3687</v>
      </c>
    </row>
    <row r="747" spans="1:12" ht="21" customHeight="1" outlineLevel="2" x14ac:dyDescent="0.25">
      <c r="A747" s="16">
        <f t="shared" si="17"/>
        <v>746</v>
      </c>
      <c r="B747" s="12" t="str">
        <f t="shared" si="18"/>
        <v xml:space="preserve">ВРУ1 (ВРУ1-17-70) (БЛОК 6) </v>
      </c>
      <c r="C747" s="13" t="s">
        <v>244</v>
      </c>
      <c r="D747" s="29" t="s">
        <v>593</v>
      </c>
      <c r="E747" s="12" t="s">
        <v>594</v>
      </c>
      <c r="F747" s="37">
        <v>1836</v>
      </c>
      <c r="G747" s="38">
        <f t="shared" si="19"/>
        <v>1101.5999999999999</v>
      </c>
      <c r="H747" s="38">
        <f t="shared" si="20"/>
        <v>1101.5999999999999</v>
      </c>
      <c r="I747" s="16">
        <v>1</v>
      </c>
      <c r="J747" s="17" t="s">
        <v>12</v>
      </c>
      <c r="K747" s="13" t="s">
        <v>16</v>
      </c>
      <c r="L747" s="15">
        <v>1101.5999999999999</v>
      </c>
    </row>
    <row r="748" spans="1:12" ht="21" customHeight="1" outlineLevel="2" x14ac:dyDescent="0.25">
      <c r="A748" s="16">
        <f t="shared" si="17"/>
        <v>747</v>
      </c>
      <c r="B748" s="12" t="str">
        <f t="shared" si="18"/>
        <v xml:space="preserve">ВРУ1 (ВРУ1-17-70) (БЛОК 6) </v>
      </c>
      <c r="C748" s="13" t="s">
        <v>11</v>
      </c>
      <c r="D748" s="29" t="s">
        <v>53</v>
      </c>
      <c r="E748" s="12" t="s">
        <v>54</v>
      </c>
      <c r="F748" s="37">
        <v>783</v>
      </c>
      <c r="G748" s="38">
        <f t="shared" si="19"/>
        <v>469.79999999999995</v>
      </c>
      <c r="H748" s="38">
        <f t="shared" si="20"/>
        <v>469.79999999999995</v>
      </c>
      <c r="I748" s="16">
        <v>1</v>
      </c>
      <c r="J748" s="17" t="s">
        <v>12</v>
      </c>
      <c r="K748" s="13" t="s">
        <v>16</v>
      </c>
      <c r="L748" s="15">
        <v>469.79999999999995</v>
      </c>
    </row>
    <row r="749" spans="1:12" ht="21" customHeight="1" outlineLevel="2" x14ac:dyDescent="0.25">
      <c r="A749" s="16">
        <f t="shared" si="17"/>
        <v>748</v>
      </c>
      <c r="B749" s="12" t="str">
        <f t="shared" si="18"/>
        <v xml:space="preserve">ВРУ1 (ВРУ1-17-70) (БЛОК 6) </v>
      </c>
      <c r="C749" s="13" t="s">
        <v>241</v>
      </c>
      <c r="D749" s="29"/>
      <c r="E749" s="12" t="s">
        <v>450</v>
      </c>
      <c r="F749" s="37">
        <v>13500</v>
      </c>
      <c r="G749" s="38">
        <f>F749</f>
        <v>13500</v>
      </c>
      <c r="H749" s="38">
        <f t="shared" si="20"/>
        <v>13500</v>
      </c>
      <c r="I749" s="16">
        <v>1</v>
      </c>
      <c r="J749" s="17" t="s">
        <v>12</v>
      </c>
      <c r="K749" s="13" t="s">
        <v>25</v>
      </c>
      <c r="L749" s="15">
        <v>13500</v>
      </c>
    </row>
    <row r="750" spans="1:12" ht="24" customHeight="1" outlineLevel="2" x14ac:dyDescent="0.25">
      <c r="A750" s="12">
        <f t="shared" si="17"/>
        <v>749</v>
      </c>
      <c r="B750" s="12" t="str">
        <f t="shared" si="18"/>
        <v xml:space="preserve">ВРУ1 (ВРУ1-17-70) (БЛОК 6) </v>
      </c>
      <c r="C750" s="12" t="s">
        <v>9</v>
      </c>
      <c r="D750" s="30" t="s">
        <v>9</v>
      </c>
      <c r="E750" s="12" t="s">
        <v>9</v>
      </c>
      <c r="F750" s="18">
        <f ca="1">OFFSET(F750,1,2)</f>
        <v>120000</v>
      </c>
      <c r="G750" s="38">
        <f ca="1">F750</f>
        <v>120000</v>
      </c>
      <c r="H750" s="38">
        <f t="shared" ca="1" si="20"/>
        <v>120000</v>
      </c>
      <c r="I750" s="12">
        <v>1</v>
      </c>
      <c r="J750" s="12" t="s">
        <v>12</v>
      </c>
      <c r="K750" s="12" t="s">
        <v>9</v>
      </c>
      <c r="L750" s="15">
        <v>120000</v>
      </c>
    </row>
    <row r="751" spans="1:12" ht="21" customHeight="1" outlineLevel="2" x14ac:dyDescent="0.25">
      <c r="A751" s="12">
        <f t="shared" si="17"/>
        <v>750</v>
      </c>
      <c r="B751" s="12" t="str">
        <f t="shared" si="18"/>
        <v xml:space="preserve">ВРУ1 (ВРУ1-17-70) (БЛОК 6) </v>
      </c>
      <c r="C751" s="12" t="s">
        <v>10</v>
      </c>
      <c r="D751" s="30" t="s">
        <v>10</v>
      </c>
      <c r="E751" s="12" t="s">
        <v>10</v>
      </c>
      <c r="F751" s="18">
        <v>20</v>
      </c>
      <c r="G751" s="38">
        <v>100</v>
      </c>
      <c r="H751" s="38">
        <f>60*F751*G751</f>
        <v>120000</v>
      </c>
      <c r="I751" s="12">
        <f>60*F751</f>
        <v>1200</v>
      </c>
      <c r="J751" s="12" t="s">
        <v>12</v>
      </c>
      <c r="K751" s="12" t="s">
        <v>10</v>
      </c>
      <c r="L751" s="15">
        <v>120000</v>
      </c>
    </row>
    <row r="752" spans="1:12" ht="21" customHeight="1" outlineLevel="1" x14ac:dyDescent="0.25">
      <c r="A752" s="12"/>
      <c r="B752" s="12" t="s">
        <v>690</v>
      </c>
      <c r="C752" s="12"/>
      <c r="D752" s="30"/>
      <c r="E752" s="12"/>
      <c r="F752" s="18"/>
      <c r="G752" s="38"/>
      <c r="H752" s="38">
        <f ca="1">SUBTOTAL(9,H736:H751)</f>
        <v>928383.6</v>
      </c>
      <c r="I752" s="12"/>
      <c r="J752" s="12"/>
      <c r="K752" s="12"/>
      <c r="L752" s="15">
        <v>928383.6</v>
      </c>
    </row>
    <row r="753" spans="1:12" ht="39.75" customHeight="1" outlineLevel="2" x14ac:dyDescent="0.25">
      <c r="A753" s="10">
        <f>ROW(A751)</f>
        <v>751</v>
      </c>
      <c r="B753" s="6" t="str">
        <f>E753</f>
        <v>АВР-1000А (АВР-3-1000-2-У) (Блок 6)</v>
      </c>
      <c r="C753" s="6"/>
      <c r="D753" s="28"/>
      <c r="E753" s="6" t="s">
        <v>207</v>
      </c>
      <c r="F753" s="36"/>
      <c r="G753" s="36" t="s">
        <v>73</v>
      </c>
      <c r="H753" s="7"/>
      <c r="I753" s="10">
        <v>1</v>
      </c>
      <c r="J753" s="11" t="s">
        <v>6</v>
      </c>
      <c r="K753" s="6" t="s">
        <v>8</v>
      </c>
      <c r="L753" s="9"/>
    </row>
    <row r="754" spans="1:12" ht="21" customHeight="1" outlineLevel="2" x14ac:dyDescent="0.25">
      <c r="A754" s="16">
        <f t="shared" si="17"/>
        <v>753</v>
      </c>
      <c r="B754" s="12" t="str">
        <f t="shared" ref="B754:B776" si="21">B753</f>
        <v>АВР-1000А (АВР-3-1000-2-У) (Блок 6)</v>
      </c>
      <c r="C754" s="13" t="s">
        <v>7</v>
      </c>
      <c r="D754" s="29" t="s">
        <v>505</v>
      </c>
      <c r="E754" s="12" t="s">
        <v>511</v>
      </c>
      <c r="F754" s="37">
        <v>165000</v>
      </c>
      <c r="G754" s="38">
        <f>F754*0.6</f>
        <v>99000</v>
      </c>
      <c r="H754" s="38">
        <f>I754*G754</f>
        <v>198000</v>
      </c>
      <c r="I754" s="16">
        <v>2</v>
      </c>
      <c r="J754" s="17" t="s">
        <v>12</v>
      </c>
      <c r="K754" s="13" t="s">
        <v>15</v>
      </c>
      <c r="L754" s="15">
        <v>198000</v>
      </c>
    </row>
    <row r="755" spans="1:12" ht="21" customHeight="1" outlineLevel="2" x14ac:dyDescent="0.25">
      <c r="A755" s="16">
        <f t="shared" si="17"/>
        <v>754</v>
      </c>
      <c r="B755" s="12" t="str">
        <f t="shared" si="21"/>
        <v>АВР-1000А (АВР-3-1000-2-У) (Блок 6)</v>
      </c>
      <c r="C755" s="13" t="s">
        <v>43</v>
      </c>
      <c r="D755" s="29" t="s">
        <v>208</v>
      </c>
      <c r="E755" s="12" t="s">
        <v>209</v>
      </c>
      <c r="F755" s="37">
        <v>206236</v>
      </c>
      <c r="G755" s="38">
        <f>F755*0.6</f>
        <v>123741.59999999999</v>
      </c>
      <c r="H755" s="38">
        <f>G755*I755</f>
        <v>494966.39999999997</v>
      </c>
      <c r="I755" s="16">
        <v>4</v>
      </c>
      <c r="J755" s="17" t="s">
        <v>12</v>
      </c>
      <c r="K755" s="13" t="s">
        <v>16</v>
      </c>
      <c r="L755" s="15">
        <v>494966.39999999997</v>
      </c>
    </row>
    <row r="756" spans="1:12" ht="21" customHeight="1" outlineLevel="2" x14ac:dyDescent="0.25">
      <c r="A756" s="16">
        <f t="shared" si="17"/>
        <v>755</v>
      </c>
      <c r="B756" s="12" t="str">
        <f t="shared" si="21"/>
        <v>АВР-1000А (АВР-3-1000-2-У) (Блок 6)</v>
      </c>
      <c r="C756" s="13" t="s">
        <v>227</v>
      </c>
      <c r="D756" s="29" t="s">
        <v>210</v>
      </c>
      <c r="E756" s="12" t="s">
        <v>211</v>
      </c>
      <c r="F756" s="37">
        <v>222839</v>
      </c>
      <c r="G756" s="38">
        <f>F756*0.6</f>
        <v>133703.4</v>
      </c>
      <c r="H756" s="38">
        <f>G756*I756</f>
        <v>267406.8</v>
      </c>
      <c r="I756" s="16">
        <v>2</v>
      </c>
      <c r="J756" s="17" t="s">
        <v>12</v>
      </c>
      <c r="K756" s="13" t="s">
        <v>16</v>
      </c>
      <c r="L756" s="15">
        <v>267406.8</v>
      </c>
    </row>
    <row r="757" spans="1:12" ht="21" customHeight="1" outlineLevel="2" x14ac:dyDescent="0.25">
      <c r="A757" s="16">
        <f t="shared" si="17"/>
        <v>756</v>
      </c>
      <c r="B757" s="12" t="str">
        <f t="shared" si="21"/>
        <v>АВР-1000А (АВР-3-1000-2-У) (Блок 6)</v>
      </c>
      <c r="C757" s="13" t="s">
        <v>512</v>
      </c>
      <c r="D757" s="29" t="s">
        <v>513</v>
      </c>
      <c r="E757" s="12" t="s">
        <v>514</v>
      </c>
      <c r="F757" s="37">
        <v>18967</v>
      </c>
      <c r="G757" s="38">
        <f>F757</f>
        <v>18967</v>
      </c>
      <c r="H757" s="38">
        <f>G757*I757</f>
        <v>37934</v>
      </c>
      <c r="I757" s="16">
        <v>2</v>
      </c>
      <c r="J757" s="17" t="s">
        <v>12</v>
      </c>
      <c r="K757" s="13" t="s">
        <v>25</v>
      </c>
      <c r="L757" s="15">
        <v>37934</v>
      </c>
    </row>
    <row r="758" spans="1:12" ht="21" customHeight="1" outlineLevel="2" x14ac:dyDescent="0.25">
      <c r="A758" s="16">
        <f t="shared" si="17"/>
        <v>757</v>
      </c>
      <c r="B758" s="12" t="str">
        <f t="shared" si="21"/>
        <v>АВР-1000А (АВР-3-1000-2-У) (Блок 6)</v>
      </c>
      <c r="C758" s="13" t="s">
        <v>17</v>
      </c>
      <c r="D758" s="29" t="s">
        <v>484</v>
      </c>
      <c r="E758" s="12" t="s">
        <v>485</v>
      </c>
      <c r="F758" s="37">
        <v>90000</v>
      </c>
      <c r="G758" s="38">
        <f t="shared" ref="G758" si="22">F758</f>
        <v>90000</v>
      </c>
      <c r="H758" s="38">
        <f t="shared" ref="H758" si="23">G758*I758</f>
        <v>180000</v>
      </c>
      <c r="I758" s="16">
        <v>2</v>
      </c>
      <c r="J758" s="17" t="s">
        <v>12</v>
      </c>
      <c r="K758" s="13" t="s">
        <v>597</v>
      </c>
      <c r="L758" s="15">
        <v>180000</v>
      </c>
    </row>
    <row r="759" spans="1:12" ht="21" customHeight="1" outlineLevel="2" x14ac:dyDescent="0.25">
      <c r="A759" s="16">
        <f t="shared" si="17"/>
        <v>758</v>
      </c>
      <c r="B759" s="12" t="str">
        <f t="shared" si="21"/>
        <v>АВР-1000А (АВР-3-1000-2-У) (Блок 6)</v>
      </c>
      <c r="C759" s="13" t="s">
        <v>26</v>
      </c>
      <c r="D759" s="29" t="s">
        <v>228</v>
      </c>
      <c r="E759" s="12" t="s">
        <v>229</v>
      </c>
      <c r="F759" s="37">
        <v>9143</v>
      </c>
      <c r="G759" s="38">
        <f t="shared" ref="G759:G761" si="24">F759</f>
        <v>9143</v>
      </c>
      <c r="H759" s="38">
        <f>G759*I759</f>
        <v>109716</v>
      </c>
      <c r="I759" s="16">
        <v>12</v>
      </c>
      <c r="J759" s="17" t="s">
        <v>12</v>
      </c>
      <c r="K759" s="13" t="s">
        <v>25</v>
      </c>
      <c r="L759" s="15">
        <v>109716</v>
      </c>
    </row>
    <row r="760" spans="1:12" ht="21" customHeight="1" outlineLevel="2" x14ac:dyDescent="0.25">
      <c r="A760" s="16">
        <f t="shared" si="17"/>
        <v>759</v>
      </c>
      <c r="B760" s="12" t="str">
        <f t="shared" si="21"/>
        <v>АВР-1000А (АВР-3-1000-2-У) (Блок 6)</v>
      </c>
      <c r="C760" s="13" t="s">
        <v>219</v>
      </c>
      <c r="D760" s="29" t="s">
        <v>217</v>
      </c>
      <c r="E760" s="12" t="s">
        <v>218</v>
      </c>
      <c r="F760" s="37">
        <v>4806</v>
      </c>
      <c r="G760" s="38">
        <f t="shared" si="24"/>
        <v>4806</v>
      </c>
      <c r="H760" s="38">
        <f>G760*I760</f>
        <v>28836</v>
      </c>
      <c r="I760" s="16">
        <v>6</v>
      </c>
      <c r="J760" s="17" t="s">
        <v>12</v>
      </c>
      <c r="K760" s="13" t="s">
        <v>25</v>
      </c>
      <c r="L760" s="15">
        <v>28836</v>
      </c>
    </row>
    <row r="761" spans="1:12" ht="21" customHeight="1" outlineLevel="2" x14ac:dyDescent="0.25">
      <c r="A761" s="16">
        <f t="shared" si="17"/>
        <v>760</v>
      </c>
      <c r="B761" s="12" t="str">
        <f t="shared" si="21"/>
        <v>АВР-1000А (АВР-3-1000-2-У) (Блок 6)</v>
      </c>
      <c r="C761" s="13" t="s">
        <v>220</v>
      </c>
      <c r="D761" s="29" t="s">
        <v>221</v>
      </c>
      <c r="E761" s="12" t="s">
        <v>222</v>
      </c>
      <c r="F761" s="37">
        <v>4806</v>
      </c>
      <c r="G761" s="38">
        <f t="shared" si="24"/>
        <v>4806</v>
      </c>
      <c r="H761" s="38">
        <f>G761*I761</f>
        <v>4806</v>
      </c>
      <c r="I761" s="16">
        <v>1</v>
      </c>
      <c r="J761" s="17" t="s">
        <v>12</v>
      </c>
      <c r="K761" s="13" t="s">
        <v>25</v>
      </c>
      <c r="L761" s="15">
        <v>4806</v>
      </c>
    </row>
    <row r="762" spans="1:12" ht="21" customHeight="1" outlineLevel="2" x14ac:dyDescent="0.25">
      <c r="A762" s="16">
        <f t="shared" si="17"/>
        <v>761</v>
      </c>
      <c r="B762" s="12" t="str">
        <f t="shared" si="21"/>
        <v>АВР-1000А (АВР-3-1000-2-У) (Блок 6)</v>
      </c>
      <c r="C762" s="13" t="s">
        <v>598</v>
      </c>
      <c r="D762" s="29" t="s">
        <v>214</v>
      </c>
      <c r="E762" s="12" t="s">
        <v>215</v>
      </c>
      <c r="F762" s="37">
        <v>7799</v>
      </c>
      <c r="G762" s="38">
        <f t="shared" ref="G762:G770" si="25">F762*0.6</f>
        <v>4679.3999999999996</v>
      </c>
      <c r="H762" s="38">
        <f>G762*I762</f>
        <v>9358.7999999999993</v>
      </c>
      <c r="I762" s="16">
        <v>2</v>
      </c>
      <c r="J762" s="17" t="s">
        <v>12</v>
      </c>
      <c r="K762" s="13" t="s">
        <v>16</v>
      </c>
      <c r="L762" s="15">
        <v>9358.7999999999993</v>
      </c>
    </row>
    <row r="763" spans="1:12" ht="21" customHeight="1" outlineLevel="2" x14ac:dyDescent="0.25">
      <c r="A763" s="16">
        <f t="shared" si="17"/>
        <v>762</v>
      </c>
      <c r="B763" s="12" t="str">
        <f t="shared" si="21"/>
        <v>АВР-1000А (АВР-3-1000-2-У) (Блок 6)</v>
      </c>
      <c r="C763" s="13" t="s">
        <v>599</v>
      </c>
      <c r="D763" s="29" t="s">
        <v>212</v>
      </c>
      <c r="E763" s="12" t="s">
        <v>213</v>
      </c>
      <c r="F763" s="37">
        <v>14767</v>
      </c>
      <c r="G763" s="38">
        <f t="shared" si="25"/>
        <v>8860.1999999999989</v>
      </c>
      <c r="H763" s="38">
        <f>G763*I763</f>
        <v>17720.399999999998</v>
      </c>
      <c r="I763" s="16">
        <v>2</v>
      </c>
      <c r="J763" s="17" t="s">
        <v>12</v>
      </c>
      <c r="K763" s="13" t="s">
        <v>16</v>
      </c>
      <c r="L763" s="15">
        <v>17720.399999999998</v>
      </c>
    </row>
    <row r="764" spans="1:12" ht="21" customHeight="1" outlineLevel="2" x14ac:dyDescent="0.25">
      <c r="A764" s="16">
        <f t="shared" si="17"/>
        <v>763</v>
      </c>
      <c r="B764" s="12" t="str">
        <f t="shared" si="21"/>
        <v>АВР-1000А (АВР-3-1000-2-У) (Блок 6)</v>
      </c>
      <c r="C764" s="13" t="s">
        <v>515</v>
      </c>
      <c r="D764" s="29" t="s">
        <v>516</v>
      </c>
      <c r="E764" s="12" t="s">
        <v>517</v>
      </c>
      <c r="F764" s="37">
        <v>1238</v>
      </c>
      <c r="G764" s="38">
        <f t="shared" ref="G764:G765" si="26">F764*0.6</f>
        <v>742.8</v>
      </c>
      <c r="H764" s="38">
        <f>G764*I764</f>
        <v>3714</v>
      </c>
      <c r="I764" s="16">
        <v>5</v>
      </c>
      <c r="J764" s="17" t="s">
        <v>12</v>
      </c>
      <c r="K764" s="13" t="s">
        <v>16</v>
      </c>
      <c r="L764" s="15">
        <v>3714</v>
      </c>
    </row>
    <row r="765" spans="1:12" ht="21" customHeight="1" outlineLevel="2" x14ac:dyDescent="0.25">
      <c r="A765" s="16">
        <f t="shared" si="17"/>
        <v>764</v>
      </c>
      <c r="B765" s="12" t="str">
        <f t="shared" si="21"/>
        <v>АВР-1000А (АВР-3-1000-2-У) (Блок 6)</v>
      </c>
      <c r="C765" s="13" t="s">
        <v>518</v>
      </c>
      <c r="D765" s="29" t="s">
        <v>519</v>
      </c>
      <c r="E765" s="12" t="s">
        <v>520</v>
      </c>
      <c r="F765" s="37">
        <v>819</v>
      </c>
      <c r="G765" s="38">
        <f t="shared" si="26"/>
        <v>491.4</v>
      </c>
      <c r="H765" s="38">
        <f>G765*I765</f>
        <v>2457</v>
      </c>
      <c r="I765" s="16">
        <v>5</v>
      </c>
      <c r="J765" s="17" t="s">
        <v>12</v>
      </c>
      <c r="K765" s="13" t="s">
        <v>16</v>
      </c>
      <c r="L765" s="15">
        <v>2457</v>
      </c>
    </row>
    <row r="766" spans="1:12" ht="21" customHeight="1" outlineLevel="2" x14ac:dyDescent="0.25">
      <c r="A766" s="16">
        <f t="shared" si="17"/>
        <v>765</v>
      </c>
      <c r="B766" s="12" t="str">
        <f t="shared" si="21"/>
        <v>АВР-1000А (АВР-3-1000-2-У) (Блок 6)</v>
      </c>
      <c r="C766" s="13" t="s">
        <v>521</v>
      </c>
      <c r="D766" s="29">
        <v>311100898</v>
      </c>
      <c r="E766" s="12" t="s">
        <v>522</v>
      </c>
      <c r="F766" s="37">
        <v>65000</v>
      </c>
      <c r="G766" s="38">
        <f t="shared" ref="G766" si="27">F766</f>
        <v>65000</v>
      </c>
      <c r="H766" s="38">
        <f>G766*I766</f>
        <v>65000</v>
      </c>
      <c r="I766" s="16">
        <v>1</v>
      </c>
      <c r="J766" s="17" t="s">
        <v>12</v>
      </c>
      <c r="K766" s="13" t="s">
        <v>523</v>
      </c>
      <c r="L766" s="15">
        <v>65000</v>
      </c>
    </row>
    <row r="767" spans="1:12" ht="21" customHeight="1" outlineLevel="2" x14ac:dyDescent="0.25">
      <c r="A767" s="16">
        <f t="shared" si="17"/>
        <v>766</v>
      </c>
      <c r="B767" s="12" t="str">
        <f t="shared" si="21"/>
        <v>АВР-1000А (АВР-3-1000-2-У) (Блок 6)</v>
      </c>
      <c r="C767" s="13" t="s">
        <v>59</v>
      </c>
      <c r="D767" s="29" t="s">
        <v>55</v>
      </c>
      <c r="E767" s="12" t="s">
        <v>56</v>
      </c>
      <c r="F767" s="37">
        <v>589</v>
      </c>
      <c r="G767" s="38">
        <f t="shared" si="25"/>
        <v>353.4</v>
      </c>
      <c r="H767" s="38">
        <f t="shared" ref="H767:H768" si="28">G767*I767</f>
        <v>706.8</v>
      </c>
      <c r="I767" s="16">
        <v>2</v>
      </c>
      <c r="J767" s="17" t="s">
        <v>12</v>
      </c>
      <c r="K767" s="13" t="s">
        <v>16</v>
      </c>
      <c r="L767" s="15">
        <v>706.8</v>
      </c>
    </row>
    <row r="768" spans="1:12" ht="21" customHeight="1" outlineLevel="2" x14ac:dyDescent="0.25">
      <c r="A768" s="16">
        <f t="shared" si="17"/>
        <v>767</v>
      </c>
      <c r="B768" s="12" t="str">
        <f t="shared" si="21"/>
        <v>АВР-1000А (АВР-3-1000-2-У) (Блок 6)</v>
      </c>
      <c r="C768" s="13" t="s">
        <v>59</v>
      </c>
      <c r="D768" s="29" t="s">
        <v>223</v>
      </c>
      <c r="E768" s="12" t="s">
        <v>224</v>
      </c>
      <c r="F768" s="37">
        <v>571</v>
      </c>
      <c r="G768" s="38">
        <f t="shared" si="25"/>
        <v>342.59999999999997</v>
      </c>
      <c r="H768" s="38">
        <f t="shared" si="28"/>
        <v>685.19999999999993</v>
      </c>
      <c r="I768" s="16">
        <v>2</v>
      </c>
      <c r="J768" s="17" t="s">
        <v>12</v>
      </c>
      <c r="K768" s="13" t="s">
        <v>16</v>
      </c>
      <c r="L768" s="15">
        <v>685.19999999999993</v>
      </c>
    </row>
    <row r="769" spans="1:12" ht="21" customHeight="1" outlineLevel="2" x14ac:dyDescent="0.25">
      <c r="A769" s="16">
        <f t="shared" si="17"/>
        <v>768</v>
      </c>
      <c r="B769" s="12" t="str">
        <f t="shared" si="21"/>
        <v>АВР-1000А (АВР-3-1000-2-У) (Блок 6)</v>
      </c>
      <c r="C769" s="13" t="s">
        <v>59</v>
      </c>
      <c r="D769" s="29" t="s">
        <v>57</v>
      </c>
      <c r="E769" s="12" t="s">
        <v>58</v>
      </c>
      <c r="F769" s="37">
        <v>571</v>
      </c>
      <c r="G769" s="38">
        <f t="shared" si="25"/>
        <v>342.59999999999997</v>
      </c>
      <c r="H769" s="38">
        <f>G769*I769</f>
        <v>685.19999999999993</v>
      </c>
      <c r="I769" s="16">
        <v>2</v>
      </c>
      <c r="J769" s="17" t="s">
        <v>12</v>
      </c>
      <c r="K769" s="13" t="s">
        <v>16</v>
      </c>
      <c r="L769" s="15">
        <v>685.19999999999993</v>
      </c>
    </row>
    <row r="770" spans="1:12" ht="21" customHeight="1" outlineLevel="2" x14ac:dyDescent="0.25">
      <c r="A770" s="16">
        <f t="shared" si="17"/>
        <v>769</v>
      </c>
      <c r="B770" s="12" t="str">
        <f t="shared" si="21"/>
        <v>АВР-1000А (АВР-3-1000-2-У) (Блок 6)</v>
      </c>
      <c r="C770" s="13" t="s">
        <v>11</v>
      </c>
      <c r="D770" s="29" t="s">
        <v>18</v>
      </c>
      <c r="E770" s="12" t="s">
        <v>19</v>
      </c>
      <c r="F770" s="37">
        <v>975</v>
      </c>
      <c r="G770" s="38">
        <f t="shared" si="25"/>
        <v>585</v>
      </c>
      <c r="H770" s="38">
        <f>G770*I770</f>
        <v>1170</v>
      </c>
      <c r="I770" s="16">
        <v>2</v>
      </c>
      <c r="J770" s="17" t="s">
        <v>12</v>
      </c>
      <c r="K770" s="13" t="s">
        <v>16</v>
      </c>
      <c r="L770" s="15">
        <v>1170</v>
      </c>
    </row>
    <row r="771" spans="1:12" ht="22.5" customHeight="1" outlineLevel="2" x14ac:dyDescent="0.25">
      <c r="A771" s="16">
        <f t="shared" si="17"/>
        <v>770</v>
      </c>
      <c r="B771" s="12" t="str">
        <f t="shared" si="21"/>
        <v>АВР-1000А (АВР-3-1000-2-У) (Блок 6)</v>
      </c>
      <c r="C771" s="13" t="s">
        <v>524</v>
      </c>
      <c r="D771" s="29" t="s">
        <v>525</v>
      </c>
      <c r="E771" s="12" t="s">
        <v>526</v>
      </c>
      <c r="F771" s="37">
        <v>950</v>
      </c>
      <c r="G771" s="38">
        <f t="shared" ref="G771:G772" si="29">F771</f>
        <v>950</v>
      </c>
      <c r="H771" s="38">
        <f>G771*I771</f>
        <v>17100</v>
      </c>
      <c r="I771" s="16">
        <v>18</v>
      </c>
      <c r="J771" s="17" t="s">
        <v>12</v>
      </c>
      <c r="K771" s="13" t="s">
        <v>25</v>
      </c>
      <c r="L771" s="15">
        <v>17100</v>
      </c>
    </row>
    <row r="772" spans="1:12" ht="22.5" customHeight="1" outlineLevel="2" x14ac:dyDescent="0.25">
      <c r="A772" s="16">
        <f t="shared" si="17"/>
        <v>771</v>
      </c>
      <c r="B772" s="12" t="str">
        <f t="shared" si="21"/>
        <v>АВР-1000А (АВР-3-1000-2-У) (Блок 6)</v>
      </c>
      <c r="C772" s="13" t="s">
        <v>527</v>
      </c>
      <c r="D772" s="29"/>
      <c r="E772" s="12" t="s">
        <v>528</v>
      </c>
      <c r="F772" s="37">
        <v>93240</v>
      </c>
      <c r="G772" s="38">
        <f t="shared" si="29"/>
        <v>93240</v>
      </c>
      <c r="H772" s="38">
        <f>G772*I772</f>
        <v>1398600</v>
      </c>
      <c r="I772" s="16">
        <v>15</v>
      </c>
      <c r="J772" s="17" t="s">
        <v>12</v>
      </c>
      <c r="K772" s="13" t="s">
        <v>25</v>
      </c>
      <c r="L772" s="15">
        <v>1398600</v>
      </c>
    </row>
    <row r="773" spans="1:12" ht="22.5" customHeight="1" outlineLevel="2" x14ac:dyDescent="0.25">
      <c r="A773" s="16">
        <f t="shared" si="17"/>
        <v>772</v>
      </c>
      <c r="B773" s="12" t="str">
        <f t="shared" si="21"/>
        <v>АВР-1000А (АВР-3-1000-2-У) (Блок 6)</v>
      </c>
      <c r="C773" s="13" t="s">
        <v>38</v>
      </c>
      <c r="D773" s="29"/>
      <c r="E773" s="12" t="s">
        <v>216</v>
      </c>
      <c r="F773" s="37">
        <v>4500</v>
      </c>
      <c r="G773" s="38">
        <f t="shared" ref="G773" si="30">F773</f>
        <v>4500</v>
      </c>
      <c r="H773" s="38">
        <f>G773*I773</f>
        <v>27000</v>
      </c>
      <c r="I773" s="16">
        <v>6</v>
      </c>
      <c r="J773" s="17" t="s">
        <v>12</v>
      </c>
      <c r="K773" s="13" t="s">
        <v>25</v>
      </c>
      <c r="L773" s="15">
        <v>27000</v>
      </c>
    </row>
    <row r="774" spans="1:12" ht="22.5" customHeight="1" outlineLevel="2" x14ac:dyDescent="0.25">
      <c r="A774" s="16">
        <f t="shared" si="17"/>
        <v>773</v>
      </c>
      <c r="B774" s="12" t="str">
        <f t="shared" si="21"/>
        <v>АВР-1000А (АВР-3-1000-2-У) (Блок 6)</v>
      </c>
      <c r="C774" s="13" t="s">
        <v>226</v>
      </c>
      <c r="D774" s="29"/>
      <c r="E774" s="12" t="s">
        <v>225</v>
      </c>
      <c r="F774" s="37">
        <v>15000</v>
      </c>
      <c r="G774" s="38">
        <f t="shared" ref="G774" si="31">F774</f>
        <v>15000</v>
      </c>
      <c r="H774" s="38">
        <f>G774*I774</f>
        <v>45000</v>
      </c>
      <c r="I774" s="16">
        <v>3</v>
      </c>
      <c r="J774" s="17" t="s">
        <v>12</v>
      </c>
      <c r="K774" s="13" t="s">
        <v>25</v>
      </c>
      <c r="L774" s="15">
        <v>45000</v>
      </c>
    </row>
    <row r="775" spans="1:12" ht="24" customHeight="1" outlineLevel="2" x14ac:dyDescent="0.25">
      <c r="A775" s="12">
        <f t="shared" si="17"/>
        <v>774</v>
      </c>
      <c r="B775" s="12" t="str">
        <f t="shared" si="21"/>
        <v>АВР-1000А (АВР-3-1000-2-У) (Блок 6)</v>
      </c>
      <c r="C775" s="12" t="s">
        <v>9</v>
      </c>
      <c r="D775" s="30" t="s">
        <v>9</v>
      </c>
      <c r="E775" s="12" t="s">
        <v>9</v>
      </c>
      <c r="F775" s="18">
        <f ca="1">OFFSET(F775,1,2)</f>
        <v>144000</v>
      </c>
      <c r="G775" s="38">
        <f ca="1">F775</f>
        <v>144000</v>
      </c>
      <c r="H775" s="38">
        <f ca="1">G775*I775</f>
        <v>144000</v>
      </c>
      <c r="I775" s="12">
        <v>1</v>
      </c>
      <c r="J775" s="12" t="s">
        <v>12</v>
      </c>
      <c r="K775" s="12" t="s">
        <v>9</v>
      </c>
      <c r="L775" s="15">
        <v>144000</v>
      </c>
    </row>
    <row r="776" spans="1:12" ht="21" customHeight="1" outlineLevel="2" x14ac:dyDescent="0.25">
      <c r="A776" s="12">
        <f t="shared" si="17"/>
        <v>775</v>
      </c>
      <c r="B776" s="12" t="str">
        <f t="shared" si="21"/>
        <v>АВР-1000А (АВР-3-1000-2-У) (Блок 6)</v>
      </c>
      <c r="C776" s="12" t="s">
        <v>10</v>
      </c>
      <c r="D776" s="30" t="s">
        <v>10</v>
      </c>
      <c r="E776" s="12" t="s">
        <v>10</v>
      </c>
      <c r="F776" s="18">
        <v>24</v>
      </c>
      <c r="G776" s="38">
        <v>100</v>
      </c>
      <c r="H776" s="38">
        <f>60*F776*G776</f>
        <v>144000</v>
      </c>
      <c r="I776" s="12">
        <f>60*F776</f>
        <v>1440</v>
      </c>
      <c r="J776" s="12" t="s">
        <v>12</v>
      </c>
      <c r="K776" s="12" t="s">
        <v>10</v>
      </c>
      <c r="L776" s="15">
        <v>144000</v>
      </c>
    </row>
    <row r="777" spans="1:12" ht="21" customHeight="1" outlineLevel="1" x14ac:dyDescent="0.25">
      <c r="A777" s="12"/>
      <c r="B777" s="12" t="s">
        <v>691</v>
      </c>
      <c r="C777" s="12"/>
      <c r="D777" s="30"/>
      <c r="E777" s="12"/>
      <c r="F777" s="18"/>
      <c r="G777" s="38"/>
      <c r="H777" s="38">
        <f ca="1">SUBTOTAL(9,H753:H776)</f>
        <v>3198862.5999999996</v>
      </c>
      <c r="I777" s="12"/>
      <c r="J777" s="12"/>
      <c r="K777" s="12"/>
      <c r="L777" s="15">
        <v>3198862.5999999996</v>
      </c>
    </row>
    <row r="778" spans="1:12" ht="39.75" customHeight="1" outlineLevel="2" x14ac:dyDescent="0.25">
      <c r="A778" s="10">
        <f>ROW(A776)</f>
        <v>776</v>
      </c>
      <c r="B778" s="6" t="str">
        <f>E778</f>
        <v>ВРУ2 (ВРУ1-41-00 УХЛ4)  (БЛОК 6)</v>
      </c>
      <c r="C778" s="6"/>
      <c r="D778" s="28"/>
      <c r="E778" s="6" t="s">
        <v>557</v>
      </c>
      <c r="F778" s="36"/>
      <c r="G778" s="36" t="s">
        <v>73</v>
      </c>
      <c r="H778" s="7"/>
      <c r="I778" s="10">
        <v>1</v>
      </c>
      <c r="J778" s="11" t="s">
        <v>6</v>
      </c>
      <c r="K778" s="6" t="s">
        <v>8</v>
      </c>
      <c r="L778" s="9"/>
    </row>
    <row r="779" spans="1:12" ht="21" customHeight="1" outlineLevel="2" x14ac:dyDescent="0.25">
      <c r="A779" s="16">
        <f t="shared" si="17"/>
        <v>778</v>
      </c>
      <c r="B779" s="12" t="str">
        <f t="shared" ref="B779:B783" si="32">B778</f>
        <v>ВРУ2 (ВРУ1-41-00 УХЛ4)  (БЛОК 6)</v>
      </c>
      <c r="C779" s="13" t="s">
        <v>7</v>
      </c>
      <c r="D779" s="29" t="s">
        <v>501</v>
      </c>
      <c r="E779" s="12" t="s">
        <v>502</v>
      </c>
      <c r="F779" s="37">
        <v>29525</v>
      </c>
      <c r="G779" s="38">
        <f>F779*0.6</f>
        <v>17715</v>
      </c>
      <c r="H779" s="38">
        <f>I779*G779</f>
        <v>17715</v>
      </c>
      <c r="I779" s="16">
        <v>1</v>
      </c>
      <c r="J779" s="17" t="s">
        <v>12</v>
      </c>
      <c r="K779" s="13" t="s">
        <v>15</v>
      </c>
      <c r="L779" s="15">
        <v>17715</v>
      </c>
    </row>
    <row r="780" spans="1:12" ht="21" customHeight="1" outlineLevel="2" x14ac:dyDescent="0.25">
      <c r="A780" s="16">
        <f t="shared" si="17"/>
        <v>779</v>
      </c>
      <c r="B780" s="12" t="str">
        <f t="shared" si="32"/>
        <v>ВРУ2 (ВРУ1-41-00 УХЛ4)  (БЛОК 6)</v>
      </c>
      <c r="C780" s="13" t="s">
        <v>43</v>
      </c>
      <c r="D780" s="29" t="s">
        <v>245</v>
      </c>
      <c r="E780" s="12" t="s">
        <v>246</v>
      </c>
      <c r="F780" s="37">
        <v>18139</v>
      </c>
      <c r="G780" s="38">
        <f t="shared" ref="G780:G781" si="33">F780*0.6</f>
        <v>10883.4</v>
      </c>
      <c r="H780" s="38">
        <f>G780*I780</f>
        <v>32650.199999999997</v>
      </c>
      <c r="I780" s="16">
        <v>3</v>
      </c>
      <c r="J780" s="17" t="s">
        <v>12</v>
      </c>
      <c r="K780" s="13" t="s">
        <v>16</v>
      </c>
      <c r="L780" s="15">
        <v>32650.199999999997</v>
      </c>
    </row>
    <row r="781" spans="1:12" ht="21" customHeight="1" outlineLevel="2" x14ac:dyDescent="0.25">
      <c r="A781" s="16">
        <f t="shared" si="17"/>
        <v>780</v>
      </c>
      <c r="B781" s="12" t="str">
        <f t="shared" si="32"/>
        <v>ВРУ2 (ВРУ1-41-00 УХЛ4)  (БЛОК 6)</v>
      </c>
      <c r="C781" s="13" t="s">
        <v>43</v>
      </c>
      <c r="D781" s="29" t="s">
        <v>237</v>
      </c>
      <c r="E781" s="12" t="s">
        <v>238</v>
      </c>
      <c r="F781" s="37">
        <v>17405</v>
      </c>
      <c r="G781" s="38">
        <f t="shared" si="33"/>
        <v>10443</v>
      </c>
      <c r="H781" s="38">
        <f>G781*I781</f>
        <v>41772</v>
      </c>
      <c r="I781" s="16">
        <v>4</v>
      </c>
      <c r="J781" s="17" t="s">
        <v>12</v>
      </c>
      <c r="K781" s="13" t="s">
        <v>16</v>
      </c>
      <c r="L781" s="15">
        <v>41772</v>
      </c>
    </row>
    <row r="782" spans="1:12" ht="24" customHeight="1" outlineLevel="2" x14ac:dyDescent="0.25">
      <c r="A782" s="12">
        <f t="shared" si="17"/>
        <v>781</v>
      </c>
      <c r="B782" s="12" t="str">
        <f t="shared" si="32"/>
        <v>ВРУ2 (ВРУ1-41-00 УХЛ4)  (БЛОК 6)</v>
      </c>
      <c r="C782" s="12" t="s">
        <v>9</v>
      </c>
      <c r="D782" s="30" t="s">
        <v>9</v>
      </c>
      <c r="E782" s="12" t="s">
        <v>9</v>
      </c>
      <c r="F782" s="18">
        <f ca="1">OFFSET(F782,1,2)</f>
        <v>9000</v>
      </c>
      <c r="G782" s="38">
        <f ca="1">F782</f>
        <v>9000</v>
      </c>
      <c r="H782" s="38">
        <f ca="1">G782*I782</f>
        <v>9000</v>
      </c>
      <c r="I782" s="12">
        <v>1</v>
      </c>
      <c r="J782" s="12" t="s">
        <v>12</v>
      </c>
      <c r="K782" s="12" t="s">
        <v>9</v>
      </c>
      <c r="L782" s="15">
        <v>9000</v>
      </c>
    </row>
    <row r="783" spans="1:12" ht="21" customHeight="1" outlineLevel="2" x14ac:dyDescent="0.25">
      <c r="A783" s="12">
        <f t="shared" si="17"/>
        <v>782</v>
      </c>
      <c r="B783" s="12" t="str">
        <f t="shared" si="32"/>
        <v>ВРУ2 (ВРУ1-41-00 УХЛ4)  (БЛОК 6)</v>
      </c>
      <c r="C783" s="12" t="s">
        <v>10</v>
      </c>
      <c r="D783" s="30" t="s">
        <v>10</v>
      </c>
      <c r="E783" s="12" t="s">
        <v>10</v>
      </c>
      <c r="F783" s="18">
        <v>1.5</v>
      </c>
      <c r="G783" s="38">
        <v>100</v>
      </c>
      <c r="H783" s="38">
        <f>60*F783*G783</f>
        <v>9000</v>
      </c>
      <c r="I783" s="12">
        <f>60*F783</f>
        <v>90</v>
      </c>
      <c r="J783" s="12" t="s">
        <v>12</v>
      </c>
      <c r="K783" s="12" t="s">
        <v>10</v>
      </c>
      <c r="L783" s="15">
        <v>9000</v>
      </c>
    </row>
    <row r="784" spans="1:12" ht="21" customHeight="1" outlineLevel="1" x14ac:dyDescent="0.25">
      <c r="A784" s="12"/>
      <c r="B784" s="12" t="s">
        <v>692</v>
      </c>
      <c r="C784" s="12"/>
      <c r="D784" s="30"/>
      <c r="E784" s="12"/>
      <c r="F784" s="18"/>
      <c r="G784" s="38"/>
      <c r="H784" s="38">
        <f ca="1">SUBTOTAL(9,H778:H783)</f>
        <v>110137.2</v>
      </c>
      <c r="I784" s="12"/>
      <c r="J784" s="12"/>
      <c r="K784" s="12"/>
      <c r="L784" s="15">
        <v>110137.2</v>
      </c>
    </row>
    <row r="785" spans="1:12" ht="39.75" customHeight="1" outlineLevel="2" x14ac:dyDescent="0.25">
      <c r="A785" s="10">
        <f>ROW(A783)</f>
        <v>783</v>
      </c>
      <c r="B785" s="6" t="str">
        <f>E785</f>
        <v>АВР-100А (АВР-Б-100-2-1 (Блок 6)</v>
      </c>
      <c r="C785" s="6"/>
      <c r="D785" s="28"/>
      <c r="E785" s="6" t="s">
        <v>230</v>
      </c>
      <c r="F785" s="36"/>
      <c r="G785" s="36" t="s">
        <v>73</v>
      </c>
      <c r="H785" s="7"/>
      <c r="I785" s="10">
        <v>1</v>
      </c>
      <c r="J785" s="11" t="s">
        <v>6</v>
      </c>
      <c r="K785" s="6" t="s">
        <v>8</v>
      </c>
      <c r="L785" s="9"/>
    </row>
    <row r="786" spans="1:12" ht="21" customHeight="1" outlineLevel="2" x14ac:dyDescent="0.25">
      <c r="A786" s="16">
        <f t="shared" si="17"/>
        <v>785</v>
      </c>
      <c r="B786" s="12" t="str">
        <f t="shared" ref="B786:B793" si="34">B785</f>
        <v>АВР-100А (АВР-Б-100-2-1 (Блок 6)</v>
      </c>
      <c r="C786" s="13" t="s">
        <v>7</v>
      </c>
      <c r="D786" s="29" t="s">
        <v>584</v>
      </c>
      <c r="E786" s="12" t="s">
        <v>585</v>
      </c>
      <c r="F786" s="37">
        <v>40030</v>
      </c>
      <c r="G786" s="38">
        <f>F786*0.6</f>
        <v>24018</v>
      </c>
      <c r="H786" s="38">
        <f>I786*G786</f>
        <v>24018</v>
      </c>
      <c r="I786" s="16">
        <v>1</v>
      </c>
      <c r="J786" s="17" t="s">
        <v>12</v>
      </c>
      <c r="K786" s="13" t="s">
        <v>15</v>
      </c>
      <c r="L786" s="15">
        <v>24018</v>
      </c>
    </row>
    <row r="787" spans="1:12" ht="21" customHeight="1" outlineLevel="2" x14ac:dyDescent="0.25">
      <c r="A787" s="16">
        <f t="shared" si="17"/>
        <v>786</v>
      </c>
      <c r="B787" s="12" t="str">
        <f t="shared" si="34"/>
        <v>АВР-100А (АВР-Б-100-2-1 (Блок 6)</v>
      </c>
      <c r="C787" s="13" t="s">
        <v>86</v>
      </c>
      <c r="D787" s="29" t="s">
        <v>143</v>
      </c>
      <c r="E787" s="12" t="s">
        <v>144</v>
      </c>
      <c r="F787" s="37">
        <v>207389</v>
      </c>
      <c r="G787" s="38">
        <f t="shared" ref="G787:G791" si="35">F787*0.6</f>
        <v>124433.4</v>
      </c>
      <c r="H787" s="38">
        <f>G787*I787</f>
        <v>124433.4</v>
      </c>
      <c r="I787" s="16">
        <v>1</v>
      </c>
      <c r="J787" s="17" t="s">
        <v>12</v>
      </c>
      <c r="K787" s="13" t="s">
        <v>16</v>
      </c>
      <c r="L787" s="15">
        <v>124433.4</v>
      </c>
    </row>
    <row r="788" spans="1:12" ht="21" customHeight="1" outlineLevel="2" x14ac:dyDescent="0.25">
      <c r="A788" s="16">
        <f t="shared" si="17"/>
        <v>787</v>
      </c>
      <c r="B788" s="12" t="str">
        <f t="shared" si="34"/>
        <v>АВР-100А (АВР-Б-100-2-1 (Блок 6)</v>
      </c>
      <c r="C788" s="13" t="s">
        <v>17</v>
      </c>
      <c r="D788" s="29" t="s">
        <v>582</v>
      </c>
      <c r="E788" s="12" t="s">
        <v>583</v>
      </c>
      <c r="F788" s="37">
        <v>90000</v>
      </c>
      <c r="G788" s="38">
        <f t="shared" ref="G788" si="36">F788</f>
        <v>90000</v>
      </c>
      <c r="H788" s="38">
        <f t="shared" ref="H788" si="37">G788*I788</f>
        <v>90000</v>
      </c>
      <c r="I788" s="16">
        <v>1</v>
      </c>
      <c r="J788" s="17" t="s">
        <v>12</v>
      </c>
      <c r="K788" s="13" t="s">
        <v>597</v>
      </c>
      <c r="L788" s="15">
        <v>90000</v>
      </c>
    </row>
    <row r="789" spans="1:12" ht="21" customHeight="1" outlineLevel="2" x14ac:dyDescent="0.25">
      <c r="A789" s="16">
        <f t="shared" si="17"/>
        <v>788</v>
      </c>
      <c r="B789" s="12" t="str">
        <f>B787</f>
        <v>АВР-100А (АВР-Б-100-2-1 (Блок 6)</v>
      </c>
      <c r="C789" s="13" t="s">
        <v>59</v>
      </c>
      <c r="D789" s="29" t="s">
        <v>55</v>
      </c>
      <c r="E789" s="12" t="s">
        <v>56</v>
      </c>
      <c r="F789" s="37">
        <v>589</v>
      </c>
      <c r="G789" s="38">
        <f t="shared" si="35"/>
        <v>353.4</v>
      </c>
      <c r="H789" s="38">
        <f>G789*I789</f>
        <v>706.8</v>
      </c>
      <c r="I789" s="16">
        <v>2</v>
      </c>
      <c r="J789" s="17" t="s">
        <v>12</v>
      </c>
      <c r="K789" s="13" t="s">
        <v>16</v>
      </c>
      <c r="L789" s="15">
        <v>706.8</v>
      </c>
    </row>
    <row r="790" spans="1:12" ht="21" customHeight="1" outlineLevel="2" x14ac:dyDescent="0.25">
      <c r="A790" s="16">
        <f t="shared" si="17"/>
        <v>789</v>
      </c>
      <c r="B790" s="12" t="str">
        <f t="shared" si="34"/>
        <v>АВР-100А (АВР-Б-100-2-1 (Блок 6)</v>
      </c>
      <c r="C790" s="13" t="s">
        <v>59</v>
      </c>
      <c r="D790" s="29" t="s">
        <v>223</v>
      </c>
      <c r="E790" s="12" t="s">
        <v>224</v>
      </c>
      <c r="F790" s="37">
        <v>571</v>
      </c>
      <c r="G790" s="38">
        <f t="shared" si="35"/>
        <v>342.59999999999997</v>
      </c>
      <c r="H790" s="38">
        <f>G790*I790</f>
        <v>685.19999999999993</v>
      </c>
      <c r="I790" s="16">
        <v>2</v>
      </c>
      <c r="J790" s="17" t="s">
        <v>12</v>
      </c>
      <c r="K790" s="13" t="s">
        <v>16</v>
      </c>
      <c r="L790" s="15">
        <v>685.19999999999993</v>
      </c>
    </row>
    <row r="791" spans="1:12" ht="21" customHeight="1" outlineLevel="2" x14ac:dyDescent="0.25">
      <c r="A791" s="16">
        <f t="shared" si="17"/>
        <v>790</v>
      </c>
      <c r="B791" s="12" t="str">
        <f t="shared" si="34"/>
        <v>АВР-100А (АВР-Б-100-2-1 (Блок 6)</v>
      </c>
      <c r="C791" s="13" t="s">
        <v>59</v>
      </c>
      <c r="D791" s="29" t="s">
        <v>57</v>
      </c>
      <c r="E791" s="12" t="s">
        <v>58</v>
      </c>
      <c r="F791" s="37">
        <v>571</v>
      </c>
      <c r="G791" s="38">
        <f t="shared" si="35"/>
        <v>342.59999999999997</v>
      </c>
      <c r="H791" s="38">
        <f>G791*I791</f>
        <v>685.19999999999993</v>
      </c>
      <c r="I791" s="16">
        <v>2</v>
      </c>
      <c r="J791" s="17" t="s">
        <v>12</v>
      </c>
      <c r="K791" s="13" t="s">
        <v>16</v>
      </c>
      <c r="L791" s="15">
        <v>685.19999999999993</v>
      </c>
    </row>
    <row r="792" spans="1:12" ht="24" customHeight="1" outlineLevel="2" x14ac:dyDescent="0.25">
      <c r="A792" s="12">
        <f t="shared" si="17"/>
        <v>791</v>
      </c>
      <c r="B792" s="12" t="str">
        <f t="shared" si="34"/>
        <v>АВР-100А (АВР-Б-100-2-1 (Блок 6)</v>
      </c>
      <c r="C792" s="12" t="s">
        <v>9</v>
      </c>
      <c r="D792" s="30" t="s">
        <v>9</v>
      </c>
      <c r="E792" s="12" t="s">
        <v>9</v>
      </c>
      <c r="F792" s="18">
        <f ca="1">OFFSET(F792,1,2)</f>
        <v>24000</v>
      </c>
      <c r="G792" s="38">
        <f ca="1">F792</f>
        <v>24000</v>
      </c>
      <c r="H792" s="38">
        <f ca="1">G792*I792</f>
        <v>24000</v>
      </c>
      <c r="I792" s="12">
        <v>1</v>
      </c>
      <c r="J792" s="12" t="s">
        <v>12</v>
      </c>
      <c r="K792" s="12" t="s">
        <v>9</v>
      </c>
      <c r="L792" s="15">
        <v>24000</v>
      </c>
    </row>
    <row r="793" spans="1:12" ht="21" customHeight="1" outlineLevel="2" x14ac:dyDescent="0.25">
      <c r="A793" s="12">
        <f t="shared" si="17"/>
        <v>792</v>
      </c>
      <c r="B793" s="12" t="str">
        <f t="shared" si="34"/>
        <v>АВР-100А (АВР-Б-100-2-1 (Блок 6)</v>
      </c>
      <c r="C793" s="12" t="s">
        <v>10</v>
      </c>
      <c r="D793" s="30" t="s">
        <v>10</v>
      </c>
      <c r="E793" s="12" t="s">
        <v>10</v>
      </c>
      <c r="F793" s="18">
        <v>4</v>
      </c>
      <c r="G793" s="38">
        <v>100</v>
      </c>
      <c r="H793" s="38">
        <f>60*F793*G793</f>
        <v>24000</v>
      </c>
      <c r="I793" s="12">
        <f>60*F793</f>
        <v>240</v>
      </c>
      <c r="J793" s="12" t="s">
        <v>12</v>
      </c>
      <c r="K793" s="12" t="s">
        <v>10</v>
      </c>
      <c r="L793" s="15">
        <v>24000</v>
      </c>
    </row>
    <row r="794" spans="1:12" ht="21" customHeight="1" outlineLevel="1" x14ac:dyDescent="0.25">
      <c r="A794" s="12"/>
      <c r="B794" s="12" t="s">
        <v>693</v>
      </c>
      <c r="C794" s="12"/>
      <c r="D794" s="30"/>
      <c r="E794" s="12"/>
      <c r="F794" s="18"/>
      <c r="G794" s="38"/>
      <c r="H794" s="38">
        <f ca="1">SUBTOTAL(9,H785:H793)</f>
        <v>288528.59999999998</v>
      </c>
      <c r="I794" s="12"/>
      <c r="J794" s="12"/>
      <c r="K794" s="12"/>
      <c r="L794" s="15">
        <v>288528.59999999998</v>
      </c>
    </row>
    <row r="795" spans="1:12" ht="39.75" customHeight="1" outlineLevel="2" x14ac:dyDescent="0.25">
      <c r="A795" s="10">
        <f>ROW(A793)</f>
        <v>793</v>
      </c>
      <c r="B795" s="6" t="str">
        <f>E795</f>
        <v>ЩС-6.1 (БЛОК 6)</v>
      </c>
      <c r="C795" s="6"/>
      <c r="D795" s="28"/>
      <c r="E795" s="6" t="s">
        <v>247</v>
      </c>
      <c r="F795" s="36"/>
      <c r="G795" s="36" t="s">
        <v>73</v>
      </c>
      <c r="H795" s="7"/>
      <c r="I795" s="10">
        <v>1</v>
      </c>
      <c r="J795" s="11" t="s">
        <v>6</v>
      </c>
      <c r="K795" s="6" t="s">
        <v>8</v>
      </c>
      <c r="L795" s="9"/>
    </row>
    <row r="796" spans="1:12" ht="21" customHeight="1" outlineLevel="2" x14ac:dyDescent="0.25">
      <c r="A796" s="16">
        <f t="shared" si="17"/>
        <v>795</v>
      </c>
      <c r="B796" s="12" t="str">
        <f t="shared" ref="B796:B811" si="38">B795</f>
        <v>ЩС-6.1 (БЛОК 6)</v>
      </c>
      <c r="C796" s="13" t="s">
        <v>7</v>
      </c>
      <c r="D796" s="29" t="s">
        <v>578</v>
      </c>
      <c r="E796" s="12" t="s">
        <v>579</v>
      </c>
      <c r="F796" s="37">
        <v>145000</v>
      </c>
      <c r="G796" s="38">
        <f>F796*0.6</f>
        <v>87000</v>
      </c>
      <c r="H796" s="38">
        <f>I796*G796</f>
        <v>174000</v>
      </c>
      <c r="I796" s="16">
        <v>2</v>
      </c>
      <c r="J796" s="17" t="s">
        <v>12</v>
      </c>
      <c r="K796" s="13" t="s">
        <v>15</v>
      </c>
      <c r="L796" s="15">
        <v>174000</v>
      </c>
    </row>
    <row r="797" spans="1:12" ht="21" customHeight="1" outlineLevel="2" x14ac:dyDescent="0.25">
      <c r="A797" s="16">
        <f t="shared" si="17"/>
        <v>796</v>
      </c>
      <c r="B797" s="12" t="str">
        <f t="shared" si="38"/>
        <v>ЩС-6.1 (БЛОК 6)</v>
      </c>
      <c r="C797" s="13" t="s">
        <v>43</v>
      </c>
      <c r="D797" s="29" t="s">
        <v>257</v>
      </c>
      <c r="E797" s="12" t="s">
        <v>258</v>
      </c>
      <c r="F797" s="37">
        <v>102897</v>
      </c>
      <c r="G797" s="38">
        <f t="shared" ref="G797:G804" si="39">F797*0.6</f>
        <v>61738.2</v>
      </c>
      <c r="H797" s="38">
        <f t="shared" ref="H797:H803" si="40">G797*I797</f>
        <v>61738.2</v>
      </c>
      <c r="I797" s="16">
        <v>1</v>
      </c>
      <c r="J797" s="17" t="s">
        <v>12</v>
      </c>
      <c r="K797" s="13" t="s">
        <v>16</v>
      </c>
      <c r="L797" s="15">
        <v>61738.2</v>
      </c>
    </row>
    <row r="798" spans="1:12" ht="21" customHeight="1" outlineLevel="2" x14ac:dyDescent="0.25">
      <c r="A798" s="16">
        <f t="shared" si="17"/>
        <v>797</v>
      </c>
      <c r="B798" s="12" t="str">
        <f t="shared" si="38"/>
        <v>ЩС-6.1 (БЛОК 6)</v>
      </c>
      <c r="C798" s="13" t="s">
        <v>43</v>
      </c>
      <c r="D798" s="29" t="s">
        <v>23</v>
      </c>
      <c r="E798" s="12" t="s">
        <v>24</v>
      </c>
      <c r="F798" s="37">
        <v>19443</v>
      </c>
      <c r="G798" s="38">
        <f t="shared" si="39"/>
        <v>11665.8</v>
      </c>
      <c r="H798" s="38">
        <f t="shared" si="40"/>
        <v>46663.199999999997</v>
      </c>
      <c r="I798" s="16">
        <v>4</v>
      </c>
      <c r="J798" s="17" t="s">
        <v>12</v>
      </c>
      <c r="K798" s="13" t="s">
        <v>16</v>
      </c>
      <c r="L798" s="15">
        <v>46663.199999999997</v>
      </c>
    </row>
    <row r="799" spans="1:12" ht="21" customHeight="1" outlineLevel="2" x14ac:dyDescent="0.25">
      <c r="A799" s="16">
        <f t="shared" si="17"/>
        <v>798</v>
      </c>
      <c r="B799" s="12" t="str">
        <f t="shared" si="38"/>
        <v>ЩС-6.1 (БЛОК 6)</v>
      </c>
      <c r="C799" s="13" t="s">
        <v>43</v>
      </c>
      <c r="D799" s="29" t="s">
        <v>41</v>
      </c>
      <c r="E799" s="12" t="s">
        <v>42</v>
      </c>
      <c r="F799" s="37">
        <v>19418</v>
      </c>
      <c r="G799" s="38">
        <f t="shared" si="39"/>
        <v>11650.8</v>
      </c>
      <c r="H799" s="38">
        <f t="shared" si="40"/>
        <v>34952.399999999994</v>
      </c>
      <c r="I799" s="16">
        <v>3</v>
      </c>
      <c r="J799" s="17" t="s">
        <v>12</v>
      </c>
      <c r="K799" s="13" t="s">
        <v>16</v>
      </c>
      <c r="L799" s="15">
        <v>34952.399999999994</v>
      </c>
    </row>
    <row r="800" spans="1:12" ht="21" customHeight="1" outlineLevel="2" x14ac:dyDescent="0.25">
      <c r="A800" s="16">
        <f t="shared" si="17"/>
        <v>799</v>
      </c>
      <c r="B800" s="12" t="str">
        <f t="shared" si="38"/>
        <v>ЩС-6.1 (БЛОК 6)</v>
      </c>
      <c r="C800" s="13" t="s">
        <v>11</v>
      </c>
      <c r="D800" s="29" t="s">
        <v>82</v>
      </c>
      <c r="E800" s="12" t="s">
        <v>83</v>
      </c>
      <c r="F800" s="37">
        <v>3641</v>
      </c>
      <c r="G800" s="38">
        <f t="shared" si="39"/>
        <v>2184.6</v>
      </c>
      <c r="H800" s="38">
        <f t="shared" si="40"/>
        <v>6553.7999999999993</v>
      </c>
      <c r="I800" s="16">
        <v>3</v>
      </c>
      <c r="J800" s="17" t="s">
        <v>12</v>
      </c>
      <c r="K800" s="13" t="s">
        <v>16</v>
      </c>
      <c r="L800" s="15">
        <v>6553.7999999999993</v>
      </c>
    </row>
    <row r="801" spans="1:12" ht="21" customHeight="1" outlineLevel="2" x14ac:dyDescent="0.25">
      <c r="A801" s="16">
        <f t="shared" ref="A801:A869" si="41">ROW(A800)</f>
        <v>800</v>
      </c>
      <c r="B801" s="12" t="str">
        <f>B803</f>
        <v>ЩС-6.1 (БЛОК 6)</v>
      </c>
      <c r="C801" s="13" t="s">
        <v>22</v>
      </c>
      <c r="D801" s="29" t="s">
        <v>126</v>
      </c>
      <c r="E801" s="12" t="s">
        <v>127</v>
      </c>
      <c r="F801" s="37">
        <v>11071</v>
      </c>
      <c r="G801" s="38">
        <f>F801*0.6</f>
        <v>6642.5999999999995</v>
      </c>
      <c r="H801" s="38">
        <f>G801*I801</f>
        <v>6642.5999999999995</v>
      </c>
      <c r="I801" s="16">
        <v>1</v>
      </c>
      <c r="J801" s="17" t="s">
        <v>12</v>
      </c>
      <c r="K801" s="13" t="s">
        <v>16</v>
      </c>
      <c r="L801" s="15">
        <v>6642.5999999999995</v>
      </c>
    </row>
    <row r="802" spans="1:12" ht="21" customHeight="1" outlineLevel="2" x14ac:dyDescent="0.25">
      <c r="A802" s="16">
        <f t="shared" si="41"/>
        <v>801</v>
      </c>
      <c r="B802" s="12" t="str">
        <f>B804</f>
        <v>ЩС-6.1 (БЛОК 6)</v>
      </c>
      <c r="C802" s="13" t="s">
        <v>22</v>
      </c>
      <c r="D802" s="29" t="s">
        <v>250</v>
      </c>
      <c r="E802" s="12" t="s">
        <v>251</v>
      </c>
      <c r="F802" s="37">
        <v>8352</v>
      </c>
      <c r="G802" s="38">
        <f>F802*0.6</f>
        <v>5011.2</v>
      </c>
      <c r="H802" s="38">
        <f>G802*I802</f>
        <v>5011.2</v>
      </c>
      <c r="I802" s="16">
        <v>1</v>
      </c>
      <c r="J802" s="17" t="s">
        <v>12</v>
      </c>
      <c r="K802" s="13" t="s">
        <v>16</v>
      </c>
      <c r="L802" s="15">
        <v>5011.2</v>
      </c>
    </row>
    <row r="803" spans="1:12" ht="21" customHeight="1" outlineLevel="2" x14ac:dyDescent="0.25">
      <c r="A803" s="16">
        <f t="shared" si="41"/>
        <v>802</v>
      </c>
      <c r="B803" s="12" t="str">
        <f>B800</f>
        <v>ЩС-6.1 (БЛОК 6)</v>
      </c>
      <c r="C803" s="13" t="s">
        <v>22</v>
      </c>
      <c r="D803" s="29" t="s">
        <v>248</v>
      </c>
      <c r="E803" s="12" t="s">
        <v>249</v>
      </c>
      <c r="F803" s="37">
        <v>5834</v>
      </c>
      <c r="G803" s="38">
        <f t="shared" si="39"/>
        <v>3500.4</v>
      </c>
      <c r="H803" s="38">
        <f t="shared" si="40"/>
        <v>3500.4</v>
      </c>
      <c r="I803" s="16">
        <v>1</v>
      </c>
      <c r="J803" s="17" t="s">
        <v>12</v>
      </c>
      <c r="K803" s="13" t="s">
        <v>16</v>
      </c>
      <c r="L803" s="15">
        <v>3500.4</v>
      </c>
    </row>
    <row r="804" spans="1:12" ht="21" customHeight="1" outlineLevel="2" x14ac:dyDescent="0.25">
      <c r="A804" s="16">
        <f t="shared" si="41"/>
        <v>803</v>
      </c>
      <c r="B804" s="12" t="str">
        <f>B801</f>
        <v>ЩС-6.1 (БЛОК 6)</v>
      </c>
      <c r="C804" s="13" t="s">
        <v>22</v>
      </c>
      <c r="D804" s="29" t="s">
        <v>117</v>
      </c>
      <c r="E804" s="12" t="s">
        <v>118</v>
      </c>
      <c r="F804" s="37">
        <v>5104</v>
      </c>
      <c r="G804" s="38">
        <f t="shared" si="39"/>
        <v>3062.4</v>
      </c>
      <c r="H804" s="38">
        <f t="shared" ref="H804:H810" si="42">G804*I804</f>
        <v>6124.8</v>
      </c>
      <c r="I804" s="16">
        <v>2</v>
      </c>
      <c r="J804" s="17" t="s">
        <v>12</v>
      </c>
      <c r="K804" s="13" t="s">
        <v>16</v>
      </c>
      <c r="L804" s="15">
        <v>6124.8</v>
      </c>
    </row>
    <row r="805" spans="1:12" ht="21" customHeight="1" outlineLevel="2" x14ac:dyDescent="0.25">
      <c r="A805" s="16">
        <f t="shared" si="41"/>
        <v>804</v>
      </c>
      <c r="B805" s="12" t="str">
        <f>B802</f>
        <v>ЩС-6.1 (БЛОК 6)</v>
      </c>
      <c r="C805" s="13" t="s">
        <v>43</v>
      </c>
      <c r="D805" s="29" t="s">
        <v>253</v>
      </c>
      <c r="E805" s="12" t="s">
        <v>252</v>
      </c>
      <c r="F805" s="37">
        <v>246.1</v>
      </c>
      <c r="G805" s="38">
        <f>F805*580*1.35*0.32</f>
        <v>61662.816000000006</v>
      </c>
      <c r="H805" s="38">
        <f t="shared" si="42"/>
        <v>61662.816000000006</v>
      </c>
      <c r="I805" s="16">
        <v>1</v>
      </c>
      <c r="J805" s="17" t="s">
        <v>12</v>
      </c>
      <c r="K805" s="13" t="s">
        <v>254</v>
      </c>
      <c r="L805" s="15">
        <v>61662.816000000006</v>
      </c>
    </row>
    <row r="806" spans="1:12" ht="21" customHeight="1" outlineLevel="2" x14ac:dyDescent="0.25">
      <c r="A806" s="16">
        <f t="shared" si="41"/>
        <v>805</v>
      </c>
      <c r="B806" s="12" t="str">
        <f t="shared" si="38"/>
        <v>ЩС-6.1 (БЛОК 6)</v>
      </c>
      <c r="C806" s="13" t="s">
        <v>595</v>
      </c>
      <c r="D806" s="29" t="s">
        <v>256</v>
      </c>
      <c r="E806" s="12" t="s">
        <v>255</v>
      </c>
      <c r="F806" s="37">
        <v>846.6</v>
      </c>
      <c r="G806" s="38">
        <f>F806*580*1.35*0.32</f>
        <v>212124.09600000002</v>
      </c>
      <c r="H806" s="38">
        <f>G806*I806</f>
        <v>212124.09600000002</v>
      </c>
      <c r="I806" s="16">
        <v>1</v>
      </c>
      <c r="J806" s="17" t="s">
        <v>12</v>
      </c>
      <c r="K806" s="13" t="s">
        <v>254</v>
      </c>
      <c r="L806" s="15">
        <v>212124.09600000002</v>
      </c>
    </row>
    <row r="807" spans="1:12" ht="21" customHeight="1" outlineLevel="2" x14ac:dyDescent="0.25">
      <c r="A807" s="16">
        <f t="shared" si="41"/>
        <v>806</v>
      </c>
      <c r="B807" s="12" t="str">
        <f t="shared" si="38"/>
        <v>ЩС-6.1 (БЛОК 6)</v>
      </c>
      <c r="C807" s="13" t="s">
        <v>48</v>
      </c>
      <c r="D807" s="29" t="s">
        <v>259</v>
      </c>
      <c r="E807" s="12" t="s">
        <v>260</v>
      </c>
      <c r="F807" s="37">
        <v>84983</v>
      </c>
      <c r="G807" s="38">
        <f t="shared" ref="G807:G809" si="43">F807*0.6</f>
        <v>50989.799999999996</v>
      </c>
      <c r="H807" s="38">
        <f t="shared" si="42"/>
        <v>203959.19999999998</v>
      </c>
      <c r="I807" s="16">
        <v>4</v>
      </c>
      <c r="J807" s="17" t="s">
        <v>12</v>
      </c>
      <c r="K807" s="13" t="s">
        <v>16</v>
      </c>
      <c r="L807" s="15">
        <v>203959.19999999998</v>
      </c>
    </row>
    <row r="808" spans="1:12" ht="21" customHeight="1" outlineLevel="2" x14ac:dyDescent="0.25">
      <c r="A808" s="16">
        <f t="shared" si="41"/>
        <v>807</v>
      </c>
      <c r="B808" s="12" t="str">
        <f t="shared" si="38"/>
        <v>ЩС-6.1 (БЛОК 6)</v>
      </c>
      <c r="C808" s="13" t="s">
        <v>48</v>
      </c>
      <c r="D808" s="29" t="s">
        <v>261</v>
      </c>
      <c r="E808" s="12" t="s">
        <v>262</v>
      </c>
      <c r="F808" s="37">
        <v>69836</v>
      </c>
      <c r="G808" s="38">
        <f t="shared" si="43"/>
        <v>41901.599999999999</v>
      </c>
      <c r="H808" s="38">
        <f t="shared" si="42"/>
        <v>125704.79999999999</v>
      </c>
      <c r="I808" s="16">
        <v>3</v>
      </c>
      <c r="J808" s="17" t="s">
        <v>12</v>
      </c>
      <c r="K808" s="13" t="s">
        <v>16</v>
      </c>
      <c r="L808" s="15">
        <v>125704.79999999999</v>
      </c>
    </row>
    <row r="809" spans="1:12" ht="21" customHeight="1" outlineLevel="2" x14ac:dyDescent="0.25">
      <c r="A809" s="16">
        <f t="shared" si="41"/>
        <v>808</v>
      </c>
      <c r="B809" s="12" t="str">
        <f t="shared" si="38"/>
        <v>ЩС-6.1 (БЛОК 6)</v>
      </c>
      <c r="C809" s="13" t="s">
        <v>48</v>
      </c>
      <c r="D809" s="29" t="s">
        <v>263</v>
      </c>
      <c r="E809" s="12" t="s">
        <v>264</v>
      </c>
      <c r="F809" s="37">
        <v>39983</v>
      </c>
      <c r="G809" s="38">
        <f t="shared" si="43"/>
        <v>23989.8</v>
      </c>
      <c r="H809" s="38">
        <f t="shared" si="42"/>
        <v>71969.399999999994</v>
      </c>
      <c r="I809" s="16">
        <v>3</v>
      </c>
      <c r="J809" s="17" t="s">
        <v>12</v>
      </c>
      <c r="K809" s="13" t="s">
        <v>16</v>
      </c>
      <c r="L809" s="15">
        <v>71969.399999999994</v>
      </c>
    </row>
    <row r="810" spans="1:12" ht="24" customHeight="1" outlineLevel="2" x14ac:dyDescent="0.25">
      <c r="A810" s="12">
        <f t="shared" si="41"/>
        <v>809</v>
      </c>
      <c r="B810" s="12" t="str">
        <f t="shared" si="38"/>
        <v>ЩС-6.1 (БЛОК 6)</v>
      </c>
      <c r="C810" s="12" t="s">
        <v>9</v>
      </c>
      <c r="D810" s="30" t="s">
        <v>9</v>
      </c>
      <c r="E810" s="12" t="s">
        <v>9</v>
      </c>
      <c r="F810" s="18">
        <f ca="1">OFFSET(F810,1,2)</f>
        <v>120000</v>
      </c>
      <c r="G810" s="38">
        <f ca="1">F810</f>
        <v>120000</v>
      </c>
      <c r="H810" s="38">
        <f t="shared" ca="1" si="42"/>
        <v>120000</v>
      </c>
      <c r="I810" s="12">
        <v>1</v>
      </c>
      <c r="J810" s="12" t="s">
        <v>12</v>
      </c>
      <c r="K810" s="12" t="s">
        <v>9</v>
      </c>
      <c r="L810" s="15">
        <v>120000</v>
      </c>
    </row>
    <row r="811" spans="1:12" ht="21" customHeight="1" outlineLevel="2" x14ac:dyDescent="0.25">
      <c r="A811" s="12">
        <f t="shared" si="41"/>
        <v>810</v>
      </c>
      <c r="B811" s="12" t="str">
        <f t="shared" si="38"/>
        <v>ЩС-6.1 (БЛОК 6)</v>
      </c>
      <c r="C811" s="12" t="s">
        <v>10</v>
      </c>
      <c r="D811" s="30" t="s">
        <v>10</v>
      </c>
      <c r="E811" s="12" t="s">
        <v>10</v>
      </c>
      <c r="F811" s="18">
        <v>20</v>
      </c>
      <c r="G811" s="38">
        <v>100</v>
      </c>
      <c r="H811" s="38">
        <f>60*F811*G811</f>
        <v>120000</v>
      </c>
      <c r="I811" s="12">
        <f>60*F811</f>
        <v>1200</v>
      </c>
      <c r="J811" s="12" t="s">
        <v>12</v>
      </c>
      <c r="K811" s="12" t="s">
        <v>10</v>
      </c>
      <c r="L811" s="15">
        <v>120000</v>
      </c>
    </row>
    <row r="812" spans="1:12" ht="21" customHeight="1" outlineLevel="1" x14ac:dyDescent="0.25">
      <c r="A812" s="12"/>
      <c r="B812" s="12" t="s">
        <v>694</v>
      </c>
      <c r="C812" s="12"/>
      <c r="D812" s="30"/>
      <c r="E812" s="12"/>
      <c r="F812" s="18"/>
      <c r="G812" s="38"/>
      <c r="H812" s="38">
        <f ca="1">SUBTOTAL(9,H795:H811)</f>
        <v>1260606.912</v>
      </c>
      <c r="I812" s="12"/>
      <c r="J812" s="12"/>
      <c r="K812" s="12"/>
      <c r="L812" s="15">
        <v>1260606.912</v>
      </c>
    </row>
    <row r="813" spans="1:12" ht="39.75" customHeight="1" outlineLevel="2" x14ac:dyDescent="0.25">
      <c r="A813" s="10">
        <f>ROW(A811)</f>
        <v>811</v>
      </c>
      <c r="B813" s="6" t="str">
        <f>E813</f>
        <v>ЩС-6.2 (БЛОК 6)</v>
      </c>
      <c r="C813" s="6"/>
      <c r="D813" s="28"/>
      <c r="E813" s="6" t="s">
        <v>265</v>
      </c>
      <c r="F813" s="36"/>
      <c r="G813" s="36" t="s">
        <v>73</v>
      </c>
      <c r="H813" s="7"/>
      <c r="I813" s="10">
        <v>1</v>
      </c>
      <c r="J813" s="11" t="s">
        <v>6</v>
      </c>
      <c r="K813" s="6" t="s">
        <v>8</v>
      </c>
      <c r="L813" s="9"/>
    </row>
    <row r="814" spans="1:12" ht="21" customHeight="1" outlineLevel="2" x14ac:dyDescent="0.25">
      <c r="A814" s="16">
        <f t="shared" si="41"/>
        <v>813</v>
      </c>
      <c r="B814" s="12" t="str">
        <f t="shared" ref="B814:B822" si="44">B813</f>
        <v>ЩС-6.2 (БЛОК 6)</v>
      </c>
      <c r="C814" s="13" t="s">
        <v>7</v>
      </c>
      <c r="D814" s="29" t="s">
        <v>474</v>
      </c>
      <c r="E814" s="12" t="s">
        <v>475</v>
      </c>
      <c r="F814" s="37">
        <v>25000</v>
      </c>
      <c r="G814" s="38">
        <f>F814*0.6</f>
        <v>15000</v>
      </c>
      <c r="H814" s="38">
        <f>I814*G814</f>
        <v>15000</v>
      </c>
      <c r="I814" s="16">
        <v>1</v>
      </c>
      <c r="J814" s="17" t="s">
        <v>12</v>
      </c>
      <c r="K814" s="13" t="s">
        <v>15</v>
      </c>
      <c r="L814" s="15">
        <v>15000</v>
      </c>
    </row>
    <row r="815" spans="1:12" ht="21" customHeight="1" outlineLevel="2" x14ac:dyDescent="0.25">
      <c r="A815" s="16">
        <f t="shared" si="41"/>
        <v>814</v>
      </c>
      <c r="B815" s="12" t="str">
        <f t="shared" si="44"/>
        <v>ЩС-6.2 (БЛОК 6)</v>
      </c>
      <c r="C815" s="13" t="s">
        <v>11</v>
      </c>
      <c r="D815" s="29" t="s">
        <v>65</v>
      </c>
      <c r="E815" s="12" t="s">
        <v>66</v>
      </c>
      <c r="F815" s="37">
        <v>2807</v>
      </c>
      <c r="G815" s="38">
        <f t="shared" ref="G815:G820" si="45">F815*0.6</f>
        <v>1684.2</v>
      </c>
      <c r="H815" s="38">
        <f t="shared" ref="H815:H821" si="46">G815*I815</f>
        <v>1684.2</v>
      </c>
      <c r="I815" s="16">
        <v>1</v>
      </c>
      <c r="J815" s="17" t="s">
        <v>12</v>
      </c>
      <c r="K815" s="13" t="s">
        <v>16</v>
      </c>
      <c r="L815" s="15">
        <v>1684.2</v>
      </c>
    </row>
    <row r="816" spans="1:12" ht="21" customHeight="1" outlineLevel="2" x14ac:dyDescent="0.25">
      <c r="A816" s="16">
        <f t="shared" si="41"/>
        <v>815</v>
      </c>
      <c r="B816" s="12" t="str">
        <f>B819</f>
        <v>ЩС-6.2 (БЛОК 6)</v>
      </c>
      <c r="C816" s="13" t="s">
        <v>22</v>
      </c>
      <c r="D816" s="29" t="s">
        <v>250</v>
      </c>
      <c r="E816" s="12" t="s">
        <v>251</v>
      </c>
      <c r="F816" s="37">
        <v>8352</v>
      </c>
      <c r="G816" s="38">
        <f>F816*0.6</f>
        <v>5011.2</v>
      </c>
      <c r="H816" s="38">
        <f>G816*I816</f>
        <v>10022.4</v>
      </c>
      <c r="I816" s="16">
        <v>2</v>
      </c>
      <c r="J816" s="17" t="s">
        <v>12</v>
      </c>
      <c r="K816" s="13" t="s">
        <v>16</v>
      </c>
      <c r="L816" s="15">
        <v>10022.4</v>
      </c>
    </row>
    <row r="817" spans="1:13" ht="21" customHeight="1" outlineLevel="2" x14ac:dyDescent="0.25">
      <c r="A817" s="16">
        <f t="shared" si="41"/>
        <v>816</v>
      </c>
      <c r="B817" s="12" t="str">
        <f>B815</f>
        <v>ЩС-6.2 (БЛОК 6)</v>
      </c>
      <c r="C817" s="13" t="s">
        <v>22</v>
      </c>
      <c r="D817" s="29" t="s">
        <v>266</v>
      </c>
      <c r="E817" s="12" t="s">
        <v>267</v>
      </c>
      <c r="F817" s="37">
        <v>5552</v>
      </c>
      <c r="G817" s="38">
        <f t="shared" si="45"/>
        <v>3331.2</v>
      </c>
      <c r="H817" s="38">
        <f t="shared" si="46"/>
        <v>3331.2</v>
      </c>
      <c r="I817" s="16">
        <v>1</v>
      </c>
      <c r="J817" s="17" t="s">
        <v>12</v>
      </c>
      <c r="K817" s="13" t="s">
        <v>16</v>
      </c>
      <c r="L817" s="15">
        <v>3331.2</v>
      </c>
    </row>
    <row r="818" spans="1:13" ht="21" customHeight="1" outlineLevel="2" x14ac:dyDescent="0.25">
      <c r="A818" s="16">
        <f t="shared" si="41"/>
        <v>817</v>
      </c>
      <c r="B818" s="12" t="str">
        <f t="shared" si="44"/>
        <v>ЩС-6.2 (БЛОК 6)</v>
      </c>
      <c r="C818" s="13" t="s">
        <v>22</v>
      </c>
      <c r="D818" s="29" t="s">
        <v>268</v>
      </c>
      <c r="E818" s="12" t="s">
        <v>269</v>
      </c>
      <c r="F818" s="37">
        <v>5632</v>
      </c>
      <c r="G818" s="38">
        <f t="shared" si="45"/>
        <v>3379.2</v>
      </c>
      <c r="H818" s="38">
        <f t="shared" si="46"/>
        <v>13516.8</v>
      </c>
      <c r="I818" s="16">
        <v>4</v>
      </c>
      <c r="J818" s="17" t="s">
        <v>12</v>
      </c>
      <c r="K818" s="13" t="s">
        <v>16</v>
      </c>
      <c r="L818" s="15">
        <v>13516.8</v>
      </c>
      <c r="M818" t="s">
        <v>451</v>
      </c>
    </row>
    <row r="819" spans="1:13" ht="21" customHeight="1" outlineLevel="2" x14ac:dyDescent="0.25">
      <c r="A819" s="16">
        <f t="shared" si="41"/>
        <v>818</v>
      </c>
      <c r="B819" s="12" t="str">
        <f t="shared" si="44"/>
        <v>ЩС-6.2 (БЛОК 6)</v>
      </c>
      <c r="C819" s="13" t="s">
        <v>22</v>
      </c>
      <c r="D819" s="29" t="s">
        <v>117</v>
      </c>
      <c r="E819" s="12" t="s">
        <v>118</v>
      </c>
      <c r="F819" s="37">
        <v>5104</v>
      </c>
      <c r="G819" s="38">
        <f t="shared" si="45"/>
        <v>3062.4</v>
      </c>
      <c r="H819" s="38">
        <f t="shared" si="46"/>
        <v>24499.200000000001</v>
      </c>
      <c r="I819" s="16">
        <v>8</v>
      </c>
      <c r="J819" s="17" t="s">
        <v>12</v>
      </c>
      <c r="K819" s="13" t="s">
        <v>16</v>
      </c>
      <c r="L819" s="15">
        <v>24499.200000000001</v>
      </c>
      <c r="M819" t="s">
        <v>452</v>
      </c>
    </row>
    <row r="820" spans="1:13" ht="21" customHeight="1" outlineLevel="2" x14ac:dyDescent="0.25">
      <c r="A820" s="16">
        <f t="shared" si="41"/>
        <v>819</v>
      </c>
      <c r="B820" s="12" t="str">
        <f>B816</f>
        <v>ЩС-6.2 (БЛОК 6)</v>
      </c>
      <c r="C820" s="13" t="s">
        <v>22</v>
      </c>
      <c r="D820" s="29" t="s">
        <v>270</v>
      </c>
      <c r="E820" s="12" t="s">
        <v>271</v>
      </c>
      <c r="F820" s="37">
        <v>5719</v>
      </c>
      <c r="G820" s="38">
        <f t="shared" si="45"/>
        <v>3431.4</v>
      </c>
      <c r="H820" s="38">
        <f t="shared" si="46"/>
        <v>3431.4</v>
      </c>
      <c r="I820" s="16">
        <v>1</v>
      </c>
      <c r="J820" s="17" t="s">
        <v>12</v>
      </c>
      <c r="K820" s="13" t="s">
        <v>16</v>
      </c>
      <c r="L820" s="15">
        <v>3431.4</v>
      </c>
    </row>
    <row r="821" spans="1:13" ht="24" customHeight="1" outlineLevel="2" x14ac:dyDescent="0.25">
      <c r="A821" s="12">
        <f t="shared" si="41"/>
        <v>820</v>
      </c>
      <c r="B821" s="12" t="str">
        <f t="shared" si="44"/>
        <v>ЩС-6.2 (БЛОК 6)</v>
      </c>
      <c r="C821" s="12" t="s">
        <v>9</v>
      </c>
      <c r="D821" s="30" t="s">
        <v>9</v>
      </c>
      <c r="E821" s="12" t="s">
        <v>9</v>
      </c>
      <c r="F821" s="18">
        <f ca="1">OFFSET(F821,1,2)</f>
        <v>21000</v>
      </c>
      <c r="G821" s="38">
        <f ca="1">F821</f>
        <v>21000</v>
      </c>
      <c r="H821" s="38">
        <f t="shared" ca="1" si="46"/>
        <v>21000</v>
      </c>
      <c r="I821" s="12">
        <v>1</v>
      </c>
      <c r="J821" s="12" t="s">
        <v>12</v>
      </c>
      <c r="K821" s="12" t="s">
        <v>9</v>
      </c>
      <c r="L821" s="15">
        <v>21000</v>
      </c>
    </row>
    <row r="822" spans="1:13" ht="21" customHeight="1" outlineLevel="2" x14ac:dyDescent="0.25">
      <c r="A822" s="12">
        <f t="shared" si="41"/>
        <v>821</v>
      </c>
      <c r="B822" s="12" t="str">
        <f t="shared" si="44"/>
        <v>ЩС-6.2 (БЛОК 6)</v>
      </c>
      <c r="C822" s="12" t="s">
        <v>10</v>
      </c>
      <c r="D822" s="30" t="s">
        <v>10</v>
      </c>
      <c r="E822" s="12" t="s">
        <v>10</v>
      </c>
      <c r="F822" s="18">
        <v>3.5</v>
      </c>
      <c r="G822" s="38">
        <v>100</v>
      </c>
      <c r="H822" s="38">
        <f>60*F822*G822</f>
        <v>21000</v>
      </c>
      <c r="I822" s="12">
        <f>60*F822</f>
        <v>210</v>
      </c>
      <c r="J822" s="12" t="s">
        <v>12</v>
      </c>
      <c r="K822" s="12" t="s">
        <v>10</v>
      </c>
      <c r="L822" s="15">
        <v>21000</v>
      </c>
    </row>
    <row r="823" spans="1:13" ht="21" customHeight="1" outlineLevel="1" x14ac:dyDescent="0.25">
      <c r="A823" s="12"/>
      <c r="B823" s="12" t="s">
        <v>695</v>
      </c>
      <c r="C823" s="12"/>
      <c r="D823" s="30"/>
      <c r="E823" s="12"/>
      <c r="F823" s="18"/>
      <c r="G823" s="38"/>
      <c r="H823" s="38">
        <f ca="1">SUBTOTAL(9,H813:H822)</f>
        <v>113485.2</v>
      </c>
      <c r="I823" s="12"/>
      <c r="J823" s="12"/>
      <c r="K823" s="12"/>
      <c r="L823" s="15">
        <v>113485.2</v>
      </c>
    </row>
    <row r="824" spans="1:13" ht="39.75" customHeight="1" outlineLevel="2" x14ac:dyDescent="0.25">
      <c r="A824" s="10">
        <f>ROW(A822)</f>
        <v>822</v>
      </c>
      <c r="B824" s="6" t="str">
        <f>E824</f>
        <v>ЩС-6.3 (БЛОК 6)</v>
      </c>
      <c r="C824" s="6"/>
      <c r="D824" s="28"/>
      <c r="E824" s="6" t="s">
        <v>272</v>
      </c>
      <c r="F824" s="36"/>
      <c r="G824" s="36" t="s">
        <v>73</v>
      </c>
      <c r="H824" s="7"/>
      <c r="I824" s="10">
        <v>1</v>
      </c>
      <c r="J824" s="11" t="s">
        <v>6</v>
      </c>
      <c r="K824" s="6" t="s">
        <v>8</v>
      </c>
      <c r="L824" s="9"/>
    </row>
    <row r="825" spans="1:13" ht="21" customHeight="1" outlineLevel="2" x14ac:dyDescent="0.25">
      <c r="A825" s="16">
        <f t="shared" si="41"/>
        <v>824</v>
      </c>
      <c r="B825" s="12" t="str">
        <f t="shared" ref="B825:B835" si="47">B824</f>
        <v>ЩС-6.3 (БЛОК 6)</v>
      </c>
      <c r="C825" s="13" t="s">
        <v>7</v>
      </c>
      <c r="D825" s="29" t="s">
        <v>480</v>
      </c>
      <c r="E825" s="12" t="s">
        <v>481</v>
      </c>
      <c r="F825" s="37">
        <v>73730</v>
      </c>
      <c r="G825" s="38">
        <f>F825*0.6</f>
        <v>44238</v>
      </c>
      <c r="H825" s="38">
        <f>I825*G825</f>
        <v>44238</v>
      </c>
      <c r="I825" s="16">
        <v>1</v>
      </c>
      <c r="J825" s="17" t="s">
        <v>12</v>
      </c>
      <c r="K825" s="13" t="s">
        <v>15</v>
      </c>
      <c r="L825" s="15">
        <v>44238</v>
      </c>
    </row>
    <row r="826" spans="1:13" ht="21" customHeight="1" outlineLevel="2" x14ac:dyDescent="0.25">
      <c r="A826" s="16">
        <f t="shared" si="41"/>
        <v>825</v>
      </c>
      <c r="B826" s="12" t="str">
        <f t="shared" si="47"/>
        <v>ЩС-6.3 (БЛОК 6)</v>
      </c>
      <c r="C826" s="13" t="s">
        <v>43</v>
      </c>
      <c r="D826" s="29" t="s">
        <v>275</v>
      </c>
      <c r="E826" s="12" t="s">
        <v>276</v>
      </c>
      <c r="F826" s="37">
        <v>55608</v>
      </c>
      <c r="G826" s="38">
        <f t="shared" ref="G826:G833" si="48">F826*0.6</f>
        <v>33364.799999999996</v>
      </c>
      <c r="H826" s="38">
        <f t="shared" ref="H826:H834" si="49">G826*I826</f>
        <v>33364.799999999996</v>
      </c>
      <c r="I826" s="16">
        <v>1</v>
      </c>
      <c r="J826" s="17" t="s">
        <v>12</v>
      </c>
      <c r="K826" s="13" t="s">
        <v>16</v>
      </c>
      <c r="L826" s="15">
        <v>33364.799999999996</v>
      </c>
    </row>
    <row r="827" spans="1:13" ht="21" customHeight="1" outlineLevel="2" x14ac:dyDescent="0.25">
      <c r="A827" s="16">
        <f t="shared" si="41"/>
        <v>826</v>
      </c>
      <c r="B827" s="12" t="str">
        <f t="shared" si="47"/>
        <v>ЩС-6.3 (БЛОК 6)</v>
      </c>
      <c r="C827" s="13" t="s">
        <v>43</v>
      </c>
      <c r="D827" s="29" t="s">
        <v>181</v>
      </c>
      <c r="E827" s="12" t="s">
        <v>182</v>
      </c>
      <c r="F827" s="37">
        <v>34800</v>
      </c>
      <c r="G827" s="38">
        <f t="shared" si="48"/>
        <v>20880</v>
      </c>
      <c r="H827" s="38">
        <f t="shared" si="49"/>
        <v>20880</v>
      </c>
      <c r="I827" s="16">
        <v>1</v>
      </c>
      <c r="J827" s="17" t="s">
        <v>12</v>
      </c>
      <c r="K827" s="13" t="s">
        <v>16</v>
      </c>
      <c r="L827" s="15">
        <v>20880</v>
      </c>
    </row>
    <row r="828" spans="1:13" ht="21" customHeight="1" outlineLevel="2" x14ac:dyDescent="0.25">
      <c r="A828" s="16">
        <f t="shared" si="41"/>
        <v>827</v>
      </c>
      <c r="B828" s="12" t="str">
        <f t="shared" si="47"/>
        <v>ЩС-6.3 (БЛОК 6)</v>
      </c>
      <c r="C828" s="13" t="s">
        <v>11</v>
      </c>
      <c r="D828" s="29" t="s">
        <v>273</v>
      </c>
      <c r="E828" s="12" t="s">
        <v>274</v>
      </c>
      <c r="F828" s="37">
        <v>2499</v>
      </c>
      <c r="G828" s="38">
        <f t="shared" si="48"/>
        <v>1499.3999999999999</v>
      </c>
      <c r="H828" s="38">
        <f t="shared" si="49"/>
        <v>1499.3999999999999</v>
      </c>
      <c r="I828" s="16">
        <v>1</v>
      </c>
      <c r="J828" s="17" t="s">
        <v>12</v>
      </c>
      <c r="K828" s="13" t="s">
        <v>16</v>
      </c>
      <c r="L828" s="15">
        <v>1499.3999999999999</v>
      </c>
    </row>
    <row r="829" spans="1:13" ht="21" customHeight="1" outlineLevel="2" x14ac:dyDescent="0.25">
      <c r="A829" s="16">
        <f t="shared" si="41"/>
        <v>828</v>
      </c>
      <c r="B829" s="12" t="str">
        <f t="shared" si="47"/>
        <v>ЩС-6.3 (БЛОК 6)</v>
      </c>
      <c r="C829" s="13" t="s">
        <v>22</v>
      </c>
      <c r="D829" s="29" t="s">
        <v>96</v>
      </c>
      <c r="E829" s="12" t="s">
        <v>97</v>
      </c>
      <c r="F829" s="37">
        <v>5069</v>
      </c>
      <c r="G829" s="38">
        <f t="shared" si="48"/>
        <v>3041.4</v>
      </c>
      <c r="H829" s="38">
        <f t="shared" si="49"/>
        <v>3041.4</v>
      </c>
      <c r="I829" s="16">
        <v>1</v>
      </c>
      <c r="J829" s="17" t="s">
        <v>12</v>
      </c>
      <c r="K829" s="13" t="s">
        <v>16</v>
      </c>
      <c r="L829" s="15">
        <v>3041.4</v>
      </c>
    </row>
    <row r="830" spans="1:13" ht="21" customHeight="1" outlineLevel="2" x14ac:dyDescent="0.25">
      <c r="A830" s="16">
        <f t="shared" si="41"/>
        <v>829</v>
      </c>
      <c r="B830" s="12" t="str">
        <f t="shared" si="47"/>
        <v>ЩС-6.3 (БЛОК 6)</v>
      </c>
      <c r="C830" s="13" t="s">
        <v>22</v>
      </c>
      <c r="D830" s="29" t="s">
        <v>268</v>
      </c>
      <c r="E830" s="12" t="s">
        <v>269</v>
      </c>
      <c r="F830" s="37">
        <v>5632</v>
      </c>
      <c r="G830" s="38">
        <f t="shared" si="48"/>
        <v>3379.2</v>
      </c>
      <c r="H830" s="38">
        <f t="shared" si="49"/>
        <v>6758.4</v>
      </c>
      <c r="I830" s="16">
        <v>2</v>
      </c>
      <c r="J830" s="17" t="s">
        <v>12</v>
      </c>
      <c r="K830" s="13" t="s">
        <v>16</v>
      </c>
      <c r="L830" s="15">
        <v>6758.4</v>
      </c>
    </row>
    <row r="831" spans="1:13" ht="21" customHeight="1" outlineLevel="2" x14ac:dyDescent="0.25">
      <c r="A831" s="16">
        <f t="shared" si="41"/>
        <v>830</v>
      </c>
      <c r="B831" s="12" t="str">
        <f t="shared" si="47"/>
        <v>ЩС-6.3 (БЛОК 6)</v>
      </c>
      <c r="C831" s="13" t="s">
        <v>22</v>
      </c>
      <c r="D831" s="29" t="s">
        <v>117</v>
      </c>
      <c r="E831" s="12" t="s">
        <v>118</v>
      </c>
      <c r="F831" s="37">
        <v>5104</v>
      </c>
      <c r="G831" s="38">
        <f t="shared" si="48"/>
        <v>3062.4</v>
      </c>
      <c r="H831" s="38">
        <f t="shared" si="49"/>
        <v>18374.400000000001</v>
      </c>
      <c r="I831" s="16">
        <v>6</v>
      </c>
      <c r="J831" s="17" t="s">
        <v>12</v>
      </c>
      <c r="K831" s="13" t="s">
        <v>16</v>
      </c>
      <c r="L831" s="15">
        <v>18374.400000000001</v>
      </c>
    </row>
    <row r="832" spans="1:13" ht="21" customHeight="1" outlineLevel="2" x14ac:dyDescent="0.25">
      <c r="A832" s="16">
        <f t="shared" si="41"/>
        <v>831</v>
      </c>
      <c r="B832" s="12" t="str">
        <f t="shared" si="47"/>
        <v>ЩС-6.3 (БЛОК 6)</v>
      </c>
      <c r="C832" s="13" t="s">
        <v>22</v>
      </c>
      <c r="D832" s="29" t="s">
        <v>250</v>
      </c>
      <c r="E832" s="12" t="s">
        <v>251</v>
      </c>
      <c r="F832" s="37">
        <v>8352</v>
      </c>
      <c r="G832" s="38">
        <f t="shared" si="48"/>
        <v>5011.2</v>
      </c>
      <c r="H832" s="38">
        <f t="shared" si="49"/>
        <v>10022.4</v>
      </c>
      <c r="I832" s="16">
        <v>2</v>
      </c>
      <c r="J832" s="17" t="s">
        <v>12</v>
      </c>
      <c r="K832" s="13" t="s">
        <v>16</v>
      </c>
      <c r="L832" s="15">
        <v>10022.4</v>
      </c>
    </row>
    <row r="833" spans="1:12" ht="21" customHeight="1" outlineLevel="2" x14ac:dyDescent="0.25">
      <c r="A833" s="16">
        <f t="shared" si="41"/>
        <v>832</v>
      </c>
      <c r="B833" s="12" t="str">
        <f t="shared" si="47"/>
        <v>ЩС-6.3 (БЛОК 6)</v>
      </c>
      <c r="C833" s="13" t="s">
        <v>22</v>
      </c>
      <c r="D833" s="29" t="s">
        <v>270</v>
      </c>
      <c r="E833" s="12" t="s">
        <v>271</v>
      </c>
      <c r="F833" s="37">
        <v>5719</v>
      </c>
      <c r="G833" s="38">
        <f t="shared" si="48"/>
        <v>3431.4</v>
      </c>
      <c r="H833" s="38">
        <f t="shared" si="49"/>
        <v>17157</v>
      </c>
      <c r="I833" s="16">
        <v>5</v>
      </c>
      <c r="J833" s="17" t="s">
        <v>12</v>
      </c>
      <c r="K833" s="13" t="s">
        <v>16</v>
      </c>
      <c r="L833" s="15">
        <v>17157</v>
      </c>
    </row>
    <row r="834" spans="1:12" ht="24" customHeight="1" outlineLevel="2" x14ac:dyDescent="0.25">
      <c r="A834" s="12">
        <f t="shared" si="41"/>
        <v>833</v>
      </c>
      <c r="B834" s="12" t="str">
        <f t="shared" si="47"/>
        <v>ЩС-6.3 (БЛОК 6)</v>
      </c>
      <c r="C834" s="12" t="s">
        <v>9</v>
      </c>
      <c r="D834" s="30" t="s">
        <v>9</v>
      </c>
      <c r="E834" s="12" t="s">
        <v>9</v>
      </c>
      <c r="F834" s="18">
        <f ca="1">OFFSET(F834,1,2)</f>
        <v>42000</v>
      </c>
      <c r="G834" s="38">
        <f ca="1">F834</f>
        <v>42000</v>
      </c>
      <c r="H834" s="38">
        <f t="shared" ca="1" si="49"/>
        <v>42000</v>
      </c>
      <c r="I834" s="12">
        <v>1</v>
      </c>
      <c r="J834" s="12" t="s">
        <v>12</v>
      </c>
      <c r="K834" s="12" t="s">
        <v>9</v>
      </c>
      <c r="L834" s="15">
        <v>42000</v>
      </c>
    </row>
    <row r="835" spans="1:12" ht="21" customHeight="1" outlineLevel="2" x14ac:dyDescent="0.25">
      <c r="A835" s="12">
        <f t="shared" si="41"/>
        <v>834</v>
      </c>
      <c r="B835" s="12" t="str">
        <f t="shared" si="47"/>
        <v>ЩС-6.3 (БЛОК 6)</v>
      </c>
      <c r="C835" s="12" t="s">
        <v>10</v>
      </c>
      <c r="D835" s="30" t="s">
        <v>10</v>
      </c>
      <c r="E835" s="12" t="s">
        <v>10</v>
      </c>
      <c r="F835" s="18">
        <v>7</v>
      </c>
      <c r="G835" s="38">
        <v>100</v>
      </c>
      <c r="H835" s="38">
        <f>60*F835*G835</f>
        <v>42000</v>
      </c>
      <c r="I835" s="12">
        <f>60*F835</f>
        <v>420</v>
      </c>
      <c r="J835" s="12" t="s">
        <v>12</v>
      </c>
      <c r="K835" s="12" t="s">
        <v>10</v>
      </c>
      <c r="L835" s="15">
        <v>42000</v>
      </c>
    </row>
    <row r="836" spans="1:12" ht="21" customHeight="1" outlineLevel="1" x14ac:dyDescent="0.25">
      <c r="A836" s="12"/>
      <c r="B836" s="12" t="s">
        <v>696</v>
      </c>
      <c r="C836" s="12"/>
      <c r="D836" s="30"/>
      <c r="E836" s="12"/>
      <c r="F836" s="18"/>
      <c r="G836" s="38"/>
      <c r="H836" s="38">
        <f ca="1">SUBTOTAL(9,H824:H835)</f>
        <v>239335.79999999996</v>
      </c>
      <c r="I836" s="12"/>
      <c r="J836" s="12"/>
      <c r="K836" s="12"/>
      <c r="L836" s="15">
        <v>239335.79999999996</v>
      </c>
    </row>
    <row r="837" spans="1:12" ht="39.75" customHeight="1" outlineLevel="2" x14ac:dyDescent="0.25">
      <c r="A837" s="10">
        <f>ROW(A835)</f>
        <v>835</v>
      </c>
      <c r="B837" s="6" t="str">
        <f>E837</f>
        <v>ЩС-6.4 (БЛОК 6)</v>
      </c>
      <c r="C837" s="6"/>
      <c r="D837" s="28"/>
      <c r="E837" s="6" t="s">
        <v>277</v>
      </c>
      <c r="F837" s="36"/>
      <c r="G837" s="36" t="s">
        <v>73</v>
      </c>
      <c r="H837" s="7"/>
      <c r="I837" s="10">
        <v>1</v>
      </c>
      <c r="J837" s="11" t="s">
        <v>6</v>
      </c>
      <c r="K837" s="6" t="s">
        <v>8</v>
      </c>
      <c r="L837" s="9"/>
    </row>
    <row r="838" spans="1:12" ht="21" customHeight="1" outlineLevel="2" x14ac:dyDescent="0.25">
      <c r="A838" s="16">
        <f t="shared" si="41"/>
        <v>837</v>
      </c>
      <c r="B838" s="12" t="str">
        <f t="shared" ref="B838:B847" si="50">B837</f>
        <v>ЩС-6.4 (БЛОК 6)</v>
      </c>
      <c r="C838" s="13" t="s">
        <v>7</v>
      </c>
      <c r="D838" s="29" t="s">
        <v>474</v>
      </c>
      <c r="E838" s="12" t="s">
        <v>475</v>
      </c>
      <c r="F838" s="37">
        <v>25000</v>
      </c>
      <c r="G838" s="38">
        <f>F838*0.6</f>
        <v>15000</v>
      </c>
      <c r="H838" s="38">
        <f>I838*G838</f>
        <v>15000</v>
      </c>
      <c r="I838" s="16">
        <v>1</v>
      </c>
      <c r="J838" s="17" t="s">
        <v>12</v>
      </c>
      <c r="K838" s="13" t="s">
        <v>15</v>
      </c>
      <c r="L838" s="15">
        <v>15000</v>
      </c>
    </row>
    <row r="839" spans="1:12" ht="21" customHeight="1" outlineLevel="2" x14ac:dyDescent="0.25">
      <c r="A839" s="16">
        <f t="shared" si="41"/>
        <v>838</v>
      </c>
      <c r="B839" s="12" t="str">
        <f t="shared" si="50"/>
        <v>ЩС-6.4 (БЛОК 6)</v>
      </c>
      <c r="C839" s="13" t="s">
        <v>11</v>
      </c>
      <c r="D839" s="29" t="s">
        <v>29</v>
      </c>
      <c r="E839" s="12" t="s">
        <v>30</v>
      </c>
      <c r="F839" s="37">
        <v>3172</v>
      </c>
      <c r="G839" s="38">
        <f t="shared" ref="G839:G845" si="51">F839*0.6</f>
        <v>1903.1999999999998</v>
      </c>
      <c r="H839" s="38">
        <f t="shared" ref="H839:H846" si="52">G839*I839</f>
        <v>1903.1999999999998</v>
      </c>
      <c r="I839" s="16">
        <v>1</v>
      </c>
      <c r="J839" s="17" t="s">
        <v>12</v>
      </c>
      <c r="K839" s="13" t="s">
        <v>16</v>
      </c>
      <c r="L839" s="15">
        <v>1903.1999999999998</v>
      </c>
    </row>
    <row r="840" spans="1:12" ht="21" customHeight="1" outlineLevel="2" x14ac:dyDescent="0.25">
      <c r="A840" s="16">
        <f t="shared" si="41"/>
        <v>839</v>
      </c>
      <c r="B840" s="12" t="str">
        <f t="shared" si="50"/>
        <v>ЩС-6.4 (БЛОК 6)</v>
      </c>
      <c r="C840" s="13" t="s">
        <v>22</v>
      </c>
      <c r="D840" s="29" t="s">
        <v>248</v>
      </c>
      <c r="E840" s="12" t="s">
        <v>249</v>
      </c>
      <c r="F840" s="37">
        <v>5834</v>
      </c>
      <c r="G840" s="38">
        <f t="shared" si="51"/>
        <v>3500.4</v>
      </c>
      <c r="H840" s="38">
        <f t="shared" si="52"/>
        <v>3500.4</v>
      </c>
      <c r="I840" s="16">
        <v>1</v>
      </c>
      <c r="J840" s="17" t="s">
        <v>12</v>
      </c>
      <c r="K840" s="13" t="s">
        <v>16</v>
      </c>
      <c r="L840" s="15">
        <v>3500.4</v>
      </c>
    </row>
    <row r="841" spans="1:12" ht="21" customHeight="1" outlineLevel="2" x14ac:dyDescent="0.25">
      <c r="A841" s="16">
        <f t="shared" si="41"/>
        <v>840</v>
      </c>
      <c r="B841" s="12" t="str">
        <f t="shared" si="50"/>
        <v>ЩС-6.4 (БЛОК 6)</v>
      </c>
      <c r="C841" s="13" t="s">
        <v>22</v>
      </c>
      <c r="D841" s="29" t="s">
        <v>266</v>
      </c>
      <c r="E841" s="12" t="s">
        <v>267</v>
      </c>
      <c r="F841" s="37">
        <v>5552</v>
      </c>
      <c r="G841" s="38">
        <f t="shared" si="51"/>
        <v>3331.2</v>
      </c>
      <c r="H841" s="38">
        <f t="shared" si="52"/>
        <v>3331.2</v>
      </c>
      <c r="I841" s="16">
        <v>1</v>
      </c>
      <c r="J841" s="17" t="s">
        <v>12</v>
      </c>
      <c r="K841" s="13" t="s">
        <v>16</v>
      </c>
      <c r="L841" s="15">
        <v>3331.2</v>
      </c>
    </row>
    <row r="842" spans="1:12" ht="21" customHeight="1" outlineLevel="2" x14ac:dyDescent="0.25">
      <c r="A842" s="16">
        <f t="shared" si="41"/>
        <v>841</v>
      </c>
      <c r="B842" s="12" t="str">
        <f t="shared" si="50"/>
        <v>ЩС-6.4 (БЛОК 6)</v>
      </c>
      <c r="C842" s="13" t="s">
        <v>22</v>
      </c>
      <c r="D842" s="29" t="s">
        <v>268</v>
      </c>
      <c r="E842" s="12" t="s">
        <v>269</v>
      </c>
      <c r="F842" s="37">
        <v>5632</v>
      </c>
      <c r="G842" s="38">
        <f t="shared" si="51"/>
        <v>3379.2</v>
      </c>
      <c r="H842" s="38">
        <f t="shared" si="52"/>
        <v>10137.599999999999</v>
      </c>
      <c r="I842" s="16">
        <v>3</v>
      </c>
      <c r="J842" s="17" t="s">
        <v>12</v>
      </c>
      <c r="K842" s="13" t="s">
        <v>16</v>
      </c>
      <c r="L842" s="15">
        <v>10137.599999999999</v>
      </c>
    </row>
    <row r="843" spans="1:12" ht="21" customHeight="1" outlineLevel="2" x14ac:dyDescent="0.25">
      <c r="A843" s="16">
        <f t="shared" si="41"/>
        <v>842</v>
      </c>
      <c r="B843" s="12" t="str">
        <f t="shared" si="50"/>
        <v>ЩС-6.4 (БЛОК 6)</v>
      </c>
      <c r="C843" s="13" t="s">
        <v>22</v>
      </c>
      <c r="D843" s="29" t="s">
        <v>117</v>
      </c>
      <c r="E843" s="12" t="s">
        <v>118</v>
      </c>
      <c r="F843" s="37">
        <v>5104</v>
      </c>
      <c r="G843" s="38">
        <f t="shared" si="51"/>
        <v>3062.4</v>
      </c>
      <c r="H843" s="38">
        <f t="shared" si="52"/>
        <v>12249.6</v>
      </c>
      <c r="I843" s="16">
        <v>4</v>
      </c>
      <c r="J843" s="17" t="s">
        <v>12</v>
      </c>
      <c r="K843" s="13" t="s">
        <v>16</v>
      </c>
      <c r="L843" s="15">
        <v>12249.6</v>
      </c>
    </row>
    <row r="844" spans="1:12" ht="21" customHeight="1" outlineLevel="2" x14ac:dyDescent="0.25">
      <c r="A844" s="16">
        <f t="shared" si="41"/>
        <v>843</v>
      </c>
      <c r="B844" s="12" t="str">
        <f t="shared" si="50"/>
        <v>ЩС-6.4 (БЛОК 6)</v>
      </c>
      <c r="C844" s="13" t="s">
        <v>22</v>
      </c>
      <c r="D844" s="29" t="s">
        <v>250</v>
      </c>
      <c r="E844" s="12" t="s">
        <v>251</v>
      </c>
      <c r="F844" s="37">
        <v>8352</v>
      </c>
      <c r="G844" s="38">
        <f t="shared" si="51"/>
        <v>5011.2</v>
      </c>
      <c r="H844" s="38">
        <f t="shared" si="52"/>
        <v>10022.4</v>
      </c>
      <c r="I844" s="16">
        <v>2</v>
      </c>
      <c r="J844" s="17" t="s">
        <v>12</v>
      </c>
      <c r="K844" s="13" t="s">
        <v>16</v>
      </c>
      <c r="L844" s="15">
        <v>10022.4</v>
      </c>
    </row>
    <row r="845" spans="1:12" ht="21" customHeight="1" outlineLevel="2" x14ac:dyDescent="0.25">
      <c r="A845" s="16">
        <f t="shared" si="41"/>
        <v>844</v>
      </c>
      <c r="B845" s="12" t="str">
        <f t="shared" si="50"/>
        <v>ЩС-6.4 (БЛОК 6)</v>
      </c>
      <c r="C845" s="13" t="s">
        <v>22</v>
      </c>
      <c r="D845" s="29" t="s">
        <v>270</v>
      </c>
      <c r="E845" s="12" t="s">
        <v>271</v>
      </c>
      <c r="F845" s="37">
        <v>5719</v>
      </c>
      <c r="G845" s="38">
        <f t="shared" si="51"/>
        <v>3431.4</v>
      </c>
      <c r="H845" s="38">
        <f t="shared" si="52"/>
        <v>10294.200000000001</v>
      </c>
      <c r="I845" s="16">
        <v>3</v>
      </c>
      <c r="J845" s="17" t="s">
        <v>12</v>
      </c>
      <c r="K845" s="13" t="s">
        <v>16</v>
      </c>
      <c r="L845" s="15">
        <v>10294.200000000001</v>
      </c>
    </row>
    <row r="846" spans="1:12" ht="24" customHeight="1" outlineLevel="2" x14ac:dyDescent="0.25">
      <c r="A846" s="12">
        <f t="shared" si="41"/>
        <v>845</v>
      </c>
      <c r="B846" s="12" t="str">
        <f t="shared" si="50"/>
        <v>ЩС-6.4 (БЛОК 6)</v>
      </c>
      <c r="C846" s="12" t="s">
        <v>9</v>
      </c>
      <c r="D846" s="30" t="s">
        <v>9</v>
      </c>
      <c r="E846" s="12" t="s">
        <v>9</v>
      </c>
      <c r="F846" s="18">
        <f ca="1">OFFSET(F846,1,2)</f>
        <v>21000</v>
      </c>
      <c r="G846" s="38">
        <f ca="1">F846</f>
        <v>21000</v>
      </c>
      <c r="H846" s="38">
        <f t="shared" ca="1" si="52"/>
        <v>21000</v>
      </c>
      <c r="I846" s="12">
        <v>1</v>
      </c>
      <c r="J846" s="12" t="s">
        <v>12</v>
      </c>
      <c r="K846" s="12" t="s">
        <v>9</v>
      </c>
      <c r="L846" s="15">
        <v>21000</v>
      </c>
    </row>
    <row r="847" spans="1:12" ht="21" customHeight="1" outlineLevel="2" x14ac:dyDescent="0.25">
      <c r="A847" s="12">
        <f t="shared" si="41"/>
        <v>846</v>
      </c>
      <c r="B847" s="12" t="str">
        <f t="shared" si="50"/>
        <v>ЩС-6.4 (БЛОК 6)</v>
      </c>
      <c r="C847" s="12" t="s">
        <v>10</v>
      </c>
      <c r="D847" s="30" t="s">
        <v>10</v>
      </c>
      <c r="E847" s="12" t="s">
        <v>10</v>
      </c>
      <c r="F847" s="18">
        <v>3.5</v>
      </c>
      <c r="G847" s="38">
        <v>100</v>
      </c>
      <c r="H847" s="38">
        <f>60*F847*G847</f>
        <v>21000</v>
      </c>
      <c r="I847" s="12">
        <f>60*F847</f>
        <v>210</v>
      </c>
      <c r="J847" s="12" t="s">
        <v>12</v>
      </c>
      <c r="K847" s="12" t="s">
        <v>10</v>
      </c>
      <c r="L847" s="15">
        <v>21000</v>
      </c>
    </row>
    <row r="848" spans="1:12" ht="21" customHeight="1" outlineLevel="1" x14ac:dyDescent="0.25">
      <c r="A848" s="12"/>
      <c r="B848" s="12" t="s">
        <v>697</v>
      </c>
      <c r="C848" s="12"/>
      <c r="D848" s="30"/>
      <c r="E848" s="12"/>
      <c r="F848" s="18"/>
      <c r="G848" s="38"/>
      <c r="H848" s="38">
        <f ca="1">SUBTOTAL(9,H837:H847)</f>
        <v>108438.6</v>
      </c>
      <c r="I848" s="12"/>
      <c r="J848" s="12"/>
      <c r="K848" s="12"/>
      <c r="L848" s="15">
        <v>108438.6</v>
      </c>
    </row>
    <row r="849" spans="1:12" ht="39.75" customHeight="1" outlineLevel="2" x14ac:dyDescent="0.25">
      <c r="A849" s="10">
        <f>ROW(A847)</f>
        <v>847</v>
      </c>
      <c r="B849" s="6" t="str">
        <f>E849</f>
        <v>ЩС-6.5 (БЛОК 6)</v>
      </c>
      <c r="C849" s="6"/>
      <c r="D849" s="28"/>
      <c r="E849" s="6" t="s">
        <v>278</v>
      </c>
      <c r="F849" s="36"/>
      <c r="G849" s="36" t="s">
        <v>73</v>
      </c>
      <c r="H849" s="7"/>
      <c r="I849" s="10">
        <v>1</v>
      </c>
      <c r="J849" s="11" t="s">
        <v>6</v>
      </c>
      <c r="K849" s="6" t="s">
        <v>8</v>
      </c>
      <c r="L849" s="9"/>
    </row>
    <row r="850" spans="1:12" ht="21" customHeight="1" outlineLevel="2" x14ac:dyDescent="0.25">
      <c r="A850" s="16">
        <f t="shared" si="41"/>
        <v>849</v>
      </c>
      <c r="B850" s="12" t="str">
        <f t="shared" ref="B850:B857" si="53">B849</f>
        <v>ЩС-6.5 (БЛОК 6)</v>
      </c>
      <c r="C850" s="13" t="s">
        <v>7</v>
      </c>
      <c r="D850" s="29" t="s">
        <v>474</v>
      </c>
      <c r="E850" s="12" t="s">
        <v>475</v>
      </c>
      <c r="F850" s="37">
        <v>25000</v>
      </c>
      <c r="G850" s="38">
        <f t="shared" ref="G850:G855" si="54">F850*0.6</f>
        <v>15000</v>
      </c>
      <c r="H850" s="38">
        <f>I850*G850</f>
        <v>15000</v>
      </c>
      <c r="I850" s="16">
        <v>1</v>
      </c>
      <c r="J850" s="17" t="s">
        <v>12</v>
      </c>
      <c r="K850" s="13" t="s">
        <v>15</v>
      </c>
      <c r="L850" s="15">
        <v>15000</v>
      </c>
    </row>
    <row r="851" spans="1:12" ht="21" customHeight="1" outlineLevel="2" x14ac:dyDescent="0.25">
      <c r="A851" s="16">
        <f t="shared" si="41"/>
        <v>850</v>
      </c>
      <c r="B851" s="12" t="str">
        <f t="shared" si="53"/>
        <v>ЩС-6.5 (БЛОК 6)</v>
      </c>
      <c r="C851" s="13" t="s">
        <v>11</v>
      </c>
      <c r="D851" s="29" t="s">
        <v>20</v>
      </c>
      <c r="E851" s="12" t="s">
        <v>21</v>
      </c>
      <c r="F851" s="37">
        <v>2429</v>
      </c>
      <c r="G851" s="38">
        <f t="shared" si="54"/>
        <v>1457.3999999999999</v>
      </c>
      <c r="H851" s="38">
        <f t="shared" ref="H851:H856" si="55">G851*I851</f>
        <v>1457.3999999999999</v>
      </c>
      <c r="I851" s="16">
        <v>1</v>
      </c>
      <c r="J851" s="17" t="s">
        <v>12</v>
      </c>
      <c r="K851" s="13" t="s">
        <v>16</v>
      </c>
      <c r="L851" s="15">
        <v>1457.3999999999999</v>
      </c>
    </row>
    <row r="852" spans="1:12" ht="21" customHeight="1" outlineLevel="2" x14ac:dyDescent="0.25">
      <c r="A852" s="16">
        <f t="shared" si="41"/>
        <v>851</v>
      </c>
      <c r="B852" s="12" t="str">
        <f t="shared" si="53"/>
        <v>ЩС-6.5 (БЛОК 6)</v>
      </c>
      <c r="C852" s="13" t="s">
        <v>22</v>
      </c>
      <c r="D852" s="29" t="s">
        <v>268</v>
      </c>
      <c r="E852" s="12" t="s">
        <v>269</v>
      </c>
      <c r="F852" s="37">
        <v>5632</v>
      </c>
      <c r="G852" s="38">
        <f t="shared" si="54"/>
        <v>3379.2</v>
      </c>
      <c r="H852" s="38">
        <f t="shared" si="55"/>
        <v>10137.599999999999</v>
      </c>
      <c r="I852" s="16">
        <v>3</v>
      </c>
      <c r="J852" s="17" t="s">
        <v>12</v>
      </c>
      <c r="K852" s="13" t="s">
        <v>16</v>
      </c>
      <c r="L852" s="15">
        <v>10137.599999999999</v>
      </c>
    </row>
    <row r="853" spans="1:12" ht="21" customHeight="1" outlineLevel="2" x14ac:dyDescent="0.25">
      <c r="A853" s="16">
        <f t="shared" si="41"/>
        <v>852</v>
      </c>
      <c r="B853" s="12" t="str">
        <f t="shared" si="53"/>
        <v>ЩС-6.5 (БЛОК 6)</v>
      </c>
      <c r="C853" s="13" t="s">
        <v>22</v>
      </c>
      <c r="D853" s="29" t="s">
        <v>117</v>
      </c>
      <c r="E853" s="12" t="s">
        <v>118</v>
      </c>
      <c r="F853" s="37">
        <v>5104</v>
      </c>
      <c r="G853" s="38">
        <f t="shared" si="54"/>
        <v>3062.4</v>
      </c>
      <c r="H853" s="38">
        <f t="shared" si="55"/>
        <v>24499.200000000001</v>
      </c>
      <c r="I853" s="16">
        <v>8</v>
      </c>
      <c r="J853" s="17" t="s">
        <v>12</v>
      </c>
      <c r="K853" s="13" t="s">
        <v>16</v>
      </c>
      <c r="L853" s="15">
        <v>24499.200000000001</v>
      </c>
    </row>
    <row r="854" spans="1:12" ht="21" customHeight="1" outlineLevel="2" x14ac:dyDescent="0.25">
      <c r="A854" s="16">
        <f t="shared" si="41"/>
        <v>853</v>
      </c>
      <c r="B854" s="12" t="str">
        <f t="shared" si="53"/>
        <v>ЩС-6.5 (БЛОК 6)</v>
      </c>
      <c r="C854" s="13" t="s">
        <v>22</v>
      </c>
      <c r="D854" s="29" t="s">
        <v>250</v>
      </c>
      <c r="E854" s="12" t="s">
        <v>251</v>
      </c>
      <c r="F854" s="37">
        <v>8352</v>
      </c>
      <c r="G854" s="38">
        <f t="shared" si="54"/>
        <v>5011.2</v>
      </c>
      <c r="H854" s="38">
        <f t="shared" si="55"/>
        <v>10022.4</v>
      </c>
      <c r="I854" s="16">
        <v>2</v>
      </c>
      <c r="J854" s="17" t="s">
        <v>12</v>
      </c>
      <c r="K854" s="13" t="s">
        <v>16</v>
      </c>
      <c r="L854" s="15">
        <v>10022.4</v>
      </c>
    </row>
    <row r="855" spans="1:12" ht="21" customHeight="1" outlineLevel="2" x14ac:dyDescent="0.25">
      <c r="A855" s="16">
        <f t="shared" si="41"/>
        <v>854</v>
      </c>
      <c r="B855" s="12" t="str">
        <f t="shared" si="53"/>
        <v>ЩС-6.5 (БЛОК 6)</v>
      </c>
      <c r="C855" s="13" t="s">
        <v>22</v>
      </c>
      <c r="D855" s="29" t="s">
        <v>270</v>
      </c>
      <c r="E855" s="12" t="s">
        <v>271</v>
      </c>
      <c r="F855" s="37">
        <v>5719</v>
      </c>
      <c r="G855" s="38">
        <f t="shared" si="54"/>
        <v>3431.4</v>
      </c>
      <c r="H855" s="38">
        <f t="shared" si="55"/>
        <v>3431.4</v>
      </c>
      <c r="I855" s="16">
        <v>1</v>
      </c>
      <c r="J855" s="17" t="s">
        <v>12</v>
      </c>
      <c r="K855" s="13" t="s">
        <v>16</v>
      </c>
      <c r="L855" s="15">
        <v>3431.4</v>
      </c>
    </row>
    <row r="856" spans="1:12" ht="24" customHeight="1" outlineLevel="2" x14ac:dyDescent="0.25">
      <c r="A856" s="12">
        <f t="shared" si="41"/>
        <v>855</v>
      </c>
      <c r="B856" s="12" t="str">
        <f t="shared" si="53"/>
        <v>ЩС-6.5 (БЛОК 6)</v>
      </c>
      <c r="C856" s="12" t="s">
        <v>9</v>
      </c>
      <c r="D856" s="30" t="s">
        <v>9</v>
      </c>
      <c r="E856" s="12" t="s">
        <v>9</v>
      </c>
      <c r="F856" s="18">
        <f ca="1">OFFSET(F856,1,2)</f>
        <v>21000</v>
      </c>
      <c r="G856" s="38">
        <f ca="1">F856</f>
        <v>21000</v>
      </c>
      <c r="H856" s="38">
        <f t="shared" ca="1" si="55"/>
        <v>21000</v>
      </c>
      <c r="I856" s="12">
        <v>1</v>
      </c>
      <c r="J856" s="12" t="s">
        <v>12</v>
      </c>
      <c r="K856" s="12" t="s">
        <v>9</v>
      </c>
      <c r="L856" s="15">
        <v>21000</v>
      </c>
    </row>
    <row r="857" spans="1:12" ht="21" customHeight="1" outlineLevel="2" x14ac:dyDescent="0.25">
      <c r="A857" s="12">
        <f t="shared" si="41"/>
        <v>856</v>
      </c>
      <c r="B857" s="12" t="str">
        <f t="shared" si="53"/>
        <v>ЩС-6.5 (БЛОК 6)</v>
      </c>
      <c r="C857" s="12" t="s">
        <v>10</v>
      </c>
      <c r="D857" s="30" t="s">
        <v>10</v>
      </c>
      <c r="E857" s="12" t="s">
        <v>10</v>
      </c>
      <c r="F857" s="18">
        <v>3.5</v>
      </c>
      <c r="G857" s="38">
        <v>100</v>
      </c>
      <c r="H857" s="38">
        <f>60*F857*G857</f>
        <v>21000</v>
      </c>
      <c r="I857" s="12">
        <f>60*F857</f>
        <v>210</v>
      </c>
      <c r="J857" s="12" t="s">
        <v>12</v>
      </c>
      <c r="K857" s="12" t="s">
        <v>10</v>
      </c>
      <c r="L857" s="15">
        <v>21000</v>
      </c>
    </row>
    <row r="858" spans="1:12" ht="21" customHeight="1" outlineLevel="1" x14ac:dyDescent="0.25">
      <c r="A858" s="12"/>
      <c r="B858" s="12" t="s">
        <v>698</v>
      </c>
      <c r="C858" s="12"/>
      <c r="D858" s="30"/>
      <c r="E858" s="12"/>
      <c r="F858" s="18"/>
      <c r="G858" s="38"/>
      <c r="H858" s="38">
        <f ca="1">SUBTOTAL(9,H849:H857)</f>
        <v>106548</v>
      </c>
      <c r="I858" s="12"/>
      <c r="J858" s="12"/>
      <c r="K858" s="12"/>
      <c r="L858" s="15">
        <v>106548</v>
      </c>
    </row>
    <row r="859" spans="1:12" ht="39.75" customHeight="1" outlineLevel="2" x14ac:dyDescent="0.25">
      <c r="A859" s="10">
        <f>ROW(A857)</f>
        <v>857</v>
      </c>
      <c r="B859" s="6" t="str">
        <f>E859</f>
        <v>ЩС-6.6 (БЛОК 6)</v>
      </c>
      <c r="C859" s="6"/>
      <c r="D859" s="28"/>
      <c r="E859" s="6" t="s">
        <v>279</v>
      </c>
      <c r="F859" s="36"/>
      <c r="G859" s="36" t="s">
        <v>73</v>
      </c>
      <c r="H859" s="7"/>
      <c r="I859" s="10">
        <v>1</v>
      </c>
      <c r="J859" s="11" t="s">
        <v>6</v>
      </c>
      <c r="K859" s="6" t="s">
        <v>8</v>
      </c>
      <c r="L859" s="9"/>
    </row>
    <row r="860" spans="1:12" ht="21" customHeight="1" outlineLevel="2" x14ac:dyDescent="0.25">
      <c r="A860" s="16">
        <f t="shared" si="41"/>
        <v>859</v>
      </c>
      <c r="B860" s="12" t="str">
        <f t="shared" ref="B860:B869" si="56">B859</f>
        <v>ЩС-6.6 (БЛОК 6)</v>
      </c>
      <c r="C860" s="13" t="s">
        <v>7</v>
      </c>
      <c r="D860" s="29" t="s">
        <v>480</v>
      </c>
      <c r="E860" s="12" t="s">
        <v>481</v>
      </c>
      <c r="F860" s="37">
        <v>73730</v>
      </c>
      <c r="G860" s="38">
        <f>F860*0.6</f>
        <v>44238</v>
      </c>
      <c r="H860" s="38">
        <f>I860*G860</f>
        <v>44238</v>
      </c>
      <c r="I860" s="16">
        <v>1</v>
      </c>
      <c r="J860" s="17" t="s">
        <v>12</v>
      </c>
      <c r="K860" s="13" t="s">
        <v>15</v>
      </c>
      <c r="L860" s="15">
        <v>44238</v>
      </c>
    </row>
    <row r="861" spans="1:12" ht="21" customHeight="1" outlineLevel="2" x14ac:dyDescent="0.25">
      <c r="A861" s="16">
        <f t="shared" si="41"/>
        <v>860</v>
      </c>
      <c r="B861" s="12" t="str">
        <f t="shared" si="56"/>
        <v>ЩС-6.6 (БЛОК 6)</v>
      </c>
      <c r="C861" s="13" t="s">
        <v>43</v>
      </c>
      <c r="D861" s="29" t="s">
        <v>275</v>
      </c>
      <c r="E861" s="12" t="s">
        <v>276</v>
      </c>
      <c r="F861" s="37">
        <v>55608</v>
      </c>
      <c r="G861" s="38">
        <f t="shared" ref="G861:G867" si="57">F861*0.6</f>
        <v>33364.799999999996</v>
      </c>
      <c r="H861" s="38">
        <f t="shared" ref="H861:H868" si="58">G861*I861</f>
        <v>33364.799999999996</v>
      </c>
      <c r="I861" s="16">
        <v>1</v>
      </c>
      <c r="J861" s="17" t="s">
        <v>12</v>
      </c>
      <c r="K861" s="13" t="s">
        <v>16</v>
      </c>
      <c r="L861" s="15">
        <v>33364.799999999996</v>
      </c>
    </row>
    <row r="862" spans="1:12" ht="21" customHeight="1" outlineLevel="2" x14ac:dyDescent="0.25">
      <c r="A862" s="16">
        <f t="shared" si="41"/>
        <v>861</v>
      </c>
      <c r="B862" s="12" t="str">
        <f t="shared" si="56"/>
        <v>ЩС-6.6 (БЛОК 6)</v>
      </c>
      <c r="C862" s="13" t="s">
        <v>43</v>
      </c>
      <c r="D862" s="29" t="s">
        <v>181</v>
      </c>
      <c r="E862" s="12" t="s">
        <v>182</v>
      </c>
      <c r="F862" s="37">
        <v>34800</v>
      </c>
      <c r="G862" s="38">
        <f t="shared" si="57"/>
        <v>20880</v>
      </c>
      <c r="H862" s="38">
        <f t="shared" si="58"/>
        <v>20880</v>
      </c>
      <c r="I862" s="16">
        <v>1</v>
      </c>
      <c r="J862" s="17" t="s">
        <v>12</v>
      </c>
      <c r="K862" s="13" t="s">
        <v>16</v>
      </c>
      <c r="L862" s="15">
        <v>20880</v>
      </c>
    </row>
    <row r="863" spans="1:12" ht="21" customHeight="1" outlineLevel="2" x14ac:dyDescent="0.25">
      <c r="A863" s="16">
        <f t="shared" si="41"/>
        <v>862</v>
      </c>
      <c r="B863" s="12" t="str">
        <f t="shared" si="56"/>
        <v>ЩС-6.6 (БЛОК 6)</v>
      </c>
      <c r="C863" s="13" t="s">
        <v>22</v>
      </c>
      <c r="D863" s="29" t="s">
        <v>266</v>
      </c>
      <c r="E863" s="12" t="s">
        <v>267</v>
      </c>
      <c r="F863" s="37">
        <v>5552</v>
      </c>
      <c r="G863" s="38">
        <f t="shared" si="57"/>
        <v>3331.2</v>
      </c>
      <c r="H863" s="38">
        <f t="shared" si="58"/>
        <v>3331.2</v>
      </c>
      <c r="I863" s="16">
        <v>1</v>
      </c>
      <c r="J863" s="17" t="s">
        <v>12</v>
      </c>
      <c r="K863" s="13" t="s">
        <v>16</v>
      </c>
      <c r="L863" s="15">
        <v>3331.2</v>
      </c>
    </row>
    <row r="864" spans="1:12" ht="21" customHeight="1" outlineLevel="2" x14ac:dyDescent="0.25">
      <c r="A864" s="16">
        <f t="shared" si="41"/>
        <v>863</v>
      </c>
      <c r="B864" s="12" t="str">
        <f t="shared" si="56"/>
        <v>ЩС-6.6 (БЛОК 6)</v>
      </c>
      <c r="C864" s="13" t="s">
        <v>22</v>
      </c>
      <c r="D864" s="29" t="s">
        <v>268</v>
      </c>
      <c r="E864" s="12" t="s">
        <v>269</v>
      </c>
      <c r="F864" s="37">
        <v>5632</v>
      </c>
      <c r="G864" s="38">
        <f t="shared" si="57"/>
        <v>3379.2</v>
      </c>
      <c r="H864" s="38">
        <f t="shared" si="58"/>
        <v>6758.4</v>
      </c>
      <c r="I864" s="16">
        <v>2</v>
      </c>
      <c r="J864" s="17" t="s">
        <v>12</v>
      </c>
      <c r="K864" s="13" t="s">
        <v>16</v>
      </c>
      <c r="L864" s="15">
        <v>6758.4</v>
      </c>
    </row>
    <row r="865" spans="1:12" ht="21" customHeight="1" outlineLevel="2" x14ac:dyDescent="0.25">
      <c r="A865" s="16">
        <f t="shared" si="41"/>
        <v>864</v>
      </c>
      <c r="B865" s="12" t="str">
        <f t="shared" si="56"/>
        <v>ЩС-6.6 (БЛОК 6)</v>
      </c>
      <c r="C865" s="13" t="s">
        <v>22</v>
      </c>
      <c r="D865" s="29" t="s">
        <v>117</v>
      </c>
      <c r="E865" s="12" t="s">
        <v>118</v>
      </c>
      <c r="F865" s="37">
        <v>5104</v>
      </c>
      <c r="G865" s="38">
        <f t="shared" si="57"/>
        <v>3062.4</v>
      </c>
      <c r="H865" s="38">
        <f t="shared" si="58"/>
        <v>21436.799999999999</v>
      </c>
      <c r="I865" s="16">
        <v>7</v>
      </c>
      <c r="J865" s="17" t="s">
        <v>12</v>
      </c>
      <c r="K865" s="13" t="s">
        <v>16</v>
      </c>
      <c r="L865" s="15">
        <v>21436.799999999999</v>
      </c>
    </row>
    <row r="866" spans="1:12" ht="21" customHeight="1" outlineLevel="2" x14ac:dyDescent="0.25">
      <c r="A866" s="16">
        <f t="shared" si="41"/>
        <v>865</v>
      </c>
      <c r="B866" s="12" t="str">
        <f t="shared" si="56"/>
        <v>ЩС-6.6 (БЛОК 6)</v>
      </c>
      <c r="C866" s="13" t="s">
        <v>22</v>
      </c>
      <c r="D866" s="29" t="s">
        <v>250</v>
      </c>
      <c r="E866" s="12" t="s">
        <v>251</v>
      </c>
      <c r="F866" s="37">
        <v>8352</v>
      </c>
      <c r="G866" s="38">
        <f t="shared" si="57"/>
        <v>5011.2</v>
      </c>
      <c r="H866" s="38">
        <f t="shared" si="58"/>
        <v>10022.4</v>
      </c>
      <c r="I866" s="16">
        <v>2</v>
      </c>
      <c r="J866" s="17" t="s">
        <v>12</v>
      </c>
      <c r="K866" s="13" t="s">
        <v>16</v>
      </c>
      <c r="L866" s="15">
        <v>10022.4</v>
      </c>
    </row>
    <row r="867" spans="1:12" ht="21" customHeight="1" outlineLevel="2" x14ac:dyDescent="0.25">
      <c r="A867" s="16">
        <f t="shared" si="41"/>
        <v>866</v>
      </c>
      <c r="B867" s="12" t="str">
        <f t="shared" si="56"/>
        <v>ЩС-6.6 (БЛОК 6)</v>
      </c>
      <c r="C867" s="13" t="s">
        <v>22</v>
      </c>
      <c r="D867" s="29" t="s">
        <v>270</v>
      </c>
      <c r="E867" s="12" t="s">
        <v>271</v>
      </c>
      <c r="F867" s="37">
        <v>5719</v>
      </c>
      <c r="G867" s="38">
        <f t="shared" si="57"/>
        <v>3431.4</v>
      </c>
      <c r="H867" s="38">
        <f t="shared" si="58"/>
        <v>10294.200000000001</v>
      </c>
      <c r="I867" s="16">
        <v>3</v>
      </c>
      <c r="J867" s="17" t="s">
        <v>12</v>
      </c>
      <c r="K867" s="13" t="s">
        <v>16</v>
      </c>
      <c r="L867" s="15">
        <v>10294.200000000001</v>
      </c>
    </row>
    <row r="868" spans="1:12" ht="24" customHeight="1" outlineLevel="2" x14ac:dyDescent="0.25">
      <c r="A868" s="12">
        <f t="shared" si="41"/>
        <v>867</v>
      </c>
      <c r="B868" s="12" t="str">
        <f t="shared" si="56"/>
        <v>ЩС-6.6 (БЛОК 6)</v>
      </c>
      <c r="C868" s="12" t="s">
        <v>9</v>
      </c>
      <c r="D868" s="30" t="s">
        <v>9</v>
      </c>
      <c r="E868" s="12" t="s">
        <v>9</v>
      </c>
      <c r="F868" s="18">
        <f ca="1">OFFSET(F868,1,2)</f>
        <v>42000</v>
      </c>
      <c r="G868" s="38">
        <f ca="1">F868</f>
        <v>42000</v>
      </c>
      <c r="H868" s="38">
        <f t="shared" ca="1" si="58"/>
        <v>42000</v>
      </c>
      <c r="I868" s="12">
        <v>1</v>
      </c>
      <c r="J868" s="12" t="s">
        <v>12</v>
      </c>
      <c r="K868" s="12" t="s">
        <v>9</v>
      </c>
      <c r="L868" s="15">
        <v>42000</v>
      </c>
    </row>
    <row r="869" spans="1:12" ht="21" customHeight="1" outlineLevel="2" x14ac:dyDescent="0.25">
      <c r="A869" s="12">
        <f t="shared" si="41"/>
        <v>868</v>
      </c>
      <c r="B869" s="12" t="str">
        <f t="shared" si="56"/>
        <v>ЩС-6.6 (БЛОК 6)</v>
      </c>
      <c r="C869" s="12" t="s">
        <v>10</v>
      </c>
      <c r="D869" s="30" t="s">
        <v>10</v>
      </c>
      <c r="E869" s="12" t="s">
        <v>10</v>
      </c>
      <c r="F869" s="18">
        <v>7</v>
      </c>
      <c r="G869" s="38">
        <v>100</v>
      </c>
      <c r="H869" s="38">
        <f>60*F869*G869</f>
        <v>42000</v>
      </c>
      <c r="I869" s="12">
        <f>60*F869</f>
        <v>420</v>
      </c>
      <c r="J869" s="12" t="s">
        <v>12</v>
      </c>
      <c r="K869" s="12" t="s">
        <v>10</v>
      </c>
      <c r="L869" s="15">
        <v>42000</v>
      </c>
    </row>
    <row r="870" spans="1:12" ht="21" customHeight="1" outlineLevel="1" x14ac:dyDescent="0.25">
      <c r="A870" s="12"/>
      <c r="B870" s="12" t="s">
        <v>699</v>
      </c>
      <c r="C870" s="12"/>
      <c r="D870" s="30"/>
      <c r="E870" s="12"/>
      <c r="F870" s="18"/>
      <c r="G870" s="38"/>
      <c r="H870" s="38">
        <f ca="1">SUBTOTAL(9,H859:H869)</f>
        <v>234325.8</v>
      </c>
      <c r="I870" s="12"/>
      <c r="J870" s="12"/>
      <c r="K870" s="12"/>
      <c r="L870" s="15">
        <v>234325.8</v>
      </c>
    </row>
    <row r="871" spans="1:12" ht="39.75" customHeight="1" outlineLevel="2" x14ac:dyDescent="0.25">
      <c r="A871" s="10">
        <f>ROW(A869)</f>
        <v>869</v>
      </c>
      <c r="B871" s="6" t="str">
        <f>E871</f>
        <v>ЩВ-6.0 (БЛОК 6)</v>
      </c>
      <c r="C871" s="6"/>
      <c r="D871" s="28"/>
      <c r="E871" s="6" t="s">
        <v>287</v>
      </c>
      <c r="F871" s="36"/>
      <c r="G871" s="36" t="s">
        <v>73</v>
      </c>
      <c r="H871" s="7"/>
      <c r="I871" s="10">
        <v>1</v>
      </c>
      <c r="J871" s="11" t="s">
        <v>6</v>
      </c>
      <c r="K871" s="6" t="s">
        <v>8</v>
      </c>
      <c r="L871" s="9"/>
    </row>
    <row r="872" spans="1:12" ht="21" customHeight="1" outlineLevel="2" x14ac:dyDescent="0.25">
      <c r="A872" s="16">
        <f t="shared" ref="A872:A939" si="59">ROW(A871)</f>
        <v>871</v>
      </c>
      <c r="B872" s="12" t="str">
        <f t="shared" ref="B872:B879" si="60">B871</f>
        <v>ЩВ-6.0 (БЛОК 6)</v>
      </c>
      <c r="C872" s="13" t="s">
        <v>7</v>
      </c>
      <c r="D872" s="29" t="s">
        <v>476</v>
      </c>
      <c r="E872" s="12" t="s">
        <v>477</v>
      </c>
      <c r="F872" s="37">
        <v>26000</v>
      </c>
      <c r="G872" s="38">
        <f t="shared" ref="G872:G877" si="61">F872*0.6</f>
        <v>15600</v>
      </c>
      <c r="H872" s="38">
        <f>I872*G872</f>
        <v>15600</v>
      </c>
      <c r="I872" s="16">
        <v>1</v>
      </c>
      <c r="J872" s="17" t="s">
        <v>12</v>
      </c>
      <c r="K872" s="13" t="s">
        <v>15</v>
      </c>
      <c r="L872" s="15">
        <v>15600</v>
      </c>
    </row>
    <row r="873" spans="1:12" ht="21" customHeight="1" outlineLevel="2" x14ac:dyDescent="0.25">
      <c r="A873" s="16">
        <f t="shared" si="59"/>
        <v>872</v>
      </c>
      <c r="B873" s="12" t="str">
        <f t="shared" si="60"/>
        <v>ЩВ-6.0 (БЛОК 6)</v>
      </c>
      <c r="C873" s="13" t="s">
        <v>11</v>
      </c>
      <c r="D873" s="29" t="s">
        <v>273</v>
      </c>
      <c r="E873" s="12" t="s">
        <v>274</v>
      </c>
      <c r="F873" s="37">
        <v>2499</v>
      </c>
      <c r="G873" s="38">
        <f t="shared" si="61"/>
        <v>1499.3999999999999</v>
      </c>
      <c r="H873" s="38">
        <f t="shared" ref="H873:H878" si="62">G873*I873</f>
        <v>1499.3999999999999</v>
      </c>
      <c r="I873" s="16">
        <v>1</v>
      </c>
      <c r="J873" s="17" t="s">
        <v>12</v>
      </c>
      <c r="K873" s="13" t="s">
        <v>16</v>
      </c>
      <c r="L873" s="15">
        <v>1499.3999999999999</v>
      </c>
    </row>
    <row r="874" spans="1:12" ht="21" customHeight="1" outlineLevel="2" x14ac:dyDescent="0.25">
      <c r="A874" s="16">
        <f t="shared" si="59"/>
        <v>873</v>
      </c>
      <c r="B874" s="12" t="str">
        <f t="shared" si="60"/>
        <v>ЩВ-6.0 (БЛОК 6)</v>
      </c>
      <c r="C874" s="13" t="s">
        <v>596</v>
      </c>
      <c r="D874" s="29" t="s">
        <v>45</v>
      </c>
      <c r="E874" s="12" t="s">
        <v>46</v>
      </c>
      <c r="F874" s="37">
        <v>5354</v>
      </c>
      <c r="G874" s="38">
        <f t="shared" si="61"/>
        <v>3212.4</v>
      </c>
      <c r="H874" s="38">
        <f t="shared" si="62"/>
        <v>3212.4</v>
      </c>
      <c r="I874" s="16">
        <v>1</v>
      </c>
      <c r="J874" s="17" t="s">
        <v>12</v>
      </c>
      <c r="K874" s="13" t="s">
        <v>16</v>
      </c>
      <c r="L874" s="15">
        <v>3212.4</v>
      </c>
    </row>
    <row r="875" spans="1:12" ht="21" customHeight="1" outlineLevel="2" x14ac:dyDescent="0.25">
      <c r="A875" s="16">
        <f t="shared" si="59"/>
        <v>874</v>
      </c>
      <c r="B875" s="12" t="str">
        <f t="shared" si="60"/>
        <v>ЩВ-6.0 (БЛОК 6)</v>
      </c>
      <c r="C875" s="13" t="s">
        <v>11</v>
      </c>
      <c r="D875" s="29" t="s">
        <v>280</v>
      </c>
      <c r="E875" s="12" t="s">
        <v>281</v>
      </c>
      <c r="F875" s="37">
        <v>2447</v>
      </c>
      <c r="G875" s="38">
        <f t="shared" si="61"/>
        <v>1468.2</v>
      </c>
      <c r="H875" s="38">
        <f t="shared" si="62"/>
        <v>11745.6</v>
      </c>
      <c r="I875" s="16">
        <v>8</v>
      </c>
      <c r="J875" s="17" t="s">
        <v>12</v>
      </c>
      <c r="K875" s="13" t="s">
        <v>16</v>
      </c>
      <c r="L875" s="15">
        <v>11745.6</v>
      </c>
    </row>
    <row r="876" spans="1:12" ht="21" customHeight="1" outlineLevel="2" x14ac:dyDescent="0.25">
      <c r="A876" s="16">
        <f t="shared" si="59"/>
        <v>875</v>
      </c>
      <c r="B876" s="12" t="str">
        <f t="shared" si="60"/>
        <v>ЩВ-6.0 (БЛОК 6)</v>
      </c>
      <c r="C876" s="13" t="s">
        <v>11</v>
      </c>
      <c r="D876" s="29" t="s">
        <v>51</v>
      </c>
      <c r="E876" s="12" t="s">
        <v>52</v>
      </c>
      <c r="F876" s="37">
        <v>2337</v>
      </c>
      <c r="G876" s="38">
        <f t="shared" si="61"/>
        <v>1402.2</v>
      </c>
      <c r="H876" s="38">
        <f t="shared" si="62"/>
        <v>1402.2</v>
      </c>
      <c r="I876" s="16">
        <v>1</v>
      </c>
      <c r="J876" s="17" t="s">
        <v>12</v>
      </c>
      <c r="K876" s="13" t="s">
        <v>16</v>
      </c>
      <c r="L876" s="15">
        <v>1402.2</v>
      </c>
    </row>
    <row r="877" spans="1:12" ht="21" customHeight="1" outlineLevel="2" x14ac:dyDescent="0.25">
      <c r="A877" s="16">
        <f t="shared" si="59"/>
        <v>876</v>
      </c>
      <c r="B877" s="12" t="str">
        <f t="shared" si="60"/>
        <v>ЩВ-6.0 (БЛОК 6)</v>
      </c>
      <c r="C877" s="13" t="s">
        <v>48</v>
      </c>
      <c r="D877" s="29" t="s">
        <v>282</v>
      </c>
      <c r="E877" s="12" t="s">
        <v>283</v>
      </c>
      <c r="F877" s="37">
        <v>12145</v>
      </c>
      <c r="G877" s="38">
        <f t="shared" si="61"/>
        <v>7287</v>
      </c>
      <c r="H877" s="38">
        <f t="shared" si="62"/>
        <v>65583</v>
      </c>
      <c r="I877" s="16">
        <v>9</v>
      </c>
      <c r="J877" s="17" t="s">
        <v>12</v>
      </c>
      <c r="K877" s="13" t="s">
        <v>16</v>
      </c>
      <c r="L877" s="15">
        <v>65583</v>
      </c>
    </row>
    <row r="878" spans="1:12" ht="24" customHeight="1" outlineLevel="2" x14ac:dyDescent="0.25">
      <c r="A878" s="12">
        <f t="shared" si="59"/>
        <v>877</v>
      </c>
      <c r="B878" s="12" t="str">
        <f t="shared" si="60"/>
        <v>ЩВ-6.0 (БЛОК 6)</v>
      </c>
      <c r="C878" s="12" t="s">
        <v>9</v>
      </c>
      <c r="D878" s="30" t="s">
        <v>9</v>
      </c>
      <c r="E878" s="12" t="s">
        <v>9</v>
      </c>
      <c r="F878" s="18">
        <f ca="1">OFFSET(F878,1,2)</f>
        <v>15000</v>
      </c>
      <c r="G878" s="38">
        <f ca="1">F878</f>
        <v>15000</v>
      </c>
      <c r="H878" s="38">
        <f t="shared" ca="1" si="62"/>
        <v>15000</v>
      </c>
      <c r="I878" s="12">
        <v>1</v>
      </c>
      <c r="J878" s="12" t="s">
        <v>12</v>
      </c>
      <c r="K878" s="12" t="s">
        <v>9</v>
      </c>
      <c r="L878" s="15">
        <v>15000</v>
      </c>
    </row>
    <row r="879" spans="1:12" ht="21" customHeight="1" outlineLevel="2" x14ac:dyDescent="0.25">
      <c r="A879" s="12">
        <f t="shared" si="59"/>
        <v>878</v>
      </c>
      <c r="B879" s="12" t="str">
        <f t="shared" si="60"/>
        <v>ЩВ-6.0 (БЛОК 6)</v>
      </c>
      <c r="C879" s="12" t="s">
        <v>10</v>
      </c>
      <c r="D879" s="30" t="s">
        <v>10</v>
      </c>
      <c r="E879" s="12" t="s">
        <v>10</v>
      </c>
      <c r="F879" s="18">
        <v>2.5</v>
      </c>
      <c r="G879" s="38">
        <v>100</v>
      </c>
      <c r="H879" s="38">
        <f>60*F879*G879</f>
        <v>15000</v>
      </c>
      <c r="I879" s="12">
        <f>60*F879</f>
        <v>150</v>
      </c>
      <c r="J879" s="12" t="s">
        <v>12</v>
      </c>
      <c r="K879" s="12" t="s">
        <v>10</v>
      </c>
      <c r="L879" s="15">
        <v>15000</v>
      </c>
    </row>
    <row r="880" spans="1:12" ht="21" customHeight="1" outlineLevel="1" x14ac:dyDescent="0.25">
      <c r="A880" s="12"/>
      <c r="B880" s="12" t="s">
        <v>700</v>
      </c>
      <c r="C880" s="12"/>
      <c r="D880" s="30"/>
      <c r="E880" s="12"/>
      <c r="F880" s="18"/>
      <c r="G880" s="38"/>
      <c r="H880" s="38">
        <f ca="1">SUBTOTAL(9,H871:H879)</f>
        <v>129042.6</v>
      </c>
      <c r="I880" s="12"/>
      <c r="J880" s="12"/>
      <c r="K880" s="12"/>
      <c r="L880" s="15">
        <v>129042.6</v>
      </c>
    </row>
    <row r="881" spans="1:12" ht="39.75" customHeight="1" outlineLevel="2" x14ac:dyDescent="0.25">
      <c r="A881" s="10">
        <f>ROW(A879)</f>
        <v>879</v>
      </c>
      <c r="B881" s="6" t="str">
        <f>E881</f>
        <v>ЩВ-6.1 (БЛОК 6)</v>
      </c>
      <c r="C881" s="6"/>
      <c r="D881" s="28"/>
      <c r="E881" s="6" t="s">
        <v>286</v>
      </c>
      <c r="F881" s="36"/>
      <c r="G881" s="36" t="s">
        <v>73</v>
      </c>
      <c r="H881" s="7"/>
      <c r="I881" s="10">
        <v>1</v>
      </c>
      <c r="J881" s="11" t="s">
        <v>6</v>
      </c>
      <c r="K881" s="6" t="s">
        <v>8</v>
      </c>
      <c r="L881" s="9"/>
    </row>
    <row r="882" spans="1:12" ht="21" customHeight="1" outlineLevel="2" x14ac:dyDescent="0.25">
      <c r="A882" s="16">
        <f t="shared" si="59"/>
        <v>881</v>
      </c>
      <c r="B882" s="12" t="str">
        <f t="shared" ref="B882:B894" si="63">B881</f>
        <v>ЩВ-6.1 (БЛОК 6)</v>
      </c>
      <c r="C882" s="13" t="s">
        <v>7</v>
      </c>
      <c r="D882" s="29" t="s">
        <v>472</v>
      </c>
      <c r="E882" s="12" t="s">
        <v>473</v>
      </c>
      <c r="F882" s="37">
        <v>22000</v>
      </c>
      <c r="G882" s="38">
        <f>F882*0.6</f>
        <v>13200</v>
      </c>
      <c r="H882" s="38">
        <f>I882*G882</f>
        <v>13200</v>
      </c>
      <c r="I882" s="16">
        <v>1</v>
      </c>
      <c r="J882" s="17" t="s">
        <v>12</v>
      </c>
      <c r="K882" s="13" t="s">
        <v>15</v>
      </c>
      <c r="L882" s="15">
        <v>13200</v>
      </c>
    </row>
    <row r="883" spans="1:12" ht="21" customHeight="1" outlineLevel="2" x14ac:dyDescent="0.25">
      <c r="A883" s="16">
        <f t="shared" si="59"/>
        <v>882</v>
      </c>
      <c r="B883" s="12" t="str">
        <f t="shared" si="63"/>
        <v>ЩВ-6.1 (БЛОК 6)</v>
      </c>
      <c r="C883" s="13" t="s">
        <v>11</v>
      </c>
      <c r="D883" s="29" t="s">
        <v>28</v>
      </c>
      <c r="E883" s="12" t="s">
        <v>27</v>
      </c>
      <c r="F883" s="37">
        <v>2606</v>
      </c>
      <c r="G883" s="38">
        <f t="shared" ref="G883:G892" si="64">F883*0.6</f>
        <v>1563.6</v>
      </c>
      <c r="H883" s="38">
        <f t="shared" ref="H883:H888" si="65">G883*I883</f>
        <v>1563.6</v>
      </c>
      <c r="I883" s="16">
        <v>1</v>
      </c>
      <c r="J883" s="17" t="s">
        <v>12</v>
      </c>
      <c r="K883" s="13" t="s">
        <v>16</v>
      </c>
      <c r="L883" s="15">
        <v>1563.6</v>
      </c>
    </row>
    <row r="884" spans="1:12" ht="21" customHeight="1" outlineLevel="2" x14ac:dyDescent="0.25">
      <c r="A884" s="16">
        <f t="shared" si="59"/>
        <v>883</v>
      </c>
      <c r="B884" s="12" t="str">
        <f t="shared" si="63"/>
        <v>ЩВ-6.1 (БЛОК 6)</v>
      </c>
      <c r="C884" s="13" t="s">
        <v>596</v>
      </c>
      <c r="D884" s="29" t="s">
        <v>45</v>
      </c>
      <c r="E884" s="12" t="s">
        <v>46</v>
      </c>
      <c r="F884" s="37">
        <v>5354</v>
      </c>
      <c r="G884" s="38">
        <f t="shared" si="64"/>
        <v>3212.4</v>
      </c>
      <c r="H884" s="38">
        <f t="shared" si="65"/>
        <v>3212.4</v>
      </c>
      <c r="I884" s="16">
        <v>1</v>
      </c>
      <c r="J884" s="17" t="s">
        <v>12</v>
      </c>
      <c r="K884" s="13" t="s">
        <v>16</v>
      </c>
      <c r="L884" s="15">
        <v>3212.4</v>
      </c>
    </row>
    <row r="885" spans="1:12" ht="21" customHeight="1" outlineLevel="2" x14ac:dyDescent="0.25">
      <c r="A885" s="16">
        <f t="shared" si="59"/>
        <v>884</v>
      </c>
      <c r="B885" s="12" t="str">
        <f t="shared" si="63"/>
        <v>ЩВ-6.1 (БЛОК 6)</v>
      </c>
      <c r="C885" s="13" t="s">
        <v>11</v>
      </c>
      <c r="D885" s="29" t="s">
        <v>280</v>
      </c>
      <c r="E885" s="12" t="s">
        <v>281</v>
      </c>
      <c r="F885" s="37">
        <v>2447</v>
      </c>
      <c r="G885" s="38">
        <f t="shared" si="64"/>
        <v>1468.2</v>
      </c>
      <c r="H885" s="38">
        <f t="shared" si="65"/>
        <v>1468.2</v>
      </c>
      <c r="I885" s="16">
        <v>1</v>
      </c>
      <c r="J885" s="17" t="s">
        <v>12</v>
      </c>
      <c r="K885" s="13" t="s">
        <v>16</v>
      </c>
      <c r="L885" s="15">
        <v>1468.2</v>
      </c>
    </row>
    <row r="886" spans="1:12" ht="21" customHeight="1" outlineLevel="2" x14ac:dyDescent="0.25">
      <c r="A886" s="16">
        <f t="shared" si="59"/>
        <v>885</v>
      </c>
      <c r="B886" s="12" t="str">
        <f t="shared" si="63"/>
        <v>ЩВ-6.1 (БЛОК 6)</v>
      </c>
      <c r="C886" s="13" t="s">
        <v>11</v>
      </c>
      <c r="D886" s="29" t="s">
        <v>51</v>
      </c>
      <c r="E886" s="12" t="s">
        <v>52</v>
      </c>
      <c r="F886" s="37">
        <v>2337</v>
      </c>
      <c r="G886" s="38">
        <f t="shared" si="64"/>
        <v>1402.2</v>
      </c>
      <c r="H886" s="38">
        <f t="shared" si="65"/>
        <v>1402.2</v>
      </c>
      <c r="I886" s="16">
        <v>1</v>
      </c>
      <c r="J886" s="17" t="s">
        <v>12</v>
      </c>
      <c r="K886" s="13" t="s">
        <v>16</v>
      </c>
      <c r="L886" s="15">
        <v>1402.2</v>
      </c>
    </row>
    <row r="887" spans="1:12" ht="21" customHeight="1" outlineLevel="2" x14ac:dyDescent="0.25">
      <c r="A887" s="16">
        <f t="shared" si="59"/>
        <v>886</v>
      </c>
      <c r="B887" s="12" t="str">
        <f t="shared" si="63"/>
        <v>ЩВ-6.1 (БЛОК 6)</v>
      </c>
      <c r="C887" s="13" t="s">
        <v>11</v>
      </c>
      <c r="D887" s="29" t="s">
        <v>53</v>
      </c>
      <c r="E887" s="12" t="s">
        <v>54</v>
      </c>
      <c r="F887" s="37">
        <v>783</v>
      </c>
      <c r="G887" s="38">
        <f t="shared" si="64"/>
        <v>469.79999999999995</v>
      </c>
      <c r="H887" s="38">
        <f t="shared" si="65"/>
        <v>939.59999999999991</v>
      </c>
      <c r="I887" s="16">
        <v>2</v>
      </c>
      <c r="J887" s="17" t="s">
        <v>12</v>
      </c>
      <c r="K887" s="13" t="s">
        <v>16</v>
      </c>
      <c r="L887" s="15">
        <v>939.59999999999991</v>
      </c>
    </row>
    <row r="888" spans="1:12" ht="21" customHeight="1" outlineLevel="2" x14ac:dyDescent="0.25">
      <c r="A888" s="16">
        <f t="shared" si="59"/>
        <v>887</v>
      </c>
      <c r="B888" s="12" t="str">
        <f t="shared" si="63"/>
        <v>ЩВ-6.1 (БЛОК 6)</v>
      </c>
      <c r="C888" s="13" t="s">
        <v>11</v>
      </c>
      <c r="D888" s="29" t="s">
        <v>284</v>
      </c>
      <c r="E888" s="12" t="s">
        <v>285</v>
      </c>
      <c r="F888" s="37">
        <v>796</v>
      </c>
      <c r="G888" s="38">
        <f t="shared" si="64"/>
        <v>477.59999999999997</v>
      </c>
      <c r="H888" s="38">
        <f t="shared" si="65"/>
        <v>477.59999999999997</v>
      </c>
      <c r="I888" s="16">
        <v>1</v>
      </c>
      <c r="J888" s="17" t="s">
        <v>12</v>
      </c>
      <c r="K888" s="13" t="s">
        <v>16</v>
      </c>
      <c r="L888" s="15">
        <v>477.59999999999997</v>
      </c>
    </row>
    <row r="889" spans="1:12" ht="21" customHeight="1" outlineLevel="2" x14ac:dyDescent="0.25">
      <c r="A889" s="16">
        <f t="shared" si="59"/>
        <v>888</v>
      </c>
      <c r="B889" s="12" t="str">
        <f t="shared" si="63"/>
        <v>ЩВ-6.1 (БЛОК 6)</v>
      </c>
      <c r="C889" s="13" t="s">
        <v>22</v>
      </c>
      <c r="D889" s="29" t="s">
        <v>250</v>
      </c>
      <c r="E889" s="12" t="s">
        <v>251</v>
      </c>
      <c r="F889" s="37">
        <v>8352</v>
      </c>
      <c r="G889" s="38">
        <f t="shared" si="64"/>
        <v>5011.2</v>
      </c>
      <c r="H889" s="38">
        <f>G889*I889</f>
        <v>5011.2</v>
      </c>
      <c r="I889" s="16">
        <v>1</v>
      </c>
      <c r="J889" s="17" t="s">
        <v>12</v>
      </c>
      <c r="K889" s="13" t="s">
        <v>16</v>
      </c>
      <c r="L889" s="15">
        <v>5011.2</v>
      </c>
    </row>
    <row r="890" spans="1:12" ht="21" customHeight="1" outlineLevel="2" x14ac:dyDescent="0.25">
      <c r="A890" s="16">
        <f t="shared" si="59"/>
        <v>889</v>
      </c>
      <c r="B890" s="12" t="str">
        <f t="shared" si="63"/>
        <v>ЩВ-6.1 (БЛОК 6)</v>
      </c>
      <c r="C890" s="13" t="s">
        <v>22</v>
      </c>
      <c r="D890" s="29" t="s">
        <v>270</v>
      </c>
      <c r="E890" s="12" t="s">
        <v>271</v>
      </c>
      <c r="F890" s="37">
        <v>5719</v>
      </c>
      <c r="G890" s="38">
        <f t="shared" si="64"/>
        <v>3431.4</v>
      </c>
      <c r="H890" s="38">
        <f>G890*I890</f>
        <v>6862.8</v>
      </c>
      <c r="I890" s="16">
        <v>2</v>
      </c>
      <c r="J890" s="17" t="s">
        <v>12</v>
      </c>
      <c r="K890" s="13" t="s">
        <v>16</v>
      </c>
      <c r="L890" s="15">
        <v>6862.8</v>
      </c>
    </row>
    <row r="891" spans="1:12" ht="21" customHeight="1" outlineLevel="2" x14ac:dyDescent="0.25">
      <c r="A891" s="16">
        <f t="shared" si="59"/>
        <v>890</v>
      </c>
      <c r="B891" s="12" t="str">
        <f t="shared" si="63"/>
        <v>ЩВ-6.1 (БЛОК 6)</v>
      </c>
      <c r="C891" s="13" t="s">
        <v>48</v>
      </c>
      <c r="D891" s="29" t="s">
        <v>282</v>
      </c>
      <c r="E891" s="12" t="s">
        <v>283</v>
      </c>
      <c r="F891" s="37">
        <v>12145</v>
      </c>
      <c r="G891" s="38">
        <f t="shared" si="64"/>
        <v>7287</v>
      </c>
      <c r="H891" s="38">
        <f>G891*I891</f>
        <v>21861</v>
      </c>
      <c r="I891" s="16">
        <v>3</v>
      </c>
      <c r="J891" s="17" t="s">
        <v>12</v>
      </c>
      <c r="K891" s="13" t="s">
        <v>16</v>
      </c>
      <c r="L891" s="15">
        <v>21861</v>
      </c>
    </row>
    <row r="892" spans="1:12" ht="21" customHeight="1" outlineLevel="2" x14ac:dyDescent="0.25">
      <c r="A892" s="16">
        <f t="shared" si="59"/>
        <v>891</v>
      </c>
      <c r="B892" s="12" t="str">
        <f t="shared" si="63"/>
        <v>ЩВ-6.1 (БЛОК 6)</v>
      </c>
      <c r="C892" s="13" t="s">
        <v>48</v>
      </c>
      <c r="D892" s="29" t="s">
        <v>242</v>
      </c>
      <c r="E892" s="12" t="s">
        <v>243</v>
      </c>
      <c r="F892" s="37">
        <v>6145</v>
      </c>
      <c r="G892" s="38">
        <f t="shared" si="64"/>
        <v>3687</v>
      </c>
      <c r="H892" s="38">
        <f>G892*I892</f>
        <v>7374</v>
      </c>
      <c r="I892" s="16">
        <v>2</v>
      </c>
      <c r="J892" s="17" t="s">
        <v>12</v>
      </c>
      <c r="K892" s="13" t="s">
        <v>16</v>
      </c>
      <c r="L892" s="15">
        <v>7374</v>
      </c>
    </row>
    <row r="893" spans="1:12" ht="24" customHeight="1" outlineLevel="2" x14ac:dyDescent="0.25">
      <c r="A893" s="12">
        <f t="shared" si="59"/>
        <v>892</v>
      </c>
      <c r="B893" s="12" t="str">
        <f t="shared" si="63"/>
        <v>ЩВ-6.1 (БЛОК 6)</v>
      </c>
      <c r="C893" s="12" t="s">
        <v>9</v>
      </c>
      <c r="D893" s="30" t="s">
        <v>9</v>
      </c>
      <c r="E893" s="12" t="s">
        <v>9</v>
      </c>
      <c r="F893" s="18">
        <f ca="1">OFFSET(F893,1,2)</f>
        <v>15000</v>
      </c>
      <c r="G893" s="38">
        <f ca="1">F893</f>
        <v>15000</v>
      </c>
      <c r="H893" s="38">
        <f ca="1">G893*I893</f>
        <v>15000</v>
      </c>
      <c r="I893" s="12">
        <v>1</v>
      </c>
      <c r="J893" s="12" t="s">
        <v>12</v>
      </c>
      <c r="K893" s="12" t="s">
        <v>9</v>
      </c>
      <c r="L893" s="15">
        <v>15000</v>
      </c>
    </row>
    <row r="894" spans="1:12" ht="21" customHeight="1" outlineLevel="2" x14ac:dyDescent="0.25">
      <c r="A894" s="12">
        <f t="shared" si="59"/>
        <v>893</v>
      </c>
      <c r="B894" s="12" t="str">
        <f t="shared" si="63"/>
        <v>ЩВ-6.1 (БЛОК 6)</v>
      </c>
      <c r="C894" s="12" t="s">
        <v>10</v>
      </c>
      <c r="D894" s="30" t="s">
        <v>10</v>
      </c>
      <c r="E894" s="12" t="s">
        <v>10</v>
      </c>
      <c r="F894" s="18">
        <v>2.5</v>
      </c>
      <c r="G894" s="38">
        <v>100</v>
      </c>
      <c r="H894" s="38">
        <f>60*F894*G894</f>
        <v>15000</v>
      </c>
      <c r="I894" s="12">
        <f>60*F894</f>
        <v>150</v>
      </c>
      <c r="J894" s="12" t="s">
        <v>12</v>
      </c>
      <c r="K894" s="12" t="s">
        <v>10</v>
      </c>
      <c r="L894" s="15">
        <v>15000</v>
      </c>
    </row>
    <row r="895" spans="1:12" ht="21" customHeight="1" outlineLevel="1" x14ac:dyDescent="0.25">
      <c r="A895" s="12"/>
      <c r="B895" s="12" t="s">
        <v>701</v>
      </c>
      <c r="C895" s="12"/>
      <c r="D895" s="30"/>
      <c r="E895" s="12"/>
      <c r="F895" s="18"/>
      <c r="G895" s="38"/>
      <c r="H895" s="38">
        <f ca="1">SUBTOTAL(9,H881:H894)</f>
        <v>93372.6</v>
      </c>
      <c r="I895" s="12"/>
      <c r="J895" s="12"/>
      <c r="K895" s="12"/>
      <c r="L895" s="15">
        <v>93372.6</v>
      </c>
    </row>
    <row r="896" spans="1:12" ht="39.75" customHeight="1" outlineLevel="2" x14ac:dyDescent="0.25">
      <c r="A896" s="10">
        <f>ROW(A894)</f>
        <v>894</v>
      </c>
      <c r="B896" s="6" t="str">
        <f>E896</f>
        <v>ЩВ-6.2 (БЛОК 6)</v>
      </c>
      <c r="C896" s="6"/>
      <c r="D896" s="28"/>
      <c r="E896" s="6" t="s">
        <v>288</v>
      </c>
      <c r="F896" s="36"/>
      <c r="G896" s="36" t="s">
        <v>73</v>
      </c>
      <c r="H896" s="7"/>
      <c r="I896" s="10">
        <v>1</v>
      </c>
      <c r="J896" s="11" t="s">
        <v>6</v>
      </c>
      <c r="K896" s="6" t="s">
        <v>8</v>
      </c>
      <c r="L896" s="9"/>
    </row>
    <row r="897" spans="1:12" ht="21" customHeight="1" outlineLevel="2" x14ac:dyDescent="0.25">
      <c r="A897" s="16">
        <f t="shared" si="59"/>
        <v>896</v>
      </c>
      <c r="B897" s="12" t="str">
        <f t="shared" ref="B897:B908" si="66">B896</f>
        <v>ЩВ-6.2 (БЛОК 6)</v>
      </c>
      <c r="C897" s="13" t="s">
        <v>7</v>
      </c>
      <c r="D897" s="29" t="s">
        <v>470</v>
      </c>
      <c r="E897" s="12" t="s">
        <v>471</v>
      </c>
      <c r="F897" s="37">
        <v>19000</v>
      </c>
      <c r="G897" s="38">
        <f>F897*0.6</f>
        <v>11400</v>
      </c>
      <c r="H897" s="38">
        <f>I897*G897</f>
        <v>11400</v>
      </c>
      <c r="I897" s="16">
        <v>1</v>
      </c>
      <c r="J897" s="17" t="s">
        <v>12</v>
      </c>
      <c r="K897" s="13" t="s">
        <v>15</v>
      </c>
      <c r="L897" s="15">
        <v>11400</v>
      </c>
    </row>
    <row r="898" spans="1:12" ht="21" customHeight="1" outlineLevel="2" x14ac:dyDescent="0.25">
      <c r="A898" s="16">
        <f t="shared" si="59"/>
        <v>897</v>
      </c>
      <c r="B898" s="12" t="str">
        <f t="shared" si="66"/>
        <v>ЩВ-6.2 (БЛОК 6)</v>
      </c>
      <c r="C898" s="13" t="s">
        <v>11</v>
      </c>
      <c r="D898" s="29" t="s">
        <v>28</v>
      </c>
      <c r="E898" s="12" t="s">
        <v>27</v>
      </c>
      <c r="F898" s="37">
        <v>2606</v>
      </c>
      <c r="G898" s="38">
        <f t="shared" ref="G898:G906" si="67">F898*0.6</f>
        <v>1563.6</v>
      </c>
      <c r="H898" s="38">
        <f t="shared" ref="H898:H904" si="68">G898*I898</f>
        <v>1563.6</v>
      </c>
      <c r="I898" s="16">
        <v>1</v>
      </c>
      <c r="J898" s="17" t="s">
        <v>12</v>
      </c>
      <c r="K898" s="13" t="s">
        <v>16</v>
      </c>
      <c r="L898" s="15">
        <v>1563.6</v>
      </c>
    </row>
    <row r="899" spans="1:12" ht="21" customHeight="1" outlineLevel="2" x14ac:dyDescent="0.25">
      <c r="A899" s="16">
        <f t="shared" si="59"/>
        <v>898</v>
      </c>
      <c r="B899" s="12" t="str">
        <f t="shared" si="66"/>
        <v>ЩВ-6.2 (БЛОК 6)</v>
      </c>
      <c r="C899" s="13" t="s">
        <v>596</v>
      </c>
      <c r="D899" s="29" t="s">
        <v>45</v>
      </c>
      <c r="E899" s="12" t="s">
        <v>46</v>
      </c>
      <c r="F899" s="37">
        <v>5354</v>
      </c>
      <c r="G899" s="38">
        <f t="shared" si="67"/>
        <v>3212.4</v>
      </c>
      <c r="H899" s="38">
        <f t="shared" si="68"/>
        <v>3212.4</v>
      </c>
      <c r="I899" s="16">
        <v>1</v>
      </c>
      <c r="J899" s="17" t="s">
        <v>12</v>
      </c>
      <c r="K899" s="13" t="s">
        <v>16</v>
      </c>
      <c r="L899" s="15">
        <v>3212.4</v>
      </c>
    </row>
    <row r="900" spans="1:12" ht="21" customHeight="1" outlineLevel="2" x14ac:dyDescent="0.25">
      <c r="A900" s="16">
        <f t="shared" si="59"/>
        <v>899</v>
      </c>
      <c r="B900" s="12" t="str">
        <f t="shared" si="66"/>
        <v>ЩВ-6.2 (БЛОК 6)</v>
      </c>
      <c r="C900" s="13" t="s">
        <v>11</v>
      </c>
      <c r="D900" s="29" t="s">
        <v>51</v>
      </c>
      <c r="E900" s="12" t="s">
        <v>52</v>
      </c>
      <c r="F900" s="37">
        <v>2337</v>
      </c>
      <c r="G900" s="38">
        <f t="shared" si="67"/>
        <v>1402.2</v>
      </c>
      <c r="H900" s="38">
        <f t="shared" si="68"/>
        <v>1402.2</v>
      </c>
      <c r="I900" s="16">
        <v>1</v>
      </c>
      <c r="J900" s="17" t="s">
        <v>12</v>
      </c>
      <c r="K900" s="13" t="s">
        <v>16</v>
      </c>
      <c r="L900" s="15">
        <v>1402.2</v>
      </c>
    </row>
    <row r="901" spans="1:12" ht="21" customHeight="1" outlineLevel="2" x14ac:dyDescent="0.25">
      <c r="A901" s="16">
        <f t="shared" si="59"/>
        <v>900</v>
      </c>
      <c r="B901" s="12" t="str">
        <f t="shared" si="66"/>
        <v>ЩВ-6.2 (БЛОК 6)</v>
      </c>
      <c r="C901" s="13" t="s">
        <v>11</v>
      </c>
      <c r="D901" s="29" t="s">
        <v>167</v>
      </c>
      <c r="E901" s="12" t="s">
        <v>168</v>
      </c>
      <c r="F901" s="37">
        <v>800</v>
      </c>
      <c r="G901" s="38">
        <f t="shared" si="67"/>
        <v>480</v>
      </c>
      <c r="H901" s="38">
        <f t="shared" si="68"/>
        <v>480</v>
      </c>
      <c r="I901" s="16">
        <v>1</v>
      </c>
      <c r="J901" s="17" t="s">
        <v>12</v>
      </c>
      <c r="K901" s="13" t="s">
        <v>16</v>
      </c>
      <c r="L901" s="15">
        <v>480</v>
      </c>
    </row>
    <row r="902" spans="1:12" ht="21" customHeight="1" outlineLevel="2" x14ac:dyDescent="0.25">
      <c r="A902" s="16">
        <f t="shared" si="59"/>
        <v>901</v>
      </c>
      <c r="B902" s="12" t="str">
        <f t="shared" si="66"/>
        <v>ЩВ-6.2 (БЛОК 6)</v>
      </c>
      <c r="C902" s="13" t="s">
        <v>11</v>
      </c>
      <c r="D902" s="29" t="s">
        <v>284</v>
      </c>
      <c r="E902" s="12" t="s">
        <v>285</v>
      </c>
      <c r="F902" s="37">
        <v>796</v>
      </c>
      <c r="G902" s="38">
        <f t="shared" si="67"/>
        <v>477.59999999999997</v>
      </c>
      <c r="H902" s="38">
        <f t="shared" si="68"/>
        <v>477.59999999999997</v>
      </c>
      <c r="I902" s="16">
        <v>1</v>
      </c>
      <c r="J902" s="17" t="s">
        <v>12</v>
      </c>
      <c r="K902" s="13" t="s">
        <v>16</v>
      </c>
      <c r="L902" s="15">
        <v>477.59999999999997</v>
      </c>
    </row>
    <row r="903" spans="1:12" ht="21" customHeight="1" outlineLevel="2" x14ac:dyDescent="0.25">
      <c r="A903" s="16">
        <f t="shared" si="59"/>
        <v>902</v>
      </c>
      <c r="B903" s="12" t="str">
        <f t="shared" si="66"/>
        <v>ЩВ-6.2 (БЛОК 6)</v>
      </c>
      <c r="C903" s="13" t="s">
        <v>22</v>
      </c>
      <c r="D903" s="29" t="s">
        <v>250</v>
      </c>
      <c r="E903" s="12" t="s">
        <v>251</v>
      </c>
      <c r="F903" s="37">
        <v>8352</v>
      </c>
      <c r="G903" s="38">
        <f t="shared" si="67"/>
        <v>5011.2</v>
      </c>
      <c r="H903" s="38">
        <f t="shared" si="68"/>
        <v>5011.2</v>
      </c>
      <c r="I903" s="16">
        <v>1</v>
      </c>
      <c r="J903" s="17" t="s">
        <v>12</v>
      </c>
      <c r="K903" s="13" t="s">
        <v>16</v>
      </c>
      <c r="L903" s="15">
        <v>5011.2</v>
      </c>
    </row>
    <row r="904" spans="1:12" ht="21" customHeight="1" outlineLevel="2" x14ac:dyDescent="0.25">
      <c r="A904" s="16">
        <f t="shared" si="59"/>
        <v>903</v>
      </c>
      <c r="B904" s="12" t="str">
        <f t="shared" si="66"/>
        <v>ЩВ-6.2 (БЛОК 6)</v>
      </c>
      <c r="C904" s="13" t="s">
        <v>22</v>
      </c>
      <c r="D904" s="29" t="s">
        <v>270</v>
      </c>
      <c r="E904" s="12" t="s">
        <v>271</v>
      </c>
      <c r="F904" s="37">
        <v>5719</v>
      </c>
      <c r="G904" s="38">
        <f t="shared" si="67"/>
        <v>3431.4</v>
      </c>
      <c r="H904" s="38">
        <f t="shared" si="68"/>
        <v>6862.8</v>
      </c>
      <c r="I904" s="16">
        <v>2</v>
      </c>
      <c r="J904" s="17" t="s">
        <v>12</v>
      </c>
      <c r="K904" s="13" t="s">
        <v>16</v>
      </c>
      <c r="L904" s="15">
        <v>6862.8</v>
      </c>
    </row>
    <row r="905" spans="1:12" ht="21" customHeight="1" outlineLevel="2" x14ac:dyDescent="0.25">
      <c r="A905" s="16">
        <f t="shared" si="59"/>
        <v>904</v>
      </c>
      <c r="B905" s="12" t="str">
        <f t="shared" si="66"/>
        <v>ЩВ-6.2 (БЛОК 6)</v>
      </c>
      <c r="C905" s="13" t="s">
        <v>48</v>
      </c>
      <c r="D905" s="29" t="s">
        <v>289</v>
      </c>
      <c r="E905" s="12" t="s">
        <v>290</v>
      </c>
      <c r="F905" s="37">
        <v>13919</v>
      </c>
      <c r="G905" s="38">
        <f t="shared" si="67"/>
        <v>8351.4</v>
      </c>
      <c r="H905" s="38">
        <f>G905*I905</f>
        <v>8351.4</v>
      </c>
      <c r="I905" s="16">
        <v>1</v>
      </c>
      <c r="J905" s="17" t="s">
        <v>12</v>
      </c>
      <c r="K905" s="13" t="s">
        <v>16</v>
      </c>
      <c r="L905" s="15">
        <v>8351.4</v>
      </c>
    </row>
    <row r="906" spans="1:12" ht="21" customHeight="1" outlineLevel="2" x14ac:dyDescent="0.25">
      <c r="A906" s="16">
        <f t="shared" si="59"/>
        <v>905</v>
      </c>
      <c r="B906" s="12" t="str">
        <f t="shared" si="66"/>
        <v>ЩВ-6.2 (БЛОК 6)</v>
      </c>
      <c r="C906" s="13" t="s">
        <v>48</v>
      </c>
      <c r="D906" s="29" t="s">
        <v>282</v>
      </c>
      <c r="E906" s="12" t="s">
        <v>283</v>
      </c>
      <c r="F906" s="37">
        <v>12145</v>
      </c>
      <c r="G906" s="38">
        <f t="shared" si="67"/>
        <v>7287</v>
      </c>
      <c r="H906" s="38">
        <f>G906*I906</f>
        <v>14574</v>
      </c>
      <c r="I906" s="16">
        <v>2</v>
      </c>
      <c r="J906" s="17" t="s">
        <v>12</v>
      </c>
      <c r="K906" s="13" t="s">
        <v>16</v>
      </c>
      <c r="L906" s="15">
        <v>14574</v>
      </c>
    </row>
    <row r="907" spans="1:12" ht="24" customHeight="1" outlineLevel="2" x14ac:dyDescent="0.25">
      <c r="A907" s="12">
        <f t="shared" si="59"/>
        <v>906</v>
      </c>
      <c r="B907" s="12" t="str">
        <f t="shared" si="66"/>
        <v>ЩВ-6.2 (БЛОК 6)</v>
      </c>
      <c r="C907" s="12" t="s">
        <v>9</v>
      </c>
      <c r="D907" s="30" t="s">
        <v>9</v>
      </c>
      <c r="E907" s="12" t="s">
        <v>9</v>
      </c>
      <c r="F907" s="18">
        <f ca="1">OFFSET(F907,1,2)</f>
        <v>15000</v>
      </c>
      <c r="G907" s="38">
        <f ca="1">F907</f>
        <v>15000</v>
      </c>
      <c r="H907" s="38">
        <f ca="1">G907*I907</f>
        <v>15000</v>
      </c>
      <c r="I907" s="12">
        <v>1</v>
      </c>
      <c r="J907" s="12" t="s">
        <v>12</v>
      </c>
      <c r="K907" s="12" t="s">
        <v>9</v>
      </c>
      <c r="L907" s="15">
        <v>15000</v>
      </c>
    </row>
    <row r="908" spans="1:12" ht="21" customHeight="1" outlineLevel="2" x14ac:dyDescent="0.25">
      <c r="A908" s="12">
        <f t="shared" si="59"/>
        <v>907</v>
      </c>
      <c r="B908" s="12" t="str">
        <f t="shared" si="66"/>
        <v>ЩВ-6.2 (БЛОК 6)</v>
      </c>
      <c r="C908" s="12" t="s">
        <v>10</v>
      </c>
      <c r="D908" s="30" t="s">
        <v>10</v>
      </c>
      <c r="E908" s="12" t="s">
        <v>10</v>
      </c>
      <c r="F908" s="18">
        <v>2.5</v>
      </c>
      <c r="G908" s="38">
        <v>100</v>
      </c>
      <c r="H908" s="38">
        <f>60*F908*G908</f>
        <v>15000</v>
      </c>
      <c r="I908" s="12">
        <f>60*F908</f>
        <v>150</v>
      </c>
      <c r="J908" s="12" t="s">
        <v>12</v>
      </c>
      <c r="K908" s="12" t="s">
        <v>10</v>
      </c>
      <c r="L908" s="15">
        <v>15000</v>
      </c>
    </row>
    <row r="909" spans="1:12" ht="21" customHeight="1" outlineLevel="1" x14ac:dyDescent="0.25">
      <c r="A909" s="12"/>
      <c r="B909" s="12" t="s">
        <v>702</v>
      </c>
      <c r="C909" s="12"/>
      <c r="D909" s="30"/>
      <c r="E909" s="12"/>
      <c r="F909" s="18"/>
      <c r="G909" s="38"/>
      <c r="H909" s="38">
        <f ca="1">SUBTOTAL(9,H896:H908)</f>
        <v>83335.199999999997</v>
      </c>
      <c r="I909" s="12"/>
      <c r="J909" s="12"/>
      <c r="K909" s="12"/>
      <c r="L909" s="15">
        <v>83335.199999999997</v>
      </c>
    </row>
    <row r="910" spans="1:12" ht="39.75" customHeight="1" outlineLevel="2" x14ac:dyDescent="0.25">
      <c r="A910" s="10">
        <f>ROW(A908)</f>
        <v>908</v>
      </c>
      <c r="B910" s="6" t="str">
        <f>E910</f>
        <v>ЩВ-6.3 (БЛОК 6)</v>
      </c>
      <c r="C910" s="6"/>
      <c r="D910" s="28"/>
      <c r="E910" s="6" t="s">
        <v>291</v>
      </c>
      <c r="F910" s="36"/>
      <c r="G910" s="36" t="s">
        <v>73</v>
      </c>
      <c r="H910" s="7"/>
      <c r="I910" s="10">
        <v>1</v>
      </c>
      <c r="J910" s="11" t="s">
        <v>6</v>
      </c>
      <c r="K910" s="6" t="s">
        <v>8</v>
      </c>
      <c r="L910" s="9"/>
    </row>
    <row r="911" spans="1:12" ht="21" customHeight="1" outlineLevel="2" x14ac:dyDescent="0.25">
      <c r="A911" s="16">
        <f t="shared" si="59"/>
        <v>910</v>
      </c>
      <c r="B911" s="12" t="str">
        <f t="shared" ref="B911:B918" si="69">B910</f>
        <v>ЩВ-6.3 (БЛОК 6)</v>
      </c>
      <c r="C911" s="13" t="s">
        <v>7</v>
      </c>
      <c r="D911" s="29" t="s">
        <v>466</v>
      </c>
      <c r="E911" s="12" t="s">
        <v>467</v>
      </c>
      <c r="F911" s="37">
        <v>14695</v>
      </c>
      <c r="G911" s="38">
        <f t="shared" ref="G911:G916" si="70">F911*0.6</f>
        <v>8817</v>
      </c>
      <c r="H911" s="38">
        <f>I911*G911</f>
        <v>8817</v>
      </c>
      <c r="I911" s="16">
        <v>1</v>
      </c>
      <c r="J911" s="17" t="s">
        <v>12</v>
      </c>
      <c r="K911" s="13" t="s">
        <v>15</v>
      </c>
      <c r="L911" s="15">
        <v>8817</v>
      </c>
    </row>
    <row r="912" spans="1:12" ht="21" customHeight="1" outlineLevel="2" x14ac:dyDescent="0.25">
      <c r="A912" s="16">
        <f t="shared" si="59"/>
        <v>911</v>
      </c>
      <c r="B912" s="12" t="str">
        <f t="shared" si="69"/>
        <v>ЩВ-6.3 (БЛОК 6)</v>
      </c>
      <c r="C912" s="13" t="s">
        <v>11</v>
      </c>
      <c r="D912" s="29" t="s">
        <v>273</v>
      </c>
      <c r="E912" s="12" t="s">
        <v>274</v>
      </c>
      <c r="F912" s="37">
        <v>2499</v>
      </c>
      <c r="G912" s="38">
        <f t="shared" si="70"/>
        <v>1499.3999999999999</v>
      </c>
      <c r="H912" s="38">
        <f t="shared" ref="H912:H917" si="71">G912*I912</f>
        <v>1499.3999999999999</v>
      </c>
      <c r="I912" s="16">
        <v>1</v>
      </c>
      <c r="J912" s="17" t="s">
        <v>12</v>
      </c>
      <c r="K912" s="13" t="s">
        <v>16</v>
      </c>
      <c r="L912" s="15">
        <v>1499.3999999999999</v>
      </c>
    </row>
    <row r="913" spans="1:12" ht="21" customHeight="1" outlineLevel="2" x14ac:dyDescent="0.25">
      <c r="A913" s="16">
        <f t="shared" si="59"/>
        <v>912</v>
      </c>
      <c r="B913" s="12" t="str">
        <f t="shared" si="69"/>
        <v>ЩВ-6.3 (БЛОК 6)</v>
      </c>
      <c r="C913" s="13" t="s">
        <v>596</v>
      </c>
      <c r="D913" s="29" t="s">
        <v>45</v>
      </c>
      <c r="E913" s="12" t="s">
        <v>46</v>
      </c>
      <c r="F913" s="37">
        <v>5354</v>
      </c>
      <c r="G913" s="38">
        <f t="shared" si="70"/>
        <v>3212.4</v>
      </c>
      <c r="H913" s="38">
        <f t="shared" si="71"/>
        <v>3212.4</v>
      </c>
      <c r="I913" s="16">
        <v>1</v>
      </c>
      <c r="J913" s="17" t="s">
        <v>12</v>
      </c>
      <c r="K913" s="13" t="s">
        <v>16</v>
      </c>
      <c r="L913" s="15">
        <v>3212.4</v>
      </c>
    </row>
    <row r="914" spans="1:12" ht="21" customHeight="1" outlineLevel="2" x14ac:dyDescent="0.25">
      <c r="A914" s="16">
        <f t="shared" si="59"/>
        <v>913</v>
      </c>
      <c r="B914" s="12" t="str">
        <f t="shared" si="69"/>
        <v>ЩВ-6.3 (БЛОК 6)</v>
      </c>
      <c r="C914" s="13" t="s">
        <v>11</v>
      </c>
      <c r="D914" s="29" t="s">
        <v>292</v>
      </c>
      <c r="E914" s="12" t="s">
        <v>293</v>
      </c>
      <c r="F914" s="37">
        <v>783</v>
      </c>
      <c r="G914" s="38">
        <f t="shared" si="70"/>
        <v>469.79999999999995</v>
      </c>
      <c r="H914" s="38">
        <f t="shared" si="71"/>
        <v>469.79999999999995</v>
      </c>
      <c r="I914" s="16">
        <v>1</v>
      </c>
      <c r="J914" s="17" t="s">
        <v>12</v>
      </c>
      <c r="K914" s="13" t="s">
        <v>16</v>
      </c>
      <c r="L914" s="15">
        <v>469.79999999999995</v>
      </c>
    </row>
    <row r="915" spans="1:12" ht="21" customHeight="1" outlineLevel="2" x14ac:dyDescent="0.25">
      <c r="A915" s="16">
        <f t="shared" si="59"/>
        <v>914</v>
      </c>
      <c r="B915" s="12" t="str">
        <f t="shared" si="69"/>
        <v>ЩВ-6.3 (БЛОК 6)</v>
      </c>
      <c r="C915" s="13" t="s">
        <v>22</v>
      </c>
      <c r="D915" s="29" t="s">
        <v>250</v>
      </c>
      <c r="E915" s="12" t="s">
        <v>251</v>
      </c>
      <c r="F915" s="37">
        <v>8352</v>
      </c>
      <c r="G915" s="38">
        <f t="shared" si="70"/>
        <v>5011.2</v>
      </c>
      <c r="H915" s="38">
        <f t="shared" si="71"/>
        <v>5011.2</v>
      </c>
      <c r="I915" s="16">
        <v>1</v>
      </c>
      <c r="J915" s="17" t="s">
        <v>12</v>
      </c>
      <c r="K915" s="13" t="s">
        <v>16</v>
      </c>
      <c r="L915" s="15">
        <v>5011.2</v>
      </c>
    </row>
    <row r="916" spans="1:12" ht="21" customHeight="1" outlineLevel="2" x14ac:dyDescent="0.25">
      <c r="A916" s="16">
        <f t="shared" si="59"/>
        <v>915</v>
      </c>
      <c r="B916" s="12" t="str">
        <f t="shared" si="69"/>
        <v>ЩВ-6.3 (БЛОК 6)</v>
      </c>
      <c r="C916" s="13" t="s">
        <v>22</v>
      </c>
      <c r="D916" s="29" t="s">
        <v>270</v>
      </c>
      <c r="E916" s="12" t="s">
        <v>271</v>
      </c>
      <c r="F916" s="37">
        <v>5719</v>
      </c>
      <c r="G916" s="38">
        <f t="shared" si="70"/>
        <v>3431.4</v>
      </c>
      <c r="H916" s="38">
        <f t="shared" si="71"/>
        <v>3431.4</v>
      </c>
      <c r="I916" s="16">
        <v>1</v>
      </c>
      <c r="J916" s="17" t="s">
        <v>12</v>
      </c>
      <c r="K916" s="13" t="s">
        <v>16</v>
      </c>
      <c r="L916" s="15">
        <v>3431.4</v>
      </c>
    </row>
    <row r="917" spans="1:12" ht="24" customHeight="1" outlineLevel="2" x14ac:dyDescent="0.25">
      <c r="A917" s="12">
        <f t="shared" si="59"/>
        <v>916</v>
      </c>
      <c r="B917" s="12" t="str">
        <f t="shared" si="69"/>
        <v>ЩВ-6.3 (БЛОК 6)</v>
      </c>
      <c r="C917" s="12" t="s">
        <v>9</v>
      </c>
      <c r="D917" s="30" t="s">
        <v>9</v>
      </c>
      <c r="E917" s="12" t="s">
        <v>9</v>
      </c>
      <c r="F917" s="18">
        <f ca="1">OFFSET(F917,1,2)</f>
        <v>4200</v>
      </c>
      <c r="G917" s="38">
        <f ca="1">F917</f>
        <v>4200</v>
      </c>
      <c r="H917" s="38">
        <f t="shared" ca="1" si="71"/>
        <v>4200</v>
      </c>
      <c r="I917" s="12">
        <v>1</v>
      </c>
      <c r="J917" s="12" t="s">
        <v>12</v>
      </c>
      <c r="K917" s="12" t="s">
        <v>9</v>
      </c>
      <c r="L917" s="15">
        <v>4200</v>
      </c>
    </row>
    <row r="918" spans="1:12" ht="21" customHeight="1" outlineLevel="2" x14ac:dyDescent="0.25">
      <c r="A918" s="12">
        <f t="shared" si="59"/>
        <v>917</v>
      </c>
      <c r="B918" s="12" t="str">
        <f t="shared" si="69"/>
        <v>ЩВ-6.3 (БЛОК 6)</v>
      </c>
      <c r="C918" s="12" t="s">
        <v>10</v>
      </c>
      <c r="D918" s="30" t="s">
        <v>10</v>
      </c>
      <c r="E918" s="12" t="s">
        <v>10</v>
      </c>
      <c r="F918" s="18">
        <v>0.7</v>
      </c>
      <c r="G918" s="38">
        <v>100</v>
      </c>
      <c r="H918" s="38">
        <f>60*F918*G918</f>
        <v>4200</v>
      </c>
      <c r="I918" s="12">
        <f>60*F918</f>
        <v>42</v>
      </c>
      <c r="J918" s="12" t="s">
        <v>12</v>
      </c>
      <c r="K918" s="12" t="s">
        <v>10</v>
      </c>
      <c r="L918" s="15">
        <v>4200</v>
      </c>
    </row>
    <row r="919" spans="1:12" ht="21" customHeight="1" outlineLevel="1" x14ac:dyDescent="0.25">
      <c r="A919" s="12"/>
      <c r="B919" s="12" t="s">
        <v>703</v>
      </c>
      <c r="C919" s="12"/>
      <c r="D919" s="30"/>
      <c r="E919" s="12"/>
      <c r="F919" s="18"/>
      <c r="G919" s="38"/>
      <c r="H919" s="38">
        <f ca="1">SUBTOTAL(9,H910:H918)</f>
        <v>30841.200000000001</v>
      </c>
      <c r="I919" s="12"/>
      <c r="J919" s="12"/>
      <c r="K919" s="12"/>
      <c r="L919" s="15">
        <v>30841.200000000001</v>
      </c>
    </row>
    <row r="920" spans="1:12" ht="39.75" customHeight="1" outlineLevel="2" x14ac:dyDescent="0.25">
      <c r="A920" s="10">
        <f>ROW(A918)</f>
        <v>918</v>
      </c>
      <c r="B920" s="6" t="str">
        <f>E920</f>
        <v>ЩВ-6.4 (БЛОК 6)</v>
      </c>
      <c r="C920" s="6"/>
      <c r="D920" s="28"/>
      <c r="E920" s="6" t="s">
        <v>294</v>
      </c>
      <c r="F920" s="36"/>
      <c r="G920" s="36" t="s">
        <v>73</v>
      </c>
      <c r="H920" s="7"/>
      <c r="I920" s="10">
        <v>1</v>
      </c>
      <c r="J920" s="11" t="s">
        <v>6</v>
      </c>
      <c r="K920" s="6" t="s">
        <v>8</v>
      </c>
      <c r="L920" s="9"/>
    </row>
    <row r="921" spans="1:12" ht="21" customHeight="1" outlineLevel="2" x14ac:dyDescent="0.25">
      <c r="A921" s="16">
        <f t="shared" si="59"/>
        <v>920</v>
      </c>
      <c r="B921" s="12" t="str">
        <f t="shared" ref="B921:B927" si="72">B920</f>
        <v>ЩВ-6.4 (БЛОК 6)</v>
      </c>
      <c r="C921" s="13" t="s">
        <v>7</v>
      </c>
      <c r="D921" s="29" t="s">
        <v>466</v>
      </c>
      <c r="E921" s="12" t="s">
        <v>467</v>
      </c>
      <c r="F921" s="37">
        <v>14695</v>
      </c>
      <c r="G921" s="38">
        <f>F921*0.6</f>
        <v>8817</v>
      </c>
      <c r="H921" s="38">
        <f>I921*G921</f>
        <v>8817</v>
      </c>
      <c r="I921" s="16">
        <v>1</v>
      </c>
      <c r="J921" s="17" t="s">
        <v>12</v>
      </c>
      <c r="K921" s="13" t="s">
        <v>15</v>
      </c>
      <c r="L921" s="15">
        <v>8817</v>
      </c>
    </row>
    <row r="922" spans="1:12" ht="21" customHeight="1" outlineLevel="2" x14ac:dyDescent="0.25">
      <c r="A922" s="16">
        <f t="shared" si="59"/>
        <v>921</v>
      </c>
      <c r="B922" s="12" t="str">
        <f t="shared" si="72"/>
        <v>ЩВ-6.4 (БЛОК 6)</v>
      </c>
      <c r="C922" s="13" t="s">
        <v>11</v>
      </c>
      <c r="D922" s="29" t="s">
        <v>273</v>
      </c>
      <c r="E922" s="12" t="s">
        <v>274</v>
      </c>
      <c r="F922" s="37">
        <v>2499</v>
      </c>
      <c r="G922" s="38">
        <f t="shared" ref="G922:G925" si="73">F922*0.6</f>
        <v>1499.3999999999999</v>
      </c>
      <c r="H922" s="38">
        <f>G922*I922</f>
        <v>1499.3999999999999</v>
      </c>
      <c r="I922" s="16">
        <v>1</v>
      </c>
      <c r="J922" s="17" t="s">
        <v>12</v>
      </c>
      <c r="K922" s="13" t="s">
        <v>16</v>
      </c>
      <c r="L922" s="15">
        <v>1499.3999999999999</v>
      </c>
    </row>
    <row r="923" spans="1:12" ht="21" customHeight="1" outlineLevel="2" x14ac:dyDescent="0.25">
      <c r="A923" s="16">
        <f t="shared" si="59"/>
        <v>922</v>
      </c>
      <c r="B923" s="12" t="str">
        <f t="shared" si="72"/>
        <v>ЩВ-6.4 (БЛОК 6)</v>
      </c>
      <c r="C923" s="13" t="s">
        <v>596</v>
      </c>
      <c r="D923" s="29" t="s">
        <v>45</v>
      </c>
      <c r="E923" s="12" t="s">
        <v>46</v>
      </c>
      <c r="F923" s="37">
        <v>5354</v>
      </c>
      <c r="G923" s="38">
        <f t="shared" si="73"/>
        <v>3212.4</v>
      </c>
      <c r="H923" s="38">
        <f>G923*I923</f>
        <v>3212.4</v>
      </c>
      <c r="I923" s="16">
        <v>1</v>
      </c>
      <c r="J923" s="17" t="s">
        <v>12</v>
      </c>
      <c r="K923" s="13" t="s">
        <v>16</v>
      </c>
      <c r="L923" s="15">
        <v>3212.4</v>
      </c>
    </row>
    <row r="924" spans="1:12" ht="21" customHeight="1" outlineLevel="2" x14ac:dyDescent="0.25">
      <c r="A924" s="16">
        <f t="shared" si="59"/>
        <v>923</v>
      </c>
      <c r="B924" s="12" t="str">
        <f t="shared" si="72"/>
        <v>ЩВ-6.4 (БЛОК 6)</v>
      </c>
      <c r="C924" s="13" t="s">
        <v>22</v>
      </c>
      <c r="D924" s="29" t="s">
        <v>250</v>
      </c>
      <c r="E924" s="12" t="s">
        <v>251</v>
      </c>
      <c r="F924" s="37">
        <v>8352</v>
      </c>
      <c r="G924" s="38">
        <f t="shared" si="73"/>
        <v>5011.2</v>
      </c>
      <c r="H924" s="38">
        <f>G924*I924</f>
        <v>5011.2</v>
      </c>
      <c r="I924" s="16">
        <v>1</v>
      </c>
      <c r="J924" s="17" t="s">
        <v>12</v>
      </c>
      <c r="K924" s="13" t="s">
        <v>16</v>
      </c>
      <c r="L924" s="15">
        <v>5011.2</v>
      </c>
    </row>
    <row r="925" spans="1:12" ht="21" customHeight="1" outlineLevel="2" x14ac:dyDescent="0.25">
      <c r="A925" s="16">
        <f t="shared" si="59"/>
        <v>924</v>
      </c>
      <c r="B925" s="12" t="str">
        <f t="shared" si="72"/>
        <v>ЩВ-6.4 (БЛОК 6)</v>
      </c>
      <c r="C925" s="13" t="s">
        <v>22</v>
      </c>
      <c r="D925" s="29" t="s">
        <v>270</v>
      </c>
      <c r="E925" s="12" t="s">
        <v>271</v>
      </c>
      <c r="F925" s="37">
        <v>5719</v>
      </c>
      <c r="G925" s="38">
        <f t="shared" si="73"/>
        <v>3431.4</v>
      </c>
      <c r="H925" s="38">
        <f>G925*I925</f>
        <v>6862.8</v>
      </c>
      <c r="I925" s="16">
        <v>2</v>
      </c>
      <c r="J925" s="17" t="s">
        <v>12</v>
      </c>
      <c r="K925" s="13" t="s">
        <v>16</v>
      </c>
      <c r="L925" s="15">
        <v>6862.8</v>
      </c>
    </row>
    <row r="926" spans="1:12" ht="24" customHeight="1" outlineLevel="2" x14ac:dyDescent="0.25">
      <c r="A926" s="12">
        <f t="shared" si="59"/>
        <v>925</v>
      </c>
      <c r="B926" s="12" t="str">
        <f t="shared" si="72"/>
        <v>ЩВ-6.4 (БЛОК 6)</v>
      </c>
      <c r="C926" s="12" t="s">
        <v>9</v>
      </c>
      <c r="D926" s="30" t="s">
        <v>9</v>
      </c>
      <c r="E926" s="12" t="s">
        <v>9</v>
      </c>
      <c r="F926" s="18">
        <f ca="1">OFFSET(F926,1,2)</f>
        <v>4200</v>
      </c>
      <c r="G926" s="38">
        <f ca="1">F926</f>
        <v>4200</v>
      </c>
      <c r="H926" s="38">
        <f ca="1">G926*I926</f>
        <v>4200</v>
      </c>
      <c r="I926" s="12">
        <v>1</v>
      </c>
      <c r="J926" s="12" t="s">
        <v>12</v>
      </c>
      <c r="K926" s="12" t="s">
        <v>9</v>
      </c>
      <c r="L926" s="15">
        <v>4200</v>
      </c>
    </row>
    <row r="927" spans="1:12" ht="21" customHeight="1" outlineLevel="2" x14ac:dyDescent="0.25">
      <c r="A927" s="12">
        <f t="shared" si="59"/>
        <v>926</v>
      </c>
      <c r="B927" s="12" t="str">
        <f t="shared" si="72"/>
        <v>ЩВ-6.4 (БЛОК 6)</v>
      </c>
      <c r="C927" s="12" t="s">
        <v>10</v>
      </c>
      <c r="D927" s="30" t="s">
        <v>10</v>
      </c>
      <c r="E927" s="12" t="s">
        <v>10</v>
      </c>
      <c r="F927" s="18">
        <v>0.7</v>
      </c>
      <c r="G927" s="38">
        <v>100</v>
      </c>
      <c r="H927" s="38">
        <f>60*F927*G927</f>
        <v>4200</v>
      </c>
      <c r="I927" s="12">
        <f>60*F927</f>
        <v>42</v>
      </c>
      <c r="J927" s="12" t="s">
        <v>12</v>
      </c>
      <c r="K927" s="12" t="s">
        <v>10</v>
      </c>
      <c r="L927" s="15">
        <v>4200</v>
      </c>
    </row>
    <row r="928" spans="1:12" ht="21" customHeight="1" outlineLevel="1" x14ac:dyDescent="0.25">
      <c r="A928" s="12"/>
      <c r="B928" s="12" t="s">
        <v>704</v>
      </c>
      <c r="C928" s="12"/>
      <c r="D928" s="30"/>
      <c r="E928" s="12"/>
      <c r="F928" s="18"/>
      <c r="G928" s="38"/>
      <c r="H928" s="38">
        <f ca="1">SUBTOTAL(9,H920:H927)</f>
        <v>33802.800000000003</v>
      </c>
      <c r="I928" s="12"/>
      <c r="J928" s="12"/>
      <c r="K928" s="12"/>
      <c r="L928" s="15">
        <v>33802.800000000003</v>
      </c>
    </row>
    <row r="929" spans="1:12" ht="39.75" customHeight="1" outlineLevel="2" x14ac:dyDescent="0.25">
      <c r="A929" s="10">
        <f>ROW(A927)</f>
        <v>927</v>
      </c>
      <c r="B929" s="6" t="str">
        <f>E929</f>
        <v>ЩВ-6.5 (БЛОК 6)</v>
      </c>
      <c r="C929" s="6"/>
      <c r="D929" s="28"/>
      <c r="E929" s="6" t="s">
        <v>295</v>
      </c>
      <c r="F929" s="36"/>
      <c r="G929" s="36" t="s">
        <v>73</v>
      </c>
      <c r="H929" s="7"/>
      <c r="I929" s="10">
        <v>1</v>
      </c>
      <c r="J929" s="11" t="s">
        <v>6</v>
      </c>
      <c r="K929" s="6" t="s">
        <v>8</v>
      </c>
      <c r="L929" s="9"/>
    </row>
    <row r="930" spans="1:12" ht="21" customHeight="1" outlineLevel="2" x14ac:dyDescent="0.25">
      <c r="A930" s="16">
        <f t="shared" si="59"/>
        <v>929</v>
      </c>
      <c r="B930" s="12" t="str">
        <f t="shared" ref="B930:B946" si="74">B929</f>
        <v>ЩВ-6.5 (БЛОК 6)</v>
      </c>
      <c r="C930" s="13" t="s">
        <v>7</v>
      </c>
      <c r="D930" s="29" t="s">
        <v>568</v>
      </c>
      <c r="E930" s="12" t="s">
        <v>569</v>
      </c>
      <c r="F930" s="37">
        <v>55915</v>
      </c>
      <c r="G930" s="38">
        <f>F930*0.6</f>
        <v>33549</v>
      </c>
      <c r="H930" s="38">
        <f>I930*G930</f>
        <v>33549</v>
      </c>
      <c r="I930" s="16">
        <v>1</v>
      </c>
      <c r="J930" s="17" t="s">
        <v>12</v>
      </c>
      <c r="K930" s="13" t="s">
        <v>15</v>
      </c>
      <c r="L930" s="15">
        <v>33549</v>
      </c>
    </row>
    <row r="931" spans="1:12" ht="21" customHeight="1" outlineLevel="2" x14ac:dyDescent="0.25">
      <c r="A931" s="16">
        <f t="shared" si="59"/>
        <v>930</v>
      </c>
      <c r="B931" s="12" t="str">
        <f t="shared" si="74"/>
        <v>ЩВ-6.5 (БЛОК 6)</v>
      </c>
      <c r="C931" s="13" t="s">
        <v>11</v>
      </c>
      <c r="D931" s="29" t="s">
        <v>298</v>
      </c>
      <c r="E931" s="12" t="s">
        <v>299</v>
      </c>
      <c r="F931" s="37">
        <v>37038</v>
      </c>
      <c r="G931" s="38">
        <f t="shared" ref="G931:G933" si="75">F931*0.6</f>
        <v>22222.799999999999</v>
      </c>
      <c r="H931" s="38">
        <f>G931*I931</f>
        <v>22222.799999999999</v>
      </c>
      <c r="I931" s="16">
        <v>1</v>
      </c>
      <c r="J931" s="17" t="s">
        <v>12</v>
      </c>
      <c r="K931" s="13" t="s">
        <v>16</v>
      </c>
      <c r="L931" s="15">
        <v>22222.799999999999</v>
      </c>
    </row>
    <row r="932" spans="1:12" ht="21" customHeight="1" outlineLevel="2" x14ac:dyDescent="0.25">
      <c r="A932" s="16">
        <f t="shared" si="59"/>
        <v>931</v>
      </c>
      <c r="B932" s="12" t="str">
        <f t="shared" si="74"/>
        <v>ЩВ-6.5 (БЛОК 6)</v>
      </c>
      <c r="C932" s="13" t="s">
        <v>596</v>
      </c>
      <c r="D932" s="29" t="s">
        <v>45</v>
      </c>
      <c r="E932" s="12" t="s">
        <v>46</v>
      </c>
      <c r="F932" s="37">
        <v>5354</v>
      </c>
      <c r="G932" s="38">
        <f t="shared" si="75"/>
        <v>3212.4</v>
      </c>
      <c r="H932" s="38">
        <f t="shared" ref="H932:H945" si="76">G932*I932</f>
        <v>3212.4</v>
      </c>
      <c r="I932" s="16">
        <v>1</v>
      </c>
      <c r="J932" s="17" t="s">
        <v>12</v>
      </c>
      <c r="K932" s="13" t="s">
        <v>16</v>
      </c>
      <c r="L932" s="15">
        <v>3212.4</v>
      </c>
    </row>
    <row r="933" spans="1:12" ht="21" customHeight="1" outlineLevel="2" x14ac:dyDescent="0.25">
      <c r="A933" s="16">
        <f t="shared" si="59"/>
        <v>932</v>
      </c>
      <c r="B933" s="12" t="str">
        <f t="shared" si="74"/>
        <v>ЩВ-6.5 (БЛОК 6)</v>
      </c>
      <c r="C933" s="13" t="s">
        <v>11</v>
      </c>
      <c r="D933" s="29" t="s">
        <v>29</v>
      </c>
      <c r="E933" s="12" t="s">
        <v>30</v>
      </c>
      <c r="F933" s="37">
        <v>3172</v>
      </c>
      <c r="G933" s="38">
        <f t="shared" si="75"/>
        <v>1903.1999999999998</v>
      </c>
      <c r="H933" s="38">
        <f t="shared" si="76"/>
        <v>1903.1999999999998</v>
      </c>
      <c r="I933" s="16">
        <v>1</v>
      </c>
      <c r="J933" s="17" t="s">
        <v>12</v>
      </c>
      <c r="K933" s="13" t="s">
        <v>16</v>
      </c>
      <c r="L933" s="15">
        <v>1903.1999999999998</v>
      </c>
    </row>
    <row r="934" spans="1:12" ht="21" customHeight="1" outlineLevel="2" x14ac:dyDescent="0.25">
      <c r="A934" s="16">
        <f t="shared" si="59"/>
        <v>933</v>
      </c>
      <c r="B934" s="12" t="str">
        <f t="shared" si="74"/>
        <v>ЩВ-6.5 (БЛОК 6)</v>
      </c>
      <c r="C934" s="13" t="s">
        <v>11</v>
      </c>
      <c r="D934" s="29" t="s">
        <v>28</v>
      </c>
      <c r="E934" s="12" t="s">
        <v>27</v>
      </c>
      <c r="F934" s="37">
        <v>2606</v>
      </c>
      <c r="G934" s="38">
        <f>F934</f>
        <v>2606</v>
      </c>
      <c r="H934" s="38">
        <f t="shared" si="76"/>
        <v>2606</v>
      </c>
      <c r="I934" s="16">
        <v>1</v>
      </c>
      <c r="J934" s="17" t="s">
        <v>12</v>
      </c>
      <c r="K934" s="13" t="s">
        <v>25</v>
      </c>
      <c r="L934" s="15">
        <v>2606</v>
      </c>
    </row>
    <row r="935" spans="1:12" ht="21" customHeight="1" outlineLevel="2" x14ac:dyDescent="0.25">
      <c r="A935" s="16">
        <f t="shared" si="59"/>
        <v>934</v>
      </c>
      <c r="B935" s="12" t="str">
        <f t="shared" si="74"/>
        <v>ЩВ-6.5 (БЛОК 6)</v>
      </c>
      <c r="C935" s="13" t="s">
        <v>11</v>
      </c>
      <c r="D935" s="29" t="s">
        <v>20</v>
      </c>
      <c r="E935" s="12" t="s">
        <v>21</v>
      </c>
      <c r="F935" s="37">
        <v>2429</v>
      </c>
      <c r="G935" s="38">
        <f t="shared" ref="G935:G944" si="77">F935*0.6</f>
        <v>1457.3999999999999</v>
      </c>
      <c r="H935" s="38">
        <f t="shared" si="76"/>
        <v>1457.3999999999999</v>
      </c>
      <c r="I935" s="16">
        <v>1</v>
      </c>
      <c r="J935" s="17" t="s">
        <v>12</v>
      </c>
      <c r="K935" s="13" t="s">
        <v>16</v>
      </c>
      <c r="L935" s="15">
        <v>1457.3999999999999</v>
      </c>
    </row>
    <row r="936" spans="1:12" ht="21" customHeight="1" outlineLevel="2" x14ac:dyDescent="0.25">
      <c r="A936" s="16">
        <f t="shared" si="59"/>
        <v>935</v>
      </c>
      <c r="B936" s="12" t="str">
        <f t="shared" si="74"/>
        <v>ЩВ-6.5 (БЛОК 6)</v>
      </c>
      <c r="C936" s="13" t="s">
        <v>11</v>
      </c>
      <c r="D936" s="29" t="s">
        <v>280</v>
      </c>
      <c r="E936" s="12" t="s">
        <v>281</v>
      </c>
      <c r="F936" s="37">
        <v>2447</v>
      </c>
      <c r="G936" s="38">
        <f t="shared" si="77"/>
        <v>1468.2</v>
      </c>
      <c r="H936" s="38">
        <f t="shared" si="76"/>
        <v>5872.8</v>
      </c>
      <c r="I936" s="16">
        <v>4</v>
      </c>
      <c r="J936" s="17" t="s">
        <v>12</v>
      </c>
      <c r="K936" s="13" t="s">
        <v>16</v>
      </c>
      <c r="L936" s="15">
        <v>5872.8</v>
      </c>
    </row>
    <row r="937" spans="1:12" ht="21" customHeight="1" outlineLevel="2" x14ac:dyDescent="0.25">
      <c r="A937" s="16">
        <f t="shared" si="59"/>
        <v>936</v>
      </c>
      <c r="B937" s="12" t="str">
        <f t="shared" si="74"/>
        <v>ЩВ-6.5 (БЛОК 6)</v>
      </c>
      <c r="C937" s="13" t="s">
        <v>11</v>
      </c>
      <c r="D937" s="29" t="s">
        <v>51</v>
      </c>
      <c r="E937" s="12" t="s">
        <v>52</v>
      </c>
      <c r="F937" s="37">
        <v>2337</v>
      </c>
      <c r="G937" s="38">
        <f t="shared" si="77"/>
        <v>1402.2</v>
      </c>
      <c r="H937" s="38">
        <f t="shared" si="76"/>
        <v>2804.4</v>
      </c>
      <c r="I937" s="16">
        <v>2</v>
      </c>
      <c r="J937" s="17" t="s">
        <v>12</v>
      </c>
      <c r="K937" s="13" t="s">
        <v>16</v>
      </c>
      <c r="L937" s="15">
        <v>2804.4</v>
      </c>
    </row>
    <row r="938" spans="1:12" ht="21" customHeight="1" outlineLevel="2" x14ac:dyDescent="0.25">
      <c r="A938" s="16">
        <f t="shared" si="59"/>
        <v>937</v>
      </c>
      <c r="B938" s="12" t="str">
        <f t="shared" si="74"/>
        <v>ЩВ-6.5 (БЛОК 6)</v>
      </c>
      <c r="C938" s="13" t="s">
        <v>11</v>
      </c>
      <c r="D938" s="29" t="s">
        <v>292</v>
      </c>
      <c r="E938" s="12" t="s">
        <v>293</v>
      </c>
      <c r="F938" s="37">
        <v>783</v>
      </c>
      <c r="G938" s="38">
        <f t="shared" si="77"/>
        <v>469.79999999999995</v>
      </c>
      <c r="H938" s="38">
        <f t="shared" si="76"/>
        <v>1879.1999999999998</v>
      </c>
      <c r="I938" s="16">
        <v>4</v>
      </c>
      <c r="J938" s="17" t="s">
        <v>12</v>
      </c>
      <c r="K938" s="13" t="s">
        <v>16</v>
      </c>
      <c r="L938" s="15">
        <v>1879.1999999999998</v>
      </c>
    </row>
    <row r="939" spans="1:12" ht="21" customHeight="1" outlineLevel="2" x14ac:dyDescent="0.25">
      <c r="A939" s="16">
        <f t="shared" si="59"/>
        <v>938</v>
      </c>
      <c r="B939" s="12" t="str">
        <f t="shared" si="74"/>
        <v>ЩВ-6.5 (БЛОК 6)</v>
      </c>
      <c r="C939" s="13" t="s">
        <v>22</v>
      </c>
      <c r="D939" s="29" t="s">
        <v>250</v>
      </c>
      <c r="E939" s="12" t="s">
        <v>251</v>
      </c>
      <c r="F939" s="37">
        <v>8352</v>
      </c>
      <c r="G939" s="38">
        <f t="shared" si="77"/>
        <v>5011.2</v>
      </c>
      <c r="H939" s="38">
        <f t="shared" si="76"/>
        <v>5011.2</v>
      </c>
      <c r="I939" s="16">
        <v>1</v>
      </c>
      <c r="J939" s="17" t="s">
        <v>12</v>
      </c>
      <c r="K939" s="13" t="s">
        <v>16</v>
      </c>
      <c r="L939" s="15">
        <v>5011.2</v>
      </c>
    </row>
    <row r="940" spans="1:12" ht="21" customHeight="1" outlineLevel="2" x14ac:dyDescent="0.25">
      <c r="A940" s="16">
        <f t="shared" ref="A940:A1011" si="78">ROW(A939)</f>
        <v>939</v>
      </c>
      <c r="B940" s="12" t="str">
        <f t="shared" si="74"/>
        <v>ЩВ-6.5 (БЛОК 6)</v>
      </c>
      <c r="C940" s="13" t="s">
        <v>22</v>
      </c>
      <c r="D940" s="29" t="s">
        <v>270</v>
      </c>
      <c r="E940" s="12" t="s">
        <v>271</v>
      </c>
      <c r="F940" s="37">
        <v>5719</v>
      </c>
      <c r="G940" s="38">
        <f t="shared" si="77"/>
        <v>3431.4</v>
      </c>
      <c r="H940" s="38">
        <f t="shared" si="76"/>
        <v>6862.8</v>
      </c>
      <c r="I940" s="16">
        <v>2</v>
      </c>
      <c r="J940" s="17" t="s">
        <v>12</v>
      </c>
      <c r="K940" s="13" t="s">
        <v>16</v>
      </c>
      <c r="L940" s="15">
        <v>6862.8</v>
      </c>
    </row>
    <row r="941" spans="1:12" ht="21" customHeight="1" outlineLevel="2" x14ac:dyDescent="0.25">
      <c r="A941" s="16">
        <f t="shared" si="78"/>
        <v>940</v>
      </c>
      <c r="B941" s="12" t="str">
        <f t="shared" si="74"/>
        <v>ЩВ-6.5 (БЛОК 6)</v>
      </c>
      <c r="C941" s="13" t="s">
        <v>48</v>
      </c>
      <c r="D941" s="29" t="s">
        <v>296</v>
      </c>
      <c r="E941" s="12" t="s">
        <v>297</v>
      </c>
      <c r="F941" s="37">
        <v>13919</v>
      </c>
      <c r="G941" s="38">
        <f t="shared" si="77"/>
        <v>8351.4</v>
      </c>
      <c r="H941" s="38">
        <f>G941*I941</f>
        <v>8351.4</v>
      </c>
      <c r="I941" s="16">
        <v>1</v>
      </c>
      <c r="J941" s="17" t="s">
        <v>12</v>
      </c>
      <c r="K941" s="13" t="s">
        <v>16</v>
      </c>
      <c r="L941" s="15">
        <v>8351.4</v>
      </c>
    </row>
    <row r="942" spans="1:12" ht="21" customHeight="1" outlineLevel="2" x14ac:dyDescent="0.25">
      <c r="A942" s="16">
        <f t="shared" si="78"/>
        <v>941</v>
      </c>
      <c r="B942" s="12" t="str">
        <f t="shared" si="74"/>
        <v>ЩВ-6.5 (БЛОК 6)</v>
      </c>
      <c r="C942" s="13" t="s">
        <v>48</v>
      </c>
      <c r="D942" s="29" t="s">
        <v>289</v>
      </c>
      <c r="E942" s="12" t="s">
        <v>290</v>
      </c>
      <c r="F942" s="37">
        <v>13919</v>
      </c>
      <c r="G942" s="38">
        <f t="shared" si="77"/>
        <v>8351.4</v>
      </c>
      <c r="H942" s="38">
        <f>G942*I942</f>
        <v>16702.8</v>
      </c>
      <c r="I942" s="16">
        <v>2</v>
      </c>
      <c r="J942" s="17" t="s">
        <v>12</v>
      </c>
      <c r="K942" s="13" t="s">
        <v>16</v>
      </c>
      <c r="L942" s="15">
        <v>16702.8</v>
      </c>
    </row>
    <row r="943" spans="1:12" ht="21" customHeight="1" outlineLevel="2" x14ac:dyDescent="0.25">
      <c r="A943" s="16">
        <f t="shared" si="78"/>
        <v>942</v>
      </c>
      <c r="B943" s="12" t="str">
        <f t="shared" si="74"/>
        <v>ЩВ-6.5 (БЛОК 6)</v>
      </c>
      <c r="C943" s="13" t="s">
        <v>48</v>
      </c>
      <c r="D943" s="29" t="s">
        <v>282</v>
      </c>
      <c r="E943" s="12" t="s">
        <v>283</v>
      </c>
      <c r="F943" s="37">
        <v>12145</v>
      </c>
      <c r="G943" s="38">
        <f t="shared" si="77"/>
        <v>7287</v>
      </c>
      <c r="H943" s="38">
        <f>G943*I943</f>
        <v>43722</v>
      </c>
      <c r="I943" s="16">
        <v>6</v>
      </c>
      <c r="J943" s="17" t="s">
        <v>12</v>
      </c>
      <c r="K943" s="13" t="s">
        <v>16</v>
      </c>
      <c r="L943" s="15">
        <v>43722</v>
      </c>
    </row>
    <row r="944" spans="1:12" ht="21" customHeight="1" outlineLevel="2" x14ac:dyDescent="0.25">
      <c r="A944" s="16">
        <f t="shared" si="78"/>
        <v>943</v>
      </c>
      <c r="B944" s="12" t="str">
        <f t="shared" si="74"/>
        <v>ЩВ-6.5 (БЛОК 6)</v>
      </c>
      <c r="C944" s="13" t="s">
        <v>48</v>
      </c>
      <c r="D944" s="29" t="s">
        <v>242</v>
      </c>
      <c r="E944" s="12" t="s">
        <v>243</v>
      </c>
      <c r="F944" s="37">
        <v>6145</v>
      </c>
      <c r="G944" s="38">
        <f t="shared" si="77"/>
        <v>3687</v>
      </c>
      <c r="H944" s="38">
        <f>G944*I944</f>
        <v>14748</v>
      </c>
      <c r="I944" s="16">
        <v>4</v>
      </c>
      <c r="J944" s="17" t="s">
        <v>12</v>
      </c>
      <c r="K944" s="13" t="s">
        <v>16</v>
      </c>
      <c r="L944" s="15">
        <v>14748</v>
      </c>
    </row>
    <row r="945" spans="1:12" ht="24" customHeight="1" outlineLevel="2" x14ac:dyDescent="0.25">
      <c r="A945" s="12">
        <f t="shared" si="78"/>
        <v>944</v>
      </c>
      <c r="B945" s="12" t="str">
        <f t="shared" si="74"/>
        <v>ЩВ-6.5 (БЛОК 6)</v>
      </c>
      <c r="C945" s="12" t="s">
        <v>9</v>
      </c>
      <c r="D945" s="30" t="s">
        <v>9</v>
      </c>
      <c r="E945" s="12" t="s">
        <v>9</v>
      </c>
      <c r="F945" s="18">
        <f ca="1">OFFSET(F945,1,2)</f>
        <v>30000</v>
      </c>
      <c r="G945" s="38">
        <f ca="1">F945</f>
        <v>30000</v>
      </c>
      <c r="H945" s="38">
        <f t="shared" ca="1" si="76"/>
        <v>30000</v>
      </c>
      <c r="I945" s="12">
        <v>1</v>
      </c>
      <c r="J945" s="12" t="s">
        <v>12</v>
      </c>
      <c r="K945" s="12" t="s">
        <v>9</v>
      </c>
      <c r="L945" s="15">
        <v>30000</v>
      </c>
    </row>
    <row r="946" spans="1:12" ht="21" customHeight="1" outlineLevel="2" x14ac:dyDescent="0.25">
      <c r="A946" s="12">
        <f t="shared" si="78"/>
        <v>945</v>
      </c>
      <c r="B946" s="12" t="str">
        <f t="shared" si="74"/>
        <v>ЩВ-6.5 (БЛОК 6)</v>
      </c>
      <c r="C946" s="12" t="s">
        <v>10</v>
      </c>
      <c r="D946" s="30" t="s">
        <v>10</v>
      </c>
      <c r="E946" s="12" t="s">
        <v>10</v>
      </c>
      <c r="F946" s="18">
        <v>5</v>
      </c>
      <c r="G946" s="38">
        <v>100</v>
      </c>
      <c r="H946" s="38">
        <f>60*F946*G946</f>
        <v>30000</v>
      </c>
      <c r="I946" s="12">
        <f>60*F946</f>
        <v>300</v>
      </c>
      <c r="J946" s="12" t="s">
        <v>12</v>
      </c>
      <c r="K946" s="12" t="s">
        <v>10</v>
      </c>
      <c r="L946" s="15">
        <v>30000</v>
      </c>
    </row>
    <row r="947" spans="1:12" ht="21" customHeight="1" outlineLevel="1" x14ac:dyDescent="0.25">
      <c r="A947" s="12"/>
      <c r="B947" s="12" t="s">
        <v>705</v>
      </c>
      <c r="C947" s="12"/>
      <c r="D947" s="30"/>
      <c r="E947" s="12"/>
      <c r="F947" s="18"/>
      <c r="G947" s="38"/>
      <c r="H947" s="38">
        <f ca="1">SUBTOTAL(9,H929:H946)</f>
        <v>230905.4</v>
      </c>
      <c r="I947" s="12"/>
      <c r="J947" s="12"/>
      <c r="K947" s="12"/>
      <c r="L947" s="15">
        <v>230905.4</v>
      </c>
    </row>
    <row r="948" spans="1:12" ht="39.75" customHeight="1" outlineLevel="2" x14ac:dyDescent="0.25">
      <c r="A948" s="10">
        <f>ROW(A946)</f>
        <v>946</v>
      </c>
      <c r="B948" s="6" t="str">
        <f>E948</f>
        <v>ЩВ-6.6 (БЛОК 6)</v>
      </c>
      <c r="C948" s="6"/>
      <c r="D948" s="28"/>
      <c r="E948" s="6" t="s">
        <v>300</v>
      </c>
      <c r="F948" s="36"/>
      <c r="G948" s="36" t="s">
        <v>73</v>
      </c>
      <c r="H948" s="7"/>
      <c r="I948" s="10">
        <v>1</v>
      </c>
      <c r="J948" s="11" t="s">
        <v>6</v>
      </c>
      <c r="K948" s="6" t="s">
        <v>8</v>
      </c>
      <c r="L948" s="9"/>
    </row>
    <row r="949" spans="1:12" ht="21" customHeight="1" outlineLevel="2" x14ac:dyDescent="0.25">
      <c r="A949" s="16">
        <f t="shared" si="78"/>
        <v>948</v>
      </c>
      <c r="B949" s="12" t="str">
        <f t="shared" ref="B949:B960" si="79">B948</f>
        <v>ЩВ-6.6 (БЛОК 6)</v>
      </c>
      <c r="C949" s="13" t="s">
        <v>7</v>
      </c>
      <c r="D949" s="29" t="s">
        <v>474</v>
      </c>
      <c r="E949" s="12" t="s">
        <v>475</v>
      </c>
      <c r="F949" s="37">
        <v>25000</v>
      </c>
      <c r="G949" s="38">
        <f>F949*0.6</f>
        <v>15000</v>
      </c>
      <c r="H949" s="38">
        <f>I949*G949</f>
        <v>15000</v>
      </c>
      <c r="I949" s="16">
        <v>1</v>
      </c>
      <c r="J949" s="17" t="s">
        <v>12</v>
      </c>
      <c r="K949" s="13" t="s">
        <v>15</v>
      </c>
      <c r="L949" s="15">
        <v>15000</v>
      </c>
    </row>
    <row r="950" spans="1:12" ht="21" customHeight="1" outlineLevel="2" x14ac:dyDescent="0.25">
      <c r="A950" s="16">
        <f t="shared" si="78"/>
        <v>949</v>
      </c>
      <c r="B950" s="12" t="str">
        <f t="shared" si="79"/>
        <v>ЩВ-6.6 (БЛОК 6)</v>
      </c>
      <c r="C950" s="13" t="s">
        <v>11</v>
      </c>
      <c r="D950" s="29" t="s">
        <v>20</v>
      </c>
      <c r="E950" s="12" t="s">
        <v>21</v>
      </c>
      <c r="F950" s="37">
        <v>2429</v>
      </c>
      <c r="G950" s="38">
        <f t="shared" ref="G950:G958" si="80">F950*0.6</f>
        <v>1457.3999999999999</v>
      </c>
      <c r="H950" s="38">
        <f t="shared" ref="H950:H959" si="81">G950*I950</f>
        <v>1457.3999999999999</v>
      </c>
      <c r="I950" s="16">
        <v>1</v>
      </c>
      <c r="J950" s="17" t="s">
        <v>12</v>
      </c>
      <c r="K950" s="13" t="s">
        <v>16</v>
      </c>
      <c r="L950" s="15">
        <v>1457.3999999999999</v>
      </c>
    </row>
    <row r="951" spans="1:12" ht="21" customHeight="1" outlineLevel="2" x14ac:dyDescent="0.25">
      <c r="A951" s="16">
        <f t="shared" si="78"/>
        <v>950</v>
      </c>
      <c r="B951" s="12" t="str">
        <f t="shared" si="79"/>
        <v>ЩВ-6.6 (БЛОК 6)</v>
      </c>
      <c r="C951" s="13" t="s">
        <v>596</v>
      </c>
      <c r="D951" s="29" t="s">
        <v>45</v>
      </c>
      <c r="E951" s="12" t="s">
        <v>46</v>
      </c>
      <c r="F951" s="37">
        <v>5354</v>
      </c>
      <c r="G951" s="38">
        <f t="shared" si="80"/>
        <v>3212.4</v>
      </c>
      <c r="H951" s="38">
        <f t="shared" si="81"/>
        <v>3212.4</v>
      </c>
      <c r="I951" s="16">
        <v>1</v>
      </c>
      <c r="J951" s="17" t="s">
        <v>12</v>
      </c>
      <c r="K951" s="13" t="s">
        <v>16</v>
      </c>
      <c r="L951" s="15">
        <v>3212.4</v>
      </c>
    </row>
    <row r="952" spans="1:12" ht="21" customHeight="1" outlineLevel="2" x14ac:dyDescent="0.25">
      <c r="A952" s="16">
        <f t="shared" si="78"/>
        <v>951</v>
      </c>
      <c r="B952" s="12" t="str">
        <f t="shared" si="79"/>
        <v>ЩВ-6.6 (БЛОК 6)</v>
      </c>
      <c r="C952" s="13" t="s">
        <v>11</v>
      </c>
      <c r="D952" s="29" t="s">
        <v>280</v>
      </c>
      <c r="E952" s="12" t="s">
        <v>281</v>
      </c>
      <c r="F952" s="37">
        <v>2447</v>
      </c>
      <c r="G952" s="38">
        <f t="shared" si="80"/>
        <v>1468.2</v>
      </c>
      <c r="H952" s="38">
        <f t="shared" si="81"/>
        <v>5872.8</v>
      </c>
      <c r="I952" s="16">
        <v>4</v>
      </c>
      <c r="J952" s="17" t="s">
        <v>12</v>
      </c>
      <c r="K952" s="13" t="s">
        <v>16</v>
      </c>
      <c r="L952" s="15">
        <v>5872.8</v>
      </c>
    </row>
    <row r="953" spans="1:12" ht="21" customHeight="1" outlineLevel="2" x14ac:dyDescent="0.25">
      <c r="A953" s="16">
        <f t="shared" si="78"/>
        <v>952</v>
      </c>
      <c r="B953" s="12" t="str">
        <f t="shared" si="79"/>
        <v>ЩВ-6.6 (БЛОК 6)</v>
      </c>
      <c r="C953" s="13" t="s">
        <v>11</v>
      </c>
      <c r="D953" s="29" t="s">
        <v>51</v>
      </c>
      <c r="E953" s="12" t="s">
        <v>52</v>
      </c>
      <c r="F953" s="37">
        <v>2337</v>
      </c>
      <c r="G953" s="38">
        <f t="shared" si="80"/>
        <v>1402.2</v>
      </c>
      <c r="H953" s="38">
        <f t="shared" si="81"/>
        <v>2804.4</v>
      </c>
      <c r="I953" s="16">
        <v>2</v>
      </c>
      <c r="J953" s="17" t="s">
        <v>12</v>
      </c>
      <c r="K953" s="13" t="s">
        <v>16</v>
      </c>
      <c r="L953" s="15">
        <v>2804.4</v>
      </c>
    </row>
    <row r="954" spans="1:12" ht="21" customHeight="1" outlineLevel="2" x14ac:dyDescent="0.25">
      <c r="A954" s="16">
        <f t="shared" si="78"/>
        <v>953</v>
      </c>
      <c r="B954" s="12" t="str">
        <f t="shared" si="79"/>
        <v>ЩВ-6.6 (БЛОК 6)</v>
      </c>
      <c r="C954" s="13" t="s">
        <v>11</v>
      </c>
      <c r="D954" s="29" t="s">
        <v>292</v>
      </c>
      <c r="E954" s="12" t="s">
        <v>293</v>
      </c>
      <c r="F954" s="37">
        <v>783</v>
      </c>
      <c r="G954" s="38">
        <f t="shared" si="80"/>
        <v>469.79999999999995</v>
      </c>
      <c r="H954" s="38">
        <f t="shared" si="81"/>
        <v>939.59999999999991</v>
      </c>
      <c r="I954" s="16">
        <v>2</v>
      </c>
      <c r="J954" s="17" t="s">
        <v>12</v>
      </c>
      <c r="K954" s="13" t="s">
        <v>16</v>
      </c>
      <c r="L954" s="15">
        <v>939.59999999999991</v>
      </c>
    </row>
    <row r="955" spans="1:12" ht="21" customHeight="1" outlineLevel="2" x14ac:dyDescent="0.25">
      <c r="A955" s="16">
        <f t="shared" si="78"/>
        <v>954</v>
      </c>
      <c r="B955" s="12" t="str">
        <f t="shared" si="79"/>
        <v>ЩВ-6.6 (БЛОК 6)</v>
      </c>
      <c r="C955" s="13" t="s">
        <v>22</v>
      </c>
      <c r="D955" s="29" t="s">
        <v>250</v>
      </c>
      <c r="E955" s="12" t="s">
        <v>251</v>
      </c>
      <c r="F955" s="37">
        <v>8352</v>
      </c>
      <c r="G955" s="38">
        <f t="shared" si="80"/>
        <v>5011.2</v>
      </c>
      <c r="H955" s="38">
        <f t="shared" si="81"/>
        <v>5011.2</v>
      </c>
      <c r="I955" s="16">
        <v>1</v>
      </c>
      <c r="J955" s="17" t="s">
        <v>12</v>
      </c>
      <c r="K955" s="13" t="s">
        <v>16</v>
      </c>
      <c r="L955" s="15">
        <v>5011.2</v>
      </c>
    </row>
    <row r="956" spans="1:12" ht="21" customHeight="1" outlineLevel="2" x14ac:dyDescent="0.25">
      <c r="A956" s="16">
        <f t="shared" si="78"/>
        <v>955</v>
      </c>
      <c r="B956" s="12" t="str">
        <f t="shared" si="79"/>
        <v>ЩВ-6.6 (БЛОК 6)</v>
      </c>
      <c r="C956" s="13" t="s">
        <v>22</v>
      </c>
      <c r="D956" s="29" t="s">
        <v>270</v>
      </c>
      <c r="E956" s="12" t="s">
        <v>271</v>
      </c>
      <c r="F956" s="37">
        <v>5719</v>
      </c>
      <c r="G956" s="38">
        <f t="shared" si="80"/>
        <v>3431.4</v>
      </c>
      <c r="H956" s="38">
        <f t="shared" si="81"/>
        <v>6862.8</v>
      </c>
      <c r="I956" s="16">
        <v>2</v>
      </c>
      <c r="J956" s="17" t="s">
        <v>12</v>
      </c>
      <c r="K956" s="13" t="s">
        <v>16</v>
      </c>
      <c r="L956" s="15">
        <v>6862.8</v>
      </c>
    </row>
    <row r="957" spans="1:12" ht="21" customHeight="1" outlineLevel="2" x14ac:dyDescent="0.25">
      <c r="A957" s="16">
        <f t="shared" si="78"/>
        <v>956</v>
      </c>
      <c r="B957" s="12" t="str">
        <f t="shared" si="79"/>
        <v>ЩВ-6.6 (БЛОК 6)</v>
      </c>
      <c r="C957" s="13" t="s">
        <v>48</v>
      </c>
      <c r="D957" s="29" t="s">
        <v>282</v>
      </c>
      <c r="E957" s="12" t="s">
        <v>283</v>
      </c>
      <c r="F957" s="37">
        <v>12145</v>
      </c>
      <c r="G957" s="38">
        <f t="shared" si="80"/>
        <v>7287</v>
      </c>
      <c r="H957" s="38">
        <f>G957*I957</f>
        <v>43722</v>
      </c>
      <c r="I957" s="16">
        <v>6</v>
      </c>
      <c r="J957" s="17" t="s">
        <v>12</v>
      </c>
      <c r="K957" s="13" t="s">
        <v>16</v>
      </c>
      <c r="L957" s="15">
        <v>43722</v>
      </c>
    </row>
    <row r="958" spans="1:12" ht="21" customHeight="1" outlineLevel="2" x14ac:dyDescent="0.25">
      <c r="A958" s="16">
        <f t="shared" si="78"/>
        <v>957</v>
      </c>
      <c r="B958" s="12" t="str">
        <f t="shared" si="79"/>
        <v>ЩВ-6.6 (БЛОК 6)</v>
      </c>
      <c r="C958" s="13" t="s">
        <v>48</v>
      </c>
      <c r="D958" s="29" t="s">
        <v>242</v>
      </c>
      <c r="E958" s="12" t="s">
        <v>243</v>
      </c>
      <c r="F958" s="37">
        <v>6145</v>
      </c>
      <c r="G958" s="38">
        <f t="shared" si="80"/>
        <v>3687</v>
      </c>
      <c r="H958" s="38">
        <f>G958*I958</f>
        <v>7374</v>
      </c>
      <c r="I958" s="16">
        <v>2</v>
      </c>
      <c r="J958" s="17" t="s">
        <v>12</v>
      </c>
      <c r="K958" s="13" t="s">
        <v>16</v>
      </c>
      <c r="L958" s="15">
        <v>7374</v>
      </c>
    </row>
    <row r="959" spans="1:12" ht="24" customHeight="1" outlineLevel="2" x14ac:dyDescent="0.25">
      <c r="A959" s="12">
        <f t="shared" si="78"/>
        <v>958</v>
      </c>
      <c r="B959" s="12" t="str">
        <f t="shared" si="79"/>
        <v>ЩВ-6.6 (БЛОК 6)</v>
      </c>
      <c r="C959" s="12" t="s">
        <v>9</v>
      </c>
      <c r="D959" s="30" t="s">
        <v>9</v>
      </c>
      <c r="E959" s="12" t="s">
        <v>9</v>
      </c>
      <c r="F959" s="18">
        <f ca="1">OFFSET(F959,1,2)</f>
        <v>21000</v>
      </c>
      <c r="G959" s="38">
        <f ca="1">F959</f>
        <v>21000</v>
      </c>
      <c r="H959" s="38">
        <f t="shared" ca="1" si="81"/>
        <v>21000</v>
      </c>
      <c r="I959" s="12">
        <v>1</v>
      </c>
      <c r="J959" s="12" t="s">
        <v>12</v>
      </c>
      <c r="K959" s="12" t="s">
        <v>9</v>
      </c>
      <c r="L959" s="15">
        <v>21000</v>
      </c>
    </row>
    <row r="960" spans="1:12" ht="21" customHeight="1" outlineLevel="2" x14ac:dyDescent="0.25">
      <c r="A960" s="12">
        <f t="shared" si="78"/>
        <v>959</v>
      </c>
      <c r="B960" s="12" t="str">
        <f t="shared" si="79"/>
        <v>ЩВ-6.6 (БЛОК 6)</v>
      </c>
      <c r="C960" s="12" t="s">
        <v>10</v>
      </c>
      <c r="D960" s="30" t="s">
        <v>10</v>
      </c>
      <c r="E960" s="12" t="s">
        <v>10</v>
      </c>
      <c r="F960" s="18">
        <v>3.5</v>
      </c>
      <c r="G960" s="38">
        <v>100</v>
      </c>
      <c r="H960" s="38">
        <f>60*F960*G960</f>
        <v>21000</v>
      </c>
      <c r="I960" s="12">
        <f>60*F960</f>
        <v>210</v>
      </c>
      <c r="J960" s="12" t="s">
        <v>12</v>
      </c>
      <c r="K960" s="12" t="s">
        <v>10</v>
      </c>
      <c r="L960" s="15">
        <v>21000</v>
      </c>
    </row>
    <row r="961" spans="1:12" ht="21" customHeight="1" outlineLevel="1" x14ac:dyDescent="0.25">
      <c r="A961" s="12"/>
      <c r="B961" s="12" t="s">
        <v>706</v>
      </c>
      <c r="C961" s="12"/>
      <c r="D961" s="30"/>
      <c r="E961" s="12"/>
      <c r="F961" s="18"/>
      <c r="G961" s="38"/>
      <c r="H961" s="38">
        <f ca="1">SUBTOTAL(9,H948:H960)</f>
        <v>134256.6</v>
      </c>
      <c r="I961" s="12"/>
      <c r="J961" s="12"/>
      <c r="K961" s="12"/>
      <c r="L961" s="15">
        <v>134256.6</v>
      </c>
    </row>
    <row r="962" spans="1:12" ht="39.75" customHeight="1" outlineLevel="2" x14ac:dyDescent="0.25">
      <c r="A962" s="10">
        <f>ROW(A960)</f>
        <v>960</v>
      </c>
      <c r="B962" s="6" t="str">
        <f>E962</f>
        <v>ЩО-6.0 (БЛОК 6)</v>
      </c>
      <c r="C962" s="6"/>
      <c r="D962" s="28"/>
      <c r="E962" s="6" t="s">
        <v>301</v>
      </c>
      <c r="F962" s="36"/>
      <c r="G962" s="36" t="s">
        <v>73</v>
      </c>
      <c r="H962" s="7"/>
      <c r="I962" s="10">
        <v>1</v>
      </c>
      <c r="J962" s="11" t="s">
        <v>6</v>
      </c>
      <c r="K962" s="6" t="s">
        <v>8</v>
      </c>
      <c r="L962" s="9"/>
    </row>
    <row r="963" spans="1:12" ht="21" customHeight="1" outlineLevel="2" x14ac:dyDescent="0.25">
      <c r="A963" s="16">
        <f t="shared" si="78"/>
        <v>962</v>
      </c>
      <c r="B963" s="12" t="str">
        <f t="shared" ref="B963:B968" si="82">B962</f>
        <v>ЩО-6.0 (БЛОК 6)</v>
      </c>
      <c r="C963" s="13" t="s">
        <v>7</v>
      </c>
      <c r="D963" s="29" t="s">
        <v>492</v>
      </c>
      <c r="E963" s="12" t="s">
        <v>493</v>
      </c>
      <c r="F963" s="37">
        <v>9990</v>
      </c>
      <c r="G963" s="38">
        <f>F963*0.6</f>
        <v>5994</v>
      </c>
      <c r="H963" s="38">
        <f>I963*G963</f>
        <v>5994</v>
      </c>
      <c r="I963" s="16">
        <v>1</v>
      </c>
      <c r="J963" s="17" t="s">
        <v>12</v>
      </c>
      <c r="K963" s="13" t="s">
        <v>581</v>
      </c>
      <c r="L963" s="15">
        <v>5994</v>
      </c>
    </row>
    <row r="964" spans="1:12" ht="21" customHeight="1" outlineLevel="2" x14ac:dyDescent="0.25">
      <c r="A964" s="16">
        <f t="shared" si="78"/>
        <v>963</v>
      </c>
      <c r="B964" s="12" t="str">
        <f t="shared" si="82"/>
        <v>ЩО-6.0 (БЛОК 6)</v>
      </c>
      <c r="C964" s="13" t="s">
        <v>11</v>
      </c>
      <c r="D964" s="29" t="s">
        <v>273</v>
      </c>
      <c r="E964" s="12" t="s">
        <v>274</v>
      </c>
      <c r="F964" s="37">
        <v>2499</v>
      </c>
      <c r="G964" s="38">
        <f t="shared" ref="G964:G966" si="83">F964*0.6</f>
        <v>1499.3999999999999</v>
      </c>
      <c r="H964" s="38">
        <f>G964*I964</f>
        <v>1499.3999999999999</v>
      </c>
      <c r="I964" s="16">
        <v>1</v>
      </c>
      <c r="J964" s="17" t="s">
        <v>12</v>
      </c>
      <c r="K964" s="13" t="s">
        <v>16</v>
      </c>
      <c r="L964" s="15">
        <v>1499.3999999999999</v>
      </c>
    </row>
    <row r="965" spans="1:12" ht="21" customHeight="1" outlineLevel="2" x14ac:dyDescent="0.25">
      <c r="A965" s="16">
        <f t="shared" si="78"/>
        <v>964</v>
      </c>
      <c r="B965" s="12" t="str">
        <f t="shared" si="82"/>
        <v>ЩО-6.0 (БЛОК 6)</v>
      </c>
      <c r="C965" s="13" t="s">
        <v>11</v>
      </c>
      <c r="D965" s="29" t="s">
        <v>51</v>
      </c>
      <c r="E965" s="12" t="s">
        <v>52</v>
      </c>
      <c r="F965" s="37">
        <v>2337</v>
      </c>
      <c r="G965" s="38">
        <f t="shared" si="83"/>
        <v>1402.2</v>
      </c>
      <c r="H965" s="38">
        <f>G965*I965</f>
        <v>1402.2</v>
      </c>
      <c r="I965" s="16">
        <v>1</v>
      </c>
      <c r="J965" s="17" t="s">
        <v>12</v>
      </c>
      <c r="K965" s="13" t="s">
        <v>16</v>
      </c>
      <c r="L965" s="15">
        <v>1402.2</v>
      </c>
    </row>
    <row r="966" spans="1:12" ht="21" customHeight="1" outlineLevel="2" x14ac:dyDescent="0.25">
      <c r="A966" s="16">
        <f t="shared" si="78"/>
        <v>965</v>
      </c>
      <c r="B966" s="12" t="str">
        <f t="shared" si="82"/>
        <v>ЩО-6.0 (БЛОК 6)</v>
      </c>
      <c r="C966" s="13" t="s">
        <v>11</v>
      </c>
      <c r="D966" s="29" t="s">
        <v>292</v>
      </c>
      <c r="E966" s="12" t="s">
        <v>293</v>
      </c>
      <c r="F966" s="37">
        <v>783</v>
      </c>
      <c r="G966" s="38">
        <f t="shared" si="83"/>
        <v>469.79999999999995</v>
      </c>
      <c r="H966" s="38">
        <f>G966*I966</f>
        <v>4228.2</v>
      </c>
      <c r="I966" s="16">
        <v>9</v>
      </c>
      <c r="J966" s="17" t="s">
        <v>12</v>
      </c>
      <c r="K966" s="13" t="s">
        <v>16</v>
      </c>
      <c r="L966" s="15">
        <v>4228.2</v>
      </c>
    </row>
    <row r="967" spans="1:12" ht="24" customHeight="1" outlineLevel="2" x14ac:dyDescent="0.25">
      <c r="A967" s="12">
        <f t="shared" si="78"/>
        <v>966</v>
      </c>
      <c r="B967" s="12" t="str">
        <f t="shared" si="82"/>
        <v>ЩО-6.0 (БЛОК 6)</v>
      </c>
      <c r="C967" s="12" t="s">
        <v>9</v>
      </c>
      <c r="D967" s="30" t="s">
        <v>9</v>
      </c>
      <c r="E967" s="12" t="s">
        <v>9</v>
      </c>
      <c r="F967" s="18">
        <f ca="1">OFFSET(F967,1,2)</f>
        <v>4200</v>
      </c>
      <c r="G967" s="38">
        <f ca="1">F967</f>
        <v>4200</v>
      </c>
      <c r="H967" s="38">
        <f ca="1">G967*I967</f>
        <v>4200</v>
      </c>
      <c r="I967" s="12">
        <v>1</v>
      </c>
      <c r="J967" s="12" t="s">
        <v>12</v>
      </c>
      <c r="K967" s="12" t="s">
        <v>9</v>
      </c>
      <c r="L967" s="15">
        <v>4200</v>
      </c>
    </row>
    <row r="968" spans="1:12" ht="21" customHeight="1" outlineLevel="2" x14ac:dyDescent="0.25">
      <c r="A968" s="12">
        <f t="shared" si="78"/>
        <v>967</v>
      </c>
      <c r="B968" s="12" t="str">
        <f t="shared" si="82"/>
        <v>ЩО-6.0 (БЛОК 6)</v>
      </c>
      <c r="C968" s="12" t="s">
        <v>10</v>
      </c>
      <c r="D968" s="30" t="s">
        <v>10</v>
      </c>
      <c r="E968" s="12" t="s">
        <v>10</v>
      </c>
      <c r="F968" s="18">
        <v>0.7</v>
      </c>
      <c r="G968" s="38">
        <v>100</v>
      </c>
      <c r="H968" s="38">
        <f>60*F968*G968</f>
        <v>4200</v>
      </c>
      <c r="I968" s="12">
        <f>60*F968</f>
        <v>42</v>
      </c>
      <c r="J968" s="12" t="s">
        <v>12</v>
      </c>
      <c r="K968" s="12" t="s">
        <v>10</v>
      </c>
      <c r="L968" s="15">
        <v>4200</v>
      </c>
    </row>
    <row r="969" spans="1:12" ht="21" customHeight="1" outlineLevel="1" x14ac:dyDescent="0.25">
      <c r="A969" s="12"/>
      <c r="B969" s="12" t="s">
        <v>707</v>
      </c>
      <c r="C969" s="12"/>
      <c r="D969" s="30"/>
      <c r="E969" s="12"/>
      <c r="F969" s="18"/>
      <c r="G969" s="38"/>
      <c r="H969" s="38">
        <f ca="1">SUBTOTAL(9,H962:H968)</f>
        <v>21523.8</v>
      </c>
      <c r="I969" s="12"/>
      <c r="J969" s="12"/>
      <c r="K969" s="12"/>
      <c r="L969" s="15">
        <v>21523.8</v>
      </c>
    </row>
    <row r="970" spans="1:12" ht="39.75" customHeight="1" outlineLevel="2" x14ac:dyDescent="0.25">
      <c r="A970" s="10">
        <f>ROW(A968)</f>
        <v>968</v>
      </c>
      <c r="B970" s="6" t="str">
        <f>E970</f>
        <v>ЩО-6.1 (БЛОК 6)</v>
      </c>
      <c r="C970" s="6"/>
      <c r="D970" s="28"/>
      <c r="E970" s="6" t="s">
        <v>302</v>
      </c>
      <c r="F970" s="36"/>
      <c r="G970" s="36" t="s">
        <v>73</v>
      </c>
      <c r="H970" s="7"/>
      <c r="I970" s="10">
        <v>1</v>
      </c>
      <c r="J970" s="11" t="s">
        <v>6</v>
      </c>
      <c r="K970" s="6" t="s">
        <v>8</v>
      </c>
      <c r="L970" s="9"/>
    </row>
    <row r="971" spans="1:12" ht="21" customHeight="1" outlineLevel="2" x14ac:dyDescent="0.25">
      <c r="A971" s="16">
        <f t="shared" si="78"/>
        <v>970</v>
      </c>
      <c r="B971" s="12" t="str">
        <f t="shared" ref="B971:B976" si="84">B970</f>
        <v>ЩО-6.1 (БЛОК 6)</v>
      </c>
      <c r="C971" s="13" t="s">
        <v>7</v>
      </c>
      <c r="D971" s="29" t="s">
        <v>492</v>
      </c>
      <c r="E971" s="12" t="s">
        <v>493</v>
      </c>
      <c r="F971" s="37">
        <v>9990</v>
      </c>
      <c r="G971" s="38">
        <f>F971*0.6</f>
        <v>5994</v>
      </c>
      <c r="H971" s="38">
        <f>I971*G971</f>
        <v>5994</v>
      </c>
      <c r="I971" s="16">
        <v>1</v>
      </c>
      <c r="J971" s="17" t="s">
        <v>12</v>
      </c>
      <c r="K971" s="13" t="s">
        <v>581</v>
      </c>
      <c r="L971" s="15">
        <v>5994</v>
      </c>
    </row>
    <row r="972" spans="1:12" ht="21" customHeight="1" outlineLevel="2" x14ac:dyDescent="0.25">
      <c r="A972" s="16">
        <f t="shared" si="78"/>
        <v>971</v>
      </c>
      <c r="B972" s="12" t="str">
        <f t="shared" si="84"/>
        <v>ЩО-6.1 (БЛОК 6)</v>
      </c>
      <c r="C972" s="13" t="s">
        <v>11</v>
      </c>
      <c r="D972" s="29" t="s">
        <v>273</v>
      </c>
      <c r="E972" s="12" t="s">
        <v>274</v>
      </c>
      <c r="F972" s="37">
        <v>2499</v>
      </c>
      <c r="G972" s="38">
        <f t="shared" ref="G972:G974" si="85">F972*0.6</f>
        <v>1499.3999999999999</v>
      </c>
      <c r="H972" s="38">
        <f>G972*I972</f>
        <v>1499.3999999999999</v>
      </c>
      <c r="I972" s="16">
        <v>1</v>
      </c>
      <c r="J972" s="17" t="s">
        <v>12</v>
      </c>
      <c r="K972" s="13" t="s">
        <v>16</v>
      </c>
      <c r="L972" s="15">
        <v>1499.3999999999999</v>
      </c>
    </row>
    <row r="973" spans="1:12" ht="21" customHeight="1" outlineLevel="2" x14ac:dyDescent="0.25">
      <c r="A973" s="16">
        <f t="shared" si="78"/>
        <v>972</v>
      </c>
      <c r="B973" s="12" t="str">
        <f t="shared" si="84"/>
        <v>ЩО-6.1 (БЛОК 6)</v>
      </c>
      <c r="C973" s="13" t="s">
        <v>11</v>
      </c>
      <c r="D973" s="29" t="s">
        <v>51</v>
      </c>
      <c r="E973" s="12" t="s">
        <v>52</v>
      </c>
      <c r="F973" s="37">
        <v>2337</v>
      </c>
      <c r="G973" s="38">
        <f t="shared" si="85"/>
        <v>1402.2</v>
      </c>
      <c r="H973" s="38">
        <f>G973*I973</f>
        <v>1402.2</v>
      </c>
      <c r="I973" s="16">
        <v>1</v>
      </c>
      <c r="J973" s="17" t="s">
        <v>12</v>
      </c>
      <c r="K973" s="13" t="s">
        <v>16</v>
      </c>
      <c r="L973" s="15">
        <v>1402.2</v>
      </c>
    </row>
    <row r="974" spans="1:12" ht="21" customHeight="1" outlineLevel="2" x14ac:dyDescent="0.25">
      <c r="A974" s="16">
        <f t="shared" si="78"/>
        <v>973</v>
      </c>
      <c r="B974" s="12" t="str">
        <f t="shared" si="84"/>
        <v>ЩО-6.1 (БЛОК 6)</v>
      </c>
      <c r="C974" s="13" t="s">
        <v>11</v>
      </c>
      <c r="D974" s="29" t="s">
        <v>292</v>
      </c>
      <c r="E974" s="12" t="s">
        <v>293</v>
      </c>
      <c r="F974" s="37">
        <v>783</v>
      </c>
      <c r="G974" s="38">
        <f t="shared" si="85"/>
        <v>469.79999999999995</v>
      </c>
      <c r="H974" s="38">
        <f>G974*I974</f>
        <v>3288.5999999999995</v>
      </c>
      <c r="I974" s="16">
        <v>7</v>
      </c>
      <c r="J974" s="17" t="s">
        <v>12</v>
      </c>
      <c r="K974" s="13" t="s">
        <v>16</v>
      </c>
      <c r="L974" s="15">
        <v>3288.5999999999995</v>
      </c>
    </row>
    <row r="975" spans="1:12" ht="24" customHeight="1" outlineLevel="2" x14ac:dyDescent="0.25">
      <c r="A975" s="12">
        <f t="shared" si="78"/>
        <v>974</v>
      </c>
      <c r="B975" s="12" t="str">
        <f t="shared" si="84"/>
        <v>ЩО-6.1 (БЛОК 6)</v>
      </c>
      <c r="C975" s="12" t="s">
        <v>9</v>
      </c>
      <c r="D975" s="30" t="s">
        <v>9</v>
      </c>
      <c r="E975" s="12" t="s">
        <v>9</v>
      </c>
      <c r="F975" s="18">
        <f ca="1">OFFSET(F975,1,2)</f>
        <v>4200</v>
      </c>
      <c r="G975" s="38">
        <f ca="1">F975</f>
        <v>4200</v>
      </c>
      <c r="H975" s="38">
        <f ca="1">G975*I975</f>
        <v>4200</v>
      </c>
      <c r="I975" s="12">
        <v>1</v>
      </c>
      <c r="J975" s="12" t="s">
        <v>12</v>
      </c>
      <c r="K975" s="12" t="s">
        <v>9</v>
      </c>
      <c r="L975" s="15">
        <v>4200</v>
      </c>
    </row>
    <row r="976" spans="1:12" ht="21" customHeight="1" outlineLevel="2" x14ac:dyDescent="0.25">
      <c r="A976" s="12">
        <f t="shared" si="78"/>
        <v>975</v>
      </c>
      <c r="B976" s="12" t="str">
        <f t="shared" si="84"/>
        <v>ЩО-6.1 (БЛОК 6)</v>
      </c>
      <c r="C976" s="12" t="s">
        <v>10</v>
      </c>
      <c r="D976" s="30" t="s">
        <v>10</v>
      </c>
      <c r="E976" s="12" t="s">
        <v>10</v>
      </c>
      <c r="F976" s="18">
        <v>0.7</v>
      </c>
      <c r="G976" s="38">
        <v>100</v>
      </c>
      <c r="H976" s="38">
        <f>60*F976*G976</f>
        <v>4200</v>
      </c>
      <c r="I976" s="12">
        <f>60*F976</f>
        <v>42</v>
      </c>
      <c r="J976" s="12" t="s">
        <v>12</v>
      </c>
      <c r="K976" s="12" t="s">
        <v>10</v>
      </c>
      <c r="L976" s="15">
        <v>4200</v>
      </c>
    </row>
    <row r="977" spans="1:12" ht="21" customHeight="1" outlineLevel="1" x14ac:dyDescent="0.25">
      <c r="A977" s="12"/>
      <c r="B977" s="12" t="s">
        <v>708</v>
      </c>
      <c r="C977" s="12"/>
      <c r="D977" s="30"/>
      <c r="E977" s="12"/>
      <c r="F977" s="18"/>
      <c r="G977" s="38"/>
      <c r="H977" s="38">
        <f ca="1">SUBTOTAL(9,H970:H976)</f>
        <v>20584.2</v>
      </c>
      <c r="I977" s="12"/>
      <c r="J977" s="12"/>
      <c r="K977" s="12"/>
      <c r="L977" s="15">
        <v>20584.2</v>
      </c>
    </row>
    <row r="978" spans="1:12" ht="39.75" customHeight="1" outlineLevel="2" x14ac:dyDescent="0.25">
      <c r="A978" s="10">
        <f>ROW(A976)</f>
        <v>976</v>
      </c>
      <c r="B978" s="6" t="str">
        <f>E978</f>
        <v>ЩО-6.2 (БЛОК 6)</v>
      </c>
      <c r="C978" s="6"/>
      <c r="D978" s="28"/>
      <c r="E978" s="6" t="s">
        <v>303</v>
      </c>
      <c r="F978" s="36"/>
      <c r="G978" s="36" t="s">
        <v>73</v>
      </c>
      <c r="H978" s="7"/>
      <c r="I978" s="10">
        <v>1</v>
      </c>
      <c r="J978" s="11" t="s">
        <v>6</v>
      </c>
      <c r="K978" s="6" t="s">
        <v>8</v>
      </c>
      <c r="L978" s="9"/>
    </row>
    <row r="979" spans="1:12" ht="21" customHeight="1" outlineLevel="2" x14ac:dyDescent="0.25">
      <c r="A979" s="16">
        <f t="shared" si="78"/>
        <v>978</v>
      </c>
      <c r="B979" s="12" t="str">
        <f t="shared" ref="B979:B984" si="86">B978</f>
        <v>ЩО-6.2 (БЛОК 6)</v>
      </c>
      <c r="C979" s="13" t="s">
        <v>7</v>
      </c>
      <c r="D979" s="29" t="s">
        <v>492</v>
      </c>
      <c r="E979" s="12" t="s">
        <v>493</v>
      </c>
      <c r="F979" s="37">
        <v>9990</v>
      </c>
      <c r="G979" s="38">
        <f>F979*0.6</f>
        <v>5994</v>
      </c>
      <c r="H979" s="38">
        <f>I979*G979</f>
        <v>5994</v>
      </c>
      <c r="I979" s="16">
        <v>1</v>
      </c>
      <c r="J979" s="17" t="s">
        <v>12</v>
      </c>
      <c r="K979" s="13" t="s">
        <v>581</v>
      </c>
      <c r="L979" s="15">
        <v>5994</v>
      </c>
    </row>
    <row r="980" spans="1:12" ht="21" customHeight="1" outlineLevel="2" x14ac:dyDescent="0.25">
      <c r="A980" s="16">
        <f t="shared" si="78"/>
        <v>979</v>
      </c>
      <c r="B980" s="12" t="str">
        <f t="shared" si="86"/>
        <v>ЩО-6.2 (БЛОК 6)</v>
      </c>
      <c r="C980" s="13" t="s">
        <v>11</v>
      </c>
      <c r="D980" s="29" t="s">
        <v>273</v>
      </c>
      <c r="E980" s="12" t="s">
        <v>274</v>
      </c>
      <c r="F980" s="37">
        <v>2499</v>
      </c>
      <c r="G980" s="38">
        <f t="shared" ref="G980:G982" si="87">F980*0.6</f>
        <v>1499.3999999999999</v>
      </c>
      <c r="H980" s="38">
        <f>G980*I980</f>
        <v>1499.3999999999999</v>
      </c>
      <c r="I980" s="16">
        <v>1</v>
      </c>
      <c r="J980" s="17" t="s">
        <v>12</v>
      </c>
      <c r="K980" s="13" t="s">
        <v>16</v>
      </c>
      <c r="L980" s="15">
        <v>1499.3999999999999</v>
      </c>
    </row>
    <row r="981" spans="1:12" ht="21" customHeight="1" outlineLevel="2" x14ac:dyDescent="0.25">
      <c r="A981" s="16">
        <f t="shared" si="78"/>
        <v>980</v>
      </c>
      <c r="B981" s="12" t="str">
        <f t="shared" si="86"/>
        <v>ЩО-6.2 (БЛОК 6)</v>
      </c>
      <c r="C981" s="13" t="s">
        <v>11</v>
      </c>
      <c r="D981" s="29" t="s">
        <v>51</v>
      </c>
      <c r="E981" s="12" t="s">
        <v>52</v>
      </c>
      <c r="F981" s="37">
        <v>2337</v>
      </c>
      <c r="G981" s="38">
        <f t="shared" si="87"/>
        <v>1402.2</v>
      </c>
      <c r="H981" s="38">
        <f>G981*I981</f>
        <v>1402.2</v>
      </c>
      <c r="I981" s="16">
        <v>1</v>
      </c>
      <c r="J981" s="17" t="s">
        <v>12</v>
      </c>
      <c r="K981" s="13" t="s">
        <v>16</v>
      </c>
      <c r="L981" s="15">
        <v>1402.2</v>
      </c>
    </row>
    <row r="982" spans="1:12" ht="21" customHeight="1" outlineLevel="2" x14ac:dyDescent="0.25">
      <c r="A982" s="16">
        <f t="shared" si="78"/>
        <v>981</v>
      </c>
      <c r="B982" s="12" t="str">
        <f t="shared" si="86"/>
        <v>ЩО-6.2 (БЛОК 6)</v>
      </c>
      <c r="C982" s="13" t="s">
        <v>11</v>
      </c>
      <c r="D982" s="29" t="s">
        <v>292</v>
      </c>
      <c r="E982" s="12" t="s">
        <v>293</v>
      </c>
      <c r="F982" s="37">
        <v>783</v>
      </c>
      <c r="G982" s="38">
        <f t="shared" si="87"/>
        <v>469.79999999999995</v>
      </c>
      <c r="H982" s="38">
        <f>G982*I982</f>
        <v>3758.3999999999996</v>
      </c>
      <c r="I982" s="16">
        <v>8</v>
      </c>
      <c r="J982" s="17" t="s">
        <v>12</v>
      </c>
      <c r="K982" s="13" t="s">
        <v>16</v>
      </c>
      <c r="L982" s="15">
        <v>3758.3999999999996</v>
      </c>
    </row>
    <row r="983" spans="1:12" ht="24" customHeight="1" outlineLevel="2" x14ac:dyDescent="0.25">
      <c r="A983" s="12">
        <f t="shared" si="78"/>
        <v>982</v>
      </c>
      <c r="B983" s="12" t="str">
        <f t="shared" si="86"/>
        <v>ЩО-6.2 (БЛОК 6)</v>
      </c>
      <c r="C983" s="12" t="s">
        <v>9</v>
      </c>
      <c r="D983" s="30" t="s">
        <v>9</v>
      </c>
      <c r="E983" s="12" t="s">
        <v>9</v>
      </c>
      <c r="F983" s="18">
        <f ca="1">OFFSET(F983,1,2)</f>
        <v>4200</v>
      </c>
      <c r="G983" s="38">
        <f ca="1">F983</f>
        <v>4200</v>
      </c>
      <c r="H983" s="38">
        <f ca="1">G983*I983</f>
        <v>4200</v>
      </c>
      <c r="I983" s="12">
        <v>1</v>
      </c>
      <c r="J983" s="12" t="s">
        <v>12</v>
      </c>
      <c r="K983" s="12" t="s">
        <v>9</v>
      </c>
      <c r="L983" s="15">
        <v>4200</v>
      </c>
    </row>
    <row r="984" spans="1:12" ht="21" customHeight="1" outlineLevel="2" x14ac:dyDescent="0.25">
      <c r="A984" s="12">
        <f t="shared" si="78"/>
        <v>983</v>
      </c>
      <c r="B984" s="12" t="str">
        <f t="shared" si="86"/>
        <v>ЩО-6.2 (БЛОК 6)</v>
      </c>
      <c r="C984" s="12" t="s">
        <v>10</v>
      </c>
      <c r="D984" s="30" t="s">
        <v>10</v>
      </c>
      <c r="E984" s="12" t="s">
        <v>10</v>
      </c>
      <c r="F984" s="18">
        <v>0.7</v>
      </c>
      <c r="G984" s="38">
        <v>100</v>
      </c>
      <c r="H984" s="38">
        <f>60*F984*G984</f>
        <v>4200</v>
      </c>
      <c r="I984" s="12">
        <f>60*F984</f>
        <v>42</v>
      </c>
      <c r="J984" s="12" t="s">
        <v>12</v>
      </c>
      <c r="K984" s="12" t="s">
        <v>10</v>
      </c>
      <c r="L984" s="15">
        <v>4200</v>
      </c>
    </row>
    <row r="985" spans="1:12" ht="21" customHeight="1" outlineLevel="1" x14ac:dyDescent="0.25">
      <c r="A985" s="12"/>
      <c r="B985" s="12" t="s">
        <v>709</v>
      </c>
      <c r="C985" s="12"/>
      <c r="D985" s="30"/>
      <c r="E985" s="12"/>
      <c r="F985" s="18"/>
      <c r="G985" s="38"/>
      <c r="H985" s="38">
        <f ca="1">SUBTOTAL(9,H978:H984)</f>
        <v>21054</v>
      </c>
      <c r="I985" s="12"/>
      <c r="J985" s="12"/>
      <c r="K985" s="12"/>
      <c r="L985" s="15">
        <v>21054</v>
      </c>
    </row>
    <row r="986" spans="1:12" ht="39.75" customHeight="1" outlineLevel="2" x14ac:dyDescent="0.25">
      <c r="A986" s="10">
        <f>ROW(A984)</f>
        <v>984</v>
      </c>
      <c r="B986" s="6" t="str">
        <f>E986</f>
        <v>ЩО-6.3 (БЛОК 6)</v>
      </c>
      <c r="C986" s="6"/>
      <c r="D986" s="28"/>
      <c r="E986" s="6" t="s">
        <v>304</v>
      </c>
      <c r="F986" s="36"/>
      <c r="G986" s="36" t="s">
        <v>73</v>
      </c>
      <c r="H986" s="7"/>
      <c r="I986" s="10">
        <v>1</v>
      </c>
      <c r="J986" s="11" t="s">
        <v>6</v>
      </c>
      <c r="K986" s="6" t="s">
        <v>8</v>
      </c>
      <c r="L986" s="9"/>
    </row>
    <row r="987" spans="1:12" ht="21" customHeight="1" outlineLevel="2" x14ac:dyDescent="0.25">
      <c r="A987" s="16">
        <f t="shared" si="78"/>
        <v>986</v>
      </c>
      <c r="B987" s="12" t="str">
        <f t="shared" ref="B987:B992" si="88">B986</f>
        <v>ЩО-6.3 (БЛОК 6)</v>
      </c>
      <c r="C987" s="13" t="s">
        <v>7</v>
      </c>
      <c r="D987" s="29" t="s">
        <v>492</v>
      </c>
      <c r="E987" s="12" t="s">
        <v>493</v>
      </c>
      <c r="F987" s="37">
        <v>9990</v>
      </c>
      <c r="G987" s="38">
        <f>F987*0.6</f>
        <v>5994</v>
      </c>
      <c r="H987" s="38">
        <f>I987*G987</f>
        <v>5994</v>
      </c>
      <c r="I987" s="16">
        <v>1</v>
      </c>
      <c r="J987" s="17" t="s">
        <v>12</v>
      </c>
      <c r="K987" s="13" t="s">
        <v>581</v>
      </c>
      <c r="L987" s="15">
        <v>5994</v>
      </c>
    </row>
    <row r="988" spans="1:12" ht="21" customHeight="1" outlineLevel="2" x14ac:dyDescent="0.25">
      <c r="A988" s="16">
        <f t="shared" si="78"/>
        <v>987</v>
      </c>
      <c r="B988" s="12" t="str">
        <f t="shared" si="88"/>
        <v>ЩО-6.3 (БЛОК 6)</v>
      </c>
      <c r="C988" s="13" t="s">
        <v>11</v>
      </c>
      <c r="D988" s="29" t="s">
        <v>273</v>
      </c>
      <c r="E988" s="12" t="s">
        <v>274</v>
      </c>
      <c r="F988" s="37">
        <v>2499</v>
      </c>
      <c r="G988" s="38">
        <f t="shared" ref="G988:G990" si="89">F988*0.6</f>
        <v>1499.3999999999999</v>
      </c>
      <c r="H988" s="38">
        <f>G988*I988</f>
        <v>1499.3999999999999</v>
      </c>
      <c r="I988" s="16">
        <v>1</v>
      </c>
      <c r="J988" s="17" t="s">
        <v>12</v>
      </c>
      <c r="K988" s="13" t="s">
        <v>16</v>
      </c>
      <c r="L988" s="15">
        <v>1499.3999999999999</v>
      </c>
    </row>
    <row r="989" spans="1:12" ht="21" customHeight="1" outlineLevel="2" x14ac:dyDescent="0.25">
      <c r="A989" s="16">
        <f t="shared" si="78"/>
        <v>988</v>
      </c>
      <c r="B989" s="12" t="str">
        <f t="shared" si="88"/>
        <v>ЩО-6.3 (БЛОК 6)</v>
      </c>
      <c r="C989" s="13" t="s">
        <v>11</v>
      </c>
      <c r="D989" s="29" t="s">
        <v>51</v>
      </c>
      <c r="E989" s="12" t="s">
        <v>52</v>
      </c>
      <c r="F989" s="37">
        <v>2337</v>
      </c>
      <c r="G989" s="38">
        <f t="shared" si="89"/>
        <v>1402.2</v>
      </c>
      <c r="H989" s="38">
        <f>G989*I989</f>
        <v>1402.2</v>
      </c>
      <c r="I989" s="16">
        <v>1</v>
      </c>
      <c r="J989" s="17" t="s">
        <v>12</v>
      </c>
      <c r="K989" s="13" t="s">
        <v>16</v>
      </c>
      <c r="L989" s="15">
        <v>1402.2</v>
      </c>
    </row>
    <row r="990" spans="1:12" ht="21" customHeight="1" outlineLevel="2" x14ac:dyDescent="0.25">
      <c r="A990" s="16">
        <f t="shared" si="78"/>
        <v>989</v>
      </c>
      <c r="B990" s="12" t="str">
        <f t="shared" si="88"/>
        <v>ЩО-6.3 (БЛОК 6)</v>
      </c>
      <c r="C990" s="13" t="s">
        <v>11</v>
      </c>
      <c r="D990" s="29" t="s">
        <v>292</v>
      </c>
      <c r="E990" s="12" t="s">
        <v>293</v>
      </c>
      <c r="F990" s="37">
        <v>783</v>
      </c>
      <c r="G990" s="38">
        <f t="shared" si="89"/>
        <v>469.79999999999995</v>
      </c>
      <c r="H990" s="38">
        <f>G990*I990</f>
        <v>3758.3999999999996</v>
      </c>
      <c r="I990" s="16">
        <v>8</v>
      </c>
      <c r="J990" s="17" t="s">
        <v>12</v>
      </c>
      <c r="K990" s="13" t="s">
        <v>16</v>
      </c>
      <c r="L990" s="15">
        <v>3758.3999999999996</v>
      </c>
    </row>
    <row r="991" spans="1:12" ht="24" customHeight="1" outlineLevel="2" x14ac:dyDescent="0.25">
      <c r="A991" s="12">
        <f t="shared" si="78"/>
        <v>990</v>
      </c>
      <c r="B991" s="12" t="str">
        <f t="shared" si="88"/>
        <v>ЩО-6.3 (БЛОК 6)</v>
      </c>
      <c r="C991" s="12" t="s">
        <v>9</v>
      </c>
      <c r="D991" s="30" t="s">
        <v>9</v>
      </c>
      <c r="E991" s="12" t="s">
        <v>9</v>
      </c>
      <c r="F991" s="18">
        <f ca="1">OFFSET(F991,1,2)</f>
        <v>4200</v>
      </c>
      <c r="G991" s="38">
        <f ca="1">F991</f>
        <v>4200</v>
      </c>
      <c r="H991" s="38">
        <f ca="1">G991*I991</f>
        <v>4200</v>
      </c>
      <c r="I991" s="12">
        <v>1</v>
      </c>
      <c r="J991" s="12" t="s">
        <v>12</v>
      </c>
      <c r="K991" s="12" t="s">
        <v>9</v>
      </c>
      <c r="L991" s="15">
        <v>4200</v>
      </c>
    </row>
    <row r="992" spans="1:12" ht="21" customHeight="1" outlineLevel="2" x14ac:dyDescent="0.25">
      <c r="A992" s="12">
        <f t="shared" si="78"/>
        <v>991</v>
      </c>
      <c r="B992" s="12" t="str">
        <f t="shared" si="88"/>
        <v>ЩО-6.3 (БЛОК 6)</v>
      </c>
      <c r="C992" s="12" t="s">
        <v>10</v>
      </c>
      <c r="D992" s="30" t="s">
        <v>10</v>
      </c>
      <c r="E992" s="12" t="s">
        <v>10</v>
      </c>
      <c r="F992" s="18">
        <v>0.7</v>
      </c>
      <c r="G992" s="38">
        <v>100</v>
      </c>
      <c r="H992" s="38">
        <f>60*F992*G992</f>
        <v>4200</v>
      </c>
      <c r="I992" s="12">
        <f>60*F992</f>
        <v>42</v>
      </c>
      <c r="J992" s="12" t="s">
        <v>12</v>
      </c>
      <c r="K992" s="12" t="s">
        <v>10</v>
      </c>
      <c r="L992" s="15">
        <v>4200</v>
      </c>
    </row>
    <row r="993" spans="1:12" ht="21" customHeight="1" outlineLevel="1" x14ac:dyDescent="0.25">
      <c r="A993" s="12"/>
      <c r="B993" s="12" t="s">
        <v>710</v>
      </c>
      <c r="C993" s="12"/>
      <c r="D993" s="30"/>
      <c r="E993" s="12"/>
      <c r="F993" s="18"/>
      <c r="G993" s="38"/>
      <c r="H993" s="38">
        <f ca="1">SUBTOTAL(9,H986:H992)</f>
        <v>21054</v>
      </c>
      <c r="I993" s="12"/>
      <c r="J993" s="12"/>
      <c r="K993" s="12"/>
      <c r="L993" s="15">
        <v>21054</v>
      </c>
    </row>
    <row r="994" spans="1:12" ht="39.75" customHeight="1" outlineLevel="2" x14ac:dyDescent="0.25">
      <c r="A994" s="10">
        <f>ROW(A992)</f>
        <v>992</v>
      </c>
      <c r="B994" s="6" t="str">
        <f>E994</f>
        <v>ЩО-6.4 (БЛОК 6)</v>
      </c>
      <c r="C994" s="6"/>
      <c r="D994" s="28"/>
      <c r="E994" s="6" t="s">
        <v>305</v>
      </c>
      <c r="F994" s="36"/>
      <c r="G994" s="36" t="s">
        <v>73</v>
      </c>
      <c r="H994" s="7"/>
      <c r="I994" s="10">
        <v>1</v>
      </c>
      <c r="J994" s="11" t="s">
        <v>6</v>
      </c>
      <c r="K994" s="6" t="s">
        <v>8</v>
      </c>
      <c r="L994" s="9"/>
    </row>
    <row r="995" spans="1:12" ht="21" customHeight="1" outlineLevel="2" x14ac:dyDescent="0.25">
      <c r="A995" s="16">
        <f t="shared" si="78"/>
        <v>994</v>
      </c>
      <c r="B995" s="12" t="str">
        <f t="shared" ref="B995:B1000" si="90">B994</f>
        <v>ЩО-6.4 (БЛОК 6)</v>
      </c>
      <c r="C995" s="13" t="s">
        <v>7</v>
      </c>
      <c r="D995" s="29" t="s">
        <v>492</v>
      </c>
      <c r="E995" s="12" t="s">
        <v>493</v>
      </c>
      <c r="F995" s="37">
        <v>9990</v>
      </c>
      <c r="G995" s="38">
        <f>F995*0.6</f>
        <v>5994</v>
      </c>
      <c r="H995" s="38">
        <f>I995*G995</f>
        <v>5994</v>
      </c>
      <c r="I995" s="16">
        <v>1</v>
      </c>
      <c r="J995" s="17" t="s">
        <v>12</v>
      </c>
      <c r="K995" s="13" t="s">
        <v>581</v>
      </c>
      <c r="L995" s="15">
        <v>5994</v>
      </c>
    </row>
    <row r="996" spans="1:12" ht="21" customHeight="1" outlineLevel="2" x14ac:dyDescent="0.25">
      <c r="A996" s="16">
        <f t="shared" si="78"/>
        <v>995</v>
      </c>
      <c r="B996" s="12" t="str">
        <f t="shared" si="90"/>
        <v>ЩО-6.4 (БЛОК 6)</v>
      </c>
      <c r="C996" s="13" t="s">
        <v>11</v>
      </c>
      <c r="D996" s="29" t="s">
        <v>273</v>
      </c>
      <c r="E996" s="12" t="s">
        <v>274</v>
      </c>
      <c r="F996" s="37">
        <v>2499</v>
      </c>
      <c r="G996" s="38">
        <f t="shared" ref="G996:G998" si="91">F996*0.6</f>
        <v>1499.3999999999999</v>
      </c>
      <c r="H996" s="38">
        <f>G996*I996</f>
        <v>1499.3999999999999</v>
      </c>
      <c r="I996" s="16">
        <v>1</v>
      </c>
      <c r="J996" s="17" t="s">
        <v>12</v>
      </c>
      <c r="K996" s="13" t="s">
        <v>16</v>
      </c>
      <c r="L996" s="15">
        <v>1499.3999999999999</v>
      </c>
    </row>
    <row r="997" spans="1:12" ht="21" customHeight="1" outlineLevel="2" x14ac:dyDescent="0.25">
      <c r="A997" s="16">
        <f t="shared" si="78"/>
        <v>996</v>
      </c>
      <c r="B997" s="12" t="str">
        <f t="shared" si="90"/>
        <v>ЩО-6.4 (БЛОК 6)</v>
      </c>
      <c r="C997" s="13" t="s">
        <v>11</v>
      </c>
      <c r="D997" s="29" t="s">
        <v>51</v>
      </c>
      <c r="E997" s="12" t="s">
        <v>52</v>
      </c>
      <c r="F997" s="37">
        <v>2337</v>
      </c>
      <c r="G997" s="38">
        <f t="shared" si="91"/>
        <v>1402.2</v>
      </c>
      <c r="H997" s="38">
        <f>G997*I997</f>
        <v>1402.2</v>
      </c>
      <c r="I997" s="16">
        <v>1</v>
      </c>
      <c r="J997" s="17" t="s">
        <v>12</v>
      </c>
      <c r="K997" s="13" t="s">
        <v>16</v>
      </c>
      <c r="L997" s="15">
        <v>1402.2</v>
      </c>
    </row>
    <row r="998" spans="1:12" ht="21" customHeight="1" outlineLevel="2" x14ac:dyDescent="0.25">
      <c r="A998" s="16">
        <f t="shared" si="78"/>
        <v>997</v>
      </c>
      <c r="B998" s="12" t="str">
        <f t="shared" si="90"/>
        <v>ЩО-6.4 (БЛОК 6)</v>
      </c>
      <c r="C998" s="13" t="s">
        <v>11</v>
      </c>
      <c r="D998" s="29" t="s">
        <v>292</v>
      </c>
      <c r="E998" s="12" t="s">
        <v>293</v>
      </c>
      <c r="F998" s="37">
        <v>783</v>
      </c>
      <c r="G998" s="38">
        <f t="shared" si="91"/>
        <v>469.79999999999995</v>
      </c>
      <c r="H998" s="38">
        <f>G998*I998</f>
        <v>3288.5999999999995</v>
      </c>
      <c r="I998" s="16">
        <v>7</v>
      </c>
      <c r="J998" s="17" t="s">
        <v>12</v>
      </c>
      <c r="K998" s="13" t="s">
        <v>16</v>
      </c>
      <c r="L998" s="15">
        <v>3288.5999999999995</v>
      </c>
    </row>
    <row r="999" spans="1:12" ht="24" customHeight="1" outlineLevel="2" x14ac:dyDescent="0.25">
      <c r="A999" s="12">
        <f t="shared" si="78"/>
        <v>998</v>
      </c>
      <c r="B999" s="12" t="str">
        <f t="shared" si="90"/>
        <v>ЩО-6.4 (БЛОК 6)</v>
      </c>
      <c r="C999" s="12" t="s">
        <v>9</v>
      </c>
      <c r="D999" s="30" t="s">
        <v>9</v>
      </c>
      <c r="E999" s="12" t="s">
        <v>9</v>
      </c>
      <c r="F999" s="18">
        <f ca="1">OFFSET(F999,1,2)</f>
        <v>4200</v>
      </c>
      <c r="G999" s="38">
        <f ca="1">F999</f>
        <v>4200</v>
      </c>
      <c r="H999" s="38">
        <f ca="1">G999*I999</f>
        <v>4200</v>
      </c>
      <c r="I999" s="12">
        <v>1</v>
      </c>
      <c r="J999" s="12" t="s">
        <v>12</v>
      </c>
      <c r="K999" s="12" t="s">
        <v>9</v>
      </c>
      <c r="L999" s="15">
        <v>4200</v>
      </c>
    </row>
    <row r="1000" spans="1:12" ht="21" customHeight="1" outlineLevel="2" x14ac:dyDescent="0.25">
      <c r="A1000" s="12">
        <f t="shared" si="78"/>
        <v>999</v>
      </c>
      <c r="B1000" s="12" t="str">
        <f t="shared" si="90"/>
        <v>ЩО-6.4 (БЛОК 6)</v>
      </c>
      <c r="C1000" s="12" t="s">
        <v>10</v>
      </c>
      <c r="D1000" s="30" t="s">
        <v>10</v>
      </c>
      <c r="E1000" s="12" t="s">
        <v>10</v>
      </c>
      <c r="F1000" s="18">
        <v>0.7</v>
      </c>
      <c r="G1000" s="38">
        <v>100</v>
      </c>
      <c r="H1000" s="38">
        <f>60*F1000*G1000</f>
        <v>4200</v>
      </c>
      <c r="I1000" s="12">
        <f>60*F1000</f>
        <v>42</v>
      </c>
      <c r="J1000" s="12" t="s">
        <v>12</v>
      </c>
      <c r="K1000" s="12" t="s">
        <v>10</v>
      </c>
      <c r="L1000" s="15">
        <v>4200</v>
      </c>
    </row>
    <row r="1001" spans="1:12" ht="21" customHeight="1" outlineLevel="1" x14ac:dyDescent="0.25">
      <c r="A1001" s="12"/>
      <c r="B1001" s="12" t="s">
        <v>711</v>
      </c>
      <c r="C1001" s="12"/>
      <c r="D1001" s="30"/>
      <c r="E1001" s="12"/>
      <c r="F1001" s="18"/>
      <c r="G1001" s="38"/>
      <c r="H1001" s="38">
        <f ca="1">SUBTOTAL(9,H994:H1000)</f>
        <v>20584.2</v>
      </c>
      <c r="I1001" s="12"/>
      <c r="J1001" s="12"/>
      <c r="K1001" s="12"/>
      <c r="L1001" s="15">
        <v>20584.2</v>
      </c>
    </row>
    <row r="1002" spans="1:12" ht="39.75" customHeight="1" outlineLevel="2" x14ac:dyDescent="0.25">
      <c r="A1002" s="10">
        <f>ROW(A1000)</f>
        <v>1000</v>
      </c>
      <c r="B1002" s="6" t="str">
        <f>E1002</f>
        <v>ЩО-6.5 (БЛОК 6)</v>
      </c>
      <c r="C1002" s="6"/>
      <c r="D1002" s="28"/>
      <c r="E1002" s="6" t="s">
        <v>307</v>
      </c>
      <c r="F1002" s="36"/>
      <c r="G1002" s="36" t="s">
        <v>73</v>
      </c>
      <c r="H1002" s="7"/>
      <c r="I1002" s="10">
        <v>1</v>
      </c>
      <c r="J1002" s="11" t="s">
        <v>6</v>
      </c>
      <c r="K1002" s="6" t="s">
        <v>8</v>
      </c>
      <c r="L1002" s="9"/>
    </row>
    <row r="1003" spans="1:12" ht="21" customHeight="1" outlineLevel="2" x14ac:dyDescent="0.25">
      <c r="A1003" s="16">
        <f t="shared" si="78"/>
        <v>1002</v>
      </c>
      <c r="B1003" s="12" t="str">
        <f t="shared" ref="B1003:B1008" si="92">B1002</f>
        <v>ЩО-6.5 (БЛОК 6)</v>
      </c>
      <c r="C1003" s="13" t="s">
        <v>7</v>
      </c>
      <c r="D1003" s="29" t="s">
        <v>588</v>
      </c>
      <c r="E1003" s="12" t="s">
        <v>589</v>
      </c>
      <c r="F1003" s="37">
        <v>6300</v>
      </c>
      <c r="G1003" s="38">
        <f>F1003*0.6</f>
        <v>3780</v>
      </c>
      <c r="H1003" s="38">
        <f>I1003*G1003</f>
        <v>3780</v>
      </c>
      <c r="I1003" s="16">
        <v>1</v>
      </c>
      <c r="J1003" s="17" t="s">
        <v>12</v>
      </c>
      <c r="K1003" s="13" t="s">
        <v>581</v>
      </c>
      <c r="L1003" s="15">
        <v>3780</v>
      </c>
    </row>
    <row r="1004" spans="1:12" ht="21" customHeight="1" outlineLevel="2" x14ac:dyDescent="0.25">
      <c r="A1004" s="16">
        <f t="shared" si="78"/>
        <v>1003</v>
      </c>
      <c r="B1004" s="12" t="str">
        <f t="shared" si="92"/>
        <v>ЩО-6.5 (БЛОК 6)</v>
      </c>
      <c r="C1004" s="13" t="s">
        <v>11</v>
      </c>
      <c r="D1004" s="29" t="s">
        <v>273</v>
      </c>
      <c r="E1004" s="12" t="s">
        <v>274</v>
      </c>
      <c r="F1004" s="37">
        <v>2499</v>
      </c>
      <c r="G1004" s="38">
        <f t="shared" ref="G1004:G1006" si="93">F1004*0.6</f>
        <v>1499.3999999999999</v>
      </c>
      <c r="H1004" s="38">
        <f>G1004*I1004</f>
        <v>1499.3999999999999</v>
      </c>
      <c r="I1004" s="16">
        <v>1</v>
      </c>
      <c r="J1004" s="17" t="s">
        <v>12</v>
      </c>
      <c r="K1004" s="13" t="s">
        <v>16</v>
      </c>
      <c r="L1004" s="15">
        <v>1499.3999999999999</v>
      </c>
    </row>
    <row r="1005" spans="1:12" ht="21" customHeight="1" outlineLevel="2" x14ac:dyDescent="0.25">
      <c r="A1005" s="16">
        <f t="shared" si="78"/>
        <v>1004</v>
      </c>
      <c r="B1005" s="12" t="str">
        <f t="shared" si="92"/>
        <v>ЩО-6.5 (БЛОК 6)</v>
      </c>
      <c r="C1005" s="13" t="s">
        <v>11</v>
      </c>
      <c r="D1005" s="29" t="s">
        <v>51</v>
      </c>
      <c r="E1005" s="12" t="s">
        <v>52</v>
      </c>
      <c r="F1005" s="37">
        <v>2337</v>
      </c>
      <c r="G1005" s="38">
        <f t="shared" si="93"/>
        <v>1402.2</v>
      </c>
      <c r="H1005" s="38">
        <f>G1005*I1005</f>
        <v>1402.2</v>
      </c>
      <c r="I1005" s="16">
        <v>1</v>
      </c>
      <c r="J1005" s="17" t="s">
        <v>12</v>
      </c>
      <c r="K1005" s="13" t="s">
        <v>16</v>
      </c>
      <c r="L1005" s="15">
        <v>1402.2</v>
      </c>
    </row>
    <row r="1006" spans="1:12" ht="21" customHeight="1" outlineLevel="2" x14ac:dyDescent="0.25">
      <c r="A1006" s="16">
        <f t="shared" si="78"/>
        <v>1005</v>
      </c>
      <c r="B1006" s="12" t="str">
        <f t="shared" si="92"/>
        <v>ЩО-6.5 (БЛОК 6)</v>
      </c>
      <c r="C1006" s="13" t="s">
        <v>11</v>
      </c>
      <c r="D1006" s="29" t="s">
        <v>292</v>
      </c>
      <c r="E1006" s="12" t="s">
        <v>293</v>
      </c>
      <c r="F1006" s="37">
        <v>783</v>
      </c>
      <c r="G1006" s="38">
        <f t="shared" si="93"/>
        <v>469.79999999999995</v>
      </c>
      <c r="H1006" s="38">
        <f>G1006*I1006</f>
        <v>2349</v>
      </c>
      <c r="I1006" s="16">
        <v>5</v>
      </c>
      <c r="J1006" s="17" t="s">
        <v>12</v>
      </c>
      <c r="K1006" s="13" t="s">
        <v>16</v>
      </c>
      <c r="L1006" s="15">
        <v>2349</v>
      </c>
    </row>
    <row r="1007" spans="1:12" ht="24" customHeight="1" outlineLevel="2" x14ac:dyDescent="0.25">
      <c r="A1007" s="12">
        <f t="shared" si="78"/>
        <v>1006</v>
      </c>
      <c r="B1007" s="12" t="str">
        <f t="shared" si="92"/>
        <v>ЩО-6.5 (БЛОК 6)</v>
      </c>
      <c r="C1007" s="12" t="s">
        <v>9</v>
      </c>
      <c r="D1007" s="30" t="s">
        <v>9</v>
      </c>
      <c r="E1007" s="12" t="s">
        <v>9</v>
      </c>
      <c r="F1007" s="18">
        <f ca="1">OFFSET(F1007,1,2)</f>
        <v>4200</v>
      </c>
      <c r="G1007" s="38">
        <f ca="1">F1007</f>
        <v>4200</v>
      </c>
      <c r="H1007" s="38">
        <f ca="1">G1007*I1007</f>
        <v>4200</v>
      </c>
      <c r="I1007" s="12">
        <v>1</v>
      </c>
      <c r="J1007" s="12" t="s">
        <v>12</v>
      </c>
      <c r="K1007" s="12" t="s">
        <v>9</v>
      </c>
      <c r="L1007" s="15">
        <v>4200</v>
      </c>
    </row>
    <row r="1008" spans="1:12" ht="21" customHeight="1" outlineLevel="2" x14ac:dyDescent="0.25">
      <c r="A1008" s="12">
        <f t="shared" si="78"/>
        <v>1007</v>
      </c>
      <c r="B1008" s="12" t="str">
        <f t="shared" si="92"/>
        <v>ЩО-6.5 (БЛОК 6)</v>
      </c>
      <c r="C1008" s="12" t="s">
        <v>10</v>
      </c>
      <c r="D1008" s="30" t="s">
        <v>10</v>
      </c>
      <c r="E1008" s="12" t="s">
        <v>10</v>
      </c>
      <c r="F1008" s="18">
        <v>0.7</v>
      </c>
      <c r="G1008" s="38">
        <v>100</v>
      </c>
      <c r="H1008" s="38">
        <f>60*F1008*G1008</f>
        <v>4200</v>
      </c>
      <c r="I1008" s="12">
        <f>60*F1008</f>
        <v>42</v>
      </c>
      <c r="J1008" s="12" t="s">
        <v>12</v>
      </c>
      <c r="K1008" s="12" t="s">
        <v>10</v>
      </c>
      <c r="L1008" s="15">
        <v>4200</v>
      </c>
    </row>
    <row r="1009" spans="1:12" ht="21" customHeight="1" outlineLevel="1" x14ac:dyDescent="0.25">
      <c r="A1009" s="12"/>
      <c r="B1009" s="12" t="s">
        <v>712</v>
      </c>
      <c r="C1009" s="12"/>
      <c r="D1009" s="30"/>
      <c r="E1009" s="12"/>
      <c r="F1009" s="18"/>
      <c r="G1009" s="38"/>
      <c r="H1009" s="38">
        <f ca="1">SUBTOTAL(9,H1002:H1008)</f>
        <v>17430.599999999999</v>
      </c>
      <c r="I1009" s="12"/>
      <c r="J1009" s="12"/>
      <c r="K1009" s="12"/>
      <c r="L1009" s="15">
        <v>17430.599999999999</v>
      </c>
    </row>
    <row r="1010" spans="1:12" ht="39.75" customHeight="1" outlineLevel="2" x14ac:dyDescent="0.25">
      <c r="A1010" s="10">
        <f>ROW(A1008)</f>
        <v>1008</v>
      </c>
      <c r="B1010" s="6" t="str">
        <f>E1010</f>
        <v>ЩО-6.6 (БЛОК 6)</v>
      </c>
      <c r="C1010" s="6"/>
      <c r="D1010" s="28"/>
      <c r="E1010" s="6" t="s">
        <v>306</v>
      </c>
      <c r="F1010" s="36"/>
      <c r="G1010" s="36" t="s">
        <v>73</v>
      </c>
      <c r="H1010" s="7"/>
      <c r="I1010" s="10">
        <v>1</v>
      </c>
      <c r="J1010" s="11" t="s">
        <v>6</v>
      </c>
      <c r="K1010" s="6" t="s">
        <v>8</v>
      </c>
      <c r="L1010" s="9"/>
    </row>
    <row r="1011" spans="1:12" ht="21" customHeight="1" outlineLevel="2" x14ac:dyDescent="0.25">
      <c r="A1011" s="16">
        <f t="shared" si="78"/>
        <v>1010</v>
      </c>
      <c r="B1011" s="12" t="str">
        <f t="shared" ref="B1011:B1016" si="94">B1010</f>
        <v>ЩО-6.6 (БЛОК 6)</v>
      </c>
      <c r="C1011" s="13" t="s">
        <v>7</v>
      </c>
      <c r="D1011" s="29" t="s">
        <v>588</v>
      </c>
      <c r="E1011" s="12" t="s">
        <v>589</v>
      </c>
      <c r="F1011" s="37">
        <v>6300</v>
      </c>
      <c r="G1011" s="38">
        <f>F1011*0.6</f>
        <v>3780</v>
      </c>
      <c r="H1011" s="38">
        <f>I1011*G1011</f>
        <v>3780</v>
      </c>
      <c r="I1011" s="16">
        <v>1</v>
      </c>
      <c r="J1011" s="17" t="s">
        <v>12</v>
      </c>
      <c r="K1011" s="13" t="s">
        <v>581</v>
      </c>
      <c r="L1011" s="15">
        <v>3780</v>
      </c>
    </row>
    <row r="1012" spans="1:12" ht="21" customHeight="1" outlineLevel="2" x14ac:dyDescent="0.25">
      <c r="A1012" s="16">
        <f t="shared" ref="A1012:A1084" si="95">ROW(A1011)</f>
        <v>1011</v>
      </c>
      <c r="B1012" s="12" t="str">
        <f t="shared" si="94"/>
        <v>ЩО-6.6 (БЛОК 6)</v>
      </c>
      <c r="C1012" s="13" t="s">
        <v>11</v>
      </c>
      <c r="D1012" s="29" t="s">
        <v>273</v>
      </c>
      <c r="E1012" s="12" t="s">
        <v>274</v>
      </c>
      <c r="F1012" s="37">
        <v>2499</v>
      </c>
      <c r="G1012" s="38">
        <f t="shared" ref="G1012:G1014" si="96">F1012*0.6</f>
        <v>1499.3999999999999</v>
      </c>
      <c r="H1012" s="38">
        <f>G1012*I1012</f>
        <v>1499.3999999999999</v>
      </c>
      <c r="I1012" s="16">
        <v>1</v>
      </c>
      <c r="J1012" s="17" t="s">
        <v>12</v>
      </c>
      <c r="K1012" s="13" t="s">
        <v>16</v>
      </c>
      <c r="L1012" s="15">
        <v>1499.3999999999999</v>
      </c>
    </row>
    <row r="1013" spans="1:12" ht="21" customHeight="1" outlineLevel="2" x14ac:dyDescent="0.25">
      <c r="A1013" s="16">
        <f t="shared" si="95"/>
        <v>1012</v>
      </c>
      <c r="B1013" s="12" t="str">
        <f t="shared" si="94"/>
        <v>ЩО-6.6 (БЛОК 6)</v>
      </c>
      <c r="C1013" s="13" t="s">
        <v>11</v>
      </c>
      <c r="D1013" s="29" t="s">
        <v>51</v>
      </c>
      <c r="E1013" s="12" t="s">
        <v>52</v>
      </c>
      <c r="F1013" s="37">
        <v>2337</v>
      </c>
      <c r="G1013" s="38">
        <f t="shared" si="96"/>
        <v>1402.2</v>
      </c>
      <c r="H1013" s="38">
        <f>G1013*I1013</f>
        <v>1402.2</v>
      </c>
      <c r="I1013" s="16">
        <v>1</v>
      </c>
      <c r="J1013" s="17" t="s">
        <v>12</v>
      </c>
      <c r="K1013" s="13" t="s">
        <v>16</v>
      </c>
      <c r="L1013" s="15">
        <v>1402.2</v>
      </c>
    </row>
    <row r="1014" spans="1:12" ht="21" customHeight="1" outlineLevel="2" x14ac:dyDescent="0.25">
      <c r="A1014" s="16">
        <f t="shared" si="95"/>
        <v>1013</v>
      </c>
      <c r="B1014" s="12" t="str">
        <f t="shared" si="94"/>
        <v>ЩО-6.6 (БЛОК 6)</v>
      </c>
      <c r="C1014" s="13" t="s">
        <v>11</v>
      </c>
      <c r="D1014" s="29" t="s">
        <v>292</v>
      </c>
      <c r="E1014" s="12" t="s">
        <v>293</v>
      </c>
      <c r="F1014" s="37">
        <v>783</v>
      </c>
      <c r="G1014" s="38">
        <f t="shared" si="96"/>
        <v>469.79999999999995</v>
      </c>
      <c r="H1014" s="38">
        <f>G1014*I1014</f>
        <v>2818.7999999999997</v>
      </c>
      <c r="I1014" s="16">
        <v>6</v>
      </c>
      <c r="J1014" s="17" t="s">
        <v>12</v>
      </c>
      <c r="K1014" s="13" t="s">
        <v>16</v>
      </c>
      <c r="L1014" s="15">
        <v>2818.7999999999997</v>
      </c>
    </row>
    <row r="1015" spans="1:12" ht="24" customHeight="1" outlineLevel="2" x14ac:dyDescent="0.25">
      <c r="A1015" s="12">
        <f t="shared" si="95"/>
        <v>1014</v>
      </c>
      <c r="B1015" s="12" t="str">
        <f t="shared" si="94"/>
        <v>ЩО-6.6 (БЛОК 6)</v>
      </c>
      <c r="C1015" s="12" t="s">
        <v>9</v>
      </c>
      <c r="D1015" s="30" t="s">
        <v>9</v>
      </c>
      <c r="E1015" s="12" t="s">
        <v>9</v>
      </c>
      <c r="F1015" s="18">
        <f ca="1">OFFSET(F1015,1,2)</f>
        <v>4200</v>
      </c>
      <c r="G1015" s="38">
        <f ca="1">F1015</f>
        <v>4200</v>
      </c>
      <c r="H1015" s="38">
        <f ca="1">G1015*I1015</f>
        <v>4200</v>
      </c>
      <c r="I1015" s="12">
        <v>1</v>
      </c>
      <c r="J1015" s="12" t="s">
        <v>12</v>
      </c>
      <c r="K1015" s="12" t="s">
        <v>9</v>
      </c>
      <c r="L1015" s="15">
        <v>4200</v>
      </c>
    </row>
    <row r="1016" spans="1:12" ht="21" customHeight="1" outlineLevel="2" x14ac:dyDescent="0.25">
      <c r="A1016" s="12">
        <f t="shared" si="95"/>
        <v>1015</v>
      </c>
      <c r="B1016" s="12" t="str">
        <f t="shared" si="94"/>
        <v>ЩО-6.6 (БЛОК 6)</v>
      </c>
      <c r="C1016" s="12" t="s">
        <v>10</v>
      </c>
      <c r="D1016" s="30" t="s">
        <v>10</v>
      </c>
      <c r="E1016" s="12" t="s">
        <v>10</v>
      </c>
      <c r="F1016" s="18">
        <v>0.7</v>
      </c>
      <c r="G1016" s="38">
        <v>100</v>
      </c>
      <c r="H1016" s="38">
        <f>60*F1016*G1016</f>
        <v>4200</v>
      </c>
      <c r="I1016" s="12">
        <f>60*F1016</f>
        <v>42</v>
      </c>
      <c r="J1016" s="12" t="s">
        <v>12</v>
      </c>
      <c r="K1016" s="12" t="s">
        <v>10</v>
      </c>
      <c r="L1016" s="15">
        <v>4200</v>
      </c>
    </row>
    <row r="1017" spans="1:12" ht="21" customHeight="1" outlineLevel="1" x14ac:dyDescent="0.25">
      <c r="A1017" s="12"/>
      <c r="B1017" s="12" t="s">
        <v>713</v>
      </c>
      <c r="C1017" s="12"/>
      <c r="D1017" s="30"/>
      <c r="E1017" s="12"/>
      <c r="F1017" s="18"/>
      <c r="G1017" s="38"/>
      <c r="H1017" s="38">
        <f ca="1">SUBTOTAL(9,H1010:H1016)</f>
        <v>17900.400000000001</v>
      </c>
      <c r="I1017" s="12"/>
      <c r="J1017" s="12"/>
      <c r="K1017" s="12"/>
      <c r="L1017" s="15">
        <v>17900.400000000001</v>
      </c>
    </row>
    <row r="1018" spans="1:12" ht="39.75" customHeight="1" outlineLevel="2" x14ac:dyDescent="0.25">
      <c r="A1018" s="10">
        <f>ROW(A1016)</f>
        <v>1016</v>
      </c>
      <c r="B1018" s="6" t="str">
        <f>E1018</f>
        <v>ЩСО (БЛОК 6)</v>
      </c>
      <c r="C1018" s="6"/>
      <c r="D1018" s="28"/>
      <c r="E1018" s="6" t="s">
        <v>308</v>
      </c>
      <c r="F1018" s="36"/>
      <c r="G1018" s="36" t="s">
        <v>73</v>
      </c>
      <c r="H1018" s="7"/>
      <c r="I1018" s="10">
        <v>1</v>
      </c>
      <c r="J1018" s="11" t="s">
        <v>6</v>
      </c>
      <c r="K1018" s="6" t="s">
        <v>8</v>
      </c>
      <c r="L1018" s="9"/>
    </row>
    <row r="1019" spans="1:12" ht="21" customHeight="1" outlineLevel="2" x14ac:dyDescent="0.25">
      <c r="A1019" s="16">
        <f t="shared" si="95"/>
        <v>1018</v>
      </c>
      <c r="B1019" s="12" t="str">
        <f t="shared" ref="B1019:B1024" si="97">B1018</f>
        <v>ЩСО (БЛОК 6)</v>
      </c>
      <c r="C1019" s="13" t="s">
        <v>7</v>
      </c>
      <c r="D1019" s="29" t="s">
        <v>466</v>
      </c>
      <c r="E1019" s="12" t="s">
        <v>467</v>
      </c>
      <c r="F1019" s="37">
        <v>14695</v>
      </c>
      <c r="G1019" s="38">
        <f>F1019*0.6</f>
        <v>8817</v>
      </c>
      <c r="H1019" s="38">
        <f>I1019*G1019</f>
        <v>8817</v>
      </c>
      <c r="I1019" s="16">
        <v>1</v>
      </c>
      <c r="J1019" s="17" t="s">
        <v>12</v>
      </c>
      <c r="K1019" s="13" t="s">
        <v>15</v>
      </c>
      <c r="L1019" s="15">
        <v>8817</v>
      </c>
    </row>
    <row r="1020" spans="1:12" ht="21" customHeight="1" outlineLevel="2" x14ac:dyDescent="0.25">
      <c r="A1020" s="16">
        <f t="shared" si="95"/>
        <v>1019</v>
      </c>
      <c r="B1020" s="12" t="str">
        <f t="shared" si="97"/>
        <v>ЩСО (БЛОК 6)</v>
      </c>
      <c r="C1020" s="13" t="s">
        <v>11</v>
      </c>
      <c r="D1020" s="29" t="s">
        <v>273</v>
      </c>
      <c r="E1020" s="12" t="s">
        <v>274</v>
      </c>
      <c r="F1020" s="37">
        <v>2499</v>
      </c>
      <c r="G1020" s="38">
        <f t="shared" ref="G1020:G1022" si="98">F1020*0.6</f>
        <v>1499.3999999999999</v>
      </c>
      <c r="H1020" s="38">
        <f>G1020*I1020</f>
        <v>1499.3999999999999</v>
      </c>
      <c r="I1020" s="16">
        <v>1</v>
      </c>
      <c r="J1020" s="17" t="s">
        <v>12</v>
      </c>
      <c r="K1020" s="13" t="s">
        <v>16</v>
      </c>
      <c r="L1020" s="15">
        <v>1499.3999999999999</v>
      </c>
    </row>
    <row r="1021" spans="1:12" ht="21" customHeight="1" outlineLevel="2" x14ac:dyDescent="0.25">
      <c r="A1021" s="16">
        <f t="shared" si="95"/>
        <v>1020</v>
      </c>
      <c r="B1021" s="12" t="str">
        <f t="shared" si="97"/>
        <v>ЩСО (БЛОК 6)</v>
      </c>
      <c r="C1021" s="13" t="s">
        <v>22</v>
      </c>
      <c r="D1021" s="29" t="s">
        <v>250</v>
      </c>
      <c r="E1021" s="12" t="s">
        <v>251</v>
      </c>
      <c r="F1021" s="37">
        <v>8352</v>
      </c>
      <c r="G1021" s="38">
        <f t="shared" si="98"/>
        <v>5011.2</v>
      </c>
      <c r="H1021" s="38">
        <f>G1021*I1021</f>
        <v>5011.2</v>
      </c>
      <c r="I1021" s="16">
        <v>1</v>
      </c>
      <c r="J1021" s="17" t="s">
        <v>12</v>
      </c>
      <c r="K1021" s="13" t="s">
        <v>16</v>
      </c>
      <c r="L1021" s="15">
        <v>5011.2</v>
      </c>
    </row>
    <row r="1022" spans="1:12" ht="21" customHeight="1" outlineLevel="2" x14ac:dyDescent="0.25">
      <c r="A1022" s="16">
        <f t="shared" si="95"/>
        <v>1021</v>
      </c>
      <c r="B1022" s="12" t="str">
        <f t="shared" si="97"/>
        <v>ЩСО (БЛОК 6)</v>
      </c>
      <c r="C1022" s="13" t="s">
        <v>22</v>
      </c>
      <c r="D1022" s="29" t="s">
        <v>270</v>
      </c>
      <c r="E1022" s="12" t="s">
        <v>271</v>
      </c>
      <c r="F1022" s="37">
        <v>5719</v>
      </c>
      <c r="G1022" s="38">
        <f t="shared" si="98"/>
        <v>3431.4</v>
      </c>
      <c r="H1022" s="38">
        <f>G1022*I1022</f>
        <v>13725.6</v>
      </c>
      <c r="I1022" s="16">
        <v>4</v>
      </c>
      <c r="J1022" s="17" t="s">
        <v>12</v>
      </c>
      <c r="K1022" s="13" t="s">
        <v>16</v>
      </c>
      <c r="L1022" s="15">
        <v>13725.6</v>
      </c>
    </row>
    <row r="1023" spans="1:12" ht="24" customHeight="1" outlineLevel="2" x14ac:dyDescent="0.25">
      <c r="A1023" s="12">
        <f t="shared" si="95"/>
        <v>1022</v>
      </c>
      <c r="B1023" s="12" t="str">
        <f t="shared" si="97"/>
        <v>ЩСО (БЛОК 6)</v>
      </c>
      <c r="C1023" s="12" t="s">
        <v>9</v>
      </c>
      <c r="D1023" s="30" t="s">
        <v>9</v>
      </c>
      <c r="E1023" s="12" t="s">
        <v>9</v>
      </c>
      <c r="F1023" s="18">
        <f ca="1">OFFSET(F1023,1,2)</f>
        <v>9000</v>
      </c>
      <c r="G1023" s="38">
        <f ca="1">F1023</f>
        <v>9000</v>
      </c>
      <c r="H1023" s="38">
        <f ca="1">G1023*I1023</f>
        <v>9000</v>
      </c>
      <c r="I1023" s="12">
        <v>1</v>
      </c>
      <c r="J1023" s="12" t="s">
        <v>12</v>
      </c>
      <c r="K1023" s="12" t="s">
        <v>9</v>
      </c>
      <c r="L1023" s="15">
        <v>9000</v>
      </c>
    </row>
    <row r="1024" spans="1:12" ht="21" customHeight="1" outlineLevel="2" x14ac:dyDescent="0.25">
      <c r="A1024" s="12">
        <f t="shared" si="95"/>
        <v>1023</v>
      </c>
      <c r="B1024" s="12" t="str">
        <f t="shared" si="97"/>
        <v>ЩСО (БЛОК 6)</v>
      </c>
      <c r="C1024" s="12" t="s">
        <v>10</v>
      </c>
      <c r="D1024" s="30" t="s">
        <v>10</v>
      </c>
      <c r="E1024" s="12" t="s">
        <v>10</v>
      </c>
      <c r="F1024" s="18">
        <v>1.5</v>
      </c>
      <c r="G1024" s="38">
        <v>100</v>
      </c>
      <c r="H1024" s="38">
        <f>60*F1024*G1024</f>
        <v>9000</v>
      </c>
      <c r="I1024" s="12">
        <f>60*F1024</f>
        <v>90</v>
      </c>
      <c r="J1024" s="12" t="s">
        <v>12</v>
      </c>
      <c r="K1024" s="12" t="s">
        <v>10</v>
      </c>
      <c r="L1024" s="15">
        <v>9000</v>
      </c>
    </row>
    <row r="1025" spans="1:12" ht="21" customHeight="1" outlineLevel="1" x14ac:dyDescent="0.25">
      <c r="A1025" s="12"/>
      <c r="B1025" s="12" t="s">
        <v>714</v>
      </c>
      <c r="C1025" s="12"/>
      <c r="D1025" s="30"/>
      <c r="E1025" s="12"/>
      <c r="F1025" s="18"/>
      <c r="G1025" s="38"/>
      <c r="H1025" s="38">
        <f ca="1">SUBTOTAL(9,H1018:H1024)</f>
        <v>47053.2</v>
      </c>
      <c r="I1025" s="12"/>
      <c r="J1025" s="12"/>
      <c r="K1025" s="12"/>
      <c r="L1025" s="15">
        <v>47053.2</v>
      </c>
    </row>
    <row r="1026" spans="1:12" ht="39.75" customHeight="1" outlineLevel="2" x14ac:dyDescent="0.25">
      <c r="A1026" s="10">
        <f>ROW(A1024)</f>
        <v>1024</v>
      </c>
      <c r="B1026" s="6" t="str">
        <f>E1026</f>
        <v>ЩРО-1, ЩРО-2  (БЛОК 7)</v>
      </c>
      <c r="C1026" s="6"/>
      <c r="D1026" s="28"/>
      <c r="E1026" s="6" t="s">
        <v>309</v>
      </c>
      <c r="F1026" s="36"/>
      <c r="G1026" s="36" t="s">
        <v>73</v>
      </c>
      <c r="H1026" s="7"/>
      <c r="I1026" s="10">
        <v>2</v>
      </c>
      <c r="J1026" s="11" t="s">
        <v>6</v>
      </c>
      <c r="K1026" s="6" t="s">
        <v>8</v>
      </c>
      <c r="L1026" s="9"/>
    </row>
    <row r="1027" spans="1:12" ht="21" customHeight="1" outlineLevel="2" x14ac:dyDescent="0.25">
      <c r="A1027" s="16">
        <f t="shared" si="95"/>
        <v>1026</v>
      </c>
      <c r="B1027" s="12" t="str">
        <f t="shared" ref="B1027:B1031" si="99">B1026</f>
        <v>ЩРО-1, ЩРО-2  (БЛОК 7)</v>
      </c>
      <c r="C1027" s="13" t="s">
        <v>7</v>
      </c>
      <c r="D1027" s="29" t="s">
        <v>588</v>
      </c>
      <c r="E1027" s="12" t="s">
        <v>589</v>
      </c>
      <c r="F1027" s="37">
        <v>6300</v>
      </c>
      <c r="G1027" s="38">
        <f>F1027*0.6</f>
        <v>3780</v>
      </c>
      <c r="H1027" s="38">
        <f>I1027*G1027</f>
        <v>3780</v>
      </c>
      <c r="I1027" s="16">
        <v>1</v>
      </c>
      <c r="J1027" s="17" t="s">
        <v>12</v>
      </c>
      <c r="K1027" s="13" t="s">
        <v>581</v>
      </c>
      <c r="L1027" s="15">
        <v>3780</v>
      </c>
    </row>
    <row r="1028" spans="1:12" ht="21" customHeight="1" outlineLevel="2" x14ac:dyDescent="0.25">
      <c r="A1028" s="16">
        <f t="shared" si="95"/>
        <v>1027</v>
      </c>
      <c r="B1028" s="12" t="str">
        <f t="shared" si="99"/>
        <v>ЩРО-1, ЩРО-2  (БЛОК 7)</v>
      </c>
      <c r="C1028" s="13" t="s">
        <v>11</v>
      </c>
      <c r="D1028" s="29" t="s">
        <v>453</v>
      </c>
      <c r="E1028" s="12" t="s">
        <v>454</v>
      </c>
      <c r="F1028" s="37">
        <v>10552</v>
      </c>
      <c r="G1028" s="38">
        <f t="shared" ref="G1028:G1029" si="100">F1028*0.6</f>
        <v>6331.2</v>
      </c>
      <c r="H1028" s="38">
        <f>G1028*I1028</f>
        <v>6331.2</v>
      </c>
      <c r="I1028" s="16">
        <v>1</v>
      </c>
      <c r="J1028" s="17" t="s">
        <v>12</v>
      </c>
      <c r="K1028" s="13" t="s">
        <v>16</v>
      </c>
      <c r="L1028" s="15">
        <v>6331.2</v>
      </c>
    </row>
    <row r="1029" spans="1:12" ht="21" customHeight="1" outlineLevel="2" x14ac:dyDescent="0.25">
      <c r="A1029" s="16">
        <f t="shared" si="95"/>
        <v>1028</v>
      </c>
      <c r="B1029" s="12" t="str">
        <f t="shared" si="99"/>
        <v>ЩРО-1, ЩРО-2  (БЛОК 7)</v>
      </c>
      <c r="C1029" s="13" t="s">
        <v>11</v>
      </c>
      <c r="D1029" s="29" t="s">
        <v>53</v>
      </c>
      <c r="E1029" s="12" t="s">
        <v>54</v>
      </c>
      <c r="F1029" s="37">
        <v>783</v>
      </c>
      <c r="G1029" s="38">
        <f t="shared" si="100"/>
        <v>469.79999999999995</v>
      </c>
      <c r="H1029" s="38">
        <f>G1029*I1029</f>
        <v>1409.3999999999999</v>
      </c>
      <c r="I1029" s="16">
        <v>3</v>
      </c>
      <c r="J1029" s="17" t="s">
        <v>12</v>
      </c>
      <c r="K1029" s="13" t="s">
        <v>16</v>
      </c>
      <c r="L1029" s="15">
        <v>1409.3999999999999</v>
      </c>
    </row>
    <row r="1030" spans="1:12" ht="24" customHeight="1" outlineLevel="2" x14ac:dyDescent="0.25">
      <c r="A1030" s="12">
        <f t="shared" si="95"/>
        <v>1029</v>
      </c>
      <c r="B1030" s="12" t="str">
        <f t="shared" si="99"/>
        <v>ЩРО-1, ЩРО-2  (БЛОК 7)</v>
      </c>
      <c r="C1030" s="12" t="s">
        <v>9</v>
      </c>
      <c r="D1030" s="30" t="s">
        <v>9</v>
      </c>
      <c r="E1030" s="12" t="s">
        <v>9</v>
      </c>
      <c r="F1030" s="18">
        <f ca="1">OFFSET(F1030,1,2)</f>
        <v>4200</v>
      </c>
      <c r="G1030" s="38">
        <f ca="1">F1030</f>
        <v>4200</v>
      </c>
      <c r="H1030" s="38">
        <f ca="1">G1030*I1030</f>
        <v>4200</v>
      </c>
      <c r="I1030" s="12">
        <v>1</v>
      </c>
      <c r="J1030" s="12" t="s">
        <v>12</v>
      </c>
      <c r="K1030" s="12" t="s">
        <v>9</v>
      </c>
      <c r="L1030" s="15">
        <v>4200</v>
      </c>
    </row>
    <row r="1031" spans="1:12" ht="21" customHeight="1" outlineLevel="2" x14ac:dyDescent="0.25">
      <c r="A1031" s="12">
        <f t="shared" si="95"/>
        <v>1030</v>
      </c>
      <c r="B1031" s="12" t="str">
        <f t="shared" si="99"/>
        <v>ЩРО-1, ЩРО-2  (БЛОК 7)</v>
      </c>
      <c r="C1031" s="12" t="s">
        <v>10</v>
      </c>
      <c r="D1031" s="30" t="s">
        <v>10</v>
      </c>
      <c r="E1031" s="12" t="s">
        <v>10</v>
      </c>
      <c r="F1031" s="18">
        <v>0.7</v>
      </c>
      <c r="G1031" s="38">
        <v>100</v>
      </c>
      <c r="H1031" s="38">
        <f>60*F1031*G1031</f>
        <v>4200</v>
      </c>
      <c r="I1031" s="12">
        <f>60*F1031</f>
        <v>42</v>
      </c>
      <c r="J1031" s="12" t="s">
        <v>12</v>
      </c>
      <c r="K1031" s="12" t="s">
        <v>10</v>
      </c>
      <c r="L1031" s="15">
        <v>4200</v>
      </c>
    </row>
    <row r="1032" spans="1:12" ht="21" customHeight="1" outlineLevel="1" x14ac:dyDescent="0.25">
      <c r="A1032" s="12"/>
      <c r="B1032" s="12" t="s">
        <v>715</v>
      </c>
      <c r="C1032" s="12"/>
      <c r="D1032" s="30"/>
      <c r="E1032" s="12"/>
      <c r="F1032" s="18"/>
      <c r="G1032" s="38"/>
      <c r="H1032" s="38">
        <f ca="1">SUBTOTAL(9,H1026:H1031)</f>
        <v>19920.599999999999</v>
      </c>
      <c r="I1032" s="12"/>
      <c r="J1032" s="12"/>
      <c r="K1032" s="12"/>
      <c r="L1032" s="15">
        <v>19920.599999999999</v>
      </c>
    </row>
    <row r="1033" spans="1:12" ht="39.75" customHeight="1" outlineLevel="2" x14ac:dyDescent="0.25">
      <c r="A1033" s="10">
        <f>ROW(A1031)</f>
        <v>1031</v>
      </c>
      <c r="B1033" s="6" t="str">
        <f>E1033</f>
        <v>ЩР1.1, ЩР1.2 (БЛОК 7)</v>
      </c>
      <c r="C1033" s="6"/>
      <c r="D1033" s="28"/>
      <c r="E1033" s="6" t="s">
        <v>310</v>
      </c>
      <c r="F1033" s="36"/>
      <c r="G1033" s="36" t="s">
        <v>73</v>
      </c>
      <c r="H1033" s="7"/>
      <c r="I1033" s="10">
        <v>2</v>
      </c>
      <c r="J1033" s="11" t="s">
        <v>6</v>
      </c>
      <c r="K1033" s="6" t="s">
        <v>8</v>
      </c>
      <c r="L1033" s="9"/>
    </row>
    <row r="1034" spans="1:12" ht="21" customHeight="1" outlineLevel="2" x14ac:dyDescent="0.25">
      <c r="A1034" s="16">
        <f t="shared" si="95"/>
        <v>1033</v>
      </c>
      <c r="B1034" s="12" t="str">
        <f t="shared" ref="B1034:B1039" si="101">B1033</f>
        <v>ЩР1.1, ЩР1.2 (БЛОК 7)</v>
      </c>
      <c r="C1034" s="13" t="s">
        <v>7</v>
      </c>
      <c r="D1034" s="29" t="s">
        <v>588</v>
      </c>
      <c r="E1034" s="12" t="s">
        <v>589</v>
      </c>
      <c r="F1034" s="37">
        <v>6300</v>
      </c>
      <c r="G1034" s="38">
        <f>F1034*0.6</f>
        <v>3780</v>
      </c>
      <c r="H1034" s="38">
        <f>I1034*G1034</f>
        <v>3780</v>
      </c>
      <c r="I1034" s="16">
        <v>1</v>
      </c>
      <c r="J1034" s="17" t="s">
        <v>12</v>
      </c>
      <c r="K1034" s="13" t="s">
        <v>581</v>
      </c>
      <c r="L1034" s="15">
        <v>3780</v>
      </c>
    </row>
    <row r="1035" spans="1:12" ht="21" customHeight="1" outlineLevel="2" x14ac:dyDescent="0.25">
      <c r="A1035" s="16">
        <f t="shared" si="95"/>
        <v>1034</v>
      </c>
      <c r="B1035" s="12" t="str">
        <f t="shared" si="101"/>
        <v>ЩР1.1, ЩР1.2 (БЛОК 7)</v>
      </c>
      <c r="C1035" s="13" t="s">
        <v>11</v>
      </c>
      <c r="D1035" s="29" t="s">
        <v>453</v>
      </c>
      <c r="E1035" s="12" t="s">
        <v>454</v>
      </c>
      <c r="F1035" s="37">
        <v>10552</v>
      </c>
      <c r="G1035" s="38">
        <f t="shared" ref="G1035:G1037" si="102">F1035*0.6</f>
        <v>6331.2</v>
      </c>
      <c r="H1035" s="38">
        <f>G1035*I1035</f>
        <v>6331.2</v>
      </c>
      <c r="I1035" s="16">
        <v>1</v>
      </c>
      <c r="J1035" s="17" t="s">
        <v>12</v>
      </c>
      <c r="K1035" s="13" t="s">
        <v>16</v>
      </c>
      <c r="L1035" s="15">
        <v>6331.2</v>
      </c>
    </row>
    <row r="1036" spans="1:12" ht="21" customHeight="1" outlineLevel="2" x14ac:dyDescent="0.25">
      <c r="A1036" s="16">
        <f t="shared" si="95"/>
        <v>1035</v>
      </c>
      <c r="B1036" s="12" t="str">
        <f t="shared" si="101"/>
        <v>ЩР1.1, ЩР1.2 (БЛОК 7)</v>
      </c>
      <c r="C1036" s="13" t="s">
        <v>11</v>
      </c>
      <c r="D1036" s="29" t="s">
        <v>53</v>
      </c>
      <c r="E1036" s="12" t="s">
        <v>54</v>
      </c>
      <c r="F1036" s="37">
        <v>783</v>
      </c>
      <c r="G1036" s="38">
        <f t="shared" si="102"/>
        <v>469.79999999999995</v>
      </c>
      <c r="H1036" s="38">
        <f>G1036*I1036</f>
        <v>939.59999999999991</v>
      </c>
      <c r="I1036" s="16">
        <v>2</v>
      </c>
      <c r="J1036" s="17" t="s">
        <v>12</v>
      </c>
      <c r="K1036" s="13" t="s">
        <v>16</v>
      </c>
      <c r="L1036" s="15">
        <v>939.59999999999991</v>
      </c>
    </row>
    <row r="1037" spans="1:12" ht="21" customHeight="1" outlineLevel="2" x14ac:dyDescent="0.25">
      <c r="A1037" s="16">
        <f t="shared" si="95"/>
        <v>1036</v>
      </c>
      <c r="B1037" s="12" t="str">
        <f t="shared" si="101"/>
        <v>ЩР1.1, ЩР1.2 (БЛОК 7)</v>
      </c>
      <c r="C1037" s="13" t="s">
        <v>22</v>
      </c>
      <c r="D1037" s="29" t="s">
        <v>117</v>
      </c>
      <c r="E1037" s="12" t="s">
        <v>118</v>
      </c>
      <c r="F1037" s="37">
        <v>5104</v>
      </c>
      <c r="G1037" s="38">
        <f t="shared" si="102"/>
        <v>3062.4</v>
      </c>
      <c r="H1037" s="38">
        <f>G1037*I1037</f>
        <v>6124.8</v>
      </c>
      <c r="I1037" s="16">
        <v>2</v>
      </c>
      <c r="J1037" s="17" t="s">
        <v>12</v>
      </c>
      <c r="K1037" s="13" t="s">
        <v>16</v>
      </c>
      <c r="L1037" s="15">
        <v>6124.8</v>
      </c>
    </row>
    <row r="1038" spans="1:12" ht="24" customHeight="1" outlineLevel="2" x14ac:dyDescent="0.25">
      <c r="A1038" s="12">
        <f t="shared" si="95"/>
        <v>1037</v>
      </c>
      <c r="B1038" s="12" t="str">
        <f t="shared" si="101"/>
        <v>ЩР1.1, ЩР1.2 (БЛОК 7)</v>
      </c>
      <c r="C1038" s="12" t="s">
        <v>9</v>
      </c>
      <c r="D1038" s="30" t="s">
        <v>9</v>
      </c>
      <c r="E1038" s="12" t="s">
        <v>9</v>
      </c>
      <c r="F1038" s="18">
        <f ca="1">OFFSET(F1038,1,2)</f>
        <v>4200</v>
      </c>
      <c r="G1038" s="38">
        <f ca="1">F1038</f>
        <v>4200</v>
      </c>
      <c r="H1038" s="38">
        <f ca="1">G1038*I1038</f>
        <v>4200</v>
      </c>
      <c r="I1038" s="12">
        <v>1</v>
      </c>
      <c r="J1038" s="12" t="s">
        <v>12</v>
      </c>
      <c r="K1038" s="12" t="s">
        <v>9</v>
      </c>
      <c r="L1038" s="15">
        <v>4200</v>
      </c>
    </row>
    <row r="1039" spans="1:12" ht="21" customHeight="1" outlineLevel="2" x14ac:dyDescent="0.25">
      <c r="A1039" s="12">
        <f t="shared" si="95"/>
        <v>1038</v>
      </c>
      <c r="B1039" s="12" t="str">
        <f t="shared" si="101"/>
        <v>ЩР1.1, ЩР1.2 (БЛОК 7)</v>
      </c>
      <c r="C1039" s="12" t="s">
        <v>10</v>
      </c>
      <c r="D1039" s="30" t="s">
        <v>10</v>
      </c>
      <c r="E1039" s="12" t="s">
        <v>10</v>
      </c>
      <c r="F1039" s="18">
        <v>0.7</v>
      </c>
      <c r="G1039" s="38">
        <v>100</v>
      </c>
      <c r="H1039" s="38">
        <f>60*F1039*G1039</f>
        <v>4200</v>
      </c>
      <c r="I1039" s="12">
        <f>60*F1039</f>
        <v>42</v>
      </c>
      <c r="J1039" s="12" t="s">
        <v>12</v>
      </c>
      <c r="K1039" s="12" t="s">
        <v>10</v>
      </c>
      <c r="L1039" s="15">
        <v>4200</v>
      </c>
    </row>
    <row r="1040" spans="1:12" ht="21" customHeight="1" outlineLevel="1" x14ac:dyDescent="0.25">
      <c r="A1040" s="12"/>
      <c r="B1040" s="12" t="s">
        <v>716</v>
      </c>
      <c r="C1040" s="12"/>
      <c r="D1040" s="30"/>
      <c r="E1040" s="12"/>
      <c r="F1040" s="18"/>
      <c r="G1040" s="38"/>
      <c r="H1040" s="38">
        <f ca="1">SUBTOTAL(9,H1033:H1039)</f>
        <v>25575.600000000002</v>
      </c>
      <c r="I1040" s="12"/>
      <c r="J1040" s="12"/>
      <c r="K1040" s="12"/>
      <c r="L1040" s="15">
        <v>25575.600000000002</v>
      </c>
    </row>
    <row r="1041" spans="1:12" ht="39.75" customHeight="1" outlineLevel="2" x14ac:dyDescent="0.25">
      <c r="A1041" s="10">
        <f>ROW(A1039)</f>
        <v>1039</v>
      </c>
      <c r="B1041" s="6" t="str">
        <f>E1041</f>
        <v>ЩР1.3(БЛОК 7)</v>
      </c>
      <c r="C1041" s="6"/>
      <c r="D1041" s="28"/>
      <c r="E1041" s="6" t="s">
        <v>311</v>
      </c>
      <c r="F1041" s="36"/>
      <c r="G1041" s="36" t="s">
        <v>73</v>
      </c>
      <c r="H1041" s="7"/>
      <c r="I1041" s="10">
        <v>1</v>
      </c>
      <c r="J1041" s="11" t="s">
        <v>6</v>
      </c>
      <c r="K1041" s="6" t="s">
        <v>8</v>
      </c>
      <c r="L1041" s="9"/>
    </row>
    <row r="1042" spans="1:12" ht="21" customHeight="1" outlineLevel="2" x14ac:dyDescent="0.25">
      <c r="A1042" s="16">
        <f t="shared" si="95"/>
        <v>1041</v>
      </c>
      <c r="B1042" s="12" t="str">
        <f t="shared" ref="B1042:B1047" si="103">B1041</f>
        <v>ЩР1.3(БЛОК 7)</v>
      </c>
      <c r="C1042" s="13" t="s">
        <v>7</v>
      </c>
      <c r="D1042" s="29" t="s">
        <v>588</v>
      </c>
      <c r="E1042" s="12" t="s">
        <v>589</v>
      </c>
      <c r="F1042" s="37">
        <v>6300</v>
      </c>
      <c r="G1042" s="38">
        <f>F1042*0.6</f>
        <v>3780</v>
      </c>
      <c r="H1042" s="38">
        <f>I1042*G1042</f>
        <v>3780</v>
      </c>
      <c r="I1042" s="16">
        <v>1</v>
      </c>
      <c r="J1042" s="17" t="s">
        <v>12</v>
      </c>
      <c r="K1042" s="13" t="s">
        <v>581</v>
      </c>
      <c r="L1042" s="15">
        <v>3780</v>
      </c>
    </row>
    <row r="1043" spans="1:12" ht="21" customHeight="1" outlineLevel="2" x14ac:dyDescent="0.25">
      <c r="A1043" s="16">
        <f t="shared" si="95"/>
        <v>1042</v>
      </c>
      <c r="B1043" s="12" t="str">
        <f t="shared" si="103"/>
        <v>ЩР1.3(БЛОК 7)</v>
      </c>
      <c r="C1043" s="13" t="s">
        <v>11</v>
      </c>
      <c r="D1043" s="29" t="s">
        <v>453</v>
      </c>
      <c r="E1043" s="12" t="s">
        <v>454</v>
      </c>
      <c r="F1043" s="37">
        <v>10552</v>
      </c>
      <c r="G1043" s="38">
        <f t="shared" ref="G1043:G1045" si="104">F1043*0.6</f>
        <v>6331.2</v>
      </c>
      <c r="H1043" s="38">
        <f>G1043*I1043</f>
        <v>6331.2</v>
      </c>
      <c r="I1043" s="16">
        <v>1</v>
      </c>
      <c r="J1043" s="17" t="s">
        <v>12</v>
      </c>
      <c r="K1043" s="13" t="s">
        <v>16</v>
      </c>
      <c r="L1043" s="15">
        <v>6331.2</v>
      </c>
    </row>
    <row r="1044" spans="1:12" ht="21" customHeight="1" outlineLevel="2" x14ac:dyDescent="0.25">
      <c r="A1044" s="16">
        <f t="shared" si="95"/>
        <v>1043</v>
      </c>
      <c r="B1044" s="12" t="str">
        <f t="shared" si="103"/>
        <v>ЩР1.3(БЛОК 7)</v>
      </c>
      <c r="C1044" s="13" t="s">
        <v>11</v>
      </c>
      <c r="D1044" s="29" t="s">
        <v>53</v>
      </c>
      <c r="E1044" s="12" t="s">
        <v>54</v>
      </c>
      <c r="F1044" s="37">
        <v>783</v>
      </c>
      <c r="G1044" s="38">
        <f t="shared" si="104"/>
        <v>469.79999999999995</v>
      </c>
      <c r="H1044" s="38">
        <f>G1044*I1044</f>
        <v>939.59999999999991</v>
      </c>
      <c r="I1044" s="16">
        <v>2</v>
      </c>
      <c r="J1044" s="17" t="s">
        <v>12</v>
      </c>
      <c r="K1044" s="13" t="s">
        <v>16</v>
      </c>
      <c r="L1044" s="15">
        <v>939.59999999999991</v>
      </c>
    </row>
    <row r="1045" spans="1:12" ht="21" customHeight="1" outlineLevel="2" x14ac:dyDescent="0.25">
      <c r="A1045" s="16">
        <f t="shared" si="95"/>
        <v>1044</v>
      </c>
      <c r="B1045" s="12" t="str">
        <f t="shared" si="103"/>
        <v>ЩР1.3(БЛОК 7)</v>
      </c>
      <c r="C1045" s="13" t="s">
        <v>22</v>
      </c>
      <c r="D1045" s="29" t="s">
        <v>117</v>
      </c>
      <c r="E1045" s="12" t="s">
        <v>118</v>
      </c>
      <c r="F1045" s="37">
        <v>5104</v>
      </c>
      <c r="G1045" s="38">
        <f t="shared" si="104"/>
        <v>3062.4</v>
      </c>
      <c r="H1045" s="38">
        <f>G1045*I1045</f>
        <v>9187.2000000000007</v>
      </c>
      <c r="I1045" s="16">
        <v>3</v>
      </c>
      <c r="J1045" s="17" t="s">
        <v>12</v>
      </c>
      <c r="K1045" s="13" t="s">
        <v>16</v>
      </c>
      <c r="L1045" s="15">
        <v>9187.2000000000007</v>
      </c>
    </row>
    <row r="1046" spans="1:12" ht="24" customHeight="1" outlineLevel="2" x14ac:dyDescent="0.25">
      <c r="A1046" s="12">
        <f t="shared" si="95"/>
        <v>1045</v>
      </c>
      <c r="B1046" s="12" t="str">
        <f t="shared" si="103"/>
        <v>ЩР1.3(БЛОК 7)</v>
      </c>
      <c r="C1046" s="12" t="s">
        <v>9</v>
      </c>
      <c r="D1046" s="30" t="s">
        <v>9</v>
      </c>
      <c r="E1046" s="12" t="s">
        <v>9</v>
      </c>
      <c r="F1046" s="18">
        <f ca="1">OFFSET(F1046,1,2)</f>
        <v>4200</v>
      </c>
      <c r="G1046" s="38">
        <f ca="1">F1046</f>
        <v>4200</v>
      </c>
      <c r="H1046" s="38">
        <f ca="1">G1046*I1046</f>
        <v>4200</v>
      </c>
      <c r="I1046" s="12">
        <v>1</v>
      </c>
      <c r="J1046" s="12" t="s">
        <v>12</v>
      </c>
      <c r="K1046" s="12" t="s">
        <v>9</v>
      </c>
      <c r="L1046" s="15">
        <v>4200</v>
      </c>
    </row>
    <row r="1047" spans="1:12" ht="21" customHeight="1" outlineLevel="2" x14ac:dyDescent="0.25">
      <c r="A1047" s="12">
        <f t="shared" si="95"/>
        <v>1046</v>
      </c>
      <c r="B1047" s="12" t="str">
        <f t="shared" si="103"/>
        <v>ЩР1.3(БЛОК 7)</v>
      </c>
      <c r="C1047" s="12" t="s">
        <v>10</v>
      </c>
      <c r="D1047" s="30" t="s">
        <v>10</v>
      </c>
      <c r="E1047" s="12" t="s">
        <v>10</v>
      </c>
      <c r="F1047" s="18">
        <v>0.7</v>
      </c>
      <c r="G1047" s="38">
        <v>100</v>
      </c>
      <c r="H1047" s="38">
        <f>60*F1047*G1047</f>
        <v>4200</v>
      </c>
      <c r="I1047" s="12">
        <f>60*F1047</f>
        <v>42</v>
      </c>
      <c r="J1047" s="12" t="s">
        <v>12</v>
      </c>
      <c r="K1047" s="12" t="s">
        <v>10</v>
      </c>
      <c r="L1047" s="15">
        <v>4200</v>
      </c>
    </row>
    <row r="1048" spans="1:12" ht="21" customHeight="1" outlineLevel="1" x14ac:dyDescent="0.25">
      <c r="A1048" s="12"/>
      <c r="B1048" s="12" t="s">
        <v>717</v>
      </c>
      <c r="C1048" s="12"/>
      <c r="D1048" s="30"/>
      <c r="E1048" s="12"/>
      <c r="F1048" s="18"/>
      <c r="G1048" s="38"/>
      <c r="H1048" s="38">
        <f ca="1">SUBTOTAL(9,H1041:H1047)</f>
        <v>28638</v>
      </c>
      <c r="I1048" s="12"/>
      <c r="J1048" s="12"/>
      <c r="K1048" s="12"/>
      <c r="L1048" s="15">
        <v>28638</v>
      </c>
    </row>
    <row r="1049" spans="1:12" ht="39.75" customHeight="1" outlineLevel="2" x14ac:dyDescent="0.25">
      <c r="A1049" s="10">
        <f>ROW(A1047)</f>
        <v>1047</v>
      </c>
      <c r="B1049" s="6" t="str">
        <f>E1049</f>
        <v>ЩР1.4(БЛОК 7)</v>
      </c>
      <c r="C1049" s="6"/>
      <c r="D1049" s="28"/>
      <c r="E1049" s="6" t="s">
        <v>312</v>
      </c>
      <c r="F1049" s="36"/>
      <c r="G1049" s="36" t="s">
        <v>73</v>
      </c>
      <c r="H1049" s="7"/>
      <c r="I1049" s="10">
        <v>1</v>
      </c>
      <c r="J1049" s="11" t="s">
        <v>6</v>
      </c>
      <c r="K1049" s="6" t="s">
        <v>8</v>
      </c>
      <c r="L1049" s="9"/>
    </row>
    <row r="1050" spans="1:12" ht="21" customHeight="1" outlineLevel="2" x14ac:dyDescent="0.25">
      <c r="A1050" s="16">
        <f t="shared" si="95"/>
        <v>1049</v>
      </c>
      <c r="B1050" s="12" t="str">
        <f t="shared" ref="B1050:B1055" si="105">B1049</f>
        <v>ЩР1.4(БЛОК 7)</v>
      </c>
      <c r="C1050" s="13" t="s">
        <v>7</v>
      </c>
      <c r="D1050" s="29" t="s">
        <v>588</v>
      </c>
      <c r="E1050" s="12" t="s">
        <v>589</v>
      </c>
      <c r="F1050" s="37">
        <v>6300</v>
      </c>
      <c r="G1050" s="38">
        <f>F1050*0.6</f>
        <v>3780</v>
      </c>
      <c r="H1050" s="38">
        <f>I1050*G1050</f>
        <v>3780</v>
      </c>
      <c r="I1050" s="16">
        <v>1</v>
      </c>
      <c r="J1050" s="17" t="s">
        <v>12</v>
      </c>
      <c r="K1050" s="13" t="s">
        <v>581</v>
      </c>
      <c r="L1050" s="15">
        <v>3780</v>
      </c>
    </row>
    <row r="1051" spans="1:12" ht="21" customHeight="1" outlineLevel="2" x14ac:dyDescent="0.25">
      <c r="A1051" s="16">
        <f t="shared" si="95"/>
        <v>1050</v>
      </c>
      <c r="B1051" s="12" t="str">
        <f t="shared" si="105"/>
        <v>ЩР1.4(БЛОК 7)</v>
      </c>
      <c r="C1051" s="13" t="s">
        <v>11</v>
      </c>
      <c r="D1051" s="29" t="s">
        <v>453</v>
      </c>
      <c r="E1051" s="12" t="s">
        <v>454</v>
      </c>
      <c r="F1051" s="37">
        <v>10552</v>
      </c>
      <c r="G1051" s="38">
        <f t="shared" ref="G1051:G1053" si="106">F1051*0.6</f>
        <v>6331.2</v>
      </c>
      <c r="H1051" s="38">
        <f>G1051*I1051</f>
        <v>6331.2</v>
      </c>
      <c r="I1051" s="16">
        <v>1</v>
      </c>
      <c r="J1051" s="17" t="s">
        <v>12</v>
      </c>
      <c r="K1051" s="13" t="s">
        <v>16</v>
      </c>
      <c r="L1051" s="15">
        <v>6331.2</v>
      </c>
    </row>
    <row r="1052" spans="1:12" ht="21" customHeight="1" outlineLevel="2" x14ac:dyDescent="0.25">
      <c r="A1052" s="16">
        <f t="shared" si="95"/>
        <v>1051</v>
      </c>
      <c r="B1052" s="12" t="str">
        <f t="shared" si="105"/>
        <v>ЩР1.4(БЛОК 7)</v>
      </c>
      <c r="C1052" s="13" t="s">
        <v>11</v>
      </c>
      <c r="D1052" s="29" t="s">
        <v>53</v>
      </c>
      <c r="E1052" s="12" t="s">
        <v>54</v>
      </c>
      <c r="F1052" s="37">
        <v>783</v>
      </c>
      <c r="G1052" s="38">
        <f t="shared" si="106"/>
        <v>469.79999999999995</v>
      </c>
      <c r="H1052" s="38">
        <f>G1052*I1052</f>
        <v>939.59999999999991</v>
      </c>
      <c r="I1052" s="16">
        <v>2</v>
      </c>
      <c r="J1052" s="17" t="s">
        <v>12</v>
      </c>
      <c r="K1052" s="13" t="s">
        <v>16</v>
      </c>
      <c r="L1052" s="15">
        <v>939.59999999999991</v>
      </c>
    </row>
    <row r="1053" spans="1:12" ht="21" customHeight="1" outlineLevel="2" x14ac:dyDescent="0.25">
      <c r="A1053" s="16">
        <f t="shared" si="95"/>
        <v>1052</v>
      </c>
      <c r="B1053" s="12" t="str">
        <f t="shared" si="105"/>
        <v>ЩР1.4(БЛОК 7)</v>
      </c>
      <c r="C1053" s="13" t="s">
        <v>22</v>
      </c>
      <c r="D1053" s="29" t="s">
        <v>117</v>
      </c>
      <c r="E1053" s="12" t="s">
        <v>118</v>
      </c>
      <c r="F1053" s="37">
        <v>5104</v>
      </c>
      <c r="G1053" s="38">
        <f t="shared" si="106"/>
        <v>3062.4</v>
      </c>
      <c r="H1053" s="38">
        <f>G1053*I1053</f>
        <v>9187.2000000000007</v>
      </c>
      <c r="I1053" s="16">
        <v>3</v>
      </c>
      <c r="J1053" s="17" t="s">
        <v>12</v>
      </c>
      <c r="K1053" s="13" t="s">
        <v>16</v>
      </c>
      <c r="L1053" s="15">
        <v>9187.2000000000007</v>
      </c>
    </row>
    <row r="1054" spans="1:12" ht="24" customHeight="1" outlineLevel="2" x14ac:dyDescent="0.25">
      <c r="A1054" s="12">
        <f t="shared" si="95"/>
        <v>1053</v>
      </c>
      <c r="B1054" s="12" t="str">
        <f t="shared" si="105"/>
        <v>ЩР1.4(БЛОК 7)</v>
      </c>
      <c r="C1054" s="12" t="s">
        <v>9</v>
      </c>
      <c r="D1054" s="30" t="s">
        <v>9</v>
      </c>
      <c r="E1054" s="12" t="s">
        <v>9</v>
      </c>
      <c r="F1054" s="18">
        <f ca="1">OFFSET(F1054,1,2)</f>
        <v>4200</v>
      </c>
      <c r="G1054" s="38">
        <f ca="1">F1054</f>
        <v>4200</v>
      </c>
      <c r="H1054" s="38">
        <f ca="1">G1054*I1054</f>
        <v>4200</v>
      </c>
      <c r="I1054" s="12">
        <v>1</v>
      </c>
      <c r="J1054" s="12" t="s">
        <v>12</v>
      </c>
      <c r="K1054" s="12" t="s">
        <v>9</v>
      </c>
      <c r="L1054" s="15">
        <v>4200</v>
      </c>
    </row>
    <row r="1055" spans="1:12" ht="21" customHeight="1" outlineLevel="2" x14ac:dyDescent="0.25">
      <c r="A1055" s="12">
        <f t="shared" si="95"/>
        <v>1054</v>
      </c>
      <c r="B1055" s="12" t="str">
        <f t="shared" si="105"/>
        <v>ЩР1.4(БЛОК 7)</v>
      </c>
      <c r="C1055" s="12" t="s">
        <v>10</v>
      </c>
      <c r="D1055" s="30" t="s">
        <v>10</v>
      </c>
      <c r="E1055" s="12" t="s">
        <v>10</v>
      </c>
      <c r="F1055" s="18">
        <v>0.7</v>
      </c>
      <c r="G1055" s="38">
        <v>100</v>
      </c>
      <c r="H1055" s="38">
        <f>60*F1055*G1055</f>
        <v>4200</v>
      </c>
      <c r="I1055" s="12">
        <f>60*F1055</f>
        <v>42</v>
      </c>
      <c r="J1055" s="12" t="s">
        <v>12</v>
      </c>
      <c r="K1055" s="12" t="s">
        <v>10</v>
      </c>
      <c r="L1055" s="15">
        <v>4200</v>
      </c>
    </row>
    <row r="1056" spans="1:12" ht="21" customHeight="1" outlineLevel="1" x14ac:dyDescent="0.25">
      <c r="A1056" s="12"/>
      <c r="B1056" s="12" t="s">
        <v>718</v>
      </c>
      <c r="C1056" s="12"/>
      <c r="D1056" s="30"/>
      <c r="E1056" s="12"/>
      <c r="F1056" s="18"/>
      <c r="G1056" s="38"/>
      <c r="H1056" s="38">
        <f ca="1">SUBTOTAL(9,H1049:H1055)</f>
        <v>28638</v>
      </c>
      <c r="I1056" s="12"/>
      <c r="J1056" s="12"/>
      <c r="K1056" s="12"/>
      <c r="L1056" s="15">
        <v>28638</v>
      </c>
    </row>
    <row r="1057" spans="1:12" ht="39.75" customHeight="1" outlineLevel="2" x14ac:dyDescent="0.25">
      <c r="A1057" s="10">
        <f>ROW(A1055)</f>
        <v>1055</v>
      </c>
      <c r="B1057" s="6" t="str">
        <f>E1057</f>
        <v>ЩР1.5(БЛОК 7)</v>
      </c>
      <c r="C1057" s="6"/>
      <c r="D1057" s="28"/>
      <c r="E1057" s="6" t="s">
        <v>313</v>
      </c>
      <c r="F1057" s="36"/>
      <c r="G1057" s="36" t="s">
        <v>73</v>
      </c>
      <c r="H1057" s="7"/>
      <c r="I1057" s="10">
        <v>1</v>
      </c>
      <c r="J1057" s="11" t="s">
        <v>6</v>
      </c>
      <c r="K1057" s="6" t="s">
        <v>8</v>
      </c>
      <c r="L1057" s="9"/>
    </row>
    <row r="1058" spans="1:12" ht="21" customHeight="1" outlineLevel="2" x14ac:dyDescent="0.25">
      <c r="A1058" s="16">
        <f t="shared" si="95"/>
        <v>1057</v>
      </c>
      <c r="B1058" s="12" t="str">
        <f t="shared" ref="B1058:B1063" si="107">B1057</f>
        <v>ЩР1.5(БЛОК 7)</v>
      </c>
      <c r="C1058" s="13" t="s">
        <v>7</v>
      </c>
      <c r="D1058" s="29" t="s">
        <v>590</v>
      </c>
      <c r="E1058" s="12" t="s">
        <v>591</v>
      </c>
      <c r="F1058" s="37">
        <v>11400</v>
      </c>
      <c r="G1058" s="38">
        <f>F1058*0.6</f>
        <v>6840</v>
      </c>
      <c r="H1058" s="38">
        <f>I1058*G1058</f>
        <v>6840</v>
      </c>
      <c r="I1058" s="16">
        <v>1</v>
      </c>
      <c r="J1058" s="17" t="s">
        <v>12</v>
      </c>
      <c r="K1058" s="13" t="s">
        <v>581</v>
      </c>
      <c r="L1058" s="15">
        <v>6840</v>
      </c>
    </row>
    <row r="1059" spans="1:12" ht="21" customHeight="1" outlineLevel="2" x14ac:dyDescent="0.25">
      <c r="A1059" s="16">
        <f t="shared" si="95"/>
        <v>1058</v>
      </c>
      <c r="B1059" s="12" t="str">
        <f t="shared" si="107"/>
        <v>ЩР1.5(БЛОК 7)</v>
      </c>
      <c r="C1059" s="13" t="s">
        <v>11</v>
      </c>
      <c r="D1059" s="29" t="s">
        <v>453</v>
      </c>
      <c r="E1059" s="12" t="s">
        <v>454</v>
      </c>
      <c r="F1059" s="37">
        <v>10552</v>
      </c>
      <c r="G1059" s="38">
        <f t="shared" ref="G1059:G1061" si="108">F1059*0.6</f>
        <v>6331.2</v>
      </c>
      <c r="H1059" s="38">
        <f>G1059*I1059</f>
        <v>6331.2</v>
      </c>
      <c r="I1059" s="16">
        <v>1</v>
      </c>
      <c r="J1059" s="17" t="s">
        <v>12</v>
      </c>
      <c r="K1059" s="13" t="s">
        <v>16</v>
      </c>
      <c r="L1059" s="15">
        <v>6331.2</v>
      </c>
    </row>
    <row r="1060" spans="1:12" ht="21" customHeight="1" outlineLevel="2" x14ac:dyDescent="0.25">
      <c r="A1060" s="16">
        <f t="shared" si="95"/>
        <v>1059</v>
      </c>
      <c r="B1060" s="12" t="str">
        <f t="shared" si="107"/>
        <v>ЩР1.5(БЛОК 7)</v>
      </c>
      <c r="C1060" s="13" t="s">
        <v>11</v>
      </c>
      <c r="D1060" s="29" t="s">
        <v>53</v>
      </c>
      <c r="E1060" s="12" t="s">
        <v>54</v>
      </c>
      <c r="F1060" s="37">
        <v>783</v>
      </c>
      <c r="G1060" s="38">
        <f t="shared" si="108"/>
        <v>469.79999999999995</v>
      </c>
      <c r="H1060" s="38">
        <f>G1060*I1060</f>
        <v>1879.1999999999998</v>
      </c>
      <c r="I1060" s="16">
        <v>4</v>
      </c>
      <c r="J1060" s="17" t="s">
        <v>12</v>
      </c>
      <c r="K1060" s="13" t="s">
        <v>16</v>
      </c>
      <c r="L1060" s="15">
        <v>1879.1999999999998</v>
      </c>
    </row>
    <row r="1061" spans="1:12" ht="21" customHeight="1" outlineLevel="2" x14ac:dyDescent="0.25">
      <c r="A1061" s="16">
        <f t="shared" si="95"/>
        <v>1060</v>
      </c>
      <c r="B1061" s="12" t="str">
        <f t="shared" si="107"/>
        <v>ЩР1.5(БЛОК 7)</v>
      </c>
      <c r="C1061" s="13" t="s">
        <v>22</v>
      </c>
      <c r="D1061" s="29" t="s">
        <v>117</v>
      </c>
      <c r="E1061" s="12" t="s">
        <v>118</v>
      </c>
      <c r="F1061" s="37">
        <v>5104</v>
      </c>
      <c r="G1061" s="38">
        <f t="shared" si="108"/>
        <v>3062.4</v>
      </c>
      <c r="H1061" s="38">
        <f>G1061*I1061</f>
        <v>12249.6</v>
      </c>
      <c r="I1061" s="16">
        <v>4</v>
      </c>
      <c r="J1061" s="17" t="s">
        <v>12</v>
      </c>
      <c r="K1061" s="13" t="s">
        <v>16</v>
      </c>
      <c r="L1061" s="15">
        <v>12249.6</v>
      </c>
    </row>
    <row r="1062" spans="1:12" ht="24" customHeight="1" outlineLevel="2" x14ac:dyDescent="0.25">
      <c r="A1062" s="12">
        <f t="shared" si="95"/>
        <v>1061</v>
      </c>
      <c r="B1062" s="12" t="str">
        <f t="shared" si="107"/>
        <v>ЩР1.5(БЛОК 7)</v>
      </c>
      <c r="C1062" s="12" t="s">
        <v>9</v>
      </c>
      <c r="D1062" s="30" t="s">
        <v>9</v>
      </c>
      <c r="E1062" s="12" t="s">
        <v>9</v>
      </c>
      <c r="F1062" s="18">
        <f ca="1">OFFSET(F1062,1,2)</f>
        <v>4200</v>
      </c>
      <c r="G1062" s="38">
        <f ca="1">F1062</f>
        <v>4200</v>
      </c>
      <c r="H1062" s="38">
        <f ca="1">G1062*I1062</f>
        <v>4200</v>
      </c>
      <c r="I1062" s="12">
        <v>1</v>
      </c>
      <c r="J1062" s="12" t="s">
        <v>12</v>
      </c>
      <c r="K1062" s="12" t="s">
        <v>9</v>
      </c>
      <c r="L1062" s="15">
        <v>4200</v>
      </c>
    </row>
    <row r="1063" spans="1:12" ht="21" customHeight="1" outlineLevel="2" x14ac:dyDescent="0.25">
      <c r="A1063" s="12">
        <f t="shared" si="95"/>
        <v>1062</v>
      </c>
      <c r="B1063" s="12" t="str">
        <f t="shared" si="107"/>
        <v>ЩР1.5(БЛОК 7)</v>
      </c>
      <c r="C1063" s="12" t="s">
        <v>10</v>
      </c>
      <c r="D1063" s="30" t="s">
        <v>10</v>
      </c>
      <c r="E1063" s="12" t="s">
        <v>10</v>
      </c>
      <c r="F1063" s="18">
        <v>0.7</v>
      </c>
      <c r="G1063" s="38">
        <v>100</v>
      </c>
      <c r="H1063" s="38">
        <f>60*F1063*G1063</f>
        <v>4200</v>
      </c>
      <c r="I1063" s="12">
        <v>1</v>
      </c>
      <c r="J1063" s="12" t="s">
        <v>12</v>
      </c>
      <c r="K1063" s="12" t="s">
        <v>10</v>
      </c>
      <c r="L1063" s="15">
        <v>4200</v>
      </c>
    </row>
    <row r="1064" spans="1:12" ht="21" customHeight="1" outlineLevel="1" x14ac:dyDescent="0.25">
      <c r="A1064" s="12"/>
      <c r="B1064" s="12" t="s">
        <v>719</v>
      </c>
      <c r="C1064" s="12"/>
      <c r="D1064" s="30"/>
      <c r="E1064" s="12"/>
      <c r="F1064" s="18"/>
      <c r="G1064" s="38"/>
      <c r="H1064" s="38">
        <f ca="1">SUBTOTAL(9,H1057:H1063)</f>
        <v>35700</v>
      </c>
      <c r="I1064" s="12"/>
      <c r="J1064" s="12"/>
      <c r="K1064" s="12"/>
      <c r="L1064" s="15">
        <v>35700</v>
      </c>
    </row>
    <row r="1065" spans="1:12" ht="39.75" customHeight="1" outlineLevel="2" x14ac:dyDescent="0.25">
      <c r="A1065" s="10">
        <f>ROW(A1063)</f>
        <v>1063</v>
      </c>
      <c r="B1065" s="6" t="str">
        <f>E1065</f>
        <v>ЩР2.1(БЛОК 7)</v>
      </c>
      <c r="C1065" s="6"/>
      <c r="D1065" s="28"/>
      <c r="E1065" s="6" t="s">
        <v>314</v>
      </c>
      <c r="F1065" s="36"/>
      <c r="G1065" s="36" t="s">
        <v>73</v>
      </c>
      <c r="H1065" s="7"/>
      <c r="I1065" s="10">
        <v>1</v>
      </c>
      <c r="J1065" s="11" t="s">
        <v>6</v>
      </c>
      <c r="K1065" s="6" t="s">
        <v>8</v>
      </c>
      <c r="L1065" s="9"/>
    </row>
    <row r="1066" spans="1:12" ht="21" customHeight="1" outlineLevel="2" x14ac:dyDescent="0.25">
      <c r="A1066" s="16">
        <f t="shared" si="95"/>
        <v>1065</v>
      </c>
      <c r="B1066" s="12" t="str">
        <f t="shared" ref="B1066:B1071" si="109">B1065</f>
        <v>ЩР2.1(БЛОК 7)</v>
      </c>
      <c r="C1066" s="13" t="s">
        <v>7</v>
      </c>
      <c r="D1066" s="29" t="s">
        <v>588</v>
      </c>
      <c r="E1066" s="12" t="s">
        <v>589</v>
      </c>
      <c r="F1066" s="37">
        <v>6300</v>
      </c>
      <c r="G1066" s="38">
        <f>F1066*0.6</f>
        <v>3780</v>
      </c>
      <c r="H1066" s="38">
        <f>I1066*G1066</f>
        <v>3780</v>
      </c>
      <c r="I1066" s="16">
        <v>1</v>
      </c>
      <c r="J1066" s="17" t="s">
        <v>12</v>
      </c>
      <c r="K1066" s="13" t="s">
        <v>581</v>
      </c>
      <c r="L1066" s="15">
        <v>3780</v>
      </c>
    </row>
    <row r="1067" spans="1:12" ht="21" customHeight="1" outlineLevel="2" x14ac:dyDescent="0.25">
      <c r="A1067" s="16">
        <f t="shared" si="95"/>
        <v>1066</v>
      </c>
      <c r="B1067" s="12" t="str">
        <f t="shared" si="109"/>
        <v>ЩР2.1(БЛОК 7)</v>
      </c>
      <c r="C1067" s="13" t="s">
        <v>11</v>
      </c>
      <c r="D1067" s="29" t="s">
        <v>453</v>
      </c>
      <c r="E1067" s="12" t="s">
        <v>454</v>
      </c>
      <c r="F1067" s="37">
        <v>10552</v>
      </c>
      <c r="G1067" s="38">
        <f t="shared" ref="G1067:G1069" si="110">F1067*0.6</f>
        <v>6331.2</v>
      </c>
      <c r="H1067" s="38">
        <f>G1067*I1067</f>
        <v>6331.2</v>
      </c>
      <c r="I1067" s="16">
        <v>1</v>
      </c>
      <c r="J1067" s="17" t="s">
        <v>12</v>
      </c>
      <c r="K1067" s="13" t="s">
        <v>16</v>
      </c>
      <c r="L1067" s="15">
        <v>6331.2</v>
      </c>
    </row>
    <row r="1068" spans="1:12" ht="21" customHeight="1" outlineLevel="2" x14ac:dyDescent="0.25">
      <c r="A1068" s="16">
        <f t="shared" si="95"/>
        <v>1067</v>
      </c>
      <c r="B1068" s="12" t="str">
        <f t="shared" si="109"/>
        <v>ЩР2.1(БЛОК 7)</v>
      </c>
      <c r="C1068" s="13" t="s">
        <v>11</v>
      </c>
      <c r="D1068" s="29" t="s">
        <v>53</v>
      </c>
      <c r="E1068" s="12" t="s">
        <v>54</v>
      </c>
      <c r="F1068" s="37">
        <v>783</v>
      </c>
      <c r="G1068" s="38">
        <f t="shared" si="110"/>
        <v>469.79999999999995</v>
      </c>
      <c r="H1068" s="38">
        <f>G1068*I1068</f>
        <v>939.59999999999991</v>
      </c>
      <c r="I1068" s="16">
        <v>2</v>
      </c>
      <c r="J1068" s="17" t="s">
        <v>12</v>
      </c>
      <c r="K1068" s="13" t="s">
        <v>16</v>
      </c>
      <c r="L1068" s="15">
        <v>939.59999999999991</v>
      </c>
    </row>
    <row r="1069" spans="1:12" ht="21" customHeight="1" outlineLevel="2" x14ac:dyDescent="0.25">
      <c r="A1069" s="16">
        <f t="shared" si="95"/>
        <v>1068</v>
      </c>
      <c r="B1069" s="12" t="str">
        <f t="shared" si="109"/>
        <v>ЩР2.1(БЛОК 7)</v>
      </c>
      <c r="C1069" s="13" t="s">
        <v>22</v>
      </c>
      <c r="D1069" s="29" t="s">
        <v>117</v>
      </c>
      <c r="E1069" s="12" t="s">
        <v>118</v>
      </c>
      <c r="F1069" s="37">
        <v>5104</v>
      </c>
      <c r="G1069" s="38">
        <f t="shared" si="110"/>
        <v>3062.4</v>
      </c>
      <c r="H1069" s="38">
        <f>G1069*I1069</f>
        <v>6124.8</v>
      </c>
      <c r="I1069" s="16">
        <v>2</v>
      </c>
      <c r="J1069" s="17" t="s">
        <v>12</v>
      </c>
      <c r="K1069" s="13" t="s">
        <v>16</v>
      </c>
      <c r="L1069" s="15">
        <v>6124.8</v>
      </c>
    </row>
    <row r="1070" spans="1:12" ht="24" customHeight="1" outlineLevel="2" x14ac:dyDescent="0.25">
      <c r="A1070" s="12">
        <f t="shared" si="95"/>
        <v>1069</v>
      </c>
      <c r="B1070" s="12" t="str">
        <f t="shared" si="109"/>
        <v>ЩР2.1(БЛОК 7)</v>
      </c>
      <c r="C1070" s="12" t="s">
        <v>9</v>
      </c>
      <c r="D1070" s="30" t="s">
        <v>9</v>
      </c>
      <c r="E1070" s="12" t="s">
        <v>9</v>
      </c>
      <c r="F1070" s="18">
        <f ca="1">OFFSET(F1070,1,2)</f>
        <v>4200</v>
      </c>
      <c r="G1070" s="38">
        <f ca="1">F1070</f>
        <v>4200</v>
      </c>
      <c r="H1070" s="38">
        <f ca="1">G1070*I1070</f>
        <v>4200</v>
      </c>
      <c r="I1070" s="12">
        <v>1</v>
      </c>
      <c r="J1070" s="12" t="s">
        <v>12</v>
      </c>
      <c r="K1070" s="12" t="s">
        <v>9</v>
      </c>
      <c r="L1070" s="15">
        <v>4200</v>
      </c>
    </row>
    <row r="1071" spans="1:12" ht="21" customHeight="1" outlineLevel="2" x14ac:dyDescent="0.25">
      <c r="A1071" s="12">
        <f t="shared" si="95"/>
        <v>1070</v>
      </c>
      <c r="B1071" s="12" t="str">
        <f t="shared" si="109"/>
        <v>ЩР2.1(БЛОК 7)</v>
      </c>
      <c r="C1071" s="12" t="s">
        <v>10</v>
      </c>
      <c r="D1071" s="30" t="s">
        <v>10</v>
      </c>
      <c r="E1071" s="12" t="s">
        <v>10</v>
      </c>
      <c r="F1071" s="18">
        <v>0.7</v>
      </c>
      <c r="G1071" s="38">
        <v>100</v>
      </c>
      <c r="H1071" s="38">
        <f>60*F1071*G1071</f>
        <v>4200</v>
      </c>
      <c r="I1071" s="12">
        <v>1</v>
      </c>
      <c r="J1071" s="12" t="s">
        <v>12</v>
      </c>
      <c r="K1071" s="12" t="s">
        <v>10</v>
      </c>
      <c r="L1071" s="15">
        <v>4200</v>
      </c>
    </row>
    <row r="1072" spans="1:12" ht="21" customHeight="1" outlineLevel="1" x14ac:dyDescent="0.25">
      <c r="A1072" s="12"/>
      <c r="B1072" s="12" t="s">
        <v>720</v>
      </c>
      <c r="C1072" s="12"/>
      <c r="D1072" s="30"/>
      <c r="E1072" s="12"/>
      <c r="F1072" s="18"/>
      <c r="G1072" s="38"/>
      <c r="H1072" s="38">
        <f ca="1">SUBTOTAL(9,H1065:H1071)</f>
        <v>25575.600000000002</v>
      </c>
      <c r="I1072" s="12"/>
      <c r="J1072" s="12"/>
      <c r="K1072" s="12"/>
      <c r="L1072" s="15">
        <v>25575.600000000002</v>
      </c>
    </row>
    <row r="1073" spans="1:12" ht="39.75" customHeight="1" outlineLevel="2" x14ac:dyDescent="0.25">
      <c r="A1073" s="10">
        <f>ROW(A1071)</f>
        <v>1071</v>
      </c>
      <c r="B1073" s="6" t="str">
        <f>E1073</f>
        <v>ЩР2.2(БЛОК 7)</v>
      </c>
      <c r="C1073" s="6"/>
      <c r="D1073" s="28"/>
      <c r="E1073" s="6" t="s">
        <v>315</v>
      </c>
      <c r="F1073" s="36"/>
      <c r="G1073" s="36" t="s">
        <v>73</v>
      </c>
      <c r="H1073" s="7"/>
      <c r="I1073" s="10">
        <v>1</v>
      </c>
      <c r="J1073" s="11" t="s">
        <v>6</v>
      </c>
      <c r="K1073" s="6" t="s">
        <v>8</v>
      </c>
      <c r="L1073" s="9"/>
    </row>
    <row r="1074" spans="1:12" ht="21" customHeight="1" outlineLevel="2" x14ac:dyDescent="0.25">
      <c r="A1074" s="16">
        <f t="shared" si="95"/>
        <v>1073</v>
      </c>
      <c r="B1074" s="12" t="str">
        <f t="shared" ref="B1074:B1079" si="111">B1073</f>
        <v>ЩР2.2(БЛОК 7)</v>
      </c>
      <c r="C1074" s="13" t="s">
        <v>7</v>
      </c>
      <c r="D1074" s="29" t="s">
        <v>588</v>
      </c>
      <c r="E1074" s="12" t="s">
        <v>589</v>
      </c>
      <c r="F1074" s="37">
        <v>6300</v>
      </c>
      <c r="G1074" s="38">
        <f>F1074*0.6</f>
        <v>3780</v>
      </c>
      <c r="H1074" s="38">
        <f>I1074*G1074</f>
        <v>3780</v>
      </c>
      <c r="I1074" s="16">
        <v>1</v>
      </c>
      <c r="J1074" s="17" t="s">
        <v>12</v>
      </c>
      <c r="K1074" s="13" t="s">
        <v>581</v>
      </c>
      <c r="L1074" s="15">
        <v>3780</v>
      </c>
    </row>
    <row r="1075" spans="1:12" ht="21" customHeight="1" outlineLevel="2" x14ac:dyDescent="0.25">
      <c r="A1075" s="16">
        <f t="shared" si="95"/>
        <v>1074</v>
      </c>
      <c r="B1075" s="12" t="str">
        <f t="shared" si="111"/>
        <v>ЩР2.2(БЛОК 7)</v>
      </c>
      <c r="C1075" s="13" t="s">
        <v>11</v>
      </c>
      <c r="D1075" s="29" t="s">
        <v>453</v>
      </c>
      <c r="E1075" s="12" t="s">
        <v>454</v>
      </c>
      <c r="F1075" s="37">
        <v>10552</v>
      </c>
      <c r="G1075" s="38">
        <f t="shared" ref="G1075:G1077" si="112">F1075*0.6</f>
        <v>6331.2</v>
      </c>
      <c r="H1075" s="38">
        <f>G1075*I1075</f>
        <v>6331.2</v>
      </c>
      <c r="I1075" s="16">
        <v>1</v>
      </c>
      <c r="J1075" s="17" t="s">
        <v>12</v>
      </c>
      <c r="K1075" s="13" t="s">
        <v>16</v>
      </c>
      <c r="L1075" s="15">
        <v>6331.2</v>
      </c>
    </row>
    <row r="1076" spans="1:12" ht="21" customHeight="1" outlineLevel="2" x14ac:dyDescent="0.25">
      <c r="A1076" s="16">
        <f t="shared" si="95"/>
        <v>1075</v>
      </c>
      <c r="B1076" s="12" t="str">
        <f t="shared" si="111"/>
        <v>ЩР2.2(БЛОК 7)</v>
      </c>
      <c r="C1076" s="13" t="s">
        <v>11</v>
      </c>
      <c r="D1076" s="29" t="s">
        <v>53</v>
      </c>
      <c r="E1076" s="12" t="s">
        <v>54</v>
      </c>
      <c r="F1076" s="37">
        <v>783</v>
      </c>
      <c r="G1076" s="38">
        <f t="shared" si="112"/>
        <v>469.79999999999995</v>
      </c>
      <c r="H1076" s="38">
        <f>G1076*I1076</f>
        <v>939.59999999999991</v>
      </c>
      <c r="I1076" s="16">
        <v>2</v>
      </c>
      <c r="J1076" s="17" t="s">
        <v>12</v>
      </c>
      <c r="K1076" s="13" t="s">
        <v>16</v>
      </c>
      <c r="L1076" s="15">
        <v>939.59999999999991</v>
      </c>
    </row>
    <row r="1077" spans="1:12" ht="21" customHeight="1" outlineLevel="2" x14ac:dyDescent="0.25">
      <c r="A1077" s="16">
        <f t="shared" si="95"/>
        <v>1076</v>
      </c>
      <c r="B1077" s="12" t="str">
        <f t="shared" si="111"/>
        <v>ЩР2.2(БЛОК 7)</v>
      </c>
      <c r="C1077" s="13" t="s">
        <v>22</v>
      </c>
      <c r="D1077" s="29" t="s">
        <v>117</v>
      </c>
      <c r="E1077" s="12" t="s">
        <v>118</v>
      </c>
      <c r="F1077" s="37">
        <v>5104</v>
      </c>
      <c r="G1077" s="38">
        <f t="shared" si="112"/>
        <v>3062.4</v>
      </c>
      <c r="H1077" s="38">
        <f>G1077*I1077</f>
        <v>9187.2000000000007</v>
      </c>
      <c r="I1077" s="16">
        <v>3</v>
      </c>
      <c r="J1077" s="17" t="s">
        <v>12</v>
      </c>
      <c r="K1077" s="13" t="s">
        <v>16</v>
      </c>
      <c r="L1077" s="15">
        <v>9187.2000000000007</v>
      </c>
    </row>
    <row r="1078" spans="1:12" ht="24" customHeight="1" outlineLevel="2" x14ac:dyDescent="0.25">
      <c r="A1078" s="12">
        <f t="shared" si="95"/>
        <v>1077</v>
      </c>
      <c r="B1078" s="12" t="str">
        <f t="shared" si="111"/>
        <v>ЩР2.2(БЛОК 7)</v>
      </c>
      <c r="C1078" s="12" t="s">
        <v>9</v>
      </c>
      <c r="D1078" s="30" t="s">
        <v>9</v>
      </c>
      <c r="E1078" s="12" t="s">
        <v>9</v>
      </c>
      <c r="F1078" s="18">
        <f ca="1">OFFSET(F1078,1,2)</f>
        <v>4200</v>
      </c>
      <c r="G1078" s="38">
        <f ca="1">F1078</f>
        <v>4200</v>
      </c>
      <c r="H1078" s="38">
        <f ca="1">G1078*I1078</f>
        <v>4200</v>
      </c>
      <c r="I1078" s="12">
        <v>1</v>
      </c>
      <c r="J1078" s="12" t="s">
        <v>12</v>
      </c>
      <c r="K1078" s="12" t="s">
        <v>9</v>
      </c>
      <c r="L1078" s="15">
        <v>4200</v>
      </c>
    </row>
    <row r="1079" spans="1:12" ht="21" customHeight="1" outlineLevel="2" x14ac:dyDescent="0.25">
      <c r="A1079" s="12">
        <f t="shared" si="95"/>
        <v>1078</v>
      </c>
      <c r="B1079" s="12" t="str">
        <f t="shared" si="111"/>
        <v>ЩР2.2(БЛОК 7)</v>
      </c>
      <c r="C1079" s="12" t="s">
        <v>10</v>
      </c>
      <c r="D1079" s="30" t="s">
        <v>10</v>
      </c>
      <c r="E1079" s="12" t="s">
        <v>10</v>
      </c>
      <c r="F1079" s="18">
        <v>0.7</v>
      </c>
      <c r="G1079" s="38">
        <v>100</v>
      </c>
      <c r="H1079" s="38">
        <f>60*F1079*G1079</f>
        <v>4200</v>
      </c>
      <c r="I1079" s="12">
        <v>1</v>
      </c>
      <c r="J1079" s="12" t="s">
        <v>12</v>
      </c>
      <c r="K1079" s="12" t="s">
        <v>10</v>
      </c>
      <c r="L1079" s="15">
        <v>4200</v>
      </c>
    </row>
    <row r="1080" spans="1:12" ht="21" customHeight="1" outlineLevel="1" x14ac:dyDescent="0.25">
      <c r="A1080" s="12"/>
      <c r="B1080" s="12" t="s">
        <v>721</v>
      </c>
      <c r="C1080" s="12"/>
      <c r="D1080" s="30"/>
      <c r="E1080" s="12"/>
      <c r="F1080" s="18"/>
      <c r="G1080" s="38"/>
      <c r="H1080" s="38">
        <f ca="1">SUBTOTAL(9,H1073:H1079)</f>
        <v>28638</v>
      </c>
      <c r="I1080" s="12"/>
      <c r="J1080" s="12"/>
      <c r="K1080" s="12"/>
      <c r="L1080" s="15">
        <v>28638</v>
      </c>
    </row>
    <row r="1081" spans="1:12" ht="39.75" customHeight="1" outlineLevel="2" x14ac:dyDescent="0.25">
      <c r="A1081" s="10">
        <f>ROW(A1079)</f>
        <v>1079</v>
      </c>
      <c r="B1081" s="6" t="str">
        <f>E1081</f>
        <v>ЩР2.3(БЛОК 7)</v>
      </c>
      <c r="C1081" s="6"/>
      <c r="D1081" s="28"/>
      <c r="E1081" s="6" t="s">
        <v>316</v>
      </c>
      <c r="F1081" s="36"/>
      <c r="G1081" s="36" t="s">
        <v>73</v>
      </c>
      <c r="H1081" s="7"/>
      <c r="I1081" s="10">
        <v>1</v>
      </c>
      <c r="J1081" s="11" t="s">
        <v>6</v>
      </c>
      <c r="K1081" s="6" t="s">
        <v>8</v>
      </c>
      <c r="L1081" s="9"/>
    </row>
    <row r="1082" spans="1:12" ht="21" customHeight="1" outlineLevel="2" x14ac:dyDescent="0.25">
      <c r="A1082" s="16">
        <f t="shared" si="95"/>
        <v>1081</v>
      </c>
      <c r="B1082" s="12" t="str">
        <f t="shared" ref="B1082:B1086" si="113">B1081</f>
        <v>ЩР2.3(БЛОК 7)</v>
      </c>
      <c r="C1082" s="13" t="s">
        <v>7</v>
      </c>
      <c r="D1082" s="29" t="s">
        <v>588</v>
      </c>
      <c r="E1082" s="12" t="s">
        <v>589</v>
      </c>
      <c r="F1082" s="37">
        <v>6300</v>
      </c>
      <c r="G1082" s="38">
        <f>F1082*0.6</f>
        <v>3780</v>
      </c>
      <c r="H1082" s="38">
        <f>I1082*G1082</f>
        <v>3780</v>
      </c>
      <c r="I1082" s="16">
        <v>1</v>
      </c>
      <c r="J1082" s="17" t="s">
        <v>12</v>
      </c>
      <c r="K1082" s="13" t="s">
        <v>581</v>
      </c>
      <c r="L1082" s="15">
        <v>3780</v>
      </c>
    </row>
    <row r="1083" spans="1:12" ht="21" customHeight="1" outlineLevel="2" x14ac:dyDescent="0.25">
      <c r="A1083" s="16">
        <f t="shared" si="95"/>
        <v>1082</v>
      </c>
      <c r="B1083" s="12" t="str">
        <f t="shared" si="113"/>
        <v>ЩР2.3(БЛОК 7)</v>
      </c>
      <c r="C1083" s="13" t="s">
        <v>11</v>
      </c>
      <c r="D1083" s="29" t="s">
        <v>453</v>
      </c>
      <c r="E1083" s="12" t="s">
        <v>454</v>
      </c>
      <c r="F1083" s="37">
        <v>10552</v>
      </c>
      <c r="G1083" s="38">
        <f t="shared" ref="G1083:G1084" si="114">F1083*0.6</f>
        <v>6331.2</v>
      </c>
      <c r="H1083" s="38">
        <f>G1083*I1083</f>
        <v>6331.2</v>
      </c>
      <c r="I1083" s="16">
        <v>1</v>
      </c>
      <c r="J1083" s="17" t="s">
        <v>12</v>
      </c>
      <c r="K1083" s="13" t="s">
        <v>16</v>
      </c>
      <c r="L1083" s="15">
        <v>6331.2</v>
      </c>
    </row>
    <row r="1084" spans="1:12" ht="21" customHeight="1" outlineLevel="2" x14ac:dyDescent="0.25">
      <c r="A1084" s="16">
        <f t="shared" si="95"/>
        <v>1083</v>
      </c>
      <c r="B1084" s="12" t="str">
        <f t="shared" si="113"/>
        <v>ЩР2.3(БЛОК 7)</v>
      </c>
      <c r="C1084" s="13" t="s">
        <v>11</v>
      </c>
      <c r="D1084" s="29" t="s">
        <v>53</v>
      </c>
      <c r="E1084" s="12" t="s">
        <v>54</v>
      </c>
      <c r="F1084" s="37">
        <v>783</v>
      </c>
      <c r="G1084" s="38">
        <f t="shared" si="114"/>
        <v>469.79999999999995</v>
      </c>
      <c r="H1084" s="38">
        <f>G1084*I1084</f>
        <v>1409.3999999999999</v>
      </c>
      <c r="I1084" s="16">
        <v>3</v>
      </c>
      <c r="J1084" s="17" t="s">
        <v>12</v>
      </c>
      <c r="K1084" s="13" t="s">
        <v>16</v>
      </c>
      <c r="L1084" s="15">
        <v>1409.3999999999999</v>
      </c>
    </row>
    <row r="1085" spans="1:12" ht="24" customHeight="1" outlineLevel="2" x14ac:dyDescent="0.25">
      <c r="A1085" s="12">
        <f t="shared" ref="A1085:A1157" si="115">ROW(A1084)</f>
        <v>1084</v>
      </c>
      <c r="B1085" s="12" t="str">
        <f t="shared" si="113"/>
        <v>ЩР2.3(БЛОК 7)</v>
      </c>
      <c r="C1085" s="12" t="s">
        <v>9</v>
      </c>
      <c r="D1085" s="30" t="s">
        <v>9</v>
      </c>
      <c r="E1085" s="12" t="s">
        <v>9</v>
      </c>
      <c r="F1085" s="18">
        <f ca="1">OFFSET(F1085,1,2)</f>
        <v>4200</v>
      </c>
      <c r="G1085" s="38">
        <f ca="1">F1085</f>
        <v>4200</v>
      </c>
      <c r="H1085" s="38">
        <f ca="1">G1085*I1085</f>
        <v>4200</v>
      </c>
      <c r="I1085" s="12">
        <v>1</v>
      </c>
      <c r="J1085" s="12" t="s">
        <v>12</v>
      </c>
      <c r="K1085" s="12" t="s">
        <v>9</v>
      </c>
      <c r="L1085" s="15">
        <v>4200</v>
      </c>
    </row>
    <row r="1086" spans="1:12" ht="21" customHeight="1" outlineLevel="2" x14ac:dyDescent="0.25">
      <c r="A1086" s="12">
        <f t="shared" si="115"/>
        <v>1085</v>
      </c>
      <c r="B1086" s="12" t="str">
        <f t="shared" si="113"/>
        <v>ЩР2.3(БЛОК 7)</v>
      </c>
      <c r="C1086" s="12" t="s">
        <v>10</v>
      </c>
      <c r="D1086" s="30" t="s">
        <v>10</v>
      </c>
      <c r="E1086" s="12" t="s">
        <v>10</v>
      </c>
      <c r="F1086" s="18">
        <v>0.7</v>
      </c>
      <c r="G1086" s="38">
        <v>100</v>
      </c>
      <c r="H1086" s="38">
        <f>60*F1086*G1086</f>
        <v>4200</v>
      </c>
      <c r="I1086" s="12">
        <v>1</v>
      </c>
      <c r="J1086" s="12" t="s">
        <v>12</v>
      </c>
      <c r="K1086" s="12" t="s">
        <v>10</v>
      </c>
      <c r="L1086" s="15">
        <v>4200</v>
      </c>
    </row>
    <row r="1087" spans="1:12" ht="21" customHeight="1" outlineLevel="1" x14ac:dyDescent="0.25">
      <c r="A1087" s="12"/>
      <c r="B1087" s="12" t="s">
        <v>722</v>
      </c>
      <c r="C1087" s="12"/>
      <c r="D1087" s="30"/>
      <c r="E1087" s="12"/>
      <c r="F1087" s="18"/>
      <c r="G1087" s="38"/>
      <c r="H1087" s="38">
        <f ca="1">SUBTOTAL(9,H1081:H1086)</f>
        <v>19920.599999999999</v>
      </c>
      <c r="I1087" s="12"/>
      <c r="J1087" s="12"/>
      <c r="K1087" s="12"/>
      <c r="L1087" s="15">
        <v>19920.599999999999</v>
      </c>
    </row>
    <row r="1088" spans="1:12" ht="39.75" customHeight="1" outlineLevel="2" x14ac:dyDescent="0.25">
      <c r="A1088" s="10">
        <f>ROW(A1086)</f>
        <v>1086</v>
      </c>
      <c r="B1088" s="6" t="str">
        <f>E1088</f>
        <v>ЩР2.4(БЛОК 7)</v>
      </c>
      <c r="C1088" s="6"/>
      <c r="D1088" s="28"/>
      <c r="E1088" s="6" t="s">
        <v>317</v>
      </c>
      <c r="F1088" s="36"/>
      <c r="G1088" s="36" t="s">
        <v>73</v>
      </c>
      <c r="H1088" s="7"/>
      <c r="I1088" s="10">
        <v>1</v>
      </c>
      <c r="J1088" s="11" t="s">
        <v>6</v>
      </c>
      <c r="K1088" s="6" t="s">
        <v>8</v>
      </c>
      <c r="L1088" s="9"/>
    </row>
    <row r="1089" spans="1:12" ht="21" customHeight="1" outlineLevel="2" x14ac:dyDescent="0.25">
      <c r="A1089" s="16">
        <f t="shared" si="115"/>
        <v>1088</v>
      </c>
      <c r="B1089" s="12" t="str">
        <f t="shared" ref="B1089:B1094" si="116">B1088</f>
        <v>ЩР2.4(БЛОК 7)</v>
      </c>
      <c r="C1089" s="13" t="s">
        <v>7</v>
      </c>
      <c r="D1089" s="29" t="s">
        <v>590</v>
      </c>
      <c r="E1089" s="12" t="s">
        <v>591</v>
      </c>
      <c r="F1089" s="37">
        <v>11400</v>
      </c>
      <c r="G1089" s="38">
        <f>F1089*0.6</f>
        <v>6840</v>
      </c>
      <c r="H1089" s="38">
        <f>I1089*G1089</f>
        <v>6840</v>
      </c>
      <c r="I1089" s="16">
        <v>1</v>
      </c>
      <c r="J1089" s="17" t="s">
        <v>12</v>
      </c>
      <c r="K1089" s="13" t="s">
        <v>581</v>
      </c>
      <c r="L1089" s="15">
        <v>6840</v>
      </c>
    </row>
    <row r="1090" spans="1:12" ht="21" customHeight="1" outlineLevel="2" x14ac:dyDescent="0.25">
      <c r="A1090" s="16">
        <f t="shared" si="115"/>
        <v>1089</v>
      </c>
      <c r="B1090" s="12" t="str">
        <f t="shared" si="116"/>
        <v>ЩР2.4(БЛОК 7)</v>
      </c>
      <c r="C1090" s="13" t="s">
        <v>11</v>
      </c>
      <c r="D1090" s="29" t="s">
        <v>453</v>
      </c>
      <c r="E1090" s="12" t="s">
        <v>454</v>
      </c>
      <c r="F1090" s="37">
        <v>10552</v>
      </c>
      <c r="G1090" s="38">
        <f t="shared" ref="G1090:G1092" si="117">F1090*0.6</f>
        <v>6331.2</v>
      </c>
      <c r="H1090" s="38">
        <f>G1090*I1090</f>
        <v>6331.2</v>
      </c>
      <c r="I1090" s="16">
        <v>1</v>
      </c>
      <c r="J1090" s="17" t="s">
        <v>12</v>
      </c>
      <c r="K1090" s="13" t="s">
        <v>16</v>
      </c>
      <c r="L1090" s="15">
        <v>6331.2</v>
      </c>
    </row>
    <row r="1091" spans="1:12" ht="21" customHeight="1" outlineLevel="2" x14ac:dyDescent="0.25">
      <c r="A1091" s="16">
        <f t="shared" si="115"/>
        <v>1090</v>
      </c>
      <c r="B1091" s="12" t="str">
        <f t="shared" si="116"/>
        <v>ЩР2.4(БЛОК 7)</v>
      </c>
      <c r="C1091" s="13" t="s">
        <v>11</v>
      </c>
      <c r="D1091" s="29" t="s">
        <v>53</v>
      </c>
      <c r="E1091" s="12" t="s">
        <v>54</v>
      </c>
      <c r="F1091" s="37">
        <v>783</v>
      </c>
      <c r="G1091" s="38">
        <f t="shared" si="117"/>
        <v>469.79999999999995</v>
      </c>
      <c r="H1091" s="38">
        <f>G1091*I1091</f>
        <v>2349</v>
      </c>
      <c r="I1091" s="16">
        <v>5</v>
      </c>
      <c r="J1091" s="17" t="s">
        <v>12</v>
      </c>
      <c r="K1091" s="13" t="s">
        <v>16</v>
      </c>
      <c r="L1091" s="15">
        <v>2349</v>
      </c>
    </row>
    <row r="1092" spans="1:12" ht="21" customHeight="1" outlineLevel="2" x14ac:dyDescent="0.25">
      <c r="A1092" s="16">
        <f t="shared" si="115"/>
        <v>1091</v>
      </c>
      <c r="B1092" s="12" t="str">
        <f t="shared" si="116"/>
        <v>ЩР2.4(БЛОК 7)</v>
      </c>
      <c r="C1092" s="13" t="s">
        <v>22</v>
      </c>
      <c r="D1092" s="29" t="s">
        <v>117</v>
      </c>
      <c r="E1092" s="12" t="s">
        <v>118</v>
      </c>
      <c r="F1092" s="37">
        <v>5104</v>
      </c>
      <c r="G1092" s="38">
        <f t="shared" si="117"/>
        <v>3062.4</v>
      </c>
      <c r="H1092" s="38">
        <f>G1092*I1092</f>
        <v>15312</v>
      </c>
      <c r="I1092" s="16">
        <v>5</v>
      </c>
      <c r="J1092" s="17" t="s">
        <v>12</v>
      </c>
      <c r="K1092" s="13" t="s">
        <v>16</v>
      </c>
      <c r="L1092" s="15">
        <v>15312</v>
      </c>
    </row>
    <row r="1093" spans="1:12" ht="24" customHeight="1" outlineLevel="2" x14ac:dyDescent="0.25">
      <c r="A1093" s="12">
        <f t="shared" si="115"/>
        <v>1092</v>
      </c>
      <c r="B1093" s="12" t="str">
        <f t="shared" si="116"/>
        <v>ЩР2.4(БЛОК 7)</v>
      </c>
      <c r="C1093" s="12" t="s">
        <v>9</v>
      </c>
      <c r="D1093" s="30" t="s">
        <v>9</v>
      </c>
      <c r="E1093" s="12" t="s">
        <v>9</v>
      </c>
      <c r="F1093" s="18">
        <f ca="1">OFFSET(F1093,1,2)</f>
        <v>6000</v>
      </c>
      <c r="G1093" s="38">
        <f ca="1">F1093</f>
        <v>6000</v>
      </c>
      <c r="H1093" s="38">
        <f ca="1">G1093*I1093</f>
        <v>6000</v>
      </c>
      <c r="I1093" s="12">
        <v>1</v>
      </c>
      <c r="J1093" s="12" t="s">
        <v>12</v>
      </c>
      <c r="K1093" s="12" t="s">
        <v>9</v>
      </c>
      <c r="L1093" s="15">
        <v>6000</v>
      </c>
    </row>
    <row r="1094" spans="1:12" ht="21" customHeight="1" outlineLevel="2" x14ac:dyDescent="0.25">
      <c r="A1094" s="12">
        <f t="shared" si="115"/>
        <v>1093</v>
      </c>
      <c r="B1094" s="12" t="str">
        <f t="shared" si="116"/>
        <v>ЩР2.4(БЛОК 7)</v>
      </c>
      <c r="C1094" s="12" t="s">
        <v>10</v>
      </c>
      <c r="D1094" s="30" t="s">
        <v>10</v>
      </c>
      <c r="E1094" s="12" t="s">
        <v>10</v>
      </c>
      <c r="F1094" s="18">
        <v>1</v>
      </c>
      <c r="G1094" s="38">
        <v>100</v>
      </c>
      <c r="H1094" s="38">
        <f>60*F1094*G1094</f>
        <v>6000</v>
      </c>
      <c r="I1094" s="12">
        <v>1</v>
      </c>
      <c r="J1094" s="12" t="s">
        <v>12</v>
      </c>
      <c r="K1094" s="12" t="s">
        <v>10</v>
      </c>
      <c r="L1094" s="15">
        <v>6000</v>
      </c>
    </row>
    <row r="1095" spans="1:12" ht="21" customHeight="1" outlineLevel="1" x14ac:dyDescent="0.25">
      <c r="A1095" s="12"/>
      <c r="B1095" s="12" t="s">
        <v>723</v>
      </c>
      <c r="C1095" s="12"/>
      <c r="D1095" s="30"/>
      <c r="E1095" s="12"/>
      <c r="F1095" s="18"/>
      <c r="G1095" s="38"/>
      <c r="H1095" s="38">
        <f ca="1">SUBTOTAL(9,H1088:H1094)</f>
        <v>42832.2</v>
      </c>
      <c r="I1095" s="12"/>
      <c r="J1095" s="12"/>
      <c r="K1095" s="12"/>
      <c r="L1095" s="15">
        <v>42832.2</v>
      </c>
    </row>
    <row r="1096" spans="1:12" ht="39.75" customHeight="1" outlineLevel="2" x14ac:dyDescent="0.25">
      <c r="A1096" s="10">
        <f>ROW(A1094)</f>
        <v>1094</v>
      </c>
      <c r="B1096" s="6" t="str">
        <f>E1096</f>
        <v>ЩР2.5(БЛОК 7)</v>
      </c>
      <c r="C1096" s="6"/>
      <c r="D1096" s="28"/>
      <c r="E1096" s="6" t="s">
        <v>318</v>
      </c>
      <c r="F1096" s="36"/>
      <c r="G1096" s="36" t="s">
        <v>73</v>
      </c>
      <c r="H1096" s="7"/>
      <c r="I1096" s="10">
        <v>1</v>
      </c>
      <c r="J1096" s="11" t="s">
        <v>6</v>
      </c>
      <c r="K1096" s="6" t="s">
        <v>8</v>
      </c>
      <c r="L1096" s="9"/>
    </row>
    <row r="1097" spans="1:12" ht="21" customHeight="1" outlineLevel="2" x14ac:dyDescent="0.25">
      <c r="A1097" s="16">
        <f t="shared" si="115"/>
        <v>1096</v>
      </c>
      <c r="B1097" s="12" t="str">
        <f t="shared" ref="B1097:B1102" si="118">B1096</f>
        <v>ЩР2.5(БЛОК 7)</v>
      </c>
      <c r="C1097" s="13" t="s">
        <v>7</v>
      </c>
      <c r="D1097" s="29" t="s">
        <v>463</v>
      </c>
      <c r="E1097" s="12" t="s">
        <v>592</v>
      </c>
      <c r="F1097" s="37">
        <v>14800</v>
      </c>
      <c r="G1097" s="38">
        <f>F1097*0.6</f>
        <v>8880</v>
      </c>
      <c r="H1097" s="38">
        <f>I1097*G1097</f>
        <v>8880</v>
      </c>
      <c r="I1097" s="16">
        <v>1</v>
      </c>
      <c r="J1097" s="17" t="s">
        <v>12</v>
      </c>
      <c r="K1097" s="13" t="s">
        <v>581</v>
      </c>
      <c r="L1097" s="15">
        <v>8880</v>
      </c>
    </row>
    <row r="1098" spans="1:12" ht="21" customHeight="1" outlineLevel="2" x14ac:dyDescent="0.25">
      <c r="A1098" s="16">
        <f t="shared" si="115"/>
        <v>1097</v>
      </c>
      <c r="B1098" s="12" t="str">
        <f t="shared" si="118"/>
        <v>ЩР2.5(БЛОК 7)</v>
      </c>
      <c r="C1098" s="13" t="s">
        <v>11</v>
      </c>
      <c r="D1098" s="29" t="s">
        <v>453</v>
      </c>
      <c r="E1098" s="12" t="s">
        <v>454</v>
      </c>
      <c r="F1098" s="37">
        <v>10552</v>
      </c>
      <c r="G1098" s="38">
        <f t="shared" ref="G1098:G1100" si="119">F1098*0.6</f>
        <v>6331.2</v>
      </c>
      <c r="H1098" s="38">
        <f>G1098*I1098</f>
        <v>6331.2</v>
      </c>
      <c r="I1098" s="16">
        <v>1</v>
      </c>
      <c r="J1098" s="17" t="s">
        <v>12</v>
      </c>
      <c r="K1098" s="13" t="s">
        <v>16</v>
      </c>
      <c r="L1098" s="15">
        <v>6331.2</v>
      </c>
    </row>
    <row r="1099" spans="1:12" ht="21" customHeight="1" outlineLevel="2" x14ac:dyDescent="0.25">
      <c r="A1099" s="16">
        <f t="shared" si="115"/>
        <v>1098</v>
      </c>
      <c r="B1099" s="12" t="str">
        <f t="shared" si="118"/>
        <v>ЩР2.5(БЛОК 7)</v>
      </c>
      <c r="C1099" s="13" t="s">
        <v>11</v>
      </c>
      <c r="D1099" s="29" t="s">
        <v>53</v>
      </c>
      <c r="E1099" s="12" t="s">
        <v>54</v>
      </c>
      <c r="F1099" s="37">
        <v>783</v>
      </c>
      <c r="G1099" s="38">
        <f t="shared" si="119"/>
        <v>469.79999999999995</v>
      </c>
      <c r="H1099" s="38">
        <f>G1099*I1099</f>
        <v>2349</v>
      </c>
      <c r="I1099" s="16">
        <v>5</v>
      </c>
      <c r="J1099" s="17" t="s">
        <v>12</v>
      </c>
      <c r="K1099" s="13" t="s">
        <v>16</v>
      </c>
      <c r="L1099" s="15">
        <v>2349</v>
      </c>
    </row>
    <row r="1100" spans="1:12" ht="21" customHeight="1" outlineLevel="2" x14ac:dyDescent="0.25">
      <c r="A1100" s="16">
        <f t="shared" si="115"/>
        <v>1099</v>
      </c>
      <c r="B1100" s="12" t="str">
        <f t="shared" si="118"/>
        <v>ЩР2.5(БЛОК 7)</v>
      </c>
      <c r="C1100" s="13" t="s">
        <v>22</v>
      </c>
      <c r="D1100" s="29" t="s">
        <v>117</v>
      </c>
      <c r="E1100" s="12" t="s">
        <v>118</v>
      </c>
      <c r="F1100" s="37">
        <v>5104</v>
      </c>
      <c r="G1100" s="38">
        <f t="shared" si="119"/>
        <v>3062.4</v>
      </c>
      <c r="H1100" s="38">
        <f>G1100*I1100</f>
        <v>21436.799999999999</v>
      </c>
      <c r="I1100" s="16">
        <v>7</v>
      </c>
      <c r="J1100" s="17" t="s">
        <v>12</v>
      </c>
      <c r="K1100" s="13" t="s">
        <v>16</v>
      </c>
      <c r="L1100" s="15">
        <v>21436.799999999999</v>
      </c>
    </row>
    <row r="1101" spans="1:12" ht="24" customHeight="1" outlineLevel="2" x14ac:dyDescent="0.25">
      <c r="A1101" s="12">
        <f t="shared" si="115"/>
        <v>1100</v>
      </c>
      <c r="B1101" s="12" t="str">
        <f t="shared" si="118"/>
        <v>ЩР2.5(БЛОК 7)</v>
      </c>
      <c r="C1101" s="12" t="s">
        <v>9</v>
      </c>
      <c r="D1101" s="30" t="s">
        <v>9</v>
      </c>
      <c r="E1101" s="12" t="s">
        <v>9</v>
      </c>
      <c r="F1101" s="18">
        <f ca="1">OFFSET(F1101,1,2)</f>
        <v>12000</v>
      </c>
      <c r="G1101" s="38">
        <f ca="1">F1101</f>
        <v>12000</v>
      </c>
      <c r="H1101" s="38">
        <f ca="1">G1101*I1101</f>
        <v>12000</v>
      </c>
      <c r="I1101" s="12">
        <v>1</v>
      </c>
      <c r="J1101" s="12" t="s">
        <v>12</v>
      </c>
      <c r="K1101" s="12" t="s">
        <v>9</v>
      </c>
      <c r="L1101" s="15">
        <v>12000</v>
      </c>
    </row>
    <row r="1102" spans="1:12" ht="21" customHeight="1" outlineLevel="2" x14ac:dyDescent="0.25">
      <c r="A1102" s="12">
        <f t="shared" si="115"/>
        <v>1101</v>
      </c>
      <c r="B1102" s="12" t="str">
        <f t="shared" si="118"/>
        <v>ЩР2.5(БЛОК 7)</v>
      </c>
      <c r="C1102" s="12" t="s">
        <v>10</v>
      </c>
      <c r="D1102" s="30" t="s">
        <v>10</v>
      </c>
      <c r="E1102" s="12" t="s">
        <v>10</v>
      </c>
      <c r="F1102" s="18">
        <v>2</v>
      </c>
      <c r="G1102" s="38">
        <v>100</v>
      </c>
      <c r="H1102" s="38">
        <f>60*F1102*G1102</f>
        <v>12000</v>
      </c>
      <c r="I1102" s="12">
        <v>1</v>
      </c>
      <c r="J1102" s="12" t="s">
        <v>12</v>
      </c>
      <c r="K1102" s="12" t="s">
        <v>10</v>
      </c>
      <c r="L1102" s="15">
        <v>12000</v>
      </c>
    </row>
    <row r="1103" spans="1:12" ht="21" customHeight="1" outlineLevel="1" x14ac:dyDescent="0.25">
      <c r="A1103" s="12"/>
      <c r="B1103" s="12" t="s">
        <v>724</v>
      </c>
      <c r="C1103" s="12"/>
      <c r="D1103" s="30"/>
      <c r="E1103" s="12"/>
      <c r="F1103" s="18"/>
      <c r="G1103" s="38"/>
      <c r="H1103" s="38">
        <f ca="1">SUBTOTAL(9,H1096:H1102)</f>
        <v>62997</v>
      </c>
      <c r="I1103" s="12"/>
      <c r="J1103" s="12"/>
      <c r="K1103" s="12"/>
      <c r="L1103" s="15">
        <v>62997</v>
      </c>
    </row>
    <row r="1104" spans="1:12" ht="39.75" customHeight="1" outlineLevel="2" x14ac:dyDescent="0.25">
      <c r="A1104" s="10">
        <f>ROW(A1102)</f>
        <v>1102</v>
      </c>
      <c r="B1104" s="6" t="str">
        <f>E1104</f>
        <v>ЩР3.1(БЛОК 7)</v>
      </c>
      <c r="C1104" s="6"/>
      <c r="D1104" s="28"/>
      <c r="E1104" s="6" t="s">
        <v>319</v>
      </c>
      <c r="F1104" s="36"/>
      <c r="G1104" s="36" t="s">
        <v>73</v>
      </c>
      <c r="H1104" s="7"/>
      <c r="I1104" s="10">
        <v>1</v>
      </c>
      <c r="J1104" s="11" t="s">
        <v>6</v>
      </c>
      <c r="K1104" s="6" t="s">
        <v>8</v>
      </c>
      <c r="L1104" s="9"/>
    </row>
    <row r="1105" spans="1:12" ht="21" customHeight="1" outlineLevel="2" x14ac:dyDescent="0.25">
      <c r="A1105" s="16">
        <f t="shared" si="115"/>
        <v>1104</v>
      </c>
      <c r="B1105" s="12" t="str">
        <f t="shared" ref="B1105:B1110" si="120">B1104</f>
        <v>ЩР3.1(БЛОК 7)</v>
      </c>
      <c r="C1105" s="13" t="s">
        <v>7</v>
      </c>
      <c r="D1105" s="29" t="s">
        <v>588</v>
      </c>
      <c r="E1105" s="12" t="s">
        <v>589</v>
      </c>
      <c r="F1105" s="37">
        <v>6300</v>
      </c>
      <c r="G1105" s="38">
        <f>F1105*0.6</f>
        <v>3780</v>
      </c>
      <c r="H1105" s="38">
        <f>I1105*G1105</f>
        <v>3780</v>
      </c>
      <c r="I1105" s="16">
        <v>1</v>
      </c>
      <c r="J1105" s="17" t="s">
        <v>12</v>
      </c>
      <c r="K1105" s="13" t="s">
        <v>581</v>
      </c>
      <c r="L1105" s="15">
        <v>3780</v>
      </c>
    </row>
    <row r="1106" spans="1:12" ht="21" customHeight="1" outlineLevel="2" x14ac:dyDescent="0.25">
      <c r="A1106" s="16">
        <f t="shared" si="115"/>
        <v>1105</v>
      </c>
      <c r="B1106" s="12" t="str">
        <f t="shared" si="120"/>
        <v>ЩР3.1(БЛОК 7)</v>
      </c>
      <c r="C1106" s="13" t="s">
        <v>11</v>
      </c>
      <c r="D1106" s="29" t="s">
        <v>453</v>
      </c>
      <c r="E1106" s="12" t="s">
        <v>454</v>
      </c>
      <c r="F1106" s="37">
        <v>10552</v>
      </c>
      <c r="G1106" s="38">
        <f t="shared" ref="G1106:G1108" si="121">F1106*0.6</f>
        <v>6331.2</v>
      </c>
      <c r="H1106" s="38">
        <f>G1106*I1106</f>
        <v>6331.2</v>
      </c>
      <c r="I1106" s="16">
        <v>1</v>
      </c>
      <c r="J1106" s="17" t="s">
        <v>12</v>
      </c>
      <c r="K1106" s="13" t="s">
        <v>16</v>
      </c>
      <c r="L1106" s="15">
        <v>6331.2</v>
      </c>
    </row>
    <row r="1107" spans="1:12" ht="21" customHeight="1" outlineLevel="2" x14ac:dyDescent="0.25">
      <c r="A1107" s="16">
        <f t="shared" si="115"/>
        <v>1106</v>
      </c>
      <c r="B1107" s="12" t="str">
        <f t="shared" si="120"/>
        <v>ЩР3.1(БЛОК 7)</v>
      </c>
      <c r="C1107" s="13" t="s">
        <v>11</v>
      </c>
      <c r="D1107" s="29" t="s">
        <v>53</v>
      </c>
      <c r="E1107" s="12" t="s">
        <v>54</v>
      </c>
      <c r="F1107" s="37">
        <v>783</v>
      </c>
      <c r="G1107" s="38">
        <f t="shared" si="121"/>
        <v>469.79999999999995</v>
      </c>
      <c r="H1107" s="38">
        <f>G1107*I1107</f>
        <v>939.59999999999991</v>
      </c>
      <c r="I1107" s="16">
        <v>2</v>
      </c>
      <c r="J1107" s="17" t="s">
        <v>12</v>
      </c>
      <c r="K1107" s="13" t="s">
        <v>16</v>
      </c>
      <c r="L1107" s="15">
        <v>939.59999999999991</v>
      </c>
    </row>
    <row r="1108" spans="1:12" ht="21" customHeight="1" outlineLevel="2" x14ac:dyDescent="0.25">
      <c r="A1108" s="16">
        <f t="shared" si="115"/>
        <v>1107</v>
      </c>
      <c r="B1108" s="12" t="str">
        <f t="shared" si="120"/>
        <v>ЩР3.1(БЛОК 7)</v>
      </c>
      <c r="C1108" s="13" t="s">
        <v>22</v>
      </c>
      <c r="D1108" s="29" t="s">
        <v>117</v>
      </c>
      <c r="E1108" s="12" t="s">
        <v>118</v>
      </c>
      <c r="F1108" s="37">
        <v>5104</v>
      </c>
      <c r="G1108" s="38">
        <f t="shared" si="121"/>
        <v>3062.4</v>
      </c>
      <c r="H1108" s="38">
        <f>G1108*I1108</f>
        <v>6124.8</v>
      </c>
      <c r="I1108" s="16">
        <v>2</v>
      </c>
      <c r="J1108" s="17" t="s">
        <v>12</v>
      </c>
      <c r="K1108" s="13" t="s">
        <v>16</v>
      </c>
      <c r="L1108" s="15">
        <v>6124.8</v>
      </c>
    </row>
    <row r="1109" spans="1:12" ht="24" customHeight="1" outlineLevel="2" x14ac:dyDescent="0.25">
      <c r="A1109" s="12">
        <f t="shared" si="115"/>
        <v>1108</v>
      </c>
      <c r="B1109" s="12" t="str">
        <f t="shared" si="120"/>
        <v>ЩР3.1(БЛОК 7)</v>
      </c>
      <c r="C1109" s="12" t="s">
        <v>9</v>
      </c>
      <c r="D1109" s="30" t="s">
        <v>9</v>
      </c>
      <c r="E1109" s="12" t="s">
        <v>9</v>
      </c>
      <c r="F1109" s="18">
        <f ca="1">OFFSET(F1109,1,2)</f>
        <v>4200</v>
      </c>
      <c r="G1109" s="38">
        <f ca="1">F1109</f>
        <v>4200</v>
      </c>
      <c r="H1109" s="38">
        <f ca="1">G1109*I1109</f>
        <v>4200</v>
      </c>
      <c r="I1109" s="12">
        <v>1</v>
      </c>
      <c r="J1109" s="12" t="s">
        <v>12</v>
      </c>
      <c r="K1109" s="12" t="s">
        <v>9</v>
      </c>
      <c r="L1109" s="15">
        <v>4200</v>
      </c>
    </row>
    <row r="1110" spans="1:12" ht="21" customHeight="1" outlineLevel="2" x14ac:dyDescent="0.25">
      <c r="A1110" s="12">
        <f t="shared" si="115"/>
        <v>1109</v>
      </c>
      <c r="B1110" s="12" t="str">
        <f t="shared" si="120"/>
        <v>ЩР3.1(БЛОК 7)</v>
      </c>
      <c r="C1110" s="12" t="s">
        <v>10</v>
      </c>
      <c r="D1110" s="30" t="s">
        <v>10</v>
      </c>
      <c r="E1110" s="12" t="s">
        <v>10</v>
      </c>
      <c r="F1110" s="18">
        <v>0.7</v>
      </c>
      <c r="G1110" s="38">
        <v>100</v>
      </c>
      <c r="H1110" s="38">
        <f>60*F1110*G1110</f>
        <v>4200</v>
      </c>
      <c r="I1110" s="12">
        <v>1</v>
      </c>
      <c r="J1110" s="12" t="s">
        <v>12</v>
      </c>
      <c r="K1110" s="12" t="s">
        <v>10</v>
      </c>
      <c r="L1110" s="15">
        <v>4200</v>
      </c>
    </row>
    <row r="1111" spans="1:12" ht="21" customHeight="1" outlineLevel="1" x14ac:dyDescent="0.25">
      <c r="A1111" s="12"/>
      <c r="B1111" s="12" t="s">
        <v>725</v>
      </c>
      <c r="C1111" s="12"/>
      <c r="D1111" s="30"/>
      <c r="E1111" s="12"/>
      <c r="F1111" s="18"/>
      <c r="G1111" s="38"/>
      <c r="H1111" s="38">
        <f ca="1">SUBTOTAL(9,H1104:H1110)</f>
        <v>25575.600000000002</v>
      </c>
      <c r="I1111" s="12"/>
      <c r="J1111" s="12"/>
      <c r="K1111" s="12"/>
      <c r="L1111" s="15">
        <v>25575.600000000002</v>
      </c>
    </row>
    <row r="1112" spans="1:12" ht="39.75" customHeight="1" outlineLevel="2" x14ac:dyDescent="0.25">
      <c r="A1112" s="10">
        <f>ROW(A1110)</f>
        <v>1110</v>
      </c>
      <c r="B1112" s="6" t="str">
        <f>E1112</f>
        <v>ЩР3.2(БЛОК 7)</v>
      </c>
      <c r="C1112" s="6"/>
      <c r="D1112" s="28"/>
      <c r="E1112" s="6" t="s">
        <v>320</v>
      </c>
      <c r="F1112" s="36"/>
      <c r="G1112" s="36" t="s">
        <v>73</v>
      </c>
      <c r="H1112" s="7"/>
      <c r="I1112" s="10">
        <v>1</v>
      </c>
      <c r="J1112" s="11" t="s">
        <v>6</v>
      </c>
      <c r="K1112" s="6" t="s">
        <v>8</v>
      </c>
      <c r="L1112" s="9"/>
    </row>
    <row r="1113" spans="1:12" ht="21" customHeight="1" outlineLevel="2" x14ac:dyDescent="0.25">
      <c r="A1113" s="16">
        <f t="shared" si="115"/>
        <v>1112</v>
      </c>
      <c r="B1113" s="12" t="str">
        <f t="shared" ref="B1113:B1118" si="122">B1112</f>
        <v>ЩР3.2(БЛОК 7)</v>
      </c>
      <c r="C1113" s="13" t="s">
        <v>7</v>
      </c>
      <c r="D1113" s="29" t="s">
        <v>588</v>
      </c>
      <c r="E1113" s="12" t="s">
        <v>589</v>
      </c>
      <c r="F1113" s="37">
        <v>6300</v>
      </c>
      <c r="G1113" s="38">
        <f>F1113*0.6</f>
        <v>3780</v>
      </c>
      <c r="H1113" s="38">
        <f>I1113*G1113</f>
        <v>3780</v>
      </c>
      <c r="I1113" s="16">
        <v>1</v>
      </c>
      <c r="J1113" s="17" t="s">
        <v>12</v>
      </c>
      <c r="K1113" s="13" t="s">
        <v>581</v>
      </c>
      <c r="L1113" s="15">
        <v>3780</v>
      </c>
    </row>
    <row r="1114" spans="1:12" ht="21" customHeight="1" outlineLevel="2" x14ac:dyDescent="0.25">
      <c r="A1114" s="16">
        <f t="shared" si="115"/>
        <v>1113</v>
      </c>
      <c r="B1114" s="12" t="str">
        <f t="shared" si="122"/>
        <v>ЩР3.2(БЛОК 7)</v>
      </c>
      <c r="C1114" s="13" t="s">
        <v>11</v>
      </c>
      <c r="D1114" s="29" t="s">
        <v>453</v>
      </c>
      <c r="E1114" s="12" t="s">
        <v>454</v>
      </c>
      <c r="F1114" s="37">
        <v>10552</v>
      </c>
      <c r="G1114" s="38">
        <f t="shared" ref="G1114:G1116" si="123">F1114*0.6</f>
        <v>6331.2</v>
      </c>
      <c r="H1114" s="38">
        <f>G1114*I1114</f>
        <v>6331.2</v>
      </c>
      <c r="I1114" s="16">
        <v>1</v>
      </c>
      <c r="J1114" s="17" t="s">
        <v>12</v>
      </c>
      <c r="K1114" s="13" t="s">
        <v>16</v>
      </c>
      <c r="L1114" s="15">
        <v>6331.2</v>
      </c>
    </row>
    <row r="1115" spans="1:12" ht="21" customHeight="1" outlineLevel="2" x14ac:dyDescent="0.25">
      <c r="A1115" s="16">
        <f t="shared" si="115"/>
        <v>1114</v>
      </c>
      <c r="B1115" s="12" t="str">
        <f t="shared" si="122"/>
        <v>ЩР3.2(БЛОК 7)</v>
      </c>
      <c r="C1115" s="13" t="s">
        <v>11</v>
      </c>
      <c r="D1115" s="29" t="s">
        <v>53</v>
      </c>
      <c r="E1115" s="12" t="s">
        <v>54</v>
      </c>
      <c r="F1115" s="37">
        <v>783</v>
      </c>
      <c r="G1115" s="38">
        <f t="shared" si="123"/>
        <v>469.79999999999995</v>
      </c>
      <c r="H1115" s="38">
        <f>G1115*I1115</f>
        <v>939.59999999999991</v>
      </c>
      <c r="I1115" s="16">
        <v>2</v>
      </c>
      <c r="J1115" s="17" t="s">
        <v>12</v>
      </c>
      <c r="K1115" s="13" t="s">
        <v>16</v>
      </c>
      <c r="L1115" s="15">
        <v>939.59999999999991</v>
      </c>
    </row>
    <row r="1116" spans="1:12" ht="21" customHeight="1" outlineLevel="2" x14ac:dyDescent="0.25">
      <c r="A1116" s="16">
        <f t="shared" si="115"/>
        <v>1115</v>
      </c>
      <c r="B1116" s="12" t="str">
        <f t="shared" si="122"/>
        <v>ЩР3.2(БЛОК 7)</v>
      </c>
      <c r="C1116" s="13" t="s">
        <v>22</v>
      </c>
      <c r="D1116" s="29" t="s">
        <v>117</v>
      </c>
      <c r="E1116" s="12" t="s">
        <v>118</v>
      </c>
      <c r="F1116" s="37">
        <v>5104</v>
      </c>
      <c r="G1116" s="38">
        <f t="shared" si="123"/>
        <v>3062.4</v>
      </c>
      <c r="H1116" s="38">
        <f>G1116*I1116</f>
        <v>9187.2000000000007</v>
      </c>
      <c r="I1116" s="16">
        <v>3</v>
      </c>
      <c r="J1116" s="17" t="s">
        <v>12</v>
      </c>
      <c r="K1116" s="13" t="s">
        <v>16</v>
      </c>
      <c r="L1116" s="15">
        <v>9187.2000000000007</v>
      </c>
    </row>
    <row r="1117" spans="1:12" ht="24" customHeight="1" outlineLevel="2" x14ac:dyDescent="0.25">
      <c r="A1117" s="12">
        <f t="shared" si="115"/>
        <v>1116</v>
      </c>
      <c r="B1117" s="12" t="str">
        <f t="shared" si="122"/>
        <v>ЩР3.2(БЛОК 7)</v>
      </c>
      <c r="C1117" s="12" t="s">
        <v>9</v>
      </c>
      <c r="D1117" s="30" t="s">
        <v>9</v>
      </c>
      <c r="E1117" s="12" t="s">
        <v>9</v>
      </c>
      <c r="F1117" s="18">
        <f ca="1">OFFSET(F1117,1,2)</f>
        <v>4200</v>
      </c>
      <c r="G1117" s="38">
        <f ca="1">F1117</f>
        <v>4200</v>
      </c>
      <c r="H1117" s="38">
        <f ca="1">G1117*I1117</f>
        <v>4200</v>
      </c>
      <c r="I1117" s="12">
        <v>1</v>
      </c>
      <c r="J1117" s="12" t="s">
        <v>12</v>
      </c>
      <c r="K1117" s="12" t="s">
        <v>9</v>
      </c>
      <c r="L1117" s="15">
        <v>4200</v>
      </c>
    </row>
    <row r="1118" spans="1:12" ht="21" customHeight="1" outlineLevel="2" x14ac:dyDescent="0.25">
      <c r="A1118" s="12">
        <f t="shared" si="115"/>
        <v>1117</v>
      </c>
      <c r="B1118" s="12" t="str">
        <f t="shared" si="122"/>
        <v>ЩР3.2(БЛОК 7)</v>
      </c>
      <c r="C1118" s="12" t="s">
        <v>10</v>
      </c>
      <c r="D1118" s="30" t="s">
        <v>10</v>
      </c>
      <c r="E1118" s="12" t="s">
        <v>10</v>
      </c>
      <c r="F1118" s="18">
        <v>0.7</v>
      </c>
      <c r="G1118" s="38">
        <v>100</v>
      </c>
      <c r="H1118" s="38">
        <f>60*F1118*G1118</f>
        <v>4200</v>
      </c>
      <c r="I1118" s="12">
        <v>1</v>
      </c>
      <c r="J1118" s="12" t="s">
        <v>12</v>
      </c>
      <c r="K1118" s="12" t="s">
        <v>10</v>
      </c>
      <c r="L1118" s="15">
        <v>4200</v>
      </c>
    </row>
    <row r="1119" spans="1:12" ht="21" customHeight="1" outlineLevel="1" x14ac:dyDescent="0.25">
      <c r="A1119" s="12"/>
      <c r="B1119" s="12" t="s">
        <v>726</v>
      </c>
      <c r="C1119" s="12"/>
      <c r="D1119" s="30"/>
      <c r="E1119" s="12"/>
      <c r="F1119" s="18"/>
      <c r="G1119" s="38"/>
      <c r="H1119" s="38">
        <f ca="1">SUBTOTAL(9,H1112:H1118)</f>
        <v>28638</v>
      </c>
      <c r="I1119" s="12"/>
      <c r="J1119" s="12"/>
      <c r="K1119" s="12"/>
      <c r="L1119" s="15">
        <v>28638</v>
      </c>
    </row>
    <row r="1120" spans="1:12" ht="39.75" customHeight="1" outlineLevel="2" x14ac:dyDescent="0.25">
      <c r="A1120" s="10">
        <f>ROW(A1118)</f>
        <v>1118</v>
      </c>
      <c r="B1120" s="6" t="str">
        <f>E1120</f>
        <v>ЩР3.3(БЛОК 7)</v>
      </c>
      <c r="C1120" s="6"/>
      <c r="D1120" s="28"/>
      <c r="E1120" s="6" t="s">
        <v>321</v>
      </c>
      <c r="F1120" s="36"/>
      <c r="G1120" s="36" t="s">
        <v>73</v>
      </c>
      <c r="H1120" s="7"/>
      <c r="I1120" s="10">
        <v>1</v>
      </c>
      <c r="J1120" s="11" t="s">
        <v>6</v>
      </c>
      <c r="K1120" s="6" t="s">
        <v>8</v>
      </c>
      <c r="L1120" s="9"/>
    </row>
    <row r="1121" spans="1:12" ht="21" customHeight="1" outlineLevel="2" x14ac:dyDescent="0.25">
      <c r="A1121" s="16">
        <f t="shared" si="115"/>
        <v>1120</v>
      </c>
      <c r="B1121" s="12" t="str">
        <f t="shared" ref="B1121:B1126" si="124">B1120</f>
        <v>ЩР3.3(БЛОК 7)</v>
      </c>
      <c r="C1121" s="13" t="s">
        <v>7</v>
      </c>
      <c r="D1121" s="29" t="s">
        <v>588</v>
      </c>
      <c r="E1121" s="12" t="s">
        <v>589</v>
      </c>
      <c r="F1121" s="37">
        <v>6300</v>
      </c>
      <c r="G1121" s="38">
        <f>F1121*0.6</f>
        <v>3780</v>
      </c>
      <c r="H1121" s="38">
        <f>I1121*G1121</f>
        <v>3780</v>
      </c>
      <c r="I1121" s="16">
        <v>1</v>
      </c>
      <c r="J1121" s="17" t="s">
        <v>12</v>
      </c>
      <c r="K1121" s="13" t="s">
        <v>581</v>
      </c>
      <c r="L1121" s="15">
        <v>3780</v>
      </c>
    </row>
    <row r="1122" spans="1:12" ht="21" customHeight="1" outlineLevel="2" x14ac:dyDescent="0.25">
      <c r="A1122" s="16">
        <f t="shared" si="115"/>
        <v>1121</v>
      </c>
      <c r="B1122" s="12" t="str">
        <f t="shared" si="124"/>
        <v>ЩР3.3(БЛОК 7)</v>
      </c>
      <c r="C1122" s="13" t="s">
        <v>11</v>
      </c>
      <c r="D1122" s="29" t="s">
        <v>453</v>
      </c>
      <c r="E1122" s="12" t="s">
        <v>454</v>
      </c>
      <c r="F1122" s="37">
        <v>10552</v>
      </c>
      <c r="G1122" s="38">
        <f t="shared" ref="G1122:G1124" si="125">F1122*0.6</f>
        <v>6331.2</v>
      </c>
      <c r="H1122" s="38">
        <f>G1122*I1122</f>
        <v>6331.2</v>
      </c>
      <c r="I1122" s="16">
        <v>1</v>
      </c>
      <c r="J1122" s="17" t="s">
        <v>12</v>
      </c>
      <c r="K1122" s="13" t="s">
        <v>16</v>
      </c>
      <c r="L1122" s="15">
        <v>6331.2</v>
      </c>
    </row>
    <row r="1123" spans="1:12" ht="21" customHeight="1" outlineLevel="2" x14ac:dyDescent="0.25">
      <c r="A1123" s="16">
        <f t="shared" si="115"/>
        <v>1122</v>
      </c>
      <c r="B1123" s="12" t="str">
        <f t="shared" si="124"/>
        <v>ЩР3.3(БЛОК 7)</v>
      </c>
      <c r="C1123" s="13" t="s">
        <v>11</v>
      </c>
      <c r="D1123" s="29" t="s">
        <v>53</v>
      </c>
      <c r="E1123" s="12" t="s">
        <v>54</v>
      </c>
      <c r="F1123" s="37">
        <v>783</v>
      </c>
      <c r="G1123" s="38">
        <f t="shared" si="125"/>
        <v>469.79999999999995</v>
      </c>
      <c r="H1123" s="38">
        <f>G1123*I1123</f>
        <v>939.59999999999991</v>
      </c>
      <c r="I1123" s="16">
        <v>2</v>
      </c>
      <c r="J1123" s="17" t="s">
        <v>12</v>
      </c>
      <c r="K1123" s="13" t="s">
        <v>16</v>
      </c>
      <c r="L1123" s="15">
        <v>939.59999999999991</v>
      </c>
    </row>
    <row r="1124" spans="1:12" ht="21" customHeight="1" outlineLevel="2" x14ac:dyDescent="0.25">
      <c r="A1124" s="16">
        <f t="shared" si="115"/>
        <v>1123</v>
      </c>
      <c r="B1124" s="12" t="str">
        <f t="shared" si="124"/>
        <v>ЩР3.3(БЛОК 7)</v>
      </c>
      <c r="C1124" s="13" t="s">
        <v>22</v>
      </c>
      <c r="D1124" s="29" t="s">
        <v>117</v>
      </c>
      <c r="E1124" s="12" t="s">
        <v>118</v>
      </c>
      <c r="F1124" s="37">
        <v>5104</v>
      </c>
      <c r="G1124" s="38">
        <f t="shared" si="125"/>
        <v>3062.4</v>
      </c>
      <c r="H1124" s="38">
        <f>G1124*I1124</f>
        <v>9187.2000000000007</v>
      </c>
      <c r="I1124" s="16">
        <v>3</v>
      </c>
      <c r="J1124" s="17" t="s">
        <v>12</v>
      </c>
      <c r="K1124" s="13" t="s">
        <v>16</v>
      </c>
      <c r="L1124" s="15">
        <v>9187.2000000000007</v>
      </c>
    </row>
    <row r="1125" spans="1:12" ht="24" customHeight="1" outlineLevel="2" x14ac:dyDescent="0.25">
      <c r="A1125" s="12">
        <f t="shared" si="115"/>
        <v>1124</v>
      </c>
      <c r="B1125" s="12" t="str">
        <f t="shared" si="124"/>
        <v>ЩР3.3(БЛОК 7)</v>
      </c>
      <c r="C1125" s="12" t="s">
        <v>9</v>
      </c>
      <c r="D1125" s="30" t="s">
        <v>9</v>
      </c>
      <c r="E1125" s="12" t="s">
        <v>9</v>
      </c>
      <c r="F1125" s="18">
        <f ca="1">OFFSET(F1125,1,2)</f>
        <v>4200</v>
      </c>
      <c r="G1125" s="38">
        <f ca="1">F1125</f>
        <v>4200</v>
      </c>
      <c r="H1125" s="38">
        <f ca="1">G1125*I1125</f>
        <v>4200</v>
      </c>
      <c r="I1125" s="12">
        <v>1</v>
      </c>
      <c r="J1125" s="12" t="s">
        <v>12</v>
      </c>
      <c r="K1125" s="12" t="s">
        <v>9</v>
      </c>
      <c r="L1125" s="15">
        <v>4200</v>
      </c>
    </row>
    <row r="1126" spans="1:12" ht="21" customHeight="1" outlineLevel="2" x14ac:dyDescent="0.25">
      <c r="A1126" s="12">
        <f t="shared" si="115"/>
        <v>1125</v>
      </c>
      <c r="B1126" s="12" t="str">
        <f t="shared" si="124"/>
        <v>ЩР3.3(БЛОК 7)</v>
      </c>
      <c r="C1126" s="12" t="s">
        <v>10</v>
      </c>
      <c r="D1126" s="30" t="s">
        <v>10</v>
      </c>
      <c r="E1126" s="12" t="s">
        <v>10</v>
      </c>
      <c r="F1126" s="18">
        <v>0.7</v>
      </c>
      <c r="G1126" s="38">
        <v>100</v>
      </c>
      <c r="H1126" s="38">
        <f>60*F1126*G1126</f>
        <v>4200</v>
      </c>
      <c r="I1126" s="12">
        <v>1</v>
      </c>
      <c r="J1126" s="12" t="s">
        <v>12</v>
      </c>
      <c r="K1126" s="12" t="s">
        <v>10</v>
      </c>
      <c r="L1126" s="15">
        <v>4200</v>
      </c>
    </row>
    <row r="1127" spans="1:12" ht="21" customHeight="1" outlineLevel="1" x14ac:dyDescent="0.25">
      <c r="A1127" s="12"/>
      <c r="B1127" s="12" t="s">
        <v>727</v>
      </c>
      <c r="C1127" s="12"/>
      <c r="D1127" s="30"/>
      <c r="E1127" s="12"/>
      <c r="F1127" s="18"/>
      <c r="G1127" s="38"/>
      <c r="H1127" s="38">
        <f ca="1">SUBTOTAL(9,H1120:H1126)</f>
        <v>28638</v>
      </c>
      <c r="I1127" s="12"/>
      <c r="J1127" s="12"/>
      <c r="K1127" s="12"/>
      <c r="L1127" s="15">
        <v>28638</v>
      </c>
    </row>
    <row r="1128" spans="1:12" ht="39.75" customHeight="1" outlineLevel="2" x14ac:dyDescent="0.25">
      <c r="A1128" s="10">
        <f>ROW(A1126)</f>
        <v>1126</v>
      </c>
      <c r="B1128" s="6" t="str">
        <f>E1128</f>
        <v>ЩР3.4(БЛОК 7)</v>
      </c>
      <c r="C1128" s="6"/>
      <c r="D1128" s="28"/>
      <c r="E1128" s="6" t="s">
        <v>322</v>
      </c>
      <c r="F1128" s="36"/>
      <c r="G1128" s="36" t="s">
        <v>73</v>
      </c>
      <c r="H1128" s="7"/>
      <c r="I1128" s="10">
        <v>1</v>
      </c>
      <c r="J1128" s="11" t="s">
        <v>6</v>
      </c>
      <c r="K1128" s="6" t="s">
        <v>8</v>
      </c>
      <c r="L1128" s="9"/>
    </row>
    <row r="1129" spans="1:12" ht="21" customHeight="1" outlineLevel="2" x14ac:dyDescent="0.25">
      <c r="A1129" s="16">
        <f t="shared" si="115"/>
        <v>1128</v>
      </c>
      <c r="B1129" s="12" t="str">
        <f t="shared" ref="B1129:B1134" si="126">B1128</f>
        <v>ЩР3.4(БЛОК 7)</v>
      </c>
      <c r="C1129" s="13" t="s">
        <v>7</v>
      </c>
      <c r="D1129" s="29" t="s">
        <v>463</v>
      </c>
      <c r="E1129" s="12" t="s">
        <v>592</v>
      </c>
      <c r="F1129" s="37">
        <v>14800</v>
      </c>
      <c r="G1129" s="38">
        <f>F1129*0.6</f>
        <v>8880</v>
      </c>
      <c r="H1129" s="38">
        <f>I1129*G1129</f>
        <v>8880</v>
      </c>
      <c r="I1129" s="16">
        <v>1</v>
      </c>
      <c r="J1129" s="17" t="s">
        <v>12</v>
      </c>
      <c r="K1129" s="13" t="s">
        <v>581</v>
      </c>
      <c r="L1129" s="15">
        <v>8880</v>
      </c>
    </row>
    <row r="1130" spans="1:12" ht="21" customHeight="1" outlineLevel="2" x14ac:dyDescent="0.25">
      <c r="A1130" s="16">
        <f t="shared" si="115"/>
        <v>1129</v>
      </c>
      <c r="B1130" s="12" t="str">
        <f t="shared" si="126"/>
        <v>ЩР3.4(БЛОК 7)</v>
      </c>
      <c r="C1130" s="13" t="s">
        <v>11</v>
      </c>
      <c r="D1130" s="29" t="s">
        <v>453</v>
      </c>
      <c r="E1130" s="12" t="s">
        <v>454</v>
      </c>
      <c r="F1130" s="37">
        <v>10552</v>
      </c>
      <c r="G1130" s="38">
        <f t="shared" ref="G1130:G1132" si="127">F1130*0.6</f>
        <v>6331.2</v>
      </c>
      <c r="H1130" s="38">
        <f>G1130*I1130</f>
        <v>6331.2</v>
      </c>
      <c r="I1130" s="16">
        <v>1</v>
      </c>
      <c r="J1130" s="17" t="s">
        <v>12</v>
      </c>
      <c r="K1130" s="13" t="s">
        <v>16</v>
      </c>
      <c r="L1130" s="15">
        <v>6331.2</v>
      </c>
    </row>
    <row r="1131" spans="1:12" ht="21" customHeight="1" outlineLevel="2" x14ac:dyDescent="0.25">
      <c r="A1131" s="16">
        <f t="shared" si="115"/>
        <v>1130</v>
      </c>
      <c r="B1131" s="12" t="str">
        <f t="shared" si="126"/>
        <v>ЩР3.4(БЛОК 7)</v>
      </c>
      <c r="C1131" s="13" t="s">
        <v>11</v>
      </c>
      <c r="D1131" s="29" t="s">
        <v>53</v>
      </c>
      <c r="E1131" s="12" t="s">
        <v>54</v>
      </c>
      <c r="F1131" s="37">
        <v>783</v>
      </c>
      <c r="G1131" s="38">
        <f t="shared" si="127"/>
        <v>469.79999999999995</v>
      </c>
      <c r="H1131" s="38">
        <f>G1131*I1131</f>
        <v>2349</v>
      </c>
      <c r="I1131" s="16">
        <v>5</v>
      </c>
      <c r="J1131" s="17" t="s">
        <v>12</v>
      </c>
      <c r="K1131" s="13" t="s">
        <v>16</v>
      </c>
      <c r="L1131" s="15">
        <v>2349</v>
      </c>
    </row>
    <row r="1132" spans="1:12" ht="21" customHeight="1" outlineLevel="2" x14ac:dyDescent="0.25">
      <c r="A1132" s="16">
        <f t="shared" si="115"/>
        <v>1131</v>
      </c>
      <c r="B1132" s="12" t="str">
        <f t="shared" si="126"/>
        <v>ЩР3.4(БЛОК 7)</v>
      </c>
      <c r="C1132" s="13" t="s">
        <v>22</v>
      </c>
      <c r="D1132" s="29" t="s">
        <v>117</v>
      </c>
      <c r="E1132" s="12" t="s">
        <v>118</v>
      </c>
      <c r="F1132" s="37">
        <v>5104</v>
      </c>
      <c r="G1132" s="38">
        <f t="shared" si="127"/>
        <v>3062.4</v>
      </c>
      <c r="H1132" s="38">
        <f>G1132*I1132</f>
        <v>21436.799999999999</v>
      </c>
      <c r="I1132" s="16">
        <v>7</v>
      </c>
      <c r="J1132" s="17" t="s">
        <v>12</v>
      </c>
      <c r="K1132" s="13" t="s">
        <v>16</v>
      </c>
      <c r="L1132" s="15">
        <v>21436.799999999999</v>
      </c>
    </row>
    <row r="1133" spans="1:12" ht="24" customHeight="1" outlineLevel="2" x14ac:dyDescent="0.25">
      <c r="A1133" s="12">
        <f t="shared" si="115"/>
        <v>1132</v>
      </c>
      <c r="B1133" s="12" t="str">
        <f t="shared" si="126"/>
        <v>ЩР3.4(БЛОК 7)</v>
      </c>
      <c r="C1133" s="12" t="s">
        <v>9</v>
      </c>
      <c r="D1133" s="30" t="s">
        <v>9</v>
      </c>
      <c r="E1133" s="12" t="s">
        <v>9</v>
      </c>
      <c r="F1133" s="18">
        <f ca="1">OFFSET(F1133,1,2)</f>
        <v>12000</v>
      </c>
      <c r="G1133" s="38">
        <f ca="1">F1133</f>
        <v>12000</v>
      </c>
      <c r="H1133" s="38">
        <f ca="1">G1133*I1133</f>
        <v>12000</v>
      </c>
      <c r="I1133" s="12">
        <v>1</v>
      </c>
      <c r="J1133" s="12" t="s">
        <v>12</v>
      </c>
      <c r="K1133" s="12" t="s">
        <v>9</v>
      </c>
      <c r="L1133" s="15">
        <v>12000</v>
      </c>
    </row>
    <row r="1134" spans="1:12" ht="21" customHeight="1" outlineLevel="2" x14ac:dyDescent="0.25">
      <c r="A1134" s="12">
        <f t="shared" si="115"/>
        <v>1133</v>
      </c>
      <c r="B1134" s="12" t="str">
        <f t="shared" si="126"/>
        <v>ЩР3.4(БЛОК 7)</v>
      </c>
      <c r="C1134" s="12" t="s">
        <v>10</v>
      </c>
      <c r="D1134" s="30" t="s">
        <v>10</v>
      </c>
      <c r="E1134" s="12" t="s">
        <v>10</v>
      </c>
      <c r="F1134" s="18">
        <v>2</v>
      </c>
      <c r="G1134" s="38">
        <v>100</v>
      </c>
      <c r="H1134" s="38">
        <f>60*F1134*G1134</f>
        <v>12000</v>
      </c>
      <c r="I1134" s="12">
        <v>1</v>
      </c>
      <c r="J1134" s="12" t="s">
        <v>12</v>
      </c>
      <c r="K1134" s="12" t="s">
        <v>10</v>
      </c>
      <c r="L1134" s="15">
        <v>12000</v>
      </c>
    </row>
    <row r="1135" spans="1:12" ht="21" customHeight="1" outlineLevel="1" x14ac:dyDescent="0.25">
      <c r="A1135" s="12"/>
      <c r="B1135" s="12" t="s">
        <v>728</v>
      </c>
      <c r="C1135" s="12"/>
      <c r="D1135" s="30"/>
      <c r="E1135" s="12"/>
      <c r="F1135" s="18"/>
      <c r="G1135" s="38"/>
      <c r="H1135" s="38">
        <f ca="1">SUBTOTAL(9,H1128:H1134)</f>
        <v>62997</v>
      </c>
      <c r="I1135" s="12"/>
      <c r="J1135" s="12"/>
      <c r="K1135" s="12"/>
      <c r="L1135" s="15">
        <v>62997</v>
      </c>
    </row>
    <row r="1136" spans="1:12" ht="39.75" customHeight="1" outlineLevel="2" x14ac:dyDescent="0.25">
      <c r="A1136" s="10">
        <f>ROW(A1134)</f>
        <v>1134</v>
      </c>
      <c r="B1136" s="6" t="str">
        <f>E1136</f>
        <v>ЩР3.5(БЛОК 7)</v>
      </c>
      <c r="C1136" s="6"/>
      <c r="D1136" s="28"/>
      <c r="E1136" s="6" t="s">
        <v>323</v>
      </c>
      <c r="F1136" s="36"/>
      <c r="G1136" s="36" t="s">
        <v>73</v>
      </c>
      <c r="H1136" s="7"/>
      <c r="I1136" s="10">
        <v>1</v>
      </c>
      <c r="J1136" s="11" t="s">
        <v>6</v>
      </c>
      <c r="K1136" s="6" t="s">
        <v>8</v>
      </c>
      <c r="L1136" s="9"/>
    </row>
    <row r="1137" spans="1:12" ht="21" customHeight="1" outlineLevel="2" x14ac:dyDescent="0.25">
      <c r="A1137" s="16">
        <f t="shared" si="115"/>
        <v>1136</v>
      </c>
      <c r="B1137" s="12" t="str">
        <f t="shared" ref="B1137:B1142" si="128">B1136</f>
        <v>ЩР3.5(БЛОК 7)</v>
      </c>
      <c r="C1137" s="13" t="s">
        <v>7</v>
      </c>
      <c r="D1137" s="29" t="s">
        <v>463</v>
      </c>
      <c r="E1137" s="12" t="s">
        <v>592</v>
      </c>
      <c r="F1137" s="37">
        <v>14800</v>
      </c>
      <c r="G1137" s="38">
        <f>F1137*0.6</f>
        <v>8880</v>
      </c>
      <c r="H1137" s="38">
        <f>I1137*G1137</f>
        <v>8880</v>
      </c>
      <c r="I1137" s="16">
        <v>1</v>
      </c>
      <c r="J1137" s="17" t="s">
        <v>12</v>
      </c>
      <c r="K1137" s="13" t="s">
        <v>581</v>
      </c>
      <c r="L1137" s="15">
        <v>8880</v>
      </c>
    </row>
    <row r="1138" spans="1:12" ht="21" customHeight="1" outlineLevel="2" x14ac:dyDescent="0.25">
      <c r="A1138" s="16">
        <f t="shared" si="115"/>
        <v>1137</v>
      </c>
      <c r="B1138" s="12" t="str">
        <f t="shared" si="128"/>
        <v>ЩР3.5(БЛОК 7)</v>
      </c>
      <c r="C1138" s="13" t="s">
        <v>11</v>
      </c>
      <c r="D1138" s="29" t="s">
        <v>453</v>
      </c>
      <c r="E1138" s="12" t="s">
        <v>454</v>
      </c>
      <c r="F1138" s="37">
        <v>10552</v>
      </c>
      <c r="G1138" s="38">
        <f t="shared" ref="G1138:G1140" si="129">F1138*0.6</f>
        <v>6331.2</v>
      </c>
      <c r="H1138" s="38">
        <f>G1138*I1138</f>
        <v>6331.2</v>
      </c>
      <c r="I1138" s="16">
        <v>1</v>
      </c>
      <c r="J1138" s="17" t="s">
        <v>12</v>
      </c>
      <c r="K1138" s="13" t="s">
        <v>16</v>
      </c>
      <c r="L1138" s="15">
        <v>6331.2</v>
      </c>
    </row>
    <row r="1139" spans="1:12" ht="21" customHeight="1" outlineLevel="2" x14ac:dyDescent="0.25">
      <c r="A1139" s="16">
        <f t="shared" si="115"/>
        <v>1138</v>
      </c>
      <c r="B1139" s="12" t="str">
        <f t="shared" si="128"/>
        <v>ЩР3.5(БЛОК 7)</v>
      </c>
      <c r="C1139" s="13" t="s">
        <v>11</v>
      </c>
      <c r="D1139" s="29" t="s">
        <v>53</v>
      </c>
      <c r="E1139" s="12" t="s">
        <v>54</v>
      </c>
      <c r="F1139" s="37">
        <v>783</v>
      </c>
      <c r="G1139" s="38">
        <f t="shared" si="129"/>
        <v>469.79999999999995</v>
      </c>
      <c r="H1139" s="38">
        <f>G1139*I1139</f>
        <v>2349</v>
      </c>
      <c r="I1139" s="16">
        <v>5</v>
      </c>
      <c r="J1139" s="17" t="s">
        <v>12</v>
      </c>
      <c r="K1139" s="13" t="s">
        <v>16</v>
      </c>
      <c r="L1139" s="15">
        <v>2349</v>
      </c>
    </row>
    <row r="1140" spans="1:12" ht="21" customHeight="1" outlineLevel="2" x14ac:dyDescent="0.25">
      <c r="A1140" s="16">
        <f t="shared" si="115"/>
        <v>1139</v>
      </c>
      <c r="B1140" s="12" t="str">
        <f t="shared" si="128"/>
        <v>ЩР3.5(БЛОК 7)</v>
      </c>
      <c r="C1140" s="13" t="s">
        <v>22</v>
      </c>
      <c r="D1140" s="29" t="s">
        <v>117</v>
      </c>
      <c r="E1140" s="12" t="s">
        <v>118</v>
      </c>
      <c r="F1140" s="37">
        <v>5104</v>
      </c>
      <c r="G1140" s="38">
        <f t="shared" si="129"/>
        <v>3062.4</v>
      </c>
      <c r="H1140" s="38">
        <f>G1140*I1140</f>
        <v>18374.400000000001</v>
      </c>
      <c r="I1140" s="16">
        <v>6</v>
      </c>
      <c r="J1140" s="17" t="s">
        <v>12</v>
      </c>
      <c r="K1140" s="13" t="s">
        <v>16</v>
      </c>
      <c r="L1140" s="15">
        <v>18374.400000000001</v>
      </c>
    </row>
    <row r="1141" spans="1:12" ht="24" customHeight="1" outlineLevel="2" x14ac:dyDescent="0.25">
      <c r="A1141" s="12">
        <f t="shared" si="115"/>
        <v>1140</v>
      </c>
      <c r="B1141" s="12" t="str">
        <f t="shared" si="128"/>
        <v>ЩР3.5(БЛОК 7)</v>
      </c>
      <c r="C1141" s="12" t="s">
        <v>9</v>
      </c>
      <c r="D1141" s="30" t="s">
        <v>9</v>
      </c>
      <c r="E1141" s="12" t="s">
        <v>9</v>
      </c>
      <c r="F1141" s="18">
        <f ca="1">OFFSET(F1141,1,2)</f>
        <v>12000</v>
      </c>
      <c r="G1141" s="38">
        <f ca="1">F1141</f>
        <v>12000</v>
      </c>
      <c r="H1141" s="38">
        <f ca="1">G1141*I1141</f>
        <v>12000</v>
      </c>
      <c r="I1141" s="12">
        <v>1</v>
      </c>
      <c r="J1141" s="12" t="s">
        <v>12</v>
      </c>
      <c r="K1141" s="12" t="s">
        <v>9</v>
      </c>
      <c r="L1141" s="15">
        <v>12000</v>
      </c>
    </row>
    <row r="1142" spans="1:12" ht="21" customHeight="1" outlineLevel="2" x14ac:dyDescent="0.25">
      <c r="A1142" s="12">
        <f t="shared" si="115"/>
        <v>1141</v>
      </c>
      <c r="B1142" s="12" t="str">
        <f t="shared" si="128"/>
        <v>ЩР3.5(БЛОК 7)</v>
      </c>
      <c r="C1142" s="12" t="s">
        <v>10</v>
      </c>
      <c r="D1142" s="30" t="s">
        <v>10</v>
      </c>
      <c r="E1142" s="12" t="s">
        <v>10</v>
      </c>
      <c r="F1142" s="18">
        <v>2</v>
      </c>
      <c r="G1142" s="38">
        <v>100</v>
      </c>
      <c r="H1142" s="38">
        <f>60*F1142*G1142</f>
        <v>12000</v>
      </c>
      <c r="I1142" s="12">
        <v>1</v>
      </c>
      <c r="J1142" s="12" t="s">
        <v>12</v>
      </c>
      <c r="K1142" s="12" t="s">
        <v>10</v>
      </c>
      <c r="L1142" s="15">
        <v>12000</v>
      </c>
    </row>
    <row r="1143" spans="1:12" ht="21" customHeight="1" outlineLevel="1" x14ac:dyDescent="0.25">
      <c r="A1143" s="12"/>
      <c r="B1143" s="12" t="s">
        <v>729</v>
      </c>
      <c r="C1143" s="12"/>
      <c r="D1143" s="30"/>
      <c r="E1143" s="12"/>
      <c r="F1143" s="18"/>
      <c r="G1143" s="38"/>
      <c r="H1143" s="38">
        <f ca="1">SUBTOTAL(9,H1136:H1142)</f>
        <v>59934.600000000006</v>
      </c>
      <c r="I1143" s="12"/>
      <c r="J1143" s="12"/>
      <c r="K1143" s="12"/>
      <c r="L1143" s="15">
        <v>59934.600000000006</v>
      </c>
    </row>
    <row r="1144" spans="1:12" ht="39.75" customHeight="1" outlineLevel="2" x14ac:dyDescent="0.25">
      <c r="A1144" s="10">
        <f>ROW(A1142)</f>
        <v>1142</v>
      </c>
      <c r="B1144" s="6" t="str">
        <f>E1144</f>
        <v>ЩР4.1(БЛОК 7)</v>
      </c>
      <c r="C1144" s="6"/>
      <c r="D1144" s="28"/>
      <c r="E1144" s="6" t="s">
        <v>324</v>
      </c>
      <c r="F1144" s="36"/>
      <c r="G1144" s="36" t="s">
        <v>73</v>
      </c>
      <c r="H1144" s="7"/>
      <c r="I1144" s="10">
        <v>1</v>
      </c>
      <c r="J1144" s="11" t="s">
        <v>6</v>
      </c>
      <c r="K1144" s="6" t="s">
        <v>8</v>
      </c>
      <c r="L1144" s="9"/>
    </row>
    <row r="1145" spans="1:12" ht="21" customHeight="1" outlineLevel="2" x14ac:dyDescent="0.25">
      <c r="A1145" s="16">
        <f t="shared" si="115"/>
        <v>1144</v>
      </c>
      <c r="B1145" s="12" t="str">
        <f t="shared" ref="B1145:B1150" si="130">B1144</f>
        <v>ЩР4.1(БЛОК 7)</v>
      </c>
      <c r="C1145" s="13" t="s">
        <v>7</v>
      </c>
      <c r="D1145" s="29" t="s">
        <v>590</v>
      </c>
      <c r="E1145" s="12" t="s">
        <v>591</v>
      </c>
      <c r="F1145" s="37">
        <v>11400</v>
      </c>
      <c r="G1145" s="38">
        <f>F1145*0.6</f>
        <v>6840</v>
      </c>
      <c r="H1145" s="38">
        <f>I1145*G1145</f>
        <v>6840</v>
      </c>
      <c r="I1145" s="16">
        <v>1</v>
      </c>
      <c r="J1145" s="17" t="s">
        <v>12</v>
      </c>
      <c r="K1145" s="13" t="s">
        <v>581</v>
      </c>
      <c r="L1145" s="15">
        <v>6840</v>
      </c>
    </row>
    <row r="1146" spans="1:12" ht="21" customHeight="1" outlineLevel="2" x14ac:dyDescent="0.25">
      <c r="A1146" s="16">
        <f t="shared" si="115"/>
        <v>1145</v>
      </c>
      <c r="B1146" s="12" t="str">
        <f t="shared" si="130"/>
        <v>ЩР4.1(БЛОК 7)</v>
      </c>
      <c r="C1146" s="13" t="s">
        <v>11</v>
      </c>
      <c r="D1146" s="29" t="s">
        <v>453</v>
      </c>
      <c r="E1146" s="12" t="s">
        <v>454</v>
      </c>
      <c r="F1146" s="37">
        <v>10552</v>
      </c>
      <c r="G1146" s="38">
        <f t="shared" ref="G1146:G1148" si="131">F1146*0.6</f>
        <v>6331.2</v>
      </c>
      <c r="H1146" s="38">
        <f>G1146*I1146</f>
        <v>6331.2</v>
      </c>
      <c r="I1146" s="16">
        <v>1</v>
      </c>
      <c r="J1146" s="17" t="s">
        <v>12</v>
      </c>
      <c r="K1146" s="13" t="s">
        <v>16</v>
      </c>
      <c r="L1146" s="15">
        <v>6331.2</v>
      </c>
    </row>
    <row r="1147" spans="1:12" ht="21" customHeight="1" outlineLevel="2" x14ac:dyDescent="0.25">
      <c r="A1147" s="16">
        <f t="shared" si="115"/>
        <v>1146</v>
      </c>
      <c r="B1147" s="12" t="str">
        <f t="shared" si="130"/>
        <v>ЩР4.1(БЛОК 7)</v>
      </c>
      <c r="C1147" s="13" t="s">
        <v>11</v>
      </c>
      <c r="D1147" s="29" t="s">
        <v>53</v>
      </c>
      <c r="E1147" s="12" t="s">
        <v>54</v>
      </c>
      <c r="F1147" s="37">
        <v>783</v>
      </c>
      <c r="G1147" s="38">
        <f t="shared" si="131"/>
        <v>469.79999999999995</v>
      </c>
      <c r="H1147" s="38">
        <f>G1147*I1147</f>
        <v>2349</v>
      </c>
      <c r="I1147" s="16">
        <v>5</v>
      </c>
      <c r="J1147" s="17" t="s">
        <v>12</v>
      </c>
      <c r="K1147" s="13" t="s">
        <v>16</v>
      </c>
      <c r="L1147" s="15">
        <v>2349</v>
      </c>
    </row>
    <row r="1148" spans="1:12" ht="21" customHeight="1" outlineLevel="2" x14ac:dyDescent="0.25">
      <c r="A1148" s="16">
        <f t="shared" si="115"/>
        <v>1147</v>
      </c>
      <c r="B1148" s="12" t="str">
        <f t="shared" si="130"/>
        <v>ЩР4.1(БЛОК 7)</v>
      </c>
      <c r="C1148" s="13" t="s">
        <v>22</v>
      </c>
      <c r="D1148" s="29" t="s">
        <v>117</v>
      </c>
      <c r="E1148" s="12" t="s">
        <v>118</v>
      </c>
      <c r="F1148" s="37">
        <v>5104</v>
      </c>
      <c r="G1148" s="38">
        <f t="shared" si="131"/>
        <v>3062.4</v>
      </c>
      <c r="H1148" s="38">
        <f>G1148*I1148</f>
        <v>15312</v>
      </c>
      <c r="I1148" s="16">
        <v>5</v>
      </c>
      <c r="J1148" s="17" t="s">
        <v>12</v>
      </c>
      <c r="K1148" s="13" t="s">
        <v>16</v>
      </c>
      <c r="L1148" s="15">
        <v>15312</v>
      </c>
    </row>
    <row r="1149" spans="1:12" ht="24" customHeight="1" outlineLevel="2" x14ac:dyDescent="0.25">
      <c r="A1149" s="12">
        <f t="shared" si="115"/>
        <v>1148</v>
      </c>
      <c r="B1149" s="12" t="str">
        <f t="shared" si="130"/>
        <v>ЩР4.1(БЛОК 7)</v>
      </c>
      <c r="C1149" s="12" t="s">
        <v>9</v>
      </c>
      <c r="D1149" s="30" t="s">
        <v>9</v>
      </c>
      <c r="E1149" s="12" t="s">
        <v>9</v>
      </c>
      <c r="F1149" s="18">
        <f ca="1">OFFSET(F1149,1,2)</f>
        <v>6000</v>
      </c>
      <c r="G1149" s="38">
        <f ca="1">F1149</f>
        <v>6000</v>
      </c>
      <c r="H1149" s="38">
        <f ca="1">G1149*I1149</f>
        <v>6000</v>
      </c>
      <c r="I1149" s="12">
        <v>1</v>
      </c>
      <c r="J1149" s="12" t="s">
        <v>12</v>
      </c>
      <c r="K1149" s="12" t="s">
        <v>9</v>
      </c>
      <c r="L1149" s="15">
        <v>6000</v>
      </c>
    </row>
    <row r="1150" spans="1:12" ht="21" customHeight="1" outlineLevel="2" x14ac:dyDescent="0.25">
      <c r="A1150" s="12">
        <f t="shared" si="115"/>
        <v>1149</v>
      </c>
      <c r="B1150" s="12" t="str">
        <f t="shared" si="130"/>
        <v>ЩР4.1(БЛОК 7)</v>
      </c>
      <c r="C1150" s="12" t="s">
        <v>10</v>
      </c>
      <c r="D1150" s="30" t="s">
        <v>10</v>
      </c>
      <c r="E1150" s="12" t="s">
        <v>10</v>
      </c>
      <c r="F1150" s="18">
        <v>1</v>
      </c>
      <c r="G1150" s="38">
        <v>100</v>
      </c>
      <c r="H1150" s="38">
        <f>60*F1150*G1150</f>
        <v>6000</v>
      </c>
      <c r="I1150" s="12">
        <v>1</v>
      </c>
      <c r="J1150" s="12" t="s">
        <v>12</v>
      </c>
      <c r="K1150" s="12" t="s">
        <v>10</v>
      </c>
      <c r="L1150" s="15">
        <v>6000</v>
      </c>
    </row>
    <row r="1151" spans="1:12" ht="21" customHeight="1" outlineLevel="1" x14ac:dyDescent="0.25">
      <c r="A1151" s="12"/>
      <c r="B1151" s="12" t="s">
        <v>730</v>
      </c>
      <c r="C1151" s="12"/>
      <c r="D1151" s="30"/>
      <c r="E1151" s="12"/>
      <c r="F1151" s="18"/>
      <c r="G1151" s="38"/>
      <c r="H1151" s="38">
        <f ca="1">SUBTOTAL(9,H1144:H1150)</f>
        <v>42832.2</v>
      </c>
      <c r="I1151" s="12"/>
      <c r="J1151" s="12"/>
      <c r="K1151" s="12"/>
      <c r="L1151" s="15">
        <v>42832.2</v>
      </c>
    </row>
    <row r="1152" spans="1:12" ht="39.75" customHeight="1" outlineLevel="2" x14ac:dyDescent="0.25">
      <c r="A1152" s="10">
        <f>ROW(A1150)</f>
        <v>1150</v>
      </c>
      <c r="B1152" s="6" t="str">
        <f>E1152</f>
        <v>ЩР4.2(БЛОК 7)</v>
      </c>
      <c r="C1152" s="6"/>
      <c r="D1152" s="28"/>
      <c r="E1152" s="6" t="s">
        <v>325</v>
      </c>
      <c r="F1152" s="36"/>
      <c r="G1152" s="36" t="s">
        <v>73</v>
      </c>
      <c r="H1152" s="7"/>
      <c r="I1152" s="10">
        <v>1</v>
      </c>
      <c r="J1152" s="11" t="s">
        <v>6</v>
      </c>
      <c r="K1152" s="6" t="s">
        <v>8</v>
      </c>
      <c r="L1152" s="9"/>
    </row>
    <row r="1153" spans="1:12" ht="21" customHeight="1" outlineLevel="2" x14ac:dyDescent="0.25">
      <c r="A1153" s="16">
        <f t="shared" si="115"/>
        <v>1152</v>
      </c>
      <c r="B1153" s="12" t="str">
        <f t="shared" ref="B1153:B1158" si="132">B1152</f>
        <v>ЩР4.2(БЛОК 7)</v>
      </c>
      <c r="C1153" s="13" t="s">
        <v>7</v>
      </c>
      <c r="D1153" s="29" t="s">
        <v>590</v>
      </c>
      <c r="E1153" s="12" t="s">
        <v>591</v>
      </c>
      <c r="F1153" s="37">
        <v>11400</v>
      </c>
      <c r="G1153" s="38">
        <f>F1153*0.6</f>
        <v>6840</v>
      </c>
      <c r="H1153" s="38">
        <f>I1153*G1153</f>
        <v>6840</v>
      </c>
      <c r="I1153" s="16">
        <v>1</v>
      </c>
      <c r="J1153" s="17" t="s">
        <v>12</v>
      </c>
      <c r="K1153" s="13" t="s">
        <v>581</v>
      </c>
      <c r="L1153" s="15">
        <v>6840</v>
      </c>
    </row>
    <row r="1154" spans="1:12" ht="21" customHeight="1" outlineLevel="2" x14ac:dyDescent="0.25">
      <c r="A1154" s="16">
        <f t="shared" si="115"/>
        <v>1153</v>
      </c>
      <c r="B1154" s="12" t="str">
        <f t="shared" si="132"/>
        <v>ЩР4.2(БЛОК 7)</v>
      </c>
      <c r="C1154" s="13" t="s">
        <v>11</v>
      </c>
      <c r="D1154" s="29" t="s">
        <v>453</v>
      </c>
      <c r="E1154" s="12" t="s">
        <v>454</v>
      </c>
      <c r="F1154" s="37">
        <v>10552</v>
      </c>
      <c r="G1154" s="38">
        <f t="shared" ref="G1154:G1156" si="133">F1154*0.6</f>
        <v>6331.2</v>
      </c>
      <c r="H1154" s="38">
        <f>G1154*I1154</f>
        <v>6331.2</v>
      </c>
      <c r="I1154" s="16">
        <v>1</v>
      </c>
      <c r="J1154" s="17" t="s">
        <v>12</v>
      </c>
      <c r="K1154" s="13" t="s">
        <v>16</v>
      </c>
      <c r="L1154" s="15">
        <v>6331.2</v>
      </c>
    </row>
    <row r="1155" spans="1:12" ht="21" customHeight="1" outlineLevel="2" x14ac:dyDescent="0.25">
      <c r="A1155" s="16">
        <f t="shared" si="115"/>
        <v>1154</v>
      </c>
      <c r="B1155" s="12" t="str">
        <f t="shared" si="132"/>
        <v>ЩР4.2(БЛОК 7)</v>
      </c>
      <c r="C1155" s="13" t="s">
        <v>11</v>
      </c>
      <c r="D1155" s="29" t="s">
        <v>53</v>
      </c>
      <c r="E1155" s="12" t="s">
        <v>54</v>
      </c>
      <c r="F1155" s="37">
        <v>783</v>
      </c>
      <c r="G1155" s="38">
        <f t="shared" si="133"/>
        <v>469.79999999999995</v>
      </c>
      <c r="H1155" s="38">
        <f>G1155*I1155</f>
        <v>2349</v>
      </c>
      <c r="I1155" s="16">
        <v>5</v>
      </c>
      <c r="J1155" s="17" t="s">
        <v>12</v>
      </c>
      <c r="K1155" s="13" t="s">
        <v>16</v>
      </c>
      <c r="L1155" s="15">
        <v>2349</v>
      </c>
    </row>
    <row r="1156" spans="1:12" ht="21" customHeight="1" outlineLevel="2" x14ac:dyDescent="0.25">
      <c r="A1156" s="16">
        <f t="shared" si="115"/>
        <v>1155</v>
      </c>
      <c r="B1156" s="12" t="str">
        <f t="shared" si="132"/>
        <v>ЩР4.2(БЛОК 7)</v>
      </c>
      <c r="C1156" s="13" t="s">
        <v>22</v>
      </c>
      <c r="D1156" s="29" t="s">
        <v>117</v>
      </c>
      <c r="E1156" s="12" t="s">
        <v>118</v>
      </c>
      <c r="F1156" s="37">
        <v>5104</v>
      </c>
      <c r="G1156" s="38">
        <f t="shared" si="133"/>
        <v>3062.4</v>
      </c>
      <c r="H1156" s="38">
        <f>G1156*I1156</f>
        <v>15312</v>
      </c>
      <c r="I1156" s="16">
        <v>5</v>
      </c>
      <c r="J1156" s="17" t="s">
        <v>12</v>
      </c>
      <c r="K1156" s="13" t="s">
        <v>16</v>
      </c>
      <c r="L1156" s="15">
        <v>15312</v>
      </c>
    </row>
    <row r="1157" spans="1:12" ht="24" customHeight="1" outlineLevel="2" x14ac:dyDescent="0.25">
      <c r="A1157" s="12">
        <f t="shared" si="115"/>
        <v>1156</v>
      </c>
      <c r="B1157" s="12" t="str">
        <f t="shared" si="132"/>
        <v>ЩР4.2(БЛОК 7)</v>
      </c>
      <c r="C1157" s="12" t="s">
        <v>9</v>
      </c>
      <c r="D1157" s="30" t="s">
        <v>9</v>
      </c>
      <c r="E1157" s="12" t="s">
        <v>9</v>
      </c>
      <c r="F1157" s="18">
        <f ca="1">OFFSET(F1157,1,2)</f>
        <v>6000</v>
      </c>
      <c r="G1157" s="38">
        <f ca="1">F1157</f>
        <v>6000</v>
      </c>
      <c r="H1157" s="38">
        <f ca="1">G1157*I1157</f>
        <v>6000</v>
      </c>
      <c r="I1157" s="12">
        <v>1</v>
      </c>
      <c r="J1157" s="12" t="s">
        <v>12</v>
      </c>
      <c r="K1157" s="12" t="s">
        <v>9</v>
      </c>
      <c r="L1157" s="15">
        <v>6000</v>
      </c>
    </row>
    <row r="1158" spans="1:12" ht="21" customHeight="1" outlineLevel="2" x14ac:dyDescent="0.25">
      <c r="A1158" s="12">
        <f t="shared" ref="A1158:A1230" si="134">ROW(A1157)</f>
        <v>1157</v>
      </c>
      <c r="B1158" s="12" t="str">
        <f t="shared" si="132"/>
        <v>ЩР4.2(БЛОК 7)</v>
      </c>
      <c r="C1158" s="12" t="s">
        <v>10</v>
      </c>
      <c r="D1158" s="30" t="s">
        <v>10</v>
      </c>
      <c r="E1158" s="12" t="s">
        <v>10</v>
      </c>
      <c r="F1158" s="18">
        <v>1</v>
      </c>
      <c r="G1158" s="38">
        <v>100</v>
      </c>
      <c r="H1158" s="38">
        <f>60*F1158*G1158</f>
        <v>6000</v>
      </c>
      <c r="I1158" s="12">
        <v>1</v>
      </c>
      <c r="J1158" s="12" t="s">
        <v>12</v>
      </c>
      <c r="K1158" s="12" t="s">
        <v>10</v>
      </c>
      <c r="L1158" s="15">
        <v>6000</v>
      </c>
    </row>
    <row r="1159" spans="1:12" ht="21" customHeight="1" outlineLevel="1" x14ac:dyDescent="0.25">
      <c r="A1159" s="12"/>
      <c r="B1159" s="12" t="s">
        <v>731</v>
      </c>
      <c r="C1159" s="12"/>
      <c r="D1159" s="30"/>
      <c r="E1159" s="12"/>
      <c r="F1159" s="18"/>
      <c r="G1159" s="38"/>
      <c r="H1159" s="38">
        <f ca="1">SUBTOTAL(9,H1152:H1158)</f>
        <v>42832.2</v>
      </c>
      <c r="I1159" s="12"/>
      <c r="J1159" s="12"/>
      <c r="K1159" s="12"/>
      <c r="L1159" s="15">
        <v>42832.2</v>
      </c>
    </row>
    <row r="1160" spans="1:12" ht="39.75" customHeight="1" outlineLevel="2" x14ac:dyDescent="0.25">
      <c r="A1160" s="10">
        <f>ROW(A1158)</f>
        <v>1158</v>
      </c>
      <c r="B1160" s="6" t="str">
        <f>E1160</f>
        <v>ЩР4.3(БЛОК 7)</v>
      </c>
      <c r="C1160" s="6"/>
      <c r="D1160" s="28"/>
      <c r="E1160" s="6" t="s">
        <v>326</v>
      </c>
      <c r="F1160" s="36"/>
      <c r="G1160" s="36" t="s">
        <v>73</v>
      </c>
      <c r="H1160" s="7"/>
      <c r="I1160" s="10">
        <v>1</v>
      </c>
      <c r="J1160" s="11" t="s">
        <v>6</v>
      </c>
      <c r="K1160" s="6" t="s">
        <v>8</v>
      </c>
      <c r="L1160" s="9"/>
    </row>
    <row r="1161" spans="1:12" ht="21" customHeight="1" outlineLevel="2" x14ac:dyDescent="0.25">
      <c r="A1161" s="16">
        <f t="shared" si="134"/>
        <v>1160</v>
      </c>
      <c r="B1161" s="12" t="str">
        <f t="shared" ref="B1161:B1166" si="135">B1160</f>
        <v>ЩР4.3(БЛОК 7)</v>
      </c>
      <c r="C1161" s="13" t="s">
        <v>7</v>
      </c>
      <c r="D1161" s="29" t="s">
        <v>590</v>
      </c>
      <c r="E1161" s="12" t="s">
        <v>591</v>
      </c>
      <c r="F1161" s="37">
        <v>11400</v>
      </c>
      <c r="G1161" s="38">
        <f>F1161*0.6</f>
        <v>6840</v>
      </c>
      <c r="H1161" s="38">
        <f>I1161*G1161</f>
        <v>6840</v>
      </c>
      <c r="I1161" s="16">
        <v>1</v>
      </c>
      <c r="J1161" s="17" t="s">
        <v>12</v>
      </c>
      <c r="K1161" s="13" t="s">
        <v>581</v>
      </c>
      <c r="L1161" s="15">
        <v>6840</v>
      </c>
    </row>
    <row r="1162" spans="1:12" ht="21" customHeight="1" outlineLevel="2" x14ac:dyDescent="0.25">
      <c r="A1162" s="16">
        <f t="shared" si="134"/>
        <v>1161</v>
      </c>
      <c r="B1162" s="12" t="str">
        <f t="shared" si="135"/>
        <v>ЩР4.3(БЛОК 7)</v>
      </c>
      <c r="C1162" s="13" t="s">
        <v>11</v>
      </c>
      <c r="D1162" s="29" t="s">
        <v>453</v>
      </c>
      <c r="E1162" s="12" t="s">
        <v>454</v>
      </c>
      <c r="F1162" s="37">
        <v>10552</v>
      </c>
      <c r="G1162" s="38">
        <f t="shared" ref="G1162:G1164" si="136">F1162*0.6</f>
        <v>6331.2</v>
      </c>
      <c r="H1162" s="38">
        <f>G1162*I1162</f>
        <v>6331.2</v>
      </c>
      <c r="I1162" s="16">
        <v>1</v>
      </c>
      <c r="J1162" s="17" t="s">
        <v>12</v>
      </c>
      <c r="K1162" s="13" t="s">
        <v>16</v>
      </c>
      <c r="L1162" s="15">
        <v>6331.2</v>
      </c>
    </row>
    <row r="1163" spans="1:12" ht="21" customHeight="1" outlineLevel="2" x14ac:dyDescent="0.25">
      <c r="A1163" s="16">
        <f t="shared" si="134"/>
        <v>1162</v>
      </c>
      <c r="B1163" s="12" t="str">
        <f t="shared" si="135"/>
        <v>ЩР4.3(БЛОК 7)</v>
      </c>
      <c r="C1163" s="13" t="s">
        <v>11</v>
      </c>
      <c r="D1163" s="29" t="s">
        <v>53</v>
      </c>
      <c r="E1163" s="12" t="s">
        <v>54</v>
      </c>
      <c r="F1163" s="37">
        <v>783</v>
      </c>
      <c r="G1163" s="38">
        <f t="shared" si="136"/>
        <v>469.79999999999995</v>
      </c>
      <c r="H1163" s="38">
        <f>G1163*I1163</f>
        <v>2349</v>
      </c>
      <c r="I1163" s="16">
        <v>5</v>
      </c>
      <c r="J1163" s="17" t="s">
        <v>12</v>
      </c>
      <c r="K1163" s="13" t="s">
        <v>16</v>
      </c>
      <c r="L1163" s="15">
        <v>2349</v>
      </c>
    </row>
    <row r="1164" spans="1:12" ht="21" customHeight="1" outlineLevel="2" x14ac:dyDescent="0.25">
      <c r="A1164" s="16">
        <f t="shared" si="134"/>
        <v>1163</v>
      </c>
      <c r="B1164" s="12" t="str">
        <f t="shared" si="135"/>
        <v>ЩР4.3(БЛОК 7)</v>
      </c>
      <c r="C1164" s="13" t="s">
        <v>22</v>
      </c>
      <c r="D1164" s="29" t="s">
        <v>117</v>
      </c>
      <c r="E1164" s="12" t="s">
        <v>118</v>
      </c>
      <c r="F1164" s="37">
        <v>5104</v>
      </c>
      <c r="G1164" s="38">
        <f t="shared" si="136"/>
        <v>3062.4</v>
      </c>
      <c r="H1164" s="38">
        <f>G1164*I1164</f>
        <v>18374.400000000001</v>
      </c>
      <c r="I1164" s="16">
        <v>6</v>
      </c>
      <c r="J1164" s="17" t="s">
        <v>12</v>
      </c>
      <c r="K1164" s="13" t="s">
        <v>16</v>
      </c>
      <c r="L1164" s="15">
        <v>18374.400000000001</v>
      </c>
    </row>
    <row r="1165" spans="1:12" ht="24" customHeight="1" outlineLevel="2" x14ac:dyDescent="0.25">
      <c r="A1165" s="12">
        <f t="shared" si="134"/>
        <v>1164</v>
      </c>
      <c r="B1165" s="12" t="str">
        <f t="shared" si="135"/>
        <v>ЩР4.3(БЛОК 7)</v>
      </c>
      <c r="C1165" s="12" t="s">
        <v>9</v>
      </c>
      <c r="D1165" s="30" t="s">
        <v>9</v>
      </c>
      <c r="E1165" s="12" t="s">
        <v>9</v>
      </c>
      <c r="F1165" s="18">
        <f ca="1">OFFSET(F1165,1,2)</f>
        <v>6000</v>
      </c>
      <c r="G1165" s="38">
        <f ca="1">F1165</f>
        <v>6000</v>
      </c>
      <c r="H1165" s="38">
        <f ca="1">G1165*I1165</f>
        <v>6000</v>
      </c>
      <c r="I1165" s="12">
        <v>1</v>
      </c>
      <c r="J1165" s="12" t="s">
        <v>12</v>
      </c>
      <c r="K1165" s="12" t="s">
        <v>9</v>
      </c>
      <c r="L1165" s="15">
        <v>6000</v>
      </c>
    </row>
    <row r="1166" spans="1:12" ht="21" customHeight="1" outlineLevel="2" x14ac:dyDescent="0.25">
      <c r="A1166" s="12">
        <f t="shared" si="134"/>
        <v>1165</v>
      </c>
      <c r="B1166" s="12" t="str">
        <f t="shared" si="135"/>
        <v>ЩР4.3(БЛОК 7)</v>
      </c>
      <c r="C1166" s="12" t="s">
        <v>10</v>
      </c>
      <c r="D1166" s="30" t="s">
        <v>10</v>
      </c>
      <c r="E1166" s="12" t="s">
        <v>10</v>
      </c>
      <c r="F1166" s="18">
        <v>1</v>
      </c>
      <c r="G1166" s="38">
        <v>100</v>
      </c>
      <c r="H1166" s="38">
        <f>60*F1166*G1166</f>
        <v>6000</v>
      </c>
      <c r="I1166" s="12">
        <v>1</v>
      </c>
      <c r="J1166" s="12" t="s">
        <v>12</v>
      </c>
      <c r="K1166" s="12" t="s">
        <v>10</v>
      </c>
      <c r="L1166" s="15">
        <v>6000</v>
      </c>
    </row>
    <row r="1167" spans="1:12" ht="21" customHeight="1" outlineLevel="1" x14ac:dyDescent="0.25">
      <c r="A1167" s="12"/>
      <c r="B1167" s="12" t="s">
        <v>732</v>
      </c>
      <c r="C1167" s="12"/>
      <c r="D1167" s="30"/>
      <c r="E1167" s="12"/>
      <c r="F1167" s="18"/>
      <c r="G1167" s="38"/>
      <c r="H1167" s="38">
        <f ca="1">SUBTOTAL(9,H1160:H1166)</f>
        <v>45894.600000000006</v>
      </c>
      <c r="I1167" s="12"/>
      <c r="J1167" s="12"/>
      <c r="K1167" s="12"/>
      <c r="L1167" s="15">
        <v>45894.600000000006</v>
      </c>
    </row>
    <row r="1168" spans="1:12" ht="39.75" customHeight="1" outlineLevel="2" x14ac:dyDescent="0.25">
      <c r="A1168" s="10">
        <f>ROW(A1166)</f>
        <v>1166</v>
      </c>
      <c r="B1168" s="6" t="str">
        <f>E1168</f>
        <v>ЩР4.4(БЛОК 7)</v>
      </c>
      <c r="C1168" s="6"/>
      <c r="D1168" s="28"/>
      <c r="E1168" s="6" t="s">
        <v>327</v>
      </c>
      <c r="F1168" s="36"/>
      <c r="G1168" s="36" t="s">
        <v>73</v>
      </c>
      <c r="H1168" s="7"/>
      <c r="I1168" s="10">
        <v>1</v>
      </c>
      <c r="J1168" s="11" t="s">
        <v>6</v>
      </c>
      <c r="K1168" s="6" t="s">
        <v>8</v>
      </c>
      <c r="L1168" s="9"/>
    </row>
    <row r="1169" spans="1:12" ht="21" customHeight="1" outlineLevel="2" x14ac:dyDescent="0.25">
      <c r="A1169" s="16">
        <f t="shared" si="134"/>
        <v>1168</v>
      </c>
      <c r="B1169" s="12" t="str">
        <f t="shared" ref="B1169:B1174" si="137">B1168</f>
        <v>ЩР4.4(БЛОК 7)</v>
      </c>
      <c r="C1169" s="13" t="s">
        <v>7</v>
      </c>
      <c r="D1169" s="29" t="s">
        <v>590</v>
      </c>
      <c r="E1169" s="12" t="s">
        <v>591</v>
      </c>
      <c r="F1169" s="37">
        <v>11400</v>
      </c>
      <c r="G1169" s="38">
        <f>F1169*0.6</f>
        <v>6840</v>
      </c>
      <c r="H1169" s="38">
        <f>I1169*G1169</f>
        <v>6840</v>
      </c>
      <c r="I1169" s="16">
        <v>1</v>
      </c>
      <c r="J1169" s="17" t="s">
        <v>12</v>
      </c>
      <c r="K1169" s="13" t="s">
        <v>581</v>
      </c>
      <c r="L1169" s="15">
        <v>6840</v>
      </c>
    </row>
    <row r="1170" spans="1:12" ht="21" customHeight="1" outlineLevel="2" x14ac:dyDescent="0.25">
      <c r="A1170" s="16">
        <f t="shared" si="134"/>
        <v>1169</v>
      </c>
      <c r="B1170" s="12" t="str">
        <f t="shared" si="137"/>
        <v>ЩР4.4(БЛОК 7)</v>
      </c>
      <c r="C1170" s="13" t="s">
        <v>11</v>
      </c>
      <c r="D1170" s="29" t="s">
        <v>453</v>
      </c>
      <c r="E1170" s="12" t="s">
        <v>454</v>
      </c>
      <c r="F1170" s="37">
        <v>10552</v>
      </c>
      <c r="G1170" s="38">
        <f t="shared" ref="G1170:G1172" si="138">F1170*0.6</f>
        <v>6331.2</v>
      </c>
      <c r="H1170" s="38">
        <f>G1170*I1170</f>
        <v>6331.2</v>
      </c>
      <c r="I1170" s="16">
        <v>1</v>
      </c>
      <c r="J1170" s="17" t="s">
        <v>12</v>
      </c>
      <c r="K1170" s="13" t="s">
        <v>16</v>
      </c>
      <c r="L1170" s="15">
        <v>6331.2</v>
      </c>
    </row>
    <row r="1171" spans="1:12" ht="21" customHeight="1" outlineLevel="2" x14ac:dyDescent="0.25">
      <c r="A1171" s="16">
        <f t="shared" si="134"/>
        <v>1170</v>
      </c>
      <c r="B1171" s="12" t="str">
        <f t="shared" si="137"/>
        <v>ЩР4.4(БЛОК 7)</v>
      </c>
      <c r="C1171" s="13" t="s">
        <v>11</v>
      </c>
      <c r="D1171" s="29" t="s">
        <v>53</v>
      </c>
      <c r="E1171" s="12" t="s">
        <v>54</v>
      </c>
      <c r="F1171" s="37">
        <v>783</v>
      </c>
      <c r="G1171" s="38">
        <f t="shared" si="138"/>
        <v>469.79999999999995</v>
      </c>
      <c r="H1171" s="38">
        <f>G1171*I1171</f>
        <v>2349</v>
      </c>
      <c r="I1171" s="16">
        <v>5</v>
      </c>
      <c r="J1171" s="17" t="s">
        <v>12</v>
      </c>
      <c r="K1171" s="13" t="s">
        <v>16</v>
      </c>
      <c r="L1171" s="15">
        <v>2349</v>
      </c>
    </row>
    <row r="1172" spans="1:12" ht="21" customHeight="1" outlineLevel="2" x14ac:dyDescent="0.25">
      <c r="A1172" s="16">
        <f t="shared" si="134"/>
        <v>1171</v>
      </c>
      <c r="B1172" s="12" t="str">
        <f t="shared" si="137"/>
        <v>ЩР4.4(БЛОК 7)</v>
      </c>
      <c r="C1172" s="13" t="s">
        <v>22</v>
      </c>
      <c r="D1172" s="29" t="s">
        <v>117</v>
      </c>
      <c r="E1172" s="12" t="s">
        <v>118</v>
      </c>
      <c r="F1172" s="37">
        <v>5104</v>
      </c>
      <c r="G1172" s="38">
        <f t="shared" si="138"/>
        <v>3062.4</v>
      </c>
      <c r="H1172" s="38">
        <f>G1172*I1172</f>
        <v>15312</v>
      </c>
      <c r="I1172" s="16">
        <v>5</v>
      </c>
      <c r="J1172" s="17" t="s">
        <v>12</v>
      </c>
      <c r="K1172" s="13" t="s">
        <v>16</v>
      </c>
      <c r="L1172" s="15">
        <v>15312</v>
      </c>
    </row>
    <row r="1173" spans="1:12" ht="24" customHeight="1" outlineLevel="2" x14ac:dyDescent="0.25">
      <c r="A1173" s="12">
        <f t="shared" si="134"/>
        <v>1172</v>
      </c>
      <c r="B1173" s="12" t="str">
        <f t="shared" si="137"/>
        <v>ЩР4.4(БЛОК 7)</v>
      </c>
      <c r="C1173" s="12" t="s">
        <v>9</v>
      </c>
      <c r="D1173" s="30" t="s">
        <v>9</v>
      </c>
      <c r="E1173" s="12" t="s">
        <v>9</v>
      </c>
      <c r="F1173" s="18">
        <f ca="1">OFFSET(F1173,1,2)</f>
        <v>6000</v>
      </c>
      <c r="G1173" s="38">
        <f ca="1">F1173</f>
        <v>6000</v>
      </c>
      <c r="H1173" s="38">
        <f ca="1">G1173*I1173</f>
        <v>6000</v>
      </c>
      <c r="I1173" s="12">
        <v>1</v>
      </c>
      <c r="J1173" s="12" t="s">
        <v>12</v>
      </c>
      <c r="K1173" s="12" t="s">
        <v>9</v>
      </c>
      <c r="L1173" s="15">
        <v>6000</v>
      </c>
    </row>
    <row r="1174" spans="1:12" ht="21" customHeight="1" outlineLevel="2" x14ac:dyDescent="0.25">
      <c r="A1174" s="12">
        <f t="shared" si="134"/>
        <v>1173</v>
      </c>
      <c r="B1174" s="12" t="str">
        <f t="shared" si="137"/>
        <v>ЩР4.4(БЛОК 7)</v>
      </c>
      <c r="C1174" s="12" t="s">
        <v>10</v>
      </c>
      <c r="D1174" s="30" t="s">
        <v>10</v>
      </c>
      <c r="E1174" s="12" t="s">
        <v>10</v>
      </c>
      <c r="F1174" s="18">
        <v>1</v>
      </c>
      <c r="G1174" s="38">
        <v>100</v>
      </c>
      <c r="H1174" s="38">
        <f>60*F1174*G1174</f>
        <v>6000</v>
      </c>
      <c r="I1174" s="12">
        <v>1</v>
      </c>
      <c r="J1174" s="12" t="s">
        <v>12</v>
      </c>
      <c r="K1174" s="12" t="s">
        <v>10</v>
      </c>
      <c r="L1174" s="15">
        <v>6000</v>
      </c>
    </row>
    <row r="1175" spans="1:12" ht="21" customHeight="1" outlineLevel="1" x14ac:dyDescent="0.25">
      <c r="A1175" s="12"/>
      <c r="B1175" s="12" t="s">
        <v>733</v>
      </c>
      <c r="C1175" s="12"/>
      <c r="D1175" s="30"/>
      <c r="E1175" s="12"/>
      <c r="F1175" s="18"/>
      <c r="G1175" s="38"/>
      <c r="H1175" s="38">
        <f ca="1">SUBTOTAL(9,H1168:H1174)</f>
        <v>42832.2</v>
      </c>
      <c r="I1175" s="12"/>
      <c r="J1175" s="12"/>
      <c r="K1175" s="12"/>
      <c r="L1175" s="15">
        <v>42832.2</v>
      </c>
    </row>
    <row r="1176" spans="1:12" ht="39.75" customHeight="1" outlineLevel="2" x14ac:dyDescent="0.25">
      <c r="A1176" s="10">
        <f>ROW(A1174)</f>
        <v>1174</v>
      </c>
      <c r="B1176" s="6" t="str">
        <f>E1176</f>
        <v>ЩР5.1(БЛОК 7)</v>
      </c>
      <c r="C1176" s="6"/>
      <c r="D1176" s="28"/>
      <c r="E1176" s="6" t="s">
        <v>328</v>
      </c>
      <c r="F1176" s="36"/>
      <c r="G1176" s="36" t="s">
        <v>73</v>
      </c>
      <c r="H1176" s="7"/>
      <c r="I1176" s="10">
        <v>1</v>
      </c>
      <c r="J1176" s="11" t="s">
        <v>6</v>
      </c>
      <c r="K1176" s="6" t="s">
        <v>8</v>
      </c>
      <c r="L1176" s="9"/>
    </row>
    <row r="1177" spans="1:12" ht="21" customHeight="1" outlineLevel="2" x14ac:dyDescent="0.25">
      <c r="A1177" s="16">
        <f t="shared" si="134"/>
        <v>1176</v>
      </c>
      <c r="B1177" s="12" t="str">
        <f t="shared" ref="B1177:B1182" si="139">B1176</f>
        <v>ЩР5.1(БЛОК 7)</v>
      </c>
      <c r="C1177" s="13" t="s">
        <v>7</v>
      </c>
      <c r="D1177" s="29" t="s">
        <v>590</v>
      </c>
      <c r="E1177" s="12" t="s">
        <v>591</v>
      </c>
      <c r="F1177" s="37">
        <v>11400</v>
      </c>
      <c r="G1177" s="38">
        <f>F1177*0.6</f>
        <v>6840</v>
      </c>
      <c r="H1177" s="38">
        <f>I1177*G1177</f>
        <v>6840</v>
      </c>
      <c r="I1177" s="16">
        <v>1</v>
      </c>
      <c r="J1177" s="17" t="s">
        <v>12</v>
      </c>
      <c r="K1177" s="13" t="s">
        <v>581</v>
      </c>
      <c r="L1177" s="15">
        <v>6840</v>
      </c>
    </row>
    <row r="1178" spans="1:12" ht="21" customHeight="1" outlineLevel="2" x14ac:dyDescent="0.25">
      <c r="A1178" s="16">
        <f t="shared" si="134"/>
        <v>1177</v>
      </c>
      <c r="B1178" s="12" t="str">
        <f t="shared" si="139"/>
        <v>ЩР5.1(БЛОК 7)</v>
      </c>
      <c r="C1178" s="13" t="s">
        <v>11</v>
      </c>
      <c r="D1178" s="29" t="s">
        <v>453</v>
      </c>
      <c r="E1178" s="12" t="s">
        <v>454</v>
      </c>
      <c r="F1178" s="37">
        <v>10552</v>
      </c>
      <c r="G1178" s="38">
        <f t="shared" ref="G1178:G1180" si="140">F1178*0.6</f>
        <v>6331.2</v>
      </c>
      <c r="H1178" s="38">
        <f>G1178*I1178</f>
        <v>6331.2</v>
      </c>
      <c r="I1178" s="16">
        <v>1</v>
      </c>
      <c r="J1178" s="17" t="s">
        <v>12</v>
      </c>
      <c r="K1178" s="13" t="s">
        <v>16</v>
      </c>
      <c r="L1178" s="15">
        <v>6331.2</v>
      </c>
    </row>
    <row r="1179" spans="1:12" ht="21" customHeight="1" outlineLevel="2" x14ac:dyDescent="0.25">
      <c r="A1179" s="16">
        <f t="shared" si="134"/>
        <v>1178</v>
      </c>
      <c r="B1179" s="12" t="str">
        <f t="shared" si="139"/>
        <v>ЩР5.1(БЛОК 7)</v>
      </c>
      <c r="C1179" s="13" t="s">
        <v>11</v>
      </c>
      <c r="D1179" s="29" t="s">
        <v>53</v>
      </c>
      <c r="E1179" s="12" t="s">
        <v>54</v>
      </c>
      <c r="F1179" s="37">
        <v>783</v>
      </c>
      <c r="G1179" s="38">
        <f t="shared" si="140"/>
        <v>469.79999999999995</v>
      </c>
      <c r="H1179" s="38">
        <f>G1179*I1179</f>
        <v>2349</v>
      </c>
      <c r="I1179" s="16">
        <v>5</v>
      </c>
      <c r="J1179" s="17" t="s">
        <v>12</v>
      </c>
      <c r="K1179" s="13" t="s">
        <v>16</v>
      </c>
      <c r="L1179" s="15">
        <v>2349</v>
      </c>
    </row>
    <row r="1180" spans="1:12" ht="21" customHeight="1" outlineLevel="2" x14ac:dyDescent="0.25">
      <c r="A1180" s="16">
        <f t="shared" si="134"/>
        <v>1179</v>
      </c>
      <c r="B1180" s="12" t="str">
        <f t="shared" si="139"/>
        <v>ЩР5.1(БЛОК 7)</v>
      </c>
      <c r="C1180" s="13" t="s">
        <v>22</v>
      </c>
      <c r="D1180" s="29" t="s">
        <v>117</v>
      </c>
      <c r="E1180" s="12" t="s">
        <v>118</v>
      </c>
      <c r="F1180" s="37">
        <v>5104</v>
      </c>
      <c r="G1180" s="38">
        <f t="shared" si="140"/>
        <v>3062.4</v>
      </c>
      <c r="H1180" s="38">
        <f>G1180*I1180</f>
        <v>15312</v>
      </c>
      <c r="I1180" s="16">
        <v>5</v>
      </c>
      <c r="J1180" s="17" t="s">
        <v>12</v>
      </c>
      <c r="K1180" s="13" t="s">
        <v>16</v>
      </c>
      <c r="L1180" s="15">
        <v>15312</v>
      </c>
    </row>
    <row r="1181" spans="1:12" ht="24" customHeight="1" outlineLevel="2" x14ac:dyDescent="0.25">
      <c r="A1181" s="12">
        <f t="shared" si="134"/>
        <v>1180</v>
      </c>
      <c r="B1181" s="12" t="str">
        <f t="shared" si="139"/>
        <v>ЩР5.1(БЛОК 7)</v>
      </c>
      <c r="C1181" s="12" t="s">
        <v>9</v>
      </c>
      <c r="D1181" s="30" t="s">
        <v>9</v>
      </c>
      <c r="E1181" s="12" t="s">
        <v>9</v>
      </c>
      <c r="F1181" s="18">
        <f ca="1">OFFSET(F1181,1,2)</f>
        <v>6000</v>
      </c>
      <c r="G1181" s="38">
        <f ca="1">F1181</f>
        <v>6000</v>
      </c>
      <c r="H1181" s="38">
        <f ca="1">G1181*I1181</f>
        <v>6000</v>
      </c>
      <c r="I1181" s="12">
        <v>1</v>
      </c>
      <c r="J1181" s="12" t="s">
        <v>12</v>
      </c>
      <c r="K1181" s="12" t="s">
        <v>9</v>
      </c>
      <c r="L1181" s="15">
        <v>6000</v>
      </c>
    </row>
    <row r="1182" spans="1:12" ht="21" customHeight="1" outlineLevel="2" x14ac:dyDescent="0.25">
      <c r="A1182" s="12">
        <f t="shared" si="134"/>
        <v>1181</v>
      </c>
      <c r="B1182" s="12" t="str">
        <f t="shared" si="139"/>
        <v>ЩР5.1(БЛОК 7)</v>
      </c>
      <c r="C1182" s="12" t="s">
        <v>10</v>
      </c>
      <c r="D1182" s="30" t="s">
        <v>10</v>
      </c>
      <c r="E1182" s="12" t="s">
        <v>10</v>
      </c>
      <c r="F1182" s="18">
        <v>1</v>
      </c>
      <c r="G1182" s="38">
        <v>100</v>
      </c>
      <c r="H1182" s="38">
        <f>60*F1182*G1182</f>
        <v>6000</v>
      </c>
      <c r="I1182" s="12">
        <v>1</v>
      </c>
      <c r="J1182" s="12" t="s">
        <v>12</v>
      </c>
      <c r="K1182" s="12" t="s">
        <v>10</v>
      </c>
      <c r="L1182" s="15">
        <v>6000</v>
      </c>
    </row>
    <row r="1183" spans="1:12" ht="21" customHeight="1" outlineLevel="1" x14ac:dyDescent="0.25">
      <c r="A1183" s="12"/>
      <c r="B1183" s="12" t="s">
        <v>734</v>
      </c>
      <c r="C1183" s="12"/>
      <c r="D1183" s="30"/>
      <c r="E1183" s="12"/>
      <c r="F1183" s="18"/>
      <c r="G1183" s="38"/>
      <c r="H1183" s="38">
        <f ca="1">SUBTOTAL(9,H1176:H1182)</f>
        <v>42832.2</v>
      </c>
      <c r="I1183" s="12"/>
      <c r="J1183" s="12"/>
      <c r="K1183" s="12"/>
      <c r="L1183" s="15">
        <v>42832.2</v>
      </c>
    </row>
    <row r="1184" spans="1:12" ht="39.75" customHeight="1" outlineLevel="2" x14ac:dyDescent="0.25">
      <c r="A1184" s="10">
        <f>ROW(A1182)</f>
        <v>1182</v>
      </c>
      <c r="B1184" s="6" t="str">
        <f>E1184</f>
        <v>ЩР5.2(БЛОК 7)</v>
      </c>
      <c r="C1184" s="6"/>
      <c r="D1184" s="28"/>
      <c r="E1184" s="6" t="s">
        <v>329</v>
      </c>
      <c r="F1184" s="36"/>
      <c r="G1184" s="36" t="s">
        <v>73</v>
      </c>
      <c r="H1184" s="7"/>
      <c r="I1184" s="10">
        <v>1</v>
      </c>
      <c r="J1184" s="11" t="s">
        <v>6</v>
      </c>
      <c r="K1184" s="6" t="s">
        <v>8</v>
      </c>
      <c r="L1184" s="9"/>
    </row>
    <row r="1185" spans="1:12" ht="21" customHeight="1" outlineLevel="2" x14ac:dyDescent="0.25">
      <c r="A1185" s="16">
        <f t="shared" si="134"/>
        <v>1184</v>
      </c>
      <c r="B1185" s="12" t="str">
        <f t="shared" ref="B1185:B1190" si="141">B1184</f>
        <v>ЩР5.2(БЛОК 7)</v>
      </c>
      <c r="C1185" s="13" t="s">
        <v>7</v>
      </c>
      <c r="D1185" s="29" t="s">
        <v>590</v>
      </c>
      <c r="E1185" s="12" t="s">
        <v>591</v>
      </c>
      <c r="F1185" s="37">
        <v>11400</v>
      </c>
      <c r="G1185" s="38">
        <f>F1185*0.6</f>
        <v>6840</v>
      </c>
      <c r="H1185" s="38">
        <f>I1185*G1185</f>
        <v>6840</v>
      </c>
      <c r="I1185" s="16">
        <v>1</v>
      </c>
      <c r="J1185" s="17" t="s">
        <v>12</v>
      </c>
      <c r="K1185" s="13" t="s">
        <v>581</v>
      </c>
      <c r="L1185" s="15">
        <v>6840</v>
      </c>
    </row>
    <row r="1186" spans="1:12" ht="21" customHeight="1" outlineLevel="2" x14ac:dyDescent="0.25">
      <c r="A1186" s="16">
        <f t="shared" si="134"/>
        <v>1185</v>
      </c>
      <c r="B1186" s="12" t="str">
        <f t="shared" si="141"/>
        <v>ЩР5.2(БЛОК 7)</v>
      </c>
      <c r="C1186" s="13" t="s">
        <v>11</v>
      </c>
      <c r="D1186" s="29" t="s">
        <v>453</v>
      </c>
      <c r="E1186" s="12" t="s">
        <v>454</v>
      </c>
      <c r="F1186" s="37">
        <v>10552</v>
      </c>
      <c r="G1186" s="38">
        <f t="shared" ref="G1186:G1188" si="142">F1186*0.6</f>
        <v>6331.2</v>
      </c>
      <c r="H1186" s="38">
        <f>G1186*I1186</f>
        <v>6331.2</v>
      </c>
      <c r="I1186" s="16">
        <v>1</v>
      </c>
      <c r="J1186" s="17" t="s">
        <v>12</v>
      </c>
      <c r="K1186" s="13" t="s">
        <v>16</v>
      </c>
      <c r="L1186" s="15">
        <v>6331.2</v>
      </c>
    </row>
    <row r="1187" spans="1:12" ht="21" customHeight="1" outlineLevel="2" x14ac:dyDescent="0.25">
      <c r="A1187" s="16">
        <f t="shared" si="134"/>
        <v>1186</v>
      </c>
      <c r="B1187" s="12" t="str">
        <f t="shared" si="141"/>
        <v>ЩР5.2(БЛОК 7)</v>
      </c>
      <c r="C1187" s="13" t="s">
        <v>11</v>
      </c>
      <c r="D1187" s="29" t="s">
        <v>53</v>
      </c>
      <c r="E1187" s="12" t="s">
        <v>54</v>
      </c>
      <c r="F1187" s="37">
        <v>783</v>
      </c>
      <c r="G1187" s="38">
        <f t="shared" si="142"/>
        <v>469.79999999999995</v>
      </c>
      <c r="H1187" s="38">
        <f>G1187*I1187</f>
        <v>2349</v>
      </c>
      <c r="I1187" s="16">
        <v>5</v>
      </c>
      <c r="J1187" s="17" t="s">
        <v>12</v>
      </c>
      <c r="K1187" s="13" t="s">
        <v>16</v>
      </c>
      <c r="L1187" s="15">
        <v>2349</v>
      </c>
    </row>
    <row r="1188" spans="1:12" ht="21" customHeight="1" outlineLevel="2" x14ac:dyDescent="0.25">
      <c r="A1188" s="16">
        <f t="shared" si="134"/>
        <v>1187</v>
      </c>
      <c r="B1188" s="12" t="str">
        <f t="shared" si="141"/>
        <v>ЩР5.2(БЛОК 7)</v>
      </c>
      <c r="C1188" s="13" t="s">
        <v>22</v>
      </c>
      <c r="D1188" s="29" t="s">
        <v>117</v>
      </c>
      <c r="E1188" s="12" t="s">
        <v>118</v>
      </c>
      <c r="F1188" s="37">
        <v>5104</v>
      </c>
      <c r="G1188" s="38">
        <f t="shared" si="142"/>
        <v>3062.4</v>
      </c>
      <c r="H1188" s="38">
        <f>G1188*I1188</f>
        <v>18374.400000000001</v>
      </c>
      <c r="I1188" s="16">
        <v>6</v>
      </c>
      <c r="J1188" s="17" t="s">
        <v>12</v>
      </c>
      <c r="K1188" s="13" t="s">
        <v>16</v>
      </c>
      <c r="L1188" s="15">
        <v>18374.400000000001</v>
      </c>
    </row>
    <row r="1189" spans="1:12" ht="24" customHeight="1" outlineLevel="2" x14ac:dyDescent="0.25">
      <c r="A1189" s="12">
        <f t="shared" si="134"/>
        <v>1188</v>
      </c>
      <c r="B1189" s="12" t="str">
        <f t="shared" si="141"/>
        <v>ЩР5.2(БЛОК 7)</v>
      </c>
      <c r="C1189" s="12" t="s">
        <v>9</v>
      </c>
      <c r="D1189" s="30" t="s">
        <v>9</v>
      </c>
      <c r="E1189" s="12" t="s">
        <v>9</v>
      </c>
      <c r="F1189" s="18">
        <f ca="1">OFFSET(F1189,1,2)</f>
        <v>6000</v>
      </c>
      <c r="G1189" s="38">
        <f ca="1">F1189</f>
        <v>6000</v>
      </c>
      <c r="H1189" s="38">
        <f ca="1">G1189*I1189</f>
        <v>6000</v>
      </c>
      <c r="I1189" s="12">
        <v>1</v>
      </c>
      <c r="J1189" s="12" t="s">
        <v>12</v>
      </c>
      <c r="K1189" s="12" t="s">
        <v>9</v>
      </c>
      <c r="L1189" s="15">
        <v>6000</v>
      </c>
    </row>
    <row r="1190" spans="1:12" ht="21" customHeight="1" outlineLevel="2" x14ac:dyDescent="0.25">
      <c r="A1190" s="12">
        <f t="shared" si="134"/>
        <v>1189</v>
      </c>
      <c r="B1190" s="12" t="str">
        <f t="shared" si="141"/>
        <v>ЩР5.2(БЛОК 7)</v>
      </c>
      <c r="C1190" s="12" t="s">
        <v>10</v>
      </c>
      <c r="D1190" s="30" t="s">
        <v>10</v>
      </c>
      <c r="E1190" s="12" t="s">
        <v>10</v>
      </c>
      <c r="F1190" s="18">
        <v>1</v>
      </c>
      <c r="G1190" s="38">
        <v>100</v>
      </c>
      <c r="H1190" s="38">
        <f>60*F1190*G1190</f>
        <v>6000</v>
      </c>
      <c r="I1190" s="12">
        <v>1</v>
      </c>
      <c r="J1190" s="12" t="s">
        <v>12</v>
      </c>
      <c r="K1190" s="12" t="s">
        <v>10</v>
      </c>
      <c r="L1190" s="15">
        <v>6000</v>
      </c>
    </row>
    <row r="1191" spans="1:12" ht="21" customHeight="1" outlineLevel="1" x14ac:dyDescent="0.25">
      <c r="A1191" s="12"/>
      <c r="B1191" s="12" t="s">
        <v>735</v>
      </c>
      <c r="C1191" s="12"/>
      <c r="D1191" s="30"/>
      <c r="E1191" s="12"/>
      <c r="F1191" s="18"/>
      <c r="G1191" s="38"/>
      <c r="H1191" s="38">
        <f ca="1">SUBTOTAL(9,H1184:H1190)</f>
        <v>45894.600000000006</v>
      </c>
      <c r="I1191" s="12"/>
      <c r="J1191" s="12"/>
      <c r="K1191" s="12"/>
      <c r="L1191" s="15">
        <v>45894.600000000006</v>
      </c>
    </row>
    <row r="1192" spans="1:12" ht="39.75" customHeight="1" outlineLevel="2" x14ac:dyDescent="0.25">
      <c r="A1192" s="10">
        <f>ROW(A1190)</f>
        <v>1190</v>
      </c>
      <c r="B1192" s="6" t="str">
        <f>E1192</f>
        <v>ЩР5.3(БЛОК 7)</v>
      </c>
      <c r="C1192" s="6"/>
      <c r="D1192" s="28"/>
      <c r="E1192" s="6" t="s">
        <v>330</v>
      </c>
      <c r="F1192" s="36"/>
      <c r="G1192" s="36" t="s">
        <v>73</v>
      </c>
      <c r="H1192" s="7"/>
      <c r="I1192" s="10">
        <v>1</v>
      </c>
      <c r="J1192" s="11" t="s">
        <v>6</v>
      </c>
      <c r="K1192" s="6" t="s">
        <v>8</v>
      </c>
      <c r="L1192" s="9"/>
    </row>
    <row r="1193" spans="1:12" ht="21" customHeight="1" outlineLevel="2" x14ac:dyDescent="0.25">
      <c r="A1193" s="16">
        <f t="shared" si="134"/>
        <v>1192</v>
      </c>
      <c r="B1193" s="12" t="str">
        <f t="shared" ref="B1193:B1198" si="143">B1192</f>
        <v>ЩР5.3(БЛОК 7)</v>
      </c>
      <c r="C1193" s="13" t="s">
        <v>7</v>
      </c>
      <c r="D1193" s="29" t="s">
        <v>590</v>
      </c>
      <c r="E1193" s="12" t="s">
        <v>591</v>
      </c>
      <c r="F1193" s="37">
        <v>11400</v>
      </c>
      <c r="G1193" s="38">
        <f>F1193*0.6</f>
        <v>6840</v>
      </c>
      <c r="H1193" s="38">
        <f>I1193*G1193</f>
        <v>6840</v>
      </c>
      <c r="I1193" s="16">
        <v>1</v>
      </c>
      <c r="J1193" s="17" t="s">
        <v>12</v>
      </c>
      <c r="K1193" s="13" t="s">
        <v>581</v>
      </c>
      <c r="L1193" s="15">
        <v>6840</v>
      </c>
    </row>
    <row r="1194" spans="1:12" ht="21" customHeight="1" outlineLevel="2" x14ac:dyDescent="0.25">
      <c r="A1194" s="16">
        <f t="shared" si="134"/>
        <v>1193</v>
      </c>
      <c r="B1194" s="12" t="str">
        <f t="shared" si="143"/>
        <v>ЩР5.3(БЛОК 7)</v>
      </c>
      <c r="C1194" s="13" t="s">
        <v>11</v>
      </c>
      <c r="D1194" s="29" t="s">
        <v>453</v>
      </c>
      <c r="E1194" s="12" t="s">
        <v>454</v>
      </c>
      <c r="F1194" s="37">
        <v>10552</v>
      </c>
      <c r="G1194" s="38">
        <f t="shared" ref="G1194:G1196" si="144">F1194*0.6</f>
        <v>6331.2</v>
      </c>
      <c r="H1194" s="38">
        <f>G1194*I1194</f>
        <v>6331.2</v>
      </c>
      <c r="I1194" s="16">
        <v>1</v>
      </c>
      <c r="J1194" s="17" t="s">
        <v>12</v>
      </c>
      <c r="K1194" s="13" t="s">
        <v>16</v>
      </c>
      <c r="L1194" s="15">
        <v>6331.2</v>
      </c>
    </row>
    <row r="1195" spans="1:12" ht="21" customHeight="1" outlineLevel="2" x14ac:dyDescent="0.25">
      <c r="A1195" s="16">
        <f t="shared" si="134"/>
        <v>1194</v>
      </c>
      <c r="B1195" s="12" t="str">
        <f t="shared" si="143"/>
        <v>ЩР5.3(БЛОК 7)</v>
      </c>
      <c r="C1195" s="13" t="s">
        <v>11</v>
      </c>
      <c r="D1195" s="29" t="s">
        <v>53</v>
      </c>
      <c r="E1195" s="12" t="s">
        <v>54</v>
      </c>
      <c r="F1195" s="37">
        <v>783</v>
      </c>
      <c r="G1195" s="38">
        <f t="shared" si="144"/>
        <v>469.79999999999995</v>
      </c>
      <c r="H1195" s="38">
        <f>G1195*I1195</f>
        <v>2349</v>
      </c>
      <c r="I1195" s="16">
        <v>5</v>
      </c>
      <c r="J1195" s="17" t="s">
        <v>12</v>
      </c>
      <c r="K1195" s="13" t="s">
        <v>16</v>
      </c>
      <c r="L1195" s="15">
        <v>2349</v>
      </c>
    </row>
    <row r="1196" spans="1:12" ht="21" customHeight="1" outlineLevel="2" x14ac:dyDescent="0.25">
      <c r="A1196" s="16">
        <f t="shared" si="134"/>
        <v>1195</v>
      </c>
      <c r="B1196" s="12" t="str">
        <f t="shared" si="143"/>
        <v>ЩР5.3(БЛОК 7)</v>
      </c>
      <c r="C1196" s="13" t="s">
        <v>22</v>
      </c>
      <c r="D1196" s="29" t="s">
        <v>117</v>
      </c>
      <c r="E1196" s="12" t="s">
        <v>118</v>
      </c>
      <c r="F1196" s="37">
        <v>5104</v>
      </c>
      <c r="G1196" s="38">
        <f t="shared" si="144"/>
        <v>3062.4</v>
      </c>
      <c r="H1196" s="38">
        <f>G1196*I1196</f>
        <v>18374.400000000001</v>
      </c>
      <c r="I1196" s="16">
        <v>6</v>
      </c>
      <c r="J1196" s="17" t="s">
        <v>12</v>
      </c>
      <c r="K1196" s="13" t="s">
        <v>16</v>
      </c>
      <c r="L1196" s="15">
        <v>18374.400000000001</v>
      </c>
    </row>
    <row r="1197" spans="1:12" ht="24" customHeight="1" outlineLevel="2" x14ac:dyDescent="0.25">
      <c r="A1197" s="12">
        <f t="shared" si="134"/>
        <v>1196</v>
      </c>
      <c r="B1197" s="12" t="str">
        <f t="shared" si="143"/>
        <v>ЩР5.3(БЛОК 7)</v>
      </c>
      <c r="C1197" s="12" t="s">
        <v>9</v>
      </c>
      <c r="D1197" s="30" t="s">
        <v>9</v>
      </c>
      <c r="E1197" s="12" t="s">
        <v>9</v>
      </c>
      <c r="F1197" s="18">
        <f ca="1">OFFSET(F1197,1,2)</f>
        <v>6000</v>
      </c>
      <c r="G1197" s="38">
        <f ca="1">F1197</f>
        <v>6000</v>
      </c>
      <c r="H1197" s="38">
        <f ca="1">G1197*I1197</f>
        <v>6000</v>
      </c>
      <c r="I1197" s="12">
        <v>1</v>
      </c>
      <c r="J1197" s="12" t="s">
        <v>12</v>
      </c>
      <c r="K1197" s="12" t="s">
        <v>9</v>
      </c>
      <c r="L1197" s="15">
        <v>6000</v>
      </c>
    </row>
    <row r="1198" spans="1:12" ht="21" customHeight="1" outlineLevel="2" x14ac:dyDescent="0.25">
      <c r="A1198" s="12">
        <f t="shared" si="134"/>
        <v>1197</v>
      </c>
      <c r="B1198" s="12" t="str">
        <f t="shared" si="143"/>
        <v>ЩР5.3(БЛОК 7)</v>
      </c>
      <c r="C1198" s="12" t="s">
        <v>10</v>
      </c>
      <c r="D1198" s="30" t="s">
        <v>10</v>
      </c>
      <c r="E1198" s="12" t="s">
        <v>10</v>
      </c>
      <c r="F1198" s="18">
        <v>1</v>
      </c>
      <c r="G1198" s="38">
        <v>100</v>
      </c>
      <c r="H1198" s="38">
        <f>60*F1198*G1198</f>
        <v>6000</v>
      </c>
      <c r="I1198" s="12">
        <v>1</v>
      </c>
      <c r="J1198" s="12" t="s">
        <v>12</v>
      </c>
      <c r="K1198" s="12" t="s">
        <v>10</v>
      </c>
      <c r="L1198" s="15">
        <v>6000</v>
      </c>
    </row>
    <row r="1199" spans="1:12" ht="21" customHeight="1" outlineLevel="1" x14ac:dyDescent="0.25">
      <c r="A1199" s="12"/>
      <c r="B1199" s="12" t="s">
        <v>736</v>
      </c>
      <c r="C1199" s="12"/>
      <c r="D1199" s="30"/>
      <c r="E1199" s="12"/>
      <c r="F1199" s="18"/>
      <c r="G1199" s="38"/>
      <c r="H1199" s="38">
        <f ca="1">SUBTOTAL(9,H1192:H1198)</f>
        <v>45894.600000000006</v>
      </c>
      <c r="I1199" s="12"/>
      <c r="J1199" s="12"/>
      <c r="K1199" s="12"/>
      <c r="L1199" s="15">
        <v>45894.600000000006</v>
      </c>
    </row>
    <row r="1200" spans="1:12" ht="39.75" customHeight="1" outlineLevel="2" x14ac:dyDescent="0.25">
      <c r="A1200" s="10">
        <f>ROW(A1198)</f>
        <v>1198</v>
      </c>
      <c r="B1200" s="6" t="str">
        <f>E1200</f>
        <v>ЩР5.4(БЛОК 7)</v>
      </c>
      <c r="C1200" s="6"/>
      <c r="D1200" s="28"/>
      <c r="E1200" s="6" t="s">
        <v>331</v>
      </c>
      <c r="F1200" s="36"/>
      <c r="G1200" s="36" t="s">
        <v>73</v>
      </c>
      <c r="H1200" s="7"/>
      <c r="I1200" s="10">
        <v>1</v>
      </c>
      <c r="J1200" s="11" t="s">
        <v>6</v>
      </c>
      <c r="K1200" s="6" t="s">
        <v>8</v>
      </c>
      <c r="L1200" s="9"/>
    </row>
    <row r="1201" spans="1:12" ht="21" customHeight="1" outlineLevel="2" x14ac:dyDescent="0.25">
      <c r="A1201" s="16">
        <f t="shared" si="134"/>
        <v>1200</v>
      </c>
      <c r="B1201" s="12" t="str">
        <f t="shared" ref="B1201:B1206" si="145">B1200</f>
        <v>ЩР5.4(БЛОК 7)</v>
      </c>
      <c r="C1201" s="13" t="s">
        <v>7</v>
      </c>
      <c r="D1201" s="29" t="s">
        <v>590</v>
      </c>
      <c r="E1201" s="12" t="s">
        <v>591</v>
      </c>
      <c r="F1201" s="37">
        <v>11400</v>
      </c>
      <c r="G1201" s="38">
        <f>F1201*0.6</f>
        <v>6840</v>
      </c>
      <c r="H1201" s="38">
        <f>I1201*G1201</f>
        <v>6840</v>
      </c>
      <c r="I1201" s="16">
        <v>1</v>
      </c>
      <c r="J1201" s="17" t="s">
        <v>12</v>
      </c>
      <c r="K1201" s="13" t="s">
        <v>581</v>
      </c>
      <c r="L1201" s="15">
        <v>6840</v>
      </c>
    </row>
    <row r="1202" spans="1:12" ht="21" customHeight="1" outlineLevel="2" x14ac:dyDescent="0.25">
      <c r="A1202" s="16">
        <f t="shared" si="134"/>
        <v>1201</v>
      </c>
      <c r="B1202" s="12" t="str">
        <f t="shared" si="145"/>
        <v>ЩР5.4(БЛОК 7)</v>
      </c>
      <c r="C1202" s="13" t="s">
        <v>11</v>
      </c>
      <c r="D1202" s="29" t="s">
        <v>453</v>
      </c>
      <c r="E1202" s="12" t="s">
        <v>454</v>
      </c>
      <c r="F1202" s="37">
        <v>10552</v>
      </c>
      <c r="G1202" s="38">
        <f t="shared" ref="G1202:G1204" si="146">F1202*0.6</f>
        <v>6331.2</v>
      </c>
      <c r="H1202" s="38">
        <f>G1202*I1202</f>
        <v>6331.2</v>
      </c>
      <c r="I1202" s="16">
        <v>1</v>
      </c>
      <c r="J1202" s="17" t="s">
        <v>12</v>
      </c>
      <c r="K1202" s="13" t="s">
        <v>16</v>
      </c>
      <c r="L1202" s="15">
        <v>6331.2</v>
      </c>
    </row>
    <row r="1203" spans="1:12" ht="21" customHeight="1" outlineLevel="2" x14ac:dyDescent="0.25">
      <c r="A1203" s="16">
        <f t="shared" si="134"/>
        <v>1202</v>
      </c>
      <c r="B1203" s="12" t="str">
        <f t="shared" si="145"/>
        <v>ЩР5.4(БЛОК 7)</v>
      </c>
      <c r="C1203" s="13" t="s">
        <v>11</v>
      </c>
      <c r="D1203" s="29" t="s">
        <v>53</v>
      </c>
      <c r="E1203" s="12" t="s">
        <v>54</v>
      </c>
      <c r="F1203" s="37">
        <v>783</v>
      </c>
      <c r="G1203" s="38">
        <f t="shared" si="146"/>
        <v>469.79999999999995</v>
      </c>
      <c r="H1203" s="38">
        <f>G1203*I1203</f>
        <v>2349</v>
      </c>
      <c r="I1203" s="16">
        <v>5</v>
      </c>
      <c r="J1203" s="17" t="s">
        <v>12</v>
      </c>
      <c r="K1203" s="13" t="s">
        <v>16</v>
      </c>
      <c r="L1203" s="15">
        <v>2349</v>
      </c>
    </row>
    <row r="1204" spans="1:12" ht="21" customHeight="1" outlineLevel="2" x14ac:dyDescent="0.25">
      <c r="A1204" s="16">
        <f t="shared" si="134"/>
        <v>1203</v>
      </c>
      <c r="B1204" s="12" t="str">
        <f t="shared" si="145"/>
        <v>ЩР5.4(БЛОК 7)</v>
      </c>
      <c r="C1204" s="13" t="s">
        <v>22</v>
      </c>
      <c r="D1204" s="29" t="s">
        <v>117</v>
      </c>
      <c r="E1204" s="12" t="s">
        <v>118</v>
      </c>
      <c r="F1204" s="37">
        <v>5104</v>
      </c>
      <c r="G1204" s="38">
        <f t="shared" si="146"/>
        <v>3062.4</v>
      </c>
      <c r="H1204" s="38">
        <f>G1204*I1204</f>
        <v>15312</v>
      </c>
      <c r="I1204" s="16">
        <v>5</v>
      </c>
      <c r="J1204" s="17" t="s">
        <v>12</v>
      </c>
      <c r="K1204" s="13" t="s">
        <v>16</v>
      </c>
      <c r="L1204" s="15">
        <v>15312</v>
      </c>
    </row>
    <row r="1205" spans="1:12" ht="24" customHeight="1" outlineLevel="2" x14ac:dyDescent="0.25">
      <c r="A1205" s="12">
        <f t="shared" si="134"/>
        <v>1204</v>
      </c>
      <c r="B1205" s="12" t="str">
        <f t="shared" si="145"/>
        <v>ЩР5.4(БЛОК 7)</v>
      </c>
      <c r="C1205" s="12" t="s">
        <v>9</v>
      </c>
      <c r="D1205" s="30" t="s">
        <v>9</v>
      </c>
      <c r="E1205" s="12" t="s">
        <v>9</v>
      </c>
      <c r="F1205" s="18">
        <f ca="1">OFFSET(F1205,1,2)</f>
        <v>6000</v>
      </c>
      <c r="G1205" s="38">
        <f ca="1">F1205</f>
        <v>6000</v>
      </c>
      <c r="H1205" s="38">
        <f ca="1">G1205*I1205</f>
        <v>6000</v>
      </c>
      <c r="I1205" s="12">
        <v>1</v>
      </c>
      <c r="J1205" s="12" t="s">
        <v>12</v>
      </c>
      <c r="K1205" s="12" t="s">
        <v>9</v>
      </c>
      <c r="L1205" s="15">
        <v>6000</v>
      </c>
    </row>
    <row r="1206" spans="1:12" ht="21" customHeight="1" outlineLevel="2" x14ac:dyDescent="0.25">
      <c r="A1206" s="12">
        <f t="shared" si="134"/>
        <v>1205</v>
      </c>
      <c r="B1206" s="12" t="str">
        <f t="shared" si="145"/>
        <v>ЩР5.4(БЛОК 7)</v>
      </c>
      <c r="C1206" s="12" t="s">
        <v>10</v>
      </c>
      <c r="D1206" s="30" t="s">
        <v>10</v>
      </c>
      <c r="E1206" s="12" t="s">
        <v>10</v>
      </c>
      <c r="F1206" s="18">
        <v>1</v>
      </c>
      <c r="G1206" s="38">
        <v>100</v>
      </c>
      <c r="H1206" s="38">
        <f>60*F1206*G1206</f>
        <v>6000</v>
      </c>
      <c r="I1206" s="12">
        <v>1</v>
      </c>
      <c r="J1206" s="12" t="s">
        <v>12</v>
      </c>
      <c r="K1206" s="12" t="s">
        <v>10</v>
      </c>
      <c r="L1206" s="15">
        <v>6000</v>
      </c>
    </row>
    <row r="1207" spans="1:12" ht="21" customHeight="1" outlineLevel="1" x14ac:dyDescent="0.25">
      <c r="A1207" s="12"/>
      <c r="B1207" s="12" t="s">
        <v>737</v>
      </c>
      <c r="C1207" s="12"/>
      <c r="D1207" s="30"/>
      <c r="E1207" s="12"/>
      <c r="F1207" s="18"/>
      <c r="G1207" s="38"/>
      <c r="H1207" s="38">
        <f ca="1">SUBTOTAL(9,H1200:H1206)</f>
        <v>42832.2</v>
      </c>
      <c r="I1207" s="12"/>
      <c r="J1207" s="12"/>
      <c r="K1207" s="12"/>
      <c r="L1207" s="15">
        <v>42832.2</v>
      </c>
    </row>
    <row r="1208" spans="1:12" ht="39.75" customHeight="1" outlineLevel="2" x14ac:dyDescent="0.25">
      <c r="A1208" s="10">
        <f>ROW(A1206)</f>
        <v>1206</v>
      </c>
      <c r="B1208" s="6" t="str">
        <f>E1208</f>
        <v>ЩР6.1(БЛОК 7)</v>
      </c>
      <c r="C1208" s="6"/>
      <c r="D1208" s="28"/>
      <c r="E1208" s="6" t="s">
        <v>332</v>
      </c>
      <c r="F1208" s="36"/>
      <c r="G1208" s="36" t="s">
        <v>73</v>
      </c>
      <c r="H1208" s="7"/>
      <c r="I1208" s="10">
        <v>1</v>
      </c>
      <c r="J1208" s="11" t="s">
        <v>6</v>
      </c>
      <c r="K1208" s="6" t="s">
        <v>8</v>
      </c>
      <c r="L1208" s="9"/>
    </row>
    <row r="1209" spans="1:12" ht="21" customHeight="1" outlineLevel="2" x14ac:dyDescent="0.25">
      <c r="A1209" s="16">
        <f t="shared" si="134"/>
        <v>1208</v>
      </c>
      <c r="B1209" s="12" t="str">
        <f t="shared" ref="B1209:B1214" si="147">B1208</f>
        <v>ЩР6.1(БЛОК 7)</v>
      </c>
      <c r="C1209" s="13" t="s">
        <v>7</v>
      </c>
      <c r="D1209" s="29" t="s">
        <v>590</v>
      </c>
      <c r="E1209" s="12" t="s">
        <v>591</v>
      </c>
      <c r="F1209" s="37">
        <v>11400</v>
      </c>
      <c r="G1209" s="38">
        <f>F1209*0.6</f>
        <v>6840</v>
      </c>
      <c r="H1209" s="38">
        <f>I1209*G1209</f>
        <v>6840</v>
      </c>
      <c r="I1209" s="16">
        <v>1</v>
      </c>
      <c r="J1209" s="17" t="s">
        <v>12</v>
      </c>
      <c r="K1209" s="13" t="s">
        <v>581</v>
      </c>
      <c r="L1209" s="15">
        <v>6840</v>
      </c>
    </row>
    <row r="1210" spans="1:12" ht="21" customHeight="1" outlineLevel="2" x14ac:dyDescent="0.25">
      <c r="A1210" s="16">
        <f t="shared" si="134"/>
        <v>1209</v>
      </c>
      <c r="B1210" s="12" t="str">
        <f t="shared" si="147"/>
        <v>ЩР6.1(БЛОК 7)</v>
      </c>
      <c r="C1210" s="13" t="s">
        <v>11</v>
      </c>
      <c r="D1210" s="29" t="s">
        <v>453</v>
      </c>
      <c r="E1210" s="12" t="s">
        <v>454</v>
      </c>
      <c r="F1210" s="37">
        <v>10552</v>
      </c>
      <c r="G1210" s="38">
        <f t="shared" ref="G1210:G1212" si="148">F1210*0.6</f>
        <v>6331.2</v>
      </c>
      <c r="H1210" s="38">
        <f>G1210*I1210</f>
        <v>6331.2</v>
      </c>
      <c r="I1210" s="16">
        <v>1</v>
      </c>
      <c r="J1210" s="17" t="s">
        <v>12</v>
      </c>
      <c r="K1210" s="13" t="s">
        <v>16</v>
      </c>
      <c r="L1210" s="15">
        <v>6331.2</v>
      </c>
    </row>
    <row r="1211" spans="1:12" ht="21" customHeight="1" outlineLevel="2" x14ac:dyDescent="0.25">
      <c r="A1211" s="16">
        <f t="shared" si="134"/>
        <v>1210</v>
      </c>
      <c r="B1211" s="12" t="str">
        <f t="shared" si="147"/>
        <v>ЩР6.1(БЛОК 7)</v>
      </c>
      <c r="C1211" s="13" t="s">
        <v>11</v>
      </c>
      <c r="D1211" s="29" t="s">
        <v>53</v>
      </c>
      <c r="E1211" s="12" t="s">
        <v>54</v>
      </c>
      <c r="F1211" s="37">
        <v>783</v>
      </c>
      <c r="G1211" s="38">
        <f t="shared" si="148"/>
        <v>469.79999999999995</v>
      </c>
      <c r="H1211" s="38">
        <f>G1211*I1211</f>
        <v>2349</v>
      </c>
      <c r="I1211" s="16">
        <v>5</v>
      </c>
      <c r="J1211" s="17" t="s">
        <v>12</v>
      </c>
      <c r="K1211" s="13" t="s">
        <v>16</v>
      </c>
      <c r="L1211" s="15">
        <v>2349</v>
      </c>
    </row>
    <row r="1212" spans="1:12" ht="21" customHeight="1" outlineLevel="2" x14ac:dyDescent="0.25">
      <c r="A1212" s="16">
        <f t="shared" si="134"/>
        <v>1211</v>
      </c>
      <c r="B1212" s="12" t="str">
        <f t="shared" si="147"/>
        <v>ЩР6.1(БЛОК 7)</v>
      </c>
      <c r="C1212" s="13" t="s">
        <v>22</v>
      </c>
      <c r="D1212" s="29" t="s">
        <v>117</v>
      </c>
      <c r="E1212" s="12" t="s">
        <v>118</v>
      </c>
      <c r="F1212" s="37">
        <v>5104</v>
      </c>
      <c r="G1212" s="38">
        <f t="shared" si="148"/>
        <v>3062.4</v>
      </c>
      <c r="H1212" s="38">
        <f>G1212*I1212</f>
        <v>15312</v>
      </c>
      <c r="I1212" s="16">
        <v>5</v>
      </c>
      <c r="J1212" s="17" t="s">
        <v>12</v>
      </c>
      <c r="K1212" s="13" t="s">
        <v>16</v>
      </c>
      <c r="L1212" s="15">
        <v>15312</v>
      </c>
    </row>
    <row r="1213" spans="1:12" ht="24" customHeight="1" outlineLevel="2" x14ac:dyDescent="0.25">
      <c r="A1213" s="12">
        <f t="shared" si="134"/>
        <v>1212</v>
      </c>
      <c r="B1213" s="12" t="str">
        <f t="shared" si="147"/>
        <v>ЩР6.1(БЛОК 7)</v>
      </c>
      <c r="C1213" s="12" t="s">
        <v>9</v>
      </c>
      <c r="D1213" s="30" t="s">
        <v>9</v>
      </c>
      <c r="E1213" s="12" t="s">
        <v>9</v>
      </c>
      <c r="F1213" s="18">
        <f ca="1">OFFSET(F1213,1,2)</f>
        <v>6000</v>
      </c>
      <c r="G1213" s="38">
        <f ca="1">F1213</f>
        <v>6000</v>
      </c>
      <c r="H1213" s="38">
        <f ca="1">G1213*I1213</f>
        <v>6000</v>
      </c>
      <c r="I1213" s="12">
        <v>1</v>
      </c>
      <c r="J1213" s="12" t="s">
        <v>12</v>
      </c>
      <c r="K1213" s="12" t="s">
        <v>9</v>
      </c>
      <c r="L1213" s="15">
        <v>6000</v>
      </c>
    </row>
    <row r="1214" spans="1:12" ht="21" customHeight="1" outlineLevel="2" x14ac:dyDescent="0.25">
      <c r="A1214" s="12">
        <f t="shared" si="134"/>
        <v>1213</v>
      </c>
      <c r="B1214" s="12" t="str">
        <f t="shared" si="147"/>
        <v>ЩР6.1(БЛОК 7)</v>
      </c>
      <c r="C1214" s="12" t="s">
        <v>10</v>
      </c>
      <c r="D1214" s="30" t="s">
        <v>10</v>
      </c>
      <c r="E1214" s="12" t="s">
        <v>10</v>
      </c>
      <c r="F1214" s="18">
        <v>1</v>
      </c>
      <c r="G1214" s="38">
        <v>100</v>
      </c>
      <c r="H1214" s="38">
        <f>60*F1214*G1214</f>
        <v>6000</v>
      </c>
      <c r="I1214" s="12">
        <v>1</v>
      </c>
      <c r="J1214" s="12" t="s">
        <v>12</v>
      </c>
      <c r="K1214" s="12" t="s">
        <v>10</v>
      </c>
      <c r="L1214" s="15">
        <v>6000</v>
      </c>
    </row>
    <row r="1215" spans="1:12" ht="21" customHeight="1" outlineLevel="1" x14ac:dyDescent="0.25">
      <c r="A1215" s="12"/>
      <c r="B1215" s="12" t="s">
        <v>738</v>
      </c>
      <c r="C1215" s="12"/>
      <c r="D1215" s="30"/>
      <c r="E1215" s="12"/>
      <c r="F1215" s="18"/>
      <c r="G1215" s="38"/>
      <c r="H1215" s="38">
        <f ca="1">SUBTOTAL(9,H1208:H1214)</f>
        <v>42832.2</v>
      </c>
      <c r="I1215" s="12"/>
      <c r="J1215" s="12"/>
      <c r="K1215" s="12"/>
      <c r="L1215" s="15">
        <v>42832.2</v>
      </c>
    </row>
    <row r="1216" spans="1:12" ht="39.75" customHeight="1" outlineLevel="2" x14ac:dyDescent="0.25">
      <c r="A1216" s="10">
        <f>ROW(A1214)</f>
        <v>1214</v>
      </c>
      <c r="B1216" s="6" t="str">
        <f>E1216</f>
        <v>ЩР6.2, ЩР6.3(БЛОК 7)</v>
      </c>
      <c r="C1216" s="6"/>
      <c r="D1216" s="28"/>
      <c r="E1216" s="6" t="s">
        <v>333</v>
      </c>
      <c r="F1216" s="36"/>
      <c r="G1216" s="36" t="s">
        <v>73</v>
      </c>
      <c r="H1216" s="7"/>
      <c r="I1216" s="10">
        <v>2</v>
      </c>
      <c r="J1216" s="11" t="s">
        <v>6</v>
      </c>
      <c r="K1216" s="6" t="s">
        <v>8</v>
      </c>
      <c r="L1216" s="9"/>
    </row>
    <row r="1217" spans="1:12" ht="21" customHeight="1" outlineLevel="2" x14ac:dyDescent="0.25">
      <c r="A1217" s="16">
        <f t="shared" si="134"/>
        <v>1216</v>
      </c>
      <c r="B1217" s="12" t="str">
        <f t="shared" ref="B1217:B1222" si="149">B1216</f>
        <v>ЩР6.2, ЩР6.3(БЛОК 7)</v>
      </c>
      <c r="C1217" s="13" t="s">
        <v>7</v>
      </c>
      <c r="D1217" s="29" t="s">
        <v>590</v>
      </c>
      <c r="E1217" s="12" t="s">
        <v>591</v>
      </c>
      <c r="F1217" s="37">
        <v>11400</v>
      </c>
      <c r="G1217" s="38">
        <f>F1217*0.6</f>
        <v>6840</v>
      </c>
      <c r="H1217" s="38">
        <f>I1217*G1217</f>
        <v>6840</v>
      </c>
      <c r="I1217" s="16">
        <v>1</v>
      </c>
      <c r="J1217" s="17" t="s">
        <v>12</v>
      </c>
      <c r="K1217" s="13" t="s">
        <v>581</v>
      </c>
      <c r="L1217" s="15">
        <v>6840</v>
      </c>
    </row>
    <row r="1218" spans="1:12" ht="21" customHeight="1" outlineLevel="2" x14ac:dyDescent="0.25">
      <c r="A1218" s="16">
        <f t="shared" si="134"/>
        <v>1217</v>
      </c>
      <c r="B1218" s="12" t="str">
        <f t="shared" si="149"/>
        <v>ЩР6.2, ЩР6.3(БЛОК 7)</v>
      </c>
      <c r="C1218" s="13" t="s">
        <v>11</v>
      </c>
      <c r="D1218" s="29" t="s">
        <v>453</v>
      </c>
      <c r="E1218" s="12" t="s">
        <v>454</v>
      </c>
      <c r="F1218" s="37">
        <v>10552</v>
      </c>
      <c r="G1218" s="38">
        <f t="shared" ref="G1218:G1220" si="150">F1218*0.6</f>
        <v>6331.2</v>
      </c>
      <c r="H1218" s="38">
        <f>G1218*I1218</f>
        <v>6331.2</v>
      </c>
      <c r="I1218" s="16">
        <v>1</v>
      </c>
      <c r="J1218" s="17" t="s">
        <v>12</v>
      </c>
      <c r="K1218" s="13" t="s">
        <v>16</v>
      </c>
      <c r="L1218" s="15">
        <v>6331.2</v>
      </c>
    </row>
    <row r="1219" spans="1:12" ht="21" customHeight="1" outlineLevel="2" x14ac:dyDescent="0.25">
      <c r="A1219" s="16">
        <f t="shared" si="134"/>
        <v>1218</v>
      </c>
      <c r="B1219" s="12" t="str">
        <f t="shared" si="149"/>
        <v>ЩР6.2, ЩР6.3(БЛОК 7)</v>
      </c>
      <c r="C1219" s="13" t="s">
        <v>11</v>
      </c>
      <c r="D1219" s="29" t="s">
        <v>53</v>
      </c>
      <c r="E1219" s="12" t="s">
        <v>54</v>
      </c>
      <c r="F1219" s="37">
        <v>783</v>
      </c>
      <c r="G1219" s="38">
        <f t="shared" si="150"/>
        <v>469.79999999999995</v>
      </c>
      <c r="H1219" s="38">
        <f>G1219*I1219</f>
        <v>2349</v>
      </c>
      <c r="I1219" s="16">
        <v>5</v>
      </c>
      <c r="J1219" s="17" t="s">
        <v>12</v>
      </c>
      <c r="K1219" s="13" t="s">
        <v>16</v>
      </c>
      <c r="L1219" s="15">
        <v>2349</v>
      </c>
    </row>
    <row r="1220" spans="1:12" ht="21" customHeight="1" outlineLevel="2" x14ac:dyDescent="0.25">
      <c r="A1220" s="16">
        <f t="shared" si="134"/>
        <v>1219</v>
      </c>
      <c r="B1220" s="12" t="str">
        <f t="shared" si="149"/>
        <v>ЩР6.2, ЩР6.3(БЛОК 7)</v>
      </c>
      <c r="C1220" s="13" t="s">
        <v>22</v>
      </c>
      <c r="D1220" s="29" t="s">
        <v>117</v>
      </c>
      <c r="E1220" s="12" t="s">
        <v>118</v>
      </c>
      <c r="F1220" s="37">
        <v>5104</v>
      </c>
      <c r="G1220" s="38">
        <f t="shared" si="150"/>
        <v>3062.4</v>
      </c>
      <c r="H1220" s="38">
        <f>G1220*I1220</f>
        <v>18374.400000000001</v>
      </c>
      <c r="I1220" s="16">
        <v>6</v>
      </c>
      <c r="J1220" s="17" t="s">
        <v>12</v>
      </c>
      <c r="K1220" s="13" t="s">
        <v>16</v>
      </c>
      <c r="L1220" s="15">
        <v>18374.400000000001</v>
      </c>
    </row>
    <row r="1221" spans="1:12" ht="24" customHeight="1" outlineLevel="2" x14ac:dyDescent="0.25">
      <c r="A1221" s="12">
        <f t="shared" si="134"/>
        <v>1220</v>
      </c>
      <c r="B1221" s="12" t="str">
        <f t="shared" si="149"/>
        <v>ЩР6.2, ЩР6.3(БЛОК 7)</v>
      </c>
      <c r="C1221" s="12" t="s">
        <v>9</v>
      </c>
      <c r="D1221" s="30" t="s">
        <v>9</v>
      </c>
      <c r="E1221" s="12" t="s">
        <v>9</v>
      </c>
      <c r="F1221" s="18">
        <f ca="1">OFFSET(F1221,1,2)</f>
        <v>6000</v>
      </c>
      <c r="G1221" s="38">
        <f ca="1">F1221</f>
        <v>6000</v>
      </c>
      <c r="H1221" s="38">
        <f ca="1">G1221*I1221</f>
        <v>6000</v>
      </c>
      <c r="I1221" s="12">
        <v>1</v>
      </c>
      <c r="J1221" s="12" t="s">
        <v>12</v>
      </c>
      <c r="K1221" s="12" t="s">
        <v>9</v>
      </c>
      <c r="L1221" s="15">
        <v>6000</v>
      </c>
    </row>
    <row r="1222" spans="1:12" ht="21" customHeight="1" outlineLevel="2" x14ac:dyDescent="0.25">
      <c r="A1222" s="12">
        <f t="shared" si="134"/>
        <v>1221</v>
      </c>
      <c r="B1222" s="12" t="str">
        <f t="shared" si="149"/>
        <v>ЩР6.2, ЩР6.3(БЛОК 7)</v>
      </c>
      <c r="C1222" s="12" t="s">
        <v>10</v>
      </c>
      <c r="D1222" s="30" t="s">
        <v>10</v>
      </c>
      <c r="E1222" s="12" t="s">
        <v>10</v>
      </c>
      <c r="F1222" s="18">
        <v>1</v>
      </c>
      <c r="G1222" s="38">
        <v>100</v>
      </c>
      <c r="H1222" s="38">
        <f>60*F1222*G1222</f>
        <v>6000</v>
      </c>
      <c r="I1222" s="12">
        <v>1</v>
      </c>
      <c r="J1222" s="12" t="s">
        <v>12</v>
      </c>
      <c r="K1222" s="12" t="s">
        <v>10</v>
      </c>
      <c r="L1222" s="15">
        <v>6000</v>
      </c>
    </row>
    <row r="1223" spans="1:12" ht="21" customHeight="1" outlineLevel="1" x14ac:dyDescent="0.25">
      <c r="A1223" s="12"/>
      <c r="B1223" s="12" t="s">
        <v>739</v>
      </c>
      <c r="C1223" s="12"/>
      <c r="D1223" s="30"/>
      <c r="E1223" s="12"/>
      <c r="F1223" s="18"/>
      <c r="G1223" s="38"/>
      <c r="H1223" s="38">
        <f ca="1">SUBTOTAL(9,H1216:H1222)</f>
        <v>45894.600000000006</v>
      </c>
      <c r="I1223" s="12"/>
      <c r="J1223" s="12"/>
      <c r="K1223" s="12"/>
      <c r="L1223" s="15">
        <v>45894.600000000006</v>
      </c>
    </row>
    <row r="1224" spans="1:12" ht="39.75" customHeight="1" outlineLevel="2" x14ac:dyDescent="0.25">
      <c r="A1224" s="10">
        <f>ROW(A1222)</f>
        <v>1222</v>
      </c>
      <c r="B1224" s="6" t="str">
        <f>E1224</f>
        <v>ЩР6.4(БЛОК 7)</v>
      </c>
      <c r="C1224" s="6"/>
      <c r="D1224" s="28"/>
      <c r="E1224" s="6" t="s">
        <v>334</v>
      </c>
      <c r="F1224" s="36"/>
      <c r="G1224" s="36" t="s">
        <v>73</v>
      </c>
      <c r="H1224" s="7"/>
      <c r="I1224" s="10">
        <v>1</v>
      </c>
      <c r="J1224" s="11" t="s">
        <v>6</v>
      </c>
      <c r="K1224" s="6" t="s">
        <v>8</v>
      </c>
      <c r="L1224" s="9"/>
    </row>
    <row r="1225" spans="1:12" ht="21" customHeight="1" outlineLevel="2" x14ac:dyDescent="0.25">
      <c r="A1225" s="16">
        <f t="shared" si="134"/>
        <v>1224</v>
      </c>
      <c r="B1225" s="12" t="str">
        <f t="shared" ref="B1225:B1230" si="151">B1224</f>
        <v>ЩР6.4(БЛОК 7)</v>
      </c>
      <c r="C1225" s="13" t="s">
        <v>7</v>
      </c>
      <c r="D1225" s="29" t="s">
        <v>590</v>
      </c>
      <c r="E1225" s="12" t="s">
        <v>591</v>
      </c>
      <c r="F1225" s="37">
        <v>11400</v>
      </c>
      <c r="G1225" s="38">
        <f>F1225*0.6</f>
        <v>6840</v>
      </c>
      <c r="H1225" s="38">
        <f>I1225*G1225</f>
        <v>6840</v>
      </c>
      <c r="I1225" s="16">
        <v>1</v>
      </c>
      <c r="J1225" s="17" t="s">
        <v>12</v>
      </c>
      <c r="K1225" s="13" t="s">
        <v>581</v>
      </c>
      <c r="L1225" s="15">
        <v>6840</v>
      </c>
    </row>
    <row r="1226" spans="1:12" ht="21" customHeight="1" outlineLevel="2" x14ac:dyDescent="0.25">
      <c r="A1226" s="16">
        <f t="shared" si="134"/>
        <v>1225</v>
      </c>
      <c r="B1226" s="12" t="str">
        <f t="shared" si="151"/>
        <v>ЩР6.4(БЛОК 7)</v>
      </c>
      <c r="C1226" s="13" t="s">
        <v>11</v>
      </c>
      <c r="D1226" s="29" t="s">
        <v>453</v>
      </c>
      <c r="E1226" s="12" t="s">
        <v>454</v>
      </c>
      <c r="F1226" s="37">
        <v>10552</v>
      </c>
      <c r="G1226" s="38">
        <f t="shared" ref="G1226:G1228" si="152">F1226*0.6</f>
        <v>6331.2</v>
      </c>
      <c r="H1226" s="38">
        <f>G1226*I1226</f>
        <v>6331.2</v>
      </c>
      <c r="I1226" s="16">
        <v>1</v>
      </c>
      <c r="J1226" s="17" t="s">
        <v>12</v>
      </c>
      <c r="K1226" s="13" t="s">
        <v>16</v>
      </c>
      <c r="L1226" s="15">
        <v>6331.2</v>
      </c>
    </row>
    <row r="1227" spans="1:12" ht="21" customHeight="1" outlineLevel="2" x14ac:dyDescent="0.25">
      <c r="A1227" s="16">
        <f t="shared" si="134"/>
        <v>1226</v>
      </c>
      <c r="B1227" s="12" t="str">
        <f t="shared" si="151"/>
        <v>ЩР6.4(БЛОК 7)</v>
      </c>
      <c r="C1227" s="13" t="s">
        <v>11</v>
      </c>
      <c r="D1227" s="29" t="s">
        <v>53</v>
      </c>
      <c r="E1227" s="12" t="s">
        <v>54</v>
      </c>
      <c r="F1227" s="37">
        <v>783</v>
      </c>
      <c r="G1227" s="38">
        <f t="shared" si="152"/>
        <v>469.79999999999995</v>
      </c>
      <c r="H1227" s="38">
        <f>G1227*I1227</f>
        <v>2349</v>
      </c>
      <c r="I1227" s="16">
        <v>5</v>
      </c>
      <c r="J1227" s="17" t="s">
        <v>12</v>
      </c>
      <c r="K1227" s="13" t="s">
        <v>16</v>
      </c>
      <c r="L1227" s="15">
        <v>2349</v>
      </c>
    </row>
    <row r="1228" spans="1:12" ht="21" customHeight="1" outlineLevel="2" x14ac:dyDescent="0.25">
      <c r="A1228" s="16">
        <f t="shared" si="134"/>
        <v>1227</v>
      </c>
      <c r="B1228" s="12" t="str">
        <f t="shared" si="151"/>
        <v>ЩР6.4(БЛОК 7)</v>
      </c>
      <c r="C1228" s="13" t="s">
        <v>22</v>
      </c>
      <c r="D1228" s="29" t="s">
        <v>117</v>
      </c>
      <c r="E1228" s="12" t="s">
        <v>118</v>
      </c>
      <c r="F1228" s="37">
        <v>5104</v>
      </c>
      <c r="G1228" s="38">
        <f t="shared" si="152"/>
        <v>3062.4</v>
      </c>
      <c r="H1228" s="38">
        <f>G1228*I1228</f>
        <v>15312</v>
      </c>
      <c r="I1228" s="16">
        <v>5</v>
      </c>
      <c r="J1228" s="17" t="s">
        <v>12</v>
      </c>
      <c r="K1228" s="13" t="s">
        <v>16</v>
      </c>
      <c r="L1228" s="15">
        <v>15312</v>
      </c>
    </row>
    <row r="1229" spans="1:12" ht="24" customHeight="1" outlineLevel="2" x14ac:dyDescent="0.25">
      <c r="A1229" s="12">
        <f t="shared" si="134"/>
        <v>1228</v>
      </c>
      <c r="B1229" s="12" t="str">
        <f t="shared" si="151"/>
        <v>ЩР6.4(БЛОК 7)</v>
      </c>
      <c r="C1229" s="12" t="s">
        <v>9</v>
      </c>
      <c r="D1229" s="30" t="s">
        <v>9</v>
      </c>
      <c r="E1229" s="12" t="s">
        <v>9</v>
      </c>
      <c r="F1229" s="18">
        <f ca="1">OFFSET(F1229,1,2)</f>
        <v>6000</v>
      </c>
      <c r="G1229" s="38">
        <f ca="1">F1229</f>
        <v>6000</v>
      </c>
      <c r="H1229" s="38">
        <f ca="1">G1229*I1229</f>
        <v>6000</v>
      </c>
      <c r="I1229" s="12">
        <v>1</v>
      </c>
      <c r="J1229" s="12" t="s">
        <v>12</v>
      </c>
      <c r="K1229" s="12" t="s">
        <v>9</v>
      </c>
      <c r="L1229" s="15">
        <v>6000</v>
      </c>
    </row>
    <row r="1230" spans="1:12" ht="21" customHeight="1" outlineLevel="2" x14ac:dyDescent="0.25">
      <c r="A1230" s="12">
        <f t="shared" si="134"/>
        <v>1229</v>
      </c>
      <c r="B1230" s="12" t="str">
        <f t="shared" si="151"/>
        <v>ЩР6.4(БЛОК 7)</v>
      </c>
      <c r="C1230" s="12" t="s">
        <v>10</v>
      </c>
      <c r="D1230" s="30" t="s">
        <v>10</v>
      </c>
      <c r="E1230" s="12" t="s">
        <v>10</v>
      </c>
      <c r="F1230" s="18">
        <v>1</v>
      </c>
      <c r="G1230" s="38">
        <v>100</v>
      </c>
      <c r="H1230" s="38">
        <f>60*F1230*G1230</f>
        <v>6000</v>
      </c>
      <c r="I1230" s="12">
        <v>1</v>
      </c>
      <c r="J1230" s="12" t="s">
        <v>12</v>
      </c>
      <c r="K1230" s="12" t="s">
        <v>10</v>
      </c>
      <c r="L1230" s="15">
        <v>6000</v>
      </c>
    </row>
    <row r="1231" spans="1:12" ht="21" customHeight="1" outlineLevel="1" x14ac:dyDescent="0.25">
      <c r="A1231" s="12"/>
      <c r="B1231" s="12" t="s">
        <v>740</v>
      </c>
      <c r="C1231" s="12"/>
      <c r="D1231" s="30"/>
      <c r="E1231" s="12"/>
      <c r="F1231" s="18"/>
      <c r="G1231" s="38"/>
      <c r="H1231" s="38">
        <f ca="1">SUBTOTAL(9,H1224:H1230)</f>
        <v>42832.2</v>
      </c>
      <c r="I1231" s="12"/>
      <c r="J1231" s="12"/>
      <c r="K1231" s="12"/>
      <c r="L1231" s="15">
        <v>42832.2</v>
      </c>
    </row>
    <row r="1232" spans="1:12" ht="39.75" customHeight="1" outlineLevel="2" x14ac:dyDescent="0.25">
      <c r="A1232" s="10">
        <f>ROW(A1230)</f>
        <v>1230</v>
      </c>
      <c r="B1232" s="6" t="str">
        <f>E1232</f>
        <v>ЩР7.1(БЛОК 7)</v>
      </c>
      <c r="C1232" s="6"/>
      <c r="D1232" s="28"/>
      <c r="E1232" s="6" t="s">
        <v>335</v>
      </c>
      <c r="F1232" s="36"/>
      <c r="G1232" s="36" t="s">
        <v>73</v>
      </c>
      <c r="H1232" s="7"/>
      <c r="I1232" s="10">
        <v>1</v>
      </c>
      <c r="J1232" s="11" t="s">
        <v>6</v>
      </c>
      <c r="K1232" s="6" t="s">
        <v>8</v>
      </c>
      <c r="L1232" s="9"/>
    </row>
    <row r="1233" spans="1:12" ht="21" customHeight="1" outlineLevel="2" x14ac:dyDescent="0.25">
      <c r="A1233" s="16">
        <f t="shared" ref="A1233:A1300" si="153">ROW(A1232)</f>
        <v>1232</v>
      </c>
      <c r="B1233" s="12" t="str">
        <f t="shared" ref="B1233:B1238" si="154">B1232</f>
        <v>ЩР7.1(БЛОК 7)</v>
      </c>
      <c r="C1233" s="13" t="s">
        <v>7</v>
      </c>
      <c r="D1233" s="29" t="s">
        <v>590</v>
      </c>
      <c r="E1233" s="12" t="s">
        <v>591</v>
      </c>
      <c r="F1233" s="37">
        <v>11400</v>
      </c>
      <c r="G1233" s="38">
        <f>F1233*0.6</f>
        <v>6840</v>
      </c>
      <c r="H1233" s="38">
        <f>I1233*G1233</f>
        <v>6840</v>
      </c>
      <c r="I1233" s="16">
        <v>1</v>
      </c>
      <c r="J1233" s="17" t="s">
        <v>12</v>
      </c>
      <c r="K1233" s="13" t="s">
        <v>581</v>
      </c>
      <c r="L1233" s="15">
        <v>6840</v>
      </c>
    </row>
    <row r="1234" spans="1:12" ht="21" customHeight="1" outlineLevel="2" x14ac:dyDescent="0.25">
      <c r="A1234" s="16">
        <f t="shared" si="153"/>
        <v>1233</v>
      </c>
      <c r="B1234" s="12" t="str">
        <f t="shared" si="154"/>
        <v>ЩР7.1(БЛОК 7)</v>
      </c>
      <c r="C1234" s="13" t="s">
        <v>11</v>
      </c>
      <c r="D1234" s="29" t="s">
        <v>453</v>
      </c>
      <c r="E1234" s="12" t="s">
        <v>454</v>
      </c>
      <c r="F1234" s="37">
        <v>10552</v>
      </c>
      <c r="G1234" s="38">
        <f t="shared" ref="G1234:G1236" si="155">F1234*0.6</f>
        <v>6331.2</v>
      </c>
      <c r="H1234" s="38">
        <f>G1234*I1234</f>
        <v>6331.2</v>
      </c>
      <c r="I1234" s="16">
        <v>1</v>
      </c>
      <c r="J1234" s="17" t="s">
        <v>12</v>
      </c>
      <c r="K1234" s="13" t="s">
        <v>16</v>
      </c>
      <c r="L1234" s="15">
        <v>6331.2</v>
      </c>
    </row>
    <row r="1235" spans="1:12" ht="21" customHeight="1" outlineLevel="2" x14ac:dyDescent="0.25">
      <c r="A1235" s="16">
        <f t="shared" si="153"/>
        <v>1234</v>
      </c>
      <c r="B1235" s="12" t="str">
        <f t="shared" si="154"/>
        <v>ЩР7.1(БЛОК 7)</v>
      </c>
      <c r="C1235" s="13" t="s">
        <v>11</v>
      </c>
      <c r="D1235" s="29" t="s">
        <v>53</v>
      </c>
      <c r="E1235" s="12" t="s">
        <v>54</v>
      </c>
      <c r="F1235" s="37">
        <v>783</v>
      </c>
      <c r="G1235" s="38">
        <f t="shared" si="155"/>
        <v>469.79999999999995</v>
      </c>
      <c r="H1235" s="38">
        <f>G1235*I1235</f>
        <v>2349</v>
      </c>
      <c r="I1235" s="16">
        <v>5</v>
      </c>
      <c r="J1235" s="17" t="s">
        <v>12</v>
      </c>
      <c r="K1235" s="13" t="s">
        <v>16</v>
      </c>
      <c r="L1235" s="15">
        <v>2349</v>
      </c>
    </row>
    <row r="1236" spans="1:12" ht="21" customHeight="1" outlineLevel="2" x14ac:dyDescent="0.25">
      <c r="A1236" s="16">
        <f t="shared" si="153"/>
        <v>1235</v>
      </c>
      <c r="B1236" s="12" t="str">
        <f t="shared" si="154"/>
        <v>ЩР7.1(БЛОК 7)</v>
      </c>
      <c r="C1236" s="13" t="s">
        <v>22</v>
      </c>
      <c r="D1236" s="29" t="s">
        <v>117</v>
      </c>
      <c r="E1236" s="12" t="s">
        <v>118</v>
      </c>
      <c r="F1236" s="37">
        <v>5104</v>
      </c>
      <c r="G1236" s="38">
        <f t="shared" si="155"/>
        <v>3062.4</v>
      </c>
      <c r="H1236" s="38">
        <f>G1236*I1236</f>
        <v>15312</v>
      </c>
      <c r="I1236" s="16">
        <v>5</v>
      </c>
      <c r="J1236" s="17" t="s">
        <v>12</v>
      </c>
      <c r="K1236" s="13" t="s">
        <v>16</v>
      </c>
      <c r="L1236" s="15">
        <v>15312</v>
      </c>
    </row>
    <row r="1237" spans="1:12" ht="24" customHeight="1" outlineLevel="2" x14ac:dyDescent="0.25">
      <c r="A1237" s="12">
        <f t="shared" si="153"/>
        <v>1236</v>
      </c>
      <c r="B1237" s="12" t="str">
        <f t="shared" si="154"/>
        <v>ЩР7.1(БЛОК 7)</v>
      </c>
      <c r="C1237" s="12" t="s">
        <v>9</v>
      </c>
      <c r="D1237" s="30" t="s">
        <v>9</v>
      </c>
      <c r="E1237" s="12" t="s">
        <v>9</v>
      </c>
      <c r="F1237" s="18">
        <f ca="1">OFFSET(F1237,1,2)</f>
        <v>6000</v>
      </c>
      <c r="G1237" s="38">
        <f ca="1">F1237</f>
        <v>6000</v>
      </c>
      <c r="H1237" s="38">
        <f ca="1">G1237*I1237</f>
        <v>6000</v>
      </c>
      <c r="I1237" s="12">
        <v>1</v>
      </c>
      <c r="J1237" s="12" t="s">
        <v>12</v>
      </c>
      <c r="K1237" s="12" t="s">
        <v>9</v>
      </c>
      <c r="L1237" s="15">
        <v>6000</v>
      </c>
    </row>
    <row r="1238" spans="1:12" ht="21" customHeight="1" outlineLevel="2" x14ac:dyDescent="0.25">
      <c r="A1238" s="12">
        <f t="shared" si="153"/>
        <v>1237</v>
      </c>
      <c r="B1238" s="12" t="str">
        <f t="shared" si="154"/>
        <v>ЩР7.1(БЛОК 7)</v>
      </c>
      <c r="C1238" s="12" t="s">
        <v>10</v>
      </c>
      <c r="D1238" s="30" t="s">
        <v>10</v>
      </c>
      <c r="E1238" s="12" t="s">
        <v>10</v>
      </c>
      <c r="F1238" s="18">
        <v>1</v>
      </c>
      <c r="G1238" s="38">
        <v>100</v>
      </c>
      <c r="H1238" s="38">
        <f>60*F1238*G1238</f>
        <v>6000</v>
      </c>
      <c r="I1238" s="12">
        <v>1</v>
      </c>
      <c r="J1238" s="12" t="s">
        <v>12</v>
      </c>
      <c r="K1238" s="12" t="s">
        <v>10</v>
      </c>
      <c r="L1238" s="15">
        <v>6000</v>
      </c>
    </row>
    <row r="1239" spans="1:12" ht="21" customHeight="1" outlineLevel="1" x14ac:dyDescent="0.25">
      <c r="A1239" s="12"/>
      <c r="B1239" s="12" t="s">
        <v>741</v>
      </c>
      <c r="C1239" s="12"/>
      <c r="D1239" s="30"/>
      <c r="E1239" s="12"/>
      <c r="F1239" s="18"/>
      <c r="G1239" s="38"/>
      <c r="H1239" s="38">
        <f ca="1">SUBTOTAL(9,H1232:H1238)</f>
        <v>42832.2</v>
      </c>
      <c r="I1239" s="12"/>
      <c r="J1239" s="12"/>
      <c r="K1239" s="12"/>
      <c r="L1239" s="15">
        <v>42832.2</v>
      </c>
    </row>
    <row r="1240" spans="1:12" ht="39.75" customHeight="1" outlineLevel="2" x14ac:dyDescent="0.25">
      <c r="A1240" s="10">
        <f>ROW(A1238)</f>
        <v>1238</v>
      </c>
      <c r="B1240" s="6" t="str">
        <f>E1240</f>
        <v>ЩР7.2, ЩР7.3(БЛОК 7)</v>
      </c>
      <c r="C1240" s="6"/>
      <c r="D1240" s="28"/>
      <c r="E1240" s="6" t="s">
        <v>336</v>
      </c>
      <c r="F1240" s="36"/>
      <c r="G1240" s="36" t="s">
        <v>73</v>
      </c>
      <c r="H1240" s="7"/>
      <c r="I1240" s="10">
        <v>2</v>
      </c>
      <c r="J1240" s="11" t="s">
        <v>6</v>
      </c>
      <c r="K1240" s="6" t="s">
        <v>8</v>
      </c>
      <c r="L1240" s="9"/>
    </row>
    <row r="1241" spans="1:12" ht="21" customHeight="1" outlineLevel="2" x14ac:dyDescent="0.25">
      <c r="A1241" s="16">
        <f t="shared" si="153"/>
        <v>1240</v>
      </c>
      <c r="B1241" s="12" t="str">
        <f t="shared" ref="B1241:B1246" si="156">B1240</f>
        <v>ЩР7.2, ЩР7.3(БЛОК 7)</v>
      </c>
      <c r="C1241" s="13" t="s">
        <v>7</v>
      </c>
      <c r="D1241" s="29" t="s">
        <v>590</v>
      </c>
      <c r="E1241" s="12" t="s">
        <v>591</v>
      </c>
      <c r="F1241" s="37">
        <v>11400</v>
      </c>
      <c r="G1241" s="38">
        <f>F1241*0.6</f>
        <v>6840</v>
      </c>
      <c r="H1241" s="38">
        <f>I1241*G1241</f>
        <v>6840</v>
      </c>
      <c r="I1241" s="16">
        <v>1</v>
      </c>
      <c r="J1241" s="17" t="s">
        <v>12</v>
      </c>
      <c r="K1241" s="13" t="s">
        <v>581</v>
      </c>
      <c r="L1241" s="15">
        <v>6840</v>
      </c>
    </row>
    <row r="1242" spans="1:12" ht="21" customHeight="1" outlineLevel="2" x14ac:dyDescent="0.25">
      <c r="A1242" s="16">
        <f t="shared" si="153"/>
        <v>1241</v>
      </c>
      <c r="B1242" s="12" t="str">
        <f t="shared" si="156"/>
        <v>ЩР7.2, ЩР7.3(БЛОК 7)</v>
      </c>
      <c r="C1242" s="13" t="s">
        <v>11</v>
      </c>
      <c r="D1242" s="29" t="s">
        <v>453</v>
      </c>
      <c r="E1242" s="12" t="s">
        <v>454</v>
      </c>
      <c r="F1242" s="37">
        <v>10552</v>
      </c>
      <c r="G1242" s="38">
        <f t="shared" ref="G1242:G1244" si="157">F1242*0.6</f>
        <v>6331.2</v>
      </c>
      <c r="H1242" s="38">
        <f>G1242*I1242</f>
        <v>6331.2</v>
      </c>
      <c r="I1242" s="16">
        <v>1</v>
      </c>
      <c r="J1242" s="17" t="s">
        <v>12</v>
      </c>
      <c r="K1242" s="13" t="s">
        <v>16</v>
      </c>
      <c r="L1242" s="15">
        <v>6331.2</v>
      </c>
    </row>
    <row r="1243" spans="1:12" ht="21" customHeight="1" outlineLevel="2" x14ac:dyDescent="0.25">
      <c r="A1243" s="16">
        <f t="shared" si="153"/>
        <v>1242</v>
      </c>
      <c r="B1243" s="12" t="str">
        <f t="shared" si="156"/>
        <v>ЩР7.2, ЩР7.3(БЛОК 7)</v>
      </c>
      <c r="C1243" s="13" t="s">
        <v>11</v>
      </c>
      <c r="D1243" s="29" t="s">
        <v>53</v>
      </c>
      <c r="E1243" s="12" t="s">
        <v>54</v>
      </c>
      <c r="F1243" s="37">
        <v>783</v>
      </c>
      <c r="G1243" s="38">
        <f t="shared" si="157"/>
        <v>469.79999999999995</v>
      </c>
      <c r="H1243" s="38">
        <f>G1243*I1243</f>
        <v>2349</v>
      </c>
      <c r="I1243" s="16">
        <v>5</v>
      </c>
      <c r="J1243" s="17" t="s">
        <v>12</v>
      </c>
      <c r="K1243" s="13" t="s">
        <v>16</v>
      </c>
      <c r="L1243" s="15">
        <v>2349</v>
      </c>
    </row>
    <row r="1244" spans="1:12" ht="21" customHeight="1" outlineLevel="2" x14ac:dyDescent="0.25">
      <c r="A1244" s="16">
        <f t="shared" si="153"/>
        <v>1243</v>
      </c>
      <c r="B1244" s="12" t="str">
        <f t="shared" si="156"/>
        <v>ЩР7.2, ЩР7.3(БЛОК 7)</v>
      </c>
      <c r="C1244" s="13" t="s">
        <v>22</v>
      </c>
      <c r="D1244" s="29" t="s">
        <v>117</v>
      </c>
      <c r="E1244" s="12" t="s">
        <v>118</v>
      </c>
      <c r="F1244" s="37">
        <v>5104</v>
      </c>
      <c r="G1244" s="38">
        <f t="shared" si="157"/>
        <v>3062.4</v>
      </c>
      <c r="H1244" s="38">
        <f>G1244*I1244</f>
        <v>18374.400000000001</v>
      </c>
      <c r="I1244" s="16">
        <v>6</v>
      </c>
      <c r="J1244" s="17" t="s">
        <v>12</v>
      </c>
      <c r="K1244" s="13" t="s">
        <v>16</v>
      </c>
      <c r="L1244" s="15">
        <v>18374.400000000001</v>
      </c>
    </row>
    <row r="1245" spans="1:12" ht="24" customHeight="1" outlineLevel="2" x14ac:dyDescent="0.25">
      <c r="A1245" s="12">
        <f t="shared" si="153"/>
        <v>1244</v>
      </c>
      <c r="B1245" s="12" t="str">
        <f t="shared" si="156"/>
        <v>ЩР7.2, ЩР7.3(БЛОК 7)</v>
      </c>
      <c r="C1245" s="12" t="s">
        <v>9</v>
      </c>
      <c r="D1245" s="30" t="s">
        <v>9</v>
      </c>
      <c r="E1245" s="12" t="s">
        <v>9</v>
      </c>
      <c r="F1245" s="18">
        <f ca="1">OFFSET(F1245,1,2)</f>
        <v>6000</v>
      </c>
      <c r="G1245" s="38">
        <f ca="1">F1245</f>
        <v>6000</v>
      </c>
      <c r="H1245" s="38">
        <f ca="1">G1245*I1245</f>
        <v>6000</v>
      </c>
      <c r="I1245" s="12">
        <v>1</v>
      </c>
      <c r="J1245" s="12" t="s">
        <v>12</v>
      </c>
      <c r="K1245" s="12" t="s">
        <v>9</v>
      </c>
      <c r="L1245" s="15">
        <v>6000</v>
      </c>
    </row>
    <row r="1246" spans="1:12" ht="21" customHeight="1" outlineLevel="2" x14ac:dyDescent="0.25">
      <c r="A1246" s="12">
        <f t="shared" si="153"/>
        <v>1245</v>
      </c>
      <c r="B1246" s="12" t="str">
        <f t="shared" si="156"/>
        <v>ЩР7.2, ЩР7.3(БЛОК 7)</v>
      </c>
      <c r="C1246" s="12" t="s">
        <v>10</v>
      </c>
      <c r="D1246" s="30" t="s">
        <v>10</v>
      </c>
      <c r="E1246" s="12" t="s">
        <v>10</v>
      </c>
      <c r="F1246" s="18">
        <v>1</v>
      </c>
      <c r="G1246" s="38">
        <v>100</v>
      </c>
      <c r="H1246" s="38">
        <f>60*F1246*G1246</f>
        <v>6000</v>
      </c>
      <c r="I1246" s="12">
        <v>1</v>
      </c>
      <c r="J1246" s="12" t="s">
        <v>12</v>
      </c>
      <c r="K1246" s="12" t="s">
        <v>10</v>
      </c>
      <c r="L1246" s="15">
        <v>6000</v>
      </c>
    </row>
    <row r="1247" spans="1:12" ht="21" customHeight="1" outlineLevel="1" x14ac:dyDescent="0.25">
      <c r="A1247" s="12"/>
      <c r="B1247" s="12" t="s">
        <v>742</v>
      </c>
      <c r="C1247" s="12"/>
      <c r="D1247" s="30"/>
      <c r="E1247" s="12"/>
      <c r="F1247" s="18"/>
      <c r="G1247" s="38"/>
      <c r="H1247" s="38">
        <f ca="1">SUBTOTAL(9,H1240:H1246)</f>
        <v>45894.600000000006</v>
      </c>
      <c r="I1247" s="12"/>
      <c r="J1247" s="12"/>
      <c r="K1247" s="12"/>
      <c r="L1247" s="15">
        <v>45894.600000000006</v>
      </c>
    </row>
    <row r="1248" spans="1:12" ht="39.75" customHeight="1" outlineLevel="2" x14ac:dyDescent="0.25">
      <c r="A1248" s="10">
        <f>ROW(A1246)</f>
        <v>1246</v>
      </c>
      <c r="B1248" s="6" t="str">
        <f>E1248</f>
        <v>ЩР7.4(БЛОК 7)</v>
      </c>
      <c r="C1248" s="6"/>
      <c r="D1248" s="28"/>
      <c r="E1248" s="6" t="s">
        <v>337</v>
      </c>
      <c r="F1248" s="36"/>
      <c r="G1248" s="36" t="s">
        <v>73</v>
      </c>
      <c r="H1248" s="7"/>
      <c r="I1248" s="10">
        <v>1</v>
      </c>
      <c r="J1248" s="11" t="s">
        <v>6</v>
      </c>
      <c r="K1248" s="6" t="s">
        <v>8</v>
      </c>
      <c r="L1248" s="9"/>
    </row>
    <row r="1249" spans="1:12" ht="21" customHeight="1" outlineLevel="2" x14ac:dyDescent="0.25">
      <c r="A1249" s="16">
        <f t="shared" si="153"/>
        <v>1248</v>
      </c>
      <c r="B1249" s="12" t="str">
        <f t="shared" ref="B1249:B1254" si="158">B1248</f>
        <v>ЩР7.4(БЛОК 7)</v>
      </c>
      <c r="C1249" s="13" t="s">
        <v>7</v>
      </c>
      <c r="D1249" s="29" t="s">
        <v>590</v>
      </c>
      <c r="E1249" s="12" t="s">
        <v>591</v>
      </c>
      <c r="F1249" s="37">
        <v>11400</v>
      </c>
      <c r="G1249" s="38">
        <f>F1249*0.6</f>
        <v>6840</v>
      </c>
      <c r="H1249" s="38">
        <f>I1249*G1249</f>
        <v>6840</v>
      </c>
      <c r="I1249" s="16">
        <v>1</v>
      </c>
      <c r="J1249" s="17" t="s">
        <v>12</v>
      </c>
      <c r="K1249" s="13" t="s">
        <v>581</v>
      </c>
      <c r="L1249" s="15">
        <v>6840</v>
      </c>
    </row>
    <row r="1250" spans="1:12" ht="21" customHeight="1" outlineLevel="2" x14ac:dyDescent="0.25">
      <c r="A1250" s="16">
        <f t="shared" si="153"/>
        <v>1249</v>
      </c>
      <c r="B1250" s="12" t="str">
        <f t="shared" si="158"/>
        <v>ЩР7.4(БЛОК 7)</v>
      </c>
      <c r="C1250" s="13" t="s">
        <v>11</v>
      </c>
      <c r="D1250" s="29" t="s">
        <v>453</v>
      </c>
      <c r="E1250" s="12" t="s">
        <v>454</v>
      </c>
      <c r="F1250" s="37">
        <v>10552</v>
      </c>
      <c r="G1250" s="38">
        <f t="shared" ref="G1250:G1252" si="159">F1250*0.6</f>
        <v>6331.2</v>
      </c>
      <c r="H1250" s="38">
        <f>G1250*I1250</f>
        <v>6331.2</v>
      </c>
      <c r="I1250" s="16">
        <v>1</v>
      </c>
      <c r="J1250" s="17" t="s">
        <v>12</v>
      </c>
      <c r="K1250" s="13" t="s">
        <v>16</v>
      </c>
      <c r="L1250" s="15">
        <v>6331.2</v>
      </c>
    </row>
    <row r="1251" spans="1:12" ht="21" customHeight="1" outlineLevel="2" x14ac:dyDescent="0.25">
      <c r="A1251" s="16">
        <f t="shared" si="153"/>
        <v>1250</v>
      </c>
      <c r="B1251" s="12" t="str">
        <f t="shared" si="158"/>
        <v>ЩР7.4(БЛОК 7)</v>
      </c>
      <c r="C1251" s="13" t="s">
        <v>11</v>
      </c>
      <c r="D1251" s="29" t="s">
        <v>53</v>
      </c>
      <c r="E1251" s="12" t="s">
        <v>54</v>
      </c>
      <c r="F1251" s="37">
        <v>783</v>
      </c>
      <c r="G1251" s="38">
        <f t="shared" si="159"/>
        <v>469.79999999999995</v>
      </c>
      <c r="H1251" s="38">
        <f>G1251*I1251</f>
        <v>2349</v>
      </c>
      <c r="I1251" s="16">
        <v>5</v>
      </c>
      <c r="J1251" s="17" t="s">
        <v>12</v>
      </c>
      <c r="K1251" s="13" t="s">
        <v>16</v>
      </c>
      <c r="L1251" s="15">
        <v>2349</v>
      </c>
    </row>
    <row r="1252" spans="1:12" ht="21" customHeight="1" outlineLevel="2" x14ac:dyDescent="0.25">
      <c r="A1252" s="16">
        <f t="shared" si="153"/>
        <v>1251</v>
      </c>
      <c r="B1252" s="12" t="str">
        <f t="shared" si="158"/>
        <v>ЩР7.4(БЛОК 7)</v>
      </c>
      <c r="C1252" s="13" t="s">
        <v>22</v>
      </c>
      <c r="D1252" s="29" t="s">
        <v>117</v>
      </c>
      <c r="E1252" s="12" t="s">
        <v>118</v>
      </c>
      <c r="F1252" s="37">
        <v>5104</v>
      </c>
      <c r="G1252" s="38">
        <f t="shared" si="159"/>
        <v>3062.4</v>
      </c>
      <c r="H1252" s="38">
        <f>G1252*I1252</f>
        <v>15312</v>
      </c>
      <c r="I1252" s="16">
        <v>5</v>
      </c>
      <c r="J1252" s="17" t="s">
        <v>12</v>
      </c>
      <c r="K1252" s="13" t="s">
        <v>16</v>
      </c>
      <c r="L1252" s="15">
        <v>15312</v>
      </c>
    </row>
    <row r="1253" spans="1:12" ht="24" customHeight="1" outlineLevel="2" x14ac:dyDescent="0.25">
      <c r="A1253" s="12">
        <f t="shared" si="153"/>
        <v>1252</v>
      </c>
      <c r="B1253" s="12" t="str">
        <f t="shared" si="158"/>
        <v>ЩР7.4(БЛОК 7)</v>
      </c>
      <c r="C1253" s="12" t="s">
        <v>9</v>
      </c>
      <c r="D1253" s="30" t="s">
        <v>9</v>
      </c>
      <c r="E1253" s="12" t="s">
        <v>9</v>
      </c>
      <c r="F1253" s="18">
        <f ca="1">OFFSET(F1253,1,2)</f>
        <v>6000</v>
      </c>
      <c r="G1253" s="38">
        <f ca="1">F1253</f>
        <v>6000</v>
      </c>
      <c r="H1253" s="38">
        <f ca="1">G1253*I1253</f>
        <v>6000</v>
      </c>
      <c r="I1253" s="12">
        <v>1</v>
      </c>
      <c r="J1253" s="12" t="s">
        <v>12</v>
      </c>
      <c r="K1253" s="12" t="s">
        <v>9</v>
      </c>
      <c r="L1253" s="15">
        <v>6000</v>
      </c>
    </row>
    <row r="1254" spans="1:12" ht="21" customHeight="1" outlineLevel="2" x14ac:dyDescent="0.25">
      <c r="A1254" s="12">
        <f t="shared" si="153"/>
        <v>1253</v>
      </c>
      <c r="B1254" s="12" t="str">
        <f t="shared" si="158"/>
        <v>ЩР7.4(БЛОК 7)</v>
      </c>
      <c r="C1254" s="12" t="s">
        <v>10</v>
      </c>
      <c r="D1254" s="30" t="s">
        <v>10</v>
      </c>
      <c r="E1254" s="12" t="s">
        <v>10</v>
      </c>
      <c r="F1254" s="18">
        <v>1</v>
      </c>
      <c r="G1254" s="38">
        <v>100</v>
      </c>
      <c r="H1254" s="38">
        <f>60*F1254*G1254</f>
        <v>6000</v>
      </c>
      <c r="I1254" s="12">
        <v>1</v>
      </c>
      <c r="J1254" s="12" t="s">
        <v>12</v>
      </c>
      <c r="K1254" s="12" t="s">
        <v>10</v>
      </c>
      <c r="L1254" s="15">
        <v>6000</v>
      </c>
    </row>
    <row r="1255" spans="1:12" ht="21" customHeight="1" outlineLevel="1" x14ac:dyDescent="0.25">
      <c r="A1255" s="12"/>
      <c r="B1255" s="12" t="s">
        <v>743</v>
      </c>
      <c r="C1255" s="12"/>
      <c r="D1255" s="30"/>
      <c r="E1255" s="12"/>
      <c r="F1255" s="18"/>
      <c r="G1255" s="38"/>
      <c r="H1255" s="38">
        <f ca="1">SUBTOTAL(9,H1248:H1254)</f>
        <v>42832.2</v>
      </c>
      <c r="I1255" s="12"/>
      <c r="J1255" s="12"/>
      <c r="K1255" s="12"/>
      <c r="L1255" s="15">
        <v>42832.2</v>
      </c>
    </row>
    <row r="1256" spans="1:12" ht="39.75" customHeight="1" outlineLevel="2" x14ac:dyDescent="0.25">
      <c r="A1256" s="10">
        <f>ROW(A1254)</f>
        <v>1254</v>
      </c>
      <c r="B1256" s="6" t="str">
        <f>E1256</f>
        <v>ЩРк-1, ЩРк-2, ЩРк-3, ЩРк-4(БЛОК 7)</v>
      </c>
      <c r="C1256" s="6"/>
      <c r="D1256" s="28"/>
      <c r="E1256" s="6" t="s">
        <v>338</v>
      </c>
      <c r="F1256" s="36"/>
      <c r="G1256" s="36" t="s">
        <v>73</v>
      </c>
      <c r="H1256" s="7"/>
      <c r="I1256" s="10">
        <v>4</v>
      </c>
      <c r="J1256" s="11" t="s">
        <v>6</v>
      </c>
      <c r="K1256" s="6" t="s">
        <v>8</v>
      </c>
      <c r="L1256" s="9"/>
    </row>
    <row r="1257" spans="1:12" ht="21" customHeight="1" outlineLevel="2" x14ac:dyDescent="0.25">
      <c r="A1257" s="16">
        <f t="shared" si="153"/>
        <v>1256</v>
      </c>
      <c r="B1257" s="12" t="str">
        <f t="shared" ref="B1257:B1261" si="160">B1256</f>
        <v>ЩРк-1, ЩРк-2, ЩРк-3, ЩРк-4(БЛОК 7)</v>
      </c>
      <c r="C1257" s="13" t="s">
        <v>7</v>
      </c>
      <c r="D1257" s="29" t="s">
        <v>588</v>
      </c>
      <c r="E1257" s="12" t="s">
        <v>589</v>
      </c>
      <c r="F1257" s="37">
        <v>6300</v>
      </c>
      <c r="G1257" s="38">
        <f>F1257*0.6</f>
        <v>3780</v>
      </c>
      <c r="H1257" s="38">
        <f>I1257*G1257</f>
        <v>3780</v>
      </c>
      <c r="I1257" s="16">
        <v>1</v>
      </c>
      <c r="J1257" s="17" t="s">
        <v>12</v>
      </c>
      <c r="K1257" s="13" t="s">
        <v>581</v>
      </c>
      <c r="L1257" s="15">
        <v>3780</v>
      </c>
    </row>
    <row r="1258" spans="1:12" ht="21" customHeight="1" outlineLevel="2" x14ac:dyDescent="0.25">
      <c r="A1258" s="16">
        <f t="shared" si="153"/>
        <v>1257</v>
      </c>
      <c r="B1258" s="12" t="str">
        <f t="shared" si="160"/>
        <v>ЩРк-1, ЩРк-2, ЩРк-3, ЩРк-4(БЛОК 7)</v>
      </c>
      <c r="C1258" s="13" t="s">
        <v>11</v>
      </c>
      <c r="D1258" s="29" t="s">
        <v>453</v>
      </c>
      <c r="E1258" s="12" t="s">
        <v>454</v>
      </c>
      <c r="F1258" s="37">
        <v>10552</v>
      </c>
      <c r="G1258" s="38">
        <f t="shared" ref="G1258:G1259" si="161">F1258*0.6</f>
        <v>6331.2</v>
      </c>
      <c r="H1258" s="38">
        <f>G1258*I1258</f>
        <v>6331.2</v>
      </c>
      <c r="I1258" s="16">
        <v>1</v>
      </c>
      <c r="J1258" s="17" t="s">
        <v>12</v>
      </c>
      <c r="K1258" s="13" t="s">
        <v>16</v>
      </c>
      <c r="L1258" s="15">
        <v>6331.2</v>
      </c>
    </row>
    <row r="1259" spans="1:12" ht="21" customHeight="1" outlineLevel="2" x14ac:dyDescent="0.25">
      <c r="A1259" s="16">
        <f t="shared" si="153"/>
        <v>1258</v>
      </c>
      <c r="B1259" s="12" t="str">
        <f t="shared" si="160"/>
        <v>ЩРк-1, ЩРк-2, ЩРк-3, ЩРк-4(БЛОК 7)</v>
      </c>
      <c r="C1259" s="13" t="s">
        <v>11</v>
      </c>
      <c r="D1259" s="29" t="s">
        <v>53</v>
      </c>
      <c r="E1259" s="12" t="s">
        <v>54</v>
      </c>
      <c r="F1259" s="37">
        <v>783</v>
      </c>
      <c r="G1259" s="38">
        <f t="shared" si="161"/>
        <v>469.79999999999995</v>
      </c>
      <c r="H1259" s="38">
        <f>G1259*I1259</f>
        <v>1409.3999999999999</v>
      </c>
      <c r="I1259" s="16">
        <v>3</v>
      </c>
      <c r="J1259" s="17" t="s">
        <v>12</v>
      </c>
      <c r="K1259" s="13" t="s">
        <v>16</v>
      </c>
      <c r="L1259" s="15">
        <v>1409.3999999999999</v>
      </c>
    </row>
    <row r="1260" spans="1:12" ht="24" customHeight="1" outlineLevel="2" x14ac:dyDescent="0.25">
      <c r="A1260" s="12">
        <f t="shared" si="153"/>
        <v>1259</v>
      </c>
      <c r="B1260" s="12" t="str">
        <f t="shared" si="160"/>
        <v>ЩРк-1, ЩРк-2, ЩРк-3, ЩРк-4(БЛОК 7)</v>
      </c>
      <c r="C1260" s="12" t="s">
        <v>9</v>
      </c>
      <c r="D1260" s="30" t="s">
        <v>9</v>
      </c>
      <c r="E1260" s="12" t="s">
        <v>9</v>
      </c>
      <c r="F1260" s="18">
        <f ca="1">OFFSET(F1260,1,2)</f>
        <v>4200</v>
      </c>
      <c r="G1260" s="38">
        <f ca="1">F1260</f>
        <v>4200</v>
      </c>
      <c r="H1260" s="38">
        <f ca="1">G1260*I1260</f>
        <v>4200</v>
      </c>
      <c r="I1260" s="12">
        <v>1</v>
      </c>
      <c r="J1260" s="12" t="s">
        <v>12</v>
      </c>
      <c r="K1260" s="12" t="s">
        <v>9</v>
      </c>
      <c r="L1260" s="15">
        <v>4200</v>
      </c>
    </row>
    <row r="1261" spans="1:12" ht="21" customHeight="1" outlineLevel="2" x14ac:dyDescent="0.25">
      <c r="A1261" s="12">
        <f t="shared" si="153"/>
        <v>1260</v>
      </c>
      <c r="B1261" s="12" t="str">
        <f t="shared" si="160"/>
        <v>ЩРк-1, ЩРк-2, ЩРк-3, ЩРк-4(БЛОК 7)</v>
      </c>
      <c r="C1261" s="12" t="s">
        <v>10</v>
      </c>
      <c r="D1261" s="30" t="s">
        <v>10</v>
      </c>
      <c r="E1261" s="12" t="s">
        <v>10</v>
      </c>
      <c r="F1261" s="18">
        <v>0.7</v>
      </c>
      <c r="G1261" s="38">
        <v>100</v>
      </c>
      <c r="H1261" s="38">
        <f>60*F1261*G1261</f>
        <v>4200</v>
      </c>
      <c r="I1261" s="12">
        <v>1</v>
      </c>
      <c r="J1261" s="12" t="s">
        <v>12</v>
      </c>
      <c r="K1261" s="12" t="s">
        <v>10</v>
      </c>
      <c r="L1261" s="15">
        <v>4200</v>
      </c>
    </row>
    <row r="1262" spans="1:12" ht="21" customHeight="1" outlineLevel="1" x14ac:dyDescent="0.25">
      <c r="A1262" s="12"/>
      <c r="B1262" s="12" t="s">
        <v>744</v>
      </c>
      <c r="C1262" s="12"/>
      <c r="D1262" s="30"/>
      <c r="E1262" s="12"/>
      <c r="F1262" s="18"/>
      <c r="G1262" s="38"/>
      <c r="H1262" s="38">
        <f ca="1">SUBTOTAL(9,H1256:H1261)</f>
        <v>19920.599999999999</v>
      </c>
      <c r="I1262" s="12"/>
      <c r="J1262" s="12"/>
      <c r="K1262" s="12"/>
      <c r="L1262" s="15">
        <v>19920.599999999999</v>
      </c>
    </row>
    <row r="1263" spans="1:12" ht="39.75" customHeight="1" outlineLevel="2" x14ac:dyDescent="0.25">
      <c r="A1263" s="10">
        <f>ROW(A1261)</f>
        <v>1261</v>
      </c>
      <c r="B1263" s="6" t="str">
        <f>E1263</f>
        <v xml:space="preserve">ВРУ1(ВРУ1-17-70)  (БЛОК 8, 9) </v>
      </c>
      <c r="C1263" s="6"/>
      <c r="D1263" s="28"/>
      <c r="E1263" s="6" t="s">
        <v>558</v>
      </c>
      <c r="F1263" s="36"/>
      <c r="G1263" s="36" t="s">
        <v>73</v>
      </c>
      <c r="H1263" s="7"/>
      <c r="I1263" s="10">
        <v>1</v>
      </c>
      <c r="J1263" s="11" t="s">
        <v>6</v>
      </c>
      <c r="K1263" s="6" t="s">
        <v>8</v>
      </c>
      <c r="L1263" s="9"/>
    </row>
    <row r="1264" spans="1:12" ht="21" customHeight="1" outlineLevel="2" x14ac:dyDescent="0.25">
      <c r="A1264" s="16">
        <f t="shared" si="153"/>
        <v>1263</v>
      </c>
      <c r="B1264" s="12" t="str">
        <f t="shared" ref="B1264:B1282" si="162">B1263</f>
        <v xml:space="preserve">ВРУ1(ВРУ1-17-70)  (БЛОК 8, 9) </v>
      </c>
      <c r="C1264" s="13" t="s">
        <v>7</v>
      </c>
      <c r="D1264" s="29" t="s">
        <v>60</v>
      </c>
      <c r="E1264" s="12" t="s">
        <v>61</v>
      </c>
      <c r="F1264" s="37">
        <v>155000</v>
      </c>
      <c r="G1264" s="38">
        <f>F1264*0.6</f>
        <v>93000</v>
      </c>
      <c r="H1264" s="38">
        <f>I1264*G1264</f>
        <v>186000</v>
      </c>
      <c r="I1264" s="16">
        <v>2</v>
      </c>
      <c r="J1264" s="17" t="s">
        <v>12</v>
      </c>
      <c r="K1264" s="13" t="s">
        <v>15</v>
      </c>
      <c r="L1264" s="15">
        <v>186000</v>
      </c>
    </row>
    <row r="1265" spans="1:12" ht="21" customHeight="1" outlineLevel="2" x14ac:dyDescent="0.25">
      <c r="A1265" s="16">
        <f t="shared" si="153"/>
        <v>1264</v>
      </c>
      <c r="B1265" s="12" t="str">
        <f t="shared" si="162"/>
        <v xml:space="preserve">ВРУ1(ВРУ1-17-70)  (БЛОК 8, 9) </v>
      </c>
      <c r="C1265" s="13" t="s">
        <v>43</v>
      </c>
      <c r="D1265" s="29" t="s">
        <v>344</v>
      </c>
      <c r="E1265" s="12" t="s">
        <v>345</v>
      </c>
      <c r="F1265" s="37">
        <v>74241</v>
      </c>
      <c r="G1265" s="38">
        <f t="shared" ref="G1265:G1279" si="163">F1265*0.6</f>
        <v>44544.6</v>
      </c>
      <c r="H1265" s="38">
        <f>G1265*I1265</f>
        <v>44544.6</v>
      </c>
      <c r="I1265" s="16">
        <v>1</v>
      </c>
      <c r="J1265" s="17" t="s">
        <v>12</v>
      </c>
      <c r="K1265" s="13" t="s">
        <v>16</v>
      </c>
      <c r="L1265" s="15">
        <v>44544.6</v>
      </c>
    </row>
    <row r="1266" spans="1:12" ht="21" customHeight="1" outlineLevel="2" x14ac:dyDescent="0.25">
      <c r="A1266" s="16">
        <f t="shared" si="153"/>
        <v>1265</v>
      </c>
      <c r="B1266" s="12" t="str">
        <f t="shared" si="162"/>
        <v xml:space="preserve">ВРУ1(ВРУ1-17-70)  (БЛОК 8, 9) </v>
      </c>
      <c r="C1266" s="13" t="s">
        <v>43</v>
      </c>
      <c r="D1266" s="29">
        <v>131371</v>
      </c>
      <c r="E1266" s="12" t="s">
        <v>341</v>
      </c>
      <c r="F1266" s="37">
        <v>73778</v>
      </c>
      <c r="G1266" s="38">
        <f t="shared" si="163"/>
        <v>44266.799999999996</v>
      </c>
      <c r="H1266" s="38">
        <f>G1266*I1266</f>
        <v>44266.799999999996</v>
      </c>
      <c r="I1266" s="16">
        <v>1</v>
      </c>
      <c r="J1266" s="17" t="s">
        <v>12</v>
      </c>
      <c r="K1266" s="13" t="s">
        <v>16</v>
      </c>
      <c r="L1266" s="15">
        <v>44266.799999999996</v>
      </c>
    </row>
    <row r="1267" spans="1:12" ht="21" customHeight="1" outlineLevel="2" x14ac:dyDescent="0.25">
      <c r="A1267" s="16">
        <f t="shared" si="153"/>
        <v>1266</v>
      </c>
      <c r="B1267" s="12" t="str">
        <f t="shared" si="162"/>
        <v xml:space="preserve">ВРУ1(ВРУ1-17-70)  (БЛОК 8, 9) </v>
      </c>
      <c r="C1267" s="13" t="s">
        <v>43</v>
      </c>
      <c r="D1267" s="29" t="s">
        <v>181</v>
      </c>
      <c r="E1267" s="12" t="s">
        <v>182</v>
      </c>
      <c r="F1267" s="37">
        <v>34800</v>
      </c>
      <c r="G1267" s="38">
        <f t="shared" si="163"/>
        <v>20880</v>
      </c>
      <c r="H1267" s="38">
        <f>G1267*I1267</f>
        <v>62640</v>
      </c>
      <c r="I1267" s="16">
        <v>3</v>
      </c>
      <c r="J1267" s="17" t="s">
        <v>12</v>
      </c>
      <c r="K1267" s="13" t="s">
        <v>16</v>
      </c>
      <c r="L1267" s="15">
        <v>62640</v>
      </c>
    </row>
    <row r="1268" spans="1:12" ht="21" customHeight="1" outlineLevel="2" x14ac:dyDescent="0.25">
      <c r="A1268" s="16">
        <f t="shared" si="153"/>
        <v>1267</v>
      </c>
      <c r="B1268" s="12" t="str">
        <f t="shared" si="162"/>
        <v xml:space="preserve">ВРУ1(ВРУ1-17-70)  (БЛОК 8, 9) </v>
      </c>
      <c r="C1268" s="13" t="s">
        <v>43</v>
      </c>
      <c r="D1268" s="29" t="s">
        <v>23</v>
      </c>
      <c r="E1268" s="12" t="s">
        <v>24</v>
      </c>
      <c r="F1268" s="37">
        <v>19443</v>
      </c>
      <c r="G1268" s="38">
        <f t="shared" si="163"/>
        <v>11665.8</v>
      </c>
      <c r="H1268" s="38">
        <f>G1268*I1268</f>
        <v>23331.599999999999</v>
      </c>
      <c r="I1268" s="16">
        <v>2</v>
      </c>
      <c r="J1268" s="17" t="s">
        <v>12</v>
      </c>
      <c r="K1268" s="13" t="s">
        <v>16</v>
      </c>
      <c r="L1268" s="15">
        <v>23331.599999999999</v>
      </c>
    </row>
    <row r="1269" spans="1:12" ht="21" customHeight="1" outlineLevel="2" x14ac:dyDescent="0.25">
      <c r="A1269" s="16">
        <f t="shared" si="153"/>
        <v>1268</v>
      </c>
      <c r="B1269" s="12" t="str">
        <f t="shared" si="162"/>
        <v xml:space="preserve">ВРУ1(ВРУ1-17-70)  (БЛОК 8, 9) </v>
      </c>
      <c r="C1269" s="13" t="s">
        <v>43</v>
      </c>
      <c r="D1269" s="29" t="s">
        <v>41</v>
      </c>
      <c r="E1269" s="12" t="s">
        <v>42</v>
      </c>
      <c r="F1269" s="37">
        <v>19418</v>
      </c>
      <c r="G1269" s="38">
        <f t="shared" si="163"/>
        <v>11650.8</v>
      </c>
      <c r="H1269" s="38">
        <f>G1269*I1269</f>
        <v>11650.8</v>
      </c>
      <c r="I1269" s="16">
        <v>1</v>
      </c>
      <c r="J1269" s="17" t="s">
        <v>12</v>
      </c>
      <c r="K1269" s="13" t="s">
        <v>16</v>
      </c>
      <c r="L1269" s="15">
        <v>11650.8</v>
      </c>
    </row>
    <row r="1270" spans="1:12" ht="21" customHeight="1" outlineLevel="2" x14ac:dyDescent="0.25">
      <c r="A1270" s="16">
        <f t="shared" si="153"/>
        <v>1269</v>
      </c>
      <c r="B1270" s="12" t="str">
        <f t="shared" si="162"/>
        <v xml:space="preserve">ВРУ1(ВРУ1-17-70)  (БЛОК 8, 9) </v>
      </c>
      <c r="C1270" s="13" t="s">
        <v>43</v>
      </c>
      <c r="D1270" s="29" t="s">
        <v>31</v>
      </c>
      <c r="E1270" s="12" t="s">
        <v>32</v>
      </c>
      <c r="F1270" s="37">
        <v>18263</v>
      </c>
      <c r="G1270" s="38">
        <f t="shared" si="163"/>
        <v>10957.8</v>
      </c>
      <c r="H1270" s="38">
        <f t="shared" ref="H1270:H1281" si="164">G1270*I1270</f>
        <v>54789</v>
      </c>
      <c r="I1270" s="16">
        <v>5</v>
      </c>
      <c r="J1270" s="17" t="s">
        <v>12</v>
      </c>
      <c r="K1270" s="13" t="s">
        <v>16</v>
      </c>
      <c r="L1270" s="15">
        <v>54789</v>
      </c>
    </row>
    <row r="1271" spans="1:12" ht="21" customHeight="1" outlineLevel="2" x14ac:dyDescent="0.25">
      <c r="A1271" s="16">
        <f t="shared" si="153"/>
        <v>1270</v>
      </c>
      <c r="B1271" s="12" t="str">
        <f t="shared" si="162"/>
        <v xml:space="preserve">ВРУ1(ВРУ1-17-70)  (БЛОК 8, 9) </v>
      </c>
      <c r="C1271" s="13" t="s">
        <v>43</v>
      </c>
      <c r="D1271" s="29" t="s">
        <v>141</v>
      </c>
      <c r="E1271" s="12" t="s">
        <v>142</v>
      </c>
      <c r="F1271" s="37">
        <v>19295</v>
      </c>
      <c r="G1271" s="38">
        <f t="shared" si="163"/>
        <v>11577</v>
      </c>
      <c r="H1271" s="38">
        <f>G1271*I1271</f>
        <v>11577</v>
      </c>
      <c r="I1271" s="16">
        <v>1</v>
      </c>
      <c r="J1271" s="17" t="s">
        <v>12</v>
      </c>
      <c r="K1271" s="13" t="s">
        <v>16</v>
      </c>
      <c r="L1271" s="15">
        <v>11577</v>
      </c>
    </row>
    <row r="1272" spans="1:12" ht="22.5" customHeight="1" outlineLevel="2" x14ac:dyDescent="0.25">
      <c r="A1272" s="16">
        <f t="shared" si="153"/>
        <v>1271</v>
      </c>
      <c r="B1272" s="12" t="str">
        <f t="shared" si="162"/>
        <v xml:space="preserve">ВРУ1(ВРУ1-17-70)  (БЛОК 8, 9) </v>
      </c>
      <c r="C1272" s="13" t="s">
        <v>43</v>
      </c>
      <c r="D1272" s="29" t="s">
        <v>74</v>
      </c>
      <c r="E1272" s="12" t="s">
        <v>75</v>
      </c>
      <c r="F1272" s="37">
        <v>20174</v>
      </c>
      <c r="G1272" s="38">
        <f t="shared" si="163"/>
        <v>12104.4</v>
      </c>
      <c r="H1272" s="38">
        <f t="shared" si="164"/>
        <v>60522</v>
      </c>
      <c r="I1272" s="16">
        <v>5</v>
      </c>
      <c r="J1272" s="17" t="s">
        <v>12</v>
      </c>
      <c r="K1272" s="13" t="s">
        <v>16</v>
      </c>
      <c r="L1272" s="15">
        <v>60522</v>
      </c>
    </row>
    <row r="1273" spans="1:12" ht="21" customHeight="1" outlineLevel="2" x14ac:dyDescent="0.25">
      <c r="A1273" s="16">
        <f t="shared" si="153"/>
        <v>1272</v>
      </c>
      <c r="B1273" s="12" t="str">
        <f t="shared" si="162"/>
        <v xml:space="preserve">ВРУ1(ВРУ1-17-70)  (БЛОК 8, 9) </v>
      </c>
      <c r="C1273" s="13" t="s">
        <v>43</v>
      </c>
      <c r="D1273" s="29" t="s">
        <v>245</v>
      </c>
      <c r="E1273" s="12" t="s">
        <v>246</v>
      </c>
      <c r="F1273" s="37">
        <v>18139</v>
      </c>
      <c r="G1273" s="38">
        <f t="shared" si="163"/>
        <v>10883.4</v>
      </c>
      <c r="H1273" s="38">
        <f>G1273*I1273</f>
        <v>228551.4</v>
      </c>
      <c r="I1273" s="16">
        <v>21</v>
      </c>
      <c r="J1273" s="17" t="s">
        <v>12</v>
      </c>
      <c r="K1273" s="13" t="s">
        <v>16</v>
      </c>
      <c r="L1273" s="15">
        <v>228551.4</v>
      </c>
    </row>
    <row r="1274" spans="1:12" ht="21" customHeight="1" outlineLevel="2" x14ac:dyDescent="0.25">
      <c r="A1274" s="16">
        <f t="shared" si="153"/>
        <v>1273</v>
      </c>
      <c r="B1274" s="12" t="str">
        <f t="shared" si="162"/>
        <v xml:space="preserve">ВРУ1(ВРУ1-17-70)  (БЛОК 8, 9) </v>
      </c>
      <c r="C1274" s="13" t="s">
        <v>43</v>
      </c>
      <c r="D1274" s="29" t="s">
        <v>342</v>
      </c>
      <c r="E1274" s="12" t="s">
        <v>343</v>
      </c>
      <c r="F1274" s="37">
        <v>17405</v>
      </c>
      <c r="G1274" s="38">
        <f t="shared" si="163"/>
        <v>10443</v>
      </c>
      <c r="H1274" s="38">
        <f t="shared" si="164"/>
        <v>41772</v>
      </c>
      <c r="I1274" s="16">
        <v>4</v>
      </c>
      <c r="J1274" s="17" t="s">
        <v>12</v>
      </c>
      <c r="K1274" s="13" t="s">
        <v>16</v>
      </c>
      <c r="L1274" s="15">
        <v>41772</v>
      </c>
    </row>
    <row r="1275" spans="1:12" ht="18.75" customHeight="1" outlineLevel="2" x14ac:dyDescent="0.25">
      <c r="A1275" s="16">
        <f t="shared" si="153"/>
        <v>1274</v>
      </c>
      <c r="B1275" s="12" t="str">
        <f t="shared" si="162"/>
        <v xml:space="preserve">ВРУ1(ВРУ1-17-70)  (БЛОК 8, 9) </v>
      </c>
      <c r="C1275" s="13" t="s">
        <v>43</v>
      </c>
      <c r="D1275" s="29" t="s">
        <v>237</v>
      </c>
      <c r="E1275" s="12" t="s">
        <v>238</v>
      </c>
      <c r="F1275" s="37">
        <v>17405</v>
      </c>
      <c r="G1275" s="38">
        <f t="shared" si="163"/>
        <v>10443</v>
      </c>
      <c r="H1275" s="38">
        <f>G1275*I1275</f>
        <v>52215</v>
      </c>
      <c r="I1275" s="16">
        <v>5</v>
      </c>
      <c r="J1275" s="17" t="s">
        <v>12</v>
      </c>
      <c r="K1275" s="13" t="s">
        <v>16</v>
      </c>
      <c r="L1275" s="15">
        <v>52215</v>
      </c>
    </row>
    <row r="1276" spans="1:12" ht="18.75" customHeight="1" outlineLevel="2" x14ac:dyDescent="0.25">
      <c r="A1276" s="16">
        <f t="shared" si="153"/>
        <v>1275</v>
      </c>
      <c r="B1276" s="12" t="str">
        <f t="shared" si="162"/>
        <v xml:space="preserve">ВРУ1(ВРУ1-17-70)  (БЛОК 8, 9) </v>
      </c>
      <c r="C1276" s="13" t="s">
        <v>43</v>
      </c>
      <c r="D1276" s="29" t="s">
        <v>239</v>
      </c>
      <c r="E1276" s="12" t="s">
        <v>240</v>
      </c>
      <c r="F1276" s="37">
        <v>16489</v>
      </c>
      <c r="G1276" s="38">
        <f t="shared" si="163"/>
        <v>9893.4</v>
      </c>
      <c r="H1276" s="38">
        <f>G1276*I1276</f>
        <v>19786.8</v>
      </c>
      <c r="I1276" s="16">
        <v>2</v>
      </c>
      <c r="J1276" s="17" t="s">
        <v>12</v>
      </c>
      <c r="K1276" s="13" t="s">
        <v>16</v>
      </c>
      <c r="L1276" s="15">
        <v>19786.8</v>
      </c>
    </row>
    <row r="1277" spans="1:12" ht="21" customHeight="1" outlineLevel="2" x14ac:dyDescent="0.25">
      <c r="A1277" s="16">
        <f t="shared" si="153"/>
        <v>1276</v>
      </c>
      <c r="B1277" s="12" t="str">
        <f t="shared" si="162"/>
        <v xml:space="preserve">ВРУ1(ВРУ1-17-70)  (БЛОК 8, 9) </v>
      </c>
      <c r="C1277" s="13" t="s">
        <v>48</v>
      </c>
      <c r="D1277" s="29" t="s">
        <v>242</v>
      </c>
      <c r="E1277" s="12" t="s">
        <v>243</v>
      </c>
      <c r="F1277" s="37">
        <v>6145</v>
      </c>
      <c r="G1277" s="38">
        <f t="shared" si="163"/>
        <v>3687</v>
      </c>
      <c r="H1277" s="38">
        <f t="shared" si="164"/>
        <v>3687</v>
      </c>
      <c r="I1277" s="16">
        <v>1</v>
      </c>
      <c r="J1277" s="17" t="s">
        <v>12</v>
      </c>
      <c r="K1277" s="13" t="s">
        <v>16</v>
      </c>
      <c r="L1277" s="15">
        <v>3687</v>
      </c>
    </row>
    <row r="1278" spans="1:12" ht="21" customHeight="1" outlineLevel="2" x14ac:dyDescent="0.25">
      <c r="A1278" s="16">
        <f t="shared" si="153"/>
        <v>1277</v>
      </c>
      <c r="B1278" s="12" t="str">
        <f t="shared" si="162"/>
        <v xml:space="preserve">ВРУ1(ВРУ1-17-70)  (БЛОК 8, 9) </v>
      </c>
      <c r="C1278" s="13" t="s">
        <v>244</v>
      </c>
      <c r="D1278" s="29" t="s">
        <v>593</v>
      </c>
      <c r="E1278" s="12" t="s">
        <v>594</v>
      </c>
      <c r="F1278" s="37">
        <v>1836</v>
      </c>
      <c r="G1278" s="38">
        <f t="shared" si="163"/>
        <v>1101.5999999999999</v>
      </c>
      <c r="H1278" s="38">
        <f t="shared" si="164"/>
        <v>1101.5999999999999</v>
      </c>
      <c r="I1278" s="16">
        <v>1</v>
      </c>
      <c r="J1278" s="17" t="s">
        <v>12</v>
      </c>
      <c r="K1278" s="13" t="s">
        <v>16</v>
      </c>
      <c r="L1278" s="15">
        <v>1101.5999999999999</v>
      </c>
    </row>
    <row r="1279" spans="1:12" ht="21" customHeight="1" outlineLevel="2" x14ac:dyDescent="0.25">
      <c r="A1279" s="16">
        <f t="shared" si="153"/>
        <v>1278</v>
      </c>
      <c r="B1279" s="12" t="str">
        <f t="shared" si="162"/>
        <v xml:space="preserve">ВРУ1(ВРУ1-17-70)  (БЛОК 8, 9) </v>
      </c>
      <c r="C1279" s="13" t="s">
        <v>11</v>
      </c>
      <c r="D1279" s="29" t="s">
        <v>53</v>
      </c>
      <c r="E1279" s="12" t="s">
        <v>54</v>
      </c>
      <c r="F1279" s="37">
        <v>783</v>
      </c>
      <c r="G1279" s="38">
        <f t="shared" si="163"/>
        <v>469.79999999999995</v>
      </c>
      <c r="H1279" s="38">
        <f t="shared" si="164"/>
        <v>469.79999999999995</v>
      </c>
      <c r="I1279" s="16">
        <v>1</v>
      </c>
      <c r="J1279" s="17" t="s">
        <v>12</v>
      </c>
      <c r="K1279" s="13" t="s">
        <v>16</v>
      </c>
      <c r="L1279" s="15">
        <v>469.79999999999995</v>
      </c>
    </row>
    <row r="1280" spans="1:12" ht="21" customHeight="1" outlineLevel="2" x14ac:dyDescent="0.25">
      <c r="A1280" s="16">
        <f t="shared" si="153"/>
        <v>1279</v>
      </c>
      <c r="B1280" s="12" t="str">
        <f t="shared" si="162"/>
        <v xml:space="preserve">ВРУ1(ВРУ1-17-70)  (БЛОК 8, 9) </v>
      </c>
      <c r="C1280" s="13" t="s">
        <v>241</v>
      </c>
      <c r="D1280" s="29"/>
      <c r="E1280" s="12" t="s">
        <v>450</v>
      </c>
      <c r="F1280" s="37">
        <v>13500</v>
      </c>
      <c r="G1280" s="38">
        <f>F1280</f>
        <v>13500</v>
      </c>
      <c r="H1280" s="38">
        <f t="shared" si="164"/>
        <v>13500</v>
      </c>
      <c r="I1280" s="16">
        <v>1</v>
      </c>
      <c r="J1280" s="17" t="s">
        <v>12</v>
      </c>
      <c r="K1280" s="13" t="s">
        <v>25</v>
      </c>
      <c r="L1280" s="15">
        <v>13500</v>
      </c>
    </row>
    <row r="1281" spans="1:12" ht="24" customHeight="1" outlineLevel="2" x14ac:dyDescent="0.25">
      <c r="A1281" s="12">
        <f t="shared" si="153"/>
        <v>1280</v>
      </c>
      <c r="B1281" s="12" t="str">
        <f t="shared" si="162"/>
        <v xml:space="preserve">ВРУ1(ВРУ1-17-70)  (БЛОК 8, 9) </v>
      </c>
      <c r="C1281" s="12" t="s">
        <v>9</v>
      </c>
      <c r="D1281" s="30" t="s">
        <v>9</v>
      </c>
      <c r="E1281" s="12" t="s">
        <v>9</v>
      </c>
      <c r="F1281" s="18">
        <f ca="1">OFFSET(F1281,1,2)</f>
        <v>120000</v>
      </c>
      <c r="G1281" s="38">
        <f ca="1">F1281</f>
        <v>120000</v>
      </c>
      <c r="H1281" s="38">
        <f t="shared" ca="1" si="164"/>
        <v>120000</v>
      </c>
      <c r="I1281" s="12">
        <v>1</v>
      </c>
      <c r="J1281" s="12" t="s">
        <v>12</v>
      </c>
      <c r="K1281" s="12" t="s">
        <v>9</v>
      </c>
      <c r="L1281" s="15">
        <v>120000</v>
      </c>
    </row>
    <row r="1282" spans="1:12" ht="21" customHeight="1" outlineLevel="2" x14ac:dyDescent="0.25">
      <c r="A1282" s="12">
        <f t="shared" si="153"/>
        <v>1281</v>
      </c>
      <c r="B1282" s="12" t="str">
        <f t="shared" si="162"/>
        <v xml:space="preserve">ВРУ1(ВРУ1-17-70)  (БЛОК 8, 9) </v>
      </c>
      <c r="C1282" s="12" t="s">
        <v>10</v>
      </c>
      <c r="D1282" s="30" t="s">
        <v>10</v>
      </c>
      <c r="E1282" s="12" t="s">
        <v>10</v>
      </c>
      <c r="F1282" s="18">
        <v>20</v>
      </c>
      <c r="G1282" s="38">
        <v>100</v>
      </c>
      <c r="H1282" s="38">
        <f>60*F1282*G1282</f>
        <v>120000</v>
      </c>
      <c r="I1282" s="12">
        <f>60*F1282</f>
        <v>1200</v>
      </c>
      <c r="J1282" s="12" t="s">
        <v>12</v>
      </c>
      <c r="K1282" s="12" t="s">
        <v>10</v>
      </c>
      <c r="L1282" s="15">
        <v>120000</v>
      </c>
    </row>
    <row r="1283" spans="1:12" ht="21" customHeight="1" outlineLevel="1" x14ac:dyDescent="0.25">
      <c r="A1283" s="12"/>
      <c r="B1283" s="12" t="s">
        <v>745</v>
      </c>
      <c r="C1283" s="12"/>
      <c r="D1283" s="30"/>
      <c r="E1283" s="12"/>
      <c r="F1283" s="18"/>
      <c r="G1283" s="38"/>
      <c r="H1283" s="38">
        <f ca="1">SUBTOTAL(9,H1263:H1282)</f>
        <v>1100405.3999999999</v>
      </c>
      <c r="I1283" s="12"/>
      <c r="J1283" s="12"/>
      <c r="K1283" s="12"/>
      <c r="L1283" s="15">
        <v>1100405.3999999999</v>
      </c>
    </row>
    <row r="1284" spans="1:12" ht="39.75" customHeight="1" outlineLevel="2" x14ac:dyDescent="0.25">
      <c r="A1284" s="10">
        <f>ROW(A1282)</f>
        <v>1282</v>
      </c>
      <c r="B1284" s="6" t="str">
        <f>E1284</f>
        <v>АВР-1000А (АВР-3-1000-2-У) (Блок 8, 9)</v>
      </c>
      <c r="C1284" s="6"/>
      <c r="D1284" s="28"/>
      <c r="E1284" s="6" t="s">
        <v>340</v>
      </c>
      <c r="F1284" s="36"/>
      <c r="G1284" s="36" t="s">
        <v>73</v>
      </c>
      <c r="H1284" s="7"/>
      <c r="I1284" s="10">
        <v>1</v>
      </c>
      <c r="J1284" s="11" t="s">
        <v>6</v>
      </c>
      <c r="K1284" s="6" t="s">
        <v>8</v>
      </c>
      <c r="L1284" s="9"/>
    </row>
    <row r="1285" spans="1:12" ht="21" customHeight="1" outlineLevel="2" x14ac:dyDescent="0.25">
      <c r="A1285" s="16">
        <f t="shared" si="153"/>
        <v>1284</v>
      </c>
      <c r="B1285" s="12" t="str">
        <f t="shared" ref="B1285:B1307" si="165">B1284</f>
        <v>АВР-1000А (АВР-3-1000-2-У) (Блок 8, 9)</v>
      </c>
      <c r="C1285" s="13" t="s">
        <v>7</v>
      </c>
      <c r="D1285" s="29" t="s">
        <v>505</v>
      </c>
      <c r="E1285" s="12" t="s">
        <v>511</v>
      </c>
      <c r="F1285" s="37">
        <v>165000</v>
      </c>
      <c r="G1285" s="38">
        <f>F1285*0.6</f>
        <v>99000</v>
      </c>
      <c r="H1285" s="38">
        <f>I1285*G1285</f>
        <v>198000</v>
      </c>
      <c r="I1285" s="16">
        <v>2</v>
      </c>
      <c r="J1285" s="17" t="s">
        <v>12</v>
      </c>
      <c r="K1285" s="13" t="s">
        <v>15</v>
      </c>
      <c r="L1285" s="15">
        <v>198000</v>
      </c>
    </row>
    <row r="1286" spans="1:12" ht="21" customHeight="1" outlineLevel="2" x14ac:dyDescent="0.25">
      <c r="A1286" s="16">
        <f t="shared" si="153"/>
        <v>1285</v>
      </c>
      <c r="B1286" s="12" t="str">
        <f t="shared" si="165"/>
        <v>АВР-1000А (АВР-3-1000-2-У) (Блок 8, 9)</v>
      </c>
      <c r="C1286" s="13" t="s">
        <v>43</v>
      </c>
      <c r="D1286" s="29" t="s">
        <v>208</v>
      </c>
      <c r="E1286" s="12" t="s">
        <v>209</v>
      </c>
      <c r="F1286" s="37">
        <v>206236</v>
      </c>
      <c r="G1286" s="38">
        <f>F1286*0.6</f>
        <v>123741.59999999999</v>
      </c>
      <c r="H1286" s="38">
        <f>G1286*I1286</f>
        <v>494966.39999999997</v>
      </c>
      <c r="I1286" s="16">
        <v>4</v>
      </c>
      <c r="J1286" s="17" t="s">
        <v>12</v>
      </c>
      <c r="K1286" s="13" t="s">
        <v>16</v>
      </c>
      <c r="L1286" s="15">
        <v>494966.39999999997</v>
      </c>
    </row>
    <row r="1287" spans="1:12" ht="21" customHeight="1" outlineLevel="2" x14ac:dyDescent="0.25">
      <c r="A1287" s="16">
        <f t="shared" si="153"/>
        <v>1286</v>
      </c>
      <c r="B1287" s="12" t="str">
        <f t="shared" si="165"/>
        <v>АВР-1000А (АВР-3-1000-2-У) (Блок 8, 9)</v>
      </c>
      <c r="C1287" s="13" t="s">
        <v>227</v>
      </c>
      <c r="D1287" s="29" t="s">
        <v>210</v>
      </c>
      <c r="E1287" s="12" t="s">
        <v>211</v>
      </c>
      <c r="F1287" s="37">
        <v>222839</v>
      </c>
      <c r="G1287" s="38">
        <f>F1287*0.6</f>
        <v>133703.4</v>
      </c>
      <c r="H1287" s="38">
        <f>G1287*I1287</f>
        <v>267406.8</v>
      </c>
      <c r="I1287" s="16">
        <v>2</v>
      </c>
      <c r="J1287" s="17" t="s">
        <v>12</v>
      </c>
      <c r="K1287" s="13" t="s">
        <v>16</v>
      </c>
      <c r="L1287" s="15">
        <v>267406.8</v>
      </c>
    </row>
    <row r="1288" spans="1:12" ht="21" customHeight="1" outlineLevel="2" x14ac:dyDescent="0.25">
      <c r="A1288" s="16">
        <f t="shared" si="153"/>
        <v>1287</v>
      </c>
      <c r="B1288" s="12" t="str">
        <f t="shared" si="165"/>
        <v>АВР-1000А (АВР-3-1000-2-У) (Блок 8, 9)</v>
      </c>
      <c r="C1288" s="13" t="s">
        <v>512</v>
      </c>
      <c r="D1288" s="29" t="s">
        <v>513</v>
      </c>
      <c r="E1288" s="12" t="s">
        <v>514</v>
      </c>
      <c r="F1288" s="37">
        <v>18967</v>
      </c>
      <c r="G1288" s="38">
        <f>F1288</f>
        <v>18967</v>
      </c>
      <c r="H1288" s="38">
        <f>G1288*I1288</f>
        <v>37934</v>
      </c>
      <c r="I1288" s="16">
        <v>2</v>
      </c>
      <c r="J1288" s="17" t="s">
        <v>12</v>
      </c>
      <c r="K1288" s="13" t="s">
        <v>25</v>
      </c>
      <c r="L1288" s="15">
        <v>37934</v>
      </c>
    </row>
    <row r="1289" spans="1:12" ht="21" customHeight="1" outlineLevel="2" x14ac:dyDescent="0.25">
      <c r="A1289" s="16">
        <f t="shared" si="153"/>
        <v>1288</v>
      </c>
      <c r="B1289" s="12" t="str">
        <f t="shared" si="165"/>
        <v>АВР-1000А (АВР-3-1000-2-У) (Блок 8, 9)</v>
      </c>
      <c r="C1289" s="13" t="s">
        <v>17</v>
      </c>
      <c r="D1289" s="29" t="s">
        <v>484</v>
      </c>
      <c r="E1289" s="12" t="s">
        <v>485</v>
      </c>
      <c r="F1289" s="37">
        <v>90000</v>
      </c>
      <c r="G1289" s="38">
        <f t="shared" ref="G1289:G1292" si="166">F1289</f>
        <v>90000</v>
      </c>
      <c r="H1289" s="38">
        <f t="shared" ref="H1289" si="167">G1289*I1289</f>
        <v>180000</v>
      </c>
      <c r="I1289" s="16">
        <v>2</v>
      </c>
      <c r="J1289" s="17" t="s">
        <v>12</v>
      </c>
      <c r="K1289" s="13" t="s">
        <v>597</v>
      </c>
      <c r="L1289" s="15">
        <v>180000</v>
      </c>
    </row>
    <row r="1290" spans="1:12" ht="21" customHeight="1" outlineLevel="2" x14ac:dyDescent="0.25">
      <c r="A1290" s="16">
        <f t="shared" si="153"/>
        <v>1289</v>
      </c>
      <c r="B1290" s="12" t="str">
        <f t="shared" si="165"/>
        <v>АВР-1000А (АВР-3-1000-2-У) (Блок 8, 9)</v>
      </c>
      <c r="C1290" s="13" t="s">
        <v>26</v>
      </c>
      <c r="D1290" s="29" t="s">
        <v>228</v>
      </c>
      <c r="E1290" s="12" t="s">
        <v>229</v>
      </c>
      <c r="F1290" s="37">
        <v>9143</v>
      </c>
      <c r="G1290" s="38">
        <f t="shared" si="166"/>
        <v>9143</v>
      </c>
      <c r="H1290" s="38">
        <f>G1290*I1290</f>
        <v>109716</v>
      </c>
      <c r="I1290" s="16">
        <v>12</v>
      </c>
      <c r="J1290" s="17" t="s">
        <v>12</v>
      </c>
      <c r="K1290" s="13" t="s">
        <v>25</v>
      </c>
      <c r="L1290" s="15">
        <v>109716</v>
      </c>
    </row>
    <row r="1291" spans="1:12" ht="21" customHeight="1" outlineLevel="2" x14ac:dyDescent="0.25">
      <c r="A1291" s="16">
        <f t="shared" si="153"/>
        <v>1290</v>
      </c>
      <c r="B1291" s="12" t="str">
        <f t="shared" si="165"/>
        <v>АВР-1000А (АВР-3-1000-2-У) (Блок 8, 9)</v>
      </c>
      <c r="C1291" s="13" t="s">
        <v>219</v>
      </c>
      <c r="D1291" s="29" t="s">
        <v>217</v>
      </c>
      <c r="E1291" s="12" t="s">
        <v>218</v>
      </c>
      <c r="F1291" s="37">
        <v>4806</v>
      </c>
      <c r="G1291" s="38">
        <f t="shared" si="166"/>
        <v>4806</v>
      </c>
      <c r="H1291" s="38">
        <f>G1291*I1291</f>
        <v>28836</v>
      </c>
      <c r="I1291" s="16">
        <v>6</v>
      </c>
      <c r="J1291" s="17" t="s">
        <v>12</v>
      </c>
      <c r="K1291" s="13" t="s">
        <v>25</v>
      </c>
      <c r="L1291" s="15">
        <v>28836</v>
      </c>
    </row>
    <row r="1292" spans="1:12" ht="21" customHeight="1" outlineLevel="2" x14ac:dyDescent="0.25">
      <c r="A1292" s="16">
        <f t="shared" si="153"/>
        <v>1291</v>
      </c>
      <c r="B1292" s="12" t="str">
        <f t="shared" si="165"/>
        <v>АВР-1000А (АВР-3-1000-2-У) (Блок 8, 9)</v>
      </c>
      <c r="C1292" s="13" t="s">
        <v>220</v>
      </c>
      <c r="D1292" s="29" t="s">
        <v>221</v>
      </c>
      <c r="E1292" s="12" t="s">
        <v>222</v>
      </c>
      <c r="F1292" s="37">
        <v>4806</v>
      </c>
      <c r="G1292" s="38">
        <f t="shared" si="166"/>
        <v>4806</v>
      </c>
      <c r="H1292" s="38">
        <f>G1292*I1292</f>
        <v>4806</v>
      </c>
      <c r="I1292" s="16">
        <v>1</v>
      </c>
      <c r="J1292" s="17" t="s">
        <v>12</v>
      </c>
      <c r="K1292" s="13" t="s">
        <v>25</v>
      </c>
      <c r="L1292" s="15">
        <v>4806</v>
      </c>
    </row>
    <row r="1293" spans="1:12" ht="21" customHeight="1" outlineLevel="2" x14ac:dyDescent="0.25">
      <c r="A1293" s="16">
        <f t="shared" si="153"/>
        <v>1292</v>
      </c>
      <c r="B1293" s="12" t="str">
        <f t="shared" si="165"/>
        <v>АВР-1000А (АВР-3-1000-2-У) (Блок 8, 9)</v>
      </c>
      <c r="C1293" s="13" t="s">
        <v>598</v>
      </c>
      <c r="D1293" s="29" t="s">
        <v>214</v>
      </c>
      <c r="E1293" s="12" t="s">
        <v>215</v>
      </c>
      <c r="F1293" s="37">
        <v>7799</v>
      </c>
      <c r="G1293" s="38">
        <f t="shared" ref="G1293:G1296" si="168">F1293*0.6</f>
        <v>4679.3999999999996</v>
      </c>
      <c r="H1293" s="38">
        <f>G1293*I1293</f>
        <v>9358.7999999999993</v>
      </c>
      <c r="I1293" s="16">
        <v>2</v>
      </c>
      <c r="J1293" s="17" t="s">
        <v>12</v>
      </c>
      <c r="K1293" s="13" t="s">
        <v>16</v>
      </c>
      <c r="L1293" s="15">
        <v>9358.7999999999993</v>
      </c>
    </row>
    <row r="1294" spans="1:12" ht="21" customHeight="1" outlineLevel="2" x14ac:dyDescent="0.25">
      <c r="A1294" s="16">
        <f t="shared" si="153"/>
        <v>1293</v>
      </c>
      <c r="B1294" s="12" t="str">
        <f t="shared" si="165"/>
        <v>АВР-1000А (АВР-3-1000-2-У) (Блок 8, 9)</v>
      </c>
      <c r="C1294" s="13" t="s">
        <v>599</v>
      </c>
      <c r="D1294" s="29" t="s">
        <v>212</v>
      </c>
      <c r="E1294" s="12" t="s">
        <v>213</v>
      </c>
      <c r="F1294" s="37">
        <v>14767</v>
      </c>
      <c r="G1294" s="38">
        <f t="shared" si="168"/>
        <v>8860.1999999999989</v>
      </c>
      <c r="H1294" s="38">
        <f>G1294*I1294</f>
        <v>17720.399999999998</v>
      </c>
      <c r="I1294" s="16">
        <v>2</v>
      </c>
      <c r="J1294" s="17" t="s">
        <v>12</v>
      </c>
      <c r="K1294" s="13" t="s">
        <v>16</v>
      </c>
      <c r="L1294" s="15">
        <v>17720.399999999998</v>
      </c>
    </row>
    <row r="1295" spans="1:12" ht="21" customHeight="1" outlineLevel="2" x14ac:dyDescent="0.25">
      <c r="A1295" s="16">
        <f t="shared" si="153"/>
        <v>1294</v>
      </c>
      <c r="B1295" s="12" t="str">
        <f t="shared" si="165"/>
        <v>АВР-1000А (АВР-3-1000-2-У) (Блок 8, 9)</v>
      </c>
      <c r="C1295" s="13" t="s">
        <v>515</v>
      </c>
      <c r="D1295" s="29" t="s">
        <v>516</v>
      </c>
      <c r="E1295" s="12" t="s">
        <v>517</v>
      </c>
      <c r="F1295" s="37">
        <v>1238</v>
      </c>
      <c r="G1295" s="38">
        <f t="shared" si="168"/>
        <v>742.8</v>
      </c>
      <c r="H1295" s="38">
        <f>G1295*I1295</f>
        <v>3714</v>
      </c>
      <c r="I1295" s="16">
        <v>5</v>
      </c>
      <c r="J1295" s="17" t="s">
        <v>12</v>
      </c>
      <c r="K1295" s="13" t="s">
        <v>16</v>
      </c>
      <c r="L1295" s="15">
        <v>3714</v>
      </c>
    </row>
    <row r="1296" spans="1:12" ht="21" customHeight="1" outlineLevel="2" x14ac:dyDescent="0.25">
      <c r="A1296" s="16">
        <f t="shared" si="153"/>
        <v>1295</v>
      </c>
      <c r="B1296" s="12" t="str">
        <f t="shared" si="165"/>
        <v>АВР-1000А (АВР-3-1000-2-У) (Блок 8, 9)</v>
      </c>
      <c r="C1296" s="13" t="s">
        <v>518</v>
      </c>
      <c r="D1296" s="29" t="s">
        <v>519</v>
      </c>
      <c r="E1296" s="12" t="s">
        <v>520</v>
      </c>
      <c r="F1296" s="37">
        <v>819</v>
      </c>
      <c r="G1296" s="38">
        <f t="shared" si="168"/>
        <v>491.4</v>
      </c>
      <c r="H1296" s="38">
        <f>G1296*I1296</f>
        <v>2457</v>
      </c>
      <c r="I1296" s="16">
        <v>5</v>
      </c>
      <c r="J1296" s="17" t="s">
        <v>12</v>
      </c>
      <c r="K1296" s="13" t="s">
        <v>16</v>
      </c>
      <c r="L1296" s="15">
        <v>2457</v>
      </c>
    </row>
    <row r="1297" spans="1:12" ht="21" customHeight="1" outlineLevel="2" x14ac:dyDescent="0.25">
      <c r="A1297" s="16">
        <f t="shared" si="153"/>
        <v>1296</v>
      </c>
      <c r="B1297" s="12" t="str">
        <f t="shared" si="165"/>
        <v>АВР-1000А (АВР-3-1000-2-У) (Блок 8, 9)</v>
      </c>
      <c r="C1297" s="13" t="s">
        <v>521</v>
      </c>
      <c r="D1297" s="29">
        <v>311100898</v>
      </c>
      <c r="E1297" s="12" t="s">
        <v>522</v>
      </c>
      <c r="F1297" s="37">
        <v>65000</v>
      </c>
      <c r="G1297" s="38">
        <f t="shared" ref="G1297" si="169">F1297</f>
        <v>65000</v>
      </c>
      <c r="H1297" s="38">
        <f>G1297*I1297</f>
        <v>65000</v>
      </c>
      <c r="I1297" s="16">
        <v>1</v>
      </c>
      <c r="J1297" s="17" t="s">
        <v>12</v>
      </c>
      <c r="K1297" s="13" t="s">
        <v>523</v>
      </c>
      <c r="L1297" s="15">
        <v>65000</v>
      </c>
    </row>
    <row r="1298" spans="1:12" ht="21" customHeight="1" outlineLevel="2" x14ac:dyDescent="0.25">
      <c r="A1298" s="16">
        <f t="shared" si="153"/>
        <v>1297</v>
      </c>
      <c r="B1298" s="12" t="str">
        <f t="shared" si="165"/>
        <v>АВР-1000А (АВР-3-1000-2-У) (Блок 8, 9)</v>
      </c>
      <c r="C1298" s="13" t="s">
        <v>59</v>
      </c>
      <c r="D1298" s="29" t="s">
        <v>55</v>
      </c>
      <c r="E1298" s="12" t="s">
        <v>56</v>
      </c>
      <c r="F1298" s="37">
        <v>589</v>
      </c>
      <c r="G1298" s="38">
        <f t="shared" ref="G1298:G1301" si="170">F1298*0.6</f>
        <v>353.4</v>
      </c>
      <c r="H1298" s="38">
        <f t="shared" ref="H1298:H1299" si="171">G1298*I1298</f>
        <v>706.8</v>
      </c>
      <c r="I1298" s="16">
        <v>2</v>
      </c>
      <c r="J1298" s="17" t="s">
        <v>12</v>
      </c>
      <c r="K1298" s="13" t="s">
        <v>16</v>
      </c>
      <c r="L1298" s="15">
        <v>706.8</v>
      </c>
    </row>
    <row r="1299" spans="1:12" ht="21" customHeight="1" outlineLevel="2" x14ac:dyDescent="0.25">
      <c r="A1299" s="16">
        <f t="shared" si="153"/>
        <v>1298</v>
      </c>
      <c r="B1299" s="12" t="str">
        <f t="shared" si="165"/>
        <v>АВР-1000А (АВР-3-1000-2-У) (Блок 8, 9)</v>
      </c>
      <c r="C1299" s="13" t="s">
        <v>59</v>
      </c>
      <c r="D1299" s="29" t="s">
        <v>223</v>
      </c>
      <c r="E1299" s="12" t="s">
        <v>224</v>
      </c>
      <c r="F1299" s="37">
        <v>571</v>
      </c>
      <c r="G1299" s="38">
        <f t="shared" si="170"/>
        <v>342.59999999999997</v>
      </c>
      <c r="H1299" s="38">
        <f t="shared" si="171"/>
        <v>685.19999999999993</v>
      </c>
      <c r="I1299" s="16">
        <v>2</v>
      </c>
      <c r="J1299" s="17" t="s">
        <v>12</v>
      </c>
      <c r="K1299" s="13" t="s">
        <v>16</v>
      </c>
      <c r="L1299" s="15">
        <v>685.19999999999993</v>
      </c>
    </row>
    <row r="1300" spans="1:12" ht="21" customHeight="1" outlineLevel="2" x14ac:dyDescent="0.25">
      <c r="A1300" s="16">
        <f t="shared" si="153"/>
        <v>1299</v>
      </c>
      <c r="B1300" s="12" t="str">
        <f t="shared" si="165"/>
        <v>АВР-1000А (АВР-3-1000-2-У) (Блок 8, 9)</v>
      </c>
      <c r="C1300" s="13" t="s">
        <v>59</v>
      </c>
      <c r="D1300" s="29" t="s">
        <v>57</v>
      </c>
      <c r="E1300" s="12" t="s">
        <v>58</v>
      </c>
      <c r="F1300" s="37">
        <v>571</v>
      </c>
      <c r="G1300" s="38">
        <f t="shared" si="170"/>
        <v>342.59999999999997</v>
      </c>
      <c r="H1300" s="38">
        <f>G1300*I1300</f>
        <v>685.19999999999993</v>
      </c>
      <c r="I1300" s="16">
        <v>2</v>
      </c>
      <c r="J1300" s="17" t="s">
        <v>12</v>
      </c>
      <c r="K1300" s="13" t="s">
        <v>16</v>
      </c>
      <c r="L1300" s="15">
        <v>685.19999999999993</v>
      </c>
    </row>
    <row r="1301" spans="1:12" ht="21" customHeight="1" outlineLevel="2" x14ac:dyDescent="0.25">
      <c r="A1301" s="16">
        <f t="shared" ref="A1301:A1368" si="172">ROW(A1300)</f>
        <v>1300</v>
      </c>
      <c r="B1301" s="12" t="str">
        <f t="shared" si="165"/>
        <v>АВР-1000А (АВР-3-1000-2-У) (Блок 8, 9)</v>
      </c>
      <c r="C1301" s="13" t="s">
        <v>11</v>
      </c>
      <c r="D1301" s="29" t="s">
        <v>18</v>
      </c>
      <c r="E1301" s="12" t="s">
        <v>19</v>
      </c>
      <c r="F1301" s="37">
        <v>975</v>
      </c>
      <c r="G1301" s="38">
        <f t="shared" si="170"/>
        <v>585</v>
      </c>
      <c r="H1301" s="38">
        <f>G1301*I1301</f>
        <v>1170</v>
      </c>
      <c r="I1301" s="16">
        <v>2</v>
      </c>
      <c r="J1301" s="17" t="s">
        <v>12</v>
      </c>
      <c r="K1301" s="13" t="s">
        <v>16</v>
      </c>
      <c r="L1301" s="15">
        <v>1170</v>
      </c>
    </row>
    <row r="1302" spans="1:12" ht="22.5" customHeight="1" outlineLevel="2" x14ac:dyDescent="0.25">
      <c r="A1302" s="16">
        <f t="shared" si="172"/>
        <v>1301</v>
      </c>
      <c r="B1302" s="12" t="str">
        <f t="shared" si="165"/>
        <v>АВР-1000А (АВР-3-1000-2-У) (Блок 8, 9)</v>
      </c>
      <c r="C1302" s="13" t="s">
        <v>524</v>
      </c>
      <c r="D1302" s="29" t="s">
        <v>525</v>
      </c>
      <c r="E1302" s="12" t="s">
        <v>526</v>
      </c>
      <c r="F1302" s="37">
        <v>950</v>
      </c>
      <c r="G1302" s="38">
        <f t="shared" ref="G1302:G1305" si="173">F1302</f>
        <v>950</v>
      </c>
      <c r="H1302" s="38">
        <f>G1302*I1302</f>
        <v>17100</v>
      </c>
      <c r="I1302" s="16">
        <v>18</v>
      </c>
      <c r="J1302" s="17" t="s">
        <v>12</v>
      </c>
      <c r="K1302" s="13" t="s">
        <v>25</v>
      </c>
      <c r="L1302" s="15">
        <v>17100</v>
      </c>
    </row>
    <row r="1303" spans="1:12" ht="22.5" customHeight="1" outlineLevel="2" x14ac:dyDescent="0.25">
      <c r="A1303" s="16">
        <f t="shared" si="172"/>
        <v>1302</v>
      </c>
      <c r="B1303" s="12" t="str">
        <f t="shared" si="165"/>
        <v>АВР-1000А (АВР-3-1000-2-У) (Блок 8, 9)</v>
      </c>
      <c r="C1303" s="13" t="s">
        <v>527</v>
      </c>
      <c r="D1303" s="29"/>
      <c r="E1303" s="12" t="s">
        <v>528</v>
      </c>
      <c r="F1303" s="37">
        <v>93240</v>
      </c>
      <c r="G1303" s="38">
        <f t="shared" si="173"/>
        <v>93240</v>
      </c>
      <c r="H1303" s="38">
        <f>G1303*I1303</f>
        <v>1398600</v>
      </c>
      <c r="I1303" s="16">
        <v>15</v>
      </c>
      <c r="J1303" s="17" t="s">
        <v>12</v>
      </c>
      <c r="K1303" s="13" t="s">
        <v>25</v>
      </c>
      <c r="L1303" s="15">
        <v>1398600</v>
      </c>
    </row>
    <row r="1304" spans="1:12" ht="22.5" customHeight="1" outlineLevel="2" x14ac:dyDescent="0.25">
      <c r="A1304" s="16">
        <f t="shared" si="172"/>
        <v>1303</v>
      </c>
      <c r="B1304" s="12" t="str">
        <f t="shared" si="165"/>
        <v>АВР-1000А (АВР-3-1000-2-У) (Блок 8, 9)</v>
      </c>
      <c r="C1304" s="13" t="s">
        <v>38</v>
      </c>
      <c r="D1304" s="29"/>
      <c r="E1304" s="12" t="s">
        <v>216</v>
      </c>
      <c r="F1304" s="37">
        <v>4500</v>
      </c>
      <c r="G1304" s="38">
        <f t="shared" si="173"/>
        <v>4500</v>
      </c>
      <c r="H1304" s="38">
        <f>G1304*I1304</f>
        <v>27000</v>
      </c>
      <c r="I1304" s="16">
        <v>6</v>
      </c>
      <c r="J1304" s="17" t="s">
        <v>12</v>
      </c>
      <c r="K1304" s="13" t="s">
        <v>25</v>
      </c>
      <c r="L1304" s="15">
        <v>27000</v>
      </c>
    </row>
    <row r="1305" spans="1:12" ht="22.5" customHeight="1" outlineLevel="2" x14ac:dyDescent="0.25">
      <c r="A1305" s="16">
        <f t="shared" si="172"/>
        <v>1304</v>
      </c>
      <c r="B1305" s="12" t="str">
        <f t="shared" si="165"/>
        <v>АВР-1000А (АВР-3-1000-2-У) (Блок 8, 9)</v>
      </c>
      <c r="C1305" s="13" t="s">
        <v>226</v>
      </c>
      <c r="D1305" s="29"/>
      <c r="E1305" s="12" t="s">
        <v>225</v>
      </c>
      <c r="F1305" s="37">
        <v>15000</v>
      </c>
      <c r="G1305" s="38">
        <f t="shared" si="173"/>
        <v>15000</v>
      </c>
      <c r="H1305" s="38">
        <f>G1305*I1305</f>
        <v>45000</v>
      </c>
      <c r="I1305" s="16">
        <v>3</v>
      </c>
      <c r="J1305" s="17" t="s">
        <v>12</v>
      </c>
      <c r="K1305" s="13" t="s">
        <v>25</v>
      </c>
      <c r="L1305" s="15">
        <v>45000</v>
      </c>
    </row>
    <row r="1306" spans="1:12" ht="24" customHeight="1" outlineLevel="2" x14ac:dyDescent="0.25">
      <c r="A1306" s="12">
        <f t="shared" si="172"/>
        <v>1305</v>
      </c>
      <c r="B1306" s="12" t="str">
        <f t="shared" si="165"/>
        <v>АВР-1000А (АВР-3-1000-2-У) (Блок 8, 9)</v>
      </c>
      <c r="C1306" s="12" t="s">
        <v>9</v>
      </c>
      <c r="D1306" s="30" t="s">
        <v>9</v>
      </c>
      <c r="E1306" s="12" t="s">
        <v>9</v>
      </c>
      <c r="F1306" s="18">
        <f ca="1">OFFSET(F1306,1,2)</f>
        <v>144000</v>
      </c>
      <c r="G1306" s="38">
        <f ca="1">F1306</f>
        <v>144000</v>
      </c>
      <c r="H1306" s="38">
        <f ca="1">G1306*I1306</f>
        <v>144000</v>
      </c>
      <c r="I1306" s="12">
        <v>1</v>
      </c>
      <c r="J1306" s="12" t="s">
        <v>12</v>
      </c>
      <c r="K1306" s="12" t="s">
        <v>9</v>
      </c>
      <c r="L1306" s="15">
        <v>144000</v>
      </c>
    </row>
    <row r="1307" spans="1:12" ht="21" customHeight="1" outlineLevel="2" x14ac:dyDescent="0.25">
      <c r="A1307" s="12">
        <f t="shared" si="172"/>
        <v>1306</v>
      </c>
      <c r="B1307" s="12" t="str">
        <f t="shared" si="165"/>
        <v>АВР-1000А (АВР-3-1000-2-У) (Блок 8, 9)</v>
      </c>
      <c r="C1307" s="12" t="s">
        <v>10</v>
      </c>
      <c r="D1307" s="30" t="s">
        <v>10</v>
      </c>
      <c r="E1307" s="12" t="s">
        <v>10</v>
      </c>
      <c r="F1307" s="18">
        <v>24</v>
      </c>
      <c r="G1307" s="38">
        <v>100</v>
      </c>
      <c r="H1307" s="38">
        <f>60*F1307*G1307</f>
        <v>144000</v>
      </c>
      <c r="I1307" s="12">
        <f>60*F1307</f>
        <v>1440</v>
      </c>
      <c r="J1307" s="12" t="s">
        <v>12</v>
      </c>
      <c r="K1307" s="12" t="s">
        <v>10</v>
      </c>
      <c r="L1307" s="15">
        <v>144000</v>
      </c>
    </row>
    <row r="1308" spans="1:12" ht="21" customHeight="1" outlineLevel="1" x14ac:dyDescent="0.25">
      <c r="A1308" s="12"/>
      <c r="B1308" s="12" t="s">
        <v>746</v>
      </c>
      <c r="C1308" s="12"/>
      <c r="D1308" s="30"/>
      <c r="E1308" s="12"/>
      <c r="F1308" s="18"/>
      <c r="G1308" s="38"/>
      <c r="H1308" s="38">
        <f ca="1">SUBTOTAL(9,H1284:H1307)</f>
        <v>3198862.5999999996</v>
      </c>
      <c r="I1308" s="12"/>
      <c r="J1308" s="12"/>
      <c r="K1308" s="12"/>
      <c r="L1308" s="15">
        <v>3198862.5999999996</v>
      </c>
    </row>
    <row r="1309" spans="1:12" ht="39.75" customHeight="1" outlineLevel="2" x14ac:dyDescent="0.25">
      <c r="A1309" s="10">
        <f>ROW(A1307)</f>
        <v>1307</v>
      </c>
      <c r="B1309" s="6" t="str">
        <f>E1309</f>
        <v>ВРУ2 (ВРУ1-41-00 УХЛ4)  (БЛОК 8, 9)</v>
      </c>
      <c r="C1309" s="6"/>
      <c r="D1309" s="28"/>
      <c r="E1309" s="6" t="s">
        <v>559</v>
      </c>
      <c r="F1309" s="36"/>
      <c r="G1309" s="36" t="s">
        <v>73</v>
      </c>
      <c r="H1309" s="7"/>
      <c r="I1309" s="10">
        <v>1</v>
      </c>
      <c r="J1309" s="11" t="s">
        <v>6</v>
      </c>
      <c r="K1309" s="6" t="s">
        <v>8</v>
      </c>
      <c r="L1309" s="9"/>
    </row>
    <row r="1310" spans="1:12" ht="21" customHeight="1" outlineLevel="2" x14ac:dyDescent="0.25">
      <c r="A1310" s="16">
        <f t="shared" si="172"/>
        <v>1309</v>
      </c>
      <c r="B1310" s="12" t="str">
        <f t="shared" ref="B1310:B1315" si="174">B1309</f>
        <v>ВРУ2 (ВРУ1-41-00 УХЛ4)  (БЛОК 8, 9)</v>
      </c>
      <c r="C1310" s="13" t="s">
        <v>7</v>
      </c>
      <c r="D1310" s="29" t="s">
        <v>501</v>
      </c>
      <c r="E1310" s="12" t="s">
        <v>502</v>
      </c>
      <c r="F1310" s="37">
        <v>29525</v>
      </c>
      <c r="G1310" s="38">
        <f>F1310*0.6</f>
        <v>17715</v>
      </c>
      <c r="H1310" s="38">
        <f>I1310*G1310</f>
        <v>17715</v>
      </c>
      <c r="I1310" s="16">
        <v>1</v>
      </c>
      <c r="J1310" s="17" t="s">
        <v>12</v>
      </c>
      <c r="K1310" s="13" t="s">
        <v>15</v>
      </c>
      <c r="L1310" s="15">
        <v>17715</v>
      </c>
    </row>
    <row r="1311" spans="1:12" ht="21" customHeight="1" outlineLevel="2" x14ac:dyDescent="0.25">
      <c r="A1311" s="16">
        <f t="shared" si="172"/>
        <v>1310</v>
      </c>
      <c r="B1311" s="12" t="str">
        <f t="shared" si="174"/>
        <v>ВРУ2 (ВРУ1-41-00 УХЛ4)  (БЛОК 8, 9)</v>
      </c>
      <c r="C1311" s="13" t="s">
        <v>43</v>
      </c>
      <c r="D1311" s="29" t="s">
        <v>39</v>
      </c>
      <c r="E1311" s="12" t="s">
        <v>40</v>
      </c>
      <c r="F1311" s="37">
        <v>19760</v>
      </c>
      <c r="G1311" s="38">
        <f t="shared" ref="G1311:G1313" si="175">F1311*0.6</f>
        <v>11856</v>
      </c>
      <c r="H1311" s="38">
        <f>G1311*I1311</f>
        <v>23712</v>
      </c>
      <c r="I1311" s="16">
        <v>2</v>
      </c>
      <c r="J1311" s="17" t="s">
        <v>12</v>
      </c>
      <c r="K1311" s="13" t="s">
        <v>16</v>
      </c>
      <c r="L1311" s="15">
        <v>23712</v>
      </c>
    </row>
    <row r="1312" spans="1:12" ht="21" customHeight="1" outlineLevel="2" x14ac:dyDescent="0.25">
      <c r="A1312" s="16">
        <f t="shared" si="172"/>
        <v>1311</v>
      </c>
      <c r="B1312" s="12" t="str">
        <f t="shared" si="174"/>
        <v>ВРУ2 (ВРУ1-41-00 УХЛ4)  (БЛОК 8, 9)</v>
      </c>
      <c r="C1312" s="13" t="s">
        <v>43</v>
      </c>
      <c r="D1312" s="29" t="s">
        <v>245</v>
      </c>
      <c r="E1312" s="12" t="s">
        <v>246</v>
      </c>
      <c r="F1312" s="37">
        <v>18139</v>
      </c>
      <c r="G1312" s="38">
        <f t="shared" si="175"/>
        <v>10883.4</v>
      </c>
      <c r="H1312" s="38">
        <f>G1312*I1312</f>
        <v>21766.799999999999</v>
      </c>
      <c r="I1312" s="16">
        <v>2</v>
      </c>
      <c r="J1312" s="17" t="s">
        <v>12</v>
      </c>
      <c r="K1312" s="13" t="s">
        <v>16</v>
      </c>
      <c r="L1312" s="15">
        <v>21766.799999999999</v>
      </c>
    </row>
    <row r="1313" spans="1:12" ht="21" customHeight="1" outlineLevel="2" x14ac:dyDescent="0.25">
      <c r="A1313" s="16">
        <f t="shared" si="172"/>
        <v>1312</v>
      </c>
      <c r="B1313" s="12" t="str">
        <f t="shared" si="174"/>
        <v>ВРУ2 (ВРУ1-41-00 УХЛ4)  (БЛОК 8, 9)</v>
      </c>
      <c r="C1313" s="13" t="s">
        <v>43</v>
      </c>
      <c r="D1313" s="29" t="s">
        <v>237</v>
      </c>
      <c r="E1313" s="12" t="s">
        <v>238</v>
      </c>
      <c r="F1313" s="37">
        <v>17405</v>
      </c>
      <c r="G1313" s="38">
        <f t="shared" si="175"/>
        <v>10443</v>
      </c>
      <c r="H1313" s="38">
        <f>G1313*I1313</f>
        <v>31329</v>
      </c>
      <c r="I1313" s="16">
        <v>3</v>
      </c>
      <c r="J1313" s="17" t="s">
        <v>12</v>
      </c>
      <c r="K1313" s="13" t="s">
        <v>16</v>
      </c>
      <c r="L1313" s="15">
        <v>31329</v>
      </c>
    </row>
    <row r="1314" spans="1:12" ht="24" customHeight="1" outlineLevel="2" x14ac:dyDescent="0.25">
      <c r="A1314" s="12">
        <f t="shared" si="172"/>
        <v>1313</v>
      </c>
      <c r="B1314" s="12" t="str">
        <f t="shared" si="174"/>
        <v>ВРУ2 (ВРУ1-41-00 УХЛ4)  (БЛОК 8, 9)</v>
      </c>
      <c r="C1314" s="12" t="s">
        <v>9</v>
      </c>
      <c r="D1314" s="30" t="s">
        <v>9</v>
      </c>
      <c r="E1314" s="12" t="s">
        <v>9</v>
      </c>
      <c r="F1314" s="18">
        <f ca="1">OFFSET(F1314,1,2)</f>
        <v>12000</v>
      </c>
      <c r="G1314" s="38">
        <f ca="1">F1314</f>
        <v>12000</v>
      </c>
      <c r="H1314" s="38">
        <f ca="1">G1314*I1314</f>
        <v>12000</v>
      </c>
      <c r="I1314" s="12">
        <v>1</v>
      </c>
      <c r="J1314" s="12" t="s">
        <v>12</v>
      </c>
      <c r="K1314" s="12" t="s">
        <v>9</v>
      </c>
      <c r="L1314" s="15">
        <v>12000</v>
      </c>
    </row>
    <row r="1315" spans="1:12" ht="21" customHeight="1" outlineLevel="2" x14ac:dyDescent="0.25">
      <c r="A1315" s="12">
        <f t="shared" si="172"/>
        <v>1314</v>
      </c>
      <c r="B1315" s="12" t="str">
        <f t="shared" si="174"/>
        <v>ВРУ2 (ВРУ1-41-00 УХЛ4)  (БЛОК 8, 9)</v>
      </c>
      <c r="C1315" s="12" t="s">
        <v>10</v>
      </c>
      <c r="D1315" s="30" t="s">
        <v>10</v>
      </c>
      <c r="E1315" s="12" t="s">
        <v>10</v>
      </c>
      <c r="F1315" s="18">
        <v>2</v>
      </c>
      <c r="G1315" s="38">
        <v>100</v>
      </c>
      <c r="H1315" s="38">
        <f>60*F1315*G1315</f>
        <v>12000</v>
      </c>
      <c r="I1315" s="12">
        <f>60*F1315</f>
        <v>120</v>
      </c>
      <c r="J1315" s="12" t="s">
        <v>12</v>
      </c>
      <c r="K1315" s="12" t="s">
        <v>10</v>
      </c>
      <c r="L1315" s="15">
        <v>12000</v>
      </c>
    </row>
    <row r="1316" spans="1:12" ht="21" customHeight="1" outlineLevel="1" x14ac:dyDescent="0.25">
      <c r="A1316" s="12"/>
      <c r="B1316" s="12" t="s">
        <v>747</v>
      </c>
      <c r="C1316" s="12"/>
      <c r="D1316" s="30"/>
      <c r="E1316" s="12"/>
      <c r="F1316" s="18"/>
      <c r="G1316" s="38"/>
      <c r="H1316" s="38">
        <f ca="1">SUBTOTAL(9,H1309:H1315)</f>
        <v>118522.8</v>
      </c>
      <c r="I1316" s="12"/>
      <c r="J1316" s="12"/>
      <c r="K1316" s="12"/>
      <c r="L1316" s="15">
        <v>118522.8</v>
      </c>
    </row>
    <row r="1317" spans="1:12" ht="39.75" customHeight="1" outlineLevel="2" x14ac:dyDescent="0.25">
      <c r="A1317" s="10">
        <f>ROW(A1315)</f>
        <v>1315</v>
      </c>
      <c r="B1317" s="6" t="str">
        <f>E1317</f>
        <v>АВР-250А (АВР-Б-250-2-1 (Блок 8, 9)</v>
      </c>
      <c r="C1317" s="6"/>
      <c r="D1317" s="28"/>
      <c r="E1317" s="6" t="s">
        <v>490</v>
      </c>
      <c r="F1317" s="36"/>
      <c r="G1317" s="36" t="s">
        <v>73</v>
      </c>
      <c r="H1317" s="7"/>
      <c r="I1317" s="10">
        <v>1</v>
      </c>
      <c r="J1317" s="11" t="s">
        <v>6</v>
      </c>
      <c r="K1317" s="6" t="s">
        <v>8</v>
      </c>
      <c r="L1317" s="9"/>
    </row>
    <row r="1318" spans="1:12" ht="21" customHeight="1" outlineLevel="2" x14ac:dyDescent="0.25">
      <c r="A1318" s="16">
        <f t="shared" si="172"/>
        <v>1317</v>
      </c>
      <c r="B1318" s="12" t="str">
        <f t="shared" ref="B1318:B1326" si="176">B1317</f>
        <v>АВР-250А (АВР-Б-250-2-1 (Блок 8, 9)</v>
      </c>
      <c r="C1318" s="13" t="s">
        <v>7</v>
      </c>
      <c r="D1318" s="29" t="s">
        <v>509</v>
      </c>
      <c r="E1318" s="12" t="s">
        <v>510</v>
      </c>
      <c r="F1318" s="37">
        <v>73730</v>
      </c>
      <c r="G1318" s="38">
        <f>F1318*0.6</f>
        <v>44238</v>
      </c>
      <c r="H1318" s="38">
        <f>I1318*G1318</f>
        <v>44238</v>
      </c>
      <c r="I1318" s="16">
        <v>1</v>
      </c>
      <c r="J1318" s="17" t="s">
        <v>12</v>
      </c>
      <c r="K1318" s="13" t="s">
        <v>15</v>
      </c>
      <c r="L1318" s="15">
        <v>44238</v>
      </c>
    </row>
    <row r="1319" spans="1:12" ht="21" customHeight="1" outlineLevel="2" x14ac:dyDescent="0.25">
      <c r="A1319" s="16">
        <f t="shared" si="172"/>
        <v>1318</v>
      </c>
      <c r="B1319" s="12" t="str">
        <f t="shared" si="176"/>
        <v>АВР-250А (АВР-Б-250-2-1 (Блок 8, 9)</v>
      </c>
      <c r="C1319" s="13" t="s">
        <v>86</v>
      </c>
      <c r="D1319" s="29" t="s">
        <v>346</v>
      </c>
      <c r="E1319" s="12" t="s">
        <v>347</v>
      </c>
      <c r="F1319" s="37">
        <v>246865</v>
      </c>
      <c r="G1319" s="38">
        <f t="shared" ref="G1319:G1324" si="177">F1319*0.6</f>
        <v>148119</v>
      </c>
      <c r="H1319" s="38">
        <f>G1319*I1319</f>
        <v>148119</v>
      </c>
      <c r="I1319" s="16">
        <v>1</v>
      </c>
      <c r="J1319" s="17" t="s">
        <v>12</v>
      </c>
      <c r="K1319" s="13" t="s">
        <v>16</v>
      </c>
      <c r="L1319" s="15">
        <v>148119</v>
      </c>
    </row>
    <row r="1320" spans="1:12" ht="21" customHeight="1" outlineLevel="2" x14ac:dyDescent="0.25">
      <c r="A1320" s="16">
        <f t="shared" si="172"/>
        <v>1319</v>
      </c>
      <c r="B1320" s="12" t="str">
        <f t="shared" si="176"/>
        <v>АВР-250А (АВР-Б-250-2-1 (Блок 8, 9)</v>
      </c>
      <c r="C1320" s="13" t="s">
        <v>17</v>
      </c>
      <c r="D1320" s="29" t="s">
        <v>484</v>
      </c>
      <c r="E1320" s="12" t="s">
        <v>485</v>
      </c>
      <c r="F1320" s="37">
        <v>90000</v>
      </c>
      <c r="G1320" s="38">
        <f t="shared" ref="G1320:G1321" si="178">F1320</f>
        <v>90000</v>
      </c>
      <c r="H1320" s="38">
        <f t="shared" ref="H1320" si="179">G1320*I1320</f>
        <v>90000</v>
      </c>
      <c r="I1320" s="16">
        <v>1</v>
      </c>
      <c r="J1320" s="17" t="s">
        <v>12</v>
      </c>
      <c r="K1320" s="13" t="s">
        <v>597</v>
      </c>
      <c r="L1320" s="15">
        <v>90000</v>
      </c>
    </row>
    <row r="1321" spans="1:12" ht="21" customHeight="1" outlineLevel="2" x14ac:dyDescent="0.25">
      <c r="A1321" s="16">
        <f t="shared" si="172"/>
        <v>1320</v>
      </c>
      <c r="B1321" s="12" t="str">
        <f t="shared" si="176"/>
        <v>АВР-250А (АВР-Б-250-2-1 (Блок 8, 9)</v>
      </c>
      <c r="C1321" s="13" t="s">
        <v>26</v>
      </c>
      <c r="D1321" s="29" t="s">
        <v>62</v>
      </c>
      <c r="E1321" s="12" t="s">
        <v>63</v>
      </c>
      <c r="F1321" s="37">
        <v>5523</v>
      </c>
      <c r="G1321" s="38">
        <f t="shared" si="178"/>
        <v>5523</v>
      </c>
      <c r="H1321" s="38">
        <f>G1321*I1321</f>
        <v>16569</v>
      </c>
      <c r="I1321" s="16">
        <v>3</v>
      </c>
      <c r="J1321" s="17" t="s">
        <v>12</v>
      </c>
      <c r="K1321" s="13" t="s">
        <v>25</v>
      </c>
      <c r="L1321" s="15">
        <v>16569</v>
      </c>
    </row>
    <row r="1322" spans="1:12" ht="21" customHeight="1" outlineLevel="2" x14ac:dyDescent="0.25">
      <c r="A1322" s="16">
        <f t="shared" si="172"/>
        <v>1321</v>
      </c>
      <c r="B1322" s="12" t="str">
        <f>B1319</f>
        <v>АВР-250А (АВР-Б-250-2-1 (Блок 8, 9)</v>
      </c>
      <c r="C1322" s="13" t="s">
        <v>59</v>
      </c>
      <c r="D1322" s="29" t="s">
        <v>55</v>
      </c>
      <c r="E1322" s="12" t="s">
        <v>56</v>
      </c>
      <c r="F1322" s="37">
        <v>589</v>
      </c>
      <c r="G1322" s="38">
        <f t="shared" si="177"/>
        <v>353.4</v>
      </c>
      <c r="H1322" s="38">
        <f>G1322*I1322</f>
        <v>706.8</v>
      </c>
      <c r="I1322" s="16">
        <v>2</v>
      </c>
      <c r="J1322" s="17" t="s">
        <v>12</v>
      </c>
      <c r="K1322" s="13" t="s">
        <v>16</v>
      </c>
      <c r="L1322" s="15">
        <v>706.8</v>
      </c>
    </row>
    <row r="1323" spans="1:12" ht="21" customHeight="1" outlineLevel="2" x14ac:dyDescent="0.25">
      <c r="A1323" s="16">
        <f t="shared" si="172"/>
        <v>1322</v>
      </c>
      <c r="B1323" s="12" t="str">
        <f t="shared" si="176"/>
        <v>АВР-250А (АВР-Б-250-2-1 (Блок 8, 9)</v>
      </c>
      <c r="C1323" s="13" t="s">
        <v>59</v>
      </c>
      <c r="D1323" s="29" t="s">
        <v>223</v>
      </c>
      <c r="E1323" s="12" t="s">
        <v>224</v>
      </c>
      <c r="F1323" s="37">
        <v>571</v>
      </c>
      <c r="G1323" s="38">
        <f t="shared" si="177"/>
        <v>342.59999999999997</v>
      </c>
      <c r="H1323" s="38">
        <f>G1323*I1323</f>
        <v>685.19999999999993</v>
      </c>
      <c r="I1323" s="16">
        <v>2</v>
      </c>
      <c r="J1323" s="17" t="s">
        <v>12</v>
      </c>
      <c r="K1323" s="13" t="s">
        <v>16</v>
      </c>
      <c r="L1323" s="15">
        <v>685.19999999999993</v>
      </c>
    </row>
    <row r="1324" spans="1:12" ht="21" customHeight="1" outlineLevel="2" x14ac:dyDescent="0.25">
      <c r="A1324" s="16">
        <f t="shared" si="172"/>
        <v>1323</v>
      </c>
      <c r="B1324" s="12" t="str">
        <f t="shared" si="176"/>
        <v>АВР-250А (АВР-Б-250-2-1 (Блок 8, 9)</v>
      </c>
      <c r="C1324" s="13" t="s">
        <v>59</v>
      </c>
      <c r="D1324" s="29" t="s">
        <v>57</v>
      </c>
      <c r="E1324" s="12" t="s">
        <v>58</v>
      </c>
      <c r="F1324" s="37">
        <v>571</v>
      </c>
      <c r="G1324" s="38">
        <f t="shared" si="177"/>
        <v>342.59999999999997</v>
      </c>
      <c r="H1324" s="38">
        <f>G1324*I1324</f>
        <v>685.19999999999993</v>
      </c>
      <c r="I1324" s="16">
        <v>2</v>
      </c>
      <c r="J1324" s="17" t="s">
        <v>12</v>
      </c>
      <c r="K1324" s="13" t="s">
        <v>16</v>
      </c>
      <c r="L1324" s="15">
        <v>685.19999999999993</v>
      </c>
    </row>
    <row r="1325" spans="1:12" ht="24" customHeight="1" outlineLevel="2" x14ac:dyDescent="0.25">
      <c r="A1325" s="12">
        <f t="shared" si="172"/>
        <v>1324</v>
      </c>
      <c r="B1325" s="12" t="str">
        <f t="shared" si="176"/>
        <v>АВР-250А (АВР-Б-250-2-1 (Блок 8, 9)</v>
      </c>
      <c r="C1325" s="12" t="s">
        <v>9</v>
      </c>
      <c r="D1325" s="30" t="s">
        <v>9</v>
      </c>
      <c r="E1325" s="12" t="s">
        <v>9</v>
      </c>
      <c r="F1325" s="18">
        <f ca="1">OFFSET(F1325,1,2)</f>
        <v>36000</v>
      </c>
      <c r="G1325" s="38">
        <f ca="1">F1325</f>
        <v>36000</v>
      </c>
      <c r="H1325" s="38">
        <f ca="1">G1325*I1325</f>
        <v>36000</v>
      </c>
      <c r="I1325" s="12">
        <v>1</v>
      </c>
      <c r="J1325" s="12" t="s">
        <v>12</v>
      </c>
      <c r="K1325" s="12" t="s">
        <v>9</v>
      </c>
      <c r="L1325" s="15">
        <v>36000</v>
      </c>
    </row>
    <row r="1326" spans="1:12" ht="21" customHeight="1" outlineLevel="2" x14ac:dyDescent="0.25">
      <c r="A1326" s="12">
        <f t="shared" si="172"/>
        <v>1325</v>
      </c>
      <c r="B1326" s="12" t="str">
        <f t="shared" si="176"/>
        <v>АВР-250А (АВР-Б-250-2-1 (Блок 8, 9)</v>
      </c>
      <c r="C1326" s="12" t="s">
        <v>10</v>
      </c>
      <c r="D1326" s="30" t="s">
        <v>10</v>
      </c>
      <c r="E1326" s="12" t="s">
        <v>10</v>
      </c>
      <c r="F1326" s="18">
        <v>6</v>
      </c>
      <c r="G1326" s="38">
        <v>100</v>
      </c>
      <c r="H1326" s="38">
        <f>60*F1326*G1326</f>
        <v>36000</v>
      </c>
      <c r="I1326" s="12">
        <f>60*F1326</f>
        <v>360</v>
      </c>
      <c r="J1326" s="12" t="s">
        <v>12</v>
      </c>
      <c r="K1326" s="12" t="s">
        <v>10</v>
      </c>
      <c r="L1326" s="15">
        <v>36000</v>
      </c>
    </row>
    <row r="1327" spans="1:12" ht="21" customHeight="1" outlineLevel="1" x14ac:dyDescent="0.25">
      <c r="A1327" s="12"/>
      <c r="B1327" s="12" t="s">
        <v>748</v>
      </c>
      <c r="C1327" s="12"/>
      <c r="D1327" s="30"/>
      <c r="E1327" s="12"/>
      <c r="F1327" s="18"/>
      <c r="G1327" s="38"/>
      <c r="H1327" s="38">
        <f ca="1">SUBTOTAL(9,H1317:H1326)</f>
        <v>373003.2</v>
      </c>
      <c r="I1327" s="12"/>
      <c r="J1327" s="12"/>
      <c r="K1327" s="12"/>
      <c r="L1327" s="15">
        <v>373003.2</v>
      </c>
    </row>
    <row r="1328" spans="1:12" ht="39.75" customHeight="1" outlineLevel="2" x14ac:dyDescent="0.25">
      <c r="A1328" s="10">
        <f>ROW(A1326)</f>
        <v>1326</v>
      </c>
      <c r="B1328" s="6" t="str">
        <f>E1328</f>
        <v>ЩС-0.1 (БЛОК 8, 9)</v>
      </c>
      <c r="C1328" s="6"/>
      <c r="D1328" s="28"/>
      <c r="E1328" s="6" t="s">
        <v>348</v>
      </c>
      <c r="F1328" s="36"/>
      <c r="G1328" s="36" t="s">
        <v>73</v>
      </c>
      <c r="H1328" s="7"/>
      <c r="I1328" s="10">
        <v>1</v>
      </c>
      <c r="J1328" s="11" t="s">
        <v>6</v>
      </c>
      <c r="K1328" s="6" t="s">
        <v>8</v>
      </c>
      <c r="L1328" s="9"/>
    </row>
    <row r="1329" spans="1:12" ht="21" customHeight="1" outlineLevel="2" x14ac:dyDescent="0.25">
      <c r="A1329" s="16">
        <f t="shared" si="172"/>
        <v>1328</v>
      </c>
      <c r="B1329" s="12" t="str">
        <f t="shared" ref="B1329:B1344" si="180">B1328</f>
        <v>ЩС-0.1 (БЛОК 8, 9)</v>
      </c>
      <c r="C1329" s="13" t="s">
        <v>7</v>
      </c>
      <c r="D1329" s="29" t="s">
        <v>60</v>
      </c>
      <c r="E1329" s="12" t="s">
        <v>61</v>
      </c>
      <c r="F1329" s="37">
        <v>155000</v>
      </c>
      <c r="G1329" s="38">
        <f>F1329*0.6</f>
        <v>93000</v>
      </c>
      <c r="H1329" s="38">
        <f>I1329*G1329</f>
        <v>93000</v>
      </c>
      <c r="I1329" s="16">
        <v>1</v>
      </c>
      <c r="J1329" s="17" t="s">
        <v>12</v>
      </c>
      <c r="K1329" s="13" t="s">
        <v>15</v>
      </c>
      <c r="L1329" s="15">
        <v>93000</v>
      </c>
    </row>
    <row r="1330" spans="1:12" ht="21" customHeight="1" outlineLevel="2" x14ac:dyDescent="0.25">
      <c r="A1330" s="16">
        <f t="shared" si="172"/>
        <v>1329</v>
      </c>
      <c r="B1330" s="12" t="str">
        <f t="shared" si="180"/>
        <v>ЩС-0.1 (БЛОК 8, 9)</v>
      </c>
      <c r="C1330" s="13" t="s">
        <v>43</v>
      </c>
      <c r="D1330" s="29" t="s">
        <v>181</v>
      </c>
      <c r="E1330" s="12" t="s">
        <v>182</v>
      </c>
      <c r="F1330" s="37">
        <v>34800</v>
      </c>
      <c r="G1330" s="38">
        <f t="shared" ref="G1330:G1342" si="181">F1330*0.6</f>
        <v>20880</v>
      </c>
      <c r="H1330" s="38">
        <f t="shared" ref="H1330:H1336" si="182">G1330*I1330</f>
        <v>20880</v>
      </c>
      <c r="I1330" s="16">
        <v>1</v>
      </c>
      <c r="J1330" s="17" t="s">
        <v>12</v>
      </c>
      <c r="K1330" s="13" t="s">
        <v>16</v>
      </c>
      <c r="L1330" s="15">
        <v>20880</v>
      </c>
    </row>
    <row r="1331" spans="1:12" ht="21" customHeight="1" outlineLevel="2" x14ac:dyDescent="0.25">
      <c r="A1331" s="16">
        <f t="shared" si="172"/>
        <v>1330</v>
      </c>
      <c r="B1331" s="12" t="str">
        <f t="shared" si="180"/>
        <v>ЩС-0.1 (БЛОК 8, 9)</v>
      </c>
      <c r="C1331" s="13" t="s">
        <v>43</v>
      </c>
      <c r="D1331" s="29" t="s">
        <v>39</v>
      </c>
      <c r="E1331" s="12" t="s">
        <v>40</v>
      </c>
      <c r="F1331" s="37">
        <v>19760</v>
      </c>
      <c r="G1331" s="38">
        <f t="shared" si="181"/>
        <v>11856</v>
      </c>
      <c r="H1331" s="38">
        <f t="shared" si="182"/>
        <v>11856</v>
      </c>
      <c r="I1331" s="16">
        <v>1</v>
      </c>
      <c r="J1331" s="17" t="s">
        <v>12</v>
      </c>
      <c r="K1331" s="13" t="s">
        <v>16</v>
      </c>
      <c r="L1331" s="15">
        <v>11856</v>
      </c>
    </row>
    <row r="1332" spans="1:12" ht="21" customHeight="1" outlineLevel="2" x14ac:dyDescent="0.25">
      <c r="A1332" s="16">
        <f t="shared" si="172"/>
        <v>1331</v>
      </c>
      <c r="B1332" s="12" t="str">
        <f t="shared" si="180"/>
        <v>ЩС-0.1 (БЛОК 8, 9)</v>
      </c>
      <c r="C1332" s="13" t="s">
        <v>43</v>
      </c>
      <c r="D1332" s="29" t="s">
        <v>23</v>
      </c>
      <c r="E1332" s="12" t="s">
        <v>24</v>
      </c>
      <c r="F1332" s="37">
        <v>19443</v>
      </c>
      <c r="G1332" s="38">
        <f t="shared" si="181"/>
        <v>11665.8</v>
      </c>
      <c r="H1332" s="38">
        <f t="shared" si="182"/>
        <v>11665.8</v>
      </c>
      <c r="I1332" s="16">
        <v>1</v>
      </c>
      <c r="J1332" s="17" t="s">
        <v>12</v>
      </c>
      <c r="K1332" s="13" t="s">
        <v>16</v>
      </c>
      <c r="L1332" s="15">
        <v>11665.8</v>
      </c>
    </row>
    <row r="1333" spans="1:12" ht="21" customHeight="1" outlineLevel="2" x14ac:dyDescent="0.25">
      <c r="A1333" s="16">
        <f t="shared" si="172"/>
        <v>1332</v>
      </c>
      <c r="B1333" s="12" t="str">
        <f t="shared" si="180"/>
        <v>ЩС-0.1 (БЛОК 8, 9)</v>
      </c>
      <c r="C1333" s="13" t="s">
        <v>11</v>
      </c>
      <c r="D1333" s="29" t="s">
        <v>273</v>
      </c>
      <c r="E1333" s="12" t="s">
        <v>274</v>
      </c>
      <c r="F1333" s="37">
        <v>2499</v>
      </c>
      <c r="G1333" s="38">
        <f t="shared" si="181"/>
        <v>1499.3999999999999</v>
      </c>
      <c r="H1333" s="38">
        <f t="shared" si="182"/>
        <v>2998.7999999999997</v>
      </c>
      <c r="I1333" s="16">
        <v>2</v>
      </c>
      <c r="J1333" s="17" t="s">
        <v>12</v>
      </c>
      <c r="K1333" s="13" t="s">
        <v>16</v>
      </c>
      <c r="L1333" s="15">
        <v>2998.7999999999997</v>
      </c>
    </row>
    <row r="1334" spans="1:12" ht="21" customHeight="1" outlineLevel="2" x14ac:dyDescent="0.25">
      <c r="A1334" s="16">
        <f t="shared" si="172"/>
        <v>1333</v>
      </c>
      <c r="B1334" s="12" t="str">
        <f t="shared" si="180"/>
        <v>ЩС-0.1 (БЛОК 8, 9)</v>
      </c>
      <c r="C1334" s="13" t="s">
        <v>11</v>
      </c>
      <c r="D1334" s="29" t="s">
        <v>51</v>
      </c>
      <c r="E1334" s="12" t="s">
        <v>52</v>
      </c>
      <c r="F1334" s="37">
        <v>2337</v>
      </c>
      <c r="G1334" s="38">
        <f t="shared" si="181"/>
        <v>1402.2</v>
      </c>
      <c r="H1334" s="38">
        <f t="shared" si="182"/>
        <v>2804.4</v>
      </c>
      <c r="I1334" s="16">
        <v>2</v>
      </c>
      <c r="J1334" s="17" t="s">
        <v>12</v>
      </c>
      <c r="K1334" s="13" t="s">
        <v>16</v>
      </c>
      <c r="L1334" s="15">
        <v>2804.4</v>
      </c>
    </row>
    <row r="1335" spans="1:12" ht="21" customHeight="1" outlineLevel="2" x14ac:dyDescent="0.25">
      <c r="A1335" s="16">
        <f t="shared" si="172"/>
        <v>1334</v>
      </c>
      <c r="B1335" s="12" t="str">
        <f t="shared" si="180"/>
        <v>ЩС-0.1 (БЛОК 8, 9)</v>
      </c>
      <c r="C1335" s="13" t="s">
        <v>22</v>
      </c>
      <c r="D1335" s="29" t="s">
        <v>96</v>
      </c>
      <c r="E1335" s="12" t="s">
        <v>97</v>
      </c>
      <c r="F1335" s="37">
        <v>5069</v>
      </c>
      <c r="G1335" s="38">
        <f t="shared" si="181"/>
        <v>3041.4</v>
      </c>
      <c r="H1335" s="38">
        <f t="shared" si="182"/>
        <v>3041.4</v>
      </c>
      <c r="I1335" s="16">
        <v>1</v>
      </c>
      <c r="J1335" s="17" t="s">
        <v>12</v>
      </c>
      <c r="K1335" s="13" t="s">
        <v>16</v>
      </c>
      <c r="L1335" s="15">
        <v>3041.4</v>
      </c>
    </row>
    <row r="1336" spans="1:12" ht="21" customHeight="1" outlineLevel="2" x14ac:dyDescent="0.25">
      <c r="A1336" s="16">
        <f t="shared" si="172"/>
        <v>1335</v>
      </c>
      <c r="B1336" s="12" t="str">
        <f t="shared" si="180"/>
        <v>ЩС-0.1 (БЛОК 8, 9)</v>
      </c>
      <c r="C1336" s="13" t="s">
        <v>22</v>
      </c>
      <c r="D1336" s="29" t="s">
        <v>268</v>
      </c>
      <c r="E1336" s="12" t="s">
        <v>269</v>
      </c>
      <c r="F1336" s="37">
        <v>5632</v>
      </c>
      <c r="G1336" s="38">
        <f t="shared" si="181"/>
        <v>3379.2</v>
      </c>
      <c r="H1336" s="38">
        <f t="shared" si="182"/>
        <v>3379.2</v>
      </c>
      <c r="I1336" s="16">
        <v>1</v>
      </c>
      <c r="J1336" s="17" t="s">
        <v>12</v>
      </c>
      <c r="K1336" s="13" t="s">
        <v>16</v>
      </c>
      <c r="L1336" s="15">
        <v>3379.2</v>
      </c>
    </row>
    <row r="1337" spans="1:12" ht="21" customHeight="1" outlineLevel="2" x14ac:dyDescent="0.25">
      <c r="A1337" s="16">
        <f t="shared" si="172"/>
        <v>1336</v>
      </c>
      <c r="B1337" s="12" t="str">
        <f t="shared" si="180"/>
        <v>ЩС-0.1 (БЛОК 8, 9)</v>
      </c>
      <c r="C1337" s="13" t="s">
        <v>22</v>
      </c>
      <c r="D1337" s="29" t="s">
        <v>117</v>
      </c>
      <c r="E1337" s="12" t="s">
        <v>118</v>
      </c>
      <c r="F1337" s="37">
        <v>5104</v>
      </c>
      <c r="G1337" s="38">
        <f t="shared" si="181"/>
        <v>3062.4</v>
      </c>
      <c r="H1337" s="38">
        <f t="shared" ref="H1337:H1343" si="183">G1337*I1337</f>
        <v>6124.8</v>
      </c>
      <c r="I1337" s="16">
        <v>2</v>
      </c>
      <c r="J1337" s="17" t="s">
        <v>12</v>
      </c>
      <c r="K1337" s="13" t="s">
        <v>16</v>
      </c>
      <c r="L1337" s="15">
        <v>6124.8</v>
      </c>
    </row>
    <row r="1338" spans="1:12" ht="21" customHeight="1" outlineLevel="2" x14ac:dyDescent="0.25">
      <c r="A1338" s="16">
        <f t="shared" si="172"/>
        <v>1337</v>
      </c>
      <c r="B1338" s="12" t="str">
        <f t="shared" si="180"/>
        <v>ЩС-0.1 (БЛОК 8, 9)</v>
      </c>
      <c r="C1338" s="13" t="s">
        <v>22</v>
      </c>
      <c r="D1338" s="29" t="s">
        <v>270</v>
      </c>
      <c r="E1338" s="12" t="s">
        <v>271</v>
      </c>
      <c r="F1338" s="37">
        <v>5719</v>
      </c>
      <c r="G1338" s="38">
        <f t="shared" si="181"/>
        <v>3431.4</v>
      </c>
      <c r="H1338" s="38">
        <f>G1338*I1338</f>
        <v>6862.8</v>
      </c>
      <c r="I1338" s="16">
        <v>2</v>
      </c>
      <c r="J1338" s="17" t="s">
        <v>12</v>
      </c>
      <c r="K1338" s="13" t="s">
        <v>16</v>
      </c>
      <c r="L1338" s="15">
        <v>6862.8</v>
      </c>
    </row>
    <row r="1339" spans="1:12" ht="21" customHeight="1" outlineLevel="2" x14ac:dyDescent="0.25">
      <c r="A1339" s="16">
        <f t="shared" si="172"/>
        <v>1338</v>
      </c>
      <c r="B1339" s="12" t="str">
        <f t="shared" si="180"/>
        <v>ЩС-0.1 (БЛОК 8, 9)</v>
      </c>
      <c r="C1339" s="13" t="s">
        <v>22</v>
      </c>
      <c r="D1339" s="29" t="s">
        <v>250</v>
      </c>
      <c r="E1339" s="12" t="s">
        <v>251</v>
      </c>
      <c r="F1339" s="37">
        <v>8352</v>
      </c>
      <c r="G1339" s="38">
        <f t="shared" si="181"/>
        <v>5011.2</v>
      </c>
      <c r="H1339" s="38">
        <f t="shared" si="183"/>
        <v>5011.2</v>
      </c>
      <c r="I1339" s="16">
        <v>1</v>
      </c>
      <c r="J1339" s="17" t="s">
        <v>12</v>
      </c>
      <c r="K1339" s="13" t="s">
        <v>16</v>
      </c>
      <c r="L1339" s="15">
        <v>5011.2</v>
      </c>
    </row>
    <row r="1340" spans="1:12" ht="21" customHeight="1" outlineLevel="2" x14ac:dyDescent="0.25">
      <c r="A1340" s="16">
        <f t="shared" si="172"/>
        <v>1339</v>
      </c>
      <c r="B1340" s="12" t="str">
        <f t="shared" si="180"/>
        <v>ЩС-0.1 (БЛОК 8, 9)</v>
      </c>
      <c r="C1340" s="13" t="s">
        <v>48</v>
      </c>
      <c r="D1340" s="29" t="s">
        <v>349</v>
      </c>
      <c r="E1340" s="12" t="s">
        <v>350</v>
      </c>
      <c r="F1340" s="37">
        <v>100471</v>
      </c>
      <c r="G1340" s="38">
        <f t="shared" si="181"/>
        <v>60282.6</v>
      </c>
      <c r="H1340" s="38">
        <f t="shared" si="183"/>
        <v>60282.6</v>
      </c>
      <c r="I1340" s="16">
        <v>1</v>
      </c>
      <c r="J1340" s="17" t="s">
        <v>12</v>
      </c>
      <c r="K1340" s="13" t="s">
        <v>16</v>
      </c>
      <c r="L1340" s="15">
        <v>60282.6</v>
      </c>
    </row>
    <row r="1341" spans="1:12" ht="21" customHeight="1" outlineLevel="2" x14ac:dyDescent="0.25">
      <c r="A1341" s="16">
        <f t="shared" si="172"/>
        <v>1340</v>
      </c>
      <c r="B1341" s="12" t="str">
        <f t="shared" si="180"/>
        <v>ЩС-0.1 (БЛОК 8, 9)</v>
      </c>
      <c r="C1341" s="13" t="s">
        <v>48</v>
      </c>
      <c r="D1341" s="29" t="s">
        <v>259</v>
      </c>
      <c r="E1341" s="12" t="s">
        <v>260</v>
      </c>
      <c r="F1341" s="37">
        <v>84983</v>
      </c>
      <c r="G1341" s="38">
        <f t="shared" si="181"/>
        <v>50989.799999999996</v>
      </c>
      <c r="H1341" s="38">
        <f t="shared" si="183"/>
        <v>50989.799999999996</v>
      </c>
      <c r="I1341" s="16">
        <v>1</v>
      </c>
      <c r="J1341" s="17" t="s">
        <v>12</v>
      </c>
      <c r="K1341" s="13" t="s">
        <v>16</v>
      </c>
      <c r="L1341" s="15">
        <v>50989.799999999996</v>
      </c>
    </row>
    <row r="1342" spans="1:12" ht="21" customHeight="1" outlineLevel="2" x14ac:dyDescent="0.25">
      <c r="A1342" s="16">
        <f t="shared" si="172"/>
        <v>1341</v>
      </c>
      <c r="B1342" s="12" t="str">
        <f t="shared" si="180"/>
        <v>ЩС-0.1 (БЛОК 8, 9)</v>
      </c>
      <c r="C1342" s="13" t="s">
        <v>48</v>
      </c>
      <c r="D1342" s="29" t="s">
        <v>282</v>
      </c>
      <c r="E1342" s="12" t="s">
        <v>283</v>
      </c>
      <c r="F1342" s="37">
        <v>12145</v>
      </c>
      <c r="G1342" s="38">
        <f t="shared" si="181"/>
        <v>7287</v>
      </c>
      <c r="H1342" s="38">
        <f t="shared" si="183"/>
        <v>29148</v>
      </c>
      <c r="I1342" s="16">
        <v>4</v>
      </c>
      <c r="J1342" s="17" t="s">
        <v>12</v>
      </c>
      <c r="K1342" s="13" t="s">
        <v>16</v>
      </c>
      <c r="L1342" s="15">
        <v>29148</v>
      </c>
    </row>
    <row r="1343" spans="1:12" ht="24" customHeight="1" outlineLevel="2" x14ac:dyDescent="0.25">
      <c r="A1343" s="12">
        <f t="shared" si="172"/>
        <v>1342</v>
      </c>
      <c r="B1343" s="12" t="str">
        <f t="shared" si="180"/>
        <v>ЩС-0.1 (БЛОК 8, 9)</v>
      </c>
      <c r="C1343" s="12" t="s">
        <v>9</v>
      </c>
      <c r="D1343" s="30" t="s">
        <v>9</v>
      </c>
      <c r="E1343" s="12" t="s">
        <v>9</v>
      </c>
      <c r="F1343" s="18">
        <f ca="1">OFFSET(F1343,1,2)</f>
        <v>84000</v>
      </c>
      <c r="G1343" s="38">
        <f ca="1">F1343</f>
        <v>84000</v>
      </c>
      <c r="H1343" s="38">
        <f t="shared" ca="1" si="183"/>
        <v>84000</v>
      </c>
      <c r="I1343" s="12">
        <v>1</v>
      </c>
      <c r="J1343" s="12" t="s">
        <v>12</v>
      </c>
      <c r="K1343" s="12" t="s">
        <v>9</v>
      </c>
      <c r="L1343" s="15">
        <v>84000</v>
      </c>
    </row>
    <row r="1344" spans="1:12" ht="21" customHeight="1" outlineLevel="2" x14ac:dyDescent="0.25">
      <c r="A1344" s="12">
        <f t="shared" si="172"/>
        <v>1343</v>
      </c>
      <c r="B1344" s="12" t="str">
        <f t="shared" si="180"/>
        <v>ЩС-0.1 (БЛОК 8, 9)</v>
      </c>
      <c r="C1344" s="12" t="s">
        <v>10</v>
      </c>
      <c r="D1344" s="30" t="s">
        <v>10</v>
      </c>
      <c r="E1344" s="12" t="s">
        <v>10</v>
      </c>
      <c r="F1344" s="18">
        <v>14</v>
      </c>
      <c r="G1344" s="38">
        <v>100</v>
      </c>
      <c r="H1344" s="38">
        <f>60*F1344*G1344</f>
        <v>84000</v>
      </c>
      <c r="I1344" s="12">
        <f>60*F1344</f>
        <v>840</v>
      </c>
      <c r="J1344" s="12" t="s">
        <v>12</v>
      </c>
      <c r="K1344" s="12" t="s">
        <v>10</v>
      </c>
      <c r="L1344" s="15">
        <v>84000</v>
      </c>
    </row>
    <row r="1345" spans="1:13" ht="21" customHeight="1" outlineLevel="1" x14ac:dyDescent="0.25">
      <c r="A1345" s="12"/>
      <c r="B1345" s="12" t="s">
        <v>749</v>
      </c>
      <c r="C1345" s="12"/>
      <c r="D1345" s="30"/>
      <c r="E1345" s="12"/>
      <c r="F1345" s="18"/>
      <c r="G1345" s="38"/>
      <c r="H1345" s="38">
        <f ca="1">SUBTOTAL(9,H1328:H1344)</f>
        <v>476044.79999999999</v>
      </c>
      <c r="I1345" s="12"/>
      <c r="J1345" s="12"/>
      <c r="K1345" s="12"/>
      <c r="L1345" s="15">
        <v>476044.79999999999</v>
      </c>
    </row>
    <row r="1346" spans="1:13" ht="39.75" customHeight="1" outlineLevel="2" x14ac:dyDescent="0.25">
      <c r="A1346" s="10">
        <f>ROW(A1344)</f>
        <v>1344</v>
      </c>
      <c r="B1346" s="6" t="str">
        <f>E1346</f>
        <v>ЩС-0.2 (БЛОК 8, 9)</v>
      </c>
      <c r="C1346" s="6"/>
      <c r="D1346" s="28"/>
      <c r="E1346" s="6" t="s">
        <v>351</v>
      </c>
      <c r="F1346" s="36"/>
      <c r="G1346" s="36" t="s">
        <v>73</v>
      </c>
      <c r="H1346" s="7"/>
      <c r="I1346" s="10">
        <v>1</v>
      </c>
      <c r="J1346" s="11" t="s">
        <v>6</v>
      </c>
      <c r="K1346" s="6" t="s">
        <v>8</v>
      </c>
      <c r="L1346" s="9"/>
    </row>
    <row r="1347" spans="1:13" ht="21" customHeight="1" outlineLevel="2" x14ac:dyDescent="0.25">
      <c r="A1347" s="16">
        <f t="shared" si="172"/>
        <v>1346</v>
      </c>
      <c r="B1347" s="12" t="str">
        <f t="shared" ref="B1347:B1356" si="184">B1346</f>
        <v>ЩС-0.2 (БЛОК 8, 9)</v>
      </c>
      <c r="C1347" s="13" t="s">
        <v>7</v>
      </c>
      <c r="D1347" s="29" t="s">
        <v>476</v>
      </c>
      <c r="E1347" s="12" t="s">
        <v>477</v>
      </c>
      <c r="F1347" s="37">
        <v>26000</v>
      </c>
      <c r="G1347" s="38">
        <f t="shared" ref="G1347:G1354" si="185">F1347*0.6</f>
        <v>15600</v>
      </c>
      <c r="H1347" s="38">
        <f>I1347*G1347</f>
        <v>15600</v>
      </c>
      <c r="I1347" s="16">
        <v>1</v>
      </c>
      <c r="J1347" s="17" t="s">
        <v>12</v>
      </c>
      <c r="K1347" s="13" t="s">
        <v>15</v>
      </c>
      <c r="L1347" s="15">
        <v>15600</v>
      </c>
    </row>
    <row r="1348" spans="1:13" ht="21" customHeight="1" outlineLevel="2" x14ac:dyDescent="0.25">
      <c r="A1348" s="16">
        <f t="shared" si="172"/>
        <v>1347</v>
      </c>
      <c r="B1348" s="12" t="str">
        <f t="shared" si="184"/>
        <v>ЩС-0.2 (БЛОК 8, 9)</v>
      </c>
      <c r="C1348" s="13" t="s">
        <v>11</v>
      </c>
      <c r="D1348" s="29" t="s">
        <v>28</v>
      </c>
      <c r="E1348" s="12" t="s">
        <v>27</v>
      </c>
      <c r="F1348" s="37">
        <v>2606</v>
      </c>
      <c r="G1348" s="38">
        <f t="shared" si="185"/>
        <v>1563.6</v>
      </c>
      <c r="H1348" s="38">
        <f t="shared" ref="H1348:H1355" si="186">G1348*I1348</f>
        <v>1563.6</v>
      </c>
      <c r="I1348" s="16">
        <v>1</v>
      </c>
      <c r="J1348" s="17" t="s">
        <v>12</v>
      </c>
      <c r="K1348" s="13" t="s">
        <v>16</v>
      </c>
      <c r="L1348" s="15">
        <v>1563.6</v>
      </c>
    </row>
    <row r="1349" spans="1:13" ht="21" customHeight="1" outlineLevel="2" x14ac:dyDescent="0.25">
      <c r="A1349" s="16">
        <f t="shared" si="172"/>
        <v>1348</v>
      </c>
      <c r="B1349" s="12" t="str">
        <f t="shared" si="184"/>
        <v>ЩС-0.2 (БЛОК 8, 9)</v>
      </c>
      <c r="C1349" s="13" t="s">
        <v>11</v>
      </c>
      <c r="D1349" s="29" t="s">
        <v>51</v>
      </c>
      <c r="E1349" s="12" t="s">
        <v>52</v>
      </c>
      <c r="F1349" s="37">
        <v>2337</v>
      </c>
      <c r="G1349" s="38">
        <f t="shared" si="185"/>
        <v>1402.2</v>
      </c>
      <c r="H1349" s="38">
        <f t="shared" si="186"/>
        <v>1402.2</v>
      </c>
      <c r="I1349" s="16">
        <v>1</v>
      </c>
      <c r="J1349" s="17" t="s">
        <v>12</v>
      </c>
      <c r="K1349" s="13" t="s">
        <v>16</v>
      </c>
      <c r="L1349" s="15">
        <v>1402.2</v>
      </c>
    </row>
    <row r="1350" spans="1:13" ht="21" customHeight="1" outlineLevel="2" x14ac:dyDescent="0.25">
      <c r="A1350" s="16">
        <f t="shared" si="172"/>
        <v>1349</v>
      </c>
      <c r="B1350" s="12" t="str">
        <f t="shared" si="184"/>
        <v>ЩС-0.2 (БЛОК 8, 9)</v>
      </c>
      <c r="C1350" s="13" t="s">
        <v>11</v>
      </c>
      <c r="D1350" s="29" t="s">
        <v>280</v>
      </c>
      <c r="E1350" s="12" t="s">
        <v>281</v>
      </c>
      <c r="F1350" s="37">
        <v>2447</v>
      </c>
      <c r="G1350" s="38">
        <f t="shared" si="185"/>
        <v>1468.2</v>
      </c>
      <c r="H1350" s="38">
        <f t="shared" si="186"/>
        <v>8809.2000000000007</v>
      </c>
      <c r="I1350" s="16">
        <v>6</v>
      </c>
      <c r="J1350" s="17" t="s">
        <v>12</v>
      </c>
      <c r="K1350" s="13" t="s">
        <v>16</v>
      </c>
      <c r="L1350" s="15">
        <v>8809.2000000000007</v>
      </c>
    </row>
    <row r="1351" spans="1:13" ht="21" customHeight="1" outlineLevel="2" x14ac:dyDescent="0.25">
      <c r="A1351" s="16">
        <f t="shared" si="172"/>
        <v>1350</v>
      </c>
      <c r="B1351" s="12" t="str">
        <f t="shared" si="184"/>
        <v>ЩС-0.2 (БЛОК 8, 9)</v>
      </c>
      <c r="C1351" s="13" t="s">
        <v>22</v>
      </c>
      <c r="D1351" s="29" t="s">
        <v>96</v>
      </c>
      <c r="E1351" s="12" t="s">
        <v>97</v>
      </c>
      <c r="F1351" s="37">
        <v>5069</v>
      </c>
      <c r="G1351" s="38">
        <f t="shared" si="185"/>
        <v>3041.4</v>
      </c>
      <c r="H1351" s="38">
        <f t="shared" si="186"/>
        <v>3041.4</v>
      </c>
      <c r="I1351" s="16">
        <v>1</v>
      </c>
      <c r="J1351" s="17" t="s">
        <v>12</v>
      </c>
      <c r="K1351" s="13" t="s">
        <v>16</v>
      </c>
      <c r="L1351" s="15">
        <v>3041.4</v>
      </c>
    </row>
    <row r="1352" spans="1:13" ht="21" customHeight="1" outlineLevel="2" x14ac:dyDescent="0.25">
      <c r="A1352" s="16">
        <f t="shared" si="172"/>
        <v>1351</v>
      </c>
      <c r="B1352" s="12" t="str">
        <f t="shared" si="184"/>
        <v>ЩС-0.2 (БЛОК 8, 9)</v>
      </c>
      <c r="C1352" s="13" t="s">
        <v>22</v>
      </c>
      <c r="D1352" s="29" t="s">
        <v>117</v>
      </c>
      <c r="E1352" s="12" t="s">
        <v>118</v>
      </c>
      <c r="F1352" s="37">
        <v>5104</v>
      </c>
      <c r="G1352" s="38">
        <f t="shared" si="185"/>
        <v>3062.4</v>
      </c>
      <c r="H1352" s="38">
        <f t="shared" si="186"/>
        <v>6124.8</v>
      </c>
      <c r="I1352" s="16">
        <v>2</v>
      </c>
      <c r="J1352" s="17" t="s">
        <v>12</v>
      </c>
      <c r="K1352" s="13" t="s">
        <v>16</v>
      </c>
      <c r="L1352" s="15">
        <v>6124.8</v>
      </c>
    </row>
    <row r="1353" spans="1:13" ht="21" customHeight="1" outlineLevel="2" x14ac:dyDescent="0.25">
      <c r="A1353" s="16">
        <f t="shared" si="172"/>
        <v>1352</v>
      </c>
      <c r="B1353" s="12" t="str">
        <f t="shared" si="184"/>
        <v>ЩС-0.2 (БЛОК 8, 9)</v>
      </c>
      <c r="C1353" s="13" t="s">
        <v>22</v>
      </c>
      <c r="D1353" s="29" t="s">
        <v>250</v>
      </c>
      <c r="E1353" s="12" t="s">
        <v>251</v>
      </c>
      <c r="F1353" s="37">
        <v>8352</v>
      </c>
      <c r="G1353" s="38">
        <f t="shared" si="185"/>
        <v>5011.2</v>
      </c>
      <c r="H1353" s="38">
        <f t="shared" si="186"/>
        <v>5011.2</v>
      </c>
      <c r="I1353" s="16">
        <v>1</v>
      </c>
      <c r="J1353" s="17" t="s">
        <v>12</v>
      </c>
      <c r="K1353" s="13" t="s">
        <v>16</v>
      </c>
      <c r="L1353" s="15">
        <v>5011.2</v>
      </c>
    </row>
    <row r="1354" spans="1:13" ht="21" customHeight="1" outlineLevel="2" x14ac:dyDescent="0.25">
      <c r="A1354" s="16">
        <f t="shared" si="172"/>
        <v>1353</v>
      </c>
      <c r="B1354" s="12" t="str">
        <f t="shared" si="184"/>
        <v>ЩС-0.2 (БЛОК 8, 9)</v>
      </c>
      <c r="C1354" s="13" t="s">
        <v>48</v>
      </c>
      <c r="D1354" s="29" t="s">
        <v>282</v>
      </c>
      <c r="E1354" s="12" t="s">
        <v>283</v>
      </c>
      <c r="F1354" s="37">
        <v>12145</v>
      </c>
      <c r="G1354" s="38">
        <f t="shared" si="185"/>
        <v>7287</v>
      </c>
      <c r="H1354" s="38">
        <f t="shared" si="186"/>
        <v>51009</v>
      </c>
      <c r="I1354" s="16">
        <v>7</v>
      </c>
      <c r="J1354" s="17" t="s">
        <v>12</v>
      </c>
      <c r="K1354" s="13" t="s">
        <v>16</v>
      </c>
      <c r="L1354" s="15">
        <v>51009</v>
      </c>
      <c r="M1354" t="s">
        <v>455</v>
      </c>
    </row>
    <row r="1355" spans="1:13" ht="24" customHeight="1" outlineLevel="2" x14ac:dyDescent="0.25">
      <c r="A1355" s="12">
        <f t="shared" si="172"/>
        <v>1354</v>
      </c>
      <c r="B1355" s="12" t="str">
        <f t="shared" si="184"/>
        <v>ЩС-0.2 (БЛОК 8, 9)</v>
      </c>
      <c r="C1355" s="12" t="s">
        <v>9</v>
      </c>
      <c r="D1355" s="30" t="s">
        <v>9</v>
      </c>
      <c r="E1355" s="12" t="s">
        <v>9</v>
      </c>
      <c r="F1355" s="18">
        <f ca="1">OFFSET(F1355,1,2)</f>
        <v>21000</v>
      </c>
      <c r="G1355" s="38">
        <f ca="1">F1355</f>
        <v>21000</v>
      </c>
      <c r="H1355" s="38">
        <f t="shared" ca="1" si="186"/>
        <v>21000</v>
      </c>
      <c r="I1355" s="12">
        <v>1</v>
      </c>
      <c r="J1355" s="12" t="s">
        <v>12</v>
      </c>
      <c r="K1355" s="12" t="s">
        <v>9</v>
      </c>
      <c r="L1355" s="15">
        <v>21000</v>
      </c>
    </row>
    <row r="1356" spans="1:13" ht="21" customHeight="1" outlineLevel="2" x14ac:dyDescent="0.25">
      <c r="A1356" s="12">
        <f t="shared" si="172"/>
        <v>1355</v>
      </c>
      <c r="B1356" s="12" t="str">
        <f t="shared" si="184"/>
        <v>ЩС-0.2 (БЛОК 8, 9)</v>
      </c>
      <c r="C1356" s="12" t="s">
        <v>10</v>
      </c>
      <c r="D1356" s="30" t="s">
        <v>10</v>
      </c>
      <c r="E1356" s="12" t="s">
        <v>10</v>
      </c>
      <c r="F1356" s="18">
        <v>3.5</v>
      </c>
      <c r="G1356" s="38">
        <v>100</v>
      </c>
      <c r="H1356" s="38">
        <f>60*F1356*G1356</f>
        <v>21000</v>
      </c>
      <c r="I1356" s="12">
        <f>60*F1356</f>
        <v>210</v>
      </c>
      <c r="J1356" s="12" t="s">
        <v>12</v>
      </c>
      <c r="K1356" s="12" t="s">
        <v>10</v>
      </c>
      <c r="L1356" s="15">
        <v>21000</v>
      </c>
    </row>
    <row r="1357" spans="1:13" ht="21" customHeight="1" outlineLevel="1" x14ac:dyDescent="0.25">
      <c r="A1357" s="12"/>
      <c r="B1357" s="12" t="s">
        <v>750</v>
      </c>
      <c r="C1357" s="12"/>
      <c r="D1357" s="30"/>
      <c r="E1357" s="12"/>
      <c r="F1357" s="18"/>
      <c r="G1357" s="38"/>
      <c r="H1357" s="38">
        <f ca="1">SUBTOTAL(9,H1346:H1356)</f>
        <v>134561.4</v>
      </c>
      <c r="I1357" s="12"/>
      <c r="J1357" s="12"/>
      <c r="K1357" s="12"/>
      <c r="L1357" s="15">
        <v>134561.4</v>
      </c>
    </row>
    <row r="1358" spans="1:13" ht="39.75" customHeight="1" outlineLevel="2" x14ac:dyDescent="0.25">
      <c r="A1358" s="10">
        <f>ROW(A1356)</f>
        <v>1356</v>
      </c>
      <c r="B1358" s="6" t="str">
        <f>E1358</f>
        <v>ЩС-0.3 (БЛОК 8, 9)</v>
      </c>
      <c r="C1358" s="6"/>
      <c r="D1358" s="28"/>
      <c r="E1358" s="6" t="s">
        <v>352</v>
      </c>
      <c r="F1358" s="36"/>
      <c r="G1358" s="36" t="s">
        <v>73</v>
      </c>
      <c r="H1358" s="7"/>
      <c r="I1358" s="10">
        <v>1</v>
      </c>
      <c r="J1358" s="11" t="s">
        <v>6</v>
      </c>
      <c r="K1358" s="6" t="s">
        <v>8</v>
      </c>
      <c r="L1358" s="9"/>
    </row>
    <row r="1359" spans="1:13" ht="21" customHeight="1" outlineLevel="2" x14ac:dyDescent="0.25">
      <c r="A1359" s="16">
        <f t="shared" si="172"/>
        <v>1358</v>
      </c>
      <c r="B1359" s="12" t="str">
        <f t="shared" ref="B1359:B1368" si="187">B1358</f>
        <v>ЩС-0.3 (БЛОК 8, 9)</v>
      </c>
      <c r="C1359" s="13" t="s">
        <v>7</v>
      </c>
      <c r="D1359" s="29" t="s">
        <v>472</v>
      </c>
      <c r="E1359" s="12" t="s">
        <v>473</v>
      </c>
      <c r="F1359" s="37">
        <v>22000</v>
      </c>
      <c r="G1359" s="38">
        <f>F1359*0.6</f>
        <v>13200</v>
      </c>
      <c r="H1359" s="38">
        <f>I1359*G1359</f>
        <v>13200</v>
      </c>
      <c r="I1359" s="16">
        <v>1</v>
      </c>
      <c r="J1359" s="17" t="s">
        <v>12</v>
      </c>
      <c r="K1359" s="13" t="s">
        <v>15</v>
      </c>
      <c r="L1359" s="15">
        <v>13200</v>
      </c>
    </row>
    <row r="1360" spans="1:13" ht="21" customHeight="1" outlineLevel="2" x14ac:dyDescent="0.25">
      <c r="A1360" s="16">
        <f t="shared" si="172"/>
        <v>1359</v>
      </c>
      <c r="B1360" s="12" t="str">
        <f t="shared" si="187"/>
        <v>ЩС-0.3 (БЛОК 8, 9)</v>
      </c>
      <c r="C1360" s="13" t="s">
        <v>11</v>
      </c>
      <c r="D1360" s="29" t="s">
        <v>65</v>
      </c>
      <c r="E1360" s="12" t="s">
        <v>66</v>
      </c>
      <c r="F1360" s="37">
        <v>2807</v>
      </c>
      <c r="G1360" s="38">
        <f t="shared" ref="G1360:G1366" si="188">F1360*0.6</f>
        <v>1684.2</v>
      </c>
      <c r="H1360" s="38">
        <f t="shared" ref="H1360:H1367" si="189">G1360*I1360</f>
        <v>1684.2</v>
      </c>
      <c r="I1360" s="16">
        <v>1</v>
      </c>
      <c r="J1360" s="17" t="s">
        <v>12</v>
      </c>
      <c r="K1360" s="13" t="s">
        <v>16</v>
      </c>
      <c r="L1360" s="15">
        <v>1684.2</v>
      </c>
    </row>
    <row r="1361" spans="1:12" ht="21" customHeight="1" outlineLevel="2" x14ac:dyDescent="0.25">
      <c r="A1361" s="16">
        <f t="shared" si="172"/>
        <v>1360</v>
      </c>
      <c r="B1361" s="12" t="str">
        <f t="shared" si="187"/>
        <v>ЩС-0.3 (БЛОК 8, 9)</v>
      </c>
      <c r="C1361" s="13" t="s">
        <v>22</v>
      </c>
      <c r="D1361" s="29" t="s">
        <v>266</v>
      </c>
      <c r="E1361" s="12" t="s">
        <v>267</v>
      </c>
      <c r="F1361" s="37">
        <v>5552</v>
      </c>
      <c r="G1361" s="38">
        <f t="shared" si="188"/>
        <v>3331.2</v>
      </c>
      <c r="H1361" s="38">
        <f t="shared" si="189"/>
        <v>6662.4</v>
      </c>
      <c r="I1361" s="16">
        <v>2</v>
      </c>
      <c r="J1361" s="17" t="s">
        <v>12</v>
      </c>
      <c r="K1361" s="13" t="s">
        <v>16</v>
      </c>
      <c r="L1361" s="15">
        <v>6662.4</v>
      </c>
    </row>
    <row r="1362" spans="1:12" ht="21" customHeight="1" outlineLevel="2" x14ac:dyDescent="0.25">
      <c r="A1362" s="16">
        <f t="shared" si="172"/>
        <v>1361</v>
      </c>
      <c r="B1362" s="12" t="str">
        <f t="shared" si="187"/>
        <v>ЩС-0.3 (БЛОК 8, 9)</v>
      </c>
      <c r="C1362" s="13" t="s">
        <v>22</v>
      </c>
      <c r="D1362" s="29" t="s">
        <v>96</v>
      </c>
      <c r="E1362" s="12" t="s">
        <v>97</v>
      </c>
      <c r="F1362" s="37">
        <v>5069</v>
      </c>
      <c r="G1362" s="38">
        <f t="shared" si="188"/>
        <v>3041.4</v>
      </c>
      <c r="H1362" s="38">
        <f t="shared" si="189"/>
        <v>6082.8</v>
      </c>
      <c r="I1362" s="16">
        <v>2</v>
      </c>
      <c r="J1362" s="17" t="s">
        <v>12</v>
      </c>
      <c r="K1362" s="13" t="s">
        <v>16</v>
      </c>
      <c r="L1362" s="15">
        <v>6082.8</v>
      </c>
    </row>
    <row r="1363" spans="1:12" ht="21" customHeight="1" outlineLevel="2" x14ac:dyDescent="0.25">
      <c r="A1363" s="16">
        <f t="shared" si="172"/>
        <v>1362</v>
      </c>
      <c r="B1363" s="12" t="str">
        <f t="shared" si="187"/>
        <v>ЩС-0.3 (БЛОК 8, 9)</v>
      </c>
      <c r="C1363" s="13" t="s">
        <v>22</v>
      </c>
      <c r="D1363" s="29" t="s">
        <v>268</v>
      </c>
      <c r="E1363" s="12" t="s">
        <v>269</v>
      </c>
      <c r="F1363" s="37">
        <v>5632</v>
      </c>
      <c r="G1363" s="38">
        <f t="shared" si="188"/>
        <v>3379.2</v>
      </c>
      <c r="H1363" s="38">
        <f t="shared" si="189"/>
        <v>6758.4</v>
      </c>
      <c r="I1363" s="16">
        <v>2</v>
      </c>
      <c r="J1363" s="17" t="s">
        <v>12</v>
      </c>
      <c r="K1363" s="13" t="s">
        <v>16</v>
      </c>
      <c r="L1363" s="15">
        <v>6758.4</v>
      </c>
    </row>
    <row r="1364" spans="1:12" ht="21" customHeight="1" outlineLevel="2" x14ac:dyDescent="0.25">
      <c r="A1364" s="16">
        <f t="shared" si="172"/>
        <v>1363</v>
      </c>
      <c r="B1364" s="12" t="str">
        <f t="shared" si="187"/>
        <v>ЩС-0.3 (БЛОК 8, 9)</v>
      </c>
      <c r="C1364" s="13" t="s">
        <v>22</v>
      </c>
      <c r="D1364" s="29" t="s">
        <v>117</v>
      </c>
      <c r="E1364" s="12" t="s">
        <v>118</v>
      </c>
      <c r="F1364" s="37">
        <v>5104</v>
      </c>
      <c r="G1364" s="38">
        <f t="shared" si="188"/>
        <v>3062.4</v>
      </c>
      <c r="H1364" s="38">
        <f t="shared" si="189"/>
        <v>12249.6</v>
      </c>
      <c r="I1364" s="16">
        <v>4</v>
      </c>
      <c r="J1364" s="17" t="s">
        <v>12</v>
      </c>
      <c r="K1364" s="13" t="s">
        <v>16</v>
      </c>
      <c r="L1364" s="15">
        <v>12249.6</v>
      </c>
    </row>
    <row r="1365" spans="1:12" ht="21" customHeight="1" outlineLevel="2" x14ac:dyDescent="0.25">
      <c r="A1365" s="16">
        <f t="shared" si="172"/>
        <v>1364</v>
      </c>
      <c r="B1365" s="12" t="str">
        <f t="shared" si="187"/>
        <v>ЩС-0.3 (БЛОК 8, 9)</v>
      </c>
      <c r="C1365" s="13" t="s">
        <v>22</v>
      </c>
      <c r="D1365" s="29" t="s">
        <v>250</v>
      </c>
      <c r="E1365" s="12" t="s">
        <v>251</v>
      </c>
      <c r="F1365" s="37">
        <v>8352</v>
      </c>
      <c r="G1365" s="38">
        <f t="shared" si="188"/>
        <v>5011.2</v>
      </c>
      <c r="H1365" s="38">
        <f t="shared" si="189"/>
        <v>10022.4</v>
      </c>
      <c r="I1365" s="16">
        <v>2</v>
      </c>
      <c r="J1365" s="17" t="s">
        <v>12</v>
      </c>
      <c r="K1365" s="13" t="s">
        <v>16</v>
      </c>
      <c r="L1365" s="15">
        <v>10022.4</v>
      </c>
    </row>
    <row r="1366" spans="1:12" ht="21" customHeight="1" outlineLevel="2" x14ac:dyDescent="0.25">
      <c r="A1366" s="16">
        <f t="shared" si="172"/>
        <v>1365</v>
      </c>
      <c r="B1366" s="12" t="str">
        <f t="shared" si="187"/>
        <v>ЩС-0.3 (БЛОК 8, 9)</v>
      </c>
      <c r="C1366" s="13" t="s">
        <v>22</v>
      </c>
      <c r="D1366" s="29" t="s">
        <v>270</v>
      </c>
      <c r="E1366" s="12" t="s">
        <v>271</v>
      </c>
      <c r="F1366" s="37">
        <v>5719</v>
      </c>
      <c r="G1366" s="38">
        <f t="shared" si="188"/>
        <v>3431.4</v>
      </c>
      <c r="H1366" s="38">
        <f t="shared" si="189"/>
        <v>6862.8</v>
      </c>
      <c r="I1366" s="16">
        <v>2</v>
      </c>
      <c r="J1366" s="17" t="s">
        <v>12</v>
      </c>
      <c r="K1366" s="13" t="s">
        <v>16</v>
      </c>
      <c r="L1366" s="15">
        <v>6862.8</v>
      </c>
    </row>
    <row r="1367" spans="1:12" ht="24" customHeight="1" outlineLevel="2" x14ac:dyDescent="0.25">
      <c r="A1367" s="12">
        <f t="shared" si="172"/>
        <v>1366</v>
      </c>
      <c r="B1367" s="12" t="str">
        <f t="shared" si="187"/>
        <v>ЩС-0.3 (БЛОК 8, 9)</v>
      </c>
      <c r="C1367" s="12" t="s">
        <v>9</v>
      </c>
      <c r="D1367" s="30" t="s">
        <v>9</v>
      </c>
      <c r="E1367" s="12" t="s">
        <v>9</v>
      </c>
      <c r="F1367" s="18">
        <f ca="1">OFFSET(F1367,1,2)</f>
        <v>18000</v>
      </c>
      <c r="G1367" s="38">
        <f ca="1">F1367</f>
        <v>18000</v>
      </c>
      <c r="H1367" s="38">
        <f t="shared" ca="1" si="189"/>
        <v>18000</v>
      </c>
      <c r="I1367" s="12">
        <v>1</v>
      </c>
      <c r="J1367" s="12" t="s">
        <v>12</v>
      </c>
      <c r="K1367" s="12" t="s">
        <v>9</v>
      </c>
      <c r="L1367" s="15">
        <v>18000</v>
      </c>
    </row>
    <row r="1368" spans="1:12" ht="21" customHeight="1" outlineLevel="2" x14ac:dyDescent="0.25">
      <c r="A1368" s="12">
        <f t="shared" si="172"/>
        <v>1367</v>
      </c>
      <c r="B1368" s="12" t="str">
        <f t="shared" si="187"/>
        <v>ЩС-0.3 (БЛОК 8, 9)</v>
      </c>
      <c r="C1368" s="12" t="s">
        <v>10</v>
      </c>
      <c r="D1368" s="30" t="s">
        <v>10</v>
      </c>
      <c r="E1368" s="12" t="s">
        <v>10</v>
      </c>
      <c r="F1368" s="18">
        <v>3</v>
      </c>
      <c r="G1368" s="38">
        <v>100</v>
      </c>
      <c r="H1368" s="38">
        <f>60*F1368*G1368</f>
        <v>18000</v>
      </c>
      <c r="I1368" s="12">
        <f>60*F1368</f>
        <v>180</v>
      </c>
      <c r="J1368" s="12" t="s">
        <v>12</v>
      </c>
      <c r="K1368" s="12" t="s">
        <v>10</v>
      </c>
      <c r="L1368" s="15">
        <v>18000</v>
      </c>
    </row>
    <row r="1369" spans="1:12" ht="21" customHeight="1" outlineLevel="1" x14ac:dyDescent="0.25">
      <c r="A1369" s="12"/>
      <c r="B1369" s="12" t="s">
        <v>751</v>
      </c>
      <c r="C1369" s="12"/>
      <c r="D1369" s="30"/>
      <c r="E1369" s="12"/>
      <c r="F1369" s="18"/>
      <c r="G1369" s="38"/>
      <c r="H1369" s="38">
        <f ca="1">SUBTOTAL(9,H1358:H1368)</f>
        <v>99522.6</v>
      </c>
      <c r="I1369" s="12"/>
      <c r="J1369" s="12"/>
      <c r="K1369" s="12"/>
      <c r="L1369" s="15">
        <v>99522.6</v>
      </c>
    </row>
    <row r="1370" spans="1:12" ht="39.75" customHeight="1" outlineLevel="2" x14ac:dyDescent="0.25">
      <c r="A1370" s="10">
        <f>ROW(A1368)</f>
        <v>1368</v>
      </c>
      <c r="B1370" s="6" t="str">
        <f>E1370</f>
        <v>ЩС-1.1 (БЛОК 8, 9)</v>
      </c>
      <c r="C1370" s="6"/>
      <c r="D1370" s="28"/>
      <c r="E1370" s="6" t="s">
        <v>353</v>
      </c>
      <c r="F1370" s="36"/>
      <c r="G1370" s="36" t="s">
        <v>73</v>
      </c>
      <c r="H1370" s="7"/>
      <c r="I1370" s="10">
        <v>1</v>
      </c>
      <c r="J1370" s="11" t="s">
        <v>6</v>
      </c>
      <c r="K1370" s="6" t="s">
        <v>8</v>
      </c>
      <c r="L1370" s="9"/>
    </row>
    <row r="1371" spans="1:12" ht="21" customHeight="1" outlineLevel="2" x14ac:dyDescent="0.25">
      <c r="A1371" s="16">
        <f t="shared" ref="A1371:A1439" si="190">ROW(A1370)</f>
        <v>1370</v>
      </c>
      <c r="B1371" s="12" t="str">
        <f t="shared" ref="B1371:B1381" si="191">B1370</f>
        <v>ЩС-1.1 (БЛОК 8, 9)</v>
      </c>
      <c r="C1371" s="13" t="s">
        <v>7</v>
      </c>
      <c r="D1371" s="29" t="s">
        <v>472</v>
      </c>
      <c r="E1371" s="12" t="s">
        <v>473</v>
      </c>
      <c r="F1371" s="37">
        <v>22000</v>
      </c>
      <c r="G1371" s="38">
        <f>F1371*0.6</f>
        <v>13200</v>
      </c>
      <c r="H1371" s="38">
        <f>I1371*G1371</f>
        <v>13200</v>
      </c>
      <c r="I1371" s="16">
        <v>1</v>
      </c>
      <c r="J1371" s="17" t="s">
        <v>12</v>
      </c>
      <c r="K1371" s="13" t="s">
        <v>15</v>
      </c>
      <c r="L1371" s="15">
        <v>13200</v>
      </c>
    </row>
    <row r="1372" spans="1:12" ht="21" customHeight="1" outlineLevel="2" x14ac:dyDescent="0.25">
      <c r="A1372" s="16">
        <f t="shared" si="190"/>
        <v>1371</v>
      </c>
      <c r="B1372" s="12" t="str">
        <f t="shared" si="191"/>
        <v>ЩС-1.1 (БЛОК 8, 9)</v>
      </c>
      <c r="C1372" s="13" t="s">
        <v>11</v>
      </c>
      <c r="D1372" s="29" t="s">
        <v>65</v>
      </c>
      <c r="E1372" s="12" t="s">
        <v>66</v>
      </c>
      <c r="F1372" s="37">
        <v>2807</v>
      </c>
      <c r="G1372" s="38">
        <f t="shared" ref="G1372:G1379" si="192">F1372*0.6</f>
        <v>1684.2</v>
      </c>
      <c r="H1372" s="38">
        <f t="shared" ref="H1372:H1373" si="193">G1372*I1372</f>
        <v>1684.2</v>
      </c>
      <c r="I1372" s="16">
        <v>1</v>
      </c>
      <c r="J1372" s="17" t="s">
        <v>12</v>
      </c>
      <c r="K1372" s="13" t="s">
        <v>16</v>
      </c>
      <c r="L1372" s="15">
        <v>1684.2</v>
      </c>
    </row>
    <row r="1373" spans="1:12" ht="21" customHeight="1" outlineLevel="2" x14ac:dyDescent="0.25">
      <c r="A1373" s="16">
        <f t="shared" si="190"/>
        <v>1372</v>
      </c>
      <c r="B1373" s="12" t="str">
        <f t="shared" si="191"/>
        <v>ЩС-1.1 (БЛОК 8, 9)</v>
      </c>
      <c r="C1373" s="13" t="s">
        <v>11</v>
      </c>
      <c r="D1373" s="29" t="s">
        <v>273</v>
      </c>
      <c r="E1373" s="12" t="s">
        <v>274</v>
      </c>
      <c r="F1373" s="37">
        <v>2499</v>
      </c>
      <c r="G1373" s="38">
        <f t="shared" si="192"/>
        <v>1499.3999999999999</v>
      </c>
      <c r="H1373" s="38">
        <f t="shared" si="193"/>
        <v>2998.7999999999997</v>
      </c>
      <c r="I1373" s="16">
        <v>2</v>
      </c>
      <c r="J1373" s="17" t="s">
        <v>12</v>
      </c>
      <c r="K1373" s="13" t="s">
        <v>16</v>
      </c>
      <c r="L1373" s="15">
        <v>2998.7999999999997</v>
      </c>
    </row>
    <row r="1374" spans="1:12" ht="21" customHeight="1" outlineLevel="2" x14ac:dyDescent="0.25">
      <c r="A1374" s="16">
        <f t="shared" si="190"/>
        <v>1373</v>
      </c>
      <c r="B1374" s="12" t="str">
        <f t="shared" si="191"/>
        <v>ЩС-1.1 (БЛОК 8, 9)</v>
      </c>
      <c r="C1374" s="13" t="s">
        <v>22</v>
      </c>
      <c r="D1374" s="29" t="s">
        <v>266</v>
      </c>
      <c r="E1374" s="12" t="s">
        <v>267</v>
      </c>
      <c r="F1374" s="37">
        <v>5552</v>
      </c>
      <c r="G1374" s="38">
        <f t="shared" si="192"/>
        <v>3331.2</v>
      </c>
      <c r="H1374" s="38">
        <f t="shared" ref="H1374:H1380" si="194">G1374*I1374</f>
        <v>6662.4</v>
      </c>
      <c r="I1374" s="16">
        <v>2</v>
      </c>
      <c r="J1374" s="17" t="s">
        <v>12</v>
      </c>
      <c r="K1374" s="13" t="s">
        <v>16</v>
      </c>
      <c r="L1374" s="15">
        <v>6662.4</v>
      </c>
    </row>
    <row r="1375" spans="1:12" ht="21" customHeight="1" outlineLevel="2" x14ac:dyDescent="0.25">
      <c r="A1375" s="16">
        <f t="shared" si="190"/>
        <v>1374</v>
      </c>
      <c r="B1375" s="12" t="str">
        <f t="shared" si="191"/>
        <v>ЩС-1.1 (БЛОК 8, 9)</v>
      </c>
      <c r="C1375" s="13" t="s">
        <v>22</v>
      </c>
      <c r="D1375" s="29" t="s">
        <v>268</v>
      </c>
      <c r="E1375" s="12" t="s">
        <v>269</v>
      </c>
      <c r="F1375" s="37">
        <v>5632</v>
      </c>
      <c r="G1375" s="38">
        <f t="shared" si="192"/>
        <v>3379.2</v>
      </c>
      <c r="H1375" s="38">
        <f t="shared" si="194"/>
        <v>6758.4</v>
      </c>
      <c r="I1375" s="16">
        <v>2</v>
      </c>
      <c r="J1375" s="17" t="s">
        <v>12</v>
      </c>
      <c r="K1375" s="13" t="s">
        <v>16</v>
      </c>
      <c r="L1375" s="15">
        <v>6758.4</v>
      </c>
    </row>
    <row r="1376" spans="1:12" ht="21" customHeight="1" outlineLevel="2" x14ac:dyDescent="0.25">
      <c r="A1376" s="16">
        <f t="shared" si="190"/>
        <v>1375</v>
      </c>
      <c r="B1376" s="12" t="str">
        <f t="shared" si="191"/>
        <v>ЩС-1.1 (БЛОК 8, 9)</v>
      </c>
      <c r="C1376" s="13" t="s">
        <v>22</v>
      </c>
      <c r="D1376" s="29" t="s">
        <v>117</v>
      </c>
      <c r="E1376" s="12" t="s">
        <v>118</v>
      </c>
      <c r="F1376" s="37">
        <v>5104</v>
      </c>
      <c r="G1376" s="38">
        <f t="shared" si="192"/>
        <v>3062.4</v>
      </c>
      <c r="H1376" s="38">
        <f t="shared" si="194"/>
        <v>15312</v>
      </c>
      <c r="I1376" s="16">
        <v>5</v>
      </c>
      <c r="J1376" s="17" t="s">
        <v>12</v>
      </c>
      <c r="K1376" s="13" t="s">
        <v>16</v>
      </c>
      <c r="L1376" s="15">
        <v>15312</v>
      </c>
    </row>
    <row r="1377" spans="1:13" ht="21" customHeight="1" outlineLevel="2" x14ac:dyDescent="0.25">
      <c r="A1377" s="16">
        <f t="shared" si="190"/>
        <v>1376</v>
      </c>
      <c r="B1377" s="12" t="str">
        <f t="shared" si="191"/>
        <v>ЩС-1.1 (БЛОК 8, 9)</v>
      </c>
      <c r="C1377" s="13" t="s">
        <v>22</v>
      </c>
      <c r="D1377" s="29" t="s">
        <v>250</v>
      </c>
      <c r="E1377" s="12" t="s">
        <v>251</v>
      </c>
      <c r="F1377" s="37">
        <v>8352</v>
      </c>
      <c r="G1377" s="38">
        <f t="shared" si="192"/>
        <v>5011.2</v>
      </c>
      <c r="H1377" s="38">
        <f t="shared" si="194"/>
        <v>5011.2</v>
      </c>
      <c r="I1377" s="16">
        <v>1</v>
      </c>
      <c r="J1377" s="17" t="s">
        <v>12</v>
      </c>
      <c r="K1377" s="13" t="s">
        <v>16</v>
      </c>
      <c r="L1377" s="15">
        <v>5011.2</v>
      </c>
    </row>
    <row r="1378" spans="1:13" ht="21" customHeight="1" outlineLevel="2" x14ac:dyDescent="0.25">
      <c r="A1378" s="16">
        <f t="shared" si="190"/>
        <v>1377</v>
      </c>
      <c r="B1378" s="12" t="str">
        <f t="shared" si="191"/>
        <v>ЩС-1.1 (БЛОК 8, 9)</v>
      </c>
      <c r="C1378" s="13" t="s">
        <v>22</v>
      </c>
      <c r="D1378" s="29" t="s">
        <v>270</v>
      </c>
      <c r="E1378" s="12" t="s">
        <v>271</v>
      </c>
      <c r="F1378" s="37">
        <v>5719</v>
      </c>
      <c r="G1378" s="38">
        <f t="shared" si="192"/>
        <v>3431.4</v>
      </c>
      <c r="H1378" s="38">
        <f t="shared" si="194"/>
        <v>10294.200000000001</v>
      </c>
      <c r="I1378" s="16">
        <v>3</v>
      </c>
      <c r="J1378" s="17" t="s">
        <v>12</v>
      </c>
      <c r="K1378" s="13" t="s">
        <v>16</v>
      </c>
      <c r="L1378" s="15">
        <v>10294.200000000001</v>
      </c>
    </row>
    <row r="1379" spans="1:13" ht="21" customHeight="1" outlineLevel="2" x14ac:dyDescent="0.25">
      <c r="A1379" s="16">
        <f t="shared" si="190"/>
        <v>1378</v>
      </c>
      <c r="B1379" s="12" t="str">
        <f t="shared" si="191"/>
        <v>ЩС-1.1 (БЛОК 8, 9)</v>
      </c>
      <c r="C1379" s="13" t="s">
        <v>48</v>
      </c>
      <c r="D1379" s="29" t="s">
        <v>282</v>
      </c>
      <c r="E1379" s="12" t="s">
        <v>283</v>
      </c>
      <c r="F1379" s="37">
        <v>12145</v>
      </c>
      <c r="G1379" s="38">
        <f t="shared" si="192"/>
        <v>7287</v>
      </c>
      <c r="H1379" s="38">
        <f t="shared" si="194"/>
        <v>14574</v>
      </c>
      <c r="I1379" s="16">
        <v>2</v>
      </c>
      <c r="J1379" s="17" t="s">
        <v>12</v>
      </c>
      <c r="K1379" s="13" t="s">
        <v>16</v>
      </c>
      <c r="L1379" s="15">
        <v>14574</v>
      </c>
      <c r="M1379" t="s">
        <v>456</v>
      </c>
    </row>
    <row r="1380" spans="1:13" ht="24" customHeight="1" outlineLevel="2" x14ac:dyDescent="0.25">
      <c r="A1380" s="12">
        <f t="shared" si="190"/>
        <v>1379</v>
      </c>
      <c r="B1380" s="12" t="str">
        <f t="shared" si="191"/>
        <v>ЩС-1.1 (БЛОК 8, 9)</v>
      </c>
      <c r="C1380" s="12" t="s">
        <v>9</v>
      </c>
      <c r="D1380" s="30" t="s">
        <v>9</v>
      </c>
      <c r="E1380" s="12" t="s">
        <v>9</v>
      </c>
      <c r="F1380" s="18">
        <f ca="1">OFFSET(F1380,1,2)</f>
        <v>18000</v>
      </c>
      <c r="G1380" s="38">
        <f ca="1">F1380</f>
        <v>18000</v>
      </c>
      <c r="H1380" s="38">
        <f t="shared" ca="1" si="194"/>
        <v>18000</v>
      </c>
      <c r="I1380" s="12">
        <v>1</v>
      </c>
      <c r="J1380" s="12" t="s">
        <v>12</v>
      </c>
      <c r="K1380" s="12" t="s">
        <v>9</v>
      </c>
      <c r="L1380" s="15">
        <v>18000</v>
      </c>
    </row>
    <row r="1381" spans="1:13" ht="21" customHeight="1" outlineLevel="2" x14ac:dyDescent="0.25">
      <c r="A1381" s="12">
        <f t="shared" si="190"/>
        <v>1380</v>
      </c>
      <c r="B1381" s="12" t="str">
        <f t="shared" si="191"/>
        <v>ЩС-1.1 (БЛОК 8, 9)</v>
      </c>
      <c r="C1381" s="12" t="s">
        <v>10</v>
      </c>
      <c r="D1381" s="30" t="s">
        <v>10</v>
      </c>
      <c r="E1381" s="12" t="s">
        <v>10</v>
      </c>
      <c r="F1381" s="18">
        <v>3</v>
      </c>
      <c r="G1381" s="38">
        <v>100</v>
      </c>
      <c r="H1381" s="38">
        <f>60*F1381*G1381</f>
        <v>18000</v>
      </c>
      <c r="I1381" s="12">
        <f>60*F1381</f>
        <v>180</v>
      </c>
      <c r="J1381" s="12" t="s">
        <v>12</v>
      </c>
      <c r="K1381" s="12" t="s">
        <v>10</v>
      </c>
      <c r="L1381" s="15">
        <v>18000</v>
      </c>
    </row>
    <row r="1382" spans="1:13" ht="21" customHeight="1" outlineLevel="1" x14ac:dyDescent="0.25">
      <c r="A1382" s="12"/>
      <c r="B1382" s="12" t="s">
        <v>752</v>
      </c>
      <c r="C1382" s="12"/>
      <c r="D1382" s="30"/>
      <c r="E1382" s="12"/>
      <c r="F1382" s="18"/>
      <c r="G1382" s="38"/>
      <c r="H1382" s="38">
        <f ca="1">SUBTOTAL(9,H1370:H1381)</f>
        <v>112495.2</v>
      </c>
      <c r="I1382" s="12"/>
      <c r="J1382" s="12"/>
      <c r="K1382" s="12"/>
      <c r="L1382" s="15">
        <v>112495.2</v>
      </c>
    </row>
    <row r="1383" spans="1:13" ht="39.75" customHeight="1" outlineLevel="2" x14ac:dyDescent="0.25">
      <c r="A1383" s="10">
        <f>ROW(A1381)</f>
        <v>1381</v>
      </c>
      <c r="B1383" s="6" t="str">
        <f>E1383</f>
        <v>ЩС-1.2 (БЛОК 8, 9)</v>
      </c>
      <c r="C1383" s="6"/>
      <c r="D1383" s="28"/>
      <c r="E1383" s="6" t="s">
        <v>354</v>
      </c>
      <c r="F1383" s="36"/>
      <c r="G1383" s="36" t="s">
        <v>73</v>
      </c>
      <c r="H1383" s="7"/>
      <c r="I1383" s="10">
        <v>1</v>
      </c>
      <c r="J1383" s="11" t="s">
        <v>6</v>
      </c>
      <c r="K1383" s="6" t="s">
        <v>8</v>
      </c>
      <c r="L1383" s="9"/>
    </row>
    <row r="1384" spans="1:13" ht="21" customHeight="1" outlineLevel="2" x14ac:dyDescent="0.25">
      <c r="A1384" s="16">
        <f t="shared" si="190"/>
        <v>1383</v>
      </c>
      <c r="B1384" s="12" t="str">
        <f t="shared" ref="B1384:B1392" si="195">B1383</f>
        <v>ЩС-1.2 (БЛОК 8, 9)</v>
      </c>
      <c r="C1384" s="13" t="s">
        <v>7</v>
      </c>
      <c r="D1384" s="29" t="s">
        <v>470</v>
      </c>
      <c r="E1384" s="12" t="s">
        <v>471</v>
      </c>
      <c r="F1384" s="37">
        <v>19000</v>
      </c>
      <c r="G1384" s="38">
        <f t="shared" ref="G1384:G1390" si="196">F1384*0.6</f>
        <v>11400</v>
      </c>
      <c r="H1384" s="38">
        <f>I1384*G1384</f>
        <v>11400</v>
      </c>
      <c r="I1384" s="16">
        <v>1</v>
      </c>
      <c r="J1384" s="17" t="s">
        <v>12</v>
      </c>
      <c r="K1384" s="13" t="s">
        <v>15</v>
      </c>
      <c r="L1384" s="15">
        <v>11400</v>
      </c>
    </row>
    <row r="1385" spans="1:13" ht="21" customHeight="1" outlineLevel="2" x14ac:dyDescent="0.25">
      <c r="A1385" s="16">
        <f t="shared" si="190"/>
        <v>1384</v>
      </c>
      <c r="B1385" s="12" t="str">
        <f t="shared" si="195"/>
        <v>ЩС-1.2 (БЛОК 8, 9)</v>
      </c>
      <c r="C1385" s="13" t="s">
        <v>11</v>
      </c>
      <c r="D1385" s="29" t="s">
        <v>28</v>
      </c>
      <c r="E1385" s="12" t="s">
        <v>27</v>
      </c>
      <c r="F1385" s="37">
        <v>2606</v>
      </c>
      <c r="G1385" s="38">
        <f t="shared" si="196"/>
        <v>1563.6</v>
      </c>
      <c r="H1385" s="38">
        <f t="shared" ref="H1385:H1386" si="197">G1385*I1385</f>
        <v>1563.6</v>
      </c>
      <c r="I1385" s="16">
        <v>1</v>
      </c>
      <c r="J1385" s="17" t="s">
        <v>12</v>
      </c>
      <c r="K1385" s="13" t="s">
        <v>16</v>
      </c>
      <c r="L1385" s="15">
        <v>1563.6</v>
      </c>
    </row>
    <row r="1386" spans="1:13" ht="21" customHeight="1" outlineLevel="2" x14ac:dyDescent="0.25">
      <c r="A1386" s="16">
        <f t="shared" si="190"/>
        <v>1385</v>
      </c>
      <c r="B1386" s="12" t="str">
        <f t="shared" si="195"/>
        <v>ЩС-1.2 (БЛОК 8, 9)</v>
      </c>
      <c r="C1386" s="13" t="s">
        <v>22</v>
      </c>
      <c r="D1386" s="29" t="s">
        <v>96</v>
      </c>
      <c r="E1386" s="12" t="s">
        <v>97</v>
      </c>
      <c r="F1386" s="37">
        <v>5069</v>
      </c>
      <c r="G1386" s="38">
        <f t="shared" si="196"/>
        <v>3041.4</v>
      </c>
      <c r="H1386" s="38">
        <f t="shared" si="197"/>
        <v>3041.4</v>
      </c>
      <c r="I1386" s="16">
        <v>1</v>
      </c>
      <c r="J1386" s="17" t="s">
        <v>12</v>
      </c>
      <c r="K1386" s="13" t="s">
        <v>16</v>
      </c>
      <c r="L1386" s="15">
        <v>3041.4</v>
      </c>
    </row>
    <row r="1387" spans="1:13" ht="21" customHeight="1" outlineLevel="2" x14ac:dyDescent="0.25">
      <c r="A1387" s="16">
        <f t="shared" si="190"/>
        <v>1386</v>
      </c>
      <c r="B1387" s="12" t="str">
        <f t="shared" si="195"/>
        <v>ЩС-1.2 (БЛОК 8, 9)</v>
      </c>
      <c r="C1387" s="13" t="s">
        <v>22</v>
      </c>
      <c r="D1387" s="29" t="s">
        <v>268</v>
      </c>
      <c r="E1387" s="12" t="s">
        <v>269</v>
      </c>
      <c r="F1387" s="37">
        <v>5632</v>
      </c>
      <c r="G1387" s="38">
        <f t="shared" si="196"/>
        <v>3379.2</v>
      </c>
      <c r="H1387" s="38">
        <f t="shared" ref="H1387:H1391" si="198">G1387*I1387</f>
        <v>6758.4</v>
      </c>
      <c r="I1387" s="16">
        <v>2</v>
      </c>
      <c r="J1387" s="17" t="s">
        <v>12</v>
      </c>
      <c r="K1387" s="13" t="s">
        <v>16</v>
      </c>
      <c r="L1387" s="15">
        <v>6758.4</v>
      </c>
    </row>
    <row r="1388" spans="1:13" ht="21" customHeight="1" outlineLevel="2" x14ac:dyDescent="0.25">
      <c r="A1388" s="16">
        <f t="shared" si="190"/>
        <v>1387</v>
      </c>
      <c r="B1388" s="12" t="str">
        <f t="shared" si="195"/>
        <v>ЩС-1.2 (БЛОК 8, 9)</v>
      </c>
      <c r="C1388" s="13" t="s">
        <v>22</v>
      </c>
      <c r="D1388" s="29" t="s">
        <v>117</v>
      </c>
      <c r="E1388" s="12" t="s">
        <v>118</v>
      </c>
      <c r="F1388" s="37">
        <v>5104</v>
      </c>
      <c r="G1388" s="38">
        <f t="shared" si="196"/>
        <v>3062.4</v>
      </c>
      <c r="H1388" s="38">
        <f t="shared" si="198"/>
        <v>3062.4</v>
      </c>
      <c r="I1388" s="16">
        <v>1</v>
      </c>
      <c r="J1388" s="17" t="s">
        <v>12</v>
      </c>
      <c r="K1388" s="13" t="s">
        <v>16</v>
      </c>
      <c r="L1388" s="15">
        <v>3062.4</v>
      </c>
    </row>
    <row r="1389" spans="1:13" ht="21" customHeight="1" outlineLevel="2" x14ac:dyDescent="0.25">
      <c r="A1389" s="16">
        <f t="shared" si="190"/>
        <v>1388</v>
      </c>
      <c r="B1389" s="12" t="str">
        <f t="shared" si="195"/>
        <v>ЩС-1.2 (БЛОК 8, 9)</v>
      </c>
      <c r="C1389" s="13" t="s">
        <v>22</v>
      </c>
      <c r="D1389" s="29" t="s">
        <v>250</v>
      </c>
      <c r="E1389" s="12" t="s">
        <v>251</v>
      </c>
      <c r="F1389" s="37">
        <v>8352</v>
      </c>
      <c r="G1389" s="38">
        <f t="shared" si="196"/>
        <v>5011.2</v>
      </c>
      <c r="H1389" s="38">
        <f t="shared" si="198"/>
        <v>10022.4</v>
      </c>
      <c r="I1389" s="16">
        <v>2</v>
      </c>
      <c r="J1389" s="17" t="s">
        <v>12</v>
      </c>
      <c r="K1389" s="13" t="s">
        <v>16</v>
      </c>
      <c r="L1389" s="15">
        <v>10022.4</v>
      </c>
    </row>
    <row r="1390" spans="1:13" ht="21" customHeight="1" outlineLevel="2" x14ac:dyDescent="0.25">
      <c r="A1390" s="16">
        <f t="shared" si="190"/>
        <v>1389</v>
      </c>
      <c r="B1390" s="12" t="str">
        <f t="shared" si="195"/>
        <v>ЩС-1.2 (БЛОК 8, 9)</v>
      </c>
      <c r="C1390" s="13" t="s">
        <v>22</v>
      </c>
      <c r="D1390" s="29" t="s">
        <v>270</v>
      </c>
      <c r="E1390" s="12" t="s">
        <v>271</v>
      </c>
      <c r="F1390" s="37">
        <v>5719</v>
      </c>
      <c r="G1390" s="38">
        <f t="shared" si="196"/>
        <v>3431.4</v>
      </c>
      <c r="H1390" s="38">
        <f t="shared" si="198"/>
        <v>17157</v>
      </c>
      <c r="I1390" s="16">
        <v>5</v>
      </c>
      <c r="J1390" s="17" t="s">
        <v>12</v>
      </c>
      <c r="K1390" s="13" t="s">
        <v>16</v>
      </c>
      <c r="L1390" s="15">
        <v>17157</v>
      </c>
    </row>
    <row r="1391" spans="1:13" ht="24" customHeight="1" outlineLevel="2" x14ac:dyDescent="0.25">
      <c r="A1391" s="12">
        <f t="shared" si="190"/>
        <v>1390</v>
      </c>
      <c r="B1391" s="12" t="str">
        <f t="shared" si="195"/>
        <v>ЩС-1.2 (БЛОК 8, 9)</v>
      </c>
      <c r="C1391" s="12" t="s">
        <v>9</v>
      </c>
      <c r="D1391" s="30" t="s">
        <v>9</v>
      </c>
      <c r="E1391" s="12" t="s">
        <v>9</v>
      </c>
      <c r="F1391" s="18">
        <f ca="1">OFFSET(F1391,1,2)</f>
        <v>18000</v>
      </c>
      <c r="G1391" s="38">
        <f ca="1">F1391</f>
        <v>18000</v>
      </c>
      <c r="H1391" s="38">
        <f t="shared" ca="1" si="198"/>
        <v>18000</v>
      </c>
      <c r="I1391" s="12">
        <v>1</v>
      </c>
      <c r="J1391" s="12" t="s">
        <v>12</v>
      </c>
      <c r="K1391" s="12" t="s">
        <v>9</v>
      </c>
      <c r="L1391" s="15">
        <v>18000</v>
      </c>
    </row>
    <row r="1392" spans="1:13" ht="21" customHeight="1" outlineLevel="2" x14ac:dyDescent="0.25">
      <c r="A1392" s="12">
        <f t="shared" si="190"/>
        <v>1391</v>
      </c>
      <c r="B1392" s="12" t="str">
        <f t="shared" si="195"/>
        <v>ЩС-1.2 (БЛОК 8, 9)</v>
      </c>
      <c r="C1392" s="12" t="s">
        <v>10</v>
      </c>
      <c r="D1392" s="30" t="s">
        <v>10</v>
      </c>
      <c r="E1392" s="12" t="s">
        <v>10</v>
      </c>
      <c r="F1392" s="18">
        <v>3</v>
      </c>
      <c r="G1392" s="38">
        <v>100</v>
      </c>
      <c r="H1392" s="38">
        <f>60*F1392*G1392</f>
        <v>18000</v>
      </c>
      <c r="I1392" s="12">
        <f>60*F1392</f>
        <v>180</v>
      </c>
      <c r="J1392" s="12" t="s">
        <v>12</v>
      </c>
      <c r="K1392" s="12" t="s">
        <v>10</v>
      </c>
      <c r="L1392" s="15">
        <v>18000</v>
      </c>
    </row>
    <row r="1393" spans="1:12" ht="21" customHeight="1" outlineLevel="1" x14ac:dyDescent="0.25">
      <c r="A1393" s="12"/>
      <c r="B1393" s="12" t="s">
        <v>753</v>
      </c>
      <c r="C1393" s="12"/>
      <c r="D1393" s="30"/>
      <c r="E1393" s="12"/>
      <c r="F1393" s="18"/>
      <c r="G1393" s="38"/>
      <c r="H1393" s="38">
        <f ca="1">SUBTOTAL(9,H1383:H1392)</f>
        <v>89005.200000000012</v>
      </c>
      <c r="I1393" s="12"/>
      <c r="J1393" s="12"/>
      <c r="K1393" s="12"/>
      <c r="L1393" s="15">
        <v>89005.200000000012</v>
      </c>
    </row>
    <row r="1394" spans="1:12" ht="39.75" customHeight="1" outlineLevel="2" x14ac:dyDescent="0.25">
      <c r="A1394" s="10">
        <f>ROW(A1392)</f>
        <v>1392</v>
      </c>
      <c r="B1394" s="6" t="str">
        <f>E1394</f>
        <v>ЩС-1.3 (БЛОК 8, 9)</v>
      </c>
      <c r="C1394" s="6"/>
      <c r="D1394" s="28"/>
      <c r="E1394" s="6" t="s">
        <v>355</v>
      </c>
      <c r="F1394" s="36"/>
      <c r="G1394" s="36" t="s">
        <v>73</v>
      </c>
      <c r="H1394" s="7"/>
      <c r="I1394" s="10">
        <v>1</v>
      </c>
      <c r="J1394" s="11" t="s">
        <v>6</v>
      </c>
      <c r="K1394" s="6" t="s">
        <v>8</v>
      </c>
      <c r="L1394" s="9"/>
    </row>
    <row r="1395" spans="1:12" ht="21" customHeight="1" outlineLevel="2" x14ac:dyDescent="0.25">
      <c r="A1395" s="16">
        <f t="shared" si="190"/>
        <v>1394</v>
      </c>
      <c r="B1395" s="12" t="str">
        <f t="shared" ref="B1395:B1402" si="199">B1394</f>
        <v>ЩС-1.3 (БЛОК 8, 9)</v>
      </c>
      <c r="C1395" s="13" t="s">
        <v>7</v>
      </c>
      <c r="D1395" s="29" t="s">
        <v>472</v>
      </c>
      <c r="E1395" s="12" t="s">
        <v>473</v>
      </c>
      <c r="F1395" s="37">
        <v>22000</v>
      </c>
      <c r="G1395" s="38">
        <f>F1395*0.6</f>
        <v>13200</v>
      </c>
      <c r="H1395" s="38">
        <f>I1395*G1395</f>
        <v>13200</v>
      </c>
      <c r="I1395" s="16">
        <v>1</v>
      </c>
      <c r="J1395" s="17" t="s">
        <v>12</v>
      </c>
      <c r="K1395" s="13" t="s">
        <v>15</v>
      </c>
      <c r="L1395" s="15">
        <v>13200</v>
      </c>
    </row>
    <row r="1396" spans="1:12" ht="21" customHeight="1" outlineLevel="2" x14ac:dyDescent="0.25">
      <c r="A1396" s="16">
        <f t="shared" si="190"/>
        <v>1395</v>
      </c>
      <c r="B1396" s="12" t="str">
        <f t="shared" si="199"/>
        <v>ЩС-1.3 (БЛОК 8, 9)</v>
      </c>
      <c r="C1396" s="13" t="s">
        <v>11</v>
      </c>
      <c r="D1396" s="29" t="s">
        <v>20</v>
      </c>
      <c r="E1396" s="12" t="s">
        <v>21</v>
      </c>
      <c r="F1396" s="37">
        <v>2429</v>
      </c>
      <c r="G1396" s="38">
        <f t="shared" ref="G1396:G1400" si="200">F1396*0.6</f>
        <v>1457.3999999999999</v>
      </c>
      <c r="H1396" s="38">
        <f t="shared" ref="H1396:H1401" si="201">G1396*I1396</f>
        <v>1457.3999999999999</v>
      </c>
      <c r="I1396" s="16">
        <v>1</v>
      </c>
      <c r="J1396" s="17" t="s">
        <v>12</v>
      </c>
      <c r="K1396" s="13" t="s">
        <v>16</v>
      </c>
      <c r="L1396" s="15">
        <v>1457.3999999999999</v>
      </c>
    </row>
    <row r="1397" spans="1:12" ht="21" customHeight="1" outlineLevel="2" x14ac:dyDescent="0.25">
      <c r="A1397" s="16">
        <f t="shared" si="190"/>
        <v>1396</v>
      </c>
      <c r="B1397" s="12" t="str">
        <f t="shared" si="199"/>
        <v>ЩС-1.3 (БЛОК 8, 9)</v>
      </c>
      <c r="C1397" s="13" t="s">
        <v>22</v>
      </c>
      <c r="D1397" s="29" t="s">
        <v>268</v>
      </c>
      <c r="E1397" s="12" t="s">
        <v>269</v>
      </c>
      <c r="F1397" s="37">
        <v>5632</v>
      </c>
      <c r="G1397" s="38">
        <f t="shared" si="200"/>
        <v>3379.2</v>
      </c>
      <c r="H1397" s="38">
        <f t="shared" si="201"/>
        <v>6758.4</v>
      </c>
      <c r="I1397" s="16">
        <v>2</v>
      </c>
      <c r="J1397" s="17" t="s">
        <v>12</v>
      </c>
      <c r="K1397" s="13" t="s">
        <v>16</v>
      </c>
      <c r="L1397" s="15">
        <v>6758.4</v>
      </c>
    </row>
    <row r="1398" spans="1:12" ht="21" customHeight="1" outlineLevel="2" x14ac:dyDescent="0.25">
      <c r="A1398" s="16">
        <f t="shared" si="190"/>
        <v>1397</v>
      </c>
      <c r="B1398" s="12" t="str">
        <f t="shared" si="199"/>
        <v>ЩС-1.3 (БЛОК 8, 9)</v>
      </c>
      <c r="C1398" s="13" t="s">
        <v>22</v>
      </c>
      <c r="D1398" s="29" t="s">
        <v>117</v>
      </c>
      <c r="E1398" s="12" t="s">
        <v>118</v>
      </c>
      <c r="F1398" s="37">
        <v>5104</v>
      </c>
      <c r="G1398" s="38">
        <f t="shared" si="200"/>
        <v>3062.4</v>
      </c>
      <c r="H1398" s="38">
        <f t="shared" si="201"/>
        <v>15312</v>
      </c>
      <c r="I1398" s="16">
        <v>5</v>
      </c>
      <c r="J1398" s="17" t="s">
        <v>12</v>
      </c>
      <c r="K1398" s="13" t="s">
        <v>16</v>
      </c>
      <c r="L1398" s="15">
        <v>15312</v>
      </c>
    </row>
    <row r="1399" spans="1:12" ht="21" customHeight="1" outlineLevel="2" x14ac:dyDescent="0.25">
      <c r="A1399" s="16">
        <f t="shared" si="190"/>
        <v>1398</v>
      </c>
      <c r="B1399" s="12" t="str">
        <f t="shared" si="199"/>
        <v>ЩС-1.3 (БЛОК 8, 9)</v>
      </c>
      <c r="C1399" s="13" t="s">
        <v>22</v>
      </c>
      <c r="D1399" s="29" t="s">
        <v>250</v>
      </c>
      <c r="E1399" s="12" t="s">
        <v>251</v>
      </c>
      <c r="F1399" s="37">
        <v>8352</v>
      </c>
      <c r="G1399" s="38">
        <f t="shared" si="200"/>
        <v>5011.2</v>
      </c>
      <c r="H1399" s="38">
        <f t="shared" si="201"/>
        <v>10022.4</v>
      </c>
      <c r="I1399" s="16">
        <v>2</v>
      </c>
      <c r="J1399" s="17" t="s">
        <v>12</v>
      </c>
      <c r="K1399" s="13" t="s">
        <v>16</v>
      </c>
      <c r="L1399" s="15">
        <v>10022.4</v>
      </c>
    </row>
    <row r="1400" spans="1:12" ht="21" customHeight="1" outlineLevel="2" x14ac:dyDescent="0.25">
      <c r="A1400" s="16">
        <f t="shared" si="190"/>
        <v>1399</v>
      </c>
      <c r="B1400" s="12" t="str">
        <f t="shared" si="199"/>
        <v>ЩС-1.3 (БЛОК 8, 9)</v>
      </c>
      <c r="C1400" s="13" t="s">
        <v>22</v>
      </c>
      <c r="D1400" s="29" t="s">
        <v>270</v>
      </c>
      <c r="E1400" s="12" t="s">
        <v>271</v>
      </c>
      <c r="F1400" s="37">
        <v>5719</v>
      </c>
      <c r="G1400" s="38">
        <f t="shared" si="200"/>
        <v>3431.4</v>
      </c>
      <c r="H1400" s="38">
        <f t="shared" si="201"/>
        <v>17157</v>
      </c>
      <c r="I1400" s="16">
        <v>5</v>
      </c>
      <c r="J1400" s="17" t="s">
        <v>12</v>
      </c>
      <c r="K1400" s="13" t="s">
        <v>16</v>
      </c>
      <c r="L1400" s="15">
        <v>17157</v>
      </c>
    </row>
    <row r="1401" spans="1:12" ht="24" customHeight="1" outlineLevel="2" x14ac:dyDescent="0.25">
      <c r="A1401" s="12">
        <f t="shared" si="190"/>
        <v>1400</v>
      </c>
      <c r="B1401" s="12" t="str">
        <f t="shared" si="199"/>
        <v>ЩС-1.3 (БЛОК 8, 9)</v>
      </c>
      <c r="C1401" s="12" t="s">
        <v>9</v>
      </c>
      <c r="D1401" s="30" t="s">
        <v>9</v>
      </c>
      <c r="E1401" s="12" t="s">
        <v>9</v>
      </c>
      <c r="F1401" s="18">
        <f ca="1">OFFSET(F1401,1,2)</f>
        <v>18000</v>
      </c>
      <c r="G1401" s="38">
        <f ca="1">F1401</f>
        <v>18000</v>
      </c>
      <c r="H1401" s="38">
        <f t="shared" ca="1" si="201"/>
        <v>18000</v>
      </c>
      <c r="I1401" s="12">
        <v>1</v>
      </c>
      <c r="J1401" s="12" t="s">
        <v>12</v>
      </c>
      <c r="K1401" s="12" t="s">
        <v>9</v>
      </c>
      <c r="L1401" s="15">
        <v>18000</v>
      </c>
    </row>
    <row r="1402" spans="1:12" ht="21" customHeight="1" outlineLevel="2" x14ac:dyDescent="0.25">
      <c r="A1402" s="12">
        <f t="shared" si="190"/>
        <v>1401</v>
      </c>
      <c r="B1402" s="12" t="str">
        <f t="shared" si="199"/>
        <v>ЩС-1.3 (БЛОК 8, 9)</v>
      </c>
      <c r="C1402" s="12" t="s">
        <v>10</v>
      </c>
      <c r="D1402" s="30" t="s">
        <v>10</v>
      </c>
      <c r="E1402" s="12" t="s">
        <v>10</v>
      </c>
      <c r="F1402" s="18">
        <v>3</v>
      </c>
      <c r="G1402" s="38">
        <v>100</v>
      </c>
      <c r="H1402" s="38">
        <f>60*F1402*G1402</f>
        <v>18000</v>
      </c>
      <c r="I1402" s="12">
        <f>60*F1402</f>
        <v>180</v>
      </c>
      <c r="J1402" s="12" t="s">
        <v>12</v>
      </c>
      <c r="K1402" s="12" t="s">
        <v>10</v>
      </c>
      <c r="L1402" s="15">
        <v>18000</v>
      </c>
    </row>
    <row r="1403" spans="1:12" ht="21" customHeight="1" outlineLevel="1" x14ac:dyDescent="0.25">
      <c r="A1403" s="12"/>
      <c r="B1403" s="12" t="s">
        <v>754</v>
      </c>
      <c r="C1403" s="12"/>
      <c r="D1403" s="30"/>
      <c r="E1403" s="12"/>
      <c r="F1403" s="18"/>
      <c r="G1403" s="38"/>
      <c r="H1403" s="38">
        <f ca="1">SUBTOTAL(9,H1394:H1402)</f>
        <v>99907.200000000012</v>
      </c>
      <c r="I1403" s="12"/>
      <c r="J1403" s="12"/>
      <c r="K1403" s="12"/>
      <c r="L1403" s="15">
        <v>99907.200000000012</v>
      </c>
    </row>
    <row r="1404" spans="1:12" ht="39.75" customHeight="1" outlineLevel="2" x14ac:dyDescent="0.25">
      <c r="A1404" s="10">
        <f>ROW(A1402)</f>
        <v>1402</v>
      </c>
      <c r="B1404" s="6" t="str">
        <f>E1404</f>
        <v>ЩC-2.1 (БЛОК 8, 9)</v>
      </c>
      <c r="C1404" s="6"/>
      <c r="D1404" s="28"/>
      <c r="E1404" s="6" t="s">
        <v>356</v>
      </c>
      <c r="F1404" s="36"/>
      <c r="G1404" s="36" t="s">
        <v>73</v>
      </c>
      <c r="H1404" s="7"/>
      <c r="I1404" s="10">
        <v>1</v>
      </c>
      <c r="J1404" s="11" t="s">
        <v>6</v>
      </c>
      <c r="K1404" s="6" t="s">
        <v>8</v>
      </c>
      <c r="L1404" s="9"/>
    </row>
    <row r="1405" spans="1:12" ht="21" customHeight="1" outlineLevel="2" x14ac:dyDescent="0.25">
      <c r="A1405" s="16">
        <f t="shared" si="190"/>
        <v>1404</v>
      </c>
      <c r="B1405" s="12" t="str">
        <f t="shared" ref="B1405:B1419" si="202">B1404</f>
        <v>ЩC-2.1 (БЛОК 8, 9)</v>
      </c>
      <c r="C1405" s="13" t="s">
        <v>7</v>
      </c>
      <c r="D1405" s="29" t="s">
        <v>565</v>
      </c>
      <c r="E1405" s="12" t="s">
        <v>566</v>
      </c>
      <c r="F1405" s="37">
        <v>130600</v>
      </c>
      <c r="G1405" s="38">
        <f t="shared" ref="G1405:G1417" si="203">F1405*0.6</f>
        <v>78360</v>
      </c>
      <c r="H1405" s="38">
        <f>I1405*G1405</f>
        <v>78360</v>
      </c>
      <c r="I1405" s="16">
        <v>1</v>
      </c>
      <c r="J1405" s="17" t="s">
        <v>12</v>
      </c>
      <c r="K1405" s="13" t="s">
        <v>15</v>
      </c>
      <c r="L1405" s="15">
        <v>78360</v>
      </c>
    </row>
    <row r="1406" spans="1:12" ht="21" customHeight="1" outlineLevel="2" x14ac:dyDescent="0.25">
      <c r="A1406" s="16">
        <f t="shared" si="190"/>
        <v>1405</v>
      </c>
      <c r="B1406" s="12" t="str">
        <f t="shared" si="202"/>
        <v>ЩC-2.1 (БЛОК 8, 9)</v>
      </c>
      <c r="C1406" s="13" t="s">
        <v>43</v>
      </c>
      <c r="D1406" s="29" t="s">
        <v>23</v>
      </c>
      <c r="E1406" s="12" t="s">
        <v>24</v>
      </c>
      <c r="F1406" s="37">
        <v>19443</v>
      </c>
      <c r="G1406" s="38">
        <f t="shared" si="203"/>
        <v>11665.8</v>
      </c>
      <c r="H1406" s="38">
        <f t="shared" ref="H1406" si="204">G1406*I1406</f>
        <v>11665.8</v>
      </c>
      <c r="I1406" s="16">
        <v>1</v>
      </c>
      <c r="J1406" s="17" t="s">
        <v>12</v>
      </c>
      <c r="K1406" s="13" t="s">
        <v>16</v>
      </c>
      <c r="L1406" s="15">
        <v>11665.8</v>
      </c>
    </row>
    <row r="1407" spans="1:12" ht="21" customHeight="1" outlineLevel="2" x14ac:dyDescent="0.25">
      <c r="A1407" s="16">
        <f t="shared" si="190"/>
        <v>1406</v>
      </c>
      <c r="B1407" s="12" t="str">
        <f t="shared" si="202"/>
        <v>ЩC-2.1 (БЛОК 8, 9)</v>
      </c>
      <c r="C1407" s="13" t="s">
        <v>11</v>
      </c>
      <c r="D1407" s="29" t="s">
        <v>20</v>
      </c>
      <c r="E1407" s="12" t="s">
        <v>21</v>
      </c>
      <c r="F1407" s="37">
        <v>2429</v>
      </c>
      <c r="G1407" s="38">
        <f t="shared" si="203"/>
        <v>1457.3999999999999</v>
      </c>
      <c r="H1407" s="38">
        <f t="shared" ref="H1407:H1418" si="205">G1407*I1407</f>
        <v>1457.3999999999999</v>
      </c>
      <c r="I1407" s="16">
        <v>1</v>
      </c>
      <c r="J1407" s="17" t="s">
        <v>12</v>
      </c>
      <c r="K1407" s="13" t="s">
        <v>16</v>
      </c>
      <c r="L1407" s="15">
        <v>1457.3999999999999</v>
      </c>
    </row>
    <row r="1408" spans="1:12" ht="21" customHeight="1" outlineLevel="2" x14ac:dyDescent="0.25">
      <c r="A1408" s="16">
        <f t="shared" si="190"/>
        <v>1407</v>
      </c>
      <c r="B1408" s="12" t="str">
        <f t="shared" si="202"/>
        <v>ЩC-2.1 (БЛОК 8, 9)</v>
      </c>
      <c r="C1408" s="13" t="s">
        <v>11</v>
      </c>
      <c r="D1408" s="29" t="s">
        <v>273</v>
      </c>
      <c r="E1408" s="12" t="s">
        <v>274</v>
      </c>
      <c r="F1408" s="37">
        <v>2499</v>
      </c>
      <c r="G1408" s="38">
        <f t="shared" si="203"/>
        <v>1499.3999999999999</v>
      </c>
      <c r="H1408" s="38">
        <f t="shared" si="205"/>
        <v>5997.5999999999995</v>
      </c>
      <c r="I1408" s="16">
        <v>4</v>
      </c>
      <c r="J1408" s="17" t="s">
        <v>12</v>
      </c>
      <c r="K1408" s="13" t="s">
        <v>16</v>
      </c>
      <c r="L1408" s="15">
        <v>5997.5999999999995</v>
      </c>
    </row>
    <row r="1409" spans="1:12" ht="21" customHeight="1" outlineLevel="2" x14ac:dyDescent="0.25">
      <c r="A1409" s="16">
        <f t="shared" si="190"/>
        <v>1408</v>
      </c>
      <c r="B1409" s="12" t="str">
        <f t="shared" si="202"/>
        <v>ЩC-2.1 (БЛОК 8, 9)</v>
      </c>
      <c r="C1409" s="13" t="s">
        <v>22</v>
      </c>
      <c r="D1409" s="29" t="s">
        <v>248</v>
      </c>
      <c r="E1409" s="12" t="s">
        <v>249</v>
      </c>
      <c r="F1409" s="37">
        <v>5834</v>
      </c>
      <c r="G1409" s="38">
        <f t="shared" si="203"/>
        <v>3500.4</v>
      </c>
      <c r="H1409" s="38">
        <f t="shared" si="205"/>
        <v>3500.4</v>
      </c>
      <c r="I1409" s="16">
        <v>1</v>
      </c>
      <c r="J1409" s="17" t="s">
        <v>12</v>
      </c>
      <c r="K1409" s="13" t="s">
        <v>16</v>
      </c>
      <c r="L1409" s="15">
        <v>3500.4</v>
      </c>
    </row>
    <row r="1410" spans="1:12" ht="21" customHeight="1" outlineLevel="2" x14ac:dyDescent="0.25">
      <c r="A1410" s="16">
        <f t="shared" si="190"/>
        <v>1409</v>
      </c>
      <c r="B1410" s="12" t="str">
        <f t="shared" si="202"/>
        <v>ЩC-2.1 (БЛОК 8, 9)</v>
      </c>
      <c r="C1410" s="13" t="s">
        <v>22</v>
      </c>
      <c r="D1410" s="29" t="s">
        <v>266</v>
      </c>
      <c r="E1410" s="12" t="s">
        <v>267</v>
      </c>
      <c r="F1410" s="37">
        <v>5552</v>
      </c>
      <c r="G1410" s="38">
        <f t="shared" si="203"/>
        <v>3331.2</v>
      </c>
      <c r="H1410" s="38">
        <f t="shared" si="205"/>
        <v>6662.4</v>
      </c>
      <c r="I1410" s="16">
        <v>2</v>
      </c>
      <c r="J1410" s="17" t="s">
        <v>12</v>
      </c>
      <c r="K1410" s="13" t="s">
        <v>16</v>
      </c>
      <c r="L1410" s="15">
        <v>6662.4</v>
      </c>
    </row>
    <row r="1411" spans="1:12" ht="21" customHeight="1" outlineLevel="2" x14ac:dyDescent="0.25">
      <c r="A1411" s="16">
        <f t="shared" si="190"/>
        <v>1410</v>
      </c>
      <c r="B1411" s="12" t="str">
        <f t="shared" si="202"/>
        <v>ЩC-2.1 (БЛОК 8, 9)</v>
      </c>
      <c r="C1411" s="13" t="s">
        <v>22</v>
      </c>
      <c r="D1411" s="29" t="s">
        <v>96</v>
      </c>
      <c r="E1411" s="12" t="s">
        <v>97</v>
      </c>
      <c r="F1411" s="37">
        <v>5069</v>
      </c>
      <c r="G1411" s="38">
        <f t="shared" si="203"/>
        <v>3041.4</v>
      </c>
      <c r="H1411" s="38">
        <f t="shared" si="205"/>
        <v>9124.2000000000007</v>
      </c>
      <c r="I1411" s="16">
        <v>3</v>
      </c>
      <c r="J1411" s="17" t="s">
        <v>12</v>
      </c>
      <c r="K1411" s="13" t="s">
        <v>16</v>
      </c>
      <c r="L1411" s="15">
        <v>9124.2000000000007</v>
      </c>
    </row>
    <row r="1412" spans="1:12" ht="21" customHeight="1" outlineLevel="2" x14ac:dyDescent="0.25">
      <c r="A1412" s="16">
        <f t="shared" si="190"/>
        <v>1411</v>
      </c>
      <c r="B1412" s="12" t="str">
        <f t="shared" si="202"/>
        <v>ЩC-2.1 (БЛОК 8, 9)</v>
      </c>
      <c r="C1412" s="13" t="s">
        <v>22</v>
      </c>
      <c r="D1412" s="29" t="s">
        <v>268</v>
      </c>
      <c r="E1412" s="12" t="s">
        <v>269</v>
      </c>
      <c r="F1412" s="37">
        <v>5632</v>
      </c>
      <c r="G1412" s="38">
        <f t="shared" si="203"/>
        <v>3379.2</v>
      </c>
      <c r="H1412" s="38">
        <f t="shared" si="205"/>
        <v>13516.8</v>
      </c>
      <c r="I1412" s="16">
        <v>4</v>
      </c>
      <c r="J1412" s="17" t="s">
        <v>12</v>
      </c>
      <c r="K1412" s="13" t="s">
        <v>16</v>
      </c>
      <c r="L1412" s="15">
        <v>13516.8</v>
      </c>
    </row>
    <row r="1413" spans="1:12" ht="21" customHeight="1" outlineLevel="2" x14ac:dyDescent="0.25">
      <c r="A1413" s="16">
        <f t="shared" si="190"/>
        <v>1412</v>
      </c>
      <c r="B1413" s="12" t="str">
        <f t="shared" si="202"/>
        <v>ЩC-2.1 (БЛОК 8, 9)</v>
      </c>
      <c r="C1413" s="13" t="s">
        <v>22</v>
      </c>
      <c r="D1413" s="29" t="s">
        <v>117</v>
      </c>
      <c r="E1413" s="12" t="s">
        <v>118</v>
      </c>
      <c r="F1413" s="37">
        <v>5104</v>
      </c>
      <c r="G1413" s="38">
        <f t="shared" si="203"/>
        <v>3062.4</v>
      </c>
      <c r="H1413" s="38">
        <f t="shared" si="205"/>
        <v>9187.2000000000007</v>
      </c>
      <c r="I1413" s="16">
        <v>3</v>
      </c>
      <c r="J1413" s="17" t="s">
        <v>12</v>
      </c>
      <c r="K1413" s="13" t="s">
        <v>16</v>
      </c>
      <c r="L1413" s="15">
        <v>9187.2000000000007</v>
      </c>
    </row>
    <row r="1414" spans="1:12" ht="21" customHeight="1" outlineLevel="2" x14ac:dyDescent="0.25">
      <c r="A1414" s="16">
        <f t="shared" si="190"/>
        <v>1413</v>
      </c>
      <c r="B1414" s="12" t="str">
        <f t="shared" si="202"/>
        <v>ЩC-2.1 (БЛОК 8, 9)</v>
      </c>
      <c r="C1414" s="13" t="s">
        <v>22</v>
      </c>
      <c r="D1414" s="29" t="s">
        <v>270</v>
      </c>
      <c r="E1414" s="12" t="s">
        <v>271</v>
      </c>
      <c r="F1414" s="37">
        <v>5719</v>
      </c>
      <c r="G1414" s="38">
        <f t="shared" si="203"/>
        <v>3431.4</v>
      </c>
      <c r="H1414" s="38">
        <f>G1414*I1414</f>
        <v>6862.8</v>
      </c>
      <c r="I1414" s="16">
        <v>2</v>
      </c>
      <c r="J1414" s="17" t="s">
        <v>12</v>
      </c>
      <c r="K1414" s="13" t="s">
        <v>16</v>
      </c>
      <c r="L1414" s="15">
        <v>6862.8</v>
      </c>
    </row>
    <row r="1415" spans="1:12" ht="21" customHeight="1" outlineLevel="2" x14ac:dyDescent="0.25">
      <c r="A1415" s="16">
        <f t="shared" si="190"/>
        <v>1414</v>
      </c>
      <c r="B1415" s="12" t="str">
        <f t="shared" si="202"/>
        <v>ЩC-2.1 (БЛОК 8, 9)</v>
      </c>
      <c r="C1415" s="13" t="s">
        <v>22</v>
      </c>
      <c r="D1415" s="29" t="s">
        <v>250</v>
      </c>
      <c r="E1415" s="12" t="s">
        <v>251</v>
      </c>
      <c r="F1415" s="37">
        <v>8352</v>
      </c>
      <c r="G1415" s="38">
        <f t="shared" si="203"/>
        <v>5011.2</v>
      </c>
      <c r="H1415" s="38">
        <f t="shared" ref="H1415:H1416" si="206">G1415*I1415</f>
        <v>5011.2</v>
      </c>
      <c r="I1415" s="16">
        <v>1</v>
      </c>
      <c r="J1415" s="17" t="s">
        <v>12</v>
      </c>
      <c r="K1415" s="13" t="s">
        <v>16</v>
      </c>
      <c r="L1415" s="15">
        <v>5011.2</v>
      </c>
    </row>
    <row r="1416" spans="1:12" ht="21" customHeight="1" outlineLevel="2" x14ac:dyDescent="0.25">
      <c r="A1416" s="16">
        <f t="shared" si="190"/>
        <v>1415</v>
      </c>
      <c r="B1416" s="12" t="str">
        <f t="shared" si="202"/>
        <v>ЩC-2.1 (БЛОК 8, 9)</v>
      </c>
      <c r="C1416" s="13" t="s">
        <v>48</v>
      </c>
      <c r="D1416" s="29" t="s">
        <v>289</v>
      </c>
      <c r="E1416" s="12" t="s">
        <v>290</v>
      </c>
      <c r="F1416" s="37">
        <v>13919</v>
      </c>
      <c r="G1416" s="38">
        <f t="shared" si="203"/>
        <v>8351.4</v>
      </c>
      <c r="H1416" s="38">
        <f t="shared" si="206"/>
        <v>8351.4</v>
      </c>
      <c r="I1416" s="16">
        <v>1</v>
      </c>
      <c r="J1416" s="17" t="s">
        <v>12</v>
      </c>
      <c r="K1416" s="13" t="s">
        <v>16</v>
      </c>
      <c r="L1416" s="15">
        <v>8351.4</v>
      </c>
    </row>
    <row r="1417" spans="1:12" ht="21" customHeight="1" outlineLevel="2" x14ac:dyDescent="0.25">
      <c r="A1417" s="16">
        <f t="shared" si="190"/>
        <v>1416</v>
      </c>
      <c r="B1417" s="12" t="str">
        <f t="shared" si="202"/>
        <v>ЩC-2.1 (БЛОК 8, 9)</v>
      </c>
      <c r="C1417" s="13" t="s">
        <v>48</v>
      </c>
      <c r="D1417" s="29" t="s">
        <v>282</v>
      </c>
      <c r="E1417" s="12" t="s">
        <v>283</v>
      </c>
      <c r="F1417" s="37">
        <v>12145</v>
      </c>
      <c r="G1417" s="38">
        <f t="shared" si="203"/>
        <v>7287</v>
      </c>
      <c r="H1417" s="38">
        <f t="shared" si="205"/>
        <v>29148</v>
      </c>
      <c r="I1417" s="16">
        <v>4</v>
      </c>
      <c r="J1417" s="17" t="s">
        <v>12</v>
      </c>
      <c r="K1417" s="13" t="s">
        <v>16</v>
      </c>
      <c r="L1417" s="15">
        <v>29148</v>
      </c>
    </row>
    <row r="1418" spans="1:12" ht="24" customHeight="1" outlineLevel="2" x14ac:dyDescent="0.25">
      <c r="A1418" s="12">
        <f t="shared" si="190"/>
        <v>1417</v>
      </c>
      <c r="B1418" s="12" t="str">
        <f t="shared" si="202"/>
        <v>ЩC-2.1 (БЛОК 8, 9)</v>
      </c>
      <c r="C1418" s="12" t="s">
        <v>9</v>
      </c>
      <c r="D1418" s="30" t="s">
        <v>9</v>
      </c>
      <c r="E1418" s="12" t="s">
        <v>9</v>
      </c>
      <c r="F1418" s="18">
        <f ca="1">OFFSET(F1418,1,2)</f>
        <v>36000</v>
      </c>
      <c r="G1418" s="38">
        <f ca="1">F1418</f>
        <v>36000</v>
      </c>
      <c r="H1418" s="38">
        <f t="shared" ca="1" si="205"/>
        <v>36000</v>
      </c>
      <c r="I1418" s="12">
        <v>1</v>
      </c>
      <c r="J1418" s="12" t="s">
        <v>12</v>
      </c>
      <c r="K1418" s="12" t="s">
        <v>9</v>
      </c>
      <c r="L1418" s="15">
        <v>36000</v>
      </c>
    </row>
    <row r="1419" spans="1:12" ht="21" customHeight="1" outlineLevel="2" x14ac:dyDescent="0.25">
      <c r="A1419" s="12">
        <f t="shared" si="190"/>
        <v>1418</v>
      </c>
      <c r="B1419" s="12" t="str">
        <f t="shared" si="202"/>
        <v>ЩC-2.1 (БЛОК 8, 9)</v>
      </c>
      <c r="C1419" s="12" t="s">
        <v>10</v>
      </c>
      <c r="D1419" s="30" t="s">
        <v>10</v>
      </c>
      <c r="E1419" s="12" t="s">
        <v>10</v>
      </c>
      <c r="F1419" s="18">
        <v>6</v>
      </c>
      <c r="G1419" s="38">
        <v>100</v>
      </c>
      <c r="H1419" s="38">
        <f>60*F1419*G1419</f>
        <v>36000</v>
      </c>
      <c r="I1419" s="12">
        <f>60*F1419</f>
        <v>360</v>
      </c>
      <c r="J1419" s="12" t="s">
        <v>12</v>
      </c>
      <c r="K1419" s="12" t="s">
        <v>10</v>
      </c>
      <c r="L1419" s="15">
        <v>36000</v>
      </c>
    </row>
    <row r="1420" spans="1:12" ht="21" customHeight="1" outlineLevel="1" x14ac:dyDescent="0.25">
      <c r="A1420" s="12"/>
      <c r="B1420" s="12" t="s">
        <v>755</v>
      </c>
      <c r="C1420" s="12"/>
      <c r="D1420" s="30"/>
      <c r="E1420" s="12"/>
      <c r="F1420" s="18"/>
      <c r="G1420" s="38"/>
      <c r="H1420" s="38">
        <f ca="1">SUBTOTAL(9,H1404:H1419)</f>
        <v>260845.19999999998</v>
      </c>
      <c r="I1420" s="12"/>
      <c r="J1420" s="12"/>
      <c r="K1420" s="12"/>
      <c r="L1420" s="15">
        <v>260845.19999999998</v>
      </c>
    </row>
    <row r="1421" spans="1:12" ht="39.75" customHeight="1" outlineLevel="2" x14ac:dyDescent="0.25">
      <c r="A1421" s="10">
        <f>ROW(A1419)</f>
        <v>1419</v>
      </c>
      <c r="B1421" s="6" t="str">
        <f>E1421</f>
        <v>ЩC-2.2 (БЛОК 8, 9)</v>
      </c>
      <c r="C1421" s="6"/>
      <c r="D1421" s="28"/>
      <c r="E1421" s="6" t="s">
        <v>357</v>
      </c>
      <c r="F1421" s="36"/>
      <c r="G1421" s="36" t="s">
        <v>73</v>
      </c>
      <c r="H1421" s="7"/>
      <c r="I1421" s="10">
        <v>1</v>
      </c>
      <c r="J1421" s="11" t="s">
        <v>6</v>
      </c>
      <c r="K1421" s="6" t="s">
        <v>8</v>
      </c>
      <c r="L1421" s="9"/>
    </row>
    <row r="1422" spans="1:12" ht="21" customHeight="1" outlineLevel="2" x14ac:dyDescent="0.25">
      <c r="A1422" s="16">
        <f t="shared" si="190"/>
        <v>1421</v>
      </c>
      <c r="B1422" s="12" t="str">
        <f t="shared" ref="B1422:B1431" si="207">B1421</f>
        <v>ЩC-2.2 (БЛОК 8, 9)</v>
      </c>
      <c r="C1422" s="13" t="s">
        <v>7</v>
      </c>
      <c r="D1422" s="29" t="s">
        <v>565</v>
      </c>
      <c r="E1422" s="12" t="s">
        <v>566</v>
      </c>
      <c r="F1422" s="37">
        <v>130600</v>
      </c>
      <c r="G1422" s="38">
        <f t="shared" ref="G1422:G1429" si="208">F1422*0.6</f>
        <v>78360</v>
      </c>
      <c r="H1422" s="38">
        <f>I1422*G1422</f>
        <v>78360</v>
      </c>
      <c r="I1422" s="16">
        <v>1</v>
      </c>
      <c r="J1422" s="17" t="s">
        <v>12</v>
      </c>
      <c r="K1422" s="13" t="s">
        <v>15</v>
      </c>
      <c r="L1422" s="15">
        <v>78360</v>
      </c>
    </row>
    <row r="1423" spans="1:12" ht="21" customHeight="1" outlineLevel="2" x14ac:dyDescent="0.25">
      <c r="A1423" s="16">
        <f t="shared" si="190"/>
        <v>1422</v>
      </c>
      <c r="B1423" s="12" t="str">
        <f t="shared" si="207"/>
        <v>ЩC-2.2 (БЛОК 8, 9)</v>
      </c>
      <c r="C1423" s="13" t="s">
        <v>43</v>
      </c>
      <c r="D1423" s="29" t="s">
        <v>358</v>
      </c>
      <c r="E1423" s="12" t="s">
        <v>341</v>
      </c>
      <c r="F1423" s="37">
        <v>73778</v>
      </c>
      <c r="G1423" s="38">
        <f t="shared" si="208"/>
        <v>44266.799999999996</v>
      </c>
      <c r="H1423" s="38">
        <f t="shared" ref="H1423:H1427" si="209">G1423*I1423</f>
        <v>44266.799999999996</v>
      </c>
      <c r="I1423" s="16">
        <v>1</v>
      </c>
      <c r="J1423" s="17" t="s">
        <v>12</v>
      </c>
      <c r="K1423" s="13" t="s">
        <v>16</v>
      </c>
      <c r="L1423" s="15">
        <v>44266.799999999996</v>
      </c>
    </row>
    <row r="1424" spans="1:12" ht="21" customHeight="1" outlineLevel="2" x14ac:dyDescent="0.25">
      <c r="A1424" s="16">
        <f t="shared" si="190"/>
        <v>1423</v>
      </c>
      <c r="B1424" s="12" t="str">
        <f t="shared" si="207"/>
        <v>ЩC-2.2 (БЛОК 8, 9)</v>
      </c>
      <c r="C1424" s="13" t="s">
        <v>43</v>
      </c>
      <c r="D1424" s="29" t="s">
        <v>359</v>
      </c>
      <c r="E1424" s="12" t="s">
        <v>360</v>
      </c>
      <c r="F1424" s="37">
        <v>36869</v>
      </c>
      <c r="G1424" s="38">
        <f t="shared" si="208"/>
        <v>22121.399999999998</v>
      </c>
      <c r="H1424" s="38">
        <f t="shared" si="209"/>
        <v>22121.399999999998</v>
      </c>
      <c r="I1424" s="16">
        <v>1</v>
      </c>
      <c r="J1424" s="17" t="s">
        <v>12</v>
      </c>
      <c r="K1424" s="13" t="s">
        <v>16</v>
      </c>
      <c r="L1424" s="15">
        <v>22121.399999999998</v>
      </c>
    </row>
    <row r="1425" spans="1:12" ht="21" customHeight="1" outlineLevel="2" x14ac:dyDescent="0.25">
      <c r="A1425" s="16">
        <f t="shared" si="190"/>
        <v>1424</v>
      </c>
      <c r="B1425" s="12" t="str">
        <f t="shared" si="207"/>
        <v>ЩC-2.2 (БЛОК 8, 9)</v>
      </c>
      <c r="C1425" s="13" t="s">
        <v>22</v>
      </c>
      <c r="D1425" s="29" t="s">
        <v>96</v>
      </c>
      <c r="E1425" s="12" t="s">
        <v>97</v>
      </c>
      <c r="F1425" s="37">
        <v>5069</v>
      </c>
      <c r="G1425" s="38">
        <f t="shared" si="208"/>
        <v>3041.4</v>
      </c>
      <c r="H1425" s="38">
        <f t="shared" si="209"/>
        <v>3041.4</v>
      </c>
      <c r="I1425" s="16">
        <v>1</v>
      </c>
      <c r="J1425" s="17" t="s">
        <v>12</v>
      </c>
      <c r="K1425" s="13" t="s">
        <v>16</v>
      </c>
      <c r="L1425" s="15">
        <v>3041.4</v>
      </c>
    </row>
    <row r="1426" spans="1:12" ht="21" customHeight="1" outlineLevel="2" x14ac:dyDescent="0.25">
      <c r="A1426" s="16">
        <f t="shared" si="190"/>
        <v>1425</v>
      </c>
      <c r="B1426" s="12" t="str">
        <f t="shared" si="207"/>
        <v>ЩC-2.2 (БЛОК 8, 9)</v>
      </c>
      <c r="C1426" s="13" t="s">
        <v>22</v>
      </c>
      <c r="D1426" s="29" t="s">
        <v>268</v>
      </c>
      <c r="E1426" s="12" t="s">
        <v>269</v>
      </c>
      <c r="F1426" s="37">
        <v>5632</v>
      </c>
      <c r="G1426" s="38">
        <f t="shared" si="208"/>
        <v>3379.2</v>
      </c>
      <c r="H1426" s="38">
        <f t="shared" si="209"/>
        <v>6758.4</v>
      </c>
      <c r="I1426" s="16">
        <v>2</v>
      </c>
      <c r="J1426" s="17" t="s">
        <v>12</v>
      </c>
      <c r="K1426" s="13" t="s">
        <v>16</v>
      </c>
      <c r="L1426" s="15">
        <v>6758.4</v>
      </c>
    </row>
    <row r="1427" spans="1:12" ht="21" customHeight="1" outlineLevel="2" x14ac:dyDescent="0.25">
      <c r="A1427" s="16">
        <f t="shared" si="190"/>
        <v>1426</v>
      </c>
      <c r="B1427" s="12" t="str">
        <f t="shared" si="207"/>
        <v>ЩC-2.2 (БЛОК 8, 9)</v>
      </c>
      <c r="C1427" s="13" t="s">
        <v>22</v>
      </c>
      <c r="D1427" s="29" t="s">
        <v>117</v>
      </c>
      <c r="E1427" s="12" t="s">
        <v>118</v>
      </c>
      <c r="F1427" s="37">
        <v>5104</v>
      </c>
      <c r="G1427" s="38">
        <f t="shared" si="208"/>
        <v>3062.4</v>
      </c>
      <c r="H1427" s="38">
        <f t="shared" si="209"/>
        <v>3062.4</v>
      </c>
      <c r="I1427" s="16">
        <v>1</v>
      </c>
      <c r="J1427" s="17" t="s">
        <v>12</v>
      </c>
      <c r="K1427" s="13" t="s">
        <v>16</v>
      </c>
      <c r="L1427" s="15">
        <v>3062.4</v>
      </c>
    </row>
    <row r="1428" spans="1:12" ht="21" customHeight="1" outlineLevel="2" x14ac:dyDescent="0.25">
      <c r="A1428" s="16">
        <f t="shared" si="190"/>
        <v>1427</v>
      </c>
      <c r="B1428" s="12" t="str">
        <f t="shared" si="207"/>
        <v>ЩC-2.2 (БЛОК 8, 9)</v>
      </c>
      <c r="C1428" s="13" t="s">
        <v>22</v>
      </c>
      <c r="D1428" s="29" t="s">
        <v>270</v>
      </c>
      <c r="E1428" s="12" t="s">
        <v>271</v>
      </c>
      <c r="F1428" s="37">
        <v>5719</v>
      </c>
      <c r="G1428" s="38">
        <f t="shared" si="208"/>
        <v>3431.4</v>
      </c>
      <c r="H1428" s="38">
        <f>G1428*I1428</f>
        <v>17157</v>
      </c>
      <c r="I1428" s="16">
        <v>5</v>
      </c>
      <c r="J1428" s="17" t="s">
        <v>12</v>
      </c>
      <c r="K1428" s="13" t="s">
        <v>16</v>
      </c>
      <c r="L1428" s="15">
        <v>17157</v>
      </c>
    </row>
    <row r="1429" spans="1:12" ht="21" customHeight="1" outlineLevel="2" x14ac:dyDescent="0.25">
      <c r="A1429" s="16">
        <f t="shared" si="190"/>
        <v>1428</v>
      </c>
      <c r="B1429" s="12" t="str">
        <f t="shared" si="207"/>
        <v>ЩC-2.2 (БЛОК 8, 9)</v>
      </c>
      <c r="C1429" s="13" t="s">
        <v>22</v>
      </c>
      <c r="D1429" s="29" t="s">
        <v>250</v>
      </c>
      <c r="E1429" s="12" t="s">
        <v>251</v>
      </c>
      <c r="F1429" s="37">
        <v>8352</v>
      </c>
      <c r="G1429" s="38">
        <f t="shared" si="208"/>
        <v>5011.2</v>
      </c>
      <c r="H1429" s="38">
        <f t="shared" ref="H1429:H1430" si="210">G1429*I1429</f>
        <v>10022.4</v>
      </c>
      <c r="I1429" s="16">
        <v>2</v>
      </c>
      <c r="J1429" s="17" t="s">
        <v>12</v>
      </c>
      <c r="K1429" s="13" t="s">
        <v>16</v>
      </c>
      <c r="L1429" s="15">
        <v>10022.4</v>
      </c>
    </row>
    <row r="1430" spans="1:12" ht="24" customHeight="1" outlineLevel="2" x14ac:dyDescent="0.25">
      <c r="A1430" s="12">
        <f t="shared" si="190"/>
        <v>1429</v>
      </c>
      <c r="B1430" s="12" t="str">
        <f t="shared" si="207"/>
        <v>ЩC-2.2 (БЛОК 8, 9)</v>
      </c>
      <c r="C1430" s="12" t="s">
        <v>9</v>
      </c>
      <c r="D1430" s="30" t="s">
        <v>9</v>
      </c>
      <c r="E1430" s="12" t="s">
        <v>9</v>
      </c>
      <c r="F1430" s="18">
        <f ca="1">OFFSET(F1430,1,2)</f>
        <v>36000</v>
      </c>
      <c r="G1430" s="38">
        <f ca="1">F1430</f>
        <v>36000</v>
      </c>
      <c r="H1430" s="38">
        <f t="shared" ca="1" si="210"/>
        <v>36000</v>
      </c>
      <c r="I1430" s="12">
        <v>1</v>
      </c>
      <c r="J1430" s="12" t="s">
        <v>12</v>
      </c>
      <c r="K1430" s="12" t="s">
        <v>9</v>
      </c>
      <c r="L1430" s="15">
        <v>36000</v>
      </c>
    </row>
    <row r="1431" spans="1:12" ht="21" customHeight="1" outlineLevel="2" x14ac:dyDescent="0.25">
      <c r="A1431" s="12">
        <f t="shared" si="190"/>
        <v>1430</v>
      </c>
      <c r="B1431" s="12" t="str">
        <f t="shared" si="207"/>
        <v>ЩC-2.2 (БЛОК 8, 9)</v>
      </c>
      <c r="C1431" s="12" t="s">
        <v>10</v>
      </c>
      <c r="D1431" s="30" t="s">
        <v>10</v>
      </c>
      <c r="E1431" s="12" t="s">
        <v>10</v>
      </c>
      <c r="F1431" s="18">
        <v>6</v>
      </c>
      <c r="G1431" s="38">
        <v>100</v>
      </c>
      <c r="H1431" s="38">
        <f>60*F1431*G1431</f>
        <v>36000</v>
      </c>
      <c r="I1431" s="12">
        <f>60*F1431</f>
        <v>360</v>
      </c>
      <c r="J1431" s="12" t="s">
        <v>12</v>
      </c>
      <c r="K1431" s="12" t="s">
        <v>10</v>
      </c>
      <c r="L1431" s="15">
        <v>36000</v>
      </c>
    </row>
    <row r="1432" spans="1:12" ht="21" customHeight="1" outlineLevel="1" x14ac:dyDescent="0.25">
      <c r="A1432" s="12"/>
      <c r="B1432" s="12" t="s">
        <v>756</v>
      </c>
      <c r="C1432" s="12"/>
      <c r="D1432" s="30"/>
      <c r="E1432" s="12"/>
      <c r="F1432" s="18"/>
      <c r="G1432" s="38"/>
      <c r="H1432" s="38">
        <f ca="1">SUBTOTAL(9,H1421:H1431)</f>
        <v>256789.79999999996</v>
      </c>
      <c r="I1432" s="12"/>
      <c r="J1432" s="12"/>
      <c r="K1432" s="12"/>
      <c r="L1432" s="15">
        <v>256789.79999999996</v>
      </c>
    </row>
    <row r="1433" spans="1:12" ht="39.75" customHeight="1" outlineLevel="2" x14ac:dyDescent="0.25">
      <c r="A1433" s="10">
        <f>ROW(A1431)</f>
        <v>1431</v>
      </c>
      <c r="B1433" s="6" t="str">
        <f>E1433</f>
        <v>ЩС-3.1 (БЛОК 8, 9)</v>
      </c>
      <c r="C1433" s="6"/>
      <c r="D1433" s="28"/>
      <c r="E1433" s="6" t="s">
        <v>361</v>
      </c>
      <c r="F1433" s="36"/>
      <c r="G1433" s="36" t="s">
        <v>73</v>
      </c>
      <c r="H1433" s="7"/>
      <c r="I1433" s="10">
        <v>1</v>
      </c>
      <c r="J1433" s="11" t="s">
        <v>6</v>
      </c>
      <c r="K1433" s="6" t="s">
        <v>8</v>
      </c>
      <c r="L1433" s="9"/>
    </row>
    <row r="1434" spans="1:12" ht="21" customHeight="1" outlineLevel="2" x14ac:dyDescent="0.25">
      <c r="A1434" s="16">
        <f t="shared" si="190"/>
        <v>1433</v>
      </c>
      <c r="B1434" s="12" t="str">
        <f t="shared" ref="B1434:B1442" si="211">B1433</f>
        <v>ЩС-3.1 (БЛОК 8, 9)</v>
      </c>
      <c r="C1434" s="13" t="s">
        <v>7</v>
      </c>
      <c r="D1434" s="29" t="s">
        <v>470</v>
      </c>
      <c r="E1434" s="12" t="s">
        <v>471</v>
      </c>
      <c r="F1434" s="37">
        <v>19000</v>
      </c>
      <c r="G1434" s="38">
        <f t="shared" ref="G1434:G1440" si="212">F1434*0.6</f>
        <v>11400</v>
      </c>
      <c r="H1434" s="38">
        <f>I1434*G1434</f>
        <v>11400</v>
      </c>
      <c r="I1434" s="16">
        <v>1</v>
      </c>
      <c r="J1434" s="17" t="s">
        <v>12</v>
      </c>
      <c r="K1434" s="13" t="s">
        <v>15</v>
      </c>
      <c r="L1434" s="15">
        <v>11400</v>
      </c>
    </row>
    <row r="1435" spans="1:12" ht="21" customHeight="1" outlineLevel="2" x14ac:dyDescent="0.25">
      <c r="A1435" s="16">
        <f t="shared" si="190"/>
        <v>1434</v>
      </c>
      <c r="B1435" s="12" t="str">
        <f t="shared" si="211"/>
        <v>ЩС-3.1 (БЛОК 8, 9)</v>
      </c>
      <c r="C1435" s="13" t="s">
        <v>11</v>
      </c>
      <c r="D1435" s="29" t="s">
        <v>28</v>
      </c>
      <c r="E1435" s="12" t="s">
        <v>27</v>
      </c>
      <c r="F1435" s="37">
        <v>2606</v>
      </c>
      <c r="G1435" s="38">
        <f t="shared" si="212"/>
        <v>1563.6</v>
      </c>
      <c r="H1435" s="38">
        <f t="shared" ref="H1435:H1441" si="213">G1435*I1435</f>
        <v>1563.6</v>
      </c>
      <c r="I1435" s="16">
        <v>1</v>
      </c>
      <c r="J1435" s="17" t="s">
        <v>12</v>
      </c>
      <c r="K1435" s="13" t="s">
        <v>16</v>
      </c>
      <c r="L1435" s="15">
        <v>1563.6</v>
      </c>
    </row>
    <row r="1436" spans="1:12" ht="21" customHeight="1" outlineLevel="2" x14ac:dyDescent="0.25">
      <c r="A1436" s="16">
        <f t="shared" si="190"/>
        <v>1435</v>
      </c>
      <c r="B1436" s="12" t="str">
        <f t="shared" si="211"/>
        <v>ЩС-3.1 (БЛОК 8, 9)</v>
      </c>
      <c r="C1436" s="13" t="s">
        <v>22</v>
      </c>
      <c r="D1436" s="29" t="s">
        <v>96</v>
      </c>
      <c r="E1436" s="12" t="s">
        <v>97</v>
      </c>
      <c r="F1436" s="37">
        <v>5069</v>
      </c>
      <c r="G1436" s="38">
        <f t="shared" si="212"/>
        <v>3041.4</v>
      </c>
      <c r="H1436" s="38">
        <f t="shared" si="213"/>
        <v>3041.4</v>
      </c>
      <c r="I1436" s="16">
        <v>1</v>
      </c>
      <c r="J1436" s="17" t="s">
        <v>12</v>
      </c>
      <c r="K1436" s="13" t="s">
        <v>16</v>
      </c>
      <c r="L1436" s="15">
        <v>3041.4</v>
      </c>
    </row>
    <row r="1437" spans="1:12" ht="21" customHeight="1" outlineLevel="2" x14ac:dyDescent="0.25">
      <c r="A1437" s="16">
        <f t="shared" si="190"/>
        <v>1436</v>
      </c>
      <c r="B1437" s="12" t="str">
        <f t="shared" si="211"/>
        <v>ЩС-3.1 (БЛОК 8, 9)</v>
      </c>
      <c r="C1437" s="13" t="s">
        <v>22</v>
      </c>
      <c r="D1437" s="29" t="s">
        <v>268</v>
      </c>
      <c r="E1437" s="12" t="s">
        <v>269</v>
      </c>
      <c r="F1437" s="37">
        <v>5632</v>
      </c>
      <c r="G1437" s="38">
        <f t="shared" si="212"/>
        <v>3379.2</v>
      </c>
      <c r="H1437" s="38">
        <f t="shared" si="213"/>
        <v>20275.199999999997</v>
      </c>
      <c r="I1437" s="16">
        <v>6</v>
      </c>
      <c r="J1437" s="17" t="s">
        <v>12</v>
      </c>
      <c r="K1437" s="13" t="s">
        <v>16</v>
      </c>
      <c r="L1437" s="15">
        <v>20275.199999999997</v>
      </c>
    </row>
    <row r="1438" spans="1:12" ht="21" customHeight="1" outlineLevel="2" x14ac:dyDescent="0.25">
      <c r="A1438" s="16">
        <f t="shared" si="190"/>
        <v>1437</v>
      </c>
      <c r="B1438" s="12" t="str">
        <f t="shared" si="211"/>
        <v>ЩС-3.1 (БЛОК 8, 9)</v>
      </c>
      <c r="C1438" s="13" t="s">
        <v>22</v>
      </c>
      <c r="D1438" s="29" t="s">
        <v>117</v>
      </c>
      <c r="E1438" s="12" t="s">
        <v>118</v>
      </c>
      <c r="F1438" s="37">
        <v>5104</v>
      </c>
      <c r="G1438" s="38">
        <f t="shared" si="212"/>
        <v>3062.4</v>
      </c>
      <c r="H1438" s="38">
        <f t="shared" si="213"/>
        <v>6124.8</v>
      </c>
      <c r="I1438" s="16">
        <v>2</v>
      </c>
      <c r="J1438" s="17" t="s">
        <v>12</v>
      </c>
      <c r="K1438" s="13" t="s">
        <v>16</v>
      </c>
      <c r="L1438" s="15">
        <v>6124.8</v>
      </c>
    </row>
    <row r="1439" spans="1:12" ht="21" customHeight="1" outlineLevel="2" x14ac:dyDescent="0.25">
      <c r="A1439" s="16">
        <f t="shared" si="190"/>
        <v>1438</v>
      </c>
      <c r="B1439" s="12" t="str">
        <f t="shared" si="211"/>
        <v>ЩС-3.1 (БЛОК 8, 9)</v>
      </c>
      <c r="C1439" s="13" t="s">
        <v>22</v>
      </c>
      <c r="D1439" s="29" t="s">
        <v>250</v>
      </c>
      <c r="E1439" s="12" t="s">
        <v>251</v>
      </c>
      <c r="F1439" s="37">
        <v>8352</v>
      </c>
      <c r="G1439" s="38">
        <f t="shared" si="212"/>
        <v>5011.2</v>
      </c>
      <c r="H1439" s="38">
        <f t="shared" si="213"/>
        <v>10022.4</v>
      </c>
      <c r="I1439" s="16">
        <v>2</v>
      </c>
      <c r="J1439" s="17" t="s">
        <v>12</v>
      </c>
      <c r="K1439" s="13" t="s">
        <v>16</v>
      </c>
      <c r="L1439" s="15">
        <v>10022.4</v>
      </c>
    </row>
    <row r="1440" spans="1:12" ht="21" customHeight="1" outlineLevel="2" x14ac:dyDescent="0.25">
      <c r="A1440" s="16">
        <f t="shared" ref="A1440:A1510" si="214">ROW(A1439)</f>
        <v>1439</v>
      </c>
      <c r="B1440" s="12" t="str">
        <f t="shared" si="211"/>
        <v>ЩС-3.1 (БЛОК 8, 9)</v>
      </c>
      <c r="C1440" s="13" t="s">
        <v>22</v>
      </c>
      <c r="D1440" s="29" t="s">
        <v>270</v>
      </c>
      <c r="E1440" s="12" t="s">
        <v>271</v>
      </c>
      <c r="F1440" s="37">
        <v>5719</v>
      </c>
      <c r="G1440" s="38">
        <f t="shared" si="212"/>
        <v>3431.4</v>
      </c>
      <c r="H1440" s="38">
        <f t="shared" si="213"/>
        <v>3431.4</v>
      </c>
      <c r="I1440" s="16">
        <v>1</v>
      </c>
      <c r="J1440" s="17" t="s">
        <v>12</v>
      </c>
      <c r="K1440" s="13" t="s">
        <v>16</v>
      </c>
      <c r="L1440" s="15">
        <v>3431.4</v>
      </c>
    </row>
    <row r="1441" spans="1:12" ht="24" customHeight="1" outlineLevel="2" x14ac:dyDescent="0.25">
      <c r="A1441" s="12">
        <f t="shared" si="214"/>
        <v>1440</v>
      </c>
      <c r="B1441" s="12" t="str">
        <f t="shared" si="211"/>
        <v>ЩС-3.1 (БЛОК 8, 9)</v>
      </c>
      <c r="C1441" s="12" t="s">
        <v>9</v>
      </c>
      <c r="D1441" s="30" t="s">
        <v>9</v>
      </c>
      <c r="E1441" s="12" t="s">
        <v>9</v>
      </c>
      <c r="F1441" s="18">
        <f ca="1">OFFSET(F1441,1,2)</f>
        <v>18000</v>
      </c>
      <c r="G1441" s="38">
        <f ca="1">F1441</f>
        <v>18000</v>
      </c>
      <c r="H1441" s="38">
        <f t="shared" ca="1" si="213"/>
        <v>18000</v>
      </c>
      <c r="I1441" s="12">
        <v>1</v>
      </c>
      <c r="J1441" s="12" t="s">
        <v>12</v>
      </c>
      <c r="K1441" s="12" t="s">
        <v>9</v>
      </c>
      <c r="L1441" s="15">
        <v>18000</v>
      </c>
    </row>
    <row r="1442" spans="1:12" ht="21" customHeight="1" outlineLevel="2" x14ac:dyDescent="0.25">
      <c r="A1442" s="12">
        <f t="shared" si="214"/>
        <v>1441</v>
      </c>
      <c r="B1442" s="12" t="str">
        <f t="shared" si="211"/>
        <v>ЩС-3.1 (БЛОК 8, 9)</v>
      </c>
      <c r="C1442" s="12" t="s">
        <v>10</v>
      </c>
      <c r="D1442" s="30" t="s">
        <v>10</v>
      </c>
      <c r="E1442" s="12" t="s">
        <v>10</v>
      </c>
      <c r="F1442" s="18">
        <v>3</v>
      </c>
      <c r="G1442" s="38">
        <v>100</v>
      </c>
      <c r="H1442" s="38">
        <f>60*F1442*G1442</f>
        <v>18000</v>
      </c>
      <c r="I1442" s="12">
        <f>60*F1442</f>
        <v>180</v>
      </c>
      <c r="J1442" s="12" t="s">
        <v>12</v>
      </c>
      <c r="K1442" s="12" t="s">
        <v>10</v>
      </c>
      <c r="L1442" s="15">
        <v>18000</v>
      </c>
    </row>
    <row r="1443" spans="1:12" ht="21" customHeight="1" outlineLevel="1" x14ac:dyDescent="0.25">
      <c r="A1443" s="12"/>
      <c r="B1443" s="12" t="s">
        <v>757</v>
      </c>
      <c r="C1443" s="12"/>
      <c r="D1443" s="30"/>
      <c r="E1443" s="12"/>
      <c r="F1443" s="18"/>
      <c r="G1443" s="38"/>
      <c r="H1443" s="38">
        <f ca="1">SUBTOTAL(9,H1433:H1442)</f>
        <v>91858.8</v>
      </c>
      <c r="I1443" s="12"/>
      <c r="J1443" s="12"/>
      <c r="K1443" s="12"/>
      <c r="L1443" s="15">
        <v>91858.8</v>
      </c>
    </row>
    <row r="1444" spans="1:12" ht="39.75" customHeight="1" outlineLevel="2" x14ac:dyDescent="0.25">
      <c r="A1444" s="10">
        <f>ROW(A1442)</f>
        <v>1442</v>
      </c>
      <c r="B1444" s="6" t="str">
        <f>E1444</f>
        <v>ЩC-3.2 (БЛОК 8, 9)</v>
      </c>
      <c r="C1444" s="6"/>
      <c r="D1444" s="28"/>
      <c r="E1444" s="6" t="s">
        <v>362</v>
      </c>
      <c r="F1444" s="36"/>
      <c r="G1444" s="36" t="s">
        <v>73</v>
      </c>
      <c r="H1444" s="7"/>
      <c r="I1444" s="10">
        <v>1</v>
      </c>
      <c r="J1444" s="11" t="s">
        <v>6</v>
      </c>
      <c r="K1444" s="6" t="s">
        <v>8</v>
      </c>
      <c r="L1444" s="9"/>
    </row>
    <row r="1445" spans="1:12" ht="21" customHeight="1" outlineLevel="2" x14ac:dyDescent="0.25">
      <c r="A1445" s="16">
        <f t="shared" si="214"/>
        <v>1444</v>
      </c>
      <c r="B1445" s="12" t="str">
        <f t="shared" ref="B1445:B1452" si="215">B1444</f>
        <v>ЩC-3.2 (БЛОК 8, 9)</v>
      </c>
      <c r="C1445" s="13" t="s">
        <v>7</v>
      </c>
      <c r="D1445" s="29" t="s">
        <v>472</v>
      </c>
      <c r="E1445" s="12" t="s">
        <v>473</v>
      </c>
      <c r="F1445" s="37">
        <v>22000</v>
      </c>
      <c r="G1445" s="38">
        <f t="shared" ref="G1445:G1450" si="216">F1445*0.6</f>
        <v>13200</v>
      </c>
      <c r="H1445" s="38">
        <f>I1445*G1445</f>
        <v>13200</v>
      </c>
      <c r="I1445" s="16">
        <v>1</v>
      </c>
      <c r="J1445" s="17" t="s">
        <v>12</v>
      </c>
      <c r="K1445" s="13" t="s">
        <v>15</v>
      </c>
      <c r="L1445" s="15">
        <v>13200</v>
      </c>
    </row>
    <row r="1446" spans="1:12" ht="21" customHeight="1" outlineLevel="2" x14ac:dyDescent="0.25">
      <c r="A1446" s="16">
        <f t="shared" si="214"/>
        <v>1445</v>
      </c>
      <c r="B1446" s="12" t="str">
        <f t="shared" si="215"/>
        <v>ЩC-3.2 (БЛОК 8, 9)</v>
      </c>
      <c r="C1446" s="13" t="s">
        <v>11</v>
      </c>
      <c r="D1446" s="29" t="s">
        <v>67</v>
      </c>
      <c r="E1446" s="12" t="s">
        <v>68</v>
      </c>
      <c r="F1446" s="37">
        <v>11015</v>
      </c>
      <c r="G1446" s="38">
        <f t="shared" si="216"/>
        <v>6609</v>
      </c>
      <c r="H1446" s="38">
        <f t="shared" ref="H1446" si="217">G1446*I1446</f>
        <v>6609</v>
      </c>
      <c r="I1446" s="16">
        <v>1</v>
      </c>
      <c r="J1446" s="17" t="s">
        <v>12</v>
      </c>
      <c r="K1446" s="13" t="s">
        <v>16</v>
      </c>
      <c r="L1446" s="15">
        <v>6609</v>
      </c>
    </row>
    <row r="1447" spans="1:12" ht="21" customHeight="1" outlineLevel="2" x14ac:dyDescent="0.25">
      <c r="A1447" s="16">
        <f t="shared" si="214"/>
        <v>1446</v>
      </c>
      <c r="B1447" s="12" t="str">
        <f t="shared" si="215"/>
        <v>ЩC-3.2 (БЛОК 8, 9)</v>
      </c>
      <c r="C1447" s="13" t="s">
        <v>11</v>
      </c>
      <c r="D1447" s="29" t="s">
        <v>185</v>
      </c>
      <c r="E1447" s="12" t="s">
        <v>186</v>
      </c>
      <c r="F1447" s="37">
        <v>10949</v>
      </c>
      <c r="G1447" s="38">
        <f t="shared" si="216"/>
        <v>6569.4</v>
      </c>
      <c r="H1447" s="38">
        <f>G1447*I1447</f>
        <v>39416.399999999994</v>
      </c>
      <c r="I1447" s="16">
        <v>6</v>
      </c>
      <c r="J1447" s="17" t="s">
        <v>12</v>
      </c>
      <c r="K1447" s="13" t="s">
        <v>16</v>
      </c>
      <c r="L1447" s="15">
        <v>39416.399999999994</v>
      </c>
    </row>
    <row r="1448" spans="1:12" ht="21" customHeight="1" outlineLevel="2" x14ac:dyDescent="0.25">
      <c r="A1448" s="16">
        <f t="shared" si="214"/>
        <v>1447</v>
      </c>
      <c r="B1448" s="12" t="str">
        <f t="shared" si="215"/>
        <v>ЩC-3.2 (БЛОК 8, 9)</v>
      </c>
      <c r="C1448" s="13" t="s">
        <v>22</v>
      </c>
      <c r="D1448" s="29" t="s">
        <v>266</v>
      </c>
      <c r="E1448" s="12" t="s">
        <v>267</v>
      </c>
      <c r="F1448" s="37">
        <v>5552</v>
      </c>
      <c r="G1448" s="38">
        <f t="shared" si="216"/>
        <v>3331.2</v>
      </c>
      <c r="H1448" s="38">
        <f t="shared" ref="H1448" si="218">G1448*I1448</f>
        <v>3331.2</v>
      </c>
      <c r="I1448" s="16">
        <v>1</v>
      </c>
      <c r="J1448" s="17" t="s">
        <v>12</v>
      </c>
      <c r="K1448" s="13" t="s">
        <v>16</v>
      </c>
      <c r="L1448" s="15">
        <v>3331.2</v>
      </c>
    </row>
    <row r="1449" spans="1:12" ht="21" customHeight="1" outlineLevel="2" x14ac:dyDescent="0.25">
      <c r="A1449" s="16">
        <f t="shared" si="214"/>
        <v>1448</v>
      </c>
      <c r="B1449" s="12" t="str">
        <f t="shared" si="215"/>
        <v>ЩC-3.2 (БЛОК 8, 9)</v>
      </c>
      <c r="C1449" s="13" t="s">
        <v>22</v>
      </c>
      <c r="D1449" s="29" t="s">
        <v>270</v>
      </c>
      <c r="E1449" s="12" t="s">
        <v>271</v>
      </c>
      <c r="F1449" s="37">
        <v>5719</v>
      </c>
      <c r="G1449" s="38">
        <f t="shared" si="216"/>
        <v>3431.4</v>
      </c>
      <c r="H1449" s="38">
        <f>G1449*I1449</f>
        <v>10294.200000000001</v>
      </c>
      <c r="I1449" s="16">
        <v>3</v>
      </c>
      <c r="J1449" s="17" t="s">
        <v>12</v>
      </c>
      <c r="K1449" s="13" t="s">
        <v>16</v>
      </c>
      <c r="L1449" s="15">
        <v>10294.200000000001</v>
      </c>
    </row>
    <row r="1450" spans="1:12" ht="21" customHeight="1" outlineLevel="2" x14ac:dyDescent="0.25">
      <c r="A1450" s="16">
        <f t="shared" si="214"/>
        <v>1449</v>
      </c>
      <c r="B1450" s="12" t="str">
        <f t="shared" si="215"/>
        <v>ЩC-3.2 (БЛОК 8, 9)</v>
      </c>
      <c r="C1450" s="13" t="s">
        <v>22</v>
      </c>
      <c r="D1450" s="29" t="s">
        <v>250</v>
      </c>
      <c r="E1450" s="12" t="s">
        <v>251</v>
      </c>
      <c r="F1450" s="37">
        <v>8352</v>
      </c>
      <c r="G1450" s="38">
        <f t="shared" si="216"/>
        <v>5011.2</v>
      </c>
      <c r="H1450" s="38">
        <f t="shared" ref="H1450:H1451" si="219">G1450*I1450</f>
        <v>5011.2</v>
      </c>
      <c r="I1450" s="16">
        <v>1</v>
      </c>
      <c r="J1450" s="17" t="s">
        <v>12</v>
      </c>
      <c r="K1450" s="13" t="s">
        <v>16</v>
      </c>
      <c r="L1450" s="15">
        <v>5011.2</v>
      </c>
    </row>
    <row r="1451" spans="1:12" ht="24" customHeight="1" outlineLevel="2" x14ac:dyDescent="0.25">
      <c r="A1451" s="12">
        <f t="shared" si="214"/>
        <v>1450</v>
      </c>
      <c r="B1451" s="12" t="str">
        <f t="shared" si="215"/>
        <v>ЩC-3.2 (БЛОК 8, 9)</v>
      </c>
      <c r="C1451" s="12" t="s">
        <v>9</v>
      </c>
      <c r="D1451" s="30" t="s">
        <v>9</v>
      </c>
      <c r="E1451" s="12" t="s">
        <v>9</v>
      </c>
      <c r="F1451" s="18">
        <f ca="1">OFFSET(F1451,1,2)</f>
        <v>15000</v>
      </c>
      <c r="G1451" s="38">
        <f ca="1">F1451</f>
        <v>15000</v>
      </c>
      <c r="H1451" s="38">
        <f t="shared" ca="1" si="219"/>
        <v>15000</v>
      </c>
      <c r="I1451" s="12">
        <v>1</v>
      </c>
      <c r="J1451" s="12" t="s">
        <v>12</v>
      </c>
      <c r="K1451" s="12" t="s">
        <v>9</v>
      </c>
      <c r="L1451" s="15">
        <v>15000</v>
      </c>
    </row>
    <row r="1452" spans="1:12" ht="21" customHeight="1" outlineLevel="2" x14ac:dyDescent="0.25">
      <c r="A1452" s="12">
        <f t="shared" si="214"/>
        <v>1451</v>
      </c>
      <c r="B1452" s="12" t="str">
        <f t="shared" si="215"/>
        <v>ЩC-3.2 (БЛОК 8, 9)</v>
      </c>
      <c r="C1452" s="12" t="s">
        <v>10</v>
      </c>
      <c r="D1452" s="30" t="s">
        <v>10</v>
      </c>
      <c r="E1452" s="12" t="s">
        <v>10</v>
      </c>
      <c r="F1452" s="18">
        <v>2.5</v>
      </c>
      <c r="G1452" s="38">
        <v>100</v>
      </c>
      <c r="H1452" s="38">
        <f>60*F1452*G1452</f>
        <v>15000</v>
      </c>
      <c r="I1452" s="12">
        <f>60*F1452</f>
        <v>150</v>
      </c>
      <c r="J1452" s="12" t="s">
        <v>12</v>
      </c>
      <c r="K1452" s="12" t="s">
        <v>10</v>
      </c>
      <c r="L1452" s="15">
        <v>15000</v>
      </c>
    </row>
    <row r="1453" spans="1:12" ht="21" customHeight="1" outlineLevel="1" x14ac:dyDescent="0.25">
      <c r="A1453" s="12"/>
      <c r="B1453" s="12" t="s">
        <v>758</v>
      </c>
      <c r="C1453" s="12"/>
      <c r="D1453" s="30"/>
      <c r="E1453" s="12"/>
      <c r="F1453" s="18"/>
      <c r="G1453" s="38"/>
      <c r="H1453" s="38">
        <f ca="1">SUBTOTAL(9,H1444:H1452)</f>
        <v>107861.99999999999</v>
      </c>
      <c r="I1453" s="12"/>
      <c r="J1453" s="12"/>
      <c r="K1453" s="12"/>
      <c r="L1453" s="15">
        <v>107861.99999999999</v>
      </c>
    </row>
    <row r="1454" spans="1:12" ht="39.75" customHeight="1" outlineLevel="2" x14ac:dyDescent="0.25">
      <c r="A1454" s="10">
        <f>ROW(A1452)</f>
        <v>1452</v>
      </c>
      <c r="B1454" s="6" t="str">
        <f>E1454</f>
        <v>ЩС-4.1 (БЛОК 8, 9)</v>
      </c>
      <c r="C1454" s="6"/>
      <c r="D1454" s="28"/>
      <c r="E1454" s="6" t="s">
        <v>363</v>
      </c>
      <c r="F1454" s="36"/>
      <c r="G1454" s="36" t="s">
        <v>73</v>
      </c>
      <c r="H1454" s="7"/>
      <c r="I1454" s="10">
        <v>1</v>
      </c>
      <c r="J1454" s="11" t="s">
        <v>6</v>
      </c>
      <c r="K1454" s="6" t="s">
        <v>8</v>
      </c>
      <c r="L1454" s="9"/>
    </row>
    <row r="1455" spans="1:12" ht="21" customHeight="1" outlineLevel="2" x14ac:dyDescent="0.25">
      <c r="A1455" s="16">
        <f t="shared" si="214"/>
        <v>1454</v>
      </c>
      <c r="B1455" s="12" t="str">
        <f t="shared" ref="B1455:B1463" si="220">B1454</f>
        <v>ЩС-4.1 (БЛОК 8, 9)</v>
      </c>
      <c r="C1455" s="13" t="s">
        <v>7</v>
      </c>
      <c r="D1455" s="29" t="s">
        <v>470</v>
      </c>
      <c r="E1455" s="12" t="s">
        <v>471</v>
      </c>
      <c r="F1455" s="37">
        <v>19000</v>
      </c>
      <c r="G1455" s="38">
        <f t="shared" ref="G1455:G1461" si="221">F1455*0.6</f>
        <v>11400</v>
      </c>
      <c r="H1455" s="38">
        <f>I1455*G1455</f>
        <v>11400</v>
      </c>
      <c r="I1455" s="16">
        <v>1</v>
      </c>
      <c r="J1455" s="17" t="s">
        <v>12</v>
      </c>
      <c r="K1455" s="13" t="s">
        <v>15</v>
      </c>
      <c r="L1455" s="15">
        <v>11400</v>
      </c>
    </row>
    <row r="1456" spans="1:12" ht="21" customHeight="1" outlineLevel="2" x14ac:dyDescent="0.25">
      <c r="A1456" s="16">
        <f t="shared" si="214"/>
        <v>1455</v>
      </c>
      <c r="B1456" s="12" t="str">
        <f t="shared" si="220"/>
        <v>ЩС-4.1 (БЛОК 8, 9)</v>
      </c>
      <c r="C1456" s="13" t="s">
        <v>11</v>
      </c>
      <c r="D1456" s="29" t="s">
        <v>28</v>
      </c>
      <c r="E1456" s="12" t="s">
        <v>27</v>
      </c>
      <c r="F1456" s="37">
        <v>2606</v>
      </c>
      <c r="G1456" s="38">
        <f t="shared" si="221"/>
        <v>1563.6</v>
      </c>
      <c r="H1456" s="38">
        <f t="shared" ref="H1456:H1462" si="222">G1456*I1456</f>
        <v>1563.6</v>
      </c>
      <c r="I1456" s="16">
        <v>1</v>
      </c>
      <c r="J1456" s="17" t="s">
        <v>12</v>
      </c>
      <c r="K1456" s="13" t="s">
        <v>16</v>
      </c>
      <c r="L1456" s="15">
        <v>1563.6</v>
      </c>
    </row>
    <row r="1457" spans="1:12" ht="21" customHeight="1" outlineLevel="2" x14ac:dyDescent="0.25">
      <c r="A1457" s="16">
        <f t="shared" si="214"/>
        <v>1456</v>
      </c>
      <c r="B1457" s="12" t="str">
        <f t="shared" si="220"/>
        <v>ЩС-4.1 (БЛОК 8, 9)</v>
      </c>
      <c r="C1457" s="13" t="s">
        <v>22</v>
      </c>
      <c r="D1457" s="29" t="s">
        <v>96</v>
      </c>
      <c r="E1457" s="12" t="s">
        <v>97</v>
      </c>
      <c r="F1457" s="37">
        <v>5069</v>
      </c>
      <c r="G1457" s="38">
        <f t="shared" si="221"/>
        <v>3041.4</v>
      </c>
      <c r="H1457" s="38">
        <f t="shared" si="222"/>
        <v>3041.4</v>
      </c>
      <c r="I1457" s="16">
        <v>1</v>
      </c>
      <c r="J1457" s="17" t="s">
        <v>12</v>
      </c>
      <c r="K1457" s="13" t="s">
        <v>16</v>
      </c>
      <c r="L1457" s="15">
        <v>3041.4</v>
      </c>
    </row>
    <row r="1458" spans="1:12" ht="21" customHeight="1" outlineLevel="2" x14ac:dyDescent="0.25">
      <c r="A1458" s="16">
        <f t="shared" si="214"/>
        <v>1457</v>
      </c>
      <c r="B1458" s="12" t="str">
        <f t="shared" si="220"/>
        <v>ЩС-4.1 (БЛОК 8, 9)</v>
      </c>
      <c r="C1458" s="13" t="s">
        <v>22</v>
      </c>
      <c r="D1458" s="29" t="s">
        <v>268</v>
      </c>
      <c r="E1458" s="12" t="s">
        <v>269</v>
      </c>
      <c r="F1458" s="37">
        <v>5632</v>
      </c>
      <c r="G1458" s="38">
        <f t="shared" si="221"/>
        <v>3379.2</v>
      </c>
      <c r="H1458" s="38">
        <f t="shared" si="222"/>
        <v>20275.199999999997</v>
      </c>
      <c r="I1458" s="16">
        <v>6</v>
      </c>
      <c r="J1458" s="17" t="s">
        <v>12</v>
      </c>
      <c r="K1458" s="13" t="s">
        <v>16</v>
      </c>
      <c r="L1458" s="15">
        <v>20275.199999999997</v>
      </c>
    </row>
    <row r="1459" spans="1:12" ht="21" customHeight="1" outlineLevel="2" x14ac:dyDescent="0.25">
      <c r="A1459" s="16">
        <f t="shared" si="214"/>
        <v>1458</v>
      </c>
      <c r="B1459" s="12" t="str">
        <f t="shared" si="220"/>
        <v>ЩС-4.1 (БЛОК 8, 9)</v>
      </c>
      <c r="C1459" s="13" t="s">
        <v>22</v>
      </c>
      <c r="D1459" s="29" t="s">
        <v>117</v>
      </c>
      <c r="E1459" s="12" t="s">
        <v>118</v>
      </c>
      <c r="F1459" s="37">
        <v>5104</v>
      </c>
      <c r="G1459" s="38">
        <f t="shared" si="221"/>
        <v>3062.4</v>
      </c>
      <c r="H1459" s="38">
        <f t="shared" si="222"/>
        <v>6124.8</v>
      </c>
      <c r="I1459" s="16">
        <v>2</v>
      </c>
      <c r="J1459" s="17" t="s">
        <v>12</v>
      </c>
      <c r="K1459" s="13" t="s">
        <v>16</v>
      </c>
      <c r="L1459" s="15">
        <v>6124.8</v>
      </c>
    </row>
    <row r="1460" spans="1:12" ht="21" customHeight="1" outlineLevel="2" x14ac:dyDescent="0.25">
      <c r="A1460" s="16">
        <f t="shared" si="214"/>
        <v>1459</v>
      </c>
      <c r="B1460" s="12" t="str">
        <f t="shared" si="220"/>
        <v>ЩС-4.1 (БЛОК 8, 9)</v>
      </c>
      <c r="C1460" s="13" t="s">
        <v>22</v>
      </c>
      <c r="D1460" s="29" t="s">
        <v>250</v>
      </c>
      <c r="E1460" s="12" t="s">
        <v>251</v>
      </c>
      <c r="F1460" s="37">
        <v>8352</v>
      </c>
      <c r="G1460" s="38">
        <f t="shared" si="221"/>
        <v>5011.2</v>
      </c>
      <c r="H1460" s="38">
        <f t="shared" si="222"/>
        <v>10022.4</v>
      </c>
      <c r="I1460" s="16">
        <v>2</v>
      </c>
      <c r="J1460" s="17" t="s">
        <v>12</v>
      </c>
      <c r="K1460" s="13" t="s">
        <v>16</v>
      </c>
      <c r="L1460" s="15">
        <v>10022.4</v>
      </c>
    </row>
    <row r="1461" spans="1:12" ht="21" customHeight="1" outlineLevel="2" x14ac:dyDescent="0.25">
      <c r="A1461" s="16">
        <f t="shared" si="214"/>
        <v>1460</v>
      </c>
      <c r="B1461" s="12" t="str">
        <f t="shared" si="220"/>
        <v>ЩС-4.1 (БЛОК 8, 9)</v>
      </c>
      <c r="C1461" s="13" t="s">
        <v>22</v>
      </c>
      <c r="D1461" s="29" t="s">
        <v>270</v>
      </c>
      <c r="E1461" s="12" t="s">
        <v>271</v>
      </c>
      <c r="F1461" s="37">
        <v>5719</v>
      </c>
      <c r="G1461" s="38">
        <f t="shared" si="221"/>
        <v>3431.4</v>
      </c>
      <c r="H1461" s="38">
        <f t="shared" si="222"/>
        <v>3431.4</v>
      </c>
      <c r="I1461" s="16">
        <v>1</v>
      </c>
      <c r="J1461" s="17" t="s">
        <v>12</v>
      </c>
      <c r="K1461" s="13" t="s">
        <v>16</v>
      </c>
      <c r="L1461" s="15">
        <v>3431.4</v>
      </c>
    </row>
    <row r="1462" spans="1:12" ht="24" customHeight="1" outlineLevel="2" x14ac:dyDescent="0.25">
      <c r="A1462" s="12">
        <f t="shared" si="214"/>
        <v>1461</v>
      </c>
      <c r="B1462" s="12" t="str">
        <f t="shared" si="220"/>
        <v>ЩС-4.1 (БЛОК 8, 9)</v>
      </c>
      <c r="C1462" s="12" t="s">
        <v>9</v>
      </c>
      <c r="D1462" s="30" t="s">
        <v>9</v>
      </c>
      <c r="E1462" s="12" t="s">
        <v>9</v>
      </c>
      <c r="F1462" s="18">
        <f ca="1">OFFSET(F1462,1,2)</f>
        <v>18000</v>
      </c>
      <c r="G1462" s="38">
        <f ca="1">F1462</f>
        <v>18000</v>
      </c>
      <c r="H1462" s="38">
        <f t="shared" ca="1" si="222"/>
        <v>18000</v>
      </c>
      <c r="I1462" s="12">
        <v>1</v>
      </c>
      <c r="J1462" s="12" t="s">
        <v>12</v>
      </c>
      <c r="K1462" s="12" t="s">
        <v>9</v>
      </c>
      <c r="L1462" s="15">
        <v>18000</v>
      </c>
    </row>
    <row r="1463" spans="1:12" ht="21" customHeight="1" outlineLevel="2" x14ac:dyDescent="0.25">
      <c r="A1463" s="12">
        <f t="shared" si="214"/>
        <v>1462</v>
      </c>
      <c r="B1463" s="12" t="str">
        <f t="shared" si="220"/>
        <v>ЩС-4.1 (БЛОК 8, 9)</v>
      </c>
      <c r="C1463" s="12" t="s">
        <v>10</v>
      </c>
      <c r="D1463" s="30" t="s">
        <v>10</v>
      </c>
      <c r="E1463" s="12" t="s">
        <v>10</v>
      </c>
      <c r="F1463" s="18">
        <v>3</v>
      </c>
      <c r="G1463" s="38">
        <v>100</v>
      </c>
      <c r="H1463" s="38">
        <f>60*F1463*G1463</f>
        <v>18000</v>
      </c>
      <c r="I1463" s="12">
        <f>60*F1463</f>
        <v>180</v>
      </c>
      <c r="J1463" s="12" t="s">
        <v>12</v>
      </c>
      <c r="K1463" s="12" t="s">
        <v>10</v>
      </c>
      <c r="L1463" s="15">
        <v>18000</v>
      </c>
    </row>
    <row r="1464" spans="1:12" ht="21" customHeight="1" outlineLevel="1" x14ac:dyDescent="0.25">
      <c r="A1464" s="12"/>
      <c r="B1464" s="12" t="s">
        <v>759</v>
      </c>
      <c r="C1464" s="12"/>
      <c r="D1464" s="30"/>
      <c r="E1464" s="12"/>
      <c r="F1464" s="18"/>
      <c r="G1464" s="38"/>
      <c r="H1464" s="38">
        <f ca="1">SUBTOTAL(9,H1454:H1463)</f>
        <v>91858.8</v>
      </c>
      <c r="I1464" s="12"/>
      <c r="J1464" s="12"/>
      <c r="K1464" s="12"/>
      <c r="L1464" s="15">
        <v>91858.8</v>
      </c>
    </row>
    <row r="1465" spans="1:12" ht="39.75" customHeight="1" outlineLevel="2" x14ac:dyDescent="0.25">
      <c r="A1465" s="10">
        <f>ROW(A1463)</f>
        <v>1463</v>
      </c>
      <c r="B1465" s="6" t="str">
        <f>E1465</f>
        <v>ЩC-4.2 (БЛОК 8, 9)</v>
      </c>
      <c r="C1465" s="6"/>
      <c r="D1465" s="28"/>
      <c r="E1465" s="6" t="s">
        <v>364</v>
      </c>
      <c r="F1465" s="36"/>
      <c r="G1465" s="36" t="s">
        <v>73</v>
      </c>
      <c r="H1465" s="7"/>
      <c r="I1465" s="10">
        <v>1</v>
      </c>
      <c r="J1465" s="11" t="s">
        <v>6</v>
      </c>
      <c r="K1465" s="6" t="s">
        <v>8</v>
      </c>
      <c r="L1465" s="9"/>
    </row>
    <row r="1466" spans="1:12" ht="21" customHeight="1" outlineLevel="2" x14ac:dyDescent="0.25">
      <c r="A1466" s="16">
        <f t="shared" si="214"/>
        <v>1465</v>
      </c>
      <c r="B1466" s="12" t="str">
        <f t="shared" ref="B1466:B1473" si="223">B1465</f>
        <v>ЩC-4.2 (БЛОК 8, 9)</v>
      </c>
      <c r="C1466" s="13" t="s">
        <v>7</v>
      </c>
      <c r="D1466" s="29" t="s">
        <v>472</v>
      </c>
      <c r="E1466" s="12" t="s">
        <v>473</v>
      </c>
      <c r="F1466" s="37">
        <v>22000</v>
      </c>
      <c r="G1466" s="38">
        <f t="shared" ref="G1466:G1471" si="224">F1466*0.6</f>
        <v>13200</v>
      </c>
      <c r="H1466" s="38">
        <f>I1466*G1466</f>
        <v>13200</v>
      </c>
      <c r="I1466" s="16">
        <v>1</v>
      </c>
      <c r="J1466" s="17" t="s">
        <v>12</v>
      </c>
      <c r="K1466" s="13" t="s">
        <v>15</v>
      </c>
      <c r="L1466" s="15">
        <v>13200</v>
      </c>
    </row>
    <row r="1467" spans="1:12" ht="21" customHeight="1" outlineLevel="2" x14ac:dyDescent="0.25">
      <c r="A1467" s="16">
        <f t="shared" si="214"/>
        <v>1466</v>
      </c>
      <c r="B1467" s="12" t="str">
        <f t="shared" si="223"/>
        <v>ЩC-4.2 (БЛОК 8, 9)</v>
      </c>
      <c r="C1467" s="13" t="s">
        <v>11</v>
      </c>
      <c r="D1467" s="29" t="s">
        <v>67</v>
      </c>
      <c r="E1467" s="12" t="s">
        <v>68</v>
      </c>
      <c r="F1467" s="37">
        <v>11015</v>
      </c>
      <c r="G1467" s="38">
        <f t="shared" si="224"/>
        <v>6609</v>
      </c>
      <c r="H1467" s="38">
        <f t="shared" ref="H1467" si="225">G1467*I1467</f>
        <v>6609</v>
      </c>
      <c r="I1467" s="16">
        <v>1</v>
      </c>
      <c r="J1467" s="17" t="s">
        <v>12</v>
      </c>
      <c r="K1467" s="13" t="s">
        <v>16</v>
      </c>
      <c r="L1467" s="15">
        <v>6609</v>
      </c>
    </row>
    <row r="1468" spans="1:12" ht="21" customHeight="1" outlineLevel="2" x14ac:dyDescent="0.25">
      <c r="A1468" s="16">
        <f t="shared" si="214"/>
        <v>1467</v>
      </c>
      <c r="B1468" s="12" t="str">
        <f t="shared" si="223"/>
        <v>ЩC-4.2 (БЛОК 8, 9)</v>
      </c>
      <c r="C1468" s="13" t="s">
        <v>11</v>
      </c>
      <c r="D1468" s="29" t="s">
        <v>185</v>
      </c>
      <c r="E1468" s="12" t="s">
        <v>186</v>
      </c>
      <c r="F1468" s="37">
        <v>10949</v>
      </c>
      <c r="G1468" s="38">
        <f t="shared" si="224"/>
        <v>6569.4</v>
      </c>
      <c r="H1468" s="38">
        <f>G1468*I1468</f>
        <v>39416.399999999994</v>
      </c>
      <c r="I1468" s="16">
        <v>6</v>
      </c>
      <c r="J1468" s="17" t="s">
        <v>12</v>
      </c>
      <c r="K1468" s="13" t="s">
        <v>16</v>
      </c>
      <c r="L1468" s="15">
        <v>39416.399999999994</v>
      </c>
    </row>
    <row r="1469" spans="1:12" ht="21" customHeight="1" outlineLevel="2" x14ac:dyDescent="0.25">
      <c r="A1469" s="16">
        <f t="shared" si="214"/>
        <v>1468</v>
      </c>
      <c r="B1469" s="12" t="str">
        <f t="shared" si="223"/>
        <v>ЩC-4.2 (БЛОК 8, 9)</v>
      </c>
      <c r="C1469" s="13" t="s">
        <v>22</v>
      </c>
      <c r="D1469" s="29" t="s">
        <v>266</v>
      </c>
      <c r="E1469" s="12" t="s">
        <v>267</v>
      </c>
      <c r="F1469" s="37">
        <v>5552</v>
      </c>
      <c r="G1469" s="38">
        <f t="shared" si="224"/>
        <v>3331.2</v>
      </c>
      <c r="H1469" s="38">
        <f t="shared" ref="H1469" si="226">G1469*I1469</f>
        <v>3331.2</v>
      </c>
      <c r="I1469" s="16">
        <v>1</v>
      </c>
      <c r="J1469" s="17" t="s">
        <v>12</v>
      </c>
      <c r="K1469" s="13" t="s">
        <v>16</v>
      </c>
      <c r="L1469" s="15">
        <v>3331.2</v>
      </c>
    </row>
    <row r="1470" spans="1:12" ht="21" customHeight="1" outlineLevel="2" x14ac:dyDescent="0.25">
      <c r="A1470" s="16">
        <f t="shared" si="214"/>
        <v>1469</v>
      </c>
      <c r="B1470" s="12" t="str">
        <f t="shared" si="223"/>
        <v>ЩC-4.2 (БЛОК 8, 9)</v>
      </c>
      <c r="C1470" s="13" t="s">
        <v>22</v>
      </c>
      <c r="D1470" s="29" t="s">
        <v>270</v>
      </c>
      <c r="E1470" s="12" t="s">
        <v>271</v>
      </c>
      <c r="F1470" s="37">
        <v>5719</v>
      </c>
      <c r="G1470" s="38">
        <f t="shared" si="224"/>
        <v>3431.4</v>
      </c>
      <c r="H1470" s="38">
        <f>G1470*I1470</f>
        <v>10294.200000000001</v>
      </c>
      <c r="I1470" s="16">
        <v>3</v>
      </c>
      <c r="J1470" s="17" t="s">
        <v>12</v>
      </c>
      <c r="K1470" s="13" t="s">
        <v>16</v>
      </c>
      <c r="L1470" s="15">
        <v>10294.200000000001</v>
      </c>
    </row>
    <row r="1471" spans="1:12" ht="21" customHeight="1" outlineLevel="2" x14ac:dyDescent="0.25">
      <c r="A1471" s="16">
        <f t="shared" si="214"/>
        <v>1470</v>
      </c>
      <c r="B1471" s="12" t="str">
        <f t="shared" si="223"/>
        <v>ЩC-4.2 (БЛОК 8, 9)</v>
      </c>
      <c r="C1471" s="13" t="s">
        <v>22</v>
      </c>
      <c r="D1471" s="29" t="s">
        <v>250</v>
      </c>
      <c r="E1471" s="12" t="s">
        <v>251</v>
      </c>
      <c r="F1471" s="37">
        <v>8352</v>
      </c>
      <c r="G1471" s="38">
        <f t="shared" si="224"/>
        <v>5011.2</v>
      </c>
      <c r="H1471" s="38">
        <f t="shared" ref="H1471:H1472" si="227">G1471*I1471</f>
        <v>5011.2</v>
      </c>
      <c r="I1471" s="16">
        <v>1</v>
      </c>
      <c r="J1471" s="17" t="s">
        <v>12</v>
      </c>
      <c r="K1471" s="13" t="s">
        <v>16</v>
      </c>
      <c r="L1471" s="15">
        <v>5011.2</v>
      </c>
    </row>
    <row r="1472" spans="1:12" ht="24" customHeight="1" outlineLevel="2" x14ac:dyDescent="0.25">
      <c r="A1472" s="12">
        <f t="shared" si="214"/>
        <v>1471</v>
      </c>
      <c r="B1472" s="12" t="str">
        <f t="shared" si="223"/>
        <v>ЩC-4.2 (БЛОК 8, 9)</v>
      </c>
      <c r="C1472" s="12" t="s">
        <v>9</v>
      </c>
      <c r="D1472" s="30" t="s">
        <v>9</v>
      </c>
      <c r="E1472" s="12" t="s">
        <v>9</v>
      </c>
      <c r="F1472" s="18">
        <f ca="1">OFFSET(F1472,1,2)</f>
        <v>15000</v>
      </c>
      <c r="G1472" s="38">
        <f ca="1">F1472</f>
        <v>15000</v>
      </c>
      <c r="H1472" s="38">
        <f t="shared" ca="1" si="227"/>
        <v>15000</v>
      </c>
      <c r="I1472" s="12">
        <v>1</v>
      </c>
      <c r="J1472" s="12" t="s">
        <v>12</v>
      </c>
      <c r="K1472" s="12" t="s">
        <v>9</v>
      </c>
      <c r="L1472" s="15">
        <v>15000</v>
      </c>
    </row>
    <row r="1473" spans="1:12" ht="21" customHeight="1" outlineLevel="2" x14ac:dyDescent="0.25">
      <c r="A1473" s="12">
        <f t="shared" si="214"/>
        <v>1472</v>
      </c>
      <c r="B1473" s="12" t="str">
        <f t="shared" si="223"/>
        <v>ЩC-4.2 (БЛОК 8, 9)</v>
      </c>
      <c r="C1473" s="12" t="s">
        <v>10</v>
      </c>
      <c r="D1473" s="30" t="s">
        <v>10</v>
      </c>
      <c r="E1473" s="12" t="s">
        <v>10</v>
      </c>
      <c r="F1473" s="18">
        <v>2.5</v>
      </c>
      <c r="G1473" s="38">
        <v>100</v>
      </c>
      <c r="H1473" s="38">
        <f>60*F1473*G1473</f>
        <v>15000</v>
      </c>
      <c r="I1473" s="12">
        <f>60*F1473</f>
        <v>150</v>
      </c>
      <c r="J1473" s="12" t="s">
        <v>12</v>
      </c>
      <c r="K1473" s="12" t="s">
        <v>10</v>
      </c>
      <c r="L1473" s="15">
        <v>15000</v>
      </c>
    </row>
    <row r="1474" spans="1:12" ht="21" customHeight="1" outlineLevel="1" x14ac:dyDescent="0.25">
      <c r="A1474" s="12"/>
      <c r="B1474" s="12" t="s">
        <v>760</v>
      </c>
      <c r="C1474" s="12"/>
      <c r="D1474" s="30"/>
      <c r="E1474" s="12"/>
      <c r="F1474" s="18"/>
      <c r="G1474" s="38"/>
      <c r="H1474" s="38">
        <f ca="1">SUBTOTAL(9,H1465:H1473)</f>
        <v>107861.99999999999</v>
      </c>
      <c r="I1474" s="12"/>
      <c r="J1474" s="12"/>
      <c r="K1474" s="12"/>
      <c r="L1474" s="15">
        <v>107861.99999999999</v>
      </c>
    </row>
    <row r="1475" spans="1:12" ht="39.75" customHeight="1" outlineLevel="2" x14ac:dyDescent="0.25">
      <c r="A1475" s="10">
        <f>ROW(A1473)</f>
        <v>1473</v>
      </c>
      <c r="B1475" s="6" t="str">
        <f>E1475</f>
        <v>ЩC-5 (БЛОК 8, 9)</v>
      </c>
      <c r="C1475" s="6"/>
      <c r="D1475" s="28"/>
      <c r="E1475" s="6" t="s">
        <v>365</v>
      </c>
      <c r="F1475" s="36"/>
      <c r="G1475" s="36" t="s">
        <v>73</v>
      </c>
      <c r="H1475" s="7"/>
      <c r="I1475" s="10">
        <v>1</v>
      </c>
      <c r="J1475" s="11" t="s">
        <v>6</v>
      </c>
      <c r="K1475" s="6" t="s">
        <v>8</v>
      </c>
      <c r="L1475" s="9"/>
    </row>
    <row r="1476" spans="1:12" ht="21" customHeight="1" outlineLevel="2" x14ac:dyDescent="0.25">
      <c r="A1476" s="16">
        <f t="shared" si="214"/>
        <v>1475</v>
      </c>
      <c r="B1476" s="12" t="str">
        <f t="shared" ref="B1476:B1481" si="228">B1475</f>
        <v>ЩC-5 (БЛОК 8, 9)</v>
      </c>
      <c r="C1476" s="13" t="s">
        <v>7</v>
      </c>
      <c r="D1476" s="29" t="s">
        <v>468</v>
      </c>
      <c r="E1476" s="12" t="s">
        <v>469</v>
      </c>
      <c r="F1476" s="37">
        <v>15500</v>
      </c>
      <c r="G1476" s="38">
        <f t="shared" ref="G1476:G1479" si="229">F1476*0.6</f>
        <v>9300</v>
      </c>
      <c r="H1476" s="38">
        <f>I1476*G1476</f>
        <v>9300</v>
      </c>
      <c r="I1476" s="16">
        <v>1</v>
      </c>
      <c r="J1476" s="17" t="s">
        <v>12</v>
      </c>
      <c r="K1476" s="13" t="s">
        <v>15</v>
      </c>
      <c r="L1476" s="15">
        <v>9300</v>
      </c>
    </row>
    <row r="1477" spans="1:12" ht="21" customHeight="1" outlineLevel="2" x14ac:dyDescent="0.25">
      <c r="A1477" s="16">
        <f t="shared" si="214"/>
        <v>1476</v>
      </c>
      <c r="B1477" s="12" t="str">
        <f t="shared" si="228"/>
        <v>ЩC-5 (БЛОК 8, 9)</v>
      </c>
      <c r="C1477" s="13" t="s">
        <v>11</v>
      </c>
      <c r="D1477" s="29" t="s">
        <v>273</v>
      </c>
      <c r="E1477" s="12" t="s">
        <v>274</v>
      </c>
      <c r="F1477" s="37">
        <v>2499</v>
      </c>
      <c r="G1477" s="38">
        <f t="shared" si="229"/>
        <v>1499.3999999999999</v>
      </c>
      <c r="H1477" s="38">
        <f t="shared" ref="H1477" si="230">G1477*I1477</f>
        <v>1499.3999999999999</v>
      </c>
      <c r="I1477" s="16">
        <v>1</v>
      </c>
      <c r="J1477" s="17" t="s">
        <v>12</v>
      </c>
      <c r="K1477" s="13" t="s">
        <v>16</v>
      </c>
      <c r="L1477" s="15">
        <v>1499.3999999999999</v>
      </c>
    </row>
    <row r="1478" spans="1:12" ht="21" customHeight="1" outlineLevel="2" x14ac:dyDescent="0.25">
      <c r="A1478" s="16">
        <f t="shared" si="214"/>
        <v>1477</v>
      </c>
      <c r="B1478" s="12" t="str">
        <f t="shared" si="228"/>
        <v>ЩC-5 (БЛОК 8, 9)</v>
      </c>
      <c r="C1478" s="13" t="s">
        <v>22</v>
      </c>
      <c r="D1478" s="29" t="s">
        <v>270</v>
      </c>
      <c r="E1478" s="12" t="s">
        <v>271</v>
      </c>
      <c r="F1478" s="37">
        <v>5719</v>
      </c>
      <c r="G1478" s="38">
        <f t="shared" si="229"/>
        <v>3431.4</v>
      </c>
      <c r="H1478" s="38">
        <f>G1478*I1478</f>
        <v>17157</v>
      </c>
      <c r="I1478" s="16">
        <v>5</v>
      </c>
      <c r="J1478" s="17" t="s">
        <v>12</v>
      </c>
      <c r="K1478" s="13" t="s">
        <v>16</v>
      </c>
      <c r="L1478" s="15">
        <v>17157</v>
      </c>
    </row>
    <row r="1479" spans="1:12" ht="21" customHeight="1" outlineLevel="2" x14ac:dyDescent="0.25">
      <c r="A1479" s="16">
        <f t="shared" si="214"/>
        <v>1478</v>
      </c>
      <c r="B1479" s="12" t="str">
        <f t="shared" si="228"/>
        <v>ЩC-5 (БЛОК 8, 9)</v>
      </c>
      <c r="C1479" s="13" t="s">
        <v>22</v>
      </c>
      <c r="D1479" s="29" t="s">
        <v>250</v>
      </c>
      <c r="E1479" s="12" t="s">
        <v>251</v>
      </c>
      <c r="F1479" s="37">
        <v>8352</v>
      </c>
      <c r="G1479" s="38">
        <f t="shared" si="229"/>
        <v>5011.2</v>
      </c>
      <c r="H1479" s="38">
        <f t="shared" ref="H1479:H1480" si="231">G1479*I1479</f>
        <v>5011.2</v>
      </c>
      <c r="I1479" s="16">
        <v>1</v>
      </c>
      <c r="J1479" s="17" t="s">
        <v>12</v>
      </c>
      <c r="K1479" s="13" t="s">
        <v>16</v>
      </c>
      <c r="L1479" s="15">
        <v>5011.2</v>
      </c>
    </row>
    <row r="1480" spans="1:12" ht="24" customHeight="1" outlineLevel="2" x14ac:dyDescent="0.25">
      <c r="A1480" s="12">
        <f t="shared" si="214"/>
        <v>1479</v>
      </c>
      <c r="B1480" s="12" t="str">
        <f t="shared" si="228"/>
        <v>ЩC-5 (БЛОК 8, 9)</v>
      </c>
      <c r="C1480" s="12" t="s">
        <v>9</v>
      </c>
      <c r="D1480" s="30" t="s">
        <v>9</v>
      </c>
      <c r="E1480" s="12" t="s">
        <v>9</v>
      </c>
      <c r="F1480" s="18">
        <f ca="1">OFFSET(F1480,1,2)</f>
        <v>9000</v>
      </c>
      <c r="G1480" s="38">
        <f ca="1">F1480</f>
        <v>9000</v>
      </c>
      <c r="H1480" s="38">
        <f t="shared" ca="1" si="231"/>
        <v>9000</v>
      </c>
      <c r="I1480" s="12">
        <v>1</v>
      </c>
      <c r="J1480" s="12" t="s">
        <v>12</v>
      </c>
      <c r="K1480" s="12" t="s">
        <v>9</v>
      </c>
      <c r="L1480" s="15">
        <v>9000</v>
      </c>
    </row>
    <row r="1481" spans="1:12" ht="21" customHeight="1" outlineLevel="2" x14ac:dyDescent="0.25">
      <c r="A1481" s="12">
        <f t="shared" si="214"/>
        <v>1480</v>
      </c>
      <c r="B1481" s="12" t="str">
        <f t="shared" si="228"/>
        <v>ЩC-5 (БЛОК 8, 9)</v>
      </c>
      <c r="C1481" s="12" t="s">
        <v>10</v>
      </c>
      <c r="D1481" s="30" t="s">
        <v>10</v>
      </c>
      <c r="E1481" s="12" t="s">
        <v>10</v>
      </c>
      <c r="F1481" s="18">
        <v>1.5</v>
      </c>
      <c r="G1481" s="38">
        <v>100</v>
      </c>
      <c r="H1481" s="38">
        <f>60*F1481*G1481</f>
        <v>9000</v>
      </c>
      <c r="I1481" s="12">
        <f>60*F1481</f>
        <v>90</v>
      </c>
      <c r="J1481" s="12" t="s">
        <v>12</v>
      </c>
      <c r="K1481" s="12" t="s">
        <v>10</v>
      </c>
      <c r="L1481" s="15">
        <v>9000</v>
      </c>
    </row>
    <row r="1482" spans="1:12" ht="21" customHeight="1" outlineLevel="1" x14ac:dyDescent="0.25">
      <c r="A1482" s="12"/>
      <c r="B1482" s="12" t="s">
        <v>761</v>
      </c>
      <c r="C1482" s="12"/>
      <c r="D1482" s="30"/>
      <c r="E1482" s="12"/>
      <c r="F1482" s="18"/>
      <c r="G1482" s="38"/>
      <c r="H1482" s="38">
        <f ca="1">SUBTOTAL(9,H1475:H1481)</f>
        <v>50967.6</v>
      </c>
      <c r="I1482" s="12"/>
      <c r="J1482" s="12"/>
      <c r="K1482" s="12"/>
      <c r="L1482" s="15">
        <v>50967.6</v>
      </c>
    </row>
    <row r="1483" spans="1:12" ht="39.75" customHeight="1" outlineLevel="2" x14ac:dyDescent="0.25">
      <c r="A1483" s="10">
        <f>ROW(A1481)</f>
        <v>1481</v>
      </c>
      <c r="B1483" s="6" t="str">
        <f>E1483</f>
        <v>ТРО1, ТРО2, ТРО3, ТРО4, ТРО5 (БЛОК 8, 9)</v>
      </c>
      <c r="C1483" s="6"/>
      <c r="D1483" s="28"/>
      <c r="E1483" s="6" t="s">
        <v>366</v>
      </c>
      <c r="F1483" s="36"/>
      <c r="G1483" s="36" t="s">
        <v>73</v>
      </c>
      <c r="H1483" s="7"/>
      <c r="I1483" s="10">
        <v>5</v>
      </c>
      <c r="J1483" s="11" t="s">
        <v>6</v>
      </c>
      <c r="K1483" s="6" t="s">
        <v>8</v>
      </c>
      <c r="L1483" s="9"/>
    </row>
    <row r="1484" spans="1:12" ht="39.75" customHeight="1" outlineLevel="1" x14ac:dyDescent="0.25">
      <c r="A1484" s="10"/>
      <c r="B1484" s="6" t="s">
        <v>762</v>
      </c>
      <c r="C1484" s="6"/>
      <c r="D1484" s="28"/>
      <c r="E1484" s="6"/>
      <c r="F1484" s="36"/>
      <c r="G1484" s="36"/>
      <c r="H1484" s="7">
        <v>566000</v>
      </c>
      <c r="I1484" s="10"/>
      <c r="J1484" s="11"/>
      <c r="K1484" s="6"/>
      <c r="L1484" s="9">
        <v>0</v>
      </c>
    </row>
    <row r="1485" spans="1:12" ht="39.75" customHeight="1" outlineLevel="2" x14ac:dyDescent="0.25">
      <c r="A1485" s="10">
        <f>ROW(A1483)</f>
        <v>1483</v>
      </c>
      <c r="B1485" s="6" t="str">
        <f>E1485</f>
        <v>ЩВ-0.0.1 (БЛОК 8, 9)</v>
      </c>
      <c r="C1485" s="6"/>
      <c r="D1485" s="28"/>
      <c r="E1485" s="6" t="s">
        <v>367</v>
      </c>
      <c r="F1485" s="36"/>
      <c r="G1485" s="36" t="s">
        <v>73</v>
      </c>
      <c r="H1485" s="7"/>
      <c r="I1485" s="10">
        <v>1</v>
      </c>
      <c r="J1485" s="11" t="s">
        <v>6</v>
      </c>
      <c r="K1485" s="6" t="s">
        <v>8</v>
      </c>
      <c r="L1485" s="9"/>
    </row>
    <row r="1486" spans="1:12" ht="21" customHeight="1" outlineLevel="2" x14ac:dyDescent="0.25">
      <c r="A1486" s="16">
        <f t="shared" si="214"/>
        <v>1485</v>
      </c>
      <c r="B1486" s="12" t="str">
        <f t="shared" ref="B1486:B1498" si="232">B1485</f>
        <v>ЩВ-0.0.1 (БЛОК 8, 9)</v>
      </c>
      <c r="C1486" s="13" t="s">
        <v>7</v>
      </c>
      <c r="D1486" s="29" t="s">
        <v>480</v>
      </c>
      <c r="E1486" s="12" t="s">
        <v>481</v>
      </c>
      <c r="F1486" s="37">
        <v>73730</v>
      </c>
      <c r="G1486" s="38">
        <f t="shared" ref="G1486:G1496" si="233">F1486*0.6</f>
        <v>44238</v>
      </c>
      <c r="H1486" s="38">
        <f>I1486*G1486</f>
        <v>44238</v>
      </c>
      <c r="I1486" s="16">
        <v>1</v>
      </c>
      <c r="J1486" s="17" t="s">
        <v>12</v>
      </c>
      <c r="K1486" s="13" t="s">
        <v>15</v>
      </c>
      <c r="L1486" s="15">
        <v>44238</v>
      </c>
    </row>
    <row r="1487" spans="1:12" ht="21" customHeight="1" outlineLevel="2" x14ac:dyDescent="0.25">
      <c r="A1487" s="16">
        <f t="shared" si="214"/>
        <v>1486</v>
      </c>
      <c r="B1487" s="12" t="str">
        <f t="shared" si="232"/>
        <v>ЩВ-0.0.1 (БЛОК 8, 9)</v>
      </c>
      <c r="C1487" s="13" t="s">
        <v>43</v>
      </c>
      <c r="D1487" s="29" t="s">
        <v>76</v>
      </c>
      <c r="E1487" s="12" t="s">
        <v>77</v>
      </c>
      <c r="F1487" s="37">
        <v>27169</v>
      </c>
      <c r="G1487" s="38">
        <f t="shared" si="233"/>
        <v>16301.4</v>
      </c>
      <c r="H1487" s="38">
        <f t="shared" ref="H1487" si="234">G1487*I1487</f>
        <v>16301.4</v>
      </c>
      <c r="I1487" s="16">
        <v>1</v>
      </c>
      <c r="J1487" s="17" t="s">
        <v>12</v>
      </c>
      <c r="K1487" s="13" t="s">
        <v>16</v>
      </c>
      <c r="L1487" s="15">
        <v>16301.4</v>
      </c>
    </row>
    <row r="1488" spans="1:12" ht="21" customHeight="1" outlineLevel="2" x14ac:dyDescent="0.25">
      <c r="A1488" s="16">
        <f t="shared" si="214"/>
        <v>1487</v>
      </c>
      <c r="B1488" s="12" t="str">
        <f t="shared" si="232"/>
        <v>ЩВ-0.0.1 (БЛОК 8, 9)</v>
      </c>
      <c r="C1488" s="13" t="s">
        <v>596</v>
      </c>
      <c r="D1488" s="29" t="s">
        <v>368</v>
      </c>
      <c r="E1488" s="12" t="s">
        <v>369</v>
      </c>
      <c r="F1488" s="37">
        <v>7153</v>
      </c>
      <c r="G1488" s="38">
        <f t="shared" si="233"/>
        <v>4291.8</v>
      </c>
      <c r="H1488" s="38">
        <f t="shared" ref="H1488" si="235">G1488*I1488</f>
        <v>4291.8</v>
      </c>
      <c r="I1488" s="16">
        <v>1</v>
      </c>
      <c r="J1488" s="17" t="s">
        <v>12</v>
      </c>
      <c r="K1488" s="13" t="s">
        <v>16</v>
      </c>
      <c r="L1488" s="15">
        <v>4291.8</v>
      </c>
    </row>
    <row r="1489" spans="1:12" ht="21" customHeight="1" outlineLevel="2" x14ac:dyDescent="0.25">
      <c r="A1489" s="16">
        <f t="shared" si="214"/>
        <v>1488</v>
      </c>
      <c r="B1489" s="12" t="str">
        <f t="shared" si="232"/>
        <v>ЩВ-0.0.1 (БЛОК 8, 9)</v>
      </c>
      <c r="C1489" s="13" t="s">
        <v>11</v>
      </c>
      <c r="D1489" s="29" t="s">
        <v>20</v>
      </c>
      <c r="E1489" s="12" t="s">
        <v>21</v>
      </c>
      <c r="F1489" s="37">
        <v>2429</v>
      </c>
      <c r="G1489" s="38">
        <f t="shared" si="233"/>
        <v>1457.3999999999999</v>
      </c>
      <c r="H1489" s="38">
        <f t="shared" ref="H1489:H1494" si="236">G1489*I1489</f>
        <v>1457.3999999999999</v>
      </c>
      <c r="I1489" s="16">
        <v>1</v>
      </c>
      <c r="J1489" s="17" t="s">
        <v>12</v>
      </c>
      <c r="K1489" s="13" t="s">
        <v>16</v>
      </c>
      <c r="L1489" s="15">
        <v>1457.3999999999999</v>
      </c>
    </row>
    <row r="1490" spans="1:12" ht="21" customHeight="1" outlineLevel="2" x14ac:dyDescent="0.25">
      <c r="A1490" s="16">
        <f t="shared" si="214"/>
        <v>1489</v>
      </c>
      <c r="B1490" s="12" t="str">
        <f t="shared" si="232"/>
        <v>ЩВ-0.0.1 (БЛОК 8, 9)</v>
      </c>
      <c r="C1490" s="13" t="s">
        <v>11</v>
      </c>
      <c r="D1490" s="29" t="s">
        <v>65</v>
      </c>
      <c r="E1490" s="12" t="s">
        <v>66</v>
      </c>
      <c r="F1490" s="37">
        <v>2807</v>
      </c>
      <c r="G1490" s="38">
        <f t="shared" si="233"/>
        <v>1684.2</v>
      </c>
      <c r="H1490" s="38">
        <f t="shared" si="236"/>
        <v>1684.2</v>
      </c>
      <c r="I1490" s="16">
        <v>1</v>
      </c>
      <c r="J1490" s="17" t="s">
        <v>12</v>
      </c>
      <c r="K1490" s="13" t="s">
        <v>16</v>
      </c>
      <c r="L1490" s="15">
        <v>1684.2</v>
      </c>
    </row>
    <row r="1491" spans="1:12" ht="21" customHeight="1" outlineLevel="2" x14ac:dyDescent="0.25">
      <c r="A1491" s="16">
        <f t="shared" si="214"/>
        <v>1490</v>
      </c>
      <c r="B1491" s="12" t="str">
        <f t="shared" si="232"/>
        <v>ЩВ-0.0.1 (БЛОК 8, 9)</v>
      </c>
      <c r="C1491" s="13" t="s">
        <v>11</v>
      </c>
      <c r="D1491" s="29" t="s">
        <v>273</v>
      </c>
      <c r="E1491" s="12" t="s">
        <v>274</v>
      </c>
      <c r="F1491" s="37">
        <v>2499</v>
      </c>
      <c r="G1491" s="38">
        <f t="shared" si="233"/>
        <v>1499.3999999999999</v>
      </c>
      <c r="H1491" s="38">
        <f t="shared" si="236"/>
        <v>1499.3999999999999</v>
      </c>
      <c r="I1491" s="16">
        <v>1</v>
      </c>
      <c r="J1491" s="17" t="s">
        <v>12</v>
      </c>
      <c r="K1491" s="13" t="s">
        <v>16</v>
      </c>
      <c r="L1491" s="15">
        <v>1499.3999999999999</v>
      </c>
    </row>
    <row r="1492" spans="1:12" ht="21" customHeight="1" outlineLevel="2" x14ac:dyDescent="0.25">
      <c r="A1492" s="16">
        <f t="shared" si="214"/>
        <v>1491</v>
      </c>
      <c r="B1492" s="12" t="str">
        <f t="shared" si="232"/>
        <v>ЩВ-0.0.1 (БЛОК 8, 9)</v>
      </c>
      <c r="C1492" s="13" t="s">
        <v>11</v>
      </c>
      <c r="D1492" s="29" t="s">
        <v>51</v>
      </c>
      <c r="E1492" s="12" t="s">
        <v>52</v>
      </c>
      <c r="F1492" s="37">
        <v>2337</v>
      </c>
      <c r="G1492" s="38">
        <f t="shared" si="233"/>
        <v>1402.2</v>
      </c>
      <c r="H1492" s="38">
        <f t="shared" si="236"/>
        <v>11217.6</v>
      </c>
      <c r="I1492" s="16">
        <v>8</v>
      </c>
      <c r="J1492" s="17" t="s">
        <v>12</v>
      </c>
      <c r="K1492" s="13" t="s">
        <v>16</v>
      </c>
      <c r="L1492" s="15">
        <v>11217.6</v>
      </c>
    </row>
    <row r="1493" spans="1:12" ht="21" customHeight="1" outlineLevel="2" x14ac:dyDescent="0.25">
      <c r="A1493" s="16">
        <f t="shared" si="214"/>
        <v>1492</v>
      </c>
      <c r="B1493" s="12" t="str">
        <f t="shared" si="232"/>
        <v>ЩВ-0.0.1 (БЛОК 8, 9)</v>
      </c>
      <c r="C1493" s="13" t="s">
        <v>11</v>
      </c>
      <c r="D1493" s="29" t="s">
        <v>280</v>
      </c>
      <c r="E1493" s="12" t="s">
        <v>281</v>
      </c>
      <c r="F1493" s="37">
        <v>2447</v>
      </c>
      <c r="G1493" s="38">
        <f t="shared" si="233"/>
        <v>1468.2</v>
      </c>
      <c r="H1493" s="38">
        <f t="shared" si="236"/>
        <v>4404.6000000000004</v>
      </c>
      <c r="I1493" s="16">
        <v>3</v>
      </c>
      <c r="J1493" s="17" t="s">
        <v>12</v>
      </c>
      <c r="K1493" s="13" t="s">
        <v>16</v>
      </c>
      <c r="L1493" s="15">
        <v>4404.6000000000004</v>
      </c>
    </row>
    <row r="1494" spans="1:12" ht="21" customHeight="1" outlineLevel="2" x14ac:dyDescent="0.25">
      <c r="A1494" s="16">
        <f t="shared" si="214"/>
        <v>1493</v>
      </c>
      <c r="B1494" s="12" t="str">
        <f t="shared" si="232"/>
        <v>ЩВ-0.0.1 (БЛОК 8, 9)</v>
      </c>
      <c r="C1494" s="13" t="s">
        <v>48</v>
      </c>
      <c r="D1494" s="29" t="s">
        <v>296</v>
      </c>
      <c r="E1494" s="12" t="s">
        <v>297</v>
      </c>
      <c r="F1494" s="37">
        <v>13919</v>
      </c>
      <c r="G1494" s="38">
        <f t="shared" si="233"/>
        <v>8351.4</v>
      </c>
      <c r="H1494" s="38">
        <f t="shared" si="236"/>
        <v>8351.4</v>
      </c>
      <c r="I1494" s="16">
        <v>1</v>
      </c>
      <c r="J1494" s="17" t="s">
        <v>12</v>
      </c>
      <c r="K1494" s="13" t="s">
        <v>16</v>
      </c>
      <c r="L1494" s="15">
        <v>8351.4</v>
      </c>
    </row>
    <row r="1495" spans="1:12" ht="21" customHeight="1" outlineLevel="2" x14ac:dyDescent="0.25">
      <c r="A1495" s="16">
        <f t="shared" si="214"/>
        <v>1494</v>
      </c>
      <c r="B1495" s="12" t="str">
        <f t="shared" si="232"/>
        <v>ЩВ-0.0.1 (БЛОК 8, 9)</v>
      </c>
      <c r="C1495" s="13" t="s">
        <v>48</v>
      </c>
      <c r="D1495" s="29" t="s">
        <v>289</v>
      </c>
      <c r="E1495" s="12" t="s">
        <v>290</v>
      </c>
      <c r="F1495" s="37">
        <v>13919</v>
      </c>
      <c r="G1495" s="38">
        <f t="shared" si="233"/>
        <v>8351.4</v>
      </c>
      <c r="H1495" s="38">
        <f t="shared" ref="H1495:H1497" si="237">G1495*I1495</f>
        <v>8351.4</v>
      </c>
      <c r="I1495" s="16">
        <v>1</v>
      </c>
      <c r="J1495" s="17" t="s">
        <v>12</v>
      </c>
      <c r="K1495" s="13" t="s">
        <v>16</v>
      </c>
      <c r="L1495" s="15">
        <v>8351.4</v>
      </c>
    </row>
    <row r="1496" spans="1:12" ht="21" customHeight="1" outlineLevel="2" x14ac:dyDescent="0.25">
      <c r="A1496" s="16">
        <f t="shared" si="214"/>
        <v>1495</v>
      </c>
      <c r="B1496" s="12" t="str">
        <f t="shared" si="232"/>
        <v>ЩВ-0.0.1 (БЛОК 8, 9)</v>
      </c>
      <c r="C1496" s="13" t="s">
        <v>48</v>
      </c>
      <c r="D1496" s="29" t="s">
        <v>282</v>
      </c>
      <c r="E1496" s="12" t="s">
        <v>283</v>
      </c>
      <c r="F1496" s="37">
        <v>12145</v>
      </c>
      <c r="G1496" s="38">
        <f t="shared" si="233"/>
        <v>7287</v>
      </c>
      <c r="H1496" s="38">
        <f t="shared" si="237"/>
        <v>87444</v>
      </c>
      <c r="I1496" s="16">
        <v>12</v>
      </c>
      <c r="J1496" s="17" t="s">
        <v>12</v>
      </c>
      <c r="K1496" s="13" t="s">
        <v>16</v>
      </c>
      <c r="L1496" s="15">
        <v>87444</v>
      </c>
    </row>
    <row r="1497" spans="1:12" ht="24" customHeight="1" outlineLevel="2" x14ac:dyDescent="0.25">
      <c r="A1497" s="12">
        <f t="shared" si="214"/>
        <v>1496</v>
      </c>
      <c r="B1497" s="12" t="str">
        <f t="shared" si="232"/>
        <v>ЩВ-0.0.1 (БЛОК 8, 9)</v>
      </c>
      <c r="C1497" s="12" t="s">
        <v>9</v>
      </c>
      <c r="D1497" s="30" t="s">
        <v>9</v>
      </c>
      <c r="E1497" s="12" t="s">
        <v>9</v>
      </c>
      <c r="F1497" s="18">
        <f ca="1">OFFSET(F1497,1,2)</f>
        <v>36000</v>
      </c>
      <c r="G1497" s="38">
        <f ca="1">F1497</f>
        <v>36000</v>
      </c>
      <c r="H1497" s="38">
        <f t="shared" ca="1" si="237"/>
        <v>36000</v>
      </c>
      <c r="I1497" s="12">
        <v>1</v>
      </c>
      <c r="J1497" s="12" t="s">
        <v>12</v>
      </c>
      <c r="K1497" s="12" t="s">
        <v>9</v>
      </c>
      <c r="L1497" s="15">
        <v>36000</v>
      </c>
    </row>
    <row r="1498" spans="1:12" ht="21" customHeight="1" outlineLevel="2" x14ac:dyDescent="0.25">
      <c r="A1498" s="12">
        <f t="shared" si="214"/>
        <v>1497</v>
      </c>
      <c r="B1498" s="12" t="str">
        <f t="shared" si="232"/>
        <v>ЩВ-0.0.1 (БЛОК 8, 9)</v>
      </c>
      <c r="C1498" s="12" t="s">
        <v>10</v>
      </c>
      <c r="D1498" s="30" t="s">
        <v>10</v>
      </c>
      <c r="E1498" s="12" t="s">
        <v>10</v>
      </c>
      <c r="F1498" s="18">
        <v>6</v>
      </c>
      <c r="G1498" s="38">
        <v>100</v>
      </c>
      <c r="H1498" s="38">
        <f>60*F1498*G1498</f>
        <v>36000</v>
      </c>
      <c r="I1498" s="12">
        <f>60*F1498</f>
        <v>360</v>
      </c>
      <c r="J1498" s="12" t="s">
        <v>12</v>
      </c>
      <c r="K1498" s="12" t="s">
        <v>10</v>
      </c>
      <c r="L1498" s="15">
        <v>36000</v>
      </c>
    </row>
    <row r="1499" spans="1:12" ht="21" customHeight="1" outlineLevel="1" x14ac:dyDescent="0.25">
      <c r="A1499" s="12"/>
      <c r="B1499" s="12" t="s">
        <v>763</v>
      </c>
      <c r="C1499" s="12"/>
      <c r="D1499" s="30"/>
      <c r="E1499" s="12"/>
      <c r="F1499" s="18"/>
      <c r="G1499" s="38"/>
      <c r="H1499" s="38">
        <f ca="1">SUBTOTAL(9,H1485:H1498)</f>
        <v>261241.2</v>
      </c>
      <c r="I1499" s="12"/>
      <c r="J1499" s="12"/>
      <c r="K1499" s="12"/>
      <c r="L1499" s="15">
        <v>261241.2</v>
      </c>
    </row>
    <row r="1500" spans="1:12" ht="39.75" customHeight="1" outlineLevel="2" x14ac:dyDescent="0.25">
      <c r="A1500" s="10">
        <f>ROW(A1498)</f>
        <v>1498</v>
      </c>
      <c r="B1500" s="6" t="str">
        <f>E1500</f>
        <v>ЩВ-0.0.2 (БЛОК 8, 9)</v>
      </c>
      <c r="C1500" s="6"/>
      <c r="D1500" s="28"/>
      <c r="E1500" s="6" t="s">
        <v>370</v>
      </c>
      <c r="F1500" s="36"/>
      <c r="G1500" s="36" t="s">
        <v>73</v>
      </c>
      <c r="H1500" s="7"/>
      <c r="I1500" s="10">
        <v>1</v>
      </c>
      <c r="J1500" s="11" t="s">
        <v>6</v>
      </c>
      <c r="K1500" s="6" t="s">
        <v>8</v>
      </c>
      <c r="L1500" s="9"/>
    </row>
    <row r="1501" spans="1:12" ht="21" customHeight="1" outlineLevel="2" x14ac:dyDescent="0.25">
      <c r="A1501" s="16">
        <f t="shared" si="214"/>
        <v>1500</v>
      </c>
      <c r="B1501" s="12" t="str">
        <f t="shared" ref="B1501:B1512" si="238">B1500</f>
        <v>ЩВ-0.0.2 (БЛОК 8, 9)</v>
      </c>
      <c r="C1501" s="13" t="s">
        <v>7</v>
      </c>
      <c r="D1501" s="29" t="s">
        <v>573</v>
      </c>
      <c r="E1501" s="12" t="s">
        <v>574</v>
      </c>
      <c r="F1501" s="37">
        <v>20185</v>
      </c>
      <c r="G1501" s="38">
        <f t="shared" ref="G1501:G1510" si="239">F1501*0.6</f>
        <v>12111</v>
      </c>
      <c r="H1501" s="38">
        <f>I1501*G1501</f>
        <v>12111</v>
      </c>
      <c r="I1501" s="16">
        <v>1</v>
      </c>
      <c r="J1501" s="17" t="s">
        <v>12</v>
      </c>
      <c r="K1501" s="13" t="s">
        <v>15</v>
      </c>
      <c r="L1501" s="15">
        <v>12111</v>
      </c>
    </row>
    <row r="1502" spans="1:12" ht="21" customHeight="1" outlineLevel="2" x14ac:dyDescent="0.25">
      <c r="A1502" s="16">
        <f t="shared" si="214"/>
        <v>1501</v>
      </c>
      <c r="B1502" s="12" t="str">
        <f t="shared" si="238"/>
        <v>ЩВ-0.0.2 (БЛОК 8, 9)</v>
      </c>
      <c r="C1502" s="13" t="s">
        <v>11</v>
      </c>
      <c r="D1502" s="29" t="s">
        <v>28</v>
      </c>
      <c r="E1502" s="12" t="s">
        <v>27</v>
      </c>
      <c r="F1502" s="37">
        <v>2606</v>
      </c>
      <c r="G1502" s="38">
        <f t="shared" si="239"/>
        <v>1563.6</v>
      </c>
      <c r="H1502" s="38">
        <f t="shared" ref="H1502" si="240">G1502*I1502</f>
        <v>1563.6</v>
      </c>
      <c r="I1502" s="16">
        <v>1</v>
      </c>
      <c r="J1502" s="17" t="s">
        <v>12</v>
      </c>
      <c r="K1502" s="13" t="s">
        <v>16</v>
      </c>
      <c r="L1502" s="15">
        <v>1563.6</v>
      </c>
    </row>
    <row r="1503" spans="1:12" ht="21" customHeight="1" outlineLevel="2" x14ac:dyDescent="0.25">
      <c r="A1503" s="16">
        <f t="shared" si="214"/>
        <v>1502</v>
      </c>
      <c r="B1503" s="12" t="str">
        <f t="shared" si="238"/>
        <v>ЩВ-0.0.2 (БЛОК 8, 9)</v>
      </c>
      <c r="C1503" s="13" t="s">
        <v>596</v>
      </c>
      <c r="D1503" s="29" t="s">
        <v>45</v>
      </c>
      <c r="E1503" s="12" t="s">
        <v>46</v>
      </c>
      <c r="F1503" s="37">
        <v>5354</v>
      </c>
      <c r="G1503" s="38">
        <f t="shared" si="239"/>
        <v>3212.4</v>
      </c>
      <c r="H1503" s="38">
        <f>G1503*I1503</f>
        <v>3212.4</v>
      </c>
      <c r="I1503" s="16">
        <v>1</v>
      </c>
      <c r="J1503" s="17" t="s">
        <v>12</v>
      </c>
      <c r="K1503" s="13" t="s">
        <v>16</v>
      </c>
      <c r="L1503" s="15">
        <v>3212.4</v>
      </c>
    </row>
    <row r="1504" spans="1:12" ht="21" customHeight="1" outlineLevel="2" x14ac:dyDescent="0.25">
      <c r="A1504" s="16">
        <f t="shared" si="214"/>
        <v>1503</v>
      </c>
      <c r="B1504" s="12" t="str">
        <f t="shared" si="238"/>
        <v>ЩВ-0.0.2 (БЛОК 8, 9)</v>
      </c>
      <c r="C1504" s="13" t="s">
        <v>11</v>
      </c>
      <c r="D1504" s="29" t="s">
        <v>273</v>
      </c>
      <c r="E1504" s="12" t="s">
        <v>274</v>
      </c>
      <c r="F1504" s="37">
        <v>2499</v>
      </c>
      <c r="G1504" s="38">
        <f t="shared" si="239"/>
        <v>1499.3999999999999</v>
      </c>
      <c r="H1504" s="38">
        <f t="shared" ref="H1504:H1511" si="241">G1504*I1504</f>
        <v>1499.3999999999999</v>
      </c>
      <c r="I1504" s="16">
        <v>1</v>
      </c>
      <c r="J1504" s="17" t="s">
        <v>12</v>
      </c>
      <c r="K1504" s="13" t="s">
        <v>16</v>
      </c>
      <c r="L1504" s="15">
        <v>1499.3999999999999</v>
      </c>
    </row>
    <row r="1505" spans="1:12" ht="21" customHeight="1" outlineLevel="2" x14ac:dyDescent="0.25">
      <c r="A1505" s="16">
        <f t="shared" si="214"/>
        <v>1504</v>
      </c>
      <c r="B1505" s="12" t="str">
        <f t="shared" si="238"/>
        <v>ЩВ-0.0.2 (БЛОК 8, 9)</v>
      </c>
      <c r="C1505" s="13" t="s">
        <v>11</v>
      </c>
      <c r="D1505" s="29" t="s">
        <v>51</v>
      </c>
      <c r="E1505" s="12" t="s">
        <v>52</v>
      </c>
      <c r="F1505" s="37">
        <v>2337</v>
      </c>
      <c r="G1505" s="38">
        <f t="shared" si="239"/>
        <v>1402.2</v>
      </c>
      <c r="H1505" s="38">
        <f t="shared" si="241"/>
        <v>2804.4</v>
      </c>
      <c r="I1505" s="16">
        <v>2</v>
      </c>
      <c r="J1505" s="17" t="s">
        <v>12</v>
      </c>
      <c r="K1505" s="13" t="s">
        <v>16</v>
      </c>
      <c r="L1505" s="15">
        <v>2804.4</v>
      </c>
    </row>
    <row r="1506" spans="1:12" ht="21" customHeight="1" outlineLevel="2" x14ac:dyDescent="0.25">
      <c r="A1506" s="16">
        <f t="shared" si="214"/>
        <v>1505</v>
      </c>
      <c r="B1506" s="12" t="str">
        <f t="shared" si="238"/>
        <v>ЩВ-0.0.2 (БЛОК 8, 9)</v>
      </c>
      <c r="C1506" s="13" t="s">
        <v>11</v>
      </c>
      <c r="D1506" s="29" t="s">
        <v>280</v>
      </c>
      <c r="E1506" s="12" t="s">
        <v>281</v>
      </c>
      <c r="F1506" s="37">
        <v>2447</v>
      </c>
      <c r="G1506" s="38">
        <f t="shared" si="239"/>
        <v>1468.2</v>
      </c>
      <c r="H1506" s="38">
        <f t="shared" si="241"/>
        <v>2936.4</v>
      </c>
      <c r="I1506" s="16">
        <v>2</v>
      </c>
      <c r="J1506" s="17" t="s">
        <v>12</v>
      </c>
      <c r="K1506" s="13" t="s">
        <v>16</v>
      </c>
      <c r="L1506" s="15">
        <v>2936.4</v>
      </c>
    </row>
    <row r="1507" spans="1:12" ht="21" customHeight="1" outlineLevel="2" x14ac:dyDescent="0.25">
      <c r="A1507" s="16">
        <f t="shared" si="214"/>
        <v>1506</v>
      </c>
      <c r="B1507" s="12" t="str">
        <f t="shared" si="238"/>
        <v>ЩВ-0.0.2 (БЛОК 8, 9)</v>
      </c>
      <c r="C1507" s="13" t="s">
        <v>11</v>
      </c>
      <c r="D1507" s="29" t="s">
        <v>292</v>
      </c>
      <c r="E1507" s="12" t="s">
        <v>293</v>
      </c>
      <c r="F1507" s="37">
        <v>783</v>
      </c>
      <c r="G1507" s="38">
        <f t="shared" si="239"/>
        <v>469.79999999999995</v>
      </c>
      <c r="H1507" s="38">
        <f t="shared" ref="H1507:H1508" si="242">G1507*I1507</f>
        <v>939.59999999999991</v>
      </c>
      <c r="I1507" s="16">
        <v>2</v>
      </c>
      <c r="J1507" s="17" t="s">
        <v>12</v>
      </c>
      <c r="K1507" s="13" t="s">
        <v>16</v>
      </c>
      <c r="L1507" s="15">
        <v>939.59999999999991</v>
      </c>
    </row>
    <row r="1508" spans="1:12" ht="21" customHeight="1" outlineLevel="2" x14ac:dyDescent="0.25">
      <c r="A1508" s="16">
        <f t="shared" si="214"/>
        <v>1507</v>
      </c>
      <c r="B1508" s="12" t="str">
        <f t="shared" si="238"/>
        <v>ЩВ-0.0.2 (БЛОК 8, 9)</v>
      </c>
      <c r="C1508" s="13" t="s">
        <v>570</v>
      </c>
      <c r="D1508" s="29" t="s">
        <v>571</v>
      </c>
      <c r="E1508" s="12" t="s">
        <v>572</v>
      </c>
      <c r="F1508" s="37">
        <v>4250</v>
      </c>
      <c r="G1508" s="38">
        <f t="shared" ref="G1508" si="243">F1508*0.6</f>
        <v>2550</v>
      </c>
      <c r="H1508" s="38">
        <f t="shared" si="242"/>
        <v>2550</v>
      </c>
      <c r="I1508" s="16">
        <v>1</v>
      </c>
      <c r="J1508" s="17" t="s">
        <v>12</v>
      </c>
      <c r="K1508" s="13" t="s">
        <v>16</v>
      </c>
      <c r="L1508" s="15">
        <v>2550</v>
      </c>
    </row>
    <row r="1509" spans="1:12" ht="21" customHeight="1" outlineLevel="2" x14ac:dyDescent="0.25">
      <c r="A1509" s="16">
        <f t="shared" si="214"/>
        <v>1508</v>
      </c>
      <c r="B1509" s="12" t="str">
        <f t="shared" si="238"/>
        <v>ЩВ-0.0.2 (БЛОК 8, 9)</v>
      </c>
      <c r="C1509" s="13" t="s">
        <v>48</v>
      </c>
      <c r="D1509" s="29" t="s">
        <v>371</v>
      </c>
      <c r="E1509" s="12" t="s">
        <v>372</v>
      </c>
      <c r="F1509" s="37">
        <v>7260</v>
      </c>
      <c r="G1509" s="38">
        <f t="shared" si="239"/>
        <v>4356</v>
      </c>
      <c r="H1509" s="38">
        <f t="shared" si="241"/>
        <v>4356</v>
      </c>
      <c r="I1509" s="16">
        <v>1</v>
      </c>
      <c r="J1509" s="17" t="s">
        <v>12</v>
      </c>
      <c r="K1509" s="13" t="s">
        <v>16</v>
      </c>
      <c r="L1509" s="15">
        <v>4356</v>
      </c>
    </row>
    <row r="1510" spans="1:12" ht="21" customHeight="1" outlineLevel="2" x14ac:dyDescent="0.25">
      <c r="A1510" s="16">
        <f t="shared" si="214"/>
        <v>1509</v>
      </c>
      <c r="B1510" s="12" t="str">
        <f t="shared" si="238"/>
        <v>ЩВ-0.0.2 (БЛОК 8, 9)</v>
      </c>
      <c r="C1510" s="13" t="s">
        <v>48</v>
      </c>
      <c r="D1510" s="29" t="s">
        <v>282</v>
      </c>
      <c r="E1510" s="12" t="s">
        <v>283</v>
      </c>
      <c r="F1510" s="37">
        <v>12145</v>
      </c>
      <c r="G1510" s="38">
        <f t="shared" si="239"/>
        <v>7287</v>
      </c>
      <c r="H1510" s="38">
        <f t="shared" si="241"/>
        <v>36435</v>
      </c>
      <c r="I1510" s="16">
        <v>5</v>
      </c>
      <c r="J1510" s="17" t="s">
        <v>12</v>
      </c>
      <c r="K1510" s="13" t="s">
        <v>16</v>
      </c>
      <c r="L1510" s="15">
        <v>36435</v>
      </c>
    </row>
    <row r="1511" spans="1:12" ht="24" customHeight="1" outlineLevel="2" x14ac:dyDescent="0.25">
      <c r="A1511" s="12">
        <f t="shared" ref="A1511:A1582" si="244">ROW(A1510)</f>
        <v>1510</v>
      </c>
      <c r="B1511" s="12" t="str">
        <f t="shared" si="238"/>
        <v>ЩВ-0.0.2 (БЛОК 8, 9)</v>
      </c>
      <c r="C1511" s="12" t="s">
        <v>9</v>
      </c>
      <c r="D1511" s="30" t="s">
        <v>9</v>
      </c>
      <c r="E1511" s="12" t="s">
        <v>9</v>
      </c>
      <c r="F1511" s="18">
        <f ca="1">OFFSET(F1511,1,2)</f>
        <v>18000</v>
      </c>
      <c r="G1511" s="38">
        <f ca="1">F1511</f>
        <v>18000</v>
      </c>
      <c r="H1511" s="38">
        <f t="shared" ca="1" si="241"/>
        <v>18000</v>
      </c>
      <c r="I1511" s="12">
        <v>1</v>
      </c>
      <c r="J1511" s="12" t="s">
        <v>12</v>
      </c>
      <c r="K1511" s="12" t="s">
        <v>9</v>
      </c>
      <c r="L1511" s="15">
        <v>18000</v>
      </c>
    </row>
    <row r="1512" spans="1:12" ht="21" customHeight="1" outlineLevel="2" x14ac:dyDescent="0.25">
      <c r="A1512" s="12">
        <f t="shared" si="244"/>
        <v>1511</v>
      </c>
      <c r="B1512" s="12" t="str">
        <f t="shared" si="238"/>
        <v>ЩВ-0.0.2 (БЛОК 8, 9)</v>
      </c>
      <c r="C1512" s="12" t="s">
        <v>10</v>
      </c>
      <c r="D1512" s="30" t="s">
        <v>10</v>
      </c>
      <c r="E1512" s="12" t="s">
        <v>10</v>
      </c>
      <c r="F1512" s="18">
        <v>3</v>
      </c>
      <c r="G1512" s="38">
        <v>100</v>
      </c>
      <c r="H1512" s="38">
        <f>60*F1512*G1512</f>
        <v>18000</v>
      </c>
      <c r="I1512" s="12">
        <f>60*F1512</f>
        <v>180</v>
      </c>
      <c r="J1512" s="12" t="s">
        <v>12</v>
      </c>
      <c r="K1512" s="12" t="s">
        <v>10</v>
      </c>
      <c r="L1512" s="15">
        <v>18000</v>
      </c>
    </row>
    <row r="1513" spans="1:12" ht="21" customHeight="1" outlineLevel="1" x14ac:dyDescent="0.25">
      <c r="A1513" s="12"/>
      <c r="B1513" s="12" t="s">
        <v>764</v>
      </c>
      <c r="C1513" s="12"/>
      <c r="D1513" s="30"/>
      <c r="E1513" s="12"/>
      <c r="F1513" s="18"/>
      <c r="G1513" s="38"/>
      <c r="H1513" s="38">
        <f ca="1">SUBTOTAL(9,H1500:H1512)</f>
        <v>104407.8</v>
      </c>
      <c r="I1513" s="12"/>
      <c r="J1513" s="12"/>
      <c r="K1513" s="12"/>
      <c r="L1513" s="15">
        <v>104407.8</v>
      </c>
    </row>
    <row r="1514" spans="1:12" ht="39.75" customHeight="1" outlineLevel="2" x14ac:dyDescent="0.25">
      <c r="A1514" s="10">
        <f>ROW(A1512)</f>
        <v>1512</v>
      </c>
      <c r="B1514" s="6" t="str">
        <f>E1514</f>
        <v>ЩВ-0.1 (БЛОК 8, 9)</v>
      </c>
      <c r="C1514" s="6"/>
      <c r="D1514" s="28"/>
      <c r="E1514" s="6" t="s">
        <v>373</v>
      </c>
      <c r="F1514" s="36"/>
      <c r="G1514" s="36" t="s">
        <v>73</v>
      </c>
      <c r="H1514" s="7"/>
      <c r="I1514" s="10">
        <v>1</v>
      </c>
      <c r="J1514" s="11" t="s">
        <v>6</v>
      </c>
      <c r="K1514" s="6" t="s">
        <v>8</v>
      </c>
      <c r="L1514" s="9"/>
    </row>
    <row r="1515" spans="1:12" ht="21" customHeight="1" outlineLevel="2" x14ac:dyDescent="0.25">
      <c r="A1515" s="16">
        <f t="shared" si="244"/>
        <v>1514</v>
      </c>
      <c r="B1515" s="12" t="str">
        <f t="shared" ref="B1515:B1523" si="245">B1514</f>
        <v>ЩВ-0.1 (БЛОК 8, 9)</v>
      </c>
      <c r="C1515" s="13" t="s">
        <v>7</v>
      </c>
      <c r="D1515" s="29" t="s">
        <v>470</v>
      </c>
      <c r="E1515" s="12" t="s">
        <v>471</v>
      </c>
      <c r="F1515" s="37">
        <v>19000</v>
      </c>
      <c r="G1515" s="38">
        <f t="shared" ref="G1515:G1521" si="246">F1515*0.6</f>
        <v>11400</v>
      </c>
      <c r="H1515" s="38">
        <f>I1515*G1515</f>
        <v>11400</v>
      </c>
      <c r="I1515" s="16">
        <v>1</v>
      </c>
      <c r="J1515" s="17" t="s">
        <v>12</v>
      </c>
      <c r="K1515" s="13" t="s">
        <v>15</v>
      </c>
      <c r="L1515" s="15">
        <v>11400</v>
      </c>
    </row>
    <row r="1516" spans="1:12" ht="21" customHeight="1" outlineLevel="2" x14ac:dyDescent="0.25">
      <c r="A1516" s="16">
        <f t="shared" si="244"/>
        <v>1515</v>
      </c>
      <c r="B1516" s="12" t="str">
        <f t="shared" si="245"/>
        <v>ЩВ-0.1 (БЛОК 8, 9)</v>
      </c>
      <c r="C1516" s="13" t="s">
        <v>11</v>
      </c>
      <c r="D1516" s="29" t="s">
        <v>65</v>
      </c>
      <c r="E1516" s="12" t="s">
        <v>66</v>
      </c>
      <c r="F1516" s="37">
        <v>2807</v>
      </c>
      <c r="G1516" s="38">
        <f t="shared" si="246"/>
        <v>1684.2</v>
      </c>
      <c r="H1516" s="38">
        <f t="shared" ref="H1516" si="247">G1516*I1516</f>
        <v>1684.2</v>
      </c>
      <c r="I1516" s="16">
        <v>1</v>
      </c>
      <c r="J1516" s="17" t="s">
        <v>12</v>
      </c>
      <c r="K1516" s="13" t="s">
        <v>16</v>
      </c>
      <c r="L1516" s="15">
        <v>1684.2</v>
      </c>
    </row>
    <row r="1517" spans="1:12" ht="21" customHeight="1" outlineLevel="2" x14ac:dyDescent="0.25">
      <c r="A1517" s="16">
        <f t="shared" si="244"/>
        <v>1516</v>
      </c>
      <c r="B1517" s="12" t="str">
        <f t="shared" si="245"/>
        <v>ЩВ-0.1 (БЛОК 8, 9)</v>
      </c>
      <c r="C1517" s="13" t="s">
        <v>596</v>
      </c>
      <c r="D1517" s="29" t="s">
        <v>45</v>
      </c>
      <c r="E1517" s="12" t="s">
        <v>46</v>
      </c>
      <c r="F1517" s="37">
        <v>5354</v>
      </c>
      <c r="G1517" s="38">
        <f t="shared" si="246"/>
        <v>3212.4</v>
      </c>
      <c r="H1517" s="38">
        <f>G1517*I1517</f>
        <v>3212.4</v>
      </c>
      <c r="I1517" s="16">
        <v>1</v>
      </c>
      <c r="J1517" s="17" t="s">
        <v>12</v>
      </c>
      <c r="K1517" s="13" t="s">
        <v>16</v>
      </c>
      <c r="L1517" s="15">
        <v>3212.4</v>
      </c>
    </row>
    <row r="1518" spans="1:12" ht="21" customHeight="1" outlineLevel="2" x14ac:dyDescent="0.25">
      <c r="A1518" s="16">
        <f t="shared" si="244"/>
        <v>1517</v>
      </c>
      <c r="B1518" s="12" t="str">
        <f t="shared" si="245"/>
        <v>ЩВ-0.1 (БЛОК 8, 9)</v>
      </c>
      <c r="C1518" s="13" t="s">
        <v>11</v>
      </c>
      <c r="D1518" s="29" t="s">
        <v>28</v>
      </c>
      <c r="E1518" s="12" t="s">
        <v>27</v>
      </c>
      <c r="F1518" s="37">
        <v>2606</v>
      </c>
      <c r="G1518" s="38">
        <f t="shared" si="246"/>
        <v>1563.6</v>
      </c>
      <c r="H1518" s="38">
        <f>G1518*I1518</f>
        <v>1563.6</v>
      </c>
      <c r="I1518" s="16">
        <v>1</v>
      </c>
      <c r="J1518" s="17" t="s">
        <v>12</v>
      </c>
      <c r="K1518" s="13" t="s">
        <v>16</v>
      </c>
      <c r="L1518" s="15">
        <v>1563.6</v>
      </c>
    </row>
    <row r="1519" spans="1:12" ht="21" customHeight="1" outlineLevel="2" x14ac:dyDescent="0.25">
      <c r="A1519" s="16">
        <f t="shared" si="244"/>
        <v>1518</v>
      </c>
      <c r="B1519" s="12" t="str">
        <f t="shared" si="245"/>
        <v>ЩВ-0.1 (БЛОК 8, 9)</v>
      </c>
      <c r="C1519" s="13" t="s">
        <v>22</v>
      </c>
      <c r="D1519" s="29" t="s">
        <v>374</v>
      </c>
      <c r="E1519" s="12" t="s">
        <v>375</v>
      </c>
      <c r="F1519" s="37">
        <v>8262</v>
      </c>
      <c r="G1519" s="38">
        <f t="shared" si="246"/>
        <v>4957.2</v>
      </c>
      <c r="H1519" s="38">
        <f t="shared" ref="H1519:H1522" si="248">G1519*I1519</f>
        <v>4957.2</v>
      </c>
      <c r="I1519" s="16">
        <v>1</v>
      </c>
      <c r="J1519" s="17" t="s">
        <v>12</v>
      </c>
      <c r="K1519" s="13" t="s">
        <v>16</v>
      </c>
      <c r="L1519" s="15">
        <v>4957.2</v>
      </c>
    </row>
    <row r="1520" spans="1:12" ht="21" customHeight="1" outlineLevel="2" x14ac:dyDescent="0.25">
      <c r="A1520" s="16">
        <f t="shared" si="244"/>
        <v>1519</v>
      </c>
      <c r="B1520" s="12" t="str">
        <f t="shared" si="245"/>
        <v>ЩВ-0.1 (БЛОК 8, 9)</v>
      </c>
      <c r="C1520" s="13" t="s">
        <v>22</v>
      </c>
      <c r="D1520" s="29" t="s">
        <v>270</v>
      </c>
      <c r="E1520" s="12" t="s">
        <v>271</v>
      </c>
      <c r="F1520" s="37">
        <v>5719</v>
      </c>
      <c r="G1520" s="38">
        <f t="shared" si="246"/>
        <v>3431.4</v>
      </c>
      <c r="H1520" s="38">
        <f t="shared" si="248"/>
        <v>6862.8</v>
      </c>
      <c r="I1520" s="16">
        <v>2</v>
      </c>
      <c r="J1520" s="17" t="s">
        <v>12</v>
      </c>
      <c r="K1520" s="13" t="s">
        <v>16</v>
      </c>
      <c r="L1520" s="15">
        <v>6862.8</v>
      </c>
    </row>
    <row r="1521" spans="1:12" ht="21" customHeight="1" outlineLevel="2" x14ac:dyDescent="0.25">
      <c r="A1521" s="16">
        <f t="shared" si="244"/>
        <v>1520</v>
      </c>
      <c r="B1521" s="12" t="str">
        <f t="shared" si="245"/>
        <v>ЩВ-0.1 (БЛОК 8, 9)</v>
      </c>
      <c r="C1521" s="13" t="s">
        <v>48</v>
      </c>
      <c r="D1521" s="29" t="s">
        <v>289</v>
      </c>
      <c r="E1521" s="12" t="s">
        <v>290</v>
      </c>
      <c r="F1521" s="37">
        <v>13919</v>
      </c>
      <c r="G1521" s="38">
        <f t="shared" si="246"/>
        <v>8351.4</v>
      </c>
      <c r="H1521" s="38">
        <f t="shared" si="248"/>
        <v>8351.4</v>
      </c>
      <c r="I1521" s="16">
        <v>1</v>
      </c>
      <c r="J1521" s="17" t="s">
        <v>12</v>
      </c>
      <c r="K1521" s="13" t="s">
        <v>16</v>
      </c>
      <c r="L1521" s="15">
        <v>8351.4</v>
      </c>
    </row>
    <row r="1522" spans="1:12" ht="24" customHeight="1" outlineLevel="2" x14ac:dyDescent="0.25">
      <c r="A1522" s="12">
        <f t="shared" si="244"/>
        <v>1521</v>
      </c>
      <c r="B1522" s="12" t="str">
        <f t="shared" si="245"/>
        <v>ЩВ-0.1 (БЛОК 8, 9)</v>
      </c>
      <c r="C1522" s="12" t="s">
        <v>9</v>
      </c>
      <c r="D1522" s="30" t="s">
        <v>9</v>
      </c>
      <c r="E1522" s="12" t="s">
        <v>9</v>
      </c>
      <c r="F1522" s="18">
        <f ca="1">OFFSET(F1522,1,2)</f>
        <v>15000</v>
      </c>
      <c r="G1522" s="38">
        <f ca="1">F1522</f>
        <v>15000</v>
      </c>
      <c r="H1522" s="38">
        <f t="shared" ca="1" si="248"/>
        <v>15000</v>
      </c>
      <c r="I1522" s="12">
        <v>1</v>
      </c>
      <c r="J1522" s="12" t="s">
        <v>12</v>
      </c>
      <c r="K1522" s="12" t="s">
        <v>9</v>
      </c>
      <c r="L1522" s="15">
        <v>15000</v>
      </c>
    </row>
    <row r="1523" spans="1:12" ht="21" customHeight="1" outlineLevel="2" x14ac:dyDescent="0.25">
      <c r="A1523" s="12">
        <f t="shared" si="244"/>
        <v>1522</v>
      </c>
      <c r="B1523" s="12" t="str">
        <f t="shared" si="245"/>
        <v>ЩВ-0.1 (БЛОК 8, 9)</v>
      </c>
      <c r="C1523" s="12" t="s">
        <v>10</v>
      </c>
      <c r="D1523" s="30" t="s">
        <v>10</v>
      </c>
      <c r="E1523" s="12" t="s">
        <v>10</v>
      </c>
      <c r="F1523" s="18">
        <v>2.5</v>
      </c>
      <c r="G1523" s="38">
        <v>100</v>
      </c>
      <c r="H1523" s="38">
        <f>60*F1523*G1523</f>
        <v>15000</v>
      </c>
      <c r="I1523" s="12">
        <f>60*F1523</f>
        <v>150</v>
      </c>
      <c r="J1523" s="12" t="s">
        <v>12</v>
      </c>
      <c r="K1523" s="12" t="s">
        <v>10</v>
      </c>
      <c r="L1523" s="15">
        <v>15000</v>
      </c>
    </row>
    <row r="1524" spans="1:12" ht="21" customHeight="1" outlineLevel="1" x14ac:dyDescent="0.25">
      <c r="A1524" s="12"/>
      <c r="B1524" s="12" t="s">
        <v>765</v>
      </c>
      <c r="C1524" s="12"/>
      <c r="D1524" s="30"/>
      <c r="E1524" s="12"/>
      <c r="F1524" s="18"/>
      <c r="G1524" s="38"/>
      <c r="H1524" s="38">
        <f ca="1">SUBTOTAL(9,H1514:H1523)</f>
        <v>68031.600000000006</v>
      </c>
      <c r="I1524" s="12"/>
      <c r="J1524" s="12"/>
      <c r="K1524" s="12"/>
      <c r="L1524" s="15">
        <v>68031.600000000006</v>
      </c>
    </row>
    <row r="1525" spans="1:12" ht="39.75" customHeight="1" outlineLevel="2" x14ac:dyDescent="0.25">
      <c r="A1525" s="10">
        <f>ROW(A1523)</f>
        <v>1523</v>
      </c>
      <c r="B1525" s="6" t="str">
        <f>E1525</f>
        <v>ЩВ-0.2 (БЛОК 8, 9)</v>
      </c>
      <c r="C1525" s="6"/>
      <c r="D1525" s="28"/>
      <c r="E1525" s="6" t="s">
        <v>376</v>
      </c>
      <c r="F1525" s="36"/>
      <c r="G1525" s="36" t="s">
        <v>73</v>
      </c>
      <c r="H1525" s="7"/>
      <c r="I1525" s="10">
        <v>1</v>
      </c>
      <c r="J1525" s="11" t="s">
        <v>6</v>
      </c>
      <c r="K1525" s="6" t="s">
        <v>8</v>
      </c>
      <c r="L1525" s="9"/>
    </row>
    <row r="1526" spans="1:12" ht="21" customHeight="1" outlineLevel="2" x14ac:dyDescent="0.25">
      <c r="A1526" s="16">
        <f t="shared" si="244"/>
        <v>1525</v>
      </c>
      <c r="B1526" s="12" t="str">
        <f t="shared" ref="B1526:B1534" si="249">B1525</f>
        <v>ЩВ-0.2 (БЛОК 8, 9)</v>
      </c>
      <c r="C1526" s="13" t="s">
        <v>7</v>
      </c>
      <c r="D1526" s="29" t="s">
        <v>470</v>
      </c>
      <c r="E1526" s="12" t="s">
        <v>471</v>
      </c>
      <c r="F1526" s="37">
        <v>19000</v>
      </c>
      <c r="G1526" s="38">
        <f t="shared" ref="G1526:G1532" si="250">F1526*0.6</f>
        <v>11400</v>
      </c>
      <c r="H1526" s="38">
        <f>I1526*G1526</f>
        <v>11400</v>
      </c>
      <c r="I1526" s="16">
        <v>1</v>
      </c>
      <c r="J1526" s="17" t="s">
        <v>12</v>
      </c>
      <c r="K1526" s="13" t="s">
        <v>15</v>
      </c>
      <c r="L1526" s="15">
        <v>11400</v>
      </c>
    </row>
    <row r="1527" spans="1:12" ht="21" customHeight="1" outlineLevel="2" x14ac:dyDescent="0.25">
      <c r="A1527" s="16">
        <f t="shared" si="244"/>
        <v>1526</v>
      </c>
      <c r="B1527" s="12" t="str">
        <f t="shared" si="249"/>
        <v>ЩВ-0.2 (БЛОК 8, 9)</v>
      </c>
      <c r="C1527" s="13" t="s">
        <v>11</v>
      </c>
      <c r="D1527" s="29" t="s">
        <v>273</v>
      </c>
      <c r="E1527" s="12" t="s">
        <v>274</v>
      </c>
      <c r="F1527" s="37">
        <v>2499</v>
      </c>
      <c r="G1527" s="38">
        <f t="shared" si="250"/>
        <v>1499.3999999999999</v>
      </c>
      <c r="H1527" s="38">
        <f t="shared" ref="H1527" si="251">G1527*I1527</f>
        <v>1499.3999999999999</v>
      </c>
      <c r="I1527" s="16">
        <v>1</v>
      </c>
      <c r="J1527" s="17" t="s">
        <v>12</v>
      </c>
      <c r="K1527" s="13" t="s">
        <v>16</v>
      </c>
      <c r="L1527" s="15">
        <v>1499.3999999999999</v>
      </c>
    </row>
    <row r="1528" spans="1:12" ht="21" customHeight="1" outlineLevel="2" x14ac:dyDescent="0.25">
      <c r="A1528" s="16">
        <f t="shared" si="244"/>
        <v>1527</v>
      </c>
      <c r="B1528" s="12" t="str">
        <f t="shared" si="249"/>
        <v>ЩВ-0.2 (БЛОК 8, 9)</v>
      </c>
      <c r="C1528" s="13" t="s">
        <v>596</v>
      </c>
      <c r="D1528" s="29" t="s">
        <v>45</v>
      </c>
      <c r="E1528" s="12" t="s">
        <v>46</v>
      </c>
      <c r="F1528" s="37">
        <v>5354</v>
      </c>
      <c r="G1528" s="38">
        <f t="shared" si="250"/>
        <v>3212.4</v>
      </c>
      <c r="H1528" s="38">
        <f>G1528*I1528</f>
        <v>3212.4</v>
      </c>
      <c r="I1528" s="16">
        <v>1</v>
      </c>
      <c r="J1528" s="17" t="s">
        <v>12</v>
      </c>
      <c r="K1528" s="13" t="s">
        <v>16</v>
      </c>
      <c r="L1528" s="15">
        <v>3212.4</v>
      </c>
    </row>
    <row r="1529" spans="1:12" ht="21" customHeight="1" outlineLevel="2" x14ac:dyDescent="0.25">
      <c r="A1529" s="16">
        <f t="shared" si="244"/>
        <v>1528</v>
      </c>
      <c r="B1529" s="12" t="str">
        <f t="shared" si="249"/>
        <v>ЩВ-0.2 (БЛОК 8, 9)</v>
      </c>
      <c r="C1529" s="13" t="s">
        <v>11</v>
      </c>
      <c r="D1529" s="29" t="s">
        <v>280</v>
      </c>
      <c r="E1529" s="12" t="s">
        <v>281</v>
      </c>
      <c r="F1529" s="37">
        <v>2447</v>
      </c>
      <c r="G1529" s="38">
        <f t="shared" si="250"/>
        <v>1468.2</v>
      </c>
      <c r="H1529" s="38">
        <f t="shared" ref="H1529:H1530" si="252">G1529*I1529</f>
        <v>2936.4</v>
      </c>
      <c r="I1529" s="16">
        <v>2</v>
      </c>
      <c r="J1529" s="17" t="s">
        <v>12</v>
      </c>
      <c r="K1529" s="13" t="s">
        <v>16</v>
      </c>
      <c r="L1529" s="15">
        <v>2936.4</v>
      </c>
    </row>
    <row r="1530" spans="1:12" ht="21" customHeight="1" outlineLevel="2" x14ac:dyDescent="0.25">
      <c r="A1530" s="16">
        <f t="shared" si="244"/>
        <v>1529</v>
      </c>
      <c r="B1530" s="12" t="str">
        <f t="shared" si="249"/>
        <v>ЩВ-0.2 (БЛОК 8, 9)</v>
      </c>
      <c r="C1530" s="13" t="s">
        <v>22</v>
      </c>
      <c r="D1530" s="29" t="s">
        <v>250</v>
      </c>
      <c r="E1530" s="12" t="s">
        <v>251</v>
      </c>
      <c r="F1530" s="37">
        <v>8352</v>
      </c>
      <c r="G1530" s="38">
        <f t="shared" si="250"/>
        <v>5011.2</v>
      </c>
      <c r="H1530" s="38">
        <f t="shared" si="252"/>
        <v>5011.2</v>
      </c>
      <c r="I1530" s="16">
        <v>1</v>
      </c>
      <c r="J1530" s="17" t="s">
        <v>12</v>
      </c>
      <c r="K1530" s="13" t="s">
        <v>16</v>
      </c>
      <c r="L1530" s="15">
        <v>5011.2</v>
      </c>
    </row>
    <row r="1531" spans="1:12" ht="21" customHeight="1" outlineLevel="2" x14ac:dyDescent="0.25">
      <c r="A1531" s="16">
        <f t="shared" si="244"/>
        <v>1530</v>
      </c>
      <c r="B1531" s="12" t="str">
        <f t="shared" si="249"/>
        <v>ЩВ-0.2 (БЛОК 8, 9)</v>
      </c>
      <c r="C1531" s="13" t="s">
        <v>22</v>
      </c>
      <c r="D1531" s="29" t="s">
        <v>270</v>
      </c>
      <c r="E1531" s="12" t="s">
        <v>271</v>
      </c>
      <c r="F1531" s="37">
        <v>5719</v>
      </c>
      <c r="G1531" s="38">
        <f t="shared" si="250"/>
        <v>3431.4</v>
      </c>
      <c r="H1531" s="38">
        <f t="shared" ref="H1531:H1533" si="253">G1531*I1531</f>
        <v>6862.8</v>
      </c>
      <c r="I1531" s="16">
        <v>2</v>
      </c>
      <c r="J1531" s="17" t="s">
        <v>12</v>
      </c>
      <c r="K1531" s="13" t="s">
        <v>16</v>
      </c>
      <c r="L1531" s="15">
        <v>6862.8</v>
      </c>
    </row>
    <row r="1532" spans="1:12" ht="21" customHeight="1" outlineLevel="2" x14ac:dyDescent="0.25">
      <c r="A1532" s="16">
        <f t="shared" si="244"/>
        <v>1531</v>
      </c>
      <c r="B1532" s="12" t="str">
        <f t="shared" si="249"/>
        <v>ЩВ-0.2 (БЛОК 8, 9)</v>
      </c>
      <c r="C1532" s="13" t="s">
        <v>48</v>
      </c>
      <c r="D1532" s="29" t="s">
        <v>282</v>
      </c>
      <c r="E1532" s="12" t="s">
        <v>283</v>
      </c>
      <c r="F1532" s="37">
        <v>12145</v>
      </c>
      <c r="G1532" s="38">
        <f t="shared" si="250"/>
        <v>7287</v>
      </c>
      <c r="H1532" s="38">
        <f t="shared" si="253"/>
        <v>14574</v>
      </c>
      <c r="I1532" s="16">
        <v>2</v>
      </c>
      <c r="J1532" s="17" t="s">
        <v>12</v>
      </c>
      <c r="K1532" s="13" t="s">
        <v>16</v>
      </c>
      <c r="L1532" s="15">
        <v>14574</v>
      </c>
    </row>
    <row r="1533" spans="1:12" ht="24" customHeight="1" outlineLevel="2" x14ac:dyDescent="0.25">
      <c r="A1533" s="12">
        <f t="shared" si="244"/>
        <v>1532</v>
      </c>
      <c r="B1533" s="12" t="str">
        <f t="shared" si="249"/>
        <v>ЩВ-0.2 (БЛОК 8, 9)</v>
      </c>
      <c r="C1533" s="12" t="s">
        <v>9</v>
      </c>
      <c r="D1533" s="30" t="s">
        <v>9</v>
      </c>
      <c r="E1533" s="12" t="s">
        <v>9</v>
      </c>
      <c r="F1533" s="18">
        <f ca="1">OFFSET(F1533,1,2)</f>
        <v>15000</v>
      </c>
      <c r="G1533" s="38">
        <f ca="1">F1533</f>
        <v>15000</v>
      </c>
      <c r="H1533" s="38">
        <f t="shared" ca="1" si="253"/>
        <v>15000</v>
      </c>
      <c r="I1533" s="12">
        <v>1</v>
      </c>
      <c r="J1533" s="12" t="s">
        <v>12</v>
      </c>
      <c r="K1533" s="12" t="s">
        <v>9</v>
      </c>
      <c r="L1533" s="15">
        <v>15000</v>
      </c>
    </row>
    <row r="1534" spans="1:12" ht="21" customHeight="1" outlineLevel="2" x14ac:dyDescent="0.25">
      <c r="A1534" s="12">
        <f t="shared" si="244"/>
        <v>1533</v>
      </c>
      <c r="B1534" s="12" t="str">
        <f t="shared" si="249"/>
        <v>ЩВ-0.2 (БЛОК 8, 9)</v>
      </c>
      <c r="C1534" s="12" t="s">
        <v>10</v>
      </c>
      <c r="D1534" s="30" t="s">
        <v>10</v>
      </c>
      <c r="E1534" s="12" t="s">
        <v>10</v>
      </c>
      <c r="F1534" s="18">
        <v>2.5</v>
      </c>
      <c r="G1534" s="38">
        <v>100</v>
      </c>
      <c r="H1534" s="38">
        <f>60*F1534*G1534</f>
        <v>15000</v>
      </c>
      <c r="I1534" s="12">
        <f>60*F1534</f>
        <v>150</v>
      </c>
      <c r="J1534" s="12" t="s">
        <v>12</v>
      </c>
      <c r="K1534" s="12" t="s">
        <v>10</v>
      </c>
      <c r="L1534" s="15">
        <v>15000</v>
      </c>
    </row>
    <row r="1535" spans="1:12" ht="21" customHeight="1" outlineLevel="1" x14ac:dyDescent="0.25">
      <c r="A1535" s="12"/>
      <c r="B1535" s="12" t="s">
        <v>766</v>
      </c>
      <c r="C1535" s="12"/>
      <c r="D1535" s="30"/>
      <c r="E1535" s="12"/>
      <c r="F1535" s="18"/>
      <c r="G1535" s="38"/>
      <c r="H1535" s="38">
        <f ca="1">SUBTOTAL(9,H1525:H1534)</f>
        <v>75496.2</v>
      </c>
      <c r="I1535" s="12"/>
      <c r="J1535" s="12"/>
      <c r="K1535" s="12"/>
      <c r="L1535" s="15">
        <v>75496.2</v>
      </c>
    </row>
    <row r="1536" spans="1:12" ht="39.75" customHeight="1" outlineLevel="2" x14ac:dyDescent="0.25">
      <c r="A1536" s="10">
        <f>ROW(A1534)</f>
        <v>1534</v>
      </c>
      <c r="B1536" s="6" t="str">
        <f>E1536</f>
        <v>ЩВ-0.3 (БЛОК 8, 9)</v>
      </c>
      <c r="C1536" s="6"/>
      <c r="D1536" s="28"/>
      <c r="E1536" s="6" t="s">
        <v>377</v>
      </c>
      <c r="F1536" s="36"/>
      <c r="G1536" s="36" t="s">
        <v>73</v>
      </c>
      <c r="H1536" s="7"/>
      <c r="I1536" s="10">
        <v>1</v>
      </c>
      <c r="J1536" s="11" t="s">
        <v>6</v>
      </c>
      <c r="K1536" s="6" t="s">
        <v>8</v>
      </c>
      <c r="L1536" s="9"/>
    </row>
    <row r="1537" spans="1:12" ht="21" customHeight="1" outlineLevel="2" x14ac:dyDescent="0.25">
      <c r="A1537" s="16">
        <f t="shared" si="244"/>
        <v>1536</v>
      </c>
      <c r="B1537" s="12" t="str">
        <f t="shared" ref="B1537:B1543" si="254">B1536</f>
        <v>ЩВ-0.3 (БЛОК 8, 9)</v>
      </c>
      <c r="C1537" s="13" t="s">
        <v>7</v>
      </c>
      <c r="D1537" s="29" t="s">
        <v>466</v>
      </c>
      <c r="E1537" s="12" t="s">
        <v>467</v>
      </c>
      <c r="F1537" s="37">
        <v>14695</v>
      </c>
      <c r="G1537" s="38">
        <f t="shared" ref="G1537:G1541" si="255">F1537*0.6</f>
        <v>8817</v>
      </c>
      <c r="H1537" s="38">
        <f>I1537*G1537</f>
        <v>8817</v>
      </c>
      <c r="I1537" s="16">
        <v>1</v>
      </c>
      <c r="J1537" s="17" t="s">
        <v>12</v>
      </c>
      <c r="K1537" s="13" t="s">
        <v>15</v>
      </c>
      <c r="L1537" s="15">
        <v>8817</v>
      </c>
    </row>
    <row r="1538" spans="1:12" ht="21" customHeight="1" outlineLevel="2" x14ac:dyDescent="0.25">
      <c r="A1538" s="16">
        <f t="shared" si="244"/>
        <v>1537</v>
      </c>
      <c r="B1538" s="12" t="str">
        <f t="shared" si="254"/>
        <v>ЩВ-0.3 (БЛОК 8, 9)</v>
      </c>
      <c r="C1538" s="13" t="s">
        <v>11</v>
      </c>
      <c r="D1538" s="29" t="s">
        <v>51</v>
      </c>
      <c r="E1538" s="12" t="s">
        <v>52</v>
      </c>
      <c r="F1538" s="37">
        <v>2337</v>
      </c>
      <c r="G1538" s="38">
        <f t="shared" si="255"/>
        <v>1402.2</v>
      </c>
      <c r="H1538" s="38">
        <f t="shared" ref="H1538" si="256">G1538*I1538</f>
        <v>1402.2</v>
      </c>
      <c r="I1538" s="16">
        <v>1</v>
      </c>
      <c r="J1538" s="17" t="s">
        <v>12</v>
      </c>
      <c r="K1538" s="13" t="s">
        <v>16</v>
      </c>
      <c r="L1538" s="15">
        <v>1402.2</v>
      </c>
    </row>
    <row r="1539" spans="1:12" ht="21" customHeight="1" outlineLevel="2" x14ac:dyDescent="0.25">
      <c r="A1539" s="16">
        <f t="shared" si="244"/>
        <v>1538</v>
      </c>
      <c r="B1539" s="12" t="str">
        <f t="shared" si="254"/>
        <v>ЩВ-0.3 (БЛОК 8, 9)</v>
      </c>
      <c r="C1539" s="13" t="s">
        <v>596</v>
      </c>
      <c r="D1539" s="29" t="s">
        <v>45</v>
      </c>
      <c r="E1539" s="12" t="s">
        <v>46</v>
      </c>
      <c r="F1539" s="37">
        <v>5354</v>
      </c>
      <c r="G1539" s="38">
        <f t="shared" si="255"/>
        <v>3212.4</v>
      </c>
      <c r="H1539" s="38">
        <f>G1539*I1539</f>
        <v>3212.4</v>
      </c>
      <c r="I1539" s="16">
        <v>1</v>
      </c>
      <c r="J1539" s="17" t="s">
        <v>12</v>
      </c>
      <c r="K1539" s="13" t="s">
        <v>16</v>
      </c>
      <c r="L1539" s="15">
        <v>3212.4</v>
      </c>
    </row>
    <row r="1540" spans="1:12" ht="21" customHeight="1" outlineLevel="2" x14ac:dyDescent="0.25">
      <c r="A1540" s="16">
        <f t="shared" si="244"/>
        <v>1539</v>
      </c>
      <c r="B1540" s="12" t="str">
        <f t="shared" si="254"/>
        <v>ЩВ-0.3 (БЛОК 8, 9)</v>
      </c>
      <c r="C1540" s="13" t="s">
        <v>22</v>
      </c>
      <c r="D1540" s="29" t="s">
        <v>374</v>
      </c>
      <c r="E1540" s="12" t="s">
        <v>375</v>
      </c>
      <c r="F1540" s="37">
        <v>8262</v>
      </c>
      <c r="G1540" s="38">
        <f t="shared" si="255"/>
        <v>4957.2</v>
      </c>
      <c r="H1540" s="38">
        <f t="shared" ref="H1540:H1542" si="257">G1540*I1540</f>
        <v>4957.2</v>
      </c>
      <c r="I1540" s="16">
        <v>1</v>
      </c>
      <c r="J1540" s="17" t="s">
        <v>12</v>
      </c>
      <c r="K1540" s="13" t="s">
        <v>16</v>
      </c>
      <c r="L1540" s="15">
        <v>4957.2</v>
      </c>
    </row>
    <row r="1541" spans="1:12" ht="21" customHeight="1" outlineLevel="2" x14ac:dyDescent="0.25">
      <c r="A1541" s="16">
        <f t="shared" si="244"/>
        <v>1540</v>
      </c>
      <c r="B1541" s="12" t="str">
        <f t="shared" si="254"/>
        <v>ЩВ-0.3 (БЛОК 8, 9)</v>
      </c>
      <c r="C1541" s="13" t="s">
        <v>22</v>
      </c>
      <c r="D1541" s="29" t="s">
        <v>270</v>
      </c>
      <c r="E1541" s="12" t="s">
        <v>271</v>
      </c>
      <c r="F1541" s="37">
        <v>5719</v>
      </c>
      <c r="G1541" s="38">
        <f t="shared" si="255"/>
        <v>3431.4</v>
      </c>
      <c r="H1541" s="38">
        <f t="shared" si="257"/>
        <v>6862.8</v>
      </c>
      <c r="I1541" s="16">
        <v>2</v>
      </c>
      <c r="J1541" s="17" t="s">
        <v>12</v>
      </c>
      <c r="K1541" s="13" t="s">
        <v>16</v>
      </c>
      <c r="L1541" s="15">
        <v>6862.8</v>
      </c>
    </row>
    <row r="1542" spans="1:12" ht="24" customHeight="1" outlineLevel="2" x14ac:dyDescent="0.25">
      <c r="A1542" s="12">
        <f t="shared" si="244"/>
        <v>1541</v>
      </c>
      <c r="B1542" s="12" t="str">
        <f t="shared" si="254"/>
        <v>ЩВ-0.3 (БЛОК 8, 9)</v>
      </c>
      <c r="C1542" s="12" t="s">
        <v>9</v>
      </c>
      <c r="D1542" s="30" t="s">
        <v>9</v>
      </c>
      <c r="E1542" s="12" t="s">
        <v>9</v>
      </c>
      <c r="F1542" s="18">
        <f ca="1">OFFSET(F1542,1,2)</f>
        <v>4200</v>
      </c>
      <c r="G1542" s="38">
        <f ca="1">F1542</f>
        <v>4200</v>
      </c>
      <c r="H1542" s="38">
        <f t="shared" ca="1" si="257"/>
        <v>4200</v>
      </c>
      <c r="I1542" s="12">
        <v>1</v>
      </c>
      <c r="J1542" s="12" t="s">
        <v>12</v>
      </c>
      <c r="K1542" s="12" t="s">
        <v>9</v>
      </c>
      <c r="L1542" s="15">
        <v>4200</v>
      </c>
    </row>
    <row r="1543" spans="1:12" ht="21" customHeight="1" outlineLevel="2" x14ac:dyDescent="0.25">
      <c r="A1543" s="12">
        <f t="shared" si="244"/>
        <v>1542</v>
      </c>
      <c r="B1543" s="12" t="str">
        <f t="shared" si="254"/>
        <v>ЩВ-0.3 (БЛОК 8, 9)</v>
      </c>
      <c r="C1543" s="12" t="s">
        <v>10</v>
      </c>
      <c r="D1543" s="30" t="s">
        <v>10</v>
      </c>
      <c r="E1543" s="12" t="s">
        <v>10</v>
      </c>
      <c r="F1543" s="18">
        <v>0.7</v>
      </c>
      <c r="G1543" s="38">
        <v>100</v>
      </c>
      <c r="H1543" s="38">
        <f>60*F1543*G1543</f>
        <v>4200</v>
      </c>
      <c r="I1543" s="12">
        <f>60*F1543</f>
        <v>42</v>
      </c>
      <c r="J1543" s="12" t="s">
        <v>12</v>
      </c>
      <c r="K1543" s="12" t="s">
        <v>10</v>
      </c>
      <c r="L1543" s="15">
        <v>4200</v>
      </c>
    </row>
    <row r="1544" spans="1:12" ht="21" customHeight="1" outlineLevel="1" x14ac:dyDescent="0.25">
      <c r="A1544" s="12"/>
      <c r="B1544" s="12" t="s">
        <v>767</v>
      </c>
      <c r="C1544" s="12"/>
      <c r="D1544" s="30"/>
      <c r="E1544" s="12"/>
      <c r="F1544" s="18"/>
      <c r="G1544" s="38"/>
      <c r="H1544" s="38">
        <f ca="1">SUBTOTAL(9,H1536:H1543)</f>
        <v>33651.599999999999</v>
      </c>
      <c r="I1544" s="12"/>
      <c r="J1544" s="12"/>
      <c r="K1544" s="12"/>
      <c r="L1544" s="15">
        <v>33651.599999999999</v>
      </c>
    </row>
    <row r="1545" spans="1:12" ht="39.75" customHeight="1" outlineLevel="2" x14ac:dyDescent="0.25">
      <c r="A1545" s="10">
        <f>ROW(A1543)</f>
        <v>1543</v>
      </c>
      <c r="B1545" s="6" t="str">
        <f>E1545</f>
        <v>ЩВ-1.1 (БЛОК 8, 9)</v>
      </c>
      <c r="C1545" s="6"/>
      <c r="D1545" s="28"/>
      <c r="E1545" s="6" t="s">
        <v>378</v>
      </c>
      <c r="F1545" s="36"/>
      <c r="G1545" s="36" t="s">
        <v>73</v>
      </c>
      <c r="H1545" s="7"/>
      <c r="I1545" s="10">
        <v>1</v>
      </c>
      <c r="J1545" s="11" t="s">
        <v>6</v>
      </c>
      <c r="K1545" s="6" t="s">
        <v>8</v>
      </c>
      <c r="L1545" s="9"/>
    </row>
    <row r="1546" spans="1:12" ht="21" customHeight="1" outlineLevel="2" x14ac:dyDescent="0.25">
      <c r="A1546" s="16">
        <f t="shared" si="244"/>
        <v>1545</v>
      </c>
      <c r="B1546" s="12" t="str">
        <f t="shared" ref="B1546:B1552" si="258">B1545</f>
        <v>ЩВ-1.1 (БЛОК 8, 9)</v>
      </c>
      <c r="C1546" s="13" t="s">
        <v>7</v>
      </c>
      <c r="D1546" s="29" t="s">
        <v>464</v>
      </c>
      <c r="E1546" s="12" t="s">
        <v>465</v>
      </c>
      <c r="F1546" s="37">
        <v>10270</v>
      </c>
      <c r="G1546" s="38">
        <f t="shared" ref="G1546:G1550" si="259">F1546*0.6</f>
        <v>6162</v>
      </c>
      <c r="H1546" s="38">
        <f>I1546*G1546</f>
        <v>6162</v>
      </c>
      <c r="I1546" s="16">
        <v>1</v>
      </c>
      <c r="J1546" s="17" t="s">
        <v>12</v>
      </c>
      <c r="K1546" s="13" t="s">
        <v>15</v>
      </c>
      <c r="L1546" s="15">
        <v>6162</v>
      </c>
    </row>
    <row r="1547" spans="1:12" ht="21" customHeight="1" outlineLevel="2" x14ac:dyDescent="0.25">
      <c r="A1547" s="16">
        <f t="shared" si="244"/>
        <v>1546</v>
      </c>
      <c r="B1547" s="12" t="str">
        <f t="shared" si="258"/>
        <v>ЩВ-1.1 (БЛОК 8, 9)</v>
      </c>
      <c r="C1547" s="13" t="s">
        <v>11</v>
      </c>
      <c r="D1547" s="29" t="s">
        <v>51</v>
      </c>
      <c r="E1547" s="12" t="s">
        <v>52</v>
      </c>
      <c r="F1547" s="37">
        <v>2337</v>
      </c>
      <c r="G1547" s="38">
        <f t="shared" si="259"/>
        <v>1402.2</v>
      </c>
      <c r="H1547" s="38">
        <f t="shared" ref="H1547" si="260">G1547*I1547</f>
        <v>1402.2</v>
      </c>
      <c r="I1547" s="16">
        <v>1</v>
      </c>
      <c r="J1547" s="17" t="s">
        <v>12</v>
      </c>
      <c r="K1547" s="13" t="s">
        <v>16</v>
      </c>
      <c r="L1547" s="15">
        <v>1402.2</v>
      </c>
    </row>
    <row r="1548" spans="1:12" ht="21" customHeight="1" outlineLevel="2" x14ac:dyDescent="0.25">
      <c r="A1548" s="16">
        <f t="shared" si="244"/>
        <v>1547</v>
      </c>
      <c r="B1548" s="12" t="str">
        <f t="shared" si="258"/>
        <v>ЩВ-1.1 (БЛОК 8, 9)</v>
      </c>
      <c r="C1548" s="13" t="s">
        <v>596</v>
      </c>
      <c r="D1548" s="29" t="s">
        <v>45</v>
      </c>
      <c r="E1548" s="12" t="s">
        <v>46</v>
      </c>
      <c r="F1548" s="37">
        <v>5354</v>
      </c>
      <c r="G1548" s="38">
        <f t="shared" si="259"/>
        <v>3212.4</v>
      </c>
      <c r="H1548" s="38">
        <f>G1548*I1548</f>
        <v>3212.4</v>
      </c>
      <c r="I1548" s="16">
        <v>1</v>
      </c>
      <c r="J1548" s="17" t="s">
        <v>12</v>
      </c>
      <c r="K1548" s="13" t="s">
        <v>16</v>
      </c>
      <c r="L1548" s="15">
        <v>3212.4</v>
      </c>
    </row>
    <row r="1549" spans="1:12" ht="21" customHeight="1" outlineLevel="2" x14ac:dyDescent="0.25">
      <c r="A1549" s="16">
        <f t="shared" si="244"/>
        <v>1548</v>
      </c>
      <c r="B1549" s="12" t="str">
        <f t="shared" si="258"/>
        <v>ЩВ-1.1 (БЛОК 8, 9)</v>
      </c>
      <c r="C1549" s="13" t="s">
        <v>22</v>
      </c>
      <c r="D1549" s="29" t="s">
        <v>270</v>
      </c>
      <c r="E1549" s="12" t="s">
        <v>271</v>
      </c>
      <c r="F1549" s="37">
        <v>5719</v>
      </c>
      <c r="G1549" s="38">
        <f t="shared" si="259"/>
        <v>3431.4</v>
      </c>
      <c r="H1549" s="38">
        <f t="shared" ref="H1549" si="261">G1549*I1549</f>
        <v>6862.8</v>
      </c>
      <c r="I1549" s="16">
        <v>2</v>
      </c>
      <c r="J1549" s="17" t="s">
        <v>12</v>
      </c>
      <c r="K1549" s="13" t="s">
        <v>16</v>
      </c>
      <c r="L1549" s="15">
        <v>6862.8</v>
      </c>
    </row>
    <row r="1550" spans="1:12" ht="21" customHeight="1" outlineLevel="2" x14ac:dyDescent="0.25">
      <c r="A1550" s="16">
        <f t="shared" si="244"/>
        <v>1549</v>
      </c>
      <c r="B1550" s="12" t="str">
        <f t="shared" si="258"/>
        <v>ЩВ-1.1 (БЛОК 8, 9)</v>
      </c>
      <c r="C1550" s="13" t="s">
        <v>11</v>
      </c>
      <c r="D1550" s="29" t="s">
        <v>280</v>
      </c>
      <c r="E1550" s="12" t="s">
        <v>281</v>
      </c>
      <c r="F1550" s="37">
        <v>2447</v>
      </c>
      <c r="G1550" s="38">
        <f t="shared" si="259"/>
        <v>1468.2</v>
      </c>
      <c r="H1550" s="38">
        <f t="shared" ref="H1550:H1551" si="262">G1550*I1550</f>
        <v>1468.2</v>
      </c>
      <c r="I1550" s="16">
        <v>1</v>
      </c>
      <c r="J1550" s="17" t="s">
        <v>12</v>
      </c>
      <c r="K1550" s="13" t="s">
        <v>16</v>
      </c>
      <c r="L1550" s="15">
        <v>1468.2</v>
      </c>
    </row>
    <row r="1551" spans="1:12" ht="24" customHeight="1" outlineLevel="2" x14ac:dyDescent="0.25">
      <c r="A1551" s="12">
        <f t="shared" si="244"/>
        <v>1550</v>
      </c>
      <c r="B1551" s="12" t="str">
        <f t="shared" si="258"/>
        <v>ЩВ-1.1 (БЛОК 8, 9)</v>
      </c>
      <c r="C1551" s="12" t="s">
        <v>9</v>
      </c>
      <c r="D1551" s="30" t="s">
        <v>9</v>
      </c>
      <c r="E1551" s="12" t="s">
        <v>9</v>
      </c>
      <c r="F1551" s="18">
        <f ca="1">OFFSET(F1551,1,2)</f>
        <v>4200</v>
      </c>
      <c r="G1551" s="38">
        <f ca="1">F1551</f>
        <v>4200</v>
      </c>
      <c r="H1551" s="38">
        <f t="shared" ca="1" si="262"/>
        <v>4200</v>
      </c>
      <c r="I1551" s="12">
        <v>1</v>
      </c>
      <c r="J1551" s="12" t="s">
        <v>12</v>
      </c>
      <c r="K1551" s="12" t="s">
        <v>9</v>
      </c>
      <c r="L1551" s="15">
        <v>4200</v>
      </c>
    </row>
    <row r="1552" spans="1:12" ht="21" customHeight="1" outlineLevel="2" x14ac:dyDescent="0.25">
      <c r="A1552" s="12">
        <f t="shared" si="244"/>
        <v>1551</v>
      </c>
      <c r="B1552" s="12" t="str">
        <f t="shared" si="258"/>
        <v>ЩВ-1.1 (БЛОК 8, 9)</v>
      </c>
      <c r="C1552" s="12" t="s">
        <v>10</v>
      </c>
      <c r="D1552" s="30" t="s">
        <v>10</v>
      </c>
      <c r="E1552" s="12" t="s">
        <v>10</v>
      </c>
      <c r="F1552" s="18">
        <v>0.7</v>
      </c>
      <c r="G1552" s="38">
        <v>100</v>
      </c>
      <c r="H1552" s="38">
        <f>60*F1552*G1552</f>
        <v>4200</v>
      </c>
      <c r="I1552" s="12">
        <f>60*F1552</f>
        <v>42</v>
      </c>
      <c r="J1552" s="12" t="s">
        <v>12</v>
      </c>
      <c r="K1552" s="12" t="s">
        <v>10</v>
      </c>
      <c r="L1552" s="15">
        <v>4200</v>
      </c>
    </row>
    <row r="1553" spans="1:12" ht="21" customHeight="1" outlineLevel="1" x14ac:dyDescent="0.25">
      <c r="A1553" s="12"/>
      <c r="B1553" s="12" t="s">
        <v>768</v>
      </c>
      <c r="C1553" s="12"/>
      <c r="D1553" s="30"/>
      <c r="E1553" s="12"/>
      <c r="F1553" s="18"/>
      <c r="G1553" s="38"/>
      <c r="H1553" s="38">
        <f ca="1">SUBTOTAL(9,H1545:H1552)</f>
        <v>27507.600000000002</v>
      </c>
      <c r="I1553" s="12"/>
      <c r="J1553" s="12"/>
      <c r="K1553" s="12"/>
      <c r="L1553" s="15">
        <v>27507.600000000002</v>
      </c>
    </row>
    <row r="1554" spans="1:12" ht="39.75" customHeight="1" outlineLevel="2" x14ac:dyDescent="0.25">
      <c r="A1554" s="10">
        <f>ROW(A1552)</f>
        <v>1552</v>
      </c>
      <c r="B1554" s="6" t="str">
        <f>E1554</f>
        <v>ЩВ-1.2 (БЛОК 8, 9)</v>
      </c>
      <c r="C1554" s="6"/>
      <c r="D1554" s="28"/>
      <c r="E1554" s="6" t="s">
        <v>379</v>
      </c>
      <c r="F1554" s="36"/>
      <c r="G1554" s="36" t="s">
        <v>73</v>
      </c>
      <c r="H1554" s="7"/>
      <c r="I1554" s="10">
        <v>1</v>
      </c>
      <c r="J1554" s="11" t="s">
        <v>6</v>
      </c>
      <c r="K1554" s="6" t="s">
        <v>8</v>
      </c>
      <c r="L1554" s="9"/>
    </row>
    <row r="1555" spans="1:12" ht="21" customHeight="1" outlineLevel="2" x14ac:dyDescent="0.25">
      <c r="A1555" s="16">
        <f t="shared" si="244"/>
        <v>1554</v>
      </c>
      <c r="B1555" s="12" t="str">
        <f t="shared" ref="B1555:B1560" si="263">B1554</f>
        <v>ЩВ-1.2 (БЛОК 8, 9)</v>
      </c>
      <c r="C1555" s="13" t="s">
        <v>7</v>
      </c>
      <c r="D1555" s="29" t="s">
        <v>464</v>
      </c>
      <c r="E1555" s="12" t="s">
        <v>465</v>
      </c>
      <c r="F1555" s="37">
        <v>10270</v>
      </c>
      <c r="G1555" s="38">
        <f t="shared" ref="G1555:G1558" si="264">F1555*0.6</f>
        <v>6162</v>
      </c>
      <c r="H1555" s="38">
        <f>I1555*G1555</f>
        <v>6162</v>
      </c>
      <c r="I1555" s="16">
        <v>1</v>
      </c>
      <c r="J1555" s="17" t="s">
        <v>12</v>
      </c>
      <c r="K1555" s="13" t="s">
        <v>15</v>
      </c>
      <c r="L1555" s="15">
        <v>6162</v>
      </c>
    </row>
    <row r="1556" spans="1:12" ht="21" customHeight="1" outlineLevel="2" x14ac:dyDescent="0.25">
      <c r="A1556" s="16">
        <f t="shared" si="244"/>
        <v>1555</v>
      </c>
      <c r="B1556" s="12" t="str">
        <f t="shared" si="263"/>
        <v>ЩВ-1.2 (БЛОК 8, 9)</v>
      </c>
      <c r="C1556" s="13" t="s">
        <v>11</v>
      </c>
      <c r="D1556" s="29" t="s">
        <v>51</v>
      </c>
      <c r="E1556" s="12" t="s">
        <v>52</v>
      </c>
      <c r="F1556" s="37">
        <v>2337</v>
      </c>
      <c r="G1556" s="38">
        <f t="shared" si="264"/>
        <v>1402.2</v>
      </c>
      <c r="H1556" s="38">
        <f t="shared" ref="H1556" si="265">G1556*I1556</f>
        <v>1402.2</v>
      </c>
      <c r="I1556" s="16">
        <v>1</v>
      </c>
      <c r="J1556" s="17" t="s">
        <v>12</v>
      </c>
      <c r="K1556" s="13" t="s">
        <v>16</v>
      </c>
      <c r="L1556" s="15">
        <v>1402.2</v>
      </c>
    </row>
    <row r="1557" spans="1:12" ht="21" customHeight="1" outlineLevel="2" x14ac:dyDescent="0.25">
      <c r="A1557" s="16">
        <f t="shared" si="244"/>
        <v>1556</v>
      </c>
      <c r="B1557" s="12" t="str">
        <f t="shared" si="263"/>
        <v>ЩВ-1.2 (БЛОК 8, 9)</v>
      </c>
      <c r="C1557" s="13" t="s">
        <v>22</v>
      </c>
      <c r="D1557" s="29" t="s">
        <v>374</v>
      </c>
      <c r="E1557" s="12" t="s">
        <v>375</v>
      </c>
      <c r="F1557" s="37">
        <v>8262</v>
      </c>
      <c r="G1557" s="38">
        <f t="shared" si="264"/>
        <v>4957.2</v>
      </c>
      <c r="H1557" s="38">
        <f t="shared" ref="H1557:H1559" si="266">G1557*I1557</f>
        <v>4957.2</v>
      </c>
      <c r="I1557" s="16">
        <v>1</v>
      </c>
      <c r="J1557" s="17" t="s">
        <v>12</v>
      </c>
      <c r="K1557" s="13" t="s">
        <v>16</v>
      </c>
      <c r="L1557" s="15">
        <v>4957.2</v>
      </c>
    </row>
    <row r="1558" spans="1:12" ht="21" customHeight="1" outlineLevel="2" x14ac:dyDescent="0.25">
      <c r="A1558" s="16">
        <f t="shared" si="244"/>
        <v>1557</v>
      </c>
      <c r="B1558" s="12" t="str">
        <f t="shared" si="263"/>
        <v>ЩВ-1.2 (БЛОК 8, 9)</v>
      </c>
      <c r="C1558" s="13" t="s">
        <v>22</v>
      </c>
      <c r="D1558" s="29" t="s">
        <v>270</v>
      </c>
      <c r="E1558" s="12" t="s">
        <v>271</v>
      </c>
      <c r="F1558" s="37">
        <v>5719</v>
      </c>
      <c r="G1558" s="38">
        <f t="shared" si="264"/>
        <v>3431.4</v>
      </c>
      <c r="H1558" s="38">
        <f t="shared" si="266"/>
        <v>6862.8</v>
      </c>
      <c r="I1558" s="16">
        <v>2</v>
      </c>
      <c r="J1558" s="17" t="s">
        <v>12</v>
      </c>
      <c r="K1558" s="13" t="s">
        <v>16</v>
      </c>
      <c r="L1558" s="15">
        <v>6862.8</v>
      </c>
    </row>
    <row r="1559" spans="1:12" ht="24" customHeight="1" outlineLevel="2" x14ac:dyDescent="0.25">
      <c r="A1559" s="12">
        <f t="shared" si="244"/>
        <v>1558</v>
      </c>
      <c r="B1559" s="12" t="str">
        <f t="shared" si="263"/>
        <v>ЩВ-1.2 (БЛОК 8, 9)</v>
      </c>
      <c r="C1559" s="12" t="s">
        <v>9</v>
      </c>
      <c r="D1559" s="30" t="s">
        <v>9</v>
      </c>
      <c r="E1559" s="12" t="s">
        <v>9</v>
      </c>
      <c r="F1559" s="18">
        <f ca="1">OFFSET(F1559,1,2)</f>
        <v>4200</v>
      </c>
      <c r="G1559" s="38">
        <f ca="1">F1559</f>
        <v>4200</v>
      </c>
      <c r="H1559" s="38">
        <f t="shared" ca="1" si="266"/>
        <v>4200</v>
      </c>
      <c r="I1559" s="12">
        <v>1</v>
      </c>
      <c r="J1559" s="12" t="s">
        <v>12</v>
      </c>
      <c r="K1559" s="12" t="s">
        <v>9</v>
      </c>
      <c r="L1559" s="15">
        <v>4200</v>
      </c>
    </row>
    <row r="1560" spans="1:12" ht="21" customHeight="1" outlineLevel="2" x14ac:dyDescent="0.25">
      <c r="A1560" s="12">
        <f t="shared" si="244"/>
        <v>1559</v>
      </c>
      <c r="B1560" s="12" t="str">
        <f t="shared" si="263"/>
        <v>ЩВ-1.2 (БЛОК 8, 9)</v>
      </c>
      <c r="C1560" s="12" t="s">
        <v>10</v>
      </c>
      <c r="D1560" s="30" t="s">
        <v>10</v>
      </c>
      <c r="E1560" s="12" t="s">
        <v>10</v>
      </c>
      <c r="F1560" s="18">
        <v>0.7</v>
      </c>
      <c r="G1560" s="38">
        <v>100</v>
      </c>
      <c r="H1560" s="38">
        <f>60*F1560*G1560</f>
        <v>4200</v>
      </c>
      <c r="I1560" s="12">
        <f>60*F1560</f>
        <v>42</v>
      </c>
      <c r="J1560" s="12" t="s">
        <v>12</v>
      </c>
      <c r="K1560" s="12" t="s">
        <v>10</v>
      </c>
      <c r="L1560" s="15">
        <v>4200</v>
      </c>
    </row>
    <row r="1561" spans="1:12" ht="21" customHeight="1" outlineLevel="1" x14ac:dyDescent="0.25">
      <c r="A1561" s="12"/>
      <c r="B1561" s="12" t="s">
        <v>769</v>
      </c>
      <c r="C1561" s="12"/>
      <c r="D1561" s="30"/>
      <c r="E1561" s="12"/>
      <c r="F1561" s="18"/>
      <c r="G1561" s="38"/>
      <c r="H1561" s="38">
        <f ca="1">SUBTOTAL(9,H1554:H1560)</f>
        <v>27784.2</v>
      </c>
      <c r="I1561" s="12"/>
      <c r="J1561" s="12"/>
      <c r="K1561" s="12"/>
      <c r="L1561" s="15">
        <v>27784.2</v>
      </c>
    </row>
    <row r="1562" spans="1:12" ht="39.75" customHeight="1" outlineLevel="2" x14ac:dyDescent="0.25">
      <c r="A1562" s="10">
        <f>ROW(A1560)</f>
        <v>1560</v>
      </c>
      <c r="B1562" s="6" t="str">
        <f>E1562</f>
        <v>ЩВ-1.3 (БЛОК 8, 9)</v>
      </c>
      <c r="C1562" s="6"/>
      <c r="D1562" s="28"/>
      <c r="E1562" s="6" t="s">
        <v>380</v>
      </c>
      <c r="F1562" s="36"/>
      <c r="G1562" s="36" t="s">
        <v>73</v>
      </c>
      <c r="H1562" s="7"/>
      <c r="I1562" s="10">
        <v>1</v>
      </c>
      <c r="J1562" s="11" t="s">
        <v>6</v>
      </c>
      <c r="K1562" s="6" t="s">
        <v>8</v>
      </c>
      <c r="L1562" s="9"/>
    </row>
    <row r="1563" spans="1:12" ht="21" customHeight="1" outlineLevel="2" x14ac:dyDescent="0.25">
      <c r="A1563" s="16">
        <f t="shared" si="244"/>
        <v>1562</v>
      </c>
      <c r="B1563" s="12" t="str">
        <f t="shared" ref="B1563:B1568" si="267">B1562</f>
        <v>ЩВ-1.3 (БЛОК 8, 9)</v>
      </c>
      <c r="C1563" s="13" t="s">
        <v>7</v>
      </c>
      <c r="D1563" s="29" t="s">
        <v>466</v>
      </c>
      <c r="E1563" s="12" t="s">
        <v>467</v>
      </c>
      <c r="F1563" s="37">
        <v>14695</v>
      </c>
      <c r="G1563" s="38">
        <f t="shared" ref="G1563:G1566" si="268">F1563*0.6</f>
        <v>8817</v>
      </c>
      <c r="H1563" s="38">
        <f>I1563*G1563</f>
        <v>8817</v>
      </c>
      <c r="I1563" s="16">
        <v>1</v>
      </c>
      <c r="J1563" s="17" t="s">
        <v>12</v>
      </c>
      <c r="K1563" s="13" t="s">
        <v>15</v>
      </c>
      <c r="L1563" s="15">
        <v>8817</v>
      </c>
    </row>
    <row r="1564" spans="1:12" ht="21" customHeight="1" outlineLevel="2" x14ac:dyDescent="0.25">
      <c r="A1564" s="16">
        <f t="shared" si="244"/>
        <v>1563</v>
      </c>
      <c r="B1564" s="12" t="str">
        <f t="shared" si="267"/>
        <v>ЩВ-1.3 (БЛОК 8, 9)</v>
      </c>
      <c r="C1564" s="13" t="s">
        <v>11</v>
      </c>
      <c r="D1564" s="29" t="s">
        <v>51</v>
      </c>
      <c r="E1564" s="12" t="s">
        <v>52</v>
      </c>
      <c r="F1564" s="37">
        <v>2337</v>
      </c>
      <c r="G1564" s="38">
        <f t="shared" si="268"/>
        <v>1402.2</v>
      </c>
      <c r="H1564" s="38">
        <f t="shared" ref="H1564:H1567" si="269">G1564*I1564</f>
        <v>1402.2</v>
      </c>
      <c r="I1564" s="16">
        <v>1</v>
      </c>
      <c r="J1564" s="17" t="s">
        <v>12</v>
      </c>
      <c r="K1564" s="13" t="s">
        <v>16</v>
      </c>
      <c r="L1564" s="15">
        <v>1402.2</v>
      </c>
    </row>
    <row r="1565" spans="1:12" ht="21" customHeight="1" outlineLevel="2" x14ac:dyDescent="0.25">
      <c r="A1565" s="16">
        <f t="shared" si="244"/>
        <v>1564</v>
      </c>
      <c r="B1565" s="12" t="str">
        <f t="shared" si="267"/>
        <v>ЩВ-1.3 (БЛОК 8, 9)</v>
      </c>
      <c r="C1565" s="13" t="s">
        <v>22</v>
      </c>
      <c r="D1565" s="29" t="s">
        <v>374</v>
      </c>
      <c r="E1565" s="12" t="s">
        <v>375</v>
      </c>
      <c r="F1565" s="37">
        <v>8262</v>
      </c>
      <c r="G1565" s="38">
        <f t="shared" si="268"/>
        <v>4957.2</v>
      </c>
      <c r="H1565" s="38">
        <f t="shared" si="269"/>
        <v>4957.2</v>
      </c>
      <c r="I1565" s="16">
        <v>1</v>
      </c>
      <c r="J1565" s="17" t="s">
        <v>12</v>
      </c>
      <c r="K1565" s="13" t="s">
        <v>16</v>
      </c>
      <c r="L1565" s="15">
        <v>4957.2</v>
      </c>
    </row>
    <row r="1566" spans="1:12" ht="21" customHeight="1" outlineLevel="2" x14ac:dyDescent="0.25">
      <c r="A1566" s="16">
        <f t="shared" si="244"/>
        <v>1565</v>
      </c>
      <c r="B1566" s="12" t="str">
        <f t="shared" si="267"/>
        <v>ЩВ-1.3 (БЛОК 8, 9)</v>
      </c>
      <c r="C1566" s="13" t="s">
        <v>22</v>
      </c>
      <c r="D1566" s="29" t="s">
        <v>270</v>
      </c>
      <c r="E1566" s="12" t="s">
        <v>271</v>
      </c>
      <c r="F1566" s="37">
        <v>5719</v>
      </c>
      <c r="G1566" s="38">
        <f t="shared" si="268"/>
        <v>3431.4</v>
      </c>
      <c r="H1566" s="38">
        <f t="shared" si="269"/>
        <v>10294.200000000001</v>
      </c>
      <c r="I1566" s="16">
        <v>3</v>
      </c>
      <c r="J1566" s="17" t="s">
        <v>12</v>
      </c>
      <c r="K1566" s="13" t="s">
        <v>16</v>
      </c>
      <c r="L1566" s="15">
        <v>10294.200000000001</v>
      </c>
    </row>
    <row r="1567" spans="1:12" ht="24" customHeight="1" outlineLevel="2" x14ac:dyDescent="0.25">
      <c r="A1567" s="12">
        <f t="shared" si="244"/>
        <v>1566</v>
      </c>
      <c r="B1567" s="12" t="str">
        <f t="shared" si="267"/>
        <v>ЩВ-1.3 (БЛОК 8, 9)</v>
      </c>
      <c r="C1567" s="12" t="s">
        <v>9</v>
      </c>
      <c r="D1567" s="30" t="s">
        <v>9</v>
      </c>
      <c r="E1567" s="12" t="s">
        <v>9</v>
      </c>
      <c r="F1567" s="18">
        <f ca="1">OFFSET(F1567,1,2)</f>
        <v>4200</v>
      </c>
      <c r="G1567" s="38">
        <f ca="1">F1567</f>
        <v>4200</v>
      </c>
      <c r="H1567" s="38">
        <f t="shared" ca="1" si="269"/>
        <v>4200</v>
      </c>
      <c r="I1567" s="12">
        <v>1</v>
      </c>
      <c r="J1567" s="12" t="s">
        <v>12</v>
      </c>
      <c r="K1567" s="12" t="s">
        <v>9</v>
      </c>
      <c r="L1567" s="15">
        <v>4200</v>
      </c>
    </row>
    <row r="1568" spans="1:12" ht="21" customHeight="1" outlineLevel="2" x14ac:dyDescent="0.25">
      <c r="A1568" s="12">
        <f t="shared" si="244"/>
        <v>1567</v>
      </c>
      <c r="B1568" s="12" t="str">
        <f t="shared" si="267"/>
        <v>ЩВ-1.3 (БЛОК 8, 9)</v>
      </c>
      <c r="C1568" s="12" t="s">
        <v>10</v>
      </c>
      <c r="D1568" s="30" t="s">
        <v>10</v>
      </c>
      <c r="E1568" s="12" t="s">
        <v>10</v>
      </c>
      <c r="F1568" s="18">
        <v>0.7</v>
      </c>
      <c r="G1568" s="38">
        <v>100</v>
      </c>
      <c r="H1568" s="38">
        <f>60*F1568*G1568</f>
        <v>4200</v>
      </c>
      <c r="I1568" s="12">
        <f>60*F1568</f>
        <v>42</v>
      </c>
      <c r="J1568" s="12" t="s">
        <v>12</v>
      </c>
      <c r="K1568" s="12" t="s">
        <v>10</v>
      </c>
      <c r="L1568" s="15">
        <v>4200</v>
      </c>
    </row>
    <row r="1569" spans="1:12" ht="21" customHeight="1" outlineLevel="1" x14ac:dyDescent="0.25">
      <c r="A1569" s="12"/>
      <c r="B1569" s="12" t="s">
        <v>770</v>
      </c>
      <c r="C1569" s="12"/>
      <c r="D1569" s="30"/>
      <c r="E1569" s="12"/>
      <c r="F1569" s="18"/>
      <c r="G1569" s="38"/>
      <c r="H1569" s="38">
        <f ca="1">SUBTOTAL(9,H1562:H1568)</f>
        <v>33870.600000000006</v>
      </c>
      <c r="I1569" s="12"/>
      <c r="J1569" s="12"/>
      <c r="K1569" s="12"/>
      <c r="L1569" s="15">
        <v>33870.600000000006</v>
      </c>
    </row>
    <row r="1570" spans="1:12" ht="39.75" customHeight="1" outlineLevel="2" x14ac:dyDescent="0.25">
      <c r="A1570" s="10">
        <f>ROW(A1568)</f>
        <v>1568</v>
      </c>
      <c r="B1570" s="6" t="str">
        <f>E1570</f>
        <v>ЩВ-2.1 (БЛОК 8, 9)</v>
      </c>
      <c r="C1570" s="6"/>
      <c r="D1570" s="28"/>
      <c r="E1570" s="6" t="s">
        <v>381</v>
      </c>
      <c r="F1570" s="36"/>
      <c r="G1570" s="36" t="s">
        <v>73</v>
      </c>
      <c r="H1570" s="7"/>
      <c r="I1570" s="10">
        <v>1</v>
      </c>
      <c r="J1570" s="11" t="s">
        <v>6</v>
      </c>
      <c r="K1570" s="6" t="s">
        <v>8</v>
      </c>
      <c r="L1570" s="9"/>
    </row>
    <row r="1571" spans="1:12" ht="21" customHeight="1" outlineLevel="2" x14ac:dyDescent="0.25">
      <c r="A1571" s="16">
        <f t="shared" si="244"/>
        <v>1570</v>
      </c>
      <c r="B1571" s="12" t="str">
        <f t="shared" ref="B1571:B1577" si="270">B1570</f>
        <v>ЩВ-2.1 (БЛОК 8, 9)</v>
      </c>
      <c r="C1571" s="13" t="s">
        <v>7</v>
      </c>
      <c r="D1571" s="29" t="s">
        <v>466</v>
      </c>
      <c r="E1571" s="12" t="s">
        <v>467</v>
      </c>
      <c r="F1571" s="37">
        <v>14695</v>
      </c>
      <c r="G1571" s="38">
        <f t="shared" ref="G1571:G1575" si="271">F1571*0.6</f>
        <v>8817</v>
      </c>
      <c r="H1571" s="38">
        <f>I1571*G1571</f>
        <v>8817</v>
      </c>
      <c r="I1571" s="16">
        <v>1</v>
      </c>
      <c r="J1571" s="17" t="s">
        <v>12</v>
      </c>
      <c r="K1571" s="13" t="s">
        <v>15</v>
      </c>
      <c r="L1571" s="15">
        <v>8817</v>
      </c>
    </row>
    <row r="1572" spans="1:12" ht="21" customHeight="1" outlineLevel="2" x14ac:dyDescent="0.25">
      <c r="A1572" s="16">
        <f t="shared" si="244"/>
        <v>1571</v>
      </c>
      <c r="B1572" s="12" t="str">
        <f t="shared" si="270"/>
        <v>ЩВ-2.1 (БЛОК 8, 9)</v>
      </c>
      <c r="C1572" s="13" t="s">
        <v>11</v>
      </c>
      <c r="D1572" s="29" t="s">
        <v>51</v>
      </c>
      <c r="E1572" s="12" t="s">
        <v>52</v>
      </c>
      <c r="F1572" s="37">
        <v>2337</v>
      </c>
      <c r="G1572" s="38">
        <f t="shared" si="271"/>
        <v>1402.2</v>
      </c>
      <c r="H1572" s="38">
        <f t="shared" ref="H1572:H1576" si="272">G1572*I1572</f>
        <v>1402.2</v>
      </c>
      <c r="I1572" s="16">
        <v>1</v>
      </c>
      <c r="J1572" s="17" t="s">
        <v>12</v>
      </c>
      <c r="K1572" s="13" t="s">
        <v>16</v>
      </c>
      <c r="L1572" s="15">
        <v>1402.2</v>
      </c>
    </row>
    <row r="1573" spans="1:12" ht="21" customHeight="1" outlineLevel="2" x14ac:dyDescent="0.25">
      <c r="A1573" s="16">
        <f t="shared" si="244"/>
        <v>1572</v>
      </c>
      <c r="B1573" s="12" t="str">
        <f t="shared" si="270"/>
        <v>ЩВ-2.1 (БЛОК 8, 9)</v>
      </c>
      <c r="C1573" s="13" t="s">
        <v>596</v>
      </c>
      <c r="D1573" s="29" t="s">
        <v>45</v>
      </c>
      <c r="E1573" s="12" t="s">
        <v>46</v>
      </c>
      <c r="F1573" s="37">
        <v>5354</v>
      </c>
      <c r="G1573" s="38">
        <f t="shared" si="271"/>
        <v>3212.4</v>
      </c>
      <c r="H1573" s="38">
        <f>G1573*I1573</f>
        <v>3212.4</v>
      </c>
      <c r="I1573" s="16">
        <v>1</v>
      </c>
      <c r="J1573" s="17" t="s">
        <v>12</v>
      </c>
      <c r="K1573" s="13" t="s">
        <v>16</v>
      </c>
      <c r="L1573" s="15">
        <v>3212.4</v>
      </c>
    </row>
    <row r="1574" spans="1:12" ht="21" customHeight="1" outlineLevel="2" x14ac:dyDescent="0.25">
      <c r="A1574" s="16">
        <f t="shared" si="244"/>
        <v>1573</v>
      </c>
      <c r="B1574" s="12" t="str">
        <f t="shared" si="270"/>
        <v>ЩВ-2.1 (БЛОК 8, 9)</v>
      </c>
      <c r="C1574" s="13" t="s">
        <v>22</v>
      </c>
      <c r="D1574" s="29" t="s">
        <v>374</v>
      </c>
      <c r="E1574" s="12" t="s">
        <v>375</v>
      </c>
      <c r="F1574" s="37">
        <v>8262</v>
      </c>
      <c r="G1574" s="38">
        <f t="shared" si="271"/>
        <v>4957.2</v>
      </c>
      <c r="H1574" s="38">
        <f t="shared" si="272"/>
        <v>4957.2</v>
      </c>
      <c r="I1574" s="16">
        <v>1</v>
      </c>
      <c r="J1574" s="17" t="s">
        <v>12</v>
      </c>
      <c r="K1574" s="13" t="s">
        <v>16</v>
      </c>
      <c r="L1574" s="15">
        <v>4957.2</v>
      </c>
    </row>
    <row r="1575" spans="1:12" ht="21" customHeight="1" outlineLevel="2" x14ac:dyDescent="0.25">
      <c r="A1575" s="16">
        <f t="shared" si="244"/>
        <v>1574</v>
      </c>
      <c r="B1575" s="12" t="str">
        <f t="shared" si="270"/>
        <v>ЩВ-2.1 (БЛОК 8, 9)</v>
      </c>
      <c r="C1575" s="13" t="s">
        <v>22</v>
      </c>
      <c r="D1575" s="29" t="s">
        <v>270</v>
      </c>
      <c r="E1575" s="12" t="s">
        <v>271</v>
      </c>
      <c r="F1575" s="37">
        <v>5719</v>
      </c>
      <c r="G1575" s="38">
        <f t="shared" si="271"/>
        <v>3431.4</v>
      </c>
      <c r="H1575" s="38">
        <f t="shared" si="272"/>
        <v>6862.8</v>
      </c>
      <c r="I1575" s="16">
        <v>2</v>
      </c>
      <c r="J1575" s="17" t="s">
        <v>12</v>
      </c>
      <c r="K1575" s="13" t="s">
        <v>16</v>
      </c>
      <c r="L1575" s="15">
        <v>6862.8</v>
      </c>
    </row>
    <row r="1576" spans="1:12" ht="24" customHeight="1" outlineLevel="2" x14ac:dyDescent="0.25">
      <c r="A1576" s="12">
        <f t="shared" si="244"/>
        <v>1575</v>
      </c>
      <c r="B1576" s="12" t="str">
        <f t="shared" si="270"/>
        <v>ЩВ-2.1 (БЛОК 8, 9)</v>
      </c>
      <c r="C1576" s="12" t="s">
        <v>9</v>
      </c>
      <c r="D1576" s="30" t="s">
        <v>9</v>
      </c>
      <c r="E1576" s="12" t="s">
        <v>9</v>
      </c>
      <c r="F1576" s="18">
        <f ca="1">OFFSET(F1576,1,2)</f>
        <v>4200</v>
      </c>
      <c r="G1576" s="38">
        <f ca="1">F1576</f>
        <v>4200</v>
      </c>
      <c r="H1576" s="38">
        <f t="shared" ca="1" si="272"/>
        <v>4200</v>
      </c>
      <c r="I1576" s="12">
        <v>1</v>
      </c>
      <c r="J1576" s="12" t="s">
        <v>12</v>
      </c>
      <c r="K1576" s="12" t="s">
        <v>9</v>
      </c>
      <c r="L1576" s="15">
        <v>4200</v>
      </c>
    </row>
    <row r="1577" spans="1:12" ht="21" customHeight="1" outlineLevel="2" x14ac:dyDescent="0.25">
      <c r="A1577" s="12">
        <f t="shared" si="244"/>
        <v>1576</v>
      </c>
      <c r="B1577" s="12" t="str">
        <f t="shared" si="270"/>
        <v>ЩВ-2.1 (БЛОК 8, 9)</v>
      </c>
      <c r="C1577" s="12" t="s">
        <v>10</v>
      </c>
      <c r="D1577" s="30" t="s">
        <v>10</v>
      </c>
      <c r="E1577" s="12" t="s">
        <v>10</v>
      </c>
      <c r="F1577" s="18">
        <v>0.7</v>
      </c>
      <c r="G1577" s="38">
        <v>100</v>
      </c>
      <c r="H1577" s="38">
        <f>60*F1577*G1577</f>
        <v>4200</v>
      </c>
      <c r="I1577" s="12">
        <f>60*F1577</f>
        <v>42</v>
      </c>
      <c r="J1577" s="12" t="s">
        <v>12</v>
      </c>
      <c r="K1577" s="12" t="s">
        <v>10</v>
      </c>
      <c r="L1577" s="15">
        <v>4200</v>
      </c>
    </row>
    <row r="1578" spans="1:12" ht="21" customHeight="1" outlineLevel="1" x14ac:dyDescent="0.25">
      <c r="A1578" s="12"/>
      <c r="B1578" s="12" t="s">
        <v>771</v>
      </c>
      <c r="C1578" s="12"/>
      <c r="D1578" s="30"/>
      <c r="E1578" s="12"/>
      <c r="F1578" s="18"/>
      <c r="G1578" s="38"/>
      <c r="H1578" s="38">
        <f ca="1">SUBTOTAL(9,H1570:H1577)</f>
        <v>33651.599999999999</v>
      </c>
      <c r="I1578" s="12"/>
      <c r="J1578" s="12"/>
      <c r="K1578" s="12"/>
      <c r="L1578" s="15">
        <v>33651.599999999999</v>
      </c>
    </row>
    <row r="1579" spans="1:12" ht="39.75" customHeight="1" outlineLevel="2" x14ac:dyDescent="0.25">
      <c r="A1579" s="10">
        <f>ROW(A1577)</f>
        <v>1577</v>
      </c>
      <c r="B1579" s="6" t="str">
        <f>E1579</f>
        <v>ЩВ-2.2 (БЛОК 8, 9)</v>
      </c>
      <c r="C1579" s="6"/>
      <c r="D1579" s="28"/>
      <c r="E1579" s="6" t="s">
        <v>382</v>
      </c>
      <c r="F1579" s="36"/>
      <c r="G1579" s="36" t="s">
        <v>73</v>
      </c>
      <c r="H1579" s="7"/>
      <c r="I1579" s="10">
        <v>1</v>
      </c>
      <c r="J1579" s="11" t="s">
        <v>6</v>
      </c>
      <c r="K1579" s="6" t="s">
        <v>8</v>
      </c>
      <c r="L1579" s="9"/>
    </row>
    <row r="1580" spans="1:12" ht="21" customHeight="1" outlineLevel="2" x14ac:dyDescent="0.25">
      <c r="A1580" s="16">
        <f t="shared" si="244"/>
        <v>1579</v>
      </c>
      <c r="B1580" s="12" t="str">
        <f t="shared" ref="B1580:B1586" si="273">B1579</f>
        <v>ЩВ-2.2 (БЛОК 8, 9)</v>
      </c>
      <c r="C1580" s="13" t="s">
        <v>7</v>
      </c>
      <c r="D1580" s="29" t="s">
        <v>466</v>
      </c>
      <c r="E1580" s="12" t="s">
        <v>467</v>
      </c>
      <c r="F1580" s="37">
        <v>14695</v>
      </c>
      <c r="G1580" s="38">
        <f t="shared" ref="G1580:G1584" si="274">F1580*0.6</f>
        <v>8817</v>
      </c>
      <c r="H1580" s="38">
        <f>I1580*G1580</f>
        <v>8817</v>
      </c>
      <c r="I1580" s="16">
        <v>1</v>
      </c>
      <c r="J1580" s="17" t="s">
        <v>12</v>
      </c>
      <c r="K1580" s="13" t="s">
        <v>15</v>
      </c>
      <c r="L1580" s="15">
        <v>8817</v>
      </c>
    </row>
    <row r="1581" spans="1:12" ht="21" customHeight="1" outlineLevel="2" x14ac:dyDescent="0.25">
      <c r="A1581" s="16">
        <f t="shared" si="244"/>
        <v>1580</v>
      </c>
      <c r="B1581" s="12" t="str">
        <f t="shared" si="273"/>
        <v>ЩВ-2.2 (БЛОК 8, 9)</v>
      </c>
      <c r="C1581" s="13" t="s">
        <v>11</v>
      </c>
      <c r="D1581" s="29" t="s">
        <v>51</v>
      </c>
      <c r="E1581" s="12" t="s">
        <v>52</v>
      </c>
      <c r="F1581" s="37">
        <v>2337</v>
      </c>
      <c r="G1581" s="38">
        <f t="shared" si="274"/>
        <v>1402.2</v>
      </c>
      <c r="H1581" s="38">
        <f t="shared" ref="H1581" si="275">G1581*I1581</f>
        <v>1402.2</v>
      </c>
      <c r="I1581" s="16">
        <v>1</v>
      </c>
      <c r="J1581" s="17" t="s">
        <v>12</v>
      </c>
      <c r="K1581" s="13" t="s">
        <v>16</v>
      </c>
      <c r="L1581" s="15">
        <v>1402.2</v>
      </c>
    </row>
    <row r="1582" spans="1:12" ht="21" customHeight="1" outlineLevel="2" x14ac:dyDescent="0.25">
      <c r="A1582" s="16">
        <f t="shared" si="244"/>
        <v>1581</v>
      </c>
      <c r="B1582" s="12" t="str">
        <f t="shared" si="273"/>
        <v>ЩВ-2.2 (БЛОК 8, 9)</v>
      </c>
      <c r="C1582" s="13" t="s">
        <v>596</v>
      </c>
      <c r="D1582" s="29" t="s">
        <v>45</v>
      </c>
      <c r="E1582" s="12" t="s">
        <v>46</v>
      </c>
      <c r="F1582" s="37">
        <v>5354</v>
      </c>
      <c r="G1582" s="38">
        <f t="shared" si="274"/>
        <v>3212.4</v>
      </c>
      <c r="H1582" s="38">
        <f>G1582*I1582</f>
        <v>3212.4</v>
      </c>
      <c r="I1582" s="16">
        <v>1</v>
      </c>
      <c r="J1582" s="17" t="s">
        <v>12</v>
      </c>
      <c r="K1582" s="13" t="s">
        <v>16</v>
      </c>
      <c r="L1582" s="15">
        <v>3212.4</v>
      </c>
    </row>
    <row r="1583" spans="1:12" ht="21" customHeight="1" outlineLevel="2" x14ac:dyDescent="0.25">
      <c r="A1583" s="16">
        <f t="shared" ref="A1583:A1651" si="276">ROW(A1582)</f>
        <v>1582</v>
      </c>
      <c r="B1583" s="12" t="str">
        <f t="shared" si="273"/>
        <v>ЩВ-2.2 (БЛОК 8, 9)</v>
      </c>
      <c r="C1583" s="13" t="s">
        <v>22</v>
      </c>
      <c r="D1583" s="29" t="s">
        <v>374</v>
      </c>
      <c r="E1583" s="12" t="s">
        <v>375</v>
      </c>
      <c r="F1583" s="37">
        <v>8262</v>
      </c>
      <c r="G1583" s="38">
        <f t="shared" si="274"/>
        <v>4957.2</v>
      </c>
      <c r="H1583" s="38">
        <f t="shared" ref="H1583:H1585" si="277">G1583*I1583</f>
        <v>4957.2</v>
      </c>
      <c r="I1583" s="16">
        <v>1</v>
      </c>
      <c r="J1583" s="17" t="s">
        <v>12</v>
      </c>
      <c r="K1583" s="13" t="s">
        <v>16</v>
      </c>
      <c r="L1583" s="15">
        <v>4957.2</v>
      </c>
    </row>
    <row r="1584" spans="1:12" ht="21" customHeight="1" outlineLevel="2" x14ac:dyDescent="0.25">
      <c r="A1584" s="16">
        <f t="shared" si="276"/>
        <v>1583</v>
      </c>
      <c r="B1584" s="12" t="str">
        <f t="shared" si="273"/>
        <v>ЩВ-2.2 (БЛОК 8, 9)</v>
      </c>
      <c r="C1584" s="13" t="s">
        <v>22</v>
      </c>
      <c r="D1584" s="29" t="s">
        <v>270</v>
      </c>
      <c r="E1584" s="12" t="s">
        <v>271</v>
      </c>
      <c r="F1584" s="37">
        <v>5719</v>
      </c>
      <c r="G1584" s="38">
        <f t="shared" si="274"/>
        <v>3431.4</v>
      </c>
      <c r="H1584" s="38">
        <f t="shared" si="277"/>
        <v>6862.8</v>
      </c>
      <c r="I1584" s="16">
        <v>2</v>
      </c>
      <c r="J1584" s="17" t="s">
        <v>12</v>
      </c>
      <c r="K1584" s="13" t="s">
        <v>16</v>
      </c>
      <c r="L1584" s="15">
        <v>6862.8</v>
      </c>
    </row>
    <row r="1585" spans="1:12" ht="24" customHeight="1" outlineLevel="2" x14ac:dyDescent="0.25">
      <c r="A1585" s="12">
        <f t="shared" si="276"/>
        <v>1584</v>
      </c>
      <c r="B1585" s="12" t="str">
        <f t="shared" si="273"/>
        <v>ЩВ-2.2 (БЛОК 8, 9)</v>
      </c>
      <c r="C1585" s="12" t="s">
        <v>9</v>
      </c>
      <c r="D1585" s="30" t="s">
        <v>9</v>
      </c>
      <c r="E1585" s="12" t="s">
        <v>9</v>
      </c>
      <c r="F1585" s="18">
        <f ca="1">OFFSET(F1585,1,2)</f>
        <v>4200</v>
      </c>
      <c r="G1585" s="38">
        <f ca="1">F1585</f>
        <v>4200</v>
      </c>
      <c r="H1585" s="38">
        <f t="shared" ca="1" si="277"/>
        <v>4200</v>
      </c>
      <c r="I1585" s="12">
        <v>1</v>
      </c>
      <c r="J1585" s="12" t="s">
        <v>12</v>
      </c>
      <c r="K1585" s="12" t="s">
        <v>9</v>
      </c>
      <c r="L1585" s="15">
        <v>4200</v>
      </c>
    </row>
    <row r="1586" spans="1:12" ht="21" customHeight="1" outlineLevel="2" x14ac:dyDescent="0.25">
      <c r="A1586" s="12">
        <f t="shared" si="276"/>
        <v>1585</v>
      </c>
      <c r="B1586" s="12" t="str">
        <f t="shared" si="273"/>
        <v>ЩВ-2.2 (БЛОК 8, 9)</v>
      </c>
      <c r="C1586" s="12" t="s">
        <v>10</v>
      </c>
      <c r="D1586" s="30" t="s">
        <v>10</v>
      </c>
      <c r="E1586" s="12" t="s">
        <v>10</v>
      </c>
      <c r="F1586" s="18">
        <v>0.7</v>
      </c>
      <c r="G1586" s="38">
        <v>100</v>
      </c>
      <c r="H1586" s="38">
        <f>60*F1586*G1586</f>
        <v>4200</v>
      </c>
      <c r="I1586" s="12">
        <f>60*F1586</f>
        <v>42</v>
      </c>
      <c r="J1586" s="12" t="s">
        <v>12</v>
      </c>
      <c r="K1586" s="12" t="s">
        <v>10</v>
      </c>
      <c r="L1586" s="15">
        <v>4200</v>
      </c>
    </row>
    <row r="1587" spans="1:12" ht="21" customHeight="1" outlineLevel="1" x14ac:dyDescent="0.25">
      <c r="A1587" s="12"/>
      <c r="B1587" s="12" t="s">
        <v>772</v>
      </c>
      <c r="C1587" s="12"/>
      <c r="D1587" s="30"/>
      <c r="E1587" s="12"/>
      <c r="F1587" s="18"/>
      <c r="G1587" s="38"/>
      <c r="H1587" s="38">
        <f ca="1">SUBTOTAL(9,H1579:H1586)</f>
        <v>33651.599999999999</v>
      </c>
      <c r="I1587" s="12"/>
      <c r="J1587" s="12"/>
      <c r="K1587" s="12"/>
      <c r="L1587" s="15">
        <v>33651.599999999999</v>
      </c>
    </row>
    <row r="1588" spans="1:12" ht="39.75" customHeight="1" outlineLevel="2" x14ac:dyDescent="0.25">
      <c r="A1588" s="10">
        <f>ROW(A1586)</f>
        <v>1586</v>
      </c>
      <c r="B1588" s="6" t="str">
        <f>E1588</f>
        <v>ЩВ-3.1 (БЛОК 8, 9)</v>
      </c>
      <c r="C1588" s="6"/>
      <c r="D1588" s="28"/>
      <c r="E1588" s="6" t="s">
        <v>383</v>
      </c>
      <c r="F1588" s="36"/>
      <c r="G1588" s="36" t="s">
        <v>73</v>
      </c>
      <c r="H1588" s="7"/>
      <c r="I1588" s="10">
        <v>1</v>
      </c>
      <c r="J1588" s="11" t="s">
        <v>6</v>
      </c>
      <c r="K1588" s="6" t="s">
        <v>8</v>
      </c>
      <c r="L1588" s="9"/>
    </row>
    <row r="1589" spans="1:12" ht="21" customHeight="1" outlineLevel="2" x14ac:dyDescent="0.25">
      <c r="A1589" s="16">
        <f t="shared" si="276"/>
        <v>1588</v>
      </c>
      <c r="B1589" s="12" t="str">
        <f t="shared" ref="B1589:B1595" si="278">B1588</f>
        <v>ЩВ-3.1 (БЛОК 8, 9)</v>
      </c>
      <c r="C1589" s="13" t="s">
        <v>7</v>
      </c>
      <c r="D1589" s="29" t="s">
        <v>466</v>
      </c>
      <c r="E1589" s="12" t="s">
        <v>467</v>
      </c>
      <c r="F1589" s="37">
        <v>14695</v>
      </c>
      <c r="G1589" s="38">
        <f t="shared" ref="G1589:G1593" si="279">F1589*0.6</f>
        <v>8817</v>
      </c>
      <c r="H1589" s="38">
        <f>I1589*G1589</f>
        <v>8817</v>
      </c>
      <c r="I1589" s="16">
        <v>1</v>
      </c>
      <c r="J1589" s="17" t="s">
        <v>12</v>
      </c>
      <c r="K1589" s="13" t="s">
        <v>15</v>
      </c>
      <c r="L1589" s="15">
        <v>8817</v>
      </c>
    </row>
    <row r="1590" spans="1:12" ht="21" customHeight="1" outlineLevel="2" x14ac:dyDescent="0.25">
      <c r="A1590" s="16">
        <f t="shared" si="276"/>
        <v>1589</v>
      </c>
      <c r="B1590" s="12" t="str">
        <f t="shared" si="278"/>
        <v>ЩВ-3.1 (БЛОК 8, 9)</v>
      </c>
      <c r="C1590" s="13" t="s">
        <v>11</v>
      </c>
      <c r="D1590" s="29" t="s">
        <v>51</v>
      </c>
      <c r="E1590" s="12" t="s">
        <v>52</v>
      </c>
      <c r="F1590" s="37">
        <v>2337</v>
      </c>
      <c r="G1590" s="38">
        <f t="shared" si="279"/>
        <v>1402.2</v>
      </c>
      <c r="H1590" s="38">
        <f t="shared" ref="H1590" si="280">G1590*I1590</f>
        <v>1402.2</v>
      </c>
      <c r="I1590" s="16">
        <v>1</v>
      </c>
      <c r="J1590" s="17" t="s">
        <v>12</v>
      </c>
      <c r="K1590" s="13" t="s">
        <v>16</v>
      </c>
      <c r="L1590" s="15">
        <v>1402.2</v>
      </c>
    </row>
    <row r="1591" spans="1:12" ht="21" customHeight="1" outlineLevel="2" x14ac:dyDescent="0.25">
      <c r="A1591" s="16">
        <f t="shared" si="276"/>
        <v>1590</v>
      </c>
      <c r="B1591" s="12" t="str">
        <f t="shared" si="278"/>
        <v>ЩВ-3.1 (БЛОК 8, 9)</v>
      </c>
      <c r="C1591" s="13" t="s">
        <v>596</v>
      </c>
      <c r="D1591" s="29" t="s">
        <v>45</v>
      </c>
      <c r="E1591" s="12" t="s">
        <v>46</v>
      </c>
      <c r="F1591" s="37">
        <v>5354</v>
      </c>
      <c r="G1591" s="38">
        <f t="shared" si="279"/>
        <v>3212.4</v>
      </c>
      <c r="H1591" s="38">
        <f>G1591*I1591</f>
        <v>3212.4</v>
      </c>
      <c r="I1591" s="16">
        <v>1</v>
      </c>
      <c r="J1591" s="17" t="s">
        <v>12</v>
      </c>
      <c r="K1591" s="13" t="s">
        <v>16</v>
      </c>
      <c r="L1591" s="15">
        <v>3212.4</v>
      </c>
    </row>
    <row r="1592" spans="1:12" ht="21" customHeight="1" outlineLevel="2" x14ac:dyDescent="0.25">
      <c r="A1592" s="16">
        <f t="shared" si="276"/>
        <v>1591</v>
      </c>
      <c r="B1592" s="12" t="str">
        <f t="shared" si="278"/>
        <v>ЩВ-3.1 (БЛОК 8, 9)</v>
      </c>
      <c r="C1592" s="13" t="s">
        <v>11</v>
      </c>
      <c r="D1592" s="29" t="s">
        <v>280</v>
      </c>
      <c r="E1592" s="12" t="s">
        <v>281</v>
      </c>
      <c r="F1592" s="37">
        <v>2447</v>
      </c>
      <c r="G1592" s="38">
        <f t="shared" si="279"/>
        <v>1468.2</v>
      </c>
      <c r="H1592" s="38">
        <f t="shared" ref="H1592" si="281">G1592*I1592</f>
        <v>1468.2</v>
      </c>
      <c r="I1592" s="16">
        <v>1</v>
      </c>
      <c r="J1592" s="17" t="s">
        <v>12</v>
      </c>
      <c r="K1592" s="13" t="s">
        <v>16</v>
      </c>
      <c r="L1592" s="15">
        <v>1468.2</v>
      </c>
    </row>
    <row r="1593" spans="1:12" ht="21" customHeight="1" outlineLevel="2" x14ac:dyDescent="0.25">
      <c r="A1593" s="16">
        <f t="shared" si="276"/>
        <v>1592</v>
      </c>
      <c r="B1593" s="12" t="str">
        <f t="shared" si="278"/>
        <v>ЩВ-3.1 (БЛОК 8, 9)</v>
      </c>
      <c r="C1593" s="13" t="s">
        <v>22</v>
      </c>
      <c r="D1593" s="29" t="s">
        <v>270</v>
      </c>
      <c r="E1593" s="12" t="s">
        <v>271</v>
      </c>
      <c r="F1593" s="37">
        <v>5719</v>
      </c>
      <c r="G1593" s="38">
        <f t="shared" si="279"/>
        <v>3431.4</v>
      </c>
      <c r="H1593" s="38">
        <f t="shared" ref="H1593:H1594" si="282">G1593*I1593</f>
        <v>6862.8</v>
      </c>
      <c r="I1593" s="16">
        <v>2</v>
      </c>
      <c r="J1593" s="17" t="s">
        <v>12</v>
      </c>
      <c r="K1593" s="13" t="s">
        <v>16</v>
      </c>
      <c r="L1593" s="15">
        <v>6862.8</v>
      </c>
    </row>
    <row r="1594" spans="1:12" ht="24" customHeight="1" outlineLevel="2" x14ac:dyDescent="0.25">
      <c r="A1594" s="12">
        <f t="shared" si="276"/>
        <v>1593</v>
      </c>
      <c r="B1594" s="12" t="str">
        <f t="shared" si="278"/>
        <v>ЩВ-3.1 (БЛОК 8, 9)</v>
      </c>
      <c r="C1594" s="12" t="s">
        <v>9</v>
      </c>
      <c r="D1594" s="30" t="s">
        <v>9</v>
      </c>
      <c r="E1594" s="12" t="s">
        <v>9</v>
      </c>
      <c r="F1594" s="18">
        <f ca="1">OFFSET(F1594,1,2)</f>
        <v>4200</v>
      </c>
      <c r="G1594" s="38">
        <f ca="1">F1594</f>
        <v>4200</v>
      </c>
      <c r="H1594" s="38">
        <f t="shared" ca="1" si="282"/>
        <v>4200</v>
      </c>
      <c r="I1594" s="12">
        <v>1</v>
      </c>
      <c r="J1594" s="12" t="s">
        <v>12</v>
      </c>
      <c r="K1594" s="12" t="s">
        <v>9</v>
      </c>
      <c r="L1594" s="15">
        <v>4200</v>
      </c>
    </row>
    <row r="1595" spans="1:12" ht="21" customHeight="1" outlineLevel="2" x14ac:dyDescent="0.25">
      <c r="A1595" s="12">
        <f t="shared" si="276"/>
        <v>1594</v>
      </c>
      <c r="B1595" s="12" t="str">
        <f t="shared" si="278"/>
        <v>ЩВ-3.1 (БЛОК 8, 9)</v>
      </c>
      <c r="C1595" s="12" t="s">
        <v>10</v>
      </c>
      <c r="D1595" s="30" t="s">
        <v>10</v>
      </c>
      <c r="E1595" s="12" t="s">
        <v>10</v>
      </c>
      <c r="F1595" s="18">
        <v>0.7</v>
      </c>
      <c r="G1595" s="38">
        <v>100</v>
      </c>
      <c r="H1595" s="38">
        <f>60*F1595*G1595</f>
        <v>4200</v>
      </c>
      <c r="I1595" s="12">
        <f>60*F1595</f>
        <v>42</v>
      </c>
      <c r="J1595" s="12" t="s">
        <v>12</v>
      </c>
      <c r="K1595" s="12" t="s">
        <v>10</v>
      </c>
      <c r="L1595" s="15">
        <v>4200</v>
      </c>
    </row>
    <row r="1596" spans="1:12" ht="21" customHeight="1" outlineLevel="1" x14ac:dyDescent="0.25">
      <c r="A1596" s="12"/>
      <c r="B1596" s="12" t="s">
        <v>773</v>
      </c>
      <c r="C1596" s="12"/>
      <c r="D1596" s="30"/>
      <c r="E1596" s="12"/>
      <c r="F1596" s="18"/>
      <c r="G1596" s="38"/>
      <c r="H1596" s="38">
        <f ca="1">SUBTOTAL(9,H1588:H1595)</f>
        <v>30162.600000000002</v>
      </c>
      <c r="I1596" s="12"/>
      <c r="J1596" s="12"/>
      <c r="K1596" s="12"/>
      <c r="L1596" s="15">
        <v>30162.600000000002</v>
      </c>
    </row>
    <row r="1597" spans="1:12" ht="39.75" customHeight="1" outlineLevel="2" x14ac:dyDescent="0.25">
      <c r="A1597" s="10">
        <f>ROW(A1595)</f>
        <v>1595</v>
      </c>
      <c r="B1597" s="6" t="str">
        <f>E1597</f>
        <v>ЩВ-3.2 (БЛОК 8, 9)</v>
      </c>
      <c r="C1597" s="6"/>
      <c r="D1597" s="28"/>
      <c r="E1597" s="6" t="s">
        <v>384</v>
      </c>
      <c r="F1597" s="36"/>
      <c r="G1597" s="36" t="s">
        <v>73</v>
      </c>
      <c r="H1597" s="7"/>
      <c r="I1597" s="10">
        <v>1</v>
      </c>
      <c r="J1597" s="11" t="s">
        <v>6</v>
      </c>
      <c r="K1597" s="6" t="s">
        <v>8</v>
      </c>
      <c r="L1597" s="9"/>
    </row>
    <row r="1598" spans="1:12" ht="21" customHeight="1" outlineLevel="2" x14ac:dyDescent="0.25">
      <c r="A1598" s="16">
        <f t="shared" si="276"/>
        <v>1597</v>
      </c>
      <c r="B1598" s="12" t="str">
        <f t="shared" ref="B1598:B1604" si="283">B1597</f>
        <v>ЩВ-3.2 (БЛОК 8, 9)</v>
      </c>
      <c r="C1598" s="13" t="s">
        <v>7</v>
      </c>
      <c r="D1598" s="29" t="s">
        <v>464</v>
      </c>
      <c r="E1598" s="12" t="s">
        <v>465</v>
      </c>
      <c r="F1598" s="37">
        <v>10270</v>
      </c>
      <c r="G1598" s="38">
        <f t="shared" ref="G1598:G1602" si="284">F1598*0.6</f>
        <v>6162</v>
      </c>
      <c r="H1598" s="38">
        <f>I1598*G1598</f>
        <v>6162</v>
      </c>
      <c r="I1598" s="16">
        <v>1</v>
      </c>
      <c r="J1598" s="17" t="s">
        <v>12</v>
      </c>
      <c r="K1598" s="13" t="s">
        <v>15</v>
      </c>
      <c r="L1598" s="15">
        <v>6162</v>
      </c>
    </row>
    <row r="1599" spans="1:12" ht="21" customHeight="1" outlineLevel="2" x14ac:dyDescent="0.25">
      <c r="A1599" s="16">
        <f t="shared" si="276"/>
        <v>1598</v>
      </c>
      <c r="B1599" s="12" t="str">
        <f t="shared" si="283"/>
        <v>ЩВ-3.2 (БЛОК 8, 9)</v>
      </c>
      <c r="C1599" s="13" t="s">
        <v>11</v>
      </c>
      <c r="D1599" s="29" t="s">
        <v>51</v>
      </c>
      <c r="E1599" s="12" t="s">
        <v>52</v>
      </c>
      <c r="F1599" s="37">
        <v>2337</v>
      </c>
      <c r="G1599" s="38">
        <f t="shared" si="284"/>
        <v>1402.2</v>
      </c>
      <c r="H1599" s="38">
        <f t="shared" ref="H1599" si="285">G1599*I1599</f>
        <v>1402.2</v>
      </c>
      <c r="I1599" s="16">
        <v>1</v>
      </c>
      <c r="J1599" s="17" t="s">
        <v>12</v>
      </c>
      <c r="K1599" s="13" t="s">
        <v>16</v>
      </c>
      <c r="L1599" s="15">
        <v>1402.2</v>
      </c>
    </row>
    <row r="1600" spans="1:12" ht="21" customHeight="1" outlineLevel="2" x14ac:dyDescent="0.25">
      <c r="A1600" s="16">
        <f t="shared" si="276"/>
        <v>1599</v>
      </c>
      <c r="B1600" s="12" t="str">
        <f t="shared" si="283"/>
        <v>ЩВ-3.2 (БЛОК 8, 9)</v>
      </c>
      <c r="C1600" s="13" t="s">
        <v>596</v>
      </c>
      <c r="D1600" s="29" t="s">
        <v>45</v>
      </c>
      <c r="E1600" s="12" t="s">
        <v>46</v>
      </c>
      <c r="F1600" s="37">
        <v>5354</v>
      </c>
      <c r="G1600" s="38">
        <f t="shared" si="284"/>
        <v>3212.4</v>
      </c>
      <c r="H1600" s="38">
        <f>G1600*I1600</f>
        <v>3212.4</v>
      </c>
      <c r="I1600" s="16">
        <v>1</v>
      </c>
      <c r="J1600" s="17" t="s">
        <v>12</v>
      </c>
      <c r="K1600" s="13" t="s">
        <v>16</v>
      </c>
      <c r="L1600" s="15">
        <v>3212.4</v>
      </c>
    </row>
    <row r="1601" spans="1:12" ht="21" customHeight="1" outlineLevel="2" x14ac:dyDescent="0.25">
      <c r="A1601" s="16">
        <f t="shared" si="276"/>
        <v>1600</v>
      </c>
      <c r="B1601" s="12" t="str">
        <f t="shared" si="283"/>
        <v>ЩВ-3.2 (БЛОК 8, 9)</v>
      </c>
      <c r="C1601" s="13" t="s">
        <v>22</v>
      </c>
      <c r="D1601" s="29" t="s">
        <v>374</v>
      </c>
      <c r="E1601" s="12" t="s">
        <v>375</v>
      </c>
      <c r="F1601" s="37">
        <v>8262</v>
      </c>
      <c r="G1601" s="38">
        <f t="shared" si="284"/>
        <v>4957.2</v>
      </c>
      <c r="H1601" s="38">
        <f t="shared" ref="H1601:H1603" si="286">G1601*I1601</f>
        <v>4957.2</v>
      </c>
      <c r="I1601" s="16">
        <v>1</v>
      </c>
      <c r="J1601" s="17" t="s">
        <v>12</v>
      </c>
      <c r="K1601" s="13" t="s">
        <v>16</v>
      </c>
      <c r="L1601" s="15">
        <v>4957.2</v>
      </c>
    </row>
    <row r="1602" spans="1:12" ht="21" customHeight="1" outlineLevel="2" x14ac:dyDescent="0.25">
      <c r="A1602" s="16">
        <f t="shared" si="276"/>
        <v>1601</v>
      </c>
      <c r="B1602" s="12" t="str">
        <f t="shared" si="283"/>
        <v>ЩВ-3.2 (БЛОК 8, 9)</v>
      </c>
      <c r="C1602" s="13" t="s">
        <v>22</v>
      </c>
      <c r="D1602" s="29" t="s">
        <v>270</v>
      </c>
      <c r="E1602" s="12" t="s">
        <v>271</v>
      </c>
      <c r="F1602" s="37">
        <v>5719</v>
      </c>
      <c r="G1602" s="38">
        <f t="shared" si="284"/>
        <v>3431.4</v>
      </c>
      <c r="H1602" s="38">
        <f t="shared" si="286"/>
        <v>3431.4</v>
      </c>
      <c r="I1602" s="16">
        <v>1</v>
      </c>
      <c r="J1602" s="17" t="s">
        <v>12</v>
      </c>
      <c r="K1602" s="13" t="s">
        <v>16</v>
      </c>
      <c r="L1602" s="15">
        <v>3431.4</v>
      </c>
    </row>
    <row r="1603" spans="1:12" ht="24" customHeight="1" outlineLevel="2" x14ac:dyDescent="0.25">
      <c r="A1603" s="12">
        <f t="shared" si="276"/>
        <v>1602</v>
      </c>
      <c r="B1603" s="12" t="str">
        <f t="shared" si="283"/>
        <v>ЩВ-3.2 (БЛОК 8, 9)</v>
      </c>
      <c r="C1603" s="12" t="s">
        <v>9</v>
      </c>
      <c r="D1603" s="30" t="s">
        <v>9</v>
      </c>
      <c r="E1603" s="12" t="s">
        <v>9</v>
      </c>
      <c r="F1603" s="18">
        <f ca="1">OFFSET(F1603,1,2)</f>
        <v>4200</v>
      </c>
      <c r="G1603" s="38">
        <f ca="1">F1603</f>
        <v>4200</v>
      </c>
      <c r="H1603" s="38">
        <f t="shared" ca="1" si="286"/>
        <v>4200</v>
      </c>
      <c r="I1603" s="12">
        <v>1</v>
      </c>
      <c r="J1603" s="12" t="s">
        <v>12</v>
      </c>
      <c r="K1603" s="12" t="s">
        <v>9</v>
      </c>
      <c r="L1603" s="15">
        <v>4200</v>
      </c>
    </row>
    <row r="1604" spans="1:12" ht="21" customHeight="1" outlineLevel="2" x14ac:dyDescent="0.25">
      <c r="A1604" s="12">
        <f t="shared" si="276"/>
        <v>1603</v>
      </c>
      <c r="B1604" s="12" t="str">
        <f t="shared" si="283"/>
        <v>ЩВ-3.2 (БЛОК 8, 9)</v>
      </c>
      <c r="C1604" s="12" t="s">
        <v>10</v>
      </c>
      <c r="D1604" s="30" t="s">
        <v>10</v>
      </c>
      <c r="E1604" s="12" t="s">
        <v>10</v>
      </c>
      <c r="F1604" s="18">
        <v>0.7</v>
      </c>
      <c r="G1604" s="38">
        <v>100</v>
      </c>
      <c r="H1604" s="38">
        <f>60*F1604*G1604</f>
        <v>4200</v>
      </c>
      <c r="I1604" s="12">
        <f>60*F1604</f>
        <v>42</v>
      </c>
      <c r="J1604" s="12" t="s">
        <v>12</v>
      </c>
      <c r="K1604" s="12" t="s">
        <v>10</v>
      </c>
      <c r="L1604" s="15">
        <v>4200</v>
      </c>
    </row>
    <row r="1605" spans="1:12" ht="21" customHeight="1" outlineLevel="1" x14ac:dyDescent="0.25">
      <c r="A1605" s="12"/>
      <c r="B1605" s="12" t="s">
        <v>774</v>
      </c>
      <c r="C1605" s="12"/>
      <c r="D1605" s="30"/>
      <c r="E1605" s="12"/>
      <c r="F1605" s="18"/>
      <c r="G1605" s="38"/>
      <c r="H1605" s="38">
        <f ca="1">SUBTOTAL(9,H1597:H1604)</f>
        <v>27565.200000000001</v>
      </c>
      <c r="I1605" s="12"/>
      <c r="J1605" s="12"/>
      <c r="K1605" s="12"/>
      <c r="L1605" s="15">
        <v>27565.200000000001</v>
      </c>
    </row>
    <row r="1606" spans="1:12" ht="39.75" customHeight="1" outlineLevel="2" x14ac:dyDescent="0.25">
      <c r="A1606" s="10">
        <f>ROW(A1604)</f>
        <v>1604</v>
      </c>
      <c r="B1606" s="6" t="str">
        <f>E1606</f>
        <v>ЩВ-4.1 (БЛОК 8, 9)</v>
      </c>
      <c r="C1606" s="6"/>
      <c r="D1606" s="28"/>
      <c r="E1606" s="6" t="s">
        <v>385</v>
      </c>
      <c r="F1606" s="36"/>
      <c r="G1606" s="36" t="s">
        <v>73</v>
      </c>
      <c r="H1606" s="7"/>
      <c r="I1606" s="10">
        <v>1</v>
      </c>
      <c r="J1606" s="11" t="s">
        <v>6</v>
      </c>
      <c r="K1606" s="6" t="s">
        <v>8</v>
      </c>
      <c r="L1606" s="9"/>
    </row>
    <row r="1607" spans="1:12" ht="21" customHeight="1" outlineLevel="2" x14ac:dyDescent="0.25">
      <c r="A1607" s="16">
        <f t="shared" si="276"/>
        <v>1606</v>
      </c>
      <c r="B1607" s="12" t="str">
        <f t="shared" ref="B1607:B1613" si="287">B1606</f>
        <v>ЩВ-4.1 (БЛОК 8, 9)</v>
      </c>
      <c r="C1607" s="13" t="s">
        <v>7</v>
      </c>
      <c r="D1607" s="29" t="s">
        <v>466</v>
      </c>
      <c r="E1607" s="12" t="s">
        <v>467</v>
      </c>
      <c r="F1607" s="37">
        <v>14695</v>
      </c>
      <c r="G1607" s="38">
        <f t="shared" ref="G1607:G1611" si="288">F1607*0.6</f>
        <v>8817</v>
      </c>
      <c r="H1607" s="38">
        <f>I1607*G1607</f>
        <v>8817</v>
      </c>
      <c r="I1607" s="16">
        <v>1</v>
      </c>
      <c r="J1607" s="17" t="s">
        <v>12</v>
      </c>
      <c r="K1607" s="13" t="s">
        <v>15</v>
      </c>
      <c r="L1607" s="15">
        <v>8817</v>
      </c>
    </row>
    <row r="1608" spans="1:12" ht="21" customHeight="1" outlineLevel="2" x14ac:dyDescent="0.25">
      <c r="A1608" s="16">
        <f t="shared" si="276"/>
        <v>1607</v>
      </c>
      <c r="B1608" s="12" t="str">
        <f t="shared" si="287"/>
        <v>ЩВ-4.1 (БЛОК 8, 9)</v>
      </c>
      <c r="C1608" s="13" t="s">
        <v>11</v>
      </c>
      <c r="D1608" s="29" t="s">
        <v>51</v>
      </c>
      <c r="E1608" s="12" t="s">
        <v>52</v>
      </c>
      <c r="F1608" s="37">
        <v>2337</v>
      </c>
      <c r="G1608" s="38">
        <f t="shared" si="288"/>
        <v>1402.2</v>
      </c>
      <c r="H1608" s="38">
        <f t="shared" ref="H1608" si="289">G1608*I1608</f>
        <v>1402.2</v>
      </c>
      <c r="I1608" s="16">
        <v>1</v>
      </c>
      <c r="J1608" s="17" t="s">
        <v>12</v>
      </c>
      <c r="K1608" s="13" t="s">
        <v>16</v>
      </c>
      <c r="L1608" s="15">
        <v>1402.2</v>
      </c>
    </row>
    <row r="1609" spans="1:12" ht="21" customHeight="1" outlineLevel="2" x14ac:dyDescent="0.25">
      <c r="A1609" s="16">
        <f t="shared" si="276"/>
        <v>1608</v>
      </c>
      <c r="B1609" s="12" t="str">
        <f t="shared" si="287"/>
        <v>ЩВ-4.1 (БЛОК 8, 9)</v>
      </c>
      <c r="C1609" s="13" t="s">
        <v>596</v>
      </c>
      <c r="D1609" s="29" t="s">
        <v>45</v>
      </c>
      <c r="E1609" s="12" t="s">
        <v>46</v>
      </c>
      <c r="F1609" s="37">
        <v>5354</v>
      </c>
      <c r="G1609" s="38">
        <f t="shared" si="288"/>
        <v>3212.4</v>
      </c>
      <c r="H1609" s="38">
        <f>G1609*I1609</f>
        <v>3212.4</v>
      </c>
      <c r="I1609" s="16">
        <v>1</v>
      </c>
      <c r="J1609" s="17" t="s">
        <v>12</v>
      </c>
      <c r="K1609" s="13" t="s">
        <v>16</v>
      </c>
      <c r="L1609" s="15">
        <v>3212.4</v>
      </c>
    </row>
    <row r="1610" spans="1:12" ht="21" customHeight="1" outlineLevel="2" x14ac:dyDescent="0.25">
      <c r="A1610" s="16">
        <f t="shared" si="276"/>
        <v>1609</v>
      </c>
      <c r="B1610" s="12" t="str">
        <f t="shared" si="287"/>
        <v>ЩВ-4.1 (БЛОК 8, 9)</v>
      </c>
      <c r="C1610" s="13" t="s">
        <v>22</v>
      </c>
      <c r="D1610" s="29" t="s">
        <v>374</v>
      </c>
      <c r="E1610" s="12" t="s">
        <v>375</v>
      </c>
      <c r="F1610" s="37">
        <v>8262</v>
      </c>
      <c r="G1610" s="38">
        <f t="shared" si="288"/>
        <v>4957.2</v>
      </c>
      <c r="H1610" s="38">
        <f>G1610*I1610</f>
        <v>4957.2</v>
      </c>
      <c r="I1610" s="16">
        <v>1</v>
      </c>
      <c r="J1610" s="17" t="s">
        <v>12</v>
      </c>
      <c r="K1610" s="13" t="s">
        <v>16</v>
      </c>
      <c r="L1610" s="15">
        <v>4957.2</v>
      </c>
    </row>
    <row r="1611" spans="1:12" ht="21" customHeight="1" outlineLevel="2" x14ac:dyDescent="0.25">
      <c r="A1611" s="16">
        <f t="shared" si="276"/>
        <v>1610</v>
      </c>
      <c r="B1611" s="12" t="str">
        <f t="shared" si="287"/>
        <v>ЩВ-4.1 (БЛОК 8, 9)</v>
      </c>
      <c r="C1611" s="13" t="s">
        <v>22</v>
      </c>
      <c r="D1611" s="29" t="s">
        <v>270</v>
      </c>
      <c r="E1611" s="12" t="s">
        <v>271</v>
      </c>
      <c r="F1611" s="37">
        <v>5719</v>
      </c>
      <c r="G1611" s="38">
        <f t="shared" si="288"/>
        <v>3431.4</v>
      </c>
      <c r="H1611" s="38">
        <f t="shared" ref="H1611:H1612" si="290">G1611*I1611</f>
        <v>6862.8</v>
      </c>
      <c r="I1611" s="16">
        <v>2</v>
      </c>
      <c r="J1611" s="17" t="s">
        <v>12</v>
      </c>
      <c r="K1611" s="13" t="s">
        <v>16</v>
      </c>
      <c r="L1611" s="15">
        <v>6862.8</v>
      </c>
    </row>
    <row r="1612" spans="1:12" ht="24" customHeight="1" outlineLevel="2" x14ac:dyDescent="0.25">
      <c r="A1612" s="12">
        <f t="shared" si="276"/>
        <v>1611</v>
      </c>
      <c r="B1612" s="12" t="str">
        <f t="shared" si="287"/>
        <v>ЩВ-4.1 (БЛОК 8, 9)</v>
      </c>
      <c r="C1612" s="12" t="s">
        <v>9</v>
      </c>
      <c r="D1612" s="30" t="s">
        <v>9</v>
      </c>
      <c r="E1612" s="12" t="s">
        <v>9</v>
      </c>
      <c r="F1612" s="18">
        <f ca="1">OFFSET(F1612,1,2)</f>
        <v>4200</v>
      </c>
      <c r="G1612" s="38">
        <f ca="1">F1612</f>
        <v>4200</v>
      </c>
      <c r="H1612" s="38">
        <f t="shared" ca="1" si="290"/>
        <v>4200</v>
      </c>
      <c r="I1612" s="12">
        <v>1</v>
      </c>
      <c r="J1612" s="12" t="s">
        <v>12</v>
      </c>
      <c r="K1612" s="12" t="s">
        <v>9</v>
      </c>
      <c r="L1612" s="15">
        <v>4200</v>
      </c>
    </row>
    <row r="1613" spans="1:12" ht="21" customHeight="1" outlineLevel="2" x14ac:dyDescent="0.25">
      <c r="A1613" s="12">
        <f t="shared" si="276"/>
        <v>1612</v>
      </c>
      <c r="B1613" s="12" t="str">
        <f t="shared" si="287"/>
        <v>ЩВ-4.1 (БЛОК 8, 9)</v>
      </c>
      <c r="C1613" s="12" t="s">
        <v>10</v>
      </c>
      <c r="D1613" s="30" t="s">
        <v>10</v>
      </c>
      <c r="E1613" s="12" t="s">
        <v>10</v>
      </c>
      <c r="F1613" s="18">
        <v>0.7</v>
      </c>
      <c r="G1613" s="38">
        <v>100</v>
      </c>
      <c r="H1613" s="38">
        <f>60*F1613*G1613</f>
        <v>4200</v>
      </c>
      <c r="I1613" s="12">
        <f>60*F1613</f>
        <v>42</v>
      </c>
      <c r="J1613" s="12" t="s">
        <v>12</v>
      </c>
      <c r="K1613" s="12" t="s">
        <v>10</v>
      </c>
      <c r="L1613" s="15">
        <v>4200</v>
      </c>
    </row>
    <row r="1614" spans="1:12" ht="21" customHeight="1" outlineLevel="1" x14ac:dyDescent="0.25">
      <c r="A1614" s="12"/>
      <c r="B1614" s="12" t="s">
        <v>775</v>
      </c>
      <c r="C1614" s="12"/>
      <c r="D1614" s="30"/>
      <c r="E1614" s="12"/>
      <c r="F1614" s="18"/>
      <c r="G1614" s="38"/>
      <c r="H1614" s="38">
        <f ca="1">SUBTOTAL(9,H1606:H1613)</f>
        <v>33651.599999999999</v>
      </c>
      <c r="I1614" s="12"/>
      <c r="J1614" s="12"/>
      <c r="K1614" s="12"/>
      <c r="L1614" s="15">
        <v>33651.599999999999</v>
      </c>
    </row>
    <row r="1615" spans="1:12" ht="39.75" customHeight="1" outlineLevel="2" x14ac:dyDescent="0.25">
      <c r="A1615" s="10">
        <f>ROW(A1613)</f>
        <v>1613</v>
      </c>
      <c r="B1615" s="6" t="str">
        <f>E1615</f>
        <v>ЩВ-4.2 (БЛОК 8, 9)</v>
      </c>
      <c r="C1615" s="6"/>
      <c r="D1615" s="28"/>
      <c r="E1615" s="6" t="s">
        <v>386</v>
      </c>
      <c r="F1615" s="36"/>
      <c r="G1615" s="36" t="s">
        <v>73</v>
      </c>
      <c r="H1615" s="7"/>
      <c r="I1615" s="10">
        <v>1</v>
      </c>
      <c r="J1615" s="11" t="s">
        <v>6</v>
      </c>
      <c r="K1615" s="6" t="s">
        <v>8</v>
      </c>
      <c r="L1615" s="9"/>
    </row>
    <row r="1616" spans="1:12" ht="21" customHeight="1" outlineLevel="2" x14ac:dyDescent="0.25">
      <c r="A1616" s="16">
        <f t="shared" si="276"/>
        <v>1615</v>
      </c>
      <c r="B1616" s="12" t="str">
        <f t="shared" ref="B1616:B1629" si="291">B1615</f>
        <v>ЩВ-4.2 (БЛОК 8, 9)</v>
      </c>
      <c r="C1616" s="13" t="s">
        <v>7</v>
      </c>
      <c r="D1616" s="29" t="s">
        <v>568</v>
      </c>
      <c r="E1616" s="12" t="s">
        <v>569</v>
      </c>
      <c r="F1616" s="37">
        <v>55915</v>
      </c>
      <c r="G1616" s="38">
        <f t="shared" ref="G1616:G1627" si="292">F1616*0.6</f>
        <v>33549</v>
      </c>
      <c r="H1616" s="38">
        <f>I1616*G1616</f>
        <v>33549</v>
      </c>
      <c r="I1616" s="16">
        <v>1</v>
      </c>
      <c r="J1616" s="17" t="s">
        <v>12</v>
      </c>
      <c r="K1616" s="13" t="s">
        <v>15</v>
      </c>
      <c r="L1616" s="15">
        <v>33549</v>
      </c>
    </row>
    <row r="1617" spans="1:12" ht="21" customHeight="1" outlineLevel="2" x14ac:dyDescent="0.25">
      <c r="A1617" s="16">
        <f t="shared" si="276"/>
        <v>1616</v>
      </c>
      <c r="B1617" s="12" t="str">
        <f t="shared" si="291"/>
        <v>ЩВ-4.2 (БЛОК 8, 9)</v>
      </c>
      <c r="C1617" s="13" t="s">
        <v>11</v>
      </c>
      <c r="D1617" s="29" t="s">
        <v>273</v>
      </c>
      <c r="E1617" s="12" t="s">
        <v>274</v>
      </c>
      <c r="F1617" s="37">
        <v>2499</v>
      </c>
      <c r="G1617" s="38">
        <f t="shared" si="292"/>
        <v>1499.3999999999999</v>
      </c>
      <c r="H1617" s="38">
        <f t="shared" ref="H1617" si="293">G1617*I1617</f>
        <v>1499.3999999999999</v>
      </c>
      <c r="I1617" s="16">
        <v>1</v>
      </c>
      <c r="J1617" s="17" t="s">
        <v>12</v>
      </c>
      <c r="K1617" s="13" t="s">
        <v>16</v>
      </c>
      <c r="L1617" s="15">
        <v>1499.3999999999999</v>
      </c>
    </row>
    <row r="1618" spans="1:12" ht="21" customHeight="1" outlineLevel="2" x14ac:dyDescent="0.25">
      <c r="A1618" s="16">
        <f t="shared" si="276"/>
        <v>1617</v>
      </c>
      <c r="B1618" s="12" t="str">
        <f t="shared" si="291"/>
        <v>ЩВ-4.2 (БЛОК 8, 9)</v>
      </c>
      <c r="C1618" s="13" t="s">
        <v>596</v>
      </c>
      <c r="D1618" s="29" t="s">
        <v>45</v>
      </c>
      <c r="E1618" s="12" t="s">
        <v>46</v>
      </c>
      <c r="F1618" s="37">
        <v>5354</v>
      </c>
      <c r="G1618" s="38">
        <f t="shared" si="292"/>
        <v>3212.4</v>
      </c>
      <c r="H1618" s="38">
        <f>G1618*I1618</f>
        <v>3212.4</v>
      </c>
      <c r="I1618" s="16">
        <v>1</v>
      </c>
      <c r="J1618" s="17" t="s">
        <v>12</v>
      </c>
      <c r="K1618" s="13" t="s">
        <v>16</v>
      </c>
      <c r="L1618" s="15">
        <v>3212.4</v>
      </c>
    </row>
    <row r="1619" spans="1:12" ht="21" customHeight="1" outlineLevel="2" x14ac:dyDescent="0.25">
      <c r="A1619" s="16">
        <f t="shared" si="276"/>
        <v>1618</v>
      </c>
      <c r="B1619" s="12" t="str">
        <f t="shared" si="291"/>
        <v>ЩВ-4.2 (БЛОК 8, 9)</v>
      </c>
      <c r="C1619" s="13" t="s">
        <v>11</v>
      </c>
      <c r="D1619" s="29" t="s">
        <v>51</v>
      </c>
      <c r="E1619" s="12" t="s">
        <v>52</v>
      </c>
      <c r="F1619" s="37">
        <v>2337</v>
      </c>
      <c r="G1619" s="38">
        <f t="shared" si="292"/>
        <v>1402.2</v>
      </c>
      <c r="H1619" s="38">
        <f t="shared" ref="H1619:H1623" si="294">G1619*I1619</f>
        <v>1402.2</v>
      </c>
      <c r="I1619" s="16">
        <v>1</v>
      </c>
      <c r="J1619" s="17" t="s">
        <v>12</v>
      </c>
      <c r="K1619" s="13" t="s">
        <v>16</v>
      </c>
      <c r="L1619" s="15">
        <v>1402.2</v>
      </c>
    </row>
    <row r="1620" spans="1:12" ht="21" customHeight="1" outlineLevel="2" x14ac:dyDescent="0.25">
      <c r="A1620" s="16">
        <f t="shared" si="276"/>
        <v>1619</v>
      </c>
      <c r="B1620" s="12" t="str">
        <f t="shared" si="291"/>
        <v>ЩВ-4.2 (БЛОК 8, 9)</v>
      </c>
      <c r="C1620" s="13" t="s">
        <v>11</v>
      </c>
      <c r="D1620" s="29" t="s">
        <v>280</v>
      </c>
      <c r="E1620" s="12" t="s">
        <v>281</v>
      </c>
      <c r="F1620" s="37">
        <v>2447</v>
      </c>
      <c r="G1620" s="38">
        <f t="shared" si="292"/>
        <v>1468.2</v>
      </c>
      <c r="H1620" s="38">
        <f t="shared" si="294"/>
        <v>14682</v>
      </c>
      <c r="I1620" s="16">
        <v>10</v>
      </c>
      <c r="J1620" s="17" t="s">
        <v>12</v>
      </c>
      <c r="K1620" s="13" t="s">
        <v>16</v>
      </c>
      <c r="L1620" s="15">
        <v>14682</v>
      </c>
    </row>
    <row r="1621" spans="1:12" ht="21" customHeight="1" outlineLevel="2" x14ac:dyDescent="0.25">
      <c r="A1621" s="16">
        <f t="shared" si="276"/>
        <v>1620</v>
      </c>
      <c r="B1621" s="12" t="str">
        <f t="shared" si="291"/>
        <v>ЩВ-4.2 (БЛОК 8, 9)</v>
      </c>
      <c r="C1621" s="13" t="s">
        <v>48</v>
      </c>
      <c r="D1621" s="29" t="s">
        <v>457</v>
      </c>
      <c r="E1621" s="12" t="s">
        <v>458</v>
      </c>
      <c r="F1621" s="37">
        <v>7084</v>
      </c>
      <c r="G1621" s="38">
        <f t="shared" si="292"/>
        <v>4250.3999999999996</v>
      </c>
      <c r="H1621" s="38">
        <f t="shared" si="294"/>
        <v>46754.399999999994</v>
      </c>
      <c r="I1621" s="16">
        <v>11</v>
      </c>
      <c r="J1621" s="17" t="s">
        <v>12</v>
      </c>
      <c r="K1621" s="13" t="s">
        <v>16</v>
      </c>
      <c r="L1621" s="15">
        <v>46754.399999999994</v>
      </c>
    </row>
    <row r="1622" spans="1:12" ht="21" customHeight="1" outlineLevel="2" x14ac:dyDescent="0.25">
      <c r="A1622" s="16">
        <f t="shared" si="276"/>
        <v>1621</v>
      </c>
      <c r="B1622" s="12" t="str">
        <f t="shared" si="291"/>
        <v>ЩВ-4.2 (БЛОК 8, 9)</v>
      </c>
      <c r="C1622" s="13" t="s">
        <v>570</v>
      </c>
      <c r="D1622" s="29" t="s">
        <v>395</v>
      </c>
      <c r="E1622" s="12" t="s">
        <v>396</v>
      </c>
      <c r="F1622" s="37">
        <v>4315</v>
      </c>
      <c r="G1622" s="38">
        <f t="shared" si="292"/>
        <v>2589</v>
      </c>
      <c r="H1622" s="38">
        <f t="shared" ref="H1622" si="295">G1622*I1622</f>
        <v>2589</v>
      </c>
      <c r="I1622" s="16">
        <v>1</v>
      </c>
      <c r="J1622" s="17" t="s">
        <v>12</v>
      </c>
      <c r="K1622" s="13" t="s">
        <v>16</v>
      </c>
      <c r="L1622" s="15">
        <v>2589</v>
      </c>
    </row>
    <row r="1623" spans="1:12" ht="21" customHeight="1" outlineLevel="2" x14ac:dyDescent="0.25">
      <c r="A1623" s="16">
        <f t="shared" si="276"/>
        <v>1622</v>
      </c>
      <c r="B1623" s="12" t="str">
        <f t="shared" si="291"/>
        <v>ЩВ-4.2 (БЛОК 8, 9)</v>
      </c>
      <c r="C1623" s="13" t="s">
        <v>570</v>
      </c>
      <c r="D1623" s="29" t="s">
        <v>393</v>
      </c>
      <c r="E1623" s="12" t="s">
        <v>394</v>
      </c>
      <c r="F1623" s="37">
        <v>4315</v>
      </c>
      <c r="G1623" s="38">
        <f t="shared" si="292"/>
        <v>2589</v>
      </c>
      <c r="H1623" s="38">
        <f t="shared" si="294"/>
        <v>7767</v>
      </c>
      <c r="I1623" s="16">
        <v>3</v>
      </c>
      <c r="J1623" s="17" t="s">
        <v>12</v>
      </c>
      <c r="K1623" s="13" t="s">
        <v>16</v>
      </c>
      <c r="L1623" s="15">
        <v>7767</v>
      </c>
    </row>
    <row r="1624" spans="1:12" ht="21" customHeight="1" outlineLevel="2" x14ac:dyDescent="0.25">
      <c r="A1624" s="16">
        <f t="shared" si="276"/>
        <v>1623</v>
      </c>
      <c r="B1624" s="12" t="str">
        <f t="shared" si="291"/>
        <v>ЩВ-4.2 (БЛОК 8, 9)</v>
      </c>
      <c r="C1624" s="13" t="s">
        <v>570</v>
      </c>
      <c r="D1624" s="29" t="s">
        <v>387</v>
      </c>
      <c r="E1624" s="12" t="s">
        <v>388</v>
      </c>
      <c r="F1624" s="37">
        <v>4445</v>
      </c>
      <c r="G1624" s="38">
        <f t="shared" si="292"/>
        <v>2667</v>
      </c>
      <c r="H1624" s="38">
        <f t="shared" ref="H1624" si="296">G1624*I1624</f>
        <v>2667</v>
      </c>
      <c r="I1624" s="16">
        <v>1</v>
      </c>
      <c r="J1624" s="17" t="s">
        <v>12</v>
      </c>
      <c r="K1624" s="13" t="s">
        <v>16</v>
      </c>
      <c r="L1624" s="15">
        <v>2667</v>
      </c>
    </row>
    <row r="1625" spans="1:12" ht="21" customHeight="1" outlineLevel="2" x14ac:dyDescent="0.25">
      <c r="A1625" s="16">
        <f t="shared" si="276"/>
        <v>1624</v>
      </c>
      <c r="B1625" s="12" t="str">
        <f t="shared" si="291"/>
        <v>ЩВ-4.2 (БЛОК 8, 9)</v>
      </c>
      <c r="C1625" s="13" t="s">
        <v>570</v>
      </c>
      <c r="D1625" s="29" t="s">
        <v>391</v>
      </c>
      <c r="E1625" s="12" t="s">
        <v>392</v>
      </c>
      <c r="F1625" s="37">
        <v>4445</v>
      </c>
      <c r="G1625" s="38">
        <f t="shared" si="292"/>
        <v>2667</v>
      </c>
      <c r="H1625" s="38">
        <f t="shared" ref="H1625" si="297">G1625*I1625</f>
        <v>2667</v>
      </c>
      <c r="I1625" s="16">
        <v>1</v>
      </c>
      <c r="J1625" s="17" t="s">
        <v>12</v>
      </c>
      <c r="K1625" s="13" t="s">
        <v>16</v>
      </c>
      <c r="L1625" s="15">
        <v>2667</v>
      </c>
    </row>
    <row r="1626" spans="1:12" ht="21" customHeight="1" outlineLevel="2" x14ac:dyDescent="0.25">
      <c r="A1626" s="16">
        <f t="shared" si="276"/>
        <v>1625</v>
      </c>
      <c r="B1626" s="12" t="str">
        <f t="shared" si="291"/>
        <v>ЩВ-4.2 (БЛОК 8, 9)</v>
      </c>
      <c r="C1626" s="13" t="s">
        <v>570</v>
      </c>
      <c r="D1626" s="29" t="s">
        <v>389</v>
      </c>
      <c r="E1626" s="12" t="s">
        <v>390</v>
      </c>
      <c r="F1626" s="37">
        <v>4445</v>
      </c>
      <c r="G1626" s="38">
        <f t="shared" si="292"/>
        <v>2667</v>
      </c>
      <c r="H1626" s="38">
        <f t="shared" ref="H1626" si="298">G1626*I1626</f>
        <v>8001</v>
      </c>
      <c r="I1626" s="16">
        <v>3</v>
      </c>
      <c r="J1626" s="17" t="s">
        <v>12</v>
      </c>
      <c r="K1626" s="13" t="s">
        <v>16</v>
      </c>
      <c r="L1626" s="15">
        <v>8001</v>
      </c>
    </row>
    <row r="1627" spans="1:12" ht="21" customHeight="1" outlineLevel="2" x14ac:dyDescent="0.25">
      <c r="A1627" s="16">
        <f t="shared" si="276"/>
        <v>1626</v>
      </c>
      <c r="B1627" s="12" t="str">
        <f t="shared" si="291"/>
        <v>ЩВ-4.2 (БЛОК 8, 9)</v>
      </c>
      <c r="C1627" s="13" t="s">
        <v>570</v>
      </c>
      <c r="D1627" s="29" t="s">
        <v>397</v>
      </c>
      <c r="E1627" s="12" t="s">
        <v>398</v>
      </c>
      <c r="F1627" s="37">
        <v>4315</v>
      </c>
      <c r="G1627" s="38">
        <f t="shared" si="292"/>
        <v>2589</v>
      </c>
      <c r="H1627" s="38">
        <f t="shared" ref="H1627" si="299">G1627*I1627</f>
        <v>5178</v>
      </c>
      <c r="I1627" s="16">
        <v>2</v>
      </c>
      <c r="J1627" s="17" t="s">
        <v>12</v>
      </c>
      <c r="K1627" s="13" t="s">
        <v>16</v>
      </c>
      <c r="L1627" s="15">
        <v>5178</v>
      </c>
    </row>
    <row r="1628" spans="1:12" ht="24" customHeight="1" outlineLevel="2" x14ac:dyDescent="0.25">
      <c r="A1628" s="12">
        <f t="shared" si="276"/>
        <v>1627</v>
      </c>
      <c r="B1628" s="12" t="str">
        <f t="shared" si="291"/>
        <v>ЩВ-4.2 (БЛОК 8, 9)</v>
      </c>
      <c r="C1628" s="12" t="s">
        <v>9</v>
      </c>
      <c r="D1628" s="30" t="s">
        <v>9</v>
      </c>
      <c r="E1628" s="12" t="s">
        <v>9</v>
      </c>
      <c r="F1628" s="18">
        <f ca="1">OFFSET(F1628,1,2)</f>
        <v>18000</v>
      </c>
      <c r="G1628" s="38">
        <f ca="1">F1628</f>
        <v>18000</v>
      </c>
      <c r="H1628" s="38">
        <f t="shared" ref="H1628" ca="1" si="300">G1628*I1628</f>
        <v>18000</v>
      </c>
      <c r="I1628" s="12">
        <v>1</v>
      </c>
      <c r="J1628" s="12" t="s">
        <v>12</v>
      </c>
      <c r="K1628" s="12" t="s">
        <v>9</v>
      </c>
      <c r="L1628" s="15">
        <v>18000</v>
      </c>
    </row>
    <row r="1629" spans="1:12" ht="21" customHeight="1" outlineLevel="2" x14ac:dyDescent="0.25">
      <c r="A1629" s="12">
        <f t="shared" si="276"/>
        <v>1628</v>
      </c>
      <c r="B1629" s="12" t="str">
        <f t="shared" si="291"/>
        <v>ЩВ-4.2 (БЛОК 8, 9)</v>
      </c>
      <c r="C1629" s="12" t="s">
        <v>10</v>
      </c>
      <c r="D1629" s="30" t="s">
        <v>10</v>
      </c>
      <c r="E1629" s="12" t="s">
        <v>10</v>
      </c>
      <c r="F1629" s="18">
        <v>3</v>
      </c>
      <c r="G1629" s="38">
        <v>100</v>
      </c>
      <c r="H1629" s="38">
        <f>60*F1629*G1629</f>
        <v>18000</v>
      </c>
      <c r="I1629" s="12">
        <f>60*F1629</f>
        <v>180</v>
      </c>
      <c r="J1629" s="12" t="s">
        <v>12</v>
      </c>
      <c r="K1629" s="12" t="s">
        <v>10</v>
      </c>
      <c r="L1629" s="15">
        <v>18000</v>
      </c>
    </row>
    <row r="1630" spans="1:12" ht="21" customHeight="1" outlineLevel="1" x14ac:dyDescent="0.25">
      <c r="A1630" s="12"/>
      <c r="B1630" s="12" t="s">
        <v>776</v>
      </c>
      <c r="C1630" s="12"/>
      <c r="D1630" s="30"/>
      <c r="E1630" s="12"/>
      <c r="F1630" s="18"/>
      <c r="G1630" s="38"/>
      <c r="H1630" s="38">
        <f ca="1">SUBTOTAL(9,H1615:H1629)</f>
        <v>165968.4</v>
      </c>
      <c r="I1630" s="12"/>
      <c r="J1630" s="12"/>
      <c r="K1630" s="12"/>
      <c r="L1630" s="15">
        <v>165968.4</v>
      </c>
    </row>
    <row r="1631" spans="1:12" ht="39.75" customHeight="1" outlineLevel="2" x14ac:dyDescent="0.25">
      <c r="A1631" s="10">
        <f>ROW(A1629)</f>
        <v>1629</v>
      </c>
      <c r="B1631" s="6" t="str">
        <f>E1631</f>
        <v>ЩВ-5.1 (БЛОК 8, 9)</v>
      </c>
      <c r="C1631" s="6"/>
      <c r="D1631" s="28"/>
      <c r="E1631" s="6" t="s">
        <v>399</v>
      </c>
      <c r="F1631" s="36"/>
      <c r="G1631" s="36" t="s">
        <v>73</v>
      </c>
      <c r="H1631" s="7"/>
      <c r="I1631" s="10">
        <v>1</v>
      </c>
      <c r="J1631" s="11" t="s">
        <v>6</v>
      </c>
      <c r="K1631" s="6" t="s">
        <v>8</v>
      </c>
      <c r="L1631" s="9"/>
    </row>
    <row r="1632" spans="1:12" ht="21" customHeight="1" outlineLevel="2" x14ac:dyDescent="0.25">
      <c r="A1632" s="16">
        <f t="shared" si="276"/>
        <v>1631</v>
      </c>
      <c r="B1632" s="12" t="str">
        <f t="shared" ref="B1632:B1652" si="301">B1631</f>
        <v>ЩВ-5.1 (БЛОК 8, 9)</v>
      </c>
      <c r="C1632" s="13" t="s">
        <v>7</v>
      </c>
      <c r="D1632" s="29" t="s">
        <v>480</v>
      </c>
      <c r="E1632" s="12" t="s">
        <v>481</v>
      </c>
      <c r="F1632" s="37">
        <v>73730</v>
      </c>
      <c r="G1632" s="38">
        <f t="shared" ref="G1632:G1650" si="302">F1632*0.6</f>
        <v>44238</v>
      </c>
      <c r="H1632" s="38">
        <f>I1632*G1632</f>
        <v>44238</v>
      </c>
      <c r="I1632" s="16">
        <v>1</v>
      </c>
      <c r="J1632" s="17" t="s">
        <v>12</v>
      </c>
      <c r="K1632" s="13" t="s">
        <v>15</v>
      </c>
      <c r="L1632" s="15">
        <v>44238</v>
      </c>
    </row>
    <row r="1633" spans="1:12" ht="21" customHeight="1" outlineLevel="2" x14ac:dyDescent="0.25">
      <c r="A1633" s="16">
        <f t="shared" si="276"/>
        <v>1632</v>
      </c>
      <c r="B1633" s="12" t="str">
        <f t="shared" si="301"/>
        <v>ЩВ-5.1 (БЛОК 8, 9)</v>
      </c>
      <c r="C1633" s="13" t="s">
        <v>43</v>
      </c>
      <c r="D1633" s="29" t="s">
        <v>76</v>
      </c>
      <c r="E1633" s="12" t="s">
        <v>77</v>
      </c>
      <c r="F1633" s="37">
        <v>27169</v>
      </c>
      <c r="G1633" s="38">
        <f t="shared" si="302"/>
        <v>16301.4</v>
      </c>
      <c r="H1633" s="38">
        <f t="shared" ref="H1633:H1634" si="303">G1633*I1633</f>
        <v>16301.4</v>
      </c>
      <c r="I1633" s="16">
        <v>1</v>
      </c>
      <c r="J1633" s="17" t="s">
        <v>12</v>
      </c>
      <c r="K1633" s="13" t="s">
        <v>16</v>
      </c>
      <c r="L1633" s="15">
        <v>16301.4</v>
      </c>
    </row>
    <row r="1634" spans="1:12" ht="21" customHeight="1" outlineLevel="2" x14ac:dyDescent="0.25">
      <c r="A1634" s="16">
        <f t="shared" si="276"/>
        <v>1633</v>
      </c>
      <c r="B1634" s="12" t="str">
        <f t="shared" si="301"/>
        <v>ЩВ-5.1 (БЛОК 8, 9)</v>
      </c>
      <c r="C1634" s="13" t="s">
        <v>596</v>
      </c>
      <c r="D1634" s="29" t="s">
        <v>368</v>
      </c>
      <c r="E1634" s="12" t="s">
        <v>369</v>
      </c>
      <c r="F1634" s="37">
        <v>7153</v>
      </c>
      <c r="G1634" s="38">
        <f t="shared" si="302"/>
        <v>4291.8</v>
      </c>
      <c r="H1634" s="38">
        <f t="shared" si="303"/>
        <v>4291.8</v>
      </c>
      <c r="I1634" s="16">
        <v>1</v>
      </c>
      <c r="J1634" s="17" t="s">
        <v>12</v>
      </c>
      <c r="K1634" s="13" t="s">
        <v>16</v>
      </c>
      <c r="L1634" s="15">
        <v>4291.8</v>
      </c>
    </row>
    <row r="1635" spans="1:12" ht="21" customHeight="1" outlineLevel="2" x14ac:dyDescent="0.25">
      <c r="A1635" s="16">
        <f t="shared" si="276"/>
        <v>1634</v>
      </c>
      <c r="B1635" s="12" t="str">
        <f t="shared" si="301"/>
        <v>ЩВ-5.1 (БЛОК 8, 9)</v>
      </c>
      <c r="C1635" s="13" t="s">
        <v>11</v>
      </c>
      <c r="D1635" s="29" t="s">
        <v>28</v>
      </c>
      <c r="E1635" s="12" t="s">
        <v>27</v>
      </c>
      <c r="F1635" s="37">
        <v>2606</v>
      </c>
      <c r="G1635" s="38">
        <f t="shared" si="302"/>
        <v>1563.6</v>
      </c>
      <c r="H1635" s="38">
        <f t="shared" ref="H1635" si="304">G1635*I1635</f>
        <v>3127.2</v>
      </c>
      <c r="I1635" s="16">
        <v>2</v>
      </c>
      <c r="J1635" s="17" t="s">
        <v>12</v>
      </c>
      <c r="K1635" s="13" t="s">
        <v>16</v>
      </c>
      <c r="L1635" s="15">
        <v>3127.2</v>
      </c>
    </row>
    <row r="1636" spans="1:12" ht="21" customHeight="1" outlineLevel="2" x14ac:dyDescent="0.25">
      <c r="A1636" s="16">
        <f t="shared" si="276"/>
        <v>1635</v>
      </c>
      <c r="B1636" s="12" t="str">
        <f t="shared" si="301"/>
        <v>ЩВ-5.1 (БЛОК 8, 9)</v>
      </c>
      <c r="C1636" s="13" t="s">
        <v>11</v>
      </c>
      <c r="D1636" s="29" t="s">
        <v>20</v>
      </c>
      <c r="E1636" s="12" t="s">
        <v>21</v>
      </c>
      <c r="F1636" s="37">
        <v>2429</v>
      </c>
      <c r="G1636" s="38">
        <f t="shared" si="302"/>
        <v>1457.3999999999999</v>
      </c>
      <c r="H1636" s="38">
        <f t="shared" ref="H1636" si="305">G1636*I1636</f>
        <v>1457.3999999999999</v>
      </c>
      <c r="I1636" s="16">
        <v>1</v>
      </c>
      <c r="J1636" s="17" t="s">
        <v>12</v>
      </c>
      <c r="K1636" s="13" t="s">
        <v>16</v>
      </c>
      <c r="L1636" s="15">
        <v>1457.3999999999999</v>
      </c>
    </row>
    <row r="1637" spans="1:12" ht="21" customHeight="1" outlineLevel="2" x14ac:dyDescent="0.25">
      <c r="A1637" s="16">
        <f t="shared" si="276"/>
        <v>1636</v>
      </c>
      <c r="B1637" s="12" t="str">
        <f t="shared" si="301"/>
        <v>ЩВ-5.1 (БЛОК 8, 9)</v>
      </c>
      <c r="C1637" s="13" t="s">
        <v>11</v>
      </c>
      <c r="D1637" s="29" t="s">
        <v>51</v>
      </c>
      <c r="E1637" s="12" t="s">
        <v>52</v>
      </c>
      <c r="F1637" s="37">
        <v>2337</v>
      </c>
      <c r="G1637" s="38">
        <f t="shared" si="302"/>
        <v>1402.2</v>
      </c>
      <c r="H1637" s="38">
        <f t="shared" ref="H1637:H1651" si="306">G1637*I1637</f>
        <v>2804.4</v>
      </c>
      <c r="I1637" s="16">
        <v>2</v>
      </c>
      <c r="J1637" s="17" t="s">
        <v>12</v>
      </c>
      <c r="K1637" s="13" t="s">
        <v>16</v>
      </c>
      <c r="L1637" s="15">
        <v>2804.4</v>
      </c>
    </row>
    <row r="1638" spans="1:12" ht="21" customHeight="1" outlineLevel="2" x14ac:dyDescent="0.25">
      <c r="A1638" s="16">
        <f t="shared" si="276"/>
        <v>1637</v>
      </c>
      <c r="B1638" s="12" t="str">
        <f t="shared" si="301"/>
        <v>ЩВ-5.1 (БЛОК 8, 9)</v>
      </c>
      <c r="C1638" s="13" t="s">
        <v>11</v>
      </c>
      <c r="D1638" s="29" t="s">
        <v>280</v>
      </c>
      <c r="E1638" s="12" t="s">
        <v>281</v>
      </c>
      <c r="F1638" s="37">
        <v>2447</v>
      </c>
      <c r="G1638" s="38">
        <f t="shared" si="302"/>
        <v>1468.2</v>
      </c>
      <c r="H1638" s="38">
        <f t="shared" si="306"/>
        <v>26427.600000000002</v>
      </c>
      <c r="I1638" s="16">
        <v>18</v>
      </c>
      <c r="J1638" s="17" t="s">
        <v>12</v>
      </c>
      <c r="K1638" s="13" t="s">
        <v>16</v>
      </c>
      <c r="L1638" s="15">
        <v>26427.600000000002</v>
      </c>
    </row>
    <row r="1639" spans="1:12" ht="21" customHeight="1" outlineLevel="2" x14ac:dyDescent="0.25">
      <c r="A1639" s="16">
        <f t="shared" si="276"/>
        <v>1638</v>
      </c>
      <c r="B1639" s="12" t="str">
        <f t="shared" si="301"/>
        <v>ЩВ-5.1 (БЛОК 8, 9)</v>
      </c>
      <c r="C1639" s="13" t="s">
        <v>11</v>
      </c>
      <c r="D1639" s="29" t="s">
        <v>292</v>
      </c>
      <c r="E1639" s="12" t="s">
        <v>293</v>
      </c>
      <c r="F1639" s="37">
        <v>783</v>
      </c>
      <c r="G1639" s="38">
        <f t="shared" si="302"/>
        <v>469.79999999999995</v>
      </c>
      <c r="H1639" s="38">
        <f t="shared" si="306"/>
        <v>939.59999999999991</v>
      </c>
      <c r="I1639" s="16">
        <v>2</v>
      </c>
      <c r="J1639" s="17" t="s">
        <v>12</v>
      </c>
      <c r="K1639" s="13" t="s">
        <v>16</v>
      </c>
      <c r="L1639" s="15">
        <v>939.59999999999991</v>
      </c>
    </row>
    <row r="1640" spans="1:12" ht="21" customHeight="1" outlineLevel="2" x14ac:dyDescent="0.25">
      <c r="A1640" s="16">
        <f t="shared" si="276"/>
        <v>1639</v>
      </c>
      <c r="B1640" s="12" t="str">
        <f t="shared" si="301"/>
        <v>ЩВ-5.1 (БЛОК 8, 9)</v>
      </c>
      <c r="C1640" s="13" t="s">
        <v>48</v>
      </c>
      <c r="D1640" s="29" t="s">
        <v>289</v>
      </c>
      <c r="E1640" s="12" t="s">
        <v>290</v>
      </c>
      <c r="F1640" s="37">
        <v>13919</v>
      </c>
      <c r="G1640" s="38">
        <f t="shared" si="302"/>
        <v>8351.4</v>
      </c>
      <c r="H1640" s="38">
        <f t="shared" si="306"/>
        <v>25054.199999999997</v>
      </c>
      <c r="I1640" s="16">
        <v>3</v>
      </c>
      <c r="J1640" s="17" t="s">
        <v>12</v>
      </c>
      <c r="K1640" s="13" t="s">
        <v>16</v>
      </c>
      <c r="L1640" s="15">
        <v>25054.199999999997</v>
      </c>
    </row>
    <row r="1641" spans="1:12" ht="21" customHeight="1" outlineLevel="2" x14ac:dyDescent="0.25">
      <c r="A1641" s="16">
        <f t="shared" si="276"/>
        <v>1640</v>
      </c>
      <c r="B1641" s="12" t="str">
        <f t="shared" si="301"/>
        <v>ЩВ-5.1 (БЛОК 8, 9)</v>
      </c>
      <c r="C1641" s="13" t="s">
        <v>48</v>
      </c>
      <c r="D1641" s="29" t="s">
        <v>282</v>
      </c>
      <c r="E1641" s="12" t="s">
        <v>283</v>
      </c>
      <c r="F1641" s="37">
        <v>12145</v>
      </c>
      <c r="G1641" s="38">
        <f t="shared" si="302"/>
        <v>7287</v>
      </c>
      <c r="H1641" s="38">
        <f t="shared" si="306"/>
        <v>7287</v>
      </c>
      <c r="I1641" s="16">
        <v>1</v>
      </c>
      <c r="J1641" s="17" t="s">
        <v>12</v>
      </c>
      <c r="K1641" s="13" t="s">
        <v>16</v>
      </c>
      <c r="L1641" s="15">
        <v>7287</v>
      </c>
    </row>
    <row r="1642" spans="1:12" ht="21" customHeight="1" outlineLevel="2" x14ac:dyDescent="0.25">
      <c r="A1642" s="16">
        <f t="shared" si="276"/>
        <v>1641</v>
      </c>
      <c r="B1642" s="12" t="str">
        <f t="shared" si="301"/>
        <v>ЩВ-5.1 (БЛОК 8, 9)</v>
      </c>
      <c r="C1642" s="13" t="s">
        <v>48</v>
      </c>
      <c r="D1642" s="29" t="s">
        <v>242</v>
      </c>
      <c r="E1642" s="12" t="s">
        <v>243</v>
      </c>
      <c r="F1642" s="37">
        <v>6145</v>
      </c>
      <c r="G1642" s="38">
        <f t="shared" si="302"/>
        <v>3687</v>
      </c>
      <c r="H1642" s="38">
        <f t="shared" ref="H1642:H1643" si="307">G1642*I1642</f>
        <v>3687</v>
      </c>
      <c r="I1642" s="16">
        <v>1</v>
      </c>
      <c r="J1642" s="17" t="s">
        <v>12</v>
      </c>
      <c r="K1642" s="13" t="s">
        <v>16</v>
      </c>
      <c r="L1642" s="15">
        <v>3687</v>
      </c>
    </row>
    <row r="1643" spans="1:12" ht="21" customHeight="1" outlineLevel="2" x14ac:dyDescent="0.25">
      <c r="A1643" s="16">
        <f t="shared" si="276"/>
        <v>1642</v>
      </c>
      <c r="B1643" s="12" t="str">
        <f t="shared" si="301"/>
        <v>ЩВ-5.1 (БЛОК 8, 9)</v>
      </c>
      <c r="C1643" s="13" t="s">
        <v>48</v>
      </c>
      <c r="D1643" s="29" t="s">
        <v>457</v>
      </c>
      <c r="E1643" s="12" t="s">
        <v>458</v>
      </c>
      <c r="F1643" s="37">
        <v>7084</v>
      </c>
      <c r="G1643" s="38">
        <f t="shared" si="302"/>
        <v>4250.3999999999996</v>
      </c>
      <c r="H1643" s="38">
        <f t="shared" si="307"/>
        <v>76507.199999999997</v>
      </c>
      <c r="I1643" s="16">
        <v>18</v>
      </c>
      <c r="J1643" s="17" t="s">
        <v>12</v>
      </c>
      <c r="K1643" s="13" t="s">
        <v>16</v>
      </c>
      <c r="L1643" s="15">
        <v>76507.199999999997</v>
      </c>
    </row>
    <row r="1644" spans="1:12" ht="21" customHeight="1" outlineLevel="2" x14ac:dyDescent="0.25">
      <c r="A1644" s="16">
        <f t="shared" si="276"/>
        <v>1643</v>
      </c>
      <c r="B1644" s="12" t="str">
        <f t="shared" si="301"/>
        <v>ЩВ-5.1 (БЛОК 8, 9)</v>
      </c>
      <c r="C1644" s="13" t="s">
        <v>570</v>
      </c>
      <c r="D1644" s="29" t="s">
        <v>395</v>
      </c>
      <c r="E1644" s="12" t="s">
        <v>396</v>
      </c>
      <c r="F1644" s="37">
        <v>4315</v>
      </c>
      <c r="G1644" s="38">
        <f t="shared" si="302"/>
        <v>2589</v>
      </c>
      <c r="H1644" s="38">
        <f t="shared" si="306"/>
        <v>2589</v>
      </c>
      <c r="I1644" s="16">
        <v>1</v>
      </c>
      <c r="J1644" s="17" t="s">
        <v>12</v>
      </c>
      <c r="K1644" s="13" t="s">
        <v>16</v>
      </c>
      <c r="L1644" s="15">
        <v>2589</v>
      </c>
    </row>
    <row r="1645" spans="1:12" ht="21" customHeight="1" outlineLevel="2" x14ac:dyDescent="0.25">
      <c r="A1645" s="16">
        <f t="shared" si="276"/>
        <v>1644</v>
      </c>
      <c r="B1645" s="12" t="str">
        <f t="shared" si="301"/>
        <v>ЩВ-5.1 (БЛОК 8, 9)</v>
      </c>
      <c r="C1645" s="13" t="s">
        <v>570</v>
      </c>
      <c r="D1645" s="29" t="s">
        <v>408</v>
      </c>
      <c r="E1645" s="12" t="s">
        <v>409</v>
      </c>
      <c r="F1645" s="37">
        <v>4315</v>
      </c>
      <c r="G1645" s="38">
        <f t="shared" si="302"/>
        <v>2589</v>
      </c>
      <c r="H1645" s="38">
        <f t="shared" ref="H1645" si="308">G1645*I1645</f>
        <v>7767</v>
      </c>
      <c r="I1645" s="16">
        <v>3</v>
      </c>
      <c r="J1645" s="17" t="s">
        <v>12</v>
      </c>
      <c r="K1645" s="13" t="s">
        <v>16</v>
      </c>
      <c r="L1645" s="15">
        <v>7767</v>
      </c>
    </row>
    <row r="1646" spans="1:12" ht="21" customHeight="1" outlineLevel="2" x14ac:dyDescent="0.25">
      <c r="A1646" s="16">
        <f t="shared" si="276"/>
        <v>1645</v>
      </c>
      <c r="B1646" s="12" t="str">
        <f t="shared" si="301"/>
        <v>ЩВ-5.1 (БЛОК 8, 9)</v>
      </c>
      <c r="C1646" s="13" t="s">
        <v>570</v>
      </c>
      <c r="D1646" s="29" t="s">
        <v>406</v>
      </c>
      <c r="E1646" s="12" t="s">
        <v>407</v>
      </c>
      <c r="F1646" s="37">
        <v>4315</v>
      </c>
      <c r="G1646" s="38">
        <f t="shared" si="302"/>
        <v>2589</v>
      </c>
      <c r="H1646" s="38">
        <f>G1646*I1646</f>
        <v>5178</v>
      </c>
      <c r="I1646" s="16">
        <v>2</v>
      </c>
      <c r="J1646" s="17" t="s">
        <v>12</v>
      </c>
      <c r="K1646" s="13" t="s">
        <v>16</v>
      </c>
      <c r="L1646" s="15">
        <v>5178</v>
      </c>
    </row>
    <row r="1647" spans="1:12" ht="21" customHeight="1" outlineLevel="2" x14ac:dyDescent="0.25">
      <c r="A1647" s="16">
        <f t="shared" si="276"/>
        <v>1646</v>
      </c>
      <c r="B1647" s="12" t="str">
        <f t="shared" si="301"/>
        <v>ЩВ-5.1 (БЛОК 8, 9)</v>
      </c>
      <c r="C1647" s="13" t="s">
        <v>570</v>
      </c>
      <c r="D1647" s="29" t="s">
        <v>404</v>
      </c>
      <c r="E1647" s="12" t="s">
        <v>405</v>
      </c>
      <c r="F1647" s="37">
        <v>4315</v>
      </c>
      <c r="G1647" s="38">
        <f t="shared" si="302"/>
        <v>2589</v>
      </c>
      <c r="H1647" s="38">
        <f>G1647*I1647</f>
        <v>2589</v>
      </c>
      <c r="I1647" s="16">
        <v>1</v>
      </c>
      <c r="J1647" s="17" t="s">
        <v>12</v>
      </c>
      <c r="K1647" s="13" t="s">
        <v>16</v>
      </c>
      <c r="L1647" s="15">
        <v>2589</v>
      </c>
    </row>
    <row r="1648" spans="1:12" ht="21" customHeight="1" outlineLevel="2" x14ac:dyDescent="0.25">
      <c r="A1648" s="16">
        <f t="shared" si="276"/>
        <v>1647</v>
      </c>
      <c r="B1648" s="12" t="str">
        <f t="shared" si="301"/>
        <v>ЩВ-5.1 (БЛОК 8, 9)</v>
      </c>
      <c r="C1648" s="13" t="s">
        <v>570</v>
      </c>
      <c r="D1648" s="29" t="s">
        <v>393</v>
      </c>
      <c r="E1648" s="12" t="s">
        <v>394</v>
      </c>
      <c r="F1648" s="37">
        <v>4315</v>
      </c>
      <c r="G1648" s="38">
        <f t="shared" si="302"/>
        <v>2589</v>
      </c>
      <c r="H1648" s="38">
        <f t="shared" si="306"/>
        <v>7767</v>
      </c>
      <c r="I1648" s="16">
        <v>3</v>
      </c>
      <c r="J1648" s="17" t="s">
        <v>12</v>
      </c>
      <c r="K1648" s="13" t="s">
        <v>16</v>
      </c>
      <c r="L1648" s="15">
        <v>7767</v>
      </c>
    </row>
    <row r="1649" spans="1:12" ht="21" customHeight="1" outlineLevel="2" x14ac:dyDescent="0.25">
      <c r="A1649" s="16">
        <f t="shared" si="276"/>
        <v>1648</v>
      </c>
      <c r="B1649" s="12" t="str">
        <f t="shared" si="301"/>
        <v>ЩВ-5.1 (БЛОК 8, 9)</v>
      </c>
      <c r="C1649" s="13" t="s">
        <v>570</v>
      </c>
      <c r="D1649" s="29" t="s">
        <v>402</v>
      </c>
      <c r="E1649" s="12" t="s">
        <v>403</v>
      </c>
      <c r="F1649" s="37">
        <v>4315</v>
      </c>
      <c r="G1649" s="38">
        <f t="shared" si="302"/>
        <v>2589</v>
      </c>
      <c r="H1649" s="38">
        <f t="shared" si="306"/>
        <v>10356</v>
      </c>
      <c r="I1649" s="16">
        <v>4</v>
      </c>
      <c r="J1649" s="17" t="s">
        <v>12</v>
      </c>
      <c r="K1649" s="13" t="s">
        <v>16</v>
      </c>
      <c r="L1649" s="15">
        <v>10356</v>
      </c>
    </row>
    <row r="1650" spans="1:12" ht="21" customHeight="1" outlineLevel="2" x14ac:dyDescent="0.25">
      <c r="A1650" s="16">
        <f t="shared" si="276"/>
        <v>1649</v>
      </c>
      <c r="B1650" s="12" t="str">
        <f t="shared" si="301"/>
        <v>ЩВ-5.1 (БЛОК 8, 9)</v>
      </c>
      <c r="C1650" s="13" t="s">
        <v>570</v>
      </c>
      <c r="D1650" s="29" t="s">
        <v>400</v>
      </c>
      <c r="E1650" s="12" t="s">
        <v>401</v>
      </c>
      <c r="F1650" s="37">
        <v>4315</v>
      </c>
      <c r="G1650" s="38">
        <f t="shared" si="302"/>
        <v>2589</v>
      </c>
      <c r="H1650" s="38">
        <f t="shared" si="306"/>
        <v>12945</v>
      </c>
      <c r="I1650" s="16">
        <v>5</v>
      </c>
      <c r="J1650" s="17" t="s">
        <v>12</v>
      </c>
      <c r="K1650" s="13" t="s">
        <v>16</v>
      </c>
      <c r="L1650" s="15">
        <v>12945</v>
      </c>
    </row>
    <row r="1651" spans="1:12" ht="24" customHeight="1" outlineLevel="2" x14ac:dyDescent="0.25">
      <c r="A1651" s="12">
        <f t="shared" si="276"/>
        <v>1650</v>
      </c>
      <c r="B1651" s="12" t="str">
        <f t="shared" si="301"/>
        <v>ЩВ-5.1 (БЛОК 8, 9)</v>
      </c>
      <c r="C1651" s="12" t="s">
        <v>9</v>
      </c>
      <c r="D1651" s="30" t="s">
        <v>9</v>
      </c>
      <c r="E1651" s="12" t="s">
        <v>9</v>
      </c>
      <c r="F1651" s="18">
        <f ca="1">OFFSET(F1651,1,2)</f>
        <v>36000</v>
      </c>
      <c r="G1651" s="38">
        <f ca="1">F1651</f>
        <v>36000</v>
      </c>
      <c r="H1651" s="38">
        <f t="shared" ca="1" si="306"/>
        <v>36000</v>
      </c>
      <c r="I1651" s="12">
        <v>1</v>
      </c>
      <c r="J1651" s="12" t="s">
        <v>12</v>
      </c>
      <c r="K1651" s="12" t="s">
        <v>9</v>
      </c>
      <c r="L1651" s="15">
        <v>36000</v>
      </c>
    </row>
    <row r="1652" spans="1:12" ht="21" customHeight="1" outlineLevel="2" x14ac:dyDescent="0.25">
      <c r="A1652" s="12">
        <f t="shared" ref="A1652:A1724" si="309">ROW(A1651)</f>
        <v>1651</v>
      </c>
      <c r="B1652" s="12" t="str">
        <f t="shared" si="301"/>
        <v>ЩВ-5.1 (БЛОК 8, 9)</v>
      </c>
      <c r="C1652" s="12" t="s">
        <v>10</v>
      </c>
      <c r="D1652" s="30" t="s">
        <v>10</v>
      </c>
      <c r="E1652" s="12" t="s">
        <v>10</v>
      </c>
      <c r="F1652" s="18">
        <v>6</v>
      </c>
      <c r="G1652" s="38">
        <v>100</v>
      </c>
      <c r="H1652" s="38">
        <f>60*F1652*G1652</f>
        <v>36000</v>
      </c>
      <c r="I1652" s="12">
        <f>60*F1652</f>
        <v>360</v>
      </c>
      <c r="J1652" s="12" t="s">
        <v>12</v>
      </c>
      <c r="K1652" s="12" t="s">
        <v>10</v>
      </c>
      <c r="L1652" s="15">
        <v>36000</v>
      </c>
    </row>
    <row r="1653" spans="1:12" ht="21" customHeight="1" outlineLevel="1" x14ac:dyDescent="0.25">
      <c r="A1653" s="12"/>
      <c r="B1653" s="12" t="s">
        <v>777</v>
      </c>
      <c r="C1653" s="12"/>
      <c r="D1653" s="30"/>
      <c r="E1653" s="12"/>
      <c r="F1653" s="18"/>
      <c r="G1653" s="38"/>
      <c r="H1653" s="38">
        <f ca="1">SUBTOTAL(9,H1631:H1652)</f>
        <v>333313.8</v>
      </c>
      <c r="I1653" s="12"/>
      <c r="J1653" s="12"/>
      <c r="K1653" s="12"/>
      <c r="L1653" s="15">
        <v>333313.8</v>
      </c>
    </row>
    <row r="1654" spans="1:12" ht="39.75" customHeight="1" outlineLevel="2" x14ac:dyDescent="0.25">
      <c r="A1654" s="10">
        <f>ROW(A1652)</f>
        <v>1652</v>
      </c>
      <c r="B1654" s="6" t="str">
        <f>E1654</f>
        <v>ЩАО-0.0.1 (БЛОК 8, 9)</v>
      </c>
      <c r="C1654" s="6"/>
      <c r="D1654" s="28"/>
      <c r="E1654" s="6" t="s">
        <v>410</v>
      </c>
      <c r="F1654" s="36"/>
      <c r="G1654" s="36" t="s">
        <v>73</v>
      </c>
      <c r="H1654" s="7"/>
      <c r="I1654" s="10">
        <v>1</v>
      </c>
      <c r="J1654" s="11" t="s">
        <v>6</v>
      </c>
      <c r="K1654" s="6" t="s">
        <v>8</v>
      </c>
      <c r="L1654" s="9"/>
    </row>
    <row r="1655" spans="1:12" ht="21" customHeight="1" outlineLevel="2" x14ac:dyDescent="0.25">
      <c r="A1655" s="16">
        <f t="shared" si="309"/>
        <v>1654</v>
      </c>
      <c r="B1655" s="12" t="str">
        <f t="shared" ref="B1655:B1660" si="310">B1654</f>
        <v>ЩАО-0.0.1 (БЛОК 8, 9)</v>
      </c>
      <c r="C1655" s="13" t="s">
        <v>7</v>
      </c>
      <c r="D1655" s="29" t="s">
        <v>588</v>
      </c>
      <c r="E1655" s="12" t="s">
        <v>589</v>
      </c>
      <c r="F1655" s="37">
        <v>6300</v>
      </c>
      <c r="G1655" s="38">
        <f t="shared" ref="G1655:G1658" si="311">F1655*0.6</f>
        <v>3780</v>
      </c>
      <c r="H1655" s="38">
        <f>I1655*G1655</f>
        <v>3780</v>
      </c>
      <c r="I1655" s="16">
        <v>1</v>
      </c>
      <c r="J1655" s="17" t="s">
        <v>12</v>
      </c>
      <c r="K1655" s="13" t="s">
        <v>581</v>
      </c>
      <c r="L1655" s="15">
        <v>3780</v>
      </c>
    </row>
    <row r="1656" spans="1:12" ht="21" customHeight="1" outlineLevel="2" x14ac:dyDescent="0.25">
      <c r="A1656" s="16">
        <f t="shared" si="309"/>
        <v>1655</v>
      </c>
      <c r="B1656" s="12" t="str">
        <f t="shared" si="310"/>
        <v>ЩАО-0.0.1 (БЛОК 8, 9)</v>
      </c>
      <c r="C1656" s="13" t="s">
        <v>11</v>
      </c>
      <c r="D1656" s="29" t="s">
        <v>273</v>
      </c>
      <c r="E1656" s="12" t="s">
        <v>274</v>
      </c>
      <c r="F1656" s="37">
        <v>2499</v>
      </c>
      <c r="G1656" s="38">
        <f t="shared" si="311"/>
        <v>1499.3999999999999</v>
      </c>
      <c r="H1656" s="38">
        <f t="shared" ref="H1656" si="312">G1656*I1656</f>
        <v>1499.3999999999999</v>
      </c>
      <c r="I1656" s="16">
        <v>1</v>
      </c>
      <c r="J1656" s="17" t="s">
        <v>12</v>
      </c>
      <c r="K1656" s="13" t="s">
        <v>16</v>
      </c>
      <c r="L1656" s="15">
        <v>1499.3999999999999</v>
      </c>
    </row>
    <row r="1657" spans="1:12" ht="21" customHeight="1" outlineLevel="2" x14ac:dyDescent="0.25">
      <c r="A1657" s="16">
        <f t="shared" si="309"/>
        <v>1656</v>
      </c>
      <c r="B1657" s="12" t="str">
        <f t="shared" si="310"/>
        <v>ЩАО-0.0.1 (БЛОК 8, 9)</v>
      </c>
      <c r="C1657" s="13" t="s">
        <v>11</v>
      </c>
      <c r="D1657" s="29" t="s">
        <v>51</v>
      </c>
      <c r="E1657" s="12" t="s">
        <v>52</v>
      </c>
      <c r="F1657" s="37">
        <v>2337</v>
      </c>
      <c r="G1657" s="38">
        <f t="shared" si="311"/>
        <v>1402.2</v>
      </c>
      <c r="H1657" s="38">
        <f t="shared" ref="H1657:H1658" si="313">G1657*I1657</f>
        <v>1402.2</v>
      </c>
      <c r="I1657" s="16">
        <v>1</v>
      </c>
      <c r="J1657" s="17" t="s">
        <v>12</v>
      </c>
      <c r="K1657" s="13" t="s">
        <v>16</v>
      </c>
      <c r="L1657" s="15">
        <v>1402.2</v>
      </c>
    </row>
    <row r="1658" spans="1:12" ht="21" customHeight="1" outlineLevel="2" x14ac:dyDescent="0.25">
      <c r="A1658" s="16">
        <f t="shared" si="309"/>
        <v>1657</v>
      </c>
      <c r="B1658" s="12" t="str">
        <f t="shared" si="310"/>
        <v>ЩАО-0.0.1 (БЛОК 8, 9)</v>
      </c>
      <c r="C1658" s="13" t="s">
        <v>11</v>
      </c>
      <c r="D1658" s="29" t="s">
        <v>292</v>
      </c>
      <c r="E1658" s="12" t="s">
        <v>293</v>
      </c>
      <c r="F1658" s="37">
        <v>783</v>
      </c>
      <c r="G1658" s="38">
        <f t="shared" si="311"/>
        <v>469.79999999999995</v>
      </c>
      <c r="H1658" s="38">
        <f t="shared" si="313"/>
        <v>1409.3999999999999</v>
      </c>
      <c r="I1658" s="16">
        <v>3</v>
      </c>
      <c r="J1658" s="17" t="s">
        <v>12</v>
      </c>
      <c r="K1658" s="13" t="s">
        <v>16</v>
      </c>
      <c r="L1658" s="15">
        <v>1409.3999999999999</v>
      </c>
    </row>
    <row r="1659" spans="1:12" ht="24" customHeight="1" outlineLevel="2" x14ac:dyDescent="0.25">
      <c r="A1659" s="12">
        <f t="shared" si="309"/>
        <v>1658</v>
      </c>
      <c r="B1659" s="12" t="str">
        <f t="shared" si="310"/>
        <v>ЩАО-0.0.1 (БЛОК 8, 9)</v>
      </c>
      <c r="C1659" s="12" t="s">
        <v>9</v>
      </c>
      <c r="D1659" s="30" t="s">
        <v>9</v>
      </c>
      <c r="E1659" s="12" t="s">
        <v>9</v>
      </c>
      <c r="F1659" s="18">
        <f ca="1">OFFSET(F1659,1,2)</f>
        <v>4200</v>
      </c>
      <c r="G1659" s="38">
        <f ca="1">F1659</f>
        <v>4200</v>
      </c>
      <c r="H1659" s="38">
        <f t="shared" ref="H1659" ca="1" si="314">G1659*I1659</f>
        <v>4200</v>
      </c>
      <c r="I1659" s="12">
        <v>1</v>
      </c>
      <c r="J1659" s="12" t="s">
        <v>12</v>
      </c>
      <c r="K1659" s="12" t="s">
        <v>9</v>
      </c>
      <c r="L1659" s="15">
        <v>4200</v>
      </c>
    </row>
    <row r="1660" spans="1:12" ht="21" customHeight="1" outlineLevel="2" x14ac:dyDescent="0.25">
      <c r="A1660" s="12">
        <f t="shared" si="309"/>
        <v>1659</v>
      </c>
      <c r="B1660" s="12" t="str">
        <f t="shared" si="310"/>
        <v>ЩАО-0.0.1 (БЛОК 8, 9)</v>
      </c>
      <c r="C1660" s="12" t="s">
        <v>10</v>
      </c>
      <c r="D1660" s="30" t="s">
        <v>10</v>
      </c>
      <c r="E1660" s="12" t="s">
        <v>10</v>
      </c>
      <c r="F1660" s="18">
        <v>0.7</v>
      </c>
      <c r="G1660" s="38">
        <v>100</v>
      </c>
      <c r="H1660" s="38">
        <f>60*F1660*G1660</f>
        <v>4200</v>
      </c>
      <c r="I1660" s="12">
        <f>60*F1660</f>
        <v>42</v>
      </c>
      <c r="J1660" s="12" t="s">
        <v>12</v>
      </c>
      <c r="K1660" s="12" t="s">
        <v>10</v>
      </c>
      <c r="L1660" s="15">
        <v>4200</v>
      </c>
    </row>
    <row r="1661" spans="1:12" ht="21" customHeight="1" outlineLevel="1" x14ac:dyDescent="0.25">
      <c r="A1661" s="12"/>
      <c r="B1661" s="12" t="s">
        <v>778</v>
      </c>
      <c r="C1661" s="12"/>
      <c r="D1661" s="30"/>
      <c r="E1661" s="12"/>
      <c r="F1661" s="18"/>
      <c r="G1661" s="38"/>
      <c r="H1661" s="38">
        <f ca="1">SUBTOTAL(9,H1654:H1660)</f>
        <v>16491</v>
      </c>
      <c r="I1661" s="12"/>
      <c r="J1661" s="12"/>
      <c r="K1661" s="12"/>
      <c r="L1661" s="15">
        <v>16491</v>
      </c>
    </row>
    <row r="1662" spans="1:12" ht="39.75" customHeight="1" outlineLevel="2" x14ac:dyDescent="0.25">
      <c r="A1662" s="10">
        <f>ROW(A1660)</f>
        <v>1660</v>
      </c>
      <c r="B1662" s="6" t="str">
        <f>E1662</f>
        <v>ЩО-0.0.2 (БЛОК 8, 9)</v>
      </c>
      <c r="C1662" s="6"/>
      <c r="D1662" s="28"/>
      <c r="E1662" s="6" t="s">
        <v>422</v>
      </c>
      <c r="F1662" s="36"/>
      <c r="G1662" s="36" t="s">
        <v>73</v>
      </c>
      <c r="H1662" s="7"/>
      <c r="I1662" s="10">
        <v>1</v>
      </c>
      <c r="J1662" s="11" t="s">
        <v>6</v>
      </c>
      <c r="K1662" s="6" t="s">
        <v>8</v>
      </c>
      <c r="L1662" s="9"/>
    </row>
    <row r="1663" spans="1:12" ht="21" customHeight="1" outlineLevel="2" x14ac:dyDescent="0.25">
      <c r="A1663" s="16">
        <f t="shared" si="309"/>
        <v>1662</v>
      </c>
      <c r="B1663" s="12" t="str">
        <f t="shared" ref="B1663:B1668" si="315">B1662</f>
        <v>ЩО-0.0.2 (БЛОК 8, 9)</v>
      </c>
      <c r="C1663" s="13" t="s">
        <v>7</v>
      </c>
      <c r="D1663" s="29" t="s">
        <v>492</v>
      </c>
      <c r="E1663" s="12" t="s">
        <v>493</v>
      </c>
      <c r="F1663" s="37">
        <v>9990</v>
      </c>
      <c r="G1663" s="38">
        <f t="shared" ref="G1663:G1666" si="316">F1663*0.6</f>
        <v>5994</v>
      </c>
      <c r="H1663" s="38">
        <f>I1663*G1663</f>
        <v>5994</v>
      </c>
      <c r="I1663" s="16">
        <v>1</v>
      </c>
      <c r="J1663" s="17" t="s">
        <v>12</v>
      </c>
      <c r="K1663" s="13" t="s">
        <v>581</v>
      </c>
      <c r="L1663" s="15">
        <v>5994</v>
      </c>
    </row>
    <row r="1664" spans="1:12" ht="21" customHeight="1" outlineLevel="2" x14ac:dyDescent="0.25">
      <c r="A1664" s="16">
        <f t="shared" si="309"/>
        <v>1663</v>
      </c>
      <c r="B1664" s="12" t="str">
        <f t="shared" si="315"/>
        <v>ЩО-0.0.2 (БЛОК 8, 9)</v>
      </c>
      <c r="C1664" s="13" t="s">
        <v>11</v>
      </c>
      <c r="D1664" s="29" t="s">
        <v>273</v>
      </c>
      <c r="E1664" s="12" t="s">
        <v>274</v>
      </c>
      <c r="F1664" s="37">
        <v>2499</v>
      </c>
      <c r="G1664" s="38">
        <f t="shared" si="316"/>
        <v>1499.3999999999999</v>
      </c>
      <c r="H1664" s="38">
        <f t="shared" ref="H1664:H1667" si="317">G1664*I1664</f>
        <v>1499.3999999999999</v>
      </c>
      <c r="I1664" s="16">
        <v>1</v>
      </c>
      <c r="J1664" s="17" t="s">
        <v>12</v>
      </c>
      <c r="K1664" s="13" t="s">
        <v>16</v>
      </c>
      <c r="L1664" s="15">
        <v>1499.3999999999999</v>
      </c>
    </row>
    <row r="1665" spans="1:12" ht="21" customHeight="1" outlineLevel="2" x14ac:dyDescent="0.25">
      <c r="A1665" s="16">
        <f t="shared" si="309"/>
        <v>1664</v>
      </c>
      <c r="B1665" s="12" t="str">
        <f t="shared" si="315"/>
        <v>ЩО-0.0.2 (БЛОК 8, 9)</v>
      </c>
      <c r="C1665" s="13" t="s">
        <v>11</v>
      </c>
      <c r="D1665" s="29" t="s">
        <v>51</v>
      </c>
      <c r="E1665" s="12" t="s">
        <v>52</v>
      </c>
      <c r="F1665" s="37">
        <v>2337</v>
      </c>
      <c r="G1665" s="38">
        <f t="shared" si="316"/>
        <v>1402.2</v>
      </c>
      <c r="H1665" s="38">
        <f t="shared" si="317"/>
        <v>1402.2</v>
      </c>
      <c r="I1665" s="16">
        <v>1</v>
      </c>
      <c r="J1665" s="17" t="s">
        <v>12</v>
      </c>
      <c r="K1665" s="13" t="s">
        <v>16</v>
      </c>
      <c r="L1665" s="15">
        <v>1402.2</v>
      </c>
    </row>
    <row r="1666" spans="1:12" ht="21" customHeight="1" outlineLevel="2" x14ac:dyDescent="0.25">
      <c r="A1666" s="16">
        <f t="shared" si="309"/>
        <v>1665</v>
      </c>
      <c r="B1666" s="12" t="str">
        <f t="shared" si="315"/>
        <v>ЩО-0.0.2 (БЛОК 8, 9)</v>
      </c>
      <c r="C1666" s="13" t="s">
        <v>11</v>
      </c>
      <c r="D1666" s="29" t="s">
        <v>292</v>
      </c>
      <c r="E1666" s="12" t="s">
        <v>293</v>
      </c>
      <c r="F1666" s="37">
        <v>783</v>
      </c>
      <c r="G1666" s="38">
        <f t="shared" si="316"/>
        <v>469.79999999999995</v>
      </c>
      <c r="H1666" s="38">
        <f t="shared" si="317"/>
        <v>3758.3999999999996</v>
      </c>
      <c r="I1666" s="16">
        <v>8</v>
      </c>
      <c r="J1666" s="17" t="s">
        <v>12</v>
      </c>
      <c r="K1666" s="13" t="s">
        <v>16</v>
      </c>
      <c r="L1666" s="15">
        <v>3758.3999999999996</v>
      </c>
    </row>
    <row r="1667" spans="1:12" ht="24" customHeight="1" outlineLevel="2" x14ac:dyDescent="0.25">
      <c r="A1667" s="12">
        <f t="shared" si="309"/>
        <v>1666</v>
      </c>
      <c r="B1667" s="12" t="str">
        <f t="shared" si="315"/>
        <v>ЩО-0.0.2 (БЛОК 8, 9)</v>
      </c>
      <c r="C1667" s="12" t="s">
        <v>9</v>
      </c>
      <c r="D1667" s="30" t="s">
        <v>9</v>
      </c>
      <c r="E1667" s="12" t="s">
        <v>9</v>
      </c>
      <c r="F1667" s="18">
        <f ca="1">OFFSET(F1667,1,2)</f>
        <v>4200</v>
      </c>
      <c r="G1667" s="38">
        <f ca="1">F1667</f>
        <v>4200</v>
      </c>
      <c r="H1667" s="38">
        <f t="shared" ca="1" si="317"/>
        <v>4200</v>
      </c>
      <c r="I1667" s="12">
        <v>1</v>
      </c>
      <c r="J1667" s="12" t="s">
        <v>12</v>
      </c>
      <c r="K1667" s="12" t="s">
        <v>9</v>
      </c>
      <c r="L1667" s="15">
        <v>4200</v>
      </c>
    </row>
    <row r="1668" spans="1:12" ht="21" customHeight="1" outlineLevel="2" x14ac:dyDescent="0.25">
      <c r="A1668" s="12">
        <f t="shared" si="309"/>
        <v>1667</v>
      </c>
      <c r="B1668" s="12" t="str">
        <f t="shared" si="315"/>
        <v>ЩО-0.0.2 (БЛОК 8, 9)</v>
      </c>
      <c r="C1668" s="12" t="s">
        <v>10</v>
      </c>
      <c r="D1668" s="30" t="s">
        <v>10</v>
      </c>
      <c r="E1668" s="12" t="s">
        <v>10</v>
      </c>
      <c r="F1668" s="18">
        <v>0.7</v>
      </c>
      <c r="G1668" s="38">
        <v>100</v>
      </c>
      <c r="H1668" s="38">
        <f>60*F1668*G1668</f>
        <v>4200</v>
      </c>
      <c r="I1668" s="12">
        <f>60*F1668</f>
        <v>42</v>
      </c>
      <c r="J1668" s="12" t="s">
        <v>12</v>
      </c>
      <c r="K1668" s="12" t="s">
        <v>10</v>
      </c>
      <c r="L1668" s="15">
        <v>4200</v>
      </c>
    </row>
    <row r="1669" spans="1:12" ht="21" customHeight="1" outlineLevel="1" x14ac:dyDescent="0.25">
      <c r="A1669" s="12"/>
      <c r="B1669" s="12" t="s">
        <v>779</v>
      </c>
      <c r="C1669" s="12"/>
      <c r="D1669" s="30"/>
      <c r="E1669" s="12"/>
      <c r="F1669" s="18"/>
      <c r="G1669" s="38"/>
      <c r="H1669" s="38">
        <f ca="1">SUBTOTAL(9,H1662:H1668)</f>
        <v>21054</v>
      </c>
      <c r="I1669" s="12"/>
      <c r="J1669" s="12"/>
      <c r="K1669" s="12"/>
      <c r="L1669" s="15">
        <v>21054</v>
      </c>
    </row>
    <row r="1670" spans="1:12" ht="39.75" customHeight="1" outlineLevel="2" x14ac:dyDescent="0.25">
      <c r="A1670" s="10">
        <f>ROW(A1668)</f>
        <v>1668</v>
      </c>
      <c r="B1670" s="6" t="str">
        <f>E1670</f>
        <v>ЩО-0.1 (БЛОК 8, 9)</v>
      </c>
      <c r="C1670" s="6"/>
      <c r="D1670" s="28"/>
      <c r="E1670" s="6" t="s">
        <v>411</v>
      </c>
      <c r="F1670" s="36"/>
      <c r="G1670" s="36" t="s">
        <v>73</v>
      </c>
      <c r="H1670" s="7"/>
      <c r="I1670" s="10">
        <v>1</v>
      </c>
      <c r="J1670" s="11" t="s">
        <v>6</v>
      </c>
      <c r="K1670" s="6" t="s">
        <v>8</v>
      </c>
      <c r="L1670" s="9"/>
    </row>
    <row r="1671" spans="1:12" ht="21" customHeight="1" outlineLevel="2" x14ac:dyDescent="0.25">
      <c r="A1671" s="16">
        <f t="shared" si="309"/>
        <v>1670</v>
      </c>
      <c r="B1671" s="12" t="str">
        <f t="shared" ref="B1671:B1676" si="318">B1670</f>
        <v>ЩО-0.1 (БЛОК 8, 9)</v>
      </c>
      <c r="C1671" s="13" t="s">
        <v>7</v>
      </c>
      <c r="D1671" s="29" t="s">
        <v>463</v>
      </c>
      <c r="E1671" s="12" t="s">
        <v>592</v>
      </c>
      <c r="F1671" s="37">
        <v>14800</v>
      </c>
      <c r="G1671" s="38">
        <f t="shared" ref="G1671:G1674" si="319">F1671*0.6</f>
        <v>8880</v>
      </c>
      <c r="H1671" s="38">
        <f>I1671*G1671</f>
        <v>8880</v>
      </c>
      <c r="I1671" s="16">
        <v>1</v>
      </c>
      <c r="J1671" s="17" t="s">
        <v>12</v>
      </c>
      <c r="K1671" s="13" t="s">
        <v>581</v>
      </c>
      <c r="L1671" s="15">
        <v>8880</v>
      </c>
    </row>
    <row r="1672" spans="1:12" ht="21" customHeight="1" outlineLevel="2" x14ac:dyDescent="0.25">
      <c r="A1672" s="16">
        <f t="shared" si="309"/>
        <v>1671</v>
      </c>
      <c r="B1672" s="12" t="str">
        <f t="shared" si="318"/>
        <v>ЩО-0.1 (БЛОК 8, 9)</v>
      </c>
      <c r="C1672" s="13" t="s">
        <v>11</v>
      </c>
      <c r="D1672" s="29" t="s">
        <v>273</v>
      </c>
      <c r="E1672" s="12" t="s">
        <v>274</v>
      </c>
      <c r="F1672" s="37">
        <v>2499</v>
      </c>
      <c r="G1672" s="38">
        <f t="shared" si="319"/>
        <v>1499.3999999999999</v>
      </c>
      <c r="H1672" s="38">
        <f t="shared" ref="H1672:H1675" si="320">G1672*I1672</f>
        <v>1499.3999999999999</v>
      </c>
      <c r="I1672" s="16">
        <v>1</v>
      </c>
      <c r="J1672" s="17" t="s">
        <v>12</v>
      </c>
      <c r="K1672" s="13" t="s">
        <v>16</v>
      </c>
      <c r="L1672" s="15">
        <v>1499.3999999999999</v>
      </c>
    </row>
    <row r="1673" spans="1:12" ht="21" customHeight="1" outlineLevel="2" x14ac:dyDescent="0.25">
      <c r="A1673" s="16">
        <f t="shared" si="309"/>
        <v>1672</v>
      </c>
      <c r="B1673" s="12" t="str">
        <f t="shared" si="318"/>
        <v>ЩО-0.1 (БЛОК 8, 9)</v>
      </c>
      <c r="C1673" s="13" t="s">
        <v>11</v>
      </c>
      <c r="D1673" s="29" t="s">
        <v>51</v>
      </c>
      <c r="E1673" s="12" t="s">
        <v>52</v>
      </c>
      <c r="F1673" s="37">
        <v>2337</v>
      </c>
      <c r="G1673" s="38">
        <f t="shared" si="319"/>
        <v>1402.2</v>
      </c>
      <c r="H1673" s="38">
        <f t="shared" si="320"/>
        <v>2804.4</v>
      </c>
      <c r="I1673" s="16">
        <v>2</v>
      </c>
      <c r="J1673" s="17" t="s">
        <v>12</v>
      </c>
      <c r="K1673" s="13" t="s">
        <v>16</v>
      </c>
      <c r="L1673" s="15">
        <v>2804.4</v>
      </c>
    </row>
    <row r="1674" spans="1:12" ht="21" customHeight="1" outlineLevel="2" x14ac:dyDescent="0.25">
      <c r="A1674" s="16">
        <f t="shared" si="309"/>
        <v>1673</v>
      </c>
      <c r="B1674" s="12" t="str">
        <f t="shared" si="318"/>
        <v>ЩО-0.1 (БЛОК 8, 9)</v>
      </c>
      <c r="C1674" s="13" t="s">
        <v>11</v>
      </c>
      <c r="D1674" s="29" t="s">
        <v>292</v>
      </c>
      <c r="E1674" s="12" t="s">
        <v>293</v>
      </c>
      <c r="F1674" s="37">
        <v>783</v>
      </c>
      <c r="G1674" s="38">
        <f t="shared" si="319"/>
        <v>469.79999999999995</v>
      </c>
      <c r="H1674" s="38">
        <f t="shared" si="320"/>
        <v>7986.5999999999995</v>
      </c>
      <c r="I1674" s="16">
        <v>17</v>
      </c>
      <c r="J1674" s="17" t="s">
        <v>12</v>
      </c>
      <c r="K1674" s="13" t="s">
        <v>16</v>
      </c>
      <c r="L1674" s="15">
        <v>7986.5999999999995</v>
      </c>
    </row>
    <row r="1675" spans="1:12" ht="24" customHeight="1" outlineLevel="2" x14ac:dyDescent="0.25">
      <c r="A1675" s="12">
        <f t="shared" si="309"/>
        <v>1674</v>
      </c>
      <c r="B1675" s="12" t="str">
        <f t="shared" si="318"/>
        <v>ЩО-0.1 (БЛОК 8, 9)</v>
      </c>
      <c r="C1675" s="12" t="s">
        <v>9</v>
      </c>
      <c r="D1675" s="30" t="s">
        <v>9</v>
      </c>
      <c r="E1675" s="12" t="s">
        <v>9</v>
      </c>
      <c r="F1675" s="18">
        <f ca="1">OFFSET(F1675,1,2)</f>
        <v>6000</v>
      </c>
      <c r="G1675" s="38">
        <f ca="1">F1675</f>
        <v>6000</v>
      </c>
      <c r="H1675" s="38">
        <f t="shared" ca="1" si="320"/>
        <v>6000</v>
      </c>
      <c r="I1675" s="12">
        <v>1</v>
      </c>
      <c r="J1675" s="12" t="s">
        <v>12</v>
      </c>
      <c r="K1675" s="12" t="s">
        <v>9</v>
      </c>
      <c r="L1675" s="15">
        <v>6000</v>
      </c>
    </row>
    <row r="1676" spans="1:12" ht="21" customHeight="1" outlineLevel="2" x14ac:dyDescent="0.25">
      <c r="A1676" s="12">
        <f t="shared" si="309"/>
        <v>1675</v>
      </c>
      <c r="B1676" s="12" t="str">
        <f t="shared" si="318"/>
        <v>ЩО-0.1 (БЛОК 8, 9)</v>
      </c>
      <c r="C1676" s="12" t="s">
        <v>10</v>
      </c>
      <c r="D1676" s="30" t="s">
        <v>10</v>
      </c>
      <c r="E1676" s="12" t="s">
        <v>10</v>
      </c>
      <c r="F1676" s="18">
        <v>1</v>
      </c>
      <c r="G1676" s="38">
        <v>100</v>
      </c>
      <c r="H1676" s="38">
        <f>60*F1676*G1676</f>
        <v>6000</v>
      </c>
      <c r="I1676" s="12">
        <f>60*F1676</f>
        <v>60</v>
      </c>
      <c r="J1676" s="12" t="s">
        <v>12</v>
      </c>
      <c r="K1676" s="12" t="s">
        <v>10</v>
      </c>
      <c r="L1676" s="15">
        <v>6000</v>
      </c>
    </row>
    <row r="1677" spans="1:12" ht="21" customHeight="1" outlineLevel="1" x14ac:dyDescent="0.25">
      <c r="A1677" s="12"/>
      <c r="B1677" s="12" t="s">
        <v>780</v>
      </c>
      <c r="C1677" s="12"/>
      <c r="D1677" s="30"/>
      <c r="E1677" s="12"/>
      <c r="F1677" s="18"/>
      <c r="G1677" s="38"/>
      <c r="H1677" s="38">
        <f ca="1">SUBTOTAL(9,H1670:H1676)</f>
        <v>33170.399999999994</v>
      </c>
      <c r="I1677" s="12"/>
      <c r="J1677" s="12"/>
      <c r="K1677" s="12"/>
      <c r="L1677" s="15">
        <v>33170.399999999994</v>
      </c>
    </row>
    <row r="1678" spans="1:12" ht="39.75" customHeight="1" outlineLevel="2" x14ac:dyDescent="0.25">
      <c r="A1678" s="10">
        <f>ROW(A1676)</f>
        <v>1676</v>
      </c>
      <c r="B1678" s="6" t="str">
        <f>E1678</f>
        <v>ЩО-0.2 (БЛОК 8, 9)</v>
      </c>
      <c r="C1678" s="6"/>
      <c r="D1678" s="28"/>
      <c r="E1678" s="6" t="s">
        <v>412</v>
      </c>
      <c r="F1678" s="36"/>
      <c r="G1678" s="36" t="s">
        <v>73</v>
      </c>
      <c r="H1678" s="7"/>
      <c r="I1678" s="10">
        <v>1</v>
      </c>
      <c r="J1678" s="11" t="s">
        <v>6</v>
      </c>
      <c r="K1678" s="6" t="s">
        <v>8</v>
      </c>
      <c r="L1678" s="9"/>
    </row>
    <row r="1679" spans="1:12" ht="21" customHeight="1" outlineLevel="2" x14ac:dyDescent="0.25">
      <c r="A1679" s="16">
        <f t="shared" si="309"/>
        <v>1678</v>
      </c>
      <c r="B1679" s="12" t="str">
        <f t="shared" ref="B1679:B1684" si="321">B1678</f>
        <v>ЩО-0.2 (БЛОК 8, 9)</v>
      </c>
      <c r="C1679" s="13" t="s">
        <v>7</v>
      </c>
      <c r="D1679" s="29" t="s">
        <v>463</v>
      </c>
      <c r="E1679" s="12" t="s">
        <v>592</v>
      </c>
      <c r="F1679" s="37">
        <v>14800</v>
      </c>
      <c r="G1679" s="38">
        <f t="shared" ref="G1679:G1682" si="322">F1679*0.6</f>
        <v>8880</v>
      </c>
      <c r="H1679" s="38">
        <f>I1679*G1679</f>
        <v>8880</v>
      </c>
      <c r="I1679" s="16">
        <v>1</v>
      </c>
      <c r="J1679" s="17" t="s">
        <v>12</v>
      </c>
      <c r="K1679" s="13" t="s">
        <v>581</v>
      </c>
      <c r="L1679" s="15">
        <v>8880</v>
      </c>
    </row>
    <row r="1680" spans="1:12" ht="21" customHeight="1" outlineLevel="2" x14ac:dyDescent="0.25">
      <c r="A1680" s="16">
        <f t="shared" si="309"/>
        <v>1679</v>
      </c>
      <c r="B1680" s="12" t="str">
        <f t="shared" si="321"/>
        <v>ЩО-0.2 (БЛОК 8, 9)</v>
      </c>
      <c r="C1680" s="13" t="s">
        <v>11</v>
      </c>
      <c r="D1680" s="29" t="s">
        <v>273</v>
      </c>
      <c r="E1680" s="12" t="s">
        <v>274</v>
      </c>
      <c r="F1680" s="37">
        <v>2499</v>
      </c>
      <c r="G1680" s="38">
        <f t="shared" si="322"/>
        <v>1499.3999999999999</v>
      </c>
      <c r="H1680" s="38">
        <f t="shared" ref="H1680:H1683" si="323">G1680*I1680</f>
        <v>1499.3999999999999</v>
      </c>
      <c r="I1680" s="16">
        <v>1</v>
      </c>
      <c r="J1680" s="17" t="s">
        <v>12</v>
      </c>
      <c r="K1680" s="13" t="s">
        <v>16</v>
      </c>
      <c r="L1680" s="15">
        <v>1499.3999999999999</v>
      </c>
    </row>
    <row r="1681" spans="1:12" ht="21" customHeight="1" outlineLevel="2" x14ac:dyDescent="0.25">
      <c r="A1681" s="16">
        <f t="shared" si="309"/>
        <v>1680</v>
      </c>
      <c r="B1681" s="12" t="str">
        <f t="shared" si="321"/>
        <v>ЩО-0.2 (БЛОК 8, 9)</v>
      </c>
      <c r="C1681" s="13" t="s">
        <v>11</v>
      </c>
      <c r="D1681" s="29" t="s">
        <v>51</v>
      </c>
      <c r="E1681" s="12" t="s">
        <v>52</v>
      </c>
      <c r="F1681" s="37">
        <v>2337</v>
      </c>
      <c r="G1681" s="38">
        <f t="shared" si="322"/>
        <v>1402.2</v>
      </c>
      <c r="H1681" s="38">
        <f t="shared" si="323"/>
        <v>2804.4</v>
      </c>
      <c r="I1681" s="16">
        <v>2</v>
      </c>
      <c r="J1681" s="17" t="s">
        <v>12</v>
      </c>
      <c r="K1681" s="13" t="s">
        <v>16</v>
      </c>
      <c r="L1681" s="15">
        <v>2804.4</v>
      </c>
    </row>
    <row r="1682" spans="1:12" ht="21" customHeight="1" outlineLevel="2" x14ac:dyDescent="0.25">
      <c r="A1682" s="16">
        <f t="shared" si="309"/>
        <v>1681</v>
      </c>
      <c r="B1682" s="12" t="str">
        <f t="shared" si="321"/>
        <v>ЩО-0.2 (БЛОК 8, 9)</v>
      </c>
      <c r="C1682" s="13" t="s">
        <v>11</v>
      </c>
      <c r="D1682" s="29" t="s">
        <v>292</v>
      </c>
      <c r="E1682" s="12" t="s">
        <v>293</v>
      </c>
      <c r="F1682" s="37">
        <v>783</v>
      </c>
      <c r="G1682" s="38">
        <f t="shared" si="322"/>
        <v>469.79999999999995</v>
      </c>
      <c r="H1682" s="38">
        <f t="shared" si="323"/>
        <v>7516.7999999999993</v>
      </c>
      <c r="I1682" s="16">
        <v>16</v>
      </c>
      <c r="J1682" s="17" t="s">
        <v>12</v>
      </c>
      <c r="K1682" s="13" t="s">
        <v>16</v>
      </c>
      <c r="L1682" s="15">
        <v>7516.7999999999993</v>
      </c>
    </row>
    <row r="1683" spans="1:12" ht="24" customHeight="1" outlineLevel="2" x14ac:dyDescent="0.25">
      <c r="A1683" s="12">
        <f t="shared" si="309"/>
        <v>1682</v>
      </c>
      <c r="B1683" s="12" t="str">
        <f t="shared" si="321"/>
        <v>ЩО-0.2 (БЛОК 8, 9)</v>
      </c>
      <c r="C1683" s="12" t="s">
        <v>9</v>
      </c>
      <c r="D1683" s="30" t="s">
        <v>9</v>
      </c>
      <c r="E1683" s="12" t="s">
        <v>9</v>
      </c>
      <c r="F1683" s="18">
        <f ca="1">OFFSET(F1683,1,2)</f>
        <v>6000</v>
      </c>
      <c r="G1683" s="38">
        <f ca="1">F1683</f>
        <v>6000</v>
      </c>
      <c r="H1683" s="38">
        <f t="shared" ca="1" si="323"/>
        <v>6000</v>
      </c>
      <c r="I1683" s="12">
        <v>1</v>
      </c>
      <c r="J1683" s="12" t="s">
        <v>12</v>
      </c>
      <c r="K1683" s="12" t="s">
        <v>9</v>
      </c>
      <c r="L1683" s="15">
        <v>6000</v>
      </c>
    </row>
    <row r="1684" spans="1:12" ht="21" customHeight="1" outlineLevel="2" x14ac:dyDescent="0.25">
      <c r="A1684" s="12">
        <f t="shared" si="309"/>
        <v>1683</v>
      </c>
      <c r="B1684" s="12" t="str">
        <f t="shared" si="321"/>
        <v>ЩО-0.2 (БЛОК 8, 9)</v>
      </c>
      <c r="C1684" s="12" t="s">
        <v>10</v>
      </c>
      <c r="D1684" s="30" t="s">
        <v>10</v>
      </c>
      <c r="E1684" s="12" t="s">
        <v>10</v>
      </c>
      <c r="F1684" s="18">
        <v>1</v>
      </c>
      <c r="G1684" s="38">
        <v>100</v>
      </c>
      <c r="H1684" s="38">
        <f>60*F1684*G1684</f>
        <v>6000</v>
      </c>
      <c r="I1684" s="12">
        <f>60*F1684</f>
        <v>60</v>
      </c>
      <c r="J1684" s="12" t="s">
        <v>12</v>
      </c>
      <c r="K1684" s="12" t="s">
        <v>10</v>
      </c>
      <c r="L1684" s="15">
        <v>6000</v>
      </c>
    </row>
    <row r="1685" spans="1:12" ht="21" customHeight="1" outlineLevel="1" x14ac:dyDescent="0.25">
      <c r="A1685" s="12"/>
      <c r="B1685" s="12" t="s">
        <v>781</v>
      </c>
      <c r="C1685" s="12"/>
      <c r="D1685" s="30"/>
      <c r="E1685" s="12"/>
      <c r="F1685" s="18"/>
      <c r="G1685" s="38"/>
      <c r="H1685" s="38">
        <f ca="1">SUBTOTAL(9,H1678:H1684)</f>
        <v>32700.6</v>
      </c>
      <c r="I1685" s="12"/>
      <c r="J1685" s="12"/>
      <c r="K1685" s="12"/>
      <c r="L1685" s="15">
        <v>32700.6</v>
      </c>
    </row>
    <row r="1686" spans="1:12" ht="39.75" customHeight="1" outlineLevel="2" x14ac:dyDescent="0.25">
      <c r="A1686" s="10">
        <f>ROW(A1684)</f>
        <v>1684</v>
      </c>
      <c r="B1686" s="6" t="str">
        <f>E1686</f>
        <v>ЩО-1.1 (БЛОК 8, 9)</v>
      </c>
      <c r="C1686" s="6"/>
      <c r="D1686" s="28"/>
      <c r="E1686" s="6" t="s">
        <v>413</v>
      </c>
      <c r="F1686" s="36"/>
      <c r="G1686" s="36" t="s">
        <v>73</v>
      </c>
      <c r="H1686" s="7"/>
      <c r="I1686" s="10">
        <v>1</v>
      </c>
      <c r="J1686" s="11" t="s">
        <v>6</v>
      </c>
      <c r="K1686" s="6" t="s">
        <v>8</v>
      </c>
      <c r="L1686" s="9"/>
    </row>
    <row r="1687" spans="1:12" ht="21" customHeight="1" outlineLevel="2" x14ac:dyDescent="0.25">
      <c r="A1687" s="16">
        <f t="shared" si="309"/>
        <v>1686</v>
      </c>
      <c r="B1687" s="12" t="str">
        <f t="shared" ref="B1687:B1692" si="324">B1686</f>
        <v>ЩО-1.1 (БЛОК 8, 9)</v>
      </c>
      <c r="C1687" s="13" t="s">
        <v>7</v>
      </c>
      <c r="D1687" s="29" t="s">
        <v>463</v>
      </c>
      <c r="E1687" s="12" t="s">
        <v>592</v>
      </c>
      <c r="F1687" s="37">
        <v>14800</v>
      </c>
      <c r="G1687" s="38">
        <f t="shared" ref="G1687:G1690" si="325">F1687*0.6</f>
        <v>8880</v>
      </c>
      <c r="H1687" s="38">
        <f>I1687*G1687</f>
        <v>8880</v>
      </c>
      <c r="I1687" s="16">
        <v>1</v>
      </c>
      <c r="J1687" s="17" t="s">
        <v>12</v>
      </c>
      <c r="K1687" s="13" t="s">
        <v>581</v>
      </c>
      <c r="L1687" s="15">
        <v>8880</v>
      </c>
    </row>
    <row r="1688" spans="1:12" ht="21" customHeight="1" outlineLevel="2" x14ac:dyDescent="0.25">
      <c r="A1688" s="16">
        <f t="shared" si="309"/>
        <v>1687</v>
      </c>
      <c r="B1688" s="12" t="str">
        <f t="shared" si="324"/>
        <v>ЩО-1.1 (БЛОК 8, 9)</v>
      </c>
      <c r="C1688" s="13" t="s">
        <v>11</v>
      </c>
      <c r="D1688" s="29" t="s">
        <v>273</v>
      </c>
      <c r="E1688" s="12" t="s">
        <v>274</v>
      </c>
      <c r="F1688" s="37">
        <v>2499</v>
      </c>
      <c r="G1688" s="38">
        <f t="shared" si="325"/>
        <v>1499.3999999999999</v>
      </c>
      <c r="H1688" s="38">
        <f t="shared" ref="H1688:H1691" si="326">G1688*I1688</f>
        <v>1499.3999999999999</v>
      </c>
      <c r="I1688" s="16">
        <v>1</v>
      </c>
      <c r="J1688" s="17" t="s">
        <v>12</v>
      </c>
      <c r="K1688" s="13" t="s">
        <v>16</v>
      </c>
      <c r="L1688" s="15">
        <v>1499.3999999999999</v>
      </c>
    </row>
    <row r="1689" spans="1:12" ht="21" customHeight="1" outlineLevel="2" x14ac:dyDescent="0.25">
      <c r="A1689" s="16">
        <f t="shared" si="309"/>
        <v>1688</v>
      </c>
      <c r="B1689" s="12" t="str">
        <f t="shared" si="324"/>
        <v>ЩО-1.1 (БЛОК 8, 9)</v>
      </c>
      <c r="C1689" s="13" t="s">
        <v>11</v>
      </c>
      <c r="D1689" s="29" t="s">
        <v>51</v>
      </c>
      <c r="E1689" s="12" t="s">
        <v>52</v>
      </c>
      <c r="F1689" s="37">
        <v>2337</v>
      </c>
      <c r="G1689" s="38">
        <f t="shared" si="325"/>
        <v>1402.2</v>
      </c>
      <c r="H1689" s="38">
        <f t="shared" si="326"/>
        <v>2804.4</v>
      </c>
      <c r="I1689" s="16">
        <v>2</v>
      </c>
      <c r="J1689" s="17" t="s">
        <v>12</v>
      </c>
      <c r="K1689" s="13" t="s">
        <v>16</v>
      </c>
      <c r="L1689" s="15">
        <v>2804.4</v>
      </c>
    </row>
    <row r="1690" spans="1:12" ht="21" customHeight="1" outlineLevel="2" x14ac:dyDescent="0.25">
      <c r="A1690" s="16">
        <f t="shared" si="309"/>
        <v>1689</v>
      </c>
      <c r="B1690" s="12" t="str">
        <f t="shared" si="324"/>
        <v>ЩО-1.1 (БЛОК 8, 9)</v>
      </c>
      <c r="C1690" s="13" t="s">
        <v>11</v>
      </c>
      <c r="D1690" s="29" t="s">
        <v>292</v>
      </c>
      <c r="E1690" s="12" t="s">
        <v>293</v>
      </c>
      <c r="F1690" s="37">
        <v>783</v>
      </c>
      <c r="G1690" s="38">
        <f t="shared" si="325"/>
        <v>469.79999999999995</v>
      </c>
      <c r="H1690" s="38">
        <f t="shared" si="326"/>
        <v>8456.4</v>
      </c>
      <c r="I1690" s="16">
        <v>18</v>
      </c>
      <c r="J1690" s="17" t="s">
        <v>12</v>
      </c>
      <c r="K1690" s="13" t="s">
        <v>16</v>
      </c>
      <c r="L1690" s="15">
        <v>8456.4</v>
      </c>
    </row>
    <row r="1691" spans="1:12" ht="24" customHeight="1" outlineLevel="2" x14ac:dyDescent="0.25">
      <c r="A1691" s="12">
        <f t="shared" si="309"/>
        <v>1690</v>
      </c>
      <c r="B1691" s="12" t="str">
        <f t="shared" si="324"/>
        <v>ЩО-1.1 (БЛОК 8, 9)</v>
      </c>
      <c r="C1691" s="12" t="s">
        <v>9</v>
      </c>
      <c r="D1691" s="30" t="s">
        <v>9</v>
      </c>
      <c r="E1691" s="12" t="s">
        <v>9</v>
      </c>
      <c r="F1691" s="18">
        <f ca="1">OFFSET(F1691,1,2)</f>
        <v>6000</v>
      </c>
      <c r="G1691" s="38">
        <f ca="1">F1691</f>
        <v>6000</v>
      </c>
      <c r="H1691" s="38">
        <f t="shared" ca="1" si="326"/>
        <v>6000</v>
      </c>
      <c r="I1691" s="12">
        <v>1</v>
      </c>
      <c r="J1691" s="12" t="s">
        <v>12</v>
      </c>
      <c r="K1691" s="12" t="s">
        <v>9</v>
      </c>
      <c r="L1691" s="15">
        <v>6000</v>
      </c>
    </row>
    <row r="1692" spans="1:12" ht="21" customHeight="1" outlineLevel="2" x14ac:dyDescent="0.25">
      <c r="A1692" s="12">
        <f t="shared" si="309"/>
        <v>1691</v>
      </c>
      <c r="B1692" s="12" t="str">
        <f t="shared" si="324"/>
        <v>ЩО-1.1 (БЛОК 8, 9)</v>
      </c>
      <c r="C1692" s="12" t="s">
        <v>10</v>
      </c>
      <c r="D1692" s="30" t="s">
        <v>10</v>
      </c>
      <c r="E1692" s="12" t="s">
        <v>10</v>
      </c>
      <c r="F1692" s="18">
        <v>1</v>
      </c>
      <c r="G1692" s="38">
        <v>100</v>
      </c>
      <c r="H1692" s="38">
        <f>60*F1692*G1692</f>
        <v>6000</v>
      </c>
      <c r="I1692" s="12">
        <f>60*F1692</f>
        <v>60</v>
      </c>
      <c r="J1692" s="12" t="s">
        <v>12</v>
      </c>
      <c r="K1692" s="12" t="s">
        <v>10</v>
      </c>
      <c r="L1692" s="15">
        <v>6000</v>
      </c>
    </row>
    <row r="1693" spans="1:12" ht="21" customHeight="1" outlineLevel="1" x14ac:dyDescent="0.25">
      <c r="A1693" s="12"/>
      <c r="B1693" s="12" t="s">
        <v>782</v>
      </c>
      <c r="C1693" s="12"/>
      <c r="D1693" s="30"/>
      <c r="E1693" s="12"/>
      <c r="F1693" s="18"/>
      <c r="G1693" s="38"/>
      <c r="H1693" s="38">
        <f ca="1">SUBTOTAL(9,H1686:H1692)</f>
        <v>33640.199999999997</v>
      </c>
      <c r="I1693" s="12"/>
      <c r="J1693" s="12"/>
      <c r="K1693" s="12"/>
      <c r="L1693" s="15">
        <v>33640.199999999997</v>
      </c>
    </row>
    <row r="1694" spans="1:12" ht="39.75" customHeight="1" outlineLevel="2" x14ac:dyDescent="0.25">
      <c r="A1694" s="10">
        <f>ROW(A1692)</f>
        <v>1692</v>
      </c>
      <c r="B1694" s="6" t="str">
        <f>E1694</f>
        <v>ЩО-1.2 (БЛОК 8, 9)</v>
      </c>
      <c r="C1694" s="6"/>
      <c r="D1694" s="28"/>
      <c r="E1694" s="6" t="s">
        <v>414</v>
      </c>
      <c r="F1694" s="36"/>
      <c r="G1694" s="36" t="s">
        <v>73</v>
      </c>
      <c r="H1694" s="7"/>
      <c r="I1694" s="10">
        <v>1</v>
      </c>
      <c r="J1694" s="11" t="s">
        <v>6</v>
      </c>
      <c r="K1694" s="6" t="s">
        <v>8</v>
      </c>
      <c r="L1694" s="9"/>
    </row>
    <row r="1695" spans="1:12" ht="21" customHeight="1" outlineLevel="2" x14ac:dyDescent="0.25">
      <c r="A1695" s="16">
        <f t="shared" si="309"/>
        <v>1694</v>
      </c>
      <c r="B1695" s="12" t="str">
        <f t="shared" ref="B1695:B1701" si="327">B1694</f>
        <v>ЩО-1.2 (БЛОК 8, 9)</v>
      </c>
      <c r="C1695" s="13" t="s">
        <v>7</v>
      </c>
      <c r="D1695" s="29" t="s">
        <v>463</v>
      </c>
      <c r="E1695" s="12" t="s">
        <v>592</v>
      </c>
      <c r="F1695" s="37">
        <v>14800</v>
      </c>
      <c r="G1695" s="38">
        <f t="shared" ref="G1695:G1699" si="328">F1695*0.6</f>
        <v>8880</v>
      </c>
      <c r="H1695" s="38">
        <f>I1695*G1695</f>
        <v>8880</v>
      </c>
      <c r="I1695" s="16">
        <v>1</v>
      </c>
      <c r="J1695" s="17" t="s">
        <v>12</v>
      </c>
      <c r="K1695" s="13" t="s">
        <v>581</v>
      </c>
      <c r="L1695" s="15">
        <v>8880</v>
      </c>
    </row>
    <row r="1696" spans="1:12" ht="21" customHeight="1" outlineLevel="2" x14ac:dyDescent="0.25">
      <c r="A1696" s="16">
        <f t="shared" si="309"/>
        <v>1695</v>
      </c>
      <c r="B1696" s="12" t="str">
        <f t="shared" si="327"/>
        <v>ЩО-1.2 (БЛОК 8, 9)</v>
      </c>
      <c r="C1696" s="13" t="s">
        <v>11</v>
      </c>
      <c r="D1696" s="29" t="s">
        <v>273</v>
      </c>
      <c r="E1696" s="12" t="s">
        <v>274</v>
      </c>
      <c r="F1696" s="37">
        <v>2499</v>
      </c>
      <c r="G1696" s="38">
        <f t="shared" si="328"/>
        <v>1499.3999999999999</v>
      </c>
      <c r="H1696" s="38">
        <f t="shared" ref="H1696:H1700" si="329">G1696*I1696</f>
        <v>1499.3999999999999</v>
      </c>
      <c r="I1696" s="16">
        <v>1</v>
      </c>
      <c r="J1696" s="17" t="s">
        <v>12</v>
      </c>
      <c r="K1696" s="13" t="s">
        <v>16</v>
      </c>
      <c r="L1696" s="15">
        <v>1499.3999999999999</v>
      </c>
    </row>
    <row r="1697" spans="1:12" ht="21" customHeight="1" outlineLevel="2" x14ac:dyDescent="0.25">
      <c r="A1697" s="16">
        <f t="shared" si="309"/>
        <v>1696</v>
      </c>
      <c r="B1697" s="12" t="str">
        <f t="shared" si="327"/>
        <v>ЩО-1.2 (БЛОК 8, 9)</v>
      </c>
      <c r="C1697" s="13" t="s">
        <v>11</v>
      </c>
      <c r="D1697" s="29" t="s">
        <v>51</v>
      </c>
      <c r="E1697" s="12" t="s">
        <v>52</v>
      </c>
      <c r="F1697" s="37">
        <v>2337</v>
      </c>
      <c r="G1697" s="38">
        <f t="shared" si="328"/>
        <v>1402.2</v>
      </c>
      <c r="H1697" s="38">
        <f t="shared" si="329"/>
        <v>1402.2</v>
      </c>
      <c r="I1697" s="16">
        <v>1</v>
      </c>
      <c r="J1697" s="17" t="s">
        <v>12</v>
      </c>
      <c r="K1697" s="13" t="s">
        <v>16</v>
      </c>
      <c r="L1697" s="15">
        <v>1402.2</v>
      </c>
    </row>
    <row r="1698" spans="1:12" ht="21" customHeight="1" outlineLevel="2" x14ac:dyDescent="0.25">
      <c r="A1698" s="16">
        <f t="shared" si="309"/>
        <v>1697</v>
      </c>
      <c r="B1698" s="12" t="str">
        <f t="shared" si="327"/>
        <v>ЩО-1.2 (БЛОК 8, 9)</v>
      </c>
      <c r="C1698" s="13" t="s">
        <v>11</v>
      </c>
      <c r="D1698" s="29" t="s">
        <v>280</v>
      </c>
      <c r="E1698" s="12" t="s">
        <v>281</v>
      </c>
      <c r="F1698" s="37">
        <v>2447</v>
      </c>
      <c r="G1698" s="38">
        <f t="shared" si="328"/>
        <v>1468.2</v>
      </c>
      <c r="H1698" s="38">
        <f t="shared" si="329"/>
        <v>1468.2</v>
      </c>
      <c r="I1698" s="16">
        <v>1</v>
      </c>
      <c r="J1698" s="17" t="s">
        <v>12</v>
      </c>
      <c r="K1698" s="13" t="s">
        <v>16</v>
      </c>
      <c r="L1698" s="15">
        <v>1468.2</v>
      </c>
    </row>
    <row r="1699" spans="1:12" ht="21" customHeight="1" outlineLevel="2" x14ac:dyDescent="0.25">
      <c r="A1699" s="16">
        <f t="shared" si="309"/>
        <v>1698</v>
      </c>
      <c r="B1699" s="12" t="str">
        <f t="shared" si="327"/>
        <v>ЩО-1.2 (БЛОК 8, 9)</v>
      </c>
      <c r="C1699" s="13" t="s">
        <v>11</v>
      </c>
      <c r="D1699" s="29" t="s">
        <v>292</v>
      </c>
      <c r="E1699" s="12" t="s">
        <v>293</v>
      </c>
      <c r="F1699" s="37">
        <v>783</v>
      </c>
      <c r="G1699" s="38">
        <f t="shared" si="328"/>
        <v>469.79999999999995</v>
      </c>
      <c r="H1699" s="38">
        <f t="shared" si="329"/>
        <v>8456.4</v>
      </c>
      <c r="I1699" s="16">
        <v>18</v>
      </c>
      <c r="J1699" s="17" t="s">
        <v>12</v>
      </c>
      <c r="K1699" s="13" t="s">
        <v>16</v>
      </c>
      <c r="L1699" s="15">
        <v>8456.4</v>
      </c>
    </row>
    <row r="1700" spans="1:12" ht="24" customHeight="1" outlineLevel="2" x14ac:dyDescent="0.25">
      <c r="A1700" s="12">
        <f t="shared" si="309"/>
        <v>1699</v>
      </c>
      <c r="B1700" s="12" t="str">
        <f t="shared" si="327"/>
        <v>ЩО-1.2 (БЛОК 8, 9)</v>
      </c>
      <c r="C1700" s="12" t="s">
        <v>9</v>
      </c>
      <c r="D1700" s="30" t="s">
        <v>9</v>
      </c>
      <c r="E1700" s="12" t="s">
        <v>9</v>
      </c>
      <c r="F1700" s="18">
        <f ca="1">OFFSET(F1700,1,2)</f>
        <v>6000</v>
      </c>
      <c r="G1700" s="38">
        <f ca="1">F1700</f>
        <v>6000</v>
      </c>
      <c r="H1700" s="38">
        <f t="shared" ca="1" si="329"/>
        <v>6000</v>
      </c>
      <c r="I1700" s="12">
        <v>1</v>
      </c>
      <c r="J1700" s="12" t="s">
        <v>12</v>
      </c>
      <c r="K1700" s="12" t="s">
        <v>9</v>
      </c>
      <c r="L1700" s="15">
        <v>6000</v>
      </c>
    </row>
    <row r="1701" spans="1:12" ht="21" customHeight="1" outlineLevel="2" x14ac:dyDescent="0.25">
      <c r="A1701" s="12">
        <f t="shared" si="309"/>
        <v>1700</v>
      </c>
      <c r="B1701" s="12" t="str">
        <f t="shared" si="327"/>
        <v>ЩО-1.2 (БЛОК 8, 9)</v>
      </c>
      <c r="C1701" s="12" t="s">
        <v>10</v>
      </c>
      <c r="D1701" s="30" t="s">
        <v>10</v>
      </c>
      <c r="E1701" s="12" t="s">
        <v>10</v>
      </c>
      <c r="F1701" s="18">
        <v>1</v>
      </c>
      <c r="G1701" s="38">
        <v>100</v>
      </c>
      <c r="H1701" s="38">
        <f>60*F1701*G1701</f>
        <v>6000</v>
      </c>
      <c r="I1701" s="12">
        <f>60*F1701</f>
        <v>60</v>
      </c>
      <c r="J1701" s="12" t="s">
        <v>12</v>
      </c>
      <c r="K1701" s="12" t="s">
        <v>10</v>
      </c>
      <c r="L1701" s="15">
        <v>6000</v>
      </c>
    </row>
    <row r="1702" spans="1:12" ht="21" customHeight="1" outlineLevel="1" x14ac:dyDescent="0.25">
      <c r="A1702" s="12"/>
      <c r="B1702" s="12" t="s">
        <v>783</v>
      </c>
      <c r="C1702" s="12"/>
      <c r="D1702" s="30"/>
      <c r="E1702" s="12"/>
      <c r="F1702" s="18"/>
      <c r="G1702" s="38"/>
      <c r="H1702" s="38">
        <f ca="1">SUBTOTAL(9,H1694:H1701)</f>
        <v>33706.199999999997</v>
      </c>
      <c r="I1702" s="12"/>
      <c r="J1702" s="12"/>
      <c r="K1702" s="12"/>
      <c r="L1702" s="15">
        <v>33706.199999999997</v>
      </c>
    </row>
    <row r="1703" spans="1:12" ht="39.75" customHeight="1" outlineLevel="2" x14ac:dyDescent="0.25">
      <c r="A1703" s="10">
        <f>ROW(A1701)</f>
        <v>1701</v>
      </c>
      <c r="B1703" s="6" t="str">
        <f>E1703</f>
        <v>ЩО-2.1 (БЛОК 8, 9)</v>
      </c>
      <c r="C1703" s="6"/>
      <c r="D1703" s="28"/>
      <c r="E1703" s="6" t="s">
        <v>415</v>
      </c>
      <c r="F1703" s="36"/>
      <c r="G1703" s="36" t="s">
        <v>73</v>
      </c>
      <c r="H1703" s="7"/>
      <c r="I1703" s="10">
        <v>1</v>
      </c>
      <c r="J1703" s="11" t="s">
        <v>6</v>
      </c>
      <c r="K1703" s="6" t="s">
        <v>8</v>
      </c>
      <c r="L1703" s="9"/>
    </row>
    <row r="1704" spans="1:12" ht="21" customHeight="1" outlineLevel="2" x14ac:dyDescent="0.25">
      <c r="A1704" s="16">
        <f t="shared" si="309"/>
        <v>1703</v>
      </c>
      <c r="B1704" s="12" t="str">
        <f t="shared" ref="B1704:B1709" si="330">B1703</f>
        <v>ЩО-2.1 (БЛОК 8, 9)</v>
      </c>
      <c r="C1704" s="13" t="s">
        <v>7</v>
      </c>
      <c r="D1704" s="29" t="s">
        <v>463</v>
      </c>
      <c r="E1704" s="12" t="s">
        <v>592</v>
      </c>
      <c r="F1704" s="37">
        <v>14800</v>
      </c>
      <c r="G1704" s="38">
        <f t="shared" ref="G1704:G1707" si="331">F1704*0.6</f>
        <v>8880</v>
      </c>
      <c r="H1704" s="38">
        <f>I1704*G1704</f>
        <v>8880</v>
      </c>
      <c r="I1704" s="16">
        <v>1</v>
      </c>
      <c r="J1704" s="17" t="s">
        <v>12</v>
      </c>
      <c r="K1704" s="13" t="s">
        <v>581</v>
      </c>
      <c r="L1704" s="15">
        <v>8880</v>
      </c>
    </row>
    <row r="1705" spans="1:12" ht="21" customHeight="1" outlineLevel="2" x14ac:dyDescent="0.25">
      <c r="A1705" s="16">
        <f t="shared" si="309"/>
        <v>1704</v>
      </c>
      <c r="B1705" s="12" t="str">
        <f t="shared" si="330"/>
        <v>ЩО-2.1 (БЛОК 8, 9)</v>
      </c>
      <c r="C1705" s="13" t="s">
        <v>11</v>
      </c>
      <c r="D1705" s="29" t="s">
        <v>273</v>
      </c>
      <c r="E1705" s="12" t="s">
        <v>274</v>
      </c>
      <c r="F1705" s="37">
        <v>2499</v>
      </c>
      <c r="G1705" s="38">
        <f t="shared" si="331"/>
        <v>1499.3999999999999</v>
      </c>
      <c r="H1705" s="38">
        <f t="shared" ref="H1705:H1708" si="332">G1705*I1705</f>
        <v>1499.3999999999999</v>
      </c>
      <c r="I1705" s="16">
        <v>1</v>
      </c>
      <c r="J1705" s="17" t="s">
        <v>12</v>
      </c>
      <c r="K1705" s="13" t="s">
        <v>16</v>
      </c>
      <c r="L1705" s="15">
        <v>1499.3999999999999</v>
      </c>
    </row>
    <row r="1706" spans="1:12" ht="21" customHeight="1" outlineLevel="2" x14ac:dyDescent="0.25">
      <c r="A1706" s="16">
        <f t="shared" si="309"/>
        <v>1705</v>
      </c>
      <c r="B1706" s="12" t="str">
        <f t="shared" si="330"/>
        <v>ЩО-2.1 (БЛОК 8, 9)</v>
      </c>
      <c r="C1706" s="13" t="s">
        <v>11</v>
      </c>
      <c r="D1706" s="29" t="s">
        <v>51</v>
      </c>
      <c r="E1706" s="12" t="s">
        <v>52</v>
      </c>
      <c r="F1706" s="37">
        <v>2337</v>
      </c>
      <c r="G1706" s="38">
        <f t="shared" si="331"/>
        <v>1402.2</v>
      </c>
      <c r="H1706" s="38">
        <f t="shared" si="332"/>
        <v>2804.4</v>
      </c>
      <c r="I1706" s="16">
        <v>2</v>
      </c>
      <c r="J1706" s="17" t="s">
        <v>12</v>
      </c>
      <c r="K1706" s="13" t="s">
        <v>16</v>
      </c>
      <c r="L1706" s="15">
        <v>2804.4</v>
      </c>
    </row>
    <row r="1707" spans="1:12" ht="21" customHeight="1" outlineLevel="2" x14ac:dyDescent="0.25">
      <c r="A1707" s="16">
        <f t="shared" si="309"/>
        <v>1706</v>
      </c>
      <c r="B1707" s="12" t="str">
        <f t="shared" si="330"/>
        <v>ЩО-2.1 (БЛОК 8, 9)</v>
      </c>
      <c r="C1707" s="13" t="s">
        <v>11</v>
      </c>
      <c r="D1707" s="29" t="s">
        <v>292</v>
      </c>
      <c r="E1707" s="12" t="s">
        <v>293</v>
      </c>
      <c r="F1707" s="37">
        <v>783</v>
      </c>
      <c r="G1707" s="38">
        <f t="shared" si="331"/>
        <v>469.79999999999995</v>
      </c>
      <c r="H1707" s="38">
        <f t="shared" si="332"/>
        <v>7516.7999999999993</v>
      </c>
      <c r="I1707" s="16">
        <v>16</v>
      </c>
      <c r="J1707" s="17" t="s">
        <v>12</v>
      </c>
      <c r="K1707" s="13" t="s">
        <v>16</v>
      </c>
      <c r="L1707" s="15">
        <v>7516.7999999999993</v>
      </c>
    </row>
    <row r="1708" spans="1:12" ht="24" customHeight="1" outlineLevel="2" x14ac:dyDescent="0.25">
      <c r="A1708" s="12">
        <f t="shared" si="309"/>
        <v>1707</v>
      </c>
      <c r="B1708" s="12" t="str">
        <f t="shared" si="330"/>
        <v>ЩО-2.1 (БЛОК 8, 9)</v>
      </c>
      <c r="C1708" s="12" t="s">
        <v>9</v>
      </c>
      <c r="D1708" s="30" t="s">
        <v>9</v>
      </c>
      <c r="E1708" s="12" t="s">
        <v>9</v>
      </c>
      <c r="F1708" s="18">
        <f ca="1">OFFSET(F1708,1,2)</f>
        <v>6000</v>
      </c>
      <c r="G1708" s="38">
        <f ca="1">F1708</f>
        <v>6000</v>
      </c>
      <c r="H1708" s="38">
        <f t="shared" ca="1" si="332"/>
        <v>6000</v>
      </c>
      <c r="I1708" s="12">
        <v>1</v>
      </c>
      <c r="J1708" s="12" t="s">
        <v>12</v>
      </c>
      <c r="K1708" s="12" t="s">
        <v>9</v>
      </c>
      <c r="L1708" s="15">
        <v>6000</v>
      </c>
    </row>
    <row r="1709" spans="1:12" ht="21" customHeight="1" outlineLevel="2" x14ac:dyDescent="0.25">
      <c r="A1709" s="12">
        <f t="shared" si="309"/>
        <v>1708</v>
      </c>
      <c r="B1709" s="12" t="str">
        <f t="shared" si="330"/>
        <v>ЩО-2.1 (БЛОК 8, 9)</v>
      </c>
      <c r="C1709" s="12" t="s">
        <v>10</v>
      </c>
      <c r="D1709" s="30" t="s">
        <v>10</v>
      </c>
      <c r="E1709" s="12" t="s">
        <v>10</v>
      </c>
      <c r="F1709" s="18">
        <v>1</v>
      </c>
      <c r="G1709" s="38">
        <v>100</v>
      </c>
      <c r="H1709" s="38">
        <f>60*F1709*G1709</f>
        <v>6000</v>
      </c>
      <c r="I1709" s="12">
        <f>60*F1709</f>
        <v>60</v>
      </c>
      <c r="J1709" s="12" t="s">
        <v>12</v>
      </c>
      <c r="K1709" s="12" t="s">
        <v>10</v>
      </c>
      <c r="L1709" s="15">
        <v>6000</v>
      </c>
    </row>
    <row r="1710" spans="1:12" ht="21" customHeight="1" outlineLevel="1" x14ac:dyDescent="0.25">
      <c r="A1710" s="12"/>
      <c r="B1710" s="12" t="s">
        <v>784</v>
      </c>
      <c r="C1710" s="12"/>
      <c r="D1710" s="30"/>
      <c r="E1710" s="12"/>
      <c r="F1710" s="18"/>
      <c r="G1710" s="38"/>
      <c r="H1710" s="38">
        <f ca="1">SUBTOTAL(9,H1703:H1709)</f>
        <v>32700.6</v>
      </c>
      <c r="I1710" s="12"/>
      <c r="J1710" s="12"/>
      <c r="K1710" s="12"/>
      <c r="L1710" s="15">
        <v>32700.6</v>
      </c>
    </row>
    <row r="1711" spans="1:12" ht="39.75" customHeight="1" outlineLevel="2" x14ac:dyDescent="0.25">
      <c r="A1711" s="10">
        <f>ROW(A1709)</f>
        <v>1709</v>
      </c>
      <c r="B1711" s="6" t="str">
        <f>E1711</f>
        <v>ЩО-2.2 (БЛОК 8, 9)</v>
      </c>
      <c r="C1711" s="6"/>
      <c r="D1711" s="28"/>
      <c r="E1711" s="6" t="s">
        <v>416</v>
      </c>
      <c r="F1711" s="36"/>
      <c r="G1711" s="36" t="s">
        <v>73</v>
      </c>
      <c r="H1711" s="7"/>
      <c r="I1711" s="10">
        <v>1</v>
      </c>
      <c r="J1711" s="11" t="s">
        <v>6</v>
      </c>
      <c r="K1711" s="6" t="s">
        <v>8</v>
      </c>
      <c r="L1711" s="9"/>
    </row>
    <row r="1712" spans="1:12" ht="21" customHeight="1" outlineLevel="2" x14ac:dyDescent="0.25">
      <c r="A1712" s="16">
        <f t="shared" si="309"/>
        <v>1711</v>
      </c>
      <c r="B1712" s="12" t="str">
        <f t="shared" ref="B1712:B1717" si="333">B1711</f>
        <v>ЩО-2.2 (БЛОК 8, 9)</v>
      </c>
      <c r="C1712" s="13" t="s">
        <v>7</v>
      </c>
      <c r="D1712" s="29" t="s">
        <v>590</v>
      </c>
      <c r="E1712" s="12" t="s">
        <v>591</v>
      </c>
      <c r="F1712" s="37">
        <v>11400</v>
      </c>
      <c r="G1712" s="38">
        <f t="shared" ref="G1712:G1715" si="334">F1712*0.6</f>
        <v>6840</v>
      </c>
      <c r="H1712" s="38">
        <f>I1712*G1712</f>
        <v>6840</v>
      </c>
      <c r="I1712" s="16">
        <v>1</v>
      </c>
      <c r="J1712" s="17" t="s">
        <v>12</v>
      </c>
      <c r="K1712" s="13" t="s">
        <v>581</v>
      </c>
      <c r="L1712" s="15">
        <v>6840</v>
      </c>
    </row>
    <row r="1713" spans="1:12" ht="21" customHeight="1" outlineLevel="2" x14ac:dyDescent="0.25">
      <c r="A1713" s="16">
        <f t="shared" si="309"/>
        <v>1712</v>
      </c>
      <c r="B1713" s="12" t="str">
        <f t="shared" si="333"/>
        <v>ЩО-2.2 (БЛОК 8, 9)</v>
      </c>
      <c r="C1713" s="13" t="s">
        <v>11</v>
      </c>
      <c r="D1713" s="29" t="s">
        <v>273</v>
      </c>
      <c r="E1713" s="12" t="s">
        <v>274</v>
      </c>
      <c r="F1713" s="37">
        <v>2499</v>
      </c>
      <c r="G1713" s="38">
        <f t="shared" si="334"/>
        <v>1499.3999999999999</v>
      </c>
      <c r="H1713" s="38">
        <f t="shared" ref="H1713:H1716" si="335">G1713*I1713</f>
        <v>1499.3999999999999</v>
      </c>
      <c r="I1713" s="16">
        <v>1</v>
      </c>
      <c r="J1713" s="17" t="s">
        <v>12</v>
      </c>
      <c r="K1713" s="13" t="s">
        <v>16</v>
      </c>
      <c r="L1713" s="15">
        <v>1499.3999999999999</v>
      </c>
    </row>
    <row r="1714" spans="1:12" ht="21" customHeight="1" outlineLevel="2" x14ac:dyDescent="0.25">
      <c r="A1714" s="16">
        <f t="shared" si="309"/>
        <v>1713</v>
      </c>
      <c r="B1714" s="12" t="str">
        <f t="shared" si="333"/>
        <v>ЩО-2.2 (БЛОК 8, 9)</v>
      </c>
      <c r="C1714" s="13" t="s">
        <v>11</v>
      </c>
      <c r="D1714" s="29" t="s">
        <v>51</v>
      </c>
      <c r="E1714" s="12" t="s">
        <v>52</v>
      </c>
      <c r="F1714" s="37">
        <v>2337</v>
      </c>
      <c r="G1714" s="38">
        <f t="shared" si="334"/>
        <v>1402.2</v>
      </c>
      <c r="H1714" s="38">
        <f t="shared" si="335"/>
        <v>2804.4</v>
      </c>
      <c r="I1714" s="16">
        <v>2</v>
      </c>
      <c r="J1714" s="17" t="s">
        <v>12</v>
      </c>
      <c r="K1714" s="13" t="s">
        <v>16</v>
      </c>
      <c r="L1714" s="15">
        <v>2804.4</v>
      </c>
    </row>
    <row r="1715" spans="1:12" ht="21" customHeight="1" outlineLevel="2" x14ac:dyDescent="0.25">
      <c r="A1715" s="16">
        <f t="shared" si="309"/>
        <v>1714</v>
      </c>
      <c r="B1715" s="12" t="str">
        <f t="shared" si="333"/>
        <v>ЩО-2.2 (БЛОК 8, 9)</v>
      </c>
      <c r="C1715" s="13" t="s">
        <v>11</v>
      </c>
      <c r="D1715" s="29" t="s">
        <v>292</v>
      </c>
      <c r="E1715" s="12" t="s">
        <v>293</v>
      </c>
      <c r="F1715" s="37">
        <v>783</v>
      </c>
      <c r="G1715" s="38">
        <f t="shared" si="334"/>
        <v>469.79999999999995</v>
      </c>
      <c r="H1715" s="38">
        <f t="shared" si="335"/>
        <v>7046.9999999999991</v>
      </c>
      <c r="I1715" s="16">
        <v>15</v>
      </c>
      <c r="J1715" s="17" t="s">
        <v>12</v>
      </c>
      <c r="K1715" s="13" t="s">
        <v>16</v>
      </c>
      <c r="L1715" s="15">
        <v>7046.9999999999991</v>
      </c>
    </row>
    <row r="1716" spans="1:12" ht="24" customHeight="1" outlineLevel="2" x14ac:dyDescent="0.25">
      <c r="A1716" s="12">
        <f t="shared" si="309"/>
        <v>1715</v>
      </c>
      <c r="B1716" s="12" t="str">
        <f t="shared" si="333"/>
        <v>ЩО-2.2 (БЛОК 8, 9)</v>
      </c>
      <c r="C1716" s="12" t="s">
        <v>9</v>
      </c>
      <c r="D1716" s="30" t="s">
        <v>9</v>
      </c>
      <c r="E1716" s="12" t="s">
        <v>9</v>
      </c>
      <c r="F1716" s="18">
        <f ca="1">OFFSET(F1716,1,2)</f>
        <v>6000</v>
      </c>
      <c r="G1716" s="38">
        <f ca="1">F1716</f>
        <v>6000</v>
      </c>
      <c r="H1716" s="38">
        <f t="shared" ca="1" si="335"/>
        <v>6000</v>
      </c>
      <c r="I1716" s="12">
        <v>1</v>
      </c>
      <c r="J1716" s="12" t="s">
        <v>12</v>
      </c>
      <c r="K1716" s="12" t="s">
        <v>9</v>
      </c>
      <c r="L1716" s="15">
        <v>6000</v>
      </c>
    </row>
    <row r="1717" spans="1:12" ht="21" customHeight="1" outlineLevel="2" x14ac:dyDescent="0.25">
      <c r="A1717" s="12">
        <f t="shared" si="309"/>
        <v>1716</v>
      </c>
      <c r="B1717" s="12" t="str">
        <f t="shared" si="333"/>
        <v>ЩО-2.2 (БЛОК 8, 9)</v>
      </c>
      <c r="C1717" s="12" t="s">
        <v>10</v>
      </c>
      <c r="D1717" s="30" t="s">
        <v>10</v>
      </c>
      <c r="E1717" s="12" t="s">
        <v>10</v>
      </c>
      <c r="F1717" s="18">
        <v>1</v>
      </c>
      <c r="G1717" s="38">
        <v>100</v>
      </c>
      <c r="H1717" s="38">
        <f>60*F1717*G1717</f>
        <v>6000</v>
      </c>
      <c r="I1717" s="12">
        <f>60*F1717</f>
        <v>60</v>
      </c>
      <c r="J1717" s="12" t="s">
        <v>12</v>
      </c>
      <c r="K1717" s="12" t="s">
        <v>10</v>
      </c>
      <c r="L1717" s="15">
        <v>6000</v>
      </c>
    </row>
    <row r="1718" spans="1:12" ht="21" customHeight="1" outlineLevel="1" x14ac:dyDescent="0.25">
      <c r="A1718" s="12"/>
      <c r="B1718" s="12" t="s">
        <v>785</v>
      </c>
      <c r="C1718" s="12"/>
      <c r="D1718" s="30"/>
      <c r="E1718" s="12"/>
      <c r="F1718" s="18"/>
      <c r="G1718" s="38"/>
      <c r="H1718" s="38">
        <f ca="1">SUBTOTAL(9,H1711:H1717)</f>
        <v>30190.799999999999</v>
      </c>
      <c r="I1718" s="12"/>
      <c r="J1718" s="12"/>
      <c r="K1718" s="12"/>
      <c r="L1718" s="15">
        <v>30190.799999999999</v>
      </c>
    </row>
    <row r="1719" spans="1:12" ht="39.75" customHeight="1" outlineLevel="2" x14ac:dyDescent="0.25">
      <c r="A1719" s="10">
        <f>ROW(A1717)</f>
        <v>1717</v>
      </c>
      <c r="B1719" s="6" t="str">
        <f>E1719</f>
        <v>ЩО-3.1 (БЛОК 8, 9)</v>
      </c>
      <c r="C1719" s="6"/>
      <c r="D1719" s="28"/>
      <c r="E1719" s="6" t="s">
        <v>417</v>
      </c>
      <c r="F1719" s="36"/>
      <c r="G1719" s="36" t="s">
        <v>73</v>
      </c>
      <c r="H1719" s="7"/>
      <c r="I1719" s="10">
        <v>1</v>
      </c>
      <c r="J1719" s="11" t="s">
        <v>6</v>
      </c>
      <c r="K1719" s="6" t="s">
        <v>8</v>
      </c>
      <c r="L1719" s="9"/>
    </row>
    <row r="1720" spans="1:12" ht="21" customHeight="1" outlineLevel="2" x14ac:dyDescent="0.25">
      <c r="A1720" s="16">
        <f t="shared" si="309"/>
        <v>1719</v>
      </c>
      <c r="B1720" s="12" t="str">
        <f t="shared" ref="B1720:B1725" si="336">B1719</f>
        <v>ЩО-3.1 (БЛОК 8, 9)</v>
      </c>
      <c r="C1720" s="13" t="s">
        <v>7</v>
      </c>
      <c r="D1720" s="29" t="s">
        <v>590</v>
      </c>
      <c r="E1720" s="12" t="s">
        <v>591</v>
      </c>
      <c r="F1720" s="37">
        <v>11400</v>
      </c>
      <c r="G1720" s="38">
        <f t="shared" ref="G1720:G1723" si="337">F1720*0.6</f>
        <v>6840</v>
      </c>
      <c r="H1720" s="38">
        <f>I1720*G1720</f>
        <v>6840</v>
      </c>
      <c r="I1720" s="16">
        <v>1</v>
      </c>
      <c r="J1720" s="17" t="s">
        <v>12</v>
      </c>
      <c r="K1720" s="13" t="s">
        <v>581</v>
      </c>
      <c r="L1720" s="15">
        <v>6840</v>
      </c>
    </row>
    <row r="1721" spans="1:12" ht="21" customHeight="1" outlineLevel="2" x14ac:dyDescent="0.25">
      <c r="A1721" s="16">
        <f t="shared" si="309"/>
        <v>1720</v>
      </c>
      <c r="B1721" s="12" t="str">
        <f t="shared" si="336"/>
        <v>ЩО-3.1 (БЛОК 8, 9)</v>
      </c>
      <c r="C1721" s="13" t="s">
        <v>11</v>
      </c>
      <c r="D1721" s="29" t="s">
        <v>273</v>
      </c>
      <c r="E1721" s="12" t="s">
        <v>274</v>
      </c>
      <c r="F1721" s="37">
        <v>2499</v>
      </c>
      <c r="G1721" s="38">
        <f t="shared" si="337"/>
        <v>1499.3999999999999</v>
      </c>
      <c r="H1721" s="38">
        <f t="shared" ref="H1721:H1724" si="338">G1721*I1721</f>
        <v>1499.3999999999999</v>
      </c>
      <c r="I1721" s="16">
        <v>1</v>
      </c>
      <c r="J1721" s="17" t="s">
        <v>12</v>
      </c>
      <c r="K1721" s="13" t="s">
        <v>16</v>
      </c>
      <c r="L1721" s="15">
        <v>1499.3999999999999</v>
      </c>
    </row>
    <row r="1722" spans="1:12" ht="21" customHeight="1" outlineLevel="2" x14ac:dyDescent="0.25">
      <c r="A1722" s="16">
        <f t="shared" si="309"/>
        <v>1721</v>
      </c>
      <c r="B1722" s="12" t="str">
        <f t="shared" si="336"/>
        <v>ЩО-3.1 (БЛОК 8, 9)</v>
      </c>
      <c r="C1722" s="13" t="s">
        <v>11</v>
      </c>
      <c r="D1722" s="29" t="s">
        <v>51</v>
      </c>
      <c r="E1722" s="12" t="s">
        <v>52</v>
      </c>
      <c r="F1722" s="37">
        <v>2337</v>
      </c>
      <c r="G1722" s="38">
        <f t="shared" si="337"/>
        <v>1402.2</v>
      </c>
      <c r="H1722" s="38">
        <f t="shared" si="338"/>
        <v>2804.4</v>
      </c>
      <c r="I1722" s="16">
        <v>2</v>
      </c>
      <c r="J1722" s="17" t="s">
        <v>12</v>
      </c>
      <c r="K1722" s="13" t="s">
        <v>16</v>
      </c>
      <c r="L1722" s="15">
        <v>2804.4</v>
      </c>
    </row>
    <row r="1723" spans="1:12" ht="21" customHeight="1" outlineLevel="2" x14ac:dyDescent="0.25">
      <c r="A1723" s="16">
        <f t="shared" si="309"/>
        <v>1722</v>
      </c>
      <c r="B1723" s="12" t="str">
        <f t="shared" si="336"/>
        <v>ЩО-3.1 (БЛОК 8, 9)</v>
      </c>
      <c r="C1723" s="13" t="s">
        <v>11</v>
      </c>
      <c r="D1723" s="29" t="s">
        <v>292</v>
      </c>
      <c r="E1723" s="12" t="s">
        <v>293</v>
      </c>
      <c r="F1723" s="37">
        <v>783</v>
      </c>
      <c r="G1723" s="38">
        <f t="shared" si="337"/>
        <v>469.79999999999995</v>
      </c>
      <c r="H1723" s="38">
        <f t="shared" si="338"/>
        <v>6107.4</v>
      </c>
      <c r="I1723" s="16">
        <v>13</v>
      </c>
      <c r="J1723" s="17" t="s">
        <v>12</v>
      </c>
      <c r="K1723" s="13" t="s">
        <v>16</v>
      </c>
      <c r="L1723" s="15">
        <v>6107.4</v>
      </c>
    </row>
    <row r="1724" spans="1:12" ht="24" customHeight="1" outlineLevel="2" x14ac:dyDescent="0.25">
      <c r="A1724" s="12">
        <f t="shared" si="309"/>
        <v>1723</v>
      </c>
      <c r="B1724" s="12" t="str">
        <f t="shared" si="336"/>
        <v>ЩО-3.1 (БЛОК 8, 9)</v>
      </c>
      <c r="C1724" s="12" t="s">
        <v>9</v>
      </c>
      <c r="D1724" s="30" t="s">
        <v>9</v>
      </c>
      <c r="E1724" s="12" t="s">
        <v>9</v>
      </c>
      <c r="F1724" s="18">
        <f ca="1">OFFSET(F1724,1,2)</f>
        <v>6000</v>
      </c>
      <c r="G1724" s="38">
        <f ca="1">F1724</f>
        <v>6000</v>
      </c>
      <c r="H1724" s="38">
        <f t="shared" ca="1" si="338"/>
        <v>6000</v>
      </c>
      <c r="I1724" s="12">
        <v>1</v>
      </c>
      <c r="J1724" s="12" t="s">
        <v>12</v>
      </c>
      <c r="K1724" s="12" t="s">
        <v>9</v>
      </c>
      <c r="L1724" s="15">
        <v>6000</v>
      </c>
    </row>
    <row r="1725" spans="1:12" ht="21" customHeight="1" outlineLevel="2" x14ac:dyDescent="0.25">
      <c r="A1725" s="12">
        <f t="shared" ref="A1725:A1796" si="339">ROW(A1724)</f>
        <v>1724</v>
      </c>
      <c r="B1725" s="12" t="str">
        <f t="shared" si="336"/>
        <v>ЩО-3.1 (БЛОК 8, 9)</v>
      </c>
      <c r="C1725" s="12" t="s">
        <v>10</v>
      </c>
      <c r="D1725" s="30" t="s">
        <v>10</v>
      </c>
      <c r="E1725" s="12" t="s">
        <v>10</v>
      </c>
      <c r="F1725" s="18">
        <v>1</v>
      </c>
      <c r="G1725" s="38">
        <v>100</v>
      </c>
      <c r="H1725" s="38">
        <f>60*F1725*G1725</f>
        <v>6000</v>
      </c>
      <c r="I1725" s="12">
        <f>60*F1725</f>
        <v>60</v>
      </c>
      <c r="J1725" s="12" t="s">
        <v>12</v>
      </c>
      <c r="K1725" s="12" t="s">
        <v>10</v>
      </c>
      <c r="L1725" s="15">
        <v>6000</v>
      </c>
    </row>
    <row r="1726" spans="1:12" ht="21" customHeight="1" outlineLevel="1" x14ac:dyDescent="0.25">
      <c r="A1726" s="12"/>
      <c r="B1726" s="12" t="s">
        <v>786</v>
      </c>
      <c r="C1726" s="12"/>
      <c r="D1726" s="30"/>
      <c r="E1726" s="12"/>
      <c r="F1726" s="18"/>
      <c r="G1726" s="38"/>
      <c r="H1726" s="38">
        <f ca="1">SUBTOTAL(9,H1719:H1725)</f>
        <v>29251.199999999997</v>
      </c>
      <c r="I1726" s="12"/>
      <c r="J1726" s="12"/>
      <c r="K1726" s="12"/>
      <c r="L1726" s="15">
        <v>29251.199999999997</v>
      </c>
    </row>
    <row r="1727" spans="1:12" ht="39.75" customHeight="1" outlineLevel="2" x14ac:dyDescent="0.25">
      <c r="A1727" s="10">
        <f>ROW(A1725)</f>
        <v>1725</v>
      </c>
      <c r="B1727" s="6" t="str">
        <f>E1727</f>
        <v>ЩО-3.2 (БЛОК 8, 9)</v>
      </c>
      <c r="C1727" s="6"/>
      <c r="D1727" s="28"/>
      <c r="E1727" s="6" t="s">
        <v>418</v>
      </c>
      <c r="F1727" s="36"/>
      <c r="G1727" s="36" t="s">
        <v>73</v>
      </c>
      <c r="H1727" s="7"/>
      <c r="I1727" s="10">
        <v>1</v>
      </c>
      <c r="J1727" s="11" t="s">
        <v>6</v>
      </c>
      <c r="K1727" s="6" t="s">
        <v>8</v>
      </c>
      <c r="L1727" s="9"/>
    </row>
    <row r="1728" spans="1:12" ht="21" customHeight="1" outlineLevel="2" x14ac:dyDescent="0.25">
      <c r="A1728" s="16">
        <f t="shared" si="339"/>
        <v>1727</v>
      </c>
      <c r="B1728" s="12" t="str">
        <f t="shared" ref="B1728:B1733" si="340">B1727</f>
        <v>ЩО-3.2 (БЛОК 8, 9)</v>
      </c>
      <c r="C1728" s="13" t="s">
        <v>7</v>
      </c>
      <c r="D1728" s="29" t="s">
        <v>590</v>
      </c>
      <c r="E1728" s="12" t="s">
        <v>591</v>
      </c>
      <c r="F1728" s="37">
        <v>11400</v>
      </c>
      <c r="G1728" s="38">
        <f t="shared" ref="G1728:G1731" si="341">F1728*0.6</f>
        <v>6840</v>
      </c>
      <c r="H1728" s="38">
        <f>I1728*G1728</f>
        <v>6840</v>
      </c>
      <c r="I1728" s="16">
        <v>1</v>
      </c>
      <c r="J1728" s="17" t="s">
        <v>12</v>
      </c>
      <c r="K1728" s="13" t="s">
        <v>581</v>
      </c>
      <c r="L1728" s="15">
        <v>6840</v>
      </c>
    </row>
    <row r="1729" spans="1:12" ht="21" customHeight="1" outlineLevel="2" x14ac:dyDescent="0.25">
      <c r="A1729" s="16">
        <f t="shared" si="339"/>
        <v>1728</v>
      </c>
      <c r="B1729" s="12" t="str">
        <f t="shared" si="340"/>
        <v>ЩО-3.2 (БЛОК 8, 9)</v>
      </c>
      <c r="C1729" s="13" t="s">
        <v>11</v>
      </c>
      <c r="D1729" s="29" t="s">
        <v>273</v>
      </c>
      <c r="E1729" s="12" t="s">
        <v>274</v>
      </c>
      <c r="F1729" s="37">
        <v>2499</v>
      </c>
      <c r="G1729" s="38">
        <f t="shared" si="341"/>
        <v>1499.3999999999999</v>
      </c>
      <c r="H1729" s="38">
        <f t="shared" ref="H1729:H1732" si="342">G1729*I1729</f>
        <v>1499.3999999999999</v>
      </c>
      <c r="I1729" s="16">
        <v>1</v>
      </c>
      <c r="J1729" s="17" t="s">
        <v>12</v>
      </c>
      <c r="K1729" s="13" t="s">
        <v>16</v>
      </c>
      <c r="L1729" s="15">
        <v>1499.3999999999999</v>
      </c>
    </row>
    <row r="1730" spans="1:12" ht="21" customHeight="1" outlineLevel="2" x14ac:dyDescent="0.25">
      <c r="A1730" s="16">
        <f t="shared" si="339"/>
        <v>1729</v>
      </c>
      <c r="B1730" s="12" t="str">
        <f t="shared" si="340"/>
        <v>ЩО-3.2 (БЛОК 8, 9)</v>
      </c>
      <c r="C1730" s="13" t="s">
        <v>11</v>
      </c>
      <c r="D1730" s="29" t="s">
        <v>51</v>
      </c>
      <c r="E1730" s="12" t="s">
        <v>52</v>
      </c>
      <c r="F1730" s="37">
        <v>2337</v>
      </c>
      <c r="G1730" s="38">
        <f t="shared" si="341"/>
        <v>1402.2</v>
      </c>
      <c r="H1730" s="38">
        <f t="shared" si="342"/>
        <v>2804.4</v>
      </c>
      <c r="I1730" s="16">
        <v>2</v>
      </c>
      <c r="J1730" s="17" t="s">
        <v>12</v>
      </c>
      <c r="K1730" s="13" t="s">
        <v>16</v>
      </c>
      <c r="L1730" s="15">
        <v>2804.4</v>
      </c>
    </row>
    <row r="1731" spans="1:12" ht="21" customHeight="1" outlineLevel="2" x14ac:dyDescent="0.25">
      <c r="A1731" s="16">
        <f t="shared" si="339"/>
        <v>1730</v>
      </c>
      <c r="B1731" s="12" t="str">
        <f t="shared" si="340"/>
        <v>ЩО-3.2 (БЛОК 8, 9)</v>
      </c>
      <c r="C1731" s="13" t="s">
        <v>11</v>
      </c>
      <c r="D1731" s="29" t="s">
        <v>292</v>
      </c>
      <c r="E1731" s="12" t="s">
        <v>293</v>
      </c>
      <c r="F1731" s="37">
        <v>783</v>
      </c>
      <c r="G1731" s="38">
        <f t="shared" si="341"/>
        <v>469.79999999999995</v>
      </c>
      <c r="H1731" s="38">
        <f t="shared" si="342"/>
        <v>7046.9999999999991</v>
      </c>
      <c r="I1731" s="16">
        <v>15</v>
      </c>
      <c r="J1731" s="17" t="s">
        <v>12</v>
      </c>
      <c r="K1731" s="13" t="s">
        <v>16</v>
      </c>
      <c r="L1731" s="15">
        <v>7046.9999999999991</v>
      </c>
    </row>
    <row r="1732" spans="1:12" ht="24" customHeight="1" outlineLevel="2" x14ac:dyDescent="0.25">
      <c r="A1732" s="12">
        <f t="shared" si="339"/>
        <v>1731</v>
      </c>
      <c r="B1732" s="12" t="str">
        <f t="shared" si="340"/>
        <v>ЩО-3.2 (БЛОК 8, 9)</v>
      </c>
      <c r="C1732" s="12" t="s">
        <v>9</v>
      </c>
      <c r="D1732" s="30" t="s">
        <v>9</v>
      </c>
      <c r="E1732" s="12" t="s">
        <v>9</v>
      </c>
      <c r="F1732" s="18">
        <f ca="1">OFFSET(F1732,1,2)</f>
        <v>6000</v>
      </c>
      <c r="G1732" s="38">
        <f ca="1">F1732</f>
        <v>6000</v>
      </c>
      <c r="H1732" s="38">
        <f t="shared" ca="1" si="342"/>
        <v>6000</v>
      </c>
      <c r="I1732" s="12">
        <v>1</v>
      </c>
      <c r="J1732" s="12" t="s">
        <v>12</v>
      </c>
      <c r="K1732" s="12" t="s">
        <v>9</v>
      </c>
      <c r="L1732" s="15">
        <v>6000</v>
      </c>
    </row>
    <row r="1733" spans="1:12" ht="21" customHeight="1" outlineLevel="2" x14ac:dyDescent="0.25">
      <c r="A1733" s="12">
        <f t="shared" si="339"/>
        <v>1732</v>
      </c>
      <c r="B1733" s="12" t="str">
        <f t="shared" si="340"/>
        <v>ЩО-3.2 (БЛОК 8, 9)</v>
      </c>
      <c r="C1733" s="12" t="s">
        <v>10</v>
      </c>
      <c r="D1733" s="30" t="s">
        <v>10</v>
      </c>
      <c r="E1733" s="12" t="s">
        <v>10</v>
      </c>
      <c r="F1733" s="18">
        <v>1</v>
      </c>
      <c r="G1733" s="38">
        <v>100</v>
      </c>
      <c r="H1733" s="38">
        <f>60*F1733*G1733</f>
        <v>6000</v>
      </c>
      <c r="I1733" s="12">
        <f>60*F1733</f>
        <v>60</v>
      </c>
      <c r="J1733" s="12" t="s">
        <v>12</v>
      </c>
      <c r="K1733" s="12" t="s">
        <v>10</v>
      </c>
      <c r="L1733" s="15">
        <v>6000</v>
      </c>
    </row>
    <row r="1734" spans="1:12" ht="21" customHeight="1" outlineLevel="1" x14ac:dyDescent="0.25">
      <c r="A1734" s="12"/>
      <c r="B1734" s="12" t="s">
        <v>787</v>
      </c>
      <c r="C1734" s="12"/>
      <c r="D1734" s="30"/>
      <c r="E1734" s="12"/>
      <c r="F1734" s="18"/>
      <c r="G1734" s="38"/>
      <c r="H1734" s="38">
        <f ca="1">SUBTOTAL(9,H1727:H1733)</f>
        <v>30190.799999999999</v>
      </c>
      <c r="I1734" s="12"/>
      <c r="J1734" s="12"/>
      <c r="K1734" s="12"/>
      <c r="L1734" s="15">
        <v>30190.799999999999</v>
      </c>
    </row>
    <row r="1735" spans="1:12" ht="39.75" customHeight="1" outlineLevel="2" x14ac:dyDescent="0.25">
      <c r="A1735" s="10">
        <f>ROW(A1733)</f>
        <v>1733</v>
      </c>
      <c r="B1735" s="6" t="str">
        <f>E1735</f>
        <v>ЩО-4.1 (БЛОК 8, 9)</v>
      </c>
      <c r="C1735" s="6"/>
      <c r="D1735" s="28"/>
      <c r="E1735" s="6" t="s">
        <v>419</v>
      </c>
      <c r="F1735" s="36"/>
      <c r="G1735" s="36" t="s">
        <v>73</v>
      </c>
      <c r="H1735" s="7"/>
      <c r="I1735" s="10">
        <v>1</v>
      </c>
      <c r="J1735" s="11" t="s">
        <v>6</v>
      </c>
      <c r="K1735" s="6" t="s">
        <v>8</v>
      </c>
      <c r="L1735" s="9"/>
    </row>
    <row r="1736" spans="1:12" ht="21" customHeight="1" outlineLevel="2" x14ac:dyDescent="0.25">
      <c r="A1736" s="16">
        <f t="shared" si="339"/>
        <v>1735</v>
      </c>
      <c r="B1736" s="12" t="str">
        <f t="shared" ref="B1736:B1741" si="343">B1735</f>
        <v>ЩО-4.1 (БЛОК 8, 9)</v>
      </c>
      <c r="C1736" s="13" t="s">
        <v>7</v>
      </c>
      <c r="D1736" s="29" t="s">
        <v>590</v>
      </c>
      <c r="E1736" s="12" t="s">
        <v>591</v>
      </c>
      <c r="F1736" s="37">
        <v>11400</v>
      </c>
      <c r="G1736" s="38">
        <f t="shared" ref="G1736:G1739" si="344">F1736*0.6</f>
        <v>6840</v>
      </c>
      <c r="H1736" s="38">
        <f>I1736*G1736</f>
        <v>6840</v>
      </c>
      <c r="I1736" s="16">
        <v>1</v>
      </c>
      <c r="J1736" s="17" t="s">
        <v>12</v>
      </c>
      <c r="K1736" s="13" t="s">
        <v>581</v>
      </c>
      <c r="L1736" s="15">
        <v>6840</v>
      </c>
    </row>
    <row r="1737" spans="1:12" ht="21" customHeight="1" outlineLevel="2" x14ac:dyDescent="0.25">
      <c r="A1737" s="16">
        <f t="shared" si="339"/>
        <v>1736</v>
      </c>
      <c r="B1737" s="12" t="str">
        <f t="shared" si="343"/>
        <v>ЩО-4.1 (БЛОК 8, 9)</v>
      </c>
      <c r="C1737" s="13" t="s">
        <v>11</v>
      </c>
      <c r="D1737" s="29" t="s">
        <v>273</v>
      </c>
      <c r="E1737" s="12" t="s">
        <v>274</v>
      </c>
      <c r="F1737" s="37">
        <v>2499</v>
      </c>
      <c r="G1737" s="38">
        <f t="shared" si="344"/>
        <v>1499.3999999999999</v>
      </c>
      <c r="H1737" s="38">
        <f t="shared" ref="H1737:H1740" si="345">G1737*I1737</f>
        <v>1499.3999999999999</v>
      </c>
      <c r="I1737" s="16">
        <v>1</v>
      </c>
      <c r="J1737" s="17" t="s">
        <v>12</v>
      </c>
      <c r="K1737" s="13" t="s">
        <v>16</v>
      </c>
      <c r="L1737" s="15">
        <v>1499.3999999999999</v>
      </c>
    </row>
    <row r="1738" spans="1:12" ht="21" customHeight="1" outlineLevel="2" x14ac:dyDescent="0.25">
      <c r="A1738" s="16">
        <f t="shared" si="339"/>
        <v>1737</v>
      </c>
      <c r="B1738" s="12" t="str">
        <f t="shared" si="343"/>
        <v>ЩО-4.1 (БЛОК 8, 9)</v>
      </c>
      <c r="C1738" s="13" t="s">
        <v>11</v>
      </c>
      <c r="D1738" s="29" t="s">
        <v>51</v>
      </c>
      <c r="E1738" s="12" t="s">
        <v>52</v>
      </c>
      <c r="F1738" s="37">
        <v>2337</v>
      </c>
      <c r="G1738" s="38">
        <f t="shared" si="344"/>
        <v>1402.2</v>
      </c>
      <c r="H1738" s="38">
        <f t="shared" si="345"/>
        <v>2804.4</v>
      </c>
      <c r="I1738" s="16">
        <v>2</v>
      </c>
      <c r="J1738" s="17" t="s">
        <v>12</v>
      </c>
      <c r="K1738" s="13" t="s">
        <v>16</v>
      </c>
      <c r="L1738" s="15">
        <v>2804.4</v>
      </c>
    </row>
    <row r="1739" spans="1:12" ht="21" customHeight="1" outlineLevel="2" x14ac:dyDescent="0.25">
      <c r="A1739" s="16">
        <f t="shared" si="339"/>
        <v>1738</v>
      </c>
      <c r="B1739" s="12" t="str">
        <f t="shared" si="343"/>
        <v>ЩО-4.1 (БЛОК 8, 9)</v>
      </c>
      <c r="C1739" s="13" t="s">
        <v>11</v>
      </c>
      <c r="D1739" s="29" t="s">
        <v>292</v>
      </c>
      <c r="E1739" s="12" t="s">
        <v>293</v>
      </c>
      <c r="F1739" s="37">
        <v>783</v>
      </c>
      <c r="G1739" s="38">
        <f t="shared" si="344"/>
        <v>469.79999999999995</v>
      </c>
      <c r="H1739" s="38">
        <f t="shared" si="345"/>
        <v>6107.4</v>
      </c>
      <c r="I1739" s="16">
        <v>13</v>
      </c>
      <c r="J1739" s="17" t="s">
        <v>12</v>
      </c>
      <c r="K1739" s="13" t="s">
        <v>16</v>
      </c>
      <c r="L1739" s="15">
        <v>6107.4</v>
      </c>
    </row>
    <row r="1740" spans="1:12" ht="24" customHeight="1" outlineLevel="2" x14ac:dyDescent="0.25">
      <c r="A1740" s="12">
        <f t="shared" si="339"/>
        <v>1739</v>
      </c>
      <c r="B1740" s="12" t="str">
        <f t="shared" si="343"/>
        <v>ЩО-4.1 (БЛОК 8, 9)</v>
      </c>
      <c r="C1740" s="12" t="s">
        <v>9</v>
      </c>
      <c r="D1740" s="30" t="s">
        <v>9</v>
      </c>
      <c r="E1740" s="12" t="s">
        <v>9</v>
      </c>
      <c r="F1740" s="18">
        <f ca="1">OFFSET(F1740,1,2)</f>
        <v>6000</v>
      </c>
      <c r="G1740" s="38">
        <f ca="1">F1740</f>
        <v>6000</v>
      </c>
      <c r="H1740" s="38">
        <f t="shared" ca="1" si="345"/>
        <v>6000</v>
      </c>
      <c r="I1740" s="12">
        <v>1</v>
      </c>
      <c r="J1740" s="12" t="s">
        <v>12</v>
      </c>
      <c r="K1740" s="12" t="s">
        <v>9</v>
      </c>
      <c r="L1740" s="15">
        <v>6000</v>
      </c>
    </row>
    <row r="1741" spans="1:12" ht="21" customHeight="1" outlineLevel="2" x14ac:dyDescent="0.25">
      <c r="A1741" s="12">
        <f t="shared" si="339"/>
        <v>1740</v>
      </c>
      <c r="B1741" s="12" t="str">
        <f t="shared" si="343"/>
        <v>ЩО-4.1 (БЛОК 8, 9)</v>
      </c>
      <c r="C1741" s="12" t="s">
        <v>10</v>
      </c>
      <c r="D1741" s="30" t="s">
        <v>10</v>
      </c>
      <c r="E1741" s="12" t="s">
        <v>10</v>
      </c>
      <c r="F1741" s="18">
        <v>1</v>
      </c>
      <c r="G1741" s="38">
        <v>100</v>
      </c>
      <c r="H1741" s="38">
        <f>60*F1741*G1741</f>
        <v>6000</v>
      </c>
      <c r="I1741" s="12">
        <f>60*F1741</f>
        <v>60</v>
      </c>
      <c r="J1741" s="12" t="s">
        <v>12</v>
      </c>
      <c r="K1741" s="12" t="s">
        <v>10</v>
      </c>
      <c r="L1741" s="15">
        <v>6000</v>
      </c>
    </row>
    <row r="1742" spans="1:12" ht="21" customHeight="1" outlineLevel="1" x14ac:dyDescent="0.25">
      <c r="A1742" s="12"/>
      <c r="B1742" s="12" t="s">
        <v>788</v>
      </c>
      <c r="C1742" s="12"/>
      <c r="D1742" s="30"/>
      <c r="E1742" s="12"/>
      <c r="F1742" s="18"/>
      <c r="G1742" s="38"/>
      <c r="H1742" s="38">
        <f ca="1">SUBTOTAL(9,H1735:H1741)</f>
        <v>29251.199999999997</v>
      </c>
      <c r="I1742" s="12"/>
      <c r="J1742" s="12"/>
      <c r="K1742" s="12"/>
      <c r="L1742" s="15">
        <v>29251.199999999997</v>
      </c>
    </row>
    <row r="1743" spans="1:12" ht="39.75" customHeight="1" outlineLevel="2" x14ac:dyDescent="0.25">
      <c r="A1743" s="10">
        <f>ROW(A1741)</f>
        <v>1741</v>
      </c>
      <c r="B1743" s="6" t="str">
        <f>E1743</f>
        <v>ЩО-4.2 (БЛОК 8, 9)</v>
      </c>
      <c r="C1743" s="6"/>
      <c r="D1743" s="28"/>
      <c r="E1743" s="6" t="s">
        <v>420</v>
      </c>
      <c r="F1743" s="36"/>
      <c r="G1743" s="36" t="s">
        <v>73</v>
      </c>
      <c r="H1743" s="7"/>
      <c r="I1743" s="10">
        <v>1</v>
      </c>
      <c r="J1743" s="11" t="s">
        <v>6</v>
      </c>
      <c r="K1743" s="6" t="s">
        <v>8</v>
      </c>
      <c r="L1743" s="9"/>
    </row>
    <row r="1744" spans="1:12" ht="21" customHeight="1" outlineLevel="2" x14ac:dyDescent="0.25">
      <c r="A1744" s="16">
        <f t="shared" si="339"/>
        <v>1743</v>
      </c>
      <c r="B1744" s="12" t="str">
        <f t="shared" ref="B1744:B1749" si="346">B1743</f>
        <v>ЩО-4.2 (БЛОК 8, 9)</v>
      </c>
      <c r="C1744" s="13" t="s">
        <v>7</v>
      </c>
      <c r="D1744" s="29" t="s">
        <v>590</v>
      </c>
      <c r="E1744" s="12" t="s">
        <v>591</v>
      </c>
      <c r="F1744" s="37">
        <v>11400</v>
      </c>
      <c r="G1744" s="38">
        <f t="shared" ref="G1744:G1747" si="347">F1744*0.6</f>
        <v>6840</v>
      </c>
      <c r="H1744" s="38">
        <f>I1744*G1744</f>
        <v>6840</v>
      </c>
      <c r="I1744" s="16">
        <v>1</v>
      </c>
      <c r="J1744" s="17" t="s">
        <v>12</v>
      </c>
      <c r="K1744" s="13" t="s">
        <v>581</v>
      </c>
      <c r="L1744" s="15">
        <v>6840</v>
      </c>
    </row>
    <row r="1745" spans="1:12" ht="21" customHeight="1" outlineLevel="2" x14ac:dyDescent="0.25">
      <c r="A1745" s="16">
        <f t="shared" si="339"/>
        <v>1744</v>
      </c>
      <c r="B1745" s="12" t="str">
        <f t="shared" si="346"/>
        <v>ЩО-4.2 (БЛОК 8, 9)</v>
      </c>
      <c r="C1745" s="13" t="s">
        <v>11</v>
      </c>
      <c r="D1745" s="29" t="s">
        <v>273</v>
      </c>
      <c r="E1745" s="12" t="s">
        <v>274</v>
      </c>
      <c r="F1745" s="37">
        <v>2499</v>
      </c>
      <c r="G1745" s="38">
        <f t="shared" si="347"/>
        <v>1499.3999999999999</v>
      </c>
      <c r="H1745" s="38">
        <f t="shared" ref="H1745:H1748" si="348">G1745*I1745</f>
        <v>1499.3999999999999</v>
      </c>
      <c r="I1745" s="16">
        <v>1</v>
      </c>
      <c r="J1745" s="17" t="s">
        <v>12</v>
      </c>
      <c r="K1745" s="13" t="s">
        <v>16</v>
      </c>
      <c r="L1745" s="15">
        <v>1499.3999999999999</v>
      </c>
    </row>
    <row r="1746" spans="1:12" ht="21" customHeight="1" outlineLevel="2" x14ac:dyDescent="0.25">
      <c r="A1746" s="16">
        <f t="shared" si="339"/>
        <v>1745</v>
      </c>
      <c r="B1746" s="12" t="str">
        <f t="shared" si="346"/>
        <v>ЩО-4.2 (БЛОК 8, 9)</v>
      </c>
      <c r="C1746" s="13" t="s">
        <v>11</v>
      </c>
      <c r="D1746" s="29" t="s">
        <v>51</v>
      </c>
      <c r="E1746" s="12" t="s">
        <v>52</v>
      </c>
      <c r="F1746" s="37">
        <v>2337</v>
      </c>
      <c r="G1746" s="38">
        <f t="shared" si="347"/>
        <v>1402.2</v>
      </c>
      <c r="H1746" s="38">
        <f t="shared" si="348"/>
        <v>2804.4</v>
      </c>
      <c r="I1746" s="16">
        <v>2</v>
      </c>
      <c r="J1746" s="17" t="s">
        <v>12</v>
      </c>
      <c r="K1746" s="13" t="s">
        <v>16</v>
      </c>
      <c r="L1746" s="15">
        <v>2804.4</v>
      </c>
    </row>
    <row r="1747" spans="1:12" ht="21" customHeight="1" outlineLevel="2" x14ac:dyDescent="0.25">
      <c r="A1747" s="16">
        <f t="shared" si="339"/>
        <v>1746</v>
      </c>
      <c r="B1747" s="12" t="str">
        <f t="shared" si="346"/>
        <v>ЩО-4.2 (БЛОК 8, 9)</v>
      </c>
      <c r="C1747" s="13" t="s">
        <v>11</v>
      </c>
      <c r="D1747" s="29" t="s">
        <v>292</v>
      </c>
      <c r="E1747" s="12" t="s">
        <v>293</v>
      </c>
      <c r="F1747" s="37">
        <v>783</v>
      </c>
      <c r="G1747" s="38">
        <f t="shared" si="347"/>
        <v>469.79999999999995</v>
      </c>
      <c r="H1747" s="38">
        <f t="shared" si="348"/>
        <v>7046.9999999999991</v>
      </c>
      <c r="I1747" s="16">
        <v>15</v>
      </c>
      <c r="J1747" s="17" t="s">
        <v>12</v>
      </c>
      <c r="K1747" s="13" t="s">
        <v>16</v>
      </c>
      <c r="L1747" s="15">
        <v>7046.9999999999991</v>
      </c>
    </row>
    <row r="1748" spans="1:12" ht="24" customHeight="1" outlineLevel="2" x14ac:dyDescent="0.25">
      <c r="A1748" s="12">
        <f t="shared" si="339"/>
        <v>1747</v>
      </c>
      <c r="B1748" s="12" t="str">
        <f t="shared" si="346"/>
        <v>ЩО-4.2 (БЛОК 8, 9)</v>
      </c>
      <c r="C1748" s="12" t="s">
        <v>9</v>
      </c>
      <c r="D1748" s="30" t="s">
        <v>9</v>
      </c>
      <c r="E1748" s="12" t="s">
        <v>9</v>
      </c>
      <c r="F1748" s="18">
        <f ca="1">OFFSET(F1748,1,2)</f>
        <v>6000</v>
      </c>
      <c r="G1748" s="38">
        <f ca="1">F1748</f>
        <v>6000</v>
      </c>
      <c r="H1748" s="38">
        <f t="shared" ca="1" si="348"/>
        <v>6000</v>
      </c>
      <c r="I1748" s="12">
        <v>1</v>
      </c>
      <c r="J1748" s="12" t="s">
        <v>12</v>
      </c>
      <c r="K1748" s="12" t="s">
        <v>9</v>
      </c>
      <c r="L1748" s="15">
        <v>6000</v>
      </c>
    </row>
    <row r="1749" spans="1:12" ht="21" customHeight="1" outlineLevel="2" x14ac:dyDescent="0.25">
      <c r="A1749" s="12">
        <f t="shared" si="339"/>
        <v>1748</v>
      </c>
      <c r="B1749" s="12" t="str">
        <f t="shared" si="346"/>
        <v>ЩО-4.2 (БЛОК 8, 9)</v>
      </c>
      <c r="C1749" s="12" t="s">
        <v>10</v>
      </c>
      <c r="D1749" s="30" t="s">
        <v>10</v>
      </c>
      <c r="E1749" s="12" t="s">
        <v>10</v>
      </c>
      <c r="F1749" s="18">
        <v>1</v>
      </c>
      <c r="G1749" s="38">
        <v>100</v>
      </c>
      <c r="H1749" s="38">
        <f>60*F1749*G1749</f>
        <v>6000</v>
      </c>
      <c r="I1749" s="12">
        <f>60*F1749</f>
        <v>60</v>
      </c>
      <c r="J1749" s="12" t="s">
        <v>12</v>
      </c>
      <c r="K1749" s="12" t="s">
        <v>10</v>
      </c>
      <c r="L1749" s="15">
        <v>6000</v>
      </c>
    </row>
    <row r="1750" spans="1:12" ht="21" customHeight="1" outlineLevel="1" x14ac:dyDescent="0.25">
      <c r="A1750" s="12"/>
      <c r="B1750" s="12" t="s">
        <v>789</v>
      </c>
      <c r="C1750" s="12"/>
      <c r="D1750" s="30"/>
      <c r="E1750" s="12"/>
      <c r="F1750" s="18"/>
      <c r="G1750" s="38"/>
      <c r="H1750" s="38">
        <f ca="1">SUBTOTAL(9,H1743:H1749)</f>
        <v>30190.799999999999</v>
      </c>
      <c r="I1750" s="12"/>
      <c r="J1750" s="12"/>
      <c r="K1750" s="12"/>
      <c r="L1750" s="15">
        <v>30190.799999999999</v>
      </c>
    </row>
    <row r="1751" spans="1:12" ht="39.75" customHeight="1" outlineLevel="2" x14ac:dyDescent="0.25">
      <c r="A1751" s="10">
        <f>ROW(A1749)</f>
        <v>1749</v>
      </c>
      <c r="B1751" s="6" t="str">
        <f>E1751</f>
        <v>ЩО-5.1 (БЛОК 8, 9)</v>
      </c>
      <c r="C1751" s="6"/>
      <c r="D1751" s="28"/>
      <c r="E1751" s="6" t="s">
        <v>421</v>
      </c>
      <c r="F1751" s="36"/>
      <c r="G1751" s="36" t="s">
        <v>73</v>
      </c>
      <c r="H1751" s="7"/>
      <c r="I1751" s="10">
        <v>1</v>
      </c>
      <c r="J1751" s="11" t="s">
        <v>6</v>
      </c>
      <c r="K1751" s="6" t="s">
        <v>8</v>
      </c>
      <c r="L1751" s="9"/>
    </row>
    <row r="1752" spans="1:12" ht="21" customHeight="1" outlineLevel="2" x14ac:dyDescent="0.25">
      <c r="A1752" s="16">
        <f t="shared" si="339"/>
        <v>1751</v>
      </c>
      <c r="B1752" s="12" t="str">
        <f t="shared" ref="B1752:B1757" si="349">B1751</f>
        <v>ЩО-5.1 (БЛОК 8, 9)</v>
      </c>
      <c r="C1752" s="13" t="s">
        <v>7</v>
      </c>
      <c r="D1752" s="29" t="s">
        <v>492</v>
      </c>
      <c r="E1752" s="12" t="s">
        <v>493</v>
      </c>
      <c r="F1752" s="37">
        <v>9990</v>
      </c>
      <c r="G1752" s="38">
        <f t="shared" ref="G1752:G1755" si="350">F1752*0.6</f>
        <v>5994</v>
      </c>
      <c r="H1752" s="38">
        <f>I1752*G1752</f>
        <v>5994</v>
      </c>
      <c r="I1752" s="16">
        <v>1</v>
      </c>
      <c r="J1752" s="17" t="s">
        <v>12</v>
      </c>
      <c r="K1752" s="13" t="s">
        <v>581</v>
      </c>
      <c r="L1752" s="15">
        <v>5994</v>
      </c>
    </row>
    <row r="1753" spans="1:12" ht="21" customHeight="1" outlineLevel="2" x14ac:dyDescent="0.25">
      <c r="A1753" s="16">
        <f t="shared" si="339"/>
        <v>1752</v>
      </c>
      <c r="B1753" s="12" t="str">
        <f t="shared" si="349"/>
        <v>ЩО-5.1 (БЛОК 8, 9)</v>
      </c>
      <c r="C1753" s="13" t="s">
        <v>11</v>
      </c>
      <c r="D1753" s="29" t="s">
        <v>273</v>
      </c>
      <c r="E1753" s="12" t="s">
        <v>274</v>
      </c>
      <c r="F1753" s="37">
        <v>2499</v>
      </c>
      <c r="G1753" s="38">
        <f t="shared" si="350"/>
        <v>1499.3999999999999</v>
      </c>
      <c r="H1753" s="38">
        <f t="shared" ref="H1753:H1756" si="351">G1753*I1753</f>
        <v>1499.3999999999999</v>
      </c>
      <c r="I1753" s="16">
        <v>1</v>
      </c>
      <c r="J1753" s="17" t="s">
        <v>12</v>
      </c>
      <c r="K1753" s="13" t="s">
        <v>16</v>
      </c>
      <c r="L1753" s="15">
        <v>1499.3999999999999</v>
      </c>
    </row>
    <row r="1754" spans="1:12" ht="21" customHeight="1" outlineLevel="2" x14ac:dyDescent="0.25">
      <c r="A1754" s="16">
        <f t="shared" si="339"/>
        <v>1753</v>
      </c>
      <c r="B1754" s="12" t="str">
        <f t="shared" si="349"/>
        <v>ЩО-5.1 (БЛОК 8, 9)</v>
      </c>
      <c r="C1754" s="13" t="s">
        <v>11</v>
      </c>
      <c r="D1754" s="29" t="s">
        <v>51</v>
      </c>
      <c r="E1754" s="12" t="s">
        <v>52</v>
      </c>
      <c r="F1754" s="37">
        <v>2337</v>
      </c>
      <c r="G1754" s="38">
        <f t="shared" si="350"/>
        <v>1402.2</v>
      </c>
      <c r="H1754" s="38">
        <f t="shared" si="351"/>
        <v>1402.2</v>
      </c>
      <c r="I1754" s="16">
        <v>1</v>
      </c>
      <c r="J1754" s="17" t="s">
        <v>12</v>
      </c>
      <c r="K1754" s="13" t="s">
        <v>16</v>
      </c>
      <c r="L1754" s="15">
        <v>1402.2</v>
      </c>
    </row>
    <row r="1755" spans="1:12" ht="21" customHeight="1" outlineLevel="2" x14ac:dyDescent="0.25">
      <c r="A1755" s="16">
        <f t="shared" si="339"/>
        <v>1754</v>
      </c>
      <c r="B1755" s="12" t="str">
        <f t="shared" si="349"/>
        <v>ЩО-5.1 (БЛОК 8, 9)</v>
      </c>
      <c r="C1755" s="13" t="s">
        <v>11</v>
      </c>
      <c r="D1755" s="29" t="s">
        <v>292</v>
      </c>
      <c r="E1755" s="12" t="s">
        <v>293</v>
      </c>
      <c r="F1755" s="37">
        <v>783</v>
      </c>
      <c r="G1755" s="38">
        <f t="shared" si="350"/>
        <v>469.79999999999995</v>
      </c>
      <c r="H1755" s="38">
        <f t="shared" si="351"/>
        <v>3758.3999999999996</v>
      </c>
      <c r="I1755" s="16">
        <v>8</v>
      </c>
      <c r="J1755" s="17" t="s">
        <v>12</v>
      </c>
      <c r="K1755" s="13" t="s">
        <v>16</v>
      </c>
      <c r="L1755" s="15">
        <v>3758.3999999999996</v>
      </c>
    </row>
    <row r="1756" spans="1:12" ht="24" customHeight="1" outlineLevel="2" x14ac:dyDescent="0.25">
      <c r="A1756" s="12">
        <f t="shared" si="339"/>
        <v>1755</v>
      </c>
      <c r="B1756" s="12" t="str">
        <f t="shared" si="349"/>
        <v>ЩО-5.1 (БЛОК 8, 9)</v>
      </c>
      <c r="C1756" s="12" t="s">
        <v>9</v>
      </c>
      <c r="D1756" s="30" t="s">
        <v>9</v>
      </c>
      <c r="E1756" s="12" t="s">
        <v>9</v>
      </c>
      <c r="F1756" s="18">
        <f ca="1">OFFSET(F1756,1,2)</f>
        <v>4200</v>
      </c>
      <c r="G1756" s="38">
        <f ca="1">F1756</f>
        <v>4200</v>
      </c>
      <c r="H1756" s="38">
        <f t="shared" ca="1" si="351"/>
        <v>4200</v>
      </c>
      <c r="I1756" s="12">
        <v>1</v>
      </c>
      <c r="J1756" s="12" t="s">
        <v>12</v>
      </c>
      <c r="K1756" s="12" t="s">
        <v>9</v>
      </c>
      <c r="L1756" s="15">
        <v>4200</v>
      </c>
    </row>
    <row r="1757" spans="1:12" ht="21" customHeight="1" outlineLevel="2" x14ac:dyDescent="0.25">
      <c r="A1757" s="12">
        <f t="shared" si="339"/>
        <v>1756</v>
      </c>
      <c r="B1757" s="12" t="str">
        <f t="shared" si="349"/>
        <v>ЩО-5.1 (БЛОК 8, 9)</v>
      </c>
      <c r="C1757" s="12" t="s">
        <v>10</v>
      </c>
      <c r="D1757" s="30" t="s">
        <v>10</v>
      </c>
      <c r="E1757" s="12" t="s">
        <v>10</v>
      </c>
      <c r="F1757" s="18">
        <v>0.7</v>
      </c>
      <c r="G1757" s="38">
        <v>100</v>
      </c>
      <c r="H1757" s="38">
        <f>60*F1757*G1757</f>
        <v>4200</v>
      </c>
      <c r="I1757" s="12">
        <f>60*F1757</f>
        <v>42</v>
      </c>
      <c r="J1757" s="12" t="s">
        <v>12</v>
      </c>
      <c r="K1757" s="12" t="s">
        <v>10</v>
      </c>
      <c r="L1757" s="15">
        <v>4200</v>
      </c>
    </row>
    <row r="1758" spans="1:12" ht="21" customHeight="1" outlineLevel="1" x14ac:dyDescent="0.25">
      <c r="A1758" s="12"/>
      <c r="B1758" s="12" t="s">
        <v>790</v>
      </c>
      <c r="C1758" s="12"/>
      <c r="D1758" s="30"/>
      <c r="E1758" s="12"/>
      <c r="F1758" s="18"/>
      <c r="G1758" s="38"/>
      <c r="H1758" s="38">
        <f ca="1">SUBTOTAL(9,H1751:H1757)</f>
        <v>21054</v>
      </c>
      <c r="I1758" s="12"/>
      <c r="J1758" s="12"/>
      <c r="K1758" s="12"/>
      <c r="L1758" s="15">
        <v>21054</v>
      </c>
    </row>
    <row r="1759" spans="1:12" ht="39.75" customHeight="1" outlineLevel="2" x14ac:dyDescent="0.25">
      <c r="A1759" s="10">
        <f>ROW(A1757)</f>
        <v>1757</v>
      </c>
      <c r="B1759" s="6" t="str">
        <f>E1759</f>
        <v>ВРУ1 (ВРУ1-17-70) (БЛОК 10)</v>
      </c>
      <c r="C1759" s="6"/>
      <c r="D1759" s="28"/>
      <c r="E1759" s="6" t="s">
        <v>580</v>
      </c>
      <c r="F1759" s="36"/>
      <c r="G1759" s="36" t="s">
        <v>73</v>
      </c>
      <c r="H1759" s="7"/>
      <c r="I1759" s="10">
        <v>1</v>
      </c>
      <c r="J1759" s="11" t="s">
        <v>6</v>
      </c>
      <c r="K1759" s="6" t="s">
        <v>8</v>
      </c>
      <c r="L1759" s="9"/>
    </row>
    <row r="1760" spans="1:12" ht="21" customHeight="1" outlineLevel="2" x14ac:dyDescent="0.25">
      <c r="A1760" s="16">
        <f t="shared" si="339"/>
        <v>1759</v>
      </c>
      <c r="B1760" s="12" t="str">
        <f t="shared" ref="B1760:B1771" si="352">B1759</f>
        <v>ВРУ1 (ВРУ1-17-70) (БЛОК 10)</v>
      </c>
      <c r="C1760" s="13" t="s">
        <v>7</v>
      </c>
      <c r="D1760" s="29" t="s">
        <v>60</v>
      </c>
      <c r="E1760" s="12" t="s">
        <v>61</v>
      </c>
      <c r="F1760" s="37">
        <v>155000</v>
      </c>
      <c r="G1760" s="38">
        <f>F1760*0.6</f>
        <v>93000</v>
      </c>
      <c r="H1760" s="38">
        <f>I1760*G1760</f>
        <v>93000</v>
      </c>
      <c r="I1760" s="16">
        <v>1</v>
      </c>
      <c r="J1760" s="17" t="s">
        <v>12</v>
      </c>
      <c r="K1760" s="13" t="s">
        <v>15</v>
      </c>
      <c r="L1760" s="15">
        <v>93000</v>
      </c>
    </row>
    <row r="1761" spans="1:13" ht="21" customHeight="1" outlineLevel="2" x14ac:dyDescent="0.25">
      <c r="A1761" s="16">
        <f t="shared" si="339"/>
        <v>1760</v>
      </c>
      <c r="B1761" s="12" t="str">
        <f t="shared" si="352"/>
        <v>ВРУ1 (ВРУ1-17-70) (БЛОК 10)</v>
      </c>
      <c r="C1761" s="13" t="s">
        <v>43</v>
      </c>
      <c r="D1761" s="29" t="s">
        <v>257</v>
      </c>
      <c r="E1761" s="12" t="s">
        <v>258</v>
      </c>
      <c r="F1761" s="37">
        <v>102897</v>
      </c>
      <c r="G1761" s="38">
        <f t="shared" ref="G1761:G1768" si="353">F1761*0.6</f>
        <v>61738.2</v>
      </c>
      <c r="H1761" s="38">
        <f>G1761*I1761</f>
        <v>1234764</v>
      </c>
      <c r="I1761" s="16">
        <v>20</v>
      </c>
      <c r="J1761" s="17" t="s">
        <v>12</v>
      </c>
      <c r="K1761" s="13" t="s">
        <v>16</v>
      </c>
      <c r="L1761" s="15">
        <v>1234764</v>
      </c>
    </row>
    <row r="1762" spans="1:13" ht="21" customHeight="1" outlineLevel="2" x14ac:dyDescent="0.25">
      <c r="A1762" s="16">
        <f t="shared" si="339"/>
        <v>1761</v>
      </c>
      <c r="B1762" s="12" t="str">
        <f t="shared" si="352"/>
        <v>ВРУ1 (ВРУ1-17-70) (БЛОК 10)</v>
      </c>
      <c r="C1762" s="13" t="s">
        <v>43</v>
      </c>
      <c r="D1762" s="29" t="s">
        <v>359</v>
      </c>
      <c r="E1762" s="12" t="s">
        <v>360</v>
      </c>
      <c r="F1762" s="37">
        <v>36869</v>
      </c>
      <c r="G1762" s="38">
        <f t="shared" si="353"/>
        <v>22121.399999999998</v>
      </c>
      <c r="H1762" s="38">
        <f>G1762*I1762</f>
        <v>22121.399999999998</v>
      </c>
      <c r="I1762" s="16">
        <v>1</v>
      </c>
      <c r="J1762" s="17" t="s">
        <v>12</v>
      </c>
      <c r="K1762" s="13" t="s">
        <v>16</v>
      </c>
      <c r="L1762" s="15">
        <v>22121.399999999998</v>
      </c>
    </row>
    <row r="1763" spans="1:13" ht="21" customHeight="1" outlineLevel="2" x14ac:dyDescent="0.25">
      <c r="A1763" s="16">
        <f t="shared" si="339"/>
        <v>1762</v>
      </c>
      <c r="B1763" s="12" t="str">
        <f t="shared" si="352"/>
        <v>ВРУ1 (ВРУ1-17-70) (БЛОК 10)</v>
      </c>
      <c r="C1763" s="13" t="s">
        <v>43</v>
      </c>
      <c r="D1763" s="29" t="s">
        <v>31</v>
      </c>
      <c r="E1763" s="12" t="s">
        <v>32</v>
      </c>
      <c r="F1763" s="37">
        <v>18263</v>
      </c>
      <c r="G1763" s="38">
        <f t="shared" si="353"/>
        <v>10957.8</v>
      </c>
      <c r="H1763" s="38">
        <f t="shared" ref="H1763" si="354">G1763*I1763</f>
        <v>21915.599999999999</v>
      </c>
      <c r="I1763" s="16">
        <v>2</v>
      </c>
      <c r="J1763" s="17" t="s">
        <v>12</v>
      </c>
      <c r="K1763" s="13" t="s">
        <v>16</v>
      </c>
      <c r="L1763" s="15">
        <v>21915.599999999999</v>
      </c>
    </row>
    <row r="1764" spans="1:13" ht="22.5" customHeight="1" outlineLevel="2" x14ac:dyDescent="0.25">
      <c r="A1764" s="16">
        <f t="shared" si="339"/>
        <v>1763</v>
      </c>
      <c r="B1764" s="12" t="str">
        <f t="shared" si="352"/>
        <v>ВРУ1 (ВРУ1-17-70) (БЛОК 10)</v>
      </c>
      <c r="C1764" s="13" t="s">
        <v>43</v>
      </c>
      <c r="D1764" s="29" t="s">
        <v>74</v>
      </c>
      <c r="E1764" s="12" t="s">
        <v>75</v>
      </c>
      <c r="F1764" s="37">
        <v>20174</v>
      </c>
      <c r="G1764" s="38">
        <f t="shared" si="353"/>
        <v>12104.4</v>
      </c>
      <c r="H1764" s="38">
        <f t="shared" ref="H1764" si="355">G1764*I1764</f>
        <v>24208.799999999999</v>
      </c>
      <c r="I1764" s="16">
        <v>2</v>
      </c>
      <c r="J1764" s="17" t="s">
        <v>12</v>
      </c>
      <c r="K1764" s="13" t="s">
        <v>16</v>
      </c>
      <c r="L1764" s="15">
        <v>24208.799999999999</v>
      </c>
    </row>
    <row r="1765" spans="1:13" ht="21" customHeight="1" outlineLevel="2" x14ac:dyDescent="0.25">
      <c r="A1765" s="16">
        <f t="shared" si="339"/>
        <v>1764</v>
      </c>
      <c r="B1765" s="12" t="str">
        <f t="shared" si="352"/>
        <v>ВРУ1 (ВРУ1-17-70) (БЛОК 10)</v>
      </c>
      <c r="C1765" s="13" t="s">
        <v>43</v>
      </c>
      <c r="D1765" s="29" t="s">
        <v>245</v>
      </c>
      <c r="E1765" s="12" t="s">
        <v>246</v>
      </c>
      <c r="F1765" s="37">
        <v>18139</v>
      </c>
      <c r="G1765" s="38">
        <f t="shared" si="353"/>
        <v>10883.4</v>
      </c>
      <c r="H1765" s="38">
        <f>G1765*I1765</f>
        <v>43533.599999999999</v>
      </c>
      <c r="I1765" s="16">
        <v>4</v>
      </c>
      <c r="J1765" s="17" t="s">
        <v>12</v>
      </c>
      <c r="K1765" s="13" t="s">
        <v>16</v>
      </c>
      <c r="L1765" s="15">
        <v>43533.599999999999</v>
      </c>
    </row>
    <row r="1766" spans="1:13" ht="21" customHeight="1" outlineLevel="2" x14ac:dyDescent="0.25">
      <c r="A1766" s="16">
        <f t="shared" si="339"/>
        <v>1765</v>
      </c>
      <c r="B1766" s="12" t="str">
        <f t="shared" si="352"/>
        <v>ВРУ1 (ВРУ1-17-70) (БЛОК 10)</v>
      </c>
      <c r="C1766" s="13" t="s">
        <v>48</v>
      </c>
      <c r="D1766" s="29" t="s">
        <v>242</v>
      </c>
      <c r="E1766" s="12" t="s">
        <v>243</v>
      </c>
      <c r="F1766" s="37">
        <v>6145</v>
      </c>
      <c r="G1766" s="38">
        <f t="shared" si="353"/>
        <v>3687</v>
      </c>
      <c r="H1766" s="38">
        <f t="shared" ref="H1766:H1770" si="356">G1766*I1766</f>
        <v>3687</v>
      </c>
      <c r="I1766" s="16">
        <v>1</v>
      </c>
      <c r="J1766" s="17" t="s">
        <v>12</v>
      </c>
      <c r="K1766" s="13" t="s">
        <v>16</v>
      </c>
      <c r="L1766" s="15">
        <v>3687</v>
      </c>
    </row>
    <row r="1767" spans="1:13" ht="21" customHeight="1" outlineLevel="2" x14ac:dyDescent="0.25">
      <c r="A1767" s="16">
        <f t="shared" si="339"/>
        <v>1766</v>
      </c>
      <c r="B1767" s="12" t="str">
        <f t="shared" si="352"/>
        <v>ВРУ1 (ВРУ1-17-70) (БЛОК 10)</v>
      </c>
      <c r="C1767" s="13" t="s">
        <v>244</v>
      </c>
      <c r="D1767" s="29" t="s">
        <v>593</v>
      </c>
      <c r="E1767" s="12" t="s">
        <v>594</v>
      </c>
      <c r="F1767" s="37">
        <v>1836</v>
      </c>
      <c r="G1767" s="38">
        <f t="shared" si="353"/>
        <v>1101.5999999999999</v>
      </c>
      <c r="H1767" s="38">
        <f t="shared" si="356"/>
        <v>1101.5999999999999</v>
      </c>
      <c r="I1767" s="16">
        <v>1</v>
      </c>
      <c r="J1767" s="17" t="s">
        <v>12</v>
      </c>
      <c r="K1767" s="13" t="s">
        <v>16</v>
      </c>
      <c r="L1767" s="15">
        <v>1101.5999999999999</v>
      </c>
    </row>
    <row r="1768" spans="1:13" ht="21" customHeight="1" outlineLevel="2" x14ac:dyDescent="0.25">
      <c r="A1768" s="16">
        <f t="shared" si="339"/>
        <v>1767</v>
      </c>
      <c r="B1768" s="12" t="str">
        <f t="shared" si="352"/>
        <v>ВРУ1 (ВРУ1-17-70) (БЛОК 10)</v>
      </c>
      <c r="C1768" s="13" t="s">
        <v>11</v>
      </c>
      <c r="D1768" s="29" t="s">
        <v>53</v>
      </c>
      <c r="E1768" s="12" t="s">
        <v>54</v>
      </c>
      <c r="F1768" s="37">
        <v>783</v>
      </c>
      <c r="G1768" s="38">
        <f t="shared" si="353"/>
        <v>469.79999999999995</v>
      </c>
      <c r="H1768" s="38">
        <f t="shared" si="356"/>
        <v>469.79999999999995</v>
      </c>
      <c r="I1768" s="16">
        <v>1</v>
      </c>
      <c r="J1768" s="17" t="s">
        <v>12</v>
      </c>
      <c r="K1768" s="13" t="s">
        <v>16</v>
      </c>
      <c r="L1768" s="15">
        <v>469.79999999999995</v>
      </c>
    </row>
    <row r="1769" spans="1:13" ht="21" customHeight="1" outlineLevel="2" x14ac:dyDescent="0.25">
      <c r="A1769" s="16">
        <f t="shared" si="339"/>
        <v>1768</v>
      </c>
      <c r="B1769" s="12" t="str">
        <f t="shared" si="352"/>
        <v>ВРУ1 (ВРУ1-17-70) (БЛОК 10)</v>
      </c>
      <c r="C1769" s="13" t="s">
        <v>241</v>
      </c>
      <c r="D1769" s="29"/>
      <c r="E1769" s="12" t="s">
        <v>450</v>
      </c>
      <c r="F1769" s="37">
        <v>13500</v>
      </c>
      <c r="G1769" s="38">
        <f>F1769</f>
        <v>13500</v>
      </c>
      <c r="H1769" s="38">
        <f t="shared" si="356"/>
        <v>13500</v>
      </c>
      <c r="I1769" s="16">
        <v>1</v>
      </c>
      <c r="J1769" s="17" t="s">
        <v>12</v>
      </c>
      <c r="K1769" s="13" t="s">
        <v>25</v>
      </c>
      <c r="L1769" s="15">
        <v>13500</v>
      </c>
    </row>
    <row r="1770" spans="1:13" ht="24" customHeight="1" outlineLevel="2" x14ac:dyDescent="0.25">
      <c r="A1770" s="12">
        <f t="shared" si="339"/>
        <v>1769</v>
      </c>
      <c r="B1770" s="12" t="str">
        <f t="shared" si="352"/>
        <v>ВРУ1 (ВРУ1-17-70) (БЛОК 10)</v>
      </c>
      <c r="C1770" s="12" t="s">
        <v>9</v>
      </c>
      <c r="D1770" s="30" t="s">
        <v>9</v>
      </c>
      <c r="E1770" s="12" t="s">
        <v>9</v>
      </c>
      <c r="F1770" s="18">
        <f ca="1">OFFSET(F1770,1,2)</f>
        <v>60000</v>
      </c>
      <c r="G1770" s="38">
        <f ca="1">F1770</f>
        <v>60000</v>
      </c>
      <c r="H1770" s="38">
        <f t="shared" ca="1" si="356"/>
        <v>60000</v>
      </c>
      <c r="I1770" s="12">
        <v>1</v>
      </c>
      <c r="J1770" s="12" t="s">
        <v>12</v>
      </c>
      <c r="K1770" s="12" t="s">
        <v>9</v>
      </c>
      <c r="L1770" s="15">
        <v>60000</v>
      </c>
    </row>
    <row r="1771" spans="1:13" ht="21" customHeight="1" outlineLevel="2" x14ac:dyDescent="0.25">
      <c r="A1771" s="12">
        <f t="shared" si="339"/>
        <v>1770</v>
      </c>
      <c r="B1771" s="12" t="str">
        <f t="shared" si="352"/>
        <v>ВРУ1 (ВРУ1-17-70) (БЛОК 10)</v>
      </c>
      <c r="C1771" s="12" t="s">
        <v>10</v>
      </c>
      <c r="D1771" s="30" t="s">
        <v>10</v>
      </c>
      <c r="E1771" s="12" t="s">
        <v>10</v>
      </c>
      <c r="F1771" s="18">
        <v>10</v>
      </c>
      <c r="G1771" s="38">
        <v>100</v>
      </c>
      <c r="H1771" s="38">
        <f>60*F1771*G1771</f>
        <v>60000</v>
      </c>
      <c r="I1771" s="12">
        <f>60*F1771</f>
        <v>600</v>
      </c>
      <c r="J1771" s="12" t="s">
        <v>12</v>
      </c>
      <c r="K1771" s="12" t="s">
        <v>10</v>
      </c>
      <c r="L1771" s="15">
        <v>60000</v>
      </c>
    </row>
    <row r="1772" spans="1:13" ht="21" customHeight="1" outlineLevel="1" x14ac:dyDescent="0.25">
      <c r="A1772" s="12"/>
      <c r="B1772" s="12" t="s">
        <v>791</v>
      </c>
      <c r="C1772" s="12"/>
      <c r="D1772" s="30"/>
      <c r="E1772" s="12"/>
      <c r="F1772" s="18"/>
      <c r="G1772" s="38"/>
      <c r="H1772" s="38">
        <f ca="1">SUBTOTAL(9,H1759:H1771)</f>
        <v>1578301.8000000003</v>
      </c>
      <c r="I1772" s="12"/>
      <c r="J1772" s="12"/>
      <c r="K1772" s="12"/>
      <c r="L1772" s="15">
        <v>1578301.8000000003</v>
      </c>
    </row>
    <row r="1773" spans="1:13" ht="39.75" customHeight="1" outlineLevel="2" x14ac:dyDescent="0.25">
      <c r="A1773" s="10">
        <f>ROW(A1771)</f>
        <v>1771</v>
      </c>
      <c r="B1773" s="6" t="str">
        <f>E1773</f>
        <v xml:space="preserve">ВРУ-ИНД. С (АВР-3-630-2-У) (Блок 10) </v>
      </c>
      <c r="C1773" s="6"/>
      <c r="D1773" s="28"/>
      <c r="E1773" s="6" t="s">
        <v>500</v>
      </c>
      <c r="F1773" s="36"/>
      <c r="G1773" s="36" t="s">
        <v>73</v>
      </c>
      <c r="H1773" s="7"/>
      <c r="I1773" s="10">
        <v>1</v>
      </c>
      <c r="J1773" s="11" t="s">
        <v>6</v>
      </c>
      <c r="K1773" s="6" t="s">
        <v>8</v>
      </c>
      <c r="L1773" s="9"/>
    </row>
    <row r="1774" spans="1:13" ht="21" customHeight="1" outlineLevel="2" x14ac:dyDescent="0.25">
      <c r="A1774" s="16">
        <f t="shared" si="339"/>
        <v>1773</v>
      </c>
      <c r="B1774" s="12" t="str">
        <f t="shared" ref="B1774:B1782" si="357">B1773</f>
        <v xml:space="preserve">ВРУ-ИНД. С (АВР-3-630-2-У) (Блок 10) </v>
      </c>
      <c r="C1774" s="13" t="s">
        <v>7</v>
      </c>
      <c r="D1774" s="29" t="s">
        <v>60</v>
      </c>
      <c r="E1774" s="12" t="s">
        <v>61</v>
      </c>
      <c r="F1774" s="37">
        <v>155000</v>
      </c>
      <c r="G1774" s="38">
        <f>F1774*0.6</f>
        <v>93000</v>
      </c>
      <c r="H1774" s="38">
        <f>I1774*G1774</f>
        <v>93000</v>
      </c>
      <c r="I1774" s="16">
        <v>1</v>
      </c>
      <c r="J1774" s="17" t="s">
        <v>12</v>
      </c>
      <c r="K1774" s="13" t="s">
        <v>15</v>
      </c>
      <c r="L1774" s="15">
        <v>93000</v>
      </c>
      <c r="M1774" t="s">
        <v>423</v>
      </c>
    </row>
    <row r="1775" spans="1:13" ht="21" customHeight="1" outlineLevel="2" x14ac:dyDescent="0.25">
      <c r="A1775" s="16">
        <f t="shared" si="339"/>
        <v>1774</v>
      </c>
      <c r="B1775" s="12" t="str">
        <f t="shared" si="357"/>
        <v xml:space="preserve">ВРУ-ИНД. С (АВР-3-630-2-У) (Блок 10) </v>
      </c>
      <c r="C1775" s="13" t="s">
        <v>86</v>
      </c>
      <c r="D1775" s="29" t="s">
        <v>529</v>
      </c>
      <c r="E1775" s="12" t="s">
        <v>530</v>
      </c>
      <c r="F1775" s="37">
        <v>621513</v>
      </c>
      <c r="G1775" s="38">
        <f>F1775*0.6</f>
        <v>372907.8</v>
      </c>
      <c r="H1775" s="38">
        <f>G1775*I1775</f>
        <v>372907.8</v>
      </c>
      <c r="I1775" s="16">
        <v>1</v>
      </c>
      <c r="J1775" s="17" t="s">
        <v>12</v>
      </c>
      <c r="K1775" s="13" t="s">
        <v>16</v>
      </c>
      <c r="L1775" s="15">
        <v>372907.8</v>
      </c>
    </row>
    <row r="1776" spans="1:13" ht="21" customHeight="1" outlineLevel="2" x14ac:dyDescent="0.25">
      <c r="A1776" s="16">
        <f t="shared" si="339"/>
        <v>1775</v>
      </c>
      <c r="B1776" s="12" t="str">
        <f t="shared" si="357"/>
        <v xml:space="preserve">ВРУ-ИНД. С (АВР-3-630-2-У) (Блок 10) </v>
      </c>
      <c r="C1776" s="13" t="s">
        <v>17</v>
      </c>
      <c r="D1776" s="29" t="s">
        <v>484</v>
      </c>
      <c r="E1776" s="12" t="s">
        <v>485</v>
      </c>
      <c r="F1776" s="37">
        <v>90000</v>
      </c>
      <c r="G1776" s="38">
        <f t="shared" ref="G1776:G1778" si="358">F1776</f>
        <v>90000</v>
      </c>
      <c r="H1776" s="38">
        <f t="shared" ref="H1776" si="359">G1776*I1776</f>
        <v>90000</v>
      </c>
      <c r="I1776" s="16">
        <v>1</v>
      </c>
      <c r="J1776" s="17" t="s">
        <v>12</v>
      </c>
      <c r="K1776" s="13" t="s">
        <v>597</v>
      </c>
      <c r="L1776" s="15">
        <v>90000</v>
      </c>
    </row>
    <row r="1777" spans="1:12" ht="21" customHeight="1" outlineLevel="2" x14ac:dyDescent="0.25">
      <c r="A1777" s="16">
        <f t="shared" si="339"/>
        <v>1776</v>
      </c>
      <c r="B1777" s="12" t="str">
        <f t="shared" si="357"/>
        <v xml:space="preserve">ВРУ-ИНД. С (АВР-3-630-2-У) (Блок 10) </v>
      </c>
      <c r="C1777" s="13" t="s">
        <v>26</v>
      </c>
      <c r="D1777" s="29" t="s">
        <v>586</v>
      </c>
      <c r="E1777" s="12" t="s">
        <v>587</v>
      </c>
      <c r="F1777" s="37">
        <v>5523</v>
      </c>
      <c r="G1777" s="38">
        <f t="shared" si="358"/>
        <v>5523</v>
      </c>
      <c r="H1777" s="38">
        <f>G1777*I1777</f>
        <v>16569</v>
      </c>
      <c r="I1777" s="16">
        <v>3</v>
      </c>
      <c r="J1777" s="17" t="s">
        <v>12</v>
      </c>
      <c r="K1777" s="13" t="s">
        <v>25</v>
      </c>
      <c r="L1777" s="15">
        <v>16569</v>
      </c>
    </row>
    <row r="1778" spans="1:12" ht="22.5" customHeight="1" outlineLevel="2" x14ac:dyDescent="0.25">
      <c r="A1778" s="16">
        <f t="shared" si="339"/>
        <v>1777</v>
      </c>
      <c r="B1778" s="12" t="str">
        <f t="shared" si="357"/>
        <v xml:space="preserve">ВРУ-ИНД. С (АВР-3-630-2-У) (Блок 10) </v>
      </c>
      <c r="C1778" s="13" t="s">
        <v>38</v>
      </c>
      <c r="D1778" s="29"/>
      <c r="E1778" s="12" t="s">
        <v>216</v>
      </c>
      <c r="F1778" s="37">
        <v>4500</v>
      </c>
      <c r="G1778" s="38">
        <f t="shared" si="358"/>
        <v>4500</v>
      </c>
      <c r="H1778" s="38">
        <f>G1778*I1778</f>
        <v>13500</v>
      </c>
      <c r="I1778" s="16">
        <v>3</v>
      </c>
      <c r="J1778" s="17" t="s">
        <v>12</v>
      </c>
      <c r="K1778" s="13" t="s">
        <v>25</v>
      </c>
      <c r="L1778" s="15">
        <v>13500</v>
      </c>
    </row>
    <row r="1779" spans="1:12" ht="21" customHeight="1" outlineLevel="2" x14ac:dyDescent="0.25">
      <c r="A1779" s="16">
        <f t="shared" si="339"/>
        <v>1778</v>
      </c>
      <c r="B1779" s="12" t="str">
        <f>B1775</f>
        <v xml:space="preserve">ВРУ-ИНД. С (АВР-3-630-2-У) (Блок 10) </v>
      </c>
      <c r="C1779" s="13" t="s">
        <v>59</v>
      </c>
      <c r="D1779" s="29" t="s">
        <v>55</v>
      </c>
      <c r="E1779" s="12" t="s">
        <v>56</v>
      </c>
      <c r="F1779" s="37">
        <v>589</v>
      </c>
      <c r="G1779" s="38">
        <f>F1779*0.6</f>
        <v>353.4</v>
      </c>
      <c r="H1779" s="38">
        <f>G1779*I1779</f>
        <v>706.8</v>
      </c>
      <c r="I1779" s="16">
        <v>2</v>
      </c>
      <c r="J1779" s="17" t="s">
        <v>12</v>
      </c>
      <c r="K1779" s="13" t="s">
        <v>16</v>
      </c>
      <c r="L1779" s="15">
        <v>706.8</v>
      </c>
    </row>
    <row r="1780" spans="1:12" ht="21" customHeight="1" outlineLevel="2" x14ac:dyDescent="0.25">
      <c r="A1780" s="16">
        <f t="shared" si="339"/>
        <v>1779</v>
      </c>
      <c r="B1780" s="12" t="str">
        <f t="shared" si="357"/>
        <v xml:space="preserve">ВРУ-ИНД. С (АВР-3-630-2-У) (Блок 10) </v>
      </c>
      <c r="C1780" s="13" t="s">
        <v>59</v>
      </c>
      <c r="D1780" s="29" t="s">
        <v>57</v>
      </c>
      <c r="E1780" s="12" t="s">
        <v>58</v>
      </c>
      <c r="F1780" s="37">
        <v>571</v>
      </c>
      <c r="G1780" s="38">
        <f>F1780*0.6</f>
        <v>342.59999999999997</v>
      </c>
      <c r="H1780" s="38">
        <f>G1780*I1780</f>
        <v>685.19999999999993</v>
      </c>
      <c r="I1780" s="16">
        <v>2</v>
      </c>
      <c r="J1780" s="17" t="s">
        <v>12</v>
      </c>
      <c r="K1780" s="13" t="s">
        <v>16</v>
      </c>
      <c r="L1780" s="15">
        <v>685.19999999999993</v>
      </c>
    </row>
    <row r="1781" spans="1:12" ht="24" customHeight="1" outlineLevel="2" x14ac:dyDescent="0.25">
      <c r="A1781" s="12">
        <f t="shared" si="339"/>
        <v>1780</v>
      </c>
      <c r="B1781" s="12" t="str">
        <f t="shared" si="357"/>
        <v xml:space="preserve">ВРУ-ИНД. С (АВР-3-630-2-У) (Блок 10) </v>
      </c>
      <c r="C1781" s="12" t="s">
        <v>9</v>
      </c>
      <c r="D1781" s="30" t="s">
        <v>9</v>
      </c>
      <c r="E1781" s="12" t="s">
        <v>9</v>
      </c>
      <c r="F1781" s="18">
        <f ca="1">OFFSET(F1781,1,2)</f>
        <v>60000</v>
      </c>
      <c r="G1781" s="38">
        <f ca="1">F1781</f>
        <v>60000</v>
      </c>
      <c r="H1781" s="38">
        <f ca="1">G1781*I1781</f>
        <v>60000</v>
      </c>
      <c r="I1781" s="12">
        <v>1</v>
      </c>
      <c r="J1781" s="12" t="s">
        <v>12</v>
      </c>
      <c r="K1781" s="12" t="s">
        <v>9</v>
      </c>
      <c r="L1781" s="15">
        <v>60000</v>
      </c>
    </row>
    <row r="1782" spans="1:12" ht="21" customHeight="1" outlineLevel="2" x14ac:dyDescent="0.25">
      <c r="A1782" s="12">
        <f t="shared" si="339"/>
        <v>1781</v>
      </c>
      <c r="B1782" s="12" t="str">
        <f t="shared" si="357"/>
        <v xml:space="preserve">ВРУ-ИНД. С (АВР-3-630-2-У) (Блок 10) </v>
      </c>
      <c r="C1782" s="12" t="s">
        <v>10</v>
      </c>
      <c r="D1782" s="30" t="s">
        <v>10</v>
      </c>
      <c r="E1782" s="12" t="s">
        <v>10</v>
      </c>
      <c r="F1782" s="18">
        <v>10</v>
      </c>
      <c r="G1782" s="38">
        <v>100</v>
      </c>
      <c r="H1782" s="38">
        <f>60*F1782*G1782</f>
        <v>60000</v>
      </c>
      <c r="I1782" s="12">
        <f>60*F1782</f>
        <v>600</v>
      </c>
      <c r="J1782" s="12" t="s">
        <v>12</v>
      </c>
      <c r="K1782" s="12" t="s">
        <v>10</v>
      </c>
      <c r="L1782" s="15">
        <v>60000</v>
      </c>
    </row>
    <row r="1783" spans="1:12" ht="21" customHeight="1" outlineLevel="1" x14ac:dyDescent="0.25">
      <c r="A1783" s="12"/>
      <c r="B1783" s="12" t="s">
        <v>792</v>
      </c>
      <c r="C1783" s="12"/>
      <c r="D1783" s="30"/>
      <c r="E1783" s="12"/>
      <c r="F1783" s="18"/>
      <c r="G1783" s="38"/>
      <c r="H1783" s="38">
        <f ca="1">SUBTOTAL(9,H1773:H1782)</f>
        <v>707368.8</v>
      </c>
      <c r="I1783" s="12"/>
      <c r="J1783" s="12"/>
      <c r="K1783" s="12"/>
      <c r="L1783" s="15">
        <v>707368.8</v>
      </c>
    </row>
    <row r="1784" spans="1:12" ht="39.75" customHeight="1" outlineLevel="2" x14ac:dyDescent="0.25">
      <c r="A1784" s="10">
        <f>ROW(A1782)</f>
        <v>1782</v>
      </c>
      <c r="B1784" s="6" t="str">
        <f>E1784</f>
        <v>ВРУ2 (ВРУ1-41-00 УХЛ4)  (БЛОК 10)</v>
      </c>
      <c r="C1784" s="6"/>
      <c r="D1784" s="28"/>
      <c r="E1784" s="6" t="s">
        <v>560</v>
      </c>
      <c r="F1784" s="36"/>
      <c r="G1784" s="36" t="s">
        <v>73</v>
      </c>
      <c r="H1784" s="7"/>
      <c r="I1784" s="10">
        <v>1</v>
      </c>
      <c r="J1784" s="11" t="s">
        <v>6</v>
      </c>
      <c r="K1784" s="6" t="s">
        <v>8</v>
      </c>
      <c r="L1784" s="9"/>
    </row>
    <row r="1785" spans="1:12" ht="21" customHeight="1" outlineLevel="2" x14ac:dyDescent="0.25">
      <c r="A1785" s="16">
        <f t="shared" si="339"/>
        <v>1784</v>
      </c>
      <c r="B1785" s="12" t="str">
        <f t="shared" ref="B1785:B1790" si="360">B1784</f>
        <v>ВРУ2 (ВРУ1-41-00 УХЛ4)  (БЛОК 10)</v>
      </c>
      <c r="C1785" s="13" t="s">
        <v>7</v>
      </c>
      <c r="D1785" s="29" t="s">
        <v>501</v>
      </c>
      <c r="E1785" s="12" t="s">
        <v>502</v>
      </c>
      <c r="F1785" s="37">
        <v>29525</v>
      </c>
      <c r="G1785" s="38">
        <f>F1785*0.6</f>
        <v>17715</v>
      </c>
      <c r="H1785" s="38">
        <f>I1785*G1785</f>
        <v>17715</v>
      </c>
      <c r="I1785" s="16">
        <v>1</v>
      </c>
      <c r="J1785" s="17" t="s">
        <v>12</v>
      </c>
      <c r="K1785" s="13" t="s">
        <v>15</v>
      </c>
      <c r="L1785" s="15">
        <v>17715</v>
      </c>
    </row>
    <row r="1786" spans="1:12" ht="21" customHeight="1" outlineLevel="2" x14ac:dyDescent="0.25">
      <c r="A1786" s="16">
        <f t="shared" si="339"/>
        <v>1785</v>
      </c>
      <c r="B1786" s="12" t="str">
        <f t="shared" si="360"/>
        <v>ВРУ2 (ВРУ1-41-00 УХЛ4)  (БЛОК 10)</v>
      </c>
      <c r="C1786" s="13" t="s">
        <v>43</v>
      </c>
      <c r="D1786" s="29" t="s">
        <v>31</v>
      </c>
      <c r="E1786" s="12" t="s">
        <v>32</v>
      </c>
      <c r="F1786" s="37">
        <v>18263</v>
      </c>
      <c r="G1786" s="38">
        <f t="shared" ref="G1786:G1788" si="361">F1786*0.6</f>
        <v>10957.8</v>
      </c>
      <c r="H1786" s="38">
        <f t="shared" ref="H1786:H1787" si="362">G1786*I1786</f>
        <v>10957.8</v>
      </c>
      <c r="I1786" s="16">
        <v>1</v>
      </c>
      <c r="J1786" s="17" t="s">
        <v>12</v>
      </c>
      <c r="K1786" s="13" t="s">
        <v>16</v>
      </c>
      <c r="L1786" s="15">
        <v>10957.8</v>
      </c>
    </row>
    <row r="1787" spans="1:12" ht="22.5" customHeight="1" outlineLevel="2" x14ac:dyDescent="0.25">
      <c r="A1787" s="16">
        <f t="shared" si="339"/>
        <v>1786</v>
      </c>
      <c r="B1787" s="12" t="str">
        <f t="shared" si="360"/>
        <v>ВРУ2 (ВРУ1-41-00 УХЛ4)  (БЛОК 10)</v>
      </c>
      <c r="C1787" s="13" t="s">
        <v>43</v>
      </c>
      <c r="D1787" s="29" t="s">
        <v>74</v>
      </c>
      <c r="E1787" s="12" t="s">
        <v>75</v>
      </c>
      <c r="F1787" s="37">
        <v>20174</v>
      </c>
      <c r="G1787" s="38">
        <f t="shared" si="361"/>
        <v>12104.4</v>
      </c>
      <c r="H1787" s="38">
        <f t="shared" si="362"/>
        <v>12104.4</v>
      </c>
      <c r="I1787" s="16">
        <v>1</v>
      </c>
      <c r="J1787" s="17" t="s">
        <v>12</v>
      </c>
      <c r="K1787" s="13" t="s">
        <v>16</v>
      </c>
      <c r="L1787" s="15">
        <v>12104.4</v>
      </c>
    </row>
    <row r="1788" spans="1:12" ht="21" customHeight="1" outlineLevel="2" x14ac:dyDescent="0.25">
      <c r="A1788" s="16">
        <f t="shared" si="339"/>
        <v>1787</v>
      </c>
      <c r="B1788" s="12" t="str">
        <f t="shared" si="360"/>
        <v>ВРУ2 (ВРУ1-41-00 УХЛ4)  (БЛОК 10)</v>
      </c>
      <c r="C1788" s="13" t="s">
        <v>43</v>
      </c>
      <c r="D1788" s="29" t="s">
        <v>237</v>
      </c>
      <c r="E1788" s="12" t="s">
        <v>238</v>
      </c>
      <c r="F1788" s="37">
        <v>17405</v>
      </c>
      <c r="G1788" s="38">
        <f t="shared" si="361"/>
        <v>10443</v>
      </c>
      <c r="H1788" s="38">
        <f>G1788*I1788</f>
        <v>31329</v>
      </c>
      <c r="I1788" s="16">
        <v>3</v>
      </c>
      <c r="J1788" s="17" t="s">
        <v>12</v>
      </c>
      <c r="K1788" s="13" t="s">
        <v>16</v>
      </c>
      <c r="L1788" s="15">
        <v>31329</v>
      </c>
    </row>
    <row r="1789" spans="1:12" ht="24" customHeight="1" outlineLevel="2" x14ac:dyDescent="0.25">
      <c r="A1789" s="12">
        <f t="shared" si="339"/>
        <v>1788</v>
      </c>
      <c r="B1789" s="12" t="str">
        <f t="shared" si="360"/>
        <v>ВРУ2 (ВРУ1-41-00 УХЛ4)  (БЛОК 10)</v>
      </c>
      <c r="C1789" s="12" t="s">
        <v>9</v>
      </c>
      <c r="D1789" s="30" t="s">
        <v>9</v>
      </c>
      <c r="E1789" s="12" t="s">
        <v>9</v>
      </c>
      <c r="F1789" s="18">
        <f ca="1">OFFSET(F1789,1,2)</f>
        <v>9000</v>
      </c>
      <c r="G1789" s="38">
        <f ca="1">F1789</f>
        <v>9000</v>
      </c>
      <c r="H1789" s="38">
        <f ca="1">G1789*I1789</f>
        <v>9000</v>
      </c>
      <c r="I1789" s="12">
        <v>1</v>
      </c>
      <c r="J1789" s="12" t="s">
        <v>12</v>
      </c>
      <c r="K1789" s="12" t="s">
        <v>9</v>
      </c>
      <c r="L1789" s="15">
        <v>9000</v>
      </c>
    </row>
    <row r="1790" spans="1:12" ht="21" customHeight="1" outlineLevel="2" x14ac:dyDescent="0.25">
      <c r="A1790" s="12">
        <f t="shared" si="339"/>
        <v>1789</v>
      </c>
      <c r="B1790" s="12" t="str">
        <f t="shared" si="360"/>
        <v>ВРУ2 (ВРУ1-41-00 УХЛ4)  (БЛОК 10)</v>
      </c>
      <c r="C1790" s="12" t="s">
        <v>10</v>
      </c>
      <c r="D1790" s="30" t="s">
        <v>10</v>
      </c>
      <c r="E1790" s="12" t="s">
        <v>10</v>
      </c>
      <c r="F1790" s="18">
        <v>1.5</v>
      </c>
      <c r="G1790" s="38">
        <v>100</v>
      </c>
      <c r="H1790" s="38">
        <f>60*F1790*G1790</f>
        <v>9000</v>
      </c>
      <c r="I1790" s="12">
        <f>60*F1790</f>
        <v>90</v>
      </c>
      <c r="J1790" s="12" t="s">
        <v>12</v>
      </c>
      <c r="K1790" s="12" t="s">
        <v>10</v>
      </c>
      <c r="L1790" s="15">
        <v>9000</v>
      </c>
    </row>
    <row r="1791" spans="1:12" ht="21" customHeight="1" outlineLevel="1" x14ac:dyDescent="0.25">
      <c r="A1791" s="12"/>
      <c r="B1791" s="12" t="s">
        <v>793</v>
      </c>
      <c r="C1791" s="12"/>
      <c r="D1791" s="30"/>
      <c r="E1791" s="12"/>
      <c r="F1791" s="18"/>
      <c r="G1791" s="38"/>
      <c r="H1791" s="38">
        <f ca="1">SUBTOTAL(9,H1784:H1790)</f>
        <v>90106.2</v>
      </c>
      <c r="I1791" s="12"/>
      <c r="J1791" s="12"/>
      <c r="K1791" s="12"/>
      <c r="L1791" s="15">
        <v>90106.2</v>
      </c>
    </row>
    <row r="1792" spans="1:12" ht="39.75" customHeight="1" outlineLevel="2" x14ac:dyDescent="0.25">
      <c r="A1792" s="10">
        <f>ROW(A1790)</f>
        <v>1790</v>
      </c>
      <c r="B1792" s="6" t="str">
        <f>E1792</f>
        <v>АВР-100А (АВР-Б-100-2-1 (Блок 10)</v>
      </c>
      <c r="C1792" s="6"/>
      <c r="D1792" s="28"/>
      <c r="E1792" s="6" t="s">
        <v>424</v>
      </c>
      <c r="F1792" s="36"/>
      <c r="G1792" s="36" t="s">
        <v>73</v>
      </c>
      <c r="H1792" s="7"/>
      <c r="I1792" s="10">
        <v>1</v>
      </c>
      <c r="J1792" s="11" t="s">
        <v>6</v>
      </c>
      <c r="K1792" s="6" t="s">
        <v>8</v>
      </c>
      <c r="L1792" s="9"/>
    </row>
    <row r="1793" spans="1:12" ht="21" customHeight="1" outlineLevel="2" x14ac:dyDescent="0.25">
      <c r="A1793" s="16">
        <f t="shared" si="339"/>
        <v>1792</v>
      </c>
      <c r="B1793" s="12" t="str">
        <f t="shared" ref="B1793:B1800" si="363">B1792</f>
        <v>АВР-100А (АВР-Б-100-2-1 (Блок 10)</v>
      </c>
      <c r="C1793" s="13" t="s">
        <v>7</v>
      </c>
      <c r="D1793" s="29" t="s">
        <v>584</v>
      </c>
      <c r="E1793" s="12" t="s">
        <v>585</v>
      </c>
      <c r="F1793" s="37">
        <v>40030</v>
      </c>
      <c r="G1793" s="38">
        <f>F1793*0.6</f>
        <v>24018</v>
      </c>
      <c r="H1793" s="38">
        <f>I1793*G1793</f>
        <v>24018</v>
      </c>
      <c r="I1793" s="16">
        <v>1</v>
      </c>
      <c r="J1793" s="17" t="s">
        <v>12</v>
      </c>
      <c r="K1793" s="13" t="s">
        <v>15</v>
      </c>
      <c r="L1793" s="15">
        <v>24018</v>
      </c>
    </row>
    <row r="1794" spans="1:12" ht="21" customHeight="1" outlineLevel="2" x14ac:dyDescent="0.25">
      <c r="A1794" s="16">
        <f t="shared" si="339"/>
        <v>1793</v>
      </c>
      <c r="B1794" s="12" t="str">
        <f t="shared" si="363"/>
        <v>АВР-100А (АВР-Б-100-2-1 (Блок 10)</v>
      </c>
      <c r="C1794" s="13" t="s">
        <v>86</v>
      </c>
      <c r="D1794" s="29" t="s">
        <v>143</v>
      </c>
      <c r="E1794" s="12" t="s">
        <v>144</v>
      </c>
      <c r="F1794" s="37">
        <v>207389</v>
      </c>
      <c r="G1794" s="38">
        <f t="shared" ref="G1794:G1798" si="364">F1794*0.6</f>
        <v>124433.4</v>
      </c>
      <c r="H1794" s="38">
        <f>G1794*I1794</f>
        <v>124433.4</v>
      </c>
      <c r="I1794" s="16">
        <v>1</v>
      </c>
      <c r="J1794" s="17" t="s">
        <v>12</v>
      </c>
      <c r="K1794" s="13" t="s">
        <v>16</v>
      </c>
      <c r="L1794" s="15">
        <v>124433.4</v>
      </c>
    </row>
    <row r="1795" spans="1:12" ht="21" customHeight="1" outlineLevel="2" x14ac:dyDescent="0.25">
      <c r="A1795" s="16">
        <f t="shared" si="339"/>
        <v>1794</v>
      </c>
      <c r="B1795" s="12" t="str">
        <f t="shared" si="363"/>
        <v>АВР-100А (АВР-Б-100-2-1 (Блок 10)</v>
      </c>
      <c r="C1795" s="13" t="s">
        <v>17</v>
      </c>
      <c r="D1795" s="29" t="s">
        <v>582</v>
      </c>
      <c r="E1795" s="12" t="s">
        <v>583</v>
      </c>
      <c r="F1795" s="37">
        <v>90000</v>
      </c>
      <c r="G1795" s="38">
        <f t="shared" ref="G1795" si="365">F1795</f>
        <v>90000</v>
      </c>
      <c r="H1795" s="38">
        <f t="shared" ref="H1795" si="366">G1795*I1795</f>
        <v>90000</v>
      </c>
      <c r="I1795" s="16">
        <v>1</v>
      </c>
      <c r="J1795" s="17" t="s">
        <v>12</v>
      </c>
      <c r="K1795" s="13" t="s">
        <v>597</v>
      </c>
      <c r="L1795" s="15">
        <v>90000</v>
      </c>
    </row>
    <row r="1796" spans="1:12" ht="21" customHeight="1" outlineLevel="2" x14ac:dyDescent="0.25">
      <c r="A1796" s="16">
        <f t="shared" si="339"/>
        <v>1795</v>
      </c>
      <c r="B1796" s="12" t="str">
        <f>B1794</f>
        <v>АВР-100А (АВР-Б-100-2-1 (Блок 10)</v>
      </c>
      <c r="C1796" s="13" t="s">
        <v>59</v>
      </c>
      <c r="D1796" s="29" t="s">
        <v>55</v>
      </c>
      <c r="E1796" s="12" t="s">
        <v>56</v>
      </c>
      <c r="F1796" s="37">
        <v>589</v>
      </c>
      <c r="G1796" s="38">
        <f t="shared" si="364"/>
        <v>353.4</v>
      </c>
      <c r="H1796" s="38">
        <f>G1796*I1796</f>
        <v>706.8</v>
      </c>
      <c r="I1796" s="16">
        <v>2</v>
      </c>
      <c r="J1796" s="17" t="s">
        <v>12</v>
      </c>
      <c r="K1796" s="13" t="s">
        <v>16</v>
      </c>
      <c r="L1796" s="15">
        <v>706.8</v>
      </c>
    </row>
    <row r="1797" spans="1:12" ht="21" customHeight="1" outlineLevel="2" x14ac:dyDescent="0.25">
      <c r="A1797" s="16">
        <f t="shared" ref="A1797:A1864" si="367">ROW(A1796)</f>
        <v>1796</v>
      </c>
      <c r="B1797" s="12" t="str">
        <f t="shared" si="363"/>
        <v>АВР-100А (АВР-Б-100-2-1 (Блок 10)</v>
      </c>
      <c r="C1797" s="13" t="s">
        <v>59</v>
      </c>
      <c r="D1797" s="29" t="s">
        <v>223</v>
      </c>
      <c r="E1797" s="12" t="s">
        <v>224</v>
      </c>
      <c r="F1797" s="37">
        <v>571</v>
      </c>
      <c r="G1797" s="38">
        <f t="shared" si="364"/>
        <v>342.59999999999997</v>
      </c>
      <c r="H1797" s="38">
        <f>G1797*I1797</f>
        <v>685.19999999999993</v>
      </c>
      <c r="I1797" s="16">
        <v>2</v>
      </c>
      <c r="J1797" s="17" t="s">
        <v>12</v>
      </c>
      <c r="K1797" s="13" t="s">
        <v>16</v>
      </c>
      <c r="L1797" s="15">
        <v>685.19999999999993</v>
      </c>
    </row>
    <row r="1798" spans="1:12" ht="21" customHeight="1" outlineLevel="2" x14ac:dyDescent="0.25">
      <c r="A1798" s="16">
        <f t="shared" si="367"/>
        <v>1797</v>
      </c>
      <c r="B1798" s="12" t="str">
        <f t="shared" si="363"/>
        <v>АВР-100А (АВР-Б-100-2-1 (Блок 10)</v>
      </c>
      <c r="C1798" s="13" t="s">
        <v>59</v>
      </c>
      <c r="D1798" s="29" t="s">
        <v>57</v>
      </c>
      <c r="E1798" s="12" t="s">
        <v>58</v>
      </c>
      <c r="F1798" s="37">
        <v>571</v>
      </c>
      <c r="G1798" s="38">
        <f t="shared" si="364"/>
        <v>342.59999999999997</v>
      </c>
      <c r="H1798" s="38">
        <f>G1798*I1798</f>
        <v>685.19999999999993</v>
      </c>
      <c r="I1798" s="16">
        <v>2</v>
      </c>
      <c r="J1798" s="17" t="s">
        <v>12</v>
      </c>
      <c r="K1798" s="13" t="s">
        <v>16</v>
      </c>
      <c r="L1798" s="15">
        <v>685.19999999999993</v>
      </c>
    </row>
    <row r="1799" spans="1:12" ht="24" customHeight="1" outlineLevel="2" x14ac:dyDescent="0.25">
      <c r="A1799" s="12">
        <f t="shared" si="367"/>
        <v>1798</v>
      </c>
      <c r="B1799" s="12" t="str">
        <f t="shared" si="363"/>
        <v>АВР-100А (АВР-Б-100-2-1 (Блок 10)</v>
      </c>
      <c r="C1799" s="12" t="s">
        <v>9</v>
      </c>
      <c r="D1799" s="30" t="s">
        <v>9</v>
      </c>
      <c r="E1799" s="12" t="s">
        <v>9</v>
      </c>
      <c r="F1799" s="18">
        <f ca="1">OFFSET(F1799,1,2)</f>
        <v>24000</v>
      </c>
      <c r="G1799" s="38">
        <f ca="1">F1799</f>
        <v>24000</v>
      </c>
      <c r="H1799" s="38">
        <f ca="1">G1799*I1799</f>
        <v>24000</v>
      </c>
      <c r="I1799" s="12">
        <v>1</v>
      </c>
      <c r="J1799" s="12" t="s">
        <v>12</v>
      </c>
      <c r="K1799" s="12" t="s">
        <v>9</v>
      </c>
      <c r="L1799" s="15">
        <v>24000</v>
      </c>
    </row>
    <row r="1800" spans="1:12" ht="21" customHeight="1" outlineLevel="2" x14ac:dyDescent="0.25">
      <c r="A1800" s="12">
        <f t="shared" si="367"/>
        <v>1799</v>
      </c>
      <c r="B1800" s="12" t="str">
        <f t="shared" si="363"/>
        <v>АВР-100А (АВР-Б-100-2-1 (Блок 10)</v>
      </c>
      <c r="C1800" s="12" t="s">
        <v>10</v>
      </c>
      <c r="D1800" s="30" t="s">
        <v>10</v>
      </c>
      <c r="E1800" s="12" t="s">
        <v>10</v>
      </c>
      <c r="F1800" s="18">
        <v>4</v>
      </c>
      <c r="G1800" s="38">
        <v>100</v>
      </c>
      <c r="H1800" s="38">
        <f>60*F1800*G1800</f>
        <v>24000</v>
      </c>
      <c r="I1800" s="12">
        <f>60*F1800</f>
        <v>240</v>
      </c>
      <c r="J1800" s="12" t="s">
        <v>12</v>
      </c>
      <c r="K1800" s="12" t="s">
        <v>10</v>
      </c>
      <c r="L1800" s="15">
        <v>24000</v>
      </c>
    </row>
    <row r="1801" spans="1:12" ht="21" customHeight="1" outlineLevel="1" x14ac:dyDescent="0.25">
      <c r="A1801" s="12"/>
      <c r="B1801" s="12" t="s">
        <v>794</v>
      </c>
      <c r="C1801" s="12"/>
      <c r="D1801" s="30"/>
      <c r="E1801" s="12"/>
      <c r="F1801" s="18"/>
      <c r="G1801" s="38"/>
      <c r="H1801" s="38">
        <f ca="1">SUBTOTAL(9,H1792:H1800)</f>
        <v>288528.59999999998</v>
      </c>
      <c r="I1801" s="12"/>
      <c r="J1801" s="12"/>
      <c r="K1801" s="12"/>
      <c r="L1801" s="15">
        <v>288528.59999999998</v>
      </c>
    </row>
    <row r="1802" spans="1:12" ht="39.75" customHeight="1" outlineLevel="2" x14ac:dyDescent="0.25">
      <c r="A1802" s="10">
        <f>ROW(A1800)</f>
        <v>1800</v>
      </c>
      <c r="B1802" s="6" t="str">
        <f>E1802</f>
        <v>ЩС-1 (БЛОК 10)</v>
      </c>
      <c r="C1802" s="6"/>
      <c r="D1802" s="28"/>
      <c r="E1802" s="6" t="s">
        <v>425</v>
      </c>
      <c r="F1802" s="36"/>
      <c r="G1802" s="36" t="s">
        <v>73</v>
      </c>
      <c r="H1802" s="7"/>
      <c r="I1802" s="10">
        <v>1</v>
      </c>
      <c r="J1802" s="11" t="s">
        <v>6</v>
      </c>
      <c r="K1802" s="6" t="s">
        <v>8</v>
      </c>
      <c r="L1802" s="9"/>
    </row>
    <row r="1803" spans="1:12" ht="21" customHeight="1" outlineLevel="2" x14ac:dyDescent="0.25">
      <c r="A1803" s="16">
        <f t="shared" si="367"/>
        <v>1802</v>
      </c>
      <c r="B1803" s="12" t="str">
        <f t="shared" ref="B1803:B1820" si="368">B1802</f>
        <v>ЩС-1 (БЛОК 10)</v>
      </c>
      <c r="C1803" s="13" t="s">
        <v>7</v>
      </c>
      <c r="D1803" s="29" t="s">
        <v>578</v>
      </c>
      <c r="E1803" s="12" t="s">
        <v>579</v>
      </c>
      <c r="F1803" s="37">
        <v>145000</v>
      </c>
      <c r="G1803" s="38">
        <f>F1803*0.6</f>
        <v>87000</v>
      </c>
      <c r="H1803" s="38">
        <f>I1803*G1803</f>
        <v>87000</v>
      </c>
      <c r="I1803" s="16">
        <v>1</v>
      </c>
      <c r="J1803" s="17" t="s">
        <v>12</v>
      </c>
      <c r="K1803" s="13" t="s">
        <v>15</v>
      </c>
      <c r="L1803" s="15">
        <v>87000</v>
      </c>
    </row>
    <row r="1804" spans="1:12" ht="21" customHeight="1" outlineLevel="2" x14ac:dyDescent="0.25">
      <c r="A1804" s="16">
        <f t="shared" si="367"/>
        <v>1803</v>
      </c>
      <c r="B1804" s="12" t="str">
        <f t="shared" si="368"/>
        <v>ЩС-1 (БЛОК 10)</v>
      </c>
      <c r="C1804" s="13" t="s">
        <v>43</v>
      </c>
      <c r="D1804" s="29" t="s">
        <v>76</v>
      </c>
      <c r="E1804" s="12" t="s">
        <v>77</v>
      </c>
      <c r="F1804" s="37">
        <v>27169</v>
      </c>
      <c r="G1804" s="38">
        <f t="shared" ref="G1804:G1818" si="369">F1804*0.6</f>
        <v>16301.4</v>
      </c>
      <c r="H1804" s="38">
        <f t="shared" ref="H1804" si="370">G1804*I1804</f>
        <v>16301.4</v>
      </c>
      <c r="I1804" s="16">
        <v>1</v>
      </c>
      <c r="J1804" s="17" t="s">
        <v>12</v>
      </c>
      <c r="K1804" s="13" t="s">
        <v>16</v>
      </c>
      <c r="L1804" s="15">
        <v>16301.4</v>
      </c>
    </row>
    <row r="1805" spans="1:12" ht="21" customHeight="1" outlineLevel="2" x14ac:dyDescent="0.25">
      <c r="A1805" s="16">
        <f t="shared" si="367"/>
        <v>1804</v>
      </c>
      <c r="B1805" s="12" t="str">
        <f t="shared" si="368"/>
        <v>ЩС-1 (БЛОК 10)</v>
      </c>
      <c r="C1805" s="13" t="s">
        <v>43</v>
      </c>
      <c r="D1805" s="29" t="s">
        <v>39</v>
      </c>
      <c r="E1805" s="12" t="s">
        <v>40</v>
      </c>
      <c r="F1805" s="37">
        <v>19760</v>
      </c>
      <c r="G1805" s="38">
        <f t="shared" si="369"/>
        <v>11856</v>
      </c>
      <c r="H1805" s="38">
        <f t="shared" ref="H1805:H1811" si="371">G1805*I1805</f>
        <v>11856</v>
      </c>
      <c r="I1805" s="16">
        <v>1</v>
      </c>
      <c r="J1805" s="17" t="s">
        <v>12</v>
      </c>
      <c r="K1805" s="13" t="s">
        <v>16</v>
      </c>
      <c r="L1805" s="15">
        <v>11856</v>
      </c>
    </row>
    <row r="1806" spans="1:12" ht="21" customHeight="1" outlineLevel="2" x14ac:dyDescent="0.25">
      <c r="A1806" s="16">
        <f t="shared" si="367"/>
        <v>1805</v>
      </c>
      <c r="B1806" s="12" t="str">
        <f t="shared" si="368"/>
        <v>ЩС-1 (БЛОК 10)</v>
      </c>
      <c r="C1806" s="13" t="s">
        <v>11</v>
      </c>
      <c r="D1806" s="29" t="s">
        <v>426</v>
      </c>
      <c r="E1806" s="12" t="s">
        <v>427</v>
      </c>
      <c r="F1806" s="37">
        <v>888</v>
      </c>
      <c r="G1806" s="38">
        <f t="shared" si="369"/>
        <v>532.79999999999995</v>
      </c>
      <c r="H1806" s="38">
        <f t="shared" si="371"/>
        <v>1598.3999999999999</v>
      </c>
      <c r="I1806" s="16">
        <v>3</v>
      </c>
      <c r="J1806" s="17" t="s">
        <v>12</v>
      </c>
      <c r="K1806" s="13" t="s">
        <v>16</v>
      </c>
      <c r="L1806" s="15">
        <v>1598.3999999999999</v>
      </c>
    </row>
    <row r="1807" spans="1:12" ht="21" customHeight="1" outlineLevel="2" x14ac:dyDescent="0.25">
      <c r="A1807" s="16">
        <f t="shared" si="367"/>
        <v>1806</v>
      </c>
      <c r="B1807" s="12" t="str">
        <f t="shared" si="368"/>
        <v>ЩС-1 (БЛОК 10)</v>
      </c>
      <c r="C1807" s="13" t="s">
        <v>11</v>
      </c>
      <c r="D1807" s="29" t="s">
        <v>428</v>
      </c>
      <c r="E1807" s="12" t="s">
        <v>429</v>
      </c>
      <c r="F1807" s="37">
        <v>902</v>
      </c>
      <c r="G1807" s="38">
        <f t="shared" si="369"/>
        <v>541.19999999999993</v>
      </c>
      <c r="H1807" s="38">
        <f t="shared" ref="H1807" si="372">G1807*I1807</f>
        <v>541.19999999999993</v>
      </c>
      <c r="I1807" s="16">
        <v>1</v>
      </c>
      <c r="J1807" s="17" t="s">
        <v>12</v>
      </c>
      <c r="K1807" s="13" t="s">
        <v>16</v>
      </c>
      <c r="L1807" s="15">
        <v>541.19999999999993</v>
      </c>
    </row>
    <row r="1808" spans="1:12" ht="21" customHeight="1" outlineLevel="2" x14ac:dyDescent="0.25">
      <c r="A1808" s="16">
        <f t="shared" si="367"/>
        <v>1807</v>
      </c>
      <c r="B1808" s="12" t="str">
        <f t="shared" si="368"/>
        <v>ЩС-1 (БЛОК 10)</v>
      </c>
      <c r="C1808" s="13" t="s">
        <v>11</v>
      </c>
      <c r="D1808" s="29" t="s">
        <v>292</v>
      </c>
      <c r="E1808" s="12" t="s">
        <v>293</v>
      </c>
      <c r="F1808" s="37">
        <v>783</v>
      </c>
      <c r="G1808" s="38">
        <f t="shared" si="369"/>
        <v>469.79999999999995</v>
      </c>
      <c r="H1808" s="38">
        <f t="shared" si="371"/>
        <v>469.79999999999995</v>
      </c>
      <c r="I1808" s="16">
        <v>1</v>
      </c>
      <c r="J1808" s="17" t="s">
        <v>12</v>
      </c>
      <c r="K1808" s="13" t="s">
        <v>16</v>
      </c>
      <c r="L1808" s="15">
        <v>469.79999999999995</v>
      </c>
    </row>
    <row r="1809" spans="1:12" ht="21" customHeight="1" outlineLevel="2" x14ac:dyDescent="0.25">
      <c r="A1809" s="16">
        <f t="shared" si="367"/>
        <v>1808</v>
      </c>
      <c r="B1809" s="12" t="str">
        <f t="shared" si="368"/>
        <v>ЩС-1 (БЛОК 10)</v>
      </c>
      <c r="C1809" s="13" t="s">
        <v>11</v>
      </c>
      <c r="D1809" s="29" t="s">
        <v>51</v>
      </c>
      <c r="E1809" s="12" t="s">
        <v>52</v>
      </c>
      <c r="F1809" s="37">
        <v>2337</v>
      </c>
      <c r="G1809" s="38">
        <f t="shared" si="369"/>
        <v>1402.2</v>
      </c>
      <c r="H1809" s="38">
        <f t="shared" si="371"/>
        <v>1402.2</v>
      </c>
      <c r="I1809" s="16">
        <v>1</v>
      </c>
      <c r="J1809" s="17" t="s">
        <v>12</v>
      </c>
      <c r="K1809" s="13" t="s">
        <v>16</v>
      </c>
      <c r="L1809" s="15">
        <v>1402.2</v>
      </c>
    </row>
    <row r="1810" spans="1:12" ht="21" customHeight="1" outlineLevel="2" x14ac:dyDescent="0.25">
      <c r="A1810" s="16">
        <f t="shared" si="367"/>
        <v>1809</v>
      </c>
      <c r="B1810" s="12" t="str">
        <f t="shared" si="368"/>
        <v>ЩС-1 (БЛОК 10)</v>
      </c>
      <c r="C1810" s="13" t="s">
        <v>22</v>
      </c>
      <c r="D1810" s="29" t="s">
        <v>268</v>
      </c>
      <c r="E1810" s="12" t="s">
        <v>269</v>
      </c>
      <c r="F1810" s="37">
        <v>5632</v>
      </c>
      <c r="G1810" s="38">
        <f t="shared" si="369"/>
        <v>3379.2</v>
      </c>
      <c r="H1810" s="38">
        <f t="shared" si="371"/>
        <v>3379.2</v>
      </c>
      <c r="I1810" s="16">
        <v>1</v>
      </c>
      <c r="J1810" s="17" t="s">
        <v>12</v>
      </c>
      <c r="K1810" s="13" t="s">
        <v>16</v>
      </c>
      <c r="L1810" s="15">
        <v>3379.2</v>
      </c>
    </row>
    <row r="1811" spans="1:12" ht="21" customHeight="1" outlineLevel="2" x14ac:dyDescent="0.25">
      <c r="A1811" s="16">
        <f t="shared" si="367"/>
        <v>1810</v>
      </c>
      <c r="B1811" s="12" t="str">
        <f t="shared" si="368"/>
        <v>ЩС-1 (БЛОК 10)</v>
      </c>
      <c r="C1811" s="13" t="s">
        <v>22</v>
      </c>
      <c r="D1811" s="29" t="s">
        <v>117</v>
      </c>
      <c r="E1811" s="12" t="s">
        <v>118</v>
      </c>
      <c r="F1811" s="37">
        <v>5104</v>
      </c>
      <c r="G1811" s="38">
        <f t="shared" si="369"/>
        <v>3062.4</v>
      </c>
      <c r="H1811" s="38">
        <f t="shared" si="371"/>
        <v>18374.400000000001</v>
      </c>
      <c r="I1811" s="16">
        <v>6</v>
      </c>
      <c r="J1811" s="17" t="s">
        <v>12</v>
      </c>
      <c r="K1811" s="13" t="s">
        <v>16</v>
      </c>
      <c r="L1811" s="15">
        <v>18374.400000000001</v>
      </c>
    </row>
    <row r="1812" spans="1:12" ht="21" customHeight="1" outlineLevel="2" x14ac:dyDescent="0.25">
      <c r="A1812" s="16">
        <f t="shared" si="367"/>
        <v>1811</v>
      </c>
      <c r="B1812" s="12" t="str">
        <f t="shared" si="368"/>
        <v>ЩС-1 (БЛОК 10)</v>
      </c>
      <c r="C1812" s="13" t="s">
        <v>22</v>
      </c>
      <c r="D1812" s="29" t="s">
        <v>270</v>
      </c>
      <c r="E1812" s="12" t="s">
        <v>271</v>
      </c>
      <c r="F1812" s="37">
        <v>5719</v>
      </c>
      <c r="G1812" s="38">
        <f t="shared" si="369"/>
        <v>3431.4</v>
      </c>
      <c r="H1812" s="38">
        <f>G1812*I1812</f>
        <v>3431.4</v>
      </c>
      <c r="I1812" s="16">
        <v>1</v>
      </c>
      <c r="J1812" s="17" t="s">
        <v>12</v>
      </c>
      <c r="K1812" s="13" t="s">
        <v>16</v>
      </c>
      <c r="L1812" s="15">
        <v>3431.4</v>
      </c>
    </row>
    <row r="1813" spans="1:12" ht="21" customHeight="1" outlineLevel="2" x14ac:dyDescent="0.25">
      <c r="A1813" s="16">
        <f t="shared" si="367"/>
        <v>1812</v>
      </c>
      <c r="B1813" s="12" t="str">
        <f t="shared" si="368"/>
        <v>ЩС-1 (БЛОК 10)</v>
      </c>
      <c r="C1813" s="13" t="s">
        <v>22</v>
      </c>
      <c r="D1813" s="29" t="s">
        <v>250</v>
      </c>
      <c r="E1813" s="12" t="s">
        <v>251</v>
      </c>
      <c r="F1813" s="37">
        <v>8352</v>
      </c>
      <c r="G1813" s="38">
        <f t="shared" si="369"/>
        <v>5011.2</v>
      </c>
      <c r="H1813" s="38">
        <f t="shared" ref="H1813:H1819" si="373">G1813*I1813</f>
        <v>5011.2</v>
      </c>
      <c r="I1813" s="16">
        <v>1</v>
      </c>
      <c r="J1813" s="17" t="s">
        <v>12</v>
      </c>
      <c r="K1813" s="13" t="s">
        <v>16</v>
      </c>
      <c r="L1813" s="15">
        <v>5011.2</v>
      </c>
    </row>
    <row r="1814" spans="1:12" ht="21" customHeight="1" outlineLevel="2" x14ac:dyDescent="0.25">
      <c r="A1814" s="16">
        <f t="shared" si="367"/>
        <v>1813</v>
      </c>
      <c r="B1814" s="12" t="str">
        <f t="shared" si="368"/>
        <v>ЩС-1 (БЛОК 10)</v>
      </c>
      <c r="C1814" s="13" t="s">
        <v>48</v>
      </c>
      <c r="D1814" s="29" t="s">
        <v>349</v>
      </c>
      <c r="E1814" s="12" t="s">
        <v>350</v>
      </c>
      <c r="F1814" s="37">
        <v>100471</v>
      </c>
      <c r="G1814" s="38">
        <f t="shared" si="369"/>
        <v>60282.6</v>
      </c>
      <c r="H1814" s="38">
        <f t="shared" si="373"/>
        <v>60282.6</v>
      </c>
      <c r="I1814" s="16">
        <v>1</v>
      </c>
      <c r="J1814" s="17" t="s">
        <v>12</v>
      </c>
      <c r="K1814" s="13" t="s">
        <v>16</v>
      </c>
      <c r="L1814" s="15">
        <v>60282.6</v>
      </c>
    </row>
    <row r="1815" spans="1:12" ht="21" customHeight="1" outlineLevel="2" x14ac:dyDescent="0.25">
      <c r="A1815" s="16">
        <f t="shared" si="367"/>
        <v>1814</v>
      </c>
      <c r="B1815" s="12" t="str">
        <f t="shared" si="368"/>
        <v>ЩС-1 (БЛОК 10)</v>
      </c>
      <c r="C1815" s="13" t="s">
        <v>48</v>
      </c>
      <c r="D1815" s="29" t="s">
        <v>296</v>
      </c>
      <c r="E1815" s="12" t="s">
        <v>297</v>
      </c>
      <c r="F1815" s="37">
        <v>13919</v>
      </c>
      <c r="G1815" s="38">
        <f t="shared" si="369"/>
        <v>8351.4</v>
      </c>
      <c r="H1815" s="38">
        <f t="shared" ref="H1815" si="374">G1815*I1815</f>
        <v>25054.199999999997</v>
      </c>
      <c r="I1815" s="16">
        <v>3</v>
      </c>
      <c r="J1815" s="17" t="s">
        <v>12</v>
      </c>
      <c r="K1815" s="13" t="s">
        <v>16</v>
      </c>
      <c r="L1815" s="15">
        <v>25054.199999999997</v>
      </c>
    </row>
    <row r="1816" spans="1:12" ht="21" customHeight="1" outlineLevel="2" x14ac:dyDescent="0.25">
      <c r="A1816" s="16">
        <f t="shared" si="367"/>
        <v>1815</v>
      </c>
      <c r="B1816" s="12" t="str">
        <f t="shared" si="368"/>
        <v>ЩС-1 (БЛОК 10)</v>
      </c>
      <c r="C1816" s="13" t="s">
        <v>48</v>
      </c>
      <c r="D1816" s="29" t="s">
        <v>289</v>
      </c>
      <c r="E1816" s="12" t="s">
        <v>290</v>
      </c>
      <c r="F1816" s="37">
        <v>13919</v>
      </c>
      <c r="G1816" s="38">
        <f t="shared" si="369"/>
        <v>8351.4</v>
      </c>
      <c r="H1816" s="38">
        <f t="shared" si="373"/>
        <v>8351.4</v>
      </c>
      <c r="I1816" s="16">
        <v>1</v>
      </c>
      <c r="J1816" s="17" t="s">
        <v>12</v>
      </c>
      <c r="K1816" s="13" t="s">
        <v>16</v>
      </c>
      <c r="L1816" s="15">
        <v>8351.4</v>
      </c>
    </row>
    <row r="1817" spans="1:12" ht="21" customHeight="1" outlineLevel="2" x14ac:dyDescent="0.25">
      <c r="A1817" s="16">
        <f t="shared" si="367"/>
        <v>1816</v>
      </c>
      <c r="B1817" s="12" t="str">
        <f t="shared" si="368"/>
        <v>ЩС-1 (БЛОК 10)</v>
      </c>
      <c r="C1817" s="13" t="s">
        <v>48</v>
      </c>
      <c r="D1817" s="29" t="s">
        <v>282</v>
      </c>
      <c r="E1817" s="12" t="s">
        <v>283</v>
      </c>
      <c r="F1817" s="37">
        <v>12145</v>
      </c>
      <c r="G1817" s="38">
        <f t="shared" si="369"/>
        <v>7287</v>
      </c>
      <c r="H1817" s="38">
        <f t="shared" si="373"/>
        <v>7287</v>
      </c>
      <c r="I1817" s="16">
        <v>1</v>
      </c>
      <c r="J1817" s="17" t="s">
        <v>12</v>
      </c>
      <c r="K1817" s="13" t="s">
        <v>16</v>
      </c>
      <c r="L1817" s="15">
        <v>7287</v>
      </c>
    </row>
    <row r="1818" spans="1:12" ht="21" customHeight="1" outlineLevel="2" x14ac:dyDescent="0.25">
      <c r="A1818" s="16">
        <f t="shared" si="367"/>
        <v>1817</v>
      </c>
      <c r="B1818" s="12" t="str">
        <f t="shared" si="368"/>
        <v>ЩС-1 (БЛОК 10)</v>
      </c>
      <c r="C1818" s="13" t="s">
        <v>48</v>
      </c>
      <c r="D1818" s="29" t="s">
        <v>242</v>
      </c>
      <c r="E1818" s="12" t="s">
        <v>243</v>
      </c>
      <c r="F1818" s="37">
        <v>6145</v>
      </c>
      <c r="G1818" s="38">
        <f t="shared" si="369"/>
        <v>3687</v>
      </c>
      <c r="H1818" s="38">
        <f t="shared" ref="H1818" si="375">G1818*I1818</f>
        <v>3687</v>
      </c>
      <c r="I1818" s="16">
        <v>1</v>
      </c>
      <c r="J1818" s="17" t="s">
        <v>12</v>
      </c>
      <c r="K1818" s="13" t="s">
        <v>16</v>
      </c>
      <c r="L1818" s="15">
        <v>3687</v>
      </c>
    </row>
    <row r="1819" spans="1:12" ht="24" customHeight="1" outlineLevel="2" x14ac:dyDescent="0.25">
      <c r="A1819" s="12">
        <f t="shared" si="367"/>
        <v>1818</v>
      </c>
      <c r="B1819" s="12" t="str">
        <f t="shared" si="368"/>
        <v>ЩС-1 (БЛОК 10)</v>
      </c>
      <c r="C1819" s="12" t="s">
        <v>9</v>
      </c>
      <c r="D1819" s="30" t="s">
        <v>9</v>
      </c>
      <c r="E1819" s="12" t="s">
        <v>9</v>
      </c>
      <c r="F1819" s="18">
        <f ca="1">OFFSET(F1819,1,2)</f>
        <v>60000</v>
      </c>
      <c r="G1819" s="38">
        <f ca="1">F1819</f>
        <v>60000</v>
      </c>
      <c r="H1819" s="38">
        <f t="shared" ca="1" si="373"/>
        <v>60000</v>
      </c>
      <c r="I1819" s="12">
        <v>1</v>
      </c>
      <c r="J1819" s="12" t="s">
        <v>12</v>
      </c>
      <c r="K1819" s="12" t="s">
        <v>9</v>
      </c>
      <c r="L1819" s="15">
        <v>60000</v>
      </c>
    </row>
    <row r="1820" spans="1:12" ht="21" customHeight="1" outlineLevel="2" x14ac:dyDescent="0.25">
      <c r="A1820" s="12">
        <f t="shared" si="367"/>
        <v>1819</v>
      </c>
      <c r="B1820" s="12" t="str">
        <f t="shared" si="368"/>
        <v>ЩС-1 (БЛОК 10)</v>
      </c>
      <c r="C1820" s="12" t="s">
        <v>10</v>
      </c>
      <c r="D1820" s="30" t="s">
        <v>10</v>
      </c>
      <c r="E1820" s="12" t="s">
        <v>10</v>
      </c>
      <c r="F1820" s="18">
        <v>10</v>
      </c>
      <c r="G1820" s="38">
        <v>100</v>
      </c>
      <c r="H1820" s="38">
        <f>60*F1820*G1820</f>
        <v>60000</v>
      </c>
      <c r="I1820" s="12">
        <f>60*F1820</f>
        <v>600</v>
      </c>
      <c r="J1820" s="12" t="s">
        <v>12</v>
      </c>
      <c r="K1820" s="12" t="s">
        <v>10</v>
      </c>
      <c r="L1820" s="15">
        <v>60000</v>
      </c>
    </row>
    <row r="1821" spans="1:12" ht="21" customHeight="1" outlineLevel="1" x14ac:dyDescent="0.25">
      <c r="A1821" s="12"/>
      <c r="B1821" s="12" t="s">
        <v>795</v>
      </c>
      <c r="C1821" s="12"/>
      <c r="D1821" s="30"/>
      <c r="E1821" s="12"/>
      <c r="F1821" s="18"/>
      <c r="G1821" s="38"/>
      <c r="H1821" s="38">
        <f ca="1">SUBTOTAL(9,H1802:H1820)</f>
        <v>374027.4</v>
      </c>
      <c r="I1821" s="12"/>
      <c r="J1821" s="12"/>
      <c r="K1821" s="12"/>
      <c r="L1821" s="15">
        <v>374027.4</v>
      </c>
    </row>
    <row r="1822" spans="1:12" ht="39.75" customHeight="1" outlineLevel="2" x14ac:dyDescent="0.25">
      <c r="A1822" s="10">
        <f>ROW(A1820)</f>
        <v>1820</v>
      </c>
      <c r="B1822" s="6" t="str">
        <f>E1822</f>
        <v>ЩС-2 (БЛОК 10)</v>
      </c>
      <c r="C1822" s="6"/>
      <c r="D1822" s="28"/>
      <c r="E1822" s="6" t="s">
        <v>430</v>
      </c>
      <c r="F1822" s="36"/>
      <c r="G1822" s="36" t="s">
        <v>73</v>
      </c>
      <c r="H1822" s="7"/>
      <c r="I1822" s="10">
        <v>1</v>
      </c>
      <c r="J1822" s="11" t="s">
        <v>6</v>
      </c>
      <c r="K1822" s="6" t="s">
        <v>8</v>
      </c>
      <c r="L1822" s="9"/>
    </row>
    <row r="1823" spans="1:12" ht="21" customHeight="1" outlineLevel="2" x14ac:dyDescent="0.25">
      <c r="A1823" s="16">
        <f t="shared" si="367"/>
        <v>1822</v>
      </c>
      <c r="B1823" s="12" t="str">
        <f t="shared" ref="B1823:B1844" si="376">B1822</f>
        <v>ЩС-2 (БЛОК 10)</v>
      </c>
      <c r="C1823" s="13" t="s">
        <v>7</v>
      </c>
      <c r="D1823" s="29" t="s">
        <v>60</v>
      </c>
      <c r="E1823" s="12" t="s">
        <v>61</v>
      </c>
      <c r="F1823" s="37">
        <v>155000</v>
      </c>
      <c r="G1823" s="38">
        <f>F1823*0.6</f>
        <v>93000</v>
      </c>
      <c r="H1823" s="38">
        <f>I1823*G1823</f>
        <v>93000</v>
      </c>
      <c r="I1823" s="16">
        <v>1</v>
      </c>
      <c r="J1823" s="17" t="s">
        <v>12</v>
      </c>
      <c r="K1823" s="13" t="s">
        <v>15</v>
      </c>
      <c r="L1823" s="15">
        <v>93000</v>
      </c>
    </row>
    <row r="1824" spans="1:12" ht="21" customHeight="1" outlineLevel="2" x14ac:dyDescent="0.25">
      <c r="A1824" s="16">
        <f t="shared" si="367"/>
        <v>1823</v>
      </c>
      <c r="B1824" s="12" t="str">
        <f t="shared" si="376"/>
        <v>ЩС-2 (БЛОК 10)</v>
      </c>
      <c r="C1824" s="13" t="s">
        <v>43</v>
      </c>
      <c r="D1824" s="29" t="s">
        <v>344</v>
      </c>
      <c r="E1824" s="12" t="s">
        <v>345</v>
      </c>
      <c r="F1824" s="37">
        <v>74241</v>
      </c>
      <c r="G1824" s="38">
        <f t="shared" ref="G1824:G1842" si="377">F1824*0.6</f>
        <v>44544.6</v>
      </c>
      <c r="H1824" s="38">
        <f t="shared" ref="H1824:H1835" si="378">G1824*I1824</f>
        <v>44544.6</v>
      </c>
      <c r="I1824" s="16">
        <v>1</v>
      </c>
      <c r="J1824" s="17" t="s">
        <v>12</v>
      </c>
      <c r="K1824" s="13" t="s">
        <v>16</v>
      </c>
      <c r="L1824" s="15">
        <v>44544.6</v>
      </c>
    </row>
    <row r="1825" spans="1:12" ht="21" customHeight="1" outlineLevel="2" x14ac:dyDescent="0.25">
      <c r="A1825" s="16">
        <f t="shared" si="367"/>
        <v>1824</v>
      </c>
      <c r="B1825" s="12" t="str">
        <f t="shared" si="376"/>
        <v>ЩС-2 (БЛОК 10)</v>
      </c>
      <c r="C1825" s="13" t="s">
        <v>43</v>
      </c>
      <c r="D1825" s="29" t="s">
        <v>358</v>
      </c>
      <c r="E1825" s="12" t="s">
        <v>341</v>
      </c>
      <c r="F1825" s="37">
        <v>73778</v>
      </c>
      <c r="G1825" s="38">
        <f t="shared" si="377"/>
        <v>44266.799999999996</v>
      </c>
      <c r="H1825" s="38">
        <f t="shared" si="378"/>
        <v>44266.799999999996</v>
      </c>
      <c r="I1825" s="16">
        <v>1</v>
      </c>
      <c r="J1825" s="17" t="s">
        <v>12</v>
      </c>
      <c r="K1825" s="13" t="s">
        <v>16</v>
      </c>
      <c r="L1825" s="15">
        <v>44266.799999999996</v>
      </c>
    </row>
    <row r="1826" spans="1:12" ht="21" customHeight="1" outlineLevel="2" x14ac:dyDescent="0.25">
      <c r="A1826" s="16">
        <f t="shared" si="367"/>
        <v>1825</v>
      </c>
      <c r="B1826" s="12" t="str">
        <f t="shared" si="376"/>
        <v>ЩС-2 (БЛОК 10)</v>
      </c>
      <c r="C1826" s="13" t="s">
        <v>11</v>
      </c>
      <c r="D1826" s="29" t="s">
        <v>167</v>
      </c>
      <c r="E1826" s="12" t="s">
        <v>168</v>
      </c>
      <c r="F1826" s="37">
        <v>800</v>
      </c>
      <c r="G1826" s="38">
        <f t="shared" si="377"/>
        <v>480</v>
      </c>
      <c r="H1826" s="38">
        <f t="shared" si="378"/>
        <v>960</v>
      </c>
      <c r="I1826" s="16">
        <v>2</v>
      </c>
      <c r="J1826" s="17" t="s">
        <v>12</v>
      </c>
      <c r="K1826" s="13" t="s">
        <v>16</v>
      </c>
      <c r="L1826" s="15">
        <v>960</v>
      </c>
    </row>
    <row r="1827" spans="1:12" ht="21" customHeight="1" outlineLevel="2" x14ac:dyDescent="0.25">
      <c r="A1827" s="16">
        <f t="shared" si="367"/>
        <v>1826</v>
      </c>
      <c r="B1827" s="12" t="str">
        <f t="shared" si="376"/>
        <v>ЩС-2 (БЛОК 10)</v>
      </c>
      <c r="C1827" s="13" t="s">
        <v>11</v>
      </c>
      <c r="D1827" s="29" t="s">
        <v>284</v>
      </c>
      <c r="E1827" s="12" t="s">
        <v>285</v>
      </c>
      <c r="F1827" s="37">
        <v>796</v>
      </c>
      <c r="G1827" s="38">
        <f t="shared" si="377"/>
        <v>477.59999999999997</v>
      </c>
      <c r="H1827" s="38">
        <f t="shared" si="378"/>
        <v>477.59999999999997</v>
      </c>
      <c r="I1827" s="16">
        <v>1</v>
      </c>
      <c r="J1827" s="17" t="s">
        <v>12</v>
      </c>
      <c r="K1827" s="13" t="s">
        <v>16</v>
      </c>
      <c r="L1827" s="15">
        <v>477.59999999999997</v>
      </c>
    </row>
    <row r="1828" spans="1:12" ht="21" customHeight="1" outlineLevel="2" x14ac:dyDescent="0.25">
      <c r="A1828" s="16">
        <f t="shared" si="367"/>
        <v>1827</v>
      </c>
      <c r="B1828" s="12" t="str">
        <f t="shared" si="376"/>
        <v>ЩС-2 (БЛОК 10)</v>
      </c>
      <c r="C1828" s="13" t="s">
        <v>11</v>
      </c>
      <c r="D1828" s="29" t="s">
        <v>53</v>
      </c>
      <c r="E1828" s="12" t="s">
        <v>54</v>
      </c>
      <c r="F1828" s="37">
        <v>783</v>
      </c>
      <c r="G1828" s="38">
        <f t="shared" si="377"/>
        <v>469.79999999999995</v>
      </c>
      <c r="H1828" s="38">
        <f>G1828*I1828</f>
        <v>1409.3999999999999</v>
      </c>
      <c r="I1828" s="16">
        <v>3</v>
      </c>
      <c r="J1828" s="17" t="s">
        <v>12</v>
      </c>
      <c r="K1828" s="13" t="s">
        <v>16</v>
      </c>
      <c r="L1828" s="15">
        <v>1409.3999999999999</v>
      </c>
    </row>
    <row r="1829" spans="1:12" ht="21" customHeight="1" outlineLevel="2" x14ac:dyDescent="0.25">
      <c r="A1829" s="16">
        <f t="shared" si="367"/>
        <v>1828</v>
      </c>
      <c r="B1829" s="12" t="str">
        <f t="shared" si="376"/>
        <v>ЩС-2 (БЛОК 10)</v>
      </c>
      <c r="C1829" s="13" t="s">
        <v>11</v>
      </c>
      <c r="D1829" s="29" t="s">
        <v>292</v>
      </c>
      <c r="E1829" s="12" t="s">
        <v>293</v>
      </c>
      <c r="F1829" s="37">
        <v>783</v>
      </c>
      <c r="G1829" s="38">
        <f t="shared" si="377"/>
        <v>469.79999999999995</v>
      </c>
      <c r="H1829" s="38">
        <f t="shared" si="378"/>
        <v>469.79999999999995</v>
      </c>
      <c r="I1829" s="16">
        <v>1</v>
      </c>
      <c r="J1829" s="17" t="s">
        <v>12</v>
      </c>
      <c r="K1829" s="13" t="s">
        <v>16</v>
      </c>
      <c r="L1829" s="15">
        <v>469.79999999999995</v>
      </c>
    </row>
    <row r="1830" spans="1:12" ht="21" customHeight="1" outlineLevel="2" x14ac:dyDescent="0.25">
      <c r="A1830" s="16">
        <f t="shared" si="367"/>
        <v>1829</v>
      </c>
      <c r="B1830" s="12" t="str">
        <f t="shared" si="376"/>
        <v>ЩС-2 (БЛОК 10)</v>
      </c>
      <c r="C1830" s="13" t="s">
        <v>11</v>
      </c>
      <c r="D1830" s="29" t="s">
        <v>273</v>
      </c>
      <c r="E1830" s="12" t="s">
        <v>274</v>
      </c>
      <c r="F1830" s="37">
        <v>2499</v>
      </c>
      <c r="G1830" s="38">
        <f t="shared" si="377"/>
        <v>1499.3999999999999</v>
      </c>
      <c r="H1830" s="38">
        <f t="shared" si="378"/>
        <v>1499.3999999999999</v>
      </c>
      <c r="I1830" s="16">
        <v>1</v>
      </c>
      <c r="J1830" s="17" t="s">
        <v>12</v>
      </c>
      <c r="K1830" s="13" t="s">
        <v>16</v>
      </c>
      <c r="L1830" s="15">
        <v>1499.3999999999999</v>
      </c>
    </row>
    <row r="1831" spans="1:12" ht="21" customHeight="1" outlineLevel="2" x14ac:dyDescent="0.25">
      <c r="A1831" s="16">
        <f t="shared" si="367"/>
        <v>1830</v>
      </c>
      <c r="B1831" s="12" t="str">
        <f t="shared" si="376"/>
        <v>ЩС-2 (БЛОК 10)</v>
      </c>
      <c r="C1831" s="13" t="s">
        <v>11</v>
      </c>
      <c r="D1831" s="29" t="s">
        <v>51</v>
      </c>
      <c r="E1831" s="12" t="s">
        <v>52</v>
      </c>
      <c r="F1831" s="37">
        <v>2337</v>
      </c>
      <c r="G1831" s="38">
        <f t="shared" si="377"/>
        <v>1402.2</v>
      </c>
      <c r="H1831" s="38">
        <f t="shared" si="378"/>
        <v>1402.2</v>
      </c>
      <c r="I1831" s="16">
        <v>1</v>
      </c>
      <c r="J1831" s="17" t="s">
        <v>12</v>
      </c>
      <c r="K1831" s="13" t="s">
        <v>16</v>
      </c>
      <c r="L1831" s="15">
        <v>1402.2</v>
      </c>
    </row>
    <row r="1832" spans="1:12" ht="21" customHeight="1" outlineLevel="2" x14ac:dyDescent="0.25">
      <c r="A1832" s="16">
        <f t="shared" si="367"/>
        <v>1831</v>
      </c>
      <c r="B1832" s="12" t="str">
        <f t="shared" si="376"/>
        <v>ЩС-2 (БЛОК 10)</v>
      </c>
      <c r="C1832" s="13" t="s">
        <v>22</v>
      </c>
      <c r="D1832" s="29" t="s">
        <v>248</v>
      </c>
      <c r="E1832" s="12" t="s">
        <v>249</v>
      </c>
      <c r="F1832" s="37">
        <v>5834</v>
      </c>
      <c r="G1832" s="38">
        <f t="shared" si="377"/>
        <v>3500.4</v>
      </c>
      <c r="H1832" s="38">
        <f t="shared" ref="H1832" si="379">G1832*I1832</f>
        <v>3500.4</v>
      </c>
      <c r="I1832" s="16">
        <v>1</v>
      </c>
      <c r="J1832" s="17" t="s">
        <v>12</v>
      </c>
      <c r="K1832" s="13" t="s">
        <v>16</v>
      </c>
      <c r="L1832" s="15">
        <v>3500.4</v>
      </c>
    </row>
    <row r="1833" spans="1:12" ht="21" customHeight="1" outlineLevel="2" x14ac:dyDescent="0.25">
      <c r="A1833" s="16">
        <f t="shared" si="367"/>
        <v>1832</v>
      </c>
      <c r="B1833" s="12" t="str">
        <f t="shared" si="376"/>
        <v>ЩС-2 (БЛОК 10)</v>
      </c>
      <c r="C1833" s="13" t="s">
        <v>22</v>
      </c>
      <c r="D1833" s="29" t="s">
        <v>96</v>
      </c>
      <c r="E1833" s="12" t="s">
        <v>97</v>
      </c>
      <c r="F1833" s="37">
        <v>5069</v>
      </c>
      <c r="G1833" s="38">
        <f t="shared" si="377"/>
        <v>3041.4</v>
      </c>
      <c r="H1833" s="38">
        <f t="shared" si="378"/>
        <v>3041.4</v>
      </c>
      <c r="I1833" s="16">
        <v>1</v>
      </c>
      <c r="J1833" s="17" t="s">
        <v>12</v>
      </c>
      <c r="K1833" s="13" t="s">
        <v>16</v>
      </c>
      <c r="L1833" s="15">
        <v>3041.4</v>
      </c>
    </row>
    <row r="1834" spans="1:12" ht="21" customHeight="1" outlineLevel="2" x14ac:dyDescent="0.25">
      <c r="A1834" s="16">
        <f t="shared" si="367"/>
        <v>1833</v>
      </c>
      <c r="B1834" s="12" t="str">
        <f t="shared" si="376"/>
        <v>ЩС-2 (БЛОК 10)</v>
      </c>
      <c r="C1834" s="13" t="s">
        <v>22</v>
      </c>
      <c r="D1834" s="29" t="s">
        <v>268</v>
      </c>
      <c r="E1834" s="12" t="s">
        <v>269</v>
      </c>
      <c r="F1834" s="37">
        <v>5632</v>
      </c>
      <c r="G1834" s="38">
        <f t="shared" si="377"/>
        <v>3379.2</v>
      </c>
      <c r="H1834" s="38">
        <f t="shared" si="378"/>
        <v>6758.4</v>
      </c>
      <c r="I1834" s="16">
        <v>2</v>
      </c>
      <c r="J1834" s="17" t="s">
        <v>12</v>
      </c>
      <c r="K1834" s="13" t="s">
        <v>16</v>
      </c>
      <c r="L1834" s="15">
        <v>6758.4</v>
      </c>
    </row>
    <row r="1835" spans="1:12" ht="21" customHeight="1" outlineLevel="2" x14ac:dyDescent="0.25">
      <c r="A1835" s="16">
        <f t="shared" si="367"/>
        <v>1834</v>
      </c>
      <c r="B1835" s="12" t="str">
        <f t="shared" si="376"/>
        <v>ЩС-2 (БЛОК 10)</v>
      </c>
      <c r="C1835" s="13" t="s">
        <v>22</v>
      </c>
      <c r="D1835" s="29" t="s">
        <v>117</v>
      </c>
      <c r="E1835" s="12" t="s">
        <v>118</v>
      </c>
      <c r="F1835" s="37">
        <v>5104</v>
      </c>
      <c r="G1835" s="38">
        <f t="shared" si="377"/>
        <v>3062.4</v>
      </c>
      <c r="H1835" s="38">
        <f t="shared" si="378"/>
        <v>12249.6</v>
      </c>
      <c r="I1835" s="16">
        <v>4</v>
      </c>
      <c r="J1835" s="17" t="s">
        <v>12</v>
      </c>
      <c r="K1835" s="13" t="s">
        <v>16</v>
      </c>
      <c r="L1835" s="15">
        <v>12249.6</v>
      </c>
    </row>
    <row r="1836" spans="1:12" ht="21" customHeight="1" outlineLevel="2" x14ac:dyDescent="0.25">
      <c r="A1836" s="16">
        <f t="shared" si="367"/>
        <v>1835</v>
      </c>
      <c r="B1836" s="12" t="str">
        <f t="shared" si="376"/>
        <v>ЩС-2 (БЛОК 10)</v>
      </c>
      <c r="C1836" s="13" t="s">
        <v>22</v>
      </c>
      <c r="D1836" s="29" t="s">
        <v>270</v>
      </c>
      <c r="E1836" s="12" t="s">
        <v>271</v>
      </c>
      <c r="F1836" s="37">
        <v>5719</v>
      </c>
      <c r="G1836" s="38">
        <f t="shared" si="377"/>
        <v>3431.4</v>
      </c>
      <c r="H1836" s="38">
        <f>G1836*I1836</f>
        <v>3431.4</v>
      </c>
      <c r="I1836" s="16">
        <v>1</v>
      </c>
      <c r="J1836" s="17" t="s">
        <v>12</v>
      </c>
      <c r="K1836" s="13" t="s">
        <v>16</v>
      </c>
      <c r="L1836" s="15">
        <v>3431.4</v>
      </c>
    </row>
    <row r="1837" spans="1:12" ht="21" customHeight="1" outlineLevel="2" x14ac:dyDescent="0.25">
      <c r="A1837" s="16">
        <f t="shared" si="367"/>
        <v>1836</v>
      </c>
      <c r="B1837" s="12" t="str">
        <f t="shared" si="376"/>
        <v>ЩС-2 (БЛОК 10)</v>
      </c>
      <c r="C1837" s="13" t="s">
        <v>22</v>
      </c>
      <c r="D1837" s="29" t="s">
        <v>250</v>
      </c>
      <c r="E1837" s="12" t="s">
        <v>251</v>
      </c>
      <c r="F1837" s="37">
        <v>8352</v>
      </c>
      <c r="G1837" s="38">
        <f t="shared" si="377"/>
        <v>5011.2</v>
      </c>
      <c r="H1837" s="38">
        <f t="shared" ref="H1837:H1843" si="380">G1837*I1837</f>
        <v>5011.2</v>
      </c>
      <c r="I1837" s="16">
        <v>1</v>
      </c>
      <c r="J1837" s="17" t="s">
        <v>12</v>
      </c>
      <c r="K1837" s="13" t="s">
        <v>16</v>
      </c>
      <c r="L1837" s="15">
        <v>5011.2</v>
      </c>
    </row>
    <row r="1838" spans="1:12" ht="21" customHeight="1" outlineLevel="2" x14ac:dyDescent="0.25">
      <c r="A1838" s="16">
        <f t="shared" si="367"/>
        <v>1837</v>
      </c>
      <c r="B1838" s="12" t="str">
        <f t="shared" si="376"/>
        <v>ЩС-2 (БЛОК 10)</v>
      </c>
      <c r="C1838" s="13" t="s">
        <v>48</v>
      </c>
      <c r="D1838" s="29" t="s">
        <v>349</v>
      </c>
      <c r="E1838" s="12" t="s">
        <v>350</v>
      </c>
      <c r="F1838" s="37">
        <v>100471</v>
      </c>
      <c r="G1838" s="38">
        <f t="shared" si="377"/>
        <v>60282.6</v>
      </c>
      <c r="H1838" s="38">
        <f t="shared" si="380"/>
        <v>60282.6</v>
      </c>
      <c r="I1838" s="16">
        <v>1</v>
      </c>
      <c r="J1838" s="17" t="s">
        <v>12</v>
      </c>
      <c r="K1838" s="13" t="s">
        <v>16</v>
      </c>
      <c r="L1838" s="15">
        <v>60282.6</v>
      </c>
    </row>
    <row r="1839" spans="1:12" ht="21" customHeight="1" outlineLevel="2" x14ac:dyDescent="0.25">
      <c r="A1839" s="16">
        <f t="shared" si="367"/>
        <v>1838</v>
      </c>
      <c r="B1839" s="12" t="str">
        <f t="shared" si="376"/>
        <v>ЩС-2 (БЛОК 10)</v>
      </c>
      <c r="C1839" s="13" t="s">
        <v>48</v>
      </c>
      <c r="D1839" s="29" t="s">
        <v>431</v>
      </c>
      <c r="E1839" s="12" t="s">
        <v>432</v>
      </c>
      <c r="F1839" s="37">
        <v>249836</v>
      </c>
      <c r="G1839" s="38">
        <f t="shared" si="377"/>
        <v>149901.6</v>
      </c>
      <c r="H1839" s="38">
        <f t="shared" si="380"/>
        <v>149901.6</v>
      </c>
      <c r="I1839" s="16">
        <v>1</v>
      </c>
      <c r="J1839" s="17" t="s">
        <v>12</v>
      </c>
      <c r="K1839" s="13" t="s">
        <v>16</v>
      </c>
      <c r="L1839" s="15">
        <v>149901.6</v>
      </c>
    </row>
    <row r="1840" spans="1:12" ht="21" customHeight="1" outlineLevel="2" x14ac:dyDescent="0.25">
      <c r="A1840" s="16">
        <f t="shared" si="367"/>
        <v>1839</v>
      </c>
      <c r="B1840" s="12" t="str">
        <f t="shared" si="376"/>
        <v>ЩС-2 (БЛОК 10)</v>
      </c>
      <c r="C1840" s="13" t="s">
        <v>48</v>
      </c>
      <c r="D1840" s="29" t="s">
        <v>289</v>
      </c>
      <c r="E1840" s="12" t="s">
        <v>290</v>
      </c>
      <c r="F1840" s="37">
        <v>13919</v>
      </c>
      <c r="G1840" s="38">
        <f t="shared" si="377"/>
        <v>8351.4</v>
      </c>
      <c r="H1840" s="38">
        <f t="shared" si="380"/>
        <v>16702.8</v>
      </c>
      <c r="I1840" s="16">
        <v>2</v>
      </c>
      <c r="J1840" s="17" t="s">
        <v>12</v>
      </c>
      <c r="K1840" s="13" t="s">
        <v>16</v>
      </c>
      <c r="L1840" s="15">
        <v>16702.8</v>
      </c>
    </row>
    <row r="1841" spans="1:12" ht="21" customHeight="1" outlineLevel="2" x14ac:dyDescent="0.25">
      <c r="A1841" s="16">
        <f t="shared" si="367"/>
        <v>1840</v>
      </c>
      <c r="B1841" s="12" t="str">
        <f t="shared" si="376"/>
        <v>ЩС-2 (БЛОК 10)</v>
      </c>
      <c r="C1841" s="13" t="s">
        <v>48</v>
      </c>
      <c r="D1841" s="29" t="s">
        <v>282</v>
      </c>
      <c r="E1841" s="12" t="s">
        <v>283</v>
      </c>
      <c r="F1841" s="37">
        <v>12145</v>
      </c>
      <c r="G1841" s="38">
        <f t="shared" si="377"/>
        <v>7287</v>
      </c>
      <c r="H1841" s="38">
        <f t="shared" si="380"/>
        <v>21861</v>
      </c>
      <c r="I1841" s="16">
        <v>3</v>
      </c>
      <c r="J1841" s="17" t="s">
        <v>12</v>
      </c>
      <c r="K1841" s="13" t="s">
        <v>16</v>
      </c>
      <c r="L1841" s="15">
        <v>21861</v>
      </c>
    </row>
    <row r="1842" spans="1:12" ht="21" customHeight="1" outlineLevel="2" x14ac:dyDescent="0.25">
      <c r="A1842" s="16">
        <f t="shared" si="367"/>
        <v>1841</v>
      </c>
      <c r="B1842" s="12" t="str">
        <f t="shared" si="376"/>
        <v>ЩС-2 (БЛОК 10)</v>
      </c>
      <c r="C1842" s="13" t="s">
        <v>48</v>
      </c>
      <c r="D1842" s="29" t="s">
        <v>242</v>
      </c>
      <c r="E1842" s="12" t="s">
        <v>243</v>
      </c>
      <c r="F1842" s="37">
        <v>6145</v>
      </c>
      <c r="G1842" s="38">
        <f t="shared" si="377"/>
        <v>3687</v>
      </c>
      <c r="H1842" s="38">
        <f t="shared" si="380"/>
        <v>11061</v>
      </c>
      <c r="I1842" s="16">
        <v>3</v>
      </c>
      <c r="J1842" s="17" t="s">
        <v>12</v>
      </c>
      <c r="K1842" s="13" t="s">
        <v>16</v>
      </c>
      <c r="L1842" s="15">
        <v>11061</v>
      </c>
    </row>
    <row r="1843" spans="1:12" ht="24" customHeight="1" outlineLevel="2" x14ac:dyDescent="0.25">
      <c r="A1843" s="12">
        <f t="shared" si="367"/>
        <v>1842</v>
      </c>
      <c r="B1843" s="12" t="str">
        <f t="shared" si="376"/>
        <v>ЩС-2 (БЛОК 10)</v>
      </c>
      <c r="C1843" s="12" t="s">
        <v>9</v>
      </c>
      <c r="D1843" s="30" t="s">
        <v>9</v>
      </c>
      <c r="E1843" s="12" t="s">
        <v>9</v>
      </c>
      <c r="F1843" s="18">
        <f ca="1">OFFSET(F1843,1,2)</f>
        <v>120000</v>
      </c>
      <c r="G1843" s="38">
        <f ca="1">F1843</f>
        <v>120000</v>
      </c>
      <c r="H1843" s="38">
        <f t="shared" ca="1" si="380"/>
        <v>120000</v>
      </c>
      <c r="I1843" s="12">
        <v>1</v>
      </c>
      <c r="J1843" s="12" t="s">
        <v>12</v>
      </c>
      <c r="K1843" s="12" t="s">
        <v>9</v>
      </c>
      <c r="L1843" s="15">
        <v>120000</v>
      </c>
    </row>
    <row r="1844" spans="1:12" ht="21" customHeight="1" outlineLevel="2" x14ac:dyDescent="0.25">
      <c r="A1844" s="12">
        <f t="shared" si="367"/>
        <v>1843</v>
      </c>
      <c r="B1844" s="12" t="str">
        <f t="shared" si="376"/>
        <v>ЩС-2 (БЛОК 10)</v>
      </c>
      <c r="C1844" s="12" t="s">
        <v>10</v>
      </c>
      <c r="D1844" s="30" t="s">
        <v>10</v>
      </c>
      <c r="E1844" s="12" t="s">
        <v>10</v>
      </c>
      <c r="F1844" s="18">
        <v>20</v>
      </c>
      <c r="G1844" s="38">
        <v>100</v>
      </c>
      <c r="H1844" s="38">
        <f>60*F1844*G1844</f>
        <v>120000</v>
      </c>
      <c r="I1844" s="12">
        <f>60*F1844</f>
        <v>1200</v>
      </c>
      <c r="J1844" s="12" t="s">
        <v>12</v>
      </c>
      <c r="K1844" s="12" t="s">
        <v>10</v>
      </c>
      <c r="L1844" s="15">
        <v>120000</v>
      </c>
    </row>
    <row r="1845" spans="1:12" ht="21" customHeight="1" outlineLevel="1" x14ac:dyDescent="0.25">
      <c r="A1845" s="12"/>
      <c r="B1845" s="12" t="s">
        <v>796</v>
      </c>
      <c r="C1845" s="12"/>
      <c r="D1845" s="30"/>
      <c r="E1845" s="12"/>
      <c r="F1845" s="18"/>
      <c r="G1845" s="38"/>
      <c r="H1845" s="38">
        <f ca="1">SUBTOTAL(9,H1822:H1844)</f>
        <v>721831.2</v>
      </c>
      <c r="I1845" s="12"/>
      <c r="J1845" s="12"/>
      <c r="K1845" s="12"/>
      <c r="L1845" s="15">
        <v>721831.2</v>
      </c>
    </row>
    <row r="1846" spans="1:12" ht="39.75" customHeight="1" outlineLevel="2" x14ac:dyDescent="0.25">
      <c r="A1846" s="10">
        <f>ROW(A1844)</f>
        <v>1844</v>
      </c>
      <c r="B1846" s="6" t="str">
        <f>E1846</f>
        <v>ЩВ-1 (БЛОК 10)</v>
      </c>
      <c r="C1846" s="6"/>
      <c r="D1846" s="28"/>
      <c r="E1846" s="6" t="s">
        <v>433</v>
      </c>
      <c r="F1846" s="36"/>
      <c r="G1846" s="36" t="s">
        <v>73</v>
      </c>
      <c r="H1846" s="7"/>
      <c r="I1846" s="10">
        <v>1</v>
      </c>
      <c r="J1846" s="11" t="s">
        <v>6</v>
      </c>
      <c r="K1846" s="6" t="s">
        <v>8</v>
      </c>
      <c r="L1846" s="9"/>
    </row>
    <row r="1847" spans="1:12" ht="21" customHeight="1" outlineLevel="2" x14ac:dyDescent="0.25">
      <c r="A1847" s="16">
        <f t="shared" si="367"/>
        <v>1846</v>
      </c>
      <c r="B1847" s="12" t="str">
        <f t="shared" ref="B1847:B1857" si="381">B1846</f>
        <v>ЩВ-1 (БЛОК 10)</v>
      </c>
      <c r="C1847" s="13" t="s">
        <v>7</v>
      </c>
      <c r="D1847" s="29" t="s">
        <v>470</v>
      </c>
      <c r="E1847" s="12" t="s">
        <v>471</v>
      </c>
      <c r="F1847" s="37">
        <v>19000</v>
      </c>
      <c r="G1847" s="38">
        <f t="shared" ref="G1847:G1855" si="382">F1847*0.6</f>
        <v>11400</v>
      </c>
      <c r="H1847" s="38">
        <f>I1847*G1847</f>
        <v>11400</v>
      </c>
      <c r="I1847" s="16">
        <v>1</v>
      </c>
      <c r="J1847" s="17" t="s">
        <v>12</v>
      </c>
      <c r="K1847" s="13" t="s">
        <v>15</v>
      </c>
      <c r="L1847" s="15">
        <v>11400</v>
      </c>
    </row>
    <row r="1848" spans="1:12" ht="21" customHeight="1" outlineLevel="2" x14ac:dyDescent="0.25">
      <c r="A1848" s="16">
        <f t="shared" si="367"/>
        <v>1847</v>
      </c>
      <c r="B1848" s="12" t="str">
        <f t="shared" si="381"/>
        <v>ЩВ-1 (БЛОК 10)</v>
      </c>
      <c r="C1848" s="13" t="s">
        <v>11</v>
      </c>
      <c r="D1848" s="29" t="s">
        <v>28</v>
      </c>
      <c r="E1848" s="12" t="s">
        <v>27</v>
      </c>
      <c r="F1848" s="37">
        <v>2606</v>
      </c>
      <c r="G1848" s="38">
        <f t="shared" si="382"/>
        <v>1563.6</v>
      </c>
      <c r="H1848" s="38">
        <f t="shared" ref="H1848:H1850" si="383">G1848*I1848</f>
        <v>1563.6</v>
      </c>
      <c r="I1848" s="16">
        <v>1</v>
      </c>
      <c r="J1848" s="17" t="s">
        <v>12</v>
      </c>
      <c r="K1848" s="13" t="s">
        <v>16</v>
      </c>
      <c r="L1848" s="15">
        <v>1563.6</v>
      </c>
    </row>
    <row r="1849" spans="1:12" ht="21" customHeight="1" outlineLevel="2" x14ac:dyDescent="0.25">
      <c r="A1849" s="16">
        <f t="shared" si="367"/>
        <v>1848</v>
      </c>
      <c r="B1849" s="12" t="str">
        <f t="shared" si="381"/>
        <v>ЩВ-1 (БЛОК 10)</v>
      </c>
      <c r="C1849" s="13" t="s">
        <v>11</v>
      </c>
      <c r="D1849" s="29" t="s">
        <v>20</v>
      </c>
      <c r="E1849" s="12" t="s">
        <v>21</v>
      </c>
      <c r="F1849" s="37">
        <v>2429</v>
      </c>
      <c r="G1849" s="38">
        <f t="shared" si="382"/>
        <v>1457.3999999999999</v>
      </c>
      <c r="H1849" s="38">
        <f t="shared" si="383"/>
        <v>1457.3999999999999</v>
      </c>
      <c r="I1849" s="16">
        <v>1</v>
      </c>
      <c r="J1849" s="17" t="s">
        <v>12</v>
      </c>
      <c r="K1849" s="13" t="s">
        <v>16</v>
      </c>
      <c r="L1849" s="15">
        <v>1457.3999999999999</v>
      </c>
    </row>
    <row r="1850" spans="1:12" ht="21" customHeight="1" outlineLevel="2" x14ac:dyDescent="0.25">
      <c r="A1850" s="16">
        <f t="shared" si="367"/>
        <v>1849</v>
      </c>
      <c r="B1850" s="12" t="str">
        <f t="shared" si="381"/>
        <v>ЩВ-1 (БЛОК 10)</v>
      </c>
      <c r="C1850" s="13" t="s">
        <v>11</v>
      </c>
      <c r="D1850" s="29" t="s">
        <v>280</v>
      </c>
      <c r="E1850" s="12" t="s">
        <v>281</v>
      </c>
      <c r="F1850" s="37">
        <v>2447</v>
      </c>
      <c r="G1850" s="38">
        <f t="shared" si="382"/>
        <v>1468.2</v>
      </c>
      <c r="H1850" s="38">
        <f t="shared" si="383"/>
        <v>1468.2</v>
      </c>
      <c r="I1850" s="16">
        <v>1</v>
      </c>
      <c r="J1850" s="17" t="s">
        <v>12</v>
      </c>
      <c r="K1850" s="13" t="s">
        <v>16</v>
      </c>
      <c r="L1850" s="15">
        <v>1468.2</v>
      </c>
    </row>
    <row r="1851" spans="1:12" ht="21" customHeight="1" outlineLevel="2" x14ac:dyDescent="0.25">
      <c r="A1851" s="16">
        <f t="shared" si="367"/>
        <v>1850</v>
      </c>
      <c r="B1851" s="12" t="str">
        <f t="shared" si="381"/>
        <v>ЩВ-1 (БЛОК 10)</v>
      </c>
      <c r="C1851" s="13" t="s">
        <v>22</v>
      </c>
      <c r="D1851" s="29" t="s">
        <v>250</v>
      </c>
      <c r="E1851" s="12" t="s">
        <v>251</v>
      </c>
      <c r="F1851" s="37">
        <v>8352</v>
      </c>
      <c r="G1851" s="38">
        <f t="shared" si="382"/>
        <v>5011.2</v>
      </c>
      <c r="H1851" s="38">
        <f t="shared" ref="H1851:H1852" si="384">G1851*I1851</f>
        <v>5011.2</v>
      </c>
      <c r="I1851" s="16">
        <v>1</v>
      </c>
      <c r="J1851" s="17" t="s">
        <v>12</v>
      </c>
      <c r="K1851" s="13" t="s">
        <v>16</v>
      </c>
      <c r="L1851" s="15">
        <v>5011.2</v>
      </c>
    </row>
    <row r="1852" spans="1:12" ht="21" customHeight="1" outlineLevel="2" x14ac:dyDescent="0.25">
      <c r="A1852" s="16">
        <f t="shared" si="367"/>
        <v>1851</v>
      </c>
      <c r="B1852" s="12" t="str">
        <f t="shared" si="381"/>
        <v>ЩВ-1 (БЛОК 10)</v>
      </c>
      <c r="C1852" s="13" t="s">
        <v>11</v>
      </c>
      <c r="D1852" s="29" t="s">
        <v>292</v>
      </c>
      <c r="E1852" s="12" t="s">
        <v>293</v>
      </c>
      <c r="F1852" s="37">
        <v>783</v>
      </c>
      <c r="G1852" s="38">
        <f t="shared" si="382"/>
        <v>469.79999999999995</v>
      </c>
      <c r="H1852" s="38">
        <f t="shared" si="384"/>
        <v>1409.3999999999999</v>
      </c>
      <c r="I1852" s="16">
        <v>3</v>
      </c>
      <c r="J1852" s="17" t="s">
        <v>12</v>
      </c>
      <c r="K1852" s="13" t="s">
        <v>16</v>
      </c>
      <c r="L1852" s="15">
        <v>1409.3999999999999</v>
      </c>
    </row>
    <row r="1853" spans="1:12" ht="21" customHeight="1" outlineLevel="2" x14ac:dyDescent="0.25">
      <c r="A1853" s="16">
        <f t="shared" si="367"/>
        <v>1852</v>
      </c>
      <c r="B1853" s="12" t="str">
        <f t="shared" si="381"/>
        <v>ЩВ-1 (БЛОК 10)</v>
      </c>
      <c r="C1853" s="13" t="s">
        <v>22</v>
      </c>
      <c r="D1853" s="29" t="s">
        <v>270</v>
      </c>
      <c r="E1853" s="12" t="s">
        <v>271</v>
      </c>
      <c r="F1853" s="37">
        <v>5719</v>
      </c>
      <c r="G1853" s="38">
        <f t="shared" si="382"/>
        <v>3431.4</v>
      </c>
      <c r="H1853" s="38">
        <f t="shared" ref="H1853:H1856" si="385">G1853*I1853</f>
        <v>6862.8</v>
      </c>
      <c r="I1853" s="16">
        <v>2</v>
      </c>
      <c r="J1853" s="17" t="s">
        <v>12</v>
      </c>
      <c r="K1853" s="13" t="s">
        <v>16</v>
      </c>
      <c r="L1853" s="15">
        <v>6862.8</v>
      </c>
    </row>
    <row r="1854" spans="1:12" ht="21" customHeight="1" outlineLevel="2" x14ac:dyDescent="0.25">
      <c r="A1854" s="16">
        <f t="shared" si="367"/>
        <v>1853</v>
      </c>
      <c r="B1854" s="12" t="str">
        <f t="shared" si="381"/>
        <v>ЩВ-1 (БЛОК 10)</v>
      </c>
      <c r="C1854" s="13" t="s">
        <v>48</v>
      </c>
      <c r="D1854" s="29" t="s">
        <v>289</v>
      </c>
      <c r="E1854" s="12" t="s">
        <v>290</v>
      </c>
      <c r="F1854" s="37">
        <v>13919</v>
      </c>
      <c r="G1854" s="38">
        <f t="shared" si="382"/>
        <v>8351.4</v>
      </c>
      <c r="H1854" s="38">
        <f t="shared" si="385"/>
        <v>8351.4</v>
      </c>
      <c r="I1854" s="16">
        <v>1</v>
      </c>
      <c r="J1854" s="17" t="s">
        <v>12</v>
      </c>
      <c r="K1854" s="13" t="s">
        <v>16</v>
      </c>
      <c r="L1854" s="15">
        <v>8351.4</v>
      </c>
    </row>
    <row r="1855" spans="1:12" ht="21" customHeight="1" outlineLevel="2" x14ac:dyDescent="0.25">
      <c r="A1855" s="16">
        <f t="shared" si="367"/>
        <v>1854</v>
      </c>
      <c r="B1855" s="12" t="str">
        <f t="shared" si="381"/>
        <v>ЩВ-1 (БЛОК 10)</v>
      </c>
      <c r="C1855" s="13" t="s">
        <v>48</v>
      </c>
      <c r="D1855" s="29" t="s">
        <v>282</v>
      </c>
      <c r="E1855" s="12" t="s">
        <v>283</v>
      </c>
      <c r="F1855" s="37">
        <v>12145</v>
      </c>
      <c r="G1855" s="38">
        <f t="shared" si="382"/>
        <v>7287</v>
      </c>
      <c r="H1855" s="38">
        <f t="shared" si="385"/>
        <v>7287</v>
      </c>
      <c r="I1855" s="16">
        <v>1</v>
      </c>
      <c r="J1855" s="17" t="s">
        <v>12</v>
      </c>
      <c r="K1855" s="13" t="s">
        <v>16</v>
      </c>
      <c r="L1855" s="15">
        <v>7287</v>
      </c>
    </row>
    <row r="1856" spans="1:12" ht="24" customHeight="1" outlineLevel="2" x14ac:dyDescent="0.25">
      <c r="A1856" s="12">
        <f t="shared" si="367"/>
        <v>1855</v>
      </c>
      <c r="B1856" s="12" t="str">
        <f t="shared" si="381"/>
        <v>ЩВ-1 (БЛОК 10)</v>
      </c>
      <c r="C1856" s="12" t="s">
        <v>9</v>
      </c>
      <c r="D1856" s="30" t="s">
        <v>9</v>
      </c>
      <c r="E1856" s="12" t="s">
        <v>9</v>
      </c>
      <c r="F1856" s="18">
        <f ca="1">OFFSET(F1856,1,2)</f>
        <v>15000</v>
      </c>
      <c r="G1856" s="38">
        <f ca="1">F1856</f>
        <v>15000</v>
      </c>
      <c r="H1856" s="38">
        <f t="shared" ca="1" si="385"/>
        <v>15000</v>
      </c>
      <c r="I1856" s="12">
        <v>1</v>
      </c>
      <c r="J1856" s="12" t="s">
        <v>12</v>
      </c>
      <c r="K1856" s="12" t="s">
        <v>9</v>
      </c>
      <c r="L1856" s="15">
        <v>15000</v>
      </c>
    </row>
    <row r="1857" spans="1:12" ht="21" customHeight="1" outlineLevel="2" x14ac:dyDescent="0.25">
      <c r="A1857" s="12">
        <f t="shared" si="367"/>
        <v>1856</v>
      </c>
      <c r="B1857" s="12" t="str">
        <f t="shared" si="381"/>
        <v>ЩВ-1 (БЛОК 10)</v>
      </c>
      <c r="C1857" s="12" t="s">
        <v>10</v>
      </c>
      <c r="D1857" s="30" t="s">
        <v>10</v>
      </c>
      <c r="E1857" s="12" t="s">
        <v>10</v>
      </c>
      <c r="F1857" s="18">
        <v>2.5</v>
      </c>
      <c r="G1857" s="38">
        <v>100</v>
      </c>
      <c r="H1857" s="38">
        <f>60*F1857*G1857</f>
        <v>15000</v>
      </c>
      <c r="I1857" s="12">
        <f>60*F1857</f>
        <v>150</v>
      </c>
      <c r="J1857" s="12" t="s">
        <v>12</v>
      </c>
      <c r="K1857" s="12" t="s">
        <v>10</v>
      </c>
      <c r="L1857" s="15">
        <v>15000</v>
      </c>
    </row>
    <row r="1858" spans="1:12" ht="21" customHeight="1" outlineLevel="1" x14ac:dyDescent="0.25">
      <c r="A1858" s="12"/>
      <c r="B1858" s="12" t="s">
        <v>797</v>
      </c>
      <c r="C1858" s="12"/>
      <c r="D1858" s="30"/>
      <c r="E1858" s="12"/>
      <c r="F1858" s="18"/>
      <c r="G1858" s="38"/>
      <c r="H1858" s="38">
        <f ca="1">SUBTOTAL(9,H1846:H1857)</f>
        <v>74811</v>
      </c>
      <c r="I1858" s="12"/>
      <c r="J1858" s="12"/>
      <c r="K1858" s="12"/>
      <c r="L1858" s="15">
        <v>74811</v>
      </c>
    </row>
    <row r="1859" spans="1:12" ht="39.75" customHeight="1" outlineLevel="2" x14ac:dyDescent="0.25">
      <c r="A1859" s="10">
        <f>ROW(A1857)</f>
        <v>1857</v>
      </c>
      <c r="B1859" s="6" t="str">
        <f>E1859</f>
        <v>ЩВ-2 (БЛОК 10)</v>
      </c>
      <c r="C1859" s="6"/>
      <c r="D1859" s="28"/>
      <c r="E1859" s="6" t="s">
        <v>434</v>
      </c>
      <c r="F1859" s="36"/>
      <c r="G1859" s="36" t="s">
        <v>73</v>
      </c>
      <c r="H1859" s="7"/>
      <c r="I1859" s="10">
        <v>1</v>
      </c>
      <c r="J1859" s="11" t="s">
        <v>6</v>
      </c>
      <c r="K1859" s="6" t="s">
        <v>8</v>
      </c>
      <c r="L1859" s="9"/>
    </row>
    <row r="1860" spans="1:12" ht="21" customHeight="1" outlineLevel="2" x14ac:dyDescent="0.25">
      <c r="A1860" s="16">
        <f t="shared" si="367"/>
        <v>1859</v>
      </c>
      <c r="B1860" s="12" t="str">
        <f t="shared" ref="B1860:B1870" si="386">B1859</f>
        <v>ЩВ-2 (БЛОК 10)</v>
      </c>
      <c r="C1860" s="13" t="s">
        <v>7</v>
      </c>
      <c r="D1860" s="29" t="s">
        <v>470</v>
      </c>
      <c r="E1860" s="12" t="s">
        <v>471</v>
      </c>
      <c r="F1860" s="37">
        <v>19000</v>
      </c>
      <c r="G1860" s="38">
        <f t="shared" ref="G1860:G1868" si="387">F1860*0.6</f>
        <v>11400</v>
      </c>
      <c r="H1860" s="38">
        <f>I1860*G1860</f>
        <v>11400</v>
      </c>
      <c r="I1860" s="16">
        <v>1</v>
      </c>
      <c r="J1860" s="17" t="s">
        <v>12</v>
      </c>
      <c r="K1860" s="13" t="s">
        <v>15</v>
      </c>
      <c r="L1860" s="15">
        <v>11400</v>
      </c>
    </row>
    <row r="1861" spans="1:12" ht="21" customHeight="1" outlineLevel="2" x14ac:dyDescent="0.25">
      <c r="A1861" s="16">
        <f t="shared" si="367"/>
        <v>1860</v>
      </c>
      <c r="B1861" s="12" t="str">
        <f t="shared" si="386"/>
        <v>ЩВ-2 (БЛОК 10)</v>
      </c>
      <c r="C1861" s="13" t="s">
        <v>11</v>
      </c>
      <c r="D1861" s="29" t="s">
        <v>29</v>
      </c>
      <c r="E1861" s="12" t="s">
        <v>30</v>
      </c>
      <c r="F1861" s="37">
        <v>3172</v>
      </c>
      <c r="G1861" s="38">
        <f t="shared" si="387"/>
        <v>1903.1999999999998</v>
      </c>
      <c r="H1861" s="38">
        <f t="shared" ref="H1861" si="388">G1861*I1861</f>
        <v>1903.1999999999998</v>
      </c>
      <c r="I1861" s="16">
        <v>1</v>
      </c>
      <c r="J1861" s="17" t="s">
        <v>12</v>
      </c>
      <c r="K1861" s="13" t="s">
        <v>16</v>
      </c>
      <c r="L1861" s="15">
        <v>1903.1999999999998</v>
      </c>
    </row>
    <row r="1862" spans="1:12" ht="21" customHeight="1" outlineLevel="2" x14ac:dyDescent="0.25">
      <c r="A1862" s="16">
        <f t="shared" si="367"/>
        <v>1861</v>
      </c>
      <c r="B1862" s="12" t="str">
        <f t="shared" si="386"/>
        <v>ЩВ-2 (БЛОК 10)</v>
      </c>
      <c r="C1862" s="13" t="s">
        <v>596</v>
      </c>
      <c r="D1862" s="29" t="s">
        <v>45</v>
      </c>
      <c r="E1862" s="12" t="s">
        <v>46</v>
      </c>
      <c r="F1862" s="37">
        <v>5354</v>
      </c>
      <c r="G1862" s="38">
        <f t="shared" si="387"/>
        <v>3212.4</v>
      </c>
      <c r="H1862" s="38">
        <f>G1862*I1862</f>
        <v>3212.4</v>
      </c>
      <c r="I1862" s="16">
        <v>1</v>
      </c>
      <c r="J1862" s="17" t="s">
        <v>12</v>
      </c>
      <c r="K1862" s="13" t="s">
        <v>16</v>
      </c>
      <c r="L1862" s="15">
        <v>3212.4</v>
      </c>
    </row>
    <row r="1863" spans="1:12" ht="21" customHeight="1" outlineLevel="2" x14ac:dyDescent="0.25">
      <c r="A1863" s="16">
        <f t="shared" si="367"/>
        <v>1862</v>
      </c>
      <c r="B1863" s="12" t="str">
        <f t="shared" si="386"/>
        <v>ЩВ-2 (БЛОК 10)</v>
      </c>
      <c r="C1863" s="13" t="s">
        <v>11</v>
      </c>
      <c r="D1863" s="29" t="s">
        <v>20</v>
      </c>
      <c r="E1863" s="12" t="s">
        <v>21</v>
      </c>
      <c r="F1863" s="37">
        <v>2429</v>
      </c>
      <c r="G1863" s="38">
        <f t="shared" si="387"/>
        <v>1457.3999999999999</v>
      </c>
      <c r="H1863" s="38">
        <f t="shared" ref="H1863:H1865" si="389">G1863*I1863</f>
        <v>1457.3999999999999</v>
      </c>
      <c r="I1863" s="16">
        <v>1</v>
      </c>
      <c r="J1863" s="17" t="s">
        <v>12</v>
      </c>
      <c r="K1863" s="13" t="s">
        <v>16</v>
      </c>
      <c r="L1863" s="15">
        <v>1457.3999999999999</v>
      </c>
    </row>
    <row r="1864" spans="1:12" ht="21" customHeight="1" outlineLevel="2" x14ac:dyDescent="0.25">
      <c r="A1864" s="16">
        <f t="shared" si="367"/>
        <v>1863</v>
      </c>
      <c r="B1864" s="12" t="str">
        <f t="shared" si="386"/>
        <v>ЩВ-2 (БЛОК 10)</v>
      </c>
      <c r="C1864" s="13" t="s">
        <v>11</v>
      </c>
      <c r="D1864" s="29" t="s">
        <v>51</v>
      </c>
      <c r="E1864" s="12" t="s">
        <v>52</v>
      </c>
      <c r="F1864" s="37">
        <v>2337</v>
      </c>
      <c r="G1864" s="38">
        <f t="shared" si="387"/>
        <v>1402.2</v>
      </c>
      <c r="H1864" s="38">
        <f t="shared" si="389"/>
        <v>4206.6000000000004</v>
      </c>
      <c r="I1864" s="16">
        <v>3</v>
      </c>
      <c r="J1864" s="17" t="s">
        <v>12</v>
      </c>
      <c r="K1864" s="13" t="s">
        <v>16</v>
      </c>
      <c r="L1864" s="15">
        <v>4206.6000000000004</v>
      </c>
    </row>
    <row r="1865" spans="1:12" ht="21" customHeight="1" outlineLevel="2" x14ac:dyDescent="0.25">
      <c r="A1865" s="16">
        <f t="shared" ref="A1865:A1894" si="390">ROW(A1864)</f>
        <v>1864</v>
      </c>
      <c r="B1865" s="12" t="str">
        <f t="shared" si="386"/>
        <v>ЩВ-2 (БЛОК 10)</v>
      </c>
      <c r="C1865" s="13" t="s">
        <v>11</v>
      </c>
      <c r="D1865" s="29" t="s">
        <v>292</v>
      </c>
      <c r="E1865" s="12" t="s">
        <v>293</v>
      </c>
      <c r="F1865" s="37">
        <v>783</v>
      </c>
      <c r="G1865" s="38">
        <f t="shared" si="387"/>
        <v>469.79999999999995</v>
      </c>
      <c r="H1865" s="38">
        <f t="shared" si="389"/>
        <v>469.79999999999995</v>
      </c>
      <c r="I1865" s="16">
        <v>1</v>
      </c>
      <c r="J1865" s="17" t="s">
        <v>12</v>
      </c>
      <c r="K1865" s="13" t="s">
        <v>16</v>
      </c>
      <c r="L1865" s="15">
        <v>469.79999999999995</v>
      </c>
    </row>
    <row r="1866" spans="1:12" ht="21" customHeight="1" outlineLevel="2" x14ac:dyDescent="0.25">
      <c r="A1866" s="16">
        <f t="shared" si="390"/>
        <v>1865</v>
      </c>
      <c r="B1866" s="12" t="str">
        <f t="shared" si="386"/>
        <v>ЩВ-2 (БЛОК 10)</v>
      </c>
      <c r="C1866" s="13" t="s">
        <v>22</v>
      </c>
      <c r="D1866" s="29" t="s">
        <v>270</v>
      </c>
      <c r="E1866" s="12" t="s">
        <v>271</v>
      </c>
      <c r="F1866" s="37">
        <v>5719</v>
      </c>
      <c r="G1866" s="38">
        <f t="shared" si="387"/>
        <v>3431.4</v>
      </c>
      <c r="H1866" s="38">
        <f t="shared" ref="H1866:H1869" si="391">G1866*I1866</f>
        <v>10294.200000000001</v>
      </c>
      <c r="I1866" s="16">
        <v>3</v>
      </c>
      <c r="J1866" s="17" t="s">
        <v>12</v>
      </c>
      <c r="K1866" s="13" t="s">
        <v>16</v>
      </c>
      <c r="L1866" s="15">
        <v>10294.200000000001</v>
      </c>
    </row>
    <row r="1867" spans="1:12" ht="21" customHeight="1" outlineLevel="2" x14ac:dyDescent="0.25">
      <c r="A1867" s="16">
        <f t="shared" si="390"/>
        <v>1866</v>
      </c>
      <c r="B1867" s="12" t="str">
        <f t="shared" si="386"/>
        <v>ЩВ-2 (БЛОК 10)</v>
      </c>
      <c r="C1867" s="13" t="s">
        <v>48</v>
      </c>
      <c r="D1867" s="29" t="s">
        <v>289</v>
      </c>
      <c r="E1867" s="12" t="s">
        <v>290</v>
      </c>
      <c r="F1867" s="37">
        <v>13919</v>
      </c>
      <c r="G1867" s="38">
        <f t="shared" si="387"/>
        <v>8351.4</v>
      </c>
      <c r="H1867" s="38">
        <f t="shared" si="391"/>
        <v>8351.4</v>
      </c>
      <c r="I1867" s="16">
        <v>1</v>
      </c>
      <c r="J1867" s="17" t="s">
        <v>12</v>
      </c>
      <c r="K1867" s="13" t="s">
        <v>16</v>
      </c>
      <c r="L1867" s="15">
        <v>8351.4</v>
      </c>
    </row>
    <row r="1868" spans="1:12" ht="21" customHeight="1" outlineLevel="2" x14ac:dyDescent="0.25">
      <c r="A1868" s="16">
        <f t="shared" si="390"/>
        <v>1867</v>
      </c>
      <c r="B1868" s="12" t="str">
        <f t="shared" si="386"/>
        <v>ЩВ-2 (БЛОК 10)</v>
      </c>
      <c r="C1868" s="13" t="s">
        <v>48</v>
      </c>
      <c r="D1868" s="29" t="s">
        <v>282</v>
      </c>
      <c r="E1868" s="12" t="s">
        <v>283</v>
      </c>
      <c r="F1868" s="37">
        <v>12145</v>
      </c>
      <c r="G1868" s="38">
        <f t="shared" si="387"/>
        <v>7287</v>
      </c>
      <c r="H1868" s="38">
        <f t="shared" si="391"/>
        <v>21861</v>
      </c>
      <c r="I1868" s="16">
        <v>3</v>
      </c>
      <c r="J1868" s="17" t="s">
        <v>12</v>
      </c>
      <c r="K1868" s="13" t="s">
        <v>16</v>
      </c>
      <c r="L1868" s="15">
        <v>21861</v>
      </c>
    </row>
    <row r="1869" spans="1:12" ht="24" customHeight="1" outlineLevel="2" x14ac:dyDescent="0.25">
      <c r="A1869" s="12">
        <f t="shared" si="390"/>
        <v>1868</v>
      </c>
      <c r="B1869" s="12" t="str">
        <f t="shared" si="386"/>
        <v>ЩВ-2 (БЛОК 10)</v>
      </c>
      <c r="C1869" s="12" t="s">
        <v>9</v>
      </c>
      <c r="D1869" s="30" t="s">
        <v>9</v>
      </c>
      <c r="E1869" s="12" t="s">
        <v>9</v>
      </c>
      <c r="F1869" s="18">
        <f ca="1">OFFSET(F1869,1,2)</f>
        <v>15000</v>
      </c>
      <c r="G1869" s="38">
        <f ca="1">F1869</f>
        <v>15000</v>
      </c>
      <c r="H1869" s="38">
        <f t="shared" ca="1" si="391"/>
        <v>15000</v>
      </c>
      <c r="I1869" s="12">
        <v>1</v>
      </c>
      <c r="J1869" s="12" t="s">
        <v>12</v>
      </c>
      <c r="K1869" s="12" t="s">
        <v>9</v>
      </c>
      <c r="L1869" s="15">
        <v>15000</v>
      </c>
    </row>
    <row r="1870" spans="1:12" ht="21" customHeight="1" outlineLevel="2" x14ac:dyDescent="0.25">
      <c r="A1870" s="12">
        <f t="shared" si="390"/>
        <v>1869</v>
      </c>
      <c r="B1870" s="12" t="str">
        <f t="shared" si="386"/>
        <v>ЩВ-2 (БЛОК 10)</v>
      </c>
      <c r="C1870" s="12" t="s">
        <v>10</v>
      </c>
      <c r="D1870" s="30" t="s">
        <v>10</v>
      </c>
      <c r="E1870" s="12" t="s">
        <v>10</v>
      </c>
      <c r="F1870" s="18">
        <v>2.5</v>
      </c>
      <c r="G1870" s="38">
        <v>100</v>
      </c>
      <c r="H1870" s="38">
        <f>60*F1870*G1870</f>
        <v>15000</v>
      </c>
      <c r="I1870" s="12">
        <f>60*F1870</f>
        <v>150</v>
      </c>
      <c r="J1870" s="12" t="s">
        <v>12</v>
      </c>
      <c r="K1870" s="12" t="s">
        <v>10</v>
      </c>
      <c r="L1870" s="15">
        <v>15000</v>
      </c>
    </row>
    <row r="1871" spans="1:12" ht="21" customHeight="1" outlineLevel="1" x14ac:dyDescent="0.25">
      <c r="A1871" s="12"/>
      <c r="B1871" s="12" t="s">
        <v>798</v>
      </c>
      <c r="C1871" s="12"/>
      <c r="D1871" s="30"/>
      <c r="E1871" s="12"/>
      <c r="F1871" s="18"/>
      <c r="G1871" s="38"/>
      <c r="H1871" s="38">
        <f ca="1">SUBTOTAL(9,H1859:H1870)</f>
        <v>93156</v>
      </c>
      <c r="I1871" s="12"/>
      <c r="J1871" s="12"/>
      <c r="K1871" s="12"/>
      <c r="L1871" s="15">
        <v>93156</v>
      </c>
    </row>
    <row r="1872" spans="1:12" ht="39.75" customHeight="1" outlineLevel="2" x14ac:dyDescent="0.25">
      <c r="A1872" s="10">
        <f>ROW(A1870)</f>
        <v>1870</v>
      </c>
      <c r="B1872" s="6" t="str">
        <f>E1872</f>
        <v>ЩО-1 (БЛОК 10)</v>
      </c>
      <c r="C1872" s="6"/>
      <c r="D1872" s="28"/>
      <c r="E1872" s="6" t="s">
        <v>435</v>
      </c>
      <c r="F1872" s="36"/>
      <c r="G1872" s="36" t="s">
        <v>73</v>
      </c>
      <c r="H1872" s="7"/>
      <c r="I1872" s="10">
        <v>1</v>
      </c>
      <c r="J1872" s="11" t="s">
        <v>6</v>
      </c>
      <c r="K1872" s="6" t="s">
        <v>8</v>
      </c>
      <c r="L1872" s="9"/>
    </row>
    <row r="1873" spans="1:12" ht="21" customHeight="1" outlineLevel="2" x14ac:dyDescent="0.25">
      <c r="A1873" s="16">
        <f t="shared" si="390"/>
        <v>1872</v>
      </c>
      <c r="B1873" s="12" t="str">
        <f t="shared" ref="B1873:B1878" si="392">B1872</f>
        <v>ЩО-1 (БЛОК 10)</v>
      </c>
      <c r="C1873" s="13" t="s">
        <v>7</v>
      </c>
      <c r="D1873" s="29" t="s">
        <v>492</v>
      </c>
      <c r="E1873" s="12" t="s">
        <v>493</v>
      </c>
      <c r="F1873" s="37">
        <v>9990</v>
      </c>
      <c r="G1873" s="38">
        <f t="shared" ref="G1873:G1876" si="393">F1873*0.6</f>
        <v>5994</v>
      </c>
      <c r="H1873" s="38">
        <f>I1873*G1873</f>
        <v>5994</v>
      </c>
      <c r="I1873" s="16">
        <v>1</v>
      </c>
      <c r="J1873" s="17" t="s">
        <v>12</v>
      </c>
      <c r="K1873" s="13" t="s">
        <v>581</v>
      </c>
      <c r="L1873" s="15">
        <v>5994</v>
      </c>
    </row>
    <row r="1874" spans="1:12" ht="21" customHeight="1" outlineLevel="2" x14ac:dyDescent="0.25">
      <c r="A1874" s="16">
        <f t="shared" si="390"/>
        <v>1873</v>
      </c>
      <c r="B1874" s="12" t="str">
        <f t="shared" si="392"/>
        <v>ЩО-1 (БЛОК 10)</v>
      </c>
      <c r="C1874" s="13" t="s">
        <v>11</v>
      </c>
      <c r="D1874" s="29" t="s">
        <v>273</v>
      </c>
      <c r="E1874" s="12" t="s">
        <v>274</v>
      </c>
      <c r="F1874" s="37">
        <v>2499</v>
      </c>
      <c r="G1874" s="38">
        <f t="shared" si="393"/>
        <v>1499.3999999999999</v>
      </c>
      <c r="H1874" s="38">
        <f t="shared" ref="H1874:H1877" si="394">G1874*I1874</f>
        <v>1499.3999999999999</v>
      </c>
      <c r="I1874" s="16">
        <v>1</v>
      </c>
      <c r="J1874" s="17" t="s">
        <v>12</v>
      </c>
      <c r="K1874" s="13" t="s">
        <v>16</v>
      </c>
      <c r="L1874" s="15">
        <v>1499.3999999999999</v>
      </c>
    </row>
    <row r="1875" spans="1:12" ht="21" customHeight="1" outlineLevel="2" x14ac:dyDescent="0.25">
      <c r="A1875" s="16">
        <f t="shared" si="390"/>
        <v>1874</v>
      </c>
      <c r="B1875" s="12" t="str">
        <f t="shared" si="392"/>
        <v>ЩО-1 (БЛОК 10)</v>
      </c>
      <c r="C1875" s="13" t="s">
        <v>11</v>
      </c>
      <c r="D1875" s="29" t="s">
        <v>51</v>
      </c>
      <c r="E1875" s="12" t="s">
        <v>52</v>
      </c>
      <c r="F1875" s="37">
        <v>2337</v>
      </c>
      <c r="G1875" s="38">
        <f t="shared" si="393"/>
        <v>1402.2</v>
      </c>
      <c r="H1875" s="38">
        <f t="shared" si="394"/>
        <v>1402.2</v>
      </c>
      <c r="I1875" s="16">
        <v>1</v>
      </c>
      <c r="J1875" s="17" t="s">
        <v>12</v>
      </c>
      <c r="K1875" s="13" t="s">
        <v>16</v>
      </c>
      <c r="L1875" s="15">
        <v>1402.2</v>
      </c>
    </row>
    <row r="1876" spans="1:12" ht="21" customHeight="1" outlineLevel="2" x14ac:dyDescent="0.25">
      <c r="A1876" s="16">
        <f t="shared" si="390"/>
        <v>1875</v>
      </c>
      <c r="B1876" s="12" t="str">
        <f t="shared" si="392"/>
        <v>ЩО-1 (БЛОК 10)</v>
      </c>
      <c r="C1876" s="13" t="s">
        <v>11</v>
      </c>
      <c r="D1876" s="29" t="s">
        <v>292</v>
      </c>
      <c r="E1876" s="12" t="s">
        <v>293</v>
      </c>
      <c r="F1876" s="37">
        <v>783</v>
      </c>
      <c r="G1876" s="38">
        <f t="shared" si="393"/>
        <v>469.79999999999995</v>
      </c>
      <c r="H1876" s="38">
        <f t="shared" si="394"/>
        <v>4228.2</v>
      </c>
      <c r="I1876" s="16">
        <v>9</v>
      </c>
      <c r="J1876" s="17" t="s">
        <v>12</v>
      </c>
      <c r="K1876" s="13" t="s">
        <v>16</v>
      </c>
      <c r="L1876" s="15">
        <v>4228.2</v>
      </c>
    </row>
    <row r="1877" spans="1:12" ht="24" customHeight="1" outlineLevel="2" x14ac:dyDescent="0.25">
      <c r="A1877" s="12">
        <f t="shared" si="390"/>
        <v>1876</v>
      </c>
      <c r="B1877" s="12" t="str">
        <f t="shared" si="392"/>
        <v>ЩО-1 (БЛОК 10)</v>
      </c>
      <c r="C1877" s="12" t="s">
        <v>9</v>
      </c>
      <c r="D1877" s="30" t="s">
        <v>9</v>
      </c>
      <c r="E1877" s="12" t="s">
        <v>9</v>
      </c>
      <c r="F1877" s="18">
        <f ca="1">OFFSET(F1877,1,2)</f>
        <v>4200</v>
      </c>
      <c r="G1877" s="38">
        <f ca="1">F1877</f>
        <v>4200</v>
      </c>
      <c r="H1877" s="38">
        <f t="shared" ca="1" si="394"/>
        <v>4200</v>
      </c>
      <c r="I1877" s="12">
        <v>1</v>
      </c>
      <c r="J1877" s="12" t="s">
        <v>12</v>
      </c>
      <c r="K1877" s="12" t="s">
        <v>9</v>
      </c>
      <c r="L1877" s="15">
        <v>4200</v>
      </c>
    </row>
    <row r="1878" spans="1:12" ht="21" customHeight="1" outlineLevel="2" x14ac:dyDescent="0.25">
      <c r="A1878" s="12">
        <f t="shared" si="390"/>
        <v>1877</v>
      </c>
      <c r="B1878" s="12" t="str">
        <f t="shared" si="392"/>
        <v>ЩО-1 (БЛОК 10)</v>
      </c>
      <c r="C1878" s="12" t="s">
        <v>10</v>
      </c>
      <c r="D1878" s="30" t="s">
        <v>10</v>
      </c>
      <c r="E1878" s="12" t="s">
        <v>10</v>
      </c>
      <c r="F1878" s="18">
        <v>0.7</v>
      </c>
      <c r="G1878" s="38">
        <v>100</v>
      </c>
      <c r="H1878" s="38">
        <f>60*F1878*G1878</f>
        <v>4200</v>
      </c>
      <c r="I1878" s="12">
        <f>60*F1878</f>
        <v>42</v>
      </c>
      <c r="J1878" s="12" t="s">
        <v>12</v>
      </c>
      <c r="K1878" s="12" t="s">
        <v>10</v>
      </c>
      <c r="L1878" s="15">
        <v>4200</v>
      </c>
    </row>
    <row r="1879" spans="1:12" ht="21" customHeight="1" outlineLevel="1" x14ac:dyDescent="0.25">
      <c r="A1879" s="12"/>
      <c r="B1879" s="12" t="s">
        <v>799</v>
      </c>
      <c r="C1879" s="12"/>
      <c r="D1879" s="30"/>
      <c r="E1879" s="12"/>
      <c r="F1879" s="18"/>
      <c r="G1879" s="38"/>
      <c r="H1879" s="38">
        <f ca="1">SUBTOTAL(9,H1872:H1878)</f>
        <v>21523.8</v>
      </c>
      <c r="I1879" s="12"/>
      <c r="J1879" s="12"/>
      <c r="K1879" s="12"/>
      <c r="L1879" s="15">
        <v>21523.8</v>
      </c>
    </row>
    <row r="1880" spans="1:12" ht="39.75" customHeight="1" outlineLevel="2" x14ac:dyDescent="0.25">
      <c r="A1880" s="10">
        <f>ROW(A1878)</f>
        <v>1878</v>
      </c>
      <c r="B1880" s="6" t="str">
        <f>E1880</f>
        <v>ЩО-2 (БЛОК 10)</v>
      </c>
      <c r="C1880" s="6"/>
      <c r="D1880" s="28"/>
      <c r="E1880" s="6" t="s">
        <v>436</v>
      </c>
      <c r="F1880" s="36"/>
      <c r="G1880" s="36" t="s">
        <v>73</v>
      </c>
      <c r="H1880" s="7"/>
      <c r="I1880" s="10">
        <v>1</v>
      </c>
      <c r="J1880" s="11" t="s">
        <v>6</v>
      </c>
      <c r="K1880" s="6" t="s">
        <v>8</v>
      </c>
      <c r="L1880" s="9"/>
    </row>
    <row r="1881" spans="1:12" ht="21" customHeight="1" outlineLevel="2" x14ac:dyDescent="0.25">
      <c r="A1881" s="16">
        <f t="shared" si="390"/>
        <v>1880</v>
      </c>
      <c r="B1881" s="12" t="str">
        <f t="shared" ref="B1881:B1886" si="395">B1880</f>
        <v>ЩО-2 (БЛОК 10)</v>
      </c>
      <c r="C1881" s="13" t="s">
        <v>7</v>
      </c>
      <c r="D1881" s="29" t="s">
        <v>492</v>
      </c>
      <c r="E1881" s="12" t="s">
        <v>493</v>
      </c>
      <c r="F1881" s="37">
        <v>9990</v>
      </c>
      <c r="G1881" s="38">
        <f t="shared" ref="G1881:G1884" si="396">F1881*0.6</f>
        <v>5994</v>
      </c>
      <c r="H1881" s="38">
        <f>I1881*G1881</f>
        <v>5994</v>
      </c>
      <c r="I1881" s="16">
        <v>1</v>
      </c>
      <c r="J1881" s="17" t="s">
        <v>12</v>
      </c>
      <c r="K1881" s="13" t="s">
        <v>581</v>
      </c>
      <c r="L1881" s="15">
        <v>5994</v>
      </c>
    </row>
    <row r="1882" spans="1:12" ht="21" customHeight="1" outlineLevel="2" x14ac:dyDescent="0.25">
      <c r="A1882" s="16">
        <f t="shared" si="390"/>
        <v>1881</v>
      </c>
      <c r="B1882" s="12" t="str">
        <f t="shared" si="395"/>
        <v>ЩО-2 (БЛОК 10)</v>
      </c>
      <c r="C1882" s="13" t="s">
        <v>11</v>
      </c>
      <c r="D1882" s="29" t="s">
        <v>273</v>
      </c>
      <c r="E1882" s="12" t="s">
        <v>274</v>
      </c>
      <c r="F1882" s="37">
        <v>2499</v>
      </c>
      <c r="G1882" s="38">
        <f t="shared" si="396"/>
        <v>1499.3999999999999</v>
      </c>
      <c r="H1882" s="38">
        <f t="shared" ref="H1882:H1885" si="397">G1882*I1882</f>
        <v>1499.3999999999999</v>
      </c>
      <c r="I1882" s="16">
        <v>1</v>
      </c>
      <c r="J1882" s="17" t="s">
        <v>12</v>
      </c>
      <c r="K1882" s="13" t="s">
        <v>16</v>
      </c>
      <c r="L1882" s="15">
        <v>1499.3999999999999</v>
      </c>
    </row>
    <row r="1883" spans="1:12" ht="21" customHeight="1" outlineLevel="2" x14ac:dyDescent="0.25">
      <c r="A1883" s="16">
        <f t="shared" si="390"/>
        <v>1882</v>
      </c>
      <c r="B1883" s="12" t="str">
        <f t="shared" si="395"/>
        <v>ЩО-2 (БЛОК 10)</v>
      </c>
      <c r="C1883" s="13" t="s">
        <v>11</v>
      </c>
      <c r="D1883" s="29" t="s">
        <v>51</v>
      </c>
      <c r="E1883" s="12" t="s">
        <v>52</v>
      </c>
      <c r="F1883" s="37">
        <v>2337</v>
      </c>
      <c r="G1883" s="38">
        <f t="shared" si="396"/>
        <v>1402.2</v>
      </c>
      <c r="H1883" s="38">
        <f t="shared" si="397"/>
        <v>1402.2</v>
      </c>
      <c r="I1883" s="16">
        <v>1</v>
      </c>
      <c r="J1883" s="17" t="s">
        <v>12</v>
      </c>
      <c r="K1883" s="13" t="s">
        <v>16</v>
      </c>
      <c r="L1883" s="15">
        <v>1402.2</v>
      </c>
    </row>
    <row r="1884" spans="1:12" ht="21" customHeight="1" outlineLevel="2" x14ac:dyDescent="0.25">
      <c r="A1884" s="16">
        <f t="shared" si="390"/>
        <v>1883</v>
      </c>
      <c r="B1884" s="12" t="str">
        <f t="shared" si="395"/>
        <v>ЩО-2 (БЛОК 10)</v>
      </c>
      <c r="C1884" s="13" t="s">
        <v>11</v>
      </c>
      <c r="D1884" s="29" t="s">
        <v>292</v>
      </c>
      <c r="E1884" s="12" t="s">
        <v>293</v>
      </c>
      <c r="F1884" s="37">
        <v>783</v>
      </c>
      <c r="G1884" s="38">
        <f t="shared" si="396"/>
        <v>469.79999999999995</v>
      </c>
      <c r="H1884" s="38">
        <f t="shared" si="397"/>
        <v>4698</v>
      </c>
      <c r="I1884" s="16">
        <v>10</v>
      </c>
      <c r="J1884" s="17" t="s">
        <v>12</v>
      </c>
      <c r="K1884" s="13" t="s">
        <v>16</v>
      </c>
      <c r="L1884" s="15">
        <v>4698</v>
      </c>
    </row>
    <row r="1885" spans="1:12" ht="24" customHeight="1" outlineLevel="2" x14ac:dyDescent="0.25">
      <c r="A1885" s="12">
        <f t="shared" si="390"/>
        <v>1884</v>
      </c>
      <c r="B1885" s="12" t="str">
        <f t="shared" si="395"/>
        <v>ЩО-2 (БЛОК 10)</v>
      </c>
      <c r="C1885" s="12" t="s">
        <v>9</v>
      </c>
      <c r="D1885" s="30" t="s">
        <v>9</v>
      </c>
      <c r="E1885" s="12" t="s">
        <v>9</v>
      </c>
      <c r="F1885" s="18">
        <f ca="1">OFFSET(F1885,1,2)</f>
        <v>4200</v>
      </c>
      <c r="G1885" s="38">
        <f ca="1">F1885</f>
        <v>4200</v>
      </c>
      <c r="H1885" s="38">
        <f t="shared" ca="1" si="397"/>
        <v>4200</v>
      </c>
      <c r="I1885" s="12">
        <v>1</v>
      </c>
      <c r="J1885" s="12" t="s">
        <v>12</v>
      </c>
      <c r="K1885" s="12" t="s">
        <v>9</v>
      </c>
      <c r="L1885" s="15">
        <v>4200</v>
      </c>
    </row>
    <row r="1886" spans="1:12" ht="21" customHeight="1" outlineLevel="2" x14ac:dyDescent="0.25">
      <c r="A1886" s="12">
        <f t="shared" si="390"/>
        <v>1885</v>
      </c>
      <c r="B1886" s="12" t="str">
        <f t="shared" si="395"/>
        <v>ЩО-2 (БЛОК 10)</v>
      </c>
      <c r="C1886" s="12" t="s">
        <v>10</v>
      </c>
      <c r="D1886" s="30" t="s">
        <v>10</v>
      </c>
      <c r="E1886" s="12" t="s">
        <v>10</v>
      </c>
      <c r="F1886" s="18">
        <v>0.7</v>
      </c>
      <c r="G1886" s="38">
        <v>100</v>
      </c>
      <c r="H1886" s="38">
        <f>60*F1886*G1886</f>
        <v>4200</v>
      </c>
      <c r="I1886" s="12">
        <f>60*F1886</f>
        <v>42</v>
      </c>
      <c r="J1886" s="12" t="s">
        <v>12</v>
      </c>
      <c r="K1886" s="12" t="s">
        <v>10</v>
      </c>
      <c r="L1886" s="15">
        <v>4200</v>
      </c>
    </row>
    <row r="1887" spans="1:12" ht="21" customHeight="1" outlineLevel="1" x14ac:dyDescent="0.25">
      <c r="A1887" s="12"/>
      <c r="B1887" s="12" t="s">
        <v>800</v>
      </c>
      <c r="C1887" s="12"/>
      <c r="D1887" s="30"/>
      <c r="E1887" s="12"/>
      <c r="F1887" s="18"/>
      <c r="G1887" s="38"/>
      <c r="H1887" s="38">
        <f ca="1">SUBTOTAL(9,H1880:H1886)</f>
        <v>21993.599999999999</v>
      </c>
      <c r="I1887" s="12"/>
      <c r="J1887" s="12"/>
      <c r="K1887" s="12"/>
      <c r="L1887" s="15">
        <v>21993.599999999999</v>
      </c>
    </row>
    <row r="1888" spans="1:12" ht="39.75" customHeight="1" outlineLevel="2" x14ac:dyDescent="0.25">
      <c r="A1888" s="10">
        <f>ROW(A1886)</f>
        <v>1886</v>
      </c>
      <c r="B1888" s="6" t="str">
        <f>E1888</f>
        <v>ЩСО (БЛОК 10)</v>
      </c>
      <c r="C1888" s="6"/>
      <c r="D1888" s="28"/>
      <c r="E1888" s="6" t="s">
        <v>437</v>
      </c>
      <c r="F1888" s="36"/>
      <c r="G1888" s="36" t="s">
        <v>73</v>
      </c>
      <c r="H1888" s="7"/>
      <c r="I1888" s="10">
        <v>1</v>
      </c>
      <c r="J1888" s="11" t="s">
        <v>6</v>
      </c>
      <c r="K1888" s="6" t="s">
        <v>8</v>
      </c>
      <c r="L1888" s="9"/>
    </row>
    <row r="1889" spans="1:12" ht="21" customHeight="1" outlineLevel="2" x14ac:dyDescent="0.25">
      <c r="A1889" s="16">
        <f t="shared" si="390"/>
        <v>1888</v>
      </c>
      <c r="B1889" s="12" t="str">
        <f t="shared" ref="B1889:B1894" si="398">B1888</f>
        <v>ЩСО (БЛОК 10)</v>
      </c>
      <c r="C1889" s="13" t="s">
        <v>7</v>
      </c>
      <c r="D1889" s="29" t="s">
        <v>466</v>
      </c>
      <c r="E1889" s="12" t="s">
        <v>467</v>
      </c>
      <c r="F1889" s="37">
        <v>14695</v>
      </c>
      <c r="G1889" s="38">
        <f t="shared" ref="G1889:G1892" si="399">F1889*0.6</f>
        <v>8817</v>
      </c>
      <c r="H1889" s="38">
        <f>I1889*G1889</f>
        <v>8817</v>
      </c>
      <c r="I1889" s="16">
        <v>1</v>
      </c>
      <c r="J1889" s="17" t="s">
        <v>12</v>
      </c>
      <c r="K1889" s="13" t="s">
        <v>15</v>
      </c>
      <c r="L1889" s="15">
        <v>8817</v>
      </c>
    </row>
    <row r="1890" spans="1:12" ht="21" customHeight="1" outlineLevel="2" x14ac:dyDescent="0.25">
      <c r="A1890" s="16">
        <f t="shared" si="390"/>
        <v>1889</v>
      </c>
      <c r="B1890" s="12" t="str">
        <f t="shared" si="398"/>
        <v>ЩСО (БЛОК 10)</v>
      </c>
      <c r="C1890" s="13" t="s">
        <v>11</v>
      </c>
      <c r="D1890" s="29" t="s">
        <v>273</v>
      </c>
      <c r="E1890" s="12" t="s">
        <v>274</v>
      </c>
      <c r="F1890" s="37">
        <v>2499</v>
      </c>
      <c r="G1890" s="38">
        <f t="shared" si="399"/>
        <v>1499.3999999999999</v>
      </c>
      <c r="H1890" s="38">
        <f t="shared" ref="H1890:H1893" si="400">G1890*I1890</f>
        <v>1499.3999999999999</v>
      </c>
      <c r="I1890" s="16">
        <v>1</v>
      </c>
      <c r="J1890" s="17" t="s">
        <v>12</v>
      </c>
      <c r="K1890" s="13" t="s">
        <v>16</v>
      </c>
      <c r="L1890" s="15">
        <v>1499.3999999999999</v>
      </c>
    </row>
    <row r="1891" spans="1:12" ht="21" customHeight="1" outlineLevel="2" x14ac:dyDescent="0.25">
      <c r="A1891" s="16">
        <f t="shared" si="390"/>
        <v>1890</v>
      </c>
      <c r="B1891" s="12" t="str">
        <f t="shared" si="398"/>
        <v>ЩСО (БЛОК 10)</v>
      </c>
      <c r="C1891" s="13" t="s">
        <v>22</v>
      </c>
      <c r="D1891" s="29" t="s">
        <v>270</v>
      </c>
      <c r="E1891" s="12" t="s">
        <v>271</v>
      </c>
      <c r="F1891" s="37">
        <v>5719</v>
      </c>
      <c r="G1891" s="38">
        <f t="shared" si="399"/>
        <v>3431.4</v>
      </c>
      <c r="H1891" s="38">
        <f t="shared" si="400"/>
        <v>6862.8</v>
      </c>
      <c r="I1891" s="16">
        <v>2</v>
      </c>
      <c r="J1891" s="17" t="s">
        <v>12</v>
      </c>
      <c r="K1891" s="13" t="s">
        <v>16</v>
      </c>
      <c r="L1891" s="15">
        <v>6862.8</v>
      </c>
    </row>
    <row r="1892" spans="1:12" ht="21" customHeight="1" outlineLevel="2" x14ac:dyDescent="0.25">
      <c r="A1892" s="16">
        <f t="shared" si="390"/>
        <v>1891</v>
      </c>
      <c r="B1892" s="12" t="str">
        <f t="shared" si="398"/>
        <v>ЩСО (БЛОК 10)</v>
      </c>
      <c r="C1892" s="13" t="s">
        <v>22</v>
      </c>
      <c r="D1892" s="29" t="s">
        <v>250</v>
      </c>
      <c r="E1892" s="12" t="s">
        <v>251</v>
      </c>
      <c r="F1892" s="37">
        <v>8352</v>
      </c>
      <c r="G1892" s="38">
        <f t="shared" si="399"/>
        <v>5011.2</v>
      </c>
      <c r="H1892" s="38">
        <f t="shared" si="400"/>
        <v>5011.2</v>
      </c>
      <c r="I1892" s="16">
        <v>1</v>
      </c>
      <c r="J1892" s="17" t="s">
        <v>12</v>
      </c>
      <c r="K1892" s="13" t="s">
        <v>16</v>
      </c>
      <c r="L1892" s="15">
        <v>5011.2</v>
      </c>
    </row>
    <row r="1893" spans="1:12" ht="24" customHeight="1" outlineLevel="2" x14ac:dyDescent="0.25">
      <c r="A1893" s="12">
        <f t="shared" si="390"/>
        <v>1892</v>
      </c>
      <c r="B1893" s="12" t="str">
        <f t="shared" si="398"/>
        <v>ЩСО (БЛОК 10)</v>
      </c>
      <c r="C1893" s="12" t="s">
        <v>9</v>
      </c>
      <c r="D1893" s="30" t="s">
        <v>9</v>
      </c>
      <c r="E1893" s="12" t="s">
        <v>9</v>
      </c>
      <c r="F1893" s="18">
        <f ca="1">OFFSET(F1893,1,2)</f>
        <v>6000</v>
      </c>
      <c r="G1893" s="38">
        <f ca="1">F1893</f>
        <v>6000</v>
      </c>
      <c r="H1893" s="38">
        <f t="shared" ca="1" si="400"/>
        <v>6000</v>
      </c>
      <c r="I1893" s="12">
        <v>1</v>
      </c>
      <c r="J1893" s="12" t="s">
        <v>12</v>
      </c>
      <c r="K1893" s="12" t="s">
        <v>9</v>
      </c>
      <c r="L1893" s="15">
        <v>6000</v>
      </c>
    </row>
    <row r="1894" spans="1:12" ht="21" customHeight="1" outlineLevel="2" x14ac:dyDescent="0.25">
      <c r="A1894" s="12">
        <f t="shared" si="390"/>
        <v>1893</v>
      </c>
      <c r="B1894" s="12" t="str">
        <f t="shared" si="398"/>
        <v>ЩСО (БЛОК 10)</v>
      </c>
      <c r="C1894" s="12" t="s">
        <v>10</v>
      </c>
      <c r="D1894" s="30" t="s">
        <v>10</v>
      </c>
      <c r="E1894" s="12" t="s">
        <v>10</v>
      </c>
      <c r="F1894" s="18">
        <v>1</v>
      </c>
      <c r="G1894" s="38">
        <v>100</v>
      </c>
      <c r="H1894" s="38">
        <f>60*F1894*G1894</f>
        <v>6000</v>
      </c>
      <c r="I1894" s="12">
        <f>60*F1894</f>
        <v>60</v>
      </c>
      <c r="J1894" s="12" t="s">
        <v>12</v>
      </c>
      <c r="K1894" s="12" t="s">
        <v>10</v>
      </c>
      <c r="L1894" s="15">
        <v>6000</v>
      </c>
    </row>
    <row r="1895" spans="1:12" ht="21" customHeight="1" outlineLevel="1" x14ac:dyDescent="0.25">
      <c r="A1895" s="32"/>
      <c r="B1895" s="32" t="s">
        <v>801</v>
      </c>
      <c r="C1895" s="32"/>
      <c r="D1895" s="33"/>
      <c r="E1895" s="32"/>
      <c r="F1895" s="41"/>
      <c r="G1895" s="42"/>
      <c r="H1895" s="42">
        <f ca="1">SUBTOTAL(9,H1888:H1894)</f>
        <v>34190.400000000001</v>
      </c>
      <c r="I1895" s="32"/>
      <c r="J1895" s="32"/>
      <c r="K1895" s="32"/>
      <c r="L1895" s="34">
        <v>34190.400000000001</v>
      </c>
    </row>
    <row r="1896" spans="1:12" ht="21" customHeight="1" x14ac:dyDescent="0.25">
      <c r="A1896" s="32"/>
      <c r="B1896" s="32" t="s">
        <v>802</v>
      </c>
      <c r="C1896" s="32"/>
      <c r="D1896" s="33"/>
      <c r="E1896" s="32"/>
      <c r="F1896" s="41"/>
      <c r="G1896" s="42"/>
      <c r="H1896" s="42">
        <f ca="1">SUBTOTAL(9,H2:H1894)</f>
        <v>30230875.111999825</v>
      </c>
      <c r="I1896" s="32"/>
      <c r="J1896" s="32"/>
      <c r="K1896" s="32"/>
      <c r="L1896" s="34">
        <v>29644875.111999825</v>
      </c>
    </row>
  </sheetData>
  <autoFilter ref="B1:M1895" xr:uid="{0E2C231C-0991-4FBE-BD8E-9CD4D9BF51D9}">
    <sortState xmlns:xlrd2="http://schemas.microsoft.com/office/spreadsheetml/2017/richdata2" ref="B220:M676">
      <sortCondition ref="B1:B1894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C015-92E4-4EC1-996C-BAB34DDACB1A}">
  <dimension ref="A1:J203"/>
  <sheetViews>
    <sheetView workbookViewId="0">
      <selection activeCell="S7" sqref="S7"/>
    </sheetView>
  </sheetViews>
  <sheetFormatPr defaultRowHeight="33.75" customHeight="1" x14ac:dyDescent="0.25"/>
  <cols>
    <col min="2" max="2" width="57.85546875" customWidth="1"/>
    <col min="9" max="9" width="12.42578125" bestFit="1" customWidth="1"/>
    <col min="10" max="10" width="17" customWidth="1"/>
  </cols>
  <sheetData>
    <row r="1" spans="1:10" ht="33.75" customHeight="1" x14ac:dyDescent="0.25">
      <c r="A1" s="27" t="s">
        <v>1</v>
      </c>
      <c r="B1" s="1" t="s">
        <v>13</v>
      </c>
      <c r="C1" s="2" t="s">
        <v>2</v>
      </c>
      <c r="D1" s="2" t="s">
        <v>2</v>
      </c>
      <c r="E1" s="35" t="s">
        <v>5</v>
      </c>
      <c r="F1" s="4" t="s">
        <v>14</v>
      </c>
      <c r="G1" s="4" t="s">
        <v>3</v>
      </c>
      <c r="H1" s="4" t="s">
        <v>4</v>
      </c>
      <c r="I1" s="3" t="s">
        <v>803</v>
      </c>
      <c r="J1" s="3">
        <v>2.2999999999999998</v>
      </c>
    </row>
    <row r="2" spans="1:10" ht="33.75" customHeight="1" x14ac:dyDescent="0.25">
      <c r="A2" s="28"/>
      <c r="B2" s="6" t="s">
        <v>491</v>
      </c>
      <c r="C2" s="36">
        <f>ROUNDUP(J2,-3)</f>
        <v>1353000</v>
      </c>
      <c r="D2" s="36">
        <f>0.7*C2</f>
        <v>947099.99999999988</v>
      </c>
      <c r="E2" s="7">
        <f>D2*F2</f>
        <v>947099.99999999988</v>
      </c>
      <c r="F2" s="10">
        <v>1</v>
      </c>
      <c r="G2" s="11" t="s">
        <v>6</v>
      </c>
      <c r="H2" s="6" t="s">
        <v>8</v>
      </c>
      <c r="I2" s="15">
        <v>587876.80000000005</v>
      </c>
      <c r="J2" s="15">
        <f>2.3*I2</f>
        <v>1352116.64</v>
      </c>
    </row>
    <row r="3" spans="1:10" ht="33.75" customHeight="1" x14ac:dyDescent="0.25">
      <c r="A3" s="28"/>
      <c r="B3" s="6" t="s">
        <v>564</v>
      </c>
      <c r="C3" s="36">
        <f t="shared" ref="C3:C66" si="0">ROUNDUP(J3,-3)</f>
        <v>716000</v>
      </c>
      <c r="D3" s="36">
        <f t="shared" ref="D3:D66" si="1">0.7*C3</f>
        <v>501199.99999999994</v>
      </c>
      <c r="E3" s="7">
        <f t="shared" ref="E3:E66" si="2">D3*F3</f>
        <v>501199.99999999994</v>
      </c>
      <c r="F3" s="10">
        <v>1</v>
      </c>
      <c r="G3" s="11" t="s">
        <v>6</v>
      </c>
      <c r="H3" s="6" t="s">
        <v>8</v>
      </c>
      <c r="I3" s="15">
        <v>311015.8</v>
      </c>
      <c r="J3" s="15">
        <f t="shared" ref="J3:J66" si="3">2.3*I3</f>
        <v>715336.34</v>
      </c>
    </row>
    <row r="4" spans="1:10" ht="33.75" customHeight="1" x14ac:dyDescent="0.25">
      <c r="A4" s="28"/>
      <c r="B4" s="6" t="s">
        <v>130</v>
      </c>
      <c r="C4" s="36">
        <f t="shared" si="0"/>
        <v>977000</v>
      </c>
      <c r="D4" s="36">
        <f t="shared" si="1"/>
        <v>683900</v>
      </c>
      <c r="E4" s="7">
        <f t="shared" si="2"/>
        <v>683900</v>
      </c>
      <c r="F4" s="10">
        <v>1</v>
      </c>
      <c r="G4" s="11" t="s">
        <v>6</v>
      </c>
      <c r="H4" s="6" t="s">
        <v>8</v>
      </c>
      <c r="I4" s="15">
        <v>424507.19999999995</v>
      </c>
      <c r="J4" s="15">
        <f t="shared" si="3"/>
        <v>976366.55999999982</v>
      </c>
    </row>
    <row r="5" spans="1:10" ht="33.75" customHeight="1" x14ac:dyDescent="0.25">
      <c r="A5" s="28"/>
      <c r="B5" s="6" t="s">
        <v>131</v>
      </c>
      <c r="C5" s="36">
        <f t="shared" si="0"/>
        <v>598000</v>
      </c>
      <c r="D5" s="36">
        <f t="shared" si="1"/>
        <v>418600</v>
      </c>
      <c r="E5" s="7">
        <f t="shared" si="2"/>
        <v>418600</v>
      </c>
      <c r="F5" s="10">
        <v>1</v>
      </c>
      <c r="G5" s="11" t="s">
        <v>6</v>
      </c>
      <c r="H5" s="6" t="s">
        <v>8</v>
      </c>
      <c r="I5" s="15">
        <v>259777.19999999998</v>
      </c>
      <c r="J5" s="15">
        <f t="shared" si="3"/>
        <v>597487.55999999994</v>
      </c>
    </row>
    <row r="6" spans="1:10" ht="33.75" customHeight="1" x14ac:dyDescent="0.25">
      <c r="A6" s="28"/>
      <c r="B6" s="6" t="s">
        <v>132</v>
      </c>
      <c r="C6" s="36">
        <f t="shared" si="0"/>
        <v>134000</v>
      </c>
      <c r="D6" s="36">
        <f t="shared" si="1"/>
        <v>93800</v>
      </c>
      <c r="E6" s="7">
        <f t="shared" si="2"/>
        <v>93800</v>
      </c>
      <c r="F6" s="10">
        <v>1</v>
      </c>
      <c r="G6" s="11" t="s">
        <v>6</v>
      </c>
      <c r="H6" s="6" t="s">
        <v>8</v>
      </c>
      <c r="I6" s="15">
        <v>58227.6</v>
      </c>
      <c r="J6" s="15">
        <f t="shared" si="3"/>
        <v>133923.47999999998</v>
      </c>
    </row>
    <row r="7" spans="1:10" ht="33.75" customHeight="1" x14ac:dyDescent="0.25">
      <c r="A7" s="28"/>
      <c r="B7" s="6" t="s">
        <v>84</v>
      </c>
      <c r="C7" s="36">
        <f t="shared" si="0"/>
        <v>38000</v>
      </c>
      <c r="D7" s="36">
        <f t="shared" si="1"/>
        <v>26600</v>
      </c>
      <c r="E7" s="7">
        <f t="shared" si="2"/>
        <v>26600</v>
      </c>
      <c r="F7" s="10">
        <v>1</v>
      </c>
      <c r="G7" s="11" t="s">
        <v>6</v>
      </c>
      <c r="H7" s="6" t="s">
        <v>8</v>
      </c>
      <c r="I7" s="15">
        <v>16456.199999999997</v>
      </c>
      <c r="J7" s="15">
        <f t="shared" si="3"/>
        <v>37849.259999999987</v>
      </c>
    </row>
    <row r="8" spans="1:10" ht="33.75" customHeight="1" x14ac:dyDescent="0.25">
      <c r="A8" s="28"/>
      <c r="B8" s="6" t="s">
        <v>85</v>
      </c>
      <c r="C8" s="36">
        <f t="shared" si="0"/>
        <v>52000</v>
      </c>
      <c r="D8" s="36">
        <f t="shared" si="1"/>
        <v>36400</v>
      </c>
      <c r="E8" s="7">
        <f t="shared" si="2"/>
        <v>36400</v>
      </c>
      <c r="F8" s="10">
        <v>1</v>
      </c>
      <c r="G8" s="11" t="s">
        <v>6</v>
      </c>
      <c r="H8" s="6" t="s">
        <v>8</v>
      </c>
      <c r="I8" s="15">
        <v>22325.4</v>
      </c>
      <c r="J8" s="15">
        <f t="shared" si="3"/>
        <v>51348.42</v>
      </c>
    </row>
    <row r="9" spans="1:10" ht="33.75" customHeight="1" x14ac:dyDescent="0.25">
      <c r="A9" s="28"/>
      <c r="B9" s="6" t="s">
        <v>87</v>
      </c>
      <c r="C9" s="36">
        <f t="shared" si="0"/>
        <v>38000</v>
      </c>
      <c r="D9" s="36">
        <f t="shared" si="1"/>
        <v>26600</v>
      </c>
      <c r="E9" s="7">
        <f t="shared" si="2"/>
        <v>26600</v>
      </c>
      <c r="F9" s="10">
        <v>1</v>
      </c>
      <c r="G9" s="11" t="s">
        <v>6</v>
      </c>
      <c r="H9" s="6" t="s">
        <v>8</v>
      </c>
      <c r="I9" s="15">
        <v>16456.199999999997</v>
      </c>
      <c r="J9" s="15">
        <f t="shared" si="3"/>
        <v>37849.259999999987</v>
      </c>
    </row>
    <row r="10" spans="1:10" ht="33.75" customHeight="1" x14ac:dyDescent="0.25">
      <c r="A10" s="28"/>
      <c r="B10" s="6" t="s">
        <v>88</v>
      </c>
      <c r="C10" s="36">
        <f t="shared" si="0"/>
        <v>41000</v>
      </c>
      <c r="D10" s="36">
        <f t="shared" si="1"/>
        <v>28699.999999999996</v>
      </c>
      <c r="E10" s="7">
        <f t="shared" si="2"/>
        <v>28699.999999999996</v>
      </c>
      <c r="F10" s="10">
        <v>1</v>
      </c>
      <c r="G10" s="11" t="s">
        <v>6</v>
      </c>
      <c r="H10" s="6" t="s">
        <v>8</v>
      </c>
      <c r="I10" s="15">
        <v>17502</v>
      </c>
      <c r="J10" s="15">
        <f t="shared" si="3"/>
        <v>40254.6</v>
      </c>
    </row>
    <row r="11" spans="1:10" ht="33.75" customHeight="1" x14ac:dyDescent="0.25">
      <c r="A11" s="28"/>
      <c r="B11" s="6" t="s">
        <v>89</v>
      </c>
      <c r="C11" s="36">
        <f t="shared" si="0"/>
        <v>41000</v>
      </c>
      <c r="D11" s="36">
        <f t="shared" si="1"/>
        <v>28699.999999999996</v>
      </c>
      <c r="E11" s="7">
        <f t="shared" si="2"/>
        <v>28699.999999999996</v>
      </c>
      <c r="F11" s="10">
        <v>1</v>
      </c>
      <c r="G11" s="11" t="s">
        <v>6</v>
      </c>
      <c r="H11" s="6" t="s">
        <v>8</v>
      </c>
      <c r="I11" s="15">
        <v>17502</v>
      </c>
      <c r="J11" s="15">
        <f t="shared" si="3"/>
        <v>40254.6</v>
      </c>
    </row>
    <row r="12" spans="1:10" ht="33.75" customHeight="1" x14ac:dyDescent="0.25">
      <c r="A12" s="28"/>
      <c r="B12" s="6" t="s">
        <v>90</v>
      </c>
      <c r="C12" s="36">
        <f t="shared" si="0"/>
        <v>44000</v>
      </c>
      <c r="D12" s="36">
        <f t="shared" si="1"/>
        <v>30799.999999999996</v>
      </c>
      <c r="E12" s="7">
        <f t="shared" si="2"/>
        <v>30799.999999999996</v>
      </c>
      <c r="F12" s="10">
        <v>1</v>
      </c>
      <c r="G12" s="11" t="s">
        <v>6</v>
      </c>
      <c r="H12" s="6" t="s">
        <v>8</v>
      </c>
      <c r="I12" s="15">
        <v>18961.8</v>
      </c>
      <c r="J12" s="15">
        <f t="shared" si="3"/>
        <v>43612.139999999992</v>
      </c>
    </row>
    <row r="13" spans="1:10" ht="33.75" customHeight="1" x14ac:dyDescent="0.25">
      <c r="A13" s="28"/>
      <c r="B13" s="6" t="s">
        <v>91</v>
      </c>
      <c r="C13" s="36">
        <f t="shared" si="0"/>
        <v>40000</v>
      </c>
      <c r="D13" s="36">
        <f t="shared" si="1"/>
        <v>28000</v>
      </c>
      <c r="E13" s="7">
        <f t="shared" si="2"/>
        <v>28000</v>
      </c>
      <c r="F13" s="10">
        <v>1</v>
      </c>
      <c r="G13" s="11" t="s">
        <v>6</v>
      </c>
      <c r="H13" s="6" t="s">
        <v>8</v>
      </c>
      <c r="I13" s="15">
        <v>17032.2</v>
      </c>
      <c r="J13" s="15">
        <f t="shared" si="3"/>
        <v>39174.06</v>
      </c>
    </row>
    <row r="14" spans="1:10" ht="33.75" customHeight="1" x14ac:dyDescent="0.25">
      <c r="A14" s="28"/>
      <c r="B14" s="6" t="s">
        <v>92</v>
      </c>
      <c r="C14" s="36">
        <f t="shared" si="0"/>
        <v>40000</v>
      </c>
      <c r="D14" s="36">
        <f t="shared" si="1"/>
        <v>28000</v>
      </c>
      <c r="E14" s="7">
        <f t="shared" si="2"/>
        <v>28000</v>
      </c>
      <c r="F14" s="10">
        <v>1</v>
      </c>
      <c r="G14" s="11" t="s">
        <v>6</v>
      </c>
      <c r="H14" s="6" t="s">
        <v>8</v>
      </c>
      <c r="I14" s="15">
        <v>17032.2</v>
      </c>
      <c r="J14" s="15">
        <f t="shared" si="3"/>
        <v>39174.06</v>
      </c>
    </row>
    <row r="15" spans="1:10" ht="33.75" customHeight="1" x14ac:dyDescent="0.25">
      <c r="A15" s="28"/>
      <c r="B15" s="6" t="s">
        <v>93</v>
      </c>
      <c r="C15" s="36">
        <f t="shared" si="0"/>
        <v>40000</v>
      </c>
      <c r="D15" s="36">
        <f t="shared" si="1"/>
        <v>28000</v>
      </c>
      <c r="E15" s="7">
        <f t="shared" si="2"/>
        <v>28000</v>
      </c>
      <c r="F15" s="10">
        <v>1</v>
      </c>
      <c r="G15" s="11" t="s">
        <v>6</v>
      </c>
      <c r="H15" s="6" t="s">
        <v>8</v>
      </c>
      <c r="I15" s="15">
        <v>17032.2</v>
      </c>
      <c r="J15" s="15">
        <f t="shared" si="3"/>
        <v>39174.06</v>
      </c>
    </row>
    <row r="16" spans="1:10" ht="33.75" customHeight="1" x14ac:dyDescent="0.25">
      <c r="A16" s="28"/>
      <c r="B16" s="6" t="s">
        <v>94</v>
      </c>
      <c r="C16" s="36">
        <f t="shared" si="0"/>
        <v>39000</v>
      </c>
      <c r="D16" s="36">
        <f t="shared" si="1"/>
        <v>27300</v>
      </c>
      <c r="E16" s="7">
        <f t="shared" si="2"/>
        <v>27300</v>
      </c>
      <c r="F16" s="10">
        <v>1</v>
      </c>
      <c r="G16" s="11" t="s">
        <v>6</v>
      </c>
      <c r="H16" s="6" t="s">
        <v>8</v>
      </c>
      <c r="I16" s="15">
        <v>16562.400000000001</v>
      </c>
      <c r="J16" s="15">
        <f t="shared" si="3"/>
        <v>38093.519999999997</v>
      </c>
    </row>
    <row r="17" spans="1:10" ht="33.75" customHeight="1" x14ac:dyDescent="0.25">
      <c r="A17" s="28"/>
      <c r="B17" s="6" t="s">
        <v>95</v>
      </c>
      <c r="C17" s="36">
        <f t="shared" si="0"/>
        <v>210000</v>
      </c>
      <c r="D17" s="36">
        <f t="shared" si="1"/>
        <v>147000</v>
      </c>
      <c r="E17" s="7">
        <f t="shared" si="2"/>
        <v>147000</v>
      </c>
      <c r="F17" s="10">
        <v>1</v>
      </c>
      <c r="G17" s="11" t="s">
        <v>6</v>
      </c>
      <c r="H17" s="6" t="s">
        <v>8</v>
      </c>
      <c r="I17" s="15">
        <v>90889.200000000012</v>
      </c>
      <c r="J17" s="15">
        <f t="shared" si="3"/>
        <v>209045.16</v>
      </c>
    </row>
    <row r="18" spans="1:10" ht="33.75" customHeight="1" x14ac:dyDescent="0.25">
      <c r="A18" s="28"/>
      <c r="B18" s="6" t="s">
        <v>98</v>
      </c>
      <c r="C18" s="36">
        <f t="shared" si="0"/>
        <v>181000</v>
      </c>
      <c r="D18" s="36">
        <f t="shared" si="1"/>
        <v>126699.99999999999</v>
      </c>
      <c r="E18" s="7">
        <f t="shared" si="2"/>
        <v>126699.99999999999</v>
      </c>
      <c r="F18" s="10">
        <v>1</v>
      </c>
      <c r="G18" s="11" t="s">
        <v>6</v>
      </c>
      <c r="H18" s="6" t="s">
        <v>8</v>
      </c>
      <c r="I18" s="15">
        <v>78422.400000000009</v>
      </c>
      <c r="J18" s="15">
        <f t="shared" si="3"/>
        <v>180371.52000000002</v>
      </c>
    </row>
    <row r="19" spans="1:10" ht="33.75" customHeight="1" x14ac:dyDescent="0.25">
      <c r="A19" s="28"/>
      <c r="B19" s="6" t="s">
        <v>99</v>
      </c>
      <c r="C19" s="36">
        <f t="shared" si="0"/>
        <v>174000</v>
      </c>
      <c r="D19" s="36">
        <f t="shared" si="1"/>
        <v>121799.99999999999</v>
      </c>
      <c r="E19" s="7">
        <f t="shared" si="2"/>
        <v>121799.99999999999</v>
      </c>
      <c r="F19" s="10">
        <v>1</v>
      </c>
      <c r="G19" s="11" t="s">
        <v>6</v>
      </c>
      <c r="H19" s="6" t="s">
        <v>8</v>
      </c>
      <c r="I19" s="15">
        <v>75381</v>
      </c>
      <c r="J19" s="15">
        <f t="shared" si="3"/>
        <v>173376.3</v>
      </c>
    </row>
    <row r="20" spans="1:10" ht="33.75" customHeight="1" x14ac:dyDescent="0.25">
      <c r="A20" s="28"/>
      <c r="B20" s="6" t="s">
        <v>100</v>
      </c>
      <c r="C20" s="36">
        <f t="shared" si="0"/>
        <v>185000</v>
      </c>
      <c r="D20" s="36">
        <f t="shared" si="1"/>
        <v>129499.99999999999</v>
      </c>
      <c r="E20" s="7">
        <f t="shared" si="2"/>
        <v>129499.99999999999</v>
      </c>
      <c r="F20" s="10">
        <v>1</v>
      </c>
      <c r="G20" s="11" t="s">
        <v>6</v>
      </c>
      <c r="H20" s="6" t="s">
        <v>8</v>
      </c>
      <c r="I20" s="15">
        <v>80184</v>
      </c>
      <c r="J20" s="15">
        <f t="shared" si="3"/>
        <v>184423.19999999998</v>
      </c>
    </row>
    <row r="21" spans="1:10" ht="33.75" customHeight="1" x14ac:dyDescent="0.25">
      <c r="A21" s="28"/>
      <c r="B21" s="6" t="s">
        <v>103</v>
      </c>
      <c r="C21" s="36">
        <f t="shared" si="0"/>
        <v>174000</v>
      </c>
      <c r="D21" s="36">
        <f t="shared" si="1"/>
        <v>121799.99999999999</v>
      </c>
      <c r="E21" s="7">
        <f t="shared" si="2"/>
        <v>121799.99999999999</v>
      </c>
      <c r="F21" s="10">
        <v>1</v>
      </c>
      <c r="G21" s="11" t="s">
        <v>6</v>
      </c>
      <c r="H21" s="6" t="s">
        <v>8</v>
      </c>
      <c r="I21" s="15">
        <v>75381</v>
      </c>
      <c r="J21" s="15">
        <f t="shared" si="3"/>
        <v>173376.3</v>
      </c>
    </row>
    <row r="22" spans="1:10" ht="33.75" customHeight="1" x14ac:dyDescent="0.25">
      <c r="A22" s="28"/>
      <c r="B22" s="6" t="s">
        <v>104</v>
      </c>
      <c r="C22" s="36">
        <f t="shared" si="0"/>
        <v>167000</v>
      </c>
      <c r="D22" s="36">
        <f t="shared" si="1"/>
        <v>116899.99999999999</v>
      </c>
      <c r="E22" s="7">
        <f t="shared" si="2"/>
        <v>116899.99999999999</v>
      </c>
      <c r="F22" s="10">
        <v>1</v>
      </c>
      <c r="G22" s="11" t="s">
        <v>6</v>
      </c>
      <c r="H22" s="6" t="s">
        <v>8</v>
      </c>
      <c r="I22" s="15">
        <v>72219</v>
      </c>
      <c r="J22" s="15">
        <f t="shared" si="3"/>
        <v>166103.69999999998</v>
      </c>
    </row>
    <row r="23" spans="1:10" ht="33.75" customHeight="1" x14ac:dyDescent="0.25">
      <c r="A23" s="28"/>
      <c r="B23" s="6" t="s">
        <v>105</v>
      </c>
      <c r="C23" s="36">
        <f t="shared" si="0"/>
        <v>116000</v>
      </c>
      <c r="D23" s="36">
        <f t="shared" si="1"/>
        <v>81200</v>
      </c>
      <c r="E23" s="7">
        <f t="shared" si="2"/>
        <v>81200</v>
      </c>
      <c r="F23" s="10">
        <v>1</v>
      </c>
      <c r="G23" s="11" t="s">
        <v>6</v>
      </c>
      <c r="H23" s="6" t="s">
        <v>8</v>
      </c>
      <c r="I23" s="15">
        <v>50153.4</v>
      </c>
      <c r="J23" s="15">
        <f t="shared" si="3"/>
        <v>115352.81999999999</v>
      </c>
    </row>
    <row r="24" spans="1:10" ht="33.75" customHeight="1" x14ac:dyDescent="0.25">
      <c r="A24" s="28"/>
      <c r="B24" s="6" t="s">
        <v>106</v>
      </c>
      <c r="C24" s="36">
        <f t="shared" si="0"/>
        <v>147000</v>
      </c>
      <c r="D24" s="36">
        <f t="shared" si="1"/>
        <v>102900</v>
      </c>
      <c r="E24" s="7">
        <f t="shared" si="2"/>
        <v>102900</v>
      </c>
      <c r="F24" s="10">
        <v>1</v>
      </c>
      <c r="G24" s="11" t="s">
        <v>6</v>
      </c>
      <c r="H24" s="6" t="s">
        <v>8</v>
      </c>
      <c r="I24" s="15">
        <v>63586.8</v>
      </c>
      <c r="J24" s="15">
        <f t="shared" si="3"/>
        <v>146249.63999999998</v>
      </c>
    </row>
    <row r="25" spans="1:10" ht="33.75" customHeight="1" x14ac:dyDescent="0.25">
      <c r="A25" s="28"/>
      <c r="B25" s="6" t="s">
        <v>107</v>
      </c>
      <c r="C25" s="36">
        <f t="shared" si="0"/>
        <v>140000</v>
      </c>
      <c r="D25" s="36">
        <f t="shared" si="1"/>
        <v>98000</v>
      </c>
      <c r="E25" s="7">
        <f t="shared" si="2"/>
        <v>98000</v>
      </c>
      <c r="F25" s="10">
        <v>1</v>
      </c>
      <c r="G25" s="11" t="s">
        <v>6</v>
      </c>
      <c r="H25" s="6" t="s">
        <v>8</v>
      </c>
      <c r="I25" s="15">
        <v>60545.4</v>
      </c>
      <c r="J25" s="15">
        <f t="shared" si="3"/>
        <v>139254.41999999998</v>
      </c>
    </row>
    <row r="26" spans="1:10" ht="33.75" customHeight="1" x14ac:dyDescent="0.25">
      <c r="A26" s="28"/>
      <c r="B26" s="6" t="s">
        <v>108</v>
      </c>
      <c r="C26" s="36">
        <f t="shared" si="0"/>
        <v>109000</v>
      </c>
      <c r="D26" s="36">
        <f t="shared" si="1"/>
        <v>76300</v>
      </c>
      <c r="E26" s="7">
        <f t="shared" si="2"/>
        <v>76300</v>
      </c>
      <c r="F26" s="10">
        <v>1</v>
      </c>
      <c r="G26" s="11" t="s">
        <v>6</v>
      </c>
      <c r="H26" s="6" t="s">
        <v>8</v>
      </c>
      <c r="I26" s="15">
        <v>47112</v>
      </c>
      <c r="J26" s="15">
        <f t="shared" si="3"/>
        <v>108357.59999999999</v>
      </c>
    </row>
    <row r="27" spans="1:10" ht="33.75" customHeight="1" x14ac:dyDescent="0.25">
      <c r="A27" s="28"/>
      <c r="B27" s="6" t="s">
        <v>109</v>
      </c>
      <c r="C27" s="36">
        <f t="shared" si="0"/>
        <v>139000</v>
      </c>
      <c r="D27" s="36">
        <f t="shared" si="1"/>
        <v>97300</v>
      </c>
      <c r="E27" s="7">
        <f t="shared" si="2"/>
        <v>97300</v>
      </c>
      <c r="F27" s="10">
        <v>1</v>
      </c>
      <c r="G27" s="11" t="s">
        <v>6</v>
      </c>
      <c r="H27" s="6" t="s">
        <v>8</v>
      </c>
      <c r="I27" s="15">
        <v>60085.8</v>
      </c>
      <c r="J27" s="15">
        <f t="shared" si="3"/>
        <v>138197.34</v>
      </c>
    </row>
    <row r="28" spans="1:10" ht="33.75" customHeight="1" x14ac:dyDescent="0.25">
      <c r="A28" s="28"/>
      <c r="B28" s="6" t="s">
        <v>110</v>
      </c>
      <c r="C28" s="36">
        <f t="shared" si="0"/>
        <v>659000</v>
      </c>
      <c r="D28" s="36">
        <f t="shared" si="1"/>
        <v>461299.99999999994</v>
      </c>
      <c r="E28" s="7">
        <f t="shared" si="2"/>
        <v>461299.99999999994</v>
      </c>
      <c r="F28" s="10">
        <v>1</v>
      </c>
      <c r="G28" s="11" t="s">
        <v>6</v>
      </c>
      <c r="H28" s="6" t="s">
        <v>8</v>
      </c>
      <c r="I28" s="15">
        <v>286209.59999999998</v>
      </c>
      <c r="J28" s="15">
        <f t="shared" si="3"/>
        <v>658282.07999999984</v>
      </c>
    </row>
    <row r="29" spans="1:10" ht="33.75" customHeight="1" x14ac:dyDescent="0.25">
      <c r="A29" s="28"/>
      <c r="B29" s="6" t="s">
        <v>111</v>
      </c>
      <c r="C29" s="36">
        <f t="shared" si="0"/>
        <v>177000</v>
      </c>
      <c r="D29" s="36">
        <f t="shared" si="1"/>
        <v>123899.99999999999</v>
      </c>
      <c r="E29" s="7">
        <f t="shared" si="2"/>
        <v>123899.99999999999</v>
      </c>
      <c r="F29" s="10">
        <v>1</v>
      </c>
      <c r="G29" s="11" t="s">
        <v>6</v>
      </c>
      <c r="H29" s="6" t="s">
        <v>8</v>
      </c>
      <c r="I29" s="15">
        <v>76818</v>
      </c>
      <c r="J29" s="15">
        <f t="shared" si="3"/>
        <v>176681.4</v>
      </c>
    </row>
    <row r="30" spans="1:10" ht="33.75" customHeight="1" x14ac:dyDescent="0.25">
      <c r="A30" s="28"/>
      <c r="B30" s="6" t="s">
        <v>166</v>
      </c>
      <c r="C30" s="36">
        <f t="shared" si="0"/>
        <v>46000</v>
      </c>
      <c r="D30" s="36">
        <f t="shared" si="1"/>
        <v>32199.999999999996</v>
      </c>
      <c r="E30" s="7">
        <f t="shared" si="2"/>
        <v>32199.999999999996</v>
      </c>
      <c r="F30" s="10">
        <v>1</v>
      </c>
      <c r="G30" s="11" t="s">
        <v>6</v>
      </c>
      <c r="H30" s="6" t="s">
        <v>8</v>
      </c>
      <c r="I30" s="26">
        <v>19781.400000000001</v>
      </c>
      <c r="J30" s="26">
        <f t="shared" si="3"/>
        <v>45497.22</v>
      </c>
    </row>
    <row r="31" spans="1:10" ht="33.75" customHeight="1" x14ac:dyDescent="0.25">
      <c r="A31" s="28"/>
      <c r="B31" s="6" t="s">
        <v>116</v>
      </c>
      <c r="C31" s="36">
        <f t="shared" si="0"/>
        <v>79000</v>
      </c>
      <c r="D31" s="36">
        <f t="shared" si="1"/>
        <v>55300</v>
      </c>
      <c r="E31" s="7">
        <f t="shared" si="2"/>
        <v>55300</v>
      </c>
      <c r="F31" s="10">
        <v>1</v>
      </c>
      <c r="G31" s="11" t="s">
        <v>6</v>
      </c>
      <c r="H31" s="6" t="s">
        <v>8</v>
      </c>
      <c r="I31" s="15">
        <v>34136.400000000001</v>
      </c>
      <c r="J31" s="15">
        <f t="shared" si="3"/>
        <v>78513.72</v>
      </c>
    </row>
    <row r="32" spans="1:10" ht="33.75" customHeight="1" x14ac:dyDescent="0.25">
      <c r="A32" s="28"/>
      <c r="B32" s="6" t="s">
        <v>496</v>
      </c>
      <c r="C32" s="36">
        <f t="shared" si="0"/>
        <v>46000</v>
      </c>
      <c r="D32" s="36">
        <f t="shared" si="1"/>
        <v>32199.999999999996</v>
      </c>
      <c r="E32" s="7">
        <f t="shared" si="2"/>
        <v>772799.99999999988</v>
      </c>
      <c r="F32" s="10">
        <v>24</v>
      </c>
      <c r="G32" s="11" t="s">
        <v>6</v>
      </c>
      <c r="H32" s="6" t="s">
        <v>8</v>
      </c>
      <c r="I32" s="9">
        <v>20000</v>
      </c>
      <c r="J32" s="9">
        <f t="shared" si="3"/>
        <v>46000</v>
      </c>
    </row>
    <row r="33" spans="1:10" ht="33.75" customHeight="1" x14ac:dyDescent="0.25">
      <c r="A33" s="28"/>
      <c r="B33" s="6" t="s">
        <v>119</v>
      </c>
      <c r="C33" s="36">
        <f t="shared" si="0"/>
        <v>147000</v>
      </c>
      <c r="D33" s="36">
        <f t="shared" si="1"/>
        <v>102900</v>
      </c>
      <c r="E33" s="7">
        <f t="shared" si="2"/>
        <v>102900</v>
      </c>
      <c r="F33" s="10">
        <v>1</v>
      </c>
      <c r="G33" s="11" t="s">
        <v>6</v>
      </c>
      <c r="H33" s="6" t="s">
        <v>8</v>
      </c>
      <c r="I33" s="15">
        <v>63486</v>
      </c>
      <c r="J33" s="15">
        <f t="shared" si="3"/>
        <v>146017.79999999999</v>
      </c>
    </row>
    <row r="34" spans="1:10" ht="33.75" customHeight="1" x14ac:dyDescent="0.25">
      <c r="A34" s="28"/>
      <c r="B34" s="6" t="s">
        <v>120</v>
      </c>
      <c r="C34" s="36">
        <f t="shared" si="0"/>
        <v>79000</v>
      </c>
      <c r="D34" s="36">
        <f t="shared" si="1"/>
        <v>55300</v>
      </c>
      <c r="E34" s="7">
        <f t="shared" si="2"/>
        <v>55300</v>
      </c>
      <c r="F34" s="10">
        <v>1</v>
      </c>
      <c r="G34" s="11" t="s">
        <v>6</v>
      </c>
      <c r="H34" s="6" t="s">
        <v>8</v>
      </c>
      <c r="I34" s="15">
        <v>34136.400000000001</v>
      </c>
      <c r="J34" s="15">
        <f t="shared" si="3"/>
        <v>78513.72</v>
      </c>
    </row>
    <row r="35" spans="1:10" ht="33.75" customHeight="1" x14ac:dyDescent="0.25">
      <c r="A35" s="28"/>
      <c r="B35" s="6" t="s">
        <v>121</v>
      </c>
      <c r="C35" s="36">
        <f t="shared" si="0"/>
        <v>102000</v>
      </c>
      <c r="D35" s="36">
        <f t="shared" si="1"/>
        <v>71400</v>
      </c>
      <c r="E35" s="7">
        <f t="shared" si="2"/>
        <v>71400</v>
      </c>
      <c r="F35" s="10">
        <v>1</v>
      </c>
      <c r="G35" s="11" t="s">
        <v>6</v>
      </c>
      <c r="H35" s="6" t="s">
        <v>8</v>
      </c>
      <c r="I35" s="15">
        <v>44344.2</v>
      </c>
      <c r="J35" s="15">
        <f t="shared" si="3"/>
        <v>101991.65999999999</v>
      </c>
    </row>
    <row r="36" spans="1:10" ht="33.75" customHeight="1" x14ac:dyDescent="0.25">
      <c r="A36" s="28"/>
      <c r="B36" s="6" t="s">
        <v>122</v>
      </c>
      <c r="C36" s="36">
        <f t="shared" si="0"/>
        <v>102000</v>
      </c>
      <c r="D36" s="36">
        <f t="shared" si="1"/>
        <v>71400</v>
      </c>
      <c r="E36" s="7">
        <f t="shared" si="2"/>
        <v>71400</v>
      </c>
      <c r="F36" s="10">
        <v>1</v>
      </c>
      <c r="G36" s="11" t="s">
        <v>6</v>
      </c>
      <c r="H36" s="6" t="s">
        <v>8</v>
      </c>
      <c r="I36" s="15">
        <v>44344.2</v>
      </c>
      <c r="J36" s="15">
        <f t="shared" si="3"/>
        <v>101991.65999999999</v>
      </c>
    </row>
    <row r="37" spans="1:10" ht="33.75" customHeight="1" x14ac:dyDescent="0.25">
      <c r="A37" s="28"/>
      <c r="B37" s="6" t="s">
        <v>123</v>
      </c>
      <c r="C37" s="36">
        <f t="shared" si="0"/>
        <v>151000</v>
      </c>
      <c r="D37" s="36">
        <f t="shared" si="1"/>
        <v>105700</v>
      </c>
      <c r="E37" s="7">
        <f t="shared" si="2"/>
        <v>105700</v>
      </c>
      <c r="F37" s="10">
        <v>1</v>
      </c>
      <c r="G37" s="11" t="s">
        <v>6</v>
      </c>
      <c r="H37" s="6" t="s">
        <v>8</v>
      </c>
      <c r="I37" s="15">
        <v>65322.6</v>
      </c>
      <c r="J37" s="15">
        <f t="shared" si="3"/>
        <v>150241.97999999998</v>
      </c>
    </row>
    <row r="38" spans="1:10" ht="33.75" customHeight="1" x14ac:dyDescent="0.25">
      <c r="A38" s="28"/>
      <c r="B38" s="6" t="s">
        <v>561</v>
      </c>
      <c r="C38" s="36">
        <f t="shared" si="0"/>
        <v>1203000</v>
      </c>
      <c r="D38" s="36">
        <f t="shared" si="1"/>
        <v>842100</v>
      </c>
      <c r="E38" s="7">
        <f t="shared" si="2"/>
        <v>842100</v>
      </c>
      <c r="F38" s="10">
        <v>1</v>
      </c>
      <c r="G38" s="11" t="s">
        <v>6</v>
      </c>
      <c r="H38" s="6" t="s">
        <v>8</v>
      </c>
      <c r="I38" s="15">
        <v>522985.2</v>
      </c>
      <c r="J38" s="15">
        <f t="shared" si="3"/>
        <v>1202865.96</v>
      </c>
    </row>
    <row r="39" spans="1:10" ht="33.75" customHeight="1" x14ac:dyDescent="0.25">
      <c r="A39" s="28"/>
      <c r="B39" s="6" t="s">
        <v>499</v>
      </c>
      <c r="C39" s="36">
        <f t="shared" si="0"/>
        <v>697000</v>
      </c>
      <c r="D39" s="36">
        <f t="shared" si="1"/>
        <v>487899.99999999994</v>
      </c>
      <c r="E39" s="7">
        <f t="shared" si="2"/>
        <v>487899.99999999994</v>
      </c>
      <c r="F39" s="10">
        <v>1</v>
      </c>
      <c r="G39" s="11" t="s">
        <v>6</v>
      </c>
      <c r="H39" s="6" t="s">
        <v>8</v>
      </c>
      <c r="I39" s="15">
        <v>302689.59999999998</v>
      </c>
      <c r="J39" s="15">
        <f t="shared" si="3"/>
        <v>696186.07999999984</v>
      </c>
    </row>
    <row r="40" spans="1:10" ht="33.75" customHeight="1" x14ac:dyDescent="0.25">
      <c r="A40" s="28"/>
      <c r="B40" s="6" t="s">
        <v>486</v>
      </c>
      <c r="C40" s="36">
        <f t="shared" si="0"/>
        <v>781000</v>
      </c>
      <c r="D40" s="36">
        <f t="shared" si="1"/>
        <v>546700</v>
      </c>
      <c r="E40" s="7">
        <f t="shared" si="2"/>
        <v>546700</v>
      </c>
      <c r="F40" s="10">
        <v>1</v>
      </c>
      <c r="G40" s="11" t="s">
        <v>6</v>
      </c>
      <c r="H40" s="6" t="s">
        <v>8</v>
      </c>
      <c r="I40" s="15">
        <v>339287.4</v>
      </c>
      <c r="J40" s="15">
        <f t="shared" si="3"/>
        <v>780361.02</v>
      </c>
    </row>
    <row r="41" spans="1:10" ht="33.75" customHeight="1" x14ac:dyDescent="0.25">
      <c r="A41" s="28"/>
      <c r="B41" s="6" t="s">
        <v>487</v>
      </c>
      <c r="C41" s="36">
        <f t="shared" si="0"/>
        <v>444000</v>
      </c>
      <c r="D41" s="36">
        <f t="shared" si="1"/>
        <v>310800</v>
      </c>
      <c r="E41" s="7">
        <f t="shared" si="2"/>
        <v>310800</v>
      </c>
      <c r="F41" s="10">
        <v>1</v>
      </c>
      <c r="G41" s="11" t="s">
        <v>6</v>
      </c>
      <c r="H41" s="6" t="s">
        <v>8</v>
      </c>
      <c r="I41" s="15">
        <v>192695.4</v>
      </c>
      <c r="J41" s="15">
        <f t="shared" si="3"/>
        <v>443199.41999999993</v>
      </c>
    </row>
    <row r="42" spans="1:10" ht="33.75" customHeight="1" x14ac:dyDescent="0.25">
      <c r="A42" s="28"/>
      <c r="B42" s="6" t="s">
        <v>145</v>
      </c>
      <c r="C42" s="36">
        <f t="shared" si="0"/>
        <v>127000</v>
      </c>
      <c r="D42" s="36">
        <f t="shared" si="1"/>
        <v>88900</v>
      </c>
      <c r="E42" s="7">
        <f t="shared" si="2"/>
        <v>88900</v>
      </c>
      <c r="F42" s="10">
        <v>1</v>
      </c>
      <c r="G42" s="11" t="s">
        <v>6</v>
      </c>
      <c r="H42" s="6" t="s">
        <v>8</v>
      </c>
      <c r="I42" s="15">
        <v>54819</v>
      </c>
      <c r="J42" s="15">
        <f t="shared" si="3"/>
        <v>126083.7</v>
      </c>
    </row>
    <row r="43" spans="1:10" ht="33.75" customHeight="1" x14ac:dyDescent="0.25">
      <c r="A43" s="28"/>
      <c r="B43" s="6" t="s">
        <v>146</v>
      </c>
      <c r="C43" s="36">
        <f t="shared" si="0"/>
        <v>38000</v>
      </c>
      <c r="D43" s="36">
        <f t="shared" si="1"/>
        <v>26600</v>
      </c>
      <c r="E43" s="7">
        <f t="shared" si="2"/>
        <v>26600</v>
      </c>
      <c r="F43" s="10">
        <v>1</v>
      </c>
      <c r="G43" s="11" t="s">
        <v>6</v>
      </c>
      <c r="H43" s="6" t="s">
        <v>8</v>
      </c>
      <c r="I43" s="15">
        <v>16456.199999999997</v>
      </c>
      <c r="J43" s="15">
        <f t="shared" si="3"/>
        <v>37849.259999999987</v>
      </c>
    </row>
    <row r="44" spans="1:10" ht="33.75" customHeight="1" x14ac:dyDescent="0.25">
      <c r="A44" s="28"/>
      <c r="B44" s="6" t="s">
        <v>147</v>
      </c>
      <c r="C44" s="36">
        <f t="shared" si="0"/>
        <v>47000</v>
      </c>
      <c r="D44" s="36">
        <f t="shared" si="1"/>
        <v>32900</v>
      </c>
      <c r="E44" s="7">
        <f t="shared" si="2"/>
        <v>32900</v>
      </c>
      <c r="F44" s="10">
        <v>1</v>
      </c>
      <c r="G44" s="11" t="s">
        <v>6</v>
      </c>
      <c r="H44" s="6" t="s">
        <v>8</v>
      </c>
      <c r="I44" s="15">
        <v>20185.8</v>
      </c>
      <c r="J44" s="15">
        <f t="shared" si="3"/>
        <v>46427.34</v>
      </c>
    </row>
    <row r="45" spans="1:10" ht="33.75" customHeight="1" x14ac:dyDescent="0.25">
      <c r="A45" s="28"/>
      <c r="B45" s="6" t="s">
        <v>148</v>
      </c>
      <c r="C45" s="36">
        <f t="shared" si="0"/>
        <v>39000</v>
      </c>
      <c r="D45" s="36">
        <f t="shared" si="1"/>
        <v>27300</v>
      </c>
      <c r="E45" s="7">
        <f t="shared" si="2"/>
        <v>27300</v>
      </c>
      <c r="F45" s="10">
        <v>1</v>
      </c>
      <c r="G45" s="11" t="s">
        <v>6</v>
      </c>
      <c r="H45" s="6" t="s">
        <v>8</v>
      </c>
      <c r="I45" s="15">
        <v>16562.400000000001</v>
      </c>
      <c r="J45" s="15">
        <f t="shared" si="3"/>
        <v>38093.519999999997</v>
      </c>
    </row>
    <row r="46" spans="1:10" ht="33.75" customHeight="1" x14ac:dyDescent="0.25">
      <c r="A46" s="28"/>
      <c r="B46" s="6" t="s">
        <v>149</v>
      </c>
      <c r="C46" s="36">
        <f t="shared" si="0"/>
        <v>41000</v>
      </c>
      <c r="D46" s="36">
        <f t="shared" si="1"/>
        <v>28699.999999999996</v>
      </c>
      <c r="E46" s="7">
        <f t="shared" si="2"/>
        <v>28699.999999999996</v>
      </c>
      <c r="F46" s="10">
        <v>1</v>
      </c>
      <c r="G46" s="11" t="s">
        <v>6</v>
      </c>
      <c r="H46" s="6" t="s">
        <v>8</v>
      </c>
      <c r="I46" s="15">
        <v>17502</v>
      </c>
      <c r="J46" s="15">
        <f t="shared" si="3"/>
        <v>40254.6</v>
      </c>
    </row>
    <row r="47" spans="1:10" ht="33.75" customHeight="1" x14ac:dyDescent="0.25">
      <c r="A47" s="28"/>
      <c r="B47" s="6" t="s">
        <v>150</v>
      </c>
      <c r="C47" s="36">
        <f t="shared" si="0"/>
        <v>41000</v>
      </c>
      <c r="D47" s="36">
        <f t="shared" si="1"/>
        <v>28699.999999999996</v>
      </c>
      <c r="E47" s="7">
        <f t="shared" si="2"/>
        <v>28699.999999999996</v>
      </c>
      <c r="F47" s="10">
        <v>1</v>
      </c>
      <c r="G47" s="11" t="s">
        <v>6</v>
      </c>
      <c r="H47" s="6" t="s">
        <v>8</v>
      </c>
      <c r="I47" s="15">
        <v>17502</v>
      </c>
      <c r="J47" s="15">
        <f t="shared" si="3"/>
        <v>40254.6</v>
      </c>
    </row>
    <row r="48" spans="1:10" ht="33.75" customHeight="1" x14ac:dyDescent="0.25">
      <c r="A48" s="28"/>
      <c r="B48" s="6" t="s">
        <v>151</v>
      </c>
      <c r="C48" s="36">
        <f t="shared" si="0"/>
        <v>39000</v>
      </c>
      <c r="D48" s="36">
        <f t="shared" si="1"/>
        <v>27300</v>
      </c>
      <c r="E48" s="7">
        <f t="shared" si="2"/>
        <v>27300</v>
      </c>
      <c r="F48" s="10">
        <v>1</v>
      </c>
      <c r="G48" s="11" t="s">
        <v>6</v>
      </c>
      <c r="H48" s="6" t="s">
        <v>8</v>
      </c>
      <c r="I48" s="15">
        <v>16562.400000000001</v>
      </c>
      <c r="J48" s="15">
        <f t="shared" si="3"/>
        <v>38093.519999999997</v>
      </c>
    </row>
    <row r="49" spans="1:10" ht="33.75" customHeight="1" x14ac:dyDescent="0.25">
      <c r="A49" s="28"/>
      <c r="B49" s="6" t="s">
        <v>152</v>
      </c>
      <c r="C49" s="36">
        <f t="shared" si="0"/>
        <v>38000</v>
      </c>
      <c r="D49" s="36">
        <f t="shared" si="1"/>
        <v>26600</v>
      </c>
      <c r="E49" s="7">
        <f t="shared" si="2"/>
        <v>26600</v>
      </c>
      <c r="F49" s="10">
        <v>1</v>
      </c>
      <c r="G49" s="11" t="s">
        <v>6</v>
      </c>
      <c r="H49" s="6" t="s">
        <v>8</v>
      </c>
      <c r="I49" s="15">
        <v>16092.6</v>
      </c>
      <c r="J49" s="15">
        <f t="shared" si="3"/>
        <v>37012.979999999996</v>
      </c>
    </row>
    <row r="50" spans="1:10" ht="33.75" customHeight="1" x14ac:dyDescent="0.25">
      <c r="A50" s="28"/>
      <c r="B50" s="6" t="s">
        <v>153</v>
      </c>
      <c r="C50" s="36">
        <f t="shared" si="0"/>
        <v>38000</v>
      </c>
      <c r="D50" s="36">
        <f t="shared" si="1"/>
        <v>26600</v>
      </c>
      <c r="E50" s="7">
        <f t="shared" si="2"/>
        <v>26600</v>
      </c>
      <c r="F50" s="10">
        <v>1</v>
      </c>
      <c r="G50" s="11" t="s">
        <v>6</v>
      </c>
      <c r="H50" s="6" t="s">
        <v>8</v>
      </c>
      <c r="I50" s="15">
        <v>16092.6</v>
      </c>
      <c r="J50" s="15">
        <f t="shared" si="3"/>
        <v>37012.979999999996</v>
      </c>
    </row>
    <row r="51" spans="1:10" ht="33.75" customHeight="1" x14ac:dyDescent="0.25">
      <c r="A51" s="28"/>
      <c r="B51" s="6" t="s">
        <v>154</v>
      </c>
      <c r="C51" s="36">
        <f t="shared" si="0"/>
        <v>38000</v>
      </c>
      <c r="D51" s="36">
        <f t="shared" si="1"/>
        <v>26600</v>
      </c>
      <c r="E51" s="7">
        <f t="shared" si="2"/>
        <v>26600</v>
      </c>
      <c r="F51" s="10">
        <v>1</v>
      </c>
      <c r="G51" s="11" t="s">
        <v>6</v>
      </c>
      <c r="H51" s="6" t="s">
        <v>8</v>
      </c>
      <c r="I51" s="15">
        <v>16092.6</v>
      </c>
      <c r="J51" s="15">
        <f t="shared" si="3"/>
        <v>37012.979999999996</v>
      </c>
    </row>
    <row r="52" spans="1:10" ht="33.75" customHeight="1" x14ac:dyDescent="0.25">
      <c r="A52" s="28"/>
      <c r="B52" s="6" t="s">
        <v>155</v>
      </c>
      <c r="C52" s="36">
        <f t="shared" si="0"/>
        <v>38000</v>
      </c>
      <c r="D52" s="36">
        <f t="shared" si="1"/>
        <v>26600</v>
      </c>
      <c r="E52" s="7">
        <f t="shared" si="2"/>
        <v>26600</v>
      </c>
      <c r="F52" s="10">
        <v>1</v>
      </c>
      <c r="G52" s="11" t="s">
        <v>6</v>
      </c>
      <c r="H52" s="6" t="s">
        <v>8</v>
      </c>
      <c r="I52" s="15">
        <v>16092.6</v>
      </c>
      <c r="J52" s="15">
        <f t="shared" si="3"/>
        <v>37012.979999999996</v>
      </c>
    </row>
    <row r="53" spans="1:10" ht="33.75" customHeight="1" x14ac:dyDescent="0.25">
      <c r="A53" s="28"/>
      <c r="B53" s="6" t="s">
        <v>156</v>
      </c>
      <c r="C53" s="36">
        <f t="shared" si="0"/>
        <v>184000</v>
      </c>
      <c r="D53" s="36">
        <f t="shared" si="1"/>
        <v>128799.99999999999</v>
      </c>
      <c r="E53" s="7">
        <f t="shared" si="2"/>
        <v>128799.99999999999</v>
      </c>
      <c r="F53" s="10">
        <v>1</v>
      </c>
      <c r="G53" s="11" t="s">
        <v>6</v>
      </c>
      <c r="H53" s="6" t="s">
        <v>8</v>
      </c>
      <c r="I53" s="15">
        <v>79844.399999999994</v>
      </c>
      <c r="J53" s="15">
        <f t="shared" si="3"/>
        <v>183642.11999999997</v>
      </c>
    </row>
    <row r="54" spans="1:10" ht="33.75" customHeight="1" x14ac:dyDescent="0.25">
      <c r="A54" s="28"/>
      <c r="B54" s="6" t="s">
        <v>157</v>
      </c>
      <c r="C54" s="36">
        <f t="shared" si="0"/>
        <v>167000</v>
      </c>
      <c r="D54" s="36">
        <f t="shared" si="1"/>
        <v>116899.99999999999</v>
      </c>
      <c r="E54" s="7">
        <f t="shared" si="2"/>
        <v>116899.99999999999</v>
      </c>
      <c r="F54" s="10">
        <v>1</v>
      </c>
      <c r="G54" s="11" t="s">
        <v>6</v>
      </c>
      <c r="H54" s="6" t="s">
        <v>8</v>
      </c>
      <c r="I54" s="15">
        <v>72339.600000000006</v>
      </c>
      <c r="J54" s="15">
        <f t="shared" si="3"/>
        <v>166381.07999999999</v>
      </c>
    </row>
    <row r="55" spans="1:10" ht="33.75" customHeight="1" x14ac:dyDescent="0.25">
      <c r="A55" s="28"/>
      <c r="B55" s="6" t="s">
        <v>158</v>
      </c>
      <c r="C55" s="36">
        <f t="shared" si="0"/>
        <v>134000</v>
      </c>
      <c r="D55" s="36">
        <f t="shared" si="1"/>
        <v>93800</v>
      </c>
      <c r="E55" s="7">
        <f t="shared" si="2"/>
        <v>93800</v>
      </c>
      <c r="F55" s="10">
        <v>1</v>
      </c>
      <c r="G55" s="11" t="s">
        <v>6</v>
      </c>
      <c r="H55" s="6" t="s">
        <v>8</v>
      </c>
      <c r="I55" s="15">
        <v>58253.4</v>
      </c>
      <c r="J55" s="15">
        <f t="shared" si="3"/>
        <v>133982.82</v>
      </c>
    </row>
    <row r="56" spans="1:10" ht="33.75" customHeight="1" x14ac:dyDescent="0.25">
      <c r="A56" s="28"/>
      <c r="B56" s="6" t="s">
        <v>159</v>
      </c>
      <c r="C56" s="36">
        <f t="shared" si="0"/>
        <v>148000</v>
      </c>
      <c r="D56" s="36">
        <f t="shared" si="1"/>
        <v>103600</v>
      </c>
      <c r="E56" s="7">
        <f t="shared" si="2"/>
        <v>103600</v>
      </c>
      <c r="F56" s="10">
        <v>1</v>
      </c>
      <c r="G56" s="11" t="s">
        <v>6</v>
      </c>
      <c r="H56" s="6" t="s">
        <v>8</v>
      </c>
      <c r="I56" s="15">
        <v>64336.200000000004</v>
      </c>
      <c r="J56" s="15">
        <f t="shared" si="3"/>
        <v>147973.26</v>
      </c>
    </row>
    <row r="57" spans="1:10" ht="33.75" customHeight="1" x14ac:dyDescent="0.25">
      <c r="A57" s="28"/>
      <c r="B57" s="6" t="s">
        <v>160</v>
      </c>
      <c r="C57" s="36">
        <f t="shared" si="0"/>
        <v>109000</v>
      </c>
      <c r="D57" s="36">
        <f t="shared" si="1"/>
        <v>76300</v>
      </c>
      <c r="E57" s="7">
        <f t="shared" si="2"/>
        <v>76300</v>
      </c>
      <c r="F57" s="10">
        <v>1</v>
      </c>
      <c r="G57" s="11" t="s">
        <v>6</v>
      </c>
      <c r="H57" s="6" t="s">
        <v>8</v>
      </c>
      <c r="I57" s="15">
        <v>47112</v>
      </c>
      <c r="J57" s="15">
        <f t="shared" si="3"/>
        <v>108357.59999999999</v>
      </c>
    </row>
    <row r="58" spans="1:10" ht="33.75" customHeight="1" x14ac:dyDescent="0.25">
      <c r="A58" s="28"/>
      <c r="B58" s="6" t="s">
        <v>161</v>
      </c>
      <c r="C58" s="36">
        <f t="shared" si="0"/>
        <v>148000</v>
      </c>
      <c r="D58" s="36">
        <f t="shared" si="1"/>
        <v>103600</v>
      </c>
      <c r="E58" s="7">
        <f t="shared" si="2"/>
        <v>103600</v>
      </c>
      <c r="F58" s="10">
        <v>1</v>
      </c>
      <c r="G58" s="11" t="s">
        <v>6</v>
      </c>
      <c r="H58" s="6" t="s">
        <v>8</v>
      </c>
      <c r="I58" s="15">
        <v>64336.200000000004</v>
      </c>
      <c r="J58" s="15">
        <f t="shared" si="3"/>
        <v>147973.26</v>
      </c>
    </row>
    <row r="59" spans="1:10" ht="33.75" customHeight="1" x14ac:dyDescent="0.25">
      <c r="A59" s="28"/>
      <c r="B59" s="6" t="s">
        <v>162</v>
      </c>
      <c r="C59" s="36">
        <f t="shared" si="0"/>
        <v>148000</v>
      </c>
      <c r="D59" s="36">
        <f t="shared" si="1"/>
        <v>103600</v>
      </c>
      <c r="E59" s="7">
        <f t="shared" si="2"/>
        <v>103600</v>
      </c>
      <c r="F59" s="10">
        <v>1</v>
      </c>
      <c r="G59" s="11" t="s">
        <v>6</v>
      </c>
      <c r="H59" s="6" t="s">
        <v>8</v>
      </c>
      <c r="I59" s="15">
        <v>64336.200000000004</v>
      </c>
      <c r="J59" s="15">
        <f t="shared" si="3"/>
        <v>147973.26</v>
      </c>
    </row>
    <row r="60" spans="1:10" ht="33.75" customHeight="1" x14ac:dyDescent="0.25">
      <c r="A60" s="28"/>
      <c r="B60" s="6" t="s">
        <v>163</v>
      </c>
      <c r="C60" s="36">
        <f t="shared" si="0"/>
        <v>151000</v>
      </c>
      <c r="D60" s="36">
        <f t="shared" si="1"/>
        <v>105700</v>
      </c>
      <c r="E60" s="7">
        <f t="shared" si="2"/>
        <v>105700</v>
      </c>
      <c r="F60" s="10">
        <v>1</v>
      </c>
      <c r="G60" s="11" t="s">
        <v>6</v>
      </c>
      <c r="H60" s="6" t="s">
        <v>8</v>
      </c>
      <c r="I60" s="15">
        <v>65481</v>
      </c>
      <c r="J60" s="15">
        <f t="shared" si="3"/>
        <v>150606.29999999999</v>
      </c>
    </row>
    <row r="61" spans="1:10" ht="33.75" customHeight="1" x14ac:dyDescent="0.25">
      <c r="A61" s="28"/>
      <c r="B61" s="6" t="s">
        <v>164</v>
      </c>
      <c r="C61" s="36">
        <f t="shared" si="0"/>
        <v>81000</v>
      </c>
      <c r="D61" s="36">
        <f t="shared" si="1"/>
        <v>56700</v>
      </c>
      <c r="E61" s="7">
        <f t="shared" si="2"/>
        <v>56700</v>
      </c>
      <c r="F61" s="10">
        <v>1</v>
      </c>
      <c r="G61" s="11" t="s">
        <v>6</v>
      </c>
      <c r="H61" s="6" t="s">
        <v>8</v>
      </c>
      <c r="I61" s="15">
        <v>35160</v>
      </c>
      <c r="J61" s="15">
        <f t="shared" si="3"/>
        <v>80868</v>
      </c>
    </row>
    <row r="62" spans="1:10" ht="33.75" customHeight="1" x14ac:dyDescent="0.25">
      <c r="A62" s="28"/>
      <c r="B62" s="6" t="s">
        <v>165</v>
      </c>
      <c r="C62" s="36">
        <f t="shared" si="0"/>
        <v>581000</v>
      </c>
      <c r="D62" s="36">
        <f t="shared" si="1"/>
        <v>406700</v>
      </c>
      <c r="E62" s="7">
        <f t="shared" si="2"/>
        <v>406700</v>
      </c>
      <c r="F62" s="10">
        <v>1</v>
      </c>
      <c r="G62" s="11" t="s">
        <v>6</v>
      </c>
      <c r="H62" s="6" t="s">
        <v>8</v>
      </c>
      <c r="I62" s="15">
        <v>252207.59999999998</v>
      </c>
      <c r="J62" s="15">
        <f t="shared" si="3"/>
        <v>580077.47999999986</v>
      </c>
    </row>
    <row r="63" spans="1:10" ht="33.75" customHeight="1" x14ac:dyDescent="0.25">
      <c r="A63" s="28"/>
      <c r="B63" s="6" t="s">
        <v>166</v>
      </c>
      <c r="C63" s="36">
        <f t="shared" si="0"/>
        <v>201000</v>
      </c>
      <c r="D63" s="36">
        <f t="shared" si="1"/>
        <v>140700</v>
      </c>
      <c r="E63" s="7">
        <f t="shared" si="2"/>
        <v>140700</v>
      </c>
      <c r="F63" s="10">
        <v>1</v>
      </c>
      <c r="G63" s="11" t="s">
        <v>6</v>
      </c>
      <c r="H63" s="6" t="s">
        <v>8</v>
      </c>
      <c r="I63" s="15">
        <v>87325.8</v>
      </c>
      <c r="J63" s="15">
        <f t="shared" si="3"/>
        <v>200849.34</v>
      </c>
    </row>
    <row r="64" spans="1:10" ht="33.75" customHeight="1" x14ac:dyDescent="0.25">
      <c r="A64" s="28"/>
      <c r="B64" s="6" t="s">
        <v>169</v>
      </c>
      <c r="C64" s="36">
        <f t="shared" si="0"/>
        <v>182000</v>
      </c>
      <c r="D64" s="36">
        <f t="shared" si="1"/>
        <v>127399.99999999999</v>
      </c>
      <c r="E64" s="7">
        <f t="shared" si="2"/>
        <v>127399.99999999999</v>
      </c>
      <c r="F64" s="10">
        <v>1</v>
      </c>
      <c r="G64" s="11" t="s">
        <v>6</v>
      </c>
      <c r="H64" s="6" t="s">
        <v>8</v>
      </c>
      <c r="I64" s="15">
        <v>78794.399999999994</v>
      </c>
      <c r="J64" s="15">
        <f t="shared" si="3"/>
        <v>181227.11999999997</v>
      </c>
    </row>
    <row r="65" spans="1:10" ht="33.75" customHeight="1" x14ac:dyDescent="0.25">
      <c r="A65" s="28"/>
      <c r="B65" s="6" t="s">
        <v>170</v>
      </c>
      <c r="C65" s="36">
        <f t="shared" si="0"/>
        <v>149000</v>
      </c>
      <c r="D65" s="36">
        <f t="shared" si="1"/>
        <v>104300</v>
      </c>
      <c r="E65" s="7">
        <f t="shared" si="2"/>
        <v>104300</v>
      </c>
      <c r="F65" s="10">
        <v>1</v>
      </c>
      <c r="G65" s="11" t="s">
        <v>6</v>
      </c>
      <c r="H65" s="6" t="s">
        <v>8</v>
      </c>
      <c r="I65" s="15">
        <v>64569</v>
      </c>
      <c r="J65" s="15">
        <f t="shared" si="3"/>
        <v>148508.69999999998</v>
      </c>
    </row>
    <row r="66" spans="1:10" ht="33.75" customHeight="1" x14ac:dyDescent="0.25">
      <c r="A66" s="28"/>
      <c r="B66" s="6" t="s">
        <v>171</v>
      </c>
      <c r="C66" s="36">
        <f t="shared" si="0"/>
        <v>105000</v>
      </c>
      <c r="D66" s="36">
        <f t="shared" si="1"/>
        <v>73500</v>
      </c>
      <c r="E66" s="7">
        <f t="shared" si="2"/>
        <v>73500</v>
      </c>
      <c r="F66" s="10">
        <v>1</v>
      </c>
      <c r="G66" s="11" t="s">
        <v>6</v>
      </c>
      <c r="H66" s="6" t="s">
        <v>8</v>
      </c>
      <c r="I66" s="15">
        <v>45307.8</v>
      </c>
      <c r="J66" s="15">
        <f t="shared" si="3"/>
        <v>104207.94</v>
      </c>
    </row>
    <row r="67" spans="1:10" ht="33.75" customHeight="1" x14ac:dyDescent="0.25">
      <c r="A67" s="28"/>
      <c r="B67" s="6" t="s">
        <v>172</v>
      </c>
      <c r="C67" s="36">
        <f t="shared" ref="C67:C130" si="4">ROUNDUP(J67,-3)</f>
        <v>108000</v>
      </c>
      <c r="D67" s="36">
        <f t="shared" ref="D67:D130" si="5">0.7*C67</f>
        <v>75600</v>
      </c>
      <c r="E67" s="7">
        <f t="shared" ref="E67:E130" si="6">D67*F67</f>
        <v>75600</v>
      </c>
      <c r="F67" s="10">
        <v>1</v>
      </c>
      <c r="G67" s="11" t="s">
        <v>6</v>
      </c>
      <c r="H67" s="6" t="s">
        <v>8</v>
      </c>
      <c r="I67" s="15">
        <v>46624.800000000003</v>
      </c>
      <c r="J67" s="15">
        <f t="shared" ref="J67:J130" si="7">2.3*I67</f>
        <v>107237.04</v>
      </c>
    </row>
    <row r="68" spans="1:10" ht="33.75" customHeight="1" x14ac:dyDescent="0.25">
      <c r="A68" s="28"/>
      <c r="B68" s="6" t="s">
        <v>562</v>
      </c>
      <c r="C68" s="36">
        <f t="shared" si="4"/>
        <v>1486000</v>
      </c>
      <c r="D68" s="36">
        <f t="shared" si="5"/>
        <v>1040199.9999999999</v>
      </c>
      <c r="E68" s="7">
        <f t="shared" si="6"/>
        <v>1040199.9999999999</v>
      </c>
      <c r="F68" s="10">
        <v>1</v>
      </c>
      <c r="G68" s="11" t="s">
        <v>6</v>
      </c>
      <c r="H68" s="6" t="s">
        <v>8</v>
      </c>
      <c r="I68" s="15">
        <v>646038.39999999991</v>
      </c>
      <c r="J68" s="15">
        <f t="shared" si="7"/>
        <v>1485888.3199999996</v>
      </c>
    </row>
    <row r="69" spans="1:10" ht="33.75" customHeight="1" x14ac:dyDescent="0.25">
      <c r="A69" s="28"/>
      <c r="B69" s="6" t="s">
        <v>531</v>
      </c>
      <c r="C69" s="36">
        <f t="shared" si="4"/>
        <v>710000</v>
      </c>
      <c r="D69" s="36">
        <f t="shared" si="5"/>
        <v>496999.99999999994</v>
      </c>
      <c r="E69" s="7">
        <f t="shared" si="6"/>
        <v>496999.99999999994</v>
      </c>
      <c r="F69" s="10">
        <v>1</v>
      </c>
      <c r="G69" s="11" t="s">
        <v>6</v>
      </c>
      <c r="H69" s="6" t="s">
        <v>8</v>
      </c>
      <c r="I69" s="15">
        <v>308351.79999999993</v>
      </c>
      <c r="J69" s="15">
        <f t="shared" si="7"/>
        <v>709209.13999999978</v>
      </c>
    </row>
    <row r="70" spans="1:10" ht="33.75" customHeight="1" x14ac:dyDescent="0.25">
      <c r="A70" s="28"/>
      <c r="B70" s="6" t="s">
        <v>488</v>
      </c>
      <c r="C70" s="36">
        <f t="shared" si="4"/>
        <v>907000</v>
      </c>
      <c r="D70" s="36">
        <f t="shared" si="5"/>
        <v>634900</v>
      </c>
      <c r="E70" s="7">
        <f t="shared" si="6"/>
        <v>634900</v>
      </c>
      <c r="F70" s="10">
        <v>1</v>
      </c>
      <c r="G70" s="11" t="s">
        <v>6</v>
      </c>
      <c r="H70" s="6" t="s">
        <v>8</v>
      </c>
      <c r="I70" s="15">
        <v>394087.4</v>
      </c>
      <c r="J70" s="15">
        <f t="shared" si="7"/>
        <v>906401.02</v>
      </c>
    </row>
    <row r="71" spans="1:10" ht="33.75" customHeight="1" x14ac:dyDescent="0.25">
      <c r="A71" s="28"/>
      <c r="B71" s="6" t="s">
        <v>489</v>
      </c>
      <c r="C71" s="36">
        <f t="shared" si="4"/>
        <v>444000</v>
      </c>
      <c r="D71" s="36">
        <f t="shared" si="5"/>
        <v>310800</v>
      </c>
      <c r="E71" s="7">
        <f t="shared" si="6"/>
        <v>310800</v>
      </c>
      <c r="F71" s="10">
        <v>1</v>
      </c>
      <c r="G71" s="11" t="s">
        <v>6</v>
      </c>
      <c r="H71" s="6" t="s">
        <v>8</v>
      </c>
      <c r="I71" s="15">
        <v>192695.4</v>
      </c>
      <c r="J71" s="15">
        <f t="shared" si="7"/>
        <v>443199.41999999993</v>
      </c>
    </row>
    <row r="72" spans="1:10" ht="33.75" customHeight="1" x14ac:dyDescent="0.25">
      <c r="A72" s="28"/>
      <c r="B72" s="6" t="s">
        <v>567</v>
      </c>
      <c r="C72" s="36">
        <f t="shared" si="4"/>
        <v>144000</v>
      </c>
      <c r="D72" s="36">
        <f t="shared" si="5"/>
        <v>100800</v>
      </c>
      <c r="E72" s="7">
        <f t="shared" si="6"/>
        <v>100800</v>
      </c>
      <c r="F72" s="10">
        <v>1</v>
      </c>
      <c r="G72" s="11" t="s">
        <v>6</v>
      </c>
      <c r="H72" s="6" t="s">
        <v>8</v>
      </c>
      <c r="I72" s="15">
        <v>62286.8</v>
      </c>
      <c r="J72" s="15">
        <f t="shared" si="7"/>
        <v>143259.63999999998</v>
      </c>
    </row>
    <row r="73" spans="1:10" ht="33.75" customHeight="1" x14ac:dyDescent="0.25">
      <c r="A73" s="28"/>
      <c r="B73" s="6" t="s">
        <v>187</v>
      </c>
      <c r="C73" s="36">
        <f t="shared" si="4"/>
        <v>50000</v>
      </c>
      <c r="D73" s="36">
        <f t="shared" si="5"/>
        <v>35000</v>
      </c>
      <c r="E73" s="7">
        <f t="shared" si="6"/>
        <v>35000</v>
      </c>
      <c r="F73" s="10">
        <v>1</v>
      </c>
      <c r="G73" s="11" t="s">
        <v>6</v>
      </c>
      <c r="H73" s="6" t="s">
        <v>8</v>
      </c>
      <c r="I73" s="15">
        <v>21489</v>
      </c>
      <c r="J73" s="15">
        <f t="shared" si="7"/>
        <v>49424.7</v>
      </c>
    </row>
    <row r="74" spans="1:10" ht="33.75" customHeight="1" x14ac:dyDescent="0.25">
      <c r="A74" s="28"/>
      <c r="B74" s="6" t="s">
        <v>188</v>
      </c>
      <c r="C74" s="36">
        <f t="shared" si="4"/>
        <v>38000</v>
      </c>
      <c r="D74" s="36">
        <f t="shared" si="5"/>
        <v>26600</v>
      </c>
      <c r="E74" s="7">
        <f t="shared" si="6"/>
        <v>26600</v>
      </c>
      <c r="F74" s="10">
        <v>1</v>
      </c>
      <c r="G74" s="11" t="s">
        <v>6</v>
      </c>
      <c r="H74" s="6" t="s">
        <v>8</v>
      </c>
      <c r="I74" s="15">
        <v>16456.199999999997</v>
      </c>
      <c r="J74" s="15">
        <f t="shared" si="7"/>
        <v>37849.259999999987</v>
      </c>
    </row>
    <row r="75" spans="1:10" ht="33.75" customHeight="1" x14ac:dyDescent="0.25">
      <c r="A75" s="28"/>
      <c r="B75" s="6" t="s">
        <v>189</v>
      </c>
      <c r="C75" s="36">
        <f t="shared" si="4"/>
        <v>39000</v>
      </c>
      <c r="D75" s="36">
        <f t="shared" si="5"/>
        <v>27300</v>
      </c>
      <c r="E75" s="7">
        <f t="shared" si="6"/>
        <v>27300</v>
      </c>
      <c r="F75" s="10">
        <v>1</v>
      </c>
      <c r="G75" s="11" t="s">
        <v>6</v>
      </c>
      <c r="H75" s="6" t="s">
        <v>8</v>
      </c>
      <c r="I75" s="15">
        <v>16926</v>
      </c>
      <c r="J75" s="15">
        <f t="shared" si="7"/>
        <v>38929.799999999996</v>
      </c>
    </row>
    <row r="76" spans="1:10" ht="33.75" customHeight="1" x14ac:dyDescent="0.25">
      <c r="A76" s="28"/>
      <c r="B76" s="6" t="s">
        <v>190</v>
      </c>
      <c r="C76" s="36">
        <f t="shared" si="4"/>
        <v>49000</v>
      </c>
      <c r="D76" s="36">
        <f t="shared" si="5"/>
        <v>34300</v>
      </c>
      <c r="E76" s="7">
        <f t="shared" si="6"/>
        <v>34300</v>
      </c>
      <c r="F76" s="10">
        <v>1</v>
      </c>
      <c r="G76" s="11" t="s">
        <v>6</v>
      </c>
      <c r="H76" s="6" t="s">
        <v>8</v>
      </c>
      <c r="I76" s="15">
        <v>21019.199999999997</v>
      </c>
      <c r="J76" s="15">
        <f t="shared" si="7"/>
        <v>48344.159999999989</v>
      </c>
    </row>
    <row r="77" spans="1:10" ht="33.75" customHeight="1" x14ac:dyDescent="0.25">
      <c r="A77" s="28"/>
      <c r="B77" s="6" t="s">
        <v>191</v>
      </c>
      <c r="C77" s="36">
        <f t="shared" si="4"/>
        <v>41000</v>
      </c>
      <c r="D77" s="36">
        <f t="shared" si="5"/>
        <v>28699.999999999996</v>
      </c>
      <c r="E77" s="7">
        <f t="shared" si="6"/>
        <v>28699.999999999996</v>
      </c>
      <c r="F77" s="10">
        <v>1</v>
      </c>
      <c r="G77" s="11" t="s">
        <v>6</v>
      </c>
      <c r="H77" s="6" t="s">
        <v>8</v>
      </c>
      <c r="I77" s="15">
        <v>17395.8</v>
      </c>
      <c r="J77" s="15">
        <f t="shared" si="7"/>
        <v>40010.339999999997</v>
      </c>
    </row>
    <row r="78" spans="1:10" ht="33.75" customHeight="1" x14ac:dyDescent="0.25">
      <c r="A78" s="28"/>
      <c r="B78" s="6" t="s">
        <v>192</v>
      </c>
      <c r="C78" s="36">
        <f t="shared" si="4"/>
        <v>41000</v>
      </c>
      <c r="D78" s="36">
        <f t="shared" si="5"/>
        <v>28699.999999999996</v>
      </c>
      <c r="E78" s="7">
        <f t="shared" si="6"/>
        <v>28699.999999999996</v>
      </c>
      <c r="F78" s="10">
        <v>1</v>
      </c>
      <c r="G78" s="11" t="s">
        <v>6</v>
      </c>
      <c r="H78" s="6" t="s">
        <v>8</v>
      </c>
      <c r="I78" s="15">
        <v>17395.8</v>
      </c>
      <c r="J78" s="15">
        <f t="shared" si="7"/>
        <v>40010.339999999997</v>
      </c>
    </row>
    <row r="79" spans="1:10" ht="33.75" customHeight="1" x14ac:dyDescent="0.25">
      <c r="A79" s="28"/>
      <c r="B79" s="6" t="s">
        <v>193</v>
      </c>
      <c r="C79" s="36">
        <f t="shared" si="4"/>
        <v>37000</v>
      </c>
      <c r="D79" s="36">
        <f t="shared" si="5"/>
        <v>25900</v>
      </c>
      <c r="E79" s="7">
        <f t="shared" si="6"/>
        <v>25900</v>
      </c>
      <c r="F79" s="10">
        <v>1</v>
      </c>
      <c r="G79" s="11" t="s">
        <v>6</v>
      </c>
      <c r="H79" s="6" t="s">
        <v>8</v>
      </c>
      <c r="I79" s="15">
        <v>15986.4</v>
      </c>
      <c r="J79" s="15">
        <f t="shared" si="7"/>
        <v>36768.719999999994</v>
      </c>
    </row>
    <row r="80" spans="1:10" ht="33.75" customHeight="1" x14ac:dyDescent="0.25">
      <c r="A80" s="28"/>
      <c r="B80" s="6" t="s">
        <v>194</v>
      </c>
      <c r="C80" s="36">
        <f t="shared" si="4"/>
        <v>37000</v>
      </c>
      <c r="D80" s="36">
        <f t="shared" si="5"/>
        <v>25900</v>
      </c>
      <c r="E80" s="7">
        <f t="shared" si="6"/>
        <v>25900</v>
      </c>
      <c r="F80" s="10">
        <v>1</v>
      </c>
      <c r="G80" s="11" t="s">
        <v>6</v>
      </c>
      <c r="H80" s="6" t="s">
        <v>8</v>
      </c>
      <c r="I80" s="15">
        <v>15986.4</v>
      </c>
      <c r="J80" s="15">
        <f t="shared" si="7"/>
        <v>36768.719999999994</v>
      </c>
    </row>
    <row r="81" spans="1:10" ht="33.75" customHeight="1" x14ac:dyDescent="0.25">
      <c r="A81" s="28"/>
      <c r="B81" s="6" t="s">
        <v>195</v>
      </c>
      <c r="C81" s="36">
        <f t="shared" si="4"/>
        <v>212000</v>
      </c>
      <c r="D81" s="36">
        <f t="shared" si="5"/>
        <v>148400</v>
      </c>
      <c r="E81" s="7">
        <f t="shared" si="6"/>
        <v>148400</v>
      </c>
      <c r="F81" s="10">
        <v>1</v>
      </c>
      <c r="G81" s="11" t="s">
        <v>6</v>
      </c>
      <c r="H81" s="6" t="s">
        <v>8</v>
      </c>
      <c r="I81" s="15">
        <v>91987.199999999997</v>
      </c>
      <c r="J81" s="15">
        <f t="shared" si="7"/>
        <v>211570.55999999997</v>
      </c>
    </row>
    <row r="82" spans="1:10" ht="33.75" customHeight="1" x14ac:dyDescent="0.25">
      <c r="A82" s="28"/>
      <c r="B82" s="6" t="s">
        <v>196</v>
      </c>
      <c r="C82" s="36">
        <f t="shared" si="4"/>
        <v>221000</v>
      </c>
      <c r="D82" s="36">
        <f t="shared" si="5"/>
        <v>154700</v>
      </c>
      <c r="E82" s="7">
        <f t="shared" si="6"/>
        <v>154700</v>
      </c>
      <c r="F82" s="10">
        <v>1</v>
      </c>
      <c r="G82" s="11" t="s">
        <v>6</v>
      </c>
      <c r="H82" s="6" t="s">
        <v>8</v>
      </c>
      <c r="I82" s="15">
        <v>95832</v>
      </c>
      <c r="J82" s="15">
        <f t="shared" si="7"/>
        <v>220413.59999999998</v>
      </c>
    </row>
    <row r="83" spans="1:10" ht="33.75" customHeight="1" x14ac:dyDescent="0.25">
      <c r="A83" s="28"/>
      <c r="B83" s="6" t="s">
        <v>197</v>
      </c>
      <c r="C83" s="36">
        <f t="shared" si="4"/>
        <v>147000</v>
      </c>
      <c r="D83" s="36">
        <f t="shared" si="5"/>
        <v>102900</v>
      </c>
      <c r="E83" s="7">
        <f t="shared" si="6"/>
        <v>102900</v>
      </c>
      <c r="F83" s="10">
        <v>1</v>
      </c>
      <c r="G83" s="11" t="s">
        <v>6</v>
      </c>
      <c r="H83" s="6" t="s">
        <v>8</v>
      </c>
      <c r="I83" s="15">
        <v>63763.8</v>
      </c>
      <c r="J83" s="15">
        <f t="shared" si="7"/>
        <v>146656.74</v>
      </c>
    </row>
    <row r="84" spans="1:10" ht="33.75" customHeight="1" x14ac:dyDescent="0.25">
      <c r="A84" s="28"/>
      <c r="B84" s="6" t="s">
        <v>198</v>
      </c>
      <c r="C84" s="36">
        <f t="shared" si="4"/>
        <v>274000</v>
      </c>
      <c r="D84" s="36">
        <f t="shared" si="5"/>
        <v>191800</v>
      </c>
      <c r="E84" s="7">
        <f t="shared" si="6"/>
        <v>191800</v>
      </c>
      <c r="F84" s="10">
        <v>1</v>
      </c>
      <c r="G84" s="11" t="s">
        <v>6</v>
      </c>
      <c r="H84" s="6" t="s">
        <v>8</v>
      </c>
      <c r="I84" s="15">
        <v>118778.4</v>
      </c>
      <c r="J84" s="15">
        <f t="shared" si="7"/>
        <v>273190.31999999995</v>
      </c>
    </row>
    <row r="85" spans="1:10" ht="33.75" customHeight="1" x14ac:dyDescent="0.25">
      <c r="A85" s="28"/>
      <c r="B85" s="6" t="s">
        <v>447</v>
      </c>
      <c r="C85" s="36">
        <f t="shared" si="4"/>
        <v>184000</v>
      </c>
      <c r="D85" s="36">
        <f t="shared" si="5"/>
        <v>128799.99999999999</v>
      </c>
      <c r="E85" s="7">
        <f t="shared" si="6"/>
        <v>128799.99999999999</v>
      </c>
      <c r="F85" s="10">
        <v>1</v>
      </c>
      <c r="G85" s="11" t="s">
        <v>6</v>
      </c>
      <c r="H85" s="6" t="s">
        <v>8</v>
      </c>
      <c r="I85" s="15">
        <v>79859.399999999994</v>
      </c>
      <c r="J85" s="15">
        <f t="shared" si="7"/>
        <v>183676.61999999997</v>
      </c>
    </row>
    <row r="86" spans="1:10" ht="33.75" customHeight="1" x14ac:dyDescent="0.25">
      <c r="A86" s="28"/>
      <c r="B86" s="6" t="s">
        <v>201</v>
      </c>
      <c r="C86" s="36">
        <f t="shared" si="4"/>
        <v>152000</v>
      </c>
      <c r="D86" s="36">
        <f t="shared" si="5"/>
        <v>106400</v>
      </c>
      <c r="E86" s="7">
        <f t="shared" si="6"/>
        <v>106400</v>
      </c>
      <c r="F86" s="10">
        <v>1</v>
      </c>
      <c r="G86" s="11" t="s">
        <v>6</v>
      </c>
      <c r="H86" s="6" t="s">
        <v>8</v>
      </c>
      <c r="I86" s="15">
        <v>65877</v>
      </c>
      <c r="J86" s="15">
        <f t="shared" si="7"/>
        <v>151517.09999999998</v>
      </c>
    </row>
    <row r="87" spans="1:10" ht="33.75" customHeight="1" x14ac:dyDescent="0.25">
      <c r="A87" s="28"/>
      <c r="B87" s="6" t="s">
        <v>202</v>
      </c>
      <c r="C87" s="36">
        <f t="shared" si="4"/>
        <v>178000</v>
      </c>
      <c r="D87" s="36">
        <f t="shared" si="5"/>
        <v>124599.99999999999</v>
      </c>
      <c r="E87" s="7">
        <f t="shared" si="6"/>
        <v>124599.99999999999</v>
      </c>
      <c r="F87" s="10">
        <v>1</v>
      </c>
      <c r="G87" s="11" t="s">
        <v>6</v>
      </c>
      <c r="H87" s="6" t="s">
        <v>8</v>
      </c>
      <c r="I87" s="15">
        <v>77046</v>
      </c>
      <c r="J87" s="15">
        <f t="shared" si="7"/>
        <v>177205.8</v>
      </c>
    </row>
    <row r="88" spans="1:10" ht="33.75" customHeight="1" x14ac:dyDescent="0.25">
      <c r="A88" s="28"/>
      <c r="B88" s="6" t="s">
        <v>449</v>
      </c>
      <c r="C88" s="36">
        <f t="shared" si="4"/>
        <v>178000</v>
      </c>
      <c r="D88" s="36">
        <f t="shared" si="5"/>
        <v>124599.99999999999</v>
      </c>
      <c r="E88" s="7">
        <f t="shared" si="6"/>
        <v>124599.99999999999</v>
      </c>
      <c r="F88" s="10">
        <v>1</v>
      </c>
      <c r="G88" s="11" t="s">
        <v>6</v>
      </c>
      <c r="H88" s="6" t="s">
        <v>8</v>
      </c>
      <c r="I88" s="15">
        <v>77046</v>
      </c>
      <c r="J88" s="15">
        <f t="shared" si="7"/>
        <v>177205.8</v>
      </c>
    </row>
    <row r="89" spans="1:10" ht="33.75" customHeight="1" x14ac:dyDescent="0.25">
      <c r="A89" s="28"/>
      <c r="B89" s="6" t="s">
        <v>203</v>
      </c>
      <c r="C89" s="36">
        <f t="shared" si="4"/>
        <v>110000</v>
      </c>
      <c r="D89" s="36">
        <f t="shared" si="5"/>
        <v>77000</v>
      </c>
      <c r="E89" s="7">
        <f t="shared" si="6"/>
        <v>77000</v>
      </c>
      <c r="F89" s="10">
        <v>1</v>
      </c>
      <c r="G89" s="11" t="s">
        <v>6</v>
      </c>
      <c r="H89" s="6" t="s">
        <v>8</v>
      </c>
      <c r="I89" s="15">
        <v>47508</v>
      </c>
      <c r="J89" s="15">
        <f t="shared" si="7"/>
        <v>109268.4</v>
      </c>
    </row>
    <row r="90" spans="1:10" ht="33.75" customHeight="1" x14ac:dyDescent="0.25">
      <c r="A90" s="28"/>
      <c r="B90" s="6" t="s">
        <v>446</v>
      </c>
      <c r="C90" s="36">
        <f t="shared" si="4"/>
        <v>110000</v>
      </c>
      <c r="D90" s="36">
        <f t="shared" si="5"/>
        <v>77000</v>
      </c>
      <c r="E90" s="7">
        <f t="shared" si="6"/>
        <v>77000</v>
      </c>
      <c r="F90" s="10">
        <v>1</v>
      </c>
      <c r="G90" s="11" t="s">
        <v>6</v>
      </c>
      <c r="H90" s="6" t="s">
        <v>8</v>
      </c>
      <c r="I90" s="15">
        <v>47508</v>
      </c>
      <c r="J90" s="15">
        <f t="shared" si="7"/>
        <v>109268.4</v>
      </c>
    </row>
    <row r="91" spans="1:10" ht="33.75" customHeight="1" x14ac:dyDescent="0.25">
      <c r="A91" s="28"/>
      <c r="B91" s="6" t="s">
        <v>204</v>
      </c>
      <c r="C91" s="36">
        <f t="shared" si="4"/>
        <v>173000</v>
      </c>
      <c r="D91" s="36">
        <f t="shared" si="5"/>
        <v>121099.99999999999</v>
      </c>
      <c r="E91" s="7">
        <f t="shared" si="6"/>
        <v>121099.99999999999</v>
      </c>
      <c r="F91" s="10">
        <v>1</v>
      </c>
      <c r="G91" s="11" t="s">
        <v>6</v>
      </c>
      <c r="H91" s="6" t="s">
        <v>8</v>
      </c>
      <c r="I91" s="15">
        <v>74846.399999999994</v>
      </c>
      <c r="J91" s="15">
        <f t="shared" si="7"/>
        <v>172146.71999999997</v>
      </c>
    </row>
    <row r="92" spans="1:10" ht="33.75" customHeight="1" x14ac:dyDescent="0.25">
      <c r="A92" s="28"/>
      <c r="B92" s="6" t="s">
        <v>556</v>
      </c>
      <c r="C92" s="36">
        <f t="shared" si="4"/>
        <v>2136000</v>
      </c>
      <c r="D92" s="36">
        <f t="shared" si="5"/>
        <v>1495200</v>
      </c>
      <c r="E92" s="7">
        <f t="shared" si="6"/>
        <v>1495200</v>
      </c>
      <c r="F92" s="10">
        <v>1</v>
      </c>
      <c r="G92" s="11" t="s">
        <v>6</v>
      </c>
      <c r="H92" s="6" t="s">
        <v>8</v>
      </c>
      <c r="I92" s="15">
        <v>928383.6</v>
      </c>
      <c r="J92" s="15">
        <f t="shared" si="7"/>
        <v>2135282.2799999998</v>
      </c>
    </row>
    <row r="93" spans="1:10" ht="33.75" customHeight="1" x14ac:dyDescent="0.25">
      <c r="A93" s="28"/>
      <c r="B93" s="6" t="s">
        <v>207</v>
      </c>
      <c r="C93" s="36">
        <f t="shared" si="4"/>
        <v>7358000</v>
      </c>
      <c r="D93" s="36">
        <f t="shared" si="5"/>
        <v>5150600</v>
      </c>
      <c r="E93" s="7">
        <f t="shared" si="6"/>
        <v>5150600</v>
      </c>
      <c r="F93" s="10">
        <v>1</v>
      </c>
      <c r="G93" s="11" t="s">
        <v>6</v>
      </c>
      <c r="H93" s="6" t="s">
        <v>8</v>
      </c>
      <c r="I93" s="15">
        <v>3198862.5999999996</v>
      </c>
      <c r="J93" s="15">
        <f t="shared" si="7"/>
        <v>7357383.9799999986</v>
      </c>
    </row>
    <row r="94" spans="1:10" ht="33.75" customHeight="1" x14ac:dyDescent="0.25">
      <c r="A94" s="28"/>
      <c r="B94" s="6" t="s">
        <v>557</v>
      </c>
      <c r="C94" s="36">
        <f t="shared" si="4"/>
        <v>254000</v>
      </c>
      <c r="D94" s="36">
        <f t="shared" si="5"/>
        <v>177800</v>
      </c>
      <c r="E94" s="7">
        <f t="shared" si="6"/>
        <v>177800</v>
      </c>
      <c r="F94" s="10">
        <v>1</v>
      </c>
      <c r="G94" s="11" t="s">
        <v>6</v>
      </c>
      <c r="H94" s="6" t="s">
        <v>8</v>
      </c>
      <c r="I94" s="15">
        <v>110137.2</v>
      </c>
      <c r="J94" s="15">
        <f t="shared" si="7"/>
        <v>253315.55999999997</v>
      </c>
    </row>
    <row r="95" spans="1:10" ht="33.75" customHeight="1" x14ac:dyDescent="0.25">
      <c r="A95" s="28"/>
      <c r="B95" s="6" t="s">
        <v>230</v>
      </c>
      <c r="C95" s="36">
        <f t="shared" si="4"/>
        <v>664000</v>
      </c>
      <c r="D95" s="36">
        <f t="shared" si="5"/>
        <v>464799.99999999994</v>
      </c>
      <c r="E95" s="7">
        <f t="shared" si="6"/>
        <v>464799.99999999994</v>
      </c>
      <c r="F95" s="10">
        <v>1</v>
      </c>
      <c r="G95" s="11" t="s">
        <v>6</v>
      </c>
      <c r="H95" s="6" t="s">
        <v>8</v>
      </c>
      <c r="I95" s="15">
        <v>288528.59999999998</v>
      </c>
      <c r="J95" s="15">
        <f t="shared" si="7"/>
        <v>663615.77999999991</v>
      </c>
    </row>
    <row r="96" spans="1:10" ht="33.75" customHeight="1" x14ac:dyDescent="0.25">
      <c r="A96" s="28"/>
      <c r="B96" s="6" t="s">
        <v>247</v>
      </c>
      <c r="C96" s="36">
        <f t="shared" si="4"/>
        <v>2900000</v>
      </c>
      <c r="D96" s="36">
        <f t="shared" si="5"/>
        <v>2029999.9999999998</v>
      </c>
      <c r="E96" s="7">
        <f t="shared" si="6"/>
        <v>2029999.9999999998</v>
      </c>
      <c r="F96" s="10">
        <v>1</v>
      </c>
      <c r="G96" s="11" t="s">
        <v>6</v>
      </c>
      <c r="H96" s="6" t="s">
        <v>8</v>
      </c>
      <c r="I96" s="15">
        <v>1260606.912</v>
      </c>
      <c r="J96" s="15">
        <f t="shared" si="7"/>
        <v>2899395.8975999998</v>
      </c>
    </row>
    <row r="97" spans="1:10" ht="33.75" customHeight="1" x14ac:dyDescent="0.25">
      <c r="A97" s="28"/>
      <c r="B97" s="6" t="s">
        <v>265</v>
      </c>
      <c r="C97" s="36">
        <f t="shared" si="4"/>
        <v>262000</v>
      </c>
      <c r="D97" s="36">
        <f t="shared" si="5"/>
        <v>183400</v>
      </c>
      <c r="E97" s="7">
        <f t="shared" si="6"/>
        <v>183400</v>
      </c>
      <c r="F97" s="10">
        <v>1</v>
      </c>
      <c r="G97" s="11" t="s">
        <v>6</v>
      </c>
      <c r="H97" s="6" t="s">
        <v>8</v>
      </c>
      <c r="I97" s="15">
        <v>113485.2</v>
      </c>
      <c r="J97" s="15">
        <f t="shared" si="7"/>
        <v>261015.95999999996</v>
      </c>
    </row>
    <row r="98" spans="1:10" ht="33.75" customHeight="1" x14ac:dyDescent="0.25">
      <c r="A98" s="28"/>
      <c r="B98" s="6" t="s">
        <v>272</v>
      </c>
      <c r="C98" s="36">
        <f t="shared" si="4"/>
        <v>551000</v>
      </c>
      <c r="D98" s="36">
        <f t="shared" si="5"/>
        <v>385700</v>
      </c>
      <c r="E98" s="7">
        <f t="shared" si="6"/>
        <v>385700</v>
      </c>
      <c r="F98" s="10">
        <v>1</v>
      </c>
      <c r="G98" s="11" t="s">
        <v>6</v>
      </c>
      <c r="H98" s="6" t="s">
        <v>8</v>
      </c>
      <c r="I98" s="15">
        <v>239335.79999999996</v>
      </c>
      <c r="J98" s="15">
        <f t="shared" si="7"/>
        <v>550472.33999999985</v>
      </c>
    </row>
    <row r="99" spans="1:10" ht="33.75" customHeight="1" x14ac:dyDescent="0.25">
      <c r="A99" s="28"/>
      <c r="B99" s="6" t="s">
        <v>277</v>
      </c>
      <c r="C99" s="36">
        <f t="shared" si="4"/>
        <v>250000</v>
      </c>
      <c r="D99" s="36">
        <f t="shared" si="5"/>
        <v>175000</v>
      </c>
      <c r="E99" s="7">
        <f t="shared" si="6"/>
        <v>175000</v>
      </c>
      <c r="F99" s="10">
        <v>1</v>
      </c>
      <c r="G99" s="11" t="s">
        <v>6</v>
      </c>
      <c r="H99" s="6" t="s">
        <v>8</v>
      </c>
      <c r="I99" s="15">
        <v>108438.6</v>
      </c>
      <c r="J99" s="15">
        <f t="shared" si="7"/>
        <v>249408.78</v>
      </c>
    </row>
    <row r="100" spans="1:10" ht="33.75" customHeight="1" x14ac:dyDescent="0.25">
      <c r="A100" s="28"/>
      <c r="B100" s="6" t="s">
        <v>278</v>
      </c>
      <c r="C100" s="36">
        <f t="shared" si="4"/>
        <v>246000</v>
      </c>
      <c r="D100" s="36">
        <f t="shared" si="5"/>
        <v>172200</v>
      </c>
      <c r="E100" s="7">
        <f t="shared" si="6"/>
        <v>172200</v>
      </c>
      <c r="F100" s="10">
        <v>1</v>
      </c>
      <c r="G100" s="11" t="s">
        <v>6</v>
      </c>
      <c r="H100" s="6" t="s">
        <v>8</v>
      </c>
      <c r="I100" s="15">
        <v>106548</v>
      </c>
      <c r="J100" s="15">
        <f t="shared" si="7"/>
        <v>245060.4</v>
      </c>
    </row>
    <row r="101" spans="1:10" ht="33.75" customHeight="1" x14ac:dyDescent="0.25">
      <c r="A101" s="28"/>
      <c r="B101" s="6" t="s">
        <v>279</v>
      </c>
      <c r="C101" s="36">
        <f t="shared" si="4"/>
        <v>539000</v>
      </c>
      <c r="D101" s="36">
        <f t="shared" si="5"/>
        <v>377300</v>
      </c>
      <c r="E101" s="7">
        <f t="shared" si="6"/>
        <v>377300</v>
      </c>
      <c r="F101" s="10">
        <v>1</v>
      </c>
      <c r="G101" s="11" t="s">
        <v>6</v>
      </c>
      <c r="H101" s="6" t="s">
        <v>8</v>
      </c>
      <c r="I101" s="15">
        <v>234325.8</v>
      </c>
      <c r="J101" s="15">
        <f t="shared" si="7"/>
        <v>538949.34</v>
      </c>
    </row>
    <row r="102" spans="1:10" ht="33.75" customHeight="1" x14ac:dyDescent="0.25">
      <c r="A102" s="28"/>
      <c r="B102" s="6" t="s">
        <v>287</v>
      </c>
      <c r="C102" s="36">
        <f t="shared" si="4"/>
        <v>297000</v>
      </c>
      <c r="D102" s="36">
        <f t="shared" si="5"/>
        <v>207900</v>
      </c>
      <c r="E102" s="7">
        <f t="shared" si="6"/>
        <v>207900</v>
      </c>
      <c r="F102" s="10">
        <v>1</v>
      </c>
      <c r="G102" s="11" t="s">
        <v>6</v>
      </c>
      <c r="H102" s="6" t="s">
        <v>8</v>
      </c>
      <c r="I102" s="15">
        <v>129042.6</v>
      </c>
      <c r="J102" s="15">
        <f t="shared" si="7"/>
        <v>296797.98</v>
      </c>
    </row>
    <row r="103" spans="1:10" ht="33.75" customHeight="1" x14ac:dyDescent="0.25">
      <c r="A103" s="28"/>
      <c r="B103" s="6" t="s">
        <v>286</v>
      </c>
      <c r="C103" s="36">
        <f t="shared" si="4"/>
        <v>215000</v>
      </c>
      <c r="D103" s="36">
        <f t="shared" si="5"/>
        <v>150500</v>
      </c>
      <c r="E103" s="7">
        <f t="shared" si="6"/>
        <v>150500</v>
      </c>
      <c r="F103" s="10">
        <v>1</v>
      </c>
      <c r="G103" s="11" t="s">
        <v>6</v>
      </c>
      <c r="H103" s="6" t="s">
        <v>8</v>
      </c>
      <c r="I103" s="15">
        <v>93372.6</v>
      </c>
      <c r="J103" s="15">
        <f t="shared" si="7"/>
        <v>214756.98</v>
      </c>
    </row>
    <row r="104" spans="1:10" ht="33.75" customHeight="1" x14ac:dyDescent="0.25">
      <c r="A104" s="28"/>
      <c r="B104" s="6" t="s">
        <v>288</v>
      </c>
      <c r="C104" s="36">
        <f t="shared" si="4"/>
        <v>192000</v>
      </c>
      <c r="D104" s="36">
        <f t="shared" si="5"/>
        <v>134400</v>
      </c>
      <c r="E104" s="7">
        <f t="shared" si="6"/>
        <v>134400</v>
      </c>
      <c r="F104" s="10">
        <v>1</v>
      </c>
      <c r="G104" s="11" t="s">
        <v>6</v>
      </c>
      <c r="H104" s="6" t="s">
        <v>8</v>
      </c>
      <c r="I104" s="15">
        <v>83335.199999999997</v>
      </c>
      <c r="J104" s="15">
        <f t="shared" si="7"/>
        <v>191670.96</v>
      </c>
    </row>
    <row r="105" spans="1:10" ht="33.75" customHeight="1" x14ac:dyDescent="0.25">
      <c r="A105" s="28"/>
      <c r="B105" s="6" t="s">
        <v>291</v>
      </c>
      <c r="C105" s="36">
        <f t="shared" si="4"/>
        <v>71000</v>
      </c>
      <c r="D105" s="36">
        <f t="shared" si="5"/>
        <v>49700</v>
      </c>
      <c r="E105" s="7">
        <f t="shared" si="6"/>
        <v>49700</v>
      </c>
      <c r="F105" s="10">
        <v>1</v>
      </c>
      <c r="G105" s="11" t="s">
        <v>6</v>
      </c>
      <c r="H105" s="6" t="s">
        <v>8</v>
      </c>
      <c r="I105" s="15">
        <v>30841.200000000001</v>
      </c>
      <c r="J105" s="15">
        <f t="shared" si="7"/>
        <v>70934.759999999995</v>
      </c>
    </row>
    <row r="106" spans="1:10" ht="33.75" customHeight="1" x14ac:dyDescent="0.25">
      <c r="A106" s="28"/>
      <c r="B106" s="6" t="s">
        <v>294</v>
      </c>
      <c r="C106" s="36">
        <f t="shared" si="4"/>
        <v>78000</v>
      </c>
      <c r="D106" s="36">
        <f t="shared" si="5"/>
        <v>54600</v>
      </c>
      <c r="E106" s="7">
        <f t="shared" si="6"/>
        <v>54600</v>
      </c>
      <c r="F106" s="10">
        <v>1</v>
      </c>
      <c r="G106" s="11" t="s">
        <v>6</v>
      </c>
      <c r="H106" s="6" t="s">
        <v>8</v>
      </c>
      <c r="I106" s="15">
        <v>33802.800000000003</v>
      </c>
      <c r="J106" s="15">
        <f t="shared" si="7"/>
        <v>77746.44</v>
      </c>
    </row>
    <row r="107" spans="1:10" ht="33.75" customHeight="1" x14ac:dyDescent="0.25">
      <c r="A107" s="28"/>
      <c r="B107" s="6" t="s">
        <v>295</v>
      </c>
      <c r="C107" s="36">
        <f t="shared" si="4"/>
        <v>532000</v>
      </c>
      <c r="D107" s="36">
        <f t="shared" si="5"/>
        <v>372400</v>
      </c>
      <c r="E107" s="7">
        <f t="shared" si="6"/>
        <v>372400</v>
      </c>
      <c r="F107" s="10">
        <v>1</v>
      </c>
      <c r="G107" s="11" t="s">
        <v>6</v>
      </c>
      <c r="H107" s="6" t="s">
        <v>8</v>
      </c>
      <c r="I107" s="15">
        <v>230905.4</v>
      </c>
      <c r="J107" s="15">
        <f t="shared" si="7"/>
        <v>531082.41999999993</v>
      </c>
    </row>
    <row r="108" spans="1:10" ht="33.75" customHeight="1" x14ac:dyDescent="0.25">
      <c r="A108" s="28"/>
      <c r="B108" s="6" t="s">
        <v>300</v>
      </c>
      <c r="C108" s="36">
        <f t="shared" si="4"/>
        <v>309000</v>
      </c>
      <c r="D108" s="36">
        <f t="shared" si="5"/>
        <v>216300</v>
      </c>
      <c r="E108" s="7">
        <f t="shared" si="6"/>
        <v>216300</v>
      </c>
      <c r="F108" s="10">
        <v>1</v>
      </c>
      <c r="G108" s="11" t="s">
        <v>6</v>
      </c>
      <c r="H108" s="6" t="s">
        <v>8</v>
      </c>
      <c r="I108" s="15">
        <v>134256.6</v>
      </c>
      <c r="J108" s="15">
        <f t="shared" si="7"/>
        <v>308790.18</v>
      </c>
    </row>
    <row r="109" spans="1:10" ht="33.75" customHeight="1" x14ac:dyDescent="0.25">
      <c r="A109" s="28"/>
      <c r="B109" s="6" t="s">
        <v>301</v>
      </c>
      <c r="C109" s="36">
        <f t="shared" si="4"/>
        <v>50000</v>
      </c>
      <c r="D109" s="36">
        <f t="shared" si="5"/>
        <v>35000</v>
      </c>
      <c r="E109" s="7">
        <f t="shared" si="6"/>
        <v>35000</v>
      </c>
      <c r="F109" s="10">
        <v>1</v>
      </c>
      <c r="G109" s="11" t="s">
        <v>6</v>
      </c>
      <c r="H109" s="6" t="s">
        <v>8</v>
      </c>
      <c r="I109" s="15">
        <v>21523.8</v>
      </c>
      <c r="J109" s="15">
        <f t="shared" si="7"/>
        <v>49504.74</v>
      </c>
    </row>
    <row r="110" spans="1:10" ht="33.75" customHeight="1" x14ac:dyDescent="0.25">
      <c r="A110" s="28"/>
      <c r="B110" s="6" t="s">
        <v>302</v>
      </c>
      <c r="C110" s="36">
        <f t="shared" si="4"/>
        <v>48000</v>
      </c>
      <c r="D110" s="36">
        <f t="shared" si="5"/>
        <v>33600</v>
      </c>
      <c r="E110" s="7">
        <f t="shared" si="6"/>
        <v>33600</v>
      </c>
      <c r="F110" s="10">
        <v>1</v>
      </c>
      <c r="G110" s="11" t="s">
        <v>6</v>
      </c>
      <c r="H110" s="6" t="s">
        <v>8</v>
      </c>
      <c r="I110" s="15">
        <v>20584.2</v>
      </c>
      <c r="J110" s="15">
        <f t="shared" si="7"/>
        <v>47343.659999999996</v>
      </c>
    </row>
    <row r="111" spans="1:10" ht="33.75" customHeight="1" x14ac:dyDescent="0.25">
      <c r="A111" s="28"/>
      <c r="B111" s="6" t="s">
        <v>303</v>
      </c>
      <c r="C111" s="36">
        <f t="shared" si="4"/>
        <v>49000</v>
      </c>
      <c r="D111" s="36">
        <f t="shared" si="5"/>
        <v>34300</v>
      </c>
      <c r="E111" s="7">
        <f t="shared" si="6"/>
        <v>34300</v>
      </c>
      <c r="F111" s="10">
        <v>1</v>
      </c>
      <c r="G111" s="11" t="s">
        <v>6</v>
      </c>
      <c r="H111" s="6" t="s">
        <v>8</v>
      </c>
      <c r="I111" s="15">
        <v>21054</v>
      </c>
      <c r="J111" s="15">
        <f t="shared" si="7"/>
        <v>48424.2</v>
      </c>
    </row>
    <row r="112" spans="1:10" ht="33.75" customHeight="1" x14ac:dyDescent="0.25">
      <c r="A112" s="28"/>
      <c r="B112" s="6" t="s">
        <v>304</v>
      </c>
      <c r="C112" s="36">
        <f t="shared" si="4"/>
        <v>49000</v>
      </c>
      <c r="D112" s="36">
        <f t="shared" si="5"/>
        <v>34300</v>
      </c>
      <c r="E112" s="7">
        <f t="shared" si="6"/>
        <v>34300</v>
      </c>
      <c r="F112" s="10">
        <v>1</v>
      </c>
      <c r="G112" s="11" t="s">
        <v>6</v>
      </c>
      <c r="H112" s="6" t="s">
        <v>8</v>
      </c>
      <c r="I112" s="15">
        <v>21054</v>
      </c>
      <c r="J112" s="15">
        <f t="shared" si="7"/>
        <v>48424.2</v>
      </c>
    </row>
    <row r="113" spans="1:10" ht="33.75" customHeight="1" x14ac:dyDescent="0.25">
      <c r="A113" s="28"/>
      <c r="B113" s="6" t="s">
        <v>305</v>
      </c>
      <c r="C113" s="36">
        <f t="shared" si="4"/>
        <v>48000</v>
      </c>
      <c r="D113" s="36">
        <f t="shared" si="5"/>
        <v>33600</v>
      </c>
      <c r="E113" s="7">
        <f t="shared" si="6"/>
        <v>33600</v>
      </c>
      <c r="F113" s="10">
        <v>1</v>
      </c>
      <c r="G113" s="11" t="s">
        <v>6</v>
      </c>
      <c r="H113" s="6" t="s">
        <v>8</v>
      </c>
      <c r="I113" s="15">
        <v>20584.2</v>
      </c>
      <c r="J113" s="15">
        <f t="shared" si="7"/>
        <v>47343.659999999996</v>
      </c>
    </row>
    <row r="114" spans="1:10" ht="33.75" customHeight="1" x14ac:dyDescent="0.25">
      <c r="A114" s="28"/>
      <c r="B114" s="6" t="s">
        <v>307</v>
      </c>
      <c r="C114" s="36">
        <f t="shared" si="4"/>
        <v>41000</v>
      </c>
      <c r="D114" s="36">
        <f t="shared" si="5"/>
        <v>28699.999999999996</v>
      </c>
      <c r="E114" s="7">
        <f t="shared" si="6"/>
        <v>28699.999999999996</v>
      </c>
      <c r="F114" s="10">
        <v>1</v>
      </c>
      <c r="G114" s="11" t="s">
        <v>6</v>
      </c>
      <c r="H114" s="6" t="s">
        <v>8</v>
      </c>
      <c r="I114" s="15">
        <v>17430.599999999999</v>
      </c>
      <c r="J114" s="15">
        <f t="shared" si="7"/>
        <v>40090.37999999999</v>
      </c>
    </row>
    <row r="115" spans="1:10" ht="33.75" customHeight="1" x14ac:dyDescent="0.25">
      <c r="A115" s="28"/>
      <c r="B115" s="6" t="s">
        <v>306</v>
      </c>
      <c r="C115" s="36">
        <f t="shared" si="4"/>
        <v>42000</v>
      </c>
      <c r="D115" s="36">
        <f t="shared" si="5"/>
        <v>29399.999999999996</v>
      </c>
      <c r="E115" s="7">
        <f t="shared" si="6"/>
        <v>29399.999999999996</v>
      </c>
      <c r="F115" s="10">
        <v>1</v>
      </c>
      <c r="G115" s="11" t="s">
        <v>6</v>
      </c>
      <c r="H115" s="6" t="s">
        <v>8</v>
      </c>
      <c r="I115" s="15">
        <v>17900.400000000001</v>
      </c>
      <c r="J115" s="15">
        <f t="shared" si="7"/>
        <v>41170.92</v>
      </c>
    </row>
    <row r="116" spans="1:10" ht="33.75" customHeight="1" x14ac:dyDescent="0.25">
      <c r="A116" s="28"/>
      <c r="B116" s="6" t="s">
        <v>308</v>
      </c>
      <c r="C116" s="36">
        <f t="shared" si="4"/>
        <v>109000</v>
      </c>
      <c r="D116" s="36">
        <f t="shared" si="5"/>
        <v>76300</v>
      </c>
      <c r="E116" s="7">
        <f t="shared" si="6"/>
        <v>76300</v>
      </c>
      <c r="F116" s="10">
        <v>1</v>
      </c>
      <c r="G116" s="11" t="s">
        <v>6</v>
      </c>
      <c r="H116" s="6" t="s">
        <v>8</v>
      </c>
      <c r="I116" s="15">
        <v>47053.2</v>
      </c>
      <c r="J116" s="15">
        <f t="shared" si="7"/>
        <v>108222.35999999999</v>
      </c>
    </row>
    <row r="117" spans="1:10" ht="33.75" customHeight="1" x14ac:dyDescent="0.25">
      <c r="A117" s="28"/>
      <c r="B117" s="6" t="s">
        <v>309</v>
      </c>
      <c r="C117" s="36">
        <f t="shared" si="4"/>
        <v>46000</v>
      </c>
      <c r="D117" s="36">
        <f t="shared" si="5"/>
        <v>32199.999999999996</v>
      </c>
      <c r="E117" s="7">
        <f t="shared" si="6"/>
        <v>64399.999999999993</v>
      </c>
      <c r="F117" s="10">
        <v>2</v>
      </c>
      <c r="G117" s="11" t="s">
        <v>6</v>
      </c>
      <c r="H117" s="6" t="s">
        <v>8</v>
      </c>
      <c r="I117" s="15">
        <v>19920.599999999999</v>
      </c>
      <c r="J117" s="15">
        <f t="shared" si="7"/>
        <v>45817.37999999999</v>
      </c>
    </row>
    <row r="118" spans="1:10" ht="33.75" customHeight="1" x14ac:dyDescent="0.25">
      <c r="A118" s="28"/>
      <c r="B118" s="6" t="s">
        <v>310</v>
      </c>
      <c r="C118" s="36">
        <f t="shared" si="4"/>
        <v>59000</v>
      </c>
      <c r="D118" s="36">
        <f t="shared" si="5"/>
        <v>41300</v>
      </c>
      <c r="E118" s="7">
        <f t="shared" si="6"/>
        <v>82600</v>
      </c>
      <c r="F118" s="10">
        <v>2</v>
      </c>
      <c r="G118" s="11" t="s">
        <v>6</v>
      </c>
      <c r="H118" s="6" t="s">
        <v>8</v>
      </c>
      <c r="I118" s="15">
        <v>25575.600000000002</v>
      </c>
      <c r="J118" s="15">
        <f t="shared" si="7"/>
        <v>58823.88</v>
      </c>
    </row>
    <row r="119" spans="1:10" ht="33.75" customHeight="1" x14ac:dyDescent="0.25">
      <c r="A119" s="28"/>
      <c r="B119" s="6" t="s">
        <v>311</v>
      </c>
      <c r="C119" s="36">
        <f t="shared" si="4"/>
        <v>66000</v>
      </c>
      <c r="D119" s="36">
        <f t="shared" si="5"/>
        <v>46200</v>
      </c>
      <c r="E119" s="7">
        <f t="shared" si="6"/>
        <v>46200</v>
      </c>
      <c r="F119" s="10">
        <v>1</v>
      </c>
      <c r="G119" s="11" t="s">
        <v>6</v>
      </c>
      <c r="H119" s="6" t="s">
        <v>8</v>
      </c>
      <c r="I119" s="15">
        <v>28638</v>
      </c>
      <c r="J119" s="15">
        <f t="shared" si="7"/>
        <v>65867.399999999994</v>
      </c>
    </row>
    <row r="120" spans="1:10" ht="33.75" customHeight="1" x14ac:dyDescent="0.25">
      <c r="A120" s="28"/>
      <c r="B120" s="6" t="s">
        <v>312</v>
      </c>
      <c r="C120" s="36">
        <f t="shared" si="4"/>
        <v>66000</v>
      </c>
      <c r="D120" s="36">
        <f t="shared" si="5"/>
        <v>46200</v>
      </c>
      <c r="E120" s="7">
        <f t="shared" si="6"/>
        <v>46200</v>
      </c>
      <c r="F120" s="10">
        <v>1</v>
      </c>
      <c r="G120" s="11" t="s">
        <v>6</v>
      </c>
      <c r="H120" s="6" t="s">
        <v>8</v>
      </c>
      <c r="I120" s="15">
        <v>28638</v>
      </c>
      <c r="J120" s="15">
        <f t="shared" si="7"/>
        <v>65867.399999999994</v>
      </c>
    </row>
    <row r="121" spans="1:10" ht="33.75" customHeight="1" x14ac:dyDescent="0.25">
      <c r="A121" s="28"/>
      <c r="B121" s="6" t="s">
        <v>313</v>
      </c>
      <c r="C121" s="36">
        <f t="shared" si="4"/>
        <v>83000</v>
      </c>
      <c r="D121" s="36">
        <f t="shared" si="5"/>
        <v>58099.999999999993</v>
      </c>
      <c r="E121" s="7">
        <f t="shared" si="6"/>
        <v>58099.999999999993</v>
      </c>
      <c r="F121" s="10">
        <v>1</v>
      </c>
      <c r="G121" s="11" t="s">
        <v>6</v>
      </c>
      <c r="H121" s="6" t="s">
        <v>8</v>
      </c>
      <c r="I121" s="15">
        <v>35700</v>
      </c>
      <c r="J121" s="15">
        <f t="shared" si="7"/>
        <v>82110</v>
      </c>
    </row>
    <row r="122" spans="1:10" ht="33.75" customHeight="1" x14ac:dyDescent="0.25">
      <c r="A122" s="28"/>
      <c r="B122" s="6" t="s">
        <v>314</v>
      </c>
      <c r="C122" s="36">
        <f t="shared" si="4"/>
        <v>59000</v>
      </c>
      <c r="D122" s="36">
        <f t="shared" si="5"/>
        <v>41300</v>
      </c>
      <c r="E122" s="7">
        <f t="shared" si="6"/>
        <v>41300</v>
      </c>
      <c r="F122" s="10">
        <v>1</v>
      </c>
      <c r="G122" s="11" t="s">
        <v>6</v>
      </c>
      <c r="H122" s="6" t="s">
        <v>8</v>
      </c>
      <c r="I122" s="15">
        <v>25575.600000000002</v>
      </c>
      <c r="J122" s="15">
        <f t="shared" si="7"/>
        <v>58823.88</v>
      </c>
    </row>
    <row r="123" spans="1:10" ht="33.75" customHeight="1" x14ac:dyDescent="0.25">
      <c r="A123" s="28"/>
      <c r="B123" s="6" t="s">
        <v>315</v>
      </c>
      <c r="C123" s="36">
        <f t="shared" si="4"/>
        <v>66000</v>
      </c>
      <c r="D123" s="36">
        <f t="shared" si="5"/>
        <v>46200</v>
      </c>
      <c r="E123" s="7">
        <f t="shared" si="6"/>
        <v>46200</v>
      </c>
      <c r="F123" s="10">
        <v>1</v>
      </c>
      <c r="G123" s="11" t="s">
        <v>6</v>
      </c>
      <c r="H123" s="6" t="s">
        <v>8</v>
      </c>
      <c r="I123" s="15">
        <v>28638</v>
      </c>
      <c r="J123" s="15">
        <f t="shared" si="7"/>
        <v>65867.399999999994</v>
      </c>
    </row>
    <row r="124" spans="1:10" ht="33.75" customHeight="1" x14ac:dyDescent="0.25">
      <c r="A124" s="28"/>
      <c r="B124" s="6" t="s">
        <v>316</v>
      </c>
      <c r="C124" s="36">
        <f t="shared" si="4"/>
        <v>46000</v>
      </c>
      <c r="D124" s="36">
        <f t="shared" si="5"/>
        <v>32199.999999999996</v>
      </c>
      <c r="E124" s="7">
        <f t="shared" si="6"/>
        <v>32199.999999999996</v>
      </c>
      <c r="F124" s="10">
        <v>1</v>
      </c>
      <c r="G124" s="11" t="s">
        <v>6</v>
      </c>
      <c r="H124" s="6" t="s">
        <v>8</v>
      </c>
      <c r="I124" s="15">
        <v>19920.599999999999</v>
      </c>
      <c r="J124" s="15">
        <f t="shared" si="7"/>
        <v>45817.37999999999</v>
      </c>
    </row>
    <row r="125" spans="1:10" ht="33.75" customHeight="1" x14ac:dyDescent="0.25">
      <c r="A125" s="28"/>
      <c r="B125" s="6" t="s">
        <v>317</v>
      </c>
      <c r="C125" s="36">
        <f t="shared" si="4"/>
        <v>99000</v>
      </c>
      <c r="D125" s="36">
        <f t="shared" si="5"/>
        <v>69300</v>
      </c>
      <c r="E125" s="7">
        <f t="shared" si="6"/>
        <v>69300</v>
      </c>
      <c r="F125" s="10">
        <v>1</v>
      </c>
      <c r="G125" s="11" t="s">
        <v>6</v>
      </c>
      <c r="H125" s="6" t="s">
        <v>8</v>
      </c>
      <c r="I125" s="15">
        <v>42832.2</v>
      </c>
      <c r="J125" s="15">
        <f t="shared" si="7"/>
        <v>98514.059999999983</v>
      </c>
    </row>
    <row r="126" spans="1:10" ht="33.75" customHeight="1" x14ac:dyDescent="0.25">
      <c r="A126" s="28"/>
      <c r="B126" s="6" t="s">
        <v>318</v>
      </c>
      <c r="C126" s="36">
        <f t="shared" si="4"/>
        <v>145000</v>
      </c>
      <c r="D126" s="36">
        <f t="shared" si="5"/>
        <v>101500</v>
      </c>
      <c r="E126" s="7">
        <f t="shared" si="6"/>
        <v>101500</v>
      </c>
      <c r="F126" s="10">
        <v>1</v>
      </c>
      <c r="G126" s="11" t="s">
        <v>6</v>
      </c>
      <c r="H126" s="6" t="s">
        <v>8</v>
      </c>
      <c r="I126" s="15">
        <v>62997</v>
      </c>
      <c r="J126" s="15">
        <f t="shared" si="7"/>
        <v>144893.09999999998</v>
      </c>
    </row>
    <row r="127" spans="1:10" ht="33.75" customHeight="1" x14ac:dyDescent="0.25">
      <c r="A127" s="28"/>
      <c r="B127" s="6" t="s">
        <v>319</v>
      </c>
      <c r="C127" s="36">
        <f t="shared" si="4"/>
        <v>59000</v>
      </c>
      <c r="D127" s="36">
        <f t="shared" si="5"/>
        <v>41300</v>
      </c>
      <c r="E127" s="7">
        <f t="shared" si="6"/>
        <v>41300</v>
      </c>
      <c r="F127" s="10">
        <v>1</v>
      </c>
      <c r="G127" s="11" t="s">
        <v>6</v>
      </c>
      <c r="H127" s="6" t="s">
        <v>8</v>
      </c>
      <c r="I127" s="15">
        <v>25575.600000000002</v>
      </c>
      <c r="J127" s="15">
        <f t="shared" si="7"/>
        <v>58823.88</v>
      </c>
    </row>
    <row r="128" spans="1:10" ht="33.75" customHeight="1" x14ac:dyDescent="0.25">
      <c r="A128" s="28"/>
      <c r="B128" s="6" t="s">
        <v>320</v>
      </c>
      <c r="C128" s="36">
        <f t="shared" si="4"/>
        <v>66000</v>
      </c>
      <c r="D128" s="36">
        <f t="shared" si="5"/>
        <v>46200</v>
      </c>
      <c r="E128" s="7">
        <f t="shared" si="6"/>
        <v>46200</v>
      </c>
      <c r="F128" s="10">
        <v>1</v>
      </c>
      <c r="G128" s="11" t="s">
        <v>6</v>
      </c>
      <c r="H128" s="6" t="s">
        <v>8</v>
      </c>
      <c r="I128" s="15">
        <v>28638</v>
      </c>
      <c r="J128" s="15">
        <f t="shared" si="7"/>
        <v>65867.399999999994</v>
      </c>
    </row>
    <row r="129" spans="1:10" ht="33.75" customHeight="1" x14ac:dyDescent="0.25">
      <c r="A129" s="28"/>
      <c r="B129" s="6" t="s">
        <v>321</v>
      </c>
      <c r="C129" s="36">
        <f t="shared" si="4"/>
        <v>66000</v>
      </c>
      <c r="D129" s="36">
        <f t="shared" si="5"/>
        <v>46200</v>
      </c>
      <c r="E129" s="7">
        <f t="shared" si="6"/>
        <v>46200</v>
      </c>
      <c r="F129" s="10">
        <v>1</v>
      </c>
      <c r="G129" s="11" t="s">
        <v>6</v>
      </c>
      <c r="H129" s="6" t="s">
        <v>8</v>
      </c>
      <c r="I129" s="15">
        <v>28638</v>
      </c>
      <c r="J129" s="15">
        <f t="shared" si="7"/>
        <v>65867.399999999994</v>
      </c>
    </row>
    <row r="130" spans="1:10" ht="33.75" customHeight="1" x14ac:dyDescent="0.25">
      <c r="A130" s="28"/>
      <c r="B130" s="6" t="s">
        <v>322</v>
      </c>
      <c r="C130" s="36">
        <f t="shared" si="4"/>
        <v>145000</v>
      </c>
      <c r="D130" s="36">
        <f t="shared" si="5"/>
        <v>101500</v>
      </c>
      <c r="E130" s="7">
        <f t="shared" si="6"/>
        <v>101500</v>
      </c>
      <c r="F130" s="10">
        <v>1</v>
      </c>
      <c r="G130" s="11" t="s">
        <v>6</v>
      </c>
      <c r="H130" s="6" t="s">
        <v>8</v>
      </c>
      <c r="I130" s="15">
        <v>62997</v>
      </c>
      <c r="J130" s="15">
        <f t="shared" si="7"/>
        <v>144893.09999999998</v>
      </c>
    </row>
    <row r="131" spans="1:10" ht="33.75" customHeight="1" x14ac:dyDescent="0.25">
      <c r="A131" s="28"/>
      <c r="B131" s="6" t="s">
        <v>323</v>
      </c>
      <c r="C131" s="36">
        <f t="shared" ref="C131:C194" si="8">ROUNDUP(J131,-3)</f>
        <v>138000</v>
      </c>
      <c r="D131" s="36">
        <f t="shared" ref="D131:D194" si="9">0.7*C131</f>
        <v>96600</v>
      </c>
      <c r="E131" s="7">
        <f t="shared" ref="E131:E194" si="10">D131*F131</f>
        <v>96600</v>
      </c>
      <c r="F131" s="10">
        <v>1</v>
      </c>
      <c r="G131" s="11" t="s">
        <v>6</v>
      </c>
      <c r="H131" s="6" t="s">
        <v>8</v>
      </c>
      <c r="I131" s="15">
        <v>59934.600000000006</v>
      </c>
      <c r="J131" s="15">
        <f t="shared" ref="J131:J194" si="11">2.3*I131</f>
        <v>137849.58000000002</v>
      </c>
    </row>
    <row r="132" spans="1:10" ht="33.75" customHeight="1" x14ac:dyDescent="0.25">
      <c r="A132" s="28"/>
      <c r="B132" s="6" t="s">
        <v>324</v>
      </c>
      <c r="C132" s="36">
        <f t="shared" si="8"/>
        <v>99000</v>
      </c>
      <c r="D132" s="36">
        <f t="shared" si="9"/>
        <v>69300</v>
      </c>
      <c r="E132" s="7">
        <f t="shared" si="10"/>
        <v>69300</v>
      </c>
      <c r="F132" s="10">
        <v>1</v>
      </c>
      <c r="G132" s="11" t="s">
        <v>6</v>
      </c>
      <c r="H132" s="6" t="s">
        <v>8</v>
      </c>
      <c r="I132" s="15">
        <v>42832.2</v>
      </c>
      <c r="J132" s="15">
        <f t="shared" si="11"/>
        <v>98514.059999999983</v>
      </c>
    </row>
    <row r="133" spans="1:10" ht="33.75" customHeight="1" x14ac:dyDescent="0.25">
      <c r="A133" s="28"/>
      <c r="B133" s="6" t="s">
        <v>325</v>
      </c>
      <c r="C133" s="36">
        <f t="shared" si="8"/>
        <v>99000</v>
      </c>
      <c r="D133" s="36">
        <f t="shared" si="9"/>
        <v>69300</v>
      </c>
      <c r="E133" s="7">
        <f t="shared" si="10"/>
        <v>69300</v>
      </c>
      <c r="F133" s="10">
        <v>1</v>
      </c>
      <c r="G133" s="11" t="s">
        <v>6</v>
      </c>
      <c r="H133" s="6" t="s">
        <v>8</v>
      </c>
      <c r="I133" s="15">
        <v>42832.2</v>
      </c>
      <c r="J133" s="15">
        <f t="shared" si="11"/>
        <v>98514.059999999983</v>
      </c>
    </row>
    <row r="134" spans="1:10" ht="33.75" customHeight="1" x14ac:dyDescent="0.25">
      <c r="A134" s="28"/>
      <c r="B134" s="6" t="s">
        <v>326</v>
      </c>
      <c r="C134" s="36">
        <f t="shared" si="8"/>
        <v>106000</v>
      </c>
      <c r="D134" s="36">
        <f t="shared" si="9"/>
        <v>74200</v>
      </c>
      <c r="E134" s="7">
        <f t="shared" si="10"/>
        <v>74200</v>
      </c>
      <c r="F134" s="10">
        <v>1</v>
      </c>
      <c r="G134" s="11" t="s">
        <v>6</v>
      </c>
      <c r="H134" s="6" t="s">
        <v>8</v>
      </c>
      <c r="I134" s="15">
        <v>45894.600000000006</v>
      </c>
      <c r="J134" s="15">
        <f t="shared" si="11"/>
        <v>105557.58</v>
      </c>
    </row>
    <row r="135" spans="1:10" ht="33.75" customHeight="1" x14ac:dyDescent="0.25">
      <c r="A135" s="28"/>
      <c r="B135" s="6" t="s">
        <v>327</v>
      </c>
      <c r="C135" s="36">
        <f t="shared" si="8"/>
        <v>99000</v>
      </c>
      <c r="D135" s="36">
        <f t="shared" si="9"/>
        <v>69300</v>
      </c>
      <c r="E135" s="7">
        <f t="shared" si="10"/>
        <v>69300</v>
      </c>
      <c r="F135" s="10">
        <v>1</v>
      </c>
      <c r="G135" s="11" t="s">
        <v>6</v>
      </c>
      <c r="H135" s="6" t="s">
        <v>8</v>
      </c>
      <c r="I135" s="15">
        <v>42832.2</v>
      </c>
      <c r="J135" s="15">
        <f t="shared" si="11"/>
        <v>98514.059999999983</v>
      </c>
    </row>
    <row r="136" spans="1:10" ht="33.75" customHeight="1" x14ac:dyDescent="0.25">
      <c r="A136" s="28"/>
      <c r="B136" s="6" t="s">
        <v>328</v>
      </c>
      <c r="C136" s="36">
        <f t="shared" si="8"/>
        <v>99000</v>
      </c>
      <c r="D136" s="36">
        <f t="shared" si="9"/>
        <v>69300</v>
      </c>
      <c r="E136" s="7">
        <f t="shared" si="10"/>
        <v>69300</v>
      </c>
      <c r="F136" s="10">
        <v>1</v>
      </c>
      <c r="G136" s="11" t="s">
        <v>6</v>
      </c>
      <c r="H136" s="6" t="s">
        <v>8</v>
      </c>
      <c r="I136" s="15">
        <v>42832.2</v>
      </c>
      <c r="J136" s="15">
        <f t="shared" si="11"/>
        <v>98514.059999999983</v>
      </c>
    </row>
    <row r="137" spans="1:10" ht="33.75" customHeight="1" x14ac:dyDescent="0.25">
      <c r="A137" s="28"/>
      <c r="B137" s="6" t="s">
        <v>329</v>
      </c>
      <c r="C137" s="36">
        <f t="shared" si="8"/>
        <v>106000</v>
      </c>
      <c r="D137" s="36">
        <f t="shared" si="9"/>
        <v>74200</v>
      </c>
      <c r="E137" s="7">
        <f t="shared" si="10"/>
        <v>74200</v>
      </c>
      <c r="F137" s="10">
        <v>1</v>
      </c>
      <c r="G137" s="11" t="s">
        <v>6</v>
      </c>
      <c r="H137" s="6" t="s">
        <v>8</v>
      </c>
      <c r="I137" s="15">
        <v>45894.600000000006</v>
      </c>
      <c r="J137" s="15">
        <f t="shared" si="11"/>
        <v>105557.58</v>
      </c>
    </row>
    <row r="138" spans="1:10" ht="33.75" customHeight="1" x14ac:dyDescent="0.25">
      <c r="A138" s="28"/>
      <c r="B138" s="6" t="s">
        <v>330</v>
      </c>
      <c r="C138" s="36">
        <f t="shared" si="8"/>
        <v>106000</v>
      </c>
      <c r="D138" s="36">
        <f t="shared" si="9"/>
        <v>74200</v>
      </c>
      <c r="E138" s="7">
        <f t="shared" si="10"/>
        <v>74200</v>
      </c>
      <c r="F138" s="10">
        <v>1</v>
      </c>
      <c r="G138" s="11" t="s">
        <v>6</v>
      </c>
      <c r="H138" s="6" t="s">
        <v>8</v>
      </c>
      <c r="I138" s="15">
        <v>45894.600000000006</v>
      </c>
      <c r="J138" s="15">
        <f t="shared" si="11"/>
        <v>105557.58</v>
      </c>
    </row>
    <row r="139" spans="1:10" ht="33.75" customHeight="1" x14ac:dyDescent="0.25">
      <c r="A139" s="28"/>
      <c r="B139" s="6" t="s">
        <v>331</v>
      </c>
      <c r="C139" s="36">
        <f t="shared" si="8"/>
        <v>99000</v>
      </c>
      <c r="D139" s="36">
        <f t="shared" si="9"/>
        <v>69300</v>
      </c>
      <c r="E139" s="7">
        <f t="shared" si="10"/>
        <v>69300</v>
      </c>
      <c r="F139" s="10">
        <v>1</v>
      </c>
      <c r="G139" s="11" t="s">
        <v>6</v>
      </c>
      <c r="H139" s="6" t="s">
        <v>8</v>
      </c>
      <c r="I139" s="15">
        <v>42832.2</v>
      </c>
      <c r="J139" s="15">
        <f t="shared" si="11"/>
        <v>98514.059999999983</v>
      </c>
    </row>
    <row r="140" spans="1:10" ht="33.75" customHeight="1" x14ac:dyDescent="0.25">
      <c r="A140" s="28"/>
      <c r="B140" s="6" t="s">
        <v>332</v>
      </c>
      <c r="C140" s="36">
        <f t="shared" si="8"/>
        <v>99000</v>
      </c>
      <c r="D140" s="36">
        <f t="shared" si="9"/>
        <v>69300</v>
      </c>
      <c r="E140" s="7">
        <f t="shared" si="10"/>
        <v>69300</v>
      </c>
      <c r="F140" s="10">
        <v>1</v>
      </c>
      <c r="G140" s="11" t="s">
        <v>6</v>
      </c>
      <c r="H140" s="6" t="s">
        <v>8</v>
      </c>
      <c r="I140" s="15">
        <v>42832.2</v>
      </c>
      <c r="J140" s="15">
        <f t="shared" si="11"/>
        <v>98514.059999999983</v>
      </c>
    </row>
    <row r="141" spans="1:10" ht="33.75" customHeight="1" x14ac:dyDescent="0.25">
      <c r="A141" s="28"/>
      <c r="B141" s="6" t="s">
        <v>333</v>
      </c>
      <c r="C141" s="36">
        <f t="shared" si="8"/>
        <v>106000</v>
      </c>
      <c r="D141" s="36">
        <f t="shared" si="9"/>
        <v>74200</v>
      </c>
      <c r="E141" s="7">
        <f t="shared" si="10"/>
        <v>148400</v>
      </c>
      <c r="F141" s="10">
        <v>2</v>
      </c>
      <c r="G141" s="11" t="s">
        <v>6</v>
      </c>
      <c r="H141" s="6" t="s">
        <v>8</v>
      </c>
      <c r="I141" s="15">
        <v>45894.600000000006</v>
      </c>
      <c r="J141" s="15">
        <f t="shared" si="11"/>
        <v>105557.58</v>
      </c>
    </row>
    <row r="142" spans="1:10" ht="33.75" customHeight="1" x14ac:dyDescent="0.25">
      <c r="A142" s="28"/>
      <c r="B142" s="6" t="s">
        <v>334</v>
      </c>
      <c r="C142" s="36">
        <f t="shared" si="8"/>
        <v>99000</v>
      </c>
      <c r="D142" s="36">
        <f t="shared" si="9"/>
        <v>69300</v>
      </c>
      <c r="E142" s="7">
        <f t="shared" si="10"/>
        <v>69300</v>
      </c>
      <c r="F142" s="10">
        <v>1</v>
      </c>
      <c r="G142" s="11" t="s">
        <v>6</v>
      </c>
      <c r="H142" s="6" t="s">
        <v>8</v>
      </c>
      <c r="I142" s="15">
        <v>42832.2</v>
      </c>
      <c r="J142" s="15">
        <f t="shared" si="11"/>
        <v>98514.059999999983</v>
      </c>
    </row>
    <row r="143" spans="1:10" ht="33.75" customHeight="1" x14ac:dyDescent="0.25">
      <c r="A143" s="28"/>
      <c r="B143" s="6" t="s">
        <v>335</v>
      </c>
      <c r="C143" s="36">
        <f t="shared" si="8"/>
        <v>99000</v>
      </c>
      <c r="D143" s="36">
        <f t="shared" si="9"/>
        <v>69300</v>
      </c>
      <c r="E143" s="7">
        <f t="shared" si="10"/>
        <v>69300</v>
      </c>
      <c r="F143" s="10">
        <v>1</v>
      </c>
      <c r="G143" s="11" t="s">
        <v>6</v>
      </c>
      <c r="H143" s="6" t="s">
        <v>8</v>
      </c>
      <c r="I143" s="15">
        <v>42832.2</v>
      </c>
      <c r="J143" s="15">
        <f t="shared" si="11"/>
        <v>98514.059999999983</v>
      </c>
    </row>
    <row r="144" spans="1:10" ht="33.75" customHeight="1" x14ac:dyDescent="0.25">
      <c r="A144" s="28"/>
      <c r="B144" s="6" t="s">
        <v>336</v>
      </c>
      <c r="C144" s="36">
        <f t="shared" si="8"/>
        <v>106000</v>
      </c>
      <c r="D144" s="36">
        <f t="shared" si="9"/>
        <v>74200</v>
      </c>
      <c r="E144" s="7">
        <f t="shared" si="10"/>
        <v>148400</v>
      </c>
      <c r="F144" s="10">
        <v>2</v>
      </c>
      <c r="G144" s="11" t="s">
        <v>6</v>
      </c>
      <c r="H144" s="6" t="s">
        <v>8</v>
      </c>
      <c r="I144" s="15">
        <v>45894.600000000006</v>
      </c>
      <c r="J144" s="15">
        <f t="shared" si="11"/>
        <v>105557.58</v>
      </c>
    </row>
    <row r="145" spans="1:10" ht="33.75" customHeight="1" x14ac:dyDescent="0.25">
      <c r="A145" s="28"/>
      <c r="B145" s="6" t="s">
        <v>337</v>
      </c>
      <c r="C145" s="36">
        <f t="shared" si="8"/>
        <v>99000</v>
      </c>
      <c r="D145" s="36">
        <f t="shared" si="9"/>
        <v>69300</v>
      </c>
      <c r="E145" s="7">
        <f t="shared" si="10"/>
        <v>69300</v>
      </c>
      <c r="F145" s="10">
        <v>1</v>
      </c>
      <c r="G145" s="11" t="s">
        <v>6</v>
      </c>
      <c r="H145" s="6" t="s">
        <v>8</v>
      </c>
      <c r="I145" s="15">
        <v>42832.2</v>
      </c>
      <c r="J145" s="15">
        <f t="shared" si="11"/>
        <v>98514.059999999983</v>
      </c>
    </row>
    <row r="146" spans="1:10" ht="33.75" customHeight="1" x14ac:dyDescent="0.25">
      <c r="A146" s="28"/>
      <c r="B146" s="6" t="s">
        <v>338</v>
      </c>
      <c r="C146" s="36">
        <f t="shared" si="8"/>
        <v>46000</v>
      </c>
      <c r="D146" s="36">
        <f t="shared" si="9"/>
        <v>32199.999999999996</v>
      </c>
      <c r="E146" s="7">
        <f t="shared" si="10"/>
        <v>128799.99999999999</v>
      </c>
      <c r="F146" s="10">
        <v>4</v>
      </c>
      <c r="G146" s="11" t="s">
        <v>6</v>
      </c>
      <c r="H146" s="6" t="s">
        <v>8</v>
      </c>
      <c r="I146" s="15">
        <v>19920.599999999999</v>
      </c>
      <c r="J146" s="15">
        <f t="shared" si="11"/>
        <v>45817.37999999999</v>
      </c>
    </row>
    <row r="147" spans="1:10" ht="33.75" customHeight="1" x14ac:dyDescent="0.25">
      <c r="A147" s="28"/>
      <c r="B147" s="6" t="s">
        <v>558</v>
      </c>
      <c r="C147" s="36">
        <f t="shared" si="8"/>
        <v>2531000</v>
      </c>
      <c r="D147" s="36">
        <f t="shared" si="9"/>
        <v>1771700</v>
      </c>
      <c r="E147" s="7">
        <f t="shared" si="10"/>
        <v>1771700</v>
      </c>
      <c r="F147" s="10">
        <v>1</v>
      </c>
      <c r="G147" s="11" t="s">
        <v>6</v>
      </c>
      <c r="H147" s="6" t="s">
        <v>8</v>
      </c>
      <c r="I147" s="15">
        <v>1100405.3999999999</v>
      </c>
      <c r="J147" s="15">
        <f t="shared" si="11"/>
        <v>2530932.4199999995</v>
      </c>
    </row>
    <row r="148" spans="1:10" ht="33.75" customHeight="1" x14ac:dyDescent="0.25">
      <c r="A148" s="28"/>
      <c r="B148" s="6" t="s">
        <v>340</v>
      </c>
      <c r="C148" s="36">
        <f t="shared" si="8"/>
        <v>7358000</v>
      </c>
      <c r="D148" s="36">
        <f t="shared" si="9"/>
        <v>5150600</v>
      </c>
      <c r="E148" s="7">
        <f t="shared" si="10"/>
        <v>5150600</v>
      </c>
      <c r="F148" s="10">
        <v>1</v>
      </c>
      <c r="G148" s="11" t="s">
        <v>6</v>
      </c>
      <c r="H148" s="6" t="s">
        <v>8</v>
      </c>
      <c r="I148" s="15">
        <v>3198862.5999999996</v>
      </c>
      <c r="J148" s="15">
        <f t="shared" si="11"/>
        <v>7357383.9799999986</v>
      </c>
    </row>
    <row r="149" spans="1:10" ht="33.75" customHeight="1" x14ac:dyDescent="0.25">
      <c r="A149" s="28"/>
      <c r="B149" s="6" t="s">
        <v>559</v>
      </c>
      <c r="C149" s="36">
        <f t="shared" si="8"/>
        <v>273000</v>
      </c>
      <c r="D149" s="36">
        <f t="shared" si="9"/>
        <v>191100</v>
      </c>
      <c r="E149" s="7">
        <f t="shared" si="10"/>
        <v>191100</v>
      </c>
      <c r="F149" s="10">
        <v>1</v>
      </c>
      <c r="G149" s="11" t="s">
        <v>6</v>
      </c>
      <c r="H149" s="6" t="s">
        <v>8</v>
      </c>
      <c r="I149" s="15">
        <v>118522.8</v>
      </c>
      <c r="J149" s="15">
        <f t="shared" si="11"/>
        <v>272602.44</v>
      </c>
    </row>
    <row r="150" spans="1:10" ht="33.75" customHeight="1" x14ac:dyDescent="0.25">
      <c r="A150" s="28"/>
      <c r="B150" s="6" t="s">
        <v>490</v>
      </c>
      <c r="C150" s="36">
        <f t="shared" si="8"/>
        <v>858000</v>
      </c>
      <c r="D150" s="36">
        <f t="shared" si="9"/>
        <v>600600</v>
      </c>
      <c r="E150" s="7">
        <f t="shared" si="10"/>
        <v>600600</v>
      </c>
      <c r="F150" s="10">
        <v>1</v>
      </c>
      <c r="G150" s="11" t="s">
        <v>6</v>
      </c>
      <c r="H150" s="6" t="s">
        <v>8</v>
      </c>
      <c r="I150" s="15">
        <v>373003.2</v>
      </c>
      <c r="J150" s="15">
        <f t="shared" si="11"/>
        <v>857907.36</v>
      </c>
    </row>
    <row r="151" spans="1:10" ht="33.75" customHeight="1" x14ac:dyDescent="0.25">
      <c r="A151" s="28"/>
      <c r="B151" s="6" t="s">
        <v>348</v>
      </c>
      <c r="C151" s="36">
        <f t="shared" si="8"/>
        <v>1095000</v>
      </c>
      <c r="D151" s="36">
        <f t="shared" si="9"/>
        <v>766500</v>
      </c>
      <c r="E151" s="7">
        <f t="shared" si="10"/>
        <v>766500</v>
      </c>
      <c r="F151" s="10">
        <v>1</v>
      </c>
      <c r="G151" s="11" t="s">
        <v>6</v>
      </c>
      <c r="H151" s="6" t="s">
        <v>8</v>
      </c>
      <c r="I151" s="15">
        <v>476044.79999999999</v>
      </c>
      <c r="J151" s="15">
        <f t="shared" si="11"/>
        <v>1094903.0399999998</v>
      </c>
    </row>
    <row r="152" spans="1:10" ht="33.75" customHeight="1" x14ac:dyDescent="0.25">
      <c r="A152" s="28"/>
      <c r="B152" s="6" t="s">
        <v>351</v>
      </c>
      <c r="C152" s="36">
        <f t="shared" si="8"/>
        <v>310000</v>
      </c>
      <c r="D152" s="36">
        <f t="shared" si="9"/>
        <v>217000</v>
      </c>
      <c r="E152" s="7">
        <f t="shared" si="10"/>
        <v>217000</v>
      </c>
      <c r="F152" s="10">
        <v>1</v>
      </c>
      <c r="G152" s="11" t="s">
        <v>6</v>
      </c>
      <c r="H152" s="6" t="s">
        <v>8</v>
      </c>
      <c r="I152" s="15">
        <v>134561.4</v>
      </c>
      <c r="J152" s="15">
        <f t="shared" si="11"/>
        <v>309491.21999999997</v>
      </c>
    </row>
    <row r="153" spans="1:10" ht="33.75" customHeight="1" x14ac:dyDescent="0.25">
      <c r="A153" s="28"/>
      <c r="B153" s="6" t="s">
        <v>352</v>
      </c>
      <c r="C153" s="36">
        <f t="shared" si="8"/>
        <v>229000</v>
      </c>
      <c r="D153" s="36">
        <f t="shared" si="9"/>
        <v>160300</v>
      </c>
      <c r="E153" s="7">
        <f t="shared" si="10"/>
        <v>160300</v>
      </c>
      <c r="F153" s="10">
        <v>1</v>
      </c>
      <c r="G153" s="11" t="s">
        <v>6</v>
      </c>
      <c r="H153" s="6" t="s">
        <v>8</v>
      </c>
      <c r="I153" s="15">
        <v>99522.6</v>
      </c>
      <c r="J153" s="15">
        <f t="shared" si="11"/>
        <v>228901.97999999998</v>
      </c>
    </row>
    <row r="154" spans="1:10" ht="33.75" customHeight="1" x14ac:dyDescent="0.25">
      <c r="A154" s="28"/>
      <c r="B154" s="6" t="s">
        <v>353</v>
      </c>
      <c r="C154" s="36">
        <f t="shared" si="8"/>
        <v>259000</v>
      </c>
      <c r="D154" s="36">
        <f t="shared" si="9"/>
        <v>181300</v>
      </c>
      <c r="E154" s="7">
        <f t="shared" si="10"/>
        <v>181300</v>
      </c>
      <c r="F154" s="10">
        <v>1</v>
      </c>
      <c r="G154" s="11" t="s">
        <v>6</v>
      </c>
      <c r="H154" s="6" t="s">
        <v>8</v>
      </c>
      <c r="I154" s="15">
        <v>112495.2</v>
      </c>
      <c r="J154" s="15">
        <f t="shared" si="11"/>
        <v>258738.95999999996</v>
      </c>
    </row>
    <row r="155" spans="1:10" ht="33.75" customHeight="1" x14ac:dyDescent="0.25">
      <c r="A155" s="28"/>
      <c r="B155" s="6" t="s">
        <v>354</v>
      </c>
      <c r="C155" s="36">
        <f t="shared" si="8"/>
        <v>205000</v>
      </c>
      <c r="D155" s="36">
        <f t="shared" si="9"/>
        <v>143500</v>
      </c>
      <c r="E155" s="7">
        <f t="shared" si="10"/>
        <v>143500</v>
      </c>
      <c r="F155" s="10">
        <v>1</v>
      </c>
      <c r="G155" s="11" t="s">
        <v>6</v>
      </c>
      <c r="H155" s="6" t="s">
        <v>8</v>
      </c>
      <c r="I155" s="15">
        <v>89005.200000000012</v>
      </c>
      <c r="J155" s="15">
        <f t="shared" si="11"/>
        <v>204711.96000000002</v>
      </c>
    </row>
    <row r="156" spans="1:10" ht="33.75" customHeight="1" x14ac:dyDescent="0.25">
      <c r="A156" s="28"/>
      <c r="B156" s="6" t="s">
        <v>355</v>
      </c>
      <c r="C156" s="36">
        <f t="shared" si="8"/>
        <v>230000</v>
      </c>
      <c r="D156" s="36">
        <f t="shared" si="9"/>
        <v>161000</v>
      </c>
      <c r="E156" s="7">
        <f t="shared" si="10"/>
        <v>161000</v>
      </c>
      <c r="F156" s="10">
        <v>1</v>
      </c>
      <c r="G156" s="11" t="s">
        <v>6</v>
      </c>
      <c r="H156" s="6" t="s">
        <v>8</v>
      </c>
      <c r="I156" s="15">
        <v>99907.200000000012</v>
      </c>
      <c r="J156" s="15">
        <f t="shared" si="11"/>
        <v>229786.56</v>
      </c>
    </row>
    <row r="157" spans="1:10" ht="33.75" customHeight="1" x14ac:dyDescent="0.25">
      <c r="A157" s="28"/>
      <c r="B157" s="6" t="s">
        <v>356</v>
      </c>
      <c r="C157" s="36">
        <f t="shared" si="8"/>
        <v>600000</v>
      </c>
      <c r="D157" s="36">
        <f t="shared" si="9"/>
        <v>420000</v>
      </c>
      <c r="E157" s="7">
        <f t="shared" si="10"/>
        <v>420000</v>
      </c>
      <c r="F157" s="10">
        <v>1</v>
      </c>
      <c r="G157" s="11" t="s">
        <v>6</v>
      </c>
      <c r="H157" s="6" t="s">
        <v>8</v>
      </c>
      <c r="I157" s="15">
        <v>260845.19999999998</v>
      </c>
      <c r="J157" s="15">
        <f t="shared" si="11"/>
        <v>599943.96</v>
      </c>
    </row>
    <row r="158" spans="1:10" ht="33.75" customHeight="1" x14ac:dyDescent="0.25">
      <c r="A158" s="28"/>
      <c r="B158" s="6" t="s">
        <v>357</v>
      </c>
      <c r="C158" s="36">
        <f t="shared" si="8"/>
        <v>591000</v>
      </c>
      <c r="D158" s="36">
        <f t="shared" si="9"/>
        <v>413700</v>
      </c>
      <c r="E158" s="7">
        <f t="shared" si="10"/>
        <v>413700</v>
      </c>
      <c r="F158" s="10">
        <v>1</v>
      </c>
      <c r="G158" s="11" t="s">
        <v>6</v>
      </c>
      <c r="H158" s="6" t="s">
        <v>8</v>
      </c>
      <c r="I158" s="15">
        <v>256789.79999999996</v>
      </c>
      <c r="J158" s="15">
        <f t="shared" si="11"/>
        <v>590616.5399999998</v>
      </c>
    </row>
    <row r="159" spans="1:10" ht="33.75" customHeight="1" x14ac:dyDescent="0.25">
      <c r="A159" s="28"/>
      <c r="B159" s="6" t="s">
        <v>361</v>
      </c>
      <c r="C159" s="36">
        <f t="shared" si="8"/>
        <v>212000</v>
      </c>
      <c r="D159" s="36">
        <f t="shared" si="9"/>
        <v>148400</v>
      </c>
      <c r="E159" s="7">
        <f t="shared" si="10"/>
        <v>148400</v>
      </c>
      <c r="F159" s="10">
        <v>1</v>
      </c>
      <c r="G159" s="11" t="s">
        <v>6</v>
      </c>
      <c r="H159" s="6" t="s">
        <v>8</v>
      </c>
      <c r="I159" s="15">
        <v>91858.8</v>
      </c>
      <c r="J159" s="15">
        <f t="shared" si="11"/>
        <v>211275.24</v>
      </c>
    </row>
    <row r="160" spans="1:10" ht="33.75" customHeight="1" x14ac:dyDescent="0.25">
      <c r="A160" s="28"/>
      <c r="B160" s="6" t="s">
        <v>362</v>
      </c>
      <c r="C160" s="36">
        <f t="shared" si="8"/>
        <v>249000</v>
      </c>
      <c r="D160" s="36">
        <f t="shared" si="9"/>
        <v>174300</v>
      </c>
      <c r="E160" s="7">
        <f t="shared" si="10"/>
        <v>174300</v>
      </c>
      <c r="F160" s="10">
        <v>1</v>
      </c>
      <c r="G160" s="11" t="s">
        <v>6</v>
      </c>
      <c r="H160" s="6" t="s">
        <v>8</v>
      </c>
      <c r="I160" s="15">
        <v>107861.99999999999</v>
      </c>
      <c r="J160" s="15">
        <f t="shared" si="11"/>
        <v>248082.59999999995</v>
      </c>
    </row>
    <row r="161" spans="1:10" ht="33.75" customHeight="1" x14ac:dyDescent="0.25">
      <c r="A161" s="28"/>
      <c r="B161" s="6" t="s">
        <v>363</v>
      </c>
      <c r="C161" s="36">
        <f t="shared" si="8"/>
        <v>212000</v>
      </c>
      <c r="D161" s="36">
        <f t="shared" si="9"/>
        <v>148400</v>
      </c>
      <c r="E161" s="7">
        <f t="shared" si="10"/>
        <v>148400</v>
      </c>
      <c r="F161" s="10">
        <v>1</v>
      </c>
      <c r="G161" s="11" t="s">
        <v>6</v>
      </c>
      <c r="H161" s="6" t="s">
        <v>8</v>
      </c>
      <c r="I161" s="15">
        <v>91858.8</v>
      </c>
      <c r="J161" s="15">
        <f t="shared" si="11"/>
        <v>211275.24</v>
      </c>
    </row>
    <row r="162" spans="1:10" ht="33.75" customHeight="1" x14ac:dyDescent="0.25">
      <c r="A162" s="28"/>
      <c r="B162" s="6" t="s">
        <v>364</v>
      </c>
      <c r="C162" s="36">
        <f t="shared" si="8"/>
        <v>249000</v>
      </c>
      <c r="D162" s="36">
        <f t="shared" si="9"/>
        <v>174300</v>
      </c>
      <c r="E162" s="7">
        <f t="shared" si="10"/>
        <v>174300</v>
      </c>
      <c r="F162" s="10">
        <v>1</v>
      </c>
      <c r="G162" s="11" t="s">
        <v>6</v>
      </c>
      <c r="H162" s="6" t="s">
        <v>8</v>
      </c>
      <c r="I162" s="15">
        <v>107861.99999999999</v>
      </c>
      <c r="J162" s="15">
        <f t="shared" si="11"/>
        <v>248082.59999999995</v>
      </c>
    </row>
    <row r="163" spans="1:10" ht="33.75" customHeight="1" x14ac:dyDescent="0.25">
      <c r="A163" s="28"/>
      <c r="B163" s="6" t="s">
        <v>365</v>
      </c>
      <c r="C163" s="36">
        <f t="shared" si="8"/>
        <v>118000</v>
      </c>
      <c r="D163" s="36">
        <f t="shared" si="9"/>
        <v>82600</v>
      </c>
      <c r="E163" s="7">
        <f t="shared" si="10"/>
        <v>82600</v>
      </c>
      <c r="F163" s="10">
        <v>1</v>
      </c>
      <c r="G163" s="11" t="s">
        <v>6</v>
      </c>
      <c r="H163" s="6" t="s">
        <v>8</v>
      </c>
      <c r="I163" s="15">
        <v>50967.6</v>
      </c>
      <c r="J163" s="15">
        <f t="shared" si="11"/>
        <v>117225.47999999998</v>
      </c>
    </row>
    <row r="164" spans="1:10" ht="33.75" customHeight="1" x14ac:dyDescent="0.25">
      <c r="A164" s="28"/>
      <c r="B164" s="6" t="s">
        <v>366</v>
      </c>
      <c r="C164" s="36">
        <f t="shared" si="8"/>
        <v>1302000</v>
      </c>
      <c r="D164" s="36">
        <f t="shared" si="9"/>
        <v>911400</v>
      </c>
      <c r="E164" s="7">
        <f t="shared" si="10"/>
        <v>4557000</v>
      </c>
      <c r="F164" s="10">
        <v>5</v>
      </c>
      <c r="G164" s="11" t="s">
        <v>6</v>
      </c>
      <c r="H164" s="6" t="s">
        <v>8</v>
      </c>
      <c r="I164" s="9">
        <v>566000</v>
      </c>
      <c r="J164" s="9">
        <f t="shared" si="11"/>
        <v>1301800</v>
      </c>
    </row>
    <row r="165" spans="1:10" ht="33.75" customHeight="1" x14ac:dyDescent="0.25">
      <c r="A165" s="28"/>
      <c r="B165" s="6" t="s">
        <v>367</v>
      </c>
      <c r="C165" s="36">
        <f t="shared" si="8"/>
        <v>601000</v>
      </c>
      <c r="D165" s="36">
        <f t="shared" si="9"/>
        <v>420700</v>
      </c>
      <c r="E165" s="7">
        <f t="shared" si="10"/>
        <v>420700</v>
      </c>
      <c r="F165" s="10">
        <v>1</v>
      </c>
      <c r="G165" s="11" t="s">
        <v>6</v>
      </c>
      <c r="H165" s="6" t="s">
        <v>8</v>
      </c>
      <c r="I165" s="15">
        <v>261241.2</v>
      </c>
      <c r="J165" s="15">
        <f t="shared" si="11"/>
        <v>600854.76</v>
      </c>
    </row>
    <row r="166" spans="1:10" ht="33.75" customHeight="1" x14ac:dyDescent="0.25">
      <c r="A166" s="28"/>
      <c r="B166" s="6" t="s">
        <v>370</v>
      </c>
      <c r="C166" s="36">
        <f t="shared" si="8"/>
        <v>241000</v>
      </c>
      <c r="D166" s="36">
        <f t="shared" si="9"/>
        <v>168700</v>
      </c>
      <c r="E166" s="7">
        <f t="shared" si="10"/>
        <v>168700</v>
      </c>
      <c r="F166" s="10">
        <v>1</v>
      </c>
      <c r="G166" s="11" t="s">
        <v>6</v>
      </c>
      <c r="H166" s="6" t="s">
        <v>8</v>
      </c>
      <c r="I166" s="15">
        <v>104407.8</v>
      </c>
      <c r="J166" s="15">
        <f t="shared" si="11"/>
        <v>240137.94</v>
      </c>
    </row>
    <row r="167" spans="1:10" ht="33.75" customHeight="1" x14ac:dyDescent="0.25">
      <c r="A167" s="28"/>
      <c r="B167" s="6" t="s">
        <v>373</v>
      </c>
      <c r="C167" s="36">
        <f t="shared" si="8"/>
        <v>157000</v>
      </c>
      <c r="D167" s="36">
        <f t="shared" si="9"/>
        <v>109900</v>
      </c>
      <c r="E167" s="7">
        <f t="shared" si="10"/>
        <v>109900</v>
      </c>
      <c r="F167" s="10">
        <v>1</v>
      </c>
      <c r="G167" s="11" t="s">
        <v>6</v>
      </c>
      <c r="H167" s="6" t="s">
        <v>8</v>
      </c>
      <c r="I167" s="15">
        <v>68031.600000000006</v>
      </c>
      <c r="J167" s="15">
        <f t="shared" si="11"/>
        <v>156472.68</v>
      </c>
    </row>
    <row r="168" spans="1:10" ht="33.75" customHeight="1" x14ac:dyDescent="0.25">
      <c r="A168" s="28"/>
      <c r="B168" s="6" t="s">
        <v>376</v>
      </c>
      <c r="C168" s="36">
        <f t="shared" si="8"/>
        <v>174000</v>
      </c>
      <c r="D168" s="36">
        <f t="shared" si="9"/>
        <v>121799.99999999999</v>
      </c>
      <c r="E168" s="7">
        <f t="shared" si="10"/>
        <v>121799.99999999999</v>
      </c>
      <c r="F168" s="10">
        <v>1</v>
      </c>
      <c r="G168" s="11" t="s">
        <v>6</v>
      </c>
      <c r="H168" s="6" t="s">
        <v>8</v>
      </c>
      <c r="I168" s="15">
        <v>75496.2</v>
      </c>
      <c r="J168" s="15">
        <f t="shared" si="11"/>
        <v>173641.25999999998</v>
      </c>
    </row>
    <row r="169" spans="1:10" ht="33.75" customHeight="1" x14ac:dyDescent="0.25">
      <c r="A169" s="28"/>
      <c r="B169" s="6" t="s">
        <v>377</v>
      </c>
      <c r="C169" s="36">
        <f t="shared" si="8"/>
        <v>78000</v>
      </c>
      <c r="D169" s="36">
        <f t="shared" si="9"/>
        <v>54600</v>
      </c>
      <c r="E169" s="7">
        <f t="shared" si="10"/>
        <v>54600</v>
      </c>
      <c r="F169" s="10">
        <v>1</v>
      </c>
      <c r="G169" s="11" t="s">
        <v>6</v>
      </c>
      <c r="H169" s="6" t="s">
        <v>8</v>
      </c>
      <c r="I169" s="15">
        <v>33651.599999999999</v>
      </c>
      <c r="J169" s="15">
        <f t="shared" si="11"/>
        <v>77398.679999999993</v>
      </c>
    </row>
    <row r="170" spans="1:10" ht="33.75" customHeight="1" x14ac:dyDescent="0.25">
      <c r="A170" s="28"/>
      <c r="B170" s="6" t="s">
        <v>378</v>
      </c>
      <c r="C170" s="36">
        <f t="shared" si="8"/>
        <v>64000</v>
      </c>
      <c r="D170" s="36">
        <f t="shared" si="9"/>
        <v>44800</v>
      </c>
      <c r="E170" s="7">
        <f t="shared" si="10"/>
        <v>44800</v>
      </c>
      <c r="F170" s="10">
        <v>1</v>
      </c>
      <c r="G170" s="11" t="s">
        <v>6</v>
      </c>
      <c r="H170" s="6" t="s">
        <v>8</v>
      </c>
      <c r="I170" s="15">
        <v>27507.600000000002</v>
      </c>
      <c r="J170" s="15">
        <f t="shared" si="11"/>
        <v>63267.48</v>
      </c>
    </row>
    <row r="171" spans="1:10" ht="33.75" customHeight="1" x14ac:dyDescent="0.25">
      <c r="A171" s="28"/>
      <c r="B171" s="6" t="s">
        <v>379</v>
      </c>
      <c r="C171" s="36">
        <f t="shared" si="8"/>
        <v>64000</v>
      </c>
      <c r="D171" s="36">
        <f t="shared" si="9"/>
        <v>44800</v>
      </c>
      <c r="E171" s="7">
        <f t="shared" si="10"/>
        <v>44800</v>
      </c>
      <c r="F171" s="10">
        <v>1</v>
      </c>
      <c r="G171" s="11" t="s">
        <v>6</v>
      </c>
      <c r="H171" s="6" t="s">
        <v>8</v>
      </c>
      <c r="I171" s="15">
        <v>27784.2</v>
      </c>
      <c r="J171" s="15">
        <f t="shared" si="11"/>
        <v>63903.659999999996</v>
      </c>
    </row>
    <row r="172" spans="1:10" ht="33.75" customHeight="1" x14ac:dyDescent="0.25">
      <c r="A172" s="28"/>
      <c r="B172" s="6" t="s">
        <v>380</v>
      </c>
      <c r="C172" s="36">
        <f t="shared" si="8"/>
        <v>78000</v>
      </c>
      <c r="D172" s="36">
        <f t="shared" si="9"/>
        <v>54600</v>
      </c>
      <c r="E172" s="7">
        <f t="shared" si="10"/>
        <v>54600</v>
      </c>
      <c r="F172" s="10">
        <v>1</v>
      </c>
      <c r="G172" s="11" t="s">
        <v>6</v>
      </c>
      <c r="H172" s="6" t="s">
        <v>8</v>
      </c>
      <c r="I172" s="15">
        <v>33870.600000000006</v>
      </c>
      <c r="J172" s="15">
        <f t="shared" si="11"/>
        <v>77902.38</v>
      </c>
    </row>
    <row r="173" spans="1:10" ht="33.75" customHeight="1" x14ac:dyDescent="0.25">
      <c r="A173" s="28"/>
      <c r="B173" s="6" t="s">
        <v>381</v>
      </c>
      <c r="C173" s="36">
        <f t="shared" si="8"/>
        <v>78000</v>
      </c>
      <c r="D173" s="36">
        <f t="shared" si="9"/>
        <v>54600</v>
      </c>
      <c r="E173" s="7">
        <f t="shared" si="10"/>
        <v>54600</v>
      </c>
      <c r="F173" s="10">
        <v>1</v>
      </c>
      <c r="G173" s="11" t="s">
        <v>6</v>
      </c>
      <c r="H173" s="6" t="s">
        <v>8</v>
      </c>
      <c r="I173" s="15">
        <v>33651.599999999999</v>
      </c>
      <c r="J173" s="15">
        <f t="shared" si="11"/>
        <v>77398.679999999993</v>
      </c>
    </row>
    <row r="174" spans="1:10" ht="33.75" customHeight="1" x14ac:dyDescent="0.25">
      <c r="A174" s="28"/>
      <c r="B174" s="6" t="s">
        <v>382</v>
      </c>
      <c r="C174" s="36">
        <f t="shared" si="8"/>
        <v>78000</v>
      </c>
      <c r="D174" s="36">
        <f t="shared" si="9"/>
        <v>54600</v>
      </c>
      <c r="E174" s="7">
        <f t="shared" si="10"/>
        <v>54600</v>
      </c>
      <c r="F174" s="10">
        <v>1</v>
      </c>
      <c r="G174" s="11" t="s">
        <v>6</v>
      </c>
      <c r="H174" s="6" t="s">
        <v>8</v>
      </c>
      <c r="I174" s="15">
        <v>33651.599999999999</v>
      </c>
      <c r="J174" s="15">
        <f t="shared" si="11"/>
        <v>77398.679999999993</v>
      </c>
    </row>
    <row r="175" spans="1:10" ht="33.75" customHeight="1" x14ac:dyDescent="0.25">
      <c r="A175" s="28"/>
      <c r="B175" s="6" t="s">
        <v>383</v>
      </c>
      <c r="C175" s="36">
        <f t="shared" si="8"/>
        <v>70000</v>
      </c>
      <c r="D175" s="36">
        <f t="shared" si="9"/>
        <v>49000</v>
      </c>
      <c r="E175" s="7">
        <f t="shared" si="10"/>
        <v>49000</v>
      </c>
      <c r="F175" s="10">
        <v>1</v>
      </c>
      <c r="G175" s="11" t="s">
        <v>6</v>
      </c>
      <c r="H175" s="6" t="s">
        <v>8</v>
      </c>
      <c r="I175" s="15">
        <v>30162.600000000002</v>
      </c>
      <c r="J175" s="15">
        <f t="shared" si="11"/>
        <v>69373.98</v>
      </c>
    </row>
    <row r="176" spans="1:10" ht="33.75" customHeight="1" x14ac:dyDescent="0.25">
      <c r="A176" s="28"/>
      <c r="B176" s="6" t="s">
        <v>384</v>
      </c>
      <c r="C176" s="36">
        <f t="shared" si="8"/>
        <v>64000</v>
      </c>
      <c r="D176" s="36">
        <f t="shared" si="9"/>
        <v>44800</v>
      </c>
      <c r="E176" s="7">
        <f t="shared" si="10"/>
        <v>44800</v>
      </c>
      <c r="F176" s="10">
        <v>1</v>
      </c>
      <c r="G176" s="11" t="s">
        <v>6</v>
      </c>
      <c r="H176" s="6" t="s">
        <v>8</v>
      </c>
      <c r="I176" s="15">
        <v>27565.200000000001</v>
      </c>
      <c r="J176" s="15">
        <f t="shared" si="11"/>
        <v>63399.96</v>
      </c>
    </row>
    <row r="177" spans="1:10" ht="33.75" customHeight="1" x14ac:dyDescent="0.25">
      <c r="A177" s="28"/>
      <c r="B177" s="6" t="s">
        <v>385</v>
      </c>
      <c r="C177" s="36">
        <f t="shared" si="8"/>
        <v>78000</v>
      </c>
      <c r="D177" s="36">
        <f t="shared" si="9"/>
        <v>54600</v>
      </c>
      <c r="E177" s="7">
        <f t="shared" si="10"/>
        <v>54600</v>
      </c>
      <c r="F177" s="10">
        <v>1</v>
      </c>
      <c r="G177" s="11" t="s">
        <v>6</v>
      </c>
      <c r="H177" s="6" t="s">
        <v>8</v>
      </c>
      <c r="I177" s="15">
        <v>33651.599999999999</v>
      </c>
      <c r="J177" s="15">
        <f t="shared" si="11"/>
        <v>77398.679999999993</v>
      </c>
    </row>
    <row r="178" spans="1:10" ht="33.75" customHeight="1" x14ac:dyDescent="0.25">
      <c r="A178" s="28"/>
      <c r="B178" s="6" t="s">
        <v>386</v>
      </c>
      <c r="C178" s="36">
        <f t="shared" si="8"/>
        <v>382000</v>
      </c>
      <c r="D178" s="36">
        <f t="shared" si="9"/>
        <v>267400</v>
      </c>
      <c r="E178" s="7">
        <f t="shared" si="10"/>
        <v>267400</v>
      </c>
      <c r="F178" s="10">
        <v>1</v>
      </c>
      <c r="G178" s="11" t="s">
        <v>6</v>
      </c>
      <c r="H178" s="6" t="s">
        <v>8</v>
      </c>
      <c r="I178" s="15">
        <v>165968.4</v>
      </c>
      <c r="J178" s="15">
        <f t="shared" si="11"/>
        <v>381727.31999999995</v>
      </c>
    </row>
    <row r="179" spans="1:10" ht="33.75" customHeight="1" x14ac:dyDescent="0.25">
      <c r="A179" s="28"/>
      <c r="B179" s="6" t="s">
        <v>399</v>
      </c>
      <c r="C179" s="36">
        <f t="shared" si="8"/>
        <v>767000</v>
      </c>
      <c r="D179" s="36">
        <f t="shared" si="9"/>
        <v>536900</v>
      </c>
      <c r="E179" s="7">
        <f t="shared" si="10"/>
        <v>536900</v>
      </c>
      <c r="F179" s="10">
        <v>1</v>
      </c>
      <c r="G179" s="11" t="s">
        <v>6</v>
      </c>
      <c r="H179" s="6" t="s">
        <v>8</v>
      </c>
      <c r="I179" s="15">
        <v>333313.8</v>
      </c>
      <c r="J179" s="15">
        <f t="shared" si="11"/>
        <v>766621.73999999987</v>
      </c>
    </row>
    <row r="180" spans="1:10" ht="33.75" customHeight="1" x14ac:dyDescent="0.25">
      <c r="A180" s="28"/>
      <c r="B180" s="6" t="s">
        <v>410</v>
      </c>
      <c r="C180" s="36">
        <f t="shared" si="8"/>
        <v>38000</v>
      </c>
      <c r="D180" s="36">
        <f t="shared" si="9"/>
        <v>26600</v>
      </c>
      <c r="E180" s="7">
        <f t="shared" si="10"/>
        <v>26600</v>
      </c>
      <c r="F180" s="10">
        <v>1</v>
      </c>
      <c r="G180" s="11" t="s">
        <v>6</v>
      </c>
      <c r="H180" s="6" t="s">
        <v>8</v>
      </c>
      <c r="I180" s="15">
        <v>16491</v>
      </c>
      <c r="J180" s="15">
        <f t="shared" si="11"/>
        <v>37929.299999999996</v>
      </c>
    </row>
    <row r="181" spans="1:10" ht="33.75" customHeight="1" x14ac:dyDescent="0.25">
      <c r="A181" s="28"/>
      <c r="B181" s="6" t="s">
        <v>422</v>
      </c>
      <c r="C181" s="36">
        <f t="shared" si="8"/>
        <v>49000</v>
      </c>
      <c r="D181" s="36">
        <f t="shared" si="9"/>
        <v>34300</v>
      </c>
      <c r="E181" s="7">
        <f t="shared" si="10"/>
        <v>34300</v>
      </c>
      <c r="F181" s="10">
        <v>1</v>
      </c>
      <c r="G181" s="11" t="s">
        <v>6</v>
      </c>
      <c r="H181" s="6" t="s">
        <v>8</v>
      </c>
      <c r="I181" s="15">
        <v>21054</v>
      </c>
      <c r="J181" s="15">
        <f t="shared" si="11"/>
        <v>48424.2</v>
      </c>
    </row>
    <row r="182" spans="1:10" ht="33.75" customHeight="1" x14ac:dyDescent="0.25">
      <c r="A182" s="28"/>
      <c r="B182" s="6" t="s">
        <v>411</v>
      </c>
      <c r="C182" s="36">
        <f t="shared" si="8"/>
        <v>77000</v>
      </c>
      <c r="D182" s="36">
        <f t="shared" si="9"/>
        <v>53900</v>
      </c>
      <c r="E182" s="7">
        <f t="shared" si="10"/>
        <v>53900</v>
      </c>
      <c r="F182" s="10">
        <v>1</v>
      </c>
      <c r="G182" s="11" t="s">
        <v>6</v>
      </c>
      <c r="H182" s="6" t="s">
        <v>8</v>
      </c>
      <c r="I182" s="15">
        <v>33170.399999999994</v>
      </c>
      <c r="J182" s="15">
        <f t="shared" si="11"/>
        <v>76291.919999999984</v>
      </c>
    </row>
    <row r="183" spans="1:10" ht="33.75" customHeight="1" x14ac:dyDescent="0.25">
      <c r="A183" s="28"/>
      <c r="B183" s="6" t="s">
        <v>412</v>
      </c>
      <c r="C183" s="36">
        <f t="shared" si="8"/>
        <v>76000</v>
      </c>
      <c r="D183" s="36">
        <f t="shared" si="9"/>
        <v>53200</v>
      </c>
      <c r="E183" s="7">
        <f t="shared" si="10"/>
        <v>53200</v>
      </c>
      <c r="F183" s="10">
        <v>1</v>
      </c>
      <c r="G183" s="11" t="s">
        <v>6</v>
      </c>
      <c r="H183" s="6" t="s">
        <v>8</v>
      </c>
      <c r="I183" s="15">
        <v>32700.6</v>
      </c>
      <c r="J183" s="15">
        <f t="shared" si="11"/>
        <v>75211.37999999999</v>
      </c>
    </row>
    <row r="184" spans="1:10" ht="33.75" customHeight="1" x14ac:dyDescent="0.25">
      <c r="A184" s="28"/>
      <c r="B184" s="6" t="s">
        <v>413</v>
      </c>
      <c r="C184" s="36">
        <f t="shared" si="8"/>
        <v>78000</v>
      </c>
      <c r="D184" s="36">
        <f t="shared" si="9"/>
        <v>54600</v>
      </c>
      <c r="E184" s="7">
        <f t="shared" si="10"/>
        <v>54600</v>
      </c>
      <c r="F184" s="10">
        <v>1</v>
      </c>
      <c r="G184" s="11" t="s">
        <v>6</v>
      </c>
      <c r="H184" s="6" t="s">
        <v>8</v>
      </c>
      <c r="I184" s="15">
        <v>33640.199999999997</v>
      </c>
      <c r="J184" s="15">
        <f t="shared" si="11"/>
        <v>77372.459999999992</v>
      </c>
    </row>
    <row r="185" spans="1:10" ht="33.75" customHeight="1" x14ac:dyDescent="0.25">
      <c r="A185" s="28"/>
      <c r="B185" s="6" t="s">
        <v>414</v>
      </c>
      <c r="C185" s="36">
        <f t="shared" si="8"/>
        <v>78000</v>
      </c>
      <c r="D185" s="36">
        <f t="shared" si="9"/>
        <v>54600</v>
      </c>
      <c r="E185" s="7">
        <f t="shared" si="10"/>
        <v>54600</v>
      </c>
      <c r="F185" s="10">
        <v>1</v>
      </c>
      <c r="G185" s="11" t="s">
        <v>6</v>
      </c>
      <c r="H185" s="6" t="s">
        <v>8</v>
      </c>
      <c r="I185" s="15">
        <v>33706.199999999997</v>
      </c>
      <c r="J185" s="15">
        <f t="shared" si="11"/>
        <v>77524.25999999998</v>
      </c>
    </row>
    <row r="186" spans="1:10" ht="33.75" customHeight="1" x14ac:dyDescent="0.25">
      <c r="A186" s="28"/>
      <c r="B186" s="6" t="s">
        <v>415</v>
      </c>
      <c r="C186" s="36">
        <f t="shared" si="8"/>
        <v>76000</v>
      </c>
      <c r="D186" s="36">
        <f t="shared" si="9"/>
        <v>53200</v>
      </c>
      <c r="E186" s="7">
        <f t="shared" si="10"/>
        <v>53200</v>
      </c>
      <c r="F186" s="10">
        <v>1</v>
      </c>
      <c r="G186" s="11" t="s">
        <v>6</v>
      </c>
      <c r="H186" s="6" t="s">
        <v>8</v>
      </c>
      <c r="I186" s="15">
        <v>32700.6</v>
      </c>
      <c r="J186" s="15">
        <f t="shared" si="11"/>
        <v>75211.37999999999</v>
      </c>
    </row>
    <row r="187" spans="1:10" ht="33.75" customHeight="1" x14ac:dyDescent="0.25">
      <c r="A187" s="28"/>
      <c r="B187" s="6" t="s">
        <v>416</v>
      </c>
      <c r="C187" s="36">
        <f t="shared" si="8"/>
        <v>70000</v>
      </c>
      <c r="D187" s="36">
        <f t="shared" si="9"/>
        <v>49000</v>
      </c>
      <c r="E187" s="7">
        <f t="shared" si="10"/>
        <v>49000</v>
      </c>
      <c r="F187" s="10">
        <v>1</v>
      </c>
      <c r="G187" s="11" t="s">
        <v>6</v>
      </c>
      <c r="H187" s="6" t="s">
        <v>8</v>
      </c>
      <c r="I187" s="15">
        <v>30190.799999999999</v>
      </c>
      <c r="J187" s="15">
        <f t="shared" si="11"/>
        <v>69438.84</v>
      </c>
    </row>
    <row r="188" spans="1:10" ht="33.75" customHeight="1" x14ac:dyDescent="0.25">
      <c r="A188" s="28"/>
      <c r="B188" s="6" t="s">
        <v>417</v>
      </c>
      <c r="C188" s="36">
        <f t="shared" si="8"/>
        <v>68000</v>
      </c>
      <c r="D188" s="36">
        <f t="shared" si="9"/>
        <v>47600</v>
      </c>
      <c r="E188" s="7">
        <f t="shared" si="10"/>
        <v>47600</v>
      </c>
      <c r="F188" s="10">
        <v>1</v>
      </c>
      <c r="G188" s="11" t="s">
        <v>6</v>
      </c>
      <c r="H188" s="6" t="s">
        <v>8</v>
      </c>
      <c r="I188" s="15">
        <v>29251.199999999997</v>
      </c>
      <c r="J188" s="15">
        <f t="shared" si="11"/>
        <v>67277.759999999995</v>
      </c>
    </row>
    <row r="189" spans="1:10" ht="33.75" customHeight="1" x14ac:dyDescent="0.25">
      <c r="A189" s="28"/>
      <c r="B189" s="6" t="s">
        <v>418</v>
      </c>
      <c r="C189" s="36">
        <f t="shared" si="8"/>
        <v>70000</v>
      </c>
      <c r="D189" s="36">
        <f t="shared" si="9"/>
        <v>49000</v>
      </c>
      <c r="E189" s="7">
        <f t="shared" si="10"/>
        <v>49000</v>
      </c>
      <c r="F189" s="10">
        <v>1</v>
      </c>
      <c r="G189" s="11" t="s">
        <v>6</v>
      </c>
      <c r="H189" s="6" t="s">
        <v>8</v>
      </c>
      <c r="I189" s="15">
        <v>30190.799999999999</v>
      </c>
      <c r="J189" s="15">
        <f t="shared" si="11"/>
        <v>69438.84</v>
      </c>
    </row>
    <row r="190" spans="1:10" ht="33.75" customHeight="1" x14ac:dyDescent="0.25">
      <c r="A190" s="28"/>
      <c r="B190" s="6" t="s">
        <v>419</v>
      </c>
      <c r="C190" s="36">
        <f t="shared" si="8"/>
        <v>68000</v>
      </c>
      <c r="D190" s="36">
        <f t="shared" si="9"/>
        <v>47600</v>
      </c>
      <c r="E190" s="7">
        <f t="shared" si="10"/>
        <v>47600</v>
      </c>
      <c r="F190" s="10">
        <v>1</v>
      </c>
      <c r="G190" s="11" t="s">
        <v>6</v>
      </c>
      <c r="H190" s="6" t="s">
        <v>8</v>
      </c>
      <c r="I190" s="15">
        <v>29251.199999999997</v>
      </c>
      <c r="J190" s="15">
        <f t="shared" si="11"/>
        <v>67277.759999999995</v>
      </c>
    </row>
    <row r="191" spans="1:10" ht="33.75" customHeight="1" x14ac:dyDescent="0.25">
      <c r="A191" s="28"/>
      <c r="B191" s="6" t="s">
        <v>420</v>
      </c>
      <c r="C191" s="36">
        <f t="shared" si="8"/>
        <v>70000</v>
      </c>
      <c r="D191" s="36">
        <f t="shared" si="9"/>
        <v>49000</v>
      </c>
      <c r="E191" s="7">
        <f t="shared" si="10"/>
        <v>49000</v>
      </c>
      <c r="F191" s="10">
        <v>1</v>
      </c>
      <c r="G191" s="11" t="s">
        <v>6</v>
      </c>
      <c r="H191" s="6" t="s">
        <v>8</v>
      </c>
      <c r="I191" s="15">
        <v>30190.799999999999</v>
      </c>
      <c r="J191" s="15">
        <f t="shared" si="11"/>
        <v>69438.84</v>
      </c>
    </row>
    <row r="192" spans="1:10" ht="33.75" customHeight="1" x14ac:dyDescent="0.25">
      <c r="A192" s="28"/>
      <c r="B192" s="6" t="s">
        <v>421</v>
      </c>
      <c r="C192" s="36">
        <f t="shared" si="8"/>
        <v>49000</v>
      </c>
      <c r="D192" s="36">
        <f t="shared" si="9"/>
        <v>34300</v>
      </c>
      <c r="E192" s="7">
        <f t="shared" si="10"/>
        <v>34300</v>
      </c>
      <c r="F192" s="10">
        <v>1</v>
      </c>
      <c r="G192" s="11" t="s">
        <v>6</v>
      </c>
      <c r="H192" s="6" t="s">
        <v>8</v>
      </c>
      <c r="I192" s="15">
        <v>21054</v>
      </c>
      <c r="J192" s="15">
        <f t="shared" si="11"/>
        <v>48424.2</v>
      </c>
    </row>
    <row r="193" spans="1:10" ht="33.75" customHeight="1" x14ac:dyDescent="0.25">
      <c r="A193" s="28"/>
      <c r="B193" s="6" t="s">
        <v>580</v>
      </c>
      <c r="C193" s="36">
        <f t="shared" si="8"/>
        <v>3631000</v>
      </c>
      <c r="D193" s="36">
        <f t="shared" si="9"/>
        <v>2541700</v>
      </c>
      <c r="E193" s="7">
        <f t="shared" si="10"/>
        <v>2541700</v>
      </c>
      <c r="F193" s="10">
        <v>1</v>
      </c>
      <c r="G193" s="11" t="s">
        <v>6</v>
      </c>
      <c r="H193" s="6" t="s">
        <v>8</v>
      </c>
      <c r="I193" s="15">
        <v>1578301.8000000003</v>
      </c>
      <c r="J193" s="15">
        <f t="shared" si="11"/>
        <v>3630094.14</v>
      </c>
    </row>
    <row r="194" spans="1:10" ht="33.75" customHeight="1" x14ac:dyDescent="0.25">
      <c r="A194" s="28"/>
      <c r="B194" s="6" t="s">
        <v>500</v>
      </c>
      <c r="C194" s="36">
        <f t="shared" si="8"/>
        <v>1627000</v>
      </c>
      <c r="D194" s="36">
        <f t="shared" si="9"/>
        <v>1138900</v>
      </c>
      <c r="E194" s="7">
        <f t="shared" si="10"/>
        <v>1138900</v>
      </c>
      <c r="F194" s="10">
        <v>1</v>
      </c>
      <c r="G194" s="11" t="s">
        <v>6</v>
      </c>
      <c r="H194" s="6" t="s">
        <v>8</v>
      </c>
      <c r="I194" s="15">
        <v>707368.8</v>
      </c>
      <c r="J194" s="15">
        <f t="shared" si="11"/>
        <v>1626948.24</v>
      </c>
    </row>
    <row r="195" spans="1:10" ht="33.75" customHeight="1" x14ac:dyDescent="0.25">
      <c r="A195" s="28"/>
      <c r="B195" s="6" t="s">
        <v>560</v>
      </c>
      <c r="C195" s="36">
        <f t="shared" ref="C195:C203" si="12">ROUNDUP(J195,-3)</f>
        <v>208000</v>
      </c>
      <c r="D195" s="36">
        <f t="shared" ref="D195:D203" si="13">0.7*C195</f>
        <v>145600</v>
      </c>
      <c r="E195" s="7">
        <f t="shared" ref="E195:E203" si="14">D195*F195</f>
        <v>145600</v>
      </c>
      <c r="F195" s="10">
        <v>1</v>
      </c>
      <c r="G195" s="11" t="s">
        <v>6</v>
      </c>
      <c r="H195" s="6" t="s">
        <v>8</v>
      </c>
      <c r="I195" s="15">
        <v>90106.2</v>
      </c>
      <c r="J195" s="15">
        <f t="shared" ref="J195:J203" si="15">2.3*I195</f>
        <v>207244.25999999998</v>
      </c>
    </row>
    <row r="196" spans="1:10" ht="33.75" customHeight="1" x14ac:dyDescent="0.25">
      <c r="A196" s="28"/>
      <c r="B196" s="6" t="s">
        <v>424</v>
      </c>
      <c r="C196" s="36">
        <f t="shared" si="12"/>
        <v>664000</v>
      </c>
      <c r="D196" s="36">
        <f t="shared" si="13"/>
        <v>464799.99999999994</v>
      </c>
      <c r="E196" s="7">
        <f t="shared" si="14"/>
        <v>464799.99999999994</v>
      </c>
      <c r="F196" s="10">
        <v>1</v>
      </c>
      <c r="G196" s="11" t="s">
        <v>6</v>
      </c>
      <c r="H196" s="6" t="s">
        <v>8</v>
      </c>
      <c r="I196" s="15">
        <v>288528.59999999998</v>
      </c>
      <c r="J196" s="15">
        <f t="shared" si="15"/>
        <v>663615.77999999991</v>
      </c>
    </row>
    <row r="197" spans="1:10" ht="33.75" customHeight="1" x14ac:dyDescent="0.25">
      <c r="A197" s="28"/>
      <c r="B197" s="6" t="s">
        <v>425</v>
      </c>
      <c r="C197" s="36">
        <f t="shared" si="12"/>
        <v>861000</v>
      </c>
      <c r="D197" s="36">
        <f t="shared" si="13"/>
        <v>602700</v>
      </c>
      <c r="E197" s="7">
        <f t="shared" si="14"/>
        <v>602700</v>
      </c>
      <c r="F197" s="10">
        <v>1</v>
      </c>
      <c r="G197" s="11" t="s">
        <v>6</v>
      </c>
      <c r="H197" s="6" t="s">
        <v>8</v>
      </c>
      <c r="I197" s="15">
        <v>374027.4</v>
      </c>
      <c r="J197" s="15">
        <f t="shared" si="15"/>
        <v>860263.02</v>
      </c>
    </row>
    <row r="198" spans="1:10" ht="33.75" customHeight="1" x14ac:dyDescent="0.25">
      <c r="A198" s="28"/>
      <c r="B198" s="6" t="s">
        <v>430</v>
      </c>
      <c r="C198" s="36">
        <f t="shared" si="12"/>
        <v>1661000</v>
      </c>
      <c r="D198" s="36">
        <f t="shared" si="13"/>
        <v>1162700</v>
      </c>
      <c r="E198" s="7">
        <f t="shared" si="14"/>
        <v>1162700</v>
      </c>
      <c r="F198" s="10">
        <v>1</v>
      </c>
      <c r="G198" s="11" t="s">
        <v>6</v>
      </c>
      <c r="H198" s="6" t="s">
        <v>8</v>
      </c>
      <c r="I198" s="15">
        <v>721831.2</v>
      </c>
      <c r="J198" s="15">
        <f t="shared" si="15"/>
        <v>1660211.7599999998</v>
      </c>
    </row>
    <row r="199" spans="1:10" ht="33.75" customHeight="1" x14ac:dyDescent="0.25">
      <c r="A199" s="28"/>
      <c r="B199" s="6" t="s">
        <v>433</v>
      </c>
      <c r="C199" s="36">
        <f t="shared" si="12"/>
        <v>173000</v>
      </c>
      <c r="D199" s="36">
        <f t="shared" si="13"/>
        <v>121099.99999999999</v>
      </c>
      <c r="E199" s="7">
        <f t="shared" si="14"/>
        <v>121099.99999999999</v>
      </c>
      <c r="F199" s="10">
        <v>1</v>
      </c>
      <c r="G199" s="11" t="s">
        <v>6</v>
      </c>
      <c r="H199" s="6" t="s">
        <v>8</v>
      </c>
      <c r="I199" s="15">
        <v>74811</v>
      </c>
      <c r="J199" s="15">
        <f t="shared" si="15"/>
        <v>172065.3</v>
      </c>
    </row>
    <row r="200" spans="1:10" ht="33.75" customHeight="1" x14ac:dyDescent="0.25">
      <c r="A200" s="28"/>
      <c r="B200" s="6" t="s">
        <v>434</v>
      </c>
      <c r="C200" s="36">
        <f t="shared" si="12"/>
        <v>215000</v>
      </c>
      <c r="D200" s="36">
        <f t="shared" si="13"/>
        <v>150500</v>
      </c>
      <c r="E200" s="7">
        <f t="shared" si="14"/>
        <v>150500</v>
      </c>
      <c r="F200" s="10">
        <v>1</v>
      </c>
      <c r="G200" s="11" t="s">
        <v>6</v>
      </c>
      <c r="H200" s="6" t="s">
        <v>8</v>
      </c>
      <c r="I200" s="15">
        <v>93156</v>
      </c>
      <c r="J200" s="15">
        <f t="shared" si="15"/>
        <v>214258.8</v>
      </c>
    </row>
    <row r="201" spans="1:10" ht="33.75" customHeight="1" x14ac:dyDescent="0.25">
      <c r="A201" s="28"/>
      <c r="B201" s="6" t="s">
        <v>435</v>
      </c>
      <c r="C201" s="36">
        <f t="shared" si="12"/>
        <v>50000</v>
      </c>
      <c r="D201" s="36">
        <f t="shared" si="13"/>
        <v>35000</v>
      </c>
      <c r="E201" s="7">
        <f t="shared" si="14"/>
        <v>35000</v>
      </c>
      <c r="F201" s="10">
        <v>1</v>
      </c>
      <c r="G201" s="11" t="s">
        <v>6</v>
      </c>
      <c r="H201" s="6" t="s">
        <v>8</v>
      </c>
      <c r="I201" s="15">
        <v>21523.8</v>
      </c>
      <c r="J201" s="15">
        <f t="shared" si="15"/>
        <v>49504.74</v>
      </c>
    </row>
    <row r="202" spans="1:10" ht="33.75" customHeight="1" x14ac:dyDescent="0.25">
      <c r="A202" s="28"/>
      <c r="B202" s="6" t="s">
        <v>436</v>
      </c>
      <c r="C202" s="36">
        <f t="shared" si="12"/>
        <v>51000</v>
      </c>
      <c r="D202" s="36">
        <f t="shared" si="13"/>
        <v>35700</v>
      </c>
      <c r="E202" s="7">
        <f t="shared" si="14"/>
        <v>35700</v>
      </c>
      <c r="F202" s="10">
        <v>1</v>
      </c>
      <c r="G202" s="11" t="s">
        <v>6</v>
      </c>
      <c r="H202" s="6" t="s">
        <v>8</v>
      </c>
      <c r="I202" s="15">
        <v>21993.599999999999</v>
      </c>
      <c r="J202" s="15">
        <f t="shared" si="15"/>
        <v>50585.279999999992</v>
      </c>
    </row>
    <row r="203" spans="1:10" ht="33.75" customHeight="1" x14ac:dyDescent="0.25">
      <c r="A203" s="28"/>
      <c r="B203" s="6" t="s">
        <v>437</v>
      </c>
      <c r="C203" s="36">
        <f t="shared" si="12"/>
        <v>79000</v>
      </c>
      <c r="D203" s="36">
        <f t="shared" si="13"/>
        <v>55300</v>
      </c>
      <c r="E203" s="7">
        <f t="shared" si="14"/>
        <v>55300</v>
      </c>
      <c r="F203" s="10">
        <v>1</v>
      </c>
      <c r="G203" s="11" t="s">
        <v>6</v>
      </c>
      <c r="H203" s="6" t="s">
        <v>8</v>
      </c>
      <c r="I203" s="34">
        <v>34190.400000000001</v>
      </c>
      <c r="J203" s="34">
        <f t="shared" si="15"/>
        <v>78637.919999999998</v>
      </c>
    </row>
  </sheetData>
  <autoFilter ref="A1:I203" xr:uid="{468DC015-92E4-4EC1-996C-BAB34DDACB1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DCA6-C42F-4C83-A6E0-E715AA234C44}">
  <dimension ref="A1:J212"/>
  <sheetViews>
    <sheetView topLeftCell="A142" workbookViewId="0">
      <selection sqref="A1:XFD212"/>
    </sheetView>
  </sheetViews>
  <sheetFormatPr defaultRowHeight="15" x14ac:dyDescent="0.25"/>
  <sheetData>
    <row r="1" spans="1:10" ht="39.75" customHeight="1" x14ac:dyDescent="0.25">
      <c r="A1" s="5" t="str">
        <f>D1</f>
        <v>ВРУ-1 (ВРУ-1-13-10УХЛ4) c PLC счетчиком (Блок 6)</v>
      </c>
      <c r="B1" s="6"/>
      <c r="C1" s="7"/>
      <c r="D1" s="6" t="s">
        <v>563</v>
      </c>
      <c r="E1" s="8"/>
      <c r="F1" s="8" t="s">
        <v>73</v>
      </c>
      <c r="G1" s="9"/>
      <c r="H1" s="10">
        <v>1</v>
      </c>
      <c r="I1" s="11" t="s">
        <v>6</v>
      </c>
      <c r="J1" s="6" t="s">
        <v>8</v>
      </c>
    </row>
    <row r="2" spans="1:10" ht="21" customHeight="1" x14ac:dyDescent="0.25">
      <c r="A2" s="12" t="str">
        <f>A1</f>
        <v>ВРУ-1 (ВРУ-1-13-10УХЛ4) c PLC счетчиком (Блок 6)</v>
      </c>
      <c r="B2" s="13" t="s">
        <v>7</v>
      </c>
      <c r="C2" s="14" t="s">
        <v>60</v>
      </c>
      <c r="D2" s="12" t="s">
        <v>61</v>
      </c>
      <c r="E2" s="13">
        <v>155000</v>
      </c>
      <c r="F2" s="15">
        <f>E2*0.6</f>
        <v>93000</v>
      </c>
      <c r="G2" s="15">
        <f>H2*F2</f>
        <v>93000</v>
      </c>
      <c r="H2" s="16">
        <v>1</v>
      </c>
      <c r="I2" s="17" t="s">
        <v>12</v>
      </c>
      <c r="J2" s="13" t="s">
        <v>15</v>
      </c>
    </row>
    <row r="3" spans="1:10" ht="21" customHeight="1" x14ac:dyDescent="0.25">
      <c r="A3" s="12" t="str">
        <f>A2</f>
        <v>ВРУ-1 (ВРУ-1-13-10УХЛ4) c PLC счетчиком (Блок 6)</v>
      </c>
      <c r="B3" s="13" t="s">
        <v>26</v>
      </c>
      <c r="C3" s="14" t="s">
        <v>62</v>
      </c>
      <c r="D3" s="12" t="s">
        <v>63</v>
      </c>
      <c r="E3" s="13">
        <v>6500</v>
      </c>
      <c r="F3" s="15">
        <f>E3</f>
        <v>6500</v>
      </c>
      <c r="G3" s="15">
        <f>F3*H3</f>
        <v>39000</v>
      </c>
      <c r="H3" s="16">
        <v>6</v>
      </c>
      <c r="I3" s="17" t="s">
        <v>12</v>
      </c>
      <c r="J3" s="13" t="s">
        <v>25</v>
      </c>
    </row>
    <row r="4" spans="1:10" ht="21" customHeight="1" x14ac:dyDescent="0.25">
      <c r="A4" s="12" t="str">
        <f>A3</f>
        <v>ВРУ-1 (ВРУ-1-13-10УХЛ4) c PLC счетчиком (Блок 6)</v>
      </c>
      <c r="B4" s="13" t="s">
        <v>36</v>
      </c>
      <c r="C4" s="14" t="s">
        <v>173</v>
      </c>
      <c r="D4" s="12" t="s">
        <v>174</v>
      </c>
      <c r="E4" s="13">
        <v>48003</v>
      </c>
      <c r="F4" s="15">
        <f>E4</f>
        <v>48003</v>
      </c>
      <c r="G4" s="15">
        <f>F4*H4</f>
        <v>96006</v>
      </c>
      <c r="H4" s="16">
        <v>2</v>
      </c>
      <c r="I4" s="17" t="s">
        <v>12</v>
      </c>
      <c r="J4" s="13" t="s">
        <v>25</v>
      </c>
    </row>
    <row r="5" spans="1:10" ht="21" customHeight="1" x14ac:dyDescent="0.25">
      <c r="A5" s="12" t="str">
        <f>A4</f>
        <v>ВРУ-1 (ВРУ-1-13-10УХЛ4) c PLC счетчиком (Блок 6)</v>
      </c>
      <c r="B5" s="13" t="s">
        <v>37</v>
      </c>
      <c r="C5" s="14" t="s">
        <v>175</v>
      </c>
      <c r="D5" s="12" t="s">
        <v>176</v>
      </c>
      <c r="E5" s="13">
        <v>12956</v>
      </c>
      <c r="F5" s="15">
        <f>E5*0.6</f>
        <v>7773.5999999999995</v>
      </c>
      <c r="G5" s="15">
        <f>F5*H5</f>
        <v>46641.599999999999</v>
      </c>
      <c r="H5" s="16">
        <v>6</v>
      </c>
      <c r="I5" s="17" t="s">
        <v>12</v>
      </c>
      <c r="J5" s="13" t="s">
        <v>16</v>
      </c>
    </row>
    <row r="6" spans="1:10" ht="21" customHeight="1" x14ac:dyDescent="0.25">
      <c r="A6" s="12" t="str">
        <f>A5</f>
        <v>ВРУ-1 (ВРУ-1-13-10УХЛ4) c PLC счетчиком (Блок 6)</v>
      </c>
      <c r="B6" s="13" t="s">
        <v>37</v>
      </c>
      <c r="C6" s="14" t="s">
        <v>177</v>
      </c>
      <c r="D6" s="12" t="s">
        <v>178</v>
      </c>
      <c r="E6" s="13">
        <v>11728</v>
      </c>
      <c r="F6" s="15">
        <f>E6*0.6</f>
        <v>7036.8</v>
      </c>
      <c r="G6" s="15">
        <f>F6*H6</f>
        <v>42220.800000000003</v>
      </c>
      <c r="H6" s="16">
        <v>6</v>
      </c>
      <c r="I6" s="17" t="s">
        <v>12</v>
      </c>
      <c r="J6" s="13" t="s">
        <v>16</v>
      </c>
    </row>
    <row r="7" spans="1:10" ht="21" customHeight="1" x14ac:dyDescent="0.25">
      <c r="A7" s="12" t="str">
        <f>A6</f>
        <v>ВРУ-1 (ВРУ-1-13-10УХЛ4) c PLC счетчиком (Блок 6)</v>
      </c>
      <c r="B7" s="13" t="s">
        <v>11</v>
      </c>
      <c r="C7" s="14" t="s">
        <v>18</v>
      </c>
      <c r="D7" s="12" t="s">
        <v>19</v>
      </c>
      <c r="E7" s="13">
        <v>975</v>
      </c>
      <c r="F7" s="15">
        <f>E7*0.6</f>
        <v>585</v>
      </c>
      <c r="G7" s="15">
        <f>F7*H7</f>
        <v>1170</v>
      </c>
      <c r="H7" s="16">
        <v>2</v>
      </c>
      <c r="I7" s="17" t="s">
        <v>12</v>
      </c>
      <c r="J7" s="13" t="s">
        <v>16</v>
      </c>
    </row>
    <row r="8" spans="1:10" ht="22.5" customHeight="1" x14ac:dyDescent="0.25">
      <c r="A8" s="12" t="str">
        <f>A7</f>
        <v>ВРУ-1 (ВРУ-1-13-10УХЛ4) c PLC счетчиком (Блок 6)</v>
      </c>
      <c r="B8" s="13" t="s">
        <v>17</v>
      </c>
      <c r="C8" s="14" t="s">
        <v>484</v>
      </c>
      <c r="D8" s="12" t="s">
        <v>485</v>
      </c>
      <c r="E8" s="13">
        <v>90000</v>
      </c>
      <c r="F8" s="15">
        <f>E8</f>
        <v>90000</v>
      </c>
      <c r="G8" s="15">
        <f>F8*H8</f>
        <v>180000</v>
      </c>
      <c r="H8" s="16">
        <v>2</v>
      </c>
      <c r="I8" s="17" t="s">
        <v>12</v>
      </c>
      <c r="J8" s="13" t="s">
        <v>25</v>
      </c>
    </row>
    <row r="9" spans="1:10" ht="21" customHeight="1" x14ac:dyDescent="0.25">
      <c r="A9" s="12" t="str">
        <f>A8</f>
        <v>ВРУ-1 (ВРУ-1-13-10УХЛ4) c PLC счетчиком (Блок 6)</v>
      </c>
      <c r="B9" s="13" t="s">
        <v>38</v>
      </c>
      <c r="C9" s="14"/>
      <c r="D9" s="12" t="s">
        <v>216</v>
      </c>
      <c r="E9" s="13">
        <v>4500</v>
      </c>
      <c r="F9" s="15">
        <f>E9</f>
        <v>4500</v>
      </c>
      <c r="G9" s="15">
        <f>F9*H9</f>
        <v>27000</v>
      </c>
      <c r="H9" s="16">
        <v>6</v>
      </c>
      <c r="I9" s="17" t="s">
        <v>12</v>
      </c>
      <c r="J9" s="13" t="s">
        <v>25</v>
      </c>
    </row>
    <row r="10" spans="1:10" ht="21" customHeight="1" x14ac:dyDescent="0.25">
      <c r="A10" s="12" t="str">
        <f>A9</f>
        <v>ВРУ-1 (ВРУ-1-13-10УХЛ4) c PLC счетчиком (Блок 6)</v>
      </c>
      <c r="B10" s="13" t="s">
        <v>33</v>
      </c>
      <c r="C10" s="14"/>
      <c r="D10" s="12" t="s">
        <v>33</v>
      </c>
      <c r="E10" s="13">
        <v>1000</v>
      </c>
      <c r="F10" s="15">
        <f>E10</f>
        <v>1000</v>
      </c>
      <c r="G10" s="15">
        <f>F10*H10</f>
        <v>1000</v>
      </c>
      <c r="H10" s="16">
        <v>1</v>
      </c>
      <c r="I10" s="17" t="s">
        <v>12</v>
      </c>
      <c r="J10" s="13" t="s">
        <v>25</v>
      </c>
    </row>
    <row r="11" spans="1:10" ht="24" customHeight="1" x14ac:dyDescent="0.25">
      <c r="A11" s="12" t="str">
        <f>A10</f>
        <v>ВРУ-1 (ВРУ-1-13-10УХЛ4) c PLC счетчиком (Блок 6)</v>
      </c>
      <c r="B11" s="12" t="s">
        <v>9</v>
      </c>
      <c r="C11" s="18" t="s">
        <v>9</v>
      </c>
      <c r="D11" s="12" t="s">
        <v>9</v>
      </c>
      <c r="E11" s="12">
        <f ca="1">OFFSET(E11,1,2)</f>
        <v>60000</v>
      </c>
      <c r="F11" s="15">
        <f ca="1">E11</f>
        <v>60000</v>
      </c>
      <c r="G11" s="15">
        <f ca="1">F11*H11</f>
        <v>60000</v>
      </c>
      <c r="H11" s="12">
        <v>1</v>
      </c>
      <c r="I11" s="12" t="s">
        <v>12</v>
      </c>
      <c r="J11" s="12" t="s">
        <v>9</v>
      </c>
    </row>
    <row r="12" spans="1:10" ht="21" customHeight="1" x14ac:dyDescent="0.25">
      <c r="A12" s="12" t="str">
        <f>A11</f>
        <v>ВРУ-1 (ВРУ-1-13-10УХЛ4) c PLC счетчиком (Блок 6)</v>
      </c>
      <c r="B12" s="12" t="s">
        <v>10</v>
      </c>
      <c r="C12" s="18" t="s">
        <v>10</v>
      </c>
      <c r="D12" s="12" t="s">
        <v>10</v>
      </c>
      <c r="E12" s="12">
        <v>10</v>
      </c>
      <c r="F12" s="15">
        <v>100</v>
      </c>
      <c r="G12" s="15">
        <f>60*E12*F12</f>
        <v>60000</v>
      </c>
      <c r="H12" s="12">
        <f>60*E12</f>
        <v>600</v>
      </c>
      <c r="I12" s="12" t="s">
        <v>12</v>
      </c>
      <c r="J12" s="12" t="s">
        <v>10</v>
      </c>
    </row>
    <row r="13" spans="1:10" ht="30" customHeight="1" x14ac:dyDescent="0.25">
      <c r="A13" s="12" t="str">
        <f>A12</f>
        <v>ВРУ-1 (ВРУ-1-13-10УХЛ4) c PLC счетчиком (Блок 6)</v>
      </c>
      <c r="B13" s="19"/>
      <c r="C13" s="20"/>
      <c r="D13" s="21"/>
      <c r="E13" s="23"/>
      <c r="F13" s="25"/>
      <c r="G13" s="24">
        <f ca="1">SUM(G2:G12)</f>
        <v>646038.39999999991</v>
      </c>
      <c r="H13" s="20"/>
      <c r="I13" s="22"/>
      <c r="J13" s="20"/>
    </row>
    <row r="14" spans="1:10" ht="39.75" customHeight="1" x14ac:dyDescent="0.25">
      <c r="A14" s="5" t="str">
        <f>D14</f>
        <v>ВРУ-2 (ВРУ-1-50-01УХЛ4) (Блок 6)</v>
      </c>
      <c r="B14" s="6"/>
      <c r="C14" s="7"/>
      <c r="D14" s="6" t="s">
        <v>533</v>
      </c>
      <c r="E14" s="8"/>
      <c r="F14" s="8" t="s">
        <v>73</v>
      </c>
      <c r="G14" s="9"/>
      <c r="H14" s="10">
        <v>1</v>
      </c>
      <c r="I14" s="11" t="s">
        <v>6</v>
      </c>
      <c r="J14" s="6" t="s">
        <v>8</v>
      </c>
    </row>
    <row r="15" spans="1:10" ht="21" customHeight="1" x14ac:dyDescent="0.25">
      <c r="A15" s="12" t="str">
        <f>A14</f>
        <v>ВРУ-2 (ВРУ-1-50-01УХЛ4) (Блок 6)</v>
      </c>
      <c r="B15" s="13" t="s">
        <v>7</v>
      </c>
      <c r="C15" s="14" t="s">
        <v>60</v>
      </c>
      <c r="D15" s="12" t="s">
        <v>532</v>
      </c>
      <c r="E15" s="13">
        <v>155000</v>
      </c>
      <c r="F15" s="15">
        <f>E15*0.6</f>
        <v>93000</v>
      </c>
      <c r="G15" s="15">
        <f>H15*F15</f>
        <v>93000</v>
      </c>
      <c r="H15" s="16">
        <v>1</v>
      </c>
      <c r="I15" s="17" t="s">
        <v>12</v>
      </c>
      <c r="J15" s="13" t="s">
        <v>15</v>
      </c>
    </row>
    <row r="16" spans="1:10" ht="21" customHeight="1" x14ac:dyDescent="0.25">
      <c r="A16" s="12" t="str">
        <f>A22</f>
        <v>ВРУ-2 (ВРУ-1-50-01УХЛ4) (Блок 6)</v>
      </c>
      <c r="B16" s="13" t="s">
        <v>43</v>
      </c>
      <c r="C16" s="14" t="s">
        <v>181</v>
      </c>
      <c r="D16" s="12" t="s">
        <v>182</v>
      </c>
      <c r="E16" s="13">
        <v>34800</v>
      </c>
      <c r="F16" s="15">
        <f>E16*0.6</f>
        <v>20880</v>
      </c>
      <c r="G16" s="15">
        <f>F16*H16</f>
        <v>20880</v>
      </c>
      <c r="H16" s="16">
        <v>1</v>
      </c>
      <c r="I16" s="17" t="s">
        <v>12</v>
      </c>
      <c r="J16" s="13" t="s">
        <v>16</v>
      </c>
    </row>
    <row r="17" spans="1:10" ht="21" customHeight="1" x14ac:dyDescent="0.25">
      <c r="A17" s="12" t="str">
        <f>A15</f>
        <v>ВРУ-2 (ВРУ-1-50-01УХЛ4) (Блок 6)</v>
      </c>
      <c r="B17" s="13" t="s">
        <v>43</v>
      </c>
      <c r="C17" s="14" t="s">
        <v>39</v>
      </c>
      <c r="D17" s="12" t="s">
        <v>40</v>
      </c>
      <c r="E17" s="13">
        <v>19760</v>
      </c>
      <c r="F17" s="15">
        <f>E17*0.6</f>
        <v>11856</v>
      </c>
      <c r="G17" s="15">
        <f>F17*H17</f>
        <v>11856</v>
      </c>
      <c r="H17" s="16">
        <v>1</v>
      </c>
      <c r="I17" s="17" t="s">
        <v>12</v>
      </c>
      <c r="J17" s="13" t="s">
        <v>16</v>
      </c>
    </row>
    <row r="18" spans="1:10" ht="21" customHeight="1" x14ac:dyDescent="0.25">
      <c r="A18" s="12" t="str">
        <f>A16</f>
        <v>ВРУ-2 (ВРУ-1-50-01УХЛ4) (Блок 6)</v>
      </c>
      <c r="B18" s="13" t="s">
        <v>43</v>
      </c>
      <c r="C18" s="14" t="s">
        <v>23</v>
      </c>
      <c r="D18" s="12" t="s">
        <v>24</v>
      </c>
      <c r="E18" s="13">
        <v>19443</v>
      </c>
      <c r="F18" s="15">
        <f>E18*0.6</f>
        <v>11665.8</v>
      </c>
      <c r="G18" s="15">
        <f>F18*H18</f>
        <v>11665.8</v>
      </c>
      <c r="H18" s="16">
        <v>1</v>
      </c>
      <c r="I18" s="17" t="s">
        <v>12</v>
      </c>
      <c r="J18" s="13" t="s">
        <v>16</v>
      </c>
    </row>
    <row r="19" spans="1:10" ht="21" customHeight="1" x14ac:dyDescent="0.25">
      <c r="A19" s="12" t="str">
        <f>A17</f>
        <v>ВРУ-2 (ВРУ-1-50-01УХЛ4) (Блок 6)</v>
      </c>
      <c r="B19" s="13" t="s">
        <v>43</v>
      </c>
      <c r="C19" s="14" t="s">
        <v>41</v>
      </c>
      <c r="D19" s="12" t="s">
        <v>42</v>
      </c>
      <c r="E19" s="13">
        <v>19418</v>
      </c>
      <c r="F19" s="15">
        <f>E19*0.6</f>
        <v>11650.8</v>
      </c>
      <c r="G19" s="15">
        <f>F19*H19</f>
        <v>11650.8</v>
      </c>
      <c r="H19" s="16">
        <v>1</v>
      </c>
      <c r="I19" s="17" t="s">
        <v>12</v>
      </c>
      <c r="J19" s="13" t="s">
        <v>16</v>
      </c>
    </row>
    <row r="20" spans="1:10" ht="21" customHeight="1" x14ac:dyDescent="0.25">
      <c r="A20" s="12" t="str">
        <f>A15</f>
        <v>ВРУ-2 (ВРУ-1-50-01УХЛ4) (Блок 6)</v>
      </c>
      <c r="B20" s="13" t="s">
        <v>43</v>
      </c>
      <c r="C20" s="14" t="s">
        <v>31</v>
      </c>
      <c r="D20" s="12" t="s">
        <v>32</v>
      </c>
      <c r="E20" s="13">
        <v>18263</v>
      </c>
      <c r="F20" s="15">
        <f>E20*0.6</f>
        <v>10957.8</v>
      </c>
      <c r="G20" s="15">
        <f>F20*H20</f>
        <v>32873.399999999994</v>
      </c>
      <c r="H20" s="16">
        <v>3</v>
      </c>
      <c r="I20" s="17" t="s">
        <v>12</v>
      </c>
      <c r="J20" s="13" t="s">
        <v>16</v>
      </c>
    </row>
    <row r="21" spans="1:10" ht="21" customHeight="1" x14ac:dyDescent="0.25">
      <c r="A21" s="12" t="str">
        <f>A19</f>
        <v>ВРУ-2 (ВРУ-1-50-01УХЛ4) (Блок 6)</v>
      </c>
      <c r="B21" s="13" t="s">
        <v>43</v>
      </c>
      <c r="C21" s="14" t="s">
        <v>141</v>
      </c>
      <c r="D21" s="12" t="s">
        <v>142</v>
      </c>
      <c r="E21" s="13">
        <v>19295</v>
      </c>
      <c r="F21" s="15">
        <f>E21*0.6</f>
        <v>11577</v>
      </c>
      <c r="G21" s="15">
        <f>F21*H21</f>
        <v>11577</v>
      </c>
      <c r="H21" s="16">
        <v>1</v>
      </c>
      <c r="I21" s="17" t="s">
        <v>12</v>
      </c>
      <c r="J21" s="13" t="s">
        <v>16</v>
      </c>
    </row>
    <row r="22" spans="1:10" ht="21" customHeight="1" x14ac:dyDescent="0.25">
      <c r="A22" s="12" t="str">
        <f>A21</f>
        <v>ВРУ-2 (ВРУ-1-50-01УХЛ4) (Блок 6)</v>
      </c>
      <c r="B22" s="13" t="s">
        <v>43</v>
      </c>
      <c r="C22" s="14" t="s">
        <v>74</v>
      </c>
      <c r="D22" s="12" t="s">
        <v>75</v>
      </c>
      <c r="E22" s="13">
        <v>20174</v>
      </c>
      <c r="F22" s="15">
        <f>E22*0.6</f>
        <v>12104.4</v>
      </c>
      <c r="G22" s="15">
        <f>F22*H22</f>
        <v>24208.799999999999</v>
      </c>
      <c r="H22" s="16">
        <v>2</v>
      </c>
      <c r="I22" s="17" t="s">
        <v>12</v>
      </c>
      <c r="J22" s="13" t="s">
        <v>16</v>
      </c>
    </row>
    <row r="23" spans="1:10" ht="21" customHeight="1" x14ac:dyDescent="0.25">
      <c r="A23" s="12" t="str">
        <f>A22</f>
        <v>ВРУ-2 (ВРУ-1-50-01УХЛ4) (Блок 6)</v>
      </c>
      <c r="B23" s="13" t="s">
        <v>43</v>
      </c>
      <c r="C23" s="14" t="s">
        <v>179</v>
      </c>
      <c r="D23" s="12" t="s">
        <v>180</v>
      </c>
      <c r="E23" s="13">
        <v>19700</v>
      </c>
      <c r="F23" s="15">
        <f>E23*0.6</f>
        <v>11820</v>
      </c>
      <c r="G23" s="15">
        <f>F23*H23</f>
        <v>23640</v>
      </c>
      <c r="H23" s="16">
        <v>2</v>
      </c>
      <c r="I23" s="17" t="s">
        <v>12</v>
      </c>
      <c r="J23" s="13" t="s">
        <v>16</v>
      </c>
    </row>
    <row r="24" spans="1:10" ht="21" customHeight="1" x14ac:dyDescent="0.25">
      <c r="A24" s="12" t="str">
        <f>A23</f>
        <v>ВРУ-2 (ВРУ-1-50-01УХЛ4) (Блок 6)</v>
      </c>
      <c r="B24" s="13" t="s">
        <v>33</v>
      </c>
      <c r="C24" s="14"/>
      <c r="D24" s="12" t="s">
        <v>33</v>
      </c>
      <c r="E24" s="13">
        <v>1000</v>
      </c>
      <c r="F24" s="15">
        <f>E24</f>
        <v>1000</v>
      </c>
      <c r="G24" s="15">
        <f>F24*H24</f>
        <v>1000</v>
      </c>
      <c r="H24" s="16">
        <v>1</v>
      </c>
      <c r="I24" s="17" t="s">
        <v>12</v>
      </c>
      <c r="J24" s="13" t="s">
        <v>25</v>
      </c>
    </row>
    <row r="25" spans="1:10" ht="24" customHeight="1" x14ac:dyDescent="0.25">
      <c r="A25" s="12" t="str">
        <f>A24</f>
        <v>ВРУ-2 (ВРУ-1-50-01УХЛ4) (Блок 6)</v>
      </c>
      <c r="B25" s="12" t="s">
        <v>9</v>
      </c>
      <c r="C25" s="18" t="s">
        <v>9</v>
      </c>
      <c r="D25" s="12" t="s">
        <v>9</v>
      </c>
      <c r="E25" s="12">
        <f ca="1">OFFSET(E25,1,2)</f>
        <v>36000</v>
      </c>
      <c r="F25" s="15">
        <f ca="1">E25</f>
        <v>36000</v>
      </c>
      <c r="G25" s="15">
        <f ca="1">F25*H25</f>
        <v>36000</v>
      </c>
      <c r="H25" s="12">
        <v>1</v>
      </c>
      <c r="I25" s="12" t="s">
        <v>12</v>
      </c>
      <c r="J25" s="12" t="s">
        <v>9</v>
      </c>
    </row>
    <row r="26" spans="1:10" ht="21" customHeight="1" x14ac:dyDescent="0.25">
      <c r="A26" s="12" t="str">
        <f>A25</f>
        <v>ВРУ-2 (ВРУ-1-50-01УХЛ4) (Блок 6)</v>
      </c>
      <c r="B26" s="12" t="s">
        <v>10</v>
      </c>
      <c r="C26" s="18" t="s">
        <v>10</v>
      </c>
      <c r="D26" s="12" t="s">
        <v>10</v>
      </c>
      <c r="E26" s="12">
        <v>6</v>
      </c>
      <c r="F26" s="15">
        <v>100</v>
      </c>
      <c r="G26" s="15">
        <f>60*E26*F26</f>
        <v>36000</v>
      </c>
      <c r="H26" s="12">
        <f>60*E26</f>
        <v>360</v>
      </c>
      <c r="I26" s="12" t="s">
        <v>12</v>
      </c>
      <c r="J26" s="12" t="s">
        <v>10</v>
      </c>
    </row>
    <row r="27" spans="1:10" ht="30" customHeight="1" x14ac:dyDescent="0.25">
      <c r="A27" s="12" t="str">
        <f>A26</f>
        <v>ВРУ-2 (ВРУ-1-50-01УХЛ4) (Блок 6)</v>
      </c>
      <c r="B27" s="19"/>
      <c r="C27" s="20"/>
      <c r="D27" s="21"/>
      <c r="E27" s="23"/>
      <c r="F27" s="25"/>
      <c r="G27" s="24">
        <f ca="1">SUBTOTAL(9,G15:G26)</f>
        <v>314351.79999999993</v>
      </c>
      <c r="H27" s="20"/>
      <c r="I27" s="22"/>
      <c r="J27" s="20"/>
    </row>
    <row r="28" spans="1:10" ht="39.75" customHeight="1" x14ac:dyDescent="0.25">
      <c r="A28" s="5" t="str">
        <f>D28</f>
        <v>АВР-1 (АВР-3-100-2-У) (Блок 6)</v>
      </c>
      <c r="B28" s="6"/>
      <c r="C28" s="7"/>
      <c r="D28" s="6" t="s">
        <v>534</v>
      </c>
      <c r="E28" s="8"/>
      <c r="F28" s="8" t="s">
        <v>73</v>
      </c>
      <c r="G28" s="9"/>
      <c r="H28" s="10">
        <v>1</v>
      </c>
      <c r="I28" s="11" t="s">
        <v>6</v>
      </c>
      <c r="J28" s="6" t="s">
        <v>8</v>
      </c>
    </row>
    <row r="29" spans="1:10" ht="21" customHeight="1" x14ac:dyDescent="0.25">
      <c r="A29" s="12" t="str">
        <f>A28</f>
        <v>АВР-1 (АВР-3-100-2-У) (Блок 6)</v>
      </c>
      <c r="B29" s="13" t="s">
        <v>7</v>
      </c>
      <c r="C29" s="14" t="s">
        <v>478</v>
      </c>
      <c r="D29" s="12" t="s">
        <v>479</v>
      </c>
      <c r="E29" s="13">
        <v>38905</v>
      </c>
      <c r="F29" s="15">
        <f>E29*0.6</f>
        <v>23343</v>
      </c>
      <c r="G29" s="15">
        <f>H29*F29</f>
        <v>23343</v>
      </c>
      <c r="H29" s="16">
        <v>1</v>
      </c>
      <c r="I29" s="17" t="s">
        <v>12</v>
      </c>
      <c r="J29" s="13" t="s">
        <v>15</v>
      </c>
    </row>
    <row r="30" spans="1:10" ht="21" customHeight="1" x14ac:dyDescent="0.25">
      <c r="A30" s="12" t="str">
        <f>A29</f>
        <v>АВР-1 (АВР-3-100-2-У) (Блок 6)</v>
      </c>
      <c r="B30" s="13" t="s">
        <v>26</v>
      </c>
      <c r="C30" s="14" t="s">
        <v>183</v>
      </c>
      <c r="D30" s="12" t="s">
        <v>184</v>
      </c>
      <c r="E30" s="13">
        <v>6018</v>
      </c>
      <c r="F30" s="15">
        <f>E30</f>
        <v>6018</v>
      </c>
      <c r="G30" s="15">
        <f>F30*H30</f>
        <v>18054</v>
      </c>
      <c r="H30" s="16">
        <v>3</v>
      </c>
      <c r="I30" s="17" t="s">
        <v>12</v>
      </c>
      <c r="J30" s="13" t="s">
        <v>25</v>
      </c>
    </row>
    <row r="31" spans="1:10" ht="21" customHeight="1" x14ac:dyDescent="0.25">
      <c r="A31" s="12" t="str">
        <f>A30</f>
        <v>АВР-1 (АВР-3-100-2-У) (Блок 6)</v>
      </c>
      <c r="B31" s="13" t="s">
        <v>86</v>
      </c>
      <c r="C31" s="14" t="s">
        <v>143</v>
      </c>
      <c r="D31" s="12" t="s">
        <v>144</v>
      </c>
      <c r="E31" s="13">
        <v>207389</v>
      </c>
      <c r="F31" s="15">
        <f>E31*0.6</f>
        <v>124433.4</v>
      </c>
      <c r="G31" s="15">
        <f>F31*H31</f>
        <v>124433.4</v>
      </c>
      <c r="H31" s="16">
        <v>1</v>
      </c>
      <c r="I31" s="17" t="s">
        <v>12</v>
      </c>
      <c r="J31" s="13" t="s">
        <v>16</v>
      </c>
    </row>
    <row r="32" spans="1:10" ht="21" customHeight="1" x14ac:dyDescent="0.25">
      <c r="A32" s="12" t="str">
        <f>A31</f>
        <v>АВР-1 (АВР-3-100-2-У) (Блок 6)</v>
      </c>
      <c r="B32" s="13" t="s">
        <v>59</v>
      </c>
      <c r="C32" s="14" t="s">
        <v>57</v>
      </c>
      <c r="D32" s="12" t="s">
        <v>58</v>
      </c>
      <c r="E32" s="13">
        <v>571</v>
      </c>
      <c r="F32" s="15">
        <f>E32*0.6</f>
        <v>342.59999999999997</v>
      </c>
      <c r="G32" s="15">
        <f>F32*H32</f>
        <v>685.19999999999993</v>
      </c>
      <c r="H32" s="16">
        <v>2</v>
      </c>
      <c r="I32" s="17" t="s">
        <v>12</v>
      </c>
      <c r="J32" s="13" t="s">
        <v>16</v>
      </c>
    </row>
    <row r="33" spans="1:10" ht="21" customHeight="1" x14ac:dyDescent="0.25">
      <c r="A33" s="12" t="str">
        <f>A32</f>
        <v>АВР-1 (АВР-3-100-2-У) (Блок 6)</v>
      </c>
      <c r="B33" s="13" t="s">
        <v>59</v>
      </c>
      <c r="C33" s="14" t="s">
        <v>55</v>
      </c>
      <c r="D33" s="12" t="s">
        <v>56</v>
      </c>
      <c r="E33" s="13">
        <v>589</v>
      </c>
      <c r="F33" s="15">
        <f>E33*0.6</f>
        <v>353.4</v>
      </c>
      <c r="G33" s="15">
        <f>F33*H33</f>
        <v>706.8</v>
      </c>
      <c r="H33" s="16">
        <v>2</v>
      </c>
      <c r="I33" s="17" t="s">
        <v>12</v>
      </c>
      <c r="J33" s="13" t="s">
        <v>16</v>
      </c>
    </row>
    <row r="34" spans="1:10" ht="22.5" customHeight="1" x14ac:dyDescent="0.25">
      <c r="A34" s="12" t="str">
        <f>A33</f>
        <v>АВР-1 (АВР-3-100-2-У) (Блок 6)</v>
      </c>
      <c r="B34" s="13" t="s">
        <v>17</v>
      </c>
      <c r="C34" s="14" t="s">
        <v>484</v>
      </c>
      <c r="D34" s="12" t="s">
        <v>485</v>
      </c>
      <c r="E34" s="13">
        <v>72400</v>
      </c>
      <c r="F34" s="15">
        <f>E34</f>
        <v>72400</v>
      </c>
      <c r="G34" s="15">
        <f>F34*H34</f>
        <v>144800</v>
      </c>
      <c r="H34" s="16">
        <v>2</v>
      </c>
      <c r="I34" s="17" t="s">
        <v>12</v>
      </c>
      <c r="J34" s="13" t="s">
        <v>25</v>
      </c>
    </row>
    <row r="35" spans="1:10" ht="21" customHeight="1" x14ac:dyDescent="0.25">
      <c r="A35" s="12" t="str">
        <f>A34</f>
        <v>АВР-1 (АВР-3-100-2-У) (Блок 6)</v>
      </c>
      <c r="B35" s="13" t="s">
        <v>11</v>
      </c>
      <c r="C35" s="14" t="s">
        <v>18</v>
      </c>
      <c r="D35" s="12" t="s">
        <v>19</v>
      </c>
      <c r="E35" s="13">
        <v>975</v>
      </c>
      <c r="F35" s="15">
        <f>E35*0.6</f>
        <v>585</v>
      </c>
      <c r="G35" s="15">
        <f>F35*H35</f>
        <v>1170</v>
      </c>
      <c r="H35" s="16">
        <v>2</v>
      </c>
      <c r="I35" s="17" t="s">
        <v>12</v>
      </c>
      <c r="J35" s="13" t="s">
        <v>16</v>
      </c>
    </row>
    <row r="36" spans="1:10" ht="24" customHeight="1" x14ac:dyDescent="0.25">
      <c r="A36" s="12" t="str">
        <f>A35</f>
        <v>АВР-1 (АВР-3-100-2-У) (Блок 6)</v>
      </c>
      <c r="B36" s="12" t="s">
        <v>9</v>
      </c>
      <c r="C36" s="18" t="s">
        <v>9</v>
      </c>
      <c r="D36" s="12" t="s">
        <v>9</v>
      </c>
      <c r="E36" s="12">
        <f ca="1">OFFSET(E36,1,2)</f>
        <v>0</v>
      </c>
      <c r="F36" s="15">
        <f ca="1">E36</f>
        <v>0</v>
      </c>
      <c r="G36" s="15">
        <f ca="1">F36*H36</f>
        <v>0</v>
      </c>
      <c r="H36" s="12">
        <v>1</v>
      </c>
      <c r="I36" s="12" t="s">
        <v>12</v>
      </c>
      <c r="J36" s="12" t="s">
        <v>9</v>
      </c>
    </row>
    <row r="37" spans="1:10" ht="21" customHeight="1" x14ac:dyDescent="0.25">
      <c r="A37" s="12" t="str">
        <f>A36</f>
        <v>АВР-1 (АВР-3-100-2-У) (Блок 6)</v>
      </c>
      <c r="B37" s="12" t="s">
        <v>10</v>
      </c>
      <c r="C37" s="18" t="s">
        <v>10</v>
      </c>
      <c r="D37" s="12" t="s">
        <v>10</v>
      </c>
      <c r="E37" s="12"/>
      <c r="F37" s="15">
        <v>100</v>
      </c>
      <c r="G37" s="15">
        <f>60*E37*F37</f>
        <v>0</v>
      </c>
      <c r="H37" s="12">
        <f>60*E37</f>
        <v>0</v>
      </c>
      <c r="I37" s="12" t="s">
        <v>12</v>
      </c>
      <c r="J37" s="12" t="s">
        <v>10</v>
      </c>
    </row>
    <row r="38" spans="1:10" ht="30" customHeight="1" x14ac:dyDescent="0.25">
      <c r="A38" s="12" t="str">
        <f>A37</f>
        <v>АВР-1 (АВР-3-100-2-У) (Блок 6)</v>
      </c>
      <c r="B38" s="19"/>
      <c r="C38" s="20"/>
      <c r="D38" s="21"/>
      <c r="E38" s="23"/>
      <c r="F38" s="25"/>
      <c r="G38" s="24">
        <f ca="1">SUM(G29:G37)</f>
        <v>313192.40000000002</v>
      </c>
      <c r="H38" s="20"/>
      <c r="I38" s="22"/>
      <c r="J38" s="20"/>
    </row>
    <row r="39" spans="1:10" ht="39.75" customHeight="1" x14ac:dyDescent="0.25">
      <c r="A39" s="5" t="str">
        <f>D39</f>
        <v>АВР-2 (АВР-3-100-2) (Блок 6)</v>
      </c>
      <c r="B39" s="6"/>
      <c r="C39" s="7"/>
      <c r="D39" s="6" t="s">
        <v>535</v>
      </c>
      <c r="E39" s="8"/>
      <c r="F39" s="8" t="s">
        <v>73</v>
      </c>
      <c r="G39" s="9"/>
      <c r="H39" s="10">
        <v>1</v>
      </c>
      <c r="I39" s="11" t="s">
        <v>6</v>
      </c>
      <c r="J39" s="6" t="s">
        <v>8</v>
      </c>
    </row>
    <row r="40" spans="1:10" ht="21" customHeight="1" x14ac:dyDescent="0.25">
      <c r="A40" s="12" t="str">
        <f>A39</f>
        <v>АВР-2 (АВР-3-100-2) (Блок 6)</v>
      </c>
      <c r="B40" s="13" t="s">
        <v>7</v>
      </c>
      <c r="C40" s="14" t="s">
        <v>505</v>
      </c>
      <c r="D40" s="12" t="s">
        <v>506</v>
      </c>
      <c r="E40" s="13">
        <v>29500</v>
      </c>
      <c r="F40" s="15">
        <f>E40*0.6</f>
        <v>17700</v>
      </c>
      <c r="G40" s="15">
        <f>H40*F40</f>
        <v>17700</v>
      </c>
      <c r="H40" s="16">
        <v>1</v>
      </c>
      <c r="I40" s="17" t="s">
        <v>12</v>
      </c>
      <c r="J40" s="13" t="s">
        <v>15</v>
      </c>
    </row>
    <row r="41" spans="1:10" ht="21" customHeight="1" x14ac:dyDescent="0.25">
      <c r="A41" s="12" t="str">
        <f>A40</f>
        <v>АВР-2 (АВР-3-100-2) (Блок 6)</v>
      </c>
      <c r="B41" s="13" t="s">
        <v>86</v>
      </c>
      <c r="C41" s="14" t="s">
        <v>143</v>
      </c>
      <c r="D41" s="12" t="s">
        <v>144</v>
      </c>
      <c r="E41" s="13">
        <v>207389</v>
      </c>
      <c r="F41" s="15">
        <f>E41*0.6</f>
        <v>124433.4</v>
      </c>
      <c r="G41" s="15">
        <f>F41*H41</f>
        <v>124433.4</v>
      </c>
      <c r="H41" s="16">
        <v>1</v>
      </c>
      <c r="I41" s="17" t="s">
        <v>12</v>
      </c>
      <c r="J41" s="13" t="s">
        <v>16</v>
      </c>
    </row>
    <row r="42" spans="1:10" ht="21" customHeight="1" x14ac:dyDescent="0.25">
      <c r="A42" s="12" t="str">
        <f>A41</f>
        <v>АВР-2 (АВР-3-100-2) (Блок 6)</v>
      </c>
      <c r="B42" s="13" t="s">
        <v>59</v>
      </c>
      <c r="C42" s="14" t="s">
        <v>57</v>
      </c>
      <c r="D42" s="12" t="s">
        <v>58</v>
      </c>
      <c r="E42" s="13">
        <v>571</v>
      </c>
      <c r="F42" s="15">
        <f>E42*0.6</f>
        <v>342.59999999999997</v>
      </c>
      <c r="G42" s="15">
        <f>F42*H42</f>
        <v>685.19999999999993</v>
      </c>
      <c r="H42" s="16">
        <v>2</v>
      </c>
      <c r="I42" s="17" t="s">
        <v>12</v>
      </c>
      <c r="J42" s="13" t="s">
        <v>16</v>
      </c>
    </row>
    <row r="43" spans="1:10" ht="21" customHeight="1" x14ac:dyDescent="0.25">
      <c r="A43" s="12" t="str">
        <f>A42</f>
        <v>АВР-2 (АВР-3-100-2) (Блок 6)</v>
      </c>
      <c r="B43" s="13" t="s">
        <v>59</v>
      </c>
      <c r="C43" s="14" t="s">
        <v>55</v>
      </c>
      <c r="D43" s="12" t="s">
        <v>56</v>
      </c>
      <c r="E43" s="13">
        <v>589</v>
      </c>
      <c r="F43" s="15">
        <f>E43*0.6</f>
        <v>353.4</v>
      </c>
      <c r="G43" s="15">
        <f>F43*H43</f>
        <v>706.8</v>
      </c>
      <c r="H43" s="16">
        <v>2</v>
      </c>
      <c r="I43" s="17" t="s">
        <v>12</v>
      </c>
      <c r="J43" s="13" t="s">
        <v>16</v>
      </c>
    </row>
    <row r="44" spans="1:10" ht="21" customHeight="1" x14ac:dyDescent="0.25">
      <c r="A44" s="12" t="str">
        <f>A43</f>
        <v>АВР-2 (АВР-3-100-2) (Блок 6)</v>
      </c>
      <c r="B44" s="13" t="s">
        <v>11</v>
      </c>
      <c r="C44" s="14" t="s">
        <v>18</v>
      </c>
      <c r="D44" s="12" t="s">
        <v>19</v>
      </c>
      <c r="E44" s="13">
        <v>975</v>
      </c>
      <c r="F44" s="15">
        <f>E44*0.6</f>
        <v>585</v>
      </c>
      <c r="G44" s="15">
        <f>F44*H44</f>
        <v>1170</v>
      </c>
      <c r="H44" s="16">
        <v>2</v>
      </c>
      <c r="I44" s="17" t="s">
        <v>12</v>
      </c>
      <c r="J44" s="13" t="s">
        <v>16</v>
      </c>
    </row>
    <row r="45" spans="1:10" ht="24" customHeight="1" x14ac:dyDescent="0.25">
      <c r="A45" s="12" t="str">
        <f>A44</f>
        <v>АВР-2 (АВР-3-100-2) (Блок 6)</v>
      </c>
      <c r="B45" s="12" t="s">
        <v>9</v>
      </c>
      <c r="C45" s="18" t="s">
        <v>9</v>
      </c>
      <c r="D45" s="12" t="s">
        <v>9</v>
      </c>
      <c r="E45" s="12">
        <f ca="1">OFFSET(E45,1,2)</f>
        <v>0</v>
      </c>
      <c r="F45" s="15">
        <f ca="1">E45</f>
        <v>0</v>
      </c>
      <c r="G45" s="15">
        <f ca="1">F45*H45</f>
        <v>0</v>
      </c>
      <c r="H45" s="12">
        <v>1</v>
      </c>
      <c r="I45" s="12" t="s">
        <v>12</v>
      </c>
      <c r="J45" s="12" t="s">
        <v>9</v>
      </c>
    </row>
    <row r="46" spans="1:10" ht="21" customHeight="1" x14ac:dyDescent="0.25">
      <c r="A46" s="12" t="str">
        <f>A45</f>
        <v>АВР-2 (АВР-3-100-2) (Блок 6)</v>
      </c>
      <c r="B46" s="12" t="s">
        <v>10</v>
      </c>
      <c r="C46" s="18" t="s">
        <v>10</v>
      </c>
      <c r="D46" s="12" t="s">
        <v>10</v>
      </c>
      <c r="E46" s="12"/>
      <c r="F46" s="15">
        <v>100</v>
      </c>
      <c r="G46" s="15">
        <f>60*E46*F46</f>
        <v>0</v>
      </c>
      <c r="H46" s="12">
        <f>60*E46</f>
        <v>0</v>
      </c>
      <c r="I46" s="12" t="s">
        <v>12</v>
      </c>
      <c r="J46" s="12" t="s">
        <v>10</v>
      </c>
    </row>
    <row r="47" spans="1:10" ht="30" customHeight="1" x14ac:dyDescent="0.25">
      <c r="A47" s="12" t="str">
        <f>A46</f>
        <v>АВР-2 (АВР-3-100-2) (Блок 6)</v>
      </c>
      <c r="B47" s="19"/>
      <c r="C47" s="20"/>
      <c r="D47" s="21"/>
      <c r="E47" s="23"/>
      <c r="F47" s="25"/>
      <c r="G47" s="24">
        <f ca="1">SUM(G40:G46)</f>
        <v>144695.4</v>
      </c>
      <c r="H47" s="20"/>
      <c r="I47" s="22"/>
      <c r="J47" s="20"/>
    </row>
    <row r="48" spans="1:10" ht="39.75" customHeight="1" x14ac:dyDescent="0.25">
      <c r="A48" s="5" t="str">
        <f>D48</f>
        <v>ВРУ-2 (ВРУ1-41-00УХЛ4) (Блок 6)</v>
      </c>
      <c r="B48" s="6"/>
      <c r="C48" s="7"/>
      <c r="D48" s="6" t="s">
        <v>536</v>
      </c>
      <c r="E48" s="8"/>
      <c r="F48" s="8" t="s">
        <v>73</v>
      </c>
      <c r="G48" s="9"/>
      <c r="H48" s="10">
        <v>1</v>
      </c>
      <c r="I48" s="11" t="s">
        <v>6</v>
      </c>
      <c r="J48" s="6" t="s">
        <v>8</v>
      </c>
    </row>
    <row r="49" spans="1:10" ht="21" customHeight="1" x14ac:dyDescent="0.25">
      <c r="A49" s="12" t="str">
        <f>A48</f>
        <v>ВРУ-2 (ВРУ1-41-00УХЛ4) (Блок 6)</v>
      </c>
      <c r="B49" s="13" t="s">
        <v>7</v>
      </c>
      <c r="C49" s="14" t="s">
        <v>501</v>
      </c>
      <c r="D49" s="12" t="s">
        <v>502</v>
      </c>
      <c r="E49" s="13">
        <v>29525</v>
      </c>
      <c r="F49" s="15">
        <f>E49*0.6</f>
        <v>17715</v>
      </c>
      <c r="G49" s="15">
        <f>H49*F49</f>
        <v>17715</v>
      </c>
      <c r="H49" s="16">
        <v>1</v>
      </c>
      <c r="I49" s="17" t="s">
        <v>12</v>
      </c>
      <c r="J49" s="13" t="s">
        <v>15</v>
      </c>
    </row>
    <row r="50" spans="1:10" ht="21" customHeight="1" x14ac:dyDescent="0.25">
      <c r="A50" s="12" t="str">
        <f>A49</f>
        <v>ВРУ-2 (ВРУ1-41-00УХЛ4) (Блок 6)</v>
      </c>
      <c r="B50" s="13" t="s">
        <v>11</v>
      </c>
      <c r="C50" s="14" t="s">
        <v>185</v>
      </c>
      <c r="D50" s="12" t="s">
        <v>186</v>
      </c>
      <c r="E50" s="13">
        <v>10949</v>
      </c>
      <c r="F50" s="15">
        <f>E50*0.6</f>
        <v>6569.4</v>
      </c>
      <c r="G50" s="15">
        <f>F50*H50</f>
        <v>6569.4</v>
      </c>
      <c r="H50" s="16">
        <v>1</v>
      </c>
      <c r="I50" s="17" t="s">
        <v>12</v>
      </c>
      <c r="J50" s="13" t="s">
        <v>16</v>
      </c>
    </row>
    <row r="51" spans="1:10" ht="21" customHeight="1" x14ac:dyDescent="0.25">
      <c r="A51" s="12" t="str">
        <f>A50</f>
        <v>ВРУ-2 (ВРУ1-41-00УХЛ4) (Блок 6)</v>
      </c>
      <c r="B51" s="13" t="s">
        <v>11</v>
      </c>
      <c r="C51" s="14" t="s">
        <v>28</v>
      </c>
      <c r="D51" s="12" t="s">
        <v>27</v>
      </c>
      <c r="E51" s="13">
        <v>2606</v>
      </c>
      <c r="F51" s="15">
        <f>E51*0.6</f>
        <v>1563.6</v>
      </c>
      <c r="G51" s="15">
        <f>F51*H51</f>
        <v>6254.4</v>
      </c>
      <c r="H51" s="16">
        <v>4</v>
      </c>
      <c r="I51" s="17" t="s">
        <v>12</v>
      </c>
      <c r="J51" s="13" t="s">
        <v>16</v>
      </c>
    </row>
    <row r="52" spans="1:10" ht="21" customHeight="1" x14ac:dyDescent="0.25">
      <c r="A52" s="12" t="str">
        <f>A51</f>
        <v>ВРУ-2 (ВРУ1-41-00УХЛ4) (Блок 6)</v>
      </c>
      <c r="B52" s="13" t="s">
        <v>11</v>
      </c>
      <c r="C52" s="14" t="s">
        <v>65</v>
      </c>
      <c r="D52" s="12" t="s">
        <v>66</v>
      </c>
      <c r="E52" s="13">
        <v>2807</v>
      </c>
      <c r="F52" s="15">
        <f>E52*0.6</f>
        <v>1684.2</v>
      </c>
      <c r="G52" s="15">
        <f>F52*H52</f>
        <v>3368.4</v>
      </c>
      <c r="H52" s="16">
        <v>2</v>
      </c>
      <c r="I52" s="17" t="s">
        <v>12</v>
      </c>
      <c r="J52" s="13" t="s">
        <v>16</v>
      </c>
    </row>
    <row r="53" spans="1:10" ht="24" customHeight="1" x14ac:dyDescent="0.25">
      <c r="A53" s="12" t="str">
        <f>A52</f>
        <v>ВРУ-2 (ВРУ1-41-00УХЛ4) (Блок 6)</v>
      </c>
      <c r="B53" s="12" t="s">
        <v>9</v>
      </c>
      <c r="C53" s="18" t="s">
        <v>9</v>
      </c>
      <c r="D53" s="12" t="s">
        <v>9</v>
      </c>
      <c r="E53" s="12">
        <f ca="1">OFFSET(E53,1,2)</f>
        <v>12000</v>
      </c>
      <c r="F53" s="15">
        <f ca="1">E53</f>
        <v>12000</v>
      </c>
      <c r="G53" s="15">
        <f ca="1">F53*H53</f>
        <v>12000</v>
      </c>
      <c r="H53" s="12">
        <v>1</v>
      </c>
      <c r="I53" s="12" t="s">
        <v>12</v>
      </c>
      <c r="J53" s="12" t="s">
        <v>9</v>
      </c>
    </row>
    <row r="54" spans="1:10" ht="21" customHeight="1" x14ac:dyDescent="0.25">
      <c r="A54" s="12" t="str">
        <f>A53</f>
        <v>ВРУ-2 (ВРУ1-41-00УХЛ4) (Блок 6)</v>
      </c>
      <c r="B54" s="12" t="s">
        <v>10</v>
      </c>
      <c r="C54" s="18" t="s">
        <v>10</v>
      </c>
      <c r="D54" s="12" t="s">
        <v>10</v>
      </c>
      <c r="E54" s="12">
        <v>2</v>
      </c>
      <c r="F54" s="15">
        <v>100</v>
      </c>
      <c r="G54" s="15">
        <f>60*E54*F54</f>
        <v>12000</v>
      </c>
      <c r="H54" s="12">
        <f>60*E54</f>
        <v>120</v>
      </c>
      <c r="I54" s="12" t="s">
        <v>12</v>
      </c>
      <c r="J54" s="12" t="s">
        <v>10</v>
      </c>
    </row>
    <row r="55" spans="1:10" ht="30" customHeight="1" x14ac:dyDescent="0.25">
      <c r="A55" s="12" t="str">
        <f>A54</f>
        <v>ВРУ-2 (ВРУ1-41-00УХЛ4) (Блок 6)</v>
      </c>
      <c r="B55" s="19"/>
      <c r="C55" s="20"/>
      <c r="D55" s="21"/>
      <c r="E55" s="23"/>
      <c r="F55" s="25"/>
      <c r="G55" s="24">
        <f ca="1">SUM(G49:G54)</f>
        <v>57907.200000000004</v>
      </c>
      <c r="H55" s="20"/>
      <c r="I55" s="22"/>
      <c r="J55" s="20"/>
    </row>
    <row r="56" spans="1:10" ht="39.75" customHeight="1" x14ac:dyDescent="0.25">
      <c r="A56" s="5" t="str">
        <f>D56</f>
        <v>ЩО.1 (Блок 6)</v>
      </c>
      <c r="B56" s="6"/>
      <c r="C56" s="7"/>
      <c r="D56" s="6" t="s">
        <v>537</v>
      </c>
      <c r="E56" s="8"/>
      <c r="F56" s="8" t="s">
        <v>73</v>
      </c>
      <c r="G56" s="9"/>
      <c r="H56" s="10">
        <v>1</v>
      </c>
      <c r="I56" s="11" t="s">
        <v>6</v>
      </c>
      <c r="J56" s="6" t="s">
        <v>8</v>
      </c>
    </row>
    <row r="57" spans="1:10" ht="21" customHeight="1" x14ac:dyDescent="0.25">
      <c r="A57" s="12" t="str">
        <f>A56</f>
        <v>ЩО.1 (Блок 6)</v>
      </c>
      <c r="B57" s="13" t="s">
        <v>7</v>
      </c>
      <c r="C57" s="14" t="s">
        <v>461</v>
      </c>
      <c r="D57" s="12" t="s">
        <v>462</v>
      </c>
      <c r="E57" s="13">
        <v>11700</v>
      </c>
      <c r="F57" s="15">
        <f>E57*0.6</f>
        <v>7020</v>
      </c>
      <c r="G57" s="15">
        <f>H57*F57</f>
        <v>7020</v>
      </c>
      <c r="H57" s="16">
        <v>1</v>
      </c>
      <c r="I57" s="17" t="s">
        <v>12</v>
      </c>
      <c r="J57" s="13" t="s">
        <v>15</v>
      </c>
    </row>
    <row r="58" spans="1:10" ht="21" customHeight="1" x14ac:dyDescent="0.25">
      <c r="A58" s="12" t="str">
        <f>A57</f>
        <v>ЩО.1 (Блок 6)</v>
      </c>
      <c r="B58" s="13" t="s">
        <v>11</v>
      </c>
      <c r="C58" s="14" t="s">
        <v>28</v>
      </c>
      <c r="D58" s="12" t="s">
        <v>27</v>
      </c>
      <c r="E58" s="13">
        <v>2606</v>
      </c>
      <c r="F58" s="15">
        <f>E58*0.6</f>
        <v>1563.6</v>
      </c>
      <c r="G58" s="15">
        <f>F58*H58</f>
        <v>1563.6</v>
      </c>
      <c r="H58" s="16">
        <v>1</v>
      </c>
      <c r="I58" s="17" t="s">
        <v>12</v>
      </c>
      <c r="J58" s="13" t="s">
        <v>16</v>
      </c>
    </row>
    <row r="59" spans="1:10" ht="21" customHeight="1" x14ac:dyDescent="0.25">
      <c r="A59" s="12" t="str">
        <f>A58</f>
        <v>ЩО.1 (Блок 6)</v>
      </c>
      <c r="B59" s="13" t="s">
        <v>11</v>
      </c>
      <c r="C59" s="14" t="s">
        <v>53</v>
      </c>
      <c r="D59" s="12" t="s">
        <v>54</v>
      </c>
      <c r="E59" s="13">
        <v>783</v>
      </c>
      <c r="F59" s="15">
        <f>E59*0.6</f>
        <v>469.79999999999995</v>
      </c>
      <c r="G59" s="15">
        <f>F59*H59</f>
        <v>5637.5999999999995</v>
      </c>
      <c r="H59" s="16">
        <v>12</v>
      </c>
      <c r="I59" s="17" t="s">
        <v>12</v>
      </c>
      <c r="J59" s="13" t="s">
        <v>16</v>
      </c>
    </row>
    <row r="60" spans="1:10" ht="24" customHeight="1" x14ac:dyDescent="0.25">
      <c r="A60" s="12" t="str">
        <f>A59</f>
        <v>ЩО.1 (Блок 6)</v>
      </c>
      <c r="B60" s="12" t="s">
        <v>9</v>
      </c>
      <c r="C60" s="18" t="s">
        <v>9</v>
      </c>
      <c r="D60" s="12" t="s">
        <v>9</v>
      </c>
      <c r="E60" s="12">
        <f ca="1">OFFSET(E60,1,2)</f>
        <v>0</v>
      </c>
      <c r="F60" s="15">
        <f ca="1">E60</f>
        <v>0</v>
      </c>
      <c r="G60" s="15">
        <f ca="1">F60*H60</f>
        <v>0</v>
      </c>
      <c r="H60" s="12">
        <v>1</v>
      </c>
      <c r="I60" s="12" t="s">
        <v>12</v>
      </c>
      <c r="J60" s="12" t="s">
        <v>9</v>
      </c>
    </row>
    <row r="61" spans="1:10" ht="21" customHeight="1" x14ac:dyDescent="0.25">
      <c r="A61" s="12" t="str">
        <f>A60</f>
        <v>ЩО.1 (Блок 6)</v>
      </c>
      <c r="B61" s="12" t="s">
        <v>10</v>
      </c>
      <c r="C61" s="18" t="s">
        <v>10</v>
      </c>
      <c r="D61" s="12" t="s">
        <v>10</v>
      </c>
      <c r="E61" s="12"/>
      <c r="F61" s="15">
        <v>100</v>
      </c>
      <c r="G61" s="15">
        <f>60*E61*F61</f>
        <v>0</v>
      </c>
      <c r="H61" s="12">
        <f>60*E61</f>
        <v>0</v>
      </c>
      <c r="I61" s="12" t="s">
        <v>12</v>
      </c>
      <c r="J61" s="12" t="s">
        <v>10</v>
      </c>
    </row>
    <row r="62" spans="1:10" ht="30" customHeight="1" x14ac:dyDescent="0.25">
      <c r="A62" s="12" t="str">
        <f>A61</f>
        <v>ЩО.1 (Блок 6)</v>
      </c>
      <c r="B62" s="19"/>
      <c r="C62" s="20"/>
      <c r="D62" s="21"/>
      <c r="E62" s="23"/>
      <c r="F62" s="25"/>
      <c r="G62" s="24">
        <f ca="1">SUM(G57:G61)</f>
        <v>14221.2</v>
      </c>
      <c r="H62" s="20"/>
      <c r="I62" s="22"/>
      <c r="J62" s="20"/>
    </row>
    <row r="63" spans="1:10" ht="39.75" customHeight="1" x14ac:dyDescent="0.25">
      <c r="A63" s="5" t="str">
        <f>D63</f>
        <v>ЩО.2 (Блок 6)</v>
      </c>
      <c r="B63" s="6"/>
      <c r="C63" s="7"/>
      <c r="D63" s="6" t="s">
        <v>538</v>
      </c>
      <c r="E63" s="8"/>
      <c r="F63" s="8" t="s">
        <v>73</v>
      </c>
      <c r="G63" s="9"/>
      <c r="H63" s="10">
        <v>1</v>
      </c>
      <c r="I63" s="11" t="s">
        <v>6</v>
      </c>
      <c r="J63" s="6" t="s">
        <v>8</v>
      </c>
    </row>
    <row r="64" spans="1:10" ht="21" customHeight="1" x14ac:dyDescent="0.25">
      <c r="A64" s="12" t="str">
        <f>A63</f>
        <v>ЩО.2 (Блок 6)</v>
      </c>
      <c r="B64" s="13" t="s">
        <v>7</v>
      </c>
      <c r="C64" s="14" t="s">
        <v>60</v>
      </c>
      <c r="D64" s="12"/>
      <c r="E64" s="13"/>
      <c r="F64" s="15">
        <f>E64*0.6</f>
        <v>0</v>
      </c>
      <c r="G64" s="15">
        <f>H64*F64</f>
        <v>0</v>
      </c>
      <c r="H64" s="16">
        <v>1</v>
      </c>
      <c r="I64" s="17" t="s">
        <v>12</v>
      </c>
      <c r="J64" s="13" t="s">
        <v>15</v>
      </c>
    </row>
    <row r="65" spans="1:10" ht="21" customHeight="1" x14ac:dyDescent="0.25">
      <c r="A65" s="12" t="str">
        <f>A63</f>
        <v>ЩО.2 (Блок 6)</v>
      </c>
      <c r="B65" s="13" t="s">
        <v>11</v>
      </c>
      <c r="C65" s="14" t="s">
        <v>20</v>
      </c>
      <c r="D65" s="12" t="s">
        <v>21</v>
      </c>
      <c r="E65" s="13">
        <v>2429</v>
      </c>
      <c r="F65" s="15">
        <f>E65*0.6</f>
        <v>1457.3999999999999</v>
      </c>
      <c r="G65" s="15">
        <f>F65*H65</f>
        <v>1457.3999999999999</v>
      </c>
      <c r="H65" s="16">
        <v>1</v>
      </c>
      <c r="I65" s="17" t="s">
        <v>12</v>
      </c>
      <c r="J65" s="13" t="s">
        <v>16</v>
      </c>
    </row>
    <row r="66" spans="1:10" ht="21" customHeight="1" x14ac:dyDescent="0.25">
      <c r="A66" s="12" t="str">
        <f>A65</f>
        <v>ЩО.2 (Блок 6)</v>
      </c>
      <c r="B66" s="13" t="s">
        <v>11</v>
      </c>
      <c r="C66" s="14" t="s">
        <v>53</v>
      </c>
      <c r="D66" s="12" t="s">
        <v>54</v>
      </c>
      <c r="E66" s="13">
        <v>783</v>
      </c>
      <c r="F66" s="15">
        <f>E66*0.6</f>
        <v>469.79999999999995</v>
      </c>
      <c r="G66" s="15">
        <f>F66*H66</f>
        <v>2818.7999999999997</v>
      </c>
      <c r="H66" s="16">
        <v>6</v>
      </c>
      <c r="I66" s="17" t="s">
        <v>12</v>
      </c>
      <c r="J66" s="13" t="s">
        <v>16</v>
      </c>
    </row>
    <row r="67" spans="1:10" ht="24" customHeight="1" x14ac:dyDescent="0.25">
      <c r="A67" s="12" t="str">
        <f>A66</f>
        <v>ЩО.2 (Блок 6)</v>
      </c>
      <c r="B67" s="12" t="s">
        <v>9</v>
      </c>
      <c r="C67" s="18" t="s">
        <v>9</v>
      </c>
      <c r="D67" s="12" t="s">
        <v>9</v>
      </c>
      <c r="E67" s="12">
        <f ca="1">OFFSET(E67,1,2)</f>
        <v>0</v>
      </c>
      <c r="F67" s="15">
        <f ca="1">E67</f>
        <v>0</v>
      </c>
      <c r="G67" s="15">
        <f ca="1">F67*H67</f>
        <v>0</v>
      </c>
      <c r="H67" s="12">
        <v>1</v>
      </c>
      <c r="I67" s="12" t="s">
        <v>12</v>
      </c>
      <c r="J67" s="12" t="s">
        <v>9</v>
      </c>
    </row>
    <row r="68" spans="1:10" ht="21" customHeight="1" x14ac:dyDescent="0.25">
      <c r="A68" s="12" t="str">
        <f>A67</f>
        <v>ЩО.2 (Блок 6)</v>
      </c>
      <c r="B68" s="12" t="s">
        <v>10</v>
      </c>
      <c r="C68" s="18" t="s">
        <v>10</v>
      </c>
      <c r="D68" s="12" t="s">
        <v>10</v>
      </c>
      <c r="E68" s="12"/>
      <c r="F68" s="15">
        <v>100</v>
      </c>
      <c r="G68" s="15">
        <f>60*E68*F68</f>
        <v>0</v>
      </c>
      <c r="H68" s="12">
        <f>60*E68</f>
        <v>0</v>
      </c>
      <c r="I68" s="12" t="s">
        <v>12</v>
      </c>
      <c r="J68" s="12" t="s">
        <v>10</v>
      </c>
    </row>
    <row r="69" spans="1:10" ht="30" customHeight="1" x14ac:dyDescent="0.25">
      <c r="A69" s="12" t="str">
        <f>A68</f>
        <v>ЩО.2 (Блок 6)</v>
      </c>
      <c r="B69" s="19"/>
      <c r="C69" s="20"/>
      <c r="D69" s="21"/>
      <c r="E69" s="23"/>
      <c r="F69" s="25"/>
      <c r="G69" s="24">
        <f ca="1">SUM(G64:G68)</f>
        <v>4276.2</v>
      </c>
      <c r="H69" s="20"/>
      <c r="I69" s="22"/>
      <c r="J69" s="20"/>
    </row>
    <row r="70" spans="1:10" ht="39.75" customHeight="1" x14ac:dyDescent="0.25">
      <c r="A70" s="5" t="str">
        <f>D70</f>
        <v>ЩО.3 (Блок 6)</v>
      </c>
      <c r="B70" s="6"/>
      <c r="C70" s="7"/>
      <c r="D70" s="6" t="s">
        <v>539</v>
      </c>
      <c r="E70" s="8"/>
      <c r="F70" s="8" t="s">
        <v>73</v>
      </c>
      <c r="G70" s="9"/>
      <c r="H70" s="10">
        <v>1</v>
      </c>
      <c r="I70" s="11" t="s">
        <v>6</v>
      </c>
      <c r="J70" s="6" t="s">
        <v>8</v>
      </c>
    </row>
    <row r="71" spans="1:10" ht="21" customHeight="1" x14ac:dyDescent="0.25">
      <c r="A71" s="12" t="str">
        <f>A70</f>
        <v>ЩО.3 (Блок 6)</v>
      </c>
      <c r="B71" s="13" t="s">
        <v>7</v>
      </c>
      <c r="C71" s="14" t="s">
        <v>459</v>
      </c>
      <c r="D71" s="12" t="s">
        <v>460</v>
      </c>
      <c r="E71" s="13">
        <v>6300</v>
      </c>
      <c r="F71" s="15">
        <f>E71*0.6</f>
        <v>3780</v>
      </c>
      <c r="G71" s="15">
        <f>H71*F71</f>
        <v>3780</v>
      </c>
      <c r="H71" s="16">
        <v>1</v>
      </c>
      <c r="I71" s="17" t="s">
        <v>12</v>
      </c>
      <c r="J71" s="13" t="s">
        <v>15</v>
      </c>
    </row>
    <row r="72" spans="1:10" ht="21" customHeight="1" x14ac:dyDescent="0.25">
      <c r="A72" s="12" t="str">
        <f>A70</f>
        <v>ЩО.3 (Блок 6)</v>
      </c>
      <c r="B72" s="13" t="s">
        <v>11</v>
      </c>
      <c r="C72" s="14" t="s">
        <v>20</v>
      </c>
      <c r="D72" s="12" t="s">
        <v>21</v>
      </c>
      <c r="E72" s="13">
        <v>2429</v>
      </c>
      <c r="F72" s="15">
        <f>E72*0.6</f>
        <v>1457.3999999999999</v>
      </c>
      <c r="G72" s="15">
        <f>F72*H72</f>
        <v>1457.3999999999999</v>
      </c>
      <c r="H72" s="16">
        <v>1</v>
      </c>
      <c r="I72" s="17" t="s">
        <v>12</v>
      </c>
      <c r="J72" s="13" t="s">
        <v>16</v>
      </c>
    </row>
    <row r="73" spans="1:10" ht="21" customHeight="1" x14ac:dyDescent="0.25">
      <c r="A73" s="12" t="str">
        <f>A72</f>
        <v>ЩО.3 (Блок 6)</v>
      </c>
      <c r="B73" s="13" t="s">
        <v>11</v>
      </c>
      <c r="C73" s="14" t="s">
        <v>53</v>
      </c>
      <c r="D73" s="12" t="s">
        <v>54</v>
      </c>
      <c r="E73" s="13">
        <v>783</v>
      </c>
      <c r="F73" s="15">
        <f>E73*0.6</f>
        <v>469.79999999999995</v>
      </c>
      <c r="G73" s="15">
        <f>F73*H73</f>
        <v>3758.3999999999996</v>
      </c>
      <c r="H73" s="16">
        <v>8</v>
      </c>
      <c r="I73" s="17" t="s">
        <v>12</v>
      </c>
      <c r="J73" s="13" t="s">
        <v>16</v>
      </c>
    </row>
    <row r="74" spans="1:10" ht="24" customHeight="1" x14ac:dyDescent="0.25">
      <c r="A74" s="12" t="str">
        <f>A73</f>
        <v>ЩО.3 (Блок 6)</v>
      </c>
      <c r="B74" s="12" t="s">
        <v>9</v>
      </c>
      <c r="C74" s="18" t="s">
        <v>9</v>
      </c>
      <c r="D74" s="12" t="s">
        <v>9</v>
      </c>
      <c r="E74" s="12">
        <f ca="1">OFFSET(E74,1,2)</f>
        <v>0</v>
      </c>
      <c r="F74" s="15">
        <f ca="1">E74</f>
        <v>0</v>
      </c>
      <c r="G74" s="15">
        <f ca="1">F74*H74</f>
        <v>0</v>
      </c>
      <c r="H74" s="12">
        <v>1</v>
      </c>
      <c r="I74" s="12" t="s">
        <v>12</v>
      </c>
      <c r="J74" s="12" t="s">
        <v>9</v>
      </c>
    </row>
    <row r="75" spans="1:10" ht="21" customHeight="1" x14ac:dyDescent="0.25">
      <c r="A75" s="12" t="str">
        <f>A74</f>
        <v>ЩО.3 (Блок 6)</v>
      </c>
      <c r="B75" s="12" t="s">
        <v>10</v>
      </c>
      <c r="C75" s="18" t="s">
        <v>10</v>
      </c>
      <c r="D75" s="12" t="s">
        <v>10</v>
      </c>
      <c r="E75" s="12"/>
      <c r="F75" s="15">
        <v>100</v>
      </c>
      <c r="G75" s="15">
        <f>60*E75*F75</f>
        <v>0</v>
      </c>
      <c r="H75" s="12">
        <f>60*E75</f>
        <v>0</v>
      </c>
      <c r="I75" s="12" t="s">
        <v>12</v>
      </c>
      <c r="J75" s="12" t="s">
        <v>10</v>
      </c>
    </row>
    <row r="76" spans="1:10" ht="30" customHeight="1" x14ac:dyDescent="0.25">
      <c r="A76" s="12" t="str">
        <f>A75</f>
        <v>ЩО.3 (Блок 6)</v>
      </c>
      <c r="B76" s="19"/>
      <c r="C76" s="20"/>
      <c r="D76" s="21"/>
      <c r="E76" s="23"/>
      <c r="F76" s="25"/>
      <c r="G76" s="24">
        <f ca="1">SUM(G71:G75)</f>
        <v>8995.7999999999993</v>
      </c>
      <c r="H76" s="20"/>
      <c r="I76" s="22"/>
      <c r="J76" s="20"/>
    </row>
    <row r="77" spans="1:10" ht="39.75" customHeight="1" x14ac:dyDescent="0.25">
      <c r="A77" s="5" t="str">
        <f>D77</f>
        <v>ЩО(Г) (Блок 6)</v>
      </c>
      <c r="B77" s="6"/>
      <c r="C77" s="7"/>
      <c r="D77" s="6" t="s">
        <v>540</v>
      </c>
      <c r="E77" s="8"/>
      <c r="F77" s="8" t="s">
        <v>73</v>
      </c>
      <c r="G77" s="9"/>
      <c r="H77" s="10">
        <v>1</v>
      </c>
      <c r="I77" s="11" t="s">
        <v>6</v>
      </c>
      <c r="J77" s="6" t="s">
        <v>8</v>
      </c>
    </row>
    <row r="78" spans="1:10" ht="21" customHeight="1" x14ac:dyDescent="0.25">
      <c r="A78" s="12" t="str">
        <f>A77</f>
        <v>ЩО(Г) (Блок 6)</v>
      </c>
      <c r="B78" s="13" t="s">
        <v>7</v>
      </c>
      <c r="C78" s="14" t="s">
        <v>459</v>
      </c>
      <c r="D78" s="12" t="s">
        <v>460</v>
      </c>
      <c r="E78" s="13">
        <v>6300</v>
      </c>
      <c r="F78" s="15">
        <f>E78*0.6</f>
        <v>3780</v>
      </c>
      <c r="G78" s="15">
        <f>H78*F78</f>
        <v>3780</v>
      </c>
      <c r="H78" s="16">
        <v>1</v>
      </c>
      <c r="I78" s="17" t="s">
        <v>12</v>
      </c>
      <c r="J78" s="13" t="s">
        <v>15</v>
      </c>
    </row>
    <row r="79" spans="1:10" ht="21" customHeight="1" x14ac:dyDescent="0.25">
      <c r="A79" s="12" t="str">
        <f>A78</f>
        <v>ЩО(Г) (Блок 6)</v>
      </c>
      <c r="B79" s="13" t="s">
        <v>11</v>
      </c>
      <c r="C79" s="14" t="s">
        <v>20</v>
      </c>
      <c r="D79" s="12" t="s">
        <v>21</v>
      </c>
      <c r="E79" s="13">
        <v>2429</v>
      </c>
      <c r="F79" s="15">
        <f>E79*0.6</f>
        <v>1457.3999999999999</v>
      </c>
      <c r="G79" s="15">
        <f>F79*H79</f>
        <v>1457.3999999999999</v>
      </c>
      <c r="H79" s="16">
        <v>1</v>
      </c>
      <c r="I79" s="17" t="s">
        <v>12</v>
      </c>
      <c r="J79" s="13" t="s">
        <v>16</v>
      </c>
    </row>
    <row r="80" spans="1:10" ht="21" customHeight="1" x14ac:dyDescent="0.25">
      <c r="A80" s="12" t="str">
        <f>A79</f>
        <v>ЩО(Г) (Блок 6)</v>
      </c>
      <c r="B80" s="13" t="s">
        <v>11</v>
      </c>
      <c r="C80" s="14" t="s">
        <v>53</v>
      </c>
      <c r="D80" s="12" t="s">
        <v>54</v>
      </c>
      <c r="E80" s="13">
        <v>783</v>
      </c>
      <c r="F80" s="15">
        <f>E80*0.6</f>
        <v>469.79999999999995</v>
      </c>
      <c r="G80" s="15">
        <f>F80*H80</f>
        <v>5167.7999999999993</v>
      </c>
      <c r="H80" s="16">
        <v>11</v>
      </c>
      <c r="I80" s="17" t="s">
        <v>12</v>
      </c>
      <c r="J80" s="13" t="s">
        <v>16</v>
      </c>
    </row>
    <row r="81" spans="1:10" ht="24" customHeight="1" x14ac:dyDescent="0.25">
      <c r="A81" s="12" t="str">
        <f>A80</f>
        <v>ЩО(Г) (Блок 6)</v>
      </c>
      <c r="B81" s="12" t="s">
        <v>9</v>
      </c>
      <c r="C81" s="18" t="s">
        <v>9</v>
      </c>
      <c r="D81" s="12" t="s">
        <v>9</v>
      </c>
      <c r="E81" s="12">
        <f ca="1">OFFSET(E81,1,2)</f>
        <v>0</v>
      </c>
      <c r="F81" s="15">
        <f ca="1">E81</f>
        <v>0</v>
      </c>
      <c r="G81" s="15">
        <f ca="1">F81*H81</f>
        <v>0</v>
      </c>
      <c r="H81" s="12">
        <v>1</v>
      </c>
      <c r="I81" s="12" t="s">
        <v>12</v>
      </c>
      <c r="J81" s="12" t="s">
        <v>9</v>
      </c>
    </row>
    <row r="82" spans="1:10" ht="21" customHeight="1" x14ac:dyDescent="0.25">
      <c r="A82" s="12" t="str">
        <f>A81</f>
        <v>ЩО(Г) (Блок 6)</v>
      </c>
      <c r="B82" s="12" t="s">
        <v>10</v>
      </c>
      <c r="C82" s="18" t="s">
        <v>10</v>
      </c>
      <c r="D82" s="12" t="s">
        <v>10</v>
      </c>
      <c r="E82" s="12"/>
      <c r="F82" s="15">
        <v>100</v>
      </c>
      <c r="G82" s="15">
        <f>60*E82*F82</f>
        <v>0</v>
      </c>
      <c r="H82" s="12">
        <f>60*E82</f>
        <v>0</v>
      </c>
      <c r="I82" s="12" t="s">
        <v>12</v>
      </c>
      <c r="J82" s="12" t="s">
        <v>10</v>
      </c>
    </row>
    <row r="83" spans="1:10" ht="30" customHeight="1" x14ac:dyDescent="0.25">
      <c r="A83" s="12" t="str">
        <f>A82</f>
        <v>ЩО(Г) (Блок 6)</v>
      </c>
      <c r="B83" s="19"/>
      <c r="C83" s="20"/>
      <c r="D83" s="21"/>
      <c r="E83" s="23"/>
      <c r="F83" s="25"/>
      <c r="G83" s="24">
        <f ca="1">SUM(G78:G82)</f>
        <v>10405.199999999999</v>
      </c>
      <c r="H83" s="20"/>
      <c r="I83" s="22"/>
      <c r="J83" s="20"/>
    </row>
    <row r="84" spans="1:10" ht="39.75" customHeight="1" x14ac:dyDescent="0.25">
      <c r="A84" s="5" t="str">
        <f>D84</f>
        <v>ЩАО1 (Блок 6)</v>
      </c>
      <c r="B84" s="6"/>
      <c r="C84" s="7"/>
      <c r="D84" s="6" t="s">
        <v>541</v>
      </c>
      <c r="E84" s="8"/>
      <c r="F84" s="8" t="s">
        <v>73</v>
      </c>
      <c r="G84" s="9"/>
      <c r="H84" s="10">
        <v>1</v>
      </c>
      <c r="I84" s="11" t="s">
        <v>6</v>
      </c>
      <c r="J84" s="6" t="s">
        <v>8</v>
      </c>
    </row>
    <row r="85" spans="1:10" ht="21" customHeight="1" x14ac:dyDescent="0.25">
      <c r="A85" s="12" t="str">
        <f>A84</f>
        <v>ЩАО1 (Блок 6)</v>
      </c>
      <c r="B85" s="13" t="s">
        <v>7</v>
      </c>
      <c r="C85" s="14" t="s">
        <v>459</v>
      </c>
      <c r="D85" s="12" t="s">
        <v>460</v>
      </c>
      <c r="E85" s="13">
        <v>6300</v>
      </c>
      <c r="F85" s="15">
        <f>E85*0.6</f>
        <v>3780</v>
      </c>
      <c r="G85" s="15">
        <f>H85*F85</f>
        <v>3780</v>
      </c>
      <c r="H85" s="16">
        <v>1</v>
      </c>
      <c r="I85" s="17" t="s">
        <v>12</v>
      </c>
      <c r="J85" s="13" t="s">
        <v>15</v>
      </c>
    </row>
    <row r="86" spans="1:10" ht="21" customHeight="1" x14ac:dyDescent="0.25">
      <c r="A86" s="12" t="str">
        <f>A85</f>
        <v>ЩАО1 (Блок 6)</v>
      </c>
      <c r="B86" s="13" t="s">
        <v>11</v>
      </c>
      <c r="C86" s="14" t="s">
        <v>20</v>
      </c>
      <c r="D86" s="12" t="s">
        <v>21</v>
      </c>
      <c r="E86" s="13">
        <v>2429</v>
      </c>
      <c r="F86" s="15">
        <f>E86*0.6</f>
        <v>1457.3999999999999</v>
      </c>
      <c r="G86" s="15">
        <f>F86*H86</f>
        <v>1457.3999999999999</v>
      </c>
      <c r="H86" s="16">
        <v>1</v>
      </c>
      <c r="I86" s="17" t="s">
        <v>12</v>
      </c>
      <c r="J86" s="13" t="s">
        <v>16</v>
      </c>
    </row>
    <row r="87" spans="1:10" ht="21" customHeight="1" x14ac:dyDescent="0.25">
      <c r="A87" s="12" t="str">
        <f>A86</f>
        <v>ЩАО1 (Блок 6)</v>
      </c>
      <c r="B87" s="13" t="s">
        <v>11</v>
      </c>
      <c r="C87" s="14" t="s">
        <v>53</v>
      </c>
      <c r="D87" s="12" t="s">
        <v>54</v>
      </c>
      <c r="E87" s="13">
        <v>783</v>
      </c>
      <c r="F87" s="15">
        <f>E87*0.6</f>
        <v>469.79999999999995</v>
      </c>
      <c r="G87" s="15">
        <f>F87*H87</f>
        <v>3758.3999999999996</v>
      </c>
      <c r="H87" s="16">
        <v>8</v>
      </c>
      <c r="I87" s="17" t="s">
        <v>12</v>
      </c>
      <c r="J87" s="13" t="s">
        <v>16</v>
      </c>
    </row>
    <row r="88" spans="1:10" ht="24" customHeight="1" x14ac:dyDescent="0.25">
      <c r="A88" s="12" t="str">
        <f>A87</f>
        <v>ЩАО1 (Блок 6)</v>
      </c>
      <c r="B88" s="12" t="s">
        <v>9</v>
      </c>
      <c r="C88" s="18" t="s">
        <v>9</v>
      </c>
      <c r="D88" s="12" t="s">
        <v>9</v>
      </c>
      <c r="E88" s="12">
        <f ca="1">OFFSET(E88,1,2)</f>
        <v>4200</v>
      </c>
      <c r="F88" s="15">
        <f ca="1">E88</f>
        <v>4200</v>
      </c>
      <c r="G88" s="15">
        <f ca="1">F88*H88</f>
        <v>4200</v>
      </c>
      <c r="H88" s="12">
        <v>1</v>
      </c>
      <c r="I88" s="12" t="s">
        <v>12</v>
      </c>
      <c r="J88" s="12" t="s">
        <v>9</v>
      </c>
    </row>
    <row r="89" spans="1:10" ht="21" customHeight="1" x14ac:dyDescent="0.25">
      <c r="A89" s="12" t="str">
        <f>A88</f>
        <v>ЩАО1 (Блок 6)</v>
      </c>
      <c r="B89" s="12" t="s">
        <v>10</v>
      </c>
      <c r="C89" s="18" t="s">
        <v>10</v>
      </c>
      <c r="D89" s="12" t="s">
        <v>10</v>
      </c>
      <c r="E89" s="12">
        <v>0.7</v>
      </c>
      <c r="F89" s="15">
        <v>100</v>
      </c>
      <c r="G89" s="15">
        <f>60*E89*F89</f>
        <v>4200</v>
      </c>
      <c r="H89" s="12">
        <f>60*E89</f>
        <v>42</v>
      </c>
      <c r="I89" s="12" t="s">
        <v>12</v>
      </c>
      <c r="J89" s="12" t="s">
        <v>10</v>
      </c>
    </row>
    <row r="90" spans="1:10" ht="30" customHeight="1" x14ac:dyDescent="0.25">
      <c r="A90" s="12" t="str">
        <f>A89</f>
        <v>ЩАО1 (Блок 6)</v>
      </c>
      <c r="B90" s="19"/>
      <c r="C90" s="20"/>
      <c r="D90" s="21"/>
      <c r="E90" s="23"/>
      <c r="F90" s="25"/>
      <c r="G90" s="24">
        <f ca="1">SUM(G85:G89)</f>
        <v>17395.8</v>
      </c>
      <c r="H90" s="20"/>
      <c r="I90" s="22"/>
      <c r="J90" s="20"/>
    </row>
    <row r="91" spans="1:10" ht="39.75" customHeight="1" x14ac:dyDescent="0.25">
      <c r="A91" s="5" t="str">
        <f>D91</f>
        <v>ЩАО2 (Блок 6)</v>
      </c>
      <c r="B91" s="6"/>
      <c r="C91" s="7"/>
      <c r="D91" s="6" t="s">
        <v>542</v>
      </c>
      <c r="E91" s="8"/>
      <c r="F91" s="8" t="s">
        <v>73</v>
      </c>
      <c r="G91" s="9"/>
      <c r="H91" s="10">
        <v>1</v>
      </c>
      <c r="I91" s="11" t="s">
        <v>6</v>
      </c>
      <c r="J91" s="6" t="s">
        <v>8</v>
      </c>
    </row>
    <row r="92" spans="1:10" ht="21" customHeight="1" x14ac:dyDescent="0.25">
      <c r="A92" s="12" t="str">
        <f>A91</f>
        <v>ЩАО2 (Блок 6)</v>
      </c>
      <c r="B92" s="13" t="s">
        <v>7</v>
      </c>
      <c r="C92" s="14" t="s">
        <v>459</v>
      </c>
      <c r="D92" s="12" t="s">
        <v>460</v>
      </c>
      <c r="E92" s="13">
        <v>6300</v>
      </c>
      <c r="F92" s="15">
        <f>E92*0.6</f>
        <v>3780</v>
      </c>
      <c r="G92" s="15">
        <f>H92*F92</f>
        <v>3780</v>
      </c>
      <c r="H92" s="16">
        <v>1</v>
      </c>
      <c r="I92" s="17" t="s">
        <v>12</v>
      </c>
      <c r="J92" s="13" t="s">
        <v>15</v>
      </c>
    </row>
    <row r="93" spans="1:10" ht="21" customHeight="1" x14ac:dyDescent="0.25">
      <c r="A93" s="12" t="str">
        <f>A92</f>
        <v>ЩАО2 (Блок 6)</v>
      </c>
      <c r="B93" s="13" t="s">
        <v>11</v>
      </c>
      <c r="C93" s="14" t="s">
        <v>20</v>
      </c>
      <c r="D93" s="12" t="s">
        <v>21</v>
      </c>
      <c r="E93" s="13">
        <v>2429</v>
      </c>
      <c r="F93" s="15">
        <f>E93*0.6</f>
        <v>1457.3999999999999</v>
      </c>
      <c r="G93" s="15">
        <f>F93*H93</f>
        <v>1457.3999999999999</v>
      </c>
      <c r="H93" s="16">
        <v>1</v>
      </c>
      <c r="I93" s="17" t="s">
        <v>12</v>
      </c>
      <c r="J93" s="13" t="s">
        <v>16</v>
      </c>
    </row>
    <row r="94" spans="1:10" ht="21" customHeight="1" x14ac:dyDescent="0.25">
      <c r="A94" s="12" t="str">
        <f>A93</f>
        <v>ЩАО2 (Блок 6)</v>
      </c>
      <c r="B94" s="13" t="s">
        <v>11</v>
      </c>
      <c r="C94" s="14" t="s">
        <v>53</v>
      </c>
      <c r="D94" s="12" t="s">
        <v>54</v>
      </c>
      <c r="E94" s="13">
        <v>783</v>
      </c>
      <c r="F94" s="15">
        <f>E94*0.6</f>
        <v>469.79999999999995</v>
      </c>
      <c r="G94" s="15">
        <f>F94*H94</f>
        <v>3758.3999999999996</v>
      </c>
      <c r="H94" s="16">
        <v>8</v>
      </c>
      <c r="I94" s="17" t="s">
        <v>12</v>
      </c>
      <c r="J94" s="13" t="s">
        <v>16</v>
      </c>
    </row>
    <row r="95" spans="1:10" ht="24" customHeight="1" x14ac:dyDescent="0.25">
      <c r="A95" s="12" t="str">
        <f>A94</f>
        <v>ЩАО2 (Блок 6)</v>
      </c>
      <c r="B95" s="12" t="s">
        <v>9</v>
      </c>
      <c r="C95" s="18" t="s">
        <v>9</v>
      </c>
      <c r="D95" s="12" t="s">
        <v>9</v>
      </c>
      <c r="E95" s="12">
        <f ca="1">OFFSET(E95,1,2)</f>
        <v>4200</v>
      </c>
      <c r="F95" s="15">
        <f ca="1">E95</f>
        <v>4200</v>
      </c>
      <c r="G95" s="15">
        <f ca="1">F95*H95</f>
        <v>4200</v>
      </c>
      <c r="H95" s="12">
        <v>1</v>
      </c>
      <c r="I95" s="12" t="s">
        <v>12</v>
      </c>
      <c r="J95" s="12" t="s">
        <v>9</v>
      </c>
    </row>
    <row r="96" spans="1:10" ht="21" customHeight="1" x14ac:dyDescent="0.25">
      <c r="A96" s="12" t="str">
        <f>A95</f>
        <v>ЩАО2 (Блок 6)</v>
      </c>
      <c r="B96" s="12" t="s">
        <v>10</v>
      </c>
      <c r="C96" s="18" t="s">
        <v>10</v>
      </c>
      <c r="D96" s="12" t="s">
        <v>10</v>
      </c>
      <c r="E96" s="12">
        <v>0.7</v>
      </c>
      <c r="F96" s="15">
        <v>100</v>
      </c>
      <c r="G96" s="15">
        <f>60*E96*F96</f>
        <v>4200</v>
      </c>
      <c r="H96" s="12">
        <f>60*E96</f>
        <v>42</v>
      </c>
      <c r="I96" s="12" t="s">
        <v>12</v>
      </c>
      <c r="J96" s="12" t="s">
        <v>10</v>
      </c>
    </row>
    <row r="97" spans="1:10" ht="30" customHeight="1" x14ac:dyDescent="0.25">
      <c r="A97" s="12" t="str">
        <f>A96</f>
        <v>ЩАО2 (Блок 6)</v>
      </c>
      <c r="B97" s="19"/>
      <c r="C97" s="20"/>
      <c r="D97" s="21"/>
      <c r="E97" s="23"/>
      <c r="F97" s="25"/>
      <c r="G97" s="24">
        <f ca="1">SUM(G92:G96)</f>
        <v>17395.8</v>
      </c>
      <c r="H97" s="20"/>
      <c r="I97" s="22"/>
      <c r="J97" s="20"/>
    </row>
    <row r="98" spans="1:10" ht="39.75" customHeight="1" x14ac:dyDescent="0.25">
      <c r="A98" s="5" t="str">
        <f>D98</f>
        <v>ЩАО3 (Блок 6)</v>
      </c>
      <c r="B98" s="6"/>
      <c r="C98" s="7"/>
      <c r="D98" s="6" t="s">
        <v>543</v>
      </c>
      <c r="E98" s="8"/>
      <c r="F98" s="8" t="s">
        <v>73</v>
      </c>
      <c r="G98" s="9"/>
      <c r="H98" s="10">
        <v>1</v>
      </c>
      <c r="I98" s="11" t="s">
        <v>6</v>
      </c>
      <c r="J98" s="6" t="s">
        <v>8</v>
      </c>
    </row>
    <row r="99" spans="1:10" ht="21" customHeight="1" x14ac:dyDescent="0.25">
      <c r="A99" s="12" t="str">
        <f>A98</f>
        <v>ЩАО3 (Блок 6)</v>
      </c>
      <c r="B99" s="13" t="s">
        <v>7</v>
      </c>
      <c r="C99" s="14" t="s">
        <v>459</v>
      </c>
      <c r="D99" s="12" t="s">
        <v>460</v>
      </c>
      <c r="E99" s="13">
        <v>6300</v>
      </c>
      <c r="F99" s="15">
        <f>E99*0.6</f>
        <v>3780</v>
      </c>
      <c r="G99" s="15">
        <f>H99*F99</f>
        <v>3780</v>
      </c>
      <c r="H99" s="16">
        <v>1</v>
      </c>
      <c r="I99" s="17" t="s">
        <v>12</v>
      </c>
      <c r="J99" s="13" t="s">
        <v>15</v>
      </c>
    </row>
    <row r="100" spans="1:10" ht="21" customHeight="1" x14ac:dyDescent="0.25">
      <c r="A100" s="12" t="str">
        <f>A99</f>
        <v>ЩАО3 (Блок 6)</v>
      </c>
      <c r="B100" s="13" t="s">
        <v>11</v>
      </c>
      <c r="C100" s="14" t="s">
        <v>20</v>
      </c>
      <c r="D100" s="12" t="s">
        <v>21</v>
      </c>
      <c r="E100" s="13">
        <v>2429</v>
      </c>
      <c r="F100" s="15">
        <f>E100*0.6</f>
        <v>1457.3999999999999</v>
      </c>
      <c r="G100" s="15">
        <f>F100*H100</f>
        <v>1457.3999999999999</v>
      </c>
      <c r="H100" s="16">
        <v>1</v>
      </c>
      <c r="I100" s="17" t="s">
        <v>12</v>
      </c>
      <c r="J100" s="13" t="s">
        <v>16</v>
      </c>
    </row>
    <row r="101" spans="1:10" ht="21" customHeight="1" x14ac:dyDescent="0.25">
      <c r="A101" s="12" t="str">
        <f>A100</f>
        <v>ЩАО3 (Блок 6)</v>
      </c>
      <c r="B101" s="13" t="s">
        <v>11</v>
      </c>
      <c r="C101" s="14" t="s">
        <v>53</v>
      </c>
      <c r="D101" s="12" t="s">
        <v>54</v>
      </c>
      <c r="E101" s="13">
        <v>783</v>
      </c>
      <c r="F101" s="15">
        <f>E101*0.6</f>
        <v>469.79999999999995</v>
      </c>
      <c r="G101" s="15">
        <f>F101*H101</f>
        <v>2349</v>
      </c>
      <c r="H101" s="16">
        <v>5</v>
      </c>
      <c r="I101" s="17" t="s">
        <v>12</v>
      </c>
      <c r="J101" s="13" t="s">
        <v>16</v>
      </c>
    </row>
    <row r="102" spans="1:10" ht="24" customHeight="1" x14ac:dyDescent="0.25">
      <c r="A102" s="12" t="str">
        <f>A101</f>
        <v>ЩАО3 (Блок 6)</v>
      </c>
      <c r="B102" s="12" t="s">
        <v>9</v>
      </c>
      <c r="C102" s="18" t="s">
        <v>9</v>
      </c>
      <c r="D102" s="12" t="s">
        <v>9</v>
      </c>
      <c r="E102" s="12">
        <f ca="1">OFFSET(E102,1,2)</f>
        <v>4200</v>
      </c>
      <c r="F102" s="15">
        <f ca="1">E102</f>
        <v>4200</v>
      </c>
      <c r="G102" s="15">
        <f ca="1">F102*H102</f>
        <v>4200</v>
      </c>
      <c r="H102" s="12">
        <v>1</v>
      </c>
      <c r="I102" s="12" t="s">
        <v>12</v>
      </c>
      <c r="J102" s="12" t="s">
        <v>9</v>
      </c>
    </row>
    <row r="103" spans="1:10" ht="21" customHeight="1" x14ac:dyDescent="0.25">
      <c r="A103" s="12" t="str">
        <f>A102</f>
        <v>ЩАО3 (Блок 6)</v>
      </c>
      <c r="B103" s="12" t="s">
        <v>10</v>
      </c>
      <c r="C103" s="18" t="s">
        <v>10</v>
      </c>
      <c r="D103" s="12" t="s">
        <v>10</v>
      </c>
      <c r="E103" s="12">
        <v>0.7</v>
      </c>
      <c r="F103" s="15">
        <v>100</v>
      </c>
      <c r="G103" s="15">
        <f>60*E103*F103</f>
        <v>4200</v>
      </c>
      <c r="H103" s="12">
        <f>60*E103</f>
        <v>42</v>
      </c>
      <c r="I103" s="12" t="s">
        <v>12</v>
      </c>
      <c r="J103" s="12" t="s">
        <v>10</v>
      </c>
    </row>
    <row r="104" spans="1:10" ht="30" customHeight="1" x14ac:dyDescent="0.25">
      <c r="A104" s="12" t="str">
        <f>A103</f>
        <v>ЩАО3 (Блок 6)</v>
      </c>
      <c r="B104" s="19"/>
      <c r="C104" s="20"/>
      <c r="D104" s="21"/>
      <c r="E104" s="23"/>
      <c r="F104" s="25"/>
      <c r="G104" s="24">
        <f ca="1">SUM(G99:G103)</f>
        <v>15986.4</v>
      </c>
      <c r="H104" s="20"/>
      <c r="I104" s="22"/>
      <c r="J104" s="20"/>
    </row>
    <row r="105" spans="1:10" ht="39.75" customHeight="1" x14ac:dyDescent="0.25">
      <c r="A105" s="5" t="str">
        <f>D105</f>
        <v>ЩАОГ (Блок 6))</v>
      </c>
      <c r="B105" s="6"/>
      <c r="C105" s="7"/>
      <c r="D105" s="6" t="s">
        <v>544</v>
      </c>
      <c r="E105" s="8"/>
      <c r="F105" s="8" t="s">
        <v>73</v>
      </c>
      <c r="G105" s="9"/>
      <c r="H105" s="10">
        <v>1</v>
      </c>
      <c r="I105" s="11" t="s">
        <v>6</v>
      </c>
      <c r="J105" s="6" t="s">
        <v>8</v>
      </c>
    </row>
    <row r="106" spans="1:10" ht="21" customHeight="1" x14ac:dyDescent="0.25">
      <c r="A106" s="12" t="str">
        <f>A105</f>
        <v>ЩАОГ (Блок 6))</v>
      </c>
      <c r="B106" s="13" t="s">
        <v>7</v>
      </c>
      <c r="C106" s="14" t="s">
        <v>459</v>
      </c>
      <c r="D106" s="12" t="s">
        <v>460</v>
      </c>
      <c r="E106" s="13">
        <v>6300</v>
      </c>
      <c r="F106" s="15">
        <f>E106*0.6</f>
        <v>3780</v>
      </c>
      <c r="G106" s="15">
        <f>H106*F106</f>
        <v>3780</v>
      </c>
      <c r="H106" s="16">
        <v>1</v>
      </c>
      <c r="I106" s="17" t="s">
        <v>12</v>
      </c>
      <c r="J106" s="13" t="s">
        <v>15</v>
      </c>
    </row>
    <row r="107" spans="1:10" ht="21" customHeight="1" x14ac:dyDescent="0.25">
      <c r="A107" s="12" t="str">
        <f>A106</f>
        <v>ЩАОГ (Блок 6))</v>
      </c>
      <c r="B107" s="13" t="s">
        <v>11</v>
      </c>
      <c r="C107" s="14" t="s">
        <v>20</v>
      </c>
      <c r="D107" s="12" t="s">
        <v>21</v>
      </c>
      <c r="E107" s="13">
        <v>2429</v>
      </c>
      <c r="F107" s="15">
        <f>E107*0.6</f>
        <v>1457.3999999999999</v>
      </c>
      <c r="G107" s="15">
        <f>F107*H107</f>
        <v>1457.3999999999999</v>
      </c>
      <c r="H107" s="16">
        <v>1</v>
      </c>
      <c r="I107" s="17" t="s">
        <v>12</v>
      </c>
      <c r="J107" s="13" t="s">
        <v>16</v>
      </c>
    </row>
    <row r="108" spans="1:10" ht="21" customHeight="1" x14ac:dyDescent="0.25">
      <c r="A108" s="12" t="str">
        <f>A107</f>
        <v>ЩАОГ (Блок 6))</v>
      </c>
      <c r="B108" s="13" t="s">
        <v>11</v>
      </c>
      <c r="C108" s="14" t="s">
        <v>53</v>
      </c>
      <c r="D108" s="12" t="s">
        <v>54</v>
      </c>
      <c r="E108" s="13">
        <v>783</v>
      </c>
      <c r="F108" s="15">
        <f>E108*0.6</f>
        <v>469.79999999999995</v>
      </c>
      <c r="G108" s="15">
        <f>F108*H108</f>
        <v>2349</v>
      </c>
      <c r="H108" s="16">
        <v>5</v>
      </c>
      <c r="I108" s="17" t="s">
        <v>12</v>
      </c>
      <c r="J108" s="13" t="s">
        <v>16</v>
      </c>
    </row>
    <row r="109" spans="1:10" ht="24" customHeight="1" x14ac:dyDescent="0.25">
      <c r="A109" s="12" t="str">
        <f>A108</f>
        <v>ЩАОГ (Блок 6))</v>
      </c>
      <c r="B109" s="12" t="s">
        <v>9</v>
      </c>
      <c r="C109" s="18" t="s">
        <v>9</v>
      </c>
      <c r="D109" s="12" t="s">
        <v>9</v>
      </c>
      <c r="E109" s="12">
        <f ca="1">OFFSET(E109,1,2)</f>
        <v>4200</v>
      </c>
      <c r="F109" s="15">
        <f ca="1">E109</f>
        <v>4200</v>
      </c>
      <c r="G109" s="15">
        <f ca="1">F109*H109</f>
        <v>4200</v>
      </c>
      <c r="H109" s="12">
        <v>1</v>
      </c>
      <c r="I109" s="12" t="s">
        <v>12</v>
      </c>
      <c r="J109" s="12" t="s">
        <v>9</v>
      </c>
    </row>
    <row r="110" spans="1:10" ht="21" customHeight="1" x14ac:dyDescent="0.25">
      <c r="A110" s="12" t="str">
        <f>A109</f>
        <v>ЩАОГ (Блок 6))</v>
      </c>
      <c r="B110" s="12" t="s">
        <v>10</v>
      </c>
      <c r="C110" s="18" t="s">
        <v>10</v>
      </c>
      <c r="D110" s="12" t="s">
        <v>10</v>
      </c>
      <c r="E110" s="12">
        <v>0.7</v>
      </c>
      <c r="F110" s="15">
        <v>100</v>
      </c>
      <c r="G110" s="15">
        <f>60*E110*F110</f>
        <v>4200</v>
      </c>
      <c r="H110" s="12">
        <f>60*E110</f>
        <v>42</v>
      </c>
      <c r="I110" s="12" t="s">
        <v>12</v>
      </c>
      <c r="J110" s="12" t="s">
        <v>10</v>
      </c>
    </row>
    <row r="111" spans="1:10" ht="30" customHeight="1" x14ac:dyDescent="0.25">
      <c r="A111" s="12" t="str">
        <f>A110</f>
        <v>ЩАОГ (Блок 6))</v>
      </c>
      <c r="B111" s="19"/>
      <c r="C111" s="20"/>
      <c r="D111" s="21"/>
      <c r="E111" s="23"/>
      <c r="F111" s="25"/>
      <c r="G111" s="24">
        <f ca="1">SUM(G106:G110)</f>
        <v>15986.4</v>
      </c>
      <c r="H111" s="20"/>
      <c r="I111" s="22"/>
      <c r="J111" s="20"/>
    </row>
    <row r="112" spans="1:10" ht="39.75" customHeight="1" x14ac:dyDescent="0.25">
      <c r="A112" s="5" t="str">
        <f>D112</f>
        <v>ЩСВ.1 (Блок 6)</v>
      </c>
      <c r="B112" s="6"/>
      <c r="C112" s="7"/>
      <c r="D112" s="6" t="s">
        <v>545</v>
      </c>
      <c r="E112" s="8"/>
      <c r="F112" s="8" t="s">
        <v>73</v>
      </c>
      <c r="G112" s="9"/>
      <c r="H112" s="10">
        <v>1</v>
      </c>
      <c r="I112" s="11" t="s">
        <v>6</v>
      </c>
      <c r="J112" s="6" t="s">
        <v>8</v>
      </c>
    </row>
    <row r="113" spans="1:10" ht="21" customHeight="1" x14ac:dyDescent="0.25">
      <c r="A113" s="12" t="str">
        <f>A112</f>
        <v>ЩСВ.1 (Блок 6)</v>
      </c>
      <c r="B113" s="13" t="s">
        <v>7</v>
      </c>
      <c r="C113" s="14" t="s">
        <v>472</v>
      </c>
      <c r="D113" s="12" t="s">
        <v>473</v>
      </c>
      <c r="E113" s="13">
        <v>15210</v>
      </c>
      <c r="F113" s="15">
        <f>E113*0.6</f>
        <v>9126</v>
      </c>
      <c r="G113" s="15">
        <f>H113*F113</f>
        <v>9126</v>
      </c>
      <c r="H113" s="16">
        <v>1</v>
      </c>
      <c r="I113" s="17" t="s">
        <v>12</v>
      </c>
      <c r="J113" s="13" t="s">
        <v>15</v>
      </c>
    </row>
    <row r="114" spans="1:10" ht="21" customHeight="1" x14ac:dyDescent="0.25">
      <c r="A114" s="12" t="str">
        <f>A113</f>
        <v>ЩСВ.1 (Блок 6)</v>
      </c>
      <c r="B114" s="13" t="s">
        <v>11</v>
      </c>
      <c r="C114" s="14" t="s">
        <v>29</v>
      </c>
      <c r="D114" s="12" t="s">
        <v>30</v>
      </c>
      <c r="E114" s="13">
        <v>3172</v>
      </c>
      <c r="F114" s="15">
        <f>E114*0.6</f>
        <v>1903.1999999999998</v>
      </c>
      <c r="G114" s="15">
        <f>F114*H114</f>
        <v>1903.1999999999998</v>
      </c>
      <c r="H114" s="16">
        <v>1</v>
      </c>
      <c r="I114" s="17" t="s">
        <v>12</v>
      </c>
      <c r="J114" s="13" t="s">
        <v>16</v>
      </c>
    </row>
    <row r="115" spans="1:10" ht="21" customHeight="1" x14ac:dyDescent="0.25">
      <c r="A115" s="12" t="str">
        <f>A114</f>
        <v>ЩСВ.1 (Блок 6)</v>
      </c>
      <c r="B115" s="13" t="s">
        <v>47</v>
      </c>
      <c r="C115" s="14" t="s">
        <v>45</v>
      </c>
      <c r="D115" s="12" t="s">
        <v>46</v>
      </c>
      <c r="E115" s="13">
        <v>5354</v>
      </c>
      <c r="F115" s="15">
        <f>E115*0.6</f>
        <v>3212.4</v>
      </c>
      <c r="G115" s="15">
        <f>F115*H115</f>
        <v>3212.4</v>
      </c>
      <c r="H115" s="16">
        <v>1</v>
      </c>
      <c r="I115" s="17" t="s">
        <v>12</v>
      </c>
      <c r="J115" s="13" t="s">
        <v>16</v>
      </c>
    </row>
    <row r="116" spans="1:10" ht="21" customHeight="1" x14ac:dyDescent="0.25">
      <c r="A116" s="12" t="str">
        <f>A114</f>
        <v>ЩСВ.1 (Блок 6)</v>
      </c>
      <c r="B116" s="13" t="s">
        <v>11</v>
      </c>
      <c r="C116" s="14" t="s">
        <v>20</v>
      </c>
      <c r="D116" s="12" t="s">
        <v>21</v>
      </c>
      <c r="E116" s="13">
        <v>2429</v>
      </c>
      <c r="F116" s="15">
        <f>E116*0.6</f>
        <v>1457.3999999999999</v>
      </c>
      <c r="G116" s="15">
        <f>F116*H116</f>
        <v>8744.4</v>
      </c>
      <c r="H116" s="16">
        <v>6</v>
      </c>
      <c r="I116" s="17" t="s">
        <v>12</v>
      </c>
      <c r="J116" s="13" t="s">
        <v>16</v>
      </c>
    </row>
    <row r="117" spans="1:10" ht="24" customHeight="1" x14ac:dyDescent="0.25">
      <c r="A117" s="12" t="str">
        <f>A116</f>
        <v>ЩСВ.1 (Блок 6)</v>
      </c>
      <c r="B117" s="12" t="s">
        <v>9</v>
      </c>
      <c r="C117" s="18" t="s">
        <v>9</v>
      </c>
      <c r="D117" s="12" t="s">
        <v>9</v>
      </c>
      <c r="E117" s="12">
        <f ca="1">OFFSET(E117,1,2)</f>
        <v>0</v>
      </c>
      <c r="F117" s="15">
        <f ca="1">E117</f>
        <v>0</v>
      </c>
      <c r="G117" s="15">
        <f ca="1">F117*H117</f>
        <v>0</v>
      </c>
      <c r="H117" s="12">
        <v>1</v>
      </c>
      <c r="I117" s="12" t="s">
        <v>12</v>
      </c>
      <c r="J117" s="12" t="s">
        <v>9</v>
      </c>
    </row>
    <row r="118" spans="1:10" ht="21" customHeight="1" x14ac:dyDescent="0.25">
      <c r="A118" s="12" t="str">
        <f>A117</f>
        <v>ЩСВ.1 (Блок 6)</v>
      </c>
      <c r="B118" s="12" t="s">
        <v>10</v>
      </c>
      <c r="C118" s="18" t="s">
        <v>10</v>
      </c>
      <c r="D118" s="12" t="s">
        <v>10</v>
      </c>
      <c r="E118" s="12"/>
      <c r="F118" s="15">
        <v>100</v>
      </c>
      <c r="G118" s="15">
        <f>60*E118*F118</f>
        <v>0</v>
      </c>
      <c r="H118" s="12">
        <f>60*E118</f>
        <v>0</v>
      </c>
      <c r="I118" s="12" t="s">
        <v>12</v>
      </c>
      <c r="J118" s="12" t="s">
        <v>10</v>
      </c>
    </row>
    <row r="119" spans="1:10" ht="30" customHeight="1" x14ac:dyDescent="0.25">
      <c r="A119" s="12" t="str">
        <f>A118</f>
        <v>ЩСВ.1 (Блок 6)</v>
      </c>
      <c r="B119" s="19"/>
      <c r="C119" s="20"/>
      <c r="D119" s="21"/>
      <c r="E119" s="23"/>
      <c r="F119" s="25"/>
      <c r="G119" s="24">
        <f ca="1">SUM(G113:G118)</f>
        <v>22986</v>
      </c>
      <c r="H119" s="20"/>
      <c r="I119" s="22"/>
      <c r="J119" s="20"/>
    </row>
    <row r="120" spans="1:10" ht="39.75" customHeight="1" x14ac:dyDescent="0.25">
      <c r="A120" s="5" t="str">
        <f>D120</f>
        <v>ЩВ.1 (Блок 6)</v>
      </c>
      <c r="B120" s="6"/>
      <c r="C120" s="7"/>
      <c r="D120" s="6" t="s">
        <v>546</v>
      </c>
      <c r="E120" s="8"/>
      <c r="F120" s="8" t="s">
        <v>73</v>
      </c>
      <c r="G120" s="9"/>
      <c r="H120" s="10">
        <v>1</v>
      </c>
      <c r="I120" s="11" t="s">
        <v>6</v>
      </c>
      <c r="J120" s="6" t="s">
        <v>8</v>
      </c>
    </row>
    <row r="121" spans="1:10" ht="21" customHeight="1" x14ac:dyDescent="0.25">
      <c r="A121" s="12" t="str">
        <f>A120</f>
        <v>ЩВ.1 (Блок 6)</v>
      </c>
      <c r="B121" s="13" t="s">
        <v>7</v>
      </c>
      <c r="C121" s="14" t="s">
        <v>466</v>
      </c>
      <c r="D121" s="12" t="s">
        <v>467</v>
      </c>
      <c r="E121" s="13">
        <v>14695</v>
      </c>
      <c r="F121" s="15">
        <f>E121*0.6</f>
        <v>8817</v>
      </c>
      <c r="G121" s="15">
        <f>H121*F121</f>
        <v>8817</v>
      </c>
      <c r="H121" s="16">
        <v>1</v>
      </c>
      <c r="I121" s="17" t="s">
        <v>12</v>
      </c>
      <c r="J121" s="13" t="s">
        <v>15</v>
      </c>
    </row>
    <row r="122" spans="1:10" ht="21" customHeight="1" x14ac:dyDescent="0.25">
      <c r="A122" s="12" t="str">
        <f>A120</f>
        <v>ЩВ.1 (Блок 6)</v>
      </c>
      <c r="B122" s="13" t="s">
        <v>11</v>
      </c>
      <c r="C122" s="14" t="s">
        <v>20</v>
      </c>
      <c r="D122" s="12" t="s">
        <v>21</v>
      </c>
      <c r="E122" s="13">
        <v>2429</v>
      </c>
      <c r="F122" s="15">
        <f>E122*0.6</f>
        <v>1457.3999999999999</v>
      </c>
      <c r="G122" s="15">
        <f>F122*H122</f>
        <v>1457.3999999999999</v>
      </c>
      <c r="H122" s="16">
        <v>1</v>
      </c>
      <c r="I122" s="17" t="s">
        <v>12</v>
      </c>
      <c r="J122" s="13" t="s">
        <v>16</v>
      </c>
    </row>
    <row r="123" spans="1:10" ht="21" customHeight="1" x14ac:dyDescent="0.25">
      <c r="A123" s="12" t="str">
        <f>A122</f>
        <v>ЩВ.1 (Блок 6)</v>
      </c>
      <c r="B123" s="13" t="s">
        <v>47</v>
      </c>
      <c r="C123" s="14" t="s">
        <v>45</v>
      </c>
      <c r="D123" s="12" t="s">
        <v>46</v>
      </c>
      <c r="E123" s="13">
        <v>5354</v>
      </c>
      <c r="F123" s="15">
        <f>E123*0.6</f>
        <v>3212.4</v>
      </c>
      <c r="G123" s="15">
        <f>F123*H123</f>
        <v>3212.4</v>
      </c>
      <c r="H123" s="16">
        <v>1</v>
      </c>
      <c r="I123" s="17" t="s">
        <v>12</v>
      </c>
      <c r="J123" s="13" t="s">
        <v>16</v>
      </c>
    </row>
    <row r="124" spans="1:10" ht="21" customHeight="1" x14ac:dyDescent="0.25">
      <c r="A124" s="12" t="str">
        <f>A121</f>
        <v>ЩВ.1 (Блок 6)</v>
      </c>
      <c r="B124" s="13" t="s">
        <v>48</v>
      </c>
      <c r="C124" s="14" t="s">
        <v>49</v>
      </c>
      <c r="D124" s="12" t="s">
        <v>50</v>
      </c>
      <c r="E124" s="13">
        <v>5214</v>
      </c>
      <c r="F124" s="15">
        <f>E124*0.6</f>
        <v>3128.4</v>
      </c>
      <c r="G124" s="15">
        <f>F124*H124</f>
        <v>21898.799999999999</v>
      </c>
      <c r="H124" s="16">
        <v>7</v>
      </c>
      <c r="I124" s="17" t="s">
        <v>12</v>
      </c>
      <c r="J124" s="13" t="s">
        <v>16</v>
      </c>
    </row>
    <row r="125" spans="1:10" ht="21" customHeight="1" x14ac:dyDescent="0.25">
      <c r="A125" s="12" t="str">
        <f>A123</f>
        <v>ЩВ.1 (Блок 6)</v>
      </c>
      <c r="B125" s="13" t="s">
        <v>11</v>
      </c>
      <c r="C125" s="14" t="s">
        <v>51</v>
      </c>
      <c r="D125" s="12" t="s">
        <v>52</v>
      </c>
      <c r="E125" s="13">
        <v>2337</v>
      </c>
      <c r="F125" s="15">
        <f>E125*0.6</f>
        <v>1402.2</v>
      </c>
      <c r="G125" s="15">
        <f>F125*H125</f>
        <v>7011</v>
      </c>
      <c r="H125" s="16">
        <v>5</v>
      </c>
      <c r="I125" s="17" t="s">
        <v>12</v>
      </c>
      <c r="J125" s="13" t="s">
        <v>16</v>
      </c>
    </row>
    <row r="126" spans="1:10" ht="21" customHeight="1" x14ac:dyDescent="0.25">
      <c r="A126" s="12" t="str">
        <f>A123</f>
        <v>ЩВ.1 (Блок 6)</v>
      </c>
      <c r="B126" s="13" t="s">
        <v>11</v>
      </c>
      <c r="C126" s="14" t="s">
        <v>53</v>
      </c>
      <c r="D126" s="12" t="s">
        <v>54</v>
      </c>
      <c r="E126" s="13">
        <v>783</v>
      </c>
      <c r="F126" s="15">
        <f>E126*0.6</f>
        <v>469.79999999999995</v>
      </c>
      <c r="G126" s="15">
        <f>F126*H126</f>
        <v>1879.1999999999998</v>
      </c>
      <c r="H126" s="16">
        <v>4</v>
      </c>
      <c r="I126" s="17" t="s">
        <v>12</v>
      </c>
      <c r="J126" s="13" t="s">
        <v>16</v>
      </c>
    </row>
    <row r="127" spans="1:10" ht="21" customHeight="1" x14ac:dyDescent="0.25">
      <c r="A127" s="12" t="str">
        <f>A126</f>
        <v>ЩВ.1 (Блок 6)</v>
      </c>
      <c r="B127" s="13" t="s">
        <v>339</v>
      </c>
      <c r="C127" s="14" t="s">
        <v>482</v>
      </c>
      <c r="D127" s="12" t="s">
        <v>483</v>
      </c>
      <c r="E127" s="13">
        <v>1610</v>
      </c>
      <c r="F127" s="15">
        <f>E127*0.6</f>
        <v>966</v>
      </c>
      <c r="G127" s="15">
        <f>F127*H127</f>
        <v>966</v>
      </c>
      <c r="H127" s="16">
        <v>1</v>
      </c>
      <c r="I127" s="17" t="s">
        <v>12</v>
      </c>
      <c r="J127" s="13" t="s">
        <v>16</v>
      </c>
    </row>
    <row r="128" spans="1:10" ht="24" customHeight="1" x14ac:dyDescent="0.25">
      <c r="A128" s="12" t="str">
        <f>A124</f>
        <v>ЩВ.1 (Блок 6)</v>
      </c>
      <c r="B128" s="12" t="s">
        <v>9</v>
      </c>
      <c r="C128" s="18" t="s">
        <v>9</v>
      </c>
      <c r="D128" s="12" t="s">
        <v>9</v>
      </c>
      <c r="E128" s="12">
        <f ca="1">OFFSET(E128,1,2)</f>
        <v>4200</v>
      </c>
      <c r="F128" s="15">
        <f ca="1">E128</f>
        <v>4200</v>
      </c>
      <c r="G128" s="15">
        <f ca="1">F128*H128</f>
        <v>4200</v>
      </c>
      <c r="H128" s="12">
        <v>1</v>
      </c>
      <c r="I128" s="12" t="s">
        <v>12</v>
      </c>
      <c r="J128" s="12" t="s">
        <v>9</v>
      </c>
    </row>
    <row r="129" spans="1:10" ht="21" customHeight="1" x14ac:dyDescent="0.25">
      <c r="A129" s="12" t="str">
        <f>A128</f>
        <v>ЩВ.1 (Блок 6)</v>
      </c>
      <c r="B129" s="12" t="s">
        <v>10</v>
      </c>
      <c r="C129" s="18" t="s">
        <v>10</v>
      </c>
      <c r="D129" s="12" t="s">
        <v>10</v>
      </c>
      <c r="E129" s="12">
        <v>0.7</v>
      </c>
      <c r="F129" s="15">
        <v>100</v>
      </c>
      <c r="G129" s="15">
        <f>60*E129*F129</f>
        <v>4200</v>
      </c>
      <c r="H129" s="12">
        <f>60*E129</f>
        <v>42</v>
      </c>
      <c r="I129" s="12" t="s">
        <v>12</v>
      </c>
      <c r="J129" s="12" t="s">
        <v>10</v>
      </c>
    </row>
    <row r="130" spans="1:10" ht="30" customHeight="1" x14ac:dyDescent="0.25">
      <c r="A130" s="12" t="str">
        <f>A129</f>
        <v>ЩВ.1 (Блок 6)</v>
      </c>
      <c r="B130" s="19"/>
      <c r="C130" s="20"/>
      <c r="D130" s="21"/>
      <c r="E130" s="23"/>
      <c r="F130" s="25"/>
      <c r="G130" s="24">
        <f ca="1">SUM(G121:G129)</f>
        <v>53641.799999999996</v>
      </c>
      <c r="H130" s="20"/>
      <c r="I130" s="22"/>
      <c r="J130" s="20"/>
    </row>
    <row r="131" spans="1:10" ht="39.75" customHeight="1" x14ac:dyDescent="0.25">
      <c r="A131" s="5" t="str">
        <f>D131</f>
        <v>ЩВ.2 (Блок 6)</v>
      </c>
      <c r="B131" s="6"/>
      <c r="C131" s="7"/>
      <c r="D131" s="6" t="s">
        <v>547</v>
      </c>
      <c r="E131" s="8"/>
      <c r="F131" s="8" t="s">
        <v>73</v>
      </c>
      <c r="G131" s="9"/>
      <c r="H131" s="10">
        <v>1</v>
      </c>
      <c r="I131" s="11" t="s">
        <v>6</v>
      </c>
      <c r="J131" s="6" t="s">
        <v>8</v>
      </c>
    </row>
    <row r="132" spans="1:10" ht="21" customHeight="1" x14ac:dyDescent="0.25">
      <c r="A132" s="12" t="str">
        <f>A131</f>
        <v>ЩВ.2 (Блок 6)</v>
      </c>
      <c r="B132" s="13" t="s">
        <v>7</v>
      </c>
      <c r="C132" s="14" t="s">
        <v>470</v>
      </c>
      <c r="D132" s="12" t="s">
        <v>471</v>
      </c>
      <c r="E132" s="13">
        <v>15140</v>
      </c>
      <c r="F132" s="15">
        <f>E132*0.6</f>
        <v>9084</v>
      </c>
      <c r="G132" s="15">
        <f>H132*F132</f>
        <v>9084</v>
      </c>
      <c r="H132" s="16">
        <v>1</v>
      </c>
      <c r="I132" s="17" t="s">
        <v>12</v>
      </c>
      <c r="J132" s="13" t="s">
        <v>15</v>
      </c>
    </row>
    <row r="133" spans="1:10" ht="21" customHeight="1" x14ac:dyDescent="0.25">
      <c r="A133" s="12" t="str">
        <f>A132</f>
        <v>ЩВ.2 (Блок 6)</v>
      </c>
      <c r="B133" s="13" t="s">
        <v>11</v>
      </c>
      <c r="C133" s="14" t="s">
        <v>82</v>
      </c>
      <c r="D133" s="12" t="s">
        <v>83</v>
      </c>
      <c r="E133" s="13">
        <v>3641</v>
      </c>
      <c r="F133" s="15">
        <f>E133*0.6</f>
        <v>2184.6</v>
      </c>
      <c r="G133" s="15">
        <f>F133*H133</f>
        <v>2184.6</v>
      </c>
      <c r="H133" s="16">
        <v>1</v>
      </c>
      <c r="I133" s="17" t="s">
        <v>12</v>
      </c>
      <c r="J133" s="13" t="s">
        <v>16</v>
      </c>
    </row>
    <row r="134" spans="1:10" ht="21" customHeight="1" x14ac:dyDescent="0.25">
      <c r="A134" s="12" t="str">
        <f>A133</f>
        <v>ЩВ.2 (Блок 6)</v>
      </c>
      <c r="B134" s="13" t="s">
        <v>47</v>
      </c>
      <c r="C134" s="14" t="s">
        <v>45</v>
      </c>
      <c r="D134" s="12" t="s">
        <v>46</v>
      </c>
      <c r="E134" s="13">
        <v>5354</v>
      </c>
      <c r="F134" s="15">
        <f>E134*0.6</f>
        <v>3212.4</v>
      </c>
      <c r="G134" s="15">
        <f>F134*H134</f>
        <v>3212.4</v>
      </c>
      <c r="H134" s="16">
        <v>1</v>
      </c>
      <c r="I134" s="17" t="s">
        <v>12</v>
      </c>
      <c r="J134" s="13" t="s">
        <v>16</v>
      </c>
    </row>
    <row r="135" spans="1:10" ht="21" customHeight="1" x14ac:dyDescent="0.25">
      <c r="A135" s="12" t="str">
        <f>A132</f>
        <v>ЩВ.2 (Блок 6)</v>
      </c>
      <c r="B135" s="13" t="s">
        <v>11</v>
      </c>
      <c r="C135" s="14" t="s">
        <v>28</v>
      </c>
      <c r="D135" s="12" t="s">
        <v>27</v>
      </c>
      <c r="E135" s="13">
        <v>2606</v>
      </c>
      <c r="F135" s="15">
        <f>E135*0.6</f>
        <v>1563.6</v>
      </c>
      <c r="G135" s="15">
        <f>F135*H135</f>
        <v>3127.2</v>
      </c>
      <c r="H135" s="16">
        <v>2</v>
      </c>
      <c r="I135" s="17" t="s">
        <v>12</v>
      </c>
      <c r="J135" s="13" t="s">
        <v>16</v>
      </c>
    </row>
    <row r="136" spans="1:10" ht="21" customHeight="1" x14ac:dyDescent="0.25">
      <c r="A136" s="12" t="str">
        <f>A133</f>
        <v>ЩВ.2 (Блок 6)</v>
      </c>
      <c r="B136" s="13" t="s">
        <v>11</v>
      </c>
      <c r="C136" s="14" t="s">
        <v>51</v>
      </c>
      <c r="D136" s="12" t="s">
        <v>52</v>
      </c>
      <c r="E136" s="13">
        <v>2337</v>
      </c>
      <c r="F136" s="15">
        <f>E136*0.6</f>
        <v>1402.2</v>
      </c>
      <c r="G136" s="15">
        <f>F136*H136</f>
        <v>4206.6000000000004</v>
      </c>
      <c r="H136" s="16">
        <v>3</v>
      </c>
      <c r="I136" s="17" t="s">
        <v>12</v>
      </c>
      <c r="J136" s="13" t="s">
        <v>16</v>
      </c>
    </row>
    <row r="137" spans="1:10" ht="21" customHeight="1" x14ac:dyDescent="0.25">
      <c r="A137" s="12" t="str">
        <f>A133</f>
        <v>ЩВ.2 (Блок 6)</v>
      </c>
      <c r="B137" s="13" t="s">
        <v>11</v>
      </c>
      <c r="C137" s="14" t="s">
        <v>53</v>
      </c>
      <c r="D137" s="12" t="s">
        <v>54</v>
      </c>
      <c r="E137" s="13">
        <v>783</v>
      </c>
      <c r="F137" s="15">
        <f>E137*0.6</f>
        <v>469.79999999999995</v>
      </c>
      <c r="G137" s="15">
        <f>F137*H137</f>
        <v>4228.2</v>
      </c>
      <c r="H137" s="16">
        <v>9</v>
      </c>
      <c r="I137" s="17" t="s">
        <v>12</v>
      </c>
      <c r="J137" s="13" t="s">
        <v>16</v>
      </c>
    </row>
    <row r="138" spans="1:10" ht="21" customHeight="1" x14ac:dyDescent="0.25">
      <c r="A138" s="12" t="str">
        <f>A135</f>
        <v>ЩВ.2 (Блок 6)</v>
      </c>
      <c r="B138" s="13" t="s">
        <v>48</v>
      </c>
      <c r="C138" s="14" t="s">
        <v>49</v>
      </c>
      <c r="D138" s="12" t="s">
        <v>50</v>
      </c>
      <c r="E138" s="13">
        <v>5214</v>
      </c>
      <c r="F138" s="15">
        <f>E138*0.6</f>
        <v>3128.4</v>
      </c>
      <c r="G138" s="15">
        <f>F138*H138</f>
        <v>31284</v>
      </c>
      <c r="H138" s="16">
        <v>10</v>
      </c>
      <c r="I138" s="17" t="s">
        <v>12</v>
      </c>
      <c r="J138" s="13" t="s">
        <v>16</v>
      </c>
    </row>
    <row r="139" spans="1:10" ht="21" customHeight="1" x14ac:dyDescent="0.25">
      <c r="A139" s="12" t="str">
        <f>A138</f>
        <v>ЩВ.2 (Блок 6)</v>
      </c>
      <c r="B139" s="13" t="s">
        <v>339</v>
      </c>
      <c r="C139" s="14" t="s">
        <v>482</v>
      </c>
      <c r="D139" s="12" t="s">
        <v>483</v>
      </c>
      <c r="E139" s="13">
        <v>1610</v>
      </c>
      <c r="F139" s="15">
        <f>E139*0.6</f>
        <v>966</v>
      </c>
      <c r="G139" s="15">
        <f>F139*H139</f>
        <v>966</v>
      </c>
      <c r="H139" s="16">
        <v>1</v>
      </c>
      <c r="I139" s="17" t="s">
        <v>12</v>
      </c>
      <c r="J139" s="13" t="s">
        <v>16</v>
      </c>
    </row>
    <row r="140" spans="1:10" ht="24" customHeight="1" x14ac:dyDescent="0.25">
      <c r="A140" s="12" t="str">
        <f>A137</f>
        <v>ЩВ.2 (Блок 6)</v>
      </c>
      <c r="B140" s="12" t="s">
        <v>9</v>
      </c>
      <c r="C140" s="18" t="s">
        <v>9</v>
      </c>
      <c r="D140" s="12" t="s">
        <v>9</v>
      </c>
      <c r="E140" s="12">
        <f ca="1">OFFSET(E140,1,2)</f>
        <v>15000</v>
      </c>
      <c r="F140" s="15">
        <f ca="1">E140</f>
        <v>15000</v>
      </c>
      <c r="G140" s="15">
        <f ca="1">F140*H140</f>
        <v>15000</v>
      </c>
      <c r="H140" s="12">
        <v>1</v>
      </c>
      <c r="I140" s="12" t="s">
        <v>12</v>
      </c>
      <c r="J140" s="12" t="s">
        <v>9</v>
      </c>
    </row>
    <row r="141" spans="1:10" ht="21" customHeight="1" x14ac:dyDescent="0.25">
      <c r="A141" s="12" t="str">
        <f>A140</f>
        <v>ЩВ.2 (Блок 6)</v>
      </c>
      <c r="B141" s="12" t="s">
        <v>10</v>
      </c>
      <c r="C141" s="18" t="s">
        <v>10</v>
      </c>
      <c r="D141" s="12" t="s">
        <v>10</v>
      </c>
      <c r="E141" s="12">
        <v>2.5</v>
      </c>
      <c r="F141" s="15">
        <v>100</v>
      </c>
      <c r="G141" s="15">
        <f>60*E141*F141</f>
        <v>15000</v>
      </c>
      <c r="H141" s="12">
        <f>60*E141</f>
        <v>150</v>
      </c>
      <c r="I141" s="12" t="s">
        <v>12</v>
      </c>
      <c r="J141" s="12" t="s">
        <v>10</v>
      </c>
    </row>
    <row r="142" spans="1:10" ht="30" customHeight="1" x14ac:dyDescent="0.25">
      <c r="A142" s="12" t="str">
        <f>A141</f>
        <v>ЩВ.2 (Блок 6)</v>
      </c>
      <c r="B142" s="19"/>
      <c r="C142" s="20"/>
      <c r="D142" s="21"/>
      <c r="E142" s="23"/>
      <c r="F142" s="25"/>
      <c r="G142" s="24">
        <f ca="1">SUM(G132:G141)</f>
        <v>88293</v>
      </c>
      <c r="H142" s="20"/>
      <c r="I142" s="22"/>
      <c r="J142" s="20"/>
    </row>
    <row r="143" spans="1:10" ht="39.75" customHeight="1" x14ac:dyDescent="0.25">
      <c r="A143" s="5" t="str">
        <f>D143</f>
        <v>ЩВ.3 (Блок 6)</v>
      </c>
      <c r="B143" s="6"/>
      <c r="C143" s="7"/>
      <c r="D143" s="6" t="s">
        <v>548</v>
      </c>
      <c r="E143" s="8"/>
      <c r="F143" s="8" t="s">
        <v>73</v>
      </c>
      <c r="G143" s="9"/>
      <c r="H143" s="10">
        <v>1</v>
      </c>
      <c r="I143" s="11" t="s">
        <v>6</v>
      </c>
      <c r="J143" s="6" t="s">
        <v>8</v>
      </c>
    </row>
    <row r="144" spans="1:10" ht="21" customHeight="1" x14ac:dyDescent="0.25">
      <c r="A144" s="12" t="str">
        <f>A143</f>
        <v>ЩВ.3 (Блок 6)</v>
      </c>
      <c r="B144" s="13" t="s">
        <v>7</v>
      </c>
      <c r="C144" s="14" t="s">
        <v>466</v>
      </c>
      <c r="D144" s="12" t="s">
        <v>467</v>
      </c>
      <c r="E144" s="13">
        <v>14695</v>
      </c>
      <c r="F144" s="15">
        <f>E144*0.6</f>
        <v>8817</v>
      </c>
      <c r="G144" s="15">
        <f>H144*F144</f>
        <v>8817</v>
      </c>
      <c r="H144" s="16">
        <v>1</v>
      </c>
      <c r="I144" s="17" t="s">
        <v>12</v>
      </c>
      <c r="J144" s="13" t="s">
        <v>15</v>
      </c>
    </row>
    <row r="145" spans="1:10" ht="21" customHeight="1" x14ac:dyDescent="0.25">
      <c r="A145" s="12" t="str">
        <f>A144</f>
        <v>ЩВ.3 (Блок 6)</v>
      </c>
      <c r="B145" s="13" t="s">
        <v>11</v>
      </c>
      <c r="C145" s="14" t="s">
        <v>20</v>
      </c>
      <c r="D145" s="12" t="s">
        <v>21</v>
      </c>
      <c r="E145" s="13">
        <v>2429</v>
      </c>
      <c r="F145" s="15">
        <f>E145*0.6</f>
        <v>1457.3999999999999</v>
      </c>
      <c r="G145" s="15">
        <f>F145*H145</f>
        <v>1457.3999999999999</v>
      </c>
      <c r="H145" s="16">
        <v>1</v>
      </c>
      <c r="I145" s="17" t="s">
        <v>12</v>
      </c>
      <c r="J145" s="13" t="s">
        <v>16</v>
      </c>
    </row>
    <row r="146" spans="1:10" ht="21" customHeight="1" x14ac:dyDescent="0.25">
      <c r="A146" s="12" t="str">
        <f>A145</f>
        <v>ЩВ.3 (Блок 6)</v>
      </c>
      <c r="B146" s="13" t="s">
        <v>47</v>
      </c>
      <c r="C146" s="14" t="s">
        <v>45</v>
      </c>
      <c r="D146" s="12" t="s">
        <v>46</v>
      </c>
      <c r="E146" s="13">
        <v>5354</v>
      </c>
      <c r="F146" s="15">
        <f>E146*0.6</f>
        <v>3212.4</v>
      </c>
      <c r="G146" s="15">
        <f>F146*H146</f>
        <v>3212.4</v>
      </c>
      <c r="H146" s="16">
        <v>1</v>
      </c>
      <c r="I146" s="17" t="s">
        <v>12</v>
      </c>
      <c r="J146" s="13" t="s">
        <v>16</v>
      </c>
    </row>
    <row r="147" spans="1:10" ht="21" customHeight="1" x14ac:dyDescent="0.25">
      <c r="A147" s="12" t="str">
        <f>A146</f>
        <v>ЩВ.3 (Блок 6)</v>
      </c>
      <c r="B147" s="13" t="s">
        <v>11</v>
      </c>
      <c r="C147" s="14" t="s">
        <v>51</v>
      </c>
      <c r="D147" s="12" t="s">
        <v>52</v>
      </c>
      <c r="E147" s="13">
        <v>2337</v>
      </c>
      <c r="F147" s="15">
        <f>E147*0.6</f>
        <v>1402.2</v>
      </c>
      <c r="G147" s="15">
        <f>F147*H147</f>
        <v>15424.2</v>
      </c>
      <c r="H147" s="16">
        <v>11</v>
      </c>
      <c r="I147" s="17" t="s">
        <v>12</v>
      </c>
      <c r="J147" s="13" t="s">
        <v>16</v>
      </c>
    </row>
    <row r="148" spans="1:10" ht="21" customHeight="1" x14ac:dyDescent="0.25">
      <c r="A148" s="12" t="str">
        <f>A147</f>
        <v>ЩВ.3 (Блок 6)</v>
      </c>
      <c r="B148" s="13" t="s">
        <v>11</v>
      </c>
      <c r="C148" s="14" t="s">
        <v>53</v>
      </c>
      <c r="D148" s="12" t="s">
        <v>54</v>
      </c>
      <c r="E148" s="13">
        <v>783</v>
      </c>
      <c r="F148" s="15">
        <f>E148*0.6</f>
        <v>469.79999999999995</v>
      </c>
      <c r="G148" s="15">
        <f>F148*H148</f>
        <v>469.79999999999995</v>
      </c>
      <c r="H148" s="16">
        <v>1</v>
      </c>
      <c r="I148" s="17" t="s">
        <v>12</v>
      </c>
      <c r="J148" s="13" t="s">
        <v>16</v>
      </c>
    </row>
    <row r="149" spans="1:10" ht="21" customHeight="1" x14ac:dyDescent="0.25">
      <c r="A149" s="12" t="str">
        <f>A148</f>
        <v>ЩВ.3 (Блок 6)</v>
      </c>
      <c r="B149" s="13" t="s">
        <v>339</v>
      </c>
      <c r="C149" s="14" t="s">
        <v>482</v>
      </c>
      <c r="D149" s="12" t="s">
        <v>483</v>
      </c>
      <c r="E149" s="13">
        <v>1610</v>
      </c>
      <c r="F149" s="15">
        <f>E149*0.6</f>
        <v>966</v>
      </c>
      <c r="G149" s="15">
        <f>F149*H149</f>
        <v>966</v>
      </c>
      <c r="H149" s="16">
        <v>1</v>
      </c>
      <c r="I149" s="17" t="s">
        <v>12</v>
      </c>
      <c r="J149" s="13" t="s">
        <v>16</v>
      </c>
    </row>
    <row r="150" spans="1:10" ht="24" customHeight="1" x14ac:dyDescent="0.25">
      <c r="A150" s="12" t="str">
        <f>A148</f>
        <v>ЩВ.3 (Блок 6)</v>
      </c>
      <c r="B150" s="12" t="s">
        <v>9</v>
      </c>
      <c r="C150" s="18" t="s">
        <v>9</v>
      </c>
      <c r="D150" s="12" t="s">
        <v>9</v>
      </c>
      <c r="E150" s="12">
        <f ca="1">OFFSET(E150,1,2)</f>
        <v>6000</v>
      </c>
      <c r="F150" s="15">
        <f ca="1">E150</f>
        <v>6000</v>
      </c>
      <c r="G150" s="15">
        <f ca="1">F150*H150</f>
        <v>6000</v>
      </c>
      <c r="H150" s="12">
        <v>1</v>
      </c>
      <c r="I150" s="12" t="s">
        <v>12</v>
      </c>
      <c r="J150" s="12" t="s">
        <v>9</v>
      </c>
    </row>
    <row r="151" spans="1:10" ht="21" customHeight="1" x14ac:dyDescent="0.25">
      <c r="A151" s="12" t="str">
        <f>A150</f>
        <v>ЩВ.3 (Блок 6)</v>
      </c>
      <c r="B151" s="12" t="s">
        <v>10</v>
      </c>
      <c r="C151" s="18" t="s">
        <v>10</v>
      </c>
      <c r="D151" s="12" t="s">
        <v>10</v>
      </c>
      <c r="E151" s="12">
        <v>1</v>
      </c>
      <c r="F151" s="15">
        <v>100</v>
      </c>
      <c r="G151" s="15">
        <f>60*E151*F151</f>
        <v>6000</v>
      </c>
      <c r="H151" s="12">
        <f>60*E151</f>
        <v>60</v>
      </c>
      <c r="I151" s="12" t="s">
        <v>12</v>
      </c>
      <c r="J151" s="12" t="s">
        <v>10</v>
      </c>
    </row>
    <row r="152" spans="1:10" ht="30" customHeight="1" x14ac:dyDescent="0.25">
      <c r="A152" s="12" t="str">
        <f>A151</f>
        <v>ЩВ.3 (Блок 6)</v>
      </c>
      <c r="B152" s="19"/>
      <c r="C152" s="20"/>
      <c r="D152" s="21"/>
      <c r="E152" s="23"/>
      <c r="F152" s="25"/>
      <c r="G152" s="24">
        <f ca="1">SUM(G144:G151)</f>
        <v>42346.8</v>
      </c>
      <c r="H152" s="20"/>
      <c r="I152" s="22"/>
      <c r="J152" s="20"/>
    </row>
    <row r="153" spans="1:10" ht="39.75" customHeight="1" x14ac:dyDescent="0.25">
      <c r="A153" s="5" t="str">
        <f>D153</f>
        <v>ЩДУ (Блок 6)</v>
      </c>
      <c r="B153" s="6"/>
      <c r="C153" s="7"/>
      <c r="D153" s="6" t="s">
        <v>549</v>
      </c>
      <c r="E153" s="8"/>
      <c r="F153" s="8" t="s">
        <v>73</v>
      </c>
      <c r="G153" s="9"/>
      <c r="H153" s="10">
        <v>1</v>
      </c>
      <c r="I153" s="11" t="s">
        <v>6</v>
      </c>
      <c r="J153" s="6" t="s">
        <v>8</v>
      </c>
    </row>
    <row r="154" spans="1:10" ht="21" customHeight="1" x14ac:dyDescent="0.25">
      <c r="A154" s="12" t="str">
        <f>A153</f>
        <v>ЩДУ (Блок 6)</v>
      </c>
      <c r="B154" s="13" t="s">
        <v>7</v>
      </c>
      <c r="C154" s="14" t="s">
        <v>466</v>
      </c>
      <c r="D154" s="12" t="s">
        <v>467</v>
      </c>
      <c r="E154" s="13">
        <v>14695</v>
      </c>
      <c r="F154" s="15">
        <f>E154*0.6</f>
        <v>8817</v>
      </c>
      <c r="G154" s="15">
        <f>H154*F154</f>
        <v>8817</v>
      </c>
      <c r="H154" s="16">
        <v>1</v>
      </c>
      <c r="I154" s="17" t="s">
        <v>12</v>
      </c>
      <c r="J154" s="13" t="s">
        <v>15</v>
      </c>
    </row>
    <row r="155" spans="1:10" ht="21" customHeight="1" x14ac:dyDescent="0.25">
      <c r="A155" s="12" t="str">
        <f>A154</f>
        <v>ЩДУ (Блок 6)</v>
      </c>
      <c r="B155" s="13" t="s">
        <v>11</v>
      </c>
      <c r="C155" s="14" t="s">
        <v>82</v>
      </c>
      <c r="D155" s="12" t="s">
        <v>83</v>
      </c>
      <c r="E155" s="13">
        <v>3641</v>
      </c>
      <c r="F155" s="15">
        <f>E155*0.6</f>
        <v>2184.6</v>
      </c>
      <c r="G155" s="15">
        <f>F155*H155</f>
        <v>2184.6</v>
      </c>
      <c r="H155" s="16">
        <v>1</v>
      </c>
      <c r="I155" s="17" t="s">
        <v>12</v>
      </c>
      <c r="J155" s="13" t="s">
        <v>16</v>
      </c>
    </row>
    <row r="156" spans="1:10" ht="21" customHeight="1" x14ac:dyDescent="0.25">
      <c r="A156" s="12" t="str">
        <f>A155</f>
        <v>ЩДУ (Блок 6)</v>
      </c>
      <c r="B156" s="13" t="s">
        <v>11</v>
      </c>
      <c r="C156" s="14" t="s">
        <v>20</v>
      </c>
      <c r="D156" s="12" t="s">
        <v>21</v>
      </c>
      <c r="E156" s="13">
        <v>2429</v>
      </c>
      <c r="F156" s="15">
        <f>E156*0.6</f>
        <v>1457.3999999999999</v>
      </c>
      <c r="G156" s="15">
        <f>F156*H156</f>
        <v>4372.2</v>
      </c>
      <c r="H156" s="16">
        <v>3</v>
      </c>
      <c r="I156" s="17" t="s">
        <v>12</v>
      </c>
      <c r="J156" s="13" t="s">
        <v>16</v>
      </c>
    </row>
    <row r="157" spans="1:10" ht="21" customHeight="1" x14ac:dyDescent="0.25">
      <c r="A157" s="12" t="str">
        <f>A156</f>
        <v>ЩДУ (Блок 6)</v>
      </c>
      <c r="B157" s="13" t="s">
        <v>11</v>
      </c>
      <c r="C157" s="14" t="s">
        <v>51</v>
      </c>
      <c r="D157" s="12" t="s">
        <v>52</v>
      </c>
      <c r="E157" s="13">
        <v>2337</v>
      </c>
      <c r="F157" s="15">
        <f>E157*0.6</f>
        <v>1402.2</v>
      </c>
      <c r="G157" s="15">
        <f>F157*H157</f>
        <v>5608.8</v>
      </c>
      <c r="H157" s="16">
        <v>4</v>
      </c>
      <c r="I157" s="17" t="s">
        <v>12</v>
      </c>
      <c r="J157" s="13" t="s">
        <v>16</v>
      </c>
    </row>
    <row r="158" spans="1:10" ht="21" customHeight="1" x14ac:dyDescent="0.25">
      <c r="A158" s="12" t="str">
        <f>A157</f>
        <v>ЩДУ (Блок 6)</v>
      </c>
      <c r="B158" s="13" t="s">
        <v>48</v>
      </c>
      <c r="C158" s="14" t="s">
        <v>199</v>
      </c>
      <c r="D158" s="12" t="s">
        <v>200</v>
      </c>
      <c r="E158" s="13">
        <v>8572</v>
      </c>
      <c r="F158" s="15">
        <f>E158*0.6</f>
        <v>5143.2</v>
      </c>
      <c r="G158" s="15">
        <f>F158*H158</f>
        <v>46288.799999999996</v>
      </c>
      <c r="H158" s="16">
        <v>9</v>
      </c>
      <c r="I158" s="17" t="s">
        <v>12</v>
      </c>
      <c r="J158" s="13" t="s">
        <v>16</v>
      </c>
    </row>
    <row r="159" spans="1:10" ht="21" customHeight="1" x14ac:dyDescent="0.25">
      <c r="A159" s="12" t="str">
        <f>A158</f>
        <v>ЩДУ (Блок 6)</v>
      </c>
      <c r="B159" s="13" t="s">
        <v>339</v>
      </c>
      <c r="C159" s="14" t="s">
        <v>482</v>
      </c>
      <c r="D159" s="12" t="s">
        <v>483</v>
      </c>
      <c r="E159" s="13">
        <v>1610</v>
      </c>
      <c r="F159" s="15">
        <f>E159*0.6</f>
        <v>966</v>
      </c>
      <c r="G159" s="15">
        <f>F159*H159</f>
        <v>966</v>
      </c>
      <c r="H159" s="16">
        <v>1</v>
      </c>
      <c r="I159" s="17" t="s">
        <v>12</v>
      </c>
      <c r="J159" s="13" t="s">
        <v>16</v>
      </c>
    </row>
    <row r="160" spans="1:10" ht="24" customHeight="1" x14ac:dyDescent="0.25">
      <c r="A160" s="12" t="str">
        <f>A158</f>
        <v>ЩДУ (Блок 6)</v>
      </c>
      <c r="B160" s="12" t="s">
        <v>9</v>
      </c>
      <c r="C160" s="18" t="s">
        <v>9</v>
      </c>
      <c r="D160" s="12" t="s">
        <v>9</v>
      </c>
      <c r="E160" s="12">
        <f ca="1">OFFSET(E160,1,2)</f>
        <v>0</v>
      </c>
      <c r="F160" s="15">
        <f ca="1">E160</f>
        <v>0</v>
      </c>
      <c r="G160" s="15">
        <f ca="1">F160*H160</f>
        <v>0</v>
      </c>
      <c r="H160" s="12">
        <v>1</v>
      </c>
      <c r="I160" s="12" t="s">
        <v>12</v>
      </c>
      <c r="J160" s="12" t="s">
        <v>9</v>
      </c>
    </row>
    <row r="161" spans="1:10" ht="21" customHeight="1" x14ac:dyDescent="0.25">
      <c r="A161" s="12" t="str">
        <f>A160</f>
        <v>ЩДУ (Блок 6)</v>
      </c>
      <c r="B161" s="12" t="s">
        <v>10</v>
      </c>
      <c r="C161" s="18" t="s">
        <v>10</v>
      </c>
      <c r="D161" s="12" t="s">
        <v>10</v>
      </c>
      <c r="E161" s="12"/>
      <c r="F161" s="15">
        <v>100</v>
      </c>
      <c r="G161" s="15">
        <f>60*E161*F161</f>
        <v>0</v>
      </c>
      <c r="H161" s="12">
        <f>60*E161</f>
        <v>0</v>
      </c>
      <c r="I161" s="12" t="s">
        <v>12</v>
      </c>
      <c r="J161" s="12" t="s">
        <v>10</v>
      </c>
    </row>
    <row r="162" spans="1:10" ht="30" customHeight="1" x14ac:dyDescent="0.25">
      <c r="A162" s="12" t="str">
        <f>A161</f>
        <v>ЩДУ (Блок 6)</v>
      </c>
      <c r="B162" s="19"/>
      <c r="C162" s="20"/>
      <c r="D162" s="21"/>
      <c r="E162" s="23"/>
      <c r="F162" s="25"/>
      <c r="G162" s="24">
        <f ca="1">SUM(G154:G161)</f>
        <v>68237.399999999994</v>
      </c>
      <c r="H162" s="20"/>
      <c r="I162" s="22"/>
      <c r="J162" s="20"/>
    </row>
    <row r="163" spans="1:10" ht="39.75" customHeight="1" x14ac:dyDescent="0.25">
      <c r="A163" s="5" t="str">
        <f>D163</f>
        <v>ЩР3 (Блок 6)</v>
      </c>
      <c r="B163" s="6"/>
      <c r="C163" s="7"/>
      <c r="D163" s="6" t="s">
        <v>550</v>
      </c>
      <c r="E163" s="8"/>
      <c r="F163" s="8" t="s">
        <v>73</v>
      </c>
      <c r="G163" s="9"/>
      <c r="H163" s="10">
        <v>1</v>
      </c>
      <c r="I163" s="11" t="s">
        <v>6</v>
      </c>
      <c r="J163" s="6" t="s">
        <v>8</v>
      </c>
    </row>
    <row r="164" spans="1:10" ht="21" customHeight="1" x14ac:dyDescent="0.25">
      <c r="A164" s="12" t="str">
        <f>A163</f>
        <v>ЩР3 (Блок 6)</v>
      </c>
      <c r="B164" s="13" t="s">
        <v>7</v>
      </c>
      <c r="C164" s="14" t="s">
        <v>472</v>
      </c>
      <c r="D164" s="12" t="s">
        <v>473</v>
      </c>
      <c r="E164" s="13">
        <v>15210</v>
      </c>
      <c r="F164" s="15">
        <f>E164*0.6</f>
        <v>9126</v>
      </c>
      <c r="G164" s="15">
        <f>H164*F164</f>
        <v>9126</v>
      </c>
      <c r="H164" s="16">
        <v>1</v>
      </c>
      <c r="I164" s="17" t="s">
        <v>12</v>
      </c>
      <c r="J164" s="13" t="s">
        <v>15</v>
      </c>
    </row>
    <row r="165" spans="1:10" ht="21" customHeight="1" x14ac:dyDescent="0.25">
      <c r="A165" s="12" t="str">
        <f>A164</f>
        <v>ЩР3 (Блок 6)</v>
      </c>
      <c r="B165" s="13" t="s">
        <v>11</v>
      </c>
      <c r="C165" s="14" t="s">
        <v>65</v>
      </c>
      <c r="D165" s="12" t="s">
        <v>66</v>
      </c>
      <c r="E165" s="13">
        <v>2807</v>
      </c>
      <c r="F165" s="15">
        <f>E165*0.6</f>
        <v>1684.2</v>
      </c>
      <c r="G165" s="15">
        <f>F165*H165</f>
        <v>1684.2</v>
      </c>
      <c r="H165" s="16">
        <v>1</v>
      </c>
      <c r="I165" s="17" t="s">
        <v>12</v>
      </c>
      <c r="J165" s="13" t="s">
        <v>16</v>
      </c>
    </row>
    <row r="166" spans="1:10" ht="21" customHeight="1" x14ac:dyDescent="0.25">
      <c r="A166" s="12" t="str">
        <f>A165</f>
        <v>ЩР3 (Блок 6)</v>
      </c>
      <c r="B166" s="13" t="s">
        <v>22</v>
      </c>
      <c r="C166" s="14" t="s">
        <v>96</v>
      </c>
      <c r="D166" s="12" t="s">
        <v>97</v>
      </c>
      <c r="E166" s="13">
        <v>5069</v>
      </c>
      <c r="F166" s="15">
        <f>E166*0.6</f>
        <v>3041.4</v>
      </c>
      <c r="G166" s="15">
        <f>F166*H166</f>
        <v>36496.800000000003</v>
      </c>
      <c r="H166" s="16">
        <v>12</v>
      </c>
      <c r="I166" s="17" t="s">
        <v>12</v>
      </c>
      <c r="J166" s="13" t="s">
        <v>16</v>
      </c>
    </row>
    <row r="167" spans="1:10" ht="21" customHeight="1" x14ac:dyDescent="0.25">
      <c r="A167" s="12" t="str">
        <f>A166</f>
        <v>ЩР3 (Блок 6)</v>
      </c>
      <c r="B167" s="13" t="s">
        <v>11</v>
      </c>
      <c r="C167" s="14" t="s">
        <v>28</v>
      </c>
      <c r="D167" s="12" t="s">
        <v>27</v>
      </c>
      <c r="E167" s="13">
        <v>2606</v>
      </c>
      <c r="F167" s="15">
        <f>E167*0.6</f>
        <v>1563.6</v>
      </c>
      <c r="G167" s="15">
        <f>F167*H167</f>
        <v>1563.6</v>
      </c>
      <c r="H167" s="16">
        <v>1</v>
      </c>
      <c r="I167" s="17" t="s">
        <v>12</v>
      </c>
      <c r="J167" s="13" t="s">
        <v>16</v>
      </c>
    </row>
    <row r="168" spans="1:10" ht="21" customHeight="1" x14ac:dyDescent="0.25">
      <c r="A168" s="12" t="str">
        <f>A166</f>
        <v>ЩР3 (Блок 6)</v>
      </c>
      <c r="B168" s="13" t="s">
        <v>11</v>
      </c>
      <c r="C168" s="14" t="s">
        <v>20</v>
      </c>
      <c r="D168" s="12" t="s">
        <v>21</v>
      </c>
      <c r="E168" s="13">
        <v>2429</v>
      </c>
      <c r="F168" s="15">
        <f>E168*0.6</f>
        <v>1457.3999999999999</v>
      </c>
      <c r="G168" s="15">
        <f>F168*H168</f>
        <v>2914.7999999999997</v>
      </c>
      <c r="H168" s="16">
        <v>2</v>
      </c>
      <c r="I168" s="17" t="s">
        <v>12</v>
      </c>
      <c r="J168" s="13" t="s">
        <v>16</v>
      </c>
    </row>
    <row r="169" spans="1:10" ht="24" customHeight="1" x14ac:dyDescent="0.25">
      <c r="A169" s="12" t="str">
        <f>A166</f>
        <v>ЩР3 (Блок 6)</v>
      </c>
      <c r="B169" s="12" t="s">
        <v>9</v>
      </c>
      <c r="C169" s="18" t="s">
        <v>9</v>
      </c>
      <c r="D169" s="12" t="s">
        <v>9</v>
      </c>
      <c r="E169" s="12">
        <f ca="1">OFFSET(E169,1,2)</f>
        <v>0</v>
      </c>
      <c r="F169" s="15">
        <f ca="1">E169</f>
        <v>0</v>
      </c>
      <c r="G169" s="15">
        <f ca="1">F169*H169</f>
        <v>0</v>
      </c>
      <c r="H169" s="12">
        <v>1</v>
      </c>
      <c r="I169" s="12" t="s">
        <v>12</v>
      </c>
      <c r="J169" s="12" t="s">
        <v>9</v>
      </c>
    </row>
    <row r="170" spans="1:10" ht="21" customHeight="1" x14ac:dyDescent="0.25">
      <c r="A170" s="12" t="str">
        <f>A169</f>
        <v>ЩР3 (Блок 6)</v>
      </c>
      <c r="B170" s="12" t="s">
        <v>10</v>
      </c>
      <c r="C170" s="18" t="s">
        <v>10</v>
      </c>
      <c r="D170" s="12" t="s">
        <v>10</v>
      </c>
      <c r="E170" s="12"/>
      <c r="F170" s="15">
        <v>100</v>
      </c>
      <c r="G170" s="15">
        <f>60*E170*F170</f>
        <v>0</v>
      </c>
      <c r="H170" s="12">
        <f>60*E170</f>
        <v>0</v>
      </c>
      <c r="I170" s="12" t="s">
        <v>12</v>
      </c>
      <c r="J170" s="12" t="s">
        <v>10</v>
      </c>
    </row>
    <row r="171" spans="1:10" ht="30" customHeight="1" x14ac:dyDescent="0.25">
      <c r="A171" s="12" t="str">
        <f>A170</f>
        <v>ЩР3 (Блок 6)</v>
      </c>
      <c r="B171" s="19"/>
      <c r="C171" s="20"/>
      <c r="D171" s="21"/>
      <c r="E171" s="23"/>
      <c r="F171" s="25"/>
      <c r="G171" s="24">
        <f ca="1">SUM(G164:G170)</f>
        <v>51785.4</v>
      </c>
      <c r="H171" s="20"/>
      <c r="I171" s="22"/>
      <c r="J171" s="20"/>
    </row>
    <row r="172" spans="1:10" ht="39.75" customHeight="1" x14ac:dyDescent="0.25">
      <c r="A172" s="5" t="str">
        <f>D172</f>
        <v>ЩР2 (Блок 6)</v>
      </c>
      <c r="B172" s="6"/>
      <c r="C172" s="7"/>
      <c r="D172" s="6" t="s">
        <v>551</v>
      </c>
      <c r="E172" s="8"/>
      <c r="F172" s="8" t="s">
        <v>73</v>
      </c>
      <c r="G172" s="9"/>
      <c r="H172" s="10">
        <v>1</v>
      </c>
      <c r="I172" s="11" t="s">
        <v>6</v>
      </c>
      <c r="J172" s="6" t="s">
        <v>8</v>
      </c>
    </row>
    <row r="173" spans="1:10" ht="21" customHeight="1" x14ac:dyDescent="0.25">
      <c r="A173" s="12" t="str">
        <f>A172</f>
        <v>ЩР2 (Блок 6)</v>
      </c>
      <c r="B173" s="13" t="s">
        <v>7</v>
      </c>
      <c r="C173" s="14" t="s">
        <v>472</v>
      </c>
      <c r="D173" s="12" t="s">
        <v>473</v>
      </c>
      <c r="E173" s="13">
        <v>15210</v>
      </c>
      <c r="F173" s="15">
        <f>E173*0.6</f>
        <v>9126</v>
      </c>
      <c r="G173" s="15">
        <f>H173*F173</f>
        <v>9126</v>
      </c>
      <c r="H173" s="16">
        <v>1</v>
      </c>
      <c r="I173" s="17" t="s">
        <v>12</v>
      </c>
      <c r="J173" s="13" t="s">
        <v>15</v>
      </c>
    </row>
    <row r="174" spans="1:10" ht="21" customHeight="1" x14ac:dyDescent="0.25">
      <c r="A174" s="12" t="str">
        <f>A173</f>
        <v>ЩР2 (Блок 6)</v>
      </c>
      <c r="B174" s="13" t="s">
        <v>11</v>
      </c>
      <c r="C174" s="14" t="s">
        <v>65</v>
      </c>
      <c r="D174" s="12" t="s">
        <v>66</v>
      </c>
      <c r="E174" s="13">
        <v>2807</v>
      </c>
      <c r="F174" s="15">
        <f>E174*0.6</f>
        <v>1684.2</v>
      </c>
      <c r="G174" s="15">
        <f>F174*H174</f>
        <v>1684.2</v>
      </c>
      <c r="H174" s="16">
        <v>1</v>
      </c>
      <c r="I174" s="17" t="s">
        <v>12</v>
      </c>
      <c r="J174" s="13" t="s">
        <v>16</v>
      </c>
    </row>
    <row r="175" spans="1:10" ht="21" customHeight="1" x14ac:dyDescent="0.25">
      <c r="A175" s="12" t="str">
        <f>A174</f>
        <v>ЩР2 (Блок 6)</v>
      </c>
      <c r="B175" s="13" t="s">
        <v>22</v>
      </c>
      <c r="C175" s="14" t="s">
        <v>96</v>
      </c>
      <c r="D175" s="12" t="s">
        <v>97</v>
      </c>
      <c r="E175" s="13">
        <v>5069</v>
      </c>
      <c r="F175" s="15">
        <f>E175*0.6</f>
        <v>3041.4</v>
      </c>
      <c r="G175" s="15">
        <f>F175*H175</f>
        <v>18248.400000000001</v>
      </c>
      <c r="H175" s="16">
        <v>6</v>
      </c>
      <c r="I175" s="17" t="s">
        <v>12</v>
      </c>
      <c r="J175" s="13" t="s">
        <v>16</v>
      </c>
    </row>
    <row r="176" spans="1:10" ht="21" customHeight="1" x14ac:dyDescent="0.25">
      <c r="A176" s="12" t="str">
        <f>A175</f>
        <v>ЩР2 (Блок 6)</v>
      </c>
      <c r="B176" s="13" t="s">
        <v>11</v>
      </c>
      <c r="C176" s="14" t="s">
        <v>20</v>
      </c>
      <c r="D176" s="12" t="s">
        <v>21</v>
      </c>
      <c r="E176" s="13">
        <v>2429</v>
      </c>
      <c r="F176" s="15">
        <f>E176*0.6</f>
        <v>1457.3999999999999</v>
      </c>
      <c r="G176" s="15">
        <f>F176*H176</f>
        <v>8744.4</v>
      </c>
      <c r="H176" s="16">
        <v>6</v>
      </c>
      <c r="I176" s="17" t="s">
        <v>12</v>
      </c>
      <c r="J176" s="13" t="s">
        <v>16</v>
      </c>
    </row>
    <row r="177" spans="1:10" ht="24" customHeight="1" x14ac:dyDescent="0.25">
      <c r="A177" s="12" t="str">
        <f>A175</f>
        <v>ЩР2 (Блок 6)</v>
      </c>
      <c r="B177" s="12" t="s">
        <v>9</v>
      </c>
      <c r="C177" s="18" t="s">
        <v>9</v>
      </c>
      <c r="D177" s="12" t="s">
        <v>9</v>
      </c>
      <c r="E177" s="12">
        <f ca="1">OFFSET(E177,1,2)</f>
        <v>0</v>
      </c>
      <c r="F177" s="15">
        <f ca="1">E177</f>
        <v>0</v>
      </c>
      <c r="G177" s="15">
        <f ca="1">F177*H177</f>
        <v>0</v>
      </c>
      <c r="H177" s="12">
        <v>1</v>
      </c>
      <c r="I177" s="12" t="s">
        <v>12</v>
      </c>
      <c r="J177" s="12" t="s">
        <v>9</v>
      </c>
    </row>
    <row r="178" spans="1:10" ht="21" customHeight="1" x14ac:dyDescent="0.25">
      <c r="A178" s="12" t="str">
        <f>A177</f>
        <v>ЩР2 (Блок 6)</v>
      </c>
      <c r="B178" s="12" t="s">
        <v>10</v>
      </c>
      <c r="C178" s="18" t="s">
        <v>10</v>
      </c>
      <c r="D178" s="12" t="s">
        <v>10</v>
      </c>
      <c r="E178" s="12"/>
      <c r="F178" s="15">
        <v>100</v>
      </c>
      <c r="G178" s="15">
        <f>60*E178*F178</f>
        <v>0</v>
      </c>
      <c r="H178" s="12">
        <f>60*E178</f>
        <v>0</v>
      </c>
      <c r="I178" s="12" t="s">
        <v>12</v>
      </c>
      <c r="J178" s="12" t="s">
        <v>10</v>
      </c>
    </row>
    <row r="179" spans="1:10" ht="30" customHeight="1" x14ac:dyDescent="0.25">
      <c r="A179" s="12" t="str">
        <f>A178</f>
        <v>ЩР2 (Блок 6)</v>
      </c>
      <c r="B179" s="19"/>
      <c r="C179" s="20"/>
      <c r="D179" s="21"/>
      <c r="E179" s="23"/>
      <c r="F179" s="25"/>
      <c r="G179" s="24">
        <f ca="1">SUM(G173:G178)</f>
        <v>37803</v>
      </c>
      <c r="H179" s="20"/>
      <c r="I179" s="22"/>
      <c r="J179" s="20"/>
    </row>
    <row r="180" spans="1:10" ht="39.75" customHeight="1" x14ac:dyDescent="0.25">
      <c r="A180" s="5" t="str">
        <f>D180</f>
        <v>ЩР(ГЦ)1 (Блок 6)</v>
      </c>
      <c r="B180" s="6"/>
      <c r="C180" s="7"/>
      <c r="D180" s="6" t="s">
        <v>552</v>
      </c>
      <c r="E180" s="8"/>
      <c r="F180" s="8" t="s">
        <v>73</v>
      </c>
      <c r="G180" s="9"/>
      <c r="H180" s="10">
        <v>1</v>
      </c>
      <c r="I180" s="11" t="s">
        <v>6</v>
      </c>
      <c r="J180" s="6" t="s">
        <v>8</v>
      </c>
    </row>
    <row r="181" spans="1:10" ht="21" customHeight="1" x14ac:dyDescent="0.25">
      <c r="A181" s="12" t="str">
        <f>A180</f>
        <v>ЩР(ГЦ)1 (Блок 6)</v>
      </c>
      <c r="B181" s="13" t="s">
        <v>7</v>
      </c>
      <c r="C181" s="14" t="s">
        <v>480</v>
      </c>
      <c r="D181" s="12" t="s">
        <v>481</v>
      </c>
      <c r="E181" s="13">
        <v>73730</v>
      </c>
      <c r="F181" s="15">
        <f>E181*0.6</f>
        <v>44238</v>
      </c>
      <c r="G181" s="15">
        <f>H181*F181</f>
        <v>44238</v>
      </c>
      <c r="H181" s="16">
        <v>1</v>
      </c>
      <c r="I181" s="17" t="s">
        <v>12</v>
      </c>
      <c r="J181" s="13" t="s">
        <v>15</v>
      </c>
    </row>
    <row r="182" spans="1:10" ht="21" customHeight="1" x14ac:dyDescent="0.25">
      <c r="A182" s="12" t="str">
        <f>A181</f>
        <v>ЩР(ГЦ)1 (Блок 6)</v>
      </c>
      <c r="B182" s="13" t="s">
        <v>43</v>
      </c>
      <c r="C182" s="14" t="s">
        <v>76</v>
      </c>
      <c r="D182" s="12" t="s">
        <v>77</v>
      </c>
      <c r="E182" s="13">
        <v>27169</v>
      </c>
      <c r="F182" s="15">
        <f>E182*0.6</f>
        <v>16301.4</v>
      </c>
      <c r="G182" s="15">
        <f>F182*H182</f>
        <v>16301.4</v>
      </c>
      <c r="H182" s="16">
        <v>1</v>
      </c>
      <c r="I182" s="17" t="s">
        <v>12</v>
      </c>
      <c r="J182" s="13" t="s">
        <v>16</v>
      </c>
    </row>
    <row r="183" spans="1:10" ht="21" customHeight="1" x14ac:dyDescent="0.25">
      <c r="A183" s="12" t="str">
        <f>A182</f>
        <v>ЩР(ГЦ)1 (Блок 6)</v>
      </c>
      <c r="B183" s="13" t="s">
        <v>11</v>
      </c>
      <c r="C183" s="14" t="s">
        <v>28</v>
      </c>
      <c r="D183" s="12" t="s">
        <v>27</v>
      </c>
      <c r="E183" s="13">
        <v>2606</v>
      </c>
      <c r="F183" s="15">
        <f>E183*0.6</f>
        <v>1563.6</v>
      </c>
      <c r="G183" s="15">
        <f>F183*H183</f>
        <v>6254.4</v>
      </c>
      <c r="H183" s="16">
        <v>4</v>
      </c>
      <c r="I183" s="17" t="s">
        <v>12</v>
      </c>
      <c r="J183" s="13" t="s">
        <v>16</v>
      </c>
    </row>
    <row r="184" spans="1:10" ht="21" customHeight="1" x14ac:dyDescent="0.25">
      <c r="A184" s="12" t="str">
        <f>A181</f>
        <v>ЩР(ГЦ)1 (Блок 6)</v>
      </c>
      <c r="B184" s="13" t="s">
        <v>11</v>
      </c>
      <c r="C184" s="14" t="s">
        <v>65</v>
      </c>
      <c r="D184" s="12" t="s">
        <v>66</v>
      </c>
      <c r="E184" s="13">
        <v>2807</v>
      </c>
      <c r="F184" s="15">
        <f>E184*0.6</f>
        <v>1684.2</v>
      </c>
      <c r="G184" s="15">
        <f>F184*H184</f>
        <v>3368.4</v>
      </c>
      <c r="H184" s="16">
        <v>2</v>
      </c>
      <c r="I184" s="17" t="s">
        <v>12</v>
      </c>
      <c r="J184" s="13" t="s">
        <v>16</v>
      </c>
    </row>
    <row r="185" spans="1:10" ht="21" customHeight="1" x14ac:dyDescent="0.25">
      <c r="A185" s="12" t="str">
        <f>A184</f>
        <v>ЩР(ГЦ)1 (Блок 6)</v>
      </c>
      <c r="B185" s="13" t="s">
        <v>22</v>
      </c>
      <c r="C185" s="14" t="s">
        <v>96</v>
      </c>
      <c r="D185" s="12" t="s">
        <v>97</v>
      </c>
      <c r="E185" s="13">
        <v>5069</v>
      </c>
      <c r="F185" s="15">
        <f>E185*0.6</f>
        <v>3041.4</v>
      </c>
      <c r="G185" s="15">
        <f>F185*H185</f>
        <v>24331.200000000001</v>
      </c>
      <c r="H185" s="16">
        <v>8</v>
      </c>
      <c r="I185" s="17" t="s">
        <v>12</v>
      </c>
      <c r="J185" s="13" t="s">
        <v>16</v>
      </c>
    </row>
    <row r="186" spans="1:10" ht="21" customHeight="1" x14ac:dyDescent="0.25">
      <c r="A186" s="12" t="str">
        <f>A185</f>
        <v>ЩР(ГЦ)1 (Блок 6)</v>
      </c>
      <c r="B186" s="13" t="s">
        <v>11</v>
      </c>
      <c r="C186" s="14" t="s">
        <v>20</v>
      </c>
      <c r="D186" s="12" t="s">
        <v>21</v>
      </c>
      <c r="E186" s="13">
        <v>2429</v>
      </c>
      <c r="F186" s="15">
        <f>E186*0.6</f>
        <v>1457.3999999999999</v>
      </c>
      <c r="G186" s="15">
        <f>F186*H186</f>
        <v>8744.4</v>
      </c>
      <c r="H186" s="16">
        <v>6</v>
      </c>
      <c r="I186" s="17" t="s">
        <v>12</v>
      </c>
      <c r="J186" s="13" t="s">
        <v>16</v>
      </c>
    </row>
    <row r="187" spans="1:10" ht="24" customHeight="1" x14ac:dyDescent="0.25">
      <c r="A187" s="12" t="str">
        <f>A185</f>
        <v>ЩР(ГЦ)1 (Блок 6)</v>
      </c>
      <c r="B187" s="12" t="s">
        <v>9</v>
      </c>
      <c r="C187" s="18" t="s">
        <v>9</v>
      </c>
      <c r="D187" s="12" t="s">
        <v>9</v>
      </c>
      <c r="E187" s="12">
        <f ca="1">OFFSET(E187,1,2)</f>
        <v>0</v>
      </c>
      <c r="F187" s="15">
        <f ca="1">E187</f>
        <v>0</v>
      </c>
      <c r="G187" s="15">
        <f ca="1">F187*H187</f>
        <v>0</v>
      </c>
      <c r="H187" s="12">
        <v>1</v>
      </c>
      <c r="I187" s="12" t="s">
        <v>12</v>
      </c>
      <c r="J187" s="12" t="s">
        <v>9</v>
      </c>
    </row>
    <row r="188" spans="1:10" ht="21" customHeight="1" x14ac:dyDescent="0.25">
      <c r="A188" s="12" t="str">
        <f>A187</f>
        <v>ЩР(ГЦ)1 (Блок 6)</v>
      </c>
      <c r="B188" s="12" t="s">
        <v>10</v>
      </c>
      <c r="C188" s="18" t="s">
        <v>10</v>
      </c>
      <c r="D188" s="12" t="s">
        <v>10</v>
      </c>
      <c r="E188" s="12"/>
      <c r="F188" s="15">
        <v>100</v>
      </c>
      <c r="G188" s="15">
        <f>60*E188*F188</f>
        <v>0</v>
      </c>
      <c r="H188" s="12">
        <f>60*E188</f>
        <v>0</v>
      </c>
      <c r="I188" s="12" t="s">
        <v>12</v>
      </c>
      <c r="J188" s="12" t="s">
        <v>10</v>
      </c>
    </row>
    <row r="189" spans="1:10" ht="30" customHeight="1" x14ac:dyDescent="0.25">
      <c r="A189" s="12" t="str">
        <f>A188</f>
        <v>ЩР(ГЦ)1 (Блок 6)</v>
      </c>
      <c r="B189" s="19"/>
      <c r="C189" s="20"/>
      <c r="D189" s="21"/>
      <c r="E189" s="23"/>
      <c r="F189" s="25"/>
      <c r="G189" s="24">
        <f ca="1">SUM(G181:G188)</f>
        <v>103237.79999999999</v>
      </c>
      <c r="H189" s="20"/>
      <c r="I189" s="22"/>
      <c r="J189" s="20"/>
    </row>
    <row r="190" spans="1:10" ht="39.75" customHeight="1" x14ac:dyDescent="0.25">
      <c r="A190" s="5" t="str">
        <f>D190</f>
        <v>ЩР(БО)1 (Блок 6)</v>
      </c>
      <c r="B190" s="6"/>
      <c r="C190" s="7"/>
      <c r="D190" s="6" t="s">
        <v>553</v>
      </c>
      <c r="E190" s="8"/>
      <c r="F190" s="8" t="s">
        <v>73</v>
      </c>
      <c r="G190" s="9"/>
      <c r="H190" s="10">
        <v>1</v>
      </c>
      <c r="I190" s="11" t="s">
        <v>6</v>
      </c>
      <c r="J190" s="6" t="s">
        <v>8</v>
      </c>
    </row>
    <row r="191" spans="1:10" ht="21" customHeight="1" x14ac:dyDescent="0.25">
      <c r="A191" s="12" t="str">
        <f>A190</f>
        <v>ЩР(БО)1 (Блок 6)</v>
      </c>
      <c r="B191" s="13" t="s">
        <v>7</v>
      </c>
      <c r="C191" s="14" t="s">
        <v>468</v>
      </c>
      <c r="D191" s="12" t="s">
        <v>469</v>
      </c>
      <c r="E191" s="13">
        <v>13930</v>
      </c>
      <c r="F191" s="15">
        <f>E191*0.6</f>
        <v>8358</v>
      </c>
      <c r="G191" s="15">
        <f>H191*F191</f>
        <v>8358</v>
      </c>
      <c r="H191" s="16">
        <v>1</v>
      </c>
      <c r="I191" s="17" t="s">
        <v>12</v>
      </c>
      <c r="J191" s="13" t="s">
        <v>15</v>
      </c>
    </row>
    <row r="192" spans="1:10" ht="21" customHeight="1" x14ac:dyDescent="0.25">
      <c r="A192" s="12" t="str">
        <f>A191</f>
        <v>ЩР(БО)1 (Блок 6)</v>
      </c>
      <c r="B192" s="13" t="s">
        <v>11</v>
      </c>
      <c r="C192" s="14" t="s">
        <v>28</v>
      </c>
      <c r="D192" s="12" t="s">
        <v>27</v>
      </c>
      <c r="E192" s="13">
        <v>2606</v>
      </c>
      <c r="F192" s="15">
        <f>E192*0.6</f>
        <v>1563.6</v>
      </c>
      <c r="G192" s="15">
        <f>F192*H192</f>
        <v>1563.6</v>
      </c>
      <c r="H192" s="16">
        <v>1</v>
      </c>
      <c r="I192" s="17" t="s">
        <v>12</v>
      </c>
      <c r="J192" s="13" t="s">
        <v>16</v>
      </c>
    </row>
    <row r="193" spans="1:10" ht="21" customHeight="1" x14ac:dyDescent="0.25">
      <c r="A193" s="12" t="str">
        <f>A192</f>
        <v>ЩР(БО)1 (Блок 6)</v>
      </c>
      <c r="B193" s="13" t="s">
        <v>11</v>
      </c>
      <c r="C193" s="14" t="s">
        <v>20</v>
      </c>
      <c r="D193" s="12" t="s">
        <v>21</v>
      </c>
      <c r="E193" s="13">
        <v>2429</v>
      </c>
      <c r="F193" s="15">
        <f>E193*0.6</f>
        <v>1457.3999999999999</v>
      </c>
      <c r="G193" s="15">
        <f>F193*H193</f>
        <v>8744.4</v>
      </c>
      <c r="H193" s="16">
        <v>6</v>
      </c>
      <c r="I193" s="17" t="s">
        <v>12</v>
      </c>
      <c r="J193" s="13" t="s">
        <v>16</v>
      </c>
    </row>
    <row r="194" spans="1:10" ht="24" customHeight="1" x14ac:dyDescent="0.25">
      <c r="A194" s="12" t="str">
        <f>A193</f>
        <v>ЩР(БО)1 (Блок 6)</v>
      </c>
      <c r="B194" s="12" t="s">
        <v>9</v>
      </c>
      <c r="C194" s="18" t="s">
        <v>9</v>
      </c>
      <c r="D194" s="12" t="s">
        <v>9</v>
      </c>
      <c r="E194" s="12">
        <f ca="1">OFFSET(E194,1,2)</f>
        <v>0</v>
      </c>
      <c r="F194" s="15">
        <f ca="1">E194</f>
        <v>0</v>
      </c>
      <c r="G194" s="15">
        <f ca="1">F194*H194</f>
        <v>0</v>
      </c>
      <c r="H194" s="12">
        <v>1</v>
      </c>
      <c r="I194" s="12" t="s">
        <v>12</v>
      </c>
      <c r="J194" s="12" t="s">
        <v>9</v>
      </c>
    </row>
    <row r="195" spans="1:10" ht="21" customHeight="1" x14ac:dyDescent="0.25">
      <c r="A195" s="12" t="str">
        <f>A194</f>
        <v>ЩР(БО)1 (Блок 6)</v>
      </c>
      <c r="B195" s="12" t="s">
        <v>10</v>
      </c>
      <c r="C195" s="18" t="s">
        <v>10</v>
      </c>
      <c r="D195" s="12" t="s">
        <v>10</v>
      </c>
      <c r="E195" s="12"/>
      <c r="F195" s="15">
        <v>100</v>
      </c>
      <c r="G195" s="15">
        <f>60*E195*F195</f>
        <v>0</v>
      </c>
      <c r="H195" s="12">
        <f>60*E195</f>
        <v>0</v>
      </c>
      <c r="I195" s="12" t="s">
        <v>12</v>
      </c>
      <c r="J195" s="12" t="s">
        <v>10</v>
      </c>
    </row>
    <row r="196" spans="1:10" ht="30" customHeight="1" x14ac:dyDescent="0.25">
      <c r="A196" s="12" t="str">
        <f>A195</f>
        <v>ЩР(БО)1 (Блок 6)</v>
      </c>
      <c r="B196" s="19"/>
      <c r="C196" s="20"/>
      <c r="D196" s="21"/>
      <c r="E196" s="23"/>
      <c r="F196" s="25"/>
      <c r="G196" s="24">
        <f ca="1">SUM(G191:G195)</f>
        <v>18666</v>
      </c>
      <c r="H196" s="20"/>
      <c r="I196" s="22"/>
      <c r="J196" s="20"/>
    </row>
    <row r="197" spans="1:10" ht="39.75" customHeight="1" x14ac:dyDescent="0.25">
      <c r="A197" s="5" t="str">
        <f>D197</f>
        <v>ЩР(БО)12 (Блок 6)</v>
      </c>
      <c r="B197" s="6"/>
      <c r="C197" s="7"/>
      <c r="D197" s="6" t="s">
        <v>554</v>
      </c>
      <c r="E197" s="8"/>
      <c r="F197" s="8" t="s">
        <v>73</v>
      </c>
      <c r="G197" s="9"/>
      <c r="H197" s="10">
        <v>1</v>
      </c>
      <c r="I197" s="11" t="s">
        <v>6</v>
      </c>
      <c r="J197" s="6" t="s">
        <v>8</v>
      </c>
    </row>
    <row r="198" spans="1:10" ht="21" customHeight="1" x14ac:dyDescent="0.25">
      <c r="A198" s="12" t="str">
        <f>A197</f>
        <v>ЩР(БО)12 (Блок 6)</v>
      </c>
      <c r="B198" s="13" t="s">
        <v>7</v>
      </c>
      <c r="C198" s="14" t="s">
        <v>468</v>
      </c>
      <c r="D198" s="12" t="s">
        <v>469</v>
      </c>
      <c r="E198" s="13">
        <v>13930</v>
      </c>
      <c r="F198" s="15">
        <f>E198*0.6</f>
        <v>8358</v>
      </c>
      <c r="G198" s="15">
        <f>H198*F198</f>
        <v>8358</v>
      </c>
      <c r="H198" s="16">
        <v>1</v>
      </c>
      <c r="I198" s="17" t="s">
        <v>12</v>
      </c>
      <c r="J198" s="13" t="s">
        <v>15</v>
      </c>
    </row>
    <row r="199" spans="1:10" ht="21" customHeight="1" x14ac:dyDescent="0.25">
      <c r="A199" s="12" t="str">
        <f>A198</f>
        <v>ЩР(БО)12 (Блок 6)</v>
      </c>
      <c r="B199" s="13" t="s">
        <v>11</v>
      </c>
      <c r="C199" s="14" t="s">
        <v>28</v>
      </c>
      <c r="D199" s="12" t="s">
        <v>27</v>
      </c>
      <c r="E199" s="13">
        <v>2606</v>
      </c>
      <c r="F199" s="15">
        <f>E199*0.6</f>
        <v>1563.6</v>
      </c>
      <c r="G199" s="15">
        <f>F199*H199</f>
        <v>1563.6</v>
      </c>
      <c r="H199" s="16">
        <v>1</v>
      </c>
      <c r="I199" s="17" t="s">
        <v>12</v>
      </c>
      <c r="J199" s="13" t="s">
        <v>16</v>
      </c>
    </row>
    <row r="200" spans="1:10" ht="21" customHeight="1" x14ac:dyDescent="0.25">
      <c r="A200" s="12" t="str">
        <f>A199</f>
        <v>ЩР(БО)12 (Блок 6)</v>
      </c>
      <c r="B200" s="13" t="s">
        <v>11</v>
      </c>
      <c r="C200" s="14" t="s">
        <v>20</v>
      </c>
      <c r="D200" s="12" t="s">
        <v>21</v>
      </c>
      <c r="E200" s="13">
        <v>2429</v>
      </c>
      <c r="F200" s="15">
        <f>E200*0.6</f>
        <v>1457.3999999999999</v>
      </c>
      <c r="G200" s="15">
        <f>F200*H200</f>
        <v>8744.4</v>
      </c>
      <c r="H200" s="16">
        <v>6</v>
      </c>
      <c r="I200" s="17" t="s">
        <v>12</v>
      </c>
      <c r="J200" s="13" t="s">
        <v>16</v>
      </c>
    </row>
    <row r="201" spans="1:10" ht="24" customHeight="1" x14ac:dyDescent="0.25">
      <c r="A201" s="12" t="str">
        <f>A200</f>
        <v>ЩР(БО)12 (Блок 6)</v>
      </c>
      <c r="B201" s="12" t="s">
        <v>9</v>
      </c>
      <c r="C201" s="18" t="s">
        <v>9</v>
      </c>
      <c r="D201" s="12" t="s">
        <v>9</v>
      </c>
      <c r="E201" s="12">
        <f ca="1">OFFSET(E201,1,2)</f>
        <v>0</v>
      </c>
      <c r="F201" s="15">
        <f ca="1">E201</f>
        <v>0</v>
      </c>
      <c r="G201" s="15">
        <f ca="1">F201*H201</f>
        <v>0</v>
      </c>
      <c r="H201" s="12">
        <v>1</v>
      </c>
      <c r="I201" s="12" t="s">
        <v>12</v>
      </c>
      <c r="J201" s="12" t="s">
        <v>9</v>
      </c>
    </row>
    <row r="202" spans="1:10" ht="21" customHeight="1" x14ac:dyDescent="0.25">
      <c r="A202" s="12" t="str">
        <f>A201</f>
        <v>ЩР(БО)12 (Блок 6)</v>
      </c>
      <c r="B202" s="12" t="s">
        <v>10</v>
      </c>
      <c r="C202" s="18" t="s">
        <v>10</v>
      </c>
      <c r="D202" s="12" t="s">
        <v>10</v>
      </c>
      <c r="E202" s="12"/>
      <c r="F202" s="15">
        <v>100</v>
      </c>
      <c r="G202" s="15">
        <f>60*E202*F202</f>
        <v>0</v>
      </c>
      <c r="H202" s="12">
        <f>60*E202</f>
        <v>0</v>
      </c>
      <c r="I202" s="12" t="s">
        <v>12</v>
      </c>
      <c r="J202" s="12" t="s">
        <v>10</v>
      </c>
    </row>
    <row r="203" spans="1:10" ht="30" customHeight="1" x14ac:dyDescent="0.25">
      <c r="A203" s="12" t="str">
        <f>A202</f>
        <v>ЩР(БО)12 (Блок 6)</v>
      </c>
      <c r="B203" s="19"/>
      <c r="C203" s="20"/>
      <c r="D203" s="21"/>
      <c r="E203" s="23"/>
      <c r="F203" s="25"/>
      <c r="G203" s="24">
        <f ca="1">SUM(G198:G202)</f>
        <v>18666</v>
      </c>
      <c r="H203" s="20"/>
      <c r="I203" s="22"/>
      <c r="J203" s="20"/>
    </row>
    <row r="204" spans="1:10" ht="39.75" customHeight="1" x14ac:dyDescent="0.25">
      <c r="A204" s="5" t="str">
        <f>D204</f>
        <v>ЩСО (Блок 6)</v>
      </c>
      <c r="B204" s="6"/>
      <c r="C204" s="7"/>
      <c r="D204" s="6" t="s">
        <v>555</v>
      </c>
      <c r="E204" s="8"/>
      <c r="F204" s="8" t="s">
        <v>73</v>
      </c>
      <c r="G204" s="9"/>
      <c r="H204" s="10">
        <v>1</v>
      </c>
      <c r="I204" s="11" t="s">
        <v>6</v>
      </c>
      <c r="J204" s="6" t="s">
        <v>8</v>
      </c>
    </row>
    <row r="205" spans="1:10" ht="21" customHeight="1" x14ac:dyDescent="0.25">
      <c r="A205" s="12" t="str">
        <f>A204</f>
        <v>ЩСО (Блок 6)</v>
      </c>
      <c r="B205" s="13" t="s">
        <v>7</v>
      </c>
      <c r="C205" s="14" t="s">
        <v>468</v>
      </c>
      <c r="D205" s="12" t="s">
        <v>469</v>
      </c>
      <c r="E205" s="13">
        <v>13930</v>
      </c>
      <c r="F205" s="15">
        <f>E205*0.6</f>
        <v>8358</v>
      </c>
      <c r="G205" s="15">
        <f>H205*F205</f>
        <v>8358</v>
      </c>
      <c r="H205" s="16">
        <v>1</v>
      </c>
      <c r="I205" s="17" t="s">
        <v>12</v>
      </c>
      <c r="J205" s="13" t="s">
        <v>15</v>
      </c>
    </row>
    <row r="206" spans="1:10" ht="21" customHeight="1" x14ac:dyDescent="0.25">
      <c r="A206" s="12" t="str">
        <f>A205</f>
        <v>ЩСО (Блок 6)</v>
      </c>
      <c r="B206" s="13" t="s">
        <v>22</v>
      </c>
      <c r="C206" s="14" t="s">
        <v>101</v>
      </c>
      <c r="D206" s="12" t="s">
        <v>102</v>
      </c>
      <c r="E206" s="13">
        <v>8889</v>
      </c>
      <c r="F206" s="15">
        <f>E206*0.6</f>
        <v>5333.4</v>
      </c>
      <c r="G206" s="15">
        <f>F206*H206</f>
        <v>5333.4</v>
      </c>
      <c r="H206" s="16">
        <v>1</v>
      </c>
      <c r="I206" s="17" t="s">
        <v>12</v>
      </c>
      <c r="J206" s="13" t="s">
        <v>16</v>
      </c>
    </row>
    <row r="207" spans="1:10" ht="21" customHeight="1" x14ac:dyDescent="0.25">
      <c r="A207" s="12" t="str">
        <f>A205</f>
        <v>ЩСО (Блок 6)</v>
      </c>
      <c r="B207" s="13" t="s">
        <v>11</v>
      </c>
      <c r="C207" s="14" t="s">
        <v>53</v>
      </c>
      <c r="D207" s="12" t="s">
        <v>54</v>
      </c>
      <c r="E207" s="13">
        <v>783</v>
      </c>
      <c r="F207" s="15">
        <f>E207*0.6</f>
        <v>469.79999999999995</v>
      </c>
      <c r="G207" s="15">
        <f>F207*H207</f>
        <v>6577.1999999999989</v>
      </c>
      <c r="H207" s="16">
        <v>14</v>
      </c>
      <c r="I207" s="17" t="s">
        <v>12</v>
      </c>
      <c r="J207" s="13" t="s">
        <v>16</v>
      </c>
    </row>
    <row r="208" spans="1:10" ht="21" customHeight="1" x14ac:dyDescent="0.25">
      <c r="A208" s="12" t="str">
        <f>A207</f>
        <v>ЩСО (Блок 6)</v>
      </c>
      <c r="B208" s="13" t="s">
        <v>48</v>
      </c>
      <c r="C208" s="14" t="s">
        <v>114</v>
      </c>
      <c r="D208" s="12" t="s">
        <v>115</v>
      </c>
      <c r="E208" s="13">
        <v>5927</v>
      </c>
      <c r="F208" s="15">
        <f>E208*0.6</f>
        <v>3556.2</v>
      </c>
      <c r="G208" s="15">
        <f>F208*H208</f>
        <v>3556.2</v>
      </c>
      <c r="H208" s="16">
        <v>1</v>
      </c>
      <c r="I208" s="17" t="s">
        <v>12</v>
      </c>
      <c r="J208" s="13" t="s">
        <v>16</v>
      </c>
    </row>
    <row r="209" spans="1:10" ht="21" customHeight="1" x14ac:dyDescent="0.25">
      <c r="A209" s="12" t="str">
        <f>A208</f>
        <v>ЩСО (Блок 6)</v>
      </c>
      <c r="B209" s="13" t="s">
        <v>11</v>
      </c>
      <c r="C209" s="14" t="s">
        <v>18</v>
      </c>
      <c r="D209" s="12" t="s">
        <v>19</v>
      </c>
      <c r="E209" s="13">
        <v>975</v>
      </c>
      <c r="F209" s="15">
        <f>E209*0.6</f>
        <v>585</v>
      </c>
      <c r="G209" s="15">
        <f>F209*H209</f>
        <v>585</v>
      </c>
      <c r="H209" s="16">
        <v>1</v>
      </c>
      <c r="I209" s="17" t="s">
        <v>12</v>
      </c>
      <c r="J209" s="13" t="s">
        <v>16</v>
      </c>
    </row>
    <row r="210" spans="1:10" ht="24" customHeight="1" x14ac:dyDescent="0.25">
      <c r="A210" s="12" t="str">
        <f>A207</f>
        <v>ЩСО (Блок 6)</v>
      </c>
      <c r="B210" s="12" t="s">
        <v>9</v>
      </c>
      <c r="C210" s="18" t="s">
        <v>9</v>
      </c>
      <c r="D210" s="12" t="s">
        <v>9</v>
      </c>
      <c r="E210" s="12">
        <f ca="1">OFFSET(E210,1,2)</f>
        <v>0</v>
      </c>
      <c r="F210" s="15">
        <f ca="1">E210</f>
        <v>0</v>
      </c>
      <c r="G210" s="15">
        <f ca="1">F210*H210</f>
        <v>0</v>
      </c>
      <c r="H210" s="12">
        <v>1</v>
      </c>
      <c r="I210" s="12" t="s">
        <v>12</v>
      </c>
      <c r="J210" s="12" t="s">
        <v>9</v>
      </c>
    </row>
    <row r="211" spans="1:10" ht="21" customHeight="1" x14ac:dyDescent="0.25">
      <c r="A211" s="12" t="str">
        <f>A210</f>
        <v>ЩСО (Блок 6)</v>
      </c>
      <c r="B211" s="12" t="s">
        <v>10</v>
      </c>
      <c r="C211" s="18" t="s">
        <v>10</v>
      </c>
      <c r="D211" s="12" t="s">
        <v>10</v>
      </c>
      <c r="E211" s="12"/>
      <c r="F211" s="15">
        <v>100</v>
      </c>
      <c r="G211" s="15">
        <f>60*E211*F211</f>
        <v>0</v>
      </c>
      <c r="H211" s="12">
        <f>60*E211</f>
        <v>0</v>
      </c>
      <c r="I211" s="12" t="s">
        <v>12</v>
      </c>
      <c r="J211" s="12" t="s">
        <v>10</v>
      </c>
    </row>
    <row r="212" spans="1:10" ht="30" customHeight="1" x14ac:dyDescent="0.25">
      <c r="A212" s="12" t="str">
        <f>A211</f>
        <v>ЩСО (Блок 6)</v>
      </c>
      <c r="B212" s="19"/>
      <c r="C212" s="20"/>
      <c r="D212" s="21"/>
      <c r="E212" s="23"/>
      <c r="F212" s="25"/>
      <c r="G212" s="24">
        <f ca="1">SUM(G205:G211)</f>
        <v>24409.8</v>
      </c>
      <c r="H212" s="20"/>
      <c r="I212" s="22"/>
      <c r="J21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2F82-F177-4162-8FCE-A75FC59C4D71}">
  <dimension ref="A1:J9"/>
  <sheetViews>
    <sheetView workbookViewId="0">
      <selection sqref="A1:XFD9"/>
    </sheetView>
  </sheetViews>
  <sheetFormatPr defaultRowHeight="15" x14ac:dyDescent="0.25"/>
  <sheetData>
    <row r="1" spans="1:10" ht="39.75" customHeight="1" x14ac:dyDescent="0.25">
      <c r="A1" s="12" t="str">
        <f>dty!B667</f>
        <v>ЩВ.3 (Блок 4, 5)</v>
      </c>
      <c r="B1" s="13" t="s">
        <v>11</v>
      </c>
      <c r="C1" s="14" t="s">
        <v>28</v>
      </c>
      <c r="D1" s="12" t="s">
        <v>27</v>
      </c>
      <c r="E1" s="13">
        <v>2606</v>
      </c>
      <c r="F1" s="15">
        <f>E1*0.6</f>
        <v>1563.6</v>
      </c>
      <c r="G1" s="15">
        <f>F1*H1</f>
        <v>1563.6</v>
      </c>
      <c r="H1" s="16">
        <v>1</v>
      </c>
      <c r="I1" s="17" t="s">
        <v>12</v>
      </c>
      <c r="J1" s="13" t="s">
        <v>16</v>
      </c>
    </row>
    <row r="2" spans="1:10" ht="21" customHeight="1" x14ac:dyDescent="0.25">
      <c r="A2" s="12" t="str">
        <f>A1</f>
        <v>ЩВ.3 (Блок 4, 5)</v>
      </c>
      <c r="B2" s="13" t="s">
        <v>11</v>
      </c>
      <c r="C2" s="14" t="s">
        <v>51</v>
      </c>
      <c r="D2" s="12" t="s">
        <v>52</v>
      </c>
      <c r="E2" s="13">
        <v>2337</v>
      </c>
      <c r="F2" s="15">
        <f>E2*0.6</f>
        <v>1402.2</v>
      </c>
      <c r="G2" s="15">
        <f>F2*H2</f>
        <v>7011</v>
      </c>
      <c r="H2" s="16">
        <v>5</v>
      </c>
      <c r="I2" s="17" t="s">
        <v>12</v>
      </c>
      <c r="J2" s="13" t="s">
        <v>16</v>
      </c>
    </row>
    <row r="3" spans="1:10" ht="21" customHeight="1" x14ac:dyDescent="0.25">
      <c r="A3" s="12" t="str">
        <f>A2</f>
        <v>ЩВ.3 (Блок 4, 5)</v>
      </c>
      <c r="B3" s="13" t="s">
        <v>11</v>
      </c>
      <c r="C3" s="14" t="s">
        <v>53</v>
      </c>
      <c r="D3" s="12" t="s">
        <v>54</v>
      </c>
      <c r="E3" s="13">
        <v>783</v>
      </c>
      <c r="F3" s="15">
        <f>E3*0.6</f>
        <v>469.79999999999995</v>
      </c>
      <c r="G3" s="15">
        <f>F3*H3</f>
        <v>1879.1999999999998</v>
      </c>
      <c r="H3" s="16">
        <v>4</v>
      </c>
      <c r="I3" s="17" t="s">
        <v>12</v>
      </c>
      <c r="J3" s="13" t="s">
        <v>16</v>
      </c>
    </row>
    <row r="4" spans="1:10" ht="21" customHeight="1" x14ac:dyDescent="0.25">
      <c r="A4" s="12" t="str">
        <f>A3</f>
        <v>ЩВ.3 (Блок 4, 5)</v>
      </c>
      <c r="B4" s="13" t="s">
        <v>48</v>
      </c>
      <c r="C4" s="14" t="s">
        <v>441</v>
      </c>
      <c r="D4" s="12" t="s">
        <v>442</v>
      </c>
      <c r="E4" s="13">
        <v>13659</v>
      </c>
      <c r="F4" s="15">
        <f>E4*0.6</f>
        <v>8195.4</v>
      </c>
      <c r="G4" s="15">
        <f>F4*H4</f>
        <v>8195.4</v>
      </c>
      <c r="H4" s="16">
        <v>1</v>
      </c>
      <c r="I4" s="17" t="s">
        <v>12</v>
      </c>
      <c r="J4" s="13" t="s">
        <v>16</v>
      </c>
    </row>
    <row r="5" spans="1:10" ht="21" customHeight="1" x14ac:dyDescent="0.25">
      <c r="A5" s="12" t="str">
        <f>A4</f>
        <v>ЩВ.3 (Блок 4, 5)</v>
      </c>
      <c r="B5" s="13" t="s">
        <v>48</v>
      </c>
      <c r="C5" s="14" t="s">
        <v>443</v>
      </c>
      <c r="D5" s="12" t="s">
        <v>444</v>
      </c>
      <c r="E5" s="13">
        <v>5258</v>
      </c>
      <c r="F5" s="15">
        <f>E5*0.6</f>
        <v>3154.7999999999997</v>
      </c>
      <c r="G5" s="15">
        <f>F5*H5</f>
        <v>12619.199999999999</v>
      </c>
      <c r="H5" s="16">
        <v>4</v>
      </c>
      <c r="I5" s="17" t="s">
        <v>12</v>
      </c>
      <c r="J5" s="13" t="s">
        <v>16</v>
      </c>
    </row>
    <row r="6" spans="1:10" ht="21" customHeight="1" x14ac:dyDescent="0.25">
      <c r="A6" s="12" t="str">
        <f>A5</f>
        <v>ЩВ.3 (Блок 4, 5)</v>
      </c>
      <c r="B6" s="13" t="s">
        <v>48</v>
      </c>
      <c r="C6" s="14" t="s">
        <v>49</v>
      </c>
      <c r="D6" s="12" t="s">
        <v>50</v>
      </c>
      <c r="E6" s="13">
        <v>5214</v>
      </c>
      <c r="F6" s="15">
        <f>E6*0.6</f>
        <v>3128.4</v>
      </c>
      <c r="G6" s="15">
        <f>F6*H6</f>
        <v>3128.4</v>
      </c>
      <c r="H6" s="16">
        <v>1</v>
      </c>
      <c r="I6" s="17" t="s">
        <v>12</v>
      </c>
      <c r="J6" s="13" t="s">
        <v>16</v>
      </c>
    </row>
    <row r="7" spans="1:10" ht="24" customHeight="1" x14ac:dyDescent="0.25">
      <c r="A7" s="12" t="str">
        <f>A6</f>
        <v>ЩВ.3 (Блок 4, 5)</v>
      </c>
      <c r="B7" s="12" t="s">
        <v>9</v>
      </c>
      <c r="C7" s="18" t="s">
        <v>9</v>
      </c>
      <c r="D7" s="12" t="s">
        <v>9</v>
      </c>
      <c r="E7" s="12">
        <f ca="1">OFFSET(E7,1,2)</f>
        <v>21000</v>
      </c>
      <c r="F7" s="15">
        <f ca="1">E7</f>
        <v>21000</v>
      </c>
      <c r="G7" s="15">
        <f ca="1">F7*H7</f>
        <v>21000</v>
      </c>
      <c r="H7" s="12">
        <v>1</v>
      </c>
      <c r="I7" s="12" t="s">
        <v>12</v>
      </c>
      <c r="J7" s="12" t="s">
        <v>9</v>
      </c>
    </row>
    <row r="8" spans="1:10" ht="21" customHeight="1" x14ac:dyDescent="0.25">
      <c r="A8" s="12" t="str">
        <f>A7</f>
        <v>ЩВ.3 (Блок 4, 5)</v>
      </c>
      <c r="B8" s="12" t="s">
        <v>10</v>
      </c>
      <c r="C8" s="18" t="s">
        <v>10</v>
      </c>
      <c r="D8" s="12" t="s">
        <v>10</v>
      </c>
      <c r="E8" s="12">
        <v>3.5</v>
      </c>
      <c r="F8" s="15">
        <v>100</v>
      </c>
      <c r="G8" s="15">
        <f>60*E8*F8</f>
        <v>21000</v>
      </c>
      <c r="H8" s="12">
        <f>60*E8</f>
        <v>210</v>
      </c>
      <c r="I8" s="12" t="s">
        <v>12</v>
      </c>
      <c r="J8" s="12" t="s">
        <v>10</v>
      </c>
    </row>
    <row r="9" spans="1:10" ht="30" customHeight="1" x14ac:dyDescent="0.25">
      <c r="A9" s="12" t="str">
        <f>A8</f>
        <v>ЩВ.3 (Блок 4, 5)</v>
      </c>
      <c r="B9" s="19"/>
      <c r="C9" s="20"/>
      <c r="D9" s="21"/>
      <c r="E9" s="23"/>
      <c r="F9" s="25"/>
      <c r="G9" s="24">
        <f ca="1">SUM(G1:G8)</f>
        <v>76396.799999999988</v>
      </c>
      <c r="H9" s="20"/>
      <c r="I9" s="22"/>
      <c r="J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dty</vt:lpstr>
      <vt:lpstr>fiyat</vt:lpstr>
      <vt:lpstr>Sayfa3</vt:lpstr>
      <vt:lpstr>Sayfa4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2026-07-27T08:12:37Z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