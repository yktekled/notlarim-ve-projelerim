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13 chimkent serik turan\"/>
    </mc:Choice>
  </mc:AlternateContent>
  <xr:revisionPtr revIDLastSave="0" documentId="13_ncr:1_{82FC3114-A3A3-482F-9EA6-8DD92DA9F9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_DUZELTILMIS" sheetId="1" r:id="rId1"/>
    <sheet name="PDF_SPESIFIKASYON" sheetId="2" r:id="rId2"/>
    <sheet name="KONTROL_NOTL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13" i="2"/>
  <c r="E113" i="2" s="1"/>
  <c r="D112" i="2"/>
  <c r="E112" i="2" s="1"/>
  <c r="D111" i="2"/>
  <c r="E111" i="2" s="1"/>
  <c r="D110" i="2"/>
  <c r="E110" i="2" s="1"/>
  <c r="D109" i="2"/>
  <c r="E109" i="2" s="1"/>
  <c r="D108" i="2"/>
  <c r="E108" i="2" s="1"/>
  <c r="D107" i="2"/>
  <c r="E107" i="2" s="1"/>
  <c r="D106" i="2"/>
  <c r="E106" i="2" s="1"/>
  <c r="D105" i="2"/>
  <c r="E105" i="2" s="1"/>
  <c r="D104" i="2"/>
  <c r="E104" i="2" s="1"/>
  <c r="D103" i="2"/>
  <c r="E103" i="2" s="1"/>
  <c r="D102" i="2"/>
  <c r="E102" i="2" s="1"/>
  <c r="D101" i="2"/>
  <c r="E101" i="2" s="1"/>
  <c r="D100" i="2"/>
  <c r="E100" i="2" s="1"/>
  <c r="D99" i="2"/>
  <c r="E99" i="2" s="1"/>
  <c r="D98" i="2"/>
  <c r="E98" i="2" s="1"/>
  <c r="D97" i="2"/>
  <c r="E97" i="2" s="1"/>
  <c r="D96" i="2"/>
  <c r="E96" i="2" s="1"/>
  <c r="D95" i="2"/>
  <c r="E95" i="2" s="1"/>
  <c r="D94" i="2"/>
  <c r="E94" i="2" s="1"/>
  <c r="D93" i="2"/>
  <c r="E93" i="2" s="1"/>
  <c r="D92" i="2"/>
  <c r="E92" i="2" s="1"/>
  <c r="D91" i="2"/>
  <c r="E91" i="2" s="1"/>
  <c r="D90" i="2"/>
  <c r="E90" i="2" s="1"/>
  <c r="D89" i="2"/>
  <c r="E89" i="2" s="1"/>
  <c r="D88" i="2"/>
  <c r="E88" i="2" s="1"/>
  <c r="D87" i="2"/>
  <c r="E87" i="2" s="1"/>
  <c r="D86" i="2"/>
  <c r="E86" i="2" s="1"/>
  <c r="D85" i="2"/>
  <c r="E85" i="2" s="1"/>
  <c r="D84" i="2"/>
  <c r="E84" i="2" s="1"/>
  <c r="D83" i="2"/>
  <c r="E83" i="2" s="1"/>
  <c r="D82" i="2"/>
  <c r="E82" i="2" s="1"/>
  <c r="D81" i="2"/>
  <c r="E81" i="2" s="1"/>
  <c r="D80" i="2"/>
  <c r="E80" i="2" s="1"/>
  <c r="D79" i="2"/>
  <c r="E79" i="2" s="1"/>
  <c r="D78" i="2"/>
  <c r="E78" i="2" s="1"/>
  <c r="D77" i="2"/>
  <c r="E77" i="2" s="1"/>
  <c r="D76" i="2"/>
  <c r="E76" i="2" s="1"/>
  <c r="D75" i="2"/>
  <c r="E75" i="2" s="1"/>
  <c r="D74" i="2"/>
  <c r="E74" i="2" s="1"/>
  <c r="D73" i="2"/>
  <c r="E73" i="2" s="1"/>
  <c r="D72" i="2"/>
  <c r="E72" i="2" s="1"/>
  <c r="D71" i="2"/>
  <c r="E71" i="2" s="1"/>
  <c r="D70" i="2"/>
  <c r="E70" i="2" s="1"/>
  <c r="D69" i="2"/>
  <c r="E69" i="2" s="1"/>
  <c r="D68" i="2"/>
  <c r="E68" i="2" s="1"/>
  <c r="D67" i="2"/>
  <c r="E67" i="2" s="1"/>
  <c r="D66" i="2"/>
  <c r="E66" i="2" s="1"/>
  <c r="D65" i="2"/>
  <c r="E65" i="2" s="1"/>
  <c r="D64" i="2"/>
  <c r="E64" i="2" s="1"/>
  <c r="D63" i="2"/>
  <c r="E63" i="2" s="1"/>
  <c r="D62" i="2"/>
  <c r="E62" i="2" s="1"/>
  <c r="D61" i="2"/>
  <c r="E61" i="2" s="1"/>
  <c r="D60" i="2"/>
  <c r="E60" i="2" s="1"/>
  <c r="D59" i="2"/>
  <c r="E59" i="2" s="1"/>
  <c r="D58" i="2"/>
  <c r="E58" i="2" s="1"/>
  <c r="D57" i="2"/>
  <c r="E57" i="2" s="1"/>
  <c r="D56" i="2"/>
  <c r="E56" i="2" s="1"/>
  <c r="D55" i="2"/>
  <c r="E55" i="2" s="1"/>
  <c r="D54" i="2"/>
  <c r="E54" i="2" s="1"/>
  <c r="D53" i="2"/>
  <c r="E53" i="2" s="1"/>
  <c r="D52" i="2"/>
  <c r="E52" i="2" s="1"/>
  <c r="D51" i="2"/>
  <c r="E51" i="2" s="1"/>
  <c r="D50" i="2"/>
  <c r="E50" i="2" s="1"/>
  <c r="D49" i="2"/>
  <c r="E49" i="2" s="1"/>
  <c r="D48" i="2"/>
  <c r="E48" i="2" s="1"/>
  <c r="D47" i="2"/>
  <c r="E47" i="2" s="1"/>
  <c r="D46" i="2"/>
  <c r="E46" i="2" s="1"/>
  <c r="D45" i="2"/>
  <c r="E45" i="2" s="1"/>
  <c r="D44" i="2"/>
  <c r="E44" i="2" s="1"/>
  <c r="D43" i="2"/>
  <c r="E43" i="2" s="1"/>
  <c r="D42" i="2"/>
  <c r="E42" i="2" s="1"/>
  <c r="D41" i="2"/>
  <c r="E41" i="2" s="1"/>
  <c r="D40" i="2"/>
  <c r="E40" i="2" s="1"/>
  <c r="D39" i="2"/>
  <c r="E39" i="2" s="1"/>
  <c r="D38" i="2"/>
  <c r="E38" i="2" s="1"/>
  <c r="D37" i="2"/>
  <c r="E37" i="2" s="1"/>
  <c r="D36" i="2"/>
  <c r="E36" i="2" s="1"/>
  <c r="D35" i="2"/>
  <c r="E35" i="2" s="1"/>
  <c r="D34" i="2"/>
  <c r="E34" i="2" s="1"/>
  <c r="D33" i="2"/>
  <c r="E33" i="2" s="1"/>
  <c r="D32" i="2"/>
  <c r="E32" i="2" s="1"/>
  <c r="D31" i="2"/>
  <c r="E31" i="2" s="1"/>
  <c r="D30" i="2"/>
  <c r="E30" i="2" s="1"/>
  <c r="D29" i="2"/>
  <c r="E29" i="2" s="1"/>
  <c r="D28" i="2"/>
  <c r="E28" i="2" s="1"/>
  <c r="D27" i="2"/>
  <c r="E27" i="2" s="1"/>
  <c r="D26" i="2"/>
  <c r="E26" i="2" s="1"/>
  <c r="D25" i="2"/>
  <c r="E25" i="2" s="1"/>
  <c r="D24" i="2"/>
  <c r="E24" i="2" s="1"/>
  <c r="D23" i="2"/>
  <c r="E23" i="2" s="1"/>
  <c r="D22" i="2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D11" i="2"/>
  <c r="E11" i="2" s="1"/>
  <c r="D10" i="2"/>
  <c r="E10" i="2" s="1"/>
  <c r="D9" i="2"/>
  <c r="E9" i="2" s="1"/>
  <c r="D8" i="2"/>
  <c r="E8" i="2" s="1"/>
  <c r="D7" i="2"/>
  <c r="E7" i="2" s="1"/>
  <c r="D6" i="2"/>
  <c r="E6" i="2" s="1"/>
  <c r="D5" i="2"/>
  <c r="E5" i="2" s="1"/>
  <c r="D4" i="2"/>
  <c r="E4" i="2" s="1"/>
  <c r="D3" i="2"/>
  <c r="E3" i="2" s="1"/>
  <c r="D2" i="2"/>
  <c r="E2" i="2" s="1"/>
  <c r="D103" i="1"/>
  <c r="E103" i="1" s="1"/>
  <c r="D102" i="1"/>
  <c r="E102" i="1" s="1"/>
  <c r="D101" i="1"/>
  <c r="E101" i="1" s="1"/>
  <c r="D99" i="1"/>
  <c r="E99" i="1" s="1"/>
  <c r="D98" i="1"/>
  <c r="E98" i="1" s="1"/>
  <c r="D97" i="1"/>
  <c r="E97" i="1" s="1"/>
  <c r="D96" i="1"/>
  <c r="E96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7" i="1"/>
  <c r="E87" i="1" s="1"/>
  <c r="E86" i="1"/>
  <c r="D86" i="1"/>
  <c r="E85" i="1"/>
  <c r="D85" i="1"/>
  <c r="D84" i="1"/>
  <c r="E84" i="1" s="1"/>
  <c r="D83" i="1"/>
  <c r="E83" i="1" s="1"/>
  <c r="D82" i="1"/>
  <c r="E82" i="1" s="1"/>
  <c r="D81" i="1"/>
  <c r="E81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E73" i="1" s="1"/>
  <c r="E72" i="1"/>
  <c r="D72" i="1"/>
  <c r="D71" i="1"/>
  <c r="E71" i="1" s="1"/>
  <c r="D70" i="1"/>
  <c r="E70" i="1" s="1"/>
  <c r="D69" i="1"/>
  <c r="E69" i="1" s="1"/>
  <c r="D68" i="1"/>
  <c r="E68" i="1" s="1"/>
  <c r="D66" i="1"/>
  <c r="E66" i="1" s="1"/>
  <c r="D65" i="1"/>
  <c r="E65" i="1" s="1"/>
  <c r="D64" i="1"/>
  <c r="E64" i="1" s="1"/>
  <c r="D63" i="1"/>
  <c r="E63" i="1" s="1"/>
  <c r="E62" i="1" s="1"/>
  <c r="D61" i="1"/>
  <c r="E61" i="1" s="1"/>
  <c r="E60" i="1"/>
  <c r="D60" i="1"/>
  <c r="E59" i="1"/>
  <c r="D59" i="1"/>
  <c r="D58" i="1"/>
  <c r="E58" i="1" s="1"/>
  <c r="D57" i="1"/>
  <c r="E57" i="1" s="1"/>
  <c r="D56" i="1"/>
  <c r="E56" i="1" s="1"/>
  <c r="D55" i="1"/>
  <c r="E55" i="1" s="1"/>
  <c r="E54" i="1"/>
  <c r="D54" i="1"/>
  <c r="E53" i="1"/>
  <c r="D53" i="1"/>
  <c r="D51" i="1"/>
  <c r="E51" i="1" s="1"/>
  <c r="D50" i="1"/>
  <c r="E50" i="1" s="1"/>
  <c r="D49" i="1"/>
  <c r="E49" i="1" s="1"/>
  <c r="D48" i="1"/>
  <c r="E48" i="1" s="1"/>
  <c r="D47" i="1"/>
  <c r="E47" i="1" s="1"/>
  <c r="D46" i="1"/>
  <c r="E46" i="1" s="1"/>
  <c r="D45" i="1"/>
  <c r="E45" i="1" s="1"/>
  <c r="D44" i="1"/>
  <c r="E44" i="1" s="1"/>
  <c r="D42" i="1"/>
  <c r="E42" i="1" s="1"/>
  <c r="E41" i="1"/>
  <c r="D41" i="1"/>
  <c r="E40" i="1"/>
  <c r="D40" i="1"/>
  <c r="D39" i="1"/>
  <c r="E39" i="1" s="1"/>
  <c r="D38" i="1"/>
  <c r="E38" i="1" s="1"/>
  <c r="D37" i="1"/>
  <c r="E37" i="1" s="1"/>
  <c r="D36" i="1"/>
  <c r="E36" i="1" s="1"/>
  <c r="E35" i="1"/>
  <c r="D35" i="1"/>
  <c r="D33" i="1"/>
  <c r="E33" i="1" s="1"/>
  <c r="D32" i="1"/>
  <c r="E32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E22" i="1"/>
  <c r="D22" i="1"/>
  <c r="E21" i="1"/>
  <c r="D21" i="1"/>
  <c r="D20" i="1"/>
  <c r="E20" i="1" s="1"/>
  <c r="D19" i="1"/>
  <c r="E19" i="1" s="1"/>
  <c r="D18" i="1"/>
  <c r="E18" i="1" s="1"/>
  <c r="D17" i="1"/>
  <c r="E17" i="1" s="1"/>
  <c r="E16" i="1"/>
  <c r="D16" i="1"/>
  <c r="E15" i="1"/>
  <c r="D15" i="1"/>
  <c r="D14" i="1"/>
  <c r="E14" i="1" s="1"/>
  <c r="D13" i="1"/>
  <c r="E13" i="1" s="1"/>
  <c r="D11" i="1"/>
  <c r="E11" i="1" s="1"/>
  <c r="D10" i="1"/>
  <c r="E10" i="1" s="1"/>
  <c r="E9" i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  <c r="E2" i="1" l="1"/>
  <c r="E43" i="1"/>
  <c r="E12" i="1"/>
  <c r="E67" i="1"/>
  <c r="E80" i="1"/>
  <c r="E88" i="1"/>
  <c r="E34" i="1"/>
  <c r="E52" i="1"/>
  <c r="E23" i="1"/>
  <c r="E104" i="1" l="1"/>
</calcChain>
</file>

<file path=xl/sharedStrings.xml><?xml version="1.0" encoding="utf-8"?>
<sst xmlns="http://schemas.openxmlformats.org/spreadsheetml/2006/main" count="689" uniqueCount="313">
  <si>
    <t>Ürün Kodu</t>
  </si>
  <si>
    <t>Ürün İsmi/Açıklama</t>
  </si>
  <si>
    <t>цена</t>
  </si>
  <si>
    <t>сумм.</t>
  </si>
  <si>
    <t>Miktar</t>
  </si>
  <si>
    <t>Birim</t>
  </si>
  <si>
    <t>Marka/Tedarikçi</t>
  </si>
  <si>
    <t>ВРУ-1 / ВРУ1-11-10 (по проекту: вводное устройство 200А)</t>
  </si>
  <si>
    <t>компл.</t>
  </si>
  <si>
    <t>TEKSAN</t>
  </si>
  <si>
    <t>Корпус / шкаф ВРУ1-11-10</t>
  </si>
  <si>
    <t>шт.</t>
  </si>
  <si>
    <t>Трансформатор тока Т-0,66 200/5А</t>
  </si>
  <si>
    <t>Поставщик уточнить</t>
  </si>
  <si>
    <t>521188</t>
  </si>
  <si>
    <t>Плавкая вставка предохранителя RT36-1-250, габарит 1, 200А</t>
  </si>
  <si>
    <t>CHINT</t>
  </si>
  <si>
    <t>521367</t>
  </si>
  <si>
    <t>Держатель плавкой вставки RT36-1-250, габарит 1, 250А</t>
  </si>
  <si>
    <t>Счетчик электроэнергии ЦЭ6850М</t>
  </si>
  <si>
    <t>296708</t>
  </si>
  <si>
    <t>Авт. выкл. NXB-63S 1P 6А 4.5kA х-ка C (R)</t>
  </si>
  <si>
    <t>Конденсатор К73-57 0,47мкФ</t>
  </si>
  <si>
    <t>Монтажный материал</t>
  </si>
  <si>
    <t>EKT/ONKA/KLEMSAN</t>
  </si>
  <si>
    <t>Монтажная работа</t>
  </si>
  <si>
    <t>TEKLED</t>
  </si>
  <si>
    <t>ВРУ-2 / ВРУ1-48-03 (по проекту: распределительное устройство на 10 отходящих линий)</t>
  </si>
  <si>
    <t>Корпус / шкаф ВРУ1-48-03</t>
  </si>
  <si>
    <t>521236</t>
  </si>
  <si>
    <t>Плавкая вставка предохранителя RT36-0-160, габарит 0, 160А</t>
  </si>
  <si>
    <t>521366</t>
  </si>
  <si>
    <t>Держатель плавкой вставки RT36-0-160, габарит 0, 160А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</si>
  <si>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</si>
  <si>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</si>
  <si>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</si>
  <si>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</si>
  <si>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521338</t>
  </si>
  <si>
    <t>Плавкая вставка предохранителя RT36-00-160, габарит 00, 16А</t>
  </si>
  <si>
    <t>521341</t>
  </si>
  <si>
    <t>Плавкая вставка предохранителя RT36-00-160, габарит 00, 32А</t>
  </si>
  <si>
    <t>ВРУ-3 / ВРУ1-17-70 (по проекту: вводное устройство на два ввода по 100А с АВР)</t>
  </si>
  <si>
    <t>Корпус / шкаф ВРУ1-17-70</t>
  </si>
  <si>
    <t>256781</t>
  </si>
  <si>
    <t>Устройство автоматического ввода резерва NXZM-125S/3B 100A (R)</t>
  </si>
  <si>
    <t>Трансформатор тока Т-0,66 100/5А</t>
  </si>
  <si>
    <t>ВРУ-4 / ЩРН-36з</t>
  </si>
  <si>
    <t>Корпус щит распределительный металлический ЩРН-36з</t>
  </si>
  <si>
    <t>816141</t>
  </si>
  <si>
    <t>Авт. выкл. NXB-125 3P 100A 10кА х-ка C (R)</t>
  </si>
  <si>
    <t>296829</t>
  </si>
  <si>
    <t>Авт. выкл. NXB-63S 3P 25А 4.5kA х-ка C (R)</t>
  </si>
  <si>
    <t>296830</t>
  </si>
  <si>
    <t>Авт. выкл. NXB-63S 3P 32А 4.5kA х-ка C (R)</t>
  </si>
  <si>
    <t>296831</t>
  </si>
  <si>
    <t>Авт. выкл. NXB-63S 3P 40А 4.5kA х-ка C (R)</t>
  </si>
  <si>
    <t>296827</t>
  </si>
  <si>
    <t>Авт. выкл. NXB-63S 3P 16А 4.5kA х-ка C (R)</t>
  </si>
  <si>
    <t>ЯУО-9601-3474 / БУО (блок управления освещением ВРУ-2)</t>
  </si>
  <si>
    <t>Корпус / ящик управления освещением ЯУО-9601-3474</t>
  </si>
  <si>
    <t>836720</t>
  </si>
  <si>
    <t>Контактор NXC-16 16A 220В/АС3 1НО+1НЗ 50Гц (R)</t>
  </si>
  <si>
    <t>256717</t>
  </si>
  <si>
    <t>Механическая блокировка MI-5 для NC1-09-32, NXC-09-38 (R)</t>
  </si>
  <si>
    <t>285202</t>
  </si>
  <si>
    <t>Промежуточное реле JZX-22F(D) 3 конт. с инд. LED 5А 220В AC (R)</t>
  </si>
  <si>
    <t>593077</t>
  </si>
  <si>
    <t>Индикатор ND16-22D/2 зеленый AC/DC230В (R)</t>
  </si>
  <si>
    <t>296710</t>
  </si>
  <si>
    <t>Авт. выкл. NXB-63S 1P 16А 4.5kA х-ка C (R)</t>
  </si>
  <si>
    <t>ЩС-1 / ЩРН-36з</t>
  </si>
  <si>
    <t>193182</t>
  </si>
  <si>
    <t>Выключатель нагрузки NXHB-125 3P 40A (R)</t>
  </si>
  <si>
    <t>515380</t>
  </si>
  <si>
    <t>Диф. авт. выкл. NXBLE-63YH 1P+N C16 30mA тип AC, 6kA (R)</t>
  </si>
  <si>
    <t>ЩКл-Д / ЩРН-18з</t>
  </si>
  <si>
    <t>Корпус щит распределительный металлический ЩРН-18з</t>
  </si>
  <si>
    <t>296709</t>
  </si>
  <si>
    <t>Авт. выкл. NXB-63S 1P 10А 4.5kA х-ка C (R)</t>
  </si>
  <si>
    <t>ЩС-СС / ЩРН-18з</t>
  </si>
  <si>
    <t>193181</t>
  </si>
  <si>
    <t>Выключатель нагрузки NXHB-125 3P 32A (R) — замена проектного ВН-32 3P 25A</t>
  </si>
  <si>
    <t>ЩЭ-5 / щиток этажный на 5 квартир</t>
  </si>
  <si>
    <t>Корпус / щиток этажный ЩЭ-5</t>
  </si>
  <si>
    <t>193169</t>
  </si>
  <si>
    <t>Выключатель нагрузки NXHB-125 1P 63A (R)</t>
  </si>
  <si>
    <t>Счетчик электроэнергии CE208 OPRI QYUVFLZ</t>
  </si>
  <si>
    <t>SAIMAN/Поставщик уточнить</t>
  </si>
  <si>
    <t>982018</t>
  </si>
  <si>
    <t>Диф. авт. выкл. NXBLE-63 2P C50 300mA тип AC 6kA (R)</t>
  </si>
  <si>
    <t>ЩК-1; ЩК-2; ЩК-3; ЩК-4; ЩК-5 / квартирные щитки</t>
  </si>
  <si>
    <t>Корпус / бокс ЩРВ-П-24</t>
  </si>
  <si>
    <t>515381</t>
  </si>
  <si>
    <t>Диф. авт. выкл. NXBLE-63YH 1P+N C16 30mA тип A, 6kA (R)</t>
  </si>
  <si>
    <t>515394</t>
  </si>
  <si>
    <t>Диф. авт. выкл. NXBLE-63YH 1P+N C25 30mA тип AC, 6kA (R)</t>
  </si>
  <si>
    <t>ЩУ-САО / система антиобледенения водостоков</t>
  </si>
  <si>
    <t>Корпус щит ШРН-12, IP40 металлический</t>
  </si>
  <si>
    <t>Авт. выкл. NXB-63S 1P 20А 4.5kA х-ка C (по проекту 1P20A)</t>
  </si>
  <si>
    <t>Диф. авт. выкл. NXBLE-63YH 1P+N C25 30mA тип AC, 6kA (замена УЗО АД12 2P 25А)</t>
  </si>
  <si>
    <t>256235</t>
  </si>
  <si>
    <t>Контактор модульный NCH8-25/20 25A 2НО AC220/230В 50Гц (R)</t>
  </si>
  <si>
    <t>Терморегулятор РТ-330 с ДТ</t>
  </si>
  <si>
    <t>Клеммная колодка 11P</t>
  </si>
  <si>
    <t>KLEMSAN/ONKA</t>
  </si>
  <si>
    <t>Клеммник соединительный 10P 450V 41A 6x18</t>
  </si>
  <si>
    <t>ДОПОЛНИТЕЛЬНО ПО СПЕЦИФИКАЦИИ PDF</t>
  </si>
  <si>
    <t>ЯТП-0,25-1ЗУЗ — ящик с понижающим трансформатором 220/36В</t>
  </si>
  <si>
    <t>TEKSAN/Поставщик уточнить</t>
  </si>
  <si>
    <t>ПВР 160А — устройство ПВР для управления лифтом</t>
  </si>
  <si>
    <t>ППНИ-33 габ.00 — комплект предохранителей 32А для управления лифтом</t>
  </si>
  <si>
    <t>ИТОГО</t>
  </si>
  <si>
    <t>515-301-0302</t>
  </si>
  <si>
    <t>Вводное устройство 200А, в комплекте — ВРУ1-11-10 УХЛ4 (ВРУ-1)</t>
  </si>
  <si>
    <t>к-т</t>
  </si>
  <si>
    <t>ТОО Электрокомплект-1</t>
  </si>
  <si>
    <t>Распределительное устройство на 10 отх. линий, в комплекте — ВРУ1-48-03 УХЛ4 (ВРУ-2)</t>
  </si>
  <si>
    <t>Вводное устройство на два ввода по 100А с АВР, в комплекте — ВРУ1-17-70 УХЛ4 (ВРУ-3)</t>
  </si>
  <si>
    <t>Счетчик трехфазный — ЦЭ6850М</t>
  </si>
  <si>
    <t>Трансформатор тока — Т-0,66 200/5А</t>
  </si>
  <si>
    <t>247-201-0105</t>
  </si>
  <si>
    <t>Шкаф распределительный металлический для уст. авт. на DIN рейку — ЩРН-36з-0 36УХЛ3 (ВРУ-4, ЩС-1)</t>
  </si>
  <si>
    <t>247-201-0103</t>
  </si>
  <si>
    <t>Шкаф распределительный металлический для уст. авт. на DIN рейку — ЩРН-18з-0 36УХЛ3 (ЩС-СС, ЩКл-Д)</t>
  </si>
  <si>
    <t>247-204-2525</t>
  </si>
  <si>
    <t>Выключатель нагрузки ~380В, 40А — ВН-32 3P 40A</t>
  </si>
  <si>
    <t>247-204-2523</t>
  </si>
  <si>
    <t>Выключатель нагрузки ~380В, 25А — ВН-32 3P 25A</t>
  </si>
  <si>
    <t>247-204-0763</t>
  </si>
  <si>
    <t>Автоматический выключатель бренд IEK ~380В, 100А — ВА47-100 3P 100A</t>
  </si>
  <si>
    <t>247-204-0761</t>
  </si>
  <si>
    <t>Автоматический выключатель бренд IEK ~380В, 40А — ВА47-29 3P 40A</t>
  </si>
  <si>
    <t>247-204-0760</t>
  </si>
  <si>
    <t>Автоматический выключатель бренд IEK ~380В, 32А — ВА47-29 3P 32A</t>
  </si>
  <si>
    <t>247-204-0759</t>
  </si>
  <si>
    <t>Автоматический выключатель бренд IEK ~380В, 25А — ВА47-29 3P 25A</t>
  </si>
  <si>
    <t>247-204-0757</t>
  </si>
  <si>
    <t>Автоматический выключатель бренд IEK ~380В, 16А — ВА47-29 3P 16A</t>
  </si>
  <si>
    <t>247-204-0713</t>
  </si>
  <si>
    <t>Автоматический выключатель бренд IEK ~220В, 16А — ВА47-29 1P 16A</t>
  </si>
  <si>
    <t>247-204-0711</t>
  </si>
  <si>
    <t>Автоматический выключатель бренд IEK ~220В, 10А — ВА47-29 1P 10A</t>
  </si>
  <si>
    <t>247-204-2810</t>
  </si>
  <si>
    <t>Дифференциальный автоматический выключатель бренд IEK ~220В, 16А — АД12 30мА 2P 16А</t>
  </si>
  <si>
    <t>Щит этажный на 5 квартир с автоматами — ЩЭ-5 лист ЭОМ-9</t>
  </si>
  <si>
    <t>ЩК в комплекте: ВН-32 1P63А, ВА47-29/1/16А, УЗО 16Аx4, УЗО 25Аx1, бокс ЩРв-П-24 — ЩК лист ЭОМ-10, ЭОМ-11</t>
  </si>
  <si>
    <t>247-203-0301</t>
  </si>
  <si>
    <t>Ящик управления освещением — ЯУО-9601-3474</t>
  </si>
  <si>
    <t>Устройство ПВР 160А — ПВР (управление лифтом)</t>
  </si>
  <si>
    <t>Комплект предохранителей на 32А — ППНИ-33 габ.00 (управление лифтом)</t>
  </si>
  <si>
    <t>Розетка для скрытой установки 1-ф одноместная — РС16-227</t>
  </si>
  <si>
    <t>Розетка для скрытой установки 1-ф сдвоенная — РС16-239</t>
  </si>
  <si>
    <t>Розетка брызгозащищенная одноместная IP44 — РА16-214 Л (для стиралки и электрополотенцесушителя)</t>
  </si>
  <si>
    <t>Розетка для электрической плиты — РПп10-01-Ст 3/к о/у 32А (для плиты)</t>
  </si>
  <si>
    <t>Выключатель скрытой установки одноклавишный IP20 — С16-122</t>
  </si>
  <si>
    <t>Выключатель двухклавишный скрытой установки 220В,6А — С56-124</t>
  </si>
  <si>
    <t>Выключатель брызгозащищенный скрытой установки одноклавишный IP44 — С110-124</t>
  </si>
  <si>
    <t>59380</t>
  </si>
  <si>
    <t>Коробка установочная для заливки в бетон, 70x57 мм</t>
  </si>
  <si>
    <t>59386</t>
  </si>
  <si>
    <t>Крышка для коробки установочной, IP40, Ø87 мм</t>
  </si>
  <si>
    <t>59392U</t>
  </si>
  <si>
    <t>Универсальная установочная коробка для заливки в бетон; 90x71; h74</t>
  </si>
  <si>
    <t>Светильник светодиодный ДПО — LED ДПО 4002 12Вт IP54 4000K</t>
  </si>
  <si>
    <t>Светильник светодиодный — LED ДПБ KOMPAS 18W</t>
  </si>
  <si>
    <t>Светильник светодиодный с датчиком движения — LED ДПО REFLEX 15W</t>
  </si>
  <si>
    <t>Светильник светодиодный — OPL/S ECO LED 600 4000K</t>
  </si>
  <si>
    <t>Датчик движения — ДД-МВ 401 (установить внутрь светильника)</t>
  </si>
  <si>
    <t>Колодка клеммная карболитовая 4P 25A — ТВ-2504</t>
  </si>
  <si>
    <t>59391</t>
  </si>
  <si>
    <t>Коробка потолочная для заливки в бетон</t>
  </si>
  <si>
    <t>59387</t>
  </si>
  <si>
    <t>Крышка для коробки потолочной с крюком, IP40, Ø87 мм</t>
  </si>
  <si>
    <t>590*5</t>
  </si>
  <si>
    <t>Крюк изолированный для коробки потолочной</t>
  </si>
  <si>
    <t>59390</t>
  </si>
  <si>
    <t>Втулка концевая для заливки в бетон, Ø20 мм и Ø32 мм</t>
  </si>
  <si>
    <t>Потолочный патрон — E27H-001</t>
  </si>
  <si>
    <t>Настенный патрон — E27ФнП-0,1</t>
  </si>
  <si>
    <t>Переносной светильник с лампой — РВО 42/36В 12м переносн (для ЯТП)</t>
  </si>
  <si>
    <t>Ящик с понижающим трансформатором 220/36В — ЯТП-0,25-1ЗУЗ</t>
  </si>
  <si>
    <t>Звонок электрический 'Сверчок' — СВ-05</t>
  </si>
  <si>
    <t>Электрическая плита — Artel Comarella 01 E (белая)</t>
  </si>
  <si>
    <t>Сжим — У870</t>
  </si>
  <si>
    <t>Пускатель — ПРК32-25 In=25A (для дренажного и канализац. насоса)</t>
  </si>
  <si>
    <t>Металлическая дверь для поквартирных счетчиков (1000x1800h) (см. раздел АР)</t>
  </si>
  <si>
    <t>Сталь полосовая 25x4мм — ГОСТ 103-2006</t>
  </si>
  <si>
    <t>м/кг</t>
  </si>
  <si>
    <t>Сталь полосовая 40x4мм — ГОСТ 103-2006</t>
  </si>
  <si>
    <t>Сталь круглая Ø16 мм, L=5.0м — ГОСТ 7417-75*</t>
  </si>
  <si>
    <t>шт/кг</t>
  </si>
  <si>
    <t>Кабель ПУНГ — ПУНГ 2x1</t>
  </si>
  <si>
    <t>м</t>
  </si>
  <si>
    <t>Лоток перфорированный — 300x100x3000 (30шт установить в шахты)</t>
  </si>
  <si>
    <t>Пожаротушение газовое для шкафов ВРУ — Парафом 1000 (установить внутрь шкафов ВРУ)</t>
  </si>
  <si>
    <t>Светильник сигнальный — 30-265V AC/DC, IP65</t>
  </si>
  <si>
    <t>Техэлектро</t>
  </si>
  <si>
    <t>Блок управления День-Ночь — ДН-1 1x220-1x220 (БУЭО)</t>
  </si>
  <si>
    <t>243-108-0905</t>
  </si>
  <si>
    <t>Кабель с медными жилами, сеч. 5x10мм2 — ВВГнг(А)-FRLS-0,66кВ</t>
  </si>
  <si>
    <t>243-108-0903</t>
  </si>
  <si>
    <t>Кабель с медными жилами, сеч. 5x4мм2 — ВВГнг(А)-FRLS-0,66кВ</t>
  </si>
  <si>
    <t>243-108-0902</t>
  </si>
  <si>
    <t>Кабель с медными жилами, сеч. 5x2,5мм2 — ВВГнг(А)-FRLS-0,66кВ</t>
  </si>
  <si>
    <t>243-108-0901</t>
  </si>
  <si>
    <t>Кабель с медными жилами, сеч. 5x1,5мм2 — ВВГнг(А)-FRLS-0,66кВ</t>
  </si>
  <si>
    <t>243-108-0502</t>
  </si>
  <si>
    <t>Кабель с медными жилами, сеч. 3x2,5мм2 — ВВГнг(А)-FRLS-0,66кВ</t>
  </si>
  <si>
    <t>243-108-0501</t>
  </si>
  <si>
    <t>Кабель с медными жилами, сеч. 3x1,5мм2 — ВВГнг(А)-FRLS-0,66кВ</t>
  </si>
  <si>
    <t>243-112-1123</t>
  </si>
  <si>
    <t>Кабель с алюминиевыми жилами, сеч. 5x185мм2 — АВВГнг(А)-LS-0,66кВ</t>
  </si>
  <si>
    <t>243-112-1122</t>
  </si>
  <si>
    <t>Кабель с алюминиевыми жилами, сеч. 5x150мм2 — АВВГнг(А)-LS-0,66кВ</t>
  </si>
  <si>
    <t>243-112-1118</t>
  </si>
  <si>
    <t>Кабель с алюминиевыми жилами, сеч. 5x50мм2 — АВВГнг(А)-LS-0,66кВ</t>
  </si>
  <si>
    <t>243-107-1005</t>
  </si>
  <si>
    <t>Кабель с медными жилами, сеч. 5x10мм2 — ВВГнг(А)-LS-0,66кВ</t>
  </si>
  <si>
    <t>243-107-1002</t>
  </si>
  <si>
    <t>Кабель с медными жилами, сеч. 5x2,5мм2 — ВВГнг(А)-LS-0,66кВ</t>
  </si>
  <si>
    <t>243-107-0801</t>
  </si>
  <si>
    <t>Кабель с медными жилами, сеч. 4x1,5мм2 — ВВГнг(А)-LS-0,66кВ</t>
  </si>
  <si>
    <t>243-107-0610</t>
  </si>
  <si>
    <t>Кабель с медными жилами, сеч. 3x16мм2 — ВВГнг(А)-LS-0,66кВ</t>
  </si>
  <si>
    <t>243-107-0604</t>
  </si>
  <si>
    <t>Кабель с медными жилами, сеч. 3x6мм2 — ВВГнг(А)-LS-0,66кВ</t>
  </si>
  <si>
    <t>243-107-0603</t>
  </si>
  <si>
    <t>Кабель с медными жилами, сеч. 3x4мм2 — ВВГнг(А)-LS-0,66кВ</t>
  </si>
  <si>
    <t>243-107-0602</t>
  </si>
  <si>
    <t>Кабель с медными жилами, сеч. 3x2,5мм2 — ВВГнг(А)-LS-0,66кВ</t>
  </si>
  <si>
    <t>243-107-0601</t>
  </si>
  <si>
    <t>Кабель с медными жилами, сеч. 3x1,5мм2 — ВВГнг(А)-LS-0,66кВ</t>
  </si>
  <si>
    <t>Кабель с медными жилами, сеч. 1x6мм2 — ПВ-1</t>
  </si>
  <si>
    <t>Труба ПНД гибкая гофр-ная — Ф=20мм</t>
  </si>
  <si>
    <t>Труба ПНД гибкая гофр-ная — Ф=25мм</t>
  </si>
  <si>
    <t>Труба ПНД гибкая гофр-ная — Ф=32мм</t>
  </si>
  <si>
    <t>Труба ПНД (тяжелой серии) — Ф=32мм</t>
  </si>
  <si>
    <t>Труба стальная — Ф=25мм</t>
  </si>
  <si>
    <t>Активное молниезащитное устройство — Forend EU (Молниезащита)</t>
  </si>
  <si>
    <t>Счетчик FOREND (Молниезащита)</t>
  </si>
  <si>
    <t>Мачта облегченная — СМЛП-8.1/3 (Молниезащита)</t>
  </si>
  <si>
    <t>Кронштейн для мачты 150мм стандарт, сталь (Молниезащита)</t>
  </si>
  <si>
    <t>Полоса оцинкованная 40x4мм (Молниезащита)</t>
  </si>
  <si>
    <t>Держатель молоквода на мачте 2'' (Молниезащита)</t>
  </si>
  <si>
    <t>Держатель полоса/пруток для плоской кровли, оцинкованный с бетоном (Молниезащита)</t>
  </si>
  <si>
    <t>Держатель полоса/пруток-полоса/пруток оцинкованный (Молниезащита)</t>
  </si>
  <si>
    <t>Пруток стальной оцинкованный, 10 мм (токоотвод) (Молниезащита)</t>
  </si>
  <si>
    <t>Испытательный зажим (Молниезащита)</t>
  </si>
  <si>
    <t>Комплект растяжек для мачты (Молниезащита)</t>
  </si>
  <si>
    <t>Кабель саморегулирующийся — SRL30-2CR (Система антиобледенения)</t>
  </si>
  <si>
    <t>Комплект концевых заделок (Система антиобледенения)</t>
  </si>
  <si>
    <t>Щит ШРН-12, IP40 металлический (Система антиобледенения)</t>
  </si>
  <si>
    <t>Выключатель автоматический 1P 20A (Система антиобледенения)</t>
  </si>
  <si>
    <t>УЗО АД12 2P 25A (Система антиобледенения)</t>
  </si>
  <si>
    <t>Контактор 2P 25 модульный (Система антиобледенения)</t>
  </si>
  <si>
    <t>Выключатель автоматический 1P 10A (Система антиобледенения)</t>
  </si>
  <si>
    <t>Выключатель автоматический 1P 6A (Система антиобледенения)</t>
  </si>
  <si>
    <t>Терморегулятор PT-330 с ДТ (Система антиобледенения)</t>
  </si>
  <si>
    <t>Клеммная колодка 11P (Система антиобледенения)</t>
  </si>
  <si>
    <t>Клеммник соединительный 10P 450V 41A 6x18 (Система антиобледенения)</t>
  </si>
  <si>
    <t>Коробка пластиковая 110x110x70 (Schneider Electric), IP67 (Система антиобледенения)</t>
  </si>
  <si>
    <t>Кабель ВВГнг(А)-LS 3x1,5мм (Система антиобледенения)</t>
  </si>
  <si>
    <t>Труба гофрированная d=20мм (Система антиобледенения)</t>
  </si>
  <si>
    <t>Кабельный ввод AKS-3 (Система антиобледенения)</t>
  </si>
  <si>
    <t>Силикон (Система антиобледенения)</t>
  </si>
  <si>
    <t>Дюбель хомут 19-25 (Система антиобледенения)</t>
  </si>
  <si>
    <t>Дюбель гвоздь 6x40 (Система антиобледенения)</t>
  </si>
  <si>
    <t>№</t>
  </si>
  <si>
    <t>Durum</t>
  </si>
  <si>
    <t>Pano/Bölüm</t>
  </si>
  <si>
    <t>Stajyer BOM</t>
  </si>
  <si>
    <t>Proje / PDF kontrolü</t>
  </si>
  <si>
    <t>Yapılan düzeltme</t>
  </si>
  <si>
    <t>DÜZELTİLDİ</t>
  </si>
  <si>
    <t>Format</t>
  </si>
  <si>
    <t>11 kolon, karışık Türkçe/Rusça başlıklar; #REF hata vardı</t>
  </si>
  <si>
    <t>Bizim son ticari format 8 kolon: Ürün Kodu | Ürün İsmi/Açıklama | цена | цена | сумм. | Miktar | Birim | Marka/Tedarikçi</t>
  </si>
  <si>
    <t>Ana BOM bu 8 kolona çevrildi, Excel Table/ListObject kullanılmadı.</t>
  </si>
  <si>
    <t>ВРУ-2</t>
  </si>
  <si>
    <t>NXZM-125S/3B 100A АВР eklenmişti</t>
  </si>
  <si>
    <t>PDF resmi spesifikasyonunda ВРУ-2: 'распределительное устройство на 10 отх. линий'; АВР ВРУ-3 içindir</t>
  </si>
  <si>
    <t>ВРУ-2 içinden АВР satırı çıkarıldı.</t>
  </si>
  <si>
    <t>ЦЭ6850М sayaç 4 adet; CT 200/5 6 adet</t>
  </si>
  <si>
    <t>PDF resmi spesifikasyonunda ЦЭ6850М toplam 4 adet; T-0,66 200/5А toplam 6 adet</t>
  </si>
  <si>
    <t>ВРУ-2 sayaç 1 adede indirildi; ВРУ-2 CT satırı kaldırıldı.</t>
  </si>
  <si>
    <t>RT36-00-160 100А плавкая вставка 24 adet</t>
  </si>
  <si>
    <t>PDF tek hatta ВРУ-2 için 100A hat sayısı 6 adet 3-faz = 18 sigorta inserti</t>
  </si>
  <si>
    <t>100A плавкая вставка 18 adede indirildi; holder 24 adet bırakıldı (100A+16A+32A hatlar için).</t>
  </si>
  <si>
    <t>ВРУ-3</t>
  </si>
  <si>
    <t>CT 200/5 yazılmıştı</t>
  </si>
  <si>
    <t>ВРУ-3 опросный лист/tekhat 100/5 CT gösteriyor</t>
  </si>
  <si>
    <t>CT satırı T-0,66 100/5А olarak düzeltildi, 3 adet.</t>
  </si>
  <si>
    <t>ЯУО / БУО</t>
  </si>
  <si>
    <t>Ayrı ЯУО-9601-3474 satırı REF hatası veriyordu; БУО ayrı panel gibi yazılmıştı</t>
  </si>
  <si>
    <t>PDF sayfa 30 satır 20: ЯУО-9601-3474; sayfa 7: БУО ВРУ-2 şeması</t>
  </si>
  <si>
    <t>Panel adı 'ЯУО-9601-3474 / БУО' olarak birleştirildi ve #REF kaldırıldı.</t>
  </si>
  <si>
    <t>ЩУ-САО</t>
  </si>
  <si>
    <t>Sadece kontaktör + dif + 1P16 + termostat vardı</t>
  </si>
  <si>
    <t>PDF antiobledenenie spesifikasyonunda 1P20, 1P10x2, 1P6, klemensler ve ŞРН-12 de var</t>
  </si>
  <si>
    <t>ЩУ-САО malzeme listesi sayfa 35'e göre genişletildi.</t>
  </si>
  <si>
    <t>ЯТП</t>
  </si>
  <si>
    <t>ЯТП-0,25-1ЗУЗ 1 adet ve toplam 0 görünüyordu</t>
  </si>
  <si>
    <t>PDF resmi spesifikasyonunda ЯТП-0,25-1ЗУЗ 3 adet</t>
  </si>
  <si>
    <t>3 adet olarak eklendi.</t>
  </si>
  <si>
    <t>KONTROL</t>
  </si>
  <si>
    <t>ЩС-СС</t>
  </si>
  <si>
    <t>CHINT NXHB-125 3P 32A vardı</t>
  </si>
  <si>
    <t>PDF projesinde ВН-32 3P 25A yazıyor</t>
  </si>
  <si>
    <t>CHINT satırında 32A seçildi ve açıklamaya 'замена проектного 25A' notu yazıldı; satın alma öncesi onay gerekir.</t>
  </si>
  <si>
    <t>Fiyatı boş kalemler</t>
  </si>
  <si>
    <t>Bazı PYS/TEKSAN/ölçüye göre ürünlerde fiyat yoktu</t>
  </si>
  <si>
    <t>PDF teknik kaynak, fiyat listesi değil</t>
  </si>
  <si>
    <t>Fiyatı net olmayan kalemler 0/boş bırakıldı; fiyat girildiğinde сумм. otomatik hesaplanır.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</si>
</sst>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0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4" fontId="0" fillId="0" borderId="0" xfId="0" applyNumberFormat="1" applyAlignment="1">
      <alignment vertical="center" wrapText="1"/>
    </xf>
    <xf numFmtId="4" fontId="0" fillId="0" borderId="7" xfId="0" applyNumberFormat="1" applyBorder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0" fillId="0" borderId="7" xfId="0" applyNumberFormat="1" applyBorder="1" applyAlignment="1">
      <alignment vertical="center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9" xfId="0" applyFont="1" applyFill="1" applyBorder="1" applyAlignment="1">
      <alignment vertical="center" wrapText="1"/>
    </xf>
    <xf numFmtId="4" fontId="4" fillId="3" borderId="9" xfId="0" applyNumberFormat="1" applyFont="1" applyFill="1" applyBorder="1" applyAlignment="1">
      <alignment vertical="center" wrapText="1"/>
    </xf>
    <xf numFmtId="3" fontId="4" fillId="3" borderId="9" xfId="0" applyNumberFormat="1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4" fontId="3" fillId="0" borderId="9" xfId="0" applyNumberFormat="1" applyFont="1" applyBorder="1" applyAlignment="1">
      <alignment vertical="center" wrapText="1"/>
    </xf>
    <xf numFmtId="3" fontId="3" fillId="0" borderId="9" xfId="0" applyNumberFormat="1" applyFont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4" fontId="4" fillId="4" borderId="9" xfId="0" applyNumberFormat="1" applyFont="1" applyFill="1" applyBorder="1" applyAlignment="1">
      <alignment vertical="center" wrapText="1"/>
    </xf>
    <xf numFmtId="3" fontId="4" fillId="4" borderId="9" xfId="0" applyNumberFormat="1" applyFont="1" applyFill="1" applyBorder="1" applyAlignment="1">
      <alignment vertical="center" wrapText="1"/>
    </xf>
    <xf numFmtId="0" fontId="4" fillId="5" borderId="9" xfId="0" applyFont="1" applyFill="1" applyBorder="1" applyAlignment="1">
      <alignment vertical="center" wrapText="1"/>
    </xf>
    <xf numFmtId="4" fontId="4" fillId="5" borderId="9" xfId="0" applyNumberFormat="1" applyFont="1" applyFill="1" applyBorder="1" applyAlignment="1">
      <alignment vertical="center" wrapText="1"/>
    </xf>
    <xf numFmtId="3" fontId="4" fillId="5" borderId="9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workbookViewId="0">
      <selection activeCell="D10" sqref="D10"/>
    </sheetView>
  </sheetViews>
  <sheetFormatPr defaultRowHeight="26.25" customHeight="1"/>
  <cols>
    <col min="1" max="1" width="18" style="24" customWidth="1"/>
    <col min="2" max="2" width="58" style="24" customWidth="1"/>
    <col min="3" max="4" width="12" style="24" customWidth="1"/>
    <col min="5" max="5" width="14" style="24" customWidth="1"/>
    <col min="6" max="6" width="10" style="24" customWidth="1"/>
    <col min="7" max="7" width="12" style="24" customWidth="1"/>
    <col min="8" max="8" width="22" style="24" customWidth="1"/>
    <col min="9" max="16384" width="9" style="24"/>
  </cols>
  <sheetData>
    <row r="1" spans="1:8" ht="26.25" customHeight="1">
      <c r="A1" s="23" t="s">
        <v>0</v>
      </c>
      <c r="B1" s="23" t="s">
        <v>1</v>
      </c>
      <c r="C1" s="23" t="s">
        <v>2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</row>
    <row r="2" spans="1:8" ht="26.25" customHeight="1">
      <c r="A2" s="25"/>
      <c r="B2" s="25" t="s">
        <v>7</v>
      </c>
      <c r="C2" s="26"/>
      <c r="D2" s="26"/>
      <c r="E2" s="26">
        <f>SUM(E3:E11)*F2</f>
        <v>66451.199999999997</v>
      </c>
      <c r="F2" s="27">
        <v>1</v>
      </c>
      <c r="G2" s="25" t="s">
        <v>8</v>
      </c>
      <c r="H2" s="25" t="s">
        <v>9</v>
      </c>
    </row>
    <row r="3" spans="1:8" ht="26.25" customHeight="1">
      <c r="A3" s="28"/>
      <c r="B3" s="28" t="s">
        <v>10</v>
      </c>
      <c r="C3" s="29"/>
      <c r="D3" s="29">
        <f t="shared" ref="D3:D11" si="0">IFERROR(IF(C3="",0,C3*0.6),0)</f>
        <v>0</v>
      </c>
      <c r="E3" s="29">
        <f t="shared" ref="E3:E11" si="1">IFERROR(D3*F3,0)</f>
        <v>0</v>
      </c>
      <c r="F3" s="30">
        <v>1</v>
      </c>
      <c r="G3" s="28" t="s">
        <v>11</v>
      </c>
      <c r="H3" s="28" t="s">
        <v>9</v>
      </c>
    </row>
    <row r="4" spans="1:8" ht="26.25" customHeight="1">
      <c r="A4" s="28"/>
      <c r="B4" s="28" t="s">
        <v>12</v>
      </c>
      <c r="C4" s="29">
        <v>2606</v>
      </c>
      <c r="D4" s="29">
        <f t="shared" si="0"/>
        <v>1563.6</v>
      </c>
      <c r="E4" s="29">
        <f t="shared" si="1"/>
        <v>9381.5999999999985</v>
      </c>
      <c r="F4" s="30">
        <v>6</v>
      </c>
      <c r="G4" s="28" t="s">
        <v>11</v>
      </c>
      <c r="H4" s="28" t="s">
        <v>13</v>
      </c>
    </row>
    <row r="5" spans="1:8" ht="26.25" customHeight="1">
      <c r="A5" s="28" t="s">
        <v>14</v>
      </c>
      <c r="B5" s="28" t="s">
        <v>15</v>
      </c>
      <c r="C5" s="29">
        <v>3302</v>
      </c>
      <c r="D5" s="29">
        <f t="shared" si="0"/>
        <v>1981.1999999999998</v>
      </c>
      <c r="E5" s="29">
        <f t="shared" si="1"/>
        <v>11887.199999999999</v>
      </c>
      <c r="F5" s="30">
        <v>6</v>
      </c>
      <c r="G5" s="28" t="s">
        <v>11</v>
      </c>
      <c r="H5" s="28" t="s">
        <v>16</v>
      </c>
    </row>
    <row r="6" spans="1:8" ht="26.25" customHeight="1">
      <c r="A6" s="28" t="s">
        <v>17</v>
      </c>
      <c r="B6" s="28" t="s">
        <v>18</v>
      </c>
      <c r="C6" s="29">
        <v>4750</v>
      </c>
      <c r="D6" s="29">
        <f t="shared" si="0"/>
        <v>2850</v>
      </c>
      <c r="E6" s="29">
        <f t="shared" si="1"/>
        <v>17100</v>
      </c>
      <c r="F6" s="30">
        <v>6</v>
      </c>
      <c r="G6" s="28" t="s">
        <v>11</v>
      </c>
      <c r="H6" s="28" t="s">
        <v>16</v>
      </c>
    </row>
    <row r="7" spans="1:8" ht="26.25" customHeight="1">
      <c r="A7" s="28"/>
      <c r="B7" s="28" t="s">
        <v>19</v>
      </c>
      <c r="C7" s="29"/>
      <c r="D7" s="29">
        <f t="shared" si="0"/>
        <v>0</v>
      </c>
      <c r="E7" s="29">
        <f t="shared" si="1"/>
        <v>0</v>
      </c>
      <c r="F7" s="30">
        <v>2</v>
      </c>
      <c r="G7" s="28" t="s">
        <v>11</v>
      </c>
      <c r="H7" s="28" t="s">
        <v>13</v>
      </c>
    </row>
    <row r="8" spans="1:8" ht="26.25" customHeight="1">
      <c r="A8" s="28" t="s">
        <v>20</v>
      </c>
      <c r="B8" s="28" t="s">
        <v>21</v>
      </c>
      <c r="C8" s="29">
        <v>902</v>
      </c>
      <c r="D8" s="29">
        <f t="shared" si="0"/>
        <v>541.19999999999993</v>
      </c>
      <c r="E8" s="29">
        <f t="shared" si="1"/>
        <v>1082.3999999999999</v>
      </c>
      <c r="F8" s="30">
        <v>2</v>
      </c>
      <c r="G8" s="28" t="s">
        <v>11</v>
      </c>
      <c r="H8" s="28" t="s">
        <v>16</v>
      </c>
    </row>
    <row r="9" spans="1:8" ht="26.25" customHeight="1">
      <c r="A9" s="28"/>
      <c r="B9" s="28" t="s">
        <v>22</v>
      </c>
      <c r="C9" s="29">
        <v>4500</v>
      </c>
      <c r="D9" s="29">
        <f>C9</f>
        <v>4500</v>
      </c>
      <c r="E9" s="29">
        <f t="shared" si="1"/>
        <v>27000</v>
      </c>
      <c r="F9" s="30">
        <v>6</v>
      </c>
      <c r="G9" s="28" t="s">
        <v>11</v>
      </c>
      <c r="H9" s="28" t="s">
        <v>13</v>
      </c>
    </row>
    <row r="10" spans="1:8" ht="26.25" customHeight="1">
      <c r="A10" s="28"/>
      <c r="B10" s="28" t="s">
        <v>23</v>
      </c>
      <c r="C10" s="29"/>
      <c r="D10" s="29">
        <f t="shared" si="0"/>
        <v>0</v>
      </c>
      <c r="E10" s="29">
        <f t="shared" si="1"/>
        <v>0</v>
      </c>
      <c r="F10" s="30">
        <v>1</v>
      </c>
      <c r="G10" s="28" t="s">
        <v>8</v>
      </c>
      <c r="H10" s="28" t="s">
        <v>24</v>
      </c>
    </row>
    <row r="11" spans="1:8" ht="26.25" customHeight="1">
      <c r="A11" s="28"/>
      <c r="B11" s="28" t="s">
        <v>25</v>
      </c>
      <c r="C11" s="29"/>
      <c r="D11" s="29">
        <f t="shared" si="0"/>
        <v>0</v>
      </c>
      <c r="E11" s="29">
        <f t="shared" si="1"/>
        <v>0</v>
      </c>
      <c r="F11" s="30">
        <v>1</v>
      </c>
      <c r="G11" s="28" t="s">
        <v>8</v>
      </c>
      <c r="H11" s="28" t="s">
        <v>26</v>
      </c>
    </row>
    <row r="12" spans="1:8" ht="26.25" customHeight="1">
      <c r="A12" s="25"/>
      <c r="B12" s="25" t="s">
        <v>27</v>
      </c>
      <c r="C12" s="26"/>
      <c r="D12" s="26"/>
      <c r="E12" s="26">
        <f>SUM(E13:E22)*F12</f>
        <v>70639.199999999997</v>
      </c>
      <c r="F12" s="27">
        <v>1</v>
      </c>
      <c r="G12" s="25" t="s">
        <v>8</v>
      </c>
      <c r="H12" s="25" t="s">
        <v>9</v>
      </c>
    </row>
    <row r="13" spans="1:8" ht="26.25" customHeight="1">
      <c r="A13" s="28"/>
      <c r="B13" s="28" t="s">
        <v>28</v>
      </c>
      <c r="C13" s="29"/>
      <c r="D13" s="29">
        <f t="shared" ref="D13:D22" si="2">IFERROR(IF(C13="",0,C13*0.6),0)</f>
        <v>0</v>
      </c>
      <c r="E13" s="29">
        <f t="shared" ref="E13:E22" si="3">IFERROR(D13*F13,0)</f>
        <v>0</v>
      </c>
      <c r="F13" s="30">
        <v>1</v>
      </c>
      <c r="G13" s="28" t="s">
        <v>11</v>
      </c>
      <c r="H13" s="28" t="s">
        <v>9</v>
      </c>
    </row>
    <row r="14" spans="1:8" ht="26.25" customHeight="1">
      <c r="A14" s="28" t="s">
        <v>29</v>
      </c>
      <c r="B14" s="28" t="s">
        <v>30</v>
      </c>
      <c r="C14" s="29">
        <v>2225</v>
      </c>
      <c r="D14" s="29">
        <f t="shared" si="2"/>
        <v>1335</v>
      </c>
      <c r="E14" s="29">
        <f t="shared" si="3"/>
        <v>8010</v>
      </c>
      <c r="F14" s="30">
        <v>6</v>
      </c>
      <c r="G14" s="28" t="s">
        <v>11</v>
      </c>
      <c r="H14" s="28" t="s">
        <v>16</v>
      </c>
    </row>
    <row r="15" spans="1:8" ht="26.25" customHeight="1">
      <c r="A15" s="28" t="s">
        <v>31</v>
      </c>
      <c r="B15" s="28" t="s">
        <v>32</v>
      </c>
      <c r="C15" s="29">
        <v>3100</v>
      </c>
      <c r="D15" s="29">
        <f t="shared" si="2"/>
        <v>1860</v>
      </c>
      <c r="E15" s="29">
        <f t="shared" si="3"/>
        <v>11160</v>
      </c>
      <c r="F15" s="30">
        <v>6</v>
      </c>
      <c r="G15" s="28" t="s">
        <v>11</v>
      </c>
      <c r="H15" s="28" t="s">
        <v>16</v>
      </c>
    </row>
    <row r="16" spans="1:8" ht="26.25" customHeight="1">
      <c r="A16" s="28" t="s">
        <v>33</v>
      </c>
      <c r="B16" s="28" t="s">
        <v>34</v>
      </c>
      <c r="C16" s="29">
        <v>1545</v>
      </c>
      <c r="D16" s="29">
        <f t="shared" si="2"/>
        <v>927</v>
      </c>
      <c r="E16" s="29">
        <f t="shared" si="3"/>
        <v>16686</v>
      </c>
      <c r="F16" s="30">
        <v>18</v>
      </c>
      <c r="G16" s="28" t="s">
        <v>11</v>
      </c>
      <c r="H16" s="28" t="s">
        <v>16</v>
      </c>
    </row>
    <row r="17" spans="1:8" ht="26.25" customHeight="1">
      <c r="A17" s="28" t="s">
        <v>35</v>
      </c>
      <c r="B17" s="28" t="s">
        <v>36</v>
      </c>
      <c r="C17" s="29">
        <v>2038</v>
      </c>
      <c r="D17" s="29">
        <f t="shared" si="2"/>
        <v>1222.8</v>
      </c>
      <c r="E17" s="29">
        <f t="shared" si="3"/>
        <v>29347.199999999997</v>
      </c>
      <c r="F17" s="30">
        <v>24</v>
      </c>
      <c r="G17" s="28" t="s">
        <v>11</v>
      </c>
      <c r="H17" s="28" t="s">
        <v>16</v>
      </c>
    </row>
    <row r="18" spans="1:8" ht="26.25" customHeight="1">
      <c r="A18" s="28" t="s">
        <v>37</v>
      </c>
      <c r="B18" s="28" t="s">
        <v>38</v>
      </c>
      <c r="C18" s="29">
        <v>1510</v>
      </c>
      <c r="D18" s="29">
        <f t="shared" si="2"/>
        <v>906</v>
      </c>
      <c r="E18" s="29">
        <f t="shared" si="3"/>
        <v>2718</v>
      </c>
      <c r="F18" s="30">
        <v>3</v>
      </c>
      <c r="G18" s="28" t="s">
        <v>11</v>
      </c>
      <c r="H18" s="28" t="s">
        <v>16</v>
      </c>
    </row>
    <row r="19" spans="1:8" ht="26.25" customHeight="1">
      <c r="A19" s="28" t="s">
        <v>39</v>
      </c>
      <c r="B19" s="28" t="s">
        <v>40</v>
      </c>
      <c r="C19" s="29">
        <v>1510</v>
      </c>
      <c r="D19" s="29">
        <f t="shared" si="2"/>
        <v>906</v>
      </c>
      <c r="E19" s="29">
        <f t="shared" si="3"/>
        <v>2718</v>
      </c>
      <c r="F19" s="30">
        <v>3</v>
      </c>
      <c r="G19" s="28" t="s">
        <v>11</v>
      </c>
      <c r="H19" s="28" t="s">
        <v>16</v>
      </c>
    </row>
    <row r="20" spans="1:8" ht="26.25" customHeight="1">
      <c r="A20" s="28"/>
      <c r="B20" s="28" t="s">
        <v>19</v>
      </c>
      <c r="C20" s="29"/>
      <c r="D20" s="29">
        <f t="shared" si="2"/>
        <v>0</v>
      </c>
      <c r="E20" s="29">
        <f t="shared" si="3"/>
        <v>0</v>
      </c>
      <c r="F20" s="30">
        <v>1</v>
      </c>
      <c r="G20" s="28" t="s">
        <v>11</v>
      </c>
      <c r="H20" s="28" t="s">
        <v>13</v>
      </c>
    </row>
    <row r="21" spans="1:8" ht="26.25" customHeight="1">
      <c r="A21" s="28"/>
      <c r="B21" s="28" t="s">
        <v>23</v>
      </c>
      <c r="C21" s="29"/>
      <c r="D21" s="29">
        <f t="shared" si="2"/>
        <v>0</v>
      </c>
      <c r="E21" s="29">
        <f t="shared" si="3"/>
        <v>0</v>
      </c>
      <c r="F21" s="30">
        <v>1</v>
      </c>
      <c r="G21" s="28" t="s">
        <v>8</v>
      </c>
      <c r="H21" s="28" t="s">
        <v>24</v>
      </c>
    </row>
    <row r="22" spans="1:8" ht="26.25" customHeight="1">
      <c r="A22" s="28"/>
      <c r="B22" s="28" t="s">
        <v>25</v>
      </c>
      <c r="C22" s="29"/>
      <c r="D22" s="29">
        <f t="shared" si="2"/>
        <v>0</v>
      </c>
      <c r="E22" s="29">
        <f t="shared" si="3"/>
        <v>0</v>
      </c>
      <c r="F22" s="30">
        <v>1</v>
      </c>
      <c r="G22" s="28" t="s">
        <v>8</v>
      </c>
      <c r="H22" s="28" t="s">
        <v>26</v>
      </c>
    </row>
    <row r="23" spans="1:8" ht="26.25" customHeight="1">
      <c r="A23" s="25"/>
      <c r="B23" s="25" t="s">
        <v>41</v>
      </c>
      <c r="C23" s="26"/>
      <c r="D23" s="26"/>
      <c r="E23" s="26">
        <f>SUM(E24:E33)*F23</f>
        <v>143105.4</v>
      </c>
      <c r="F23" s="27">
        <v>1</v>
      </c>
      <c r="G23" s="25" t="s">
        <v>8</v>
      </c>
      <c r="H23" s="25" t="s">
        <v>9</v>
      </c>
    </row>
    <row r="24" spans="1:8" ht="26.25" customHeight="1">
      <c r="A24" s="28"/>
      <c r="B24" s="28" t="s">
        <v>42</v>
      </c>
      <c r="C24" s="29"/>
      <c r="D24" s="29">
        <f t="shared" ref="D24:D33" si="4">IFERROR(IF(C24="",0,C24*0.6),0)</f>
        <v>0</v>
      </c>
      <c r="E24" s="29">
        <f t="shared" ref="E24:E33" si="5">IFERROR(D24*F24,0)</f>
        <v>0</v>
      </c>
      <c r="F24" s="30">
        <v>1</v>
      </c>
      <c r="G24" s="28" t="s">
        <v>11</v>
      </c>
      <c r="H24" s="28" t="s">
        <v>9</v>
      </c>
    </row>
    <row r="25" spans="1:8" ht="26.25" customHeight="1">
      <c r="A25" s="28" t="s">
        <v>43</v>
      </c>
      <c r="B25" s="28" t="s">
        <v>44</v>
      </c>
      <c r="C25" s="29">
        <v>207389</v>
      </c>
      <c r="D25" s="29">
        <f t="shared" si="4"/>
        <v>124433.4</v>
      </c>
      <c r="E25" s="29">
        <f t="shared" si="5"/>
        <v>124433.4</v>
      </c>
      <c r="F25" s="30">
        <v>1</v>
      </c>
      <c r="G25" s="28" t="s">
        <v>11</v>
      </c>
      <c r="H25" s="28" t="s">
        <v>16</v>
      </c>
    </row>
    <row r="26" spans="1:8" ht="26.25" customHeight="1">
      <c r="A26" s="28"/>
      <c r="B26" s="28" t="s">
        <v>45</v>
      </c>
      <c r="C26" s="29">
        <v>2606</v>
      </c>
      <c r="D26" s="29">
        <f t="shared" si="4"/>
        <v>1563.6</v>
      </c>
      <c r="E26" s="29">
        <f t="shared" si="5"/>
        <v>4690.7999999999993</v>
      </c>
      <c r="F26" s="30">
        <v>3</v>
      </c>
      <c r="G26" s="28" t="s">
        <v>11</v>
      </c>
      <c r="H26" s="28" t="s">
        <v>13</v>
      </c>
    </row>
    <row r="27" spans="1:8" ht="26.25" customHeight="1">
      <c r="A27" s="28" t="s">
        <v>33</v>
      </c>
      <c r="B27" s="28" t="s">
        <v>34</v>
      </c>
      <c r="C27" s="29">
        <v>1545</v>
      </c>
      <c r="D27" s="29">
        <f t="shared" si="4"/>
        <v>927</v>
      </c>
      <c r="E27" s="29">
        <f t="shared" si="5"/>
        <v>5562</v>
      </c>
      <c r="F27" s="30">
        <v>6</v>
      </c>
      <c r="G27" s="28" t="s">
        <v>11</v>
      </c>
      <c r="H27" s="28" t="s">
        <v>16</v>
      </c>
    </row>
    <row r="28" spans="1:8" ht="26.25" customHeight="1">
      <c r="A28" s="28" t="s">
        <v>35</v>
      </c>
      <c r="B28" s="28" t="s">
        <v>36</v>
      </c>
      <c r="C28" s="29">
        <v>2038</v>
      </c>
      <c r="D28" s="29">
        <f t="shared" si="4"/>
        <v>1222.8</v>
      </c>
      <c r="E28" s="29">
        <f t="shared" si="5"/>
        <v>7336.7999999999993</v>
      </c>
      <c r="F28" s="30">
        <v>6</v>
      </c>
      <c r="G28" s="28" t="s">
        <v>11</v>
      </c>
      <c r="H28" s="28" t="s">
        <v>16</v>
      </c>
    </row>
    <row r="29" spans="1:8" ht="26.25" customHeight="1">
      <c r="A29" s="28"/>
      <c r="B29" s="28" t="s">
        <v>19</v>
      </c>
      <c r="C29" s="29"/>
      <c r="D29" s="29">
        <f t="shared" si="4"/>
        <v>0</v>
      </c>
      <c r="E29" s="29">
        <f t="shared" si="5"/>
        <v>0</v>
      </c>
      <c r="F29" s="30">
        <v>1</v>
      </c>
      <c r="G29" s="28" t="s">
        <v>11</v>
      </c>
      <c r="H29" s="28" t="s">
        <v>13</v>
      </c>
    </row>
    <row r="30" spans="1:8" ht="26.25" customHeight="1">
      <c r="A30" s="28" t="s">
        <v>20</v>
      </c>
      <c r="B30" s="28" t="s">
        <v>21</v>
      </c>
      <c r="C30" s="29">
        <v>902</v>
      </c>
      <c r="D30" s="29">
        <f t="shared" si="4"/>
        <v>541.19999999999993</v>
      </c>
      <c r="E30" s="29">
        <f t="shared" si="5"/>
        <v>1082.3999999999999</v>
      </c>
      <c r="F30" s="30">
        <v>2</v>
      </c>
      <c r="G30" s="28" t="s">
        <v>11</v>
      </c>
      <c r="H30" s="28" t="s">
        <v>16</v>
      </c>
    </row>
    <row r="31" spans="1:8" ht="26.25" customHeight="1">
      <c r="A31" s="28"/>
      <c r="B31" s="28" t="s">
        <v>22</v>
      </c>
      <c r="C31" s="29"/>
      <c r="D31" s="29">
        <f t="shared" si="4"/>
        <v>0</v>
      </c>
      <c r="E31" s="29">
        <f t="shared" si="5"/>
        <v>0</v>
      </c>
      <c r="F31" s="30">
        <v>6</v>
      </c>
      <c r="G31" s="28" t="s">
        <v>11</v>
      </c>
      <c r="H31" s="28" t="s">
        <v>13</v>
      </c>
    </row>
    <row r="32" spans="1:8" ht="26.25" customHeight="1">
      <c r="A32" s="28"/>
      <c r="B32" s="28" t="s">
        <v>23</v>
      </c>
      <c r="C32" s="29"/>
      <c r="D32" s="29">
        <f t="shared" si="4"/>
        <v>0</v>
      </c>
      <c r="E32" s="29">
        <f t="shared" si="5"/>
        <v>0</v>
      </c>
      <c r="F32" s="30">
        <v>1</v>
      </c>
      <c r="G32" s="28" t="s">
        <v>8</v>
      </c>
      <c r="H32" s="28" t="s">
        <v>24</v>
      </c>
    </row>
    <row r="33" spans="1:8" ht="26.25" customHeight="1">
      <c r="A33" s="28"/>
      <c r="B33" s="28" t="s">
        <v>25</v>
      </c>
      <c r="C33" s="29"/>
      <c r="D33" s="29">
        <f t="shared" si="4"/>
        <v>0</v>
      </c>
      <c r="E33" s="29">
        <f t="shared" si="5"/>
        <v>0</v>
      </c>
      <c r="F33" s="30">
        <v>1</v>
      </c>
      <c r="G33" s="28" t="s">
        <v>8</v>
      </c>
      <c r="H33" s="28" t="s">
        <v>26</v>
      </c>
    </row>
    <row r="34" spans="1:8" ht="26.25" customHeight="1">
      <c r="A34" s="25"/>
      <c r="B34" s="25" t="s">
        <v>46</v>
      </c>
      <c r="C34" s="26"/>
      <c r="D34" s="26"/>
      <c r="E34" s="26">
        <f>SUM(E35:E42)*F34</f>
        <v>15631.200000000003</v>
      </c>
      <c r="F34" s="27">
        <v>1</v>
      </c>
      <c r="G34" s="25" t="s">
        <v>8</v>
      </c>
      <c r="H34" s="25" t="s">
        <v>9</v>
      </c>
    </row>
    <row r="35" spans="1:8" ht="26.25" customHeight="1">
      <c r="A35" s="28"/>
      <c r="B35" s="28" t="s">
        <v>47</v>
      </c>
      <c r="C35" s="29"/>
      <c r="D35" s="29">
        <f t="shared" ref="D35:D42" si="6">IFERROR(IF(C35="",0,C35*0.6),0)</f>
        <v>0</v>
      </c>
      <c r="E35" s="29">
        <f t="shared" ref="E35:E42" si="7">IFERROR(D35*F35,0)</f>
        <v>0</v>
      </c>
      <c r="F35" s="30">
        <v>1</v>
      </c>
      <c r="G35" s="28" t="s">
        <v>11</v>
      </c>
      <c r="H35" s="28" t="s">
        <v>9</v>
      </c>
    </row>
    <row r="36" spans="1:8" ht="26.25" customHeight="1">
      <c r="A36" s="28" t="s">
        <v>48</v>
      </c>
      <c r="B36" s="28" t="s">
        <v>49</v>
      </c>
      <c r="C36" s="29">
        <v>11015</v>
      </c>
      <c r="D36" s="29">
        <f t="shared" si="6"/>
        <v>6609</v>
      </c>
      <c r="E36" s="29">
        <f t="shared" si="7"/>
        <v>6609</v>
      </c>
      <c r="F36" s="30">
        <v>1</v>
      </c>
      <c r="G36" s="28" t="s">
        <v>11</v>
      </c>
      <c r="H36" s="28" t="s">
        <v>16</v>
      </c>
    </row>
    <row r="37" spans="1:8" ht="26.25" customHeight="1">
      <c r="A37" s="28" t="s">
        <v>50</v>
      </c>
      <c r="B37" s="28" t="s">
        <v>51</v>
      </c>
      <c r="C37" s="29">
        <v>2429</v>
      </c>
      <c r="D37" s="29">
        <f t="shared" si="6"/>
        <v>1457.3999999999999</v>
      </c>
      <c r="E37" s="29">
        <f t="shared" si="7"/>
        <v>4372.2</v>
      </c>
      <c r="F37" s="30">
        <v>3</v>
      </c>
      <c r="G37" s="28" t="s">
        <v>11</v>
      </c>
      <c r="H37" s="28" t="s">
        <v>16</v>
      </c>
    </row>
    <row r="38" spans="1:8" ht="26.25" customHeight="1">
      <c r="A38" s="28" t="s">
        <v>52</v>
      </c>
      <c r="B38" s="28" t="s">
        <v>53</v>
      </c>
      <c r="C38" s="29">
        <v>2606</v>
      </c>
      <c r="D38" s="29">
        <f t="shared" si="6"/>
        <v>1563.6</v>
      </c>
      <c r="E38" s="29">
        <f t="shared" si="7"/>
        <v>1563.6</v>
      </c>
      <c r="F38" s="30">
        <v>1</v>
      </c>
      <c r="G38" s="28" t="s">
        <v>11</v>
      </c>
      <c r="H38" s="28" t="s">
        <v>16</v>
      </c>
    </row>
    <row r="39" spans="1:8" ht="26.25" customHeight="1">
      <c r="A39" s="28" t="s">
        <v>54</v>
      </c>
      <c r="B39" s="28" t="s">
        <v>55</v>
      </c>
      <c r="C39" s="29">
        <v>2807</v>
      </c>
      <c r="D39" s="29">
        <f t="shared" si="6"/>
        <v>1684.2</v>
      </c>
      <c r="E39" s="29">
        <f t="shared" si="7"/>
        <v>1684.2</v>
      </c>
      <c r="F39" s="30">
        <v>1</v>
      </c>
      <c r="G39" s="28" t="s">
        <v>11</v>
      </c>
      <c r="H39" s="28" t="s">
        <v>16</v>
      </c>
    </row>
    <row r="40" spans="1:8" ht="26.25" customHeight="1">
      <c r="A40" s="28" t="s">
        <v>56</v>
      </c>
      <c r="B40" s="28" t="s">
        <v>57</v>
      </c>
      <c r="C40" s="29">
        <v>2337</v>
      </c>
      <c r="D40" s="29">
        <f t="shared" si="6"/>
        <v>1402.2</v>
      </c>
      <c r="E40" s="29">
        <f t="shared" si="7"/>
        <v>1402.2</v>
      </c>
      <c r="F40" s="30">
        <v>1</v>
      </c>
      <c r="G40" s="28" t="s">
        <v>11</v>
      </c>
      <c r="H40" s="28" t="s">
        <v>16</v>
      </c>
    </row>
    <row r="41" spans="1:8" ht="26.25" customHeight="1">
      <c r="A41" s="28"/>
      <c r="B41" s="28" t="s">
        <v>23</v>
      </c>
      <c r="C41" s="29"/>
      <c r="D41" s="29">
        <f t="shared" si="6"/>
        <v>0</v>
      </c>
      <c r="E41" s="29">
        <f t="shared" si="7"/>
        <v>0</v>
      </c>
      <c r="F41" s="30">
        <v>1</v>
      </c>
      <c r="G41" s="28" t="s">
        <v>8</v>
      </c>
      <c r="H41" s="28" t="s">
        <v>24</v>
      </c>
    </row>
    <row r="42" spans="1:8" ht="26.25" customHeight="1">
      <c r="A42" s="28"/>
      <c r="B42" s="28" t="s">
        <v>25</v>
      </c>
      <c r="C42" s="29"/>
      <c r="D42" s="29">
        <f t="shared" si="6"/>
        <v>0</v>
      </c>
      <c r="E42" s="29">
        <f t="shared" si="7"/>
        <v>0</v>
      </c>
      <c r="F42" s="30">
        <v>1</v>
      </c>
      <c r="G42" s="28" t="s">
        <v>8</v>
      </c>
      <c r="H42" s="28" t="s">
        <v>26</v>
      </c>
    </row>
    <row r="43" spans="1:8" ht="26.25" customHeight="1">
      <c r="A43" s="25"/>
      <c r="B43" s="25" t="s">
        <v>58</v>
      </c>
      <c r="C43" s="26"/>
      <c r="D43" s="26"/>
      <c r="E43" s="26">
        <f>SUM(E44:E51)*F43</f>
        <v>17457.599999999999</v>
      </c>
      <c r="F43" s="27">
        <v>1</v>
      </c>
      <c r="G43" s="25" t="s">
        <v>8</v>
      </c>
      <c r="H43" s="25" t="s">
        <v>9</v>
      </c>
    </row>
    <row r="44" spans="1:8" ht="26.25" customHeight="1">
      <c r="A44" s="28"/>
      <c r="B44" s="28" t="s">
        <v>59</v>
      </c>
      <c r="C44" s="29"/>
      <c r="D44" s="29">
        <f t="shared" ref="D44:D51" si="8">IFERROR(IF(C44="",0,C44*0.6),0)</f>
        <v>0</v>
      </c>
      <c r="E44" s="29">
        <f t="shared" ref="E44:E51" si="9">IFERROR(D44*F44,0)</f>
        <v>0</v>
      </c>
      <c r="F44" s="30">
        <v>1</v>
      </c>
      <c r="G44" s="28" t="s">
        <v>11</v>
      </c>
      <c r="H44" s="28" t="s">
        <v>9</v>
      </c>
    </row>
    <row r="45" spans="1:8" ht="26.25" customHeight="1">
      <c r="A45" s="28" t="s">
        <v>60</v>
      </c>
      <c r="B45" s="28" t="s">
        <v>61</v>
      </c>
      <c r="C45" s="29">
        <v>5341</v>
      </c>
      <c r="D45" s="29">
        <f t="shared" si="8"/>
        <v>3204.6</v>
      </c>
      <c r="E45" s="29">
        <f t="shared" si="9"/>
        <v>6409.2</v>
      </c>
      <c r="F45" s="30">
        <v>2</v>
      </c>
      <c r="G45" s="28" t="s">
        <v>11</v>
      </c>
      <c r="H45" s="28" t="s">
        <v>16</v>
      </c>
    </row>
    <row r="46" spans="1:8" ht="26.25" customHeight="1">
      <c r="A46" s="28" t="s">
        <v>62</v>
      </c>
      <c r="B46" s="28" t="s">
        <v>63</v>
      </c>
      <c r="C46" s="29">
        <v>1078</v>
      </c>
      <c r="D46" s="29">
        <f t="shared" si="8"/>
        <v>646.79999999999995</v>
      </c>
      <c r="E46" s="29">
        <f t="shared" si="9"/>
        <v>1293.5999999999999</v>
      </c>
      <c r="F46" s="30">
        <v>2</v>
      </c>
      <c r="G46" s="28" t="s">
        <v>11</v>
      </c>
      <c r="H46" s="28" t="s">
        <v>16</v>
      </c>
    </row>
    <row r="47" spans="1:8" ht="26.25" customHeight="1">
      <c r="A47" s="28" t="s">
        <v>64</v>
      </c>
      <c r="B47" s="28" t="s">
        <v>65</v>
      </c>
      <c r="C47" s="29">
        <v>1575</v>
      </c>
      <c r="D47" s="29">
        <f t="shared" si="8"/>
        <v>945</v>
      </c>
      <c r="E47" s="29">
        <f t="shared" si="9"/>
        <v>945</v>
      </c>
      <c r="F47" s="30">
        <v>1</v>
      </c>
      <c r="G47" s="28" t="s">
        <v>11</v>
      </c>
      <c r="H47" s="28" t="s">
        <v>16</v>
      </c>
    </row>
    <row r="48" spans="1:8" ht="26.25" customHeight="1">
      <c r="A48" s="28" t="s">
        <v>66</v>
      </c>
      <c r="B48" s="28" t="s">
        <v>67</v>
      </c>
      <c r="C48" s="29">
        <v>589</v>
      </c>
      <c r="D48" s="29">
        <f t="shared" si="8"/>
        <v>353.4</v>
      </c>
      <c r="E48" s="29">
        <f t="shared" si="9"/>
        <v>353.4</v>
      </c>
      <c r="F48" s="30">
        <v>1</v>
      </c>
      <c r="G48" s="28" t="s">
        <v>11</v>
      </c>
      <c r="H48" s="28" t="s">
        <v>16</v>
      </c>
    </row>
    <row r="49" spans="1:8" ht="26.25" customHeight="1">
      <c r="A49" s="28" t="s">
        <v>68</v>
      </c>
      <c r="B49" s="28" t="s">
        <v>69</v>
      </c>
      <c r="C49" s="29">
        <v>783</v>
      </c>
      <c r="D49" s="29">
        <f t="shared" si="8"/>
        <v>469.79999999999995</v>
      </c>
      <c r="E49" s="29">
        <f t="shared" si="9"/>
        <v>8456.4</v>
      </c>
      <c r="F49" s="30">
        <v>18</v>
      </c>
      <c r="G49" s="28" t="s">
        <v>11</v>
      </c>
      <c r="H49" s="28" t="s">
        <v>16</v>
      </c>
    </row>
    <row r="50" spans="1:8" ht="26.25" customHeight="1">
      <c r="A50" s="28"/>
      <c r="B50" s="28" t="s">
        <v>23</v>
      </c>
      <c r="C50" s="29"/>
      <c r="D50" s="29">
        <f t="shared" si="8"/>
        <v>0</v>
      </c>
      <c r="E50" s="29">
        <f t="shared" si="9"/>
        <v>0</v>
      </c>
      <c r="F50" s="30">
        <v>1</v>
      </c>
      <c r="G50" s="28" t="s">
        <v>8</v>
      </c>
      <c r="H50" s="28" t="s">
        <v>24</v>
      </c>
    </row>
    <row r="51" spans="1:8" ht="26.25" customHeight="1">
      <c r="A51" s="28"/>
      <c r="B51" s="28" t="s">
        <v>25</v>
      </c>
      <c r="C51" s="29"/>
      <c r="D51" s="29">
        <f t="shared" si="8"/>
        <v>0</v>
      </c>
      <c r="E51" s="29">
        <f t="shared" si="9"/>
        <v>0</v>
      </c>
      <c r="F51" s="30">
        <v>1</v>
      </c>
      <c r="G51" s="28" t="s">
        <v>8</v>
      </c>
      <c r="H51" s="28" t="s">
        <v>26</v>
      </c>
    </row>
    <row r="52" spans="1:8" ht="26.25" customHeight="1">
      <c r="A52" s="25"/>
      <c r="B52" s="25" t="s">
        <v>70</v>
      </c>
      <c r="C52" s="26"/>
      <c r="D52" s="26"/>
      <c r="E52" s="26">
        <f>SUM(E53:E61)*F52</f>
        <v>17459.400000000001</v>
      </c>
      <c r="F52" s="27">
        <v>1</v>
      </c>
      <c r="G52" s="25" t="s">
        <v>8</v>
      </c>
      <c r="H52" s="25" t="s">
        <v>9</v>
      </c>
    </row>
    <row r="53" spans="1:8" ht="26.25" customHeight="1">
      <c r="A53" s="28"/>
      <c r="B53" s="28" t="s">
        <v>47</v>
      </c>
      <c r="C53" s="29"/>
      <c r="D53" s="29">
        <f t="shared" ref="D53:D61" si="10">IFERROR(IF(C53="",0,C53*0.6),0)</f>
        <v>0</v>
      </c>
      <c r="E53" s="29">
        <f t="shared" ref="E53:E61" si="11">IFERROR(D53*F53,0)</f>
        <v>0</v>
      </c>
      <c r="F53" s="30">
        <v>1</v>
      </c>
      <c r="G53" s="28" t="s">
        <v>11</v>
      </c>
      <c r="H53" s="28" t="s">
        <v>9</v>
      </c>
    </row>
    <row r="54" spans="1:8" ht="26.25" customHeight="1">
      <c r="A54" s="28" t="s">
        <v>71</v>
      </c>
      <c r="B54" s="28" t="s">
        <v>72</v>
      </c>
      <c r="C54" s="29">
        <v>3372</v>
      </c>
      <c r="D54" s="29">
        <f t="shared" si="10"/>
        <v>2023.1999999999998</v>
      </c>
      <c r="E54" s="29">
        <f t="shared" si="11"/>
        <v>2023.1999999999998</v>
      </c>
      <c r="F54" s="30">
        <v>1</v>
      </c>
      <c r="G54" s="28" t="s">
        <v>11</v>
      </c>
      <c r="H54" s="28" t="s">
        <v>16</v>
      </c>
    </row>
    <row r="55" spans="1:8" ht="26.25" customHeight="1">
      <c r="A55" s="28" t="s">
        <v>56</v>
      </c>
      <c r="B55" s="28" t="s">
        <v>57</v>
      </c>
      <c r="C55" s="29">
        <v>2337</v>
      </c>
      <c r="D55" s="29">
        <f t="shared" si="10"/>
        <v>1402.2</v>
      </c>
      <c r="E55" s="29">
        <f t="shared" si="11"/>
        <v>8413.2000000000007</v>
      </c>
      <c r="F55" s="30">
        <v>6</v>
      </c>
      <c r="G55" s="28" t="s">
        <v>11</v>
      </c>
      <c r="H55" s="28" t="s">
        <v>16</v>
      </c>
    </row>
    <row r="56" spans="1:8" ht="26.25" customHeight="1">
      <c r="A56" s="28" t="s">
        <v>50</v>
      </c>
      <c r="B56" s="28" t="s">
        <v>51</v>
      </c>
      <c r="C56" s="29">
        <v>2429</v>
      </c>
      <c r="D56" s="29">
        <f t="shared" si="10"/>
        <v>1457.3999999999999</v>
      </c>
      <c r="E56" s="29">
        <f t="shared" si="11"/>
        <v>1457.3999999999999</v>
      </c>
      <c r="F56" s="30">
        <v>1</v>
      </c>
      <c r="G56" s="28" t="s">
        <v>11</v>
      </c>
      <c r="H56" s="28" t="s">
        <v>16</v>
      </c>
    </row>
    <row r="57" spans="1:8" ht="26.25" customHeight="1">
      <c r="A57" s="28" t="s">
        <v>52</v>
      </c>
      <c r="B57" s="28" t="s">
        <v>53</v>
      </c>
      <c r="C57" s="29">
        <v>2606</v>
      </c>
      <c r="D57" s="29">
        <f t="shared" si="10"/>
        <v>1563.6</v>
      </c>
      <c r="E57" s="29">
        <f t="shared" si="11"/>
        <v>1563.6</v>
      </c>
      <c r="F57" s="30">
        <v>1</v>
      </c>
      <c r="G57" s="28" t="s">
        <v>11</v>
      </c>
      <c r="H57" s="28" t="s">
        <v>16</v>
      </c>
    </row>
    <row r="58" spans="1:8" ht="26.25" customHeight="1">
      <c r="A58" s="28" t="s">
        <v>68</v>
      </c>
      <c r="B58" s="28" t="s">
        <v>69</v>
      </c>
      <c r="C58" s="29">
        <v>783</v>
      </c>
      <c r="D58" s="29">
        <f t="shared" si="10"/>
        <v>469.79999999999995</v>
      </c>
      <c r="E58" s="29">
        <f t="shared" si="11"/>
        <v>939.59999999999991</v>
      </c>
      <c r="F58" s="30">
        <v>2</v>
      </c>
      <c r="G58" s="28" t="s">
        <v>11</v>
      </c>
      <c r="H58" s="28" t="s">
        <v>16</v>
      </c>
    </row>
    <row r="59" spans="1:8" ht="26.25" customHeight="1">
      <c r="A59" s="28" t="s">
        <v>73</v>
      </c>
      <c r="B59" s="28" t="s">
        <v>74</v>
      </c>
      <c r="C59" s="29">
        <v>5104</v>
      </c>
      <c r="D59" s="29">
        <f t="shared" si="10"/>
        <v>3062.4</v>
      </c>
      <c r="E59" s="29">
        <f t="shared" si="11"/>
        <v>3062.4</v>
      </c>
      <c r="F59" s="30">
        <v>1</v>
      </c>
      <c r="G59" s="28" t="s">
        <v>11</v>
      </c>
      <c r="H59" s="28" t="s">
        <v>16</v>
      </c>
    </row>
    <row r="60" spans="1:8" ht="26.25" customHeight="1">
      <c r="A60" s="28"/>
      <c r="B60" s="28" t="s">
        <v>23</v>
      </c>
      <c r="C60" s="29"/>
      <c r="D60" s="29">
        <f t="shared" si="10"/>
        <v>0</v>
      </c>
      <c r="E60" s="29">
        <f t="shared" si="11"/>
        <v>0</v>
      </c>
      <c r="F60" s="30">
        <v>1</v>
      </c>
      <c r="G60" s="28" t="s">
        <v>8</v>
      </c>
      <c r="H60" s="28" t="s">
        <v>24</v>
      </c>
    </row>
    <row r="61" spans="1:8" ht="26.25" customHeight="1">
      <c r="A61" s="28"/>
      <c r="B61" s="28" t="s">
        <v>25</v>
      </c>
      <c r="C61" s="29"/>
      <c r="D61" s="29">
        <f t="shared" si="10"/>
        <v>0</v>
      </c>
      <c r="E61" s="29">
        <f t="shared" si="11"/>
        <v>0</v>
      </c>
      <c r="F61" s="30">
        <v>1</v>
      </c>
      <c r="G61" s="28" t="s">
        <v>8</v>
      </c>
      <c r="H61" s="28" t="s">
        <v>26</v>
      </c>
    </row>
    <row r="62" spans="1:8" ht="26.25" customHeight="1">
      <c r="A62" s="25"/>
      <c r="B62" s="25" t="s">
        <v>75</v>
      </c>
      <c r="C62" s="26"/>
      <c r="D62" s="26"/>
      <c r="E62" s="26">
        <f>SUM(E63:E66)*F62</f>
        <v>5637.5999999999995</v>
      </c>
      <c r="F62" s="27">
        <v>1</v>
      </c>
      <c r="G62" s="25" t="s">
        <v>8</v>
      </c>
      <c r="H62" s="25" t="s">
        <v>9</v>
      </c>
    </row>
    <row r="63" spans="1:8" ht="26.25" customHeight="1">
      <c r="A63" s="28"/>
      <c r="B63" s="28" t="s">
        <v>76</v>
      </c>
      <c r="C63" s="29"/>
      <c r="D63" s="29">
        <f>IFERROR(IF(C63="",0,C63*0.6),0)</f>
        <v>0</v>
      </c>
      <c r="E63" s="29">
        <f>IFERROR(D63*F63,0)</f>
        <v>0</v>
      </c>
      <c r="F63" s="30">
        <v>1</v>
      </c>
      <c r="G63" s="28" t="s">
        <v>11</v>
      </c>
      <c r="H63" s="28" t="s">
        <v>9</v>
      </c>
    </row>
    <row r="64" spans="1:8" ht="26.25" customHeight="1">
      <c r="A64" s="28" t="s">
        <v>77</v>
      </c>
      <c r="B64" s="28" t="s">
        <v>78</v>
      </c>
      <c r="C64" s="29">
        <v>783</v>
      </c>
      <c r="D64" s="29">
        <f>IFERROR(IF(C64="",0,C64*0.6),0)</f>
        <v>469.79999999999995</v>
      </c>
      <c r="E64" s="29">
        <f>IFERROR(D64*F64,0)</f>
        <v>5637.5999999999995</v>
      </c>
      <c r="F64" s="30">
        <v>12</v>
      </c>
      <c r="G64" s="28" t="s">
        <v>11</v>
      </c>
      <c r="H64" s="28" t="s">
        <v>16</v>
      </c>
    </row>
    <row r="65" spans="1:8" ht="26.25" customHeight="1">
      <c r="A65" s="28"/>
      <c r="B65" s="28" t="s">
        <v>23</v>
      </c>
      <c r="C65" s="29"/>
      <c r="D65" s="29">
        <f>IFERROR(IF(C65="",0,C65*0.6),0)</f>
        <v>0</v>
      </c>
      <c r="E65" s="29">
        <f>IFERROR(D65*F65,0)</f>
        <v>0</v>
      </c>
      <c r="F65" s="30">
        <v>1</v>
      </c>
      <c r="G65" s="28" t="s">
        <v>8</v>
      </c>
      <c r="H65" s="28" t="s">
        <v>24</v>
      </c>
    </row>
    <row r="66" spans="1:8" ht="26.25" customHeight="1">
      <c r="A66" s="28"/>
      <c r="B66" s="28" t="s">
        <v>25</v>
      </c>
      <c r="C66" s="29"/>
      <c r="D66" s="29">
        <f>IFERROR(IF(C66="",0,C66*0.6),0)</f>
        <v>0</v>
      </c>
      <c r="E66" s="29">
        <f>IFERROR(D66*F66,0)</f>
        <v>0</v>
      </c>
      <c r="F66" s="30">
        <v>1</v>
      </c>
      <c r="G66" s="28" t="s">
        <v>8</v>
      </c>
      <c r="H66" s="28" t="s">
        <v>26</v>
      </c>
    </row>
    <row r="67" spans="1:8" ht="26.25" customHeight="1">
      <c r="A67" s="25"/>
      <c r="B67" s="25" t="s">
        <v>79</v>
      </c>
      <c r="C67" s="26"/>
      <c r="D67" s="26"/>
      <c r="E67" s="26">
        <f>SUM(E68:E72)*F67</f>
        <v>3902.3999999999996</v>
      </c>
      <c r="F67" s="27">
        <v>1</v>
      </c>
      <c r="G67" s="25" t="s">
        <v>8</v>
      </c>
      <c r="H67" s="25" t="s">
        <v>9</v>
      </c>
    </row>
    <row r="68" spans="1:8" ht="26.25" customHeight="1">
      <c r="A68" s="28"/>
      <c r="B68" s="28" t="s">
        <v>76</v>
      </c>
      <c r="C68" s="29"/>
      <c r="D68" s="29">
        <f>IFERROR(IF(C68="",0,C68*0.6),0)</f>
        <v>0</v>
      </c>
      <c r="E68" s="29">
        <f>IFERROR(D68*F68,0)</f>
        <v>0</v>
      </c>
      <c r="F68" s="30">
        <v>1</v>
      </c>
      <c r="G68" s="28" t="s">
        <v>11</v>
      </c>
      <c r="H68" s="28" t="s">
        <v>9</v>
      </c>
    </row>
    <row r="69" spans="1:8" ht="26.25" customHeight="1">
      <c r="A69" s="28" t="s">
        <v>80</v>
      </c>
      <c r="B69" s="28" t="s">
        <v>81</v>
      </c>
      <c r="C69" s="29">
        <v>3372</v>
      </c>
      <c r="D69" s="29">
        <f>IFERROR(IF(C69="",0,C69*0.6),0)</f>
        <v>2023.1999999999998</v>
      </c>
      <c r="E69" s="29">
        <f>IFERROR(D69*F69,0)</f>
        <v>2023.1999999999998</v>
      </c>
      <c r="F69" s="30">
        <v>1</v>
      </c>
      <c r="G69" s="28" t="s">
        <v>11</v>
      </c>
      <c r="H69" s="28" t="s">
        <v>16</v>
      </c>
    </row>
    <row r="70" spans="1:8" ht="26.25" customHeight="1">
      <c r="A70" s="28" t="s">
        <v>68</v>
      </c>
      <c r="B70" s="28" t="s">
        <v>69</v>
      </c>
      <c r="C70" s="29">
        <v>783</v>
      </c>
      <c r="D70" s="29">
        <f>IFERROR(IF(C70="",0,C70*0.6),0)</f>
        <v>469.79999999999995</v>
      </c>
      <c r="E70" s="29">
        <f>IFERROR(D70*F70,0)</f>
        <v>1879.1999999999998</v>
      </c>
      <c r="F70" s="30">
        <v>4</v>
      </c>
      <c r="G70" s="28" t="s">
        <v>11</v>
      </c>
      <c r="H70" s="28" t="s">
        <v>16</v>
      </c>
    </row>
    <row r="71" spans="1:8" ht="26.25" customHeight="1">
      <c r="A71" s="28"/>
      <c r="B71" s="28" t="s">
        <v>23</v>
      </c>
      <c r="C71" s="29"/>
      <c r="D71" s="29">
        <f>IFERROR(IF(C71="",0,C71*0.6),0)</f>
        <v>0</v>
      </c>
      <c r="E71" s="29">
        <f>IFERROR(D71*F71,0)</f>
        <v>0</v>
      </c>
      <c r="F71" s="30">
        <v>1</v>
      </c>
      <c r="G71" s="28" t="s">
        <v>8</v>
      </c>
      <c r="H71" s="28" t="s">
        <v>24</v>
      </c>
    </row>
    <row r="72" spans="1:8" ht="26.25" customHeight="1">
      <c r="A72" s="28"/>
      <c r="B72" s="28" t="s">
        <v>25</v>
      </c>
      <c r="C72" s="29"/>
      <c r="D72" s="29">
        <f>IFERROR(IF(C72="",0,C72*0.6),0)</f>
        <v>0</v>
      </c>
      <c r="E72" s="29">
        <f>IFERROR(D72*F72,0)</f>
        <v>0</v>
      </c>
      <c r="F72" s="30">
        <v>1</v>
      </c>
      <c r="G72" s="28" t="s">
        <v>8</v>
      </c>
      <c r="H72" s="28" t="s">
        <v>26</v>
      </c>
    </row>
    <row r="73" spans="1:8" ht="26.25" customHeight="1">
      <c r="A73" s="25"/>
      <c r="B73" s="25" t="s">
        <v>82</v>
      </c>
      <c r="C73" s="26"/>
      <c r="D73" s="26"/>
      <c r="E73" s="26">
        <f>SUM(E74:E79)*F73</f>
        <v>271296</v>
      </c>
      <c r="F73" s="27">
        <v>12</v>
      </c>
      <c r="G73" s="25" t="s">
        <v>8</v>
      </c>
      <c r="H73" s="25" t="s">
        <v>9</v>
      </c>
    </row>
    <row r="74" spans="1:8" ht="26.25" customHeight="1">
      <c r="A74" s="28"/>
      <c r="B74" s="28" t="s">
        <v>83</v>
      </c>
      <c r="C74" s="29"/>
      <c r="D74" s="29">
        <f t="shared" ref="D74:D79" si="12">IFERROR(IF(C74="",0,C74*0.6),0)</f>
        <v>0</v>
      </c>
      <c r="E74" s="29">
        <f t="shared" ref="E74:E79" si="13">IFERROR(D74*F74,0)</f>
        <v>0</v>
      </c>
      <c r="F74" s="30">
        <v>1</v>
      </c>
      <c r="G74" s="28" t="s">
        <v>11</v>
      </c>
      <c r="H74" s="28" t="s">
        <v>9</v>
      </c>
    </row>
    <row r="75" spans="1:8" ht="26.25" customHeight="1">
      <c r="A75" s="28" t="s">
        <v>84</v>
      </c>
      <c r="B75" s="28" t="s">
        <v>85</v>
      </c>
      <c r="C75" s="29">
        <v>1421</v>
      </c>
      <c r="D75" s="29">
        <f t="shared" si="12"/>
        <v>852.6</v>
      </c>
      <c r="E75" s="29">
        <f t="shared" si="13"/>
        <v>4263</v>
      </c>
      <c r="F75" s="30">
        <v>5</v>
      </c>
      <c r="G75" s="28" t="s">
        <v>11</v>
      </c>
      <c r="H75" s="28" t="s">
        <v>16</v>
      </c>
    </row>
    <row r="76" spans="1:8" ht="26.25" customHeight="1">
      <c r="A76" s="28"/>
      <c r="B76" s="28" t="s">
        <v>86</v>
      </c>
      <c r="C76" s="29"/>
      <c r="D76" s="29">
        <f t="shared" si="12"/>
        <v>0</v>
      </c>
      <c r="E76" s="29">
        <f t="shared" si="13"/>
        <v>0</v>
      </c>
      <c r="F76" s="30">
        <v>5</v>
      </c>
      <c r="G76" s="28" t="s">
        <v>11</v>
      </c>
      <c r="H76" s="28" t="s">
        <v>87</v>
      </c>
    </row>
    <row r="77" spans="1:8" ht="26.25" customHeight="1">
      <c r="A77" s="28" t="s">
        <v>88</v>
      </c>
      <c r="B77" s="28" t="s">
        <v>89</v>
      </c>
      <c r="C77" s="29">
        <v>6115</v>
      </c>
      <c r="D77" s="29">
        <f t="shared" si="12"/>
        <v>3669</v>
      </c>
      <c r="E77" s="29">
        <f t="shared" si="13"/>
        <v>18345</v>
      </c>
      <c r="F77" s="30">
        <v>5</v>
      </c>
      <c r="G77" s="28" t="s">
        <v>11</v>
      </c>
      <c r="H77" s="28" t="s">
        <v>16</v>
      </c>
    </row>
    <row r="78" spans="1:8" ht="26.25" customHeight="1">
      <c r="A78" s="28"/>
      <c r="B78" s="28" t="s">
        <v>23</v>
      </c>
      <c r="C78" s="29"/>
      <c r="D78" s="29">
        <f t="shared" si="12"/>
        <v>0</v>
      </c>
      <c r="E78" s="29">
        <f t="shared" si="13"/>
        <v>0</v>
      </c>
      <c r="F78" s="30">
        <v>1</v>
      </c>
      <c r="G78" s="28" t="s">
        <v>8</v>
      </c>
      <c r="H78" s="28" t="s">
        <v>24</v>
      </c>
    </row>
    <row r="79" spans="1:8" ht="26.25" customHeight="1">
      <c r="A79" s="28"/>
      <c r="B79" s="28" t="s">
        <v>25</v>
      </c>
      <c r="C79" s="29"/>
      <c r="D79" s="29">
        <f t="shared" si="12"/>
        <v>0</v>
      </c>
      <c r="E79" s="29">
        <f t="shared" si="13"/>
        <v>0</v>
      </c>
      <c r="F79" s="30">
        <v>1</v>
      </c>
      <c r="G79" s="28" t="s">
        <v>8</v>
      </c>
      <c r="H79" s="28" t="s">
        <v>26</v>
      </c>
    </row>
    <row r="80" spans="1:8" ht="26.25" customHeight="1">
      <c r="A80" s="25"/>
      <c r="B80" s="25" t="s">
        <v>90</v>
      </c>
      <c r="C80" s="26"/>
      <c r="D80" s="26"/>
      <c r="E80" s="26">
        <f>SUM(E81:E87)*F80</f>
        <v>996804.00000000012</v>
      </c>
      <c r="F80" s="27">
        <v>60</v>
      </c>
      <c r="G80" s="25" t="s">
        <v>8</v>
      </c>
      <c r="H80" s="25" t="s">
        <v>9</v>
      </c>
    </row>
    <row r="81" spans="1:8" ht="26.25" customHeight="1">
      <c r="A81" s="28"/>
      <c r="B81" s="28" t="s">
        <v>91</v>
      </c>
      <c r="C81" s="29"/>
      <c r="D81" s="29">
        <f t="shared" ref="D81:D87" si="14">IFERROR(IF(C81="",0,C81*0.6),0)</f>
        <v>0</v>
      </c>
      <c r="E81" s="29">
        <f t="shared" ref="E81:E87" si="15">IFERROR(D81*F81,0)</f>
        <v>0</v>
      </c>
      <c r="F81" s="30">
        <v>1</v>
      </c>
      <c r="G81" s="28" t="s">
        <v>11</v>
      </c>
      <c r="H81" s="28" t="s">
        <v>9</v>
      </c>
    </row>
    <row r="82" spans="1:8" ht="26.25" customHeight="1">
      <c r="A82" s="28" t="s">
        <v>84</v>
      </c>
      <c r="B82" s="28" t="s">
        <v>85</v>
      </c>
      <c r="C82" s="29">
        <v>1421</v>
      </c>
      <c r="D82" s="29">
        <f t="shared" si="14"/>
        <v>852.6</v>
      </c>
      <c r="E82" s="29">
        <f t="shared" si="15"/>
        <v>852.6</v>
      </c>
      <c r="F82" s="30">
        <v>1</v>
      </c>
      <c r="G82" s="28" t="s">
        <v>11</v>
      </c>
      <c r="H82" s="28" t="s">
        <v>16</v>
      </c>
    </row>
    <row r="83" spans="1:8" ht="26.25" customHeight="1">
      <c r="A83" s="28" t="s">
        <v>92</v>
      </c>
      <c r="B83" s="28" t="s">
        <v>93</v>
      </c>
      <c r="C83" s="29">
        <v>5104</v>
      </c>
      <c r="D83" s="29">
        <f t="shared" si="14"/>
        <v>3062.4</v>
      </c>
      <c r="E83" s="29">
        <f t="shared" si="15"/>
        <v>12249.6</v>
      </c>
      <c r="F83" s="30">
        <v>4</v>
      </c>
      <c r="G83" s="28" t="s">
        <v>11</v>
      </c>
      <c r="H83" s="28" t="s">
        <v>16</v>
      </c>
    </row>
    <row r="84" spans="1:8" ht="26.25" customHeight="1">
      <c r="A84" s="28" t="s">
        <v>94</v>
      </c>
      <c r="B84" s="28" t="s">
        <v>95</v>
      </c>
      <c r="C84" s="29">
        <v>5069</v>
      </c>
      <c r="D84" s="29">
        <f t="shared" si="14"/>
        <v>3041.4</v>
      </c>
      <c r="E84" s="29">
        <f t="shared" si="15"/>
        <v>3041.4</v>
      </c>
      <c r="F84" s="30">
        <v>1</v>
      </c>
      <c r="G84" s="28" t="s">
        <v>11</v>
      </c>
      <c r="H84" s="28" t="s">
        <v>16</v>
      </c>
    </row>
    <row r="85" spans="1:8" ht="26.25" customHeight="1">
      <c r="A85" s="28" t="s">
        <v>68</v>
      </c>
      <c r="B85" s="28" t="s">
        <v>69</v>
      </c>
      <c r="C85" s="29">
        <v>783</v>
      </c>
      <c r="D85" s="29">
        <f t="shared" si="14"/>
        <v>469.79999999999995</v>
      </c>
      <c r="E85" s="29">
        <f t="shared" si="15"/>
        <v>469.79999999999995</v>
      </c>
      <c r="F85" s="30">
        <v>1</v>
      </c>
      <c r="G85" s="28" t="s">
        <v>11</v>
      </c>
      <c r="H85" s="28" t="s">
        <v>16</v>
      </c>
    </row>
    <row r="86" spans="1:8" ht="26.25" customHeight="1">
      <c r="A86" s="28"/>
      <c r="B86" s="28" t="s">
        <v>23</v>
      </c>
      <c r="C86" s="29"/>
      <c r="D86" s="29">
        <f t="shared" si="14"/>
        <v>0</v>
      </c>
      <c r="E86" s="29">
        <f t="shared" si="15"/>
        <v>0</v>
      </c>
      <c r="F86" s="30">
        <v>1</v>
      </c>
      <c r="G86" s="28" t="s">
        <v>8</v>
      </c>
      <c r="H86" s="28" t="s">
        <v>24</v>
      </c>
    </row>
    <row r="87" spans="1:8" ht="26.25" customHeight="1">
      <c r="A87" s="28"/>
      <c r="B87" s="28" t="s">
        <v>25</v>
      </c>
      <c r="C87" s="29"/>
      <c r="D87" s="29">
        <f t="shared" si="14"/>
        <v>0</v>
      </c>
      <c r="E87" s="29">
        <f t="shared" si="15"/>
        <v>0</v>
      </c>
      <c r="F87" s="30">
        <v>1</v>
      </c>
      <c r="G87" s="28" t="s">
        <v>8</v>
      </c>
      <c r="H87" s="28" t="s">
        <v>26</v>
      </c>
    </row>
    <row r="88" spans="1:8" ht="26.25" customHeight="1">
      <c r="A88" s="25"/>
      <c r="B88" s="25" t="s">
        <v>96</v>
      </c>
      <c r="C88" s="26"/>
      <c r="D88" s="26"/>
      <c r="E88" s="26">
        <f>SUM(E89:E99)*F88</f>
        <v>8141.4000000000005</v>
      </c>
      <c r="F88" s="27">
        <v>1</v>
      </c>
      <c r="G88" s="25" t="s">
        <v>8</v>
      </c>
      <c r="H88" s="25" t="s">
        <v>9</v>
      </c>
    </row>
    <row r="89" spans="1:8" ht="26.25" customHeight="1">
      <c r="A89" s="28"/>
      <c r="B89" s="28" t="s">
        <v>97</v>
      </c>
      <c r="C89" s="29"/>
      <c r="D89" s="29">
        <f t="shared" ref="D89:D99" si="16">IFERROR(IF(C89="",0,C89*0.6),0)</f>
        <v>0</v>
      </c>
      <c r="E89" s="29">
        <f t="shared" ref="E89:E99" si="17">IFERROR(D89*F89,0)</f>
        <v>0</v>
      </c>
      <c r="F89" s="30">
        <v>1</v>
      </c>
      <c r="G89" s="28" t="s">
        <v>11</v>
      </c>
      <c r="H89" s="28" t="s">
        <v>9</v>
      </c>
    </row>
    <row r="90" spans="1:8" ht="26.25" customHeight="1">
      <c r="A90" s="28"/>
      <c r="B90" s="28" t="s">
        <v>98</v>
      </c>
      <c r="C90" s="29"/>
      <c r="D90" s="29">
        <f t="shared" si="16"/>
        <v>0</v>
      </c>
      <c r="E90" s="29">
        <f t="shared" si="17"/>
        <v>0</v>
      </c>
      <c r="F90" s="30">
        <v>1</v>
      </c>
      <c r="G90" s="28" t="s">
        <v>11</v>
      </c>
      <c r="H90" s="28" t="s">
        <v>16</v>
      </c>
    </row>
    <row r="91" spans="1:8" ht="26.25" customHeight="1">
      <c r="A91" s="28" t="s">
        <v>94</v>
      </c>
      <c r="B91" s="28" t="s">
        <v>99</v>
      </c>
      <c r="C91" s="29">
        <v>5069</v>
      </c>
      <c r="D91" s="29">
        <f t="shared" si="16"/>
        <v>3041.4</v>
      </c>
      <c r="E91" s="29">
        <f t="shared" si="17"/>
        <v>3041.4</v>
      </c>
      <c r="F91" s="30">
        <v>1</v>
      </c>
      <c r="G91" s="28" t="s">
        <v>11</v>
      </c>
      <c r="H91" s="28" t="s">
        <v>16</v>
      </c>
    </row>
    <row r="92" spans="1:8" ht="26.25" customHeight="1">
      <c r="A92" s="28" t="s">
        <v>100</v>
      </c>
      <c r="B92" s="28" t="s">
        <v>101</v>
      </c>
      <c r="C92" s="29">
        <v>6032</v>
      </c>
      <c r="D92" s="29">
        <f t="shared" si="16"/>
        <v>3619.2</v>
      </c>
      <c r="E92" s="29">
        <f t="shared" si="17"/>
        <v>3619.2</v>
      </c>
      <c r="F92" s="30">
        <v>1</v>
      </c>
      <c r="G92" s="28" t="s">
        <v>11</v>
      </c>
      <c r="H92" s="28" t="s">
        <v>16</v>
      </c>
    </row>
    <row r="93" spans="1:8" ht="26.25" customHeight="1">
      <c r="A93" s="28" t="s">
        <v>77</v>
      </c>
      <c r="B93" s="28" t="s">
        <v>78</v>
      </c>
      <c r="C93" s="29">
        <v>783</v>
      </c>
      <c r="D93" s="29">
        <f t="shared" si="16"/>
        <v>469.79999999999995</v>
      </c>
      <c r="E93" s="29">
        <f t="shared" si="17"/>
        <v>939.59999999999991</v>
      </c>
      <c r="F93" s="30">
        <v>2</v>
      </c>
      <c r="G93" s="28" t="s">
        <v>11</v>
      </c>
      <c r="H93" s="28" t="s">
        <v>16</v>
      </c>
    </row>
    <row r="94" spans="1:8" ht="26.25" customHeight="1">
      <c r="A94" s="28" t="s">
        <v>20</v>
      </c>
      <c r="B94" s="28" t="s">
        <v>21</v>
      </c>
      <c r="C94" s="29">
        <v>902</v>
      </c>
      <c r="D94" s="29">
        <f t="shared" si="16"/>
        <v>541.19999999999993</v>
      </c>
      <c r="E94" s="29">
        <f t="shared" si="17"/>
        <v>541.19999999999993</v>
      </c>
      <c r="F94" s="30">
        <v>1</v>
      </c>
      <c r="G94" s="28" t="s">
        <v>11</v>
      </c>
      <c r="H94" s="28" t="s">
        <v>16</v>
      </c>
    </row>
    <row r="95" spans="1:8" ht="26.25" customHeight="1">
      <c r="A95" s="28"/>
      <c r="B95" s="28" t="s">
        <v>102</v>
      </c>
      <c r="C95" s="29"/>
      <c r="D95" s="29">
        <f t="shared" si="16"/>
        <v>0</v>
      </c>
      <c r="E95" s="29">
        <f t="shared" si="17"/>
        <v>0</v>
      </c>
      <c r="F95" s="30">
        <v>1</v>
      </c>
      <c r="G95" s="28" t="s">
        <v>11</v>
      </c>
      <c r="H95" s="28" t="s">
        <v>13</v>
      </c>
    </row>
    <row r="96" spans="1:8" ht="26.25" customHeight="1">
      <c r="A96" s="28"/>
      <c r="B96" s="28" t="s">
        <v>103</v>
      </c>
      <c r="C96" s="29"/>
      <c r="D96" s="29">
        <f t="shared" si="16"/>
        <v>0</v>
      </c>
      <c r="E96" s="29">
        <f t="shared" si="17"/>
        <v>0</v>
      </c>
      <c r="F96" s="30">
        <v>2</v>
      </c>
      <c r="G96" s="28" t="s">
        <v>11</v>
      </c>
      <c r="H96" s="28" t="s">
        <v>104</v>
      </c>
    </row>
    <row r="97" spans="1:8" ht="26.25" customHeight="1">
      <c r="A97" s="28"/>
      <c r="B97" s="28" t="s">
        <v>105</v>
      </c>
      <c r="C97" s="29"/>
      <c r="D97" s="29">
        <f t="shared" si="16"/>
        <v>0</v>
      </c>
      <c r="E97" s="29">
        <f t="shared" si="17"/>
        <v>0</v>
      </c>
      <c r="F97" s="30">
        <v>2</v>
      </c>
      <c r="G97" s="28" t="s">
        <v>11</v>
      </c>
      <c r="H97" s="28" t="s">
        <v>104</v>
      </c>
    </row>
    <row r="98" spans="1:8" ht="26.25" customHeight="1">
      <c r="A98" s="28"/>
      <c r="B98" s="28" t="s">
        <v>23</v>
      </c>
      <c r="C98" s="29"/>
      <c r="D98" s="29">
        <f t="shared" si="16"/>
        <v>0</v>
      </c>
      <c r="E98" s="29">
        <f t="shared" si="17"/>
        <v>0</v>
      </c>
      <c r="F98" s="30">
        <v>1</v>
      </c>
      <c r="G98" s="28" t="s">
        <v>8</v>
      </c>
      <c r="H98" s="28" t="s">
        <v>24</v>
      </c>
    </row>
    <row r="99" spans="1:8" ht="26.25" customHeight="1">
      <c r="A99" s="28"/>
      <c r="B99" s="28" t="s">
        <v>25</v>
      </c>
      <c r="C99" s="29"/>
      <c r="D99" s="29">
        <f t="shared" si="16"/>
        <v>0</v>
      </c>
      <c r="E99" s="29">
        <f t="shared" si="17"/>
        <v>0</v>
      </c>
      <c r="F99" s="30">
        <v>1</v>
      </c>
      <c r="G99" s="28" t="s">
        <v>8</v>
      </c>
      <c r="H99" s="28" t="s">
        <v>26</v>
      </c>
    </row>
    <row r="100" spans="1:8" ht="26.25" customHeight="1">
      <c r="A100" s="31"/>
      <c r="B100" s="31" t="s">
        <v>106</v>
      </c>
      <c r="C100" s="32"/>
      <c r="D100" s="32"/>
      <c r="E100" s="32"/>
      <c r="F100" s="33"/>
      <c r="G100" s="31"/>
      <c r="H100" s="31"/>
    </row>
    <row r="101" spans="1:8" ht="26.25" customHeight="1">
      <c r="A101" s="28"/>
      <c r="B101" s="28" t="s">
        <v>107</v>
      </c>
      <c r="C101" s="29"/>
      <c r="D101" s="29">
        <f>IFERROR(IF(C101="",0,C101*0.6),0)</f>
        <v>0</v>
      </c>
      <c r="E101" s="29">
        <f>IFERROR(D101*F101,0)</f>
        <v>0</v>
      </c>
      <c r="F101" s="30">
        <v>3</v>
      </c>
      <c r="G101" s="28" t="s">
        <v>8</v>
      </c>
      <c r="H101" s="28" t="s">
        <v>108</v>
      </c>
    </row>
    <row r="102" spans="1:8" ht="26.25" customHeight="1">
      <c r="A102" s="28"/>
      <c r="B102" s="28" t="s">
        <v>109</v>
      </c>
      <c r="C102" s="29"/>
      <c r="D102" s="29">
        <f>IFERROR(IF(C102="",0,C102*0.6),0)</f>
        <v>0</v>
      </c>
      <c r="E102" s="29">
        <f>IFERROR(D102*F102,0)</f>
        <v>0</v>
      </c>
      <c r="F102" s="30">
        <v>2</v>
      </c>
      <c r="G102" s="28" t="s">
        <v>11</v>
      </c>
      <c r="H102" s="28" t="s">
        <v>13</v>
      </c>
    </row>
    <row r="103" spans="1:8" ht="26.25" customHeight="1">
      <c r="A103" s="28"/>
      <c r="B103" s="28" t="s">
        <v>110</v>
      </c>
      <c r="C103" s="29"/>
      <c r="D103" s="29">
        <f>IFERROR(IF(C103="",0,C103*0.6),0)</f>
        <v>0</v>
      </c>
      <c r="E103" s="29">
        <f>IFERROR(D103*F103,0)</f>
        <v>0</v>
      </c>
      <c r="F103" s="30">
        <v>6</v>
      </c>
      <c r="G103" s="28" t="s">
        <v>11</v>
      </c>
      <c r="H103" s="28" t="s">
        <v>13</v>
      </c>
    </row>
    <row r="104" spans="1:8" ht="26.25" customHeight="1">
      <c r="A104" s="34"/>
      <c r="B104" s="34" t="s">
        <v>111</v>
      </c>
      <c r="C104" s="35"/>
      <c r="D104" s="35"/>
      <c r="E104" s="35">
        <f>SUM(E2,E12,E23,E34,E43,E52,E62,E67,E73,E80,E88,E101,E102,E103)</f>
        <v>1616525.4</v>
      </c>
      <c r="F104" s="36"/>
      <c r="G104" s="34"/>
      <c r="H104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3"/>
  <sheetViews>
    <sheetView workbookViewId="0"/>
  </sheetViews>
  <sheetFormatPr defaultRowHeight="14.25"/>
  <cols>
    <col min="1" max="1" width="18" customWidth="1"/>
    <col min="2" max="2" width="66" customWidth="1"/>
    <col min="3" max="4" width="12" customWidth="1"/>
    <col min="5" max="5" width="14" customWidth="1"/>
    <col min="6" max="6" width="10" customWidth="1"/>
    <col min="7" max="7" width="12" customWidth="1"/>
    <col min="8" max="8" width="22" customWidth="1"/>
  </cols>
  <sheetData>
    <row r="1" spans="1:8" ht="15">
      <c r="A1" s="2" t="s">
        <v>0</v>
      </c>
      <c r="B1" s="3" t="s">
        <v>1</v>
      </c>
      <c r="C1" s="3" t="s">
        <v>2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</row>
    <row r="2" spans="1:8" ht="33.950000000000003" customHeight="1">
      <c r="A2" s="5" t="s">
        <v>112</v>
      </c>
      <c r="B2" s="1" t="s">
        <v>113</v>
      </c>
      <c r="C2" s="10"/>
      <c r="D2" s="10">
        <f t="shared" ref="D2:D33" si="0">IFERROR(IF(C2="",0,C2*0.6),0)</f>
        <v>0</v>
      </c>
      <c r="E2" s="10">
        <f t="shared" ref="E2:E33" si="1">IFERROR(D2*F2,0)</f>
        <v>0</v>
      </c>
      <c r="F2" s="12">
        <v>1</v>
      </c>
      <c r="G2" s="1" t="s">
        <v>114</v>
      </c>
      <c r="H2" s="6" t="s">
        <v>115</v>
      </c>
    </row>
    <row r="3" spans="1:8" ht="33.950000000000003" customHeight="1">
      <c r="A3" s="5"/>
      <c r="B3" s="1" t="s">
        <v>116</v>
      </c>
      <c r="C3" s="10"/>
      <c r="D3" s="10">
        <f t="shared" si="0"/>
        <v>0</v>
      </c>
      <c r="E3" s="10">
        <f t="shared" si="1"/>
        <v>0</v>
      </c>
      <c r="F3" s="12">
        <v>1</v>
      </c>
      <c r="G3" s="1" t="s">
        <v>114</v>
      </c>
      <c r="H3" s="6" t="s">
        <v>115</v>
      </c>
    </row>
    <row r="4" spans="1:8" ht="33.950000000000003" customHeight="1">
      <c r="A4" s="5"/>
      <c r="B4" s="1" t="s">
        <v>117</v>
      </c>
      <c r="C4" s="10"/>
      <c r="D4" s="10">
        <f t="shared" si="0"/>
        <v>0</v>
      </c>
      <c r="E4" s="10">
        <f t="shared" si="1"/>
        <v>0</v>
      </c>
      <c r="F4" s="12">
        <v>1</v>
      </c>
      <c r="G4" s="1" t="s">
        <v>114</v>
      </c>
      <c r="H4" s="6" t="s">
        <v>115</v>
      </c>
    </row>
    <row r="5" spans="1:8" ht="33.950000000000003" customHeight="1">
      <c r="A5" s="5"/>
      <c r="B5" s="1" t="s">
        <v>118</v>
      </c>
      <c r="C5" s="10"/>
      <c r="D5" s="10">
        <f t="shared" si="0"/>
        <v>0</v>
      </c>
      <c r="E5" s="10">
        <f t="shared" si="1"/>
        <v>0</v>
      </c>
      <c r="F5" s="12">
        <v>4</v>
      </c>
      <c r="G5" s="1" t="s">
        <v>11</v>
      </c>
      <c r="H5" s="6"/>
    </row>
    <row r="6" spans="1:8" ht="33.950000000000003" customHeight="1">
      <c r="A6" s="5"/>
      <c r="B6" s="1" t="s">
        <v>119</v>
      </c>
      <c r="C6" s="10"/>
      <c r="D6" s="10">
        <f t="shared" si="0"/>
        <v>0</v>
      </c>
      <c r="E6" s="10">
        <f t="shared" si="1"/>
        <v>0</v>
      </c>
      <c r="F6" s="12">
        <v>6</v>
      </c>
      <c r="G6" s="1" t="s">
        <v>11</v>
      </c>
      <c r="H6" s="6"/>
    </row>
    <row r="7" spans="1:8" ht="33.950000000000003" customHeight="1">
      <c r="A7" s="5" t="s">
        <v>120</v>
      </c>
      <c r="B7" s="1" t="s">
        <v>121</v>
      </c>
      <c r="C7" s="10"/>
      <c r="D7" s="10">
        <f t="shared" si="0"/>
        <v>0</v>
      </c>
      <c r="E7" s="10">
        <f t="shared" si="1"/>
        <v>0</v>
      </c>
      <c r="F7" s="12">
        <v>2</v>
      </c>
      <c r="G7" s="1" t="s">
        <v>11</v>
      </c>
      <c r="H7" s="6"/>
    </row>
    <row r="8" spans="1:8" ht="33.950000000000003" customHeight="1">
      <c r="A8" s="5" t="s">
        <v>122</v>
      </c>
      <c r="B8" s="1" t="s">
        <v>123</v>
      </c>
      <c r="C8" s="10"/>
      <c r="D8" s="10">
        <f t="shared" si="0"/>
        <v>0</v>
      </c>
      <c r="E8" s="10">
        <f t="shared" si="1"/>
        <v>0</v>
      </c>
      <c r="F8" s="12">
        <v>2</v>
      </c>
      <c r="G8" s="1" t="s">
        <v>11</v>
      </c>
      <c r="H8" s="6"/>
    </row>
    <row r="9" spans="1:8" ht="33.950000000000003" customHeight="1">
      <c r="A9" s="5" t="s">
        <v>124</v>
      </c>
      <c r="B9" s="1" t="s">
        <v>125</v>
      </c>
      <c r="C9" s="10"/>
      <c r="D9" s="10">
        <f t="shared" si="0"/>
        <v>0</v>
      </c>
      <c r="E9" s="10">
        <f t="shared" si="1"/>
        <v>0</v>
      </c>
      <c r="F9" s="12">
        <v>1</v>
      </c>
      <c r="G9" s="1" t="s">
        <v>11</v>
      </c>
      <c r="H9" s="6"/>
    </row>
    <row r="10" spans="1:8" ht="33.950000000000003" customHeight="1">
      <c r="A10" s="5" t="s">
        <v>126</v>
      </c>
      <c r="B10" s="1" t="s">
        <v>127</v>
      </c>
      <c r="C10" s="10"/>
      <c r="D10" s="10">
        <f t="shared" si="0"/>
        <v>0</v>
      </c>
      <c r="E10" s="10">
        <f t="shared" si="1"/>
        <v>0</v>
      </c>
      <c r="F10" s="12">
        <v>1</v>
      </c>
      <c r="G10" s="1" t="s">
        <v>11</v>
      </c>
      <c r="H10" s="6"/>
    </row>
    <row r="11" spans="1:8" ht="33.950000000000003" customHeight="1">
      <c r="A11" s="5" t="s">
        <v>128</v>
      </c>
      <c r="B11" s="1" t="s">
        <v>129</v>
      </c>
      <c r="C11" s="10"/>
      <c r="D11" s="10">
        <f t="shared" si="0"/>
        <v>0</v>
      </c>
      <c r="E11" s="10">
        <f t="shared" si="1"/>
        <v>0</v>
      </c>
      <c r="F11" s="12">
        <v>1</v>
      </c>
      <c r="G11" s="1" t="s">
        <v>11</v>
      </c>
      <c r="H11" s="6"/>
    </row>
    <row r="12" spans="1:8" ht="33.950000000000003" customHeight="1">
      <c r="A12" s="5" t="s">
        <v>130</v>
      </c>
      <c r="B12" s="1" t="s">
        <v>131</v>
      </c>
      <c r="C12" s="10"/>
      <c r="D12" s="10">
        <f t="shared" si="0"/>
        <v>0</v>
      </c>
      <c r="E12" s="10">
        <f t="shared" si="1"/>
        <v>0</v>
      </c>
      <c r="F12" s="12">
        <v>1</v>
      </c>
      <c r="G12" s="1" t="s">
        <v>11</v>
      </c>
      <c r="H12" s="6"/>
    </row>
    <row r="13" spans="1:8" ht="33.950000000000003" customHeight="1">
      <c r="A13" s="5" t="s">
        <v>132</v>
      </c>
      <c r="B13" s="1" t="s">
        <v>133</v>
      </c>
      <c r="C13" s="10"/>
      <c r="D13" s="10">
        <f t="shared" si="0"/>
        <v>0</v>
      </c>
      <c r="E13" s="10">
        <f t="shared" si="1"/>
        <v>0</v>
      </c>
      <c r="F13" s="12">
        <v>2</v>
      </c>
      <c r="G13" s="1" t="s">
        <v>11</v>
      </c>
      <c r="H13" s="6"/>
    </row>
    <row r="14" spans="1:8" ht="33.950000000000003" customHeight="1">
      <c r="A14" s="5" t="s">
        <v>134</v>
      </c>
      <c r="B14" s="1" t="s">
        <v>135</v>
      </c>
      <c r="C14" s="10"/>
      <c r="D14" s="10">
        <f t="shared" si="0"/>
        <v>0</v>
      </c>
      <c r="E14" s="10">
        <f t="shared" si="1"/>
        <v>0</v>
      </c>
      <c r="F14" s="12">
        <v>4</v>
      </c>
      <c r="G14" s="1" t="s">
        <v>11</v>
      </c>
      <c r="H14" s="6"/>
    </row>
    <row r="15" spans="1:8" ht="33.950000000000003" customHeight="1">
      <c r="A15" s="5" t="s">
        <v>136</v>
      </c>
      <c r="B15" s="1" t="s">
        <v>137</v>
      </c>
      <c r="C15" s="10"/>
      <c r="D15" s="10">
        <f t="shared" si="0"/>
        <v>0</v>
      </c>
      <c r="E15" s="10">
        <f t="shared" si="1"/>
        <v>0</v>
      </c>
      <c r="F15" s="12">
        <v>7</v>
      </c>
      <c r="G15" s="1" t="s">
        <v>11</v>
      </c>
      <c r="H15" s="6"/>
    </row>
    <row r="16" spans="1:8" ht="33.950000000000003" customHeight="1">
      <c r="A16" s="5" t="s">
        <v>138</v>
      </c>
      <c r="B16" s="1" t="s">
        <v>139</v>
      </c>
      <c r="C16" s="10"/>
      <c r="D16" s="10">
        <f t="shared" si="0"/>
        <v>0</v>
      </c>
      <c r="E16" s="10">
        <f t="shared" si="1"/>
        <v>0</v>
      </c>
      <c r="F16" s="12">
        <v>6</v>
      </c>
      <c r="G16" s="1" t="s">
        <v>11</v>
      </c>
      <c r="H16" s="6"/>
    </row>
    <row r="17" spans="1:8" ht="33.950000000000003" customHeight="1">
      <c r="A17" s="5" t="s">
        <v>140</v>
      </c>
      <c r="B17" s="1" t="s">
        <v>141</v>
      </c>
      <c r="C17" s="10"/>
      <c r="D17" s="10">
        <f t="shared" si="0"/>
        <v>0</v>
      </c>
      <c r="E17" s="10">
        <f t="shared" si="1"/>
        <v>0</v>
      </c>
      <c r="F17" s="12">
        <v>12</v>
      </c>
      <c r="G17" s="1" t="s">
        <v>11</v>
      </c>
      <c r="H17" s="6"/>
    </row>
    <row r="18" spans="1:8" ht="33.950000000000003" customHeight="1">
      <c r="A18" s="5" t="s">
        <v>142</v>
      </c>
      <c r="B18" s="1" t="s">
        <v>143</v>
      </c>
      <c r="C18" s="10"/>
      <c r="D18" s="10">
        <f t="shared" si="0"/>
        <v>0</v>
      </c>
      <c r="E18" s="10">
        <f t="shared" si="1"/>
        <v>0</v>
      </c>
      <c r="F18" s="12">
        <v>2</v>
      </c>
      <c r="G18" s="1" t="s">
        <v>11</v>
      </c>
      <c r="H18" s="6"/>
    </row>
    <row r="19" spans="1:8" ht="33.950000000000003" customHeight="1">
      <c r="A19" s="5"/>
      <c r="B19" s="1" t="s">
        <v>144</v>
      </c>
      <c r="C19" s="10"/>
      <c r="D19" s="10">
        <f t="shared" si="0"/>
        <v>0</v>
      </c>
      <c r="E19" s="10">
        <f t="shared" si="1"/>
        <v>0</v>
      </c>
      <c r="F19" s="12">
        <v>12</v>
      </c>
      <c r="G19" s="1" t="s">
        <v>114</v>
      </c>
      <c r="H19" s="6"/>
    </row>
    <row r="20" spans="1:8" ht="33.950000000000003" customHeight="1">
      <c r="A20" s="5"/>
      <c r="B20" s="1" t="s">
        <v>145</v>
      </c>
      <c r="C20" s="10"/>
      <c r="D20" s="10">
        <f t="shared" si="0"/>
        <v>0</v>
      </c>
      <c r="E20" s="10">
        <f t="shared" si="1"/>
        <v>0</v>
      </c>
      <c r="F20" s="12">
        <v>60</v>
      </c>
      <c r="G20" s="1" t="s">
        <v>114</v>
      </c>
      <c r="H20" s="6"/>
    </row>
    <row r="21" spans="1:8" ht="33.950000000000003" customHeight="1">
      <c r="A21" s="5" t="s">
        <v>146</v>
      </c>
      <c r="B21" s="1" t="s">
        <v>147</v>
      </c>
      <c r="C21" s="10"/>
      <c r="D21" s="10">
        <f t="shared" si="0"/>
        <v>0</v>
      </c>
      <c r="E21" s="10">
        <f t="shared" si="1"/>
        <v>0</v>
      </c>
      <c r="F21" s="12">
        <v>1</v>
      </c>
      <c r="G21" s="1" t="s">
        <v>114</v>
      </c>
      <c r="H21" s="6"/>
    </row>
    <row r="22" spans="1:8" ht="33.950000000000003" customHeight="1">
      <c r="A22" s="5"/>
      <c r="B22" s="1" t="s">
        <v>148</v>
      </c>
      <c r="C22" s="10"/>
      <c r="D22" s="10">
        <f t="shared" si="0"/>
        <v>0</v>
      </c>
      <c r="E22" s="10">
        <f t="shared" si="1"/>
        <v>0</v>
      </c>
      <c r="F22" s="12">
        <v>2</v>
      </c>
      <c r="G22" s="1" t="s">
        <v>11</v>
      </c>
      <c r="H22" s="6"/>
    </row>
    <row r="23" spans="1:8" ht="33.950000000000003" customHeight="1">
      <c r="A23" s="5"/>
      <c r="B23" s="1" t="s">
        <v>149</v>
      </c>
      <c r="C23" s="10"/>
      <c r="D23" s="10">
        <f t="shared" si="0"/>
        <v>0</v>
      </c>
      <c r="E23" s="10">
        <f t="shared" si="1"/>
        <v>0</v>
      </c>
      <c r="F23" s="12">
        <v>6</v>
      </c>
      <c r="G23" s="1" t="s">
        <v>11</v>
      </c>
      <c r="H23" s="6"/>
    </row>
    <row r="24" spans="1:8" ht="33.950000000000003" customHeight="1">
      <c r="A24" s="5"/>
      <c r="B24" s="1" t="s">
        <v>150</v>
      </c>
      <c r="C24" s="10"/>
      <c r="D24" s="10">
        <f t="shared" si="0"/>
        <v>0</v>
      </c>
      <c r="E24" s="10">
        <f t="shared" si="1"/>
        <v>0</v>
      </c>
      <c r="F24" s="12">
        <v>787</v>
      </c>
      <c r="G24" s="1" t="s">
        <v>11</v>
      </c>
      <c r="H24" s="6"/>
    </row>
    <row r="25" spans="1:8" ht="33.950000000000003" customHeight="1">
      <c r="A25" s="5"/>
      <c r="B25" s="1" t="s">
        <v>151</v>
      </c>
      <c r="C25" s="10"/>
      <c r="D25" s="10">
        <f t="shared" si="0"/>
        <v>0</v>
      </c>
      <c r="E25" s="10">
        <f t="shared" si="1"/>
        <v>0</v>
      </c>
      <c r="F25" s="12">
        <v>214</v>
      </c>
      <c r="G25" s="1" t="s">
        <v>11</v>
      </c>
      <c r="H25" s="6"/>
    </row>
    <row r="26" spans="1:8" ht="33.950000000000003" customHeight="1">
      <c r="A26" s="5"/>
      <c r="B26" s="1" t="s">
        <v>152</v>
      </c>
      <c r="C26" s="10"/>
      <c r="D26" s="10">
        <f t="shared" si="0"/>
        <v>0</v>
      </c>
      <c r="E26" s="10">
        <f t="shared" si="1"/>
        <v>0</v>
      </c>
      <c r="F26" s="12">
        <v>120</v>
      </c>
      <c r="G26" s="1" t="s">
        <v>11</v>
      </c>
      <c r="H26" s="6"/>
    </row>
    <row r="27" spans="1:8" ht="33.950000000000003" customHeight="1">
      <c r="A27" s="5"/>
      <c r="B27" s="1" t="s">
        <v>153</v>
      </c>
      <c r="C27" s="10"/>
      <c r="D27" s="10">
        <f t="shared" si="0"/>
        <v>0</v>
      </c>
      <c r="E27" s="10">
        <f t="shared" si="1"/>
        <v>0</v>
      </c>
      <c r="F27" s="12">
        <v>60</v>
      </c>
      <c r="G27" s="1" t="s">
        <v>11</v>
      </c>
      <c r="H27" s="6"/>
    </row>
    <row r="28" spans="1:8" ht="33.950000000000003" customHeight="1">
      <c r="A28" s="5"/>
      <c r="B28" s="1" t="s">
        <v>154</v>
      </c>
      <c r="C28" s="10"/>
      <c r="D28" s="10">
        <f t="shared" si="0"/>
        <v>0</v>
      </c>
      <c r="E28" s="10">
        <f t="shared" si="1"/>
        <v>0</v>
      </c>
      <c r="F28" s="12">
        <v>231</v>
      </c>
      <c r="G28" s="1" t="s">
        <v>11</v>
      </c>
      <c r="H28" s="6"/>
    </row>
    <row r="29" spans="1:8" ht="33.950000000000003" customHeight="1">
      <c r="A29" s="5"/>
      <c r="B29" s="1" t="s">
        <v>155</v>
      </c>
      <c r="C29" s="10"/>
      <c r="D29" s="10">
        <f t="shared" si="0"/>
        <v>0</v>
      </c>
      <c r="E29" s="10">
        <f t="shared" si="1"/>
        <v>0</v>
      </c>
      <c r="F29" s="12">
        <v>130</v>
      </c>
      <c r="G29" s="1" t="s">
        <v>11</v>
      </c>
      <c r="H29" s="6"/>
    </row>
    <row r="30" spans="1:8" ht="33.950000000000003" customHeight="1">
      <c r="A30" s="5"/>
      <c r="B30" s="1" t="s">
        <v>156</v>
      </c>
      <c r="C30" s="10"/>
      <c r="D30" s="10">
        <f t="shared" si="0"/>
        <v>0</v>
      </c>
      <c r="E30" s="10">
        <f t="shared" si="1"/>
        <v>0</v>
      </c>
      <c r="F30" s="12">
        <v>23</v>
      </c>
      <c r="G30" s="1" t="s">
        <v>11</v>
      </c>
      <c r="H30" s="6"/>
    </row>
    <row r="31" spans="1:8" ht="33.950000000000003" customHeight="1">
      <c r="A31" s="5" t="s">
        <v>157</v>
      </c>
      <c r="B31" s="1" t="s">
        <v>158</v>
      </c>
      <c r="C31" s="10"/>
      <c r="D31" s="10">
        <f t="shared" si="0"/>
        <v>0</v>
      </c>
      <c r="E31" s="10">
        <f t="shared" si="1"/>
        <v>0</v>
      </c>
      <c r="F31" s="12">
        <v>1564</v>
      </c>
      <c r="G31" s="1" t="s">
        <v>11</v>
      </c>
      <c r="H31" s="6"/>
    </row>
    <row r="32" spans="1:8" ht="33.950000000000003" customHeight="1">
      <c r="A32" s="5" t="s">
        <v>159</v>
      </c>
      <c r="B32" s="1" t="s">
        <v>160</v>
      </c>
      <c r="C32" s="10"/>
      <c r="D32" s="10">
        <f t="shared" si="0"/>
        <v>0</v>
      </c>
      <c r="E32" s="10">
        <f t="shared" si="1"/>
        <v>0</v>
      </c>
      <c r="F32" s="12">
        <v>1564</v>
      </c>
      <c r="G32" s="1" t="s">
        <v>11</v>
      </c>
      <c r="H32" s="6"/>
    </row>
    <row r="33" spans="1:8" ht="33.950000000000003" customHeight="1">
      <c r="A33" s="5" t="s">
        <v>161</v>
      </c>
      <c r="B33" s="1" t="s">
        <v>162</v>
      </c>
      <c r="C33" s="10"/>
      <c r="D33" s="10">
        <f t="shared" si="0"/>
        <v>0</v>
      </c>
      <c r="E33" s="10">
        <f t="shared" si="1"/>
        <v>0</v>
      </c>
      <c r="F33" s="12">
        <v>1000</v>
      </c>
      <c r="G33" s="1" t="s">
        <v>11</v>
      </c>
      <c r="H33" s="6"/>
    </row>
    <row r="34" spans="1:8" ht="33.950000000000003" customHeight="1">
      <c r="A34" s="5" t="s">
        <v>159</v>
      </c>
      <c r="B34" s="1" t="s">
        <v>160</v>
      </c>
      <c r="C34" s="10"/>
      <c r="D34" s="10">
        <f t="shared" ref="D34:D65" si="2">IFERROR(IF(C34="",0,C34*0.6),0)</f>
        <v>0</v>
      </c>
      <c r="E34" s="10">
        <f t="shared" ref="E34:E65" si="3">IFERROR(D34*F34,0)</f>
        <v>0</v>
      </c>
      <c r="F34" s="12">
        <v>1000</v>
      </c>
      <c r="G34" s="1" t="s">
        <v>11</v>
      </c>
      <c r="H34" s="6"/>
    </row>
    <row r="35" spans="1:8" ht="33.950000000000003" customHeight="1">
      <c r="A35" s="5"/>
      <c r="B35" s="1" t="s">
        <v>163</v>
      </c>
      <c r="C35" s="10"/>
      <c r="D35" s="10">
        <f t="shared" si="2"/>
        <v>0</v>
      </c>
      <c r="E35" s="10">
        <f t="shared" si="3"/>
        <v>0</v>
      </c>
      <c r="F35" s="12">
        <v>39</v>
      </c>
      <c r="G35" s="1" t="s">
        <v>11</v>
      </c>
      <c r="H35" s="6"/>
    </row>
    <row r="36" spans="1:8" ht="33.950000000000003" customHeight="1">
      <c r="A36" s="5"/>
      <c r="B36" s="1" t="s">
        <v>164</v>
      </c>
      <c r="C36" s="10"/>
      <c r="D36" s="10">
        <f t="shared" si="2"/>
        <v>0</v>
      </c>
      <c r="E36" s="10">
        <f t="shared" si="3"/>
        <v>0</v>
      </c>
      <c r="F36" s="12">
        <v>62</v>
      </c>
      <c r="G36" s="1" t="s">
        <v>11</v>
      </c>
      <c r="H36" s="6"/>
    </row>
    <row r="37" spans="1:8" ht="33.950000000000003" customHeight="1">
      <c r="A37" s="5"/>
      <c r="B37" s="1" t="s">
        <v>165</v>
      </c>
      <c r="C37" s="10"/>
      <c r="D37" s="10">
        <f t="shared" si="2"/>
        <v>0</v>
      </c>
      <c r="E37" s="10">
        <f t="shared" si="3"/>
        <v>0</v>
      </c>
      <c r="F37" s="12">
        <v>41</v>
      </c>
      <c r="G37" s="1" t="s">
        <v>11</v>
      </c>
      <c r="H37" s="6"/>
    </row>
    <row r="38" spans="1:8" ht="33.950000000000003" customHeight="1">
      <c r="A38" s="5"/>
      <c r="B38" s="1" t="s">
        <v>166</v>
      </c>
      <c r="C38" s="10"/>
      <c r="D38" s="10">
        <f t="shared" si="2"/>
        <v>0</v>
      </c>
      <c r="E38" s="10">
        <f t="shared" si="3"/>
        <v>0</v>
      </c>
      <c r="F38" s="12">
        <v>48</v>
      </c>
      <c r="G38" s="1" t="s">
        <v>11</v>
      </c>
      <c r="H38" s="6"/>
    </row>
    <row r="39" spans="1:8" ht="33.950000000000003" customHeight="1">
      <c r="A39" s="5"/>
      <c r="B39" s="1" t="s">
        <v>167</v>
      </c>
      <c r="C39" s="10"/>
      <c r="D39" s="10">
        <f t="shared" si="2"/>
        <v>0</v>
      </c>
      <c r="E39" s="10">
        <f t="shared" si="3"/>
        <v>0</v>
      </c>
      <c r="F39" s="12">
        <v>48</v>
      </c>
      <c r="G39" s="1" t="s">
        <v>11</v>
      </c>
      <c r="H39" s="6" t="s">
        <v>115</v>
      </c>
    </row>
    <row r="40" spans="1:8" ht="33.950000000000003" customHeight="1">
      <c r="A40" s="5"/>
      <c r="B40" s="1" t="s">
        <v>168</v>
      </c>
      <c r="C40" s="10"/>
      <c r="D40" s="10">
        <f t="shared" si="2"/>
        <v>0</v>
      </c>
      <c r="E40" s="10">
        <f t="shared" si="3"/>
        <v>0</v>
      </c>
      <c r="F40" s="12">
        <v>262</v>
      </c>
      <c r="G40" s="1" t="s">
        <v>11</v>
      </c>
      <c r="H40" s="6"/>
    </row>
    <row r="41" spans="1:8" ht="33.950000000000003" customHeight="1">
      <c r="A41" s="5" t="s">
        <v>169</v>
      </c>
      <c r="B41" s="1" t="s">
        <v>170</v>
      </c>
      <c r="C41" s="10"/>
      <c r="D41" s="10">
        <f t="shared" si="2"/>
        <v>0</v>
      </c>
      <c r="E41" s="10">
        <f t="shared" si="3"/>
        <v>0</v>
      </c>
      <c r="F41" s="12">
        <v>262</v>
      </c>
      <c r="G41" s="1" t="s">
        <v>11</v>
      </c>
      <c r="H41" s="6"/>
    </row>
    <row r="42" spans="1:8" ht="33.950000000000003" customHeight="1">
      <c r="A42" s="5" t="s">
        <v>171</v>
      </c>
      <c r="B42" s="1" t="s">
        <v>172</v>
      </c>
      <c r="C42" s="10"/>
      <c r="D42" s="10">
        <f t="shared" si="2"/>
        <v>0</v>
      </c>
      <c r="E42" s="10">
        <f t="shared" si="3"/>
        <v>0</v>
      </c>
      <c r="F42" s="12">
        <v>262</v>
      </c>
      <c r="G42" s="1" t="s">
        <v>11</v>
      </c>
      <c r="H42" s="6"/>
    </row>
    <row r="43" spans="1:8" ht="33.950000000000003" customHeight="1">
      <c r="A43" s="5" t="s">
        <v>173</v>
      </c>
      <c r="B43" s="1" t="s">
        <v>174</v>
      </c>
      <c r="C43" s="10"/>
      <c r="D43" s="10">
        <f t="shared" si="2"/>
        <v>0</v>
      </c>
      <c r="E43" s="10">
        <f t="shared" si="3"/>
        <v>0</v>
      </c>
      <c r="F43" s="12">
        <v>262</v>
      </c>
      <c r="G43" s="1" t="s">
        <v>11</v>
      </c>
      <c r="H43" s="6"/>
    </row>
    <row r="44" spans="1:8" ht="33.950000000000003" customHeight="1">
      <c r="A44" s="5" t="s">
        <v>175</v>
      </c>
      <c r="B44" s="1" t="s">
        <v>176</v>
      </c>
      <c r="C44" s="10"/>
      <c r="D44" s="10">
        <f t="shared" si="2"/>
        <v>0</v>
      </c>
      <c r="E44" s="10">
        <f t="shared" si="3"/>
        <v>0</v>
      </c>
      <c r="F44" s="12">
        <v>360</v>
      </c>
      <c r="G44" s="1" t="s">
        <v>11</v>
      </c>
      <c r="H44" s="6"/>
    </row>
    <row r="45" spans="1:8" ht="33.950000000000003" customHeight="1">
      <c r="A45" s="5"/>
      <c r="B45" s="1" t="s">
        <v>177</v>
      </c>
      <c r="C45" s="10"/>
      <c r="D45" s="10">
        <f t="shared" si="2"/>
        <v>0</v>
      </c>
      <c r="E45" s="10">
        <f t="shared" si="3"/>
        <v>0</v>
      </c>
      <c r="F45" s="12">
        <v>155</v>
      </c>
      <c r="G45" s="1" t="s">
        <v>11</v>
      </c>
      <c r="H45" s="6"/>
    </row>
    <row r="46" spans="1:8" ht="33.950000000000003" customHeight="1">
      <c r="A46" s="5"/>
      <c r="B46" s="1" t="s">
        <v>178</v>
      </c>
      <c r="C46" s="10"/>
      <c r="D46" s="10">
        <f t="shared" si="2"/>
        <v>0</v>
      </c>
      <c r="E46" s="10">
        <f t="shared" si="3"/>
        <v>0</v>
      </c>
      <c r="F46" s="12">
        <v>98</v>
      </c>
      <c r="G46" s="1" t="s">
        <v>11</v>
      </c>
      <c r="H46" s="6"/>
    </row>
    <row r="47" spans="1:8" ht="33.950000000000003" customHeight="1">
      <c r="A47" s="5"/>
      <c r="B47" s="1" t="s">
        <v>179</v>
      </c>
      <c r="C47" s="10"/>
      <c r="D47" s="10">
        <f t="shared" si="2"/>
        <v>0</v>
      </c>
      <c r="E47" s="10">
        <f t="shared" si="3"/>
        <v>0</v>
      </c>
      <c r="F47" s="12">
        <v>3</v>
      </c>
      <c r="G47" s="1" t="s">
        <v>11</v>
      </c>
      <c r="H47" s="6"/>
    </row>
    <row r="48" spans="1:8" ht="33.950000000000003" customHeight="1">
      <c r="A48" s="5"/>
      <c r="B48" s="1" t="s">
        <v>180</v>
      </c>
      <c r="C48" s="10"/>
      <c r="D48" s="10">
        <f t="shared" si="2"/>
        <v>0</v>
      </c>
      <c r="E48" s="10">
        <f t="shared" si="3"/>
        <v>0</v>
      </c>
      <c r="F48" s="12">
        <v>3</v>
      </c>
      <c r="G48" s="1" t="s">
        <v>11</v>
      </c>
      <c r="H48" s="6"/>
    </row>
    <row r="49" spans="1:8" ht="33.950000000000003" customHeight="1">
      <c r="A49" s="5"/>
      <c r="B49" s="1" t="s">
        <v>181</v>
      </c>
      <c r="C49" s="10"/>
      <c r="D49" s="10">
        <f t="shared" si="2"/>
        <v>0</v>
      </c>
      <c r="E49" s="10">
        <f t="shared" si="3"/>
        <v>0</v>
      </c>
      <c r="F49" s="12">
        <v>60</v>
      </c>
      <c r="G49" s="1" t="s">
        <v>11</v>
      </c>
      <c r="H49" s="6"/>
    </row>
    <row r="50" spans="1:8" ht="33.950000000000003" customHeight="1">
      <c r="A50" s="5"/>
      <c r="B50" s="1" t="s">
        <v>182</v>
      </c>
      <c r="C50" s="10"/>
      <c r="D50" s="10">
        <f t="shared" si="2"/>
        <v>0</v>
      </c>
      <c r="E50" s="10">
        <f t="shared" si="3"/>
        <v>0</v>
      </c>
      <c r="F50" s="12">
        <v>60</v>
      </c>
      <c r="G50" s="1" t="s">
        <v>11</v>
      </c>
      <c r="H50" s="6"/>
    </row>
    <row r="51" spans="1:8" ht="33.950000000000003" customHeight="1">
      <c r="A51" s="5"/>
      <c r="B51" s="1" t="s">
        <v>183</v>
      </c>
      <c r="C51" s="10"/>
      <c r="D51" s="10">
        <f t="shared" si="2"/>
        <v>0</v>
      </c>
      <c r="E51" s="10">
        <f t="shared" si="3"/>
        <v>0</v>
      </c>
      <c r="F51" s="12">
        <v>50</v>
      </c>
      <c r="G51" s="1" t="s">
        <v>11</v>
      </c>
      <c r="H51" s="6"/>
    </row>
    <row r="52" spans="1:8" ht="33.950000000000003" customHeight="1">
      <c r="A52" s="5"/>
      <c r="B52" s="1" t="s">
        <v>184</v>
      </c>
      <c r="C52" s="10"/>
      <c r="D52" s="10">
        <f t="shared" si="2"/>
        <v>0</v>
      </c>
      <c r="E52" s="10">
        <f t="shared" si="3"/>
        <v>0</v>
      </c>
      <c r="F52" s="12">
        <v>3</v>
      </c>
      <c r="G52" s="1" t="s">
        <v>11</v>
      </c>
      <c r="H52" s="6"/>
    </row>
    <row r="53" spans="1:8" ht="33.950000000000003" customHeight="1">
      <c r="A53" s="5"/>
      <c r="B53" s="1" t="s">
        <v>185</v>
      </c>
      <c r="C53" s="10"/>
      <c r="D53" s="10">
        <f t="shared" si="2"/>
        <v>0</v>
      </c>
      <c r="E53" s="10">
        <f t="shared" si="3"/>
        <v>0</v>
      </c>
      <c r="F53" s="12">
        <v>12</v>
      </c>
      <c r="G53" s="1" t="s">
        <v>11</v>
      </c>
      <c r="H53" s="6"/>
    </row>
    <row r="54" spans="1:8" ht="33.950000000000003" customHeight="1">
      <c r="A54" s="5"/>
      <c r="B54" s="1" t="s">
        <v>186</v>
      </c>
      <c r="C54" s="10"/>
      <c r="D54" s="10">
        <f t="shared" si="2"/>
        <v>0</v>
      </c>
      <c r="E54" s="10">
        <f t="shared" si="3"/>
        <v>0</v>
      </c>
      <c r="F54" s="12">
        <v>90</v>
      </c>
      <c r="G54" s="1" t="s">
        <v>187</v>
      </c>
      <c r="H54" s="6"/>
    </row>
    <row r="55" spans="1:8" ht="33.950000000000003" customHeight="1">
      <c r="A55" s="5"/>
      <c r="B55" s="1" t="s">
        <v>188</v>
      </c>
      <c r="C55" s="10"/>
      <c r="D55" s="10">
        <f t="shared" si="2"/>
        <v>0</v>
      </c>
      <c r="E55" s="10">
        <f t="shared" si="3"/>
        <v>0</v>
      </c>
      <c r="F55" s="12">
        <v>100</v>
      </c>
      <c r="G55" s="1" t="s">
        <v>187</v>
      </c>
      <c r="H55" s="6"/>
    </row>
    <row r="56" spans="1:8" ht="33.950000000000003" customHeight="1">
      <c r="A56" s="5"/>
      <c r="B56" s="1" t="s">
        <v>189</v>
      </c>
      <c r="C56" s="10"/>
      <c r="D56" s="10">
        <f t="shared" si="2"/>
        <v>0</v>
      </c>
      <c r="E56" s="10">
        <f t="shared" si="3"/>
        <v>0</v>
      </c>
      <c r="F56" s="12">
        <v>5</v>
      </c>
      <c r="G56" s="1" t="s">
        <v>190</v>
      </c>
      <c r="H56" s="6"/>
    </row>
    <row r="57" spans="1:8" ht="33.950000000000003" customHeight="1">
      <c r="A57" s="5"/>
      <c r="B57" s="1" t="s">
        <v>191</v>
      </c>
      <c r="C57" s="10"/>
      <c r="D57" s="10">
        <f t="shared" si="2"/>
        <v>0</v>
      </c>
      <c r="E57" s="10">
        <f t="shared" si="3"/>
        <v>0</v>
      </c>
      <c r="F57" s="12">
        <v>120</v>
      </c>
      <c r="G57" s="1" t="s">
        <v>192</v>
      </c>
      <c r="H57" s="6"/>
    </row>
    <row r="58" spans="1:8" ht="33.950000000000003" customHeight="1">
      <c r="A58" s="5"/>
      <c r="B58" s="1" t="s">
        <v>193</v>
      </c>
      <c r="C58" s="10"/>
      <c r="D58" s="10">
        <f t="shared" si="2"/>
        <v>0</v>
      </c>
      <c r="E58" s="10">
        <f t="shared" si="3"/>
        <v>0</v>
      </c>
      <c r="F58" s="12">
        <v>34</v>
      </c>
      <c r="G58" s="1" t="s">
        <v>11</v>
      </c>
      <c r="H58" s="6"/>
    </row>
    <row r="59" spans="1:8" ht="33.950000000000003" customHeight="1">
      <c r="A59" s="5"/>
      <c r="B59" s="1" t="s">
        <v>194</v>
      </c>
      <c r="C59" s="10"/>
      <c r="D59" s="10">
        <f t="shared" si="2"/>
        <v>0</v>
      </c>
      <c r="E59" s="10">
        <f t="shared" si="3"/>
        <v>0</v>
      </c>
      <c r="F59" s="12">
        <v>3</v>
      </c>
      <c r="G59" s="1" t="s">
        <v>11</v>
      </c>
      <c r="H59" s="6"/>
    </row>
    <row r="60" spans="1:8" ht="33.950000000000003" customHeight="1">
      <c r="A60" s="5"/>
      <c r="B60" s="1" t="s">
        <v>195</v>
      </c>
      <c r="C60" s="10"/>
      <c r="D60" s="10">
        <f t="shared" si="2"/>
        <v>0</v>
      </c>
      <c r="E60" s="10">
        <f t="shared" si="3"/>
        <v>0</v>
      </c>
      <c r="F60" s="12">
        <v>4</v>
      </c>
      <c r="G60" s="1" t="s">
        <v>11</v>
      </c>
      <c r="H60" s="6" t="s">
        <v>196</v>
      </c>
    </row>
    <row r="61" spans="1:8" ht="33.950000000000003" customHeight="1">
      <c r="A61" s="5"/>
      <c r="B61" s="1" t="s">
        <v>197</v>
      </c>
      <c r="C61" s="10"/>
      <c r="D61" s="10">
        <f t="shared" si="2"/>
        <v>0</v>
      </c>
      <c r="E61" s="10">
        <f t="shared" si="3"/>
        <v>0</v>
      </c>
      <c r="F61" s="12">
        <v>1</v>
      </c>
      <c r="G61" s="1" t="s">
        <v>8</v>
      </c>
      <c r="H61" s="6" t="s">
        <v>196</v>
      </c>
    </row>
    <row r="62" spans="1:8" ht="33.950000000000003" customHeight="1">
      <c r="A62" s="5" t="s">
        <v>198</v>
      </c>
      <c r="B62" s="1" t="s">
        <v>199</v>
      </c>
      <c r="C62" s="10"/>
      <c r="D62" s="10">
        <f t="shared" si="2"/>
        <v>0</v>
      </c>
      <c r="E62" s="10">
        <f t="shared" si="3"/>
        <v>0</v>
      </c>
      <c r="F62" s="12">
        <v>225</v>
      </c>
      <c r="G62" s="1" t="s">
        <v>192</v>
      </c>
      <c r="H62" s="6"/>
    </row>
    <row r="63" spans="1:8" ht="33.950000000000003" customHeight="1">
      <c r="A63" s="5" t="s">
        <v>200</v>
      </c>
      <c r="B63" s="1" t="s">
        <v>201</v>
      </c>
      <c r="C63" s="10"/>
      <c r="D63" s="10">
        <f t="shared" si="2"/>
        <v>0</v>
      </c>
      <c r="E63" s="10">
        <f t="shared" si="3"/>
        <v>0</v>
      </c>
      <c r="F63" s="12">
        <v>105</v>
      </c>
      <c r="G63" s="1" t="s">
        <v>192</v>
      </c>
      <c r="H63" s="6"/>
    </row>
    <row r="64" spans="1:8" ht="33.950000000000003" customHeight="1">
      <c r="A64" s="5" t="s">
        <v>202</v>
      </c>
      <c r="B64" s="1" t="s">
        <v>203</v>
      </c>
      <c r="C64" s="10"/>
      <c r="D64" s="10">
        <f t="shared" si="2"/>
        <v>0</v>
      </c>
      <c r="E64" s="10">
        <f t="shared" si="3"/>
        <v>0</v>
      </c>
      <c r="F64" s="12">
        <v>55</v>
      </c>
      <c r="G64" s="1" t="s">
        <v>192</v>
      </c>
      <c r="H64" s="6"/>
    </row>
    <row r="65" spans="1:8" ht="33.950000000000003" customHeight="1">
      <c r="A65" s="5" t="s">
        <v>204</v>
      </c>
      <c r="B65" s="1" t="s">
        <v>205</v>
      </c>
      <c r="C65" s="10"/>
      <c r="D65" s="10">
        <f t="shared" si="2"/>
        <v>0</v>
      </c>
      <c r="E65" s="10">
        <f t="shared" si="3"/>
        <v>0</v>
      </c>
      <c r="F65" s="12">
        <v>120</v>
      </c>
      <c r="G65" s="1" t="s">
        <v>192</v>
      </c>
      <c r="H65" s="6"/>
    </row>
    <row r="66" spans="1:8" ht="33.950000000000003" customHeight="1">
      <c r="A66" s="5" t="s">
        <v>206</v>
      </c>
      <c r="B66" s="1" t="s">
        <v>207</v>
      </c>
      <c r="C66" s="10"/>
      <c r="D66" s="10">
        <f t="shared" ref="D66:D97" si="4">IFERROR(IF(C66="",0,C66*0.6),0)</f>
        <v>0</v>
      </c>
      <c r="E66" s="10">
        <f t="shared" ref="E66:E97" si="5">IFERROR(D66*F66,0)</f>
        <v>0</v>
      </c>
      <c r="F66" s="12">
        <v>180</v>
      </c>
      <c r="G66" s="1" t="s">
        <v>192</v>
      </c>
      <c r="H66" s="6"/>
    </row>
    <row r="67" spans="1:8" ht="33.950000000000003" customHeight="1">
      <c r="A67" s="5" t="s">
        <v>208</v>
      </c>
      <c r="B67" s="1" t="s">
        <v>209</v>
      </c>
      <c r="C67" s="10"/>
      <c r="D67" s="10">
        <f t="shared" si="4"/>
        <v>0</v>
      </c>
      <c r="E67" s="10">
        <f t="shared" si="5"/>
        <v>0</v>
      </c>
      <c r="F67" s="12">
        <v>1350</v>
      </c>
      <c r="G67" s="1" t="s">
        <v>192</v>
      </c>
      <c r="H67" s="6"/>
    </row>
    <row r="68" spans="1:8" ht="33.950000000000003" customHeight="1">
      <c r="A68" s="5" t="s">
        <v>210</v>
      </c>
      <c r="B68" s="1" t="s">
        <v>211</v>
      </c>
      <c r="C68" s="10"/>
      <c r="D68" s="10">
        <f t="shared" si="4"/>
        <v>0</v>
      </c>
      <c r="E68" s="10">
        <f t="shared" si="5"/>
        <v>0</v>
      </c>
      <c r="F68" s="12">
        <v>10</v>
      </c>
      <c r="G68" s="1" t="s">
        <v>192</v>
      </c>
      <c r="H68" s="6"/>
    </row>
    <row r="69" spans="1:8" ht="33.950000000000003" customHeight="1">
      <c r="A69" s="5" t="s">
        <v>212</v>
      </c>
      <c r="B69" s="1" t="s">
        <v>213</v>
      </c>
      <c r="C69" s="10"/>
      <c r="D69" s="10">
        <f t="shared" si="4"/>
        <v>0</v>
      </c>
      <c r="E69" s="10">
        <f t="shared" si="5"/>
        <v>0</v>
      </c>
      <c r="F69" s="12">
        <v>120</v>
      </c>
      <c r="G69" s="1" t="s">
        <v>192</v>
      </c>
      <c r="H69" s="6"/>
    </row>
    <row r="70" spans="1:8" ht="33.950000000000003" customHeight="1">
      <c r="A70" s="5" t="s">
        <v>214</v>
      </c>
      <c r="B70" s="1" t="s">
        <v>215</v>
      </c>
      <c r="C70" s="10"/>
      <c r="D70" s="10">
        <f t="shared" si="4"/>
        <v>0</v>
      </c>
      <c r="E70" s="10">
        <f t="shared" si="5"/>
        <v>0</v>
      </c>
      <c r="F70" s="12">
        <v>10</v>
      </c>
      <c r="G70" s="1" t="s">
        <v>192</v>
      </c>
      <c r="H70" s="6"/>
    </row>
    <row r="71" spans="1:8" ht="33.950000000000003" customHeight="1">
      <c r="A71" s="5" t="s">
        <v>216</v>
      </c>
      <c r="B71" s="1" t="s">
        <v>217</v>
      </c>
      <c r="C71" s="10"/>
      <c r="D71" s="10">
        <f t="shared" si="4"/>
        <v>0</v>
      </c>
      <c r="E71" s="10">
        <f t="shared" si="5"/>
        <v>0</v>
      </c>
      <c r="F71" s="12">
        <v>70</v>
      </c>
      <c r="G71" s="1" t="s">
        <v>192</v>
      </c>
      <c r="H71" s="6"/>
    </row>
    <row r="72" spans="1:8" ht="33.950000000000003" customHeight="1">
      <c r="A72" s="5" t="s">
        <v>218</v>
      </c>
      <c r="B72" s="1" t="s">
        <v>219</v>
      </c>
      <c r="C72" s="10"/>
      <c r="D72" s="10">
        <f t="shared" si="4"/>
        <v>0</v>
      </c>
      <c r="E72" s="10">
        <f t="shared" si="5"/>
        <v>0</v>
      </c>
      <c r="F72" s="12">
        <v>5</v>
      </c>
      <c r="G72" s="1" t="s">
        <v>192</v>
      </c>
      <c r="H72" s="6"/>
    </row>
    <row r="73" spans="1:8" ht="33.950000000000003" customHeight="1">
      <c r="A73" s="5" t="s">
        <v>220</v>
      </c>
      <c r="B73" s="1" t="s">
        <v>221</v>
      </c>
      <c r="C73" s="10"/>
      <c r="D73" s="10">
        <f t="shared" si="4"/>
        <v>0</v>
      </c>
      <c r="E73" s="10">
        <f t="shared" si="5"/>
        <v>0</v>
      </c>
      <c r="F73" s="12">
        <v>1025</v>
      </c>
      <c r="G73" s="1" t="s">
        <v>192</v>
      </c>
      <c r="H73" s="6"/>
    </row>
    <row r="74" spans="1:8" ht="33.950000000000003" customHeight="1">
      <c r="A74" s="5" t="s">
        <v>222</v>
      </c>
      <c r="B74" s="1" t="s">
        <v>223</v>
      </c>
      <c r="C74" s="10"/>
      <c r="D74" s="10">
        <f t="shared" si="4"/>
        <v>0</v>
      </c>
      <c r="E74" s="10">
        <f t="shared" si="5"/>
        <v>0</v>
      </c>
      <c r="F74" s="12">
        <v>624</v>
      </c>
      <c r="G74" s="1" t="s">
        <v>192</v>
      </c>
      <c r="H74" s="6"/>
    </row>
    <row r="75" spans="1:8" ht="33.950000000000003" customHeight="1">
      <c r="A75" s="5" t="s">
        <v>224</v>
      </c>
      <c r="B75" s="1" t="s">
        <v>225</v>
      </c>
      <c r="C75" s="10"/>
      <c r="D75" s="10">
        <f t="shared" si="4"/>
        <v>0</v>
      </c>
      <c r="E75" s="10">
        <f t="shared" si="5"/>
        <v>0</v>
      </c>
      <c r="F75" s="12">
        <v>1300</v>
      </c>
      <c r="G75" s="1" t="s">
        <v>192</v>
      </c>
      <c r="H75" s="6"/>
    </row>
    <row r="76" spans="1:8" ht="33.950000000000003" customHeight="1">
      <c r="A76" s="5" t="s">
        <v>226</v>
      </c>
      <c r="B76" s="1" t="s">
        <v>227</v>
      </c>
      <c r="C76" s="10"/>
      <c r="D76" s="10">
        <f t="shared" si="4"/>
        <v>0</v>
      </c>
      <c r="E76" s="10">
        <f t="shared" si="5"/>
        <v>0</v>
      </c>
      <c r="F76" s="12">
        <v>2075</v>
      </c>
      <c r="G76" s="1" t="s">
        <v>192</v>
      </c>
      <c r="H76" s="6"/>
    </row>
    <row r="77" spans="1:8" ht="33.950000000000003" customHeight="1">
      <c r="A77" s="5" t="s">
        <v>228</v>
      </c>
      <c r="B77" s="1" t="s">
        <v>229</v>
      </c>
      <c r="C77" s="10"/>
      <c r="D77" s="10">
        <f t="shared" si="4"/>
        <v>0</v>
      </c>
      <c r="E77" s="10">
        <f t="shared" si="5"/>
        <v>0</v>
      </c>
      <c r="F77" s="12">
        <v>9325</v>
      </c>
      <c r="G77" s="1" t="s">
        <v>192</v>
      </c>
      <c r="H77" s="6"/>
    </row>
    <row r="78" spans="1:8" ht="33.950000000000003" customHeight="1">
      <c r="A78" s="5" t="s">
        <v>230</v>
      </c>
      <c r="B78" s="1" t="s">
        <v>231</v>
      </c>
      <c r="C78" s="10"/>
      <c r="D78" s="10">
        <f t="shared" si="4"/>
        <v>0</v>
      </c>
      <c r="E78" s="10">
        <f t="shared" si="5"/>
        <v>0</v>
      </c>
      <c r="F78" s="12">
        <v>4710</v>
      </c>
      <c r="G78" s="1" t="s">
        <v>192</v>
      </c>
      <c r="H78" s="6"/>
    </row>
    <row r="79" spans="1:8" ht="33.950000000000003" customHeight="1">
      <c r="A79" s="5"/>
      <c r="B79" s="1" t="s">
        <v>232</v>
      </c>
      <c r="C79" s="10"/>
      <c r="D79" s="10">
        <f t="shared" si="4"/>
        <v>0</v>
      </c>
      <c r="E79" s="10">
        <f t="shared" si="5"/>
        <v>0</v>
      </c>
      <c r="F79" s="12">
        <v>600</v>
      </c>
      <c r="G79" s="1" t="s">
        <v>192</v>
      </c>
      <c r="H79" s="6"/>
    </row>
    <row r="80" spans="1:8" ht="33.950000000000003" customHeight="1">
      <c r="A80" s="5"/>
      <c r="B80" s="1" t="s">
        <v>233</v>
      </c>
      <c r="C80" s="10"/>
      <c r="D80" s="10">
        <f t="shared" si="4"/>
        <v>0</v>
      </c>
      <c r="E80" s="10">
        <f t="shared" si="5"/>
        <v>0</v>
      </c>
      <c r="F80" s="12">
        <v>20505</v>
      </c>
      <c r="G80" s="1" t="s">
        <v>192</v>
      </c>
      <c r="H80" s="6" t="s">
        <v>115</v>
      </c>
    </row>
    <row r="81" spans="1:8" ht="33.950000000000003" customHeight="1">
      <c r="A81" s="5"/>
      <c r="B81" s="1" t="s">
        <v>234</v>
      </c>
      <c r="C81" s="10"/>
      <c r="D81" s="10">
        <f t="shared" si="4"/>
        <v>0</v>
      </c>
      <c r="E81" s="10">
        <f t="shared" si="5"/>
        <v>0</v>
      </c>
      <c r="F81" s="12">
        <v>180</v>
      </c>
      <c r="G81" s="1" t="s">
        <v>192</v>
      </c>
      <c r="H81" s="6"/>
    </row>
    <row r="82" spans="1:8" ht="33.950000000000003" customHeight="1">
      <c r="A82" s="5"/>
      <c r="B82" s="1" t="s">
        <v>235</v>
      </c>
      <c r="C82" s="10"/>
      <c r="D82" s="10">
        <f t="shared" si="4"/>
        <v>0</v>
      </c>
      <c r="E82" s="10">
        <f t="shared" si="5"/>
        <v>0</v>
      </c>
      <c r="F82" s="12">
        <v>400</v>
      </c>
      <c r="G82" s="1" t="s">
        <v>192</v>
      </c>
      <c r="H82" s="6"/>
    </row>
    <row r="83" spans="1:8" ht="33.950000000000003" customHeight="1">
      <c r="A83" s="5"/>
      <c r="B83" s="1" t="s">
        <v>236</v>
      </c>
      <c r="C83" s="10"/>
      <c r="D83" s="10">
        <f t="shared" si="4"/>
        <v>0</v>
      </c>
      <c r="E83" s="10">
        <f t="shared" si="5"/>
        <v>0</v>
      </c>
      <c r="F83" s="12">
        <v>624</v>
      </c>
      <c r="G83" s="1" t="s">
        <v>192</v>
      </c>
      <c r="H83" s="6"/>
    </row>
    <row r="84" spans="1:8" ht="33.950000000000003" customHeight="1">
      <c r="A84" s="5"/>
      <c r="B84" s="1" t="s">
        <v>237</v>
      </c>
      <c r="C84" s="10"/>
      <c r="D84" s="10">
        <f t="shared" si="4"/>
        <v>0</v>
      </c>
      <c r="E84" s="10">
        <f t="shared" si="5"/>
        <v>0</v>
      </c>
      <c r="F84" s="12">
        <v>60</v>
      </c>
      <c r="G84" s="1" t="s">
        <v>192</v>
      </c>
      <c r="H84" s="6"/>
    </row>
    <row r="85" spans="1:8" ht="33.950000000000003" customHeight="1">
      <c r="A85" s="5"/>
      <c r="B85" s="1" t="s">
        <v>238</v>
      </c>
      <c r="C85" s="10"/>
      <c r="D85" s="10">
        <f t="shared" si="4"/>
        <v>0</v>
      </c>
      <c r="E85" s="10">
        <f t="shared" si="5"/>
        <v>0</v>
      </c>
      <c r="F85" s="12">
        <v>1</v>
      </c>
      <c r="G85" s="1" t="s">
        <v>11</v>
      </c>
      <c r="H85" s="6"/>
    </row>
    <row r="86" spans="1:8" ht="33.950000000000003" customHeight="1">
      <c r="A86" s="5"/>
      <c r="B86" s="1" t="s">
        <v>239</v>
      </c>
      <c r="C86" s="10"/>
      <c r="D86" s="10">
        <f t="shared" si="4"/>
        <v>0</v>
      </c>
      <c r="E86" s="10">
        <f t="shared" si="5"/>
        <v>0</v>
      </c>
      <c r="F86" s="12">
        <v>1</v>
      </c>
      <c r="G86" s="1" t="s">
        <v>11</v>
      </c>
      <c r="H86" s="6"/>
    </row>
    <row r="87" spans="1:8" ht="33.950000000000003" customHeight="1">
      <c r="A87" s="5"/>
      <c r="B87" s="1" t="s">
        <v>240</v>
      </c>
      <c r="C87" s="10"/>
      <c r="D87" s="10">
        <f t="shared" si="4"/>
        <v>0</v>
      </c>
      <c r="E87" s="10">
        <f t="shared" si="5"/>
        <v>0</v>
      </c>
      <c r="F87" s="12">
        <v>1</v>
      </c>
      <c r="G87" s="1" t="s">
        <v>11</v>
      </c>
      <c r="H87" s="6"/>
    </row>
    <row r="88" spans="1:8" ht="33.950000000000003" customHeight="1">
      <c r="A88" s="5"/>
      <c r="B88" s="1" t="s">
        <v>241</v>
      </c>
      <c r="C88" s="10"/>
      <c r="D88" s="10">
        <f t="shared" si="4"/>
        <v>0</v>
      </c>
      <c r="E88" s="10">
        <f t="shared" si="5"/>
        <v>0</v>
      </c>
      <c r="F88" s="12">
        <v>2</v>
      </c>
      <c r="G88" s="1" t="s">
        <v>11</v>
      </c>
      <c r="H88" s="6"/>
    </row>
    <row r="89" spans="1:8" ht="33.950000000000003" customHeight="1">
      <c r="A89" s="5"/>
      <c r="B89" s="1" t="s">
        <v>242</v>
      </c>
      <c r="C89" s="10"/>
      <c r="D89" s="10">
        <f t="shared" si="4"/>
        <v>0</v>
      </c>
      <c r="E89" s="10">
        <f t="shared" si="5"/>
        <v>0</v>
      </c>
      <c r="F89" s="12">
        <v>15</v>
      </c>
      <c r="G89" s="1" t="s">
        <v>192</v>
      </c>
      <c r="H89" s="6"/>
    </row>
    <row r="90" spans="1:8" ht="33.950000000000003" customHeight="1">
      <c r="A90" s="5"/>
      <c r="B90" s="1" t="s">
        <v>243</v>
      </c>
      <c r="C90" s="10"/>
      <c r="D90" s="10">
        <f t="shared" si="4"/>
        <v>0</v>
      </c>
      <c r="E90" s="10">
        <f t="shared" si="5"/>
        <v>0</v>
      </c>
      <c r="F90" s="12">
        <v>3</v>
      </c>
      <c r="G90" s="1" t="s">
        <v>11</v>
      </c>
      <c r="H90" s="6"/>
    </row>
    <row r="91" spans="1:8" ht="33.950000000000003" customHeight="1">
      <c r="A91" s="5"/>
      <c r="B91" s="1" t="s">
        <v>244</v>
      </c>
      <c r="C91" s="10"/>
      <c r="D91" s="10">
        <f t="shared" si="4"/>
        <v>0</v>
      </c>
      <c r="E91" s="10">
        <f t="shared" si="5"/>
        <v>0</v>
      </c>
      <c r="F91" s="12">
        <v>5</v>
      </c>
      <c r="G91" s="1" t="s">
        <v>11</v>
      </c>
      <c r="H91" s="6"/>
    </row>
    <row r="92" spans="1:8" ht="33.950000000000003" customHeight="1">
      <c r="A92" s="5"/>
      <c r="B92" s="1" t="s">
        <v>245</v>
      </c>
      <c r="C92" s="10"/>
      <c r="D92" s="10">
        <f t="shared" si="4"/>
        <v>0</v>
      </c>
      <c r="E92" s="10">
        <f t="shared" si="5"/>
        <v>0</v>
      </c>
      <c r="F92" s="12">
        <v>15</v>
      </c>
      <c r="G92" s="1" t="s">
        <v>11</v>
      </c>
      <c r="H92" s="6"/>
    </row>
    <row r="93" spans="1:8" ht="33.950000000000003" customHeight="1">
      <c r="A93" s="5"/>
      <c r="B93" s="1" t="s">
        <v>246</v>
      </c>
      <c r="C93" s="10"/>
      <c r="D93" s="10">
        <f t="shared" si="4"/>
        <v>0</v>
      </c>
      <c r="E93" s="10">
        <f t="shared" si="5"/>
        <v>0</v>
      </c>
      <c r="F93" s="12">
        <v>70</v>
      </c>
      <c r="G93" s="1" t="s">
        <v>192</v>
      </c>
      <c r="H93" s="6"/>
    </row>
    <row r="94" spans="1:8" ht="33.950000000000003" customHeight="1">
      <c r="A94" s="5"/>
      <c r="B94" s="1" t="s">
        <v>247</v>
      </c>
      <c r="C94" s="10"/>
      <c r="D94" s="10">
        <f t="shared" si="4"/>
        <v>0</v>
      </c>
      <c r="E94" s="10">
        <f t="shared" si="5"/>
        <v>0</v>
      </c>
      <c r="F94" s="12">
        <v>1</v>
      </c>
      <c r="G94" s="1" t="s">
        <v>11</v>
      </c>
      <c r="H94" s="6"/>
    </row>
    <row r="95" spans="1:8" ht="33.950000000000003" customHeight="1">
      <c r="A95" s="5"/>
      <c r="B95" s="1" t="s">
        <v>248</v>
      </c>
      <c r="C95" s="10"/>
      <c r="D95" s="10">
        <f t="shared" si="4"/>
        <v>0</v>
      </c>
      <c r="E95" s="10">
        <f t="shared" si="5"/>
        <v>0</v>
      </c>
      <c r="F95" s="12">
        <v>1</v>
      </c>
      <c r="G95" s="1" t="s">
        <v>8</v>
      </c>
      <c r="H95" s="6"/>
    </row>
    <row r="96" spans="1:8" ht="33.950000000000003" customHeight="1">
      <c r="A96" s="5"/>
      <c r="B96" s="1" t="s">
        <v>249</v>
      </c>
      <c r="C96" s="10"/>
      <c r="D96" s="10">
        <f t="shared" si="4"/>
        <v>0</v>
      </c>
      <c r="E96" s="10">
        <f t="shared" si="5"/>
        <v>0</v>
      </c>
      <c r="F96" s="12">
        <v>50</v>
      </c>
      <c r="G96" s="1" t="s">
        <v>192</v>
      </c>
      <c r="H96" s="6"/>
    </row>
    <row r="97" spans="1:8" ht="33.950000000000003" customHeight="1">
      <c r="A97" s="5"/>
      <c r="B97" s="1" t="s">
        <v>250</v>
      </c>
      <c r="C97" s="10"/>
      <c r="D97" s="10">
        <f t="shared" si="4"/>
        <v>0</v>
      </c>
      <c r="E97" s="10">
        <f t="shared" si="5"/>
        <v>0</v>
      </c>
      <c r="F97" s="12">
        <v>4</v>
      </c>
      <c r="G97" s="1" t="s">
        <v>11</v>
      </c>
      <c r="H97" s="6"/>
    </row>
    <row r="98" spans="1:8" ht="33.950000000000003" customHeight="1">
      <c r="A98" s="5"/>
      <c r="B98" s="1" t="s">
        <v>251</v>
      </c>
      <c r="C98" s="10"/>
      <c r="D98" s="10">
        <f t="shared" ref="D98:D129" si="6">IFERROR(IF(C98="",0,C98*0.6),0)</f>
        <v>0</v>
      </c>
      <c r="E98" s="10">
        <f t="shared" ref="E98:E129" si="7">IFERROR(D98*F98,0)</f>
        <v>0</v>
      </c>
      <c r="F98" s="12">
        <v>1</v>
      </c>
      <c r="G98" s="1" t="s">
        <v>11</v>
      </c>
      <c r="H98" s="6"/>
    </row>
    <row r="99" spans="1:8" ht="33.950000000000003" customHeight="1">
      <c r="A99" s="5"/>
      <c r="B99" s="1" t="s">
        <v>252</v>
      </c>
      <c r="C99" s="10"/>
      <c r="D99" s="10">
        <f t="shared" si="6"/>
        <v>0</v>
      </c>
      <c r="E99" s="10">
        <f t="shared" si="7"/>
        <v>0</v>
      </c>
      <c r="F99" s="12">
        <v>1</v>
      </c>
      <c r="G99" s="1" t="s">
        <v>11</v>
      </c>
      <c r="H99" s="6"/>
    </row>
    <row r="100" spans="1:8" ht="33.950000000000003" customHeight="1">
      <c r="A100" s="5"/>
      <c r="B100" s="1" t="s">
        <v>253</v>
      </c>
      <c r="C100" s="10"/>
      <c r="D100" s="10">
        <f t="shared" si="6"/>
        <v>0</v>
      </c>
      <c r="E100" s="10">
        <f t="shared" si="7"/>
        <v>0</v>
      </c>
      <c r="F100" s="12">
        <v>1</v>
      </c>
      <c r="G100" s="1" t="s">
        <v>11</v>
      </c>
      <c r="H100" s="6"/>
    </row>
    <row r="101" spans="1:8" ht="33.950000000000003" customHeight="1">
      <c r="A101" s="5"/>
      <c r="B101" s="1" t="s">
        <v>254</v>
      </c>
      <c r="C101" s="10"/>
      <c r="D101" s="10">
        <f t="shared" si="6"/>
        <v>0</v>
      </c>
      <c r="E101" s="10">
        <f t="shared" si="7"/>
        <v>0</v>
      </c>
      <c r="F101" s="12">
        <v>1</v>
      </c>
      <c r="G101" s="1" t="s">
        <v>11</v>
      </c>
      <c r="H101" s="6"/>
    </row>
    <row r="102" spans="1:8" ht="33.950000000000003" customHeight="1">
      <c r="A102" s="5"/>
      <c r="B102" s="1" t="s">
        <v>255</v>
      </c>
      <c r="C102" s="10"/>
      <c r="D102" s="10">
        <f t="shared" si="6"/>
        <v>0</v>
      </c>
      <c r="E102" s="10">
        <f t="shared" si="7"/>
        <v>0</v>
      </c>
      <c r="F102" s="12">
        <v>2</v>
      </c>
      <c r="G102" s="1" t="s">
        <v>11</v>
      </c>
      <c r="H102" s="6"/>
    </row>
    <row r="103" spans="1:8" ht="33.950000000000003" customHeight="1">
      <c r="A103" s="5"/>
      <c r="B103" s="1" t="s">
        <v>256</v>
      </c>
      <c r="C103" s="10"/>
      <c r="D103" s="10">
        <f t="shared" si="6"/>
        <v>0</v>
      </c>
      <c r="E103" s="10">
        <f t="shared" si="7"/>
        <v>0</v>
      </c>
      <c r="F103" s="12">
        <v>1</v>
      </c>
      <c r="G103" s="1" t="s">
        <v>11</v>
      </c>
      <c r="H103" s="6"/>
    </row>
    <row r="104" spans="1:8" ht="33.950000000000003" customHeight="1">
      <c r="A104" s="5"/>
      <c r="B104" s="1" t="s">
        <v>257</v>
      </c>
      <c r="C104" s="10"/>
      <c r="D104" s="10">
        <f t="shared" si="6"/>
        <v>0</v>
      </c>
      <c r="E104" s="10">
        <f t="shared" si="7"/>
        <v>0</v>
      </c>
      <c r="F104" s="12">
        <v>1</v>
      </c>
      <c r="G104" s="1" t="s">
        <v>11</v>
      </c>
      <c r="H104" s="6"/>
    </row>
    <row r="105" spans="1:8" ht="33.950000000000003" customHeight="1">
      <c r="A105" s="5"/>
      <c r="B105" s="1" t="s">
        <v>258</v>
      </c>
      <c r="C105" s="10"/>
      <c r="D105" s="10">
        <f t="shared" si="6"/>
        <v>0</v>
      </c>
      <c r="E105" s="10">
        <f t="shared" si="7"/>
        <v>0</v>
      </c>
      <c r="F105" s="12">
        <v>2</v>
      </c>
      <c r="G105" s="1" t="s">
        <v>11</v>
      </c>
      <c r="H105" s="6"/>
    </row>
    <row r="106" spans="1:8" ht="33.950000000000003" customHeight="1">
      <c r="A106" s="5"/>
      <c r="B106" s="1" t="s">
        <v>259</v>
      </c>
      <c r="C106" s="10"/>
      <c r="D106" s="10">
        <f t="shared" si="6"/>
        <v>0</v>
      </c>
      <c r="E106" s="10">
        <f t="shared" si="7"/>
        <v>0</v>
      </c>
      <c r="F106" s="12">
        <v>2</v>
      </c>
      <c r="G106" s="1" t="s">
        <v>11</v>
      </c>
      <c r="H106" s="6"/>
    </row>
    <row r="107" spans="1:8" ht="33.950000000000003" customHeight="1">
      <c r="A107" s="5"/>
      <c r="B107" s="1" t="s">
        <v>260</v>
      </c>
      <c r="C107" s="10"/>
      <c r="D107" s="10">
        <f t="shared" si="6"/>
        <v>0</v>
      </c>
      <c r="E107" s="10">
        <f t="shared" si="7"/>
        <v>0</v>
      </c>
      <c r="F107" s="12">
        <v>5</v>
      </c>
      <c r="G107" s="1" t="s">
        <v>11</v>
      </c>
      <c r="H107" s="6"/>
    </row>
    <row r="108" spans="1:8" ht="33.950000000000003" customHeight="1">
      <c r="A108" s="5"/>
      <c r="B108" s="1" t="s">
        <v>261</v>
      </c>
      <c r="C108" s="10"/>
      <c r="D108" s="10">
        <f t="shared" si="6"/>
        <v>0</v>
      </c>
      <c r="E108" s="10">
        <f t="shared" si="7"/>
        <v>0</v>
      </c>
      <c r="F108" s="12">
        <v>60</v>
      </c>
      <c r="G108" s="1" t="s">
        <v>192</v>
      </c>
      <c r="H108" s="6"/>
    </row>
    <row r="109" spans="1:8" ht="33.950000000000003" customHeight="1">
      <c r="A109" s="5"/>
      <c r="B109" s="1" t="s">
        <v>262</v>
      </c>
      <c r="C109" s="10"/>
      <c r="D109" s="10">
        <f t="shared" si="6"/>
        <v>0</v>
      </c>
      <c r="E109" s="10">
        <f t="shared" si="7"/>
        <v>0</v>
      </c>
      <c r="F109" s="12">
        <v>60</v>
      </c>
      <c r="G109" s="1" t="s">
        <v>192</v>
      </c>
      <c r="H109" s="6"/>
    </row>
    <row r="110" spans="1:8" ht="33.950000000000003" customHeight="1">
      <c r="A110" s="5"/>
      <c r="B110" s="1" t="s">
        <v>263</v>
      </c>
      <c r="C110" s="10"/>
      <c r="D110" s="10">
        <f t="shared" si="6"/>
        <v>0</v>
      </c>
      <c r="E110" s="10">
        <f t="shared" si="7"/>
        <v>0</v>
      </c>
      <c r="F110" s="12">
        <v>4</v>
      </c>
      <c r="G110" s="1" t="s">
        <v>11</v>
      </c>
      <c r="H110" s="6"/>
    </row>
    <row r="111" spans="1:8" ht="33.950000000000003" customHeight="1">
      <c r="A111" s="5"/>
      <c r="B111" s="1" t="s">
        <v>264</v>
      </c>
      <c r="C111" s="10"/>
      <c r="D111" s="10">
        <f t="shared" si="6"/>
        <v>0</v>
      </c>
      <c r="E111" s="10">
        <f t="shared" si="7"/>
        <v>0</v>
      </c>
      <c r="F111" s="12">
        <v>1</v>
      </c>
      <c r="G111" s="1" t="s">
        <v>11</v>
      </c>
      <c r="H111" s="6"/>
    </row>
    <row r="112" spans="1:8" ht="33.950000000000003" customHeight="1">
      <c r="A112" s="5"/>
      <c r="B112" s="1" t="s">
        <v>265</v>
      </c>
      <c r="C112" s="10"/>
      <c r="D112" s="10">
        <f t="shared" si="6"/>
        <v>0</v>
      </c>
      <c r="E112" s="10">
        <f t="shared" si="7"/>
        <v>0</v>
      </c>
      <c r="F112" s="12">
        <v>200</v>
      </c>
      <c r="G112" s="1" t="s">
        <v>11</v>
      </c>
      <c r="H112" s="6"/>
    </row>
    <row r="113" spans="1:8" ht="33.950000000000003" customHeight="1">
      <c r="A113" s="7"/>
      <c r="B113" s="8" t="s">
        <v>266</v>
      </c>
      <c r="C113" s="11"/>
      <c r="D113" s="11">
        <f t="shared" si="6"/>
        <v>0</v>
      </c>
      <c r="E113" s="11">
        <f t="shared" si="7"/>
        <v>0</v>
      </c>
      <c r="F113" s="13">
        <v>20</v>
      </c>
      <c r="G113" s="8" t="s">
        <v>11</v>
      </c>
      <c r="H11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4.25"/>
  <cols>
    <col min="1" max="1" width="6" customWidth="1"/>
    <col min="2" max="2" width="14" customWidth="1"/>
    <col min="3" max="3" width="18" customWidth="1"/>
    <col min="4" max="4" width="42" customWidth="1"/>
    <col min="5" max="5" width="46" customWidth="1"/>
    <col min="6" max="6" width="42" customWidth="1"/>
  </cols>
  <sheetData>
    <row r="1" spans="1:6" ht="15">
      <c r="A1" s="15" t="s">
        <v>267</v>
      </c>
      <c r="B1" s="16" t="s">
        <v>268</v>
      </c>
      <c r="C1" s="16" t="s">
        <v>269</v>
      </c>
      <c r="D1" s="16" t="s">
        <v>270</v>
      </c>
      <c r="E1" s="16" t="s">
        <v>271</v>
      </c>
      <c r="F1" s="17" t="s">
        <v>272</v>
      </c>
    </row>
    <row r="2" spans="1:6" ht="54" customHeight="1">
      <c r="A2" s="21">
        <v>1</v>
      </c>
      <c r="B2" s="14" t="s">
        <v>273</v>
      </c>
      <c r="C2" s="14" t="s">
        <v>274</v>
      </c>
      <c r="D2" s="14" t="s">
        <v>275</v>
      </c>
      <c r="E2" s="14" t="s">
        <v>276</v>
      </c>
      <c r="F2" s="18" t="s">
        <v>277</v>
      </c>
    </row>
    <row r="3" spans="1:6" ht="54" customHeight="1">
      <c r="A3" s="21">
        <v>2</v>
      </c>
      <c r="B3" s="14" t="s">
        <v>273</v>
      </c>
      <c r="C3" s="14" t="s">
        <v>278</v>
      </c>
      <c r="D3" s="14" t="s">
        <v>279</v>
      </c>
      <c r="E3" s="14" t="s">
        <v>280</v>
      </c>
      <c r="F3" s="18" t="s">
        <v>281</v>
      </c>
    </row>
    <row r="4" spans="1:6" ht="54" customHeight="1">
      <c r="A4" s="21">
        <v>3</v>
      </c>
      <c r="B4" s="14" t="s">
        <v>273</v>
      </c>
      <c r="C4" s="14" t="s">
        <v>278</v>
      </c>
      <c r="D4" s="14" t="s">
        <v>282</v>
      </c>
      <c r="E4" s="14" t="s">
        <v>283</v>
      </c>
      <c r="F4" s="18" t="s">
        <v>284</v>
      </c>
    </row>
    <row r="5" spans="1:6" ht="54" customHeight="1">
      <c r="A5" s="21">
        <v>4</v>
      </c>
      <c r="B5" s="14" t="s">
        <v>273</v>
      </c>
      <c r="C5" s="14" t="s">
        <v>278</v>
      </c>
      <c r="D5" s="14" t="s">
        <v>285</v>
      </c>
      <c r="E5" s="14" t="s">
        <v>286</v>
      </c>
      <c r="F5" s="18" t="s">
        <v>287</v>
      </c>
    </row>
    <row r="6" spans="1:6" ht="54" customHeight="1">
      <c r="A6" s="21">
        <v>5</v>
      </c>
      <c r="B6" s="14" t="s">
        <v>273</v>
      </c>
      <c r="C6" s="14" t="s">
        <v>288</v>
      </c>
      <c r="D6" s="14" t="s">
        <v>289</v>
      </c>
      <c r="E6" s="14" t="s">
        <v>290</v>
      </c>
      <c r="F6" s="18" t="s">
        <v>291</v>
      </c>
    </row>
    <row r="7" spans="1:6" ht="54" customHeight="1">
      <c r="A7" s="21">
        <v>6</v>
      </c>
      <c r="B7" s="14" t="s">
        <v>273</v>
      </c>
      <c r="C7" s="14" t="s">
        <v>292</v>
      </c>
      <c r="D7" s="14" t="s">
        <v>293</v>
      </c>
      <c r="E7" s="14" t="s">
        <v>294</v>
      </c>
      <c r="F7" s="18" t="s">
        <v>295</v>
      </c>
    </row>
    <row r="8" spans="1:6" ht="54" customHeight="1">
      <c r="A8" s="21">
        <v>7</v>
      </c>
      <c r="B8" s="14" t="s">
        <v>273</v>
      </c>
      <c r="C8" s="14" t="s">
        <v>296</v>
      </c>
      <c r="D8" s="14" t="s">
        <v>297</v>
      </c>
      <c r="E8" s="14" t="s">
        <v>298</v>
      </c>
      <c r="F8" s="18" t="s">
        <v>299</v>
      </c>
    </row>
    <row r="9" spans="1:6" ht="54" customHeight="1">
      <c r="A9" s="21">
        <v>8</v>
      </c>
      <c r="B9" s="14" t="s">
        <v>273</v>
      </c>
      <c r="C9" s="14" t="s">
        <v>300</v>
      </c>
      <c r="D9" s="14" t="s">
        <v>301</v>
      </c>
      <c r="E9" s="14" t="s">
        <v>302</v>
      </c>
      <c r="F9" s="18" t="s">
        <v>303</v>
      </c>
    </row>
    <row r="10" spans="1:6" ht="54" customHeight="1">
      <c r="A10" s="21">
        <v>9</v>
      </c>
      <c r="B10" s="14" t="s">
        <v>304</v>
      </c>
      <c r="C10" s="14" t="s">
        <v>305</v>
      </c>
      <c r="D10" s="14" t="s">
        <v>306</v>
      </c>
      <c r="E10" s="14" t="s">
        <v>307</v>
      </c>
      <c r="F10" s="18" t="s">
        <v>308</v>
      </c>
    </row>
    <row r="11" spans="1:6" ht="54" customHeight="1">
      <c r="A11" s="22">
        <v>10</v>
      </c>
      <c r="B11" s="19" t="s">
        <v>304</v>
      </c>
      <c r="C11" s="19" t="s">
        <v>309</v>
      </c>
      <c r="D11" s="19" t="s">
        <v>310</v>
      </c>
      <c r="E11" s="19" t="s">
        <v>311</v>
      </c>
      <c r="F11" s="2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BOM_DUZELTILMIS</vt:lpstr>
      <vt:lpstr>PDF_SPESIFIKASYON</vt:lpstr>
      <vt:lpstr>KONTROL_NOTLARI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2026-06-13T12:12:19Z</dcterms:modified>
</cp:coreProperties>
</file>