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3 chimkent serik turan\"/>
    </mc:Choice>
  </mc:AlternateContent>
  <xr:revisionPtr revIDLastSave="0" documentId="8_{1012AEB5-E805-4BD0-BF74-EBC1018CAD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DUZELTILMIS" sheetId="1" r:id="rId1"/>
    <sheet name="Kontrol_Notlari" sheetId="2" r:id="rId2"/>
  </sheets>
  <definedNames>
    <definedName name="_xlnm._FilterDatabase" localSheetId="0" hidden="1">BOM_DUZELTILMIS!$A$1:$J$115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15" i="1"/>
  <c r="H115" i="1"/>
  <c r="G115" i="1" s="1"/>
  <c r="E114" i="1" s="1"/>
  <c r="F114" i="1" s="1"/>
  <c r="G114" i="1" s="1"/>
  <c r="G112" i="1" s="1"/>
  <c r="H111" i="1"/>
  <c r="G111" i="1" s="1"/>
  <c r="E110" i="1" s="1"/>
  <c r="F110" i="1" s="1"/>
  <c r="G110" i="1" s="1"/>
  <c r="G108" i="1" s="1"/>
  <c r="H107" i="1"/>
  <c r="G107" i="1" s="1"/>
  <c r="E106" i="1" s="1"/>
  <c r="F106" i="1" s="1"/>
  <c r="G106" i="1" s="1"/>
  <c r="H95" i="1"/>
  <c r="G95" i="1" s="1"/>
  <c r="E94" i="1" s="1"/>
  <c r="F94" i="1" s="1"/>
  <c r="G94" i="1" s="1"/>
  <c r="H86" i="1"/>
  <c r="G86" i="1" s="1"/>
  <c r="E85" i="1" s="1"/>
  <c r="F85" i="1" s="1"/>
  <c r="G85" i="1" s="1"/>
  <c r="H78" i="1"/>
  <c r="G78" i="1" s="1"/>
  <c r="E77" i="1" s="1"/>
  <c r="F77" i="1" s="1"/>
  <c r="G77" i="1" s="1"/>
  <c r="H71" i="1"/>
  <c r="G71" i="1" s="1"/>
  <c r="E70" i="1" s="1"/>
  <c r="F70" i="1" s="1"/>
  <c r="G70" i="1" s="1"/>
  <c r="G66" i="1" s="1"/>
  <c r="H65" i="1"/>
  <c r="G65" i="1" s="1"/>
  <c r="E64" i="1" s="1"/>
  <c r="F64" i="1" s="1"/>
  <c r="G64" i="1" s="1"/>
  <c r="H54" i="1"/>
  <c r="G54" i="1" s="1"/>
  <c r="E53" i="1" s="1"/>
  <c r="F53" i="1" s="1"/>
  <c r="G53" i="1" s="1"/>
  <c r="H46" i="1"/>
  <c r="G46" i="1" s="1"/>
  <c r="E45" i="1" s="1"/>
  <c r="F45" i="1" s="1"/>
  <c r="G45" i="1" s="1"/>
  <c r="H25" i="1"/>
  <c r="G25" i="1" s="1"/>
  <c r="E24" i="1" s="1"/>
  <c r="F24" i="1" s="1"/>
  <c r="G24" i="1" s="1"/>
  <c r="H37" i="1"/>
  <c r="G37" i="1" s="1"/>
  <c r="E36" i="1" s="1"/>
  <c r="F36" i="1" s="1"/>
  <c r="G36" i="1" s="1"/>
  <c r="H13" i="1"/>
  <c r="G13" i="1" s="1"/>
  <c r="E12" i="1" s="1"/>
  <c r="F12" i="1" s="1"/>
  <c r="G12" i="1" s="1"/>
  <c r="G102" i="1"/>
  <c r="G101" i="1"/>
  <c r="G100" i="1"/>
  <c r="G99" i="1"/>
  <c r="G98" i="1"/>
  <c r="G92" i="1"/>
  <c r="G91" i="1"/>
  <c r="G90" i="1"/>
  <c r="G89" i="1"/>
  <c r="G83" i="1"/>
  <c r="G81" i="1"/>
  <c r="G75" i="1"/>
  <c r="G68" i="1"/>
  <c r="G62" i="1"/>
  <c r="G61" i="1"/>
  <c r="G60" i="1"/>
  <c r="G59" i="1"/>
  <c r="G58" i="1"/>
  <c r="G57" i="1"/>
  <c r="G51" i="1"/>
  <c r="G49" i="1"/>
  <c r="G44" i="1"/>
  <c r="G43" i="1"/>
  <c r="G42" i="1"/>
  <c r="G41" i="1"/>
  <c r="G40" i="1"/>
  <c r="G22" i="1"/>
  <c r="G21" i="1"/>
  <c r="G20" i="1"/>
  <c r="G19" i="1"/>
  <c r="G18" i="1"/>
  <c r="G17" i="1"/>
  <c r="G16" i="1"/>
  <c r="G34" i="1"/>
  <c r="G33" i="1"/>
  <c r="G32" i="1"/>
  <c r="G31" i="1"/>
  <c r="G30" i="1"/>
  <c r="G28" i="1"/>
  <c r="G27" i="1"/>
  <c r="G10" i="1"/>
  <c r="G9" i="1"/>
  <c r="G8" i="1"/>
  <c r="G7" i="1"/>
  <c r="G6" i="1"/>
  <c r="G5" i="1"/>
  <c r="G3" i="1"/>
  <c r="G72" i="1" l="1"/>
  <c r="G87" i="1"/>
  <c r="G2" i="1"/>
  <c r="G38" i="1"/>
  <c r="G47" i="1"/>
  <c r="G79" i="1"/>
  <c r="G55" i="1"/>
  <c r="G26" i="1"/>
  <c r="G14" i="1"/>
  <c r="G96" i="1"/>
</calcChain>
</file>

<file path=xl/sharedStrings.xml><?xml version="1.0" encoding="utf-8"?>
<sst xmlns="http://schemas.openxmlformats.org/spreadsheetml/2006/main" count="765" uniqueCount="190">
  <si>
    <t>Наименование</t>
  </si>
  <si>
    <t>malzeme</t>
  </si>
  <si>
    <t>Артикул</t>
  </si>
  <si>
    <t>Номенклатура</t>
  </si>
  <si>
    <t>Цена, тг (стажёр)</t>
  </si>
  <si>
    <t>Цена, тг (нетто)</t>
  </si>
  <si>
    <t>СУММ.</t>
  </si>
  <si>
    <t>Кол-во</t>
  </si>
  <si>
    <t>Ед.изм</t>
  </si>
  <si>
    <t>Марка/поставщик</t>
  </si>
  <si>
    <t>ВРУ-1 (ВРУ1-11-10)</t>
  </si>
  <si>
    <t>PANO</t>
  </si>
  <si>
    <t>-</t>
  </si>
  <si>
    <t>компл.</t>
  </si>
  <si>
    <t>TEKSAN</t>
  </si>
  <si>
    <t>korpus</t>
  </si>
  <si>
    <t>719-15043</t>
  </si>
  <si>
    <t>Корпус напольный 1700×800×450 мм</t>
  </si>
  <si>
    <t>шт.</t>
  </si>
  <si>
    <t>KONTROL</t>
  </si>
  <si>
    <t>Переключатель / перекидной рубильник ВР32, 3P, 200A, I-0-II. CHINT аналог и код подтвердить до заказа</t>
  </si>
  <si>
    <t>CHINT / уточнить</t>
  </si>
  <si>
    <t>tt</t>
  </si>
  <si>
    <t>Трансформатор тока Т-0,66 200/5A</t>
  </si>
  <si>
    <t>PYS</t>
  </si>
  <si>
    <t>ppn</t>
  </si>
  <si>
    <t>521188</t>
  </si>
  <si>
    <t>Плавкая вставка RT36-1-250, габарит 1, 200A</t>
  </si>
  <si>
    <t>CHINT</t>
  </si>
  <si>
    <t>521367</t>
  </si>
  <si>
    <t>Держатель плавкой вставки RT36-1-250, габарит 1, 250A</t>
  </si>
  <si>
    <t>sayac</t>
  </si>
  <si>
    <t>ЦЭ6850М</t>
  </si>
  <si>
    <t>Счётчик электроэнергии ЦЭ6850М</t>
  </si>
  <si>
    <t>oto</t>
  </si>
  <si>
    <t>296708</t>
  </si>
  <si>
    <t>Авт. выключатель NXB-63S 1P C6A, 4.5kA</t>
  </si>
  <si>
    <t>kondansatör</t>
  </si>
  <si>
    <t>Конденсатор К73-57, 0,47 мкФ</t>
  </si>
  <si>
    <t>EKT/ONKA/KLEMSAN</t>
  </si>
  <si>
    <t>монтажный материал</t>
  </si>
  <si>
    <t>Монтажный материал</t>
  </si>
  <si>
    <t>монтажные работы</t>
  </si>
  <si>
    <t>Монтажные работы</t>
  </si>
  <si>
    <t>ВРУ-3 (ВРУ1-17-70)</t>
  </si>
  <si>
    <t>ats</t>
  </si>
  <si>
    <t>256781</t>
  </si>
  <si>
    <t>Устройство автоматического ввода резерва NXZM-125S/3B, 3P, 100A</t>
  </si>
  <si>
    <t>Трансформатор тока Т-0,66 100/5A</t>
  </si>
  <si>
    <t>521349</t>
  </si>
  <si>
    <t>Плавкая вставка RT36-00-160, габарит 00, 100A</t>
  </si>
  <si>
    <t>521260</t>
  </si>
  <si>
    <t>Держатель плавкой вставки RT36-00-160, габарит 00, 160A</t>
  </si>
  <si>
    <t>ВРУ-2 (ВРУ1-48-03)</t>
  </si>
  <si>
    <t>521236</t>
  </si>
  <si>
    <t>Плавкая вставка RT36-0-160, габарит 0, 160A</t>
  </si>
  <si>
    <t>521366</t>
  </si>
  <si>
    <t>Держатель плавкой вставки RT36-0-160, габарит 0, 160A</t>
  </si>
  <si>
    <t>521338</t>
  </si>
  <si>
    <t>Плавкая вставка RT36-00-160, габарит 00, 16A</t>
  </si>
  <si>
    <t>521341</t>
  </si>
  <si>
    <t>Плавкая вставка RT36-00-160, габарит 00, 32A</t>
  </si>
  <si>
    <t>ВРУ-4</t>
  </si>
  <si>
    <t>ЩРН-36з, металлический навесной щит</t>
  </si>
  <si>
    <t>816141</t>
  </si>
  <si>
    <t>Авт. выключатель NXB-125 3P C100A, 10kA</t>
  </si>
  <si>
    <t>296829</t>
  </si>
  <si>
    <t>Авт. выключатель NXB-63S 3P C25A, 4.5kA</t>
  </si>
  <si>
    <t>296830</t>
  </si>
  <si>
    <t>Авт. выключатель NXB-63S 3P C32A, 4.5kA</t>
  </si>
  <si>
    <t>296831</t>
  </si>
  <si>
    <t>Авт. выключатель NXB-63S 3P C40A, 4.5kA</t>
  </si>
  <si>
    <t>296827</t>
  </si>
  <si>
    <t>Авт. выключатель NXB-63S 3P C16A, 4.5kA</t>
  </si>
  <si>
    <t>Клеммники, DIN-рейка, кабельный канал, PE/N шины — количество определить по компоновке</t>
  </si>
  <si>
    <t>БУО</t>
  </si>
  <si>
    <t>contactor</t>
  </si>
  <si>
    <t>256235</t>
  </si>
  <si>
    <t>Контактор модульный NCH8-25/20, 2P, 25A, катушка 230V AC</t>
  </si>
  <si>
    <t>kontrol bloku</t>
  </si>
  <si>
    <t>Блок управления «День-Ночь» ДН-1, 1к220-1к220</t>
  </si>
  <si>
    <t>Техэлектро / по проекту</t>
  </si>
  <si>
    <t>296710</t>
  </si>
  <si>
    <t>Авт. выключатель NXB-63S 1P C16A, 4.5kA</t>
  </si>
  <si>
    <t>ЩС-1</t>
  </si>
  <si>
    <t>bh</t>
  </si>
  <si>
    <t>193182</t>
  </si>
  <si>
    <t>Выключатель нагрузки NXHB-125 3P 40A</t>
  </si>
  <si>
    <t>dif</t>
  </si>
  <si>
    <t>515380</t>
  </si>
  <si>
    <t>Диф. автомат NXBLE-63YH 1P+N C16A, 30mA, тип AC, 6kA</t>
  </si>
  <si>
    <t>ЩКл-Д</t>
  </si>
  <si>
    <t>ЩРН-18з, металлический навесной щит</t>
  </si>
  <si>
    <t>296709</t>
  </si>
  <si>
    <t>Авт. выключатель NXB-63S 1P C10A, 4.5kA</t>
  </si>
  <si>
    <t>ЩС-СС</t>
  </si>
  <si>
    <t>Выключатель нагрузки 3P 25A по проекту. Точный CHINT артикул/аналог подтвердить; 3P 32A без согласования не заказывать</t>
  </si>
  <si>
    <t>ЩЭ-5</t>
  </si>
  <si>
    <t>Щит этажный ЩЭ-5 на 5 квартир, металлический, с отдельными отсеками счётчиков и аппаратов; исполнение по листу 9</t>
  </si>
  <si>
    <t>193169</t>
  </si>
  <si>
    <t>Выключатель нагрузки NXHB-125 1P 63A</t>
  </si>
  <si>
    <t>Счётчик CE208 OPRI QYUVFLZ</t>
  </si>
  <si>
    <t>По проекту</t>
  </si>
  <si>
    <t>982018</t>
  </si>
  <si>
    <t>Диф. автомат NXBLE-63 2P C50A, 300mA, тип AC, 6kA</t>
  </si>
  <si>
    <t>ЩК-1; ЩК-2; ЩК-3; ЩК-4; ЩК-5</t>
  </si>
  <si>
    <t>ЩРВ-П-24, встраиваемый квартирный щит</t>
  </si>
  <si>
    <t>515381</t>
  </si>
  <si>
    <t>Диф. автомат NXBLE-63YH 1P+N C16A, 30mA, тип A, 6kA</t>
  </si>
  <si>
    <t>515394</t>
  </si>
  <si>
    <t>Диф. автомат NXBLE-63YH 1P+N C25A, 30mA, тип AC, 6kA</t>
  </si>
  <si>
    <t>Клеммники, DIN-рейка, PE/N шины и гребёнка — количество определить по компоновке</t>
  </si>
  <si>
    <t>ЩУ-САО</t>
  </si>
  <si>
    <t>ЩРН-12, IP40, металлический навесной щит</t>
  </si>
  <si>
    <t>Авт. выключатель NXB-63S 1P C16A, 4.5kA (по однолинейной схеме)</t>
  </si>
  <si>
    <t>терморегулятор</t>
  </si>
  <si>
    <t>Терморегулятор РТ-330 с датчиком температуры</t>
  </si>
  <si>
    <t>клеммник</t>
  </si>
  <si>
    <t>Клеммная колодка 1P</t>
  </si>
  <si>
    <t>KLEMSAN/EKT</t>
  </si>
  <si>
    <t>Коробки, кабельные вводы, DIN-рейка, кабельный канал, PE/N шины — количество определить по компоновке</t>
  </si>
  <si>
    <t>ЯУО-9601-3474</t>
  </si>
  <si>
    <t>Комплектное изделие</t>
  </si>
  <si>
    <t>24-203-0301</t>
  </si>
  <si>
    <t>Ящик управления освещением ЯУО-9601-3474, комплектное изделие</t>
  </si>
  <si>
    <t>Монтажные работы по установке</t>
  </si>
  <si>
    <t>ЯТП-0,25-1ЗУЗ</t>
  </si>
  <si>
    <t>Ящик с понижающим трансформатором 220/36V, ЯТП-0,25-1ЗУЗ, комплектное изделие</t>
  </si>
  <si>
    <t>No</t>
  </si>
  <si>
    <t>Pano / Konu</t>
  </si>
  <si>
    <t>Stajyer BOM'daki durum</t>
  </si>
  <si>
    <t>Düzeltilen durum</t>
  </si>
  <si>
    <t>Kaynak</t>
  </si>
  <si>
    <t>Durum / Aksiyon</t>
  </si>
  <si>
    <t>ВРУ-1</t>
  </si>
  <si>
    <t>200A ana geçiş/transfer şalteri BOM'da yoktu.</t>
  </si>
  <si>
    <t>Projedeki ВР32 3P 200A I-0-II gereksinimi eklendi; CHINT kesin kodu siparişten önce doğrulanacak.</t>
  </si>
  <si>
    <t>PDF s.27; tek hat s.5</t>
  </si>
  <si>
    <t>KONTROL EDİLECEK</t>
  </si>
  <si>
    <t>ВРУ-2</t>
  </si>
  <si>
    <t>Yanlışlıkla 1 adet NXZM-125S/3B 100A ATS eklenmişti.</t>
  </si>
  <si>
    <t>ATS kaldırıldı; projede ВРУ-2 içinde ATS yok.</t>
  </si>
  <si>
    <t>PDF s.6 ve s.28</t>
  </si>
  <si>
    <t>DÜZELTİLDİ</t>
  </si>
  <si>
    <t>100A sigorta ve tutucu adedi 24'er yazılmıştı.</t>
  </si>
  <si>
    <t>6 adet üç faz çıkış × 3 = 18 adet olarak düzeltildi.</t>
  </si>
  <si>
    <t>PDF s.6</t>
  </si>
  <si>
    <t>ВРУ-3</t>
  </si>
  <si>
    <t>Akım trafosu 200/5A yazılmıştı.</t>
  </si>
  <si>
    <t>3 adet 100/5A olarak düzeltildi.</t>
  </si>
  <si>
    <t>PDF s.5 ve s.29</t>
  </si>
  <si>
    <t>NCH8 kontaktörlerle uyumsuz MI-5 kilitleme, ayrıca projede gösterilmeyen röle/soket/indikasyon kalemleri eklenmişti.</t>
  </si>
  <si>
    <t>MI-5 ve tahmine dayalı röle/soket/indikasyon çıkarıldı; projedeki ДН-1 gün-gece kontrol bloğu eklendi.</t>
  </si>
  <si>
    <t>PDF s.7 ve s.32</t>
  </si>
  <si>
    <t>3P 32A yük ayırıcı seçilmişti.</t>
  </si>
  <si>
    <t>Proje 3P 25A istiyor. Kesin CHINT ürün kodu doğrulanmadan 32A sipariş edilmeyecek.</t>
  </si>
  <si>
    <t>PDF s.10</t>
  </si>
  <si>
    <t>Korpus sıradan ЩРН-36з olarak yazılmıştı.</t>
  </si>
  <si>
    <t>5 dairelik sayaç ve cihaz bölmeli özel kat panosu ЩЭ-5 olarak düzeltildi.</t>
  </si>
  <si>
    <t>PDF s.11; şartname s.30</t>
  </si>
  <si>
    <t>Korpus 24 modül, yalnız 1P16A ve birkaç temel cihaz vardı; kontrol koruma kalemleri eksikti.</t>
  </si>
  <si>
    <t>ЩРН-12 korpus, 2×1P10A, 1×1P6A ve 2 klemens eklendi. Tek hat 1P16A esas alındı.</t>
  </si>
  <si>
    <t>PDF s.26 ve s.35</t>
  </si>
  <si>
    <t>Şartnamede 1P20A, tek hatta 1P16A çelişkisi var.</t>
  </si>
  <si>
    <t>Kullanıcı kuralına göre tek hat esas alınarak 1P16A bırakıldı; tasarımcı onayı önerilir.</t>
  </si>
  <si>
    <t>Toplam hücresinde #REF! vardı; içeriği boştu.</t>
  </si>
  <si>
    <t>Komple ürün satırı eklendi ve formül düzeltildi.</t>
  </si>
  <si>
    <t>PDF s.30</t>
  </si>
  <si>
    <t>Pano adedi 1 yazılmıştı.</t>
  </si>
  <si>
    <t>Proje şartnamesine göre 3 комплект olarak düzeltildi.</t>
  </si>
  <si>
    <t>PDF s.31</t>
  </si>
  <si>
    <t>Fiyatlar</t>
  </si>
  <si>
    <t>Dosyadaki fiyatlar güncel teklif olarak doğrulanmamıştı.</t>
  </si>
  <si>
    <t>Mevcut stajyer dosyasındaki fiyatlar yalnız aynı ürünlerde korunmuştur. Yeni/şüpheli kalem fiyatları boş bırakılmıştır.</t>
  </si>
  <si>
    <t>Stajyer Excel</t>
  </si>
  <si>
    <t>GÜNCEL FİYAT TEKLİFİ GEREKİR</t>
  </si>
  <si>
    <t>Klemens / DIN / kanal / bara</t>
  </si>
  <si>
    <t>Çoğu panelde hiç yer almıyordu.</t>
  </si>
  <si>
    <t>Her panelde kontrol satırı eklendi; miktarlar yerleşim ve bara hesabı olmadan uydurulmadı.</t>
  </si>
  <si>
    <t>Tüm tek hatlar</t>
  </si>
  <si>
    <t>KOMPONİMAN ÇİZİMİ GEREKİR</t>
  </si>
  <si>
    <t>rubilnik</t>
  </si>
  <si>
    <t>bara alum</t>
  </si>
  <si>
    <t>М.</t>
  </si>
  <si>
    <t>3*20-250a</t>
  </si>
  <si>
    <t>Счётчик электроэнергии ЦЭ6850М 5-7,5 plcsiz</t>
  </si>
  <si>
    <t>Корпус напольный 1700×700×450 мм</t>
  </si>
  <si>
    <t>bara cu</t>
  </si>
  <si>
    <t>3*20-100a</t>
  </si>
  <si>
    <t>БAУО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</si>
</sst>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4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0"/>
      <color rgb="FF000000"/>
      <name val="Arial"/>
      <family val="2"/>
      <charset val="162"/>
    </font>
    <font>
      <sz val="10"/>
      <name val="Carlito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color rgb="FF9C0006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4" fontId="5" fillId="3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4" fontId="7" fillId="6" borderId="1" xfId="0" applyNumberFormat="1" applyFont="1" applyFill="1" applyBorder="1" applyAlignment="1">
      <alignment vertical="center" wrapText="1"/>
    </xf>
    <xf numFmtId="4" fontId="7" fillId="4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4" fontId="6" fillId="5" borderId="1" xfId="0" applyNumberFormat="1" applyFont="1" applyFill="1" applyBorder="1" applyAlignment="1">
      <alignment vertical="center" wrapText="1"/>
    </xf>
    <xf numFmtId="4" fontId="6" fillId="6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pane xSplit="10" ySplit="1" topLeftCell="K90" activePane="bottomRight" state="frozen"/>
      <selection pane="topRight" activeCell="K1" sqref="K1"/>
      <selection pane="bottomLeft" activeCell="A2" sqref="A2"/>
      <selection pane="bottomRight" activeCell="D96" sqref="D96"/>
    </sheetView>
  </sheetViews>
  <sheetFormatPr defaultRowHeight="12.75"/>
  <cols>
    <col min="1" max="1" width="30" style="4" customWidth="1"/>
    <col min="2" max="2" width="20" style="4" customWidth="1"/>
    <col min="3" max="3" width="18" style="4" customWidth="1"/>
    <col min="4" max="4" width="55.875" style="4" customWidth="1"/>
    <col min="5" max="7" width="17" style="4" customWidth="1"/>
    <col min="8" max="9" width="12" style="20" customWidth="1"/>
    <col min="10" max="10" width="17.25" style="20" customWidth="1"/>
    <col min="11" max="16384" width="9" style="4"/>
  </cols>
  <sheetData>
    <row r="1" spans="1:10" ht="38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33.950000000000003" customHeight="1">
      <c r="A2" s="6" t="s">
        <v>10</v>
      </c>
      <c r="B2" s="6" t="s">
        <v>11</v>
      </c>
      <c r="C2" s="6" t="s">
        <v>12</v>
      </c>
      <c r="D2" s="6" t="s">
        <v>10</v>
      </c>
      <c r="E2" s="7"/>
      <c r="F2" s="7"/>
      <c r="G2" s="7">
        <f ca="1">IF(COUNT(G3:G13)=0,"",H2*SUM(G3:G13))</f>
        <v>381451.19999999995</v>
      </c>
      <c r="H2" s="16">
        <v>1</v>
      </c>
      <c r="I2" s="16" t="s">
        <v>13</v>
      </c>
      <c r="J2" s="16" t="s">
        <v>14</v>
      </c>
    </row>
    <row r="3" spans="1:10" ht="27.95" customHeight="1">
      <c r="A3" s="8" t="s">
        <v>10</v>
      </c>
      <c r="B3" s="8" t="s">
        <v>15</v>
      </c>
      <c r="C3" s="8" t="s">
        <v>16</v>
      </c>
      <c r="D3" s="8" t="s">
        <v>17</v>
      </c>
      <c r="E3" s="9">
        <v>165000</v>
      </c>
      <c r="F3" s="9">
        <v>99000</v>
      </c>
      <c r="G3" s="9">
        <f>IF(OR(F3="",H3=""),"",F3*H3)</f>
        <v>99000</v>
      </c>
      <c r="H3" s="17">
        <v>1</v>
      </c>
      <c r="I3" s="17" t="s">
        <v>18</v>
      </c>
      <c r="J3" s="17" t="s">
        <v>14</v>
      </c>
    </row>
    <row r="4" spans="1:10" ht="27.95" customHeight="1">
      <c r="A4" s="10" t="s">
        <v>10</v>
      </c>
      <c r="B4" s="10" t="s">
        <v>181</v>
      </c>
      <c r="C4" s="10" t="s">
        <v>12</v>
      </c>
      <c r="D4" s="10" t="s">
        <v>20</v>
      </c>
      <c r="E4" s="11"/>
      <c r="F4" s="11"/>
      <c r="G4" s="11"/>
      <c r="H4" s="18">
        <v>2</v>
      </c>
      <c r="I4" s="18" t="s">
        <v>18</v>
      </c>
      <c r="J4" s="17" t="s">
        <v>24</v>
      </c>
    </row>
    <row r="5" spans="1:10" ht="27.95" customHeight="1">
      <c r="A5" s="8" t="s">
        <v>10</v>
      </c>
      <c r="B5" s="8" t="s">
        <v>22</v>
      </c>
      <c r="C5" s="8" t="s">
        <v>12</v>
      </c>
      <c r="D5" s="8" t="s">
        <v>23</v>
      </c>
      <c r="E5" s="9">
        <v>2606</v>
      </c>
      <c r="F5" s="9">
        <v>1563.6</v>
      </c>
      <c r="G5" s="9">
        <f t="shared" ref="G5:G10" si="0">IF(OR(F5="",H5=""),"",F5*H5)</f>
        <v>9381.5999999999985</v>
      </c>
      <c r="H5" s="17">
        <v>6</v>
      </c>
      <c r="I5" s="17" t="s">
        <v>18</v>
      </c>
      <c r="J5" s="17" t="s">
        <v>24</v>
      </c>
    </row>
    <row r="6" spans="1:10" ht="27.95" customHeight="1">
      <c r="A6" s="8" t="s">
        <v>10</v>
      </c>
      <c r="B6" s="8" t="s">
        <v>25</v>
      </c>
      <c r="C6" s="8" t="s">
        <v>26</v>
      </c>
      <c r="D6" s="8" t="s">
        <v>27</v>
      </c>
      <c r="E6" s="9">
        <v>3302</v>
      </c>
      <c r="F6" s="9">
        <v>1981.2</v>
      </c>
      <c r="G6" s="9">
        <f t="shared" si="0"/>
        <v>11887.2</v>
      </c>
      <c r="H6" s="17">
        <v>6</v>
      </c>
      <c r="I6" s="17" t="s">
        <v>18</v>
      </c>
      <c r="J6" s="17" t="s">
        <v>28</v>
      </c>
    </row>
    <row r="7" spans="1:10" ht="27.95" customHeight="1">
      <c r="A7" s="8" t="s">
        <v>10</v>
      </c>
      <c r="B7" s="8" t="s">
        <v>25</v>
      </c>
      <c r="C7" s="8" t="s">
        <v>29</v>
      </c>
      <c r="D7" s="8" t="s">
        <v>30</v>
      </c>
      <c r="E7" s="9">
        <v>4750</v>
      </c>
      <c r="F7" s="9">
        <v>2850</v>
      </c>
      <c r="G7" s="9">
        <f t="shared" si="0"/>
        <v>17100</v>
      </c>
      <c r="H7" s="17">
        <v>6</v>
      </c>
      <c r="I7" s="17" t="s">
        <v>18</v>
      </c>
      <c r="J7" s="17" t="s">
        <v>28</v>
      </c>
    </row>
    <row r="8" spans="1:10" ht="27.95" customHeight="1">
      <c r="A8" s="8" t="s">
        <v>10</v>
      </c>
      <c r="B8" s="8" t="s">
        <v>31</v>
      </c>
      <c r="C8" s="8" t="s">
        <v>32</v>
      </c>
      <c r="D8" s="8" t="s">
        <v>33</v>
      </c>
      <c r="E8" s="9">
        <v>95000</v>
      </c>
      <c r="F8" s="9">
        <v>57000</v>
      </c>
      <c r="G8" s="9">
        <f t="shared" si="0"/>
        <v>114000</v>
      </c>
      <c r="H8" s="17">
        <v>2</v>
      </c>
      <c r="I8" s="17" t="s">
        <v>18</v>
      </c>
      <c r="J8" s="17" t="s">
        <v>24</v>
      </c>
    </row>
    <row r="9" spans="1:10" ht="27.95" customHeight="1">
      <c r="A9" s="8" t="s">
        <v>10</v>
      </c>
      <c r="B9" s="8" t="s">
        <v>34</v>
      </c>
      <c r="C9" s="8" t="s">
        <v>35</v>
      </c>
      <c r="D9" s="8" t="s">
        <v>36</v>
      </c>
      <c r="E9" s="9">
        <v>902</v>
      </c>
      <c r="F9" s="9">
        <v>541.20000000000005</v>
      </c>
      <c r="G9" s="9">
        <f t="shared" si="0"/>
        <v>1082.4000000000001</v>
      </c>
      <c r="H9" s="17">
        <v>2</v>
      </c>
      <c r="I9" s="17" t="s">
        <v>18</v>
      </c>
      <c r="J9" s="17" t="s">
        <v>28</v>
      </c>
    </row>
    <row r="10" spans="1:10" ht="27.95" customHeight="1">
      <c r="A10" s="8" t="s">
        <v>10</v>
      </c>
      <c r="B10" s="8" t="s">
        <v>37</v>
      </c>
      <c r="C10" s="8" t="s">
        <v>12</v>
      </c>
      <c r="D10" s="8" t="s">
        <v>38</v>
      </c>
      <c r="E10" s="9">
        <v>4500</v>
      </c>
      <c r="F10" s="9">
        <v>4500</v>
      </c>
      <c r="G10" s="9">
        <f t="shared" si="0"/>
        <v>27000</v>
      </c>
      <c r="H10" s="17">
        <v>6</v>
      </c>
      <c r="I10" s="17" t="s">
        <v>18</v>
      </c>
      <c r="J10" s="17" t="s">
        <v>24</v>
      </c>
    </row>
    <row r="11" spans="1:10" ht="27.95" customHeight="1">
      <c r="A11" s="10" t="s">
        <v>10</v>
      </c>
      <c r="B11" s="10" t="s">
        <v>182</v>
      </c>
      <c r="C11" s="10" t="s">
        <v>12</v>
      </c>
      <c r="D11" s="10" t="s">
        <v>184</v>
      </c>
      <c r="E11" s="12"/>
      <c r="F11" s="12"/>
      <c r="G11" s="12"/>
      <c r="H11" s="18">
        <v>8</v>
      </c>
      <c r="I11" s="18" t="s">
        <v>183</v>
      </c>
      <c r="J11" s="18" t="s">
        <v>39</v>
      </c>
    </row>
    <row r="12" spans="1:10" ht="27.95" customHeight="1">
      <c r="A12" s="13" t="s">
        <v>10</v>
      </c>
      <c r="B12" s="13" t="s">
        <v>40</v>
      </c>
      <c r="C12" s="13" t="s">
        <v>40</v>
      </c>
      <c r="D12" s="13" t="s">
        <v>41</v>
      </c>
      <c r="E12" s="14">
        <f ca="1">OFFSET(E12,1,2)</f>
        <v>51000</v>
      </c>
      <c r="F12" s="14">
        <f ca="1">E12</f>
        <v>51000</v>
      </c>
      <c r="G12" s="14">
        <f ca="1">F12*H12</f>
        <v>51000</v>
      </c>
      <c r="H12" s="19">
        <v>1</v>
      </c>
      <c r="I12" s="19" t="s">
        <v>18</v>
      </c>
      <c r="J12" s="19" t="s">
        <v>40</v>
      </c>
    </row>
    <row r="13" spans="1:10" ht="27.95" customHeight="1">
      <c r="A13" s="13" t="s">
        <v>10</v>
      </c>
      <c r="B13" s="13" t="s">
        <v>42</v>
      </c>
      <c r="C13" s="13" t="s">
        <v>42</v>
      </c>
      <c r="D13" s="13" t="s">
        <v>43</v>
      </c>
      <c r="E13" s="14">
        <v>8.5</v>
      </c>
      <c r="F13" s="14">
        <v>100</v>
      </c>
      <c r="G13" s="14">
        <f>F13*H13</f>
        <v>51000</v>
      </c>
      <c r="H13" s="19">
        <f>60*E13</f>
        <v>510</v>
      </c>
      <c r="I13" s="19" t="s">
        <v>18</v>
      </c>
      <c r="J13" s="19" t="s">
        <v>42</v>
      </c>
    </row>
    <row r="14" spans="1:10" ht="33.950000000000003" customHeight="1">
      <c r="A14" s="6" t="s">
        <v>53</v>
      </c>
      <c r="B14" s="6" t="s">
        <v>11</v>
      </c>
      <c r="C14" s="6" t="s">
        <v>12</v>
      </c>
      <c r="D14" s="6" t="s">
        <v>53</v>
      </c>
      <c r="E14" s="7"/>
      <c r="F14" s="7"/>
      <c r="G14" s="7">
        <f ca="1">IF(COUNT(G15:G25)=0,"",H14*SUM(G15:G25))</f>
        <v>351302.40000000002</v>
      </c>
      <c r="H14" s="16">
        <v>1</v>
      </c>
      <c r="I14" s="16" t="s">
        <v>13</v>
      </c>
      <c r="J14" s="16" t="s">
        <v>14</v>
      </c>
    </row>
    <row r="15" spans="1:10" ht="27.95" customHeight="1">
      <c r="A15" s="8" t="s">
        <v>53</v>
      </c>
      <c r="B15" s="8" t="s">
        <v>15</v>
      </c>
      <c r="C15" s="8" t="s">
        <v>16</v>
      </c>
      <c r="D15" s="8" t="s">
        <v>17</v>
      </c>
      <c r="E15" s="15">
        <v>165000</v>
      </c>
      <c r="F15" s="15">
        <f>0.6*E15</f>
        <v>99000</v>
      </c>
      <c r="G15" s="15"/>
      <c r="H15" s="17">
        <v>1</v>
      </c>
      <c r="I15" s="17" t="s">
        <v>18</v>
      </c>
      <c r="J15" s="17" t="s">
        <v>14</v>
      </c>
    </row>
    <row r="16" spans="1:10" ht="27.95" customHeight="1">
      <c r="A16" s="8" t="s">
        <v>53</v>
      </c>
      <c r="B16" s="8" t="s">
        <v>25</v>
      </c>
      <c r="C16" s="8" t="s">
        <v>54</v>
      </c>
      <c r="D16" s="8" t="s">
        <v>55</v>
      </c>
      <c r="E16" s="9">
        <v>2225</v>
      </c>
      <c r="F16" s="9">
        <v>1335</v>
      </c>
      <c r="G16" s="9">
        <f t="shared" ref="G16:G22" si="1">IF(OR(F16="",H16=""),"",F16*H16)</f>
        <v>8010</v>
      </c>
      <c r="H16" s="17">
        <v>6</v>
      </c>
      <c r="I16" s="17" t="s">
        <v>18</v>
      </c>
      <c r="J16" s="17" t="s">
        <v>28</v>
      </c>
    </row>
    <row r="17" spans="1:10" ht="27.95" customHeight="1">
      <c r="A17" s="8" t="s">
        <v>53</v>
      </c>
      <c r="B17" s="8" t="s">
        <v>25</v>
      </c>
      <c r="C17" s="8" t="s">
        <v>56</v>
      </c>
      <c r="D17" s="8" t="s">
        <v>57</v>
      </c>
      <c r="E17" s="9">
        <v>3100</v>
      </c>
      <c r="F17" s="9">
        <v>1860</v>
      </c>
      <c r="G17" s="9">
        <f t="shared" si="1"/>
        <v>11160</v>
      </c>
      <c r="H17" s="17">
        <v>6</v>
      </c>
      <c r="I17" s="17" t="s">
        <v>18</v>
      </c>
      <c r="J17" s="17" t="s">
        <v>28</v>
      </c>
    </row>
    <row r="18" spans="1:10" ht="27.95" customHeight="1">
      <c r="A18" s="8" t="s">
        <v>53</v>
      </c>
      <c r="B18" s="8" t="s">
        <v>25</v>
      </c>
      <c r="C18" s="8" t="s">
        <v>49</v>
      </c>
      <c r="D18" s="8" t="s">
        <v>50</v>
      </c>
      <c r="E18" s="9">
        <v>1545</v>
      </c>
      <c r="F18" s="9">
        <v>927</v>
      </c>
      <c r="G18" s="9">
        <f t="shared" si="1"/>
        <v>16686</v>
      </c>
      <c r="H18" s="17">
        <v>18</v>
      </c>
      <c r="I18" s="17" t="s">
        <v>18</v>
      </c>
      <c r="J18" s="17" t="s">
        <v>28</v>
      </c>
    </row>
    <row r="19" spans="1:10" ht="27.95" customHeight="1">
      <c r="A19" s="8" t="s">
        <v>53</v>
      </c>
      <c r="B19" s="8" t="s">
        <v>25</v>
      </c>
      <c r="C19" s="8" t="s">
        <v>51</v>
      </c>
      <c r="D19" s="8" t="s">
        <v>52</v>
      </c>
      <c r="E19" s="9">
        <v>2038</v>
      </c>
      <c r="F19" s="9">
        <v>1222.8</v>
      </c>
      <c r="G19" s="9">
        <f t="shared" si="1"/>
        <v>22010.399999999998</v>
      </c>
      <c r="H19" s="17">
        <v>18</v>
      </c>
      <c r="I19" s="17" t="s">
        <v>18</v>
      </c>
      <c r="J19" s="17" t="s">
        <v>28</v>
      </c>
    </row>
    <row r="20" spans="1:10" ht="27.95" customHeight="1">
      <c r="A20" s="8" t="s">
        <v>53</v>
      </c>
      <c r="B20" s="8" t="s">
        <v>25</v>
      </c>
      <c r="C20" s="8" t="s">
        <v>58</v>
      </c>
      <c r="D20" s="8" t="s">
        <v>59</v>
      </c>
      <c r="E20" s="9">
        <v>1510</v>
      </c>
      <c r="F20" s="9">
        <v>906</v>
      </c>
      <c r="G20" s="9">
        <f t="shared" si="1"/>
        <v>2718</v>
      </c>
      <c r="H20" s="17">
        <v>3</v>
      </c>
      <c r="I20" s="17" t="s">
        <v>18</v>
      </c>
      <c r="J20" s="17" t="s">
        <v>28</v>
      </c>
    </row>
    <row r="21" spans="1:10" ht="27.95" customHeight="1">
      <c r="A21" s="8" t="s">
        <v>53</v>
      </c>
      <c r="B21" s="8" t="s">
        <v>25</v>
      </c>
      <c r="C21" s="8" t="s">
        <v>60</v>
      </c>
      <c r="D21" s="8" t="s">
        <v>61</v>
      </c>
      <c r="E21" s="9">
        <v>1510</v>
      </c>
      <c r="F21" s="9">
        <v>906</v>
      </c>
      <c r="G21" s="9">
        <f t="shared" si="1"/>
        <v>2718</v>
      </c>
      <c r="H21" s="17">
        <v>3</v>
      </c>
      <c r="I21" s="17" t="s">
        <v>18</v>
      </c>
      <c r="J21" s="17" t="s">
        <v>28</v>
      </c>
    </row>
    <row r="22" spans="1:10" ht="27.95" customHeight="1">
      <c r="A22" s="8" t="s">
        <v>53</v>
      </c>
      <c r="B22" s="8" t="s">
        <v>31</v>
      </c>
      <c r="C22" s="8" t="s">
        <v>32</v>
      </c>
      <c r="D22" s="8" t="s">
        <v>33</v>
      </c>
      <c r="E22" s="9">
        <v>95000</v>
      </c>
      <c r="F22" s="9">
        <v>57000</v>
      </c>
      <c r="G22" s="9">
        <f t="shared" si="1"/>
        <v>228000</v>
      </c>
      <c r="H22" s="17">
        <v>4</v>
      </c>
      <c r="I22" s="17" t="s">
        <v>18</v>
      </c>
      <c r="J22" s="17" t="s">
        <v>24</v>
      </c>
    </row>
    <row r="23" spans="1:10" ht="27.95" customHeight="1">
      <c r="A23" s="10" t="s">
        <v>53</v>
      </c>
      <c r="B23" s="10" t="s">
        <v>182</v>
      </c>
      <c r="C23" s="10" t="s">
        <v>12</v>
      </c>
      <c r="D23" s="10" t="s">
        <v>184</v>
      </c>
      <c r="E23" s="12"/>
      <c r="F23" s="12"/>
      <c r="G23" s="12"/>
      <c r="H23" s="18">
        <v>8</v>
      </c>
      <c r="I23" s="18" t="s">
        <v>183</v>
      </c>
      <c r="J23" s="18" t="s">
        <v>39</v>
      </c>
    </row>
    <row r="24" spans="1:10" ht="27.95" customHeight="1">
      <c r="A24" s="13" t="s">
        <v>53</v>
      </c>
      <c r="B24" s="13" t="s">
        <v>40</v>
      </c>
      <c r="C24" s="13" t="s">
        <v>40</v>
      </c>
      <c r="D24" s="13" t="s">
        <v>41</v>
      </c>
      <c r="E24" s="14">
        <f ca="1">OFFSET(E24,1,2)</f>
        <v>30000</v>
      </c>
      <c r="F24" s="14">
        <f ca="1">E24</f>
        <v>30000</v>
      </c>
      <c r="G24" s="14">
        <f ca="1">F24*H24</f>
        <v>30000</v>
      </c>
      <c r="H24" s="19">
        <v>1</v>
      </c>
      <c r="I24" s="19" t="s">
        <v>18</v>
      </c>
      <c r="J24" s="19" t="s">
        <v>40</v>
      </c>
    </row>
    <row r="25" spans="1:10" ht="27.95" customHeight="1">
      <c r="A25" s="13" t="s">
        <v>53</v>
      </c>
      <c r="B25" s="13" t="s">
        <v>42</v>
      </c>
      <c r="C25" s="13" t="s">
        <v>42</v>
      </c>
      <c r="D25" s="13" t="s">
        <v>43</v>
      </c>
      <c r="E25" s="14">
        <v>5</v>
      </c>
      <c r="F25" s="14">
        <v>100</v>
      </c>
      <c r="G25" s="14">
        <f>F25*H25</f>
        <v>30000</v>
      </c>
      <c r="H25" s="19">
        <f>60*E25</f>
        <v>300</v>
      </c>
      <c r="I25" s="19" t="s">
        <v>18</v>
      </c>
      <c r="J25" s="19" t="s">
        <v>42</v>
      </c>
    </row>
    <row r="26" spans="1:10" ht="33.950000000000003" customHeight="1">
      <c r="A26" s="6" t="s">
        <v>44</v>
      </c>
      <c r="B26" s="6" t="s">
        <v>11</v>
      </c>
      <c r="C26" s="6" t="s">
        <v>12</v>
      </c>
      <c r="D26" s="6" t="s">
        <v>44</v>
      </c>
      <c r="E26" s="7"/>
      <c r="F26" s="7"/>
      <c r="G26" s="7">
        <f ca="1">IF(COUNT(G27:G37)=0,"",H26*SUM(G27:G37))</f>
        <v>375414.6</v>
      </c>
      <c r="H26" s="16">
        <v>1</v>
      </c>
      <c r="I26" s="16" t="s">
        <v>13</v>
      </c>
      <c r="J26" s="16" t="s">
        <v>14</v>
      </c>
    </row>
    <row r="27" spans="1:10" ht="27.95" customHeight="1">
      <c r="A27" s="8" t="s">
        <v>44</v>
      </c>
      <c r="B27" s="8" t="s">
        <v>15</v>
      </c>
      <c r="C27" s="8" t="s">
        <v>16</v>
      </c>
      <c r="D27" s="8" t="s">
        <v>186</v>
      </c>
      <c r="E27" s="9">
        <v>155000</v>
      </c>
      <c r="F27" s="9">
        <f>0.6*E27</f>
        <v>93000</v>
      </c>
      <c r="G27" s="9">
        <f>IF(OR(F27="",H27=""),"",F27*H27)</f>
        <v>93000</v>
      </c>
      <c r="H27" s="17">
        <v>1</v>
      </c>
      <c r="I27" s="17" t="s">
        <v>18</v>
      </c>
      <c r="J27" s="17" t="s">
        <v>14</v>
      </c>
    </row>
    <row r="28" spans="1:10" ht="27.95" customHeight="1">
      <c r="A28" s="8" t="s">
        <v>44</v>
      </c>
      <c r="B28" s="8" t="s">
        <v>45</v>
      </c>
      <c r="C28" s="8" t="s">
        <v>46</v>
      </c>
      <c r="D28" s="8" t="s">
        <v>47</v>
      </c>
      <c r="E28" s="9">
        <v>207389</v>
      </c>
      <c r="F28" s="9">
        <v>124433.4</v>
      </c>
      <c r="G28" s="9">
        <f>IF(OR(F28="",H28=""),"",F28*H28)</f>
        <v>124433.4</v>
      </c>
      <c r="H28" s="17">
        <v>1</v>
      </c>
      <c r="I28" s="17" t="s">
        <v>18</v>
      </c>
      <c r="J28" s="17" t="s">
        <v>28</v>
      </c>
    </row>
    <row r="29" spans="1:10" ht="27.95" customHeight="1">
      <c r="A29" s="8" t="s">
        <v>44</v>
      </c>
      <c r="B29" s="8" t="s">
        <v>22</v>
      </c>
      <c r="C29" s="8" t="s">
        <v>12</v>
      </c>
      <c r="D29" s="8" t="s">
        <v>48</v>
      </c>
      <c r="E29" s="15"/>
      <c r="F29" s="15"/>
      <c r="G29" s="15"/>
      <c r="H29" s="17">
        <v>3</v>
      </c>
      <c r="I29" s="17" t="s">
        <v>18</v>
      </c>
      <c r="J29" s="17" t="s">
        <v>24</v>
      </c>
    </row>
    <row r="30" spans="1:10" ht="27.95" customHeight="1">
      <c r="A30" s="8" t="s">
        <v>44</v>
      </c>
      <c r="B30" s="8" t="s">
        <v>25</v>
      </c>
      <c r="C30" s="8" t="s">
        <v>49</v>
      </c>
      <c r="D30" s="8" t="s">
        <v>50</v>
      </c>
      <c r="E30" s="9">
        <v>1545</v>
      </c>
      <c r="F30" s="9">
        <v>927</v>
      </c>
      <c r="G30" s="9">
        <f>IF(OR(F30="",H30=""),"",F30*H30)</f>
        <v>5562</v>
      </c>
      <c r="H30" s="17">
        <v>6</v>
      </c>
      <c r="I30" s="17" t="s">
        <v>18</v>
      </c>
      <c r="J30" s="17" t="s">
        <v>28</v>
      </c>
    </row>
    <row r="31" spans="1:10" ht="27.95" customHeight="1">
      <c r="A31" s="8" t="s">
        <v>44</v>
      </c>
      <c r="B31" s="8" t="s">
        <v>25</v>
      </c>
      <c r="C31" s="8" t="s">
        <v>51</v>
      </c>
      <c r="D31" s="8" t="s">
        <v>52</v>
      </c>
      <c r="E31" s="9">
        <v>2038</v>
      </c>
      <c r="F31" s="9">
        <v>1222.8</v>
      </c>
      <c r="G31" s="9">
        <f>IF(OR(F31="",H31=""),"",F31*H31)</f>
        <v>7336.7999999999993</v>
      </c>
      <c r="H31" s="17">
        <v>6</v>
      </c>
      <c r="I31" s="17" t="s">
        <v>18</v>
      </c>
      <c r="J31" s="17" t="s">
        <v>28</v>
      </c>
    </row>
    <row r="32" spans="1:10" ht="27.95" customHeight="1">
      <c r="A32" s="8" t="s">
        <v>44</v>
      </c>
      <c r="B32" s="8" t="s">
        <v>31</v>
      </c>
      <c r="C32" s="8" t="s">
        <v>32</v>
      </c>
      <c r="D32" s="8" t="s">
        <v>185</v>
      </c>
      <c r="E32" s="9">
        <v>95000</v>
      </c>
      <c r="F32" s="9">
        <v>57000</v>
      </c>
      <c r="G32" s="9">
        <f>IF(OR(F32="",H32=""),"",F32*H32)</f>
        <v>57000</v>
      </c>
      <c r="H32" s="17">
        <v>1</v>
      </c>
      <c r="I32" s="17" t="s">
        <v>18</v>
      </c>
      <c r="J32" s="17" t="s">
        <v>24</v>
      </c>
    </row>
    <row r="33" spans="1:10" ht="27.95" customHeight="1">
      <c r="A33" s="8" t="s">
        <v>44</v>
      </c>
      <c r="B33" s="8" t="s">
        <v>34</v>
      </c>
      <c r="C33" s="8" t="s">
        <v>35</v>
      </c>
      <c r="D33" s="8" t="s">
        <v>36</v>
      </c>
      <c r="E33" s="9">
        <v>902</v>
      </c>
      <c r="F33" s="9">
        <v>541.20000000000005</v>
      </c>
      <c r="G33" s="9">
        <f>IF(OR(F33="",H33=""),"",F33*H33)</f>
        <v>1082.4000000000001</v>
      </c>
      <c r="H33" s="17">
        <v>2</v>
      </c>
      <c r="I33" s="17" t="s">
        <v>18</v>
      </c>
      <c r="J33" s="17" t="s">
        <v>28</v>
      </c>
    </row>
    <row r="34" spans="1:10" ht="27.95" customHeight="1">
      <c r="A34" s="8" t="s">
        <v>44</v>
      </c>
      <c r="B34" s="8" t="s">
        <v>37</v>
      </c>
      <c r="C34" s="8" t="s">
        <v>12</v>
      </c>
      <c r="D34" s="8" t="s">
        <v>38</v>
      </c>
      <c r="E34" s="9">
        <v>4500</v>
      </c>
      <c r="F34" s="9">
        <v>4500</v>
      </c>
      <c r="G34" s="9">
        <f>IF(OR(F34="",H34=""),"",F34*H34)</f>
        <v>27000</v>
      </c>
      <c r="H34" s="17">
        <v>6</v>
      </c>
      <c r="I34" s="17" t="s">
        <v>18</v>
      </c>
      <c r="J34" s="17" t="s">
        <v>24</v>
      </c>
    </row>
    <row r="35" spans="1:10" ht="27.95" customHeight="1">
      <c r="A35" s="10" t="s">
        <v>44</v>
      </c>
      <c r="B35" s="10" t="s">
        <v>187</v>
      </c>
      <c r="C35" s="10" t="s">
        <v>12</v>
      </c>
      <c r="D35" s="10" t="s">
        <v>188</v>
      </c>
      <c r="E35" s="12"/>
      <c r="F35" s="12"/>
      <c r="G35" s="12"/>
      <c r="H35" s="18">
        <v>2.5</v>
      </c>
      <c r="I35" s="18" t="s">
        <v>183</v>
      </c>
      <c r="J35" s="18" t="s">
        <v>39</v>
      </c>
    </row>
    <row r="36" spans="1:10" ht="27.95" customHeight="1">
      <c r="A36" s="13" t="s">
        <v>44</v>
      </c>
      <c r="B36" s="13" t="s">
        <v>40</v>
      </c>
      <c r="C36" s="13" t="s">
        <v>40</v>
      </c>
      <c r="D36" s="13" t="s">
        <v>41</v>
      </c>
      <c r="E36" s="14">
        <f ca="1">OFFSET(E36,1,2)</f>
        <v>30000</v>
      </c>
      <c r="F36" s="14">
        <f ca="1">E36</f>
        <v>30000</v>
      </c>
      <c r="G36" s="14">
        <f ca="1">F36*H36</f>
        <v>30000</v>
      </c>
      <c r="H36" s="19">
        <v>1</v>
      </c>
      <c r="I36" s="19" t="s">
        <v>18</v>
      </c>
      <c r="J36" s="19" t="s">
        <v>40</v>
      </c>
    </row>
    <row r="37" spans="1:10" ht="27.95" customHeight="1">
      <c r="A37" s="13" t="s">
        <v>44</v>
      </c>
      <c r="B37" s="13" t="s">
        <v>42</v>
      </c>
      <c r="C37" s="13" t="s">
        <v>42</v>
      </c>
      <c r="D37" s="13" t="s">
        <v>43</v>
      </c>
      <c r="E37" s="14">
        <v>5</v>
      </c>
      <c r="F37" s="14">
        <v>100</v>
      </c>
      <c r="G37" s="14">
        <f>F37*H37</f>
        <v>30000</v>
      </c>
      <c r="H37" s="19">
        <f>60*E37</f>
        <v>300</v>
      </c>
      <c r="I37" s="19" t="s">
        <v>18</v>
      </c>
      <c r="J37" s="19" t="s">
        <v>42</v>
      </c>
    </row>
    <row r="38" spans="1:10" ht="33.950000000000003" customHeight="1">
      <c r="A38" s="6" t="s">
        <v>62</v>
      </c>
      <c r="B38" s="6" t="s">
        <v>11</v>
      </c>
      <c r="C38" s="6" t="s">
        <v>12</v>
      </c>
      <c r="D38" s="6" t="s">
        <v>62</v>
      </c>
      <c r="E38" s="7"/>
      <c r="F38" s="7"/>
      <c r="G38" s="7">
        <f ca="1">IF(COUNT(G39:G46)=0,"",H38*SUM(G39:G46))</f>
        <v>15631.200000000003</v>
      </c>
      <c r="H38" s="16">
        <v>1</v>
      </c>
      <c r="I38" s="16" t="s">
        <v>13</v>
      </c>
      <c r="J38" s="16" t="s">
        <v>14</v>
      </c>
    </row>
    <row r="39" spans="1:10" ht="27.95" customHeight="1">
      <c r="A39" s="8" t="s">
        <v>62</v>
      </c>
      <c r="B39" s="8" t="s">
        <v>15</v>
      </c>
      <c r="C39" s="8" t="s">
        <v>12</v>
      </c>
      <c r="D39" s="8" t="s">
        <v>63</v>
      </c>
      <c r="E39" s="15"/>
      <c r="F39" s="15"/>
      <c r="G39" s="15"/>
      <c r="H39" s="17">
        <v>1</v>
      </c>
      <c r="I39" s="17" t="s">
        <v>18</v>
      </c>
      <c r="J39" s="17" t="s">
        <v>14</v>
      </c>
    </row>
    <row r="40" spans="1:10" ht="27.95" customHeight="1">
      <c r="A40" s="8" t="s">
        <v>62</v>
      </c>
      <c r="B40" s="8" t="s">
        <v>34</v>
      </c>
      <c r="C40" s="8" t="s">
        <v>64</v>
      </c>
      <c r="D40" s="8" t="s">
        <v>65</v>
      </c>
      <c r="E40" s="9">
        <v>11015</v>
      </c>
      <c r="F40" s="9">
        <v>6609</v>
      </c>
      <c r="G40" s="9">
        <f>IF(OR(F40="",H40=""),"",F40*H40)</f>
        <v>6609</v>
      </c>
      <c r="H40" s="17">
        <v>1</v>
      </c>
      <c r="I40" s="17" t="s">
        <v>18</v>
      </c>
      <c r="J40" s="17" t="s">
        <v>28</v>
      </c>
    </row>
    <row r="41" spans="1:10" ht="27.95" customHeight="1">
      <c r="A41" s="8" t="s">
        <v>62</v>
      </c>
      <c r="B41" s="8" t="s">
        <v>34</v>
      </c>
      <c r="C41" s="8" t="s">
        <v>66</v>
      </c>
      <c r="D41" s="8" t="s">
        <v>67</v>
      </c>
      <c r="E41" s="9">
        <v>2429</v>
      </c>
      <c r="F41" s="9">
        <v>1457.4</v>
      </c>
      <c r="G41" s="9">
        <f>IF(OR(F41="",H41=""),"",F41*H41)</f>
        <v>4372.2000000000007</v>
      </c>
      <c r="H41" s="17">
        <v>3</v>
      </c>
      <c r="I41" s="17" t="s">
        <v>18</v>
      </c>
      <c r="J41" s="17" t="s">
        <v>28</v>
      </c>
    </row>
    <row r="42" spans="1:10" ht="27.95" customHeight="1">
      <c r="A42" s="8" t="s">
        <v>62</v>
      </c>
      <c r="B42" s="8" t="s">
        <v>34</v>
      </c>
      <c r="C42" s="8" t="s">
        <v>68</v>
      </c>
      <c r="D42" s="8" t="s">
        <v>69</v>
      </c>
      <c r="E42" s="9">
        <v>2606</v>
      </c>
      <c r="F42" s="9">
        <v>1563.6</v>
      </c>
      <c r="G42" s="9">
        <f>IF(OR(F42="",H42=""),"",F42*H42)</f>
        <v>1563.6</v>
      </c>
      <c r="H42" s="17">
        <v>1</v>
      </c>
      <c r="I42" s="17" t="s">
        <v>18</v>
      </c>
      <c r="J42" s="17" t="s">
        <v>28</v>
      </c>
    </row>
    <row r="43" spans="1:10" ht="27.95" customHeight="1">
      <c r="A43" s="8" t="s">
        <v>62</v>
      </c>
      <c r="B43" s="8" t="s">
        <v>34</v>
      </c>
      <c r="C43" s="8" t="s">
        <v>70</v>
      </c>
      <c r="D43" s="8" t="s">
        <v>71</v>
      </c>
      <c r="E43" s="9">
        <v>2807</v>
      </c>
      <c r="F43" s="9">
        <v>1684.2</v>
      </c>
      <c r="G43" s="9">
        <f>IF(OR(F43="",H43=""),"",F43*H43)</f>
        <v>1684.2</v>
      </c>
      <c r="H43" s="17">
        <v>1</v>
      </c>
      <c r="I43" s="17" t="s">
        <v>18</v>
      </c>
      <c r="J43" s="17" t="s">
        <v>28</v>
      </c>
    </row>
    <row r="44" spans="1:10" ht="27.95" customHeight="1">
      <c r="A44" s="8" t="s">
        <v>62</v>
      </c>
      <c r="B44" s="8" t="s">
        <v>34</v>
      </c>
      <c r="C44" s="8" t="s">
        <v>72</v>
      </c>
      <c r="D44" s="8" t="s">
        <v>73</v>
      </c>
      <c r="E44" s="9">
        <v>2337</v>
      </c>
      <c r="F44" s="9">
        <v>1402.2</v>
      </c>
      <c r="G44" s="9">
        <f>IF(OR(F44="",H44=""),"",F44*H44)</f>
        <v>1402.2</v>
      </c>
      <c r="H44" s="17">
        <v>1</v>
      </c>
      <c r="I44" s="17" t="s">
        <v>18</v>
      </c>
      <c r="J44" s="17" t="s">
        <v>28</v>
      </c>
    </row>
    <row r="45" spans="1:10" ht="27.95" customHeight="1">
      <c r="A45" s="13" t="s">
        <v>62</v>
      </c>
      <c r="B45" s="13" t="s">
        <v>40</v>
      </c>
      <c r="C45" s="13" t="s">
        <v>40</v>
      </c>
      <c r="D45" s="13" t="s">
        <v>41</v>
      </c>
      <c r="E45" s="14">
        <f ca="1">OFFSET(E45,1,2)</f>
        <v>0</v>
      </c>
      <c r="F45" s="14">
        <f ca="1">E45</f>
        <v>0</v>
      </c>
      <c r="G45" s="14">
        <f ca="1">F45*H45</f>
        <v>0</v>
      </c>
      <c r="H45" s="19">
        <v>1</v>
      </c>
      <c r="I45" s="19" t="s">
        <v>18</v>
      </c>
      <c r="J45" s="19" t="s">
        <v>40</v>
      </c>
    </row>
    <row r="46" spans="1:10" ht="27.95" customHeight="1">
      <c r="A46" s="13" t="s">
        <v>62</v>
      </c>
      <c r="B46" s="13" t="s">
        <v>42</v>
      </c>
      <c r="C46" s="13" t="s">
        <v>42</v>
      </c>
      <c r="D46" s="13" t="s">
        <v>43</v>
      </c>
      <c r="E46" s="14"/>
      <c r="F46" s="14">
        <v>100</v>
      </c>
      <c r="G46" s="14">
        <f>F46*H46</f>
        <v>0</v>
      </c>
      <c r="H46" s="19">
        <f>60*E46</f>
        <v>0</v>
      </c>
      <c r="I46" s="19" t="s">
        <v>18</v>
      </c>
      <c r="J46" s="19" t="s">
        <v>42</v>
      </c>
    </row>
    <row r="47" spans="1:10" ht="33.950000000000003" customHeight="1">
      <c r="A47" s="6" t="s">
        <v>75</v>
      </c>
      <c r="B47" s="6" t="s">
        <v>11</v>
      </c>
      <c r="C47" s="6" t="s">
        <v>12</v>
      </c>
      <c r="D47" s="6" t="s">
        <v>189</v>
      </c>
      <c r="E47" s="7"/>
      <c r="F47" s="7"/>
      <c r="G47" s="7">
        <f ca="1">IF(COUNT(G48:G54)=0,"",H47*SUM(G48:G54))</f>
        <v>15694.8</v>
      </c>
      <c r="H47" s="16">
        <v>1</v>
      </c>
      <c r="I47" s="16" t="s">
        <v>13</v>
      </c>
      <c r="J47" s="16" t="s">
        <v>14</v>
      </c>
    </row>
    <row r="48" spans="1:10" ht="27.95" customHeight="1">
      <c r="A48" s="8" t="s">
        <v>75</v>
      </c>
      <c r="B48" s="8" t="s">
        <v>15</v>
      </c>
      <c r="C48" s="8" t="s">
        <v>12</v>
      </c>
      <c r="D48" s="8" t="s">
        <v>63</v>
      </c>
      <c r="E48" s="15"/>
      <c r="F48" s="15"/>
      <c r="G48" s="15"/>
      <c r="H48" s="17">
        <v>1</v>
      </c>
      <c r="I48" s="17" t="s">
        <v>18</v>
      </c>
      <c r="J48" s="17" t="s">
        <v>14</v>
      </c>
    </row>
    <row r="49" spans="1:10" ht="27.95" customHeight="1">
      <c r="A49" s="8" t="s">
        <v>75</v>
      </c>
      <c r="B49" s="8" t="s">
        <v>76</v>
      </c>
      <c r="C49" s="8" t="s">
        <v>77</v>
      </c>
      <c r="D49" s="8" t="s">
        <v>78</v>
      </c>
      <c r="E49" s="9">
        <v>6032</v>
      </c>
      <c r="F49" s="9">
        <v>3619.2</v>
      </c>
      <c r="G49" s="9">
        <f>IF(OR(F49="",H49=""),"",F49*H49)</f>
        <v>7238.4</v>
      </c>
      <c r="H49" s="17">
        <v>2</v>
      </c>
      <c r="I49" s="17" t="s">
        <v>18</v>
      </c>
      <c r="J49" s="17" t="s">
        <v>28</v>
      </c>
    </row>
    <row r="50" spans="1:10" ht="27.95" customHeight="1">
      <c r="A50" s="8" t="s">
        <v>75</v>
      </c>
      <c r="B50" s="8" t="s">
        <v>79</v>
      </c>
      <c r="C50" s="8" t="s">
        <v>12</v>
      </c>
      <c r="D50" s="8" t="s">
        <v>80</v>
      </c>
      <c r="E50" s="15"/>
      <c r="F50" s="15"/>
      <c r="G50" s="15"/>
      <c r="H50" s="17">
        <v>1</v>
      </c>
      <c r="I50" s="17" t="s">
        <v>18</v>
      </c>
      <c r="J50" s="17" t="s">
        <v>81</v>
      </c>
    </row>
    <row r="51" spans="1:10" ht="27.95" customHeight="1">
      <c r="A51" s="8" t="s">
        <v>75</v>
      </c>
      <c r="B51" s="8" t="s">
        <v>34</v>
      </c>
      <c r="C51" s="8" t="s">
        <v>82</v>
      </c>
      <c r="D51" s="8" t="s">
        <v>83</v>
      </c>
      <c r="E51" s="9">
        <v>783</v>
      </c>
      <c r="F51" s="9">
        <v>469.8</v>
      </c>
      <c r="G51" s="9">
        <f>IF(OR(F51="",H51=""),"",F51*H51)</f>
        <v>8456.4</v>
      </c>
      <c r="H51" s="17">
        <v>18</v>
      </c>
      <c r="I51" s="17" t="s">
        <v>18</v>
      </c>
      <c r="J51" s="17" t="s">
        <v>28</v>
      </c>
    </row>
    <row r="52" spans="1:10" ht="27.95" customHeight="1">
      <c r="A52" s="10" t="s">
        <v>75</v>
      </c>
      <c r="B52" s="10" t="s">
        <v>19</v>
      </c>
      <c r="C52" s="10" t="s">
        <v>12</v>
      </c>
      <c r="D52" s="10" t="s">
        <v>74</v>
      </c>
      <c r="E52" s="12"/>
      <c r="F52" s="12"/>
      <c r="G52" s="12"/>
      <c r="H52" s="18"/>
      <c r="I52" s="18" t="s">
        <v>13</v>
      </c>
      <c r="J52" s="18" t="s">
        <v>39</v>
      </c>
    </row>
    <row r="53" spans="1:10" ht="27.95" customHeight="1">
      <c r="A53" s="13" t="s">
        <v>75</v>
      </c>
      <c r="B53" s="13" t="s">
        <v>40</v>
      </c>
      <c r="C53" s="13" t="s">
        <v>40</v>
      </c>
      <c r="D53" s="13" t="s">
        <v>41</v>
      </c>
      <c r="E53" s="14">
        <f ca="1">OFFSET(E53,1,2)</f>
        <v>0</v>
      </c>
      <c r="F53" s="14">
        <f ca="1">E53</f>
        <v>0</v>
      </c>
      <c r="G53" s="14">
        <f ca="1">F53*H53</f>
        <v>0</v>
      </c>
      <c r="H53" s="19">
        <v>1</v>
      </c>
      <c r="I53" s="19" t="s">
        <v>18</v>
      </c>
      <c r="J53" s="19" t="s">
        <v>40</v>
      </c>
    </row>
    <row r="54" spans="1:10" ht="27.95" customHeight="1">
      <c r="A54" s="13" t="s">
        <v>75</v>
      </c>
      <c r="B54" s="13" t="s">
        <v>42</v>
      </c>
      <c r="C54" s="13" t="s">
        <v>42</v>
      </c>
      <c r="D54" s="13" t="s">
        <v>43</v>
      </c>
      <c r="E54" s="14"/>
      <c r="F54" s="14">
        <v>100</v>
      </c>
      <c r="G54" s="14">
        <f>F54*H54</f>
        <v>0</v>
      </c>
      <c r="H54" s="19">
        <f>60*E54</f>
        <v>0</v>
      </c>
      <c r="I54" s="19" t="s">
        <v>18</v>
      </c>
      <c r="J54" s="19" t="s">
        <v>42</v>
      </c>
    </row>
    <row r="55" spans="1:10" ht="33.950000000000003" customHeight="1">
      <c r="A55" s="6" t="s">
        <v>84</v>
      </c>
      <c r="B55" s="6" t="s">
        <v>11</v>
      </c>
      <c r="C55" s="6" t="s">
        <v>12</v>
      </c>
      <c r="D55" s="6" t="s">
        <v>84</v>
      </c>
      <c r="E55" s="7"/>
      <c r="F55" s="7"/>
      <c r="G55" s="7">
        <f ca="1">IF(COUNT(G56:G65)=0,"",H55*SUM(G56:G65))</f>
        <v>17459.400000000001</v>
      </c>
      <c r="H55" s="16">
        <v>1</v>
      </c>
      <c r="I55" s="16" t="s">
        <v>13</v>
      </c>
      <c r="J55" s="16" t="s">
        <v>14</v>
      </c>
    </row>
    <row r="56" spans="1:10" ht="27.95" customHeight="1">
      <c r="A56" s="8" t="s">
        <v>84</v>
      </c>
      <c r="B56" s="8" t="s">
        <v>15</v>
      </c>
      <c r="C56" s="8" t="s">
        <v>12</v>
      </c>
      <c r="D56" s="8" t="s">
        <v>63</v>
      </c>
      <c r="E56" s="15"/>
      <c r="F56" s="15"/>
      <c r="G56" s="15"/>
      <c r="H56" s="17">
        <v>1</v>
      </c>
      <c r="I56" s="17" t="s">
        <v>18</v>
      </c>
      <c r="J56" s="17" t="s">
        <v>14</v>
      </c>
    </row>
    <row r="57" spans="1:10" ht="27.95" customHeight="1">
      <c r="A57" s="8" t="s">
        <v>84</v>
      </c>
      <c r="B57" s="8" t="s">
        <v>85</v>
      </c>
      <c r="C57" s="8" t="s">
        <v>86</v>
      </c>
      <c r="D57" s="8" t="s">
        <v>87</v>
      </c>
      <c r="E57" s="9">
        <v>3372</v>
      </c>
      <c r="F57" s="9">
        <v>2023.2</v>
      </c>
      <c r="G57" s="9">
        <f t="shared" ref="G57:G62" si="2">IF(OR(F57="",H57=""),"",F57*H57)</f>
        <v>2023.2</v>
      </c>
      <c r="H57" s="17">
        <v>1</v>
      </c>
      <c r="I57" s="17" t="s">
        <v>18</v>
      </c>
      <c r="J57" s="17" t="s">
        <v>28</v>
      </c>
    </row>
    <row r="58" spans="1:10" ht="27.95" customHeight="1">
      <c r="A58" s="8" t="s">
        <v>84</v>
      </c>
      <c r="B58" s="8" t="s">
        <v>34</v>
      </c>
      <c r="C58" s="8" t="s">
        <v>72</v>
      </c>
      <c r="D58" s="8" t="s">
        <v>73</v>
      </c>
      <c r="E58" s="9">
        <v>2337</v>
      </c>
      <c r="F58" s="9">
        <v>1402.2</v>
      </c>
      <c r="G58" s="9">
        <f t="shared" si="2"/>
        <v>8413.2000000000007</v>
      </c>
      <c r="H58" s="17">
        <v>6</v>
      </c>
      <c r="I58" s="17" t="s">
        <v>18</v>
      </c>
      <c r="J58" s="17" t="s">
        <v>28</v>
      </c>
    </row>
    <row r="59" spans="1:10" ht="27.95" customHeight="1">
      <c r="A59" s="8" t="s">
        <v>84</v>
      </c>
      <c r="B59" s="8" t="s">
        <v>34</v>
      </c>
      <c r="C59" s="8" t="s">
        <v>66</v>
      </c>
      <c r="D59" s="8" t="s">
        <v>67</v>
      </c>
      <c r="E59" s="9">
        <v>2429</v>
      </c>
      <c r="F59" s="9">
        <v>1457.4</v>
      </c>
      <c r="G59" s="9">
        <f t="shared" si="2"/>
        <v>1457.4</v>
      </c>
      <c r="H59" s="17">
        <v>1</v>
      </c>
      <c r="I59" s="17" t="s">
        <v>18</v>
      </c>
      <c r="J59" s="17" t="s">
        <v>28</v>
      </c>
    </row>
    <row r="60" spans="1:10" ht="27.95" customHeight="1">
      <c r="A60" s="8" t="s">
        <v>84</v>
      </c>
      <c r="B60" s="8" t="s">
        <v>34</v>
      </c>
      <c r="C60" s="8" t="s">
        <v>68</v>
      </c>
      <c r="D60" s="8" t="s">
        <v>69</v>
      </c>
      <c r="E60" s="9">
        <v>2606</v>
      </c>
      <c r="F60" s="9">
        <v>1563.6</v>
      </c>
      <c r="G60" s="9">
        <f t="shared" si="2"/>
        <v>1563.6</v>
      </c>
      <c r="H60" s="17">
        <v>1</v>
      </c>
      <c r="I60" s="17" t="s">
        <v>18</v>
      </c>
      <c r="J60" s="17" t="s">
        <v>28</v>
      </c>
    </row>
    <row r="61" spans="1:10" ht="27.95" customHeight="1">
      <c r="A61" s="8" t="s">
        <v>84</v>
      </c>
      <c r="B61" s="8" t="s">
        <v>34</v>
      </c>
      <c r="C61" s="8" t="s">
        <v>82</v>
      </c>
      <c r="D61" s="8" t="s">
        <v>83</v>
      </c>
      <c r="E61" s="9">
        <v>783</v>
      </c>
      <c r="F61" s="9">
        <v>469.8</v>
      </c>
      <c r="G61" s="9">
        <f t="shared" si="2"/>
        <v>939.6</v>
      </c>
      <c r="H61" s="17">
        <v>2</v>
      </c>
      <c r="I61" s="17" t="s">
        <v>18</v>
      </c>
      <c r="J61" s="17" t="s">
        <v>28</v>
      </c>
    </row>
    <row r="62" spans="1:10" ht="27.95" customHeight="1">
      <c r="A62" s="8" t="s">
        <v>84</v>
      </c>
      <c r="B62" s="8" t="s">
        <v>88</v>
      </c>
      <c r="C62" s="8" t="s">
        <v>89</v>
      </c>
      <c r="D62" s="8" t="s">
        <v>90</v>
      </c>
      <c r="E62" s="9">
        <v>5104</v>
      </c>
      <c r="F62" s="9">
        <v>3062.4</v>
      </c>
      <c r="G62" s="9">
        <f t="shared" si="2"/>
        <v>3062.4</v>
      </c>
      <c r="H62" s="17">
        <v>1</v>
      </c>
      <c r="I62" s="17" t="s">
        <v>18</v>
      </c>
      <c r="J62" s="17" t="s">
        <v>28</v>
      </c>
    </row>
    <row r="63" spans="1:10" ht="27.95" customHeight="1">
      <c r="A63" s="10" t="s">
        <v>84</v>
      </c>
      <c r="B63" s="10" t="s">
        <v>19</v>
      </c>
      <c r="C63" s="10" t="s">
        <v>12</v>
      </c>
      <c r="D63" s="10" t="s">
        <v>74</v>
      </c>
      <c r="E63" s="12"/>
      <c r="F63" s="12"/>
      <c r="G63" s="12"/>
      <c r="H63" s="18"/>
      <c r="I63" s="18" t="s">
        <v>13</v>
      </c>
      <c r="J63" s="18" t="s">
        <v>39</v>
      </c>
    </row>
    <row r="64" spans="1:10" ht="27.95" customHeight="1">
      <c r="A64" s="13" t="s">
        <v>84</v>
      </c>
      <c r="B64" s="13" t="s">
        <v>40</v>
      </c>
      <c r="C64" s="13" t="s">
        <v>40</v>
      </c>
      <c r="D64" s="13" t="s">
        <v>41</v>
      </c>
      <c r="E64" s="14">
        <f ca="1">OFFSET(E64,1,2)</f>
        <v>0</v>
      </c>
      <c r="F64" s="14">
        <f ca="1">E64</f>
        <v>0</v>
      </c>
      <c r="G64" s="14">
        <f ca="1">F64*H64</f>
        <v>0</v>
      </c>
      <c r="H64" s="19">
        <v>1</v>
      </c>
      <c r="I64" s="19" t="s">
        <v>18</v>
      </c>
      <c r="J64" s="19" t="s">
        <v>40</v>
      </c>
    </row>
    <row r="65" spans="1:10" ht="27.95" customHeight="1">
      <c r="A65" s="13" t="s">
        <v>84</v>
      </c>
      <c r="B65" s="13" t="s">
        <v>42</v>
      </c>
      <c r="C65" s="13" t="s">
        <v>42</v>
      </c>
      <c r="D65" s="13" t="s">
        <v>43</v>
      </c>
      <c r="E65" s="14"/>
      <c r="F65" s="14">
        <v>100</v>
      </c>
      <c r="G65" s="14">
        <f>F65*H65</f>
        <v>0</v>
      </c>
      <c r="H65" s="19">
        <f>60*E65</f>
        <v>0</v>
      </c>
      <c r="I65" s="19" t="s">
        <v>18</v>
      </c>
      <c r="J65" s="19" t="s">
        <v>42</v>
      </c>
    </row>
    <row r="66" spans="1:10" ht="33.950000000000003" customHeight="1">
      <c r="A66" s="6" t="s">
        <v>91</v>
      </c>
      <c r="B66" s="6" t="s">
        <v>11</v>
      </c>
      <c r="C66" s="6" t="s">
        <v>12</v>
      </c>
      <c r="D66" s="6" t="s">
        <v>91</v>
      </c>
      <c r="E66" s="7"/>
      <c r="F66" s="7"/>
      <c r="G66" s="7">
        <f ca="1">IF(COUNT(G67:G71)=0,"",H66*SUM(G67:G71))</f>
        <v>5637.6</v>
      </c>
      <c r="H66" s="16">
        <v>1</v>
      </c>
      <c r="I66" s="16" t="s">
        <v>13</v>
      </c>
      <c r="J66" s="16" t="s">
        <v>14</v>
      </c>
    </row>
    <row r="67" spans="1:10" ht="27.95" customHeight="1">
      <c r="A67" s="8" t="s">
        <v>91</v>
      </c>
      <c r="B67" s="8" t="s">
        <v>15</v>
      </c>
      <c r="C67" s="8" t="s">
        <v>12</v>
      </c>
      <c r="D67" s="8" t="s">
        <v>92</v>
      </c>
      <c r="E67" s="15"/>
      <c r="F67" s="15"/>
      <c r="G67" s="15"/>
      <c r="H67" s="17">
        <v>1</v>
      </c>
      <c r="I67" s="17" t="s">
        <v>18</v>
      </c>
      <c r="J67" s="17" t="s">
        <v>14</v>
      </c>
    </row>
    <row r="68" spans="1:10" ht="27.95" customHeight="1">
      <c r="A68" s="8" t="s">
        <v>91</v>
      </c>
      <c r="B68" s="8" t="s">
        <v>34</v>
      </c>
      <c r="C68" s="8" t="s">
        <v>93</v>
      </c>
      <c r="D68" s="8" t="s">
        <v>94</v>
      </c>
      <c r="E68" s="9">
        <v>783</v>
      </c>
      <c r="F68" s="9">
        <v>469.8</v>
      </c>
      <c r="G68" s="9">
        <f>IF(OR(F68="",H68=""),"",F68*H68)</f>
        <v>5637.6</v>
      </c>
      <c r="H68" s="17">
        <v>12</v>
      </c>
      <c r="I68" s="17" t="s">
        <v>18</v>
      </c>
      <c r="J68" s="17" t="s">
        <v>28</v>
      </c>
    </row>
    <row r="69" spans="1:10" ht="27.95" customHeight="1">
      <c r="A69" s="10" t="s">
        <v>91</v>
      </c>
      <c r="B69" s="10" t="s">
        <v>19</v>
      </c>
      <c r="C69" s="10" t="s">
        <v>12</v>
      </c>
      <c r="D69" s="10" t="s">
        <v>74</v>
      </c>
      <c r="E69" s="12"/>
      <c r="F69" s="12"/>
      <c r="G69" s="12"/>
      <c r="H69" s="18"/>
      <c r="I69" s="18" t="s">
        <v>13</v>
      </c>
      <c r="J69" s="18" t="s">
        <v>39</v>
      </c>
    </row>
    <row r="70" spans="1:10" ht="27.95" customHeight="1">
      <c r="A70" s="13" t="s">
        <v>91</v>
      </c>
      <c r="B70" s="13" t="s">
        <v>40</v>
      </c>
      <c r="C70" s="13" t="s">
        <v>40</v>
      </c>
      <c r="D70" s="13" t="s">
        <v>41</v>
      </c>
      <c r="E70" s="14">
        <f ca="1">OFFSET(E70,1,2)</f>
        <v>0</v>
      </c>
      <c r="F70" s="14">
        <f ca="1">E70</f>
        <v>0</v>
      </c>
      <c r="G70" s="14">
        <f ca="1">F70*H70</f>
        <v>0</v>
      </c>
      <c r="H70" s="19">
        <v>1</v>
      </c>
      <c r="I70" s="19" t="s">
        <v>18</v>
      </c>
      <c r="J70" s="19" t="s">
        <v>40</v>
      </c>
    </row>
    <row r="71" spans="1:10" ht="27.95" customHeight="1">
      <c r="A71" s="13" t="s">
        <v>91</v>
      </c>
      <c r="B71" s="13" t="s">
        <v>42</v>
      </c>
      <c r="C71" s="13" t="s">
        <v>42</v>
      </c>
      <c r="D71" s="13" t="s">
        <v>43</v>
      </c>
      <c r="E71" s="14"/>
      <c r="F71" s="14">
        <v>100</v>
      </c>
      <c r="G71" s="14">
        <f>F71*H71</f>
        <v>0</v>
      </c>
      <c r="H71" s="19">
        <f>60*E71</f>
        <v>0</v>
      </c>
      <c r="I71" s="19" t="s">
        <v>18</v>
      </c>
      <c r="J71" s="19" t="s">
        <v>42</v>
      </c>
    </row>
    <row r="72" spans="1:10" ht="33.950000000000003" customHeight="1">
      <c r="A72" s="6" t="s">
        <v>95</v>
      </c>
      <c r="B72" s="6" t="s">
        <v>11</v>
      </c>
      <c r="C72" s="6" t="s">
        <v>12</v>
      </c>
      <c r="D72" s="6" t="s">
        <v>95</v>
      </c>
      <c r="E72" s="7"/>
      <c r="F72" s="7"/>
      <c r="G72" s="7">
        <f ca="1">IF(COUNT(G73:G78)=0,"",H72*SUM(G73:G78))</f>
        <v>1879.2</v>
      </c>
      <c r="H72" s="16">
        <v>1</v>
      </c>
      <c r="I72" s="16" t="s">
        <v>13</v>
      </c>
      <c r="J72" s="16" t="s">
        <v>14</v>
      </c>
    </row>
    <row r="73" spans="1:10" ht="27.95" customHeight="1">
      <c r="A73" s="8" t="s">
        <v>95</v>
      </c>
      <c r="B73" s="8" t="s">
        <v>15</v>
      </c>
      <c r="C73" s="8" t="s">
        <v>12</v>
      </c>
      <c r="D73" s="8" t="s">
        <v>92</v>
      </c>
      <c r="E73" s="15"/>
      <c r="F73" s="15"/>
      <c r="G73" s="15"/>
      <c r="H73" s="17">
        <v>1</v>
      </c>
      <c r="I73" s="17" t="s">
        <v>18</v>
      </c>
      <c r="J73" s="17" t="s">
        <v>14</v>
      </c>
    </row>
    <row r="74" spans="1:10" ht="27.95" customHeight="1">
      <c r="A74" s="10" t="s">
        <v>95</v>
      </c>
      <c r="B74" s="10" t="s">
        <v>19</v>
      </c>
      <c r="C74" s="10" t="s">
        <v>12</v>
      </c>
      <c r="D74" s="10" t="s">
        <v>96</v>
      </c>
      <c r="E74" s="11"/>
      <c r="F74" s="11"/>
      <c r="G74" s="11"/>
      <c r="H74" s="18">
        <v>1</v>
      </c>
      <c r="I74" s="18" t="s">
        <v>18</v>
      </c>
      <c r="J74" s="18" t="s">
        <v>21</v>
      </c>
    </row>
    <row r="75" spans="1:10" ht="27.95" customHeight="1">
      <c r="A75" s="8" t="s">
        <v>95</v>
      </c>
      <c r="B75" s="8" t="s">
        <v>34</v>
      </c>
      <c r="C75" s="8" t="s">
        <v>82</v>
      </c>
      <c r="D75" s="8" t="s">
        <v>83</v>
      </c>
      <c r="E75" s="9">
        <v>783</v>
      </c>
      <c r="F75" s="9">
        <v>469.8</v>
      </c>
      <c r="G75" s="9">
        <f>IF(OR(F75="",H75=""),"",F75*H75)</f>
        <v>1879.2</v>
      </c>
      <c r="H75" s="17">
        <v>4</v>
      </c>
      <c r="I75" s="17" t="s">
        <v>18</v>
      </c>
      <c r="J75" s="17" t="s">
        <v>28</v>
      </c>
    </row>
    <row r="76" spans="1:10" ht="27.95" customHeight="1">
      <c r="A76" s="10" t="s">
        <v>95</v>
      </c>
      <c r="B76" s="10" t="s">
        <v>19</v>
      </c>
      <c r="C76" s="10" t="s">
        <v>12</v>
      </c>
      <c r="D76" s="10" t="s">
        <v>74</v>
      </c>
      <c r="E76" s="12"/>
      <c r="F76" s="12"/>
      <c r="G76" s="12"/>
      <c r="H76" s="18"/>
      <c r="I76" s="18" t="s">
        <v>13</v>
      </c>
      <c r="J76" s="18" t="s">
        <v>39</v>
      </c>
    </row>
    <row r="77" spans="1:10" ht="27.95" customHeight="1">
      <c r="A77" s="13" t="s">
        <v>95</v>
      </c>
      <c r="B77" s="13" t="s">
        <v>40</v>
      </c>
      <c r="C77" s="13" t="s">
        <v>40</v>
      </c>
      <c r="D77" s="13" t="s">
        <v>41</v>
      </c>
      <c r="E77" s="14">
        <f ca="1">OFFSET(E77,1,2)</f>
        <v>0</v>
      </c>
      <c r="F77" s="14">
        <f ca="1">E77</f>
        <v>0</v>
      </c>
      <c r="G77" s="14">
        <f ca="1">F77*H77</f>
        <v>0</v>
      </c>
      <c r="H77" s="19">
        <v>1</v>
      </c>
      <c r="I77" s="19" t="s">
        <v>18</v>
      </c>
      <c r="J77" s="19" t="s">
        <v>40</v>
      </c>
    </row>
    <row r="78" spans="1:10" ht="27.95" customHeight="1">
      <c r="A78" s="13" t="s">
        <v>95</v>
      </c>
      <c r="B78" s="13" t="s">
        <v>42</v>
      </c>
      <c r="C78" s="13" t="s">
        <v>42</v>
      </c>
      <c r="D78" s="13" t="s">
        <v>43</v>
      </c>
      <c r="E78" s="14"/>
      <c r="F78" s="14">
        <v>100</v>
      </c>
      <c r="G78" s="14">
        <f>F78*H78</f>
        <v>0</v>
      </c>
      <c r="H78" s="19">
        <f>60*E78</f>
        <v>0</v>
      </c>
      <c r="I78" s="19" t="s">
        <v>18</v>
      </c>
      <c r="J78" s="19" t="s">
        <v>42</v>
      </c>
    </row>
    <row r="79" spans="1:10" ht="33.950000000000003" customHeight="1">
      <c r="A79" s="6" t="s">
        <v>97</v>
      </c>
      <c r="B79" s="6" t="s">
        <v>11</v>
      </c>
      <c r="C79" s="6" t="s">
        <v>12</v>
      </c>
      <c r="D79" s="6" t="s">
        <v>97</v>
      </c>
      <c r="E79" s="7"/>
      <c r="F79" s="7"/>
      <c r="G79" s="7">
        <f ca="1">IF(COUNT(G80:G86)=0,"",H79*SUM(G80:G86))</f>
        <v>271296</v>
      </c>
      <c r="H79" s="16">
        <v>12</v>
      </c>
      <c r="I79" s="16" t="s">
        <v>13</v>
      </c>
      <c r="J79" s="16" t="s">
        <v>14</v>
      </c>
    </row>
    <row r="80" spans="1:10" ht="27.95" customHeight="1">
      <c r="A80" s="8" t="s">
        <v>97</v>
      </c>
      <c r="B80" s="8" t="s">
        <v>15</v>
      </c>
      <c r="C80" s="8" t="s">
        <v>12</v>
      </c>
      <c r="D80" s="8" t="s">
        <v>98</v>
      </c>
      <c r="E80" s="15"/>
      <c r="F80" s="15"/>
      <c r="G80" s="15"/>
      <c r="H80" s="17">
        <v>1</v>
      </c>
      <c r="I80" s="17" t="s">
        <v>18</v>
      </c>
      <c r="J80" s="17" t="s">
        <v>14</v>
      </c>
    </row>
    <row r="81" spans="1:10" ht="27.95" customHeight="1">
      <c r="A81" s="8" t="s">
        <v>97</v>
      </c>
      <c r="B81" s="8" t="s">
        <v>85</v>
      </c>
      <c r="C81" s="8" t="s">
        <v>99</v>
      </c>
      <c r="D81" s="8" t="s">
        <v>100</v>
      </c>
      <c r="E81" s="9">
        <v>1421</v>
      </c>
      <c r="F81" s="9">
        <v>852.6</v>
      </c>
      <c r="G81" s="9">
        <f>IF(OR(F81="",H81=""),"",F81*H81)</f>
        <v>4263</v>
      </c>
      <c r="H81" s="17">
        <v>5</v>
      </c>
      <c r="I81" s="17" t="s">
        <v>18</v>
      </c>
      <c r="J81" s="17" t="s">
        <v>28</v>
      </c>
    </row>
    <row r="82" spans="1:10" ht="27.95" customHeight="1">
      <c r="A82" s="8" t="s">
        <v>97</v>
      </c>
      <c r="B82" s="8" t="s">
        <v>31</v>
      </c>
      <c r="C82" s="8" t="s">
        <v>12</v>
      </c>
      <c r="D82" s="8" t="s">
        <v>101</v>
      </c>
      <c r="E82" s="15"/>
      <c r="F82" s="15"/>
      <c r="G82" s="15"/>
      <c r="H82" s="17">
        <v>5</v>
      </c>
      <c r="I82" s="17" t="s">
        <v>18</v>
      </c>
      <c r="J82" s="17" t="s">
        <v>102</v>
      </c>
    </row>
    <row r="83" spans="1:10" ht="27.95" customHeight="1">
      <c r="A83" s="8" t="s">
        <v>97</v>
      </c>
      <c r="B83" s="8" t="s">
        <v>88</v>
      </c>
      <c r="C83" s="8" t="s">
        <v>103</v>
      </c>
      <c r="D83" s="8" t="s">
        <v>104</v>
      </c>
      <c r="E83" s="9">
        <v>6115</v>
      </c>
      <c r="F83" s="9">
        <v>3669</v>
      </c>
      <c r="G83" s="9">
        <f>IF(OR(F83="",H83=""),"",F83*H83)</f>
        <v>18345</v>
      </c>
      <c r="H83" s="17">
        <v>5</v>
      </c>
      <c r="I83" s="17" t="s">
        <v>18</v>
      </c>
      <c r="J83" s="17" t="s">
        <v>28</v>
      </c>
    </row>
    <row r="84" spans="1:10" ht="27.95" customHeight="1">
      <c r="A84" s="10" t="s">
        <v>97</v>
      </c>
      <c r="B84" s="10" t="s">
        <v>19</v>
      </c>
      <c r="C84" s="10" t="s">
        <v>12</v>
      </c>
      <c r="D84" s="10" t="s">
        <v>74</v>
      </c>
      <c r="E84" s="12"/>
      <c r="F84" s="12"/>
      <c r="G84" s="12"/>
      <c r="H84" s="18"/>
      <c r="I84" s="18" t="s">
        <v>13</v>
      </c>
      <c r="J84" s="18" t="s">
        <v>39</v>
      </c>
    </row>
    <row r="85" spans="1:10" ht="27.95" customHeight="1">
      <c r="A85" s="13" t="s">
        <v>97</v>
      </c>
      <c r="B85" s="13" t="s">
        <v>40</v>
      </c>
      <c r="C85" s="13" t="s">
        <v>40</v>
      </c>
      <c r="D85" s="13" t="s">
        <v>41</v>
      </c>
      <c r="E85" s="14">
        <f ca="1">OFFSET(E85,1,2)</f>
        <v>0</v>
      </c>
      <c r="F85" s="14">
        <f ca="1">E85</f>
        <v>0</v>
      </c>
      <c r="G85" s="14">
        <f ca="1">F85*H85</f>
        <v>0</v>
      </c>
      <c r="H85" s="19">
        <v>1</v>
      </c>
      <c r="I85" s="19" t="s">
        <v>18</v>
      </c>
      <c r="J85" s="19" t="s">
        <v>40</v>
      </c>
    </row>
    <row r="86" spans="1:10" ht="27.95" customHeight="1">
      <c r="A86" s="13" t="s">
        <v>97</v>
      </c>
      <c r="B86" s="13" t="s">
        <v>42</v>
      </c>
      <c r="C86" s="13" t="s">
        <v>42</v>
      </c>
      <c r="D86" s="13" t="s">
        <v>43</v>
      </c>
      <c r="E86" s="14"/>
      <c r="F86" s="14">
        <v>100</v>
      </c>
      <c r="G86" s="14">
        <f>F86*H86</f>
        <v>0</v>
      </c>
      <c r="H86" s="19">
        <f>60*E86</f>
        <v>0</v>
      </c>
      <c r="I86" s="19" t="s">
        <v>18</v>
      </c>
      <c r="J86" s="19" t="s">
        <v>42</v>
      </c>
    </row>
    <row r="87" spans="1:10" ht="33.950000000000003" customHeight="1">
      <c r="A87" s="6" t="s">
        <v>105</v>
      </c>
      <c r="B87" s="6" t="s">
        <v>11</v>
      </c>
      <c r="C87" s="6" t="s">
        <v>12</v>
      </c>
      <c r="D87" s="6" t="s">
        <v>105</v>
      </c>
      <c r="E87" s="7"/>
      <c r="F87" s="7"/>
      <c r="G87" s="7">
        <f ca="1">IF(COUNT(G88:G95)=0,"",H87*SUM(G88:G95))</f>
        <v>996804.00000000012</v>
      </c>
      <c r="H87" s="16">
        <v>60</v>
      </c>
      <c r="I87" s="16" t="s">
        <v>13</v>
      </c>
      <c r="J87" s="16" t="s">
        <v>14</v>
      </c>
    </row>
    <row r="88" spans="1:10" ht="27.95" customHeight="1">
      <c r="A88" s="8" t="s">
        <v>105</v>
      </c>
      <c r="B88" s="8" t="s">
        <v>15</v>
      </c>
      <c r="C88" s="8" t="s">
        <v>12</v>
      </c>
      <c r="D88" s="8" t="s">
        <v>106</v>
      </c>
      <c r="E88" s="15"/>
      <c r="F88" s="15"/>
      <c r="G88" s="15"/>
      <c r="H88" s="17">
        <v>1</v>
      </c>
      <c r="I88" s="17" t="s">
        <v>18</v>
      </c>
      <c r="J88" s="17" t="s">
        <v>14</v>
      </c>
    </row>
    <row r="89" spans="1:10" ht="27.95" customHeight="1">
      <c r="A89" s="8" t="s">
        <v>105</v>
      </c>
      <c r="B89" s="8" t="s">
        <v>85</v>
      </c>
      <c r="C89" s="8" t="s">
        <v>99</v>
      </c>
      <c r="D89" s="8" t="s">
        <v>100</v>
      </c>
      <c r="E89" s="9">
        <v>1421</v>
      </c>
      <c r="F89" s="9">
        <v>852.6</v>
      </c>
      <c r="G89" s="9">
        <f>IF(OR(F89="",H89=""),"",F89*H89)</f>
        <v>852.6</v>
      </c>
      <c r="H89" s="17">
        <v>1</v>
      </c>
      <c r="I89" s="17" t="s">
        <v>18</v>
      </c>
      <c r="J89" s="17" t="s">
        <v>28</v>
      </c>
    </row>
    <row r="90" spans="1:10" ht="27.95" customHeight="1">
      <c r="A90" s="8" t="s">
        <v>105</v>
      </c>
      <c r="B90" s="8" t="s">
        <v>88</v>
      </c>
      <c r="C90" s="8" t="s">
        <v>107</v>
      </c>
      <c r="D90" s="8" t="s">
        <v>108</v>
      </c>
      <c r="E90" s="9">
        <v>5104</v>
      </c>
      <c r="F90" s="9">
        <v>3062.4</v>
      </c>
      <c r="G90" s="9">
        <f>IF(OR(F90="",H90=""),"",F90*H90)</f>
        <v>12249.6</v>
      </c>
      <c r="H90" s="17">
        <v>4</v>
      </c>
      <c r="I90" s="17" t="s">
        <v>18</v>
      </c>
      <c r="J90" s="17" t="s">
        <v>28</v>
      </c>
    </row>
    <row r="91" spans="1:10" ht="27.95" customHeight="1">
      <c r="A91" s="8" t="s">
        <v>105</v>
      </c>
      <c r="B91" s="8" t="s">
        <v>88</v>
      </c>
      <c r="C91" s="8" t="s">
        <v>109</v>
      </c>
      <c r="D91" s="8" t="s">
        <v>110</v>
      </c>
      <c r="E91" s="9">
        <v>5069</v>
      </c>
      <c r="F91" s="9">
        <v>3041.4</v>
      </c>
      <c r="G91" s="9">
        <f>IF(OR(F91="",H91=""),"",F91*H91)</f>
        <v>3041.4</v>
      </c>
      <c r="H91" s="17">
        <v>1</v>
      </c>
      <c r="I91" s="17" t="s">
        <v>18</v>
      </c>
      <c r="J91" s="17" t="s">
        <v>28</v>
      </c>
    </row>
    <row r="92" spans="1:10" ht="27.95" customHeight="1">
      <c r="A92" s="8" t="s">
        <v>105</v>
      </c>
      <c r="B92" s="8" t="s">
        <v>34</v>
      </c>
      <c r="C92" s="8" t="s">
        <v>82</v>
      </c>
      <c r="D92" s="8" t="s">
        <v>83</v>
      </c>
      <c r="E92" s="9">
        <v>783</v>
      </c>
      <c r="F92" s="9">
        <v>469.8</v>
      </c>
      <c r="G92" s="9">
        <f>IF(OR(F92="",H92=""),"",F92*H92)</f>
        <v>469.8</v>
      </c>
      <c r="H92" s="17">
        <v>1</v>
      </c>
      <c r="I92" s="17" t="s">
        <v>18</v>
      </c>
      <c r="J92" s="17" t="s">
        <v>28</v>
      </c>
    </row>
    <row r="93" spans="1:10" ht="27.95" customHeight="1">
      <c r="A93" s="10" t="s">
        <v>105</v>
      </c>
      <c r="B93" s="10" t="s">
        <v>19</v>
      </c>
      <c r="C93" s="10" t="s">
        <v>12</v>
      </c>
      <c r="D93" s="10" t="s">
        <v>111</v>
      </c>
      <c r="E93" s="12"/>
      <c r="F93" s="12"/>
      <c r="G93" s="12"/>
      <c r="H93" s="18"/>
      <c r="I93" s="18" t="s">
        <v>13</v>
      </c>
      <c r="J93" s="18" t="s">
        <v>39</v>
      </c>
    </row>
    <row r="94" spans="1:10" ht="27.95" customHeight="1">
      <c r="A94" s="13" t="s">
        <v>105</v>
      </c>
      <c r="B94" s="13" t="s">
        <v>40</v>
      </c>
      <c r="C94" s="13" t="s">
        <v>40</v>
      </c>
      <c r="D94" s="13" t="s">
        <v>41</v>
      </c>
      <c r="E94" s="14">
        <f ca="1">OFFSET(E94,1,2)</f>
        <v>0</v>
      </c>
      <c r="F94" s="14">
        <f ca="1">E94</f>
        <v>0</v>
      </c>
      <c r="G94" s="14">
        <f ca="1">F94*H94</f>
        <v>0</v>
      </c>
      <c r="H94" s="19">
        <v>1</v>
      </c>
      <c r="I94" s="19" t="s">
        <v>18</v>
      </c>
      <c r="J94" s="19" t="s">
        <v>40</v>
      </c>
    </row>
    <row r="95" spans="1:10" ht="27.95" customHeight="1">
      <c r="A95" s="13" t="s">
        <v>105</v>
      </c>
      <c r="B95" s="13" t="s">
        <v>42</v>
      </c>
      <c r="C95" s="13" t="s">
        <v>42</v>
      </c>
      <c r="D95" s="13" t="s">
        <v>43</v>
      </c>
      <c r="E95" s="14"/>
      <c r="F95" s="14">
        <v>100</v>
      </c>
      <c r="G95" s="14">
        <f>F95*H95</f>
        <v>0</v>
      </c>
      <c r="H95" s="19">
        <f>60*E95</f>
        <v>0</v>
      </c>
      <c r="I95" s="19" t="s">
        <v>18</v>
      </c>
      <c r="J95" s="19" t="s">
        <v>42</v>
      </c>
    </row>
    <row r="96" spans="1:10" ht="33.950000000000003" customHeight="1">
      <c r="A96" s="6" t="s">
        <v>112</v>
      </c>
      <c r="B96" s="6" t="s">
        <v>11</v>
      </c>
      <c r="C96" s="6" t="s">
        <v>12</v>
      </c>
      <c r="D96" s="6" t="s">
        <v>112</v>
      </c>
      <c r="E96" s="7"/>
      <c r="F96" s="7"/>
      <c r="G96" s="7">
        <f ca="1">IF(COUNT(G97:G107)=0,"",H96*SUM(G97:G107))</f>
        <v>8611.2000000000007</v>
      </c>
      <c r="H96" s="16">
        <v>1</v>
      </c>
      <c r="I96" s="16" t="s">
        <v>13</v>
      </c>
      <c r="J96" s="16" t="s">
        <v>14</v>
      </c>
    </row>
    <row r="97" spans="1:10" ht="27.95" customHeight="1">
      <c r="A97" s="8" t="s">
        <v>112</v>
      </c>
      <c r="B97" s="8" t="s">
        <v>15</v>
      </c>
      <c r="C97" s="8" t="s">
        <v>12</v>
      </c>
      <c r="D97" s="8" t="s">
        <v>113</v>
      </c>
      <c r="E97" s="15"/>
      <c r="F97" s="15"/>
      <c r="G97" s="15"/>
      <c r="H97" s="17">
        <v>1</v>
      </c>
      <c r="I97" s="17" t="s">
        <v>18</v>
      </c>
      <c r="J97" s="17" t="s">
        <v>14</v>
      </c>
    </row>
    <row r="98" spans="1:10" ht="27.95" customHeight="1">
      <c r="A98" s="8" t="s">
        <v>112</v>
      </c>
      <c r="B98" s="8" t="s">
        <v>88</v>
      </c>
      <c r="C98" s="8" t="s">
        <v>109</v>
      </c>
      <c r="D98" s="8" t="s">
        <v>110</v>
      </c>
      <c r="E98" s="9">
        <v>5069</v>
      </c>
      <c r="F98" s="9">
        <v>3041.4</v>
      </c>
      <c r="G98" s="9">
        <f>IF(OR(F98="",H98=""),"",F98*H98)</f>
        <v>3041.4</v>
      </c>
      <c r="H98" s="17">
        <v>1</v>
      </c>
      <c r="I98" s="17" t="s">
        <v>18</v>
      </c>
      <c r="J98" s="17" t="s">
        <v>28</v>
      </c>
    </row>
    <row r="99" spans="1:10" ht="27.95" customHeight="1">
      <c r="A99" s="8" t="s">
        <v>112</v>
      </c>
      <c r="B99" s="8" t="s">
        <v>76</v>
      </c>
      <c r="C99" s="8" t="s">
        <v>77</v>
      </c>
      <c r="D99" s="8" t="s">
        <v>78</v>
      </c>
      <c r="E99" s="9">
        <v>6032</v>
      </c>
      <c r="F99" s="9">
        <v>3619.2</v>
      </c>
      <c r="G99" s="9">
        <f>IF(OR(F99="",H99=""),"",F99*H99)</f>
        <v>3619.2</v>
      </c>
      <c r="H99" s="17">
        <v>1</v>
      </c>
      <c r="I99" s="17" t="s">
        <v>18</v>
      </c>
      <c r="J99" s="17" t="s">
        <v>28</v>
      </c>
    </row>
    <row r="100" spans="1:10" ht="27.95" customHeight="1">
      <c r="A100" s="8" t="s">
        <v>112</v>
      </c>
      <c r="B100" s="8" t="s">
        <v>34</v>
      </c>
      <c r="C100" s="8" t="s">
        <v>82</v>
      </c>
      <c r="D100" s="8" t="s">
        <v>114</v>
      </c>
      <c r="E100" s="9">
        <v>783</v>
      </c>
      <c r="F100" s="9">
        <v>469.8</v>
      </c>
      <c r="G100" s="9">
        <f>IF(OR(F100="",H100=""),"",F100*H100)</f>
        <v>469.8</v>
      </c>
      <c r="H100" s="17">
        <v>1</v>
      </c>
      <c r="I100" s="17" t="s">
        <v>18</v>
      </c>
      <c r="J100" s="17" t="s">
        <v>28</v>
      </c>
    </row>
    <row r="101" spans="1:10" ht="27.95" customHeight="1">
      <c r="A101" s="8" t="s">
        <v>112</v>
      </c>
      <c r="B101" s="8" t="s">
        <v>34</v>
      </c>
      <c r="C101" s="8" t="s">
        <v>93</v>
      </c>
      <c r="D101" s="8" t="s">
        <v>94</v>
      </c>
      <c r="E101" s="9">
        <v>783</v>
      </c>
      <c r="F101" s="9">
        <v>469.8</v>
      </c>
      <c r="G101" s="9">
        <f>IF(OR(F101="",H101=""),"",F101*H101)</f>
        <v>939.6</v>
      </c>
      <c r="H101" s="17">
        <v>2</v>
      </c>
      <c r="I101" s="17" t="s">
        <v>18</v>
      </c>
      <c r="J101" s="17" t="s">
        <v>28</v>
      </c>
    </row>
    <row r="102" spans="1:10" ht="27.95" customHeight="1">
      <c r="A102" s="8" t="s">
        <v>112</v>
      </c>
      <c r="B102" s="8" t="s">
        <v>34</v>
      </c>
      <c r="C102" s="8" t="s">
        <v>35</v>
      </c>
      <c r="D102" s="8" t="s">
        <v>36</v>
      </c>
      <c r="E102" s="9">
        <v>902</v>
      </c>
      <c r="F102" s="9">
        <v>541.20000000000005</v>
      </c>
      <c r="G102" s="9">
        <f>IF(OR(F102="",H102=""),"",F102*H102)</f>
        <v>541.20000000000005</v>
      </c>
      <c r="H102" s="17">
        <v>1</v>
      </c>
      <c r="I102" s="17" t="s">
        <v>18</v>
      </c>
      <c r="J102" s="17" t="s">
        <v>28</v>
      </c>
    </row>
    <row r="103" spans="1:10" ht="27.95" customHeight="1">
      <c r="A103" s="8" t="s">
        <v>112</v>
      </c>
      <c r="B103" s="8" t="s">
        <v>115</v>
      </c>
      <c r="C103" s="8" t="s">
        <v>12</v>
      </c>
      <c r="D103" s="8" t="s">
        <v>116</v>
      </c>
      <c r="E103" s="15"/>
      <c r="F103" s="15"/>
      <c r="G103" s="15"/>
      <c r="H103" s="17">
        <v>1</v>
      </c>
      <c r="I103" s="17" t="s">
        <v>18</v>
      </c>
      <c r="J103" s="17" t="s">
        <v>102</v>
      </c>
    </row>
    <row r="104" spans="1:10" ht="27.95" customHeight="1">
      <c r="A104" s="8" t="s">
        <v>112</v>
      </c>
      <c r="B104" s="8" t="s">
        <v>117</v>
      </c>
      <c r="C104" s="8" t="s">
        <v>12</v>
      </c>
      <c r="D104" s="8" t="s">
        <v>118</v>
      </c>
      <c r="E104" s="15"/>
      <c r="F104" s="15"/>
      <c r="G104" s="15"/>
      <c r="H104" s="17">
        <v>2</v>
      </c>
      <c r="I104" s="17" t="s">
        <v>18</v>
      </c>
      <c r="J104" s="17" t="s">
        <v>119</v>
      </c>
    </row>
    <row r="105" spans="1:10" ht="27.95" customHeight="1">
      <c r="A105" s="10" t="s">
        <v>112</v>
      </c>
      <c r="B105" s="10" t="s">
        <v>19</v>
      </c>
      <c r="C105" s="10" t="s">
        <v>12</v>
      </c>
      <c r="D105" s="10" t="s">
        <v>120</v>
      </c>
      <c r="E105" s="12"/>
      <c r="F105" s="12"/>
      <c r="G105" s="12"/>
      <c r="H105" s="18"/>
      <c r="I105" s="18" t="s">
        <v>13</v>
      </c>
      <c r="J105" s="18" t="s">
        <v>39</v>
      </c>
    </row>
    <row r="106" spans="1:10" ht="27.95" customHeight="1">
      <c r="A106" s="13" t="s">
        <v>112</v>
      </c>
      <c r="B106" s="13" t="s">
        <v>40</v>
      </c>
      <c r="C106" s="13" t="s">
        <v>40</v>
      </c>
      <c r="D106" s="13" t="s">
        <v>41</v>
      </c>
      <c r="E106" s="14">
        <f ca="1">OFFSET(E106,1,2)</f>
        <v>0</v>
      </c>
      <c r="F106" s="14">
        <f ca="1">E106</f>
        <v>0</v>
      </c>
      <c r="G106" s="14">
        <f ca="1">F106*H106</f>
        <v>0</v>
      </c>
      <c r="H106" s="19">
        <v>1</v>
      </c>
      <c r="I106" s="19" t="s">
        <v>18</v>
      </c>
      <c r="J106" s="19" t="s">
        <v>40</v>
      </c>
    </row>
    <row r="107" spans="1:10" ht="27.95" customHeight="1">
      <c r="A107" s="13" t="s">
        <v>112</v>
      </c>
      <c r="B107" s="13" t="s">
        <v>42</v>
      </c>
      <c r="C107" s="13" t="s">
        <v>42</v>
      </c>
      <c r="D107" s="13" t="s">
        <v>43</v>
      </c>
      <c r="E107" s="14"/>
      <c r="F107" s="14">
        <v>100</v>
      </c>
      <c r="G107" s="14">
        <f>F107*H107</f>
        <v>0</v>
      </c>
      <c r="H107" s="19">
        <f>60*E107</f>
        <v>0</v>
      </c>
      <c r="I107" s="19" t="s">
        <v>18</v>
      </c>
      <c r="J107" s="19" t="s">
        <v>42</v>
      </c>
    </row>
    <row r="108" spans="1:10" ht="33.950000000000003" customHeight="1">
      <c r="A108" s="6" t="s">
        <v>121</v>
      </c>
      <c r="B108" s="6" t="s">
        <v>11</v>
      </c>
      <c r="C108" s="6" t="s">
        <v>12</v>
      </c>
      <c r="D108" s="6" t="s">
        <v>121</v>
      </c>
      <c r="E108" s="7"/>
      <c r="F108" s="7"/>
      <c r="G108" s="7">
        <f ca="1">IF(COUNT(G109:G111)=0,"",H108*SUM(G109:G111))</f>
        <v>0</v>
      </c>
      <c r="H108" s="16">
        <v>1</v>
      </c>
      <c r="I108" s="16" t="s">
        <v>13</v>
      </c>
      <c r="J108" s="16" t="s">
        <v>122</v>
      </c>
    </row>
    <row r="109" spans="1:10" ht="27.95" customHeight="1">
      <c r="A109" s="8" t="s">
        <v>121</v>
      </c>
      <c r="B109" s="8" t="s">
        <v>15</v>
      </c>
      <c r="C109" s="8" t="s">
        <v>123</v>
      </c>
      <c r="D109" s="8" t="s">
        <v>124</v>
      </c>
      <c r="E109" s="15"/>
      <c r="F109" s="15"/>
      <c r="G109" s="15"/>
      <c r="H109" s="17">
        <v>1</v>
      </c>
      <c r="I109" s="17" t="s">
        <v>13</v>
      </c>
      <c r="J109" s="17" t="s">
        <v>102</v>
      </c>
    </row>
    <row r="110" spans="1:10" ht="27.95" customHeight="1">
      <c r="A110" s="13" t="s">
        <v>121</v>
      </c>
      <c r="B110" s="13" t="s">
        <v>40</v>
      </c>
      <c r="C110" s="13" t="s">
        <v>40</v>
      </c>
      <c r="D110" s="13" t="s">
        <v>41</v>
      </c>
      <c r="E110" s="14">
        <f ca="1">OFFSET(E110,1,2)</f>
        <v>0</v>
      </c>
      <c r="F110" s="14">
        <f ca="1">E110</f>
        <v>0</v>
      </c>
      <c r="G110" s="14">
        <f ca="1">F110*H110</f>
        <v>0</v>
      </c>
      <c r="H110" s="19">
        <v>1</v>
      </c>
      <c r="I110" s="19" t="s">
        <v>18</v>
      </c>
      <c r="J110" s="19" t="s">
        <v>40</v>
      </c>
    </row>
    <row r="111" spans="1:10" ht="27.95" customHeight="1">
      <c r="A111" s="13" t="s">
        <v>121</v>
      </c>
      <c r="B111" s="13" t="s">
        <v>42</v>
      </c>
      <c r="C111" s="13" t="s">
        <v>42</v>
      </c>
      <c r="D111" s="13" t="s">
        <v>125</v>
      </c>
      <c r="E111" s="14"/>
      <c r="F111" s="14">
        <v>100</v>
      </c>
      <c r="G111" s="14">
        <f>F111*H111</f>
        <v>0</v>
      </c>
      <c r="H111" s="19">
        <f>60*E111</f>
        <v>0</v>
      </c>
      <c r="I111" s="19" t="s">
        <v>18</v>
      </c>
      <c r="J111" s="19" t="s">
        <v>42</v>
      </c>
    </row>
    <row r="112" spans="1:10" ht="33.950000000000003" customHeight="1">
      <c r="A112" s="6" t="s">
        <v>126</v>
      </c>
      <c r="B112" s="6" t="s">
        <v>11</v>
      </c>
      <c r="C112" s="6" t="s">
        <v>12</v>
      </c>
      <c r="D112" s="6" t="s">
        <v>126</v>
      </c>
      <c r="E112" s="7"/>
      <c r="F112" s="7"/>
      <c r="G112" s="7">
        <f ca="1">IF(COUNT(G113:G115)=0,"",H112*SUM(G113:G115))</f>
        <v>0</v>
      </c>
      <c r="H112" s="16">
        <v>3</v>
      </c>
      <c r="I112" s="16" t="s">
        <v>13</v>
      </c>
      <c r="J112" s="16" t="s">
        <v>122</v>
      </c>
    </row>
    <row r="113" spans="1:10" ht="27.95" customHeight="1">
      <c r="A113" s="8" t="s">
        <v>126</v>
      </c>
      <c r="B113" s="8" t="s">
        <v>15</v>
      </c>
      <c r="C113" s="8" t="s">
        <v>12</v>
      </c>
      <c r="D113" s="8" t="s">
        <v>127</v>
      </c>
      <c r="E113" s="15"/>
      <c r="F113" s="15"/>
      <c r="G113" s="15"/>
      <c r="H113" s="17">
        <v>1</v>
      </c>
      <c r="I113" s="17" t="s">
        <v>13</v>
      </c>
      <c r="J113" s="17" t="s">
        <v>102</v>
      </c>
    </row>
    <row r="114" spans="1:10" ht="27.95" customHeight="1">
      <c r="A114" s="13" t="s">
        <v>126</v>
      </c>
      <c r="B114" s="13" t="s">
        <v>40</v>
      </c>
      <c r="C114" s="13" t="s">
        <v>40</v>
      </c>
      <c r="D114" s="13" t="s">
        <v>41</v>
      </c>
      <c r="E114" s="14">
        <f ca="1">OFFSET(E114,1,2)</f>
        <v>0</v>
      </c>
      <c r="F114" s="14">
        <f ca="1">E114</f>
        <v>0</v>
      </c>
      <c r="G114" s="14">
        <f ca="1">F114*H114</f>
        <v>0</v>
      </c>
      <c r="H114" s="19">
        <v>1</v>
      </c>
      <c r="I114" s="19" t="s">
        <v>18</v>
      </c>
      <c r="J114" s="19" t="s">
        <v>40</v>
      </c>
    </row>
    <row r="115" spans="1:10" ht="27.95" customHeight="1">
      <c r="A115" s="13" t="s">
        <v>126</v>
      </c>
      <c r="B115" s="13" t="s">
        <v>42</v>
      </c>
      <c r="C115" s="13" t="s">
        <v>42</v>
      </c>
      <c r="D115" s="13" t="s">
        <v>125</v>
      </c>
      <c r="E115" s="14"/>
      <c r="F115" s="14">
        <v>100</v>
      </c>
      <c r="G115" s="14">
        <f>F115*H115</f>
        <v>0</v>
      </c>
      <c r="H115" s="19">
        <f>60*E115</f>
        <v>0</v>
      </c>
      <c r="I115" s="19" t="s">
        <v>18</v>
      </c>
      <c r="J115" s="19" t="s">
        <v>42</v>
      </c>
    </row>
  </sheetData>
  <autoFilter ref="A1:J11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25"/>
  <cols>
    <col min="1" max="1" width="7" customWidth="1"/>
    <col min="2" max="2" width="24" customWidth="1"/>
    <col min="3" max="3" width="48" customWidth="1"/>
    <col min="4" max="4" width="58" customWidth="1"/>
    <col min="5" max="5" width="24" customWidth="1"/>
    <col min="6" max="6" width="28" customWidth="1"/>
  </cols>
  <sheetData>
    <row r="1" spans="1:6" ht="18">
      <c r="A1" s="2" t="s">
        <v>128</v>
      </c>
      <c r="B1" s="2" t="s">
        <v>129</v>
      </c>
      <c r="C1" s="2" t="s">
        <v>130</v>
      </c>
      <c r="D1" s="2" t="s">
        <v>131</v>
      </c>
      <c r="E1" s="2" t="s">
        <v>132</v>
      </c>
      <c r="F1" s="2" t="s">
        <v>133</v>
      </c>
    </row>
    <row r="2" spans="1:6" ht="51.95" customHeight="1">
      <c r="A2" s="1">
        <v>1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</row>
    <row r="3" spans="1:6" ht="51.95" customHeight="1">
      <c r="A3" s="3">
        <v>2</v>
      </c>
      <c r="B3" s="3" t="s">
        <v>139</v>
      </c>
      <c r="C3" s="3" t="s">
        <v>140</v>
      </c>
      <c r="D3" s="3" t="s">
        <v>141</v>
      </c>
      <c r="E3" s="3" t="s">
        <v>142</v>
      </c>
      <c r="F3" s="3" t="s">
        <v>143</v>
      </c>
    </row>
    <row r="4" spans="1:6" ht="51.95" customHeight="1">
      <c r="A4" s="3">
        <v>3</v>
      </c>
      <c r="B4" s="3" t="s">
        <v>139</v>
      </c>
      <c r="C4" s="3" t="s">
        <v>144</v>
      </c>
      <c r="D4" s="3" t="s">
        <v>145</v>
      </c>
      <c r="E4" s="3" t="s">
        <v>146</v>
      </c>
      <c r="F4" s="3" t="s">
        <v>143</v>
      </c>
    </row>
    <row r="5" spans="1:6" ht="51.95" customHeight="1">
      <c r="A5" s="3">
        <v>4</v>
      </c>
      <c r="B5" s="3" t="s">
        <v>147</v>
      </c>
      <c r="C5" s="3" t="s">
        <v>148</v>
      </c>
      <c r="D5" s="3" t="s">
        <v>149</v>
      </c>
      <c r="E5" s="3" t="s">
        <v>150</v>
      </c>
      <c r="F5" s="3" t="s">
        <v>143</v>
      </c>
    </row>
    <row r="6" spans="1:6" ht="51.95" customHeight="1">
      <c r="A6" s="3">
        <v>5</v>
      </c>
      <c r="B6" s="3" t="s">
        <v>75</v>
      </c>
      <c r="C6" s="3" t="s">
        <v>151</v>
      </c>
      <c r="D6" s="3" t="s">
        <v>152</v>
      </c>
      <c r="E6" s="3" t="s">
        <v>153</v>
      </c>
      <c r="F6" s="3" t="s">
        <v>143</v>
      </c>
    </row>
    <row r="7" spans="1:6" ht="51.95" customHeight="1">
      <c r="A7" s="1">
        <v>6</v>
      </c>
      <c r="B7" s="1" t="s">
        <v>95</v>
      </c>
      <c r="C7" s="1" t="s">
        <v>154</v>
      </c>
      <c r="D7" s="1" t="s">
        <v>155</v>
      </c>
      <c r="E7" s="1" t="s">
        <v>156</v>
      </c>
      <c r="F7" s="1" t="s">
        <v>138</v>
      </c>
    </row>
    <row r="8" spans="1:6" ht="51.95" customHeight="1">
      <c r="A8" s="3">
        <v>7</v>
      </c>
      <c r="B8" s="3" t="s">
        <v>97</v>
      </c>
      <c r="C8" s="3" t="s">
        <v>157</v>
      </c>
      <c r="D8" s="3" t="s">
        <v>158</v>
      </c>
      <c r="E8" s="3" t="s">
        <v>159</v>
      </c>
      <c r="F8" s="3" t="s">
        <v>143</v>
      </c>
    </row>
    <row r="9" spans="1:6" ht="51.95" customHeight="1">
      <c r="A9" s="3">
        <v>8</v>
      </c>
      <c r="B9" s="3" t="s">
        <v>112</v>
      </c>
      <c r="C9" s="3" t="s">
        <v>160</v>
      </c>
      <c r="D9" s="3" t="s">
        <v>161</v>
      </c>
      <c r="E9" s="3" t="s">
        <v>162</v>
      </c>
      <c r="F9" s="3" t="s">
        <v>143</v>
      </c>
    </row>
    <row r="10" spans="1:6" ht="51.95" customHeight="1">
      <c r="A10" s="1">
        <v>9</v>
      </c>
      <c r="B10" s="1" t="s">
        <v>112</v>
      </c>
      <c r="C10" s="1" t="s">
        <v>163</v>
      </c>
      <c r="D10" s="1" t="s">
        <v>164</v>
      </c>
      <c r="E10" s="1" t="s">
        <v>162</v>
      </c>
      <c r="F10" s="1" t="s">
        <v>138</v>
      </c>
    </row>
    <row r="11" spans="1:6" ht="51.95" customHeight="1">
      <c r="A11" s="3">
        <v>10</v>
      </c>
      <c r="B11" s="3" t="s">
        <v>121</v>
      </c>
      <c r="C11" s="3" t="s">
        <v>165</v>
      </c>
      <c r="D11" s="3" t="s">
        <v>166</v>
      </c>
      <c r="E11" s="3" t="s">
        <v>167</v>
      </c>
      <c r="F11" s="3" t="s">
        <v>143</v>
      </c>
    </row>
    <row r="12" spans="1:6" ht="51.95" customHeight="1">
      <c r="A12" s="3">
        <v>11</v>
      </c>
      <c r="B12" s="3" t="s">
        <v>126</v>
      </c>
      <c r="C12" s="3" t="s">
        <v>168</v>
      </c>
      <c r="D12" s="3" t="s">
        <v>169</v>
      </c>
      <c r="E12" s="3" t="s">
        <v>170</v>
      </c>
      <c r="F12" s="3" t="s">
        <v>143</v>
      </c>
    </row>
    <row r="13" spans="1:6" ht="51.95" customHeight="1">
      <c r="A13" s="1">
        <v>12</v>
      </c>
      <c r="B13" s="1" t="s">
        <v>171</v>
      </c>
      <c r="C13" s="1" t="s">
        <v>172</v>
      </c>
      <c r="D13" s="1" t="s">
        <v>173</v>
      </c>
      <c r="E13" s="1" t="s">
        <v>174</v>
      </c>
      <c r="F13" s="1" t="s">
        <v>175</v>
      </c>
    </row>
    <row r="14" spans="1:6" ht="51.95" customHeight="1">
      <c r="A14" s="1">
        <v>13</v>
      </c>
      <c r="B14" s="1" t="s">
        <v>176</v>
      </c>
      <c r="C14" s="1" t="s">
        <v>177</v>
      </c>
      <c r="D14" s="1" t="s">
        <v>178</v>
      </c>
      <c r="E14" s="1" t="s">
        <v>179</v>
      </c>
      <c r="F14" s="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BOM_DUZELTILMIS</vt:lpstr>
      <vt:lpstr>Kontrol_Notlari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created xsi:type="dcterms:W3CDTF">2026-07-23T06:35:37Z</dcterms:created>
  <dcterms:modified xsi:type="dcterms:W3CDTF">2026-07-23T06:35:37Z</dcterms:modified>
</cp:coreProperties>
</file>