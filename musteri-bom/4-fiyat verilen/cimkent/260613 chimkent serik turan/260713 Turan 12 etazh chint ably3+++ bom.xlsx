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13 chimkent serik turan\"/>
    </mc:Choice>
  </mc:AlternateContent>
  <xr:revisionPtr revIDLastSave="0" documentId="13_ncr:1_{EC5575C2-AC14-4E97-84E1-353E0151E8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Sayfa1!$A$1:$J$35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2" l="1"/>
  <c r="G34" i="2" s="1"/>
  <c r="E33" i="2" s="1"/>
  <c r="F33" i="2" s="1"/>
  <c r="G33" i="2" s="1"/>
  <c r="F26" i="2"/>
  <c r="F14" i="2"/>
  <c r="H23" i="2"/>
  <c r="G23" i="2" s="1"/>
  <c r="E22" i="2" s="1"/>
  <c r="F22" i="2" s="1"/>
  <c r="F3" i="2"/>
  <c r="F32" i="2" l="1"/>
  <c r="F28" i="2"/>
  <c r="F15" i="2"/>
  <c r="G15" i="2" s="1"/>
  <c r="F9" i="2"/>
  <c r="F5" i="2"/>
  <c r="G5" i="2" s="1"/>
  <c r="F4" i="2"/>
  <c r="F21" i="2"/>
  <c r="F20" i="2"/>
  <c r="F17" i="2"/>
  <c r="F16" i="2"/>
  <c r="F19" i="2"/>
  <c r="F18" i="2"/>
  <c r="A13" i="2"/>
  <c r="F27" i="2"/>
  <c r="F31" i="2"/>
  <c r="F30" i="2"/>
  <c r="F29" i="2"/>
  <c r="A25" i="2"/>
  <c r="F8" i="2"/>
  <c r="F7" i="2"/>
  <c r="F6" i="2"/>
  <c r="A2" i="2"/>
  <c r="G21" i="2" l="1"/>
  <c r="G20" i="2"/>
  <c r="G17" i="2"/>
  <c r="G16" i="2"/>
  <c r="G22" i="2"/>
  <c r="G19" i="2"/>
  <c r="G18" i="2"/>
  <c r="G14" i="2"/>
  <c r="A14" i="2"/>
  <c r="G27" i="2"/>
  <c r="G32" i="2"/>
  <c r="G31" i="2"/>
  <c r="G30" i="2"/>
  <c r="G29" i="2"/>
  <c r="G28" i="2"/>
  <c r="G26" i="2"/>
  <c r="A26" i="2"/>
  <c r="A27" i="2" s="1"/>
  <c r="A28" i="2" s="1"/>
  <c r="A29" i="2" s="1"/>
  <c r="A30" i="2" s="1"/>
  <c r="A31" i="2" s="1"/>
  <c r="A32" i="2" s="1"/>
  <c r="A33" i="2" s="1"/>
  <c r="A34" i="2" s="1"/>
  <c r="A35" i="2" s="1"/>
  <c r="G9" i="2"/>
  <c r="G8" i="2"/>
  <c r="G7" i="2"/>
  <c r="G6" i="2"/>
  <c r="G4" i="2"/>
  <c r="G3" i="2"/>
  <c r="A3" i="2"/>
  <c r="A4" i="2" s="1"/>
  <c r="A15" i="2" l="1"/>
  <c r="A16" i="2"/>
  <c r="A17" i="2" s="1"/>
  <c r="A18" i="2" s="1"/>
  <c r="A19" i="2" s="1"/>
  <c r="A20" i="2" s="1"/>
  <c r="A21" i="2" s="1"/>
  <c r="A22" i="2" s="1"/>
  <c r="A23" i="2" s="1"/>
  <c r="A24" i="2" s="1"/>
  <c r="A6" i="2"/>
  <c r="A7" i="2" s="1"/>
  <c r="A8" i="2" s="1"/>
  <c r="A9" i="2" s="1"/>
  <c r="A10" i="2" s="1"/>
  <c r="A11" i="2" s="1"/>
  <c r="A12" i="2" s="1"/>
  <c r="A5" i="2"/>
  <c r="G24" i="2"/>
  <c r="G13" i="2" s="1"/>
  <c r="G35" i="2"/>
  <c r="G25" i="2" s="1"/>
  <c r="H11" i="2" l="1"/>
  <c r="G11" i="2" l="1"/>
  <c r="E10" i="2" l="1"/>
  <c r="F10" i="2" s="1"/>
  <c r="G10" i="2" s="1"/>
  <c r="G12" i="2" s="1"/>
  <c r="G2" i="2" s="1"/>
</calcChain>
</file>

<file path=xl/sharedStrings.xml><?xml version="1.0" encoding="utf-8"?>
<sst xmlns="http://schemas.openxmlformats.org/spreadsheetml/2006/main" count="157" uniqueCount="56">
  <si>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</si>
  <si>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</si>
  <si>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</si>
  <si>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</si>
  <si>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</si>
  <si>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</si>
  <si>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</si>
  <si>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</si>
  <si>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</si>
  <si>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</si>
  <si>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</si>
  <si>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</si>
  <si>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</si>
  <si>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</si>
  <si>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</si>
  <si>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</si>
  <si>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</si>
  <si>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</si>
  <si>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296708</t>
  </si>
  <si>
    <t>pys</t>
  </si>
  <si>
    <t>521367</t>
  </si>
  <si>
    <t>Держатель плавкой вставки RT36-1-250, габарит 1, 250А</t>
  </si>
  <si>
    <t>Авт. выкл. NXB-63S 1P 6А 4.5kA х-ка C ®</t>
  </si>
  <si>
    <t>tt</t>
  </si>
  <si>
    <t>condencator</t>
  </si>
  <si>
    <t>521188</t>
  </si>
  <si>
    <t>Плавкая вставка предохранителя RT36-1-250, габарит 1, 200А</t>
  </si>
  <si>
    <t>ppn</t>
  </si>
  <si>
    <t>condencator К73-57 0,47мкФ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</si>
  <si>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</si>
  <si>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</si>
  <si>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</si>
  <si>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</si>
  <si>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256781</t>
  </si>
  <si>
    <t>Устройство автоматического ввода резерва NXZM-125S/3B 100A (R)</t>
  </si>
  <si>
    <t>ats</t>
  </si>
  <si>
    <t>521236</t>
  </si>
  <si>
    <t>Плавкая вставка предохранителя RT36-0-160, габарит 0, 160А</t>
  </si>
  <si>
    <t>521366</t>
  </si>
  <si>
    <t>Держатель плавкой вставки RT36-0-160, габарит 0, 160А</t>
  </si>
  <si>
    <t>521338</t>
  </si>
  <si>
    <t>Плавкая вставка предохранителя RT36-00-160, габарит 00, 16А</t>
  </si>
  <si>
    <t>521341</t>
  </si>
  <si>
    <t>Плавкая вставка предохранителя RT36-00-160, габарит 00, 32А</t>
  </si>
  <si>
    <t xml:space="preserve">ВРУ-1  (ВРУ1-11-10)(без счетчика) </t>
  </si>
  <si>
    <t>719-15043</t>
  </si>
  <si>
    <t>ITT20-2-05-0200</t>
  </si>
  <si>
    <t xml:space="preserve"> Трансформатор тока ТТИ-30  200/5А 5ВА 0,5 IEK E-PRO</t>
  </si>
  <si>
    <t>ВРУ-3 (ВРУ1-17-70) (без счетчика)</t>
  </si>
  <si>
    <t>rubilnik</t>
  </si>
  <si>
    <t>Мет. Щит ВРУ 1700х800х450+10CM База</t>
  </si>
  <si>
    <t>ВРУ-2 (ВРУ1-48-03)</t>
  </si>
  <si>
    <t>270100161_</t>
  </si>
  <si>
    <t>Рубильник ВР-32-37  В71250-400А на 2 направления (+6камер) UNIT (1/6)</t>
  </si>
  <si>
    <t>719-15437</t>
  </si>
  <si>
    <t>Мет.Корпус Щит (1600x600x400+10см база)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</si>
</sst>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J35"/>
  <sheetViews>
    <sheetView tabSelected="1" zoomScale="130" zoomScaleNormal="130" workbookViewId="0">
      <pane ySplit="1" topLeftCell="A2" activePane="bottomLeft" state="frozen"/>
      <selection pane="bottomLeft" activeCell="D37" sqref="D37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0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</row>
    <row r="2" spans="1:10" ht="39.75" customHeight="1" x14ac:dyDescent="0.25">
      <c r="A2" s="5" t="str">
        <f>D2</f>
        <v xml:space="preserve">ВРУ-1  (ВРУ1-11-10)(без счетчика) </v>
      </c>
      <c r="B2" s="6"/>
      <c r="C2" s="7"/>
      <c r="D2" s="6" t="s">
        <v>44</v>
      </c>
      <c r="E2" s="8"/>
      <c r="F2" s="8"/>
      <c r="G2" s="9">
        <f ca="1">H2*G12</f>
        <v>302807.59999999998</v>
      </c>
      <c r="H2" s="10">
        <v>1</v>
      </c>
      <c r="I2" s="11" t="s">
        <v>7</v>
      </c>
      <c r="J2" s="6" t="s">
        <v>9</v>
      </c>
    </row>
    <row r="3" spans="1:10" ht="21" customHeight="1" x14ac:dyDescent="0.25">
      <c r="A3" s="12" t="str">
        <f>A2</f>
        <v xml:space="preserve">ВРУ-1  (ВРУ1-11-10)(без счетчика) </v>
      </c>
      <c r="B3" s="13" t="s">
        <v>8</v>
      </c>
      <c r="C3" s="14" t="s">
        <v>45</v>
      </c>
      <c r="D3" s="12" t="s">
        <v>50</v>
      </c>
      <c r="E3" s="13">
        <v>155000</v>
      </c>
      <c r="F3" s="15">
        <f>E3*0.5</f>
        <v>77500</v>
      </c>
      <c r="G3" s="15">
        <f>H3*F3</f>
        <v>77500</v>
      </c>
      <c r="H3" s="16">
        <v>1</v>
      </c>
      <c r="I3" s="17" t="s">
        <v>13</v>
      </c>
      <c r="J3" s="13" t="s">
        <v>16</v>
      </c>
    </row>
    <row r="4" spans="1:10" ht="21" customHeight="1" x14ac:dyDescent="0.25">
      <c r="A4" s="12" t="str">
        <f t="shared" ref="A4:A12" si="0">A3</f>
        <v xml:space="preserve">ВРУ-1  (ВРУ1-11-10)(без счетчика) </v>
      </c>
      <c r="B4" s="13" t="s">
        <v>23</v>
      </c>
      <c r="C4" s="14" t="s">
        <v>46</v>
      </c>
      <c r="D4" s="12" t="s">
        <v>47</v>
      </c>
      <c r="E4" s="13">
        <v>5523</v>
      </c>
      <c r="F4" s="15">
        <f>E4</f>
        <v>5523</v>
      </c>
      <c r="G4" s="15">
        <f>F4*H4</f>
        <v>33138</v>
      </c>
      <c r="H4" s="16">
        <v>6</v>
      </c>
      <c r="I4" s="17" t="s">
        <v>13</v>
      </c>
      <c r="J4" s="13" t="s">
        <v>19</v>
      </c>
    </row>
    <row r="5" spans="1:10" ht="21" customHeight="1" x14ac:dyDescent="0.25">
      <c r="A5" s="12" t="str">
        <f t="shared" ref="A5" si="1">A4</f>
        <v xml:space="preserve">ВРУ-1  (ВРУ1-11-10)(без счетчика) </v>
      </c>
      <c r="B5" s="13" t="s">
        <v>49</v>
      </c>
      <c r="C5" s="14" t="s">
        <v>52</v>
      </c>
      <c r="D5" s="12" t="s">
        <v>53</v>
      </c>
      <c r="E5" s="13">
        <v>21950</v>
      </c>
      <c r="F5" s="15">
        <f>E5</f>
        <v>21950</v>
      </c>
      <c r="G5" s="15">
        <f>F5*H5</f>
        <v>43900</v>
      </c>
      <c r="H5" s="16">
        <v>2</v>
      </c>
      <c r="I5" s="17" t="s">
        <v>13</v>
      </c>
      <c r="J5" s="13" t="s">
        <v>19</v>
      </c>
    </row>
    <row r="6" spans="1:10" ht="21" customHeight="1" x14ac:dyDescent="0.25">
      <c r="A6" s="12" t="str">
        <f>A4</f>
        <v xml:space="preserve">ВРУ-1  (ВРУ1-11-10)(без счетчика) </v>
      </c>
      <c r="B6" s="13" t="s">
        <v>27</v>
      </c>
      <c r="C6" s="14" t="s">
        <v>25</v>
      </c>
      <c r="D6" s="12" t="s">
        <v>26</v>
      </c>
      <c r="E6" s="13">
        <v>3302</v>
      </c>
      <c r="F6" s="15">
        <f t="shared" ref="F6" si="2">E6*0.6</f>
        <v>1981.1999999999998</v>
      </c>
      <c r="G6" s="15">
        <f t="shared" ref="G6" si="3">F6*H6</f>
        <v>11887.199999999999</v>
      </c>
      <c r="H6" s="16">
        <v>6</v>
      </c>
      <c r="I6" s="17" t="s">
        <v>13</v>
      </c>
      <c r="J6" s="13" t="s">
        <v>17</v>
      </c>
    </row>
    <row r="7" spans="1:10" ht="21" customHeight="1" x14ac:dyDescent="0.25">
      <c r="A7" s="12" t="str">
        <f t="shared" si="0"/>
        <v xml:space="preserve">ВРУ-1  (ВРУ1-11-10)(без счетчика) </v>
      </c>
      <c r="B7" s="13" t="s">
        <v>27</v>
      </c>
      <c r="C7" s="14" t="s">
        <v>20</v>
      </c>
      <c r="D7" s="12" t="s">
        <v>21</v>
      </c>
      <c r="E7" s="13">
        <v>4750</v>
      </c>
      <c r="F7" s="15">
        <f>E7*0.6</f>
        <v>2850</v>
      </c>
      <c r="G7" s="15">
        <f>F7*H7</f>
        <v>17100</v>
      </c>
      <c r="H7" s="16">
        <v>6</v>
      </c>
      <c r="I7" s="17" t="s">
        <v>13</v>
      </c>
      <c r="J7" s="13" t="s">
        <v>17</v>
      </c>
    </row>
    <row r="8" spans="1:10" ht="21" customHeight="1" x14ac:dyDescent="0.25">
      <c r="A8" s="12" t="str">
        <f t="shared" si="0"/>
        <v xml:space="preserve">ВРУ-1  (ВРУ1-11-10)(без счетчика) </v>
      </c>
      <c r="B8" s="13" t="s">
        <v>12</v>
      </c>
      <c r="C8" s="14" t="s">
        <v>18</v>
      </c>
      <c r="D8" s="12" t="s">
        <v>22</v>
      </c>
      <c r="E8" s="13">
        <v>902</v>
      </c>
      <c r="F8" s="15">
        <f t="shared" ref="F8" si="4">E8*0.6</f>
        <v>541.19999999999993</v>
      </c>
      <c r="G8" s="15">
        <f t="shared" ref="G8:G9" si="5">F8*H8</f>
        <v>1082.3999999999999</v>
      </c>
      <c r="H8" s="16">
        <v>2</v>
      </c>
      <c r="I8" s="17" t="s">
        <v>13</v>
      </c>
      <c r="J8" s="13" t="s">
        <v>17</v>
      </c>
    </row>
    <row r="9" spans="1:10" ht="21" customHeight="1" x14ac:dyDescent="0.25">
      <c r="A9" s="12" t="str">
        <f t="shared" si="0"/>
        <v xml:space="preserve">ВРУ-1  (ВРУ1-11-10)(без счетчика) </v>
      </c>
      <c r="B9" s="13" t="s">
        <v>24</v>
      </c>
      <c r="C9" s="14"/>
      <c r="D9" s="12" t="s">
        <v>28</v>
      </c>
      <c r="E9" s="13">
        <v>4700</v>
      </c>
      <c r="F9" s="15">
        <f>E9</f>
        <v>4700</v>
      </c>
      <c r="G9" s="15">
        <f t="shared" si="5"/>
        <v>28200</v>
      </c>
      <c r="H9" s="16">
        <v>6</v>
      </c>
      <c r="I9" s="17" t="s">
        <v>13</v>
      </c>
      <c r="J9" s="13" t="s">
        <v>19</v>
      </c>
    </row>
    <row r="10" spans="1:10" ht="24" customHeight="1" x14ac:dyDescent="0.25">
      <c r="A10" s="12" t="str">
        <f t="shared" si="0"/>
        <v xml:space="preserve">ВРУ-1  (ВРУ1-11-10)(без счетчика) </v>
      </c>
      <c r="B10" s="12" t="s">
        <v>10</v>
      </c>
      <c r="C10" s="18" t="s">
        <v>10</v>
      </c>
      <c r="D10" s="12" t="s">
        <v>10</v>
      </c>
      <c r="E10" s="12">
        <f ca="1">OFFSET(E10,1,2)/2</f>
        <v>30000</v>
      </c>
      <c r="F10" s="15">
        <f ca="1">E10</f>
        <v>30000</v>
      </c>
      <c r="G10" s="15">
        <f t="shared" ref="G10:G11" ca="1" si="6">F10*H10</f>
        <v>30000</v>
      </c>
      <c r="H10" s="12">
        <v>1</v>
      </c>
      <c r="I10" s="12" t="s">
        <v>13</v>
      </c>
      <c r="J10" s="12" t="s">
        <v>10</v>
      </c>
    </row>
    <row r="11" spans="1:10" ht="21" customHeight="1" x14ac:dyDescent="0.25">
      <c r="A11" s="12" t="str">
        <f t="shared" si="0"/>
        <v xml:space="preserve">ВРУ-1  (ВРУ1-11-10)(без счетчика) </v>
      </c>
      <c r="B11" s="12" t="s">
        <v>11</v>
      </c>
      <c r="C11" s="18" t="s">
        <v>11</v>
      </c>
      <c r="D11" s="12" t="s">
        <v>11</v>
      </c>
      <c r="E11" s="12">
        <v>10</v>
      </c>
      <c r="F11" s="15">
        <v>100</v>
      </c>
      <c r="G11" s="15">
        <f t="shared" si="6"/>
        <v>60000</v>
      </c>
      <c r="H11" s="12">
        <f>60*E11</f>
        <v>600</v>
      </c>
      <c r="I11" s="12" t="s">
        <v>13</v>
      </c>
      <c r="J11" s="12" t="s">
        <v>11</v>
      </c>
    </row>
    <row r="12" spans="1:10" ht="30" customHeight="1" x14ac:dyDescent="0.25">
      <c r="A12" s="12" t="str">
        <f t="shared" si="0"/>
        <v xml:space="preserve">ВРУ-1  (ВРУ1-11-10)(без счетчика) </v>
      </c>
      <c r="B12" s="19"/>
      <c r="C12" s="20"/>
      <c r="D12" s="21"/>
      <c r="E12" s="23"/>
      <c r="F12" s="25"/>
      <c r="G12" s="24">
        <f ca="1">SUM(G3:G11)</f>
        <v>302807.59999999998</v>
      </c>
      <c r="H12" s="20"/>
      <c r="I12" s="22"/>
      <c r="J12" s="20"/>
    </row>
    <row r="13" spans="1:10" ht="39.75" customHeight="1" x14ac:dyDescent="0.25">
      <c r="A13" s="5" t="str">
        <f>D13</f>
        <v>ВРУ-2 (ВРУ1-48-03)</v>
      </c>
      <c r="B13" s="6"/>
      <c r="C13" s="7"/>
      <c r="D13" s="6" t="s">
        <v>51</v>
      </c>
      <c r="E13" s="8"/>
      <c r="F13" s="8"/>
      <c r="G13" s="9">
        <f ca="1">H13*G24</f>
        <v>259139.20000000001</v>
      </c>
      <c r="H13" s="10">
        <v>1</v>
      </c>
      <c r="I13" s="11" t="s">
        <v>7</v>
      </c>
      <c r="J13" s="6" t="s">
        <v>9</v>
      </c>
    </row>
    <row r="14" spans="1:10" ht="21" customHeight="1" x14ac:dyDescent="0.25">
      <c r="A14" s="12" t="str">
        <f>A13</f>
        <v>ВРУ-2 (ВРУ1-48-03)</v>
      </c>
      <c r="B14" s="13" t="s">
        <v>8</v>
      </c>
      <c r="C14" s="14" t="s">
        <v>45</v>
      </c>
      <c r="D14" s="12" t="s">
        <v>50</v>
      </c>
      <c r="E14" s="13">
        <v>155000</v>
      </c>
      <c r="F14" s="15">
        <f>E14*0.5</f>
        <v>77500</v>
      </c>
      <c r="G14" s="15">
        <f>H14*F14</f>
        <v>77500</v>
      </c>
      <c r="H14" s="16">
        <v>1</v>
      </c>
      <c r="I14" s="17" t="s">
        <v>13</v>
      </c>
      <c r="J14" s="13" t="s">
        <v>16</v>
      </c>
    </row>
    <row r="15" spans="1:10" ht="21" customHeight="1" x14ac:dyDescent="0.25">
      <c r="A15" s="12" t="str">
        <f t="shared" ref="A15" si="7">A14</f>
        <v>ВРУ-2 (ВРУ1-48-03)</v>
      </c>
      <c r="B15" s="13" t="s">
        <v>23</v>
      </c>
      <c r="C15" s="14" t="s">
        <v>46</v>
      </c>
      <c r="D15" s="12" t="s">
        <v>47</v>
      </c>
      <c r="E15" s="13">
        <v>6500</v>
      </c>
      <c r="F15" s="15">
        <f>E15</f>
        <v>6500</v>
      </c>
      <c r="G15" s="15">
        <f>F15*H15</f>
        <v>39000</v>
      </c>
      <c r="H15" s="16">
        <v>6</v>
      </c>
      <c r="I15" s="17" t="s">
        <v>13</v>
      </c>
      <c r="J15" s="13" t="s">
        <v>19</v>
      </c>
    </row>
    <row r="16" spans="1:10" ht="21" customHeight="1" x14ac:dyDescent="0.25">
      <c r="A16" s="12" t="str">
        <f>A14</f>
        <v>ВРУ-2 (ВРУ1-48-03)</v>
      </c>
      <c r="B16" s="13" t="s">
        <v>27</v>
      </c>
      <c r="C16" s="14" t="s">
        <v>36</v>
      </c>
      <c r="D16" s="12" t="s">
        <v>37</v>
      </c>
      <c r="E16" s="13">
        <v>2225</v>
      </c>
      <c r="F16" s="15">
        <f t="shared" ref="F16" si="8">E16*0.6</f>
        <v>1335</v>
      </c>
      <c r="G16" s="15">
        <f t="shared" ref="G16" si="9">F16*H16</f>
        <v>8010</v>
      </c>
      <c r="H16" s="16">
        <v>6</v>
      </c>
      <c r="I16" s="17" t="s">
        <v>13</v>
      </c>
      <c r="J16" s="13" t="s">
        <v>17</v>
      </c>
    </row>
    <row r="17" spans="1:10" ht="21" customHeight="1" x14ac:dyDescent="0.25">
      <c r="A17" s="12" t="str">
        <f t="shared" ref="A17:A24" si="10">A16</f>
        <v>ВРУ-2 (ВРУ1-48-03)</v>
      </c>
      <c r="B17" s="13" t="s">
        <v>27</v>
      </c>
      <c r="C17" s="14" t="s">
        <v>38</v>
      </c>
      <c r="D17" s="12" t="s">
        <v>39</v>
      </c>
      <c r="E17" s="13">
        <v>3100</v>
      </c>
      <c r="F17" s="15">
        <f>E17*0.6</f>
        <v>1860</v>
      </c>
      <c r="G17" s="15">
        <f>F17*H17</f>
        <v>11160</v>
      </c>
      <c r="H17" s="16">
        <v>6</v>
      </c>
      <c r="I17" s="17" t="s">
        <v>13</v>
      </c>
      <c r="J17" s="13" t="s">
        <v>17</v>
      </c>
    </row>
    <row r="18" spans="1:10" ht="21" customHeight="1" x14ac:dyDescent="0.25">
      <c r="A18" s="12" t="str">
        <f t="shared" si="10"/>
        <v>ВРУ-2 (ВРУ1-48-03)</v>
      </c>
      <c r="B18" s="13" t="s">
        <v>27</v>
      </c>
      <c r="C18" s="14" t="s">
        <v>29</v>
      </c>
      <c r="D18" s="12" t="s">
        <v>30</v>
      </c>
      <c r="E18" s="13">
        <v>1545</v>
      </c>
      <c r="F18" s="15">
        <f t="shared" ref="F18" si="11">E18*0.6</f>
        <v>927</v>
      </c>
      <c r="G18" s="15">
        <f t="shared" ref="G18" si="12">F18*H18</f>
        <v>16686</v>
      </c>
      <c r="H18" s="16">
        <v>18</v>
      </c>
      <c r="I18" s="17" t="s">
        <v>13</v>
      </c>
      <c r="J18" s="13" t="s">
        <v>17</v>
      </c>
    </row>
    <row r="19" spans="1:10" ht="21" customHeight="1" x14ac:dyDescent="0.25">
      <c r="A19" s="12" t="str">
        <f t="shared" si="10"/>
        <v>ВРУ-2 (ВРУ1-48-03)</v>
      </c>
      <c r="B19" s="13" t="s">
        <v>27</v>
      </c>
      <c r="C19" s="14" t="s">
        <v>31</v>
      </c>
      <c r="D19" s="12" t="s">
        <v>32</v>
      </c>
      <c r="E19" s="13">
        <v>2038</v>
      </c>
      <c r="F19" s="15">
        <f>E19*0.6</f>
        <v>1222.8</v>
      </c>
      <c r="G19" s="15">
        <f>F19*H19</f>
        <v>29347.199999999997</v>
      </c>
      <c r="H19" s="16">
        <v>24</v>
      </c>
      <c r="I19" s="17" t="s">
        <v>13</v>
      </c>
      <c r="J19" s="13" t="s">
        <v>17</v>
      </c>
    </row>
    <row r="20" spans="1:10" ht="21" customHeight="1" x14ac:dyDescent="0.25">
      <c r="A20" s="12" t="str">
        <f t="shared" si="10"/>
        <v>ВРУ-2 (ВРУ1-48-03)</v>
      </c>
      <c r="B20" s="13" t="s">
        <v>27</v>
      </c>
      <c r="C20" s="14" t="s">
        <v>40</v>
      </c>
      <c r="D20" s="12" t="s">
        <v>41</v>
      </c>
      <c r="E20" s="13">
        <v>1510</v>
      </c>
      <c r="F20" s="15">
        <f t="shared" ref="F20" si="13">E20*0.6</f>
        <v>906</v>
      </c>
      <c r="G20" s="15">
        <f t="shared" ref="G20" si="14">F20*H20</f>
        <v>2718</v>
      </c>
      <c r="H20" s="16">
        <v>3</v>
      </c>
      <c r="I20" s="17" t="s">
        <v>13</v>
      </c>
      <c r="J20" s="13" t="s">
        <v>17</v>
      </c>
    </row>
    <row r="21" spans="1:10" ht="21" customHeight="1" x14ac:dyDescent="0.25">
      <c r="A21" s="12" t="str">
        <f t="shared" si="10"/>
        <v>ВРУ-2 (ВРУ1-48-03)</v>
      </c>
      <c r="B21" s="13" t="s">
        <v>27</v>
      </c>
      <c r="C21" s="14" t="s">
        <v>42</v>
      </c>
      <c r="D21" s="12" t="s">
        <v>43</v>
      </c>
      <c r="E21" s="13">
        <v>1510</v>
      </c>
      <c r="F21" s="15">
        <f>E21*0.6</f>
        <v>906</v>
      </c>
      <c r="G21" s="15">
        <f>F21*H21</f>
        <v>2718</v>
      </c>
      <c r="H21" s="16">
        <v>3</v>
      </c>
      <c r="I21" s="17" t="s">
        <v>13</v>
      </c>
      <c r="J21" s="13" t="s">
        <v>17</v>
      </c>
    </row>
    <row r="22" spans="1:10" ht="24" customHeight="1" x14ac:dyDescent="0.25">
      <c r="A22" s="12" t="str">
        <f t="shared" si="10"/>
        <v>ВРУ-2 (ВРУ1-48-03)</v>
      </c>
      <c r="B22" s="12" t="s">
        <v>10</v>
      </c>
      <c r="C22" s="18" t="s">
        <v>10</v>
      </c>
      <c r="D22" s="12" t="s">
        <v>10</v>
      </c>
      <c r="E22" s="12">
        <f ca="1">OFFSET(E22,1,2)/2</f>
        <v>24000</v>
      </c>
      <c r="F22" s="15">
        <f ca="1">E22</f>
        <v>24000</v>
      </c>
      <c r="G22" s="15">
        <f t="shared" ref="G22:G23" ca="1" si="15">F22*H22</f>
        <v>24000</v>
      </c>
      <c r="H22" s="12">
        <v>1</v>
      </c>
      <c r="I22" s="12" t="s">
        <v>13</v>
      </c>
      <c r="J22" s="12" t="s">
        <v>10</v>
      </c>
    </row>
    <row r="23" spans="1:10" ht="21" customHeight="1" x14ac:dyDescent="0.25">
      <c r="A23" s="12" t="str">
        <f t="shared" si="10"/>
        <v>ВРУ-2 (ВРУ1-48-03)</v>
      </c>
      <c r="B23" s="12" t="s">
        <v>11</v>
      </c>
      <c r="C23" s="18" t="s">
        <v>11</v>
      </c>
      <c r="D23" s="12" t="s">
        <v>11</v>
      </c>
      <c r="E23" s="12">
        <v>8</v>
      </c>
      <c r="F23" s="15">
        <v>100</v>
      </c>
      <c r="G23" s="15">
        <f t="shared" si="15"/>
        <v>48000</v>
      </c>
      <c r="H23" s="12">
        <f>60*E23</f>
        <v>480</v>
      </c>
      <c r="I23" s="12" t="s">
        <v>13</v>
      </c>
      <c r="J23" s="12" t="s">
        <v>11</v>
      </c>
    </row>
    <row r="24" spans="1:10" ht="30" customHeight="1" x14ac:dyDescent="0.25">
      <c r="A24" s="12" t="str">
        <f t="shared" si="10"/>
        <v>ВРУ-2 (ВРУ1-48-03)</v>
      </c>
      <c r="B24" s="19"/>
      <c r="C24" s="20"/>
      <c r="D24" s="21"/>
      <c r="E24" s="23"/>
      <c r="F24" s="25"/>
      <c r="G24" s="24">
        <f ca="1">SUM(G14:G23)</f>
        <v>259139.20000000001</v>
      </c>
      <c r="H24" s="20"/>
      <c r="I24" s="22"/>
      <c r="J24" s="20"/>
    </row>
    <row r="25" spans="1:10" ht="39.75" customHeight="1" x14ac:dyDescent="0.25">
      <c r="A25" s="5" t="str">
        <f>D25</f>
        <v>ВРУ-3 (ВРУ1-17-70) (без счетчика)</v>
      </c>
      <c r="B25" s="6"/>
      <c r="C25" s="7"/>
      <c r="D25" s="6" t="s">
        <v>48</v>
      </c>
      <c r="E25" s="8"/>
      <c r="F25" s="8"/>
      <c r="G25" s="9">
        <f ca="1">H25*G35</f>
        <v>323414.59999999998</v>
      </c>
      <c r="H25" s="10">
        <v>1</v>
      </c>
      <c r="I25" s="11" t="s">
        <v>7</v>
      </c>
      <c r="J25" s="6" t="s">
        <v>9</v>
      </c>
    </row>
    <row r="26" spans="1:10" ht="21" customHeight="1" x14ac:dyDescent="0.25">
      <c r="A26" s="12" t="str">
        <f>A25</f>
        <v>ВРУ-3 (ВРУ1-17-70) (без счетчика)</v>
      </c>
      <c r="B26" s="13" t="s">
        <v>8</v>
      </c>
      <c r="C26" s="14" t="s">
        <v>54</v>
      </c>
      <c r="D26" s="12" t="s">
        <v>55</v>
      </c>
      <c r="E26" s="13">
        <v>130600</v>
      </c>
      <c r="F26" s="15">
        <f>E26*0.5</f>
        <v>65300</v>
      </c>
      <c r="G26" s="15">
        <f>H26*F26</f>
        <v>65300</v>
      </c>
      <c r="H26" s="16">
        <v>1</v>
      </c>
      <c r="I26" s="17" t="s">
        <v>13</v>
      </c>
      <c r="J26" s="13" t="s">
        <v>16</v>
      </c>
    </row>
    <row r="27" spans="1:10" ht="21" customHeight="1" x14ac:dyDescent="0.25">
      <c r="A27" s="12" t="str">
        <f t="shared" ref="A27:A35" si="16">A26</f>
        <v>ВРУ-3 (ВРУ1-17-70) (без счетчика)</v>
      </c>
      <c r="B27" s="13" t="s">
        <v>35</v>
      </c>
      <c r="C27" s="14" t="s">
        <v>33</v>
      </c>
      <c r="D27" s="12" t="s">
        <v>34</v>
      </c>
      <c r="E27" s="13">
        <v>207389</v>
      </c>
      <c r="F27" s="15">
        <f t="shared" ref="F27" si="17">E27*0.6</f>
        <v>124433.4</v>
      </c>
      <c r="G27" s="15">
        <f t="shared" ref="G27" si="18">F27*H27</f>
        <v>124433.4</v>
      </c>
      <c r="H27" s="16">
        <v>1</v>
      </c>
      <c r="I27" s="17" t="s">
        <v>13</v>
      </c>
      <c r="J27" s="13" t="s">
        <v>17</v>
      </c>
    </row>
    <row r="28" spans="1:10" ht="21" customHeight="1" x14ac:dyDescent="0.25">
      <c r="A28" s="12" t="str">
        <f t="shared" si="16"/>
        <v>ВРУ-3 (ВРУ1-17-70) (без счетчика)</v>
      </c>
      <c r="B28" s="13" t="s">
        <v>23</v>
      </c>
      <c r="C28" s="14" t="s">
        <v>46</v>
      </c>
      <c r="D28" s="12" t="s">
        <v>47</v>
      </c>
      <c r="E28" s="13">
        <v>6500</v>
      </c>
      <c r="F28" s="15">
        <f>E28</f>
        <v>6500</v>
      </c>
      <c r="G28" s="15">
        <f>F28*H28</f>
        <v>19500</v>
      </c>
      <c r="H28" s="16">
        <v>3</v>
      </c>
      <c r="I28" s="17" t="s">
        <v>13</v>
      </c>
      <c r="J28" s="13" t="s">
        <v>19</v>
      </c>
    </row>
    <row r="29" spans="1:10" ht="21" customHeight="1" x14ac:dyDescent="0.25">
      <c r="A29" s="12" t="str">
        <f t="shared" si="16"/>
        <v>ВРУ-3 (ВРУ1-17-70) (без счетчика)</v>
      </c>
      <c r="B29" s="13" t="s">
        <v>27</v>
      </c>
      <c r="C29" s="14" t="s">
        <v>29</v>
      </c>
      <c r="D29" s="12" t="s">
        <v>30</v>
      </c>
      <c r="E29" s="13">
        <v>1545</v>
      </c>
      <c r="F29" s="15">
        <f t="shared" ref="F29" si="19">E29*0.6</f>
        <v>927</v>
      </c>
      <c r="G29" s="15">
        <f t="shared" ref="G29" si="20">F29*H29</f>
        <v>5562</v>
      </c>
      <c r="H29" s="16">
        <v>6</v>
      </c>
      <c r="I29" s="17" t="s">
        <v>13</v>
      </c>
      <c r="J29" s="13" t="s">
        <v>17</v>
      </c>
    </row>
    <row r="30" spans="1:10" ht="21" customHeight="1" x14ac:dyDescent="0.25">
      <c r="A30" s="12" t="str">
        <f t="shared" si="16"/>
        <v>ВРУ-3 (ВРУ1-17-70) (без счетчика)</v>
      </c>
      <c r="B30" s="13" t="s">
        <v>27</v>
      </c>
      <c r="C30" s="14" t="s">
        <v>31</v>
      </c>
      <c r="D30" s="12" t="s">
        <v>32</v>
      </c>
      <c r="E30" s="13">
        <v>2038</v>
      </c>
      <c r="F30" s="15">
        <f>E30*0.6</f>
        <v>1222.8</v>
      </c>
      <c r="G30" s="15">
        <f>F30*H30</f>
        <v>7336.7999999999993</v>
      </c>
      <c r="H30" s="16">
        <v>6</v>
      </c>
      <c r="I30" s="17" t="s">
        <v>13</v>
      </c>
      <c r="J30" s="13" t="s">
        <v>17</v>
      </c>
    </row>
    <row r="31" spans="1:10" ht="21" customHeight="1" x14ac:dyDescent="0.25">
      <c r="A31" s="12" t="str">
        <f t="shared" si="16"/>
        <v>ВРУ-3 (ВРУ1-17-70) (без счетчика)</v>
      </c>
      <c r="B31" s="13" t="s">
        <v>12</v>
      </c>
      <c r="C31" s="14" t="s">
        <v>18</v>
      </c>
      <c r="D31" s="12" t="s">
        <v>22</v>
      </c>
      <c r="E31" s="13">
        <v>902</v>
      </c>
      <c r="F31" s="15">
        <f t="shared" ref="F31" si="21">E31*0.6</f>
        <v>541.19999999999993</v>
      </c>
      <c r="G31" s="15">
        <f t="shared" ref="G31:G34" si="22">F31*H31</f>
        <v>1082.3999999999999</v>
      </c>
      <c r="H31" s="16">
        <v>2</v>
      </c>
      <c r="I31" s="17" t="s">
        <v>13</v>
      </c>
      <c r="J31" s="13" t="s">
        <v>17</v>
      </c>
    </row>
    <row r="32" spans="1:10" ht="21" customHeight="1" x14ac:dyDescent="0.25">
      <c r="A32" s="12" t="str">
        <f t="shared" si="16"/>
        <v>ВРУ-3 (ВРУ1-17-70) (без счетчика)</v>
      </c>
      <c r="B32" s="13" t="s">
        <v>24</v>
      </c>
      <c r="C32" s="14"/>
      <c r="D32" s="12" t="s">
        <v>28</v>
      </c>
      <c r="E32" s="13">
        <v>4700</v>
      </c>
      <c r="F32" s="15">
        <f>E32</f>
        <v>4700</v>
      </c>
      <c r="G32" s="15">
        <f t="shared" si="22"/>
        <v>28200</v>
      </c>
      <c r="H32" s="16">
        <v>6</v>
      </c>
      <c r="I32" s="17" t="s">
        <v>13</v>
      </c>
      <c r="J32" s="13" t="s">
        <v>19</v>
      </c>
    </row>
    <row r="33" spans="1:10" ht="24" customHeight="1" x14ac:dyDescent="0.25">
      <c r="A33" s="12" t="str">
        <f t="shared" si="16"/>
        <v>ВРУ-3 (ВРУ1-17-70) (без счетчика)</v>
      </c>
      <c r="B33" s="12" t="s">
        <v>10</v>
      </c>
      <c r="C33" s="18" t="s">
        <v>10</v>
      </c>
      <c r="D33" s="12" t="s">
        <v>10</v>
      </c>
      <c r="E33" s="12">
        <f ca="1">OFFSET(E33,1,2)/2</f>
        <v>24000</v>
      </c>
      <c r="F33" s="15">
        <f ca="1">E33</f>
        <v>24000</v>
      </c>
      <c r="G33" s="15">
        <f t="shared" ca="1" si="22"/>
        <v>24000</v>
      </c>
      <c r="H33" s="12">
        <v>1</v>
      </c>
      <c r="I33" s="12" t="s">
        <v>13</v>
      </c>
      <c r="J33" s="12" t="s">
        <v>10</v>
      </c>
    </row>
    <row r="34" spans="1:10" ht="21" customHeight="1" x14ac:dyDescent="0.25">
      <c r="A34" s="12" t="str">
        <f t="shared" si="16"/>
        <v>ВРУ-3 (ВРУ1-17-70) (без счетчика)</v>
      </c>
      <c r="B34" s="12" t="s">
        <v>11</v>
      </c>
      <c r="C34" s="18" t="s">
        <v>11</v>
      </c>
      <c r="D34" s="12" t="s">
        <v>11</v>
      </c>
      <c r="E34" s="12">
        <v>8</v>
      </c>
      <c r="F34" s="15">
        <v>100</v>
      </c>
      <c r="G34" s="15">
        <f t="shared" si="22"/>
        <v>48000</v>
      </c>
      <c r="H34" s="12">
        <f>60*E34</f>
        <v>480</v>
      </c>
      <c r="I34" s="12" t="s">
        <v>13</v>
      </c>
      <c r="J34" s="12" t="s">
        <v>11</v>
      </c>
    </row>
    <row r="35" spans="1:10" ht="30" customHeight="1" x14ac:dyDescent="0.25">
      <c r="A35" s="12" t="str">
        <f t="shared" si="16"/>
        <v>ВРУ-3 (ВРУ1-17-70) (без счетчика)</v>
      </c>
      <c r="B35" s="19"/>
      <c r="C35" s="20"/>
      <c r="D35" s="21"/>
      <c r="E35" s="23"/>
      <c r="F35" s="25"/>
      <c r="G35" s="24">
        <f ca="1">SUM(G26:G34)</f>
        <v>323414.59999999998</v>
      </c>
      <c r="H35" s="20"/>
      <c r="I35" s="22"/>
      <c r="J35" s="20"/>
    </row>
  </sheetData>
  <autoFilter ref="A1:J35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2026-08-07T14:57:15Z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