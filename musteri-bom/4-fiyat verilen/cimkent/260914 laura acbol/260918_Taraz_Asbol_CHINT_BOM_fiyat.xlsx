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4 laura acbol\"/>
    </mc:Choice>
  </mc:AlternateContent>
  <xr:revisionPtr revIDLastSave="0" documentId="13_ncr:1_{396BFAC0-D7E5-4356-A6D3-2580984634F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RA_DERATING">#REF!</definedName>
    <definedName name="BARA_ESIK_A">#REF!</definedName>
    <definedName name="BARA_FIRE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ECERLILIK">#REF!</definedName>
    <definedName name="GUN_SAAT">#REF!</definedName>
    <definedName name="ICERIK_AD">#REF!</definedName>
    <definedName name="ICERIK_IZI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TEKLIF!$A$1:$F$39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4" l="1"/>
  <c r="F15" i="4"/>
  <c r="F17" i="4"/>
  <c r="F7" i="4"/>
  <c r="F23" i="4"/>
  <c r="F16" i="4"/>
  <c r="F14" i="4"/>
  <c r="F11" i="4"/>
  <c r="F10" i="4"/>
  <c r="F8" i="4"/>
  <c r="F6" i="4" l="1"/>
  <c r="F22" i="4"/>
  <c r="F21" i="4"/>
  <c r="F20" i="4"/>
  <c r="F19" i="4"/>
  <c r="F18" i="4"/>
  <c r="F13" i="4"/>
  <c r="F12" i="4"/>
  <c r="F24" i="4" l="1"/>
  <c r="F25" i="4"/>
  <c r="F31" i="4"/>
  <c r="F30" i="4"/>
  <c r="F26" i="4" l="1"/>
  <c r="F27" i="4"/>
  <c r="F28" i="4"/>
  <c r="F29" i="4"/>
  <c r="F32" i="4" l="1"/>
  <c r="F34" i="4" l="1"/>
  <c r="F33" i="4"/>
</calcChain>
</file>

<file path=xl/sharedStrings.xml><?xml version="1.0" encoding="utf-8"?>
<sst xmlns="http://schemas.openxmlformats.org/spreadsheetml/2006/main" count="72" uniqueCount="46">
  <si>
    <t>Наименование</t>
  </si>
  <si>
    <t>Ед.изм</t>
  </si>
  <si>
    <t>ЩО-1, ЩО-2, ЩО-4, ЩО-5, ЩО-6, ЩО-8</t>
  </si>
  <si>
    <t>ЩО-3, ЩО-7</t>
  </si>
  <si>
    <t>ЩОА-1 … ЩОА-8</t>
  </si>
  <si>
    <t>ЩС-1</t>
  </si>
  <si>
    <t>ЩС-2</t>
  </si>
  <si>
    <t>ЩС-3</t>
  </si>
  <si>
    <t>ЩС-4</t>
  </si>
  <si>
    <t>ЩС-5</t>
  </si>
  <si>
    <t>ЩС-6</t>
  </si>
  <si>
    <t>ЩС-7</t>
  </si>
  <si>
    <t>ЩС-8</t>
  </si>
  <si>
    <t>ЩС-Н1</t>
  </si>
  <si>
    <t>ЩС-В1, ЩС-В4</t>
  </si>
  <si>
    <t>ЩС-В2</t>
  </si>
  <si>
    <t>ЩС-В3</t>
  </si>
  <si>
    <t>ЩС-В5</t>
  </si>
  <si>
    <t>ЩС-В6</t>
  </si>
  <si>
    <t>ЩУ-Т</t>
  </si>
  <si>
    <t>ВРУ-1</t>
  </si>
  <si>
    <t>ВРУ-2</t>
  </si>
  <si>
    <t>АВР-1, АВР-2</t>
  </si>
  <si>
    <t>ШАВР</t>
  </si>
  <si>
    <t>РУ-1.1</t>
  </si>
  <si>
    <t>РУ-1.2</t>
  </si>
  <si>
    <t>РУ-2.1, РУ-2.2</t>
  </si>
  <si>
    <t>ЩС-В7 … ЩС-В10</t>
  </si>
  <si>
    <t>ТОО "АСБОЛ" (Laura)</t>
  </si>
  <si>
    <t>Строительство торгового рынка — ЭО/ЭМ щиты</t>
  </si>
  <si>
    <t>YSF HICH</t>
  </si>
  <si>
    <t>НДС</t>
  </si>
  <si>
    <t>Заказчик:</t>
  </si>
  <si>
    <t>Объект:</t>
  </si>
  <si>
    <t>№</t>
  </si>
  <si>
    <t>Кол-во</t>
  </si>
  <si>
    <t>Сумма, тг (без НДС)</t>
  </si>
  <si>
    <t>компл.</t>
  </si>
  <si>
    <t>Итого с НДС</t>
  </si>
  <si>
    <t>Срок изготовления:</t>
  </si>
  <si>
    <t>Условия оплаты:</t>
  </si>
  <si>
    <t>Срок действия, дн.:</t>
  </si>
  <si>
    <t>30-45</t>
  </si>
  <si>
    <t>50+50%</t>
  </si>
  <si>
    <t>КОММЕРЧЕСКОЕ ПРЕДЛОЖЕНИЕ № 989090048 от 00.mm.2026</t>
  </si>
  <si>
    <t>Цена за ед., тг (с НДС)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</si>
</sst>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tabSelected="1" zoomScale="130" zoomScaleNormal="130" workbookViewId="0">
      <selection activeCell="H25" sqref="H25"/>
    </sheetView>
  </sheetViews>
  <sheetFormatPr defaultColWidth="8.7109375" defaultRowHeight="15" x14ac:dyDescent="0.25"/>
  <cols>
    <col min="1" max="1" width="36.7109375" style="9" customWidth="1"/>
    <col min="2" max="2" width="39.42578125" customWidth="1"/>
    <col min="3" max="4" width="8" customWidth="1"/>
    <col min="5" max="5" width="16" customWidth="1"/>
    <col min="6" max="6" width="18" customWidth="1"/>
  </cols>
  <sheetData>
    <row r="1" spans="1:6" ht="15.75" x14ac:dyDescent="0.25">
      <c r="A1" s="8" t="s">
        <v>30</v>
      </c>
    </row>
    <row r="2" spans="1:6" ht="38.25" customHeight="1" x14ac:dyDescent="0.25">
      <c r="A2" s="12" t="s">
        <v>44</v>
      </c>
    </row>
    <row r="3" spans="1:6" x14ac:dyDescent="0.25">
      <c r="A3" s="10" t="s">
        <v>32</v>
      </c>
      <c r="B3" s="2" t="s">
        <v>28</v>
      </c>
    </row>
    <row r="4" spans="1:6" x14ac:dyDescent="0.25">
      <c r="A4" s="10" t="s">
        <v>33</v>
      </c>
      <c r="B4" s="2" t="s">
        <v>29</v>
      </c>
    </row>
    <row r="5" spans="1:6" ht="25.5" x14ac:dyDescent="0.25">
      <c r="A5" s="7" t="s">
        <v>34</v>
      </c>
      <c r="B5" s="4" t="s">
        <v>0</v>
      </c>
      <c r="C5" s="4" t="s">
        <v>35</v>
      </c>
      <c r="D5" s="4" t="s">
        <v>1</v>
      </c>
      <c r="E5" s="4" t="s">
        <v>45</v>
      </c>
      <c r="F5" s="4" t="s">
        <v>36</v>
      </c>
    </row>
    <row r="6" spans="1:6" x14ac:dyDescent="0.25">
      <c r="A6" s="11">
        <v>1</v>
      </c>
      <c r="B6" s="3" t="s">
        <v>2</v>
      </c>
      <c r="C6" s="3">
        <v>6</v>
      </c>
      <c r="D6" s="3" t="s">
        <v>37</v>
      </c>
      <c r="E6" s="5">
        <v>85724</v>
      </c>
      <c r="F6" s="5">
        <f t="shared" ref="F6:F31" si="0">IF(E6="","",C6*E6)</f>
        <v>514344</v>
      </c>
    </row>
    <row r="7" spans="1:6" x14ac:dyDescent="0.25">
      <c r="A7" s="11">
        <v>2</v>
      </c>
      <c r="B7" s="3" t="s">
        <v>3</v>
      </c>
      <c r="C7" s="3">
        <v>2</v>
      </c>
      <c r="D7" s="3" t="s">
        <v>37</v>
      </c>
      <c r="E7" s="5">
        <v>81901.799999999988</v>
      </c>
      <c r="F7" s="5">
        <f t="shared" si="0"/>
        <v>163803.59999999998</v>
      </c>
    </row>
    <row r="8" spans="1:6" x14ac:dyDescent="0.25">
      <c r="A8" s="11">
        <v>3</v>
      </c>
      <c r="B8" s="3" t="s">
        <v>4</v>
      </c>
      <c r="C8" s="3">
        <v>8</v>
      </c>
      <c r="D8" s="3" t="s">
        <v>37</v>
      </c>
      <c r="E8" s="5">
        <v>44250.52</v>
      </c>
      <c r="F8" s="5">
        <f t="shared" si="0"/>
        <v>354004.16</v>
      </c>
    </row>
    <row r="9" spans="1:6" x14ac:dyDescent="0.25">
      <c r="A9" s="11">
        <v>4</v>
      </c>
      <c r="B9" s="3" t="s">
        <v>5</v>
      </c>
      <c r="C9" s="3">
        <v>1</v>
      </c>
      <c r="D9" s="3" t="s">
        <v>37</v>
      </c>
      <c r="E9" s="5">
        <v>271216.12</v>
      </c>
      <c r="F9" s="5">
        <f t="shared" si="0"/>
        <v>271216.12</v>
      </c>
    </row>
    <row r="10" spans="1:6" x14ac:dyDescent="0.25">
      <c r="A10" s="11">
        <v>5</v>
      </c>
      <c r="B10" s="3" t="s">
        <v>6</v>
      </c>
      <c r="C10" s="3">
        <v>1</v>
      </c>
      <c r="D10" s="3" t="s">
        <v>37</v>
      </c>
      <c r="E10" s="5">
        <v>331515.24</v>
      </c>
      <c r="F10" s="5">
        <f t="shared" si="0"/>
        <v>331515.24</v>
      </c>
    </row>
    <row r="11" spans="1:6" x14ac:dyDescent="0.25">
      <c r="A11" s="11">
        <v>6</v>
      </c>
      <c r="B11" s="3" t="s">
        <v>7</v>
      </c>
      <c r="C11" s="3">
        <v>1</v>
      </c>
      <c r="D11" s="3" t="s">
        <v>37</v>
      </c>
      <c r="E11" s="5">
        <v>190806.08</v>
      </c>
      <c r="F11" s="5">
        <f t="shared" si="0"/>
        <v>190806.08</v>
      </c>
    </row>
    <row r="12" spans="1:6" x14ac:dyDescent="0.25">
      <c r="A12" s="11">
        <v>7</v>
      </c>
      <c r="B12" s="3" t="s">
        <v>8</v>
      </c>
      <c r="C12" s="3">
        <v>1</v>
      </c>
      <c r="D12" s="3" t="s">
        <v>37</v>
      </c>
      <c r="E12" s="5">
        <v>302202.03999999998</v>
      </c>
      <c r="F12" s="5">
        <f t="shared" si="0"/>
        <v>302202.03999999998</v>
      </c>
    </row>
    <row r="13" spans="1:6" x14ac:dyDescent="0.25">
      <c r="A13" s="11">
        <v>8</v>
      </c>
      <c r="B13" s="3" t="s">
        <v>9</v>
      </c>
      <c r="C13" s="3">
        <v>1</v>
      </c>
      <c r="D13" s="3" t="s">
        <v>37</v>
      </c>
      <c r="E13" s="5">
        <v>276769.03999999998</v>
      </c>
      <c r="F13" s="5">
        <f t="shared" si="0"/>
        <v>276769.03999999998</v>
      </c>
    </row>
    <row r="14" spans="1:6" x14ac:dyDescent="0.25">
      <c r="A14" s="11">
        <v>9</v>
      </c>
      <c r="B14" s="3" t="s">
        <v>10</v>
      </c>
      <c r="C14" s="3">
        <v>1</v>
      </c>
      <c r="D14" s="3" t="s">
        <v>37</v>
      </c>
      <c r="E14" s="5">
        <v>317715.88</v>
      </c>
      <c r="F14" s="5">
        <f t="shared" si="0"/>
        <v>317715.88</v>
      </c>
    </row>
    <row r="15" spans="1:6" x14ac:dyDescent="0.25">
      <c r="A15" s="11">
        <v>10</v>
      </c>
      <c r="B15" s="3" t="s">
        <v>11</v>
      </c>
      <c r="C15" s="3">
        <v>1</v>
      </c>
      <c r="D15" s="3" t="s">
        <v>37</v>
      </c>
      <c r="E15" s="5">
        <v>175821.19999999998</v>
      </c>
      <c r="F15" s="5">
        <f t="shared" si="0"/>
        <v>175821.19999999998</v>
      </c>
    </row>
    <row r="16" spans="1:6" x14ac:dyDescent="0.25">
      <c r="A16" s="11">
        <v>11</v>
      </c>
      <c r="B16" s="3" t="s">
        <v>12</v>
      </c>
      <c r="C16" s="3">
        <v>1</v>
      </c>
      <c r="D16" s="3" t="s">
        <v>37</v>
      </c>
      <c r="E16" s="5">
        <v>295779.12</v>
      </c>
      <c r="F16" s="5">
        <f t="shared" si="0"/>
        <v>295779.12</v>
      </c>
    </row>
    <row r="17" spans="1:6" x14ac:dyDescent="0.25">
      <c r="A17" s="11">
        <v>12</v>
      </c>
      <c r="B17" s="3" t="s">
        <v>13</v>
      </c>
      <c r="C17" s="3">
        <v>1</v>
      </c>
      <c r="D17" s="3" t="s">
        <v>37</v>
      </c>
      <c r="E17" s="5">
        <v>62315.199999999997</v>
      </c>
      <c r="F17" s="5">
        <f t="shared" si="0"/>
        <v>62315.199999999997</v>
      </c>
    </row>
    <row r="18" spans="1:6" x14ac:dyDescent="0.25">
      <c r="A18" s="11">
        <v>13</v>
      </c>
      <c r="B18" s="3" t="s">
        <v>14</v>
      </c>
      <c r="C18" s="3">
        <v>2</v>
      </c>
      <c r="D18" s="3" t="s">
        <v>37</v>
      </c>
      <c r="E18" s="5">
        <v>95234.84</v>
      </c>
      <c r="F18" s="5">
        <f t="shared" si="0"/>
        <v>190469.68</v>
      </c>
    </row>
    <row r="19" spans="1:6" x14ac:dyDescent="0.25">
      <c r="A19" s="11">
        <v>14</v>
      </c>
      <c r="B19" s="3" t="s">
        <v>15</v>
      </c>
      <c r="C19" s="3">
        <v>1</v>
      </c>
      <c r="D19" s="3" t="s">
        <v>37</v>
      </c>
      <c r="E19" s="5">
        <v>99478.12</v>
      </c>
      <c r="F19" s="5">
        <f t="shared" si="0"/>
        <v>99478.12</v>
      </c>
    </row>
    <row r="20" spans="1:6" x14ac:dyDescent="0.25">
      <c r="A20" s="11">
        <v>15</v>
      </c>
      <c r="B20" s="3" t="s">
        <v>16</v>
      </c>
      <c r="C20" s="3">
        <v>1</v>
      </c>
      <c r="D20" s="3" t="s">
        <v>37</v>
      </c>
      <c r="E20" s="5">
        <v>101669.35999999999</v>
      </c>
      <c r="F20" s="5">
        <f t="shared" si="0"/>
        <v>101669.35999999999</v>
      </c>
    </row>
    <row r="21" spans="1:6" x14ac:dyDescent="0.25">
      <c r="A21" s="11">
        <v>16</v>
      </c>
      <c r="B21" s="3" t="s">
        <v>17</v>
      </c>
      <c r="C21" s="3">
        <v>1</v>
      </c>
      <c r="D21" s="3" t="s">
        <v>37</v>
      </c>
      <c r="E21" s="5">
        <v>88635.599999999991</v>
      </c>
      <c r="F21" s="5">
        <f t="shared" si="0"/>
        <v>88635.599999999991</v>
      </c>
    </row>
    <row r="22" spans="1:6" x14ac:dyDescent="0.25">
      <c r="A22" s="11">
        <v>17</v>
      </c>
      <c r="B22" s="3" t="s">
        <v>18</v>
      </c>
      <c r="C22" s="3">
        <v>1</v>
      </c>
      <c r="D22" s="3" t="s">
        <v>37</v>
      </c>
      <c r="E22" s="5">
        <v>88032.4</v>
      </c>
      <c r="F22" s="5">
        <f t="shared" si="0"/>
        <v>88032.4</v>
      </c>
    </row>
    <row r="23" spans="1:6" x14ac:dyDescent="0.25">
      <c r="A23" s="11">
        <v>18</v>
      </c>
      <c r="B23" s="3" t="s">
        <v>19</v>
      </c>
      <c r="C23" s="3">
        <v>1</v>
      </c>
      <c r="D23" s="3" t="s">
        <v>37</v>
      </c>
      <c r="E23" s="5">
        <v>79461.159999999989</v>
      </c>
      <c r="F23" s="5">
        <f t="shared" si="0"/>
        <v>79461.159999999989</v>
      </c>
    </row>
    <row r="24" spans="1:6" x14ac:dyDescent="0.25">
      <c r="A24" s="11">
        <v>19</v>
      </c>
      <c r="B24" s="3" t="s">
        <v>20</v>
      </c>
      <c r="C24" s="3">
        <v>1</v>
      </c>
      <c r="D24" s="3" t="s">
        <v>37</v>
      </c>
      <c r="E24" s="5">
        <v>1325521.5599999998</v>
      </c>
      <c r="F24" s="5">
        <f t="shared" si="0"/>
        <v>1325521.5599999998</v>
      </c>
    </row>
    <row r="25" spans="1:6" x14ac:dyDescent="0.25">
      <c r="A25" s="11">
        <v>20</v>
      </c>
      <c r="B25" s="3" t="s">
        <v>21</v>
      </c>
      <c r="C25" s="3">
        <v>1</v>
      </c>
      <c r="D25" s="3" t="s">
        <v>37</v>
      </c>
      <c r="E25" s="5">
        <v>1343843.76</v>
      </c>
      <c r="F25" s="5">
        <f t="shared" si="0"/>
        <v>1343843.76</v>
      </c>
    </row>
    <row r="26" spans="1:6" x14ac:dyDescent="0.25">
      <c r="A26" s="11">
        <v>21</v>
      </c>
      <c r="B26" s="3" t="s">
        <v>22</v>
      </c>
      <c r="C26" s="3">
        <v>2</v>
      </c>
      <c r="D26" s="3" t="s">
        <v>37</v>
      </c>
      <c r="E26" s="5">
        <v>1021406.6799999999</v>
      </c>
      <c r="F26" s="5">
        <f t="shared" si="0"/>
        <v>2042813.3599999999</v>
      </c>
    </row>
    <row r="27" spans="1:6" x14ac:dyDescent="0.25">
      <c r="A27" s="11">
        <v>22</v>
      </c>
      <c r="B27" s="3" t="s">
        <v>23</v>
      </c>
      <c r="C27" s="3">
        <v>1</v>
      </c>
      <c r="D27" s="3" t="s">
        <v>37</v>
      </c>
      <c r="E27" s="5">
        <v>443989.99999999994</v>
      </c>
      <c r="F27" s="5">
        <f t="shared" si="0"/>
        <v>443989.99999999994</v>
      </c>
    </row>
    <row r="28" spans="1:6" x14ac:dyDescent="0.25">
      <c r="A28" s="11">
        <v>23</v>
      </c>
      <c r="B28" s="3" t="s">
        <v>24</v>
      </c>
      <c r="C28" s="3">
        <v>1</v>
      </c>
      <c r="D28" s="3" t="s">
        <v>37</v>
      </c>
      <c r="E28" s="5">
        <v>507066.16</v>
      </c>
      <c r="F28" s="5">
        <f t="shared" si="0"/>
        <v>507066.16</v>
      </c>
    </row>
    <row r="29" spans="1:6" x14ac:dyDescent="0.25">
      <c r="A29" s="11">
        <v>24</v>
      </c>
      <c r="B29" s="3" t="s">
        <v>25</v>
      </c>
      <c r="C29" s="3">
        <v>1</v>
      </c>
      <c r="D29" s="3" t="s">
        <v>37</v>
      </c>
      <c r="E29" s="5">
        <v>514734.92</v>
      </c>
      <c r="F29" s="5">
        <f t="shared" si="0"/>
        <v>514734.92</v>
      </c>
    </row>
    <row r="30" spans="1:6" x14ac:dyDescent="0.25">
      <c r="A30" s="11">
        <v>25</v>
      </c>
      <c r="B30" s="3" t="s">
        <v>26</v>
      </c>
      <c r="C30" s="3">
        <v>2</v>
      </c>
      <c r="D30" s="3" t="s">
        <v>37</v>
      </c>
      <c r="E30" s="5">
        <v>579983.76</v>
      </c>
      <c r="F30" s="5">
        <f t="shared" si="0"/>
        <v>1159967.52</v>
      </c>
    </row>
    <row r="31" spans="1:6" x14ac:dyDescent="0.25">
      <c r="A31" s="11">
        <v>26</v>
      </c>
      <c r="B31" s="3" t="s">
        <v>27</v>
      </c>
      <c r="C31" s="3">
        <v>4</v>
      </c>
      <c r="D31" s="3" t="s">
        <v>37</v>
      </c>
      <c r="E31" s="5">
        <v>346733.27999999997</v>
      </c>
      <c r="F31" s="5">
        <f t="shared" si="0"/>
        <v>1386933.1199999999</v>
      </c>
    </row>
    <row r="32" spans="1:6" x14ac:dyDescent="0.25">
      <c r="E32" s="1" t="s">
        <v>38</v>
      </c>
      <c r="F32" s="6">
        <f>SUM(F6:F31)</f>
        <v>12628908.399999999</v>
      </c>
    </row>
    <row r="33" spans="1:6" x14ac:dyDescent="0.25">
      <c r="E33" s="1" t="s">
        <v>31</v>
      </c>
      <c r="F33" s="6">
        <f>0.16*F32</f>
        <v>2020625.3439999998</v>
      </c>
    </row>
    <row r="34" spans="1:6" x14ac:dyDescent="0.25">
      <c r="E34" s="1" t="s">
        <v>38</v>
      </c>
      <c r="F34" s="6">
        <f>F32</f>
        <v>12628908.399999999</v>
      </c>
    </row>
    <row r="36" spans="1:6" x14ac:dyDescent="0.25">
      <c r="A36" s="10" t="s">
        <v>39</v>
      </c>
      <c r="C36" s="2" t="s">
        <v>42</v>
      </c>
    </row>
    <row r="37" spans="1:6" x14ac:dyDescent="0.25">
      <c r="A37" s="10" t="s">
        <v>40</v>
      </c>
      <c r="C37" s="2" t="s">
        <v>43</v>
      </c>
    </row>
    <row r="38" spans="1:6" x14ac:dyDescent="0.25">
      <c r="A38" s="10" t="s">
        <v>41</v>
      </c>
      <c r="C38" s="2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2026-09-18T07:19:34Z</dcterms:created>
  <dcterms:modified xsi:type="dcterms:W3CDTF">2026-09-18T13:02:34Z</dcterms:modified>
  <dc:language>en-US</dc:language>
</cp:coreProperties>
</file>