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29 janbolat aeroport ip provaider tagam\"/>
    </mc:Choice>
  </mc:AlternateContent>
  <xr:revisionPtr revIDLastSave="0" documentId="13_ncr:1_{2FFCEB12-3899-407C-92C4-54CBA79C6BDE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Kurallar" sheetId="1" r:id="rId1"/>
    <sheet name="fiyat calismasi burda" sheetId="2" r:id="rId2"/>
    <sheet name="СВО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0" i="2" l="1"/>
  <c r="G69" i="2"/>
  <c r="H69" i="2" s="1"/>
  <c r="G68" i="2"/>
  <c r="H68" i="2" s="1"/>
  <c r="H67" i="2"/>
  <c r="H66" i="2"/>
  <c r="G65" i="2"/>
  <c r="H65" i="2" s="1"/>
  <c r="G64" i="2"/>
  <c r="H64" i="2" s="1"/>
  <c r="G63" i="2"/>
  <c r="H63" i="2" s="1"/>
  <c r="I59" i="2"/>
  <c r="G59" i="2"/>
  <c r="H59" i="2" s="1"/>
  <c r="F59" i="2"/>
  <c r="B59" i="2"/>
  <c r="B58" i="2"/>
  <c r="H57" i="2"/>
  <c r="G57" i="2"/>
  <c r="B57" i="2"/>
  <c r="H56" i="2"/>
  <c r="G56" i="2"/>
  <c r="B56" i="2"/>
  <c r="H55" i="2"/>
  <c r="G55" i="2"/>
  <c r="B55" i="2"/>
  <c r="G54" i="2"/>
  <c r="H54" i="2" s="1"/>
  <c r="B54" i="2"/>
  <c r="H53" i="2"/>
  <c r="G53" i="2"/>
  <c r="B53" i="2"/>
  <c r="B52" i="2"/>
  <c r="I50" i="2"/>
  <c r="F50" i="2" s="1"/>
  <c r="H50" i="2"/>
  <c r="G50" i="2"/>
  <c r="B50" i="2"/>
  <c r="B49" i="2"/>
  <c r="H48" i="2"/>
  <c r="G48" i="2"/>
  <c r="B48" i="2"/>
  <c r="G47" i="2"/>
  <c r="H47" i="2" s="1"/>
  <c r="B47" i="2"/>
  <c r="H46" i="2"/>
  <c r="G46" i="2"/>
  <c r="B46" i="2"/>
  <c r="G45" i="2"/>
  <c r="H45" i="2" s="1"/>
  <c r="B45" i="2"/>
  <c r="H44" i="2"/>
  <c r="G44" i="2"/>
  <c r="B44" i="2"/>
  <c r="G43" i="2"/>
  <c r="H43" i="2" s="1"/>
  <c r="B43" i="2"/>
  <c r="H42" i="2"/>
  <c r="G42" i="2"/>
  <c r="B42" i="2"/>
  <c r="G41" i="2"/>
  <c r="H41" i="2" s="1"/>
  <c r="B41" i="2"/>
  <c r="H40" i="2"/>
  <c r="G40" i="2"/>
  <c r="B40" i="2"/>
  <c r="G39" i="2"/>
  <c r="H39" i="2" s="1"/>
  <c r="B39" i="2"/>
  <c r="H38" i="2"/>
  <c r="G38" i="2"/>
  <c r="B38" i="2"/>
  <c r="G37" i="2"/>
  <c r="H37" i="2" s="1"/>
  <c r="B37" i="2"/>
  <c r="H36" i="2"/>
  <c r="G36" i="2"/>
  <c r="B36" i="2"/>
  <c r="G35" i="2"/>
  <c r="H35" i="2" s="1"/>
  <c r="B35" i="2"/>
  <c r="H34" i="2"/>
  <c r="G34" i="2"/>
  <c r="B34" i="2"/>
  <c r="G33" i="2"/>
  <c r="H33" i="2" s="1"/>
  <c r="B33" i="2"/>
  <c r="B32" i="2"/>
  <c r="I30" i="2"/>
  <c r="F30" i="2" s="1"/>
  <c r="G30" i="2"/>
  <c r="H30" i="2" s="1"/>
  <c r="B30" i="2"/>
  <c r="B29" i="2"/>
  <c r="G28" i="2"/>
  <c r="H28" i="2" s="1"/>
  <c r="B28" i="2"/>
  <c r="H27" i="2"/>
  <c r="G27" i="2"/>
  <c r="B27" i="2"/>
  <c r="H26" i="2"/>
  <c r="G26" i="2"/>
  <c r="B26" i="2"/>
  <c r="H25" i="2"/>
  <c r="G25" i="2"/>
  <c r="B25" i="2"/>
  <c r="G24" i="2"/>
  <c r="H24" i="2" s="1"/>
  <c r="B24" i="2"/>
  <c r="H23" i="2"/>
  <c r="G23" i="2"/>
  <c r="B23" i="2"/>
  <c r="H22" i="2"/>
  <c r="G22" i="2"/>
  <c r="B22" i="2"/>
  <c r="H21" i="2"/>
  <c r="G21" i="2"/>
  <c r="B21" i="2"/>
  <c r="G20" i="2"/>
  <c r="H20" i="2" s="1"/>
  <c r="B20" i="2"/>
  <c r="H19" i="2"/>
  <c r="G19" i="2"/>
  <c r="B19" i="2"/>
  <c r="H18" i="2"/>
  <c r="G18" i="2"/>
  <c r="B18" i="2"/>
  <c r="G17" i="2"/>
  <c r="H17" i="2" s="1"/>
  <c r="B17" i="2"/>
  <c r="G16" i="2"/>
  <c r="H16" i="2" s="1"/>
  <c r="B16" i="2"/>
  <c r="H15" i="2"/>
  <c r="G15" i="2"/>
  <c r="B15" i="2"/>
  <c r="H14" i="2"/>
  <c r="G14" i="2"/>
  <c r="B14" i="2"/>
  <c r="G13" i="2"/>
  <c r="H13" i="2" s="1"/>
  <c r="B13" i="2"/>
  <c r="G12" i="2"/>
  <c r="H12" i="2" s="1"/>
  <c r="B12" i="2"/>
  <c r="H11" i="2"/>
  <c r="G11" i="2"/>
  <c r="B11" i="2"/>
  <c r="H10" i="2"/>
  <c r="G10" i="2"/>
  <c r="B10" i="2"/>
  <c r="G9" i="2"/>
  <c r="H9" i="2" s="1"/>
  <c r="B9" i="2"/>
  <c r="G8" i="2"/>
  <c r="H8" i="2" s="1"/>
  <c r="B8" i="2"/>
  <c r="H7" i="2"/>
  <c r="G7" i="2"/>
  <c r="B7" i="2"/>
  <c r="H6" i="2"/>
  <c r="G6" i="2"/>
  <c r="B6" i="2"/>
  <c r="G5" i="2"/>
  <c r="H5" i="2" s="1"/>
  <c r="B5" i="2"/>
  <c r="G4" i="2"/>
  <c r="H4" i="2" s="1"/>
  <c r="B4" i="2"/>
  <c r="H3" i="2"/>
  <c r="F29" i="2" s="1"/>
  <c r="G29" i="2" s="1"/>
  <c r="H29" i="2" s="1"/>
  <c r="G3" i="2"/>
  <c r="B3" i="2"/>
  <c r="B2" i="2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F49" i="2" l="1"/>
  <c r="G49" i="2" s="1"/>
  <c r="H49" i="2" s="1"/>
  <c r="H51" i="2"/>
  <c r="G3" i="3" s="1"/>
  <c r="F58" i="2"/>
  <c r="G58" i="2" s="1"/>
  <c r="H58" i="2" s="1"/>
  <c r="H60" i="2" s="1"/>
  <c r="G4" i="3" s="1"/>
  <c r="H31" i="2"/>
  <c r="G2" i="3" l="1"/>
  <c r="G5" i="3" s="1"/>
  <c r="H61" i="2"/>
</calcChain>
</file>

<file path=xl/sharedStrings.xml><?xml version="1.0" encoding="utf-8"?>
<sst xmlns="http://schemas.openxmlformats.org/spreadsheetml/2006/main" count="545" uniqueCount="273">
  <si>
    <t>TAGAM AEROPORT — 001-26-ЭОМ — BOM PARAMETRELERİ (03.08.2026)</t>
  </si>
  <si>
    <t>Parametre</t>
  </si>
  <si>
    <t>Değer</t>
  </si>
  <si>
    <t>Birim</t>
  </si>
  <si>
    <t>Açıklama / Kaynak</t>
  </si>
  <si>
    <t>TL/KZT kuru</t>
  </si>
  <si>
    <t>KZT</t>
  </si>
  <si>
    <t>03.08.2026 yaklaşık. Legrand TR fiyat listesi TL bazlıdır.</t>
  </si>
  <si>
    <t>LEGRAND net katsayısı</t>
  </si>
  <si>
    <t>-</t>
  </si>
  <si>
    <t>⚠ TEYİT EDİLMEDİ. Proje talimatlarında Legrand iskonto oranı tanımlı değil.</t>
  </si>
  <si>
    <t>CHINT net katsayısı</t>
  </si>
  <si>
    <t>Liste × 0,60 (%40 iskonto) — proje talimatı.</t>
  </si>
  <si>
    <t>EKT / IEK / UNIT / SAİMAN katsayısı</t>
  </si>
  <si>
    <t>Liste fiyatı = net.</t>
  </si>
  <si>
    <t>Montaj malzemesi oranı</t>
  </si>
  <si>
    <t>Pano malzeme ara toplamının %3'ü.</t>
  </si>
  <si>
    <t>İşçilik birim fiyatı</t>
  </si>
  <si>
    <t>KZT/dk</t>
  </si>
  <si>
    <t>Proje standardı.</t>
  </si>
  <si>
    <t>İŞÇİLİK NORMLARI (dakika)</t>
  </si>
  <si>
    <t>Tüm normlar bu sayfadan değiştirilir.</t>
  </si>
  <si>
    <t>OTO 1P</t>
  </si>
  <si>
    <t>dk/adet</t>
  </si>
  <si>
    <t>OTO 2P</t>
  </si>
  <si>
    <t>OTO 3P</t>
  </si>
  <si>
    <t>OTO 4P</t>
  </si>
  <si>
    <t>DİF 2P</t>
  </si>
  <si>
    <t>DİF 4P</t>
  </si>
  <si>
    <t>TMŞ ≤250A</t>
  </si>
  <si>
    <t>TMŞ 315–630A</t>
  </si>
  <si>
    <t>Sayaç + akım trafosu seti</t>
  </si>
  <si>
    <t>dk/set</t>
  </si>
  <si>
    <t>Röle / modüler cihaz</t>
  </si>
  <si>
    <t>Klemens</t>
  </si>
  <si>
    <t>Bakır bara</t>
  </si>
  <si>
    <t>dk/metre</t>
  </si>
  <si>
    <t>N/PE şina</t>
  </si>
  <si>
    <t>DIN ray + kablo kanalı</t>
  </si>
  <si>
    <t>Korpus hazırlık — yer tipi</t>
  </si>
  <si>
    <t>Korpus hazırlık — orta</t>
  </si>
  <si>
    <t>Korpus hazırlık — küçük</t>
  </si>
  <si>
    <t>ЩС üstten kablo girişi dizayn ilavesi</t>
  </si>
  <si>
    <t>dk/pano</t>
  </si>
  <si>
    <t>Klemens üstte / ana şalter altta düzeni — ilave dikey kablolama.</t>
  </si>
  <si>
    <t>Test / etiketleme / kontrol çarpanı</t>
  </si>
  <si>
    <t>FİYAT LİSTESİ YAŞ DENETİMİ</t>
  </si>
  <si>
    <t>Marka</t>
  </si>
  <si>
    <t>Liste tarihi</t>
  </si>
  <si>
    <t>Yaş (ay)</t>
  </si>
  <si>
    <t>YAS_DURUM</t>
  </si>
  <si>
    <t>CHINT</t>
  </si>
  <si>
    <t>SAİMAN</t>
  </si>
  <si>
    <t>LEGRAND</t>
  </si>
  <si>
    <t>ABB</t>
  </si>
  <si>
    <t>SCHNEIDER</t>
  </si>
  <si>
    <t>EKT</t>
  </si>
  <si>
    <t>CNC</t>
  </si>
  <si>
    <t>TEKSAN</t>
  </si>
  <si>
    <t>KLEMSAN</t>
  </si>
  <si>
    <t>ONKA</t>
  </si>
  <si>
    <t>EKF</t>
  </si>
  <si>
    <t>KURALLAR / UYARILAR / TESPİT EDİLEN HATALAR</t>
  </si>
  <si>
    <t>1</t>
  </si>
  <si>
    <t>SAYAÇ TİPİ — STAJYER BOM'UNDAKİ HATA DÜZELTİLDİ. Şemada ТА1-ТА3 Т-0,66 400/5 akım trafosu var, yani sayaç TRANSFORMATÖR bağlantılıdır. Stajyer BOM'unda direkt bağlantılı ДАЛА СА4-Э720 (5-60А) seçilmiş — YANLIŞ. Doğrusu 'У' tipi: ДАЛА СА4У-Э720 (5-7,5А). Sayaç modeli ЭнергоСбыт/АЖК ile teyit edilmeli.</t>
  </si>
  <si>
    <t>2</t>
  </si>
  <si>
    <t>AKIM TRAFOSU — Şemada Т-0,66 400/5. SAİMAN listesinde 400А için ТШП-0,66 kl.0,5 mevcut (art. VI). Ticari ölçüm için kl.0,5 zorunludur. 3 adet (üç fazlı ölçüm).</t>
  </si>
  <si>
    <t>3</t>
  </si>
  <si>
    <t>LEGRAND İSKONTO ORANI TEYİT EDİLMEDİ. Kurallar!B4 = 0,50 varsayılan olarak kullanıldı. Gerçek proje iskontosu girilmeden teklif gönderilmemelidir.</t>
  </si>
  <si>
    <t>4</t>
  </si>
  <si>
    <t>TL/KZT KURU (Kurallar!B3 = 10,10) yaklaşıktır. BOM günündeki resmî kur ile güncellenmelidir.</t>
  </si>
  <si>
    <t>5</t>
  </si>
  <si>
    <t>KORPUS — Çizimde ЩУР 2000×800×450, ЩС 1800×800×450. EKT listesinde 2000 mm yükseklik YOK. Her iki pano için 1800×800×450 (щт-0001641) fiyatlandırıldı. ЩУР için 2000 mm gerekiyorsa TEKSAN'dan özel imalat teklifi alınmalıdır. Stajyer BOM'undaki 1700×700×450 ölçüsü çizime UYMUYOR.</t>
  </si>
  <si>
    <t>6</t>
  </si>
  <si>
    <t>TEKSAN FİYAT LİSTESİ PROJEDE YOK. Korpus fiyatı EKT listesinden alınmıştır (EKT ⚠ 13,5 ay — uyarı seviyesinde, kullanılabilir).</t>
  </si>
  <si>
    <t>7</t>
  </si>
  <si>
    <t>ЩС DİZAYN DEĞİŞİKLİĞİ (müşteri talebi): kablo girişleri pano ÜSTÜNDEN, klemensler ÜST tarafta, ana şalter ALTTA. Etkileri: (a) üst kablo giriş flanşı + rakor takımı gerekir — montaj malzemesine dahil edildi; (b) ana şalterden üst dağıtıma dikey bakır bara yükselticisi gerekir — bara miktarı 6 m'ye çıkarıldı; (c) dikey kablo kanalı ilavesi — kanal 14 m; (d) işçilik +120 dk (Kurallar!B28).</t>
  </si>
  <si>
    <t>8</t>
  </si>
  <si>
    <t>РН-47 GERİLİM RÖLESİ — Şemada ЩУР QF10/QF11/QF12 ÜÇ FAZLI (3P C16, кондиционер К5-К7) devrelerde РН-47 gösterilmiş. РН-47 (EKF) 1P+N cihazdır; üç fazlı devreye uygun değildir. CHINT OUVR-1 63A 3P+N (art. 296662) ile fiyatlandırıldı. Proje müellifi ile TEYİT EDİLMELİ.</t>
  </si>
  <si>
    <t>9</t>
  </si>
  <si>
    <t>EKF FİYAT LİSTESİ 22.02.2022 — YASAK (53 ay). РН-47 orijinal markası EKF olduğu için CHINT muadili kullanıldı (CHINT listesi 28.07.2026, güncel).</t>
  </si>
  <si>
    <t>10</t>
  </si>
  <si>
    <t>YANGIN ALGILAMA SİNYAL KABLOSU — Hem ЩУР hem ЩС şemasında 'Сигнальный кабель от пожарной сигнализации' kesikli çizgiyle gösterilmiş, ANCAK bağlanacağı cihaz (независимый расцепитель / kontaktör) şemada YOK. KONTROL bölümünde Qty=0 ile listelendi. Proje müellifinden netleştirilmeli.</t>
  </si>
  <si>
    <t>11</t>
  </si>
  <si>
    <t>PARAFUDR (ОПН/SPD) ŞEMADA YOK. ПУЭ/СН РК açısından ЩУР girişine Tip 2 parafudr önerilir. KONTROL bölümünde Qty=0.</t>
  </si>
  <si>
    <t>12</t>
  </si>
  <si>
    <t>YEREL KUTULAR — Spesifikasyon l.1'de 'Бокс 4-х модульный IP44 — 5 adet' + 4P difaütomatlar (Б1, ТХ1, ТХ2, ТХ3, ТХ4) listelenmiş. Bunlar ЩУР/ЩС içi DEĞİL, cihaz yanına monte edilen ayrı kutulardır. Stajyer BOM'unda TAMAMEN ATLANMIŞ. 3. blok olarak eklendi. Legrand Plexo³ IP65 4 modül (6 019 94) kullanıldı (IP44 → IP65 yukarı yönlü).</t>
  </si>
  <si>
    <t>13</t>
  </si>
  <si>
    <t>QF1 (ЩУР → ЩС, kablo 5х35, Iр=81,3А) klemense bağlanmaz, doğrudan DPX³ 160 klemenslerine bağlanır. Klemens hesabına dahil edilmedi.</t>
  </si>
  <si>
    <t>14</t>
  </si>
  <si>
    <t>PE iletkenleri klemense değil PE şinasına bağlanır. Faz ve N iletkenleri Viking³ klemenslere bağlanır (N mavi klemens).</t>
  </si>
  <si>
    <t>15</t>
  </si>
  <si>
    <t>TARAK BARA (шина соединительная) KULLANILMADI. Legrand DX³ difaütomatlarına farklı marka tarak bara takılması önerilmez. Bakır bara + tekli köprüleme yapılır; işçilik buna göre hesaplandı.</t>
  </si>
  <si>
    <t>16</t>
  </si>
  <si>
    <t>KABLO KANALI — Legrand Lina 25 40×60 (0 362 07) fiyatlandırıldı. Daha ekonomik alternatif: IEK ИМПАКТ 40×60 perfore kanal (EKT art. 270300105_). Müşteri onayına göre değiştirilebilir.</t>
  </si>
  <si>
    <t>17</t>
  </si>
  <si>
    <t>DIF 4P ALTERNATİFİ — 4P difaütomat (DX³, ~14.100 TL) yerine 4P kaçak akım anahtarı (DX³ 4P 25A 30mA, 4 116 60 = 5.310 TL) + 4P otomat (XG6, ~2.160 TL) kombinasyonu daha ekonomiktir (~7.470 TL), ancak modül genişliği 4 → 8'e çıkar. Şemaya sadık kalınarak difaütomat seçildi.</t>
  </si>
  <si>
    <t>18</t>
  </si>
  <si>
    <t>MODÜL SAYIMI — ЩУР: 70 modül (%20 yedek ile 84) → 4 sıra. ЩС: 80 modül (%20 yedek ile 96) → 3 cihaz sırası + 2 klemens sırası. 800 mm genişlikte sıra başına ~33 modül. Korpus YETERLİDİR.</t>
  </si>
  <si>
    <t>19</t>
  </si>
  <si>
    <t>SAYIM DOĞRULAMA — ЩУР: QF1…QF22 = 22 çıkış, 'Маркировка группы' satırı ile birebir uyumlu (нЩС, Р22, ТХ1-ТХ6, К4-К7, Р26-Р35). ЩС: QF1…QF47 = 47 çıkış (ГР.1-ГР.14 + ГР.16-ГР.21 = 20 aydınlatma; Р1-Р21 + Р23-Р25 = 24 priz; К1-К3 = 3 klima). ГР.15 ve Р22 şemada YOK — Р22 ЩУР'da Б1 olarak mevcut, ГР.15 numaralama boşluğudur.</t>
  </si>
  <si>
    <t>20</t>
  </si>
  <si>
    <t>KABLO KESİT DOĞRULAMASI — ЩС şemasından sayılan kablolar: 3х1,5 = 20 ad, 3х2,5 = 25 ad, 3х4 = 2 ad (toplam 47 ✓). Spesifikasyon l.1 metrajı ile uyumludur.</t>
  </si>
  <si>
    <t>21</t>
  </si>
  <si>
    <t>ЩУР GİRİŞ KABLOSU spesifikasyonda YOK (Ip=362,5А). Bu bölüm kapsamı dışındadır — ТП/ВРУ projesinden alınmalıdır.</t>
  </si>
  <si>
    <t>22</t>
  </si>
  <si>
    <t>L sütunu = liste para birimi, M sütunu = açıklama olarak eklenmiştir (standart şablona ilave).</t>
  </si>
  <si>
    <t>23</t>
  </si>
  <si>
    <t>KONTROL ve KAPSAM DIŞI bölümleri SUBTOTAL aralığının DIŞINDADIR, toplamları etkilemez.</t>
  </si>
  <si>
    <t>24</t>
  </si>
  <si>
    <t>TAM LEGRAND VERSİYONU. Legrand'ın tedarik edebildiği her kalem Legrand seçildi: şalterler (DPX³/DX³/XG6), klemensler (Viking³ faz/nötr/PE), akım trafoları, N dağıtım barası, kablo kanalı (Lina 25), yerel kutular (Plexo³).</t>
  </si>
  <si>
    <t>25</t>
  </si>
  <si>
    <t>LEGRAND'DAN TEDARİK EDİLEMEYEN 4 KALEM: (a) yer tipi korpus 800×1800×450 — Legrand TR Ekim 2025 listesinde XL³ 4000/800 yer tipi pano YOK, sadece XL³ 160 duvar tipi (maks. 96 modül, DPX³ 160'a kadar). EKT korpus ile fiyatlandırıldı. (b) ham bakır ana bara — EKT. (c) DIN ray — CHINT. (d) gerilim rölesi (РН-47 muadili) — CHINT OUVR. (e) elektrik sayacı — SAİMAN (Kazakistan ölçüm sicili zorunluluğu).</t>
  </si>
  <si>
    <t>26</t>
  </si>
  <si>
    <t>AKIM TRAFOSU MARKA SEÇİMİ — Legrand 4 121 25 (400/5, 8VA, kl.0,5) kullanıldı. ANCAK ticari (коммерческий) ölçümde Kazakistan'da trafonun ГосРеестр СИ kaydı aranır. Legrand trafolarının kaydı teyit edilmezse SAİMAN ТШП-0,66 400/5 (art. VI) kullanılmalıdır — KONTROL bölümünde listelendi.</t>
  </si>
  <si>
    <t>27</t>
  </si>
  <si>
    <t>PE BAĞLANTISI — v3'te PE iletkenleri Viking³ sarı-yeşil topraklama klemenslerine bağlanır (ЩУР 21 ad., ЩС 47 ad.), N dağıtımı Legrand bronz bara (0 373 00) ile yapılır. Bu nedenle klemens adedi v2'ye göre arttı (ЩУР 62→83, ЩС 94→141) ve işçilik buna göre yeniden hesaplandı.</t>
  </si>
  <si>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</si>
  <si>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</si>
  <si>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</si>
  <si>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</si>
  <si>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</si>
  <si>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</si>
  <si>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</si>
  <si>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</si>
  <si>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</si>
  <si>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ЩУР — Щит учетно-распределительный (л.2), 1800×800×450, напольный</t>
  </si>
  <si>
    <t>комплект</t>
  </si>
  <si>
    <t>TEKLED</t>
  </si>
  <si>
    <t>korpus</t>
  </si>
  <si>
    <t>щт-0001641</t>
  </si>
  <si>
    <t>Корпус ВРУ сборный 1800х800х450 IP31, металл (по чертежу 2000х800х450 — см. Kurallar п.5)</t>
  </si>
  <si>
    <t>шт</t>
  </si>
  <si>
    <t>TMŞ</t>
  </si>
  <si>
    <t>4 220 02</t>
  </si>
  <si>
    <t>DPX³ 630 автомат. выключатель 3P, TM, In=400A, Icu=36кА (ввод, QF)</t>
  </si>
  <si>
    <t>tt</t>
  </si>
  <si>
    <t>4 121 25</t>
  </si>
  <si>
    <t>Трансформатор тока однофазный 400/5, 8ВА, кл. 0,5 (ТА1-ТА3)</t>
  </si>
  <si>
    <t>sayac</t>
  </si>
  <si>
    <t>LQ</t>
  </si>
  <si>
    <t>Счётчик ДАЛА СА4У-Э720 R TX IP П RS1 Д W, 3х220/380В, 5-7,5А (трансформаторного включения)</t>
  </si>
  <si>
    <t>4 200 45</t>
  </si>
  <si>
    <t>DPX³ 160 автомат. выключатель 3P, TM, In=100A, Icu=25кА (QF1 → ЩС)</t>
  </si>
  <si>
    <t>DİF</t>
  </si>
  <si>
    <t>4 111 86</t>
  </si>
  <si>
    <t>DX³ дифавтомат 4P, C16, 30мА, тип AC (QF2 / Р22-Б1, водонагреватель)</t>
  </si>
  <si>
    <t>4 111 88</t>
  </si>
  <si>
    <t>DX³ дифавтомат 4P, C25, 30мА, тип AC (QF3 / ТХ1, мойка)</t>
  </si>
  <si>
    <t>4 111 87</t>
  </si>
  <si>
    <t>DX³ дифавтомат 4P, C20, 30мА, тип AC (QF4 / ТХ2, пароварка)</t>
  </si>
  <si>
    <t>4 111 89</t>
  </si>
  <si>
    <t>DX³ дифавтомат 4P, C32, 30мА, тип AC (QF5-QF8 / ТХ3-ТХ6)</t>
  </si>
  <si>
    <t>4 111 59</t>
  </si>
  <si>
    <t>DX³ дифавтомат 2P, C20, 30мА, тип AC (QF9, QF13-QF22)</t>
  </si>
  <si>
    <t>OTO</t>
  </si>
  <si>
    <t>4 336 91</t>
  </si>
  <si>
    <t>XG6 автоматический выключатель 3P, C16, 6кА (QF10-QF12 / К5-К7, кондиционеры)</t>
  </si>
  <si>
    <t>Röle</t>
  </si>
  <si>
    <t>296662</t>
  </si>
  <si>
    <t>Реле напряжения OUVR-1 63A, 3P+N (для QF10-QF12, взамен РН-47)</t>
  </si>
  <si>
    <t>448784</t>
  </si>
  <si>
    <t>Реле напряжения с дисплеем OUVR-3 63A, 1P+N (для QF13, взамен РН-47)</t>
  </si>
  <si>
    <t>0 371 60</t>
  </si>
  <si>
    <t>Viking³ клемма винтовая 2,5мм², серая (фазные проводники)</t>
  </si>
  <si>
    <t>0 371 00</t>
  </si>
  <si>
    <t>Viking³ клемма винтовая 2,5мм², синяя (нейтраль N)</t>
  </si>
  <si>
    <t>0 371 61</t>
  </si>
  <si>
    <t>Viking³ клемма винтовая 4мм², серая (ТХ1, кабель 5х4)</t>
  </si>
  <si>
    <t>0 371 01</t>
  </si>
  <si>
    <t>Viking³ клемма винтовая 4мм², синяя (N)</t>
  </si>
  <si>
    <t>0 371 62</t>
  </si>
  <si>
    <t>Viking³ клемма винтовая 6мм², серая (ТХ3-ТХ6, кабель 5х6)</t>
  </si>
  <si>
    <t>0 371 02</t>
  </si>
  <si>
    <t>Viking³ клемма винтовая 6мм², синяя (N)</t>
  </si>
  <si>
    <t>0 371 70</t>
  </si>
  <si>
    <t>Viking³ клемма заземления PE 2,5мм², жёлто-зелёная</t>
  </si>
  <si>
    <t>0 371 71</t>
  </si>
  <si>
    <t>Viking³ клемма заземления PE 4мм², жёлто-зелёная</t>
  </si>
  <si>
    <t>0 371 72</t>
  </si>
  <si>
    <t>Viking³ клемма заземления PE 6мм², жёлто-зелёная</t>
  </si>
  <si>
    <t>LOOBAR</t>
  </si>
  <si>
    <t>0 373 00</t>
  </si>
  <si>
    <t>Шина бронзовая распределительная 416 мм (N)</t>
  </si>
  <si>
    <t>130300323_</t>
  </si>
  <si>
    <t>Шина медная 4х40х4000 (L1, L2, L3, N, PE — главные шины)</t>
  </si>
  <si>
    <t>DIN ray</t>
  </si>
  <si>
    <t>570003</t>
  </si>
  <si>
    <t>DIN-рейка оцинкованная TH35-7.5, 100 см</t>
  </si>
  <si>
    <t>kablo kanalı</t>
  </si>
  <si>
    <t>0 362 07</t>
  </si>
  <si>
    <t>Lina 25 кабель-канал перфорированный 40х60 мм</t>
  </si>
  <si>
    <t>м</t>
  </si>
  <si>
    <t>монтажный материал</t>
  </si>
  <si>
    <t>—</t>
  </si>
  <si>
    <t>Монтажный материал (наконечники, маркировка, крепёж, кабельные вводы)</t>
  </si>
  <si>
    <t>компл.</t>
  </si>
  <si>
    <t>монтажная работа</t>
  </si>
  <si>
    <t>Сборка, монтаж, маркировка, испытания (норма-минуты)</t>
  </si>
  <si>
    <t>мин</t>
  </si>
  <si>
    <t>Итого ЩУР</t>
  </si>
  <si>
    <t>ИТОГО ЩУР</t>
  </si>
  <si>
    <t>ЩС — Щит силовой (л.3), 1800×800×450, напольный — ввод кабелей СВЕРХУ, клеммы вверху, вводной аппарат внизу</t>
  </si>
  <si>
    <t>Корпус ВРУ сборный 1800х800х450 IP31, металл — верхний кабельный ввод, клеммный ряд вверху, вводной аппарат внизу</t>
  </si>
  <si>
    <t>DPX³ 160 автомат. выключатель 3P, TM, In=100A, Icu=25кА (ввод, внизу панели)</t>
  </si>
  <si>
    <t>4 336 38</t>
  </si>
  <si>
    <t>XG6 автоматический выключатель 1P, C10, 6кА (QF1-QF20 / ГР.1-ГР.21, освещение)</t>
  </si>
  <si>
    <t>DX³ дифавтомат 2P, C20, 30мА, тип AC (QF21, QF23-QF43, QF45-QF47)</t>
  </si>
  <si>
    <t>4 111 60</t>
  </si>
  <si>
    <t>DX³ дифавтомат 2P, C25, 30мА, тип AC (QF22 / Р2, QF44 / Р25 — фритюрницы)</t>
  </si>
  <si>
    <t>Реле напряжения с дисплеем OUVR-3 63A, 1P+N (QF45-QF47 / К1-К3, взамен РН-47)</t>
  </si>
  <si>
    <t>Viking³ клемма винтовая 4мм², серая (Р2, Р25 — кабель 3х4)</t>
  </si>
  <si>
    <t>130300473_</t>
  </si>
  <si>
    <t>Шина медная 3х20х4000 (L1, L2, L3, N + вертикальный стояк снизу вверх)</t>
  </si>
  <si>
    <t>Lina 25 кабель-канал перфорированный 40х60 мм (вкл. вертикальные участки)</t>
  </si>
  <si>
    <t>Итого ЩС</t>
  </si>
  <si>
    <t>ИТОГО ЩС</t>
  </si>
  <si>
    <t>ЩЛ-1…ЩЛ-5 — Локальные боксы 4 мод. IP65 у оборудования (по спецификации л.1)</t>
  </si>
  <si>
    <t>6 019 94</t>
  </si>
  <si>
    <t>Plexo³ бокс 4 модуля, IP65, 128х200х115,6 мм (взамен 'Бокс 4-х модульный IP44')</t>
  </si>
  <si>
    <t>DX³ дифавтомат 4P, C16, 30мА, тип AC — для Б1</t>
  </si>
  <si>
    <t>DX³ дифавтомат 4P, C20, 30мА, тип AC — для ТХ2</t>
  </si>
  <si>
    <t>DX³ дифавтомат 4P, C25, 30мА, тип AC — для ТХ1</t>
  </si>
  <si>
    <t>DX³ дифавтомат 4P, C32, 30мА, тип AC — для ТХ3, ТХ4</t>
  </si>
  <si>
    <t>Итого ЩЛ-1…ЩЛ-5</t>
  </si>
  <si>
    <t>ИТОГО ЩЛ-1…ЩЛ-5</t>
  </si>
  <si>
    <t>ВСЕГО ПО ПРОЕКТУ (ЩУР + ЩС + ЩЛ)</t>
  </si>
  <si>
    <t>KONTROL EDİLECEK — Кол-во = 0, В ИТОГИ НЕ ВХОДИТ</t>
  </si>
  <si>
    <t>KONTROL</t>
  </si>
  <si>
    <t>4 222 42</t>
  </si>
  <si>
    <t>Расцепитель независимый DPX³ 630, 230В (отключение ЩУР по сигналу пожарной сигнализации)</t>
  </si>
  <si>
    <t>4 210 16</t>
  </si>
  <si>
    <t>Расцепитель независимый DPX³ 160, 200-277В (отключение ЩС по сигналу пожарной сигнализации)</t>
  </si>
  <si>
    <t>blok</t>
  </si>
  <si>
    <t>4 210 11</t>
  </si>
  <si>
    <t>Вспомогательный контакт 1НО+1НЗ для DPX³ (сигнализация положения)</t>
  </si>
  <si>
    <t>opn</t>
  </si>
  <si>
    <t>ОПН / УЗИП Тип 2, 3P+N (ввод ЩУР)</t>
  </si>
  <si>
    <t>Корпус 2000х800х450 (по чертежу ЩУР) — спецзаказ TEKSAN</t>
  </si>
  <si>
    <t>0 200 46</t>
  </si>
  <si>
    <t>XL³ 160 шкаф под DPX³ 160, 4 ряда / 96 мод., 575х1050х147 (альтернатива для ЩС)</t>
  </si>
  <si>
    <t>0 200 21</t>
  </si>
  <si>
    <t>XL³ 160 плата кабельного ввода с сальниками (верхний ввод)</t>
  </si>
  <si>
    <t>VI</t>
  </si>
  <si>
    <t>Трансформатор тока ТШП-0,66 У3 кл.0,5 400/5 (SAİMAN — альтернатива Legrand ТТ)</t>
  </si>
  <si>
    <t>KAPSAM DIŞI / ВНЕ ОБЪЁМА ПАНЕЛЕЙ — кабельная продукция (спецификация л.1), реальные количества</t>
  </si>
  <si>
    <t>KAPSAM DIŞI</t>
  </si>
  <si>
    <t>кабель</t>
  </si>
  <si>
    <t>Кабель силовой с медной жилой ВВГнг(А)-LS 2х1,5</t>
  </si>
  <si>
    <t>Кабель силовой с медной жилой ВВГнг(А)-LS 3х1,5</t>
  </si>
  <si>
    <t>Кабель силовой с медной жилой ВВГнг(А)-LS 3х2,5</t>
  </si>
  <si>
    <t>Кабель силовой с медной жилой ВВГнг(А)-LS 3х4</t>
  </si>
  <si>
    <t>Кабель силовой с медной жилой ВВГнг(А)-LS 5х2,5</t>
  </si>
  <si>
    <t>Кабель силовой с медной жилой ВВГнг(А)-LS 5х4</t>
  </si>
  <si>
    <t>Кабель силовой с медной жилой ВВГнг(А)-LS 5х6</t>
  </si>
  <si>
    <t>Кабель силовой с медной жилой ВВГнг(А)-LS 5х35</t>
  </si>
  <si>
    <t>№</t>
  </si>
  <si>
    <t>Обозначение</t>
  </si>
  <si>
    <t>Наименование щита</t>
  </si>
  <si>
    <t>Габарит, мм</t>
  </si>
  <si>
    <t>Кол-во</t>
  </si>
  <si>
    <t>Сумма, KZT</t>
  </si>
  <si>
    <t>ЩУР</t>
  </si>
  <si>
    <t>Щит учетно-распределительный (л.2)</t>
  </si>
  <si>
    <t>1800×800×450</t>
  </si>
  <si>
    <t>ЩС</t>
  </si>
  <si>
    <t>Щит силовой (л.3) — верхний кабельный ввод</t>
  </si>
  <si>
    <t>ЩЛ-1…ЩЛ-5</t>
  </si>
  <si>
    <t>Локальные боксы 4 мод. IP65 (спец. л.1)</t>
  </si>
  <si>
    <t>128×200×116</t>
  </si>
  <si>
    <t>ВСЕГО</t>
  </si>
  <si>
    <t>Все параметры, коэффициенты и нормы — на листе Kurallar (жёлтые ячейки).</t>
  </si>
  <si>
    <t>Разделы KONTROL и KAPSAM DIŞI на листе "fiyat calismasi burda" в итоги НЕ входят.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</si>
</sst>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"/>
  </numFmts>
  <fonts count="7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FCE4D6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3" borderId="1" xfId="0" applyFont="1" applyFill="1" applyBorder="1"/>
    <xf numFmtId="0" fontId="4" fillId="3" borderId="1" xfId="0" applyFont="1" applyFill="1" applyBorder="1"/>
    <xf numFmtId="164" fontId="2" fillId="3" borderId="0" xfId="0" applyNumberFormat="1" applyFont="1" applyFill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3" fillId="4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4" fontId="2" fillId="0" borderId="1" xfId="0" applyNumberFormat="1" applyFont="1" applyBorder="1"/>
    <xf numFmtId="3" fontId="2" fillId="0" borderId="1" xfId="0" applyNumberFormat="1" applyFont="1" applyBorder="1"/>
    <xf numFmtId="165" fontId="2" fillId="0" borderId="1" xfId="0" applyNumberFormat="1" applyFont="1" applyBorder="1"/>
    <xf numFmtId="3" fontId="3" fillId="4" borderId="1" xfId="0" applyNumberFormat="1" applyFont="1" applyFill="1" applyBorder="1"/>
    <xf numFmtId="0" fontId="5" fillId="2" borderId="1" xfId="0" applyFont="1" applyFill="1" applyBorder="1"/>
    <xf numFmtId="3" fontId="5" fillId="2" borderId="1" xfId="0" applyNumberFormat="1" applyFont="1" applyFill="1" applyBorder="1"/>
    <xf numFmtId="0" fontId="3" fillId="5" borderId="1" xfId="0" applyFont="1" applyFill="1" applyBorder="1"/>
    <xf numFmtId="0" fontId="2" fillId="5" borderId="1" xfId="0" applyFont="1" applyFill="1" applyBorder="1"/>
    <xf numFmtId="4" fontId="2" fillId="5" borderId="1" xfId="0" applyNumberFormat="1" applyFont="1" applyFill="1" applyBorder="1"/>
    <xf numFmtId="3" fontId="2" fillId="5" borderId="1" xfId="0" applyNumberFormat="1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zoomScaleNormal="100" workbookViewId="0"/>
  </sheetViews>
  <sheetFormatPr defaultColWidth="8.7109375" defaultRowHeight="15" x14ac:dyDescent="0.25"/>
  <cols>
    <col min="1" max="1" width="38" customWidth="1"/>
    <col min="2" max="3" width="12" customWidth="1"/>
    <col min="4" max="4" width="95" customWidth="1"/>
  </cols>
  <sheetData>
    <row r="1" spans="1:4" ht="15" customHeight="1" x14ac:dyDescent="0.25">
      <c r="A1" s="1" t="s">
        <v>0</v>
      </c>
      <c r="B1" s="2"/>
      <c r="C1" s="2"/>
      <c r="D1" s="2"/>
    </row>
    <row r="2" spans="1:4" ht="15" customHeigh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15" customHeight="1" x14ac:dyDescent="0.25">
      <c r="A3" s="2" t="s">
        <v>5</v>
      </c>
      <c r="B3" s="4">
        <v>10.1</v>
      </c>
      <c r="C3" s="2" t="s">
        <v>6</v>
      </c>
      <c r="D3" s="2" t="s">
        <v>7</v>
      </c>
    </row>
    <row r="4" spans="1:4" ht="15" customHeight="1" x14ac:dyDescent="0.25">
      <c r="A4" s="2" t="s">
        <v>8</v>
      </c>
      <c r="B4" s="5">
        <v>0.5</v>
      </c>
      <c r="C4" s="2" t="s">
        <v>9</v>
      </c>
      <c r="D4" s="2" t="s">
        <v>10</v>
      </c>
    </row>
    <row r="5" spans="1:4" ht="15" customHeight="1" x14ac:dyDescent="0.25">
      <c r="A5" s="2" t="s">
        <v>11</v>
      </c>
      <c r="B5" s="4">
        <v>0.6</v>
      </c>
      <c r="C5" s="2" t="s">
        <v>9</v>
      </c>
      <c r="D5" s="2" t="s">
        <v>12</v>
      </c>
    </row>
    <row r="6" spans="1:4" ht="15" customHeight="1" x14ac:dyDescent="0.25">
      <c r="A6" s="2" t="s">
        <v>13</v>
      </c>
      <c r="B6" s="4">
        <v>1</v>
      </c>
      <c r="C6" s="2" t="s">
        <v>9</v>
      </c>
      <c r="D6" s="2" t="s">
        <v>14</v>
      </c>
    </row>
    <row r="7" spans="1:4" ht="15" customHeight="1" x14ac:dyDescent="0.25">
      <c r="A7" s="2" t="s">
        <v>15</v>
      </c>
      <c r="B7" s="4">
        <v>0.03</v>
      </c>
      <c r="C7" s="2" t="s">
        <v>9</v>
      </c>
      <c r="D7" s="2" t="s">
        <v>16</v>
      </c>
    </row>
    <row r="8" spans="1:4" ht="15" customHeight="1" x14ac:dyDescent="0.25">
      <c r="A8" s="2" t="s">
        <v>17</v>
      </c>
      <c r="B8" s="4">
        <v>100</v>
      </c>
      <c r="C8" s="2" t="s">
        <v>18</v>
      </c>
      <c r="D8" s="2" t="s">
        <v>19</v>
      </c>
    </row>
    <row r="9" spans="1:4" ht="15" customHeight="1" x14ac:dyDescent="0.25">
      <c r="A9" s="3" t="s">
        <v>20</v>
      </c>
      <c r="B9" s="2"/>
      <c r="C9" s="2"/>
      <c r="D9" s="2" t="s">
        <v>21</v>
      </c>
    </row>
    <row r="10" spans="1:4" ht="15" customHeight="1" x14ac:dyDescent="0.25">
      <c r="A10" s="2" t="s">
        <v>22</v>
      </c>
      <c r="B10" s="4">
        <v>10</v>
      </c>
      <c r="C10" s="2" t="s">
        <v>23</v>
      </c>
      <c r="D10" s="2"/>
    </row>
    <row r="11" spans="1:4" ht="15" customHeight="1" x14ac:dyDescent="0.25">
      <c r="A11" s="2" t="s">
        <v>24</v>
      </c>
      <c r="B11" s="4">
        <v>14</v>
      </c>
      <c r="C11" s="2" t="s">
        <v>23</v>
      </c>
      <c r="D11" s="2"/>
    </row>
    <row r="12" spans="1:4" ht="15" customHeight="1" x14ac:dyDescent="0.25">
      <c r="A12" s="2" t="s">
        <v>25</v>
      </c>
      <c r="B12" s="4">
        <v>18</v>
      </c>
      <c r="C12" s="2" t="s">
        <v>23</v>
      </c>
      <c r="D12" s="2"/>
    </row>
    <row r="13" spans="1:4" ht="15" customHeight="1" x14ac:dyDescent="0.25">
      <c r="A13" s="2" t="s">
        <v>26</v>
      </c>
      <c r="B13" s="4">
        <v>22</v>
      </c>
      <c r="C13" s="2" t="s">
        <v>23</v>
      </c>
      <c r="D13" s="2"/>
    </row>
    <row r="14" spans="1:4" ht="15" customHeight="1" x14ac:dyDescent="0.25">
      <c r="A14" s="2" t="s">
        <v>27</v>
      </c>
      <c r="B14" s="4">
        <v>16</v>
      </c>
      <c r="C14" s="2" t="s">
        <v>23</v>
      </c>
      <c r="D14" s="2"/>
    </row>
    <row r="15" spans="1:4" ht="15" customHeight="1" x14ac:dyDescent="0.25">
      <c r="A15" s="2" t="s">
        <v>28</v>
      </c>
      <c r="B15" s="4">
        <v>24</v>
      </c>
      <c r="C15" s="2" t="s">
        <v>23</v>
      </c>
      <c r="D15" s="2"/>
    </row>
    <row r="16" spans="1:4" ht="15" customHeight="1" x14ac:dyDescent="0.25">
      <c r="A16" s="2" t="s">
        <v>29</v>
      </c>
      <c r="B16" s="4">
        <v>60</v>
      </c>
      <c r="C16" s="2" t="s">
        <v>23</v>
      </c>
      <c r="D16" s="2"/>
    </row>
    <row r="17" spans="1:4" ht="15" customHeight="1" x14ac:dyDescent="0.25">
      <c r="A17" s="2" t="s">
        <v>30</v>
      </c>
      <c r="B17" s="4">
        <v>90</v>
      </c>
      <c r="C17" s="2" t="s">
        <v>23</v>
      </c>
      <c r="D17" s="2"/>
    </row>
    <row r="18" spans="1:4" ht="15" customHeight="1" x14ac:dyDescent="0.25">
      <c r="A18" s="2" t="s">
        <v>31</v>
      </c>
      <c r="B18" s="4">
        <v>90</v>
      </c>
      <c r="C18" s="2" t="s">
        <v>32</v>
      </c>
      <c r="D18" s="2"/>
    </row>
    <row r="19" spans="1:4" ht="15" customHeight="1" x14ac:dyDescent="0.25">
      <c r="A19" s="2" t="s">
        <v>33</v>
      </c>
      <c r="B19" s="4">
        <v>10</v>
      </c>
      <c r="C19" s="2" t="s">
        <v>23</v>
      </c>
      <c r="D19" s="2"/>
    </row>
    <row r="20" spans="1:4" ht="15" customHeight="1" x14ac:dyDescent="0.25">
      <c r="A20" s="2" t="s">
        <v>34</v>
      </c>
      <c r="B20" s="4">
        <v>4</v>
      </c>
      <c r="C20" s="2" t="s">
        <v>23</v>
      </c>
      <c r="D20" s="2"/>
    </row>
    <row r="21" spans="1:4" ht="15" customHeight="1" x14ac:dyDescent="0.25">
      <c r="A21" s="2" t="s">
        <v>35</v>
      </c>
      <c r="B21" s="4">
        <v>45</v>
      </c>
      <c r="C21" s="2" t="s">
        <v>36</v>
      </c>
      <c r="D21" s="2"/>
    </row>
    <row r="22" spans="1:4" ht="15" customHeight="1" x14ac:dyDescent="0.25">
      <c r="A22" s="2" t="s">
        <v>37</v>
      </c>
      <c r="B22" s="4">
        <v>5</v>
      </c>
      <c r="C22" s="2" t="s">
        <v>23</v>
      </c>
      <c r="D22" s="2"/>
    </row>
    <row r="23" spans="1:4" ht="15" customHeight="1" x14ac:dyDescent="0.25">
      <c r="A23" s="2" t="s">
        <v>38</v>
      </c>
      <c r="B23" s="4">
        <v>5</v>
      </c>
      <c r="C23" s="2" t="s">
        <v>36</v>
      </c>
      <c r="D23" s="2"/>
    </row>
    <row r="24" spans="1:4" ht="15" customHeight="1" x14ac:dyDescent="0.25">
      <c r="A24" s="2" t="s">
        <v>39</v>
      </c>
      <c r="B24" s="4">
        <v>90</v>
      </c>
      <c r="C24" s="2" t="s">
        <v>23</v>
      </c>
      <c r="D24" s="2"/>
    </row>
    <row r="25" spans="1:4" ht="15" customHeight="1" x14ac:dyDescent="0.25">
      <c r="A25" s="2" t="s">
        <v>40</v>
      </c>
      <c r="B25" s="4">
        <v>45</v>
      </c>
      <c r="C25" s="2" t="s">
        <v>23</v>
      </c>
      <c r="D25" s="2"/>
    </row>
    <row r="26" spans="1:4" ht="15" customHeight="1" x14ac:dyDescent="0.25">
      <c r="A26" s="2" t="s">
        <v>41</v>
      </c>
      <c r="B26" s="4">
        <v>30</v>
      </c>
      <c r="C26" s="2" t="s">
        <v>23</v>
      </c>
      <c r="D26" s="2"/>
    </row>
    <row r="27" spans="1:4" ht="15" customHeight="1" x14ac:dyDescent="0.25">
      <c r="A27" s="2" t="s">
        <v>42</v>
      </c>
      <c r="B27" s="4">
        <v>120</v>
      </c>
      <c r="C27" s="2" t="s">
        <v>43</v>
      </c>
      <c r="D27" s="2" t="s">
        <v>44</v>
      </c>
    </row>
    <row r="28" spans="1:4" ht="15" customHeight="1" x14ac:dyDescent="0.25">
      <c r="A28" s="2" t="s">
        <v>45</v>
      </c>
      <c r="B28" s="4">
        <v>1.1499999999999999</v>
      </c>
      <c r="C28" s="2" t="s">
        <v>9</v>
      </c>
      <c r="D28" s="2"/>
    </row>
    <row r="30" spans="1:4" ht="15" customHeight="1" x14ac:dyDescent="0.25">
      <c r="A30" s="3" t="s">
        <v>46</v>
      </c>
    </row>
    <row r="31" spans="1:4" ht="15" customHeight="1" x14ac:dyDescent="0.25">
      <c r="A31" s="3" t="s">
        <v>47</v>
      </c>
      <c r="B31" s="3" t="s">
        <v>48</v>
      </c>
      <c r="C31" s="3" t="s">
        <v>49</v>
      </c>
      <c r="D31" s="3" t="s">
        <v>50</v>
      </c>
    </row>
    <row r="32" spans="1:4" ht="15" customHeight="1" x14ac:dyDescent="0.25">
      <c r="A32" s="2" t="s">
        <v>51</v>
      </c>
      <c r="B32" s="6">
        <v>46231</v>
      </c>
      <c r="C32" s="2">
        <f t="shared" ref="C32:C42" si="0">ROUND((DATE(2026,8,3)-B32)/30.44,1)</f>
        <v>0.2</v>
      </c>
      <c r="D32" s="2" t="str">
        <f t="shared" ref="D32:D42" si="1">IF(C32&lt;=12,"KULLANILABİLİR",IF(C32&lt;=18,"UYARI - ESKİ","YASAK - FİYATLANDIRMADA KULLANILAMAZ"))</f>
        <v>KULLANILABİLİR</v>
      </c>
    </row>
    <row r="33" spans="1:4" ht="15" customHeight="1" x14ac:dyDescent="0.25">
      <c r="A33" s="2" t="s">
        <v>52</v>
      </c>
      <c r="B33" s="6">
        <v>46037</v>
      </c>
      <c r="C33" s="2">
        <f t="shared" si="0"/>
        <v>6.6</v>
      </c>
      <c r="D33" s="2" t="str">
        <f t="shared" si="1"/>
        <v>KULLANILABİLİR</v>
      </c>
    </row>
    <row r="34" spans="1:4" ht="15" customHeight="1" x14ac:dyDescent="0.25">
      <c r="A34" s="2" t="s">
        <v>53</v>
      </c>
      <c r="B34" s="6">
        <v>45931</v>
      </c>
      <c r="C34" s="2">
        <f t="shared" si="0"/>
        <v>10.1</v>
      </c>
      <c r="D34" s="2" t="str">
        <f t="shared" si="1"/>
        <v>KULLANILABİLİR</v>
      </c>
    </row>
    <row r="35" spans="1:4" ht="15" customHeight="1" x14ac:dyDescent="0.25">
      <c r="A35" s="2" t="s">
        <v>54</v>
      </c>
      <c r="B35" s="6">
        <v>45962</v>
      </c>
      <c r="C35" s="2">
        <f t="shared" si="0"/>
        <v>9</v>
      </c>
      <c r="D35" s="2" t="str">
        <f t="shared" si="1"/>
        <v>KULLANILABİLİR</v>
      </c>
    </row>
    <row r="36" spans="1:4" ht="15" customHeight="1" x14ac:dyDescent="0.25">
      <c r="A36" s="2" t="s">
        <v>55</v>
      </c>
      <c r="B36" s="6">
        <v>45839</v>
      </c>
      <c r="C36" s="2">
        <f t="shared" si="0"/>
        <v>13.1</v>
      </c>
      <c r="D36" s="2" t="str">
        <f t="shared" si="1"/>
        <v>UYARI - ESKİ</v>
      </c>
    </row>
    <row r="37" spans="1:4" ht="15" customHeight="1" x14ac:dyDescent="0.25">
      <c r="A37" s="2" t="s">
        <v>56</v>
      </c>
      <c r="B37" s="6">
        <v>45827</v>
      </c>
      <c r="C37" s="2">
        <f t="shared" si="0"/>
        <v>13.5</v>
      </c>
      <c r="D37" s="2" t="str">
        <f t="shared" si="1"/>
        <v>UYARI - ESKİ</v>
      </c>
    </row>
    <row r="38" spans="1:4" ht="15" customHeight="1" x14ac:dyDescent="0.25">
      <c r="A38" s="2" t="s">
        <v>57</v>
      </c>
      <c r="B38" s="6">
        <v>45692</v>
      </c>
      <c r="C38" s="2">
        <f t="shared" si="0"/>
        <v>17.899999999999999</v>
      </c>
      <c r="D38" s="2" t="str">
        <f t="shared" si="1"/>
        <v>UYARI - ESKİ</v>
      </c>
    </row>
    <row r="39" spans="1:4" ht="15" customHeight="1" x14ac:dyDescent="0.25">
      <c r="A39" s="2" t="s">
        <v>58</v>
      </c>
      <c r="B39" s="6">
        <v>45748</v>
      </c>
      <c r="C39" s="2">
        <f t="shared" si="0"/>
        <v>16.100000000000001</v>
      </c>
      <c r="D39" s="2" t="str">
        <f t="shared" si="1"/>
        <v>UYARI - ESKİ</v>
      </c>
    </row>
    <row r="40" spans="1:4" ht="15" customHeight="1" x14ac:dyDescent="0.25">
      <c r="A40" s="2" t="s">
        <v>59</v>
      </c>
      <c r="B40" s="6">
        <v>44866</v>
      </c>
      <c r="C40" s="2">
        <f t="shared" si="0"/>
        <v>45</v>
      </c>
      <c r="D40" s="2" t="str">
        <f t="shared" si="1"/>
        <v>YASAK - FİYATLANDIRMADA KULLANILAMAZ</v>
      </c>
    </row>
    <row r="41" spans="1:4" ht="15" customHeight="1" x14ac:dyDescent="0.25">
      <c r="A41" s="2" t="s">
        <v>60</v>
      </c>
      <c r="B41" s="6">
        <v>44743</v>
      </c>
      <c r="C41" s="2">
        <f t="shared" si="0"/>
        <v>49.1</v>
      </c>
      <c r="D41" s="2" t="str">
        <f t="shared" si="1"/>
        <v>YASAK - FİYATLANDIRMADA KULLANILAMAZ</v>
      </c>
    </row>
    <row r="42" spans="1:4" ht="15" customHeight="1" x14ac:dyDescent="0.25">
      <c r="A42" s="2" t="s">
        <v>61</v>
      </c>
      <c r="B42" s="6">
        <v>44614</v>
      </c>
      <c r="C42" s="2">
        <f t="shared" si="0"/>
        <v>53.3</v>
      </c>
      <c r="D42" s="2" t="str">
        <f t="shared" si="1"/>
        <v>YASAK - FİYATLANDIRMADA KULLANILAMAZ</v>
      </c>
    </row>
    <row r="44" spans="1:4" ht="15" customHeight="1" x14ac:dyDescent="0.25">
      <c r="A44" s="3" t="s">
        <v>62</v>
      </c>
      <c r="B44" s="7"/>
    </row>
    <row r="45" spans="1:4" ht="325.5" customHeight="1" x14ac:dyDescent="0.25">
      <c r="A45" s="2" t="s">
        <v>63</v>
      </c>
      <c r="B45" s="7" t="s">
        <v>64</v>
      </c>
    </row>
    <row r="46" spans="1:4" ht="168.75" customHeight="1" x14ac:dyDescent="0.25">
      <c r="A46" s="2" t="s">
        <v>65</v>
      </c>
      <c r="B46" s="7" t="s">
        <v>66</v>
      </c>
    </row>
    <row r="47" spans="1:4" ht="168.75" customHeight="1" x14ac:dyDescent="0.25">
      <c r="A47" s="2" t="s">
        <v>67</v>
      </c>
      <c r="B47" s="7" t="s">
        <v>68</v>
      </c>
    </row>
    <row r="48" spans="1:4" ht="113.25" customHeight="1" x14ac:dyDescent="0.25">
      <c r="A48" s="2" t="s">
        <v>69</v>
      </c>
      <c r="B48" s="7" t="s">
        <v>70</v>
      </c>
    </row>
    <row r="49" spans="1:2" ht="314.25" customHeight="1" x14ac:dyDescent="0.25">
      <c r="A49" s="2" t="s">
        <v>71</v>
      </c>
      <c r="B49" s="7" t="s">
        <v>72</v>
      </c>
    </row>
    <row r="50" spans="1:2" ht="135.75" customHeight="1" x14ac:dyDescent="0.25">
      <c r="A50" s="2" t="s">
        <v>73</v>
      </c>
      <c r="B50" s="7" t="s">
        <v>74</v>
      </c>
    </row>
    <row r="51" spans="1:2" ht="381.75" customHeight="1" x14ac:dyDescent="0.25">
      <c r="A51" s="2" t="s">
        <v>75</v>
      </c>
      <c r="B51" s="7" t="s">
        <v>76</v>
      </c>
    </row>
    <row r="52" spans="1:2" ht="303" customHeight="1" x14ac:dyDescent="0.25">
      <c r="A52" s="2" t="s">
        <v>77</v>
      </c>
      <c r="B52" s="7" t="s">
        <v>78</v>
      </c>
    </row>
    <row r="53" spans="1:2" ht="157.5" customHeight="1" x14ac:dyDescent="0.25">
      <c r="A53" s="2" t="s">
        <v>79</v>
      </c>
      <c r="B53" s="7" t="s">
        <v>80</v>
      </c>
    </row>
    <row r="54" spans="1:2" ht="325.5" customHeight="1" x14ac:dyDescent="0.25">
      <c r="A54" s="2" t="s">
        <v>81</v>
      </c>
      <c r="B54" s="7" t="s">
        <v>82</v>
      </c>
    </row>
    <row r="55" spans="1:2" ht="135.75" customHeight="1" x14ac:dyDescent="0.25">
      <c r="A55" s="2" t="s">
        <v>83</v>
      </c>
      <c r="B55" s="7" t="s">
        <v>84</v>
      </c>
    </row>
    <row r="56" spans="1:2" ht="336.75" customHeight="1" x14ac:dyDescent="0.25">
      <c r="A56" s="2" t="s">
        <v>85</v>
      </c>
      <c r="B56" s="7" t="s">
        <v>86</v>
      </c>
    </row>
    <row r="57" spans="1:2" ht="157.5" customHeight="1" x14ac:dyDescent="0.25">
      <c r="A57" s="2" t="s">
        <v>87</v>
      </c>
      <c r="B57" s="7" t="s">
        <v>88</v>
      </c>
    </row>
    <row r="58" spans="1:2" ht="135.75" customHeight="1" x14ac:dyDescent="0.25">
      <c r="A58" s="2" t="s">
        <v>89</v>
      </c>
      <c r="B58" s="7" t="s">
        <v>90</v>
      </c>
    </row>
    <row r="59" spans="1:2" ht="202.5" customHeight="1" x14ac:dyDescent="0.25">
      <c r="A59" s="2" t="s">
        <v>91</v>
      </c>
      <c r="B59" s="7" t="s">
        <v>92</v>
      </c>
    </row>
    <row r="60" spans="1:2" ht="191.25" customHeight="1" x14ac:dyDescent="0.25">
      <c r="A60" s="2" t="s">
        <v>93</v>
      </c>
      <c r="B60" s="7" t="s">
        <v>94</v>
      </c>
    </row>
    <row r="61" spans="1:2" ht="281.25" customHeight="1" x14ac:dyDescent="0.25">
      <c r="A61" s="2" t="s">
        <v>95</v>
      </c>
      <c r="B61" s="7" t="s">
        <v>96</v>
      </c>
    </row>
    <row r="62" spans="1:2" ht="191.25" customHeight="1" x14ac:dyDescent="0.25">
      <c r="A62" s="2" t="s">
        <v>97</v>
      </c>
      <c r="B62" s="7" t="s">
        <v>98</v>
      </c>
    </row>
    <row r="63" spans="1:2" ht="348" customHeight="1" x14ac:dyDescent="0.25">
      <c r="A63" s="2" t="s">
        <v>99</v>
      </c>
      <c r="B63" s="7" t="s">
        <v>100</v>
      </c>
    </row>
    <row r="64" spans="1:2" ht="168.75" customHeight="1" x14ac:dyDescent="0.25">
      <c r="A64" s="2" t="s">
        <v>101</v>
      </c>
      <c r="B64" s="7" t="s">
        <v>102</v>
      </c>
    </row>
    <row r="65" spans="1:2" ht="124.5" customHeight="1" x14ac:dyDescent="0.25">
      <c r="A65" s="2" t="s">
        <v>103</v>
      </c>
      <c r="B65" s="7" t="s">
        <v>104</v>
      </c>
    </row>
    <row r="66" spans="1:2" ht="113.25" customHeight="1" x14ac:dyDescent="0.25">
      <c r="A66" s="2" t="s">
        <v>105</v>
      </c>
      <c r="B66" s="7" t="s">
        <v>106</v>
      </c>
    </row>
    <row r="67" spans="1:2" ht="90.75" customHeight="1" x14ac:dyDescent="0.25">
      <c r="A67" s="2" t="s">
        <v>107</v>
      </c>
      <c r="B67" s="7" t="s">
        <v>108</v>
      </c>
    </row>
    <row r="68" spans="1:2" ht="293.25" x14ac:dyDescent="0.25">
      <c r="A68" s="2" t="s">
        <v>109</v>
      </c>
      <c r="B68" s="7" t="s">
        <v>110</v>
      </c>
    </row>
    <row r="69" spans="1:2" ht="409.5" x14ac:dyDescent="0.25">
      <c r="A69" s="2" t="s">
        <v>111</v>
      </c>
      <c r="B69" s="7" t="s">
        <v>112</v>
      </c>
    </row>
    <row r="70" spans="1:2" ht="395.25" x14ac:dyDescent="0.25">
      <c r="A70" s="2" t="s">
        <v>113</v>
      </c>
      <c r="B70" s="7" t="s">
        <v>114</v>
      </c>
    </row>
    <row r="71" spans="1:2" ht="357" x14ac:dyDescent="0.25">
      <c r="A71" s="2" t="s">
        <v>115</v>
      </c>
      <c r="B71" s="7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8.7109375" defaultRowHeight="15" x14ac:dyDescent="0.25"/>
  <cols>
    <col min="1" max="1" width="6" customWidth="1"/>
    <col min="2" max="2" width="65.140625" customWidth="1"/>
    <col min="3" max="3" width="20" customWidth="1"/>
    <col min="4" max="4" width="16" customWidth="1"/>
    <col min="5" max="5" width="78" customWidth="1"/>
    <col min="6" max="6" width="14" customWidth="1"/>
    <col min="7" max="8" width="15" customWidth="1"/>
    <col min="9" max="9" width="9" customWidth="1"/>
    <col min="10" max="10" width="10" customWidth="1"/>
    <col min="11" max="11" width="14" customWidth="1"/>
  </cols>
  <sheetData>
    <row r="1" spans="1:11" ht="23.25" customHeight="1" x14ac:dyDescent="0.25">
      <c r="A1" s="8"/>
      <c r="B1" s="8" t="s">
        <v>117</v>
      </c>
      <c r="C1" s="8" t="s">
        <v>118</v>
      </c>
      <c r="D1" s="8" t="s">
        <v>119</v>
      </c>
      <c r="E1" s="8" t="s">
        <v>120</v>
      </c>
      <c r="F1" s="8" t="s">
        <v>121</v>
      </c>
      <c r="G1" s="8"/>
      <c r="H1" s="8" t="s">
        <v>122</v>
      </c>
      <c r="I1" s="8" t="s">
        <v>123</v>
      </c>
      <c r="J1" s="8" t="s">
        <v>124</v>
      </c>
      <c r="K1" s="8" t="s">
        <v>125</v>
      </c>
    </row>
    <row r="2" spans="1:11" ht="15" customHeight="1" x14ac:dyDescent="0.25">
      <c r="A2" s="9"/>
      <c r="B2" s="10" t="str">
        <f>E2</f>
        <v>ЩУР — Щит учетно-распределительный (л.2), 1800×800×450, напольный</v>
      </c>
      <c r="C2" s="9"/>
      <c r="D2" s="9"/>
      <c r="E2" s="9" t="s">
        <v>126</v>
      </c>
      <c r="F2" s="9"/>
      <c r="G2" s="9"/>
      <c r="H2" s="9"/>
      <c r="I2" s="9">
        <v>1</v>
      </c>
      <c r="J2" s="9" t="s">
        <v>127</v>
      </c>
      <c r="K2" s="9" t="s">
        <v>128</v>
      </c>
    </row>
    <row r="3" spans="1:11" ht="15" customHeight="1" x14ac:dyDescent="0.25">
      <c r="A3" s="11">
        <v>1</v>
      </c>
      <c r="B3" s="11" t="str">
        <f t="shared" ref="B3:B30" si="0">$E$2</f>
        <v>ЩУР — Щит учетно-распределительный (л.2), 1800×800×450, напольный</v>
      </c>
      <c r="C3" s="11" t="s">
        <v>129</v>
      </c>
      <c r="D3" s="11" t="s">
        <v>130</v>
      </c>
      <c r="E3" s="11" t="s">
        <v>131</v>
      </c>
      <c r="F3" s="12">
        <v>97028</v>
      </c>
      <c r="G3" s="12">
        <f>F3*Kurallar!$B$6</f>
        <v>97028</v>
      </c>
      <c r="H3" s="13">
        <f t="shared" ref="H3:H30" si="1">G3*I3</f>
        <v>97028</v>
      </c>
      <c r="I3" s="11">
        <v>1</v>
      </c>
      <c r="J3" s="11" t="s">
        <v>132</v>
      </c>
      <c r="K3" s="11" t="s">
        <v>56</v>
      </c>
    </row>
    <row r="4" spans="1:11" ht="15" customHeight="1" x14ac:dyDescent="0.25">
      <c r="A4" s="11">
        <v>2</v>
      </c>
      <c r="B4" s="11" t="str">
        <f t="shared" si="0"/>
        <v>ЩУР — Щит учетно-распределительный (л.2), 1800×800×450, напольный</v>
      </c>
      <c r="C4" s="11" t="s">
        <v>133</v>
      </c>
      <c r="D4" s="11" t="s">
        <v>134</v>
      </c>
      <c r="E4" s="11" t="s">
        <v>135</v>
      </c>
      <c r="F4" s="12">
        <v>56900</v>
      </c>
      <c r="G4" s="12">
        <f>F4*Kurallar!$B$4*Kurallar!$B$3</f>
        <v>287345</v>
      </c>
      <c r="H4" s="13">
        <f t="shared" si="1"/>
        <v>287345</v>
      </c>
      <c r="I4" s="11">
        <v>1</v>
      </c>
      <c r="J4" s="11" t="s">
        <v>132</v>
      </c>
      <c r="K4" s="11" t="s">
        <v>53</v>
      </c>
    </row>
    <row r="5" spans="1:11" ht="15" customHeight="1" x14ac:dyDescent="0.25">
      <c r="A5" s="11">
        <v>3</v>
      </c>
      <c r="B5" s="11" t="str">
        <f t="shared" si="0"/>
        <v>ЩУР — Щит учетно-распределительный (л.2), 1800×800×450, напольный</v>
      </c>
      <c r="C5" s="11" t="s">
        <v>136</v>
      </c>
      <c r="D5" s="11" t="s">
        <v>137</v>
      </c>
      <c r="E5" s="11" t="s">
        <v>138</v>
      </c>
      <c r="F5" s="12">
        <v>2810</v>
      </c>
      <c r="G5" s="12">
        <f>F5*Kurallar!$B$4*Kurallar!$B$3</f>
        <v>14190.5</v>
      </c>
      <c r="H5" s="13">
        <f t="shared" si="1"/>
        <v>42571.5</v>
      </c>
      <c r="I5" s="11">
        <v>3</v>
      </c>
      <c r="J5" s="11" t="s">
        <v>132</v>
      </c>
      <c r="K5" s="11" t="s">
        <v>53</v>
      </c>
    </row>
    <row r="6" spans="1:11" ht="15" customHeight="1" x14ac:dyDescent="0.25">
      <c r="A6" s="11">
        <v>4</v>
      </c>
      <c r="B6" s="11" t="str">
        <f t="shared" si="0"/>
        <v>ЩУР — Щит учетно-распределительный (л.2), 1800×800×450, напольный</v>
      </c>
      <c r="C6" s="11" t="s">
        <v>139</v>
      </c>
      <c r="D6" s="11" t="s">
        <v>140</v>
      </c>
      <c r="E6" s="11" t="s">
        <v>141</v>
      </c>
      <c r="F6" s="12">
        <v>90500</v>
      </c>
      <c r="G6" s="12">
        <f>F6*Kurallar!$B$6</f>
        <v>90500</v>
      </c>
      <c r="H6" s="13">
        <f t="shared" si="1"/>
        <v>90500</v>
      </c>
      <c r="I6" s="11">
        <v>1</v>
      </c>
      <c r="J6" s="11" t="s">
        <v>132</v>
      </c>
      <c r="K6" s="11" t="s">
        <v>52</v>
      </c>
    </row>
    <row r="7" spans="1:11" ht="15" customHeight="1" x14ac:dyDescent="0.25">
      <c r="A7" s="11">
        <v>5</v>
      </c>
      <c r="B7" s="11" t="str">
        <f t="shared" si="0"/>
        <v>ЩУР — Щит учетно-распределительный (л.2), 1800×800×450, напольный</v>
      </c>
      <c r="C7" s="11" t="s">
        <v>133</v>
      </c>
      <c r="D7" s="11" t="s">
        <v>142</v>
      </c>
      <c r="E7" s="11" t="s">
        <v>143</v>
      </c>
      <c r="F7" s="12">
        <v>9890</v>
      </c>
      <c r="G7" s="12">
        <f>F7*Kurallar!$B$4*Kurallar!$B$3</f>
        <v>49944.5</v>
      </c>
      <c r="H7" s="13">
        <f t="shared" si="1"/>
        <v>49944.5</v>
      </c>
      <c r="I7" s="11">
        <v>1</v>
      </c>
      <c r="J7" s="11" t="s">
        <v>132</v>
      </c>
      <c r="K7" s="11" t="s">
        <v>53</v>
      </c>
    </row>
    <row r="8" spans="1:11" ht="15" customHeight="1" x14ac:dyDescent="0.25">
      <c r="A8" s="11">
        <v>6</v>
      </c>
      <c r="B8" s="11" t="str">
        <f t="shared" si="0"/>
        <v>ЩУР — Щит учетно-распределительный (л.2), 1800×800×450, напольный</v>
      </c>
      <c r="C8" s="11" t="s">
        <v>144</v>
      </c>
      <c r="D8" s="11" t="s">
        <v>145</v>
      </c>
      <c r="E8" s="11" t="s">
        <v>146</v>
      </c>
      <c r="F8" s="12">
        <v>14100</v>
      </c>
      <c r="G8" s="12">
        <f>F8*Kurallar!$B$4*Kurallar!$B$3</f>
        <v>71205</v>
      </c>
      <c r="H8" s="13">
        <f t="shared" si="1"/>
        <v>71205</v>
      </c>
      <c r="I8" s="11">
        <v>1</v>
      </c>
      <c r="J8" s="11" t="s">
        <v>132</v>
      </c>
      <c r="K8" s="11" t="s">
        <v>53</v>
      </c>
    </row>
    <row r="9" spans="1:11" ht="15" customHeight="1" x14ac:dyDescent="0.25">
      <c r="A9" s="11">
        <v>7</v>
      </c>
      <c r="B9" s="11" t="str">
        <f t="shared" si="0"/>
        <v>ЩУР — Щит учетно-распределительный (л.2), 1800×800×450, напольный</v>
      </c>
      <c r="C9" s="11" t="s">
        <v>144</v>
      </c>
      <c r="D9" s="11" t="s">
        <v>147</v>
      </c>
      <c r="E9" s="11" t="s">
        <v>148</v>
      </c>
      <c r="F9" s="12">
        <v>14100</v>
      </c>
      <c r="G9" s="12">
        <f>F9*Kurallar!$B$4*Kurallar!$B$3</f>
        <v>71205</v>
      </c>
      <c r="H9" s="13">
        <f t="shared" si="1"/>
        <v>71205</v>
      </c>
      <c r="I9" s="11">
        <v>1</v>
      </c>
      <c r="J9" s="11" t="s">
        <v>132</v>
      </c>
      <c r="K9" s="11" t="s">
        <v>53</v>
      </c>
    </row>
    <row r="10" spans="1:11" ht="15" customHeight="1" x14ac:dyDescent="0.25">
      <c r="A10" s="11">
        <v>8</v>
      </c>
      <c r="B10" s="11" t="str">
        <f t="shared" si="0"/>
        <v>ЩУР — Щит учетно-распределительный (л.2), 1800×800×450, напольный</v>
      </c>
      <c r="C10" s="11" t="s">
        <v>144</v>
      </c>
      <c r="D10" s="11" t="s">
        <v>149</v>
      </c>
      <c r="E10" s="11" t="s">
        <v>150</v>
      </c>
      <c r="F10" s="12">
        <v>14100</v>
      </c>
      <c r="G10" s="12">
        <f>F10*Kurallar!$B$4*Kurallar!$B$3</f>
        <v>71205</v>
      </c>
      <c r="H10" s="13">
        <f t="shared" si="1"/>
        <v>71205</v>
      </c>
      <c r="I10" s="11">
        <v>1</v>
      </c>
      <c r="J10" s="11" t="s">
        <v>132</v>
      </c>
      <c r="K10" s="11" t="s">
        <v>53</v>
      </c>
    </row>
    <row r="11" spans="1:11" ht="15" customHeight="1" x14ac:dyDescent="0.25">
      <c r="A11" s="11">
        <v>9</v>
      </c>
      <c r="B11" s="11" t="str">
        <f t="shared" si="0"/>
        <v>ЩУР — Щит учетно-распределительный (л.2), 1800×800×450, напольный</v>
      </c>
      <c r="C11" s="11" t="s">
        <v>144</v>
      </c>
      <c r="D11" s="11" t="s">
        <v>151</v>
      </c>
      <c r="E11" s="11" t="s">
        <v>152</v>
      </c>
      <c r="F11" s="12">
        <v>14300</v>
      </c>
      <c r="G11" s="12">
        <f>F11*Kurallar!$B$4*Kurallar!$B$3</f>
        <v>72215</v>
      </c>
      <c r="H11" s="13">
        <f t="shared" si="1"/>
        <v>288860</v>
      </c>
      <c r="I11" s="11">
        <v>4</v>
      </c>
      <c r="J11" s="11" t="s">
        <v>132</v>
      </c>
      <c r="K11" s="11" t="s">
        <v>53</v>
      </c>
    </row>
    <row r="12" spans="1:11" ht="15" customHeight="1" x14ac:dyDescent="0.25">
      <c r="A12" s="11">
        <v>10</v>
      </c>
      <c r="B12" s="11" t="str">
        <f t="shared" si="0"/>
        <v>ЩУР — Щит учетно-распределительный (л.2), 1800×800×450, напольный</v>
      </c>
      <c r="C12" s="11" t="s">
        <v>144</v>
      </c>
      <c r="D12" s="11" t="s">
        <v>153</v>
      </c>
      <c r="E12" s="11" t="s">
        <v>154</v>
      </c>
      <c r="F12" s="12">
        <v>7760</v>
      </c>
      <c r="G12" s="12">
        <f>F12*Kurallar!$B$4*Kurallar!$B$3</f>
        <v>39188</v>
      </c>
      <c r="H12" s="13">
        <f t="shared" si="1"/>
        <v>431068</v>
      </c>
      <c r="I12" s="11">
        <v>11</v>
      </c>
      <c r="J12" s="11" t="s">
        <v>132</v>
      </c>
      <c r="K12" s="11" t="s">
        <v>53</v>
      </c>
    </row>
    <row r="13" spans="1:11" ht="15" customHeight="1" x14ac:dyDescent="0.25">
      <c r="A13" s="11">
        <v>11</v>
      </c>
      <c r="B13" s="11" t="str">
        <f t="shared" si="0"/>
        <v>ЩУР — Щит учетно-распределительный (л.2), 1800×800×450, напольный</v>
      </c>
      <c r="C13" s="11" t="s">
        <v>155</v>
      </c>
      <c r="D13" s="11" t="s">
        <v>156</v>
      </c>
      <c r="E13" s="11" t="s">
        <v>157</v>
      </c>
      <c r="F13" s="12">
        <v>1470</v>
      </c>
      <c r="G13" s="12">
        <f>F13*Kurallar!$B$4*Kurallar!$B$3</f>
        <v>7423.5</v>
      </c>
      <c r="H13" s="13">
        <f t="shared" si="1"/>
        <v>22270.5</v>
      </c>
      <c r="I13" s="11">
        <v>3</v>
      </c>
      <c r="J13" s="11" t="s">
        <v>132</v>
      </c>
      <c r="K13" s="11" t="s">
        <v>53</v>
      </c>
    </row>
    <row r="14" spans="1:11" ht="15" customHeight="1" x14ac:dyDescent="0.25">
      <c r="A14" s="11">
        <v>12</v>
      </c>
      <c r="B14" s="11" t="str">
        <f t="shared" si="0"/>
        <v>ЩУР — Щит учетно-распределительный (л.2), 1800×800×450, напольный</v>
      </c>
      <c r="C14" s="11" t="s">
        <v>158</v>
      </c>
      <c r="D14" s="11" t="s">
        <v>159</v>
      </c>
      <c r="E14" s="11" t="s">
        <v>160</v>
      </c>
      <c r="F14" s="12">
        <v>19215</v>
      </c>
      <c r="G14" s="12">
        <f>F14*Kurallar!$B$5</f>
        <v>11529</v>
      </c>
      <c r="H14" s="13">
        <f t="shared" si="1"/>
        <v>34587</v>
      </c>
      <c r="I14" s="11">
        <v>3</v>
      </c>
      <c r="J14" s="11" t="s">
        <v>132</v>
      </c>
      <c r="K14" s="11" t="s">
        <v>51</v>
      </c>
    </row>
    <row r="15" spans="1:11" ht="15" customHeight="1" x14ac:dyDescent="0.25">
      <c r="A15" s="11">
        <v>13</v>
      </c>
      <c r="B15" s="11" t="str">
        <f t="shared" si="0"/>
        <v>ЩУР — Щит учетно-распределительный (л.2), 1800×800×450, напольный</v>
      </c>
      <c r="C15" s="11" t="s">
        <v>158</v>
      </c>
      <c r="D15" s="11" t="s">
        <v>161</v>
      </c>
      <c r="E15" s="11" t="s">
        <v>162</v>
      </c>
      <c r="F15" s="12">
        <v>10236</v>
      </c>
      <c r="G15" s="12">
        <f>F15*Kurallar!$B$5</f>
        <v>6141.5999999999995</v>
      </c>
      <c r="H15" s="13">
        <f t="shared" si="1"/>
        <v>6141.5999999999995</v>
      </c>
      <c r="I15" s="11">
        <v>1</v>
      </c>
      <c r="J15" s="11" t="s">
        <v>132</v>
      </c>
      <c r="K15" s="11" t="s">
        <v>51</v>
      </c>
    </row>
    <row r="16" spans="1:11" ht="15" customHeight="1" x14ac:dyDescent="0.25">
      <c r="A16" s="11">
        <v>14</v>
      </c>
      <c r="B16" s="11" t="str">
        <f t="shared" si="0"/>
        <v>ЩУР — Щит учетно-распределительный (л.2), 1800×800×450, напольный</v>
      </c>
      <c r="C16" s="11" t="s">
        <v>34</v>
      </c>
      <c r="D16" s="11" t="s">
        <v>163</v>
      </c>
      <c r="E16" s="11" t="s">
        <v>164</v>
      </c>
      <c r="F16" s="12">
        <v>73.5</v>
      </c>
      <c r="G16" s="12">
        <f>F16*Kurallar!$B$4*Kurallar!$B$3</f>
        <v>371.17500000000001</v>
      </c>
      <c r="H16" s="13">
        <f t="shared" si="1"/>
        <v>9650.5500000000011</v>
      </c>
      <c r="I16" s="11">
        <v>26</v>
      </c>
      <c r="J16" s="11" t="s">
        <v>132</v>
      </c>
      <c r="K16" s="11" t="s">
        <v>53</v>
      </c>
    </row>
    <row r="17" spans="1:11" ht="15" customHeight="1" x14ac:dyDescent="0.25">
      <c r="A17" s="11">
        <v>15</v>
      </c>
      <c r="B17" s="11" t="str">
        <f t="shared" si="0"/>
        <v>ЩУР — Щит учетно-распределительный (л.2), 1800×800×450, напольный</v>
      </c>
      <c r="C17" s="11" t="s">
        <v>34</v>
      </c>
      <c r="D17" s="11" t="s">
        <v>165</v>
      </c>
      <c r="E17" s="11" t="s">
        <v>166</v>
      </c>
      <c r="F17" s="12">
        <v>74.7</v>
      </c>
      <c r="G17" s="12">
        <f>F17*Kurallar!$B$4*Kurallar!$B$3</f>
        <v>377.23500000000001</v>
      </c>
      <c r="H17" s="13">
        <f t="shared" si="1"/>
        <v>6035.76</v>
      </c>
      <c r="I17" s="11">
        <v>16</v>
      </c>
      <c r="J17" s="11" t="s">
        <v>132</v>
      </c>
      <c r="K17" s="11" t="s">
        <v>53</v>
      </c>
    </row>
    <row r="18" spans="1:11" ht="15" customHeight="1" x14ac:dyDescent="0.25">
      <c r="A18" s="11">
        <v>16</v>
      </c>
      <c r="B18" s="11" t="str">
        <f t="shared" si="0"/>
        <v>ЩУР — Щит учетно-распределительный (л.2), 1800×800×450, напольный</v>
      </c>
      <c r="C18" s="11" t="s">
        <v>34</v>
      </c>
      <c r="D18" s="11" t="s">
        <v>167</v>
      </c>
      <c r="E18" s="11" t="s">
        <v>168</v>
      </c>
      <c r="F18" s="12">
        <v>78.400000000000006</v>
      </c>
      <c r="G18" s="12">
        <f>F18*Kurallar!$B$4*Kurallar!$B$3</f>
        <v>395.92</v>
      </c>
      <c r="H18" s="13">
        <f t="shared" si="1"/>
        <v>1187.76</v>
      </c>
      <c r="I18" s="11">
        <v>3</v>
      </c>
      <c r="J18" s="11" t="s">
        <v>132</v>
      </c>
      <c r="K18" s="11" t="s">
        <v>53</v>
      </c>
    </row>
    <row r="19" spans="1:11" ht="15" customHeight="1" x14ac:dyDescent="0.25">
      <c r="A19" s="11">
        <v>17</v>
      </c>
      <c r="B19" s="11" t="str">
        <f t="shared" si="0"/>
        <v>ЩУР — Щит учетно-распределительный (л.2), 1800×800×450, напольный</v>
      </c>
      <c r="C19" s="11" t="s">
        <v>34</v>
      </c>
      <c r="D19" s="11" t="s">
        <v>169</v>
      </c>
      <c r="E19" s="11" t="s">
        <v>170</v>
      </c>
      <c r="F19" s="12">
        <v>82.1</v>
      </c>
      <c r="G19" s="12">
        <f>F19*Kurallar!$B$4*Kurallar!$B$3</f>
        <v>414.60499999999996</v>
      </c>
      <c r="H19" s="13">
        <f t="shared" si="1"/>
        <v>414.60499999999996</v>
      </c>
      <c r="I19" s="11">
        <v>1</v>
      </c>
      <c r="J19" s="11" t="s">
        <v>132</v>
      </c>
      <c r="K19" s="11" t="s">
        <v>53</v>
      </c>
    </row>
    <row r="20" spans="1:11" ht="15" customHeight="1" x14ac:dyDescent="0.25">
      <c r="A20" s="11">
        <v>18</v>
      </c>
      <c r="B20" s="11" t="str">
        <f t="shared" si="0"/>
        <v>ЩУР — Щит учетно-распределительный (л.2), 1800×800×450, напольный</v>
      </c>
      <c r="C20" s="11" t="s">
        <v>34</v>
      </c>
      <c r="D20" s="11" t="s">
        <v>171</v>
      </c>
      <c r="E20" s="11" t="s">
        <v>172</v>
      </c>
      <c r="F20" s="12">
        <v>117</v>
      </c>
      <c r="G20" s="12">
        <f>F20*Kurallar!$B$4*Kurallar!$B$3</f>
        <v>590.85</v>
      </c>
      <c r="H20" s="13">
        <f t="shared" si="1"/>
        <v>7090.2000000000007</v>
      </c>
      <c r="I20" s="11">
        <v>12</v>
      </c>
      <c r="J20" s="11" t="s">
        <v>132</v>
      </c>
      <c r="K20" s="11" t="s">
        <v>53</v>
      </c>
    </row>
    <row r="21" spans="1:11" ht="15" customHeight="1" x14ac:dyDescent="0.25">
      <c r="A21" s="11">
        <v>19</v>
      </c>
      <c r="B21" s="11" t="str">
        <f t="shared" si="0"/>
        <v>ЩУР — Щит учетно-распределительный (л.2), 1800×800×450, напольный</v>
      </c>
      <c r="C21" s="11" t="s">
        <v>34</v>
      </c>
      <c r="D21" s="11" t="s">
        <v>173</v>
      </c>
      <c r="E21" s="11" t="s">
        <v>174</v>
      </c>
      <c r="F21" s="12">
        <v>117</v>
      </c>
      <c r="G21" s="12">
        <f>F21*Kurallar!$B$4*Kurallar!$B$3</f>
        <v>590.85</v>
      </c>
      <c r="H21" s="13">
        <f t="shared" si="1"/>
        <v>2363.4</v>
      </c>
      <c r="I21" s="11">
        <v>4</v>
      </c>
      <c r="J21" s="11" t="s">
        <v>132</v>
      </c>
      <c r="K21" s="11" t="s">
        <v>53</v>
      </c>
    </row>
    <row r="22" spans="1:11" ht="15" customHeight="1" x14ac:dyDescent="0.25">
      <c r="A22" s="11">
        <v>20</v>
      </c>
      <c r="B22" s="11" t="str">
        <f t="shared" si="0"/>
        <v>ЩУР — Щит учетно-распределительный (л.2), 1800×800×450, напольный</v>
      </c>
      <c r="C22" s="11" t="s">
        <v>34</v>
      </c>
      <c r="D22" s="11" t="s">
        <v>175</v>
      </c>
      <c r="E22" s="11" t="s">
        <v>176</v>
      </c>
      <c r="F22" s="12">
        <v>323</v>
      </c>
      <c r="G22" s="12">
        <f>F22*Kurallar!$B$4*Kurallar!$B$3</f>
        <v>1631.1499999999999</v>
      </c>
      <c r="H22" s="13">
        <f t="shared" si="1"/>
        <v>26098.399999999998</v>
      </c>
      <c r="I22" s="11">
        <v>16</v>
      </c>
      <c r="J22" s="11" t="s">
        <v>132</v>
      </c>
      <c r="K22" s="11" t="s">
        <v>53</v>
      </c>
    </row>
    <row r="23" spans="1:11" ht="15" customHeight="1" x14ac:dyDescent="0.25">
      <c r="A23" s="11">
        <v>21</v>
      </c>
      <c r="B23" s="11" t="str">
        <f t="shared" si="0"/>
        <v>ЩУР — Щит учетно-распределительный (л.2), 1800×800×450, напольный</v>
      </c>
      <c r="C23" s="11" t="s">
        <v>34</v>
      </c>
      <c r="D23" s="11" t="s">
        <v>177</v>
      </c>
      <c r="E23" s="11" t="s">
        <v>178</v>
      </c>
      <c r="F23" s="12">
        <v>331</v>
      </c>
      <c r="G23" s="12">
        <f>F23*Kurallar!$B$4*Kurallar!$B$3</f>
        <v>1671.55</v>
      </c>
      <c r="H23" s="13">
        <f t="shared" si="1"/>
        <v>1671.55</v>
      </c>
      <c r="I23" s="11">
        <v>1</v>
      </c>
      <c r="J23" s="11" t="s">
        <v>132</v>
      </c>
      <c r="K23" s="11" t="s">
        <v>53</v>
      </c>
    </row>
    <row r="24" spans="1:11" ht="15" customHeight="1" x14ac:dyDescent="0.25">
      <c r="A24" s="11">
        <v>22</v>
      </c>
      <c r="B24" s="11" t="str">
        <f t="shared" si="0"/>
        <v>ЩУР — Щит учетно-распределительный (л.2), 1800×800×450, напольный</v>
      </c>
      <c r="C24" s="11" t="s">
        <v>34</v>
      </c>
      <c r="D24" s="11" t="s">
        <v>179</v>
      </c>
      <c r="E24" s="11" t="s">
        <v>180</v>
      </c>
      <c r="F24" s="12">
        <v>408</v>
      </c>
      <c r="G24" s="12">
        <f>F24*Kurallar!$B$4*Kurallar!$B$3</f>
        <v>2060.4</v>
      </c>
      <c r="H24" s="13">
        <f t="shared" si="1"/>
        <v>8241.6</v>
      </c>
      <c r="I24" s="11">
        <v>4</v>
      </c>
      <c r="J24" s="11" t="s">
        <v>132</v>
      </c>
      <c r="K24" s="11" t="s">
        <v>53</v>
      </c>
    </row>
    <row r="25" spans="1:11" ht="15" customHeight="1" x14ac:dyDescent="0.25">
      <c r="A25" s="11">
        <v>23</v>
      </c>
      <c r="B25" s="11" t="str">
        <f t="shared" si="0"/>
        <v>ЩУР — Щит учетно-распределительный (л.2), 1800×800×450, напольный</v>
      </c>
      <c r="C25" s="11" t="s">
        <v>181</v>
      </c>
      <c r="D25" s="11" t="s">
        <v>182</v>
      </c>
      <c r="E25" s="11" t="s">
        <v>183</v>
      </c>
      <c r="F25" s="12">
        <v>2780</v>
      </c>
      <c r="G25" s="12">
        <f>F25*Kurallar!$B$4*Kurallar!$B$3</f>
        <v>14039</v>
      </c>
      <c r="H25" s="13">
        <f t="shared" si="1"/>
        <v>28078</v>
      </c>
      <c r="I25" s="11">
        <v>2</v>
      </c>
      <c r="J25" s="11" t="s">
        <v>132</v>
      </c>
      <c r="K25" s="11" t="s">
        <v>53</v>
      </c>
    </row>
    <row r="26" spans="1:11" ht="15" customHeight="1" x14ac:dyDescent="0.25">
      <c r="A26" s="11">
        <v>24</v>
      </c>
      <c r="B26" s="11" t="str">
        <f t="shared" si="0"/>
        <v>ЩУР — Щит учетно-распределительный (л.2), 1800×800×450, напольный</v>
      </c>
      <c r="C26" s="11" t="s">
        <v>181</v>
      </c>
      <c r="D26" s="11" t="s">
        <v>184</v>
      </c>
      <c r="E26" s="11" t="s">
        <v>185</v>
      </c>
      <c r="F26" s="12">
        <v>11131</v>
      </c>
      <c r="G26" s="12">
        <f>F26*Kurallar!$B$6</f>
        <v>11131</v>
      </c>
      <c r="H26" s="13">
        <f t="shared" si="1"/>
        <v>22262</v>
      </c>
      <c r="I26" s="11">
        <v>2</v>
      </c>
      <c r="J26" s="11" t="s">
        <v>132</v>
      </c>
      <c r="K26" s="11" t="s">
        <v>56</v>
      </c>
    </row>
    <row r="27" spans="1:11" ht="15" customHeight="1" x14ac:dyDescent="0.25">
      <c r="A27" s="11">
        <v>25</v>
      </c>
      <c r="B27" s="11" t="str">
        <f t="shared" si="0"/>
        <v>ЩУР — Щит учетно-распределительный (л.2), 1800×800×450, напольный</v>
      </c>
      <c r="C27" s="11" t="s">
        <v>186</v>
      </c>
      <c r="D27" s="11" t="s">
        <v>187</v>
      </c>
      <c r="E27" s="11" t="s">
        <v>188</v>
      </c>
      <c r="F27" s="12">
        <v>869</v>
      </c>
      <c r="G27" s="12">
        <f>F27*Kurallar!$B$5</f>
        <v>521.4</v>
      </c>
      <c r="H27" s="13">
        <f t="shared" si="1"/>
        <v>2607</v>
      </c>
      <c r="I27" s="11">
        <v>5</v>
      </c>
      <c r="J27" s="11" t="s">
        <v>132</v>
      </c>
      <c r="K27" s="11" t="s">
        <v>51</v>
      </c>
    </row>
    <row r="28" spans="1:11" ht="15" customHeight="1" x14ac:dyDescent="0.25">
      <c r="A28" s="11">
        <v>26</v>
      </c>
      <c r="B28" s="11" t="str">
        <f t="shared" si="0"/>
        <v>ЩУР — Щит учетно-распределительный (л.2), 1800×800×450, напольный</v>
      </c>
      <c r="C28" s="11" t="s">
        <v>189</v>
      </c>
      <c r="D28" s="11" t="s">
        <v>190</v>
      </c>
      <c r="E28" s="11" t="s">
        <v>191</v>
      </c>
      <c r="F28" s="12">
        <v>1040</v>
      </c>
      <c r="G28" s="12">
        <f>F28*Kurallar!$B$4*Kurallar!$B$3</f>
        <v>5252</v>
      </c>
      <c r="H28" s="13">
        <f t="shared" si="1"/>
        <v>52520</v>
      </c>
      <c r="I28" s="11">
        <v>10</v>
      </c>
      <c r="J28" s="11" t="s">
        <v>192</v>
      </c>
      <c r="K28" s="11" t="s">
        <v>53</v>
      </c>
    </row>
    <row r="29" spans="1:11" ht="15" customHeight="1" x14ac:dyDescent="0.25">
      <c r="A29" s="11">
        <v>27</v>
      </c>
      <c r="B29" s="11" t="str">
        <f t="shared" si="0"/>
        <v>ЩУР — Щит учетно-распределительный (л.2), 1800×800×450, напольный</v>
      </c>
      <c r="C29" s="11" t="s">
        <v>193</v>
      </c>
      <c r="D29" s="11" t="s">
        <v>194</v>
      </c>
      <c r="E29" s="11" t="s">
        <v>195</v>
      </c>
      <c r="F29" s="12">
        <f>SUM(H3:H28)</f>
        <v>1732151.925</v>
      </c>
      <c r="G29" s="12">
        <f>F29*Kurallar!$B$7</f>
        <v>51964.55775</v>
      </c>
      <c r="H29" s="13">
        <f t="shared" si="1"/>
        <v>51964.55775</v>
      </c>
      <c r="I29" s="11">
        <v>1</v>
      </c>
      <c r="J29" s="11" t="s">
        <v>196</v>
      </c>
      <c r="K29" s="11" t="s">
        <v>194</v>
      </c>
    </row>
    <row r="30" spans="1:11" ht="15" customHeight="1" x14ac:dyDescent="0.25">
      <c r="A30" s="11">
        <v>28</v>
      </c>
      <c r="B30" s="11" t="str">
        <f t="shared" si="0"/>
        <v>ЩУР — Щит учетно-распределительный (л.2), 1800×800×450, напольный</v>
      </c>
      <c r="C30" s="11" t="s">
        <v>197</v>
      </c>
      <c r="D30" s="11" t="s">
        <v>194</v>
      </c>
      <c r="E30" s="11" t="s">
        <v>198</v>
      </c>
      <c r="F30" s="14">
        <f>I30/60</f>
        <v>27.024999999999995</v>
      </c>
      <c r="G30" s="12">
        <f>Kurallar!$B$8</f>
        <v>100</v>
      </c>
      <c r="H30" s="13">
        <f t="shared" si="1"/>
        <v>162149.99999999997</v>
      </c>
      <c r="I30" s="13">
        <f>(Kurallar!$B$24+Kurallar!$B$17+Kurallar!$B$16+Kurallar!$B$18+7*Kurallar!$B$15+11*Kurallar!$B$14+3*Kurallar!$B$12+4*Kurallar!$B$19+83*Kurallar!$B$20+5*Kurallar!$B$21+2*Kurallar!$B$22+15*Kurallar!$B$23)*Kurallar!$B$28</f>
        <v>1621.4999999999998</v>
      </c>
      <c r="J30" s="11" t="s">
        <v>199</v>
      </c>
      <c r="K30" s="11" t="s">
        <v>128</v>
      </c>
    </row>
    <row r="31" spans="1:11" ht="15" customHeight="1" x14ac:dyDescent="0.25">
      <c r="A31" s="9"/>
      <c r="B31" s="9" t="s">
        <v>200</v>
      </c>
      <c r="C31" s="9"/>
      <c r="D31" s="9"/>
      <c r="E31" s="9" t="s">
        <v>201</v>
      </c>
      <c r="F31" s="9"/>
      <c r="G31" s="9"/>
      <c r="H31" s="15">
        <f>SUBTOTAL(9,H3:H30)</f>
        <v>1946266.48275</v>
      </c>
      <c r="I31" s="9"/>
      <c r="J31" s="9"/>
      <c r="K31" s="9"/>
    </row>
    <row r="32" spans="1:11" ht="15" customHeight="1" x14ac:dyDescent="0.25">
      <c r="A32" s="9"/>
      <c r="B32" s="10" t="str">
        <f>E32</f>
        <v>ЩС — Щит силовой (л.3), 1800×800×450, напольный — ввод кабелей СВЕРХУ, клеммы вверху, вводной аппарат внизу</v>
      </c>
      <c r="C32" s="9"/>
      <c r="D32" s="9"/>
      <c r="E32" s="9" t="s">
        <v>202</v>
      </c>
      <c r="F32" s="9"/>
      <c r="G32" s="9"/>
      <c r="H32" s="9"/>
      <c r="I32" s="9">
        <v>1</v>
      </c>
      <c r="J32" s="9" t="s">
        <v>127</v>
      </c>
      <c r="K32" s="9" t="s">
        <v>128</v>
      </c>
    </row>
    <row r="33" spans="1:11" ht="15" customHeight="1" x14ac:dyDescent="0.25">
      <c r="A33" s="11">
        <v>1</v>
      </c>
      <c r="B33" s="11" t="str">
        <f t="shared" ref="B33:B50" si="2">$E$32</f>
        <v>ЩС — Щит силовой (л.3), 1800×800×450, напольный — ввод кабелей СВЕРХУ, клеммы вверху, вводной аппарат внизу</v>
      </c>
      <c r="C33" s="11" t="s">
        <v>129</v>
      </c>
      <c r="D33" s="11" t="s">
        <v>130</v>
      </c>
      <c r="E33" s="11" t="s">
        <v>203</v>
      </c>
      <c r="F33" s="12">
        <v>97028</v>
      </c>
      <c r="G33" s="12">
        <f>F33*Kurallar!$B$6</f>
        <v>97028</v>
      </c>
      <c r="H33" s="13">
        <f t="shared" ref="H33:H50" si="3">G33*I33</f>
        <v>97028</v>
      </c>
      <c r="I33" s="11">
        <v>1</v>
      </c>
      <c r="J33" s="11" t="s">
        <v>132</v>
      </c>
      <c r="K33" s="11" t="s">
        <v>56</v>
      </c>
    </row>
    <row r="34" spans="1:11" ht="15" customHeight="1" x14ac:dyDescent="0.25">
      <c r="A34" s="11">
        <v>2</v>
      </c>
      <c r="B34" s="11" t="str">
        <f t="shared" si="2"/>
        <v>ЩС — Щит силовой (л.3), 1800×800×450, напольный — ввод кабелей СВЕРХУ, клеммы вверху, вводной аппарат внизу</v>
      </c>
      <c r="C34" s="11" t="s">
        <v>133</v>
      </c>
      <c r="D34" s="11" t="s">
        <v>142</v>
      </c>
      <c r="E34" s="11" t="s">
        <v>204</v>
      </c>
      <c r="F34" s="12">
        <v>9890</v>
      </c>
      <c r="G34" s="12">
        <f>F34*Kurallar!$B$4*Kurallar!$B$3</f>
        <v>49944.5</v>
      </c>
      <c r="H34" s="13">
        <f t="shared" si="3"/>
        <v>49944.5</v>
      </c>
      <c r="I34" s="11">
        <v>1</v>
      </c>
      <c r="J34" s="11" t="s">
        <v>132</v>
      </c>
      <c r="K34" s="11" t="s">
        <v>53</v>
      </c>
    </row>
    <row r="35" spans="1:11" ht="15" customHeight="1" x14ac:dyDescent="0.25">
      <c r="A35" s="11">
        <v>3</v>
      </c>
      <c r="B35" s="11" t="str">
        <f t="shared" si="2"/>
        <v>ЩС — Щит силовой (л.3), 1800×800×450, напольный — ввод кабелей СВЕРХУ, клеммы вверху, вводной аппарат внизу</v>
      </c>
      <c r="C35" s="11" t="s">
        <v>155</v>
      </c>
      <c r="D35" s="11" t="s">
        <v>205</v>
      </c>
      <c r="E35" s="11" t="s">
        <v>206</v>
      </c>
      <c r="F35" s="12">
        <v>350</v>
      </c>
      <c r="G35" s="12">
        <f>F35*Kurallar!$B$4*Kurallar!$B$3</f>
        <v>1767.5</v>
      </c>
      <c r="H35" s="13">
        <f t="shared" si="3"/>
        <v>35350</v>
      </c>
      <c r="I35" s="11">
        <v>20</v>
      </c>
      <c r="J35" s="11" t="s">
        <v>132</v>
      </c>
      <c r="K35" s="11" t="s">
        <v>53</v>
      </c>
    </row>
    <row r="36" spans="1:11" ht="15" customHeight="1" x14ac:dyDescent="0.25">
      <c r="A36" s="11">
        <v>4</v>
      </c>
      <c r="B36" s="11" t="str">
        <f t="shared" si="2"/>
        <v>ЩС — Щит силовой (л.3), 1800×800×450, напольный — ввод кабелей СВЕРХУ, клеммы вверху, вводной аппарат внизу</v>
      </c>
      <c r="C36" s="11" t="s">
        <v>144</v>
      </c>
      <c r="D36" s="11" t="s">
        <v>153</v>
      </c>
      <c r="E36" s="11" t="s">
        <v>207</v>
      </c>
      <c r="F36" s="12">
        <v>7760</v>
      </c>
      <c r="G36" s="12">
        <f>F36*Kurallar!$B$4*Kurallar!$B$3</f>
        <v>39188</v>
      </c>
      <c r="H36" s="13">
        <f t="shared" si="3"/>
        <v>979700</v>
      </c>
      <c r="I36" s="11">
        <v>25</v>
      </c>
      <c r="J36" s="11" t="s">
        <v>132</v>
      </c>
      <c r="K36" s="11" t="s">
        <v>53</v>
      </c>
    </row>
    <row r="37" spans="1:11" ht="15" customHeight="1" x14ac:dyDescent="0.25">
      <c r="A37" s="11">
        <v>5</v>
      </c>
      <c r="B37" s="11" t="str">
        <f t="shared" si="2"/>
        <v>ЩС — Щит силовой (л.3), 1800×800×450, напольный — ввод кабелей СВЕРХУ, клеммы вверху, вводной аппарат внизу</v>
      </c>
      <c r="C37" s="11" t="s">
        <v>144</v>
      </c>
      <c r="D37" s="11" t="s">
        <v>208</v>
      </c>
      <c r="E37" s="11" t="s">
        <v>209</v>
      </c>
      <c r="F37" s="12">
        <v>7760</v>
      </c>
      <c r="G37" s="12">
        <f>F37*Kurallar!$B$4*Kurallar!$B$3</f>
        <v>39188</v>
      </c>
      <c r="H37" s="13">
        <f t="shared" si="3"/>
        <v>78376</v>
      </c>
      <c r="I37" s="11">
        <v>2</v>
      </c>
      <c r="J37" s="11" t="s">
        <v>132</v>
      </c>
      <c r="K37" s="11" t="s">
        <v>53</v>
      </c>
    </row>
    <row r="38" spans="1:11" ht="15" customHeight="1" x14ac:dyDescent="0.25">
      <c r="A38" s="11">
        <v>6</v>
      </c>
      <c r="B38" s="11" t="str">
        <f t="shared" si="2"/>
        <v>ЩС — Щит силовой (л.3), 1800×800×450, напольный — ввод кабелей СВЕРХУ, клеммы вверху, вводной аппарат внизу</v>
      </c>
      <c r="C38" s="11" t="s">
        <v>158</v>
      </c>
      <c r="D38" s="11" t="s">
        <v>161</v>
      </c>
      <c r="E38" s="11" t="s">
        <v>210</v>
      </c>
      <c r="F38" s="12">
        <v>10236</v>
      </c>
      <c r="G38" s="12">
        <f>F38*Kurallar!$B$5</f>
        <v>6141.5999999999995</v>
      </c>
      <c r="H38" s="13">
        <f t="shared" si="3"/>
        <v>18424.8</v>
      </c>
      <c r="I38" s="11">
        <v>3</v>
      </c>
      <c r="J38" s="11" t="s">
        <v>132</v>
      </c>
      <c r="K38" s="11" t="s">
        <v>51</v>
      </c>
    </row>
    <row r="39" spans="1:11" ht="15" customHeight="1" x14ac:dyDescent="0.25">
      <c r="A39" s="11">
        <v>7</v>
      </c>
      <c r="B39" s="11" t="str">
        <f t="shared" si="2"/>
        <v>ЩС — Щит силовой (л.3), 1800×800×450, напольный — ввод кабелей СВЕРХУ, клеммы вверху, вводной аппарат внизу</v>
      </c>
      <c r="C39" s="11" t="s">
        <v>34</v>
      </c>
      <c r="D39" s="11" t="s">
        <v>163</v>
      </c>
      <c r="E39" s="11" t="s">
        <v>164</v>
      </c>
      <c r="F39" s="12">
        <v>73.5</v>
      </c>
      <c r="G39" s="12">
        <f>F39*Kurallar!$B$4*Kurallar!$B$3</f>
        <v>371.17500000000001</v>
      </c>
      <c r="H39" s="13">
        <f t="shared" si="3"/>
        <v>16702.875</v>
      </c>
      <c r="I39" s="11">
        <v>45</v>
      </c>
      <c r="J39" s="11" t="s">
        <v>132</v>
      </c>
      <c r="K39" s="11" t="s">
        <v>53</v>
      </c>
    </row>
    <row r="40" spans="1:11" ht="15" customHeight="1" x14ac:dyDescent="0.25">
      <c r="A40" s="11">
        <v>8</v>
      </c>
      <c r="B40" s="11" t="str">
        <f t="shared" si="2"/>
        <v>ЩС — Щит силовой (л.3), 1800×800×450, напольный — ввод кабелей СВЕРХУ, клеммы вверху, вводной аппарат внизу</v>
      </c>
      <c r="C40" s="11" t="s">
        <v>34</v>
      </c>
      <c r="D40" s="11" t="s">
        <v>165</v>
      </c>
      <c r="E40" s="11" t="s">
        <v>166</v>
      </c>
      <c r="F40" s="12">
        <v>74.7</v>
      </c>
      <c r="G40" s="12">
        <f>F40*Kurallar!$B$4*Kurallar!$B$3</f>
        <v>377.23500000000001</v>
      </c>
      <c r="H40" s="13">
        <f t="shared" si="3"/>
        <v>16975.575000000001</v>
      </c>
      <c r="I40" s="11">
        <v>45</v>
      </c>
      <c r="J40" s="11" t="s">
        <v>132</v>
      </c>
      <c r="K40" s="11" t="s">
        <v>53</v>
      </c>
    </row>
    <row r="41" spans="1:11" ht="15" customHeight="1" x14ac:dyDescent="0.25">
      <c r="A41" s="11">
        <v>9</v>
      </c>
      <c r="B41" s="11" t="str">
        <f t="shared" si="2"/>
        <v>ЩС — Щит силовой (л.3), 1800×800×450, напольный — ввод кабелей СВЕРХУ, клеммы вверху, вводной аппарат внизу</v>
      </c>
      <c r="C41" s="11" t="s">
        <v>34</v>
      </c>
      <c r="D41" s="11" t="s">
        <v>167</v>
      </c>
      <c r="E41" s="11" t="s">
        <v>211</v>
      </c>
      <c r="F41" s="12">
        <v>78.400000000000006</v>
      </c>
      <c r="G41" s="12">
        <f>F41*Kurallar!$B$4*Kurallar!$B$3</f>
        <v>395.92</v>
      </c>
      <c r="H41" s="13">
        <f t="shared" si="3"/>
        <v>791.84</v>
      </c>
      <c r="I41" s="11">
        <v>2</v>
      </c>
      <c r="J41" s="11" t="s">
        <v>132</v>
      </c>
      <c r="K41" s="11" t="s">
        <v>53</v>
      </c>
    </row>
    <row r="42" spans="1:11" ht="15" customHeight="1" x14ac:dyDescent="0.25">
      <c r="A42" s="11">
        <v>10</v>
      </c>
      <c r="B42" s="11" t="str">
        <f t="shared" si="2"/>
        <v>ЩС — Щит силовой (л.3), 1800×800×450, напольный — ввод кабелей СВЕРХУ, клеммы вверху, вводной аппарат внизу</v>
      </c>
      <c r="C42" s="11" t="s">
        <v>34</v>
      </c>
      <c r="D42" s="11" t="s">
        <v>169</v>
      </c>
      <c r="E42" s="11" t="s">
        <v>170</v>
      </c>
      <c r="F42" s="12">
        <v>82.1</v>
      </c>
      <c r="G42" s="12">
        <f>F42*Kurallar!$B$4*Kurallar!$B$3</f>
        <v>414.60499999999996</v>
      </c>
      <c r="H42" s="13">
        <f t="shared" si="3"/>
        <v>829.20999999999992</v>
      </c>
      <c r="I42" s="11">
        <v>2</v>
      </c>
      <c r="J42" s="11" t="s">
        <v>132</v>
      </c>
      <c r="K42" s="11" t="s">
        <v>53</v>
      </c>
    </row>
    <row r="43" spans="1:11" ht="15" customHeight="1" x14ac:dyDescent="0.25">
      <c r="A43" s="11">
        <v>11</v>
      </c>
      <c r="B43" s="11" t="str">
        <f t="shared" si="2"/>
        <v>ЩС — Щит силовой (л.3), 1800×800×450, напольный — ввод кабелей СВЕРХУ, клеммы вверху, вводной аппарат внизу</v>
      </c>
      <c r="C43" s="11" t="s">
        <v>34</v>
      </c>
      <c r="D43" s="11" t="s">
        <v>175</v>
      </c>
      <c r="E43" s="11" t="s">
        <v>176</v>
      </c>
      <c r="F43" s="12">
        <v>323</v>
      </c>
      <c r="G43" s="12">
        <f>F43*Kurallar!$B$4*Kurallar!$B$3</f>
        <v>1631.1499999999999</v>
      </c>
      <c r="H43" s="13">
        <f t="shared" si="3"/>
        <v>73401.75</v>
      </c>
      <c r="I43" s="11">
        <v>45</v>
      </c>
      <c r="J43" s="11" t="s">
        <v>132</v>
      </c>
      <c r="K43" s="11" t="s">
        <v>53</v>
      </c>
    </row>
    <row r="44" spans="1:11" ht="15" customHeight="1" x14ac:dyDescent="0.25">
      <c r="A44" s="11">
        <v>12</v>
      </c>
      <c r="B44" s="11" t="str">
        <f t="shared" si="2"/>
        <v>ЩС — Щит силовой (л.3), 1800×800×450, напольный — ввод кабелей СВЕРХУ, клеммы вверху, вводной аппарат внизу</v>
      </c>
      <c r="C44" s="11" t="s">
        <v>34</v>
      </c>
      <c r="D44" s="11" t="s">
        <v>177</v>
      </c>
      <c r="E44" s="11" t="s">
        <v>178</v>
      </c>
      <c r="F44" s="12">
        <v>331</v>
      </c>
      <c r="G44" s="12">
        <f>F44*Kurallar!$B$4*Kurallar!$B$3</f>
        <v>1671.55</v>
      </c>
      <c r="H44" s="13">
        <f t="shared" si="3"/>
        <v>3343.1</v>
      </c>
      <c r="I44" s="11">
        <v>2</v>
      </c>
      <c r="J44" s="11" t="s">
        <v>132</v>
      </c>
      <c r="K44" s="11" t="s">
        <v>53</v>
      </c>
    </row>
    <row r="45" spans="1:11" ht="15" customHeight="1" x14ac:dyDescent="0.25">
      <c r="A45" s="11">
        <v>13</v>
      </c>
      <c r="B45" s="11" t="str">
        <f t="shared" si="2"/>
        <v>ЩС — Щит силовой (л.3), 1800×800×450, напольный — ввод кабелей СВЕРХУ, клеммы вверху, вводной аппарат внизу</v>
      </c>
      <c r="C45" s="11" t="s">
        <v>181</v>
      </c>
      <c r="D45" s="11" t="s">
        <v>182</v>
      </c>
      <c r="E45" s="11" t="s">
        <v>183</v>
      </c>
      <c r="F45" s="12">
        <v>2780</v>
      </c>
      <c r="G45" s="12">
        <f>F45*Kurallar!$B$4*Kurallar!$B$3</f>
        <v>14039</v>
      </c>
      <c r="H45" s="13">
        <f t="shared" si="3"/>
        <v>42117</v>
      </c>
      <c r="I45" s="11">
        <v>3</v>
      </c>
      <c r="J45" s="11" t="s">
        <v>132</v>
      </c>
      <c r="K45" s="11" t="s">
        <v>53</v>
      </c>
    </row>
    <row r="46" spans="1:11" ht="15" customHeight="1" x14ac:dyDescent="0.25">
      <c r="A46" s="11">
        <v>14</v>
      </c>
      <c r="B46" s="11" t="str">
        <f t="shared" si="2"/>
        <v>ЩС — Щит силовой (л.3), 1800×800×450, напольный — ввод кабелей СВЕРХУ, клеммы вверху, вводной аппарат внизу</v>
      </c>
      <c r="C46" s="11" t="s">
        <v>181</v>
      </c>
      <c r="D46" s="11" t="s">
        <v>212</v>
      </c>
      <c r="E46" s="11" t="s">
        <v>213</v>
      </c>
      <c r="F46" s="12">
        <v>4204</v>
      </c>
      <c r="G46" s="12">
        <f>F46*Kurallar!$B$6</f>
        <v>4204</v>
      </c>
      <c r="H46" s="13">
        <f t="shared" si="3"/>
        <v>8408</v>
      </c>
      <c r="I46" s="11">
        <v>2</v>
      </c>
      <c r="J46" s="11" t="s">
        <v>132</v>
      </c>
      <c r="K46" s="11" t="s">
        <v>56</v>
      </c>
    </row>
    <row r="47" spans="1:11" ht="15" customHeight="1" x14ac:dyDescent="0.25">
      <c r="A47" s="11">
        <v>15</v>
      </c>
      <c r="B47" s="11" t="str">
        <f t="shared" si="2"/>
        <v>ЩС — Щит силовой (л.3), 1800×800×450, напольный — ввод кабелей СВЕРХУ, клеммы вверху, вводной аппарат внизу</v>
      </c>
      <c r="C47" s="11" t="s">
        <v>186</v>
      </c>
      <c r="D47" s="11" t="s">
        <v>187</v>
      </c>
      <c r="E47" s="11" t="s">
        <v>188</v>
      </c>
      <c r="F47" s="12">
        <v>869</v>
      </c>
      <c r="G47" s="12">
        <f>F47*Kurallar!$B$5</f>
        <v>521.4</v>
      </c>
      <c r="H47" s="13">
        <f t="shared" si="3"/>
        <v>2607</v>
      </c>
      <c r="I47" s="11">
        <v>5</v>
      </c>
      <c r="J47" s="11" t="s">
        <v>132</v>
      </c>
      <c r="K47" s="11" t="s">
        <v>51</v>
      </c>
    </row>
    <row r="48" spans="1:11" ht="15" customHeight="1" x14ac:dyDescent="0.25">
      <c r="A48" s="11">
        <v>16</v>
      </c>
      <c r="B48" s="11" t="str">
        <f t="shared" si="2"/>
        <v>ЩС — Щит силовой (л.3), 1800×800×450, напольный — ввод кабелей СВЕРХУ, клеммы вверху, вводной аппарат внизу</v>
      </c>
      <c r="C48" s="11" t="s">
        <v>189</v>
      </c>
      <c r="D48" s="11" t="s">
        <v>190</v>
      </c>
      <c r="E48" s="11" t="s">
        <v>214</v>
      </c>
      <c r="F48" s="12">
        <v>1040</v>
      </c>
      <c r="G48" s="12">
        <f>F48*Kurallar!$B$4*Kurallar!$B$3</f>
        <v>5252</v>
      </c>
      <c r="H48" s="13">
        <f t="shared" si="3"/>
        <v>73528</v>
      </c>
      <c r="I48" s="11">
        <v>14</v>
      </c>
      <c r="J48" s="11" t="s">
        <v>192</v>
      </c>
      <c r="K48" s="11" t="s">
        <v>53</v>
      </c>
    </row>
    <row r="49" spans="1:11" ht="15" customHeight="1" x14ac:dyDescent="0.25">
      <c r="A49" s="11">
        <v>17</v>
      </c>
      <c r="B49" s="11" t="str">
        <f t="shared" si="2"/>
        <v>ЩС — Щит силовой (л.3), 1800×800×450, напольный — ввод кабелей СВЕРХУ, клеммы вверху, вводной аппарат внизу</v>
      </c>
      <c r="C49" s="11" t="s">
        <v>193</v>
      </c>
      <c r="D49" s="11" t="s">
        <v>194</v>
      </c>
      <c r="E49" s="11" t="s">
        <v>195</v>
      </c>
      <c r="F49" s="12">
        <f>SUM(H33:H48)</f>
        <v>1497527.6500000001</v>
      </c>
      <c r="G49" s="12">
        <f>F49*Kurallar!$B$7</f>
        <v>44925.8295</v>
      </c>
      <c r="H49" s="13">
        <f t="shared" si="3"/>
        <v>44925.8295</v>
      </c>
      <c r="I49" s="11">
        <v>1</v>
      </c>
      <c r="J49" s="11" t="s">
        <v>196</v>
      </c>
      <c r="K49" s="11" t="s">
        <v>194</v>
      </c>
    </row>
    <row r="50" spans="1:11" ht="15" customHeight="1" x14ac:dyDescent="0.25">
      <c r="A50" s="11">
        <v>18</v>
      </c>
      <c r="B50" s="11" t="str">
        <f t="shared" si="2"/>
        <v>ЩС — Щит силовой (л.3), 1800×800×450, напольный — ввод кабелей СВЕРХУ, клеммы вверху, вводной аппарат внизу</v>
      </c>
      <c r="C50" s="11" t="s">
        <v>197</v>
      </c>
      <c r="D50" s="11" t="s">
        <v>194</v>
      </c>
      <c r="E50" s="11" t="s">
        <v>198</v>
      </c>
      <c r="F50" s="14">
        <f>I50/60</f>
        <v>35.956666666666663</v>
      </c>
      <c r="G50" s="12">
        <f>Kurallar!$B$8</f>
        <v>100</v>
      </c>
      <c r="H50" s="13">
        <f t="shared" si="3"/>
        <v>215739.99999999997</v>
      </c>
      <c r="I50" s="13">
        <f>(Kurallar!$B$24+Kurallar!$B$16+20*Kurallar!$B$10+27*Kurallar!$B$14+3*Kurallar!$B$19+141*Kurallar!$B$20+6*Kurallar!$B$21+3*Kurallar!$B$22+19*Kurallar!$B$23+Kurallar!$B$27)*Kurallar!$B$28</f>
        <v>2157.3999999999996</v>
      </c>
      <c r="J50" s="11" t="s">
        <v>199</v>
      </c>
      <c r="K50" s="11" t="s">
        <v>128</v>
      </c>
    </row>
    <row r="51" spans="1:11" ht="15" customHeight="1" x14ac:dyDescent="0.25">
      <c r="A51" s="9"/>
      <c r="B51" s="9" t="s">
        <v>215</v>
      </c>
      <c r="C51" s="9"/>
      <c r="D51" s="9"/>
      <c r="E51" s="9" t="s">
        <v>216</v>
      </c>
      <c r="F51" s="9"/>
      <c r="G51" s="9"/>
      <c r="H51" s="15">
        <f>SUBTOTAL(9,H33:H50)</f>
        <v>1758193.4795000001</v>
      </c>
      <c r="I51" s="9"/>
      <c r="J51" s="9"/>
      <c r="K51" s="9"/>
    </row>
    <row r="52" spans="1:11" ht="15" customHeight="1" x14ac:dyDescent="0.25">
      <c r="A52" s="9"/>
      <c r="B52" s="10" t="str">
        <f>E52</f>
        <v>ЩЛ-1…ЩЛ-5 — Локальные боксы 4 мод. IP65 у оборудования (по спецификации л.1)</v>
      </c>
      <c r="C52" s="9"/>
      <c r="D52" s="9"/>
      <c r="E52" s="9" t="s">
        <v>217</v>
      </c>
      <c r="F52" s="9"/>
      <c r="G52" s="9"/>
      <c r="H52" s="9"/>
      <c r="I52" s="9">
        <v>1</v>
      </c>
      <c r="J52" s="9" t="s">
        <v>127</v>
      </c>
      <c r="K52" s="9" t="s">
        <v>128</v>
      </c>
    </row>
    <row r="53" spans="1:11" ht="15" customHeight="1" x14ac:dyDescent="0.25">
      <c r="A53" s="11">
        <v>1</v>
      </c>
      <c r="B53" s="11" t="str">
        <f t="shared" ref="B53:B59" si="4">$E$52</f>
        <v>ЩЛ-1…ЩЛ-5 — Локальные боксы 4 мод. IP65 у оборудования (по спецификации л.1)</v>
      </c>
      <c r="C53" s="11" t="s">
        <v>129</v>
      </c>
      <c r="D53" s="11" t="s">
        <v>218</v>
      </c>
      <c r="E53" s="11" t="s">
        <v>219</v>
      </c>
      <c r="F53" s="12">
        <v>2480</v>
      </c>
      <c r="G53" s="12">
        <f>F53*Kurallar!$B$4*Kurallar!$B$3</f>
        <v>12524</v>
      </c>
      <c r="H53" s="13">
        <f t="shared" ref="H53:H59" si="5">G53*I53</f>
        <v>62620</v>
      </c>
      <c r="I53" s="11">
        <v>5</v>
      </c>
      <c r="J53" s="11" t="s">
        <v>132</v>
      </c>
      <c r="K53" s="11" t="s">
        <v>53</v>
      </c>
    </row>
    <row r="54" spans="1:11" ht="15" customHeight="1" x14ac:dyDescent="0.25">
      <c r="A54" s="11">
        <v>2</v>
      </c>
      <c r="B54" s="11" t="str">
        <f t="shared" si="4"/>
        <v>ЩЛ-1…ЩЛ-5 — Локальные боксы 4 мод. IP65 у оборудования (по спецификации л.1)</v>
      </c>
      <c r="C54" s="11" t="s">
        <v>144</v>
      </c>
      <c r="D54" s="11" t="s">
        <v>145</v>
      </c>
      <c r="E54" s="11" t="s">
        <v>220</v>
      </c>
      <c r="F54" s="12">
        <v>14100</v>
      </c>
      <c r="G54" s="12">
        <f>F54*Kurallar!$B$4*Kurallar!$B$3</f>
        <v>71205</v>
      </c>
      <c r="H54" s="13">
        <f t="shared" si="5"/>
        <v>71205</v>
      </c>
      <c r="I54" s="11">
        <v>1</v>
      </c>
      <c r="J54" s="11" t="s">
        <v>132</v>
      </c>
      <c r="K54" s="11" t="s">
        <v>53</v>
      </c>
    </row>
    <row r="55" spans="1:11" ht="15" customHeight="1" x14ac:dyDescent="0.25">
      <c r="A55" s="11">
        <v>3</v>
      </c>
      <c r="B55" s="11" t="str">
        <f t="shared" si="4"/>
        <v>ЩЛ-1…ЩЛ-5 — Локальные боксы 4 мод. IP65 у оборудования (по спецификации л.1)</v>
      </c>
      <c r="C55" s="11" t="s">
        <v>144</v>
      </c>
      <c r="D55" s="11" t="s">
        <v>149</v>
      </c>
      <c r="E55" s="11" t="s">
        <v>221</v>
      </c>
      <c r="F55" s="12">
        <v>14100</v>
      </c>
      <c r="G55" s="12">
        <f>F55*Kurallar!$B$4*Kurallar!$B$3</f>
        <v>71205</v>
      </c>
      <c r="H55" s="13">
        <f t="shared" si="5"/>
        <v>71205</v>
      </c>
      <c r="I55" s="11">
        <v>1</v>
      </c>
      <c r="J55" s="11" t="s">
        <v>132</v>
      </c>
      <c r="K55" s="11" t="s">
        <v>53</v>
      </c>
    </row>
    <row r="56" spans="1:11" ht="15" customHeight="1" x14ac:dyDescent="0.25">
      <c r="A56" s="11">
        <v>4</v>
      </c>
      <c r="B56" s="11" t="str">
        <f t="shared" si="4"/>
        <v>ЩЛ-1…ЩЛ-5 — Локальные боксы 4 мод. IP65 у оборудования (по спецификации л.1)</v>
      </c>
      <c r="C56" s="11" t="s">
        <v>144</v>
      </c>
      <c r="D56" s="11" t="s">
        <v>147</v>
      </c>
      <c r="E56" s="11" t="s">
        <v>222</v>
      </c>
      <c r="F56" s="12">
        <v>14100</v>
      </c>
      <c r="G56" s="12">
        <f>F56*Kurallar!$B$4*Kurallar!$B$3</f>
        <v>71205</v>
      </c>
      <c r="H56" s="13">
        <f t="shared" si="5"/>
        <v>71205</v>
      </c>
      <c r="I56" s="11">
        <v>1</v>
      </c>
      <c r="J56" s="11" t="s">
        <v>132</v>
      </c>
      <c r="K56" s="11" t="s">
        <v>53</v>
      </c>
    </row>
    <row r="57" spans="1:11" ht="15" customHeight="1" x14ac:dyDescent="0.25">
      <c r="A57" s="11">
        <v>5</v>
      </c>
      <c r="B57" s="11" t="str">
        <f t="shared" si="4"/>
        <v>ЩЛ-1…ЩЛ-5 — Локальные боксы 4 мод. IP65 у оборудования (по спецификации л.1)</v>
      </c>
      <c r="C57" s="11" t="s">
        <v>144</v>
      </c>
      <c r="D57" s="11" t="s">
        <v>151</v>
      </c>
      <c r="E57" s="11" t="s">
        <v>223</v>
      </c>
      <c r="F57" s="12">
        <v>14300</v>
      </c>
      <c r="G57" s="12">
        <f>F57*Kurallar!$B$4*Kurallar!$B$3</f>
        <v>72215</v>
      </c>
      <c r="H57" s="13">
        <f t="shared" si="5"/>
        <v>144430</v>
      </c>
      <c r="I57" s="11">
        <v>2</v>
      </c>
      <c r="J57" s="11" t="s">
        <v>132</v>
      </c>
      <c r="K57" s="11" t="s">
        <v>53</v>
      </c>
    </row>
    <row r="58" spans="1:11" ht="15" customHeight="1" x14ac:dyDescent="0.25">
      <c r="A58" s="11">
        <v>6</v>
      </c>
      <c r="B58" s="11" t="str">
        <f t="shared" si="4"/>
        <v>ЩЛ-1…ЩЛ-5 — Локальные боксы 4 мод. IP65 у оборудования (по спецификации л.1)</v>
      </c>
      <c r="C58" s="11" t="s">
        <v>193</v>
      </c>
      <c r="D58" s="11" t="s">
        <v>194</v>
      </c>
      <c r="E58" s="11" t="s">
        <v>195</v>
      </c>
      <c r="F58" s="12">
        <f>SUM(H53:H57)</f>
        <v>420665</v>
      </c>
      <c r="G58" s="12">
        <f>F58*Kurallar!$B$7</f>
        <v>12619.949999999999</v>
      </c>
      <c r="H58" s="13">
        <f t="shared" si="5"/>
        <v>12619.949999999999</v>
      </c>
      <c r="I58" s="11">
        <v>1</v>
      </c>
      <c r="J58" s="11" t="s">
        <v>196</v>
      </c>
      <c r="K58" s="11" t="s">
        <v>194</v>
      </c>
    </row>
    <row r="59" spans="1:11" ht="15" customHeight="1" x14ac:dyDescent="0.25">
      <c r="A59" s="11">
        <v>7</v>
      </c>
      <c r="B59" s="11" t="str">
        <f t="shared" si="4"/>
        <v>ЩЛ-1…ЩЛ-5 — Локальные боксы 4 мод. IP65 у оборудования (по спецификации л.1)</v>
      </c>
      <c r="C59" s="11" t="s">
        <v>197</v>
      </c>
      <c r="D59" s="11" t="s">
        <v>194</v>
      </c>
      <c r="E59" s="11" t="s">
        <v>198</v>
      </c>
      <c r="F59" s="14">
        <f>I59/60</f>
        <v>5.1749999999999998</v>
      </c>
      <c r="G59" s="12">
        <f>Kurallar!$B$8</f>
        <v>100</v>
      </c>
      <c r="H59" s="13">
        <f t="shared" si="5"/>
        <v>31050</v>
      </c>
      <c r="I59" s="13">
        <f>(5*Kurallar!$B$26+5*Kurallar!$B$15)*Kurallar!$B$28</f>
        <v>310.5</v>
      </c>
      <c r="J59" s="11" t="s">
        <v>199</v>
      </c>
      <c r="K59" s="11" t="s">
        <v>128</v>
      </c>
    </row>
    <row r="60" spans="1:11" ht="15" customHeight="1" x14ac:dyDescent="0.25">
      <c r="A60" s="9"/>
      <c r="B60" s="9" t="s">
        <v>224</v>
      </c>
      <c r="C60" s="9"/>
      <c r="D60" s="9"/>
      <c r="E60" s="9" t="s">
        <v>225</v>
      </c>
      <c r="F60" s="9"/>
      <c r="G60" s="9"/>
      <c r="H60" s="15">
        <f>SUBTOTAL(9,H53:H59)</f>
        <v>464334.95</v>
      </c>
      <c r="I60" s="9"/>
      <c r="J60" s="9"/>
      <c r="K60" s="9"/>
    </row>
    <row r="61" spans="1:11" ht="15" customHeight="1" x14ac:dyDescent="0.25">
      <c r="A61" s="16"/>
      <c r="B61" s="16"/>
      <c r="C61" s="16"/>
      <c r="D61" s="16"/>
      <c r="E61" s="16" t="s">
        <v>226</v>
      </c>
      <c r="F61" s="16"/>
      <c r="G61" s="16"/>
      <c r="H61" s="17">
        <f>H31+H51+H60</f>
        <v>4168794.9122500001</v>
      </c>
      <c r="I61" s="16"/>
      <c r="J61" s="16"/>
      <c r="K61" s="16"/>
    </row>
    <row r="62" spans="1:11" ht="15" customHeight="1" x14ac:dyDescent="0.25">
      <c r="A62" s="18"/>
      <c r="B62" s="18"/>
      <c r="C62" s="18"/>
      <c r="D62" s="18"/>
      <c r="E62" s="18" t="s">
        <v>227</v>
      </c>
      <c r="F62" s="18"/>
      <c r="G62" s="18"/>
      <c r="H62" s="18"/>
      <c r="I62" s="18"/>
      <c r="J62" s="18"/>
      <c r="K62" s="18"/>
    </row>
    <row r="63" spans="1:11" ht="15" customHeight="1" x14ac:dyDescent="0.25">
      <c r="A63" s="19">
        <v>1</v>
      </c>
      <c r="B63" s="19" t="s">
        <v>228</v>
      </c>
      <c r="C63" s="19" t="s">
        <v>158</v>
      </c>
      <c r="D63" s="19" t="s">
        <v>229</v>
      </c>
      <c r="E63" s="19" t="s">
        <v>230</v>
      </c>
      <c r="F63" s="20">
        <v>4830</v>
      </c>
      <c r="G63" s="20">
        <f>F63*Kurallar!$B$4*Kurallar!$B$3</f>
        <v>24391.5</v>
      </c>
      <c r="H63" s="21">
        <f t="shared" ref="H63:H70" si="6">IF(G63="","",G63*I63)</f>
        <v>0</v>
      </c>
      <c r="I63" s="19">
        <v>0</v>
      </c>
      <c r="J63" s="19" t="s">
        <v>132</v>
      </c>
      <c r="K63" s="19" t="s">
        <v>53</v>
      </c>
    </row>
    <row r="64" spans="1:11" ht="15" customHeight="1" x14ac:dyDescent="0.25">
      <c r="A64" s="19">
        <v>2</v>
      </c>
      <c r="B64" s="19" t="s">
        <v>228</v>
      </c>
      <c r="C64" s="19" t="s">
        <v>158</v>
      </c>
      <c r="D64" s="19" t="s">
        <v>231</v>
      </c>
      <c r="E64" s="19" t="s">
        <v>232</v>
      </c>
      <c r="F64" s="20">
        <v>4000</v>
      </c>
      <c r="G64" s="20">
        <f>F64*Kurallar!$B$4*Kurallar!$B$3</f>
        <v>20200</v>
      </c>
      <c r="H64" s="21">
        <f t="shared" si="6"/>
        <v>0</v>
      </c>
      <c r="I64" s="19">
        <v>0</v>
      </c>
      <c r="J64" s="19" t="s">
        <v>132</v>
      </c>
      <c r="K64" s="19" t="s">
        <v>53</v>
      </c>
    </row>
    <row r="65" spans="1:11" ht="15" customHeight="1" x14ac:dyDescent="0.25">
      <c r="A65" s="19">
        <v>3</v>
      </c>
      <c r="B65" s="19" t="s">
        <v>228</v>
      </c>
      <c r="C65" s="19" t="s">
        <v>233</v>
      </c>
      <c r="D65" s="19" t="s">
        <v>234</v>
      </c>
      <c r="E65" s="19" t="s">
        <v>235</v>
      </c>
      <c r="F65" s="20">
        <v>2650</v>
      </c>
      <c r="G65" s="20">
        <f>F65*Kurallar!$B$4*Kurallar!$B$3</f>
        <v>13382.5</v>
      </c>
      <c r="H65" s="21">
        <f t="shared" si="6"/>
        <v>0</v>
      </c>
      <c r="I65" s="19">
        <v>0</v>
      </c>
      <c r="J65" s="19" t="s">
        <v>132</v>
      </c>
      <c r="K65" s="19" t="s">
        <v>53</v>
      </c>
    </row>
    <row r="66" spans="1:11" ht="15" customHeight="1" x14ac:dyDescent="0.25">
      <c r="A66" s="19">
        <v>4</v>
      </c>
      <c r="B66" s="19" t="s">
        <v>228</v>
      </c>
      <c r="C66" s="19" t="s">
        <v>236</v>
      </c>
      <c r="D66" s="19" t="s">
        <v>194</v>
      </c>
      <c r="E66" s="19" t="s">
        <v>237</v>
      </c>
      <c r="F66" s="20"/>
      <c r="G66" s="20"/>
      <c r="H66" s="21" t="str">
        <f t="shared" si="6"/>
        <v/>
      </c>
      <c r="I66" s="19">
        <v>0</v>
      </c>
      <c r="J66" s="19" t="s">
        <v>132</v>
      </c>
      <c r="K66" s="19" t="s">
        <v>53</v>
      </c>
    </row>
    <row r="67" spans="1:11" ht="15" customHeight="1" x14ac:dyDescent="0.25">
      <c r="A67" s="19">
        <v>5</v>
      </c>
      <c r="B67" s="19" t="s">
        <v>228</v>
      </c>
      <c r="C67" s="19" t="s">
        <v>129</v>
      </c>
      <c r="D67" s="19" t="s">
        <v>194</v>
      </c>
      <c r="E67" s="19" t="s">
        <v>238</v>
      </c>
      <c r="F67" s="20"/>
      <c r="G67" s="20"/>
      <c r="H67" s="21" t="str">
        <f t="shared" si="6"/>
        <v/>
      </c>
      <c r="I67" s="19">
        <v>0</v>
      </c>
      <c r="J67" s="19" t="s">
        <v>132</v>
      </c>
      <c r="K67" s="19" t="s">
        <v>58</v>
      </c>
    </row>
    <row r="68" spans="1:11" ht="15" customHeight="1" x14ac:dyDescent="0.25">
      <c r="A68" s="19">
        <v>6</v>
      </c>
      <c r="B68" s="19" t="s">
        <v>228</v>
      </c>
      <c r="C68" s="19" t="s">
        <v>129</v>
      </c>
      <c r="D68" s="19" t="s">
        <v>239</v>
      </c>
      <c r="E68" s="19" t="s">
        <v>240</v>
      </c>
      <c r="F68" s="20">
        <v>64400</v>
      </c>
      <c r="G68" s="20">
        <f>F68*Kurallar!$B$4*Kurallar!$B$3</f>
        <v>325220</v>
      </c>
      <c r="H68" s="21">
        <f t="shared" si="6"/>
        <v>0</v>
      </c>
      <c r="I68" s="19">
        <v>0</v>
      </c>
      <c r="J68" s="19" t="s">
        <v>132</v>
      </c>
      <c r="K68" s="19" t="s">
        <v>53</v>
      </c>
    </row>
    <row r="69" spans="1:11" ht="15" customHeight="1" x14ac:dyDescent="0.25">
      <c r="A69" s="19">
        <v>7</v>
      </c>
      <c r="B69" s="19" t="s">
        <v>228</v>
      </c>
      <c r="C69" s="19" t="s">
        <v>129</v>
      </c>
      <c r="D69" s="19" t="s">
        <v>241</v>
      </c>
      <c r="E69" s="19" t="s">
        <v>242</v>
      </c>
      <c r="F69" s="20">
        <v>7160</v>
      </c>
      <c r="G69" s="20">
        <f>F69*Kurallar!$B$4*Kurallar!$B$3</f>
        <v>36158</v>
      </c>
      <c r="H69" s="21">
        <f t="shared" si="6"/>
        <v>0</v>
      </c>
      <c r="I69" s="19">
        <v>0</v>
      </c>
      <c r="J69" s="19" t="s">
        <v>132</v>
      </c>
      <c r="K69" s="19" t="s">
        <v>53</v>
      </c>
    </row>
    <row r="70" spans="1:11" ht="15" customHeight="1" x14ac:dyDescent="0.25">
      <c r="A70" s="19">
        <v>8</v>
      </c>
      <c r="B70" s="19" t="s">
        <v>228</v>
      </c>
      <c r="C70" s="19" t="s">
        <v>136</v>
      </c>
      <c r="D70" s="19" t="s">
        <v>243</v>
      </c>
      <c r="E70" s="19" t="s">
        <v>244</v>
      </c>
      <c r="F70" s="20"/>
      <c r="G70" s="20"/>
      <c r="H70" s="21" t="str">
        <f t="shared" si="6"/>
        <v/>
      </c>
      <c r="I70" s="19">
        <v>0</v>
      </c>
      <c r="J70" s="19" t="s">
        <v>132</v>
      </c>
      <c r="K70" s="19" t="s">
        <v>52</v>
      </c>
    </row>
    <row r="71" spans="1:11" ht="15" customHeight="1" x14ac:dyDescent="0.25">
      <c r="A71" s="9"/>
      <c r="B71" s="9"/>
      <c r="C71" s="9"/>
      <c r="D71" s="9"/>
      <c r="E71" s="9" t="s">
        <v>245</v>
      </c>
      <c r="F71" s="9"/>
      <c r="G71" s="9"/>
      <c r="H71" s="9"/>
      <c r="I71" s="9"/>
      <c r="J71" s="9"/>
      <c r="K71" s="9"/>
    </row>
    <row r="72" spans="1:11" ht="15" customHeight="1" x14ac:dyDescent="0.25">
      <c r="A72" s="11">
        <v>1</v>
      </c>
      <c r="B72" s="11" t="s">
        <v>246</v>
      </c>
      <c r="C72" s="11" t="s">
        <v>247</v>
      </c>
      <c r="D72" s="11" t="s">
        <v>194</v>
      </c>
      <c r="E72" s="11" t="s">
        <v>248</v>
      </c>
      <c r="F72" s="11"/>
      <c r="G72" s="11"/>
      <c r="H72" s="11"/>
      <c r="I72" s="11">
        <v>40</v>
      </c>
      <c r="J72" s="11" t="s">
        <v>192</v>
      </c>
      <c r="K72" s="11" t="s">
        <v>194</v>
      </c>
    </row>
    <row r="73" spans="1:11" ht="15" customHeight="1" x14ac:dyDescent="0.25">
      <c r="A73" s="11">
        <v>2</v>
      </c>
      <c r="B73" s="11" t="s">
        <v>246</v>
      </c>
      <c r="C73" s="11" t="s">
        <v>247</v>
      </c>
      <c r="D73" s="11" t="s">
        <v>194</v>
      </c>
      <c r="E73" s="11" t="s">
        <v>249</v>
      </c>
      <c r="F73" s="11"/>
      <c r="G73" s="11"/>
      <c r="H73" s="11"/>
      <c r="I73" s="11">
        <v>591</v>
      </c>
      <c r="J73" s="11" t="s">
        <v>192</v>
      </c>
      <c r="K73" s="11" t="s">
        <v>194</v>
      </c>
    </row>
    <row r="74" spans="1:11" ht="15" customHeight="1" x14ac:dyDescent="0.25">
      <c r="A74" s="11">
        <v>3</v>
      </c>
      <c r="B74" s="11" t="s">
        <v>246</v>
      </c>
      <c r="C74" s="11" t="s">
        <v>247</v>
      </c>
      <c r="D74" s="11" t="s">
        <v>194</v>
      </c>
      <c r="E74" s="11" t="s">
        <v>250</v>
      </c>
      <c r="F74" s="11"/>
      <c r="G74" s="11"/>
      <c r="H74" s="11"/>
      <c r="I74" s="11">
        <v>777</v>
      </c>
      <c r="J74" s="11" t="s">
        <v>192</v>
      </c>
      <c r="K74" s="11" t="s">
        <v>194</v>
      </c>
    </row>
    <row r="75" spans="1:11" ht="15" customHeight="1" x14ac:dyDescent="0.25">
      <c r="A75" s="11">
        <v>4</v>
      </c>
      <c r="B75" s="11" t="s">
        <v>246</v>
      </c>
      <c r="C75" s="11" t="s">
        <v>247</v>
      </c>
      <c r="D75" s="11" t="s">
        <v>194</v>
      </c>
      <c r="E75" s="11" t="s">
        <v>251</v>
      </c>
      <c r="F75" s="11"/>
      <c r="G75" s="11"/>
      <c r="H75" s="11"/>
      <c r="I75" s="11">
        <v>48</v>
      </c>
      <c r="J75" s="11" t="s">
        <v>192</v>
      </c>
      <c r="K75" s="11" t="s">
        <v>194</v>
      </c>
    </row>
    <row r="76" spans="1:11" ht="15" customHeight="1" x14ac:dyDescent="0.25">
      <c r="A76" s="11">
        <v>5</v>
      </c>
      <c r="B76" s="11" t="s">
        <v>246</v>
      </c>
      <c r="C76" s="11" t="s">
        <v>247</v>
      </c>
      <c r="D76" s="11" t="s">
        <v>194</v>
      </c>
      <c r="E76" s="11" t="s">
        <v>252</v>
      </c>
      <c r="F76" s="11"/>
      <c r="G76" s="11"/>
      <c r="H76" s="11"/>
      <c r="I76" s="11">
        <v>162</v>
      </c>
      <c r="J76" s="11" t="s">
        <v>192</v>
      </c>
      <c r="K76" s="11" t="s">
        <v>194</v>
      </c>
    </row>
    <row r="77" spans="1:11" ht="15" customHeight="1" x14ac:dyDescent="0.25">
      <c r="A77" s="11">
        <v>6</v>
      </c>
      <c r="B77" s="11" t="s">
        <v>246</v>
      </c>
      <c r="C77" s="11" t="s">
        <v>247</v>
      </c>
      <c r="D77" s="11" t="s">
        <v>194</v>
      </c>
      <c r="E77" s="11" t="s">
        <v>253</v>
      </c>
      <c r="F77" s="11"/>
      <c r="G77" s="11"/>
      <c r="H77" s="11"/>
      <c r="I77" s="11">
        <v>34</v>
      </c>
      <c r="J77" s="11" t="s">
        <v>192</v>
      </c>
      <c r="K77" s="11" t="s">
        <v>194</v>
      </c>
    </row>
    <row r="78" spans="1:11" ht="15" customHeight="1" x14ac:dyDescent="0.25">
      <c r="A78" s="11">
        <v>7</v>
      </c>
      <c r="B78" s="11" t="s">
        <v>246</v>
      </c>
      <c r="C78" s="11" t="s">
        <v>247</v>
      </c>
      <c r="D78" s="11" t="s">
        <v>194</v>
      </c>
      <c r="E78" s="11" t="s">
        <v>254</v>
      </c>
      <c r="F78" s="11"/>
      <c r="G78" s="11"/>
      <c r="H78" s="11"/>
      <c r="I78" s="11">
        <v>104</v>
      </c>
      <c r="J78" s="11" t="s">
        <v>192</v>
      </c>
      <c r="K78" s="11" t="s">
        <v>194</v>
      </c>
    </row>
    <row r="79" spans="1:11" ht="15" customHeight="1" x14ac:dyDescent="0.25">
      <c r="A79" s="11">
        <v>8</v>
      </c>
      <c r="B79" s="11" t="s">
        <v>246</v>
      </c>
      <c r="C79" s="11" t="s">
        <v>247</v>
      </c>
      <c r="D79" s="11" t="s">
        <v>194</v>
      </c>
      <c r="E79" s="11" t="s">
        <v>255</v>
      </c>
      <c r="F79" s="11"/>
      <c r="G79" s="11"/>
      <c r="H79" s="11"/>
      <c r="I79" s="11">
        <v>20</v>
      </c>
      <c r="J79" s="11" t="s">
        <v>192</v>
      </c>
      <c r="K79" s="11" t="s">
        <v>194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/>
  </sheetViews>
  <sheetFormatPr defaultColWidth="8.7109375" defaultRowHeight="15" x14ac:dyDescent="0.25"/>
  <cols>
    <col min="1" max="1" width="6" customWidth="1"/>
    <col min="2" max="2" width="14" customWidth="1"/>
    <col min="3" max="3" width="46" customWidth="1"/>
    <col min="4" max="4" width="18" customWidth="1"/>
    <col min="5" max="6" width="10" customWidth="1"/>
    <col min="7" max="7" width="18" customWidth="1"/>
  </cols>
  <sheetData>
    <row r="1" spans="1:7" ht="15" customHeight="1" x14ac:dyDescent="0.25">
      <c r="A1" s="8" t="s">
        <v>256</v>
      </c>
      <c r="B1" s="8" t="s">
        <v>257</v>
      </c>
      <c r="C1" s="8" t="s">
        <v>258</v>
      </c>
      <c r="D1" s="8" t="s">
        <v>259</v>
      </c>
      <c r="E1" s="8" t="s">
        <v>260</v>
      </c>
      <c r="F1" s="8" t="s">
        <v>124</v>
      </c>
      <c r="G1" s="8" t="s">
        <v>261</v>
      </c>
    </row>
    <row r="2" spans="1:7" ht="15" customHeight="1" x14ac:dyDescent="0.25">
      <c r="A2" s="11">
        <v>1</v>
      </c>
      <c r="B2" s="11" t="s">
        <v>262</v>
      </c>
      <c r="C2" s="11" t="s">
        <v>263</v>
      </c>
      <c r="D2" s="11" t="s">
        <v>264</v>
      </c>
      <c r="E2" s="11">
        <v>1</v>
      </c>
      <c r="F2" s="11" t="s">
        <v>196</v>
      </c>
      <c r="G2" s="13">
        <f>'fiyat calismasi burda'!H31</f>
        <v>1946266.48275</v>
      </c>
    </row>
    <row r="3" spans="1:7" ht="15" customHeight="1" x14ac:dyDescent="0.25">
      <c r="A3" s="11">
        <v>2</v>
      </c>
      <c r="B3" s="11" t="s">
        <v>265</v>
      </c>
      <c r="C3" s="11" t="s">
        <v>266</v>
      </c>
      <c r="D3" s="11" t="s">
        <v>264</v>
      </c>
      <c r="E3" s="11">
        <v>1</v>
      </c>
      <c r="F3" s="11" t="s">
        <v>196</v>
      </c>
      <c r="G3" s="13">
        <f>'fiyat calismasi burda'!H51</f>
        <v>1758193.4795000001</v>
      </c>
    </row>
    <row r="4" spans="1:7" ht="15" customHeight="1" x14ac:dyDescent="0.25">
      <c r="A4" s="11">
        <v>3</v>
      </c>
      <c r="B4" s="11" t="s">
        <v>267</v>
      </c>
      <c r="C4" s="11" t="s">
        <v>268</v>
      </c>
      <c r="D4" s="11" t="s">
        <v>269</v>
      </c>
      <c r="E4" s="11">
        <v>5</v>
      </c>
      <c r="F4" s="11" t="s">
        <v>132</v>
      </c>
      <c r="G4" s="13">
        <f>'fiyat calismasi burda'!H60</f>
        <v>464334.95</v>
      </c>
    </row>
    <row r="5" spans="1:7" ht="15" customHeight="1" x14ac:dyDescent="0.25">
      <c r="A5" s="16"/>
      <c r="B5" s="16"/>
      <c r="C5" s="16" t="s">
        <v>270</v>
      </c>
      <c r="D5" s="16"/>
      <c r="E5" s="16"/>
      <c r="F5" s="16"/>
      <c r="G5" s="17">
        <f>SUM(G2:G4)</f>
        <v>4168794.9122500001</v>
      </c>
    </row>
    <row r="7" spans="1:7" ht="15" customHeight="1" x14ac:dyDescent="0.25">
      <c r="A7" s="22" t="s">
        <v>271</v>
      </c>
    </row>
    <row r="8" spans="1:7" ht="15" customHeight="1" x14ac:dyDescent="0.25">
      <c r="A8" s="22" t="s">
        <v>272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Kurallar</vt:lpstr>
      <vt:lpstr>fiyat calismasi burda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2026-08-03T08:15:06Z</dcterms:created>
  <dcterms:modified xsi:type="dcterms:W3CDTF">2026-08-03T10:29:10Z</dcterms:modified>
  <dc:language>en-US</dc:language>
</cp:coreProperties>
</file>