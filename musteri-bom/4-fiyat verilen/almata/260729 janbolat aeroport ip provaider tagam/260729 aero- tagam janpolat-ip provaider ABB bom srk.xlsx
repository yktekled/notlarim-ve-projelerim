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G:\Drive'ım\2-calisilan\proje\260729 janbolat aeroport ip provaider tagam\"/>
    </mc:Choice>
  </mc:AlternateContent>
  <xr:revisionPtr revIDLastSave="0" documentId="8_{2F07CC9A-E69A-4934-A58A-F8319164D969}" xr6:coauthVersionLast="47" xr6:coauthVersionMax="47" xr10:uidLastSave="{00000000-0000-0000-0000-000000000000}"/>
  <bookViews>
    <workbookView xWindow="28680" yWindow="-120" windowWidth="29040" windowHeight="15720" tabRatio="500" activeTab="1" xr2:uid="{00000000-000D-0000-FFFF-FFFF00000000}"/>
  </bookViews>
  <sheets>
    <sheet name="Лист1" sheetId="2" r:id="rId1"/>
    <sheet name="fiyat calismasi burda" sheetId="1" r:id="rId2"/>
    <sheet name="Sayfa1" sheetId="3" r:id="rId3"/>
  </sheets>
  <definedNames>
    <definedName name="_xlnm._FilterDatabase" localSheetId="1" hidden="1">'fiyat calismasi burda'!$A$1:$K$29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22" i="1" l="1"/>
  <c r="H22" i="1" s="1"/>
  <c r="G13" i="1"/>
  <c r="H13" i="1" s="1"/>
  <c r="G12" i="1"/>
  <c r="H12" i="1" s="1"/>
  <c r="G11" i="1"/>
  <c r="G23" i="1"/>
  <c r="G10" i="1"/>
  <c r="G9" i="1"/>
  <c r="G8" i="1"/>
  <c r="G21" i="1" l="1"/>
  <c r="G7" i="1"/>
  <c r="G4" i="1"/>
  <c r="I29" i="1" l="1"/>
  <c r="G24" i="1" l="1"/>
  <c r="H24" i="1" s="1"/>
  <c r="H23" i="1"/>
  <c r="H21" i="1"/>
  <c r="G29" i="1"/>
  <c r="I27" i="1"/>
  <c r="G27" i="1"/>
  <c r="H27" i="1" s="1"/>
  <c r="G26" i="1"/>
  <c r="H26" i="1" s="1"/>
  <c r="G25" i="1"/>
  <c r="H25" i="1" s="1"/>
  <c r="G20" i="1"/>
  <c r="H20" i="1" s="1"/>
  <c r="B19" i="1"/>
  <c r="B20" i="1" s="1"/>
  <c r="B21" i="1" s="1"/>
  <c r="G15" i="1"/>
  <c r="H11" i="1"/>
  <c r="H29" i="1" l="1"/>
  <c r="F28" i="1" s="1"/>
  <c r="G28" i="1" s="1"/>
  <c r="H28" i="1" s="1"/>
  <c r="B22" i="1"/>
  <c r="B24" i="1" l="1"/>
  <c r="B25" i="1"/>
  <c r="B26" i="1" s="1"/>
  <c r="B27" i="1" s="1"/>
  <c r="B28" i="1" s="1"/>
  <c r="B29" i="1" s="1"/>
  <c r="G6" i="1" l="1"/>
  <c r="I18" i="1" l="1"/>
  <c r="G18" i="1" l="1"/>
  <c r="I16" i="1"/>
  <c r="G16" i="1"/>
  <c r="H15" i="1"/>
  <c r="G14" i="1"/>
  <c r="H14" i="1" s="1"/>
  <c r="H10" i="1"/>
  <c r="H9" i="1"/>
  <c r="H7" i="1"/>
  <c r="H6" i="1"/>
  <c r="H4" i="1"/>
  <c r="G3" i="1"/>
  <c r="H3" i="1" s="1"/>
  <c r="B2" i="1"/>
  <c r="B3" i="1" s="1"/>
  <c r="B4" i="1" s="1"/>
  <c r="B5" i="1" s="1"/>
  <c r="B9" i="1" s="1"/>
  <c r="B8" i="1" l="1"/>
  <c r="B6" i="1" s="1"/>
  <c r="H18" i="1"/>
  <c r="F17" i="1" s="1"/>
  <c r="G17" i="1" s="1"/>
  <c r="H17" i="1" s="1"/>
  <c r="H16" i="1"/>
  <c r="B7" i="1" l="1"/>
  <c r="B10" i="1"/>
  <c r="B11" i="1" s="1"/>
  <c r="B12" i="1" s="1"/>
  <c r="B13" i="1" s="1"/>
  <c r="B14" i="1" s="1"/>
  <c r="B15" i="1" s="1"/>
  <c r="B16" i="1" s="1"/>
  <c r="B17" i="1" s="1"/>
  <c r="B18" i="1" s="1"/>
  <c r="C5" i="3"/>
  <c r="C12" i="3"/>
  <c r="G12" i="3" s="1"/>
  <c r="C11" i="3"/>
  <c r="G11" i="3" s="1"/>
  <c r="G13" i="3" s="1"/>
  <c r="C7" i="3"/>
  <c r="C6" i="3"/>
  <c r="D4" i="3"/>
  <c r="C8" i="3"/>
</calcChain>
</file>

<file path=xl/sharedStrings.xml><?xml version="1.0" encoding="utf-8"?>
<sst xmlns="http://schemas.openxmlformats.org/spreadsheetml/2006/main" count="154" uniqueCount="71">
  <si>
    <t>malzeme</t>
  </si>
  <si>
    <t>Артикул</t>
  </si>
  <si>
    <t>Наименование</t>
  </si>
  <si>
    <t>Цена,тг</t>
  </si>
  <si>
    <t>Ед.изм</t>
  </si>
  <si>
    <t>завод из готовитель</t>
  </si>
  <si>
    <t>СУММ.</t>
  </si>
  <si>
    <t>комплект</t>
  </si>
  <si>
    <t>korpus</t>
  </si>
  <si>
    <t>TEKSAN</t>
  </si>
  <si>
    <t>монтажный материал</t>
  </si>
  <si>
    <t>монтажная работа</t>
  </si>
  <si>
    <t xml:space="preserve"> ШТ. </t>
  </si>
  <si>
    <t>Номенклатура</t>
  </si>
  <si>
    <t>Кол- во</t>
  </si>
  <si>
    <t>teksan f</t>
  </si>
  <si>
    <t>oto</t>
  </si>
  <si>
    <t>chint</t>
  </si>
  <si>
    <t>BC1-3504-2413</t>
  </si>
  <si>
    <t>BY8-1402-2700</t>
  </si>
  <si>
    <t>BİRİM FİYAT</t>
  </si>
  <si>
    <t>MİKTAR</t>
  </si>
  <si>
    <t>BİRİM</t>
  </si>
  <si>
    <t>ADET</t>
  </si>
  <si>
    <t>TOPLAM</t>
  </si>
  <si>
    <t>OTO</t>
  </si>
  <si>
    <t>pys</t>
  </si>
  <si>
    <t>tms</t>
  </si>
  <si>
    <t>Loobar</t>
  </si>
  <si>
    <t>1700*700*450</t>
  </si>
  <si>
    <t>Bakır Bara</t>
  </si>
  <si>
    <t>Metre</t>
  </si>
  <si>
    <t>ЩУР</t>
  </si>
  <si>
    <t>SAYAÇ</t>
  </si>
  <si>
    <t>LP</t>
  </si>
  <si>
    <t>ДАЛА СА4-Э720 R TX IP P П RS1 Д W (3x220/380V 5-60A)</t>
  </si>
  <si>
    <t>saiman</t>
  </si>
  <si>
    <t>270300026_</t>
  </si>
  <si>
    <t xml:space="preserve">              Трансформатор Т-0,66  400\5 (9)</t>
  </si>
  <si>
    <t>Akım TRAFOSU</t>
  </si>
  <si>
    <t>DİF</t>
  </si>
  <si>
    <t>PH-47</t>
  </si>
  <si>
    <t>130200153_</t>
  </si>
  <si>
    <t xml:space="preserve">                Шина алюм АД31Т  4х40х4000</t>
  </si>
  <si>
    <t>130200188_</t>
  </si>
  <si>
    <t xml:space="preserve">                Шина алюм АД31Т  3х20х4000</t>
  </si>
  <si>
    <t>Açtırma</t>
  </si>
  <si>
    <t>ЩС</t>
  </si>
  <si>
    <t>Dağıtım Blok</t>
  </si>
  <si>
    <t>100A 8 Delikli</t>
  </si>
  <si>
    <t>1SDA100345R1</t>
  </si>
  <si>
    <t>XT5N 400, TMA, In=400A</t>
  </si>
  <si>
    <t>ABB</t>
  </si>
  <si>
    <t>XT1N 160, TMD, In=100A</t>
  </si>
  <si>
    <t>1SDA067416R1</t>
  </si>
  <si>
    <t>2CSR256040R1164</t>
  </si>
  <si>
    <t>DS203NC C16 AC30</t>
  </si>
  <si>
    <t>2CDS213001R0164</t>
  </si>
  <si>
    <t>SH 203-C 16</t>
  </si>
  <si>
    <t>2CSR255080R1204</t>
  </si>
  <si>
    <t>DS201 C20 AC30</t>
  </si>
  <si>
    <t>2CSR256040R1254</t>
  </si>
  <si>
    <t xml:space="preserve"> DS203NC C25 AC30</t>
  </si>
  <si>
    <t>2CSR256040R1324</t>
  </si>
  <si>
    <t>DS203NC C32 AC30</t>
  </si>
  <si>
    <t>DS203NC C20 AC30</t>
  </si>
  <si>
    <t>2CSR256040R1204</t>
  </si>
  <si>
    <t>2CSR255080R1254</t>
  </si>
  <si>
    <t>DS201 C25 AC30</t>
  </si>
  <si>
    <t>2CDS211001R0104</t>
  </si>
  <si>
    <t>SH 201-C 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</si>
</sst>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_-* #,##0.00_-;\-* #,##0.00_-;_-* \-??_-;_-@_-"/>
    <numFmt numFmtId="165" formatCode="_-* #,##0_-;\-* #,##0_-;_-* \-??_-;_-@_-"/>
    <numFmt numFmtId="166" formatCode="_-* #,##0.00\ _X_D_R_-;\-* #,##0.00\ _X_D_R_-;_-* \-??\ _X_D_R_-;_-@_-"/>
    <numFmt numFmtId="167" formatCode="_-[$₺-41F]* #,##0.00_-;\-[$₺-41F]* #,##0.00_-;_-[$₺-41F]* &quot;-&quot;??_-;_-@_-"/>
  </numFmts>
  <fonts count="16" x14ac:knownFonts="1">
    <font>
      <sz val="11"/>
      <color rgb="FF000000"/>
      <name val="Calibri"/>
      <family val="2"/>
      <charset val="1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rgb="FF000000"/>
      <name val="Calibri"/>
      <family val="2"/>
      <charset val="1"/>
    </font>
    <font>
      <sz val="8"/>
      <name val="Calibri"/>
      <family val="2"/>
      <charset val="1"/>
    </font>
    <font>
      <sz val="16"/>
      <color rgb="FF000000"/>
      <name val="Calibri"/>
      <family val="2"/>
      <charset val="1"/>
    </font>
    <font>
      <sz val="11"/>
      <color theme="1"/>
      <name val="Calibri"/>
      <family val="2"/>
    </font>
    <font>
      <sz val="11"/>
      <color theme="1"/>
      <name val="Calibri"/>
      <family val="2"/>
      <charset val="162"/>
      <scheme val="minor"/>
    </font>
    <font>
      <b/>
      <sz val="26"/>
      <color theme="1"/>
      <name val="Calibri"/>
      <family val="2"/>
    </font>
    <font>
      <b/>
      <sz val="16"/>
      <color theme="1"/>
      <name val="Calibri"/>
      <family val="2"/>
    </font>
    <font>
      <b/>
      <sz val="16"/>
      <color theme="1"/>
      <name val="Calibri"/>
      <family val="2"/>
      <scheme val="minor"/>
    </font>
    <font>
      <sz val="20"/>
      <name val="Calibri"/>
      <family val="2"/>
      <charset val="204"/>
      <scheme val="minor"/>
    </font>
    <font>
      <b/>
      <sz val="16"/>
      <name val="Calibri"/>
      <family val="2"/>
      <charset val="204"/>
    </font>
    <font>
      <b/>
      <sz val="16"/>
      <color theme="1"/>
      <name val="Calibri"/>
      <family val="2"/>
      <charset val="204"/>
    </font>
    <font>
      <b/>
      <sz val="16"/>
      <color rgb="FF000000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FFD966"/>
        <bgColor rgb="FFFFFF99"/>
      </patternFill>
    </fill>
    <fill>
      <patternFill patternType="solid">
        <fgColor theme="0"/>
        <bgColor indexed="64"/>
      </patternFill>
    </fill>
    <fill>
      <patternFill patternType="solid">
        <fgColor theme="7" tint="0.39997558519241921"/>
        <bgColor rgb="FFFFFF99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7">
    <xf numFmtId="0" fontId="0" fillId="0" borderId="0"/>
    <xf numFmtId="164" fontId="4" fillId="0" borderId="0" applyBorder="0" applyProtection="0"/>
    <xf numFmtId="0" fontId="3" fillId="0" borderId="0"/>
    <xf numFmtId="0" fontId="2" fillId="0" borderId="0"/>
    <xf numFmtId="0" fontId="8" fillId="0" borderId="0"/>
    <xf numFmtId="0" fontId="1" fillId="0" borderId="0"/>
    <xf numFmtId="0" fontId="1" fillId="0" borderId="0"/>
  </cellStyleXfs>
  <cellXfs count="37">
    <xf numFmtId="0" fontId="0" fillId="0" borderId="0" xfId="0"/>
    <xf numFmtId="0" fontId="0" fillId="4" borderId="0" xfId="0" applyFill="1"/>
    <xf numFmtId="0" fontId="7" fillId="4" borderId="0" xfId="0" applyFont="1" applyFill="1"/>
    <xf numFmtId="0" fontId="9" fillId="2" borderId="1" xfId="0" applyFont="1" applyFill="1" applyBorder="1" applyAlignment="1">
      <alignment horizontal="center" vertical="center" wrapText="1"/>
    </xf>
    <xf numFmtId="165" fontId="10" fillId="2" borderId="1" xfId="1" applyNumberFormat="1" applyFont="1" applyFill="1" applyBorder="1" applyAlignment="1" applyProtection="1">
      <alignment horizontal="center" vertical="center"/>
    </xf>
    <xf numFmtId="165" fontId="9" fillId="2" borderId="1" xfId="1" applyNumberFormat="1" applyFont="1" applyFill="1" applyBorder="1" applyAlignment="1" applyProtection="1">
      <alignment horizontal="center" vertical="center" wrapText="1"/>
    </xf>
    <xf numFmtId="0" fontId="9" fillId="2" borderId="1" xfId="1" applyNumberFormat="1" applyFont="1" applyFill="1" applyBorder="1" applyAlignment="1" applyProtection="1">
      <alignment horizontal="center" vertical="center" wrapText="1"/>
    </xf>
    <xf numFmtId="0" fontId="6" fillId="4" borderId="0" xfId="0" applyFont="1" applyFill="1" applyAlignment="1">
      <alignment horizontal="center" vertical="center"/>
    </xf>
    <xf numFmtId="0" fontId="0" fillId="4" borderId="0" xfId="0" applyFill="1" applyAlignment="1">
      <alignment horizontal="center"/>
    </xf>
    <xf numFmtId="0" fontId="10" fillId="3" borderId="1" xfId="0" applyFont="1" applyFill="1" applyBorder="1" applyAlignment="1">
      <alignment horizontal="center" vertical="center" wrapText="1"/>
    </xf>
    <xf numFmtId="0" fontId="10" fillId="5" borderId="1" xfId="0" applyFont="1" applyFill="1" applyBorder="1" applyAlignment="1">
      <alignment horizontal="center" vertical="center" wrapText="1"/>
    </xf>
    <xf numFmtId="165" fontId="10" fillId="5" borderId="1" xfId="1" applyNumberFormat="1" applyFont="1" applyFill="1" applyBorder="1" applyAlignment="1" applyProtection="1">
      <alignment horizontal="center" vertical="center" wrapText="1"/>
    </xf>
    <xf numFmtId="165" fontId="10" fillId="5" borderId="1" xfId="1" applyNumberFormat="1" applyFont="1" applyFill="1" applyBorder="1" applyAlignment="1" applyProtection="1">
      <alignment horizontal="center" vertical="center"/>
    </xf>
    <xf numFmtId="166" fontId="10" fillId="5" borderId="1" xfId="1" applyNumberFormat="1" applyFont="1" applyFill="1" applyBorder="1" applyAlignment="1" applyProtection="1">
      <alignment horizontal="center" vertical="center" wrapText="1"/>
    </xf>
    <xf numFmtId="0" fontId="10" fillId="5" borderId="1" xfId="1" applyNumberFormat="1" applyFont="1" applyFill="1" applyBorder="1" applyAlignment="1" applyProtection="1">
      <alignment horizontal="center" vertical="center"/>
    </xf>
    <xf numFmtId="0" fontId="10" fillId="0" borderId="1" xfId="0" applyFont="1" applyBorder="1" applyAlignment="1">
      <alignment horizontal="center" vertical="center" wrapText="1"/>
    </xf>
    <xf numFmtId="0" fontId="11" fillId="0" borderId="1" xfId="0" applyFont="1" applyBorder="1" applyAlignment="1">
      <alignment horizontal="center" vertical="center" wrapText="1"/>
    </xf>
    <xf numFmtId="1" fontId="12" fillId="0" borderId="1" xfId="0" quotePrefix="1" applyNumberFormat="1" applyFont="1" applyBorder="1" applyAlignment="1">
      <alignment horizontal="center" vertical="center"/>
    </xf>
    <xf numFmtId="165" fontId="10" fillId="0" borderId="1" xfId="1" applyNumberFormat="1" applyFont="1" applyBorder="1" applyAlignment="1" applyProtection="1">
      <alignment horizontal="center" vertical="center"/>
    </xf>
    <xf numFmtId="166" fontId="10" fillId="0" borderId="1" xfId="1" applyNumberFormat="1" applyFont="1" applyBorder="1" applyAlignment="1" applyProtection="1">
      <alignment horizontal="center" vertical="center" wrapText="1"/>
    </xf>
    <xf numFmtId="0" fontId="10" fillId="0" borderId="1" xfId="1" applyNumberFormat="1" applyFont="1" applyBorder="1" applyAlignment="1" applyProtection="1">
      <alignment horizontal="center" vertical="center"/>
    </xf>
    <xf numFmtId="165" fontId="10" fillId="0" borderId="1" xfId="1" applyNumberFormat="1" applyFont="1" applyBorder="1" applyAlignment="1" applyProtection="1">
      <alignment horizontal="center" vertical="center" wrapText="1"/>
    </xf>
    <xf numFmtId="165" fontId="10" fillId="2" borderId="1" xfId="1" applyNumberFormat="1" applyFont="1" applyFill="1" applyBorder="1" applyAlignment="1" applyProtection="1">
      <alignment horizontal="right" vertical="center"/>
    </xf>
    <xf numFmtId="165" fontId="10" fillId="5" borderId="1" xfId="1" applyNumberFormat="1" applyFont="1" applyFill="1" applyBorder="1" applyAlignment="1" applyProtection="1">
      <alignment horizontal="right" vertical="center"/>
    </xf>
    <xf numFmtId="0" fontId="11" fillId="0" borderId="1" xfId="0" applyFont="1" applyBorder="1" applyAlignment="1">
      <alignment horizontal="right" vertical="center"/>
    </xf>
    <xf numFmtId="0" fontId="6" fillId="4" borderId="0" xfId="0" applyFont="1" applyFill="1" applyAlignment="1">
      <alignment horizontal="right" vertical="center"/>
    </xf>
    <xf numFmtId="165" fontId="10" fillId="0" borderId="1" xfId="1" applyNumberFormat="1" applyFont="1" applyBorder="1" applyAlignment="1" applyProtection="1">
      <alignment horizontal="right" vertical="center"/>
    </xf>
    <xf numFmtId="0" fontId="10" fillId="0" borderId="1" xfId="1" applyNumberFormat="1" applyFont="1" applyBorder="1" applyAlignment="1" applyProtection="1">
      <alignment horizontal="center" vertical="center" wrapText="1"/>
    </xf>
    <xf numFmtId="167" fontId="4" fillId="0" borderId="0" xfId="1" applyNumberFormat="1"/>
    <xf numFmtId="167" fontId="0" fillId="0" borderId="0" xfId="0" applyNumberFormat="1"/>
    <xf numFmtId="0" fontId="13" fillId="0" borderId="1" xfId="0" applyFont="1" applyBorder="1" applyAlignment="1">
      <alignment horizontal="center" vertical="center" wrapText="1"/>
    </xf>
    <xf numFmtId="166" fontId="13" fillId="0" borderId="1" xfId="1" applyNumberFormat="1" applyFont="1" applyBorder="1" applyAlignment="1" applyProtection="1">
      <alignment horizontal="right" vertical="center" wrapText="1"/>
    </xf>
    <xf numFmtId="0" fontId="13" fillId="0" borderId="1" xfId="1" applyNumberFormat="1" applyFont="1" applyBorder="1" applyAlignment="1" applyProtection="1">
      <alignment horizontal="center" vertical="center"/>
    </xf>
    <xf numFmtId="0" fontId="15" fillId="0" borderId="1" xfId="0" applyFont="1" applyBorder="1" applyAlignment="1">
      <alignment horizontal="center" vertical="center" wrapText="1"/>
    </xf>
    <xf numFmtId="0" fontId="14" fillId="0" borderId="1" xfId="1" applyNumberFormat="1" applyFont="1" applyBorder="1" applyAlignment="1" applyProtection="1">
      <alignment horizontal="center" vertical="center" wrapText="1"/>
    </xf>
    <xf numFmtId="165" fontId="13" fillId="0" borderId="1" xfId="1" applyNumberFormat="1" applyFont="1" applyBorder="1" applyAlignment="1" applyProtection="1">
      <alignment horizontal="right" vertical="center"/>
    </xf>
    <xf numFmtId="166" fontId="11" fillId="0" borderId="1" xfId="0" applyNumberFormat="1" applyFont="1" applyBorder="1" applyAlignment="1">
      <alignment horizontal="right" vertical="center"/>
    </xf>
  </cellXfs>
  <cellStyles count="7">
    <cellStyle name="Normal" xfId="0" builtinId="0"/>
    <cellStyle name="Normal 2" xfId="4" xr:uid="{00000000-0005-0000-0000-000001000000}"/>
    <cellStyle name="Virgül" xfId="1" builtinId="3"/>
    <cellStyle name="Обычный 2" xfId="2" xr:uid="{00000000-0005-0000-0000-000003000000}"/>
    <cellStyle name="Обычный 2 2" xfId="3" xr:uid="{00000000-0005-0000-0000-000004000000}"/>
    <cellStyle name="Обычный 2 2 2" xfId="6" xr:uid="{00000000-0005-0000-0000-000005000000}"/>
    <cellStyle name="Обычный 2 3" xfId="5" xr:uid="{00000000-0005-0000-0000-000006000000}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D966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2022 Teması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29"/>
  <sheetViews>
    <sheetView tabSelected="1" zoomScale="40" zoomScaleNormal="40" workbookViewId="0">
      <pane ySplit="1" topLeftCell="A2" activePane="bottomLeft" state="frozen"/>
      <selection pane="bottomLeft" activeCell="A20" sqref="A20:A29"/>
    </sheetView>
  </sheetViews>
  <sheetFormatPr defaultColWidth="8.42578125" defaultRowHeight="21" x14ac:dyDescent="0.25"/>
  <cols>
    <col min="1" max="1" width="11.85546875" style="1" customWidth="1"/>
    <col min="2" max="2" width="58.85546875" style="1" customWidth="1"/>
    <col min="3" max="3" width="40.7109375" style="1" customWidth="1"/>
    <col min="4" max="4" width="48.7109375" style="2" bestFit="1" customWidth="1"/>
    <col min="5" max="5" width="133.42578125" style="2" bestFit="1" customWidth="1"/>
    <col min="6" max="6" width="23.28515625" style="25" bestFit="1" customWidth="1"/>
    <col min="7" max="7" width="24.5703125" style="7" customWidth="1"/>
    <col min="8" max="8" width="24.7109375" style="1" customWidth="1"/>
    <col min="9" max="9" width="13" style="8" customWidth="1"/>
    <col min="10" max="10" width="23.140625" style="1" bestFit="1" customWidth="1"/>
    <col min="11" max="11" width="32.42578125" style="1" bestFit="1" customWidth="1"/>
    <col min="12" max="16384" width="8.42578125" style="1"/>
  </cols>
  <sheetData>
    <row r="1" spans="1:11" s="2" customFormat="1" ht="93" customHeight="1" x14ac:dyDescent="0.25">
      <c r="A1" s="3"/>
      <c r="B1" s="3" t="s">
        <v>2</v>
      </c>
      <c r="C1" s="3" t="s">
        <v>0</v>
      </c>
      <c r="D1" s="3" t="s">
        <v>1</v>
      </c>
      <c r="E1" s="3" t="s">
        <v>13</v>
      </c>
      <c r="F1" s="22" t="s">
        <v>3</v>
      </c>
      <c r="G1" s="4"/>
      <c r="H1" s="5" t="s">
        <v>6</v>
      </c>
      <c r="I1" s="6" t="s">
        <v>14</v>
      </c>
      <c r="J1" s="6" t="s">
        <v>4</v>
      </c>
      <c r="K1" s="6" t="s">
        <v>5</v>
      </c>
    </row>
    <row r="2" spans="1:11" s="2" customFormat="1" ht="39" customHeight="1" x14ac:dyDescent="0.25">
      <c r="A2" s="10"/>
      <c r="B2" s="9" t="str">
        <f>E2</f>
        <v>ЩУР</v>
      </c>
      <c r="C2" s="10"/>
      <c r="D2" s="11"/>
      <c r="E2" s="10" t="s">
        <v>32</v>
      </c>
      <c r="F2" s="23"/>
      <c r="G2" s="12"/>
      <c r="H2" s="13"/>
      <c r="I2" s="14">
        <v>1</v>
      </c>
      <c r="J2" s="11" t="s">
        <v>7</v>
      </c>
      <c r="K2" s="10" t="s">
        <v>9</v>
      </c>
    </row>
    <row r="3" spans="1:11" s="2" customFormat="1" ht="39" customHeight="1" x14ac:dyDescent="0.25">
      <c r="A3" s="15">
        <v>1</v>
      </c>
      <c r="B3" s="15" t="str">
        <f>B2</f>
        <v>ЩУР</v>
      </c>
      <c r="C3" s="16" t="s">
        <v>8</v>
      </c>
      <c r="D3" s="21"/>
      <c r="E3" s="17" t="s">
        <v>29</v>
      </c>
      <c r="F3" s="26">
        <v>152000</v>
      </c>
      <c r="G3" s="18">
        <f>F3*1</f>
        <v>152000</v>
      </c>
      <c r="H3" s="19">
        <f>G3*I3</f>
        <v>152000</v>
      </c>
      <c r="I3" s="20">
        <v>1</v>
      </c>
      <c r="J3" s="21" t="s">
        <v>12</v>
      </c>
      <c r="K3" s="16" t="s">
        <v>15</v>
      </c>
    </row>
    <row r="4" spans="1:11" s="2" customFormat="1" ht="39" customHeight="1" x14ac:dyDescent="0.25">
      <c r="A4" s="15">
        <v>2</v>
      </c>
      <c r="B4" s="15" t="str">
        <f t="shared" ref="B4:B7" si="0">B3</f>
        <v>ЩУР</v>
      </c>
      <c r="C4" s="16" t="s">
        <v>27</v>
      </c>
      <c r="D4" s="21" t="s">
        <v>50</v>
      </c>
      <c r="E4" s="17" t="s">
        <v>51</v>
      </c>
      <c r="F4" s="26">
        <v>1068</v>
      </c>
      <c r="G4" s="18">
        <f>F4*0.28</f>
        <v>299.04000000000002</v>
      </c>
      <c r="H4" s="19">
        <f t="shared" ref="H4:H18" si="1">G4*I4</f>
        <v>299.04000000000002</v>
      </c>
      <c r="I4" s="20">
        <v>1</v>
      </c>
      <c r="J4" s="21" t="s">
        <v>12</v>
      </c>
      <c r="K4" s="16" t="s">
        <v>52</v>
      </c>
    </row>
    <row r="5" spans="1:11" s="2" customFormat="1" ht="39" customHeight="1" x14ac:dyDescent="0.25">
      <c r="A5" s="15">
        <v>3</v>
      </c>
      <c r="B5" s="15" t="str">
        <f>B4</f>
        <v>ЩУР</v>
      </c>
      <c r="C5" s="16" t="s">
        <v>33</v>
      </c>
      <c r="D5" s="21" t="s">
        <v>34</v>
      </c>
      <c r="E5" s="17" t="s">
        <v>35</v>
      </c>
      <c r="F5" s="26">
        <v>97200</v>
      </c>
      <c r="G5" s="18">
        <v>97200</v>
      </c>
      <c r="H5" s="19">
        <v>97200</v>
      </c>
      <c r="I5" s="20">
        <v>1</v>
      </c>
      <c r="J5" s="21" t="s">
        <v>12</v>
      </c>
      <c r="K5" s="16" t="s">
        <v>36</v>
      </c>
    </row>
    <row r="6" spans="1:11" s="2" customFormat="1" ht="39" customHeight="1" x14ac:dyDescent="0.25">
      <c r="A6" s="15">
        <v>4</v>
      </c>
      <c r="B6" s="15" t="str">
        <f>B8</f>
        <v>ЩУР</v>
      </c>
      <c r="C6" s="16" t="s">
        <v>39</v>
      </c>
      <c r="D6" s="21" t="s">
        <v>37</v>
      </c>
      <c r="E6" s="17" t="s">
        <v>38</v>
      </c>
      <c r="F6" s="26">
        <v>5401</v>
      </c>
      <c r="G6" s="18">
        <f>F6*1</f>
        <v>5401</v>
      </c>
      <c r="H6" s="19">
        <f t="shared" si="1"/>
        <v>16203</v>
      </c>
      <c r="I6" s="20">
        <v>3</v>
      </c>
      <c r="J6" s="21" t="s">
        <v>12</v>
      </c>
      <c r="K6" s="16" t="s">
        <v>26</v>
      </c>
    </row>
    <row r="7" spans="1:11" s="2" customFormat="1" ht="39" customHeight="1" x14ac:dyDescent="0.25">
      <c r="A7" s="15">
        <v>5</v>
      </c>
      <c r="B7" s="15" t="str">
        <f t="shared" si="0"/>
        <v>ЩУР</v>
      </c>
      <c r="C7" s="16" t="s">
        <v>27</v>
      </c>
      <c r="D7" s="21" t="s">
        <v>54</v>
      </c>
      <c r="E7" s="17" t="s">
        <v>53</v>
      </c>
      <c r="F7" s="26">
        <v>212.8</v>
      </c>
      <c r="G7" s="18">
        <f>F7*0.28</f>
        <v>59.58400000000001</v>
      </c>
      <c r="H7" s="19">
        <f t="shared" si="1"/>
        <v>59.58400000000001</v>
      </c>
      <c r="I7" s="20">
        <v>1</v>
      </c>
      <c r="J7" s="21" t="s">
        <v>12</v>
      </c>
      <c r="K7" s="16" t="s">
        <v>52</v>
      </c>
    </row>
    <row r="8" spans="1:11" s="2" customFormat="1" ht="39" customHeight="1" x14ac:dyDescent="0.25">
      <c r="A8" s="15">
        <v>6</v>
      </c>
      <c r="B8" s="15" t="str">
        <f>B4</f>
        <v>ЩУР</v>
      </c>
      <c r="C8" s="16" t="s">
        <v>40</v>
      </c>
      <c r="D8" s="27" t="s">
        <v>55</v>
      </c>
      <c r="E8" s="17" t="s">
        <v>56</v>
      </c>
      <c r="F8" s="26">
        <v>306.60000000000002</v>
      </c>
      <c r="G8" s="18">
        <f>F8*0.29</f>
        <v>88.914000000000001</v>
      </c>
      <c r="H8" s="19">
        <v>11082</v>
      </c>
      <c r="I8" s="20">
        <v>1</v>
      </c>
      <c r="J8" s="21" t="s">
        <v>12</v>
      </c>
      <c r="K8" s="16" t="s">
        <v>52</v>
      </c>
    </row>
    <row r="9" spans="1:11" s="2" customFormat="1" ht="39" customHeight="1" x14ac:dyDescent="0.25">
      <c r="A9" s="15">
        <v>7</v>
      </c>
      <c r="B9" s="15" t="str">
        <f>B5</f>
        <v>ЩУР</v>
      </c>
      <c r="C9" s="16" t="s">
        <v>25</v>
      </c>
      <c r="D9" s="21" t="s">
        <v>57</v>
      </c>
      <c r="E9" s="17" t="s">
        <v>58</v>
      </c>
      <c r="F9" s="26">
        <v>37.880000000000003</v>
      </c>
      <c r="G9" s="18">
        <f>F9*0.29</f>
        <v>10.985200000000001</v>
      </c>
      <c r="H9" s="19">
        <f t="shared" si="1"/>
        <v>32.955600000000004</v>
      </c>
      <c r="I9" s="20">
        <v>3</v>
      </c>
      <c r="J9" s="21" t="s">
        <v>12</v>
      </c>
      <c r="K9" s="16" t="s">
        <v>52</v>
      </c>
    </row>
    <row r="10" spans="1:11" s="2" customFormat="1" ht="39" customHeight="1" x14ac:dyDescent="0.25">
      <c r="A10" s="15">
        <v>8</v>
      </c>
      <c r="B10" s="15" t="str">
        <f t="shared" ref="B10" si="2">B6</f>
        <v>ЩУР</v>
      </c>
      <c r="C10" s="16" t="s">
        <v>40</v>
      </c>
      <c r="D10" s="27" t="s">
        <v>59</v>
      </c>
      <c r="E10" s="17" t="s">
        <v>60</v>
      </c>
      <c r="F10" s="26">
        <v>92.01</v>
      </c>
      <c r="G10" s="18">
        <f>F10*0.28</f>
        <v>25.762800000000002</v>
      </c>
      <c r="H10" s="19">
        <f t="shared" si="1"/>
        <v>283.39080000000001</v>
      </c>
      <c r="I10" s="20">
        <v>11</v>
      </c>
      <c r="J10" s="21" t="s">
        <v>12</v>
      </c>
      <c r="K10" s="16" t="s">
        <v>52</v>
      </c>
    </row>
    <row r="11" spans="1:11" s="2" customFormat="1" ht="39" customHeight="1" x14ac:dyDescent="0.25">
      <c r="A11" s="15">
        <v>9</v>
      </c>
      <c r="B11" s="30" t="str">
        <f t="shared" ref="B11:B18" si="3">B10</f>
        <v>ЩУР</v>
      </c>
      <c r="C11" s="30" t="s">
        <v>40</v>
      </c>
      <c r="D11" s="34" t="s">
        <v>61</v>
      </c>
      <c r="E11" s="17" t="s">
        <v>62</v>
      </c>
      <c r="F11" s="35">
        <v>306.60000000000002</v>
      </c>
      <c r="G11" s="31">
        <f>0.29*F11</f>
        <v>88.914000000000001</v>
      </c>
      <c r="H11" s="31">
        <f t="shared" si="1"/>
        <v>88.914000000000001</v>
      </c>
      <c r="I11" s="32">
        <v>1</v>
      </c>
      <c r="J11" s="21" t="s">
        <v>12</v>
      </c>
      <c r="K11" s="33" t="s">
        <v>52</v>
      </c>
    </row>
    <row r="12" spans="1:11" s="2" customFormat="1" ht="39" customHeight="1" x14ac:dyDescent="0.25">
      <c r="A12" s="15">
        <v>10</v>
      </c>
      <c r="B12" s="30" t="str">
        <f t="shared" si="3"/>
        <v>ЩУР</v>
      </c>
      <c r="C12" s="16" t="s">
        <v>40</v>
      </c>
      <c r="D12" s="16" t="s">
        <v>63</v>
      </c>
      <c r="E12" s="17" t="s">
        <v>64</v>
      </c>
      <c r="F12" s="24">
        <v>306.60000000000002</v>
      </c>
      <c r="G12" s="18">
        <f>F12*0.29</f>
        <v>88.914000000000001</v>
      </c>
      <c r="H12" s="31">
        <f t="shared" si="1"/>
        <v>355.65600000000001</v>
      </c>
      <c r="I12" s="20">
        <v>4</v>
      </c>
      <c r="J12" s="21" t="s">
        <v>12</v>
      </c>
      <c r="K12" s="16" t="s">
        <v>52</v>
      </c>
    </row>
    <row r="13" spans="1:11" s="2" customFormat="1" ht="39" customHeight="1" x14ac:dyDescent="0.25">
      <c r="A13" s="15">
        <v>11</v>
      </c>
      <c r="B13" s="30" t="str">
        <f t="shared" si="3"/>
        <v>ЩУР</v>
      </c>
      <c r="C13" s="16" t="s">
        <v>40</v>
      </c>
      <c r="D13" s="16" t="s">
        <v>66</v>
      </c>
      <c r="E13" s="17" t="s">
        <v>65</v>
      </c>
      <c r="F13" s="24">
        <v>306.60000000000002</v>
      </c>
      <c r="G13" s="18">
        <f>F13*0.29</f>
        <v>88.914000000000001</v>
      </c>
      <c r="H13" s="31">
        <f t="shared" si="1"/>
        <v>88.914000000000001</v>
      </c>
      <c r="I13" s="20">
        <v>1</v>
      </c>
      <c r="J13" s="21" t="s">
        <v>12</v>
      </c>
      <c r="K13" s="16" t="s">
        <v>52</v>
      </c>
    </row>
    <row r="14" spans="1:11" s="2" customFormat="1" ht="39" customHeight="1" x14ac:dyDescent="0.25">
      <c r="A14" s="15">
        <v>12</v>
      </c>
      <c r="B14" s="30" t="str">
        <f t="shared" si="3"/>
        <v>ЩУР</v>
      </c>
      <c r="C14" s="16" t="s">
        <v>46</v>
      </c>
      <c r="D14" s="16"/>
      <c r="E14" s="17" t="s">
        <v>41</v>
      </c>
      <c r="F14" s="24">
        <v>0</v>
      </c>
      <c r="G14" s="18">
        <f t="shared" ref="G14:G16" si="4">F14*0.6</f>
        <v>0</v>
      </c>
      <c r="H14" s="19">
        <f t="shared" si="1"/>
        <v>0</v>
      </c>
      <c r="I14" s="20">
        <v>4</v>
      </c>
      <c r="J14" s="21" t="s">
        <v>12</v>
      </c>
      <c r="K14" s="16" t="s">
        <v>17</v>
      </c>
    </row>
    <row r="15" spans="1:11" s="2" customFormat="1" ht="39" customHeight="1" x14ac:dyDescent="0.25">
      <c r="A15" s="15">
        <v>13</v>
      </c>
      <c r="B15" s="30" t="str">
        <f t="shared" si="3"/>
        <v>ЩУР</v>
      </c>
      <c r="C15" s="16" t="s">
        <v>30</v>
      </c>
      <c r="D15" s="16" t="s">
        <v>42</v>
      </c>
      <c r="E15" s="17" t="s">
        <v>43</v>
      </c>
      <c r="F15" s="24">
        <v>1281</v>
      </c>
      <c r="G15" s="18">
        <f>F15*1</f>
        <v>1281</v>
      </c>
      <c r="H15" s="19">
        <f t="shared" si="1"/>
        <v>9607.5</v>
      </c>
      <c r="I15" s="20">
        <v>7.5</v>
      </c>
      <c r="J15" s="21" t="s">
        <v>12</v>
      </c>
      <c r="K15" s="16" t="s">
        <v>26</v>
      </c>
    </row>
    <row r="16" spans="1:11" s="2" customFormat="1" ht="39" customHeight="1" x14ac:dyDescent="0.25">
      <c r="A16" s="15">
        <v>14</v>
      </c>
      <c r="B16" s="30" t="str">
        <f t="shared" si="3"/>
        <v>ЩУР</v>
      </c>
      <c r="C16" s="16" t="s">
        <v>30</v>
      </c>
      <c r="D16" s="16" t="s">
        <v>44</v>
      </c>
      <c r="E16" s="17" t="s">
        <v>45</v>
      </c>
      <c r="F16" s="24">
        <v>507</v>
      </c>
      <c r="G16" s="18">
        <f t="shared" si="4"/>
        <v>304.2</v>
      </c>
      <c r="H16" s="19">
        <f t="shared" si="1"/>
        <v>1277.6399999999996</v>
      </c>
      <c r="I16" s="20">
        <f>0.7*3*2</f>
        <v>4.1999999999999993</v>
      </c>
      <c r="J16" s="21" t="s">
        <v>31</v>
      </c>
      <c r="K16" s="16" t="s">
        <v>26</v>
      </c>
    </row>
    <row r="17" spans="1:11" s="2" customFormat="1" ht="49.5" customHeight="1" x14ac:dyDescent="0.25">
      <c r="A17" s="15">
        <v>15</v>
      </c>
      <c r="B17" s="30" t="str">
        <f t="shared" si="3"/>
        <v>ЩУР</v>
      </c>
      <c r="C17" s="16" t="s">
        <v>10</v>
      </c>
      <c r="D17" s="16" t="s">
        <v>10</v>
      </c>
      <c r="E17" s="16" t="s">
        <v>10</v>
      </c>
      <c r="F17" s="36">
        <f>H18</f>
        <v>72000</v>
      </c>
      <c r="G17" s="18">
        <f>F17</f>
        <v>72000</v>
      </c>
      <c r="H17" s="19">
        <f t="shared" si="1"/>
        <v>72000</v>
      </c>
      <c r="I17" s="20">
        <v>1</v>
      </c>
      <c r="J17" s="21" t="s">
        <v>12</v>
      </c>
      <c r="K17" s="21" t="s">
        <v>10</v>
      </c>
    </row>
    <row r="18" spans="1:11" ht="54.75" customHeight="1" x14ac:dyDescent="0.25">
      <c r="A18" s="15">
        <v>16</v>
      </c>
      <c r="B18" s="30" t="str">
        <f t="shared" si="3"/>
        <v>ЩУР</v>
      </c>
      <c r="C18" s="16" t="s">
        <v>11</v>
      </c>
      <c r="D18" s="16" t="s">
        <v>11</v>
      </c>
      <c r="E18" s="16" t="s">
        <v>11</v>
      </c>
      <c r="F18" s="24">
        <v>100</v>
      </c>
      <c r="G18" s="18">
        <f>F18</f>
        <v>100</v>
      </c>
      <c r="H18" s="19">
        <f t="shared" si="1"/>
        <v>72000</v>
      </c>
      <c r="I18" s="20">
        <f>60*12</f>
        <v>720</v>
      </c>
      <c r="J18" s="21" t="s">
        <v>12</v>
      </c>
      <c r="K18" s="21" t="s">
        <v>11</v>
      </c>
    </row>
    <row r="19" spans="1:11" s="2" customFormat="1" ht="39" customHeight="1" x14ac:dyDescent="0.25">
      <c r="A19" s="10"/>
      <c r="B19" s="9" t="str">
        <f>E19</f>
        <v>ЩС</v>
      </c>
      <c r="C19" s="10"/>
      <c r="D19" s="11"/>
      <c r="E19" s="10" t="s">
        <v>47</v>
      </c>
      <c r="F19" s="23"/>
      <c r="G19" s="12"/>
      <c r="H19" s="13"/>
      <c r="I19" s="14">
        <v>1</v>
      </c>
      <c r="J19" s="11" t="s">
        <v>7</v>
      </c>
      <c r="K19" s="10" t="s">
        <v>9</v>
      </c>
    </row>
    <row r="20" spans="1:11" s="2" customFormat="1" ht="39" customHeight="1" x14ac:dyDescent="0.25">
      <c r="A20" s="15">
        <v>1</v>
      </c>
      <c r="B20" s="15" t="str">
        <f>B19</f>
        <v>ЩС</v>
      </c>
      <c r="C20" s="16" t="s">
        <v>8</v>
      </c>
      <c r="D20" s="21"/>
      <c r="E20" s="17" t="s">
        <v>29</v>
      </c>
      <c r="F20" s="26">
        <v>152000</v>
      </c>
      <c r="G20" s="18">
        <f>F20*1</f>
        <v>152000</v>
      </c>
      <c r="H20" s="19">
        <f>G20*I20</f>
        <v>152000</v>
      </c>
      <c r="I20" s="20">
        <v>1</v>
      </c>
      <c r="J20" s="21" t="s">
        <v>12</v>
      </c>
      <c r="K20" s="16" t="s">
        <v>15</v>
      </c>
    </row>
    <row r="21" spans="1:11" s="2" customFormat="1" ht="39" customHeight="1" x14ac:dyDescent="0.25">
      <c r="A21" s="15">
        <v>2</v>
      </c>
      <c r="B21" s="15" t="str">
        <f t="shared" ref="B21" si="5">B20</f>
        <v>ЩС</v>
      </c>
      <c r="C21" s="16" t="s">
        <v>27</v>
      </c>
      <c r="D21" s="21" t="s">
        <v>54</v>
      </c>
      <c r="E21" s="17" t="s">
        <v>53</v>
      </c>
      <c r="F21" s="26">
        <v>212.8</v>
      </c>
      <c r="G21" s="18">
        <f>F21*0.28</f>
        <v>59.58400000000001</v>
      </c>
      <c r="H21" s="19">
        <f t="shared" ref="H21:H22" si="6">G21*I21</f>
        <v>59.58400000000001</v>
      </c>
      <c r="I21" s="20">
        <v>1</v>
      </c>
      <c r="J21" s="21" t="s">
        <v>12</v>
      </c>
      <c r="K21" s="16" t="s">
        <v>52</v>
      </c>
    </row>
    <row r="22" spans="1:11" s="2" customFormat="1" ht="39" customHeight="1" x14ac:dyDescent="0.25">
      <c r="A22" s="15">
        <v>3</v>
      </c>
      <c r="B22" s="15" t="str">
        <f>B21</f>
        <v>ЩС</v>
      </c>
      <c r="C22" s="16" t="s">
        <v>16</v>
      </c>
      <c r="D22" s="21" t="s">
        <v>69</v>
      </c>
      <c r="E22" s="17" t="s">
        <v>70</v>
      </c>
      <c r="F22" s="26">
        <v>8.41</v>
      </c>
      <c r="G22" s="18">
        <f>F22*0.28</f>
        <v>2.3548000000000004</v>
      </c>
      <c r="H22" s="19">
        <f t="shared" si="6"/>
        <v>47.096000000000011</v>
      </c>
      <c r="I22" s="20">
        <v>20</v>
      </c>
      <c r="J22" s="21" t="s">
        <v>12</v>
      </c>
      <c r="K22" s="16" t="s">
        <v>52</v>
      </c>
    </row>
    <row r="23" spans="1:11" s="2" customFormat="1" ht="39" customHeight="1" x14ac:dyDescent="0.25">
      <c r="A23" s="15">
        <v>4</v>
      </c>
      <c r="B23" s="15" t="s">
        <v>32</v>
      </c>
      <c r="C23" s="16" t="s">
        <v>40</v>
      </c>
      <c r="D23" s="21" t="s">
        <v>59</v>
      </c>
      <c r="E23" s="17" t="s">
        <v>60</v>
      </c>
      <c r="F23" s="26">
        <v>92.01</v>
      </c>
      <c r="G23" s="18">
        <f>F23*0.28</f>
        <v>25.762800000000002</v>
      </c>
      <c r="H23" s="19">
        <f t="shared" ref="H23:H24" si="7">G23*I23</f>
        <v>644.07000000000005</v>
      </c>
      <c r="I23" s="20">
        <v>25</v>
      </c>
      <c r="J23" s="21" t="s">
        <v>12</v>
      </c>
      <c r="K23" s="16" t="s">
        <v>52</v>
      </c>
    </row>
    <row r="24" spans="1:11" s="2" customFormat="1" ht="39" customHeight="1" x14ac:dyDescent="0.25">
      <c r="A24" s="15">
        <v>5</v>
      </c>
      <c r="B24" s="15" t="str">
        <f t="shared" ref="B24" si="8">B23</f>
        <v>ЩУР</v>
      </c>
      <c r="C24" s="16" t="s">
        <v>40</v>
      </c>
      <c r="D24" s="21" t="s">
        <v>67</v>
      </c>
      <c r="E24" s="17" t="s">
        <v>68</v>
      </c>
      <c r="F24" s="26">
        <v>92.01</v>
      </c>
      <c r="G24" s="18">
        <f t="shared" ref="G24" si="9">F24*0.6</f>
        <v>55.206000000000003</v>
      </c>
      <c r="H24" s="19">
        <f t="shared" si="7"/>
        <v>110.41200000000001</v>
      </c>
      <c r="I24" s="20">
        <v>2</v>
      </c>
      <c r="J24" s="21" t="s">
        <v>12</v>
      </c>
      <c r="K24" s="16" t="s">
        <v>52</v>
      </c>
    </row>
    <row r="25" spans="1:11" s="2" customFormat="1" ht="39" customHeight="1" x14ac:dyDescent="0.25">
      <c r="A25" s="15">
        <v>6</v>
      </c>
      <c r="B25" s="30" t="e">
        <f>#REF!</f>
        <v>#REF!</v>
      </c>
      <c r="C25" s="16" t="s">
        <v>46</v>
      </c>
      <c r="D25" s="16"/>
      <c r="E25" s="17" t="s">
        <v>41</v>
      </c>
      <c r="F25" s="24">
        <v>0</v>
      </c>
      <c r="G25" s="18">
        <f t="shared" ref="G25" si="10">F25*0.6</f>
        <v>0</v>
      </c>
      <c r="H25" s="19">
        <f t="shared" ref="H25:H29" si="11">G25*I25</f>
        <v>0</v>
      </c>
      <c r="I25" s="20">
        <v>3</v>
      </c>
      <c r="J25" s="21" t="s">
        <v>12</v>
      </c>
      <c r="K25" s="16" t="s">
        <v>17</v>
      </c>
    </row>
    <row r="26" spans="1:11" s="2" customFormat="1" ht="39" customHeight="1" x14ac:dyDescent="0.25">
      <c r="A26" s="15">
        <v>7</v>
      </c>
      <c r="B26" s="30" t="e">
        <f t="shared" ref="B26:B29" si="12">B25</f>
        <v>#REF!</v>
      </c>
      <c r="C26" s="16" t="s">
        <v>48</v>
      </c>
      <c r="D26" s="16" t="s">
        <v>28</v>
      </c>
      <c r="E26" s="17" t="s">
        <v>49</v>
      </c>
      <c r="F26" s="24">
        <v>0</v>
      </c>
      <c r="G26" s="18">
        <f>F26*1</f>
        <v>0</v>
      </c>
      <c r="H26" s="19">
        <f t="shared" si="11"/>
        <v>0</v>
      </c>
      <c r="I26" s="20">
        <v>1</v>
      </c>
      <c r="J26" s="21" t="s">
        <v>12</v>
      </c>
      <c r="K26" s="16" t="s">
        <v>26</v>
      </c>
    </row>
    <row r="27" spans="1:11" s="2" customFormat="1" ht="39" customHeight="1" x14ac:dyDescent="0.25">
      <c r="A27" s="15">
        <v>8</v>
      </c>
      <c r="B27" s="30" t="e">
        <f t="shared" si="12"/>
        <v>#REF!</v>
      </c>
      <c r="C27" s="16" t="s">
        <v>30</v>
      </c>
      <c r="D27" s="16" t="s">
        <v>44</v>
      </c>
      <c r="E27" s="17" t="s">
        <v>45</v>
      </c>
      <c r="F27" s="24">
        <v>507</v>
      </c>
      <c r="G27" s="18">
        <f t="shared" ref="G27" si="13">F27*0.6</f>
        <v>304.2</v>
      </c>
      <c r="H27" s="19">
        <f t="shared" si="11"/>
        <v>1277.6399999999996</v>
      </c>
      <c r="I27" s="20">
        <f>0.7*3*2</f>
        <v>4.1999999999999993</v>
      </c>
      <c r="J27" s="21" t="s">
        <v>31</v>
      </c>
      <c r="K27" s="16" t="s">
        <v>26</v>
      </c>
    </row>
    <row r="28" spans="1:11" s="2" customFormat="1" ht="49.5" customHeight="1" x14ac:dyDescent="0.25">
      <c r="A28" s="15">
        <v>9</v>
      </c>
      <c r="B28" s="30" t="e">
        <f t="shared" si="12"/>
        <v>#REF!</v>
      </c>
      <c r="C28" s="16" t="s">
        <v>10</v>
      </c>
      <c r="D28" s="16" t="s">
        <v>10</v>
      </c>
      <c r="E28" s="16" t="s">
        <v>10</v>
      </c>
      <c r="F28" s="36">
        <f>H29</f>
        <v>48000</v>
      </c>
      <c r="G28" s="18">
        <f>F28</f>
        <v>48000</v>
      </c>
      <c r="H28" s="19">
        <f t="shared" si="11"/>
        <v>48000</v>
      </c>
      <c r="I28" s="20">
        <v>1</v>
      </c>
      <c r="J28" s="21" t="s">
        <v>12</v>
      </c>
      <c r="K28" s="21" t="s">
        <v>10</v>
      </c>
    </row>
    <row r="29" spans="1:11" ht="54.75" customHeight="1" x14ac:dyDescent="0.25">
      <c r="A29" s="15">
        <v>10</v>
      </c>
      <c r="B29" s="30" t="e">
        <f t="shared" si="12"/>
        <v>#REF!</v>
      </c>
      <c r="C29" s="16" t="s">
        <v>11</v>
      </c>
      <c r="D29" s="16" t="s">
        <v>11</v>
      </c>
      <c r="E29" s="16" t="s">
        <v>11</v>
      </c>
      <c r="F29" s="24">
        <v>100</v>
      </c>
      <c r="G29" s="18">
        <f>F29</f>
        <v>100</v>
      </c>
      <c r="H29" s="19">
        <f t="shared" si="11"/>
        <v>48000</v>
      </c>
      <c r="I29" s="20">
        <f>60*8</f>
        <v>480</v>
      </c>
      <c r="J29" s="21" t="s">
        <v>12</v>
      </c>
      <c r="K29" s="21" t="s">
        <v>11</v>
      </c>
    </row>
  </sheetData>
  <autoFilter ref="A1:K29" xr:uid="{00000000-0009-0000-0000-000001000000}"/>
  <phoneticPr fontId="5" type="noConversion"/>
  <pageMargins left="0.7" right="0.7" top="0.75" bottom="0.75" header="0.51180555555555496" footer="0.51180555555555496"/>
  <pageSetup paperSize="9" firstPageNumber="0" orientation="portrait" horizontalDpi="300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4:G13"/>
  <sheetViews>
    <sheetView workbookViewId="0">
      <selection activeCell="G16" sqref="G16"/>
    </sheetView>
  </sheetViews>
  <sheetFormatPr defaultRowHeight="15" x14ac:dyDescent="0.25"/>
  <cols>
    <col min="2" max="2" width="13.7109375" bestFit="1" customWidth="1"/>
    <col min="3" max="3" width="11" bestFit="1" customWidth="1"/>
    <col min="7" max="7" width="11.28515625" bestFit="1" customWidth="1"/>
  </cols>
  <sheetData>
    <row r="4" spans="2:7" x14ac:dyDescent="0.25">
      <c r="D4">
        <f>100-45</f>
        <v>55</v>
      </c>
    </row>
    <row r="5" spans="2:7" x14ac:dyDescent="0.25">
      <c r="B5" t="s">
        <v>18</v>
      </c>
      <c r="C5">
        <f>561*0.48</f>
        <v>269.27999999999997</v>
      </c>
    </row>
    <row r="6" spans="2:7" x14ac:dyDescent="0.25">
      <c r="B6" t="s">
        <v>18</v>
      </c>
      <c r="C6">
        <f>561*0.55</f>
        <v>308.55</v>
      </c>
    </row>
    <row r="7" spans="2:7" x14ac:dyDescent="0.25">
      <c r="B7" t="s">
        <v>19</v>
      </c>
      <c r="C7">
        <f>136*0.55</f>
        <v>74.800000000000011</v>
      </c>
    </row>
    <row r="8" spans="2:7" x14ac:dyDescent="0.25">
      <c r="B8" t="s">
        <v>19</v>
      </c>
      <c r="C8">
        <f>136*0.5</f>
        <v>68</v>
      </c>
    </row>
    <row r="10" spans="2:7" x14ac:dyDescent="0.25">
      <c r="C10" t="s">
        <v>20</v>
      </c>
      <c r="E10" t="s">
        <v>21</v>
      </c>
      <c r="F10" t="s">
        <v>22</v>
      </c>
      <c r="G10" t="s">
        <v>24</v>
      </c>
    </row>
    <row r="11" spans="2:7" x14ac:dyDescent="0.25">
      <c r="B11" t="s">
        <v>18</v>
      </c>
      <c r="C11" s="29">
        <f>561*0.55</f>
        <v>308.55</v>
      </c>
      <c r="E11">
        <v>36</v>
      </c>
      <c r="F11" t="s">
        <v>23</v>
      </c>
      <c r="G11" s="28">
        <f>E11*C11</f>
        <v>11107.800000000001</v>
      </c>
    </row>
    <row r="12" spans="2:7" x14ac:dyDescent="0.25">
      <c r="B12" t="s">
        <v>19</v>
      </c>
      <c r="C12" s="29">
        <f>136*0.55</f>
        <v>74.800000000000011</v>
      </c>
      <c r="E12">
        <v>36</v>
      </c>
      <c r="F12" t="s">
        <v>23</v>
      </c>
      <c r="G12" s="28">
        <f>E12*C12</f>
        <v>2692.8</v>
      </c>
    </row>
    <row r="13" spans="2:7" x14ac:dyDescent="0.25">
      <c r="G13" s="28">
        <f>SUM(G11:G12)</f>
        <v>13800.600000000002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24</TotalTime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3</vt:i4>
      </vt:variant>
    </vt:vector>
  </HeadingPairs>
  <TitlesOfParts>
    <vt:vector size="3" baseType="lpstr">
      <vt:lpstr>Лист1</vt:lpstr>
      <vt:lpstr>fiyat calismasi burda</vt:lpstr>
      <vt:lpstr>Sayfa1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Yusuf Kaplan</dc:creator>
  <dc:description/>
  <cp:lastModifiedBy>YUSUF KAPLAN</cp:lastModifiedBy>
  <cp:revision>3</cp:revision>
  <cp:lastPrinted>2026-07-24T08:51:39Z</cp:lastPrinted>
  <dcterms:created xsi:type="dcterms:W3CDTF">2015-06-05T18:19:34Z</dcterms:created>
  <dcterms:modified xsi:type="dcterms:W3CDTF">2026-08-03T07:09:17Z</dcterms:modified>
  <dc:language>ru-RU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16.0300</vt:lpwstr>
  </property>
  <property fmtid="{D5CDD505-2E9C-101B-9397-08002B2CF9AE}" pid="3" name="DocSecurity">
    <vt:i4>0</vt:i4>
  </property>
  <property fmtid="{D5CDD505-2E9C-101B-9397-08002B2CF9AE}" pid="4" name="HyperlinksChanged">
    <vt:bool>false</vt:bool>
  </property>
  <property fmtid="{D5CDD505-2E9C-101B-9397-08002B2CF9AE}" pid="5" name="LinksUpToDate">
    <vt:bool>false</vt:bool>
  </property>
  <property fmtid="{D5CDD505-2E9C-101B-9397-08002B2CF9AE}" pid="6" name="ScaleCrop">
    <vt:bool>false</vt:bool>
  </property>
  <property fmtid="{D5CDD505-2E9C-101B-9397-08002B2CF9AE}" pid="7" name="ShareDoc">
    <vt:bool>false</vt:bool>
  </property>
</Properties>
</file>