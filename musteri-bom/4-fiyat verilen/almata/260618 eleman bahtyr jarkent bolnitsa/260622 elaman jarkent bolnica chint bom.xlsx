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618 eleman bahtyr jarkent bolnitsa\"/>
    </mc:Choice>
  </mc:AlternateContent>
  <xr:revisionPtr revIDLastSave="0" documentId="13_ncr:1_{5B6341A4-8C3C-47DA-8EA5-9EF665E160C8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ayfa1" sheetId="2" r:id="rId1"/>
    <sheet name="Sayfa2" sheetId="3" r:id="rId2"/>
  </sheets>
  <definedNames>
    <definedName name="_xlnm._FilterDatabase" localSheetId="0" hidden="1">Sayfa1!$A$1:$J$597</definedName>
    <definedName name="_xlnm._FilterDatabase" localSheetId="1" hidden="1">Sayfa2!$A$1:$I$73</definedName>
    <definedName name="sayac">Sayfa1!#REF!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4" i="3" l="1"/>
  <c r="C60" i="3"/>
  <c r="D60" i="3" s="1"/>
  <c r="E60" i="3" s="1"/>
  <c r="C61" i="3"/>
  <c r="C63" i="3"/>
  <c r="C64" i="3"/>
  <c r="C65" i="3"/>
  <c r="C66" i="3"/>
  <c r="D66" i="3" s="1"/>
  <c r="E66" i="3" s="1"/>
  <c r="C67" i="3"/>
  <c r="D67" i="3" s="1"/>
  <c r="E67" i="3" s="1"/>
  <c r="C68" i="3"/>
  <c r="D68" i="3" s="1"/>
  <c r="E68" i="3" s="1"/>
  <c r="C69" i="3"/>
  <c r="D69" i="3" s="1"/>
  <c r="E69" i="3" s="1"/>
  <c r="C70" i="3"/>
  <c r="C71" i="3"/>
  <c r="C72" i="3"/>
  <c r="D72" i="3" s="1"/>
  <c r="E72" i="3" s="1"/>
  <c r="C73" i="3"/>
  <c r="D73" i="3" s="1"/>
  <c r="E73" i="3" s="1"/>
  <c r="C6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1" i="3"/>
  <c r="E61" i="3" s="1"/>
  <c r="D62" i="3"/>
  <c r="E62" i="3" s="1"/>
  <c r="D63" i="3"/>
  <c r="E63" i="3" s="1"/>
  <c r="D64" i="3"/>
  <c r="E64" i="3" s="1"/>
  <c r="D65" i="3"/>
  <c r="E65" i="3" s="1"/>
  <c r="D70" i="3"/>
  <c r="E70" i="3" s="1"/>
  <c r="D71" i="3"/>
  <c r="E71" i="3" s="1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2" i="3"/>
  <c r="H21" i="2"/>
  <c r="G21" i="2"/>
  <c r="E20" i="2" s="1"/>
  <c r="F20" i="2" s="1"/>
  <c r="G20" i="2" s="1"/>
  <c r="F19" i="2"/>
  <c r="G19" i="2" s="1"/>
  <c r="F18" i="2"/>
  <c r="G18" i="2" s="1"/>
  <c r="F17" i="2"/>
  <c r="G17" i="2" s="1"/>
  <c r="F16" i="2"/>
  <c r="G16" i="2" s="1"/>
  <c r="E410" i="2"/>
  <c r="G410" i="2"/>
  <c r="G22" i="2" l="1"/>
  <c r="F135" i="2" l="1"/>
  <c r="F75" i="2"/>
  <c r="F172" i="2"/>
  <c r="G172" i="2" s="1"/>
  <c r="F136" i="2"/>
  <c r="G136" i="2" s="1"/>
  <c r="F102" i="2"/>
  <c r="G102" i="2" s="1"/>
  <c r="F77" i="2"/>
  <c r="G77" i="2" s="1"/>
  <c r="F11" i="2"/>
  <c r="G11" i="2" s="1"/>
  <c r="F10" i="2" l="1"/>
  <c r="G10" i="2" s="1"/>
  <c r="F129" i="2"/>
  <c r="F66" i="2"/>
  <c r="F141" i="2"/>
  <c r="G596" i="2"/>
  <c r="E595" i="2" s="1"/>
  <c r="G589" i="2"/>
  <c r="E588" i="2" s="1"/>
  <c r="G582" i="2"/>
  <c r="E581" i="2" s="1"/>
  <c r="G575" i="2"/>
  <c r="E574" i="2" s="1"/>
  <c r="G568" i="2"/>
  <c r="E567" i="2" s="1"/>
  <c r="G561" i="2"/>
  <c r="E560" i="2" s="1"/>
  <c r="G554" i="2"/>
  <c r="E553" i="2" s="1"/>
  <c r="G547" i="2"/>
  <c r="E546" i="2" s="1"/>
  <c r="G540" i="2"/>
  <c r="E539" i="2" s="1"/>
  <c r="G532" i="2"/>
  <c r="E531" i="2" s="1"/>
  <c r="G524" i="2"/>
  <c r="E523" i="2" s="1"/>
  <c r="G517" i="2"/>
  <c r="E516" i="2" s="1"/>
  <c r="G504" i="2"/>
  <c r="E503" i="2" s="1"/>
  <c r="G492" i="2"/>
  <c r="E491" i="2" s="1"/>
  <c r="G482" i="2"/>
  <c r="E481" i="2" s="1"/>
  <c r="G472" i="2"/>
  <c r="E471" i="2" s="1"/>
  <c r="G462" i="2"/>
  <c r="E461" i="2" s="1"/>
  <c r="G453" i="2"/>
  <c r="E452" i="2" s="1"/>
  <c r="G443" i="2"/>
  <c r="E442" i="2" s="1"/>
  <c r="G433" i="2"/>
  <c r="E432" i="2" s="1"/>
  <c r="G423" i="2"/>
  <c r="E422" i="2" s="1"/>
  <c r="G415" i="2"/>
  <c r="E414" i="2" s="1"/>
  <c r="G406" i="2"/>
  <c r="E405" i="2" s="1"/>
  <c r="G399" i="2"/>
  <c r="E398" i="2" s="1"/>
  <c r="G391" i="2"/>
  <c r="E390" i="2" s="1"/>
  <c r="G384" i="2"/>
  <c r="E383" i="2" s="1"/>
  <c r="G376" i="2"/>
  <c r="E375" i="2" s="1"/>
  <c r="G368" i="2"/>
  <c r="E367" i="2" s="1"/>
  <c r="G360" i="2"/>
  <c r="E359" i="2" s="1"/>
  <c r="G352" i="2"/>
  <c r="E351" i="2" s="1"/>
  <c r="G345" i="2"/>
  <c r="E344" i="2" s="1"/>
  <c r="G337" i="2"/>
  <c r="E336" i="2" s="1"/>
  <c r="G329" i="2"/>
  <c r="E328" i="2" s="1"/>
  <c r="G322" i="2"/>
  <c r="E321" i="2" s="1"/>
  <c r="G314" i="2"/>
  <c r="E313" i="2" s="1"/>
  <c r="G307" i="2"/>
  <c r="E306" i="2" s="1"/>
  <c r="G299" i="2"/>
  <c r="E298" i="2" s="1"/>
  <c r="G291" i="2"/>
  <c r="E290" i="2" s="1"/>
  <c r="G284" i="2"/>
  <c r="E283" i="2" s="1"/>
  <c r="G277" i="2"/>
  <c r="E276" i="2" s="1"/>
  <c r="G270" i="2"/>
  <c r="E269" i="2" s="1"/>
  <c r="G263" i="2"/>
  <c r="E262" i="2" s="1"/>
  <c r="G256" i="2"/>
  <c r="E255" i="2" s="1"/>
  <c r="G249" i="2"/>
  <c r="E248" i="2" s="1"/>
  <c r="G241" i="2"/>
  <c r="E240" i="2" s="1"/>
  <c r="G233" i="2"/>
  <c r="E232" i="2" s="1"/>
  <c r="G225" i="2"/>
  <c r="E224" i="2" s="1"/>
  <c r="G218" i="2"/>
  <c r="E217" i="2" s="1"/>
  <c r="G209" i="2"/>
  <c r="E208" i="2" s="1"/>
  <c r="G202" i="2"/>
  <c r="E201" i="2" s="1"/>
  <c r="G195" i="2"/>
  <c r="E194" i="2" s="1"/>
  <c r="G188" i="2"/>
  <c r="E187" i="2" s="1"/>
  <c r="G181" i="2"/>
  <c r="E180" i="2" s="1"/>
  <c r="G174" i="2"/>
  <c r="E173" i="2" s="1"/>
  <c r="G167" i="2"/>
  <c r="E166" i="2" s="1"/>
  <c r="G156" i="2"/>
  <c r="E155" i="2" s="1"/>
  <c r="G146" i="2"/>
  <c r="E145" i="2" s="1"/>
  <c r="G138" i="2"/>
  <c r="E137" i="2" s="1"/>
  <c r="G126" i="2"/>
  <c r="E125" i="2" s="1"/>
  <c r="G114" i="2"/>
  <c r="E113" i="2" s="1"/>
  <c r="G104" i="2"/>
  <c r="E103" i="2" s="1"/>
  <c r="G95" i="2"/>
  <c r="E94" i="2" s="1"/>
  <c r="G87" i="2"/>
  <c r="E86" i="2" s="1"/>
  <c r="G79" i="2"/>
  <c r="E78" i="2" s="1"/>
  <c r="G63" i="2"/>
  <c r="E62" i="2" s="1"/>
  <c r="G51" i="2"/>
  <c r="E50" i="2" s="1"/>
  <c r="G41" i="2"/>
  <c r="E40" i="2" s="1"/>
  <c r="G13" i="2"/>
  <c r="E12" i="2" s="1"/>
  <c r="H13" i="2"/>
  <c r="F165" i="2"/>
  <c r="F124" i="2"/>
  <c r="F61" i="2"/>
  <c r="F9" i="2"/>
  <c r="G9" i="2" s="1"/>
  <c r="F131" i="2"/>
  <c r="F130" i="2"/>
  <c r="F123" i="2"/>
  <c r="F83" i="2"/>
  <c r="F69" i="2"/>
  <c r="F68" i="2"/>
  <c r="F67" i="2"/>
  <c r="F60" i="2"/>
  <c r="F5" i="2"/>
  <c r="F4" i="2"/>
  <c r="G4" i="2" s="1"/>
  <c r="F154" i="2"/>
  <c r="F153" i="2"/>
  <c r="F152" i="2"/>
  <c r="F151" i="2"/>
  <c r="F112" i="2"/>
  <c r="F111" i="2"/>
  <c r="F110" i="2"/>
  <c r="F109" i="2"/>
  <c r="F49" i="2"/>
  <c r="F48" i="2"/>
  <c r="F47" i="2"/>
  <c r="F46" i="2"/>
  <c r="F592" i="2"/>
  <c r="F585" i="2"/>
  <c r="F578" i="2"/>
  <c r="F571" i="2"/>
  <c r="F564" i="2"/>
  <c r="F557" i="2"/>
  <c r="F550" i="2"/>
  <c r="F543" i="2"/>
  <c r="F535" i="2"/>
  <c r="F527" i="2"/>
  <c r="F520" i="2"/>
  <c r="F509" i="2"/>
  <c r="F495" i="2"/>
  <c r="F485" i="2"/>
  <c r="F475" i="2"/>
  <c r="F465" i="2"/>
  <c r="F456" i="2"/>
  <c r="F446" i="2"/>
  <c r="F436" i="2"/>
  <c r="F426" i="2"/>
  <c r="F418" i="2"/>
  <c r="F409" i="2"/>
  <c r="F402" i="2"/>
  <c r="F394" i="2"/>
  <c r="F387" i="2"/>
  <c r="F379" i="2"/>
  <c r="F371" i="2"/>
  <c r="F363" i="2"/>
  <c r="F355" i="2"/>
  <c r="F348" i="2"/>
  <c r="F340" i="2"/>
  <c r="F332" i="2"/>
  <c r="F325" i="2"/>
  <c r="F317" i="2"/>
  <c r="F310" i="2"/>
  <c r="F302" i="2"/>
  <c r="F294" i="2"/>
  <c r="F287" i="2"/>
  <c r="F280" i="2"/>
  <c r="F273" i="2"/>
  <c r="F266" i="2"/>
  <c r="F259" i="2"/>
  <c r="F252" i="2"/>
  <c r="F244" i="2"/>
  <c r="F236" i="2"/>
  <c r="F228" i="2"/>
  <c r="F221" i="2"/>
  <c r="F212" i="2"/>
  <c r="F205" i="2"/>
  <c r="F198" i="2"/>
  <c r="F191" i="2"/>
  <c r="F184" i="2"/>
  <c r="F177" i="2"/>
  <c r="F170" i="2"/>
  <c r="F159" i="2"/>
  <c r="F149" i="2"/>
  <c r="F117" i="2"/>
  <c r="F107" i="2"/>
  <c r="F98" i="2"/>
  <c r="F90" i="2"/>
  <c r="F82" i="2"/>
  <c r="F54" i="2"/>
  <c r="F44" i="2"/>
  <c r="F34" i="2"/>
  <c r="F24" i="2"/>
  <c r="F3" i="2"/>
  <c r="F594" i="2"/>
  <c r="F593" i="2"/>
  <c r="A591" i="2"/>
  <c r="F586" i="2"/>
  <c r="F587" i="2"/>
  <c r="A584" i="2"/>
  <c r="F580" i="2"/>
  <c r="F579" i="2"/>
  <c r="A577" i="2"/>
  <c r="F573" i="2"/>
  <c r="F572" i="2"/>
  <c r="A570" i="2"/>
  <c r="F566" i="2"/>
  <c r="F565" i="2"/>
  <c r="A563" i="2"/>
  <c r="F559" i="2"/>
  <c r="F558" i="2"/>
  <c r="A556" i="2"/>
  <c r="F551" i="2"/>
  <c r="F552" i="2"/>
  <c r="A549" i="2"/>
  <c r="F545" i="2"/>
  <c r="F544" i="2"/>
  <c r="A542" i="2"/>
  <c r="F538" i="2"/>
  <c r="F530" i="2"/>
  <c r="F537" i="2"/>
  <c r="F536" i="2"/>
  <c r="A534" i="2"/>
  <c r="F528" i="2"/>
  <c r="F529" i="2"/>
  <c r="A526" i="2"/>
  <c r="F522" i="2"/>
  <c r="F521" i="2"/>
  <c r="A519" i="2"/>
  <c r="F511" i="2"/>
  <c r="F515" i="2"/>
  <c r="F514" i="2"/>
  <c r="F512" i="2"/>
  <c r="F513" i="2"/>
  <c r="F510" i="2"/>
  <c r="A508" i="2"/>
  <c r="A507" i="2"/>
  <c r="A506" i="2"/>
  <c r="F500" i="2"/>
  <c r="F501" i="2"/>
  <c r="F502" i="2"/>
  <c r="F499" i="2"/>
  <c r="F498" i="2"/>
  <c r="F497" i="2"/>
  <c r="F496" i="2"/>
  <c r="A494" i="2"/>
  <c r="F490" i="2"/>
  <c r="F489" i="2"/>
  <c r="F488" i="2"/>
  <c r="F487" i="2"/>
  <c r="F486" i="2"/>
  <c r="A484" i="2"/>
  <c r="F480" i="2"/>
  <c r="F479" i="2"/>
  <c r="F478" i="2"/>
  <c r="F477" i="2"/>
  <c r="F476" i="2"/>
  <c r="A474" i="2"/>
  <c r="F469" i="2"/>
  <c r="F470" i="2"/>
  <c r="F468" i="2"/>
  <c r="F467" i="2"/>
  <c r="F466" i="2"/>
  <c r="A464" i="2"/>
  <c r="F460" i="2"/>
  <c r="F459" i="2"/>
  <c r="F458" i="2"/>
  <c r="F457" i="2"/>
  <c r="A455" i="2"/>
  <c r="F451" i="2"/>
  <c r="F450" i="2"/>
  <c r="F449" i="2"/>
  <c r="F448" i="2"/>
  <c r="F447" i="2"/>
  <c r="A445" i="2"/>
  <c r="F441" i="2"/>
  <c r="F440" i="2"/>
  <c r="F439" i="2"/>
  <c r="F438" i="2"/>
  <c r="F437" i="2"/>
  <c r="A435" i="2"/>
  <c r="F431" i="2"/>
  <c r="F430" i="2"/>
  <c r="F429" i="2"/>
  <c r="F428" i="2"/>
  <c r="F427" i="2"/>
  <c r="A425" i="2"/>
  <c r="F421" i="2"/>
  <c r="F420" i="2"/>
  <c r="F419" i="2"/>
  <c r="A417" i="2"/>
  <c r="F413" i="2"/>
  <c r="F412" i="2"/>
  <c r="F411" i="2"/>
  <c r="A408" i="2"/>
  <c r="A410" i="2" s="1"/>
  <c r="F404" i="2"/>
  <c r="F403" i="2"/>
  <c r="A401" i="2"/>
  <c r="F396" i="2"/>
  <c r="F397" i="2"/>
  <c r="F395" i="2"/>
  <c r="A393" i="2"/>
  <c r="F389" i="2"/>
  <c r="F388" i="2"/>
  <c r="A386" i="2"/>
  <c r="F382" i="2"/>
  <c r="F381" i="2"/>
  <c r="F380" i="2"/>
  <c r="A378" i="2"/>
  <c r="F373" i="2"/>
  <c r="F374" i="2"/>
  <c r="F372" i="2"/>
  <c r="A370" i="2"/>
  <c r="F366" i="2"/>
  <c r="F365" i="2"/>
  <c r="F364" i="2"/>
  <c r="A362" i="2"/>
  <c r="F357" i="2"/>
  <c r="F356" i="2"/>
  <c r="F358" i="2"/>
  <c r="A354" i="2"/>
  <c r="F350" i="2"/>
  <c r="F349" i="2"/>
  <c r="A347" i="2"/>
  <c r="F343" i="2"/>
  <c r="F342" i="2"/>
  <c r="F341" i="2"/>
  <c r="A339" i="2"/>
  <c r="F335" i="2"/>
  <c r="F334" i="2"/>
  <c r="F333" i="2"/>
  <c r="A331" i="2"/>
  <c r="F327" i="2"/>
  <c r="F326" i="2"/>
  <c r="A324" i="2"/>
  <c r="F319" i="2"/>
  <c r="F320" i="2"/>
  <c r="F318" i="2"/>
  <c r="A316" i="2"/>
  <c r="F312" i="2"/>
  <c r="F311" i="2"/>
  <c r="A309" i="2"/>
  <c r="F304" i="2"/>
  <c r="F305" i="2"/>
  <c r="F303" i="2"/>
  <c r="A301" i="2"/>
  <c r="F296" i="2"/>
  <c r="F297" i="2"/>
  <c r="F295" i="2"/>
  <c r="A293" i="2"/>
  <c r="F289" i="2"/>
  <c r="F288" i="2"/>
  <c r="A286" i="2"/>
  <c r="F282" i="2"/>
  <c r="F281" i="2"/>
  <c r="A279" i="2"/>
  <c r="F275" i="2"/>
  <c r="F274" i="2"/>
  <c r="A272" i="2"/>
  <c r="F268" i="2"/>
  <c r="F267" i="2"/>
  <c r="A265" i="2"/>
  <c r="F261" i="2"/>
  <c r="F260" i="2"/>
  <c r="A258" i="2"/>
  <c r="F254" i="2"/>
  <c r="F253" i="2"/>
  <c r="A251" i="2"/>
  <c r="F247" i="2"/>
  <c r="F246" i="2"/>
  <c r="F245" i="2"/>
  <c r="A243" i="2"/>
  <c r="F239" i="2"/>
  <c r="F238" i="2"/>
  <c r="F237" i="2"/>
  <c r="A235" i="2"/>
  <c r="F231" i="2"/>
  <c r="F230" i="2"/>
  <c r="F229" i="2"/>
  <c r="A227" i="2"/>
  <c r="F222" i="2"/>
  <c r="F223" i="2"/>
  <c r="A220" i="2"/>
  <c r="F214" i="2"/>
  <c r="F216" i="2"/>
  <c r="F215" i="2"/>
  <c r="F213" i="2"/>
  <c r="A211" i="2"/>
  <c r="F207" i="2"/>
  <c r="F206" i="2"/>
  <c r="A204" i="2"/>
  <c r="F200" i="2"/>
  <c r="F199" i="2"/>
  <c r="A197" i="2"/>
  <c r="F193" i="2"/>
  <c r="F192" i="2"/>
  <c r="A190" i="2"/>
  <c r="F186" i="2"/>
  <c r="F185" i="2"/>
  <c r="A183" i="2"/>
  <c r="F179" i="2"/>
  <c r="F178" i="2"/>
  <c r="A176" i="2"/>
  <c r="F171" i="2"/>
  <c r="A169" i="2"/>
  <c r="F160" i="2"/>
  <c r="F164" i="2"/>
  <c r="F163" i="2"/>
  <c r="F162" i="2"/>
  <c r="F161" i="2"/>
  <c r="A158" i="2"/>
  <c r="F150" i="2"/>
  <c r="A148" i="2"/>
  <c r="F144" i="2"/>
  <c r="F143" i="2"/>
  <c r="F142" i="2"/>
  <c r="A140" i="2"/>
  <c r="A141" i="2" s="1"/>
  <c r="F134" i="2"/>
  <c r="F133" i="2"/>
  <c r="F132" i="2"/>
  <c r="A128" i="2"/>
  <c r="A129" i="2" s="1"/>
  <c r="F119" i="2"/>
  <c r="F122" i="2"/>
  <c r="F121" i="2"/>
  <c r="F120" i="2"/>
  <c r="F118" i="2"/>
  <c r="A116" i="2"/>
  <c r="F108" i="2"/>
  <c r="A106" i="2"/>
  <c r="F101" i="2"/>
  <c r="F100" i="2"/>
  <c r="F99" i="2"/>
  <c r="A97" i="2"/>
  <c r="F93" i="2"/>
  <c r="F92" i="2"/>
  <c r="F91" i="2"/>
  <c r="A89" i="2"/>
  <c r="F85" i="2"/>
  <c r="F84" i="2"/>
  <c r="A81" i="2"/>
  <c r="F71" i="2"/>
  <c r="F70" i="2"/>
  <c r="F76" i="2"/>
  <c r="F74" i="2"/>
  <c r="F73" i="2"/>
  <c r="F72" i="2"/>
  <c r="A65" i="2"/>
  <c r="A66" i="2" s="1"/>
  <c r="A15" i="2"/>
  <c r="A16" i="2" s="1"/>
  <c r="A17" i="2" s="1"/>
  <c r="A18" i="2" s="1"/>
  <c r="A19" i="2" s="1"/>
  <c r="A20" i="2" s="1"/>
  <c r="A21" i="2" s="1"/>
  <c r="A22" i="2" s="1"/>
  <c r="F59" i="2"/>
  <c r="F58" i="2"/>
  <c r="F57" i="2"/>
  <c r="F56" i="2"/>
  <c r="F55" i="2"/>
  <c r="A53" i="2"/>
  <c r="F45" i="2"/>
  <c r="A43" i="2"/>
  <c r="F39" i="2"/>
  <c r="F38" i="2"/>
  <c r="F37" i="2"/>
  <c r="F36" i="2"/>
  <c r="F35" i="2"/>
  <c r="A33" i="2"/>
  <c r="F29" i="2"/>
  <c r="F28" i="2"/>
  <c r="F27" i="2"/>
  <c r="F26" i="2"/>
  <c r="F25" i="2"/>
  <c r="A23" i="2"/>
  <c r="F6" i="2"/>
  <c r="G6" i="2" s="1"/>
  <c r="F7" i="2"/>
  <c r="G7" i="2" s="1"/>
  <c r="F8" i="2"/>
  <c r="G8" i="2" s="1"/>
  <c r="A2" i="2"/>
  <c r="A3" i="2" s="1"/>
  <c r="G129" i="2" l="1"/>
  <c r="G66" i="2"/>
  <c r="G141" i="2"/>
  <c r="F232" i="2"/>
  <c r="F224" i="2"/>
  <c r="F217" i="2"/>
  <c r="F208" i="2"/>
  <c r="F201" i="2"/>
  <c r="F194" i="2"/>
  <c r="F187" i="2"/>
  <c r="F180" i="2"/>
  <c r="F173" i="2"/>
  <c r="F166" i="2"/>
  <c r="F155" i="2"/>
  <c r="F145" i="2"/>
  <c r="F137" i="2"/>
  <c r="F125" i="2"/>
  <c r="F113" i="2"/>
  <c r="F103" i="2"/>
  <c r="F94" i="2"/>
  <c r="F86" i="2"/>
  <c r="F78" i="2"/>
  <c r="F62" i="2"/>
  <c r="F50" i="2"/>
  <c r="F40" i="2"/>
  <c r="F595" i="2"/>
  <c r="F588" i="2"/>
  <c r="F581" i="2"/>
  <c r="F574" i="2"/>
  <c r="F560" i="2"/>
  <c r="F432" i="2"/>
  <c r="F422" i="2"/>
  <c r="F414" i="2"/>
  <c r="F405" i="2"/>
  <c r="F398" i="2"/>
  <c r="F390" i="2"/>
  <c r="F383" i="2"/>
  <c r="F375" i="2"/>
  <c r="F367" i="2"/>
  <c r="F359" i="2"/>
  <c r="F351" i="2"/>
  <c r="F321" i="2"/>
  <c r="F313" i="2"/>
  <c r="F306" i="2"/>
  <c r="F298" i="2"/>
  <c r="F290" i="2"/>
  <c r="F283" i="2"/>
  <c r="F276" i="2"/>
  <c r="F269" i="2"/>
  <c r="F262" i="2"/>
  <c r="F255" i="2"/>
  <c r="F248" i="2"/>
  <c r="F240" i="2"/>
  <c r="F12" i="2"/>
  <c r="G502" i="2"/>
  <c r="G5" i="2"/>
  <c r="G154" i="2"/>
  <c r="G153" i="2"/>
  <c r="G152" i="2"/>
  <c r="G151" i="2"/>
  <c r="G112" i="2"/>
  <c r="G111" i="2"/>
  <c r="G110" i="2"/>
  <c r="G109" i="2"/>
  <c r="G49" i="2"/>
  <c r="G48" i="2"/>
  <c r="G47" i="2"/>
  <c r="G46" i="2"/>
  <c r="G3" i="2"/>
  <c r="G68" i="2"/>
  <c r="G594" i="2"/>
  <c r="G593" i="2"/>
  <c r="G592" i="2"/>
  <c r="A592" i="2"/>
  <c r="A593" i="2" s="1"/>
  <c r="A594" i="2" s="1"/>
  <c r="A595" i="2" s="1"/>
  <c r="A596" i="2" s="1"/>
  <c r="A597" i="2" s="1"/>
  <c r="G586" i="2"/>
  <c r="G585" i="2"/>
  <c r="A585" i="2"/>
  <c r="A586" i="2" s="1"/>
  <c r="A587" i="2" s="1"/>
  <c r="A588" i="2" s="1"/>
  <c r="A589" i="2" s="1"/>
  <c r="A590" i="2" s="1"/>
  <c r="G587" i="2"/>
  <c r="G580" i="2"/>
  <c r="G579" i="2"/>
  <c r="G578" i="2"/>
  <c r="A578" i="2"/>
  <c r="A579" i="2" s="1"/>
  <c r="A580" i="2" s="1"/>
  <c r="A581" i="2" s="1"/>
  <c r="A582" i="2" s="1"/>
  <c r="A583" i="2" s="1"/>
  <c r="G572" i="2"/>
  <c r="G571" i="2"/>
  <c r="G573" i="2"/>
  <c r="A571" i="2"/>
  <c r="A572" i="2" s="1"/>
  <c r="A573" i="2" s="1"/>
  <c r="A574" i="2" s="1"/>
  <c r="A575" i="2" s="1"/>
  <c r="A576" i="2" s="1"/>
  <c r="G566" i="2"/>
  <c r="G565" i="2"/>
  <c r="G564" i="2"/>
  <c r="A564" i="2"/>
  <c r="A565" i="2" s="1"/>
  <c r="A566" i="2" s="1"/>
  <c r="A567" i="2" s="1"/>
  <c r="A568" i="2" s="1"/>
  <c r="A569" i="2" s="1"/>
  <c r="G559" i="2"/>
  <c r="G558" i="2"/>
  <c r="G557" i="2"/>
  <c r="A557" i="2"/>
  <c r="A558" i="2" s="1"/>
  <c r="A559" i="2" s="1"/>
  <c r="A560" i="2" s="1"/>
  <c r="A561" i="2" s="1"/>
  <c r="A562" i="2" s="1"/>
  <c r="G551" i="2"/>
  <c r="G552" i="2"/>
  <c r="G550" i="2"/>
  <c r="A550" i="2"/>
  <c r="A551" i="2" s="1"/>
  <c r="A552" i="2" s="1"/>
  <c r="A553" i="2" s="1"/>
  <c r="A554" i="2" s="1"/>
  <c r="A555" i="2" s="1"/>
  <c r="G545" i="2"/>
  <c r="G544" i="2"/>
  <c r="G543" i="2"/>
  <c r="A543" i="2"/>
  <c r="A544" i="2" s="1"/>
  <c r="A545" i="2" s="1"/>
  <c r="G538" i="2"/>
  <c r="G530" i="2"/>
  <c r="G536" i="2"/>
  <c r="G537" i="2"/>
  <c r="G535" i="2"/>
  <c r="A535" i="2"/>
  <c r="A536" i="2" s="1"/>
  <c r="A537" i="2" s="1"/>
  <c r="G528" i="2"/>
  <c r="G529" i="2"/>
  <c r="G527" i="2"/>
  <c r="A527" i="2"/>
  <c r="A528" i="2" s="1"/>
  <c r="G522" i="2"/>
  <c r="G520" i="2"/>
  <c r="G521" i="2"/>
  <c r="A520" i="2"/>
  <c r="A521" i="2" s="1"/>
  <c r="A522" i="2" s="1"/>
  <c r="A523" i="2" s="1"/>
  <c r="A524" i="2" s="1"/>
  <c r="A525" i="2" s="1"/>
  <c r="G511" i="2"/>
  <c r="A511" i="2"/>
  <c r="G515" i="2"/>
  <c r="G514" i="2"/>
  <c r="G512" i="2"/>
  <c r="G513" i="2"/>
  <c r="G510" i="2"/>
  <c r="G509" i="2"/>
  <c r="A509" i="2"/>
  <c r="G500" i="2"/>
  <c r="G501" i="2"/>
  <c r="G479" i="2"/>
  <c r="G498" i="2"/>
  <c r="G499" i="2"/>
  <c r="G497" i="2"/>
  <c r="G496" i="2"/>
  <c r="G495" i="2"/>
  <c r="A495" i="2"/>
  <c r="G490" i="2"/>
  <c r="G487" i="2"/>
  <c r="G486" i="2"/>
  <c r="G485" i="2"/>
  <c r="G489" i="2"/>
  <c r="G488" i="2"/>
  <c r="A485" i="2"/>
  <c r="A475" i="2"/>
  <c r="G480" i="2"/>
  <c r="G478" i="2"/>
  <c r="G477" i="2"/>
  <c r="G475" i="2"/>
  <c r="G476" i="2"/>
  <c r="G469" i="2"/>
  <c r="G470" i="2"/>
  <c r="G467" i="2"/>
  <c r="G466" i="2"/>
  <c r="G465" i="2"/>
  <c r="G468" i="2"/>
  <c r="A465" i="2"/>
  <c r="G460" i="2"/>
  <c r="G459" i="2"/>
  <c r="G458" i="2"/>
  <c r="G457" i="2"/>
  <c r="G456" i="2"/>
  <c r="A456" i="2"/>
  <c r="G451" i="2"/>
  <c r="G447" i="2"/>
  <c r="G446" i="2"/>
  <c r="G450" i="2"/>
  <c r="G449" i="2"/>
  <c r="G448" i="2"/>
  <c r="A446" i="2"/>
  <c r="G441" i="2"/>
  <c r="G440" i="2"/>
  <c r="G439" i="2"/>
  <c r="G438" i="2"/>
  <c r="G437" i="2"/>
  <c r="G436" i="2"/>
  <c r="A436" i="2"/>
  <c r="G431" i="2"/>
  <c r="G430" i="2"/>
  <c r="G428" i="2"/>
  <c r="G427" i="2"/>
  <c r="G429" i="2"/>
  <c r="G426" i="2"/>
  <c r="A426" i="2"/>
  <c r="G421" i="2"/>
  <c r="G420" i="2"/>
  <c r="G419" i="2"/>
  <c r="G418" i="2"/>
  <c r="A418" i="2"/>
  <c r="G413" i="2"/>
  <c r="G411" i="2"/>
  <c r="G412" i="2"/>
  <c r="G409" i="2"/>
  <c r="A409" i="2"/>
  <c r="A411" i="2" s="1"/>
  <c r="A412" i="2" s="1"/>
  <c r="G403" i="2"/>
  <c r="G404" i="2"/>
  <c r="G402" i="2"/>
  <c r="A402" i="2"/>
  <c r="G396" i="2"/>
  <c r="G397" i="2"/>
  <c r="G395" i="2"/>
  <c r="G394" i="2"/>
  <c r="A394" i="2"/>
  <c r="G389" i="2"/>
  <c r="G388" i="2"/>
  <c r="G387" i="2"/>
  <c r="A387" i="2"/>
  <c r="A388" i="2" s="1"/>
  <c r="A389" i="2" s="1"/>
  <c r="A390" i="2" s="1"/>
  <c r="A391" i="2" s="1"/>
  <c r="A392" i="2" s="1"/>
  <c r="G381" i="2"/>
  <c r="G379" i="2"/>
  <c r="G382" i="2"/>
  <c r="G380" i="2"/>
  <c r="A379" i="2"/>
  <c r="G373" i="2"/>
  <c r="G372" i="2"/>
  <c r="G374" i="2"/>
  <c r="G371" i="2"/>
  <c r="A371" i="2"/>
  <c r="G364" i="2"/>
  <c r="G366" i="2"/>
  <c r="G365" i="2"/>
  <c r="G363" i="2"/>
  <c r="A363" i="2"/>
  <c r="G357" i="2"/>
  <c r="G342" i="2"/>
  <c r="G356" i="2"/>
  <c r="G358" i="2"/>
  <c r="G355" i="2"/>
  <c r="A355" i="2"/>
  <c r="G350" i="2"/>
  <c r="G349" i="2"/>
  <c r="G348" i="2"/>
  <c r="A348" i="2"/>
  <c r="A349" i="2" s="1"/>
  <c r="A350" i="2" s="1"/>
  <c r="A351" i="2" s="1"/>
  <c r="A352" i="2" s="1"/>
  <c r="A353" i="2" s="1"/>
  <c r="G343" i="2"/>
  <c r="G341" i="2"/>
  <c r="G340" i="2"/>
  <c r="A340" i="2"/>
  <c r="A332" i="2"/>
  <c r="G335" i="2"/>
  <c r="G334" i="2"/>
  <c r="G333" i="2"/>
  <c r="G332" i="2"/>
  <c r="G327" i="2"/>
  <c r="G325" i="2"/>
  <c r="A325" i="2"/>
  <c r="A326" i="2" s="1"/>
  <c r="A327" i="2" s="1"/>
  <c r="A328" i="2" s="1"/>
  <c r="A329" i="2" s="1"/>
  <c r="A330" i="2" s="1"/>
  <c r="G326" i="2"/>
  <c r="G319" i="2"/>
  <c r="G318" i="2"/>
  <c r="G320" i="2"/>
  <c r="G317" i="2"/>
  <c r="A317" i="2"/>
  <c r="A319" i="2" s="1"/>
  <c r="G310" i="2"/>
  <c r="A310" i="2"/>
  <c r="A311" i="2" s="1"/>
  <c r="G312" i="2"/>
  <c r="G311" i="2"/>
  <c r="G304" i="2"/>
  <c r="G305" i="2"/>
  <c r="G303" i="2"/>
  <c r="G302" i="2"/>
  <c r="A302" i="2"/>
  <c r="G296" i="2"/>
  <c r="G274" i="2"/>
  <c r="G294" i="2"/>
  <c r="A294" i="2"/>
  <c r="G297" i="2"/>
  <c r="G295" i="2"/>
  <c r="G289" i="2"/>
  <c r="G288" i="2"/>
  <c r="G287" i="2"/>
  <c r="A287" i="2"/>
  <c r="A288" i="2" s="1"/>
  <c r="A289" i="2" s="1"/>
  <c r="A290" i="2" s="1"/>
  <c r="A291" i="2" s="1"/>
  <c r="A292" i="2" s="1"/>
  <c r="G282" i="2"/>
  <c r="G281" i="2"/>
  <c r="G280" i="2"/>
  <c r="A280" i="2"/>
  <c r="A281" i="2" s="1"/>
  <c r="A282" i="2" s="1"/>
  <c r="A283" i="2" s="1"/>
  <c r="A284" i="2" s="1"/>
  <c r="G275" i="2"/>
  <c r="G273" i="2"/>
  <c r="A273" i="2"/>
  <c r="A274" i="2" s="1"/>
  <c r="A275" i="2" s="1"/>
  <c r="A276" i="2" s="1"/>
  <c r="A277" i="2" s="1"/>
  <c r="A278" i="2" s="1"/>
  <c r="G268" i="2"/>
  <c r="G267" i="2"/>
  <c r="G266" i="2"/>
  <c r="A266" i="2"/>
  <c r="A267" i="2" s="1"/>
  <c r="A268" i="2" s="1"/>
  <c r="A269" i="2" s="1"/>
  <c r="A270" i="2" s="1"/>
  <c r="A271" i="2" s="1"/>
  <c r="G261" i="2"/>
  <c r="G260" i="2"/>
  <c r="G259" i="2"/>
  <c r="A259" i="2"/>
  <c r="G254" i="2"/>
  <c r="G252" i="2"/>
  <c r="A252" i="2"/>
  <c r="G253" i="2"/>
  <c r="G247" i="2"/>
  <c r="G246" i="2"/>
  <c r="G245" i="2"/>
  <c r="G244" i="2"/>
  <c r="A244" i="2"/>
  <c r="G239" i="2"/>
  <c r="G238" i="2"/>
  <c r="G237" i="2"/>
  <c r="G236" i="2"/>
  <c r="A236" i="2"/>
  <c r="G231" i="2"/>
  <c r="G230" i="2"/>
  <c r="G229" i="2"/>
  <c r="G228" i="2"/>
  <c r="A228" i="2"/>
  <c r="G222" i="2"/>
  <c r="G221" i="2"/>
  <c r="A221" i="2"/>
  <c r="A222" i="2" s="1"/>
  <c r="G223" i="2"/>
  <c r="G214" i="2"/>
  <c r="G216" i="2"/>
  <c r="G198" i="2"/>
  <c r="G215" i="2"/>
  <c r="G213" i="2"/>
  <c r="G212" i="2"/>
  <c r="A212" i="2"/>
  <c r="G207" i="2"/>
  <c r="G206" i="2"/>
  <c r="G205" i="2"/>
  <c r="A205" i="2"/>
  <c r="A206" i="2" s="1"/>
  <c r="A207" i="2" s="1"/>
  <c r="A208" i="2" s="1"/>
  <c r="A209" i="2" s="1"/>
  <c r="A210" i="2" s="1"/>
  <c r="G200" i="2"/>
  <c r="G199" i="2"/>
  <c r="A198" i="2"/>
  <c r="A199" i="2" s="1"/>
  <c r="A200" i="2" s="1"/>
  <c r="A201" i="2" s="1"/>
  <c r="A202" i="2" s="1"/>
  <c r="A203" i="2" s="1"/>
  <c r="G193" i="2"/>
  <c r="G192" i="2"/>
  <c r="G191" i="2"/>
  <c r="A191" i="2"/>
  <c r="A192" i="2" s="1"/>
  <c r="A193" i="2" s="1"/>
  <c r="A194" i="2" s="1"/>
  <c r="A195" i="2" s="1"/>
  <c r="A196" i="2" s="1"/>
  <c r="G184" i="2"/>
  <c r="A184" i="2"/>
  <c r="A185" i="2" s="1"/>
  <c r="G186" i="2"/>
  <c r="G185" i="2"/>
  <c r="G179" i="2"/>
  <c r="G178" i="2"/>
  <c r="G177" i="2"/>
  <c r="A177" i="2"/>
  <c r="A178" i="2" s="1"/>
  <c r="A179" i="2" s="1"/>
  <c r="A180" i="2" s="1"/>
  <c r="A181" i="2" s="1"/>
  <c r="A182" i="2" s="1"/>
  <c r="G171" i="2"/>
  <c r="G170" i="2"/>
  <c r="A170" i="2"/>
  <c r="A171" i="2" s="1"/>
  <c r="A172" i="2" s="1"/>
  <c r="A173" i="2" s="1"/>
  <c r="A174" i="2" s="1"/>
  <c r="A175" i="2" s="1"/>
  <c r="G160" i="2"/>
  <c r="G164" i="2"/>
  <c r="G163" i="2"/>
  <c r="G162" i="2"/>
  <c r="G161" i="2"/>
  <c r="G159" i="2"/>
  <c r="A159" i="2"/>
  <c r="A160" i="2" s="1"/>
  <c r="A161" i="2" s="1"/>
  <c r="A162" i="2" s="1"/>
  <c r="A163" i="2" s="1"/>
  <c r="A164" i="2" s="1"/>
  <c r="A165" i="2" s="1"/>
  <c r="A166" i="2" s="1"/>
  <c r="A167" i="2" s="1"/>
  <c r="A168" i="2" s="1"/>
  <c r="G165" i="2"/>
  <c r="G150" i="2"/>
  <c r="G149" i="2"/>
  <c r="A149" i="2"/>
  <c r="A150" i="2" s="1"/>
  <c r="G142" i="2"/>
  <c r="A142" i="2"/>
  <c r="A143" i="2" s="1"/>
  <c r="A144" i="2" s="1"/>
  <c r="A145" i="2" s="1"/>
  <c r="A146" i="2" s="1"/>
  <c r="A147" i="2" s="1"/>
  <c r="G144" i="2"/>
  <c r="G143" i="2"/>
  <c r="G135" i="2"/>
  <c r="G134" i="2"/>
  <c r="G132" i="2"/>
  <c r="G133" i="2"/>
  <c r="G131" i="2"/>
  <c r="G130" i="2"/>
  <c r="A130" i="2"/>
  <c r="A131" i="2" s="1"/>
  <c r="A132" i="2" s="1"/>
  <c r="A133" i="2" s="1"/>
  <c r="A134" i="2" s="1"/>
  <c r="A135" i="2" s="1"/>
  <c r="A136" i="2" s="1"/>
  <c r="A137" i="2" s="1"/>
  <c r="A138" i="2" s="1"/>
  <c r="A139" i="2" s="1"/>
  <c r="G119" i="2"/>
  <c r="G124" i="2"/>
  <c r="G123" i="2"/>
  <c r="G122" i="2"/>
  <c r="G121" i="2"/>
  <c r="G120" i="2"/>
  <c r="G118" i="2"/>
  <c r="A107" i="2"/>
  <c r="A108" i="2" s="1"/>
  <c r="A109" i="2" s="1"/>
  <c r="A110" i="2" s="1"/>
  <c r="A111" i="2" s="1"/>
  <c r="A112" i="2" s="1"/>
  <c r="G117" i="2"/>
  <c r="A117" i="2"/>
  <c r="A118" i="2" s="1"/>
  <c r="A119" i="2" s="1"/>
  <c r="A120" i="2" s="1"/>
  <c r="A121" i="2" s="1"/>
  <c r="A122" i="2" s="1"/>
  <c r="A123" i="2" s="1"/>
  <c r="A124" i="2" s="1"/>
  <c r="G108" i="2"/>
  <c r="G107" i="2"/>
  <c r="A98" i="2"/>
  <c r="G101" i="2"/>
  <c r="G100" i="2"/>
  <c r="G99" i="2"/>
  <c r="G98" i="2"/>
  <c r="G93" i="2"/>
  <c r="G92" i="2"/>
  <c r="G91" i="2"/>
  <c r="G90" i="2"/>
  <c r="A90" i="2"/>
  <c r="A91" i="2" s="1"/>
  <c r="A92" i="2" s="1"/>
  <c r="A93" i="2" s="1"/>
  <c r="A94" i="2" s="1"/>
  <c r="A95" i="2" s="1"/>
  <c r="A96" i="2" s="1"/>
  <c r="G85" i="2"/>
  <c r="G84" i="2"/>
  <c r="G83" i="2"/>
  <c r="G82" i="2"/>
  <c r="A82" i="2"/>
  <c r="A83" i="2" s="1"/>
  <c r="A84" i="2" s="1"/>
  <c r="A85" i="2" s="1"/>
  <c r="A86" i="2" s="1"/>
  <c r="A87" i="2" s="1"/>
  <c r="A88" i="2" s="1"/>
  <c r="G71" i="2"/>
  <c r="G70" i="2"/>
  <c r="G76" i="2"/>
  <c r="G75" i="2"/>
  <c r="G74" i="2"/>
  <c r="G73" i="2"/>
  <c r="G72" i="2"/>
  <c r="G69" i="2"/>
  <c r="G67" i="2"/>
  <c r="G60" i="2"/>
  <c r="G61" i="2"/>
  <c r="G59" i="2"/>
  <c r="G58" i="2"/>
  <c r="G57" i="2"/>
  <c r="G56" i="2"/>
  <c r="G55" i="2"/>
  <c r="G54" i="2"/>
  <c r="A54" i="2"/>
  <c r="A55" i="2" s="1"/>
  <c r="A56" i="2" s="1"/>
  <c r="A57" i="2" s="1"/>
  <c r="A58" i="2" s="1"/>
  <c r="A59" i="2" s="1"/>
  <c r="G45" i="2"/>
  <c r="G44" i="2"/>
  <c r="A44" i="2"/>
  <c r="A45" i="2" s="1"/>
  <c r="G39" i="2"/>
  <c r="G38" i="2"/>
  <c r="G37" i="2"/>
  <c r="G36" i="2"/>
  <c r="G35" i="2"/>
  <c r="G34" i="2"/>
  <c r="A34" i="2"/>
  <c r="A35" i="2" s="1"/>
  <c r="A36" i="2" s="1"/>
  <c r="A37" i="2" s="1"/>
  <c r="A38" i="2" s="1"/>
  <c r="A39" i="2" s="1"/>
  <c r="A40" i="2" s="1"/>
  <c r="A41" i="2" s="1"/>
  <c r="A42" i="2" s="1"/>
  <c r="G29" i="2"/>
  <c r="A4" i="2"/>
  <c r="A5" i="2" s="1"/>
  <c r="G28" i="2"/>
  <c r="G27" i="2"/>
  <c r="G26" i="2"/>
  <c r="G25" i="2"/>
  <c r="G24" i="2"/>
  <c r="A24" i="2"/>
  <c r="A25" i="2" s="1"/>
  <c r="A26" i="2" s="1"/>
  <c r="A27" i="2" s="1"/>
  <c r="A28" i="2" s="1"/>
  <c r="A29" i="2" s="1"/>
  <c r="A30" i="2" s="1"/>
  <c r="A31" i="2" s="1"/>
  <c r="A32" i="2" s="1"/>
  <c r="F553" i="2" l="1"/>
  <c r="F567" i="2"/>
  <c r="F546" i="2"/>
  <c r="F452" i="2"/>
  <c r="F442" i="2"/>
  <c r="F539" i="2"/>
  <c r="F531" i="2"/>
  <c r="F523" i="2"/>
  <c r="F461" i="2"/>
  <c r="F516" i="2"/>
  <c r="F503" i="2"/>
  <c r="F491" i="2"/>
  <c r="F481" i="2"/>
  <c r="F471" i="2"/>
  <c r="F344" i="2"/>
  <c r="F336" i="2"/>
  <c r="F328" i="2"/>
  <c r="A155" i="2"/>
  <c r="A151" i="2"/>
  <c r="A152" i="2" s="1"/>
  <c r="A153" i="2" s="1"/>
  <c r="A154" i="2" s="1"/>
  <c r="A50" i="2"/>
  <c r="A51" i="2" s="1"/>
  <c r="A52" i="2" s="1"/>
  <c r="A46" i="2"/>
  <c r="A47" i="2" s="1"/>
  <c r="A48" i="2" s="1"/>
  <c r="A49" i="2" s="1"/>
  <c r="A546" i="2"/>
  <c r="A547" i="2" s="1"/>
  <c r="A548" i="2" s="1"/>
  <c r="A539" i="2"/>
  <c r="A540" i="2" s="1"/>
  <c r="A541" i="2" s="1"/>
  <c r="A538" i="2"/>
  <c r="A529" i="2"/>
  <c r="A530" i="2" s="1"/>
  <c r="A510" i="2"/>
  <c r="A513" i="2" s="1"/>
  <c r="A512" i="2"/>
  <c r="A514" i="2" s="1"/>
  <c r="A496" i="2"/>
  <c r="A498" i="2" s="1"/>
  <c r="A497" i="2"/>
  <c r="A486" i="2"/>
  <c r="A488" i="2" s="1"/>
  <c r="A487" i="2"/>
  <c r="A489" i="2" s="1"/>
  <c r="A476" i="2"/>
  <c r="A478" i="2" s="1"/>
  <c r="A477" i="2"/>
  <c r="A479" i="2" s="1"/>
  <c r="A467" i="2"/>
  <c r="A469" i="2" s="1"/>
  <c r="A466" i="2"/>
  <c r="A468" i="2" s="1"/>
  <c r="A457" i="2"/>
  <c r="A459" i="2" s="1"/>
  <c r="A458" i="2"/>
  <c r="A448" i="2"/>
  <c r="A450" i="2" s="1"/>
  <c r="A447" i="2"/>
  <c r="A449" i="2" s="1"/>
  <c r="A437" i="2"/>
  <c r="A439" i="2" s="1"/>
  <c r="A438" i="2"/>
  <c r="A440" i="2" s="1"/>
  <c r="A428" i="2"/>
  <c r="A430" i="2" s="1"/>
  <c r="A427" i="2"/>
  <c r="A429" i="2" s="1"/>
  <c r="A419" i="2"/>
  <c r="A421" i="2" s="1"/>
  <c r="A422" i="2" s="1"/>
  <c r="A423" i="2" s="1"/>
  <c r="A424" i="2" s="1"/>
  <c r="A420" i="2"/>
  <c r="A414" i="2"/>
  <c r="A415" i="2" s="1"/>
  <c r="A416" i="2" s="1"/>
  <c r="A413" i="2"/>
  <c r="A403" i="2"/>
  <c r="A404" i="2" s="1"/>
  <c r="A405" i="2" s="1"/>
  <c r="A406" i="2" s="1"/>
  <c r="A407" i="2" s="1"/>
  <c r="A395" i="2"/>
  <c r="A397" i="2" s="1"/>
  <c r="A398" i="2" s="1"/>
  <c r="A399" i="2" s="1"/>
  <c r="A400" i="2" s="1"/>
  <c r="A396" i="2"/>
  <c r="A380" i="2"/>
  <c r="A382" i="2" s="1"/>
  <c r="A383" i="2" s="1"/>
  <c r="A384" i="2" s="1"/>
  <c r="A385" i="2" s="1"/>
  <c r="A381" i="2"/>
  <c r="A372" i="2"/>
  <c r="A374" i="2" s="1"/>
  <c r="A375" i="2" s="1"/>
  <c r="A376" i="2" s="1"/>
  <c r="A377" i="2" s="1"/>
  <c r="A373" i="2"/>
  <c r="A364" i="2"/>
  <c r="A366" i="2" s="1"/>
  <c r="A367" i="2" s="1"/>
  <c r="A368" i="2" s="1"/>
  <c r="A369" i="2" s="1"/>
  <c r="A365" i="2"/>
  <c r="A357" i="2"/>
  <c r="A356" i="2"/>
  <c r="A358" i="2" s="1"/>
  <c r="A359" i="2" s="1"/>
  <c r="A360" i="2" s="1"/>
  <c r="A361" i="2" s="1"/>
  <c r="A341" i="2"/>
  <c r="A343" i="2" s="1"/>
  <c r="A344" i="2" s="1"/>
  <c r="A345" i="2" s="1"/>
  <c r="A346" i="2" s="1"/>
  <c r="A342" i="2"/>
  <c r="A333" i="2"/>
  <c r="A335" i="2" s="1"/>
  <c r="A336" i="2" s="1"/>
  <c r="A337" i="2" s="1"/>
  <c r="A338" i="2" s="1"/>
  <c r="A334" i="2"/>
  <c r="A318" i="2"/>
  <c r="A320" i="2" s="1"/>
  <c r="A321" i="2" s="1"/>
  <c r="A322" i="2" s="1"/>
  <c r="A323" i="2" s="1"/>
  <c r="A312" i="2"/>
  <c r="A313" i="2" s="1"/>
  <c r="A314" i="2" s="1"/>
  <c r="A315" i="2" s="1"/>
  <c r="A303" i="2"/>
  <c r="A305" i="2" s="1"/>
  <c r="A306" i="2" s="1"/>
  <c r="A307" i="2" s="1"/>
  <c r="A308" i="2" s="1"/>
  <c r="A304" i="2"/>
  <c r="A295" i="2"/>
  <c r="A296" i="2"/>
  <c r="A285" i="2"/>
  <c r="A260" i="2"/>
  <c r="A261" i="2" s="1"/>
  <c r="A262" i="2" s="1"/>
  <c r="A263" i="2" s="1"/>
  <c r="A264" i="2" s="1"/>
  <c r="A253" i="2"/>
  <c r="A254" i="2" s="1"/>
  <c r="A255" i="2" s="1"/>
  <c r="A256" i="2" s="1"/>
  <c r="A257" i="2" s="1"/>
  <c r="A245" i="2"/>
  <c r="A247" i="2" s="1"/>
  <c r="A248" i="2" s="1"/>
  <c r="A249" i="2" s="1"/>
  <c r="A250" i="2" s="1"/>
  <c r="A246" i="2"/>
  <c r="A237" i="2"/>
  <c r="A239" i="2" s="1"/>
  <c r="A240" i="2" s="1"/>
  <c r="A241" i="2" s="1"/>
  <c r="A242" i="2" s="1"/>
  <c r="A238" i="2"/>
  <c r="A229" i="2"/>
  <c r="A231" i="2" s="1"/>
  <c r="A230" i="2"/>
  <c r="A223" i="2"/>
  <c r="A213" i="2"/>
  <c r="A215" i="2" s="1"/>
  <c r="A214" i="2"/>
  <c r="A186" i="2"/>
  <c r="A187" i="2" s="1"/>
  <c r="A188" i="2" s="1"/>
  <c r="A189" i="2" s="1"/>
  <c r="A125" i="2"/>
  <c r="A126" i="2" s="1"/>
  <c r="A127" i="2" s="1"/>
  <c r="A99" i="2"/>
  <c r="A100" i="2" s="1"/>
  <c r="A101" i="2" s="1"/>
  <c r="A102" i="2" s="1"/>
  <c r="A103" i="2" s="1"/>
  <c r="A104" i="2" s="1"/>
  <c r="A105" i="2" s="1"/>
  <c r="A113" i="2"/>
  <c r="A114" i="2" s="1"/>
  <c r="A115" i="2" s="1"/>
  <c r="A67" i="2"/>
  <c r="A68" i="2" s="1"/>
  <c r="A70" i="2"/>
  <c r="A71" i="2" s="1"/>
  <c r="A60" i="2"/>
  <c r="A61" i="2"/>
  <c r="A62" i="2" s="1"/>
  <c r="A63" i="2" s="1"/>
  <c r="A64" i="2" s="1"/>
  <c r="A6" i="2"/>
  <c r="A7" i="2" s="1"/>
  <c r="A8" i="2" s="1"/>
  <c r="A9" i="2" s="1"/>
  <c r="A10" i="2" s="1"/>
  <c r="A11" i="2" s="1"/>
  <c r="A12" i="2" s="1"/>
  <c r="A13" i="2" s="1"/>
  <c r="A14" i="2" s="1"/>
  <c r="A156" i="2" l="1"/>
  <c r="A157" i="2" s="1"/>
  <c r="A531" i="2"/>
  <c r="A532" i="2" s="1"/>
  <c r="A533" i="2" s="1"/>
  <c r="A516" i="2"/>
  <c r="A517" i="2" s="1"/>
  <c r="A518" i="2" s="1"/>
  <c r="A515" i="2"/>
  <c r="A502" i="2"/>
  <c r="A500" i="2"/>
  <c r="A499" i="2"/>
  <c r="A501" i="2"/>
  <c r="A503" i="2"/>
  <c r="A504" i="2" s="1"/>
  <c r="A505" i="2" s="1"/>
  <c r="A490" i="2"/>
  <c r="A491" i="2"/>
  <c r="A492" i="2" s="1"/>
  <c r="A493" i="2" s="1"/>
  <c r="A480" i="2"/>
  <c r="A481" i="2"/>
  <c r="A482" i="2" s="1"/>
  <c r="A483" i="2" s="1"/>
  <c r="A297" i="2"/>
  <c r="A298" i="2" s="1"/>
  <c r="A299" i="2" s="1"/>
  <c r="A300" i="2" s="1"/>
  <c r="A470" i="2"/>
  <c r="A471" i="2"/>
  <c r="A472" i="2" s="1"/>
  <c r="A473" i="2" s="1"/>
  <c r="A460" i="2"/>
  <c r="A461" i="2"/>
  <c r="A462" i="2" s="1"/>
  <c r="A463" i="2" s="1"/>
  <c r="A452" i="2"/>
  <c r="A453" i="2" s="1"/>
  <c r="A454" i="2" s="1"/>
  <c r="A451" i="2"/>
  <c r="A441" i="2"/>
  <c r="A442" i="2"/>
  <c r="A443" i="2" s="1"/>
  <c r="A444" i="2" s="1"/>
  <c r="A432" i="2"/>
  <c r="A433" i="2" s="1"/>
  <c r="A434" i="2" s="1"/>
  <c r="A431" i="2"/>
  <c r="A216" i="2"/>
  <c r="A232" i="2"/>
  <c r="A233" i="2" s="1"/>
  <c r="A234" i="2" s="1"/>
  <c r="A217" i="2"/>
  <c r="A218" i="2" s="1"/>
  <c r="A219" i="2" s="1"/>
  <c r="A224" i="2"/>
  <c r="A225" i="2" s="1"/>
  <c r="A226" i="2" s="1"/>
  <c r="A69" i="2"/>
  <c r="A72" i="2" s="1"/>
  <c r="A73" i="2" s="1"/>
  <c r="A74" i="2" s="1"/>
  <c r="A75" i="2" s="1"/>
  <c r="A76" i="2" s="1"/>
  <c r="A77" i="2" s="1"/>
  <c r="A78" i="2" s="1"/>
  <c r="A79" i="2" s="1"/>
  <c r="A80" i="2" s="1"/>
  <c r="H524" i="2" l="1"/>
  <c r="H472" i="2"/>
  <c r="H352" i="2"/>
  <c r="H532" i="2"/>
  <c r="H423" i="2"/>
  <c r="H504" i="2"/>
  <c r="H399" i="2"/>
  <c r="H256" i="2"/>
  <c r="H146" i="2"/>
  <c r="H195" i="2"/>
  <c r="H492" i="2"/>
  <c r="H462" i="2"/>
  <c r="H540" i="2"/>
  <c r="H482" i="2"/>
  <c r="H443" i="2"/>
  <c r="H589" i="2"/>
  <c r="H561" i="2"/>
  <c r="H406" i="2"/>
  <c r="H360" i="2"/>
  <c r="H322" i="2"/>
  <c r="H126" i="2"/>
  <c r="H368" i="2"/>
  <c r="H241" i="2"/>
  <c r="H554" i="2"/>
  <c r="H596" i="2"/>
  <c r="H376" i="2"/>
  <c r="H291" i="2"/>
  <c r="H277" i="2"/>
  <c r="H263" i="2"/>
  <c r="H218" i="2"/>
  <c r="H384" i="2"/>
  <c r="H114" i="2"/>
  <c r="H181" i="2"/>
  <c r="H433" i="2"/>
  <c r="H138" i="2"/>
  <c r="H233" i="2"/>
  <c r="H453" i="2"/>
  <c r="H415" i="2"/>
  <c r="H87" i="2"/>
  <c r="H79" i="2"/>
  <c r="H575" i="2"/>
  <c r="H345" i="2"/>
  <c r="H225" i="2"/>
  <c r="H337" i="2"/>
  <c r="H95" i="2"/>
  <c r="H299" i="2"/>
  <c r="H188" i="2"/>
  <c r="H307" i="2"/>
  <c r="H104" i="2"/>
  <c r="H329" i="2"/>
  <c r="H156" i="2"/>
  <c r="H270" i="2"/>
  <c r="H209" i="2"/>
  <c r="H41" i="2"/>
  <c r="H63" i="2"/>
  <c r="H51" i="2"/>
  <c r="H249" i="2"/>
  <c r="H314" i="2"/>
  <c r="H202" i="2"/>
  <c r="H547" i="2"/>
  <c r="H167" i="2"/>
  <c r="H174" i="2"/>
  <c r="H391" i="2"/>
  <c r="H284" i="2"/>
  <c r="H568" i="2"/>
  <c r="H517" i="2"/>
  <c r="H582" i="2"/>
  <c r="G12" i="2" l="1"/>
  <c r="G14" i="2" l="1"/>
  <c r="G481" i="2" l="1"/>
  <c r="G344" i="2"/>
  <c r="G103" i="2"/>
  <c r="G94" i="2"/>
  <c r="G96" i="2" s="1"/>
  <c r="G187" i="2"/>
  <c r="G359" i="2"/>
  <c r="G208" i="2"/>
  <c r="G432" i="2"/>
  <c r="G62" i="2"/>
  <c r="G276" i="2"/>
  <c r="G298" i="2"/>
  <c r="G313" i="2"/>
  <c r="G78" i="2"/>
  <c r="G166" i="2"/>
  <c r="G321" i="2"/>
  <c r="G248" i="2"/>
  <c r="G40" i="2"/>
  <c r="G283" i="2"/>
  <c r="G595" i="2"/>
  <c r="G375" i="2"/>
  <c r="G306" i="2"/>
  <c r="G232" i="2"/>
  <c r="G581" i="2"/>
  <c r="G588" i="2"/>
  <c r="G442" i="2"/>
  <c r="G86" i="2"/>
  <c r="G201" i="2"/>
  <c r="G336" i="2"/>
  <c r="G173" i="2"/>
  <c r="G503" i="2"/>
  <c r="G113" i="2"/>
  <c r="G328" i="2"/>
  <c r="G330" i="2" s="1"/>
  <c r="G560" i="2"/>
  <c r="G155" i="2"/>
  <c r="G567" i="2"/>
  <c r="G290" i="2"/>
  <c r="G483" i="2" l="1"/>
  <c r="G278" i="2"/>
  <c r="G444" i="2"/>
  <c r="G569" i="2"/>
  <c r="G346" i="2"/>
  <c r="G250" i="2"/>
  <c r="G157" i="2"/>
  <c r="G64" i="2"/>
  <c r="G300" i="2"/>
  <c r="G105" i="2"/>
  <c r="G590" i="2"/>
  <c r="G203" i="2"/>
  <c r="G338" i="2"/>
  <c r="G377" i="2"/>
  <c r="G505" i="2"/>
  <c r="G562" i="2"/>
  <c r="G315" i="2"/>
  <c r="G189" i="2"/>
  <c r="G361" i="2"/>
  <c r="G115" i="2"/>
  <c r="G269" i="2"/>
  <c r="G271" i="2" s="1"/>
  <c r="G452" i="2"/>
  <c r="G454" i="2" s="1"/>
  <c r="G390" i="2"/>
  <c r="G392" i="2" s="1"/>
  <c r="G383" i="2"/>
  <c r="G385" i="2" s="1"/>
  <c r="G546" i="2"/>
  <c r="G548" i="2" s="1"/>
  <c r="G553" i="2"/>
  <c r="G555" i="2" s="1"/>
  <c r="G461" i="2"/>
  <c r="G255" i="2"/>
  <c r="G414" i="2"/>
  <c r="G416" i="2" s="1"/>
  <c r="G50" i="2"/>
  <c r="G52" i="2" s="1"/>
  <c r="G224" i="2"/>
  <c r="G226" i="2" s="1"/>
  <c r="G42" i="2"/>
  <c r="G574" i="2"/>
  <c r="G80" i="2"/>
  <c r="G168" i="2"/>
  <c r="G491" i="2"/>
  <c r="G516" i="2"/>
  <c r="G539" i="2"/>
  <c r="G597" i="2"/>
  <c r="G351" i="2"/>
  <c r="G210" i="2"/>
  <c r="G434" i="2"/>
  <c r="G175" i="2"/>
  <c r="G137" i="2"/>
  <c r="G139" i="2" s="1"/>
  <c r="G531" i="2"/>
  <c r="G533" i="2" s="1"/>
  <c r="G405" i="2"/>
  <c r="G407" i="2" s="1"/>
  <c r="G125" i="2"/>
  <c r="G127" i="2" s="1"/>
  <c r="G240" i="2"/>
  <c r="G242" i="2" s="1"/>
  <c r="G217" i="2"/>
  <c r="G219" i="2" s="1"/>
  <c r="G367" i="2"/>
  <c r="G369" i="2" s="1"/>
  <c r="G194" i="2"/>
  <c r="G196" i="2" s="1"/>
  <c r="G180" i="2"/>
  <c r="G182" i="2" s="1"/>
  <c r="G398" i="2"/>
  <c r="G400" i="2" s="1"/>
  <c r="G523" i="2"/>
  <c r="G525" i="2" s="1"/>
  <c r="G583" i="2"/>
  <c r="G88" i="2"/>
  <c r="G422" i="2"/>
  <c r="G424" i="2" s="1"/>
  <c r="G262" i="2"/>
  <c r="G264" i="2" s="1"/>
  <c r="G292" i="2"/>
  <c r="G234" i="2"/>
  <c r="G285" i="2"/>
  <c r="G323" i="2"/>
  <c r="G308" i="2"/>
  <c r="G145" i="2"/>
  <c r="G147" i="2" s="1"/>
  <c r="G471" i="2"/>
  <c r="G473" i="2" s="1"/>
  <c r="G353" i="2" l="1"/>
  <c r="G463" i="2"/>
  <c r="G493" i="2"/>
  <c r="G518" i="2"/>
  <c r="G576" i="2"/>
  <c r="G257" i="2"/>
  <c r="G541" i="2"/>
  <c r="G31" i="2" l="1"/>
  <c r="E30" i="2" s="1"/>
  <c r="H31" i="2"/>
  <c r="F30" i="2" l="1"/>
  <c r="G30" i="2" s="1"/>
  <c r="G32" i="2" s="1"/>
</calcChain>
</file>

<file path=xl/sharedStrings.xml><?xml version="1.0" encoding="utf-8"?>
<sst xmlns="http://schemas.openxmlformats.org/spreadsheetml/2006/main" count="2715" uniqueCount="275">
  <si>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</si>
  <si>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</si>
  <si>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</si>
  <si>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</si>
  <si>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</si>
  <si>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</si>
  <si>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</si>
  <si>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</si>
  <si>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</si>
  <si>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</si>
  <si>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</si>
  <si>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</si>
  <si>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</si>
  <si>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</si>
  <si>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</si>
  <si>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</si>
  <si>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</si>
  <si>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</si>
  <si>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sayac</t>
  </si>
  <si>
    <t>296709</t>
  </si>
  <si>
    <t>Авт. выкл. NXB-63S 1P 10А 4.5kA х-ка C (R)</t>
  </si>
  <si>
    <t>296708</t>
  </si>
  <si>
    <t>Авт. выкл. NXB-63S 1P 6А 4.5kA х-ка C (R)</t>
  </si>
  <si>
    <t>296829</t>
  </si>
  <si>
    <t>Авт. выкл. NXB-63S 3P 25А 4.5kA х-ка C (R)</t>
  </si>
  <si>
    <t>296833</t>
  </si>
  <si>
    <t>Авт. выкл. NXB-63S 3P 63А 4.5kA х-ка C (R)</t>
  </si>
  <si>
    <t>dif</t>
  </si>
  <si>
    <t>539872</t>
  </si>
  <si>
    <t>Диф. авт. выкл. NXBLE-63YH 3P+N C40 30mA тип A, 6kA (R)</t>
  </si>
  <si>
    <t>131362</t>
  </si>
  <si>
    <t>Авт. выкл. NXM-125S/3Р 100A 25кА (R)</t>
  </si>
  <si>
    <t>pys</t>
  </si>
  <si>
    <t>tt</t>
  </si>
  <si>
    <t>bh</t>
  </si>
  <si>
    <t>Авт. выкл. NXB-63S 3P 32А 4.5kA х-ка C (R)</t>
  </si>
  <si>
    <t>296830</t>
  </si>
  <si>
    <t>844302</t>
  </si>
  <si>
    <t>Авт. выкл. NXM-125S/3Р 50A 25кА (R)</t>
  </si>
  <si>
    <t>296832</t>
  </si>
  <si>
    <t>Авт. выкл. NXB-63S 3P 50А 4.5kA х-ка C (R)</t>
  </si>
  <si>
    <t>131360</t>
  </si>
  <si>
    <t>Авт. выкл. NXM-125S/3Р 63A 25кА (R)</t>
  </si>
  <si>
    <t>ВРУ-1 (ВРУ 630 УХЛ4)</t>
  </si>
  <si>
    <t>270100173_</t>
  </si>
  <si>
    <t xml:space="preserve">                    Рубильник ВР-32-39  В71250-630А на 2 направления (+6 камер) UNIT (1/2)</t>
  </si>
  <si>
    <t>condencator К3-500мкФ</t>
  </si>
  <si>
    <t>lamb</t>
  </si>
  <si>
    <t>521213</t>
  </si>
  <si>
    <t>Плавкая вставка предохранителя RT36-2-400, габарит 2, 250А</t>
  </si>
  <si>
    <t>521368</t>
  </si>
  <si>
    <t>Держатель плавкой вставки RT36-2-400, габарит 2, 400А</t>
  </si>
  <si>
    <t>rubilnik</t>
  </si>
  <si>
    <t>ppn</t>
  </si>
  <si>
    <t>condencator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</si>
  <si>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</si>
  <si>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</si>
  <si>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</si>
  <si>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</si>
  <si>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</si>
  <si>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</si>
  <si>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</si>
  <si>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</si>
  <si>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131361</t>
  </si>
  <si>
    <t>Авт. выкл. NXM-125S/3Р 80A 25кА (R)</t>
  </si>
  <si>
    <t>mccb</t>
  </si>
  <si>
    <t>131364</t>
  </si>
  <si>
    <t>Авт. выкл. NXM-160S/3Р 160A 36кА (R)</t>
  </si>
  <si>
    <t>256780</t>
  </si>
  <si>
    <t>Устройство автоматического ввода резерва NXZM-125S/3B 125A (R)</t>
  </si>
  <si>
    <t>193186</t>
  </si>
  <si>
    <t>Выключатель нагрузки NXHB-125 3P 125A (R)</t>
  </si>
  <si>
    <t>296711</t>
  </si>
  <si>
    <t>Авт. выкл. NXB-63S 1P 20А 4.5kA х-ка C (R)</t>
  </si>
  <si>
    <t>296828</t>
  </si>
  <si>
    <t>Авт. выкл. NXB-63S 3P 20А 4.5kA х-ка C (R)</t>
  </si>
  <si>
    <t>270100161_</t>
  </si>
  <si>
    <t xml:space="preserve">                    Рубильник ВР-32-37  В71250-400А на 2 направления (+6камер) UNIT (1/6)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</si>
  <si>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</si>
  <si>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</si>
  <si>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</si>
  <si>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</si>
  <si>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270100160_</t>
  </si>
  <si>
    <t xml:space="preserve">                    Рубильник ВР-32-35  В71250-250А на 2 направления (+6камер) UNIT (1/8)</t>
  </si>
  <si>
    <t>256796</t>
  </si>
  <si>
    <t>Устройство автоматического ввода резерва NXZM-250S/3B 250A (R)</t>
  </si>
  <si>
    <t>ЩАВР-2</t>
  </si>
  <si>
    <t>521218</t>
  </si>
  <si>
    <t>Плавкая вставка предохранителя RT36-2-400, габарит 2, 400А</t>
  </si>
  <si>
    <t>131367</t>
  </si>
  <si>
    <t>Авт. выкл. NXM-250S/3Р 200A 36кА (R)</t>
  </si>
  <si>
    <t>205883</t>
  </si>
  <si>
    <t>Авт. выкл. NXM-63S/3P 25кА 16A (R)</t>
  </si>
  <si>
    <t>ats</t>
  </si>
  <si>
    <t>256757</t>
  </si>
  <si>
    <t>Устройство автоматического ввода резерва NXZM-63S/3B 63A (R)</t>
  </si>
  <si>
    <t>ЩАВР-3</t>
  </si>
  <si>
    <t>193183</t>
  </si>
  <si>
    <t>Выключатель нагрузки NXHB-125 3P 63A (R)</t>
  </si>
  <si>
    <t>193180</t>
  </si>
  <si>
    <t>Выключатель нагрузки NXHB-125 3P 20A (R)</t>
  </si>
  <si>
    <t>ЩО-2, ЩО-5, ЩО-8</t>
  </si>
  <si>
    <t>ЩО-1, ЩО-3, ЩО-4, ЩО-6, ЩО-7, ЩО-9</t>
  </si>
  <si>
    <t>ЩО-10, ЩО-11</t>
  </si>
  <si>
    <t>ЩО-12</t>
  </si>
  <si>
    <t>ЩОА-1, ЩОА-2, ЩОА-3</t>
  </si>
  <si>
    <t>ЩС-1</t>
  </si>
  <si>
    <t>515381</t>
  </si>
  <si>
    <t>Диф. авт. выкл. NXBLE-63YH 1P+N C16 30mA тип A, 6kA (R)</t>
  </si>
  <si>
    <t>515387</t>
  </si>
  <si>
    <t>Диф. авт. выкл. NXBLE-63YH 1P+N C20 30mA тип AC, 6kA (R)</t>
  </si>
  <si>
    <t>ЩС-2</t>
  </si>
  <si>
    <t>ЩС-3</t>
  </si>
  <si>
    <t>ЩС-4</t>
  </si>
  <si>
    <t>539859</t>
  </si>
  <si>
    <t>Диф. авт. выкл. NXBLE-63YH 3P+N C25 30mA тип AC, 6kA (R)</t>
  </si>
  <si>
    <t>539847</t>
  </si>
  <si>
    <t>Диф. авт. выкл. NXBLE-63YH 3P+N C16 30mA тип AC, 6kA (R)</t>
  </si>
  <si>
    <t>539889</t>
  </si>
  <si>
    <t>Диф. авт. выкл. NXBLE-63YH 3P+N C63 30mA тип AC, 6kA (R)</t>
  </si>
  <si>
    <t>193185</t>
  </si>
  <si>
    <t>Выключатель нагрузки NXHB-125 3P 100A (R)</t>
  </si>
  <si>
    <t>ЩС-5</t>
  </si>
  <si>
    <t>193181</t>
  </si>
  <si>
    <t>Выключатель нагрузки NXHB-125 3P 32A ® (25A)</t>
  </si>
  <si>
    <t>ЩС-6</t>
  </si>
  <si>
    <t>ЩС-7</t>
  </si>
  <si>
    <t>ЩС-8</t>
  </si>
  <si>
    <t xml:space="preserve">Выключатель нагрузки NXHB-125 3P 32A ® </t>
  </si>
  <si>
    <t>ЩС-9</t>
  </si>
  <si>
    <t>ЩС-10</t>
  </si>
  <si>
    <t>ЩС-11</t>
  </si>
  <si>
    <t>193182</t>
  </si>
  <si>
    <t>Выключатель нагрузки NXHB-125 3P 40A (R)</t>
  </si>
  <si>
    <t>ЩС-12</t>
  </si>
  <si>
    <t>ЩС-13</t>
  </si>
  <si>
    <t>ЩС-14</t>
  </si>
  <si>
    <t>ЩС-15</t>
  </si>
  <si>
    <t>ЩС-16</t>
  </si>
  <si>
    <t>ЩС-17</t>
  </si>
  <si>
    <t>ЩС-18</t>
  </si>
  <si>
    <t>ЩС-19</t>
  </si>
  <si>
    <t>ЩС-20</t>
  </si>
  <si>
    <t>ЩС-21</t>
  </si>
  <si>
    <t>296826</t>
  </si>
  <si>
    <t>Авт. выкл. NXB-63S 3P 10А 4.5kA х-ка C (R)</t>
  </si>
  <si>
    <t>ЩС-22</t>
  </si>
  <si>
    <t>ЩС-23</t>
  </si>
  <si>
    <t>ЩС-24</t>
  </si>
  <si>
    <t>ЩС-25</t>
  </si>
  <si>
    <t>ЩС-26</t>
  </si>
  <si>
    <t>296712</t>
  </si>
  <si>
    <t>Авт. выкл. NXB-63S 1P 25А 4.5kA х-ка C (R)</t>
  </si>
  <si>
    <t>296788</t>
  </si>
  <si>
    <t>Авт. выкл. NXB-63S 2P 16А 4.5kA х-ка C (R)</t>
  </si>
  <si>
    <t>ЩС-27</t>
  </si>
  <si>
    <t>814989</t>
  </si>
  <si>
    <t>Независимый расцепитель SHT-X1 AC230V/400V для NXB-63 (R)</t>
  </si>
  <si>
    <t>ЩС-28</t>
  </si>
  <si>
    <t>296840</t>
  </si>
  <si>
    <t>Авт. выкл. NXB-63S 3P 16А 4.5kA х-ка D (R)</t>
  </si>
  <si>
    <t>rn</t>
  </si>
  <si>
    <t>296723</t>
  </si>
  <si>
    <t>Авт. выкл. NXB-63S 1P 16А 4.5kA х-ка D (R)</t>
  </si>
  <si>
    <t>256054</t>
  </si>
  <si>
    <t>Контактор модульный NCH8-20/20 20A 2НО AC220/230В 50Гц (R)</t>
  </si>
  <si>
    <t>contactor</t>
  </si>
  <si>
    <t>ЩС-29</t>
  </si>
  <si>
    <t>ЩС-30</t>
  </si>
  <si>
    <t>ЩС-31</t>
  </si>
  <si>
    <t>ЩС-32</t>
  </si>
  <si>
    <t>ЩС-36</t>
  </si>
  <si>
    <t>ЩС-33</t>
  </si>
  <si>
    <t>ЩС-34</t>
  </si>
  <si>
    <t>ЩС-35</t>
  </si>
  <si>
    <t>836704</t>
  </si>
  <si>
    <t>Контактор NXC-09 9A 220В/АС3 1НО+1НЗ 50Гц (R)</t>
  </si>
  <si>
    <t>296724</t>
  </si>
  <si>
    <t>Авт. выкл. NXB-63S 1P 20А 4.5kA х-ка D (R)</t>
  </si>
  <si>
    <t>ЩУОВ</t>
  </si>
  <si>
    <t>296827</t>
  </si>
  <si>
    <t>Авт. выкл. NXB-63S 3P 16А 4.5kA х-ка C (R)</t>
  </si>
  <si>
    <t>836851</t>
  </si>
  <si>
    <t>Контактор NXC-25 25A 220В/АС3 1НО+1НЗ 50Гц (R)</t>
  </si>
  <si>
    <t>836796</t>
  </si>
  <si>
    <t>Контактор NXC-65 65A 220В/АС3 1НО+1НЗ 50Гц (R)</t>
  </si>
  <si>
    <t>200223</t>
  </si>
  <si>
    <t>УЗО NL1-63 6kA 4P 25A 30mA тип AC (DB) (R)</t>
  </si>
  <si>
    <t>ЩС-37</t>
  </si>
  <si>
    <t>ЩС-38</t>
  </si>
  <si>
    <t>296710</t>
  </si>
  <si>
    <t>Авт. выкл. NXB-63S 1P 16А 4.5kA х-ка C (R)</t>
  </si>
  <si>
    <t>ЩС-39</t>
  </si>
  <si>
    <t>ЩС-40</t>
  </si>
  <si>
    <t>ЩС-41</t>
  </si>
  <si>
    <t>ЩС-42</t>
  </si>
  <si>
    <t>ЩС-43</t>
  </si>
  <si>
    <t>ЩС-44</t>
  </si>
  <si>
    <t>ЩС-45</t>
  </si>
  <si>
    <t>ЩС-46</t>
  </si>
  <si>
    <t>uzo</t>
  </si>
  <si>
    <t>270300010_</t>
  </si>
  <si>
    <t xml:space="preserve">              Трансформатор Т-0,66  150\5 (9)</t>
  </si>
  <si>
    <t>270300020_</t>
  </si>
  <si>
    <t xml:space="preserve">              Трансформатор Т-0,66  300\5 (9)</t>
  </si>
  <si>
    <t>270300013_</t>
  </si>
  <si>
    <t xml:space="preserve">              Трансформатор Т-0,66  200\5 (9)</t>
  </si>
  <si>
    <t>270300026_</t>
  </si>
  <si>
    <t xml:space="preserve">              Трансформатор Т-0,66  400\5 (9)</t>
  </si>
  <si>
    <t>ЩАВР-1</t>
  </si>
  <si>
    <t>713-15030</t>
  </si>
  <si>
    <t>Мет. ЩРВ-36 (550x320x120)</t>
  </si>
  <si>
    <t>713-15027</t>
  </si>
  <si>
    <t>Мет. ЩРВ-24 bo (398х312х120)SА 36 IP31 (TS)</t>
  </si>
  <si>
    <t>713-15005</t>
  </si>
  <si>
    <t>Pano met.ShRv-12b/o(319х277х120)S/A36IP31(TS)</t>
  </si>
  <si>
    <t>713-15007</t>
  </si>
  <si>
    <t>Pano met.ShRv-1/18b/o(450х277х120)S/AIP31(TS)</t>
  </si>
  <si>
    <t>713-15059</t>
  </si>
  <si>
    <t>Щит ЩРв-48-3 620x310x120мм</t>
  </si>
  <si>
    <t>814168</t>
  </si>
  <si>
    <t>Авт. выкл. NXB-63 3P 6A 6кА х-ка C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</si>
  <si>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</si>
  <si>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</si>
  <si>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</si>
  <si>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</si>
  <si>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</si>
  <si>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</si>
  <si>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indicator</t>
  </si>
  <si>
    <t>LE</t>
  </si>
  <si>
    <t>Дала CA4У-Э720 R ТХ IР П RS Д (3x220/380V 5-7.5A)?</t>
  </si>
  <si>
    <t>716-15020</t>
  </si>
  <si>
    <t>Щит ЩУРн-3/48 окошко (540х600х165) S/U 36 IP31(TS)</t>
  </si>
  <si>
    <t>716-15015</t>
  </si>
  <si>
    <t>Щит ЩУРн-3/30 окошко (490х540х165) S/U36 IP31(TS)</t>
  </si>
  <si>
    <t>719-15402</t>
  </si>
  <si>
    <t>ЩМП- 3 IP 31 (650х500х220)</t>
  </si>
  <si>
    <t>719-15043</t>
  </si>
  <si>
    <t>Мет. Щит ВРУ 1700х800х450+10CM База</t>
  </si>
  <si>
    <t>719-15445</t>
  </si>
  <si>
    <t>Мет.Корпус ЩМП-5 (1000x650x300) IP31</t>
  </si>
  <si>
    <t>ВРУ-2  (ПР11-3067-21У3 С. I)</t>
  </si>
  <si>
    <t>ВРУ-3 (ПР11-3067-21У3 С. II)</t>
  </si>
  <si>
    <t>АВР-1 (АВР-Б-3-1G-125A)</t>
  </si>
  <si>
    <t>IA</t>
  </si>
  <si>
    <t>ДАЛА СА4У-Э720 R TX OP П RS1 Д W  (3x220/380V 5-7,5A)</t>
  </si>
  <si>
    <t>АВР-2 (АВР-Б-3-1G-250A)</t>
  </si>
  <si>
    <t>АВР-3-(АВР-Б-3-1G-63A)</t>
  </si>
  <si>
    <t>ВРУ-4  (ВРУ1-13-20 УХЛ4)</t>
  </si>
  <si>
    <t>ВРУ-5 (ПР11-3059-21У3 С. I)</t>
  </si>
  <si>
    <t>ВРУ-6 (ПР11-3059-21У3 С. I)</t>
  </si>
  <si>
    <t>ВРУ-7 (ВРУ1-15-30А УХЛ4)</t>
  </si>
  <si>
    <t>Мет. Щит ВРУ 1700х600х450+10CM База</t>
  </si>
  <si>
    <t>719-150</t>
  </si>
  <si>
    <t>ВРУ-8 (ПР11-3059-21У3)</t>
  </si>
  <si>
    <t>ВРУ-9 (ПР11-1117-21У3)</t>
  </si>
  <si>
    <t>ТРО_1, ТРО_2, ТРО_3 (ТРО_2000М)</t>
  </si>
  <si>
    <t>trafo</t>
  </si>
  <si>
    <t>Trafo 220V/220V İzole Monofaze Transformatörler 4000vA</t>
  </si>
  <si>
    <t>ЩУВ_1-ЩУВ_12 (ШУН/ В-0-1,5-03-R3)</t>
  </si>
  <si>
    <t>ЩУЗ_1-ЩУЗ_12 (ШУЗ/ В-0-1,5-03-R3)</t>
  </si>
  <si>
    <t>ЯВЗ-3, ЯВЗ-4, ЯВЗ-5(250A)</t>
  </si>
  <si>
    <t>ЯВЗ-1, ЯВЗ-2(125A)</t>
  </si>
  <si>
    <t>521257</t>
  </si>
  <si>
    <t>Плавкая вставка предохранителя RT36-00-160, габарит 00, 125А</t>
  </si>
  <si>
    <t>521260</t>
  </si>
  <si>
    <t>Держатель плавкой вставки RT36-00-160, габарит 00, 160А</t>
  </si>
  <si>
    <t>719-15440</t>
  </si>
  <si>
    <t>Мет.Корпус ЩМП-4 (800x650x250) IP31</t>
  </si>
  <si>
    <t>719-15562</t>
  </si>
  <si>
    <t>Мет. Корпус ЩМП- 6 (1200х750х300) IP54</t>
  </si>
  <si>
    <t>714-15114</t>
  </si>
  <si>
    <t>Щит мет. ЩРн-6-2 PR (1200x750x300) IP54 (TS)</t>
  </si>
  <si>
    <t>malz</t>
  </si>
  <si>
    <t>2,3*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</si>
</sst>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6" fillId="4" borderId="1" xfId="1" applyNumberFormat="1" applyFont="1" applyFill="1" applyBorder="1" applyAlignment="1" applyProtection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6" fillId="2" borderId="4" xfId="1" applyNumberFormat="1" applyFont="1" applyFill="1" applyBorder="1" applyAlignment="1" applyProtection="1">
      <alignment horizontal="center" vertical="center" wrapText="1"/>
    </xf>
    <xf numFmtId="165" fontId="0" fillId="0" borderId="0" xfId="0" applyNumberFormat="1"/>
    <xf numFmtId="166" fontId="0" fillId="0" borderId="0" xfId="0" applyNumberFormat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sheetPr filterMode="1"/>
  <dimension ref="A1:L597"/>
  <sheetViews>
    <sheetView zoomScale="115" zoomScaleNormal="115" workbookViewId="0">
      <pane ySplit="1" topLeftCell="A569" activePane="bottomLeft" state="frozen"/>
      <selection pane="bottomLeft" activeCell="C1" sqref="C1:K597"/>
    </sheetView>
  </sheetViews>
  <sheetFormatPr defaultRowHeight="21" customHeight="1" x14ac:dyDescent="0.25"/>
  <cols>
    <col min="1" max="1" width="36.42578125" customWidth="1"/>
    <col min="3" max="3" width="9.28515625" bestFit="1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</cols>
  <sheetData>
    <row r="1" spans="1:11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  <c r="K1" t="s">
        <v>6</v>
      </c>
    </row>
    <row r="2" spans="1:11" ht="39.75" customHeight="1" x14ac:dyDescent="0.25">
      <c r="A2" s="5" t="str">
        <f>D2</f>
        <v>ВРУ-1 (ВРУ 630 УХЛ4)</v>
      </c>
      <c r="B2" s="6"/>
      <c r="C2" s="7"/>
      <c r="D2" s="6" t="s">
        <v>43</v>
      </c>
      <c r="E2" s="8"/>
      <c r="F2" s="8"/>
      <c r="G2" s="9"/>
      <c r="H2" s="10">
        <v>1</v>
      </c>
      <c r="I2" s="11" t="s">
        <v>7</v>
      </c>
      <c r="J2" s="6" t="s">
        <v>9</v>
      </c>
    </row>
    <row r="3" spans="1:11" ht="21" hidden="1" customHeight="1" x14ac:dyDescent="0.25">
      <c r="A3" s="12" t="str">
        <f>A2</f>
        <v>ВРУ-1 (ВРУ 630 УХЛ4)</v>
      </c>
      <c r="B3" s="13" t="s">
        <v>8</v>
      </c>
      <c r="C3" s="14" t="s">
        <v>237</v>
      </c>
      <c r="D3" s="12" t="s">
        <v>238</v>
      </c>
      <c r="E3" s="13">
        <v>160000</v>
      </c>
      <c r="F3" s="15">
        <f>E3*0.6</f>
        <v>96000</v>
      </c>
      <c r="G3" s="15">
        <f>H3*F3</f>
        <v>96000</v>
      </c>
      <c r="H3" s="16">
        <v>1</v>
      </c>
      <c r="I3" s="17" t="s">
        <v>13</v>
      </c>
      <c r="J3" s="13" t="s">
        <v>16</v>
      </c>
      <c r="K3">
        <v>96000</v>
      </c>
    </row>
    <row r="4" spans="1:11" ht="21" hidden="1" customHeight="1" x14ac:dyDescent="0.25">
      <c r="A4" s="12" t="str">
        <f t="shared" ref="A4:A14" si="0">A3</f>
        <v>ВРУ-1 (ВРУ 630 УХЛ4)</v>
      </c>
      <c r="B4" s="13" t="s">
        <v>33</v>
      </c>
      <c r="C4" s="14" t="s">
        <v>203</v>
      </c>
      <c r="D4" s="12" t="s">
        <v>204</v>
      </c>
      <c r="E4" s="13">
        <v>6500</v>
      </c>
      <c r="F4" s="15">
        <f>E4</f>
        <v>6500</v>
      </c>
      <c r="G4" s="15">
        <f>F4*H4</f>
        <v>39000</v>
      </c>
      <c r="H4" s="16">
        <v>6</v>
      </c>
      <c r="I4" s="17" t="s">
        <v>13</v>
      </c>
      <c r="J4" s="13" t="s">
        <v>32</v>
      </c>
      <c r="K4">
        <v>39000</v>
      </c>
    </row>
    <row r="5" spans="1:11" ht="21" hidden="1" customHeight="1" x14ac:dyDescent="0.25">
      <c r="A5" s="12" t="str">
        <f t="shared" si="0"/>
        <v>ВРУ-1 (ВРУ 630 УХЛ4)</v>
      </c>
      <c r="B5" s="13" t="s">
        <v>52</v>
      </c>
      <c r="C5" s="14" t="s">
        <v>44</v>
      </c>
      <c r="D5" s="12" t="s">
        <v>45</v>
      </c>
      <c r="E5" s="13">
        <v>50230</v>
      </c>
      <c r="F5" s="15">
        <f>E5</f>
        <v>50230</v>
      </c>
      <c r="G5" s="15">
        <f t="shared" ref="G5:G6" si="1">F5*H5</f>
        <v>100460</v>
      </c>
      <c r="H5" s="16">
        <v>2</v>
      </c>
      <c r="I5" s="17" t="s">
        <v>13</v>
      </c>
      <c r="J5" s="13" t="s">
        <v>32</v>
      </c>
      <c r="K5">
        <v>100460</v>
      </c>
    </row>
    <row r="6" spans="1:11" ht="21" hidden="1" customHeight="1" x14ac:dyDescent="0.25">
      <c r="A6" s="12" t="str">
        <f t="shared" si="0"/>
        <v>ВРУ-1 (ВРУ 630 УХЛ4)</v>
      </c>
      <c r="B6" s="13" t="s">
        <v>53</v>
      </c>
      <c r="C6" s="14" t="s">
        <v>48</v>
      </c>
      <c r="D6" s="12" t="s">
        <v>49</v>
      </c>
      <c r="E6" s="13">
        <v>4932</v>
      </c>
      <c r="F6" s="15">
        <f t="shared" ref="F6" si="2">E6*0.6</f>
        <v>2959.2</v>
      </c>
      <c r="G6" s="15">
        <f t="shared" si="1"/>
        <v>17755.199999999997</v>
      </c>
      <c r="H6" s="16">
        <v>6</v>
      </c>
      <c r="I6" s="17" t="s">
        <v>13</v>
      </c>
      <c r="J6" s="13" t="s">
        <v>17</v>
      </c>
      <c r="K6">
        <v>17755.199999999997</v>
      </c>
    </row>
    <row r="7" spans="1:11" ht="21" hidden="1" customHeight="1" x14ac:dyDescent="0.25">
      <c r="A7" s="12" t="str">
        <f t="shared" si="0"/>
        <v>ВРУ-1 (ВРУ 630 УХЛ4)</v>
      </c>
      <c r="B7" s="13" t="s">
        <v>53</v>
      </c>
      <c r="C7" s="14" t="s">
        <v>50</v>
      </c>
      <c r="D7" s="12" t="s">
        <v>51</v>
      </c>
      <c r="E7" s="13">
        <v>7443</v>
      </c>
      <c r="F7" s="15">
        <f t="shared" ref="F7" si="3">E7*0.6</f>
        <v>4465.8</v>
      </c>
      <c r="G7" s="15">
        <f t="shared" ref="G7" si="4">F7*H7</f>
        <v>26794.800000000003</v>
      </c>
      <c r="H7" s="16">
        <v>6</v>
      </c>
      <c r="I7" s="17" t="s">
        <v>13</v>
      </c>
      <c r="J7" s="13" t="s">
        <v>17</v>
      </c>
      <c r="K7">
        <v>26794.800000000003</v>
      </c>
    </row>
    <row r="8" spans="1:11" ht="21" hidden="1" customHeight="1" x14ac:dyDescent="0.25">
      <c r="A8" s="12" t="str">
        <f t="shared" si="0"/>
        <v>ВРУ-1 (ВРУ 630 УХЛ4)</v>
      </c>
      <c r="B8" s="13" t="s">
        <v>12</v>
      </c>
      <c r="C8" s="14" t="s">
        <v>21</v>
      </c>
      <c r="D8" s="12" t="s">
        <v>22</v>
      </c>
      <c r="E8" s="13">
        <v>975</v>
      </c>
      <c r="F8" s="15">
        <f>E8*0.6</f>
        <v>585</v>
      </c>
      <c r="G8" s="15">
        <f>F8*H8</f>
        <v>1170</v>
      </c>
      <c r="H8" s="16">
        <v>2</v>
      </c>
      <c r="I8" s="17" t="s">
        <v>13</v>
      </c>
      <c r="J8" s="13" t="s">
        <v>17</v>
      </c>
      <c r="K8">
        <v>1170</v>
      </c>
    </row>
    <row r="9" spans="1:11" ht="22.5" hidden="1" customHeight="1" x14ac:dyDescent="0.25">
      <c r="A9" s="12" t="str">
        <f t="shared" si="0"/>
        <v>ВРУ-1 (ВРУ 630 УХЛ4)</v>
      </c>
      <c r="B9" s="13" t="s">
        <v>18</v>
      </c>
      <c r="C9" s="14" t="s">
        <v>244</v>
      </c>
      <c r="D9" s="12" t="s">
        <v>245</v>
      </c>
      <c r="E9" s="13">
        <v>90000</v>
      </c>
      <c r="F9" s="15">
        <f>E9</f>
        <v>90000</v>
      </c>
      <c r="G9" s="15">
        <f t="shared" ref="G9:G12" si="5">F9*H9</f>
        <v>180000</v>
      </c>
      <c r="H9" s="16">
        <v>2</v>
      </c>
      <c r="I9" s="17" t="s">
        <v>13</v>
      </c>
      <c r="J9" s="13" t="s">
        <v>32</v>
      </c>
      <c r="K9">
        <v>180000</v>
      </c>
    </row>
    <row r="10" spans="1:11" ht="21" hidden="1" customHeight="1" x14ac:dyDescent="0.25">
      <c r="A10" s="12" t="str">
        <f t="shared" si="0"/>
        <v>ВРУ-1 (ВРУ 630 УХЛ4)</v>
      </c>
      <c r="B10" s="13" t="s">
        <v>54</v>
      </c>
      <c r="C10" s="14"/>
      <c r="D10" s="12" t="s">
        <v>46</v>
      </c>
      <c r="E10" s="13">
        <v>4500</v>
      </c>
      <c r="F10" s="15">
        <f>E10</f>
        <v>4500</v>
      </c>
      <c r="G10" s="15">
        <f t="shared" si="5"/>
        <v>27000</v>
      </c>
      <c r="H10" s="16">
        <v>6</v>
      </c>
      <c r="I10" s="17" t="s">
        <v>13</v>
      </c>
      <c r="J10" s="13" t="s">
        <v>32</v>
      </c>
      <c r="K10">
        <v>27000</v>
      </c>
    </row>
    <row r="11" spans="1:11" ht="21" hidden="1" customHeight="1" x14ac:dyDescent="0.25">
      <c r="A11" s="12" t="str">
        <f t="shared" si="0"/>
        <v>ВРУ-1 (ВРУ 630 УХЛ4)</v>
      </c>
      <c r="B11" s="13" t="s">
        <v>47</v>
      </c>
      <c r="C11" s="14"/>
      <c r="D11" s="12" t="s">
        <v>47</v>
      </c>
      <c r="E11" s="13">
        <v>1000</v>
      </c>
      <c r="F11" s="15">
        <f>E11</f>
        <v>1000</v>
      </c>
      <c r="G11" s="15">
        <f t="shared" si="5"/>
        <v>1000</v>
      </c>
      <c r="H11" s="16">
        <v>1</v>
      </c>
      <c r="I11" s="17" t="s">
        <v>13</v>
      </c>
      <c r="J11" s="13" t="s">
        <v>32</v>
      </c>
      <c r="K11">
        <v>1000</v>
      </c>
    </row>
    <row r="12" spans="1:11" ht="24" hidden="1" customHeight="1" x14ac:dyDescent="0.25">
      <c r="A12" s="12" t="str">
        <f t="shared" si="0"/>
        <v>ВРУ-1 (ВРУ 630 УХЛ4)</v>
      </c>
      <c r="B12" s="12" t="s">
        <v>10</v>
      </c>
      <c r="C12" s="18" t="s">
        <v>10</v>
      </c>
      <c r="D12" s="12" t="s">
        <v>10</v>
      </c>
      <c r="E12" s="12">
        <f ca="1">OFFSET(E12,1,2)</f>
        <v>60000</v>
      </c>
      <c r="F12" s="15">
        <f ca="1">E12</f>
        <v>60000</v>
      </c>
      <c r="G12" s="15">
        <f t="shared" ca="1" si="5"/>
        <v>60000</v>
      </c>
      <c r="H12" s="12">
        <v>1</v>
      </c>
      <c r="I12" s="12" t="s">
        <v>13</v>
      </c>
      <c r="J12" s="12" t="s">
        <v>10</v>
      </c>
      <c r="K12">
        <v>60000</v>
      </c>
    </row>
    <row r="13" spans="1:11" ht="21" hidden="1" customHeight="1" x14ac:dyDescent="0.25">
      <c r="A13" s="12" t="str">
        <f t="shared" si="0"/>
        <v>ВРУ-1 (ВРУ 630 УХЛ4)</v>
      </c>
      <c r="B13" s="12" t="s">
        <v>11</v>
      </c>
      <c r="C13" s="18" t="s">
        <v>11</v>
      </c>
      <c r="D13" s="12" t="s">
        <v>11</v>
      </c>
      <c r="E13" s="12">
        <v>10</v>
      </c>
      <c r="F13" s="15">
        <v>100</v>
      </c>
      <c r="G13" s="15">
        <f>60*E13*F13</f>
        <v>60000</v>
      </c>
      <c r="H13" s="12">
        <f>60*E13</f>
        <v>600</v>
      </c>
      <c r="I13" s="12" t="s">
        <v>13</v>
      </c>
      <c r="J13" s="12" t="s">
        <v>11</v>
      </c>
      <c r="K13">
        <v>60000</v>
      </c>
    </row>
    <row r="14" spans="1:11" ht="30" customHeight="1" x14ac:dyDescent="0.25">
      <c r="A14" s="12" t="str">
        <f t="shared" si="0"/>
        <v>ВРУ-1 (ВРУ 630 УХЛ4)</v>
      </c>
      <c r="B14" s="19"/>
      <c r="C14" s="20"/>
      <c r="D14" s="21"/>
      <c r="E14" s="23"/>
      <c r="F14" s="25"/>
      <c r="G14" s="24">
        <f ca="1">SUM(G3:G13)</f>
        <v>609180</v>
      </c>
      <c r="H14" s="20"/>
      <c r="I14" s="22"/>
      <c r="J14" s="20"/>
      <c r="K14">
        <v>609180</v>
      </c>
    </row>
    <row r="15" spans="1:11" ht="39.75" customHeight="1" x14ac:dyDescent="0.25">
      <c r="A15" s="5" t="str">
        <f>D15</f>
        <v>ЯВЗ-1, ЯВЗ-2(125A)</v>
      </c>
      <c r="B15" s="6"/>
      <c r="C15" s="7"/>
      <c r="D15" s="6" t="s">
        <v>262</v>
      </c>
      <c r="E15" s="8"/>
      <c r="F15" s="8"/>
      <c r="G15" s="9"/>
      <c r="H15" s="10">
        <v>2</v>
      </c>
      <c r="I15" s="11" t="s">
        <v>7</v>
      </c>
      <c r="J15" s="6" t="s">
        <v>9</v>
      </c>
    </row>
    <row r="16" spans="1:11" ht="21" hidden="1" customHeight="1" x14ac:dyDescent="0.25">
      <c r="A16" s="12" t="str">
        <f>A15</f>
        <v>ЯВЗ-1, ЯВЗ-2(125A)</v>
      </c>
      <c r="B16" s="13" t="s">
        <v>8</v>
      </c>
      <c r="C16" s="14" t="s">
        <v>239</v>
      </c>
      <c r="D16" s="12" t="s">
        <v>240</v>
      </c>
      <c r="E16" s="13">
        <v>38905</v>
      </c>
      <c r="F16" s="15">
        <f>E16*0.6</f>
        <v>23343</v>
      </c>
      <c r="G16" s="15">
        <f>H16*F16</f>
        <v>23343</v>
      </c>
      <c r="H16" s="16">
        <v>1</v>
      </c>
      <c r="I16" s="17" t="s">
        <v>13</v>
      </c>
      <c r="J16" s="13" t="s">
        <v>16</v>
      </c>
      <c r="K16">
        <v>23343</v>
      </c>
    </row>
    <row r="17" spans="1:11" ht="21" hidden="1" customHeight="1" x14ac:dyDescent="0.25">
      <c r="A17" s="12" t="str">
        <f t="shared" ref="A17:A22" si="6">A16</f>
        <v>ЯВЗ-1, ЯВЗ-2(125A)</v>
      </c>
      <c r="B17" s="13" t="s">
        <v>52</v>
      </c>
      <c r="C17" s="14" t="s">
        <v>82</v>
      </c>
      <c r="D17" s="12" t="s">
        <v>83</v>
      </c>
      <c r="E17" s="13">
        <v>17175</v>
      </c>
      <c r="F17" s="15">
        <f>E17</f>
        <v>17175</v>
      </c>
      <c r="G17" s="15">
        <f t="shared" ref="G17:G20" si="7">F17*H17</f>
        <v>17175</v>
      </c>
      <c r="H17" s="16">
        <v>1</v>
      </c>
      <c r="I17" s="17" t="s">
        <v>13</v>
      </c>
      <c r="J17" s="13" t="s">
        <v>32</v>
      </c>
      <c r="K17">
        <v>17175</v>
      </c>
    </row>
    <row r="18" spans="1:11" ht="21" hidden="1" customHeight="1" x14ac:dyDescent="0.25">
      <c r="A18" s="12" t="str">
        <f t="shared" si="6"/>
        <v>ЯВЗ-1, ЯВЗ-2(125A)</v>
      </c>
      <c r="B18" s="13" t="s">
        <v>53</v>
      </c>
      <c r="C18" s="14" t="s">
        <v>263</v>
      </c>
      <c r="D18" s="12" t="s">
        <v>264</v>
      </c>
      <c r="E18" s="13">
        <v>1545</v>
      </c>
      <c r="F18" s="15">
        <f t="shared" ref="F18:F19" si="8">E18*0.6</f>
        <v>927</v>
      </c>
      <c r="G18" s="15">
        <f t="shared" si="7"/>
        <v>2781</v>
      </c>
      <c r="H18" s="16">
        <v>3</v>
      </c>
      <c r="I18" s="17" t="s">
        <v>13</v>
      </c>
      <c r="J18" s="13" t="s">
        <v>17</v>
      </c>
      <c r="K18">
        <v>2781</v>
      </c>
    </row>
    <row r="19" spans="1:11" ht="21" hidden="1" customHeight="1" x14ac:dyDescent="0.25">
      <c r="A19" s="12" t="str">
        <f t="shared" si="6"/>
        <v>ЯВЗ-1, ЯВЗ-2(125A)</v>
      </c>
      <c r="B19" s="13" t="s">
        <v>53</v>
      </c>
      <c r="C19" s="14" t="s">
        <v>265</v>
      </c>
      <c r="D19" s="12" t="s">
        <v>266</v>
      </c>
      <c r="E19" s="13">
        <v>2038</v>
      </c>
      <c r="F19" s="15">
        <f t="shared" si="8"/>
        <v>1222.8</v>
      </c>
      <c r="G19" s="15">
        <f t="shared" si="7"/>
        <v>3668.3999999999996</v>
      </c>
      <c r="H19" s="16">
        <v>3</v>
      </c>
      <c r="I19" s="17" t="s">
        <v>13</v>
      </c>
      <c r="J19" s="13" t="s">
        <v>17</v>
      </c>
      <c r="K19">
        <v>3668.3999999999996</v>
      </c>
    </row>
    <row r="20" spans="1:11" ht="24" hidden="1" customHeight="1" x14ac:dyDescent="0.25">
      <c r="A20" s="12" t="str">
        <f t="shared" si="6"/>
        <v>ЯВЗ-1, ЯВЗ-2(125A)</v>
      </c>
      <c r="B20" s="12" t="s">
        <v>10</v>
      </c>
      <c r="C20" s="18" t="s">
        <v>10</v>
      </c>
      <c r="D20" s="12" t="s">
        <v>10</v>
      </c>
      <c r="E20" s="12">
        <f ca="1">OFFSET(E20,1,2)</f>
        <v>18000</v>
      </c>
      <c r="F20" s="15">
        <f ca="1">E20</f>
        <v>18000</v>
      </c>
      <c r="G20" s="15">
        <f t="shared" ca="1" si="7"/>
        <v>18000</v>
      </c>
      <c r="H20" s="12">
        <v>1</v>
      </c>
      <c r="I20" s="12" t="s">
        <v>13</v>
      </c>
      <c r="J20" s="12" t="s">
        <v>10</v>
      </c>
      <c r="K20">
        <v>18000</v>
      </c>
    </row>
    <row r="21" spans="1:11" ht="21" hidden="1" customHeight="1" x14ac:dyDescent="0.25">
      <c r="A21" s="12" t="str">
        <f t="shared" si="6"/>
        <v>ЯВЗ-1, ЯВЗ-2(125A)</v>
      </c>
      <c r="B21" s="12" t="s">
        <v>11</v>
      </c>
      <c r="C21" s="18" t="s">
        <v>11</v>
      </c>
      <c r="D21" s="12" t="s">
        <v>11</v>
      </c>
      <c r="E21" s="12">
        <v>3</v>
      </c>
      <c r="F21" s="15">
        <v>100</v>
      </c>
      <c r="G21" s="15">
        <f>60*E21*F21</f>
        <v>18000</v>
      </c>
      <c r="H21" s="12">
        <f>60*E21</f>
        <v>180</v>
      </c>
      <c r="I21" s="12" t="s">
        <v>13</v>
      </c>
      <c r="J21" s="12" t="s">
        <v>11</v>
      </c>
      <c r="K21">
        <v>18000</v>
      </c>
    </row>
    <row r="22" spans="1:11" ht="30" customHeight="1" x14ac:dyDescent="0.25">
      <c r="A22" s="12" t="str">
        <f t="shared" si="6"/>
        <v>ЯВЗ-1, ЯВЗ-2(125A)</v>
      </c>
      <c r="B22" s="19"/>
      <c r="C22" s="20"/>
      <c r="D22" s="21"/>
      <c r="E22" s="23"/>
      <c r="F22" s="25"/>
      <c r="G22" s="24">
        <f ca="1">SUM(G16:G21)</f>
        <v>82967.399999999994</v>
      </c>
      <c r="H22" s="20"/>
      <c r="I22" s="22"/>
      <c r="J22" s="20"/>
      <c r="K22">
        <v>82967.399999999994</v>
      </c>
    </row>
    <row r="23" spans="1:11" ht="39.75" customHeight="1" x14ac:dyDescent="0.25">
      <c r="A23" s="5" t="str">
        <f>D23</f>
        <v>ВРУ-2  (ПР11-3067-21У3 С. I)</v>
      </c>
      <c r="B23" s="6"/>
      <c r="C23" s="7"/>
      <c r="D23" s="6" t="s">
        <v>241</v>
      </c>
      <c r="E23" s="8"/>
      <c r="F23" s="8"/>
      <c r="G23" s="9"/>
      <c r="H23" s="10">
        <v>1</v>
      </c>
      <c r="I23" s="11" t="s">
        <v>7</v>
      </c>
      <c r="J23" s="6" t="s">
        <v>9</v>
      </c>
    </row>
    <row r="24" spans="1:11" ht="21" hidden="1" customHeight="1" x14ac:dyDescent="0.25">
      <c r="A24" s="12" t="str">
        <f>A23</f>
        <v>ВРУ-2  (ПР11-3067-21У3 С. I)</v>
      </c>
      <c r="B24" s="13" t="s">
        <v>8</v>
      </c>
      <c r="C24" s="14" t="s">
        <v>239</v>
      </c>
      <c r="D24" s="12" t="s">
        <v>240</v>
      </c>
      <c r="E24" s="13">
        <v>38905</v>
      </c>
      <c r="F24" s="15">
        <f>E24*0.6</f>
        <v>23343</v>
      </c>
      <c r="G24" s="15">
        <f>H24*F24</f>
        <v>23343</v>
      </c>
      <c r="H24" s="16">
        <v>1</v>
      </c>
      <c r="I24" s="17" t="s">
        <v>13</v>
      </c>
      <c r="J24" s="13" t="s">
        <v>16</v>
      </c>
      <c r="K24">
        <v>23343</v>
      </c>
    </row>
    <row r="25" spans="1:11" ht="21" hidden="1" customHeight="1" x14ac:dyDescent="0.25">
      <c r="A25" s="12" t="str">
        <f t="shared" ref="A25:A32" si="9">A24</f>
        <v>ВРУ-2  (ПР11-3067-21У3 С. I)</v>
      </c>
      <c r="B25" s="13" t="s">
        <v>65</v>
      </c>
      <c r="C25" s="14" t="s">
        <v>55</v>
      </c>
      <c r="D25" s="12" t="s">
        <v>56</v>
      </c>
      <c r="E25" s="13">
        <v>19760</v>
      </c>
      <c r="F25" s="15">
        <f>E25*0.6</f>
        <v>11856</v>
      </c>
      <c r="G25" s="15">
        <f>F25*H25</f>
        <v>11856</v>
      </c>
      <c r="H25" s="16">
        <v>1</v>
      </c>
      <c r="I25" s="17" t="s">
        <v>13</v>
      </c>
      <c r="J25" s="13" t="s">
        <v>17</v>
      </c>
      <c r="K25">
        <v>11856</v>
      </c>
    </row>
    <row r="26" spans="1:11" ht="21" hidden="1" customHeight="1" x14ac:dyDescent="0.25">
      <c r="A26" s="12" t="str">
        <f t="shared" si="9"/>
        <v>ВРУ-2  (ПР11-3067-21У3 С. I)</v>
      </c>
      <c r="B26" s="13" t="s">
        <v>65</v>
      </c>
      <c r="C26" s="14" t="s">
        <v>57</v>
      </c>
      <c r="D26" s="12" t="s">
        <v>58</v>
      </c>
      <c r="E26" s="13">
        <v>18139</v>
      </c>
      <c r="F26" s="15">
        <f t="shared" ref="F26:F28" si="10">E26*0.6</f>
        <v>10883.4</v>
      </c>
      <c r="G26" s="15">
        <f t="shared" ref="G26:G28" si="11">F26*H26</f>
        <v>10883.4</v>
      </c>
      <c r="H26" s="16">
        <v>1</v>
      </c>
      <c r="I26" s="17" t="s">
        <v>13</v>
      </c>
      <c r="J26" s="13" t="s">
        <v>17</v>
      </c>
      <c r="K26">
        <v>10883.4</v>
      </c>
    </row>
    <row r="27" spans="1:11" ht="21" hidden="1" customHeight="1" x14ac:dyDescent="0.25">
      <c r="A27" s="12" t="str">
        <f t="shared" si="9"/>
        <v>ВРУ-2  (ПР11-3067-21У3 С. I)</v>
      </c>
      <c r="B27" s="13" t="s">
        <v>65</v>
      </c>
      <c r="C27" s="14" t="s">
        <v>59</v>
      </c>
      <c r="D27" s="12" t="s">
        <v>60</v>
      </c>
      <c r="E27" s="13">
        <v>19700</v>
      </c>
      <c r="F27" s="15">
        <f t="shared" si="10"/>
        <v>11820</v>
      </c>
      <c r="G27" s="15">
        <f t="shared" si="11"/>
        <v>11820</v>
      </c>
      <c r="H27" s="16">
        <v>1</v>
      </c>
      <c r="I27" s="17" t="s">
        <v>13</v>
      </c>
      <c r="J27" s="13" t="s">
        <v>17</v>
      </c>
      <c r="K27">
        <v>11820</v>
      </c>
    </row>
    <row r="28" spans="1:11" ht="21" hidden="1" customHeight="1" x14ac:dyDescent="0.25">
      <c r="A28" s="12" t="str">
        <f t="shared" si="9"/>
        <v>ВРУ-2  (ПР11-3067-21У3 С. I)</v>
      </c>
      <c r="B28" s="13" t="s">
        <v>65</v>
      </c>
      <c r="C28" s="14" t="s">
        <v>61</v>
      </c>
      <c r="D28" s="12" t="s">
        <v>62</v>
      </c>
      <c r="E28" s="13">
        <v>20174</v>
      </c>
      <c r="F28" s="15">
        <f t="shared" si="10"/>
        <v>12104.4</v>
      </c>
      <c r="G28" s="15">
        <f t="shared" si="11"/>
        <v>12104.4</v>
      </c>
      <c r="H28" s="16">
        <v>1</v>
      </c>
      <c r="I28" s="17" t="s">
        <v>13</v>
      </c>
      <c r="J28" s="13" t="s">
        <v>17</v>
      </c>
      <c r="K28">
        <v>12104.4</v>
      </c>
    </row>
    <row r="29" spans="1:11" ht="21" hidden="1" customHeight="1" x14ac:dyDescent="0.25">
      <c r="A29" s="12" t="str">
        <f t="shared" si="9"/>
        <v>ВРУ-2  (ПР11-3067-21У3 С. I)</v>
      </c>
      <c r="B29" s="13" t="s">
        <v>65</v>
      </c>
      <c r="C29" s="14" t="s">
        <v>63</v>
      </c>
      <c r="D29" s="12" t="s">
        <v>64</v>
      </c>
      <c r="E29" s="13">
        <v>19418</v>
      </c>
      <c r="F29" s="15">
        <f>E29*0.6</f>
        <v>11650.8</v>
      </c>
      <c r="G29" s="15">
        <f>F29*H29</f>
        <v>23301.599999999999</v>
      </c>
      <c r="H29" s="16">
        <v>2</v>
      </c>
      <c r="I29" s="17" t="s">
        <v>13</v>
      </c>
      <c r="J29" s="13" t="s">
        <v>17</v>
      </c>
      <c r="K29">
        <v>23301.599999999999</v>
      </c>
    </row>
    <row r="30" spans="1:11" ht="24" hidden="1" customHeight="1" x14ac:dyDescent="0.25">
      <c r="A30" s="12" t="str">
        <f t="shared" si="9"/>
        <v>ВРУ-2  (ПР11-3067-21У3 С. I)</v>
      </c>
      <c r="B30" s="12" t="s">
        <v>10</v>
      </c>
      <c r="C30" s="18" t="s">
        <v>10</v>
      </c>
      <c r="D30" s="12" t="s">
        <v>10</v>
      </c>
      <c r="E30" s="12">
        <f ca="1">OFFSET(E30,1,2)</f>
        <v>30000</v>
      </c>
      <c r="F30" s="15">
        <f ca="1">E30</f>
        <v>30000</v>
      </c>
      <c r="G30" s="15">
        <f t="shared" ref="G30" ca="1" si="12">F30*H30</f>
        <v>30000</v>
      </c>
      <c r="H30" s="12">
        <v>1</v>
      </c>
      <c r="I30" s="12" t="s">
        <v>13</v>
      </c>
      <c r="J30" s="12" t="s">
        <v>10</v>
      </c>
      <c r="K30">
        <v>30000</v>
      </c>
    </row>
    <row r="31" spans="1:11" ht="21" hidden="1" customHeight="1" x14ac:dyDescent="0.25">
      <c r="A31" s="12" t="str">
        <f t="shared" si="9"/>
        <v>ВРУ-2  (ПР11-3067-21У3 С. I)</v>
      </c>
      <c r="B31" s="12" t="s">
        <v>11</v>
      </c>
      <c r="C31" s="18" t="s">
        <v>11</v>
      </c>
      <c r="D31" s="12" t="s">
        <v>11</v>
      </c>
      <c r="E31" s="12">
        <v>5</v>
      </c>
      <c r="F31" s="15">
        <v>100</v>
      </c>
      <c r="G31" s="15">
        <f>60*E31*F31</f>
        <v>30000</v>
      </c>
      <c r="H31" s="12">
        <f>60*E31</f>
        <v>300</v>
      </c>
      <c r="I31" s="12" t="s">
        <v>13</v>
      </c>
      <c r="J31" s="12" t="s">
        <v>11</v>
      </c>
      <c r="K31">
        <v>30000</v>
      </c>
    </row>
    <row r="32" spans="1:11" ht="30" customHeight="1" x14ac:dyDescent="0.25">
      <c r="A32" s="12" t="str">
        <f t="shared" si="9"/>
        <v>ВРУ-2  (ПР11-3067-21У3 С. I)</v>
      </c>
      <c r="B32" s="19"/>
      <c r="C32" s="20"/>
      <c r="D32" s="21"/>
      <c r="E32" s="23"/>
      <c r="F32" s="25"/>
      <c r="G32" s="24">
        <f ca="1">SUM(G24:G31)</f>
        <v>153308.4</v>
      </c>
      <c r="H32" s="20"/>
      <c r="I32" s="22"/>
      <c r="J32" s="20"/>
      <c r="K32">
        <v>153308.4</v>
      </c>
    </row>
    <row r="33" spans="1:11" ht="39.75" customHeight="1" x14ac:dyDescent="0.25">
      <c r="A33" s="5" t="str">
        <f>D33</f>
        <v>ВРУ-3 (ПР11-3067-21У3 С. II)</v>
      </c>
      <c r="B33" s="6"/>
      <c r="C33" s="7"/>
      <c r="D33" s="6" t="s">
        <v>242</v>
      </c>
      <c r="E33" s="8"/>
      <c r="F33" s="8"/>
      <c r="G33" s="9"/>
      <c r="H33" s="10">
        <v>1</v>
      </c>
      <c r="I33" s="11" t="s">
        <v>7</v>
      </c>
      <c r="J33" s="6" t="s">
        <v>9</v>
      </c>
    </row>
    <row r="34" spans="1:11" ht="21" hidden="1" customHeight="1" x14ac:dyDescent="0.25">
      <c r="A34" s="12" t="str">
        <f>A33</f>
        <v>ВРУ-3 (ПР11-3067-21У3 С. II)</v>
      </c>
      <c r="B34" s="13" t="s">
        <v>8</v>
      </c>
      <c r="C34" s="14" t="s">
        <v>239</v>
      </c>
      <c r="D34" s="12" t="s">
        <v>240</v>
      </c>
      <c r="E34" s="13">
        <v>38905</v>
      </c>
      <c r="F34" s="15">
        <f>E34*0.6</f>
        <v>23343</v>
      </c>
      <c r="G34" s="15">
        <f>H34*F34</f>
        <v>23343</v>
      </c>
      <c r="H34" s="16">
        <v>1</v>
      </c>
      <c r="I34" s="17" t="s">
        <v>13</v>
      </c>
      <c r="J34" s="13" t="s">
        <v>16</v>
      </c>
      <c r="K34">
        <v>23343</v>
      </c>
    </row>
    <row r="35" spans="1:11" ht="21" hidden="1" customHeight="1" x14ac:dyDescent="0.25">
      <c r="A35" s="12" t="str">
        <f t="shared" ref="A35:A42" si="13">A34</f>
        <v>ВРУ-3 (ПР11-3067-21У3 С. II)</v>
      </c>
      <c r="B35" s="13" t="s">
        <v>65</v>
      </c>
      <c r="C35" s="26" t="s">
        <v>66</v>
      </c>
      <c r="D35" s="12" t="s">
        <v>67</v>
      </c>
      <c r="E35" s="27">
        <v>27169</v>
      </c>
      <c r="F35" s="15">
        <f>E35*0.6</f>
        <v>16301.4</v>
      </c>
      <c r="G35" s="15">
        <f>F35*H35</f>
        <v>16301.4</v>
      </c>
      <c r="H35" s="16">
        <v>1</v>
      </c>
      <c r="I35" s="17" t="s">
        <v>13</v>
      </c>
      <c r="J35" s="13" t="s">
        <v>17</v>
      </c>
      <c r="K35">
        <v>16301.4</v>
      </c>
    </row>
    <row r="36" spans="1:11" ht="21" hidden="1" customHeight="1" x14ac:dyDescent="0.25">
      <c r="A36" s="12" t="str">
        <f t="shared" si="13"/>
        <v>ВРУ-3 (ПР11-3067-21У3 С. II)</v>
      </c>
      <c r="B36" s="13" t="s">
        <v>65</v>
      </c>
      <c r="C36" s="14" t="s">
        <v>57</v>
      </c>
      <c r="D36" s="12" t="s">
        <v>58</v>
      </c>
      <c r="E36" s="13">
        <v>18139</v>
      </c>
      <c r="F36" s="15">
        <f t="shared" ref="F36:F38" si="14">E36*0.6</f>
        <v>10883.4</v>
      </c>
      <c r="G36" s="15">
        <f t="shared" ref="G36:G38" si="15">F36*H36</f>
        <v>21766.799999999999</v>
      </c>
      <c r="H36" s="16">
        <v>2</v>
      </c>
      <c r="I36" s="17" t="s">
        <v>13</v>
      </c>
      <c r="J36" s="13" t="s">
        <v>17</v>
      </c>
      <c r="K36">
        <v>21766.799999999999</v>
      </c>
    </row>
    <row r="37" spans="1:11" ht="21" hidden="1" customHeight="1" x14ac:dyDescent="0.25">
      <c r="A37" s="12" t="str">
        <f t="shared" si="13"/>
        <v>ВРУ-3 (ПР11-3067-21У3 С. II)</v>
      </c>
      <c r="B37" s="13" t="s">
        <v>65</v>
      </c>
      <c r="C37" s="14" t="s">
        <v>59</v>
      </c>
      <c r="D37" s="12" t="s">
        <v>60</v>
      </c>
      <c r="E37" s="13">
        <v>19700</v>
      </c>
      <c r="F37" s="15">
        <f t="shared" si="14"/>
        <v>11820</v>
      </c>
      <c r="G37" s="15">
        <f t="shared" si="15"/>
        <v>11820</v>
      </c>
      <c r="H37" s="16">
        <v>1</v>
      </c>
      <c r="I37" s="17" t="s">
        <v>13</v>
      </c>
      <c r="J37" s="13" t="s">
        <v>17</v>
      </c>
      <c r="K37">
        <v>11820</v>
      </c>
    </row>
    <row r="38" spans="1:11" ht="21" hidden="1" customHeight="1" x14ac:dyDescent="0.25">
      <c r="A38" s="12" t="str">
        <f t="shared" si="13"/>
        <v>ВРУ-3 (ПР11-3067-21У3 С. II)</v>
      </c>
      <c r="B38" s="13" t="s">
        <v>65</v>
      </c>
      <c r="C38" s="14" t="s">
        <v>61</v>
      </c>
      <c r="D38" s="12" t="s">
        <v>62</v>
      </c>
      <c r="E38" s="13">
        <v>20174</v>
      </c>
      <c r="F38" s="15">
        <f t="shared" si="14"/>
        <v>12104.4</v>
      </c>
      <c r="G38" s="15">
        <f t="shared" si="15"/>
        <v>12104.4</v>
      </c>
      <c r="H38" s="16">
        <v>1</v>
      </c>
      <c r="I38" s="17" t="s">
        <v>13</v>
      </c>
      <c r="J38" s="13" t="s">
        <v>17</v>
      </c>
      <c r="K38">
        <v>12104.4</v>
      </c>
    </row>
    <row r="39" spans="1:11" ht="21" hidden="1" customHeight="1" x14ac:dyDescent="0.25">
      <c r="A39" s="12" t="str">
        <f t="shared" si="13"/>
        <v>ВРУ-3 (ПР11-3067-21У3 С. II)</v>
      </c>
      <c r="B39" s="13" t="s">
        <v>65</v>
      </c>
      <c r="C39" s="14" t="s">
        <v>41</v>
      </c>
      <c r="D39" s="12" t="s">
        <v>42</v>
      </c>
      <c r="E39" s="13">
        <v>18263</v>
      </c>
      <c r="F39" s="15">
        <f>E39*0.6</f>
        <v>10957.8</v>
      </c>
      <c r="G39" s="15">
        <f>F39*H39</f>
        <v>21915.599999999999</v>
      </c>
      <c r="H39" s="16">
        <v>2</v>
      </c>
      <c r="I39" s="17" t="s">
        <v>13</v>
      </c>
      <c r="J39" s="13" t="s">
        <v>17</v>
      </c>
      <c r="K39">
        <v>21915.599999999999</v>
      </c>
    </row>
    <row r="40" spans="1:11" ht="24" hidden="1" customHeight="1" x14ac:dyDescent="0.25">
      <c r="A40" s="12" t="str">
        <f t="shared" si="13"/>
        <v>ВРУ-3 (ПР11-3067-21У3 С. II)</v>
      </c>
      <c r="B40" s="12" t="s">
        <v>10</v>
      </c>
      <c r="C40" s="18" t="s">
        <v>10</v>
      </c>
      <c r="D40" s="12" t="s">
        <v>10</v>
      </c>
      <c r="E40" s="12">
        <f ca="1">OFFSET(E40,1,2)</f>
        <v>39000</v>
      </c>
      <c r="F40" s="15">
        <f ca="1">E40</f>
        <v>39000</v>
      </c>
      <c r="G40" s="15">
        <f t="shared" ref="G40" ca="1" si="16">F40*H40</f>
        <v>39000</v>
      </c>
      <c r="H40" s="12">
        <v>1</v>
      </c>
      <c r="I40" s="12" t="s">
        <v>13</v>
      </c>
      <c r="J40" s="12" t="s">
        <v>10</v>
      </c>
      <c r="K40">
        <v>39000</v>
      </c>
    </row>
    <row r="41" spans="1:11" ht="21" hidden="1" customHeight="1" x14ac:dyDescent="0.25">
      <c r="A41" s="12" t="str">
        <f t="shared" si="13"/>
        <v>ВРУ-3 (ПР11-3067-21У3 С. II)</v>
      </c>
      <c r="B41" s="12" t="s">
        <v>11</v>
      </c>
      <c r="C41" s="18" t="s">
        <v>11</v>
      </c>
      <c r="D41" s="12" t="s">
        <v>11</v>
      </c>
      <c r="E41" s="12">
        <v>6.5</v>
      </c>
      <c r="F41" s="15">
        <v>100</v>
      </c>
      <c r="G41" s="15">
        <f>60*E41*F41</f>
        <v>39000</v>
      </c>
      <c r="H41" s="12">
        <f>60*E41</f>
        <v>390</v>
      </c>
      <c r="I41" s="12" t="s">
        <v>13</v>
      </c>
      <c r="J41" s="12" t="s">
        <v>11</v>
      </c>
      <c r="K41">
        <v>39000</v>
      </c>
    </row>
    <row r="42" spans="1:11" ht="30" customHeight="1" x14ac:dyDescent="0.25">
      <c r="A42" s="12" t="str">
        <f t="shared" si="13"/>
        <v>ВРУ-3 (ПР11-3067-21У3 С. II)</v>
      </c>
      <c r="B42" s="19"/>
      <c r="C42" s="20"/>
      <c r="D42" s="21"/>
      <c r="E42" s="23"/>
      <c r="F42" s="25"/>
      <c r="G42" s="24">
        <f ca="1">SUM(G34:G41)</f>
        <v>185251.19999999998</v>
      </c>
      <c r="H42" s="20"/>
      <c r="I42" s="22"/>
      <c r="J42" s="20"/>
      <c r="K42">
        <v>185251.19999999998</v>
      </c>
    </row>
    <row r="43" spans="1:11" ht="39.75" customHeight="1" x14ac:dyDescent="0.25">
      <c r="A43" s="5" t="str">
        <f>D43</f>
        <v>АВР-1 (АВР-Б-3-1G-125A)</v>
      </c>
      <c r="B43" s="6"/>
      <c r="C43" s="7"/>
      <c r="D43" s="6" t="s">
        <v>243</v>
      </c>
      <c r="E43" s="8"/>
      <c r="F43" s="8"/>
      <c r="G43" s="9"/>
      <c r="H43" s="10">
        <v>1</v>
      </c>
      <c r="I43" s="11" t="s">
        <v>7</v>
      </c>
      <c r="J43" s="6" t="s">
        <v>9</v>
      </c>
    </row>
    <row r="44" spans="1:11" ht="21" hidden="1" customHeight="1" x14ac:dyDescent="0.25">
      <c r="A44" s="12" t="str">
        <f>A43</f>
        <v>АВР-1 (АВР-Б-3-1G-125A)</v>
      </c>
      <c r="B44" s="13" t="s">
        <v>8</v>
      </c>
      <c r="C44" s="14" t="s">
        <v>239</v>
      </c>
      <c r="D44" s="12" t="s">
        <v>240</v>
      </c>
      <c r="E44" s="13">
        <v>38905</v>
      </c>
      <c r="F44" s="15">
        <f t="shared" ref="F44:F49" si="17">E44*0.6</f>
        <v>23343</v>
      </c>
      <c r="G44" s="15">
        <f>H44*F44</f>
        <v>23343</v>
      </c>
      <c r="H44" s="16">
        <v>1</v>
      </c>
      <c r="I44" s="17" t="s">
        <v>13</v>
      </c>
      <c r="J44" s="13" t="s">
        <v>16</v>
      </c>
      <c r="K44">
        <v>23343</v>
      </c>
    </row>
    <row r="45" spans="1:11" ht="21" hidden="1" customHeight="1" x14ac:dyDescent="0.25">
      <c r="A45" s="12" t="str">
        <f t="shared" ref="A45:A52" si="18">A44</f>
        <v>АВР-1 (АВР-Б-3-1G-125A)</v>
      </c>
      <c r="B45" s="13" t="s">
        <v>93</v>
      </c>
      <c r="C45" s="26" t="s">
        <v>68</v>
      </c>
      <c r="D45" s="12" t="s">
        <v>69</v>
      </c>
      <c r="E45" s="27">
        <v>204604</v>
      </c>
      <c r="F45" s="15">
        <f t="shared" si="17"/>
        <v>122762.4</v>
      </c>
      <c r="G45" s="15">
        <f>F45*H45</f>
        <v>245524.8</v>
      </c>
      <c r="H45" s="16">
        <v>2</v>
      </c>
      <c r="I45" s="17" t="s">
        <v>13</v>
      </c>
      <c r="J45" s="13" t="s">
        <v>17</v>
      </c>
      <c r="K45">
        <v>245524.8</v>
      </c>
    </row>
    <row r="46" spans="1:11" ht="21" hidden="1" customHeight="1" x14ac:dyDescent="0.25">
      <c r="A46" s="12" t="str">
        <f t="shared" si="18"/>
        <v>АВР-1 (АВР-Б-3-1G-125A)</v>
      </c>
      <c r="B46" s="13" t="s">
        <v>12</v>
      </c>
      <c r="C46" s="26" t="s">
        <v>220</v>
      </c>
      <c r="D46" s="12" t="s">
        <v>221</v>
      </c>
      <c r="E46" s="27">
        <v>5441</v>
      </c>
      <c r="F46" s="15">
        <f t="shared" si="17"/>
        <v>3264.6</v>
      </c>
      <c r="G46" s="15">
        <f>F46*H46</f>
        <v>9793.7999999999993</v>
      </c>
      <c r="H46" s="16">
        <v>3</v>
      </c>
      <c r="I46" s="17" t="s">
        <v>13</v>
      </c>
      <c r="J46" s="13" t="s">
        <v>17</v>
      </c>
      <c r="K46">
        <v>9793.7999999999993</v>
      </c>
    </row>
    <row r="47" spans="1:11" ht="21" hidden="1" customHeight="1" x14ac:dyDescent="0.25">
      <c r="A47" s="12" t="str">
        <f t="shared" si="18"/>
        <v>АВР-1 (АВР-Б-3-1G-125A)</v>
      </c>
      <c r="B47" s="13" t="s">
        <v>228</v>
      </c>
      <c r="C47" s="26" t="s">
        <v>222</v>
      </c>
      <c r="D47" s="12" t="s">
        <v>223</v>
      </c>
      <c r="E47" s="27">
        <v>571</v>
      </c>
      <c r="F47" s="15">
        <f t="shared" si="17"/>
        <v>342.59999999999997</v>
      </c>
      <c r="G47" s="15">
        <f>F47*H47</f>
        <v>1027.8</v>
      </c>
      <c r="H47" s="16">
        <v>3</v>
      </c>
      <c r="I47" s="17" t="s">
        <v>13</v>
      </c>
      <c r="J47" s="13" t="s">
        <v>17</v>
      </c>
      <c r="K47">
        <v>1027.8</v>
      </c>
    </row>
    <row r="48" spans="1:11" ht="21" hidden="1" customHeight="1" x14ac:dyDescent="0.25">
      <c r="A48" s="12" t="str">
        <f t="shared" si="18"/>
        <v>АВР-1 (АВР-Б-3-1G-125A)</v>
      </c>
      <c r="B48" s="13" t="s">
        <v>228</v>
      </c>
      <c r="C48" s="26" t="s">
        <v>224</v>
      </c>
      <c r="D48" s="12" t="s">
        <v>225</v>
      </c>
      <c r="E48" s="27">
        <v>589</v>
      </c>
      <c r="F48" s="15">
        <f t="shared" si="17"/>
        <v>353.4</v>
      </c>
      <c r="G48" s="15">
        <f>F48*H48</f>
        <v>1060.1999999999998</v>
      </c>
      <c r="H48" s="16">
        <v>3</v>
      </c>
      <c r="I48" s="17" t="s">
        <v>13</v>
      </c>
      <c r="J48" s="13" t="s">
        <v>17</v>
      </c>
      <c r="K48">
        <v>1060.1999999999998</v>
      </c>
    </row>
    <row r="49" spans="1:11" ht="21" hidden="1" customHeight="1" x14ac:dyDescent="0.25">
      <c r="A49" s="12" t="str">
        <f t="shared" si="18"/>
        <v>АВР-1 (АВР-Б-3-1G-125A)</v>
      </c>
      <c r="B49" s="13" t="s">
        <v>228</v>
      </c>
      <c r="C49" s="26" t="s">
        <v>226</v>
      </c>
      <c r="D49" s="12" t="s">
        <v>227</v>
      </c>
      <c r="E49" s="27">
        <v>571</v>
      </c>
      <c r="F49" s="15">
        <f t="shared" si="17"/>
        <v>342.59999999999997</v>
      </c>
      <c r="G49" s="15">
        <f>F49*H49</f>
        <v>1027.8</v>
      </c>
      <c r="H49" s="16">
        <v>3</v>
      </c>
      <c r="I49" s="17" t="s">
        <v>13</v>
      </c>
      <c r="J49" s="13" t="s">
        <v>17</v>
      </c>
      <c r="K49">
        <v>1027.8</v>
      </c>
    </row>
    <row r="50" spans="1:11" ht="24" hidden="1" customHeight="1" x14ac:dyDescent="0.25">
      <c r="A50" s="12" t="str">
        <f>A45</f>
        <v>АВР-1 (АВР-Б-3-1G-125A)</v>
      </c>
      <c r="B50" s="12" t="s">
        <v>10</v>
      </c>
      <c r="C50" s="18" t="s">
        <v>10</v>
      </c>
      <c r="D50" s="12" t="s">
        <v>10</v>
      </c>
      <c r="E50" s="12">
        <f ca="1">OFFSET(E50,1,2)</f>
        <v>48000</v>
      </c>
      <c r="F50" s="15">
        <f ca="1">E50</f>
        <v>48000</v>
      </c>
      <c r="G50" s="15">
        <f t="shared" ref="G50" ca="1" si="19">F50*H50</f>
        <v>48000</v>
      </c>
      <c r="H50" s="12">
        <v>1</v>
      </c>
      <c r="I50" s="12" t="s">
        <v>13</v>
      </c>
      <c r="J50" s="12" t="s">
        <v>10</v>
      </c>
      <c r="K50">
        <v>48000</v>
      </c>
    </row>
    <row r="51" spans="1:11" ht="21" hidden="1" customHeight="1" x14ac:dyDescent="0.25">
      <c r="A51" s="12" t="str">
        <f t="shared" si="18"/>
        <v>АВР-1 (АВР-Б-3-1G-125A)</v>
      </c>
      <c r="B51" s="12" t="s">
        <v>11</v>
      </c>
      <c r="C51" s="18" t="s">
        <v>11</v>
      </c>
      <c r="D51" s="12" t="s">
        <v>11</v>
      </c>
      <c r="E51" s="12">
        <v>8</v>
      </c>
      <c r="F51" s="15">
        <v>100</v>
      </c>
      <c r="G51" s="15">
        <f>60*E51*F51</f>
        <v>48000</v>
      </c>
      <c r="H51" s="12">
        <f>60*E51</f>
        <v>480</v>
      </c>
      <c r="I51" s="12" t="s">
        <v>13</v>
      </c>
      <c r="J51" s="12" t="s">
        <v>11</v>
      </c>
      <c r="K51">
        <v>48000</v>
      </c>
    </row>
    <row r="52" spans="1:11" ht="30" customHeight="1" x14ac:dyDescent="0.25">
      <c r="A52" s="12" t="str">
        <f t="shared" si="18"/>
        <v>АВР-1 (АВР-Б-3-1G-125A)</v>
      </c>
      <c r="B52" s="19"/>
      <c r="C52" s="20"/>
      <c r="D52" s="21"/>
      <c r="E52" s="23"/>
      <c r="F52" s="25"/>
      <c r="G52" s="24">
        <f ca="1">SUM(G44:G51)</f>
        <v>377777.39999999997</v>
      </c>
      <c r="H52" s="20"/>
      <c r="I52" s="22"/>
      <c r="J52" s="20"/>
      <c r="K52">
        <v>377777.39999999997</v>
      </c>
    </row>
    <row r="53" spans="1:11" ht="39.75" customHeight="1" x14ac:dyDescent="0.25">
      <c r="A53" s="5" t="str">
        <f>D53</f>
        <v>ЩАВР-1</v>
      </c>
      <c r="B53" s="6"/>
      <c r="C53" s="7"/>
      <c r="D53" s="6" t="s">
        <v>209</v>
      </c>
      <c r="E53" s="8"/>
      <c r="F53" s="8"/>
      <c r="G53" s="9"/>
      <c r="H53" s="10">
        <v>1</v>
      </c>
      <c r="I53" s="11" t="s">
        <v>7</v>
      </c>
      <c r="J53" s="6" t="s">
        <v>9</v>
      </c>
    </row>
    <row r="54" spans="1:11" ht="21" hidden="1" customHeight="1" x14ac:dyDescent="0.25">
      <c r="A54" s="12" t="str">
        <f>A53</f>
        <v>ЩАВР-1</v>
      </c>
      <c r="B54" s="13" t="s">
        <v>8</v>
      </c>
      <c r="C54" s="14" t="s">
        <v>271</v>
      </c>
      <c r="D54" s="12" t="s">
        <v>272</v>
      </c>
      <c r="E54" s="13">
        <v>72500</v>
      </c>
      <c r="F54" s="15">
        <f>E54*0.6</f>
        <v>43500</v>
      </c>
      <c r="G54" s="15">
        <f>H54*F54</f>
        <v>43500</v>
      </c>
      <c r="H54" s="16">
        <v>1</v>
      </c>
      <c r="I54" s="17" t="s">
        <v>13</v>
      </c>
      <c r="J54" s="13" t="s">
        <v>16</v>
      </c>
      <c r="K54">
        <v>43500</v>
      </c>
    </row>
    <row r="55" spans="1:11" ht="21" hidden="1" customHeight="1" x14ac:dyDescent="0.25">
      <c r="A55" s="12" t="str">
        <f t="shared" ref="A55:A64" si="20">A54</f>
        <v>ЩАВР-1</v>
      </c>
      <c r="B55" s="13" t="s">
        <v>34</v>
      </c>
      <c r="C55" s="26" t="s">
        <v>70</v>
      </c>
      <c r="D55" s="12" t="s">
        <v>71</v>
      </c>
      <c r="E55" s="27">
        <v>4886</v>
      </c>
      <c r="F55" s="15">
        <f>E55*0.6</f>
        <v>2931.6</v>
      </c>
      <c r="G55" s="15">
        <f>F55*H55</f>
        <v>2931.6</v>
      </c>
      <c r="H55" s="16">
        <v>1</v>
      </c>
      <c r="I55" s="17" t="s">
        <v>13</v>
      </c>
      <c r="J55" s="13" t="s">
        <v>17</v>
      </c>
      <c r="K55">
        <v>2931.6</v>
      </c>
    </row>
    <row r="56" spans="1:11" ht="21" hidden="1" customHeight="1" x14ac:dyDescent="0.25">
      <c r="A56" s="12" t="str">
        <f t="shared" si="20"/>
        <v>ЩАВР-1</v>
      </c>
      <c r="B56" s="13" t="s">
        <v>12</v>
      </c>
      <c r="C56" s="14" t="s">
        <v>25</v>
      </c>
      <c r="D56" s="12" t="s">
        <v>26</v>
      </c>
      <c r="E56" s="13">
        <v>3641</v>
      </c>
      <c r="F56" s="15">
        <f t="shared" ref="F56:F58" si="21">E56*0.6</f>
        <v>2184.6</v>
      </c>
      <c r="G56" s="15">
        <f t="shared" ref="G56:G58" si="22">F56*H56</f>
        <v>2184.6</v>
      </c>
      <c r="H56" s="16">
        <v>1</v>
      </c>
      <c r="I56" s="17" t="s">
        <v>13</v>
      </c>
      <c r="J56" s="13" t="s">
        <v>17</v>
      </c>
      <c r="K56">
        <v>2184.6</v>
      </c>
    </row>
    <row r="57" spans="1:11" ht="21" hidden="1" customHeight="1" x14ac:dyDescent="0.25">
      <c r="A57" s="12" t="str">
        <f t="shared" si="20"/>
        <v>ЩАВР-1</v>
      </c>
      <c r="B57" s="13" t="s">
        <v>12</v>
      </c>
      <c r="C57" s="14" t="s">
        <v>19</v>
      </c>
      <c r="D57" s="12" t="s">
        <v>20</v>
      </c>
      <c r="E57" s="13">
        <v>783</v>
      </c>
      <c r="F57" s="15">
        <f t="shared" si="21"/>
        <v>469.79999999999995</v>
      </c>
      <c r="G57" s="15">
        <f t="shared" si="22"/>
        <v>469.79999999999995</v>
      </c>
      <c r="H57" s="16">
        <v>1</v>
      </c>
      <c r="I57" s="17" t="s">
        <v>13</v>
      </c>
      <c r="J57" s="13" t="s">
        <v>17</v>
      </c>
      <c r="K57">
        <v>469.79999999999995</v>
      </c>
    </row>
    <row r="58" spans="1:11" ht="21" hidden="1" customHeight="1" x14ac:dyDescent="0.25">
      <c r="A58" s="12" t="str">
        <f t="shared" si="20"/>
        <v>ЩАВР-1</v>
      </c>
      <c r="B58" s="13" t="s">
        <v>12</v>
      </c>
      <c r="C58" s="14" t="s">
        <v>74</v>
      </c>
      <c r="D58" s="12" t="s">
        <v>75</v>
      </c>
      <c r="E58" s="13">
        <v>2499</v>
      </c>
      <c r="F58" s="15">
        <f t="shared" si="21"/>
        <v>1499.3999999999999</v>
      </c>
      <c r="G58" s="15">
        <f t="shared" si="22"/>
        <v>14993.999999999998</v>
      </c>
      <c r="H58" s="16">
        <v>10</v>
      </c>
      <c r="I58" s="17" t="s">
        <v>13</v>
      </c>
      <c r="J58" s="13" t="s">
        <v>17</v>
      </c>
      <c r="K58">
        <v>14993.999999999998</v>
      </c>
    </row>
    <row r="59" spans="1:11" ht="21" hidden="1" customHeight="1" x14ac:dyDescent="0.25">
      <c r="A59" s="12" t="str">
        <f t="shared" si="20"/>
        <v>ЩАВР-1</v>
      </c>
      <c r="B59" s="13" t="s">
        <v>12</v>
      </c>
      <c r="C59" s="14" t="s">
        <v>72</v>
      </c>
      <c r="D59" s="12" t="s">
        <v>73</v>
      </c>
      <c r="E59" s="13">
        <v>796</v>
      </c>
      <c r="F59" s="15">
        <f>E59*0.6</f>
        <v>477.59999999999997</v>
      </c>
      <c r="G59" s="15">
        <f>F59*H59</f>
        <v>5731.2</v>
      </c>
      <c r="H59" s="16">
        <v>12</v>
      </c>
      <c r="I59" s="17" t="s">
        <v>13</v>
      </c>
      <c r="J59" s="13" t="s">
        <v>17</v>
      </c>
      <c r="K59">
        <v>5731.2</v>
      </c>
    </row>
    <row r="60" spans="1:11" ht="21" hidden="1" customHeight="1" x14ac:dyDescent="0.25">
      <c r="A60" s="12" t="str">
        <f t="shared" si="20"/>
        <v>ЩАВР-1</v>
      </c>
      <c r="B60" s="13" t="s">
        <v>33</v>
      </c>
      <c r="C60" s="14" t="s">
        <v>201</v>
      </c>
      <c r="D60" s="12" t="s">
        <v>202</v>
      </c>
      <c r="E60" s="13">
        <v>6500</v>
      </c>
      <c r="F60" s="15">
        <f>E60</f>
        <v>6500</v>
      </c>
      <c r="G60" s="15">
        <f>F60*H60</f>
        <v>19500</v>
      </c>
      <c r="H60" s="16">
        <v>3</v>
      </c>
      <c r="I60" s="17" t="s">
        <v>13</v>
      </c>
      <c r="J60" s="13" t="s">
        <v>32</v>
      </c>
      <c r="K60">
        <v>19500</v>
      </c>
    </row>
    <row r="61" spans="1:11" ht="22.5" hidden="1" customHeight="1" x14ac:dyDescent="0.25">
      <c r="A61" s="12" t="str">
        <f>A59</f>
        <v>ЩАВР-1</v>
      </c>
      <c r="B61" s="13" t="s">
        <v>18</v>
      </c>
      <c r="C61" s="14" t="s">
        <v>229</v>
      </c>
      <c r="D61" s="12" t="s">
        <v>230</v>
      </c>
      <c r="E61" s="13">
        <v>39100</v>
      </c>
      <c r="F61" s="15">
        <f>E61</f>
        <v>39100</v>
      </c>
      <c r="G61" s="15">
        <f t="shared" ref="G61" si="23">F61*H61</f>
        <v>39100</v>
      </c>
      <c r="H61" s="16">
        <v>1</v>
      </c>
      <c r="I61" s="17" t="s">
        <v>13</v>
      </c>
      <c r="J61" s="13" t="s">
        <v>32</v>
      </c>
      <c r="K61">
        <v>39100</v>
      </c>
    </row>
    <row r="62" spans="1:11" ht="24" hidden="1" customHeight="1" x14ac:dyDescent="0.25">
      <c r="A62" s="12" t="str">
        <f t="shared" si="20"/>
        <v>ЩАВР-1</v>
      </c>
      <c r="B62" s="12" t="s">
        <v>10</v>
      </c>
      <c r="C62" s="18" t="s">
        <v>10</v>
      </c>
      <c r="D62" s="12" t="s">
        <v>10</v>
      </c>
      <c r="E62" s="12">
        <f ca="1">OFFSET(E62,1,2)</f>
        <v>24000</v>
      </c>
      <c r="F62" s="15">
        <f ca="1">E62</f>
        <v>24000</v>
      </c>
      <c r="G62" s="15">
        <f t="shared" ref="G62" ca="1" si="24">F62*H62</f>
        <v>24000</v>
      </c>
      <c r="H62" s="12">
        <v>1</v>
      </c>
      <c r="I62" s="12" t="s">
        <v>13</v>
      </c>
      <c r="J62" s="12" t="s">
        <v>10</v>
      </c>
      <c r="K62">
        <v>24000</v>
      </c>
    </row>
    <row r="63" spans="1:11" ht="21" hidden="1" customHeight="1" x14ac:dyDescent="0.25">
      <c r="A63" s="12" t="str">
        <f t="shared" si="20"/>
        <v>ЩАВР-1</v>
      </c>
      <c r="B63" s="12" t="s">
        <v>11</v>
      </c>
      <c r="C63" s="18" t="s">
        <v>11</v>
      </c>
      <c r="D63" s="12" t="s">
        <v>11</v>
      </c>
      <c r="E63" s="12">
        <v>4</v>
      </c>
      <c r="F63" s="15">
        <v>100</v>
      </c>
      <c r="G63" s="15">
        <f>60*E63*F63</f>
        <v>24000</v>
      </c>
      <c r="H63" s="12">
        <f>60*E63</f>
        <v>240</v>
      </c>
      <c r="I63" s="12" t="s">
        <v>13</v>
      </c>
      <c r="J63" s="12" t="s">
        <v>11</v>
      </c>
      <c r="K63">
        <v>24000</v>
      </c>
    </row>
    <row r="64" spans="1:11" ht="30" customHeight="1" x14ac:dyDescent="0.25">
      <c r="A64" s="12" t="str">
        <f t="shared" si="20"/>
        <v>ЩАВР-1</v>
      </c>
      <c r="B64" s="19"/>
      <c r="C64" s="20"/>
      <c r="D64" s="21"/>
      <c r="E64" s="23"/>
      <c r="F64" s="25"/>
      <c r="G64" s="24">
        <f ca="1">SUM(G54:G63)</f>
        <v>176411.2</v>
      </c>
      <c r="H64" s="20"/>
      <c r="I64" s="22"/>
      <c r="J64" s="20"/>
      <c r="K64">
        <v>176411.2</v>
      </c>
    </row>
    <row r="65" spans="1:11" ht="39.75" customHeight="1" x14ac:dyDescent="0.25">
      <c r="A65" s="5" t="str">
        <f>D65</f>
        <v>ВРУ-4  (ВРУ1-13-20 УХЛ4)</v>
      </c>
      <c r="B65" s="6"/>
      <c r="C65" s="7"/>
      <c r="D65" s="6" t="s">
        <v>248</v>
      </c>
      <c r="E65" s="8"/>
      <c r="F65" s="8"/>
      <c r="G65" s="9"/>
      <c r="H65" s="10">
        <v>1</v>
      </c>
      <c r="I65" s="11" t="s">
        <v>7</v>
      </c>
      <c r="J65" s="6" t="s">
        <v>9</v>
      </c>
    </row>
    <row r="66" spans="1:11" ht="21" hidden="1" customHeight="1" x14ac:dyDescent="0.25">
      <c r="A66" s="12" t="str">
        <f>A65</f>
        <v>ВРУ-4  (ВРУ1-13-20 УХЛ4)</v>
      </c>
      <c r="B66" s="13" t="s">
        <v>8</v>
      </c>
      <c r="C66" s="14" t="s">
        <v>237</v>
      </c>
      <c r="D66" s="12" t="s">
        <v>238</v>
      </c>
      <c r="E66" s="13">
        <v>160000</v>
      </c>
      <c r="F66" s="15">
        <f>E66*0.6</f>
        <v>96000</v>
      </c>
      <c r="G66" s="15">
        <f>H66*F66</f>
        <v>96000</v>
      </c>
      <c r="H66" s="16">
        <v>1</v>
      </c>
      <c r="I66" s="17" t="s">
        <v>13</v>
      </c>
      <c r="J66" s="13" t="s">
        <v>16</v>
      </c>
      <c r="K66">
        <v>96000</v>
      </c>
    </row>
    <row r="67" spans="1:11" ht="21" hidden="1" customHeight="1" x14ac:dyDescent="0.25">
      <c r="A67" s="12" t="str">
        <f t="shared" ref="A67:A80" si="25">A66</f>
        <v>ВРУ-4  (ВРУ1-13-20 УХЛ4)</v>
      </c>
      <c r="B67" s="13" t="s">
        <v>33</v>
      </c>
      <c r="C67" s="14" t="s">
        <v>203</v>
      </c>
      <c r="D67" s="12" t="s">
        <v>204</v>
      </c>
      <c r="E67" s="13">
        <v>5850</v>
      </c>
      <c r="F67" s="15">
        <f t="shared" ref="F67:F69" si="26">E67</f>
        <v>5850</v>
      </c>
      <c r="G67" s="15">
        <f>F67*H67</f>
        <v>17550</v>
      </c>
      <c r="H67" s="16">
        <v>3</v>
      </c>
      <c r="I67" s="17" t="s">
        <v>13</v>
      </c>
      <c r="J67" s="13" t="s">
        <v>32</v>
      </c>
      <c r="K67">
        <v>17550</v>
      </c>
    </row>
    <row r="68" spans="1:11" ht="21" hidden="1" customHeight="1" x14ac:dyDescent="0.25">
      <c r="A68" s="12" t="str">
        <f t="shared" si="25"/>
        <v>ВРУ-4  (ВРУ1-13-20 УХЛ4)</v>
      </c>
      <c r="B68" s="13" t="s">
        <v>33</v>
      </c>
      <c r="C68" s="14" t="s">
        <v>205</v>
      </c>
      <c r="D68" s="12" t="s">
        <v>206</v>
      </c>
      <c r="E68" s="13">
        <v>5850</v>
      </c>
      <c r="F68" s="15">
        <f t="shared" si="26"/>
        <v>5850</v>
      </c>
      <c r="G68" s="15">
        <f>F68*H68</f>
        <v>17550</v>
      </c>
      <c r="H68" s="16">
        <v>3</v>
      </c>
      <c r="I68" s="17" t="s">
        <v>13</v>
      </c>
      <c r="J68" s="13" t="s">
        <v>32</v>
      </c>
      <c r="K68">
        <v>17550</v>
      </c>
    </row>
    <row r="69" spans="1:11" ht="21" hidden="1" customHeight="1" x14ac:dyDescent="0.25">
      <c r="A69" s="12" t="str">
        <f>A67</f>
        <v>ВРУ-4  (ВРУ1-13-20 УХЛ4)</v>
      </c>
      <c r="B69" s="13" t="s">
        <v>52</v>
      </c>
      <c r="C69" s="14" t="s">
        <v>76</v>
      </c>
      <c r="D69" s="12" t="s">
        <v>77</v>
      </c>
      <c r="E69" s="13">
        <v>22968</v>
      </c>
      <c r="F69" s="15">
        <f t="shared" si="26"/>
        <v>22968</v>
      </c>
      <c r="G69" s="15">
        <f t="shared" ref="G69:G73" si="27">F69*H69</f>
        <v>45936</v>
      </c>
      <c r="H69" s="16">
        <v>2</v>
      </c>
      <c r="I69" s="17" t="s">
        <v>13</v>
      </c>
      <c r="J69" s="13" t="s">
        <v>32</v>
      </c>
      <c r="K69">
        <v>45936</v>
      </c>
    </row>
    <row r="70" spans="1:11" ht="21" hidden="1" customHeight="1" x14ac:dyDescent="0.25">
      <c r="A70" s="12" t="str">
        <f>A66</f>
        <v>ВРУ-4  (ВРУ1-13-20 УХЛ4)</v>
      </c>
      <c r="B70" s="13" t="s">
        <v>53</v>
      </c>
      <c r="C70" s="14" t="s">
        <v>78</v>
      </c>
      <c r="D70" s="12" t="s">
        <v>79</v>
      </c>
      <c r="E70" s="13">
        <v>3302</v>
      </c>
      <c r="F70" s="15">
        <f t="shared" ref="F70:F71" si="28">E70*0.6</f>
        <v>1981.1999999999998</v>
      </c>
      <c r="G70" s="15">
        <f t="shared" ref="G70:G71" si="29">F70*H70</f>
        <v>5943.5999999999995</v>
      </c>
      <c r="H70" s="16">
        <v>3</v>
      </c>
      <c r="I70" s="17" t="s">
        <v>13</v>
      </c>
      <c r="J70" s="13" t="s">
        <v>17</v>
      </c>
      <c r="K70">
        <v>5943.5999999999995</v>
      </c>
    </row>
    <row r="71" spans="1:11" ht="21" hidden="1" customHeight="1" x14ac:dyDescent="0.25">
      <c r="A71" s="12" t="str">
        <f t="shared" ref="A71" si="30">A70</f>
        <v>ВРУ-4  (ВРУ1-13-20 УХЛ4)</v>
      </c>
      <c r="B71" s="13" t="s">
        <v>53</v>
      </c>
      <c r="C71" s="14" t="s">
        <v>80</v>
      </c>
      <c r="D71" s="12" t="s">
        <v>81</v>
      </c>
      <c r="E71" s="13">
        <v>4750</v>
      </c>
      <c r="F71" s="15">
        <f t="shared" si="28"/>
        <v>2850</v>
      </c>
      <c r="G71" s="15">
        <f t="shared" si="29"/>
        <v>8550</v>
      </c>
      <c r="H71" s="16">
        <v>3</v>
      </c>
      <c r="I71" s="17" t="s">
        <v>13</v>
      </c>
      <c r="J71" s="13" t="s">
        <v>17</v>
      </c>
      <c r="K71">
        <v>8550</v>
      </c>
    </row>
    <row r="72" spans="1:11" ht="21" hidden="1" customHeight="1" x14ac:dyDescent="0.25">
      <c r="A72" s="12" t="str">
        <f>A69</f>
        <v>ВРУ-4  (ВРУ1-13-20 УХЛ4)</v>
      </c>
      <c r="B72" s="13" t="s">
        <v>53</v>
      </c>
      <c r="C72" s="14" t="s">
        <v>48</v>
      </c>
      <c r="D72" s="12" t="s">
        <v>49</v>
      </c>
      <c r="E72" s="13">
        <v>4932</v>
      </c>
      <c r="F72" s="15">
        <f t="shared" ref="F72:F73" si="31">E72*0.6</f>
        <v>2959.2</v>
      </c>
      <c r="G72" s="15">
        <f t="shared" si="27"/>
        <v>8877.5999999999985</v>
      </c>
      <c r="H72" s="16">
        <v>3</v>
      </c>
      <c r="I72" s="17" t="s">
        <v>13</v>
      </c>
      <c r="J72" s="13" t="s">
        <v>17</v>
      </c>
      <c r="K72">
        <v>8877.5999999999985</v>
      </c>
    </row>
    <row r="73" spans="1:11" ht="21" hidden="1" customHeight="1" x14ac:dyDescent="0.25">
      <c r="A73" s="12" t="str">
        <f t="shared" si="25"/>
        <v>ВРУ-4  (ВРУ1-13-20 УХЛ4)</v>
      </c>
      <c r="B73" s="13" t="s">
        <v>53</v>
      </c>
      <c r="C73" s="14" t="s">
        <v>50</v>
      </c>
      <c r="D73" s="12" t="s">
        <v>51</v>
      </c>
      <c r="E73" s="13">
        <v>7443</v>
      </c>
      <c r="F73" s="15">
        <f t="shared" si="31"/>
        <v>4465.8</v>
      </c>
      <c r="G73" s="15">
        <f t="shared" si="27"/>
        <v>13397.400000000001</v>
      </c>
      <c r="H73" s="16">
        <v>3</v>
      </c>
      <c r="I73" s="17" t="s">
        <v>13</v>
      </c>
      <c r="J73" s="13" t="s">
        <v>17</v>
      </c>
      <c r="K73">
        <v>13397.400000000001</v>
      </c>
    </row>
    <row r="74" spans="1:11" ht="21" hidden="1" customHeight="1" x14ac:dyDescent="0.25">
      <c r="A74" s="12" t="str">
        <f t="shared" si="25"/>
        <v>ВРУ-4  (ВРУ1-13-20 УХЛ4)</v>
      </c>
      <c r="B74" s="13" t="s">
        <v>12</v>
      </c>
      <c r="C74" s="14" t="s">
        <v>21</v>
      </c>
      <c r="D74" s="12" t="s">
        <v>22</v>
      </c>
      <c r="E74" s="13">
        <v>975</v>
      </c>
      <c r="F74" s="15">
        <f>E74*0.6</f>
        <v>585</v>
      </c>
      <c r="G74" s="15">
        <f>F74*H74</f>
        <v>1170</v>
      </c>
      <c r="H74" s="16">
        <v>2</v>
      </c>
      <c r="I74" s="17" t="s">
        <v>13</v>
      </c>
      <c r="J74" s="13" t="s">
        <v>17</v>
      </c>
      <c r="K74">
        <v>1170</v>
      </c>
    </row>
    <row r="75" spans="1:11" ht="22.5" hidden="1" customHeight="1" x14ac:dyDescent="0.25">
      <c r="A75" s="12" t="str">
        <f t="shared" si="25"/>
        <v>ВРУ-4  (ВРУ1-13-20 УХЛ4)</v>
      </c>
      <c r="B75" s="13" t="s">
        <v>18</v>
      </c>
      <c r="C75" s="14" t="s">
        <v>244</v>
      </c>
      <c r="D75" s="12" t="s">
        <v>245</v>
      </c>
      <c r="E75" s="13">
        <v>90000</v>
      </c>
      <c r="F75" s="15">
        <f>E75</f>
        <v>90000</v>
      </c>
      <c r="G75" s="15">
        <f t="shared" ref="G75:G78" si="32">F75*H75</f>
        <v>180000</v>
      </c>
      <c r="H75" s="16">
        <v>2</v>
      </c>
      <c r="I75" s="17" t="s">
        <v>13</v>
      </c>
      <c r="J75" s="13" t="s">
        <v>32</v>
      </c>
      <c r="K75">
        <v>180000</v>
      </c>
    </row>
    <row r="76" spans="1:11" ht="21" hidden="1" customHeight="1" x14ac:dyDescent="0.25">
      <c r="A76" s="12" t="str">
        <f t="shared" si="25"/>
        <v>ВРУ-4  (ВРУ1-13-20 УХЛ4)</v>
      </c>
      <c r="B76" s="13" t="s">
        <v>54</v>
      </c>
      <c r="C76" s="14"/>
      <c r="D76" s="12" t="s">
        <v>46</v>
      </c>
      <c r="E76" s="13">
        <v>4500</v>
      </c>
      <c r="F76" s="15">
        <f t="shared" ref="F76" si="33">E76*0.6</f>
        <v>2700</v>
      </c>
      <c r="G76" s="15">
        <f t="shared" si="32"/>
        <v>16200</v>
      </c>
      <c r="H76" s="16">
        <v>6</v>
      </c>
      <c r="I76" s="17" t="s">
        <v>13</v>
      </c>
      <c r="J76" s="13" t="s">
        <v>32</v>
      </c>
      <c r="K76">
        <v>16200</v>
      </c>
    </row>
    <row r="77" spans="1:11" ht="21" hidden="1" customHeight="1" x14ac:dyDescent="0.25">
      <c r="A77" s="12" t="str">
        <f t="shared" si="25"/>
        <v>ВРУ-4  (ВРУ1-13-20 УХЛ4)</v>
      </c>
      <c r="B77" s="13" t="s">
        <v>47</v>
      </c>
      <c r="C77" s="14"/>
      <c r="D77" s="12" t="s">
        <v>47</v>
      </c>
      <c r="E77" s="13">
        <v>1000</v>
      </c>
      <c r="F77" s="15">
        <f>E77</f>
        <v>1000</v>
      </c>
      <c r="G77" s="15">
        <f t="shared" si="32"/>
        <v>1000</v>
      </c>
      <c r="H77" s="16">
        <v>1</v>
      </c>
      <c r="I77" s="17" t="s">
        <v>13</v>
      </c>
      <c r="J77" s="13" t="s">
        <v>32</v>
      </c>
      <c r="K77">
        <v>1000</v>
      </c>
    </row>
    <row r="78" spans="1:11" ht="24" hidden="1" customHeight="1" x14ac:dyDescent="0.25">
      <c r="A78" s="12" t="str">
        <f t="shared" si="25"/>
        <v>ВРУ-4  (ВРУ1-13-20 УХЛ4)</v>
      </c>
      <c r="B78" s="12" t="s">
        <v>10</v>
      </c>
      <c r="C78" s="18" t="s">
        <v>10</v>
      </c>
      <c r="D78" s="12" t="s">
        <v>10</v>
      </c>
      <c r="E78" s="12">
        <f ca="1">OFFSET(E78,1,2)</f>
        <v>60000</v>
      </c>
      <c r="F78" s="15">
        <f ca="1">E78</f>
        <v>60000</v>
      </c>
      <c r="G78" s="15">
        <f t="shared" ca="1" si="32"/>
        <v>60000</v>
      </c>
      <c r="H78" s="12">
        <v>1</v>
      </c>
      <c r="I78" s="12" t="s">
        <v>13</v>
      </c>
      <c r="J78" s="12" t="s">
        <v>10</v>
      </c>
      <c r="K78">
        <v>60000</v>
      </c>
    </row>
    <row r="79" spans="1:11" ht="21" hidden="1" customHeight="1" x14ac:dyDescent="0.25">
      <c r="A79" s="12" t="str">
        <f t="shared" si="25"/>
        <v>ВРУ-4  (ВРУ1-13-20 УХЛ4)</v>
      </c>
      <c r="B79" s="12" t="s">
        <v>11</v>
      </c>
      <c r="C79" s="18" t="s">
        <v>11</v>
      </c>
      <c r="D79" s="12" t="s">
        <v>11</v>
      </c>
      <c r="E79" s="12">
        <v>10</v>
      </c>
      <c r="F79" s="15">
        <v>100</v>
      </c>
      <c r="G79" s="15">
        <f>60*E79*F79</f>
        <v>60000</v>
      </c>
      <c r="H79" s="12">
        <f>60*E79</f>
        <v>600</v>
      </c>
      <c r="I79" s="12" t="s">
        <v>13</v>
      </c>
      <c r="J79" s="12" t="s">
        <v>11</v>
      </c>
      <c r="K79">
        <v>60000</v>
      </c>
    </row>
    <row r="80" spans="1:11" ht="30" customHeight="1" x14ac:dyDescent="0.25">
      <c r="A80" s="12" t="str">
        <f t="shared" si="25"/>
        <v>ВРУ-4  (ВРУ1-13-20 УХЛ4)</v>
      </c>
      <c r="B80" s="19"/>
      <c r="C80" s="20"/>
      <c r="D80" s="21"/>
      <c r="E80" s="23"/>
      <c r="F80" s="25"/>
      <c r="G80" s="24">
        <f ca="1">SUM(G66:G79)</f>
        <v>532174.6</v>
      </c>
      <c r="H80" s="20"/>
      <c r="I80" s="22"/>
      <c r="J80" s="20"/>
      <c r="K80">
        <v>532174.6</v>
      </c>
    </row>
    <row r="81" spans="1:11" ht="39.75" customHeight="1" x14ac:dyDescent="0.25">
      <c r="A81" s="5" t="str">
        <f>D81</f>
        <v>ЯВЗ-3, ЯВЗ-4, ЯВЗ-5(250A)</v>
      </c>
      <c r="B81" s="6"/>
      <c r="C81" s="7"/>
      <c r="D81" s="6" t="s">
        <v>261</v>
      </c>
      <c r="E81" s="8"/>
      <c r="F81" s="8"/>
      <c r="G81" s="9"/>
      <c r="H81" s="10">
        <v>3</v>
      </c>
      <c r="I81" s="11" t="s">
        <v>7</v>
      </c>
      <c r="J81" s="6" t="s">
        <v>9</v>
      </c>
    </row>
    <row r="82" spans="1:11" ht="21" hidden="1" customHeight="1" x14ac:dyDescent="0.25">
      <c r="A82" s="12" t="str">
        <f>A81</f>
        <v>ЯВЗ-3, ЯВЗ-4, ЯВЗ-5(250A)</v>
      </c>
      <c r="B82" s="13" t="s">
        <v>8</v>
      </c>
      <c r="C82" s="14" t="s">
        <v>269</v>
      </c>
      <c r="D82" s="12" t="s">
        <v>270</v>
      </c>
      <c r="E82" s="13">
        <v>67000</v>
      </c>
      <c r="F82" s="15">
        <f>E82*0.6</f>
        <v>40200</v>
      </c>
      <c r="G82" s="15">
        <f>H82*F82</f>
        <v>40200</v>
      </c>
      <c r="H82" s="16">
        <v>1</v>
      </c>
      <c r="I82" s="17" t="s">
        <v>13</v>
      </c>
      <c r="J82" s="13" t="s">
        <v>16</v>
      </c>
      <c r="K82">
        <v>40200</v>
      </c>
    </row>
    <row r="83" spans="1:11" ht="21" hidden="1" customHeight="1" x14ac:dyDescent="0.25">
      <c r="A83" s="12" t="str">
        <f t="shared" ref="A83:A88" si="34">A82</f>
        <v>ЯВЗ-3, ЯВЗ-4, ЯВЗ-5(250A)</v>
      </c>
      <c r="B83" s="13" t="s">
        <v>52</v>
      </c>
      <c r="C83" s="14" t="s">
        <v>82</v>
      </c>
      <c r="D83" s="12" t="s">
        <v>83</v>
      </c>
      <c r="E83" s="13">
        <v>17175</v>
      </c>
      <c r="F83" s="15">
        <f>E83</f>
        <v>17175</v>
      </c>
      <c r="G83" s="15">
        <f t="shared" ref="G83:G85" si="35">F83*H83</f>
        <v>17175</v>
      </c>
      <c r="H83" s="16">
        <v>1</v>
      </c>
      <c r="I83" s="17" t="s">
        <v>13</v>
      </c>
      <c r="J83" s="13" t="s">
        <v>32</v>
      </c>
      <c r="K83">
        <v>17175</v>
      </c>
    </row>
    <row r="84" spans="1:11" ht="21" hidden="1" customHeight="1" x14ac:dyDescent="0.25">
      <c r="A84" s="12" t="str">
        <f t="shared" si="34"/>
        <v>ЯВЗ-3, ЯВЗ-4, ЯВЗ-5(250A)</v>
      </c>
      <c r="B84" s="13" t="s">
        <v>53</v>
      </c>
      <c r="C84" s="14" t="s">
        <v>48</v>
      </c>
      <c r="D84" s="12" t="s">
        <v>49</v>
      </c>
      <c r="E84" s="13">
        <v>4932</v>
      </c>
      <c r="F84" s="15">
        <f t="shared" ref="F84:F85" si="36">E84*0.6</f>
        <v>2959.2</v>
      </c>
      <c r="G84" s="15">
        <f t="shared" si="35"/>
        <v>8877.5999999999985</v>
      </c>
      <c r="H84" s="16">
        <v>3</v>
      </c>
      <c r="I84" s="17" t="s">
        <v>13</v>
      </c>
      <c r="J84" s="13" t="s">
        <v>17</v>
      </c>
      <c r="K84">
        <v>8877.5999999999985</v>
      </c>
    </row>
    <row r="85" spans="1:11" ht="21" hidden="1" customHeight="1" x14ac:dyDescent="0.25">
      <c r="A85" s="12" t="str">
        <f t="shared" si="34"/>
        <v>ЯВЗ-3, ЯВЗ-4, ЯВЗ-5(250A)</v>
      </c>
      <c r="B85" s="13" t="s">
        <v>53</v>
      </c>
      <c r="C85" s="14" t="s">
        <v>50</v>
      </c>
      <c r="D85" s="12" t="s">
        <v>51</v>
      </c>
      <c r="E85" s="13">
        <v>7443</v>
      </c>
      <c r="F85" s="15">
        <f t="shared" si="36"/>
        <v>4465.8</v>
      </c>
      <c r="G85" s="15">
        <f t="shared" si="35"/>
        <v>13397.400000000001</v>
      </c>
      <c r="H85" s="16">
        <v>3</v>
      </c>
      <c r="I85" s="17" t="s">
        <v>13</v>
      </c>
      <c r="J85" s="13" t="s">
        <v>17</v>
      </c>
      <c r="K85">
        <v>13397.400000000001</v>
      </c>
    </row>
    <row r="86" spans="1:11" ht="24" hidden="1" customHeight="1" x14ac:dyDescent="0.25">
      <c r="A86" s="12" t="str">
        <f t="shared" si="34"/>
        <v>ЯВЗ-3, ЯВЗ-4, ЯВЗ-5(250A)</v>
      </c>
      <c r="B86" s="12" t="s">
        <v>10</v>
      </c>
      <c r="C86" s="18" t="s">
        <v>10</v>
      </c>
      <c r="D86" s="12" t="s">
        <v>10</v>
      </c>
      <c r="E86" s="12">
        <f ca="1">OFFSET(E86,1,2)</f>
        <v>36000</v>
      </c>
      <c r="F86" s="15">
        <f ca="1">E86</f>
        <v>36000</v>
      </c>
      <c r="G86" s="15">
        <f t="shared" ref="G86" ca="1" si="37">F86*H86</f>
        <v>36000</v>
      </c>
      <c r="H86" s="12">
        <v>1</v>
      </c>
      <c r="I86" s="12" t="s">
        <v>13</v>
      </c>
      <c r="J86" s="12" t="s">
        <v>10</v>
      </c>
      <c r="K86">
        <v>36000</v>
      </c>
    </row>
    <row r="87" spans="1:11" ht="21" hidden="1" customHeight="1" x14ac:dyDescent="0.25">
      <c r="A87" s="12" t="str">
        <f t="shared" si="34"/>
        <v>ЯВЗ-3, ЯВЗ-4, ЯВЗ-5(250A)</v>
      </c>
      <c r="B87" s="12" t="s">
        <v>11</v>
      </c>
      <c r="C87" s="18" t="s">
        <v>11</v>
      </c>
      <c r="D87" s="12" t="s">
        <v>11</v>
      </c>
      <c r="E87" s="12">
        <v>6</v>
      </c>
      <c r="F87" s="15">
        <v>100</v>
      </c>
      <c r="G87" s="15">
        <f>60*E87*F87</f>
        <v>36000</v>
      </c>
      <c r="H87" s="12">
        <f>60*E87</f>
        <v>360</v>
      </c>
      <c r="I87" s="12" t="s">
        <v>13</v>
      </c>
      <c r="J87" s="12" t="s">
        <v>11</v>
      </c>
      <c r="K87">
        <v>36000</v>
      </c>
    </row>
    <row r="88" spans="1:11" ht="30" customHeight="1" x14ac:dyDescent="0.25">
      <c r="A88" s="12" t="str">
        <f t="shared" si="34"/>
        <v>ЯВЗ-3, ЯВЗ-4, ЯВЗ-5(250A)</v>
      </c>
      <c r="B88" s="19"/>
      <c r="C88" s="20"/>
      <c r="D88" s="21"/>
      <c r="E88" s="23"/>
      <c r="F88" s="25"/>
      <c r="G88" s="24">
        <f ca="1">SUM(G82:G87)</f>
        <v>151650</v>
      </c>
      <c r="H88" s="20"/>
      <c r="I88" s="22"/>
      <c r="J88" s="20"/>
      <c r="K88">
        <v>151650</v>
      </c>
    </row>
    <row r="89" spans="1:11" ht="39.75" customHeight="1" x14ac:dyDescent="0.25">
      <c r="A89" s="5" t="str">
        <f>D89</f>
        <v>ВРУ-5 (ПР11-3059-21У3 С. I)</v>
      </c>
      <c r="B89" s="6"/>
      <c r="C89" s="7"/>
      <c r="D89" s="6" t="s">
        <v>249</v>
      </c>
      <c r="E89" s="8"/>
      <c r="F89" s="8"/>
      <c r="G89" s="9"/>
      <c r="H89" s="10">
        <v>1</v>
      </c>
      <c r="I89" s="11" t="s">
        <v>7</v>
      </c>
      <c r="J89" s="6" t="s">
        <v>9</v>
      </c>
    </row>
    <row r="90" spans="1:11" ht="21" hidden="1" customHeight="1" x14ac:dyDescent="0.25">
      <c r="A90" s="12" t="str">
        <f>A89</f>
        <v>ВРУ-5 (ПР11-3059-21У3 С. I)</v>
      </c>
      <c r="B90" s="13" t="s">
        <v>8</v>
      </c>
      <c r="C90" s="14" t="s">
        <v>235</v>
      </c>
      <c r="D90" s="12" t="s">
        <v>236</v>
      </c>
      <c r="E90" s="13">
        <v>28000</v>
      </c>
      <c r="F90" s="15">
        <f>E90*0.6</f>
        <v>16800</v>
      </c>
      <c r="G90" s="15">
        <f>H90*F90</f>
        <v>16800</v>
      </c>
      <c r="H90" s="16">
        <v>1</v>
      </c>
      <c r="I90" s="17" t="s">
        <v>13</v>
      </c>
      <c r="J90" s="13" t="s">
        <v>16</v>
      </c>
      <c r="K90">
        <v>16800</v>
      </c>
    </row>
    <row r="91" spans="1:11" ht="21" hidden="1" customHeight="1" x14ac:dyDescent="0.25">
      <c r="A91" s="12" t="str">
        <f t="shared" ref="A91:A96" si="38">A90</f>
        <v>ВРУ-5 (ПР11-3059-21У3 С. I)</v>
      </c>
      <c r="B91" s="13" t="s">
        <v>65</v>
      </c>
      <c r="C91" s="14" t="s">
        <v>55</v>
      </c>
      <c r="D91" s="12" t="s">
        <v>56</v>
      </c>
      <c r="E91" s="13">
        <v>19760</v>
      </c>
      <c r="F91" s="15">
        <f>E91*0.6</f>
        <v>11856</v>
      </c>
      <c r="G91" s="15">
        <f>F91*H91</f>
        <v>11856</v>
      </c>
      <c r="H91" s="16">
        <v>1</v>
      </c>
      <c r="I91" s="17" t="s">
        <v>13</v>
      </c>
      <c r="J91" s="13" t="s">
        <v>17</v>
      </c>
      <c r="K91">
        <v>11856</v>
      </c>
    </row>
    <row r="92" spans="1:11" ht="21" hidden="1" customHeight="1" x14ac:dyDescent="0.25">
      <c r="A92" s="12" t="str">
        <f t="shared" si="38"/>
        <v>ВРУ-5 (ПР11-3059-21У3 С. I)</v>
      </c>
      <c r="B92" s="13" t="s">
        <v>65</v>
      </c>
      <c r="C92" s="14" t="s">
        <v>37</v>
      </c>
      <c r="D92" s="12" t="s">
        <v>38</v>
      </c>
      <c r="E92" s="13">
        <v>19295</v>
      </c>
      <c r="F92" s="15">
        <f t="shared" ref="F92:F93" si="39">E92*0.6</f>
        <v>11577</v>
      </c>
      <c r="G92" s="15">
        <f t="shared" ref="G92:G93" si="40">F92*H92</f>
        <v>11577</v>
      </c>
      <c r="H92" s="16">
        <v>1</v>
      </c>
      <c r="I92" s="17" t="s">
        <v>13</v>
      </c>
      <c r="J92" s="13" t="s">
        <v>17</v>
      </c>
      <c r="K92">
        <v>11577</v>
      </c>
    </row>
    <row r="93" spans="1:11" ht="21" hidden="1" customHeight="1" x14ac:dyDescent="0.25">
      <c r="A93" s="12" t="str">
        <f t="shared" si="38"/>
        <v>ВРУ-5 (ПР11-3059-21У3 С. I)</v>
      </c>
      <c r="B93" s="13" t="s">
        <v>65</v>
      </c>
      <c r="C93" s="14" t="s">
        <v>61</v>
      </c>
      <c r="D93" s="12" t="s">
        <v>62</v>
      </c>
      <c r="E93" s="13">
        <v>20174</v>
      </c>
      <c r="F93" s="15">
        <f t="shared" si="39"/>
        <v>12104.4</v>
      </c>
      <c r="G93" s="15">
        <f t="shared" si="40"/>
        <v>36313.199999999997</v>
      </c>
      <c r="H93" s="16">
        <v>3</v>
      </c>
      <c r="I93" s="17" t="s">
        <v>13</v>
      </c>
      <c r="J93" s="13" t="s">
        <v>17</v>
      </c>
      <c r="K93">
        <v>36313.199999999997</v>
      </c>
    </row>
    <row r="94" spans="1:11" ht="24" hidden="1" customHeight="1" x14ac:dyDescent="0.25">
      <c r="A94" s="12" t="str">
        <f t="shared" si="38"/>
        <v>ВРУ-5 (ПР11-3059-21У3 С. I)</v>
      </c>
      <c r="B94" s="12" t="s">
        <v>10</v>
      </c>
      <c r="C94" s="18" t="s">
        <v>10</v>
      </c>
      <c r="D94" s="12" t="s">
        <v>10</v>
      </c>
      <c r="E94" s="12">
        <f ca="1">OFFSET(E94,1,2)</f>
        <v>24000</v>
      </c>
      <c r="F94" s="15">
        <f ca="1">E94</f>
        <v>24000</v>
      </c>
      <c r="G94" s="15">
        <f t="shared" ref="G94" ca="1" si="41">F94*H94</f>
        <v>24000</v>
      </c>
      <c r="H94" s="12">
        <v>1</v>
      </c>
      <c r="I94" s="12" t="s">
        <v>13</v>
      </c>
      <c r="J94" s="12" t="s">
        <v>10</v>
      </c>
      <c r="K94">
        <v>24000</v>
      </c>
    </row>
    <row r="95" spans="1:11" ht="21" hidden="1" customHeight="1" x14ac:dyDescent="0.25">
      <c r="A95" s="12" t="str">
        <f t="shared" si="38"/>
        <v>ВРУ-5 (ПР11-3059-21У3 С. I)</v>
      </c>
      <c r="B95" s="12" t="s">
        <v>11</v>
      </c>
      <c r="C95" s="18" t="s">
        <v>11</v>
      </c>
      <c r="D95" s="12" t="s">
        <v>11</v>
      </c>
      <c r="E95" s="12">
        <v>4</v>
      </c>
      <c r="F95" s="15">
        <v>100</v>
      </c>
      <c r="G95" s="15">
        <f>60*E95*F95</f>
        <v>24000</v>
      </c>
      <c r="H95" s="12">
        <f>60*E95</f>
        <v>240</v>
      </c>
      <c r="I95" s="12" t="s">
        <v>13</v>
      </c>
      <c r="J95" s="12" t="s">
        <v>11</v>
      </c>
      <c r="K95">
        <v>24000</v>
      </c>
    </row>
    <row r="96" spans="1:11" ht="30" customHeight="1" x14ac:dyDescent="0.25">
      <c r="A96" s="12" t="str">
        <f t="shared" si="38"/>
        <v>ВРУ-5 (ПР11-3059-21У3 С. I)</v>
      </c>
      <c r="B96" s="19"/>
      <c r="C96" s="20"/>
      <c r="D96" s="21"/>
      <c r="E96" s="23"/>
      <c r="F96" s="25"/>
      <c r="G96" s="24">
        <f ca="1">SUM(G90:G95)</f>
        <v>124546.2</v>
      </c>
      <c r="H96" s="20"/>
      <c r="I96" s="22"/>
      <c r="J96" s="20"/>
      <c r="K96">
        <v>124546.2</v>
      </c>
    </row>
    <row r="97" spans="1:11" ht="39.75" customHeight="1" x14ac:dyDescent="0.25">
      <c r="A97" s="5" t="str">
        <f>D97</f>
        <v>ВРУ-6 (ПР11-3059-21У3 С. I)</v>
      </c>
      <c r="B97" s="6"/>
      <c r="C97" s="7"/>
      <c r="D97" s="6" t="s">
        <v>250</v>
      </c>
      <c r="E97" s="8"/>
      <c r="F97" s="8"/>
      <c r="G97" s="9"/>
      <c r="H97" s="10">
        <v>1</v>
      </c>
      <c r="I97" s="11" t="s">
        <v>7</v>
      </c>
      <c r="J97" s="6" t="s">
        <v>9</v>
      </c>
    </row>
    <row r="98" spans="1:11" ht="21" hidden="1" customHeight="1" x14ac:dyDescent="0.25">
      <c r="A98" s="12" t="str">
        <f>A97</f>
        <v>ВРУ-6 (ПР11-3059-21У3 С. I)</v>
      </c>
      <c r="B98" s="13" t="s">
        <v>8</v>
      </c>
      <c r="C98" s="14" t="s">
        <v>235</v>
      </c>
      <c r="D98" s="12" t="s">
        <v>236</v>
      </c>
      <c r="E98" s="13">
        <v>28000</v>
      </c>
      <c r="F98" s="15">
        <f>E98*0.6</f>
        <v>16800</v>
      </c>
      <c r="G98" s="15">
        <f>H98*F98</f>
        <v>16800</v>
      </c>
      <c r="H98" s="16">
        <v>1</v>
      </c>
      <c r="I98" s="17" t="s">
        <v>13</v>
      </c>
      <c r="J98" s="13" t="s">
        <v>16</v>
      </c>
      <c r="K98">
        <v>16800</v>
      </c>
    </row>
    <row r="99" spans="1:11" ht="21" hidden="1" customHeight="1" x14ac:dyDescent="0.25">
      <c r="A99" s="12" t="str">
        <f t="shared" ref="A99:A105" si="42">A98</f>
        <v>ВРУ-6 (ПР11-3059-21У3 С. I)</v>
      </c>
      <c r="B99" s="13" t="s">
        <v>65</v>
      </c>
      <c r="C99" s="14" t="s">
        <v>55</v>
      </c>
      <c r="D99" s="12" t="s">
        <v>56</v>
      </c>
      <c r="E99" s="13">
        <v>19760</v>
      </c>
      <c r="F99" s="15">
        <f>E99*0.6</f>
        <v>11856</v>
      </c>
      <c r="G99" s="15">
        <f>F99*H99</f>
        <v>11856</v>
      </c>
      <c r="H99" s="16">
        <v>1</v>
      </c>
      <c r="I99" s="17" t="s">
        <v>13</v>
      </c>
      <c r="J99" s="13" t="s">
        <v>17</v>
      </c>
      <c r="K99">
        <v>11856</v>
      </c>
    </row>
    <row r="100" spans="1:11" ht="21" hidden="1" customHeight="1" x14ac:dyDescent="0.25">
      <c r="A100" s="12" t="str">
        <f t="shared" si="42"/>
        <v>ВРУ-6 (ПР11-3059-21У3 С. I)</v>
      </c>
      <c r="B100" s="13" t="s">
        <v>65</v>
      </c>
      <c r="C100" s="14" t="s">
        <v>37</v>
      </c>
      <c r="D100" s="12" t="s">
        <v>38</v>
      </c>
      <c r="E100" s="13">
        <v>19295</v>
      </c>
      <c r="F100" s="15">
        <f t="shared" ref="F100:F101" si="43">E100*0.6</f>
        <v>11577</v>
      </c>
      <c r="G100" s="15">
        <f t="shared" ref="G100:G103" si="44">F100*H100</f>
        <v>11577</v>
      </c>
      <c r="H100" s="16">
        <v>1</v>
      </c>
      <c r="I100" s="17" t="s">
        <v>13</v>
      </c>
      <c r="J100" s="13" t="s">
        <v>17</v>
      </c>
      <c r="K100">
        <v>11577</v>
      </c>
    </row>
    <row r="101" spans="1:11" ht="21" hidden="1" customHeight="1" x14ac:dyDescent="0.25">
      <c r="A101" s="12" t="str">
        <f t="shared" si="42"/>
        <v>ВРУ-6 (ПР11-3059-21У3 С. I)</v>
      </c>
      <c r="B101" s="13" t="s">
        <v>65</v>
      </c>
      <c r="C101" s="14" t="s">
        <v>61</v>
      </c>
      <c r="D101" s="12" t="s">
        <v>62</v>
      </c>
      <c r="E101" s="13">
        <v>20174</v>
      </c>
      <c r="F101" s="15">
        <f t="shared" si="43"/>
        <v>12104.4</v>
      </c>
      <c r="G101" s="15">
        <f t="shared" si="44"/>
        <v>24208.799999999999</v>
      </c>
      <c r="H101" s="16">
        <v>2</v>
      </c>
      <c r="I101" s="17" t="s">
        <v>13</v>
      </c>
      <c r="J101" s="13" t="s">
        <v>17</v>
      </c>
      <c r="K101">
        <v>24208.799999999999</v>
      </c>
    </row>
    <row r="102" spans="1:11" ht="21" hidden="1" customHeight="1" x14ac:dyDescent="0.25">
      <c r="A102" s="12" t="str">
        <f t="shared" si="42"/>
        <v>ВРУ-6 (ПР11-3059-21У3 С. I)</v>
      </c>
      <c r="B102" s="13" t="s">
        <v>47</v>
      </c>
      <c r="C102" s="14"/>
      <c r="D102" s="12" t="s">
        <v>47</v>
      </c>
      <c r="E102" s="13">
        <v>1000</v>
      </c>
      <c r="F102" s="15">
        <f>E102</f>
        <v>1000</v>
      </c>
      <c r="G102" s="15">
        <f t="shared" si="44"/>
        <v>1000</v>
      </c>
      <c r="H102" s="16">
        <v>1</v>
      </c>
      <c r="I102" s="17" t="s">
        <v>13</v>
      </c>
      <c r="J102" s="13" t="s">
        <v>32</v>
      </c>
      <c r="K102">
        <v>1000</v>
      </c>
    </row>
    <row r="103" spans="1:11" ht="24" hidden="1" customHeight="1" x14ac:dyDescent="0.25">
      <c r="A103" s="12" t="str">
        <f t="shared" si="42"/>
        <v>ВРУ-6 (ПР11-3059-21У3 С. I)</v>
      </c>
      <c r="B103" s="12" t="s">
        <v>10</v>
      </c>
      <c r="C103" s="18" t="s">
        <v>10</v>
      </c>
      <c r="D103" s="12" t="s">
        <v>10</v>
      </c>
      <c r="E103" s="12">
        <f ca="1">OFFSET(E103,1,2)</f>
        <v>24000</v>
      </c>
      <c r="F103" s="15">
        <f ca="1">E103</f>
        <v>24000</v>
      </c>
      <c r="G103" s="15">
        <f t="shared" ca="1" si="44"/>
        <v>24000</v>
      </c>
      <c r="H103" s="12">
        <v>1</v>
      </c>
      <c r="I103" s="12" t="s">
        <v>13</v>
      </c>
      <c r="J103" s="12" t="s">
        <v>10</v>
      </c>
      <c r="K103">
        <v>24000</v>
      </c>
    </row>
    <row r="104" spans="1:11" ht="21" hidden="1" customHeight="1" x14ac:dyDescent="0.25">
      <c r="A104" s="12" t="str">
        <f t="shared" si="42"/>
        <v>ВРУ-6 (ПР11-3059-21У3 С. I)</v>
      </c>
      <c r="B104" s="12" t="s">
        <v>11</v>
      </c>
      <c r="C104" s="18" t="s">
        <v>11</v>
      </c>
      <c r="D104" s="12" t="s">
        <v>11</v>
      </c>
      <c r="E104" s="12">
        <v>4</v>
      </c>
      <c r="F104" s="15">
        <v>100</v>
      </c>
      <c r="G104" s="15">
        <f>60*E104*F104</f>
        <v>24000</v>
      </c>
      <c r="H104" s="12">
        <f>60*E104</f>
        <v>240</v>
      </c>
      <c r="I104" s="12" t="s">
        <v>13</v>
      </c>
      <c r="J104" s="12" t="s">
        <v>11</v>
      </c>
      <c r="K104">
        <v>24000</v>
      </c>
    </row>
    <row r="105" spans="1:11" ht="30" customHeight="1" x14ac:dyDescent="0.25">
      <c r="A105" s="12" t="str">
        <f t="shared" si="42"/>
        <v>ВРУ-6 (ПР11-3059-21У3 С. I)</v>
      </c>
      <c r="B105" s="19"/>
      <c r="C105" s="20"/>
      <c r="D105" s="21"/>
      <c r="E105" s="23"/>
      <c r="F105" s="25"/>
      <c r="G105" s="24">
        <f ca="1">SUM(G98:G104)</f>
        <v>113441.8</v>
      </c>
      <c r="H105" s="20"/>
      <c r="I105" s="22"/>
      <c r="J105" s="20"/>
      <c r="K105">
        <v>113441.8</v>
      </c>
    </row>
    <row r="106" spans="1:11" ht="39.75" customHeight="1" x14ac:dyDescent="0.25">
      <c r="A106" s="5" t="str">
        <f>D106</f>
        <v>АВР-2 (АВР-Б-3-1G-250A)</v>
      </c>
      <c r="B106" s="6"/>
      <c r="C106" s="7"/>
      <c r="D106" s="6" t="s">
        <v>246</v>
      </c>
      <c r="E106" s="8"/>
      <c r="F106" s="8"/>
      <c r="G106" s="9"/>
      <c r="H106" s="10">
        <v>1</v>
      </c>
      <c r="I106" s="11" t="s">
        <v>7</v>
      </c>
      <c r="J106" s="6" t="s">
        <v>9</v>
      </c>
    </row>
    <row r="107" spans="1:11" ht="21" hidden="1" customHeight="1" x14ac:dyDescent="0.25">
      <c r="A107" s="12" t="str">
        <f>A106</f>
        <v>АВР-2 (АВР-Б-3-1G-250A)</v>
      </c>
      <c r="B107" s="13" t="s">
        <v>8</v>
      </c>
      <c r="C107" s="14" t="s">
        <v>269</v>
      </c>
      <c r="D107" s="12" t="s">
        <v>270</v>
      </c>
      <c r="E107" s="13">
        <v>67000</v>
      </c>
      <c r="F107" s="15">
        <f t="shared" ref="F107:F112" si="45">E107*0.6</f>
        <v>40200</v>
      </c>
      <c r="G107" s="15">
        <f>H107*F107</f>
        <v>40200</v>
      </c>
      <c r="H107" s="16">
        <v>1</v>
      </c>
      <c r="I107" s="17" t="s">
        <v>13</v>
      </c>
      <c r="J107" s="13" t="s">
        <v>16</v>
      </c>
      <c r="K107">
        <v>40200</v>
      </c>
    </row>
    <row r="108" spans="1:11" ht="21" hidden="1" customHeight="1" x14ac:dyDescent="0.25">
      <c r="A108" s="12" t="str">
        <f t="shared" ref="A108:A115" si="46">A107</f>
        <v>АВР-2 (АВР-Б-3-1G-250A)</v>
      </c>
      <c r="B108" s="13" t="s">
        <v>93</v>
      </c>
      <c r="C108" s="26" t="s">
        <v>84</v>
      </c>
      <c r="D108" s="12" t="s">
        <v>85</v>
      </c>
      <c r="E108" s="27">
        <v>246865</v>
      </c>
      <c r="F108" s="15">
        <f t="shared" si="45"/>
        <v>148119</v>
      </c>
      <c r="G108" s="15">
        <f>F108*H108</f>
        <v>296238</v>
      </c>
      <c r="H108" s="16">
        <v>2</v>
      </c>
      <c r="I108" s="17" t="s">
        <v>13</v>
      </c>
      <c r="J108" s="13" t="s">
        <v>17</v>
      </c>
      <c r="K108">
        <v>296238</v>
      </c>
    </row>
    <row r="109" spans="1:11" ht="21" hidden="1" customHeight="1" x14ac:dyDescent="0.25">
      <c r="A109" s="12" t="str">
        <f t="shared" si="46"/>
        <v>АВР-2 (АВР-Б-3-1G-250A)</v>
      </c>
      <c r="B109" s="13" t="s">
        <v>12</v>
      </c>
      <c r="C109" s="26" t="s">
        <v>220</v>
      </c>
      <c r="D109" s="12" t="s">
        <v>221</v>
      </c>
      <c r="E109" s="27">
        <v>5441</v>
      </c>
      <c r="F109" s="15">
        <f t="shared" si="45"/>
        <v>3264.6</v>
      </c>
      <c r="G109" s="15">
        <f>F109*H109</f>
        <v>13058.4</v>
      </c>
      <c r="H109" s="16">
        <v>4</v>
      </c>
      <c r="I109" s="17" t="s">
        <v>13</v>
      </c>
      <c r="J109" s="13" t="s">
        <v>17</v>
      </c>
      <c r="K109">
        <v>13058.4</v>
      </c>
    </row>
    <row r="110" spans="1:11" ht="21" hidden="1" customHeight="1" x14ac:dyDescent="0.25">
      <c r="A110" s="12" t="str">
        <f t="shared" si="46"/>
        <v>АВР-2 (АВР-Б-3-1G-250A)</v>
      </c>
      <c r="B110" s="13" t="s">
        <v>228</v>
      </c>
      <c r="C110" s="26" t="s">
        <v>222</v>
      </c>
      <c r="D110" s="12" t="s">
        <v>223</v>
      </c>
      <c r="E110" s="27">
        <v>571</v>
      </c>
      <c r="F110" s="15">
        <f t="shared" si="45"/>
        <v>342.59999999999997</v>
      </c>
      <c r="G110" s="15">
        <f>F110*H110</f>
        <v>1027.8</v>
      </c>
      <c r="H110" s="16">
        <v>3</v>
      </c>
      <c r="I110" s="17" t="s">
        <v>13</v>
      </c>
      <c r="J110" s="13" t="s">
        <v>17</v>
      </c>
      <c r="K110">
        <v>1027.8</v>
      </c>
    </row>
    <row r="111" spans="1:11" ht="21" hidden="1" customHeight="1" x14ac:dyDescent="0.25">
      <c r="A111" s="12" t="str">
        <f t="shared" si="46"/>
        <v>АВР-2 (АВР-Б-3-1G-250A)</v>
      </c>
      <c r="B111" s="13" t="s">
        <v>228</v>
      </c>
      <c r="C111" s="26" t="s">
        <v>224</v>
      </c>
      <c r="D111" s="12" t="s">
        <v>225</v>
      </c>
      <c r="E111" s="27">
        <v>589</v>
      </c>
      <c r="F111" s="15">
        <f t="shared" si="45"/>
        <v>353.4</v>
      </c>
      <c r="G111" s="15">
        <f>F111*H111</f>
        <v>1060.1999999999998</v>
      </c>
      <c r="H111" s="16">
        <v>3</v>
      </c>
      <c r="I111" s="17" t="s">
        <v>13</v>
      </c>
      <c r="J111" s="13" t="s">
        <v>17</v>
      </c>
      <c r="K111">
        <v>1060.1999999999998</v>
      </c>
    </row>
    <row r="112" spans="1:11" ht="21" hidden="1" customHeight="1" x14ac:dyDescent="0.25">
      <c r="A112" s="12" t="str">
        <f t="shared" si="46"/>
        <v>АВР-2 (АВР-Б-3-1G-250A)</v>
      </c>
      <c r="B112" s="13" t="s">
        <v>228</v>
      </c>
      <c r="C112" s="26" t="s">
        <v>226</v>
      </c>
      <c r="D112" s="12" t="s">
        <v>227</v>
      </c>
      <c r="E112" s="27">
        <v>571</v>
      </c>
      <c r="F112" s="15">
        <f t="shared" si="45"/>
        <v>342.59999999999997</v>
      </c>
      <c r="G112" s="15">
        <f>F112*H112</f>
        <v>1027.8</v>
      </c>
      <c r="H112" s="16">
        <v>3</v>
      </c>
      <c r="I112" s="17" t="s">
        <v>13</v>
      </c>
      <c r="J112" s="13" t="s">
        <v>17</v>
      </c>
      <c r="K112">
        <v>1027.8</v>
      </c>
    </row>
    <row r="113" spans="1:11" ht="24" hidden="1" customHeight="1" x14ac:dyDescent="0.25">
      <c r="A113" s="12" t="str">
        <f>A108</f>
        <v>АВР-2 (АВР-Б-3-1G-250A)</v>
      </c>
      <c r="B113" s="12" t="s">
        <v>10</v>
      </c>
      <c r="C113" s="18" t="s">
        <v>10</v>
      </c>
      <c r="D113" s="12" t="s">
        <v>10</v>
      </c>
      <c r="E113" s="12">
        <f ca="1">OFFSET(E113,1,2)</f>
        <v>54000</v>
      </c>
      <c r="F113" s="15">
        <f ca="1">E113</f>
        <v>54000</v>
      </c>
      <c r="G113" s="15">
        <f t="shared" ref="G113" ca="1" si="47">F113*H113</f>
        <v>54000</v>
      </c>
      <c r="H113" s="12">
        <v>1</v>
      </c>
      <c r="I113" s="12" t="s">
        <v>13</v>
      </c>
      <c r="J113" s="12" t="s">
        <v>10</v>
      </c>
      <c r="K113">
        <v>54000</v>
      </c>
    </row>
    <row r="114" spans="1:11" ht="21" hidden="1" customHeight="1" x14ac:dyDescent="0.25">
      <c r="A114" s="12" t="str">
        <f t="shared" si="46"/>
        <v>АВР-2 (АВР-Б-3-1G-250A)</v>
      </c>
      <c r="B114" s="12" t="s">
        <v>11</v>
      </c>
      <c r="C114" s="18" t="s">
        <v>11</v>
      </c>
      <c r="D114" s="12" t="s">
        <v>11</v>
      </c>
      <c r="E114" s="12">
        <v>9</v>
      </c>
      <c r="F114" s="15">
        <v>100</v>
      </c>
      <c r="G114" s="15">
        <f>60*E114*F114</f>
        <v>54000</v>
      </c>
      <c r="H114" s="12">
        <f>60*E114</f>
        <v>540</v>
      </c>
      <c r="I114" s="12" t="s">
        <v>13</v>
      </c>
      <c r="J114" s="12" t="s">
        <v>11</v>
      </c>
      <c r="K114">
        <v>54000</v>
      </c>
    </row>
    <row r="115" spans="1:11" ht="30" customHeight="1" x14ac:dyDescent="0.25">
      <c r="A115" s="12" t="str">
        <f t="shared" si="46"/>
        <v>АВР-2 (АВР-Б-3-1G-250A)</v>
      </c>
      <c r="B115" s="19"/>
      <c r="C115" s="20"/>
      <c r="D115" s="21"/>
      <c r="E115" s="23"/>
      <c r="F115" s="25"/>
      <c r="G115" s="24">
        <f ca="1">SUM(G107:G114)</f>
        <v>460612.2</v>
      </c>
      <c r="H115" s="20"/>
      <c r="I115" s="22"/>
      <c r="J115" s="20"/>
      <c r="K115">
        <v>460612.2</v>
      </c>
    </row>
    <row r="116" spans="1:11" ht="39.75" customHeight="1" x14ac:dyDescent="0.25">
      <c r="A116" s="5" t="str">
        <f>D116</f>
        <v>ЩАВР-2</v>
      </c>
      <c r="B116" s="6"/>
      <c r="C116" s="7"/>
      <c r="D116" s="6" t="s">
        <v>86</v>
      </c>
      <c r="E116" s="8"/>
      <c r="F116" s="8"/>
      <c r="G116" s="9"/>
      <c r="H116" s="10">
        <v>1</v>
      </c>
      <c r="I116" s="11" t="s">
        <v>7</v>
      </c>
      <c r="J116" s="6" t="s">
        <v>9</v>
      </c>
    </row>
    <row r="117" spans="1:11" ht="21" hidden="1" customHeight="1" x14ac:dyDescent="0.25">
      <c r="A117" s="12" t="str">
        <f>A116</f>
        <v>ЩАВР-2</v>
      </c>
      <c r="B117" s="13" t="s">
        <v>8</v>
      </c>
      <c r="C117" s="14" t="s">
        <v>231</v>
      </c>
      <c r="D117" s="12" t="s">
        <v>232</v>
      </c>
      <c r="E117" s="13">
        <v>27000</v>
      </c>
      <c r="F117" s="15">
        <f>E117*0.6</f>
        <v>16200</v>
      </c>
      <c r="G117" s="15">
        <f>H117*F117</f>
        <v>16200</v>
      </c>
      <c r="H117" s="16">
        <v>1</v>
      </c>
      <c r="I117" s="17" t="s">
        <v>13</v>
      </c>
      <c r="J117" s="13" t="s">
        <v>16</v>
      </c>
      <c r="K117">
        <v>16200</v>
      </c>
    </row>
    <row r="118" spans="1:11" ht="21" hidden="1" customHeight="1" x14ac:dyDescent="0.25">
      <c r="A118" s="12" t="str">
        <f t="shared" ref="A118:A127" si="48">A117</f>
        <v>ЩАВР-2</v>
      </c>
      <c r="B118" s="13" t="s">
        <v>12</v>
      </c>
      <c r="C118" s="14" t="s">
        <v>25</v>
      </c>
      <c r="D118" s="12" t="s">
        <v>26</v>
      </c>
      <c r="E118" s="13">
        <v>3641</v>
      </c>
      <c r="F118" s="15">
        <f t="shared" ref="F118:F121" si="49">E118*0.6</f>
        <v>2184.6</v>
      </c>
      <c r="G118" s="15">
        <f t="shared" ref="G118:G121" si="50">F118*H118</f>
        <v>2184.6</v>
      </c>
      <c r="H118" s="16">
        <v>1</v>
      </c>
      <c r="I118" s="17" t="s">
        <v>13</v>
      </c>
      <c r="J118" s="13" t="s">
        <v>17</v>
      </c>
      <c r="K118">
        <v>2184.6</v>
      </c>
    </row>
    <row r="119" spans="1:11" ht="21" hidden="1" customHeight="1" x14ac:dyDescent="0.25">
      <c r="A119" s="12" t="str">
        <f t="shared" si="48"/>
        <v>ЩАВР-2</v>
      </c>
      <c r="B119" s="13" t="s">
        <v>12</v>
      </c>
      <c r="C119" s="14" t="s">
        <v>39</v>
      </c>
      <c r="D119" s="12" t="s">
        <v>40</v>
      </c>
      <c r="E119" s="13">
        <v>3172</v>
      </c>
      <c r="F119" s="15">
        <f t="shared" ref="F119" si="51">E119*0.6</f>
        <v>1903.1999999999998</v>
      </c>
      <c r="G119" s="15">
        <f t="shared" ref="G119" si="52">F119*H119</f>
        <v>3806.3999999999996</v>
      </c>
      <c r="H119" s="16">
        <v>2</v>
      </c>
      <c r="I119" s="17" t="s">
        <v>13</v>
      </c>
      <c r="J119" s="13" t="s">
        <v>17</v>
      </c>
      <c r="K119">
        <v>3806.3999999999996</v>
      </c>
    </row>
    <row r="120" spans="1:11" ht="21" hidden="1" customHeight="1" x14ac:dyDescent="0.25">
      <c r="A120" s="12" t="str">
        <f t="shared" si="48"/>
        <v>ЩАВР-2</v>
      </c>
      <c r="B120" s="13" t="s">
        <v>12</v>
      </c>
      <c r="C120" s="14" t="s">
        <v>19</v>
      </c>
      <c r="D120" s="12" t="s">
        <v>20</v>
      </c>
      <c r="E120" s="13">
        <v>783</v>
      </c>
      <c r="F120" s="15">
        <f t="shared" si="49"/>
        <v>469.79999999999995</v>
      </c>
      <c r="G120" s="15">
        <f t="shared" si="50"/>
        <v>469.79999999999995</v>
      </c>
      <c r="H120" s="16">
        <v>1</v>
      </c>
      <c r="I120" s="17" t="s">
        <v>13</v>
      </c>
      <c r="J120" s="13" t="s">
        <v>17</v>
      </c>
      <c r="K120">
        <v>469.79999999999995</v>
      </c>
    </row>
    <row r="121" spans="1:11" ht="21" hidden="1" customHeight="1" x14ac:dyDescent="0.25">
      <c r="A121" s="12" t="str">
        <f t="shared" si="48"/>
        <v>ЩАВР-2</v>
      </c>
      <c r="B121" s="13" t="s">
        <v>12</v>
      </c>
      <c r="C121" s="14" t="s">
        <v>74</v>
      </c>
      <c r="D121" s="12" t="s">
        <v>75</v>
      </c>
      <c r="E121" s="13">
        <v>2499</v>
      </c>
      <c r="F121" s="15">
        <f t="shared" si="49"/>
        <v>1499.3999999999999</v>
      </c>
      <c r="G121" s="15">
        <f t="shared" si="50"/>
        <v>14993.999999999998</v>
      </c>
      <c r="H121" s="16">
        <v>10</v>
      </c>
      <c r="I121" s="17" t="s">
        <v>13</v>
      </c>
      <c r="J121" s="13" t="s">
        <v>17</v>
      </c>
      <c r="K121">
        <v>14993.999999999998</v>
      </c>
    </row>
    <row r="122" spans="1:11" ht="21" hidden="1" customHeight="1" x14ac:dyDescent="0.25">
      <c r="A122" s="12" t="str">
        <f t="shared" si="48"/>
        <v>ЩАВР-2</v>
      </c>
      <c r="B122" s="13" t="s">
        <v>12</v>
      </c>
      <c r="C122" s="14" t="s">
        <v>72</v>
      </c>
      <c r="D122" s="12" t="s">
        <v>73</v>
      </c>
      <c r="E122" s="13">
        <v>796</v>
      </c>
      <c r="F122" s="15">
        <f>E122*0.6</f>
        <v>477.59999999999997</v>
      </c>
      <c r="G122" s="15">
        <f>F122*H122</f>
        <v>4776</v>
      </c>
      <c r="H122" s="16">
        <v>10</v>
      </c>
      <c r="I122" s="17" t="s">
        <v>13</v>
      </c>
      <c r="J122" s="13" t="s">
        <v>17</v>
      </c>
      <c r="K122">
        <v>4776</v>
      </c>
    </row>
    <row r="123" spans="1:11" ht="21" hidden="1" customHeight="1" x14ac:dyDescent="0.25">
      <c r="A123" s="12" t="str">
        <f t="shared" si="48"/>
        <v>ЩАВР-2</v>
      </c>
      <c r="B123" s="13" t="s">
        <v>33</v>
      </c>
      <c r="C123" s="14" t="s">
        <v>205</v>
      </c>
      <c r="D123" s="12" t="s">
        <v>206</v>
      </c>
      <c r="E123" s="13">
        <v>5850</v>
      </c>
      <c r="F123" s="15">
        <f>E123</f>
        <v>5850</v>
      </c>
      <c r="G123" s="15">
        <f>F123*H123</f>
        <v>17550</v>
      </c>
      <c r="H123" s="16">
        <v>3</v>
      </c>
      <c r="I123" s="17" t="s">
        <v>13</v>
      </c>
      <c r="J123" s="13" t="s">
        <v>32</v>
      </c>
      <c r="K123">
        <v>17550</v>
      </c>
    </row>
    <row r="124" spans="1:11" ht="22.5" hidden="1" customHeight="1" x14ac:dyDescent="0.25">
      <c r="A124" s="12" t="str">
        <f t="shared" si="48"/>
        <v>ЩАВР-2</v>
      </c>
      <c r="B124" s="13" t="s">
        <v>18</v>
      </c>
      <c r="C124" s="14" t="s">
        <v>229</v>
      </c>
      <c r="D124" s="12" t="s">
        <v>230</v>
      </c>
      <c r="E124" s="13">
        <v>39100</v>
      </c>
      <c r="F124" s="15">
        <f>E124</f>
        <v>39100</v>
      </c>
      <c r="G124" s="15">
        <f t="shared" ref="G124:G125" si="53">F124*H124</f>
        <v>39100</v>
      </c>
      <c r="H124" s="16">
        <v>1</v>
      </c>
      <c r="I124" s="17" t="s">
        <v>13</v>
      </c>
      <c r="J124" s="13" t="s">
        <v>32</v>
      </c>
      <c r="K124">
        <v>39100</v>
      </c>
    </row>
    <row r="125" spans="1:11" ht="24" hidden="1" customHeight="1" x14ac:dyDescent="0.25">
      <c r="A125" s="12" t="str">
        <f t="shared" si="48"/>
        <v>ЩАВР-2</v>
      </c>
      <c r="B125" s="12" t="s">
        <v>10</v>
      </c>
      <c r="C125" s="18" t="s">
        <v>10</v>
      </c>
      <c r="D125" s="12" t="s">
        <v>10</v>
      </c>
      <c r="E125" s="12">
        <f ca="1">OFFSET(E125,1,2)</f>
        <v>21000</v>
      </c>
      <c r="F125" s="15">
        <f ca="1">E125</f>
        <v>21000</v>
      </c>
      <c r="G125" s="15">
        <f t="shared" ca="1" si="53"/>
        <v>21000</v>
      </c>
      <c r="H125" s="12">
        <v>1</v>
      </c>
      <c r="I125" s="12" t="s">
        <v>13</v>
      </c>
      <c r="J125" s="12" t="s">
        <v>10</v>
      </c>
      <c r="K125">
        <v>21000</v>
      </c>
    </row>
    <row r="126" spans="1:11" ht="21" hidden="1" customHeight="1" x14ac:dyDescent="0.25">
      <c r="A126" s="12" t="str">
        <f t="shared" si="48"/>
        <v>ЩАВР-2</v>
      </c>
      <c r="B126" s="12" t="s">
        <v>11</v>
      </c>
      <c r="C126" s="18" t="s">
        <v>11</v>
      </c>
      <c r="D126" s="12" t="s">
        <v>11</v>
      </c>
      <c r="E126" s="12">
        <v>3.5</v>
      </c>
      <c r="F126" s="15">
        <v>100</v>
      </c>
      <c r="G126" s="15">
        <f>60*E126*F126</f>
        <v>21000</v>
      </c>
      <c r="H126" s="12">
        <f>60*E126</f>
        <v>210</v>
      </c>
      <c r="I126" s="12" t="s">
        <v>13</v>
      </c>
      <c r="J126" s="12" t="s">
        <v>11</v>
      </c>
      <c r="K126">
        <v>21000</v>
      </c>
    </row>
    <row r="127" spans="1:11" ht="30" customHeight="1" x14ac:dyDescent="0.25">
      <c r="A127" s="12" t="str">
        <f t="shared" si="48"/>
        <v>ЩАВР-2</v>
      </c>
      <c r="B127" s="19"/>
      <c r="C127" s="20"/>
      <c r="D127" s="21"/>
      <c r="E127" s="23"/>
      <c r="F127" s="25"/>
      <c r="G127" s="24">
        <f ca="1">SUM(G117:G126)</f>
        <v>141080.79999999999</v>
      </c>
      <c r="H127" s="20"/>
      <c r="I127" s="22"/>
      <c r="J127" s="20"/>
      <c r="K127">
        <v>141080.79999999999</v>
      </c>
    </row>
    <row r="128" spans="1:11" ht="39.75" customHeight="1" x14ac:dyDescent="0.25">
      <c r="A128" s="5" t="str">
        <f>D128</f>
        <v>ВРУ-7 (ВРУ1-15-30А УХЛ4)</v>
      </c>
      <c r="B128" s="6"/>
      <c r="C128" s="7"/>
      <c r="D128" s="6" t="s">
        <v>251</v>
      </c>
      <c r="E128" s="8"/>
      <c r="F128" s="8"/>
      <c r="G128" s="9"/>
      <c r="H128" s="10">
        <v>1</v>
      </c>
      <c r="I128" s="11" t="s">
        <v>7</v>
      </c>
      <c r="J128" s="6" t="s">
        <v>9</v>
      </c>
    </row>
    <row r="129" spans="1:11" ht="21" hidden="1" customHeight="1" x14ac:dyDescent="0.25">
      <c r="A129" s="12" t="str">
        <f>A128</f>
        <v>ВРУ-7 (ВРУ1-15-30А УХЛ4)</v>
      </c>
      <c r="B129" s="13" t="s">
        <v>8</v>
      </c>
      <c r="C129" s="14" t="s">
        <v>253</v>
      </c>
      <c r="D129" s="12" t="s">
        <v>252</v>
      </c>
      <c r="E129" s="13">
        <v>147000</v>
      </c>
      <c r="F129" s="15">
        <f>E129*0.6</f>
        <v>88200</v>
      </c>
      <c r="G129" s="15">
        <f>H129*F129</f>
        <v>88200</v>
      </c>
      <c r="H129" s="16">
        <v>1</v>
      </c>
      <c r="I129" s="17" t="s">
        <v>13</v>
      </c>
      <c r="J129" s="13" t="s">
        <v>16</v>
      </c>
      <c r="K129">
        <v>88200</v>
      </c>
    </row>
    <row r="130" spans="1:11" ht="21" hidden="1" customHeight="1" x14ac:dyDescent="0.25">
      <c r="A130" s="12" t="str">
        <f t="shared" ref="A130:A139" si="54">A129</f>
        <v>ВРУ-7 (ВРУ1-15-30А УХЛ4)</v>
      </c>
      <c r="B130" s="13" t="s">
        <v>33</v>
      </c>
      <c r="C130" s="14" t="s">
        <v>207</v>
      </c>
      <c r="D130" s="12" t="s">
        <v>208</v>
      </c>
      <c r="E130" s="13">
        <v>5850</v>
      </c>
      <c r="F130" s="15">
        <f t="shared" ref="F130:F131" si="55">E130</f>
        <v>5850</v>
      </c>
      <c r="G130" s="15">
        <f>F130*H130</f>
        <v>17550</v>
      </c>
      <c r="H130" s="16">
        <v>3</v>
      </c>
      <c r="I130" s="17" t="s">
        <v>13</v>
      </c>
      <c r="J130" s="13" t="s">
        <v>32</v>
      </c>
      <c r="K130">
        <v>17550</v>
      </c>
    </row>
    <row r="131" spans="1:11" ht="21" hidden="1" customHeight="1" x14ac:dyDescent="0.25">
      <c r="A131" s="12" t="str">
        <f t="shared" si="54"/>
        <v>ВРУ-7 (ВРУ1-15-30А УХЛ4)</v>
      </c>
      <c r="B131" s="13" t="s">
        <v>52</v>
      </c>
      <c r="C131" s="14" t="s">
        <v>44</v>
      </c>
      <c r="D131" s="12" t="s">
        <v>45</v>
      </c>
      <c r="E131" s="13">
        <v>50230</v>
      </c>
      <c r="F131" s="15">
        <f t="shared" si="55"/>
        <v>50230</v>
      </c>
      <c r="G131" s="15">
        <f t="shared" ref="G131:G133" si="56">F131*H131</f>
        <v>50230</v>
      </c>
      <c r="H131" s="16">
        <v>1</v>
      </c>
      <c r="I131" s="17" t="s">
        <v>13</v>
      </c>
      <c r="J131" s="13" t="s">
        <v>32</v>
      </c>
      <c r="K131">
        <v>50230</v>
      </c>
    </row>
    <row r="132" spans="1:11" ht="21" hidden="1" customHeight="1" x14ac:dyDescent="0.25">
      <c r="A132" s="12" t="str">
        <f t="shared" si="54"/>
        <v>ВРУ-7 (ВРУ1-15-30А УХЛ4)</v>
      </c>
      <c r="B132" s="13" t="s">
        <v>53</v>
      </c>
      <c r="C132" s="14" t="s">
        <v>87</v>
      </c>
      <c r="D132" s="12" t="s">
        <v>88</v>
      </c>
      <c r="E132" s="13">
        <v>4965</v>
      </c>
      <c r="F132" s="15">
        <f t="shared" ref="F132:F133" si="57">E132*0.6</f>
        <v>2979</v>
      </c>
      <c r="G132" s="15">
        <f t="shared" si="56"/>
        <v>8937</v>
      </c>
      <c r="H132" s="16">
        <v>3</v>
      </c>
      <c r="I132" s="17" t="s">
        <v>13</v>
      </c>
      <c r="J132" s="13" t="s">
        <v>17</v>
      </c>
      <c r="K132">
        <v>8937</v>
      </c>
    </row>
    <row r="133" spans="1:11" ht="21" hidden="1" customHeight="1" x14ac:dyDescent="0.25">
      <c r="A133" s="12" t="str">
        <f t="shared" si="54"/>
        <v>ВРУ-7 (ВРУ1-15-30А УХЛ4)</v>
      </c>
      <c r="B133" s="13" t="s">
        <v>53</v>
      </c>
      <c r="C133" s="14" t="s">
        <v>50</v>
      </c>
      <c r="D133" s="12" t="s">
        <v>51</v>
      </c>
      <c r="E133" s="13">
        <v>7443</v>
      </c>
      <c r="F133" s="15">
        <f t="shared" si="57"/>
        <v>4465.8</v>
      </c>
      <c r="G133" s="15">
        <f t="shared" si="56"/>
        <v>13397.400000000001</v>
      </c>
      <c r="H133" s="16">
        <v>3</v>
      </c>
      <c r="I133" s="17" t="s">
        <v>13</v>
      </c>
      <c r="J133" s="13" t="s">
        <v>17</v>
      </c>
      <c r="K133">
        <v>13397.400000000001</v>
      </c>
    </row>
    <row r="134" spans="1:11" ht="21" hidden="1" customHeight="1" x14ac:dyDescent="0.25">
      <c r="A134" s="12" t="str">
        <f t="shared" si="54"/>
        <v>ВРУ-7 (ВРУ1-15-30А УХЛ4)</v>
      </c>
      <c r="B134" s="13" t="s">
        <v>12</v>
      </c>
      <c r="C134" s="14" t="s">
        <v>21</v>
      </c>
      <c r="D134" s="12" t="s">
        <v>22</v>
      </c>
      <c r="E134" s="13">
        <v>975</v>
      </c>
      <c r="F134" s="15">
        <f>E134*0.6</f>
        <v>585</v>
      </c>
      <c r="G134" s="15">
        <f>F134*H134</f>
        <v>1170</v>
      </c>
      <c r="H134" s="16">
        <v>2</v>
      </c>
      <c r="I134" s="17" t="s">
        <v>13</v>
      </c>
      <c r="J134" s="13" t="s">
        <v>17</v>
      </c>
      <c r="K134">
        <v>1170</v>
      </c>
    </row>
    <row r="135" spans="1:11" ht="22.5" hidden="1" customHeight="1" x14ac:dyDescent="0.25">
      <c r="A135" s="12" t="str">
        <f t="shared" si="54"/>
        <v>ВРУ-7 (ВРУ1-15-30А УХЛ4)</v>
      </c>
      <c r="B135" s="13" t="s">
        <v>18</v>
      </c>
      <c r="C135" s="14" t="s">
        <v>244</v>
      </c>
      <c r="D135" s="12" t="s">
        <v>245</v>
      </c>
      <c r="E135" s="13">
        <v>90000</v>
      </c>
      <c r="F135" s="15">
        <f>E135</f>
        <v>90000</v>
      </c>
      <c r="G135" s="15">
        <f t="shared" ref="G135:G137" si="58">F135*H135</f>
        <v>90000</v>
      </c>
      <c r="H135" s="16">
        <v>1</v>
      </c>
      <c r="I135" s="17" t="s">
        <v>13</v>
      </c>
      <c r="J135" s="13" t="s">
        <v>32</v>
      </c>
      <c r="K135">
        <v>90000</v>
      </c>
    </row>
    <row r="136" spans="1:11" ht="21" hidden="1" customHeight="1" x14ac:dyDescent="0.25">
      <c r="A136" s="12" t="str">
        <f t="shared" si="54"/>
        <v>ВРУ-7 (ВРУ1-15-30А УХЛ4)</v>
      </c>
      <c r="B136" s="13" t="s">
        <v>47</v>
      </c>
      <c r="C136" s="14"/>
      <c r="D136" s="12" t="s">
        <v>47</v>
      </c>
      <c r="E136" s="13">
        <v>1000</v>
      </c>
      <c r="F136" s="15">
        <f>E136</f>
        <v>1000</v>
      </c>
      <c r="G136" s="15">
        <f t="shared" si="58"/>
        <v>1000</v>
      </c>
      <c r="H136" s="16">
        <v>1</v>
      </c>
      <c r="I136" s="17" t="s">
        <v>13</v>
      </c>
      <c r="J136" s="13" t="s">
        <v>32</v>
      </c>
      <c r="K136">
        <v>1000</v>
      </c>
    </row>
    <row r="137" spans="1:11" ht="24" hidden="1" customHeight="1" x14ac:dyDescent="0.25">
      <c r="A137" s="12" t="str">
        <f t="shared" si="54"/>
        <v>ВРУ-7 (ВРУ1-15-30А УХЛ4)</v>
      </c>
      <c r="B137" s="12" t="s">
        <v>10</v>
      </c>
      <c r="C137" s="18" t="s">
        <v>10</v>
      </c>
      <c r="D137" s="12" t="s">
        <v>10</v>
      </c>
      <c r="E137" s="12">
        <f ca="1">OFFSET(E137,1,2)</f>
        <v>39000</v>
      </c>
      <c r="F137" s="15">
        <f ca="1">E137</f>
        <v>39000</v>
      </c>
      <c r="G137" s="15">
        <f t="shared" ca="1" si="58"/>
        <v>39000</v>
      </c>
      <c r="H137" s="12">
        <v>1</v>
      </c>
      <c r="I137" s="12" t="s">
        <v>13</v>
      </c>
      <c r="J137" s="12" t="s">
        <v>10</v>
      </c>
      <c r="K137">
        <v>39000</v>
      </c>
    </row>
    <row r="138" spans="1:11" ht="21" hidden="1" customHeight="1" x14ac:dyDescent="0.25">
      <c r="A138" s="12" t="str">
        <f t="shared" si="54"/>
        <v>ВРУ-7 (ВРУ1-15-30А УХЛ4)</v>
      </c>
      <c r="B138" s="12" t="s">
        <v>11</v>
      </c>
      <c r="C138" s="18" t="s">
        <v>11</v>
      </c>
      <c r="D138" s="12" t="s">
        <v>11</v>
      </c>
      <c r="E138" s="12">
        <v>6.5</v>
      </c>
      <c r="F138" s="15">
        <v>100</v>
      </c>
      <c r="G138" s="15">
        <f>60*E138*F138</f>
        <v>39000</v>
      </c>
      <c r="H138" s="12">
        <f>60*E138</f>
        <v>390</v>
      </c>
      <c r="I138" s="12" t="s">
        <v>13</v>
      </c>
      <c r="J138" s="12" t="s">
        <v>11</v>
      </c>
      <c r="K138">
        <v>39000</v>
      </c>
    </row>
    <row r="139" spans="1:11" ht="30" customHeight="1" x14ac:dyDescent="0.25">
      <c r="A139" s="12" t="str">
        <f t="shared" si="54"/>
        <v>ВРУ-7 (ВРУ1-15-30А УХЛ4)</v>
      </c>
      <c r="B139" s="19"/>
      <c r="C139" s="20"/>
      <c r="D139" s="21"/>
      <c r="E139" s="23"/>
      <c r="F139" s="25"/>
      <c r="G139" s="24">
        <f ca="1">SUM(G129:G138)</f>
        <v>348484.4</v>
      </c>
      <c r="H139" s="20"/>
      <c r="I139" s="22"/>
      <c r="J139" s="20"/>
      <c r="K139">
        <v>348484.4</v>
      </c>
    </row>
    <row r="140" spans="1:11" ht="39.75" customHeight="1" x14ac:dyDescent="0.25">
      <c r="A140" s="5" t="str">
        <f>D140</f>
        <v>ВРУ-8 (ПР11-3059-21У3)</v>
      </c>
      <c r="B140" s="6"/>
      <c r="C140" s="7"/>
      <c r="D140" s="6" t="s">
        <v>254</v>
      </c>
      <c r="E140" s="8"/>
      <c r="F140" s="8"/>
      <c r="G140" s="9"/>
      <c r="H140" s="10">
        <v>1</v>
      </c>
      <c r="I140" s="11" t="s">
        <v>7</v>
      </c>
      <c r="J140" s="6" t="s">
        <v>9</v>
      </c>
    </row>
    <row r="141" spans="1:11" ht="21" hidden="1" customHeight="1" x14ac:dyDescent="0.25">
      <c r="A141" s="12" t="str">
        <f>A140</f>
        <v>ВРУ-8 (ПР11-3059-21У3)</v>
      </c>
      <c r="B141" s="13" t="s">
        <v>8</v>
      </c>
      <c r="C141" s="14" t="s">
        <v>239</v>
      </c>
      <c r="D141" s="12" t="s">
        <v>240</v>
      </c>
      <c r="E141" s="13">
        <v>38905</v>
      </c>
      <c r="F141" s="15">
        <f>E141*0.6</f>
        <v>23343</v>
      </c>
      <c r="G141" s="15">
        <f>H141*F141</f>
        <v>23343</v>
      </c>
      <c r="H141" s="16">
        <v>1</v>
      </c>
      <c r="I141" s="17" t="s">
        <v>13</v>
      </c>
      <c r="J141" s="13" t="s">
        <v>16</v>
      </c>
      <c r="K141">
        <v>23343</v>
      </c>
    </row>
    <row r="142" spans="1:11" ht="21" hidden="1" customHeight="1" x14ac:dyDescent="0.25">
      <c r="A142" s="12" t="str">
        <f t="shared" ref="A142:A147" si="59">A141</f>
        <v>ВРУ-8 (ПР11-3059-21У3)</v>
      </c>
      <c r="B142" s="13" t="s">
        <v>65</v>
      </c>
      <c r="C142" s="14" t="s">
        <v>89</v>
      </c>
      <c r="D142" s="12" t="s">
        <v>90</v>
      </c>
      <c r="E142" s="13">
        <v>34800</v>
      </c>
      <c r="F142" s="15">
        <f>E142*0.6</f>
        <v>20880</v>
      </c>
      <c r="G142" s="15">
        <f>F142*H142</f>
        <v>41760</v>
      </c>
      <c r="H142" s="16">
        <v>2</v>
      </c>
      <c r="I142" s="17" t="s">
        <v>13</v>
      </c>
      <c r="J142" s="13" t="s">
        <v>17</v>
      </c>
      <c r="K142">
        <v>41760</v>
      </c>
    </row>
    <row r="143" spans="1:11" ht="21" hidden="1" customHeight="1" x14ac:dyDescent="0.25">
      <c r="A143" s="12" t="str">
        <f t="shared" si="59"/>
        <v>ВРУ-8 (ПР11-3059-21У3)</v>
      </c>
      <c r="B143" s="13" t="s">
        <v>65</v>
      </c>
      <c r="C143" s="14" t="s">
        <v>30</v>
      </c>
      <c r="D143" s="12" t="s">
        <v>31</v>
      </c>
      <c r="E143" s="13">
        <v>19443</v>
      </c>
      <c r="F143" s="15">
        <f t="shared" ref="F143:F144" si="60">E143*0.6</f>
        <v>11665.8</v>
      </c>
      <c r="G143" s="15">
        <f t="shared" ref="G143:G144" si="61">F143*H143</f>
        <v>11665.8</v>
      </c>
      <c r="H143" s="16">
        <v>1</v>
      </c>
      <c r="I143" s="17" t="s">
        <v>13</v>
      </c>
      <c r="J143" s="13" t="s">
        <v>17</v>
      </c>
      <c r="K143">
        <v>11665.8</v>
      </c>
    </row>
    <row r="144" spans="1:11" ht="21" hidden="1" customHeight="1" x14ac:dyDescent="0.25">
      <c r="A144" s="12" t="str">
        <f t="shared" si="59"/>
        <v>ВРУ-8 (ПР11-3059-21У3)</v>
      </c>
      <c r="B144" s="13" t="s">
        <v>65</v>
      </c>
      <c r="C144" s="14" t="s">
        <v>91</v>
      </c>
      <c r="D144" s="12" t="s">
        <v>92</v>
      </c>
      <c r="E144" s="13">
        <v>17405</v>
      </c>
      <c r="F144" s="15">
        <f t="shared" si="60"/>
        <v>10443</v>
      </c>
      <c r="G144" s="15">
        <f t="shared" si="61"/>
        <v>20886</v>
      </c>
      <c r="H144" s="16">
        <v>2</v>
      </c>
      <c r="I144" s="17" t="s">
        <v>13</v>
      </c>
      <c r="J144" s="13" t="s">
        <v>17</v>
      </c>
      <c r="K144">
        <v>20886</v>
      </c>
    </row>
    <row r="145" spans="1:11" ht="24" hidden="1" customHeight="1" x14ac:dyDescent="0.25">
      <c r="A145" s="12" t="str">
        <f t="shared" si="59"/>
        <v>ВРУ-8 (ПР11-3059-21У3)</v>
      </c>
      <c r="B145" s="12" t="s">
        <v>10</v>
      </c>
      <c r="C145" s="18" t="s">
        <v>10</v>
      </c>
      <c r="D145" s="12" t="s">
        <v>10</v>
      </c>
      <c r="E145" s="12">
        <f ca="1">OFFSET(E145,1,2)</f>
        <v>42000</v>
      </c>
      <c r="F145" s="15">
        <f ca="1">E145</f>
        <v>42000</v>
      </c>
      <c r="G145" s="15">
        <f t="shared" ref="G145" ca="1" si="62">F145*H145</f>
        <v>42000</v>
      </c>
      <c r="H145" s="12">
        <v>1</v>
      </c>
      <c r="I145" s="12" t="s">
        <v>13</v>
      </c>
      <c r="J145" s="12" t="s">
        <v>10</v>
      </c>
      <c r="K145">
        <v>42000</v>
      </c>
    </row>
    <row r="146" spans="1:11" ht="21" hidden="1" customHeight="1" x14ac:dyDescent="0.25">
      <c r="A146" s="12" t="str">
        <f t="shared" si="59"/>
        <v>ВРУ-8 (ПР11-3059-21У3)</v>
      </c>
      <c r="B146" s="12" t="s">
        <v>11</v>
      </c>
      <c r="C146" s="18" t="s">
        <v>11</v>
      </c>
      <c r="D146" s="12" t="s">
        <v>11</v>
      </c>
      <c r="E146" s="12">
        <v>7</v>
      </c>
      <c r="F146" s="15">
        <v>100</v>
      </c>
      <c r="G146" s="15">
        <f>60*E146*F146</f>
        <v>42000</v>
      </c>
      <c r="H146" s="12">
        <f>60*E146</f>
        <v>420</v>
      </c>
      <c r="I146" s="12" t="s">
        <v>13</v>
      </c>
      <c r="J146" s="12" t="s">
        <v>11</v>
      </c>
      <c r="K146">
        <v>42000</v>
      </c>
    </row>
    <row r="147" spans="1:11" ht="30" customHeight="1" x14ac:dyDescent="0.25">
      <c r="A147" s="12" t="str">
        <f t="shared" si="59"/>
        <v>ВРУ-8 (ПР11-3059-21У3)</v>
      </c>
      <c r="B147" s="19"/>
      <c r="C147" s="20"/>
      <c r="D147" s="21"/>
      <c r="E147" s="23"/>
      <c r="F147" s="25"/>
      <c r="G147" s="24">
        <f ca="1">SUM(G141:G146)</f>
        <v>181654.8</v>
      </c>
      <c r="H147" s="20"/>
      <c r="I147" s="22"/>
      <c r="J147" s="20"/>
      <c r="K147">
        <v>181654.8</v>
      </c>
    </row>
    <row r="148" spans="1:11" ht="39.75" customHeight="1" x14ac:dyDescent="0.25">
      <c r="A148" s="5" t="str">
        <f>D148</f>
        <v>АВР-3-(АВР-Б-3-1G-63A)</v>
      </c>
      <c r="B148" s="6"/>
      <c r="C148" s="7"/>
      <c r="D148" s="6" t="s">
        <v>247</v>
      </c>
      <c r="E148" s="8"/>
      <c r="F148" s="8"/>
      <c r="G148" s="9"/>
      <c r="H148" s="10">
        <v>1</v>
      </c>
      <c r="I148" s="11" t="s">
        <v>7</v>
      </c>
      <c r="J148" s="6" t="s">
        <v>9</v>
      </c>
    </row>
    <row r="149" spans="1:11" ht="21" hidden="1" customHeight="1" x14ac:dyDescent="0.25">
      <c r="A149" s="12" t="str">
        <f>A148</f>
        <v>АВР-3-(АВР-Б-3-1G-63A)</v>
      </c>
      <c r="B149" s="13" t="s">
        <v>8</v>
      </c>
      <c r="C149" s="14" t="s">
        <v>239</v>
      </c>
      <c r="D149" s="12" t="s">
        <v>240</v>
      </c>
      <c r="E149" s="13">
        <v>38905</v>
      </c>
      <c r="F149" s="15">
        <f t="shared" ref="F149:F154" si="63">E149*0.6</f>
        <v>23343</v>
      </c>
      <c r="G149" s="15">
        <f>H149*F149</f>
        <v>23343</v>
      </c>
      <c r="H149" s="16">
        <v>1</v>
      </c>
      <c r="I149" s="17" t="s">
        <v>13</v>
      </c>
      <c r="J149" s="13" t="s">
        <v>16</v>
      </c>
      <c r="K149">
        <v>23343</v>
      </c>
    </row>
    <row r="150" spans="1:11" ht="21" hidden="1" customHeight="1" x14ac:dyDescent="0.25">
      <c r="A150" s="12" t="str">
        <f t="shared" ref="A150:A157" si="64">A149</f>
        <v>АВР-3-(АВР-Б-3-1G-63A)</v>
      </c>
      <c r="B150" s="13" t="s">
        <v>93</v>
      </c>
      <c r="C150" s="26" t="s">
        <v>94</v>
      </c>
      <c r="D150" s="12" t="s">
        <v>95</v>
      </c>
      <c r="E150" s="27">
        <v>201639</v>
      </c>
      <c r="F150" s="15">
        <f t="shared" si="63"/>
        <v>120983.4</v>
      </c>
      <c r="G150" s="15">
        <f>F150*H150</f>
        <v>241966.8</v>
      </c>
      <c r="H150" s="16">
        <v>2</v>
      </c>
      <c r="I150" s="17" t="s">
        <v>13</v>
      </c>
      <c r="J150" s="13" t="s">
        <v>17</v>
      </c>
      <c r="K150">
        <v>241966.8</v>
      </c>
    </row>
    <row r="151" spans="1:11" ht="21" hidden="1" customHeight="1" x14ac:dyDescent="0.25">
      <c r="A151" s="12" t="str">
        <f t="shared" si="64"/>
        <v>АВР-3-(АВР-Б-3-1G-63A)</v>
      </c>
      <c r="B151" s="13" t="s">
        <v>12</v>
      </c>
      <c r="C151" s="26" t="s">
        <v>220</v>
      </c>
      <c r="D151" s="12" t="s">
        <v>221</v>
      </c>
      <c r="E151" s="27">
        <v>5441</v>
      </c>
      <c r="F151" s="15">
        <f t="shared" si="63"/>
        <v>3264.6</v>
      </c>
      <c r="G151" s="15">
        <f>F151*H151</f>
        <v>13058.4</v>
      </c>
      <c r="H151" s="16">
        <v>4</v>
      </c>
      <c r="I151" s="17" t="s">
        <v>13</v>
      </c>
      <c r="J151" s="13" t="s">
        <v>17</v>
      </c>
      <c r="K151">
        <v>13058.4</v>
      </c>
    </row>
    <row r="152" spans="1:11" ht="21" hidden="1" customHeight="1" x14ac:dyDescent="0.25">
      <c r="A152" s="12" t="str">
        <f t="shared" si="64"/>
        <v>АВР-3-(АВР-Б-3-1G-63A)</v>
      </c>
      <c r="B152" s="13" t="s">
        <v>228</v>
      </c>
      <c r="C152" s="26" t="s">
        <v>222</v>
      </c>
      <c r="D152" s="12" t="s">
        <v>223</v>
      </c>
      <c r="E152" s="27">
        <v>571</v>
      </c>
      <c r="F152" s="15">
        <f t="shared" si="63"/>
        <v>342.59999999999997</v>
      </c>
      <c r="G152" s="15">
        <f>F152*H152</f>
        <v>1027.8</v>
      </c>
      <c r="H152" s="16">
        <v>3</v>
      </c>
      <c r="I152" s="17" t="s">
        <v>13</v>
      </c>
      <c r="J152" s="13" t="s">
        <v>17</v>
      </c>
      <c r="K152">
        <v>1027.8</v>
      </c>
    </row>
    <row r="153" spans="1:11" ht="21" hidden="1" customHeight="1" x14ac:dyDescent="0.25">
      <c r="A153" s="12" t="str">
        <f t="shared" si="64"/>
        <v>АВР-3-(АВР-Б-3-1G-63A)</v>
      </c>
      <c r="B153" s="13" t="s">
        <v>228</v>
      </c>
      <c r="C153" s="26" t="s">
        <v>224</v>
      </c>
      <c r="D153" s="12" t="s">
        <v>225</v>
      </c>
      <c r="E153" s="27">
        <v>589</v>
      </c>
      <c r="F153" s="15">
        <f t="shared" si="63"/>
        <v>353.4</v>
      </c>
      <c r="G153" s="15">
        <f>F153*H153</f>
        <v>1060.1999999999998</v>
      </c>
      <c r="H153" s="16">
        <v>3</v>
      </c>
      <c r="I153" s="17" t="s">
        <v>13</v>
      </c>
      <c r="J153" s="13" t="s">
        <v>17</v>
      </c>
      <c r="K153">
        <v>1060.1999999999998</v>
      </c>
    </row>
    <row r="154" spans="1:11" ht="21" hidden="1" customHeight="1" x14ac:dyDescent="0.25">
      <c r="A154" s="12" t="str">
        <f t="shared" si="64"/>
        <v>АВР-3-(АВР-Б-3-1G-63A)</v>
      </c>
      <c r="B154" s="13" t="s">
        <v>228</v>
      </c>
      <c r="C154" s="26" t="s">
        <v>226</v>
      </c>
      <c r="D154" s="12" t="s">
        <v>227</v>
      </c>
      <c r="E154" s="27">
        <v>571</v>
      </c>
      <c r="F154" s="15">
        <f t="shared" si="63"/>
        <v>342.59999999999997</v>
      </c>
      <c r="G154" s="15">
        <f>F154*H154</f>
        <v>1027.8</v>
      </c>
      <c r="H154" s="16">
        <v>3</v>
      </c>
      <c r="I154" s="17" t="s">
        <v>13</v>
      </c>
      <c r="J154" s="13" t="s">
        <v>17</v>
      </c>
      <c r="K154">
        <v>1027.8</v>
      </c>
    </row>
    <row r="155" spans="1:11" ht="24" hidden="1" customHeight="1" x14ac:dyDescent="0.25">
      <c r="A155" s="12" t="str">
        <f>A150</f>
        <v>АВР-3-(АВР-Б-3-1G-63A)</v>
      </c>
      <c r="B155" s="12" t="s">
        <v>10</v>
      </c>
      <c r="C155" s="18" t="s">
        <v>10</v>
      </c>
      <c r="D155" s="12" t="s">
        <v>10</v>
      </c>
      <c r="E155" s="12">
        <f ca="1">OFFSET(E155,1,2)</f>
        <v>36000</v>
      </c>
      <c r="F155" s="15">
        <f ca="1">E155</f>
        <v>36000</v>
      </c>
      <c r="G155" s="15">
        <f t="shared" ref="G155" ca="1" si="65">F155*H155</f>
        <v>36000</v>
      </c>
      <c r="H155" s="12">
        <v>1</v>
      </c>
      <c r="I155" s="12" t="s">
        <v>13</v>
      </c>
      <c r="J155" s="12" t="s">
        <v>10</v>
      </c>
      <c r="K155">
        <v>36000</v>
      </c>
    </row>
    <row r="156" spans="1:11" ht="21" hidden="1" customHeight="1" x14ac:dyDescent="0.25">
      <c r="A156" s="12" t="str">
        <f t="shared" si="64"/>
        <v>АВР-3-(АВР-Б-3-1G-63A)</v>
      </c>
      <c r="B156" s="12" t="s">
        <v>11</v>
      </c>
      <c r="C156" s="18" t="s">
        <v>11</v>
      </c>
      <c r="D156" s="12" t="s">
        <v>11</v>
      </c>
      <c r="E156" s="12">
        <v>6</v>
      </c>
      <c r="F156" s="15">
        <v>100</v>
      </c>
      <c r="G156" s="15">
        <f>60*E156*F156</f>
        <v>36000</v>
      </c>
      <c r="H156" s="12">
        <f>60*E156</f>
        <v>360</v>
      </c>
      <c r="I156" s="12" t="s">
        <v>13</v>
      </c>
      <c r="J156" s="12" t="s">
        <v>11</v>
      </c>
      <c r="K156">
        <v>36000</v>
      </c>
    </row>
    <row r="157" spans="1:11" ht="30" customHeight="1" x14ac:dyDescent="0.25">
      <c r="A157" s="12" t="str">
        <f t="shared" si="64"/>
        <v>АВР-3-(АВР-Б-3-1G-63A)</v>
      </c>
      <c r="B157" s="19"/>
      <c r="C157" s="20"/>
      <c r="D157" s="21"/>
      <c r="E157" s="23"/>
      <c r="F157" s="25"/>
      <c r="G157" s="24">
        <f ca="1">SUM(G149:G156)</f>
        <v>353484</v>
      </c>
      <c r="H157" s="20"/>
      <c r="I157" s="22"/>
      <c r="J157" s="20"/>
      <c r="K157">
        <v>353484</v>
      </c>
    </row>
    <row r="158" spans="1:11" ht="39.75" customHeight="1" x14ac:dyDescent="0.25">
      <c r="A158" s="5" t="str">
        <f>D158</f>
        <v>ЩАВР-3</v>
      </c>
      <c r="B158" s="6"/>
      <c r="C158" s="7"/>
      <c r="D158" s="6" t="s">
        <v>96</v>
      </c>
      <c r="E158" s="8"/>
      <c r="F158" s="8"/>
      <c r="G158" s="9"/>
      <c r="H158" s="10">
        <v>1</v>
      </c>
      <c r="I158" s="11" t="s">
        <v>7</v>
      </c>
      <c r="J158" s="6" t="s">
        <v>9</v>
      </c>
    </row>
    <row r="159" spans="1:11" ht="21" hidden="1" customHeight="1" x14ac:dyDescent="0.25">
      <c r="A159" s="12" t="str">
        <f>A158</f>
        <v>ЩАВР-3</v>
      </c>
      <c r="B159" s="13" t="s">
        <v>8</v>
      </c>
      <c r="C159" s="14" t="s">
        <v>233</v>
      </c>
      <c r="D159" s="12" t="s">
        <v>234</v>
      </c>
      <c r="E159" s="13">
        <v>24000</v>
      </c>
      <c r="F159" s="15">
        <f>E159*0.6</f>
        <v>14400</v>
      </c>
      <c r="G159" s="15">
        <f>H159*F159</f>
        <v>14400</v>
      </c>
      <c r="H159" s="16">
        <v>1</v>
      </c>
      <c r="I159" s="17" t="s">
        <v>13</v>
      </c>
      <c r="J159" s="13" t="s">
        <v>16</v>
      </c>
      <c r="K159">
        <v>14400</v>
      </c>
    </row>
    <row r="160" spans="1:11" ht="20.25" hidden="1" customHeight="1" x14ac:dyDescent="0.25">
      <c r="A160" s="12" t="str">
        <f t="shared" ref="A160:A168" si="66">A159</f>
        <v>ЩАВР-3</v>
      </c>
      <c r="B160" s="13" t="s">
        <v>34</v>
      </c>
      <c r="C160" s="14" t="s">
        <v>97</v>
      </c>
      <c r="D160" s="12" t="s">
        <v>98</v>
      </c>
      <c r="E160" s="13">
        <v>4217</v>
      </c>
      <c r="F160" s="15">
        <f t="shared" ref="F160" si="67">E160*0.6</f>
        <v>2530.1999999999998</v>
      </c>
      <c r="G160" s="15">
        <f t="shared" ref="G160" si="68">F160*H160</f>
        <v>2530.1999999999998</v>
      </c>
      <c r="H160" s="16">
        <v>1</v>
      </c>
      <c r="I160" s="17" t="s">
        <v>13</v>
      </c>
      <c r="J160" s="13" t="s">
        <v>17</v>
      </c>
      <c r="K160">
        <v>2530.1999999999998</v>
      </c>
    </row>
    <row r="161" spans="1:11" ht="20.25" hidden="1" customHeight="1" x14ac:dyDescent="0.25">
      <c r="A161" s="12" t="str">
        <f t="shared" si="66"/>
        <v>ЩАВР-3</v>
      </c>
      <c r="B161" s="13" t="s">
        <v>12</v>
      </c>
      <c r="C161" s="14" t="s">
        <v>36</v>
      </c>
      <c r="D161" s="12" t="s">
        <v>35</v>
      </c>
      <c r="E161" s="13">
        <v>2606</v>
      </c>
      <c r="F161" s="15">
        <f t="shared" ref="F161:F163" si="69">E161*0.6</f>
        <v>1563.6</v>
      </c>
      <c r="G161" s="15">
        <f t="shared" ref="G161:G163" si="70">F161*H161</f>
        <v>1563.6</v>
      </c>
      <c r="H161" s="16">
        <v>1</v>
      </c>
      <c r="I161" s="17" t="s">
        <v>13</v>
      </c>
      <c r="J161" s="13" t="s">
        <v>17</v>
      </c>
      <c r="K161">
        <v>1563.6</v>
      </c>
    </row>
    <row r="162" spans="1:11" ht="21" hidden="1" customHeight="1" x14ac:dyDescent="0.25">
      <c r="A162" s="12" t="str">
        <f t="shared" si="66"/>
        <v>ЩАВР-3</v>
      </c>
      <c r="B162" s="13" t="s">
        <v>12</v>
      </c>
      <c r="C162" s="14" t="s">
        <v>23</v>
      </c>
      <c r="D162" s="12" t="s">
        <v>24</v>
      </c>
      <c r="E162" s="13">
        <v>2429</v>
      </c>
      <c r="F162" s="15">
        <f t="shared" si="69"/>
        <v>1457.3999999999999</v>
      </c>
      <c r="G162" s="15">
        <f t="shared" si="70"/>
        <v>1457.3999999999999</v>
      </c>
      <c r="H162" s="16">
        <v>1</v>
      </c>
      <c r="I162" s="17" t="s">
        <v>13</v>
      </c>
      <c r="J162" s="13" t="s">
        <v>17</v>
      </c>
      <c r="K162">
        <v>1457.3999999999999</v>
      </c>
    </row>
    <row r="163" spans="1:11" ht="21" hidden="1" customHeight="1" x14ac:dyDescent="0.25">
      <c r="A163" s="12" t="str">
        <f t="shared" si="66"/>
        <v>ЩАВР-3</v>
      </c>
      <c r="B163" s="13" t="s">
        <v>12</v>
      </c>
      <c r="C163" s="14" t="s">
        <v>74</v>
      </c>
      <c r="D163" s="12" t="s">
        <v>75</v>
      </c>
      <c r="E163" s="13">
        <v>2499</v>
      </c>
      <c r="F163" s="15">
        <f t="shared" si="69"/>
        <v>1499.3999999999999</v>
      </c>
      <c r="G163" s="15">
        <f t="shared" si="70"/>
        <v>2998.7999999999997</v>
      </c>
      <c r="H163" s="16">
        <v>2</v>
      </c>
      <c r="I163" s="17" t="s">
        <v>13</v>
      </c>
      <c r="J163" s="13" t="s">
        <v>17</v>
      </c>
      <c r="K163">
        <v>2998.7999999999997</v>
      </c>
    </row>
    <row r="164" spans="1:11" ht="21" hidden="1" customHeight="1" x14ac:dyDescent="0.25">
      <c r="A164" s="12" t="str">
        <f t="shared" si="66"/>
        <v>ЩАВР-3</v>
      </c>
      <c r="B164" s="13" t="s">
        <v>12</v>
      </c>
      <c r="C164" s="14" t="s">
        <v>72</v>
      </c>
      <c r="D164" s="12" t="s">
        <v>73</v>
      </c>
      <c r="E164" s="13">
        <v>796</v>
      </c>
      <c r="F164" s="15">
        <f>E164*0.6</f>
        <v>477.59999999999997</v>
      </c>
      <c r="G164" s="15">
        <f>F164*H164</f>
        <v>3820.7999999999997</v>
      </c>
      <c r="H164" s="16">
        <v>8</v>
      </c>
      <c r="I164" s="17" t="s">
        <v>13</v>
      </c>
      <c r="J164" s="13" t="s">
        <v>17</v>
      </c>
      <c r="K164">
        <v>3820.7999999999997</v>
      </c>
    </row>
    <row r="165" spans="1:11" ht="22.5" hidden="1" customHeight="1" x14ac:dyDescent="0.25">
      <c r="A165" s="12" t="str">
        <f t="shared" si="66"/>
        <v>ЩАВР-3</v>
      </c>
      <c r="B165" s="13" t="s">
        <v>18</v>
      </c>
      <c r="C165" s="14" t="s">
        <v>229</v>
      </c>
      <c r="D165" s="12" t="s">
        <v>230</v>
      </c>
      <c r="E165" s="13">
        <v>39100</v>
      </c>
      <c r="F165" s="15">
        <f>E165</f>
        <v>39100</v>
      </c>
      <c r="G165" s="15">
        <f t="shared" ref="G165:G166" si="71">F165*H165</f>
        <v>39100</v>
      </c>
      <c r="H165" s="16">
        <v>1</v>
      </c>
      <c r="I165" s="17" t="s">
        <v>13</v>
      </c>
      <c r="J165" s="13" t="s">
        <v>32</v>
      </c>
      <c r="K165">
        <v>39100</v>
      </c>
    </row>
    <row r="166" spans="1:11" ht="24" hidden="1" customHeight="1" x14ac:dyDescent="0.25">
      <c r="A166" s="12" t="str">
        <f t="shared" si="66"/>
        <v>ЩАВР-3</v>
      </c>
      <c r="B166" s="12" t="s">
        <v>10</v>
      </c>
      <c r="C166" s="18" t="s">
        <v>10</v>
      </c>
      <c r="D166" s="12" t="s">
        <v>10</v>
      </c>
      <c r="E166" s="12">
        <f ca="1">OFFSET(E166,1,2)</f>
        <v>21000</v>
      </c>
      <c r="F166" s="15">
        <f ca="1">E166</f>
        <v>21000</v>
      </c>
      <c r="G166" s="15">
        <f t="shared" ca="1" si="71"/>
        <v>21000</v>
      </c>
      <c r="H166" s="12">
        <v>1</v>
      </c>
      <c r="I166" s="12" t="s">
        <v>13</v>
      </c>
      <c r="J166" s="12" t="s">
        <v>10</v>
      </c>
      <c r="K166">
        <v>21000</v>
      </c>
    </row>
    <row r="167" spans="1:11" ht="21" hidden="1" customHeight="1" x14ac:dyDescent="0.25">
      <c r="A167" s="12" t="str">
        <f t="shared" si="66"/>
        <v>ЩАВР-3</v>
      </c>
      <c r="B167" s="12" t="s">
        <v>11</v>
      </c>
      <c r="C167" s="18" t="s">
        <v>11</v>
      </c>
      <c r="D167" s="12" t="s">
        <v>11</v>
      </c>
      <c r="E167" s="12">
        <v>3.5</v>
      </c>
      <c r="F167" s="15">
        <v>100</v>
      </c>
      <c r="G167" s="15">
        <f>60*E167*F167</f>
        <v>21000</v>
      </c>
      <c r="H167" s="12">
        <f>60*E167</f>
        <v>210</v>
      </c>
      <c r="I167" s="12" t="s">
        <v>13</v>
      </c>
      <c r="J167" s="12" t="s">
        <v>11</v>
      </c>
      <c r="K167">
        <v>21000</v>
      </c>
    </row>
    <row r="168" spans="1:11" ht="30" customHeight="1" x14ac:dyDescent="0.25">
      <c r="A168" s="12" t="str">
        <f t="shared" si="66"/>
        <v>ЩАВР-3</v>
      </c>
      <c r="B168" s="19"/>
      <c r="C168" s="20"/>
      <c r="D168" s="21"/>
      <c r="E168" s="23"/>
      <c r="F168" s="25"/>
      <c r="G168" s="24">
        <f ca="1">SUM(G159:G167)</f>
        <v>107870.8</v>
      </c>
      <c r="H168" s="20"/>
      <c r="I168" s="22"/>
      <c r="J168" s="20"/>
      <c r="K168">
        <v>107870.8</v>
      </c>
    </row>
    <row r="169" spans="1:11" ht="39.75" customHeight="1" x14ac:dyDescent="0.25">
      <c r="A169" s="5" t="str">
        <f>D169</f>
        <v>ВРУ-9 (ПР11-1117-21У3)</v>
      </c>
      <c r="B169" s="6"/>
      <c r="C169" s="7"/>
      <c r="D169" s="6" t="s">
        <v>255</v>
      </c>
      <c r="E169" s="8"/>
      <c r="F169" s="8"/>
      <c r="G169" s="9"/>
      <c r="H169" s="10">
        <v>1</v>
      </c>
      <c r="I169" s="11" t="s">
        <v>7</v>
      </c>
      <c r="J169" s="6" t="s">
        <v>9</v>
      </c>
    </row>
    <row r="170" spans="1:11" ht="21" hidden="1" customHeight="1" x14ac:dyDescent="0.25">
      <c r="A170" s="12" t="str">
        <f>A169</f>
        <v>ВРУ-9 (ПР11-1117-21У3)</v>
      </c>
      <c r="B170" s="13" t="s">
        <v>8</v>
      </c>
      <c r="C170" s="14" t="s">
        <v>235</v>
      </c>
      <c r="D170" s="12" t="s">
        <v>236</v>
      </c>
      <c r="E170" s="13">
        <v>28000</v>
      </c>
      <c r="F170" s="15">
        <f>E170*0.6</f>
        <v>16800</v>
      </c>
      <c r="G170" s="15">
        <f>H170*F170</f>
        <v>16800</v>
      </c>
      <c r="H170" s="16">
        <v>1</v>
      </c>
      <c r="I170" s="17" t="s">
        <v>13</v>
      </c>
      <c r="J170" s="13" t="s">
        <v>16</v>
      </c>
      <c r="K170">
        <v>16800</v>
      </c>
    </row>
    <row r="171" spans="1:11" ht="21" hidden="1" customHeight="1" x14ac:dyDescent="0.25">
      <c r="A171" s="12" t="str">
        <f t="shared" ref="A171:A175" si="72">A170</f>
        <v>ВРУ-9 (ПР11-1117-21У3)</v>
      </c>
      <c r="B171" s="13" t="s">
        <v>65</v>
      </c>
      <c r="C171" s="14" t="s">
        <v>55</v>
      </c>
      <c r="D171" s="12" t="s">
        <v>56</v>
      </c>
      <c r="E171" s="13">
        <v>19760</v>
      </c>
      <c r="F171" s="15">
        <f>E171*0.6</f>
        <v>11856</v>
      </c>
      <c r="G171" s="15">
        <f>F171*H171</f>
        <v>23712</v>
      </c>
      <c r="H171" s="16">
        <v>2</v>
      </c>
      <c r="I171" s="17" t="s">
        <v>13</v>
      </c>
      <c r="J171" s="13" t="s">
        <v>17</v>
      </c>
      <c r="K171">
        <v>23712</v>
      </c>
    </row>
    <row r="172" spans="1:11" ht="21" hidden="1" customHeight="1" x14ac:dyDescent="0.25">
      <c r="A172" s="12" t="str">
        <f t="shared" si="72"/>
        <v>ВРУ-9 (ПР11-1117-21У3)</v>
      </c>
      <c r="B172" s="13" t="s">
        <v>47</v>
      </c>
      <c r="C172" s="14"/>
      <c r="D172" s="12" t="s">
        <v>47</v>
      </c>
      <c r="E172" s="13">
        <v>1000</v>
      </c>
      <c r="F172" s="15">
        <f>E172</f>
        <v>1000</v>
      </c>
      <c r="G172" s="15">
        <f t="shared" ref="G172" si="73">F172*H172</f>
        <v>1000</v>
      </c>
      <c r="H172" s="16">
        <v>1</v>
      </c>
      <c r="I172" s="17" t="s">
        <v>13</v>
      </c>
      <c r="J172" s="13" t="s">
        <v>32</v>
      </c>
      <c r="K172">
        <v>1000</v>
      </c>
    </row>
    <row r="173" spans="1:11" ht="24" hidden="1" customHeight="1" x14ac:dyDescent="0.25">
      <c r="A173" s="12" t="str">
        <f t="shared" si="72"/>
        <v>ВРУ-9 (ПР11-1117-21У3)</v>
      </c>
      <c r="B173" s="12" t="s">
        <v>10</v>
      </c>
      <c r="C173" s="18" t="s">
        <v>10</v>
      </c>
      <c r="D173" s="12" t="s">
        <v>10</v>
      </c>
      <c r="E173" s="12">
        <f ca="1">OFFSET(E173,1,2)</f>
        <v>15000</v>
      </c>
      <c r="F173" s="15">
        <f ca="1">E173</f>
        <v>15000</v>
      </c>
      <c r="G173" s="15">
        <f t="shared" ref="G173" ca="1" si="74">F173*H173</f>
        <v>15000</v>
      </c>
      <c r="H173" s="12">
        <v>1</v>
      </c>
      <c r="I173" s="12" t="s">
        <v>13</v>
      </c>
      <c r="J173" s="12" t="s">
        <v>10</v>
      </c>
      <c r="K173">
        <v>15000</v>
      </c>
    </row>
    <row r="174" spans="1:11" ht="21" hidden="1" customHeight="1" x14ac:dyDescent="0.25">
      <c r="A174" s="12" t="str">
        <f t="shared" si="72"/>
        <v>ВРУ-9 (ПР11-1117-21У3)</v>
      </c>
      <c r="B174" s="12" t="s">
        <v>11</v>
      </c>
      <c r="C174" s="18" t="s">
        <v>11</v>
      </c>
      <c r="D174" s="12" t="s">
        <v>11</v>
      </c>
      <c r="E174" s="12">
        <v>2.5</v>
      </c>
      <c r="F174" s="15">
        <v>100</v>
      </c>
      <c r="G174" s="15">
        <f>60*E174*F174</f>
        <v>15000</v>
      </c>
      <c r="H174" s="12">
        <f>60*E174</f>
        <v>150</v>
      </c>
      <c r="I174" s="12" t="s">
        <v>13</v>
      </c>
      <c r="J174" s="12" t="s">
        <v>11</v>
      </c>
      <c r="K174">
        <v>15000</v>
      </c>
    </row>
    <row r="175" spans="1:11" ht="30" customHeight="1" x14ac:dyDescent="0.25">
      <c r="A175" s="12" t="str">
        <f t="shared" si="72"/>
        <v>ВРУ-9 (ПР11-1117-21У3)</v>
      </c>
      <c r="B175" s="19"/>
      <c r="C175" s="20"/>
      <c r="D175" s="21"/>
      <c r="E175" s="23"/>
      <c r="F175" s="25"/>
      <c r="G175" s="24">
        <f ca="1">SUM(G170:G174)</f>
        <v>71512</v>
      </c>
      <c r="H175" s="20"/>
      <c r="I175" s="22"/>
      <c r="J175" s="20"/>
      <c r="K175">
        <v>71512</v>
      </c>
    </row>
    <row r="176" spans="1:11" ht="39.75" customHeight="1" x14ac:dyDescent="0.25">
      <c r="A176" s="5" t="str">
        <f>D176</f>
        <v>ЩО-1, ЩО-3, ЩО-4, ЩО-6, ЩО-7, ЩО-9</v>
      </c>
      <c r="B176" s="6"/>
      <c r="C176" s="7"/>
      <c r="D176" s="6" t="s">
        <v>102</v>
      </c>
      <c r="E176" s="8"/>
      <c r="F176" s="8"/>
      <c r="G176" s="9"/>
      <c r="H176" s="10">
        <v>6</v>
      </c>
      <c r="I176" s="11" t="s">
        <v>7</v>
      </c>
      <c r="J176" s="6" t="s">
        <v>9</v>
      </c>
    </row>
    <row r="177" spans="1:11" ht="21" hidden="1" customHeight="1" x14ac:dyDescent="0.25">
      <c r="A177" s="12" t="str">
        <f>A176</f>
        <v>ЩО-1, ЩО-3, ЩО-4, ЩО-6, ЩО-7, ЩО-9</v>
      </c>
      <c r="B177" s="13" t="s">
        <v>8</v>
      </c>
      <c r="C177" s="14" t="s">
        <v>214</v>
      </c>
      <c r="D177" s="12" t="s">
        <v>215</v>
      </c>
      <c r="E177" s="13">
        <v>10500</v>
      </c>
      <c r="F177" s="15">
        <f>E177*0.6</f>
        <v>6300</v>
      </c>
      <c r="G177" s="15">
        <f>H177*F177</f>
        <v>6300</v>
      </c>
      <c r="H177" s="16">
        <v>1</v>
      </c>
      <c r="I177" s="17" t="s">
        <v>13</v>
      </c>
      <c r="J177" s="13" t="s">
        <v>16</v>
      </c>
      <c r="K177">
        <v>6300</v>
      </c>
    </row>
    <row r="178" spans="1:11" ht="20.25" hidden="1" customHeight="1" x14ac:dyDescent="0.25">
      <c r="A178" s="12" t="str">
        <f t="shared" ref="A178:A179" si="75">A177</f>
        <v>ЩО-1, ЩО-3, ЩО-4, ЩО-6, ЩО-7, ЩО-9</v>
      </c>
      <c r="B178" s="13" t="s">
        <v>34</v>
      </c>
      <c r="C178" s="14" t="s">
        <v>99</v>
      </c>
      <c r="D178" s="12" t="s">
        <v>100</v>
      </c>
      <c r="E178" s="13">
        <v>3372</v>
      </c>
      <c r="F178" s="15">
        <f t="shared" ref="F178:F179" si="76">E178*0.6</f>
        <v>2023.1999999999998</v>
      </c>
      <c r="G178" s="15">
        <f t="shared" ref="G178:G179" si="77">F178*H178</f>
        <v>2023.1999999999998</v>
      </c>
      <c r="H178" s="16">
        <v>1</v>
      </c>
      <c r="I178" s="17" t="s">
        <v>13</v>
      </c>
      <c r="J178" s="13" t="s">
        <v>17</v>
      </c>
      <c r="K178">
        <v>2023.1999999999998</v>
      </c>
    </row>
    <row r="179" spans="1:11" ht="21" hidden="1" customHeight="1" x14ac:dyDescent="0.25">
      <c r="A179" s="12" t="str">
        <f t="shared" si="75"/>
        <v>ЩО-1, ЩО-3, ЩО-4, ЩО-6, ЩО-7, ЩО-9</v>
      </c>
      <c r="B179" s="13" t="s">
        <v>12</v>
      </c>
      <c r="C179" s="14" t="s">
        <v>19</v>
      </c>
      <c r="D179" s="12" t="s">
        <v>20</v>
      </c>
      <c r="E179" s="13">
        <v>783</v>
      </c>
      <c r="F179" s="15">
        <f t="shared" si="76"/>
        <v>469.79999999999995</v>
      </c>
      <c r="G179" s="15">
        <f t="shared" si="77"/>
        <v>2818.7999999999997</v>
      </c>
      <c r="H179" s="16">
        <v>6</v>
      </c>
      <c r="I179" s="17" t="s">
        <v>13</v>
      </c>
      <c r="J179" s="13" t="s">
        <v>17</v>
      </c>
      <c r="K179">
        <v>2818.7999999999997</v>
      </c>
    </row>
    <row r="180" spans="1:11" ht="24" hidden="1" customHeight="1" x14ac:dyDescent="0.25">
      <c r="A180" s="12" t="str">
        <f t="shared" ref="A180:A182" si="78">A179</f>
        <v>ЩО-1, ЩО-3, ЩО-4, ЩО-6, ЩО-7, ЩО-9</v>
      </c>
      <c r="B180" s="12" t="s">
        <v>10</v>
      </c>
      <c r="C180" s="18" t="s">
        <v>10</v>
      </c>
      <c r="D180" s="12" t="s">
        <v>10</v>
      </c>
      <c r="E180" s="12">
        <f ca="1">OFFSET(E180,1,2)</f>
        <v>6000</v>
      </c>
      <c r="F180" s="15">
        <f ca="1">E180</f>
        <v>6000</v>
      </c>
      <c r="G180" s="15">
        <f t="shared" ref="G180" ca="1" si="79">F180*H180</f>
        <v>6000</v>
      </c>
      <c r="H180" s="12">
        <v>1</v>
      </c>
      <c r="I180" s="12" t="s">
        <v>13</v>
      </c>
      <c r="J180" s="12" t="s">
        <v>10</v>
      </c>
      <c r="K180">
        <v>6000</v>
      </c>
    </row>
    <row r="181" spans="1:11" ht="21" hidden="1" customHeight="1" x14ac:dyDescent="0.25">
      <c r="A181" s="12" t="str">
        <f t="shared" si="78"/>
        <v>ЩО-1, ЩО-3, ЩО-4, ЩО-6, ЩО-7, ЩО-9</v>
      </c>
      <c r="B181" s="12" t="s">
        <v>11</v>
      </c>
      <c r="C181" s="18" t="s">
        <v>11</v>
      </c>
      <c r="D181" s="12" t="s">
        <v>11</v>
      </c>
      <c r="E181" s="12">
        <v>1</v>
      </c>
      <c r="F181" s="15">
        <v>100</v>
      </c>
      <c r="G181" s="15">
        <f>60*E181*F181</f>
        <v>6000</v>
      </c>
      <c r="H181" s="12">
        <f>60*E181</f>
        <v>60</v>
      </c>
      <c r="I181" s="12" t="s">
        <v>13</v>
      </c>
      <c r="J181" s="12" t="s">
        <v>11</v>
      </c>
      <c r="K181">
        <v>6000</v>
      </c>
    </row>
    <row r="182" spans="1:11" ht="30" customHeight="1" x14ac:dyDescent="0.25">
      <c r="A182" s="12" t="str">
        <f t="shared" si="78"/>
        <v>ЩО-1, ЩО-3, ЩО-4, ЩО-6, ЩО-7, ЩО-9</v>
      </c>
      <c r="B182" s="19"/>
      <c r="C182" s="20"/>
      <c r="D182" s="21"/>
      <c r="E182" s="23"/>
      <c r="F182" s="25"/>
      <c r="G182" s="24">
        <f ca="1">SUM(G177:G181)</f>
        <v>23142</v>
      </c>
      <c r="H182" s="20"/>
      <c r="I182" s="22"/>
      <c r="J182" s="20"/>
      <c r="K182">
        <v>23142</v>
      </c>
    </row>
    <row r="183" spans="1:11" ht="39.75" customHeight="1" x14ac:dyDescent="0.25">
      <c r="A183" s="5" t="str">
        <f>D183</f>
        <v>ЩО-2, ЩО-5, ЩО-8</v>
      </c>
      <c r="B183" s="6"/>
      <c r="C183" s="7"/>
      <c r="D183" s="6" t="s">
        <v>101</v>
      </c>
      <c r="E183" s="8"/>
      <c r="F183" s="8"/>
      <c r="G183" s="9"/>
      <c r="H183" s="10">
        <v>3</v>
      </c>
      <c r="I183" s="11" t="s">
        <v>7</v>
      </c>
      <c r="J183" s="6" t="s">
        <v>9</v>
      </c>
    </row>
    <row r="184" spans="1:11" ht="21" hidden="1" customHeight="1" x14ac:dyDescent="0.25">
      <c r="A184" s="12" t="str">
        <f>A183</f>
        <v>ЩО-2, ЩО-5, ЩО-8</v>
      </c>
      <c r="B184" s="13" t="s">
        <v>8</v>
      </c>
      <c r="C184" s="14" t="s">
        <v>214</v>
      </c>
      <c r="D184" s="12" t="s">
        <v>215</v>
      </c>
      <c r="E184" s="13">
        <v>10500</v>
      </c>
      <c r="F184" s="15">
        <f>E184*0.6</f>
        <v>6300</v>
      </c>
      <c r="G184" s="15">
        <f>H184*F184</f>
        <v>6300</v>
      </c>
      <c r="H184" s="16">
        <v>1</v>
      </c>
      <c r="I184" s="17" t="s">
        <v>13</v>
      </c>
      <c r="J184" s="13" t="s">
        <v>16</v>
      </c>
      <c r="K184">
        <v>6300</v>
      </c>
    </row>
    <row r="185" spans="1:11" ht="20.25" hidden="1" customHeight="1" x14ac:dyDescent="0.25">
      <c r="A185" s="12" t="str">
        <f t="shared" ref="A185:A189" si="80">A184</f>
        <v>ЩО-2, ЩО-5, ЩО-8</v>
      </c>
      <c r="B185" s="13" t="s">
        <v>34</v>
      </c>
      <c r="C185" s="14" t="s">
        <v>99</v>
      </c>
      <c r="D185" s="12" t="s">
        <v>100</v>
      </c>
      <c r="E185" s="13">
        <v>3372</v>
      </c>
      <c r="F185" s="15">
        <f t="shared" ref="F185:F186" si="81">E185*0.6</f>
        <v>2023.1999999999998</v>
      </c>
      <c r="G185" s="15">
        <f t="shared" ref="G185:G187" si="82">F185*H185</f>
        <v>2023.1999999999998</v>
      </c>
      <c r="H185" s="16">
        <v>1</v>
      </c>
      <c r="I185" s="17" t="s">
        <v>13</v>
      </c>
      <c r="J185" s="13" t="s">
        <v>17</v>
      </c>
      <c r="K185">
        <v>2023.1999999999998</v>
      </c>
    </row>
    <row r="186" spans="1:11" ht="21" hidden="1" customHeight="1" x14ac:dyDescent="0.25">
      <c r="A186" s="12" t="str">
        <f t="shared" si="80"/>
        <v>ЩО-2, ЩО-5, ЩО-8</v>
      </c>
      <c r="B186" s="13" t="s">
        <v>12</v>
      </c>
      <c r="C186" s="14" t="s">
        <v>19</v>
      </c>
      <c r="D186" s="12" t="s">
        <v>20</v>
      </c>
      <c r="E186" s="13">
        <v>783</v>
      </c>
      <c r="F186" s="15">
        <f t="shared" si="81"/>
        <v>469.79999999999995</v>
      </c>
      <c r="G186" s="15">
        <f t="shared" si="82"/>
        <v>2349</v>
      </c>
      <c r="H186" s="16">
        <v>5</v>
      </c>
      <c r="I186" s="17" t="s">
        <v>13</v>
      </c>
      <c r="J186" s="13" t="s">
        <v>17</v>
      </c>
      <c r="K186">
        <v>2349</v>
      </c>
    </row>
    <row r="187" spans="1:11" ht="24" hidden="1" customHeight="1" x14ac:dyDescent="0.25">
      <c r="A187" s="12" t="str">
        <f t="shared" si="80"/>
        <v>ЩО-2, ЩО-5, ЩО-8</v>
      </c>
      <c r="B187" s="12" t="s">
        <v>10</v>
      </c>
      <c r="C187" s="18" t="s">
        <v>10</v>
      </c>
      <c r="D187" s="12" t="s">
        <v>10</v>
      </c>
      <c r="E187" s="12">
        <f ca="1">OFFSET(E187,1,2)</f>
        <v>6000</v>
      </c>
      <c r="F187" s="15">
        <f ca="1">E187</f>
        <v>6000</v>
      </c>
      <c r="G187" s="15">
        <f t="shared" ca="1" si="82"/>
        <v>6000</v>
      </c>
      <c r="H187" s="12">
        <v>1</v>
      </c>
      <c r="I187" s="12" t="s">
        <v>13</v>
      </c>
      <c r="J187" s="12" t="s">
        <v>10</v>
      </c>
      <c r="K187">
        <v>6000</v>
      </c>
    </row>
    <row r="188" spans="1:11" ht="21" hidden="1" customHeight="1" x14ac:dyDescent="0.25">
      <c r="A188" s="12" t="str">
        <f t="shared" si="80"/>
        <v>ЩО-2, ЩО-5, ЩО-8</v>
      </c>
      <c r="B188" s="12" t="s">
        <v>11</v>
      </c>
      <c r="C188" s="18" t="s">
        <v>11</v>
      </c>
      <c r="D188" s="12" t="s">
        <v>11</v>
      </c>
      <c r="E188" s="12">
        <v>1</v>
      </c>
      <c r="F188" s="15">
        <v>100</v>
      </c>
      <c r="G188" s="15">
        <f>60*E188*F188</f>
        <v>6000</v>
      </c>
      <c r="H188" s="12">
        <f>60*E188</f>
        <v>60</v>
      </c>
      <c r="I188" s="12" t="s">
        <v>13</v>
      </c>
      <c r="J188" s="12" t="s">
        <v>11</v>
      </c>
      <c r="K188">
        <v>6000</v>
      </c>
    </row>
    <row r="189" spans="1:11" ht="30" customHeight="1" x14ac:dyDescent="0.25">
      <c r="A189" s="12" t="str">
        <f t="shared" si="80"/>
        <v>ЩО-2, ЩО-5, ЩО-8</v>
      </c>
      <c r="B189" s="19"/>
      <c r="C189" s="20"/>
      <c r="D189" s="21"/>
      <c r="E189" s="23"/>
      <c r="F189" s="25"/>
      <c r="G189" s="24">
        <f ca="1">SUM(G184:G188)</f>
        <v>22672.2</v>
      </c>
      <c r="H189" s="20"/>
      <c r="I189" s="22"/>
      <c r="J189" s="20"/>
      <c r="K189">
        <v>22672.2</v>
      </c>
    </row>
    <row r="190" spans="1:11" ht="39.75" customHeight="1" x14ac:dyDescent="0.25">
      <c r="A190" s="5" t="str">
        <f>D190</f>
        <v>ЩО-10, ЩО-11</v>
      </c>
      <c r="B190" s="6"/>
      <c r="C190" s="7"/>
      <c r="D190" s="6" t="s">
        <v>103</v>
      </c>
      <c r="E190" s="8"/>
      <c r="F190" s="8"/>
      <c r="G190" s="9"/>
      <c r="H190" s="10">
        <v>2</v>
      </c>
      <c r="I190" s="11" t="s">
        <v>7</v>
      </c>
      <c r="J190" s="6" t="s">
        <v>9</v>
      </c>
    </row>
    <row r="191" spans="1:11" ht="21" hidden="1" customHeight="1" x14ac:dyDescent="0.25">
      <c r="A191" s="12" t="str">
        <f>A190</f>
        <v>ЩО-10, ЩО-11</v>
      </c>
      <c r="B191" s="13" t="s">
        <v>8</v>
      </c>
      <c r="C191" s="14" t="s">
        <v>214</v>
      </c>
      <c r="D191" s="12" t="s">
        <v>215</v>
      </c>
      <c r="E191" s="13">
        <v>10500</v>
      </c>
      <c r="F191" s="15">
        <f>E191*0.6</f>
        <v>6300</v>
      </c>
      <c r="G191" s="15">
        <f>H191*F191</f>
        <v>6300</v>
      </c>
      <c r="H191" s="16">
        <v>1</v>
      </c>
      <c r="I191" s="17" t="s">
        <v>13</v>
      </c>
      <c r="J191" s="13" t="s">
        <v>16</v>
      </c>
      <c r="K191">
        <v>6300</v>
      </c>
    </row>
    <row r="192" spans="1:11" ht="20.25" hidden="1" customHeight="1" x14ac:dyDescent="0.25">
      <c r="A192" s="12" t="str">
        <f t="shared" ref="A192:A196" si="83">A191</f>
        <v>ЩО-10, ЩО-11</v>
      </c>
      <c r="B192" s="13" t="s">
        <v>34</v>
      </c>
      <c r="C192" s="14" t="s">
        <v>99</v>
      </c>
      <c r="D192" s="12" t="s">
        <v>100</v>
      </c>
      <c r="E192" s="13">
        <v>3372</v>
      </c>
      <c r="F192" s="15">
        <f t="shared" ref="F192:F193" si="84">E192*0.6</f>
        <v>2023.1999999999998</v>
      </c>
      <c r="G192" s="15">
        <f t="shared" ref="G192:G194" si="85">F192*H192</f>
        <v>2023.1999999999998</v>
      </c>
      <c r="H192" s="16">
        <v>1</v>
      </c>
      <c r="I192" s="17" t="s">
        <v>13</v>
      </c>
      <c r="J192" s="13" t="s">
        <v>17</v>
      </c>
      <c r="K192">
        <v>2023.1999999999998</v>
      </c>
    </row>
    <row r="193" spans="1:11" ht="21" hidden="1" customHeight="1" x14ac:dyDescent="0.25">
      <c r="A193" s="12" t="str">
        <f t="shared" si="83"/>
        <v>ЩО-10, ЩО-11</v>
      </c>
      <c r="B193" s="13" t="s">
        <v>12</v>
      </c>
      <c r="C193" s="14" t="s">
        <v>19</v>
      </c>
      <c r="D193" s="12" t="s">
        <v>20</v>
      </c>
      <c r="E193" s="13">
        <v>783</v>
      </c>
      <c r="F193" s="15">
        <f t="shared" si="84"/>
        <v>469.79999999999995</v>
      </c>
      <c r="G193" s="15">
        <f t="shared" si="85"/>
        <v>3758.3999999999996</v>
      </c>
      <c r="H193" s="16">
        <v>8</v>
      </c>
      <c r="I193" s="17" t="s">
        <v>13</v>
      </c>
      <c r="J193" s="13" t="s">
        <v>17</v>
      </c>
      <c r="K193">
        <v>3758.3999999999996</v>
      </c>
    </row>
    <row r="194" spans="1:11" ht="24" hidden="1" customHeight="1" x14ac:dyDescent="0.25">
      <c r="A194" s="12" t="str">
        <f t="shared" si="83"/>
        <v>ЩО-10, ЩО-11</v>
      </c>
      <c r="B194" s="12" t="s">
        <v>10</v>
      </c>
      <c r="C194" s="18" t="s">
        <v>10</v>
      </c>
      <c r="D194" s="12" t="s">
        <v>10</v>
      </c>
      <c r="E194" s="12">
        <f ca="1">OFFSET(E194,1,2)</f>
        <v>6000</v>
      </c>
      <c r="F194" s="15">
        <f ca="1">E194</f>
        <v>6000</v>
      </c>
      <c r="G194" s="15">
        <f t="shared" ca="1" si="85"/>
        <v>6000</v>
      </c>
      <c r="H194" s="12">
        <v>1</v>
      </c>
      <c r="I194" s="12" t="s">
        <v>13</v>
      </c>
      <c r="J194" s="12" t="s">
        <v>10</v>
      </c>
      <c r="K194">
        <v>6000</v>
      </c>
    </row>
    <row r="195" spans="1:11" ht="21" hidden="1" customHeight="1" x14ac:dyDescent="0.25">
      <c r="A195" s="12" t="str">
        <f t="shared" si="83"/>
        <v>ЩО-10, ЩО-11</v>
      </c>
      <c r="B195" s="12" t="s">
        <v>11</v>
      </c>
      <c r="C195" s="18" t="s">
        <v>11</v>
      </c>
      <c r="D195" s="12" t="s">
        <v>11</v>
      </c>
      <c r="E195" s="12">
        <v>1</v>
      </c>
      <c r="F195" s="15">
        <v>100</v>
      </c>
      <c r="G195" s="15">
        <f>60*E195*F195</f>
        <v>6000</v>
      </c>
      <c r="H195" s="12">
        <f>60*E195</f>
        <v>60</v>
      </c>
      <c r="I195" s="12" t="s">
        <v>13</v>
      </c>
      <c r="J195" s="12" t="s">
        <v>11</v>
      </c>
      <c r="K195">
        <v>6000</v>
      </c>
    </row>
    <row r="196" spans="1:11" ht="30" customHeight="1" x14ac:dyDescent="0.25">
      <c r="A196" s="12" t="str">
        <f t="shared" si="83"/>
        <v>ЩО-10, ЩО-11</v>
      </c>
      <c r="B196" s="19"/>
      <c r="C196" s="20"/>
      <c r="D196" s="21"/>
      <c r="E196" s="23"/>
      <c r="F196" s="25"/>
      <c r="G196" s="24">
        <f ca="1">SUM(G191:G195)</f>
        <v>24081.599999999999</v>
      </c>
      <c r="H196" s="20"/>
      <c r="I196" s="22"/>
      <c r="J196" s="20"/>
      <c r="K196">
        <v>24081.599999999999</v>
      </c>
    </row>
    <row r="197" spans="1:11" ht="39.75" customHeight="1" x14ac:dyDescent="0.25">
      <c r="A197" s="5" t="str">
        <f>D197</f>
        <v>ЩО-12</v>
      </c>
      <c r="B197" s="6"/>
      <c r="C197" s="7"/>
      <c r="D197" s="6" t="s">
        <v>104</v>
      </c>
      <c r="E197" s="8"/>
      <c r="F197" s="8"/>
      <c r="G197" s="9"/>
      <c r="H197" s="10">
        <v>1</v>
      </c>
      <c r="I197" s="11" t="s">
        <v>7</v>
      </c>
      <c r="J197" s="6" t="s">
        <v>9</v>
      </c>
    </row>
    <row r="198" spans="1:11" ht="21" hidden="1" customHeight="1" x14ac:dyDescent="0.25">
      <c r="A198" s="12" t="str">
        <f>A197</f>
        <v>ЩО-12</v>
      </c>
      <c r="B198" s="13" t="s">
        <v>8</v>
      </c>
      <c r="C198" s="14" t="s">
        <v>214</v>
      </c>
      <c r="D198" s="12" t="s">
        <v>215</v>
      </c>
      <c r="E198" s="13">
        <v>10500</v>
      </c>
      <c r="F198" s="15">
        <f>E198*0.6</f>
        <v>6300</v>
      </c>
      <c r="G198" s="15">
        <f>H198*F198</f>
        <v>6300</v>
      </c>
      <c r="H198" s="16">
        <v>1</v>
      </c>
      <c r="I198" s="17" t="s">
        <v>13</v>
      </c>
      <c r="J198" s="13" t="s">
        <v>16</v>
      </c>
      <c r="K198">
        <v>6300</v>
      </c>
    </row>
    <row r="199" spans="1:11" ht="20.25" hidden="1" customHeight="1" x14ac:dyDescent="0.25">
      <c r="A199" s="12" t="str">
        <f t="shared" ref="A199:A203" si="86">A198</f>
        <v>ЩО-12</v>
      </c>
      <c r="B199" s="13" t="s">
        <v>34</v>
      </c>
      <c r="C199" s="14" t="s">
        <v>99</v>
      </c>
      <c r="D199" s="12" t="s">
        <v>100</v>
      </c>
      <c r="E199" s="13">
        <v>3372</v>
      </c>
      <c r="F199" s="15">
        <f t="shared" ref="F199:F200" si="87">E199*0.6</f>
        <v>2023.1999999999998</v>
      </c>
      <c r="G199" s="15">
        <f t="shared" ref="G199:G201" si="88">F199*H199</f>
        <v>2023.1999999999998</v>
      </c>
      <c r="H199" s="16">
        <v>1</v>
      </c>
      <c r="I199" s="17" t="s">
        <v>13</v>
      </c>
      <c r="J199" s="13" t="s">
        <v>17</v>
      </c>
      <c r="K199">
        <v>2023.1999999999998</v>
      </c>
    </row>
    <row r="200" spans="1:11" ht="21" hidden="1" customHeight="1" x14ac:dyDescent="0.25">
      <c r="A200" s="12" t="str">
        <f t="shared" si="86"/>
        <v>ЩО-12</v>
      </c>
      <c r="B200" s="13" t="s">
        <v>12</v>
      </c>
      <c r="C200" s="14" t="s">
        <v>19</v>
      </c>
      <c r="D200" s="12" t="s">
        <v>20</v>
      </c>
      <c r="E200" s="13">
        <v>783</v>
      </c>
      <c r="F200" s="15">
        <f t="shared" si="87"/>
        <v>469.79999999999995</v>
      </c>
      <c r="G200" s="15">
        <f t="shared" si="88"/>
        <v>4228.2</v>
      </c>
      <c r="H200" s="16">
        <v>9</v>
      </c>
      <c r="I200" s="17" t="s">
        <v>13</v>
      </c>
      <c r="J200" s="13" t="s">
        <v>17</v>
      </c>
      <c r="K200">
        <v>4228.2</v>
      </c>
    </row>
    <row r="201" spans="1:11" ht="24" hidden="1" customHeight="1" x14ac:dyDescent="0.25">
      <c r="A201" s="12" t="str">
        <f t="shared" si="86"/>
        <v>ЩО-12</v>
      </c>
      <c r="B201" s="12" t="s">
        <v>10</v>
      </c>
      <c r="C201" s="18" t="s">
        <v>10</v>
      </c>
      <c r="D201" s="12" t="s">
        <v>10</v>
      </c>
      <c r="E201" s="12">
        <f ca="1">OFFSET(E201,1,2)</f>
        <v>6000</v>
      </c>
      <c r="F201" s="15">
        <f ca="1">E201</f>
        <v>6000</v>
      </c>
      <c r="G201" s="15">
        <f t="shared" ca="1" si="88"/>
        <v>6000</v>
      </c>
      <c r="H201" s="12">
        <v>1</v>
      </c>
      <c r="I201" s="12" t="s">
        <v>13</v>
      </c>
      <c r="J201" s="12" t="s">
        <v>10</v>
      </c>
      <c r="K201">
        <v>6000</v>
      </c>
    </row>
    <row r="202" spans="1:11" ht="21" hidden="1" customHeight="1" x14ac:dyDescent="0.25">
      <c r="A202" s="12" t="str">
        <f t="shared" si="86"/>
        <v>ЩО-12</v>
      </c>
      <c r="B202" s="12" t="s">
        <v>11</v>
      </c>
      <c r="C202" s="18" t="s">
        <v>11</v>
      </c>
      <c r="D202" s="12" t="s">
        <v>11</v>
      </c>
      <c r="E202" s="12">
        <v>1</v>
      </c>
      <c r="F202" s="15">
        <v>100</v>
      </c>
      <c r="G202" s="15">
        <f>60*E202*F202</f>
        <v>6000</v>
      </c>
      <c r="H202" s="12">
        <f>60*E202</f>
        <v>60</v>
      </c>
      <c r="I202" s="12" t="s">
        <v>13</v>
      </c>
      <c r="J202" s="12" t="s">
        <v>11</v>
      </c>
      <c r="K202">
        <v>6000</v>
      </c>
    </row>
    <row r="203" spans="1:11" ht="30" customHeight="1" x14ac:dyDescent="0.25">
      <c r="A203" s="12" t="str">
        <f t="shared" si="86"/>
        <v>ЩО-12</v>
      </c>
      <c r="B203" s="19"/>
      <c r="C203" s="20"/>
      <c r="D203" s="21"/>
      <c r="E203" s="23"/>
      <c r="F203" s="25"/>
      <c r="G203" s="24">
        <f ca="1">SUM(G198:G202)</f>
        <v>24551.4</v>
      </c>
      <c r="H203" s="20"/>
      <c r="I203" s="22"/>
      <c r="J203" s="20"/>
      <c r="K203">
        <v>24551.4</v>
      </c>
    </row>
    <row r="204" spans="1:11" ht="39.75" customHeight="1" x14ac:dyDescent="0.25">
      <c r="A204" s="5" t="str">
        <f>D204</f>
        <v>ЩОА-1, ЩОА-2, ЩОА-3</v>
      </c>
      <c r="B204" s="6"/>
      <c r="C204" s="7"/>
      <c r="D204" s="6" t="s">
        <v>105</v>
      </c>
      <c r="E204" s="8"/>
      <c r="F204" s="8"/>
      <c r="G204" s="9"/>
      <c r="H204" s="10">
        <v>3</v>
      </c>
      <c r="I204" s="11" t="s">
        <v>7</v>
      </c>
      <c r="J204" s="6" t="s">
        <v>9</v>
      </c>
    </row>
    <row r="205" spans="1:11" ht="21" hidden="1" customHeight="1" x14ac:dyDescent="0.25">
      <c r="A205" s="12" t="str">
        <f>A204</f>
        <v>ЩОА-1, ЩОА-2, ЩОА-3</v>
      </c>
      <c r="B205" s="13" t="s">
        <v>8</v>
      </c>
      <c r="C205" s="14" t="s">
        <v>214</v>
      </c>
      <c r="D205" s="12" t="s">
        <v>215</v>
      </c>
      <c r="E205" s="13">
        <v>10500</v>
      </c>
      <c r="F205" s="15">
        <f>E205*0.6</f>
        <v>6300</v>
      </c>
      <c r="G205" s="15">
        <f>H205*F205</f>
        <v>6300</v>
      </c>
      <c r="H205" s="16">
        <v>1</v>
      </c>
      <c r="I205" s="17" t="s">
        <v>13</v>
      </c>
      <c r="J205" s="13" t="s">
        <v>16</v>
      </c>
      <c r="K205">
        <v>6300</v>
      </c>
    </row>
    <row r="206" spans="1:11" ht="20.25" hidden="1" customHeight="1" x14ac:dyDescent="0.25">
      <c r="A206" s="12" t="str">
        <f t="shared" ref="A206:A210" si="89">A205</f>
        <v>ЩОА-1, ЩОА-2, ЩОА-3</v>
      </c>
      <c r="B206" s="13" t="s">
        <v>34</v>
      </c>
      <c r="C206" s="14" t="s">
        <v>99</v>
      </c>
      <c r="D206" s="12" t="s">
        <v>100</v>
      </c>
      <c r="E206" s="13">
        <v>3372</v>
      </c>
      <c r="F206" s="15">
        <f t="shared" ref="F206:F207" si="90">E206*0.6</f>
        <v>2023.1999999999998</v>
      </c>
      <c r="G206" s="15">
        <f t="shared" ref="G206:G208" si="91">F206*H206</f>
        <v>2023.1999999999998</v>
      </c>
      <c r="H206" s="16">
        <v>1</v>
      </c>
      <c r="I206" s="17" t="s">
        <v>13</v>
      </c>
      <c r="J206" s="13" t="s">
        <v>17</v>
      </c>
      <c r="K206">
        <v>2023.1999999999998</v>
      </c>
    </row>
    <row r="207" spans="1:11" ht="21" hidden="1" customHeight="1" x14ac:dyDescent="0.25">
      <c r="A207" s="12" t="str">
        <f t="shared" si="89"/>
        <v>ЩОА-1, ЩОА-2, ЩОА-3</v>
      </c>
      <c r="B207" s="13" t="s">
        <v>12</v>
      </c>
      <c r="C207" s="14" t="s">
        <v>19</v>
      </c>
      <c r="D207" s="12" t="s">
        <v>20</v>
      </c>
      <c r="E207" s="13">
        <v>783</v>
      </c>
      <c r="F207" s="15">
        <f t="shared" si="90"/>
        <v>469.79999999999995</v>
      </c>
      <c r="G207" s="15">
        <f t="shared" si="91"/>
        <v>4228.2</v>
      </c>
      <c r="H207" s="16">
        <v>9</v>
      </c>
      <c r="I207" s="17" t="s">
        <v>13</v>
      </c>
      <c r="J207" s="13" t="s">
        <v>17</v>
      </c>
      <c r="K207">
        <v>4228.2</v>
      </c>
    </row>
    <row r="208" spans="1:11" ht="24" hidden="1" customHeight="1" x14ac:dyDescent="0.25">
      <c r="A208" s="12" t="str">
        <f t="shared" si="89"/>
        <v>ЩОА-1, ЩОА-2, ЩОА-3</v>
      </c>
      <c r="B208" s="12" t="s">
        <v>10</v>
      </c>
      <c r="C208" s="18" t="s">
        <v>10</v>
      </c>
      <c r="D208" s="12" t="s">
        <v>10</v>
      </c>
      <c r="E208" s="12">
        <f ca="1">OFFSET(E208,1,2)</f>
        <v>6000</v>
      </c>
      <c r="F208" s="15">
        <f ca="1">E208</f>
        <v>6000</v>
      </c>
      <c r="G208" s="15">
        <f t="shared" ca="1" si="91"/>
        <v>6000</v>
      </c>
      <c r="H208" s="12">
        <v>1</v>
      </c>
      <c r="I208" s="12" t="s">
        <v>13</v>
      </c>
      <c r="J208" s="12" t="s">
        <v>10</v>
      </c>
      <c r="K208">
        <v>6000</v>
      </c>
    </row>
    <row r="209" spans="1:11" ht="21" hidden="1" customHeight="1" x14ac:dyDescent="0.25">
      <c r="A209" s="12" t="str">
        <f t="shared" si="89"/>
        <v>ЩОА-1, ЩОА-2, ЩОА-3</v>
      </c>
      <c r="B209" s="12" t="s">
        <v>11</v>
      </c>
      <c r="C209" s="18" t="s">
        <v>11</v>
      </c>
      <c r="D209" s="12" t="s">
        <v>11</v>
      </c>
      <c r="E209" s="12">
        <v>1</v>
      </c>
      <c r="F209" s="15">
        <v>100</v>
      </c>
      <c r="G209" s="15">
        <f>60*E209*F209</f>
        <v>6000</v>
      </c>
      <c r="H209" s="12">
        <f>60*E209</f>
        <v>60</v>
      </c>
      <c r="I209" s="12" t="s">
        <v>13</v>
      </c>
      <c r="J209" s="12" t="s">
        <v>11</v>
      </c>
      <c r="K209">
        <v>6000</v>
      </c>
    </row>
    <row r="210" spans="1:11" ht="30" customHeight="1" x14ac:dyDescent="0.25">
      <c r="A210" s="12" t="str">
        <f t="shared" si="89"/>
        <v>ЩОА-1, ЩОА-2, ЩОА-3</v>
      </c>
      <c r="B210" s="19"/>
      <c r="C210" s="20"/>
      <c r="D210" s="21"/>
      <c r="E210" s="23"/>
      <c r="F210" s="25"/>
      <c r="G210" s="24">
        <f ca="1">SUM(G205:G209)</f>
        <v>24551.4</v>
      </c>
      <c r="H210" s="20"/>
      <c r="I210" s="22"/>
      <c r="J210" s="20"/>
      <c r="K210">
        <v>24551.4</v>
      </c>
    </row>
    <row r="211" spans="1:11" ht="39.75" customHeight="1" x14ac:dyDescent="0.25">
      <c r="A211" s="5" t="str">
        <f>D211</f>
        <v>ЩС-1</v>
      </c>
      <c r="B211" s="6"/>
      <c r="C211" s="7"/>
      <c r="D211" s="6" t="s">
        <v>106</v>
      </c>
      <c r="E211" s="8"/>
      <c r="F211" s="8"/>
      <c r="G211" s="9"/>
      <c r="H211" s="10">
        <v>1</v>
      </c>
      <c r="I211" s="11" t="s">
        <v>7</v>
      </c>
      <c r="J211" s="6" t="s">
        <v>9</v>
      </c>
    </row>
    <row r="212" spans="1:11" ht="21" hidden="1" customHeight="1" x14ac:dyDescent="0.25">
      <c r="A212" s="12" t="str">
        <f>A211</f>
        <v>ЩС-1</v>
      </c>
      <c r="B212" s="13" t="s">
        <v>8</v>
      </c>
      <c r="C212" s="14" t="s">
        <v>210</v>
      </c>
      <c r="D212" s="12" t="s">
        <v>211</v>
      </c>
      <c r="E212" s="13">
        <v>19000</v>
      </c>
      <c r="F212" s="15">
        <f>E212*0.6</f>
        <v>11400</v>
      </c>
      <c r="G212" s="15">
        <f>H212*F212</f>
        <v>11400</v>
      </c>
      <c r="H212" s="16">
        <v>1</v>
      </c>
      <c r="I212" s="17" t="s">
        <v>13</v>
      </c>
      <c r="J212" s="13" t="s">
        <v>16</v>
      </c>
      <c r="K212">
        <v>11400</v>
      </c>
    </row>
    <row r="213" spans="1:11" ht="20.25" hidden="1" customHeight="1" x14ac:dyDescent="0.25">
      <c r="A213" s="12" t="str">
        <f t="shared" ref="A213:A219" si="92">A212</f>
        <v>ЩС-1</v>
      </c>
      <c r="B213" s="13" t="s">
        <v>34</v>
      </c>
      <c r="C213" s="14" t="s">
        <v>97</v>
      </c>
      <c r="D213" s="12" t="s">
        <v>98</v>
      </c>
      <c r="E213" s="13">
        <v>4217</v>
      </c>
      <c r="F213" s="15">
        <f t="shared" ref="F213:F215" si="93">E213*0.6</f>
        <v>2530.1999999999998</v>
      </c>
      <c r="G213" s="15">
        <f t="shared" ref="G213:G217" si="94">F213*H213</f>
        <v>2530.1999999999998</v>
      </c>
      <c r="H213" s="16">
        <v>1</v>
      </c>
      <c r="I213" s="17" t="s">
        <v>13</v>
      </c>
      <c r="J213" s="13" t="s">
        <v>17</v>
      </c>
      <c r="K213">
        <v>2530.1999999999998</v>
      </c>
    </row>
    <row r="214" spans="1:11" ht="21" hidden="1" customHeight="1" x14ac:dyDescent="0.25">
      <c r="A214" s="12" t="str">
        <f>A212</f>
        <v>ЩС-1</v>
      </c>
      <c r="B214" s="13" t="s">
        <v>27</v>
      </c>
      <c r="C214" s="14" t="s">
        <v>28</v>
      </c>
      <c r="D214" s="12" t="s">
        <v>29</v>
      </c>
      <c r="E214" s="13">
        <v>11071</v>
      </c>
      <c r="F214" s="15">
        <f t="shared" ref="F214" si="95">E214*0.6</f>
        <v>6642.5999999999995</v>
      </c>
      <c r="G214" s="15">
        <f t="shared" ref="G214" si="96">F214*H214</f>
        <v>6642.5999999999995</v>
      </c>
      <c r="H214" s="16">
        <v>1</v>
      </c>
      <c r="I214" s="17" t="s">
        <v>13</v>
      </c>
      <c r="J214" s="13" t="s">
        <v>17</v>
      </c>
      <c r="K214">
        <v>6642.5999999999995</v>
      </c>
    </row>
    <row r="215" spans="1:11" ht="21" hidden="1" customHeight="1" x14ac:dyDescent="0.25">
      <c r="A215" s="12" t="str">
        <f>A213</f>
        <v>ЩС-1</v>
      </c>
      <c r="B215" s="13" t="s">
        <v>27</v>
      </c>
      <c r="C215" s="14" t="s">
        <v>107</v>
      </c>
      <c r="D215" s="12" t="s">
        <v>108</v>
      </c>
      <c r="E215" s="13">
        <v>5104</v>
      </c>
      <c r="F215" s="15">
        <f t="shared" si="93"/>
        <v>3062.4</v>
      </c>
      <c r="G215" s="15">
        <f t="shared" si="94"/>
        <v>33686.400000000001</v>
      </c>
      <c r="H215" s="16">
        <v>11</v>
      </c>
      <c r="I215" s="17" t="s">
        <v>13</v>
      </c>
      <c r="J215" s="13" t="s">
        <v>17</v>
      </c>
      <c r="K215">
        <v>33686.400000000001</v>
      </c>
    </row>
    <row r="216" spans="1:11" ht="21" hidden="1" customHeight="1" x14ac:dyDescent="0.25">
      <c r="A216" s="12" t="str">
        <f t="shared" ref="A216" si="97">A215</f>
        <v>ЩС-1</v>
      </c>
      <c r="B216" s="13" t="s">
        <v>27</v>
      </c>
      <c r="C216" s="14" t="s">
        <v>109</v>
      </c>
      <c r="D216" s="12" t="s">
        <v>110</v>
      </c>
      <c r="E216" s="13">
        <v>5632</v>
      </c>
      <c r="F216" s="15">
        <f t="shared" ref="F216" si="98">E216*0.6</f>
        <v>3379.2</v>
      </c>
      <c r="G216" s="15">
        <f t="shared" ref="G216" si="99">F216*H216</f>
        <v>3379.2</v>
      </c>
      <c r="H216" s="16">
        <v>1</v>
      </c>
      <c r="I216" s="17" t="s">
        <v>13</v>
      </c>
      <c r="J216" s="13" t="s">
        <v>17</v>
      </c>
      <c r="K216">
        <v>3379.2</v>
      </c>
    </row>
    <row r="217" spans="1:11" ht="24" hidden="1" customHeight="1" x14ac:dyDescent="0.25">
      <c r="A217" s="12" t="str">
        <f>A215</f>
        <v>ЩС-1</v>
      </c>
      <c r="B217" s="12" t="s">
        <v>10</v>
      </c>
      <c r="C217" s="18" t="s">
        <v>10</v>
      </c>
      <c r="D217" s="12" t="s">
        <v>10</v>
      </c>
      <c r="E217" s="12">
        <f ca="1">OFFSET(E217,1,2)</f>
        <v>15000</v>
      </c>
      <c r="F217" s="15">
        <f ca="1">E217</f>
        <v>15000</v>
      </c>
      <c r="G217" s="15">
        <f t="shared" ca="1" si="94"/>
        <v>15000</v>
      </c>
      <c r="H217" s="12">
        <v>1</v>
      </c>
      <c r="I217" s="12" t="s">
        <v>13</v>
      </c>
      <c r="J217" s="12" t="s">
        <v>10</v>
      </c>
      <c r="K217">
        <v>15000</v>
      </c>
    </row>
    <row r="218" spans="1:11" ht="21" hidden="1" customHeight="1" x14ac:dyDescent="0.25">
      <c r="A218" s="12" t="str">
        <f t="shared" si="92"/>
        <v>ЩС-1</v>
      </c>
      <c r="B218" s="12" t="s">
        <v>11</v>
      </c>
      <c r="C218" s="18" t="s">
        <v>11</v>
      </c>
      <c r="D218" s="12" t="s">
        <v>11</v>
      </c>
      <c r="E218" s="12">
        <v>2.5</v>
      </c>
      <c r="F218" s="15">
        <v>100</v>
      </c>
      <c r="G218" s="15">
        <f>60*E218*F218</f>
        <v>15000</v>
      </c>
      <c r="H218" s="12">
        <f>60*E218</f>
        <v>150</v>
      </c>
      <c r="I218" s="12" t="s">
        <v>13</v>
      </c>
      <c r="J218" s="12" t="s">
        <v>11</v>
      </c>
      <c r="K218">
        <v>15000</v>
      </c>
    </row>
    <row r="219" spans="1:11" ht="30" customHeight="1" x14ac:dyDescent="0.25">
      <c r="A219" s="12" t="str">
        <f t="shared" si="92"/>
        <v>ЩС-1</v>
      </c>
      <c r="B219" s="19"/>
      <c r="C219" s="20"/>
      <c r="D219" s="21"/>
      <c r="E219" s="23"/>
      <c r="F219" s="25"/>
      <c r="G219" s="24">
        <f ca="1">SUM(G212:G218)</f>
        <v>87638.399999999994</v>
      </c>
      <c r="H219" s="20"/>
      <c r="I219" s="22"/>
      <c r="J219" s="20"/>
      <c r="K219">
        <v>87638.399999999994</v>
      </c>
    </row>
    <row r="220" spans="1:11" ht="39.75" customHeight="1" x14ac:dyDescent="0.25">
      <c r="A220" s="5" t="str">
        <f>D220</f>
        <v>ЩС-2</v>
      </c>
      <c r="B220" s="6"/>
      <c r="C220" s="7"/>
      <c r="D220" s="6" t="s">
        <v>111</v>
      </c>
      <c r="E220" s="8"/>
      <c r="F220" s="8"/>
      <c r="G220" s="9"/>
      <c r="H220" s="10">
        <v>1</v>
      </c>
      <c r="I220" s="11" t="s">
        <v>7</v>
      </c>
      <c r="J220" s="6" t="s">
        <v>9</v>
      </c>
    </row>
    <row r="221" spans="1:11" ht="21" hidden="1" customHeight="1" x14ac:dyDescent="0.25">
      <c r="A221" s="12" t="str">
        <f>A220</f>
        <v>ЩС-2</v>
      </c>
      <c r="B221" s="13" t="s">
        <v>8</v>
      </c>
      <c r="C221" s="14" t="s">
        <v>214</v>
      </c>
      <c r="D221" s="12" t="s">
        <v>215</v>
      </c>
      <c r="E221" s="13">
        <v>10500</v>
      </c>
      <c r="F221" s="15">
        <f>E221*0.6</f>
        <v>6300</v>
      </c>
      <c r="G221" s="15">
        <f>H221*F221</f>
        <v>6300</v>
      </c>
      <c r="H221" s="16">
        <v>1</v>
      </c>
      <c r="I221" s="17" t="s">
        <v>13</v>
      </c>
      <c r="J221" s="13" t="s">
        <v>16</v>
      </c>
      <c r="K221">
        <v>6300</v>
      </c>
    </row>
    <row r="222" spans="1:11" ht="20.25" hidden="1" customHeight="1" x14ac:dyDescent="0.25">
      <c r="A222" s="12" t="str">
        <f t="shared" ref="A222" si="100">A221</f>
        <v>ЩС-2</v>
      </c>
      <c r="B222" s="13" t="s">
        <v>34</v>
      </c>
      <c r="C222" s="14" t="s">
        <v>99</v>
      </c>
      <c r="D222" s="12" t="s">
        <v>100</v>
      </c>
      <c r="E222" s="13">
        <v>3372</v>
      </c>
      <c r="F222" s="15">
        <f t="shared" ref="F222" si="101">E222*0.6</f>
        <v>2023.1999999999998</v>
      </c>
      <c r="G222" s="15">
        <f t="shared" ref="G222" si="102">F222*H222</f>
        <v>2023.1999999999998</v>
      </c>
      <c r="H222" s="16">
        <v>1</v>
      </c>
      <c r="I222" s="17" t="s">
        <v>13</v>
      </c>
      <c r="J222" s="13" t="s">
        <v>17</v>
      </c>
      <c r="K222">
        <v>2023.1999999999998</v>
      </c>
    </row>
    <row r="223" spans="1:11" ht="21" hidden="1" customHeight="1" x14ac:dyDescent="0.25">
      <c r="A223" s="12" t="str">
        <f>A222</f>
        <v>ЩС-2</v>
      </c>
      <c r="B223" s="13" t="s">
        <v>27</v>
      </c>
      <c r="C223" s="14" t="s">
        <v>107</v>
      </c>
      <c r="D223" s="12" t="s">
        <v>108</v>
      </c>
      <c r="E223" s="13">
        <v>5104</v>
      </c>
      <c r="F223" s="15">
        <f t="shared" ref="F223" si="103">E223*0.6</f>
        <v>3062.4</v>
      </c>
      <c r="G223" s="15">
        <f t="shared" ref="G223:G224" si="104">F223*H223</f>
        <v>9187.2000000000007</v>
      </c>
      <c r="H223" s="16">
        <v>3</v>
      </c>
      <c r="I223" s="17" t="s">
        <v>13</v>
      </c>
      <c r="J223" s="13" t="s">
        <v>17</v>
      </c>
      <c r="K223">
        <v>9187.2000000000007</v>
      </c>
    </row>
    <row r="224" spans="1:11" ht="24" hidden="1" customHeight="1" x14ac:dyDescent="0.25">
      <c r="A224" s="12" t="str">
        <f>A223</f>
        <v>ЩС-2</v>
      </c>
      <c r="B224" s="12" t="s">
        <v>10</v>
      </c>
      <c r="C224" s="18" t="s">
        <v>10</v>
      </c>
      <c r="D224" s="12" t="s">
        <v>10</v>
      </c>
      <c r="E224" s="12">
        <f ca="1">OFFSET(E224,1,2)</f>
        <v>6000</v>
      </c>
      <c r="F224" s="15">
        <f ca="1">E224</f>
        <v>6000</v>
      </c>
      <c r="G224" s="15">
        <f t="shared" ca="1" si="104"/>
        <v>6000</v>
      </c>
      <c r="H224" s="12">
        <v>1</v>
      </c>
      <c r="I224" s="12" t="s">
        <v>13</v>
      </c>
      <c r="J224" s="12" t="s">
        <v>10</v>
      </c>
      <c r="K224">
        <v>6000</v>
      </c>
    </row>
    <row r="225" spans="1:11" ht="21" hidden="1" customHeight="1" x14ac:dyDescent="0.25">
      <c r="A225" s="12" t="str">
        <f t="shared" ref="A225:A226" si="105">A224</f>
        <v>ЩС-2</v>
      </c>
      <c r="B225" s="12" t="s">
        <v>11</v>
      </c>
      <c r="C225" s="18" t="s">
        <v>11</v>
      </c>
      <c r="D225" s="12" t="s">
        <v>11</v>
      </c>
      <c r="E225" s="12">
        <v>1</v>
      </c>
      <c r="F225" s="15">
        <v>100</v>
      </c>
      <c r="G225" s="15">
        <f>60*E225*F225</f>
        <v>6000</v>
      </c>
      <c r="H225" s="12">
        <f>60*E225</f>
        <v>60</v>
      </c>
      <c r="I225" s="12" t="s">
        <v>13</v>
      </c>
      <c r="J225" s="12" t="s">
        <v>11</v>
      </c>
      <c r="K225">
        <v>6000</v>
      </c>
    </row>
    <row r="226" spans="1:11" ht="30" customHeight="1" x14ac:dyDescent="0.25">
      <c r="A226" s="12" t="str">
        <f t="shared" si="105"/>
        <v>ЩС-2</v>
      </c>
      <c r="B226" s="19"/>
      <c r="C226" s="20"/>
      <c r="D226" s="21"/>
      <c r="E226" s="23"/>
      <c r="F226" s="25"/>
      <c r="G226" s="24">
        <f ca="1">SUM(G221:G225)</f>
        <v>29510.400000000001</v>
      </c>
      <c r="H226" s="20"/>
      <c r="I226" s="22"/>
      <c r="J226" s="20"/>
      <c r="K226">
        <v>29510.400000000001</v>
      </c>
    </row>
    <row r="227" spans="1:11" ht="39.75" customHeight="1" x14ac:dyDescent="0.25">
      <c r="A227" s="5" t="str">
        <f>D227</f>
        <v>ЩС-3</v>
      </c>
      <c r="B227" s="6"/>
      <c r="C227" s="7"/>
      <c r="D227" s="6" t="s">
        <v>112</v>
      </c>
      <c r="E227" s="8"/>
      <c r="F227" s="8"/>
      <c r="G227" s="9"/>
      <c r="H227" s="10">
        <v>1</v>
      </c>
      <c r="I227" s="11" t="s">
        <v>7</v>
      </c>
      <c r="J227" s="6" t="s">
        <v>9</v>
      </c>
    </row>
    <row r="228" spans="1:11" ht="21" hidden="1" customHeight="1" x14ac:dyDescent="0.25">
      <c r="A228" s="12" t="str">
        <f>A227</f>
        <v>ЩС-3</v>
      </c>
      <c r="B228" s="13" t="s">
        <v>8</v>
      </c>
      <c r="C228" s="14" t="s">
        <v>212</v>
      </c>
      <c r="D228" s="12" t="s">
        <v>213</v>
      </c>
      <c r="E228" s="13">
        <v>16000</v>
      </c>
      <c r="F228" s="15">
        <f>E228*0.6</f>
        <v>9600</v>
      </c>
      <c r="G228" s="15">
        <f>H228*F228</f>
        <v>9600</v>
      </c>
      <c r="H228" s="16">
        <v>1</v>
      </c>
      <c r="I228" s="17" t="s">
        <v>13</v>
      </c>
      <c r="J228" s="13" t="s">
        <v>16</v>
      </c>
      <c r="K228">
        <v>9600</v>
      </c>
    </row>
    <row r="229" spans="1:11" ht="20.25" hidden="1" customHeight="1" x14ac:dyDescent="0.25">
      <c r="A229" s="12" t="str">
        <f t="shared" ref="A229" si="106">A228</f>
        <v>ЩС-3</v>
      </c>
      <c r="B229" s="13" t="s">
        <v>34</v>
      </c>
      <c r="C229" s="14" t="s">
        <v>97</v>
      </c>
      <c r="D229" s="12" t="s">
        <v>98</v>
      </c>
      <c r="E229" s="13">
        <v>4217</v>
      </c>
      <c r="F229" s="15">
        <f t="shared" ref="F229:F231" si="107">E229*0.6</f>
        <v>2530.1999999999998</v>
      </c>
      <c r="G229" s="15">
        <f t="shared" ref="G229:G232" si="108">F229*H229</f>
        <v>2530.1999999999998</v>
      </c>
      <c r="H229" s="16">
        <v>1</v>
      </c>
      <c r="I229" s="17" t="s">
        <v>13</v>
      </c>
      <c r="J229" s="13" t="s">
        <v>17</v>
      </c>
      <c r="K229">
        <v>2530.1999999999998</v>
      </c>
    </row>
    <row r="230" spans="1:11" ht="21" hidden="1" customHeight="1" x14ac:dyDescent="0.25">
      <c r="A230" s="12" t="str">
        <f>A228</f>
        <v>ЩС-3</v>
      </c>
      <c r="B230" s="13" t="s">
        <v>27</v>
      </c>
      <c r="C230" s="14" t="s">
        <v>114</v>
      </c>
      <c r="D230" s="12" t="s">
        <v>115</v>
      </c>
      <c r="E230" s="13">
        <v>8889</v>
      </c>
      <c r="F230" s="15">
        <f t="shared" si="107"/>
        <v>5333.4</v>
      </c>
      <c r="G230" s="15">
        <f t="shared" si="108"/>
        <v>16000.199999999999</v>
      </c>
      <c r="H230" s="16">
        <v>3</v>
      </c>
      <c r="I230" s="17" t="s">
        <v>13</v>
      </c>
      <c r="J230" s="13" t="s">
        <v>17</v>
      </c>
      <c r="K230">
        <v>16000.199999999999</v>
      </c>
    </row>
    <row r="231" spans="1:11" ht="21" hidden="1" customHeight="1" x14ac:dyDescent="0.25">
      <c r="A231" s="12" t="str">
        <f>A229</f>
        <v>ЩС-3</v>
      </c>
      <c r="B231" s="13" t="s">
        <v>27</v>
      </c>
      <c r="C231" s="14" t="s">
        <v>107</v>
      </c>
      <c r="D231" s="12" t="s">
        <v>108</v>
      </c>
      <c r="E231" s="13">
        <v>5104</v>
      </c>
      <c r="F231" s="15">
        <f t="shared" si="107"/>
        <v>3062.4</v>
      </c>
      <c r="G231" s="15">
        <f t="shared" si="108"/>
        <v>9187.2000000000007</v>
      </c>
      <c r="H231" s="16">
        <v>3</v>
      </c>
      <c r="I231" s="17" t="s">
        <v>13</v>
      </c>
      <c r="J231" s="13" t="s">
        <v>17</v>
      </c>
      <c r="K231">
        <v>9187.2000000000007</v>
      </c>
    </row>
    <row r="232" spans="1:11" ht="24" hidden="1" customHeight="1" x14ac:dyDescent="0.25">
      <c r="A232" s="12" t="str">
        <f>A231</f>
        <v>ЩС-3</v>
      </c>
      <c r="B232" s="12" t="s">
        <v>10</v>
      </c>
      <c r="C232" s="18" t="s">
        <v>10</v>
      </c>
      <c r="D232" s="12" t="s">
        <v>10</v>
      </c>
      <c r="E232" s="12">
        <f ca="1">OFFSET(E232,1,2)</f>
        <v>9000</v>
      </c>
      <c r="F232" s="15">
        <f ca="1">E232</f>
        <v>9000</v>
      </c>
      <c r="G232" s="15">
        <f t="shared" ca="1" si="108"/>
        <v>9000</v>
      </c>
      <c r="H232" s="12">
        <v>1</v>
      </c>
      <c r="I232" s="12" t="s">
        <v>13</v>
      </c>
      <c r="J232" s="12" t="s">
        <v>10</v>
      </c>
      <c r="K232">
        <v>9000</v>
      </c>
    </row>
    <row r="233" spans="1:11" ht="21" hidden="1" customHeight="1" x14ac:dyDescent="0.25">
      <c r="A233" s="12" t="str">
        <f t="shared" ref="A233:A234" si="109">A232</f>
        <v>ЩС-3</v>
      </c>
      <c r="B233" s="12" t="s">
        <v>11</v>
      </c>
      <c r="C233" s="18" t="s">
        <v>11</v>
      </c>
      <c r="D233" s="12" t="s">
        <v>11</v>
      </c>
      <c r="E233" s="12">
        <v>1.5</v>
      </c>
      <c r="F233" s="15">
        <v>100</v>
      </c>
      <c r="G233" s="15">
        <f>60*E233*F233</f>
        <v>9000</v>
      </c>
      <c r="H233" s="12">
        <f>60*E233</f>
        <v>90</v>
      </c>
      <c r="I233" s="12" t="s">
        <v>13</v>
      </c>
      <c r="J233" s="12" t="s">
        <v>11</v>
      </c>
      <c r="K233">
        <v>9000</v>
      </c>
    </row>
    <row r="234" spans="1:11" ht="30" customHeight="1" x14ac:dyDescent="0.25">
      <c r="A234" s="12" t="str">
        <f t="shared" si="109"/>
        <v>ЩС-3</v>
      </c>
      <c r="B234" s="19"/>
      <c r="C234" s="20"/>
      <c r="D234" s="21"/>
      <c r="E234" s="23"/>
      <c r="F234" s="25"/>
      <c r="G234" s="24">
        <f ca="1">SUM(G228:G233)</f>
        <v>55317.600000000006</v>
      </c>
      <c r="H234" s="20"/>
      <c r="I234" s="22"/>
      <c r="J234" s="20"/>
      <c r="K234">
        <v>55317.600000000006</v>
      </c>
    </row>
    <row r="235" spans="1:11" ht="39.75" customHeight="1" x14ac:dyDescent="0.25">
      <c r="A235" s="5" t="str">
        <f>D235</f>
        <v>ЩС-4</v>
      </c>
      <c r="B235" s="6"/>
      <c r="C235" s="7"/>
      <c r="D235" s="6" t="s">
        <v>113</v>
      </c>
      <c r="E235" s="8"/>
      <c r="F235" s="8"/>
      <c r="G235" s="9"/>
      <c r="H235" s="10">
        <v>1</v>
      </c>
      <c r="I235" s="11" t="s">
        <v>7</v>
      </c>
      <c r="J235" s="6" t="s">
        <v>9</v>
      </c>
    </row>
    <row r="236" spans="1:11" ht="21" hidden="1" customHeight="1" x14ac:dyDescent="0.25">
      <c r="A236" s="12" t="str">
        <f>A235</f>
        <v>ЩС-4</v>
      </c>
      <c r="B236" s="13" t="s">
        <v>8</v>
      </c>
      <c r="C236" s="14" t="s">
        <v>216</v>
      </c>
      <c r="D236" s="12" t="s">
        <v>217</v>
      </c>
      <c r="E236" s="13">
        <v>15460</v>
      </c>
      <c r="F236" s="15">
        <f>E236*0.6</f>
        <v>9276</v>
      </c>
      <c r="G236" s="15">
        <f>H236*F236</f>
        <v>9276</v>
      </c>
      <c r="H236" s="16">
        <v>1</v>
      </c>
      <c r="I236" s="17" t="s">
        <v>13</v>
      </c>
      <c r="J236" s="13" t="s">
        <v>16</v>
      </c>
      <c r="K236">
        <v>9276</v>
      </c>
    </row>
    <row r="237" spans="1:11" ht="20.25" hidden="1" customHeight="1" x14ac:dyDescent="0.25">
      <c r="A237" s="12" t="str">
        <f t="shared" ref="A237" si="110">A236</f>
        <v>ЩС-4</v>
      </c>
      <c r="B237" s="13" t="s">
        <v>34</v>
      </c>
      <c r="C237" s="14" t="s">
        <v>120</v>
      </c>
      <c r="D237" s="12" t="s">
        <v>121</v>
      </c>
      <c r="E237" s="13">
        <v>4334</v>
      </c>
      <c r="F237" s="15">
        <f t="shared" ref="F237:F239" si="111">E237*0.6</f>
        <v>2600.4</v>
      </c>
      <c r="G237" s="15">
        <f t="shared" ref="G237:G240" si="112">F237*H237</f>
        <v>2600.4</v>
      </c>
      <c r="H237" s="16">
        <v>1</v>
      </c>
      <c r="I237" s="17" t="s">
        <v>13</v>
      </c>
      <c r="J237" s="13" t="s">
        <v>17</v>
      </c>
      <c r="K237">
        <v>2600.4</v>
      </c>
    </row>
    <row r="238" spans="1:11" ht="21" hidden="1" customHeight="1" x14ac:dyDescent="0.25">
      <c r="A238" s="12" t="str">
        <f>A236</f>
        <v>ЩС-4</v>
      </c>
      <c r="B238" s="13" t="s">
        <v>27</v>
      </c>
      <c r="C238" s="14" t="s">
        <v>118</v>
      </c>
      <c r="D238" s="12" t="s">
        <v>119</v>
      </c>
      <c r="E238" s="13">
        <v>9917</v>
      </c>
      <c r="F238" s="15">
        <f t="shared" si="111"/>
        <v>5950.2</v>
      </c>
      <c r="G238" s="15">
        <f t="shared" si="112"/>
        <v>11900.4</v>
      </c>
      <c r="H238" s="16">
        <v>2</v>
      </c>
      <c r="I238" s="17" t="s">
        <v>13</v>
      </c>
      <c r="J238" s="13" t="s">
        <v>17</v>
      </c>
      <c r="K238">
        <v>11900.4</v>
      </c>
    </row>
    <row r="239" spans="1:11" ht="21" hidden="1" customHeight="1" x14ac:dyDescent="0.25">
      <c r="A239" s="12" t="str">
        <f>A237</f>
        <v>ЩС-4</v>
      </c>
      <c r="B239" s="13" t="s">
        <v>27</v>
      </c>
      <c r="C239" s="14" t="s">
        <v>116</v>
      </c>
      <c r="D239" s="12" t="s">
        <v>117</v>
      </c>
      <c r="E239" s="13">
        <v>8352</v>
      </c>
      <c r="F239" s="15">
        <f t="shared" si="111"/>
        <v>5011.2</v>
      </c>
      <c r="G239" s="15">
        <f t="shared" si="112"/>
        <v>5011.2</v>
      </c>
      <c r="H239" s="16">
        <v>1</v>
      </c>
      <c r="I239" s="17" t="s">
        <v>13</v>
      </c>
      <c r="J239" s="13" t="s">
        <v>17</v>
      </c>
      <c r="K239">
        <v>5011.2</v>
      </c>
    </row>
    <row r="240" spans="1:11" ht="24" hidden="1" customHeight="1" x14ac:dyDescent="0.25">
      <c r="A240" s="12" t="str">
        <f>A239</f>
        <v>ЩС-4</v>
      </c>
      <c r="B240" s="12" t="s">
        <v>10</v>
      </c>
      <c r="C240" s="18" t="s">
        <v>10</v>
      </c>
      <c r="D240" s="12" t="s">
        <v>10</v>
      </c>
      <c r="E240" s="12">
        <f ca="1">OFFSET(E240,1,2)</f>
        <v>9000</v>
      </c>
      <c r="F240" s="15">
        <f ca="1">E240</f>
        <v>9000</v>
      </c>
      <c r="G240" s="15">
        <f t="shared" ca="1" si="112"/>
        <v>9000</v>
      </c>
      <c r="H240" s="12">
        <v>1</v>
      </c>
      <c r="I240" s="12" t="s">
        <v>13</v>
      </c>
      <c r="J240" s="12" t="s">
        <v>10</v>
      </c>
      <c r="K240">
        <v>9000</v>
      </c>
    </row>
    <row r="241" spans="1:11" ht="21" hidden="1" customHeight="1" x14ac:dyDescent="0.25">
      <c r="A241" s="12" t="str">
        <f t="shared" ref="A241:A242" si="113">A240</f>
        <v>ЩС-4</v>
      </c>
      <c r="B241" s="12" t="s">
        <v>11</v>
      </c>
      <c r="C241" s="18" t="s">
        <v>11</v>
      </c>
      <c r="D241" s="12" t="s">
        <v>11</v>
      </c>
      <c r="E241" s="12">
        <v>1.5</v>
      </c>
      <c r="F241" s="15">
        <v>100</v>
      </c>
      <c r="G241" s="15">
        <f>60*E241*F241</f>
        <v>9000</v>
      </c>
      <c r="H241" s="12">
        <f>60*E241</f>
        <v>90</v>
      </c>
      <c r="I241" s="12" t="s">
        <v>13</v>
      </c>
      <c r="J241" s="12" t="s">
        <v>11</v>
      </c>
      <c r="K241">
        <v>9000</v>
      </c>
    </row>
    <row r="242" spans="1:11" ht="30" customHeight="1" x14ac:dyDescent="0.25">
      <c r="A242" s="12" t="str">
        <f t="shared" si="113"/>
        <v>ЩС-4</v>
      </c>
      <c r="B242" s="19"/>
      <c r="C242" s="20"/>
      <c r="D242" s="21"/>
      <c r="E242" s="23"/>
      <c r="F242" s="25"/>
      <c r="G242" s="24">
        <f ca="1">SUM(G236:G241)</f>
        <v>46788</v>
      </c>
      <c r="H242" s="20"/>
      <c r="I242" s="22"/>
      <c r="J242" s="20"/>
      <c r="K242">
        <v>46788</v>
      </c>
    </row>
    <row r="243" spans="1:11" ht="39.75" customHeight="1" x14ac:dyDescent="0.25">
      <c r="A243" s="5" t="str">
        <f>D243</f>
        <v>ЩС-5</v>
      </c>
      <c r="B243" s="6"/>
      <c r="C243" s="7"/>
      <c r="D243" s="6" t="s">
        <v>122</v>
      </c>
      <c r="E243" s="8"/>
      <c r="F243" s="8"/>
      <c r="G243" s="9"/>
      <c r="H243" s="10">
        <v>1</v>
      </c>
      <c r="I243" s="11" t="s">
        <v>7</v>
      </c>
      <c r="J243" s="6" t="s">
        <v>9</v>
      </c>
    </row>
    <row r="244" spans="1:11" ht="21" hidden="1" customHeight="1" x14ac:dyDescent="0.25">
      <c r="A244" s="12" t="str">
        <f>A243</f>
        <v>ЩС-5</v>
      </c>
      <c r="B244" s="13" t="s">
        <v>8</v>
      </c>
      <c r="C244" s="14" t="s">
        <v>212</v>
      </c>
      <c r="D244" s="12" t="s">
        <v>213</v>
      </c>
      <c r="E244" s="13">
        <v>16000</v>
      </c>
      <c r="F244" s="15">
        <f>E244*0.6</f>
        <v>9600</v>
      </c>
      <c r="G244" s="15">
        <f>H244*F244</f>
        <v>9600</v>
      </c>
      <c r="H244" s="16">
        <v>1</v>
      </c>
      <c r="I244" s="17" t="s">
        <v>13</v>
      </c>
      <c r="J244" s="13" t="s">
        <v>16</v>
      </c>
      <c r="K244">
        <v>9600</v>
      </c>
    </row>
    <row r="245" spans="1:11" ht="20.25" hidden="1" customHeight="1" x14ac:dyDescent="0.25">
      <c r="A245" s="12" t="str">
        <f t="shared" ref="A245" si="114">A244</f>
        <v>ЩС-5</v>
      </c>
      <c r="B245" s="13" t="s">
        <v>34</v>
      </c>
      <c r="C245" s="14" t="s">
        <v>123</v>
      </c>
      <c r="D245" s="12" t="s">
        <v>124</v>
      </c>
      <c r="E245" s="13">
        <v>3372</v>
      </c>
      <c r="F245" s="15">
        <f t="shared" ref="F245:F247" si="115">E245*0.6</f>
        <v>2023.1999999999998</v>
      </c>
      <c r="G245" s="15">
        <f t="shared" ref="G245:G248" si="116">F245*H245</f>
        <v>2023.1999999999998</v>
      </c>
      <c r="H245" s="16">
        <v>1</v>
      </c>
      <c r="I245" s="17" t="s">
        <v>13</v>
      </c>
      <c r="J245" s="13" t="s">
        <v>17</v>
      </c>
      <c r="K245">
        <v>2023.1999999999998</v>
      </c>
    </row>
    <row r="246" spans="1:11" ht="21" hidden="1" customHeight="1" x14ac:dyDescent="0.25">
      <c r="A246" s="12" t="str">
        <f>A244</f>
        <v>ЩС-5</v>
      </c>
      <c r="B246" s="13" t="s">
        <v>27</v>
      </c>
      <c r="C246" s="14" t="s">
        <v>109</v>
      </c>
      <c r="D246" s="12" t="s">
        <v>110</v>
      </c>
      <c r="E246" s="13">
        <v>5632</v>
      </c>
      <c r="F246" s="15">
        <f t="shared" si="115"/>
        <v>3379.2</v>
      </c>
      <c r="G246" s="15">
        <f t="shared" si="116"/>
        <v>3379.2</v>
      </c>
      <c r="H246" s="16">
        <v>1</v>
      </c>
      <c r="I246" s="17" t="s">
        <v>13</v>
      </c>
      <c r="J246" s="13" t="s">
        <v>17</v>
      </c>
      <c r="K246">
        <v>3379.2</v>
      </c>
    </row>
    <row r="247" spans="1:11" ht="21" hidden="1" customHeight="1" x14ac:dyDescent="0.25">
      <c r="A247" s="12" t="str">
        <f>A245</f>
        <v>ЩС-5</v>
      </c>
      <c r="B247" s="13" t="s">
        <v>27</v>
      </c>
      <c r="C247" s="14" t="s">
        <v>107</v>
      </c>
      <c r="D247" s="12" t="s">
        <v>108</v>
      </c>
      <c r="E247" s="13">
        <v>5104</v>
      </c>
      <c r="F247" s="15">
        <f t="shared" si="115"/>
        <v>3062.4</v>
      </c>
      <c r="G247" s="15">
        <f t="shared" si="116"/>
        <v>27561.600000000002</v>
      </c>
      <c r="H247" s="16">
        <v>9</v>
      </c>
      <c r="I247" s="17" t="s">
        <v>13</v>
      </c>
      <c r="J247" s="13" t="s">
        <v>17</v>
      </c>
      <c r="K247">
        <v>27561.600000000002</v>
      </c>
    </row>
    <row r="248" spans="1:11" ht="24" hidden="1" customHeight="1" x14ac:dyDescent="0.25">
      <c r="A248" s="12" t="str">
        <f>A247</f>
        <v>ЩС-5</v>
      </c>
      <c r="B248" s="12" t="s">
        <v>10</v>
      </c>
      <c r="C248" s="18" t="s">
        <v>10</v>
      </c>
      <c r="D248" s="12" t="s">
        <v>10</v>
      </c>
      <c r="E248" s="12">
        <f ca="1">OFFSET(E248,1,2)</f>
        <v>9000</v>
      </c>
      <c r="F248" s="15">
        <f ca="1">E248</f>
        <v>9000</v>
      </c>
      <c r="G248" s="15">
        <f t="shared" ca="1" si="116"/>
        <v>9000</v>
      </c>
      <c r="H248" s="12">
        <v>1</v>
      </c>
      <c r="I248" s="12" t="s">
        <v>13</v>
      </c>
      <c r="J248" s="12" t="s">
        <v>10</v>
      </c>
      <c r="K248">
        <v>9000</v>
      </c>
    </row>
    <row r="249" spans="1:11" ht="21" hidden="1" customHeight="1" x14ac:dyDescent="0.25">
      <c r="A249" s="12" t="str">
        <f t="shared" ref="A249:A250" si="117">A248</f>
        <v>ЩС-5</v>
      </c>
      <c r="B249" s="12" t="s">
        <v>11</v>
      </c>
      <c r="C249" s="18" t="s">
        <v>11</v>
      </c>
      <c r="D249" s="12" t="s">
        <v>11</v>
      </c>
      <c r="E249" s="12">
        <v>1.5</v>
      </c>
      <c r="F249" s="15">
        <v>100</v>
      </c>
      <c r="G249" s="15">
        <f>60*E249*F249</f>
        <v>9000</v>
      </c>
      <c r="H249" s="12">
        <f>60*E249</f>
        <v>90</v>
      </c>
      <c r="I249" s="12" t="s">
        <v>13</v>
      </c>
      <c r="J249" s="12" t="s">
        <v>11</v>
      </c>
      <c r="K249">
        <v>9000</v>
      </c>
    </row>
    <row r="250" spans="1:11" ht="30" customHeight="1" x14ac:dyDescent="0.25">
      <c r="A250" s="12" t="str">
        <f t="shared" si="117"/>
        <v>ЩС-5</v>
      </c>
      <c r="B250" s="19"/>
      <c r="C250" s="20"/>
      <c r="D250" s="21"/>
      <c r="E250" s="23"/>
      <c r="F250" s="25"/>
      <c r="G250" s="24">
        <f ca="1">SUM(G244:G249)</f>
        <v>60564</v>
      </c>
      <c r="H250" s="20"/>
      <c r="I250" s="22"/>
      <c r="J250" s="20"/>
      <c r="K250">
        <v>60564</v>
      </c>
    </row>
    <row r="251" spans="1:11" ht="39.75" customHeight="1" x14ac:dyDescent="0.25">
      <c r="A251" s="5" t="str">
        <f>D251</f>
        <v>ЩС-6</v>
      </c>
      <c r="B251" s="6"/>
      <c r="C251" s="7"/>
      <c r="D251" s="6" t="s">
        <v>125</v>
      </c>
      <c r="E251" s="8"/>
      <c r="F251" s="8"/>
      <c r="G251" s="9"/>
      <c r="H251" s="10">
        <v>1</v>
      </c>
      <c r="I251" s="11" t="s">
        <v>7</v>
      </c>
      <c r="J251" s="6" t="s">
        <v>9</v>
      </c>
    </row>
    <row r="252" spans="1:11" ht="21" hidden="1" customHeight="1" x14ac:dyDescent="0.25">
      <c r="A252" s="12" t="str">
        <f>A251</f>
        <v>ЩС-6</v>
      </c>
      <c r="B252" s="13" t="s">
        <v>8</v>
      </c>
      <c r="C252" s="14" t="s">
        <v>210</v>
      </c>
      <c r="D252" s="12" t="s">
        <v>211</v>
      </c>
      <c r="E252" s="13">
        <v>19000</v>
      </c>
      <c r="F252" s="15">
        <f>E252*0.6</f>
        <v>11400</v>
      </c>
      <c r="G252" s="15">
        <f>H252*F252</f>
        <v>11400</v>
      </c>
      <c r="H252" s="16">
        <v>1</v>
      </c>
      <c r="I252" s="17" t="s">
        <v>13</v>
      </c>
      <c r="J252" s="13" t="s">
        <v>16</v>
      </c>
      <c r="K252">
        <v>11400</v>
      </c>
    </row>
    <row r="253" spans="1:11" ht="20.25" hidden="1" customHeight="1" x14ac:dyDescent="0.25">
      <c r="A253" s="12" t="str">
        <f t="shared" ref="A253" si="118">A252</f>
        <v>ЩС-6</v>
      </c>
      <c r="B253" s="13" t="s">
        <v>34</v>
      </c>
      <c r="C253" s="14" t="s">
        <v>123</v>
      </c>
      <c r="D253" s="12" t="s">
        <v>124</v>
      </c>
      <c r="E253" s="13">
        <v>3372</v>
      </c>
      <c r="F253" s="15">
        <f t="shared" ref="F253:F254" si="119">E253*0.6</f>
        <v>2023.1999999999998</v>
      </c>
      <c r="G253" s="15">
        <f t="shared" ref="G253:G255" si="120">F253*H253</f>
        <v>2023.1999999999998</v>
      </c>
      <c r="H253" s="16">
        <v>1</v>
      </c>
      <c r="I253" s="17" t="s">
        <v>13</v>
      </c>
      <c r="J253" s="13" t="s">
        <v>17</v>
      </c>
      <c r="K253">
        <v>2023.1999999999998</v>
      </c>
    </row>
    <row r="254" spans="1:11" ht="21" hidden="1" customHeight="1" x14ac:dyDescent="0.25">
      <c r="A254" s="12" t="str">
        <f>A253</f>
        <v>ЩС-6</v>
      </c>
      <c r="B254" s="13" t="s">
        <v>27</v>
      </c>
      <c r="C254" s="14" t="s">
        <v>107</v>
      </c>
      <c r="D254" s="12" t="s">
        <v>108</v>
      </c>
      <c r="E254" s="13">
        <v>5104</v>
      </c>
      <c r="F254" s="15">
        <f t="shared" si="119"/>
        <v>3062.4</v>
      </c>
      <c r="G254" s="15">
        <f t="shared" si="120"/>
        <v>39811.200000000004</v>
      </c>
      <c r="H254" s="16">
        <v>13</v>
      </c>
      <c r="I254" s="17" t="s">
        <v>13</v>
      </c>
      <c r="J254" s="13" t="s">
        <v>17</v>
      </c>
      <c r="K254">
        <v>39811.200000000004</v>
      </c>
    </row>
    <row r="255" spans="1:11" ht="24" hidden="1" customHeight="1" x14ac:dyDescent="0.25">
      <c r="A255" s="12" t="str">
        <f>A254</f>
        <v>ЩС-6</v>
      </c>
      <c r="B255" s="12" t="s">
        <v>10</v>
      </c>
      <c r="C255" s="18" t="s">
        <v>10</v>
      </c>
      <c r="D255" s="12" t="s">
        <v>10</v>
      </c>
      <c r="E255" s="12">
        <f ca="1">OFFSET(E255,1,2)</f>
        <v>15000</v>
      </c>
      <c r="F255" s="15">
        <f ca="1">E255</f>
        <v>15000</v>
      </c>
      <c r="G255" s="15">
        <f t="shared" ca="1" si="120"/>
        <v>15000</v>
      </c>
      <c r="H255" s="12">
        <v>1</v>
      </c>
      <c r="I255" s="12" t="s">
        <v>13</v>
      </c>
      <c r="J255" s="12" t="s">
        <v>10</v>
      </c>
      <c r="K255">
        <v>15000</v>
      </c>
    </row>
    <row r="256" spans="1:11" ht="21" hidden="1" customHeight="1" x14ac:dyDescent="0.25">
      <c r="A256" s="12" t="str">
        <f t="shared" ref="A256:A257" si="121">A255</f>
        <v>ЩС-6</v>
      </c>
      <c r="B256" s="12" t="s">
        <v>11</v>
      </c>
      <c r="C256" s="18" t="s">
        <v>11</v>
      </c>
      <c r="D256" s="12" t="s">
        <v>11</v>
      </c>
      <c r="E256" s="12">
        <v>2.5</v>
      </c>
      <c r="F256" s="15">
        <v>100</v>
      </c>
      <c r="G256" s="15">
        <f>60*E256*F256</f>
        <v>15000</v>
      </c>
      <c r="H256" s="12">
        <f>60*E256</f>
        <v>150</v>
      </c>
      <c r="I256" s="12" t="s">
        <v>13</v>
      </c>
      <c r="J256" s="12" t="s">
        <v>11</v>
      </c>
      <c r="K256">
        <v>15000</v>
      </c>
    </row>
    <row r="257" spans="1:11" ht="30" customHeight="1" x14ac:dyDescent="0.25">
      <c r="A257" s="12" t="str">
        <f t="shared" si="121"/>
        <v>ЩС-6</v>
      </c>
      <c r="B257" s="19"/>
      <c r="C257" s="20"/>
      <c r="D257" s="21"/>
      <c r="E257" s="23"/>
      <c r="F257" s="25"/>
      <c r="G257" s="24">
        <f ca="1">SUM(G252:G256)</f>
        <v>83234.400000000009</v>
      </c>
      <c r="H257" s="20"/>
      <c r="I257" s="22"/>
      <c r="J257" s="20"/>
      <c r="K257">
        <v>83234.400000000009</v>
      </c>
    </row>
    <row r="258" spans="1:11" ht="39.75" customHeight="1" x14ac:dyDescent="0.25">
      <c r="A258" s="5" t="str">
        <f>D258</f>
        <v>ЩС-7</v>
      </c>
      <c r="B258" s="6"/>
      <c r="C258" s="7"/>
      <c r="D258" s="6" t="s">
        <v>126</v>
      </c>
      <c r="E258" s="8"/>
      <c r="F258" s="8"/>
      <c r="G258" s="9"/>
      <c r="H258" s="10">
        <v>1</v>
      </c>
      <c r="I258" s="11" t="s">
        <v>7</v>
      </c>
      <c r="J258" s="6" t="s">
        <v>9</v>
      </c>
    </row>
    <row r="259" spans="1:11" ht="21" hidden="1" customHeight="1" x14ac:dyDescent="0.25">
      <c r="A259" s="12" t="str">
        <f>A258</f>
        <v>ЩС-7</v>
      </c>
      <c r="B259" s="13" t="s">
        <v>8</v>
      </c>
      <c r="C259" s="14" t="s">
        <v>212</v>
      </c>
      <c r="D259" s="12" t="s">
        <v>213</v>
      </c>
      <c r="E259" s="13">
        <v>16000</v>
      </c>
      <c r="F259" s="15">
        <f>E259*0.6</f>
        <v>9600</v>
      </c>
      <c r="G259" s="15">
        <f>H259*F259</f>
        <v>9600</v>
      </c>
      <c r="H259" s="16">
        <v>1</v>
      </c>
      <c r="I259" s="17" t="s">
        <v>13</v>
      </c>
      <c r="J259" s="13" t="s">
        <v>16</v>
      </c>
      <c r="K259">
        <v>9600</v>
      </c>
    </row>
    <row r="260" spans="1:11" ht="20.25" hidden="1" customHeight="1" x14ac:dyDescent="0.25">
      <c r="A260" s="12" t="str">
        <f t="shared" ref="A260" si="122">A259</f>
        <v>ЩС-7</v>
      </c>
      <c r="B260" s="13" t="s">
        <v>34</v>
      </c>
      <c r="C260" s="14" t="s">
        <v>123</v>
      </c>
      <c r="D260" s="12" t="s">
        <v>124</v>
      </c>
      <c r="E260" s="13">
        <v>3372</v>
      </c>
      <c r="F260" s="15">
        <f t="shared" ref="F260:F261" si="123">E260*0.6</f>
        <v>2023.1999999999998</v>
      </c>
      <c r="G260" s="15">
        <f t="shared" ref="G260:G262" si="124">F260*H260</f>
        <v>2023.1999999999998</v>
      </c>
      <c r="H260" s="16">
        <v>1</v>
      </c>
      <c r="I260" s="17" t="s">
        <v>13</v>
      </c>
      <c r="J260" s="13" t="s">
        <v>17</v>
      </c>
      <c r="K260">
        <v>2023.1999999999998</v>
      </c>
    </row>
    <row r="261" spans="1:11" ht="21" hidden="1" customHeight="1" x14ac:dyDescent="0.25">
      <c r="A261" s="12" t="str">
        <f>A260</f>
        <v>ЩС-7</v>
      </c>
      <c r="B261" s="13" t="s">
        <v>27</v>
      </c>
      <c r="C261" s="14" t="s">
        <v>107</v>
      </c>
      <c r="D261" s="12" t="s">
        <v>108</v>
      </c>
      <c r="E261" s="13">
        <v>5104</v>
      </c>
      <c r="F261" s="15">
        <f t="shared" si="123"/>
        <v>3062.4</v>
      </c>
      <c r="G261" s="15">
        <f t="shared" si="124"/>
        <v>27561.600000000002</v>
      </c>
      <c r="H261" s="16">
        <v>9</v>
      </c>
      <c r="I261" s="17" t="s">
        <v>13</v>
      </c>
      <c r="J261" s="13" t="s">
        <v>17</v>
      </c>
      <c r="K261">
        <v>27561.600000000002</v>
      </c>
    </row>
    <row r="262" spans="1:11" ht="24" hidden="1" customHeight="1" x14ac:dyDescent="0.25">
      <c r="A262" s="12" t="str">
        <f>A261</f>
        <v>ЩС-7</v>
      </c>
      <c r="B262" s="12" t="s">
        <v>10</v>
      </c>
      <c r="C262" s="18" t="s">
        <v>10</v>
      </c>
      <c r="D262" s="12" t="s">
        <v>10</v>
      </c>
      <c r="E262" s="12">
        <f ca="1">OFFSET(E262,1,2)</f>
        <v>9000</v>
      </c>
      <c r="F262" s="15">
        <f ca="1">E262</f>
        <v>9000</v>
      </c>
      <c r="G262" s="15">
        <f t="shared" ca="1" si="124"/>
        <v>9000</v>
      </c>
      <c r="H262" s="12">
        <v>1</v>
      </c>
      <c r="I262" s="12" t="s">
        <v>13</v>
      </c>
      <c r="J262" s="12" t="s">
        <v>10</v>
      </c>
      <c r="K262">
        <v>9000</v>
      </c>
    </row>
    <row r="263" spans="1:11" ht="21" hidden="1" customHeight="1" x14ac:dyDescent="0.25">
      <c r="A263" s="12" t="str">
        <f t="shared" ref="A263:A264" si="125">A262</f>
        <v>ЩС-7</v>
      </c>
      <c r="B263" s="12" t="s">
        <v>11</v>
      </c>
      <c r="C263" s="18" t="s">
        <v>11</v>
      </c>
      <c r="D263" s="12" t="s">
        <v>11</v>
      </c>
      <c r="E263" s="12">
        <v>1.5</v>
      </c>
      <c r="F263" s="15">
        <v>100</v>
      </c>
      <c r="G263" s="15">
        <f>60*E263*F263</f>
        <v>9000</v>
      </c>
      <c r="H263" s="12">
        <f>60*E263</f>
        <v>90</v>
      </c>
      <c r="I263" s="12" t="s">
        <v>13</v>
      </c>
      <c r="J263" s="12" t="s">
        <v>11</v>
      </c>
      <c r="K263">
        <v>9000</v>
      </c>
    </row>
    <row r="264" spans="1:11" ht="30" customHeight="1" x14ac:dyDescent="0.25">
      <c r="A264" s="12" t="str">
        <f t="shared" si="125"/>
        <v>ЩС-7</v>
      </c>
      <c r="B264" s="19"/>
      <c r="C264" s="20"/>
      <c r="D264" s="21"/>
      <c r="E264" s="23"/>
      <c r="F264" s="25"/>
      <c r="G264" s="24">
        <f ca="1">SUM(G259:G263)</f>
        <v>57184.800000000003</v>
      </c>
      <c r="H264" s="20"/>
      <c r="I264" s="22"/>
      <c r="J264" s="20"/>
      <c r="K264">
        <v>57184.800000000003</v>
      </c>
    </row>
    <row r="265" spans="1:11" ht="39.75" customHeight="1" x14ac:dyDescent="0.25">
      <c r="A265" s="5" t="str">
        <f>D265</f>
        <v>ЩС-8</v>
      </c>
      <c r="B265" s="6"/>
      <c r="C265" s="7"/>
      <c r="D265" s="6" t="s">
        <v>127</v>
      </c>
      <c r="E265" s="8"/>
      <c r="F265" s="8"/>
      <c r="G265" s="9"/>
      <c r="H265" s="10">
        <v>1</v>
      </c>
      <c r="I265" s="11" t="s">
        <v>7</v>
      </c>
      <c r="J265" s="6" t="s">
        <v>9</v>
      </c>
    </row>
    <row r="266" spans="1:11" ht="21" hidden="1" customHeight="1" x14ac:dyDescent="0.25">
      <c r="A266" s="12" t="str">
        <f>A265</f>
        <v>ЩС-8</v>
      </c>
      <c r="B266" s="13" t="s">
        <v>8</v>
      </c>
      <c r="C266" s="14" t="s">
        <v>210</v>
      </c>
      <c r="D266" s="12" t="s">
        <v>211</v>
      </c>
      <c r="E266" s="13">
        <v>19000</v>
      </c>
      <c r="F266" s="15">
        <f>E266*0.6</f>
        <v>11400</v>
      </c>
      <c r="G266" s="15">
        <f>H266*F266</f>
        <v>11400</v>
      </c>
      <c r="H266" s="16">
        <v>1</v>
      </c>
      <c r="I266" s="17" t="s">
        <v>13</v>
      </c>
      <c r="J266" s="13" t="s">
        <v>16</v>
      </c>
      <c r="K266">
        <v>11400</v>
      </c>
    </row>
    <row r="267" spans="1:11" ht="20.25" hidden="1" customHeight="1" x14ac:dyDescent="0.25">
      <c r="A267" s="12" t="str">
        <f t="shared" ref="A267" si="126">A266</f>
        <v>ЩС-8</v>
      </c>
      <c r="B267" s="13" t="s">
        <v>34</v>
      </c>
      <c r="C267" s="14" t="s">
        <v>123</v>
      </c>
      <c r="D267" s="12" t="s">
        <v>124</v>
      </c>
      <c r="E267" s="13">
        <v>3372</v>
      </c>
      <c r="F267" s="15">
        <f t="shared" ref="F267:F268" si="127">E267*0.6</f>
        <v>2023.1999999999998</v>
      </c>
      <c r="G267" s="15">
        <f t="shared" ref="G267:G269" si="128">F267*H267</f>
        <v>2023.1999999999998</v>
      </c>
      <c r="H267" s="16">
        <v>1</v>
      </c>
      <c r="I267" s="17" t="s">
        <v>13</v>
      </c>
      <c r="J267" s="13" t="s">
        <v>17</v>
      </c>
      <c r="K267">
        <v>2023.1999999999998</v>
      </c>
    </row>
    <row r="268" spans="1:11" ht="21" hidden="1" customHeight="1" x14ac:dyDescent="0.25">
      <c r="A268" s="12" t="str">
        <f>A267</f>
        <v>ЩС-8</v>
      </c>
      <c r="B268" s="13" t="s">
        <v>27</v>
      </c>
      <c r="C268" s="14" t="s">
        <v>107</v>
      </c>
      <c r="D268" s="12" t="s">
        <v>108</v>
      </c>
      <c r="E268" s="13">
        <v>5104</v>
      </c>
      <c r="F268" s="15">
        <f t="shared" si="127"/>
        <v>3062.4</v>
      </c>
      <c r="G268" s="15">
        <f t="shared" si="128"/>
        <v>36748.800000000003</v>
      </c>
      <c r="H268" s="16">
        <v>12</v>
      </c>
      <c r="I268" s="17" t="s">
        <v>13</v>
      </c>
      <c r="J268" s="13" t="s">
        <v>17</v>
      </c>
      <c r="K268">
        <v>36748.800000000003</v>
      </c>
    </row>
    <row r="269" spans="1:11" ht="24" hidden="1" customHeight="1" x14ac:dyDescent="0.25">
      <c r="A269" s="12" t="str">
        <f>A268</f>
        <v>ЩС-8</v>
      </c>
      <c r="B269" s="12" t="s">
        <v>10</v>
      </c>
      <c r="C269" s="18" t="s">
        <v>10</v>
      </c>
      <c r="D269" s="12" t="s">
        <v>10</v>
      </c>
      <c r="E269" s="12">
        <f ca="1">OFFSET(E269,1,2)</f>
        <v>15000</v>
      </c>
      <c r="F269" s="15">
        <f ca="1">E269</f>
        <v>15000</v>
      </c>
      <c r="G269" s="15">
        <f t="shared" ca="1" si="128"/>
        <v>15000</v>
      </c>
      <c r="H269" s="12">
        <v>1</v>
      </c>
      <c r="I269" s="12" t="s">
        <v>13</v>
      </c>
      <c r="J269" s="12" t="s">
        <v>10</v>
      </c>
      <c r="K269">
        <v>15000</v>
      </c>
    </row>
    <row r="270" spans="1:11" ht="21" hidden="1" customHeight="1" x14ac:dyDescent="0.25">
      <c r="A270" s="12" t="str">
        <f t="shared" ref="A270:A271" si="129">A269</f>
        <v>ЩС-8</v>
      </c>
      <c r="B270" s="12" t="s">
        <v>11</v>
      </c>
      <c r="C270" s="18" t="s">
        <v>11</v>
      </c>
      <c r="D270" s="12" t="s">
        <v>11</v>
      </c>
      <c r="E270" s="12">
        <v>2.5</v>
      </c>
      <c r="F270" s="15">
        <v>100</v>
      </c>
      <c r="G270" s="15">
        <f>60*E270*F270</f>
        <v>15000</v>
      </c>
      <c r="H270" s="12">
        <f>60*E270</f>
        <v>150</v>
      </c>
      <c r="I270" s="12" t="s">
        <v>13</v>
      </c>
      <c r="J270" s="12" t="s">
        <v>11</v>
      </c>
      <c r="K270">
        <v>15000</v>
      </c>
    </row>
    <row r="271" spans="1:11" ht="30" customHeight="1" x14ac:dyDescent="0.25">
      <c r="A271" s="12" t="str">
        <f t="shared" si="129"/>
        <v>ЩС-8</v>
      </c>
      <c r="B271" s="19"/>
      <c r="C271" s="20"/>
      <c r="D271" s="21"/>
      <c r="E271" s="23"/>
      <c r="F271" s="25"/>
      <c r="G271" s="24">
        <f ca="1">SUM(G266:G270)</f>
        <v>80172</v>
      </c>
      <c r="H271" s="20"/>
      <c r="I271" s="22"/>
      <c r="J271" s="20"/>
      <c r="K271">
        <v>80172</v>
      </c>
    </row>
    <row r="272" spans="1:11" ht="39.75" customHeight="1" x14ac:dyDescent="0.25">
      <c r="A272" s="5" t="str">
        <f>D272</f>
        <v>ЩС-9</v>
      </c>
      <c r="B272" s="6"/>
      <c r="C272" s="7"/>
      <c r="D272" s="6" t="s">
        <v>129</v>
      </c>
      <c r="E272" s="8"/>
      <c r="F272" s="8"/>
      <c r="G272" s="9"/>
      <c r="H272" s="10">
        <v>1</v>
      </c>
      <c r="I272" s="11" t="s">
        <v>7</v>
      </c>
      <c r="J272" s="6" t="s">
        <v>9</v>
      </c>
    </row>
    <row r="273" spans="1:11" ht="21" hidden="1" customHeight="1" x14ac:dyDescent="0.25">
      <c r="A273" s="12" t="str">
        <f>A272</f>
        <v>ЩС-9</v>
      </c>
      <c r="B273" s="13" t="s">
        <v>8</v>
      </c>
      <c r="C273" s="14" t="s">
        <v>210</v>
      </c>
      <c r="D273" s="12" t="s">
        <v>211</v>
      </c>
      <c r="E273" s="13">
        <v>19000</v>
      </c>
      <c r="F273" s="15">
        <f>E273*0.6</f>
        <v>11400</v>
      </c>
      <c r="G273" s="15">
        <f>H273*F273</f>
        <v>11400</v>
      </c>
      <c r="H273" s="16">
        <v>1</v>
      </c>
      <c r="I273" s="17" t="s">
        <v>13</v>
      </c>
      <c r="J273" s="13" t="s">
        <v>16</v>
      </c>
      <c r="K273">
        <v>11400</v>
      </c>
    </row>
    <row r="274" spans="1:11" ht="20.25" hidden="1" customHeight="1" x14ac:dyDescent="0.25">
      <c r="A274" s="12" t="str">
        <f t="shared" ref="A274" si="130">A273</f>
        <v>ЩС-9</v>
      </c>
      <c r="B274" s="13" t="s">
        <v>34</v>
      </c>
      <c r="C274" s="14" t="s">
        <v>123</v>
      </c>
      <c r="D274" s="12" t="s">
        <v>128</v>
      </c>
      <c r="E274" s="13">
        <v>3372</v>
      </c>
      <c r="F274" s="15">
        <f t="shared" ref="F274:F275" si="131">E274*0.6</f>
        <v>2023.1999999999998</v>
      </c>
      <c r="G274" s="15">
        <f t="shared" ref="G274:G276" si="132">F274*H274</f>
        <v>2023.1999999999998</v>
      </c>
      <c r="H274" s="16">
        <v>1</v>
      </c>
      <c r="I274" s="17" t="s">
        <v>13</v>
      </c>
      <c r="J274" s="13" t="s">
        <v>17</v>
      </c>
      <c r="K274">
        <v>2023.1999999999998</v>
      </c>
    </row>
    <row r="275" spans="1:11" ht="21" hidden="1" customHeight="1" x14ac:dyDescent="0.25">
      <c r="A275" s="12" t="str">
        <f>A274</f>
        <v>ЩС-9</v>
      </c>
      <c r="B275" s="13" t="s">
        <v>27</v>
      </c>
      <c r="C275" s="14" t="s">
        <v>107</v>
      </c>
      <c r="D275" s="12" t="s">
        <v>108</v>
      </c>
      <c r="E275" s="13">
        <v>5104</v>
      </c>
      <c r="F275" s="15">
        <f t="shared" si="131"/>
        <v>3062.4</v>
      </c>
      <c r="G275" s="15">
        <f t="shared" si="132"/>
        <v>39811.200000000004</v>
      </c>
      <c r="H275" s="16">
        <v>13</v>
      </c>
      <c r="I275" s="17" t="s">
        <v>13</v>
      </c>
      <c r="J275" s="13" t="s">
        <v>17</v>
      </c>
      <c r="K275">
        <v>39811.200000000004</v>
      </c>
    </row>
    <row r="276" spans="1:11" ht="24" hidden="1" customHeight="1" x14ac:dyDescent="0.25">
      <c r="A276" s="12" t="str">
        <f>A275</f>
        <v>ЩС-9</v>
      </c>
      <c r="B276" s="12" t="s">
        <v>10</v>
      </c>
      <c r="C276" s="18" t="s">
        <v>10</v>
      </c>
      <c r="D276" s="12" t="s">
        <v>10</v>
      </c>
      <c r="E276" s="12">
        <f ca="1">OFFSET(E276,1,2)</f>
        <v>15000</v>
      </c>
      <c r="F276" s="15">
        <f ca="1">E276</f>
        <v>15000</v>
      </c>
      <c r="G276" s="15">
        <f t="shared" ca="1" si="132"/>
        <v>15000</v>
      </c>
      <c r="H276" s="12">
        <v>1</v>
      </c>
      <c r="I276" s="12" t="s">
        <v>13</v>
      </c>
      <c r="J276" s="12" t="s">
        <v>10</v>
      </c>
      <c r="K276">
        <v>15000</v>
      </c>
    </row>
    <row r="277" spans="1:11" ht="21" hidden="1" customHeight="1" x14ac:dyDescent="0.25">
      <c r="A277" s="12" t="str">
        <f t="shared" ref="A277:A278" si="133">A276</f>
        <v>ЩС-9</v>
      </c>
      <c r="B277" s="12" t="s">
        <v>11</v>
      </c>
      <c r="C277" s="18" t="s">
        <v>11</v>
      </c>
      <c r="D277" s="12" t="s">
        <v>11</v>
      </c>
      <c r="E277" s="12">
        <v>2.5</v>
      </c>
      <c r="F277" s="15">
        <v>100</v>
      </c>
      <c r="G277" s="15">
        <f>60*E277*F277</f>
        <v>15000</v>
      </c>
      <c r="H277" s="12">
        <f>60*E277</f>
        <v>150</v>
      </c>
      <c r="I277" s="12" t="s">
        <v>13</v>
      </c>
      <c r="J277" s="12" t="s">
        <v>11</v>
      </c>
      <c r="K277">
        <v>15000</v>
      </c>
    </row>
    <row r="278" spans="1:11" ht="30" customHeight="1" x14ac:dyDescent="0.25">
      <c r="A278" s="12" t="str">
        <f t="shared" si="133"/>
        <v>ЩС-9</v>
      </c>
      <c r="B278" s="19"/>
      <c r="C278" s="20"/>
      <c r="D278" s="21"/>
      <c r="E278" s="23"/>
      <c r="F278" s="25"/>
      <c r="G278" s="24">
        <f ca="1">SUM(G273:G277)</f>
        <v>83234.400000000009</v>
      </c>
      <c r="H278" s="20"/>
      <c r="I278" s="22"/>
      <c r="J278" s="20"/>
      <c r="K278">
        <v>83234.400000000009</v>
      </c>
    </row>
    <row r="279" spans="1:11" ht="39.75" customHeight="1" x14ac:dyDescent="0.25">
      <c r="A279" s="5" t="str">
        <f>D279</f>
        <v>ЩС-10</v>
      </c>
      <c r="B279" s="6"/>
      <c r="C279" s="7"/>
      <c r="D279" s="6" t="s">
        <v>130</v>
      </c>
      <c r="E279" s="8"/>
      <c r="F279" s="8"/>
      <c r="G279" s="9"/>
      <c r="H279" s="10">
        <v>1</v>
      </c>
      <c r="I279" s="11" t="s">
        <v>7</v>
      </c>
      <c r="J279" s="6" t="s">
        <v>9</v>
      </c>
    </row>
    <row r="280" spans="1:11" ht="21" hidden="1" customHeight="1" x14ac:dyDescent="0.25">
      <c r="A280" s="12" t="str">
        <f>A279</f>
        <v>ЩС-10</v>
      </c>
      <c r="B280" s="13" t="s">
        <v>8</v>
      </c>
      <c r="C280" s="14" t="s">
        <v>210</v>
      </c>
      <c r="D280" s="12" t="s">
        <v>211</v>
      </c>
      <c r="E280" s="13">
        <v>19000</v>
      </c>
      <c r="F280" s="15">
        <f>E280*0.6</f>
        <v>11400</v>
      </c>
      <c r="G280" s="15">
        <f>H280*F280</f>
        <v>11400</v>
      </c>
      <c r="H280" s="16">
        <v>1</v>
      </c>
      <c r="I280" s="17" t="s">
        <v>13</v>
      </c>
      <c r="J280" s="13" t="s">
        <v>16</v>
      </c>
      <c r="K280">
        <v>11400</v>
      </c>
    </row>
    <row r="281" spans="1:11" ht="20.25" hidden="1" customHeight="1" x14ac:dyDescent="0.25">
      <c r="A281" s="12" t="str">
        <f t="shared" ref="A281" si="134">A280</f>
        <v>ЩС-10</v>
      </c>
      <c r="B281" s="13" t="s">
        <v>34</v>
      </c>
      <c r="C281" s="14" t="s">
        <v>99</v>
      </c>
      <c r="D281" s="12" t="s">
        <v>100</v>
      </c>
      <c r="E281" s="13">
        <v>3372</v>
      </c>
      <c r="F281" s="15">
        <f t="shared" ref="F281:F282" si="135">E281*0.6</f>
        <v>2023.1999999999998</v>
      </c>
      <c r="G281" s="15">
        <f t="shared" ref="G281:G283" si="136">F281*H281</f>
        <v>2023.1999999999998</v>
      </c>
      <c r="H281" s="16">
        <v>1</v>
      </c>
      <c r="I281" s="17" t="s">
        <v>13</v>
      </c>
      <c r="J281" s="13" t="s">
        <v>17</v>
      </c>
      <c r="K281">
        <v>2023.1999999999998</v>
      </c>
    </row>
    <row r="282" spans="1:11" ht="21" hidden="1" customHeight="1" x14ac:dyDescent="0.25">
      <c r="A282" s="12" t="str">
        <f>A281</f>
        <v>ЩС-10</v>
      </c>
      <c r="B282" s="13" t="s">
        <v>27</v>
      </c>
      <c r="C282" s="14" t="s">
        <v>107</v>
      </c>
      <c r="D282" s="12" t="s">
        <v>108</v>
      </c>
      <c r="E282" s="13">
        <v>5104</v>
      </c>
      <c r="F282" s="15">
        <f t="shared" si="135"/>
        <v>3062.4</v>
      </c>
      <c r="G282" s="15">
        <f t="shared" si="136"/>
        <v>39811.200000000004</v>
      </c>
      <c r="H282" s="16">
        <v>13</v>
      </c>
      <c r="I282" s="17" t="s">
        <v>13</v>
      </c>
      <c r="J282" s="13" t="s">
        <v>17</v>
      </c>
      <c r="K282">
        <v>39811.200000000004</v>
      </c>
    </row>
    <row r="283" spans="1:11" ht="24" hidden="1" customHeight="1" x14ac:dyDescent="0.25">
      <c r="A283" s="12" t="str">
        <f>A282</f>
        <v>ЩС-10</v>
      </c>
      <c r="B283" s="12" t="s">
        <v>10</v>
      </c>
      <c r="C283" s="18" t="s">
        <v>10</v>
      </c>
      <c r="D283" s="12" t="s">
        <v>10</v>
      </c>
      <c r="E283" s="12">
        <f ca="1">OFFSET(E283,1,2)</f>
        <v>15000</v>
      </c>
      <c r="F283" s="15">
        <f ca="1">E283</f>
        <v>15000</v>
      </c>
      <c r="G283" s="15">
        <f t="shared" ca="1" si="136"/>
        <v>15000</v>
      </c>
      <c r="H283" s="12">
        <v>1</v>
      </c>
      <c r="I283" s="12" t="s">
        <v>13</v>
      </c>
      <c r="J283" s="12" t="s">
        <v>10</v>
      </c>
      <c r="K283">
        <v>15000</v>
      </c>
    </row>
    <row r="284" spans="1:11" ht="21" hidden="1" customHeight="1" x14ac:dyDescent="0.25">
      <c r="A284" s="12" t="str">
        <f t="shared" ref="A284:A285" si="137">A283</f>
        <v>ЩС-10</v>
      </c>
      <c r="B284" s="12" t="s">
        <v>11</v>
      </c>
      <c r="C284" s="18" t="s">
        <v>11</v>
      </c>
      <c r="D284" s="12" t="s">
        <v>11</v>
      </c>
      <c r="E284" s="12">
        <v>2.5</v>
      </c>
      <c r="F284" s="15">
        <v>100</v>
      </c>
      <c r="G284" s="15">
        <f>60*E284*F284</f>
        <v>15000</v>
      </c>
      <c r="H284" s="12">
        <f>60*E284</f>
        <v>150</v>
      </c>
      <c r="I284" s="12" t="s">
        <v>13</v>
      </c>
      <c r="J284" s="12" t="s">
        <v>11</v>
      </c>
      <c r="K284">
        <v>15000</v>
      </c>
    </row>
    <row r="285" spans="1:11" ht="30" customHeight="1" x14ac:dyDescent="0.25">
      <c r="A285" s="12" t="str">
        <f t="shared" si="137"/>
        <v>ЩС-10</v>
      </c>
      <c r="B285" s="19"/>
      <c r="C285" s="20"/>
      <c r="D285" s="21"/>
      <c r="E285" s="23"/>
      <c r="F285" s="25"/>
      <c r="G285" s="24">
        <f ca="1">SUM(G280:G284)</f>
        <v>83234.400000000009</v>
      </c>
      <c r="H285" s="20"/>
      <c r="I285" s="22"/>
      <c r="J285" s="20"/>
      <c r="K285">
        <v>83234.400000000009</v>
      </c>
    </row>
    <row r="286" spans="1:11" ht="39.75" customHeight="1" x14ac:dyDescent="0.25">
      <c r="A286" s="5" t="str">
        <f>D286</f>
        <v>ЩС-11</v>
      </c>
      <c r="B286" s="6"/>
      <c r="C286" s="7"/>
      <c r="D286" s="6" t="s">
        <v>131</v>
      </c>
      <c r="E286" s="8"/>
      <c r="F286" s="8"/>
      <c r="G286" s="9"/>
      <c r="H286" s="10">
        <v>1</v>
      </c>
      <c r="I286" s="11" t="s">
        <v>7</v>
      </c>
      <c r="J286" s="6" t="s">
        <v>9</v>
      </c>
    </row>
    <row r="287" spans="1:11" ht="21" hidden="1" customHeight="1" x14ac:dyDescent="0.25">
      <c r="A287" s="12" t="str">
        <f>A286</f>
        <v>ЩС-11</v>
      </c>
      <c r="B287" s="13" t="s">
        <v>8</v>
      </c>
      <c r="C287" s="14" t="s">
        <v>216</v>
      </c>
      <c r="D287" s="12" t="s">
        <v>217</v>
      </c>
      <c r="E287" s="13">
        <v>15460</v>
      </c>
      <c r="F287" s="15">
        <f>E287*0.6</f>
        <v>9276</v>
      </c>
      <c r="G287" s="15">
        <f>H287*F287</f>
        <v>9276</v>
      </c>
      <c r="H287" s="16">
        <v>1</v>
      </c>
      <c r="I287" s="17" t="s">
        <v>13</v>
      </c>
      <c r="J287" s="13" t="s">
        <v>16</v>
      </c>
      <c r="K287">
        <v>9276</v>
      </c>
    </row>
    <row r="288" spans="1:11" ht="20.25" hidden="1" customHeight="1" x14ac:dyDescent="0.25">
      <c r="A288" s="12" t="str">
        <f t="shared" ref="A288" si="138">A287</f>
        <v>ЩС-11</v>
      </c>
      <c r="B288" s="13" t="s">
        <v>34</v>
      </c>
      <c r="C288" s="14" t="s">
        <v>99</v>
      </c>
      <c r="D288" s="12" t="s">
        <v>100</v>
      </c>
      <c r="E288" s="13">
        <v>3372</v>
      </c>
      <c r="F288" s="15">
        <f t="shared" ref="F288:F289" si="139">E288*0.6</f>
        <v>2023.1999999999998</v>
      </c>
      <c r="G288" s="15">
        <f t="shared" ref="G288:G290" si="140">F288*H288</f>
        <v>2023.1999999999998</v>
      </c>
      <c r="H288" s="16">
        <v>1</v>
      </c>
      <c r="I288" s="17" t="s">
        <v>13</v>
      </c>
      <c r="J288" s="13" t="s">
        <v>17</v>
      </c>
      <c r="K288">
        <v>2023.1999999999998</v>
      </c>
    </row>
    <row r="289" spans="1:11" ht="21" hidden="1" customHeight="1" x14ac:dyDescent="0.25">
      <c r="A289" s="12" t="str">
        <f>A288</f>
        <v>ЩС-11</v>
      </c>
      <c r="B289" s="13" t="s">
        <v>27</v>
      </c>
      <c r="C289" s="14" t="s">
        <v>107</v>
      </c>
      <c r="D289" s="12" t="s">
        <v>108</v>
      </c>
      <c r="E289" s="13">
        <v>5104</v>
      </c>
      <c r="F289" s="15">
        <f t="shared" si="139"/>
        <v>3062.4</v>
      </c>
      <c r="G289" s="15">
        <f t="shared" si="140"/>
        <v>21436.799999999999</v>
      </c>
      <c r="H289" s="16">
        <v>7</v>
      </c>
      <c r="I289" s="17" t="s">
        <v>13</v>
      </c>
      <c r="J289" s="13" t="s">
        <v>17</v>
      </c>
      <c r="K289">
        <v>21436.799999999999</v>
      </c>
    </row>
    <row r="290" spans="1:11" ht="24" hidden="1" customHeight="1" x14ac:dyDescent="0.25">
      <c r="A290" s="12" t="str">
        <f>A289</f>
        <v>ЩС-11</v>
      </c>
      <c r="B290" s="12" t="s">
        <v>10</v>
      </c>
      <c r="C290" s="18" t="s">
        <v>10</v>
      </c>
      <c r="D290" s="12" t="s">
        <v>10</v>
      </c>
      <c r="E290" s="12">
        <f ca="1">OFFSET(E290,1,2)</f>
        <v>9000</v>
      </c>
      <c r="F290" s="15">
        <f ca="1">E290</f>
        <v>9000</v>
      </c>
      <c r="G290" s="15">
        <f t="shared" ca="1" si="140"/>
        <v>9000</v>
      </c>
      <c r="H290" s="12">
        <v>1</v>
      </c>
      <c r="I290" s="12" t="s">
        <v>13</v>
      </c>
      <c r="J290" s="12" t="s">
        <v>10</v>
      </c>
      <c r="K290">
        <v>9000</v>
      </c>
    </row>
    <row r="291" spans="1:11" ht="21" hidden="1" customHeight="1" x14ac:dyDescent="0.25">
      <c r="A291" s="12" t="str">
        <f t="shared" ref="A291:A292" si="141">A290</f>
        <v>ЩС-11</v>
      </c>
      <c r="B291" s="12" t="s">
        <v>11</v>
      </c>
      <c r="C291" s="18" t="s">
        <v>11</v>
      </c>
      <c r="D291" s="12" t="s">
        <v>11</v>
      </c>
      <c r="E291" s="12">
        <v>1.5</v>
      </c>
      <c r="F291" s="15">
        <v>100</v>
      </c>
      <c r="G291" s="15">
        <f>60*E291*F291</f>
        <v>9000</v>
      </c>
      <c r="H291" s="12">
        <f>60*E291</f>
        <v>90</v>
      </c>
      <c r="I291" s="12" t="s">
        <v>13</v>
      </c>
      <c r="J291" s="12" t="s">
        <v>11</v>
      </c>
      <c r="K291">
        <v>9000</v>
      </c>
    </row>
    <row r="292" spans="1:11" ht="30" customHeight="1" x14ac:dyDescent="0.25">
      <c r="A292" s="12" t="str">
        <f t="shared" si="141"/>
        <v>ЩС-11</v>
      </c>
      <c r="B292" s="19"/>
      <c r="C292" s="20"/>
      <c r="D292" s="21"/>
      <c r="E292" s="23"/>
      <c r="F292" s="25"/>
      <c r="G292" s="24">
        <f ca="1">SUM(G287:G291)</f>
        <v>50736</v>
      </c>
      <c r="H292" s="20"/>
      <c r="I292" s="22"/>
      <c r="J292" s="20"/>
      <c r="K292">
        <v>50736</v>
      </c>
    </row>
    <row r="293" spans="1:11" ht="39.75" customHeight="1" x14ac:dyDescent="0.25">
      <c r="A293" s="5" t="str">
        <f>D293</f>
        <v>ЩС-12</v>
      </c>
      <c r="B293" s="6"/>
      <c r="C293" s="7"/>
      <c r="D293" s="6" t="s">
        <v>134</v>
      </c>
      <c r="E293" s="8"/>
      <c r="F293" s="8"/>
      <c r="G293" s="9"/>
      <c r="H293" s="10">
        <v>1</v>
      </c>
      <c r="I293" s="11" t="s">
        <v>7</v>
      </c>
      <c r="J293" s="6" t="s">
        <v>9</v>
      </c>
    </row>
    <row r="294" spans="1:11" ht="21" hidden="1" customHeight="1" x14ac:dyDescent="0.25">
      <c r="A294" s="12" t="str">
        <f>A293</f>
        <v>ЩС-12</v>
      </c>
      <c r="B294" s="13" t="s">
        <v>8</v>
      </c>
      <c r="C294" s="14" t="s">
        <v>210</v>
      </c>
      <c r="D294" s="12" t="s">
        <v>211</v>
      </c>
      <c r="E294" s="13">
        <v>19000</v>
      </c>
      <c r="F294" s="15">
        <f>E294*0.6</f>
        <v>11400</v>
      </c>
      <c r="G294" s="15">
        <f>H294*F294</f>
        <v>11400</v>
      </c>
      <c r="H294" s="16">
        <v>1</v>
      </c>
      <c r="I294" s="17" t="s">
        <v>13</v>
      </c>
      <c r="J294" s="13" t="s">
        <v>16</v>
      </c>
      <c r="K294">
        <v>11400</v>
      </c>
    </row>
    <row r="295" spans="1:11" ht="20.25" hidden="1" customHeight="1" x14ac:dyDescent="0.25">
      <c r="A295" s="12" t="str">
        <f t="shared" ref="A295" si="142">A294</f>
        <v>ЩС-12</v>
      </c>
      <c r="B295" s="13" t="s">
        <v>34</v>
      </c>
      <c r="C295" s="14" t="s">
        <v>132</v>
      </c>
      <c r="D295" s="12" t="s">
        <v>133</v>
      </c>
      <c r="E295" s="13">
        <v>3372</v>
      </c>
      <c r="F295" s="15">
        <f t="shared" ref="F295:F297" si="143">E295*0.6</f>
        <v>2023.1999999999998</v>
      </c>
      <c r="G295" s="15">
        <f t="shared" ref="G295:G298" si="144">F295*H295</f>
        <v>2023.1999999999998</v>
      </c>
      <c r="H295" s="16">
        <v>1</v>
      </c>
      <c r="I295" s="17" t="s">
        <v>13</v>
      </c>
      <c r="J295" s="13" t="s">
        <v>17</v>
      </c>
      <c r="K295">
        <v>2023.1999999999998</v>
      </c>
    </row>
    <row r="296" spans="1:11" ht="21" hidden="1" customHeight="1" x14ac:dyDescent="0.25">
      <c r="A296" s="12" t="str">
        <f>A294</f>
        <v>ЩС-12</v>
      </c>
      <c r="B296" s="13" t="s">
        <v>27</v>
      </c>
      <c r="C296" s="14" t="s">
        <v>116</v>
      </c>
      <c r="D296" s="12" t="s">
        <v>117</v>
      </c>
      <c r="E296" s="13">
        <v>8352</v>
      </c>
      <c r="F296" s="15">
        <f t="shared" ref="F296" si="145">E296*0.6</f>
        <v>5011.2</v>
      </c>
      <c r="G296" s="15">
        <f t="shared" ref="G296" si="146">F296*H296</f>
        <v>10022.4</v>
      </c>
      <c r="H296" s="16">
        <v>2</v>
      </c>
      <c r="I296" s="17" t="s">
        <v>13</v>
      </c>
      <c r="J296" s="13" t="s">
        <v>17</v>
      </c>
      <c r="K296">
        <v>10022.4</v>
      </c>
    </row>
    <row r="297" spans="1:11" ht="21" hidden="1" customHeight="1" x14ac:dyDescent="0.25">
      <c r="A297" s="12" t="str">
        <f>A295</f>
        <v>ЩС-12</v>
      </c>
      <c r="B297" s="13" t="s">
        <v>27</v>
      </c>
      <c r="C297" s="14" t="s">
        <v>107</v>
      </c>
      <c r="D297" s="12" t="s">
        <v>108</v>
      </c>
      <c r="E297" s="13">
        <v>5104</v>
      </c>
      <c r="F297" s="15">
        <f t="shared" si="143"/>
        <v>3062.4</v>
      </c>
      <c r="G297" s="15">
        <f t="shared" si="144"/>
        <v>21436.799999999999</v>
      </c>
      <c r="H297" s="16">
        <v>7</v>
      </c>
      <c r="I297" s="17" t="s">
        <v>13</v>
      </c>
      <c r="J297" s="13" t="s">
        <v>17</v>
      </c>
      <c r="K297">
        <v>21436.799999999999</v>
      </c>
    </row>
    <row r="298" spans="1:11" ht="24" hidden="1" customHeight="1" x14ac:dyDescent="0.25">
      <c r="A298" s="12" t="str">
        <f>A297</f>
        <v>ЩС-12</v>
      </c>
      <c r="B298" s="12" t="s">
        <v>10</v>
      </c>
      <c r="C298" s="18" t="s">
        <v>10</v>
      </c>
      <c r="D298" s="12" t="s">
        <v>10</v>
      </c>
      <c r="E298" s="12">
        <f ca="1">OFFSET(E298,1,2)</f>
        <v>13800</v>
      </c>
      <c r="F298" s="15">
        <f ca="1">E298</f>
        <v>13800</v>
      </c>
      <c r="G298" s="15">
        <f t="shared" ca="1" si="144"/>
        <v>13800</v>
      </c>
      <c r="H298" s="12">
        <v>1</v>
      </c>
      <c r="I298" s="12" t="s">
        <v>13</v>
      </c>
      <c r="J298" s="12" t="s">
        <v>10</v>
      </c>
      <c r="K298">
        <v>13800</v>
      </c>
    </row>
    <row r="299" spans="1:11" ht="21" hidden="1" customHeight="1" x14ac:dyDescent="0.25">
      <c r="A299" s="12" t="str">
        <f t="shared" ref="A299:A300" si="147">A298</f>
        <v>ЩС-12</v>
      </c>
      <c r="B299" s="12" t="s">
        <v>11</v>
      </c>
      <c r="C299" s="18" t="s">
        <v>11</v>
      </c>
      <c r="D299" s="12" t="s">
        <v>11</v>
      </c>
      <c r="E299" s="12">
        <v>2.2999999999999998</v>
      </c>
      <c r="F299" s="15">
        <v>100</v>
      </c>
      <c r="G299" s="15">
        <f>60*E299*F299</f>
        <v>13800</v>
      </c>
      <c r="H299" s="12">
        <f>60*E299</f>
        <v>138</v>
      </c>
      <c r="I299" s="12" t="s">
        <v>13</v>
      </c>
      <c r="J299" s="12" t="s">
        <v>11</v>
      </c>
      <c r="K299">
        <v>13800</v>
      </c>
    </row>
    <row r="300" spans="1:11" ht="30" customHeight="1" x14ac:dyDescent="0.25">
      <c r="A300" s="12" t="str">
        <f t="shared" si="147"/>
        <v>ЩС-12</v>
      </c>
      <c r="B300" s="19"/>
      <c r="C300" s="20"/>
      <c r="D300" s="21"/>
      <c r="E300" s="23"/>
      <c r="F300" s="25"/>
      <c r="G300" s="24">
        <f ca="1">SUM(G294:G299)</f>
        <v>72482.399999999994</v>
      </c>
      <c r="H300" s="20"/>
      <c r="I300" s="22"/>
      <c r="J300" s="20"/>
      <c r="K300">
        <v>72482.399999999994</v>
      </c>
    </row>
    <row r="301" spans="1:11" ht="39.75" customHeight="1" x14ac:dyDescent="0.25">
      <c r="A301" s="5" t="str">
        <f>D301</f>
        <v>ЩС-13</v>
      </c>
      <c r="B301" s="6"/>
      <c r="C301" s="7"/>
      <c r="D301" s="6" t="s">
        <v>135</v>
      </c>
      <c r="E301" s="8"/>
      <c r="F301" s="8"/>
      <c r="G301" s="9"/>
      <c r="H301" s="10">
        <v>1</v>
      </c>
      <c r="I301" s="11" t="s">
        <v>7</v>
      </c>
      <c r="J301" s="6" t="s">
        <v>9</v>
      </c>
    </row>
    <row r="302" spans="1:11" ht="21" hidden="1" customHeight="1" x14ac:dyDescent="0.25">
      <c r="A302" s="12" t="str">
        <f>A301</f>
        <v>ЩС-13</v>
      </c>
      <c r="B302" s="13" t="s">
        <v>8</v>
      </c>
      <c r="C302" s="14" t="s">
        <v>212</v>
      </c>
      <c r="D302" s="12" t="s">
        <v>213</v>
      </c>
      <c r="E302" s="13">
        <v>16000</v>
      </c>
      <c r="F302" s="15">
        <f>E302*0.6</f>
        <v>9600</v>
      </c>
      <c r="G302" s="15">
        <f>H302*F302</f>
        <v>9600</v>
      </c>
      <c r="H302" s="16">
        <v>1</v>
      </c>
      <c r="I302" s="17" t="s">
        <v>13</v>
      </c>
      <c r="J302" s="13" t="s">
        <v>16</v>
      </c>
      <c r="K302">
        <v>9600</v>
      </c>
    </row>
    <row r="303" spans="1:11" ht="20.25" hidden="1" customHeight="1" x14ac:dyDescent="0.25">
      <c r="A303" s="12" t="str">
        <f t="shared" ref="A303" si="148">A302</f>
        <v>ЩС-13</v>
      </c>
      <c r="B303" s="13" t="s">
        <v>34</v>
      </c>
      <c r="C303" s="14" t="s">
        <v>123</v>
      </c>
      <c r="D303" s="12" t="s">
        <v>128</v>
      </c>
      <c r="E303" s="13">
        <v>3372</v>
      </c>
      <c r="F303" s="15">
        <f t="shared" ref="F303:F305" si="149">E303*0.6</f>
        <v>2023.1999999999998</v>
      </c>
      <c r="G303" s="15">
        <f t="shared" ref="G303:G306" si="150">F303*H303</f>
        <v>2023.1999999999998</v>
      </c>
      <c r="H303" s="16">
        <v>1</v>
      </c>
      <c r="I303" s="17" t="s">
        <v>13</v>
      </c>
      <c r="J303" s="13" t="s">
        <v>17</v>
      </c>
      <c r="K303">
        <v>2023.1999999999998</v>
      </c>
    </row>
    <row r="304" spans="1:11" ht="21" hidden="1" customHeight="1" x14ac:dyDescent="0.25">
      <c r="A304" s="12" t="str">
        <f>A302</f>
        <v>ЩС-13</v>
      </c>
      <c r="B304" s="13" t="s">
        <v>27</v>
      </c>
      <c r="C304" s="14" t="s">
        <v>116</v>
      </c>
      <c r="D304" s="12" t="s">
        <v>117</v>
      </c>
      <c r="E304" s="13">
        <v>8352</v>
      </c>
      <c r="F304" s="15">
        <f t="shared" si="149"/>
        <v>5011.2</v>
      </c>
      <c r="G304" s="15">
        <f t="shared" si="150"/>
        <v>5011.2</v>
      </c>
      <c r="H304" s="16">
        <v>1</v>
      </c>
      <c r="I304" s="17" t="s">
        <v>13</v>
      </c>
      <c r="J304" s="13" t="s">
        <v>17</v>
      </c>
      <c r="K304">
        <v>5011.2</v>
      </c>
    </row>
    <row r="305" spans="1:11" ht="21" hidden="1" customHeight="1" x14ac:dyDescent="0.25">
      <c r="A305" s="12" t="str">
        <f>A303</f>
        <v>ЩС-13</v>
      </c>
      <c r="B305" s="13" t="s">
        <v>27</v>
      </c>
      <c r="C305" s="14" t="s">
        <v>107</v>
      </c>
      <c r="D305" s="12" t="s">
        <v>108</v>
      </c>
      <c r="E305" s="13">
        <v>5104</v>
      </c>
      <c r="F305" s="15">
        <f t="shared" si="149"/>
        <v>3062.4</v>
      </c>
      <c r="G305" s="15">
        <f t="shared" si="150"/>
        <v>24499.200000000001</v>
      </c>
      <c r="H305" s="16">
        <v>8</v>
      </c>
      <c r="I305" s="17" t="s">
        <v>13</v>
      </c>
      <c r="J305" s="13" t="s">
        <v>17</v>
      </c>
      <c r="K305">
        <v>24499.200000000001</v>
      </c>
    </row>
    <row r="306" spans="1:11" ht="24" hidden="1" customHeight="1" x14ac:dyDescent="0.25">
      <c r="A306" s="12" t="str">
        <f>A305</f>
        <v>ЩС-13</v>
      </c>
      <c r="B306" s="12" t="s">
        <v>10</v>
      </c>
      <c r="C306" s="18" t="s">
        <v>10</v>
      </c>
      <c r="D306" s="12" t="s">
        <v>10</v>
      </c>
      <c r="E306" s="12">
        <f ca="1">OFFSET(E306,1,2)</f>
        <v>9000</v>
      </c>
      <c r="F306" s="15">
        <f ca="1">E306</f>
        <v>9000</v>
      </c>
      <c r="G306" s="15">
        <f t="shared" ca="1" si="150"/>
        <v>9000</v>
      </c>
      <c r="H306" s="12">
        <v>1</v>
      </c>
      <c r="I306" s="12" t="s">
        <v>13</v>
      </c>
      <c r="J306" s="12" t="s">
        <v>10</v>
      </c>
      <c r="K306">
        <v>9000</v>
      </c>
    </row>
    <row r="307" spans="1:11" ht="21" hidden="1" customHeight="1" x14ac:dyDescent="0.25">
      <c r="A307" s="12" t="str">
        <f t="shared" ref="A307:A308" si="151">A306</f>
        <v>ЩС-13</v>
      </c>
      <c r="B307" s="12" t="s">
        <v>11</v>
      </c>
      <c r="C307" s="18" t="s">
        <v>11</v>
      </c>
      <c r="D307" s="12" t="s">
        <v>11</v>
      </c>
      <c r="E307" s="12">
        <v>1.5</v>
      </c>
      <c r="F307" s="15">
        <v>100</v>
      </c>
      <c r="G307" s="15">
        <f>60*E307*F307</f>
        <v>9000</v>
      </c>
      <c r="H307" s="12">
        <f>60*E307</f>
        <v>90</v>
      </c>
      <c r="I307" s="12" t="s">
        <v>13</v>
      </c>
      <c r="J307" s="12" t="s">
        <v>11</v>
      </c>
      <c r="K307">
        <v>9000</v>
      </c>
    </row>
    <row r="308" spans="1:11" ht="30" customHeight="1" x14ac:dyDescent="0.25">
      <c r="A308" s="12" t="str">
        <f t="shared" si="151"/>
        <v>ЩС-13</v>
      </c>
      <c r="B308" s="19"/>
      <c r="C308" s="20"/>
      <c r="D308" s="21"/>
      <c r="E308" s="23"/>
      <c r="F308" s="25"/>
      <c r="G308" s="24">
        <f ca="1">SUM(G302:G307)</f>
        <v>59133.600000000006</v>
      </c>
      <c r="H308" s="20"/>
      <c r="I308" s="22"/>
      <c r="J308" s="20"/>
      <c r="K308">
        <v>59133.600000000006</v>
      </c>
    </row>
    <row r="309" spans="1:11" ht="39.75" customHeight="1" x14ac:dyDescent="0.25">
      <c r="A309" s="5" t="str">
        <f>D309</f>
        <v>ЩС-14</v>
      </c>
      <c r="B309" s="6"/>
      <c r="C309" s="7"/>
      <c r="D309" s="6" t="s">
        <v>136</v>
      </c>
      <c r="E309" s="8"/>
      <c r="F309" s="8"/>
      <c r="G309" s="9"/>
      <c r="H309" s="10">
        <v>1</v>
      </c>
      <c r="I309" s="11" t="s">
        <v>7</v>
      </c>
      <c r="J309" s="6" t="s">
        <v>9</v>
      </c>
    </row>
    <row r="310" spans="1:11" ht="21" hidden="1" customHeight="1" x14ac:dyDescent="0.25">
      <c r="A310" s="12" t="str">
        <f>A309</f>
        <v>ЩС-14</v>
      </c>
      <c r="B310" s="13" t="s">
        <v>8</v>
      </c>
      <c r="C310" s="14" t="s">
        <v>212</v>
      </c>
      <c r="D310" s="12" t="s">
        <v>213</v>
      </c>
      <c r="E310" s="13">
        <v>16000</v>
      </c>
      <c r="F310" s="15">
        <f>E310*0.6</f>
        <v>9600</v>
      </c>
      <c r="G310" s="15">
        <f>H310*F310</f>
        <v>9600</v>
      </c>
      <c r="H310" s="16">
        <v>1</v>
      </c>
      <c r="I310" s="17" t="s">
        <v>13</v>
      </c>
      <c r="J310" s="13" t="s">
        <v>16</v>
      </c>
      <c r="K310">
        <v>9600</v>
      </c>
    </row>
    <row r="311" spans="1:11" ht="20.25" hidden="1" customHeight="1" x14ac:dyDescent="0.25">
      <c r="A311" s="12" t="str">
        <f t="shared" ref="A311" si="152">A310</f>
        <v>ЩС-14</v>
      </c>
      <c r="B311" s="13" t="s">
        <v>34</v>
      </c>
      <c r="C311" s="14" t="s">
        <v>99</v>
      </c>
      <c r="D311" s="12" t="s">
        <v>100</v>
      </c>
      <c r="E311" s="13">
        <v>3372</v>
      </c>
      <c r="F311" s="15">
        <f t="shared" ref="F311:F312" si="153">E311*0.6</f>
        <v>2023.1999999999998</v>
      </c>
      <c r="G311" s="15">
        <f t="shared" ref="G311:G313" si="154">F311*H311</f>
        <v>2023.1999999999998</v>
      </c>
      <c r="H311" s="16">
        <v>1</v>
      </c>
      <c r="I311" s="17" t="s">
        <v>13</v>
      </c>
      <c r="J311" s="13" t="s">
        <v>17</v>
      </c>
      <c r="K311">
        <v>2023.1999999999998</v>
      </c>
    </row>
    <row r="312" spans="1:11" ht="21" hidden="1" customHeight="1" x14ac:dyDescent="0.25">
      <c r="A312" s="12" t="str">
        <f>A311</f>
        <v>ЩС-14</v>
      </c>
      <c r="B312" s="13" t="s">
        <v>27</v>
      </c>
      <c r="C312" s="14" t="s">
        <v>107</v>
      </c>
      <c r="D312" s="12" t="s">
        <v>108</v>
      </c>
      <c r="E312" s="13">
        <v>5104</v>
      </c>
      <c r="F312" s="15">
        <f t="shared" si="153"/>
        <v>3062.4</v>
      </c>
      <c r="G312" s="15">
        <f t="shared" si="154"/>
        <v>24499.200000000001</v>
      </c>
      <c r="H312" s="16">
        <v>8</v>
      </c>
      <c r="I312" s="17" t="s">
        <v>13</v>
      </c>
      <c r="J312" s="13" t="s">
        <v>17</v>
      </c>
      <c r="K312">
        <v>24499.200000000001</v>
      </c>
    </row>
    <row r="313" spans="1:11" ht="24" hidden="1" customHeight="1" x14ac:dyDescent="0.25">
      <c r="A313" s="12" t="str">
        <f>A312</f>
        <v>ЩС-14</v>
      </c>
      <c r="B313" s="12" t="s">
        <v>10</v>
      </c>
      <c r="C313" s="18" t="s">
        <v>10</v>
      </c>
      <c r="D313" s="12" t="s">
        <v>10</v>
      </c>
      <c r="E313" s="12">
        <f ca="1">OFFSET(E313,1,2)</f>
        <v>9000</v>
      </c>
      <c r="F313" s="15">
        <f ca="1">E313</f>
        <v>9000</v>
      </c>
      <c r="G313" s="15">
        <f t="shared" ca="1" si="154"/>
        <v>9000</v>
      </c>
      <c r="H313" s="12">
        <v>1</v>
      </c>
      <c r="I313" s="12" t="s">
        <v>13</v>
      </c>
      <c r="J313" s="12" t="s">
        <v>10</v>
      </c>
      <c r="K313">
        <v>9000</v>
      </c>
    </row>
    <row r="314" spans="1:11" ht="21" hidden="1" customHeight="1" x14ac:dyDescent="0.25">
      <c r="A314" s="12" t="str">
        <f t="shared" ref="A314:A315" si="155">A313</f>
        <v>ЩС-14</v>
      </c>
      <c r="B314" s="12" t="s">
        <v>11</v>
      </c>
      <c r="C314" s="18" t="s">
        <v>11</v>
      </c>
      <c r="D314" s="12" t="s">
        <v>11</v>
      </c>
      <c r="E314" s="12">
        <v>1.5</v>
      </c>
      <c r="F314" s="15">
        <v>100</v>
      </c>
      <c r="G314" s="15">
        <f>60*E314*F314</f>
        <v>9000</v>
      </c>
      <c r="H314" s="12">
        <f>60*E314</f>
        <v>90</v>
      </c>
      <c r="I314" s="12" t="s">
        <v>13</v>
      </c>
      <c r="J314" s="12" t="s">
        <v>11</v>
      </c>
      <c r="K314">
        <v>9000</v>
      </c>
    </row>
    <row r="315" spans="1:11" ht="30" customHeight="1" x14ac:dyDescent="0.25">
      <c r="A315" s="12" t="str">
        <f t="shared" si="155"/>
        <v>ЩС-14</v>
      </c>
      <c r="B315" s="19"/>
      <c r="C315" s="20"/>
      <c r="D315" s="21"/>
      <c r="E315" s="23"/>
      <c r="F315" s="25"/>
      <c r="G315" s="24">
        <f ca="1">SUM(G310:G314)</f>
        <v>54122.400000000001</v>
      </c>
      <c r="H315" s="20"/>
      <c r="I315" s="22"/>
      <c r="J315" s="20"/>
      <c r="K315">
        <v>54122.400000000001</v>
      </c>
    </row>
    <row r="316" spans="1:11" ht="39.75" customHeight="1" x14ac:dyDescent="0.25">
      <c r="A316" s="5" t="str">
        <f>D316</f>
        <v>ЩС-15</v>
      </c>
      <c r="B316" s="6"/>
      <c r="C316" s="7"/>
      <c r="D316" s="6" t="s">
        <v>137</v>
      </c>
      <c r="E316" s="8"/>
      <c r="F316" s="8"/>
      <c r="G316" s="9"/>
      <c r="H316" s="10">
        <v>1</v>
      </c>
      <c r="I316" s="11" t="s">
        <v>7</v>
      </c>
      <c r="J316" s="6" t="s">
        <v>9</v>
      </c>
    </row>
    <row r="317" spans="1:11" ht="21" hidden="1" customHeight="1" x14ac:dyDescent="0.25">
      <c r="A317" s="12" t="str">
        <f>A316</f>
        <v>ЩС-15</v>
      </c>
      <c r="B317" s="13" t="s">
        <v>8</v>
      </c>
      <c r="C317" s="14" t="s">
        <v>210</v>
      </c>
      <c r="D317" s="12" t="s">
        <v>211</v>
      </c>
      <c r="E317" s="13">
        <v>19000</v>
      </c>
      <c r="F317" s="15">
        <f>E317*0.6</f>
        <v>11400</v>
      </c>
      <c r="G317" s="15">
        <f>H317*F317</f>
        <v>11400</v>
      </c>
      <c r="H317" s="16">
        <v>1</v>
      </c>
      <c r="I317" s="17" t="s">
        <v>13</v>
      </c>
      <c r="J317" s="13" t="s">
        <v>16</v>
      </c>
      <c r="K317">
        <v>11400</v>
      </c>
    </row>
    <row r="318" spans="1:11" ht="20.25" hidden="1" customHeight="1" x14ac:dyDescent="0.25">
      <c r="A318" s="12" t="str">
        <f t="shared" ref="A318" si="156">A317</f>
        <v>ЩС-15</v>
      </c>
      <c r="B318" s="13" t="s">
        <v>34</v>
      </c>
      <c r="C318" s="14" t="s">
        <v>97</v>
      </c>
      <c r="D318" s="12" t="s">
        <v>98</v>
      </c>
      <c r="E318" s="13">
        <v>4217</v>
      </c>
      <c r="F318" s="15">
        <f t="shared" ref="F318:F320" si="157">E318*0.6</f>
        <v>2530.1999999999998</v>
      </c>
      <c r="G318" s="15">
        <f t="shared" ref="G318:G321" si="158">F318*H318</f>
        <v>2530.1999999999998</v>
      </c>
      <c r="H318" s="16">
        <v>1</v>
      </c>
      <c r="I318" s="17" t="s">
        <v>13</v>
      </c>
      <c r="J318" s="13" t="s">
        <v>17</v>
      </c>
      <c r="K318">
        <v>2530.1999999999998</v>
      </c>
    </row>
    <row r="319" spans="1:11" ht="21" hidden="1" customHeight="1" x14ac:dyDescent="0.25">
      <c r="A319" s="12" t="str">
        <f>A317</f>
        <v>ЩС-15</v>
      </c>
      <c r="B319" s="13" t="s">
        <v>27</v>
      </c>
      <c r="C319" s="14" t="s">
        <v>116</v>
      </c>
      <c r="D319" s="12" t="s">
        <v>117</v>
      </c>
      <c r="E319" s="13">
        <v>8352</v>
      </c>
      <c r="F319" s="15">
        <f t="shared" si="157"/>
        <v>5011.2</v>
      </c>
      <c r="G319" s="15">
        <f t="shared" si="158"/>
        <v>5011.2</v>
      </c>
      <c r="H319" s="16">
        <v>1</v>
      </c>
      <c r="I319" s="17" t="s">
        <v>13</v>
      </c>
      <c r="J319" s="13" t="s">
        <v>17</v>
      </c>
      <c r="K319">
        <v>5011.2</v>
      </c>
    </row>
    <row r="320" spans="1:11" ht="21" hidden="1" customHeight="1" x14ac:dyDescent="0.25">
      <c r="A320" s="12" t="str">
        <f>A318</f>
        <v>ЩС-15</v>
      </c>
      <c r="B320" s="13" t="s">
        <v>27</v>
      </c>
      <c r="C320" s="14" t="s">
        <v>107</v>
      </c>
      <c r="D320" s="12" t="s">
        <v>108</v>
      </c>
      <c r="E320" s="13">
        <v>5104</v>
      </c>
      <c r="F320" s="15">
        <f t="shared" si="157"/>
        <v>3062.4</v>
      </c>
      <c r="G320" s="15">
        <f t="shared" si="158"/>
        <v>36748.800000000003</v>
      </c>
      <c r="H320" s="16">
        <v>12</v>
      </c>
      <c r="I320" s="17" t="s">
        <v>13</v>
      </c>
      <c r="J320" s="13" t="s">
        <v>17</v>
      </c>
      <c r="K320">
        <v>36748.800000000003</v>
      </c>
    </row>
    <row r="321" spans="1:11" ht="24" hidden="1" customHeight="1" x14ac:dyDescent="0.25">
      <c r="A321" s="12" t="str">
        <f>A320</f>
        <v>ЩС-15</v>
      </c>
      <c r="B321" s="12" t="s">
        <v>10</v>
      </c>
      <c r="C321" s="18" t="s">
        <v>10</v>
      </c>
      <c r="D321" s="12" t="s">
        <v>10</v>
      </c>
      <c r="E321" s="12">
        <f ca="1">OFFSET(E321,1,2)</f>
        <v>15000</v>
      </c>
      <c r="F321" s="15">
        <f ca="1">E321</f>
        <v>15000</v>
      </c>
      <c r="G321" s="15">
        <f t="shared" ca="1" si="158"/>
        <v>15000</v>
      </c>
      <c r="H321" s="12">
        <v>1</v>
      </c>
      <c r="I321" s="12" t="s">
        <v>13</v>
      </c>
      <c r="J321" s="12" t="s">
        <v>10</v>
      </c>
      <c r="K321">
        <v>15000</v>
      </c>
    </row>
    <row r="322" spans="1:11" ht="21" hidden="1" customHeight="1" x14ac:dyDescent="0.25">
      <c r="A322" s="12" t="str">
        <f t="shared" ref="A322:A323" si="159">A321</f>
        <v>ЩС-15</v>
      </c>
      <c r="B322" s="12" t="s">
        <v>11</v>
      </c>
      <c r="C322" s="18" t="s">
        <v>11</v>
      </c>
      <c r="D322" s="12" t="s">
        <v>11</v>
      </c>
      <c r="E322" s="12">
        <v>2.5</v>
      </c>
      <c r="F322" s="15">
        <v>100</v>
      </c>
      <c r="G322" s="15">
        <f>60*E322*F322</f>
        <v>15000</v>
      </c>
      <c r="H322" s="12">
        <f>60*E322</f>
        <v>150</v>
      </c>
      <c r="I322" s="12" t="s">
        <v>13</v>
      </c>
      <c r="J322" s="12" t="s">
        <v>11</v>
      </c>
      <c r="K322">
        <v>15000</v>
      </c>
    </row>
    <row r="323" spans="1:11" ht="30" customHeight="1" x14ac:dyDescent="0.25">
      <c r="A323" s="12" t="str">
        <f t="shared" si="159"/>
        <v>ЩС-15</v>
      </c>
      <c r="B323" s="19"/>
      <c r="C323" s="20"/>
      <c r="D323" s="21"/>
      <c r="E323" s="23"/>
      <c r="F323" s="25"/>
      <c r="G323" s="24">
        <f ca="1">SUM(G317:G322)</f>
        <v>85690.200000000012</v>
      </c>
      <c r="H323" s="20"/>
      <c r="I323" s="22"/>
      <c r="J323" s="20"/>
      <c r="K323">
        <v>85690.200000000012</v>
      </c>
    </row>
    <row r="324" spans="1:11" ht="39.75" customHeight="1" x14ac:dyDescent="0.25">
      <c r="A324" s="5" t="str">
        <f>D324</f>
        <v>ЩС-16</v>
      </c>
      <c r="B324" s="6"/>
      <c r="C324" s="7"/>
      <c r="D324" s="6" t="s">
        <v>138</v>
      </c>
      <c r="E324" s="8"/>
      <c r="F324" s="8"/>
      <c r="G324" s="9"/>
      <c r="H324" s="10">
        <v>1</v>
      </c>
      <c r="I324" s="11" t="s">
        <v>7</v>
      </c>
      <c r="J324" s="6" t="s">
        <v>9</v>
      </c>
    </row>
    <row r="325" spans="1:11" ht="21" hidden="1" customHeight="1" x14ac:dyDescent="0.25">
      <c r="A325" s="12" t="str">
        <f>A324</f>
        <v>ЩС-16</v>
      </c>
      <c r="B325" s="13" t="s">
        <v>8</v>
      </c>
      <c r="C325" s="14" t="s">
        <v>212</v>
      </c>
      <c r="D325" s="12" t="s">
        <v>213</v>
      </c>
      <c r="E325" s="13">
        <v>16000</v>
      </c>
      <c r="F325" s="15">
        <f>E325*0.6</f>
        <v>9600</v>
      </c>
      <c r="G325" s="15">
        <f>H325*F325</f>
        <v>9600</v>
      </c>
      <c r="H325" s="16">
        <v>1</v>
      </c>
      <c r="I325" s="17" t="s">
        <v>13</v>
      </c>
      <c r="J325" s="13" t="s">
        <v>16</v>
      </c>
      <c r="K325">
        <v>9600</v>
      </c>
    </row>
    <row r="326" spans="1:11" ht="20.25" hidden="1" customHeight="1" x14ac:dyDescent="0.25">
      <c r="A326" s="12" t="str">
        <f t="shared" ref="A326" si="160">A325</f>
        <v>ЩС-16</v>
      </c>
      <c r="B326" s="13" t="s">
        <v>34</v>
      </c>
      <c r="C326" s="14" t="s">
        <v>123</v>
      </c>
      <c r="D326" s="12" t="s">
        <v>124</v>
      </c>
      <c r="E326" s="13">
        <v>3372</v>
      </c>
      <c r="F326" s="15">
        <f t="shared" ref="F326:F327" si="161">E326*0.6</f>
        <v>2023.1999999999998</v>
      </c>
      <c r="G326" s="15">
        <f t="shared" ref="G326:G328" si="162">F326*H326</f>
        <v>2023.1999999999998</v>
      </c>
      <c r="H326" s="16">
        <v>1</v>
      </c>
      <c r="I326" s="17" t="s">
        <v>13</v>
      </c>
      <c r="J326" s="13" t="s">
        <v>17</v>
      </c>
      <c r="K326">
        <v>2023.1999999999998</v>
      </c>
    </row>
    <row r="327" spans="1:11" ht="21" hidden="1" customHeight="1" x14ac:dyDescent="0.25">
      <c r="A327" s="12" t="str">
        <f>A326</f>
        <v>ЩС-16</v>
      </c>
      <c r="B327" s="13" t="s">
        <v>27</v>
      </c>
      <c r="C327" s="14" t="s">
        <v>107</v>
      </c>
      <c r="D327" s="12" t="s">
        <v>108</v>
      </c>
      <c r="E327" s="13">
        <v>5104</v>
      </c>
      <c r="F327" s="15">
        <f t="shared" si="161"/>
        <v>3062.4</v>
      </c>
      <c r="G327" s="15">
        <f t="shared" si="162"/>
        <v>24499.200000000001</v>
      </c>
      <c r="H327" s="16">
        <v>8</v>
      </c>
      <c r="I327" s="17" t="s">
        <v>13</v>
      </c>
      <c r="J327" s="13" t="s">
        <v>17</v>
      </c>
      <c r="K327">
        <v>24499.200000000001</v>
      </c>
    </row>
    <row r="328" spans="1:11" ht="24" hidden="1" customHeight="1" x14ac:dyDescent="0.25">
      <c r="A328" s="12" t="str">
        <f>A327</f>
        <v>ЩС-16</v>
      </c>
      <c r="B328" s="12" t="s">
        <v>10</v>
      </c>
      <c r="C328" s="18" t="s">
        <v>10</v>
      </c>
      <c r="D328" s="12" t="s">
        <v>10</v>
      </c>
      <c r="E328" s="12">
        <f ca="1">OFFSET(E328,1,2)</f>
        <v>9000</v>
      </c>
      <c r="F328" s="15">
        <f ca="1">E328</f>
        <v>9000</v>
      </c>
      <c r="G328" s="15">
        <f t="shared" ca="1" si="162"/>
        <v>9000</v>
      </c>
      <c r="H328" s="12">
        <v>1</v>
      </c>
      <c r="I328" s="12" t="s">
        <v>13</v>
      </c>
      <c r="J328" s="12" t="s">
        <v>10</v>
      </c>
      <c r="K328">
        <v>9000</v>
      </c>
    </row>
    <row r="329" spans="1:11" ht="21" hidden="1" customHeight="1" x14ac:dyDescent="0.25">
      <c r="A329" s="12" t="str">
        <f t="shared" ref="A329:A330" si="163">A328</f>
        <v>ЩС-16</v>
      </c>
      <c r="B329" s="12" t="s">
        <v>11</v>
      </c>
      <c r="C329" s="18" t="s">
        <v>11</v>
      </c>
      <c r="D329" s="12" t="s">
        <v>11</v>
      </c>
      <c r="E329" s="12">
        <v>1.5</v>
      </c>
      <c r="F329" s="15">
        <v>100</v>
      </c>
      <c r="G329" s="15">
        <f>60*E329*F329</f>
        <v>9000</v>
      </c>
      <c r="H329" s="12">
        <f>60*E329</f>
        <v>90</v>
      </c>
      <c r="I329" s="12" t="s">
        <v>13</v>
      </c>
      <c r="J329" s="12" t="s">
        <v>11</v>
      </c>
      <c r="K329">
        <v>9000</v>
      </c>
    </row>
    <row r="330" spans="1:11" ht="30" customHeight="1" x14ac:dyDescent="0.25">
      <c r="A330" s="12" t="str">
        <f t="shared" si="163"/>
        <v>ЩС-16</v>
      </c>
      <c r="B330" s="19"/>
      <c r="C330" s="20"/>
      <c r="D330" s="21"/>
      <c r="E330" s="23"/>
      <c r="F330" s="25"/>
      <c r="G330" s="24">
        <f ca="1">SUM(G325:G329)</f>
        <v>54122.400000000001</v>
      </c>
      <c r="H330" s="20"/>
      <c r="I330" s="22"/>
      <c r="J330" s="20"/>
      <c r="K330">
        <v>54122.400000000001</v>
      </c>
    </row>
    <row r="331" spans="1:11" ht="39.75" customHeight="1" x14ac:dyDescent="0.25">
      <c r="A331" s="5" t="str">
        <f>D331</f>
        <v>ЩС-17</v>
      </c>
      <c r="B331" s="6"/>
      <c r="C331" s="7"/>
      <c r="D331" s="6" t="s">
        <v>139</v>
      </c>
      <c r="E331" s="8"/>
      <c r="F331" s="8"/>
      <c r="G331" s="9"/>
      <c r="H331" s="10">
        <v>1</v>
      </c>
      <c r="I331" s="11" t="s">
        <v>7</v>
      </c>
      <c r="J331" s="6" t="s">
        <v>9</v>
      </c>
    </row>
    <row r="332" spans="1:11" ht="21" hidden="1" customHeight="1" x14ac:dyDescent="0.25">
      <c r="A332" s="12" t="str">
        <f>A331</f>
        <v>ЩС-17</v>
      </c>
      <c r="B332" s="13" t="s">
        <v>8</v>
      </c>
      <c r="C332" s="14" t="s">
        <v>212</v>
      </c>
      <c r="D332" s="12" t="s">
        <v>213</v>
      </c>
      <c r="E332" s="13">
        <v>16000</v>
      </c>
      <c r="F332" s="15">
        <f>E332*0.6</f>
        <v>9600</v>
      </c>
      <c r="G332" s="15">
        <f>H332*F332</f>
        <v>9600</v>
      </c>
      <c r="H332" s="16">
        <v>1</v>
      </c>
      <c r="I332" s="17" t="s">
        <v>13</v>
      </c>
      <c r="J332" s="13" t="s">
        <v>16</v>
      </c>
      <c r="K332">
        <v>9600</v>
      </c>
    </row>
    <row r="333" spans="1:11" ht="20.25" hidden="1" customHeight="1" x14ac:dyDescent="0.25">
      <c r="A333" s="12" t="str">
        <f t="shared" ref="A333" si="164">A332</f>
        <v>ЩС-17</v>
      </c>
      <c r="B333" s="13" t="s">
        <v>34</v>
      </c>
      <c r="C333" s="14" t="s">
        <v>132</v>
      </c>
      <c r="D333" s="12" t="s">
        <v>133</v>
      </c>
      <c r="E333" s="13">
        <v>3372</v>
      </c>
      <c r="F333" s="15">
        <f t="shared" ref="F333:F335" si="165">E333*0.6</f>
        <v>2023.1999999999998</v>
      </c>
      <c r="G333" s="15">
        <f t="shared" ref="G333:G336" si="166">F333*H333</f>
        <v>2023.1999999999998</v>
      </c>
      <c r="H333" s="16">
        <v>1</v>
      </c>
      <c r="I333" s="17" t="s">
        <v>13</v>
      </c>
      <c r="J333" s="13" t="s">
        <v>17</v>
      </c>
      <c r="K333">
        <v>2023.1999999999998</v>
      </c>
    </row>
    <row r="334" spans="1:11" ht="21" hidden="1" customHeight="1" x14ac:dyDescent="0.25">
      <c r="A334" s="12" t="str">
        <f>A332</f>
        <v>ЩС-17</v>
      </c>
      <c r="B334" s="13" t="s">
        <v>27</v>
      </c>
      <c r="C334" s="14" t="s">
        <v>116</v>
      </c>
      <c r="D334" s="12" t="s">
        <v>117</v>
      </c>
      <c r="E334" s="13">
        <v>8352</v>
      </c>
      <c r="F334" s="15">
        <f t="shared" si="165"/>
        <v>5011.2</v>
      </c>
      <c r="G334" s="15">
        <f t="shared" si="166"/>
        <v>5011.2</v>
      </c>
      <c r="H334" s="16">
        <v>1</v>
      </c>
      <c r="I334" s="17" t="s">
        <v>13</v>
      </c>
      <c r="J334" s="13" t="s">
        <v>17</v>
      </c>
      <c r="K334">
        <v>5011.2</v>
      </c>
    </row>
    <row r="335" spans="1:11" ht="21" hidden="1" customHeight="1" x14ac:dyDescent="0.25">
      <c r="A335" s="12" t="str">
        <f>A333</f>
        <v>ЩС-17</v>
      </c>
      <c r="B335" s="13" t="s">
        <v>27</v>
      </c>
      <c r="C335" s="14" t="s">
        <v>107</v>
      </c>
      <c r="D335" s="12" t="s">
        <v>108</v>
      </c>
      <c r="E335" s="13">
        <v>5104</v>
      </c>
      <c r="F335" s="15">
        <f t="shared" si="165"/>
        <v>3062.4</v>
      </c>
      <c r="G335" s="15">
        <f t="shared" si="166"/>
        <v>27561.600000000002</v>
      </c>
      <c r="H335" s="16">
        <v>9</v>
      </c>
      <c r="I335" s="17" t="s">
        <v>13</v>
      </c>
      <c r="J335" s="13" t="s">
        <v>17</v>
      </c>
      <c r="K335">
        <v>27561.600000000002</v>
      </c>
    </row>
    <row r="336" spans="1:11" ht="24" hidden="1" customHeight="1" x14ac:dyDescent="0.25">
      <c r="A336" s="12" t="str">
        <f>A335</f>
        <v>ЩС-17</v>
      </c>
      <c r="B336" s="12" t="s">
        <v>10</v>
      </c>
      <c r="C336" s="18" t="s">
        <v>10</v>
      </c>
      <c r="D336" s="12" t="s">
        <v>10</v>
      </c>
      <c r="E336" s="12">
        <f ca="1">OFFSET(E336,1,2)</f>
        <v>9000</v>
      </c>
      <c r="F336" s="15">
        <f ca="1">E336</f>
        <v>9000</v>
      </c>
      <c r="G336" s="15">
        <f t="shared" ca="1" si="166"/>
        <v>9000</v>
      </c>
      <c r="H336" s="12">
        <v>1</v>
      </c>
      <c r="I336" s="12" t="s">
        <v>13</v>
      </c>
      <c r="J336" s="12" t="s">
        <v>10</v>
      </c>
      <c r="K336">
        <v>9000</v>
      </c>
    </row>
    <row r="337" spans="1:11" ht="21" hidden="1" customHeight="1" x14ac:dyDescent="0.25">
      <c r="A337" s="12" t="str">
        <f t="shared" ref="A337:A338" si="167">A336</f>
        <v>ЩС-17</v>
      </c>
      <c r="B337" s="12" t="s">
        <v>11</v>
      </c>
      <c r="C337" s="18" t="s">
        <v>11</v>
      </c>
      <c r="D337" s="12" t="s">
        <v>11</v>
      </c>
      <c r="E337" s="12">
        <v>1.5</v>
      </c>
      <c r="F337" s="15">
        <v>100</v>
      </c>
      <c r="G337" s="15">
        <f>60*E337*F337</f>
        <v>9000</v>
      </c>
      <c r="H337" s="12">
        <f>60*E337</f>
        <v>90</v>
      </c>
      <c r="I337" s="12" t="s">
        <v>13</v>
      </c>
      <c r="J337" s="12" t="s">
        <v>11</v>
      </c>
      <c r="K337">
        <v>9000</v>
      </c>
    </row>
    <row r="338" spans="1:11" ht="30" customHeight="1" x14ac:dyDescent="0.25">
      <c r="A338" s="12" t="str">
        <f t="shared" si="167"/>
        <v>ЩС-17</v>
      </c>
      <c r="B338" s="19"/>
      <c r="C338" s="20"/>
      <c r="D338" s="21"/>
      <c r="E338" s="23"/>
      <c r="F338" s="25"/>
      <c r="G338" s="24">
        <f ca="1">SUM(G332:G337)</f>
        <v>62196</v>
      </c>
      <c r="H338" s="20"/>
      <c r="I338" s="22"/>
      <c r="J338" s="20"/>
      <c r="K338">
        <v>62196</v>
      </c>
    </row>
    <row r="339" spans="1:11" ht="39.75" customHeight="1" x14ac:dyDescent="0.25">
      <c r="A339" s="5" t="str">
        <f>D339</f>
        <v>ЩС-18</v>
      </c>
      <c r="B339" s="6"/>
      <c r="C339" s="7"/>
      <c r="D339" s="6" t="s">
        <v>140</v>
      </c>
      <c r="E339" s="8"/>
      <c r="F339" s="8"/>
      <c r="G339" s="9"/>
      <c r="H339" s="10">
        <v>1</v>
      </c>
      <c r="I339" s="11" t="s">
        <v>7</v>
      </c>
      <c r="J339" s="6" t="s">
        <v>9</v>
      </c>
    </row>
    <row r="340" spans="1:11" ht="21" hidden="1" customHeight="1" x14ac:dyDescent="0.25">
      <c r="A340" s="12" t="str">
        <f>A339</f>
        <v>ЩС-18</v>
      </c>
      <c r="B340" s="13" t="s">
        <v>8</v>
      </c>
      <c r="C340" s="14" t="s">
        <v>210</v>
      </c>
      <c r="D340" s="12" t="s">
        <v>211</v>
      </c>
      <c r="E340" s="13">
        <v>19000</v>
      </c>
      <c r="F340" s="15">
        <f>E340*0.6</f>
        <v>11400</v>
      </c>
      <c r="G340" s="15">
        <f>H340*F340</f>
        <v>11400</v>
      </c>
      <c r="H340" s="16">
        <v>1</v>
      </c>
      <c r="I340" s="17" t="s">
        <v>13</v>
      </c>
      <c r="J340" s="13" t="s">
        <v>16</v>
      </c>
      <c r="K340">
        <v>11400</v>
      </c>
    </row>
    <row r="341" spans="1:11" ht="20.25" hidden="1" customHeight="1" x14ac:dyDescent="0.25">
      <c r="A341" s="12" t="str">
        <f t="shared" ref="A341" si="168">A340</f>
        <v>ЩС-18</v>
      </c>
      <c r="B341" s="13" t="s">
        <v>34</v>
      </c>
      <c r="C341" s="14" t="s">
        <v>132</v>
      </c>
      <c r="D341" s="12" t="s">
        <v>133</v>
      </c>
      <c r="E341" s="13">
        <v>3372</v>
      </c>
      <c r="F341" s="15">
        <f t="shared" ref="F341:F343" si="169">E341*0.6</f>
        <v>2023.1999999999998</v>
      </c>
      <c r="G341" s="15">
        <f t="shared" ref="G341:G344" si="170">F341*H341</f>
        <v>2023.1999999999998</v>
      </c>
      <c r="H341" s="16">
        <v>1</v>
      </c>
      <c r="I341" s="17" t="s">
        <v>13</v>
      </c>
      <c r="J341" s="13" t="s">
        <v>17</v>
      </c>
      <c r="K341">
        <v>2023.1999999999998</v>
      </c>
    </row>
    <row r="342" spans="1:11" ht="21" hidden="1" customHeight="1" x14ac:dyDescent="0.25">
      <c r="A342" s="12" t="str">
        <f>A340</f>
        <v>ЩС-18</v>
      </c>
      <c r="B342" s="13" t="s">
        <v>27</v>
      </c>
      <c r="C342" s="14" t="s">
        <v>116</v>
      </c>
      <c r="D342" s="12" t="s">
        <v>117</v>
      </c>
      <c r="E342" s="13">
        <v>8352</v>
      </c>
      <c r="F342" s="15">
        <f t="shared" si="169"/>
        <v>5011.2</v>
      </c>
      <c r="G342" s="15">
        <f t="shared" si="170"/>
        <v>5011.2</v>
      </c>
      <c r="H342" s="16">
        <v>1</v>
      </c>
      <c r="I342" s="17" t="s">
        <v>13</v>
      </c>
      <c r="J342" s="13" t="s">
        <v>17</v>
      </c>
      <c r="K342">
        <v>5011.2</v>
      </c>
    </row>
    <row r="343" spans="1:11" ht="21" hidden="1" customHeight="1" x14ac:dyDescent="0.25">
      <c r="A343" s="12" t="str">
        <f>A341</f>
        <v>ЩС-18</v>
      </c>
      <c r="B343" s="13" t="s">
        <v>27</v>
      </c>
      <c r="C343" s="14" t="s">
        <v>107</v>
      </c>
      <c r="D343" s="12" t="s">
        <v>108</v>
      </c>
      <c r="E343" s="13">
        <v>5104</v>
      </c>
      <c r="F343" s="15">
        <f t="shared" si="169"/>
        <v>3062.4</v>
      </c>
      <c r="G343" s="15">
        <f t="shared" si="170"/>
        <v>30624</v>
      </c>
      <c r="H343" s="16">
        <v>10</v>
      </c>
      <c r="I343" s="17" t="s">
        <v>13</v>
      </c>
      <c r="J343" s="13" t="s">
        <v>17</v>
      </c>
      <c r="K343">
        <v>30624</v>
      </c>
    </row>
    <row r="344" spans="1:11" ht="24" hidden="1" customHeight="1" x14ac:dyDescent="0.25">
      <c r="A344" s="12" t="str">
        <f>A343</f>
        <v>ЩС-18</v>
      </c>
      <c r="B344" s="12" t="s">
        <v>10</v>
      </c>
      <c r="C344" s="18" t="s">
        <v>10</v>
      </c>
      <c r="D344" s="12" t="s">
        <v>10</v>
      </c>
      <c r="E344" s="12">
        <f ca="1">OFFSET(E344,1,2)</f>
        <v>15000</v>
      </c>
      <c r="F344" s="15">
        <f ca="1">E344</f>
        <v>15000</v>
      </c>
      <c r="G344" s="15">
        <f t="shared" ca="1" si="170"/>
        <v>15000</v>
      </c>
      <c r="H344" s="12">
        <v>1</v>
      </c>
      <c r="I344" s="12" t="s">
        <v>13</v>
      </c>
      <c r="J344" s="12" t="s">
        <v>10</v>
      </c>
      <c r="K344">
        <v>15000</v>
      </c>
    </row>
    <row r="345" spans="1:11" ht="21" hidden="1" customHeight="1" x14ac:dyDescent="0.25">
      <c r="A345" s="12" t="str">
        <f t="shared" ref="A345:A346" si="171">A344</f>
        <v>ЩС-18</v>
      </c>
      <c r="B345" s="12" t="s">
        <v>11</v>
      </c>
      <c r="C345" s="18" t="s">
        <v>11</v>
      </c>
      <c r="D345" s="12" t="s">
        <v>11</v>
      </c>
      <c r="E345" s="12">
        <v>2.5</v>
      </c>
      <c r="F345" s="15">
        <v>100</v>
      </c>
      <c r="G345" s="15">
        <f>60*E345*F345</f>
        <v>15000</v>
      </c>
      <c r="H345" s="12">
        <f>60*E345</f>
        <v>150</v>
      </c>
      <c r="I345" s="12" t="s">
        <v>13</v>
      </c>
      <c r="J345" s="12" t="s">
        <v>11</v>
      </c>
      <c r="K345">
        <v>15000</v>
      </c>
    </row>
    <row r="346" spans="1:11" ht="30" customHeight="1" x14ac:dyDescent="0.25">
      <c r="A346" s="12" t="str">
        <f t="shared" si="171"/>
        <v>ЩС-18</v>
      </c>
      <c r="B346" s="19"/>
      <c r="C346" s="20"/>
      <c r="D346" s="21"/>
      <c r="E346" s="23"/>
      <c r="F346" s="25"/>
      <c r="G346" s="24">
        <f ca="1">SUM(G340:G345)</f>
        <v>79058.399999999994</v>
      </c>
      <c r="H346" s="20"/>
      <c r="I346" s="22"/>
      <c r="J346" s="20"/>
      <c r="K346">
        <v>79058.399999999994</v>
      </c>
    </row>
    <row r="347" spans="1:11" ht="39.75" customHeight="1" x14ac:dyDescent="0.25">
      <c r="A347" s="5" t="str">
        <f>D347</f>
        <v>ЩС-19</v>
      </c>
      <c r="B347" s="6"/>
      <c r="C347" s="7"/>
      <c r="D347" s="6" t="s">
        <v>141</v>
      </c>
      <c r="E347" s="8"/>
      <c r="F347" s="8"/>
      <c r="G347" s="9"/>
      <c r="H347" s="10">
        <v>1</v>
      </c>
      <c r="I347" s="11" t="s">
        <v>7</v>
      </c>
      <c r="J347" s="6" t="s">
        <v>9</v>
      </c>
    </row>
    <row r="348" spans="1:11" ht="21" hidden="1" customHeight="1" x14ac:dyDescent="0.25">
      <c r="A348" s="12" t="str">
        <f>A347</f>
        <v>ЩС-19</v>
      </c>
      <c r="B348" s="13" t="s">
        <v>8</v>
      </c>
      <c r="C348" s="14" t="s">
        <v>212</v>
      </c>
      <c r="D348" s="12" t="s">
        <v>213</v>
      </c>
      <c r="E348" s="13">
        <v>16000</v>
      </c>
      <c r="F348" s="15">
        <f>E348*0.6</f>
        <v>9600</v>
      </c>
      <c r="G348" s="15">
        <f>H348*F348</f>
        <v>9600</v>
      </c>
      <c r="H348" s="16">
        <v>1</v>
      </c>
      <c r="I348" s="17" t="s">
        <v>13</v>
      </c>
      <c r="J348" s="13" t="s">
        <v>16</v>
      </c>
      <c r="K348">
        <v>9600</v>
      </c>
    </row>
    <row r="349" spans="1:11" ht="20.25" hidden="1" customHeight="1" x14ac:dyDescent="0.25">
      <c r="A349" s="12" t="str">
        <f t="shared" ref="A349" si="172">A348</f>
        <v>ЩС-19</v>
      </c>
      <c r="B349" s="13" t="s">
        <v>34</v>
      </c>
      <c r="C349" s="14" t="s">
        <v>123</v>
      </c>
      <c r="D349" s="12" t="s">
        <v>124</v>
      </c>
      <c r="E349" s="13">
        <v>3372</v>
      </c>
      <c r="F349" s="15">
        <f t="shared" ref="F349:F350" si="173">E349*0.6</f>
        <v>2023.1999999999998</v>
      </c>
      <c r="G349" s="15">
        <f t="shared" ref="G349:G351" si="174">F349*H349</f>
        <v>2023.1999999999998</v>
      </c>
      <c r="H349" s="16">
        <v>1</v>
      </c>
      <c r="I349" s="17" t="s">
        <v>13</v>
      </c>
      <c r="J349" s="13" t="s">
        <v>17</v>
      </c>
      <c r="K349">
        <v>2023.1999999999998</v>
      </c>
    </row>
    <row r="350" spans="1:11" ht="21" hidden="1" customHeight="1" x14ac:dyDescent="0.25">
      <c r="A350" s="12" t="str">
        <f>A349</f>
        <v>ЩС-19</v>
      </c>
      <c r="B350" s="13" t="s">
        <v>27</v>
      </c>
      <c r="C350" s="14" t="s">
        <v>107</v>
      </c>
      <c r="D350" s="12" t="s">
        <v>108</v>
      </c>
      <c r="E350" s="13">
        <v>5104</v>
      </c>
      <c r="F350" s="15">
        <f t="shared" si="173"/>
        <v>3062.4</v>
      </c>
      <c r="G350" s="15">
        <f t="shared" si="174"/>
        <v>24499.200000000001</v>
      </c>
      <c r="H350" s="16">
        <v>8</v>
      </c>
      <c r="I350" s="17" t="s">
        <v>13</v>
      </c>
      <c r="J350" s="13" t="s">
        <v>17</v>
      </c>
      <c r="K350">
        <v>24499.200000000001</v>
      </c>
    </row>
    <row r="351" spans="1:11" ht="24" hidden="1" customHeight="1" x14ac:dyDescent="0.25">
      <c r="A351" s="12" t="str">
        <f>A350</f>
        <v>ЩС-19</v>
      </c>
      <c r="B351" s="12" t="s">
        <v>10</v>
      </c>
      <c r="C351" s="18" t="s">
        <v>10</v>
      </c>
      <c r="D351" s="12" t="s">
        <v>10</v>
      </c>
      <c r="E351" s="12">
        <f ca="1">OFFSET(E351,1,2)</f>
        <v>9000</v>
      </c>
      <c r="F351" s="15">
        <f ca="1">E351</f>
        <v>9000</v>
      </c>
      <c r="G351" s="15">
        <f t="shared" ca="1" si="174"/>
        <v>9000</v>
      </c>
      <c r="H351" s="12">
        <v>1</v>
      </c>
      <c r="I351" s="12" t="s">
        <v>13</v>
      </c>
      <c r="J351" s="12" t="s">
        <v>10</v>
      </c>
      <c r="K351">
        <v>9000</v>
      </c>
    </row>
    <row r="352" spans="1:11" ht="21" hidden="1" customHeight="1" x14ac:dyDescent="0.25">
      <c r="A352" s="12" t="str">
        <f t="shared" ref="A352:A353" si="175">A351</f>
        <v>ЩС-19</v>
      </c>
      <c r="B352" s="12" t="s">
        <v>11</v>
      </c>
      <c r="C352" s="18" t="s">
        <v>11</v>
      </c>
      <c r="D352" s="12" t="s">
        <v>11</v>
      </c>
      <c r="E352" s="12">
        <v>1.5</v>
      </c>
      <c r="F352" s="15">
        <v>100</v>
      </c>
      <c r="G352" s="15">
        <f>60*E352*F352</f>
        <v>9000</v>
      </c>
      <c r="H352" s="12">
        <f>60*E352</f>
        <v>90</v>
      </c>
      <c r="I352" s="12" t="s">
        <v>13</v>
      </c>
      <c r="J352" s="12" t="s">
        <v>11</v>
      </c>
      <c r="K352">
        <v>9000</v>
      </c>
    </row>
    <row r="353" spans="1:11" ht="30" customHeight="1" x14ac:dyDescent="0.25">
      <c r="A353" s="12" t="str">
        <f t="shared" si="175"/>
        <v>ЩС-19</v>
      </c>
      <c r="B353" s="19"/>
      <c r="C353" s="20"/>
      <c r="D353" s="21"/>
      <c r="E353" s="23"/>
      <c r="F353" s="25"/>
      <c r="G353" s="24">
        <f ca="1">SUM(G348:G352)</f>
        <v>54122.400000000001</v>
      </c>
      <c r="H353" s="20"/>
      <c r="I353" s="22"/>
      <c r="J353" s="20"/>
      <c r="K353">
        <v>54122.400000000001</v>
      </c>
    </row>
    <row r="354" spans="1:11" ht="39.75" customHeight="1" x14ac:dyDescent="0.25">
      <c r="A354" s="5" t="str">
        <f>D354</f>
        <v>ЩС-20</v>
      </c>
      <c r="B354" s="6"/>
      <c r="C354" s="7"/>
      <c r="D354" s="6" t="s">
        <v>142</v>
      </c>
      <c r="E354" s="8"/>
      <c r="F354" s="8"/>
      <c r="G354" s="9"/>
      <c r="H354" s="10">
        <v>1</v>
      </c>
      <c r="I354" s="11" t="s">
        <v>7</v>
      </c>
      <c r="J354" s="6" t="s">
        <v>9</v>
      </c>
    </row>
    <row r="355" spans="1:11" ht="21" hidden="1" customHeight="1" x14ac:dyDescent="0.25">
      <c r="A355" s="12" t="str">
        <f>A354</f>
        <v>ЩС-20</v>
      </c>
      <c r="B355" s="13" t="s">
        <v>8</v>
      </c>
      <c r="C355" s="14" t="s">
        <v>212</v>
      </c>
      <c r="D355" s="12" t="s">
        <v>213</v>
      </c>
      <c r="E355" s="13">
        <v>16000</v>
      </c>
      <c r="F355" s="15">
        <f>E355*0.6</f>
        <v>9600</v>
      </c>
      <c r="G355" s="15">
        <f>H355*F355</f>
        <v>9600</v>
      </c>
      <c r="H355" s="16">
        <v>1</v>
      </c>
      <c r="I355" s="17" t="s">
        <v>13</v>
      </c>
      <c r="J355" s="13" t="s">
        <v>16</v>
      </c>
      <c r="K355">
        <v>9600</v>
      </c>
    </row>
    <row r="356" spans="1:11" ht="20.25" hidden="1" customHeight="1" x14ac:dyDescent="0.25">
      <c r="A356" s="12" t="str">
        <f t="shared" ref="A356" si="176">A355</f>
        <v>ЩС-20</v>
      </c>
      <c r="B356" s="13" t="s">
        <v>34</v>
      </c>
      <c r="C356" s="14" t="s">
        <v>97</v>
      </c>
      <c r="D356" s="12" t="s">
        <v>98</v>
      </c>
      <c r="E356" s="13">
        <v>4217</v>
      </c>
      <c r="F356" s="15">
        <f t="shared" ref="F356:F357" si="177">E356*0.6</f>
        <v>2530.1999999999998</v>
      </c>
      <c r="G356" s="15">
        <f t="shared" ref="G356:G357" si="178">F356*H356</f>
        <v>2530.1999999999998</v>
      </c>
      <c r="H356" s="16">
        <v>1</v>
      </c>
      <c r="I356" s="17" t="s">
        <v>13</v>
      </c>
      <c r="J356" s="13" t="s">
        <v>17</v>
      </c>
      <c r="K356">
        <v>2530.1999999999998</v>
      </c>
    </row>
    <row r="357" spans="1:11" ht="21" hidden="1" customHeight="1" x14ac:dyDescent="0.25">
      <c r="A357" s="12" t="str">
        <f>A355</f>
        <v>ЩС-20</v>
      </c>
      <c r="B357" s="13" t="s">
        <v>27</v>
      </c>
      <c r="C357" s="14" t="s">
        <v>116</v>
      </c>
      <c r="D357" s="12" t="s">
        <v>117</v>
      </c>
      <c r="E357" s="13">
        <v>8352</v>
      </c>
      <c r="F357" s="15">
        <f t="shared" si="177"/>
        <v>5011.2</v>
      </c>
      <c r="G357" s="15">
        <f t="shared" si="178"/>
        <v>5011.2</v>
      </c>
      <c r="H357" s="16">
        <v>1</v>
      </c>
      <c r="I357" s="17" t="s">
        <v>13</v>
      </c>
      <c r="J357" s="13" t="s">
        <v>17</v>
      </c>
      <c r="K357">
        <v>5011.2</v>
      </c>
    </row>
    <row r="358" spans="1:11" ht="21" hidden="1" customHeight="1" x14ac:dyDescent="0.25">
      <c r="A358" s="12" t="str">
        <f>A356</f>
        <v>ЩС-20</v>
      </c>
      <c r="B358" s="13" t="s">
        <v>27</v>
      </c>
      <c r="C358" s="14" t="s">
        <v>107</v>
      </c>
      <c r="D358" s="12" t="s">
        <v>108</v>
      </c>
      <c r="E358" s="13">
        <v>5104</v>
      </c>
      <c r="F358" s="15">
        <f t="shared" ref="F358" si="179">E358*0.6</f>
        <v>3062.4</v>
      </c>
      <c r="G358" s="15">
        <f t="shared" ref="G358:G359" si="180">F358*H358</f>
        <v>33686.400000000001</v>
      </c>
      <c r="H358" s="16">
        <v>11</v>
      </c>
      <c r="I358" s="17" t="s">
        <v>13</v>
      </c>
      <c r="J358" s="13" t="s">
        <v>17</v>
      </c>
      <c r="K358">
        <v>33686.400000000001</v>
      </c>
    </row>
    <row r="359" spans="1:11" ht="24" hidden="1" customHeight="1" x14ac:dyDescent="0.25">
      <c r="A359" s="12" t="str">
        <f>A358</f>
        <v>ЩС-20</v>
      </c>
      <c r="B359" s="12" t="s">
        <v>10</v>
      </c>
      <c r="C359" s="18" t="s">
        <v>10</v>
      </c>
      <c r="D359" s="12" t="s">
        <v>10</v>
      </c>
      <c r="E359" s="12">
        <f ca="1">OFFSET(E359,1,2)</f>
        <v>9000</v>
      </c>
      <c r="F359" s="15">
        <f ca="1">E359</f>
        <v>9000</v>
      </c>
      <c r="G359" s="15">
        <f t="shared" ca="1" si="180"/>
        <v>9000</v>
      </c>
      <c r="H359" s="12">
        <v>1</v>
      </c>
      <c r="I359" s="12" t="s">
        <v>13</v>
      </c>
      <c r="J359" s="12" t="s">
        <v>10</v>
      </c>
      <c r="K359">
        <v>9000</v>
      </c>
    </row>
    <row r="360" spans="1:11" ht="21" hidden="1" customHeight="1" x14ac:dyDescent="0.25">
      <c r="A360" s="12" t="str">
        <f t="shared" ref="A360:A361" si="181">A359</f>
        <v>ЩС-20</v>
      </c>
      <c r="B360" s="12" t="s">
        <v>11</v>
      </c>
      <c r="C360" s="18" t="s">
        <v>11</v>
      </c>
      <c r="D360" s="12" t="s">
        <v>11</v>
      </c>
      <c r="E360" s="12">
        <v>1.5</v>
      </c>
      <c r="F360" s="15">
        <v>100</v>
      </c>
      <c r="G360" s="15">
        <f>60*E360*F360</f>
        <v>9000</v>
      </c>
      <c r="H360" s="12">
        <f>60*E360</f>
        <v>90</v>
      </c>
      <c r="I360" s="12" t="s">
        <v>13</v>
      </c>
      <c r="J360" s="12" t="s">
        <v>11</v>
      </c>
      <c r="K360">
        <v>9000</v>
      </c>
    </row>
    <row r="361" spans="1:11" ht="30" customHeight="1" x14ac:dyDescent="0.25">
      <c r="A361" s="12" t="str">
        <f t="shared" si="181"/>
        <v>ЩС-20</v>
      </c>
      <c r="B361" s="19"/>
      <c r="C361" s="20"/>
      <c r="D361" s="21"/>
      <c r="E361" s="23"/>
      <c r="F361" s="25"/>
      <c r="G361" s="24">
        <f ca="1">SUM(G355:G360)</f>
        <v>68827.8</v>
      </c>
      <c r="H361" s="20"/>
      <c r="I361" s="22"/>
      <c r="J361" s="20"/>
      <c r="K361">
        <v>68827.8</v>
      </c>
    </row>
    <row r="362" spans="1:11" ht="39.75" customHeight="1" x14ac:dyDescent="0.25">
      <c r="A362" s="5" t="str">
        <f>D362</f>
        <v>ЩС-21</v>
      </c>
      <c r="B362" s="6"/>
      <c r="C362" s="7"/>
      <c r="D362" s="6" t="s">
        <v>143</v>
      </c>
      <c r="E362" s="8"/>
      <c r="F362" s="8"/>
      <c r="G362" s="9"/>
      <c r="H362" s="10">
        <v>1</v>
      </c>
      <c r="I362" s="11" t="s">
        <v>7</v>
      </c>
      <c r="J362" s="6" t="s">
        <v>9</v>
      </c>
    </row>
    <row r="363" spans="1:11" ht="21" hidden="1" customHeight="1" x14ac:dyDescent="0.25">
      <c r="A363" s="12" t="str">
        <f>A362</f>
        <v>ЩС-21</v>
      </c>
      <c r="B363" s="13" t="s">
        <v>8</v>
      </c>
      <c r="C363" s="14" t="s">
        <v>210</v>
      </c>
      <c r="D363" s="12" t="s">
        <v>211</v>
      </c>
      <c r="E363" s="13">
        <v>19000</v>
      </c>
      <c r="F363" s="15">
        <f>E363*0.6</f>
        <v>11400</v>
      </c>
      <c r="G363" s="15">
        <f>H363*F363</f>
        <v>11400</v>
      </c>
      <c r="H363" s="16">
        <v>1</v>
      </c>
      <c r="I363" s="17" t="s">
        <v>13</v>
      </c>
      <c r="J363" s="13" t="s">
        <v>16</v>
      </c>
      <c r="K363">
        <v>11400</v>
      </c>
    </row>
    <row r="364" spans="1:11" ht="20.25" hidden="1" customHeight="1" x14ac:dyDescent="0.25">
      <c r="A364" s="12" t="str">
        <f t="shared" ref="A364" si="182">A363</f>
        <v>ЩС-21</v>
      </c>
      <c r="B364" s="13" t="s">
        <v>34</v>
      </c>
      <c r="C364" s="14" t="s">
        <v>132</v>
      </c>
      <c r="D364" s="12" t="s">
        <v>133</v>
      </c>
      <c r="E364" s="13">
        <v>3372</v>
      </c>
      <c r="F364" s="15">
        <f t="shared" ref="F364:F366" si="183">E364*0.6</f>
        <v>2023.1999999999998</v>
      </c>
      <c r="G364" s="15">
        <f t="shared" ref="G364:G367" si="184">F364*H364</f>
        <v>2023.1999999999998</v>
      </c>
      <c r="H364" s="16">
        <v>1</v>
      </c>
      <c r="I364" s="17" t="s">
        <v>13</v>
      </c>
      <c r="J364" s="13" t="s">
        <v>17</v>
      </c>
      <c r="K364">
        <v>2023.1999999999998</v>
      </c>
    </row>
    <row r="365" spans="1:11" ht="21" hidden="1" customHeight="1" x14ac:dyDescent="0.25">
      <c r="A365" s="12" t="str">
        <f>A363</f>
        <v>ЩС-21</v>
      </c>
      <c r="B365" s="13" t="s">
        <v>12</v>
      </c>
      <c r="C365" s="14" t="s">
        <v>144</v>
      </c>
      <c r="D365" s="12" t="s">
        <v>145</v>
      </c>
      <c r="E365" s="13">
        <v>2447</v>
      </c>
      <c r="F365" s="15">
        <f t="shared" si="183"/>
        <v>1468.2</v>
      </c>
      <c r="G365" s="15">
        <f t="shared" si="184"/>
        <v>1468.2</v>
      </c>
      <c r="H365" s="16">
        <v>1</v>
      </c>
      <c r="I365" s="17" t="s">
        <v>13</v>
      </c>
      <c r="J365" s="13" t="s">
        <v>17</v>
      </c>
      <c r="K365">
        <v>1468.2</v>
      </c>
    </row>
    <row r="366" spans="1:11" ht="21" hidden="1" customHeight="1" x14ac:dyDescent="0.25">
      <c r="A366" s="12" t="str">
        <f>A364</f>
        <v>ЩС-21</v>
      </c>
      <c r="B366" s="13" t="s">
        <v>27</v>
      </c>
      <c r="C366" s="14" t="s">
        <v>107</v>
      </c>
      <c r="D366" s="12" t="s">
        <v>108</v>
      </c>
      <c r="E366" s="13">
        <v>5104</v>
      </c>
      <c r="F366" s="15">
        <f t="shared" si="183"/>
        <v>3062.4</v>
      </c>
      <c r="G366" s="15">
        <f t="shared" si="184"/>
        <v>36748.800000000003</v>
      </c>
      <c r="H366" s="16">
        <v>12</v>
      </c>
      <c r="I366" s="17" t="s">
        <v>13</v>
      </c>
      <c r="J366" s="13" t="s">
        <v>17</v>
      </c>
      <c r="K366">
        <v>36748.800000000003</v>
      </c>
    </row>
    <row r="367" spans="1:11" ht="24" hidden="1" customHeight="1" x14ac:dyDescent="0.25">
      <c r="A367" s="12" t="str">
        <f>A366</f>
        <v>ЩС-21</v>
      </c>
      <c r="B367" s="12" t="s">
        <v>10</v>
      </c>
      <c r="C367" s="18" t="s">
        <v>10</v>
      </c>
      <c r="D367" s="12" t="s">
        <v>10</v>
      </c>
      <c r="E367" s="12">
        <f ca="1">OFFSET(E367,1,2)</f>
        <v>15000</v>
      </c>
      <c r="F367" s="15">
        <f ca="1">E367</f>
        <v>15000</v>
      </c>
      <c r="G367" s="15">
        <f t="shared" ca="1" si="184"/>
        <v>15000</v>
      </c>
      <c r="H367" s="12">
        <v>1</v>
      </c>
      <c r="I367" s="12" t="s">
        <v>13</v>
      </c>
      <c r="J367" s="12" t="s">
        <v>10</v>
      </c>
      <c r="K367">
        <v>15000</v>
      </c>
    </row>
    <row r="368" spans="1:11" ht="21" hidden="1" customHeight="1" x14ac:dyDescent="0.25">
      <c r="A368" s="12" t="str">
        <f t="shared" ref="A368:A369" si="185">A367</f>
        <v>ЩС-21</v>
      </c>
      <c r="B368" s="12" t="s">
        <v>11</v>
      </c>
      <c r="C368" s="18" t="s">
        <v>11</v>
      </c>
      <c r="D368" s="12" t="s">
        <v>11</v>
      </c>
      <c r="E368" s="12">
        <v>2.5</v>
      </c>
      <c r="F368" s="15">
        <v>100</v>
      </c>
      <c r="G368" s="15">
        <f>60*E368*F368</f>
        <v>15000</v>
      </c>
      <c r="H368" s="12">
        <f>60*E368</f>
        <v>150</v>
      </c>
      <c r="I368" s="12" t="s">
        <v>13</v>
      </c>
      <c r="J368" s="12" t="s">
        <v>11</v>
      </c>
      <c r="K368">
        <v>15000</v>
      </c>
    </row>
    <row r="369" spans="1:11" ht="30" customHeight="1" x14ac:dyDescent="0.25">
      <c r="A369" s="12" t="str">
        <f t="shared" si="185"/>
        <v>ЩС-21</v>
      </c>
      <c r="B369" s="19"/>
      <c r="C369" s="20"/>
      <c r="D369" s="21"/>
      <c r="E369" s="23"/>
      <c r="F369" s="25"/>
      <c r="G369" s="24">
        <f ca="1">SUM(G363:G368)</f>
        <v>81640.200000000012</v>
      </c>
      <c r="H369" s="20"/>
      <c r="I369" s="22"/>
      <c r="J369" s="20"/>
      <c r="K369">
        <v>81640.200000000012</v>
      </c>
    </row>
    <row r="370" spans="1:11" ht="39.75" customHeight="1" x14ac:dyDescent="0.25">
      <c r="A370" s="5" t="str">
        <f>D370</f>
        <v>ЩС-22</v>
      </c>
      <c r="B370" s="6"/>
      <c r="C370" s="7"/>
      <c r="D370" s="6" t="s">
        <v>146</v>
      </c>
      <c r="E370" s="8"/>
      <c r="F370" s="8"/>
      <c r="G370" s="9"/>
      <c r="H370" s="10">
        <v>1</v>
      </c>
      <c r="I370" s="11" t="s">
        <v>7</v>
      </c>
      <c r="J370" s="6" t="s">
        <v>9</v>
      </c>
    </row>
    <row r="371" spans="1:11" ht="21" hidden="1" customHeight="1" x14ac:dyDescent="0.25">
      <c r="A371" s="12" t="str">
        <f>A370</f>
        <v>ЩС-22</v>
      </c>
      <c r="B371" s="13" t="s">
        <v>8</v>
      </c>
      <c r="C371" s="14" t="s">
        <v>216</v>
      </c>
      <c r="D371" s="12" t="s">
        <v>217</v>
      </c>
      <c r="E371" s="13">
        <v>15460</v>
      </c>
      <c r="F371" s="15">
        <f>E371*0.6</f>
        <v>9276</v>
      </c>
      <c r="G371" s="15">
        <f>H371*F371</f>
        <v>9276</v>
      </c>
      <c r="H371" s="16">
        <v>1</v>
      </c>
      <c r="I371" s="17" t="s">
        <v>13</v>
      </c>
      <c r="J371" s="13" t="s">
        <v>16</v>
      </c>
      <c r="K371">
        <v>9276</v>
      </c>
    </row>
    <row r="372" spans="1:11" ht="20.25" hidden="1" customHeight="1" x14ac:dyDescent="0.25">
      <c r="A372" s="12" t="str">
        <f t="shared" ref="A372" si="186">A371</f>
        <v>ЩС-22</v>
      </c>
      <c r="B372" s="13" t="s">
        <v>34</v>
      </c>
      <c r="C372" s="14" t="s">
        <v>99</v>
      </c>
      <c r="D372" s="12" t="s">
        <v>100</v>
      </c>
      <c r="E372" s="13">
        <v>3372</v>
      </c>
      <c r="F372" s="15">
        <f t="shared" ref="F372:F374" si="187">E372*0.6</f>
        <v>2023.1999999999998</v>
      </c>
      <c r="G372" s="15">
        <f t="shared" ref="G372:G375" si="188">F372*H372</f>
        <v>2023.1999999999998</v>
      </c>
      <c r="H372" s="16">
        <v>1</v>
      </c>
      <c r="I372" s="17" t="s">
        <v>13</v>
      </c>
      <c r="J372" s="13" t="s">
        <v>17</v>
      </c>
      <c r="K372">
        <v>2023.1999999999998</v>
      </c>
    </row>
    <row r="373" spans="1:11" ht="21" hidden="1" customHeight="1" x14ac:dyDescent="0.25">
      <c r="A373" s="12" t="str">
        <f>A371</f>
        <v>ЩС-22</v>
      </c>
      <c r="B373" s="13" t="s">
        <v>12</v>
      </c>
      <c r="C373" s="14" t="s">
        <v>144</v>
      </c>
      <c r="D373" s="12" t="s">
        <v>145</v>
      </c>
      <c r="E373" s="13">
        <v>2447</v>
      </c>
      <c r="F373" s="15">
        <f t="shared" si="187"/>
        <v>1468.2</v>
      </c>
      <c r="G373" s="15">
        <f t="shared" si="188"/>
        <v>2936.4</v>
      </c>
      <c r="H373" s="16">
        <v>2</v>
      </c>
      <c r="I373" s="17" t="s">
        <v>13</v>
      </c>
      <c r="J373" s="13" t="s">
        <v>17</v>
      </c>
      <c r="K373">
        <v>2936.4</v>
      </c>
    </row>
    <row r="374" spans="1:11" ht="21" hidden="1" customHeight="1" x14ac:dyDescent="0.25">
      <c r="A374" s="12" t="str">
        <f>A372</f>
        <v>ЩС-22</v>
      </c>
      <c r="B374" s="13" t="s">
        <v>27</v>
      </c>
      <c r="C374" s="14" t="s">
        <v>107</v>
      </c>
      <c r="D374" s="12" t="s">
        <v>108</v>
      </c>
      <c r="E374" s="13">
        <v>5104</v>
      </c>
      <c r="F374" s="15">
        <f t="shared" si="187"/>
        <v>3062.4</v>
      </c>
      <c r="G374" s="15">
        <f t="shared" si="188"/>
        <v>18374.400000000001</v>
      </c>
      <c r="H374" s="16">
        <v>6</v>
      </c>
      <c r="I374" s="17" t="s">
        <v>13</v>
      </c>
      <c r="J374" s="13" t="s">
        <v>17</v>
      </c>
      <c r="K374">
        <v>18374.400000000001</v>
      </c>
    </row>
    <row r="375" spans="1:11" ht="24" hidden="1" customHeight="1" x14ac:dyDescent="0.25">
      <c r="A375" s="12" t="str">
        <f>A374</f>
        <v>ЩС-22</v>
      </c>
      <c r="B375" s="12" t="s">
        <v>10</v>
      </c>
      <c r="C375" s="18" t="s">
        <v>10</v>
      </c>
      <c r="D375" s="12" t="s">
        <v>10</v>
      </c>
      <c r="E375" s="12">
        <f ca="1">OFFSET(E375,1,2)</f>
        <v>9000</v>
      </c>
      <c r="F375" s="15">
        <f ca="1">E375</f>
        <v>9000</v>
      </c>
      <c r="G375" s="15">
        <f t="shared" ca="1" si="188"/>
        <v>9000</v>
      </c>
      <c r="H375" s="12">
        <v>1</v>
      </c>
      <c r="I375" s="12" t="s">
        <v>13</v>
      </c>
      <c r="J375" s="12" t="s">
        <v>10</v>
      </c>
      <c r="K375">
        <v>9000</v>
      </c>
    </row>
    <row r="376" spans="1:11" ht="21" hidden="1" customHeight="1" x14ac:dyDescent="0.25">
      <c r="A376" s="12" t="str">
        <f t="shared" ref="A376:A377" si="189">A375</f>
        <v>ЩС-22</v>
      </c>
      <c r="B376" s="12" t="s">
        <v>11</v>
      </c>
      <c r="C376" s="18" t="s">
        <v>11</v>
      </c>
      <c r="D376" s="12" t="s">
        <v>11</v>
      </c>
      <c r="E376" s="12">
        <v>1.5</v>
      </c>
      <c r="F376" s="15">
        <v>100</v>
      </c>
      <c r="G376" s="15">
        <f>60*E376*F376</f>
        <v>9000</v>
      </c>
      <c r="H376" s="12">
        <f>60*E376</f>
        <v>90</v>
      </c>
      <c r="I376" s="12" t="s">
        <v>13</v>
      </c>
      <c r="J376" s="12" t="s">
        <v>11</v>
      </c>
      <c r="K376">
        <v>9000</v>
      </c>
    </row>
    <row r="377" spans="1:11" ht="30" customHeight="1" x14ac:dyDescent="0.25">
      <c r="A377" s="12" t="str">
        <f t="shared" si="189"/>
        <v>ЩС-22</v>
      </c>
      <c r="B377" s="19"/>
      <c r="C377" s="20"/>
      <c r="D377" s="21"/>
      <c r="E377" s="23"/>
      <c r="F377" s="25"/>
      <c r="G377" s="24">
        <f ca="1">SUM(G371:G376)</f>
        <v>50610</v>
      </c>
      <c r="H377" s="20"/>
      <c r="I377" s="22"/>
      <c r="J377" s="20"/>
      <c r="K377">
        <v>50610</v>
      </c>
    </row>
    <row r="378" spans="1:11" ht="39.75" customHeight="1" x14ac:dyDescent="0.25">
      <c r="A378" s="5" t="str">
        <f>D378</f>
        <v>ЩС-23</v>
      </c>
      <c r="B378" s="6"/>
      <c r="C378" s="7"/>
      <c r="D378" s="6" t="s">
        <v>147</v>
      </c>
      <c r="E378" s="8"/>
      <c r="F378" s="8"/>
      <c r="G378" s="9"/>
      <c r="H378" s="10">
        <v>1</v>
      </c>
      <c r="I378" s="11" t="s">
        <v>7</v>
      </c>
      <c r="J378" s="6" t="s">
        <v>9</v>
      </c>
    </row>
    <row r="379" spans="1:11" ht="21" hidden="1" customHeight="1" x14ac:dyDescent="0.25">
      <c r="A379" s="12" t="str">
        <f>A378</f>
        <v>ЩС-23</v>
      </c>
      <c r="B379" s="13" t="s">
        <v>8</v>
      </c>
      <c r="C379" s="14" t="s">
        <v>212</v>
      </c>
      <c r="D379" s="12" t="s">
        <v>213</v>
      </c>
      <c r="E379" s="13">
        <v>16000</v>
      </c>
      <c r="F379" s="15">
        <f>E379*0.6</f>
        <v>9600</v>
      </c>
      <c r="G379" s="15">
        <f>H379*F379</f>
        <v>9600</v>
      </c>
      <c r="H379" s="16">
        <v>1</v>
      </c>
      <c r="I379" s="17" t="s">
        <v>13</v>
      </c>
      <c r="J379" s="13" t="s">
        <v>16</v>
      </c>
      <c r="K379">
        <v>9600</v>
      </c>
    </row>
    <row r="380" spans="1:11" ht="20.25" hidden="1" customHeight="1" x14ac:dyDescent="0.25">
      <c r="A380" s="12" t="str">
        <f t="shared" ref="A380" si="190">A379</f>
        <v>ЩС-23</v>
      </c>
      <c r="B380" s="13" t="s">
        <v>34</v>
      </c>
      <c r="C380" s="14" t="s">
        <v>99</v>
      </c>
      <c r="D380" s="12" t="s">
        <v>100</v>
      </c>
      <c r="E380" s="13">
        <v>3372</v>
      </c>
      <c r="F380" s="15">
        <f t="shared" ref="F380:F382" si="191">E380*0.6</f>
        <v>2023.1999999999998</v>
      </c>
      <c r="G380" s="15">
        <f t="shared" ref="G380:G383" si="192">F380*H380</f>
        <v>2023.1999999999998</v>
      </c>
      <c r="H380" s="16">
        <v>1</v>
      </c>
      <c r="I380" s="17" t="s">
        <v>13</v>
      </c>
      <c r="J380" s="13" t="s">
        <v>17</v>
      </c>
      <c r="K380">
        <v>2023.1999999999998</v>
      </c>
    </row>
    <row r="381" spans="1:11" ht="21" hidden="1" customHeight="1" x14ac:dyDescent="0.25">
      <c r="A381" s="12" t="str">
        <f>A379</f>
        <v>ЩС-23</v>
      </c>
      <c r="B381" s="13" t="s">
        <v>12</v>
      </c>
      <c r="C381" s="14" t="s">
        <v>144</v>
      </c>
      <c r="D381" s="12" t="s">
        <v>145</v>
      </c>
      <c r="E381" s="13">
        <v>2447</v>
      </c>
      <c r="F381" s="15">
        <f t="shared" si="191"/>
        <v>1468.2</v>
      </c>
      <c r="G381" s="15">
        <f t="shared" si="192"/>
        <v>1468.2</v>
      </c>
      <c r="H381" s="16">
        <v>1</v>
      </c>
      <c r="I381" s="17" t="s">
        <v>13</v>
      </c>
      <c r="J381" s="13" t="s">
        <v>17</v>
      </c>
      <c r="K381">
        <v>1468.2</v>
      </c>
    </row>
    <row r="382" spans="1:11" ht="21" hidden="1" customHeight="1" x14ac:dyDescent="0.25">
      <c r="A382" s="12" t="str">
        <f>A380</f>
        <v>ЩС-23</v>
      </c>
      <c r="B382" s="13" t="s">
        <v>27</v>
      </c>
      <c r="C382" s="14" t="s">
        <v>107</v>
      </c>
      <c r="D382" s="12" t="s">
        <v>108</v>
      </c>
      <c r="E382" s="13">
        <v>5104</v>
      </c>
      <c r="F382" s="15">
        <f t="shared" si="191"/>
        <v>3062.4</v>
      </c>
      <c r="G382" s="15">
        <f t="shared" si="192"/>
        <v>21436.799999999999</v>
      </c>
      <c r="H382" s="16">
        <v>7</v>
      </c>
      <c r="I382" s="17" t="s">
        <v>13</v>
      </c>
      <c r="J382" s="13" t="s">
        <v>17</v>
      </c>
      <c r="K382">
        <v>21436.799999999999</v>
      </c>
    </row>
    <row r="383" spans="1:11" ht="24" hidden="1" customHeight="1" x14ac:dyDescent="0.25">
      <c r="A383" s="12" t="str">
        <f>A382</f>
        <v>ЩС-23</v>
      </c>
      <c r="B383" s="12" t="s">
        <v>10</v>
      </c>
      <c r="C383" s="18" t="s">
        <v>10</v>
      </c>
      <c r="D383" s="12" t="s">
        <v>10</v>
      </c>
      <c r="E383" s="12">
        <f ca="1">OFFSET(E383,1,2)</f>
        <v>9000</v>
      </c>
      <c r="F383" s="15">
        <f ca="1">E383</f>
        <v>9000</v>
      </c>
      <c r="G383" s="15">
        <f t="shared" ca="1" si="192"/>
        <v>9000</v>
      </c>
      <c r="H383" s="12">
        <v>1</v>
      </c>
      <c r="I383" s="12" t="s">
        <v>13</v>
      </c>
      <c r="J383" s="12" t="s">
        <v>10</v>
      </c>
      <c r="K383">
        <v>9000</v>
      </c>
    </row>
    <row r="384" spans="1:11" ht="21" hidden="1" customHeight="1" x14ac:dyDescent="0.25">
      <c r="A384" s="12" t="str">
        <f t="shared" ref="A384:A385" si="193">A383</f>
        <v>ЩС-23</v>
      </c>
      <c r="B384" s="12" t="s">
        <v>11</v>
      </c>
      <c r="C384" s="18" t="s">
        <v>11</v>
      </c>
      <c r="D384" s="12" t="s">
        <v>11</v>
      </c>
      <c r="E384" s="12">
        <v>1.5</v>
      </c>
      <c r="F384" s="15">
        <v>100</v>
      </c>
      <c r="G384" s="15">
        <f>60*E384*F384</f>
        <v>9000</v>
      </c>
      <c r="H384" s="12">
        <f>60*E384</f>
        <v>90</v>
      </c>
      <c r="I384" s="12" t="s">
        <v>13</v>
      </c>
      <c r="J384" s="12" t="s">
        <v>11</v>
      </c>
      <c r="K384">
        <v>9000</v>
      </c>
    </row>
    <row r="385" spans="1:11" ht="30" customHeight="1" x14ac:dyDescent="0.25">
      <c r="A385" s="12" t="str">
        <f t="shared" si="193"/>
        <v>ЩС-23</v>
      </c>
      <c r="B385" s="19"/>
      <c r="C385" s="20"/>
      <c r="D385" s="21"/>
      <c r="E385" s="23"/>
      <c r="F385" s="25"/>
      <c r="G385" s="24">
        <f ca="1">SUM(G379:G384)</f>
        <v>52528.2</v>
      </c>
      <c r="H385" s="20"/>
      <c r="I385" s="22"/>
      <c r="J385" s="20"/>
      <c r="K385">
        <v>52528.2</v>
      </c>
    </row>
    <row r="386" spans="1:11" ht="39.75" customHeight="1" x14ac:dyDescent="0.25">
      <c r="A386" s="5" t="str">
        <f>D386</f>
        <v>ЩС-24</v>
      </c>
      <c r="B386" s="6"/>
      <c r="C386" s="7"/>
      <c r="D386" s="6" t="s">
        <v>148</v>
      </c>
      <c r="E386" s="8"/>
      <c r="F386" s="8"/>
      <c r="G386" s="9"/>
      <c r="H386" s="10">
        <v>1</v>
      </c>
      <c r="I386" s="11" t="s">
        <v>7</v>
      </c>
      <c r="J386" s="6" t="s">
        <v>9</v>
      </c>
    </row>
    <row r="387" spans="1:11" ht="21" hidden="1" customHeight="1" x14ac:dyDescent="0.25">
      <c r="A387" s="12" t="str">
        <f>A386</f>
        <v>ЩС-24</v>
      </c>
      <c r="B387" s="13" t="s">
        <v>8</v>
      </c>
      <c r="C387" s="14" t="s">
        <v>216</v>
      </c>
      <c r="D387" s="12" t="s">
        <v>217</v>
      </c>
      <c r="E387" s="13">
        <v>15460</v>
      </c>
      <c r="F387" s="15">
        <f>E387*0.6</f>
        <v>9276</v>
      </c>
      <c r="G387" s="15">
        <f>H387*F387</f>
        <v>9276</v>
      </c>
      <c r="H387" s="16">
        <v>1</v>
      </c>
      <c r="I387" s="17" t="s">
        <v>13</v>
      </c>
      <c r="J387" s="13" t="s">
        <v>16</v>
      </c>
      <c r="K387">
        <v>9276</v>
      </c>
    </row>
    <row r="388" spans="1:11" ht="20.25" hidden="1" customHeight="1" x14ac:dyDescent="0.25">
      <c r="A388" s="12" t="str">
        <f t="shared" ref="A388" si="194">A387</f>
        <v>ЩС-24</v>
      </c>
      <c r="B388" s="13" t="s">
        <v>34</v>
      </c>
      <c r="C388" s="14" t="s">
        <v>123</v>
      </c>
      <c r="D388" s="12" t="s">
        <v>124</v>
      </c>
      <c r="E388" s="13">
        <v>3372</v>
      </c>
      <c r="F388" s="15">
        <f t="shared" ref="F388:F389" si="195">E388*0.6</f>
        <v>2023.1999999999998</v>
      </c>
      <c r="G388" s="15">
        <f t="shared" ref="G388:G390" si="196">F388*H388</f>
        <v>2023.1999999999998</v>
      </c>
      <c r="H388" s="16">
        <v>1</v>
      </c>
      <c r="I388" s="17" t="s">
        <v>13</v>
      </c>
      <c r="J388" s="13" t="s">
        <v>17</v>
      </c>
      <c r="K388">
        <v>2023.1999999999998</v>
      </c>
    </row>
    <row r="389" spans="1:11" ht="21" hidden="1" customHeight="1" x14ac:dyDescent="0.25">
      <c r="A389" s="12" t="str">
        <f>A388</f>
        <v>ЩС-24</v>
      </c>
      <c r="B389" s="13" t="s">
        <v>27</v>
      </c>
      <c r="C389" s="14" t="s">
        <v>107</v>
      </c>
      <c r="D389" s="12" t="s">
        <v>108</v>
      </c>
      <c r="E389" s="13">
        <v>5104</v>
      </c>
      <c r="F389" s="15">
        <f t="shared" si="195"/>
        <v>3062.4</v>
      </c>
      <c r="G389" s="15">
        <f t="shared" si="196"/>
        <v>18374.400000000001</v>
      </c>
      <c r="H389" s="16">
        <v>6</v>
      </c>
      <c r="I389" s="17" t="s">
        <v>13</v>
      </c>
      <c r="J389" s="13" t="s">
        <v>17</v>
      </c>
      <c r="K389">
        <v>18374.400000000001</v>
      </c>
    </row>
    <row r="390" spans="1:11" ht="24" hidden="1" customHeight="1" x14ac:dyDescent="0.25">
      <c r="A390" s="12" t="str">
        <f>A389</f>
        <v>ЩС-24</v>
      </c>
      <c r="B390" s="12" t="s">
        <v>10</v>
      </c>
      <c r="C390" s="18" t="s">
        <v>10</v>
      </c>
      <c r="D390" s="12" t="s">
        <v>10</v>
      </c>
      <c r="E390" s="12">
        <f ca="1">OFFSET(E390,1,2)</f>
        <v>9000</v>
      </c>
      <c r="F390" s="15">
        <f ca="1">E390</f>
        <v>9000</v>
      </c>
      <c r="G390" s="15">
        <f t="shared" ca="1" si="196"/>
        <v>9000</v>
      </c>
      <c r="H390" s="12">
        <v>1</v>
      </c>
      <c r="I390" s="12" t="s">
        <v>13</v>
      </c>
      <c r="J390" s="12" t="s">
        <v>10</v>
      </c>
      <c r="K390">
        <v>9000</v>
      </c>
    </row>
    <row r="391" spans="1:11" ht="21" hidden="1" customHeight="1" x14ac:dyDescent="0.25">
      <c r="A391" s="12" t="str">
        <f t="shared" ref="A391:A392" si="197">A390</f>
        <v>ЩС-24</v>
      </c>
      <c r="B391" s="12" t="s">
        <v>11</v>
      </c>
      <c r="C391" s="18" t="s">
        <v>11</v>
      </c>
      <c r="D391" s="12" t="s">
        <v>11</v>
      </c>
      <c r="E391" s="12">
        <v>1.5</v>
      </c>
      <c r="F391" s="15">
        <v>100</v>
      </c>
      <c r="G391" s="15">
        <f>60*E391*F391</f>
        <v>9000</v>
      </c>
      <c r="H391" s="12">
        <f>60*E391</f>
        <v>90</v>
      </c>
      <c r="I391" s="12" t="s">
        <v>13</v>
      </c>
      <c r="J391" s="12" t="s">
        <v>11</v>
      </c>
      <c r="K391">
        <v>9000</v>
      </c>
    </row>
    <row r="392" spans="1:11" ht="30" customHeight="1" x14ac:dyDescent="0.25">
      <c r="A392" s="12" t="str">
        <f t="shared" si="197"/>
        <v>ЩС-24</v>
      </c>
      <c r="B392" s="19"/>
      <c r="C392" s="20"/>
      <c r="D392" s="21"/>
      <c r="E392" s="23"/>
      <c r="F392" s="25"/>
      <c r="G392" s="24">
        <f ca="1">SUM(G387:G391)</f>
        <v>47673.600000000006</v>
      </c>
      <c r="H392" s="20"/>
      <c r="I392" s="22"/>
      <c r="J392" s="20"/>
      <c r="K392">
        <v>47673.600000000006</v>
      </c>
    </row>
    <row r="393" spans="1:11" ht="39.75" customHeight="1" x14ac:dyDescent="0.25">
      <c r="A393" s="5" t="str">
        <f>D393</f>
        <v>ЩС-25</v>
      </c>
      <c r="B393" s="6"/>
      <c r="C393" s="7"/>
      <c r="D393" s="6" t="s">
        <v>149</v>
      </c>
      <c r="E393" s="8"/>
      <c r="F393" s="8"/>
      <c r="G393" s="9"/>
      <c r="H393" s="10">
        <v>1</v>
      </c>
      <c r="I393" s="11" t="s">
        <v>7</v>
      </c>
      <c r="J393" s="6" t="s">
        <v>9</v>
      </c>
    </row>
    <row r="394" spans="1:11" ht="21" hidden="1" customHeight="1" x14ac:dyDescent="0.25">
      <c r="A394" s="12" t="str">
        <f>A393</f>
        <v>ЩС-25</v>
      </c>
      <c r="B394" s="13" t="s">
        <v>8</v>
      </c>
      <c r="C394" s="14" t="s">
        <v>212</v>
      </c>
      <c r="D394" s="12" t="s">
        <v>213</v>
      </c>
      <c r="E394" s="13">
        <v>16000</v>
      </c>
      <c r="F394" s="15">
        <f>E394*0.6</f>
        <v>9600</v>
      </c>
      <c r="G394" s="15">
        <f>H394*F394</f>
        <v>9600</v>
      </c>
      <c r="H394" s="16">
        <v>1</v>
      </c>
      <c r="I394" s="17" t="s">
        <v>13</v>
      </c>
      <c r="J394" s="13" t="s">
        <v>16</v>
      </c>
      <c r="K394">
        <v>9600</v>
      </c>
    </row>
    <row r="395" spans="1:11" ht="20.25" hidden="1" customHeight="1" x14ac:dyDescent="0.25">
      <c r="A395" s="12" t="str">
        <f t="shared" ref="A395" si="198">A394</f>
        <v>ЩС-25</v>
      </c>
      <c r="B395" s="13" t="s">
        <v>34</v>
      </c>
      <c r="C395" s="14" t="s">
        <v>123</v>
      </c>
      <c r="D395" s="12" t="s">
        <v>124</v>
      </c>
      <c r="E395" s="13">
        <v>3372</v>
      </c>
      <c r="F395" s="15">
        <f t="shared" ref="F395:F397" si="199">E395*0.6</f>
        <v>2023.1999999999998</v>
      </c>
      <c r="G395" s="15">
        <f t="shared" ref="G395:G398" si="200">F395*H395</f>
        <v>2023.1999999999998</v>
      </c>
      <c r="H395" s="16">
        <v>1</v>
      </c>
      <c r="I395" s="17" t="s">
        <v>13</v>
      </c>
      <c r="J395" s="13" t="s">
        <v>17</v>
      </c>
      <c r="K395">
        <v>2023.1999999999998</v>
      </c>
    </row>
    <row r="396" spans="1:11" ht="21" hidden="1" customHeight="1" x14ac:dyDescent="0.25">
      <c r="A396" s="12" t="str">
        <f>A394</f>
        <v>ЩС-25</v>
      </c>
      <c r="B396" s="13" t="s">
        <v>12</v>
      </c>
      <c r="C396" s="14" t="s">
        <v>144</v>
      </c>
      <c r="D396" s="12" t="s">
        <v>145</v>
      </c>
      <c r="E396" s="13">
        <v>2447</v>
      </c>
      <c r="F396" s="15">
        <f t="shared" si="199"/>
        <v>1468.2</v>
      </c>
      <c r="G396" s="15">
        <f t="shared" si="200"/>
        <v>1468.2</v>
      </c>
      <c r="H396" s="16">
        <v>1</v>
      </c>
      <c r="I396" s="17" t="s">
        <v>13</v>
      </c>
      <c r="J396" s="13" t="s">
        <v>17</v>
      </c>
      <c r="K396">
        <v>1468.2</v>
      </c>
    </row>
    <row r="397" spans="1:11" ht="21" hidden="1" customHeight="1" x14ac:dyDescent="0.25">
      <c r="A397" s="12" t="str">
        <f>A395</f>
        <v>ЩС-25</v>
      </c>
      <c r="B397" s="13" t="s">
        <v>27</v>
      </c>
      <c r="C397" s="14" t="s">
        <v>107</v>
      </c>
      <c r="D397" s="12" t="s">
        <v>108</v>
      </c>
      <c r="E397" s="13">
        <v>5104</v>
      </c>
      <c r="F397" s="15">
        <f t="shared" si="199"/>
        <v>3062.4</v>
      </c>
      <c r="G397" s="15">
        <f t="shared" si="200"/>
        <v>27561.600000000002</v>
      </c>
      <c r="H397" s="16">
        <v>9</v>
      </c>
      <c r="I397" s="17" t="s">
        <v>13</v>
      </c>
      <c r="J397" s="13" t="s">
        <v>17</v>
      </c>
      <c r="K397">
        <v>27561.600000000002</v>
      </c>
    </row>
    <row r="398" spans="1:11" ht="24" hidden="1" customHeight="1" x14ac:dyDescent="0.25">
      <c r="A398" s="12" t="str">
        <f>A397</f>
        <v>ЩС-25</v>
      </c>
      <c r="B398" s="12" t="s">
        <v>10</v>
      </c>
      <c r="C398" s="18" t="s">
        <v>10</v>
      </c>
      <c r="D398" s="12" t="s">
        <v>10</v>
      </c>
      <c r="E398" s="12">
        <f ca="1">OFFSET(E398,1,2)</f>
        <v>9000</v>
      </c>
      <c r="F398" s="15">
        <f ca="1">E398</f>
        <v>9000</v>
      </c>
      <c r="G398" s="15">
        <f t="shared" ca="1" si="200"/>
        <v>9000</v>
      </c>
      <c r="H398" s="12">
        <v>1</v>
      </c>
      <c r="I398" s="12" t="s">
        <v>13</v>
      </c>
      <c r="J398" s="12" t="s">
        <v>10</v>
      </c>
      <c r="K398">
        <v>9000</v>
      </c>
    </row>
    <row r="399" spans="1:11" ht="21" hidden="1" customHeight="1" x14ac:dyDescent="0.25">
      <c r="A399" s="12" t="str">
        <f t="shared" ref="A399:A400" si="201">A398</f>
        <v>ЩС-25</v>
      </c>
      <c r="B399" s="12" t="s">
        <v>11</v>
      </c>
      <c r="C399" s="18" t="s">
        <v>11</v>
      </c>
      <c r="D399" s="12" t="s">
        <v>11</v>
      </c>
      <c r="E399" s="12">
        <v>1.5</v>
      </c>
      <c r="F399" s="15">
        <v>100</v>
      </c>
      <c r="G399" s="15">
        <f>60*E399*F399</f>
        <v>9000</v>
      </c>
      <c r="H399" s="12">
        <f>60*E399</f>
        <v>90</v>
      </c>
      <c r="I399" s="12" t="s">
        <v>13</v>
      </c>
      <c r="J399" s="12" t="s">
        <v>11</v>
      </c>
      <c r="K399">
        <v>9000</v>
      </c>
    </row>
    <row r="400" spans="1:11" ht="30" customHeight="1" x14ac:dyDescent="0.25">
      <c r="A400" s="12" t="str">
        <f t="shared" si="201"/>
        <v>ЩС-25</v>
      </c>
      <c r="B400" s="19"/>
      <c r="C400" s="20"/>
      <c r="D400" s="21"/>
      <c r="E400" s="23"/>
      <c r="F400" s="25"/>
      <c r="G400" s="24">
        <f ca="1">SUM(G394:G399)</f>
        <v>58653</v>
      </c>
      <c r="H400" s="20"/>
      <c r="I400" s="22"/>
      <c r="J400" s="20"/>
      <c r="K400">
        <v>58653</v>
      </c>
    </row>
    <row r="401" spans="1:12" ht="39.75" customHeight="1" x14ac:dyDescent="0.25">
      <c r="A401" s="5" t="str">
        <f>D401</f>
        <v>ЩС-26</v>
      </c>
      <c r="B401" s="6"/>
      <c r="C401" s="7"/>
      <c r="D401" s="6" t="s">
        <v>150</v>
      </c>
      <c r="E401" s="8"/>
      <c r="F401" s="8"/>
      <c r="G401" s="9"/>
      <c r="H401" s="10">
        <v>1</v>
      </c>
      <c r="I401" s="11" t="s">
        <v>7</v>
      </c>
      <c r="J401" s="6" t="s">
        <v>9</v>
      </c>
    </row>
    <row r="402" spans="1:12" ht="21" hidden="1" customHeight="1" x14ac:dyDescent="0.25">
      <c r="A402" s="12" t="str">
        <f>A401</f>
        <v>ЩС-26</v>
      </c>
      <c r="B402" s="13" t="s">
        <v>8</v>
      </c>
      <c r="C402" s="14" t="s">
        <v>212</v>
      </c>
      <c r="D402" s="12" t="s">
        <v>213</v>
      </c>
      <c r="E402" s="13">
        <v>16000</v>
      </c>
      <c r="F402" s="15">
        <f>E402*0.6</f>
        <v>9600</v>
      </c>
      <c r="G402" s="15">
        <f>H402*F402</f>
        <v>9600</v>
      </c>
      <c r="H402" s="16">
        <v>1</v>
      </c>
      <c r="I402" s="17" t="s">
        <v>13</v>
      </c>
      <c r="J402" s="13" t="s">
        <v>16</v>
      </c>
      <c r="K402">
        <v>9600</v>
      </c>
    </row>
    <row r="403" spans="1:12" ht="20.25" hidden="1" customHeight="1" x14ac:dyDescent="0.25">
      <c r="A403" s="12" t="str">
        <f t="shared" ref="A403" si="202">A402</f>
        <v>ЩС-26</v>
      </c>
      <c r="B403" s="13" t="s">
        <v>34</v>
      </c>
      <c r="C403" s="14" t="s">
        <v>123</v>
      </c>
      <c r="D403" s="12" t="s">
        <v>124</v>
      </c>
      <c r="E403" s="13">
        <v>3372</v>
      </c>
      <c r="F403" s="15">
        <f t="shared" ref="F403:F404" si="203">E403*0.6</f>
        <v>2023.1999999999998</v>
      </c>
      <c r="G403" s="15">
        <f t="shared" ref="G403:G405" si="204">F403*H403</f>
        <v>2023.1999999999998</v>
      </c>
      <c r="H403" s="16">
        <v>1</v>
      </c>
      <c r="I403" s="17" t="s">
        <v>13</v>
      </c>
      <c r="J403" s="13" t="s">
        <v>17</v>
      </c>
      <c r="K403">
        <v>2023.1999999999998</v>
      </c>
    </row>
    <row r="404" spans="1:12" ht="21" hidden="1" customHeight="1" x14ac:dyDescent="0.25">
      <c r="A404" s="12" t="str">
        <f>A403</f>
        <v>ЩС-26</v>
      </c>
      <c r="B404" s="13" t="s">
        <v>27</v>
      </c>
      <c r="C404" s="14" t="s">
        <v>107</v>
      </c>
      <c r="D404" s="12" t="s">
        <v>108</v>
      </c>
      <c r="E404" s="13">
        <v>5104</v>
      </c>
      <c r="F404" s="15">
        <f t="shared" si="203"/>
        <v>3062.4</v>
      </c>
      <c r="G404" s="15">
        <f t="shared" si="204"/>
        <v>30624</v>
      </c>
      <c r="H404" s="16">
        <v>10</v>
      </c>
      <c r="I404" s="17" t="s">
        <v>13</v>
      </c>
      <c r="J404" s="13" t="s">
        <v>17</v>
      </c>
      <c r="K404">
        <v>30624</v>
      </c>
    </row>
    <row r="405" spans="1:12" ht="24" hidden="1" customHeight="1" x14ac:dyDescent="0.25">
      <c r="A405" s="12" t="str">
        <f>A404</f>
        <v>ЩС-26</v>
      </c>
      <c r="B405" s="12" t="s">
        <v>10</v>
      </c>
      <c r="C405" s="18" t="s">
        <v>10</v>
      </c>
      <c r="D405" s="12" t="s">
        <v>10</v>
      </c>
      <c r="E405" s="12">
        <f ca="1">OFFSET(E405,1,2)</f>
        <v>9000</v>
      </c>
      <c r="F405" s="15">
        <f ca="1">E405</f>
        <v>9000</v>
      </c>
      <c r="G405" s="15">
        <f t="shared" ca="1" si="204"/>
        <v>9000</v>
      </c>
      <c r="H405" s="12">
        <v>1</v>
      </c>
      <c r="I405" s="12" t="s">
        <v>13</v>
      </c>
      <c r="J405" s="12" t="s">
        <v>10</v>
      </c>
      <c r="K405">
        <v>9000</v>
      </c>
    </row>
    <row r="406" spans="1:12" ht="21" hidden="1" customHeight="1" x14ac:dyDescent="0.25">
      <c r="A406" s="12" t="str">
        <f t="shared" ref="A406:A407" si="205">A405</f>
        <v>ЩС-26</v>
      </c>
      <c r="B406" s="12" t="s">
        <v>11</v>
      </c>
      <c r="C406" s="18" t="s">
        <v>11</v>
      </c>
      <c r="D406" s="12" t="s">
        <v>11</v>
      </c>
      <c r="E406" s="12">
        <v>1.5</v>
      </c>
      <c r="F406" s="15">
        <v>100</v>
      </c>
      <c r="G406" s="15">
        <f>60*E406*F406</f>
        <v>9000</v>
      </c>
      <c r="H406" s="12">
        <f>60*E406</f>
        <v>90</v>
      </c>
      <c r="I406" s="12" t="s">
        <v>13</v>
      </c>
      <c r="J406" s="12" t="s">
        <v>11</v>
      </c>
      <c r="K406">
        <v>9000</v>
      </c>
    </row>
    <row r="407" spans="1:12" ht="30" customHeight="1" x14ac:dyDescent="0.25">
      <c r="A407" s="12" t="str">
        <f t="shared" si="205"/>
        <v>ЩС-26</v>
      </c>
      <c r="B407" s="19"/>
      <c r="C407" s="20"/>
      <c r="D407" s="21"/>
      <c r="E407" s="23"/>
      <c r="F407" s="25"/>
      <c r="G407" s="24">
        <f ca="1">SUM(G402:G406)</f>
        <v>60247.199999999997</v>
      </c>
      <c r="H407" s="20"/>
      <c r="I407" s="22"/>
      <c r="J407" s="20"/>
      <c r="K407">
        <v>60247.199999999997</v>
      </c>
    </row>
    <row r="408" spans="1:12" ht="39.75" customHeight="1" x14ac:dyDescent="0.25">
      <c r="A408" s="5" t="str">
        <f>D408</f>
        <v>ТРО_1, ТРО_2, ТРО_3 (ТРО_2000М)</v>
      </c>
      <c r="B408" s="6"/>
      <c r="C408" s="7"/>
      <c r="D408" s="6" t="s">
        <v>256</v>
      </c>
      <c r="E408" s="8"/>
      <c r="F408" s="8"/>
      <c r="G408" s="9"/>
      <c r="H408" s="10">
        <v>3</v>
      </c>
      <c r="I408" s="11" t="s">
        <v>7</v>
      </c>
      <c r="J408" s="6" t="s">
        <v>9</v>
      </c>
    </row>
    <row r="409" spans="1:12" ht="21" hidden="1" customHeight="1" x14ac:dyDescent="0.25">
      <c r="A409" s="12" t="str">
        <f>A408</f>
        <v>ТРО_1, ТРО_2, ТРО_3 (ТРО_2000М)</v>
      </c>
      <c r="B409" s="13" t="s">
        <v>8</v>
      </c>
      <c r="C409" s="14" t="s">
        <v>267</v>
      </c>
      <c r="D409" s="12" t="s">
        <v>268</v>
      </c>
      <c r="E409" s="13">
        <v>32000</v>
      </c>
      <c r="F409" s="15">
        <f>E409*0.6</f>
        <v>19200</v>
      </c>
      <c r="G409" s="15">
        <f>H409*F409</f>
        <v>19200</v>
      </c>
      <c r="H409" s="16">
        <v>1</v>
      </c>
      <c r="I409" s="17" t="s">
        <v>13</v>
      </c>
      <c r="J409" s="13" t="s">
        <v>16</v>
      </c>
      <c r="K409">
        <v>19200</v>
      </c>
    </row>
    <row r="410" spans="1:12" ht="20.25" hidden="1" customHeight="1" x14ac:dyDescent="0.25">
      <c r="A410" s="12" t="str">
        <f>A408</f>
        <v>ТРО_1, ТРО_2, ТРО_3 (ТРО_2000М)</v>
      </c>
      <c r="B410" s="13" t="s">
        <v>257</v>
      </c>
      <c r="C410" s="26"/>
      <c r="D410" t="s">
        <v>258</v>
      </c>
      <c r="E410" s="28">
        <f>L410*1.33/46.5*500</f>
        <v>122989.24731182796</v>
      </c>
      <c r="F410" s="28">
        <v>200000</v>
      </c>
      <c r="G410" s="15">
        <f t="shared" ref="G410" si="206">F410*H410</f>
        <v>200000</v>
      </c>
      <c r="H410" s="16">
        <v>1</v>
      </c>
      <c r="I410" s="17" t="s">
        <v>13</v>
      </c>
      <c r="J410" s="13" t="s">
        <v>32</v>
      </c>
      <c r="K410">
        <v>200000</v>
      </c>
      <c r="L410">
        <v>8600</v>
      </c>
    </row>
    <row r="411" spans="1:12" ht="20.25" hidden="1" customHeight="1" x14ac:dyDescent="0.25">
      <c r="A411" s="12" t="str">
        <f>A409</f>
        <v>ТРО_1, ТРО_2, ТРО_3 (ТРО_2000М)</v>
      </c>
      <c r="B411" s="13" t="s">
        <v>12</v>
      </c>
      <c r="C411" s="26" t="s">
        <v>151</v>
      </c>
      <c r="D411" s="12" t="s">
        <v>152</v>
      </c>
      <c r="E411" s="28">
        <v>800</v>
      </c>
      <c r="F411" s="15">
        <f t="shared" ref="F411:F412" si="207">E411*0.6</f>
        <v>480</v>
      </c>
      <c r="G411" s="15">
        <f t="shared" ref="G411:G414" si="208">F411*H411</f>
        <v>480</v>
      </c>
      <c r="H411" s="16">
        <v>1</v>
      </c>
      <c r="I411" s="17" t="s">
        <v>13</v>
      </c>
      <c r="J411" s="13" t="s">
        <v>17</v>
      </c>
      <c r="K411">
        <v>480</v>
      </c>
    </row>
    <row r="412" spans="1:12" ht="21" hidden="1" customHeight="1" x14ac:dyDescent="0.25">
      <c r="A412" s="12" t="str">
        <f>A411</f>
        <v>ТРО_1, ТРО_2, ТРО_3 (ТРО_2000М)</v>
      </c>
      <c r="B412" s="13" t="s">
        <v>12</v>
      </c>
      <c r="C412" s="14" t="s">
        <v>72</v>
      </c>
      <c r="D412" s="12" t="s">
        <v>73</v>
      </c>
      <c r="E412" s="13">
        <v>796</v>
      </c>
      <c r="F412" s="15">
        <f t="shared" si="207"/>
        <v>477.59999999999997</v>
      </c>
      <c r="G412" s="15">
        <f t="shared" si="208"/>
        <v>477.59999999999997</v>
      </c>
      <c r="H412" s="16">
        <v>1</v>
      </c>
      <c r="I412" s="17" t="s">
        <v>13</v>
      </c>
      <c r="J412" s="13" t="s">
        <v>17</v>
      </c>
      <c r="K412">
        <v>477.59999999999997</v>
      </c>
    </row>
    <row r="413" spans="1:12" ht="20.25" hidden="1" customHeight="1" x14ac:dyDescent="0.25">
      <c r="A413" s="12" t="str">
        <f t="shared" ref="A413" si="209">A412</f>
        <v>ТРО_1, ТРО_2, ТРО_3 (ТРО_2000М)</v>
      </c>
      <c r="B413" s="13" t="s">
        <v>12</v>
      </c>
      <c r="C413" s="26" t="s">
        <v>153</v>
      </c>
      <c r="D413" s="12" t="s">
        <v>154</v>
      </c>
      <c r="E413" s="28">
        <v>1589</v>
      </c>
      <c r="F413" s="15">
        <f t="shared" ref="F413" si="210">E413*0.6</f>
        <v>953.4</v>
      </c>
      <c r="G413" s="15">
        <f t="shared" ref="G413" si="211">F413*H413</f>
        <v>3813.6</v>
      </c>
      <c r="H413" s="16">
        <v>4</v>
      </c>
      <c r="I413" s="17" t="s">
        <v>13</v>
      </c>
      <c r="J413" s="13" t="s">
        <v>17</v>
      </c>
      <c r="K413">
        <v>3813.6</v>
      </c>
    </row>
    <row r="414" spans="1:12" ht="24" hidden="1" customHeight="1" x14ac:dyDescent="0.25">
      <c r="A414" s="12" t="str">
        <f>A412</f>
        <v>ТРО_1, ТРО_2, ТРО_3 (ТРО_2000М)</v>
      </c>
      <c r="B414" s="12" t="s">
        <v>10</v>
      </c>
      <c r="C414" s="18" t="s">
        <v>10</v>
      </c>
      <c r="D414" s="12" t="s">
        <v>10</v>
      </c>
      <c r="E414" s="12">
        <f ca="1">OFFSET(E414,1,2)</f>
        <v>18000</v>
      </c>
      <c r="F414" s="15">
        <f ca="1">E414</f>
        <v>18000</v>
      </c>
      <c r="G414" s="15">
        <f t="shared" ca="1" si="208"/>
        <v>18000</v>
      </c>
      <c r="H414" s="12">
        <v>1</v>
      </c>
      <c r="I414" s="12" t="s">
        <v>13</v>
      </c>
      <c r="J414" s="12" t="s">
        <v>10</v>
      </c>
      <c r="K414">
        <v>18000</v>
      </c>
    </row>
    <row r="415" spans="1:12" ht="21" hidden="1" customHeight="1" x14ac:dyDescent="0.25">
      <c r="A415" s="12" t="str">
        <f t="shared" ref="A415:A416" si="212">A414</f>
        <v>ТРО_1, ТРО_2, ТРО_3 (ТРО_2000М)</v>
      </c>
      <c r="B415" s="12" t="s">
        <v>11</v>
      </c>
      <c r="C415" s="18" t="s">
        <v>11</v>
      </c>
      <c r="D415" s="12" t="s">
        <v>11</v>
      </c>
      <c r="E415" s="12">
        <v>3</v>
      </c>
      <c r="F415" s="15">
        <v>100</v>
      </c>
      <c r="G415" s="15">
        <f>60*E415*F415</f>
        <v>18000</v>
      </c>
      <c r="H415" s="12">
        <f>60*E415</f>
        <v>180</v>
      </c>
      <c r="I415" s="12" t="s">
        <v>13</v>
      </c>
      <c r="J415" s="12" t="s">
        <v>11</v>
      </c>
      <c r="K415">
        <v>18000</v>
      </c>
    </row>
    <row r="416" spans="1:12" ht="30" customHeight="1" x14ac:dyDescent="0.25">
      <c r="A416" s="12" t="str">
        <f t="shared" si="212"/>
        <v>ТРО_1, ТРО_2, ТРО_3 (ТРО_2000М)</v>
      </c>
      <c r="B416" s="19"/>
      <c r="C416" s="20"/>
      <c r="D416" s="21"/>
      <c r="E416" s="23"/>
      <c r="F416" s="25"/>
      <c r="G416" s="24">
        <f ca="1">SUM(G409:G415)</f>
        <v>259971.20000000001</v>
      </c>
      <c r="H416" s="20"/>
      <c r="I416" s="22"/>
      <c r="J416" s="20"/>
      <c r="K416">
        <v>259971.20000000001</v>
      </c>
    </row>
    <row r="417" spans="1:11" ht="39.75" customHeight="1" x14ac:dyDescent="0.25">
      <c r="A417" s="5" t="str">
        <f>D417</f>
        <v>ЩС-27</v>
      </c>
      <c r="B417" s="6"/>
      <c r="C417" s="7"/>
      <c r="D417" s="6" t="s">
        <v>155</v>
      </c>
      <c r="E417" s="8"/>
      <c r="F417" s="8"/>
      <c r="G417" s="9"/>
      <c r="H417" s="10">
        <v>1</v>
      </c>
      <c r="I417" s="11" t="s">
        <v>7</v>
      </c>
      <c r="J417" s="6" t="s">
        <v>9</v>
      </c>
    </row>
    <row r="418" spans="1:11" ht="21" hidden="1" customHeight="1" x14ac:dyDescent="0.25">
      <c r="A418" s="12" t="str">
        <f>A417</f>
        <v>ЩС-27</v>
      </c>
      <c r="B418" s="13" t="s">
        <v>8</v>
      </c>
      <c r="C418" s="14" t="s">
        <v>212</v>
      </c>
      <c r="D418" s="12" t="s">
        <v>213</v>
      </c>
      <c r="E418" s="13">
        <v>16000</v>
      </c>
      <c r="F418" s="15">
        <f>E418*0.6</f>
        <v>9600</v>
      </c>
      <c r="G418" s="15">
        <f>H418*F418</f>
        <v>9600</v>
      </c>
      <c r="H418" s="16">
        <v>1</v>
      </c>
      <c r="I418" s="17" t="s">
        <v>13</v>
      </c>
      <c r="J418" s="13" t="s">
        <v>16</v>
      </c>
      <c r="K418">
        <v>9600</v>
      </c>
    </row>
    <row r="419" spans="1:11" ht="20.25" hidden="1" customHeight="1" x14ac:dyDescent="0.25">
      <c r="A419" s="12" t="str">
        <f t="shared" ref="A419" si="213">A418</f>
        <v>ЩС-27</v>
      </c>
      <c r="B419" s="13" t="s">
        <v>34</v>
      </c>
      <c r="C419" s="14" t="s">
        <v>99</v>
      </c>
      <c r="D419" s="12" t="s">
        <v>100</v>
      </c>
      <c r="E419" s="13">
        <v>3372</v>
      </c>
      <c r="F419" s="15">
        <f t="shared" ref="F419:F421" si="214">E419*0.6</f>
        <v>2023.1999999999998</v>
      </c>
      <c r="G419" s="15">
        <f t="shared" ref="G419:G422" si="215">F419*H419</f>
        <v>2023.1999999999998</v>
      </c>
      <c r="H419" s="16">
        <v>1</v>
      </c>
      <c r="I419" s="17" t="s">
        <v>13</v>
      </c>
      <c r="J419" s="13" t="s">
        <v>17</v>
      </c>
      <c r="K419">
        <v>2023.1999999999998</v>
      </c>
    </row>
    <row r="420" spans="1:11" ht="21" hidden="1" customHeight="1" x14ac:dyDescent="0.25">
      <c r="A420" s="12" t="str">
        <f>A418</f>
        <v>ЩС-27</v>
      </c>
      <c r="B420" s="13" t="s">
        <v>161</v>
      </c>
      <c r="C420" s="14" t="s">
        <v>156</v>
      </c>
      <c r="D420" s="12" t="s">
        <v>157</v>
      </c>
      <c r="E420" s="13">
        <v>5354</v>
      </c>
      <c r="F420" s="15">
        <f t="shared" si="214"/>
        <v>3212.4</v>
      </c>
      <c r="G420" s="15">
        <f t="shared" si="215"/>
        <v>3212.4</v>
      </c>
      <c r="H420" s="16">
        <v>1</v>
      </c>
      <c r="I420" s="17" t="s">
        <v>13</v>
      </c>
      <c r="J420" s="13" t="s">
        <v>17</v>
      </c>
      <c r="K420">
        <v>3212.4</v>
      </c>
    </row>
    <row r="421" spans="1:11" ht="21" hidden="1" customHeight="1" x14ac:dyDescent="0.25">
      <c r="A421" s="12" t="str">
        <f>A419</f>
        <v>ЩС-27</v>
      </c>
      <c r="B421" s="13" t="s">
        <v>27</v>
      </c>
      <c r="C421" s="14" t="s">
        <v>107</v>
      </c>
      <c r="D421" s="12" t="s">
        <v>108</v>
      </c>
      <c r="E421" s="13">
        <v>5104</v>
      </c>
      <c r="F421" s="15">
        <f t="shared" si="214"/>
        <v>3062.4</v>
      </c>
      <c r="G421" s="15">
        <f t="shared" si="215"/>
        <v>21436.799999999999</v>
      </c>
      <c r="H421" s="16">
        <v>7</v>
      </c>
      <c r="I421" s="17" t="s">
        <v>13</v>
      </c>
      <c r="J421" s="13" t="s">
        <v>17</v>
      </c>
      <c r="K421">
        <v>21436.799999999999</v>
      </c>
    </row>
    <row r="422" spans="1:11" ht="24" hidden="1" customHeight="1" x14ac:dyDescent="0.25">
      <c r="A422" s="12" t="str">
        <f>A421</f>
        <v>ЩС-27</v>
      </c>
      <c r="B422" s="12" t="s">
        <v>10</v>
      </c>
      <c r="C422" s="18" t="s">
        <v>10</v>
      </c>
      <c r="D422" s="12" t="s">
        <v>10</v>
      </c>
      <c r="E422" s="12">
        <f ca="1">OFFSET(E422,1,2)</f>
        <v>9000</v>
      </c>
      <c r="F422" s="15">
        <f ca="1">E422</f>
        <v>9000</v>
      </c>
      <c r="G422" s="15">
        <f t="shared" ca="1" si="215"/>
        <v>9000</v>
      </c>
      <c r="H422" s="12">
        <v>1</v>
      </c>
      <c r="I422" s="12" t="s">
        <v>13</v>
      </c>
      <c r="J422" s="12" t="s">
        <v>10</v>
      </c>
      <c r="K422">
        <v>9000</v>
      </c>
    </row>
    <row r="423" spans="1:11" ht="21" hidden="1" customHeight="1" x14ac:dyDescent="0.25">
      <c r="A423" s="12" t="str">
        <f t="shared" ref="A423:A424" si="216">A422</f>
        <v>ЩС-27</v>
      </c>
      <c r="B423" s="12" t="s">
        <v>11</v>
      </c>
      <c r="C423" s="18" t="s">
        <v>11</v>
      </c>
      <c r="D423" s="12" t="s">
        <v>11</v>
      </c>
      <c r="E423" s="12">
        <v>1.5</v>
      </c>
      <c r="F423" s="15">
        <v>100</v>
      </c>
      <c r="G423" s="15">
        <f>60*E423*F423</f>
        <v>9000</v>
      </c>
      <c r="H423" s="12">
        <f>60*E423</f>
        <v>90</v>
      </c>
      <c r="I423" s="12" t="s">
        <v>13</v>
      </c>
      <c r="J423" s="12" t="s">
        <v>11</v>
      </c>
      <c r="K423">
        <v>9000</v>
      </c>
    </row>
    <row r="424" spans="1:11" ht="30" customHeight="1" x14ac:dyDescent="0.25">
      <c r="A424" s="12" t="str">
        <f t="shared" si="216"/>
        <v>ЩС-27</v>
      </c>
      <c r="B424" s="19"/>
      <c r="C424" s="20"/>
      <c r="D424" s="21"/>
      <c r="E424" s="23"/>
      <c r="F424" s="25"/>
      <c r="G424" s="24">
        <f ca="1">SUM(G418:G423)</f>
        <v>54272.4</v>
      </c>
      <c r="H424" s="20"/>
      <c r="I424" s="22"/>
      <c r="J424" s="20"/>
      <c r="K424">
        <v>54272.4</v>
      </c>
    </row>
    <row r="425" spans="1:11" ht="39.75" customHeight="1" x14ac:dyDescent="0.25">
      <c r="A425" s="5" t="str">
        <f>D425</f>
        <v>ЩС-28</v>
      </c>
      <c r="B425" s="6"/>
      <c r="C425" s="7"/>
      <c r="D425" s="6" t="s">
        <v>158</v>
      </c>
      <c r="E425" s="8"/>
      <c r="F425" s="8"/>
      <c r="G425" s="9"/>
      <c r="H425" s="10">
        <v>1</v>
      </c>
      <c r="I425" s="11" t="s">
        <v>7</v>
      </c>
      <c r="J425" s="6" t="s">
        <v>9</v>
      </c>
    </row>
    <row r="426" spans="1:11" ht="21" hidden="1" customHeight="1" x14ac:dyDescent="0.25">
      <c r="A426" s="12" t="str">
        <f>A425</f>
        <v>ЩС-28</v>
      </c>
      <c r="B426" s="13" t="s">
        <v>8</v>
      </c>
      <c r="C426" s="14" t="s">
        <v>212</v>
      </c>
      <c r="D426" s="12" t="s">
        <v>213</v>
      </c>
      <c r="E426" s="13">
        <v>16000</v>
      </c>
      <c r="F426" s="15">
        <f>E426*0.6</f>
        <v>9600</v>
      </c>
      <c r="G426" s="15">
        <f>H426*F426</f>
        <v>9600</v>
      </c>
      <c r="H426" s="16">
        <v>1</v>
      </c>
      <c r="I426" s="17" t="s">
        <v>13</v>
      </c>
      <c r="J426" s="13" t="s">
        <v>16</v>
      </c>
      <c r="K426">
        <v>9600</v>
      </c>
    </row>
    <row r="427" spans="1:11" ht="20.25" hidden="1" customHeight="1" x14ac:dyDescent="0.25">
      <c r="A427" s="12" t="str">
        <f t="shared" ref="A427" si="217">A426</f>
        <v>ЩС-28</v>
      </c>
      <c r="B427" s="13" t="s">
        <v>34</v>
      </c>
      <c r="C427" s="14" t="s">
        <v>99</v>
      </c>
      <c r="D427" s="12" t="s">
        <v>100</v>
      </c>
      <c r="E427" s="13">
        <v>3372</v>
      </c>
      <c r="F427" s="15">
        <f t="shared" ref="F427:F429" si="218">E427*0.6</f>
        <v>2023.1999999999998</v>
      </c>
      <c r="G427" s="15">
        <f t="shared" ref="G427:G432" si="219">F427*H427</f>
        <v>2023.1999999999998</v>
      </c>
      <c r="H427" s="16">
        <v>1</v>
      </c>
      <c r="I427" s="17" t="s">
        <v>13</v>
      </c>
      <c r="J427" s="13" t="s">
        <v>17</v>
      </c>
      <c r="K427">
        <v>2023.1999999999998</v>
      </c>
    </row>
    <row r="428" spans="1:11" ht="21" hidden="1" customHeight="1" x14ac:dyDescent="0.25">
      <c r="A428" s="12" t="str">
        <f>A426</f>
        <v>ЩС-28</v>
      </c>
      <c r="B428" s="13" t="s">
        <v>161</v>
      </c>
      <c r="C428" s="14" t="s">
        <v>156</v>
      </c>
      <c r="D428" s="12" t="s">
        <v>157</v>
      </c>
      <c r="E428" s="13">
        <v>5354</v>
      </c>
      <c r="F428" s="15">
        <f t="shared" si="218"/>
        <v>3212.4</v>
      </c>
      <c r="G428" s="15">
        <f t="shared" si="219"/>
        <v>3212.4</v>
      </c>
      <c r="H428" s="16">
        <v>1</v>
      </c>
      <c r="I428" s="17" t="s">
        <v>13</v>
      </c>
      <c r="J428" s="13" t="s">
        <v>17</v>
      </c>
      <c r="K428">
        <v>3212.4</v>
      </c>
    </row>
    <row r="429" spans="1:11" ht="21" hidden="1" customHeight="1" x14ac:dyDescent="0.25">
      <c r="A429" s="12" t="str">
        <f>A427</f>
        <v>ЩС-28</v>
      </c>
      <c r="B429" s="13" t="s">
        <v>12</v>
      </c>
      <c r="C429" s="14" t="s">
        <v>159</v>
      </c>
      <c r="D429" s="12" t="s">
        <v>160</v>
      </c>
      <c r="E429" s="13">
        <v>3604</v>
      </c>
      <c r="F429" s="15">
        <f t="shared" si="218"/>
        <v>2162.4</v>
      </c>
      <c r="G429" s="15">
        <f t="shared" si="219"/>
        <v>6487.2000000000007</v>
      </c>
      <c r="H429" s="16">
        <v>3</v>
      </c>
      <c r="I429" s="17" t="s">
        <v>13</v>
      </c>
      <c r="J429" s="13" t="s">
        <v>17</v>
      </c>
      <c r="K429">
        <v>6487.2000000000007</v>
      </c>
    </row>
    <row r="430" spans="1:11" ht="21" hidden="1" customHeight="1" x14ac:dyDescent="0.25">
      <c r="A430" s="12" t="str">
        <f>A428</f>
        <v>ЩС-28</v>
      </c>
      <c r="B430" s="13" t="s">
        <v>12</v>
      </c>
      <c r="C430" s="14" t="s">
        <v>162</v>
      </c>
      <c r="D430" s="12" t="s">
        <v>163</v>
      </c>
      <c r="E430" s="13">
        <v>1099</v>
      </c>
      <c r="F430" s="15">
        <f t="shared" ref="F430" si="220">E430*0.6</f>
        <v>659.4</v>
      </c>
      <c r="G430" s="15">
        <f t="shared" ref="G430" si="221">F430*H430</f>
        <v>1318.8</v>
      </c>
      <c r="H430" s="16">
        <v>2</v>
      </c>
      <c r="I430" s="17" t="s">
        <v>13</v>
      </c>
      <c r="J430" s="13" t="s">
        <v>17</v>
      </c>
      <c r="K430">
        <v>1318.8</v>
      </c>
    </row>
    <row r="431" spans="1:11" ht="21" hidden="1" customHeight="1" x14ac:dyDescent="0.25">
      <c r="A431" s="12" t="str">
        <f>A429</f>
        <v>ЩС-28</v>
      </c>
      <c r="B431" s="13" t="s">
        <v>166</v>
      </c>
      <c r="C431" s="14" t="s">
        <v>164</v>
      </c>
      <c r="D431" s="12" t="s">
        <v>165</v>
      </c>
      <c r="E431" s="13">
        <v>6145</v>
      </c>
      <c r="F431" s="15">
        <f t="shared" ref="F431" si="222">E431*0.6</f>
        <v>3687</v>
      </c>
      <c r="G431" s="15">
        <f t="shared" ref="G431" si="223">F431*H431</f>
        <v>7374</v>
      </c>
      <c r="H431" s="16">
        <v>2</v>
      </c>
      <c r="I431" s="17" t="s">
        <v>13</v>
      </c>
      <c r="J431" s="13" t="s">
        <v>17</v>
      </c>
      <c r="K431">
        <v>7374</v>
      </c>
    </row>
    <row r="432" spans="1:11" ht="24" hidden="1" customHeight="1" x14ac:dyDescent="0.25">
      <c r="A432" s="12" t="str">
        <f>A429</f>
        <v>ЩС-28</v>
      </c>
      <c r="B432" s="12" t="s">
        <v>10</v>
      </c>
      <c r="C432" s="18" t="s">
        <v>10</v>
      </c>
      <c r="D432" s="12" t="s">
        <v>10</v>
      </c>
      <c r="E432" s="12">
        <f ca="1">OFFSET(E432,1,2)</f>
        <v>9000</v>
      </c>
      <c r="F432" s="15">
        <f ca="1">E432</f>
        <v>9000</v>
      </c>
      <c r="G432" s="15">
        <f t="shared" ca="1" si="219"/>
        <v>9000</v>
      </c>
      <c r="H432" s="12">
        <v>1</v>
      </c>
      <c r="I432" s="12" t="s">
        <v>13</v>
      </c>
      <c r="J432" s="12" t="s">
        <v>10</v>
      </c>
      <c r="K432">
        <v>9000</v>
      </c>
    </row>
    <row r="433" spans="1:11" ht="21" hidden="1" customHeight="1" x14ac:dyDescent="0.25">
      <c r="A433" s="12" t="str">
        <f t="shared" ref="A433:A434" si="224">A432</f>
        <v>ЩС-28</v>
      </c>
      <c r="B433" s="12" t="s">
        <v>11</v>
      </c>
      <c r="C433" s="18" t="s">
        <v>11</v>
      </c>
      <c r="D433" s="12" t="s">
        <v>11</v>
      </c>
      <c r="E433" s="12">
        <v>1.5</v>
      </c>
      <c r="F433" s="15">
        <v>100</v>
      </c>
      <c r="G433" s="15">
        <f>60*E433*F433</f>
        <v>9000</v>
      </c>
      <c r="H433" s="12">
        <f>60*E433</f>
        <v>90</v>
      </c>
      <c r="I433" s="12" t="s">
        <v>13</v>
      </c>
      <c r="J433" s="12" t="s">
        <v>11</v>
      </c>
      <c r="K433">
        <v>9000</v>
      </c>
    </row>
    <row r="434" spans="1:11" ht="30" customHeight="1" x14ac:dyDescent="0.25">
      <c r="A434" s="12" t="str">
        <f t="shared" si="224"/>
        <v>ЩС-28</v>
      </c>
      <c r="B434" s="19"/>
      <c r="C434" s="20"/>
      <c r="D434" s="21"/>
      <c r="E434" s="23"/>
      <c r="F434" s="25"/>
      <c r="G434" s="24">
        <f ca="1">SUM(G426:G433)</f>
        <v>48015.600000000006</v>
      </c>
      <c r="H434" s="20"/>
      <c r="I434" s="22"/>
      <c r="J434" s="20"/>
      <c r="K434">
        <v>48015.600000000006</v>
      </c>
    </row>
    <row r="435" spans="1:11" ht="39.75" customHeight="1" x14ac:dyDescent="0.25">
      <c r="A435" s="5" t="str">
        <f>D435</f>
        <v>ЩС-29</v>
      </c>
      <c r="B435" s="6"/>
      <c r="C435" s="7"/>
      <c r="D435" s="6" t="s">
        <v>167</v>
      </c>
      <c r="E435" s="8"/>
      <c r="F435" s="8"/>
      <c r="G435" s="9"/>
      <c r="H435" s="10">
        <v>1</v>
      </c>
      <c r="I435" s="11" t="s">
        <v>7</v>
      </c>
      <c r="J435" s="6" t="s">
        <v>9</v>
      </c>
    </row>
    <row r="436" spans="1:11" ht="21" hidden="1" customHeight="1" x14ac:dyDescent="0.25">
      <c r="A436" s="12" t="str">
        <f>A435</f>
        <v>ЩС-29</v>
      </c>
      <c r="B436" s="13" t="s">
        <v>8</v>
      </c>
      <c r="C436" s="14" t="s">
        <v>210</v>
      </c>
      <c r="D436" s="12" t="s">
        <v>211</v>
      </c>
      <c r="E436" s="13">
        <v>19000</v>
      </c>
      <c r="F436" s="15">
        <f>E436*0.6</f>
        <v>11400</v>
      </c>
      <c r="G436" s="15">
        <f>H436*F436</f>
        <v>11400</v>
      </c>
      <c r="H436" s="16">
        <v>1</v>
      </c>
      <c r="I436" s="17" t="s">
        <v>13</v>
      </c>
      <c r="J436" s="13" t="s">
        <v>16</v>
      </c>
      <c r="K436">
        <v>11400</v>
      </c>
    </row>
    <row r="437" spans="1:11" ht="20.25" hidden="1" customHeight="1" x14ac:dyDescent="0.25">
      <c r="A437" s="12" t="str">
        <f t="shared" ref="A437" si="225">A436</f>
        <v>ЩС-29</v>
      </c>
      <c r="B437" s="13" t="s">
        <v>34</v>
      </c>
      <c r="C437" s="14" t="s">
        <v>99</v>
      </c>
      <c r="D437" s="12" t="s">
        <v>100</v>
      </c>
      <c r="E437" s="13">
        <v>3372</v>
      </c>
      <c r="F437" s="15">
        <f t="shared" ref="F437:F441" si="226">E437*0.6</f>
        <v>2023.1999999999998</v>
      </c>
      <c r="G437" s="15">
        <f t="shared" ref="G437:G442" si="227">F437*H437</f>
        <v>2023.1999999999998</v>
      </c>
      <c r="H437" s="16">
        <v>1</v>
      </c>
      <c r="I437" s="17" t="s">
        <v>13</v>
      </c>
      <c r="J437" s="13" t="s">
        <v>17</v>
      </c>
      <c r="K437">
        <v>2023.1999999999998</v>
      </c>
    </row>
    <row r="438" spans="1:11" ht="21" hidden="1" customHeight="1" x14ac:dyDescent="0.25">
      <c r="A438" s="12" t="str">
        <f>A436</f>
        <v>ЩС-29</v>
      </c>
      <c r="B438" s="13" t="s">
        <v>161</v>
      </c>
      <c r="C438" s="14" t="s">
        <v>156</v>
      </c>
      <c r="D438" s="12" t="s">
        <v>157</v>
      </c>
      <c r="E438" s="13">
        <v>5354</v>
      </c>
      <c r="F438" s="15">
        <f t="shared" si="226"/>
        <v>3212.4</v>
      </c>
      <c r="G438" s="15">
        <f t="shared" si="227"/>
        <v>3212.4</v>
      </c>
      <c r="H438" s="16">
        <v>1</v>
      </c>
      <c r="I438" s="17" t="s">
        <v>13</v>
      </c>
      <c r="J438" s="13" t="s">
        <v>17</v>
      </c>
      <c r="K438">
        <v>3212.4</v>
      </c>
    </row>
    <row r="439" spans="1:11" ht="21" hidden="1" customHeight="1" x14ac:dyDescent="0.25">
      <c r="A439" s="12" t="str">
        <f>A437</f>
        <v>ЩС-29</v>
      </c>
      <c r="B439" s="13" t="s">
        <v>12</v>
      </c>
      <c r="C439" s="14" t="s">
        <v>159</v>
      </c>
      <c r="D439" s="12" t="s">
        <v>160</v>
      </c>
      <c r="E439" s="13">
        <v>3604</v>
      </c>
      <c r="F439" s="15">
        <f t="shared" si="226"/>
        <v>2162.4</v>
      </c>
      <c r="G439" s="15">
        <f t="shared" si="227"/>
        <v>6487.2000000000007</v>
      </c>
      <c r="H439" s="16">
        <v>3</v>
      </c>
      <c r="I439" s="17" t="s">
        <v>13</v>
      </c>
      <c r="J439" s="13" t="s">
        <v>17</v>
      </c>
      <c r="K439">
        <v>6487.2000000000007</v>
      </c>
    </row>
    <row r="440" spans="1:11" ht="21" hidden="1" customHeight="1" x14ac:dyDescent="0.25">
      <c r="A440" s="12" t="str">
        <f>A438</f>
        <v>ЩС-29</v>
      </c>
      <c r="B440" s="13" t="s">
        <v>12</v>
      </c>
      <c r="C440" s="14" t="s">
        <v>162</v>
      </c>
      <c r="D440" s="12" t="s">
        <v>163</v>
      </c>
      <c r="E440" s="13">
        <v>1099</v>
      </c>
      <c r="F440" s="15">
        <f t="shared" si="226"/>
        <v>659.4</v>
      </c>
      <c r="G440" s="15">
        <f t="shared" si="227"/>
        <v>5934.5999999999995</v>
      </c>
      <c r="H440" s="16">
        <v>9</v>
      </c>
      <c r="I440" s="17" t="s">
        <v>13</v>
      </c>
      <c r="J440" s="13" t="s">
        <v>17</v>
      </c>
      <c r="K440">
        <v>5934.5999999999995</v>
      </c>
    </row>
    <row r="441" spans="1:11" ht="21" hidden="1" customHeight="1" x14ac:dyDescent="0.25">
      <c r="A441" s="12" t="str">
        <f>A439</f>
        <v>ЩС-29</v>
      </c>
      <c r="B441" s="13" t="s">
        <v>166</v>
      </c>
      <c r="C441" s="14" t="s">
        <v>164</v>
      </c>
      <c r="D441" s="12" t="s">
        <v>165</v>
      </c>
      <c r="E441" s="13">
        <v>6145</v>
      </c>
      <c r="F441" s="15">
        <f t="shared" si="226"/>
        <v>3687</v>
      </c>
      <c r="G441" s="15">
        <f t="shared" si="227"/>
        <v>29496</v>
      </c>
      <c r="H441" s="16">
        <v>8</v>
      </c>
      <c r="I441" s="17" t="s">
        <v>13</v>
      </c>
      <c r="J441" s="13" t="s">
        <v>17</v>
      </c>
      <c r="K441">
        <v>29496</v>
      </c>
    </row>
    <row r="442" spans="1:11" ht="24" hidden="1" customHeight="1" x14ac:dyDescent="0.25">
      <c r="A442" s="12" t="str">
        <f>A439</f>
        <v>ЩС-29</v>
      </c>
      <c r="B442" s="12" t="s">
        <v>10</v>
      </c>
      <c r="C442" s="18" t="s">
        <v>10</v>
      </c>
      <c r="D442" s="12" t="s">
        <v>10</v>
      </c>
      <c r="E442" s="12">
        <f ca="1">OFFSET(E442,1,2)</f>
        <v>15000</v>
      </c>
      <c r="F442" s="15">
        <f ca="1">E442</f>
        <v>15000</v>
      </c>
      <c r="G442" s="15">
        <f t="shared" ca="1" si="227"/>
        <v>15000</v>
      </c>
      <c r="H442" s="12">
        <v>1</v>
      </c>
      <c r="I442" s="12" t="s">
        <v>13</v>
      </c>
      <c r="J442" s="12" t="s">
        <v>10</v>
      </c>
      <c r="K442">
        <v>15000</v>
      </c>
    </row>
    <row r="443" spans="1:11" ht="21" hidden="1" customHeight="1" x14ac:dyDescent="0.25">
      <c r="A443" s="12" t="str">
        <f t="shared" ref="A443:A444" si="228">A442</f>
        <v>ЩС-29</v>
      </c>
      <c r="B443" s="12" t="s">
        <v>11</v>
      </c>
      <c r="C443" s="18" t="s">
        <v>11</v>
      </c>
      <c r="D443" s="12" t="s">
        <v>11</v>
      </c>
      <c r="E443" s="12">
        <v>2.5</v>
      </c>
      <c r="F443" s="15">
        <v>100</v>
      </c>
      <c r="G443" s="15">
        <f>60*E443*F443</f>
        <v>15000</v>
      </c>
      <c r="H443" s="12">
        <f>60*E443</f>
        <v>150</v>
      </c>
      <c r="I443" s="12" t="s">
        <v>13</v>
      </c>
      <c r="J443" s="12" t="s">
        <v>11</v>
      </c>
      <c r="K443">
        <v>15000</v>
      </c>
    </row>
    <row r="444" spans="1:11" ht="30" customHeight="1" x14ac:dyDescent="0.25">
      <c r="A444" s="12" t="str">
        <f t="shared" si="228"/>
        <v>ЩС-29</v>
      </c>
      <c r="B444" s="19"/>
      <c r="C444" s="20"/>
      <c r="D444" s="21"/>
      <c r="E444" s="23"/>
      <c r="F444" s="25"/>
      <c r="G444" s="24">
        <f ca="1">SUM(G436:G443)</f>
        <v>88553.4</v>
      </c>
      <c r="H444" s="20"/>
      <c r="I444" s="22"/>
      <c r="J444" s="20"/>
      <c r="K444">
        <v>88553.4</v>
      </c>
    </row>
    <row r="445" spans="1:11" ht="39.75" customHeight="1" x14ac:dyDescent="0.25">
      <c r="A445" s="5" t="str">
        <f>D445</f>
        <v>ЩС-30</v>
      </c>
      <c r="B445" s="6"/>
      <c r="C445" s="7"/>
      <c r="D445" s="6" t="s">
        <v>168</v>
      </c>
      <c r="E445" s="8"/>
      <c r="F445" s="8"/>
      <c r="G445" s="9"/>
      <c r="H445" s="10">
        <v>1</v>
      </c>
      <c r="I445" s="11" t="s">
        <v>7</v>
      </c>
      <c r="J445" s="6" t="s">
        <v>9</v>
      </c>
    </row>
    <row r="446" spans="1:11" ht="21" hidden="1" customHeight="1" x14ac:dyDescent="0.25">
      <c r="A446" s="12" t="str">
        <f>A445</f>
        <v>ЩС-30</v>
      </c>
      <c r="B446" s="13" t="s">
        <v>8</v>
      </c>
      <c r="C446" s="14" t="s">
        <v>210</v>
      </c>
      <c r="D446" s="12" t="s">
        <v>211</v>
      </c>
      <c r="E446" s="13">
        <v>19000</v>
      </c>
      <c r="F446" s="15">
        <f>E446*0.6</f>
        <v>11400</v>
      </c>
      <c r="G446" s="15">
        <f>H446*F446</f>
        <v>11400</v>
      </c>
      <c r="H446" s="16">
        <v>1</v>
      </c>
      <c r="I446" s="17" t="s">
        <v>13</v>
      </c>
      <c r="J446" s="13" t="s">
        <v>16</v>
      </c>
      <c r="K446">
        <v>11400</v>
      </c>
    </row>
    <row r="447" spans="1:11" ht="20.25" hidden="1" customHeight="1" x14ac:dyDescent="0.25">
      <c r="A447" s="12" t="str">
        <f t="shared" ref="A447" si="229">A446</f>
        <v>ЩС-30</v>
      </c>
      <c r="B447" s="13" t="s">
        <v>34</v>
      </c>
      <c r="C447" s="14" t="s">
        <v>99</v>
      </c>
      <c r="D447" s="12" t="s">
        <v>100</v>
      </c>
      <c r="E447" s="13">
        <v>3372</v>
      </c>
      <c r="F447" s="15">
        <f t="shared" ref="F447:F451" si="230">E447*0.6</f>
        <v>2023.1999999999998</v>
      </c>
      <c r="G447" s="15">
        <f t="shared" ref="G447:G452" si="231">F447*H447</f>
        <v>2023.1999999999998</v>
      </c>
      <c r="H447" s="16">
        <v>1</v>
      </c>
      <c r="I447" s="17" t="s">
        <v>13</v>
      </c>
      <c r="J447" s="13" t="s">
        <v>17</v>
      </c>
      <c r="K447">
        <v>2023.1999999999998</v>
      </c>
    </row>
    <row r="448" spans="1:11" ht="21" hidden="1" customHeight="1" x14ac:dyDescent="0.25">
      <c r="A448" s="12" t="str">
        <f>A446</f>
        <v>ЩС-30</v>
      </c>
      <c r="B448" s="13" t="s">
        <v>161</v>
      </c>
      <c r="C448" s="14" t="s">
        <v>156</v>
      </c>
      <c r="D448" s="12" t="s">
        <v>157</v>
      </c>
      <c r="E448" s="13">
        <v>5354</v>
      </c>
      <c r="F448" s="15">
        <f t="shared" si="230"/>
        <v>3212.4</v>
      </c>
      <c r="G448" s="15">
        <f t="shared" si="231"/>
        <v>3212.4</v>
      </c>
      <c r="H448" s="16">
        <v>1</v>
      </c>
      <c r="I448" s="17" t="s">
        <v>13</v>
      </c>
      <c r="J448" s="13" t="s">
        <v>17</v>
      </c>
      <c r="K448">
        <v>3212.4</v>
      </c>
    </row>
    <row r="449" spans="1:11" ht="21" hidden="1" customHeight="1" x14ac:dyDescent="0.25">
      <c r="A449" s="12" t="str">
        <f>A447</f>
        <v>ЩС-30</v>
      </c>
      <c r="B449" s="13" t="s">
        <v>12</v>
      </c>
      <c r="C449" s="14" t="s">
        <v>159</v>
      </c>
      <c r="D449" s="12" t="s">
        <v>160</v>
      </c>
      <c r="E449" s="13">
        <v>3604</v>
      </c>
      <c r="F449" s="15">
        <f t="shared" si="230"/>
        <v>2162.4</v>
      </c>
      <c r="G449" s="15">
        <f t="shared" si="231"/>
        <v>10812</v>
      </c>
      <c r="H449" s="16">
        <v>5</v>
      </c>
      <c r="I449" s="17" t="s">
        <v>13</v>
      </c>
      <c r="J449" s="13" t="s">
        <v>17</v>
      </c>
      <c r="K449">
        <v>10812</v>
      </c>
    </row>
    <row r="450" spans="1:11" ht="21" hidden="1" customHeight="1" x14ac:dyDescent="0.25">
      <c r="A450" s="12" t="str">
        <f>A448</f>
        <v>ЩС-30</v>
      </c>
      <c r="B450" s="13" t="s">
        <v>12</v>
      </c>
      <c r="C450" s="14" t="s">
        <v>162</v>
      </c>
      <c r="D450" s="12" t="s">
        <v>163</v>
      </c>
      <c r="E450" s="13">
        <v>1099</v>
      </c>
      <c r="F450" s="15">
        <f t="shared" si="230"/>
        <v>659.4</v>
      </c>
      <c r="G450" s="15">
        <f t="shared" si="231"/>
        <v>4615.8</v>
      </c>
      <c r="H450" s="16">
        <v>7</v>
      </c>
      <c r="I450" s="17" t="s">
        <v>13</v>
      </c>
      <c r="J450" s="13" t="s">
        <v>17</v>
      </c>
      <c r="K450">
        <v>4615.8</v>
      </c>
    </row>
    <row r="451" spans="1:11" ht="21" hidden="1" customHeight="1" x14ac:dyDescent="0.25">
      <c r="A451" s="12" t="str">
        <f>A449</f>
        <v>ЩС-30</v>
      </c>
      <c r="B451" s="13" t="s">
        <v>166</v>
      </c>
      <c r="C451" s="14" t="s">
        <v>164</v>
      </c>
      <c r="D451" s="12" t="s">
        <v>165</v>
      </c>
      <c r="E451" s="13">
        <v>6145</v>
      </c>
      <c r="F451" s="15">
        <f t="shared" si="230"/>
        <v>3687</v>
      </c>
      <c r="G451" s="15">
        <f t="shared" si="231"/>
        <v>25809</v>
      </c>
      <c r="H451" s="16">
        <v>7</v>
      </c>
      <c r="I451" s="17" t="s">
        <v>13</v>
      </c>
      <c r="J451" s="13" t="s">
        <v>17</v>
      </c>
      <c r="K451">
        <v>25809</v>
      </c>
    </row>
    <row r="452" spans="1:11" ht="24" hidden="1" customHeight="1" x14ac:dyDescent="0.25">
      <c r="A452" s="12" t="str">
        <f>A449</f>
        <v>ЩС-30</v>
      </c>
      <c r="B452" s="12" t="s">
        <v>10</v>
      </c>
      <c r="C452" s="18" t="s">
        <v>10</v>
      </c>
      <c r="D452" s="12" t="s">
        <v>10</v>
      </c>
      <c r="E452" s="12">
        <f ca="1">OFFSET(E452,1,2)</f>
        <v>15000</v>
      </c>
      <c r="F452" s="15">
        <f ca="1">E452</f>
        <v>15000</v>
      </c>
      <c r="G452" s="15">
        <f t="shared" ca="1" si="231"/>
        <v>15000</v>
      </c>
      <c r="H452" s="12">
        <v>1</v>
      </c>
      <c r="I452" s="12" t="s">
        <v>13</v>
      </c>
      <c r="J452" s="12" t="s">
        <v>10</v>
      </c>
      <c r="K452">
        <v>15000</v>
      </c>
    </row>
    <row r="453" spans="1:11" ht="21" hidden="1" customHeight="1" x14ac:dyDescent="0.25">
      <c r="A453" s="12" t="str">
        <f t="shared" ref="A453:A454" si="232">A452</f>
        <v>ЩС-30</v>
      </c>
      <c r="B453" s="12" t="s">
        <v>11</v>
      </c>
      <c r="C453" s="18" t="s">
        <v>11</v>
      </c>
      <c r="D453" s="12" t="s">
        <v>11</v>
      </c>
      <c r="E453" s="12">
        <v>2.5</v>
      </c>
      <c r="F453" s="15">
        <v>100</v>
      </c>
      <c r="G453" s="15">
        <f>60*E453*F453</f>
        <v>15000</v>
      </c>
      <c r="H453" s="12">
        <f>60*E453</f>
        <v>150</v>
      </c>
      <c r="I453" s="12" t="s">
        <v>13</v>
      </c>
      <c r="J453" s="12" t="s">
        <v>11</v>
      </c>
      <c r="K453">
        <v>15000</v>
      </c>
    </row>
    <row r="454" spans="1:11" ht="30" customHeight="1" x14ac:dyDescent="0.25">
      <c r="A454" s="12" t="str">
        <f t="shared" si="232"/>
        <v>ЩС-30</v>
      </c>
      <c r="B454" s="19"/>
      <c r="C454" s="20"/>
      <c r="D454" s="21"/>
      <c r="E454" s="23"/>
      <c r="F454" s="25"/>
      <c r="G454" s="24">
        <f ca="1">SUM(G446:G453)</f>
        <v>87872.4</v>
      </c>
      <c r="H454" s="20"/>
      <c r="I454" s="22"/>
      <c r="J454" s="20"/>
      <c r="K454">
        <v>87872.4</v>
      </c>
    </row>
    <row r="455" spans="1:11" ht="39.75" customHeight="1" x14ac:dyDescent="0.25">
      <c r="A455" s="5" t="str">
        <f>D455</f>
        <v>ЩС-31</v>
      </c>
      <c r="B455" s="6"/>
      <c r="C455" s="7"/>
      <c r="D455" s="6" t="s">
        <v>169</v>
      </c>
      <c r="E455" s="8"/>
      <c r="F455" s="8"/>
      <c r="G455" s="9"/>
      <c r="H455" s="10">
        <v>1</v>
      </c>
      <c r="I455" s="11" t="s">
        <v>7</v>
      </c>
      <c r="J455" s="6" t="s">
        <v>9</v>
      </c>
    </row>
    <row r="456" spans="1:11" ht="21" hidden="1" customHeight="1" x14ac:dyDescent="0.25">
      <c r="A456" s="12" t="str">
        <f>A455</f>
        <v>ЩС-31</v>
      </c>
      <c r="B456" s="13" t="s">
        <v>8</v>
      </c>
      <c r="C456" s="14" t="s">
        <v>218</v>
      </c>
      <c r="D456" s="12" t="s">
        <v>219</v>
      </c>
      <c r="E456" s="13">
        <v>22500</v>
      </c>
      <c r="F456" s="15">
        <f>E456*0.6</f>
        <v>13500</v>
      </c>
      <c r="G456" s="15">
        <f>H456*F456</f>
        <v>13500</v>
      </c>
      <c r="H456" s="16">
        <v>1</v>
      </c>
      <c r="I456" s="17" t="s">
        <v>13</v>
      </c>
      <c r="J456" s="13" t="s">
        <v>16</v>
      </c>
      <c r="K456">
        <v>13500</v>
      </c>
    </row>
    <row r="457" spans="1:11" ht="20.25" hidden="1" customHeight="1" x14ac:dyDescent="0.25">
      <c r="A457" s="12" t="str">
        <f t="shared" ref="A457" si="233">A456</f>
        <v>ЩС-31</v>
      </c>
      <c r="B457" s="13" t="s">
        <v>34</v>
      </c>
      <c r="C457" s="14" t="s">
        <v>99</v>
      </c>
      <c r="D457" s="12" t="s">
        <v>100</v>
      </c>
      <c r="E457" s="13">
        <v>3372</v>
      </c>
      <c r="F457" s="15">
        <f t="shared" ref="F457:F460" si="234">E457*0.6</f>
        <v>2023.1999999999998</v>
      </c>
      <c r="G457" s="15">
        <f t="shared" ref="G457:G461" si="235">F457*H457</f>
        <v>2023.1999999999998</v>
      </c>
      <c r="H457" s="16">
        <v>1</v>
      </c>
      <c r="I457" s="17" t="s">
        <v>13</v>
      </c>
      <c r="J457" s="13" t="s">
        <v>17</v>
      </c>
      <c r="K457">
        <v>2023.1999999999998</v>
      </c>
    </row>
    <row r="458" spans="1:11" ht="21" hidden="1" customHeight="1" x14ac:dyDescent="0.25">
      <c r="A458" s="12" t="str">
        <f>A456</f>
        <v>ЩС-31</v>
      </c>
      <c r="B458" s="13" t="s">
        <v>161</v>
      </c>
      <c r="C458" s="14" t="s">
        <v>156</v>
      </c>
      <c r="D458" s="12" t="s">
        <v>157</v>
      </c>
      <c r="E458" s="13">
        <v>5354</v>
      </c>
      <c r="F458" s="15">
        <f t="shared" si="234"/>
        <v>3212.4</v>
      </c>
      <c r="G458" s="15">
        <f t="shared" si="235"/>
        <v>3212.4</v>
      </c>
      <c r="H458" s="16">
        <v>1</v>
      </c>
      <c r="I458" s="17" t="s">
        <v>13</v>
      </c>
      <c r="J458" s="13" t="s">
        <v>17</v>
      </c>
      <c r="K458">
        <v>3212.4</v>
      </c>
    </row>
    <row r="459" spans="1:11" ht="21" hidden="1" customHeight="1" x14ac:dyDescent="0.25">
      <c r="A459" s="12" t="str">
        <f>A457</f>
        <v>ЩС-31</v>
      </c>
      <c r="B459" s="13" t="s">
        <v>12</v>
      </c>
      <c r="C459" s="14" t="s">
        <v>159</v>
      </c>
      <c r="D459" s="12" t="s">
        <v>160</v>
      </c>
      <c r="E459" s="13">
        <v>3604</v>
      </c>
      <c r="F459" s="15">
        <f t="shared" si="234"/>
        <v>2162.4</v>
      </c>
      <c r="G459" s="15">
        <f t="shared" si="235"/>
        <v>19461.600000000002</v>
      </c>
      <c r="H459" s="16">
        <v>9</v>
      </c>
      <c r="I459" s="17" t="s">
        <v>13</v>
      </c>
      <c r="J459" s="13" t="s">
        <v>17</v>
      </c>
      <c r="K459">
        <v>19461.600000000002</v>
      </c>
    </row>
    <row r="460" spans="1:11" ht="21" hidden="1" customHeight="1" x14ac:dyDescent="0.25">
      <c r="A460" s="12" t="str">
        <f>A459</f>
        <v>ЩС-31</v>
      </c>
      <c r="B460" s="13" t="s">
        <v>166</v>
      </c>
      <c r="C460" s="14" t="s">
        <v>164</v>
      </c>
      <c r="D460" s="12" t="s">
        <v>165</v>
      </c>
      <c r="E460" s="13">
        <v>6145</v>
      </c>
      <c r="F460" s="15">
        <f t="shared" si="234"/>
        <v>3687</v>
      </c>
      <c r="G460" s="15">
        <f t="shared" si="235"/>
        <v>33183</v>
      </c>
      <c r="H460" s="16">
        <v>9</v>
      </c>
      <c r="I460" s="17" t="s">
        <v>13</v>
      </c>
      <c r="J460" s="13" t="s">
        <v>17</v>
      </c>
      <c r="K460">
        <v>33183</v>
      </c>
    </row>
    <row r="461" spans="1:11" ht="24" hidden="1" customHeight="1" x14ac:dyDescent="0.25">
      <c r="A461" s="12" t="str">
        <f>A459</f>
        <v>ЩС-31</v>
      </c>
      <c r="B461" s="12" t="s">
        <v>10</v>
      </c>
      <c r="C461" s="18" t="s">
        <v>10</v>
      </c>
      <c r="D461" s="12" t="s">
        <v>10</v>
      </c>
      <c r="E461" s="12">
        <f ca="1">OFFSET(E461,1,2)</f>
        <v>15000</v>
      </c>
      <c r="F461" s="15">
        <f ca="1">E461</f>
        <v>15000</v>
      </c>
      <c r="G461" s="15">
        <f t="shared" ca="1" si="235"/>
        <v>15000</v>
      </c>
      <c r="H461" s="12">
        <v>1</v>
      </c>
      <c r="I461" s="12" t="s">
        <v>13</v>
      </c>
      <c r="J461" s="12" t="s">
        <v>10</v>
      </c>
      <c r="K461">
        <v>15000</v>
      </c>
    </row>
    <row r="462" spans="1:11" ht="21" hidden="1" customHeight="1" x14ac:dyDescent="0.25">
      <c r="A462" s="12" t="str">
        <f t="shared" ref="A462:A463" si="236">A461</f>
        <v>ЩС-31</v>
      </c>
      <c r="B462" s="12" t="s">
        <v>11</v>
      </c>
      <c r="C462" s="18" t="s">
        <v>11</v>
      </c>
      <c r="D462" s="12" t="s">
        <v>11</v>
      </c>
      <c r="E462" s="12">
        <v>2.5</v>
      </c>
      <c r="F462" s="15">
        <v>100</v>
      </c>
      <c r="G462" s="15">
        <f>60*E462*F462</f>
        <v>15000</v>
      </c>
      <c r="H462" s="12">
        <f>60*E462</f>
        <v>150</v>
      </c>
      <c r="I462" s="12" t="s">
        <v>13</v>
      </c>
      <c r="J462" s="12" t="s">
        <v>11</v>
      </c>
      <c r="K462">
        <v>15000</v>
      </c>
    </row>
    <row r="463" spans="1:11" ht="30" customHeight="1" x14ac:dyDescent="0.25">
      <c r="A463" s="12" t="str">
        <f t="shared" si="236"/>
        <v>ЩС-31</v>
      </c>
      <c r="B463" s="19"/>
      <c r="C463" s="20"/>
      <c r="D463" s="21"/>
      <c r="E463" s="23"/>
      <c r="F463" s="25"/>
      <c r="G463" s="24">
        <f ca="1">SUM(G456:G462)</f>
        <v>101380.20000000001</v>
      </c>
      <c r="H463" s="20"/>
      <c r="I463" s="22"/>
      <c r="J463" s="20"/>
      <c r="K463">
        <v>101380.20000000001</v>
      </c>
    </row>
    <row r="464" spans="1:11" ht="39.75" customHeight="1" x14ac:dyDescent="0.25">
      <c r="A464" s="5" t="str">
        <f>D464</f>
        <v>ЩС-32</v>
      </c>
      <c r="B464" s="6"/>
      <c r="C464" s="7"/>
      <c r="D464" s="6" t="s">
        <v>170</v>
      </c>
      <c r="E464" s="8"/>
      <c r="F464" s="8"/>
      <c r="G464" s="9"/>
      <c r="H464" s="10">
        <v>1</v>
      </c>
      <c r="I464" s="11" t="s">
        <v>7</v>
      </c>
      <c r="J464" s="6" t="s">
        <v>9</v>
      </c>
    </row>
    <row r="465" spans="1:11" ht="21" hidden="1" customHeight="1" x14ac:dyDescent="0.25">
      <c r="A465" s="12" t="str">
        <f>A464</f>
        <v>ЩС-32</v>
      </c>
      <c r="B465" s="13" t="s">
        <v>8</v>
      </c>
      <c r="C465" s="14" t="s">
        <v>210</v>
      </c>
      <c r="D465" s="12" t="s">
        <v>211</v>
      </c>
      <c r="E465" s="13">
        <v>19000</v>
      </c>
      <c r="F465" s="15">
        <f>E465*0.6</f>
        <v>11400</v>
      </c>
      <c r="G465" s="15">
        <f>H465*F465</f>
        <v>11400</v>
      </c>
      <c r="H465" s="16">
        <v>1</v>
      </c>
      <c r="I465" s="17" t="s">
        <v>13</v>
      </c>
      <c r="J465" s="13" t="s">
        <v>16</v>
      </c>
      <c r="K465">
        <v>11400</v>
      </c>
    </row>
    <row r="466" spans="1:11" ht="20.25" hidden="1" customHeight="1" x14ac:dyDescent="0.25">
      <c r="A466" s="12" t="str">
        <f t="shared" ref="A466" si="237">A465</f>
        <v>ЩС-32</v>
      </c>
      <c r="B466" s="13" t="s">
        <v>34</v>
      </c>
      <c r="C466" s="14" t="s">
        <v>99</v>
      </c>
      <c r="D466" s="12" t="s">
        <v>100</v>
      </c>
      <c r="E466" s="13">
        <v>3372</v>
      </c>
      <c r="F466" s="15">
        <f t="shared" ref="F466:F470" si="238">E466*0.6</f>
        <v>2023.1999999999998</v>
      </c>
      <c r="G466" s="15">
        <f t="shared" ref="G466:G471" si="239">F466*H466</f>
        <v>2023.1999999999998</v>
      </c>
      <c r="H466" s="16">
        <v>1</v>
      </c>
      <c r="I466" s="17" t="s">
        <v>13</v>
      </c>
      <c r="J466" s="13" t="s">
        <v>17</v>
      </c>
      <c r="K466">
        <v>2023.1999999999998</v>
      </c>
    </row>
    <row r="467" spans="1:11" ht="21" hidden="1" customHeight="1" x14ac:dyDescent="0.25">
      <c r="A467" s="12" t="str">
        <f>A465</f>
        <v>ЩС-32</v>
      </c>
      <c r="B467" s="13" t="s">
        <v>161</v>
      </c>
      <c r="C467" s="14" t="s">
        <v>156</v>
      </c>
      <c r="D467" s="12" t="s">
        <v>157</v>
      </c>
      <c r="E467" s="13">
        <v>5354</v>
      </c>
      <c r="F467" s="15">
        <f t="shared" si="238"/>
        <v>3212.4</v>
      </c>
      <c r="G467" s="15">
        <f t="shared" si="239"/>
        <v>3212.4</v>
      </c>
      <c r="H467" s="16">
        <v>1</v>
      </c>
      <c r="I467" s="17" t="s">
        <v>13</v>
      </c>
      <c r="J467" s="13" t="s">
        <v>17</v>
      </c>
      <c r="K467">
        <v>3212.4</v>
      </c>
    </row>
    <row r="468" spans="1:11" ht="21" hidden="1" customHeight="1" x14ac:dyDescent="0.25">
      <c r="A468" s="12" t="str">
        <f>A466</f>
        <v>ЩС-32</v>
      </c>
      <c r="B468" s="13" t="s">
        <v>12</v>
      </c>
      <c r="C468" s="14" t="s">
        <v>159</v>
      </c>
      <c r="D468" s="12" t="s">
        <v>160</v>
      </c>
      <c r="E468" s="13">
        <v>3604</v>
      </c>
      <c r="F468" s="15">
        <f t="shared" si="238"/>
        <v>2162.4</v>
      </c>
      <c r="G468" s="15">
        <f t="shared" si="239"/>
        <v>19461.600000000002</v>
      </c>
      <c r="H468" s="16">
        <v>9</v>
      </c>
      <c r="I468" s="17" t="s">
        <v>13</v>
      </c>
      <c r="J468" s="13" t="s">
        <v>17</v>
      </c>
      <c r="K468">
        <v>19461.600000000002</v>
      </c>
    </row>
    <row r="469" spans="1:11" ht="21" hidden="1" customHeight="1" x14ac:dyDescent="0.25">
      <c r="A469" s="12" t="str">
        <f>A467</f>
        <v>ЩС-32</v>
      </c>
      <c r="B469" s="13" t="s">
        <v>12</v>
      </c>
      <c r="C469" s="14" t="s">
        <v>162</v>
      </c>
      <c r="D469" s="12" t="s">
        <v>163</v>
      </c>
      <c r="E469" s="13">
        <v>1099</v>
      </c>
      <c r="F469" s="15">
        <f t="shared" si="238"/>
        <v>659.4</v>
      </c>
      <c r="G469" s="15">
        <f t="shared" si="239"/>
        <v>659.4</v>
      </c>
      <c r="H469" s="16">
        <v>1</v>
      </c>
      <c r="I469" s="17" t="s">
        <v>13</v>
      </c>
      <c r="J469" s="13" t="s">
        <v>17</v>
      </c>
      <c r="K469">
        <v>659.4</v>
      </c>
    </row>
    <row r="470" spans="1:11" ht="21" hidden="1" customHeight="1" x14ac:dyDescent="0.25">
      <c r="A470" s="12" t="str">
        <f>A468</f>
        <v>ЩС-32</v>
      </c>
      <c r="B470" s="13" t="s">
        <v>166</v>
      </c>
      <c r="C470" s="14" t="s">
        <v>164</v>
      </c>
      <c r="D470" s="12" t="s">
        <v>165</v>
      </c>
      <c r="E470" s="13">
        <v>6145</v>
      </c>
      <c r="F470" s="15">
        <f t="shared" si="238"/>
        <v>3687</v>
      </c>
      <c r="G470" s="15">
        <f t="shared" si="239"/>
        <v>29496</v>
      </c>
      <c r="H470" s="16">
        <v>8</v>
      </c>
      <c r="I470" s="17" t="s">
        <v>13</v>
      </c>
      <c r="J470" s="13" t="s">
        <v>17</v>
      </c>
      <c r="K470">
        <v>29496</v>
      </c>
    </row>
    <row r="471" spans="1:11" ht="24" hidden="1" customHeight="1" x14ac:dyDescent="0.25">
      <c r="A471" s="12" t="str">
        <f>A468</f>
        <v>ЩС-32</v>
      </c>
      <c r="B471" s="12" t="s">
        <v>10</v>
      </c>
      <c r="C471" s="18" t="s">
        <v>10</v>
      </c>
      <c r="D471" s="12" t="s">
        <v>10</v>
      </c>
      <c r="E471" s="12">
        <f ca="1">OFFSET(E471,1,2)</f>
        <v>15000</v>
      </c>
      <c r="F471" s="15">
        <f ca="1">E471</f>
        <v>15000</v>
      </c>
      <c r="G471" s="15">
        <f t="shared" ca="1" si="239"/>
        <v>15000</v>
      </c>
      <c r="H471" s="12">
        <v>1</v>
      </c>
      <c r="I471" s="12" t="s">
        <v>13</v>
      </c>
      <c r="J471" s="12" t="s">
        <v>10</v>
      </c>
      <c r="K471">
        <v>15000</v>
      </c>
    </row>
    <row r="472" spans="1:11" ht="21" hidden="1" customHeight="1" x14ac:dyDescent="0.25">
      <c r="A472" s="12" t="str">
        <f t="shared" ref="A472:A473" si="240">A471</f>
        <v>ЩС-32</v>
      </c>
      <c r="B472" s="12" t="s">
        <v>11</v>
      </c>
      <c r="C472" s="18" t="s">
        <v>11</v>
      </c>
      <c r="D472" s="12" t="s">
        <v>11</v>
      </c>
      <c r="E472" s="12">
        <v>2.5</v>
      </c>
      <c r="F472" s="15">
        <v>100</v>
      </c>
      <c r="G472" s="15">
        <f>60*E472*F472</f>
        <v>15000</v>
      </c>
      <c r="H472" s="12">
        <f>60*E472</f>
        <v>150</v>
      </c>
      <c r="I472" s="12" t="s">
        <v>13</v>
      </c>
      <c r="J472" s="12" t="s">
        <v>11</v>
      </c>
      <c r="K472">
        <v>15000</v>
      </c>
    </row>
    <row r="473" spans="1:11" ht="30" customHeight="1" x14ac:dyDescent="0.25">
      <c r="A473" s="12" t="str">
        <f t="shared" si="240"/>
        <v>ЩС-32</v>
      </c>
      <c r="B473" s="19"/>
      <c r="C473" s="20"/>
      <c r="D473" s="21"/>
      <c r="E473" s="23"/>
      <c r="F473" s="25"/>
      <c r="G473" s="24">
        <f ca="1">SUM(G465:G472)</f>
        <v>96252.6</v>
      </c>
      <c r="H473" s="20"/>
      <c r="I473" s="22"/>
      <c r="J473" s="20"/>
      <c r="K473">
        <v>96252.6</v>
      </c>
    </row>
    <row r="474" spans="1:11" ht="39.75" customHeight="1" x14ac:dyDescent="0.25">
      <c r="A474" s="5" t="str">
        <f>D474</f>
        <v>ЩС-33</v>
      </c>
      <c r="B474" s="6"/>
      <c r="C474" s="7"/>
      <c r="D474" s="6" t="s">
        <v>172</v>
      </c>
      <c r="E474" s="8"/>
      <c r="F474" s="8"/>
      <c r="G474" s="9"/>
      <c r="H474" s="10">
        <v>1</v>
      </c>
      <c r="I474" s="11" t="s">
        <v>7</v>
      </c>
      <c r="J474" s="6" t="s">
        <v>9</v>
      </c>
    </row>
    <row r="475" spans="1:11" ht="21" hidden="1" customHeight="1" x14ac:dyDescent="0.25">
      <c r="A475" s="12" t="str">
        <f>A474</f>
        <v>ЩС-33</v>
      </c>
      <c r="B475" s="13" t="s">
        <v>8</v>
      </c>
      <c r="C475" s="14" t="s">
        <v>210</v>
      </c>
      <c r="D475" s="12" t="s">
        <v>211</v>
      </c>
      <c r="E475" s="13">
        <v>19000</v>
      </c>
      <c r="F475" s="15">
        <f>E475*0.6</f>
        <v>11400</v>
      </c>
      <c r="G475" s="15">
        <f>H475*F475</f>
        <v>11400</v>
      </c>
      <c r="H475" s="16">
        <v>1</v>
      </c>
      <c r="I475" s="17" t="s">
        <v>13</v>
      </c>
      <c r="J475" s="13" t="s">
        <v>16</v>
      </c>
      <c r="K475">
        <v>11400</v>
      </c>
    </row>
    <row r="476" spans="1:11" ht="20.25" hidden="1" customHeight="1" x14ac:dyDescent="0.25">
      <c r="A476" s="12" t="str">
        <f t="shared" ref="A476" si="241">A475</f>
        <v>ЩС-33</v>
      </c>
      <c r="B476" s="13" t="s">
        <v>34</v>
      </c>
      <c r="C476" s="14" t="s">
        <v>99</v>
      </c>
      <c r="D476" s="12" t="s">
        <v>100</v>
      </c>
      <c r="E476" s="13">
        <v>3372</v>
      </c>
      <c r="F476" s="15">
        <f t="shared" ref="F476:F480" si="242">E476*0.6</f>
        <v>2023.1999999999998</v>
      </c>
      <c r="G476" s="15">
        <f t="shared" ref="G476:G481" si="243">F476*H476</f>
        <v>2023.1999999999998</v>
      </c>
      <c r="H476" s="16">
        <v>1</v>
      </c>
      <c r="I476" s="17" t="s">
        <v>13</v>
      </c>
      <c r="J476" s="13" t="s">
        <v>17</v>
      </c>
      <c r="K476">
        <v>2023.1999999999998</v>
      </c>
    </row>
    <row r="477" spans="1:11" ht="21" hidden="1" customHeight="1" x14ac:dyDescent="0.25">
      <c r="A477" s="12" t="str">
        <f>A475</f>
        <v>ЩС-33</v>
      </c>
      <c r="B477" s="13" t="s">
        <v>161</v>
      </c>
      <c r="C477" s="14" t="s">
        <v>156</v>
      </c>
      <c r="D477" s="12" t="s">
        <v>157</v>
      </c>
      <c r="E477" s="13">
        <v>5354</v>
      </c>
      <c r="F477" s="15">
        <f t="shared" si="242"/>
        <v>3212.4</v>
      </c>
      <c r="G477" s="15">
        <f t="shared" si="243"/>
        <v>3212.4</v>
      </c>
      <c r="H477" s="16">
        <v>1</v>
      </c>
      <c r="I477" s="17" t="s">
        <v>13</v>
      </c>
      <c r="J477" s="13" t="s">
        <v>17</v>
      </c>
      <c r="K477">
        <v>3212.4</v>
      </c>
    </row>
    <row r="478" spans="1:11" ht="21" hidden="1" customHeight="1" x14ac:dyDescent="0.25">
      <c r="A478" s="12" t="str">
        <f>A476</f>
        <v>ЩС-33</v>
      </c>
      <c r="B478" s="13" t="s">
        <v>12</v>
      </c>
      <c r="C478" s="14" t="s">
        <v>159</v>
      </c>
      <c r="D478" s="12" t="s">
        <v>160</v>
      </c>
      <c r="E478" s="13">
        <v>3604</v>
      </c>
      <c r="F478" s="15">
        <f t="shared" si="242"/>
        <v>2162.4</v>
      </c>
      <c r="G478" s="15">
        <f t="shared" si="243"/>
        <v>17299.2</v>
      </c>
      <c r="H478" s="16">
        <v>8</v>
      </c>
      <c r="I478" s="17" t="s">
        <v>13</v>
      </c>
      <c r="J478" s="13" t="s">
        <v>17</v>
      </c>
      <c r="K478">
        <v>17299.2</v>
      </c>
    </row>
    <row r="479" spans="1:11" ht="21" hidden="1" customHeight="1" x14ac:dyDescent="0.25">
      <c r="A479" s="12" t="str">
        <f>A477</f>
        <v>ЩС-33</v>
      </c>
      <c r="B479" s="13" t="s">
        <v>12</v>
      </c>
      <c r="C479" s="14" t="s">
        <v>162</v>
      </c>
      <c r="D479" s="12" t="s">
        <v>163</v>
      </c>
      <c r="E479" s="13">
        <v>1099</v>
      </c>
      <c r="F479" s="15">
        <f t="shared" si="242"/>
        <v>659.4</v>
      </c>
      <c r="G479" s="15">
        <f t="shared" si="243"/>
        <v>659.4</v>
      </c>
      <c r="H479" s="16">
        <v>1</v>
      </c>
      <c r="I479" s="17" t="s">
        <v>13</v>
      </c>
      <c r="J479" s="13" t="s">
        <v>17</v>
      </c>
      <c r="K479">
        <v>659.4</v>
      </c>
    </row>
    <row r="480" spans="1:11" ht="21" hidden="1" customHeight="1" x14ac:dyDescent="0.25">
      <c r="A480" s="12" t="str">
        <f>A478</f>
        <v>ЩС-33</v>
      </c>
      <c r="B480" s="13" t="s">
        <v>166</v>
      </c>
      <c r="C480" s="14" t="s">
        <v>164</v>
      </c>
      <c r="D480" s="12" t="s">
        <v>165</v>
      </c>
      <c r="E480" s="13">
        <v>6145</v>
      </c>
      <c r="F480" s="15">
        <f t="shared" si="242"/>
        <v>3687</v>
      </c>
      <c r="G480" s="15">
        <f t="shared" si="243"/>
        <v>29496</v>
      </c>
      <c r="H480" s="16">
        <v>8</v>
      </c>
      <c r="I480" s="17" t="s">
        <v>13</v>
      </c>
      <c r="J480" s="13" t="s">
        <v>17</v>
      </c>
      <c r="K480">
        <v>29496</v>
      </c>
    </row>
    <row r="481" spans="1:11" ht="24" hidden="1" customHeight="1" x14ac:dyDescent="0.25">
      <c r="A481" s="12" t="str">
        <f>A478</f>
        <v>ЩС-33</v>
      </c>
      <c r="B481" s="12" t="s">
        <v>10</v>
      </c>
      <c r="C481" s="18" t="s">
        <v>10</v>
      </c>
      <c r="D481" s="12" t="s">
        <v>10</v>
      </c>
      <c r="E481" s="12">
        <f ca="1">OFFSET(E481,1,2)</f>
        <v>15000</v>
      </c>
      <c r="F481" s="15">
        <f ca="1">E481</f>
        <v>15000</v>
      </c>
      <c r="G481" s="15">
        <f t="shared" ca="1" si="243"/>
        <v>15000</v>
      </c>
      <c r="H481" s="12">
        <v>1</v>
      </c>
      <c r="I481" s="12" t="s">
        <v>13</v>
      </c>
      <c r="J481" s="12" t="s">
        <v>10</v>
      </c>
      <c r="K481">
        <v>15000</v>
      </c>
    </row>
    <row r="482" spans="1:11" ht="21" hidden="1" customHeight="1" x14ac:dyDescent="0.25">
      <c r="A482" s="12" t="str">
        <f t="shared" ref="A482:A483" si="244">A481</f>
        <v>ЩС-33</v>
      </c>
      <c r="B482" s="12" t="s">
        <v>11</v>
      </c>
      <c r="C482" s="18" t="s">
        <v>11</v>
      </c>
      <c r="D482" s="12" t="s">
        <v>11</v>
      </c>
      <c r="E482" s="12">
        <v>2.5</v>
      </c>
      <c r="F482" s="15">
        <v>100</v>
      </c>
      <c r="G482" s="15">
        <f>60*E482*F482</f>
        <v>15000</v>
      </c>
      <c r="H482" s="12">
        <f>60*E482</f>
        <v>150</v>
      </c>
      <c r="I482" s="12" t="s">
        <v>13</v>
      </c>
      <c r="J482" s="12" t="s">
        <v>11</v>
      </c>
      <c r="K482">
        <v>15000</v>
      </c>
    </row>
    <row r="483" spans="1:11" ht="30" customHeight="1" x14ac:dyDescent="0.25">
      <c r="A483" s="12" t="str">
        <f t="shared" si="244"/>
        <v>ЩС-33</v>
      </c>
      <c r="B483" s="19"/>
      <c r="C483" s="20"/>
      <c r="D483" s="21"/>
      <c r="E483" s="23"/>
      <c r="F483" s="25"/>
      <c r="G483" s="24">
        <f ca="1">SUM(G475:G482)</f>
        <v>94090.200000000012</v>
      </c>
      <c r="H483" s="20"/>
      <c r="I483" s="22"/>
      <c r="J483" s="20"/>
      <c r="K483">
        <v>94090.200000000012</v>
      </c>
    </row>
    <row r="484" spans="1:11" ht="39.75" customHeight="1" x14ac:dyDescent="0.25">
      <c r="A484" s="5" t="str">
        <f>D484</f>
        <v>ЩС-34</v>
      </c>
      <c r="B484" s="6"/>
      <c r="C484" s="7"/>
      <c r="D484" s="6" t="s">
        <v>173</v>
      </c>
      <c r="E484" s="8"/>
      <c r="F484" s="8"/>
      <c r="G484" s="9"/>
      <c r="H484" s="10">
        <v>1</v>
      </c>
      <c r="I484" s="11" t="s">
        <v>7</v>
      </c>
      <c r="J484" s="6" t="s">
        <v>9</v>
      </c>
    </row>
    <row r="485" spans="1:11" ht="21" hidden="1" customHeight="1" x14ac:dyDescent="0.25">
      <c r="A485" s="12" t="str">
        <f>A484</f>
        <v>ЩС-34</v>
      </c>
      <c r="B485" s="13" t="s">
        <v>8</v>
      </c>
      <c r="C485" s="14" t="s">
        <v>210</v>
      </c>
      <c r="D485" s="12" t="s">
        <v>211</v>
      </c>
      <c r="E485" s="13">
        <v>19000</v>
      </c>
      <c r="F485" s="15">
        <f>E485*0.6</f>
        <v>11400</v>
      </c>
      <c r="G485" s="15">
        <f>H485*F485</f>
        <v>11400</v>
      </c>
      <c r="H485" s="16">
        <v>1</v>
      </c>
      <c r="I485" s="17" t="s">
        <v>13</v>
      </c>
      <c r="J485" s="13" t="s">
        <v>16</v>
      </c>
      <c r="K485">
        <v>11400</v>
      </c>
    </row>
    <row r="486" spans="1:11" ht="20.25" hidden="1" customHeight="1" x14ac:dyDescent="0.25">
      <c r="A486" s="12" t="str">
        <f t="shared" ref="A486" si="245">A485</f>
        <v>ЩС-34</v>
      </c>
      <c r="B486" s="13" t="s">
        <v>34</v>
      </c>
      <c r="C486" s="14" t="s">
        <v>99</v>
      </c>
      <c r="D486" s="12" t="s">
        <v>100</v>
      </c>
      <c r="E486" s="13">
        <v>3372</v>
      </c>
      <c r="F486" s="15">
        <f t="shared" ref="F486:F490" si="246">E486*0.6</f>
        <v>2023.1999999999998</v>
      </c>
      <c r="G486" s="15">
        <f t="shared" ref="G486:G491" si="247">F486*H486</f>
        <v>2023.1999999999998</v>
      </c>
      <c r="H486" s="16">
        <v>1</v>
      </c>
      <c r="I486" s="17" t="s">
        <v>13</v>
      </c>
      <c r="J486" s="13" t="s">
        <v>17</v>
      </c>
      <c r="K486">
        <v>2023.1999999999998</v>
      </c>
    </row>
    <row r="487" spans="1:11" ht="21" hidden="1" customHeight="1" x14ac:dyDescent="0.25">
      <c r="A487" s="12" t="str">
        <f>A485</f>
        <v>ЩС-34</v>
      </c>
      <c r="B487" s="13" t="s">
        <v>161</v>
      </c>
      <c r="C487" s="14" t="s">
        <v>156</v>
      </c>
      <c r="D487" s="12" t="s">
        <v>157</v>
      </c>
      <c r="E487" s="13">
        <v>5354</v>
      </c>
      <c r="F487" s="15">
        <f t="shared" si="246"/>
        <v>3212.4</v>
      </c>
      <c r="G487" s="15">
        <f t="shared" si="247"/>
        <v>3212.4</v>
      </c>
      <c r="H487" s="16">
        <v>1</v>
      </c>
      <c r="I487" s="17" t="s">
        <v>13</v>
      </c>
      <c r="J487" s="13" t="s">
        <v>17</v>
      </c>
      <c r="K487">
        <v>3212.4</v>
      </c>
    </row>
    <row r="488" spans="1:11" ht="21" hidden="1" customHeight="1" x14ac:dyDescent="0.25">
      <c r="A488" s="12" t="str">
        <f>A486</f>
        <v>ЩС-34</v>
      </c>
      <c r="B488" s="13" t="s">
        <v>12</v>
      </c>
      <c r="C488" s="14" t="s">
        <v>159</v>
      </c>
      <c r="D488" s="12" t="s">
        <v>160</v>
      </c>
      <c r="E488" s="13">
        <v>3604</v>
      </c>
      <c r="F488" s="15">
        <f t="shared" si="246"/>
        <v>2162.4</v>
      </c>
      <c r="G488" s="15">
        <f t="shared" si="247"/>
        <v>8649.6</v>
      </c>
      <c r="H488" s="16">
        <v>4</v>
      </c>
      <c r="I488" s="17" t="s">
        <v>13</v>
      </c>
      <c r="J488" s="13" t="s">
        <v>17</v>
      </c>
      <c r="K488">
        <v>8649.6</v>
      </c>
    </row>
    <row r="489" spans="1:11" ht="21" hidden="1" customHeight="1" x14ac:dyDescent="0.25">
      <c r="A489" s="12" t="str">
        <f>A487</f>
        <v>ЩС-34</v>
      </c>
      <c r="B489" s="13" t="s">
        <v>12</v>
      </c>
      <c r="C489" s="14" t="s">
        <v>162</v>
      </c>
      <c r="D489" s="12" t="s">
        <v>163</v>
      </c>
      <c r="E489" s="13">
        <v>1099</v>
      </c>
      <c r="F489" s="15">
        <f t="shared" si="246"/>
        <v>659.4</v>
      </c>
      <c r="G489" s="15">
        <f t="shared" si="247"/>
        <v>2637.6</v>
      </c>
      <c r="H489" s="16">
        <v>4</v>
      </c>
      <c r="I489" s="17" t="s">
        <v>13</v>
      </c>
      <c r="J489" s="13" t="s">
        <v>17</v>
      </c>
      <c r="K489">
        <v>2637.6</v>
      </c>
    </row>
    <row r="490" spans="1:11" ht="21" hidden="1" customHeight="1" x14ac:dyDescent="0.25">
      <c r="A490" s="12" t="str">
        <f>A488</f>
        <v>ЩС-34</v>
      </c>
      <c r="B490" s="13" t="s">
        <v>166</v>
      </c>
      <c r="C490" s="14" t="s">
        <v>164</v>
      </c>
      <c r="D490" s="12" t="s">
        <v>165</v>
      </c>
      <c r="E490" s="13">
        <v>6145</v>
      </c>
      <c r="F490" s="15">
        <f t="shared" si="246"/>
        <v>3687</v>
      </c>
      <c r="G490" s="15">
        <f t="shared" si="247"/>
        <v>14748</v>
      </c>
      <c r="H490" s="16">
        <v>4</v>
      </c>
      <c r="I490" s="17" t="s">
        <v>13</v>
      </c>
      <c r="J490" s="13" t="s">
        <v>17</v>
      </c>
      <c r="K490">
        <v>14748</v>
      </c>
    </row>
    <row r="491" spans="1:11" ht="24" hidden="1" customHeight="1" x14ac:dyDescent="0.25">
      <c r="A491" s="12" t="str">
        <f>A488</f>
        <v>ЩС-34</v>
      </c>
      <c r="B491" s="12" t="s">
        <v>10</v>
      </c>
      <c r="C491" s="18" t="s">
        <v>10</v>
      </c>
      <c r="D491" s="12" t="s">
        <v>10</v>
      </c>
      <c r="E491" s="12">
        <f ca="1">OFFSET(E491,1,2)</f>
        <v>15000</v>
      </c>
      <c r="F491" s="15">
        <f ca="1">E491</f>
        <v>15000</v>
      </c>
      <c r="G491" s="15">
        <f t="shared" ca="1" si="247"/>
        <v>15000</v>
      </c>
      <c r="H491" s="12">
        <v>1</v>
      </c>
      <c r="I491" s="12" t="s">
        <v>13</v>
      </c>
      <c r="J491" s="12" t="s">
        <v>10</v>
      </c>
      <c r="K491">
        <v>15000</v>
      </c>
    </row>
    <row r="492" spans="1:11" ht="21" hidden="1" customHeight="1" x14ac:dyDescent="0.25">
      <c r="A492" s="12" t="str">
        <f t="shared" ref="A492:A493" si="248">A491</f>
        <v>ЩС-34</v>
      </c>
      <c r="B492" s="12" t="s">
        <v>11</v>
      </c>
      <c r="C492" s="18" t="s">
        <v>11</v>
      </c>
      <c r="D492" s="12" t="s">
        <v>11</v>
      </c>
      <c r="E492" s="12">
        <v>2.5</v>
      </c>
      <c r="F492" s="15">
        <v>100</v>
      </c>
      <c r="G492" s="15">
        <f>60*E492*F492</f>
        <v>15000</v>
      </c>
      <c r="H492" s="12">
        <f>60*E492</f>
        <v>150</v>
      </c>
      <c r="I492" s="12" t="s">
        <v>13</v>
      </c>
      <c r="J492" s="12" t="s">
        <v>11</v>
      </c>
      <c r="K492">
        <v>15000</v>
      </c>
    </row>
    <row r="493" spans="1:11" ht="30" customHeight="1" x14ac:dyDescent="0.25">
      <c r="A493" s="12" t="str">
        <f t="shared" si="248"/>
        <v>ЩС-34</v>
      </c>
      <c r="B493" s="19"/>
      <c r="C493" s="20"/>
      <c r="D493" s="21"/>
      <c r="E493" s="23"/>
      <c r="F493" s="25"/>
      <c r="G493" s="24">
        <f ca="1">SUM(G485:G492)</f>
        <v>72670.8</v>
      </c>
      <c r="H493" s="20"/>
      <c r="I493" s="22"/>
      <c r="J493" s="20"/>
      <c r="K493">
        <v>72670.8</v>
      </c>
    </row>
    <row r="494" spans="1:11" ht="39.75" customHeight="1" x14ac:dyDescent="0.25">
      <c r="A494" s="5" t="str">
        <f>D494</f>
        <v>ЩС-35</v>
      </c>
      <c r="B494" s="6"/>
      <c r="C494" s="7"/>
      <c r="D494" s="6" t="s">
        <v>174</v>
      </c>
      <c r="E494" s="8"/>
      <c r="F494" s="8"/>
      <c r="G494" s="9"/>
      <c r="H494" s="10">
        <v>1</v>
      </c>
      <c r="I494" s="11" t="s">
        <v>7</v>
      </c>
      <c r="J494" s="6" t="s">
        <v>9</v>
      </c>
    </row>
    <row r="495" spans="1:11" ht="21" hidden="1" customHeight="1" x14ac:dyDescent="0.25">
      <c r="A495" s="12" t="str">
        <f>A494</f>
        <v>ЩС-35</v>
      </c>
      <c r="B495" s="13" t="s">
        <v>8</v>
      </c>
      <c r="C495" s="14" t="s">
        <v>210</v>
      </c>
      <c r="D495" s="12" t="s">
        <v>211</v>
      </c>
      <c r="E495" s="13">
        <v>19000</v>
      </c>
      <c r="F495" s="15">
        <f>E495*0.6</f>
        <v>11400</v>
      </c>
      <c r="G495" s="15">
        <f>H495*F495</f>
        <v>11400</v>
      </c>
      <c r="H495" s="16">
        <v>1</v>
      </c>
      <c r="I495" s="17" t="s">
        <v>13</v>
      </c>
      <c r="J495" s="13" t="s">
        <v>16</v>
      </c>
      <c r="K495">
        <v>11400</v>
      </c>
    </row>
    <row r="496" spans="1:11" ht="20.25" hidden="1" customHeight="1" x14ac:dyDescent="0.25">
      <c r="A496" s="12" t="str">
        <f t="shared" ref="A496" si="249">A495</f>
        <v>ЩС-35</v>
      </c>
      <c r="B496" s="13" t="s">
        <v>34</v>
      </c>
      <c r="C496" s="14" t="s">
        <v>99</v>
      </c>
      <c r="D496" s="12" t="s">
        <v>100</v>
      </c>
      <c r="E496" s="13">
        <v>3372</v>
      </c>
      <c r="F496" s="15">
        <f t="shared" ref="F496:F502" si="250">E496*0.6</f>
        <v>2023.1999999999998</v>
      </c>
      <c r="G496" s="15">
        <f t="shared" ref="G496:G503" si="251">F496*H496</f>
        <v>2023.1999999999998</v>
      </c>
      <c r="H496" s="16">
        <v>1</v>
      </c>
      <c r="I496" s="17" t="s">
        <v>13</v>
      </c>
      <c r="J496" s="13" t="s">
        <v>17</v>
      </c>
      <c r="K496">
        <v>2023.1999999999998</v>
      </c>
    </row>
    <row r="497" spans="1:11" ht="21" hidden="1" customHeight="1" x14ac:dyDescent="0.25">
      <c r="A497" s="12" t="str">
        <f>A495</f>
        <v>ЩС-35</v>
      </c>
      <c r="B497" s="13" t="s">
        <v>161</v>
      </c>
      <c r="C497" s="14" t="s">
        <v>156</v>
      </c>
      <c r="D497" s="12" t="s">
        <v>157</v>
      </c>
      <c r="E497" s="13">
        <v>5354</v>
      </c>
      <c r="F497" s="15">
        <f t="shared" si="250"/>
        <v>3212.4</v>
      </c>
      <c r="G497" s="15">
        <f t="shared" si="251"/>
        <v>3212.4</v>
      </c>
      <c r="H497" s="16">
        <v>1</v>
      </c>
      <c r="I497" s="17" t="s">
        <v>13</v>
      </c>
      <c r="J497" s="13" t="s">
        <v>17</v>
      </c>
      <c r="K497">
        <v>3212.4</v>
      </c>
    </row>
    <row r="498" spans="1:11" ht="21" hidden="1" customHeight="1" x14ac:dyDescent="0.25">
      <c r="A498" s="12" t="str">
        <f>A496</f>
        <v>ЩС-35</v>
      </c>
      <c r="B498" s="13" t="s">
        <v>12</v>
      </c>
      <c r="C498" s="14" t="s">
        <v>159</v>
      </c>
      <c r="D498" s="12" t="s">
        <v>160</v>
      </c>
      <c r="E498" s="13">
        <v>3604</v>
      </c>
      <c r="F498" s="15">
        <f t="shared" si="250"/>
        <v>2162.4</v>
      </c>
      <c r="G498" s="15">
        <f t="shared" si="251"/>
        <v>12974.400000000001</v>
      </c>
      <c r="H498" s="16">
        <v>6</v>
      </c>
      <c r="I498" s="17" t="s">
        <v>13</v>
      </c>
      <c r="J498" s="13" t="s">
        <v>17</v>
      </c>
      <c r="K498">
        <v>12974.400000000001</v>
      </c>
    </row>
    <row r="499" spans="1:11" ht="21" hidden="1" customHeight="1" x14ac:dyDescent="0.25">
      <c r="A499" s="12" t="str">
        <f>A497</f>
        <v>ЩС-35</v>
      </c>
      <c r="B499" s="13" t="s">
        <v>12</v>
      </c>
      <c r="C499" s="14" t="s">
        <v>177</v>
      </c>
      <c r="D499" s="12" t="s">
        <v>178</v>
      </c>
      <c r="E499" s="13">
        <v>1130</v>
      </c>
      <c r="F499" s="15">
        <f t="shared" si="250"/>
        <v>678</v>
      </c>
      <c r="G499" s="15">
        <f t="shared" si="251"/>
        <v>678</v>
      </c>
      <c r="H499" s="16">
        <v>1</v>
      </c>
      <c r="I499" s="17" t="s">
        <v>13</v>
      </c>
      <c r="J499" s="13" t="s">
        <v>17</v>
      </c>
      <c r="K499">
        <v>678</v>
      </c>
    </row>
    <row r="500" spans="1:11" ht="21" hidden="1" customHeight="1" x14ac:dyDescent="0.25">
      <c r="A500" s="12" t="str">
        <f>A498</f>
        <v>ЩС-35</v>
      </c>
      <c r="B500" s="13" t="s">
        <v>12</v>
      </c>
      <c r="C500" s="14" t="s">
        <v>162</v>
      </c>
      <c r="D500" s="12" t="s">
        <v>163</v>
      </c>
      <c r="E500" s="13">
        <v>1099</v>
      </c>
      <c r="F500" s="15">
        <f t="shared" ref="F500" si="252">E500*0.6</f>
        <v>659.4</v>
      </c>
      <c r="G500" s="15">
        <f t="shared" ref="G500" si="253">F500*H500</f>
        <v>659.4</v>
      </c>
      <c r="H500" s="16">
        <v>1</v>
      </c>
      <c r="I500" s="17" t="s">
        <v>13</v>
      </c>
      <c r="J500" s="13" t="s">
        <v>17</v>
      </c>
      <c r="K500">
        <v>659.4</v>
      </c>
    </row>
    <row r="501" spans="1:11" ht="21" hidden="1" customHeight="1" x14ac:dyDescent="0.25">
      <c r="A501" s="12" t="str">
        <f>A497</f>
        <v>ЩС-35</v>
      </c>
      <c r="B501" s="13" t="s">
        <v>166</v>
      </c>
      <c r="C501" s="14" t="s">
        <v>175</v>
      </c>
      <c r="D501" s="12" t="s">
        <v>176</v>
      </c>
      <c r="E501" s="13">
        <v>5214</v>
      </c>
      <c r="F501" s="15">
        <f t="shared" ref="F501" si="254">E501*0.6</f>
        <v>3128.4</v>
      </c>
      <c r="G501" s="15">
        <f t="shared" ref="G501" si="255">F501*H501</f>
        <v>12513.6</v>
      </c>
      <c r="H501" s="16">
        <v>4</v>
      </c>
      <c r="I501" s="17" t="s">
        <v>13</v>
      </c>
      <c r="J501" s="13" t="s">
        <v>17</v>
      </c>
      <c r="K501">
        <v>12513.6</v>
      </c>
    </row>
    <row r="502" spans="1:11" ht="21" hidden="1" customHeight="1" x14ac:dyDescent="0.25">
      <c r="A502" s="12" t="str">
        <f>A498</f>
        <v>ЩС-35</v>
      </c>
      <c r="B502" s="13" t="s">
        <v>166</v>
      </c>
      <c r="C502" s="14" t="s">
        <v>164</v>
      </c>
      <c r="D502" s="12" t="s">
        <v>165</v>
      </c>
      <c r="E502" s="13">
        <v>6145</v>
      </c>
      <c r="F502" s="15">
        <f t="shared" si="250"/>
        <v>3687</v>
      </c>
      <c r="G502" s="15">
        <f t="shared" si="251"/>
        <v>7374</v>
      </c>
      <c r="H502" s="16">
        <v>2</v>
      </c>
      <c r="I502" s="17" t="s">
        <v>13</v>
      </c>
      <c r="J502" s="13" t="s">
        <v>17</v>
      </c>
      <c r="K502">
        <v>7374</v>
      </c>
    </row>
    <row r="503" spans="1:11" ht="24" hidden="1" customHeight="1" x14ac:dyDescent="0.25">
      <c r="A503" s="12" t="str">
        <f>A498</f>
        <v>ЩС-35</v>
      </c>
      <c r="B503" s="12" t="s">
        <v>10</v>
      </c>
      <c r="C503" s="18" t="s">
        <v>10</v>
      </c>
      <c r="D503" s="12" t="s">
        <v>10</v>
      </c>
      <c r="E503" s="12">
        <f ca="1">OFFSET(E503,1,2)</f>
        <v>15000</v>
      </c>
      <c r="F503" s="15">
        <f ca="1">E503</f>
        <v>15000</v>
      </c>
      <c r="G503" s="15">
        <f t="shared" ca="1" si="251"/>
        <v>15000</v>
      </c>
      <c r="H503" s="12">
        <v>1</v>
      </c>
      <c r="I503" s="12" t="s">
        <v>13</v>
      </c>
      <c r="J503" s="12" t="s">
        <v>10</v>
      </c>
      <c r="K503">
        <v>15000</v>
      </c>
    </row>
    <row r="504" spans="1:11" ht="21" hidden="1" customHeight="1" x14ac:dyDescent="0.25">
      <c r="A504" s="12" t="str">
        <f t="shared" ref="A504:A505" si="256">A503</f>
        <v>ЩС-35</v>
      </c>
      <c r="B504" s="12" t="s">
        <v>11</v>
      </c>
      <c r="C504" s="18" t="s">
        <v>11</v>
      </c>
      <c r="D504" s="12" t="s">
        <v>11</v>
      </c>
      <c r="E504" s="12">
        <v>2.5</v>
      </c>
      <c r="F504" s="15">
        <v>100</v>
      </c>
      <c r="G504" s="15">
        <f>60*E504*F504</f>
        <v>15000</v>
      </c>
      <c r="H504" s="12">
        <f>60*E504</f>
        <v>150</v>
      </c>
      <c r="I504" s="12" t="s">
        <v>13</v>
      </c>
      <c r="J504" s="12" t="s">
        <v>11</v>
      </c>
      <c r="K504">
        <v>15000</v>
      </c>
    </row>
    <row r="505" spans="1:11" ht="30" customHeight="1" x14ac:dyDescent="0.25">
      <c r="A505" s="12" t="str">
        <f t="shared" si="256"/>
        <v>ЩС-35</v>
      </c>
      <c r="B505" s="19"/>
      <c r="C505" s="20"/>
      <c r="D505" s="21"/>
      <c r="E505" s="23"/>
      <c r="F505" s="25"/>
      <c r="G505" s="24">
        <f ca="1">SUM(G495:G504)</f>
        <v>80835</v>
      </c>
      <c r="H505" s="20"/>
      <c r="I505" s="22"/>
      <c r="J505" s="20"/>
      <c r="K505">
        <v>80835</v>
      </c>
    </row>
    <row r="506" spans="1:11" ht="39.75" customHeight="1" x14ac:dyDescent="0.25">
      <c r="A506" s="5" t="str">
        <f>D506</f>
        <v>ЩУВ_1-ЩУВ_12 (ШУН/ В-0-1,5-03-R3)</v>
      </c>
      <c r="B506" s="6"/>
      <c r="C506" s="7"/>
      <c r="D506" s="6" t="s">
        <v>259</v>
      </c>
      <c r="E506" s="8">
        <v>380000</v>
      </c>
      <c r="F506" s="8"/>
      <c r="G506" s="9"/>
      <c r="H506" s="10">
        <v>12</v>
      </c>
      <c r="I506" s="11" t="s">
        <v>7</v>
      </c>
      <c r="J506" s="6" t="s">
        <v>9</v>
      </c>
    </row>
    <row r="507" spans="1:11" ht="39.75" customHeight="1" x14ac:dyDescent="0.25">
      <c r="A507" s="5" t="str">
        <f>D507</f>
        <v>ЩУЗ_1-ЩУЗ_12 (ШУЗ/ В-0-1,5-03-R3)</v>
      </c>
      <c r="B507" s="6"/>
      <c r="C507" s="7"/>
      <c r="D507" s="6" t="s">
        <v>260</v>
      </c>
      <c r="E507" s="8">
        <v>380000</v>
      </c>
      <c r="F507" s="8"/>
      <c r="G507" s="9"/>
      <c r="H507" s="10">
        <v>12</v>
      </c>
      <c r="I507" s="11" t="s">
        <v>7</v>
      </c>
      <c r="J507" s="6" t="s">
        <v>9</v>
      </c>
    </row>
    <row r="508" spans="1:11" ht="39.75" customHeight="1" x14ac:dyDescent="0.25">
      <c r="A508" s="5" t="str">
        <f>D508</f>
        <v>ЩУОВ</v>
      </c>
      <c r="B508" s="6"/>
      <c r="C508" s="7"/>
      <c r="D508" s="6" t="s">
        <v>179</v>
      </c>
      <c r="E508" s="8"/>
      <c r="F508" s="8"/>
      <c r="G508" s="9"/>
      <c r="H508" s="10">
        <v>1</v>
      </c>
      <c r="I508" s="11" t="s">
        <v>7</v>
      </c>
      <c r="J508" s="6" t="s">
        <v>9</v>
      </c>
    </row>
    <row r="509" spans="1:11" ht="21" hidden="1" customHeight="1" x14ac:dyDescent="0.25">
      <c r="A509" s="12" t="str">
        <f>A508</f>
        <v>ЩУОВ</v>
      </c>
      <c r="B509" s="13" t="s">
        <v>8</v>
      </c>
      <c r="C509" s="14" t="s">
        <v>267</v>
      </c>
      <c r="D509" s="12" t="s">
        <v>268</v>
      </c>
      <c r="E509" s="13">
        <v>32000</v>
      </c>
      <c r="F509" s="15">
        <f>E509*0.6</f>
        <v>19200</v>
      </c>
      <c r="G509" s="15">
        <f>H509*F509</f>
        <v>19200</v>
      </c>
      <c r="H509" s="16">
        <v>1</v>
      </c>
      <c r="I509" s="17" t="s">
        <v>13</v>
      </c>
      <c r="J509" s="13" t="s">
        <v>16</v>
      </c>
      <c r="K509">
        <v>19200</v>
      </c>
    </row>
    <row r="510" spans="1:11" ht="20.25" hidden="1" customHeight="1" x14ac:dyDescent="0.25">
      <c r="A510" s="12" t="str">
        <f t="shared" ref="A510" si="257">A509</f>
        <v>ЩУОВ</v>
      </c>
      <c r="B510" s="13" t="s">
        <v>34</v>
      </c>
      <c r="C510" s="14" t="s">
        <v>123</v>
      </c>
      <c r="D510" s="12" t="s">
        <v>128</v>
      </c>
      <c r="E510" s="13">
        <v>3372</v>
      </c>
      <c r="F510" s="15">
        <f t="shared" ref="F510:F513" si="258">E510*0.6</f>
        <v>2023.1999999999998</v>
      </c>
      <c r="G510" s="15">
        <f t="shared" ref="G510:G516" si="259">F510*H510</f>
        <v>2023.1999999999998</v>
      </c>
      <c r="H510" s="16">
        <v>1</v>
      </c>
      <c r="I510" s="17" t="s">
        <v>13</v>
      </c>
      <c r="J510" s="13" t="s">
        <v>17</v>
      </c>
      <c r="K510">
        <v>2023.1999999999998</v>
      </c>
    </row>
    <row r="511" spans="1:11" ht="21" hidden="1" customHeight="1" x14ac:dyDescent="0.25">
      <c r="A511" s="12" t="str">
        <f>A508</f>
        <v>ЩУОВ</v>
      </c>
      <c r="B511" s="13" t="s">
        <v>200</v>
      </c>
      <c r="C511" s="14" t="s">
        <v>186</v>
      </c>
      <c r="D511" s="12" t="s">
        <v>187</v>
      </c>
      <c r="E511" s="13">
        <v>18336</v>
      </c>
      <c r="F511" s="15">
        <f t="shared" si="258"/>
        <v>11001.6</v>
      </c>
      <c r="G511" s="15">
        <f t="shared" si="259"/>
        <v>11001.6</v>
      </c>
      <c r="H511" s="16">
        <v>1</v>
      </c>
      <c r="I511" s="17" t="s">
        <v>13</v>
      </c>
      <c r="J511" s="13" t="s">
        <v>17</v>
      </c>
      <c r="K511">
        <v>11001.6</v>
      </c>
    </row>
    <row r="512" spans="1:11" ht="21" hidden="1" customHeight="1" x14ac:dyDescent="0.25">
      <c r="A512" s="12" t="str">
        <f>A509</f>
        <v>ЩУОВ</v>
      </c>
      <c r="B512" s="13" t="s">
        <v>12</v>
      </c>
      <c r="C512" s="14" t="s">
        <v>180</v>
      </c>
      <c r="D512" s="12" t="s">
        <v>181</v>
      </c>
      <c r="E512" s="13">
        <v>2337</v>
      </c>
      <c r="F512" s="15">
        <f t="shared" ref="F512" si="260">E512*0.6</f>
        <v>1402.2</v>
      </c>
      <c r="G512" s="15">
        <f t="shared" ref="G512" si="261">F512*H512</f>
        <v>1402.2</v>
      </c>
      <c r="H512" s="16">
        <v>1</v>
      </c>
      <c r="I512" s="17" t="s">
        <v>13</v>
      </c>
      <c r="J512" s="13" t="s">
        <v>17</v>
      </c>
      <c r="K512">
        <v>1402.2</v>
      </c>
    </row>
    <row r="513" spans="1:11" ht="21" hidden="1" customHeight="1" x14ac:dyDescent="0.25">
      <c r="A513" s="12" t="str">
        <f>A510</f>
        <v>ЩУОВ</v>
      </c>
      <c r="B513" s="13" t="s">
        <v>12</v>
      </c>
      <c r="C513" s="14" t="s">
        <v>19</v>
      </c>
      <c r="D513" s="12" t="s">
        <v>20</v>
      </c>
      <c r="E513" s="13">
        <v>783</v>
      </c>
      <c r="F513" s="15">
        <f t="shared" si="258"/>
        <v>469.79999999999995</v>
      </c>
      <c r="G513" s="15">
        <f t="shared" si="259"/>
        <v>939.59999999999991</v>
      </c>
      <c r="H513" s="16">
        <v>2</v>
      </c>
      <c r="I513" s="17" t="s">
        <v>13</v>
      </c>
      <c r="J513" s="13" t="s">
        <v>17</v>
      </c>
      <c r="K513">
        <v>939.59999999999991</v>
      </c>
    </row>
    <row r="514" spans="1:11" ht="21" hidden="1" customHeight="1" x14ac:dyDescent="0.25">
      <c r="A514" s="12" t="str">
        <f>A512</f>
        <v>ЩУОВ</v>
      </c>
      <c r="B514" s="13" t="s">
        <v>166</v>
      </c>
      <c r="C514" s="14" t="s">
        <v>184</v>
      </c>
      <c r="D514" s="12" t="s">
        <v>185</v>
      </c>
      <c r="E514" s="13">
        <v>29944</v>
      </c>
      <c r="F514" s="15">
        <f t="shared" ref="F514" si="262">E514*0.6</f>
        <v>17966.399999999998</v>
      </c>
      <c r="G514" s="15">
        <f t="shared" ref="G514" si="263">F514*H514</f>
        <v>17966.399999999998</v>
      </c>
      <c r="H514" s="16">
        <v>1</v>
      </c>
      <c r="I514" s="17" t="s">
        <v>13</v>
      </c>
      <c r="J514" s="13" t="s">
        <v>17</v>
      </c>
      <c r="K514">
        <v>17966.399999999998</v>
      </c>
    </row>
    <row r="515" spans="1:11" ht="21" hidden="1" customHeight="1" x14ac:dyDescent="0.25">
      <c r="A515" s="12" t="str">
        <f>A513</f>
        <v>ЩУОВ</v>
      </c>
      <c r="B515" s="13" t="s">
        <v>166</v>
      </c>
      <c r="C515" s="14" t="s">
        <v>182</v>
      </c>
      <c r="D515" s="12" t="s">
        <v>183</v>
      </c>
      <c r="E515" s="13">
        <v>9149</v>
      </c>
      <c r="F515" s="15">
        <f t="shared" ref="F515" si="264">E515*0.6</f>
        <v>5489.4</v>
      </c>
      <c r="G515" s="15">
        <f t="shared" ref="G515" si="265">F515*H515</f>
        <v>10978.8</v>
      </c>
      <c r="H515" s="16">
        <v>2</v>
      </c>
      <c r="I515" s="17" t="s">
        <v>13</v>
      </c>
      <c r="J515" s="13" t="s">
        <v>17</v>
      </c>
      <c r="K515">
        <v>10978.8</v>
      </c>
    </row>
    <row r="516" spans="1:11" ht="24" hidden="1" customHeight="1" x14ac:dyDescent="0.25">
      <c r="A516" s="12" t="str">
        <f>A513</f>
        <v>ЩУОВ</v>
      </c>
      <c r="B516" s="12" t="s">
        <v>10</v>
      </c>
      <c r="C516" s="18" t="s">
        <v>10</v>
      </c>
      <c r="D516" s="12" t="s">
        <v>10</v>
      </c>
      <c r="E516" s="12">
        <f ca="1">OFFSET(E516,1,2)</f>
        <v>30000</v>
      </c>
      <c r="F516" s="15">
        <f ca="1">E516</f>
        <v>30000</v>
      </c>
      <c r="G516" s="15">
        <f t="shared" ca="1" si="259"/>
        <v>30000</v>
      </c>
      <c r="H516" s="12">
        <v>1</v>
      </c>
      <c r="I516" s="12" t="s">
        <v>13</v>
      </c>
      <c r="J516" s="12" t="s">
        <v>10</v>
      </c>
      <c r="K516">
        <v>30000</v>
      </c>
    </row>
    <row r="517" spans="1:11" ht="21" hidden="1" customHeight="1" x14ac:dyDescent="0.25">
      <c r="A517" s="12" t="str">
        <f t="shared" ref="A517:A518" si="266">A516</f>
        <v>ЩУОВ</v>
      </c>
      <c r="B517" s="12" t="s">
        <v>11</v>
      </c>
      <c r="C517" s="18" t="s">
        <v>11</v>
      </c>
      <c r="D517" s="12" t="s">
        <v>11</v>
      </c>
      <c r="E517" s="12">
        <v>5</v>
      </c>
      <c r="F517" s="15">
        <v>100</v>
      </c>
      <c r="G517" s="15">
        <f>60*E517*F517</f>
        <v>30000</v>
      </c>
      <c r="H517" s="12">
        <f>60*E517</f>
        <v>300</v>
      </c>
      <c r="I517" s="12" t="s">
        <v>13</v>
      </c>
      <c r="J517" s="12" t="s">
        <v>11</v>
      </c>
      <c r="K517">
        <v>30000</v>
      </c>
    </row>
    <row r="518" spans="1:11" ht="30" customHeight="1" x14ac:dyDescent="0.25">
      <c r="A518" s="12" t="str">
        <f t="shared" si="266"/>
        <v>ЩУОВ</v>
      </c>
      <c r="B518" s="19"/>
      <c r="C518" s="20"/>
      <c r="D518" s="21"/>
      <c r="E518" s="23"/>
      <c r="F518" s="25"/>
      <c r="G518" s="24">
        <f ca="1">SUM(G509:G517)</f>
        <v>123511.8</v>
      </c>
      <c r="H518" s="20"/>
      <c r="I518" s="22"/>
      <c r="J518" s="20"/>
      <c r="K518">
        <v>123511.8</v>
      </c>
    </row>
    <row r="519" spans="1:11" ht="39.75" customHeight="1" x14ac:dyDescent="0.25">
      <c r="A519" s="5" t="str">
        <f>D519</f>
        <v>ЩС-36</v>
      </c>
      <c r="B519" s="6"/>
      <c r="C519" s="7"/>
      <c r="D519" s="6" t="s">
        <v>171</v>
      </c>
      <c r="E519" s="8"/>
      <c r="F519" s="8"/>
      <c r="G519" s="9"/>
      <c r="H519" s="10">
        <v>1</v>
      </c>
      <c r="I519" s="11" t="s">
        <v>7</v>
      </c>
      <c r="J519" s="6" t="s">
        <v>9</v>
      </c>
    </row>
    <row r="520" spans="1:11" ht="21" hidden="1" customHeight="1" x14ac:dyDescent="0.25">
      <c r="A520" s="12" t="str">
        <f>A519</f>
        <v>ЩС-36</v>
      </c>
      <c r="B520" s="13" t="s">
        <v>8</v>
      </c>
      <c r="C520" s="14" t="s">
        <v>216</v>
      </c>
      <c r="D520" s="12" t="s">
        <v>217</v>
      </c>
      <c r="E520" s="13">
        <v>15460</v>
      </c>
      <c r="F520" s="15">
        <f>E520*0.6</f>
        <v>9276</v>
      </c>
      <c r="G520" s="15">
        <f>H520*F520</f>
        <v>9276</v>
      </c>
      <c r="H520" s="16">
        <v>1</v>
      </c>
      <c r="I520" s="17" t="s">
        <v>13</v>
      </c>
      <c r="J520" s="13" t="s">
        <v>16</v>
      </c>
      <c r="K520">
        <v>9276</v>
      </c>
    </row>
    <row r="521" spans="1:11" ht="20.25" hidden="1" customHeight="1" x14ac:dyDescent="0.25">
      <c r="A521" s="12" t="str">
        <f t="shared" ref="A521:A525" si="267">A520</f>
        <v>ЩС-36</v>
      </c>
      <c r="B521" s="13" t="s">
        <v>34</v>
      </c>
      <c r="C521" s="14" t="s">
        <v>97</v>
      </c>
      <c r="D521" s="12" t="s">
        <v>98</v>
      </c>
      <c r="E521" s="13">
        <v>4217</v>
      </c>
      <c r="F521" s="15">
        <f t="shared" ref="F521:F522" si="268">E521*0.6</f>
        <v>2530.1999999999998</v>
      </c>
      <c r="G521" s="15">
        <f t="shared" ref="G521:G523" si="269">F521*H521</f>
        <v>2530.1999999999998</v>
      </c>
      <c r="H521" s="16">
        <v>1</v>
      </c>
      <c r="I521" s="17" t="s">
        <v>13</v>
      </c>
      <c r="J521" s="13" t="s">
        <v>17</v>
      </c>
      <c r="K521">
        <v>2530.1999999999998</v>
      </c>
    </row>
    <row r="522" spans="1:11" ht="22.5" hidden="1" customHeight="1" x14ac:dyDescent="0.25">
      <c r="A522" s="12" t="str">
        <f t="shared" si="267"/>
        <v>ЩС-36</v>
      </c>
      <c r="B522" s="13" t="s">
        <v>12</v>
      </c>
      <c r="C522" s="14" t="s">
        <v>39</v>
      </c>
      <c r="D522" s="12" t="s">
        <v>40</v>
      </c>
      <c r="E522" s="13">
        <v>3172</v>
      </c>
      <c r="F522" s="15">
        <f t="shared" si="268"/>
        <v>1903.1999999999998</v>
      </c>
      <c r="G522" s="15">
        <f t="shared" si="269"/>
        <v>5709.5999999999995</v>
      </c>
      <c r="H522" s="16">
        <v>3</v>
      </c>
      <c r="I522" s="17" t="s">
        <v>13</v>
      </c>
      <c r="J522" s="13" t="s">
        <v>17</v>
      </c>
      <c r="K522">
        <v>5709.5999999999995</v>
      </c>
    </row>
    <row r="523" spans="1:11" ht="24" hidden="1" customHeight="1" x14ac:dyDescent="0.25">
      <c r="A523" s="12" t="str">
        <f t="shared" si="267"/>
        <v>ЩС-36</v>
      </c>
      <c r="B523" s="12" t="s">
        <v>10</v>
      </c>
      <c r="C523" s="18" t="s">
        <v>10</v>
      </c>
      <c r="D523" s="12" t="s">
        <v>10</v>
      </c>
      <c r="E523" s="12">
        <f ca="1">OFFSET(E523,1,2)</f>
        <v>9000</v>
      </c>
      <c r="F523" s="15">
        <f ca="1">E523</f>
        <v>9000</v>
      </c>
      <c r="G523" s="15">
        <f t="shared" ca="1" si="269"/>
        <v>9000</v>
      </c>
      <c r="H523" s="12">
        <v>1</v>
      </c>
      <c r="I523" s="12" t="s">
        <v>13</v>
      </c>
      <c r="J523" s="12" t="s">
        <v>10</v>
      </c>
      <c r="K523">
        <v>9000</v>
      </c>
    </row>
    <row r="524" spans="1:11" ht="21" hidden="1" customHeight="1" x14ac:dyDescent="0.25">
      <c r="A524" s="12" t="str">
        <f t="shared" si="267"/>
        <v>ЩС-36</v>
      </c>
      <c r="B524" s="12" t="s">
        <v>11</v>
      </c>
      <c r="C524" s="18" t="s">
        <v>11</v>
      </c>
      <c r="D524" s="12" t="s">
        <v>11</v>
      </c>
      <c r="E524" s="12">
        <v>1.5</v>
      </c>
      <c r="F524" s="15">
        <v>100</v>
      </c>
      <c r="G524" s="15">
        <f>60*E524*F524</f>
        <v>9000</v>
      </c>
      <c r="H524" s="12">
        <f>60*E524</f>
        <v>90</v>
      </c>
      <c r="I524" s="12" t="s">
        <v>13</v>
      </c>
      <c r="J524" s="12" t="s">
        <v>11</v>
      </c>
      <c r="K524">
        <v>9000</v>
      </c>
    </row>
    <row r="525" spans="1:11" ht="30" customHeight="1" x14ac:dyDescent="0.25">
      <c r="A525" s="12" t="str">
        <f t="shared" si="267"/>
        <v>ЩС-36</v>
      </c>
      <c r="B525" s="19"/>
      <c r="C525" s="20"/>
      <c r="D525" s="21"/>
      <c r="E525" s="23"/>
      <c r="F525" s="25"/>
      <c r="G525" s="24">
        <f ca="1">SUM(G520:G524)</f>
        <v>35515.800000000003</v>
      </c>
      <c r="H525" s="20"/>
      <c r="I525" s="22"/>
      <c r="J525" s="20"/>
      <c r="K525">
        <v>35515.800000000003</v>
      </c>
    </row>
    <row r="526" spans="1:11" ht="39.75" customHeight="1" x14ac:dyDescent="0.25">
      <c r="A526" s="5" t="str">
        <f>D526</f>
        <v>ЩС-37</v>
      </c>
      <c r="B526" s="6"/>
      <c r="C526" s="7"/>
      <c r="D526" s="6" t="s">
        <v>188</v>
      </c>
      <c r="E526" s="8"/>
      <c r="F526" s="8"/>
      <c r="G526" s="9"/>
      <c r="H526" s="10">
        <v>1</v>
      </c>
      <c r="I526" s="11" t="s">
        <v>7</v>
      </c>
      <c r="J526" s="6" t="s">
        <v>9</v>
      </c>
    </row>
    <row r="527" spans="1:11" ht="21" hidden="1" customHeight="1" x14ac:dyDescent="0.25">
      <c r="A527" s="12" t="str">
        <f>A526</f>
        <v>ЩС-37</v>
      </c>
      <c r="B527" s="13" t="s">
        <v>8</v>
      </c>
      <c r="C527" s="14" t="s">
        <v>214</v>
      </c>
      <c r="D527" s="12" t="s">
        <v>215</v>
      </c>
      <c r="E527" s="13">
        <v>10500</v>
      </c>
      <c r="F527" s="15">
        <f>E527*0.6</f>
        <v>6300</v>
      </c>
      <c r="G527" s="15">
        <f>H527*F527</f>
        <v>6300</v>
      </c>
      <c r="H527" s="16">
        <v>1</v>
      </c>
      <c r="I527" s="17" t="s">
        <v>13</v>
      </c>
      <c r="J527" s="13" t="s">
        <v>16</v>
      </c>
      <c r="K527">
        <v>6300</v>
      </c>
    </row>
    <row r="528" spans="1:11" ht="20.25" hidden="1" customHeight="1" x14ac:dyDescent="0.25">
      <c r="A528" s="12" t="str">
        <f t="shared" ref="A528" si="270">A527</f>
        <v>ЩС-37</v>
      </c>
      <c r="B528" s="13" t="s">
        <v>34</v>
      </c>
      <c r="C528" s="14" t="s">
        <v>99</v>
      </c>
      <c r="D528" s="12" t="s">
        <v>100</v>
      </c>
      <c r="E528" s="13">
        <v>3372</v>
      </c>
      <c r="F528" s="15">
        <f t="shared" ref="F528:F529" si="271">E528*0.6</f>
        <v>2023.1999999999998</v>
      </c>
      <c r="G528" s="15">
        <f t="shared" ref="G528:G531" si="272">F528*H528</f>
        <v>2023.1999999999998</v>
      </c>
      <c r="H528" s="16">
        <v>1</v>
      </c>
      <c r="I528" s="17" t="s">
        <v>13</v>
      </c>
      <c r="J528" s="13" t="s">
        <v>17</v>
      </c>
      <c r="K528">
        <v>2023.1999999999998</v>
      </c>
    </row>
    <row r="529" spans="1:11" ht="21" hidden="1" customHeight="1" x14ac:dyDescent="0.25">
      <c r="A529" s="12" t="str">
        <f>A528</f>
        <v>ЩС-37</v>
      </c>
      <c r="B529" s="13" t="s">
        <v>12</v>
      </c>
      <c r="C529" s="14" t="s">
        <v>180</v>
      </c>
      <c r="D529" s="12" t="s">
        <v>181</v>
      </c>
      <c r="E529" s="13">
        <v>2337</v>
      </c>
      <c r="F529" s="15">
        <f t="shared" si="271"/>
        <v>1402.2</v>
      </c>
      <c r="G529" s="15">
        <f t="shared" si="272"/>
        <v>1402.2</v>
      </c>
      <c r="H529" s="16">
        <v>1</v>
      </c>
      <c r="I529" s="17" t="s">
        <v>13</v>
      </c>
      <c r="J529" s="13" t="s">
        <v>17</v>
      </c>
      <c r="K529">
        <v>1402.2</v>
      </c>
    </row>
    <row r="530" spans="1:11" ht="21" hidden="1" customHeight="1" x14ac:dyDescent="0.25">
      <c r="A530" s="12" t="str">
        <f>A529</f>
        <v>ЩС-37</v>
      </c>
      <c r="B530" s="13" t="s">
        <v>12</v>
      </c>
      <c r="C530" s="14" t="s">
        <v>190</v>
      </c>
      <c r="D530" s="12" t="s">
        <v>191</v>
      </c>
      <c r="E530" s="13">
        <v>783</v>
      </c>
      <c r="F530" s="15">
        <f t="shared" ref="F530" si="273">E530*0.6</f>
        <v>469.79999999999995</v>
      </c>
      <c r="G530" s="15">
        <f t="shared" ref="G530" si="274">F530*H530</f>
        <v>469.79999999999995</v>
      </c>
      <c r="H530" s="16">
        <v>1</v>
      </c>
      <c r="I530" s="17" t="s">
        <v>13</v>
      </c>
      <c r="J530" s="13" t="s">
        <v>17</v>
      </c>
      <c r="K530">
        <v>469.79999999999995</v>
      </c>
    </row>
    <row r="531" spans="1:11" ht="24" hidden="1" customHeight="1" x14ac:dyDescent="0.25">
      <c r="A531" s="12" t="str">
        <f>A529</f>
        <v>ЩС-37</v>
      </c>
      <c r="B531" s="12" t="s">
        <v>10</v>
      </c>
      <c r="C531" s="18" t="s">
        <v>10</v>
      </c>
      <c r="D531" s="12" t="s">
        <v>10</v>
      </c>
      <c r="E531" s="12">
        <f ca="1">OFFSET(E531,1,2)</f>
        <v>6000</v>
      </c>
      <c r="F531" s="15">
        <f ca="1">E531</f>
        <v>6000</v>
      </c>
      <c r="G531" s="15">
        <f t="shared" ca="1" si="272"/>
        <v>6000</v>
      </c>
      <c r="H531" s="12">
        <v>1</v>
      </c>
      <c r="I531" s="12" t="s">
        <v>13</v>
      </c>
      <c r="J531" s="12" t="s">
        <v>10</v>
      </c>
      <c r="K531">
        <v>6000</v>
      </c>
    </row>
    <row r="532" spans="1:11" ht="21" hidden="1" customHeight="1" x14ac:dyDescent="0.25">
      <c r="A532" s="12" t="str">
        <f t="shared" ref="A532:A533" si="275">A531</f>
        <v>ЩС-37</v>
      </c>
      <c r="B532" s="12" t="s">
        <v>11</v>
      </c>
      <c r="C532" s="18" t="s">
        <v>11</v>
      </c>
      <c r="D532" s="12" t="s">
        <v>11</v>
      </c>
      <c r="E532" s="12">
        <v>1</v>
      </c>
      <c r="F532" s="15">
        <v>100</v>
      </c>
      <c r="G532" s="15">
        <f>60*E532*F532</f>
        <v>6000</v>
      </c>
      <c r="H532" s="12">
        <f>60*E532</f>
        <v>60</v>
      </c>
      <c r="I532" s="12" t="s">
        <v>13</v>
      </c>
      <c r="J532" s="12" t="s">
        <v>11</v>
      </c>
      <c r="K532">
        <v>6000</v>
      </c>
    </row>
    <row r="533" spans="1:11" ht="30" customHeight="1" x14ac:dyDescent="0.25">
      <c r="A533" s="12" t="str">
        <f t="shared" si="275"/>
        <v>ЩС-37</v>
      </c>
      <c r="B533" s="19"/>
      <c r="C533" s="20"/>
      <c r="D533" s="21"/>
      <c r="E533" s="23"/>
      <c r="F533" s="25"/>
      <c r="G533" s="24">
        <f ca="1">SUM(G527:G532)</f>
        <v>22195.200000000001</v>
      </c>
      <c r="H533" s="20"/>
      <c r="I533" s="22"/>
      <c r="J533" s="20"/>
      <c r="K533">
        <v>22195.200000000001</v>
      </c>
    </row>
    <row r="534" spans="1:11" ht="39.75" customHeight="1" x14ac:dyDescent="0.25">
      <c r="A534" s="5" t="str">
        <f>D534</f>
        <v>ЩС-38</v>
      </c>
      <c r="B534" s="6"/>
      <c r="C534" s="7"/>
      <c r="D534" s="6" t="s">
        <v>189</v>
      </c>
      <c r="E534" s="8"/>
      <c r="F534" s="8"/>
      <c r="G534" s="9"/>
      <c r="H534" s="10">
        <v>1</v>
      </c>
      <c r="I534" s="11" t="s">
        <v>7</v>
      </c>
      <c r="J534" s="6" t="s">
        <v>9</v>
      </c>
    </row>
    <row r="535" spans="1:11" ht="21" hidden="1" customHeight="1" x14ac:dyDescent="0.25">
      <c r="A535" s="12" t="str">
        <f>A534</f>
        <v>ЩС-38</v>
      </c>
      <c r="B535" s="13" t="s">
        <v>8</v>
      </c>
      <c r="C535" s="14" t="s">
        <v>214</v>
      </c>
      <c r="D535" s="12" t="s">
        <v>215</v>
      </c>
      <c r="E535" s="13">
        <v>10500</v>
      </c>
      <c r="F535" s="15">
        <f>E535*0.6</f>
        <v>6300</v>
      </c>
      <c r="G535" s="15">
        <f>H535*F535</f>
        <v>6300</v>
      </c>
      <c r="H535" s="16">
        <v>1</v>
      </c>
      <c r="I535" s="17" t="s">
        <v>13</v>
      </c>
      <c r="J535" s="13" t="s">
        <v>16</v>
      </c>
      <c r="K535">
        <v>6300</v>
      </c>
    </row>
    <row r="536" spans="1:11" ht="20.25" hidden="1" customHeight="1" x14ac:dyDescent="0.25">
      <c r="A536" s="12" t="str">
        <f t="shared" ref="A536" si="276">A535</f>
        <v>ЩС-38</v>
      </c>
      <c r="B536" s="13" t="s">
        <v>34</v>
      </c>
      <c r="C536" s="14" t="s">
        <v>99</v>
      </c>
      <c r="D536" s="12" t="s">
        <v>100</v>
      </c>
      <c r="E536" s="13">
        <v>3372</v>
      </c>
      <c r="F536" s="15">
        <f t="shared" ref="F536:F538" si="277">E536*0.6</f>
        <v>2023.1999999999998</v>
      </c>
      <c r="G536" s="15">
        <f t="shared" ref="G536:G539" si="278">F536*H536</f>
        <v>2023.1999999999998</v>
      </c>
      <c r="H536" s="16">
        <v>1</v>
      </c>
      <c r="I536" s="17" t="s">
        <v>13</v>
      </c>
      <c r="J536" s="13" t="s">
        <v>17</v>
      </c>
      <c r="K536">
        <v>2023.1999999999998</v>
      </c>
    </row>
    <row r="537" spans="1:11" ht="21" hidden="1" customHeight="1" x14ac:dyDescent="0.25">
      <c r="A537" s="12" t="str">
        <f>A536</f>
        <v>ЩС-38</v>
      </c>
      <c r="B537" s="13" t="s">
        <v>12</v>
      </c>
      <c r="C537" s="14" t="s">
        <v>180</v>
      </c>
      <c r="D537" s="12" t="s">
        <v>181</v>
      </c>
      <c r="E537" s="13">
        <v>2337</v>
      </c>
      <c r="F537" s="15">
        <f t="shared" si="277"/>
        <v>1402.2</v>
      </c>
      <c r="G537" s="15">
        <f t="shared" si="278"/>
        <v>1402.2</v>
      </c>
      <c r="H537" s="16">
        <v>1</v>
      </c>
      <c r="I537" s="17" t="s">
        <v>13</v>
      </c>
      <c r="J537" s="13" t="s">
        <v>17</v>
      </c>
      <c r="K537">
        <v>1402.2</v>
      </c>
    </row>
    <row r="538" spans="1:11" ht="21" hidden="1" customHeight="1" x14ac:dyDescent="0.25">
      <c r="A538" s="12" t="str">
        <f>A537</f>
        <v>ЩС-38</v>
      </c>
      <c r="B538" s="13" t="s">
        <v>12</v>
      </c>
      <c r="C538" s="14" t="s">
        <v>190</v>
      </c>
      <c r="D538" s="12" t="s">
        <v>191</v>
      </c>
      <c r="E538" s="13">
        <v>783</v>
      </c>
      <c r="F538" s="15">
        <f t="shared" si="277"/>
        <v>469.79999999999995</v>
      </c>
      <c r="G538" s="15">
        <f t="shared" si="278"/>
        <v>469.79999999999995</v>
      </c>
      <c r="H538" s="16">
        <v>1</v>
      </c>
      <c r="I538" s="17" t="s">
        <v>13</v>
      </c>
      <c r="J538" s="13" t="s">
        <v>17</v>
      </c>
      <c r="K538">
        <v>469.79999999999995</v>
      </c>
    </row>
    <row r="539" spans="1:11" ht="24" hidden="1" customHeight="1" x14ac:dyDescent="0.25">
      <c r="A539" s="12" t="str">
        <f>A537</f>
        <v>ЩС-38</v>
      </c>
      <c r="B539" s="12" t="s">
        <v>10</v>
      </c>
      <c r="C539" s="18" t="s">
        <v>10</v>
      </c>
      <c r="D539" s="12" t="s">
        <v>10</v>
      </c>
      <c r="E539" s="12">
        <f ca="1">OFFSET(E539,1,2)</f>
        <v>6000</v>
      </c>
      <c r="F539" s="15">
        <f ca="1">E539</f>
        <v>6000</v>
      </c>
      <c r="G539" s="15">
        <f t="shared" ca="1" si="278"/>
        <v>6000</v>
      </c>
      <c r="H539" s="12">
        <v>1</v>
      </c>
      <c r="I539" s="12" t="s">
        <v>13</v>
      </c>
      <c r="J539" s="12" t="s">
        <v>10</v>
      </c>
      <c r="K539">
        <v>6000</v>
      </c>
    </row>
    <row r="540" spans="1:11" ht="21" hidden="1" customHeight="1" x14ac:dyDescent="0.25">
      <c r="A540" s="12" t="str">
        <f t="shared" ref="A540:A541" si="279">A539</f>
        <v>ЩС-38</v>
      </c>
      <c r="B540" s="12" t="s">
        <v>11</v>
      </c>
      <c r="C540" s="18" t="s">
        <v>11</v>
      </c>
      <c r="D540" s="12" t="s">
        <v>11</v>
      </c>
      <c r="E540" s="12">
        <v>1</v>
      </c>
      <c r="F540" s="15">
        <v>100</v>
      </c>
      <c r="G540" s="15">
        <f>60*E540*F540</f>
        <v>6000</v>
      </c>
      <c r="H540" s="12">
        <f>60*E540</f>
        <v>60</v>
      </c>
      <c r="I540" s="12" t="s">
        <v>13</v>
      </c>
      <c r="J540" s="12" t="s">
        <v>11</v>
      </c>
      <c r="K540">
        <v>6000</v>
      </c>
    </row>
    <row r="541" spans="1:11" ht="30" customHeight="1" x14ac:dyDescent="0.25">
      <c r="A541" s="12" t="str">
        <f t="shared" si="279"/>
        <v>ЩС-38</v>
      </c>
      <c r="B541" s="19"/>
      <c r="C541" s="20"/>
      <c r="D541" s="21"/>
      <c r="E541" s="23"/>
      <c r="F541" s="25"/>
      <c r="G541" s="24">
        <f ca="1">SUM(G535:G540)</f>
        <v>22195.200000000001</v>
      </c>
      <c r="H541" s="20"/>
      <c r="I541" s="22"/>
      <c r="J541" s="20"/>
      <c r="K541">
        <v>22195.200000000001</v>
      </c>
    </row>
    <row r="542" spans="1:11" ht="39.75" customHeight="1" x14ac:dyDescent="0.25">
      <c r="A542" s="5" t="str">
        <f>D542</f>
        <v>ЩС-39</v>
      </c>
      <c r="B542" s="6"/>
      <c r="C542" s="7"/>
      <c r="D542" s="6" t="s">
        <v>192</v>
      </c>
      <c r="E542" s="8"/>
      <c r="F542" s="8"/>
      <c r="G542" s="9"/>
      <c r="H542" s="10">
        <v>1</v>
      </c>
      <c r="I542" s="11" t="s">
        <v>7</v>
      </c>
      <c r="J542" s="6" t="s">
        <v>9</v>
      </c>
    </row>
    <row r="543" spans="1:11" ht="21" hidden="1" customHeight="1" x14ac:dyDescent="0.25">
      <c r="A543" s="12" t="str">
        <f>A542</f>
        <v>ЩС-39</v>
      </c>
      <c r="B543" s="13" t="s">
        <v>8</v>
      </c>
      <c r="C543" s="14" t="s">
        <v>216</v>
      </c>
      <c r="D543" s="12" t="s">
        <v>217</v>
      </c>
      <c r="E543" s="13">
        <v>15460</v>
      </c>
      <c r="F543" s="15">
        <f>E543*0.6</f>
        <v>9276</v>
      </c>
      <c r="G543" s="15">
        <f>H543*F543</f>
        <v>9276</v>
      </c>
      <c r="H543" s="16">
        <v>1</v>
      </c>
      <c r="I543" s="17" t="s">
        <v>13</v>
      </c>
      <c r="J543" s="13" t="s">
        <v>16</v>
      </c>
      <c r="K543">
        <v>9276</v>
      </c>
    </row>
    <row r="544" spans="1:11" ht="20.25" hidden="1" customHeight="1" x14ac:dyDescent="0.25">
      <c r="A544" s="12" t="str">
        <f t="shared" ref="A544" si="280">A543</f>
        <v>ЩС-39</v>
      </c>
      <c r="B544" s="13" t="s">
        <v>34</v>
      </c>
      <c r="C544" s="14" t="s">
        <v>99</v>
      </c>
      <c r="D544" s="12" t="s">
        <v>100</v>
      </c>
      <c r="E544" s="13">
        <v>3372</v>
      </c>
      <c r="F544" s="15">
        <f t="shared" ref="F544:F545" si="281">E544*0.6</f>
        <v>2023.1999999999998</v>
      </c>
      <c r="G544" s="15">
        <f t="shared" ref="G544:G546" si="282">F544*H544</f>
        <v>2023.1999999999998</v>
      </c>
      <c r="H544" s="16">
        <v>1</v>
      </c>
      <c r="I544" s="17" t="s">
        <v>13</v>
      </c>
      <c r="J544" s="13" t="s">
        <v>17</v>
      </c>
      <c r="K544">
        <v>2023.1999999999998</v>
      </c>
    </row>
    <row r="545" spans="1:11" ht="21" hidden="1" customHeight="1" x14ac:dyDescent="0.25">
      <c r="A545" s="12" t="str">
        <f>A544</f>
        <v>ЩС-39</v>
      </c>
      <c r="B545" s="13" t="s">
        <v>27</v>
      </c>
      <c r="C545" s="14" t="s">
        <v>107</v>
      </c>
      <c r="D545" s="12" t="s">
        <v>108</v>
      </c>
      <c r="E545" s="13">
        <v>5104</v>
      </c>
      <c r="F545" s="15">
        <f t="shared" si="281"/>
        <v>3062.4</v>
      </c>
      <c r="G545" s="15">
        <f t="shared" si="282"/>
        <v>18374.400000000001</v>
      </c>
      <c r="H545" s="16">
        <v>6</v>
      </c>
      <c r="I545" s="17" t="s">
        <v>13</v>
      </c>
      <c r="J545" s="13" t="s">
        <v>17</v>
      </c>
      <c r="K545">
        <v>18374.400000000001</v>
      </c>
    </row>
    <row r="546" spans="1:11" ht="24" hidden="1" customHeight="1" x14ac:dyDescent="0.25">
      <c r="A546" s="12" t="str">
        <f>A545</f>
        <v>ЩС-39</v>
      </c>
      <c r="B546" s="12" t="s">
        <v>10</v>
      </c>
      <c r="C546" s="18" t="s">
        <v>10</v>
      </c>
      <c r="D546" s="12" t="s">
        <v>10</v>
      </c>
      <c r="E546" s="12">
        <f ca="1">OFFSET(E546,1,2)</f>
        <v>9000</v>
      </c>
      <c r="F546" s="15">
        <f ca="1">E546</f>
        <v>9000</v>
      </c>
      <c r="G546" s="15">
        <f t="shared" ca="1" si="282"/>
        <v>9000</v>
      </c>
      <c r="H546" s="12">
        <v>1</v>
      </c>
      <c r="I546" s="12" t="s">
        <v>13</v>
      </c>
      <c r="J546" s="12" t="s">
        <v>10</v>
      </c>
      <c r="K546">
        <v>9000</v>
      </c>
    </row>
    <row r="547" spans="1:11" ht="21" hidden="1" customHeight="1" x14ac:dyDescent="0.25">
      <c r="A547" s="12" t="str">
        <f t="shared" ref="A547:A548" si="283">A546</f>
        <v>ЩС-39</v>
      </c>
      <c r="B547" s="12" t="s">
        <v>11</v>
      </c>
      <c r="C547" s="18" t="s">
        <v>11</v>
      </c>
      <c r="D547" s="12" t="s">
        <v>11</v>
      </c>
      <c r="E547" s="12">
        <v>1.5</v>
      </c>
      <c r="F547" s="15">
        <v>100</v>
      </c>
      <c r="G547" s="15">
        <f>60*E547*F547</f>
        <v>9000</v>
      </c>
      <c r="H547" s="12">
        <f>60*E547</f>
        <v>90</v>
      </c>
      <c r="I547" s="12" t="s">
        <v>13</v>
      </c>
      <c r="J547" s="12" t="s">
        <v>11</v>
      </c>
      <c r="K547">
        <v>9000</v>
      </c>
    </row>
    <row r="548" spans="1:11" ht="30" customHeight="1" x14ac:dyDescent="0.25">
      <c r="A548" s="12" t="str">
        <f t="shared" si="283"/>
        <v>ЩС-39</v>
      </c>
      <c r="B548" s="19"/>
      <c r="C548" s="20"/>
      <c r="D548" s="21"/>
      <c r="E548" s="23"/>
      <c r="F548" s="25"/>
      <c r="G548" s="24">
        <f ca="1">SUM(G543:G547)</f>
        <v>47673.600000000006</v>
      </c>
      <c r="H548" s="20"/>
      <c r="I548" s="22"/>
      <c r="J548" s="20"/>
      <c r="K548">
        <v>47673.600000000006</v>
      </c>
    </row>
    <row r="549" spans="1:11" ht="39.75" customHeight="1" x14ac:dyDescent="0.25">
      <c r="A549" s="5" t="str">
        <f>D549</f>
        <v>ЩС-40</v>
      </c>
      <c r="B549" s="6"/>
      <c r="C549" s="7"/>
      <c r="D549" s="6" t="s">
        <v>193</v>
      </c>
      <c r="E549" s="8"/>
      <c r="F549" s="8"/>
      <c r="G549" s="9"/>
      <c r="H549" s="10">
        <v>1</v>
      </c>
      <c r="I549" s="11" t="s">
        <v>7</v>
      </c>
      <c r="J549" s="6" t="s">
        <v>9</v>
      </c>
    </row>
    <row r="550" spans="1:11" ht="21" hidden="1" customHeight="1" x14ac:dyDescent="0.25">
      <c r="A550" s="12" t="str">
        <f>A549</f>
        <v>ЩС-40</v>
      </c>
      <c r="B550" s="13" t="s">
        <v>8</v>
      </c>
      <c r="C550" s="14" t="s">
        <v>210</v>
      </c>
      <c r="D550" s="12" t="s">
        <v>211</v>
      </c>
      <c r="E550" s="13">
        <v>19000</v>
      </c>
      <c r="F550" s="15">
        <f>E550*0.6</f>
        <v>11400</v>
      </c>
      <c r="G550" s="15">
        <f>H550*F550</f>
        <v>11400</v>
      </c>
      <c r="H550" s="16">
        <v>1</v>
      </c>
      <c r="I550" s="17" t="s">
        <v>13</v>
      </c>
      <c r="J550" s="13" t="s">
        <v>16</v>
      </c>
      <c r="K550">
        <v>11400</v>
      </c>
    </row>
    <row r="551" spans="1:11" ht="20.25" hidden="1" customHeight="1" x14ac:dyDescent="0.25">
      <c r="A551" s="12" t="str">
        <f t="shared" ref="A551" si="284">A550</f>
        <v>ЩС-40</v>
      </c>
      <c r="B551" s="13" t="s">
        <v>34</v>
      </c>
      <c r="C551" s="14" t="s">
        <v>97</v>
      </c>
      <c r="D551" s="12" t="s">
        <v>98</v>
      </c>
      <c r="E551" s="13">
        <v>4217</v>
      </c>
      <c r="F551" s="15">
        <f t="shared" ref="F551" si="285">E551*0.6</f>
        <v>2530.1999999999998</v>
      </c>
      <c r="G551" s="15">
        <f t="shared" ref="G551" si="286">F551*H551</f>
        <v>2530.1999999999998</v>
      </c>
      <c r="H551" s="16">
        <v>1</v>
      </c>
      <c r="I551" s="17" t="s">
        <v>13</v>
      </c>
      <c r="J551" s="13" t="s">
        <v>17</v>
      </c>
      <c r="K551">
        <v>2530.1999999999998</v>
      </c>
    </row>
    <row r="552" spans="1:11" ht="21" hidden="1" customHeight="1" x14ac:dyDescent="0.25">
      <c r="A552" s="12" t="str">
        <f>A551</f>
        <v>ЩС-40</v>
      </c>
      <c r="B552" s="13" t="s">
        <v>27</v>
      </c>
      <c r="C552" s="14" t="s">
        <v>107</v>
      </c>
      <c r="D552" s="12" t="s">
        <v>108</v>
      </c>
      <c r="E552" s="13">
        <v>5104</v>
      </c>
      <c r="F552" s="15">
        <f t="shared" ref="F552" si="287">E552*0.6</f>
        <v>3062.4</v>
      </c>
      <c r="G552" s="15">
        <f t="shared" ref="G552:G553" si="288">F552*H552</f>
        <v>45936</v>
      </c>
      <c r="H552" s="16">
        <v>15</v>
      </c>
      <c r="I552" s="17" t="s">
        <v>13</v>
      </c>
      <c r="J552" s="13" t="s">
        <v>17</v>
      </c>
      <c r="K552">
        <v>45936</v>
      </c>
    </row>
    <row r="553" spans="1:11" ht="24" hidden="1" customHeight="1" x14ac:dyDescent="0.25">
      <c r="A553" s="12" t="str">
        <f>A552</f>
        <v>ЩС-40</v>
      </c>
      <c r="B553" s="12" t="s">
        <v>10</v>
      </c>
      <c r="C553" s="18" t="s">
        <v>10</v>
      </c>
      <c r="D553" s="12" t="s">
        <v>10</v>
      </c>
      <c r="E553" s="12">
        <f ca="1">OFFSET(E553,1,2)</f>
        <v>15000</v>
      </c>
      <c r="F553" s="15">
        <f ca="1">E553</f>
        <v>15000</v>
      </c>
      <c r="G553" s="15">
        <f t="shared" ca="1" si="288"/>
        <v>15000</v>
      </c>
      <c r="H553" s="12">
        <v>1</v>
      </c>
      <c r="I553" s="12" t="s">
        <v>13</v>
      </c>
      <c r="J553" s="12" t="s">
        <v>10</v>
      </c>
      <c r="K553">
        <v>15000</v>
      </c>
    </row>
    <row r="554" spans="1:11" ht="21" hidden="1" customHeight="1" x14ac:dyDescent="0.25">
      <c r="A554" s="12" t="str">
        <f t="shared" ref="A554:A555" si="289">A553</f>
        <v>ЩС-40</v>
      </c>
      <c r="B554" s="12" t="s">
        <v>11</v>
      </c>
      <c r="C554" s="18" t="s">
        <v>11</v>
      </c>
      <c r="D554" s="12" t="s">
        <v>11</v>
      </c>
      <c r="E554" s="12">
        <v>2.5</v>
      </c>
      <c r="F554" s="15">
        <v>100</v>
      </c>
      <c r="G554" s="15">
        <f>60*E554*F554</f>
        <v>15000</v>
      </c>
      <c r="H554" s="12">
        <f>60*E554</f>
        <v>150</v>
      </c>
      <c r="I554" s="12" t="s">
        <v>13</v>
      </c>
      <c r="J554" s="12" t="s">
        <v>11</v>
      </c>
      <c r="K554">
        <v>15000</v>
      </c>
    </row>
    <row r="555" spans="1:11" ht="30" customHeight="1" x14ac:dyDescent="0.25">
      <c r="A555" s="12" t="str">
        <f t="shared" si="289"/>
        <v>ЩС-40</v>
      </c>
      <c r="B555" s="19"/>
      <c r="C555" s="20"/>
      <c r="D555" s="21"/>
      <c r="E555" s="23"/>
      <c r="F555" s="25"/>
      <c r="G555" s="24">
        <f ca="1">SUM(G550:G554)</f>
        <v>89866.2</v>
      </c>
      <c r="H555" s="20"/>
      <c r="I555" s="22"/>
      <c r="J555" s="20"/>
      <c r="K555">
        <v>89866.2</v>
      </c>
    </row>
    <row r="556" spans="1:11" ht="39.75" customHeight="1" x14ac:dyDescent="0.25">
      <c r="A556" s="5" t="str">
        <f>D556</f>
        <v>ЩС-41</v>
      </c>
      <c r="B556" s="6"/>
      <c r="C556" s="7"/>
      <c r="D556" s="6" t="s">
        <v>194</v>
      </c>
      <c r="E556" s="8"/>
      <c r="F556" s="8"/>
      <c r="G556" s="9"/>
      <c r="H556" s="10">
        <v>1</v>
      </c>
      <c r="I556" s="11" t="s">
        <v>7</v>
      </c>
      <c r="J556" s="6" t="s">
        <v>9</v>
      </c>
    </row>
    <row r="557" spans="1:11" ht="21" hidden="1" customHeight="1" x14ac:dyDescent="0.25">
      <c r="A557" s="12" t="str">
        <f>A556</f>
        <v>ЩС-41</v>
      </c>
      <c r="B557" s="13" t="s">
        <v>8</v>
      </c>
      <c r="C557" s="14" t="s">
        <v>216</v>
      </c>
      <c r="D557" s="12" t="s">
        <v>217</v>
      </c>
      <c r="E557" s="13">
        <v>15460</v>
      </c>
      <c r="F557" s="15">
        <f>E557*0.6</f>
        <v>9276</v>
      </c>
      <c r="G557" s="15">
        <f>H557*F557</f>
        <v>9276</v>
      </c>
      <c r="H557" s="16">
        <v>1</v>
      </c>
      <c r="I557" s="17" t="s">
        <v>13</v>
      </c>
      <c r="J557" s="13" t="s">
        <v>16</v>
      </c>
      <c r="K557">
        <v>9276</v>
      </c>
    </row>
    <row r="558" spans="1:11" ht="20.25" hidden="1" customHeight="1" x14ac:dyDescent="0.25">
      <c r="A558" s="12" t="str">
        <f t="shared" ref="A558" si="290">A557</f>
        <v>ЩС-41</v>
      </c>
      <c r="B558" s="13" t="s">
        <v>34</v>
      </c>
      <c r="C558" s="14" t="s">
        <v>123</v>
      </c>
      <c r="D558" s="12" t="s">
        <v>124</v>
      </c>
      <c r="E558" s="13">
        <v>3372</v>
      </c>
      <c r="F558" s="15">
        <f t="shared" ref="F558:F559" si="291">E558*0.6</f>
        <v>2023.1999999999998</v>
      </c>
      <c r="G558" s="15">
        <f t="shared" ref="G558:G560" si="292">F558*H558</f>
        <v>2023.1999999999998</v>
      </c>
      <c r="H558" s="16">
        <v>1</v>
      </c>
      <c r="I558" s="17" t="s">
        <v>13</v>
      </c>
      <c r="J558" s="13" t="s">
        <v>17</v>
      </c>
      <c r="K558">
        <v>2023.1999999999998</v>
      </c>
    </row>
    <row r="559" spans="1:11" ht="21" hidden="1" customHeight="1" x14ac:dyDescent="0.25">
      <c r="A559" s="12" t="str">
        <f>A558</f>
        <v>ЩС-41</v>
      </c>
      <c r="B559" s="13" t="s">
        <v>27</v>
      </c>
      <c r="C559" s="14" t="s">
        <v>107</v>
      </c>
      <c r="D559" s="12" t="s">
        <v>108</v>
      </c>
      <c r="E559" s="13">
        <v>5104</v>
      </c>
      <c r="F559" s="15">
        <f t="shared" si="291"/>
        <v>3062.4</v>
      </c>
      <c r="G559" s="15">
        <f t="shared" si="292"/>
        <v>21436.799999999999</v>
      </c>
      <c r="H559" s="16">
        <v>7</v>
      </c>
      <c r="I559" s="17" t="s">
        <v>13</v>
      </c>
      <c r="J559" s="13" t="s">
        <v>17</v>
      </c>
      <c r="K559">
        <v>21436.799999999999</v>
      </c>
    </row>
    <row r="560" spans="1:11" ht="24" hidden="1" customHeight="1" x14ac:dyDescent="0.25">
      <c r="A560" s="12" t="str">
        <f>A559</f>
        <v>ЩС-41</v>
      </c>
      <c r="B560" s="12" t="s">
        <v>10</v>
      </c>
      <c r="C560" s="18" t="s">
        <v>10</v>
      </c>
      <c r="D560" s="12" t="s">
        <v>10</v>
      </c>
      <c r="E560" s="12">
        <f ca="1">OFFSET(E560,1,2)</f>
        <v>9000</v>
      </c>
      <c r="F560" s="15">
        <f ca="1">E560</f>
        <v>9000</v>
      </c>
      <c r="G560" s="15">
        <f t="shared" ca="1" si="292"/>
        <v>9000</v>
      </c>
      <c r="H560" s="12">
        <v>1</v>
      </c>
      <c r="I560" s="12" t="s">
        <v>13</v>
      </c>
      <c r="J560" s="12" t="s">
        <v>10</v>
      </c>
      <c r="K560">
        <v>9000</v>
      </c>
    </row>
    <row r="561" spans="1:11" ht="21" hidden="1" customHeight="1" x14ac:dyDescent="0.25">
      <c r="A561" s="12" t="str">
        <f t="shared" ref="A561:A562" si="293">A560</f>
        <v>ЩС-41</v>
      </c>
      <c r="B561" s="12" t="s">
        <v>11</v>
      </c>
      <c r="C561" s="18" t="s">
        <v>11</v>
      </c>
      <c r="D561" s="12" t="s">
        <v>11</v>
      </c>
      <c r="E561" s="12">
        <v>1.5</v>
      </c>
      <c r="F561" s="15">
        <v>100</v>
      </c>
      <c r="G561" s="15">
        <f>60*E561*F561</f>
        <v>9000</v>
      </c>
      <c r="H561" s="12">
        <f>60*E561</f>
        <v>90</v>
      </c>
      <c r="I561" s="12" t="s">
        <v>13</v>
      </c>
      <c r="J561" s="12" t="s">
        <v>11</v>
      </c>
      <c r="K561">
        <v>9000</v>
      </c>
    </row>
    <row r="562" spans="1:11" ht="30" customHeight="1" x14ac:dyDescent="0.25">
      <c r="A562" s="12" t="str">
        <f t="shared" si="293"/>
        <v>ЩС-41</v>
      </c>
      <c r="B562" s="19"/>
      <c r="C562" s="20"/>
      <c r="D562" s="21"/>
      <c r="E562" s="23"/>
      <c r="F562" s="25"/>
      <c r="G562" s="24">
        <f ca="1">SUM(G557:G561)</f>
        <v>50736</v>
      </c>
      <c r="H562" s="20"/>
      <c r="I562" s="22"/>
      <c r="J562" s="20"/>
      <c r="K562">
        <v>50736</v>
      </c>
    </row>
    <row r="563" spans="1:11" ht="39.75" customHeight="1" x14ac:dyDescent="0.25">
      <c r="A563" s="5" t="str">
        <f>D563</f>
        <v>ЩС-42</v>
      </c>
      <c r="B563" s="6"/>
      <c r="C563" s="7"/>
      <c r="D563" s="6" t="s">
        <v>195</v>
      </c>
      <c r="E563" s="8"/>
      <c r="F563" s="8"/>
      <c r="G563" s="9"/>
      <c r="H563" s="10">
        <v>1</v>
      </c>
      <c r="I563" s="11" t="s">
        <v>7</v>
      </c>
      <c r="J563" s="6" t="s">
        <v>9</v>
      </c>
    </row>
    <row r="564" spans="1:11" ht="21" hidden="1" customHeight="1" x14ac:dyDescent="0.25">
      <c r="A564" s="12" t="str">
        <f>A563</f>
        <v>ЩС-42</v>
      </c>
      <c r="B564" s="13" t="s">
        <v>8</v>
      </c>
      <c r="C564" s="14" t="s">
        <v>212</v>
      </c>
      <c r="D564" s="12" t="s">
        <v>213</v>
      </c>
      <c r="E564" s="13">
        <v>16000</v>
      </c>
      <c r="F564" s="15">
        <f>E564*0.6</f>
        <v>9600</v>
      </c>
      <c r="G564" s="15">
        <f>H564*F564</f>
        <v>9600</v>
      </c>
      <c r="H564" s="16">
        <v>1</v>
      </c>
      <c r="I564" s="17" t="s">
        <v>13</v>
      </c>
      <c r="J564" s="13" t="s">
        <v>16</v>
      </c>
      <c r="K564">
        <v>9600</v>
      </c>
    </row>
    <row r="565" spans="1:11" ht="20.25" hidden="1" customHeight="1" x14ac:dyDescent="0.25">
      <c r="A565" s="12" t="str">
        <f t="shared" ref="A565" si="294">A564</f>
        <v>ЩС-42</v>
      </c>
      <c r="B565" s="13" t="s">
        <v>34</v>
      </c>
      <c r="C565" s="14" t="s">
        <v>123</v>
      </c>
      <c r="D565" s="12" t="s">
        <v>128</v>
      </c>
      <c r="E565" s="13">
        <v>3372</v>
      </c>
      <c r="F565" s="15">
        <f t="shared" ref="F565:F566" si="295">E565*0.6</f>
        <v>2023.1999999999998</v>
      </c>
      <c r="G565" s="15">
        <f t="shared" ref="G565:G567" si="296">F565*H565</f>
        <v>2023.1999999999998</v>
      </c>
      <c r="H565" s="16">
        <v>1</v>
      </c>
      <c r="I565" s="17" t="s">
        <v>13</v>
      </c>
      <c r="J565" s="13" t="s">
        <v>17</v>
      </c>
      <c r="K565">
        <v>2023.1999999999998</v>
      </c>
    </row>
    <row r="566" spans="1:11" ht="21" hidden="1" customHeight="1" x14ac:dyDescent="0.25">
      <c r="A566" s="12" t="str">
        <f>A565</f>
        <v>ЩС-42</v>
      </c>
      <c r="B566" s="13" t="s">
        <v>27</v>
      </c>
      <c r="C566" s="14" t="s">
        <v>107</v>
      </c>
      <c r="D566" s="12" t="s">
        <v>108</v>
      </c>
      <c r="E566" s="13">
        <v>5104</v>
      </c>
      <c r="F566" s="15">
        <f t="shared" si="295"/>
        <v>3062.4</v>
      </c>
      <c r="G566" s="15">
        <f t="shared" si="296"/>
        <v>27561.600000000002</v>
      </c>
      <c r="H566" s="16">
        <v>9</v>
      </c>
      <c r="I566" s="17" t="s">
        <v>13</v>
      </c>
      <c r="J566" s="13" t="s">
        <v>17</v>
      </c>
      <c r="K566">
        <v>27561.600000000002</v>
      </c>
    </row>
    <row r="567" spans="1:11" ht="24" hidden="1" customHeight="1" x14ac:dyDescent="0.25">
      <c r="A567" s="12" t="str">
        <f>A566</f>
        <v>ЩС-42</v>
      </c>
      <c r="B567" s="12" t="s">
        <v>10</v>
      </c>
      <c r="C567" s="18" t="s">
        <v>10</v>
      </c>
      <c r="D567" s="12" t="s">
        <v>10</v>
      </c>
      <c r="E567" s="12">
        <f ca="1">OFFSET(E567,1,2)</f>
        <v>9000</v>
      </c>
      <c r="F567" s="15">
        <f ca="1">E567</f>
        <v>9000</v>
      </c>
      <c r="G567" s="15">
        <f t="shared" ca="1" si="296"/>
        <v>9000</v>
      </c>
      <c r="H567" s="12">
        <v>1</v>
      </c>
      <c r="I567" s="12" t="s">
        <v>13</v>
      </c>
      <c r="J567" s="12" t="s">
        <v>10</v>
      </c>
      <c r="K567">
        <v>9000</v>
      </c>
    </row>
    <row r="568" spans="1:11" ht="21" hidden="1" customHeight="1" x14ac:dyDescent="0.25">
      <c r="A568" s="12" t="str">
        <f t="shared" ref="A568:A569" si="297">A567</f>
        <v>ЩС-42</v>
      </c>
      <c r="B568" s="12" t="s">
        <v>11</v>
      </c>
      <c r="C568" s="18" t="s">
        <v>11</v>
      </c>
      <c r="D568" s="12" t="s">
        <v>11</v>
      </c>
      <c r="E568" s="12">
        <v>1.5</v>
      </c>
      <c r="F568" s="15">
        <v>100</v>
      </c>
      <c r="G568" s="15">
        <f>60*E568*F568</f>
        <v>9000</v>
      </c>
      <c r="H568" s="12">
        <f>60*E568</f>
        <v>90</v>
      </c>
      <c r="I568" s="12" t="s">
        <v>13</v>
      </c>
      <c r="J568" s="12" t="s">
        <v>11</v>
      </c>
      <c r="K568">
        <v>9000</v>
      </c>
    </row>
    <row r="569" spans="1:11" ht="30" customHeight="1" x14ac:dyDescent="0.25">
      <c r="A569" s="12" t="str">
        <f t="shared" si="297"/>
        <v>ЩС-42</v>
      </c>
      <c r="B569" s="19"/>
      <c r="C569" s="20"/>
      <c r="D569" s="21"/>
      <c r="E569" s="23"/>
      <c r="F569" s="25"/>
      <c r="G569" s="24">
        <f ca="1">SUM(G564:G568)</f>
        <v>57184.800000000003</v>
      </c>
      <c r="H569" s="20"/>
      <c r="I569" s="22"/>
      <c r="J569" s="20"/>
      <c r="K569">
        <v>57184.800000000003</v>
      </c>
    </row>
    <row r="570" spans="1:11" ht="39.75" customHeight="1" x14ac:dyDescent="0.25">
      <c r="A570" s="5" t="str">
        <f>D570</f>
        <v>ЩС-43</v>
      </c>
      <c r="B570" s="6"/>
      <c r="C570" s="7"/>
      <c r="D570" s="6" t="s">
        <v>196</v>
      </c>
      <c r="E570" s="8"/>
      <c r="F570" s="8"/>
      <c r="G570" s="9"/>
      <c r="H570" s="10">
        <v>1</v>
      </c>
      <c r="I570" s="11" t="s">
        <v>7</v>
      </c>
      <c r="J570" s="6" t="s">
        <v>9</v>
      </c>
    </row>
    <row r="571" spans="1:11" ht="21" hidden="1" customHeight="1" x14ac:dyDescent="0.25">
      <c r="A571" s="12" t="str">
        <f>A570</f>
        <v>ЩС-43</v>
      </c>
      <c r="B571" s="13" t="s">
        <v>8</v>
      </c>
      <c r="C571" s="14" t="s">
        <v>210</v>
      </c>
      <c r="D571" s="12" t="s">
        <v>211</v>
      </c>
      <c r="E571" s="13">
        <v>19000</v>
      </c>
      <c r="F571" s="15">
        <f>E571*0.6</f>
        <v>11400</v>
      </c>
      <c r="G571" s="15">
        <f>H571*F571</f>
        <v>11400</v>
      </c>
      <c r="H571" s="16">
        <v>1</v>
      </c>
      <c r="I571" s="17" t="s">
        <v>13</v>
      </c>
      <c r="J571" s="13" t="s">
        <v>16</v>
      </c>
      <c r="K571">
        <v>11400</v>
      </c>
    </row>
    <row r="572" spans="1:11" ht="20.25" hidden="1" customHeight="1" x14ac:dyDescent="0.25">
      <c r="A572" s="12" t="str">
        <f t="shared" ref="A572" si="298">A571</f>
        <v>ЩС-43</v>
      </c>
      <c r="B572" s="13" t="s">
        <v>34</v>
      </c>
      <c r="C572" s="14" t="s">
        <v>97</v>
      </c>
      <c r="D572" s="12" t="s">
        <v>98</v>
      </c>
      <c r="E572" s="13">
        <v>4217</v>
      </c>
      <c r="F572" s="15">
        <f t="shared" ref="F572:F573" si="299">E572*0.6</f>
        <v>2530.1999999999998</v>
      </c>
      <c r="G572" s="15">
        <f t="shared" ref="G572:G574" si="300">F572*H572</f>
        <v>2530.1999999999998</v>
      </c>
      <c r="H572" s="16">
        <v>1</v>
      </c>
      <c r="I572" s="17" t="s">
        <v>13</v>
      </c>
      <c r="J572" s="13" t="s">
        <v>17</v>
      </c>
      <c r="K572">
        <v>2530.1999999999998</v>
      </c>
    </row>
    <row r="573" spans="1:11" ht="21" hidden="1" customHeight="1" x14ac:dyDescent="0.25">
      <c r="A573" s="12" t="str">
        <f>A572</f>
        <v>ЩС-43</v>
      </c>
      <c r="B573" s="13" t="s">
        <v>27</v>
      </c>
      <c r="C573" s="14" t="s">
        <v>107</v>
      </c>
      <c r="D573" s="12" t="s">
        <v>108</v>
      </c>
      <c r="E573" s="13">
        <v>5104</v>
      </c>
      <c r="F573" s="15">
        <f t="shared" si="299"/>
        <v>3062.4</v>
      </c>
      <c r="G573" s="15">
        <f t="shared" si="300"/>
        <v>39811.200000000004</v>
      </c>
      <c r="H573" s="16">
        <v>13</v>
      </c>
      <c r="I573" s="17" t="s">
        <v>13</v>
      </c>
      <c r="J573" s="13" t="s">
        <v>17</v>
      </c>
      <c r="K573">
        <v>39811.200000000004</v>
      </c>
    </row>
    <row r="574" spans="1:11" ht="24" hidden="1" customHeight="1" x14ac:dyDescent="0.25">
      <c r="A574" s="12" t="str">
        <f>A573</f>
        <v>ЩС-43</v>
      </c>
      <c r="B574" s="12" t="s">
        <v>10</v>
      </c>
      <c r="C574" s="18" t="s">
        <v>10</v>
      </c>
      <c r="D574" s="12" t="s">
        <v>10</v>
      </c>
      <c r="E574" s="12">
        <f ca="1">OFFSET(E574,1,2)</f>
        <v>15000</v>
      </c>
      <c r="F574" s="15">
        <f ca="1">E574</f>
        <v>15000</v>
      </c>
      <c r="G574" s="15">
        <f t="shared" ca="1" si="300"/>
        <v>15000</v>
      </c>
      <c r="H574" s="12">
        <v>1</v>
      </c>
      <c r="I574" s="12" t="s">
        <v>13</v>
      </c>
      <c r="J574" s="12" t="s">
        <v>10</v>
      </c>
      <c r="K574">
        <v>15000</v>
      </c>
    </row>
    <row r="575" spans="1:11" ht="21" hidden="1" customHeight="1" x14ac:dyDescent="0.25">
      <c r="A575" s="12" t="str">
        <f t="shared" ref="A575:A576" si="301">A574</f>
        <v>ЩС-43</v>
      </c>
      <c r="B575" s="12" t="s">
        <v>11</v>
      </c>
      <c r="C575" s="18" t="s">
        <v>11</v>
      </c>
      <c r="D575" s="12" t="s">
        <v>11</v>
      </c>
      <c r="E575" s="12">
        <v>2.5</v>
      </c>
      <c r="F575" s="15">
        <v>100</v>
      </c>
      <c r="G575" s="15">
        <f>60*E575*F575</f>
        <v>15000</v>
      </c>
      <c r="H575" s="12">
        <f>60*E575</f>
        <v>150</v>
      </c>
      <c r="I575" s="12" t="s">
        <v>13</v>
      </c>
      <c r="J575" s="12" t="s">
        <v>11</v>
      </c>
      <c r="K575">
        <v>15000</v>
      </c>
    </row>
    <row r="576" spans="1:11" ht="30" customHeight="1" x14ac:dyDescent="0.25">
      <c r="A576" s="12" t="str">
        <f t="shared" si="301"/>
        <v>ЩС-43</v>
      </c>
      <c r="B576" s="19"/>
      <c r="C576" s="20"/>
      <c r="D576" s="21"/>
      <c r="E576" s="23"/>
      <c r="F576" s="25"/>
      <c r="G576" s="24">
        <f ca="1">SUM(G571:G575)</f>
        <v>83741.400000000009</v>
      </c>
      <c r="H576" s="20"/>
      <c r="I576" s="22"/>
      <c r="J576" s="20"/>
      <c r="K576">
        <v>83741.400000000009</v>
      </c>
    </row>
    <row r="577" spans="1:11" ht="39.75" customHeight="1" x14ac:dyDescent="0.25">
      <c r="A577" s="5" t="str">
        <f>D577</f>
        <v>ЩС-44</v>
      </c>
      <c r="B577" s="6"/>
      <c r="C577" s="7"/>
      <c r="D577" s="6" t="s">
        <v>197</v>
      </c>
      <c r="E577" s="8"/>
      <c r="F577" s="8"/>
      <c r="G577" s="9"/>
      <c r="H577" s="10">
        <v>1</v>
      </c>
      <c r="I577" s="11" t="s">
        <v>7</v>
      </c>
      <c r="J577" s="6" t="s">
        <v>9</v>
      </c>
    </row>
    <row r="578" spans="1:11" ht="21" hidden="1" customHeight="1" x14ac:dyDescent="0.25">
      <c r="A578" s="12" t="str">
        <f>A577</f>
        <v>ЩС-44</v>
      </c>
      <c r="B578" s="13" t="s">
        <v>8</v>
      </c>
      <c r="C578" s="14" t="s">
        <v>212</v>
      </c>
      <c r="D578" s="12" t="s">
        <v>213</v>
      </c>
      <c r="E578" s="13">
        <v>16000</v>
      </c>
      <c r="F578" s="15">
        <f>E578*0.6</f>
        <v>9600</v>
      </c>
      <c r="G578" s="15">
        <f>H578*F578</f>
        <v>9600</v>
      </c>
      <c r="H578" s="16">
        <v>1</v>
      </c>
      <c r="I578" s="17" t="s">
        <v>13</v>
      </c>
      <c r="J578" s="13" t="s">
        <v>16</v>
      </c>
      <c r="K578">
        <v>9600</v>
      </c>
    </row>
    <row r="579" spans="1:11" ht="20.25" hidden="1" customHeight="1" x14ac:dyDescent="0.25">
      <c r="A579" s="12" t="str">
        <f t="shared" ref="A579" si="302">A578</f>
        <v>ЩС-44</v>
      </c>
      <c r="B579" s="13" t="s">
        <v>34</v>
      </c>
      <c r="C579" s="14" t="s">
        <v>123</v>
      </c>
      <c r="D579" s="12" t="s">
        <v>124</v>
      </c>
      <c r="E579" s="13">
        <v>3372</v>
      </c>
      <c r="F579" s="15">
        <f t="shared" ref="F579:F580" si="303">E579*0.6</f>
        <v>2023.1999999999998</v>
      </c>
      <c r="G579" s="15">
        <f t="shared" ref="G579:G581" si="304">F579*H579</f>
        <v>2023.1999999999998</v>
      </c>
      <c r="H579" s="16">
        <v>1</v>
      </c>
      <c r="I579" s="17" t="s">
        <v>13</v>
      </c>
      <c r="J579" s="13" t="s">
        <v>17</v>
      </c>
      <c r="K579">
        <v>2023.1999999999998</v>
      </c>
    </row>
    <row r="580" spans="1:11" ht="21" hidden="1" customHeight="1" x14ac:dyDescent="0.25">
      <c r="A580" s="12" t="str">
        <f>A579</f>
        <v>ЩС-44</v>
      </c>
      <c r="B580" s="13" t="s">
        <v>27</v>
      </c>
      <c r="C580" s="14" t="s">
        <v>107</v>
      </c>
      <c r="D580" s="12" t="s">
        <v>108</v>
      </c>
      <c r="E580" s="13">
        <v>5104</v>
      </c>
      <c r="F580" s="15">
        <f t="shared" si="303"/>
        <v>3062.4</v>
      </c>
      <c r="G580" s="15">
        <f t="shared" si="304"/>
        <v>21436.799999999999</v>
      </c>
      <c r="H580" s="16">
        <v>7</v>
      </c>
      <c r="I580" s="17" t="s">
        <v>13</v>
      </c>
      <c r="J580" s="13" t="s">
        <v>17</v>
      </c>
      <c r="K580">
        <v>21436.799999999999</v>
      </c>
    </row>
    <row r="581" spans="1:11" ht="24" hidden="1" customHeight="1" x14ac:dyDescent="0.25">
      <c r="A581" s="12" t="str">
        <f>A580</f>
        <v>ЩС-44</v>
      </c>
      <c r="B581" s="12" t="s">
        <v>10</v>
      </c>
      <c r="C581" s="18" t="s">
        <v>10</v>
      </c>
      <c r="D581" s="12" t="s">
        <v>10</v>
      </c>
      <c r="E581" s="12">
        <f ca="1">OFFSET(E581,1,2)</f>
        <v>9000</v>
      </c>
      <c r="F581" s="15">
        <f ca="1">E581</f>
        <v>9000</v>
      </c>
      <c r="G581" s="15">
        <f t="shared" ca="1" si="304"/>
        <v>9000</v>
      </c>
      <c r="H581" s="12">
        <v>1</v>
      </c>
      <c r="I581" s="12" t="s">
        <v>13</v>
      </c>
      <c r="J581" s="12" t="s">
        <v>10</v>
      </c>
      <c r="K581">
        <v>9000</v>
      </c>
    </row>
    <row r="582" spans="1:11" ht="21" hidden="1" customHeight="1" x14ac:dyDescent="0.25">
      <c r="A582" s="12" t="str">
        <f t="shared" ref="A582:A583" si="305">A581</f>
        <v>ЩС-44</v>
      </c>
      <c r="B582" s="12" t="s">
        <v>11</v>
      </c>
      <c r="C582" s="18" t="s">
        <v>11</v>
      </c>
      <c r="D582" s="12" t="s">
        <v>11</v>
      </c>
      <c r="E582" s="12">
        <v>1.5</v>
      </c>
      <c r="F582" s="15">
        <v>100</v>
      </c>
      <c r="G582" s="15">
        <f>60*E582*F582</f>
        <v>9000</v>
      </c>
      <c r="H582" s="12">
        <f>60*E582</f>
        <v>90</v>
      </c>
      <c r="I582" s="12" t="s">
        <v>13</v>
      </c>
      <c r="J582" s="12" t="s">
        <v>11</v>
      </c>
      <c r="K582">
        <v>9000</v>
      </c>
    </row>
    <row r="583" spans="1:11" ht="30" customHeight="1" x14ac:dyDescent="0.25">
      <c r="A583" s="12" t="str">
        <f t="shared" si="305"/>
        <v>ЩС-44</v>
      </c>
      <c r="B583" s="19"/>
      <c r="C583" s="20"/>
      <c r="D583" s="21"/>
      <c r="E583" s="23"/>
      <c r="F583" s="25"/>
      <c r="G583" s="24">
        <f ca="1">SUM(G578:G582)</f>
        <v>51060</v>
      </c>
      <c r="H583" s="20"/>
      <c r="I583" s="22"/>
      <c r="J583" s="20"/>
      <c r="K583">
        <v>51060</v>
      </c>
    </row>
    <row r="584" spans="1:11" ht="39.75" customHeight="1" x14ac:dyDescent="0.25">
      <c r="A584" s="5" t="str">
        <f>D584</f>
        <v>ЩС-45</v>
      </c>
      <c r="B584" s="6"/>
      <c r="C584" s="7"/>
      <c r="D584" s="6" t="s">
        <v>198</v>
      </c>
      <c r="E584" s="8"/>
      <c r="F584" s="8"/>
      <c r="G584" s="9"/>
      <c r="H584" s="10">
        <v>1</v>
      </c>
      <c r="I584" s="11" t="s">
        <v>7</v>
      </c>
      <c r="J584" s="6" t="s">
        <v>9</v>
      </c>
    </row>
    <row r="585" spans="1:11" ht="21" hidden="1" customHeight="1" x14ac:dyDescent="0.25">
      <c r="A585" s="12" t="str">
        <f>A584</f>
        <v>ЩС-45</v>
      </c>
      <c r="B585" s="13" t="s">
        <v>8</v>
      </c>
      <c r="C585" s="14" t="s">
        <v>216</v>
      </c>
      <c r="D585" s="12" t="s">
        <v>217</v>
      </c>
      <c r="E585" s="13">
        <v>15460</v>
      </c>
      <c r="F585" s="15">
        <f>E585*0.6</f>
        <v>9276</v>
      </c>
      <c r="G585" s="15">
        <f>H585*F585</f>
        <v>9276</v>
      </c>
      <c r="H585" s="16">
        <v>1</v>
      </c>
      <c r="I585" s="17" t="s">
        <v>13</v>
      </c>
      <c r="J585" s="13" t="s">
        <v>16</v>
      </c>
      <c r="K585">
        <v>9276</v>
      </c>
    </row>
    <row r="586" spans="1:11" ht="20.25" hidden="1" customHeight="1" x14ac:dyDescent="0.25">
      <c r="A586" s="12" t="str">
        <f t="shared" ref="A586" si="306">A585</f>
        <v>ЩС-45</v>
      </c>
      <c r="B586" s="13" t="s">
        <v>34</v>
      </c>
      <c r="C586" s="14" t="s">
        <v>99</v>
      </c>
      <c r="D586" s="12" t="s">
        <v>100</v>
      </c>
      <c r="E586" s="13">
        <v>3372</v>
      </c>
      <c r="F586" s="15">
        <f t="shared" ref="F586" si="307">E586*0.6</f>
        <v>2023.1999999999998</v>
      </c>
      <c r="G586" s="15">
        <f t="shared" ref="G586" si="308">F586*H586</f>
        <v>2023.1999999999998</v>
      </c>
      <c r="H586" s="16">
        <v>1</v>
      </c>
      <c r="I586" s="17" t="s">
        <v>13</v>
      </c>
      <c r="J586" s="13" t="s">
        <v>17</v>
      </c>
      <c r="K586">
        <v>2023.1999999999998</v>
      </c>
    </row>
    <row r="587" spans="1:11" ht="21" hidden="1" customHeight="1" x14ac:dyDescent="0.25">
      <c r="A587" s="12" t="str">
        <f>A586</f>
        <v>ЩС-45</v>
      </c>
      <c r="B587" s="13" t="s">
        <v>27</v>
      </c>
      <c r="C587" s="14" t="s">
        <v>107</v>
      </c>
      <c r="D587" s="12" t="s">
        <v>108</v>
      </c>
      <c r="E587" s="13">
        <v>5104</v>
      </c>
      <c r="F587" s="15">
        <f t="shared" ref="F587" si="309">E587*0.6</f>
        <v>3062.4</v>
      </c>
      <c r="G587" s="15">
        <f t="shared" ref="G587:G588" si="310">F587*H587</f>
        <v>18374.400000000001</v>
      </c>
      <c r="H587" s="16">
        <v>6</v>
      </c>
      <c r="I587" s="17" t="s">
        <v>13</v>
      </c>
      <c r="J587" s="13" t="s">
        <v>17</v>
      </c>
      <c r="K587">
        <v>18374.400000000001</v>
      </c>
    </row>
    <row r="588" spans="1:11" ht="24" hidden="1" customHeight="1" x14ac:dyDescent="0.25">
      <c r="A588" s="12" t="str">
        <f>A587</f>
        <v>ЩС-45</v>
      </c>
      <c r="B588" s="12" t="s">
        <v>10</v>
      </c>
      <c r="C588" s="18" t="s">
        <v>10</v>
      </c>
      <c r="D588" s="12" t="s">
        <v>10</v>
      </c>
      <c r="E588" s="12">
        <f ca="1">OFFSET(E588,1,2)</f>
        <v>9000</v>
      </c>
      <c r="F588" s="15">
        <f ca="1">E588</f>
        <v>9000</v>
      </c>
      <c r="G588" s="15">
        <f t="shared" ca="1" si="310"/>
        <v>9000</v>
      </c>
      <c r="H588" s="12">
        <v>1</v>
      </c>
      <c r="I588" s="12" t="s">
        <v>13</v>
      </c>
      <c r="J588" s="12" t="s">
        <v>10</v>
      </c>
      <c r="K588">
        <v>9000</v>
      </c>
    </row>
    <row r="589" spans="1:11" ht="21" hidden="1" customHeight="1" x14ac:dyDescent="0.25">
      <c r="A589" s="12" t="str">
        <f t="shared" ref="A589:A590" si="311">A588</f>
        <v>ЩС-45</v>
      </c>
      <c r="B589" s="12" t="s">
        <v>11</v>
      </c>
      <c r="C589" s="18" t="s">
        <v>11</v>
      </c>
      <c r="D589" s="12" t="s">
        <v>11</v>
      </c>
      <c r="E589" s="12">
        <v>1.5</v>
      </c>
      <c r="F589" s="15">
        <v>100</v>
      </c>
      <c r="G589" s="15">
        <f>60*E589*F589</f>
        <v>9000</v>
      </c>
      <c r="H589" s="12">
        <f>60*E589</f>
        <v>90</v>
      </c>
      <c r="I589" s="12" t="s">
        <v>13</v>
      </c>
      <c r="J589" s="12" t="s">
        <v>11</v>
      </c>
      <c r="K589">
        <v>9000</v>
      </c>
    </row>
    <row r="590" spans="1:11" ht="30" customHeight="1" x14ac:dyDescent="0.25">
      <c r="A590" s="12" t="str">
        <f t="shared" si="311"/>
        <v>ЩС-45</v>
      </c>
      <c r="B590" s="19"/>
      <c r="C590" s="20"/>
      <c r="D590" s="21"/>
      <c r="E590" s="23"/>
      <c r="F590" s="25"/>
      <c r="G590" s="24">
        <f ca="1">SUM(G585:G589)</f>
        <v>47673.600000000006</v>
      </c>
      <c r="H590" s="20"/>
      <c r="I590" s="22"/>
      <c r="J590" s="20"/>
      <c r="K590">
        <v>47673.600000000006</v>
      </c>
    </row>
    <row r="591" spans="1:11" ht="39.75" customHeight="1" x14ac:dyDescent="0.25">
      <c r="A591" s="5" t="str">
        <f>D591</f>
        <v>ЩС-46</v>
      </c>
      <c r="B591" s="6"/>
      <c r="C591" s="7"/>
      <c r="D591" s="6" t="s">
        <v>199</v>
      </c>
      <c r="E591" s="8"/>
      <c r="F591" s="8"/>
      <c r="G591" s="9"/>
      <c r="H591" s="10">
        <v>1</v>
      </c>
      <c r="I591" s="11" t="s">
        <v>7</v>
      </c>
      <c r="J591" s="6" t="s">
        <v>9</v>
      </c>
    </row>
    <row r="592" spans="1:11" ht="21" hidden="1" customHeight="1" x14ac:dyDescent="0.25">
      <c r="A592" s="12" t="str">
        <f>A591</f>
        <v>ЩС-46</v>
      </c>
      <c r="B592" s="13" t="s">
        <v>8</v>
      </c>
      <c r="C592" s="14" t="s">
        <v>216</v>
      </c>
      <c r="D592" s="12" t="s">
        <v>217</v>
      </c>
      <c r="E592" s="13">
        <v>15460</v>
      </c>
      <c r="F592" s="15">
        <f>E592*0.6</f>
        <v>9276</v>
      </c>
      <c r="G592" s="15">
        <f>H592*F592</f>
        <v>9276</v>
      </c>
      <c r="H592" s="16">
        <v>1</v>
      </c>
      <c r="I592" s="17" t="s">
        <v>13</v>
      </c>
      <c r="J592" s="13" t="s">
        <v>16</v>
      </c>
      <c r="K592">
        <v>9276</v>
      </c>
    </row>
    <row r="593" spans="1:11" ht="20.25" hidden="1" customHeight="1" x14ac:dyDescent="0.25">
      <c r="A593" s="12" t="str">
        <f t="shared" ref="A593" si="312">A592</f>
        <v>ЩС-46</v>
      </c>
      <c r="B593" s="13" t="s">
        <v>34</v>
      </c>
      <c r="C593" s="14" t="s">
        <v>99</v>
      </c>
      <c r="D593" s="12" t="s">
        <v>100</v>
      </c>
      <c r="E593" s="13">
        <v>3372</v>
      </c>
      <c r="F593" s="15">
        <f t="shared" ref="F593:F594" si="313">E593*0.6</f>
        <v>2023.1999999999998</v>
      </c>
      <c r="G593" s="15">
        <f t="shared" ref="G593:G595" si="314">F593*H593</f>
        <v>2023.1999999999998</v>
      </c>
      <c r="H593" s="16">
        <v>1</v>
      </c>
      <c r="I593" s="17" t="s">
        <v>13</v>
      </c>
      <c r="J593" s="13" t="s">
        <v>17</v>
      </c>
      <c r="K593">
        <v>2023.1999999999998</v>
      </c>
    </row>
    <row r="594" spans="1:11" ht="21" hidden="1" customHeight="1" x14ac:dyDescent="0.25">
      <c r="A594" s="12" t="str">
        <f>A593</f>
        <v>ЩС-46</v>
      </c>
      <c r="B594" s="13" t="s">
        <v>27</v>
      </c>
      <c r="C594" s="14" t="s">
        <v>107</v>
      </c>
      <c r="D594" s="12" t="s">
        <v>108</v>
      </c>
      <c r="E594" s="13">
        <v>5104</v>
      </c>
      <c r="F594" s="15">
        <f t="shared" si="313"/>
        <v>3062.4</v>
      </c>
      <c r="G594" s="15">
        <f t="shared" si="314"/>
        <v>15312</v>
      </c>
      <c r="H594" s="16">
        <v>5</v>
      </c>
      <c r="I594" s="17" t="s">
        <v>13</v>
      </c>
      <c r="J594" s="13" t="s">
        <v>17</v>
      </c>
      <c r="K594">
        <v>15312</v>
      </c>
    </row>
    <row r="595" spans="1:11" ht="24" hidden="1" customHeight="1" x14ac:dyDescent="0.25">
      <c r="A595" s="12" t="str">
        <f>A594</f>
        <v>ЩС-46</v>
      </c>
      <c r="B595" s="12" t="s">
        <v>10</v>
      </c>
      <c r="C595" s="18" t="s">
        <v>10</v>
      </c>
      <c r="D595" s="12" t="s">
        <v>10</v>
      </c>
      <c r="E595" s="12">
        <f ca="1">OFFSET(E595,1,2)</f>
        <v>9000</v>
      </c>
      <c r="F595" s="15">
        <f ca="1">E595</f>
        <v>9000</v>
      </c>
      <c r="G595" s="15">
        <f t="shared" ca="1" si="314"/>
        <v>9000</v>
      </c>
      <c r="H595" s="12">
        <v>1</v>
      </c>
      <c r="I595" s="12" t="s">
        <v>13</v>
      </c>
      <c r="J595" s="12" t="s">
        <v>10</v>
      </c>
      <c r="K595">
        <v>9000</v>
      </c>
    </row>
    <row r="596" spans="1:11" ht="21" hidden="1" customHeight="1" x14ac:dyDescent="0.25">
      <c r="A596" s="12" t="str">
        <f t="shared" ref="A596:A597" si="315">A595</f>
        <v>ЩС-46</v>
      </c>
      <c r="B596" s="12" t="s">
        <v>11</v>
      </c>
      <c r="C596" s="18" t="s">
        <v>11</v>
      </c>
      <c r="D596" s="12" t="s">
        <v>11</v>
      </c>
      <c r="E596" s="12">
        <v>1.5</v>
      </c>
      <c r="F596" s="15">
        <v>100</v>
      </c>
      <c r="G596" s="15">
        <f>60*E596*F596</f>
        <v>9000</v>
      </c>
      <c r="H596" s="12">
        <f>60*E596</f>
        <v>90</v>
      </c>
      <c r="I596" s="12" t="s">
        <v>13</v>
      </c>
      <c r="J596" s="12" t="s">
        <v>11</v>
      </c>
      <c r="K596">
        <v>9000</v>
      </c>
    </row>
    <row r="597" spans="1:11" ht="30" customHeight="1" x14ac:dyDescent="0.25">
      <c r="A597" s="12" t="str">
        <f t="shared" si="315"/>
        <v>ЩС-46</v>
      </c>
      <c r="B597" s="19"/>
      <c r="C597" s="20"/>
      <c r="D597" s="21"/>
      <c r="E597" s="23"/>
      <c r="F597" s="25"/>
      <c r="G597" s="24">
        <f ca="1">SUM(G592:G596)</f>
        <v>44611.199999999997</v>
      </c>
      <c r="H597" s="20"/>
      <c r="I597" s="22"/>
      <c r="J597" s="20"/>
      <c r="K597">
        <v>44611.199999999997</v>
      </c>
    </row>
  </sheetData>
  <autoFilter ref="A1:J597" xr:uid="{0E2C231C-0991-4FBE-BD8E-9CD4D9BF51D9}">
    <filterColumn colId="8">
      <filters blank="1">
        <filter val="комплект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1B72-C8BA-4A86-81DA-3EBD1CC90335}">
  <dimension ref="A1:S74"/>
  <sheetViews>
    <sheetView tabSelected="1" topLeftCell="A58" workbookViewId="0">
      <selection activeCell="O68" sqref="O68"/>
    </sheetView>
  </sheetViews>
  <sheetFormatPr defaultRowHeight="28.5" customHeight="1" x14ac:dyDescent="0.25"/>
  <cols>
    <col min="2" max="2" width="59.7109375" customWidth="1"/>
    <col min="3" max="3" width="10" bestFit="1" customWidth="1"/>
    <col min="5" max="5" width="20.42578125" customWidth="1"/>
  </cols>
  <sheetData>
    <row r="1" spans="1:10" ht="28.5" customHeight="1" x14ac:dyDescent="0.25">
      <c r="A1" s="2" t="s">
        <v>1</v>
      </c>
      <c r="B1" s="1" t="s">
        <v>14</v>
      </c>
      <c r="C1" s="1" t="s">
        <v>3</v>
      </c>
      <c r="D1" s="1" t="s">
        <v>3</v>
      </c>
      <c r="E1" s="3" t="s">
        <v>6</v>
      </c>
      <c r="F1" s="4" t="s">
        <v>15</v>
      </c>
      <c r="G1" s="4" t="s">
        <v>4</v>
      </c>
      <c r="H1" s="4" t="s">
        <v>5</v>
      </c>
      <c r="I1" t="s">
        <v>273</v>
      </c>
      <c r="J1" s="29" t="s">
        <v>274</v>
      </c>
    </row>
    <row r="2" spans="1:10" ht="28.5" customHeight="1" x14ac:dyDescent="0.25">
      <c r="A2" s="7"/>
      <c r="B2" s="6" t="s">
        <v>43</v>
      </c>
      <c r="C2" s="8">
        <f>ROUNDUP(J2,-3)</f>
        <v>1402000</v>
      </c>
      <c r="D2" s="8">
        <f>0.7*C2</f>
        <v>981399.99999999988</v>
      </c>
      <c r="E2" s="9">
        <f>D2*F2</f>
        <v>981399.99999999988</v>
      </c>
      <c r="F2" s="10">
        <v>1</v>
      </c>
      <c r="G2" s="11" t="s">
        <v>7</v>
      </c>
      <c r="H2" s="6" t="s">
        <v>9</v>
      </c>
      <c r="I2">
        <v>609180</v>
      </c>
      <c r="J2">
        <f>2.3*I2</f>
        <v>1401114</v>
      </c>
    </row>
    <row r="3" spans="1:10" ht="28.5" customHeight="1" x14ac:dyDescent="0.25">
      <c r="A3" s="7"/>
      <c r="B3" s="6" t="s">
        <v>262</v>
      </c>
      <c r="C3" s="8">
        <f t="shared" ref="C3:C61" si="0">ROUNDUP(J3,-3)</f>
        <v>191000</v>
      </c>
      <c r="D3" s="8">
        <f t="shared" ref="D3:D66" si="1">0.7*C3</f>
        <v>133700</v>
      </c>
      <c r="E3" s="9">
        <f t="shared" ref="E3:E66" si="2">D3*F3</f>
        <v>267400</v>
      </c>
      <c r="F3" s="10">
        <v>2</v>
      </c>
      <c r="G3" s="11" t="s">
        <v>7</v>
      </c>
      <c r="H3" s="6" t="s">
        <v>9</v>
      </c>
      <c r="I3">
        <v>82967.399999999994</v>
      </c>
      <c r="J3">
        <f t="shared" ref="J3:J66" si="3">2.3*I3</f>
        <v>190825.01999999996</v>
      </c>
    </row>
    <row r="4" spans="1:10" ht="28.5" customHeight="1" x14ac:dyDescent="0.25">
      <c r="A4" s="7"/>
      <c r="B4" s="6" t="s">
        <v>241</v>
      </c>
      <c r="C4" s="8">
        <f t="shared" si="0"/>
        <v>353000</v>
      </c>
      <c r="D4" s="8">
        <f t="shared" si="1"/>
        <v>247099.99999999997</v>
      </c>
      <c r="E4" s="9">
        <f t="shared" si="2"/>
        <v>247099.99999999997</v>
      </c>
      <c r="F4" s="10">
        <v>1</v>
      </c>
      <c r="G4" s="11" t="s">
        <v>7</v>
      </c>
      <c r="H4" s="6" t="s">
        <v>9</v>
      </c>
      <c r="I4">
        <v>153308.4</v>
      </c>
      <c r="J4">
        <f t="shared" si="3"/>
        <v>352609.31999999995</v>
      </c>
    </row>
    <row r="5" spans="1:10" ht="28.5" customHeight="1" x14ac:dyDescent="0.25">
      <c r="A5" s="7"/>
      <c r="B5" s="6" t="s">
        <v>242</v>
      </c>
      <c r="C5" s="8">
        <f t="shared" si="0"/>
        <v>427000</v>
      </c>
      <c r="D5" s="8">
        <f t="shared" si="1"/>
        <v>298900</v>
      </c>
      <c r="E5" s="9">
        <f t="shared" si="2"/>
        <v>298900</v>
      </c>
      <c r="F5" s="10">
        <v>1</v>
      </c>
      <c r="G5" s="11" t="s">
        <v>7</v>
      </c>
      <c r="H5" s="6" t="s">
        <v>9</v>
      </c>
      <c r="I5">
        <v>185251.19999999998</v>
      </c>
      <c r="J5">
        <f t="shared" si="3"/>
        <v>426077.75999999995</v>
      </c>
    </row>
    <row r="6" spans="1:10" ht="28.5" customHeight="1" x14ac:dyDescent="0.25">
      <c r="A6" s="7"/>
      <c r="B6" s="6" t="s">
        <v>243</v>
      </c>
      <c r="C6" s="8">
        <f t="shared" si="0"/>
        <v>869000</v>
      </c>
      <c r="D6" s="8">
        <f t="shared" si="1"/>
        <v>608300</v>
      </c>
      <c r="E6" s="9">
        <f t="shared" si="2"/>
        <v>608300</v>
      </c>
      <c r="F6" s="10">
        <v>1</v>
      </c>
      <c r="G6" s="11" t="s">
        <v>7</v>
      </c>
      <c r="H6" s="6" t="s">
        <v>9</v>
      </c>
      <c r="I6">
        <v>377777.39999999997</v>
      </c>
      <c r="J6">
        <f t="shared" si="3"/>
        <v>868888.0199999999</v>
      </c>
    </row>
    <row r="7" spans="1:10" ht="28.5" customHeight="1" x14ac:dyDescent="0.25">
      <c r="A7" s="7"/>
      <c r="B7" s="6" t="s">
        <v>209</v>
      </c>
      <c r="C7" s="8">
        <f t="shared" si="0"/>
        <v>406000</v>
      </c>
      <c r="D7" s="8">
        <f t="shared" si="1"/>
        <v>284200</v>
      </c>
      <c r="E7" s="9">
        <f t="shared" si="2"/>
        <v>284200</v>
      </c>
      <c r="F7" s="10">
        <v>1</v>
      </c>
      <c r="G7" s="11" t="s">
        <v>7</v>
      </c>
      <c r="H7" s="6" t="s">
        <v>9</v>
      </c>
      <c r="I7">
        <v>176411.2</v>
      </c>
      <c r="J7">
        <f t="shared" si="3"/>
        <v>405745.76</v>
      </c>
    </row>
    <row r="8" spans="1:10" ht="28.5" customHeight="1" x14ac:dyDescent="0.25">
      <c r="A8" s="7"/>
      <c r="B8" s="6" t="s">
        <v>248</v>
      </c>
      <c r="C8" s="8">
        <f t="shared" si="0"/>
        <v>1225000</v>
      </c>
      <c r="D8" s="8">
        <f t="shared" si="1"/>
        <v>857500</v>
      </c>
      <c r="E8" s="9">
        <f t="shared" si="2"/>
        <v>857500</v>
      </c>
      <c r="F8" s="10">
        <v>1</v>
      </c>
      <c r="G8" s="11" t="s">
        <v>7</v>
      </c>
      <c r="H8" s="6" t="s">
        <v>9</v>
      </c>
      <c r="I8">
        <v>532174.6</v>
      </c>
      <c r="J8">
        <f t="shared" si="3"/>
        <v>1224001.5799999998</v>
      </c>
    </row>
    <row r="9" spans="1:10" ht="28.5" customHeight="1" x14ac:dyDescent="0.25">
      <c r="A9" s="7"/>
      <c r="B9" s="6" t="s">
        <v>261</v>
      </c>
      <c r="C9" s="8">
        <f t="shared" si="0"/>
        <v>349000</v>
      </c>
      <c r="D9" s="8">
        <f t="shared" si="1"/>
        <v>244299.99999999997</v>
      </c>
      <c r="E9" s="9">
        <f t="shared" si="2"/>
        <v>732899.99999999988</v>
      </c>
      <c r="F9" s="10">
        <v>3</v>
      </c>
      <c r="G9" s="11" t="s">
        <v>7</v>
      </c>
      <c r="H9" s="6" t="s">
        <v>9</v>
      </c>
      <c r="I9">
        <v>151650</v>
      </c>
      <c r="J9">
        <f t="shared" si="3"/>
        <v>348795</v>
      </c>
    </row>
    <row r="10" spans="1:10" ht="28.5" customHeight="1" x14ac:dyDescent="0.25">
      <c r="A10" s="7"/>
      <c r="B10" s="6" t="s">
        <v>249</v>
      </c>
      <c r="C10" s="8">
        <f t="shared" si="0"/>
        <v>287000</v>
      </c>
      <c r="D10" s="8">
        <f t="shared" si="1"/>
        <v>200900</v>
      </c>
      <c r="E10" s="9">
        <f t="shared" si="2"/>
        <v>200900</v>
      </c>
      <c r="F10" s="10">
        <v>1</v>
      </c>
      <c r="G10" s="11" t="s">
        <v>7</v>
      </c>
      <c r="H10" s="6" t="s">
        <v>9</v>
      </c>
      <c r="I10">
        <v>124546.2</v>
      </c>
      <c r="J10">
        <f t="shared" si="3"/>
        <v>286456.25999999995</v>
      </c>
    </row>
    <row r="11" spans="1:10" ht="28.5" customHeight="1" x14ac:dyDescent="0.25">
      <c r="A11" s="7"/>
      <c r="B11" s="6" t="s">
        <v>250</v>
      </c>
      <c r="C11" s="8">
        <f t="shared" si="0"/>
        <v>261000</v>
      </c>
      <c r="D11" s="8">
        <f t="shared" si="1"/>
        <v>182700</v>
      </c>
      <c r="E11" s="9">
        <f t="shared" si="2"/>
        <v>182700</v>
      </c>
      <c r="F11" s="10">
        <v>1</v>
      </c>
      <c r="G11" s="11" t="s">
        <v>7</v>
      </c>
      <c r="H11" s="6" t="s">
        <v>9</v>
      </c>
      <c r="I11">
        <v>113441.8</v>
      </c>
      <c r="J11">
        <f t="shared" si="3"/>
        <v>260916.13999999998</v>
      </c>
    </row>
    <row r="12" spans="1:10" ht="28.5" customHeight="1" x14ac:dyDescent="0.25">
      <c r="A12" s="7"/>
      <c r="B12" s="6" t="s">
        <v>246</v>
      </c>
      <c r="C12" s="8">
        <f t="shared" si="0"/>
        <v>1060000</v>
      </c>
      <c r="D12" s="8">
        <f t="shared" si="1"/>
        <v>742000</v>
      </c>
      <c r="E12" s="9">
        <f t="shared" si="2"/>
        <v>742000</v>
      </c>
      <c r="F12" s="10">
        <v>1</v>
      </c>
      <c r="G12" s="11" t="s">
        <v>7</v>
      </c>
      <c r="H12" s="6" t="s">
        <v>9</v>
      </c>
      <c r="I12">
        <v>460612.2</v>
      </c>
      <c r="J12">
        <f t="shared" si="3"/>
        <v>1059408.06</v>
      </c>
    </row>
    <row r="13" spans="1:10" ht="28.5" customHeight="1" x14ac:dyDescent="0.25">
      <c r="A13" s="7"/>
      <c r="B13" s="6" t="s">
        <v>86</v>
      </c>
      <c r="C13" s="8">
        <f t="shared" si="0"/>
        <v>325000</v>
      </c>
      <c r="D13" s="8">
        <f t="shared" si="1"/>
        <v>227500</v>
      </c>
      <c r="E13" s="9">
        <f t="shared" si="2"/>
        <v>227500</v>
      </c>
      <c r="F13" s="10">
        <v>1</v>
      </c>
      <c r="G13" s="11" t="s">
        <v>7</v>
      </c>
      <c r="H13" s="6" t="s">
        <v>9</v>
      </c>
      <c r="I13">
        <v>141080.79999999999</v>
      </c>
      <c r="J13">
        <f t="shared" si="3"/>
        <v>324485.83999999997</v>
      </c>
    </row>
    <row r="14" spans="1:10" ht="28.5" customHeight="1" x14ac:dyDescent="0.25">
      <c r="A14" s="7"/>
      <c r="B14" s="6" t="s">
        <v>251</v>
      </c>
      <c r="C14" s="8">
        <f t="shared" si="0"/>
        <v>802000</v>
      </c>
      <c r="D14" s="8">
        <f t="shared" si="1"/>
        <v>561400</v>
      </c>
      <c r="E14" s="9">
        <f t="shared" si="2"/>
        <v>561400</v>
      </c>
      <c r="F14" s="10">
        <v>1</v>
      </c>
      <c r="G14" s="11" t="s">
        <v>7</v>
      </c>
      <c r="H14" s="6" t="s">
        <v>9</v>
      </c>
      <c r="I14">
        <v>348484.4</v>
      </c>
      <c r="J14">
        <f t="shared" si="3"/>
        <v>801514.12</v>
      </c>
    </row>
    <row r="15" spans="1:10" ht="28.5" customHeight="1" x14ac:dyDescent="0.25">
      <c r="A15" s="7"/>
      <c r="B15" s="6" t="s">
        <v>254</v>
      </c>
      <c r="C15" s="8">
        <f t="shared" si="0"/>
        <v>418000</v>
      </c>
      <c r="D15" s="8">
        <f t="shared" si="1"/>
        <v>292600</v>
      </c>
      <c r="E15" s="9">
        <f t="shared" si="2"/>
        <v>292600</v>
      </c>
      <c r="F15" s="10">
        <v>1</v>
      </c>
      <c r="G15" s="11" t="s">
        <v>7</v>
      </c>
      <c r="H15" s="6" t="s">
        <v>9</v>
      </c>
      <c r="I15">
        <v>181654.8</v>
      </c>
      <c r="J15">
        <f t="shared" si="3"/>
        <v>417806.03999999992</v>
      </c>
    </row>
    <row r="16" spans="1:10" ht="28.5" customHeight="1" x14ac:dyDescent="0.25">
      <c r="A16" s="7"/>
      <c r="B16" s="6" t="s">
        <v>247</v>
      </c>
      <c r="C16" s="8">
        <f t="shared" si="0"/>
        <v>814000</v>
      </c>
      <c r="D16" s="8">
        <f t="shared" si="1"/>
        <v>569800</v>
      </c>
      <c r="E16" s="9">
        <f t="shared" si="2"/>
        <v>569800</v>
      </c>
      <c r="F16" s="10">
        <v>1</v>
      </c>
      <c r="G16" s="11" t="s">
        <v>7</v>
      </c>
      <c r="H16" s="6" t="s">
        <v>9</v>
      </c>
      <c r="I16">
        <v>353484</v>
      </c>
      <c r="J16">
        <f t="shared" si="3"/>
        <v>813013.2</v>
      </c>
    </row>
    <row r="17" spans="1:10" ht="28.5" customHeight="1" x14ac:dyDescent="0.25">
      <c r="A17" s="7"/>
      <c r="B17" s="6" t="s">
        <v>96</v>
      </c>
      <c r="C17" s="8">
        <f t="shared" si="0"/>
        <v>249000</v>
      </c>
      <c r="D17" s="8">
        <f t="shared" si="1"/>
        <v>174300</v>
      </c>
      <c r="E17" s="9">
        <f t="shared" si="2"/>
        <v>174300</v>
      </c>
      <c r="F17" s="10">
        <v>1</v>
      </c>
      <c r="G17" s="11" t="s">
        <v>7</v>
      </c>
      <c r="H17" s="6" t="s">
        <v>9</v>
      </c>
      <c r="I17">
        <v>107870.8</v>
      </c>
      <c r="J17">
        <f t="shared" si="3"/>
        <v>248102.84</v>
      </c>
    </row>
    <row r="18" spans="1:10" ht="28.5" customHeight="1" x14ac:dyDescent="0.25">
      <c r="A18" s="7"/>
      <c r="B18" s="6" t="s">
        <v>255</v>
      </c>
      <c r="C18" s="8">
        <f t="shared" si="0"/>
        <v>165000</v>
      </c>
      <c r="D18" s="8">
        <f t="shared" si="1"/>
        <v>115499.99999999999</v>
      </c>
      <c r="E18" s="9">
        <f t="shared" si="2"/>
        <v>115499.99999999999</v>
      </c>
      <c r="F18" s="10">
        <v>1</v>
      </c>
      <c r="G18" s="11" t="s">
        <v>7</v>
      </c>
      <c r="H18" s="6" t="s">
        <v>9</v>
      </c>
      <c r="I18">
        <v>71512</v>
      </c>
      <c r="J18">
        <f t="shared" si="3"/>
        <v>164477.59999999998</v>
      </c>
    </row>
    <row r="19" spans="1:10" ht="28.5" customHeight="1" x14ac:dyDescent="0.25">
      <c r="A19" s="7"/>
      <c r="B19" s="6" t="s">
        <v>102</v>
      </c>
      <c r="C19" s="8">
        <f t="shared" si="0"/>
        <v>54000</v>
      </c>
      <c r="D19" s="8">
        <f t="shared" si="1"/>
        <v>37800</v>
      </c>
      <c r="E19" s="9">
        <f t="shared" si="2"/>
        <v>226800</v>
      </c>
      <c r="F19" s="10">
        <v>6</v>
      </c>
      <c r="G19" s="11" t="s">
        <v>7</v>
      </c>
      <c r="H19" s="6" t="s">
        <v>9</v>
      </c>
      <c r="I19">
        <v>23142</v>
      </c>
      <c r="J19">
        <f t="shared" si="3"/>
        <v>53226.6</v>
      </c>
    </row>
    <row r="20" spans="1:10" ht="28.5" customHeight="1" x14ac:dyDescent="0.25">
      <c r="A20" s="7"/>
      <c r="B20" s="6" t="s">
        <v>101</v>
      </c>
      <c r="C20" s="8">
        <f t="shared" si="0"/>
        <v>53000</v>
      </c>
      <c r="D20" s="8">
        <f t="shared" si="1"/>
        <v>37100</v>
      </c>
      <c r="E20" s="9">
        <f t="shared" si="2"/>
        <v>111300</v>
      </c>
      <c r="F20" s="10">
        <v>3</v>
      </c>
      <c r="G20" s="11" t="s">
        <v>7</v>
      </c>
      <c r="H20" s="6" t="s">
        <v>9</v>
      </c>
      <c r="I20">
        <v>22672.2</v>
      </c>
      <c r="J20">
        <f t="shared" si="3"/>
        <v>52146.06</v>
      </c>
    </row>
    <row r="21" spans="1:10" ht="28.5" customHeight="1" x14ac:dyDescent="0.25">
      <c r="A21" s="7"/>
      <c r="B21" s="6" t="s">
        <v>103</v>
      </c>
      <c r="C21" s="8">
        <f t="shared" si="0"/>
        <v>56000</v>
      </c>
      <c r="D21" s="8">
        <f t="shared" si="1"/>
        <v>39200</v>
      </c>
      <c r="E21" s="9">
        <f t="shared" si="2"/>
        <v>78400</v>
      </c>
      <c r="F21" s="10">
        <v>2</v>
      </c>
      <c r="G21" s="11" t="s">
        <v>7</v>
      </c>
      <c r="H21" s="6" t="s">
        <v>9</v>
      </c>
      <c r="I21">
        <v>24081.599999999999</v>
      </c>
      <c r="J21">
        <f t="shared" si="3"/>
        <v>55387.679999999993</v>
      </c>
    </row>
    <row r="22" spans="1:10" ht="28.5" customHeight="1" x14ac:dyDescent="0.25">
      <c r="A22" s="7"/>
      <c r="B22" s="6" t="s">
        <v>104</v>
      </c>
      <c r="C22" s="8">
        <f t="shared" si="0"/>
        <v>57000</v>
      </c>
      <c r="D22" s="8">
        <f t="shared" si="1"/>
        <v>39900</v>
      </c>
      <c r="E22" s="9">
        <f t="shared" si="2"/>
        <v>39900</v>
      </c>
      <c r="F22" s="10">
        <v>1</v>
      </c>
      <c r="G22" s="11" t="s">
        <v>7</v>
      </c>
      <c r="H22" s="6" t="s">
        <v>9</v>
      </c>
      <c r="I22">
        <v>24551.4</v>
      </c>
      <c r="J22">
        <f t="shared" si="3"/>
        <v>56468.22</v>
      </c>
    </row>
    <row r="23" spans="1:10" ht="28.5" customHeight="1" x14ac:dyDescent="0.25">
      <c r="A23" s="7"/>
      <c r="B23" s="6" t="s">
        <v>105</v>
      </c>
      <c r="C23" s="8">
        <f t="shared" si="0"/>
        <v>57000</v>
      </c>
      <c r="D23" s="8">
        <f t="shared" si="1"/>
        <v>39900</v>
      </c>
      <c r="E23" s="9">
        <f t="shared" si="2"/>
        <v>119700</v>
      </c>
      <c r="F23" s="10">
        <v>3</v>
      </c>
      <c r="G23" s="11" t="s">
        <v>7</v>
      </c>
      <c r="H23" s="6" t="s">
        <v>9</v>
      </c>
      <c r="I23">
        <v>24551.4</v>
      </c>
      <c r="J23">
        <f t="shared" si="3"/>
        <v>56468.22</v>
      </c>
    </row>
    <row r="24" spans="1:10" ht="28.5" customHeight="1" x14ac:dyDescent="0.25">
      <c r="A24" s="7"/>
      <c r="B24" s="6" t="s">
        <v>106</v>
      </c>
      <c r="C24" s="8">
        <f t="shared" si="0"/>
        <v>202000</v>
      </c>
      <c r="D24" s="8">
        <f t="shared" si="1"/>
        <v>141400</v>
      </c>
      <c r="E24" s="9">
        <f t="shared" si="2"/>
        <v>141400</v>
      </c>
      <c r="F24" s="10">
        <v>1</v>
      </c>
      <c r="G24" s="11" t="s">
        <v>7</v>
      </c>
      <c r="H24" s="6" t="s">
        <v>9</v>
      </c>
      <c r="I24">
        <v>87638.399999999994</v>
      </c>
      <c r="J24">
        <f t="shared" si="3"/>
        <v>201568.31999999998</v>
      </c>
    </row>
    <row r="25" spans="1:10" ht="28.5" customHeight="1" x14ac:dyDescent="0.25">
      <c r="A25" s="7"/>
      <c r="B25" s="6" t="s">
        <v>111</v>
      </c>
      <c r="C25" s="8">
        <f t="shared" si="0"/>
        <v>68000</v>
      </c>
      <c r="D25" s="8">
        <f t="shared" si="1"/>
        <v>47600</v>
      </c>
      <c r="E25" s="9">
        <f t="shared" si="2"/>
        <v>47600</v>
      </c>
      <c r="F25" s="10">
        <v>1</v>
      </c>
      <c r="G25" s="11" t="s">
        <v>7</v>
      </c>
      <c r="H25" s="6" t="s">
        <v>9</v>
      </c>
      <c r="I25">
        <v>29510.400000000001</v>
      </c>
      <c r="J25">
        <f t="shared" si="3"/>
        <v>67873.919999999998</v>
      </c>
    </row>
    <row r="26" spans="1:10" ht="28.5" customHeight="1" x14ac:dyDescent="0.25">
      <c r="A26" s="7"/>
      <c r="B26" s="6" t="s">
        <v>112</v>
      </c>
      <c r="C26" s="8">
        <f t="shared" si="0"/>
        <v>128000</v>
      </c>
      <c r="D26" s="8">
        <f t="shared" si="1"/>
        <v>89600</v>
      </c>
      <c r="E26" s="9">
        <f t="shared" si="2"/>
        <v>89600</v>
      </c>
      <c r="F26" s="10">
        <v>1</v>
      </c>
      <c r="G26" s="11" t="s">
        <v>7</v>
      </c>
      <c r="H26" s="6" t="s">
        <v>9</v>
      </c>
      <c r="I26">
        <v>55317.600000000006</v>
      </c>
      <c r="J26">
        <f t="shared" si="3"/>
        <v>127230.48000000001</v>
      </c>
    </row>
    <row r="27" spans="1:10" ht="28.5" customHeight="1" x14ac:dyDescent="0.25">
      <c r="A27" s="7"/>
      <c r="B27" s="6" t="s">
        <v>113</v>
      </c>
      <c r="C27" s="8">
        <f t="shared" si="0"/>
        <v>108000</v>
      </c>
      <c r="D27" s="8">
        <f t="shared" si="1"/>
        <v>75600</v>
      </c>
      <c r="E27" s="9">
        <f t="shared" si="2"/>
        <v>75600</v>
      </c>
      <c r="F27" s="10">
        <v>1</v>
      </c>
      <c r="G27" s="11" t="s">
        <v>7</v>
      </c>
      <c r="H27" s="6" t="s">
        <v>9</v>
      </c>
      <c r="I27">
        <v>46788</v>
      </c>
      <c r="J27">
        <f t="shared" si="3"/>
        <v>107612.4</v>
      </c>
    </row>
    <row r="28" spans="1:10" ht="28.5" customHeight="1" x14ac:dyDescent="0.25">
      <c r="A28" s="7"/>
      <c r="B28" s="6" t="s">
        <v>122</v>
      </c>
      <c r="C28" s="8">
        <f t="shared" si="0"/>
        <v>140000</v>
      </c>
      <c r="D28" s="8">
        <f t="shared" si="1"/>
        <v>98000</v>
      </c>
      <c r="E28" s="9">
        <f t="shared" si="2"/>
        <v>98000</v>
      </c>
      <c r="F28" s="10">
        <v>1</v>
      </c>
      <c r="G28" s="11" t="s">
        <v>7</v>
      </c>
      <c r="H28" s="6" t="s">
        <v>9</v>
      </c>
      <c r="I28">
        <v>60564</v>
      </c>
      <c r="J28">
        <f t="shared" si="3"/>
        <v>139297.19999999998</v>
      </c>
    </row>
    <row r="29" spans="1:10" ht="28.5" customHeight="1" x14ac:dyDescent="0.25">
      <c r="A29" s="7"/>
      <c r="B29" s="6" t="s">
        <v>125</v>
      </c>
      <c r="C29" s="8">
        <f t="shared" si="0"/>
        <v>192000</v>
      </c>
      <c r="D29" s="8">
        <f t="shared" si="1"/>
        <v>134400</v>
      </c>
      <c r="E29" s="9">
        <f t="shared" si="2"/>
        <v>134400</v>
      </c>
      <c r="F29" s="10">
        <v>1</v>
      </c>
      <c r="G29" s="11" t="s">
        <v>7</v>
      </c>
      <c r="H29" s="6" t="s">
        <v>9</v>
      </c>
      <c r="I29">
        <v>83234.400000000009</v>
      </c>
      <c r="J29">
        <f t="shared" si="3"/>
        <v>191439.12</v>
      </c>
    </row>
    <row r="30" spans="1:10" ht="28.5" customHeight="1" x14ac:dyDescent="0.25">
      <c r="A30" s="7"/>
      <c r="B30" s="6" t="s">
        <v>126</v>
      </c>
      <c r="C30" s="8">
        <f t="shared" si="0"/>
        <v>132000</v>
      </c>
      <c r="D30" s="8">
        <f t="shared" si="1"/>
        <v>92400</v>
      </c>
      <c r="E30" s="9">
        <f t="shared" si="2"/>
        <v>92400</v>
      </c>
      <c r="F30" s="10">
        <v>1</v>
      </c>
      <c r="G30" s="11" t="s">
        <v>7</v>
      </c>
      <c r="H30" s="6" t="s">
        <v>9</v>
      </c>
      <c r="I30">
        <v>57184.800000000003</v>
      </c>
      <c r="J30">
        <f t="shared" si="3"/>
        <v>131525.04</v>
      </c>
    </row>
    <row r="31" spans="1:10" ht="28.5" customHeight="1" x14ac:dyDescent="0.25">
      <c r="A31" s="7"/>
      <c r="B31" s="6" t="s">
        <v>127</v>
      </c>
      <c r="C31" s="8">
        <f t="shared" si="0"/>
        <v>185000</v>
      </c>
      <c r="D31" s="8">
        <f t="shared" si="1"/>
        <v>129499.99999999999</v>
      </c>
      <c r="E31" s="9">
        <f t="shared" si="2"/>
        <v>129499.99999999999</v>
      </c>
      <c r="F31" s="10">
        <v>1</v>
      </c>
      <c r="G31" s="11" t="s">
        <v>7</v>
      </c>
      <c r="H31" s="6" t="s">
        <v>9</v>
      </c>
      <c r="I31">
        <v>80172</v>
      </c>
      <c r="J31">
        <f t="shared" si="3"/>
        <v>184395.59999999998</v>
      </c>
    </row>
    <row r="32" spans="1:10" ht="28.5" customHeight="1" x14ac:dyDescent="0.25">
      <c r="A32" s="7"/>
      <c r="B32" s="6" t="s">
        <v>129</v>
      </c>
      <c r="C32" s="8">
        <f t="shared" si="0"/>
        <v>192000</v>
      </c>
      <c r="D32" s="8">
        <f t="shared" si="1"/>
        <v>134400</v>
      </c>
      <c r="E32" s="9">
        <f t="shared" si="2"/>
        <v>134400</v>
      </c>
      <c r="F32" s="10">
        <v>1</v>
      </c>
      <c r="G32" s="11" t="s">
        <v>7</v>
      </c>
      <c r="H32" s="6" t="s">
        <v>9</v>
      </c>
      <c r="I32">
        <v>83234.400000000009</v>
      </c>
      <c r="J32">
        <f t="shared" si="3"/>
        <v>191439.12</v>
      </c>
    </row>
    <row r="33" spans="1:10" ht="28.5" customHeight="1" x14ac:dyDescent="0.25">
      <c r="A33" s="7"/>
      <c r="B33" s="6" t="s">
        <v>130</v>
      </c>
      <c r="C33" s="8">
        <f t="shared" si="0"/>
        <v>192000</v>
      </c>
      <c r="D33" s="8">
        <f t="shared" si="1"/>
        <v>134400</v>
      </c>
      <c r="E33" s="9">
        <f t="shared" si="2"/>
        <v>134400</v>
      </c>
      <c r="F33" s="10">
        <v>1</v>
      </c>
      <c r="G33" s="11" t="s">
        <v>7</v>
      </c>
      <c r="H33" s="6" t="s">
        <v>9</v>
      </c>
      <c r="I33">
        <v>83234.400000000009</v>
      </c>
      <c r="J33">
        <f t="shared" si="3"/>
        <v>191439.12</v>
      </c>
    </row>
    <row r="34" spans="1:10" ht="28.5" customHeight="1" x14ac:dyDescent="0.25">
      <c r="A34" s="7"/>
      <c r="B34" s="6" t="s">
        <v>131</v>
      </c>
      <c r="C34" s="8">
        <f t="shared" si="0"/>
        <v>117000</v>
      </c>
      <c r="D34" s="8">
        <f t="shared" si="1"/>
        <v>81900</v>
      </c>
      <c r="E34" s="9">
        <f t="shared" si="2"/>
        <v>81900</v>
      </c>
      <c r="F34" s="10">
        <v>1</v>
      </c>
      <c r="G34" s="11" t="s">
        <v>7</v>
      </c>
      <c r="H34" s="6" t="s">
        <v>9</v>
      </c>
      <c r="I34">
        <v>50736</v>
      </c>
      <c r="J34">
        <f t="shared" si="3"/>
        <v>116692.79999999999</v>
      </c>
    </row>
    <row r="35" spans="1:10" ht="28.5" customHeight="1" x14ac:dyDescent="0.25">
      <c r="A35" s="7"/>
      <c r="B35" s="6" t="s">
        <v>134</v>
      </c>
      <c r="C35" s="8">
        <f t="shared" si="0"/>
        <v>167000</v>
      </c>
      <c r="D35" s="8">
        <f t="shared" si="1"/>
        <v>116899.99999999999</v>
      </c>
      <c r="E35" s="9">
        <f t="shared" si="2"/>
        <v>116899.99999999999</v>
      </c>
      <c r="F35" s="10">
        <v>1</v>
      </c>
      <c r="G35" s="11" t="s">
        <v>7</v>
      </c>
      <c r="H35" s="6" t="s">
        <v>9</v>
      </c>
      <c r="I35">
        <v>72482.399999999994</v>
      </c>
      <c r="J35">
        <f t="shared" si="3"/>
        <v>166709.51999999996</v>
      </c>
    </row>
    <row r="36" spans="1:10" ht="28.5" customHeight="1" x14ac:dyDescent="0.25">
      <c r="A36" s="7"/>
      <c r="B36" s="6" t="s">
        <v>135</v>
      </c>
      <c r="C36" s="8">
        <f t="shared" si="0"/>
        <v>137000</v>
      </c>
      <c r="D36" s="8">
        <f t="shared" si="1"/>
        <v>95900</v>
      </c>
      <c r="E36" s="9">
        <f t="shared" si="2"/>
        <v>95900</v>
      </c>
      <c r="F36" s="10">
        <v>1</v>
      </c>
      <c r="G36" s="11" t="s">
        <v>7</v>
      </c>
      <c r="H36" s="6" t="s">
        <v>9</v>
      </c>
      <c r="I36">
        <v>59133.600000000006</v>
      </c>
      <c r="J36">
        <f t="shared" si="3"/>
        <v>136007.28</v>
      </c>
    </row>
    <row r="37" spans="1:10" ht="28.5" customHeight="1" x14ac:dyDescent="0.25">
      <c r="A37" s="7"/>
      <c r="B37" s="6" t="s">
        <v>136</v>
      </c>
      <c r="C37" s="8">
        <f t="shared" si="0"/>
        <v>125000</v>
      </c>
      <c r="D37" s="8">
        <f t="shared" si="1"/>
        <v>87500</v>
      </c>
      <c r="E37" s="9">
        <f t="shared" si="2"/>
        <v>87500</v>
      </c>
      <c r="F37" s="10">
        <v>1</v>
      </c>
      <c r="G37" s="11" t="s">
        <v>7</v>
      </c>
      <c r="H37" s="6" t="s">
        <v>9</v>
      </c>
      <c r="I37">
        <v>54122.400000000001</v>
      </c>
      <c r="J37">
        <f t="shared" si="3"/>
        <v>124481.51999999999</v>
      </c>
    </row>
    <row r="38" spans="1:10" ht="28.5" customHeight="1" x14ac:dyDescent="0.25">
      <c r="A38" s="7"/>
      <c r="B38" s="6" t="s">
        <v>137</v>
      </c>
      <c r="C38" s="8">
        <f t="shared" si="0"/>
        <v>198000</v>
      </c>
      <c r="D38" s="8">
        <f t="shared" si="1"/>
        <v>138600</v>
      </c>
      <c r="E38" s="9">
        <f t="shared" si="2"/>
        <v>138600</v>
      </c>
      <c r="F38" s="10">
        <v>1</v>
      </c>
      <c r="G38" s="11" t="s">
        <v>7</v>
      </c>
      <c r="H38" s="6" t="s">
        <v>9</v>
      </c>
      <c r="I38">
        <v>85690.200000000012</v>
      </c>
      <c r="J38">
        <f t="shared" si="3"/>
        <v>197087.46000000002</v>
      </c>
    </row>
    <row r="39" spans="1:10" ht="28.5" customHeight="1" x14ac:dyDescent="0.25">
      <c r="A39" s="7"/>
      <c r="B39" s="6" t="s">
        <v>138</v>
      </c>
      <c r="C39" s="8">
        <f t="shared" si="0"/>
        <v>125000</v>
      </c>
      <c r="D39" s="8">
        <f t="shared" si="1"/>
        <v>87500</v>
      </c>
      <c r="E39" s="9">
        <f t="shared" si="2"/>
        <v>87500</v>
      </c>
      <c r="F39" s="10">
        <v>1</v>
      </c>
      <c r="G39" s="11" t="s">
        <v>7</v>
      </c>
      <c r="H39" s="6" t="s">
        <v>9</v>
      </c>
      <c r="I39">
        <v>54122.400000000001</v>
      </c>
      <c r="J39">
        <f t="shared" si="3"/>
        <v>124481.51999999999</v>
      </c>
    </row>
    <row r="40" spans="1:10" ht="28.5" customHeight="1" x14ac:dyDescent="0.25">
      <c r="A40" s="7"/>
      <c r="B40" s="6" t="s">
        <v>139</v>
      </c>
      <c r="C40" s="8">
        <f t="shared" si="0"/>
        <v>144000</v>
      </c>
      <c r="D40" s="8">
        <f t="shared" si="1"/>
        <v>100800</v>
      </c>
      <c r="E40" s="9">
        <f t="shared" si="2"/>
        <v>100800</v>
      </c>
      <c r="F40" s="10">
        <v>1</v>
      </c>
      <c r="G40" s="11" t="s">
        <v>7</v>
      </c>
      <c r="H40" s="6" t="s">
        <v>9</v>
      </c>
      <c r="I40">
        <v>62196</v>
      </c>
      <c r="J40">
        <f t="shared" si="3"/>
        <v>143050.79999999999</v>
      </c>
    </row>
    <row r="41" spans="1:10" ht="28.5" customHeight="1" x14ac:dyDescent="0.25">
      <c r="A41" s="7"/>
      <c r="B41" s="6" t="s">
        <v>140</v>
      </c>
      <c r="C41" s="8">
        <f t="shared" si="0"/>
        <v>182000</v>
      </c>
      <c r="D41" s="8">
        <f t="shared" si="1"/>
        <v>127399.99999999999</v>
      </c>
      <c r="E41" s="9">
        <f t="shared" si="2"/>
        <v>127399.99999999999</v>
      </c>
      <c r="F41" s="10">
        <v>1</v>
      </c>
      <c r="G41" s="11" t="s">
        <v>7</v>
      </c>
      <c r="H41" s="6" t="s">
        <v>9</v>
      </c>
      <c r="I41">
        <v>79058.399999999994</v>
      </c>
      <c r="J41">
        <f t="shared" si="3"/>
        <v>181834.31999999998</v>
      </c>
    </row>
    <row r="42" spans="1:10" ht="28.5" customHeight="1" x14ac:dyDescent="0.25">
      <c r="A42" s="7"/>
      <c r="B42" s="6" t="s">
        <v>141</v>
      </c>
      <c r="C42" s="8">
        <f t="shared" si="0"/>
        <v>125000</v>
      </c>
      <c r="D42" s="8">
        <f t="shared" si="1"/>
        <v>87500</v>
      </c>
      <c r="E42" s="9">
        <f t="shared" si="2"/>
        <v>87500</v>
      </c>
      <c r="F42" s="10">
        <v>1</v>
      </c>
      <c r="G42" s="11" t="s">
        <v>7</v>
      </c>
      <c r="H42" s="6" t="s">
        <v>9</v>
      </c>
      <c r="I42">
        <v>54122.400000000001</v>
      </c>
      <c r="J42">
        <f t="shared" si="3"/>
        <v>124481.51999999999</v>
      </c>
    </row>
    <row r="43" spans="1:10" ht="28.5" customHeight="1" x14ac:dyDescent="0.25">
      <c r="A43" s="7"/>
      <c r="B43" s="6" t="s">
        <v>142</v>
      </c>
      <c r="C43" s="8">
        <f t="shared" si="0"/>
        <v>159000</v>
      </c>
      <c r="D43" s="8">
        <f t="shared" si="1"/>
        <v>111300</v>
      </c>
      <c r="E43" s="9">
        <f t="shared" si="2"/>
        <v>111300</v>
      </c>
      <c r="F43" s="10">
        <v>1</v>
      </c>
      <c r="G43" s="11" t="s">
        <v>7</v>
      </c>
      <c r="H43" s="6" t="s">
        <v>9</v>
      </c>
      <c r="I43">
        <v>68827.8</v>
      </c>
      <c r="J43">
        <f t="shared" si="3"/>
        <v>158303.94</v>
      </c>
    </row>
    <row r="44" spans="1:10" ht="28.5" customHeight="1" x14ac:dyDescent="0.25">
      <c r="A44" s="7"/>
      <c r="B44" s="6" t="s">
        <v>143</v>
      </c>
      <c r="C44" s="8">
        <f t="shared" si="0"/>
        <v>188000</v>
      </c>
      <c r="D44" s="8">
        <f t="shared" si="1"/>
        <v>131600</v>
      </c>
      <c r="E44" s="9">
        <f t="shared" si="2"/>
        <v>131600</v>
      </c>
      <c r="F44" s="10">
        <v>1</v>
      </c>
      <c r="G44" s="11" t="s">
        <v>7</v>
      </c>
      <c r="H44" s="6" t="s">
        <v>9</v>
      </c>
      <c r="I44">
        <v>81640.200000000012</v>
      </c>
      <c r="J44">
        <f t="shared" si="3"/>
        <v>187772.46000000002</v>
      </c>
    </row>
    <row r="45" spans="1:10" ht="28.5" customHeight="1" x14ac:dyDescent="0.25">
      <c r="A45" s="7"/>
      <c r="B45" s="6" t="s">
        <v>146</v>
      </c>
      <c r="C45" s="8">
        <f t="shared" si="0"/>
        <v>117000</v>
      </c>
      <c r="D45" s="8">
        <f t="shared" si="1"/>
        <v>81900</v>
      </c>
      <c r="E45" s="9">
        <f t="shared" si="2"/>
        <v>81900</v>
      </c>
      <c r="F45" s="10">
        <v>1</v>
      </c>
      <c r="G45" s="11" t="s">
        <v>7</v>
      </c>
      <c r="H45" s="6" t="s">
        <v>9</v>
      </c>
      <c r="I45">
        <v>50610</v>
      </c>
      <c r="J45">
        <f t="shared" si="3"/>
        <v>116402.99999999999</v>
      </c>
    </row>
    <row r="46" spans="1:10" ht="28.5" customHeight="1" x14ac:dyDescent="0.25">
      <c r="A46" s="7"/>
      <c r="B46" s="6" t="s">
        <v>147</v>
      </c>
      <c r="C46" s="8">
        <f t="shared" si="0"/>
        <v>121000</v>
      </c>
      <c r="D46" s="8">
        <f t="shared" si="1"/>
        <v>84700</v>
      </c>
      <c r="E46" s="9">
        <f t="shared" si="2"/>
        <v>84700</v>
      </c>
      <c r="F46" s="10">
        <v>1</v>
      </c>
      <c r="G46" s="11" t="s">
        <v>7</v>
      </c>
      <c r="H46" s="6" t="s">
        <v>9</v>
      </c>
      <c r="I46">
        <v>52528.2</v>
      </c>
      <c r="J46">
        <f t="shared" si="3"/>
        <v>120814.85999999999</v>
      </c>
    </row>
    <row r="47" spans="1:10" ht="28.5" customHeight="1" x14ac:dyDescent="0.25">
      <c r="A47" s="7"/>
      <c r="B47" s="6" t="s">
        <v>148</v>
      </c>
      <c r="C47" s="8">
        <f t="shared" si="0"/>
        <v>110000</v>
      </c>
      <c r="D47" s="8">
        <f t="shared" si="1"/>
        <v>77000</v>
      </c>
      <c r="E47" s="9">
        <f t="shared" si="2"/>
        <v>77000</v>
      </c>
      <c r="F47" s="10">
        <v>1</v>
      </c>
      <c r="G47" s="11" t="s">
        <v>7</v>
      </c>
      <c r="H47" s="6" t="s">
        <v>9</v>
      </c>
      <c r="I47">
        <v>47673.600000000006</v>
      </c>
      <c r="J47">
        <f t="shared" si="3"/>
        <v>109649.28</v>
      </c>
    </row>
    <row r="48" spans="1:10" ht="28.5" customHeight="1" x14ac:dyDescent="0.25">
      <c r="A48" s="7"/>
      <c r="B48" s="6" t="s">
        <v>149</v>
      </c>
      <c r="C48" s="8">
        <f t="shared" si="0"/>
        <v>135000</v>
      </c>
      <c r="D48" s="8">
        <f t="shared" si="1"/>
        <v>94500</v>
      </c>
      <c r="E48" s="9">
        <f t="shared" si="2"/>
        <v>94500</v>
      </c>
      <c r="F48" s="10">
        <v>1</v>
      </c>
      <c r="G48" s="11" t="s">
        <v>7</v>
      </c>
      <c r="H48" s="6" t="s">
        <v>9</v>
      </c>
      <c r="I48">
        <v>58653</v>
      </c>
      <c r="J48">
        <f t="shared" si="3"/>
        <v>134901.9</v>
      </c>
    </row>
    <row r="49" spans="1:10" ht="28.5" customHeight="1" x14ac:dyDescent="0.25">
      <c r="A49" s="7"/>
      <c r="B49" s="6" t="s">
        <v>150</v>
      </c>
      <c r="C49" s="8">
        <f t="shared" si="0"/>
        <v>139000</v>
      </c>
      <c r="D49" s="8">
        <f t="shared" si="1"/>
        <v>97300</v>
      </c>
      <c r="E49" s="9">
        <f t="shared" si="2"/>
        <v>97300</v>
      </c>
      <c r="F49" s="10">
        <v>1</v>
      </c>
      <c r="G49" s="11" t="s">
        <v>7</v>
      </c>
      <c r="H49" s="6" t="s">
        <v>9</v>
      </c>
      <c r="I49">
        <v>60247.199999999997</v>
      </c>
      <c r="J49">
        <f t="shared" si="3"/>
        <v>138568.55999999997</v>
      </c>
    </row>
    <row r="50" spans="1:10" ht="28.5" customHeight="1" x14ac:dyDescent="0.25">
      <c r="A50" s="7"/>
      <c r="B50" s="6" t="s">
        <v>256</v>
      </c>
      <c r="C50" s="8">
        <f t="shared" si="0"/>
        <v>598000</v>
      </c>
      <c r="D50" s="8">
        <f t="shared" si="1"/>
        <v>418600</v>
      </c>
      <c r="E50" s="9">
        <f t="shared" si="2"/>
        <v>1255800</v>
      </c>
      <c r="F50" s="10">
        <v>3</v>
      </c>
      <c r="G50" s="11" t="s">
        <v>7</v>
      </c>
      <c r="H50" s="6" t="s">
        <v>9</v>
      </c>
      <c r="I50">
        <v>259971.20000000001</v>
      </c>
      <c r="J50">
        <f t="shared" si="3"/>
        <v>597933.76</v>
      </c>
    </row>
    <row r="51" spans="1:10" ht="28.5" customHeight="1" x14ac:dyDescent="0.25">
      <c r="A51" s="7"/>
      <c r="B51" s="6" t="s">
        <v>155</v>
      </c>
      <c r="C51" s="8">
        <f t="shared" si="0"/>
        <v>125000</v>
      </c>
      <c r="D51" s="8">
        <f t="shared" si="1"/>
        <v>87500</v>
      </c>
      <c r="E51" s="9">
        <f t="shared" si="2"/>
        <v>87500</v>
      </c>
      <c r="F51" s="10">
        <v>1</v>
      </c>
      <c r="G51" s="11" t="s">
        <v>7</v>
      </c>
      <c r="H51" s="6" t="s">
        <v>9</v>
      </c>
      <c r="I51">
        <v>54272.4</v>
      </c>
      <c r="J51">
        <f t="shared" si="3"/>
        <v>124826.51999999999</v>
      </c>
    </row>
    <row r="52" spans="1:10" ht="28.5" customHeight="1" x14ac:dyDescent="0.25">
      <c r="A52" s="7"/>
      <c r="B52" s="6" t="s">
        <v>158</v>
      </c>
      <c r="C52" s="8">
        <f t="shared" si="0"/>
        <v>111000</v>
      </c>
      <c r="D52" s="8">
        <f t="shared" si="1"/>
        <v>77700</v>
      </c>
      <c r="E52" s="9">
        <f t="shared" si="2"/>
        <v>77700</v>
      </c>
      <c r="F52" s="10">
        <v>1</v>
      </c>
      <c r="G52" s="11" t="s">
        <v>7</v>
      </c>
      <c r="H52" s="6" t="s">
        <v>9</v>
      </c>
      <c r="I52">
        <v>48015.600000000006</v>
      </c>
      <c r="J52">
        <f t="shared" si="3"/>
        <v>110435.88</v>
      </c>
    </row>
    <row r="53" spans="1:10" ht="28.5" customHeight="1" x14ac:dyDescent="0.25">
      <c r="A53" s="7"/>
      <c r="B53" s="6" t="s">
        <v>167</v>
      </c>
      <c r="C53" s="8">
        <f t="shared" si="0"/>
        <v>204000</v>
      </c>
      <c r="D53" s="8">
        <f t="shared" si="1"/>
        <v>142800</v>
      </c>
      <c r="E53" s="9">
        <f t="shared" si="2"/>
        <v>142800</v>
      </c>
      <c r="F53" s="10">
        <v>1</v>
      </c>
      <c r="G53" s="11" t="s">
        <v>7</v>
      </c>
      <c r="H53" s="6" t="s">
        <v>9</v>
      </c>
      <c r="I53">
        <v>88553.4</v>
      </c>
      <c r="J53">
        <f t="shared" si="3"/>
        <v>203672.81999999998</v>
      </c>
    </row>
    <row r="54" spans="1:10" ht="28.5" customHeight="1" x14ac:dyDescent="0.25">
      <c r="A54" s="7"/>
      <c r="B54" s="6" t="s">
        <v>168</v>
      </c>
      <c r="C54" s="8">
        <f t="shared" si="0"/>
        <v>203000</v>
      </c>
      <c r="D54" s="8">
        <f t="shared" si="1"/>
        <v>142100</v>
      </c>
      <c r="E54" s="9">
        <f t="shared" si="2"/>
        <v>142100</v>
      </c>
      <c r="F54" s="10">
        <v>1</v>
      </c>
      <c r="G54" s="11" t="s">
        <v>7</v>
      </c>
      <c r="H54" s="6" t="s">
        <v>9</v>
      </c>
      <c r="I54">
        <v>87872.4</v>
      </c>
      <c r="J54">
        <f t="shared" si="3"/>
        <v>202106.51999999996</v>
      </c>
    </row>
    <row r="55" spans="1:10" ht="28.5" customHeight="1" x14ac:dyDescent="0.25">
      <c r="A55" s="7"/>
      <c r="B55" s="6" t="s">
        <v>169</v>
      </c>
      <c r="C55" s="8">
        <f t="shared" si="0"/>
        <v>234000</v>
      </c>
      <c r="D55" s="8">
        <f t="shared" si="1"/>
        <v>163800</v>
      </c>
      <c r="E55" s="9">
        <f t="shared" si="2"/>
        <v>163800</v>
      </c>
      <c r="F55" s="10">
        <v>1</v>
      </c>
      <c r="G55" s="11" t="s">
        <v>7</v>
      </c>
      <c r="H55" s="6" t="s">
        <v>9</v>
      </c>
      <c r="I55">
        <v>101380.20000000001</v>
      </c>
      <c r="J55">
        <f t="shared" si="3"/>
        <v>233174.46000000002</v>
      </c>
    </row>
    <row r="56" spans="1:10" ht="28.5" customHeight="1" x14ac:dyDescent="0.25">
      <c r="A56" s="7"/>
      <c r="B56" s="6" t="s">
        <v>170</v>
      </c>
      <c r="C56" s="8">
        <f t="shared" si="0"/>
        <v>222000</v>
      </c>
      <c r="D56" s="8">
        <f t="shared" si="1"/>
        <v>155400</v>
      </c>
      <c r="E56" s="9">
        <f t="shared" si="2"/>
        <v>155400</v>
      </c>
      <c r="F56" s="10">
        <v>1</v>
      </c>
      <c r="G56" s="11" t="s">
        <v>7</v>
      </c>
      <c r="H56" s="6" t="s">
        <v>9</v>
      </c>
      <c r="I56">
        <v>96252.6</v>
      </c>
      <c r="J56">
        <f t="shared" si="3"/>
        <v>221380.98</v>
      </c>
    </row>
    <row r="57" spans="1:10" ht="28.5" customHeight="1" x14ac:dyDescent="0.25">
      <c r="A57" s="7"/>
      <c r="B57" s="6" t="s">
        <v>172</v>
      </c>
      <c r="C57" s="8">
        <f t="shared" si="0"/>
        <v>217000</v>
      </c>
      <c r="D57" s="8">
        <f t="shared" si="1"/>
        <v>151900</v>
      </c>
      <c r="E57" s="9">
        <f t="shared" si="2"/>
        <v>151900</v>
      </c>
      <c r="F57" s="10">
        <v>1</v>
      </c>
      <c r="G57" s="11" t="s">
        <v>7</v>
      </c>
      <c r="H57" s="6" t="s">
        <v>9</v>
      </c>
      <c r="I57">
        <v>94090.200000000012</v>
      </c>
      <c r="J57">
        <f t="shared" si="3"/>
        <v>216407.46000000002</v>
      </c>
    </row>
    <row r="58" spans="1:10" ht="28.5" customHeight="1" x14ac:dyDescent="0.25">
      <c r="A58" s="7"/>
      <c r="B58" s="6" t="s">
        <v>173</v>
      </c>
      <c r="C58" s="8">
        <f t="shared" si="0"/>
        <v>168000</v>
      </c>
      <c r="D58" s="8">
        <f t="shared" si="1"/>
        <v>117599.99999999999</v>
      </c>
      <c r="E58" s="9">
        <f t="shared" si="2"/>
        <v>117599.99999999999</v>
      </c>
      <c r="F58" s="10">
        <v>1</v>
      </c>
      <c r="G58" s="11" t="s">
        <v>7</v>
      </c>
      <c r="H58" s="6" t="s">
        <v>9</v>
      </c>
      <c r="I58">
        <v>72670.8</v>
      </c>
      <c r="J58">
        <f t="shared" si="3"/>
        <v>167142.84</v>
      </c>
    </row>
    <row r="59" spans="1:10" ht="28.5" customHeight="1" x14ac:dyDescent="0.25">
      <c r="A59" s="7"/>
      <c r="B59" s="6" t="s">
        <v>174</v>
      </c>
      <c r="C59" s="8">
        <f t="shared" si="0"/>
        <v>186000</v>
      </c>
      <c r="D59" s="8">
        <f t="shared" si="1"/>
        <v>130199.99999999999</v>
      </c>
      <c r="E59" s="9">
        <f t="shared" si="2"/>
        <v>130199.99999999999</v>
      </c>
      <c r="F59" s="10">
        <v>1</v>
      </c>
      <c r="G59" s="11" t="s">
        <v>7</v>
      </c>
      <c r="H59" s="6" t="s">
        <v>9</v>
      </c>
      <c r="I59">
        <v>80835</v>
      </c>
      <c r="J59">
        <f t="shared" si="3"/>
        <v>185920.5</v>
      </c>
    </row>
    <row r="60" spans="1:10" ht="28.5" customHeight="1" x14ac:dyDescent="0.25">
      <c r="A60" s="7"/>
      <c r="B60" s="6" t="s">
        <v>259</v>
      </c>
      <c r="C60" s="8">
        <f t="shared" si="0"/>
        <v>541000</v>
      </c>
      <c r="D60" s="8">
        <f t="shared" si="1"/>
        <v>378700</v>
      </c>
      <c r="E60" s="9">
        <f t="shared" si="2"/>
        <v>4544400</v>
      </c>
      <c r="F60" s="10">
        <v>12</v>
      </c>
      <c r="G60" s="11" t="s">
        <v>7</v>
      </c>
      <c r="H60" s="6" t="s">
        <v>9</v>
      </c>
      <c r="I60">
        <v>235000</v>
      </c>
      <c r="J60">
        <f t="shared" si="3"/>
        <v>540500</v>
      </c>
    </row>
    <row r="61" spans="1:10" ht="28.5" customHeight="1" x14ac:dyDescent="0.25">
      <c r="A61" s="7"/>
      <c r="B61" s="6" t="s">
        <v>260</v>
      </c>
      <c r="C61" s="8">
        <f t="shared" si="0"/>
        <v>541000</v>
      </c>
      <c r="D61" s="8">
        <f t="shared" si="1"/>
        <v>378700</v>
      </c>
      <c r="E61" s="9">
        <f t="shared" si="2"/>
        <v>4544400</v>
      </c>
      <c r="F61" s="10">
        <v>12</v>
      </c>
      <c r="G61" s="11" t="s">
        <v>7</v>
      </c>
      <c r="H61" s="6" t="s">
        <v>9</v>
      </c>
      <c r="I61">
        <v>235000</v>
      </c>
      <c r="J61">
        <f t="shared" si="3"/>
        <v>540500</v>
      </c>
    </row>
    <row r="62" spans="1:10" ht="28.5" customHeight="1" x14ac:dyDescent="0.25">
      <c r="A62" s="7"/>
      <c r="B62" s="6" t="s">
        <v>179</v>
      </c>
      <c r="C62" s="8">
        <f t="shared" ref="C62:C73" si="4">ROUNDUP(J62,-3)</f>
        <v>285000</v>
      </c>
      <c r="D62" s="8">
        <f t="shared" si="1"/>
        <v>199500</v>
      </c>
      <c r="E62" s="9">
        <f t="shared" si="2"/>
        <v>199500</v>
      </c>
      <c r="F62" s="10">
        <v>1</v>
      </c>
      <c r="G62" s="11" t="s">
        <v>7</v>
      </c>
      <c r="H62" s="6" t="s">
        <v>9</v>
      </c>
      <c r="I62">
        <v>123511.8</v>
      </c>
      <c r="J62">
        <f t="shared" si="3"/>
        <v>284077.13999999996</v>
      </c>
    </row>
    <row r="63" spans="1:10" ht="28.5" customHeight="1" x14ac:dyDescent="0.25">
      <c r="A63" s="7"/>
      <c r="B63" s="6" t="s">
        <v>171</v>
      </c>
      <c r="C63" s="8">
        <f t="shared" si="4"/>
        <v>82000</v>
      </c>
      <c r="D63" s="8">
        <f t="shared" si="1"/>
        <v>57399.999999999993</v>
      </c>
      <c r="E63" s="9">
        <f t="shared" si="2"/>
        <v>57399.999999999993</v>
      </c>
      <c r="F63" s="10">
        <v>1</v>
      </c>
      <c r="G63" s="11" t="s">
        <v>7</v>
      </c>
      <c r="H63" s="6" t="s">
        <v>9</v>
      </c>
      <c r="I63">
        <v>35515.800000000003</v>
      </c>
      <c r="J63">
        <f t="shared" si="3"/>
        <v>81686.34</v>
      </c>
    </row>
    <row r="64" spans="1:10" ht="28.5" customHeight="1" x14ac:dyDescent="0.25">
      <c r="A64" s="7"/>
      <c r="B64" s="6" t="s">
        <v>188</v>
      </c>
      <c r="C64" s="8">
        <f t="shared" si="4"/>
        <v>52000</v>
      </c>
      <c r="D64" s="8">
        <f t="shared" si="1"/>
        <v>36400</v>
      </c>
      <c r="E64" s="9">
        <f t="shared" si="2"/>
        <v>36400</v>
      </c>
      <c r="F64" s="10">
        <v>1</v>
      </c>
      <c r="G64" s="11" t="s">
        <v>7</v>
      </c>
      <c r="H64" s="6" t="s">
        <v>9</v>
      </c>
      <c r="I64">
        <v>22195.200000000001</v>
      </c>
      <c r="J64">
        <f t="shared" si="3"/>
        <v>51048.959999999999</v>
      </c>
    </row>
    <row r="65" spans="1:19" ht="28.5" customHeight="1" x14ac:dyDescent="0.25">
      <c r="A65" s="7"/>
      <c r="B65" s="6" t="s">
        <v>189</v>
      </c>
      <c r="C65" s="8">
        <f t="shared" si="4"/>
        <v>52000</v>
      </c>
      <c r="D65" s="8">
        <f t="shared" si="1"/>
        <v>36400</v>
      </c>
      <c r="E65" s="9">
        <f t="shared" si="2"/>
        <v>36400</v>
      </c>
      <c r="F65" s="10">
        <v>1</v>
      </c>
      <c r="G65" s="11" t="s">
        <v>7</v>
      </c>
      <c r="H65" s="6" t="s">
        <v>9</v>
      </c>
      <c r="I65">
        <v>22195.200000000001</v>
      </c>
      <c r="J65">
        <f t="shared" si="3"/>
        <v>51048.959999999999</v>
      </c>
    </row>
    <row r="66" spans="1:19" ht="28.5" customHeight="1" x14ac:dyDescent="0.25">
      <c r="A66" s="7"/>
      <c r="B66" s="6" t="s">
        <v>192</v>
      </c>
      <c r="C66" s="8">
        <f t="shared" si="4"/>
        <v>110000</v>
      </c>
      <c r="D66" s="8">
        <f t="shared" si="1"/>
        <v>77000</v>
      </c>
      <c r="E66" s="9">
        <f t="shared" si="2"/>
        <v>77000</v>
      </c>
      <c r="F66" s="10">
        <v>1</v>
      </c>
      <c r="G66" s="11" t="s">
        <v>7</v>
      </c>
      <c r="H66" s="6" t="s">
        <v>9</v>
      </c>
      <c r="I66">
        <v>47673.600000000006</v>
      </c>
      <c r="J66">
        <f t="shared" si="3"/>
        <v>109649.28</v>
      </c>
      <c r="S66" s="30"/>
    </row>
    <row r="67" spans="1:19" ht="28.5" customHeight="1" x14ac:dyDescent="0.25">
      <c r="A67" s="7"/>
      <c r="B67" s="6" t="s">
        <v>193</v>
      </c>
      <c r="C67" s="8">
        <f t="shared" si="4"/>
        <v>207000</v>
      </c>
      <c r="D67" s="8">
        <f t="shared" ref="D67:D73" si="5">0.7*C67</f>
        <v>144900</v>
      </c>
      <c r="E67" s="9">
        <f t="shared" ref="E67:E73" si="6">D67*F67</f>
        <v>144900</v>
      </c>
      <c r="F67" s="10">
        <v>1</v>
      </c>
      <c r="G67" s="11" t="s">
        <v>7</v>
      </c>
      <c r="H67" s="6" t="s">
        <v>9</v>
      </c>
      <c r="I67">
        <v>89866.2</v>
      </c>
      <c r="J67">
        <f t="shared" ref="J67:J73" si="7">2.3*I67</f>
        <v>206692.25999999998</v>
      </c>
    </row>
    <row r="68" spans="1:19" ht="28.5" customHeight="1" x14ac:dyDescent="0.25">
      <c r="A68" s="7"/>
      <c r="B68" s="6" t="s">
        <v>194</v>
      </c>
      <c r="C68" s="8">
        <f t="shared" si="4"/>
        <v>117000</v>
      </c>
      <c r="D68" s="8">
        <f t="shared" si="5"/>
        <v>81900</v>
      </c>
      <c r="E68" s="9">
        <f t="shared" si="6"/>
        <v>81900</v>
      </c>
      <c r="F68" s="10">
        <v>1</v>
      </c>
      <c r="G68" s="11" t="s">
        <v>7</v>
      </c>
      <c r="H68" s="6" t="s">
        <v>9</v>
      </c>
      <c r="I68">
        <v>50736</v>
      </c>
      <c r="J68">
        <f t="shared" si="7"/>
        <v>116692.79999999999</v>
      </c>
    </row>
    <row r="69" spans="1:19" ht="28.5" customHeight="1" x14ac:dyDescent="0.25">
      <c r="A69" s="7"/>
      <c r="B69" s="6" t="s">
        <v>195</v>
      </c>
      <c r="C69" s="8">
        <f t="shared" si="4"/>
        <v>132000</v>
      </c>
      <c r="D69" s="8">
        <f t="shared" si="5"/>
        <v>92400</v>
      </c>
      <c r="E69" s="9">
        <f t="shared" si="6"/>
        <v>92400</v>
      </c>
      <c r="F69" s="10">
        <v>1</v>
      </c>
      <c r="G69" s="11" t="s">
        <v>7</v>
      </c>
      <c r="H69" s="6" t="s">
        <v>9</v>
      </c>
      <c r="I69">
        <v>57184.800000000003</v>
      </c>
      <c r="J69">
        <f t="shared" si="7"/>
        <v>131525.04</v>
      </c>
    </row>
    <row r="70" spans="1:19" ht="28.5" customHeight="1" x14ac:dyDescent="0.25">
      <c r="A70" s="7"/>
      <c r="B70" s="6" t="s">
        <v>196</v>
      </c>
      <c r="C70" s="8">
        <f t="shared" si="4"/>
        <v>193000</v>
      </c>
      <c r="D70" s="8">
        <f t="shared" si="5"/>
        <v>135100</v>
      </c>
      <c r="E70" s="9">
        <f t="shared" si="6"/>
        <v>135100</v>
      </c>
      <c r="F70" s="10">
        <v>1</v>
      </c>
      <c r="G70" s="11" t="s">
        <v>7</v>
      </c>
      <c r="H70" s="6" t="s">
        <v>9</v>
      </c>
      <c r="I70">
        <v>83741.400000000009</v>
      </c>
      <c r="J70">
        <f t="shared" si="7"/>
        <v>192605.22</v>
      </c>
    </row>
    <row r="71" spans="1:19" ht="28.5" customHeight="1" x14ac:dyDescent="0.25">
      <c r="A71" s="7"/>
      <c r="B71" s="6" t="s">
        <v>197</v>
      </c>
      <c r="C71" s="8">
        <f t="shared" si="4"/>
        <v>118000</v>
      </c>
      <c r="D71" s="8">
        <f t="shared" si="5"/>
        <v>82600</v>
      </c>
      <c r="E71" s="9">
        <f t="shared" si="6"/>
        <v>82600</v>
      </c>
      <c r="F71" s="10">
        <v>1</v>
      </c>
      <c r="G71" s="11" t="s">
        <v>7</v>
      </c>
      <c r="H71" s="6" t="s">
        <v>9</v>
      </c>
      <c r="I71">
        <v>51060</v>
      </c>
      <c r="J71">
        <f t="shared" si="7"/>
        <v>117437.99999999999</v>
      </c>
    </row>
    <row r="72" spans="1:19" ht="28.5" customHeight="1" x14ac:dyDescent="0.25">
      <c r="A72" s="7"/>
      <c r="B72" s="6" t="s">
        <v>198</v>
      </c>
      <c r="C72" s="8">
        <f t="shared" si="4"/>
        <v>110000</v>
      </c>
      <c r="D72" s="8">
        <f t="shared" si="5"/>
        <v>77000</v>
      </c>
      <c r="E72" s="9">
        <f t="shared" si="6"/>
        <v>77000</v>
      </c>
      <c r="F72" s="10">
        <v>1</v>
      </c>
      <c r="G72" s="11" t="s">
        <v>7</v>
      </c>
      <c r="H72" s="6" t="s">
        <v>9</v>
      </c>
      <c r="I72">
        <v>47673.600000000006</v>
      </c>
      <c r="J72">
        <f t="shared" si="7"/>
        <v>109649.28</v>
      </c>
    </row>
    <row r="73" spans="1:19" ht="28.5" customHeight="1" x14ac:dyDescent="0.25">
      <c r="A73" s="7"/>
      <c r="B73" s="6" t="s">
        <v>199</v>
      </c>
      <c r="C73" s="8">
        <f t="shared" si="4"/>
        <v>103000</v>
      </c>
      <c r="D73" s="8">
        <f t="shared" si="5"/>
        <v>72100</v>
      </c>
      <c r="E73" s="9">
        <f t="shared" si="6"/>
        <v>72100</v>
      </c>
      <c r="F73" s="10">
        <v>1</v>
      </c>
      <c r="G73" s="11" t="s">
        <v>7</v>
      </c>
      <c r="H73" s="6" t="s">
        <v>9</v>
      </c>
      <c r="I73">
        <v>44611.199999999997</v>
      </c>
      <c r="J73">
        <f t="shared" si="7"/>
        <v>102605.75999999998</v>
      </c>
    </row>
    <row r="74" spans="1:19" ht="28.5" customHeight="1" x14ac:dyDescent="0.25">
      <c r="E74" s="31">
        <f>SUM(E2:E73)</f>
        <v>23206400</v>
      </c>
    </row>
  </sheetData>
  <autoFilter ref="A1:I73" xr:uid="{013E1B72-C8BA-4A86-81DA-3EBD1CC903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2026-07-01T13:35:28Z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