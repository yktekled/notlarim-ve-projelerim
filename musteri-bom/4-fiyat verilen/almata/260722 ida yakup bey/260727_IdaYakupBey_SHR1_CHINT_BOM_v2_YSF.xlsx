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allar" sheetId="1" state="visible" r:id="rId3"/>
    <sheet name="BOM" sheetId="2" state="visible" r:id="rId4"/>
    <sheet name="СВО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<sst xmlns="http://schemas.openxmlformats.org/spreadsheetml/2006/main" count="233" uniqueCount="170">
  <si>
    <t xml:space="preserve">PARAMETRE</t>
  </si>
  <si>
    <t xml:space="preserve">DEĞER</t>
  </si>
  <si>
    <t xml:space="preserve">AÇIKLAMA</t>
  </si>
  <si>
    <t xml:space="preserve">CHINT net katsayısı</t>
  </si>
  <si>
    <t xml:space="preserve">Liste × 0,60 (%40 indirim). Kaynak: CHINT 13.06.2026 (KZT)</t>
  </si>
  <si>
    <t xml:space="preserve">EKT / IEK / UNIT katsayısı</t>
  </si>
  <si>
    <t xml:space="preserve">Kaynak: EKT 19.06.2025 (KZT)</t>
  </si>
  <si>
    <t xml:space="preserve">САЙМАН katsayısı</t>
  </si>
  <si>
    <t xml:space="preserve">Kaynak: САЙМАН 2026 (KZT)</t>
  </si>
  <si>
    <t xml:space="preserve">Montaj malzemesi oranı</t>
  </si>
  <si>
    <t xml:space="preserve">Pano malzeme ara toplamının %3'ü</t>
  </si>
  <si>
    <t xml:space="preserve">İşçilik birim fiyat (KZT/dk)</t>
  </si>
  <si>
    <t xml:space="preserve">Montajная работа</t>
  </si>
  <si>
    <t xml:space="preserve">Test/etiket/kontrol çarpanı</t>
  </si>
  <si>
    <t xml:space="preserve">Toplam dakika × 1,15</t>
  </si>
  <si>
    <t xml:space="preserve">ZAMAN NORMLARI</t>
  </si>
  <si>
    <t xml:space="preserve">dakika</t>
  </si>
  <si>
    <t xml:space="preserve">Korpus hazırlık (orta boy)</t>
  </si>
  <si>
    <t xml:space="preserve">dk/adet × 1</t>
  </si>
  <si>
    <t xml:space="preserve">АВР / MCCB ≤250A</t>
  </si>
  <si>
    <t xml:space="preserve">Sayaç (trafosuz)</t>
  </si>
  <si>
    <t xml:space="preserve">Диф.авт. (RCBO) 1P+N</t>
  </si>
  <si>
    <t xml:space="preserve">dk/adet × 8</t>
  </si>
  <si>
    <t xml:space="preserve">Авт.выкл. (MCB) 1P</t>
  </si>
  <si>
    <t xml:space="preserve">dk/adet × 5</t>
  </si>
  <si>
    <t xml:space="preserve">Авт.выкл. (MCB) 3P</t>
  </si>
  <si>
    <t xml:space="preserve">Klemens</t>
  </si>
  <si>
    <t xml:space="preserve">dk/adet × 6</t>
  </si>
  <si>
    <t xml:space="preserve">Bara / tarak</t>
  </si>
  <si>
    <t xml:space="preserve">dk/adet × 2</t>
  </si>
  <si>
    <t xml:space="preserve">DIN ray / kablo kanalı</t>
  </si>
  <si>
    <t xml:space="preserve">dk/m × 9</t>
  </si>
  <si>
    <t xml:space="preserve">HESAPLANAN İŞÇİLİK (dk)</t>
  </si>
  <si>
    <t xml:space="preserve">ЩР-1 toplam dakika</t>
  </si>
  <si>
    <t xml:space="preserve">PROJE</t>
  </si>
  <si>
    <t xml:space="preserve">260727 İda Yakup Bey — ЩР-1 — CHINT — v2 (tam şema + spesifikasyon ile)</t>
  </si>
  <si>
    <t xml:space="preserve">Şema verisi</t>
  </si>
  <si>
    <t xml:space="preserve">Ру=24,5 kW · Кс=0,75 · Рр=18,4 kW · cosφ=0,9 · Iр=31,0 A · Un=380 V · IP31 · навесной</t>
  </si>
  <si>
    <t xml:space="preserve">FİYAT LİSTESİ YAŞI</t>
  </si>
  <si>
    <t xml:space="preserve">CHINT 13.06.2026</t>
  </si>
  <si>
    <t xml:space="preserve">1,5 ay — GÜNCEL</t>
  </si>
  <si>
    <t xml:space="preserve">САЙМАН 2026</t>
  </si>
  <si>
    <t xml:space="preserve">GÜNCEL</t>
  </si>
  <si>
    <t xml:space="preserve">EKT 19.06.2025</t>
  </si>
  <si>
    <t xml:space="preserve">UYARI: 13 ay — 2026 listesi istenmeli</t>
  </si>
  <si>
    <t xml:space="preserve">Teksan 14.04.2025</t>
  </si>
  <si>
    <t xml:space="preserve">KULLANILMADI: dosya aydınlatma stoğu, korpus stoğu değil. Korpus EKT'den alındı.</t>
  </si>
  <si>
    <t xml:space="preserve">ÇİFT KAYNAK DOĞRULAMA (şema / spesifikasyon)</t>
  </si>
  <si>
    <t xml:space="preserve">АВР NXZM-63 40A</t>
  </si>
  <si>
    <t xml:space="preserve">Şema: 3P 40A · Spek: H/4P B40A → ÇELİŞKİ. CHINT stokta 4 kutuplu NXZM-63 YOK; sadece NXZM-63S/3B (3 kutup) var, stok 3 adet. 4P zorunluysa özel sipariş/teslim süresi sorulacak.</t>
  </si>
  <si>
    <t xml:space="preserve">Sayaç САР4-Э721</t>
  </si>
  <si>
    <t xml:space="preserve">Şema ✓ Spek ✓ (uyumlu). Ancak САЙМАН 2026 listesinde Э721 YOK; Дала СА4-Э720 R ТХ IР П RS Д 10-100A (kod LI) eşdeğer alındı. ЭСО/müşteri temini ise satır silinecek.</t>
  </si>
  <si>
    <t xml:space="preserve">NXB-63 3P C32A</t>
  </si>
  <si>
    <t xml:space="preserve">Şema 1 ad ✓ Spek 1 ad ✓ (Гр.8 Вентиляция)</t>
  </si>
  <si>
    <t xml:space="preserve">NXBLE-63 C20A 30mA</t>
  </si>
  <si>
    <t xml:space="preserve">Şema 5 ad ✓ Spek 5 ad ✓ (Гр.3,4,5,6,7 Электрический радиатор)</t>
  </si>
  <si>
    <t xml:space="preserve">NXBLE-63 C16A 30mA</t>
  </si>
  <si>
    <t xml:space="preserve">Şema 3 ad ✓ Spek 3 ad ✓ (Гр.1,2 Розетка + 1 РЕЗЕРВ)</t>
  </si>
  <si>
    <t xml:space="preserve">NXB-63 1P C16A</t>
  </si>
  <si>
    <t xml:space="preserve">Şema 3 ad ✓ Spek 3 ad ✓ (АПС Прибор, СКС Шкаф АПС + 1 РЕЗЕРВ)</t>
  </si>
  <si>
    <t xml:space="preserve">NXB-63 1P B10A</t>
  </si>
  <si>
    <t xml:space="preserve">Şema 2 ad ✓ Spek 2 ad ✓ (№1, №2 Освещения)</t>
  </si>
  <si>
    <t xml:space="preserve">Toplam çıkış</t>
  </si>
  <si>
    <t xml:space="preserve">14 hat = 12 numaralı + 2 РЕЗЕРВ. Şema ve spesifikasyon tam uyumlu.</t>
  </si>
  <si>
    <t xml:space="preserve">KONTROL / RİSK</t>
  </si>
  <si>
    <t xml:space="preserve">NXBLE-63 1P+N</t>
  </si>
  <si>
    <t xml:space="preserve">Düz NXBLE-63 serisi CHINT stokta sadece 2P/4P. 1P+N için NXBLE-63YH (6kA, tip AC) alındı. Tip A istenirse KONTROL bölümündeki 515381/515388 kullanılacak (fiyat aynı).</t>
  </si>
  <si>
    <t xml:space="preserve">STOK 0 (art.814039, 2 adet gerekli). Alternatif NXB-63 1P C10 (art.814013, stok 3720) KONTROL bölümünde.</t>
  </si>
  <si>
    <t xml:space="preserve">АВР stok</t>
  </si>
  <si>
    <t xml:space="preserve">NXZM-63S/3B 40A stok sadece 3 adet — sipariş öncesi rezerv yapılmalı.</t>
  </si>
  <si>
    <t xml:space="preserve">Шины 3L+N+PE</t>
  </si>
  <si>
    <t xml:space="preserve">Spekte istenen bara seti: N barası ШНИ-6х9-24-Д-С ×1, PE barası ШНИ-6х9-24-Д-С (sarı-yeşil markalama) ×1, faz dağıtımı için PIN 1P 63A tarak ×2 (kesilerek 3 faza bölünür).</t>
  </si>
  <si>
    <t xml:space="preserve">Çıkış kabloları (ВВГнг-LS) doğrudan otomat klemensine bağlanıyor — çıkış klemens sırası yok. 6 ad ЗНИ sadece АВР kumanda/yardımcı devre için.</t>
  </si>
  <si>
    <t xml:space="preserve">Parafudr (ОПН)</t>
  </si>
  <si>
    <t xml:space="preserve">Şemada ve spesifikasyonda YOK. Bina giriş panosu — eklenmesi değerlendirilmeli (KONTROL bölümünde, Qty=0).</t>
  </si>
  <si>
    <t xml:space="preserve">Faz dağılımı</t>
  </si>
  <si>
    <t xml:space="preserve">13 tek fazlı çıkış L1/L2/L3'e dengeli dağıtılacak (montaj notu, BOM'a etkisi yok).</t>
  </si>
  <si>
    <t xml:space="preserve">Korpus seçimi</t>
  </si>
  <si>
    <t xml:space="preserve">23 modül DIN + АВР bloğu → ЩМП-3 IP31 650×500×220 (навесной, IP31 spek ile uyumlu).</t>
  </si>
  <si>
    <t xml:space="preserve">v1 farkı</t>
  </si>
  <si>
    <t xml:space="preserve">v1 kesik görselle 10 çıkış üzerinden hazırlanmıştı. Bu v2 tam şema + spesifikasyon ile 14 çıkışa göre yeniden yapıldı — v1 GEÇERSİZ.</t>
  </si>
  <si>
    <t xml:space="preserve">ROW</t>
  </si>
  <si>
    <t xml:space="preserve">Наименование1</t>
  </si>
  <si>
    <t xml:space="preserve">Тип</t>
  </si>
  <si>
    <t xml:space="preserve">Артикул</t>
  </si>
  <si>
    <t xml:space="preserve">Номенклатура</t>
  </si>
  <si>
    <t xml:space="preserve">Цена (лист)</t>
  </si>
  <si>
    <t xml:space="preserve">Цена нетто</t>
  </si>
  <si>
    <t xml:space="preserve">Сумма</t>
  </si>
  <si>
    <t xml:space="preserve">Кол-во</t>
  </si>
  <si>
    <t xml:space="preserve">Ед.изм.</t>
  </si>
  <si>
    <t xml:space="preserve">Завод</t>
  </si>
  <si>
    <t xml:space="preserve">malz</t>
  </si>
  <si>
    <t xml:space="preserve">mal grup</t>
  </si>
  <si>
    <t xml:space="preserve">пано</t>
  </si>
  <si>
    <t xml:space="preserve">ЩР-1 Щит силовой распределительный навесной 380В IP31 (ввод АВР + учёт, 14 отходящих линий)</t>
  </si>
  <si>
    <t xml:space="preserve">комплект</t>
  </si>
  <si>
    <t xml:space="preserve">korpus</t>
  </si>
  <si>
    <t xml:space="preserve">250200068_</t>
  </si>
  <si>
    <t xml:space="preserve">ЩМП-3 IP31 (650х500х220) EKT</t>
  </si>
  <si>
    <t xml:space="preserve">шт.</t>
  </si>
  <si>
    <t xml:space="preserve">EKT</t>
  </si>
  <si>
    <t xml:space="preserve">rubilnik</t>
  </si>
  <si>
    <t xml:space="preserve">256759</t>
  </si>
  <si>
    <t xml:space="preserve">Устройство автоматического ввода резерва NXZM-63S/3B 40A (АВР)</t>
  </si>
  <si>
    <t xml:space="preserve">CHINT</t>
  </si>
  <si>
    <t xml:space="preserve">sayac</t>
  </si>
  <si>
    <t xml:space="preserve">LI</t>
  </si>
  <si>
    <t xml:space="preserve">Счётчик Дала CA4-Э720 R ТХ IР П RS Д (3х220/380V 10-100A)</t>
  </si>
  <si>
    <t xml:space="preserve">САЙМАН</t>
  </si>
  <si>
    <t xml:space="preserve">DİF</t>
  </si>
  <si>
    <t xml:space="preserve">515380</t>
  </si>
  <si>
    <t xml:space="preserve">Диф. авт. выкл. NXBLE-63YH 1P+N C16 30mA тип AC, 6kA</t>
  </si>
  <si>
    <t xml:space="preserve">515387</t>
  </si>
  <si>
    <t xml:space="preserve">Диф. авт. выкл. NXBLE-63YH 1P+N C20 30mA тип AC, 6kA</t>
  </si>
  <si>
    <t xml:space="preserve">OTO</t>
  </si>
  <si>
    <t xml:space="preserve">814014</t>
  </si>
  <si>
    <t xml:space="preserve">Авт. выкл. NXB-63 1P 16A 6кА х-ка C</t>
  </si>
  <si>
    <t xml:space="preserve">814039</t>
  </si>
  <si>
    <t xml:space="preserve">Авт. выкл. NXB-63 1P 10A 6кА х-ка B</t>
  </si>
  <si>
    <t xml:space="preserve">814173</t>
  </si>
  <si>
    <t xml:space="preserve">Авт. выкл. NXB-63 3P 32A 6кА х-ка C</t>
  </si>
  <si>
    <t xml:space="preserve">LOOBAR</t>
  </si>
  <si>
    <t xml:space="preserve">YNN10-69-24D-K07</t>
  </si>
  <si>
    <t xml:space="preserve">Шина N "ноль" на DIN-изол ШНИ-6х9-24-Д-С IEK</t>
  </si>
  <si>
    <t xml:space="preserve">IEK</t>
  </si>
  <si>
    <t xml:space="preserve">Шина PE "земля" на DIN-изол ШНИ-6х9-24-Д-С IEK (маркировка ж/з)</t>
  </si>
  <si>
    <t xml:space="preserve">811000</t>
  </si>
  <si>
    <t xml:space="preserve">Шина соединительная типа PIN 1P, 63А, L=1000мм</t>
  </si>
  <si>
    <t xml:space="preserve">130301153_</t>
  </si>
  <si>
    <t xml:space="preserve">ЗНИ 4мм² (35А) серый UNIT</t>
  </si>
  <si>
    <t xml:space="preserve">UNIT</t>
  </si>
  <si>
    <t xml:space="preserve">montajный материал</t>
  </si>
  <si>
    <t xml:space="preserve">570003</t>
  </si>
  <si>
    <t xml:space="preserve">DIN-рейка оцинкованная TH35-7.5 100cm</t>
  </si>
  <si>
    <t xml:space="preserve">м</t>
  </si>
  <si>
    <t xml:space="preserve">270300105_</t>
  </si>
  <si>
    <t xml:space="preserve">Кабель-канал перф. 40х60 ИМПАКТ IEK (2 м)</t>
  </si>
  <si>
    <t xml:space="preserve">100300025_</t>
  </si>
  <si>
    <t xml:space="preserve">Провод ПВ3-2,5 белый ГОСТ</t>
  </si>
  <si>
    <t xml:space="preserve">100300079_</t>
  </si>
  <si>
    <t xml:space="preserve">Провод ПВ3-10 белый ГОСТ</t>
  </si>
  <si>
    <t xml:space="preserve">100300076_</t>
  </si>
  <si>
    <t xml:space="preserve">Провод ПВ3-1,5 жёлто-зелёный ГОСТ</t>
  </si>
  <si>
    <t xml:space="preserve">MM-3%</t>
  </si>
  <si>
    <t xml:space="preserve">Монтажные материалы (крепёж, маркировка, наконечники, стяжки) — 3% от материалов</t>
  </si>
  <si>
    <t xml:space="preserve">компл.</t>
  </si>
  <si>
    <t xml:space="preserve">-</t>
  </si>
  <si>
    <t xml:space="preserve">montajная работа</t>
  </si>
  <si>
    <t xml:space="preserve">ISC-01</t>
  </si>
  <si>
    <t xml:space="preserve">Сборка, монтаж, маркировка и испытание щита (норма времени, мин)</t>
  </si>
  <si>
    <t xml:space="preserve">мин</t>
  </si>
  <si>
    <t xml:space="preserve">Toplam ЩР-1</t>
  </si>
  <si>
    <t xml:space="preserve">KONTROL EDİLECEK — onaya kadar Qty=0, toplama DAHİL DEĞİL</t>
  </si>
  <si>
    <t xml:space="preserve">814013</t>
  </si>
  <si>
    <t xml:space="preserve">Авт. выкл. NXB-63 1P 10A 6кА х-ка C — B10 stok 0 olduğu için alternatif (2 ад)</t>
  </si>
  <si>
    <t xml:space="preserve">515381</t>
  </si>
  <si>
    <t xml:space="preserve">Диф. авт. выкл. NXBLE-63YH 1P+N C16 30mA тип A, 6kA — tip A istenirse (3 ад)</t>
  </si>
  <si>
    <t xml:space="preserve">515388</t>
  </si>
  <si>
    <t xml:space="preserve">Диф. авт. выкл. NXBLE-63YH 1P+N C20 30mA тип A, 6kA — tip A istenirse (5 ад)</t>
  </si>
  <si>
    <t xml:space="preserve">АВР NXZM-63 4P 40A — spesifikasyonda H/4P isteniyor, CHINT KZ stoğunda 4 kutup YOK (özel sipariş)</t>
  </si>
  <si>
    <t xml:space="preserve">opn</t>
  </si>
  <si>
    <t xml:space="preserve">Ограничитель перенапряжения (ОПН/парафудр) 3P+N — şema ve spekte yok, teyit edilecek</t>
  </si>
  <si>
    <t xml:space="preserve">№</t>
  </si>
  <si>
    <t xml:space="preserve">Наименование щита</t>
  </si>
  <si>
    <t xml:space="preserve">Кол-во компл.</t>
  </si>
  <si>
    <t xml:space="preserve">Цена за 1 компл.</t>
  </si>
  <si>
    <t xml:space="preserve">Примечание</t>
  </si>
  <si>
    <t xml:space="preserve">АВР 3B 40A + sayaç dahil. KONTROL satırları hariç.</t>
  </si>
  <si>
    <t xml:space="preserve">ИТОГО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</si>
</sst>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#,##0.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FD966"/>
        <bgColor rgb="FFFFFF99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0.6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1</v>
      </c>
      <c r="C3" s="2" t="s">
        <v>6</v>
      </c>
    </row>
    <row r="4" customFormat="false" ht="15" hidden="false" customHeight="false" outlineLevel="0" collapsed="false">
      <c r="A4" s="2" t="s">
        <v>7</v>
      </c>
      <c r="B4" s="3" t="n">
        <v>1</v>
      </c>
      <c r="C4" s="2" t="s">
        <v>8</v>
      </c>
    </row>
    <row r="5" customFormat="false" ht="15" hidden="false" customHeight="false" outlineLevel="0" collapsed="false">
      <c r="A5" s="2" t="s">
        <v>9</v>
      </c>
      <c r="B5" s="3" t="n">
        <v>0.03</v>
      </c>
      <c r="C5" s="2" t="s">
        <v>10</v>
      </c>
    </row>
    <row r="6" customFormat="false" ht="15" hidden="false" customHeight="false" outlineLevel="0" collapsed="false">
      <c r="A6" s="2" t="s">
        <v>11</v>
      </c>
      <c r="B6" s="3" t="n">
        <v>100</v>
      </c>
      <c r="C6" s="2" t="s">
        <v>12</v>
      </c>
    </row>
    <row r="7" customFormat="false" ht="15" hidden="false" customHeight="false" outlineLevel="0" collapsed="false">
      <c r="A7" s="2" t="s">
        <v>13</v>
      </c>
      <c r="B7" s="3" t="n">
        <v>1.15</v>
      </c>
      <c r="C7" s="2" t="s">
        <v>14</v>
      </c>
    </row>
    <row r="8" customFormat="false" ht="15" hidden="false" customHeight="false" outlineLevel="0" collapsed="false">
      <c r="A8" s="1" t="s">
        <v>15</v>
      </c>
      <c r="B8" s="1"/>
      <c r="C8" s="1" t="s">
        <v>16</v>
      </c>
    </row>
    <row r="9" customFormat="false" ht="15" hidden="false" customHeight="false" outlineLevel="0" collapsed="false">
      <c r="A9" s="2" t="s">
        <v>17</v>
      </c>
      <c r="B9" s="3" t="n">
        <v>45</v>
      </c>
      <c r="C9" s="2" t="s">
        <v>18</v>
      </c>
    </row>
    <row r="10" customFormat="false" ht="15" hidden="false" customHeight="false" outlineLevel="0" collapsed="false">
      <c r="A10" s="2" t="s">
        <v>19</v>
      </c>
      <c r="B10" s="3" t="n">
        <v>60</v>
      </c>
      <c r="C10" s="2" t="s">
        <v>18</v>
      </c>
    </row>
    <row r="11" customFormat="false" ht="15" hidden="false" customHeight="false" outlineLevel="0" collapsed="false">
      <c r="A11" s="2" t="s">
        <v>20</v>
      </c>
      <c r="B11" s="3" t="n">
        <v>90</v>
      </c>
      <c r="C11" s="2" t="s">
        <v>18</v>
      </c>
    </row>
    <row r="12" customFormat="false" ht="15" hidden="false" customHeight="false" outlineLevel="0" collapsed="false">
      <c r="A12" s="2" t="s">
        <v>21</v>
      </c>
      <c r="B12" s="3" t="n">
        <v>12</v>
      </c>
      <c r="C12" s="2" t="s">
        <v>22</v>
      </c>
    </row>
    <row r="13" customFormat="false" ht="15" hidden="false" customHeight="false" outlineLevel="0" collapsed="false">
      <c r="A13" s="2" t="s">
        <v>23</v>
      </c>
      <c r="B13" s="3" t="n">
        <v>10</v>
      </c>
      <c r="C13" s="2" t="s">
        <v>24</v>
      </c>
    </row>
    <row r="14" customFormat="false" ht="15" hidden="false" customHeight="false" outlineLevel="0" collapsed="false">
      <c r="A14" s="2" t="s">
        <v>25</v>
      </c>
      <c r="B14" s="3" t="n">
        <v>18</v>
      </c>
      <c r="C14" s="2" t="s">
        <v>18</v>
      </c>
    </row>
    <row r="15" customFormat="false" ht="15" hidden="false" customHeight="false" outlineLevel="0" collapsed="false">
      <c r="A15" s="2" t="s">
        <v>26</v>
      </c>
      <c r="B15" s="3" t="n">
        <v>4</v>
      </c>
      <c r="C15" s="2" t="s">
        <v>27</v>
      </c>
    </row>
    <row r="16" customFormat="false" ht="15" hidden="false" customHeight="false" outlineLevel="0" collapsed="false">
      <c r="A16" s="2" t="s">
        <v>28</v>
      </c>
      <c r="B16" s="3" t="n">
        <v>10</v>
      </c>
      <c r="C16" s="2" t="s">
        <v>29</v>
      </c>
    </row>
    <row r="17" customFormat="false" ht="15" hidden="false" customHeight="false" outlineLevel="0" collapsed="false">
      <c r="A17" s="2" t="s">
        <v>30</v>
      </c>
      <c r="B17" s="3" t="n">
        <v>5</v>
      </c>
      <c r="C17" s="2" t="s">
        <v>31</v>
      </c>
    </row>
    <row r="18" customFormat="false" ht="15" hidden="false" customHeight="false" outlineLevel="0" collapsed="false">
      <c r="A18" s="4" t="s">
        <v>32</v>
      </c>
      <c r="B18" s="5" t="n">
        <f aca="false">ROUND((B9+B10+B11+8*B12+5*B13+1*B14+6*B15+2*B16+9*B17)*B7,0)</f>
        <v>515</v>
      </c>
      <c r="C18" s="4" t="s">
        <v>33</v>
      </c>
    </row>
    <row r="20" customFormat="false" ht="68.65" hidden="false" customHeight="false" outlineLevel="0" collapsed="false">
      <c r="A20" s="4" t="s">
        <v>34</v>
      </c>
      <c r="B20" s="6" t="s">
        <v>35</v>
      </c>
    </row>
    <row r="21" customFormat="false" ht="79.85" hidden="false" customHeight="false" outlineLevel="0" collapsed="false">
      <c r="A21" s="4" t="s">
        <v>36</v>
      </c>
      <c r="B21" s="6" t="s">
        <v>37</v>
      </c>
    </row>
    <row r="22" customFormat="false" ht="15" hidden="false" customHeight="false" outlineLevel="0" collapsed="false">
      <c r="A22" s="4" t="s">
        <v>38</v>
      </c>
      <c r="B22" s="6"/>
    </row>
    <row r="23" customFormat="false" ht="23.85" hidden="false" customHeight="false" outlineLevel="0" collapsed="false">
      <c r="A23" s="4" t="s">
        <v>39</v>
      </c>
      <c r="B23" s="6" t="s">
        <v>40</v>
      </c>
    </row>
    <row r="24" customFormat="false" ht="15" hidden="false" customHeight="false" outlineLevel="0" collapsed="false">
      <c r="A24" s="4" t="s">
        <v>41</v>
      </c>
      <c r="B24" s="6" t="s">
        <v>42</v>
      </c>
    </row>
    <row r="25" customFormat="false" ht="35.05" hidden="false" customHeight="false" outlineLevel="0" collapsed="false">
      <c r="A25" s="4" t="s">
        <v>43</v>
      </c>
      <c r="B25" s="6" t="s">
        <v>44</v>
      </c>
    </row>
    <row r="26" customFormat="false" ht="79.85" hidden="false" customHeight="false" outlineLevel="0" collapsed="false">
      <c r="A26" s="4" t="s">
        <v>45</v>
      </c>
      <c r="B26" s="6" t="s">
        <v>46</v>
      </c>
    </row>
    <row r="27" customFormat="false" ht="15" hidden="false" customHeight="false" outlineLevel="0" collapsed="false">
      <c r="A27" s="4" t="s">
        <v>47</v>
      </c>
      <c r="B27" s="6"/>
    </row>
    <row r="28" customFormat="false" ht="158.2" hidden="false" customHeight="false" outlineLevel="0" collapsed="false">
      <c r="A28" s="4" t="s">
        <v>48</v>
      </c>
      <c r="B28" s="6" t="s">
        <v>49</v>
      </c>
    </row>
    <row r="29" customFormat="false" ht="135.8" hidden="false" customHeight="false" outlineLevel="0" collapsed="false">
      <c r="A29" s="4" t="s">
        <v>50</v>
      </c>
      <c r="B29" s="6" t="s">
        <v>51</v>
      </c>
    </row>
    <row r="30" customFormat="false" ht="46.25" hidden="false" customHeight="false" outlineLevel="0" collapsed="false">
      <c r="A30" s="4" t="s">
        <v>52</v>
      </c>
      <c r="B30" s="6" t="s">
        <v>53</v>
      </c>
    </row>
    <row r="31" customFormat="false" ht="57.45" hidden="false" customHeight="false" outlineLevel="0" collapsed="false">
      <c r="A31" s="4" t="s">
        <v>54</v>
      </c>
      <c r="B31" s="6" t="s">
        <v>55</v>
      </c>
    </row>
    <row r="32" customFormat="false" ht="46.25" hidden="false" customHeight="false" outlineLevel="0" collapsed="false">
      <c r="A32" s="4" t="s">
        <v>56</v>
      </c>
      <c r="B32" s="6" t="s">
        <v>57</v>
      </c>
    </row>
    <row r="33" customFormat="false" ht="57.45" hidden="false" customHeight="false" outlineLevel="0" collapsed="false">
      <c r="A33" s="4" t="s">
        <v>58</v>
      </c>
      <c r="B33" s="6" t="s">
        <v>59</v>
      </c>
    </row>
    <row r="34" customFormat="false" ht="46.25" hidden="false" customHeight="false" outlineLevel="0" collapsed="false">
      <c r="A34" s="4" t="s">
        <v>60</v>
      </c>
      <c r="B34" s="6" t="s">
        <v>61</v>
      </c>
    </row>
    <row r="35" customFormat="false" ht="57.45" hidden="false" customHeight="false" outlineLevel="0" collapsed="false">
      <c r="A35" s="4" t="s">
        <v>62</v>
      </c>
      <c r="B35" s="6" t="s">
        <v>63</v>
      </c>
    </row>
    <row r="36" customFormat="false" ht="15" hidden="false" customHeight="false" outlineLevel="0" collapsed="false">
      <c r="A36" s="4" t="s">
        <v>64</v>
      </c>
      <c r="B36" s="6"/>
    </row>
    <row r="37" customFormat="false" ht="147" hidden="false" customHeight="false" outlineLevel="0" collapsed="false">
      <c r="A37" s="4" t="s">
        <v>65</v>
      </c>
      <c r="B37" s="6" t="s">
        <v>66</v>
      </c>
    </row>
    <row r="38" customFormat="false" ht="102.2" hidden="false" customHeight="false" outlineLevel="0" collapsed="false">
      <c r="A38" s="4" t="s">
        <v>60</v>
      </c>
      <c r="B38" s="6" t="s">
        <v>67</v>
      </c>
    </row>
    <row r="39" customFormat="false" ht="57.45" hidden="false" customHeight="false" outlineLevel="0" collapsed="false">
      <c r="A39" s="4" t="s">
        <v>68</v>
      </c>
      <c r="B39" s="6" t="s">
        <v>69</v>
      </c>
    </row>
    <row r="40" customFormat="false" ht="147" hidden="false" customHeight="false" outlineLevel="0" collapsed="false">
      <c r="A40" s="4" t="s">
        <v>70</v>
      </c>
      <c r="B40" s="6" t="s">
        <v>71</v>
      </c>
    </row>
    <row r="41" customFormat="false" ht="135.8" hidden="false" customHeight="false" outlineLevel="0" collapsed="false">
      <c r="A41" s="4" t="s">
        <v>26</v>
      </c>
      <c r="B41" s="6" t="s">
        <v>72</v>
      </c>
    </row>
    <row r="42" customFormat="false" ht="102.2" hidden="false" customHeight="false" outlineLevel="0" collapsed="false">
      <c r="A42" s="4" t="s">
        <v>73</v>
      </c>
      <c r="B42" s="6" t="s">
        <v>74</v>
      </c>
    </row>
    <row r="43" customFormat="false" ht="79.85" hidden="false" customHeight="false" outlineLevel="0" collapsed="false">
      <c r="A43" s="4" t="s">
        <v>75</v>
      </c>
      <c r="B43" s="6" t="s">
        <v>76</v>
      </c>
    </row>
    <row r="44" customFormat="false" ht="79.85" hidden="false" customHeight="false" outlineLevel="0" collapsed="false">
      <c r="A44" s="4" t="s">
        <v>77</v>
      </c>
      <c r="B44" s="6" t="s">
        <v>78</v>
      </c>
    </row>
    <row r="45" customFormat="false" ht="113.4" hidden="false" customHeight="false" outlineLevel="0" collapsed="false">
      <c r="A45" s="4" t="s">
        <v>79</v>
      </c>
      <c r="B45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66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</row>
    <row r="2" customFormat="false" ht="23.85" hidden="false" customHeight="false" outlineLevel="0" collapsed="false">
      <c r="A2" s="8" t="n">
        <v>1</v>
      </c>
      <c r="B2" s="9" t="str">
        <f aca="false">E2</f>
        <v>ЩР-1 Щит силовой распределительный навесной 380В IP31 (ввод АВР + учёт, 14 отходящих линий)</v>
      </c>
      <c r="C2" s="8" t="s">
        <v>94</v>
      </c>
      <c r="D2" s="8"/>
      <c r="E2" s="10" t="s">
        <v>95</v>
      </c>
      <c r="F2" s="11"/>
      <c r="G2" s="11"/>
      <c r="H2" s="11"/>
      <c r="I2" s="12" t="n">
        <v>1</v>
      </c>
      <c r="J2" s="8" t="s">
        <v>96</v>
      </c>
      <c r="K2" s="8"/>
      <c r="L2" s="11"/>
      <c r="M2" s="8"/>
    </row>
    <row r="3" customFormat="false" ht="15" hidden="false" customHeight="false" outlineLevel="0" collapsed="false">
      <c r="A3" s="13" t="n">
        <v>2</v>
      </c>
      <c r="B3" s="13"/>
      <c r="C3" s="13" t="s">
        <v>97</v>
      </c>
      <c r="D3" s="13" t="s">
        <v>98</v>
      </c>
      <c r="E3" s="14" t="s">
        <v>99</v>
      </c>
      <c r="F3" s="15" t="n">
        <v>16158</v>
      </c>
      <c r="G3" s="15" t="n">
        <f aca="false">F3*Kurallar!$B$3</f>
        <v>16158</v>
      </c>
      <c r="H3" s="15" t="n">
        <f aca="false">G3*I3</f>
        <v>16158</v>
      </c>
      <c r="I3" s="16" t="n">
        <v>1</v>
      </c>
      <c r="J3" s="13" t="s">
        <v>100</v>
      </c>
      <c r="K3" s="13" t="s">
        <v>101</v>
      </c>
      <c r="L3" s="15"/>
      <c r="M3" s="13"/>
    </row>
    <row r="4" customFormat="false" ht="15" hidden="false" customHeight="false" outlineLevel="0" collapsed="false">
      <c r="A4" s="13" t="n">
        <v>3</v>
      </c>
      <c r="B4" s="13"/>
      <c r="C4" s="13" t="s">
        <v>102</v>
      </c>
      <c r="D4" s="13" t="s">
        <v>103</v>
      </c>
      <c r="E4" s="14" t="s">
        <v>104</v>
      </c>
      <c r="F4" s="15" t="n">
        <v>201862</v>
      </c>
      <c r="G4" s="15" t="n">
        <f aca="false">F4*Kurallar!$B$2</f>
        <v>121117.2</v>
      </c>
      <c r="H4" s="15" t="n">
        <f aca="false">G4*I4</f>
        <v>121117.2</v>
      </c>
      <c r="I4" s="16" t="n">
        <v>1</v>
      </c>
      <c r="J4" s="13" t="s">
        <v>100</v>
      </c>
      <c r="K4" s="13" t="s">
        <v>105</v>
      </c>
      <c r="L4" s="15"/>
      <c r="M4" s="13"/>
    </row>
    <row r="5" customFormat="false" ht="15" hidden="false" customHeight="false" outlineLevel="0" collapsed="false">
      <c r="A5" s="13" t="n">
        <v>4</v>
      </c>
      <c r="B5" s="13"/>
      <c r="C5" s="13" t="s">
        <v>106</v>
      </c>
      <c r="D5" s="13" t="s">
        <v>107</v>
      </c>
      <c r="E5" s="14" t="s">
        <v>108</v>
      </c>
      <c r="F5" s="15" t="n">
        <v>39100</v>
      </c>
      <c r="G5" s="15" t="n">
        <f aca="false">F5*Kurallar!$B$4</f>
        <v>39100</v>
      </c>
      <c r="H5" s="15" t="n">
        <f aca="false">G5*I5</f>
        <v>39100</v>
      </c>
      <c r="I5" s="16" t="n">
        <v>1</v>
      </c>
      <c r="J5" s="13" t="s">
        <v>100</v>
      </c>
      <c r="K5" s="13" t="s">
        <v>109</v>
      </c>
      <c r="L5" s="15"/>
      <c r="M5" s="13"/>
    </row>
    <row r="6" customFormat="false" ht="15" hidden="false" customHeight="false" outlineLevel="0" collapsed="false">
      <c r="A6" s="13" t="n">
        <v>5</v>
      </c>
      <c r="B6" s="13"/>
      <c r="C6" s="13" t="s">
        <v>110</v>
      </c>
      <c r="D6" s="13" t="s">
        <v>111</v>
      </c>
      <c r="E6" s="14" t="s">
        <v>112</v>
      </c>
      <c r="F6" s="15" t="n">
        <v>5104</v>
      </c>
      <c r="G6" s="15" t="n">
        <f aca="false">F6*Kurallar!$B$2</f>
        <v>3062.4</v>
      </c>
      <c r="H6" s="15" t="n">
        <f aca="false">G6*I6</f>
        <v>9187.2</v>
      </c>
      <c r="I6" s="16" t="n">
        <v>3</v>
      </c>
      <c r="J6" s="13" t="s">
        <v>100</v>
      </c>
      <c r="K6" s="13" t="s">
        <v>105</v>
      </c>
      <c r="L6" s="15"/>
      <c r="M6" s="13"/>
    </row>
    <row r="7" customFormat="false" ht="15" hidden="false" customHeight="false" outlineLevel="0" collapsed="false">
      <c r="A7" s="13" t="n">
        <v>6</v>
      </c>
      <c r="B7" s="13"/>
      <c r="C7" s="13" t="s">
        <v>110</v>
      </c>
      <c r="D7" s="13" t="s">
        <v>113</v>
      </c>
      <c r="E7" s="14" t="s">
        <v>114</v>
      </c>
      <c r="F7" s="15" t="n">
        <v>5632</v>
      </c>
      <c r="G7" s="15" t="n">
        <f aca="false">F7*Kurallar!$B$2</f>
        <v>3379.2</v>
      </c>
      <c r="H7" s="15" t="n">
        <f aca="false">G7*I7</f>
        <v>16896</v>
      </c>
      <c r="I7" s="16" t="n">
        <v>5</v>
      </c>
      <c r="J7" s="13" t="s">
        <v>100</v>
      </c>
      <c r="K7" s="13" t="s">
        <v>105</v>
      </c>
      <c r="L7" s="15"/>
      <c r="M7" s="13"/>
    </row>
    <row r="8" customFormat="false" ht="15" hidden="false" customHeight="false" outlineLevel="0" collapsed="false">
      <c r="A8" s="13" t="n">
        <v>7</v>
      </c>
      <c r="B8" s="13"/>
      <c r="C8" s="13" t="s">
        <v>115</v>
      </c>
      <c r="D8" s="13" t="s">
        <v>116</v>
      </c>
      <c r="E8" s="14" t="s">
        <v>117</v>
      </c>
      <c r="F8" s="15" t="n">
        <v>1389</v>
      </c>
      <c r="G8" s="15" t="n">
        <f aca="false">F8*Kurallar!$B$2</f>
        <v>833.4</v>
      </c>
      <c r="H8" s="15" t="n">
        <f aca="false">G8*I8</f>
        <v>2500.2</v>
      </c>
      <c r="I8" s="16" t="n">
        <v>3</v>
      </c>
      <c r="J8" s="13" t="s">
        <v>100</v>
      </c>
      <c r="K8" s="13" t="s">
        <v>105</v>
      </c>
      <c r="L8" s="15"/>
      <c r="M8" s="13"/>
    </row>
    <row r="9" customFormat="false" ht="15" hidden="false" customHeight="false" outlineLevel="0" collapsed="false">
      <c r="A9" s="13" t="n">
        <v>8</v>
      </c>
      <c r="B9" s="13"/>
      <c r="C9" s="13" t="s">
        <v>115</v>
      </c>
      <c r="D9" s="13" t="s">
        <v>118</v>
      </c>
      <c r="E9" s="14" t="s">
        <v>119</v>
      </c>
      <c r="F9" s="15" t="n">
        <v>1419</v>
      </c>
      <c r="G9" s="15" t="n">
        <f aca="false">F9*Kurallar!$B$2</f>
        <v>851.4</v>
      </c>
      <c r="H9" s="15" t="n">
        <f aca="false">G9*I9</f>
        <v>1702.8</v>
      </c>
      <c r="I9" s="16" t="n">
        <v>2</v>
      </c>
      <c r="J9" s="13" t="s">
        <v>100</v>
      </c>
      <c r="K9" s="13" t="s">
        <v>105</v>
      </c>
      <c r="L9" s="15"/>
      <c r="M9" s="13"/>
    </row>
    <row r="10" customFormat="false" ht="15" hidden="false" customHeight="false" outlineLevel="0" collapsed="false">
      <c r="A10" s="13" t="n">
        <v>9</v>
      </c>
      <c r="B10" s="13"/>
      <c r="C10" s="13" t="s">
        <v>115</v>
      </c>
      <c r="D10" s="13" t="s">
        <v>120</v>
      </c>
      <c r="E10" s="14" t="s">
        <v>121</v>
      </c>
      <c r="F10" s="15" t="n">
        <v>6060</v>
      </c>
      <c r="G10" s="15" t="n">
        <f aca="false">F10*Kurallar!$B$2</f>
        <v>3636</v>
      </c>
      <c r="H10" s="15" t="n">
        <f aca="false">G10*I10</f>
        <v>3636</v>
      </c>
      <c r="I10" s="16" t="n">
        <v>1</v>
      </c>
      <c r="J10" s="13" t="s">
        <v>100</v>
      </c>
      <c r="K10" s="13" t="s">
        <v>105</v>
      </c>
      <c r="L10" s="15"/>
      <c r="M10" s="13"/>
    </row>
    <row r="11" customFormat="false" ht="15" hidden="false" customHeight="false" outlineLevel="0" collapsed="false">
      <c r="A11" s="13" t="n">
        <v>10</v>
      </c>
      <c r="B11" s="13"/>
      <c r="C11" s="13" t="s">
        <v>122</v>
      </c>
      <c r="D11" s="13" t="s">
        <v>123</v>
      </c>
      <c r="E11" s="14" t="s">
        <v>124</v>
      </c>
      <c r="F11" s="15" t="n">
        <v>530</v>
      </c>
      <c r="G11" s="15" t="n">
        <f aca="false">F11*Kurallar!$B$3</f>
        <v>530</v>
      </c>
      <c r="H11" s="15" t="n">
        <f aca="false">G11*I11</f>
        <v>530</v>
      </c>
      <c r="I11" s="16" t="n">
        <v>1</v>
      </c>
      <c r="J11" s="13" t="s">
        <v>100</v>
      </c>
      <c r="K11" s="13" t="s">
        <v>125</v>
      </c>
      <c r="L11" s="15"/>
      <c r="M11" s="13"/>
    </row>
    <row r="12" customFormat="false" ht="15" hidden="false" customHeight="false" outlineLevel="0" collapsed="false">
      <c r="A12" s="13" t="n">
        <v>11</v>
      </c>
      <c r="B12" s="13"/>
      <c r="C12" s="13" t="s">
        <v>122</v>
      </c>
      <c r="D12" s="13" t="s">
        <v>123</v>
      </c>
      <c r="E12" s="14" t="s">
        <v>126</v>
      </c>
      <c r="F12" s="15" t="n">
        <v>530</v>
      </c>
      <c r="G12" s="15" t="n">
        <f aca="false">F12*Kurallar!$B$3</f>
        <v>530</v>
      </c>
      <c r="H12" s="15" t="n">
        <f aca="false">G12*I12</f>
        <v>530</v>
      </c>
      <c r="I12" s="16" t="n">
        <v>1</v>
      </c>
      <c r="J12" s="13" t="s">
        <v>100</v>
      </c>
      <c r="K12" s="13" t="s">
        <v>125</v>
      </c>
      <c r="L12" s="15"/>
      <c r="M12" s="13"/>
    </row>
    <row r="13" customFormat="false" ht="15" hidden="false" customHeight="false" outlineLevel="0" collapsed="false">
      <c r="A13" s="13" t="n">
        <v>12</v>
      </c>
      <c r="B13" s="13"/>
      <c r="C13" s="13" t="s">
        <v>122</v>
      </c>
      <c r="D13" s="13" t="s">
        <v>127</v>
      </c>
      <c r="E13" s="14" t="s">
        <v>128</v>
      </c>
      <c r="F13" s="15" t="n">
        <v>4465</v>
      </c>
      <c r="G13" s="15" t="n">
        <f aca="false">F13*Kurallar!$B$2</f>
        <v>2679</v>
      </c>
      <c r="H13" s="15" t="n">
        <f aca="false">G13*I13</f>
        <v>5358</v>
      </c>
      <c r="I13" s="16" t="n">
        <v>2</v>
      </c>
      <c r="J13" s="13" t="s">
        <v>100</v>
      </c>
      <c r="K13" s="13" t="s">
        <v>105</v>
      </c>
      <c r="L13" s="15"/>
      <c r="M13" s="13"/>
    </row>
    <row r="14" customFormat="false" ht="15" hidden="false" customHeight="false" outlineLevel="0" collapsed="false">
      <c r="A14" s="13" t="n">
        <v>13</v>
      </c>
      <c r="B14" s="13"/>
      <c r="C14" s="13" t="s">
        <v>26</v>
      </c>
      <c r="D14" s="13" t="s">
        <v>129</v>
      </c>
      <c r="E14" s="14" t="s">
        <v>130</v>
      </c>
      <c r="F14" s="15" t="n">
        <v>90</v>
      </c>
      <c r="G14" s="15" t="n">
        <f aca="false">F14*Kurallar!$B$3</f>
        <v>90</v>
      </c>
      <c r="H14" s="15" t="n">
        <f aca="false">G14*I14</f>
        <v>540</v>
      </c>
      <c r="I14" s="16" t="n">
        <v>6</v>
      </c>
      <c r="J14" s="13" t="s">
        <v>100</v>
      </c>
      <c r="K14" s="13" t="s">
        <v>131</v>
      </c>
      <c r="L14" s="15"/>
      <c r="M14" s="13"/>
    </row>
    <row r="15" customFormat="false" ht="15" hidden="false" customHeight="false" outlineLevel="0" collapsed="false">
      <c r="A15" s="13" t="n">
        <v>14</v>
      </c>
      <c r="B15" s="13"/>
      <c r="C15" s="13" t="s">
        <v>132</v>
      </c>
      <c r="D15" s="13" t="s">
        <v>133</v>
      </c>
      <c r="E15" s="14" t="s">
        <v>134</v>
      </c>
      <c r="F15" s="15" t="n">
        <v>869</v>
      </c>
      <c r="G15" s="15" t="n">
        <f aca="false">F15*Kurallar!$B$2</f>
        <v>521.4</v>
      </c>
      <c r="H15" s="15" t="n">
        <f aca="false">G15*I15</f>
        <v>1564.2</v>
      </c>
      <c r="I15" s="16" t="n">
        <v>3</v>
      </c>
      <c r="J15" s="13" t="s">
        <v>135</v>
      </c>
      <c r="K15" s="13" t="s">
        <v>105</v>
      </c>
      <c r="L15" s="15"/>
      <c r="M15" s="13"/>
    </row>
    <row r="16" customFormat="false" ht="15" hidden="false" customHeight="false" outlineLevel="0" collapsed="false">
      <c r="A16" s="13" t="n">
        <v>15</v>
      </c>
      <c r="B16" s="13"/>
      <c r="C16" s="13" t="s">
        <v>132</v>
      </c>
      <c r="D16" s="13" t="s">
        <v>136</v>
      </c>
      <c r="E16" s="14" t="s">
        <v>137</v>
      </c>
      <c r="F16" s="15" t="n">
        <v>1808</v>
      </c>
      <c r="G16" s="15" t="n">
        <f aca="false">F16*Kurallar!$B$3</f>
        <v>1808</v>
      </c>
      <c r="H16" s="15" t="n">
        <f aca="false">G16*I16</f>
        <v>5424</v>
      </c>
      <c r="I16" s="16" t="n">
        <v>3</v>
      </c>
      <c r="J16" s="13" t="s">
        <v>100</v>
      </c>
      <c r="K16" s="13" t="s">
        <v>125</v>
      </c>
      <c r="L16" s="15"/>
      <c r="M16" s="13"/>
    </row>
    <row r="17" customFormat="false" ht="15" hidden="false" customHeight="false" outlineLevel="0" collapsed="false">
      <c r="A17" s="13" t="n">
        <v>16</v>
      </c>
      <c r="B17" s="13"/>
      <c r="C17" s="13" t="s">
        <v>132</v>
      </c>
      <c r="D17" s="13" t="s">
        <v>138</v>
      </c>
      <c r="E17" s="14" t="s">
        <v>139</v>
      </c>
      <c r="F17" s="15" t="n">
        <v>127</v>
      </c>
      <c r="G17" s="15" t="n">
        <f aca="false">F17*Kurallar!$B$3</f>
        <v>127</v>
      </c>
      <c r="H17" s="15" t="n">
        <f aca="false">G17*I17</f>
        <v>5080</v>
      </c>
      <c r="I17" s="16" t="n">
        <v>40</v>
      </c>
      <c r="J17" s="13" t="s">
        <v>135</v>
      </c>
      <c r="K17" s="13" t="s">
        <v>101</v>
      </c>
      <c r="L17" s="15"/>
      <c r="M17" s="13"/>
    </row>
    <row r="18" customFormat="false" ht="15" hidden="false" customHeight="false" outlineLevel="0" collapsed="false">
      <c r="A18" s="13" t="n">
        <v>17</v>
      </c>
      <c r="B18" s="13"/>
      <c r="C18" s="13" t="s">
        <v>132</v>
      </c>
      <c r="D18" s="13" t="s">
        <v>140</v>
      </c>
      <c r="E18" s="14" t="s">
        <v>141</v>
      </c>
      <c r="F18" s="15" t="n">
        <v>565</v>
      </c>
      <c r="G18" s="15" t="n">
        <f aca="false">F18*Kurallar!$B$3</f>
        <v>565</v>
      </c>
      <c r="H18" s="15" t="n">
        <f aca="false">G18*I18</f>
        <v>4520</v>
      </c>
      <c r="I18" s="16" t="n">
        <v>8</v>
      </c>
      <c r="J18" s="13" t="s">
        <v>135</v>
      </c>
      <c r="K18" s="13" t="s">
        <v>101</v>
      </c>
      <c r="L18" s="15"/>
      <c r="M18" s="13"/>
    </row>
    <row r="19" customFormat="false" ht="15" hidden="false" customHeight="false" outlineLevel="0" collapsed="false">
      <c r="A19" s="13" t="n">
        <v>18</v>
      </c>
      <c r="B19" s="13"/>
      <c r="C19" s="13" t="s">
        <v>132</v>
      </c>
      <c r="D19" s="13" t="s">
        <v>142</v>
      </c>
      <c r="E19" s="14" t="s">
        <v>143</v>
      </c>
      <c r="F19" s="15" t="n">
        <v>79</v>
      </c>
      <c r="G19" s="15" t="n">
        <f aca="false">F19*Kurallar!$B$3</f>
        <v>79</v>
      </c>
      <c r="H19" s="15" t="n">
        <f aca="false">G19*I19</f>
        <v>395</v>
      </c>
      <c r="I19" s="16" t="n">
        <v>5</v>
      </c>
      <c r="J19" s="13" t="s">
        <v>135</v>
      </c>
      <c r="K19" s="13" t="s">
        <v>101</v>
      </c>
      <c r="L19" s="15"/>
      <c r="M19" s="13"/>
    </row>
    <row r="20" customFormat="false" ht="23.85" hidden="false" customHeight="false" outlineLevel="0" collapsed="false">
      <c r="A20" s="13" t="n">
        <v>19</v>
      </c>
      <c r="B20" s="13"/>
      <c r="C20" s="13" t="s">
        <v>132</v>
      </c>
      <c r="D20" s="13" t="s">
        <v>144</v>
      </c>
      <c r="E20" s="14" t="s">
        <v>145</v>
      </c>
      <c r="F20" s="15"/>
      <c r="G20" s="15" t="n">
        <f aca="false">SUM(H3:H19)*Kurallar!$B$5</f>
        <v>7027.158</v>
      </c>
      <c r="H20" s="15" t="n">
        <f aca="false">G20*I20</f>
        <v>7027.158</v>
      </c>
      <c r="I20" s="16" t="n">
        <v>1</v>
      </c>
      <c r="J20" s="13" t="s">
        <v>146</v>
      </c>
      <c r="K20" s="13" t="s">
        <v>147</v>
      </c>
      <c r="L20" s="15"/>
      <c r="M20" s="13"/>
    </row>
    <row r="21" customFormat="false" ht="15" hidden="false" customHeight="false" outlineLevel="0" collapsed="false">
      <c r="A21" s="13" t="n">
        <v>20</v>
      </c>
      <c r="B21" s="13"/>
      <c r="C21" s="13" t="s">
        <v>148</v>
      </c>
      <c r="D21" s="13" t="s">
        <v>149</v>
      </c>
      <c r="E21" s="14" t="s">
        <v>150</v>
      </c>
      <c r="F21" s="15" t="n">
        <f aca="false">I21/60</f>
        <v>8.58333333333333</v>
      </c>
      <c r="G21" s="15" t="n">
        <f aca="false">Kurallar!$B$6</f>
        <v>100</v>
      </c>
      <c r="H21" s="15" t="n">
        <f aca="false">G21*I21</f>
        <v>51500</v>
      </c>
      <c r="I21" s="16" t="n">
        <f aca="false">Kurallar!$B$18</f>
        <v>515</v>
      </c>
      <c r="J21" s="13" t="s">
        <v>151</v>
      </c>
      <c r="K21" s="13" t="s">
        <v>147</v>
      </c>
      <c r="L21" s="15"/>
      <c r="M21" s="13"/>
    </row>
    <row r="22" customFormat="false" ht="15" hidden="false" customHeight="false" outlineLevel="0" collapsed="false">
      <c r="A22" s="17"/>
      <c r="B22" s="17" t="s">
        <v>152</v>
      </c>
      <c r="C22" s="17"/>
      <c r="D22" s="17"/>
      <c r="E22" s="18"/>
      <c r="F22" s="19"/>
      <c r="G22" s="19"/>
      <c r="H22" s="19" t="n">
        <f aca="false">SUBTOTAL(9,H3:H21)</f>
        <v>292765.758</v>
      </c>
      <c r="I22" s="20"/>
      <c r="J22" s="17"/>
      <c r="K22" s="17"/>
      <c r="L22" s="19" t="n">
        <f aca="false">SUBTOTAL(9,H3:H19)</f>
        <v>234238.6</v>
      </c>
      <c r="M22" s="17"/>
    </row>
    <row r="23" customFormat="false" ht="15" hidden="false" customHeight="false" outlineLevel="0" collapsed="false">
      <c r="A23" s="17"/>
      <c r="B23" s="21" t="s">
        <v>153</v>
      </c>
      <c r="C23" s="17"/>
      <c r="D23" s="17"/>
      <c r="E23" s="18"/>
      <c r="F23" s="19"/>
      <c r="G23" s="19"/>
      <c r="H23" s="19"/>
      <c r="I23" s="20"/>
      <c r="J23" s="17"/>
      <c r="K23" s="17"/>
      <c r="L23" s="19"/>
      <c r="M23" s="17"/>
    </row>
    <row r="24" customFormat="false" ht="15" hidden="false" customHeight="false" outlineLevel="0" collapsed="false">
      <c r="A24" s="13" t="n">
        <v>1</v>
      </c>
      <c r="B24" s="13"/>
      <c r="C24" s="13" t="s">
        <v>115</v>
      </c>
      <c r="D24" s="13" t="s">
        <v>154</v>
      </c>
      <c r="E24" s="14" t="s">
        <v>155</v>
      </c>
      <c r="F24" s="15" t="n">
        <v>1362</v>
      </c>
      <c r="G24" s="15" t="n">
        <f aca="false">F24*Kurallar!$B$2</f>
        <v>817.2</v>
      </c>
      <c r="H24" s="15" t="n">
        <f aca="false">G24*I24</f>
        <v>0</v>
      </c>
      <c r="I24" s="16" t="n">
        <v>0</v>
      </c>
      <c r="J24" s="13" t="s">
        <v>100</v>
      </c>
      <c r="K24" s="13" t="s">
        <v>105</v>
      </c>
      <c r="L24" s="15"/>
      <c r="M24" s="13"/>
    </row>
    <row r="25" customFormat="false" ht="23.85" hidden="false" customHeight="false" outlineLevel="0" collapsed="false">
      <c r="A25" s="13" t="n">
        <v>2</v>
      </c>
      <c r="B25" s="13"/>
      <c r="C25" s="13" t="s">
        <v>110</v>
      </c>
      <c r="D25" s="13" t="s">
        <v>156</v>
      </c>
      <c r="E25" s="14" t="s">
        <v>157</v>
      </c>
      <c r="F25" s="15" t="n">
        <v>5104</v>
      </c>
      <c r="G25" s="15" t="n">
        <f aca="false">F25*Kurallar!$B$2</f>
        <v>3062.4</v>
      </c>
      <c r="H25" s="15" t="n">
        <f aca="false">G25*I25</f>
        <v>0</v>
      </c>
      <c r="I25" s="16" t="n">
        <v>0</v>
      </c>
      <c r="J25" s="13" t="s">
        <v>100</v>
      </c>
      <c r="K25" s="13" t="s">
        <v>105</v>
      </c>
      <c r="L25" s="15"/>
      <c r="M25" s="13"/>
    </row>
    <row r="26" customFormat="false" ht="23.85" hidden="false" customHeight="false" outlineLevel="0" collapsed="false">
      <c r="A26" s="13" t="n">
        <v>3</v>
      </c>
      <c r="B26" s="13"/>
      <c r="C26" s="13" t="s">
        <v>110</v>
      </c>
      <c r="D26" s="13" t="s">
        <v>158</v>
      </c>
      <c r="E26" s="14" t="s">
        <v>159</v>
      </c>
      <c r="F26" s="15" t="n">
        <v>5632</v>
      </c>
      <c r="G26" s="15" t="n">
        <f aca="false">F26*Kurallar!$B$2</f>
        <v>3379.2</v>
      </c>
      <c r="H26" s="15" t="n">
        <f aca="false">G26*I26</f>
        <v>0</v>
      </c>
      <c r="I26" s="16" t="n">
        <v>0</v>
      </c>
      <c r="J26" s="13" t="s">
        <v>100</v>
      </c>
      <c r="K26" s="13" t="s">
        <v>105</v>
      </c>
      <c r="L26" s="15"/>
      <c r="M26" s="13"/>
    </row>
    <row r="27" customFormat="false" ht="23.85" hidden="false" customHeight="false" outlineLevel="0" collapsed="false">
      <c r="A27" s="13" t="n">
        <v>4</v>
      </c>
      <c r="B27" s="13"/>
      <c r="C27" s="13" t="s">
        <v>102</v>
      </c>
      <c r="D27" s="13" t="s">
        <v>147</v>
      </c>
      <c r="E27" s="14" t="s">
        <v>160</v>
      </c>
      <c r="F27" s="15" t="n">
        <v>0</v>
      </c>
      <c r="G27" s="15" t="n">
        <f aca="false">F27*Kurallar!$B$2</f>
        <v>0</v>
      </c>
      <c r="H27" s="15" t="n">
        <f aca="false">G27*I27</f>
        <v>0</v>
      </c>
      <c r="I27" s="16" t="n">
        <v>0</v>
      </c>
      <c r="J27" s="13" t="s">
        <v>100</v>
      </c>
      <c r="K27" s="13" t="s">
        <v>105</v>
      </c>
      <c r="L27" s="15"/>
      <c r="M27" s="13"/>
    </row>
    <row r="28" customFormat="false" ht="23.85" hidden="false" customHeight="false" outlineLevel="0" collapsed="false">
      <c r="A28" s="13" t="n">
        <v>5</v>
      </c>
      <c r="B28" s="13"/>
      <c r="C28" s="13" t="s">
        <v>161</v>
      </c>
      <c r="D28" s="13" t="s">
        <v>147</v>
      </c>
      <c r="E28" s="14" t="s">
        <v>162</v>
      </c>
      <c r="F28" s="15" t="n">
        <v>0</v>
      </c>
      <c r="G28" s="15" t="n">
        <f aca="false">F28*Kurallar!$B$2</f>
        <v>0</v>
      </c>
      <c r="H28" s="15" t="n">
        <f aca="false">G28*I28</f>
        <v>0</v>
      </c>
      <c r="I28" s="16" t="n">
        <v>0</v>
      </c>
      <c r="J28" s="13" t="s">
        <v>100</v>
      </c>
      <c r="K28" s="13" t="s">
        <v>105</v>
      </c>
      <c r="L28" s="15"/>
      <c r="M2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22" t="s">
        <v>163</v>
      </c>
      <c r="B1" s="22" t="s">
        <v>164</v>
      </c>
      <c r="C1" s="22" t="s">
        <v>165</v>
      </c>
      <c r="D1" s="22" t="s">
        <v>166</v>
      </c>
      <c r="E1" s="22" t="s">
        <v>88</v>
      </c>
      <c r="F1" s="22" t="s">
        <v>167</v>
      </c>
    </row>
    <row r="2" customFormat="false" ht="15" hidden="false" customHeight="false" outlineLevel="0" collapsed="false">
      <c r="A2" s="2" t="n">
        <v>1</v>
      </c>
      <c r="B2" s="2" t="s">
        <v>95</v>
      </c>
      <c r="C2" s="2" t="n">
        <v>1</v>
      </c>
      <c r="D2" s="23" t="n">
        <f aca="false">BOM!H22</f>
        <v>292765.758</v>
      </c>
      <c r="E2" s="23" t="n">
        <f aca="false">C2*D2</f>
        <v>292765.758</v>
      </c>
      <c r="F2" s="2" t="s">
        <v>168</v>
      </c>
    </row>
    <row r="3" customFormat="false" ht="15" hidden="false" customHeight="false" outlineLevel="0" collapsed="false">
      <c r="A3" s="4"/>
      <c r="B3" s="4" t="s">
        <v>169</v>
      </c>
      <c r="C3" s="4"/>
      <c r="D3" s="24"/>
      <c r="E3" s="24" t="n">
        <f aca="false">SUM(E2:E2)</f>
        <v>292765.758</v>
      </c>
      <c r="F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2026-07-27T07:21:25Z</dcterms:created>
  <dc:creator>openpyxl</dc:creator>
  <dc:description/>
  <dc:language>en-US</dc:language>
  <cp:lastModifiedBy/>
  <dcterms:modified xsi:type="dcterms:W3CDTF">2026-07-27T07:21:25Z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