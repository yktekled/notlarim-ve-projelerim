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2 ida yakup bey\"/>
    </mc:Choice>
  </mc:AlternateContent>
  <xr:revisionPtr revIDLastSave="0" documentId="13_ncr:1_{B281C8BD-4616-4688-891E-ADE130F0401A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Kurallar" sheetId="1" r:id="rId1"/>
    <sheet name="BOM" sheetId="2" r:id="rId2"/>
    <sheet name="Sayfa1" sheetId="4" r:id="rId3"/>
    <sheet name="СВОД" sheetId="3" r:id="rId4"/>
  </sheets>
  <definedNames>
    <definedName name="_xlnm._FilterDatabase" localSheetId="1" hidden="1">BOM!$A$1:$M$542</definedName>
    <definedName name="_xlnm._FilterDatabase" localSheetId="2" hidden="1">Sayfa1!$A$1:$J$27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" i="4"/>
  <c r="G524" i="2"/>
  <c r="G503" i="2"/>
  <c r="G485" i="2"/>
  <c r="H485" i="2" s="1"/>
  <c r="G465" i="2"/>
  <c r="G444" i="2"/>
  <c r="H444" i="2" s="1"/>
  <c r="G426" i="2"/>
  <c r="H426" i="2" s="1"/>
  <c r="G406" i="2"/>
  <c r="H406" i="2" s="1"/>
  <c r="G385" i="2"/>
  <c r="H385" i="2" s="1"/>
  <c r="G365" i="2"/>
  <c r="H365" i="2" s="1"/>
  <c r="G344" i="2"/>
  <c r="H344" i="2" s="1"/>
  <c r="G323" i="2"/>
  <c r="H323" i="2" s="1"/>
  <c r="G301" i="2"/>
  <c r="H301" i="2" s="1"/>
  <c r="G280" i="2"/>
  <c r="G259" i="2"/>
  <c r="G238" i="2"/>
  <c r="H238" i="2" s="1"/>
  <c r="G217" i="2"/>
  <c r="H217" i="2" s="1"/>
  <c r="G196" i="2"/>
  <c r="H196" i="2" s="1"/>
  <c r="G175" i="2"/>
  <c r="H175" i="2" s="1"/>
  <c r="G159" i="2"/>
  <c r="H159" i="2" s="1"/>
  <c r="G141" i="2"/>
  <c r="G111" i="2"/>
  <c r="H111" i="2" s="1"/>
  <c r="G110" i="2"/>
  <c r="H110" i="2" s="1"/>
  <c r="G94" i="2"/>
  <c r="H94" i="2" s="1"/>
  <c r="G76" i="2"/>
  <c r="H76" i="2" s="1"/>
  <c r="G46" i="2"/>
  <c r="G45" i="2"/>
  <c r="G24" i="2"/>
  <c r="G3" i="2"/>
  <c r="H3" i="2" s="1"/>
  <c r="G535" i="2"/>
  <c r="H535" i="2" s="1"/>
  <c r="G534" i="2"/>
  <c r="H534" i="2" s="1"/>
  <c r="G514" i="2"/>
  <c r="H514" i="2" s="1"/>
  <c r="G513" i="2"/>
  <c r="H513" i="2" s="1"/>
  <c r="G493" i="2"/>
  <c r="H493" i="2" s="1"/>
  <c r="G492" i="2"/>
  <c r="H492" i="2" s="1"/>
  <c r="G475" i="2"/>
  <c r="H475" i="2" s="1"/>
  <c r="G474" i="2"/>
  <c r="H474" i="2" s="1"/>
  <c r="G455" i="2"/>
  <c r="H455" i="2" s="1"/>
  <c r="G454" i="2"/>
  <c r="H454" i="2" s="1"/>
  <c r="G434" i="2"/>
  <c r="H434" i="2" s="1"/>
  <c r="G433" i="2"/>
  <c r="H433" i="2" s="1"/>
  <c r="G416" i="2"/>
  <c r="G415" i="2"/>
  <c r="H415" i="2" s="1"/>
  <c r="G396" i="2"/>
  <c r="H396" i="2" s="1"/>
  <c r="G395" i="2"/>
  <c r="H395" i="2" s="1"/>
  <c r="G375" i="2"/>
  <c r="H375" i="2" s="1"/>
  <c r="G374" i="2"/>
  <c r="H374" i="2" s="1"/>
  <c r="G355" i="2"/>
  <c r="H355" i="2" s="1"/>
  <c r="G354" i="2"/>
  <c r="H354" i="2" s="1"/>
  <c r="G334" i="2"/>
  <c r="H334" i="2" s="1"/>
  <c r="G333" i="2"/>
  <c r="H333" i="2" s="1"/>
  <c r="G313" i="2"/>
  <c r="H313" i="2" s="1"/>
  <c r="G312" i="2"/>
  <c r="H312" i="2" s="1"/>
  <c r="G291" i="2"/>
  <c r="H291" i="2" s="1"/>
  <c r="G290" i="2"/>
  <c r="H290" i="2" s="1"/>
  <c r="G270" i="2"/>
  <c r="H270" i="2" s="1"/>
  <c r="G269" i="2"/>
  <c r="H269" i="2" s="1"/>
  <c r="G249" i="2"/>
  <c r="H249" i="2" s="1"/>
  <c r="G248" i="2"/>
  <c r="H248" i="2" s="1"/>
  <c r="G228" i="2"/>
  <c r="H228" i="2" s="1"/>
  <c r="G227" i="2"/>
  <c r="H227" i="2" s="1"/>
  <c r="G207" i="2"/>
  <c r="H207" i="2" s="1"/>
  <c r="G206" i="2"/>
  <c r="H206" i="2" s="1"/>
  <c r="G186" i="2"/>
  <c r="H186" i="2" s="1"/>
  <c r="G185" i="2"/>
  <c r="H185" i="2" s="1"/>
  <c r="G165" i="2"/>
  <c r="H165" i="2" s="1"/>
  <c r="G164" i="2"/>
  <c r="H164" i="2" s="1"/>
  <c r="G149" i="2"/>
  <c r="H149" i="2" s="1"/>
  <c r="G148" i="2"/>
  <c r="H148" i="2" s="1"/>
  <c r="G130" i="2"/>
  <c r="H130" i="2" s="1"/>
  <c r="G129" i="2"/>
  <c r="H129" i="2" s="1"/>
  <c r="G100" i="2"/>
  <c r="H100" i="2" s="1"/>
  <c r="G99" i="2"/>
  <c r="H99" i="2" s="1"/>
  <c r="G84" i="2"/>
  <c r="H84" i="2" s="1"/>
  <c r="G83" i="2"/>
  <c r="H83" i="2" s="1"/>
  <c r="G65" i="2"/>
  <c r="H65" i="2" s="1"/>
  <c r="G64" i="2"/>
  <c r="H64" i="2" s="1"/>
  <c r="G35" i="2"/>
  <c r="H35" i="2" s="1"/>
  <c r="G34" i="2"/>
  <c r="H34" i="2" s="1"/>
  <c r="G14" i="2"/>
  <c r="H14" i="2" s="1"/>
  <c r="G13" i="2"/>
  <c r="H13" i="2" s="1"/>
  <c r="J542" i="2"/>
  <c r="J521" i="2"/>
  <c r="J500" i="2"/>
  <c r="J482" i="2"/>
  <c r="J462" i="2"/>
  <c r="J441" i="2"/>
  <c r="J423" i="2"/>
  <c r="F423" i="2" s="1"/>
  <c r="J403" i="2"/>
  <c r="F403" i="2" s="1"/>
  <c r="J362" i="2"/>
  <c r="J341" i="2"/>
  <c r="F341" i="2" s="1"/>
  <c r="J298" i="2"/>
  <c r="J277" i="2"/>
  <c r="F277" i="2" s="1"/>
  <c r="J256" i="2"/>
  <c r="J235" i="2"/>
  <c r="J214" i="2"/>
  <c r="J193" i="2"/>
  <c r="F193" i="2" s="1"/>
  <c r="J172" i="2"/>
  <c r="J156" i="2"/>
  <c r="F156" i="2" s="1"/>
  <c r="J138" i="2"/>
  <c r="F138" i="2" s="1"/>
  <c r="J107" i="2"/>
  <c r="F107" i="2" s="1"/>
  <c r="J91" i="2"/>
  <c r="F91" i="2" s="1"/>
  <c r="J73" i="2"/>
  <c r="F73" i="2" s="1"/>
  <c r="H46" i="2"/>
  <c r="J42" i="2"/>
  <c r="J21" i="2"/>
  <c r="E28" i="3"/>
  <c r="F542" i="2"/>
  <c r="G542" i="2"/>
  <c r="G540" i="2"/>
  <c r="H540" i="2" s="1"/>
  <c r="G539" i="2"/>
  <c r="H539" i="2" s="1"/>
  <c r="G538" i="2"/>
  <c r="H538" i="2" s="1"/>
  <c r="G537" i="2"/>
  <c r="H537" i="2" s="1"/>
  <c r="G536" i="2"/>
  <c r="H536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H524" i="2"/>
  <c r="B523" i="2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F521" i="2"/>
  <c r="G521" i="2"/>
  <c r="G519" i="2"/>
  <c r="H519" i="2" s="1"/>
  <c r="G518" i="2"/>
  <c r="H518" i="2" s="1"/>
  <c r="G517" i="2"/>
  <c r="H517" i="2" s="1"/>
  <c r="G516" i="2"/>
  <c r="H516" i="2" s="1"/>
  <c r="G515" i="2"/>
  <c r="H515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H503" i="2"/>
  <c r="B502" i="2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F500" i="2"/>
  <c r="G500" i="2"/>
  <c r="G498" i="2"/>
  <c r="H498" i="2" s="1"/>
  <c r="G497" i="2"/>
  <c r="H497" i="2" s="1"/>
  <c r="G496" i="2"/>
  <c r="H496" i="2" s="1"/>
  <c r="G495" i="2"/>
  <c r="H495" i="2" s="1"/>
  <c r="G494" i="2"/>
  <c r="H494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B484" i="2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F482" i="2"/>
  <c r="G482" i="2"/>
  <c r="G480" i="2"/>
  <c r="H480" i="2" s="1"/>
  <c r="G479" i="2"/>
  <c r="H479" i="2" s="1"/>
  <c r="G478" i="2"/>
  <c r="H478" i="2" s="1"/>
  <c r="G477" i="2"/>
  <c r="H477" i="2" s="1"/>
  <c r="G476" i="2"/>
  <c r="H476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H465" i="2"/>
  <c r="B464" i="2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F462" i="2"/>
  <c r="G462" i="2"/>
  <c r="G460" i="2"/>
  <c r="H460" i="2" s="1"/>
  <c r="G459" i="2"/>
  <c r="H459" i="2" s="1"/>
  <c r="G458" i="2"/>
  <c r="H458" i="2" s="1"/>
  <c r="G457" i="2"/>
  <c r="H457" i="2" s="1"/>
  <c r="G456" i="2"/>
  <c r="H456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B443" i="2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F441" i="2"/>
  <c r="G441" i="2"/>
  <c r="G439" i="2"/>
  <c r="H439" i="2" s="1"/>
  <c r="G438" i="2"/>
  <c r="H438" i="2" s="1"/>
  <c r="G437" i="2"/>
  <c r="H437" i="2" s="1"/>
  <c r="G436" i="2"/>
  <c r="H436" i="2" s="1"/>
  <c r="G435" i="2"/>
  <c r="H435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B425" i="2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G423" i="2"/>
  <c r="G421" i="2"/>
  <c r="H421" i="2" s="1"/>
  <c r="G420" i="2"/>
  <c r="H420" i="2" s="1"/>
  <c r="G419" i="2"/>
  <c r="H419" i="2" s="1"/>
  <c r="G418" i="2"/>
  <c r="H418" i="2" s="1"/>
  <c r="G417" i="2"/>
  <c r="H417" i="2" s="1"/>
  <c r="H416" i="2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B405" i="2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G403" i="2"/>
  <c r="G401" i="2"/>
  <c r="H401" i="2" s="1"/>
  <c r="G400" i="2"/>
  <c r="H400" i="2" s="1"/>
  <c r="G399" i="2"/>
  <c r="H399" i="2" s="1"/>
  <c r="G398" i="2"/>
  <c r="H398" i="2" s="1"/>
  <c r="G397" i="2"/>
  <c r="H397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B384" i="2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J382" i="2"/>
  <c r="F382" i="2" s="1"/>
  <c r="G382" i="2"/>
  <c r="G380" i="2"/>
  <c r="H380" i="2" s="1"/>
  <c r="G379" i="2"/>
  <c r="H379" i="2" s="1"/>
  <c r="G378" i="2"/>
  <c r="H378" i="2" s="1"/>
  <c r="G377" i="2"/>
  <c r="H377" i="2" s="1"/>
  <c r="G376" i="2"/>
  <c r="H376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B364" i="2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F362" i="2"/>
  <c r="G362" i="2"/>
  <c r="G360" i="2"/>
  <c r="H360" i="2" s="1"/>
  <c r="G359" i="2"/>
  <c r="H359" i="2" s="1"/>
  <c r="G358" i="2"/>
  <c r="H358" i="2" s="1"/>
  <c r="G357" i="2"/>
  <c r="H357" i="2" s="1"/>
  <c r="G356" i="2"/>
  <c r="H356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B343" i="2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G341" i="2"/>
  <c r="G339" i="2"/>
  <c r="H339" i="2" s="1"/>
  <c r="G338" i="2"/>
  <c r="H338" i="2" s="1"/>
  <c r="G337" i="2"/>
  <c r="H337" i="2" s="1"/>
  <c r="G336" i="2"/>
  <c r="H336" i="2" s="1"/>
  <c r="G335" i="2"/>
  <c r="H335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B322" i="2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J320" i="2"/>
  <c r="F320" i="2" s="1"/>
  <c r="G320" i="2"/>
  <c r="G318" i="2"/>
  <c r="H318" i="2" s="1"/>
  <c r="G317" i="2"/>
  <c r="H317" i="2" s="1"/>
  <c r="G316" i="2"/>
  <c r="H316" i="2" s="1"/>
  <c r="G315" i="2"/>
  <c r="H315" i="2" s="1"/>
  <c r="G314" i="2"/>
  <c r="H314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B300" i="2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F298" i="2"/>
  <c r="G298" i="2"/>
  <c r="G296" i="2"/>
  <c r="H296" i="2" s="1"/>
  <c r="G295" i="2"/>
  <c r="H295" i="2" s="1"/>
  <c r="G294" i="2"/>
  <c r="H294" i="2" s="1"/>
  <c r="G293" i="2"/>
  <c r="H293" i="2" s="1"/>
  <c r="G292" i="2"/>
  <c r="H292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H280" i="2"/>
  <c r="B279" i="2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G277" i="2"/>
  <c r="G275" i="2"/>
  <c r="H275" i="2" s="1"/>
  <c r="G274" i="2"/>
  <c r="H274" i="2" s="1"/>
  <c r="G273" i="2"/>
  <c r="H273" i="2" s="1"/>
  <c r="G272" i="2"/>
  <c r="H272" i="2" s="1"/>
  <c r="G271" i="2"/>
  <c r="H271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H259" i="2"/>
  <c r="B258" i="2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G256" i="2"/>
  <c r="F256" i="2"/>
  <c r="G254" i="2"/>
  <c r="H254" i="2" s="1"/>
  <c r="G253" i="2"/>
  <c r="H253" i="2" s="1"/>
  <c r="G252" i="2"/>
  <c r="H252" i="2" s="1"/>
  <c r="G251" i="2"/>
  <c r="H251" i="2" s="1"/>
  <c r="G250" i="2"/>
  <c r="H250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B237" i="2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F235" i="2"/>
  <c r="G235" i="2"/>
  <c r="G233" i="2"/>
  <c r="H233" i="2" s="1"/>
  <c r="G232" i="2"/>
  <c r="H232" i="2" s="1"/>
  <c r="G231" i="2"/>
  <c r="H231" i="2" s="1"/>
  <c r="G230" i="2"/>
  <c r="H230" i="2" s="1"/>
  <c r="G229" i="2"/>
  <c r="H229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B216" i="2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F214" i="2"/>
  <c r="G214" i="2"/>
  <c r="G212" i="2"/>
  <c r="H212" i="2" s="1"/>
  <c r="G211" i="2"/>
  <c r="H211" i="2" s="1"/>
  <c r="G210" i="2"/>
  <c r="H210" i="2" s="1"/>
  <c r="G209" i="2"/>
  <c r="H209" i="2" s="1"/>
  <c r="G208" i="2"/>
  <c r="H208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B195" i="2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G193" i="2"/>
  <c r="G191" i="2"/>
  <c r="H191" i="2" s="1"/>
  <c r="G190" i="2"/>
  <c r="H190" i="2" s="1"/>
  <c r="G189" i="2"/>
  <c r="H189" i="2" s="1"/>
  <c r="G188" i="2"/>
  <c r="H188" i="2" s="1"/>
  <c r="G187" i="2"/>
  <c r="H187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B174" i="2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F172" i="2"/>
  <c r="G172" i="2"/>
  <c r="H172" i="2" s="1"/>
  <c r="G170" i="2"/>
  <c r="H170" i="2" s="1"/>
  <c r="G169" i="2"/>
  <c r="H169" i="2" s="1"/>
  <c r="G168" i="2"/>
  <c r="H168" i="2" s="1"/>
  <c r="G167" i="2"/>
  <c r="H167" i="2" s="1"/>
  <c r="G166" i="2"/>
  <c r="H166" i="2" s="1"/>
  <c r="G163" i="2"/>
  <c r="H163" i="2" s="1"/>
  <c r="G162" i="2"/>
  <c r="H162" i="2" s="1"/>
  <c r="G161" i="2"/>
  <c r="H161" i="2" s="1"/>
  <c r="G160" i="2"/>
  <c r="H160" i="2" s="1"/>
  <c r="B158" i="2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G156" i="2"/>
  <c r="G154" i="2"/>
  <c r="H154" i="2" s="1"/>
  <c r="G153" i="2"/>
  <c r="H153" i="2" s="1"/>
  <c r="G152" i="2"/>
  <c r="H152" i="2" s="1"/>
  <c r="G151" i="2"/>
  <c r="H151" i="2" s="1"/>
  <c r="G150" i="2"/>
  <c r="H150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H141" i="2"/>
  <c r="B140" i="2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G138" i="2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B109" i="2"/>
  <c r="B110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G107" i="2"/>
  <c r="G105" i="2"/>
  <c r="H105" i="2" s="1"/>
  <c r="G104" i="2"/>
  <c r="H104" i="2" s="1"/>
  <c r="G103" i="2"/>
  <c r="H103" i="2" s="1"/>
  <c r="G102" i="2"/>
  <c r="H102" i="2" s="1"/>
  <c r="G101" i="2"/>
  <c r="H101" i="2" s="1"/>
  <c r="G98" i="2"/>
  <c r="H98" i="2" s="1"/>
  <c r="G97" i="2"/>
  <c r="H97" i="2" s="1"/>
  <c r="G96" i="2"/>
  <c r="H96" i="2" s="1"/>
  <c r="G95" i="2"/>
  <c r="H95" i="2" s="1"/>
  <c r="B93" i="2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G91" i="2"/>
  <c r="G89" i="2"/>
  <c r="H89" i="2" s="1"/>
  <c r="G88" i="2"/>
  <c r="H88" i="2" s="1"/>
  <c r="G87" i="2"/>
  <c r="H87" i="2" s="1"/>
  <c r="G86" i="2"/>
  <c r="H86" i="2" s="1"/>
  <c r="G85" i="2"/>
  <c r="H85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B75" i="2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G73" i="2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H45" i="2"/>
  <c r="B44" i="2"/>
  <c r="B45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G42" i="2"/>
  <c r="H42" i="2" s="1"/>
  <c r="F42" i="2"/>
  <c r="G40" i="2"/>
  <c r="H40" i="2" s="1"/>
  <c r="G39" i="2"/>
  <c r="H39" i="2" s="1"/>
  <c r="G38" i="2"/>
  <c r="H38" i="2" s="1"/>
  <c r="G37" i="2"/>
  <c r="H37" i="2" s="1"/>
  <c r="G36" i="2"/>
  <c r="H36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H24" i="2"/>
  <c r="B23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G21" i="2"/>
  <c r="G19" i="2"/>
  <c r="H19" i="2" s="1"/>
  <c r="G18" i="2"/>
  <c r="H18" i="2" s="1"/>
  <c r="G17" i="2"/>
  <c r="H17" i="2" s="1"/>
  <c r="G16" i="2"/>
  <c r="H16" i="2" s="1"/>
  <c r="G15" i="2"/>
  <c r="H15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111" i="2" l="1"/>
  <c r="H277" i="2"/>
  <c r="H91" i="2"/>
  <c r="H193" i="2"/>
  <c r="H107" i="2"/>
  <c r="H256" i="2"/>
  <c r="H320" i="2"/>
  <c r="H298" i="2"/>
  <c r="H542" i="2"/>
  <c r="H235" i="2"/>
  <c r="L342" i="2"/>
  <c r="B46" i="2"/>
  <c r="H214" i="2"/>
  <c r="G255" i="2"/>
  <c r="H255" i="2" s="1"/>
  <c r="H382" i="2"/>
  <c r="H403" i="2"/>
  <c r="H423" i="2"/>
  <c r="H156" i="2"/>
  <c r="H341" i="2"/>
  <c r="H362" i="2"/>
  <c r="G90" i="2"/>
  <c r="H90" i="2" s="1"/>
  <c r="H92" i="2" s="1"/>
  <c r="F5" i="3" s="1"/>
  <c r="G5" i="3" s="1"/>
  <c r="L236" i="2"/>
  <c r="H138" i="2"/>
  <c r="H73" i="2"/>
  <c r="H521" i="2"/>
  <c r="H21" i="2"/>
  <c r="G402" i="2"/>
  <c r="H402" i="2" s="1"/>
  <c r="H462" i="2"/>
  <c r="F21" i="2"/>
  <c r="G213" i="2"/>
  <c r="H213" i="2" s="1"/>
  <c r="L215" i="2"/>
  <c r="L383" i="2"/>
  <c r="H441" i="2"/>
  <c r="L363" i="2"/>
  <c r="G381" i="2"/>
  <c r="H381" i="2" s="1"/>
  <c r="G137" i="2"/>
  <c r="H137" i="2" s="1"/>
  <c r="H139" i="2" s="1"/>
  <c r="F7" i="3" s="1"/>
  <c r="G7" i="3" s="1"/>
  <c r="L139" i="2"/>
  <c r="G319" i="2"/>
  <c r="H319" i="2" s="1"/>
  <c r="L321" i="2"/>
  <c r="G541" i="2"/>
  <c r="H541" i="2" s="1"/>
  <c r="L543" i="2"/>
  <c r="L404" i="2"/>
  <c r="L257" i="2"/>
  <c r="L194" i="2"/>
  <c r="G192" i="2"/>
  <c r="H192" i="2" s="1"/>
  <c r="H194" i="2" s="1"/>
  <c r="F10" i="3" s="1"/>
  <c r="G10" i="3" s="1"/>
  <c r="G340" i="2"/>
  <c r="H340" i="2" s="1"/>
  <c r="G422" i="2"/>
  <c r="H422" i="2" s="1"/>
  <c r="H424" i="2" s="1"/>
  <c r="F21" i="3" s="1"/>
  <c r="G21" i="3" s="1"/>
  <c r="G481" i="2"/>
  <c r="H481" i="2" s="1"/>
  <c r="L483" i="2"/>
  <c r="L463" i="2"/>
  <c r="G461" i="2"/>
  <c r="H461" i="2" s="1"/>
  <c r="G72" i="2"/>
  <c r="H72" i="2" s="1"/>
  <c r="L74" i="2"/>
  <c r="L522" i="2"/>
  <c r="G520" i="2"/>
  <c r="H520" i="2" s="1"/>
  <c r="L501" i="2"/>
  <c r="G499" i="2"/>
  <c r="H499" i="2" s="1"/>
  <c r="G106" i="2"/>
  <c r="H106" i="2" s="1"/>
  <c r="H108" i="2" s="1"/>
  <c r="F6" i="3" s="1"/>
  <c r="G6" i="3" s="1"/>
  <c r="L108" i="2"/>
  <c r="G361" i="2"/>
  <c r="H361" i="2" s="1"/>
  <c r="G234" i="2"/>
  <c r="H234" i="2" s="1"/>
  <c r="L278" i="2"/>
  <c r="G276" i="2"/>
  <c r="H276" i="2" s="1"/>
  <c r="H278" i="2" s="1"/>
  <c r="F14" i="3" s="1"/>
  <c r="G14" i="3" s="1"/>
  <c r="L299" i="2"/>
  <c r="G297" i="2"/>
  <c r="H297" i="2" s="1"/>
  <c r="L424" i="2"/>
  <c r="H500" i="2"/>
  <c r="G440" i="2"/>
  <c r="H440" i="2" s="1"/>
  <c r="L442" i="2"/>
  <c r="G155" i="2"/>
  <c r="H155" i="2" s="1"/>
  <c r="L157" i="2"/>
  <c r="L22" i="2"/>
  <c r="G20" i="2"/>
  <c r="H20" i="2" s="1"/>
  <c r="G41" i="2"/>
  <c r="H41" i="2" s="1"/>
  <c r="H43" i="2" s="1"/>
  <c r="F3" i="3" s="1"/>
  <c r="G3" i="3" s="1"/>
  <c r="L43" i="2"/>
  <c r="L92" i="2"/>
  <c r="G171" i="2"/>
  <c r="H171" i="2" s="1"/>
  <c r="H173" i="2" s="1"/>
  <c r="F9" i="3" s="1"/>
  <c r="G9" i="3" s="1"/>
  <c r="L173" i="2"/>
  <c r="H482" i="2"/>
  <c r="H22" i="2" l="1"/>
  <c r="F2" i="3" s="1"/>
  <c r="G2" i="3" s="1"/>
  <c r="H236" i="2"/>
  <c r="F12" i="3" s="1"/>
  <c r="G12" i="3" s="1"/>
  <c r="H299" i="2"/>
  <c r="F15" i="3" s="1"/>
  <c r="G15" i="3" s="1"/>
  <c r="H321" i="2"/>
  <c r="F16" i="3" s="1"/>
  <c r="G16" i="3" s="1"/>
  <c r="H257" i="2"/>
  <c r="F13" i="3" s="1"/>
  <c r="G13" i="3" s="1"/>
  <c r="H483" i="2"/>
  <c r="F24" i="3" s="1"/>
  <c r="G24" i="3" s="1"/>
  <c r="H543" i="2"/>
  <c r="F27" i="3" s="1"/>
  <c r="G27" i="3" s="1"/>
  <c r="H404" i="2"/>
  <c r="F20" i="3" s="1"/>
  <c r="G20" i="3" s="1"/>
  <c r="H442" i="2"/>
  <c r="F22" i="3" s="1"/>
  <c r="G22" i="3" s="1"/>
  <c r="H501" i="2"/>
  <c r="F25" i="3" s="1"/>
  <c r="G25" i="3" s="1"/>
  <c r="H215" i="2"/>
  <c r="F11" i="3" s="1"/>
  <c r="G11" i="3" s="1"/>
  <c r="H522" i="2"/>
  <c r="F26" i="3" s="1"/>
  <c r="G26" i="3" s="1"/>
  <c r="H342" i="2"/>
  <c r="F17" i="3" s="1"/>
  <c r="G17" i="3" s="1"/>
  <c r="H463" i="2"/>
  <c r="F23" i="3" s="1"/>
  <c r="G23" i="3" s="1"/>
  <c r="H383" i="2"/>
  <c r="F19" i="3" s="1"/>
  <c r="G19" i="3" s="1"/>
  <c r="H157" i="2"/>
  <c r="F8" i="3" s="1"/>
  <c r="G8" i="3" s="1"/>
  <c r="H363" i="2"/>
  <c r="F18" i="3" s="1"/>
  <c r="G18" i="3" s="1"/>
  <c r="H74" i="2"/>
  <c r="F4" i="3" s="1"/>
  <c r="G4" i="3" s="1"/>
  <c r="G28" i="3" l="1"/>
</calcChain>
</file>

<file path=xl/sharedStrings.xml><?xml version="1.0" encoding="utf-8"?>
<sst xmlns="http://schemas.openxmlformats.org/spreadsheetml/2006/main" count="2909" uniqueCount="395">
  <si>
    <t>PARAMETRE</t>
  </si>
  <si>
    <t>DEĞER</t>
  </si>
  <si>
    <t>AÇIKLAMA</t>
  </si>
  <si>
    <t>CHINT net katsayısı</t>
  </si>
  <si>
    <t>Liste × 0,60 (%40 indirim). Kaynak: CHINT 13.06.2026 (KZT)</t>
  </si>
  <si>
    <t>EKT / IEK / UNIT katsayısı</t>
  </si>
  <si>
    <t>Kaynak: EKT 19.06.2025 (KZT)</t>
  </si>
  <si>
    <t>САЙМАН katsayısı</t>
  </si>
  <si>
    <t>Kaynak: САЙМАН 2026 (KZT)</t>
  </si>
  <si>
    <t>Montaj malzemesi oranı</t>
  </si>
  <si>
    <t>Her panonun malzeme ara toplamının %3'ü</t>
  </si>
  <si>
    <t>İşçilik birim fiyat (KZT/dk)</t>
  </si>
  <si>
    <t>Montajная работа</t>
  </si>
  <si>
    <t>Test/etiket/kontrol çarpanı</t>
  </si>
  <si>
    <t>Toplam dakika × 1,15</t>
  </si>
  <si>
    <t>ZAMAN NORMLARI</t>
  </si>
  <si>
    <t>dakika</t>
  </si>
  <si>
    <t>Korpus hazırlık — küçük (ЩМП-1/2)</t>
  </si>
  <si>
    <t>dk/adet</t>
  </si>
  <si>
    <t>Korpus hazırlık — orta (ЩМП-3/4)</t>
  </si>
  <si>
    <t>Korpus hazırlık — büyük (ЩМП-5/6)</t>
  </si>
  <si>
    <t>Korpus hazırlık — dikili (ЩМП-18)</t>
  </si>
  <si>
    <t>АВР NXZM-63</t>
  </si>
  <si>
    <t>АВР NXZM-125</t>
  </si>
  <si>
    <t>TMŞ (MCCB) NXM ≤125A</t>
  </si>
  <si>
    <t>Sayaç</t>
  </si>
  <si>
    <t>Akım trafosu</t>
  </si>
  <si>
    <t>Sinyal lambası</t>
  </si>
  <si>
    <t>Диф.авт. (RCBO) 1P+N</t>
  </si>
  <si>
    <t>Авт.выкл. (MCB) 1P</t>
  </si>
  <si>
    <t>Авт.выкл. (MCB) 3P</t>
  </si>
  <si>
    <t>Klemens</t>
  </si>
  <si>
    <t>Bara (ШНИ / tarak)</t>
  </si>
  <si>
    <t>Bakır bara</t>
  </si>
  <si>
    <t>dk/m</t>
  </si>
  <si>
    <t>DIN ray / kablo kanalı</t>
  </si>
  <si>
    <t>PROJE</t>
  </si>
  <si>
    <t>260727 Almaty Superski — 26 pano — CHINT (GPT listesinden YSF formatına dönüştürüldü ve fiyatlandırıldı)</t>
  </si>
  <si>
    <t>ÖNEMLİ — pano adedi</t>
  </si>
  <si>
    <t>Talepte 36 pano denildi; yüklenen GPT dosyasında 26 pano var. Eksik 10 pano için şema/liste gönderilmeli.</t>
  </si>
  <si>
    <t>SİLİNEN GPT SATIRLARI</t>
  </si>
  <si>
    <t>GPT'nin BARA / KLEMENS / DIN / KANAL / KABLO / GİRİŞ / MONTAJ / İŞÇİLİK satırlarının tamamı silindi (fiyatsız, 'KONTROL' kodlu, adetler cihaz sayısıyla uyumsuzdu). Bu kalemler her pano için cihaz sayısından yeniden hesaplandı.</t>
  </si>
  <si>
    <t>FİYAT LİSTESİ YAŞI</t>
  </si>
  <si>
    <t>CHINT 13.06.2026</t>
  </si>
  <si>
    <t>1,5 ay — GÜNCEL</t>
  </si>
  <si>
    <t>САЙМАН 2026</t>
  </si>
  <si>
    <t>GÜNCEL</t>
  </si>
  <si>
    <t>EKT 19.06.2025</t>
  </si>
  <si>
    <t>UYARI: 13 ay — korpus, klemens, bara, kablo fiyatları bu listeden. 2026 listesi istenmeli.</t>
  </si>
  <si>
    <t>Teksan 14.04.2025</t>
  </si>
  <si>
    <t>KULLANILMADI — eldeki Teksan dosyası aydınlatma stoğu, korpus stoğu değil. GPT'nin 'TEKSAN F' korpusları fiyatlandırılamadı; EKT ЩМП muadilleri kullanıldı.</t>
  </si>
  <si>
    <t>KORPUS DEĞİŞİMİ</t>
  </si>
  <si>
    <t>GPT 400×300×200</t>
  </si>
  <si>
    <t>→ ЩМП-1 IP31 395×310×220 EKT</t>
  </si>
  <si>
    <t>GPT 600×500×220</t>
  </si>
  <si>
    <t>→ ЩМП-3 IP31 650×500×220 EKT</t>
  </si>
  <si>
    <t>GPT 700×600×250 / 800×600×250</t>
  </si>
  <si>
    <t>→ ЩМП-4 IP31 800×650×250 EKT</t>
  </si>
  <si>
    <t>GPT 1000×600×250</t>
  </si>
  <si>
    <t>→ ЩМП-5 IP31 1000×650×300 EKT</t>
  </si>
  <si>
    <t>GPT 1000×800×300</t>
  </si>
  <si>
    <t>→ ЩМП-6 IP31 1200×750×300 EKT (EKT'de 800 mm genişlik yalnız IP54 ЩМП-16'da var)</t>
  </si>
  <si>
    <t>GPT 1800×800×400 dikili</t>
  </si>
  <si>
    <t>→ ЩМП-18 IP54 1800×800×400 EKT (EKT'de bu ölçü sadece IP54; proje IP31 istiyor — IP54 üstü koruma, kabul edilebilir)</t>
  </si>
  <si>
    <t>CİHAZ MUADİLLERİ / STOK</t>
  </si>
  <si>
    <t>АВР NXZM 4 kutup</t>
  </si>
  <si>
    <t>GPT tüm АВР'leri 4P seçmiş. CHINT KZ stoğunda NXZM-63 ve NXZM-125 için 4 KUTUP YOK — sadece 3B (3 kutup) var. 3B ile fiyatlandırıldı. 4P zorunluysa özel sipariş ve teslim süresi CHINT'ten alınmalı.</t>
  </si>
  <si>
    <t>АВР 32A</t>
  </si>
  <si>
    <t>CHINT'te 32A yok → NXZM-63S/3B 40A alındı (4 panoda).</t>
  </si>
  <si>
    <t>АВР 50A</t>
  </si>
  <si>
    <t>CHINT'te 50A yok → NXZM-63S/3B 63A alındı (7 panoda). STOK 0 — sipariş süresi sorulmalı.</t>
  </si>
  <si>
    <t>АВР 40A stok</t>
  </si>
  <si>
    <t>NXZM-63S/3B 40A stok 3 ad, gerekli 9 ad → EKSİK 6 ad.</t>
  </si>
  <si>
    <t>АВР 63A / 80A</t>
  </si>
  <si>
    <t>NXZM-125 4P 63A ve 80A → NXZM-125S/3B 80A (art.256778) alındı, stok 7 ad, gerekli 4 ad.</t>
  </si>
  <si>
    <t>NXBLE-63 1P+N</t>
  </si>
  <si>
    <t>Düz NXBLE-63 serisi CHINT stoğunda sadece 2P/4P. 1P+N için NXBLE-63YH (6kA, tip AC) alındı.</t>
  </si>
  <si>
    <t>NXBLE-63YH C16 stok</t>
  </si>
  <si>
    <t>Stok 630 ad, gerekli 78 ad — yeterli.</t>
  </si>
  <si>
    <t>NXBLE-63YH C20 stok</t>
  </si>
  <si>
    <t>Stok 432 ad, gerekli 129 ad — yeterli.</t>
  </si>
  <si>
    <t>NXB-63 1P B10</t>
  </si>
  <si>
    <t>STOK 0 (art.814039), gerekli 44 ad. Alternatif: NXB-63 1P C10 (art.814013, stok 3720). ONAY GEREKLİ.</t>
  </si>
  <si>
    <t>NXB-63 1P B6</t>
  </si>
  <si>
    <t>Stok 276 ad, gerekli 4 ad — yeterli.</t>
  </si>
  <si>
    <t>NXM-63S/3P 16A</t>
  </si>
  <si>
    <t>Stok NEGATİF (-59), gerekli 4 ad. Sipariş süresi sorulmalı.</t>
  </si>
  <si>
    <t>NXM-63S/3P 25A</t>
  </si>
  <si>
    <t>Stok NEGATİF (-3), gerekli 2 ad. Sipariş süresi sorulmalı.</t>
  </si>
  <si>
    <t>Şemadaki САР4-Э721 САЙМАН 2026 listesinde YOK. Direkt bağlantı 18 ad → Дала CA4-Э720 R ТХ IР П RS Д 10-100A (kod LI); trafolu bağlantı 2 ad → CA4У-Э720 R ТХ IР П RS Д 5-7,5A (kod LE). Sayaçlar ЭСО temini ise satırlar silinecek.</t>
  </si>
  <si>
    <t>GPT 'ND16-22DS AC230V' ×2 yazmış, renk belirtmemiş. 1 kırmızı + 1 yeşil (ND16-22DS/4 AC230В) alındı.</t>
  </si>
  <si>
    <t>Т-0,66 100/5A yerine САЙМАН ТОП-0,66 100A (kod TZ), 6 ad — güncel 2026 fiyatı.</t>
  </si>
  <si>
    <t>BAKIR BARA UYARISI</t>
  </si>
  <si>
    <t>EKT bakır bara fiyatları 13 aylık listeden ve bakır borsa fiyatına bağlı. ВРУ panolarında (L5US-ВРУ-1, L6LS-ВРУ-1) sipariş öncesi güncel bakır fiyatı ALINMALI.</t>
  </si>
  <si>
    <t>MONTAJ MALZEMESİ HESABI</t>
  </si>
  <si>
    <t>DIN ray</t>
  </si>
  <si>
    <t>modül sayısı × 18 mm × 1,35 + 0,5 m</t>
  </si>
  <si>
    <t>Kablo kanalı</t>
  </si>
  <si>
    <t>DIN ray metresi × 1,3 / 2 (2 m'lik parça)</t>
  </si>
  <si>
    <t>Klemens gri (L)</t>
  </si>
  <si>
    <t>1 kutuplu cihaz adedi + 3 × (3 kutuplu MCB + TMŞ) + 4</t>
  </si>
  <si>
    <t>Klemens mavi (N)</t>
  </si>
  <si>
    <t>1 kutuplu cihaz adedi + 3 kutuplu MCB + TMŞ + 2</t>
  </si>
  <si>
    <t>N barası</t>
  </si>
  <si>
    <t>(devre sayısı + 1) / 24, yukarı yuvarlanır</t>
  </si>
  <si>
    <t>PE barası</t>
  </si>
  <si>
    <t>(devre sayısı + 1) / 8, yukarı yuvarlanır</t>
  </si>
  <si>
    <t>ПВ3-2,5</t>
  </si>
  <si>
    <t>1,2 m × 1 kutuplu cihaz + 3,5 m × 3 kutuplu MCB + 2 m</t>
  </si>
  <si>
    <t>Giriş kablosu</t>
  </si>
  <si>
    <t>АВР 40A → ПВ3-16 8 m · АВР 63/80A → ПВ3-25 10 m · АВР yok → ПВ3-10 5 m</t>
  </si>
  <si>
    <t>ПВ3-6</t>
  </si>
  <si>
    <t>TMŞ çıkışları için TMŞ adedi × 4 m</t>
  </si>
  <si>
    <t>ПВ3-1,5 sarı-yeşil</t>
  </si>
  <si>
    <t>0,3 m × devre sayısı + 2 m</t>
  </si>
  <si>
    <t>Bakır bara / izolatör</t>
  </si>
  <si>
    <t>Sadece ВРУ panolarında: 3L+N için Cu 3×30×4000 ×1, PE için Cu 3×20×4000 ×1, SM40 izolatör ×8</t>
  </si>
  <si>
    <t>GENEL KONTROL</t>
  </si>
  <si>
    <t>Parafudr (ОПН)</t>
  </si>
  <si>
    <t>Hiçbir panoda yok. Dağ tesisi / açık hat besleme — ВРУ ve ЩР girişlerine ОПН eklenmesi ŞİDDETLE önerilir. Fiyata dahil DEĞİL.</t>
  </si>
  <si>
    <t>Şema doğrulaması</t>
  </si>
  <si>
    <t>Bu dosya GPT'nin cihaz listesi üzerinden hazırlandı; orijinal tek hat şemaları ile ÇİFT KAYNAK DOĞRULAMA YAPILMADI. PDF'ler gönderilirse doğrulanır.</t>
  </si>
  <si>
    <t>Faz dağılımı</t>
  </si>
  <si>
    <t>Tek fazlı çıkışlar L1/L2/L3'e dengeli dağıtılacak (montaj notu).</t>
  </si>
  <si>
    <t>ROW</t>
  </si>
  <si>
    <t>Наименование1</t>
  </si>
  <si>
    <t>Тип</t>
  </si>
  <si>
    <t>Артикул</t>
  </si>
  <si>
    <t>Номенклатура</t>
  </si>
  <si>
    <t>Цена (лист)</t>
  </si>
  <si>
    <t>Цена нетто</t>
  </si>
  <si>
    <t>Сумма</t>
  </si>
  <si>
    <t>Кол-во</t>
  </si>
  <si>
    <t>Ед.изм.</t>
  </si>
  <si>
    <t>Завод</t>
  </si>
  <si>
    <t>malz</t>
  </si>
  <si>
    <t>пано</t>
  </si>
  <si>
    <t>ASM-ETN-027-EOM-DGD-0001</t>
  </si>
  <si>
    <t>L3-ЩР-1 — Здание оператора L3</t>
  </si>
  <si>
    <t>комплект</t>
  </si>
  <si>
    <t>korpus</t>
  </si>
  <si>
    <t>ЩМП-4 IP31 (800х650х250) EKT</t>
  </si>
  <si>
    <t>шт.</t>
  </si>
  <si>
    <t>EKT</t>
  </si>
  <si>
    <t>256759</t>
  </si>
  <si>
    <t>Устройство автоматического ввода резерва NXZM-63S/3B 40A (АВР)</t>
  </si>
  <si>
    <t>CHINT</t>
  </si>
  <si>
    <t>sayac</t>
  </si>
  <si>
    <t>САЙМАН</t>
  </si>
  <si>
    <t>OTO</t>
  </si>
  <si>
    <t>814039</t>
  </si>
  <si>
    <t>Авт. выкл. NXB-63 1P 10A 6кА х-ка B</t>
  </si>
  <si>
    <t>814014</t>
  </si>
  <si>
    <t>Авт. выкл. NXB-63 1P 16A 6кА х-ка C</t>
  </si>
  <si>
    <t>814171</t>
  </si>
  <si>
    <t>Авт. выкл. NXB-63 3P 20A 6кА х-ка C</t>
  </si>
  <si>
    <t>DİF</t>
  </si>
  <si>
    <t>515380</t>
  </si>
  <si>
    <t>Диф. авт. выкл. NXBLE-63YH 1P+N C16 30mA тип AC, 6kA</t>
  </si>
  <si>
    <t>515387</t>
  </si>
  <si>
    <t>Диф. авт. выкл. NXBLE-63YH 1P+N C20 30mA тип AC, 6kA</t>
  </si>
  <si>
    <t>LOOBAR</t>
  </si>
  <si>
    <t>YNN10-69-24D-K07</t>
  </si>
  <si>
    <t>Шина N "ноль" на DIN-изол ШНИ-6х9-24-Д-С IEK</t>
  </si>
  <si>
    <t>IEK</t>
  </si>
  <si>
    <t>130200409_</t>
  </si>
  <si>
    <t>Шина РЕ "земля" в комб DIN-изол ШНИ-8х12-8-КС-Ж IEK</t>
  </si>
  <si>
    <t>montajный материал</t>
  </si>
  <si>
    <t>570003</t>
  </si>
  <si>
    <t>DIN-рейка оцинкованная TH35-7.5 100cm</t>
  </si>
  <si>
    <t>м</t>
  </si>
  <si>
    <t>270300105_</t>
  </si>
  <si>
    <t>Кабель-канал перф. 40х60 ИМПАКТ IEK (2 м)</t>
  </si>
  <si>
    <t>100300025_</t>
  </si>
  <si>
    <t>Провод ПВ3-2,5 белый ГОСТ</t>
  </si>
  <si>
    <t>100300015_</t>
  </si>
  <si>
    <t>Провод ПВ3-16 белый ГОСТ</t>
  </si>
  <si>
    <t>100300076_</t>
  </si>
  <si>
    <t>Провод ПВ3-1,5 жёлто-зелёный ГОСТ</t>
  </si>
  <si>
    <t>MM-3%</t>
  </si>
  <si>
    <t>Монтажные материалы (крепёж, наконечники, маркировка, стяжки, сальники) — 3% от материалов</t>
  </si>
  <si>
    <t>-</t>
  </si>
  <si>
    <t>montajная работа</t>
  </si>
  <si>
    <t>ISC</t>
  </si>
  <si>
    <t>Сборка, монтаж, маркировка и испытание щита (норма времени, мин)</t>
  </si>
  <si>
    <t>мин</t>
  </si>
  <si>
    <t>Toplam L3-ЩР-1</t>
  </si>
  <si>
    <t>ASM-ETN-028-EOM-DGD-0001</t>
  </si>
  <si>
    <t>L5LS-ЩР-1 — Здание оператора нижней станции L5 LS</t>
  </si>
  <si>
    <t>ЩМП-5 IP31 (1000х650х300) EKT</t>
  </si>
  <si>
    <t>814173</t>
  </si>
  <si>
    <t>Авт. выкл. NXB-63 3P 32A 6кА х-ка C</t>
  </si>
  <si>
    <t>Toplam L5LS-ЩР-1</t>
  </si>
  <si>
    <t>ASM-ETN-004-EOM-DGD-0001</t>
  </si>
  <si>
    <t>L5US-ВРУ-1 — Гараж для подвижного состава канатной дороги верхней станции L5 US — ВРУ-1</t>
  </si>
  <si>
    <t>ЩМП-18 IP54 (1800х800х400) EKT</t>
  </si>
  <si>
    <t>256778</t>
  </si>
  <si>
    <t>Устройство автоматического ввода резерва NXZM-125S/3B 80A (АВР)</t>
  </si>
  <si>
    <t>TMŞ</t>
  </si>
  <si>
    <t>131360</t>
  </si>
  <si>
    <t>Авт. выкл. NXM-125S/3Р 63A 25кА</t>
  </si>
  <si>
    <t>205883</t>
  </si>
  <si>
    <t>Авт. выкл. NXM-63S/3P 25кА 16A</t>
  </si>
  <si>
    <t>205885</t>
  </si>
  <si>
    <t>Авт. выкл. NXM-63S/3P 25кА 25A</t>
  </si>
  <si>
    <t>205886</t>
  </si>
  <si>
    <t>Авт. выкл. NXM-63S/3P 25кА 32A</t>
  </si>
  <si>
    <t>205887</t>
  </si>
  <si>
    <t>Авт. выкл. NXM-63S/3P 25кА 40A</t>
  </si>
  <si>
    <t>205888</t>
  </si>
  <si>
    <t>Авт. выкл. NXM-63S/3P 25кА 50A</t>
  </si>
  <si>
    <t>tt</t>
  </si>
  <si>
    <t>TZ</t>
  </si>
  <si>
    <t>Трансформатор тока ТОП-0,66 У3 кл.точ. 0,5 100A</t>
  </si>
  <si>
    <t>814038</t>
  </si>
  <si>
    <t>Авт. выкл. NXB-63 1P 6A 6кА х-ка B</t>
  </si>
  <si>
    <t>Sinyal Lambası</t>
  </si>
  <si>
    <t>593012</t>
  </si>
  <si>
    <t>Индикатор ND16-22DS/4 красный АС230В</t>
  </si>
  <si>
    <t>593071</t>
  </si>
  <si>
    <t>Индикатор ND16-22DS/4 зеленый АС230В</t>
  </si>
  <si>
    <t>130300322_</t>
  </si>
  <si>
    <t>Шина медная 3х30х4000 (3L+N, по месту режется)</t>
  </si>
  <si>
    <t>130300473_</t>
  </si>
  <si>
    <t>Шина медная 3х20х4000 (PE, по месту режется)</t>
  </si>
  <si>
    <t>130500003_</t>
  </si>
  <si>
    <t>Изолятор SM40 IEK</t>
  </si>
  <si>
    <t>100300016_</t>
  </si>
  <si>
    <t>Провод ПВ3-25 белый ГОСТ</t>
  </si>
  <si>
    <t>100300031_</t>
  </si>
  <si>
    <t>Провод ПВ3-6 белый ГОСТ</t>
  </si>
  <si>
    <t>Toplam L5US-ВРУ-1</t>
  </si>
  <si>
    <t>L5US-ЩС-1 — Гараж верхней станции L5 US — ЩС-1</t>
  </si>
  <si>
    <t>814174</t>
  </si>
  <si>
    <t>Авт. выкл. NXB-63 3P 40A 6кА х-ка C</t>
  </si>
  <si>
    <t>100300079_</t>
  </si>
  <si>
    <t>Провод ПВ3-10 белый ГОСТ</t>
  </si>
  <si>
    <t>Toplam L5US-ЩС-1</t>
  </si>
  <si>
    <t>L5US-ЩО-1 — Гараж верхней станции L5 US — ЩО-1</t>
  </si>
  <si>
    <t>ЩМП-1 IP31 (395х310х220) EKT</t>
  </si>
  <si>
    <t>814172</t>
  </si>
  <si>
    <t>Авт. выкл. NXB-63 3P 25A 6кА х-ка C</t>
  </si>
  <si>
    <t>Toplam L5US-ЩО-1</t>
  </si>
  <si>
    <t>ASM-ETN-005-EOM-DGD-0001</t>
  </si>
  <si>
    <t>L6LS-ВРУ-1 — Гараж для подвижного состава канатной дороги нижней станции L6 LS — ВРУ-1</t>
  </si>
  <si>
    <t>131361</t>
  </si>
  <si>
    <t>Авт. выкл. NXM-125S/3Р 80A 25кА</t>
  </si>
  <si>
    <t>Toplam L6LS-ВРУ-1</t>
  </si>
  <si>
    <t>L6LS-ЩС-1 — Гараж нижней станции L6 LS — ЩС-1</t>
  </si>
  <si>
    <t>Toplam L6LS-ЩС-1</t>
  </si>
  <si>
    <t>L6LS-ЩО-1 — Гараж нижней станции L6 LS — ЩО-1</t>
  </si>
  <si>
    <t>Toplam L6LS-ЩО-1</t>
  </si>
  <si>
    <t>ASM-ETN-029-EOM-DGD-0001</t>
  </si>
  <si>
    <t>L6US-ЩР-1 — Здание оператора верхней станции L6 US</t>
  </si>
  <si>
    <t>256757</t>
  </si>
  <si>
    <t>Устройство автоматического ввода резерва NXZM-63S/3B 63A (АВР)</t>
  </si>
  <si>
    <t>Toplam L6US-ЩР-1</t>
  </si>
  <si>
    <t>ASM-ETN-030-EOM-DGD-0001</t>
  </si>
  <si>
    <t>L7LS-ЩР-1 — Здание оператора нижней станции L7 LS</t>
  </si>
  <si>
    <t>Toplam L7LS-ЩР-1</t>
  </si>
  <si>
    <t>ASM-ETN-031-EOM-DGD-0001</t>
  </si>
  <si>
    <t>L7LS-WC-ЩР-1 — Кассы и общественные туалеты нижней станций L7 LS</t>
  </si>
  <si>
    <t>Toplam L7LS-WC-ЩР-1</t>
  </si>
  <si>
    <t>ASM-ETN-032-EOM-DGD-0001</t>
  </si>
  <si>
    <t>L7US-ЩР-1 — Здание оператора верхней станции L7 US</t>
  </si>
  <si>
    <t>Toplam L7US-ЩР-1</t>
  </si>
  <si>
    <t>ASM-ETN-033-EOM-DGD-0001</t>
  </si>
  <si>
    <t>L8-ЩР-1 — Здание оператора L8</t>
  </si>
  <si>
    <t>Toplam L8-ЩР-1</t>
  </si>
  <si>
    <t>ASM-ETN-034-EOM-DGD-0001</t>
  </si>
  <si>
    <t>L10US-ЩР-1 — Здание оператора верхней станции L10 US</t>
  </si>
  <si>
    <t>Toplam L10US-ЩР-1</t>
  </si>
  <si>
    <t>ASM-ETN-013-EOM-DGD-0001</t>
  </si>
  <si>
    <t>L11LS-GARAJ-ЩР-1 — Гараж для подвижного состава канатной дороги, гараж снегоходов нижней станции L11 LS</t>
  </si>
  <si>
    <t>814170</t>
  </si>
  <si>
    <t>Авт. выкл. NXB-63 3P 16A 6кА х-ка C</t>
  </si>
  <si>
    <t>Toplam L11LS-GARAJ-ЩР-1</t>
  </si>
  <si>
    <t>ASM-ETN-035-EOM-DGD-0001</t>
  </si>
  <si>
    <t>L11LS-OP-ЩР-1 — Здание оператора нижней станции L11 LS</t>
  </si>
  <si>
    <t>Toplam L11LS-OP-ЩР-1</t>
  </si>
  <si>
    <t>ASM-ETN-036-EOM-DGD-0001</t>
  </si>
  <si>
    <t>L11US-ЩР-1 — Здание оператора верхней станции L11 US</t>
  </si>
  <si>
    <t>Toplam L11US-ЩР-1</t>
  </si>
  <si>
    <t>ASM-ETN-014-EOM-DGD-0001</t>
  </si>
  <si>
    <t>L12LS-GARAJ-ЩР-1 — Гараж для подвижного состава канатной дороги нижней станции L12 LS</t>
  </si>
  <si>
    <t>Toplam L12LS-GARAJ-ЩР-1</t>
  </si>
  <si>
    <t>ASM-ETN-037-EOM-DGD-0001</t>
  </si>
  <si>
    <t>L12LS-OP-ЩР-1 — Здание оператора нижней станции L12 LS</t>
  </si>
  <si>
    <t>Toplam L12LS-OP-ЩР-1</t>
  </si>
  <si>
    <t>ASM-ETN-038-EOM-DGD-0001</t>
  </si>
  <si>
    <t>L12US-ЩР-1 — Здание оператора верхней станции L12 US</t>
  </si>
  <si>
    <t>ЩМП-6 IP31 (1200х750х300) EKT</t>
  </si>
  <si>
    <t>814175</t>
  </si>
  <si>
    <t>Авт. выкл. NXB-63 3P 50A 6кА х-ка C</t>
  </si>
  <si>
    <t>Toplam L12US-ЩР-1</t>
  </si>
  <si>
    <t>L12US-ЩСВ — Здание оператора верхней станции L12 US — ЩСВ</t>
  </si>
  <si>
    <t>ЩМП-3 IP31 (650х500х220) EKT</t>
  </si>
  <si>
    <t>Toplam L12US-ЩСВ</t>
  </si>
  <si>
    <t>ASM-ETN-039-EOM-DGD-0001</t>
  </si>
  <si>
    <t>L14LS-ЩР-1 — Здание оператора нижней станции L14 LS</t>
  </si>
  <si>
    <t>Toplam L14LS-ЩР-1</t>
  </si>
  <si>
    <t>ASM-ETN-040-EOM-DGD-0001</t>
  </si>
  <si>
    <t>L14US-ЩР-1 — Пункт спасателей, здание оператора верхней станции L14 US</t>
  </si>
  <si>
    <t>Toplam L14US-ЩР-1</t>
  </si>
  <si>
    <t>L14US-ЩСВ — Пункт спасателей, здание оператора верхней станции L14 US — ЩСВ</t>
  </si>
  <si>
    <t>Toplam L14US-ЩСВ</t>
  </si>
  <si>
    <t>ASM-ETN-041-EOM-DGD-0001</t>
  </si>
  <si>
    <t>L15LS-ЩР-1 — Здание оператора нижней станции L15 LS</t>
  </si>
  <si>
    <t>Toplam L15LS-ЩР-1</t>
  </si>
  <si>
    <t>ASM-ETN-042-EOM-DGD-0001</t>
  </si>
  <si>
    <t>L15US-ЩР-1 — Здание оператора верхней станции L15 US</t>
  </si>
  <si>
    <t>Toplam L15US-ЩР-1</t>
  </si>
  <si>
    <t>№</t>
  </si>
  <si>
    <t>Щит</t>
  </si>
  <si>
    <t>Наименование объекта</t>
  </si>
  <si>
    <t>Корпус</t>
  </si>
  <si>
    <t>Кол-во компл.</t>
  </si>
  <si>
    <t>Цена за 1 компл.</t>
  </si>
  <si>
    <t>L3-ЩР-1</t>
  </si>
  <si>
    <t>Здание оператора L3</t>
  </si>
  <si>
    <t>L5LS-ЩР-1</t>
  </si>
  <si>
    <t>Здание оператора нижней станции L5 LS</t>
  </si>
  <si>
    <t>L5US-ВРУ-1</t>
  </si>
  <si>
    <t>Гараж для подвижного состава канатной дороги верхней станции L5 US — ВРУ-1</t>
  </si>
  <si>
    <t>L5US-ЩС-1</t>
  </si>
  <si>
    <t>Гараж верхней станции L5 US — ЩС-1</t>
  </si>
  <si>
    <t>L5US-ЩО-1</t>
  </si>
  <si>
    <t>Гараж верхней станции L5 US — ЩО-1</t>
  </si>
  <si>
    <t>L6LS-ВРУ-1</t>
  </si>
  <si>
    <t>Гараж для подвижного состава канатной дороги нижней станции L6 LS — ВРУ-1</t>
  </si>
  <si>
    <t>L6LS-ЩС-1</t>
  </si>
  <si>
    <t>Гараж нижней станции L6 LS — ЩС-1</t>
  </si>
  <si>
    <t>L6LS-ЩО-1</t>
  </si>
  <si>
    <t>Гараж нижней станции L6 LS — ЩО-1</t>
  </si>
  <si>
    <t>L6US-ЩР-1</t>
  </si>
  <si>
    <t>Здание оператора верхней станции L6 US</t>
  </si>
  <si>
    <t>L7LS-ЩР-1</t>
  </si>
  <si>
    <t>Здание оператора нижней станции L7 LS</t>
  </si>
  <si>
    <t>L7LS-WC-ЩР-1</t>
  </si>
  <si>
    <t>Кассы и общественные туалеты нижней станций L7 LS</t>
  </si>
  <si>
    <t>L7US-ЩР-1</t>
  </si>
  <si>
    <t>Здание оператора верхней станции L7 US</t>
  </si>
  <si>
    <t>L8-ЩР-1</t>
  </si>
  <si>
    <t>Здание оператора L8</t>
  </si>
  <si>
    <t>L10US-ЩР-1</t>
  </si>
  <si>
    <t>Здание оператора верхней станции L10 US</t>
  </si>
  <si>
    <t>L11LS-GARAJ-ЩР-1</t>
  </si>
  <si>
    <t>Гараж для подвижного состава канатной дороги, гараж снегоходов нижней станции L11 LS</t>
  </si>
  <si>
    <t>L11LS-OP-ЩР-1</t>
  </si>
  <si>
    <t>Здание оператора нижней станции L11 LS</t>
  </si>
  <si>
    <t>L11US-ЩР-1</t>
  </si>
  <si>
    <t>Здание оператора верхней станции L11 US</t>
  </si>
  <si>
    <t>L12LS-GARAJ-ЩР-1</t>
  </si>
  <si>
    <t>Гараж для подвижного состава канатной дороги нижней станции L12 LS</t>
  </si>
  <si>
    <t>L12LS-OP-ЩР-1</t>
  </si>
  <si>
    <t>Здание оператора нижней станции L12 LS</t>
  </si>
  <si>
    <t>L12US-ЩР-1</t>
  </si>
  <si>
    <t>Здание оператора верхней станции L12 US</t>
  </si>
  <si>
    <t>L12US-ЩСВ</t>
  </si>
  <si>
    <t>Здание оператора верхней станции L12 US — ЩСВ</t>
  </si>
  <si>
    <t>L14LS-ЩР-1</t>
  </si>
  <si>
    <t>Здание оператора нижней станции L14 LS</t>
  </si>
  <si>
    <t>L14US-ЩР-1</t>
  </si>
  <si>
    <t>Пункт спасателей, здание оператора верхней станции L14 US</t>
  </si>
  <si>
    <t>L14US-ЩСВ</t>
  </si>
  <si>
    <t>Пункт спасателей, здание оператора верхней станции L14 US — ЩСВ</t>
  </si>
  <si>
    <t>L15LS-ЩР-1</t>
  </si>
  <si>
    <t>Здание оператора нижней станции L15 LS</t>
  </si>
  <si>
    <t>L15US-ЩР-1</t>
  </si>
  <si>
    <t>Здание оператора верхней станции L15 US</t>
  </si>
  <si>
    <t>ИТОГО</t>
  </si>
  <si>
    <t>ats</t>
  </si>
  <si>
    <t>pys</t>
  </si>
  <si>
    <t>701-03300-1</t>
  </si>
  <si>
    <t>Проходная клеммная колодка SAK-2.5 (TEKLED ELECTRIC)2500/50</t>
  </si>
  <si>
    <t>tekled electric</t>
  </si>
  <si>
    <t>719-15612</t>
  </si>
  <si>
    <t>Мет. Корпус (Пустой) (1600x500x350)+10CM База IP31</t>
  </si>
  <si>
    <t>719-154</t>
  </si>
  <si>
    <t>Мет.Корпус Щит (1600x700x400+10см база)</t>
  </si>
  <si>
    <t>714-15010</t>
  </si>
  <si>
    <t>Pano met.ShRn-24 b/o (398х312х120)S/U 36 IP31 (TS)</t>
  </si>
  <si>
    <t>714-15105</t>
  </si>
  <si>
    <t>Щит ЩРн-54 (540x440x120) S/U  IP31</t>
  </si>
  <si>
    <t>714-15117</t>
  </si>
  <si>
    <t>Щит мет. ЩРн-5-2 PR (1000x650x300) IP31 (TS)</t>
  </si>
  <si>
    <t>714-15119</t>
  </si>
  <si>
    <t>Щит мет. ЩРн-4-2 PR (800x650x250) IP31 (TS)</t>
  </si>
  <si>
    <t>714-15115</t>
  </si>
  <si>
    <t>Щит мет. ЩРн-6-2 PR (1200x750x300) IP31 (TS)</t>
  </si>
  <si>
    <t>kaztek</t>
  </si>
  <si>
    <t>IB</t>
  </si>
  <si>
    <t>ДАЛА СА4-Э720 R TX OP P П RS1 Д W (3x220/380V 5-100A)</t>
  </si>
  <si>
    <t>IA</t>
  </si>
  <si>
    <t>ДАЛА СА4У-Э720 R TX OP П RS1 Д W  (3x220/380V 5-7,5A)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</si>
</sst>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3" fontId="3" fillId="0" borderId="1" xfId="0" applyNumberFormat="1" applyFont="1" applyBorder="1"/>
    <xf numFmtId="3" fontId="2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3" fontId="2" fillId="4" borderId="2" xfId="0" applyNumberFormat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zoomScaleNormal="100" workbookViewId="0"/>
  </sheetViews>
  <sheetFormatPr defaultColWidth="8.7109375" defaultRowHeight="15" x14ac:dyDescent="0.25"/>
  <cols>
    <col min="1" max="1" width="36" customWidth="1"/>
    <col min="2" max="2" width="14" customWidth="1"/>
    <col min="3" max="3" width="84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2" t="s">
        <v>3</v>
      </c>
      <c r="B2" s="3">
        <v>0.6</v>
      </c>
      <c r="C2" s="2" t="s">
        <v>4</v>
      </c>
    </row>
    <row r="3" spans="1:3" ht="15" customHeight="1" x14ac:dyDescent="0.25">
      <c r="A3" s="2" t="s">
        <v>5</v>
      </c>
      <c r="B3" s="3">
        <v>1</v>
      </c>
      <c r="C3" s="2" t="s">
        <v>6</v>
      </c>
    </row>
    <row r="4" spans="1:3" ht="15" customHeight="1" x14ac:dyDescent="0.25">
      <c r="A4" s="2" t="s">
        <v>7</v>
      </c>
      <c r="B4" s="3">
        <v>1</v>
      </c>
      <c r="C4" s="2" t="s">
        <v>8</v>
      </c>
    </row>
    <row r="5" spans="1:3" ht="15" customHeight="1" x14ac:dyDescent="0.25">
      <c r="A5" s="2" t="s">
        <v>9</v>
      </c>
      <c r="B5" s="3">
        <v>0.03</v>
      </c>
      <c r="C5" s="2" t="s">
        <v>10</v>
      </c>
    </row>
    <row r="6" spans="1:3" ht="15" customHeight="1" x14ac:dyDescent="0.25">
      <c r="A6" s="2" t="s">
        <v>11</v>
      </c>
      <c r="B6" s="3">
        <v>100</v>
      </c>
      <c r="C6" s="2" t="s">
        <v>12</v>
      </c>
    </row>
    <row r="7" spans="1:3" ht="15" customHeight="1" x14ac:dyDescent="0.25">
      <c r="A7" s="2" t="s">
        <v>13</v>
      </c>
      <c r="B7" s="3">
        <v>1.1499999999999999</v>
      </c>
      <c r="C7" s="2" t="s">
        <v>14</v>
      </c>
    </row>
    <row r="8" spans="1:3" ht="15" customHeight="1" x14ac:dyDescent="0.25">
      <c r="A8" s="1" t="s">
        <v>15</v>
      </c>
      <c r="B8" s="1"/>
      <c r="C8" s="1" t="s">
        <v>16</v>
      </c>
    </row>
    <row r="9" spans="1:3" ht="15" customHeight="1" x14ac:dyDescent="0.25">
      <c r="A9" s="2" t="s">
        <v>17</v>
      </c>
      <c r="B9" s="3">
        <v>30</v>
      </c>
      <c r="C9" s="2" t="s">
        <v>18</v>
      </c>
    </row>
    <row r="10" spans="1:3" ht="15" customHeight="1" x14ac:dyDescent="0.25">
      <c r="A10" s="2" t="s">
        <v>19</v>
      </c>
      <c r="B10" s="3">
        <v>45</v>
      </c>
      <c r="C10" s="2" t="s">
        <v>18</v>
      </c>
    </row>
    <row r="11" spans="1:3" ht="15" customHeight="1" x14ac:dyDescent="0.25">
      <c r="A11" s="2" t="s">
        <v>20</v>
      </c>
      <c r="B11" s="3">
        <v>60</v>
      </c>
      <c r="C11" s="2" t="s">
        <v>18</v>
      </c>
    </row>
    <row r="12" spans="1:3" ht="15" customHeight="1" x14ac:dyDescent="0.25">
      <c r="A12" s="2" t="s">
        <v>21</v>
      </c>
      <c r="B12" s="3">
        <v>90</v>
      </c>
      <c r="C12" s="2" t="s">
        <v>18</v>
      </c>
    </row>
    <row r="13" spans="1:3" ht="15" customHeight="1" x14ac:dyDescent="0.25">
      <c r="A13" s="2" t="s">
        <v>22</v>
      </c>
      <c r="B13" s="3">
        <v>60</v>
      </c>
      <c r="C13" s="2" t="s">
        <v>18</v>
      </c>
    </row>
    <row r="14" spans="1:3" ht="15" customHeight="1" x14ac:dyDescent="0.25">
      <c r="A14" s="2" t="s">
        <v>23</v>
      </c>
      <c r="B14" s="3">
        <v>90</v>
      </c>
      <c r="C14" s="2" t="s">
        <v>18</v>
      </c>
    </row>
    <row r="15" spans="1:3" ht="15" customHeight="1" x14ac:dyDescent="0.25">
      <c r="A15" s="2" t="s">
        <v>24</v>
      </c>
      <c r="B15" s="3">
        <v>60</v>
      </c>
      <c r="C15" s="2" t="s">
        <v>18</v>
      </c>
    </row>
    <row r="16" spans="1:3" ht="15" customHeight="1" x14ac:dyDescent="0.25">
      <c r="A16" s="2" t="s">
        <v>25</v>
      </c>
      <c r="B16" s="3">
        <v>90</v>
      </c>
      <c r="C16" s="2" t="s">
        <v>18</v>
      </c>
    </row>
    <row r="17" spans="1:3" ht="15" customHeight="1" x14ac:dyDescent="0.25">
      <c r="A17" s="2" t="s">
        <v>26</v>
      </c>
      <c r="B17" s="3">
        <v>20</v>
      </c>
      <c r="C17" s="2" t="s">
        <v>18</v>
      </c>
    </row>
    <row r="18" spans="1:3" ht="15" customHeight="1" x14ac:dyDescent="0.25">
      <c r="A18" s="2" t="s">
        <v>27</v>
      </c>
      <c r="B18" s="3">
        <v>15</v>
      </c>
      <c r="C18" s="2" t="s">
        <v>18</v>
      </c>
    </row>
    <row r="19" spans="1:3" ht="15" customHeight="1" x14ac:dyDescent="0.25">
      <c r="A19" s="2" t="s">
        <v>28</v>
      </c>
      <c r="B19" s="3">
        <v>12</v>
      </c>
      <c r="C19" s="2" t="s">
        <v>18</v>
      </c>
    </row>
    <row r="20" spans="1:3" ht="15" customHeight="1" x14ac:dyDescent="0.25">
      <c r="A20" s="2" t="s">
        <v>29</v>
      </c>
      <c r="B20" s="3">
        <v>10</v>
      </c>
      <c r="C20" s="2" t="s">
        <v>18</v>
      </c>
    </row>
    <row r="21" spans="1:3" ht="15" customHeight="1" x14ac:dyDescent="0.25">
      <c r="A21" s="2" t="s">
        <v>30</v>
      </c>
      <c r="B21" s="3">
        <v>18</v>
      </c>
      <c r="C21" s="2" t="s">
        <v>18</v>
      </c>
    </row>
    <row r="22" spans="1:3" ht="15" customHeight="1" x14ac:dyDescent="0.25">
      <c r="A22" s="2" t="s">
        <v>31</v>
      </c>
      <c r="B22" s="3">
        <v>4</v>
      </c>
      <c r="C22" s="2" t="s">
        <v>18</v>
      </c>
    </row>
    <row r="23" spans="1:3" ht="15" customHeight="1" x14ac:dyDescent="0.25">
      <c r="A23" s="2" t="s">
        <v>32</v>
      </c>
      <c r="B23" s="3">
        <v>10</v>
      </c>
      <c r="C23" s="2" t="s">
        <v>18</v>
      </c>
    </row>
    <row r="24" spans="1:3" ht="15" customHeight="1" x14ac:dyDescent="0.25">
      <c r="A24" s="2" t="s">
        <v>33</v>
      </c>
      <c r="B24" s="3">
        <v>45</v>
      </c>
      <c r="C24" s="2" t="s">
        <v>34</v>
      </c>
    </row>
    <row r="25" spans="1:3" ht="15" customHeight="1" x14ac:dyDescent="0.25">
      <c r="A25" s="2" t="s">
        <v>35</v>
      </c>
      <c r="B25" s="3">
        <v>5</v>
      </c>
      <c r="C25" s="2" t="s">
        <v>34</v>
      </c>
    </row>
    <row r="27" spans="1:3" ht="79.5" customHeight="1" x14ac:dyDescent="0.25">
      <c r="A27" s="4" t="s">
        <v>36</v>
      </c>
      <c r="B27" s="5" t="s">
        <v>37</v>
      </c>
    </row>
    <row r="28" spans="1:3" ht="79.5" customHeight="1" x14ac:dyDescent="0.25">
      <c r="A28" s="4" t="s">
        <v>38</v>
      </c>
      <c r="B28" s="5" t="s">
        <v>39</v>
      </c>
    </row>
    <row r="29" spans="1:3" ht="202.5" customHeight="1" x14ac:dyDescent="0.25">
      <c r="A29" s="4" t="s">
        <v>40</v>
      </c>
      <c r="B29" s="5" t="s">
        <v>41</v>
      </c>
    </row>
    <row r="30" spans="1:3" ht="15" customHeight="1" x14ac:dyDescent="0.25">
      <c r="A30" s="4" t="s">
        <v>42</v>
      </c>
      <c r="B30" s="5"/>
    </row>
    <row r="31" spans="1:3" ht="23.25" customHeight="1" x14ac:dyDescent="0.25">
      <c r="A31" s="4" t="s">
        <v>43</v>
      </c>
      <c r="B31" s="5" t="s">
        <v>44</v>
      </c>
    </row>
    <row r="32" spans="1:3" ht="15" customHeight="1" x14ac:dyDescent="0.25">
      <c r="A32" s="4" t="s">
        <v>45</v>
      </c>
      <c r="B32" s="5" t="s">
        <v>46</v>
      </c>
    </row>
    <row r="33" spans="1:2" ht="68.25" customHeight="1" x14ac:dyDescent="0.25">
      <c r="A33" s="4" t="s">
        <v>47</v>
      </c>
      <c r="B33" s="5" t="s">
        <v>48</v>
      </c>
    </row>
    <row r="34" spans="1:2" ht="147" customHeight="1" x14ac:dyDescent="0.25">
      <c r="A34" s="4" t="s">
        <v>49</v>
      </c>
      <c r="B34" s="5" t="s">
        <v>50</v>
      </c>
    </row>
    <row r="35" spans="1:2" ht="15" customHeight="1" x14ac:dyDescent="0.25">
      <c r="A35" s="4" t="s">
        <v>51</v>
      </c>
      <c r="B35" s="5"/>
    </row>
    <row r="36" spans="1:2" ht="34.5" customHeight="1" x14ac:dyDescent="0.25">
      <c r="A36" s="4" t="s">
        <v>52</v>
      </c>
      <c r="B36" s="5" t="s">
        <v>53</v>
      </c>
    </row>
    <row r="37" spans="1:2" ht="34.5" customHeight="1" x14ac:dyDescent="0.25">
      <c r="A37" s="4" t="s">
        <v>54</v>
      </c>
      <c r="B37" s="5" t="s">
        <v>55</v>
      </c>
    </row>
    <row r="38" spans="1:2" ht="34.5" customHeight="1" x14ac:dyDescent="0.25">
      <c r="A38" s="4" t="s">
        <v>56</v>
      </c>
      <c r="B38" s="5" t="s">
        <v>57</v>
      </c>
    </row>
    <row r="39" spans="1:2" ht="34.5" customHeight="1" x14ac:dyDescent="0.25">
      <c r="A39" s="4" t="s">
        <v>58</v>
      </c>
      <c r="B39" s="5" t="s">
        <v>59</v>
      </c>
    </row>
    <row r="40" spans="1:2" ht="68.25" customHeight="1" x14ac:dyDescent="0.25">
      <c r="A40" s="4" t="s">
        <v>60</v>
      </c>
      <c r="B40" s="5" t="s">
        <v>61</v>
      </c>
    </row>
    <row r="41" spans="1:2" ht="102" customHeight="1" x14ac:dyDescent="0.25">
      <c r="A41" s="4" t="s">
        <v>62</v>
      </c>
      <c r="B41" s="5" t="s">
        <v>63</v>
      </c>
    </row>
    <row r="42" spans="1:2" ht="15" customHeight="1" x14ac:dyDescent="0.25">
      <c r="A42" s="4" t="s">
        <v>64</v>
      </c>
      <c r="B42" s="5"/>
    </row>
    <row r="43" spans="1:2" ht="168.75" customHeight="1" x14ac:dyDescent="0.25">
      <c r="A43" s="4" t="s">
        <v>65</v>
      </c>
      <c r="B43" s="5" t="s">
        <v>66</v>
      </c>
    </row>
    <row r="44" spans="1:2" ht="57" customHeight="1" x14ac:dyDescent="0.25">
      <c r="A44" s="4" t="s">
        <v>67</v>
      </c>
      <c r="B44" s="5" t="s">
        <v>68</v>
      </c>
    </row>
    <row r="45" spans="1:2" ht="79.5" customHeight="1" x14ac:dyDescent="0.25">
      <c r="A45" s="4" t="s">
        <v>69</v>
      </c>
      <c r="B45" s="5" t="s">
        <v>70</v>
      </c>
    </row>
    <row r="46" spans="1:2" ht="45.75" customHeight="1" x14ac:dyDescent="0.25">
      <c r="A46" s="4" t="s">
        <v>71</v>
      </c>
      <c r="B46" s="5" t="s">
        <v>72</v>
      </c>
    </row>
    <row r="47" spans="1:2" ht="79.5" customHeight="1" x14ac:dyDescent="0.25">
      <c r="A47" s="4" t="s">
        <v>73</v>
      </c>
      <c r="B47" s="5" t="s">
        <v>74</v>
      </c>
    </row>
    <row r="48" spans="1:2" ht="90.75" customHeight="1" x14ac:dyDescent="0.25">
      <c r="A48" s="4" t="s">
        <v>75</v>
      </c>
      <c r="B48" s="5" t="s">
        <v>76</v>
      </c>
    </row>
    <row r="49" spans="1:2" ht="34.5" customHeight="1" x14ac:dyDescent="0.25">
      <c r="A49" s="4" t="s">
        <v>77</v>
      </c>
      <c r="B49" s="5" t="s">
        <v>78</v>
      </c>
    </row>
    <row r="50" spans="1:2" ht="34.5" customHeight="1" x14ac:dyDescent="0.25">
      <c r="A50" s="4" t="s">
        <v>79</v>
      </c>
      <c r="B50" s="5" t="s">
        <v>80</v>
      </c>
    </row>
    <row r="51" spans="1:2" ht="102" customHeight="1" x14ac:dyDescent="0.25">
      <c r="A51" s="4" t="s">
        <v>81</v>
      </c>
      <c r="B51" s="5" t="s">
        <v>82</v>
      </c>
    </row>
    <row r="52" spans="1:2" ht="34.5" customHeight="1" x14ac:dyDescent="0.25">
      <c r="A52" s="4" t="s">
        <v>83</v>
      </c>
      <c r="B52" s="5" t="s">
        <v>84</v>
      </c>
    </row>
    <row r="53" spans="1:2" ht="45.75" customHeight="1" x14ac:dyDescent="0.25">
      <c r="A53" s="4" t="s">
        <v>85</v>
      </c>
      <c r="B53" s="5" t="s">
        <v>86</v>
      </c>
    </row>
    <row r="54" spans="1:2" ht="45.75" customHeight="1" x14ac:dyDescent="0.25">
      <c r="A54" s="4" t="s">
        <v>87</v>
      </c>
      <c r="B54" s="5" t="s">
        <v>88</v>
      </c>
    </row>
    <row r="55" spans="1:2" ht="180" customHeight="1" x14ac:dyDescent="0.25">
      <c r="A55" s="4" t="s">
        <v>25</v>
      </c>
      <c r="B55" s="5" t="s">
        <v>89</v>
      </c>
    </row>
    <row r="56" spans="1:2" ht="79.5" customHeight="1" x14ac:dyDescent="0.25">
      <c r="A56" s="4" t="s">
        <v>27</v>
      </c>
      <c r="B56" s="5" t="s">
        <v>90</v>
      </c>
    </row>
    <row r="57" spans="1:2" ht="68.25" customHeight="1" x14ac:dyDescent="0.25">
      <c r="A57" s="4" t="s">
        <v>26</v>
      </c>
      <c r="B57" s="5" t="s">
        <v>91</v>
      </c>
    </row>
    <row r="58" spans="1:2" ht="124.5" customHeight="1" x14ac:dyDescent="0.25">
      <c r="A58" s="4" t="s">
        <v>92</v>
      </c>
      <c r="B58" s="5" t="s">
        <v>93</v>
      </c>
    </row>
    <row r="59" spans="1:2" ht="15" customHeight="1" x14ac:dyDescent="0.25">
      <c r="A59" s="4" t="s">
        <v>94</v>
      </c>
      <c r="B59" s="5"/>
    </row>
    <row r="60" spans="1:2" ht="34.5" customHeight="1" x14ac:dyDescent="0.25">
      <c r="A60" s="4" t="s">
        <v>95</v>
      </c>
      <c r="B60" s="5" t="s">
        <v>96</v>
      </c>
    </row>
    <row r="61" spans="1:2" ht="34.5" customHeight="1" x14ac:dyDescent="0.25">
      <c r="A61" s="4" t="s">
        <v>97</v>
      </c>
      <c r="B61" s="5" t="s">
        <v>98</v>
      </c>
    </row>
    <row r="62" spans="1:2" ht="45.75" customHeight="1" x14ac:dyDescent="0.25">
      <c r="A62" s="4" t="s">
        <v>99</v>
      </c>
      <c r="B62" s="5" t="s">
        <v>100</v>
      </c>
    </row>
    <row r="63" spans="1:2" ht="45.75" customHeight="1" x14ac:dyDescent="0.25">
      <c r="A63" s="4" t="s">
        <v>101</v>
      </c>
      <c r="B63" s="5" t="s">
        <v>102</v>
      </c>
    </row>
    <row r="64" spans="1:2" ht="34.5" customHeight="1" x14ac:dyDescent="0.25">
      <c r="A64" s="4" t="s">
        <v>103</v>
      </c>
      <c r="B64" s="5" t="s">
        <v>104</v>
      </c>
    </row>
    <row r="65" spans="1:2" ht="34.5" customHeight="1" x14ac:dyDescent="0.25">
      <c r="A65" s="4" t="s">
        <v>105</v>
      </c>
      <c r="B65" s="5" t="s">
        <v>106</v>
      </c>
    </row>
    <row r="66" spans="1:2" ht="57" customHeight="1" x14ac:dyDescent="0.25">
      <c r="A66" s="4" t="s">
        <v>107</v>
      </c>
      <c r="B66" s="5" t="s">
        <v>108</v>
      </c>
    </row>
    <row r="67" spans="1:2" ht="68.25" customHeight="1" x14ac:dyDescent="0.25">
      <c r="A67" s="4" t="s">
        <v>109</v>
      </c>
      <c r="B67" s="5" t="s">
        <v>110</v>
      </c>
    </row>
    <row r="68" spans="1:2" ht="34.5" customHeight="1" x14ac:dyDescent="0.25">
      <c r="A68" s="4" t="s">
        <v>111</v>
      </c>
      <c r="B68" s="5" t="s">
        <v>112</v>
      </c>
    </row>
    <row r="69" spans="1:2" ht="23.25" customHeight="1" x14ac:dyDescent="0.25">
      <c r="A69" s="4" t="s">
        <v>113</v>
      </c>
      <c r="B69" s="5" t="s">
        <v>114</v>
      </c>
    </row>
    <row r="70" spans="1:2" ht="90.75" customHeight="1" x14ac:dyDescent="0.25">
      <c r="A70" s="4" t="s">
        <v>115</v>
      </c>
      <c r="B70" s="5" t="s">
        <v>116</v>
      </c>
    </row>
    <row r="71" spans="1:2" ht="15" customHeight="1" x14ac:dyDescent="0.25">
      <c r="A71" s="4" t="s">
        <v>117</v>
      </c>
      <c r="B71" s="5"/>
    </row>
    <row r="72" spans="1:2" ht="113.25" customHeight="1" x14ac:dyDescent="0.25">
      <c r="A72" s="4" t="s">
        <v>118</v>
      </c>
      <c r="B72" s="5" t="s">
        <v>119</v>
      </c>
    </row>
    <row r="73" spans="1:2" ht="135.75" customHeight="1" x14ac:dyDescent="0.25">
      <c r="A73" s="4" t="s">
        <v>120</v>
      </c>
      <c r="B73" s="5" t="s">
        <v>121</v>
      </c>
    </row>
    <row r="74" spans="1:2" ht="57" customHeight="1" x14ac:dyDescent="0.25">
      <c r="A74" s="4" t="s">
        <v>122</v>
      </c>
      <c r="B74" s="5" t="s">
        <v>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543"/>
  <sheetViews>
    <sheetView zoomScaleNormal="100" workbookViewId="0">
      <pane ySplit="1" topLeftCell="A364" activePane="bottomLeft" state="frozen"/>
      <selection pane="bottomLeft" activeCell="D1" sqref="D1:M543"/>
    </sheetView>
  </sheetViews>
  <sheetFormatPr defaultColWidth="8.7109375" defaultRowHeight="15" x14ac:dyDescent="0.25"/>
  <cols>
    <col min="1" max="1" width="6" customWidth="1"/>
    <col min="2" max="2" width="26" customWidth="1"/>
    <col min="3" max="3" width="20" customWidth="1"/>
    <col min="4" max="4" width="18" customWidth="1"/>
    <col min="5" max="5" width="68" customWidth="1"/>
    <col min="6" max="7" width="12" customWidth="1"/>
    <col min="8" max="8" width="13" customWidth="1"/>
    <col min="9" max="9" width="10" customWidth="1"/>
    <col min="10" max="10" width="9" customWidth="1"/>
    <col min="11" max="11" width="10" customWidth="1"/>
    <col min="12" max="12" width="13" customWidth="1"/>
    <col min="13" max="13" width="11" style="26" customWidth="1"/>
  </cols>
  <sheetData>
    <row r="1" spans="1:13" ht="46.5" customHeight="1" x14ac:dyDescent="0.25">
      <c r="A1" s="9" t="s">
        <v>124</v>
      </c>
      <c r="B1" s="9" t="s">
        <v>125</v>
      </c>
      <c r="C1" s="9" t="s">
        <v>126</v>
      </c>
      <c r="D1" s="9" t="s">
        <v>127</v>
      </c>
      <c r="E1" s="9" t="s">
        <v>128</v>
      </c>
      <c r="F1" s="9" t="s">
        <v>129</v>
      </c>
      <c r="G1" s="9" t="s">
        <v>130</v>
      </c>
      <c r="H1" s="9" t="s">
        <v>131</v>
      </c>
      <c r="I1" s="9" t="s">
        <v>133</v>
      </c>
      <c r="J1" s="9" t="s">
        <v>132</v>
      </c>
      <c r="K1" s="9" t="s">
        <v>134</v>
      </c>
      <c r="L1" s="9" t="s">
        <v>135</v>
      </c>
      <c r="M1" s="25" t="s">
        <v>131</v>
      </c>
    </row>
    <row r="2" spans="1:13" ht="15" customHeight="1" x14ac:dyDescent="0.25">
      <c r="A2" s="19">
        <v>1</v>
      </c>
      <c r="B2" s="20" t="str">
        <f>E2</f>
        <v>L3-ЩР-1 — Здание оператора L3</v>
      </c>
      <c r="C2" s="19" t="s">
        <v>136</v>
      </c>
      <c r="D2" s="19" t="s">
        <v>137</v>
      </c>
      <c r="E2" s="21" t="s">
        <v>138</v>
      </c>
      <c r="F2" s="22"/>
      <c r="G2" s="22"/>
      <c r="H2" s="22"/>
      <c r="I2" s="19" t="s">
        <v>139</v>
      </c>
      <c r="J2" s="23">
        <v>1</v>
      </c>
      <c r="K2" s="19"/>
      <c r="L2" s="22"/>
      <c r="M2" s="22"/>
    </row>
    <row r="3" spans="1:13" ht="15" hidden="1" customHeight="1" x14ac:dyDescent="0.25">
      <c r="A3" s="10">
        <v>2</v>
      </c>
      <c r="B3" s="10" t="str">
        <f t="shared" ref="B3:B21" si="0">B2</f>
        <v>L3-ЩР-1 — Здание оператора L3</v>
      </c>
      <c r="C3" s="10" t="s">
        <v>140</v>
      </c>
      <c r="D3" s="10" t="s">
        <v>384</v>
      </c>
      <c r="E3" s="24" t="s">
        <v>385</v>
      </c>
      <c r="F3" s="12">
        <v>55770</v>
      </c>
      <c r="G3" s="12">
        <f>0.5*F3</f>
        <v>27885</v>
      </c>
      <c r="H3" s="12">
        <f>G3*J3</f>
        <v>27885</v>
      </c>
      <c r="I3" s="10" t="s">
        <v>142</v>
      </c>
      <c r="J3" s="13">
        <v>1</v>
      </c>
      <c r="K3" s="14" t="s">
        <v>390</v>
      </c>
      <c r="L3" s="12"/>
      <c r="M3" s="12">
        <v>27885</v>
      </c>
    </row>
    <row r="4" spans="1:13" ht="15" hidden="1" customHeight="1" x14ac:dyDescent="0.25">
      <c r="A4" s="10">
        <v>3</v>
      </c>
      <c r="B4" s="10" t="str">
        <f t="shared" si="0"/>
        <v>L3-ЩР-1 — Здание оператора L3</v>
      </c>
      <c r="C4" s="14" t="s">
        <v>371</v>
      </c>
      <c r="D4" s="10" t="s">
        <v>144</v>
      </c>
      <c r="E4" s="11" t="s">
        <v>145</v>
      </c>
      <c r="F4" s="12">
        <v>201862</v>
      </c>
      <c r="G4" s="12">
        <f>F4*Kurallar!$B$2</f>
        <v>121117.2</v>
      </c>
      <c r="H4" s="12">
        <f>G4*J4</f>
        <v>121117.2</v>
      </c>
      <c r="I4" s="10" t="s">
        <v>142</v>
      </c>
      <c r="J4" s="13">
        <v>1</v>
      </c>
      <c r="K4" s="10" t="s">
        <v>146</v>
      </c>
      <c r="L4" s="12"/>
      <c r="M4" s="12">
        <v>121117.2</v>
      </c>
    </row>
    <row r="5" spans="1:13" ht="15" hidden="1" customHeight="1" x14ac:dyDescent="0.25">
      <c r="A5" s="10">
        <v>4</v>
      </c>
      <c r="B5" s="10" t="str">
        <f t="shared" si="0"/>
        <v>L3-ЩР-1 — Здание оператора L3</v>
      </c>
      <c r="C5" s="10" t="s">
        <v>147</v>
      </c>
      <c r="D5" s="10" t="s">
        <v>391</v>
      </c>
      <c r="E5" s="24" t="s">
        <v>392</v>
      </c>
      <c r="F5" s="12">
        <v>88000</v>
      </c>
      <c r="G5" s="12">
        <f>F5*Kurallar!$B$4</f>
        <v>88000</v>
      </c>
      <c r="H5" s="12">
        <f>G5*J5</f>
        <v>88000</v>
      </c>
      <c r="I5" s="10" t="s">
        <v>142</v>
      </c>
      <c r="J5" s="13">
        <v>1</v>
      </c>
      <c r="K5" s="10" t="s">
        <v>148</v>
      </c>
      <c r="L5" s="12"/>
      <c r="M5" s="12">
        <v>88000</v>
      </c>
    </row>
    <row r="6" spans="1:13" ht="15" hidden="1" customHeight="1" x14ac:dyDescent="0.25">
      <c r="A6" s="10">
        <v>5</v>
      </c>
      <c r="B6" s="10" t="str">
        <f t="shared" si="0"/>
        <v>L3-ЩР-1 — Здание оператора L3</v>
      </c>
      <c r="C6" s="10" t="s">
        <v>149</v>
      </c>
      <c r="D6" s="10" t="s">
        <v>150</v>
      </c>
      <c r="E6" s="11" t="s">
        <v>151</v>
      </c>
      <c r="F6" s="12">
        <v>1419</v>
      </c>
      <c r="G6" s="12">
        <f>F6*Kurallar!$B$2</f>
        <v>851.4</v>
      </c>
      <c r="H6" s="12">
        <f>G6*J6</f>
        <v>851.4</v>
      </c>
      <c r="I6" s="10" t="s">
        <v>142</v>
      </c>
      <c r="J6" s="13">
        <v>1</v>
      </c>
      <c r="K6" s="10" t="s">
        <v>146</v>
      </c>
      <c r="L6" s="12"/>
      <c r="M6" s="12">
        <v>851.4</v>
      </c>
    </row>
    <row r="7" spans="1:13" ht="15" hidden="1" customHeight="1" x14ac:dyDescent="0.25">
      <c r="A7" s="10">
        <v>6</v>
      </c>
      <c r="B7" s="10" t="str">
        <f t="shared" si="0"/>
        <v>L3-ЩР-1 — Здание оператора L3</v>
      </c>
      <c r="C7" s="10" t="s">
        <v>149</v>
      </c>
      <c r="D7" s="10" t="s">
        <v>152</v>
      </c>
      <c r="E7" s="11" t="s">
        <v>153</v>
      </c>
      <c r="F7" s="12">
        <v>1389</v>
      </c>
      <c r="G7" s="12">
        <f>F7*Kurallar!$B$2</f>
        <v>833.4</v>
      </c>
      <c r="H7" s="12">
        <f>G7*J7</f>
        <v>2500.1999999999998</v>
      </c>
      <c r="I7" s="10" t="s">
        <v>142</v>
      </c>
      <c r="J7" s="13">
        <v>3</v>
      </c>
      <c r="K7" s="10" t="s">
        <v>146</v>
      </c>
      <c r="L7" s="12"/>
      <c r="M7" s="12">
        <v>2500.1999999999998</v>
      </c>
    </row>
    <row r="8" spans="1:13" ht="15" hidden="1" customHeight="1" x14ac:dyDescent="0.25">
      <c r="A8" s="10">
        <v>7</v>
      </c>
      <c r="B8" s="10" t="str">
        <f t="shared" si="0"/>
        <v>L3-ЩР-1 — Здание оператора L3</v>
      </c>
      <c r="C8" s="10" t="s">
        <v>149</v>
      </c>
      <c r="D8" s="10" t="s">
        <v>154</v>
      </c>
      <c r="E8" s="11" t="s">
        <v>155</v>
      </c>
      <c r="F8" s="12">
        <v>5884</v>
      </c>
      <c r="G8" s="12">
        <f>F8*Kurallar!$B$2</f>
        <v>3530.4</v>
      </c>
      <c r="H8" s="12">
        <f>G8*J8</f>
        <v>3530.4</v>
      </c>
      <c r="I8" s="10" t="s">
        <v>142</v>
      </c>
      <c r="J8" s="13">
        <v>1</v>
      </c>
      <c r="K8" s="10" t="s">
        <v>146</v>
      </c>
      <c r="L8" s="12"/>
      <c r="M8" s="12">
        <v>3530.4</v>
      </c>
    </row>
    <row r="9" spans="1:13" ht="15" hidden="1" customHeight="1" x14ac:dyDescent="0.25">
      <c r="A9" s="10">
        <v>8</v>
      </c>
      <c r="B9" s="10" t="str">
        <f t="shared" si="0"/>
        <v>L3-ЩР-1 — Здание оператора L3</v>
      </c>
      <c r="C9" s="10" t="s">
        <v>156</v>
      </c>
      <c r="D9" s="10" t="s">
        <v>157</v>
      </c>
      <c r="E9" s="11" t="s">
        <v>158</v>
      </c>
      <c r="F9" s="12">
        <v>5104</v>
      </c>
      <c r="G9" s="12">
        <f>F9*Kurallar!$B$2</f>
        <v>3062.4</v>
      </c>
      <c r="H9" s="12">
        <f>G9*J9</f>
        <v>9187.2000000000007</v>
      </c>
      <c r="I9" s="10" t="s">
        <v>142</v>
      </c>
      <c r="J9" s="13">
        <v>3</v>
      </c>
      <c r="K9" s="10" t="s">
        <v>146</v>
      </c>
      <c r="L9" s="12"/>
      <c r="M9" s="12">
        <v>9187.2000000000007</v>
      </c>
    </row>
    <row r="10" spans="1:13" ht="15" hidden="1" customHeight="1" x14ac:dyDescent="0.25">
      <c r="A10" s="10">
        <v>9</v>
      </c>
      <c r="B10" s="10" t="str">
        <f t="shared" si="0"/>
        <v>L3-ЩР-1 — Здание оператора L3</v>
      </c>
      <c r="C10" s="10" t="s">
        <v>156</v>
      </c>
      <c r="D10" s="10" t="s">
        <v>159</v>
      </c>
      <c r="E10" s="11" t="s">
        <v>160</v>
      </c>
      <c r="F10" s="12">
        <v>5632</v>
      </c>
      <c r="G10" s="12">
        <f>F10*Kurallar!$B$2</f>
        <v>3379.2</v>
      </c>
      <c r="H10" s="12">
        <f>G10*J10</f>
        <v>6758.4</v>
      </c>
      <c r="I10" s="10" t="s">
        <v>142</v>
      </c>
      <c r="J10" s="13">
        <v>2</v>
      </c>
      <c r="K10" s="10" t="s">
        <v>146</v>
      </c>
      <c r="L10" s="12"/>
      <c r="M10" s="12">
        <v>6758.4</v>
      </c>
    </row>
    <row r="11" spans="1:13" ht="15" hidden="1" customHeight="1" x14ac:dyDescent="0.25">
      <c r="A11" s="10">
        <v>10</v>
      </c>
      <c r="B11" s="10" t="str">
        <f t="shared" si="0"/>
        <v>L3-ЩР-1 — Здание оператора L3</v>
      </c>
      <c r="C11" s="10" t="s">
        <v>161</v>
      </c>
      <c r="D11" s="10" t="s">
        <v>162</v>
      </c>
      <c r="E11" s="11" t="s">
        <v>163</v>
      </c>
      <c r="F11" s="12">
        <v>530</v>
      </c>
      <c r="G11" s="12">
        <f>F11*Kurallar!$B$3</f>
        <v>530</v>
      </c>
      <c r="H11" s="12">
        <f>G11*J11</f>
        <v>530</v>
      </c>
      <c r="I11" s="10" t="s">
        <v>142</v>
      </c>
      <c r="J11" s="13">
        <v>1</v>
      </c>
      <c r="K11" s="14" t="s">
        <v>372</v>
      </c>
      <c r="L11" s="12"/>
      <c r="M11" s="12">
        <v>530</v>
      </c>
    </row>
    <row r="12" spans="1:13" ht="15" hidden="1" customHeight="1" x14ac:dyDescent="0.25">
      <c r="A12" s="10">
        <v>11</v>
      </c>
      <c r="B12" s="10" t="str">
        <f t="shared" si="0"/>
        <v>L3-ЩР-1 — Здание оператора L3</v>
      </c>
      <c r="C12" s="10" t="s">
        <v>161</v>
      </c>
      <c r="D12" s="10" t="s">
        <v>165</v>
      </c>
      <c r="E12" s="11" t="s">
        <v>166</v>
      </c>
      <c r="F12" s="12">
        <v>634</v>
      </c>
      <c r="G12" s="12">
        <f>F12*Kurallar!$B$3</f>
        <v>634</v>
      </c>
      <c r="H12" s="12">
        <f>G12*J12</f>
        <v>1268</v>
      </c>
      <c r="I12" s="10" t="s">
        <v>142</v>
      </c>
      <c r="J12" s="13">
        <v>2</v>
      </c>
      <c r="K12" s="14" t="s">
        <v>372</v>
      </c>
      <c r="L12" s="12"/>
      <c r="M12" s="12">
        <v>1268</v>
      </c>
    </row>
    <row r="13" spans="1:13" ht="15" hidden="1" customHeight="1" x14ac:dyDescent="0.25">
      <c r="A13" s="10">
        <v>12</v>
      </c>
      <c r="B13" s="10" t="str">
        <f t="shared" si="0"/>
        <v>L3-ЩР-1 — Здание оператора L3</v>
      </c>
      <c r="C13" s="10" t="s">
        <v>31</v>
      </c>
      <c r="D13" s="10" t="s">
        <v>373</v>
      </c>
      <c r="E13" s="11" t="s">
        <v>374</v>
      </c>
      <c r="F13" s="12">
        <v>140</v>
      </c>
      <c r="G13" s="12">
        <f>0.6*F13</f>
        <v>84</v>
      </c>
      <c r="H13" s="12">
        <f>G13*J13</f>
        <v>1344</v>
      </c>
      <c r="I13" s="10" t="s">
        <v>142</v>
      </c>
      <c r="J13" s="13">
        <v>16</v>
      </c>
      <c r="K13" s="14" t="s">
        <v>375</v>
      </c>
      <c r="L13" s="12"/>
      <c r="M13" s="12">
        <v>1344</v>
      </c>
    </row>
    <row r="14" spans="1:13" ht="15" hidden="1" customHeight="1" x14ac:dyDescent="0.25">
      <c r="A14" s="10">
        <v>13</v>
      </c>
      <c r="B14" s="10" t="str">
        <f t="shared" si="0"/>
        <v>L3-ЩР-1 — Здание оператора L3</v>
      </c>
      <c r="C14" s="10" t="s">
        <v>31</v>
      </c>
      <c r="D14" s="10" t="s">
        <v>373</v>
      </c>
      <c r="E14" s="11" t="s">
        <v>374</v>
      </c>
      <c r="F14" s="12">
        <v>140</v>
      </c>
      <c r="G14" s="12">
        <f>0.6*F14</f>
        <v>84</v>
      </c>
      <c r="H14" s="12">
        <f>G14*J14</f>
        <v>1008</v>
      </c>
      <c r="I14" s="10" t="s">
        <v>142</v>
      </c>
      <c r="J14" s="13">
        <v>12</v>
      </c>
      <c r="K14" s="14" t="s">
        <v>375</v>
      </c>
      <c r="L14" s="12"/>
      <c r="M14" s="12">
        <v>1008</v>
      </c>
    </row>
    <row r="15" spans="1:13" ht="15" hidden="1" customHeight="1" x14ac:dyDescent="0.25">
      <c r="A15" s="10">
        <v>14</v>
      </c>
      <c r="B15" s="10" t="str">
        <f t="shared" si="0"/>
        <v>L3-ЩР-1 — Здание оператора L3</v>
      </c>
      <c r="C15" s="10" t="s">
        <v>167</v>
      </c>
      <c r="D15" s="10" t="s">
        <v>168</v>
      </c>
      <c r="E15" s="11" t="s">
        <v>169</v>
      </c>
      <c r="F15" s="12">
        <v>869</v>
      </c>
      <c r="G15" s="12">
        <f>F15*Kurallar!$B$2</f>
        <v>521.4</v>
      </c>
      <c r="H15" s="12">
        <f>G15*J15</f>
        <v>521.4</v>
      </c>
      <c r="I15" s="10" t="s">
        <v>170</v>
      </c>
      <c r="J15" s="13">
        <v>1</v>
      </c>
      <c r="K15" s="10" t="s">
        <v>146</v>
      </c>
      <c r="L15" s="12"/>
      <c r="M15" s="12">
        <v>521.4</v>
      </c>
    </row>
    <row r="16" spans="1:13" ht="15" hidden="1" customHeight="1" x14ac:dyDescent="0.25">
      <c r="A16" s="10">
        <v>15</v>
      </c>
      <c r="B16" s="10" t="str">
        <f t="shared" si="0"/>
        <v>L3-ЩР-1 — Здание оператора L3</v>
      </c>
      <c r="C16" s="10" t="s">
        <v>167</v>
      </c>
      <c r="D16" s="10" t="s">
        <v>171</v>
      </c>
      <c r="E16" s="11" t="s">
        <v>172</v>
      </c>
      <c r="F16" s="12">
        <v>1808</v>
      </c>
      <c r="G16" s="12">
        <f>F16*Kurallar!$B$3</f>
        <v>1808</v>
      </c>
      <c r="H16" s="12">
        <f>G16*J16</f>
        <v>1808</v>
      </c>
      <c r="I16" s="10" t="s">
        <v>142</v>
      </c>
      <c r="J16" s="13">
        <v>1</v>
      </c>
      <c r="K16" s="10" t="s">
        <v>164</v>
      </c>
      <c r="L16" s="12"/>
      <c r="M16" s="12">
        <v>1808</v>
      </c>
    </row>
    <row r="17" spans="1:13" ht="15" hidden="1" customHeight="1" x14ac:dyDescent="0.25">
      <c r="A17" s="10">
        <v>16</v>
      </c>
      <c r="B17" s="10" t="str">
        <f t="shared" si="0"/>
        <v>L3-ЩР-1 — Здание оператора L3</v>
      </c>
      <c r="C17" s="10" t="s">
        <v>167</v>
      </c>
      <c r="D17" s="10" t="s">
        <v>173</v>
      </c>
      <c r="E17" s="11" t="s">
        <v>174</v>
      </c>
      <c r="F17" s="12">
        <v>127</v>
      </c>
      <c r="G17" s="12">
        <f>F17*Kurallar!$B$3</f>
        <v>127</v>
      </c>
      <c r="H17" s="12">
        <f>G17*J17</f>
        <v>2032</v>
      </c>
      <c r="I17" s="10" t="s">
        <v>170</v>
      </c>
      <c r="J17" s="13">
        <v>16</v>
      </c>
      <c r="K17" s="10" t="s">
        <v>143</v>
      </c>
      <c r="L17" s="12"/>
      <c r="M17" s="12">
        <v>2032</v>
      </c>
    </row>
    <row r="18" spans="1:13" ht="15" hidden="1" customHeight="1" x14ac:dyDescent="0.25">
      <c r="A18" s="10">
        <v>17</v>
      </c>
      <c r="B18" s="10" t="str">
        <f t="shared" si="0"/>
        <v>L3-ЩР-1 — Здание оператора L3</v>
      </c>
      <c r="C18" s="10" t="s">
        <v>167</v>
      </c>
      <c r="D18" s="10" t="s">
        <v>175</v>
      </c>
      <c r="E18" s="11" t="s">
        <v>176</v>
      </c>
      <c r="F18" s="12">
        <v>918</v>
      </c>
      <c r="G18" s="12">
        <f>F18*Kurallar!$B$3</f>
        <v>918</v>
      </c>
      <c r="H18" s="12">
        <f>G18*J18</f>
        <v>7344</v>
      </c>
      <c r="I18" s="10" t="s">
        <v>170</v>
      </c>
      <c r="J18" s="13">
        <v>8</v>
      </c>
      <c r="K18" s="10" t="s">
        <v>143</v>
      </c>
      <c r="L18" s="12"/>
      <c r="M18" s="12">
        <v>7344</v>
      </c>
    </row>
    <row r="19" spans="1:13" ht="15" hidden="1" customHeight="1" x14ac:dyDescent="0.25">
      <c r="A19" s="10">
        <v>18</v>
      </c>
      <c r="B19" s="10" t="str">
        <f t="shared" si="0"/>
        <v>L3-ЩР-1 — Здание оператора L3</v>
      </c>
      <c r="C19" s="10" t="s">
        <v>167</v>
      </c>
      <c r="D19" s="10" t="s">
        <v>177</v>
      </c>
      <c r="E19" s="11" t="s">
        <v>178</v>
      </c>
      <c r="F19" s="12">
        <v>79</v>
      </c>
      <c r="G19" s="12">
        <f>F19*Kurallar!$B$3</f>
        <v>79</v>
      </c>
      <c r="H19" s="12">
        <f>G19*J19</f>
        <v>395</v>
      </c>
      <c r="I19" s="10" t="s">
        <v>170</v>
      </c>
      <c r="J19" s="13">
        <v>5</v>
      </c>
      <c r="K19" s="10" t="s">
        <v>143</v>
      </c>
      <c r="L19" s="12"/>
      <c r="M19" s="12">
        <v>395</v>
      </c>
    </row>
    <row r="20" spans="1:13" ht="23.25" hidden="1" customHeight="1" x14ac:dyDescent="0.25">
      <c r="A20" s="10">
        <v>19</v>
      </c>
      <c r="B20" s="10" t="str">
        <f t="shared" si="0"/>
        <v>L3-ЩР-1 — Здание оператора L3</v>
      </c>
      <c r="C20" s="10" t="s">
        <v>167</v>
      </c>
      <c r="D20" s="10" t="s">
        <v>179</v>
      </c>
      <c r="E20" s="11" t="s">
        <v>180</v>
      </c>
      <c r="F20" s="12"/>
      <c r="G20" s="12">
        <f>SUM(H3:H19)*Kurallar!$B$5</f>
        <v>8282.4060000000027</v>
      </c>
      <c r="H20" s="12">
        <f>G20*J20</f>
        <v>8282.4060000000027</v>
      </c>
      <c r="I20" s="10" t="s">
        <v>142</v>
      </c>
      <c r="J20" s="13">
        <v>1</v>
      </c>
      <c r="K20" s="10" t="s">
        <v>181</v>
      </c>
      <c r="L20" s="12"/>
      <c r="M20" s="12">
        <v>8282.4060000000027</v>
      </c>
    </row>
    <row r="21" spans="1:13" ht="15" hidden="1" customHeight="1" x14ac:dyDescent="0.25">
      <c r="A21" s="10">
        <v>20</v>
      </c>
      <c r="B21" s="10" t="str">
        <f t="shared" si="0"/>
        <v>L3-ЩР-1 — Здание оператора L3</v>
      </c>
      <c r="C21" s="10" t="s">
        <v>182</v>
      </c>
      <c r="D21" s="10" t="s">
        <v>183</v>
      </c>
      <c r="E21" s="11" t="s">
        <v>184</v>
      </c>
      <c r="F21" s="12">
        <f>J21/60</f>
        <v>5.6833333333333336</v>
      </c>
      <c r="G21" s="12">
        <f>Kurallar!$B$6</f>
        <v>100</v>
      </c>
      <c r="H21" s="12">
        <f>G21*J21</f>
        <v>34100</v>
      </c>
      <c r="I21" s="10" t="s">
        <v>185</v>
      </c>
      <c r="J21" s="13">
        <f>ROUND((Kurallar!$B$10+1*Kurallar!$B$13+0*Kurallar!$B$14+0*Kurallar!$B$15+1*Kurallar!$B$16+0*Kurallar!$B$17+0*Kurallar!$B$18+5*Kurallar!$B$19+4*Kurallar!$B$20+1*Kurallar!$B$21+28*Kurallar!$B$22+3*Kurallar!$B$23+0*Kurallar!$B$24+3*Kurallar!$B$25)*Kurallar!$B$7,0)-200</f>
        <v>341</v>
      </c>
      <c r="K21" s="10" t="s">
        <v>181</v>
      </c>
      <c r="L21" s="12"/>
      <c r="M21" s="12">
        <v>34100</v>
      </c>
    </row>
    <row r="22" spans="1:13" ht="15" customHeight="1" x14ac:dyDescent="0.25">
      <c r="A22" s="15"/>
      <c r="B22" s="15" t="s">
        <v>186</v>
      </c>
      <c r="C22" s="15"/>
      <c r="D22" s="15"/>
      <c r="E22" s="16"/>
      <c r="F22" s="17"/>
      <c r="G22" s="17"/>
      <c r="H22" s="17">
        <f>SUBTOTAL(9,H3:H21)</f>
        <v>0</v>
      </c>
      <c r="I22" s="15"/>
      <c r="J22" s="18"/>
      <c r="K22" s="15"/>
      <c r="L22" s="17">
        <f>SUBTOTAL(9,H3:H19)</f>
        <v>0</v>
      </c>
      <c r="M22" s="17">
        <v>318462.60600000009</v>
      </c>
    </row>
    <row r="23" spans="1:13" ht="15" customHeight="1" x14ac:dyDescent="0.25">
      <c r="A23" s="19">
        <v>1</v>
      </c>
      <c r="B23" s="20" t="str">
        <f>E23</f>
        <v>L5LS-ЩР-1 — Здание оператора нижней станции L5 LS</v>
      </c>
      <c r="C23" s="19" t="s">
        <v>136</v>
      </c>
      <c r="D23" s="19" t="s">
        <v>187</v>
      </c>
      <c r="E23" s="21" t="s">
        <v>188</v>
      </c>
      <c r="F23" s="22"/>
      <c r="G23" s="22"/>
      <c r="H23" s="22"/>
      <c r="I23" s="19" t="s">
        <v>139</v>
      </c>
      <c r="J23" s="23">
        <v>1</v>
      </c>
      <c r="K23" s="19"/>
      <c r="L23" s="22"/>
      <c r="M23" s="22"/>
    </row>
    <row r="24" spans="1:13" ht="15" hidden="1" customHeight="1" x14ac:dyDescent="0.25">
      <c r="A24" s="10">
        <v>2</v>
      </c>
      <c r="B24" s="10" t="str">
        <f t="shared" ref="B24:B42" si="1">B23</f>
        <v>L5LS-ЩР-1 — Здание оператора нижней станции L5 LS</v>
      </c>
      <c r="C24" s="10" t="s">
        <v>140</v>
      </c>
      <c r="D24" s="10" t="s">
        <v>384</v>
      </c>
      <c r="E24" s="24" t="s">
        <v>385</v>
      </c>
      <c r="F24" s="12">
        <v>55770</v>
      </c>
      <c r="G24" s="12">
        <f>0.5*F24</f>
        <v>27885</v>
      </c>
      <c r="H24" s="12">
        <f>G24*J24</f>
        <v>27885</v>
      </c>
      <c r="I24" s="10" t="s">
        <v>142</v>
      </c>
      <c r="J24" s="13">
        <v>1</v>
      </c>
      <c r="K24" s="14" t="s">
        <v>390</v>
      </c>
      <c r="L24" s="12"/>
      <c r="M24" s="12">
        <v>27885</v>
      </c>
    </row>
    <row r="25" spans="1:13" ht="15" hidden="1" customHeight="1" x14ac:dyDescent="0.25">
      <c r="A25" s="10">
        <v>3</v>
      </c>
      <c r="B25" s="10" t="str">
        <f t="shared" si="1"/>
        <v>L5LS-ЩР-1 — Здание оператора нижней станции L5 LS</v>
      </c>
      <c r="C25" s="14" t="s">
        <v>371</v>
      </c>
      <c r="D25" s="10" t="s">
        <v>144</v>
      </c>
      <c r="E25" s="11" t="s">
        <v>145</v>
      </c>
      <c r="F25" s="12">
        <v>201862</v>
      </c>
      <c r="G25" s="12">
        <f>F25*Kurallar!$B$2</f>
        <v>121117.2</v>
      </c>
      <c r="H25" s="12">
        <f>G25*J25</f>
        <v>121117.2</v>
      </c>
      <c r="I25" s="10" t="s">
        <v>142</v>
      </c>
      <c r="J25" s="13">
        <v>1</v>
      </c>
      <c r="K25" s="10" t="s">
        <v>146</v>
      </c>
      <c r="L25" s="12"/>
      <c r="M25" s="12">
        <v>121117.2</v>
      </c>
    </row>
    <row r="26" spans="1:13" ht="15" hidden="1" customHeight="1" x14ac:dyDescent="0.25">
      <c r="A26" s="10">
        <v>4</v>
      </c>
      <c r="B26" s="10" t="str">
        <f t="shared" si="1"/>
        <v>L5LS-ЩР-1 — Здание оператора нижней станции L5 LS</v>
      </c>
      <c r="C26" s="10" t="s">
        <v>147</v>
      </c>
      <c r="D26" s="10" t="s">
        <v>391</v>
      </c>
      <c r="E26" s="24" t="s">
        <v>392</v>
      </c>
      <c r="F26" s="12">
        <v>88000</v>
      </c>
      <c r="G26" s="12">
        <f>F26*Kurallar!$B$4</f>
        <v>88000</v>
      </c>
      <c r="H26" s="12">
        <f>G26*J26</f>
        <v>88000</v>
      </c>
      <c r="I26" s="10" t="s">
        <v>142</v>
      </c>
      <c r="J26" s="13">
        <v>1</v>
      </c>
      <c r="K26" s="10" t="s">
        <v>148</v>
      </c>
      <c r="L26" s="12"/>
      <c r="M26" s="12">
        <v>88000</v>
      </c>
    </row>
    <row r="27" spans="1:13" ht="15" hidden="1" customHeight="1" x14ac:dyDescent="0.25">
      <c r="A27" s="10">
        <v>5</v>
      </c>
      <c r="B27" s="10" t="str">
        <f t="shared" si="1"/>
        <v>L5LS-ЩР-1 — Здание оператора нижней станции L5 LS</v>
      </c>
      <c r="C27" s="10" t="s">
        <v>149</v>
      </c>
      <c r="D27" s="10" t="s">
        <v>150</v>
      </c>
      <c r="E27" s="11" t="s">
        <v>151</v>
      </c>
      <c r="F27" s="12">
        <v>1419</v>
      </c>
      <c r="G27" s="12">
        <f>F27*Kurallar!$B$2</f>
        <v>851.4</v>
      </c>
      <c r="H27" s="12">
        <f>G27*J27</f>
        <v>851.4</v>
      </c>
      <c r="I27" s="10" t="s">
        <v>142</v>
      </c>
      <c r="J27" s="13">
        <v>1</v>
      </c>
      <c r="K27" s="10" t="s">
        <v>146</v>
      </c>
      <c r="L27" s="12"/>
      <c r="M27" s="12">
        <v>851.4</v>
      </c>
    </row>
    <row r="28" spans="1:13" ht="15" hidden="1" customHeight="1" x14ac:dyDescent="0.25">
      <c r="A28" s="10">
        <v>6</v>
      </c>
      <c r="B28" s="10" t="str">
        <f t="shared" si="1"/>
        <v>L5LS-ЩР-1 — Здание оператора нижней станции L5 LS</v>
      </c>
      <c r="C28" s="10" t="s">
        <v>149</v>
      </c>
      <c r="D28" s="10" t="s">
        <v>152</v>
      </c>
      <c r="E28" s="11" t="s">
        <v>153</v>
      </c>
      <c r="F28" s="12">
        <v>1389</v>
      </c>
      <c r="G28" s="12">
        <f>F28*Kurallar!$B$2</f>
        <v>833.4</v>
      </c>
      <c r="H28" s="12">
        <f>G28*J28</f>
        <v>2500.1999999999998</v>
      </c>
      <c r="I28" s="10" t="s">
        <v>142</v>
      </c>
      <c r="J28" s="13">
        <v>3</v>
      </c>
      <c r="K28" s="10" t="s">
        <v>146</v>
      </c>
      <c r="L28" s="12"/>
      <c r="M28" s="12">
        <v>2500.1999999999998</v>
      </c>
    </row>
    <row r="29" spans="1:13" ht="15" hidden="1" customHeight="1" x14ac:dyDescent="0.25">
      <c r="A29" s="10">
        <v>7</v>
      </c>
      <c r="B29" s="10" t="str">
        <f t="shared" si="1"/>
        <v>L5LS-ЩР-1 — Здание оператора нижней станции L5 LS</v>
      </c>
      <c r="C29" s="10" t="s">
        <v>149</v>
      </c>
      <c r="D29" s="10" t="s">
        <v>190</v>
      </c>
      <c r="E29" s="11" t="s">
        <v>191</v>
      </c>
      <c r="F29" s="12">
        <v>6060</v>
      </c>
      <c r="G29" s="12">
        <f>F29*Kurallar!$B$2</f>
        <v>3636</v>
      </c>
      <c r="H29" s="12">
        <f>G29*J29</f>
        <v>3636</v>
      </c>
      <c r="I29" s="10" t="s">
        <v>142</v>
      </c>
      <c r="J29" s="13">
        <v>1</v>
      </c>
      <c r="K29" s="10" t="s">
        <v>146</v>
      </c>
      <c r="L29" s="12"/>
      <c r="M29" s="12">
        <v>3636</v>
      </c>
    </row>
    <row r="30" spans="1:13" ht="15" hidden="1" customHeight="1" x14ac:dyDescent="0.25">
      <c r="A30" s="10">
        <v>8</v>
      </c>
      <c r="B30" s="10" t="str">
        <f t="shared" si="1"/>
        <v>L5LS-ЩР-1 — Здание оператора нижней станции L5 LS</v>
      </c>
      <c r="C30" s="10" t="s">
        <v>156</v>
      </c>
      <c r="D30" s="10" t="s">
        <v>157</v>
      </c>
      <c r="E30" s="11" t="s">
        <v>158</v>
      </c>
      <c r="F30" s="12">
        <v>5104</v>
      </c>
      <c r="G30" s="12">
        <f>F30*Kurallar!$B$2</f>
        <v>3062.4</v>
      </c>
      <c r="H30" s="12">
        <f>G30*J30</f>
        <v>15312</v>
      </c>
      <c r="I30" s="10" t="s">
        <v>142</v>
      </c>
      <c r="J30" s="13">
        <v>5</v>
      </c>
      <c r="K30" s="10" t="s">
        <v>146</v>
      </c>
      <c r="L30" s="12"/>
      <c r="M30" s="12">
        <v>15312</v>
      </c>
    </row>
    <row r="31" spans="1:13" ht="15" hidden="1" customHeight="1" x14ac:dyDescent="0.25">
      <c r="A31" s="10">
        <v>9</v>
      </c>
      <c r="B31" s="10" t="str">
        <f t="shared" si="1"/>
        <v>L5LS-ЩР-1 — Здание оператора нижней станции L5 LS</v>
      </c>
      <c r="C31" s="10" t="s">
        <v>156</v>
      </c>
      <c r="D31" s="10" t="s">
        <v>159</v>
      </c>
      <c r="E31" s="11" t="s">
        <v>160</v>
      </c>
      <c r="F31" s="12">
        <v>5632</v>
      </c>
      <c r="G31" s="12">
        <f>F31*Kurallar!$B$2</f>
        <v>3379.2</v>
      </c>
      <c r="H31" s="12">
        <f>G31*J31</f>
        <v>20275.199999999997</v>
      </c>
      <c r="I31" s="10" t="s">
        <v>142</v>
      </c>
      <c r="J31" s="13">
        <v>6</v>
      </c>
      <c r="K31" s="10" t="s">
        <v>146</v>
      </c>
      <c r="L31" s="12"/>
      <c r="M31" s="12">
        <v>20275.199999999997</v>
      </c>
    </row>
    <row r="32" spans="1:13" ht="15" hidden="1" customHeight="1" x14ac:dyDescent="0.25">
      <c r="A32" s="10">
        <v>10</v>
      </c>
      <c r="B32" s="10" t="str">
        <f t="shared" si="1"/>
        <v>L5LS-ЩР-1 — Здание оператора нижней станции L5 LS</v>
      </c>
      <c r="C32" s="10" t="s">
        <v>161</v>
      </c>
      <c r="D32" s="10" t="s">
        <v>162</v>
      </c>
      <c r="E32" s="11" t="s">
        <v>163</v>
      </c>
      <c r="F32" s="12">
        <v>530</v>
      </c>
      <c r="G32" s="12">
        <f>F32*Kurallar!$B$3</f>
        <v>530</v>
      </c>
      <c r="H32" s="12">
        <f>G32*J32</f>
        <v>530</v>
      </c>
      <c r="I32" s="10" t="s">
        <v>142</v>
      </c>
      <c r="J32" s="13">
        <v>1</v>
      </c>
      <c r="K32" s="14" t="s">
        <v>372</v>
      </c>
      <c r="L32" s="12"/>
      <c r="M32" s="12">
        <v>530</v>
      </c>
    </row>
    <row r="33" spans="1:13" ht="15" hidden="1" customHeight="1" x14ac:dyDescent="0.25">
      <c r="A33" s="10">
        <v>11</v>
      </c>
      <c r="B33" s="10" t="str">
        <f t="shared" si="1"/>
        <v>L5LS-ЩР-1 — Здание оператора нижней станции L5 LS</v>
      </c>
      <c r="C33" s="10" t="s">
        <v>161</v>
      </c>
      <c r="D33" s="10" t="s">
        <v>165</v>
      </c>
      <c r="E33" s="11" t="s">
        <v>166</v>
      </c>
      <c r="F33" s="12">
        <v>634</v>
      </c>
      <c r="G33" s="12">
        <f>F33*Kurallar!$B$3</f>
        <v>634</v>
      </c>
      <c r="H33" s="12">
        <f>G33*J33</f>
        <v>1902</v>
      </c>
      <c r="I33" s="10" t="s">
        <v>142</v>
      </c>
      <c r="J33" s="13">
        <v>3</v>
      </c>
      <c r="K33" s="14" t="s">
        <v>372</v>
      </c>
      <c r="L33" s="12"/>
      <c r="M33" s="12">
        <v>1902</v>
      </c>
    </row>
    <row r="34" spans="1:13" ht="15" hidden="1" customHeight="1" x14ac:dyDescent="0.25">
      <c r="A34" s="10">
        <v>12</v>
      </c>
      <c r="B34" s="10" t="str">
        <f t="shared" si="1"/>
        <v>L5LS-ЩР-1 — Здание оператора нижней станции L5 LS</v>
      </c>
      <c r="C34" s="10" t="s">
        <v>31</v>
      </c>
      <c r="D34" s="10" t="s">
        <v>373</v>
      </c>
      <c r="E34" s="11" t="s">
        <v>374</v>
      </c>
      <c r="F34" s="12">
        <v>140</v>
      </c>
      <c r="G34" s="12">
        <f t="shared" ref="G34:G35" si="2">0.6*F34</f>
        <v>84</v>
      </c>
      <c r="H34" s="12">
        <f>G34*J34</f>
        <v>1848</v>
      </c>
      <c r="I34" s="10" t="s">
        <v>142</v>
      </c>
      <c r="J34" s="13">
        <v>22</v>
      </c>
      <c r="K34" s="14" t="s">
        <v>375</v>
      </c>
      <c r="L34" s="12"/>
      <c r="M34" s="12">
        <v>1848</v>
      </c>
    </row>
    <row r="35" spans="1:13" ht="15" hidden="1" customHeight="1" x14ac:dyDescent="0.25">
      <c r="A35" s="10">
        <v>13</v>
      </c>
      <c r="B35" s="10" t="str">
        <f t="shared" si="1"/>
        <v>L5LS-ЩР-1 — Здание оператора нижней станции L5 LS</v>
      </c>
      <c r="C35" s="10" t="s">
        <v>31</v>
      </c>
      <c r="D35" s="10" t="s">
        <v>373</v>
      </c>
      <c r="E35" s="11" t="s">
        <v>374</v>
      </c>
      <c r="F35" s="12">
        <v>140</v>
      </c>
      <c r="G35" s="12">
        <f t="shared" si="2"/>
        <v>84</v>
      </c>
      <c r="H35" s="12">
        <f>G35*J35</f>
        <v>1512</v>
      </c>
      <c r="I35" s="10" t="s">
        <v>142</v>
      </c>
      <c r="J35" s="13">
        <v>18</v>
      </c>
      <c r="K35" s="14" t="s">
        <v>375</v>
      </c>
      <c r="L35" s="12"/>
      <c r="M35" s="12">
        <v>1512</v>
      </c>
    </row>
    <row r="36" spans="1:13" ht="15" hidden="1" customHeight="1" x14ac:dyDescent="0.25">
      <c r="A36" s="10">
        <v>14</v>
      </c>
      <c r="B36" s="10" t="str">
        <f t="shared" si="1"/>
        <v>L5LS-ЩР-1 — Здание оператора нижней станции L5 LS</v>
      </c>
      <c r="C36" s="10" t="s">
        <v>167</v>
      </c>
      <c r="D36" s="10" t="s">
        <v>168</v>
      </c>
      <c r="E36" s="11" t="s">
        <v>169</v>
      </c>
      <c r="F36" s="12">
        <v>869</v>
      </c>
      <c r="G36" s="12">
        <f>F36*Kurallar!$B$2</f>
        <v>521.4</v>
      </c>
      <c r="H36" s="12">
        <f>G36*J36</f>
        <v>521.4</v>
      </c>
      <c r="I36" s="10" t="s">
        <v>170</v>
      </c>
      <c r="J36" s="13">
        <v>1</v>
      </c>
      <c r="K36" s="10" t="s">
        <v>146</v>
      </c>
      <c r="L36" s="12"/>
      <c r="M36" s="12">
        <v>521.4</v>
      </c>
    </row>
    <row r="37" spans="1:13" ht="15" hidden="1" customHeight="1" x14ac:dyDescent="0.25">
      <c r="A37" s="10">
        <v>15</v>
      </c>
      <c r="B37" s="10" t="str">
        <f t="shared" si="1"/>
        <v>L5LS-ЩР-1 — Здание оператора нижней станции L5 LS</v>
      </c>
      <c r="C37" s="10" t="s">
        <v>167</v>
      </c>
      <c r="D37" s="10" t="s">
        <v>171</v>
      </c>
      <c r="E37" s="11" t="s">
        <v>172</v>
      </c>
      <c r="F37" s="12">
        <v>1808</v>
      </c>
      <c r="G37" s="12">
        <f>F37*Kurallar!$B$3</f>
        <v>1808</v>
      </c>
      <c r="H37" s="12">
        <f>G37*J37</f>
        <v>1808</v>
      </c>
      <c r="I37" s="10" t="s">
        <v>142</v>
      </c>
      <c r="J37" s="13">
        <v>1</v>
      </c>
      <c r="K37" s="10" t="s">
        <v>164</v>
      </c>
      <c r="L37" s="12"/>
      <c r="M37" s="12">
        <v>1808</v>
      </c>
    </row>
    <row r="38" spans="1:13" ht="15" hidden="1" customHeight="1" x14ac:dyDescent="0.25">
      <c r="A38" s="10">
        <v>16</v>
      </c>
      <c r="B38" s="10" t="str">
        <f t="shared" si="1"/>
        <v>L5LS-ЩР-1 — Здание оператора нижней станции L5 LS</v>
      </c>
      <c r="C38" s="10" t="s">
        <v>167</v>
      </c>
      <c r="D38" s="10" t="s">
        <v>173</v>
      </c>
      <c r="E38" s="11" t="s">
        <v>174</v>
      </c>
      <c r="F38" s="12">
        <v>127</v>
      </c>
      <c r="G38" s="12">
        <f>F38*Kurallar!$B$3</f>
        <v>127</v>
      </c>
      <c r="H38" s="12">
        <f>G38*J38</f>
        <v>3048</v>
      </c>
      <c r="I38" s="10" t="s">
        <v>170</v>
      </c>
      <c r="J38" s="13">
        <v>24</v>
      </c>
      <c r="K38" s="10" t="s">
        <v>143</v>
      </c>
      <c r="L38" s="12"/>
      <c r="M38" s="12">
        <v>3048</v>
      </c>
    </row>
    <row r="39" spans="1:13" ht="15" hidden="1" customHeight="1" x14ac:dyDescent="0.25">
      <c r="A39" s="10">
        <v>17</v>
      </c>
      <c r="B39" s="10" t="str">
        <f t="shared" si="1"/>
        <v>L5LS-ЩР-1 — Здание оператора нижней станции L5 LS</v>
      </c>
      <c r="C39" s="10" t="s">
        <v>167</v>
      </c>
      <c r="D39" s="10" t="s">
        <v>175</v>
      </c>
      <c r="E39" s="11" t="s">
        <v>176</v>
      </c>
      <c r="F39" s="12">
        <v>918</v>
      </c>
      <c r="G39" s="12">
        <f>F39*Kurallar!$B$3</f>
        <v>918</v>
      </c>
      <c r="H39" s="12">
        <f>G39*J39</f>
        <v>7344</v>
      </c>
      <c r="I39" s="10" t="s">
        <v>170</v>
      </c>
      <c r="J39" s="13">
        <v>8</v>
      </c>
      <c r="K39" s="10" t="s">
        <v>143</v>
      </c>
      <c r="L39" s="12"/>
      <c r="M39" s="12">
        <v>7344</v>
      </c>
    </row>
    <row r="40" spans="1:13" ht="15" hidden="1" customHeight="1" x14ac:dyDescent="0.25">
      <c r="A40" s="10">
        <v>18</v>
      </c>
      <c r="B40" s="10" t="str">
        <f t="shared" si="1"/>
        <v>L5LS-ЩР-1 — Здание оператора нижней станции L5 LS</v>
      </c>
      <c r="C40" s="10" t="s">
        <v>167</v>
      </c>
      <c r="D40" s="10" t="s">
        <v>177</v>
      </c>
      <c r="E40" s="11" t="s">
        <v>178</v>
      </c>
      <c r="F40" s="12">
        <v>79</v>
      </c>
      <c r="G40" s="12">
        <f>F40*Kurallar!$B$3</f>
        <v>79</v>
      </c>
      <c r="H40" s="12">
        <f>G40*J40</f>
        <v>553</v>
      </c>
      <c r="I40" s="10" t="s">
        <v>170</v>
      </c>
      <c r="J40" s="13">
        <v>7</v>
      </c>
      <c r="K40" s="10" t="s">
        <v>143</v>
      </c>
      <c r="L40" s="12"/>
      <c r="M40" s="12">
        <v>553</v>
      </c>
    </row>
    <row r="41" spans="1:13" ht="23.25" hidden="1" customHeight="1" x14ac:dyDescent="0.25">
      <c r="A41" s="10">
        <v>19</v>
      </c>
      <c r="B41" s="10" t="str">
        <f t="shared" si="1"/>
        <v>L5LS-ЩР-1 — Здание оператора нижней станции L5 LS</v>
      </c>
      <c r="C41" s="10" t="s">
        <v>167</v>
      </c>
      <c r="D41" s="10" t="s">
        <v>179</v>
      </c>
      <c r="E41" s="11" t="s">
        <v>180</v>
      </c>
      <c r="F41" s="12"/>
      <c r="G41" s="12">
        <f>SUM(H24:H40)*Kurallar!$B$5</f>
        <v>8959.3019999999997</v>
      </c>
      <c r="H41" s="12">
        <f>G41*J41</f>
        <v>8959.3019999999997</v>
      </c>
      <c r="I41" s="10" t="s">
        <v>142</v>
      </c>
      <c r="J41" s="13">
        <v>1</v>
      </c>
      <c r="K41" s="10" t="s">
        <v>181</v>
      </c>
      <c r="L41" s="12"/>
      <c r="M41" s="12">
        <v>8959.3019999999997</v>
      </c>
    </row>
    <row r="42" spans="1:13" ht="15" hidden="1" customHeight="1" x14ac:dyDescent="0.25">
      <c r="A42" s="10">
        <v>20</v>
      </c>
      <c r="B42" s="10" t="str">
        <f t="shared" si="1"/>
        <v>L5LS-ЩР-1 — Здание оператора нижней станции L5 LS</v>
      </c>
      <c r="C42" s="10" t="s">
        <v>182</v>
      </c>
      <c r="D42" s="10" t="s">
        <v>183</v>
      </c>
      <c r="E42" s="11" t="s">
        <v>184</v>
      </c>
      <c r="F42" s="12">
        <f>J42/60</f>
        <v>6.7833333333333332</v>
      </c>
      <c r="G42" s="12">
        <f>Kurallar!$B$6</f>
        <v>100</v>
      </c>
      <c r="H42" s="12">
        <f>G42*J42</f>
        <v>40700</v>
      </c>
      <c r="I42" s="10" t="s">
        <v>185</v>
      </c>
      <c r="J42" s="13">
        <f>ROUND((Kurallar!$B$11+1*Kurallar!$B$13+0*Kurallar!$B$14+0*Kurallar!$B$15+1*Kurallar!$B$16+0*Kurallar!$B$17+0*Kurallar!$B$18+11*Kurallar!$B$19+4*Kurallar!$B$20+1*Kurallar!$B$21+40*Kurallar!$B$22+4*Kurallar!$B$23+0*Kurallar!$B$24+3*Kurallar!$B$25)*Kurallar!$B$7,0)-300</f>
        <v>407</v>
      </c>
      <c r="K42" s="10" t="s">
        <v>181</v>
      </c>
      <c r="L42" s="12"/>
      <c r="M42" s="12">
        <v>40700</v>
      </c>
    </row>
    <row r="43" spans="1:13" ht="15" customHeight="1" x14ac:dyDescent="0.25">
      <c r="A43" s="15"/>
      <c r="B43" s="15" t="s">
        <v>192</v>
      </c>
      <c r="C43" s="15"/>
      <c r="D43" s="15"/>
      <c r="E43" s="16"/>
      <c r="F43" s="17"/>
      <c r="G43" s="17"/>
      <c r="H43" s="17">
        <f>SUBTOTAL(9,H24:H42)</f>
        <v>0</v>
      </c>
      <c r="I43" s="15"/>
      <c r="J43" s="18"/>
      <c r="K43" s="15"/>
      <c r="L43" s="17">
        <f>SUBTOTAL(9,H24:H40)</f>
        <v>0</v>
      </c>
      <c r="M43" s="17">
        <v>348302.70200000005</v>
      </c>
    </row>
    <row r="44" spans="1:13" ht="23.25" customHeight="1" x14ac:dyDescent="0.25">
      <c r="A44" s="19">
        <v>1</v>
      </c>
      <c r="B44" s="20" t="str">
        <f>E44</f>
        <v>L5US-ВРУ-1 — Гараж для подвижного состава канатной дороги верхней станции L5 US — ВРУ-1</v>
      </c>
      <c r="C44" s="19" t="s">
        <v>136</v>
      </c>
      <c r="D44" s="19" t="s">
        <v>193</v>
      </c>
      <c r="E44" s="21" t="s">
        <v>194</v>
      </c>
      <c r="F44" s="22"/>
      <c r="G44" s="22"/>
      <c r="H44" s="22"/>
      <c r="I44" s="19" t="s">
        <v>139</v>
      </c>
      <c r="J44" s="23">
        <v>1</v>
      </c>
      <c r="K44" s="19"/>
      <c r="L44" s="22"/>
      <c r="M44" s="22"/>
    </row>
    <row r="45" spans="1:13" ht="15" hidden="1" customHeight="1" x14ac:dyDescent="0.25">
      <c r="A45" s="10">
        <v>2</v>
      </c>
      <c r="B45" s="10" t="str">
        <f t="shared" ref="B45:B73" si="3">B44</f>
        <v>L5US-ВРУ-1 — Гараж для подвижного состава канатной дороги верхней станции L5 US — ВРУ-1</v>
      </c>
      <c r="C45" s="10" t="s">
        <v>140</v>
      </c>
      <c r="D45" s="14" t="s">
        <v>378</v>
      </c>
      <c r="E45" s="24" t="s">
        <v>379</v>
      </c>
      <c r="F45" s="12">
        <v>138500</v>
      </c>
      <c r="G45" s="12">
        <f t="shared" ref="G45:G46" si="4">0.5*F45</f>
        <v>69250</v>
      </c>
      <c r="H45" s="12">
        <f>G45*J45</f>
        <v>69250</v>
      </c>
      <c r="I45" s="10" t="s">
        <v>142</v>
      </c>
      <c r="J45" s="13">
        <v>1</v>
      </c>
      <c r="K45" s="14" t="s">
        <v>390</v>
      </c>
      <c r="L45" s="12"/>
      <c r="M45" s="12">
        <v>69250</v>
      </c>
    </row>
    <row r="46" spans="1:13" ht="15" hidden="1" customHeight="1" x14ac:dyDescent="0.25">
      <c r="A46" s="10">
        <v>3</v>
      </c>
      <c r="B46" s="10" t="str">
        <f t="shared" ref="B46" si="5">B45</f>
        <v>L5US-ВРУ-1 — Гараж для подвижного состава канатной дороги верхней станции L5 US — ВРУ-1</v>
      </c>
      <c r="C46" s="10" t="s">
        <v>140</v>
      </c>
      <c r="D46" s="10" t="s">
        <v>376</v>
      </c>
      <c r="E46" s="24" t="s">
        <v>377</v>
      </c>
      <c r="F46" s="12">
        <v>89545</v>
      </c>
      <c r="G46" s="12">
        <f t="shared" si="4"/>
        <v>44772.5</v>
      </c>
      <c r="H46" s="12">
        <f>G46*J46</f>
        <v>44772.5</v>
      </c>
      <c r="I46" s="10" t="s">
        <v>142</v>
      </c>
      <c r="J46" s="13">
        <v>1</v>
      </c>
      <c r="K46" s="14" t="s">
        <v>390</v>
      </c>
      <c r="L46" s="12"/>
      <c r="M46" s="12">
        <v>44772.5</v>
      </c>
    </row>
    <row r="47" spans="1:13" ht="15" hidden="1" customHeight="1" x14ac:dyDescent="0.25">
      <c r="A47" s="10">
        <v>4</v>
      </c>
      <c r="B47" s="10" t="str">
        <f>B45</f>
        <v>L5US-ВРУ-1 — Гараж для подвижного состава канатной дороги верхней станции L5 US — ВРУ-1</v>
      </c>
      <c r="C47" s="14" t="s">
        <v>371</v>
      </c>
      <c r="D47" s="10" t="s">
        <v>254</v>
      </c>
      <c r="E47" s="24" t="s">
        <v>255</v>
      </c>
      <c r="F47" s="12">
        <v>201639</v>
      </c>
      <c r="G47" s="12">
        <f>F47*Kurallar!$B$2</f>
        <v>120983.4</v>
      </c>
      <c r="H47" s="12">
        <f>G47*J47</f>
        <v>120983.4</v>
      </c>
      <c r="I47" s="10" t="s">
        <v>142</v>
      </c>
      <c r="J47" s="13">
        <v>1</v>
      </c>
      <c r="K47" s="10" t="s">
        <v>146</v>
      </c>
      <c r="L47" s="12"/>
      <c r="M47" s="12">
        <v>120983.4</v>
      </c>
    </row>
    <row r="48" spans="1:13" ht="15" hidden="1" customHeight="1" x14ac:dyDescent="0.25">
      <c r="A48" s="10">
        <v>5</v>
      </c>
      <c r="B48" s="10" t="str">
        <f t="shared" si="3"/>
        <v>L5US-ВРУ-1 — Гараж для подвижного состава канатной дороги верхней станции L5 US — ВРУ-1</v>
      </c>
      <c r="C48" s="10" t="s">
        <v>198</v>
      </c>
      <c r="D48" s="10" t="s">
        <v>199</v>
      </c>
      <c r="E48" s="11" t="s">
        <v>200</v>
      </c>
      <c r="F48" s="12">
        <v>18263</v>
      </c>
      <c r="G48" s="12">
        <f>F48*Kurallar!$B$2</f>
        <v>10957.8</v>
      </c>
      <c r="H48" s="12">
        <f>G48*J48</f>
        <v>21915.599999999999</v>
      </c>
      <c r="I48" s="10" t="s">
        <v>142</v>
      </c>
      <c r="J48" s="13">
        <v>2</v>
      </c>
      <c r="K48" s="10" t="s">
        <v>146</v>
      </c>
      <c r="L48" s="12"/>
      <c r="M48" s="12">
        <v>21915.599999999999</v>
      </c>
    </row>
    <row r="49" spans="1:13" ht="15" hidden="1" customHeight="1" x14ac:dyDescent="0.25">
      <c r="A49" s="10">
        <v>6</v>
      </c>
      <c r="B49" s="10" t="str">
        <f t="shared" si="3"/>
        <v>L5US-ВРУ-1 — Гараж для подвижного состава канатной дороги верхней станции L5 US — ВРУ-1</v>
      </c>
      <c r="C49" s="10" t="s">
        <v>198</v>
      </c>
      <c r="D49" s="10" t="s">
        <v>201</v>
      </c>
      <c r="E49" s="11" t="s">
        <v>202</v>
      </c>
      <c r="F49" s="12">
        <v>17405</v>
      </c>
      <c r="G49" s="12">
        <f>F49*Kurallar!$B$2</f>
        <v>10443</v>
      </c>
      <c r="H49" s="12">
        <f>G49*J49</f>
        <v>20886</v>
      </c>
      <c r="I49" s="10" t="s">
        <v>142</v>
      </c>
      <c r="J49" s="13">
        <v>2</v>
      </c>
      <c r="K49" s="10" t="s">
        <v>146</v>
      </c>
      <c r="L49" s="12"/>
      <c r="M49" s="12">
        <v>20886</v>
      </c>
    </row>
    <row r="50" spans="1:13" ht="15" hidden="1" customHeight="1" x14ac:dyDescent="0.25">
      <c r="A50" s="10">
        <v>7</v>
      </c>
      <c r="B50" s="10" t="str">
        <f t="shared" si="3"/>
        <v>L5US-ВРУ-1 — Гараж для подвижного состава канатной дороги верхней станции L5 US — ВРУ-1</v>
      </c>
      <c r="C50" s="10" t="s">
        <v>198</v>
      </c>
      <c r="D50" s="10" t="s">
        <v>203</v>
      </c>
      <c r="E50" s="11" t="s">
        <v>204</v>
      </c>
      <c r="F50" s="12">
        <v>17405</v>
      </c>
      <c r="G50" s="12">
        <f>F50*Kurallar!$B$2</f>
        <v>10443</v>
      </c>
      <c r="H50" s="12">
        <f>G50*J50</f>
        <v>10443</v>
      </c>
      <c r="I50" s="10" t="s">
        <v>142</v>
      </c>
      <c r="J50" s="13">
        <v>1</v>
      </c>
      <c r="K50" s="10" t="s">
        <v>146</v>
      </c>
      <c r="L50" s="12"/>
      <c r="M50" s="12">
        <v>10443</v>
      </c>
    </row>
    <row r="51" spans="1:13" ht="15" hidden="1" customHeight="1" x14ac:dyDescent="0.25">
      <c r="A51" s="10">
        <v>8</v>
      </c>
      <c r="B51" s="10" t="str">
        <f t="shared" si="3"/>
        <v>L5US-ВРУ-1 — Гараж для подвижного состава канатной дороги верхней станции L5 US — ВРУ-1</v>
      </c>
      <c r="C51" s="10" t="s">
        <v>198</v>
      </c>
      <c r="D51" s="10" t="s">
        <v>205</v>
      </c>
      <c r="E51" s="11" t="s">
        <v>206</v>
      </c>
      <c r="F51" s="12">
        <v>17405</v>
      </c>
      <c r="G51" s="12">
        <f>F51*Kurallar!$B$2</f>
        <v>10443</v>
      </c>
      <c r="H51" s="12">
        <f>G51*J51</f>
        <v>10443</v>
      </c>
      <c r="I51" s="10" t="s">
        <v>142</v>
      </c>
      <c r="J51" s="13">
        <v>1</v>
      </c>
      <c r="K51" s="10" t="s">
        <v>146</v>
      </c>
      <c r="L51" s="12"/>
      <c r="M51" s="12">
        <v>10443</v>
      </c>
    </row>
    <row r="52" spans="1:13" ht="15" hidden="1" customHeight="1" x14ac:dyDescent="0.25">
      <c r="A52" s="10">
        <v>9</v>
      </c>
      <c r="B52" s="10" t="str">
        <f t="shared" si="3"/>
        <v>L5US-ВРУ-1 — Гараж для подвижного состава канатной дороги верхней станции L5 US — ВРУ-1</v>
      </c>
      <c r="C52" s="10" t="s">
        <v>198</v>
      </c>
      <c r="D52" s="10" t="s">
        <v>207</v>
      </c>
      <c r="E52" s="11" t="s">
        <v>208</v>
      </c>
      <c r="F52" s="12">
        <v>17405</v>
      </c>
      <c r="G52" s="12">
        <f>F52*Kurallar!$B$2</f>
        <v>10443</v>
      </c>
      <c r="H52" s="12">
        <f>G52*J52</f>
        <v>10443</v>
      </c>
      <c r="I52" s="10" t="s">
        <v>142</v>
      </c>
      <c r="J52" s="13">
        <v>1</v>
      </c>
      <c r="K52" s="10" t="s">
        <v>146</v>
      </c>
      <c r="L52" s="12"/>
      <c r="M52" s="12">
        <v>10443</v>
      </c>
    </row>
    <row r="53" spans="1:13" ht="15" hidden="1" customHeight="1" x14ac:dyDescent="0.25">
      <c r="A53" s="10">
        <v>10</v>
      </c>
      <c r="B53" s="10" t="str">
        <f t="shared" si="3"/>
        <v>L5US-ВРУ-1 — Гараж для подвижного состава канатной дороги верхней станции L5 US — ВРУ-1</v>
      </c>
      <c r="C53" s="10" t="s">
        <v>198</v>
      </c>
      <c r="D53" s="10" t="s">
        <v>209</v>
      </c>
      <c r="E53" s="11" t="s">
        <v>210</v>
      </c>
      <c r="F53" s="12">
        <v>17405</v>
      </c>
      <c r="G53" s="12">
        <f>F53*Kurallar!$B$2</f>
        <v>10443</v>
      </c>
      <c r="H53" s="12">
        <f>G53*J53</f>
        <v>10443</v>
      </c>
      <c r="I53" s="10" t="s">
        <v>142</v>
      </c>
      <c r="J53" s="13">
        <v>1</v>
      </c>
      <c r="K53" s="10" t="s">
        <v>146</v>
      </c>
      <c r="L53" s="12"/>
      <c r="M53" s="12">
        <v>10443</v>
      </c>
    </row>
    <row r="54" spans="1:13" ht="15" hidden="1" customHeight="1" x14ac:dyDescent="0.25">
      <c r="A54" s="10">
        <v>11</v>
      </c>
      <c r="B54" s="10" t="str">
        <f t="shared" si="3"/>
        <v>L5US-ВРУ-1 — Гараж для подвижного состава канатной дороги верхней станции L5 US — ВРУ-1</v>
      </c>
      <c r="C54" s="10" t="s">
        <v>147</v>
      </c>
      <c r="D54" s="10" t="s">
        <v>393</v>
      </c>
      <c r="E54" s="24" t="s">
        <v>394</v>
      </c>
      <c r="F54" s="12">
        <v>88000</v>
      </c>
      <c r="G54" s="12">
        <f>F54*Kurallar!$B$4</f>
        <v>88000</v>
      </c>
      <c r="H54" s="12">
        <f>G54*J54</f>
        <v>88000</v>
      </c>
      <c r="I54" s="10" t="s">
        <v>142</v>
      </c>
      <c r="J54" s="13">
        <v>1</v>
      </c>
      <c r="K54" s="10" t="s">
        <v>148</v>
      </c>
      <c r="L54" s="12"/>
      <c r="M54" s="12">
        <v>88000</v>
      </c>
    </row>
    <row r="55" spans="1:13" ht="15" hidden="1" customHeight="1" x14ac:dyDescent="0.25">
      <c r="A55" s="10">
        <v>12</v>
      </c>
      <c r="B55" s="10" t="str">
        <f t="shared" si="3"/>
        <v>L5US-ВРУ-1 — Гараж для подвижного состава канатной дороги верхней станции L5 US — ВРУ-1</v>
      </c>
      <c r="C55" s="10" t="s">
        <v>211</v>
      </c>
      <c r="D55" s="10" t="s">
        <v>212</v>
      </c>
      <c r="E55" s="11" t="s">
        <v>213</v>
      </c>
      <c r="F55" s="12">
        <v>4800</v>
      </c>
      <c r="G55" s="12">
        <f>F55*Kurallar!$B$4</f>
        <v>4800</v>
      </c>
      <c r="H55" s="12">
        <f>G55*J55</f>
        <v>14400</v>
      </c>
      <c r="I55" s="10" t="s">
        <v>142</v>
      </c>
      <c r="J55" s="13">
        <v>3</v>
      </c>
      <c r="K55" s="10" t="s">
        <v>148</v>
      </c>
      <c r="L55" s="12"/>
      <c r="M55" s="12">
        <v>14400</v>
      </c>
    </row>
    <row r="56" spans="1:13" ht="15" hidden="1" customHeight="1" x14ac:dyDescent="0.25">
      <c r="A56" s="10">
        <v>13</v>
      </c>
      <c r="B56" s="10" t="str">
        <f t="shared" si="3"/>
        <v>L5US-ВРУ-1 — Гараж для подвижного состава канатной дороги верхней станции L5 US — ВРУ-1</v>
      </c>
      <c r="C56" s="10" t="s">
        <v>149</v>
      </c>
      <c r="D56" s="10" t="s">
        <v>214</v>
      </c>
      <c r="E56" s="11" t="s">
        <v>215</v>
      </c>
      <c r="F56" s="12">
        <v>1419</v>
      </c>
      <c r="G56" s="12">
        <f>F56*Kurallar!$B$2</f>
        <v>851.4</v>
      </c>
      <c r="H56" s="12">
        <f>G56*J56</f>
        <v>1702.8</v>
      </c>
      <c r="I56" s="10" t="s">
        <v>142</v>
      </c>
      <c r="J56" s="13">
        <v>2</v>
      </c>
      <c r="K56" s="10" t="s">
        <v>146</v>
      </c>
      <c r="L56" s="12"/>
      <c r="M56" s="12">
        <v>1702.8</v>
      </c>
    </row>
    <row r="57" spans="1:13" ht="15" hidden="1" customHeight="1" x14ac:dyDescent="0.25">
      <c r="A57" s="10">
        <v>14</v>
      </c>
      <c r="B57" s="10" t="str">
        <f t="shared" si="3"/>
        <v>L5US-ВРУ-1 — Гараж для подвижного состава канатной дороги верхней станции L5 US — ВРУ-1</v>
      </c>
      <c r="C57" s="10" t="s">
        <v>216</v>
      </c>
      <c r="D57" s="10" t="s">
        <v>217</v>
      </c>
      <c r="E57" s="11" t="s">
        <v>218</v>
      </c>
      <c r="F57" s="12">
        <v>836</v>
      </c>
      <c r="G57" s="12">
        <f>F57*Kurallar!$B$2</f>
        <v>501.59999999999997</v>
      </c>
      <c r="H57" s="12">
        <f>G57*J57</f>
        <v>501.59999999999997</v>
      </c>
      <c r="I57" s="10" t="s">
        <v>142</v>
      </c>
      <c r="J57" s="13">
        <v>1</v>
      </c>
      <c r="K57" s="10" t="s">
        <v>146</v>
      </c>
      <c r="L57" s="12"/>
      <c r="M57" s="12">
        <v>501.59999999999997</v>
      </c>
    </row>
    <row r="58" spans="1:13" ht="15" hidden="1" customHeight="1" x14ac:dyDescent="0.25">
      <c r="A58" s="10">
        <v>15</v>
      </c>
      <c r="B58" s="10" t="str">
        <f t="shared" si="3"/>
        <v>L5US-ВРУ-1 — Гараж для подвижного состава канатной дороги верхней станции L5 US — ВРУ-1</v>
      </c>
      <c r="C58" s="10" t="s">
        <v>216</v>
      </c>
      <c r="D58" s="10" t="s">
        <v>219</v>
      </c>
      <c r="E58" s="11" t="s">
        <v>220</v>
      </c>
      <c r="F58" s="12">
        <v>836</v>
      </c>
      <c r="G58" s="12">
        <f>F58*Kurallar!$B$2</f>
        <v>501.59999999999997</v>
      </c>
      <c r="H58" s="12">
        <f>G58*J58</f>
        <v>501.59999999999997</v>
      </c>
      <c r="I58" s="10" t="s">
        <v>142</v>
      </c>
      <c r="J58" s="13">
        <v>1</v>
      </c>
      <c r="K58" s="10" t="s">
        <v>146</v>
      </c>
      <c r="L58" s="12"/>
      <c r="M58" s="12">
        <v>501.59999999999997</v>
      </c>
    </row>
    <row r="59" spans="1:13" ht="15" hidden="1" customHeight="1" x14ac:dyDescent="0.25">
      <c r="A59" s="10">
        <v>16</v>
      </c>
      <c r="B59" s="10" t="str">
        <f t="shared" si="3"/>
        <v>L5US-ВРУ-1 — Гараж для подвижного состава канатной дороги верхней станции L5 US — ВРУ-1</v>
      </c>
      <c r="C59" s="10" t="s">
        <v>161</v>
      </c>
      <c r="D59" s="10" t="s">
        <v>162</v>
      </c>
      <c r="E59" s="11" t="s">
        <v>163</v>
      </c>
      <c r="F59" s="12">
        <v>530</v>
      </c>
      <c r="G59" s="12">
        <f>F59*Kurallar!$B$3</f>
        <v>530</v>
      </c>
      <c r="H59" s="12">
        <f>G59*J59</f>
        <v>530</v>
      </c>
      <c r="I59" s="10" t="s">
        <v>142</v>
      </c>
      <c r="J59" s="13">
        <v>1</v>
      </c>
      <c r="K59" s="14" t="s">
        <v>372</v>
      </c>
      <c r="L59" s="12"/>
      <c r="M59" s="12">
        <v>530</v>
      </c>
    </row>
    <row r="60" spans="1:13" ht="15" hidden="1" customHeight="1" x14ac:dyDescent="0.25">
      <c r="A60" s="10">
        <v>17</v>
      </c>
      <c r="B60" s="10" t="str">
        <f t="shared" si="3"/>
        <v>L5US-ВРУ-1 — Гараж для подвижного состава канатной дороги верхней станции L5 US — ВРУ-1</v>
      </c>
      <c r="C60" s="10" t="s">
        <v>161</v>
      </c>
      <c r="D60" s="10" t="s">
        <v>165</v>
      </c>
      <c r="E60" s="11" t="s">
        <v>166</v>
      </c>
      <c r="F60" s="12">
        <v>634</v>
      </c>
      <c r="G60" s="12">
        <f>F60*Kurallar!$B$3</f>
        <v>634</v>
      </c>
      <c r="H60" s="12">
        <f>G60*J60</f>
        <v>1268</v>
      </c>
      <c r="I60" s="10" t="s">
        <v>142</v>
      </c>
      <c r="J60" s="13">
        <v>2</v>
      </c>
      <c r="K60" s="14" t="s">
        <v>372</v>
      </c>
      <c r="L60" s="12"/>
      <c r="M60" s="12">
        <v>1268</v>
      </c>
    </row>
    <row r="61" spans="1:13" ht="15" hidden="1" customHeight="1" x14ac:dyDescent="0.25">
      <c r="A61" s="10">
        <v>18</v>
      </c>
      <c r="B61" s="10" t="str">
        <f t="shared" si="3"/>
        <v>L5US-ВРУ-1 — Гараж для подвижного состава канатной дороги верхней станции L5 US — ВРУ-1</v>
      </c>
      <c r="C61" s="10" t="s">
        <v>161</v>
      </c>
      <c r="D61" s="10" t="s">
        <v>221</v>
      </c>
      <c r="E61" s="11" t="s">
        <v>222</v>
      </c>
      <c r="F61" s="12">
        <v>6227</v>
      </c>
      <c r="G61" s="12">
        <f>F61*Kurallar!$B$3</f>
        <v>6227</v>
      </c>
      <c r="H61" s="12">
        <f>G61*J61</f>
        <v>6227</v>
      </c>
      <c r="I61" s="10" t="s">
        <v>142</v>
      </c>
      <c r="J61" s="13">
        <v>1</v>
      </c>
      <c r="K61" s="14" t="s">
        <v>372</v>
      </c>
      <c r="L61" s="12"/>
      <c r="M61" s="12">
        <v>6227</v>
      </c>
    </row>
    <row r="62" spans="1:13" ht="15" hidden="1" customHeight="1" x14ac:dyDescent="0.25">
      <c r="A62" s="10">
        <v>19</v>
      </c>
      <c r="B62" s="10" t="str">
        <f t="shared" si="3"/>
        <v>L5US-ВРУ-1 — Гараж для подвижного состава канатной дороги верхней станции L5 US — ВРУ-1</v>
      </c>
      <c r="C62" s="10" t="s">
        <v>161</v>
      </c>
      <c r="D62" s="10" t="s">
        <v>223</v>
      </c>
      <c r="E62" s="11" t="s">
        <v>224</v>
      </c>
      <c r="F62" s="12">
        <v>4204</v>
      </c>
      <c r="G62" s="12">
        <f>F62*Kurallar!$B$3</f>
        <v>4204</v>
      </c>
      <c r="H62" s="12">
        <f>G62*J62</f>
        <v>4204</v>
      </c>
      <c r="I62" s="10" t="s">
        <v>142</v>
      </c>
      <c r="J62" s="13">
        <v>1</v>
      </c>
      <c r="K62" s="14" t="s">
        <v>372</v>
      </c>
      <c r="L62" s="12"/>
      <c r="M62" s="12">
        <v>4204</v>
      </c>
    </row>
    <row r="63" spans="1:13" ht="15" hidden="1" customHeight="1" x14ac:dyDescent="0.25">
      <c r="A63" s="10">
        <v>20</v>
      </c>
      <c r="B63" s="10" t="str">
        <f t="shared" si="3"/>
        <v>L5US-ВРУ-1 — Гараж для подвижного состава канатной дороги верхней станции L5 US — ВРУ-1</v>
      </c>
      <c r="C63" s="10" t="s">
        <v>167</v>
      </c>
      <c r="D63" s="10" t="s">
        <v>225</v>
      </c>
      <c r="E63" s="11" t="s">
        <v>226</v>
      </c>
      <c r="F63" s="12">
        <v>357</v>
      </c>
      <c r="G63" s="12">
        <f>F63*Kurallar!$B$3</f>
        <v>357</v>
      </c>
      <c r="H63" s="12">
        <f>G63*J63</f>
        <v>2856</v>
      </c>
      <c r="I63" s="10" t="s">
        <v>142</v>
      </c>
      <c r="J63" s="13">
        <v>8</v>
      </c>
      <c r="K63" s="10" t="s">
        <v>164</v>
      </c>
      <c r="L63" s="12"/>
      <c r="M63" s="12">
        <v>2856</v>
      </c>
    </row>
    <row r="64" spans="1:13" ht="15" hidden="1" customHeight="1" x14ac:dyDescent="0.25">
      <c r="A64" s="10">
        <v>21</v>
      </c>
      <c r="B64" s="10" t="str">
        <f t="shared" si="3"/>
        <v>L5US-ВРУ-1 — Гараж для подвижного состава канатной дороги верхней станции L5 US — ВРУ-1</v>
      </c>
      <c r="C64" s="10" t="s">
        <v>31</v>
      </c>
      <c r="D64" s="10" t="s">
        <v>373</v>
      </c>
      <c r="E64" s="11" t="s">
        <v>374</v>
      </c>
      <c r="F64" s="12">
        <v>140</v>
      </c>
      <c r="G64" s="12">
        <f t="shared" ref="G64:G65" si="6">0.6*F64</f>
        <v>84</v>
      </c>
      <c r="H64" s="12">
        <f>G64*J64</f>
        <v>2520</v>
      </c>
      <c r="I64" s="10" t="s">
        <v>142</v>
      </c>
      <c r="J64" s="13">
        <v>30</v>
      </c>
      <c r="K64" s="14" t="s">
        <v>375</v>
      </c>
      <c r="L64" s="12"/>
      <c r="M64" s="12">
        <v>2520</v>
      </c>
    </row>
    <row r="65" spans="1:13" ht="15" hidden="1" customHeight="1" x14ac:dyDescent="0.25">
      <c r="A65" s="10">
        <v>22</v>
      </c>
      <c r="B65" s="10" t="str">
        <f t="shared" si="3"/>
        <v>L5US-ВРУ-1 — Гараж для подвижного состава канатной дороги верхней станции L5 US — ВРУ-1</v>
      </c>
      <c r="C65" s="10" t="s">
        <v>31</v>
      </c>
      <c r="D65" s="10" t="s">
        <v>373</v>
      </c>
      <c r="E65" s="11" t="s">
        <v>374</v>
      </c>
      <c r="F65" s="12">
        <v>140</v>
      </c>
      <c r="G65" s="12">
        <f t="shared" si="6"/>
        <v>84</v>
      </c>
      <c r="H65" s="12">
        <f>G65*J65</f>
        <v>1008</v>
      </c>
      <c r="I65" s="10" t="s">
        <v>142</v>
      </c>
      <c r="J65" s="13">
        <v>12</v>
      </c>
      <c r="K65" s="14" t="s">
        <v>375</v>
      </c>
      <c r="L65" s="12"/>
      <c r="M65" s="12">
        <v>1008</v>
      </c>
    </row>
    <row r="66" spans="1:13" ht="15" hidden="1" customHeight="1" x14ac:dyDescent="0.25">
      <c r="A66" s="10">
        <v>23</v>
      </c>
      <c r="B66" s="10" t="str">
        <f t="shared" si="3"/>
        <v>L5US-ВРУ-1 — Гараж для подвижного состава канатной дороги верхней станции L5 US — ВРУ-1</v>
      </c>
      <c r="C66" s="10" t="s">
        <v>167</v>
      </c>
      <c r="D66" s="10" t="s">
        <v>168</v>
      </c>
      <c r="E66" s="11" t="s">
        <v>169</v>
      </c>
      <c r="F66" s="12">
        <v>869</v>
      </c>
      <c r="G66" s="12">
        <f>F66*Kurallar!$B$2</f>
        <v>521.4</v>
      </c>
      <c r="H66" s="12">
        <f>G66*J66</f>
        <v>1042.8</v>
      </c>
      <c r="I66" s="10" t="s">
        <v>170</v>
      </c>
      <c r="J66" s="13">
        <v>2</v>
      </c>
      <c r="K66" s="10" t="s">
        <v>146</v>
      </c>
      <c r="L66" s="12"/>
      <c r="M66" s="12">
        <v>1042.8</v>
      </c>
    </row>
    <row r="67" spans="1:13" ht="15" hidden="1" customHeight="1" x14ac:dyDescent="0.25">
      <c r="A67" s="10">
        <v>24</v>
      </c>
      <c r="B67" s="10" t="str">
        <f t="shared" si="3"/>
        <v>L5US-ВРУ-1 — Гараж для подвижного состава канатной дороги верхней станции L5 US — ВРУ-1</v>
      </c>
      <c r="C67" s="10" t="s">
        <v>167</v>
      </c>
      <c r="D67" s="10" t="s">
        <v>171</v>
      </c>
      <c r="E67" s="11" t="s">
        <v>172</v>
      </c>
      <c r="F67" s="12">
        <v>1808</v>
      </c>
      <c r="G67" s="12">
        <f>F67*Kurallar!$B$3</f>
        <v>1808</v>
      </c>
      <c r="H67" s="12">
        <f>G67*J67</f>
        <v>3616</v>
      </c>
      <c r="I67" s="10" t="s">
        <v>142</v>
      </c>
      <c r="J67" s="13">
        <v>2</v>
      </c>
      <c r="K67" s="10" t="s">
        <v>164</v>
      </c>
      <c r="L67" s="12"/>
      <c r="M67" s="12">
        <v>3616</v>
      </c>
    </row>
    <row r="68" spans="1:13" ht="15" hidden="1" customHeight="1" x14ac:dyDescent="0.25">
      <c r="A68" s="10">
        <v>25</v>
      </c>
      <c r="B68" s="10" t="str">
        <f t="shared" si="3"/>
        <v>L5US-ВРУ-1 — Гараж для подвижного состава канатной дороги верхней станции L5 US — ВРУ-1</v>
      </c>
      <c r="C68" s="10" t="s">
        <v>167</v>
      </c>
      <c r="D68" s="10" t="s">
        <v>173</v>
      </c>
      <c r="E68" s="11" t="s">
        <v>174</v>
      </c>
      <c r="F68" s="12">
        <v>127</v>
      </c>
      <c r="G68" s="12">
        <f>F68*Kurallar!$B$3</f>
        <v>127</v>
      </c>
      <c r="H68" s="12">
        <f>G68*J68</f>
        <v>508</v>
      </c>
      <c r="I68" s="10" t="s">
        <v>170</v>
      </c>
      <c r="J68" s="13">
        <v>4</v>
      </c>
      <c r="K68" s="10" t="s">
        <v>143</v>
      </c>
      <c r="L68" s="12"/>
      <c r="M68" s="12">
        <v>508</v>
      </c>
    </row>
    <row r="69" spans="1:13" ht="15" hidden="1" customHeight="1" x14ac:dyDescent="0.25">
      <c r="A69" s="10">
        <v>26</v>
      </c>
      <c r="B69" s="10" t="str">
        <f t="shared" si="3"/>
        <v>L5US-ВРУ-1 — Гараж для подвижного состава канатной дороги верхней станции L5 US — ВРУ-1</v>
      </c>
      <c r="C69" s="10" t="s">
        <v>167</v>
      </c>
      <c r="D69" s="10" t="s">
        <v>227</v>
      </c>
      <c r="E69" s="11" t="s">
        <v>228</v>
      </c>
      <c r="F69" s="12">
        <v>1465</v>
      </c>
      <c r="G69" s="12">
        <f>F69*Kurallar!$B$3</f>
        <v>1465</v>
      </c>
      <c r="H69" s="12">
        <f>G69*J69</f>
        <v>14650</v>
      </c>
      <c r="I69" s="10" t="s">
        <v>170</v>
      </c>
      <c r="J69" s="13">
        <v>10</v>
      </c>
      <c r="K69" s="10" t="s">
        <v>143</v>
      </c>
      <c r="L69" s="12"/>
      <c r="M69" s="12">
        <v>14650</v>
      </c>
    </row>
    <row r="70" spans="1:13" ht="15" hidden="1" customHeight="1" x14ac:dyDescent="0.25">
      <c r="A70" s="10">
        <v>27</v>
      </c>
      <c r="B70" s="10" t="str">
        <f t="shared" si="3"/>
        <v>L5US-ВРУ-1 — Гараж для подвижного состава канатной дороги верхней станции L5 US — ВРУ-1</v>
      </c>
      <c r="C70" s="10" t="s">
        <v>167</v>
      </c>
      <c r="D70" s="10" t="s">
        <v>177</v>
      </c>
      <c r="E70" s="11" t="s">
        <v>178</v>
      </c>
      <c r="F70" s="12">
        <v>79</v>
      </c>
      <c r="G70" s="12">
        <f>F70*Kurallar!$B$3</f>
        <v>79</v>
      </c>
      <c r="H70" s="12">
        <f>G70*J70</f>
        <v>395</v>
      </c>
      <c r="I70" s="10" t="s">
        <v>170</v>
      </c>
      <c r="J70" s="13">
        <v>5</v>
      </c>
      <c r="K70" s="10" t="s">
        <v>143</v>
      </c>
      <c r="L70" s="12"/>
      <c r="M70" s="12">
        <v>395</v>
      </c>
    </row>
    <row r="71" spans="1:13" ht="15" hidden="1" customHeight="1" x14ac:dyDescent="0.25">
      <c r="A71" s="10">
        <v>28</v>
      </c>
      <c r="B71" s="10" t="str">
        <f t="shared" si="3"/>
        <v>L5US-ВРУ-1 — Гараж для подвижного состава канатной дороги верхней станции L5 US — ВРУ-1</v>
      </c>
      <c r="C71" s="10" t="s">
        <v>167</v>
      </c>
      <c r="D71" s="10" t="s">
        <v>229</v>
      </c>
      <c r="E71" s="11" t="s">
        <v>230</v>
      </c>
      <c r="F71" s="12">
        <v>319</v>
      </c>
      <c r="G71" s="12">
        <f>F71*Kurallar!$B$3</f>
        <v>319</v>
      </c>
      <c r="H71" s="12">
        <f>G71*J71</f>
        <v>10208</v>
      </c>
      <c r="I71" s="10" t="s">
        <v>170</v>
      </c>
      <c r="J71" s="13">
        <v>32</v>
      </c>
      <c r="K71" s="10" t="s">
        <v>143</v>
      </c>
      <c r="L71" s="12"/>
      <c r="M71" s="12">
        <v>10208</v>
      </c>
    </row>
    <row r="72" spans="1:13" ht="23.25" hidden="1" customHeight="1" x14ac:dyDescent="0.25">
      <c r="A72" s="10">
        <v>29</v>
      </c>
      <c r="B72" s="10" t="str">
        <f t="shared" si="3"/>
        <v>L5US-ВРУ-1 — Гараж для подвижного состава канатной дороги верхней станции L5 US — ВРУ-1</v>
      </c>
      <c r="C72" s="10" t="s">
        <v>167</v>
      </c>
      <c r="D72" s="10" t="s">
        <v>179</v>
      </c>
      <c r="E72" s="11" t="s">
        <v>180</v>
      </c>
      <c r="F72" s="12"/>
      <c r="G72" s="12">
        <f>SUM(H45:H71)*Kurallar!$B$5</f>
        <v>14211.548999999997</v>
      </c>
      <c r="H72" s="12">
        <f>G72*J72</f>
        <v>14211.548999999997</v>
      </c>
      <c r="I72" s="10" t="s">
        <v>142</v>
      </c>
      <c r="J72" s="13">
        <v>1</v>
      </c>
      <c r="K72" s="10" t="s">
        <v>181</v>
      </c>
      <c r="L72" s="12"/>
      <c r="M72" s="12">
        <v>14211.548999999997</v>
      </c>
    </row>
    <row r="73" spans="1:13" ht="15" hidden="1" customHeight="1" x14ac:dyDescent="0.25">
      <c r="A73" s="10">
        <v>30</v>
      </c>
      <c r="B73" s="10" t="str">
        <f t="shared" si="3"/>
        <v>L5US-ВРУ-1 — Гараж для подвижного состава канатной дороги верхней станции L5 US — ВРУ-1</v>
      </c>
      <c r="C73" s="10" t="s">
        <v>182</v>
      </c>
      <c r="D73" s="10" t="s">
        <v>183</v>
      </c>
      <c r="E73" s="11" t="s">
        <v>184</v>
      </c>
      <c r="F73" s="12">
        <f>J73/60</f>
        <v>16.044166666666666</v>
      </c>
      <c r="G73" s="12">
        <f>Kurallar!$B$6</f>
        <v>100</v>
      </c>
      <c r="H73" s="12">
        <f>G73*J73</f>
        <v>96265</v>
      </c>
      <c r="I73" s="10" t="s">
        <v>185</v>
      </c>
      <c r="J73" s="13">
        <f>ROUND((Kurallar!$B$12+0*Kurallar!$B$13+1*Kurallar!$B$14+8*Kurallar!$B$15+1*Kurallar!$B$16+3*Kurallar!$B$17+2*Kurallar!$B$18+0*Kurallar!$B$19+2*Kurallar!$B$20+0*Kurallar!$B$21+42*Kurallar!$B$22+5*Kurallar!$B$23+4*Kurallar!$B$24+6*Kurallar!$B$25)*Kurallar!$B$7,0)*0.65</f>
        <v>962.65</v>
      </c>
      <c r="K73" s="10" t="s">
        <v>181</v>
      </c>
      <c r="L73" s="12"/>
      <c r="M73" s="12">
        <v>96265</v>
      </c>
    </row>
    <row r="74" spans="1:13" ht="15" customHeight="1" x14ac:dyDescent="0.25">
      <c r="A74" s="15"/>
      <c r="B74" s="15" t="s">
        <v>231</v>
      </c>
      <c r="C74" s="15"/>
      <c r="D74" s="15"/>
      <c r="E74" s="16"/>
      <c r="F74" s="17"/>
      <c r="G74" s="17"/>
      <c r="H74" s="17">
        <f>SUBTOTAL(9,H45:H73)</f>
        <v>0</v>
      </c>
      <c r="I74" s="15"/>
      <c r="J74" s="18"/>
      <c r="K74" s="15"/>
      <c r="L74" s="17">
        <f>SUBTOTAL(9,H45:H71)</f>
        <v>0</v>
      </c>
      <c r="M74" s="17">
        <v>584194.84899999993</v>
      </c>
    </row>
    <row r="75" spans="1:13" ht="15" customHeight="1" x14ac:dyDescent="0.25">
      <c r="A75" s="19">
        <v>1</v>
      </c>
      <c r="B75" s="20" t="str">
        <f>E75</f>
        <v>L5US-ЩС-1 — Гараж верхней станции L5 US — ЩС-1</v>
      </c>
      <c r="C75" s="19" t="s">
        <v>136</v>
      </c>
      <c r="D75" s="19" t="s">
        <v>193</v>
      </c>
      <c r="E75" s="21" t="s">
        <v>232</v>
      </c>
      <c r="F75" s="22"/>
      <c r="G75" s="22"/>
      <c r="H75" s="22"/>
      <c r="I75" s="19" t="s">
        <v>139</v>
      </c>
      <c r="J75" s="23">
        <v>1</v>
      </c>
      <c r="K75" s="19"/>
      <c r="L75" s="22"/>
      <c r="M75" s="22"/>
    </row>
    <row r="76" spans="1:13" ht="15" hidden="1" customHeight="1" x14ac:dyDescent="0.25">
      <c r="A76" s="10">
        <v>2</v>
      </c>
      <c r="B76" s="10" t="str">
        <f t="shared" ref="B76:B91" si="7">B75</f>
        <v>L5US-ЩС-1 — Гараж верхней станции L5 US — ЩС-1</v>
      </c>
      <c r="C76" s="10" t="s">
        <v>140</v>
      </c>
      <c r="D76" s="10" t="s">
        <v>386</v>
      </c>
      <c r="E76" s="24" t="s">
        <v>387</v>
      </c>
      <c r="F76" s="12">
        <v>48210</v>
      </c>
      <c r="G76" s="12">
        <f>0.5*F76</f>
        <v>24105</v>
      </c>
      <c r="H76" s="12">
        <f>G76*J76</f>
        <v>24105</v>
      </c>
      <c r="I76" s="10" t="s">
        <v>142</v>
      </c>
      <c r="J76" s="13">
        <v>1</v>
      </c>
      <c r="K76" s="14" t="s">
        <v>390</v>
      </c>
      <c r="L76" s="12"/>
      <c r="M76" s="12">
        <v>24105</v>
      </c>
    </row>
    <row r="77" spans="1:13" ht="15" hidden="1" customHeight="1" x14ac:dyDescent="0.25">
      <c r="A77" s="10">
        <v>3</v>
      </c>
      <c r="B77" s="10" t="str">
        <f>B76</f>
        <v>L5US-ЩС-1 — Гараж верхней станции L5 US — ЩС-1</v>
      </c>
      <c r="C77" s="10" t="s">
        <v>149</v>
      </c>
      <c r="D77" s="10" t="s">
        <v>152</v>
      </c>
      <c r="E77" s="11" t="s">
        <v>153</v>
      </c>
      <c r="F77" s="12">
        <v>1389</v>
      </c>
      <c r="G77" s="12">
        <f>F77*Kurallar!$B$2</f>
        <v>833.4</v>
      </c>
      <c r="H77" s="12">
        <f>G77*J77</f>
        <v>2500.1999999999998</v>
      </c>
      <c r="I77" s="10" t="s">
        <v>142</v>
      </c>
      <c r="J77" s="13">
        <v>3</v>
      </c>
      <c r="K77" s="10" t="s">
        <v>146</v>
      </c>
      <c r="L77" s="12"/>
      <c r="M77" s="12">
        <v>2500.1999999999998</v>
      </c>
    </row>
    <row r="78" spans="1:13" ht="15" hidden="1" customHeight="1" x14ac:dyDescent="0.25">
      <c r="A78" s="10">
        <v>4</v>
      </c>
      <c r="B78" s="10" t="str">
        <f t="shared" si="7"/>
        <v>L5US-ЩС-1 — Гараж верхней станции L5 US — ЩС-1</v>
      </c>
      <c r="C78" s="10" t="s">
        <v>149</v>
      </c>
      <c r="D78" s="10" t="s">
        <v>233</v>
      </c>
      <c r="E78" s="11" t="s">
        <v>234</v>
      </c>
      <c r="F78" s="12">
        <v>5647</v>
      </c>
      <c r="G78" s="12">
        <f>F78*Kurallar!$B$2</f>
        <v>3388.2</v>
      </c>
      <c r="H78" s="12">
        <f>G78*J78</f>
        <v>3388.2</v>
      </c>
      <c r="I78" s="10" t="s">
        <v>142</v>
      </c>
      <c r="J78" s="13">
        <v>1</v>
      </c>
      <c r="K78" s="10" t="s">
        <v>146</v>
      </c>
      <c r="L78" s="12"/>
      <c r="M78" s="12">
        <v>3388.2</v>
      </c>
    </row>
    <row r="79" spans="1:13" ht="15" hidden="1" customHeight="1" x14ac:dyDescent="0.25">
      <c r="A79" s="10">
        <v>5</v>
      </c>
      <c r="B79" s="10" t="str">
        <f t="shared" si="7"/>
        <v>L5US-ЩС-1 — Гараж верхней станции L5 US — ЩС-1</v>
      </c>
      <c r="C79" s="10" t="s">
        <v>156</v>
      </c>
      <c r="D79" s="10" t="s">
        <v>157</v>
      </c>
      <c r="E79" s="11" t="s">
        <v>158</v>
      </c>
      <c r="F79" s="12">
        <v>5104</v>
      </c>
      <c r="G79" s="12">
        <f>F79*Kurallar!$B$2</f>
        <v>3062.4</v>
      </c>
      <c r="H79" s="12">
        <f>G79*J79</f>
        <v>15312</v>
      </c>
      <c r="I79" s="10" t="s">
        <v>142</v>
      </c>
      <c r="J79" s="13">
        <v>5</v>
      </c>
      <c r="K79" s="10" t="s">
        <v>146</v>
      </c>
      <c r="L79" s="12"/>
      <c r="M79" s="12">
        <v>15312</v>
      </c>
    </row>
    <row r="80" spans="1:13" ht="15" hidden="1" customHeight="1" x14ac:dyDescent="0.25">
      <c r="A80" s="10">
        <v>6</v>
      </c>
      <c r="B80" s="10" t="str">
        <f t="shared" si="7"/>
        <v>L5US-ЩС-1 — Гараж верхней станции L5 US — ЩС-1</v>
      </c>
      <c r="C80" s="10" t="s">
        <v>156</v>
      </c>
      <c r="D80" s="10" t="s">
        <v>159</v>
      </c>
      <c r="E80" s="11" t="s">
        <v>160</v>
      </c>
      <c r="F80" s="12">
        <v>5632</v>
      </c>
      <c r="G80" s="12">
        <f>F80*Kurallar!$B$2</f>
        <v>3379.2</v>
      </c>
      <c r="H80" s="12">
        <f>G80*J80</f>
        <v>27033.599999999999</v>
      </c>
      <c r="I80" s="10" t="s">
        <v>142</v>
      </c>
      <c r="J80" s="13">
        <v>8</v>
      </c>
      <c r="K80" s="10" t="s">
        <v>146</v>
      </c>
      <c r="L80" s="12"/>
      <c r="M80" s="12">
        <v>27033.599999999999</v>
      </c>
    </row>
    <row r="81" spans="1:13" ht="15" hidden="1" customHeight="1" x14ac:dyDescent="0.25">
      <c r="A81" s="10">
        <v>7</v>
      </c>
      <c r="B81" s="10" t="str">
        <f t="shared" si="7"/>
        <v>L5US-ЩС-1 — Гараж верхней станции L5 US — ЩС-1</v>
      </c>
      <c r="C81" s="10" t="s">
        <v>161</v>
      </c>
      <c r="D81" s="10" t="s">
        <v>162</v>
      </c>
      <c r="E81" s="11" t="s">
        <v>163</v>
      </c>
      <c r="F81" s="12">
        <v>530</v>
      </c>
      <c r="G81" s="12">
        <f>F81*Kurallar!$B$3</f>
        <v>530</v>
      </c>
      <c r="H81" s="12">
        <f>G81*J81</f>
        <v>530</v>
      </c>
      <c r="I81" s="10" t="s">
        <v>142</v>
      </c>
      <c r="J81" s="13">
        <v>1</v>
      </c>
      <c r="K81" s="14" t="s">
        <v>372</v>
      </c>
      <c r="L81" s="12"/>
      <c r="M81" s="12">
        <v>530</v>
      </c>
    </row>
    <row r="82" spans="1:13" ht="15" hidden="1" customHeight="1" x14ac:dyDescent="0.25">
      <c r="A82" s="10">
        <v>8</v>
      </c>
      <c r="B82" s="10" t="str">
        <f t="shared" si="7"/>
        <v>L5US-ЩС-1 — Гараж верхней станции L5 US — ЩС-1</v>
      </c>
      <c r="C82" s="10" t="s">
        <v>161</v>
      </c>
      <c r="D82" s="10" t="s">
        <v>165</v>
      </c>
      <c r="E82" s="11" t="s">
        <v>166</v>
      </c>
      <c r="F82" s="12">
        <v>634</v>
      </c>
      <c r="G82" s="12">
        <f>F82*Kurallar!$B$3</f>
        <v>634</v>
      </c>
      <c r="H82" s="12">
        <f>G82*J82</f>
        <v>1902</v>
      </c>
      <c r="I82" s="10" t="s">
        <v>142</v>
      </c>
      <c r="J82" s="13">
        <v>3</v>
      </c>
      <c r="K82" s="14" t="s">
        <v>372</v>
      </c>
      <c r="L82" s="12"/>
      <c r="M82" s="12">
        <v>1902</v>
      </c>
    </row>
    <row r="83" spans="1:13" ht="15" hidden="1" customHeight="1" x14ac:dyDescent="0.25">
      <c r="A83" s="10">
        <v>9</v>
      </c>
      <c r="B83" s="10" t="str">
        <f t="shared" si="7"/>
        <v>L5US-ЩС-1 — Гараж верхней станции L5 US — ЩС-1</v>
      </c>
      <c r="C83" s="10" t="s">
        <v>31</v>
      </c>
      <c r="D83" s="10" t="s">
        <v>373</v>
      </c>
      <c r="E83" s="11" t="s">
        <v>374</v>
      </c>
      <c r="F83" s="12">
        <v>140</v>
      </c>
      <c r="G83" s="12">
        <f t="shared" ref="G83:G84" si="8">0.6*F83</f>
        <v>84</v>
      </c>
      <c r="H83" s="12">
        <f>G83*J83</f>
        <v>1932</v>
      </c>
      <c r="I83" s="10" t="s">
        <v>142</v>
      </c>
      <c r="J83" s="13">
        <v>23</v>
      </c>
      <c r="K83" s="14" t="s">
        <v>375</v>
      </c>
      <c r="L83" s="12"/>
      <c r="M83" s="12">
        <v>1932</v>
      </c>
    </row>
    <row r="84" spans="1:13" ht="15" hidden="1" customHeight="1" x14ac:dyDescent="0.25">
      <c r="A84" s="10">
        <v>10</v>
      </c>
      <c r="B84" s="10" t="str">
        <f t="shared" si="7"/>
        <v>L5US-ЩС-1 — Гараж верхней станции L5 US — ЩС-1</v>
      </c>
      <c r="C84" s="10" t="s">
        <v>31</v>
      </c>
      <c r="D84" s="10" t="s">
        <v>373</v>
      </c>
      <c r="E84" s="11" t="s">
        <v>374</v>
      </c>
      <c r="F84" s="12">
        <v>140</v>
      </c>
      <c r="G84" s="12">
        <f t="shared" si="8"/>
        <v>84</v>
      </c>
      <c r="H84" s="12">
        <f>G84*J84</f>
        <v>1596</v>
      </c>
      <c r="I84" s="10" t="s">
        <v>142</v>
      </c>
      <c r="J84" s="13">
        <v>19</v>
      </c>
      <c r="K84" s="14" t="s">
        <v>375</v>
      </c>
      <c r="L84" s="12"/>
      <c r="M84" s="12">
        <v>1596</v>
      </c>
    </row>
    <row r="85" spans="1:13" ht="15" hidden="1" customHeight="1" x14ac:dyDescent="0.25">
      <c r="A85" s="10">
        <v>11</v>
      </c>
      <c r="B85" s="10" t="str">
        <f t="shared" si="7"/>
        <v>L5US-ЩС-1 — Гараж верхней станции L5 US — ЩС-1</v>
      </c>
      <c r="C85" s="10" t="s">
        <v>167</v>
      </c>
      <c r="D85" s="10" t="s">
        <v>168</v>
      </c>
      <c r="E85" s="11" t="s">
        <v>169</v>
      </c>
      <c r="F85" s="12">
        <v>869</v>
      </c>
      <c r="G85" s="12">
        <f>F85*Kurallar!$B$2</f>
        <v>521.4</v>
      </c>
      <c r="H85" s="12">
        <f>G85*J85</f>
        <v>521.4</v>
      </c>
      <c r="I85" s="10" t="s">
        <v>170</v>
      </c>
      <c r="J85" s="13">
        <v>1</v>
      </c>
      <c r="K85" s="10" t="s">
        <v>146</v>
      </c>
      <c r="L85" s="12"/>
      <c r="M85" s="12">
        <v>521.4</v>
      </c>
    </row>
    <row r="86" spans="1:13" ht="15" hidden="1" customHeight="1" x14ac:dyDescent="0.25">
      <c r="A86" s="10">
        <v>12</v>
      </c>
      <c r="B86" s="10" t="str">
        <f t="shared" si="7"/>
        <v>L5US-ЩС-1 — Гараж верхней станции L5 US — ЩС-1</v>
      </c>
      <c r="C86" s="10" t="s">
        <v>167</v>
      </c>
      <c r="D86" s="10" t="s">
        <v>171</v>
      </c>
      <c r="E86" s="11" t="s">
        <v>172</v>
      </c>
      <c r="F86" s="12">
        <v>1808</v>
      </c>
      <c r="G86" s="12">
        <f>F86*Kurallar!$B$3</f>
        <v>1808</v>
      </c>
      <c r="H86" s="12">
        <f>G86*J86</f>
        <v>1808</v>
      </c>
      <c r="I86" s="10" t="s">
        <v>142</v>
      </c>
      <c r="J86" s="13">
        <v>1</v>
      </c>
      <c r="K86" s="10" t="s">
        <v>164</v>
      </c>
      <c r="L86" s="12"/>
      <c r="M86" s="12">
        <v>1808</v>
      </c>
    </row>
    <row r="87" spans="1:13" ht="15" hidden="1" customHeight="1" x14ac:dyDescent="0.25">
      <c r="A87" s="10">
        <v>13</v>
      </c>
      <c r="B87" s="10" t="str">
        <f t="shared" si="7"/>
        <v>L5US-ЩС-1 — Гараж верхней станции L5 US — ЩС-1</v>
      </c>
      <c r="C87" s="10" t="s">
        <v>167</v>
      </c>
      <c r="D87" s="10" t="s">
        <v>173</v>
      </c>
      <c r="E87" s="11" t="s">
        <v>174</v>
      </c>
      <c r="F87" s="12">
        <v>127</v>
      </c>
      <c r="G87" s="12">
        <f>F87*Kurallar!$B$3</f>
        <v>127</v>
      </c>
      <c r="H87" s="12">
        <f>G87*J87</f>
        <v>3175</v>
      </c>
      <c r="I87" s="10" t="s">
        <v>170</v>
      </c>
      <c r="J87" s="13">
        <v>25</v>
      </c>
      <c r="K87" s="10" t="s">
        <v>143</v>
      </c>
      <c r="L87" s="12"/>
      <c r="M87" s="12">
        <v>3175</v>
      </c>
    </row>
    <row r="88" spans="1:13" ht="15" hidden="1" customHeight="1" x14ac:dyDescent="0.25">
      <c r="A88" s="10">
        <v>14</v>
      </c>
      <c r="B88" s="10" t="str">
        <f t="shared" si="7"/>
        <v>L5US-ЩС-1 — Гараж верхней станции L5 US — ЩС-1</v>
      </c>
      <c r="C88" s="10" t="s">
        <v>167</v>
      </c>
      <c r="D88" s="10" t="s">
        <v>235</v>
      </c>
      <c r="E88" s="11" t="s">
        <v>236</v>
      </c>
      <c r="F88" s="12">
        <v>565</v>
      </c>
      <c r="G88" s="12">
        <f>F88*Kurallar!$B$3</f>
        <v>565</v>
      </c>
      <c r="H88" s="12">
        <f>G88*J88</f>
        <v>2825</v>
      </c>
      <c r="I88" s="10" t="s">
        <v>170</v>
      </c>
      <c r="J88" s="13">
        <v>5</v>
      </c>
      <c r="K88" s="10" t="s">
        <v>143</v>
      </c>
      <c r="L88" s="12"/>
      <c r="M88" s="12">
        <v>2825</v>
      </c>
    </row>
    <row r="89" spans="1:13" ht="15" hidden="1" customHeight="1" x14ac:dyDescent="0.25">
      <c r="A89" s="10">
        <v>15</v>
      </c>
      <c r="B89" s="10" t="str">
        <f t="shared" si="7"/>
        <v>L5US-ЩС-1 — Гараж верхней станции L5 US — ЩС-1</v>
      </c>
      <c r="C89" s="10" t="s">
        <v>167</v>
      </c>
      <c r="D89" s="10" t="s">
        <v>177</v>
      </c>
      <c r="E89" s="11" t="s">
        <v>178</v>
      </c>
      <c r="F89" s="12">
        <v>79</v>
      </c>
      <c r="G89" s="12">
        <f>F89*Kurallar!$B$3</f>
        <v>79</v>
      </c>
      <c r="H89" s="12">
        <f>G89*J89</f>
        <v>553</v>
      </c>
      <c r="I89" s="10" t="s">
        <v>170</v>
      </c>
      <c r="J89" s="13">
        <v>7</v>
      </c>
      <c r="K89" s="10" t="s">
        <v>143</v>
      </c>
      <c r="L89" s="12"/>
      <c r="M89" s="12">
        <v>553</v>
      </c>
    </row>
    <row r="90" spans="1:13" ht="23.25" hidden="1" customHeight="1" x14ac:dyDescent="0.25">
      <c r="A90" s="10">
        <v>16</v>
      </c>
      <c r="B90" s="10" t="str">
        <f t="shared" si="7"/>
        <v>L5US-ЩС-1 — Гараж верхней станции L5 US — ЩС-1</v>
      </c>
      <c r="C90" s="10" t="s">
        <v>167</v>
      </c>
      <c r="D90" s="10" t="s">
        <v>179</v>
      </c>
      <c r="E90" s="11" t="s">
        <v>180</v>
      </c>
      <c r="F90" s="12"/>
      <c r="G90" s="12">
        <f>SUM(H76:H89)*Kurallar!$B$5</f>
        <v>2615.4419999999996</v>
      </c>
      <c r="H90" s="12">
        <f>G90*J90</f>
        <v>2615.4419999999996</v>
      </c>
      <c r="I90" s="10" t="s">
        <v>142</v>
      </c>
      <c r="J90" s="13">
        <v>1</v>
      </c>
      <c r="K90" s="10" t="s">
        <v>181</v>
      </c>
      <c r="L90" s="12"/>
      <c r="M90" s="12">
        <v>2615.4419999999996</v>
      </c>
    </row>
    <row r="91" spans="1:13" ht="15" hidden="1" customHeight="1" x14ac:dyDescent="0.25">
      <c r="A91" s="10">
        <v>17</v>
      </c>
      <c r="B91" s="10" t="str">
        <f t="shared" si="7"/>
        <v>L5US-ЩС-1 — Гараж верхней станции L5 US — ЩС-1</v>
      </c>
      <c r="C91" s="10" t="s">
        <v>182</v>
      </c>
      <c r="D91" s="10" t="s">
        <v>183</v>
      </c>
      <c r="E91" s="11" t="s">
        <v>184</v>
      </c>
      <c r="F91" s="12">
        <f>J91/60</f>
        <v>1.3575000000000002</v>
      </c>
      <c r="G91" s="12">
        <f>Kurallar!$B$6</f>
        <v>100</v>
      </c>
      <c r="H91" s="12">
        <f>G91*J91</f>
        <v>8145</v>
      </c>
      <c r="I91" s="10" t="s">
        <v>185</v>
      </c>
      <c r="J91" s="13">
        <f>ROUND((Kurallar!$B$10+0*Kurallar!$B$13+0*Kurallar!$B$14+0*Kurallar!$B$15+0*Kurallar!$B$16+0*Kurallar!$B$17+0*Kurallar!$B$18+13*Kurallar!$B$19+3*Kurallar!$B$20+1*Kurallar!$B$21+42*Kurallar!$B$22+4*Kurallar!$B$23+0*Kurallar!$B$24+3*Kurallar!$B$25)*Kurallar!$B$7,0)*0.15</f>
        <v>81.45</v>
      </c>
      <c r="K91" s="10" t="s">
        <v>181</v>
      </c>
      <c r="L91" s="12"/>
      <c r="M91" s="12">
        <v>8145</v>
      </c>
    </row>
    <row r="92" spans="1:13" ht="15" customHeight="1" x14ac:dyDescent="0.25">
      <c r="A92" s="15"/>
      <c r="B92" s="15" t="s">
        <v>237</v>
      </c>
      <c r="C92" s="15"/>
      <c r="D92" s="15"/>
      <c r="E92" s="16"/>
      <c r="F92" s="17"/>
      <c r="G92" s="17"/>
      <c r="H92" s="17">
        <f>SUBTOTAL(9,H76:H91)</f>
        <v>0</v>
      </c>
      <c r="I92" s="15"/>
      <c r="J92" s="18"/>
      <c r="K92" s="15"/>
      <c r="L92" s="17">
        <f>SUBTOTAL(9,H76:H89)</f>
        <v>0</v>
      </c>
      <c r="M92" s="17">
        <v>97941.84199999999</v>
      </c>
    </row>
    <row r="93" spans="1:13" ht="15" customHeight="1" x14ac:dyDescent="0.25">
      <c r="A93" s="19">
        <v>1</v>
      </c>
      <c r="B93" s="20" t="str">
        <f>E93</f>
        <v>L5US-ЩО-1 — Гараж верхней станции L5 US — ЩО-1</v>
      </c>
      <c r="C93" s="19" t="s">
        <v>136</v>
      </c>
      <c r="D93" s="19" t="s">
        <v>193</v>
      </c>
      <c r="E93" s="21" t="s">
        <v>238</v>
      </c>
      <c r="F93" s="22"/>
      <c r="G93" s="22"/>
      <c r="H93" s="22"/>
      <c r="I93" s="19" t="s">
        <v>139</v>
      </c>
      <c r="J93" s="23">
        <v>1</v>
      </c>
      <c r="K93" s="19"/>
      <c r="L93" s="22"/>
      <c r="M93" s="22"/>
    </row>
    <row r="94" spans="1:13" ht="15" hidden="1" customHeight="1" x14ac:dyDescent="0.25">
      <c r="A94" s="10">
        <v>2</v>
      </c>
      <c r="B94" s="10" t="str">
        <f t="shared" ref="B94:B107" si="9">B93</f>
        <v>L5US-ЩО-1 — Гараж верхней станции L5 US — ЩО-1</v>
      </c>
      <c r="C94" s="10" t="s">
        <v>140</v>
      </c>
      <c r="D94" s="10" t="s">
        <v>380</v>
      </c>
      <c r="E94" s="24" t="s">
        <v>381</v>
      </c>
      <c r="F94" s="12">
        <v>15000</v>
      </c>
      <c r="G94" s="12">
        <f>0.5*F94</f>
        <v>7500</v>
      </c>
      <c r="H94" s="12">
        <f>G94*J94</f>
        <v>7500</v>
      </c>
      <c r="I94" s="10" t="s">
        <v>142</v>
      </c>
      <c r="J94" s="13">
        <v>1</v>
      </c>
      <c r="K94" s="14" t="s">
        <v>390</v>
      </c>
      <c r="L94" s="12"/>
      <c r="M94" s="12">
        <v>7500</v>
      </c>
    </row>
    <row r="95" spans="1:13" ht="15" hidden="1" customHeight="1" x14ac:dyDescent="0.25">
      <c r="A95" s="10">
        <v>3</v>
      </c>
      <c r="B95" s="10" t="str">
        <f t="shared" si="9"/>
        <v>L5US-ЩО-1 — Гараж верхней станции L5 US — ЩО-1</v>
      </c>
      <c r="C95" s="10" t="s">
        <v>149</v>
      </c>
      <c r="D95" s="10" t="s">
        <v>150</v>
      </c>
      <c r="E95" s="11" t="s">
        <v>151</v>
      </c>
      <c r="F95" s="12">
        <v>1419</v>
      </c>
      <c r="G95" s="12">
        <f>F95*Kurallar!$B$2</f>
        <v>851.4</v>
      </c>
      <c r="H95" s="12">
        <f>G95*J95</f>
        <v>5108.3999999999996</v>
      </c>
      <c r="I95" s="10" t="s">
        <v>142</v>
      </c>
      <c r="J95" s="13">
        <v>6</v>
      </c>
      <c r="K95" s="10" t="s">
        <v>146</v>
      </c>
      <c r="L95" s="12"/>
      <c r="M95" s="12">
        <v>5108.3999999999996</v>
      </c>
    </row>
    <row r="96" spans="1:13" ht="15" hidden="1" customHeight="1" x14ac:dyDescent="0.25">
      <c r="A96" s="10">
        <v>4</v>
      </c>
      <c r="B96" s="10" t="str">
        <f t="shared" si="9"/>
        <v>L5US-ЩО-1 — Гараж верхней станции L5 US — ЩО-1</v>
      </c>
      <c r="C96" s="10" t="s">
        <v>149</v>
      </c>
      <c r="D96" s="10" t="s">
        <v>240</v>
      </c>
      <c r="E96" s="11" t="s">
        <v>241</v>
      </c>
      <c r="F96" s="12">
        <v>5334</v>
      </c>
      <c r="G96" s="12">
        <f>F96*Kurallar!$B$2</f>
        <v>3200.4</v>
      </c>
      <c r="H96" s="12">
        <f>G96*J96</f>
        <v>3200.4</v>
      </c>
      <c r="I96" s="10" t="s">
        <v>142</v>
      </c>
      <c r="J96" s="13">
        <v>1</v>
      </c>
      <c r="K96" s="10" t="s">
        <v>146</v>
      </c>
      <c r="L96" s="12"/>
      <c r="M96" s="12">
        <v>3200.4</v>
      </c>
    </row>
    <row r="97" spans="1:13" ht="15" hidden="1" customHeight="1" x14ac:dyDescent="0.25">
      <c r="A97" s="10">
        <v>5</v>
      </c>
      <c r="B97" s="10" t="str">
        <f t="shared" si="9"/>
        <v>L5US-ЩО-1 — Гараж верхней станции L5 US — ЩО-1</v>
      </c>
      <c r="C97" s="10" t="s">
        <v>161</v>
      </c>
      <c r="D97" s="10" t="s">
        <v>162</v>
      </c>
      <c r="E97" s="11" t="s">
        <v>163</v>
      </c>
      <c r="F97" s="12">
        <v>530</v>
      </c>
      <c r="G97" s="12">
        <f>F97*Kurallar!$B$3</f>
        <v>530</v>
      </c>
      <c r="H97" s="12">
        <f>G97*J97</f>
        <v>530</v>
      </c>
      <c r="I97" s="10" t="s">
        <v>142</v>
      </c>
      <c r="J97" s="13">
        <v>1</v>
      </c>
      <c r="K97" s="14" t="s">
        <v>372</v>
      </c>
      <c r="L97" s="12"/>
      <c r="M97" s="12">
        <v>530</v>
      </c>
    </row>
    <row r="98" spans="1:13" ht="15" hidden="1" customHeight="1" x14ac:dyDescent="0.25">
      <c r="A98" s="10">
        <v>6</v>
      </c>
      <c r="B98" s="10" t="str">
        <f t="shared" si="9"/>
        <v>L5US-ЩО-1 — Гараж верхней станции L5 US — ЩО-1</v>
      </c>
      <c r="C98" s="10" t="s">
        <v>161</v>
      </c>
      <c r="D98" s="10" t="s">
        <v>165</v>
      </c>
      <c r="E98" s="11" t="s">
        <v>166</v>
      </c>
      <c r="F98" s="12">
        <v>634</v>
      </c>
      <c r="G98" s="12">
        <f>F98*Kurallar!$B$3</f>
        <v>634</v>
      </c>
      <c r="H98" s="12">
        <f>G98*J98</f>
        <v>634</v>
      </c>
      <c r="I98" s="10" t="s">
        <v>142</v>
      </c>
      <c r="J98" s="13">
        <v>1</v>
      </c>
      <c r="K98" s="14" t="s">
        <v>372</v>
      </c>
      <c r="L98" s="12"/>
      <c r="M98" s="12">
        <v>634</v>
      </c>
    </row>
    <row r="99" spans="1:13" ht="15" hidden="1" customHeight="1" x14ac:dyDescent="0.25">
      <c r="A99" s="10">
        <v>7</v>
      </c>
      <c r="B99" s="10" t="str">
        <f t="shared" si="9"/>
        <v>L5US-ЩО-1 — Гараж верхней станции L5 US — ЩО-1</v>
      </c>
      <c r="C99" s="10" t="s">
        <v>31</v>
      </c>
      <c r="D99" s="10" t="s">
        <v>373</v>
      </c>
      <c r="E99" s="11" t="s">
        <v>374</v>
      </c>
      <c r="F99" s="12">
        <v>140</v>
      </c>
      <c r="G99" s="12">
        <f t="shared" ref="G99:G100" si="10">0.6*F99</f>
        <v>84</v>
      </c>
      <c r="H99" s="12">
        <f>G99*J99</f>
        <v>1092</v>
      </c>
      <c r="I99" s="10" t="s">
        <v>142</v>
      </c>
      <c r="J99" s="13">
        <v>13</v>
      </c>
      <c r="K99" s="14" t="s">
        <v>375</v>
      </c>
      <c r="L99" s="12"/>
      <c r="M99" s="12">
        <v>1092</v>
      </c>
    </row>
    <row r="100" spans="1:13" ht="15" hidden="1" customHeight="1" x14ac:dyDescent="0.25">
      <c r="A100" s="10">
        <v>8</v>
      </c>
      <c r="B100" s="10" t="str">
        <f t="shared" si="9"/>
        <v>L5US-ЩО-1 — Гараж верхней станции L5 US — ЩО-1</v>
      </c>
      <c r="C100" s="10" t="s">
        <v>31</v>
      </c>
      <c r="D100" s="10" t="s">
        <v>373</v>
      </c>
      <c r="E100" s="11" t="s">
        <v>374</v>
      </c>
      <c r="F100" s="12">
        <v>140</v>
      </c>
      <c r="G100" s="12">
        <f t="shared" si="10"/>
        <v>84</v>
      </c>
      <c r="H100" s="12">
        <f>G100*J100</f>
        <v>756</v>
      </c>
      <c r="I100" s="10" t="s">
        <v>142</v>
      </c>
      <c r="J100" s="13">
        <v>9</v>
      </c>
      <c r="K100" s="14" t="s">
        <v>375</v>
      </c>
      <c r="L100" s="12"/>
      <c r="M100" s="12">
        <v>756</v>
      </c>
    </row>
    <row r="101" spans="1:13" ht="15" hidden="1" customHeight="1" x14ac:dyDescent="0.25">
      <c r="A101" s="10">
        <v>9</v>
      </c>
      <c r="B101" s="10" t="str">
        <f t="shared" si="9"/>
        <v>L5US-ЩО-1 — Гараж верхней станции L5 US — ЩО-1</v>
      </c>
      <c r="C101" s="10" t="s">
        <v>167</v>
      </c>
      <c r="D101" s="10" t="s">
        <v>168</v>
      </c>
      <c r="E101" s="11" t="s">
        <v>169</v>
      </c>
      <c r="F101" s="12">
        <v>869</v>
      </c>
      <c r="G101" s="12">
        <f>F101*Kurallar!$B$2</f>
        <v>521.4</v>
      </c>
      <c r="H101" s="12">
        <f>G101*J101</f>
        <v>521.4</v>
      </c>
      <c r="I101" s="10" t="s">
        <v>170</v>
      </c>
      <c r="J101" s="13">
        <v>1</v>
      </c>
      <c r="K101" s="10" t="s">
        <v>146</v>
      </c>
      <c r="L101" s="12"/>
      <c r="M101" s="12">
        <v>521.4</v>
      </c>
    </row>
    <row r="102" spans="1:13" ht="15" hidden="1" customHeight="1" x14ac:dyDescent="0.25">
      <c r="A102" s="10">
        <v>10</v>
      </c>
      <c r="B102" s="10" t="str">
        <f t="shared" si="9"/>
        <v>L5US-ЩО-1 — Гараж верхней станции L5 US — ЩО-1</v>
      </c>
      <c r="C102" s="10" t="s">
        <v>167</v>
      </c>
      <c r="D102" s="10" t="s">
        <v>171</v>
      </c>
      <c r="E102" s="11" t="s">
        <v>172</v>
      </c>
      <c r="F102" s="12">
        <v>1808</v>
      </c>
      <c r="G102" s="12">
        <f>F102*Kurallar!$B$3</f>
        <v>1808</v>
      </c>
      <c r="H102" s="12">
        <f>G102*J102</f>
        <v>1808</v>
      </c>
      <c r="I102" s="10" t="s">
        <v>142</v>
      </c>
      <c r="J102" s="13">
        <v>1</v>
      </c>
      <c r="K102" s="10" t="s">
        <v>164</v>
      </c>
      <c r="L102" s="12"/>
      <c r="M102" s="12">
        <v>1808</v>
      </c>
    </row>
    <row r="103" spans="1:13" ht="15" hidden="1" customHeight="1" x14ac:dyDescent="0.25">
      <c r="A103" s="10">
        <v>11</v>
      </c>
      <c r="B103" s="10" t="str">
        <f t="shared" si="9"/>
        <v>L5US-ЩО-1 — Гараж верхней станции L5 US — ЩО-1</v>
      </c>
      <c r="C103" s="10" t="s">
        <v>167</v>
      </c>
      <c r="D103" s="10" t="s">
        <v>173</v>
      </c>
      <c r="E103" s="11" t="s">
        <v>174</v>
      </c>
      <c r="F103" s="12">
        <v>127</v>
      </c>
      <c r="G103" s="12">
        <f>F103*Kurallar!$B$3</f>
        <v>127</v>
      </c>
      <c r="H103" s="12">
        <f>G103*J103</f>
        <v>1651</v>
      </c>
      <c r="I103" s="10" t="s">
        <v>170</v>
      </c>
      <c r="J103" s="13">
        <v>13</v>
      </c>
      <c r="K103" s="10" t="s">
        <v>143</v>
      </c>
      <c r="L103" s="12"/>
      <c r="M103" s="12">
        <v>1651</v>
      </c>
    </row>
    <row r="104" spans="1:13" ht="15" hidden="1" customHeight="1" x14ac:dyDescent="0.25">
      <c r="A104" s="10">
        <v>12</v>
      </c>
      <c r="B104" s="10" t="str">
        <f t="shared" si="9"/>
        <v>L5US-ЩО-1 — Гараж верхней станции L5 US — ЩО-1</v>
      </c>
      <c r="C104" s="10" t="s">
        <v>167</v>
      </c>
      <c r="D104" s="10" t="s">
        <v>235</v>
      </c>
      <c r="E104" s="11" t="s">
        <v>236</v>
      </c>
      <c r="F104" s="12">
        <v>565</v>
      </c>
      <c r="G104" s="12">
        <f>F104*Kurallar!$B$3</f>
        <v>565</v>
      </c>
      <c r="H104" s="12">
        <f>G104*J104</f>
        <v>2825</v>
      </c>
      <c r="I104" s="10" t="s">
        <v>170</v>
      </c>
      <c r="J104" s="13">
        <v>5</v>
      </c>
      <c r="K104" s="10" t="s">
        <v>143</v>
      </c>
      <c r="L104" s="12"/>
      <c r="M104" s="12">
        <v>2825</v>
      </c>
    </row>
    <row r="105" spans="1:13" ht="15" hidden="1" customHeight="1" x14ac:dyDescent="0.25">
      <c r="A105" s="10">
        <v>13</v>
      </c>
      <c r="B105" s="10" t="str">
        <f t="shared" si="9"/>
        <v>L5US-ЩО-1 — Гараж верхней станции L5 US — ЩО-1</v>
      </c>
      <c r="C105" s="10" t="s">
        <v>167</v>
      </c>
      <c r="D105" s="10" t="s">
        <v>177</v>
      </c>
      <c r="E105" s="11" t="s">
        <v>178</v>
      </c>
      <c r="F105" s="12">
        <v>79</v>
      </c>
      <c r="G105" s="12">
        <f>F105*Kurallar!$B$3</f>
        <v>79</v>
      </c>
      <c r="H105" s="12">
        <f>G105*J105</f>
        <v>316</v>
      </c>
      <c r="I105" s="10" t="s">
        <v>170</v>
      </c>
      <c r="J105" s="13">
        <v>4</v>
      </c>
      <c r="K105" s="10" t="s">
        <v>143</v>
      </c>
      <c r="L105" s="12"/>
      <c r="M105" s="12">
        <v>316</v>
      </c>
    </row>
    <row r="106" spans="1:13" ht="23.25" hidden="1" customHeight="1" x14ac:dyDescent="0.25">
      <c r="A106" s="10">
        <v>14</v>
      </c>
      <c r="B106" s="10" t="str">
        <f t="shared" si="9"/>
        <v>L5US-ЩО-1 — Гараж верхней станции L5 US — ЩО-1</v>
      </c>
      <c r="C106" s="10" t="s">
        <v>167</v>
      </c>
      <c r="D106" s="10" t="s">
        <v>179</v>
      </c>
      <c r="E106" s="11" t="s">
        <v>180</v>
      </c>
      <c r="F106" s="12"/>
      <c r="G106" s="12">
        <f>SUM(H94:H105)*Kurallar!$B$5</f>
        <v>778.26599999999996</v>
      </c>
      <c r="H106" s="12">
        <f>G106*J106</f>
        <v>778.26599999999996</v>
      </c>
      <c r="I106" s="10" t="s">
        <v>142</v>
      </c>
      <c r="J106" s="13">
        <v>1</v>
      </c>
      <c r="K106" s="10" t="s">
        <v>181</v>
      </c>
      <c r="L106" s="12"/>
      <c r="M106" s="12">
        <v>778.26599999999996</v>
      </c>
    </row>
    <row r="107" spans="1:13" ht="15" hidden="1" customHeight="1" x14ac:dyDescent="0.25">
      <c r="A107" s="10">
        <v>15</v>
      </c>
      <c r="B107" s="10" t="str">
        <f t="shared" si="9"/>
        <v>L5US-ЩО-1 — Гараж верхней станции L5 US — ЩО-1</v>
      </c>
      <c r="C107" s="10" t="s">
        <v>182</v>
      </c>
      <c r="D107" s="10" t="s">
        <v>183</v>
      </c>
      <c r="E107" s="11" t="s">
        <v>184</v>
      </c>
      <c r="F107" s="12">
        <f>J107/60</f>
        <v>0.48766666666666669</v>
      </c>
      <c r="G107" s="12">
        <f>Kurallar!$B$6</f>
        <v>100</v>
      </c>
      <c r="H107" s="12">
        <f>G107*J107</f>
        <v>2926</v>
      </c>
      <c r="I107" s="10" t="s">
        <v>185</v>
      </c>
      <c r="J107" s="13">
        <f>ROUND((Kurallar!$B$9+0*Kurallar!$B$13+0*Kurallar!$B$14+0*Kurallar!$B$15+0*Kurallar!$B$16+0*Kurallar!$B$17+0*Kurallar!$B$18+0*Kurallar!$B$19+6*Kurallar!$B$20+1*Kurallar!$B$21+22*Kurallar!$B$22+2*Kurallar!$B$23+0*Kurallar!$B$24+3*Kurallar!$B$25)*Kurallar!$B$7,0)*0.11</f>
        <v>29.26</v>
      </c>
      <c r="K107" s="10" t="s">
        <v>181</v>
      </c>
      <c r="L107" s="12"/>
      <c r="M107" s="12">
        <v>2926</v>
      </c>
    </row>
    <row r="108" spans="1:13" ht="15" customHeight="1" x14ac:dyDescent="0.25">
      <c r="A108" s="15"/>
      <c r="B108" s="15" t="s">
        <v>242</v>
      </c>
      <c r="C108" s="15"/>
      <c r="D108" s="15"/>
      <c r="E108" s="16"/>
      <c r="F108" s="17"/>
      <c r="G108" s="17"/>
      <c r="H108" s="17">
        <f>SUBTOTAL(9,H94:H107)</f>
        <v>0</v>
      </c>
      <c r="I108" s="15"/>
      <c r="J108" s="18"/>
      <c r="K108" s="15"/>
      <c r="L108" s="17">
        <f>SUBTOTAL(9,H94:H105)</f>
        <v>0</v>
      </c>
      <c r="M108" s="17">
        <v>29646.466</v>
      </c>
    </row>
    <row r="109" spans="1:13" ht="23.25" customHeight="1" x14ac:dyDescent="0.25">
      <c r="A109" s="19">
        <v>1</v>
      </c>
      <c r="B109" s="20" t="str">
        <f>E109</f>
        <v>L6LS-ВРУ-1 — Гараж для подвижного состава канатной дороги нижней станции L6 LS — ВРУ-1</v>
      </c>
      <c r="C109" s="19" t="s">
        <v>136</v>
      </c>
      <c r="D109" s="19" t="s">
        <v>243</v>
      </c>
      <c r="E109" s="21" t="s">
        <v>244</v>
      </c>
      <c r="F109" s="22"/>
      <c r="G109" s="22"/>
      <c r="H109" s="22"/>
      <c r="I109" s="19" t="s">
        <v>139</v>
      </c>
      <c r="J109" s="23">
        <v>1</v>
      </c>
      <c r="K109" s="19"/>
      <c r="L109" s="22"/>
      <c r="M109" s="22"/>
    </row>
    <row r="110" spans="1:13" ht="15" hidden="1" customHeight="1" x14ac:dyDescent="0.25">
      <c r="A110" s="10">
        <v>2</v>
      </c>
      <c r="B110" s="10" t="str">
        <f t="shared" ref="B110:B138" si="11">B109</f>
        <v>L6LS-ВРУ-1 — Гараж для подвижного состава канатной дороги нижней станции L6 LS — ВРУ-1</v>
      </c>
      <c r="C110" s="10" t="s">
        <v>140</v>
      </c>
      <c r="D110" s="14" t="s">
        <v>378</v>
      </c>
      <c r="E110" s="24" t="s">
        <v>379</v>
      </c>
      <c r="F110" s="12">
        <v>138500</v>
      </c>
      <c r="G110" s="12">
        <f t="shared" ref="G110:G111" si="12">0.5*F110</f>
        <v>69250</v>
      </c>
      <c r="H110" s="12">
        <f>G110*J110</f>
        <v>69250</v>
      </c>
      <c r="I110" s="10" t="s">
        <v>142</v>
      </c>
      <c r="J110" s="13">
        <v>1</v>
      </c>
      <c r="K110" s="14" t="s">
        <v>390</v>
      </c>
      <c r="L110" s="12"/>
      <c r="M110" s="12">
        <v>69250</v>
      </c>
    </row>
    <row r="111" spans="1:13" ht="15" hidden="1" customHeight="1" x14ac:dyDescent="0.25">
      <c r="A111" s="10">
        <v>3</v>
      </c>
      <c r="B111" s="10" t="str">
        <f t="shared" si="11"/>
        <v>L6LS-ВРУ-1 — Гараж для подвижного состава канатной дороги нижней станции L6 LS — ВРУ-1</v>
      </c>
      <c r="C111" s="10" t="s">
        <v>140</v>
      </c>
      <c r="D111" s="10" t="s">
        <v>376</v>
      </c>
      <c r="E111" s="24" t="s">
        <v>377</v>
      </c>
      <c r="F111" s="12">
        <v>89545</v>
      </c>
      <c r="G111" s="12">
        <f t="shared" si="12"/>
        <v>44772.5</v>
      </c>
      <c r="H111" s="12">
        <f>G111*J111</f>
        <v>44772.5</v>
      </c>
      <c r="I111" s="10" t="s">
        <v>142</v>
      </c>
      <c r="J111" s="13">
        <v>1</v>
      </c>
      <c r="K111" s="14" t="s">
        <v>390</v>
      </c>
      <c r="L111" s="12"/>
      <c r="M111" s="12">
        <v>44772.5</v>
      </c>
    </row>
    <row r="112" spans="1:13" ht="15" hidden="1" customHeight="1" x14ac:dyDescent="0.25">
      <c r="A112" s="10">
        <v>3</v>
      </c>
      <c r="B112" s="10" t="str">
        <f>B110</f>
        <v>L6LS-ВРУ-1 — Гараж для подвижного состава канатной дороги нижней станции L6 LS — ВРУ-1</v>
      </c>
      <c r="C112" s="14" t="s">
        <v>371</v>
      </c>
      <c r="D112" s="10" t="s">
        <v>196</v>
      </c>
      <c r="E112" s="11" t="s">
        <v>197</v>
      </c>
      <c r="F112" s="12">
        <v>207656</v>
      </c>
      <c r="G112" s="12">
        <f>F112*Kurallar!$B$2</f>
        <v>124593.59999999999</v>
      </c>
      <c r="H112" s="12">
        <f>G112*J112</f>
        <v>124593.59999999999</v>
      </c>
      <c r="I112" s="10" t="s">
        <v>142</v>
      </c>
      <c r="J112" s="13">
        <v>1</v>
      </c>
      <c r="K112" s="10" t="s">
        <v>146</v>
      </c>
      <c r="L112" s="12"/>
      <c r="M112" s="12">
        <v>124593.59999999999</v>
      </c>
    </row>
    <row r="113" spans="1:13" ht="15" hidden="1" customHeight="1" x14ac:dyDescent="0.25">
      <c r="A113" s="10">
        <v>4</v>
      </c>
      <c r="B113" s="10" t="str">
        <f t="shared" si="11"/>
        <v>L6LS-ВРУ-1 — Гараж для подвижного состава канатной дороги нижней станции L6 LS — ВРУ-1</v>
      </c>
      <c r="C113" s="10" t="s">
        <v>198</v>
      </c>
      <c r="D113" s="10" t="s">
        <v>245</v>
      </c>
      <c r="E113" s="11" t="s">
        <v>246</v>
      </c>
      <c r="F113" s="12">
        <v>19418</v>
      </c>
      <c r="G113" s="12">
        <f>F113*Kurallar!$B$2</f>
        <v>11650.8</v>
      </c>
      <c r="H113" s="12">
        <f>G113*J113</f>
        <v>23301.599999999999</v>
      </c>
      <c r="I113" s="10" t="s">
        <v>142</v>
      </c>
      <c r="J113" s="13">
        <v>2</v>
      </c>
      <c r="K113" s="10" t="s">
        <v>146</v>
      </c>
      <c r="L113" s="12"/>
      <c r="M113" s="12">
        <v>23301.599999999999</v>
      </c>
    </row>
    <row r="114" spans="1:13" ht="15" hidden="1" customHeight="1" x14ac:dyDescent="0.25">
      <c r="A114" s="10">
        <v>5</v>
      </c>
      <c r="B114" s="10" t="str">
        <f t="shared" si="11"/>
        <v>L6LS-ВРУ-1 — Гараж для подвижного состава канатной дороги нижней станции L6 LS — ВРУ-1</v>
      </c>
      <c r="C114" s="10" t="s">
        <v>198</v>
      </c>
      <c r="D114" s="10" t="s">
        <v>201</v>
      </c>
      <c r="E114" s="11" t="s">
        <v>202</v>
      </c>
      <c r="F114" s="12">
        <v>17405</v>
      </c>
      <c r="G114" s="12">
        <f>F114*Kurallar!$B$2</f>
        <v>10443</v>
      </c>
      <c r="H114" s="12">
        <f>G114*J114</f>
        <v>20886</v>
      </c>
      <c r="I114" s="10" t="s">
        <v>142</v>
      </c>
      <c r="J114" s="13">
        <v>2</v>
      </c>
      <c r="K114" s="10" t="s">
        <v>146</v>
      </c>
      <c r="L114" s="12"/>
      <c r="M114" s="12">
        <v>20886</v>
      </c>
    </row>
    <row r="115" spans="1:13" ht="15" hidden="1" customHeight="1" x14ac:dyDescent="0.25">
      <c r="A115" s="10">
        <v>6</v>
      </c>
      <c r="B115" s="10" t="str">
        <f t="shared" si="11"/>
        <v>L6LS-ВРУ-1 — Гараж для подвижного состава канатной дороги нижней станции L6 LS — ВРУ-1</v>
      </c>
      <c r="C115" s="10" t="s">
        <v>198</v>
      </c>
      <c r="D115" s="10" t="s">
        <v>203</v>
      </c>
      <c r="E115" s="11" t="s">
        <v>204</v>
      </c>
      <c r="F115" s="12">
        <v>17405</v>
      </c>
      <c r="G115" s="12">
        <f>F115*Kurallar!$B$2</f>
        <v>10443</v>
      </c>
      <c r="H115" s="12">
        <f>G115*J115</f>
        <v>10443</v>
      </c>
      <c r="I115" s="10" t="s">
        <v>142</v>
      </c>
      <c r="J115" s="13">
        <v>1</v>
      </c>
      <c r="K115" s="10" t="s">
        <v>146</v>
      </c>
      <c r="L115" s="12"/>
      <c r="M115" s="12">
        <v>10443</v>
      </c>
    </row>
    <row r="116" spans="1:13" ht="15" hidden="1" customHeight="1" x14ac:dyDescent="0.25">
      <c r="A116" s="10">
        <v>7</v>
      </c>
      <c r="B116" s="10" t="str">
        <f t="shared" si="11"/>
        <v>L6LS-ВРУ-1 — Гараж для подвижного состава канатной дороги нижней станции L6 LS — ВРУ-1</v>
      </c>
      <c r="C116" s="10" t="s">
        <v>198</v>
      </c>
      <c r="D116" s="10" t="s">
        <v>205</v>
      </c>
      <c r="E116" s="11" t="s">
        <v>206</v>
      </c>
      <c r="F116" s="12">
        <v>17405</v>
      </c>
      <c r="G116" s="12">
        <f>F116*Kurallar!$B$2</f>
        <v>10443</v>
      </c>
      <c r="H116" s="12">
        <f>G116*J116</f>
        <v>10443</v>
      </c>
      <c r="I116" s="10" t="s">
        <v>142</v>
      </c>
      <c r="J116" s="13">
        <v>1</v>
      </c>
      <c r="K116" s="10" t="s">
        <v>146</v>
      </c>
      <c r="L116" s="12"/>
      <c r="M116" s="12">
        <v>10443</v>
      </c>
    </row>
    <row r="117" spans="1:13" ht="15" hidden="1" customHeight="1" x14ac:dyDescent="0.25">
      <c r="A117" s="10">
        <v>8</v>
      </c>
      <c r="B117" s="10" t="str">
        <f t="shared" si="11"/>
        <v>L6LS-ВРУ-1 — Гараж для подвижного состава канатной дороги нижней станции L6 LS — ВРУ-1</v>
      </c>
      <c r="C117" s="10" t="s">
        <v>198</v>
      </c>
      <c r="D117" s="10" t="s">
        <v>207</v>
      </c>
      <c r="E117" s="11" t="s">
        <v>208</v>
      </c>
      <c r="F117" s="12">
        <v>17405</v>
      </c>
      <c r="G117" s="12">
        <f>F117*Kurallar!$B$2</f>
        <v>10443</v>
      </c>
      <c r="H117" s="12">
        <f>G117*J117</f>
        <v>10443</v>
      </c>
      <c r="I117" s="10" t="s">
        <v>142</v>
      </c>
      <c r="J117" s="13">
        <v>1</v>
      </c>
      <c r="K117" s="10" t="s">
        <v>146</v>
      </c>
      <c r="L117" s="12"/>
      <c r="M117" s="12">
        <v>10443</v>
      </c>
    </row>
    <row r="118" spans="1:13" ht="15" hidden="1" customHeight="1" x14ac:dyDescent="0.25">
      <c r="A118" s="10">
        <v>9</v>
      </c>
      <c r="B118" s="10" t="str">
        <f t="shared" si="11"/>
        <v>L6LS-ВРУ-1 — Гараж для подвижного состава канатной дороги нижней станции L6 LS — ВРУ-1</v>
      </c>
      <c r="C118" s="10" t="s">
        <v>198</v>
      </c>
      <c r="D118" s="10" t="s">
        <v>209</v>
      </c>
      <c r="E118" s="11" t="s">
        <v>210</v>
      </c>
      <c r="F118" s="12">
        <v>17405</v>
      </c>
      <c r="G118" s="12">
        <f>F118*Kurallar!$B$2</f>
        <v>10443</v>
      </c>
      <c r="H118" s="12">
        <f>G118*J118</f>
        <v>10443</v>
      </c>
      <c r="I118" s="10" t="s">
        <v>142</v>
      </c>
      <c r="J118" s="13">
        <v>1</v>
      </c>
      <c r="K118" s="10" t="s">
        <v>146</v>
      </c>
      <c r="L118" s="12"/>
      <c r="M118" s="12">
        <v>10443</v>
      </c>
    </row>
    <row r="119" spans="1:13" ht="15" hidden="1" customHeight="1" x14ac:dyDescent="0.25">
      <c r="A119" s="10">
        <v>10</v>
      </c>
      <c r="B119" s="10" t="str">
        <f t="shared" si="11"/>
        <v>L6LS-ВРУ-1 — Гараж для подвижного состава канатной дороги нижней станции L6 LS — ВРУ-1</v>
      </c>
      <c r="C119" s="10" t="s">
        <v>147</v>
      </c>
      <c r="D119" s="10" t="s">
        <v>393</v>
      </c>
      <c r="E119" s="24" t="s">
        <v>394</v>
      </c>
      <c r="F119" s="12">
        <v>88000</v>
      </c>
      <c r="G119" s="12">
        <f>F119*Kurallar!$B$4</f>
        <v>88000</v>
      </c>
      <c r="H119" s="12">
        <f>G119*J119</f>
        <v>88000</v>
      </c>
      <c r="I119" s="10" t="s">
        <v>142</v>
      </c>
      <c r="J119" s="13">
        <v>1</v>
      </c>
      <c r="K119" s="10" t="s">
        <v>148</v>
      </c>
      <c r="L119" s="12"/>
      <c r="M119" s="12">
        <v>88000</v>
      </c>
    </row>
    <row r="120" spans="1:13" ht="15" hidden="1" customHeight="1" x14ac:dyDescent="0.25">
      <c r="A120" s="10">
        <v>11</v>
      </c>
      <c r="B120" s="10" t="str">
        <f t="shared" si="11"/>
        <v>L6LS-ВРУ-1 — Гараж для подвижного состава канатной дороги нижней станции L6 LS — ВРУ-1</v>
      </c>
      <c r="C120" s="10" t="s">
        <v>211</v>
      </c>
      <c r="D120" s="10" t="s">
        <v>212</v>
      </c>
      <c r="E120" s="11" t="s">
        <v>213</v>
      </c>
      <c r="F120" s="12">
        <v>4800</v>
      </c>
      <c r="G120" s="12">
        <f>F120*Kurallar!$B$4</f>
        <v>4800</v>
      </c>
      <c r="H120" s="12">
        <f>G120*J120</f>
        <v>14400</v>
      </c>
      <c r="I120" s="10" t="s">
        <v>142</v>
      </c>
      <c r="J120" s="13">
        <v>3</v>
      </c>
      <c r="K120" s="10" t="s">
        <v>148</v>
      </c>
      <c r="L120" s="12"/>
      <c r="M120" s="12">
        <v>14400</v>
      </c>
    </row>
    <row r="121" spans="1:13" ht="15" hidden="1" customHeight="1" x14ac:dyDescent="0.25">
      <c r="A121" s="10">
        <v>12</v>
      </c>
      <c r="B121" s="10" t="str">
        <f t="shared" si="11"/>
        <v>L6LS-ВРУ-1 — Гараж для подвижного состава канатной дороги нижней станции L6 LS — ВРУ-1</v>
      </c>
      <c r="C121" s="10" t="s">
        <v>149</v>
      </c>
      <c r="D121" s="10" t="s">
        <v>214</v>
      </c>
      <c r="E121" s="11" t="s">
        <v>215</v>
      </c>
      <c r="F121" s="12">
        <v>1419</v>
      </c>
      <c r="G121" s="12">
        <f>F121*Kurallar!$B$2</f>
        <v>851.4</v>
      </c>
      <c r="H121" s="12">
        <f>G121*J121</f>
        <v>1702.8</v>
      </c>
      <c r="I121" s="10" t="s">
        <v>142</v>
      </c>
      <c r="J121" s="13">
        <v>2</v>
      </c>
      <c r="K121" s="10" t="s">
        <v>146</v>
      </c>
      <c r="L121" s="12"/>
      <c r="M121" s="12">
        <v>1702.8</v>
      </c>
    </row>
    <row r="122" spans="1:13" ht="15" hidden="1" customHeight="1" x14ac:dyDescent="0.25">
      <c r="A122" s="10">
        <v>13</v>
      </c>
      <c r="B122" s="10" t="str">
        <f t="shared" si="11"/>
        <v>L6LS-ВРУ-1 — Гараж для подвижного состава канатной дороги нижней станции L6 LS — ВРУ-1</v>
      </c>
      <c r="C122" s="10" t="s">
        <v>216</v>
      </c>
      <c r="D122" s="10" t="s">
        <v>217</v>
      </c>
      <c r="E122" s="11" t="s">
        <v>218</v>
      </c>
      <c r="F122" s="12">
        <v>836</v>
      </c>
      <c r="G122" s="12">
        <f>F122*Kurallar!$B$2</f>
        <v>501.59999999999997</v>
      </c>
      <c r="H122" s="12">
        <f>G122*J122</f>
        <v>501.59999999999997</v>
      </c>
      <c r="I122" s="10" t="s">
        <v>142</v>
      </c>
      <c r="J122" s="13">
        <v>1</v>
      </c>
      <c r="K122" s="10" t="s">
        <v>146</v>
      </c>
      <c r="L122" s="12"/>
      <c r="M122" s="12">
        <v>501.59999999999997</v>
      </c>
    </row>
    <row r="123" spans="1:13" ht="15" hidden="1" customHeight="1" x14ac:dyDescent="0.25">
      <c r="A123" s="10">
        <v>14</v>
      </c>
      <c r="B123" s="10" t="str">
        <f t="shared" si="11"/>
        <v>L6LS-ВРУ-1 — Гараж для подвижного состава канатной дороги нижней станции L6 LS — ВРУ-1</v>
      </c>
      <c r="C123" s="10" t="s">
        <v>216</v>
      </c>
      <c r="D123" s="10" t="s">
        <v>219</v>
      </c>
      <c r="E123" s="11" t="s">
        <v>220</v>
      </c>
      <c r="F123" s="12">
        <v>836</v>
      </c>
      <c r="G123" s="12">
        <f>F123*Kurallar!$B$2</f>
        <v>501.59999999999997</v>
      </c>
      <c r="H123" s="12">
        <f>G123*J123</f>
        <v>501.59999999999997</v>
      </c>
      <c r="I123" s="10" t="s">
        <v>142</v>
      </c>
      <c r="J123" s="13">
        <v>1</v>
      </c>
      <c r="K123" s="10" t="s">
        <v>146</v>
      </c>
      <c r="L123" s="12"/>
      <c r="M123" s="12">
        <v>501.59999999999997</v>
      </c>
    </row>
    <row r="124" spans="1:13" ht="15" hidden="1" customHeight="1" x14ac:dyDescent="0.25">
      <c r="A124" s="10">
        <v>15</v>
      </c>
      <c r="B124" s="10" t="str">
        <f t="shared" si="11"/>
        <v>L6LS-ВРУ-1 — Гараж для подвижного состава канатной дороги нижней станции L6 LS — ВРУ-1</v>
      </c>
      <c r="C124" s="10" t="s">
        <v>161</v>
      </c>
      <c r="D124" s="10" t="s">
        <v>162</v>
      </c>
      <c r="E124" s="11" t="s">
        <v>163</v>
      </c>
      <c r="F124" s="12">
        <v>530</v>
      </c>
      <c r="G124" s="12">
        <f>F124*Kurallar!$B$3</f>
        <v>530</v>
      </c>
      <c r="H124" s="12">
        <f>G124*J124</f>
        <v>530</v>
      </c>
      <c r="I124" s="10" t="s">
        <v>142</v>
      </c>
      <c r="J124" s="13">
        <v>1</v>
      </c>
      <c r="K124" s="14" t="s">
        <v>372</v>
      </c>
      <c r="L124" s="12"/>
      <c r="M124" s="12">
        <v>530</v>
      </c>
    </row>
    <row r="125" spans="1:13" ht="15" hidden="1" customHeight="1" x14ac:dyDescent="0.25">
      <c r="A125" s="10">
        <v>16</v>
      </c>
      <c r="B125" s="10" t="str">
        <f t="shared" si="11"/>
        <v>L6LS-ВРУ-1 — Гараж для подвижного состава канатной дороги нижней станции L6 LS — ВРУ-1</v>
      </c>
      <c r="C125" s="10" t="s">
        <v>161</v>
      </c>
      <c r="D125" s="10" t="s">
        <v>165</v>
      </c>
      <c r="E125" s="11" t="s">
        <v>166</v>
      </c>
      <c r="F125" s="12">
        <v>634</v>
      </c>
      <c r="G125" s="12">
        <f>F125*Kurallar!$B$3</f>
        <v>634</v>
      </c>
      <c r="H125" s="12">
        <f>G125*J125</f>
        <v>1268</v>
      </c>
      <c r="I125" s="10" t="s">
        <v>142</v>
      </c>
      <c r="J125" s="13">
        <v>2</v>
      </c>
      <c r="K125" s="14" t="s">
        <v>372</v>
      </c>
      <c r="L125" s="12"/>
      <c r="M125" s="12">
        <v>1268</v>
      </c>
    </row>
    <row r="126" spans="1:13" ht="15" hidden="1" customHeight="1" x14ac:dyDescent="0.25">
      <c r="A126" s="10">
        <v>17</v>
      </c>
      <c r="B126" s="10" t="str">
        <f t="shared" si="11"/>
        <v>L6LS-ВРУ-1 — Гараж для подвижного состава канатной дороги нижней станции L6 LS — ВРУ-1</v>
      </c>
      <c r="C126" s="10" t="s">
        <v>161</v>
      </c>
      <c r="D126" s="10" t="s">
        <v>221</v>
      </c>
      <c r="E126" s="11" t="s">
        <v>222</v>
      </c>
      <c r="F126" s="12">
        <v>6227</v>
      </c>
      <c r="G126" s="12">
        <f>F126*Kurallar!$B$3</f>
        <v>6227</v>
      </c>
      <c r="H126" s="12">
        <f>G126*J126</f>
        <v>6227</v>
      </c>
      <c r="I126" s="10" t="s">
        <v>142</v>
      </c>
      <c r="J126" s="13">
        <v>1</v>
      </c>
      <c r="K126" s="14" t="s">
        <v>372</v>
      </c>
      <c r="L126" s="12"/>
      <c r="M126" s="12">
        <v>6227</v>
      </c>
    </row>
    <row r="127" spans="1:13" ht="15" hidden="1" customHeight="1" x14ac:dyDescent="0.25">
      <c r="A127" s="10">
        <v>18</v>
      </c>
      <c r="B127" s="10" t="str">
        <f t="shared" si="11"/>
        <v>L6LS-ВРУ-1 — Гараж для подвижного состава канатной дороги нижней станции L6 LS — ВРУ-1</v>
      </c>
      <c r="C127" s="10" t="s">
        <v>161</v>
      </c>
      <c r="D127" s="10" t="s">
        <v>223</v>
      </c>
      <c r="E127" s="11" t="s">
        <v>224</v>
      </c>
      <c r="F127" s="12">
        <v>4204</v>
      </c>
      <c r="G127" s="12">
        <f>F127*Kurallar!$B$3</f>
        <v>4204</v>
      </c>
      <c r="H127" s="12">
        <f>G127*J127</f>
        <v>4204</v>
      </c>
      <c r="I127" s="10" t="s">
        <v>142</v>
      </c>
      <c r="J127" s="13">
        <v>1</v>
      </c>
      <c r="K127" s="14" t="s">
        <v>372</v>
      </c>
      <c r="L127" s="12"/>
      <c r="M127" s="12">
        <v>4204</v>
      </c>
    </row>
    <row r="128" spans="1:13" ht="15" hidden="1" customHeight="1" x14ac:dyDescent="0.25">
      <c r="A128" s="10">
        <v>19</v>
      </c>
      <c r="B128" s="10" t="str">
        <f t="shared" si="11"/>
        <v>L6LS-ВРУ-1 — Гараж для подвижного состава канатной дороги нижней станции L6 LS — ВРУ-1</v>
      </c>
      <c r="C128" s="10" t="s">
        <v>167</v>
      </c>
      <c r="D128" s="10" t="s">
        <v>225</v>
      </c>
      <c r="E128" s="11" t="s">
        <v>226</v>
      </c>
      <c r="F128" s="12">
        <v>357</v>
      </c>
      <c r="G128" s="12">
        <f>F128*Kurallar!$B$3</f>
        <v>357</v>
      </c>
      <c r="H128" s="12">
        <f>G128*J128</f>
        <v>2856</v>
      </c>
      <c r="I128" s="10" t="s">
        <v>142</v>
      </c>
      <c r="J128" s="13">
        <v>8</v>
      </c>
      <c r="K128" s="10" t="s">
        <v>164</v>
      </c>
      <c r="L128" s="12"/>
      <c r="M128" s="12">
        <v>2856</v>
      </c>
    </row>
    <row r="129" spans="1:13" ht="15" hidden="1" customHeight="1" x14ac:dyDescent="0.25">
      <c r="A129" s="10">
        <v>20</v>
      </c>
      <c r="B129" s="10" t="str">
        <f t="shared" si="11"/>
        <v>L6LS-ВРУ-1 — Гараж для подвижного состава канатной дороги нижней станции L6 LS — ВРУ-1</v>
      </c>
      <c r="C129" s="10" t="s">
        <v>31</v>
      </c>
      <c r="D129" s="10" t="s">
        <v>373</v>
      </c>
      <c r="E129" s="11" t="s">
        <v>374</v>
      </c>
      <c r="F129" s="12">
        <v>140</v>
      </c>
      <c r="G129" s="12">
        <f t="shared" ref="G129:G130" si="13">0.6*F129</f>
        <v>84</v>
      </c>
      <c r="H129" s="12">
        <f>G129*J129</f>
        <v>2520</v>
      </c>
      <c r="I129" s="10" t="s">
        <v>142</v>
      </c>
      <c r="J129" s="13">
        <v>30</v>
      </c>
      <c r="K129" s="14" t="s">
        <v>375</v>
      </c>
      <c r="L129" s="12"/>
      <c r="M129" s="12">
        <v>2520</v>
      </c>
    </row>
    <row r="130" spans="1:13" ht="15" hidden="1" customHeight="1" x14ac:dyDescent="0.25">
      <c r="A130" s="10">
        <v>21</v>
      </c>
      <c r="B130" s="10" t="str">
        <f t="shared" si="11"/>
        <v>L6LS-ВРУ-1 — Гараж для подвижного состава канатной дороги нижней станции L6 LS — ВРУ-1</v>
      </c>
      <c r="C130" s="10" t="s">
        <v>31</v>
      </c>
      <c r="D130" s="10" t="s">
        <v>373</v>
      </c>
      <c r="E130" s="11" t="s">
        <v>374</v>
      </c>
      <c r="F130" s="12">
        <v>140</v>
      </c>
      <c r="G130" s="12">
        <f t="shared" si="13"/>
        <v>84</v>
      </c>
      <c r="H130" s="12">
        <f>G130*J130</f>
        <v>1008</v>
      </c>
      <c r="I130" s="10" t="s">
        <v>142</v>
      </c>
      <c r="J130" s="13">
        <v>12</v>
      </c>
      <c r="K130" s="14" t="s">
        <v>375</v>
      </c>
      <c r="L130" s="12"/>
      <c r="M130" s="12">
        <v>1008</v>
      </c>
    </row>
    <row r="131" spans="1:13" ht="15" hidden="1" customHeight="1" x14ac:dyDescent="0.25">
      <c r="A131" s="10">
        <v>22</v>
      </c>
      <c r="B131" s="10" t="str">
        <f t="shared" si="11"/>
        <v>L6LS-ВРУ-1 — Гараж для подвижного состава канатной дороги нижней станции L6 LS — ВРУ-1</v>
      </c>
      <c r="C131" s="10" t="s">
        <v>167</v>
      </c>
      <c r="D131" s="10" t="s">
        <v>168</v>
      </c>
      <c r="E131" s="11" t="s">
        <v>169</v>
      </c>
      <c r="F131" s="12">
        <v>869</v>
      </c>
      <c r="G131" s="12">
        <f>F131*Kurallar!$B$2</f>
        <v>521.4</v>
      </c>
      <c r="H131" s="12">
        <f>G131*J131</f>
        <v>1042.8</v>
      </c>
      <c r="I131" s="10" t="s">
        <v>170</v>
      </c>
      <c r="J131" s="13">
        <v>2</v>
      </c>
      <c r="K131" s="10" t="s">
        <v>146</v>
      </c>
      <c r="L131" s="12"/>
      <c r="M131" s="12">
        <v>1042.8</v>
      </c>
    </row>
    <row r="132" spans="1:13" ht="15" hidden="1" customHeight="1" x14ac:dyDescent="0.25">
      <c r="A132" s="10">
        <v>23</v>
      </c>
      <c r="B132" s="10" t="str">
        <f t="shared" si="11"/>
        <v>L6LS-ВРУ-1 — Гараж для подвижного состава канатной дороги нижней станции L6 LS — ВРУ-1</v>
      </c>
      <c r="C132" s="10" t="s">
        <v>167</v>
      </c>
      <c r="D132" s="10" t="s">
        <v>171</v>
      </c>
      <c r="E132" s="11" t="s">
        <v>172</v>
      </c>
      <c r="F132" s="12">
        <v>1808</v>
      </c>
      <c r="G132" s="12">
        <f>F132*Kurallar!$B$3</f>
        <v>1808</v>
      </c>
      <c r="H132" s="12">
        <f>G132*J132</f>
        <v>3616</v>
      </c>
      <c r="I132" s="10" t="s">
        <v>142</v>
      </c>
      <c r="J132" s="13">
        <v>2</v>
      </c>
      <c r="K132" s="10" t="s">
        <v>164</v>
      </c>
      <c r="L132" s="12"/>
      <c r="M132" s="12">
        <v>3616</v>
      </c>
    </row>
    <row r="133" spans="1:13" ht="15" hidden="1" customHeight="1" x14ac:dyDescent="0.25">
      <c r="A133" s="10">
        <v>24</v>
      </c>
      <c r="B133" s="10" t="str">
        <f t="shared" si="11"/>
        <v>L6LS-ВРУ-1 — Гараж для подвижного состава канатной дороги нижней станции L6 LS — ВРУ-1</v>
      </c>
      <c r="C133" s="10" t="s">
        <v>167</v>
      </c>
      <c r="D133" s="10" t="s">
        <v>173</v>
      </c>
      <c r="E133" s="11" t="s">
        <v>174</v>
      </c>
      <c r="F133" s="12">
        <v>127</v>
      </c>
      <c r="G133" s="12">
        <f>F133*Kurallar!$B$3</f>
        <v>127</v>
      </c>
      <c r="H133" s="12">
        <f>G133*J133</f>
        <v>508</v>
      </c>
      <c r="I133" s="10" t="s">
        <v>170</v>
      </c>
      <c r="J133" s="13">
        <v>4</v>
      </c>
      <c r="K133" s="10" t="s">
        <v>143</v>
      </c>
      <c r="L133" s="12"/>
      <c r="M133" s="12">
        <v>508</v>
      </c>
    </row>
    <row r="134" spans="1:13" ht="15" hidden="1" customHeight="1" x14ac:dyDescent="0.25">
      <c r="A134" s="10">
        <v>25</v>
      </c>
      <c r="B134" s="10" t="str">
        <f t="shared" si="11"/>
        <v>L6LS-ВРУ-1 — Гараж для подвижного состава канатной дороги нижней станции L6 LS — ВРУ-1</v>
      </c>
      <c r="C134" s="10" t="s">
        <v>167</v>
      </c>
      <c r="D134" s="10" t="s">
        <v>227</v>
      </c>
      <c r="E134" s="11" t="s">
        <v>228</v>
      </c>
      <c r="F134" s="12">
        <v>1465</v>
      </c>
      <c r="G134" s="12">
        <f>F134*Kurallar!$B$3</f>
        <v>1465</v>
      </c>
      <c r="H134" s="12">
        <f>G134*J134</f>
        <v>14650</v>
      </c>
      <c r="I134" s="10" t="s">
        <v>170</v>
      </c>
      <c r="J134" s="13">
        <v>10</v>
      </c>
      <c r="K134" s="10" t="s">
        <v>143</v>
      </c>
      <c r="L134" s="12"/>
      <c r="M134" s="12">
        <v>14650</v>
      </c>
    </row>
    <row r="135" spans="1:13" ht="15" hidden="1" customHeight="1" x14ac:dyDescent="0.25">
      <c r="A135" s="10">
        <v>26</v>
      </c>
      <c r="B135" s="10" t="str">
        <f t="shared" si="11"/>
        <v>L6LS-ВРУ-1 — Гараж для подвижного состава канатной дороги нижней станции L6 LS — ВРУ-1</v>
      </c>
      <c r="C135" s="10" t="s">
        <v>167</v>
      </c>
      <c r="D135" s="10" t="s">
        <v>177</v>
      </c>
      <c r="E135" s="11" t="s">
        <v>178</v>
      </c>
      <c r="F135" s="12">
        <v>79</v>
      </c>
      <c r="G135" s="12">
        <f>F135*Kurallar!$B$3</f>
        <v>79</v>
      </c>
      <c r="H135" s="12">
        <f>G135*J135</f>
        <v>395</v>
      </c>
      <c r="I135" s="10" t="s">
        <v>170</v>
      </c>
      <c r="J135" s="13">
        <v>5</v>
      </c>
      <c r="K135" s="10" t="s">
        <v>143</v>
      </c>
      <c r="L135" s="12"/>
      <c r="M135" s="12">
        <v>395</v>
      </c>
    </row>
    <row r="136" spans="1:13" ht="15" hidden="1" customHeight="1" x14ac:dyDescent="0.25">
      <c r="A136" s="10">
        <v>27</v>
      </c>
      <c r="B136" s="10" t="str">
        <f t="shared" si="11"/>
        <v>L6LS-ВРУ-1 — Гараж для подвижного состава канатной дороги нижней станции L6 LS — ВРУ-1</v>
      </c>
      <c r="C136" s="10" t="s">
        <v>167</v>
      </c>
      <c r="D136" s="10" t="s">
        <v>229</v>
      </c>
      <c r="E136" s="11" t="s">
        <v>230</v>
      </c>
      <c r="F136" s="12">
        <v>319</v>
      </c>
      <c r="G136" s="12">
        <f>F136*Kurallar!$B$3</f>
        <v>319</v>
      </c>
      <c r="H136" s="12">
        <f>G136*J136</f>
        <v>10208</v>
      </c>
      <c r="I136" s="10" t="s">
        <v>170</v>
      </c>
      <c r="J136" s="13">
        <v>32</v>
      </c>
      <c r="K136" s="10" t="s">
        <v>143</v>
      </c>
      <c r="L136" s="12"/>
      <c r="M136" s="12">
        <v>10208</v>
      </c>
    </row>
    <row r="137" spans="1:13" ht="23.25" hidden="1" customHeight="1" x14ac:dyDescent="0.25">
      <c r="A137" s="10">
        <v>28</v>
      </c>
      <c r="B137" s="10" t="str">
        <f t="shared" si="11"/>
        <v>L6LS-ВРУ-1 — Гараж для подвижного состава канатной дороги нижней станции L6 LS — ВРУ-1</v>
      </c>
      <c r="C137" s="10" t="s">
        <v>167</v>
      </c>
      <c r="D137" s="10" t="s">
        <v>179</v>
      </c>
      <c r="E137" s="11" t="s">
        <v>180</v>
      </c>
      <c r="F137" s="12"/>
      <c r="G137" s="12">
        <f>SUM(H110:H136)*Kurallar!$B$5</f>
        <v>14361.434999999996</v>
      </c>
      <c r="H137" s="12">
        <f>G137*J137</f>
        <v>14361.434999999996</v>
      </c>
      <c r="I137" s="10" t="s">
        <v>142</v>
      </c>
      <c r="J137" s="13">
        <v>1</v>
      </c>
      <c r="K137" s="10" t="s">
        <v>181</v>
      </c>
      <c r="L137" s="12"/>
      <c r="M137" s="12">
        <v>14361.434999999996</v>
      </c>
    </row>
    <row r="138" spans="1:13" ht="15" hidden="1" customHeight="1" x14ac:dyDescent="0.25">
      <c r="A138" s="10">
        <v>29</v>
      </c>
      <c r="B138" s="10" t="str">
        <f t="shared" si="11"/>
        <v>L6LS-ВРУ-1 — Гараж для подвижного состава канатной дороги нижней станции L6 LS — ВРУ-1</v>
      </c>
      <c r="C138" s="10" t="s">
        <v>182</v>
      </c>
      <c r="D138" s="10" t="s">
        <v>183</v>
      </c>
      <c r="E138" s="11" t="s">
        <v>184</v>
      </c>
      <c r="F138" s="12">
        <f>J138/60</f>
        <v>12.341666666666667</v>
      </c>
      <c r="G138" s="12">
        <f>Kurallar!$B$6</f>
        <v>100</v>
      </c>
      <c r="H138" s="12">
        <f>G138*J138</f>
        <v>74050</v>
      </c>
      <c r="I138" s="10" t="s">
        <v>185</v>
      </c>
      <c r="J138" s="13">
        <f>ROUND((Kurallar!$B$12+0*Kurallar!$B$13+1*Kurallar!$B$14+8*Kurallar!$B$15+1*Kurallar!$B$16+3*Kurallar!$B$17+2*Kurallar!$B$18+0*Kurallar!$B$19+2*Kurallar!$B$20+0*Kurallar!$B$21+42*Kurallar!$B$22+5*Kurallar!$B$23+4*Kurallar!$B$24+6*Kurallar!$B$25)*Kurallar!$B$7,0)*0.5</f>
        <v>740.5</v>
      </c>
      <c r="K138" s="10" t="s">
        <v>181</v>
      </c>
      <c r="L138" s="12"/>
      <c r="M138" s="12">
        <v>74050</v>
      </c>
    </row>
    <row r="139" spans="1:13" ht="15" customHeight="1" x14ac:dyDescent="0.25">
      <c r="A139" s="15"/>
      <c r="B139" s="15" t="s">
        <v>247</v>
      </c>
      <c r="C139" s="15"/>
      <c r="D139" s="15"/>
      <c r="E139" s="16"/>
      <c r="F139" s="17"/>
      <c r="G139" s="17"/>
      <c r="H139" s="17">
        <f>SUBTOTAL(9,H110:H138)</f>
        <v>0</v>
      </c>
      <c r="I139" s="15"/>
      <c r="J139" s="18"/>
      <c r="K139" s="15"/>
      <c r="L139" s="17">
        <f>SUBTOTAL(9,H110:H136)</f>
        <v>0</v>
      </c>
      <c r="M139" s="17">
        <v>567125.93499999982</v>
      </c>
    </row>
    <row r="140" spans="1:13" ht="15" customHeight="1" x14ac:dyDescent="0.25">
      <c r="A140" s="19">
        <v>1</v>
      </c>
      <c r="B140" s="20" t="str">
        <f>E140</f>
        <v>L6LS-ЩС-1 — Гараж нижней станции L6 LS — ЩС-1</v>
      </c>
      <c r="C140" s="19" t="s">
        <v>136</v>
      </c>
      <c r="D140" s="19" t="s">
        <v>243</v>
      </c>
      <c r="E140" s="21" t="s">
        <v>248</v>
      </c>
      <c r="F140" s="22"/>
      <c r="G140" s="22"/>
      <c r="H140" s="22"/>
      <c r="I140" s="19" t="s">
        <v>139</v>
      </c>
      <c r="J140" s="23">
        <v>1</v>
      </c>
      <c r="K140" s="19"/>
      <c r="L140" s="22"/>
      <c r="M140" s="22"/>
    </row>
    <row r="141" spans="1:13" ht="15" hidden="1" customHeight="1" x14ac:dyDescent="0.25">
      <c r="A141" s="10">
        <v>2</v>
      </c>
      <c r="B141" s="10" t="str">
        <f t="shared" ref="B141:B156" si="14">B140</f>
        <v>L6LS-ЩС-1 — Гараж нижней станции L6 LS — ЩС-1</v>
      </c>
      <c r="C141" s="10" t="s">
        <v>140</v>
      </c>
      <c r="D141" s="10" t="s">
        <v>386</v>
      </c>
      <c r="E141" s="24" t="s">
        <v>387</v>
      </c>
      <c r="F141" s="12">
        <v>48210</v>
      </c>
      <c r="G141" s="12">
        <f>0.5*F141</f>
        <v>24105</v>
      </c>
      <c r="H141" s="12">
        <f>G141*J141</f>
        <v>24105</v>
      </c>
      <c r="I141" s="10" t="s">
        <v>142</v>
      </c>
      <c r="J141" s="13">
        <v>1</v>
      </c>
      <c r="K141" s="14" t="s">
        <v>390</v>
      </c>
      <c r="L141" s="12"/>
      <c r="M141" s="12">
        <v>24105</v>
      </c>
    </row>
    <row r="142" spans="1:13" ht="15" hidden="1" customHeight="1" x14ac:dyDescent="0.25">
      <c r="A142" s="10">
        <v>3</v>
      </c>
      <c r="B142" s="10" t="str">
        <f t="shared" si="14"/>
        <v>L6LS-ЩС-1 — Гараж нижней станции L6 LS — ЩС-1</v>
      </c>
      <c r="C142" s="10" t="s">
        <v>149</v>
      </c>
      <c r="D142" s="10" t="s">
        <v>152</v>
      </c>
      <c r="E142" s="11" t="s">
        <v>153</v>
      </c>
      <c r="F142" s="12">
        <v>1389</v>
      </c>
      <c r="G142" s="12">
        <f>F142*Kurallar!$B$2</f>
        <v>833.4</v>
      </c>
      <c r="H142" s="12">
        <f>G142*J142</f>
        <v>2500.1999999999998</v>
      </c>
      <c r="I142" s="10" t="s">
        <v>142</v>
      </c>
      <c r="J142" s="13">
        <v>3</v>
      </c>
      <c r="K142" s="10" t="s">
        <v>146</v>
      </c>
      <c r="L142" s="12"/>
      <c r="M142" s="12">
        <v>2500.1999999999998</v>
      </c>
    </row>
    <row r="143" spans="1:13" ht="15" hidden="1" customHeight="1" x14ac:dyDescent="0.25">
      <c r="A143" s="10">
        <v>4</v>
      </c>
      <c r="B143" s="10" t="str">
        <f t="shared" si="14"/>
        <v>L6LS-ЩС-1 — Гараж нижней станции L6 LS — ЩС-1</v>
      </c>
      <c r="C143" s="10" t="s">
        <v>149</v>
      </c>
      <c r="D143" s="10" t="s">
        <v>233</v>
      </c>
      <c r="E143" s="11" t="s">
        <v>234</v>
      </c>
      <c r="F143" s="12">
        <v>5647</v>
      </c>
      <c r="G143" s="12">
        <f>F143*Kurallar!$B$2</f>
        <v>3388.2</v>
      </c>
      <c r="H143" s="12">
        <f>G143*J143</f>
        <v>3388.2</v>
      </c>
      <c r="I143" s="10" t="s">
        <v>142</v>
      </c>
      <c r="J143" s="13">
        <v>1</v>
      </c>
      <c r="K143" s="10" t="s">
        <v>146</v>
      </c>
      <c r="L143" s="12"/>
      <c r="M143" s="12">
        <v>3388.2</v>
      </c>
    </row>
    <row r="144" spans="1:13" ht="15" hidden="1" customHeight="1" x14ac:dyDescent="0.25">
      <c r="A144" s="10">
        <v>5</v>
      </c>
      <c r="B144" s="10" t="str">
        <f t="shared" si="14"/>
        <v>L6LS-ЩС-1 — Гараж нижней станции L6 LS — ЩС-1</v>
      </c>
      <c r="C144" s="10" t="s">
        <v>156</v>
      </c>
      <c r="D144" s="10" t="s">
        <v>157</v>
      </c>
      <c r="E144" s="11" t="s">
        <v>158</v>
      </c>
      <c r="F144" s="12">
        <v>5104</v>
      </c>
      <c r="G144" s="12">
        <f>F144*Kurallar!$B$2</f>
        <v>3062.4</v>
      </c>
      <c r="H144" s="12">
        <f>G144*J144</f>
        <v>15312</v>
      </c>
      <c r="I144" s="10" t="s">
        <v>142</v>
      </c>
      <c r="J144" s="13">
        <v>5</v>
      </c>
      <c r="K144" s="10" t="s">
        <v>146</v>
      </c>
      <c r="L144" s="12"/>
      <c r="M144" s="12">
        <v>15312</v>
      </c>
    </row>
    <row r="145" spans="1:13" ht="15" hidden="1" customHeight="1" x14ac:dyDescent="0.25">
      <c r="A145" s="10">
        <v>6</v>
      </c>
      <c r="B145" s="10" t="str">
        <f t="shared" si="14"/>
        <v>L6LS-ЩС-1 — Гараж нижней станции L6 LS — ЩС-1</v>
      </c>
      <c r="C145" s="10" t="s">
        <v>156</v>
      </c>
      <c r="D145" s="10" t="s">
        <v>159</v>
      </c>
      <c r="E145" s="11" t="s">
        <v>160</v>
      </c>
      <c r="F145" s="12">
        <v>5632</v>
      </c>
      <c r="G145" s="12">
        <f>F145*Kurallar!$B$2</f>
        <v>3379.2</v>
      </c>
      <c r="H145" s="12">
        <f>G145*J145</f>
        <v>33792</v>
      </c>
      <c r="I145" s="10" t="s">
        <v>142</v>
      </c>
      <c r="J145" s="13">
        <v>10</v>
      </c>
      <c r="K145" s="10" t="s">
        <v>146</v>
      </c>
      <c r="L145" s="12"/>
      <c r="M145" s="12">
        <v>33792</v>
      </c>
    </row>
    <row r="146" spans="1:13" ht="15" hidden="1" customHeight="1" x14ac:dyDescent="0.25">
      <c r="A146" s="10">
        <v>7</v>
      </c>
      <c r="B146" s="10" t="str">
        <f t="shared" si="14"/>
        <v>L6LS-ЩС-1 — Гараж нижней станции L6 LS — ЩС-1</v>
      </c>
      <c r="C146" s="10" t="s">
        <v>161</v>
      </c>
      <c r="D146" s="10" t="s">
        <v>162</v>
      </c>
      <c r="E146" s="11" t="s">
        <v>163</v>
      </c>
      <c r="F146" s="12">
        <v>530</v>
      </c>
      <c r="G146" s="12">
        <f>F146*Kurallar!$B$3</f>
        <v>530</v>
      </c>
      <c r="H146" s="12">
        <f>G146*J146</f>
        <v>530</v>
      </c>
      <c r="I146" s="10" t="s">
        <v>142</v>
      </c>
      <c r="J146" s="13">
        <v>1</v>
      </c>
      <c r="K146" s="14" t="s">
        <v>372</v>
      </c>
      <c r="L146" s="12"/>
      <c r="M146" s="12">
        <v>530</v>
      </c>
    </row>
    <row r="147" spans="1:13" ht="15" hidden="1" customHeight="1" x14ac:dyDescent="0.25">
      <c r="A147" s="10">
        <v>8</v>
      </c>
      <c r="B147" s="10" t="str">
        <f t="shared" si="14"/>
        <v>L6LS-ЩС-1 — Гараж нижней станции L6 LS — ЩС-1</v>
      </c>
      <c r="C147" s="10" t="s">
        <v>161</v>
      </c>
      <c r="D147" s="10" t="s">
        <v>165</v>
      </c>
      <c r="E147" s="11" t="s">
        <v>166</v>
      </c>
      <c r="F147" s="12">
        <v>634</v>
      </c>
      <c r="G147" s="12">
        <f>F147*Kurallar!$B$3</f>
        <v>634</v>
      </c>
      <c r="H147" s="12">
        <f>G147*J147</f>
        <v>1902</v>
      </c>
      <c r="I147" s="10" t="s">
        <v>142</v>
      </c>
      <c r="J147" s="13">
        <v>3</v>
      </c>
      <c r="K147" s="14" t="s">
        <v>372</v>
      </c>
      <c r="L147" s="12"/>
      <c r="M147" s="12">
        <v>1902</v>
      </c>
    </row>
    <row r="148" spans="1:13" ht="15" hidden="1" customHeight="1" x14ac:dyDescent="0.25">
      <c r="A148" s="10">
        <v>9</v>
      </c>
      <c r="B148" s="10" t="str">
        <f t="shared" si="14"/>
        <v>L6LS-ЩС-1 — Гараж нижней станции L6 LS — ЩС-1</v>
      </c>
      <c r="C148" s="10" t="s">
        <v>31</v>
      </c>
      <c r="D148" s="10" t="s">
        <v>373</v>
      </c>
      <c r="E148" s="11" t="s">
        <v>374</v>
      </c>
      <c r="F148" s="12">
        <v>140</v>
      </c>
      <c r="G148" s="12">
        <f t="shared" ref="G148:G149" si="15">0.6*F148</f>
        <v>84</v>
      </c>
      <c r="H148" s="12">
        <f>G148*J148</f>
        <v>2100</v>
      </c>
      <c r="I148" s="10" t="s">
        <v>142</v>
      </c>
      <c r="J148" s="13">
        <v>25</v>
      </c>
      <c r="K148" s="14" t="s">
        <v>375</v>
      </c>
      <c r="L148" s="12"/>
      <c r="M148" s="12">
        <v>2100</v>
      </c>
    </row>
    <row r="149" spans="1:13" ht="15" hidden="1" customHeight="1" x14ac:dyDescent="0.25">
      <c r="A149" s="10">
        <v>10</v>
      </c>
      <c r="B149" s="10" t="str">
        <f t="shared" si="14"/>
        <v>L6LS-ЩС-1 — Гараж нижней станции L6 LS — ЩС-1</v>
      </c>
      <c r="C149" s="10" t="s">
        <v>31</v>
      </c>
      <c r="D149" s="10" t="s">
        <v>373</v>
      </c>
      <c r="E149" s="11" t="s">
        <v>374</v>
      </c>
      <c r="F149" s="12">
        <v>140</v>
      </c>
      <c r="G149" s="12">
        <f t="shared" si="15"/>
        <v>84</v>
      </c>
      <c r="H149" s="12">
        <f>G149*J149</f>
        <v>1764</v>
      </c>
      <c r="I149" s="10" t="s">
        <v>142</v>
      </c>
      <c r="J149" s="13">
        <v>21</v>
      </c>
      <c r="K149" s="14" t="s">
        <v>375</v>
      </c>
      <c r="L149" s="12"/>
      <c r="M149" s="12">
        <v>1764</v>
      </c>
    </row>
    <row r="150" spans="1:13" ht="15" hidden="1" customHeight="1" x14ac:dyDescent="0.25">
      <c r="A150" s="10">
        <v>11</v>
      </c>
      <c r="B150" s="10" t="str">
        <f t="shared" si="14"/>
        <v>L6LS-ЩС-1 — Гараж нижней станции L6 LS — ЩС-1</v>
      </c>
      <c r="C150" s="10" t="s">
        <v>167</v>
      </c>
      <c r="D150" s="10" t="s">
        <v>168</v>
      </c>
      <c r="E150" s="11" t="s">
        <v>169</v>
      </c>
      <c r="F150" s="12">
        <v>869</v>
      </c>
      <c r="G150" s="12">
        <f>F150*Kurallar!$B$2</f>
        <v>521.4</v>
      </c>
      <c r="H150" s="12">
        <f>G150*J150</f>
        <v>521.4</v>
      </c>
      <c r="I150" s="10" t="s">
        <v>170</v>
      </c>
      <c r="J150" s="13">
        <v>1</v>
      </c>
      <c r="K150" s="10" t="s">
        <v>146</v>
      </c>
      <c r="L150" s="12"/>
      <c r="M150" s="12">
        <v>521.4</v>
      </c>
    </row>
    <row r="151" spans="1:13" ht="15" hidden="1" customHeight="1" x14ac:dyDescent="0.25">
      <c r="A151" s="10">
        <v>12</v>
      </c>
      <c r="B151" s="10" t="str">
        <f t="shared" si="14"/>
        <v>L6LS-ЩС-1 — Гараж нижней станции L6 LS — ЩС-1</v>
      </c>
      <c r="C151" s="10" t="s">
        <v>167</v>
      </c>
      <c r="D151" s="10" t="s">
        <v>171</v>
      </c>
      <c r="E151" s="11" t="s">
        <v>172</v>
      </c>
      <c r="F151" s="12">
        <v>1808</v>
      </c>
      <c r="G151" s="12">
        <f>F151*Kurallar!$B$3</f>
        <v>1808</v>
      </c>
      <c r="H151" s="12">
        <f>G151*J151</f>
        <v>1808</v>
      </c>
      <c r="I151" s="10" t="s">
        <v>142</v>
      </c>
      <c r="J151" s="13">
        <v>1</v>
      </c>
      <c r="K151" s="10" t="s">
        <v>164</v>
      </c>
      <c r="L151" s="12"/>
      <c r="M151" s="12">
        <v>1808</v>
      </c>
    </row>
    <row r="152" spans="1:13" ht="15" hidden="1" customHeight="1" x14ac:dyDescent="0.25">
      <c r="A152" s="10">
        <v>13</v>
      </c>
      <c r="B152" s="10" t="str">
        <f t="shared" si="14"/>
        <v>L6LS-ЩС-1 — Гараж нижней станции L6 LS — ЩС-1</v>
      </c>
      <c r="C152" s="10" t="s">
        <v>167</v>
      </c>
      <c r="D152" s="10" t="s">
        <v>173</v>
      </c>
      <c r="E152" s="11" t="s">
        <v>174</v>
      </c>
      <c r="F152" s="12">
        <v>127</v>
      </c>
      <c r="G152" s="12">
        <f>F152*Kurallar!$B$3</f>
        <v>127</v>
      </c>
      <c r="H152" s="12">
        <f>G152*J152</f>
        <v>3429</v>
      </c>
      <c r="I152" s="10" t="s">
        <v>170</v>
      </c>
      <c r="J152" s="13">
        <v>27</v>
      </c>
      <c r="K152" s="10" t="s">
        <v>143</v>
      </c>
      <c r="L152" s="12"/>
      <c r="M152" s="12">
        <v>3429</v>
      </c>
    </row>
    <row r="153" spans="1:13" ht="15" hidden="1" customHeight="1" x14ac:dyDescent="0.25">
      <c r="A153" s="10">
        <v>14</v>
      </c>
      <c r="B153" s="10" t="str">
        <f t="shared" si="14"/>
        <v>L6LS-ЩС-1 — Гараж нижней станции L6 LS — ЩС-1</v>
      </c>
      <c r="C153" s="10" t="s">
        <v>167</v>
      </c>
      <c r="D153" s="10" t="s">
        <v>235</v>
      </c>
      <c r="E153" s="11" t="s">
        <v>236</v>
      </c>
      <c r="F153" s="12">
        <v>565</v>
      </c>
      <c r="G153" s="12">
        <f>F153*Kurallar!$B$3</f>
        <v>565</v>
      </c>
      <c r="H153" s="12">
        <f>G153*J153</f>
        <v>2825</v>
      </c>
      <c r="I153" s="10" t="s">
        <v>170</v>
      </c>
      <c r="J153" s="13">
        <v>5</v>
      </c>
      <c r="K153" s="10" t="s">
        <v>143</v>
      </c>
      <c r="L153" s="12"/>
      <c r="M153" s="12">
        <v>2825</v>
      </c>
    </row>
    <row r="154" spans="1:13" ht="15" hidden="1" customHeight="1" x14ac:dyDescent="0.25">
      <c r="A154" s="10">
        <v>15</v>
      </c>
      <c r="B154" s="10" t="str">
        <f t="shared" si="14"/>
        <v>L6LS-ЩС-1 — Гараж нижней станции L6 LS — ЩС-1</v>
      </c>
      <c r="C154" s="10" t="s">
        <v>167</v>
      </c>
      <c r="D154" s="10" t="s">
        <v>177</v>
      </c>
      <c r="E154" s="11" t="s">
        <v>178</v>
      </c>
      <c r="F154" s="12">
        <v>79</v>
      </c>
      <c r="G154" s="12">
        <f>F154*Kurallar!$B$3</f>
        <v>79</v>
      </c>
      <c r="H154" s="12">
        <f>G154*J154</f>
        <v>632</v>
      </c>
      <c r="I154" s="10" t="s">
        <v>170</v>
      </c>
      <c r="J154" s="13">
        <v>8</v>
      </c>
      <c r="K154" s="10" t="s">
        <v>143</v>
      </c>
      <c r="L154" s="12"/>
      <c r="M154" s="12">
        <v>632</v>
      </c>
    </row>
    <row r="155" spans="1:13" ht="23.25" hidden="1" customHeight="1" x14ac:dyDescent="0.25">
      <c r="A155" s="10">
        <v>16</v>
      </c>
      <c r="B155" s="10" t="str">
        <f t="shared" si="14"/>
        <v>L6LS-ЩС-1 — Гараж нижней станции L6 LS — ЩС-1</v>
      </c>
      <c r="C155" s="10" t="s">
        <v>167</v>
      </c>
      <c r="D155" s="10" t="s">
        <v>179</v>
      </c>
      <c r="E155" s="11" t="s">
        <v>180</v>
      </c>
      <c r="F155" s="12"/>
      <c r="G155" s="12">
        <f>SUM(H141:H154)*Kurallar!$B$5</f>
        <v>2838.2639999999997</v>
      </c>
      <c r="H155" s="12">
        <f>G155*J155</f>
        <v>2838.2639999999997</v>
      </c>
      <c r="I155" s="10" t="s">
        <v>142</v>
      </c>
      <c r="J155" s="13">
        <v>1</v>
      </c>
      <c r="K155" s="10" t="s">
        <v>181</v>
      </c>
      <c r="L155" s="12"/>
      <c r="M155" s="12">
        <v>2838.2639999999997</v>
      </c>
    </row>
    <row r="156" spans="1:13" ht="15" hidden="1" customHeight="1" x14ac:dyDescent="0.25">
      <c r="A156" s="10">
        <v>17</v>
      </c>
      <c r="B156" s="10" t="str">
        <f t="shared" si="14"/>
        <v>L6LS-ЩС-1 — Гараж нижней станции L6 LS — ЩС-1</v>
      </c>
      <c r="C156" s="10" t="s">
        <v>182</v>
      </c>
      <c r="D156" s="10" t="s">
        <v>183</v>
      </c>
      <c r="E156" s="11" t="s">
        <v>184</v>
      </c>
      <c r="F156" s="12">
        <f>J156/60</f>
        <v>1.9633333333333336</v>
      </c>
      <c r="G156" s="12">
        <f>Kurallar!$B$6</f>
        <v>100</v>
      </c>
      <c r="H156" s="12">
        <f>G156*J156</f>
        <v>11780.000000000002</v>
      </c>
      <c r="I156" s="10" t="s">
        <v>185</v>
      </c>
      <c r="J156" s="13">
        <f>ROUND((Kurallar!$B$10+0*Kurallar!$B$13+0*Kurallar!$B$14+0*Kurallar!$B$15+0*Kurallar!$B$16+0*Kurallar!$B$17+0*Kurallar!$B$18+15*Kurallar!$B$19+3*Kurallar!$B$20+1*Kurallar!$B$21+46*Kurallar!$B$22+4*Kurallar!$B$23+0*Kurallar!$B$24+3*Kurallar!$B$25)*Kurallar!$B$7,0)*0.2</f>
        <v>117.80000000000001</v>
      </c>
      <c r="K156" s="10" t="s">
        <v>181</v>
      </c>
      <c r="L156" s="12"/>
      <c r="M156" s="12">
        <v>11780.000000000002</v>
      </c>
    </row>
    <row r="157" spans="1:13" ht="15" customHeight="1" x14ac:dyDescent="0.25">
      <c r="A157" s="15"/>
      <c r="B157" s="15" t="s">
        <v>249</v>
      </c>
      <c r="C157" s="15"/>
      <c r="D157" s="15"/>
      <c r="E157" s="16"/>
      <c r="F157" s="17"/>
      <c r="G157" s="17"/>
      <c r="H157" s="17">
        <f>SUBTOTAL(9,H141:H156)</f>
        <v>0</v>
      </c>
      <c r="I157" s="15"/>
      <c r="J157" s="18"/>
      <c r="K157" s="15"/>
      <c r="L157" s="17">
        <f>SUBTOTAL(9,H141:H154)</f>
        <v>0</v>
      </c>
      <c r="M157" s="17">
        <v>109227.06399999998</v>
      </c>
    </row>
    <row r="158" spans="1:13" ht="15" customHeight="1" x14ac:dyDescent="0.25">
      <c r="A158" s="19">
        <v>1</v>
      </c>
      <c r="B158" s="20" t="str">
        <f>E158</f>
        <v>L6LS-ЩО-1 — Гараж нижней станции L6 LS — ЩО-1</v>
      </c>
      <c r="C158" s="19" t="s">
        <v>136</v>
      </c>
      <c r="D158" s="19" t="s">
        <v>243</v>
      </c>
      <c r="E158" s="21" t="s">
        <v>250</v>
      </c>
      <c r="F158" s="22"/>
      <c r="G158" s="22"/>
      <c r="H158" s="22"/>
      <c r="I158" s="19" t="s">
        <v>139</v>
      </c>
      <c r="J158" s="23">
        <v>1</v>
      </c>
      <c r="K158" s="19"/>
      <c r="L158" s="22"/>
      <c r="M158" s="22"/>
    </row>
    <row r="159" spans="1:13" ht="15" hidden="1" customHeight="1" x14ac:dyDescent="0.25">
      <c r="A159" s="10">
        <v>2</v>
      </c>
      <c r="B159" s="10" t="str">
        <f t="shared" ref="B159:B172" si="16">B158</f>
        <v>L6LS-ЩО-1 — Гараж нижней станции L6 LS — ЩО-1</v>
      </c>
      <c r="C159" s="10" t="s">
        <v>140</v>
      </c>
      <c r="D159" s="10" t="s">
        <v>380</v>
      </c>
      <c r="E159" s="24" t="s">
        <v>381</v>
      </c>
      <c r="F159" s="12">
        <v>15000</v>
      </c>
      <c r="G159" s="12">
        <f>0.5*F159</f>
        <v>7500</v>
      </c>
      <c r="H159" s="12">
        <f>G159*J159</f>
        <v>7500</v>
      </c>
      <c r="I159" s="10" t="s">
        <v>142</v>
      </c>
      <c r="J159" s="13">
        <v>1</v>
      </c>
      <c r="K159" s="14" t="s">
        <v>390</v>
      </c>
      <c r="L159" s="12"/>
      <c r="M159" s="12">
        <v>7500</v>
      </c>
    </row>
    <row r="160" spans="1:13" ht="15" hidden="1" customHeight="1" x14ac:dyDescent="0.25">
      <c r="A160" s="10">
        <v>3</v>
      </c>
      <c r="B160" s="10" t="str">
        <f t="shared" si="16"/>
        <v>L6LS-ЩО-1 — Гараж нижней станции L6 LS — ЩО-1</v>
      </c>
      <c r="C160" s="10" t="s">
        <v>149</v>
      </c>
      <c r="D160" s="10" t="s">
        <v>150</v>
      </c>
      <c r="E160" s="11" t="s">
        <v>151</v>
      </c>
      <c r="F160" s="12">
        <v>1419</v>
      </c>
      <c r="G160" s="12">
        <f>F160*Kurallar!$B$2</f>
        <v>851.4</v>
      </c>
      <c r="H160" s="12">
        <f>G160*J160</f>
        <v>5108.3999999999996</v>
      </c>
      <c r="I160" s="10" t="s">
        <v>142</v>
      </c>
      <c r="J160" s="13">
        <v>6</v>
      </c>
      <c r="K160" s="10" t="s">
        <v>146</v>
      </c>
      <c r="L160" s="12"/>
      <c r="M160" s="12">
        <v>5108.3999999999996</v>
      </c>
    </row>
    <row r="161" spans="1:13" ht="15" hidden="1" customHeight="1" x14ac:dyDescent="0.25">
      <c r="A161" s="10">
        <v>4</v>
      </c>
      <c r="B161" s="10" t="str">
        <f t="shared" si="16"/>
        <v>L6LS-ЩО-1 — Гараж нижней станции L6 LS — ЩО-1</v>
      </c>
      <c r="C161" s="10" t="s">
        <v>149</v>
      </c>
      <c r="D161" s="10" t="s">
        <v>240</v>
      </c>
      <c r="E161" s="11" t="s">
        <v>241</v>
      </c>
      <c r="F161" s="12">
        <v>5334</v>
      </c>
      <c r="G161" s="12">
        <f>F161*Kurallar!$B$2</f>
        <v>3200.4</v>
      </c>
      <c r="H161" s="12">
        <f>G161*J161</f>
        <v>3200.4</v>
      </c>
      <c r="I161" s="10" t="s">
        <v>142</v>
      </c>
      <c r="J161" s="13">
        <v>1</v>
      </c>
      <c r="K161" s="10" t="s">
        <v>146</v>
      </c>
      <c r="L161" s="12"/>
      <c r="M161" s="12">
        <v>3200.4</v>
      </c>
    </row>
    <row r="162" spans="1:13" ht="15" hidden="1" customHeight="1" x14ac:dyDescent="0.25">
      <c r="A162" s="10">
        <v>5</v>
      </c>
      <c r="B162" s="10" t="str">
        <f t="shared" si="16"/>
        <v>L6LS-ЩО-1 — Гараж нижней станции L6 LS — ЩО-1</v>
      </c>
      <c r="C162" s="10" t="s">
        <v>161</v>
      </c>
      <c r="D162" s="10" t="s">
        <v>162</v>
      </c>
      <c r="E162" s="11" t="s">
        <v>163</v>
      </c>
      <c r="F162" s="12">
        <v>530</v>
      </c>
      <c r="G162" s="12">
        <f>F162*Kurallar!$B$3</f>
        <v>530</v>
      </c>
      <c r="H162" s="12">
        <f>G162*J162</f>
        <v>530</v>
      </c>
      <c r="I162" s="10" t="s">
        <v>142</v>
      </c>
      <c r="J162" s="13">
        <v>1</v>
      </c>
      <c r="K162" s="14" t="s">
        <v>372</v>
      </c>
      <c r="L162" s="12"/>
      <c r="M162" s="12">
        <v>530</v>
      </c>
    </row>
    <row r="163" spans="1:13" ht="15" hidden="1" customHeight="1" x14ac:dyDescent="0.25">
      <c r="A163" s="10">
        <v>6</v>
      </c>
      <c r="B163" s="10" t="str">
        <f t="shared" si="16"/>
        <v>L6LS-ЩО-1 — Гараж нижней станции L6 LS — ЩО-1</v>
      </c>
      <c r="C163" s="10" t="s">
        <v>161</v>
      </c>
      <c r="D163" s="10" t="s">
        <v>165</v>
      </c>
      <c r="E163" s="11" t="s">
        <v>166</v>
      </c>
      <c r="F163" s="12">
        <v>634</v>
      </c>
      <c r="G163" s="12">
        <f>F163*Kurallar!$B$3</f>
        <v>634</v>
      </c>
      <c r="H163" s="12">
        <f>G163*J163</f>
        <v>634</v>
      </c>
      <c r="I163" s="10" t="s">
        <v>142</v>
      </c>
      <c r="J163" s="13">
        <v>1</v>
      </c>
      <c r="K163" s="14" t="s">
        <v>372</v>
      </c>
      <c r="L163" s="12"/>
      <c r="M163" s="12">
        <v>634</v>
      </c>
    </row>
    <row r="164" spans="1:13" ht="15" hidden="1" customHeight="1" x14ac:dyDescent="0.25">
      <c r="A164" s="10">
        <v>7</v>
      </c>
      <c r="B164" s="10" t="str">
        <f t="shared" si="16"/>
        <v>L6LS-ЩО-1 — Гараж нижней станции L6 LS — ЩО-1</v>
      </c>
      <c r="C164" s="10" t="s">
        <v>31</v>
      </c>
      <c r="D164" s="10" t="s">
        <v>373</v>
      </c>
      <c r="E164" s="11" t="s">
        <v>374</v>
      </c>
      <c r="F164" s="12">
        <v>140</v>
      </c>
      <c r="G164" s="12">
        <f t="shared" ref="G164:G165" si="17">0.6*F164</f>
        <v>84</v>
      </c>
      <c r="H164" s="12">
        <f>G164*J164</f>
        <v>1092</v>
      </c>
      <c r="I164" s="10" t="s">
        <v>142</v>
      </c>
      <c r="J164" s="13">
        <v>13</v>
      </c>
      <c r="K164" s="14" t="s">
        <v>375</v>
      </c>
      <c r="L164" s="12"/>
      <c r="M164" s="12">
        <v>1092</v>
      </c>
    </row>
    <row r="165" spans="1:13" ht="15" hidden="1" customHeight="1" x14ac:dyDescent="0.25">
      <c r="A165" s="10">
        <v>8</v>
      </c>
      <c r="B165" s="10" t="str">
        <f t="shared" si="16"/>
        <v>L6LS-ЩО-1 — Гараж нижней станции L6 LS — ЩО-1</v>
      </c>
      <c r="C165" s="10" t="s">
        <v>31</v>
      </c>
      <c r="D165" s="10" t="s">
        <v>373</v>
      </c>
      <c r="E165" s="11" t="s">
        <v>374</v>
      </c>
      <c r="F165" s="12">
        <v>140</v>
      </c>
      <c r="G165" s="12">
        <f t="shared" si="17"/>
        <v>84</v>
      </c>
      <c r="H165" s="12">
        <f>G165*J165</f>
        <v>756</v>
      </c>
      <c r="I165" s="10" t="s">
        <v>142</v>
      </c>
      <c r="J165" s="13">
        <v>9</v>
      </c>
      <c r="K165" s="14" t="s">
        <v>375</v>
      </c>
      <c r="L165" s="12"/>
      <c r="M165" s="12">
        <v>756</v>
      </c>
    </row>
    <row r="166" spans="1:13" ht="15" hidden="1" customHeight="1" x14ac:dyDescent="0.25">
      <c r="A166" s="10">
        <v>9</v>
      </c>
      <c r="B166" s="10" t="str">
        <f t="shared" si="16"/>
        <v>L6LS-ЩО-1 — Гараж нижней станции L6 LS — ЩО-1</v>
      </c>
      <c r="C166" s="10" t="s">
        <v>167</v>
      </c>
      <c r="D166" s="10" t="s">
        <v>168</v>
      </c>
      <c r="E166" s="11" t="s">
        <v>169</v>
      </c>
      <c r="F166" s="12">
        <v>869</v>
      </c>
      <c r="G166" s="12">
        <f>F166*Kurallar!$B$2</f>
        <v>521.4</v>
      </c>
      <c r="H166" s="12">
        <f>G166*J166</f>
        <v>521.4</v>
      </c>
      <c r="I166" s="10" t="s">
        <v>170</v>
      </c>
      <c r="J166" s="13">
        <v>1</v>
      </c>
      <c r="K166" s="10" t="s">
        <v>146</v>
      </c>
      <c r="L166" s="12"/>
      <c r="M166" s="12">
        <v>521.4</v>
      </c>
    </row>
    <row r="167" spans="1:13" ht="15" hidden="1" customHeight="1" x14ac:dyDescent="0.25">
      <c r="A167" s="10">
        <v>10</v>
      </c>
      <c r="B167" s="10" t="str">
        <f t="shared" si="16"/>
        <v>L6LS-ЩО-1 — Гараж нижней станции L6 LS — ЩО-1</v>
      </c>
      <c r="C167" s="10" t="s">
        <v>167</v>
      </c>
      <c r="D167" s="10" t="s">
        <v>171</v>
      </c>
      <c r="E167" s="11" t="s">
        <v>172</v>
      </c>
      <c r="F167" s="12">
        <v>1808</v>
      </c>
      <c r="G167" s="12">
        <f>F167*Kurallar!$B$3</f>
        <v>1808</v>
      </c>
      <c r="H167" s="12">
        <f>G167*J167</f>
        <v>1808</v>
      </c>
      <c r="I167" s="10" t="s">
        <v>142</v>
      </c>
      <c r="J167" s="13">
        <v>1</v>
      </c>
      <c r="K167" s="10" t="s">
        <v>164</v>
      </c>
      <c r="L167" s="12"/>
      <c r="M167" s="12">
        <v>1808</v>
      </c>
    </row>
    <row r="168" spans="1:13" ht="15" hidden="1" customHeight="1" x14ac:dyDescent="0.25">
      <c r="A168" s="10">
        <v>11</v>
      </c>
      <c r="B168" s="10" t="str">
        <f t="shared" si="16"/>
        <v>L6LS-ЩО-1 — Гараж нижней станции L6 LS — ЩО-1</v>
      </c>
      <c r="C168" s="10" t="s">
        <v>167</v>
      </c>
      <c r="D168" s="10" t="s">
        <v>173</v>
      </c>
      <c r="E168" s="11" t="s">
        <v>174</v>
      </c>
      <c r="F168" s="12">
        <v>127</v>
      </c>
      <c r="G168" s="12">
        <f>F168*Kurallar!$B$3</f>
        <v>127</v>
      </c>
      <c r="H168" s="12">
        <f>G168*J168</f>
        <v>1651</v>
      </c>
      <c r="I168" s="10" t="s">
        <v>170</v>
      </c>
      <c r="J168" s="13">
        <v>13</v>
      </c>
      <c r="K168" s="10" t="s">
        <v>143</v>
      </c>
      <c r="L168" s="12"/>
      <c r="M168" s="12">
        <v>1651</v>
      </c>
    </row>
    <row r="169" spans="1:13" ht="15" hidden="1" customHeight="1" x14ac:dyDescent="0.25">
      <c r="A169" s="10">
        <v>12</v>
      </c>
      <c r="B169" s="10" t="str">
        <f t="shared" si="16"/>
        <v>L6LS-ЩО-1 — Гараж нижней станции L6 LS — ЩО-1</v>
      </c>
      <c r="C169" s="10" t="s">
        <v>167</v>
      </c>
      <c r="D169" s="10" t="s">
        <v>235</v>
      </c>
      <c r="E169" s="11" t="s">
        <v>236</v>
      </c>
      <c r="F169" s="12">
        <v>565</v>
      </c>
      <c r="G169" s="12">
        <f>F169*Kurallar!$B$3</f>
        <v>565</v>
      </c>
      <c r="H169" s="12">
        <f>G169*J169</f>
        <v>2825</v>
      </c>
      <c r="I169" s="10" t="s">
        <v>170</v>
      </c>
      <c r="J169" s="13">
        <v>5</v>
      </c>
      <c r="K169" s="10" t="s">
        <v>143</v>
      </c>
      <c r="L169" s="12"/>
      <c r="M169" s="12">
        <v>2825</v>
      </c>
    </row>
    <row r="170" spans="1:13" ht="15" hidden="1" customHeight="1" x14ac:dyDescent="0.25">
      <c r="A170" s="10">
        <v>13</v>
      </c>
      <c r="B170" s="10" t="str">
        <f t="shared" si="16"/>
        <v>L6LS-ЩО-1 — Гараж нижней станции L6 LS — ЩО-1</v>
      </c>
      <c r="C170" s="10" t="s">
        <v>167</v>
      </c>
      <c r="D170" s="10" t="s">
        <v>177</v>
      </c>
      <c r="E170" s="11" t="s">
        <v>178</v>
      </c>
      <c r="F170" s="12">
        <v>79</v>
      </c>
      <c r="G170" s="12">
        <f>F170*Kurallar!$B$3</f>
        <v>79</v>
      </c>
      <c r="H170" s="12">
        <f>G170*J170</f>
        <v>316</v>
      </c>
      <c r="I170" s="10" t="s">
        <v>170</v>
      </c>
      <c r="J170" s="13">
        <v>4</v>
      </c>
      <c r="K170" s="10" t="s">
        <v>143</v>
      </c>
      <c r="L170" s="12"/>
      <c r="M170" s="12">
        <v>316</v>
      </c>
    </row>
    <row r="171" spans="1:13" ht="23.25" hidden="1" customHeight="1" x14ac:dyDescent="0.25">
      <c r="A171" s="10">
        <v>14</v>
      </c>
      <c r="B171" s="10" t="str">
        <f t="shared" si="16"/>
        <v>L6LS-ЩО-1 — Гараж нижней станции L6 LS — ЩО-1</v>
      </c>
      <c r="C171" s="10" t="s">
        <v>167</v>
      </c>
      <c r="D171" s="10" t="s">
        <v>179</v>
      </c>
      <c r="E171" s="11" t="s">
        <v>180</v>
      </c>
      <c r="F171" s="12"/>
      <c r="G171" s="12">
        <f>SUM(H159:H170)*Kurallar!$B$5</f>
        <v>778.26599999999996</v>
      </c>
      <c r="H171" s="12">
        <f>G171*J171</f>
        <v>778.26599999999996</v>
      </c>
      <c r="I171" s="10" t="s">
        <v>142</v>
      </c>
      <c r="J171" s="13">
        <v>1</v>
      </c>
      <c r="K171" s="10" t="s">
        <v>181</v>
      </c>
      <c r="L171" s="12"/>
      <c r="M171" s="12">
        <v>778.26599999999996</v>
      </c>
    </row>
    <row r="172" spans="1:13" ht="15" hidden="1" customHeight="1" x14ac:dyDescent="0.25">
      <c r="A172" s="10">
        <v>15</v>
      </c>
      <c r="B172" s="10" t="str">
        <f t="shared" si="16"/>
        <v>L6LS-ЩО-1 — Гараж нижней станции L6 LS — ЩО-1</v>
      </c>
      <c r="C172" s="10" t="s">
        <v>182</v>
      </c>
      <c r="D172" s="10" t="s">
        <v>183</v>
      </c>
      <c r="E172" s="11" t="s">
        <v>184</v>
      </c>
      <c r="F172" s="12">
        <f>J172/60</f>
        <v>0.44333333333333336</v>
      </c>
      <c r="G172" s="12">
        <f>Kurallar!$B$6</f>
        <v>100</v>
      </c>
      <c r="H172" s="12">
        <f>G172*J172</f>
        <v>2660</v>
      </c>
      <c r="I172" s="10" t="s">
        <v>185</v>
      </c>
      <c r="J172" s="13">
        <f>ROUND((Kurallar!$B$9+0*Kurallar!$B$13+0*Kurallar!$B$14+0*Kurallar!$B$15+0*Kurallar!$B$16+0*Kurallar!$B$17+0*Kurallar!$B$18+0*Kurallar!$B$19+6*Kurallar!$B$20+1*Kurallar!$B$21+22*Kurallar!$B$22+2*Kurallar!$B$23+0*Kurallar!$B$24+3*Kurallar!$B$25)*Kurallar!$B$7,0)*0.1</f>
        <v>26.6</v>
      </c>
      <c r="K172" s="10" t="s">
        <v>181</v>
      </c>
      <c r="L172" s="12"/>
      <c r="M172" s="12">
        <v>2660</v>
      </c>
    </row>
    <row r="173" spans="1:13" ht="15" customHeight="1" x14ac:dyDescent="0.25">
      <c r="A173" s="15"/>
      <c r="B173" s="15" t="s">
        <v>251</v>
      </c>
      <c r="C173" s="15"/>
      <c r="D173" s="15"/>
      <c r="E173" s="16"/>
      <c r="F173" s="17"/>
      <c r="G173" s="17"/>
      <c r="H173" s="17">
        <f>SUBTOTAL(9,H159:H172)</f>
        <v>0</v>
      </c>
      <c r="I173" s="15"/>
      <c r="J173" s="18"/>
      <c r="K173" s="15"/>
      <c r="L173" s="17">
        <f>SUBTOTAL(9,H159:H170)</f>
        <v>0</v>
      </c>
      <c r="M173" s="17">
        <v>29380.466</v>
      </c>
    </row>
    <row r="174" spans="1:13" ht="15" customHeight="1" x14ac:dyDescent="0.25">
      <c r="A174" s="19">
        <v>1</v>
      </c>
      <c r="B174" s="20" t="str">
        <f>E174</f>
        <v>L6US-ЩР-1 — Здание оператора верхней станции L6 US</v>
      </c>
      <c r="C174" s="19" t="s">
        <v>136</v>
      </c>
      <c r="D174" s="19" t="s">
        <v>252</v>
      </c>
      <c r="E174" s="21" t="s">
        <v>253</v>
      </c>
      <c r="F174" s="22"/>
      <c r="G174" s="22"/>
      <c r="H174" s="22"/>
      <c r="I174" s="19" t="s">
        <v>139</v>
      </c>
      <c r="J174" s="23">
        <v>1</v>
      </c>
      <c r="K174" s="19"/>
      <c r="L174" s="22"/>
      <c r="M174" s="22"/>
    </row>
    <row r="175" spans="1:13" ht="15" hidden="1" customHeight="1" x14ac:dyDescent="0.25">
      <c r="A175" s="10">
        <v>2</v>
      </c>
      <c r="B175" s="10" t="str">
        <f t="shared" ref="B175:B193" si="18">B174</f>
        <v>L6US-ЩР-1 — Здание оператора верхней станции L6 US</v>
      </c>
      <c r="C175" s="10" t="s">
        <v>140</v>
      </c>
      <c r="D175" s="10" t="s">
        <v>384</v>
      </c>
      <c r="E175" s="24" t="s">
        <v>385</v>
      </c>
      <c r="F175" s="12">
        <v>55770</v>
      </c>
      <c r="G175" s="12">
        <f>0.5*F175</f>
        <v>27885</v>
      </c>
      <c r="H175" s="12">
        <f>G175*J175</f>
        <v>27885</v>
      </c>
      <c r="I175" s="10" t="s">
        <v>142</v>
      </c>
      <c r="J175" s="13">
        <v>1</v>
      </c>
      <c r="K175" s="14" t="s">
        <v>390</v>
      </c>
      <c r="L175" s="12"/>
      <c r="M175" s="12">
        <v>27885</v>
      </c>
    </row>
    <row r="176" spans="1:13" ht="15" hidden="1" customHeight="1" x14ac:dyDescent="0.25">
      <c r="A176" s="10">
        <v>3</v>
      </c>
      <c r="B176" s="10" t="str">
        <f t="shared" si="18"/>
        <v>L6US-ЩР-1 — Здание оператора верхней станции L6 US</v>
      </c>
      <c r="C176" s="14" t="s">
        <v>371</v>
      </c>
      <c r="D176" s="10" t="s">
        <v>254</v>
      </c>
      <c r="E176" s="11" t="s">
        <v>255</v>
      </c>
      <c r="F176" s="12">
        <v>201639</v>
      </c>
      <c r="G176" s="12">
        <f>F176*Kurallar!$B$2</f>
        <v>120983.4</v>
      </c>
      <c r="H176" s="12">
        <f>G176*J176</f>
        <v>120983.4</v>
      </c>
      <c r="I176" s="10" t="s">
        <v>142</v>
      </c>
      <c r="J176" s="13">
        <v>1</v>
      </c>
      <c r="K176" s="10" t="s">
        <v>146</v>
      </c>
      <c r="L176" s="12"/>
      <c r="M176" s="12">
        <v>120983.4</v>
      </c>
    </row>
    <row r="177" spans="1:13" ht="15" hidden="1" customHeight="1" x14ac:dyDescent="0.25">
      <c r="A177" s="10">
        <v>4</v>
      </c>
      <c r="B177" s="10" t="str">
        <f t="shared" si="18"/>
        <v>L6US-ЩР-1 — Здание оператора верхней станции L6 US</v>
      </c>
      <c r="C177" s="10" t="s">
        <v>147</v>
      </c>
      <c r="D177" s="10" t="s">
        <v>391</v>
      </c>
      <c r="E177" s="24" t="s">
        <v>392</v>
      </c>
      <c r="F177" s="12">
        <v>88000</v>
      </c>
      <c r="G177" s="12">
        <f>F177*Kurallar!$B$4</f>
        <v>88000</v>
      </c>
      <c r="H177" s="12">
        <f>G177*J177</f>
        <v>88000</v>
      </c>
      <c r="I177" s="10" t="s">
        <v>142</v>
      </c>
      <c r="J177" s="13">
        <v>1</v>
      </c>
      <c r="K177" s="10" t="s">
        <v>148</v>
      </c>
      <c r="L177" s="12"/>
      <c r="M177" s="12">
        <v>88000</v>
      </c>
    </row>
    <row r="178" spans="1:13" ht="15" hidden="1" customHeight="1" x14ac:dyDescent="0.25">
      <c r="A178" s="10">
        <v>5</v>
      </c>
      <c r="B178" s="10" t="str">
        <f t="shared" si="18"/>
        <v>L6US-ЩР-1 — Здание оператора верхней станции L6 US</v>
      </c>
      <c r="C178" s="10" t="s">
        <v>149</v>
      </c>
      <c r="D178" s="10" t="s">
        <v>150</v>
      </c>
      <c r="E178" s="11" t="s">
        <v>151</v>
      </c>
      <c r="F178" s="12">
        <v>1419</v>
      </c>
      <c r="G178" s="12">
        <f>F178*Kurallar!$B$2</f>
        <v>851.4</v>
      </c>
      <c r="H178" s="12">
        <f>G178*J178</f>
        <v>1702.8</v>
      </c>
      <c r="I178" s="10" t="s">
        <v>142</v>
      </c>
      <c r="J178" s="13">
        <v>2</v>
      </c>
      <c r="K178" s="10" t="s">
        <v>146</v>
      </c>
      <c r="L178" s="12"/>
      <c r="M178" s="12">
        <v>1702.8</v>
      </c>
    </row>
    <row r="179" spans="1:13" ht="15" hidden="1" customHeight="1" x14ac:dyDescent="0.25">
      <c r="A179" s="10">
        <v>6</v>
      </c>
      <c r="B179" s="10" t="str">
        <f t="shared" si="18"/>
        <v>L6US-ЩР-1 — Здание оператора верхней станции L6 US</v>
      </c>
      <c r="C179" s="10" t="s">
        <v>149</v>
      </c>
      <c r="D179" s="10" t="s">
        <v>152</v>
      </c>
      <c r="E179" s="11" t="s">
        <v>153</v>
      </c>
      <c r="F179" s="12">
        <v>1389</v>
      </c>
      <c r="G179" s="12">
        <f>F179*Kurallar!$B$2</f>
        <v>833.4</v>
      </c>
      <c r="H179" s="12">
        <f>G179*J179</f>
        <v>2500.1999999999998</v>
      </c>
      <c r="I179" s="10" t="s">
        <v>142</v>
      </c>
      <c r="J179" s="13">
        <v>3</v>
      </c>
      <c r="K179" s="10" t="s">
        <v>146</v>
      </c>
      <c r="L179" s="12"/>
      <c r="M179" s="12">
        <v>2500.1999999999998</v>
      </c>
    </row>
    <row r="180" spans="1:13" ht="15" hidden="1" customHeight="1" x14ac:dyDescent="0.25">
      <c r="A180" s="10">
        <v>7</v>
      </c>
      <c r="B180" s="10" t="str">
        <f t="shared" si="18"/>
        <v>L6US-ЩР-1 — Здание оператора верхней станции L6 US</v>
      </c>
      <c r="C180" s="10" t="s">
        <v>149</v>
      </c>
      <c r="D180" s="10" t="s">
        <v>190</v>
      </c>
      <c r="E180" s="11" t="s">
        <v>191</v>
      </c>
      <c r="F180" s="12">
        <v>6060</v>
      </c>
      <c r="G180" s="12">
        <f>F180*Kurallar!$B$2</f>
        <v>3636</v>
      </c>
      <c r="H180" s="12">
        <f>G180*J180</f>
        <v>3636</v>
      </c>
      <c r="I180" s="10" t="s">
        <v>142</v>
      </c>
      <c r="J180" s="13">
        <v>1</v>
      </c>
      <c r="K180" s="10" t="s">
        <v>146</v>
      </c>
      <c r="L180" s="12"/>
      <c r="M180" s="12">
        <v>3636</v>
      </c>
    </row>
    <row r="181" spans="1:13" ht="15" hidden="1" customHeight="1" x14ac:dyDescent="0.25">
      <c r="A181" s="10">
        <v>8</v>
      </c>
      <c r="B181" s="10" t="str">
        <f t="shared" si="18"/>
        <v>L6US-ЩР-1 — Здание оператора верхней станции L6 US</v>
      </c>
      <c r="C181" s="10" t="s">
        <v>156</v>
      </c>
      <c r="D181" s="10" t="s">
        <v>157</v>
      </c>
      <c r="E181" s="11" t="s">
        <v>158</v>
      </c>
      <c r="F181" s="12">
        <v>5104</v>
      </c>
      <c r="G181" s="12">
        <f>F181*Kurallar!$B$2</f>
        <v>3062.4</v>
      </c>
      <c r="H181" s="12">
        <f>G181*J181</f>
        <v>15312</v>
      </c>
      <c r="I181" s="10" t="s">
        <v>142</v>
      </c>
      <c r="J181" s="13">
        <v>5</v>
      </c>
      <c r="K181" s="10" t="s">
        <v>146</v>
      </c>
      <c r="L181" s="12"/>
      <c r="M181" s="12">
        <v>15312</v>
      </c>
    </row>
    <row r="182" spans="1:13" ht="15" hidden="1" customHeight="1" x14ac:dyDescent="0.25">
      <c r="A182" s="10">
        <v>9</v>
      </c>
      <c r="B182" s="10" t="str">
        <f t="shared" si="18"/>
        <v>L6US-ЩР-1 — Здание оператора верхней станции L6 US</v>
      </c>
      <c r="C182" s="10" t="s">
        <v>156</v>
      </c>
      <c r="D182" s="10" t="s">
        <v>159</v>
      </c>
      <c r="E182" s="11" t="s">
        <v>160</v>
      </c>
      <c r="F182" s="12">
        <v>5632</v>
      </c>
      <c r="G182" s="12">
        <f>F182*Kurallar!$B$2</f>
        <v>3379.2</v>
      </c>
      <c r="H182" s="12">
        <f>G182*J182</f>
        <v>23654.399999999998</v>
      </c>
      <c r="I182" s="10" t="s">
        <v>142</v>
      </c>
      <c r="J182" s="13">
        <v>7</v>
      </c>
      <c r="K182" s="10" t="s">
        <v>146</v>
      </c>
      <c r="L182" s="12"/>
      <c r="M182" s="12">
        <v>23654.399999999998</v>
      </c>
    </row>
    <row r="183" spans="1:13" ht="15" hidden="1" customHeight="1" x14ac:dyDescent="0.25">
      <c r="A183" s="10">
        <v>10</v>
      </c>
      <c r="B183" s="10" t="str">
        <f t="shared" si="18"/>
        <v>L6US-ЩР-1 — Здание оператора верхней станции L6 US</v>
      </c>
      <c r="C183" s="10" t="s">
        <v>161</v>
      </c>
      <c r="D183" s="10" t="s">
        <v>162</v>
      </c>
      <c r="E183" s="11" t="s">
        <v>163</v>
      </c>
      <c r="F183" s="12">
        <v>530</v>
      </c>
      <c r="G183" s="12">
        <f>F183*Kurallar!$B$3</f>
        <v>530</v>
      </c>
      <c r="H183" s="12">
        <f>G183*J183</f>
        <v>530</v>
      </c>
      <c r="I183" s="10" t="s">
        <v>142</v>
      </c>
      <c r="J183" s="13">
        <v>1</v>
      </c>
      <c r="K183" s="14" t="s">
        <v>372</v>
      </c>
      <c r="L183" s="12"/>
      <c r="M183" s="12">
        <v>530</v>
      </c>
    </row>
    <row r="184" spans="1:13" ht="15" hidden="1" customHeight="1" x14ac:dyDescent="0.25">
      <c r="A184" s="10">
        <v>11</v>
      </c>
      <c r="B184" s="10" t="str">
        <f t="shared" si="18"/>
        <v>L6US-ЩР-1 — Здание оператора верхней станции L6 US</v>
      </c>
      <c r="C184" s="10" t="s">
        <v>161</v>
      </c>
      <c r="D184" s="10" t="s">
        <v>165</v>
      </c>
      <c r="E184" s="11" t="s">
        <v>166</v>
      </c>
      <c r="F184" s="12">
        <v>634</v>
      </c>
      <c r="G184" s="12">
        <f>F184*Kurallar!$B$3</f>
        <v>634</v>
      </c>
      <c r="H184" s="12">
        <f>G184*J184</f>
        <v>1902</v>
      </c>
      <c r="I184" s="10" t="s">
        <v>142</v>
      </c>
      <c r="J184" s="13">
        <v>3</v>
      </c>
      <c r="K184" s="14" t="s">
        <v>372</v>
      </c>
      <c r="L184" s="12"/>
      <c r="M184" s="12">
        <v>1902</v>
      </c>
    </row>
    <row r="185" spans="1:13" ht="15" hidden="1" customHeight="1" x14ac:dyDescent="0.25">
      <c r="A185" s="10">
        <v>12</v>
      </c>
      <c r="B185" s="10" t="str">
        <f t="shared" si="18"/>
        <v>L6US-ЩР-1 — Здание оператора верхней станции L6 US</v>
      </c>
      <c r="C185" s="10" t="s">
        <v>31</v>
      </c>
      <c r="D185" s="10" t="s">
        <v>373</v>
      </c>
      <c r="E185" s="11" t="s">
        <v>374</v>
      </c>
      <c r="F185" s="12">
        <v>140</v>
      </c>
      <c r="G185" s="12">
        <f t="shared" ref="G185:G186" si="19">0.6*F185</f>
        <v>84</v>
      </c>
      <c r="H185" s="12">
        <f>G185*J185</f>
        <v>2016</v>
      </c>
      <c r="I185" s="10" t="s">
        <v>142</v>
      </c>
      <c r="J185" s="13">
        <v>24</v>
      </c>
      <c r="K185" s="14" t="s">
        <v>375</v>
      </c>
      <c r="L185" s="12"/>
      <c r="M185" s="12">
        <v>2016</v>
      </c>
    </row>
    <row r="186" spans="1:13" ht="15" hidden="1" customHeight="1" x14ac:dyDescent="0.25">
      <c r="A186" s="10">
        <v>13</v>
      </c>
      <c r="B186" s="10" t="str">
        <f t="shared" si="18"/>
        <v>L6US-ЩР-1 — Здание оператора верхней станции L6 US</v>
      </c>
      <c r="C186" s="10" t="s">
        <v>31</v>
      </c>
      <c r="D186" s="10" t="s">
        <v>373</v>
      </c>
      <c r="E186" s="11" t="s">
        <v>374</v>
      </c>
      <c r="F186" s="12">
        <v>140</v>
      </c>
      <c r="G186" s="12">
        <f t="shared" si="19"/>
        <v>84</v>
      </c>
      <c r="H186" s="12">
        <f>G186*J186</f>
        <v>1680</v>
      </c>
      <c r="I186" s="10" t="s">
        <v>142</v>
      </c>
      <c r="J186" s="13">
        <v>20</v>
      </c>
      <c r="K186" s="14" t="s">
        <v>375</v>
      </c>
      <c r="L186" s="12"/>
      <c r="M186" s="12">
        <v>1680</v>
      </c>
    </row>
    <row r="187" spans="1:13" ht="15" hidden="1" customHeight="1" x14ac:dyDescent="0.25">
      <c r="A187" s="10">
        <v>14</v>
      </c>
      <c r="B187" s="10" t="str">
        <f t="shared" si="18"/>
        <v>L6US-ЩР-1 — Здание оператора верхней станции L6 US</v>
      </c>
      <c r="C187" s="10" t="s">
        <v>167</v>
      </c>
      <c r="D187" s="10" t="s">
        <v>168</v>
      </c>
      <c r="E187" s="11" t="s">
        <v>169</v>
      </c>
      <c r="F187" s="12">
        <v>869</v>
      </c>
      <c r="G187" s="12">
        <f>F187*Kurallar!$B$2</f>
        <v>521.4</v>
      </c>
      <c r="H187" s="12">
        <f>G187*J187</f>
        <v>521.4</v>
      </c>
      <c r="I187" s="10" t="s">
        <v>170</v>
      </c>
      <c r="J187" s="13">
        <v>1</v>
      </c>
      <c r="K187" s="10" t="s">
        <v>146</v>
      </c>
      <c r="L187" s="12"/>
      <c r="M187" s="12">
        <v>521.4</v>
      </c>
    </row>
    <row r="188" spans="1:13" ht="15" hidden="1" customHeight="1" x14ac:dyDescent="0.25">
      <c r="A188" s="10">
        <v>15</v>
      </c>
      <c r="B188" s="10" t="str">
        <f t="shared" si="18"/>
        <v>L6US-ЩР-1 — Здание оператора верхней станции L6 US</v>
      </c>
      <c r="C188" s="10" t="s">
        <v>167</v>
      </c>
      <c r="D188" s="10" t="s">
        <v>171</v>
      </c>
      <c r="E188" s="11" t="s">
        <v>172</v>
      </c>
      <c r="F188" s="12">
        <v>1808</v>
      </c>
      <c r="G188" s="12">
        <f>F188*Kurallar!$B$3</f>
        <v>1808</v>
      </c>
      <c r="H188" s="12">
        <f>G188*J188</f>
        <v>1808</v>
      </c>
      <c r="I188" s="10" t="s">
        <v>142</v>
      </c>
      <c r="J188" s="13">
        <v>1</v>
      </c>
      <c r="K188" s="10" t="s">
        <v>164</v>
      </c>
      <c r="L188" s="12"/>
      <c r="M188" s="12">
        <v>1808</v>
      </c>
    </row>
    <row r="189" spans="1:13" ht="15" hidden="1" customHeight="1" x14ac:dyDescent="0.25">
      <c r="A189" s="10">
        <v>16</v>
      </c>
      <c r="B189" s="10" t="str">
        <f t="shared" si="18"/>
        <v>L6US-ЩР-1 — Здание оператора верхней станции L6 US</v>
      </c>
      <c r="C189" s="10" t="s">
        <v>167</v>
      </c>
      <c r="D189" s="10" t="s">
        <v>173</v>
      </c>
      <c r="E189" s="11" t="s">
        <v>174</v>
      </c>
      <c r="F189" s="12">
        <v>127</v>
      </c>
      <c r="G189" s="12">
        <f>F189*Kurallar!$B$3</f>
        <v>127</v>
      </c>
      <c r="H189" s="12">
        <f>G189*J189</f>
        <v>3302</v>
      </c>
      <c r="I189" s="10" t="s">
        <v>170</v>
      </c>
      <c r="J189" s="13">
        <v>26</v>
      </c>
      <c r="K189" s="10" t="s">
        <v>143</v>
      </c>
      <c r="L189" s="12"/>
      <c r="M189" s="12">
        <v>3302</v>
      </c>
    </row>
    <row r="190" spans="1:13" ht="15" hidden="1" customHeight="1" x14ac:dyDescent="0.25">
      <c r="A190" s="10">
        <v>17</v>
      </c>
      <c r="B190" s="10" t="str">
        <f t="shared" si="18"/>
        <v>L6US-ЩР-1 — Здание оператора верхней станции L6 US</v>
      </c>
      <c r="C190" s="10" t="s">
        <v>167</v>
      </c>
      <c r="D190" s="10" t="s">
        <v>175</v>
      </c>
      <c r="E190" s="11" t="s">
        <v>176</v>
      </c>
      <c r="F190" s="12">
        <v>918</v>
      </c>
      <c r="G190" s="12">
        <f>F190*Kurallar!$B$3</f>
        <v>918</v>
      </c>
      <c r="H190" s="12">
        <f>G190*J190</f>
        <v>7344</v>
      </c>
      <c r="I190" s="10" t="s">
        <v>170</v>
      </c>
      <c r="J190" s="13">
        <v>8</v>
      </c>
      <c r="K190" s="10" t="s">
        <v>143</v>
      </c>
      <c r="L190" s="12"/>
      <c r="M190" s="12">
        <v>7344</v>
      </c>
    </row>
    <row r="191" spans="1:13" ht="15" hidden="1" customHeight="1" x14ac:dyDescent="0.25">
      <c r="A191" s="10">
        <v>18</v>
      </c>
      <c r="B191" s="10" t="str">
        <f t="shared" si="18"/>
        <v>L6US-ЩР-1 — Здание оператора верхней станции L6 US</v>
      </c>
      <c r="C191" s="10" t="s">
        <v>167</v>
      </c>
      <c r="D191" s="10" t="s">
        <v>177</v>
      </c>
      <c r="E191" s="11" t="s">
        <v>178</v>
      </c>
      <c r="F191" s="12">
        <v>79</v>
      </c>
      <c r="G191" s="12">
        <f>F191*Kurallar!$B$3</f>
        <v>79</v>
      </c>
      <c r="H191" s="12">
        <f>G191*J191</f>
        <v>553</v>
      </c>
      <c r="I191" s="10" t="s">
        <v>170</v>
      </c>
      <c r="J191" s="13">
        <v>7</v>
      </c>
      <c r="K191" s="10" t="s">
        <v>143</v>
      </c>
      <c r="L191" s="12"/>
      <c r="M191" s="12">
        <v>553</v>
      </c>
    </row>
    <row r="192" spans="1:13" ht="23.25" hidden="1" customHeight="1" x14ac:dyDescent="0.25">
      <c r="A192" s="10">
        <v>19</v>
      </c>
      <c r="B192" s="10" t="str">
        <f t="shared" si="18"/>
        <v>L6US-ЩР-1 — Здание оператора верхней станции L6 US</v>
      </c>
      <c r="C192" s="10" t="s">
        <v>167</v>
      </c>
      <c r="D192" s="10" t="s">
        <v>179</v>
      </c>
      <c r="E192" s="11" t="s">
        <v>180</v>
      </c>
      <c r="F192" s="12"/>
      <c r="G192" s="12">
        <f>SUM(H175:H191)*Kurallar!$B$5</f>
        <v>9099.9060000000009</v>
      </c>
      <c r="H192" s="12">
        <f>G192*J192</f>
        <v>9099.9060000000009</v>
      </c>
      <c r="I192" s="10" t="s">
        <v>142</v>
      </c>
      <c r="J192" s="13">
        <v>1</v>
      </c>
      <c r="K192" s="10" t="s">
        <v>181</v>
      </c>
      <c r="L192" s="12"/>
      <c r="M192" s="12">
        <v>9099.9060000000009</v>
      </c>
    </row>
    <row r="193" spans="1:13" ht="15" hidden="1" customHeight="1" x14ac:dyDescent="0.25">
      <c r="A193" s="10">
        <v>20</v>
      </c>
      <c r="B193" s="10" t="str">
        <f t="shared" si="18"/>
        <v>L6US-ЩР-1 — Здание оператора верхней станции L6 US</v>
      </c>
      <c r="C193" s="10" t="s">
        <v>182</v>
      </c>
      <c r="D193" s="10" t="s">
        <v>183</v>
      </c>
      <c r="E193" s="11" t="s">
        <v>184</v>
      </c>
      <c r="F193" s="12">
        <f>J193/60</f>
        <v>5.0066666666666668</v>
      </c>
      <c r="G193" s="12">
        <f>Kurallar!$B$6</f>
        <v>100</v>
      </c>
      <c r="H193" s="12">
        <f>G193*J193</f>
        <v>30040.000000000004</v>
      </c>
      <c r="I193" s="10" t="s">
        <v>185</v>
      </c>
      <c r="J193" s="13">
        <f>ROUND((Kurallar!$B$11+1*Kurallar!$B$13+0*Kurallar!$B$14+0*Kurallar!$B$15+1*Kurallar!$B$16+0*Kurallar!$B$17+0*Kurallar!$B$18+12*Kurallar!$B$19+5*Kurallar!$B$20+1*Kurallar!$B$21+44*Kurallar!$B$22+4*Kurallar!$B$23+0*Kurallar!$B$24+3*Kurallar!$B$25)*Kurallar!$B$7,0)*0.4</f>
        <v>300.40000000000003</v>
      </c>
      <c r="K193" s="10" t="s">
        <v>181</v>
      </c>
      <c r="L193" s="12"/>
      <c r="M193" s="12">
        <v>30040.000000000004</v>
      </c>
    </row>
    <row r="194" spans="1:13" ht="15" customHeight="1" x14ac:dyDescent="0.25">
      <c r="A194" s="15"/>
      <c r="B194" s="15" t="s">
        <v>256</v>
      </c>
      <c r="C194" s="15"/>
      <c r="D194" s="15"/>
      <c r="E194" s="16"/>
      <c r="F194" s="17"/>
      <c r="G194" s="17"/>
      <c r="H194" s="17">
        <f>SUBTOTAL(9,H175:H193)</f>
        <v>0</v>
      </c>
      <c r="I194" s="15"/>
      <c r="J194" s="18"/>
      <c r="K194" s="15"/>
      <c r="L194" s="17">
        <f>SUBTOTAL(9,H175:H191)</f>
        <v>0</v>
      </c>
      <c r="M194" s="17">
        <v>342470.10600000003</v>
      </c>
    </row>
    <row r="195" spans="1:13" ht="15" customHeight="1" x14ac:dyDescent="0.25">
      <c r="A195" s="19">
        <v>1</v>
      </c>
      <c r="B195" s="20" t="str">
        <f>E195</f>
        <v>L7LS-ЩР-1 — Здание оператора нижней станции L7 LS</v>
      </c>
      <c r="C195" s="19" t="s">
        <v>136</v>
      </c>
      <c r="D195" s="19" t="s">
        <v>257</v>
      </c>
      <c r="E195" s="21" t="s">
        <v>258</v>
      </c>
      <c r="F195" s="22"/>
      <c r="G195" s="22"/>
      <c r="H195" s="22"/>
      <c r="I195" s="19" t="s">
        <v>139</v>
      </c>
      <c r="J195" s="23">
        <v>1</v>
      </c>
      <c r="K195" s="19"/>
      <c r="L195" s="22"/>
      <c r="M195" s="22"/>
    </row>
    <row r="196" spans="1:13" ht="15" hidden="1" customHeight="1" x14ac:dyDescent="0.25">
      <c r="A196" s="10">
        <v>2</v>
      </c>
      <c r="B196" s="10" t="str">
        <f t="shared" ref="B196:B214" si="20">B195</f>
        <v>L7LS-ЩР-1 — Здание оператора нижней станции L7 LS</v>
      </c>
      <c r="C196" s="10" t="s">
        <v>140</v>
      </c>
      <c r="D196" s="10" t="s">
        <v>384</v>
      </c>
      <c r="E196" s="24" t="s">
        <v>385</v>
      </c>
      <c r="F196" s="12">
        <v>55770</v>
      </c>
      <c r="G196" s="12">
        <f>0.5*F196</f>
        <v>27885</v>
      </c>
      <c r="H196" s="12">
        <f>G196*J196</f>
        <v>27885</v>
      </c>
      <c r="I196" s="10" t="s">
        <v>142</v>
      </c>
      <c r="J196" s="13">
        <v>1</v>
      </c>
      <c r="K196" s="14" t="s">
        <v>390</v>
      </c>
      <c r="L196" s="12"/>
      <c r="M196" s="12">
        <v>27885</v>
      </c>
    </row>
    <row r="197" spans="1:13" ht="15" hidden="1" customHeight="1" x14ac:dyDescent="0.25">
      <c r="A197" s="10">
        <v>3</v>
      </c>
      <c r="B197" s="10" t="str">
        <f t="shared" si="20"/>
        <v>L7LS-ЩР-1 — Здание оператора нижней станции L7 LS</v>
      </c>
      <c r="C197" s="14" t="s">
        <v>371</v>
      </c>
      <c r="D197" s="10" t="s">
        <v>144</v>
      </c>
      <c r="E197" s="11" t="s">
        <v>145</v>
      </c>
      <c r="F197" s="12">
        <v>201862</v>
      </c>
      <c r="G197" s="12">
        <f>F197*Kurallar!$B$2</f>
        <v>121117.2</v>
      </c>
      <c r="H197" s="12">
        <f>G197*J197</f>
        <v>121117.2</v>
      </c>
      <c r="I197" s="10" t="s">
        <v>142</v>
      </c>
      <c r="J197" s="13">
        <v>1</v>
      </c>
      <c r="K197" s="10" t="s">
        <v>146</v>
      </c>
      <c r="L197" s="12"/>
      <c r="M197" s="12">
        <v>121117.2</v>
      </c>
    </row>
    <row r="198" spans="1:13" ht="15" hidden="1" customHeight="1" x14ac:dyDescent="0.25">
      <c r="A198" s="10">
        <v>4</v>
      </c>
      <c r="B198" s="10" t="str">
        <f t="shared" si="20"/>
        <v>L7LS-ЩР-1 — Здание оператора нижней станции L7 LS</v>
      </c>
      <c r="C198" s="10" t="s">
        <v>147</v>
      </c>
      <c r="D198" s="10" t="s">
        <v>391</v>
      </c>
      <c r="E198" s="24" t="s">
        <v>392</v>
      </c>
      <c r="F198" s="12">
        <v>88000</v>
      </c>
      <c r="G198" s="12">
        <f>F198*Kurallar!$B$4</f>
        <v>88000</v>
      </c>
      <c r="H198" s="12">
        <f>G198*J198</f>
        <v>88000</v>
      </c>
      <c r="I198" s="10" t="s">
        <v>142</v>
      </c>
      <c r="J198" s="13">
        <v>1</v>
      </c>
      <c r="K198" s="10" t="s">
        <v>148</v>
      </c>
      <c r="L198" s="12"/>
      <c r="M198" s="12">
        <v>88000</v>
      </c>
    </row>
    <row r="199" spans="1:13" ht="15" hidden="1" customHeight="1" x14ac:dyDescent="0.25">
      <c r="A199" s="10">
        <v>5</v>
      </c>
      <c r="B199" s="10" t="str">
        <f t="shared" si="20"/>
        <v>L7LS-ЩР-1 — Здание оператора нижней станции L7 LS</v>
      </c>
      <c r="C199" s="10" t="s">
        <v>149</v>
      </c>
      <c r="D199" s="10" t="s">
        <v>150</v>
      </c>
      <c r="E199" s="11" t="s">
        <v>151</v>
      </c>
      <c r="F199" s="12">
        <v>1419</v>
      </c>
      <c r="G199" s="12">
        <f>F199*Kurallar!$B$2</f>
        <v>851.4</v>
      </c>
      <c r="H199" s="12">
        <f>G199*J199</f>
        <v>851.4</v>
      </c>
      <c r="I199" s="10" t="s">
        <v>142</v>
      </c>
      <c r="J199" s="13">
        <v>1</v>
      </c>
      <c r="K199" s="10" t="s">
        <v>146</v>
      </c>
      <c r="L199" s="12"/>
      <c r="M199" s="12">
        <v>851.4</v>
      </c>
    </row>
    <row r="200" spans="1:13" ht="15" hidden="1" customHeight="1" x14ac:dyDescent="0.25">
      <c r="A200" s="10">
        <v>6</v>
      </c>
      <c r="B200" s="10" t="str">
        <f t="shared" si="20"/>
        <v>L7LS-ЩР-1 — Здание оператора нижней станции L7 LS</v>
      </c>
      <c r="C200" s="10" t="s">
        <v>149</v>
      </c>
      <c r="D200" s="10" t="s">
        <v>152</v>
      </c>
      <c r="E200" s="11" t="s">
        <v>153</v>
      </c>
      <c r="F200" s="12">
        <v>1389</v>
      </c>
      <c r="G200" s="12">
        <f>F200*Kurallar!$B$2</f>
        <v>833.4</v>
      </c>
      <c r="H200" s="12">
        <f>G200*J200</f>
        <v>2500.1999999999998</v>
      </c>
      <c r="I200" s="10" t="s">
        <v>142</v>
      </c>
      <c r="J200" s="13">
        <v>3</v>
      </c>
      <c r="K200" s="10" t="s">
        <v>146</v>
      </c>
      <c r="L200" s="12"/>
      <c r="M200" s="12">
        <v>2500.1999999999998</v>
      </c>
    </row>
    <row r="201" spans="1:13" ht="15" hidden="1" customHeight="1" x14ac:dyDescent="0.25">
      <c r="A201" s="10">
        <v>7</v>
      </c>
      <c r="B201" s="10" t="str">
        <f t="shared" si="20"/>
        <v>L7LS-ЩР-1 — Здание оператора нижней станции L7 LS</v>
      </c>
      <c r="C201" s="10" t="s">
        <v>149</v>
      </c>
      <c r="D201" s="10" t="s">
        <v>190</v>
      </c>
      <c r="E201" s="11" t="s">
        <v>191</v>
      </c>
      <c r="F201" s="12">
        <v>6060</v>
      </c>
      <c r="G201" s="12">
        <f>F201*Kurallar!$B$2</f>
        <v>3636</v>
      </c>
      <c r="H201" s="12">
        <f>G201*J201</f>
        <v>3636</v>
      </c>
      <c r="I201" s="10" t="s">
        <v>142</v>
      </c>
      <c r="J201" s="13">
        <v>1</v>
      </c>
      <c r="K201" s="10" t="s">
        <v>146</v>
      </c>
      <c r="L201" s="12"/>
      <c r="M201" s="12">
        <v>3636</v>
      </c>
    </row>
    <row r="202" spans="1:13" ht="15" hidden="1" customHeight="1" x14ac:dyDescent="0.25">
      <c r="A202" s="10">
        <v>8</v>
      </c>
      <c r="B202" s="10" t="str">
        <f t="shared" si="20"/>
        <v>L7LS-ЩР-1 — Здание оператора нижней станции L7 LS</v>
      </c>
      <c r="C202" s="10" t="s">
        <v>156</v>
      </c>
      <c r="D202" s="10" t="s">
        <v>157</v>
      </c>
      <c r="E202" s="11" t="s">
        <v>158</v>
      </c>
      <c r="F202" s="12">
        <v>5104</v>
      </c>
      <c r="G202" s="12">
        <f>F202*Kurallar!$B$2</f>
        <v>3062.4</v>
      </c>
      <c r="H202" s="12">
        <f>G202*J202</f>
        <v>9187.2000000000007</v>
      </c>
      <c r="I202" s="10" t="s">
        <v>142</v>
      </c>
      <c r="J202" s="13">
        <v>3</v>
      </c>
      <c r="K202" s="10" t="s">
        <v>146</v>
      </c>
      <c r="L202" s="12"/>
      <c r="M202" s="12">
        <v>9187.2000000000007</v>
      </c>
    </row>
    <row r="203" spans="1:13" ht="15" hidden="1" customHeight="1" x14ac:dyDescent="0.25">
      <c r="A203" s="10">
        <v>9</v>
      </c>
      <c r="B203" s="10" t="str">
        <f t="shared" si="20"/>
        <v>L7LS-ЩР-1 — Здание оператора нижней станции L7 LS</v>
      </c>
      <c r="C203" s="10" t="s">
        <v>156</v>
      </c>
      <c r="D203" s="10" t="s">
        <v>159</v>
      </c>
      <c r="E203" s="11" t="s">
        <v>160</v>
      </c>
      <c r="F203" s="12">
        <v>5632</v>
      </c>
      <c r="G203" s="12">
        <f>F203*Kurallar!$B$2</f>
        <v>3379.2</v>
      </c>
      <c r="H203" s="12">
        <f>G203*J203</f>
        <v>13516.8</v>
      </c>
      <c r="I203" s="10" t="s">
        <v>142</v>
      </c>
      <c r="J203" s="13">
        <v>4</v>
      </c>
      <c r="K203" s="10" t="s">
        <v>146</v>
      </c>
      <c r="L203" s="12"/>
      <c r="M203" s="12">
        <v>13516.8</v>
      </c>
    </row>
    <row r="204" spans="1:13" ht="15" hidden="1" customHeight="1" x14ac:dyDescent="0.25">
      <c r="A204" s="10">
        <v>10</v>
      </c>
      <c r="B204" s="10" t="str">
        <f t="shared" si="20"/>
        <v>L7LS-ЩР-1 — Здание оператора нижней станции L7 LS</v>
      </c>
      <c r="C204" s="10" t="s">
        <v>161</v>
      </c>
      <c r="D204" s="10" t="s">
        <v>162</v>
      </c>
      <c r="E204" s="11" t="s">
        <v>163</v>
      </c>
      <c r="F204" s="12">
        <v>530</v>
      </c>
      <c r="G204" s="12">
        <f>F204*Kurallar!$B$3</f>
        <v>530</v>
      </c>
      <c r="H204" s="12">
        <f>G204*J204</f>
        <v>530</v>
      </c>
      <c r="I204" s="10" t="s">
        <v>142</v>
      </c>
      <c r="J204" s="13">
        <v>1</v>
      </c>
      <c r="K204" s="14" t="s">
        <v>372</v>
      </c>
      <c r="L204" s="12"/>
      <c r="M204" s="12">
        <v>530</v>
      </c>
    </row>
    <row r="205" spans="1:13" ht="15" hidden="1" customHeight="1" x14ac:dyDescent="0.25">
      <c r="A205" s="10">
        <v>11</v>
      </c>
      <c r="B205" s="10" t="str">
        <f t="shared" si="20"/>
        <v>L7LS-ЩР-1 — Здание оператора нижней станции L7 LS</v>
      </c>
      <c r="C205" s="10" t="s">
        <v>161</v>
      </c>
      <c r="D205" s="10" t="s">
        <v>165</v>
      </c>
      <c r="E205" s="11" t="s">
        <v>166</v>
      </c>
      <c r="F205" s="12">
        <v>634</v>
      </c>
      <c r="G205" s="12">
        <f>F205*Kurallar!$B$3</f>
        <v>634</v>
      </c>
      <c r="H205" s="12">
        <f>G205*J205</f>
        <v>1268</v>
      </c>
      <c r="I205" s="10" t="s">
        <v>142</v>
      </c>
      <c r="J205" s="13">
        <v>2</v>
      </c>
      <c r="K205" s="14" t="s">
        <v>372</v>
      </c>
      <c r="L205" s="12"/>
      <c r="M205" s="12">
        <v>1268</v>
      </c>
    </row>
    <row r="206" spans="1:13" ht="15" hidden="1" customHeight="1" x14ac:dyDescent="0.25">
      <c r="A206" s="10">
        <v>12</v>
      </c>
      <c r="B206" s="10" t="str">
        <f t="shared" si="20"/>
        <v>L7LS-ЩР-1 — Здание оператора нижней станции L7 LS</v>
      </c>
      <c r="C206" s="10" t="s">
        <v>31</v>
      </c>
      <c r="D206" s="10" t="s">
        <v>373</v>
      </c>
      <c r="E206" s="11" t="s">
        <v>374</v>
      </c>
      <c r="F206" s="12">
        <v>140</v>
      </c>
      <c r="G206" s="12">
        <f t="shared" ref="G206:G207" si="21">0.6*F206</f>
        <v>84</v>
      </c>
      <c r="H206" s="12">
        <f>G206*J206</f>
        <v>1512</v>
      </c>
      <c r="I206" s="10" t="s">
        <v>142</v>
      </c>
      <c r="J206" s="13">
        <v>18</v>
      </c>
      <c r="K206" s="14" t="s">
        <v>375</v>
      </c>
      <c r="L206" s="12"/>
      <c r="M206" s="12">
        <v>1512</v>
      </c>
    </row>
    <row r="207" spans="1:13" ht="15" hidden="1" customHeight="1" x14ac:dyDescent="0.25">
      <c r="A207" s="10">
        <v>13</v>
      </c>
      <c r="B207" s="10" t="str">
        <f t="shared" si="20"/>
        <v>L7LS-ЩР-1 — Здание оператора нижней станции L7 LS</v>
      </c>
      <c r="C207" s="10" t="s">
        <v>31</v>
      </c>
      <c r="D207" s="10" t="s">
        <v>373</v>
      </c>
      <c r="E207" s="11" t="s">
        <v>374</v>
      </c>
      <c r="F207" s="12">
        <v>140</v>
      </c>
      <c r="G207" s="12">
        <f t="shared" si="21"/>
        <v>84</v>
      </c>
      <c r="H207" s="12">
        <f>G207*J207</f>
        <v>1176</v>
      </c>
      <c r="I207" s="10" t="s">
        <v>142</v>
      </c>
      <c r="J207" s="13">
        <v>14</v>
      </c>
      <c r="K207" s="14" t="s">
        <v>375</v>
      </c>
      <c r="L207" s="12"/>
      <c r="M207" s="12">
        <v>1176</v>
      </c>
    </row>
    <row r="208" spans="1:13" ht="15" hidden="1" customHeight="1" x14ac:dyDescent="0.25">
      <c r="A208" s="10">
        <v>14</v>
      </c>
      <c r="B208" s="10" t="str">
        <f t="shared" si="20"/>
        <v>L7LS-ЩР-1 — Здание оператора нижней станции L7 LS</v>
      </c>
      <c r="C208" s="10" t="s">
        <v>167</v>
      </c>
      <c r="D208" s="10" t="s">
        <v>168</v>
      </c>
      <c r="E208" s="11" t="s">
        <v>169</v>
      </c>
      <c r="F208" s="12">
        <v>869</v>
      </c>
      <c r="G208" s="12">
        <f>F208*Kurallar!$B$2</f>
        <v>521.4</v>
      </c>
      <c r="H208" s="12">
        <f>G208*J208</f>
        <v>521.4</v>
      </c>
      <c r="I208" s="10" t="s">
        <v>170</v>
      </c>
      <c r="J208" s="13">
        <v>1</v>
      </c>
      <c r="K208" s="10" t="s">
        <v>146</v>
      </c>
      <c r="L208" s="12"/>
      <c r="M208" s="12">
        <v>521.4</v>
      </c>
    </row>
    <row r="209" spans="1:13" ht="15" hidden="1" customHeight="1" x14ac:dyDescent="0.25">
      <c r="A209" s="10">
        <v>15</v>
      </c>
      <c r="B209" s="10" t="str">
        <f t="shared" si="20"/>
        <v>L7LS-ЩР-1 — Здание оператора нижней станции L7 LS</v>
      </c>
      <c r="C209" s="10" t="s">
        <v>167</v>
      </c>
      <c r="D209" s="10" t="s">
        <v>171</v>
      </c>
      <c r="E209" s="11" t="s">
        <v>172</v>
      </c>
      <c r="F209" s="12">
        <v>1808</v>
      </c>
      <c r="G209" s="12">
        <f>F209*Kurallar!$B$3</f>
        <v>1808</v>
      </c>
      <c r="H209" s="12">
        <f>G209*J209</f>
        <v>1808</v>
      </c>
      <c r="I209" s="10" t="s">
        <v>142</v>
      </c>
      <c r="J209" s="13">
        <v>1</v>
      </c>
      <c r="K209" s="10" t="s">
        <v>164</v>
      </c>
      <c r="L209" s="12"/>
      <c r="M209" s="12">
        <v>1808</v>
      </c>
    </row>
    <row r="210" spans="1:13" ht="15" hidden="1" customHeight="1" x14ac:dyDescent="0.25">
      <c r="A210" s="10">
        <v>16</v>
      </c>
      <c r="B210" s="10" t="str">
        <f t="shared" si="20"/>
        <v>L7LS-ЩР-1 — Здание оператора нижней станции L7 LS</v>
      </c>
      <c r="C210" s="10" t="s">
        <v>167</v>
      </c>
      <c r="D210" s="10" t="s">
        <v>173</v>
      </c>
      <c r="E210" s="11" t="s">
        <v>174</v>
      </c>
      <c r="F210" s="12">
        <v>127</v>
      </c>
      <c r="G210" s="12">
        <f>F210*Kurallar!$B$3</f>
        <v>127</v>
      </c>
      <c r="H210" s="12">
        <f>G210*J210</f>
        <v>2413</v>
      </c>
      <c r="I210" s="10" t="s">
        <v>170</v>
      </c>
      <c r="J210" s="13">
        <v>19</v>
      </c>
      <c r="K210" s="10" t="s">
        <v>143</v>
      </c>
      <c r="L210" s="12"/>
      <c r="M210" s="12">
        <v>2413</v>
      </c>
    </row>
    <row r="211" spans="1:13" ht="15" hidden="1" customHeight="1" x14ac:dyDescent="0.25">
      <c r="A211" s="10">
        <v>17</v>
      </c>
      <c r="B211" s="10" t="str">
        <f t="shared" si="20"/>
        <v>L7LS-ЩР-1 — Здание оператора нижней станции L7 LS</v>
      </c>
      <c r="C211" s="10" t="s">
        <v>167</v>
      </c>
      <c r="D211" s="10" t="s">
        <v>175</v>
      </c>
      <c r="E211" s="11" t="s">
        <v>176</v>
      </c>
      <c r="F211" s="12">
        <v>918</v>
      </c>
      <c r="G211" s="12">
        <f>F211*Kurallar!$B$3</f>
        <v>918</v>
      </c>
      <c r="H211" s="12">
        <f>G211*J211</f>
        <v>7344</v>
      </c>
      <c r="I211" s="10" t="s">
        <v>170</v>
      </c>
      <c r="J211" s="13">
        <v>8</v>
      </c>
      <c r="K211" s="10" t="s">
        <v>143</v>
      </c>
      <c r="L211" s="12"/>
      <c r="M211" s="12">
        <v>7344</v>
      </c>
    </row>
    <row r="212" spans="1:13" ht="15" hidden="1" customHeight="1" x14ac:dyDescent="0.25">
      <c r="A212" s="10">
        <v>18</v>
      </c>
      <c r="B212" s="10" t="str">
        <f t="shared" si="20"/>
        <v>L7LS-ЩР-1 — Здание оператора нижней станции L7 LS</v>
      </c>
      <c r="C212" s="10" t="s">
        <v>167</v>
      </c>
      <c r="D212" s="10" t="s">
        <v>177</v>
      </c>
      <c r="E212" s="11" t="s">
        <v>178</v>
      </c>
      <c r="F212" s="12">
        <v>79</v>
      </c>
      <c r="G212" s="12">
        <f>F212*Kurallar!$B$3</f>
        <v>79</v>
      </c>
      <c r="H212" s="12">
        <f>G212*J212</f>
        <v>474</v>
      </c>
      <c r="I212" s="10" t="s">
        <v>170</v>
      </c>
      <c r="J212" s="13">
        <v>6</v>
      </c>
      <c r="K212" s="10" t="s">
        <v>143</v>
      </c>
      <c r="L212" s="12"/>
      <c r="M212" s="12">
        <v>474</v>
      </c>
    </row>
    <row r="213" spans="1:13" ht="23.25" hidden="1" customHeight="1" x14ac:dyDescent="0.25">
      <c r="A213" s="10">
        <v>19</v>
      </c>
      <c r="B213" s="10" t="str">
        <f t="shared" si="20"/>
        <v>L7LS-ЩР-1 — Здание оператора нижней станции L7 LS</v>
      </c>
      <c r="C213" s="10" t="s">
        <v>167</v>
      </c>
      <c r="D213" s="10" t="s">
        <v>179</v>
      </c>
      <c r="E213" s="11" t="s">
        <v>180</v>
      </c>
      <c r="F213" s="12"/>
      <c r="G213" s="12">
        <f>SUM(H196:H212)*Kurallar!$B$5</f>
        <v>8512.2060000000019</v>
      </c>
      <c r="H213" s="12">
        <f>G213*J213</f>
        <v>8512.2060000000019</v>
      </c>
      <c r="I213" s="10" t="s">
        <v>142</v>
      </c>
      <c r="J213" s="13">
        <v>1</v>
      </c>
      <c r="K213" s="10" t="s">
        <v>181</v>
      </c>
      <c r="L213" s="12"/>
      <c r="M213" s="12">
        <v>8512.2060000000019</v>
      </c>
    </row>
    <row r="214" spans="1:13" ht="15" hidden="1" customHeight="1" x14ac:dyDescent="0.25">
      <c r="A214" s="10">
        <v>20</v>
      </c>
      <c r="B214" s="10" t="str">
        <f t="shared" si="20"/>
        <v>L7LS-ЩР-1 — Здание оператора нижней станции L7 LS</v>
      </c>
      <c r="C214" s="10" t="s">
        <v>182</v>
      </c>
      <c r="D214" s="10" t="s">
        <v>183</v>
      </c>
      <c r="E214" s="11" t="s">
        <v>184</v>
      </c>
      <c r="F214" s="12">
        <f>J214/60</f>
        <v>4.0266666666666673</v>
      </c>
      <c r="G214" s="12">
        <f>Kurallar!$B$6</f>
        <v>100</v>
      </c>
      <c r="H214" s="12">
        <f>G214*J214</f>
        <v>24160.000000000004</v>
      </c>
      <c r="I214" s="10" t="s">
        <v>185</v>
      </c>
      <c r="J214" s="13">
        <f>ROUND((Kurallar!$B$11+1*Kurallar!$B$13+0*Kurallar!$B$14+0*Kurallar!$B$15+1*Kurallar!$B$16+0*Kurallar!$B$17+0*Kurallar!$B$18+7*Kurallar!$B$19+4*Kurallar!$B$20+1*Kurallar!$B$21+32*Kurallar!$B$22+3*Kurallar!$B$23+0*Kurallar!$B$24+3*Kurallar!$B$25)*Kurallar!$B$7,0)*0.4</f>
        <v>241.60000000000002</v>
      </c>
      <c r="K214" s="10" t="s">
        <v>181</v>
      </c>
      <c r="L214" s="12"/>
      <c r="M214" s="12">
        <v>24160.000000000004</v>
      </c>
    </row>
    <row r="215" spans="1:13" ht="15" customHeight="1" x14ac:dyDescent="0.25">
      <c r="A215" s="15"/>
      <c r="B215" s="15" t="s">
        <v>259</v>
      </c>
      <c r="C215" s="15"/>
      <c r="D215" s="15"/>
      <c r="E215" s="16"/>
      <c r="F215" s="17"/>
      <c r="G215" s="17"/>
      <c r="H215" s="17">
        <f>SUBTOTAL(9,H196:H214)</f>
        <v>0</v>
      </c>
      <c r="I215" s="15"/>
      <c r="J215" s="18"/>
      <c r="K215" s="15"/>
      <c r="L215" s="17">
        <f>SUBTOTAL(9,H196:H212)</f>
        <v>0</v>
      </c>
      <c r="M215" s="17">
        <v>316412.40600000008</v>
      </c>
    </row>
    <row r="216" spans="1:13" ht="41.25" customHeight="1" x14ac:dyDescent="0.25">
      <c r="A216" s="19">
        <v>1</v>
      </c>
      <c r="B216" s="20" t="str">
        <f>E216</f>
        <v>L7LS-WC-ЩР-1 — Кассы и общественные туалеты нижней станций L7 LS</v>
      </c>
      <c r="C216" s="19" t="s">
        <v>136</v>
      </c>
      <c r="D216" s="19" t="s">
        <v>260</v>
      </c>
      <c r="E216" s="21" t="s">
        <v>261</v>
      </c>
      <c r="F216" s="22"/>
      <c r="G216" s="22"/>
      <c r="H216" s="22"/>
      <c r="I216" s="19" t="s">
        <v>139</v>
      </c>
      <c r="J216" s="23">
        <v>1</v>
      </c>
      <c r="K216" s="19"/>
      <c r="L216" s="22"/>
      <c r="M216" s="22"/>
    </row>
    <row r="217" spans="1:13" ht="15" hidden="1" customHeight="1" x14ac:dyDescent="0.25">
      <c r="A217" s="10">
        <v>2</v>
      </c>
      <c r="B217" s="10" t="str">
        <f t="shared" ref="B217:B235" si="22">B216</f>
        <v>L7LS-WC-ЩР-1 — Кассы и общественные туалеты нижней станций L7 LS</v>
      </c>
      <c r="C217" s="10" t="s">
        <v>140</v>
      </c>
      <c r="D217" s="10" t="s">
        <v>384</v>
      </c>
      <c r="E217" s="24" t="s">
        <v>385</v>
      </c>
      <c r="F217" s="12">
        <v>55770</v>
      </c>
      <c r="G217" s="12">
        <f>0.5*F217</f>
        <v>27885</v>
      </c>
      <c r="H217" s="12">
        <f>G217*J217</f>
        <v>27885</v>
      </c>
      <c r="I217" s="10" t="s">
        <v>142</v>
      </c>
      <c r="J217" s="13">
        <v>1</v>
      </c>
      <c r="K217" s="14" t="s">
        <v>390</v>
      </c>
      <c r="L217" s="12"/>
      <c r="M217" s="12">
        <v>27885</v>
      </c>
    </row>
    <row r="218" spans="1:13" ht="15" hidden="1" customHeight="1" x14ac:dyDescent="0.25">
      <c r="A218" s="10">
        <v>3</v>
      </c>
      <c r="B218" s="10" t="str">
        <f t="shared" si="22"/>
        <v>L7LS-WC-ЩР-1 — Кассы и общественные туалеты нижней станций L7 LS</v>
      </c>
      <c r="C218" s="14" t="s">
        <v>371</v>
      </c>
      <c r="D218" s="10" t="s">
        <v>254</v>
      </c>
      <c r="E218" s="11" t="s">
        <v>255</v>
      </c>
      <c r="F218" s="12">
        <v>201639</v>
      </c>
      <c r="G218" s="12">
        <f>F218*Kurallar!$B$2</f>
        <v>120983.4</v>
      </c>
      <c r="H218" s="12">
        <f>G218*J218</f>
        <v>120983.4</v>
      </c>
      <c r="I218" s="10" t="s">
        <v>142</v>
      </c>
      <c r="J218" s="13">
        <v>1</v>
      </c>
      <c r="K218" s="10" t="s">
        <v>146</v>
      </c>
      <c r="L218" s="12"/>
      <c r="M218" s="12">
        <v>120983.4</v>
      </c>
    </row>
    <row r="219" spans="1:13" ht="15" hidden="1" customHeight="1" x14ac:dyDescent="0.25">
      <c r="A219" s="10">
        <v>4</v>
      </c>
      <c r="B219" s="10" t="str">
        <f t="shared" si="22"/>
        <v>L7LS-WC-ЩР-1 — Кассы и общественные туалеты нижней станций L7 LS</v>
      </c>
      <c r="C219" s="10" t="s">
        <v>147</v>
      </c>
      <c r="D219" s="10" t="s">
        <v>391</v>
      </c>
      <c r="E219" s="24" t="s">
        <v>392</v>
      </c>
      <c r="F219" s="12">
        <v>88000</v>
      </c>
      <c r="G219" s="12">
        <f>F219*Kurallar!$B$4</f>
        <v>88000</v>
      </c>
      <c r="H219" s="12">
        <f>G219*J219</f>
        <v>88000</v>
      </c>
      <c r="I219" s="10" t="s">
        <v>142</v>
      </c>
      <c r="J219" s="13">
        <v>1</v>
      </c>
      <c r="K219" s="10" t="s">
        <v>148</v>
      </c>
      <c r="L219" s="12"/>
      <c r="M219" s="12">
        <v>88000</v>
      </c>
    </row>
    <row r="220" spans="1:13" ht="15" hidden="1" customHeight="1" x14ac:dyDescent="0.25">
      <c r="A220" s="10">
        <v>5</v>
      </c>
      <c r="B220" s="10" t="str">
        <f t="shared" si="22"/>
        <v>L7LS-WC-ЩР-1 — Кассы и общественные туалеты нижней станций L7 LS</v>
      </c>
      <c r="C220" s="10" t="s">
        <v>149</v>
      </c>
      <c r="D220" s="10" t="s">
        <v>150</v>
      </c>
      <c r="E220" s="11" t="s">
        <v>151</v>
      </c>
      <c r="F220" s="12">
        <v>1419</v>
      </c>
      <c r="G220" s="12">
        <f>F220*Kurallar!$B$2</f>
        <v>851.4</v>
      </c>
      <c r="H220" s="12">
        <f>G220*J220</f>
        <v>2554.1999999999998</v>
      </c>
      <c r="I220" s="10" t="s">
        <v>142</v>
      </c>
      <c r="J220" s="13">
        <v>3</v>
      </c>
      <c r="K220" s="10" t="s">
        <v>146</v>
      </c>
      <c r="L220" s="12"/>
      <c r="M220" s="12">
        <v>2554.1999999999998</v>
      </c>
    </row>
    <row r="221" spans="1:13" ht="15" hidden="1" customHeight="1" x14ac:dyDescent="0.25">
      <c r="A221" s="10">
        <v>6</v>
      </c>
      <c r="B221" s="10" t="str">
        <f t="shared" si="22"/>
        <v>L7LS-WC-ЩР-1 — Кассы и общественные туалеты нижней станций L7 LS</v>
      </c>
      <c r="C221" s="10" t="s">
        <v>149</v>
      </c>
      <c r="D221" s="10" t="s">
        <v>152</v>
      </c>
      <c r="E221" s="11" t="s">
        <v>153</v>
      </c>
      <c r="F221" s="12">
        <v>1389</v>
      </c>
      <c r="G221" s="12">
        <f>F221*Kurallar!$B$2</f>
        <v>833.4</v>
      </c>
      <c r="H221" s="12">
        <f>G221*J221</f>
        <v>2500.1999999999998</v>
      </c>
      <c r="I221" s="10" t="s">
        <v>142</v>
      </c>
      <c r="J221" s="13">
        <v>3</v>
      </c>
      <c r="K221" s="10" t="s">
        <v>146</v>
      </c>
      <c r="L221" s="12"/>
      <c r="M221" s="12">
        <v>2500.1999999999998</v>
      </c>
    </row>
    <row r="222" spans="1:13" ht="15" hidden="1" customHeight="1" x14ac:dyDescent="0.25">
      <c r="A222" s="10">
        <v>7</v>
      </c>
      <c r="B222" s="10" t="str">
        <f t="shared" si="22"/>
        <v>L7LS-WC-ЩР-1 — Кассы и общественные туалеты нижней станций L7 LS</v>
      </c>
      <c r="C222" s="10" t="s">
        <v>149</v>
      </c>
      <c r="D222" s="10" t="s">
        <v>190</v>
      </c>
      <c r="E222" s="11" t="s">
        <v>191</v>
      </c>
      <c r="F222" s="12">
        <v>6060</v>
      </c>
      <c r="G222" s="12">
        <f>F222*Kurallar!$B$2</f>
        <v>3636</v>
      </c>
      <c r="H222" s="12">
        <f>G222*J222</f>
        <v>3636</v>
      </c>
      <c r="I222" s="10" t="s">
        <v>142</v>
      </c>
      <c r="J222" s="13">
        <v>1</v>
      </c>
      <c r="K222" s="10" t="s">
        <v>146</v>
      </c>
      <c r="L222" s="12"/>
      <c r="M222" s="12">
        <v>3636</v>
      </c>
    </row>
    <row r="223" spans="1:13" ht="15" hidden="1" customHeight="1" x14ac:dyDescent="0.25">
      <c r="A223" s="10">
        <v>8</v>
      </c>
      <c r="B223" s="10" t="str">
        <f t="shared" si="22"/>
        <v>L7LS-WC-ЩР-1 — Кассы и общественные туалеты нижней станций L7 LS</v>
      </c>
      <c r="C223" s="10" t="s">
        <v>156</v>
      </c>
      <c r="D223" s="10" t="s">
        <v>157</v>
      </c>
      <c r="E223" s="11" t="s">
        <v>158</v>
      </c>
      <c r="F223" s="12">
        <v>5104</v>
      </c>
      <c r="G223" s="12">
        <f>F223*Kurallar!$B$2</f>
        <v>3062.4</v>
      </c>
      <c r="H223" s="12">
        <f>G223*J223</f>
        <v>18374.400000000001</v>
      </c>
      <c r="I223" s="10" t="s">
        <v>142</v>
      </c>
      <c r="J223" s="13">
        <v>6</v>
      </c>
      <c r="K223" s="10" t="s">
        <v>146</v>
      </c>
      <c r="L223" s="12"/>
      <c r="M223" s="12">
        <v>18374.400000000001</v>
      </c>
    </row>
    <row r="224" spans="1:13" ht="15" hidden="1" customHeight="1" x14ac:dyDescent="0.25">
      <c r="A224" s="10">
        <v>9</v>
      </c>
      <c r="B224" s="10" t="str">
        <f t="shared" si="22"/>
        <v>L7LS-WC-ЩР-1 — Кассы и общественные туалеты нижней станций L7 LS</v>
      </c>
      <c r="C224" s="10" t="s">
        <v>156</v>
      </c>
      <c r="D224" s="10" t="s">
        <v>159</v>
      </c>
      <c r="E224" s="11" t="s">
        <v>160</v>
      </c>
      <c r="F224" s="12">
        <v>5632</v>
      </c>
      <c r="G224" s="12">
        <f>F224*Kurallar!$B$2</f>
        <v>3379.2</v>
      </c>
      <c r="H224" s="12">
        <f>G224*J224</f>
        <v>23654.399999999998</v>
      </c>
      <c r="I224" s="10" t="s">
        <v>142</v>
      </c>
      <c r="J224" s="13">
        <v>7</v>
      </c>
      <c r="K224" s="10" t="s">
        <v>146</v>
      </c>
      <c r="L224" s="12"/>
      <c r="M224" s="12">
        <v>23654.399999999998</v>
      </c>
    </row>
    <row r="225" spans="1:13" ht="15" hidden="1" customHeight="1" x14ac:dyDescent="0.25">
      <c r="A225" s="10">
        <v>10</v>
      </c>
      <c r="B225" s="10" t="str">
        <f t="shared" si="22"/>
        <v>L7LS-WC-ЩР-1 — Кассы и общественные туалеты нижней станций L7 LS</v>
      </c>
      <c r="C225" s="10" t="s">
        <v>161</v>
      </c>
      <c r="D225" s="10" t="s">
        <v>162</v>
      </c>
      <c r="E225" s="11" t="s">
        <v>163</v>
      </c>
      <c r="F225" s="12">
        <v>530</v>
      </c>
      <c r="G225" s="12">
        <f>F225*Kurallar!$B$3</f>
        <v>530</v>
      </c>
      <c r="H225" s="12">
        <f>G225*J225</f>
        <v>530</v>
      </c>
      <c r="I225" s="10" t="s">
        <v>142</v>
      </c>
      <c r="J225" s="13">
        <v>1</v>
      </c>
      <c r="K225" s="14" t="s">
        <v>372</v>
      </c>
      <c r="L225" s="12"/>
      <c r="M225" s="12">
        <v>530</v>
      </c>
    </row>
    <row r="226" spans="1:13" ht="15" hidden="1" customHeight="1" x14ac:dyDescent="0.25">
      <c r="A226" s="10">
        <v>11</v>
      </c>
      <c r="B226" s="10" t="str">
        <f t="shared" si="22"/>
        <v>L7LS-WC-ЩР-1 — Кассы и общественные туалеты нижней станций L7 LS</v>
      </c>
      <c r="C226" s="10" t="s">
        <v>161</v>
      </c>
      <c r="D226" s="10" t="s">
        <v>165</v>
      </c>
      <c r="E226" s="11" t="s">
        <v>166</v>
      </c>
      <c r="F226" s="12">
        <v>634</v>
      </c>
      <c r="G226" s="12">
        <f>F226*Kurallar!$B$3</f>
        <v>634</v>
      </c>
      <c r="H226" s="12">
        <f>G226*J226</f>
        <v>1902</v>
      </c>
      <c r="I226" s="10" t="s">
        <v>142</v>
      </c>
      <c r="J226" s="13">
        <v>3</v>
      </c>
      <c r="K226" s="14" t="s">
        <v>372</v>
      </c>
      <c r="L226" s="12"/>
      <c r="M226" s="12">
        <v>1902</v>
      </c>
    </row>
    <row r="227" spans="1:13" ht="15" hidden="1" customHeight="1" x14ac:dyDescent="0.25">
      <c r="A227" s="10">
        <v>12</v>
      </c>
      <c r="B227" s="10" t="str">
        <f t="shared" si="22"/>
        <v>L7LS-WC-ЩР-1 — Кассы и общественные туалеты нижней станций L7 LS</v>
      </c>
      <c r="C227" s="10" t="s">
        <v>31</v>
      </c>
      <c r="D227" s="10" t="s">
        <v>373</v>
      </c>
      <c r="E227" s="11" t="s">
        <v>374</v>
      </c>
      <c r="F227" s="12">
        <v>140</v>
      </c>
      <c r="G227" s="12">
        <f t="shared" ref="G227:G228" si="23">0.6*F227</f>
        <v>84</v>
      </c>
      <c r="H227" s="12">
        <f>G227*J227</f>
        <v>2184</v>
      </c>
      <c r="I227" s="10" t="s">
        <v>142</v>
      </c>
      <c r="J227" s="13">
        <v>26</v>
      </c>
      <c r="K227" s="14" t="s">
        <v>375</v>
      </c>
      <c r="L227" s="12"/>
      <c r="M227" s="12">
        <v>2184</v>
      </c>
    </row>
    <row r="228" spans="1:13" ht="15" hidden="1" customHeight="1" x14ac:dyDescent="0.25">
      <c r="A228" s="10">
        <v>13</v>
      </c>
      <c r="B228" s="10" t="str">
        <f t="shared" si="22"/>
        <v>L7LS-WC-ЩР-1 — Кассы и общественные туалеты нижней станций L7 LS</v>
      </c>
      <c r="C228" s="10" t="s">
        <v>31</v>
      </c>
      <c r="D228" s="10" t="s">
        <v>373</v>
      </c>
      <c r="E228" s="11" t="s">
        <v>374</v>
      </c>
      <c r="F228" s="12">
        <v>140</v>
      </c>
      <c r="G228" s="12">
        <f t="shared" si="23"/>
        <v>84</v>
      </c>
      <c r="H228" s="12">
        <f>G228*J228</f>
        <v>1848</v>
      </c>
      <c r="I228" s="10" t="s">
        <v>142</v>
      </c>
      <c r="J228" s="13">
        <v>22</v>
      </c>
      <c r="K228" s="14" t="s">
        <v>375</v>
      </c>
      <c r="L228" s="12"/>
      <c r="M228" s="12">
        <v>1848</v>
      </c>
    </row>
    <row r="229" spans="1:13" ht="15" hidden="1" customHeight="1" x14ac:dyDescent="0.25">
      <c r="A229" s="10">
        <v>14</v>
      </c>
      <c r="B229" s="10" t="str">
        <f t="shared" si="22"/>
        <v>L7LS-WC-ЩР-1 — Кассы и общественные туалеты нижней станций L7 LS</v>
      </c>
      <c r="C229" s="10" t="s">
        <v>167</v>
      </c>
      <c r="D229" s="10" t="s">
        <v>168</v>
      </c>
      <c r="E229" s="11" t="s">
        <v>169</v>
      </c>
      <c r="F229" s="12">
        <v>869</v>
      </c>
      <c r="G229" s="12">
        <f>F229*Kurallar!$B$2</f>
        <v>521.4</v>
      </c>
      <c r="H229" s="12">
        <f>G229*J229</f>
        <v>521.4</v>
      </c>
      <c r="I229" s="10" t="s">
        <v>170</v>
      </c>
      <c r="J229" s="13">
        <v>1</v>
      </c>
      <c r="K229" s="10" t="s">
        <v>146</v>
      </c>
      <c r="L229" s="12"/>
      <c r="M229" s="12">
        <v>521.4</v>
      </c>
    </row>
    <row r="230" spans="1:13" ht="15" hidden="1" customHeight="1" x14ac:dyDescent="0.25">
      <c r="A230" s="10">
        <v>15</v>
      </c>
      <c r="B230" s="10" t="str">
        <f t="shared" si="22"/>
        <v>L7LS-WC-ЩР-1 — Кассы и общественные туалеты нижней станций L7 LS</v>
      </c>
      <c r="C230" s="10" t="s">
        <v>167</v>
      </c>
      <c r="D230" s="10" t="s">
        <v>171</v>
      </c>
      <c r="E230" s="11" t="s">
        <v>172</v>
      </c>
      <c r="F230" s="12">
        <v>1808</v>
      </c>
      <c r="G230" s="12">
        <f>F230*Kurallar!$B$3</f>
        <v>1808</v>
      </c>
      <c r="H230" s="12">
        <f>G230*J230</f>
        <v>1808</v>
      </c>
      <c r="I230" s="10" t="s">
        <v>142</v>
      </c>
      <c r="J230" s="13">
        <v>1</v>
      </c>
      <c r="K230" s="10" t="s">
        <v>164</v>
      </c>
      <c r="L230" s="12"/>
      <c r="M230" s="12">
        <v>1808</v>
      </c>
    </row>
    <row r="231" spans="1:13" ht="15" hidden="1" customHeight="1" x14ac:dyDescent="0.25">
      <c r="A231" s="10">
        <v>16</v>
      </c>
      <c r="B231" s="10" t="str">
        <f t="shared" si="22"/>
        <v>L7LS-WC-ЩР-1 — Кассы и общественные туалеты нижней станций L7 LS</v>
      </c>
      <c r="C231" s="10" t="s">
        <v>167</v>
      </c>
      <c r="D231" s="10" t="s">
        <v>173</v>
      </c>
      <c r="E231" s="11" t="s">
        <v>174</v>
      </c>
      <c r="F231" s="12">
        <v>127</v>
      </c>
      <c r="G231" s="12">
        <f>F231*Kurallar!$B$3</f>
        <v>127</v>
      </c>
      <c r="H231" s="12">
        <f>G231*J231</f>
        <v>3556</v>
      </c>
      <c r="I231" s="10" t="s">
        <v>170</v>
      </c>
      <c r="J231" s="13">
        <v>28</v>
      </c>
      <c r="K231" s="10" t="s">
        <v>143</v>
      </c>
      <c r="L231" s="12"/>
      <c r="M231" s="12">
        <v>3556</v>
      </c>
    </row>
    <row r="232" spans="1:13" ht="15" hidden="1" customHeight="1" x14ac:dyDescent="0.25">
      <c r="A232" s="10">
        <v>17</v>
      </c>
      <c r="B232" s="10" t="str">
        <f t="shared" si="22"/>
        <v>L7LS-WC-ЩР-1 — Кассы и общественные туалеты нижней станций L7 LS</v>
      </c>
      <c r="C232" s="10" t="s">
        <v>167</v>
      </c>
      <c r="D232" s="10" t="s">
        <v>175</v>
      </c>
      <c r="E232" s="11" t="s">
        <v>176</v>
      </c>
      <c r="F232" s="12">
        <v>918</v>
      </c>
      <c r="G232" s="12">
        <f>F232*Kurallar!$B$3</f>
        <v>918</v>
      </c>
      <c r="H232" s="12">
        <f>G232*J232</f>
        <v>7344</v>
      </c>
      <c r="I232" s="10" t="s">
        <v>170</v>
      </c>
      <c r="J232" s="13">
        <v>8</v>
      </c>
      <c r="K232" s="10" t="s">
        <v>143</v>
      </c>
      <c r="L232" s="12"/>
      <c r="M232" s="12">
        <v>7344</v>
      </c>
    </row>
    <row r="233" spans="1:13" ht="15" hidden="1" customHeight="1" x14ac:dyDescent="0.25">
      <c r="A233" s="10">
        <v>18</v>
      </c>
      <c r="B233" s="10" t="str">
        <f t="shared" si="22"/>
        <v>L7LS-WC-ЩР-1 — Кассы и общественные туалеты нижней станций L7 LS</v>
      </c>
      <c r="C233" s="10" t="s">
        <v>167</v>
      </c>
      <c r="D233" s="10" t="s">
        <v>177</v>
      </c>
      <c r="E233" s="11" t="s">
        <v>178</v>
      </c>
      <c r="F233" s="12">
        <v>79</v>
      </c>
      <c r="G233" s="12">
        <f>F233*Kurallar!$B$3</f>
        <v>79</v>
      </c>
      <c r="H233" s="12">
        <f>G233*J233</f>
        <v>632</v>
      </c>
      <c r="I233" s="10" t="s">
        <v>170</v>
      </c>
      <c r="J233" s="13">
        <v>8</v>
      </c>
      <c r="K233" s="10" t="s">
        <v>143</v>
      </c>
      <c r="L233" s="12"/>
      <c r="M233" s="12">
        <v>632</v>
      </c>
    </row>
    <row r="234" spans="1:13" ht="23.25" hidden="1" customHeight="1" x14ac:dyDescent="0.25">
      <c r="A234" s="10">
        <v>19</v>
      </c>
      <c r="B234" s="10" t="str">
        <f t="shared" si="22"/>
        <v>L7LS-WC-ЩР-1 — Кассы и общественные туалеты нижней станций L7 LS</v>
      </c>
      <c r="C234" s="10" t="s">
        <v>167</v>
      </c>
      <c r="D234" s="10" t="s">
        <v>179</v>
      </c>
      <c r="E234" s="11" t="s">
        <v>180</v>
      </c>
      <c r="F234" s="12"/>
      <c r="G234" s="12">
        <f>SUM(H217:H233)*Kurallar!$B$5</f>
        <v>9237.3900000000012</v>
      </c>
      <c r="H234" s="12">
        <f>G234*J234</f>
        <v>9237.3900000000012</v>
      </c>
      <c r="I234" s="10" t="s">
        <v>142</v>
      </c>
      <c r="J234" s="13">
        <v>1</v>
      </c>
      <c r="K234" s="10" t="s">
        <v>181</v>
      </c>
      <c r="L234" s="12"/>
      <c r="M234" s="12">
        <v>9237.3900000000012</v>
      </c>
    </row>
    <row r="235" spans="1:13" ht="15" hidden="1" customHeight="1" x14ac:dyDescent="0.25">
      <c r="A235" s="10">
        <v>20</v>
      </c>
      <c r="B235" s="10" t="str">
        <f t="shared" si="22"/>
        <v>L7LS-WC-ЩР-1 — Кассы и общественные туалеты нижней станций L7 LS</v>
      </c>
      <c r="C235" s="10" t="s">
        <v>182</v>
      </c>
      <c r="D235" s="10" t="s">
        <v>183</v>
      </c>
      <c r="E235" s="11" t="s">
        <v>184</v>
      </c>
      <c r="F235" s="12">
        <f>J235/60</f>
        <v>5.3</v>
      </c>
      <c r="G235" s="12">
        <f>Kurallar!$B$6</f>
        <v>100</v>
      </c>
      <c r="H235" s="12">
        <f>G235*J235</f>
        <v>31800</v>
      </c>
      <c r="I235" s="10" t="s">
        <v>185</v>
      </c>
      <c r="J235" s="13">
        <f>ROUND((Kurallar!$B$11+1*Kurallar!$B$13+0*Kurallar!$B$14+0*Kurallar!$B$15+1*Kurallar!$B$16+0*Kurallar!$B$17+0*Kurallar!$B$18+13*Kurallar!$B$19+6*Kurallar!$B$20+1*Kurallar!$B$21+48*Kurallar!$B$22+4*Kurallar!$B$23+0*Kurallar!$B$24+3*Kurallar!$B$25)*Kurallar!$B$7,0)*0.4</f>
        <v>318</v>
      </c>
      <c r="K235" s="10" t="s">
        <v>181</v>
      </c>
      <c r="L235" s="12"/>
      <c r="M235" s="12">
        <v>31800</v>
      </c>
    </row>
    <row r="236" spans="1:13" ht="15" customHeight="1" x14ac:dyDescent="0.25">
      <c r="A236" s="15"/>
      <c r="B236" s="15" t="s">
        <v>262</v>
      </c>
      <c r="C236" s="15"/>
      <c r="D236" s="15"/>
      <c r="E236" s="16"/>
      <c r="F236" s="17"/>
      <c r="G236" s="17"/>
      <c r="H236" s="17">
        <f>SUBTOTAL(9,H217:H235)</f>
        <v>0</v>
      </c>
      <c r="I236" s="15"/>
      <c r="J236" s="18"/>
      <c r="K236" s="15"/>
      <c r="L236" s="17">
        <f>SUBTOTAL(9,H217:H233)</f>
        <v>0</v>
      </c>
      <c r="M236" s="17">
        <v>348950.39000000007</v>
      </c>
    </row>
    <row r="237" spans="1:13" ht="15" customHeight="1" x14ac:dyDescent="0.25">
      <c r="A237" s="19">
        <v>1</v>
      </c>
      <c r="B237" s="20" t="str">
        <f>E237</f>
        <v>L7US-ЩР-1 — Здание оператора верхней станции L7 US</v>
      </c>
      <c r="C237" s="19" t="s">
        <v>136</v>
      </c>
      <c r="D237" s="19" t="s">
        <v>263</v>
      </c>
      <c r="E237" s="21" t="s">
        <v>264</v>
      </c>
      <c r="F237" s="22"/>
      <c r="G237" s="22"/>
      <c r="H237" s="22"/>
      <c r="I237" s="19" t="s">
        <v>139</v>
      </c>
      <c r="J237" s="23">
        <v>1</v>
      </c>
      <c r="K237" s="19"/>
      <c r="L237" s="22"/>
      <c r="M237" s="22"/>
    </row>
    <row r="238" spans="1:13" ht="15" hidden="1" customHeight="1" x14ac:dyDescent="0.25">
      <c r="A238" s="10">
        <v>2</v>
      </c>
      <c r="B238" s="10" t="str">
        <f t="shared" ref="B238:B256" si="24">B237</f>
        <v>L7US-ЩР-1 — Здание оператора верхней станции L7 US</v>
      </c>
      <c r="C238" s="10" t="s">
        <v>140</v>
      </c>
      <c r="D238" s="10" t="s">
        <v>386</v>
      </c>
      <c r="E238" s="24" t="s">
        <v>387</v>
      </c>
      <c r="F238" s="12">
        <v>48210</v>
      </c>
      <c r="G238" s="12">
        <f>0.5*F238</f>
        <v>24105</v>
      </c>
      <c r="H238" s="12">
        <f>G238*J238</f>
        <v>24105</v>
      </c>
      <c r="I238" s="10" t="s">
        <v>142</v>
      </c>
      <c r="J238" s="13">
        <v>1</v>
      </c>
      <c r="K238" s="14" t="s">
        <v>390</v>
      </c>
      <c r="L238" s="12"/>
      <c r="M238" s="12">
        <v>24105</v>
      </c>
    </row>
    <row r="239" spans="1:13" ht="15" hidden="1" customHeight="1" x14ac:dyDescent="0.25">
      <c r="A239" s="10">
        <v>3</v>
      </c>
      <c r="B239" s="10" t="str">
        <f t="shared" si="24"/>
        <v>L7US-ЩР-1 — Здание оператора верхней станции L7 US</v>
      </c>
      <c r="C239" s="14" t="s">
        <v>371</v>
      </c>
      <c r="D239" s="10" t="s">
        <v>144</v>
      </c>
      <c r="E239" s="11" t="s">
        <v>145</v>
      </c>
      <c r="F239" s="12">
        <v>201862</v>
      </c>
      <c r="G239" s="12">
        <f>F239*Kurallar!$B$2</f>
        <v>121117.2</v>
      </c>
      <c r="H239" s="12">
        <f>G239*J239</f>
        <v>121117.2</v>
      </c>
      <c r="I239" s="10" t="s">
        <v>142</v>
      </c>
      <c r="J239" s="13">
        <v>1</v>
      </c>
      <c r="K239" s="10" t="s">
        <v>146</v>
      </c>
      <c r="L239" s="12"/>
      <c r="M239" s="12">
        <v>121117.2</v>
      </c>
    </row>
    <row r="240" spans="1:13" ht="15" hidden="1" customHeight="1" x14ac:dyDescent="0.25">
      <c r="A240" s="10">
        <v>4</v>
      </c>
      <c r="B240" s="10" t="str">
        <f t="shared" si="24"/>
        <v>L7US-ЩР-1 — Здание оператора верхней станции L7 US</v>
      </c>
      <c r="C240" s="10" t="s">
        <v>147</v>
      </c>
      <c r="D240" s="10" t="s">
        <v>391</v>
      </c>
      <c r="E240" s="24" t="s">
        <v>392</v>
      </c>
      <c r="F240" s="12">
        <v>88000</v>
      </c>
      <c r="G240" s="12">
        <f>F240*Kurallar!$B$4</f>
        <v>88000</v>
      </c>
      <c r="H240" s="12">
        <f>G240*J240</f>
        <v>88000</v>
      </c>
      <c r="I240" s="10" t="s">
        <v>142</v>
      </c>
      <c r="J240" s="13">
        <v>1</v>
      </c>
      <c r="K240" s="10" t="s">
        <v>148</v>
      </c>
      <c r="L240" s="12"/>
      <c r="M240" s="12">
        <v>88000</v>
      </c>
    </row>
    <row r="241" spans="1:13" ht="15" hidden="1" customHeight="1" x14ac:dyDescent="0.25">
      <c r="A241" s="10">
        <v>5</v>
      </c>
      <c r="B241" s="10" t="str">
        <f t="shared" si="24"/>
        <v>L7US-ЩР-1 — Здание оператора верхней станции L7 US</v>
      </c>
      <c r="C241" s="10" t="s">
        <v>149</v>
      </c>
      <c r="D241" s="10" t="s">
        <v>150</v>
      </c>
      <c r="E241" s="11" t="s">
        <v>151</v>
      </c>
      <c r="F241" s="12">
        <v>1419</v>
      </c>
      <c r="G241" s="12">
        <f>F241*Kurallar!$B$2</f>
        <v>851.4</v>
      </c>
      <c r="H241" s="12">
        <f>G241*J241</f>
        <v>851.4</v>
      </c>
      <c r="I241" s="10" t="s">
        <v>142</v>
      </c>
      <c r="J241" s="13">
        <v>1</v>
      </c>
      <c r="K241" s="10" t="s">
        <v>146</v>
      </c>
      <c r="L241" s="12"/>
      <c r="M241" s="12">
        <v>851.4</v>
      </c>
    </row>
    <row r="242" spans="1:13" ht="15" hidden="1" customHeight="1" x14ac:dyDescent="0.25">
      <c r="A242" s="10">
        <v>6</v>
      </c>
      <c r="B242" s="10" t="str">
        <f t="shared" si="24"/>
        <v>L7US-ЩР-1 — Здание оператора верхней станции L7 US</v>
      </c>
      <c r="C242" s="10" t="s">
        <v>149</v>
      </c>
      <c r="D242" s="10" t="s">
        <v>152</v>
      </c>
      <c r="E242" s="11" t="s">
        <v>153</v>
      </c>
      <c r="F242" s="12">
        <v>1389</v>
      </c>
      <c r="G242" s="12">
        <f>F242*Kurallar!$B$2</f>
        <v>833.4</v>
      </c>
      <c r="H242" s="12">
        <f>G242*J242</f>
        <v>2500.1999999999998</v>
      </c>
      <c r="I242" s="10" t="s">
        <v>142</v>
      </c>
      <c r="J242" s="13">
        <v>3</v>
      </c>
      <c r="K242" s="10" t="s">
        <v>146</v>
      </c>
      <c r="L242" s="12"/>
      <c r="M242" s="12">
        <v>2500.1999999999998</v>
      </c>
    </row>
    <row r="243" spans="1:13" ht="15" hidden="1" customHeight="1" x14ac:dyDescent="0.25">
      <c r="A243" s="10">
        <v>7</v>
      </c>
      <c r="B243" s="10" t="str">
        <f t="shared" si="24"/>
        <v>L7US-ЩР-1 — Здание оператора верхней станции L7 US</v>
      </c>
      <c r="C243" s="10" t="s">
        <v>149</v>
      </c>
      <c r="D243" s="10" t="s">
        <v>154</v>
      </c>
      <c r="E243" s="11" t="s">
        <v>155</v>
      </c>
      <c r="F243" s="12">
        <v>5884</v>
      </c>
      <c r="G243" s="12">
        <f>F243*Kurallar!$B$2</f>
        <v>3530.4</v>
      </c>
      <c r="H243" s="12">
        <f>G243*J243</f>
        <v>3530.4</v>
      </c>
      <c r="I243" s="10" t="s">
        <v>142</v>
      </c>
      <c r="J243" s="13">
        <v>1</v>
      </c>
      <c r="K243" s="10" t="s">
        <v>146</v>
      </c>
      <c r="L243" s="12"/>
      <c r="M243" s="12">
        <v>3530.4</v>
      </c>
    </row>
    <row r="244" spans="1:13" ht="15" hidden="1" customHeight="1" x14ac:dyDescent="0.25">
      <c r="A244" s="10">
        <v>8</v>
      </c>
      <c r="B244" s="10" t="str">
        <f t="shared" si="24"/>
        <v>L7US-ЩР-1 — Здание оператора верхней станции L7 US</v>
      </c>
      <c r="C244" s="10" t="s">
        <v>156</v>
      </c>
      <c r="D244" s="10" t="s">
        <v>157</v>
      </c>
      <c r="E244" s="11" t="s">
        <v>158</v>
      </c>
      <c r="F244" s="12">
        <v>5104</v>
      </c>
      <c r="G244" s="12">
        <f>F244*Kurallar!$B$2</f>
        <v>3062.4</v>
      </c>
      <c r="H244" s="12">
        <f>G244*J244</f>
        <v>9187.2000000000007</v>
      </c>
      <c r="I244" s="10" t="s">
        <v>142</v>
      </c>
      <c r="J244" s="13">
        <v>3</v>
      </c>
      <c r="K244" s="10" t="s">
        <v>146</v>
      </c>
      <c r="L244" s="12"/>
      <c r="M244" s="12">
        <v>9187.2000000000007</v>
      </c>
    </row>
    <row r="245" spans="1:13" ht="15" hidden="1" customHeight="1" x14ac:dyDescent="0.25">
      <c r="A245" s="10">
        <v>9</v>
      </c>
      <c r="B245" s="10" t="str">
        <f t="shared" si="24"/>
        <v>L7US-ЩР-1 — Здание оператора верхней станции L7 US</v>
      </c>
      <c r="C245" s="10" t="s">
        <v>156</v>
      </c>
      <c r="D245" s="10" t="s">
        <v>159</v>
      </c>
      <c r="E245" s="11" t="s">
        <v>160</v>
      </c>
      <c r="F245" s="12">
        <v>5632</v>
      </c>
      <c r="G245" s="12">
        <f>F245*Kurallar!$B$2</f>
        <v>3379.2</v>
      </c>
      <c r="H245" s="12">
        <f>G245*J245</f>
        <v>6758.4</v>
      </c>
      <c r="I245" s="10" t="s">
        <v>142</v>
      </c>
      <c r="J245" s="13">
        <v>2</v>
      </c>
      <c r="K245" s="10" t="s">
        <v>146</v>
      </c>
      <c r="L245" s="12"/>
      <c r="M245" s="12">
        <v>6758.4</v>
      </c>
    </row>
    <row r="246" spans="1:13" ht="15" hidden="1" customHeight="1" x14ac:dyDescent="0.25">
      <c r="A246" s="10">
        <v>10</v>
      </c>
      <c r="B246" s="10" t="str">
        <f t="shared" si="24"/>
        <v>L7US-ЩР-1 — Здание оператора верхней станции L7 US</v>
      </c>
      <c r="C246" s="10" t="s">
        <v>161</v>
      </c>
      <c r="D246" s="10" t="s">
        <v>162</v>
      </c>
      <c r="E246" s="11" t="s">
        <v>163</v>
      </c>
      <c r="F246" s="12">
        <v>530</v>
      </c>
      <c r="G246" s="12">
        <f>F246*Kurallar!$B$3</f>
        <v>530</v>
      </c>
      <c r="H246" s="12">
        <f>G246*J246</f>
        <v>530</v>
      </c>
      <c r="I246" s="10" t="s">
        <v>142</v>
      </c>
      <c r="J246" s="13">
        <v>1</v>
      </c>
      <c r="K246" s="14" t="s">
        <v>372</v>
      </c>
      <c r="L246" s="12"/>
      <c r="M246" s="12">
        <v>530</v>
      </c>
    </row>
    <row r="247" spans="1:13" ht="15" hidden="1" customHeight="1" x14ac:dyDescent="0.25">
      <c r="A247" s="10">
        <v>11</v>
      </c>
      <c r="B247" s="10" t="str">
        <f t="shared" si="24"/>
        <v>L7US-ЩР-1 — Здание оператора верхней станции L7 US</v>
      </c>
      <c r="C247" s="10" t="s">
        <v>161</v>
      </c>
      <c r="D247" s="10" t="s">
        <v>165</v>
      </c>
      <c r="E247" s="11" t="s">
        <v>166</v>
      </c>
      <c r="F247" s="12">
        <v>634</v>
      </c>
      <c r="G247" s="12">
        <f>F247*Kurallar!$B$3</f>
        <v>634</v>
      </c>
      <c r="H247" s="12">
        <f>G247*J247</f>
        <v>1268</v>
      </c>
      <c r="I247" s="10" t="s">
        <v>142</v>
      </c>
      <c r="J247" s="13">
        <v>2</v>
      </c>
      <c r="K247" s="14" t="s">
        <v>372</v>
      </c>
      <c r="L247" s="12"/>
      <c r="M247" s="12">
        <v>1268</v>
      </c>
    </row>
    <row r="248" spans="1:13" ht="15" hidden="1" customHeight="1" x14ac:dyDescent="0.25">
      <c r="A248" s="10">
        <v>12</v>
      </c>
      <c r="B248" s="10" t="str">
        <f t="shared" si="24"/>
        <v>L7US-ЩР-1 — Здание оператора верхней станции L7 US</v>
      </c>
      <c r="C248" s="10" t="s">
        <v>31</v>
      </c>
      <c r="D248" s="10" t="s">
        <v>373</v>
      </c>
      <c r="E248" s="11" t="s">
        <v>374</v>
      </c>
      <c r="F248" s="12">
        <v>140</v>
      </c>
      <c r="G248" s="12">
        <f t="shared" ref="G248:G249" si="25">0.6*F248</f>
        <v>84</v>
      </c>
      <c r="H248" s="12">
        <f>G248*J248</f>
        <v>1344</v>
      </c>
      <c r="I248" s="10" t="s">
        <v>142</v>
      </c>
      <c r="J248" s="13">
        <v>16</v>
      </c>
      <c r="K248" s="14" t="s">
        <v>375</v>
      </c>
      <c r="L248" s="12"/>
      <c r="M248" s="12">
        <v>1344</v>
      </c>
    </row>
    <row r="249" spans="1:13" ht="15" hidden="1" customHeight="1" x14ac:dyDescent="0.25">
      <c r="A249" s="10">
        <v>13</v>
      </c>
      <c r="B249" s="10" t="str">
        <f t="shared" si="24"/>
        <v>L7US-ЩР-1 — Здание оператора верхней станции L7 US</v>
      </c>
      <c r="C249" s="10" t="s">
        <v>31</v>
      </c>
      <c r="D249" s="10" t="s">
        <v>373</v>
      </c>
      <c r="E249" s="11" t="s">
        <v>374</v>
      </c>
      <c r="F249" s="12">
        <v>140</v>
      </c>
      <c r="G249" s="12">
        <f t="shared" si="25"/>
        <v>84</v>
      </c>
      <c r="H249" s="12">
        <f>G249*J249</f>
        <v>1008</v>
      </c>
      <c r="I249" s="10" t="s">
        <v>142</v>
      </c>
      <c r="J249" s="13">
        <v>12</v>
      </c>
      <c r="K249" s="14" t="s">
        <v>375</v>
      </c>
      <c r="L249" s="12"/>
      <c r="M249" s="12">
        <v>1008</v>
      </c>
    </row>
    <row r="250" spans="1:13" ht="15" hidden="1" customHeight="1" x14ac:dyDescent="0.25">
      <c r="A250" s="10">
        <v>14</v>
      </c>
      <c r="B250" s="10" t="str">
        <f t="shared" si="24"/>
        <v>L7US-ЩР-1 — Здание оператора верхней станции L7 US</v>
      </c>
      <c r="C250" s="10" t="s">
        <v>167</v>
      </c>
      <c r="D250" s="10" t="s">
        <v>168</v>
      </c>
      <c r="E250" s="11" t="s">
        <v>169</v>
      </c>
      <c r="F250" s="12">
        <v>869</v>
      </c>
      <c r="G250" s="12">
        <f>F250*Kurallar!$B$2</f>
        <v>521.4</v>
      </c>
      <c r="H250" s="12">
        <f>G250*J250</f>
        <v>521.4</v>
      </c>
      <c r="I250" s="10" t="s">
        <v>170</v>
      </c>
      <c r="J250" s="13">
        <v>1</v>
      </c>
      <c r="K250" s="10" t="s">
        <v>146</v>
      </c>
      <c r="L250" s="12"/>
      <c r="M250" s="12">
        <v>521.4</v>
      </c>
    </row>
    <row r="251" spans="1:13" ht="15" hidden="1" customHeight="1" x14ac:dyDescent="0.25">
      <c r="A251" s="10">
        <v>15</v>
      </c>
      <c r="B251" s="10" t="str">
        <f t="shared" si="24"/>
        <v>L7US-ЩР-1 — Здание оператора верхней станции L7 US</v>
      </c>
      <c r="C251" s="10" t="s">
        <v>167</v>
      </c>
      <c r="D251" s="10" t="s">
        <v>171</v>
      </c>
      <c r="E251" s="11" t="s">
        <v>172</v>
      </c>
      <c r="F251" s="12">
        <v>1808</v>
      </c>
      <c r="G251" s="12">
        <f>F251*Kurallar!$B$3</f>
        <v>1808</v>
      </c>
      <c r="H251" s="12">
        <f>G251*J251</f>
        <v>1808</v>
      </c>
      <c r="I251" s="10" t="s">
        <v>142</v>
      </c>
      <c r="J251" s="13">
        <v>1</v>
      </c>
      <c r="K251" s="10" t="s">
        <v>164</v>
      </c>
      <c r="L251" s="12"/>
      <c r="M251" s="12">
        <v>1808</v>
      </c>
    </row>
    <row r="252" spans="1:13" ht="15" hidden="1" customHeight="1" x14ac:dyDescent="0.25">
      <c r="A252" s="10">
        <v>16</v>
      </c>
      <c r="B252" s="10" t="str">
        <f t="shared" si="24"/>
        <v>L7US-ЩР-1 — Здание оператора верхней станции L7 US</v>
      </c>
      <c r="C252" s="10" t="s">
        <v>167</v>
      </c>
      <c r="D252" s="10" t="s">
        <v>173</v>
      </c>
      <c r="E252" s="11" t="s">
        <v>174</v>
      </c>
      <c r="F252" s="12">
        <v>127</v>
      </c>
      <c r="G252" s="12">
        <f>F252*Kurallar!$B$3</f>
        <v>127</v>
      </c>
      <c r="H252" s="12">
        <f>G252*J252</f>
        <v>2032</v>
      </c>
      <c r="I252" s="10" t="s">
        <v>170</v>
      </c>
      <c r="J252" s="13">
        <v>16</v>
      </c>
      <c r="K252" s="10" t="s">
        <v>143</v>
      </c>
      <c r="L252" s="12"/>
      <c r="M252" s="12">
        <v>2032</v>
      </c>
    </row>
    <row r="253" spans="1:13" ht="15" hidden="1" customHeight="1" x14ac:dyDescent="0.25">
      <c r="A253" s="10">
        <v>17</v>
      </c>
      <c r="B253" s="10" t="str">
        <f t="shared" si="24"/>
        <v>L7US-ЩР-1 — Здание оператора верхней станции L7 US</v>
      </c>
      <c r="C253" s="10" t="s">
        <v>167</v>
      </c>
      <c r="D253" s="10" t="s">
        <v>175</v>
      </c>
      <c r="E253" s="11" t="s">
        <v>176</v>
      </c>
      <c r="F253" s="12">
        <v>918</v>
      </c>
      <c r="G253" s="12">
        <f>F253*Kurallar!$B$3</f>
        <v>918</v>
      </c>
      <c r="H253" s="12">
        <f>G253*J253</f>
        <v>7344</v>
      </c>
      <c r="I253" s="10" t="s">
        <v>170</v>
      </c>
      <c r="J253" s="13">
        <v>8</v>
      </c>
      <c r="K253" s="10" t="s">
        <v>143</v>
      </c>
      <c r="L253" s="12"/>
      <c r="M253" s="12">
        <v>7344</v>
      </c>
    </row>
    <row r="254" spans="1:13" ht="15" hidden="1" customHeight="1" x14ac:dyDescent="0.25">
      <c r="A254" s="10">
        <v>18</v>
      </c>
      <c r="B254" s="10" t="str">
        <f t="shared" si="24"/>
        <v>L7US-ЩР-1 — Здание оператора верхней станции L7 US</v>
      </c>
      <c r="C254" s="10" t="s">
        <v>167</v>
      </c>
      <c r="D254" s="10" t="s">
        <v>177</v>
      </c>
      <c r="E254" s="11" t="s">
        <v>178</v>
      </c>
      <c r="F254" s="12">
        <v>79</v>
      </c>
      <c r="G254" s="12">
        <f>F254*Kurallar!$B$3</f>
        <v>79</v>
      </c>
      <c r="H254" s="12">
        <f>G254*J254</f>
        <v>395</v>
      </c>
      <c r="I254" s="10" t="s">
        <v>170</v>
      </c>
      <c r="J254" s="13">
        <v>5</v>
      </c>
      <c r="K254" s="10" t="s">
        <v>143</v>
      </c>
      <c r="L254" s="12"/>
      <c r="M254" s="12">
        <v>395</v>
      </c>
    </row>
    <row r="255" spans="1:13" ht="23.25" hidden="1" customHeight="1" x14ac:dyDescent="0.25">
      <c r="A255" s="10">
        <v>19</v>
      </c>
      <c r="B255" s="10" t="str">
        <f t="shared" si="24"/>
        <v>L7US-ЩР-1 — Здание оператора верхней станции L7 US</v>
      </c>
      <c r="C255" s="10" t="s">
        <v>167</v>
      </c>
      <c r="D255" s="10" t="s">
        <v>179</v>
      </c>
      <c r="E255" s="11" t="s">
        <v>180</v>
      </c>
      <c r="F255" s="12"/>
      <c r="G255" s="12">
        <f>SUM(H238:H254)*Kurallar!$B$5</f>
        <v>8169.0060000000003</v>
      </c>
      <c r="H255" s="12">
        <f>G255*J255</f>
        <v>8169.0060000000003</v>
      </c>
      <c r="I255" s="10" t="s">
        <v>142</v>
      </c>
      <c r="J255" s="13">
        <v>1</v>
      </c>
      <c r="K255" s="10" t="s">
        <v>181</v>
      </c>
      <c r="L255" s="12"/>
      <c r="M255" s="12">
        <v>8169.0060000000003</v>
      </c>
    </row>
    <row r="256" spans="1:13" ht="15" hidden="1" customHeight="1" x14ac:dyDescent="0.25">
      <c r="A256" s="10">
        <v>20</v>
      </c>
      <c r="B256" s="10" t="str">
        <f t="shared" si="24"/>
        <v>L7US-ЩР-1 — Здание оператора верхней станции L7 US</v>
      </c>
      <c r="C256" s="10" t="s">
        <v>182</v>
      </c>
      <c r="D256" s="10" t="s">
        <v>183</v>
      </c>
      <c r="E256" s="11" t="s">
        <v>184</v>
      </c>
      <c r="F256" s="12">
        <f>J256/60</f>
        <v>3.6066666666666669</v>
      </c>
      <c r="G256" s="12">
        <f>Kurallar!$B$6</f>
        <v>100</v>
      </c>
      <c r="H256" s="12">
        <f>G256*J256</f>
        <v>21640</v>
      </c>
      <c r="I256" s="10" t="s">
        <v>185</v>
      </c>
      <c r="J256" s="13">
        <f>ROUND((Kurallar!$B$10+1*Kurallar!$B$13+0*Kurallar!$B$14+0*Kurallar!$B$15+1*Kurallar!$B$16+0*Kurallar!$B$17+0*Kurallar!$B$18+5*Kurallar!$B$19+4*Kurallar!$B$20+1*Kurallar!$B$21+28*Kurallar!$B$22+3*Kurallar!$B$23+0*Kurallar!$B$24+3*Kurallar!$B$25)*Kurallar!$B$7,0)*0.4</f>
        <v>216.4</v>
      </c>
      <c r="K256" s="10" t="s">
        <v>181</v>
      </c>
      <c r="L256" s="12"/>
      <c r="M256" s="12">
        <v>21640</v>
      </c>
    </row>
    <row r="257" spans="1:13" ht="15" customHeight="1" x14ac:dyDescent="0.25">
      <c r="A257" s="15"/>
      <c r="B257" s="15" t="s">
        <v>265</v>
      </c>
      <c r="C257" s="15"/>
      <c r="D257" s="15"/>
      <c r="E257" s="16"/>
      <c r="F257" s="17"/>
      <c r="G257" s="17"/>
      <c r="H257" s="17">
        <f>SUBTOTAL(9,H238:H256)</f>
        <v>0</v>
      </c>
      <c r="I257" s="15"/>
      <c r="J257" s="18"/>
      <c r="K257" s="15"/>
      <c r="L257" s="17">
        <f>SUBTOTAL(9,H238:H254)</f>
        <v>0</v>
      </c>
      <c r="M257" s="17">
        <v>302109.20600000001</v>
      </c>
    </row>
    <row r="258" spans="1:13" ht="15" customHeight="1" x14ac:dyDescent="0.25">
      <c r="A258" s="19">
        <v>1</v>
      </c>
      <c r="B258" s="20" t="str">
        <f>E258</f>
        <v>L8-ЩР-1 — Здание оператора L8</v>
      </c>
      <c r="C258" s="19" t="s">
        <v>136</v>
      </c>
      <c r="D258" s="19" t="s">
        <v>266</v>
      </c>
      <c r="E258" s="21" t="s">
        <v>267</v>
      </c>
      <c r="F258" s="22"/>
      <c r="G258" s="22"/>
      <c r="H258" s="22"/>
      <c r="I258" s="19" t="s">
        <v>139</v>
      </c>
      <c r="J258" s="23">
        <v>1</v>
      </c>
      <c r="K258" s="19"/>
      <c r="L258" s="22"/>
      <c r="M258" s="22"/>
    </row>
    <row r="259" spans="1:13" ht="15" hidden="1" customHeight="1" x14ac:dyDescent="0.25">
      <c r="A259" s="10">
        <v>2</v>
      </c>
      <c r="B259" s="10" t="str">
        <f t="shared" ref="B259:B277" si="26">B258</f>
        <v>L8-ЩР-1 — Здание оператора L8</v>
      </c>
      <c r="C259" s="10" t="s">
        <v>140</v>
      </c>
      <c r="D259" s="10" t="s">
        <v>386</v>
      </c>
      <c r="E259" s="24" t="s">
        <v>387</v>
      </c>
      <c r="F259" s="12">
        <v>48210</v>
      </c>
      <c r="G259" s="12">
        <f>0.5*F259</f>
        <v>24105</v>
      </c>
      <c r="H259" s="12">
        <f>G259*J259</f>
        <v>24105</v>
      </c>
      <c r="I259" s="10" t="s">
        <v>142</v>
      </c>
      <c r="J259" s="13">
        <v>1</v>
      </c>
      <c r="K259" s="14" t="s">
        <v>390</v>
      </c>
      <c r="L259" s="12"/>
      <c r="M259" s="12">
        <v>24105</v>
      </c>
    </row>
    <row r="260" spans="1:13" ht="15" hidden="1" customHeight="1" x14ac:dyDescent="0.25">
      <c r="A260" s="10">
        <v>3</v>
      </c>
      <c r="B260" s="10" t="str">
        <f t="shared" si="26"/>
        <v>L8-ЩР-1 — Здание оператора L8</v>
      </c>
      <c r="C260" s="14" t="s">
        <v>371</v>
      </c>
      <c r="D260" s="10" t="s">
        <v>144</v>
      </c>
      <c r="E260" s="11" t="s">
        <v>145</v>
      </c>
      <c r="F260" s="12">
        <v>201862</v>
      </c>
      <c r="G260" s="12">
        <f>F260*Kurallar!$B$2</f>
        <v>121117.2</v>
      </c>
      <c r="H260" s="12">
        <f>G260*J260</f>
        <v>121117.2</v>
      </c>
      <c r="I260" s="10" t="s">
        <v>142</v>
      </c>
      <c r="J260" s="13">
        <v>1</v>
      </c>
      <c r="K260" s="10" t="s">
        <v>146</v>
      </c>
      <c r="L260" s="12"/>
      <c r="M260" s="12">
        <v>121117.2</v>
      </c>
    </row>
    <row r="261" spans="1:13" ht="15" hidden="1" customHeight="1" x14ac:dyDescent="0.25">
      <c r="A261" s="10">
        <v>4</v>
      </c>
      <c r="B261" s="10" t="str">
        <f t="shared" si="26"/>
        <v>L8-ЩР-1 — Здание оператора L8</v>
      </c>
      <c r="C261" s="10" t="s">
        <v>147</v>
      </c>
      <c r="D261" s="10" t="s">
        <v>391</v>
      </c>
      <c r="E261" s="24" t="s">
        <v>392</v>
      </c>
      <c r="F261" s="12">
        <v>88000</v>
      </c>
      <c r="G261" s="12">
        <f>F261*Kurallar!$B$4</f>
        <v>88000</v>
      </c>
      <c r="H261" s="12">
        <f>G261*J261</f>
        <v>88000</v>
      </c>
      <c r="I261" s="10" t="s">
        <v>142</v>
      </c>
      <c r="J261" s="13">
        <v>1</v>
      </c>
      <c r="K261" s="10" t="s">
        <v>148</v>
      </c>
      <c r="L261" s="12"/>
      <c r="M261" s="12">
        <v>88000</v>
      </c>
    </row>
    <row r="262" spans="1:13" ht="15" hidden="1" customHeight="1" x14ac:dyDescent="0.25">
      <c r="A262" s="10">
        <v>5</v>
      </c>
      <c r="B262" s="10" t="str">
        <f t="shared" si="26"/>
        <v>L8-ЩР-1 — Здание оператора L8</v>
      </c>
      <c r="C262" s="10" t="s">
        <v>149</v>
      </c>
      <c r="D262" s="10" t="s">
        <v>150</v>
      </c>
      <c r="E262" s="11" t="s">
        <v>151</v>
      </c>
      <c r="F262" s="12">
        <v>1419</v>
      </c>
      <c r="G262" s="12">
        <f>F262*Kurallar!$B$2</f>
        <v>851.4</v>
      </c>
      <c r="H262" s="12">
        <f>G262*J262</f>
        <v>851.4</v>
      </c>
      <c r="I262" s="10" t="s">
        <v>142</v>
      </c>
      <c r="J262" s="13">
        <v>1</v>
      </c>
      <c r="K262" s="10" t="s">
        <v>146</v>
      </c>
      <c r="L262" s="12"/>
      <c r="M262" s="12">
        <v>851.4</v>
      </c>
    </row>
    <row r="263" spans="1:13" ht="15" hidden="1" customHeight="1" x14ac:dyDescent="0.25">
      <c r="A263" s="10">
        <v>6</v>
      </c>
      <c r="B263" s="10" t="str">
        <f t="shared" si="26"/>
        <v>L8-ЩР-1 — Здание оператора L8</v>
      </c>
      <c r="C263" s="10" t="s">
        <v>149</v>
      </c>
      <c r="D263" s="10" t="s">
        <v>152</v>
      </c>
      <c r="E263" s="11" t="s">
        <v>153</v>
      </c>
      <c r="F263" s="12">
        <v>1389</v>
      </c>
      <c r="G263" s="12">
        <f>F263*Kurallar!$B$2</f>
        <v>833.4</v>
      </c>
      <c r="H263" s="12">
        <f>G263*J263</f>
        <v>2500.1999999999998</v>
      </c>
      <c r="I263" s="10" t="s">
        <v>142</v>
      </c>
      <c r="J263" s="13">
        <v>3</v>
      </c>
      <c r="K263" s="10" t="s">
        <v>146</v>
      </c>
      <c r="L263" s="12"/>
      <c r="M263" s="12">
        <v>2500.1999999999998</v>
      </c>
    </row>
    <row r="264" spans="1:13" ht="15" hidden="1" customHeight="1" x14ac:dyDescent="0.25">
      <c r="A264" s="10">
        <v>7</v>
      </c>
      <c r="B264" s="10" t="str">
        <f t="shared" si="26"/>
        <v>L8-ЩР-1 — Здание оператора L8</v>
      </c>
      <c r="C264" s="10" t="s">
        <v>149</v>
      </c>
      <c r="D264" s="10" t="s">
        <v>154</v>
      </c>
      <c r="E264" s="11" t="s">
        <v>155</v>
      </c>
      <c r="F264" s="12">
        <v>5884</v>
      </c>
      <c r="G264" s="12">
        <f>F264*Kurallar!$B$2</f>
        <v>3530.4</v>
      </c>
      <c r="H264" s="12">
        <f>G264*J264</f>
        <v>3530.4</v>
      </c>
      <c r="I264" s="10" t="s">
        <v>142</v>
      </c>
      <c r="J264" s="13">
        <v>1</v>
      </c>
      <c r="K264" s="10" t="s">
        <v>146</v>
      </c>
      <c r="L264" s="12"/>
      <c r="M264" s="12">
        <v>3530.4</v>
      </c>
    </row>
    <row r="265" spans="1:13" ht="15" hidden="1" customHeight="1" x14ac:dyDescent="0.25">
      <c r="A265" s="10">
        <v>8</v>
      </c>
      <c r="B265" s="10" t="str">
        <f t="shared" si="26"/>
        <v>L8-ЩР-1 — Здание оператора L8</v>
      </c>
      <c r="C265" s="10" t="s">
        <v>156</v>
      </c>
      <c r="D265" s="10" t="s">
        <v>157</v>
      </c>
      <c r="E265" s="11" t="s">
        <v>158</v>
      </c>
      <c r="F265" s="12">
        <v>5104</v>
      </c>
      <c r="G265" s="12">
        <f>F265*Kurallar!$B$2</f>
        <v>3062.4</v>
      </c>
      <c r="H265" s="12">
        <f>G265*J265</f>
        <v>9187.2000000000007</v>
      </c>
      <c r="I265" s="10" t="s">
        <v>142</v>
      </c>
      <c r="J265" s="13">
        <v>3</v>
      </c>
      <c r="K265" s="10" t="s">
        <v>146</v>
      </c>
      <c r="L265" s="12"/>
      <c r="M265" s="12">
        <v>9187.2000000000007</v>
      </c>
    </row>
    <row r="266" spans="1:13" ht="15" hidden="1" customHeight="1" x14ac:dyDescent="0.25">
      <c r="A266" s="10">
        <v>9</v>
      </c>
      <c r="B266" s="10" t="str">
        <f t="shared" si="26"/>
        <v>L8-ЩР-1 — Здание оператора L8</v>
      </c>
      <c r="C266" s="10" t="s">
        <v>156</v>
      </c>
      <c r="D266" s="10" t="s">
        <v>159</v>
      </c>
      <c r="E266" s="11" t="s">
        <v>160</v>
      </c>
      <c r="F266" s="12">
        <v>5632</v>
      </c>
      <c r="G266" s="12">
        <f>F266*Kurallar!$B$2</f>
        <v>3379.2</v>
      </c>
      <c r="H266" s="12">
        <f>G266*J266</f>
        <v>6758.4</v>
      </c>
      <c r="I266" s="10" t="s">
        <v>142</v>
      </c>
      <c r="J266" s="13">
        <v>2</v>
      </c>
      <c r="K266" s="10" t="s">
        <v>146</v>
      </c>
      <c r="L266" s="12"/>
      <c r="M266" s="12">
        <v>6758.4</v>
      </c>
    </row>
    <row r="267" spans="1:13" ht="15" hidden="1" customHeight="1" x14ac:dyDescent="0.25">
      <c r="A267" s="10">
        <v>10</v>
      </c>
      <c r="B267" s="10" t="str">
        <f t="shared" si="26"/>
        <v>L8-ЩР-1 — Здание оператора L8</v>
      </c>
      <c r="C267" s="10" t="s">
        <v>161</v>
      </c>
      <c r="D267" s="10" t="s">
        <v>162</v>
      </c>
      <c r="E267" s="11" t="s">
        <v>163</v>
      </c>
      <c r="F267" s="12">
        <v>530</v>
      </c>
      <c r="G267" s="12">
        <f>F267*Kurallar!$B$3</f>
        <v>530</v>
      </c>
      <c r="H267" s="12">
        <f>G267*J267</f>
        <v>530</v>
      </c>
      <c r="I267" s="10" t="s">
        <v>142</v>
      </c>
      <c r="J267" s="13">
        <v>1</v>
      </c>
      <c r="K267" s="14" t="s">
        <v>372</v>
      </c>
      <c r="L267" s="12"/>
      <c r="M267" s="12">
        <v>530</v>
      </c>
    </row>
    <row r="268" spans="1:13" ht="15" hidden="1" customHeight="1" x14ac:dyDescent="0.25">
      <c r="A268" s="10">
        <v>11</v>
      </c>
      <c r="B268" s="10" t="str">
        <f t="shared" si="26"/>
        <v>L8-ЩР-1 — Здание оператора L8</v>
      </c>
      <c r="C268" s="10" t="s">
        <v>161</v>
      </c>
      <c r="D268" s="10" t="s">
        <v>165</v>
      </c>
      <c r="E268" s="11" t="s">
        <v>166</v>
      </c>
      <c r="F268" s="12">
        <v>634</v>
      </c>
      <c r="G268" s="12">
        <f>F268*Kurallar!$B$3</f>
        <v>634</v>
      </c>
      <c r="H268" s="12">
        <f>G268*J268</f>
        <v>1268</v>
      </c>
      <c r="I268" s="10" t="s">
        <v>142</v>
      </c>
      <c r="J268" s="13">
        <v>2</v>
      </c>
      <c r="K268" s="14" t="s">
        <v>372</v>
      </c>
      <c r="L268" s="12"/>
      <c r="M268" s="12">
        <v>1268</v>
      </c>
    </row>
    <row r="269" spans="1:13" ht="15" hidden="1" customHeight="1" x14ac:dyDescent="0.25">
      <c r="A269" s="10">
        <v>12</v>
      </c>
      <c r="B269" s="10" t="str">
        <f t="shared" si="26"/>
        <v>L8-ЩР-1 — Здание оператора L8</v>
      </c>
      <c r="C269" s="10" t="s">
        <v>31</v>
      </c>
      <c r="D269" s="10" t="s">
        <v>373</v>
      </c>
      <c r="E269" s="11" t="s">
        <v>374</v>
      </c>
      <c r="F269" s="12">
        <v>140</v>
      </c>
      <c r="G269" s="12">
        <f t="shared" ref="G269:G270" si="27">0.6*F269</f>
        <v>84</v>
      </c>
      <c r="H269" s="12">
        <f>G269*J269</f>
        <v>1344</v>
      </c>
      <c r="I269" s="10" t="s">
        <v>142</v>
      </c>
      <c r="J269" s="13">
        <v>16</v>
      </c>
      <c r="K269" s="14" t="s">
        <v>375</v>
      </c>
      <c r="L269" s="12"/>
      <c r="M269" s="12">
        <v>1344</v>
      </c>
    </row>
    <row r="270" spans="1:13" ht="15" hidden="1" customHeight="1" x14ac:dyDescent="0.25">
      <c r="A270" s="10">
        <v>13</v>
      </c>
      <c r="B270" s="10" t="str">
        <f t="shared" si="26"/>
        <v>L8-ЩР-1 — Здание оператора L8</v>
      </c>
      <c r="C270" s="10" t="s">
        <v>31</v>
      </c>
      <c r="D270" s="10" t="s">
        <v>373</v>
      </c>
      <c r="E270" s="11" t="s">
        <v>374</v>
      </c>
      <c r="F270" s="12">
        <v>140</v>
      </c>
      <c r="G270" s="12">
        <f t="shared" si="27"/>
        <v>84</v>
      </c>
      <c r="H270" s="12">
        <f>G270*J270</f>
        <v>1008</v>
      </c>
      <c r="I270" s="10" t="s">
        <v>142</v>
      </c>
      <c r="J270" s="13">
        <v>12</v>
      </c>
      <c r="K270" s="14" t="s">
        <v>375</v>
      </c>
      <c r="L270" s="12"/>
      <c r="M270" s="12">
        <v>1008</v>
      </c>
    </row>
    <row r="271" spans="1:13" ht="15" hidden="1" customHeight="1" x14ac:dyDescent="0.25">
      <c r="A271" s="10">
        <v>14</v>
      </c>
      <c r="B271" s="10" t="str">
        <f t="shared" si="26"/>
        <v>L8-ЩР-1 — Здание оператора L8</v>
      </c>
      <c r="C271" s="10" t="s">
        <v>167</v>
      </c>
      <c r="D271" s="10" t="s">
        <v>168</v>
      </c>
      <c r="E271" s="11" t="s">
        <v>169</v>
      </c>
      <c r="F271" s="12">
        <v>869</v>
      </c>
      <c r="G271" s="12">
        <f>F271*Kurallar!$B$2</f>
        <v>521.4</v>
      </c>
      <c r="H271" s="12">
        <f>G271*J271</f>
        <v>521.4</v>
      </c>
      <c r="I271" s="10" t="s">
        <v>170</v>
      </c>
      <c r="J271" s="13">
        <v>1</v>
      </c>
      <c r="K271" s="10" t="s">
        <v>146</v>
      </c>
      <c r="L271" s="12"/>
      <c r="M271" s="12">
        <v>521.4</v>
      </c>
    </row>
    <row r="272" spans="1:13" ht="15" hidden="1" customHeight="1" x14ac:dyDescent="0.25">
      <c r="A272" s="10">
        <v>15</v>
      </c>
      <c r="B272" s="10" t="str">
        <f t="shared" si="26"/>
        <v>L8-ЩР-1 — Здание оператора L8</v>
      </c>
      <c r="C272" s="10" t="s">
        <v>167</v>
      </c>
      <c r="D272" s="10" t="s">
        <v>171</v>
      </c>
      <c r="E272" s="11" t="s">
        <v>172</v>
      </c>
      <c r="F272" s="12">
        <v>1808</v>
      </c>
      <c r="G272" s="12">
        <f>F272*Kurallar!$B$3</f>
        <v>1808</v>
      </c>
      <c r="H272" s="12">
        <f>G272*J272</f>
        <v>1808</v>
      </c>
      <c r="I272" s="10" t="s">
        <v>142</v>
      </c>
      <c r="J272" s="13">
        <v>1</v>
      </c>
      <c r="K272" s="10" t="s">
        <v>164</v>
      </c>
      <c r="L272" s="12"/>
      <c r="M272" s="12">
        <v>1808</v>
      </c>
    </row>
    <row r="273" spans="1:13" ht="15" hidden="1" customHeight="1" x14ac:dyDescent="0.25">
      <c r="A273" s="10">
        <v>16</v>
      </c>
      <c r="B273" s="10" t="str">
        <f t="shared" si="26"/>
        <v>L8-ЩР-1 — Здание оператора L8</v>
      </c>
      <c r="C273" s="10" t="s">
        <v>167</v>
      </c>
      <c r="D273" s="10" t="s">
        <v>173</v>
      </c>
      <c r="E273" s="11" t="s">
        <v>174</v>
      </c>
      <c r="F273" s="12">
        <v>127</v>
      </c>
      <c r="G273" s="12">
        <f>F273*Kurallar!$B$3</f>
        <v>127</v>
      </c>
      <c r="H273" s="12">
        <f>G273*J273</f>
        <v>2032</v>
      </c>
      <c r="I273" s="10" t="s">
        <v>170</v>
      </c>
      <c r="J273" s="13">
        <v>16</v>
      </c>
      <c r="K273" s="10" t="s">
        <v>143</v>
      </c>
      <c r="L273" s="12"/>
      <c r="M273" s="12">
        <v>2032</v>
      </c>
    </row>
    <row r="274" spans="1:13" ht="15" hidden="1" customHeight="1" x14ac:dyDescent="0.25">
      <c r="A274" s="10">
        <v>17</v>
      </c>
      <c r="B274" s="10" t="str">
        <f t="shared" si="26"/>
        <v>L8-ЩР-1 — Здание оператора L8</v>
      </c>
      <c r="C274" s="10" t="s">
        <v>167</v>
      </c>
      <c r="D274" s="10" t="s">
        <v>175</v>
      </c>
      <c r="E274" s="11" t="s">
        <v>176</v>
      </c>
      <c r="F274" s="12">
        <v>918</v>
      </c>
      <c r="G274" s="12">
        <f>F274*Kurallar!$B$3</f>
        <v>918</v>
      </c>
      <c r="H274" s="12">
        <f>G274*J274</f>
        <v>7344</v>
      </c>
      <c r="I274" s="10" t="s">
        <v>170</v>
      </c>
      <c r="J274" s="13">
        <v>8</v>
      </c>
      <c r="K274" s="10" t="s">
        <v>143</v>
      </c>
      <c r="L274" s="12"/>
      <c r="M274" s="12">
        <v>7344</v>
      </c>
    </row>
    <row r="275" spans="1:13" ht="15" hidden="1" customHeight="1" x14ac:dyDescent="0.25">
      <c r="A275" s="10">
        <v>18</v>
      </c>
      <c r="B275" s="10" t="str">
        <f t="shared" si="26"/>
        <v>L8-ЩР-1 — Здание оператора L8</v>
      </c>
      <c r="C275" s="10" t="s">
        <v>167</v>
      </c>
      <c r="D275" s="10" t="s">
        <v>177</v>
      </c>
      <c r="E275" s="11" t="s">
        <v>178</v>
      </c>
      <c r="F275" s="12">
        <v>79</v>
      </c>
      <c r="G275" s="12">
        <f>F275*Kurallar!$B$3</f>
        <v>79</v>
      </c>
      <c r="H275" s="12">
        <f>G275*J275</f>
        <v>395</v>
      </c>
      <c r="I275" s="10" t="s">
        <v>170</v>
      </c>
      <c r="J275" s="13">
        <v>5</v>
      </c>
      <c r="K275" s="10" t="s">
        <v>143</v>
      </c>
      <c r="L275" s="12"/>
      <c r="M275" s="12">
        <v>395</v>
      </c>
    </row>
    <row r="276" spans="1:13" ht="23.25" hidden="1" customHeight="1" x14ac:dyDescent="0.25">
      <c r="A276" s="10">
        <v>19</v>
      </c>
      <c r="B276" s="10" t="str">
        <f t="shared" si="26"/>
        <v>L8-ЩР-1 — Здание оператора L8</v>
      </c>
      <c r="C276" s="10" t="s">
        <v>167</v>
      </c>
      <c r="D276" s="10" t="s">
        <v>179</v>
      </c>
      <c r="E276" s="11" t="s">
        <v>180</v>
      </c>
      <c r="F276" s="12"/>
      <c r="G276" s="12">
        <f>SUM(H259:H275)*Kurallar!$B$5</f>
        <v>8169.0060000000003</v>
      </c>
      <c r="H276" s="12">
        <f>G276*J276</f>
        <v>8169.0060000000003</v>
      </c>
      <c r="I276" s="10" t="s">
        <v>142</v>
      </c>
      <c r="J276" s="13">
        <v>1</v>
      </c>
      <c r="K276" s="10" t="s">
        <v>181</v>
      </c>
      <c r="L276" s="12"/>
      <c r="M276" s="12">
        <v>8169.0060000000003</v>
      </c>
    </row>
    <row r="277" spans="1:13" ht="15" hidden="1" customHeight="1" x14ac:dyDescent="0.25">
      <c r="A277" s="10">
        <v>20</v>
      </c>
      <c r="B277" s="10" t="str">
        <f t="shared" si="26"/>
        <v>L8-ЩР-1 — Здание оператора L8</v>
      </c>
      <c r="C277" s="10" t="s">
        <v>182</v>
      </c>
      <c r="D277" s="10" t="s">
        <v>183</v>
      </c>
      <c r="E277" s="11" t="s">
        <v>184</v>
      </c>
      <c r="F277" s="12">
        <f>J277/60</f>
        <v>3.6066666666666669</v>
      </c>
      <c r="G277" s="12">
        <f>Kurallar!$B$6</f>
        <v>100</v>
      </c>
      <c r="H277" s="12">
        <f>G277*J277</f>
        <v>21640</v>
      </c>
      <c r="I277" s="10" t="s">
        <v>185</v>
      </c>
      <c r="J277" s="13">
        <f>ROUND((Kurallar!$B$10+1*Kurallar!$B$13+0*Kurallar!$B$14+0*Kurallar!$B$15+1*Kurallar!$B$16+0*Kurallar!$B$17+0*Kurallar!$B$18+5*Kurallar!$B$19+4*Kurallar!$B$20+1*Kurallar!$B$21+28*Kurallar!$B$22+3*Kurallar!$B$23+0*Kurallar!$B$24+3*Kurallar!$B$25)*Kurallar!$B$7,0)*0.4</f>
        <v>216.4</v>
      </c>
      <c r="K277" s="10" t="s">
        <v>181</v>
      </c>
      <c r="L277" s="12"/>
      <c r="M277" s="12">
        <v>21640</v>
      </c>
    </row>
    <row r="278" spans="1:13" ht="15" customHeight="1" x14ac:dyDescent="0.25">
      <c r="A278" s="15"/>
      <c r="B278" s="15" t="s">
        <v>268</v>
      </c>
      <c r="C278" s="15"/>
      <c r="D278" s="15"/>
      <c r="E278" s="16"/>
      <c r="F278" s="17"/>
      <c r="G278" s="17"/>
      <c r="H278" s="17">
        <f>SUBTOTAL(9,H259:H277)</f>
        <v>0</v>
      </c>
      <c r="I278" s="15"/>
      <c r="J278" s="18"/>
      <c r="K278" s="15"/>
      <c r="L278" s="17">
        <f>SUBTOTAL(9,H259:H275)</f>
        <v>0</v>
      </c>
      <c r="M278" s="17">
        <v>302109.20600000001</v>
      </c>
    </row>
    <row r="279" spans="1:13" ht="15" customHeight="1" x14ac:dyDescent="0.25">
      <c r="A279" s="19">
        <v>1</v>
      </c>
      <c r="B279" s="20" t="str">
        <f>E279</f>
        <v>L10US-ЩР-1 — Здание оператора верхней станции L10 US</v>
      </c>
      <c r="C279" s="19" t="s">
        <v>136</v>
      </c>
      <c r="D279" s="19" t="s">
        <v>269</v>
      </c>
      <c r="E279" s="21" t="s">
        <v>270</v>
      </c>
      <c r="F279" s="22"/>
      <c r="G279" s="22"/>
      <c r="H279" s="22"/>
      <c r="I279" s="19" t="s">
        <v>139</v>
      </c>
      <c r="J279" s="23">
        <v>1</v>
      </c>
      <c r="K279" s="19"/>
      <c r="L279" s="22"/>
      <c r="M279" s="22"/>
    </row>
    <row r="280" spans="1:13" ht="15" hidden="1" customHeight="1" x14ac:dyDescent="0.25">
      <c r="A280" s="10">
        <v>2</v>
      </c>
      <c r="B280" s="10" t="str">
        <f t="shared" ref="B280:B298" si="28">B279</f>
        <v>L10US-ЩР-1 — Здание оператора верхней станции L10 US</v>
      </c>
      <c r="C280" s="10" t="s">
        <v>140</v>
      </c>
      <c r="D280" s="10" t="s">
        <v>384</v>
      </c>
      <c r="E280" s="24" t="s">
        <v>385</v>
      </c>
      <c r="F280" s="12">
        <v>55770</v>
      </c>
      <c r="G280" s="12">
        <f>0.5*F280</f>
        <v>27885</v>
      </c>
      <c r="H280" s="12">
        <f>G280*J280</f>
        <v>27885</v>
      </c>
      <c r="I280" s="10" t="s">
        <v>142</v>
      </c>
      <c r="J280" s="13">
        <v>1</v>
      </c>
      <c r="K280" s="14" t="s">
        <v>390</v>
      </c>
      <c r="L280" s="12"/>
      <c r="M280" s="12">
        <v>27885</v>
      </c>
    </row>
    <row r="281" spans="1:13" ht="15" hidden="1" customHeight="1" x14ac:dyDescent="0.25">
      <c r="A281" s="10">
        <v>3</v>
      </c>
      <c r="B281" s="10" t="str">
        <f t="shared" si="28"/>
        <v>L10US-ЩР-1 — Здание оператора верхней станции L10 US</v>
      </c>
      <c r="C281" s="14" t="s">
        <v>371</v>
      </c>
      <c r="D281" s="10" t="s">
        <v>254</v>
      </c>
      <c r="E281" s="11" t="s">
        <v>255</v>
      </c>
      <c r="F281" s="12">
        <v>201639</v>
      </c>
      <c r="G281" s="12">
        <f>F281*Kurallar!$B$2</f>
        <v>120983.4</v>
      </c>
      <c r="H281" s="12">
        <f>G281*J281</f>
        <v>120983.4</v>
      </c>
      <c r="I281" s="10" t="s">
        <v>142</v>
      </c>
      <c r="J281" s="13">
        <v>1</v>
      </c>
      <c r="K281" s="10" t="s">
        <v>146</v>
      </c>
      <c r="L281" s="12"/>
      <c r="M281" s="12">
        <v>120983.4</v>
      </c>
    </row>
    <row r="282" spans="1:13" ht="15" hidden="1" customHeight="1" x14ac:dyDescent="0.25">
      <c r="A282" s="10">
        <v>4</v>
      </c>
      <c r="B282" s="10" t="str">
        <f t="shared" si="28"/>
        <v>L10US-ЩР-1 — Здание оператора верхней станции L10 US</v>
      </c>
      <c r="C282" s="10" t="s">
        <v>147</v>
      </c>
      <c r="D282" s="10" t="s">
        <v>391</v>
      </c>
      <c r="E282" s="24" t="s">
        <v>392</v>
      </c>
      <c r="F282" s="12">
        <v>88000</v>
      </c>
      <c r="G282" s="12">
        <f>F282*Kurallar!$B$4</f>
        <v>88000</v>
      </c>
      <c r="H282" s="12">
        <f>G282*J282</f>
        <v>88000</v>
      </c>
      <c r="I282" s="10" t="s">
        <v>142</v>
      </c>
      <c r="J282" s="13">
        <v>1</v>
      </c>
      <c r="K282" s="10" t="s">
        <v>148</v>
      </c>
      <c r="L282" s="12"/>
      <c r="M282" s="12">
        <v>88000</v>
      </c>
    </row>
    <row r="283" spans="1:13" ht="15" hidden="1" customHeight="1" x14ac:dyDescent="0.25">
      <c r="A283" s="10">
        <v>5</v>
      </c>
      <c r="B283" s="10" t="str">
        <f t="shared" si="28"/>
        <v>L10US-ЩР-1 — Здание оператора верхней станции L10 US</v>
      </c>
      <c r="C283" s="10" t="s">
        <v>149</v>
      </c>
      <c r="D283" s="10" t="s">
        <v>150</v>
      </c>
      <c r="E283" s="11" t="s">
        <v>151</v>
      </c>
      <c r="F283" s="12">
        <v>1419</v>
      </c>
      <c r="G283" s="12">
        <f>F283*Kurallar!$B$2</f>
        <v>851.4</v>
      </c>
      <c r="H283" s="12">
        <f>G283*J283</f>
        <v>1702.8</v>
      </c>
      <c r="I283" s="10" t="s">
        <v>142</v>
      </c>
      <c r="J283" s="13">
        <v>2</v>
      </c>
      <c r="K283" s="10" t="s">
        <v>146</v>
      </c>
      <c r="L283" s="12"/>
      <c r="M283" s="12">
        <v>1702.8</v>
      </c>
    </row>
    <row r="284" spans="1:13" ht="15" hidden="1" customHeight="1" x14ac:dyDescent="0.25">
      <c r="A284" s="10">
        <v>6</v>
      </c>
      <c r="B284" s="10" t="str">
        <f t="shared" si="28"/>
        <v>L10US-ЩР-1 — Здание оператора верхней станции L10 US</v>
      </c>
      <c r="C284" s="10" t="s">
        <v>149</v>
      </c>
      <c r="D284" s="10" t="s">
        <v>152</v>
      </c>
      <c r="E284" s="11" t="s">
        <v>153</v>
      </c>
      <c r="F284" s="12">
        <v>1389</v>
      </c>
      <c r="G284" s="12">
        <f>F284*Kurallar!$B$2</f>
        <v>833.4</v>
      </c>
      <c r="H284" s="12">
        <f>G284*J284</f>
        <v>2500.1999999999998</v>
      </c>
      <c r="I284" s="10" t="s">
        <v>142</v>
      </c>
      <c r="J284" s="13">
        <v>3</v>
      </c>
      <c r="K284" s="10" t="s">
        <v>146</v>
      </c>
      <c r="L284" s="12"/>
      <c r="M284" s="12">
        <v>2500.1999999999998</v>
      </c>
    </row>
    <row r="285" spans="1:13" ht="15" hidden="1" customHeight="1" x14ac:dyDescent="0.25">
      <c r="A285" s="10">
        <v>7</v>
      </c>
      <c r="B285" s="10" t="str">
        <f t="shared" si="28"/>
        <v>L10US-ЩР-1 — Здание оператора верхней станции L10 US</v>
      </c>
      <c r="C285" s="10" t="s">
        <v>149</v>
      </c>
      <c r="D285" s="10" t="s">
        <v>190</v>
      </c>
      <c r="E285" s="11" t="s">
        <v>191</v>
      </c>
      <c r="F285" s="12">
        <v>6060</v>
      </c>
      <c r="G285" s="12">
        <f>F285*Kurallar!$B$2</f>
        <v>3636</v>
      </c>
      <c r="H285" s="12">
        <f>G285*J285</f>
        <v>3636</v>
      </c>
      <c r="I285" s="10" t="s">
        <v>142</v>
      </c>
      <c r="J285" s="13">
        <v>1</v>
      </c>
      <c r="K285" s="10" t="s">
        <v>146</v>
      </c>
      <c r="L285" s="12"/>
      <c r="M285" s="12">
        <v>3636</v>
      </c>
    </row>
    <row r="286" spans="1:13" ht="15" hidden="1" customHeight="1" x14ac:dyDescent="0.25">
      <c r="A286" s="10">
        <v>8</v>
      </c>
      <c r="B286" s="10" t="str">
        <f t="shared" si="28"/>
        <v>L10US-ЩР-1 — Здание оператора верхней станции L10 US</v>
      </c>
      <c r="C286" s="10" t="s">
        <v>156</v>
      </c>
      <c r="D286" s="10" t="s">
        <v>157</v>
      </c>
      <c r="E286" s="11" t="s">
        <v>158</v>
      </c>
      <c r="F286" s="12">
        <v>5104</v>
      </c>
      <c r="G286" s="12">
        <f>F286*Kurallar!$B$2</f>
        <v>3062.4</v>
      </c>
      <c r="H286" s="12">
        <f>G286*J286</f>
        <v>12249.6</v>
      </c>
      <c r="I286" s="10" t="s">
        <v>142</v>
      </c>
      <c r="J286" s="13">
        <v>4</v>
      </c>
      <c r="K286" s="10" t="s">
        <v>146</v>
      </c>
      <c r="L286" s="12"/>
      <c r="M286" s="12">
        <v>12249.6</v>
      </c>
    </row>
    <row r="287" spans="1:13" ht="15" hidden="1" customHeight="1" x14ac:dyDescent="0.25">
      <c r="A287" s="10">
        <v>9</v>
      </c>
      <c r="B287" s="10" t="str">
        <f t="shared" si="28"/>
        <v>L10US-ЩР-1 — Здание оператора верхней станции L10 US</v>
      </c>
      <c r="C287" s="10" t="s">
        <v>156</v>
      </c>
      <c r="D287" s="10" t="s">
        <v>159</v>
      </c>
      <c r="E287" s="11" t="s">
        <v>160</v>
      </c>
      <c r="F287" s="12">
        <v>5632</v>
      </c>
      <c r="G287" s="12">
        <f>F287*Kurallar!$B$2</f>
        <v>3379.2</v>
      </c>
      <c r="H287" s="12">
        <f>G287*J287</f>
        <v>27033.599999999999</v>
      </c>
      <c r="I287" s="10" t="s">
        <v>142</v>
      </c>
      <c r="J287" s="13">
        <v>8</v>
      </c>
      <c r="K287" s="10" t="s">
        <v>146</v>
      </c>
      <c r="L287" s="12"/>
      <c r="M287" s="12">
        <v>27033.599999999999</v>
      </c>
    </row>
    <row r="288" spans="1:13" ht="15" hidden="1" customHeight="1" x14ac:dyDescent="0.25">
      <c r="A288" s="10">
        <v>10</v>
      </c>
      <c r="B288" s="10" t="str">
        <f t="shared" si="28"/>
        <v>L10US-ЩР-1 — Здание оператора верхней станции L10 US</v>
      </c>
      <c r="C288" s="10" t="s">
        <v>161</v>
      </c>
      <c r="D288" s="10" t="s">
        <v>162</v>
      </c>
      <c r="E288" s="11" t="s">
        <v>163</v>
      </c>
      <c r="F288" s="12">
        <v>530</v>
      </c>
      <c r="G288" s="12">
        <f>F288*Kurallar!$B$3</f>
        <v>530</v>
      </c>
      <c r="H288" s="12">
        <f>G288*J288</f>
        <v>530</v>
      </c>
      <c r="I288" s="10" t="s">
        <v>142</v>
      </c>
      <c r="J288" s="13">
        <v>1</v>
      </c>
      <c r="K288" s="14" t="s">
        <v>372</v>
      </c>
      <c r="L288" s="12"/>
      <c r="M288" s="12">
        <v>530</v>
      </c>
    </row>
    <row r="289" spans="1:13" ht="15" hidden="1" customHeight="1" x14ac:dyDescent="0.25">
      <c r="A289" s="10">
        <v>11</v>
      </c>
      <c r="B289" s="10" t="str">
        <f t="shared" si="28"/>
        <v>L10US-ЩР-1 — Здание оператора верхней станции L10 US</v>
      </c>
      <c r="C289" s="10" t="s">
        <v>161</v>
      </c>
      <c r="D289" s="10" t="s">
        <v>165</v>
      </c>
      <c r="E289" s="11" t="s">
        <v>166</v>
      </c>
      <c r="F289" s="12">
        <v>634</v>
      </c>
      <c r="G289" s="12">
        <f>F289*Kurallar!$B$3</f>
        <v>634</v>
      </c>
      <c r="H289" s="12">
        <f>G289*J289</f>
        <v>1902</v>
      </c>
      <c r="I289" s="10" t="s">
        <v>142</v>
      </c>
      <c r="J289" s="13">
        <v>3</v>
      </c>
      <c r="K289" s="14" t="s">
        <v>372</v>
      </c>
      <c r="L289" s="12"/>
      <c r="M289" s="12">
        <v>1902</v>
      </c>
    </row>
    <row r="290" spans="1:13" ht="15" hidden="1" customHeight="1" x14ac:dyDescent="0.25">
      <c r="A290" s="10">
        <v>12</v>
      </c>
      <c r="B290" s="10" t="str">
        <f t="shared" si="28"/>
        <v>L10US-ЩР-1 — Здание оператора верхней станции L10 US</v>
      </c>
      <c r="C290" s="10" t="s">
        <v>31</v>
      </c>
      <c r="D290" s="10" t="s">
        <v>373</v>
      </c>
      <c r="E290" s="11" t="s">
        <v>374</v>
      </c>
      <c r="F290" s="12">
        <v>140</v>
      </c>
      <c r="G290" s="12">
        <f t="shared" ref="G290:G291" si="29">0.6*F290</f>
        <v>84</v>
      </c>
      <c r="H290" s="12">
        <f>G290*J290</f>
        <v>2016</v>
      </c>
      <c r="I290" s="10" t="s">
        <v>142</v>
      </c>
      <c r="J290" s="13">
        <v>24</v>
      </c>
      <c r="K290" s="14" t="s">
        <v>375</v>
      </c>
      <c r="L290" s="12"/>
      <c r="M290" s="12">
        <v>2016</v>
      </c>
    </row>
    <row r="291" spans="1:13" ht="15" hidden="1" customHeight="1" x14ac:dyDescent="0.25">
      <c r="A291" s="10">
        <v>13</v>
      </c>
      <c r="B291" s="10" t="str">
        <f t="shared" si="28"/>
        <v>L10US-ЩР-1 — Здание оператора верхней станции L10 US</v>
      </c>
      <c r="C291" s="10" t="s">
        <v>31</v>
      </c>
      <c r="D291" s="10" t="s">
        <v>373</v>
      </c>
      <c r="E291" s="11" t="s">
        <v>374</v>
      </c>
      <c r="F291" s="12">
        <v>140</v>
      </c>
      <c r="G291" s="12">
        <f t="shared" si="29"/>
        <v>84</v>
      </c>
      <c r="H291" s="12">
        <f>G291*J291</f>
        <v>1680</v>
      </c>
      <c r="I291" s="10" t="s">
        <v>142</v>
      </c>
      <c r="J291" s="13">
        <v>20</v>
      </c>
      <c r="K291" s="14" t="s">
        <v>375</v>
      </c>
      <c r="L291" s="12"/>
      <c r="M291" s="12">
        <v>1680</v>
      </c>
    </row>
    <row r="292" spans="1:13" ht="15" hidden="1" customHeight="1" x14ac:dyDescent="0.25">
      <c r="A292" s="10">
        <v>14</v>
      </c>
      <c r="B292" s="10" t="str">
        <f t="shared" si="28"/>
        <v>L10US-ЩР-1 — Здание оператора верхней станции L10 US</v>
      </c>
      <c r="C292" s="10" t="s">
        <v>167</v>
      </c>
      <c r="D292" s="10" t="s">
        <v>168</v>
      </c>
      <c r="E292" s="11" t="s">
        <v>169</v>
      </c>
      <c r="F292" s="12">
        <v>869</v>
      </c>
      <c r="G292" s="12">
        <f>F292*Kurallar!$B$2</f>
        <v>521.4</v>
      </c>
      <c r="H292" s="12">
        <f>G292*J292</f>
        <v>521.4</v>
      </c>
      <c r="I292" s="10" t="s">
        <v>170</v>
      </c>
      <c r="J292" s="13">
        <v>1</v>
      </c>
      <c r="K292" s="10" t="s">
        <v>146</v>
      </c>
      <c r="L292" s="12"/>
      <c r="M292" s="12">
        <v>521.4</v>
      </c>
    </row>
    <row r="293" spans="1:13" ht="15" hidden="1" customHeight="1" x14ac:dyDescent="0.25">
      <c r="A293" s="10">
        <v>15</v>
      </c>
      <c r="B293" s="10" t="str">
        <f t="shared" si="28"/>
        <v>L10US-ЩР-1 — Здание оператора верхней станции L10 US</v>
      </c>
      <c r="C293" s="10" t="s">
        <v>167</v>
      </c>
      <c r="D293" s="10" t="s">
        <v>171</v>
      </c>
      <c r="E293" s="11" t="s">
        <v>172</v>
      </c>
      <c r="F293" s="12">
        <v>1808</v>
      </c>
      <c r="G293" s="12">
        <f>F293*Kurallar!$B$3</f>
        <v>1808</v>
      </c>
      <c r="H293" s="12">
        <f>G293*J293</f>
        <v>1808</v>
      </c>
      <c r="I293" s="10" t="s">
        <v>142</v>
      </c>
      <c r="J293" s="13">
        <v>1</v>
      </c>
      <c r="K293" s="10" t="s">
        <v>164</v>
      </c>
      <c r="L293" s="12"/>
      <c r="M293" s="12">
        <v>1808</v>
      </c>
    </row>
    <row r="294" spans="1:13" ht="15" hidden="1" customHeight="1" x14ac:dyDescent="0.25">
      <c r="A294" s="10">
        <v>16</v>
      </c>
      <c r="B294" s="10" t="str">
        <f t="shared" si="28"/>
        <v>L10US-ЩР-1 — Здание оператора верхней станции L10 US</v>
      </c>
      <c r="C294" s="10" t="s">
        <v>167</v>
      </c>
      <c r="D294" s="10" t="s">
        <v>173</v>
      </c>
      <c r="E294" s="11" t="s">
        <v>174</v>
      </c>
      <c r="F294" s="12">
        <v>127</v>
      </c>
      <c r="G294" s="12">
        <f>F294*Kurallar!$B$3</f>
        <v>127</v>
      </c>
      <c r="H294" s="12">
        <f>G294*J294</f>
        <v>3302</v>
      </c>
      <c r="I294" s="10" t="s">
        <v>170</v>
      </c>
      <c r="J294" s="13">
        <v>26</v>
      </c>
      <c r="K294" s="10" t="s">
        <v>143</v>
      </c>
      <c r="L294" s="12"/>
      <c r="M294" s="12">
        <v>3302</v>
      </c>
    </row>
    <row r="295" spans="1:13" ht="15" hidden="1" customHeight="1" x14ac:dyDescent="0.25">
      <c r="A295" s="10">
        <v>17</v>
      </c>
      <c r="B295" s="10" t="str">
        <f t="shared" si="28"/>
        <v>L10US-ЩР-1 — Здание оператора верхней станции L10 US</v>
      </c>
      <c r="C295" s="10" t="s">
        <v>167</v>
      </c>
      <c r="D295" s="10" t="s">
        <v>175</v>
      </c>
      <c r="E295" s="11" t="s">
        <v>176</v>
      </c>
      <c r="F295" s="12">
        <v>918</v>
      </c>
      <c r="G295" s="12">
        <f>F295*Kurallar!$B$3</f>
        <v>918</v>
      </c>
      <c r="H295" s="12">
        <f>G295*J295</f>
        <v>7344</v>
      </c>
      <c r="I295" s="10" t="s">
        <v>170</v>
      </c>
      <c r="J295" s="13">
        <v>8</v>
      </c>
      <c r="K295" s="10" t="s">
        <v>143</v>
      </c>
      <c r="L295" s="12"/>
      <c r="M295" s="12">
        <v>7344</v>
      </c>
    </row>
    <row r="296" spans="1:13" ht="15" hidden="1" customHeight="1" x14ac:dyDescent="0.25">
      <c r="A296" s="10">
        <v>18</v>
      </c>
      <c r="B296" s="10" t="str">
        <f t="shared" si="28"/>
        <v>L10US-ЩР-1 — Здание оператора верхней станции L10 US</v>
      </c>
      <c r="C296" s="10" t="s">
        <v>167</v>
      </c>
      <c r="D296" s="10" t="s">
        <v>177</v>
      </c>
      <c r="E296" s="11" t="s">
        <v>178</v>
      </c>
      <c r="F296" s="12">
        <v>79</v>
      </c>
      <c r="G296" s="12">
        <f>F296*Kurallar!$B$3</f>
        <v>79</v>
      </c>
      <c r="H296" s="12">
        <f>G296*J296</f>
        <v>553</v>
      </c>
      <c r="I296" s="10" t="s">
        <v>170</v>
      </c>
      <c r="J296" s="13">
        <v>7</v>
      </c>
      <c r="K296" s="10" t="s">
        <v>143</v>
      </c>
      <c r="L296" s="12"/>
      <c r="M296" s="12">
        <v>553</v>
      </c>
    </row>
    <row r="297" spans="1:13" ht="23.25" hidden="1" customHeight="1" x14ac:dyDescent="0.25">
      <c r="A297" s="10">
        <v>19</v>
      </c>
      <c r="B297" s="10" t="str">
        <f t="shared" si="28"/>
        <v>L10US-ЩР-1 — Здание оператора верхней станции L10 US</v>
      </c>
      <c r="C297" s="10" t="s">
        <v>167</v>
      </c>
      <c r="D297" s="10" t="s">
        <v>179</v>
      </c>
      <c r="E297" s="11" t="s">
        <v>180</v>
      </c>
      <c r="F297" s="12"/>
      <c r="G297" s="12">
        <f>SUM(H280:H296)*Kurallar!$B$5</f>
        <v>9109.41</v>
      </c>
      <c r="H297" s="12">
        <f>G297*J297</f>
        <v>9109.41</v>
      </c>
      <c r="I297" s="10" t="s">
        <v>142</v>
      </c>
      <c r="J297" s="13">
        <v>1</v>
      </c>
      <c r="K297" s="10" t="s">
        <v>181</v>
      </c>
      <c r="L297" s="12"/>
      <c r="M297" s="12">
        <v>9109.41</v>
      </c>
    </row>
    <row r="298" spans="1:13" ht="15" hidden="1" customHeight="1" x14ac:dyDescent="0.25">
      <c r="A298" s="10">
        <v>20</v>
      </c>
      <c r="B298" s="10" t="str">
        <f t="shared" si="28"/>
        <v>L10US-ЩР-1 — Здание оператора верхней станции L10 US</v>
      </c>
      <c r="C298" s="10" t="s">
        <v>182</v>
      </c>
      <c r="D298" s="10" t="s">
        <v>183</v>
      </c>
      <c r="E298" s="11" t="s">
        <v>184</v>
      </c>
      <c r="F298" s="12">
        <f>J298/60</f>
        <v>5.0066666666666668</v>
      </c>
      <c r="G298" s="12">
        <f>Kurallar!$B$6</f>
        <v>100</v>
      </c>
      <c r="H298" s="12">
        <f>G298*J298</f>
        <v>30040.000000000004</v>
      </c>
      <c r="I298" s="10" t="s">
        <v>185</v>
      </c>
      <c r="J298" s="13">
        <f>ROUND((Kurallar!$B$11+1*Kurallar!$B$13+0*Kurallar!$B$14+0*Kurallar!$B$15+1*Kurallar!$B$16+0*Kurallar!$B$17+0*Kurallar!$B$18+12*Kurallar!$B$19+5*Kurallar!$B$20+1*Kurallar!$B$21+44*Kurallar!$B$22+4*Kurallar!$B$23+0*Kurallar!$B$24+3*Kurallar!$B$25)*Kurallar!$B$7,0)*0.4</f>
        <v>300.40000000000003</v>
      </c>
      <c r="K298" s="10" t="s">
        <v>181</v>
      </c>
      <c r="L298" s="12"/>
      <c r="M298" s="12">
        <v>30040.000000000004</v>
      </c>
    </row>
    <row r="299" spans="1:13" ht="15" customHeight="1" x14ac:dyDescent="0.25">
      <c r="A299" s="15"/>
      <c r="B299" s="15" t="s">
        <v>271</v>
      </c>
      <c r="C299" s="15"/>
      <c r="D299" s="15"/>
      <c r="E299" s="16"/>
      <c r="F299" s="17"/>
      <c r="G299" s="17"/>
      <c r="H299" s="17">
        <f>SUBTOTAL(9,H280:H298)</f>
        <v>0</v>
      </c>
      <c r="I299" s="15"/>
      <c r="J299" s="18"/>
      <c r="K299" s="15"/>
      <c r="L299" s="17">
        <f>SUBTOTAL(9,H280:H296)</f>
        <v>0</v>
      </c>
      <c r="M299" s="17">
        <v>342796.41</v>
      </c>
    </row>
    <row r="300" spans="1:13" ht="23.25" customHeight="1" x14ac:dyDescent="0.25">
      <c r="A300" s="19">
        <v>1</v>
      </c>
      <c r="B300" s="20" t="str">
        <f>E300</f>
        <v>L11LS-GARAJ-ЩР-1 — Гараж для подвижного состава канатной дороги, гараж снегоходов нижней станции L11 LS</v>
      </c>
      <c r="C300" s="19" t="s">
        <v>136</v>
      </c>
      <c r="D300" s="19" t="s">
        <v>272</v>
      </c>
      <c r="E300" s="21" t="s">
        <v>273</v>
      </c>
      <c r="F300" s="22"/>
      <c r="G300" s="22"/>
      <c r="H300" s="22"/>
      <c r="I300" s="19" t="s">
        <v>139</v>
      </c>
      <c r="J300" s="23">
        <v>1</v>
      </c>
      <c r="K300" s="19"/>
      <c r="L300" s="22"/>
      <c r="M300" s="22"/>
    </row>
    <row r="301" spans="1:13" ht="15" hidden="1" customHeight="1" x14ac:dyDescent="0.25">
      <c r="A301" s="10">
        <v>2</v>
      </c>
      <c r="B301" s="10" t="str">
        <f t="shared" ref="B301:B320" si="30">B300</f>
        <v>L11LS-GARAJ-ЩР-1 — Гараж для подвижного состава канатной дороги, гараж снегоходов нижней станции L11 LS</v>
      </c>
      <c r="C301" s="10" t="s">
        <v>140</v>
      </c>
      <c r="D301" s="10" t="s">
        <v>384</v>
      </c>
      <c r="E301" s="24" t="s">
        <v>385</v>
      </c>
      <c r="F301" s="12">
        <v>55770</v>
      </c>
      <c r="G301" s="12">
        <f>0.5*F301</f>
        <v>27885</v>
      </c>
      <c r="H301" s="12">
        <f>G301*J301</f>
        <v>27885</v>
      </c>
      <c r="I301" s="10" t="s">
        <v>142</v>
      </c>
      <c r="J301" s="13">
        <v>1</v>
      </c>
      <c r="K301" s="14" t="s">
        <v>390</v>
      </c>
      <c r="L301" s="12"/>
      <c r="M301" s="12">
        <v>27885</v>
      </c>
    </row>
    <row r="302" spans="1:13" ht="15" hidden="1" customHeight="1" x14ac:dyDescent="0.25">
      <c r="A302" s="10">
        <v>3</v>
      </c>
      <c r="B302" s="10" t="str">
        <f t="shared" si="30"/>
        <v>L11LS-GARAJ-ЩР-1 — Гараж для подвижного состава канатной дороги, гараж снегоходов нижней станции L11 LS</v>
      </c>
      <c r="C302" s="14" t="s">
        <v>371</v>
      </c>
      <c r="D302" s="10" t="s">
        <v>254</v>
      </c>
      <c r="E302" s="11" t="s">
        <v>255</v>
      </c>
      <c r="F302" s="12">
        <v>201639</v>
      </c>
      <c r="G302" s="12">
        <f>F302*Kurallar!$B$2</f>
        <v>120983.4</v>
      </c>
      <c r="H302" s="12">
        <f>G302*J302</f>
        <v>120983.4</v>
      </c>
      <c r="I302" s="10" t="s">
        <v>142</v>
      </c>
      <c r="J302" s="13">
        <v>1</v>
      </c>
      <c r="K302" s="10" t="s">
        <v>146</v>
      </c>
      <c r="L302" s="12"/>
      <c r="M302" s="12">
        <v>120983.4</v>
      </c>
    </row>
    <row r="303" spans="1:13" ht="15" hidden="1" customHeight="1" x14ac:dyDescent="0.25">
      <c r="A303" s="10">
        <v>4</v>
      </c>
      <c r="B303" s="10" t="str">
        <f t="shared" si="30"/>
        <v>L11LS-GARAJ-ЩР-1 — Гараж для подвижного состава канатной дороги, гараж снегоходов нижней станции L11 LS</v>
      </c>
      <c r="C303" s="10" t="s">
        <v>147</v>
      </c>
      <c r="D303" s="10" t="s">
        <v>391</v>
      </c>
      <c r="E303" s="24" t="s">
        <v>392</v>
      </c>
      <c r="F303" s="12">
        <v>88000</v>
      </c>
      <c r="G303" s="12">
        <f>F303*Kurallar!$B$4</f>
        <v>88000</v>
      </c>
      <c r="H303" s="12">
        <f>G303*J303</f>
        <v>88000</v>
      </c>
      <c r="I303" s="10" t="s">
        <v>142</v>
      </c>
      <c r="J303" s="13">
        <v>1</v>
      </c>
      <c r="K303" s="10" t="s">
        <v>148</v>
      </c>
      <c r="L303" s="12"/>
      <c r="M303" s="12">
        <v>88000</v>
      </c>
    </row>
    <row r="304" spans="1:13" ht="15" hidden="1" customHeight="1" x14ac:dyDescent="0.25">
      <c r="A304" s="10">
        <v>5</v>
      </c>
      <c r="B304" s="10" t="str">
        <f t="shared" si="30"/>
        <v>L11LS-GARAJ-ЩР-1 — Гараж для подвижного состава канатной дороги, гараж снегоходов нижней станции L11 LS</v>
      </c>
      <c r="C304" s="10" t="s">
        <v>149</v>
      </c>
      <c r="D304" s="10" t="s">
        <v>150</v>
      </c>
      <c r="E304" s="11" t="s">
        <v>151</v>
      </c>
      <c r="F304" s="12">
        <v>1419</v>
      </c>
      <c r="G304" s="12">
        <f>F304*Kurallar!$B$2</f>
        <v>851.4</v>
      </c>
      <c r="H304" s="12">
        <f>G304*J304</f>
        <v>2554.1999999999998</v>
      </c>
      <c r="I304" s="10" t="s">
        <v>142</v>
      </c>
      <c r="J304" s="13">
        <v>3</v>
      </c>
      <c r="K304" s="10" t="s">
        <v>146</v>
      </c>
      <c r="L304" s="12"/>
      <c r="M304" s="12">
        <v>2554.1999999999998</v>
      </c>
    </row>
    <row r="305" spans="1:13" ht="15" hidden="1" customHeight="1" x14ac:dyDescent="0.25">
      <c r="A305" s="10">
        <v>6</v>
      </c>
      <c r="B305" s="10" t="str">
        <f t="shared" si="30"/>
        <v>L11LS-GARAJ-ЩР-1 — Гараж для подвижного состава канатной дороги, гараж снегоходов нижней станции L11 LS</v>
      </c>
      <c r="C305" s="10" t="s">
        <v>149</v>
      </c>
      <c r="D305" s="10" t="s">
        <v>152</v>
      </c>
      <c r="E305" s="11" t="s">
        <v>153</v>
      </c>
      <c r="F305" s="12">
        <v>1389</v>
      </c>
      <c r="G305" s="12">
        <f>F305*Kurallar!$B$2</f>
        <v>833.4</v>
      </c>
      <c r="H305" s="12">
        <f>G305*J305</f>
        <v>2500.1999999999998</v>
      </c>
      <c r="I305" s="10" t="s">
        <v>142</v>
      </c>
      <c r="J305" s="13">
        <v>3</v>
      </c>
      <c r="K305" s="10" t="s">
        <v>146</v>
      </c>
      <c r="L305" s="12"/>
      <c r="M305" s="12">
        <v>2500.1999999999998</v>
      </c>
    </row>
    <row r="306" spans="1:13" ht="15" hidden="1" customHeight="1" x14ac:dyDescent="0.25">
      <c r="A306" s="10">
        <v>7</v>
      </c>
      <c r="B306" s="10" t="str">
        <f t="shared" si="30"/>
        <v>L11LS-GARAJ-ЩР-1 — Гараж для подвижного состава канатной дороги, гараж снегоходов нижней станции L11 LS</v>
      </c>
      <c r="C306" s="10" t="s">
        <v>149</v>
      </c>
      <c r="D306" s="10" t="s">
        <v>274</v>
      </c>
      <c r="E306" s="11" t="s">
        <v>275</v>
      </c>
      <c r="F306" s="12">
        <v>5462</v>
      </c>
      <c r="G306" s="12">
        <f>F306*Kurallar!$B$2</f>
        <v>3277.2</v>
      </c>
      <c r="H306" s="12">
        <f>G306*J306</f>
        <v>3277.2</v>
      </c>
      <c r="I306" s="10" t="s">
        <v>142</v>
      </c>
      <c r="J306" s="13">
        <v>1</v>
      </c>
      <c r="K306" s="10" t="s">
        <v>146</v>
      </c>
      <c r="L306" s="12"/>
      <c r="M306" s="12">
        <v>3277.2</v>
      </c>
    </row>
    <row r="307" spans="1:13" ht="15" hidden="1" customHeight="1" x14ac:dyDescent="0.25">
      <c r="A307" s="10">
        <v>8</v>
      </c>
      <c r="B307" s="10" t="str">
        <f t="shared" si="30"/>
        <v>L11LS-GARAJ-ЩР-1 — Гараж для подвижного состава канатной дороги, гараж снегоходов нижней станции L11 LS</v>
      </c>
      <c r="C307" s="10" t="s">
        <v>149</v>
      </c>
      <c r="D307" s="10" t="s">
        <v>190</v>
      </c>
      <c r="E307" s="11" t="s">
        <v>191</v>
      </c>
      <c r="F307" s="12">
        <v>6060</v>
      </c>
      <c r="G307" s="12">
        <f>F307*Kurallar!$B$2</f>
        <v>3636</v>
      </c>
      <c r="H307" s="12">
        <f>G307*J307</f>
        <v>3636</v>
      </c>
      <c r="I307" s="10" t="s">
        <v>142</v>
      </c>
      <c r="J307" s="13">
        <v>1</v>
      </c>
      <c r="K307" s="10" t="s">
        <v>146</v>
      </c>
      <c r="L307" s="12"/>
      <c r="M307" s="12">
        <v>3636</v>
      </c>
    </row>
    <row r="308" spans="1:13" ht="15" hidden="1" customHeight="1" x14ac:dyDescent="0.25">
      <c r="A308" s="10">
        <v>9</v>
      </c>
      <c r="B308" s="10" t="str">
        <f t="shared" si="30"/>
        <v>L11LS-GARAJ-ЩР-1 — Гараж для подвижного состава канатной дороги, гараж снегоходов нижней станции L11 LS</v>
      </c>
      <c r="C308" s="10" t="s">
        <v>156</v>
      </c>
      <c r="D308" s="10" t="s">
        <v>157</v>
      </c>
      <c r="E308" s="11" t="s">
        <v>158</v>
      </c>
      <c r="F308" s="12">
        <v>5104</v>
      </c>
      <c r="G308" s="12">
        <f>F308*Kurallar!$B$2</f>
        <v>3062.4</v>
      </c>
      <c r="H308" s="12">
        <f>G308*J308</f>
        <v>3062.4</v>
      </c>
      <c r="I308" s="10" t="s">
        <v>142</v>
      </c>
      <c r="J308" s="13">
        <v>1</v>
      </c>
      <c r="K308" s="10" t="s">
        <v>146</v>
      </c>
      <c r="L308" s="12"/>
      <c r="M308" s="12">
        <v>3062.4</v>
      </c>
    </row>
    <row r="309" spans="1:13" ht="15" hidden="1" customHeight="1" x14ac:dyDescent="0.25">
      <c r="A309" s="10">
        <v>10</v>
      </c>
      <c r="B309" s="10" t="str">
        <f t="shared" si="30"/>
        <v>L11LS-GARAJ-ЩР-1 — Гараж для подвижного состава канатной дороги, гараж снегоходов нижней станции L11 LS</v>
      </c>
      <c r="C309" s="10" t="s">
        <v>156</v>
      </c>
      <c r="D309" s="10" t="s">
        <v>159</v>
      </c>
      <c r="E309" s="11" t="s">
        <v>160</v>
      </c>
      <c r="F309" s="12">
        <v>5632</v>
      </c>
      <c r="G309" s="12">
        <f>F309*Kurallar!$B$2</f>
        <v>3379.2</v>
      </c>
      <c r="H309" s="12">
        <f>G309*J309</f>
        <v>30412.799999999999</v>
      </c>
      <c r="I309" s="10" t="s">
        <v>142</v>
      </c>
      <c r="J309" s="13">
        <v>9</v>
      </c>
      <c r="K309" s="10" t="s">
        <v>146</v>
      </c>
      <c r="L309" s="12"/>
      <c r="M309" s="12">
        <v>30412.799999999999</v>
      </c>
    </row>
    <row r="310" spans="1:13" ht="15" hidden="1" customHeight="1" x14ac:dyDescent="0.25">
      <c r="A310" s="10">
        <v>11</v>
      </c>
      <c r="B310" s="10" t="str">
        <f t="shared" si="30"/>
        <v>L11LS-GARAJ-ЩР-1 — Гараж для подвижного состава канатной дороги, гараж снегоходов нижней станции L11 LS</v>
      </c>
      <c r="C310" s="10" t="s">
        <v>161</v>
      </c>
      <c r="D310" s="10" t="s">
        <v>162</v>
      </c>
      <c r="E310" s="11" t="s">
        <v>163</v>
      </c>
      <c r="F310" s="12">
        <v>530</v>
      </c>
      <c r="G310" s="12">
        <f>F310*Kurallar!$B$3</f>
        <v>530</v>
      </c>
      <c r="H310" s="12">
        <f>G310*J310</f>
        <v>530</v>
      </c>
      <c r="I310" s="10" t="s">
        <v>142</v>
      </c>
      <c r="J310" s="13">
        <v>1</v>
      </c>
      <c r="K310" s="14" t="s">
        <v>372</v>
      </c>
      <c r="L310" s="12"/>
      <c r="M310" s="12">
        <v>530</v>
      </c>
    </row>
    <row r="311" spans="1:13" ht="15" hidden="1" customHeight="1" x14ac:dyDescent="0.25">
      <c r="A311" s="10">
        <v>12</v>
      </c>
      <c r="B311" s="10" t="str">
        <f t="shared" si="30"/>
        <v>L11LS-GARAJ-ЩР-1 — Гараж для подвижного состава канатной дороги, гараж снегоходов нижней станции L11 LS</v>
      </c>
      <c r="C311" s="10" t="s">
        <v>161</v>
      </c>
      <c r="D311" s="10" t="s">
        <v>165</v>
      </c>
      <c r="E311" s="11" t="s">
        <v>166</v>
      </c>
      <c r="F311" s="12">
        <v>634</v>
      </c>
      <c r="G311" s="12">
        <f>F311*Kurallar!$B$3</f>
        <v>634</v>
      </c>
      <c r="H311" s="12">
        <f>G311*J311</f>
        <v>1902</v>
      </c>
      <c r="I311" s="10" t="s">
        <v>142</v>
      </c>
      <c r="J311" s="13">
        <v>3</v>
      </c>
      <c r="K311" s="14" t="s">
        <v>372</v>
      </c>
      <c r="L311" s="12"/>
      <c r="M311" s="12">
        <v>1902</v>
      </c>
    </row>
    <row r="312" spans="1:13" ht="15" hidden="1" customHeight="1" x14ac:dyDescent="0.25">
      <c r="A312" s="10">
        <v>13</v>
      </c>
      <c r="B312" s="10" t="str">
        <f t="shared" si="30"/>
        <v>L11LS-GARAJ-ЩР-1 — Гараж для подвижного состава канатной дороги, гараж снегоходов нижней станции L11 LS</v>
      </c>
      <c r="C312" s="10" t="s">
        <v>31</v>
      </c>
      <c r="D312" s="10" t="s">
        <v>373</v>
      </c>
      <c r="E312" s="11" t="s">
        <v>374</v>
      </c>
      <c r="F312" s="12">
        <v>140</v>
      </c>
      <c r="G312" s="12">
        <f t="shared" ref="G312:G313" si="31">0.6*F312</f>
        <v>84</v>
      </c>
      <c r="H312" s="12">
        <f>G312*J312</f>
        <v>2184</v>
      </c>
      <c r="I312" s="10" t="s">
        <v>142</v>
      </c>
      <c r="J312" s="13">
        <v>26</v>
      </c>
      <c r="K312" s="14" t="s">
        <v>375</v>
      </c>
      <c r="L312" s="12"/>
      <c r="M312" s="12">
        <v>2184</v>
      </c>
    </row>
    <row r="313" spans="1:13" ht="15" hidden="1" customHeight="1" x14ac:dyDescent="0.25">
      <c r="A313" s="10">
        <v>14</v>
      </c>
      <c r="B313" s="10" t="str">
        <f t="shared" si="30"/>
        <v>L11LS-GARAJ-ЩР-1 — Гараж для подвижного состава канатной дороги, гараж снегоходов нижней станции L11 LS</v>
      </c>
      <c r="C313" s="10" t="s">
        <v>31</v>
      </c>
      <c r="D313" s="10" t="s">
        <v>373</v>
      </c>
      <c r="E313" s="11" t="s">
        <v>374</v>
      </c>
      <c r="F313" s="12">
        <v>140</v>
      </c>
      <c r="G313" s="12">
        <f t="shared" si="31"/>
        <v>84</v>
      </c>
      <c r="H313" s="12">
        <f>G313*J313</f>
        <v>1680</v>
      </c>
      <c r="I313" s="10" t="s">
        <v>142</v>
      </c>
      <c r="J313" s="13">
        <v>20</v>
      </c>
      <c r="K313" s="14" t="s">
        <v>375</v>
      </c>
      <c r="L313" s="12"/>
      <c r="M313" s="12">
        <v>1680</v>
      </c>
    </row>
    <row r="314" spans="1:13" ht="15" hidden="1" customHeight="1" x14ac:dyDescent="0.25">
      <c r="A314" s="10">
        <v>15</v>
      </c>
      <c r="B314" s="10" t="str">
        <f t="shared" si="30"/>
        <v>L11LS-GARAJ-ЩР-1 — Гараж для подвижного состава канатной дороги, гараж снегоходов нижней станции L11 LS</v>
      </c>
      <c r="C314" s="10" t="s">
        <v>167</v>
      </c>
      <c r="D314" s="10" t="s">
        <v>168</v>
      </c>
      <c r="E314" s="11" t="s">
        <v>169</v>
      </c>
      <c r="F314" s="12">
        <v>869</v>
      </c>
      <c r="G314" s="12">
        <f>F314*Kurallar!$B$2</f>
        <v>521.4</v>
      </c>
      <c r="H314" s="12">
        <f>G314*J314</f>
        <v>521.4</v>
      </c>
      <c r="I314" s="10" t="s">
        <v>170</v>
      </c>
      <c r="J314" s="13">
        <v>1</v>
      </c>
      <c r="K314" s="10" t="s">
        <v>146</v>
      </c>
      <c r="L314" s="12"/>
      <c r="M314" s="12">
        <v>521.4</v>
      </c>
    </row>
    <row r="315" spans="1:13" ht="15" hidden="1" customHeight="1" x14ac:dyDescent="0.25">
      <c r="A315" s="10">
        <v>16</v>
      </c>
      <c r="B315" s="10" t="str">
        <f t="shared" si="30"/>
        <v>L11LS-GARAJ-ЩР-1 — Гараж для подвижного состава канатной дороги, гараж снегоходов нижней станции L11 LS</v>
      </c>
      <c r="C315" s="10" t="s">
        <v>167</v>
      </c>
      <c r="D315" s="10" t="s">
        <v>171</v>
      </c>
      <c r="E315" s="11" t="s">
        <v>172</v>
      </c>
      <c r="F315" s="12">
        <v>1808</v>
      </c>
      <c r="G315" s="12">
        <f>F315*Kurallar!$B$3</f>
        <v>1808</v>
      </c>
      <c r="H315" s="12">
        <f>G315*J315</f>
        <v>1808</v>
      </c>
      <c r="I315" s="10" t="s">
        <v>142</v>
      </c>
      <c r="J315" s="13">
        <v>1</v>
      </c>
      <c r="K315" s="10" t="s">
        <v>164</v>
      </c>
      <c r="L315" s="12"/>
      <c r="M315" s="12">
        <v>1808</v>
      </c>
    </row>
    <row r="316" spans="1:13" ht="15" hidden="1" customHeight="1" x14ac:dyDescent="0.25">
      <c r="A316" s="10">
        <v>17</v>
      </c>
      <c r="B316" s="10" t="str">
        <f t="shared" si="30"/>
        <v>L11LS-GARAJ-ЩР-1 — Гараж для подвижного состава канатной дороги, гараж снегоходов нижней станции L11 LS</v>
      </c>
      <c r="C316" s="10" t="s">
        <v>167</v>
      </c>
      <c r="D316" s="10" t="s">
        <v>173</v>
      </c>
      <c r="E316" s="11" t="s">
        <v>174</v>
      </c>
      <c r="F316" s="12">
        <v>127</v>
      </c>
      <c r="G316" s="12">
        <f>F316*Kurallar!$B$3</f>
        <v>127</v>
      </c>
      <c r="H316" s="12">
        <f>G316*J316</f>
        <v>3556</v>
      </c>
      <c r="I316" s="10" t="s">
        <v>170</v>
      </c>
      <c r="J316" s="13">
        <v>28</v>
      </c>
      <c r="K316" s="10" t="s">
        <v>143</v>
      </c>
      <c r="L316" s="12"/>
      <c r="M316" s="12">
        <v>3556</v>
      </c>
    </row>
    <row r="317" spans="1:13" ht="15" hidden="1" customHeight="1" x14ac:dyDescent="0.25">
      <c r="A317" s="10">
        <v>18</v>
      </c>
      <c r="B317" s="10" t="str">
        <f t="shared" si="30"/>
        <v>L11LS-GARAJ-ЩР-1 — Гараж для подвижного состава канатной дороги, гараж снегоходов нижней станции L11 LS</v>
      </c>
      <c r="C317" s="10" t="s">
        <v>167</v>
      </c>
      <c r="D317" s="10" t="s">
        <v>175</v>
      </c>
      <c r="E317" s="11" t="s">
        <v>176</v>
      </c>
      <c r="F317" s="12">
        <v>918</v>
      </c>
      <c r="G317" s="12">
        <f>F317*Kurallar!$B$3</f>
        <v>918</v>
      </c>
      <c r="H317" s="12">
        <f>G317*J317</f>
        <v>7344</v>
      </c>
      <c r="I317" s="10" t="s">
        <v>170</v>
      </c>
      <c r="J317" s="13">
        <v>8</v>
      </c>
      <c r="K317" s="10" t="s">
        <v>143</v>
      </c>
      <c r="L317" s="12"/>
      <c r="M317" s="12">
        <v>7344</v>
      </c>
    </row>
    <row r="318" spans="1:13" ht="15" hidden="1" customHeight="1" x14ac:dyDescent="0.25">
      <c r="A318" s="10">
        <v>19</v>
      </c>
      <c r="B318" s="10" t="str">
        <f t="shared" si="30"/>
        <v>L11LS-GARAJ-ЩР-1 — Гараж для подвижного состава канатной дороги, гараж снегоходов нижней станции L11 LS</v>
      </c>
      <c r="C318" s="10" t="s">
        <v>167</v>
      </c>
      <c r="D318" s="10" t="s">
        <v>177</v>
      </c>
      <c r="E318" s="11" t="s">
        <v>178</v>
      </c>
      <c r="F318" s="12">
        <v>79</v>
      </c>
      <c r="G318" s="12">
        <f>F318*Kurallar!$B$3</f>
        <v>79</v>
      </c>
      <c r="H318" s="12">
        <f>G318*J318</f>
        <v>553</v>
      </c>
      <c r="I318" s="10" t="s">
        <v>170</v>
      </c>
      <c r="J318" s="13">
        <v>7</v>
      </c>
      <c r="K318" s="10" t="s">
        <v>143</v>
      </c>
      <c r="L318" s="12"/>
      <c r="M318" s="12">
        <v>553</v>
      </c>
    </row>
    <row r="319" spans="1:13" ht="23.25" hidden="1" customHeight="1" x14ac:dyDescent="0.25">
      <c r="A319" s="10">
        <v>20</v>
      </c>
      <c r="B319" s="10" t="str">
        <f t="shared" si="30"/>
        <v>L11LS-GARAJ-ЩР-1 — Гараж для подвижного состава канатной дороги, гараж снегоходов нижней станции L11 LS</v>
      </c>
      <c r="C319" s="10" t="s">
        <v>167</v>
      </c>
      <c r="D319" s="10" t="s">
        <v>179</v>
      </c>
      <c r="E319" s="11" t="s">
        <v>180</v>
      </c>
      <c r="F319" s="12"/>
      <c r="G319" s="12">
        <f>SUM(H301:H318)*Kurallar!$B$5</f>
        <v>9071.6880000000001</v>
      </c>
      <c r="H319" s="12">
        <f>G319*J319</f>
        <v>9071.6880000000001</v>
      </c>
      <c r="I319" s="10" t="s">
        <v>142</v>
      </c>
      <c r="J319" s="13">
        <v>1</v>
      </c>
      <c r="K319" s="10" t="s">
        <v>181</v>
      </c>
      <c r="L319" s="12"/>
      <c r="M319" s="12">
        <v>9071.6880000000001</v>
      </c>
    </row>
    <row r="320" spans="1:13" ht="15" hidden="1" customHeight="1" x14ac:dyDescent="0.25">
      <c r="A320" s="10">
        <v>21</v>
      </c>
      <c r="B320" s="10" t="str">
        <f t="shared" si="30"/>
        <v>L11LS-GARAJ-ЩР-1 — Гараж для подвижного состава канатной дороги, гараж снегоходов нижней станции L11 LS</v>
      </c>
      <c r="C320" s="10" t="s">
        <v>182</v>
      </c>
      <c r="D320" s="10" t="s">
        <v>183</v>
      </c>
      <c r="E320" s="11" t="s">
        <v>184</v>
      </c>
      <c r="F320" s="12">
        <f>J320/60</f>
        <v>12.75</v>
      </c>
      <c r="G320" s="12">
        <f>Kurallar!$B$6</f>
        <v>100</v>
      </c>
      <c r="H320" s="12">
        <f>G320*J320</f>
        <v>76500</v>
      </c>
      <c r="I320" s="10" t="s">
        <v>185</v>
      </c>
      <c r="J320" s="13">
        <f>ROUND((Kurallar!$B$11+1*Kurallar!$B$13+0*Kurallar!$B$14+0*Kurallar!$B$15+1*Kurallar!$B$16+0*Kurallar!$B$17+0*Kurallar!$B$18+10*Kurallar!$B$19+6*Kurallar!$B$20+2*Kurallar!$B$21+46*Kurallar!$B$22+4*Kurallar!$B$23+0*Kurallar!$B$24+3*Kurallar!$B$25)*Kurallar!$B$7,0)</f>
        <v>765</v>
      </c>
      <c r="K320" s="10" t="s">
        <v>181</v>
      </c>
      <c r="L320" s="12"/>
      <c r="M320" s="12">
        <v>76500</v>
      </c>
    </row>
    <row r="321" spans="1:13" ht="15" customHeight="1" x14ac:dyDescent="0.25">
      <c r="A321" s="15"/>
      <c r="B321" s="15" t="s">
        <v>276</v>
      </c>
      <c r="C321" s="15"/>
      <c r="D321" s="15"/>
      <c r="E321" s="16"/>
      <c r="F321" s="17"/>
      <c r="G321" s="17"/>
      <c r="H321" s="17">
        <f>SUBTOTAL(9,H301:H320)</f>
        <v>0</v>
      </c>
      <c r="I321" s="15"/>
      <c r="J321" s="18"/>
      <c r="K321" s="15"/>
      <c r="L321" s="17">
        <f>SUBTOTAL(9,H301:H318)</f>
        <v>0</v>
      </c>
      <c r="M321" s="17">
        <v>387961.28800000006</v>
      </c>
    </row>
    <row r="322" spans="1:13" ht="15" customHeight="1" x14ac:dyDescent="0.25">
      <c r="A322" s="19">
        <v>1</v>
      </c>
      <c r="B322" s="20" t="str">
        <f>E322</f>
        <v>L11LS-OP-ЩР-1 — Здание оператора нижней станции L11 LS</v>
      </c>
      <c r="C322" s="19" t="s">
        <v>136</v>
      </c>
      <c r="D322" s="19" t="s">
        <v>277</v>
      </c>
      <c r="E322" s="21" t="s">
        <v>278</v>
      </c>
      <c r="F322" s="22"/>
      <c r="G322" s="22"/>
      <c r="H322" s="22"/>
      <c r="I322" s="19" t="s">
        <v>139</v>
      </c>
      <c r="J322" s="23">
        <v>1</v>
      </c>
      <c r="K322" s="19"/>
      <c r="L322" s="22"/>
      <c r="M322" s="22"/>
    </row>
    <row r="323" spans="1:13" ht="15" hidden="1" customHeight="1" x14ac:dyDescent="0.25">
      <c r="A323" s="10">
        <v>2</v>
      </c>
      <c r="B323" s="10" t="str">
        <f t="shared" ref="B323:B341" si="32">B322</f>
        <v>L11LS-OP-ЩР-1 — Здание оператора нижней станции L11 LS</v>
      </c>
      <c r="C323" s="10" t="s">
        <v>140</v>
      </c>
      <c r="D323" s="10" t="s">
        <v>384</v>
      </c>
      <c r="E323" s="24" t="s">
        <v>385</v>
      </c>
      <c r="F323" s="12">
        <v>55770</v>
      </c>
      <c r="G323" s="12">
        <f>0.5*F323</f>
        <v>27885</v>
      </c>
      <c r="H323" s="12">
        <f>G323*J323</f>
        <v>27885</v>
      </c>
      <c r="I323" s="10" t="s">
        <v>142</v>
      </c>
      <c r="J323" s="13">
        <v>1</v>
      </c>
      <c r="K323" s="14" t="s">
        <v>390</v>
      </c>
      <c r="L323" s="12"/>
      <c r="M323" s="12">
        <v>27885</v>
      </c>
    </row>
    <row r="324" spans="1:13" ht="15" hidden="1" customHeight="1" x14ac:dyDescent="0.25">
      <c r="A324" s="10">
        <v>3</v>
      </c>
      <c r="B324" s="10" t="str">
        <f t="shared" si="32"/>
        <v>L11LS-OP-ЩР-1 — Здание оператора нижней станции L11 LS</v>
      </c>
      <c r="C324" s="14" t="s">
        <v>371</v>
      </c>
      <c r="D324" s="10" t="s">
        <v>144</v>
      </c>
      <c r="E324" s="11" t="s">
        <v>145</v>
      </c>
      <c r="F324" s="12">
        <v>201862</v>
      </c>
      <c r="G324" s="12">
        <f>F324*Kurallar!$B$2</f>
        <v>121117.2</v>
      </c>
      <c r="H324" s="12">
        <f>G324*J324</f>
        <v>121117.2</v>
      </c>
      <c r="I324" s="10" t="s">
        <v>142</v>
      </c>
      <c r="J324" s="13">
        <v>1</v>
      </c>
      <c r="K324" s="10" t="s">
        <v>146</v>
      </c>
      <c r="L324" s="12"/>
      <c r="M324" s="12">
        <v>121117.2</v>
      </c>
    </row>
    <row r="325" spans="1:13" ht="15" hidden="1" customHeight="1" x14ac:dyDescent="0.25">
      <c r="A325" s="10">
        <v>4</v>
      </c>
      <c r="B325" s="10" t="str">
        <f t="shared" si="32"/>
        <v>L11LS-OP-ЩР-1 — Здание оператора нижней станции L11 LS</v>
      </c>
      <c r="C325" s="10" t="s">
        <v>147</v>
      </c>
      <c r="D325" s="10" t="s">
        <v>391</v>
      </c>
      <c r="E325" s="24" t="s">
        <v>392</v>
      </c>
      <c r="F325" s="12">
        <v>88000</v>
      </c>
      <c r="G325" s="12">
        <f>F325*Kurallar!$B$4</f>
        <v>88000</v>
      </c>
      <c r="H325" s="12">
        <f>G325*J325</f>
        <v>88000</v>
      </c>
      <c r="I325" s="10" t="s">
        <v>142</v>
      </c>
      <c r="J325" s="13">
        <v>1</v>
      </c>
      <c r="K325" s="10" t="s">
        <v>148</v>
      </c>
      <c r="L325" s="12"/>
      <c r="M325" s="12">
        <v>88000</v>
      </c>
    </row>
    <row r="326" spans="1:13" ht="15" hidden="1" customHeight="1" x14ac:dyDescent="0.25">
      <c r="A326" s="10">
        <v>5</v>
      </c>
      <c r="B326" s="10" t="str">
        <f t="shared" si="32"/>
        <v>L11LS-OP-ЩР-1 — Здание оператора нижней станции L11 LS</v>
      </c>
      <c r="C326" s="10" t="s">
        <v>149</v>
      </c>
      <c r="D326" s="10" t="s">
        <v>150</v>
      </c>
      <c r="E326" s="11" t="s">
        <v>151</v>
      </c>
      <c r="F326" s="12">
        <v>1419</v>
      </c>
      <c r="G326" s="12">
        <f>F326*Kurallar!$B$2</f>
        <v>851.4</v>
      </c>
      <c r="H326" s="12">
        <f>G326*J326</f>
        <v>851.4</v>
      </c>
      <c r="I326" s="10" t="s">
        <v>142</v>
      </c>
      <c r="J326" s="13">
        <v>1</v>
      </c>
      <c r="K326" s="10" t="s">
        <v>146</v>
      </c>
      <c r="L326" s="12"/>
      <c r="M326" s="12">
        <v>851.4</v>
      </c>
    </row>
    <row r="327" spans="1:13" ht="15" hidden="1" customHeight="1" x14ac:dyDescent="0.25">
      <c r="A327" s="10">
        <v>6</v>
      </c>
      <c r="B327" s="10" t="str">
        <f t="shared" si="32"/>
        <v>L11LS-OP-ЩР-1 — Здание оператора нижней станции L11 LS</v>
      </c>
      <c r="C327" s="10" t="s">
        <v>149</v>
      </c>
      <c r="D327" s="10" t="s">
        <v>152</v>
      </c>
      <c r="E327" s="11" t="s">
        <v>153</v>
      </c>
      <c r="F327" s="12">
        <v>1389</v>
      </c>
      <c r="G327" s="12">
        <f>F327*Kurallar!$B$2</f>
        <v>833.4</v>
      </c>
      <c r="H327" s="12">
        <f>G327*J327</f>
        <v>2500.1999999999998</v>
      </c>
      <c r="I327" s="10" t="s">
        <v>142</v>
      </c>
      <c r="J327" s="13">
        <v>3</v>
      </c>
      <c r="K327" s="10" t="s">
        <v>146</v>
      </c>
      <c r="L327" s="12"/>
      <c r="M327" s="12">
        <v>2500.1999999999998</v>
      </c>
    </row>
    <row r="328" spans="1:13" ht="15" hidden="1" customHeight="1" x14ac:dyDescent="0.25">
      <c r="A328" s="10">
        <v>7</v>
      </c>
      <c r="B328" s="10" t="str">
        <f t="shared" si="32"/>
        <v>L11LS-OP-ЩР-1 — Здание оператора нижней станции L11 LS</v>
      </c>
      <c r="C328" s="10" t="s">
        <v>149</v>
      </c>
      <c r="D328" s="10" t="s">
        <v>190</v>
      </c>
      <c r="E328" s="11" t="s">
        <v>191</v>
      </c>
      <c r="F328" s="12">
        <v>6060</v>
      </c>
      <c r="G328" s="12">
        <f>F328*Kurallar!$B$2</f>
        <v>3636</v>
      </c>
      <c r="H328" s="12">
        <f>G328*J328</f>
        <v>3636</v>
      </c>
      <c r="I328" s="10" t="s">
        <v>142</v>
      </c>
      <c r="J328" s="13">
        <v>1</v>
      </c>
      <c r="K328" s="10" t="s">
        <v>146</v>
      </c>
      <c r="L328" s="12"/>
      <c r="M328" s="12">
        <v>3636</v>
      </c>
    </row>
    <row r="329" spans="1:13" ht="15" hidden="1" customHeight="1" x14ac:dyDescent="0.25">
      <c r="A329" s="10">
        <v>8</v>
      </c>
      <c r="B329" s="10" t="str">
        <f t="shared" si="32"/>
        <v>L11LS-OP-ЩР-1 — Здание оператора нижней станции L11 LS</v>
      </c>
      <c r="C329" s="10" t="s">
        <v>156</v>
      </c>
      <c r="D329" s="10" t="s">
        <v>157</v>
      </c>
      <c r="E329" s="11" t="s">
        <v>158</v>
      </c>
      <c r="F329" s="12">
        <v>5104</v>
      </c>
      <c r="G329" s="12">
        <f>F329*Kurallar!$B$2</f>
        <v>3062.4</v>
      </c>
      <c r="H329" s="12">
        <f>G329*J329</f>
        <v>9187.2000000000007</v>
      </c>
      <c r="I329" s="10" t="s">
        <v>142</v>
      </c>
      <c r="J329" s="13">
        <v>3</v>
      </c>
      <c r="K329" s="10" t="s">
        <v>146</v>
      </c>
      <c r="L329" s="12"/>
      <c r="M329" s="12">
        <v>9187.2000000000007</v>
      </c>
    </row>
    <row r="330" spans="1:13" ht="15" hidden="1" customHeight="1" x14ac:dyDescent="0.25">
      <c r="A330" s="10">
        <v>9</v>
      </c>
      <c r="B330" s="10" t="str">
        <f t="shared" si="32"/>
        <v>L11LS-OP-ЩР-1 — Здание оператора нижней станции L11 LS</v>
      </c>
      <c r="C330" s="10" t="s">
        <v>156</v>
      </c>
      <c r="D330" s="10" t="s">
        <v>159</v>
      </c>
      <c r="E330" s="11" t="s">
        <v>160</v>
      </c>
      <c r="F330" s="12">
        <v>5632</v>
      </c>
      <c r="G330" s="12">
        <f>F330*Kurallar!$B$2</f>
        <v>3379.2</v>
      </c>
      <c r="H330" s="12">
        <f>G330*J330</f>
        <v>16896</v>
      </c>
      <c r="I330" s="10" t="s">
        <v>142</v>
      </c>
      <c r="J330" s="13">
        <v>5</v>
      </c>
      <c r="K330" s="10" t="s">
        <v>146</v>
      </c>
      <c r="L330" s="12"/>
      <c r="M330" s="12">
        <v>16896</v>
      </c>
    </row>
    <row r="331" spans="1:13" ht="15" hidden="1" customHeight="1" x14ac:dyDescent="0.25">
      <c r="A331" s="10">
        <v>10</v>
      </c>
      <c r="B331" s="10" t="str">
        <f t="shared" si="32"/>
        <v>L11LS-OP-ЩР-1 — Здание оператора нижней станции L11 LS</v>
      </c>
      <c r="C331" s="10" t="s">
        <v>161</v>
      </c>
      <c r="D331" s="10" t="s">
        <v>162</v>
      </c>
      <c r="E331" s="11" t="s">
        <v>163</v>
      </c>
      <c r="F331" s="12">
        <v>530</v>
      </c>
      <c r="G331" s="12">
        <f>F331*Kurallar!$B$3</f>
        <v>530</v>
      </c>
      <c r="H331" s="12">
        <f>G331*J331</f>
        <v>530</v>
      </c>
      <c r="I331" s="10" t="s">
        <v>142</v>
      </c>
      <c r="J331" s="13">
        <v>1</v>
      </c>
      <c r="K331" s="14" t="s">
        <v>372</v>
      </c>
      <c r="L331" s="12"/>
      <c r="M331" s="12">
        <v>530</v>
      </c>
    </row>
    <row r="332" spans="1:13" ht="15" hidden="1" customHeight="1" x14ac:dyDescent="0.25">
      <c r="A332" s="10">
        <v>11</v>
      </c>
      <c r="B332" s="10" t="str">
        <f t="shared" si="32"/>
        <v>L11LS-OP-ЩР-1 — Здание оператора нижней станции L11 LS</v>
      </c>
      <c r="C332" s="10" t="s">
        <v>161</v>
      </c>
      <c r="D332" s="10" t="s">
        <v>165</v>
      </c>
      <c r="E332" s="11" t="s">
        <v>166</v>
      </c>
      <c r="F332" s="12">
        <v>634</v>
      </c>
      <c r="G332" s="12">
        <f>F332*Kurallar!$B$3</f>
        <v>634</v>
      </c>
      <c r="H332" s="12">
        <f>G332*J332</f>
        <v>1268</v>
      </c>
      <c r="I332" s="10" t="s">
        <v>142</v>
      </c>
      <c r="J332" s="13">
        <v>2</v>
      </c>
      <c r="K332" s="14" t="s">
        <v>372</v>
      </c>
      <c r="L332" s="12"/>
      <c r="M332" s="12">
        <v>1268</v>
      </c>
    </row>
    <row r="333" spans="1:13" ht="15" hidden="1" customHeight="1" x14ac:dyDescent="0.25">
      <c r="A333" s="10">
        <v>12</v>
      </c>
      <c r="B333" s="10" t="str">
        <f t="shared" si="32"/>
        <v>L11LS-OP-ЩР-1 — Здание оператора нижней станции L11 LS</v>
      </c>
      <c r="C333" s="10" t="s">
        <v>31</v>
      </c>
      <c r="D333" s="10" t="s">
        <v>373</v>
      </c>
      <c r="E333" s="11" t="s">
        <v>374</v>
      </c>
      <c r="F333" s="12">
        <v>140</v>
      </c>
      <c r="G333" s="12">
        <f t="shared" ref="G333:G334" si="33">0.6*F333</f>
        <v>84</v>
      </c>
      <c r="H333" s="12">
        <f>G333*J333</f>
        <v>1596</v>
      </c>
      <c r="I333" s="10" t="s">
        <v>142</v>
      </c>
      <c r="J333" s="13">
        <v>19</v>
      </c>
      <c r="K333" s="14" t="s">
        <v>375</v>
      </c>
      <c r="L333" s="12"/>
      <c r="M333" s="12">
        <v>1596</v>
      </c>
    </row>
    <row r="334" spans="1:13" ht="15" hidden="1" customHeight="1" x14ac:dyDescent="0.25">
      <c r="A334" s="10">
        <v>13</v>
      </c>
      <c r="B334" s="10" t="str">
        <f t="shared" si="32"/>
        <v>L11LS-OP-ЩР-1 — Здание оператора нижней станции L11 LS</v>
      </c>
      <c r="C334" s="10" t="s">
        <v>31</v>
      </c>
      <c r="D334" s="10" t="s">
        <v>373</v>
      </c>
      <c r="E334" s="11" t="s">
        <v>374</v>
      </c>
      <c r="F334" s="12">
        <v>140</v>
      </c>
      <c r="G334" s="12">
        <f t="shared" si="33"/>
        <v>84</v>
      </c>
      <c r="H334" s="12">
        <f>G334*J334</f>
        <v>1260</v>
      </c>
      <c r="I334" s="10" t="s">
        <v>142</v>
      </c>
      <c r="J334" s="13">
        <v>15</v>
      </c>
      <c r="K334" s="14" t="s">
        <v>375</v>
      </c>
      <c r="L334" s="12"/>
      <c r="M334" s="12">
        <v>1260</v>
      </c>
    </row>
    <row r="335" spans="1:13" ht="15" hidden="1" customHeight="1" x14ac:dyDescent="0.25">
      <c r="A335" s="10">
        <v>14</v>
      </c>
      <c r="B335" s="10" t="str">
        <f t="shared" si="32"/>
        <v>L11LS-OP-ЩР-1 — Здание оператора нижней станции L11 LS</v>
      </c>
      <c r="C335" s="10" t="s">
        <v>167</v>
      </c>
      <c r="D335" s="10" t="s">
        <v>168</v>
      </c>
      <c r="E335" s="11" t="s">
        <v>169</v>
      </c>
      <c r="F335" s="12">
        <v>869</v>
      </c>
      <c r="G335" s="12">
        <f>F335*Kurallar!$B$2</f>
        <v>521.4</v>
      </c>
      <c r="H335" s="12">
        <f>G335*J335</f>
        <v>521.4</v>
      </c>
      <c r="I335" s="10" t="s">
        <v>170</v>
      </c>
      <c r="J335" s="13">
        <v>1</v>
      </c>
      <c r="K335" s="10" t="s">
        <v>146</v>
      </c>
      <c r="L335" s="12"/>
      <c r="M335" s="12">
        <v>521.4</v>
      </c>
    </row>
    <row r="336" spans="1:13" ht="15" hidden="1" customHeight="1" x14ac:dyDescent="0.25">
      <c r="A336" s="10">
        <v>15</v>
      </c>
      <c r="B336" s="10" t="str">
        <f t="shared" si="32"/>
        <v>L11LS-OP-ЩР-1 — Здание оператора нижней станции L11 LS</v>
      </c>
      <c r="C336" s="10" t="s">
        <v>167</v>
      </c>
      <c r="D336" s="10" t="s">
        <v>171</v>
      </c>
      <c r="E336" s="11" t="s">
        <v>172</v>
      </c>
      <c r="F336" s="12">
        <v>1808</v>
      </c>
      <c r="G336" s="12">
        <f>F336*Kurallar!$B$3</f>
        <v>1808</v>
      </c>
      <c r="H336" s="12">
        <f>G336*J336</f>
        <v>1808</v>
      </c>
      <c r="I336" s="10" t="s">
        <v>142</v>
      </c>
      <c r="J336" s="13">
        <v>1</v>
      </c>
      <c r="K336" s="10" t="s">
        <v>164</v>
      </c>
      <c r="L336" s="12"/>
      <c r="M336" s="12">
        <v>1808</v>
      </c>
    </row>
    <row r="337" spans="1:13" ht="15" hidden="1" customHeight="1" x14ac:dyDescent="0.25">
      <c r="A337" s="10">
        <v>16</v>
      </c>
      <c r="B337" s="10" t="str">
        <f t="shared" si="32"/>
        <v>L11LS-OP-ЩР-1 — Здание оператора нижней станции L11 LS</v>
      </c>
      <c r="C337" s="10" t="s">
        <v>167</v>
      </c>
      <c r="D337" s="10" t="s">
        <v>173</v>
      </c>
      <c r="E337" s="11" t="s">
        <v>174</v>
      </c>
      <c r="F337" s="12">
        <v>127</v>
      </c>
      <c r="G337" s="12">
        <f>F337*Kurallar!$B$3</f>
        <v>127</v>
      </c>
      <c r="H337" s="12">
        <f>G337*J337</f>
        <v>2540</v>
      </c>
      <c r="I337" s="10" t="s">
        <v>170</v>
      </c>
      <c r="J337" s="13">
        <v>20</v>
      </c>
      <c r="K337" s="10" t="s">
        <v>143</v>
      </c>
      <c r="L337" s="12"/>
      <c r="M337" s="12">
        <v>2540</v>
      </c>
    </row>
    <row r="338" spans="1:13" ht="15" hidden="1" customHeight="1" x14ac:dyDescent="0.25">
      <c r="A338" s="10">
        <v>17</v>
      </c>
      <c r="B338" s="10" t="str">
        <f t="shared" si="32"/>
        <v>L11LS-OP-ЩР-1 — Здание оператора нижней станции L11 LS</v>
      </c>
      <c r="C338" s="10" t="s">
        <v>167</v>
      </c>
      <c r="D338" s="10" t="s">
        <v>175</v>
      </c>
      <c r="E338" s="11" t="s">
        <v>176</v>
      </c>
      <c r="F338" s="12">
        <v>918</v>
      </c>
      <c r="G338" s="12">
        <f>F338*Kurallar!$B$3</f>
        <v>918</v>
      </c>
      <c r="H338" s="12">
        <f>G338*J338</f>
        <v>7344</v>
      </c>
      <c r="I338" s="10" t="s">
        <v>170</v>
      </c>
      <c r="J338" s="13">
        <v>8</v>
      </c>
      <c r="K338" s="10" t="s">
        <v>143</v>
      </c>
      <c r="L338" s="12"/>
      <c r="M338" s="12">
        <v>7344</v>
      </c>
    </row>
    <row r="339" spans="1:13" ht="15" hidden="1" customHeight="1" x14ac:dyDescent="0.25">
      <c r="A339" s="10">
        <v>18</v>
      </c>
      <c r="B339" s="10" t="str">
        <f t="shared" si="32"/>
        <v>L11LS-OP-ЩР-1 — Здание оператора нижней станции L11 LS</v>
      </c>
      <c r="C339" s="10" t="s">
        <v>167</v>
      </c>
      <c r="D339" s="10" t="s">
        <v>177</v>
      </c>
      <c r="E339" s="11" t="s">
        <v>178</v>
      </c>
      <c r="F339" s="12">
        <v>79</v>
      </c>
      <c r="G339" s="12">
        <f>F339*Kurallar!$B$3</f>
        <v>79</v>
      </c>
      <c r="H339" s="12">
        <f>G339*J339</f>
        <v>474</v>
      </c>
      <c r="I339" s="10" t="s">
        <v>170</v>
      </c>
      <c r="J339" s="13">
        <v>6</v>
      </c>
      <c r="K339" s="10" t="s">
        <v>143</v>
      </c>
      <c r="L339" s="12"/>
      <c r="M339" s="12">
        <v>474</v>
      </c>
    </row>
    <row r="340" spans="1:13" ht="23.25" hidden="1" customHeight="1" x14ac:dyDescent="0.25">
      <c r="A340" s="10">
        <v>19</v>
      </c>
      <c r="B340" s="10" t="str">
        <f t="shared" si="32"/>
        <v>L11LS-OP-ЩР-1 — Здание оператора нижней станции L11 LS</v>
      </c>
      <c r="C340" s="10" t="s">
        <v>167</v>
      </c>
      <c r="D340" s="10" t="s">
        <v>179</v>
      </c>
      <c r="E340" s="11" t="s">
        <v>180</v>
      </c>
      <c r="F340" s="12"/>
      <c r="G340" s="12">
        <f>SUM(H323:H339)*Kurallar!$B$5</f>
        <v>8622.4320000000007</v>
      </c>
      <c r="H340" s="12">
        <f>G340*J340</f>
        <v>8622.4320000000007</v>
      </c>
      <c r="I340" s="10" t="s">
        <v>142</v>
      </c>
      <c r="J340" s="13">
        <v>1</v>
      </c>
      <c r="K340" s="10" t="s">
        <v>181</v>
      </c>
      <c r="L340" s="12"/>
      <c r="M340" s="12">
        <v>8622.4320000000007</v>
      </c>
    </row>
    <row r="341" spans="1:13" ht="15" hidden="1" customHeight="1" x14ac:dyDescent="0.25">
      <c r="A341" s="10">
        <v>20</v>
      </c>
      <c r="B341" s="10" t="str">
        <f t="shared" si="32"/>
        <v>L11LS-OP-ЩР-1 — Здание оператора нижней станции L11 LS</v>
      </c>
      <c r="C341" s="10" t="s">
        <v>182</v>
      </c>
      <c r="D341" s="10" t="s">
        <v>183</v>
      </c>
      <c r="E341" s="11" t="s">
        <v>184</v>
      </c>
      <c r="F341" s="12">
        <f>J341/60</f>
        <v>4.1800000000000006</v>
      </c>
      <c r="G341" s="12">
        <f>Kurallar!$B$6</f>
        <v>100</v>
      </c>
      <c r="H341" s="12">
        <f>G341*J341</f>
        <v>25080</v>
      </c>
      <c r="I341" s="10" t="s">
        <v>185</v>
      </c>
      <c r="J341" s="13">
        <f>ROUND((Kurallar!$B$11+1*Kurallar!$B$13+0*Kurallar!$B$14+0*Kurallar!$B$15+1*Kurallar!$B$16+0*Kurallar!$B$17+0*Kurallar!$B$18+8*Kurallar!$B$19+4*Kurallar!$B$20+1*Kurallar!$B$21+34*Kurallar!$B$22+3*Kurallar!$B$23+0*Kurallar!$B$24+3*Kurallar!$B$25)*Kurallar!$B$7,0)*0.4</f>
        <v>250.8</v>
      </c>
      <c r="K341" s="10" t="s">
        <v>181</v>
      </c>
      <c r="L341" s="12"/>
      <c r="M341" s="12">
        <v>25080</v>
      </c>
    </row>
    <row r="342" spans="1:13" ht="15" customHeight="1" x14ac:dyDescent="0.25">
      <c r="A342" s="15"/>
      <c r="B342" s="15" t="s">
        <v>279</v>
      </c>
      <c r="C342" s="15"/>
      <c r="D342" s="15"/>
      <c r="E342" s="16"/>
      <c r="F342" s="17"/>
      <c r="G342" s="17"/>
      <c r="H342" s="17">
        <f>SUBTOTAL(9,H323:H341)</f>
        <v>0</v>
      </c>
      <c r="I342" s="15"/>
      <c r="J342" s="18"/>
      <c r="K342" s="15"/>
      <c r="L342" s="17">
        <f>SUBTOTAL(9,H323:H339)</f>
        <v>0</v>
      </c>
      <c r="M342" s="17">
        <v>321116.83200000005</v>
      </c>
    </row>
    <row r="343" spans="1:13" ht="15" customHeight="1" x14ac:dyDescent="0.25">
      <c r="A343" s="19">
        <v>1</v>
      </c>
      <c r="B343" s="20" t="str">
        <f>E343</f>
        <v>L11US-ЩР-1 — Здание оператора верхней станции L11 US</v>
      </c>
      <c r="C343" s="19" t="s">
        <v>136</v>
      </c>
      <c r="D343" s="19" t="s">
        <v>280</v>
      </c>
      <c r="E343" s="21" t="s">
        <v>281</v>
      </c>
      <c r="F343" s="22"/>
      <c r="G343" s="22"/>
      <c r="H343" s="22"/>
      <c r="I343" s="19" t="s">
        <v>139</v>
      </c>
      <c r="J343" s="23">
        <v>1</v>
      </c>
      <c r="K343" s="19"/>
      <c r="L343" s="22"/>
      <c r="M343" s="22"/>
    </row>
    <row r="344" spans="1:13" ht="15" hidden="1" customHeight="1" x14ac:dyDescent="0.25">
      <c r="A344" s="10">
        <v>2</v>
      </c>
      <c r="B344" s="10" t="str">
        <f t="shared" ref="B344:B362" si="34">B343</f>
        <v>L11US-ЩР-1 — Здание оператора верхней станции L11 US</v>
      </c>
      <c r="C344" s="10" t="s">
        <v>140</v>
      </c>
      <c r="D344" s="10" t="s">
        <v>384</v>
      </c>
      <c r="E344" s="24" t="s">
        <v>385</v>
      </c>
      <c r="F344" s="12">
        <v>55770</v>
      </c>
      <c r="G344" s="12">
        <f>0.5*F344</f>
        <v>27885</v>
      </c>
      <c r="H344" s="12">
        <f>G344*J344</f>
        <v>27885</v>
      </c>
      <c r="I344" s="10" t="s">
        <v>142</v>
      </c>
      <c r="J344" s="13">
        <v>1</v>
      </c>
      <c r="K344" s="14" t="s">
        <v>390</v>
      </c>
      <c r="L344" s="12"/>
      <c r="M344" s="12">
        <v>27885</v>
      </c>
    </row>
    <row r="345" spans="1:13" ht="15" hidden="1" customHeight="1" x14ac:dyDescent="0.25">
      <c r="A345" s="10">
        <v>3</v>
      </c>
      <c r="B345" s="10" t="str">
        <f t="shared" si="34"/>
        <v>L11US-ЩР-1 — Здание оператора верхней станции L11 US</v>
      </c>
      <c r="C345" s="14" t="s">
        <v>371</v>
      </c>
      <c r="D345" s="10" t="s">
        <v>254</v>
      </c>
      <c r="E345" s="11" t="s">
        <v>255</v>
      </c>
      <c r="F345" s="12">
        <v>201639</v>
      </c>
      <c r="G345" s="12">
        <f>F345*Kurallar!$B$2</f>
        <v>120983.4</v>
      </c>
      <c r="H345" s="12">
        <f>G345*J345</f>
        <v>120983.4</v>
      </c>
      <c r="I345" s="10" t="s">
        <v>142</v>
      </c>
      <c r="J345" s="13">
        <v>1</v>
      </c>
      <c r="K345" s="10" t="s">
        <v>146</v>
      </c>
      <c r="L345" s="12"/>
      <c r="M345" s="12">
        <v>120983.4</v>
      </c>
    </row>
    <row r="346" spans="1:13" ht="15" hidden="1" customHeight="1" x14ac:dyDescent="0.25">
      <c r="A346" s="10">
        <v>4</v>
      </c>
      <c r="B346" s="10" t="str">
        <f t="shared" si="34"/>
        <v>L11US-ЩР-1 — Здание оператора верхней станции L11 US</v>
      </c>
      <c r="C346" s="10" t="s">
        <v>147</v>
      </c>
      <c r="D346" s="10" t="s">
        <v>391</v>
      </c>
      <c r="E346" s="24" t="s">
        <v>392</v>
      </c>
      <c r="F346" s="12">
        <v>88000</v>
      </c>
      <c r="G346" s="12">
        <f>F346*Kurallar!$B$4</f>
        <v>88000</v>
      </c>
      <c r="H346" s="12">
        <f>G346*J346</f>
        <v>88000</v>
      </c>
      <c r="I346" s="10" t="s">
        <v>142</v>
      </c>
      <c r="J346" s="13">
        <v>1</v>
      </c>
      <c r="K346" s="10" t="s">
        <v>148</v>
      </c>
      <c r="L346" s="12"/>
      <c r="M346" s="12">
        <v>88000</v>
      </c>
    </row>
    <row r="347" spans="1:13" ht="15" hidden="1" customHeight="1" x14ac:dyDescent="0.25">
      <c r="A347" s="10">
        <v>5</v>
      </c>
      <c r="B347" s="10" t="str">
        <f t="shared" si="34"/>
        <v>L11US-ЩР-1 — Здание оператора верхней станции L11 US</v>
      </c>
      <c r="C347" s="10" t="s">
        <v>149</v>
      </c>
      <c r="D347" s="10" t="s">
        <v>150</v>
      </c>
      <c r="E347" s="11" t="s">
        <v>151</v>
      </c>
      <c r="F347" s="12">
        <v>1419</v>
      </c>
      <c r="G347" s="12">
        <f>F347*Kurallar!$B$2</f>
        <v>851.4</v>
      </c>
      <c r="H347" s="12">
        <f>G347*J347</f>
        <v>1702.8</v>
      </c>
      <c r="I347" s="10" t="s">
        <v>142</v>
      </c>
      <c r="J347" s="13">
        <v>2</v>
      </c>
      <c r="K347" s="10" t="s">
        <v>146</v>
      </c>
      <c r="L347" s="12"/>
      <c r="M347" s="12">
        <v>1702.8</v>
      </c>
    </row>
    <row r="348" spans="1:13" ht="15" hidden="1" customHeight="1" x14ac:dyDescent="0.25">
      <c r="A348" s="10">
        <v>6</v>
      </c>
      <c r="B348" s="10" t="str">
        <f t="shared" si="34"/>
        <v>L11US-ЩР-1 — Здание оператора верхней станции L11 US</v>
      </c>
      <c r="C348" s="10" t="s">
        <v>149</v>
      </c>
      <c r="D348" s="10" t="s">
        <v>152</v>
      </c>
      <c r="E348" s="11" t="s">
        <v>153</v>
      </c>
      <c r="F348" s="12">
        <v>1389</v>
      </c>
      <c r="G348" s="12">
        <f>F348*Kurallar!$B$2</f>
        <v>833.4</v>
      </c>
      <c r="H348" s="12">
        <f>G348*J348</f>
        <v>2500.1999999999998</v>
      </c>
      <c r="I348" s="10" t="s">
        <v>142</v>
      </c>
      <c r="J348" s="13">
        <v>3</v>
      </c>
      <c r="K348" s="10" t="s">
        <v>146</v>
      </c>
      <c r="L348" s="12"/>
      <c r="M348" s="12">
        <v>2500.1999999999998</v>
      </c>
    </row>
    <row r="349" spans="1:13" ht="15" hidden="1" customHeight="1" x14ac:dyDescent="0.25">
      <c r="A349" s="10">
        <v>7</v>
      </c>
      <c r="B349" s="10" t="str">
        <f t="shared" si="34"/>
        <v>L11US-ЩР-1 — Здание оператора верхней станции L11 US</v>
      </c>
      <c r="C349" s="10" t="s">
        <v>149</v>
      </c>
      <c r="D349" s="10" t="s">
        <v>190</v>
      </c>
      <c r="E349" s="11" t="s">
        <v>191</v>
      </c>
      <c r="F349" s="12">
        <v>6060</v>
      </c>
      <c r="G349" s="12">
        <f>F349*Kurallar!$B$2</f>
        <v>3636</v>
      </c>
      <c r="H349" s="12">
        <f>G349*J349</f>
        <v>3636</v>
      </c>
      <c r="I349" s="10" t="s">
        <v>142</v>
      </c>
      <c r="J349" s="13">
        <v>1</v>
      </c>
      <c r="K349" s="10" t="s">
        <v>146</v>
      </c>
      <c r="L349" s="12"/>
      <c r="M349" s="12">
        <v>3636</v>
      </c>
    </row>
    <row r="350" spans="1:13" ht="15" hidden="1" customHeight="1" x14ac:dyDescent="0.25">
      <c r="A350" s="10">
        <v>8</v>
      </c>
      <c r="B350" s="10" t="str">
        <f t="shared" si="34"/>
        <v>L11US-ЩР-1 — Здание оператора верхней станции L11 US</v>
      </c>
      <c r="C350" s="10" t="s">
        <v>156</v>
      </c>
      <c r="D350" s="10" t="s">
        <v>157</v>
      </c>
      <c r="E350" s="11" t="s">
        <v>158</v>
      </c>
      <c r="F350" s="12">
        <v>5104</v>
      </c>
      <c r="G350" s="12">
        <f>F350*Kurallar!$B$2</f>
        <v>3062.4</v>
      </c>
      <c r="H350" s="12">
        <f>G350*J350</f>
        <v>12249.6</v>
      </c>
      <c r="I350" s="10" t="s">
        <v>142</v>
      </c>
      <c r="J350" s="13">
        <v>4</v>
      </c>
      <c r="K350" s="10" t="s">
        <v>146</v>
      </c>
      <c r="L350" s="12"/>
      <c r="M350" s="12">
        <v>12249.6</v>
      </c>
    </row>
    <row r="351" spans="1:13" ht="15" hidden="1" customHeight="1" x14ac:dyDescent="0.25">
      <c r="A351" s="10">
        <v>9</v>
      </c>
      <c r="B351" s="10" t="str">
        <f t="shared" si="34"/>
        <v>L11US-ЩР-1 — Здание оператора верхней станции L11 US</v>
      </c>
      <c r="C351" s="10" t="s">
        <v>156</v>
      </c>
      <c r="D351" s="10" t="s">
        <v>159</v>
      </c>
      <c r="E351" s="11" t="s">
        <v>160</v>
      </c>
      <c r="F351" s="12">
        <v>5632</v>
      </c>
      <c r="G351" s="12">
        <f>F351*Kurallar!$B$2</f>
        <v>3379.2</v>
      </c>
      <c r="H351" s="12">
        <f>G351*J351</f>
        <v>27033.599999999999</v>
      </c>
      <c r="I351" s="10" t="s">
        <v>142</v>
      </c>
      <c r="J351" s="13">
        <v>8</v>
      </c>
      <c r="K351" s="10" t="s">
        <v>146</v>
      </c>
      <c r="L351" s="12"/>
      <c r="M351" s="12">
        <v>27033.599999999999</v>
      </c>
    </row>
    <row r="352" spans="1:13" ht="15" hidden="1" customHeight="1" x14ac:dyDescent="0.25">
      <c r="A352" s="10">
        <v>10</v>
      </c>
      <c r="B352" s="10" t="str">
        <f t="shared" si="34"/>
        <v>L11US-ЩР-1 — Здание оператора верхней станции L11 US</v>
      </c>
      <c r="C352" s="10" t="s">
        <v>161</v>
      </c>
      <c r="D352" s="10" t="s">
        <v>162</v>
      </c>
      <c r="E352" s="11" t="s">
        <v>163</v>
      </c>
      <c r="F352" s="12">
        <v>530</v>
      </c>
      <c r="G352" s="12">
        <f>F352*Kurallar!$B$3</f>
        <v>530</v>
      </c>
      <c r="H352" s="12">
        <f>G352*J352</f>
        <v>530</v>
      </c>
      <c r="I352" s="10" t="s">
        <v>142</v>
      </c>
      <c r="J352" s="13">
        <v>1</v>
      </c>
      <c r="K352" s="14" t="s">
        <v>372</v>
      </c>
      <c r="L352" s="12"/>
      <c r="M352" s="12">
        <v>530</v>
      </c>
    </row>
    <row r="353" spans="1:13" ht="15" hidden="1" customHeight="1" x14ac:dyDescent="0.25">
      <c r="A353" s="10">
        <v>11</v>
      </c>
      <c r="B353" s="10" t="str">
        <f t="shared" si="34"/>
        <v>L11US-ЩР-1 — Здание оператора верхней станции L11 US</v>
      </c>
      <c r="C353" s="10" t="s">
        <v>161</v>
      </c>
      <c r="D353" s="10" t="s">
        <v>165</v>
      </c>
      <c r="E353" s="11" t="s">
        <v>166</v>
      </c>
      <c r="F353" s="12">
        <v>634</v>
      </c>
      <c r="G353" s="12">
        <f>F353*Kurallar!$B$3</f>
        <v>634</v>
      </c>
      <c r="H353" s="12">
        <f>G353*J353</f>
        <v>1902</v>
      </c>
      <c r="I353" s="10" t="s">
        <v>142</v>
      </c>
      <c r="J353" s="13">
        <v>3</v>
      </c>
      <c r="K353" s="14" t="s">
        <v>372</v>
      </c>
      <c r="L353" s="12"/>
      <c r="M353" s="12">
        <v>1902</v>
      </c>
    </row>
    <row r="354" spans="1:13" ht="15" hidden="1" customHeight="1" x14ac:dyDescent="0.25">
      <c r="A354" s="10">
        <v>12</v>
      </c>
      <c r="B354" s="10" t="str">
        <f t="shared" si="34"/>
        <v>L11US-ЩР-1 — Здание оператора верхней станции L11 US</v>
      </c>
      <c r="C354" s="10" t="s">
        <v>31</v>
      </c>
      <c r="D354" s="10" t="s">
        <v>373</v>
      </c>
      <c r="E354" s="11" t="s">
        <v>374</v>
      </c>
      <c r="F354" s="12">
        <v>140</v>
      </c>
      <c r="G354" s="12">
        <f t="shared" ref="G354:G355" si="35">0.6*F354</f>
        <v>84</v>
      </c>
      <c r="H354" s="12">
        <f>G354*J354</f>
        <v>2016</v>
      </c>
      <c r="I354" s="10" t="s">
        <v>142</v>
      </c>
      <c r="J354" s="13">
        <v>24</v>
      </c>
      <c r="K354" s="14" t="s">
        <v>375</v>
      </c>
      <c r="L354" s="12"/>
      <c r="M354" s="12">
        <v>2016</v>
      </c>
    </row>
    <row r="355" spans="1:13" ht="15" hidden="1" customHeight="1" x14ac:dyDescent="0.25">
      <c r="A355" s="10">
        <v>13</v>
      </c>
      <c r="B355" s="10" t="str">
        <f t="shared" si="34"/>
        <v>L11US-ЩР-1 — Здание оператора верхней станции L11 US</v>
      </c>
      <c r="C355" s="10" t="s">
        <v>31</v>
      </c>
      <c r="D355" s="10" t="s">
        <v>373</v>
      </c>
      <c r="E355" s="11" t="s">
        <v>374</v>
      </c>
      <c r="F355" s="12">
        <v>140</v>
      </c>
      <c r="G355" s="12">
        <f t="shared" si="35"/>
        <v>84</v>
      </c>
      <c r="H355" s="12">
        <f>G355*J355</f>
        <v>1680</v>
      </c>
      <c r="I355" s="10" t="s">
        <v>142</v>
      </c>
      <c r="J355" s="13">
        <v>20</v>
      </c>
      <c r="K355" s="14" t="s">
        <v>375</v>
      </c>
      <c r="L355" s="12"/>
      <c r="M355" s="12">
        <v>1680</v>
      </c>
    </row>
    <row r="356" spans="1:13" ht="15" hidden="1" customHeight="1" x14ac:dyDescent="0.25">
      <c r="A356" s="10">
        <v>14</v>
      </c>
      <c r="B356" s="10" t="str">
        <f t="shared" si="34"/>
        <v>L11US-ЩР-1 — Здание оператора верхней станции L11 US</v>
      </c>
      <c r="C356" s="10" t="s">
        <v>167</v>
      </c>
      <c r="D356" s="10" t="s">
        <v>168</v>
      </c>
      <c r="E356" s="11" t="s">
        <v>169</v>
      </c>
      <c r="F356" s="12">
        <v>869</v>
      </c>
      <c r="G356" s="12">
        <f>F356*Kurallar!$B$2</f>
        <v>521.4</v>
      </c>
      <c r="H356" s="12">
        <f>G356*J356</f>
        <v>521.4</v>
      </c>
      <c r="I356" s="10" t="s">
        <v>170</v>
      </c>
      <c r="J356" s="13">
        <v>1</v>
      </c>
      <c r="K356" s="10" t="s">
        <v>146</v>
      </c>
      <c r="L356" s="12"/>
      <c r="M356" s="12">
        <v>521.4</v>
      </c>
    </row>
    <row r="357" spans="1:13" ht="15" hidden="1" customHeight="1" x14ac:dyDescent="0.25">
      <c r="A357" s="10">
        <v>15</v>
      </c>
      <c r="B357" s="10" t="str">
        <f t="shared" si="34"/>
        <v>L11US-ЩР-1 — Здание оператора верхней станции L11 US</v>
      </c>
      <c r="C357" s="10" t="s">
        <v>167</v>
      </c>
      <c r="D357" s="10" t="s">
        <v>171</v>
      </c>
      <c r="E357" s="11" t="s">
        <v>172</v>
      </c>
      <c r="F357" s="12">
        <v>1808</v>
      </c>
      <c r="G357" s="12">
        <f>F357*Kurallar!$B$3</f>
        <v>1808</v>
      </c>
      <c r="H357" s="12">
        <f>G357*J357</f>
        <v>1808</v>
      </c>
      <c r="I357" s="10" t="s">
        <v>142</v>
      </c>
      <c r="J357" s="13">
        <v>1</v>
      </c>
      <c r="K357" s="10" t="s">
        <v>164</v>
      </c>
      <c r="L357" s="12"/>
      <c r="M357" s="12">
        <v>1808</v>
      </c>
    </row>
    <row r="358" spans="1:13" ht="15" hidden="1" customHeight="1" x14ac:dyDescent="0.25">
      <c r="A358" s="10">
        <v>16</v>
      </c>
      <c r="B358" s="10" t="str">
        <f t="shared" si="34"/>
        <v>L11US-ЩР-1 — Здание оператора верхней станции L11 US</v>
      </c>
      <c r="C358" s="10" t="s">
        <v>167</v>
      </c>
      <c r="D358" s="10" t="s">
        <v>173</v>
      </c>
      <c r="E358" s="11" t="s">
        <v>174</v>
      </c>
      <c r="F358" s="12">
        <v>127</v>
      </c>
      <c r="G358" s="12">
        <f>F358*Kurallar!$B$3</f>
        <v>127</v>
      </c>
      <c r="H358" s="12">
        <f>G358*J358</f>
        <v>3302</v>
      </c>
      <c r="I358" s="10" t="s">
        <v>170</v>
      </c>
      <c r="J358" s="13">
        <v>26</v>
      </c>
      <c r="K358" s="10" t="s">
        <v>143</v>
      </c>
      <c r="L358" s="12"/>
      <c r="M358" s="12">
        <v>3302</v>
      </c>
    </row>
    <row r="359" spans="1:13" ht="15" hidden="1" customHeight="1" x14ac:dyDescent="0.25">
      <c r="A359" s="10">
        <v>17</v>
      </c>
      <c r="B359" s="10" t="str">
        <f t="shared" si="34"/>
        <v>L11US-ЩР-1 — Здание оператора верхней станции L11 US</v>
      </c>
      <c r="C359" s="10" t="s">
        <v>167</v>
      </c>
      <c r="D359" s="10" t="s">
        <v>175</v>
      </c>
      <c r="E359" s="11" t="s">
        <v>176</v>
      </c>
      <c r="F359" s="12">
        <v>918</v>
      </c>
      <c r="G359" s="12">
        <f>F359*Kurallar!$B$3</f>
        <v>918</v>
      </c>
      <c r="H359" s="12">
        <f>G359*J359</f>
        <v>7344</v>
      </c>
      <c r="I359" s="10" t="s">
        <v>170</v>
      </c>
      <c r="J359" s="13">
        <v>8</v>
      </c>
      <c r="K359" s="10" t="s">
        <v>143</v>
      </c>
      <c r="L359" s="12"/>
      <c r="M359" s="12">
        <v>7344</v>
      </c>
    </row>
    <row r="360" spans="1:13" ht="15" hidden="1" customHeight="1" x14ac:dyDescent="0.25">
      <c r="A360" s="10">
        <v>18</v>
      </c>
      <c r="B360" s="10" t="str">
        <f t="shared" si="34"/>
        <v>L11US-ЩР-1 — Здание оператора верхней станции L11 US</v>
      </c>
      <c r="C360" s="10" t="s">
        <v>167</v>
      </c>
      <c r="D360" s="10" t="s">
        <v>177</v>
      </c>
      <c r="E360" s="11" t="s">
        <v>178</v>
      </c>
      <c r="F360" s="12">
        <v>79</v>
      </c>
      <c r="G360" s="12">
        <f>F360*Kurallar!$B$3</f>
        <v>79</v>
      </c>
      <c r="H360" s="12">
        <f>G360*J360</f>
        <v>553</v>
      </c>
      <c r="I360" s="10" t="s">
        <v>170</v>
      </c>
      <c r="J360" s="13">
        <v>7</v>
      </c>
      <c r="K360" s="10" t="s">
        <v>143</v>
      </c>
      <c r="L360" s="12"/>
      <c r="M360" s="12">
        <v>553</v>
      </c>
    </row>
    <row r="361" spans="1:13" ht="23.25" hidden="1" customHeight="1" x14ac:dyDescent="0.25">
      <c r="A361" s="10">
        <v>19</v>
      </c>
      <c r="B361" s="10" t="str">
        <f t="shared" si="34"/>
        <v>L11US-ЩР-1 — Здание оператора верхней станции L11 US</v>
      </c>
      <c r="C361" s="10" t="s">
        <v>167</v>
      </c>
      <c r="D361" s="10" t="s">
        <v>179</v>
      </c>
      <c r="E361" s="11" t="s">
        <v>180</v>
      </c>
      <c r="F361" s="12"/>
      <c r="G361" s="12">
        <f>SUM(H344:H360)*Kurallar!$B$5</f>
        <v>9109.41</v>
      </c>
      <c r="H361" s="12">
        <f>G361*J361</f>
        <v>9109.41</v>
      </c>
      <c r="I361" s="10" t="s">
        <v>142</v>
      </c>
      <c r="J361" s="13">
        <v>1</v>
      </c>
      <c r="K361" s="10" t="s">
        <v>181</v>
      </c>
      <c r="L361" s="12"/>
      <c r="M361" s="12">
        <v>9109.41</v>
      </c>
    </row>
    <row r="362" spans="1:13" ht="15" hidden="1" customHeight="1" x14ac:dyDescent="0.25">
      <c r="A362" s="10">
        <v>20</v>
      </c>
      <c r="B362" s="10" t="str">
        <f t="shared" si="34"/>
        <v>L11US-ЩР-1 — Здание оператора верхней станции L11 US</v>
      </c>
      <c r="C362" s="10" t="s">
        <v>182</v>
      </c>
      <c r="D362" s="10" t="s">
        <v>183</v>
      </c>
      <c r="E362" s="11" t="s">
        <v>184</v>
      </c>
      <c r="F362" s="12">
        <f>J362/60</f>
        <v>5.0066666666666668</v>
      </c>
      <c r="G362" s="12">
        <f>Kurallar!$B$6</f>
        <v>100</v>
      </c>
      <c r="H362" s="12">
        <f>G362*J362</f>
        <v>30040.000000000004</v>
      </c>
      <c r="I362" s="10" t="s">
        <v>185</v>
      </c>
      <c r="J362" s="13">
        <f>ROUND((Kurallar!$B$11+1*Kurallar!$B$13+0*Kurallar!$B$14+0*Kurallar!$B$15+1*Kurallar!$B$16+0*Kurallar!$B$17+0*Kurallar!$B$18+12*Kurallar!$B$19+5*Kurallar!$B$20+1*Kurallar!$B$21+44*Kurallar!$B$22+4*Kurallar!$B$23+0*Kurallar!$B$24+3*Kurallar!$B$25)*Kurallar!$B$7,0)*0.4</f>
        <v>300.40000000000003</v>
      </c>
      <c r="K362" s="10" t="s">
        <v>181</v>
      </c>
      <c r="L362" s="12"/>
      <c r="M362" s="12">
        <v>30040.000000000004</v>
      </c>
    </row>
    <row r="363" spans="1:13" ht="15" customHeight="1" x14ac:dyDescent="0.25">
      <c r="A363" s="15"/>
      <c r="B363" s="15" t="s">
        <v>282</v>
      </c>
      <c r="C363" s="15"/>
      <c r="D363" s="15"/>
      <c r="E363" s="16"/>
      <c r="F363" s="17"/>
      <c r="G363" s="17"/>
      <c r="H363" s="17">
        <f>SUBTOTAL(9,H344:H362)</f>
        <v>0</v>
      </c>
      <c r="I363" s="15"/>
      <c r="J363" s="18"/>
      <c r="K363" s="15"/>
      <c r="L363" s="17">
        <f>SUBTOTAL(9,H344:H360)</f>
        <v>0</v>
      </c>
      <c r="M363" s="17">
        <v>342796.41</v>
      </c>
    </row>
    <row r="364" spans="1:13" ht="23.25" customHeight="1" x14ac:dyDescent="0.25">
      <c r="A364" s="19">
        <v>1</v>
      </c>
      <c r="B364" s="20" t="str">
        <f>E364</f>
        <v>L12LS-GARAJ-ЩР-1 — Гараж для подвижного состава канатной дороги нижней станции L12 LS</v>
      </c>
      <c r="C364" s="19" t="s">
        <v>136</v>
      </c>
      <c r="D364" s="19" t="s">
        <v>283</v>
      </c>
      <c r="E364" s="21" t="s">
        <v>284</v>
      </c>
      <c r="F364" s="22"/>
      <c r="G364" s="22"/>
      <c r="H364" s="22"/>
      <c r="I364" s="19" t="s">
        <v>139</v>
      </c>
      <c r="J364" s="23">
        <v>1</v>
      </c>
      <c r="K364" s="19"/>
      <c r="L364" s="22"/>
      <c r="M364" s="22"/>
    </row>
    <row r="365" spans="1:13" ht="15" hidden="1" customHeight="1" x14ac:dyDescent="0.25">
      <c r="A365" s="10">
        <v>2</v>
      </c>
      <c r="B365" s="10" t="str">
        <f t="shared" ref="B365:B382" si="36">B364</f>
        <v>L12LS-GARAJ-ЩР-1 — Гараж для подвижного состава канатной дороги нижней станции L12 LS</v>
      </c>
      <c r="C365" s="10" t="s">
        <v>140</v>
      </c>
      <c r="D365" s="10" t="s">
        <v>386</v>
      </c>
      <c r="E365" s="24" t="s">
        <v>387</v>
      </c>
      <c r="F365" s="12">
        <v>48210</v>
      </c>
      <c r="G365" s="12">
        <f>0.5*F365</f>
        <v>24105</v>
      </c>
      <c r="H365" s="12">
        <f>G365*J365</f>
        <v>24105</v>
      </c>
      <c r="I365" s="10" t="s">
        <v>142</v>
      </c>
      <c r="J365" s="13">
        <v>1</v>
      </c>
      <c r="K365" s="14" t="s">
        <v>390</v>
      </c>
      <c r="L365" s="12"/>
      <c r="M365" s="12">
        <v>24105</v>
      </c>
    </row>
    <row r="366" spans="1:13" ht="15" hidden="1" customHeight="1" x14ac:dyDescent="0.25">
      <c r="A366" s="10">
        <v>3</v>
      </c>
      <c r="B366" s="10" t="str">
        <f t="shared" si="36"/>
        <v>L12LS-GARAJ-ЩР-1 — Гараж для подвижного состава канатной дороги нижней станции L12 LS</v>
      </c>
      <c r="C366" s="14" t="s">
        <v>371</v>
      </c>
      <c r="D366" s="10" t="s">
        <v>144</v>
      </c>
      <c r="E366" s="11" t="s">
        <v>145</v>
      </c>
      <c r="F366" s="12">
        <v>201862</v>
      </c>
      <c r="G366" s="12">
        <f>F366*Kurallar!$B$2</f>
        <v>121117.2</v>
      </c>
      <c r="H366" s="12">
        <f>G366*J366</f>
        <v>121117.2</v>
      </c>
      <c r="I366" s="10" t="s">
        <v>142</v>
      </c>
      <c r="J366" s="13">
        <v>1</v>
      </c>
      <c r="K366" s="10" t="s">
        <v>146</v>
      </c>
      <c r="L366" s="12"/>
      <c r="M366" s="12">
        <v>121117.2</v>
      </c>
    </row>
    <row r="367" spans="1:13" ht="15" hidden="1" customHeight="1" x14ac:dyDescent="0.25">
      <c r="A367" s="10">
        <v>4</v>
      </c>
      <c r="B367" s="10" t="str">
        <f t="shared" si="36"/>
        <v>L12LS-GARAJ-ЩР-1 — Гараж для подвижного состава канатной дороги нижней станции L12 LS</v>
      </c>
      <c r="C367" s="10" t="s">
        <v>147</v>
      </c>
      <c r="D367" s="10" t="s">
        <v>391</v>
      </c>
      <c r="E367" s="24" t="s">
        <v>392</v>
      </c>
      <c r="F367" s="12">
        <v>88000</v>
      </c>
      <c r="G367" s="12">
        <f>F367*Kurallar!$B$4</f>
        <v>88000</v>
      </c>
      <c r="H367" s="12">
        <f>G367*J367</f>
        <v>88000</v>
      </c>
      <c r="I367" s="10" t="s">
        <v>142</v>
      </c>
      <c r="J367" s="13">
        <v>1</v>
      </c>
      <c r="K367" s="10" t="s">
        <v>148</v>
      </c>
      <c r="L367" s="12"/>
      <c r="M367" s="12">
        <v>88000</v>
      </c>
    </row>
    <row r="368" spans="1:13" ht="15" hidden="1" customHeight="1" x14ac:dyDescent="0.25">
      <c r="A368" s="10">
        <v>5</v>
      </c>
      <c r="B368" s="10" t="str">
        <f t="shared" si="36"/>
        <v>L12LS-GARAJ-ЩР-1 — Гараж для подвижного состава канатной дороги нижней станции L12 LS</v>
      </c>
      <c r="C368" s="10" t="s">
        <v>149</v>
      </c>
      <c r="D368" s="10" t="s">
        <v>150</v>
      </c>
      <c r="E368" s="11" t="s">
        <v>151</v>
      </c>
      <c r="F368" s="12">
        <v>1419</v>
      </c>
      <c r="G368" s="12">
        <f>F368*Kurallar!$B$2</f>
        <v>851.4</v>
      </c>
      <c r="H368" s="12">
        <f>G368*J368</f>
        <v>2554.1999999999998</v>
      </c>
      <c r="I368" s="10" t="s">
        <v>142</v>
      </c>
      <c r="J368" s="13">
        <v>3</v>
      </c>
      <c r="K368" s="10" t="s">
        <v>146</v>
      </c>
      <c r="L368" s="12"/>
      <c r="M368" s="12">
        <v>2554.1999999999998</v>
      </c>
    </row>
    <row r="369" spans="1:13" ht="15" hidden="1" customHeight="1" x14ac:dyDescent="0.25">
      <c r="A369" s="10">
        <v>6</v>
      </c>
      <c r="B369" s="10" t="str">
        <f t="shared" si="36"/>
        <v>L12LS-GARAJ-ЩР-1 — Гараж для подвижного состава канатной дороги нижней станции L12 LS</v>
      </c>
      <c r="C369" s="10" t="s">
        <v>149</v>
      </c>
      <c r="D369" s="10" t="s">
        <v>152</v>
      </c>
      <c r="E369" s="11" t="s">
        <v>153</v>
      </c>
      <c r="F369" s="12">
        <v>1389</v>
      </c>
      <c r="G369" s="12">
        <f>F369*Kurallar!$B$2</f>
        <v>833.4</v>
      </c>
      <c r="H369" s="12">
        <f>G369*J369</f>
        <v>2500.1999999999998</v>
      </c>
      <c r="I369" s="10" t="s">
        <v>142</v>
      </c>
      <c r="J369" s="13">
        <v>3</v>
      </c>
      <c r="K369" s="10" t="s">
        <v>146</v>
      </c>
      <c r="L369" s="12"/>
      <c r="M369" s="12">
        <v>2500.1999999999998</v>
      </c>
    </row>
    <row r="370" spans="1:13" ht="15" hidden="1" customHeight="1" x14ac:dyDescent="0.25">
      <c r="A370" s="10">
        <v>7</v>
      </c>
      <c r="B370" s="10" t="str">
        <f t="shared" si="36"/>
        <v>L12LS-GARAJ-ЩР-1 — Гараж для подвижного состава канатной дороги нижней станции L12 LS</v>
      </c>
      <c r="C370" s="10" t="s">
        <v>149</v>
      </c>
      <c r="D370" s="10" t="s">
        <v>274</v>
      </c>
      <c r="E370" s="11" t="s">
        <v>275</v>
      </c>
      <c r="F370" s="12">
        <v>5462</v>
      </c>
      <c r="G370" s="12">
        <f>F370*Kurallar!$B$2</f>
        <v>3277.2</v>
      </c>
      <c r="H370" s="12">
        <f>G370*J370</f>
        <v>3277.2</v>
      </c>
      <c r="I370" s="10" t="s">
        <v>142</v>
      </c>
      <c r="J370" s="13">
        <v>1</v>
      </c>
      <c r="K370" s="10" t="s">
        <v>146</v>
      </c>
      <c r="L370" s="12"/>
      <c r="M370" s="12">
        <v>3277.2</v>
      </c>
    </row>
    <row r="371" spans="1:13" ht="15" hidden="1" customHeight="1" x14ac:dyDescent="0.25">
      <c r="A371" s="10">
        <v>8</v>
      </c>
      <c r="B371" s="10" t="str">
        <f t="shared" si="36"/>
        <v>L12LS-GARAJ-ЩР-1 — Гараж для подвижного состава канатной дороги нижней станции L12 LS</v>
      </c>
      <c r="C371" s="10" t="s">
        <v>156</v>
      </c>
      <c r="D371" s="10" t="s">
        <v>157</v>
      </c>
      <c r="E371" s="11" t="s">
        <v>158</v>
      </c>
      <c r="F371" s="12">
        <v>5104</v>
      </c>
      <c r="G371" s="12">
        <f>F371*Kurallar!$B$2</f>
        <v>3062.4</v>
      </c>
      <c r="H371" s="12">
        <f>G371*J371</f>
        <v>3062.4</v>
      </c>
      <c r="I371" s="10" t="s">
        <v>142</v>
      </c>
      <c r="J371" s="13">
        <v>1</v>
      </c>
      <c r="K371" s="10" t="s">
        <v>146</v>
      </c>
      <c r="L371" s="12"/>
      <c r="M371" s="12">
        <v>3062.4</v>
      </c>
    </row>
    <row r="372" spans="1:13" ht="15" hidden="1" customHeight="1" x14ac:dyDescent="0.25">
      <c r="A372" s="10">
        <v>9</v>
      </c>
      <c r="B372" s="10" t="str">
        <f t="shared" si="36"/>
        <v>L12LS-GARAJ-ЩР-1 — Гараж для подвижного состава канатной дороги нижней станции L12 LS</v>
      </c>
      <c r="C372" s="10" t="s">
        <v>161</v>
      </c>
      <c r="D372" s="10" t="s">
        <v>162</v>
      </c>
      <c r="E372" s="11" t="s">
        <v>163</v>
      </c>
      <c r="F372" s="12">
        <v>530</v>
      </c>
      <c r="G372" s="12">
        <f>F372*Kurallar!$B$3</f>
        <v>530</v>
      </c>
      <c r="H372" s="12">
        <f>G372*J372</f>
        <v>530</v>
      </c>
      <c r="I372" s="10" t="s">
        <v>142</v>
      </c>
      <c r="J372" s="13">
        <v>1</v>
      </c>
      <c r="K372" s="14" t="s">
        <v>372</v>
      </c>
      <c r="L372" s="12"/>
      <c r="M372" s="12">
        <v>530</v>
      </c>
    </row>
    <row r="373" spans="1:13" ht="15" hidden="1" customHeight="1" x14ac:dyDescent="0.25">
      <c r="A373" s="10">
        <v>10</v>
      </c>
      <c r="B373" s="10" t="str">
        <f t="shared" si="36"/>
        <v>L12LS-GARAJ-ЩР-1 — Гараж для подвижного состава канатной дороги нижней станции L12 LS</v>
      </c>
      <c r="C373" s="10" t="s">
        <v>161</v>
      </c>
      <c r="D373" s="10" t="s">
        <v>165</v>
      </c>
      <c r="E373" s="11" t="s">
        <v>166</v>
      </c>
      <c r="F373" s="12">
        <v>634</v>
      </c>
      <c r="G373" s="12">
        <f>F373*Kurallar!$B$3</f>
        <v>634</v>
      </c>
      <c r="H373" s="12">
        <f>G373*J373</f>
        <v>1268</v>
      </c>
      <c r="I373" s="10" t="s">
        <v>142</v>
      </c>
      <c r="J373" s="13">
        <v>2</v>
      </c>
      <c r="K373" s="14" t="s">
        <v>372</v>
      </c>
      <c r="L373" s="12"/>
      <c r="M373" s="12">
        <v>1268</v>
      </c>
    </row>
    <row r="374" spans="1:13" ht="15" hidden="1" customHeight="1" x14ac:dyDescent="0.25">
      <c r="A374" s="10">
        <v>11</v>
      </c>
      <c r="B374" s="10" t="str">
        <f t="shared" si="36"/>
        <v>L12LS-GARAJ-ЩР-1 — Гараж для подвижного состава канатной дороги нижней станции L12 LS</v>
      </c>
      <c r="C374" s="10" t="s">
        <v>31</v>
      </c>
      <c r="D374" s="10" t="s">
        <v>373</v>
      </c>
      <c r="E374" s="11" t="s">
        <v>374</v>
      </c>
      <c r="F374" s="12">
        <v>140</v>
      </c>
      <c r="G374" s="12">
        <f t="shared" ref="G374:G375" si="37">0.6*F374</f>
        <v>84</v>
      </c>
      <c r="H374" s="12">
        <f>G374*J374</f>
        <v>1176</v>
      </c>
      <c r="I374" s="10" t="s">
        <v>142</v>
      </c>
      <c r="J374" s="13">
        <v>14</v>
      </c>
      <c r="K374" s="14" t="s">
        <v>375</v>
      </c>
      <c r="L374" s="12"/>
      <c r="M374" s="12">
        <v>1176</v>
      </c>
    </row>
    <row r="375" spans="1:13" ht="15" hidden="1" customHeight="1" x14ac:dyDescent="0.25">
      <c r="A375" s="10">
        <v>12</v>
      </c>
      <c r="B375" s="10" t="str">
        <f t="shared" si="36"/>
        <v>L12LS-GARAJ-ЩР-1 — Гараж для подвижного состава канатной дороги нижней станции L12 LS</v>
      </c>
      <c r="C375" s="10" t="s">
        <v>31</v>
      </c>
      <c r="D375" s="10" t="s">
        <v>373</v>
      </c>
      <c r="E375" s="11" t="s">
        <v>374</v>
      </c>
      <c r="F375" s="12">
        <v>140</v>
      </c>
      <c r="G375" s="12">
        <f t="shared" si="37"/>
        <v>84</v>
      </c>
      <c r="H375" s="12">
        <f>G375*J375</f>
        <v>840</v>
      </c>
      <c r="I375" s="10" t="s">
        <v>142</v>
      </c>
      <c r="J375" s="13">
        <v>10</v>
      </c>
      <c r="K375" s="14" t="s">
        <v>375</v>
      </c>
      <c r="L375" s="12"/>
      <c r="M375" s="12">
        <v>840</v>
      </c>
    </row>
    <row r="376" spans="1:13" ht="15" hidden="1" customHeight="1" x14ac:dyDescent="0.25">
      <c r="A376" s="10">
        <v>13</v>
      </c>
      <c r="B376" s="10" t="str">
        <f t="shared" si="36"/>
        <v>L12LS-GARAJ-ЩР-1 — Гараж для подвижного состава канатной дороги нижней станции L12 LS</v>
      </c>
      <c r="C376" s="10" t="s">
        <v>167</v>
      </c>
      <c r="D376" s="10" t="s">
        <v>168</v>
      </c>
      <c r="E376" s="11" t="s">
        <v>169</v>
      </c>
      <c r="F376" s="12">
        <v>869</v>
      </c>
      <c r="G376" s="12">
        <f>F376*Kurallar!$B$2</f>
        <v>521.4</v>
      </c>
      <c r="H376" s="12">
        <f>G376*J376</f>
        <v>521.4</v>
      </c>
      <c r="I376" s="10" t="s">
        <v>170</v>
      </c>
      <c r="J376" s="13">
        <v>1</v>
      </c>
      <c r="K376" s="10" t="s">
        <v>146</v>
      </c>
      <c r="L376" s="12"/>
      <c r="M376" s="12">
        <v>521.4</v>
      </c>
    </row>
    <row r="377" spans="1:13" ht="15" hidden="1" customHeight="1" x14ac:dyDescent="0.25">
      <c r="A377" s="10">
        <v>14</v>
      </c>
      <c r="B377" s="10" t="str">
        <f t="shared" si="36"/>
        <v>L12LS-GARAJ-ЩР-1 — Гараж для подвижного состава канатной дороги нижней станции L12 LS</v>
      </c>
      <c r="C377" s="10" t="s">
        <v>167</v>
      </c>
      <c r="D377" s="10" t="s">
        <v>171</v>
      </c>
      <c r="E377" s="11" t="s">
        <v>172</v>
      </c>
      <c r="F377" s="12">
        <v>1808</v>
      </c>
      <c r="G377" s="12">
        <f>F377*Kurallar!$B$3</f>
        <v>1808</v>
      </c>
      <c r="H377" s="12">
        <f>G377*J377</f>
        <v>1808</v>
      </c>
      <c r="I377" s="10" t="s">
        <v>142</v>
      </c>
      <c r="J377" s="13">
        <v>1</v>
      </c>
      <c r="K377" s="10" t="s">
        <v>164</v>
      </c>
      <c r="L377" s="12"/>
      <c r="M377" s="12">
        <v>1808</v>
      </c>
    </row>
    <row r="378" spans="1:13" ht="15" hidden="1" customHeight="1" x14ac:dyDescent="0.25">
      <c r="A378" s="10">
        <v>15</v>
      </c>
      <c r="B378" s="10" t="str">
        <f t="shared" si="36"/>
        <v>L12LS-GARAJ-ЩР-1 — Гараж для подвижного состава канатной дороги нижней станции L12 LS</v>
      </c>
      <c r="C378" s="10" t="s">
        <v>167</v>
      </c>
      <c r="D378" s="10" t="s">
        <v>173</v>
      </c>
      <c r="E378" s="11" t="s">
        <v>174</v>
      </c>
      <c r="F378" s="12">
        <v>127</v>
      </c>
      <c r="G378" s="12">
        <f>F378*Kurallar!$B$3</f>
        <v>127</v>
      </c>
      <c r="H378" s="12">
        <f>G378*J378</f>
        <v>1778</v>
      </c>
      <c r="I378" s="10" t="s">
        <v>170</v>
      </c>
      <c r="J378" s="13">
        <v>14</v>
      </c>
      <c r="K378" s="10" t="s">
        <v>143</v>
      </c>
      <c r="L378" s="12"/>
      <c r="M378" s="12">
        <v>1778</v>
      </c>
    </row>
    <row r="379" spans="1:13" ht="15" hidden="1" customHeight="1" x14ac:dyDescent="0.25">
      <c r="A379" s="10">
        <v>16</v>
      </c>
      <c r="B379" s="10" t="str">
        <f t="shared" si="36"/>
        <v>L12LS-GARAJ-ЩР-1 — Гараж для подвижного состава канатной дороги нижней станции L12 LS</v>
      </c>
      <c r="C379" s="10" t="s">
        <v>167</v>
      </c>
      <c r="D379" s="10" t="s">
        <v>175</v>
      </c>
      <c r="E379" s="11" t="s">
        <v>176</v>
      </c>
      <c r="F379" s="12">
        <v>918</v>
      </c>
      <c r="G379" s="12">
        <f>F379*Kurallar!$B$3</f>
        <v>918</v>
      </c>
      <c r="H379" s="12">
        <f>G379*J379</f>
        <v>7344</v>
      </c>
      <c r="I379" s="10" t="s">
        <v>170</v>
      </c>
      <c r="J379" s="13">
        <v>8</v>
      </c>
      <c r="K379" s="10" t="s">
        <v>143</v>
      </c>
      <c r="L379" s="12"/>
      <c r="M379" s="12">
        <v>7344</v>
      </c>
    </row>
    <row r="380" spans="1:13" ht="15" hidden="1" customHeight="1" x14ac:dyDescent="0.25">
      <c r="A380" s="10">
        <v>17</v>
      </c>
      <c r="B380" s="10" t="str">
        <f t="shared" si="36"/>
        <v>L12LS-GARAJ-ЩР-1 — Гараж для подвижного состава канатной дороги нижней станции L12 LS</v>
      </c>
      <c r="C380" s="10" t="s">
        <v>167</v>
      </c>
      <c r="D380" s="10" t="s">
        <v>177</v>
      </c>
      <c r="E380" s="11" t="s">
        <v>178</v>
      </c>
      <c r="F380" s="12">
        <v>79</v>
      </c>
      <c r="G380" s="12">
        <f>F380*Kurallar!$B$3</f>
        <v>79</v>
      </c>
      <c r="H380" s="12">
        <f>G380*J380</f>
        <v>316</v>
      </c>
      <c r="I380" s="10" t="s">
        <v>170</v>
      </c>
      <c r="J380" s="13">
        <v>4</v>
      </c>
      <c r="K380" s="10" t="s">
        <v>143</v>
      </c>
      <c r="L380" s="12"/>
      <c r="M380" s="12">
        <v>316</v>
      </c>
    </row>
    <row r="381" spans="1:13" ht="23.25" hidden="1" customHeight="1" x14ac:dyDescent="0.25">
      <c r="A381" s="10">
        <v>18</v>
      </c>
      <c r="B381" s="10" t="str">
        <f t="shared" si="36"/>
        <v>L12LS-GARAJ-ЩР-1 — Гараж для подвижного состава канатной дороги нижней станции L12 LS</v>
      </c>
      <c r="C381" s="10" t="s">
        <v>167</v>
      </c>
      <c r="D381" s="10" t="s">
        <v>179</v>
      </c>
      <c r="E381" s="11" t="s">
        <v>180</v>
      </c>
      <c r="F381" s="12"/>
      <c r="G381" s="12">
        <f>SUM(H365:H380)*Kurallar!$B$5</f>
        <v>7805.9280000000008</v>
      </c>
      <c r="H381" s="12">
        <f>G381*J381</f>
        <v>7805.9280000000008</v>
      </c>
      <c r="I381" s="10" t="s">
        <v>142</v>
      </c>
      <c r="J381" s="13">
        <v>1</v>
      </c>
      <c r="K381" s="10" t="s">
        <v>181</v>
      </c>
      <c r="L381" s="12"/>
      <c r="M381" s="12">
        <v>7805.9280000000008</v>
      </c>
    </row>
    <row r="382" spans="1:13" ht="15" hidden="1" customHeight="1" x14ac:dyDescent="0.25">
      <c r="A382" s="10">
        <v>19</v>
      </c>
      <c r="B382" s="10" t="str">
        <f t="shared" si="36"/>
        <v>L12LS-GARAJ-ЩР-1 — Гараж для подвижного состава канатной дороги нижней станции L12 LS</v>
      </c>
      <c r="C382" s="10" t="s">
        <v>182</v>
      </c>
      <c r="D382" s="10" t="s">
        <v>183</v>
      </c>
      <c r="E382" s="11" t="s">
        <v>184</v>
      </c>
      <c r="F382" s="12">
        <f>J382/60</f>
        <v>8.1666666666666661</v>
      </c>
      <c r="G382" s="12">
        <f>Kurallar!$B$6</f>
        <v>100</v>
      </c>
      <c r="H382" s="12">
        <f>G382*J382</f>
        <v>49000</v>
      </c>
      <c r="I382" s="10" t="s">
        <v>185</v>
      </c>
      <c r="J382" s="13">
        <f>ROUND((Kurallar!$B$10+1*Kurallar!$B$13+0*Kurallar!$B$14+0*Kurallar!$B$15+1*Kurallar!$B$16+0*Kurallar!$B$17+0*Kurallar!$B$18+1*Kurallar!$B$19+6*Kurallar!$B$20+1*Kurallar!$B$21+24*Kurallar!$B$22+3*Kurallar!$B$23+0*Kurallar!$B$24+3*Kurallar!$B$25)*Kurallar!$B$7,0)</f>
        <v>490</v>
      </c>
      <c r="K382" s="10" t="s">
        <v>181</v>
      </c>
      <c r="L382" s="12"/>
      <c r="M382" s="12">
        <v>49000</v>
      </c>
    </row>
    <row r="383" spans="1:13" ht="15" customHeight="1" x14ac:dyDescent="0.25">
      <c r="A383" s="15"/>
      <c r="B383" s="15" t="s">
        <v>285</v>
      </c>
      <c r="C383" s="15"/>
      <c r="D383" s="15"/>
      <c r="E383" s="16"/>
      <c r="F383" s="17"/>
      <c r="G383" s="17"/>
      <c r="H383" s="17">
        <f>SUBTOTAL(9,H365:H382)</f>
        <v>0</v>
      </c>
      <c r="I383" s="15"/>
      <c r="J383" s="18"/>
      <c r="K383" s="15"/>
      <c r="L383" s="17">
        <f>SUBTOTAL(9,H365:H380)</f>
        <v>0</v>
      </c>
      <c r="M383" s="17">
        <v>317003.52800000005</v>
      </c>
    </row>
    <row r="384" spans="1:13" ht="15" customHeight="1" x14ac:dyDescent="0.25">
      <c r="A384" s="19">
        <v>1</v>
      </c>
      <c r="B384" s="20" t="str">
        <f>E384</f>
        <v>L12LS-OP-ЩР-1 — Здание оператора нижней станции L12 LS</v>
      </c>
      <c r="C384" s="19" t="s">
        <v>136</v>
      </c>
      <c r="D384" s="19" t="s">
        <v>286</v>
      </c>
      <c r="E384" s="21" t="s">
        <v>287</v>
      </c>
      <c r="F384" s="22"/>
      <c r="G384" s="22"/>
      <c r="H384" s="22"/>
      <c r="I384" s="19" t="s">
        <v>139</v>
      </c>
      <c r="J384" s="23">
        <v>1</v>
      </c>
      <c r="K384" s="19"/>
      <c r="L384" s="22"/>
      <c r="M384" s="22"/>
    </row>
    <row r="385" spans="1:13" ht="15" hidden="1" customHeight="1" x14ac:dyDescent="0.25">
      <c r="A385" s="10">
        <v>2</v>
      </c>
      <c r="B385" s="10" t="str">
        <f t="shared" ref="B385:B403" si="38">B384</f>
        <v>L12LS-OP-ЩР-1 — Здание оператора нижней станции L12 LS</v>
      </c>
      <c r="C385" s="10" t="s">
        <v>140</v>
      </c>
      <c r="D385" s="10" t="s">
        <v>384</v>
      </c>
      <c r="E385" s="24" t="s">
        <v>385</v>
      </c>
      <c r="F385" s="12">
        <v>55770</v>
      </c>
      <c r="G385" s="12">
        <f>0.5*F385</f>
        <v>27885</v>
      </c>
      <c r="H385" s="12">
        <f>G385*J385</f>
        <v>27885</v>
      </c>
      <c r="I385" s="10" t="s">
        <v>142</v>
      </c>
      <c r="J385" s="13">
        <v>1</v>
      </c>
      <c r="K385" s="14" t="s">
        <v>390</v>
      </c>
      <c r="L385" s="12"/>
      <c r="M385" s="12">
        <v>27885</v>
      </c>
    </row>
    <row r="386" spans="1:13" ht="15" hidden="1" customHeight="1" x14ac:dyDescent="0.25">
      <c r="A386" s="10">
        <v>3</v>
      </c>
      <c r="B386" s="10" t="str">
        <f t="shared" si="38"/>
        <v>L12LS-OP-ЩР-1 — Здание оператора нижней станции L12 LS</v>
      </c>
      <c r="C386" s="14" t="s">
        <v>371</v>
      </c>
      <c r="D386" s="10" t="s">
        <v>144</v>
      </c>
      <c r="E386" s="11" t="s">
        <v>145</v>
      </c>
      <c r="F386" s="12">
        <v>201862</v>
      </c>
      <c r="G386" s="12">
        <f>F386*Kurallar!$B$2</f>
        <v>121117.2</v>
      </c>
      <c r="H386" s="12">
        <f>G386*J386</f>
        <v>121117.2</v>
      </c>
      <c r="I386" s="10" t="s">
        <v>142</v>
      </c>
      <c r="J386" s="13">
        <v>1</v>
      </c>
      <c r="K386" s="10" t="s">
        <v>146</v>
      </c>
      <c r="L386" s="12"/>
      <c r="M386" s="12">
        <v>121117.2</v>
      </c>
    </row>
    <row r="387" spans="1:13" ht="15" hidden="1" customHeight="1" x14ac:dyDescent="0.25">
      <c r="A387" s="10">
        <v>4</v>
      </c>
      <c r="B387" s="10" t="str">
        <f t="shared" si="38"/>
        <v>L12LS-OP-ЩР-1 — Здание оператора нижней станции L12 LS</v>
      </c>
      <c r="C387" s="10" t="s">
        <v>147</v>
      </c>
      <c r="D387" s="10" t="s">
        <v>391</v>
      </c>
      <c r="E387" s="24" t="s">
        <v>392</v>
      </c>
      <c r="F387" s="12">
        <v>88000</v>
      </c>
      <c r="G387" s="12">
        <f>F387*Kurallar!$B$4</f>
        <v>88000</v>
      </c>
      <c r="H387" s="12">
        <f>G387*J387</f>
        <v>88000</v>
      </c>
      <c r="I387" s="10" t="s">
        <v>142</v>
      </c>
      <c r="J387" s="13">
        <v>1</v>
      </c>
      <c r="K387" s="10" t="s">
        <v>148</v>
      </c>
      <c r="L387" s="12"/>
      <c r="M387" s="12">
        <v>88000</v>
      </c>
    </row>
    <row r="388" spans="1:13" ht="15" hidden="1" customHeight="1" x14ac:dyDescent="0.25">
      <c r="A388" s="10">
        <v>5</v>
      </c>
      <c r="B388" s="10" t="str">
        <f t="shared" si="38"/>
        <v>L12LS-OP-ЩР-1 — Здание оператора нижней станции L12 LS</v>
      </c>
      <c r="C388" s="10" t="s">
        <v>149</v>
      </c>
      <c r="D388" s="10" t="s">
        <v>150</v>
      </c>
      <c r="E388" s="11" t="s">
        <v>151</v>
      </c>
      <c r="F388" s="12">
        <v>1419</v>
      </c>
      <c r="G388" s="12">
        <f>F388*Kurallar!$B$2</f>
        <v>851.4</v>
      </c>
      <c r="H388" s="12">
        <f>G388*J388</f>
        <v>1702.8</v>
      </c>
      <c r="I388" s="10" t="s">
        <v>142</v>
      </c>
      <c r="J388" s="13">
        <v>2</v>
      </c>
      <c r="K388" s="10" t="s">
        <v>146</v>
      </c>
      <c r="L388" s="12"/>
      <c r="M388" s="12">
        <v>1702.8</v>
      </c>
    </row>
    <row r="389" spans="1:13" ht="15" hidden="1" customHeight="1" x14ac:dyDescent="0.25">
      <c r="A389" s="10">
        <v>6</v>
      </c>
      <c r="B389" s="10" t="str">
        <f t="shared" si="38"/>
        <v>L12LS-OP-ЩР-1 — Здание оператора нижней станции L12 LS</v>
      </c>
      <c r="C389" s="10" t="s">
        <v>149</v>
      </c>
      <c r="D389" s="10" t="s">
        <v>152</v>
      </c>
      <c r="E389" s="11" t="s">
        <v>153</v>
      </c>
      <c r="F389" s="12">
        <v>1389</v>
      </c>
      <c r="G389" s="12">
        <f>F389*Kurallar!$B$2</f>
        <v>833.4</v>
      </c>
      <c r="H389" s="12">
        <f>G389*J389</f>
        <v>2500.1999999999998</v>
      </c>
      <c r="I389" s="10" t="s">
        <v>142</v>
      </c>
      <c r="J389" s="13">
        <v>3</v>
      </c>
      <c r="K389" s="10" t="s">
        <v>146</v>
      </c>
      <c r="L389" s="12"/>
      <c r="M389" s="12">
        <v>2500.1999999999998</v>
      </c>
    </row>
    <row r="390" spans="1:13" ht="15" hidden="1" customHeight="1" x14ac:dyDescent="0.25">
      <c r="A390" s="10">
        <v>7</v>
      </c>
      <c r="B390" s="10" t="str">
        <f t="shared" si="38"/>
        <v>L12LS-OP-ЩР-1 — Здание оператора нижней станции L12 LS</v>
      </c>
      <c r="C390" s="10" t="s">
        <v>149</v>
      </c>
      <c r="D390" s="10" t="s">
        <v>190</v>
      </c>
      <c r="E390" s="11" t="s">
        <v>191</v>
      </c>
      <c r="F390" s="12">
        <v>6060</v>
      </c>
      <c r="G390" s="12">
        <f>F390*Kurallar!$B$2</f>
        <v>3636</v>
      </c>
      <c r="H390" s="12">
        <f>G390*J390</f>
        <v>3636</v>
      </c>
      <c r="I390" s="10" t="s">
        <v>142</v>
      </c>
      <c r="J390" s="13">
        <v>1</v>
      </c>
      <c r="K390" s="10" t="s">
        <v>146</v>
      </c>
      <c r="L390" s="12"/>
      <c r="M390" s="12">
        <v>3636</v>
      </c>
    </row>
    <row r="391" spans="1:13" ht="15" hidden="1" customHeight="1" x14ac:dyDescent="0.25">
      <c r="A391" s="10">
        <v>8</v>
      </c>
      <c r="B391" s="10" t="str">
        <f t="shared" si="38"/>
        <v>L12LS-OP-ЩР-1 — Здание оператора нижней станции L12 LS</v>
      </c>
      <c r="C391" s="10" t="s">
        <v>156</v>
      </c>
      <c r="D391" s="10" t="s">
        <v>157</v>
      </c>
      <c r="E391" s="11" t="s">
        <v>158</v>
      </c>
      <c r="F391" s="12">
        <v>5104</v>
      </c>
      <c r="G391" s="12">
        <f>F391*Kurallar!$B$2</f>
        <v>3062.4</v>
      </c>
      <c r="H391" s="12">
        <f>G391*J391</f>
        <v>9187.2000000000007</v>
      </c>
      <c r="I391" s="10" t="s">
        <v>142</v>
      </c>
      <c r="J391" s="13">
        <v>3</v>
      </c>
      <c r="K391" s="10" t="s">
        <v>146</v>
      </c>
      <c r="L391" s="12"/>
      <c r="M391" s="12">
        <v>9187.2000000000007</v>
      </c>
    </row>
    <row r="392" spans="1:13" ht="15" hidden="1" customHeight="1" x14ac:dyDescent="0.25">
      <c r="A392" s="10">
        <v>9</v>
      </c>
      <c r="B392" s="10" t="str">
        <f t="shared" si="38"/>
        <v>L12LS-OP-ЩР-1 — Здание оператора нижней станции L12 LS</v>
      </c>
      <c r="C392" s="10" t="s">
        <v>156</v>
      </c>
      <c r="D392" s="10" t="s">
        <v>159</v>
      </c>
      <c r="E392" s="11" t="s">
        <v>160</v>
      </c>
      <c r="F392" s="12">
        <v>5632</v>
      </c>
      <c r="G392" s="12">
        <f>F392*Kurallar!$B$2</f>
        <v>3379.2</v>
      </c>
      <c r="H392" s="12">
        <f>G392*J392</f>
        <v>20275.199999999997</v>
      </c>
      <c r="I392" s="10" t="s">
        <v>142</v>
      </c>
      <c r="J392" s="13">
        <v>6</v>
      </c>
      <c r="K392" s="10" t="s">
        <v>146</v>
      </c>
      <c r="L392" s="12"/>
      <c r="M392" s="12">
        <v>20275.199999999997</v>
      </c>
    </row>
    <row r="393" spans="1:13" ht="15" hidden="1" customHeight="1" x14ac:dyDescent="0.25">
      <c r="A393" s="10">
        <v>10</v>
      </c>
      <c r="B393" s="10" t="str">
        <f t="shared" si="38"/>
        <v>L12LS-OP-ЩР-1 — Здание оператора нижней станции L12 LS</v>
      </c>
      <c r="C393" s="10" t="s">
        <v>161</v>
      </c>
      <c r="D393" s="10" t="s">
        <v>162</v>
      </c>
      <c r="E393" s="11" t="s">
        <v>163</v>
      </c>
      <c r="F393" s="12">
        <v>530</v>
      </c>
      <c r="G393" s="12">
        <f>F393*Kurallar!$B$3</f>
        <v>530</v>
      </c>
      <c r="H393" s="12">
        <f>G393*J393</f>
        <v>530</v>
      </c>
      <c r="I393" s="10" t="s">
        <v>142</v>
      </c>
      <c r="J393" s="13">
        <v>1</v>
      </c>
      <c r="K393" s="14" t="s">
        <v>372</v>
      </c>
      <c r="L393" s="12"/>
      <c r="M393" s="12">
        <v>530</v>
      </c>
    </row>
    <row r="394" spans="1:13" ht="15" hidden="1" customHeight="1" x14ac:dyDescent="0.25">
      <c r="A394" s="10">
        <v>11</v>
      </c>
      <c r="B394" s="10" t="str">
        <f t="shared" si="38"/>
        <v>L12LS-OP-ЩР-1 — Здание оператора нижней станции L12 LS</v>
      </c>
      <c r="C394" s="10" t="s">
        <v>161</v>
      </c>
      <c r="D394" s="10" t="s">
        <v>165</v>
      </c>
      <c r="E394" s="11" t="s">
        <v>166</v>
      </c>
      <c r="F394" s="12">
        <v>634</v>
      </c>
      <c r="G394" s="12">
        <f>F394*Kurallar!$B$3</f>
        <v>634</v>
      </c>
      <c r="H394" s="12">
        <f>G394*J394</f>
        <v>1268</v>
      </c>
      <c r="I394" s="10" t="s">
        <v>142</v>
      </c>
      <c r="J394" s="13">
        <v>2</v>
      </c>
      <c r="K394" s="14" t="s">
        <v>372</v>
      </c>
      <c r="L394" s="12"/>
      <c r="M394" s="12">
        <v>1268</v>
      </c>
    </row>
    <row r="395" spans="1:13" ht="15" hidden="1" customHeight="1" x14ac:dyDescent="0.25">
      <c r="A395" s="10">
        <v>12</v>
      </c>
      <c r="B395" s="10" t="str">
        <f t="shared" si="38"/>
        <v>L12LS-OP-ЩР-1 — Здание оператора нижней станции L12 LS</v>
      </c>
      <c r="C395" s="10" t="s">
        <v>31</v>
      </c>
      <c r="D395" s="10" t="s">
        <v>373</v>
      </c>
      <c r="E395" s="11" t="s">
        <v>374</v>
      </c>
      <c r="F395" s="12">
        <v>140</v>
      </c>
      <c r="G395" s="12">
        <f t="shared" ref="G395:G396" si="39">0.6*F395</f>
        <v>84</v>
      </c>
      <c r="H395" s="12">
        <f>G395*J395</f>
        <v>1764</v>
      </c>
      <c r="I395" s="10" t="s">
        <v>142</v>
      </c>
      <c r="J395" s="13">
        <v>21</v>
      </c>
      <c r="K395" s="14" t="s">
        <v>375</v>
      </c>
      <c r="L395" s="12"/>
      <c r="M395" s="12">
        <v>1764</v>
      </c>
    </row>
    <row r="396" spans="1:13" ht="15" hidden="1" customHeight="1" x14ac:dyDescent="0.25">
      <c r="A396" s="10">
        <v>13</v>
      </c>
      <c r="B396" s="10" t="str">
        <f t="shared" si="38"/>
        <v>L12LS-OP-ЩР-1 — Здание оператора нижней станции L12 LS</v>
      </c>
      <c r="C396" s="10" t="s">
        <v>31</v>
      </c>
      <c r="D396" s="10" t="s">
        <v>373</v>
      </c>
      <c r="E396" s="11" t="s">
        <v>374</v>
      </c>
      <c r="F396" s="12">
        <v>140</v>
      </c>
      <c r="G396" s="12">
        <f t="shared" si="39"/>
        <v>84</v>
      </c>
      <c r="H396" s="12">
        <f>G396*J396</f>
        <v>1428</v>
      </c>
      <c r="I396" s="10" t="s">
        <v>142</v>
      </c>
      <c r="J396" s="13">
        <v>17</v>
      </c>
      <c r="K396" s="14" t="s">
        <v>375</v>
      </c>
      <c r="L396" s="12"/>
      <c r="M396" s="12">
        <v>1428</v>
      </c>
    </row>
    <row r="397" spans="1:13" ht="15" hidden="1" customHeight="1" x14ac:dyDescent="0.25">
      <c r="A397" s="10">
        <v>14</v>
      </c>
      <c r="B397" s="10" t="str">
        <f t="shared" si="38"/>
        <v>L12LS-OP-ЩР-1 — Здание оператора нижней станции L12 LS</v>
      </c>
      <c r="C397" s="10" t="s">
        <v>167</v>
      </c>
      <c r="D397" s="10" t="s">
        <v>168</v>
      </c>
      <c r="E397" s="11" t="s">
        <v>169</v>
      </c>
      <c r="F397" s="12">
        <v>869</v>
      </c>
      <c r="G397" s="12">
        <f>F397*Kurallar!$B$2</f>
        <v>521.4</v>
      </c>
      <c r="H397" s="12">
        <f>G397*J397</f>
        <v>521.4</v>
      </c>
      <c r="I397" s="10" t="s">
        <v>170</v>
      </c>
      <c r="J397" s="13">
        <v>1</v>
      </c>
      <c r="K397" s="10" t="s">
        <v>146</v>
      </c>
      <c r="L397" s="12"/>
      <c r="M397" s="12">
        <v>521.4</v>
      </c>
    </row>
    <row r="398" spans="1:13" ht="15" hidden="1" customHeight="1" x14ac:dyDescent="0.25">
      <c r="A398" s="10">
        <v>15</v>
      </c>
      <c r="B398" s="10" t="str">
        <f t="shared" si="38"/>
        <v>L12LS-OP-ЩР-1 — Здание оператора нижней станции L12 LS</v>
      </c>
      <c r="C398" s="10" t="s">
        <v>167</v>
      </c>
      <c r="D398" s="10" t="s">
        <v>171</v>
      </c>
      <c r="E398" s="11" t="s">
        <v>172</v>
      </c>
      <c r="F398" s="12">
        <v>1808</v>
      </c>
      <c r="G398" s="12">
        <f>F398*Kurallar!$B$3</f>
        <v>1808</v>
      </c>
      <c r="H398" s="12">
        <f>G398*J398</f>
        <v>1808</v>
      </c>
      <c r="I398" s="10" t="s">
        <v>142</v>
      </c>
      <c r="J398" s="13">
        <v>1</v>
      </c>
      <c r="K398" s="10" t="s">
        <v>164</v>
      </c>
      <c r="L398" s="12"/>
      <c r="M398" s="12">
        <v>1808</v>
      </c>
    </row>
    <row r="399" spans="1:13" ht="15" hidden="1" customHeight="1" x14ac:dyDescent="0.25">
      <c r="A399" s="10">
        <v>16</v>
      </c>
      <c r="B399" s="10" t="str">
        <f t="shared" si="38"/>
        <v>L12LS-OP-ЩР-1 — Здание оператора нижней станции L12 LS</v>
      </c>
      <c r="C399" s="10" t="s">
        <v>167</v>
      </c>
      <c r="D399" s="10" t="s">
        <v>173</v>
      </c>
      <c r="E399" s="11" t="s">
        <v>174</v>
      </c>
      <c r="F399" s="12">
        <v>127</v>
      </c>
      <c r="G399" s="12">
        <f>F399*Kurallar!$B$3</f>
        <v>127</v>
      </c>
      <c r="H399" s="12">
        <f>G399*J399</f>
        <v>2794</v>
      </c>
      <c r="I399" s="10" t="s">
        <v>170</v>
      </c>
      <c r="J399" s="13">
        <v>22</v>
      </c>
      <c r="K399" s="10" t="s">
        <v>143</v>
      </c>
      <c r="L399" s="12"/>
      <c r="M399" s="12">
        <v>2794</v>
      </c>
    </row>
    <row r="400" spans="1:13" ht="15" hidden="1" customHeight="1" x14ac:dyDescent="0.25">
      <c r="A400" s="10">
        <v>17</v>
      </c>
      <c r="B400" s="10" t="str">
        <f t="shared" si="38"/>
        <v>L12LS-OP-ЩР-1 — Здание оператора нижней станции L12 LS</v>
      </c>
      <c r="C400" s="10" t="s">
        <v>167</v>
      </c>
      <c r="D400" s="10" t="s">
        <v>175</v>
      </c>
      <c r="E400" s="11" t="s">
        <v>176</v>
      </c>
      <c r="F400" s="12">
        <v>918</v>
      </c>
      <c r="G400" s="12">
        <f>F400*Kurallar!$B$3</f>
        <v>918</v>
      </c>
      <c r="H400" s="12">
        <f>G400*J400</f>
        <v>7344</v>
      </c>
      <c r="I400" s="10" t="s">
        <v>170</v>
      </c>
      <c r="J400" s="13">
        <v>8</v>
      </c>
      <c r="K400" s="10" t="s">
        <v>143</v>
      </c>
      <c r="L400" s="12"/>
      <c r="M400" s="12">
        <v>7344</v>
      </c>
    </row>
    <row r="401" spans="1:13" ht="15" hidden="1" customHeight="1" x14ac:dyDescent="0.25">
      <c r="A401" s="10">
        <v>18</v>
      </c>
      <c r="B401" s="10" t="str">
        <f t="shared" si="38"/>
        <v>L12LS-OP-ЩР-1 — Здание оператора нижней станции L12 LS</v>
      </c>
      <c r="C401" s="10" t="s">
        <v>167</v>
      </c>
      <c r="D401" s="10" t="s">
        <v>177</v>
      </c>
      <c r="E401" s="11" t="s">
        <v>178</v>
      </c>
      <c r="F401" s="12">
        <v>79</v>
      </c>
      <c r="G401" s="12">
        <f>F401*Kurallar!$B$3</f>
        <v>79</v>
      </c>
      <c r="H401" s="12">
        <f>G401*J401</f>
        <v>474</v>
      </c>
      <c r="I401" s="10" t="s">
        <v>170</v>
      </c>
      <c r="J401" s="13">
        <v>6</v>
      </c>
      <c r="K401" s="10" t="s">
        <v>143</v>
      </c>
      <c r="L401" s="12"/>
      <c r="M401" s="12">
        <v>474</v>
      </c>
    </row>
    <row r="402" spans="1:13" ht="23.25" hidden="1" customHeight="1" x14ac:dyDescent="0.25">
      <c r="A402" s="10">
        <v>19</v>
      </c>
      <c r="B402" s="10" t="str">
        <f t="shared" si="38"/>
        <v>L12LS-OP-ЩР-1 — Здание оператора нижней станции L12 LS</v>
      </c>
      <c r="C402" s="10" t="s">
        <v>167</v>
      </c>
      <c r="D402" s="10" t="s">
        <v>179</v>
      </c>
      <c r="E402" s="11" t="s">
        <v>180</v>
      </c>
      <c r="F402" s="12"/>
      <c r="G402" s="12">
        <f>SUM(H385:H401)*Kurallar!$B$5</f>
        <v>8767.0500000000011</v>
      </c>
      <c r="H402" s="12">
        <f>G402*J402</f>
        <v>8767.0500000000011</v>
      </c>
      <c r="I402" s="10" t="s">
        <v>142</v>
      </c>
      <c r="J402" s="13">
        <v>1</v>
      </c>
      <c r="K402" s="10" t="s">
        <v>181</v>
      </c>
      <c r="L402" s="12"/>
      <c r="M402" s="12">
        <v>8767.0500000000011</v>
      </c>
    </row>
    <row r="403" spans="1:13" ht="15" hidden="1" customHeight="1" x14ac:dyDescent="0.25">
      <c r="A403" s="10">
        <v>20</v>
      </c>
      <c r="B403" s="10" t="str">
        <f t="shared" si="38"/>
        <v>L12LS-OP-ЩР-1 — Здание оператора нижней станции L12 LS</v>
      </c>
      <c r="C403" s="10" t="s">
        <v>182</v>
      </c>
      <c r="D403" s="10" t="s">
        <v>183</v>
      </c>
      <c r="E403" s="11" t="s">
        <v>184</v>
      </c>
      <c r="F403" s="12">
        <f>J403/60</f>
        <v>4.4666666666666668</v>
      </c>
      <c r="G403" s="12">
        <f>Kurallar!$B$6</f>
        <v>100</v>
      </c>
      <c r="H403" s="12">
        <f>G403*J403</f>
        <v>26800</v>
      </c>
      <c r="I403" s="10" t="s">
        <v>185</v>
      </c>
      <c r="J403" s="13">
        <f>ROUND((Kurallar!$B$11+1*Kurallar!$B$13+0*Kurallar!$B$14+0*Kurallar!$B$15+1*Kurallar!$B$16+0*Kurallar!$B$17+0*Kurallar!$B$18+9*Kurallar!$B$19+5*Kurallar!$B$20+1*Kurallar!$B$21+38*Kurallar!$B$22+3*Kurallar!$B$23+0*Kurallar!$B$24+3*Kurallar!$B$25)*Kurallar!$B$7,0)*0.4</f>
        <v>268</v>
      </c>
      <c r="K403" s="10" t="s">
        <v>181</v>
      </c>
      <c r="L403" s="12"/>
      <c r="M403" s="12">
        <v>26800</v>
      </c>
    </row>
    <row r="404" spans="1:13" ht="15" customHeight="1" x14ac:dyDescent="0.25">
      <c r="A404" s="15"/>
      <c r="B404" s="15" t="s">
        <v>288</v>
      </c>
      <c r="C404" s="15"/>
      <c r="D404" s="15"/>
      <c r="E404" s="16"/>
      <c r="F404" s="17"/>
      <c r="G404" s="17"/>
      <c r="H404" s="17">
        <f>SUBTOTAL(9,H385:H403)</f>
        <v>0</v>
      </c>
      <c r="I404" s="15"/>
      <c r="J404" s="18"/>
      <c r="K404" s="15"/>
      <c r="L404" s="17">
        <f>SUBTOTAL(9,H385:H401)</f>
        <v>0</v>
      </c>
      <c r="M404" s="17">
        <v>327802.05000000005</v>
      </c>
    </row>
    <row r="405" spans="1:13" ht="15" customHeight="1" x14ac:dyDescent="0.25">
      <c r="A405" s="19">
        <v>1</v>
      </c>
      <c r="B405" s="20" t="str">
        <f>E405</f>
        <v>L12US-ЩР-1 — Здание оператора верхней станции L12 US</v>
      </c>
      <c r="C405" s="19" t="s">
        <v>136</v>
      </c>
      <c r="D405" s="19" t="s">
        <v>289</v>
      </c>
      <c r="E405" s="21" t="s">
        <v>290</v>
      </c>
      <c r="F405" s="22"/>
      <c r="G405" s="22"/>
      <c r="H405" s="22"/>
      <c r="I405" s="19" t="s">
        <v>139</v>
      </c>
      <c r="J405" s="23">
        <v>1</v>
      </c>
      <c r="K405" s="19"/>
      <c r="L405" s="22"/>
      <c r="M405" s="22"/>
    </row>
    <row r="406" spans="1:13" ht="15" hidden="1" customHeight="1" x14ac:dyDescent="0.25">
      <c r="A406" s="10">
        <v>2</v>
      </c>
      <c r="B406" s="10" t="str">
        <f t="shared" ref="B406:B423" si="40">B405</f>
        <v>L12US-ЩР-1 — Здание оператора верхней станции L12 US</v>
      </c>
      <c r="C406" s="10" t="s">
        <v>140</v>
      </c>
      <c r="D406" s="10" t="s">
        <v>388</v>
      </c>
      <c r="E406" s="24" t="s">
        <v>389</v>
      </c>
      <c r="F406" s="12">
        <v>72795</v>
      </c>
      <c r="G406" s="12">
        <f>0.5*F406</f>
        <v>36397.5</v>
      </c>
      <c r="H406" s="12">
        <f>G406*J406</f>
        <v>36397.5</v>
      </c>
      <c r="I406" s="10" t="s">
        <v>142</v>
      </c>
      <c r="J406" s="13">
        <v>1</v>
      </c>
      <c r="K406" s="14" t="s">
        <v>390</v>
      </c>
      <c r="L406" s="12"/>
      <c r="M406" s="12">
        <v>36397.5</v>
      </c>
    </row>
    <row r="407" spans="1:13" ht="15" hidden="1" customHeight="1" x14ac:dyDescent="0.25">
      <c r="A407" s="10">
        <v>3</v>
      </c>
      <c r="B407" s="10" t="str">
        <f t="shared" si="40"/>
        <v>L12US-ЩР-1 — Здание оператора верхней станции L12 US</v>
      </c>
      <c r="C407" s="14" t="s">
        <v>371</v>
      </c>
      <c r="D407" s="10" t="s">
        <v>196</v>
      </c>
      <c r="E407" s="11" t="s">
        <v>197</v>
      </c>
      <c r="F407" s="12">
        <v>207656</v>
      </c>
      <c r="G407" s="12">
        <f>F407*Kurallar!$B$2</f>
        <v>124593.59999999999</v>
      </c>
      <c r="H407" s="12">
        <f>G407*J407</f>
        <v>124593.59999999999</v>
      </c>
      <c r="I407" s="10" t="s">
        <v>142</v>
      </c>
      <c r="J407" s="13">
        <v>1</v>
      </c>
      <c r="K407" s="10" t="s">
        <v>146</v>
      </c>
      <c r="L407" s="12"/>
      <c r="M407" s="12">
        <v>124593.59999999999</v>
      </c>
    </row>
    <row r="408" spans="1:13" ht="15" hidden="1" customHeight="1" x14ac:dyDescent="0.25">
      <c r="A408" s="10">
        <v>4</v>
      </c>
      <c r="B408" s="10" t="str">
        <f t="shared" si="40"/>
        <v>L12US-ЩР-1 — Здание оператора верхней станции L12 US</v>
      </c>
      <c r="C408" s="10" t="s">
        <v>147</v>
      </c>
      <c r="D408" s="10" t="s">
        <v>391</v>
      </c>
      <c r="E408" s="24" t="s">
        <v>392</v>
      </c>
      <c r="F408" s="12">
        <v>88000</v>
      </c>
      <c r="G408" s="12">
        <f>F408*Kurallar!$B$4</f>
        <v>88000</v>
      </c>
      <c r="H408" s="12">
        <f>G408*J408</f>
        <v>88000</v>
      </c>
      <c r="I408" s="10" t="s">
        <v>142</v>
      </c>
      <c r="J408" s="13">
        <v>1</v>
      </c>
      <c r="K408" s="10" t="s">
        <v>148</v>
      </c>
      <c r="L408" s="12"/>
      <c r="M408" s="12">
        <v>88000</v>
      </c>
    </row>
    <row r="409" spans="1:13" ht="15" hidden="1" customHeight="1" x14ac:dyDescent="0.25">
      <c r="A409" s="10">
        <v>5</v>
      </c>
      <c r="B409" s="10" t="str">
        <f t="shared" si="40"/>
        <v>L12US-ЩР-1 — Здание оператора верхней станции L12 US</v>
      </c>
      <c r="C409" s="10" t="s">
        <v>149</v>
      </c>
      <c r="D409" s="10" t="s">
        <v>150</v>
      </c>
      <c r="E409" s="11" t="s">
        <v>151</v>
      </c>
      <c r="F409" s="12">
        <v>1419</v>
      </c>
      <c r="G409" s="12">
        <f>F409*Kurallar!$B$2</f>
        <v>851.4</v>
      </c>
      <c r="H409" s="12">
        <f>G409*J409</f>
        <v>1702.8</v>
      </c>
      <c r="I409" s="10" t="s">
        <v>142</v>
      </c>
      <c r="J409" s="13">
        <v>2</v>
      </c>
      <c r="K409" s="10" t="s">
        <v>146</v>
      </c>
      <c r="L409" s="12"/>
      <c r="M409" s="12">
        <v>1702.8</v>
      </c>
    </row>
    <row r="410" spans="1:13" ht="15" hidden="1" customHeight="1" x14ac:dyDescent="0.25">
      <c r="A410" s="10">
        <v>6</v>
      </c>
      <c r="B410" s="10" t="str">
        <f t="shared" si="40"/>
        <v>L12US-ЩР-1 — Здание оператора верхней станции L12 US</v>
      </c>
      <c r="C410" s="10" t="s">
        <v>149</v>
      </c>
      <c r="D410" s="10" t="s">
        <v>152</v>
      </c>
      <c r="E410" s="11" t="s">
        <v>153</v>
      </c>
      <c r="F410" s="12">
        <v>1389</v>
      </c>
      <c r="G410" s="12">
        <f>F410*Kurallar!$B$2</f>
        <v>833.4</v>
      </c>
      <c r="H410" s="12">
        <f>G410*J410</f>
        <v>2500.1999999999998</v>
      </c>
      <c r="I410" s="10" t="s">
        <v>142</v>
      </c>
      <c r="J410" s="13">
        <v>3</v>
      </c>
      <c r="K410" s="10" t="s">
        <v>146</v>
      </c>
      <c r="L410" s="12"/>
      <c r="M410" s="12">
        <v>2500.1999999999998</v>
      </c>
    </row>
    <row r="411" spans="1:13" ht="15" hidden="1" customHeight="1" x14ac:dyDescent="0.25">
      <c r="A411" s="10">
        <v>7</v>
      </c>
      <c r="B411" s="10" t="str">
        <f t="shared" si="40"/>
        <v>L12US-ЩР-1 — Здание оператора верхней станции L12 US</v>
      </c>
      <c r="C411" s="10" t="s">
        <v>149</v>
      </c>
      <c r="D411" s="10" t="s">
        <v>292</v>
      </c>
      <c r="E411" s="11" t="s">
        <v>293</v>
      </c>
      <c r="F411" s="12">
        <v>5719</v>
      </c>
      <c r="G411" s="12">
        <f>F411*Kurallar!$B$2</f>
        <v>3431.4</v>
      </c>
      <c r="H411" s="12">
        <f>G411*J411</f>
        <v>3431.4</v>
      </c>
      <c r="I411" s="10" t="s">
        <v>142</v>
      </c>
      <c r="J411" s="13">
        <v>1</v>
      </c>
      <c r="K411" s="10" t="s">
        <v>146</v>
      </c>
      <c r="L411" s="12"/>
      <c r="M411" s="12">
        <v>3431.4</v>
      </c>
    </row>
    <row r="412" spans="1:13" ht="15" hidden="1" customHeight="1" x14ac:dyDescent="0.25">
      <c r="A412" s="10">
        <v>8</v>
      </c>
      <c r="B412" s="10" t="str">
        <f t="shared" si="40"/>
        <v>L12US-ЩР-1 — Здание оператора верхней станции L12 US</v>
      </c>
      <c r="C412" s="10" t="s">
        <v>156</v>
      </c>
      <c r="D412" s="10" t="s">
        <v>157</v>
      </c>
      <c r="E412" s="11" t="s">
        <v>158</v>
      </c>
      <c r="F412" s="12">
        <v>5104</v>
      </c>
      <c r="G412" s="12">
        <f>F412*Kurallar!$B$2</f>
        <v>3062.4</v>
      </c>
      <c r="H412" s="12">
        <f>G412*J412</f>
        <v>21436.799999999999</v>
      </c>
      <c r="I412" s="10" t="s">
        <v>142</v>
      </c>
      <c r="J412" s="13">
        <v>7</v>
      </c>
      <c r="K412" s="10" t="s">
        <v>146</v>
      </c>
      <c r="L412" s="12"/>
      <c r="M412" s="12">
        <v>21436.799999999999</v>
      </c>
    </row>
    <row r="413" spans="1:13" ht="15" hidden="1" customHeight="1" x14ac:dyDescent="0.25">
      <c r="A413" s="10">
        <v>9</v>
      </c>
      <c r="B413" s="10" t="str">
        <f t="shared" si="40"/>
        <v>L12US-ЩР-1 — Здание оператора верхней станции L12 US</v>
      </c>
      <c r="C413" s="10" t="s">
        <v>161</v>
      </c>
      <c r="D413" s="10" t="s">
        <v>162</v>
      </c>
      <c r="E413" s="11" t="s">
        <v>163</v>
      </c>
      <c r="F413" s="12">
        <v>530</v>
      </c>
      <c r="G413" s="12">
        <f>F413*Kurallar!$B$3</f>
        <v>530</v>
      </c>
      <c r="H413" s="12">
        <f>G413*J413</f>
        <v>530</v>
      </c>
      <c r="I413" s="10" t="s">
        <v>142</v>
      </c>
      <c r="J413" s="13">
        <v>1</v>
      </c>
      <c r="K413" s="14" t="s">
        <v>372</v>
      </c>
      <c r="L413" s="12"/>
      <c r="M413" s="12">
        <v>530</v>
      </c>
    </row>
    <row r="414" spans="1:13" ht="15" hidden="1" customHeight="1" x14ac:dyDescent="0.25">
      <c r="A414" s="10">
        <v>10</v>
      </c>
      <c r="B414" s="10" t="str">
        <f t="shared" si="40"/>
        <v>L12US-ЩР-1 — Здание оператора верхней станции L12 US</v>
      </c>
      <c r="C414" s="10" t="s">
        <v>161</v>
      </c>
      <c r="D414" s="10" t="s">
        <v>165</v>
      </c>
      <c r="E414" s="11" t="s">
        <v>166</v>
      </c>
      <c r="F414" s="12">
        <v>634</v>
      </c>
      <c r="G414" s="12">
        <f>F414*Kurallar!$B$3</f>
        <v>634</v>
      </c>
      <c r="H414" s="12">
        <f>G414*J414</f>
        <v>1268</v>
      </c>
      <c r="I414" s="10" t="s">
        <v>142</v>
      </c>
      <c r="J414" s="13">
        <v>2</v>
      </c>
      <c r="K414" s="14" t="s">
        <v>372</v>
      </c>
      <c r="L414" s="12"/>
      <c r="M414" s="12">
        <v>1268</v>
      </c>
    </row>
    <row r="415" spans="1:13" ht="15" hidden="1" customHeight="1" x14ac:dyDescent="0.25">
      <c r="A415" s="10">
        <v>11</v>
      </c>
      <c r="B415" s="10" t="str">
        <f t="shared" si="40"/>
        <v>L12US-ЩР-1 — Здание оператора верхней станции L12 US</v>
      </c>
      <c r="C415" s="10" t="s">
        <v>31</v>
      </c>
      <c r="D415" s="10" t="s">
        <v>373</v>
      </c>
      <c r="E415" s="11" t="s">
        <v>374</v>
      </c>
      <c r="F415" s="12">
        <v>140</v>
      </c>
      <c r="G415" s="12">
        <f t="shared" ref="G415:G416" si="41">0.6*F415</f>
        <v>84</v>
      </c>
      <c r="H415" s="12">
        <f>G415*J415</f>
        <v>1596</v>
      </c>
      <c r="I415" s="10" t="s">
        <v>142</v>
      </c>
      <c r="J415" s="13">
        <v>19</v>
      </c>
      <c r="K415" s="14" t="s">
        <v>375</v>
      </c>
      <c r="L415" s="12"/>
      <c r="M415" s="12">
        <v>1596</v>
      </c>
    </row>
    <row r="416" spans="1:13" ht="15" hidden="1" customHeight="1" x14ac:dyDescent="0.25">
      <c r="A416" s="10">
        <v>12</v>
      </c>
      <c r="B416" s="10" t="str">
        <f t="shared" si="40"/>
        <v>L12US-ЩР-1 — Здание оператора верхней станции L12 US</v>
      </c>
      <c r="C416" s="10" t="s">
        <v>31</v>
      </c>
      <c r="D416" s="10" t="s">
        <v>373</v>
      </c>
      <c r="E416" s="11" t="s">
        <v>374</v>
      </c>
      <c r="F416" s="12">
        <v>140</v>
      </c>
      <c r="G416" s="12">
        <f t="shared" si="41"/>
        <v>84</v>
      </c>
      <c r="H416" s="12">
        <f>G416*J416</f>
        <v>1260</v>
      </c>
      <c r="I416" s="10" t="s">
        <v>142</v>
      </c>
      <c r="J416" s="13">
        <v>15</v>
      </c>
      <c r="K416" s="14" t="s">
        <v>375</v>
      </c>
      <c r="L416" s="12"/>
      <c r="M416" s="12">
        <v>1260</v>
      </c>
    </row>
    <row r="417" spans="1:13" ht="15" hidden="1" customHeight="1" x14ac:dyDescent="0.25">
      <c r="A417" s="10">
        <v>13</v>
      </c>
      <c r="B417" s="10" t="str">
        <f t="shared" si="40"/>
        <v>L12US-ЩР-1 — Здание оператора верхней станции L12 US</v>
      </c>
      <c r="C417" s="10" t="s">
        <v>167</v>
      </c>
      <c r="D417" s="10" t="s">
        <v>168</v>
      </c>
      <c r="E417" s="11" t="s">
        <v>169</v>
      </c>
      <c r="F417" s="12">
        <v>869</v>
      </c>
      <c r="G417" s="12">
        <f>F417*Kurallar!$B$2</f>
        <v>521.4</v>
      </c>
      <c r="H417" s="12">
        <f>G417*J417</f>
        <v>521.4</v>
      </c>
      <c r="I417" s="10" t="s">
        <v>170</v>
      </c>
      <c r="J417" s="13">
        <v>1</v>
      </c>
      <c r="K417" s="10" t="s">
        <v>146</v>
      </c>
      <c r="L417" s="12"/>
      <c r="M417" s="12">
        <v>521.4</v>
      </c>
    </row>
    <row r="418" spans="1:13" ht="15" hidden="1" customHeight="1" x14ac:dyDescent="0.25">
      <c r="A418" s="10">
        <v>14</v>
      </c>
      <c r="B418" s="10" t="str">
        <f t="shared" si="40"/>
        <v>L12US-ЩР-1 — Здание оператора верхней станции L12 US</v>
      </c>
      <c r="C418" s="10" t="s">
        <v>167</v>
      </c>
      <c r="D418" s="10" t="s">
        <v>171</v>
      </c>
      <c r="E418" s="11" t="s">
        <v>172</v>
      </c>
      <c r="F418" s="12">
        <v>1808</v>
      </c>
      <c r="G418" s="12">
        <f>F418*Kurallar!$B$3</f>
        <v>1808</v>
      </c>
      <c r="H418" s="12">
        <f>G418*J418</f>
        <v>1808</v>
      </c>
      <c r="I418" s="10" t="s">
        <v>142</v>
      </c>
      <c r="J418" s="13">
        <v>1</v>
      </c>
      <c r="K418" s="10" t="s">
        <v>164</v>
      </c>
      <c r="L418" s="12"/>
      <c r="M418" s="12">
        <v>1808</v>
      </c>
    </row>
    <row r="419" spans="1:13" ht="15" hidden="1" customHeight="1" x14ac:dyDescent="0.25">
      <c r="A419" s="10">
        <v>15</v>
      </c>
      <c r="B419" s="10" t="str">
        <f t="shared" si="40"/>
        <v>L12US-ЩР-1 — Здание оператора верхней станции L12 US</v>
      </c>
      <c r="C419" s="10" t="s">
        <v>167</v>
      </c>
      <c r="D419" s="10" t="s">
        <v>173</v>
      </c>
      <c r="E419" s="11" t="s">
        <v>174</v>
      </c>
      <c r="F419" s="12">
        <v>127</v>
      </c>
      <c r="G419" s="12">
        <f>F419*Kurallar!$B$3</f>
        <v>127</v>
      </c>
      <c r="H419" s="12">
        <f>G419*J419</f>
        <v>2540</v>
      </c>
      <c r="I419" s="10" t="s">
        <v>170</v>
      </c>
      <c r="J419" s="13">
        <v>20</v>
      </c>
      <c r="K419" s="10" t="s">
        <v>143</v>
      </c>
      <c r="L419" s="12"/>
      <c r="M419" s="12">
        <v>2540</v>
      </c>
    </row>
    <row r="420" spans="1:13" ht="15" hidden="1" customHeight="1" x14ac:dyDescent="0.25">
      <c r="A420" s="10">
        <v>16</v>
      </c>
      <c r="B420" s="10" t="str">
        <f t="shared" si="40"/>
        <v>L12US-ЩР-1 — Здание оператора верхней станции L12 US</v>
      </c>
      <c r="C420" s="10" t="s">
        <v>167</v>
      </c>
      <c r="D420" s="10" t="s">
        <v>227</v>
      </c>
      <c r="E420" s="11" t="s">
        <v>228</v>
      </c>
      <c r="F420" s="12">
        <v>1465</v>
      </c>
      <c r="G420" s="12">
        <f>F420*Kurallar!$B$3</f>
        <v>1465</v>
      </c>
      <c r="H420" s="12">
        <f>G420*J420</f>
        <v>14650</v>
      </c>
      <c r="I420" s="10" t="s">
        <v>170</v>
      </c>
      <c r="J420" s="13">
        <v>10</v>
      </c>
      <c r="K420" s="10" t="s">
        <v>143</v>
      </c>
      <c r="L420" s="12"/>
      <c r="M420" s="12">
        <v>14650</v>
      </c>
    </row>
    <row r="421" spans="1:13" ht="15" hidden="1" customHeight="1" x14ac:dyDescent="0.25">
      <c r="A421" s="10">
        <v>17</v>
      </c>
      <c r="B421" s="10" t="str">
        <f t="shared" si="40"/>
        <v>L12US-ЩР-1 — Здание оператора верхней станции L12 US</v>
      </c>
      <c r="C421" s="10" t="s">
        <v>167</v>
      </c>
      <c r="D421" s="10" t="s">
        <v>177</v>
      </c>
      <c r="E421" s="11" t="s">
        <v>178</v>
      </c>
      <c r="F421" s="12">
        <v>79</v>
      </c>
      <c r="G421" s="12">
        <f>F421*Kurallar!$B$3</f>
        <v>79</v>
      </c>
      <c r="H421" s="12">
        <f>G421*J421</f>
        <v>474</v>
      </c>
      <c r="I421" s="10" t="s">
        <v>170</v>
      </c>
      <c r="J421" s="13">
        <v>6</v>
      </c>
      <c r="K421" s="10" t="s">
        <v>143</v>
      </c>
      <c r="L421" s="12"/>
      <c r="M421" s="12">
        <v>474</v>
      </c>
    </row>
    <row r="422" spans="1:13" ht="23.25" hidden="1" customHeight="1" x14ac:dyDescent="0.25">
      <c r="A422" s="10">
        <v>18</v>
      </c>
      <c r="B422" s="10" t="str">
        <f t="shared" si="40"/>
        <v>L12US-ЩР-1 — Здание оператора верхней станции L12 US</v>
      </c>
      <c r="C422" s="10" t="s">
        <v>167</v>
      </c>
      <c r="D422" s="10" t="s">
        <v>179</v>
      </c>
      <c r="E422" s="11" t="s">
        <v>180</v>
      </c>
      <c r="F422" s="12"/>
      <c r="G422" s="12">
        <f>SUM(H406:H421)*Kurallar!$B$5</f>
        <v>9081.2909999999993</v>
      </c>
      <c r="H422" s="12">
        <f>G422*J422</f>
        <v>9081.2909999999993</v>
      </c>
      <c r="I422" s="10" t="s">
        <v>142</v>
      </c>
      <c r="J422" s="13">
        <v>1</v>
      </c>
      <c r="K422" s="10" t="s">
        <v>181</v>
      </c>
      <c r="L422" s="12"/>
      <c r="M422" s="12">
        <v>9081.2909999999993</v>
      </c>
    </row>
    <row r="423" spans="1:13" ht="15" hidden="1" customHeight="1" x14ac:dyDescent="0.25">
      <c r="A423" s="10">
        <v>19</v>
      </c>
      <c r="B423" s="10" t="str">
        <f t="shared" si="40"/>
        <v>L12US-ЩР-1 — Здание оператора верхней станции L12 US</v>
      </c>
      <c r="C423" s="10" t="s">
        <v>182</v>
      </c>
      <c r="D423" s="10" t="s">
        <v>183</v>
      </c>
      <c r="E423" s="11" t="s">
        <v>184</v>
      </c>
      <c r="F423" s="12">
        <f>J423/60</f>
        <v>5.4916666666666663</v>
      </c>
      <c r="G423" s="12">
        <f>Kurallar!$B$6</f>
        <v>100</v>
      </c>
      <c r="H423" s="12">
        <f>G423*J423</f>
        <v>32950</v>
      </c>
      <c r="I423" s="10" t="s">
        <v>185</v>
      </c>
      <c r="J423" s="13">
        <f>ROUND((Kurallar!$B$11+0*Kurallar!$B$13+1*Kurallar!$B$14+0*Kurallar!$B$15+1*Kurallar!$B$16+0*Kurallar!$B$17+0*Kurallar!$B$18+7*Kurallar!$B$19+5*Kurallar!$B$20+1*Kurallar!$B$21+34*Kurallar!$B$22+3*Kurallar!$B$23+0*Kurallar!$B$24+3*Kurallar!$B$25)*Kurallar!$B$7,0)*0.5</f>
        <v>329.5</v>
      </c>
      <c r="K423" s="10" t="s">
        <v>181</v>
      </c>
      <c r="L423" s="12"/>
      <c r="M423" s="12">
        <v>32950</v>
      </c>
    </row>
    <row r="424" spans="1:13" ht="15" customHeight="1" x14ac:dyDescent="0.25">
      <c r="A424" s="15"/>
      <c r="B424" s="15" t="s">
        <v>294</v>
      </c>
      <c r="C424" s="15"/>
      <c r="D424" s="15"/>
      <c r="E424" s="16"/>
      <c r="F424" s="17"/>
      <c r="G424" s="17"/>
      <c r="H424" s="17">
        <f>SUBTOTAL(9,H406:H423)</f>
        <v>0</v>
      </c>
      <c r="I424" s="15"/>
      <c r="J424" s="18"/>
      <c r="K424" s="15"/>
      <c r="L424" s="17">
        <f>SUBTOTAL(9,H406:H421)</f>
        <v>0</v>
      </c>
      <c r="M424" s="17">
        <v>344740.99100000004</v>
      </c>
    </row>
    <row r="425" spans="1:13" ht="15" customHeight="1" x14ac:dyDescent="0.25">
      <c r="A425" s="19">
        <v>1</v>
      </c>
      <c r="B425" s="20" t="str">
        <f>E425</f>
        <v>L12US-ЩСВ — Здание оператора верхней станции L12 US — ЩСВ</v>
      </c>
      <c r="C425" s="19" t="s">
        <v>136</v>
      </c>
      <c r="D425" s="19" t="s">
        <v>289</v>
      </c>
      <c r="E425" s="21" t="s">
        <v>295</v>
      </c>
      <c r="F425" s="22"/>
      <c r="G425" s="22"/>
      <c r="H425" s="22"/>
      <c r="I425" s="19" t="s">
        <v>139</v>
      </c>
      <c r="J425" s="23">
        <v>1</v>
      </c>
      <c r="K425" s="19"/>
      <c r="L425" s="22"/>
      <c r="M425" s="22"/>
    </row>
    <row r="426" spans="1:13" ht="15" hidden="1" customHeight="1" x14ac:dyDescent="0.25">
      <c r="A426" s="10">
        <v>2</v>
      </c>
      <c r="B426" s="10" t="str">
        <f t="shared" ref="B426:B441" si="42">B425</f>
        <v>L12US-ЩСВ — Здание оператора верхней станции L12 US — ЩСВ</v>
      </c>
      <c r="C426" s="10" t="s">
        <v>140</v>
      </c>
      <c r="D426" s="10" t="s">
        <v>382</v>
      </c>
      <c r="E426" s="24" t="s">
        <v>383</v>
      </c>
      <c r="F426" s="12">
        <v>26000</v>
      </c>
      <c r="G426" s="12">
        <f>0.5*F426</f>
        <v>13000</v>
      </c>
      <c r="H426" s="12">
        <f>G426*J426</f>
        <v>13000</v>
      </c>
      <c r="I426" s="10" t="s">
        <v>142</v>
      </c>
      <c r="J426" s="13">
        <v>1</v>
      </c>
      <c r="K426" s="14" t="s">
        <v>390</v>
      </c>
      <c r="L426" s="12"/>
      <c r="M426" s="12">
        <v>13000</v>
      </c>
    </row>
    <row r="427" spans="1:13" ht="15" hidden="1" customHeight="1" x14ac:dyDescent="0.25">
      <c r="A427" s="10">
        <v>3</v>
      </c>
      <c r="B427" s="10" t="str">
        <f t="shared" si="42"/>
        <v>L12US-ЩСВ — Здание оператора верхней станции L12 US — ЩСВ</v>
      </c>
      <c r="C427" s="10" t="s">
        <v>149</v>
      </c>
      <c r="D427" s="10" t="s">
        <v>152</v>
      </c>
      <c r="E427" s="11" t="s">
        <v>153</v>
      </c>
      <c r="F427" s="12">
        <v>1389</v>
      </c>
      <c r="G427" s="12">
        <f>F427*Kurallar!$B$2</f>
        <v>833.4</v>
      </c>
      <c r="H427" s="12">
        <f>G427*J427</f>
        <v>833.4</v>
      </c>
      <c r="I427" s="10" t="s">
        <v>142</v>
      </c>
      <c r="J427" s="13">
        <v>1</v>
      </c>
      <c r="K427" s="10" t="s">
        <v>146</v>
      </c>
      <c r="L427" s="12"/>
      <c r="M427" s="12">
        <v>833.4</v>
      </c>
    </row>
    <row r="428" spans="1:13" ht="15" hidden="1" customHeight="1" x14ac:dyDescent="0.25">
      <c r="A428" s="10">
        <v>4</v>
      </c>
      <c r="B428" s="10" t="str">
        <f t="shared" si="42"/>
        <v>L12US-ЩСВ — Здание оператора верхней станции L12 US — ЩСВ</v>
      </c>
      <c r="C428" s="10" t="s">
        <v>149</v>
      </c>
      <c r="D428" s="10" t="s">
        <v>190</v>
      </c>
      <c r="E428" s="11" t="s">
        <v>191</v>
      </c>
      <c r="F428" s="12">
        <v>6060</v>
      </c>
      <c r="G428" s="12">
        <f>F428*Kurallar!$B$2</f>
        <v>3636</v>
      </c>
      <c r="H428" s="12">
        <f>G428*J428</f>
        <v>3636</v>
      </c>
      <c r="I428" s="10" t="s">
        <v>142</v>
      </c>
      <c r="J428" s="13">
        <v>1</v>
      </c>
      <c r="K428" s="10" t="s">
        <v>146</v>
      </c>
      <c r="L428" s="12"/>
      <c r="M428" s="12">
        <v>3636</v>
      </c>
    </row>
    <row r="429" spans="1:13" ht="15" hidden="1" customHeight="1" x14ac:dyDescent="0.25">
      <c r="A429" s="10">
        <v>5</v>
      </c>
      <c r="B429" s="10" t="str">
        <f t="shared" si="42"/>
        <v>L12US-ЩСВ — Здание оператора верхней станции L12 US — ЩСВ</v>
      </c>
      <c r="C429" s="10" t="s">
        <v>149</v>
      </c>
      <c r="D429" s="10" t="s">
        <v>233</v>
      </c>
      <c r="E429" s="11" t="s">
        <v>234</v>
      </c>
      <c r="F429" s="12">
        <v>5647</v>
      </c>
      <c r="G429" s="12">
        <f>F429*Kurallar!$B$2</f>
        <v>3388.2</v>
      </c>
      <c r="H429" s="12">
        <f>G429*J429</f>
        <v>3388.2</v>
      </c>
      <c r="I429" s="10" t="s">
        <v>142</v>
      </c>
      <c r="J429" s="13">
        <v>1</v>
      </c>
      <c r="K429" s="10" t="s">
        <v>146</v>
      </c>
      <c r="L429" s="12"/>
      <c r="M429" s="12">
        <v>3388.2</v>
      </c>
    </row>
    <row r="430" spans="1:13" ht="15" hidden="1" customHeight="1" x14ac:dyDescent="0.25">
      <c r="A430" s="10">
        <v>6</v>
      </c>
      <c r="B430" s="10" t="str">
        <f t="shared" si="42"/>
        <v>L12US-ЩСВ — Здание оператора верхней станции L12 US — ЩСВ</v>
      </c>
      <c r="C430" s="10" t="s">
        <v>156</v>
      </c>
      <c r="D430" s="10" t="s">
        <v>159</v>
      </c>
      <c r="E430" s="11" t="s">
        <v>160</v>
      </c>
      <c r="F430" s="12">
        <v>5632</v>
      </c>
      <c r="G430" s="12">
        <f>F430*Kurallar!$B$2</f>
        <v>3379.2</v>
      </c>
      <c r="H430" s="12">
        <f>G430*J430</f>
        <v>37171.199999999997</v>
      </c>
      <c r="I430" s="10" t="s">
        <v>142</v>
      </c>
      <c r="J430" s="13">
        <v>11</v>
      </c>
      <c r="K430" s="10" t="s">
        <v>146</v>
      </c>
      <c r="L430" s="12"/>
      <c r="M430" s="12">
        <v>37171.199999999997</v>
      </c>
    </row>
    <row r="431" spans="1:13" ht="15" hidden="1" customHeight="1" x14ac:dyDescent="0.25">
      <c r="A431" s="10">
        <v>7</v>
      </c>
      <c r="B431" s="10" t="str">
        <f t="shared" si="42"/>
        <v>L12US-ЩСВ — Здание оператора верхней станции L12 US — ЩСВ</v>
      </c>
      <c r="C431" s="10" t="s">
        <v>161</v>
      </c>
      <c r="D431" s="10" t="s">
        <v>162</v>
      </c>
      <c r="E431" s="11" t="s">
        <v>163</v>
      </c>
      <c r="F431" s="12">
        <v>530</v>
      </c>
      <c r="G431" s="12">
        <f>F431*Kurallar!$B$3</f>
        <v>530</v>
      </c>
      <c r="H431" s="12">
        <f>G431*J431</f>
        <v>530</v>
      </c>
      <c r="I431" s="10" t="s">
        <v>142</v>
      </c>
      <c r="J431" s="13">
        <v>1</v>
      </c>
      <c r="K431" s="14" t="s">
        <v>372</v>
      </c>
      <c r="L431" s="12"/>
      <c r="M431" s="12">
        <v>530</v>
      </c>
    </row>
    <row r="432" spans="1:13" ht="15" hidden="1" customHeight="1" x14ac:dyDescent="0.25">
      <c r="A432" s="10">
        <v>8</v>
      </c>
      <c r="B432" s="10" t="str">
        <f t="shared" si="42"/>
        <v>L12US-ЩСВ — Здание оператора верхней станции L12 US — ЩСВ</v>
      </c>
      <c r="C432" s="10" t="s">
        <v>161</v>
      </c>
      <c r="D432" s="10" t="s">
        <v>165</v>
      </c>
      <c r="E432" s="11" t="s">
        <v>166</v>
      </c>
      <c r="F432" s="12">
        <v>634</v>
      </c>
      <c r="G432" s="12">
        <f>F432*Kurallar!$B$3</f>
        <v>634</v>
      </c>
      <c r="H432" s="12">
        <f>G432*J432</f>
        <v>1268</v>
      </c>
      <c r="I432" s="10" t="s">
        <v>142</v>
      </c>
      <c r="J432" s="13">
        <v>2</v>
      </c>
      <c r="K432" s="14" t="s">
        <v>372</v>
      </c>
      <c r="L432" s="12"/>
      <c r="M432" s="12">
        <v>1268</v>
      </c>
    </row>
    <row r="433" spans="1:13" ht="15" hidden="1" customHeight="1" x14ac:dyDescent="0.25">
      <c r="A433" s="10">
        <v>9</v>
      </c>
      <c r="B433" s="10" t="str">
        <f t="shared" si="42"/>
        <v>L12US-ЩСВ — Здание оператора верхней станции L12 US — ЩСВ</v>
      </c>
      <c r="C433" s="10" t="s">
        <v>31</v>
      </c>
      <c r="D433" s="10" t="s">
        <v>373</v>
      </c>
      <c r="E433" s="11" t="s">
        <v>374</v>
      </c>
      <c r="F433" s="12">
        <v>140</v>
      </c>
      <c r="G433" s="12">
        <f t="shared" ref="G433:G434" si="43">0.6*F433</f>
        <v>84</v>
      </c>
      <c r="H433" s="12">
        <f>G433*J433</f>
        <v>1848</v>
      </c>
      <c r="I433" s="10" t="s">
        <v>142</v>
      </c>
      <c r="J433" s="13">
        <v>22</v>
      </c>
      <c r="K433" s="14" t="s">
        <v>375</v>
      </c>
      <c r="L433" s="12"/>
      <c r="M433" s="12">
        <v>1848</v>
      </c>
    </row>
    <row r="434" spans="1:13" ht="15" hidden="1" customHeight="1" x14ac:dyDescent="0.25">
      <c r="A434" s="10">
        <v>10</v>
      </c>
      <c r="B434" s="10" t="str">
        <f t="shared" si="42"/>
        <v>L12US-ЩСВ — Здание оператора верхней станции L12 US — ЩСВ</v>
      </c>
      <c r="C434" s="10" t="s">
        <v>31</v>
      </c>
      <c r="D434" s="10" t="s">
        <v>373</v>
      </c>
      <c r="E434" s="11" t="s">
        <v>374</v>
      </c>
      <c r="F434" s="12">
        <v>140</v>
      </c>
      <c r="G434" s="12">
        <f t="shared" si="43"/>
        <v>84</v>
      </c>
      <c r="H434" s="12">
        <f>G434*J434</f>
        <v>1344</v>
      </c>
      <c r="I434" s="10" t="s">
        <v>142</v>
      </c>
      <c r="J434" s="13">
        <v>16</v>
      </c>
      <c r="K434" s="14" t="s">
        <v>375</v>
      </c>
      <c r="L434" s="12"/>
      <c r="M434" s="12">
        <v>1344</v>
      </c>
    </row>
    <row r="435" spans="1:13" ht="15" hidden="1" customHeight="1" x14ac:dyDescent="0.25">
      <c r="A435" s="10">
        <v>11</v>
      </c>
      <c r="B435" s="10" t="str">
        <f t="shared" si="42"/>
        <v>L12US-ЩСВ — Здание оператора верхней станции L12 US — ЩСВ</v>
      </c>
      <c r="C435" s="10" t="s">
        <v>167</v>
      </c>
      <c r="D435" s="10" t="s">
        <v>168</v>
      </c>
      <c r="E435" s="11" t="s">
        <v>169</v>
      </c>
      <c r="F435" s="12">
        <v>869</v>
      </c>
      <c r="G435" s="12">
        <f>F435*Kurallar!$B$2</f>
        <v>521.4</v>
      </c>
      <c r="H435" s="12">
        <f>G435*J435</f>
        <v>521.4</v>
      </c>
      <c r="I435" s="10" t="s">
        <v>170</v>
      </c>
      <c r="J435" s="13">
        <v>1</v>
      </c>
      <c r="K435" s="10" t="s">
        <v>146</v>
      </c>
      <c r="L435" s="12"/>
      <c r="M435" s="12">
        <v>521.4</v>
      </c>
    </row>
    <row r="436" spans="1:13" ht="15" hidden="1" customHeight="1" x14ac:dyDescent="0.25">
      <c r="A436" s="10">
        <v>12</v>
      </c>
      <c r="B436" s="10" t="str">
        <f t="shared" si="42"/>
        <v>L12US-ЩСВ — Здание оператора верхней станции L12 US — ЩСВ</v>
      </c>
      <c r="C436" s="10" t="s">
        <v>167</v>
      </c>
      <c r="D436" s="10" t="s">
        <v>171</v>
      </c>
      <c r="E436" s="11" t="s">
        <v>172</v>
      </c>
      <c r="F436" s="12">
        <v>1808</v>
      </c>
      <c r="G436" s="12">
        <f>F436*Kurallar!$B$3</f>
        <v>1808</v>
      </c>
      <c r="H436" s="12">
        <f>G436*J436</f>
        <v>1808</v>
      </c>
      <c r="I436" s="10" t="s">
        <v>142</v>
      </c>
      <c r="J436" s="13">
        <v>1</v>
      </c>
      <c r="K436" s="10" t="s">
        <v>164</v>
      </c>
      <c r="L436" s="12"/>
      <c r="M436" s="12">
        <v>1808</v>
      </c>
    </row>
    <row r="437" spans="1:13" ht="15" hidden="1" customHeight="1" x14ac:dyDescent="0.25">
      <c r="A437" s="10">
        <v>13</v>
      </c>
      <c r="B437" s="10" t="str">
        <f t="shared" si="42"/>
        <v>L12US-ЩСВ — Здание оператора верхней станции L12 US — ЩСВ</v>
      </c>
      <c r="C437" s="10" t="s">
        <v>167</v>
      </c>
      <c r="D437" s="10" t="s">
        <v>173</v>
      </c>
      <c r="E437" s="11" t="s">
        <v>174</v>
      </c>
      <c r="F437" s="12">
        <v>127</v>
      </c>
      <c r="G437" s="12">
        <f>F437*Kurallar!$B$3</f>
        <v>127</v>
      </c>
      <c r="H437" s="12">
        <f>G437*J437</f>
        <v>2921</v>
      </c>
      <c r="I437" s="10" t="s">
        <v>170</v>
      </c>
      <c r="J437" s="13">
        <v>23</v>
      </c>
      <c r="K437" s="10" t="s">
        <v>143</v>
      </c>
      <c r="L437" s="12"/>
      <c r="M437" s="12">
        <v>2921</v>
      </c>
    </row>
    <row r="438" spans="1:13" ht="15" hidden="1" customHeight="1" x14ac:dyDescent="0.25">
      <c r="A438" s="10">
        <v>14</v>
      </c>
      <c r="B438" s="10" t="str">
        <f t="shared" si="42"/>
        <v>L12US-ЩСВ — Здание оператора верхней станции L12 US — ЩСВ</v>
      </c>
      <c r="C438" s="10" t="s">
        <v>167</v>
      </c>
      <c r="D438" s="10" t="s">
        <v>235</v>
      </c>
      <c r="E438" s="11" t="s">
        <v>236</v>
      </c>
      <c r="F438" s="12">
        <v>565</v>
      </c>
      <c r="G438" s="12">
        <f>F438*Kurallar!$B$3</f>
        <v>565</v>
      </c>
      <c r="H438" s="12">
        <f>G438*J438</f>
        <v>2825</v>
      </c>
      <c r="I438" s="10" t="s">
        <v>170</v>
      </c>
      <c r="J438" s="13">
        <v>5</v>
      </c>
      <c r="K438" s="10" t="s">
        <v>143</v>
      </c>
      <c r="L438" s="12"/>
      <c r="M438" s="12">
        <v>2825</v>
      </c>
    </row>
    <row r="439" spans="1:13" ht="15" hidden="1" customHeight="1" x14ac:dyDescent="0.25">
      <c r="A439" s="10">
        <v>15</v>
      </c>
      <c r="B439" s="10" t="str">
        <f t="shared" si="42"/>
        <v>L12US-ЩСВ — Здание оператора верхней станции L12 US — ЩСВ</v>
      </c>
      <c r="C439" s="10" t="s">
        <v>167</v>
      </c>
      <c r="D439" s="10" t="s">
        <v>177</v>
      </c>
      <c r="E439" s="11" t="s">
        <v>178</v>
      </c>
      <c r="F439" s="12">
        <v>79</v>
      </c>
      <c r="G439" s="12">
        <f>F439*Kurallar!$B$3</f>
        <v>79</v>
      </c>
      <c r="H439" s="12">
        <f>G439*J439</f>
        <v>474</v>
      </c>
      <c r="I439" s="10" t="s">
        <v>170</v>
      </c>
      <c r="J439" s="13">
        <v>6</v>
      </c>
      <c r="K439" s="10" t="s">
        <v>143</v>
      </c>
      <c r="L439" s="12"/>
      <c r="M439" s="12">
        <v>474</v>
      </c>
    </row>
    <row r="440" spans="1:13" ht="23.25" hidden="1" customHeight="1" x14ac:dyDescent="0.25">
      <c r="A440" s="10">
        <v>16</v>
      </c>
      <c r="B440" s="10" t="str">
        <f t="shared" si="42"/>
        <v>L12US-ЩСВ — Здание оператора верхней станции L12 US — ЩСВ</v>
      </c>
      <c r="C440" s="10" t="s">
        <v>167</v>
      </c>
      <c r="D440" s="10" t="s">
        <v>179</v>
      </c>
      <c r="E440" s="11" t="s">
        <v>180</v>
      </c>
      <c r="F440" s="12"/>
      <c r="G440" s="12">
        <f>SUM(H426:H439)*Kurallar!$B$5</f>
        <v>2147.0460000000003</v>
      </c>
      <c r="H440" s="12">
        <f>G440*J440</f>
        <v>2147.0460000000003</v>
      </c>
      <c r="I440" s="10" t="s">
        <v>142</v>
      </c>
      <c r="J440" s="13">
        <v>1</v>
      </c>
      <c r="K440" s="10" t="s">
        <v>181</v>
      </c>
      <c r="L440" s="12"/>
      <c r="M440" s="12">
        <v>2147.0460000000003</v>
      </c>
    </row>
    <row r="441" spans="1:13" ht="15" hidden="1" customHeight="1" x14ac:dyDescent="0.25">
      <c r="A441" s="10">
        <v>17</v>
      </c>
      <c r="B441" s="10" t="str">
        <f t="shared" si="42"/>
        <v>L12US-ЩСВ — Здание оператора верхней станции L12 US — ЩСВ</v>
      </c>
      <c r="C441" s="10" t="s">
        <v>182</v>
      </c>
      <c r="D441" s="10" t="s">
        <v>183</v>
      </c>
      <c r="E441" s="11" t="s">
        <v>184</v>
      </c>
      <c r="F441" s="12">
        <f>J441/60</f>
        <v>1.61</v>
      </c>
      <c r="G441" s="12">
        <f>Kurallar!$B$6</f>
        <v>100</v>
      </c>
      <c r="H441" s="12">
        <f>G441*J441</f>
        <v>9660</v>
      </c>
      <c r="I441" s="10" t="s">
        <v>185</v>
      </c>
      <c r="J441" s="13">
        <f>ROUND((Kurallar!$B$10+0*Kurallar!$B$13+0*Kurallar!$B$14+0*Kurallar!$B$15+0*Kurallar!$B$16+0*Kurallar!$B$17+0*Kurallar!$B$18+11*Kurallar!$B$19+1*Kurallar!$B$20+2*Kurallar!$B$21+38*Kurallar!$B$22+3*Kurallar!$B$23+0*Kurallar!$B$24+3*Kurallar!$B$25)*Kurallar!$B$7,0)*0.2</f>
        <v>96.600000000000009</v>
      </c>
      <c r="K441" s="10" t="s">
        <v>181</v>
      </c>
      <c r="L441" s="12"/>
      <c r="M441" s="12">
        <v>9660</v>
      </c>
    </row>
    <row r="442" spans="1:13" ht="15" customHeight="1" x14ac:dyDescent="0.25">
      <c r="A442" s="15"/>
      <c r="B442" s="15" t="s">
        <v>297</v>
      </c>
      <c r="C442" s="15"/>
      <c r="D442" s="15"/>
      <c r="E442" s="16"/>
      <c r="F442" s="17"/>
      <c r="G442" s="17"/>
      <c r="H442" s="17">
        <f>SUBTOTAL(9,H426:H441)</f>
        <v>0</v>
      </c>
      <c r="I442" s="15"/>
      <c r="J442" s="18"/>
      <c r="K442" s="15"/>
      <c r="L442" s="17">
        <f>SUBTOTAL(9,H426:H439)</f>
        <v>0</v>
      </c>
      <c r="M442" s="17">
        <v>83375.246000000014</v>
      </c>
    </row>
    <row r="443" spans="1:13" ht="15" customHeight="1" x14ac:dyDescent="0.25">
      <c r="A443" s="19">
        <v>1</v>
      </c>
      <c r="B443" s="20" t="str">
        <f>E443</f>
        <v>L14LS-ЩР-1 — Здание оператора нижней станции L14 LS</v>
      </c>
      <c r="C443" s="19" t="s">
        <v>136</v>
      </c>
      <c r="D443" s="19" t="s">
        <v>298</v>
      </c>
      <c r="E443" s="21" t="s">
        <v>299</v>
      </c>
      <c r="F443" s="22"/>
      <c r="G443" s="22"/>
      <c r="H443" s="22"/>
      <c r="I443" s="19" t="s">
        <v>139</v>
      </c>
      <c r="J443" s="23">
        <v>1</v>
      </c>
      <c r="K443" s="19"/>
      <c r="L443" s="22"/>
      <c r="M443" s="22"/>
    </row>
    <row r="444" spans="1:13" ht="15" hidden="1" customHeight="1" x14ac:dyDescent="0.25">
      <c r="A444" s="10">
        <v>2</v>
      </c>
      <c r="B444" s="10" t="str">
        <f t="shared" ref="B444:B462" si="44">B443</f>
        <v>L14LS-ЩР-1 — Здание оператора нижней станции L14 LS</v>
      </c>
      <c r="C444" s="10" t="s">
        <v>140</v>
      </c>
      <c r="D444" s="10" t="s">
        <v>384</v>
      </c>
      <c r="E444" s="24" t="s">
        <v>385</v>
      </c>
      <c r="F444" s="12">
        <v>55770</v>
      </c>
      <c r="G444" s="12">
        <f>0.5*F444</f>
        <v>27885</v>
      </c>
      <c r="H444" s="12">
        <f>G444*J444</f>
        <v>27885</v>
      </c>
      <c r="I444" s="10" t="s">
        <v>142</v>
      </c>
      <c r="J444" s="13">
        <v>1</v>
      </c>
      <c r="K444" s="14" t="s">
        <v>390</v>
      </c>
      <c r="L444" s="12"/>
      <c r="M444" s="12">
        <v>27885</v>
      </c>
    </row>
    <row r="445" spans="1:13" ht="15" hidden="1" customHeight="1" x14ac:dyDescent="0.25">
      <c r="A445" s="10">
        <v>3</v>
      </c>
      <c r="B445" s="10" t="str">
        <f t="shared" si="44"/>
        <v>L14LS-ЩР-1 — Здание оператора нижней станции L14 LS</v>
      </c>
      <c r="C445" s="14" t="s">
        <v>371</v>
      </c>
      <c r="D445" s="10" t="s">
        <v>254</v>
      </c>
      <c r="E445" s="11" t="s">
        <v>255</v>
      </c>
      <c r="F445" s="12">
        <v>201639</v>
      </c>
      <c r="G445" s="12">
        <f>F445*Kurallar!$B$2</f>
        <v>120983.4</v>
      </c>
      <c r="H445" s="12">
        <f>G445*J445</f>
        <v>120983.4</v>
      </c>
      <c r="I445" s="10" t="s">
        <v>142</v>
      </c>
      <c r="J445" s="13">
        <v>1</v>
      </c>
      <c r="K445" s="10" t="s">
        <v>146</v>
      </c>
      <c r="L445" s="12"/>
      <c r="M445" s="12">
        <v>120983.4</v>
      </c>
    </row>
    <row r="446" spans="1:13" ht="15" hidden="1" customHeight="1" x14ac:dyDescent="0.25">
      <c r="A446" s="10">
        <v>4</v>
      </c>
      <c r="B446" s="10" t="str">
        <f t="shared" si="44"/>
        <v>L14LS-ЩР-1 — Здание оператора нижней станции L14 LS</v>
      </c>
      <c r="C446" s="10" t="s">
        <v>147</v>
      </c>
      <c r="D446" s="10" t="s">
        <v>391</v>
      </c>
      <c r="E446" s="24" t="s">
        <v>392</v>
      </c>
      <c r="F446" s="12">
        <v>88000</v>
      </c>
      <c r="G446" s="12">
        <f>F446*Kurallar!$B$4</f>
        <v>88000</v>
      </c>
      <c r="H446" s="12">
        <f>G446*J446</f>
        <v>88000</v>
      </c>
      <c r="I446" s="10" t="s">
        <v>142</v>
      </c>
      <c r="J446" s="13">
        <v>1</v>
      </c>
      <c r="K446" s="10" t="s">
        <v>148</v>
      </c>
      <c r="L446" s="12"/>
      <c r="M446" s="12">
        <v>88000</v>
      </c>
    </row>
    <row r="447" spans="1:13" ht="15" hidden="1" customHeight="1" x14ac:dyDescent="0.25">
      <c r="A447" s="10">
        <v>5</v>
      </c>
      <c r="B447" s="10" t="str">
        <f t="shared" si="44"/>
        <v>L14LS-ЩР-1 — Здание оператора нижней станции L14 LS</v>
      </c>
      <c r="C447" s="10" t="s">
        <v>149</v>
      </c>
      <c r="D447" s="10" t="s">
        <v>150</v>
      </c>
      <c r="E447" s="11" t="s">
        <v>151</v>
      </c>
      <c r="F447" s="12">
        <v>1419</v>
      </c>
      <c r="G447" s="12">
        <f>F447*Kurallar!$B$2</f>
        <v>851.4</v>
      </c>
      <c r="H447" s="12">
        <f>G447*J447</f>
        <v>1702.8</v>
      </c>
      <c r="I447" s="10" t="s">
        <v>142</v>
      </c>
      <c r="J447" s="13">
        <v>2</v>
      </c>
      <c r="K447" s="10" t="s">
        <v>146</v>
      </c>
      <c r="L447" s="12"/>
      <c r="M447" s="12">
        <v>1702.8</v>
      </c>
    </row>
    <row r="448" spans="1:13" ht="15" hidden="1" customHeight="1" x14ac:dyDescent="0.25">
      <c r="A448" s="10">
        <v>6</v>
      </c>
      <c r="B448" s="10" t="str">
        <f t="shared" si="44"/>
        <v>L14LS-ЩР-1 — Здание оператора нижней станции L14 LS</v>
      </c>
      <c r="C448" s="10" t="s">
        <v>149</v>
      </c>
      <c r="D448" s="10" t="s">
        <v>152</v>
      </c>
      <c r="E448" s="11" t="s">
        <v>153</v>
      </c>
      <c r="F448" s="12">
        <v>1389</v>
      </c>
      <c r="G448" s="12">
        <f>F448*Kurallar!$B$2</f>
        <v>833.4</v>
      </c>
      <c r="H448" s="12">
        <f>G448*J448</f>
        <v>2500.1999999999998</v>
      </c>
      <c r="I448" s="10" t="s">
        <v>142</v>
      </c>
      <c r="J448" s="13">
        <v>3</v>
      </c>
      <c r="K448" s="10" t="s">
        <v>146</v>
      </c>
      <c r="L448" s="12"/>
      <c r="M448" s="12">
        <v>2500.1999999999998</v>
      </c>
    </row>
    <row r="449" spans="1:13" ht="15" hidden="1" customHeight="1" x14ac:dyDescent="0.25">
      <c r="A449" s="10">
        <v>7</v>
      </c>
      <c r="B449" s="10" t="str">
        <f t="shared" si="44"/>
        <v>L14LS-ЩР-1 — Здание оператора нижней станции L14 LS</v>
      </c>
      <c r="C449" s="10" t="s">
        <v>149</v>
      </c>
      <c r="D449" s="10" t="s">
        <v>190</v>
      </c>
      <c r="E449" s="11" t="s">
        <v>191</v>
      </c>
      <c r="F449" s="12">
        <v>6060</v>
      </c>
      <c r="G449" s="12">
        <f>F449*Kurallar!$B$2</f>
        <v>3636</v>
      </c>
      <c r="H449" s="12">
        <f>G449*J449</f>
        <v>3636</v>
      </c>
      <c r="I449" s="10" t="s">
        <v>142</v>
      </c>
      <c r="J449" s="13">
        <v>1</v>
      </c>
      <c r="K449" s="10" t="s">
        <v>146</v>
      </c>
      <c r="L449" s="12"/>
      <c r="M449" s="12">
        <v>3636</v>
      </c>
    </row>
    <row r="450" spans="1:13" ht="15" hidden="1" customHeight="1" x14ac:dyDescent="0.25">
      <c r="A450" s="10">
        <v>8</v>
      </c>
      <c r="B450" s="10" t="str">
        <f t="shared" si="44"/>
        <v>L14LS-ЩР-1 — Здание оператора нижней станции L14 LS</v>
      </c>
      <c r="C450" s="10" t="s">
        <v>156</v>
      </c>
      <c r="D450" s="10" t="s">
        <v>157</v>
      </c>
      <c r="E450" s="11" t="s">
        <v>158</v>
      </c>
      <c r="F450" s="12">
        <v>5104</v>
      </c>
      <c r="G450" s="12">
        <f>F450*Kurallar!$B$2</f>
        <v>3062.4</v>
      </c>
      <c r="H450" s="12">
        <f>G450*J450</f>
        <v>12249.6</v>
      </c>
      <c r="I450" s="10" t="s">
        <v>142</v>
      </c>
      <c r="J450" s="13">
        <v>4</v>
      </c>
      <c r="K450" s="10" t="s">
        <v>146</v>
      </c>
      <c r="L450" s="12"/>
      <c r="M450" s="12">
        <v>12249.6</v>
      </c>
    </row>
    <row r="451" spans="1:13" ht="15" hidden="1" customHeight="1" x14ac:dyDescent="0.25">
      <c r="A451" s="10">
        <v>9</v>
      </c>
      <c r="B451" s="10" t="str">
        <f t="shared" si="44"/>
        <v>L14LS-ЩР-1 — Здание оператора нижней станции L14 LS</v>
      </c>
      <c r="C451" s="10" t="s">
        <v>156</v>
      </c>
      <c r="D451" s="10" t="s">
        <v>159</v>
      </c>
      <c r="E451" s="11" t="s">
        <v>160</v>
      </c>
      <c r="F451" s="12">
        <v>5632</v>
      </c>
      <c r="G451" s="12">
        <f>F451*Kurallar!$B$2</f>
        <v>3379.2</v>
      </c>
      <c r="H451" s="12">
        <f>G451*J451</f>
        <v>30412.799999999999</v>
      </c>
      <c r="I451" s="10" t="s">
        <v>142</v>
      </c>
      <c r="J451" s="13">
        <v>9</v>
      </c>
      <c r="K451" s="10" t="s">
        <v>146</v>
      </c>
      <c r="L451" s="12"/>
      <c r="M451" s="12">
        <v>30412.799999999999</v>
      </c>
    </row>
    <row r="452" spans="1:13" ht="15" hidden="1" customHeight="1" x14ac:dyDescent="0.25">
      <c r="A452" s="10">
        <v>10</v>
      </c>
      <c r="B452" s="10" t="str">
        <f t="shared" si="44"/>
        <v>L14LS-ЩР-1 — Здание оператора нижней станции L14 LS</v>
      </c>
      <c r="C452" s="10" t="s">
        <v>161</v>
      </c>
      <c r="D452" s="10" t="s">
        <v>162</v>
      </c>
      <c r="E452" s="11" t="s">
        <v>163</v>
      </c>
      <c r="F452" s="12">
        <v>530</v>
      </c>
      <c r="G452" s="12">
        <f>F452*Kurallar!$B$3</f>
        <v>530</v>
      </c>
      <c r="H452" s="12">
        <f>G452*J452</f>
        <v>530</v>
      </c>
      <c r="I452" s="10" t="s">
        <v>142</v>
      </c>
      <c r="J452" s="13">
        <v>1</v>
      </c>
      <c r="K452" s="14" t="s">
        <v>372</v>
      </c>
      <c r="L452" s="12"/>
      <c r="M452" s="12">
        <v>530</v>
      </c>
    </row>
    <row r="453" spans="1:13" ht="15" hidden="1" customHeight="1" x14ac:dyDescent="0.25">
      <c r="A453" s="10">
        <v>11</v>
      </c>
      <c r="B453" s="10" t="str">
        <f t="shared" si="44"/>
        <v>L14LS-ЩР-1 — Здание оператора нижней станции L14 LS</v>
      </c>
      <c r="C453" s="10" t="s">
        <v>161</v>
      </c>
      <c r="D453" s="10" t="s">
        <v>165</v>
      </c>
      <c r="E453" s="11" t="s">
        <v>166</v>
      </c>
      <c r="F453" s="12">
        <v>634</v>
      </c>
      <c r="G453" s="12">
        <f>F453*Kurallar!$B$3</f>
        <v>634</v>
      </c>
      <c r="H453" s="12">
        <f>G453*J453</f>
        <v>1902</v>
      </c>
      <c r="I453" s="10" t="s">
        <v>142</v>
      </c>
      <c r="J453" s="13">
        <v>3</v>
      </c>
      <c r="K453" s="14" t="s">
        <v>372</v>
      </c>
      <c r="L453" s="12"/>
      <c r="M453" s="12">
        <v>1902</v>
      </c>
    </row>
    <row r="454" spans="1:13" ht="15" hidden="1" customHeight="1" x14ac:dyDescent="0.25">
      <c r="A454" s="10">
        <v>12</v>
      </c>
      <c r="B454" s="10" t="str">
        <f t="shared" si="44"/>
        <v>L14LS-ЩР-1 — Здание оператора нижней станции L14 LS</v>
      </c>
      <c r="C454" s="10" t="s">
        <v>31</v>
      </c>
      <c r="D454" s="10" t="s">
        <v>373</v>
      </c>
      <c r="E454" s="11" t="s">
        <v>374</v>
      </c>
      <c r="F454" s="12">
        <v>140</v>
      </c>
      <c r="G454" s="12">
        <f t="shared" ref="G454:G455" si="45">0.6*F454</f>
        <v>84</v>
      </c>
      <c r="H454" s="12">
        <f>G454*J454</f>
        <v>2100</v>
      </c>
      <c r="I454" s="10" t="s">
        <v>142</v>
      </c>
      <c r="J454" s="13">
        <v>25</v>
      </c>
      <c r="K454" s="14" t="s">
        <v>375</v>
      </c>
      <c r="L454" s="12"/>
      <c r="M454" s="12">
        <v>2100</v>
      </c>
    </row>
    <row r="455" spans="1:13" ht="15" hidden="1" customHeight="1" x14ac:dyDescent="0.25">
      <c r="A455" s="10">
        <v>13</v>
      </c>
      <c r="B455" s="10" t="str">
        <f t="shared" si="44"/>
        <v>L14LS-ЩР-1 — Здание оператора нижней станции L14 LS</v>
      </c>
      <c r="C455" s="10" t="s">
        <v>31</v>
      </c>
      <c r="D455" s="10" t="s">
        <v>373</v>
      </c>
      <c r="E455" s="11" t="s">
        <v>374</v>
      </c>
      <c r="F455" s="12">
        <v>140</v>
      </c>
      <c r="G455" s="12">
        <f t="shared" si="45"/>
        <v>84</v>
      </c>
      <c r="H455" s="12">
        <f>G455*J455</f>
        <v>1764</v>
      </c>
      <c r="I455" s="10" t="s">
        <v>142</v>
      </c>
      <c r="J455" s="13">
        <v>21</v>
      </c>
      <c r="K455" s="14" t="s">
        <v>375</v>
      </c>
      <c r="L455" s="12"/>
      <c r="M455" s="12">
        <v>1764</v>
      </c>
    </row>
    <row r="456" spans="1:13" ht="15" hidden="1" customHeight="1" x14ac:dyDescent="0.25">
      <c r="A456" s="10">
        <v>14</v>
      </c>
      <c r="B456" s="10" t="str">
        <f t="shared" si="44"/>
        <v>L14LS-ЩР-1 — Здание оператора нижней станции L14 LS</v>
      </c>
      <c r="C456" s="10" t="s">
        <v>167</v>
      </c>
      <c r="D456" s="10" t="s">
        <v>168</v>
      </c>
      <c r="E456" s="11" t="s">
        <v>169</v>
      </c>
      <c r="F456" s="12">
        <v>869</v>
      </c>
      <c r="G456" s="12">
        <f>F456*Kurallar!$B$2</f>
        <v>521.4</v>
      </c>
      <c r="H456" s="12">
        <f>G456*J456</f>
        <v>521.4</v>
      </c>
      <c r="I456" s="10" t="s">
        <v>170</v>
      </c>
      <c r="J456" s="13">
        <v>1</v>
      </c>
      <c r="K456" s="10" t="s">
        <v>146</v>
      </c>
      <c r="L456" s="12"/>
      <c r="M456" s="12">
        <v>521.4</v>
      </c>
    </row>
    <row r="457" spans="1:13" ht="15" hidden="1" customHeight="1" x14ac:dyDescent="0.25">
      <c r="A457" s="10">
        <v>15</v>
      </c>
      <c r="B457" s="10" t="str">
        <f t="shared" si="44"/>
        <v>L14LS-ЩР-1 — Здание оператора нижней станции L14 LS</v>
      </c>
      <c r="C457" s="10" t="s">
        <v>167</v>
      </c>
      <c r="D457" s="10" t="s">
        <v>171</v>
      </c>
      <c r="E457" s="11" t="s">
        <v>172</v>
      </c>
      <c r="F457" s="12">
        <v>1808</v>
      </c>
      <c r="G457" s="12">
        <f>F457*Kurallar!$B$3</f>
        <v>1808</v>
      </c>
      <c r="H457" s="12">
        <f>G457*J457</f>
        <v>1808</v>
      </c>
      <c r="I457" s="10" t="s">
        <v>142</v>
      </c>
      <c r="J457" s="13">
        <v>1</v>
      </c>
      <c r="K457" s="10" t="s">
        <v>164</v>
      </c>
      <c r="L457" s="12"/>
      <c r="M457" s="12">
        <v>1808</v>
      </c>
    </row>
    <row r="458" spans="1:13" ht="15" hidden="1" customHeight="1" x14ac:dyDescent="0.25">
      <c r="A458" s="10">
        <v>16</v>
      </c>
      <c r="B458" s="10" t="str">
        <f t="shared" si="44"/>
        <v>L14LS-ЩР-1 — Здание оператора нижней станции L14 LS</v>
      </c>
      <c r="C458" s="10" t="s">
        <v>167</v>
      </c>
      <c r="D458" s="10" t="s">
        <v>173</v>
      </c>
      <c r="E458" s="11" t="s">
        <v>174</v>
      </c>
      <c r="F458" s="12">
        <v>127</v>
      </c>
      <c r="G458" s="12">
        <f>F458*Kurallar!$B$3</f>
        <v>127</v>
      </c>
      <c r="H458" s="12">
        <f>G458*J458</f>
        <v>3429</v>
      </c>
      <c r="I458" s="10" t="s">
        <v>170</v>
      </c>
      <c r="J458" s="13">
        <v>27</v>
      </c>
      <c r="K458" s="10" t="s">
        <v>143</v>
      </c>
      <c r="L458" s="12"/>
      <c r="M458" s="12">
        <v>3429</v>
      </c>
    </row>
    <row r="459" spans="1:13" ht="15" hidden="1" customHeight="1" x14ac:dyDescent="0.25">
      <c r="A459" s="10">
        <v>17</v>
      </c>
      <c r="B459" s="10" t="str">
        <f t="shared" si="44"/>
        <v>L14LS-ЩР-1 — Здание оператора нижней станции L14 LS</v>
      </c>
      <c r="C459" s="10" t="s">
        <v>167</v>
      </c>
      <c r="D459" s="10" t="s">
        <v>175</v>
      </c>
      <c r="E459" s="11" t="s">
        <v>176</v>
      </c>
      <c r="F459" s="12">
        <v>918</v>
      </c>
      <c r="G459" s="12">
        <f>F459*Kurallar!$B$3</f>
        <v>918</v>
      </c>
      <c r="H459" s="12">
        <f>G459*J459</f>
        <v>7344</v>
      </c>
      <c r="I459" s="10" t="s">
        <v>170</v>
      </c>
      <c r="J459" s="13">
        <v>8</v>
      </c>
      <c r="K459" s="10" t="s">
        <v>143</v>
      </c>
      <c r="L459" s="12"/>
      <c r="M459" s="12">
        <v>7344</v>
      </c>
    </row>
    <row r="460" spans="1:13" ht="15" hidden="1" customHeight="1" x14ac:dyDescent="0.25">
      <c r="A460" s="10">
        <v>18</v>
      </c>
      <c r="B460" s="10" t="str">
        <f t="shared" si="44"/>
        <v>L14LS-ЩР-1 — Здание оператора нижней станции L14 LS</v>
      </c>
      <c r="C460" s="10" t="s">
        <v>167</v>
      </c>
      <c r="D460" s="10" t="s">
        <v>177</v>
      </c>
      <c r="E460" s="11" t="s">
        <v>178</v>
      </c>
      <c r="F460" s="12">
        <v>79</v>
      </c>
      <c r="G460" s="12">
        <f>F460*Kurallar!$B$3</f>
        <v>79</v>
      </c>
      <c r="H460" s="12">
        <f>G460*J460</f>
        <v>632</v>
      </c>
      <c r="I460" s="10" t="s">
        <v>170</v>
      </c>
      <c r="J460" s="13">
        <v>8</v>
      </c>
      <c r="K460" s="10" t="s">
        <v>143</v>
      </c>
      <c r="L460" s="12"/>
      <c r="M460" s="12">
        <v>632</v>
      </c>
    </row>
    <row r="461" spans="1:13" ht="23.25" hidden="1" customHeight="1" x14ac:dyDescent="0.25">
      <c r="A461" s="10">
        <v>19</v>
      </c>
      <c r="B461" s="10" t="str">
        <f t="shared" si="44"/>
        <v>L14LS-ЩР-1 — Здание оператора нижней станции L14 LS</v>
      </c>
      <c r="C461" s="10" t="s">
        <v>167</v>
      </c>
      <c r="D461" s="10" t="s">
        <v>179</v>
      </c>
      <c r="E461" s="11" t="s">
        <v>180</v>
      </c>
      <c r="F461" s="12"/>
      <c r="G461" s="12">
        <f>SUM(H444:H460)*Kurallar!$B$5</f>
        <v>9222.0059999999994</v>
      </c>
      <c r="H461" s="12">
        <f>G461*J461</f>
        <v>9222.0059999999994</v>
      </c>
      <c r="I461" s="10" t="s">
        <v>142</v>
      </c>
      <c r="J461" s="13">
        <v>1</v>
      </c>
      <c r="K461" s="10" t="s">
        <v>181</v>
      </c>
      <c r="L461" s="12"/>
      <c r="M461" s="12">
        <v>9222.0059999999994</v>
      </c>
    </row>
    <row r="462" spans="1:13" ht="15" hidden="1" customHeight="1" x14ac:dyDescent="0.25">
      <c r="A462" s="10">
        <v>20</v>
      </c>
      <c r="B462" s="10" t="str">
        <f t="shared" si="44"/>
        <v>L14LS-ЩР-1 — Здание оператора нижней станции L14 LS</v>
      </c>
      <c r="C462" s="10" t="s">
        <v>182</v>
      </c>
      <c r="D462" s="10" t="s">
        <v>183</v>
      </c>
      <c r="E462" s="11" t="s">
        <v>184</v>
      </c>
      <c r="F462" s="12">
        <f>J462/60</f>
        <v>5.16</v>
      </c>
      <c r="G462" s="12">
        <f>Kurallar!$B$6</f>
        <v>100</v>
      </c>
      <c r="H462" s="12">
        <f>G462*J462</f>
        <v>30960.000000000004</v>
      </c>
      <c r="I462" s="10" t="s">
        <v>185</v>
      </c>
      <c r="J462" s="13">
        <f>ROUND((Kurallar!$B$11+1*Kurallar!$B$13+0*Kurallar!$B$14+0*Kurallar!$B$15+1*Kurallar!$B$16+0*Kurallar!$B$17+0*Kurallar!$B$18+13*Kurallar!$B$19+5*Kurallar!$B$20+1*Kurallar!$B$21+46*Kurallar!$B$22+4*Kurallar!$B$23+0*Kurallar!$B$24+3*Kurallar!$B$25)*Kurallar!$B$7,0)*0.4</f>
        <v>309.60000000000002</v>
      </c>
      <c r="K462" s="10" t="s">
        <v>181</v>
      </c>
      <c r="L462" s="12"/>
      <c r="M462" s="12">
        <v>30960.000000000004</v>
      </c>
    </row>
    <row r="463" spans="1:13" ht="15" customHeight="1" x14ac:dyDescent="0.25">
      <c r="A463" s="15"/>
      <c r="B463" s="15" t="s">
        <v>300</v>
      </c>
      <c r="C463" s="15"/>
      <c r="D463" s="15"/>
      <c r="E463" s="16"/>
      <c r="F463" s="17"/>
      <c r="G463" s="17"/>
      <c r="H463" s="17">
        <f>SUBTOTAL(9,H444:H462)</f>
        <v>0</v>
      </c>
      <c r="I463" s="15"/>
      <c r="J463" s="18"/>
      <c r="K463" s="15"/>
      <c r="L463" s="17">
        <f>SUBTOTAL(9,H444:H460)</f>
        <v>0</v>
      </c>
      <c r="M463" s="17">
        <v>347582.20600000001</v>
      </c>
    </row>
    <row r="464" spans="1:13" ht="23.25" customHeight="1" x14ac:dyDescent="0.25">
      <c r="A464" s="19">
        <v>1</v>
      </c>
      <c r="B464" s="20" t="str">
        <f>E464</f>
        <v>L14US-ЩР-1 — Пункт спасателей, здание оператора верхней станции L14 US</v>
      </c>
      <c r="C464" s="19" t="s">
        <v>136</v>
      </c>
      <c r="D464" s="19" t="s">
        <v>301</v>
      </c>
      <c r="E464" s="21" t="s">
        <v>302</v>
      </c>
      <c r="F464" s="22"/>
      <c r="G464" s="22"/>
      <c r="H464" s="22"/>
      <c r="I464" s="19" t="s">
        <v>139</v>
      </c>
      <c r="J464" s="23">
        <v>1</v>
      </c>
      <c r="K464" s="19"/>
      <c r="L464" s="22"/>
      <c r="M464" s="22"/>
    </row>
    <row r="465" spans="1:13" ht="15" hidden="1" customHeight="1" x14ac:dyDescent="0.25">
      <c r="A465" s="10">
        <v>2</v>
      </c>
      <c r="B465" s="10" t="str">
        <f t="shared" ref="B465:B482" si="46">B464</f>
        <v>L14US-ЩР-1 — Пункт спасателей, здание оператора верхней станции L14 US</v>
      </c>
      <c r="C465" s="10" t="s">
        <v>140</v>
      </c>
      <c r="D465" s="10" t="s">
        <v>388</v>
      </c>
      <c r="E465" s="24" t="s">
        <v>389</v>
      </c>
      <c r="F465" s="12">
        <v>72795</v>
      </c>
      <c r="G465" s="12">
        <f>0.5*F465</f>
        <v>36397.5</v>
      </c>
      <c r="H465" s="12">
        <f>G465*J465</f>
        <v>36397.5</v>
      </c>
      <c r="I465" s="10" t="s">
        <v>142</v>
      </c>
      <c r="J465" s="13">
        <v>1</v>
      </c>
      <c r="K465" s="14" t="s">
        <v>390</v>
      </c>
      <c r="L465" s="12"/>
      <c r="M465" s="12">
        <v>36397.5</v>
      </c>
    </row>
    <row r="466" spans="1:13" ht="15" hidden="1" customHeight="1" x14ac:dyDescent="0.25">
      <c r="A466" s="10">
        <v>3</v>
      </c>
      <c r="B466" s="10" t="str">
        <f t="shared" si="46"/>
        <v>L14US-ЩР-1 — Пункт спасателей, здание оператора верхней станции L14 US</v>
      </c>
      <c r="C466" s="14" t="s">
        <v>371</v>
      </c>
      <c r="D466" s="10" t="s">
        <v>196</v>
      </c>
      <c r="E466" s="11" t="s">
        <v>197</v>
      </c>
      <c r="F466" s="12">
        <v>207656</v>
      </c>
      <c r="G466" s="12">
        <f>F466*Kurallar!$B$2</f>
        <v>124593.59999999999</v>
      </c>
      <c r="H466" s="12">
        <f>G466*J466</f>
        <v>124593.59999999999</v>
      </c>
      <c r="I466" s="10" t="s">
        <v>142</v>
      </c>
      <c r="J466" s="13">
        <v>1</v>
      </c>
      <c r="K466" s="10" t="s">
        <v>146</v>
      </c>
      <c r="L466" s="12"/>
      <c r="M466" s="12">
        <v>124593.59999999999</v>
      </c>
    </row>
    <row r="467" spans="1:13" ht="15" hidden="1" customHeight="1" x14ac:dyDescent="0.25">
      <c r="A467" s="10">
        <v>4</v>
      </c>
      <c r="B467" s="10" t="str">
        <f t="shared" si="46"/>
        <v>L14US-ЩР-1 — Пункт спасателей, здание оператора верхней станции L14 US</v>
      </c>
      <c r="C467" s="10" t="s">
        <v>147</v>
      </c>
      <c r="D467" s="10" t="s">
        <v>391</v>
      </c>
      <c r="E467" s="24" t="s">
        <v>392</v>
      </c>
      <c r="F467" s="12">
        <v>88000</v>
      </c>
      <c r="G467" s="12">
        <f>F467*Kurallar!$B$4</f>
        <v>88000</v>
      </c>
      <c r="H467" s="12">
        <f>G467*J467</f>
        <v>88000</v>
      </c>
      <c r="I467" s="10" t="s">
        <v>142</v>
      </c>
      <c r="J467" s="13">
        <v>1</v>
      </c>
      <c r="K467" s="10" t="s">
        <v>148</v>
      </c>
      <c r="L467" s="12"/>
      <c r="M467" s="12">
        <v>88000</v>
      </c>
    </row>
    <row r="468" spans="1:13" ht="15" hidden="1" customHeight="1" x14ac:dyDescent="0.25">
      <c r="A468" s="10">
        <v>5</v>
      </c>
      <c r="B468" s="10" t="str">
        <f t="shared" si="46"/>
        <v>L14US-ЩР-1 — Пункт спасателей, здание оператора верхней станции L14 US</v>
      </c>
      <c r="C468" s="10" t="s">
        <v>149</v>
      </c>
      <c r="D468" s="10" t="s">
        <v>150</v>
      </c>
      <c r="E468" s="11" t="s">
        <v>151</v>
      </c>
      <c r="F468" s="12">
        <v>1419</v>
      </c>
      <c r="G468" s="12">
        <f>F468*Kurallar!$B$2</f>
        <v>851.4</v>
      </c>
      <c r="H468" s="12">
        <f>G468*J468</f>
        <v>1702.8</v>
      </c>
      <c r="I468" s="10" t="s">
        <v>142</v>
      </c>
      <c r="J468" s="13">
        <v>2</v>
      </c>
      <c r="K468" s="10" t="s">
        <v>146</v>
      </c>
      <c r="L468" s="12"/>
      <c r="M468" s="12">
        <v>1702.8</v>
      </c>
    </row>
    <row r="469" spans="1:13" ht="15" hidden="1" customHeight="1" x14ac:dyDescent="0.25">
      <c r="A469" s="10">
        <v>6</v>
      </c>
      <c r="B469" s="10" t="str">
        <f t="shared" si="46"/>
        <v>L14US-ЩР-1 — Пункт спасателей, здание оператора верхней станции L14 US</v>
      </c>
      <c r="C469" s="10" t="s">
        <v>149</v>
      </c>
      <c r="D469" s="10" t="s">
        <v>152</v>
      </c>
      <c r="E469" s="11" t="s">
        <v>153</v>
      </c>
      <c r="F469" s="12">
        <v>1389</v>
      </c>
      <c r="G469" s="12">
        <f>F469*Kurallar!$B$2</f>
        <v>833.4</v>
      </c>
      <c r="H469" s="12">
        <f>G469*J469</f>
        <v>2500.1999999999998</v>
      </c>
      <c r="I469" s="10" t="s">
        <v>142</v>
      </c>
      <c r="J469" s="13">
        <v>3</v>
      </c>
      <c r="K469" s="10" t="s">
        <v>146</v>
      </c>
      <c r="L469" s="12"/>
      <c r="M469" s="12">
        <v>2500.1999999999998</v>
      </c>
    </row>
    <row r="470" spans="1:13" ht="15" hidden="1" customHeight="1" x14ac:dyDescent="0.25">
      <c r="A470" s="10">
        <v>7</v>
      </c>
      <c r="B470" s="10" t="str">
        <f t="shared" si="46"/>
        <v>L14US-ЩР-1 — Пункт спасателей, здание оператора верхней станции L14 US</v>
      </c>
      <c r="C470" s="10" t="s">
        <v>149</v>
      </c>
      <c r="D470" s="10" t="s">
        <v>292</v>
      </c>
      <c r="E470" s="11" t="s">
        <v>293</v>
      </c>
      <c r="F470" s="12">
        <v>5719</v>
      </c>
      <c r="G470" s="12">
        <f>F470*Kurallar!$B$2</f>
        <v>3431.4</v>
      </c>
      <c r="H470" s="12">
        <f>G470*J470</f>
        <v>3431.4</v>
      </c>
      <c r="I470" s="10" t="s">
        <v>142</v>
      </c>
      <c r="J470" s="13">
        <v>1</v>
      </c>
      <c r="K470" s="10" t="s">
        <v>146</v>
      </c>
      <c r="L470" s="12"/>
      <c r="M470" s="12">
        <v>3431.4</v>
      </c>
    </row>
    <row r="471" spans="1:13" ht="15" hidden="1" customHeight="1" x14ac:dyDescent="0.25">
      <c r="A471" s="10">
        <v>8</v>
      </c>
      <c r="B471" s="10" t="str">
        <f t="shared" si="46"/>
        <v>L14US-ЩР-1 — Пункт спасателей, здание оператора верхней станции L14 US</v>
      </c>
      <c r="C471" s="10" t="s">
        <v>156</v>
      </c>
      <c r="D471" s="10" t="s">
        <v>157</v>
      </c>
      <c r="E471" s="11" t="s">
        <v>158</v>
      </c>
      <c r="F471" s="12">
        <v>5104</v>
      </c>
      <c r="G471" s="12">
        <f>F471*Kurallar!$B$2</f>
        <v>3062.4</v>
      </c>
      <c r="H471" s="12">
        <f>G471*J471</f>
        <v>21436.799999999999</v>
      </c>
      <c r="I471" s="10" t="s">
        <v>142</v>
      </c>
      <c r="J471" s="13">
        <v>7</v>
      </c>
      <c r="K471" s="10" t="s">
        <v>146</v>
      </c>
      <c r="L471" s="12"/>
      <c r="M471" s="12">
        <v>21436.799999999999</v>
      </c>
    </row>
    <row r="472" spans="1:13" ht="15" hidden="1" customHeight="1" x14ac:dyDescent="0.25">
      <c r="A472" s="10">
        <v>9</v>
      </c>
      <c r="B472" s="10" t="str">
        <f t="shared" si="46"/>
        <v>L14US-ЩР-1 — Пункт спасателей, здание оператора верхней станции L14 US</v>
      </c>
      <c r="C472" s="10" t="s">
        <v>161</v>
      </c>
      <c r="D472" s="10" t="s">
        <v>162</v>
      </c>
      <c r="E472" s="11" t="s">
        <v>163</v>
      </c>
      <c r="F472" s="12">
        <v>530</v>
      </c>
      <c r="G472" s="12">
        <f>F472*Kurallar!$B$3</f>
        <v>530</v>
      </c>
      <c r="H472" s="12">
        <f>G472*J472</f>
        <v>530</v>
      </c>
      <c r="I472" s="10" t="s">
        <v>142</v>
      </c>
      <c r="J472" s="13">
        <v>1</v>
      </c>
      <c r="K472" s="14" t="s">
        <v>372</v>
      </c>
      <c r="L472" s="12"/>
      <c r="M472" s="12">
        <v>530</v>
      </c>
    </row>
    <row r="473" spans="1:13" ht="15" hidden="1" customHeight="1" x14ac:dyDescent="0.25">
      <c r="A473" s="10">
        <v>10</v>
      </c>
      <c r="B473" s="10" t="str">
        <f t="shared" si="46"/>
        <v>L14US-ЩР-1 — Пункт спасателей, здание оператора верхней станции L14 US</v>
      </c>
      <c r="C473" s="10" t="s">
        <v>161</v>
      </c>
      <c r="D473" s="10" t="s">
        <v>165</v>
      </c>
      <c r="E473" s="11" t="s">
        <v>166</v>
      </c>
      <c r="F473" s="12">
        <v>634</v>
      </c>
      <c r="G473" s="12">
        <f>F473*Kurallar!$B$3</f>
        <v>634</v>
      </c>
      <c r="H473" s="12">
        <f>G473*J473</f>
        <v>1268</v>
      </c>
      <c r="I473" s="10" t="s">
        <v>142</v>
      </c>
      <c r="J473" s="13">
        <v>2</v>
      </c>
      <c r="K473" s="14" t="s">
        <v>372</v>
      </c>
      <c r="L473" s="12"/>
      <c r="M473" s="12">
        <v>1268</v>
      </c>
    </row>
    <row r="474" spans="1:13" ht="15" hidden="1" customHeight="1" x14ac:dyDescent="0.25">
      <c r="A474" s="10">
        <v>11</v>
      </c>
      <c r="B474" s="10" t="str">
        <f t="shared" si="46"/>
        <v>L14US-ЩР-1 — Пункт спасателей, здание оператора верхней станции L14 US</v>
      </c>
      <c r="C474" s="10" t="s">
        <v>31</v>
      </c>
      <c r="D474" s="10" t="s">
        <v>373</v>
      </c>
      <c r="E474" s="11" t="s">
        <v>374</v>
      </c>
      <c r="F474" s="12">
        <v>140</v>
      </c>
      <c r="G474" s="12">
        <f t="shared" ref="G474:G475" si="47">0.6*F474</f>
        <v>84</v>
      </c>
      <c r="H474" s="12">
        <f>G474*J474</f>
        <v>1596</v>
      </c>
      <c r="I474" s="10" t="s">
        <v>142</v>
      </c>
      <c r="J474" s="13">
        <v>19</v>
      </c>
      <c r="K474" s="14" t="s">
        <v>375</v>
      </c>
      <c r="L474" s="12"/>
      <c r="M474" s="12">
        <v>1596</v>
      </c>
    </row>
    <row r="475" spans="1:13" ht="15" hidden="1" customHeight="1" x14ac:dyDescent="0.25">
      <c r="A475" s="10">
        <v>12</v>
      </c>
      <c r="B475" s="10" t="str">
        <f t="shared" si="46"/>
        <v>L14US-ЩР-1 — Пункт спасателей, здание оператора верхней станции L14 US</v>
      </c>
      <c r="C475" s="10" t="s">
        <v>31</v>
      </c>
      <c r="D475" s="10" t="s">
        <v>373</v>
      </c>
      <c r="E475" s="11" t="s">
        <v>374</v>
      </c>
      <c r="F475" s="12">
        <v>140</v>
      </c>
      <c r="G475" s="12">
        <f t="shared" si="47"/>
        <v>84</v>
      </c>
      <c r="H475" s="12">
        <f>G475*J475</f>
        <v>1260</v>
      </c>
      <c r="I475" s="10" t="s">
        <v>142</v>
      </c>
      <c r="J475" s="13">
        <v>15</v>
      </c>
      <c r="K475" s="14" t="s">
        <v>375</v>
      </c>
      <c r="L475" s="12"/>
      <c r="M475" s="12">
        <v>1260</v>
      </c>
    </row>
    <row r="476" spans="1:13" ht="15" hidden="1" customHeight="1" x14ac:dyDescent="0.25">
      <c r="A476" s="10">
        <v>13</v>
      </c>
      <c r="B476" s="10" t="str">
        <f t="shared" si="46"/>
        <v>L14US-ЩР-1 — Пункт спасателей, здание оператора верхней станции L14 US</v>
      </c>
      <c r="C476" s="10" t="s">
        <v>167</v>
      </c>
      <c r="D476" s="10" t="s">
        <v>168</v>
      </c>
      <c r="E476" s="11" t="s">
        <v>169</v>
      </c>
      <c r="F476" s="12">
        <v>869</v>
      </c>
      <c r="G476" s="12">
        <f>F476*Kurallar!$B$2</f>
        <v>521.4</v>
      </c>
      <c r="H476" s="12">
        <f>G476*J476</f>
        <v>521.4</v>
      </c>
      <c r="I476" s="10" t="s">
        <v>170</v>
      </c>
      <c r="J476" s="13">
        <v>1</v>
      </c>
      <c r="K476" s="10" t="s">
        <v>146</v>
      </c>
      <c r="L476" s="12"/>
      <c r="M476" s="12">
        <v>521.4</v>
      </c>
    </row>
    <row r="477" spans="1:13" ht="15" hidden="1" customHeight="1" x14ac:dyDescent="0.25">
      <c r="A477" s="10">
        <v>14</v>
      </c>
      <c r="B477" s="10" t="str">
        <f t="shared" si="46"/>
        <v>L14US-ЩР-1 — Пункт спасателей, здание оператора верхней станции L14 US</v>
      </c>
      <c r="C477" s="10" t="s">
        <v>167</v>
      </c>
      <c r="D477" s="10" t="s">
        <v>171</v>
      </c>
      <c r="E477" s="11" t="s">
        <v>172</v>
      </c>
      <c r="F477" s="12">
        <v>1808</v>
      </c>
      <c r="G477" s="12">
        <f>F477*Kurallar!$B$3</f>
        <v>1808</v>
      </c>
      <c r="H477" s="12">
        <f>G477*J477</f>
        <v>1808</v>
      </c>
      <c r="I477" s="10" t="s">
        <v>142</v>
      </c>
      <c r="J477" s="13">
        <v>1</v>
      </c>
      <c r="K477" s="10" t="s">
        <v>164</v>
      </c>
      <c r="L477" s="12"/>
      <c r="M477" s="12">
        <v>1808</v>
      </c>
    </row>
    <row r="478" spans="1:13" ht="15" hidden="1" customHeight="1" x14ac:dyDescent="0.25">
      <c r="A478" s="10">
        <v>15</v>
      </c>
      <c r="B478" s="10" t="str">
        <f t="shared" si="46"/>
        <v>L14US-ЩР-1 — Пункт спасателей, здание оператора верхней станции L14 US</v>
      </c>
      <c r="C478" s="10" t="s">
        <v>167</v>
      </c>
      <c r="D478" s="10" t="s">
        <v>173</v>
      </c>
      <c r="E478" s="11" t="s">
        <v>174</v>
      </c>
      <c r="F478" s="12">
        <v>127</v>
      </c>
      <c r="G478" s="12">
        <f>F478*Kurallar!$B$3</f>
        <v>127</v>
      </c>
      <c r="H478" s="12">
        <f>G478*J478</f>
        <v>2540</v>
      </c>
      <c r="I478" s="10" t="s">
        <v>170</v>
      </c>
      <c r="J478" s="13">
        <v>20</v>
      </c>
      <c r="K478" s="10" t="s">
        <v>143</v>
      </c>
      <c r="L478" s="12"/>
      <c r="M478" s="12">
        <v>2540</v>
      </c>
    </row>
    <row r="479" spans="1:13" ht="15" hidden="1" customHeight="1" x14ac:dyDescent="0.25">
      <c r="A479" s="10">
        <v>16</v>
      </c>
      <c r="B479" s="10" t="str">
        <f t="shared" si="46"/>
        <v>L14US-ЩР-1 — Пункт спасателей, здание оператора верхней станции L14 US</v>
      </c>
      <c r="C479" s="10" t="s">
        <v>167</v>
      </c>
      <c r="D479" s="10" t="s">
        <v>227</v>
      </c>
      <c r="E479" s="11" t="s">
        <v>228</v>
      </c>
      <c r="F479" s="12">
        <v>1465</v>
      </c>
      <c r="G479" s="12">
        <f>F479*Kurallar!$B$3</f>
        <v>1465</v>
      </c>
      <c r="H479" s="12">
        <f>G479*J479</f>
        <v>14650</v>
      </c>
      <c r="I479" s="10" t="s">
        <v>170</v>
      </c>
      <c r="J479" s="13">
        <v>10</v>
      </c>
      <c r="K479" s="10" t="s">
        <v>143</v>
      </c>
      <c r="L479" s="12"/>
      <c r="M479" s="12">
        <v>14650</v>
      </c>
    </row>
    <row r="480" spans="1:13" ht="15" hidden="1" customHeight="1" x14ac:dyDescent="0.25">
      <c r="A480" s="10">
        <v>17</v>
      </c>
      <c r="B480" s="10" t="str">
        <f t="shared" si="46"/>
        <v>L14US-ЩР-1 — Пункт спасателей, здание оператора верхней станции L14 US</v>
      </c>
      <c r="C480" s="10" t="s">
        <v>167</v>
      </c>
      <c r="D480" s="10" t="s">
        <v>177</v>
      </c>
      <c r="E480" s="11" t="s">
        <v>178</v>
      </c>
      <c r="F480" s="12">
        <v>79</v>
      </c>
      <c r="G480" s="12">
        <f>F480*Kurallar!$B$3</f>
        <v>79</v>
      </c>
      <c r="H480" s="12">
        <f>G480*J480</f>
        <v>474</v>
      </c>
      <c r="I480" s="10" t="s">
        <v>170</v>
      </c>
      <c r="J480" s="13">
        <v>6</v>
      </c>
      <c r="K480" s="10" t="s">
        <v>143</v>
      </c>
      <c r="L480" s="12"/>
      <c r="M480" s="12">
        <v>474</v>
      </c>
    </row>
    <row r="481" spans="1:13" ht="23.25" hidden="1" customHeight="1" x14ac:dyDescent="0.25">
      <c r="A481" s="10">
        <v>18</v>
      </c>
      <c r="B481" s="10" t="str">
        <f t="shared" si="46"/>
        <v>L14US-ЩР-1 — Пункт спасателей, здание оператора верхней станции L14 US</v>
      </c>
      <c r="C481" s="10" t="s">
        <v>167</v>
      </c>
      <c r="D481" s="10" t="s">
        <v>179</v>
      </c>
      <c r="E481" s="11" t="s">
        <v>180</v>
      </c>
      <c r="F481" s="12"/>
      <c r="G481" s="12">
        <f>SUM(H465:H480)*Kurallar!$B$5</f>
        <v>9081.2909999999993</v>
      </c>
      <c r="H481" s="12">
        <f>G481*J481</f>
        <v>9081.2909999999993</v>
      </c>
      <c r="I481" s="10" t="s">
        <v>142</v>
      </c>
      <c r="J481" s="13">
        <v>1</v>
      </c>
      <c r="K481" s="10" t="s">
        <v>181</v>
      </c>
      <c r="L481" s="12"/>
      <c r="M481" s="12">
        <v>9081.2909999999993</v>
      </c>
    </row>
    <row r="482" spans="1:13" ht="15" hidden="1" customHeight="1" x14ac:dyDescent="0.25">
      <c r="A482" s="10">
        <v>19</v>
      </c>
      <c r="B482" s="10" t="str">
        <f t="shared" si="46"/>
        <v>L14US-ЩР-1 — Пункт спасателей, здание оператора верхней станции L14 US</v>
      </c>
      <c r="C482" s="10" t="s">
        <v>182</v>
      </c>
      <c r="D482" s="10" t="s">
        <v>183</v>
      </c>
      <c r="E482" s="11" t="s">
        <v>184</v>
      </c>
      <c r="F482" s="12">
        <f>J482/60</f>
        <v>5.4916666666666663</v>
      </c>
      <c r="G482" s="12">
        <f>Kurallar!$B$6</f>
        <v>100</v>
      </c>
      <c r="H482" s="12">
        <f>G482*J482</f>
        <v>32950</v>
      </c>
      <c r="I482" s="10" t="s">
        <v>185</v>
      </c>
      <c r="J482" s="13">
        <f>ROUND((Kurallar!$B$11+0*Kurallar!$B$13+1*Kurallar!$B$14+0*Kurallar!$B$15+1*Kurallar!$B$16+0*Kurallar!$B$17+0*Kurallar!$B$18+7*Kurallar!$B$19+5*Kurallar!$B$20+1*Kurallar!$B$21+34*Kurallar!$B$22+3*Kurallar!$B$23+0*Kurallar!$B$24+3*Kurallar!$B$25)*Kurallar!$B$7,0)*0.5</f>
        <v>329.5</v>
      </c>
      <c r="K482" s="10" t="s">
        <v>181</v>
      </c>
      <c r="L482" s="12"/>
      <c r="M482" s="12">
        <v>32950</v>
      </c>
    </row>
    <row r="483" spans="1:13" ht="15" customHeight="1" x14ac:dyDescent="0.25">
      <c r="A483" s="15"/>
      <c r="B483" s="15" t="s">
        <v>303</v>
      </c>
      <c r="C483" s="15"/>
      <c r="D483" s="15"/>
      <c r="E483" s="16"/>
      <c r="F483" s="17"/>
      <c r="G483" s="17"/>
      <c r="H483" s="17">
        <f>SUBTOTAL(9,H465:H482)</f>
        <v>0</v>
      </c>
      <c r="I483" s="15"/>
      <c r="J483" s="18"/>
      <c r="K483" s="15"/>
      <c r="L483" s="17">
        <f>SUBTOTAL(9,H465:H480)</f>
        <v>0</v>
      </c>
      <c r="M483" s="17">
        <v>344740.99100000004</v>
      </c>
    </row>
    <row r="484" spans="1:13" ht="23.25" customHeight="1" x14ac:dyDescent="0.25">
      <c r="A484" s="19">
        <v>1</v>
      </c>
      <c r="B484" s="20" t="str">
        <f>E484</f>
        <v>L14US-ЩСВ — Пункт спасателей, здание оператора верхней станции L14 US — ЩСВ</v>
      </c>
      <c r="C484" s="19" t="s">
        <v>136</v>
      </c>
      <c r="D484" s="19" t="s">
        <v>301</v>
      </c>
      <c r="E484" s="21" t="s">
        <v>304</v>
      </c>
      <c r="F484" s="22"/>
      <c r="G484" s="22"/>
      <c r="H484" s="22"/>
      <c r="I484" s="19" t="s">
        <v>139</v>
      </c>
      <c r="J484" s="23">
        <v>1</v>
      </c>
      <c r="K484" s="19"/>
      <c r="L484" s="22"/>
      <c r="M484" s="22"/>
    </row>
    <row r="485" spans="1:13" ht="15" hidden="1" customHeight="1" x14ac:dyDescent="0.25">
      <c r="A485" s="10">
        <v>2</v>
      </c>
      <c r="B485" s="10" t="str">
        <f t="shared" ref="B485:B500" si="48">B484</f>
        <v>L14US-ЩСВ — Пункт спасателей, здание оператора верхней станции L14 US — ЩСВ</v>
      </c>
      <c r="C485" s="10" t="s">
        <v>140</v>
      </c>
      <c r="D485" s="10" t="s">
        <v>382</v>
      </c>
      <c r="E485" s="24" t="s">
        <v>383</v>
      </c>
      <c r="F485" s="12">
        <v>26000</v>
      </c>
      <c r="G485" s="12">
        <f>0.5*F485</f>
        <v>13000</v>
      </c>
      <c r="H485" s="12">
        <f>G485*J485</f>
        <v>13000</v>
      </c>
      <c r="I485" s="10" t="s">
        <v>142</v>
      </c>
      <c r="J485" s="13">
        <v>1</v>
      </c>
      <c r="K485" s="14" t="s">
        <v>390</v>
      </c>
      <c r="L485" s="12"/>
      <c r="M485" s="12">
        <v>13000</v>
      </c>
    </row>
    <row r="486" spans="1:13" ht="15" hidden="1" customHeight="1" x14ac:dyDescent="0.25">
      <c r="A486" s="10">
        <v>3</v>
      </c>
      <c r="B486" s="10" t="str">
        <f t="shared" si="48"/>
        <v>L14US-ЩСВ — Пункт спасателей, здание оператора верхней станции L14 US — ЩСВ</v>
      </c>
      <c r="C486" s="10" t="s">
        <v>149</v>
      </c>
      <c r="D486" s="10" t="s">
        <v>152</v>
      </c>
      <c r="E486" s="11" t="s">
        <v>153</v>
      </c>
      <c r="F486" s="12">
        <v>1389</v>
      </c>
      <c r="G486" s="12">
        <f>F486*Kurallar!$B$2</f>
        <v>833.4</v>
      </c>
      <c r="H486" s="12">
        <f>G486*J486</f>
        <v>833.4</v>
      </c>
      <c r="I486" s="10" t="s">
        <v>142</v>
      </c>
      <c r="J486" s="13">
        <v>1</v>
      </c>
      <c r="K486" s="10" t="s">
        <v>146</v>
      </c>
      <c r="L486" s="12"/>
      <c r="M486" s="12">
        <v>833.4</v>
      </c>
    </row>
    <row r="487" spans="1:13" ht="15" hidden="1" customHeight="1" x14ac:dyDescent="0.25">
      <c r="A487" s="10">
        <v>4</v>
      </c>
      <c r="B487" s="10" t="str">
        <f t="shared" si="48"/>
        <v>L14US-ЩСВ — Пункт спасателей, здание оператора верхней станции L14 US — ЩСВ</v>
      </c>
      <c r="C487" s="10" t="s">
        <v>149</v>
      </c>
      <c r="D487" s="10" t="s">
        <v>190</v>
      </c>
      <c r="E487" s="11" t="s">
        <v>191</v>
      </c>
      <c r="F487" s="12">
        <v>6060</v>
      </c>
      <c r="G487" s="12">
        <f>F487*Kurallar!$B$2</f>
        <v>3636</v>
      </c>
      <c r="H487" s="12">
        <f>G487*J487</f>
        <v>3636</v>
      </c>
      <c r="I487" s="10" t="s">
        <v>142</v>
      </c>
      <c r="J487" s="13">
        <v>1</v>
      </c>
      <c r="K487" s="10" t="s">
        <v>146</v>
      </c>
      <c r="L487" s="12"/>
      <c r="M487" s="12">
        <v>3636</v>
      </c>
    </row>
    <row r="488" spans="1:13" ht="15" hidden="1" customHeight="1" x14ac:dyDescent="0.25">
      <c r="A488" s="10">
        <v>5</v>
      </c>
      <c r="B488" s="10" t="str">
        <f t="shared" si="48"/>
        <v>L14US-ЩСВ — Пункт спасателей, здание оператора верхней станции L14 US — ЩСВ</v>
      </c>
      <c r="C488" s="10" t="s">
        <v>149</v>
      </c>
      <c r="D488" s="10" t="s">
        <v>233</v>
      </c>
      <c r="E488" s="11" t="s">
        <v>234</v>
      </c>
      <c r="F488" s="12">
        <v>5647</v>
      </c>
      <c r="G488" s="12">
        <f>F488*Kurallar!$B$2</f>
        <v>3388.2</v>
      </c>
      <c r="H488" s="12">
        <f>G488*J488</f>
        <v>3388.2</v>
      </c>
      <c r="I488" s="10" t="s">
        <v>142</v>
      </c>
      <c r="J488" s="13">
        <v>1</v>
      </c>
      <c r="K488" s="10" t="s">
        <v>146</v>
      </c>
      <c r="L488" s="12"/>
      <c r="M488" s="12">
        <v>3388.2</v>
      </c>
    </row>
    <row r="489" spans="1:13" ht="15" hidden="1" customHeight="1" x14ac:dyDescent="0.25">
      <c r="A489" s="10">
        <v>6</v>
      </c>
      <c r="B489" s="10" t="str">
        <f t="shared" si="48"/>
        <v>L14US-ЩСВ — Пункт спасателей, здание оператора верхней станции L14 US — ЩСВ</v>
      </c>
      <c r="C489" s="10" t="s">
        <v>156</v>
      </c>
      <c r="D489" s="10" t="s">
        <v>159</v>
      </c>
      <c r="E489" s="11" t="s">
        <v>160</v>
      </c>
      <c r="F489" s="12">
        <v>5632</v>
      </c>
      <c r="G489" s="12">
        <f>F489*Kurallar!$B$2</f>
        <v>3379.2</v>
      </c>
      <c r="H489" s="12">
        <f>G489*J489</f>
        <v>43929.599999999999</v>
      </c>
      <c r="I489" s="10" t="s">
        <v>142</v>
      </c>
      <c r="J489" s="13">
        <v>13</v>
      </c>
      <c r="K489" s="10" t="s">
        <v>146</v>
      </c>
      <c r="L489" s="12"/>
      <c r="M489" s="12">
        <v>43929.599999999999</v>
      </c>
    </row>
    <row r="490" spans="1:13" ht="15" hidden="1" customHeight="1" x14ac:dyDescent="0.25">
      <c r="A490" s="10">
        <v>7</v>
      </c>
      <c r="B490" s="10" t="str">
        <f t="shared" si="48"/>
        <v>L14US-ЩСВ — Пункт спасателей, здание оператора верхней станции L14 US — ЩСВ</v>
      </c>
      <c r="C490" s="10" t="s">
        <v>161</v>
      </c>
      <c r="D490" s="10" t="s">
        <v>162</v>
      </c>
      <c r="E490" s="11" t="s">
        <v>163</v>
      </c>
      <c r="F490" s="12">
        <v>530</v>
      </c>
      <c r="G490" s="12">
        <f>F490*Kurallar!$B$3</f>
        <v>530</v>
      </c>
      <c r="H490" s="12">
        <f>G490*J490</f>
        <v>530</v>
      </c>
      <c r="I490" s="10" t="s">
        <v>142</v>
      </c>
      <c r="J490" s="13">
        <v>1</v>
      </c>
      <c r="K490" s="14" t="s">
        <v>372</v>
      </c>
      <c r="L490" s="12"/>
      <c r="M490" s="12">
        <v>530</v>
      </c>
    </row>
    <row r="491" spans="1:13" ht="15" hidden="1" customHeight="1" x14ac:dyDescent="0.25">
      <c r="A491" s="10">
        <v>8</v>
      </c>
      <c r="B491" s="10" t="str">
        <f t="shared" si="48"/>
        <v>L14US-ЩСВ — Пункт спасателей, здание оператора верхней станции L14 US — ЩСВ</v>
      </c>
      <c r="C491" s="10" t="s">
        <v>161</v>
      </c>
      <c r="D491" s="10" t="s">
        <v>165</v>
      </c>
      <c r="E491" s="11" t="s">
        <v>166</v>
      </c>
      <c r="F491" s="12">
        <v>634</v>
      </c>
      <c r="G491" s="12">
        <f>F491*Kurallar!$B$3</f>
        <v>634</v>
      </c>
      <c r="H491" s="12">
        <f>G491*J491</f>
        <v>1902</v>
      </c>
      <c r="I491" s="10" t="s">
        <v>142</v>
      </c>
      <c r="J491" s="13">
        <v>3</v>
      </c>
      <c r="K491" s="14" t="s">
        <v>372</v>
      </c>
      <c r="L491" s="12"/>
      <c r="M491" s="12">
        <v>1902</v>
      </c>
    </row>
    <row r="492" spans="1:13" ht="15" hidden="1" customHeight="1" x14ac:dyDescent="0.25">
      <c r="A492" s="10">
        <v>9</v>
      </c>
      <c r="B492" s="10" t="str">
        <f t="shared" si="48"/>
        <v>L14US-ЩСВ — Пункт спасателей, здание оператора верхней станции L14 US — ЩСВ</v>
      </c>
      <c r="C492" s="10" t="s">
        <v>31</v>
      </c>
      <c r="D492" s="10" t="s">
        <v>373</v>
      </c>
      <c r="E492" s="11" t="s">
        <v>374</v>
      </c>
      <c r="F492" s="12">
        <v>140</v>
      </c>
      <c r="G492" s="12">
        <f t="shared" ref="G492:G493" si="49">0.6*F492</f>
        <v>84</v>
      </c>
      <c r="H492" s="12">
        <f>G492*J492</f>
        <v>2016</v>
      </c>
      <c r="I492" s="10" t="s">
        <v>142</v>
      </c>
      <c r="J492" s="13">
        <v>24</v>
      </c>
      <c r="K492" s="14" t="s">
        <v>375</v>
      </c>
      <c r="L492" s="12"/>
      <c r="M492" s="12">
        <v>2016</v>
      </c>
    </row>
    <row r="493" spans="1:13" ht="15" hidden="1" customHeight="1" x14ac:dyDescent="0.25">
      <c r="A493" s="10">
        <v>10</v>
      </c>
      <c r="B493" s="10" t="str">
        <f t="shared" si="48"/>
        <v>L14US-ЩСВ — Пункт спасателей, здание оператора верхней станции L14 US — ЩСВ</v>
      </c>
      <c r="C493" s="10" t="s">
        <v>31</v>
      </c>
      <c r="D493" s="10" t="s">
        <v>373</v>
      </c>
      <c r="E493" s="11" t="s">
        <v>374</v>
      </c>
      <c r="F493" s="12">
        <v>140</v>
      </c>
      <c r="G493" s="12">
        <f t="shared" si="49"/>
        <v>84</v>
      </c>
      <c r="H493" s="12">
        <f>G493*J493</f>
        <v>1512</v>
      </c>
      <c r="I493" s="10" t="s">
        <v>142</v>
      </c>
      <c r="J493" s="13">
        <v>18</v>
      </c>
      <c r="K493" s="14" t="s">
        <v>375</v>
      </c>
      <c r="L493" s="12"/>
      <c r="M493" s="12">
        <v>1512</v>
      </c>
    </row>
    <row r="494" spans="1:13" ht="15" hidden="1" customHeight="1" x14ac:dyDescent="0.25">
      <c r="A494" s="10">
        <v>11</v>
      </c>
      <c r="B494" s="10" t="str">
        <f t="shared" si="48"/>
        <v>L14US-ЩСВ — Пункт спасателей, здание оператора верхней станции L14 US — ЩСВ</v>
      </c>
      <c r="C494" s="10" t="s">
        <v>167</v>
      </c>
      <c r="D494" s="10" t="s">
        <v>168</v>
      </c>
      <c r="E494" s="11" t="s">
        <v>169</v>
      </c>
      <c r="F494" s="12">
        <v>869</v>
      </c>
      <c r="G494" s="12">
        <f>F494*Kurallar!$B$2</f>
        <v>521.4</v>
      </c>
      <c r="H494" s="12">
        <f>G494*J494</f>
        <v>521.4</v>
      </c>
      <c r="I494" s="10" t="s">
        <v>170</v>
      </c>
      <c r="J494" s="13">
        <v>1</v>
      </c>
      <c r="K494" s="10" t="s">
        <v>146</v>
      </c>
      <c r="L494" s="12"/>
      <c r="M494" s="12">
        <v>521.4</v>
      </c>
    </row>
    <row r="495" spans="1:13" ht="15" hidden="1" customHeight="1" x14ac:dyDescent="0.25">
      <c r="A495" s="10">
        <v>12</v>
      </c>
      <c r="B495" s="10" t="str">
        <f t="shared" si="48"/>
        <v>L14US-ЩСВ — Пункт спасателей, здание оператора верхней станции L14 US — ЩСВ</v>
      </c>
      <c r="C495" s="10" t="s">
        <v>167</v>
      </c>
      <c r="D495" s="10" t="s">
        <v>171</v>
      </c>
      <c r="E495" s="11" t="s">
        <v>172</v>
      </c>
      <c r="F495" s="12">
        <v>1808</v>
      </c>
      <c r="G495" s="12">
        <f>F495*Kurallar!$B$3</f>
        <v>1808</v>
      </c>
      <c r="H495" s="12">
        <f>G495*J495</f>
        <v>1808</v>
      </c>
      <c r="I495" s="10" t="s">
        <v>142</v>
      </c>
      <c r="J495" s="13">
        <v>1</v>
      </c>
      <c r="K495" s="10" t="s">
        <v>164</v>
      </c>
      <c r="L495" s="12"/>
      <c r="M495" s="12">
        <v>1808</v>
      </c>
    </row>
    <row r="496" spans="1:13" ht="15" hidden="1" customHeight="1" x14ac:dyDescent="0.25">
      <c r="A496" s="10">
        <v>13</v>
      </c>
      <c r="B496" s="10" t="str">
        <f t="shared" si="48"/>
        <v>L14US-ЩСВ — Пункт спасателей, здание оператора верхней станции L14 US — ЩСВ</v>
      </c>
      <c r="C496" s="10" t="s">
        <v>167</v>
      </c>
      <c r="D496" s="10" t="s">
        <v>173</v>
      </c>
      <c r="E496" s="11" t="s">
        <v>174</v>
      </c>
      <c r="F496" s="12">
        <v>127</v>
      </c>
      <c r="G496" s="12">
        <f>F496*Kurallar!$B$3</f>
        <v>127</v>
      </c>
      <c r="H496" s="12">
        <f>G496*J496</f>
        <v>3302</v>
      </c>
      <c r="I496" s="10" t="s">
        <v>170</v>
      </c>
      <c r="J496" s="13">
        <v>26</v>
      </c>
      <c r="K496" s="10" t="s">
        <v>143</v>
      </c>
      <c r="L496" s="12"/>
      <c r="M496" s="12">
        <v>3302</v>
      </c>
    </row>
    <row r="497" spans="1:13" ht="15" hidden="1" customHeight="1" x14ac:dyDescent="0.25">
      <c r="A497" s="10">
        <v>14</v>
      </c>
      <c r="B497" s="10" t="str">
        <f t="shared" si="48"/>
        <v>L14US-ЩСВ — Пункт спасателей, здание оператора верхней станции L14 US — ЩСВ</v>
      </c>
      <c r="C497" s="10" t="s">
        <v>167</v>
      </c>
      <c r="D497" s="10" t="s">
        <v>235</v>
      </c>
      <c r="E497" s="11" t="s">
        <v>236</v>
      </c>
      <c r="F497" s="12">
        <v>565</v>
      </c>
      <c r="G497" s="12">
        <f>F497*Kurallar!$B$3</f>
        <v>565</v>
      </c>
      <c r="H497" s="12">
        <f>G497*J497</f>
        <v>2825</v>
      </c>
      <c r="I497" s="10" t="s">
        <v>170</v>
      </c>
      <c r="J497" s="13">
        <v>5</v>
      </c>
      <c r="K497" s="10" t="s">
        <v>143</v>
      </c>
      <c r="L497" s="12"/>
      <c r="M497" s="12">
        <v>2825</v>
      </c>
    </row>
    <row r="498" spans="1:13" ht="15" hidden="1" customHeight="1" x14ac:dyDescent="0.25">
      <c r="A498" s="10">
        <v>15</v>
      </c>
      <c r="B498" s="10" t="str">
        <f t="shared" si="48"/>
        <v>L14US-ЩСВ — Пункт спасателей, здание оператора верхней станции L14 US — ЩСВ</v>
      </c>
      <c r="C498" s="10" t="s">
        <v>167</v>
      </c>
      <c r="D498" s="10" t="s">
        <v>177</v>
      </c>
      <c r="E498" s="11" t="s">
        <v>178</v>
      </c>
      <c r="F498" s="12">
        <v>79</v>
      </c>
      <c r="G498" s="12">
        <f>F498*Kurallar!$B$3</f>
        <v>79</v>
      </c>
      <c r="H498" s="12">
        <f>G498*J498</f>
        <v>553</v>
      </c>
      <c r="I498" s="10" t="s">
        <v>170</v>
      </c>
      <c r="J498" s="13">
        <v>7</v>
      </c>
      <c r="K498" s="10" t="s">
        <v>143</v>
      </c>
      <c r="L498" s="12"/>
      <c r="M498" s="12">
        <v>553</v>
      </c>
    </row>
    <row r="499" spans="1:13" ht="23.25" hidden="1" customHeight="1" x14ac:dyDescent="0.25">
      <c r="A499" s="10">
        <v>16</v>
      </c>
      <c r="B499" s="10" t="str">
        <f t="shared" si="48"/>
        <v>L14US-ЩСВ — Пункт спасателей, здание оператора верхней станции L14 US — ЩСВ</v>
      </c>
      <c r="C499" s="10" t="s">
        <v>167</v>
      </c>
      <c r="D499" s="10" t="s">
        <v>179</v>
      </c>
      <c r="E499" s="11" t="s">
        <v>180</v>
      </c>
      <c r="F499" s="12"/>
      <c r="G499" s="12">
        <f>SUM(H485:H498)*Kurallar!$B$5</f>
        <v>2392.6979999999999</v>
      </c>
      <c r="H499" s="12">
        <f>G499*J499</f>
        <v>2392.6979999999999</v>
      </c>
      <c r="I499" s="10" t="s">
        <v>142</v>
      </c>
      <c r="J499" s="13">
        <v>1</v>
      </c>
      <c r="K499" s="10" t="s">
        <v>181</v>
      </c>
      <c r="L499" s="12"/>
      <c r="M499" s="12">
        <v>2392.6979999999999</v>
      </c>
    </row>
    <row r="500" spans="1:13" ht="15" hidden="1" customHeight="1" x14ac:dyDescent="0.25">
      <c r="A500" s="10">
        <v>17</v>
      </c>
      <c r="B500" s="10" t="str">
        <f t="shared" si="48"/>
        <v>L14US-ЩСВ — Пункт спасателей, здание оператора верхней станции L14 US — ЩСВ</v>
      </c>
      <c r="C500" s="10" t="s">
        <v>182</v>
      </c>
      <c r="D500" s="10" t="s">
        <v>183</v>
      </c>
      <c r="E500" s="11" t="s">
        <v>184</v>
      </c>
      <c r="F500" s="12">
        <f>J500/60</f>
        <v>1.8033333333333335</v>
      </c>
      <c r="G500" s="12">
        <f>Kurallar!$B$6</f>
        <v>100</v>
      </c>
      <c r="H500" s="12">
        <f>G500*J500</f>
        <v>10820</v>
      </c>
      <c r="I500" s="10" t="s">
        <v>185</v>
      </c>
      <c r="J500" s="13">
        <f>ROUND((Kurallar!$B$10+0*Kurallar!$B$13+0*Kurallar!$B$14+0*Kurallar!$B$15+0*Kurallar!$B$16+0*Kurallar!$B$17+0*Kurallar!$B$18+13*Kurallar!$B$19+1*Kurallar!$B$20+2*Kurallar!$B$21+42*Kurallar!$B$22+4*Kurallar!$B$23+0*Kurallar!$B$24+3*Kurallar!$B$25)*Kurallar!$B$7,0)*0.2</f>
        <v>108.2</v>
      </c>
      <c r="K500" s="10" t="s">
        <v>181</v>
      </c>
      <c r="L500" s="12"/>
      <c r="M500" s="12">
        <v>10820</v>
      </c>
    </row>
    <row r="501" spans="1:13" ht="15" customHeight="1" x14ac:dyDescent="0.25">
      <c r="A501" s="15"/>
      <c r="B501" s="15" t="s">
        <v>305</v>
      </c>
      <c r="C501" s="15"/>
      <c r="D501" s="15"/>
      <c r="E501" s="16"/>
      <c r="F501" s="17"/>
      <c r="G501" s="17"/>
      <c r="H501" s="17">
        <f>SUBTOTAL(9,H485:H500)</f>
        <v>0</v>
      </c>
      <c r="I501" s="15"/>
      <c r="J501" s="18"/>
      <c r="K501" s="15"/>
      <c r="L501" s="17">
        <f>SUBTOTAL(9,H485:H498)</f>
        <v>0</v>
      </c>
      <c r="M501" s="17">
        <v>92969.297999999995</v>
      </c>
    </row>
    <row r="502" spans="1:13" ht="15" customHeight="1" x14ac:dyDescent="0.25">
      <c r="A502" s="19">
        <v>1</v>
      </c>
      <c r="B502" s="20" t="str">
        <f>E502</f>
        <v>L15LS-ЩР-1 — Здание оператора нижней станции L15 LS</v>
      </c>
      <c r="C502" s="19" t="s">
        <v>136</v>
      </c>
      <c r="D502" s="19" t="s">
        <v>306</v>
      </c>
      <c r="E502" s="21" t="s">
        <v>307</v>
      </c>
      <c r="F502" s="22"/>
      <c r="G502" s="22"/>
      <c r="H502" s="22"/>
      <c r="I502" s="19" t="s">
        <v>139</v>
      </c>
      <c r="J502" s="23">
        <v>1</v>
      </c>
      <c r="K502" s="19"/>
      <c r="L502" s="22"/>
      <c r="M502" s="22"/>
    </row>
    <row r="503" spans="1:13" ht="15" hidden="1" customHeight="1" x14ac:dyDescent="0.25">
      <c r="A503" s="10">
        <v>2</v>
      </c>
      <c r="B503" s="10" t="str">
        <f t="shared" ref="B503:B521" si="50">B502</f>
        <v>L15LS-ЩР-1 — Здание оператора нижней станции L15 LS</v>
      </c>
      <c r="C503" s="10" t="s">
        <v>140</v>
      </c>
      <c r="D503" s="10" t="s">
        <v>384</v>
      </c>
      <c r="E503" s="24" t="s">
        <v>385</v>
      </c>
      <c r="F503" s="12">
        <v>55770</v>
      </c>
      <c r="G503" s="12">
        <f>0.5*F503</f>
        <v>27885</v>
      </c>
      <c r="H503" s="12">
        <f>G503*J503</f>
        <v>27885</v>
      </c>
      <c r="I503" s="10" t="s">
        <v>142</v>
      </c>
      <c r="J503" s="13">
        <v>1</v>
      </c>
      <c r="K503" s="14" t="s">
        <v>390</v>
      </c>
      <c r="L503" s="12"/>
      <c r="M503" s="12">
        <v>27885</v>
      </c>
    </row>
    <row r="504" spans="1:13" ht="15" hidden="1" customHeight="1" x14ac:dyDescent="0.25">
      <c r="A504" s="10">
        <v>3</v>
      </c>
      <c r="B504" s="10" t="str">
        <f t="shared" si="50"/>
        <v>L15LS-ЩР-1 — Здание оператора нижней станции L15 LS</v>
      </c>
      <c r="C504" s="14" t="s">
        <v>371</v>
      </c>
      <c r="D504" s="10" t="s">
        <v>144</v>
      </c>
      <c r="E504" s="11" t="s">
        <v>145</v>
      </c>
      <c r="F504" s="12">
        <v>201862</v>
      </c>
      <c r="G504" s="12">
        <f>F504*Kurallar!$B$2</f>
        <v>121117.2</v>
      </c>
      <c r="H504" s="12">
        <f>G504*J504</f>
        <v>121117.2</v>
      </c>
      <c r="I504" s="10" t="s">
        <v>142</v>
      </c>
      <c r="J504" s="13">
        <v>1</v>
      </c>
      <c r="K504" s="10" t="s">
        <v>146</v>
      </c>
      <c r="L504" s="12"/>
      <c r="M504" s="12">
        <v>121117.2</v>
      </c>
    </row>
    <row r="505" spans="1:13" ht="15" hidden="1" customHeight="1" x14ac:dyDescent="0.25">
      <c r="A505" s="10">
        <v>4</v>
      </c>
      <c r="B505" s="10" t="str">
        <f t="shared" si="50"/>
        <v>L15LS-ЩР-1 — Здание оператора нижней станции L15 LS</v>
      </c>
      <c r="C505" s="10" t="s">
        <v>147</v>
      </c>
      <c r="D505" s="10" t="s">
        <v>391</v>
      </c>
      <c r="E505" s="24" t="s">
        <v>392</v>
      </c>
      <c r="F505" s="12">
        <v>88000</v>
      </c>
      <c r="G505" s="12">
        <f>F505*Kurallar!$B$4</f>
        <v>88000</v>
      </c>
      <c r="H505" s="12">
        <f>G505*J505</f>
        <v>88000</v>
      </c>
      <c r="I505" s="10" t="s">
        <v>142</v>
      </c>
      <c r="J505" s="13">
        <v>1</v>
      </c>
      <c r="K505" s="10" t="s">
        <v>148</v>
      </c>
      <c r="L505" s="12"/>
      <c r="M505" s="12">
        <v>88000</v>
      </c>
    </row>
    <row r="506" spans="1:13" ht="15" hidden="1" customHeight="1" x14ac:dyDescent="0.25">
      <c r="A506" s="10">
        <v>5</v>
      </c>
      <c r="B506" s="10" t="str">
        <f t="shared" si="50"/>
        <v>L15LS-ЩР-1 — Здание оператора нижней станции L15 LS</v>
      </c>
      <c r="C506" s="10" t="s">
        <v>149</v>
      </c>
      <c r="D506" s="10" t="s">
        <v>150</v>
      </c>
      <c r="E506" s="11" t="s">
        <v>151</v>
      </c>
      <c r="F506" s="12">
        <v>1419</v>
      </c>
      <c r="G506" s="12">
        <f>F506*Kurallar!$B$2</f>
        <v>851.4</v>
      </c>
      <c r="H506" s="12">
        <f>G506*J506</f>
        <v>851.4</v>
      </c>
      <c r="I506" s="10" t="s">
        <v>142</v>
      </c>
      <c r="J506" s="13">
        <v>1</v>
      </c>
      <c r="K506" s="10" t="s">
        <v>146</v>
      </c>
      <c r="L506" s="12"/>
      <c r="M506" s="12">
        <v>851.4</v>
      </c>
    </row>
    <row r="507" spans="1:13" ht="15" hidden="1" customHeight="1" x14ac:dyDescent="0.25">
      <c r="A507" s="10">
        <v>6</v>
      </c>
      <c r="B507" s="10" t="str">
        <f t="shared" si="50"/>
        <v>L15LS-ЩР-1 — Здание оператора нижней станции L15 LS</v>
      </c>
      <c r="C507" s="10" t="s">
        <v>149</v>
      </c>
      <c r="D507" s="10" t="s">
        <v>152</v>
      </c>
      <c r="E507" s="11" t="s">
        <v>153</v>
      </c>
      <c r="F507" s="12">
        <v>1389</v>
      </c>
      <c r="G507" s="12">
        <f>F507*Kurallar!$B$2</f>
        <v>833.4</v>
      </c>
      <c r="H507" s="12">
        <f>G507*J507</f>
        <v>2500.1999999999998</v>
      </c>
      <c r="I507" s="10" t="s">
        <v>142</v>
      </c>
      <c r="J507" s="13">
        <v>3</v>
      </c>
      <c r="K507" s="10" t="s">
        <v>146</v>
      </c>
      <c r="L507" s="12"/>
      <c r="M507" s="12">
        <v>2500.1999999999998</v>
      </c>
    </row>
    <row r="508" spans="1:13" ht="15" hidden="1" customHeight="1" x14ac:dyDescent="0.25">
      <c r="A508" s="10">
        <v>7</v>
      </c>
      <c r="B508" s="10" t="str">
        <f t="shared" si="50"/>
        <v>L15LS-ЩР-1 — Здание оператора нижней станции L15 LS</v>
      </c>
      <c r="C508" s="10" t="s">
        <v>149</v>
      </c>
      <c r="D508" s="10" t="s">
        <v>190</v>
      </c>
      <c r="E508" s="11" t="s">
        <v>191</v>
      </c>
      <c r="F508" s="12">
        <v>6060</v>
      </c>
      <c r="G508" s="12">
        <f>F508*Kurallar!$B$2</f>
        <v>3636</v>
      </c>
      <c r="H508" s="12">
        <f>G508*J508</f>
        <v>3636</v>
      </c>
      <c r="I508" s="10" t="s">
        <v>142</v>
      </c>
      <c r="J508" s="13">
        <v>1</v>
      </c>
      <c r="K508" s="10" t="s">
        <v>146</v>
      </c>
      <c r="L508" s="12"/>
      <c r="M508" s="12">
        <v>3636</v>
      </c>
    </row>
    <row r="509" spans="1:13" ht="15" hidden="1" customHeight="1" x14ac:dyDescent="0.25">
      <c r="A509" s="10">
        <v>8</v>
      </c>
      <c r="B509" s="10" t="str">
        <f t="shared" si="50"/>
        <v>L15LS-ЩР-1 — Здание оператора нижней станции L15 LS</v>
      </c>
      <c r="C509" s="10" t="s">
        <v>156</v>
      </c>
      <c r="D509" s="10" t="s">
        <v>157</v>
      </c>
      <c r="E509" s="11" t="s">
        <v>158</v>
      </c>
      <c r="F509" s="12">
        <v>5104</v>
      </c>
      <c r="G509" s="12">
        <f>F509*Kurallar!$B$2</f>
        <v>3062.4</v>
      </c>
      <c r="H509" s="12">
        <f>G509*J509</f>
        <v>9187.2000000000007</v>
      </c>
      <c r="I509" s="10" t="s">
        <v>142</v>
      </c>
      <c r="J509" s="13">
        <v>3</v>
      </c>
      <c r="K509" s="10" t="s">
        <v>146</v>
      </c>
      <c r="L509" s="12"/>
      <c r="M509" s="12">
        <v>9187.2000000000007</v>
      </c>
    </row>
    <row r="510" spans="1:13" ht="15" hidden="1" customHeight="1" x14ac:dyDescent="0.25">
      <c r="A510" s="10">
        <v>9</v>
      </c>
      <c r="B510" s="10" t="str">
        <f t="shared" si="50"/>
        <v>L15LS-ЩР-1 — Здание оператора нижней станции L15 LS</v>
      </c>
      <c r="C510" s="10" t="s">
        <v>156</v>
      </c>
      <c r="D510" s="10" t="s">
        <v>159</v>
      </c>
      <c r="E510" s="11" t="s">
        <v>160</v>
      </c>
      <c r="F510" s="12">
        <v>5632</v>
      </c>
      <c r="G510" s="12">
        <f>F510*Kurallar!$B$2</f>
        <v>3379.2</v>
      </c>
      <c r="H510" s="12">
        <f>G510*J510</f>
        <v>16896</v>
      </c>
      <c r="I510" s="10" t="s">
        <v>142</v>
      </c>
      <c r="J510" s="13">
        <v>5</v>
      </c>
      <c r="K510" s="10" t="s">
        <v>146</v>
      </c>
      <c r="L510" s="12"/>
      <c r="M510" s="12">
        <v>16896</v>
      </c>
    </row>
    <row r="511" spans="1:13" ht="15" hidden="1" customHeight="1" x14ac:dyDescent="0.25">
      <c r="A511" s="10">
        <v>10</v>
      </c>
      <c r="B511" s="10" t="str">
        <f t="shared" si="50"/>
        <v>L15LS-ЩР-1 — Здание оператора нижней станции L15 LS</v>
      </c>
      <c r="C511" s="10" t="s">
        <v>161</v>
      </c>
      <c r="D511" s="10" t="s">
        <v>162</v>
      </c>
      <c r="E511" s="11" t="s">
        <v>163</v>
      </c>
      <c r="F511" s="12">
        <v>530</v>
      </c>
      <c r="G511" s="12">
        <f>F511*Kurallar!$B$3</f>
        <v>530</v>
      </c>
      <c r="H511" s="12">
        <f>G511*J511</f>
        <v>530</v>
      </c>
      <c r="I511" s="10" t="s">
        <v>142</v>
      </c>
      <c r="J511" s="13">
        <v>1</v>
      </c>
      <c r="K511" s="14" t="s">
        <v>372</v>
      </c>
      <c r="L511" s="12"/>
      <c r="M511" s="12">
        <v>530</v>
      </c>
    </row>
    <row r="512" spans="1:13" ht="15" hidden="1" customHeight="1" x14ac:dyDescent="0.25">
      <c r="A512" s="10">
        <v>11</v>
      </c>
      <c r="B512" s="10" t="str">
        <f t="shared" si="50"/>
        <v>L15LS-ЩР-1 — Здание оператора нижней станции L15 LS</v>
      </c>
      <c r="C512" s="10" t="s">
        <v>161</v>
      </c>
      <c r="D512" s="10" t="s">
        <v>165</v>
      </c>
      <c r="E512" s="11" t="s">
        <v>166</v>
      </c>
      <c r="F512" s="12">
        <v>634</v>
      </c>
      <c r="G512" s="12">
        <f>F512*Kurallar!$B$3</f>
        <v>634</v>
      </c>
      <c r="H512" s="12">
        <f>G512*J512</f>
        <v>1268</v>
      </c>
      <c r="I512" s="10" t="s">
        <v>142</v>
      </c>
      <c r="J512" s="13">
        <v>2</v>
      </c>
      <c r="K512" s="14" t="s">
        <v>372</v>
      </c>
      <c r="L512" s="12"/>
      <c r="M512" s="12">
        <v>1268</v>
      </c>
    </row>
    <row r="513" spans="1:13" ht="15" hidden="1" customHeight="1" x14ac:dyDescent="0.25">
      <c r="A513" s="10">
        <v>12</v>
      </c>
      <c r="B513" s="10" t="str">
        <f t="shared" si="50"/>
        <v>L15LS-ЩР-1 — Здание оператора нижней станции L15 LS</v>
      </c>
      <c r="C513" s="10" t="s">
        <v>31</v>
      </c>
      <c r="D513" s="10" t="s">
        <v>373</v>
      </c>
      <c r="E513" s="11" t="s">
        <v>374</v>
      </c>
      <c r="F513" s="12">
        <v>140</v>
      </c>
      <c r="G513" s="12">
        <f t="shared" ref="G513:G514" si="51">0.6*F513</f>
        <v>84</v>
      </c>
      <c r="H513" s="12">
        <f>G513*J513</f>
        <v>1596</v>
      </c>
      <c r="I513" s="10" t="s">
        <v>142</v>
      </c>
      <c r="J513" s="13">
        <v>19</v>
      </c>
      <c r="K513" s="14" t="s">
        <v>375</v>
      </c>
      <c r="L513" s="12"/>
      <c r="M513" s="12">
        <v>1596</v>
      </c>
    </row>
    <row r="514" spans="1:13" ht="15" hidden="1" customHeight="1" x14ac:dyDescent="0.25">
      <c r="A514" s="10">
        <v>13</v>
      </c>
      <c r="B514" s="10" t="str">
        <f t="shared" si="50"/>
        <v>L15LS-ЩР-1 — Здание оператора нижней станции L15 LS</v>
      </c>
      <c r="C514" s="10" t="s">
        <v>31</v>
      </c>
      <c r="D514" s="10" t="s">
        <v>373</v>
      </c>
      <c r="E514" s="11" t="s">
        <v>374</v>
      </c>
      <c r="F514" s="12">
        <v>140</v>
      </c>
      <c r="G514" s="12">
        <f t="shared" si="51"/>
        <v>84</v>
      </c>
      <c r="H514" s="12">
        <f>G514*J514</f>
        <v>1260</v>
      </c>
      <c r="I514" s="10" t="s">
        <v>142</v>
      </c>
      <c r="J514" s="13">
        <v>15</v>
      </c>
      <c r="K514" s="14" t="s">
        <v>375</v>
      </c>
      <c r="L514" s="12"/>
      <c r="M514" s="12">
        <v>1260</v>
      </c>
    </row>
    <row r="515" spans="1:13" ht="15" hidden="1" customHeight="1" x14ac:dyDescent="0.25">
      <c r="A515" s="10">
        <v>14</v>
      </c>
      <c r="B515" s="10" t="str">
        <f t="shared" si="50"/>
        <v>L15LS-ЩР-1 — Здание оператора нижней станции L15 LS</v>
      </c>
      <c r="C515" s="10" t="s">
        <v>167</v>
      </c>
      <c r="D515" s="10" t="s">
        <v>168</v>
      </c>
      <c r="E515" s="11" t="s">
        <v>169</v>
      </c>
      <c r="F515" s="12">
        <v>869</v>
      </c>
      <c r="G515" s="12">
        <f>F515*Kurallar!$B$2</f>
        <v>521.4</v>
      </c>
      <c r="H515" s="12">
        <f>G515*J515</f>
        <v>521.4</v>
      </c>
      <c r="I515" s="10" t="s">
        <v>170</v>
      </c>
      <c r="J515" s="13">
        <v>1</v>
      </c>
      <c r="K515" s="10" t="s">
        <v>146</v>
      </c>
      <c r="L515" s="12"/>
      <c r="M515" s="12">
        <v>521.4</v>
      </c>
    </row>
    <row r="516" spans="1:13" ht="15" hidden="1" customHeight="1" x14ac:dyDescent="0.25">
      <c r="A516" s="10">
        <v>15</v>
      </c>
      <c r="B516" s="10" t="str">
        <f t="shared" si="50"/>
        <v>L15LS-ЩР-1 — Здание оператора нижней станции L15 LS</v>
      </c>
      <c r="C516" s="10" t="s">
        <v>167</v>
      </c>
      <c r="D516" s="10" t="s">
        <v>171</v>
      </c>
      <c r="E516" s="11" t="s">
        <v>172</v>
      </c>
      <c r="F516" s="12">
        <v>1808</v>
      </c>
      <c r="G516" s="12">
        <f>F516*Kurallar!$B$3</f>
        <v>1808</v>
      </c>
      <c r="H516" s="12">
        <f>G516*J516</f>
        <v>1808</v>
      </c>
      <c r="I516" s="10" t="s">
        <v>142</v>
      </c>
      <c r="J516" s="13">
        <v>1</v>
      </c>
      <c r="K516" s="10" t="s">
        <v>164</v>
      </c>
      <c r="L516" s="12"/>
      <c r="M516" s="12">
        <v>1808</v>
      </c>
    </row>
    <row r="517" spans="1:13" ht="15" hidden="1" customHeight="1" x14ac:dyDescent="0.25">
      <c r="A517" s="10">
        <v>16</v>
      </c>
      <c r="B517" s="10" t="str">
        <f t="shared" si="50"/>
        <v>L15LS-ЩР-1 — Здание оператора нижней станции L15 LS</v>
      </c>
      <c r="C517" s="10" t="s">
        <v>167</v>
      </c>
      <c r="D517" s="10" t="s">
        <v>173</v>
      </c>
      <c r="E517" s="11" t="s">
        <v>174</v>
      </c>
      <c r="F517" s="12">
        <v>127</v>
      </c>
      <c r="G517" s="12">
        <f>F517*Kurallar!$B$3</f>
        <v>127</v>
      </c>
      <c r="H517" s="12">
        <f>G517*J517</f>
        <v>2540</v>
      </c>
      <c r="I517" s="10" t="s">
        <v>170</v>
      </c>
      <c r="J517" s="13">
        <v>20</v>
      </c>
      <c r="K517" s="10" t="s">
        <v>143</v>
      </c>
      <c r="L517" s="12"/>
      <c r="M517" s="12">
        <v>2540</v>
      </c>
    </row>
    <row r="518" spans="1:13" ht="15" hidden="1" customHeight="1" x14ac:dyDescent="0.25">
      <c r="A518" s="10">
        <v>17</v>
      </c>
      <c r="B518" s="10" t="str">
        <f t="shared" si="50"/>
        <v>L15LS-ЩР-1 — Здание оператора нижней станции L15 LS</v>
      </c>
      <c r="C518" s="10" t="s">
        <v>167</v>
      </c>
      <c r="D518" s="10" t="s">
        <v>175</v>
      </c>
      <c r="E518" s="11" t="s">
        <v>176</v>
      </c>
      <c r="F518" s="12">
        <v>918</v>
      </c>
      <c r="G518" s="12">
        <f>F518*Kurallar!$B$3</f>
        <v>918</v>
      </c>
      <c r="H518" s="12">
        <f>G518*J518</f>
        <v>7344</v>
      </c>
      <c r="I518" s="10" t="s">
        <v>170</v>
      </c>
      <c r="J518" s="13">
        <v>8</v>
      </c>
      <c r="K518" s="10" t="s">
        <v>143</v>
      </c>
      <c r="L518" s="12"/>
      <c r="M518" s="12">
        <v>7344</v>
      </c>
    </row>
    <row r="519" spans="1:13" ht="15" hidden="1" customHeight="1" x14ac:dyDescent="0.25">
      <c r="A519" s="10">
        <v>18</v>
      </c>
      <c r="B519" s="10" t="str">
        <f t="shared" si="50"/>
        <v>L15LS-ЩР-1 — Здание оператора нижней станции L15 LS</v>
      </c>
      <c r="C519" s="10" t="s">
        <v>167</v>
      </c>
      <c r="D519" s="10" t="s">
        <v>177</v>
      </c>
      <c r="E519" s="11" t="s">
        <v>178</v>
      </c>
      <c r="F519" s="12">
        <v>79</v>
      </c>
      <c r="G519" s="12">
        <f>F519*Kurallar!$B$3</f>
        <v>79</v>
      </c>
      <c r="H519" s="12">
        <f>G519*J519</f>
        <v>474</v>
      </c>
      <c r="I519" s="10" t="s">
        <v>170</v>
      </c>
      <c r="J519" s="13">
        <v>6</v>
      </c>
      <c r="K519" s="10" t="s">
        <v>143</v>
      </c>
      <c r="L519" s="12"/>
      <c r="M519" s="12">
        <v>474</v>
      </c>
    </row>
    <row r="520" spans="1:13" ht="23.25" hidden="1" customHeight="1" x14ac:dyDescent="0.25">
      <c r="A520" s="10">
        <v>19</v>
      </c>
      <c r="B520" s="10" t="str">
        <f t="shared" si="50"/>
        <v>L15LS-ЩР-1 — Здание оператора нижней станции L15 LS</v>
      </c>
      <c r="C520" s="10" t="s">
        <v>167</v>
      </c>
      <c r="D520" s="10" t="s">
        <v>179</v>
      </c>
      <c r="E520" s="11" t="s">
        <v>180</v>
      </c>
      <c r="F520" s="12"/>
      <c r="G520" s="12">
        <f>SUM(H503:H519)*Kurallar!$B$5</f>
        <v>8622.4320000000007</v>
      </c>
      <c r="H520" s="12">
        <f>G520*J520</f>
        <v>8622.4320000000007</v>
      </c>
      <c r="I520" s="10" t="s">
        <v>142</v>
      </c>
      <c r="J520" s="13">
        <v>1</v>
      </c>
      <c r="K520" s="10" t="s">
        <v>181</v>
      </c>
      <c r="L520" s="12"/>
      <c r="M520" s="12">
        <v>8622.4320000000007</v>
      </c>
    </row>
    <row r="521" spans="1:13" ht="15" hidden="1" customHeight="1" x14ac:dyDescent="0.25">
      <c r="A521" s="10">
        <v>20</v>
      </c>
      <c r="B521" s="10" t="str">
        <f t="shared" si="50"/>
        <v>L15LS-ЩР-1 — Здание оператора нижней станции L15 LS</v>
      </c>
      <c r="C521" s="10" t="s">
        <v>182</v>
      </c>
      <c r="D521" s="10" t="s">
        <v>183</v>
      </c>
      <c r="E521" s="11" t="s">
        <v>184</v>
      </c>
      <c r="F521" s="12">
        <f>J521/60</f>
        <v>4.1800000000000006</v>
      </c>
      <c r="G521" s="12">
        <f>Kurallar!$B$6</f>
        <v>100</v>
      </c>
      <c r="H521" s="12">
        <f>G521*J521</f>
        <v>25080</v>
      </c>
      <c r="I521" s="10" t="s">
        <v>185</v>
      </c>
      <c r="J521" s="13">
        <f>ROUND((Kurallar!$B$11+1*Kurallar!$B$13+0*Kurallar!$B$14+0*Kurallar!$B$15+1*Kurallar!$B$16+0*Kurallar!$B$17+0*Kurallar!$B$18+8*Kurallar!$B$19+4*Kurallar!$B$20+1*Kurallar!$B$21+34*Kurallar!$B$22+3*Kurallar!$B$23+0*Kurallar!$B$24+3*Kurallar!$B$25)*Kurallar!$B$7,0)*0.4</f>
        <v>250.8</v>
      </c>
      <c r="K521" s="10" t="s">
        <v>181</v>
      </c>
      <c r="L521" s="12"/>
      <c r="M521" s="12">
        <v>25080</v>
      </c>
    </row>
    <row r="522" spans="1:13" ht="15" customHeight="1" x14ac:dyDescent="0.25">
      <c r="A522" s="15"/>
      <c r="B522" s="15" t="s">
        <v>308</v>
      </c>
      <c r="C522" s="15"/>
      <c r="D522" s="15"/>
      <c r="E522" s="16"/>
      <c r="F522" s="17"/>
      <c r="G522" s="17"/>
      <c r="H522" s="17">
        <f>SUBTOTAL(9,H503:H521)</f>
        <v>0</v>
      </c>
      <c r="I522" s="15"/>
      <c r="J522" s="18"/>
      <c r="K522" s="15"/>
      <c r="L522" s="17">
        <f>SUBTOTAL(9,H503:H519)</f>
        <v>0</v>
      </c>
      <c r="M522" s="17">
        <v>321116.83200000005</v>
      </c>
    </row>
    <row r="523" spans="1:13" ht="15" customHeight="1" x14ac:dyDescent="0.25">
      <c r="A523" s="19">
        <v>1</v>
      </c>
      <c r="B523" s="20" t="str">
        <f>E523</f>
        <v>L15US-ЩР-1 — Здание оператора верхней станции L15 US</v>
      </c>
      <c r="C523" s="19" t="s">
        <v>136</v>
      </c>
      <c r="D523" s="19" t="s">
        <v>309</v>
      </c>
      <c r="E523" s="21" t="s">
        <v>310</v>
      </c>
      <c r="F523" s="22"/>
      <c r="G523" s="22"/>
      <c r="H523" s="22"/>
      <c r="I523" s="19" t="s">
        <v>139</v>
      </c>
      <c r="J523" s="23">
        <v>1</v>
      </c>
      <c r="K523" s="19"/>
      <c r="L523" s="22"/>
      <c r="M523" s="22"/>
    </row>
    <row r="524" spans="1:13" ht="15" hidden="1" customHeight="1" x14ac:dyDescent="0.25">
      <c r="A524" s="10">
        <v>2</v>
      </c>
      <c r="B524" s="10" t="str">
        <f t="shared" ref="B524:B542" si="52">B523</f>
        <v>L15US-ЩР-1 — Здание оператора верхней станции L15 US</v>
      </c>
      <c r="C524" s="10" t="s">
        <v>140</v>
      </c>
      <c r="D524" s="10" t="s">
        <v>384</v>
      </c>
      <c r="E524" s="24" t="s">
        <v>385</v>
      </c>
      <c r="F524" s="12">
        <v>55770</v>
      </c>
      <c r="G524" s="12">
        <f>0.5*F524</f>
        <v>27885</v>
      </c>
      <c r="H524" s="12">
        <f>G524*J524</f>
        <v>27885</v>
      </c>
      <c r="I524" s="10" t="s">
        <v>142</v>
      </c>
      <c r="J524" s="13">
        <v>1</v>
      </c>
      <c r="K524" s="14" t="s">
        <v>390</v>
      </c>
      <c r="L524" s="12"/>
      <c r="M524" s="12">
        <v>27885</v>
      </c>
    </row>
    <row r="525" spans="1:13" ht="15" hidden="1" customHeight="1" x14ac:dyDescent="0.25">
      <c r="A525" s="10">
        <v>3</v>
      </c>
      <c r="B525" s="10" t="str">
        <f t="shared" si="52"/>
        <v>L15US-ЩР-1 — Здание оператора верхней станции L15 US</v>
      </c>
      <c r="C525" s="14" t="s">
        <v>371</v>
      </c>
      <c r="D525" s="10" t="s">
        <v>254</v>
      </c>
      <c r="E525" s="11" t="s">
        <v>255</v>
      </c>
      <c r="F525" s="12">
        <v>201639</v>
      </c>
      <c r="G525" s="12">
        <f>F525*Kurallar!$B$2</f>
        <v>120983.4</v>
      </c>
      <c r="H525" s="12">
        <f>G525*J525</f>
        <v>120983.4</v>
      </c>
      <c r="I525" s="10" t="s">
        <v>142</v>
      </c>
      <c r="J525" s="13">
        <v>1</v>
      </c>
      <c r="K525" s="10" t="s">
        <v>146</v>
      </c>
      <c r="L525" s="12"/>
      <c r="M525" s="12">
        <v>120983.4</v>
      </c>
    </row>
    <row r="526" spans="1:13" ht="15" hidden="1" customHeight="1" x14ac:dyDescent="0.25">
      <c r="A526" s="10">
        <v>4</v>
      </c>
      <c r="B526" s="10" t="str">
        <f t="shared" si="52"/>
        <v>L15US-ЩР-1 — Здание оператора верхней станции L15 US</v>
      </c>
      <c r="C526" s="10" t="s">
        <v>147</v>
      </c>
      <c r="D526" s="10" t="s">
        <v>391</v>
      </c>
      <c r="E526" s="24" t="s">
        <v>392</v>
      </c>
      <c r="F526" s="12">
        <v>88000</v>
      </c>
      <c r="G526" s="12">
        <f>F526*Kurallar!$B$4</f>
        <v>88000</v>
      </c>
      <c r="H526" s="12">
        <f>G526*J526</f>
        <v>88000</v>
      </c>
      <c r="I526" s="10" t="s">
        <v>142</v>
      </c>
      <c r="J526" s="13">
        <v>1</v>
      </c>
      <c r="K526" s="10" t="s">
        <v>148</v>
      </c>
      <c r="L526" s="12"/>
      <c r="M526" s="12">
        <v>88000</v>
      </c>
    </row>
    <row r="527" spans="1:13" ht="15" hidden="1" customHeight="1" x14ac:dyDescent="0.25">
      <c r="A527" s="10">
        <v>5</v>
      </c>
      <c r="B527" s="10" t="str">
        <f t="shared" si="52"/>
        <v>L15US-ЩР-1 — Здание оператора верхней станции L15 US</v>
      </c>
      <c r="C527" s="10" t="s">
        <v>149</v>
      </c>
      <c r="D527" s="10" t="s">
        <v>150</v>
      </c>
      <c r="E527" s="11" t="s">
        <v>151</v>
      </c>
      <c r="F527" s="12">
        <v>1419</v>
      </c>
      <c r="G527" s="12">
        <f>F527*Kurallar!$B$2</f>
        <v>851.4</v>
      </c>
      <c r="H527" s="12">
        <f>G527*J527</f>
        <v>1702.8</v>
      </c>
      <c r="I527" s="10" t="s">
        <v>142</v>
      </c>
      <c r="J527" s="13">
        <v>2</v>
      </c>
      <c r="K527" s="10" t="s">
        <v>146</v>
      </c>
      <c r="L527" s="12"/>
      <c r="M527" s="12">
        <v>1702.8</v>
      </c>
    </row>
    <row r="528" spans="1:13" ht="15" hidden="1" customHeight="1" x14ac:dyDescent="0.25">
      <c r="A528" s="10">
        <v>6</v>
      </c>
      <c r="B528" s="10" t="str">
        <f t="shared" si="52"/>
        <v>L15US-ЩР-1 — Здание оператора верхней станции L15 US</v>
      </c>
      <c r="C528" s="10" t="s">
        <v>149</v>
      </c>
      <c r="D528" s="10" t="s">
        <v>152</v>
      </c>
      <c r="E528" s="11" t="s">
        <v>153</v>
      </c>
      <c r="F528" s="12">
        <v>1389</v>
      </c>
      <c r="G528" s="12">
        <f>F528*Kurallar!$B$2</f>
        <v>833.4</v>
      </c>
      <c r="H528" s="12">
        <f>G528*J528</f>
        <v>2500.1999999999998</v>
      </c>
      <c r="I528" s="10" t="s">
        <v>142</v>
      </c>
      <c r="J528" s="13">
        <v>3</v>
      </c>
      <c r="K528" s="10" t="s">
        <v>146</v>
      </c>
      <c r="L528" s="12"/>
      <c r="M528" s="12">
        <v>2500.1999999999998</v>
      </c>
    </row>
    <row r="529" spans="1:13" ht="15" hidden="1" customHeight="1" x14ac:dyDescent="0.25">
      <c r="A529" s="10">
        <v>7</v>
      </c>
      <c r="B529" s="10" t="str">
        <f t="shared" si="52"/>
        <v>L15US-ЩР-1 — Здание оператора верхней станции L15 US</v>
      </c>
      <c r="C529" s="10" t="s">
        <v>149</v>
      </c>
      <c r="D529" s="10" t="s">
        <v>190</v>
      </c>
      <c r="E529" s="11" t="s">
        <v>191</v>
      </c>
      <c r="F529" s="12">
        <v>6060</v>
      </c>
      <c r="G529" s="12">
        <f>F529*Kurallar!$B$2</f>
        <v>3636</v>
      </c>
      <c r="H529" s="12">
        <f>G529*J529</f>
        <v>3636</v>
      </c>
      <c r="I529" s="10" t="s">
        <v>142</v>
      </c>
      <c r="J529" s="13">
        <v>1</v>
      </c>
      <c r="K529" s="10" t="s">
        <v>146</v>
      </c>
      <c r="L529" s="12"/>
      <c r="M529" s="12">
        <v>3636</v>
      </c>
    </row>
    <row r="530" spans="1:13" ht="15" hidden="1" customHeight="1" x14ac:dyDescent="0.25">
      <c r="A530" s="10">
        <v>8</v>
      </c>
      <c r="B530" s="10" t="str">
        <f t="shared" si="52"/>
        <v>L15US-ЩР-1 — Здание оператора верхней станции L15 US</v>
      </c>
      <c r="C530" s="10" t="s">
        <v>156</v>
      </c>
      <c r="D530" s="10" t="s">
        <v>157</v>
      </c>
      <c r="E530" s="11" t="s">
        <v>158</v>
      </c>
      <c r="F530" s="12">
        <v>5104</v>
      </c>
      <c r="G530" s="12">
        <f>F530*Kurallar!$B$2</f>
        <v>3062.4</v>
      </c>
      <c r="H530" s="12">
        <f>G530*J530</f>
        <v>9187.2000000000007</v>
      </c>
      <c r="I530" s="10" t="s">
        <v>142</v>
      </c>
      <c r="J530" s="13">
        <v>3</v>
      </c>
      <c r="K530" s="10" t="s">
        <v>146</v>
      </c>
      <c r="L530" s="12"/>
      <c r="M530" s="12">
        <v>9187.2000000000007</v>
      </c>
    </row>
    <row r="531" spans="1:13" ht="15" hidden="1" customHeight="1" x14ac:dyDescent="0.25">
      <c r="A531" s="10">
        <v>9</v>
      </c>
      <c r="B531" s="10" t="str">
        <f t="shared" si="52"/>
        <v>L15US-ЩР-1 — Здание оператора верхней станции L15 US</v>
      </c>
      <c r="C531" s="10" t="s">
        <v>156</v>
      </c>
      <c r="D531" s="10" t="s">
        <v>159</v>
      </c>
      <c r="E531" s="11" t="s">
        <v>160</v>
      </c>
      <c r="F531" s="12">
        <v>5632</v>
      </c>
      <c r="G531" s="12">
        <f>F531*Kurallar!$B$2</f>
        <v>3379.2</v>
      </c>
      <c r="H531" s="12">
        <f>G531*J531</f>
        <v>23654.399999999998</v>
      </c>
      <c r="I531" s="10" t="s">
        <v>142</v>
      </c>
      <c r="J531" s="13">
        <v>7</v>
      </c>
      <c r="K531" s="10" t="s">
        <v>146</v>
      </c>
      <c r="L531" s="12"/>
      <c r="M531" s="12">
        <v>23654.399999999998</v>
      </c>
    </row>
    <row r="532" spans="1:13" ht="15" hidden="1" customHeight="1" x14ac:dyDescent="0.25">
      <c r="A532" s="10">
        <v>10</v>
      </c>
      <c r="B532" s="10" t="str">
        <f t="shared" si="52"/>
        <v>L15US-ЩР-1 — Здание оператора верхней станции L15 US</v>
      </c>
      <c r="C532" s="10" t="s">
        <v>161</v>
      </c>
      <c r="D532" s="10" t="s">
        <v>162</v>
      </c>
      <c r="E532" s="11" t="s">
        <v>163</v>
      </c>
      <c r="F532" s="12">
        <v>530</v>
      </c>
      <c r="G532" s="12">
        <f>F532*Kurallar!$B$3</f>
        <v>530</v>
      </c>
      <c r="H532" s="12">
        <f>G532*J532</f>
        <v>530</v>
      </c>
      <c r="I532" s="10" t="s">
        <v>142</v>
      </c>
      <c r="J532" s="13">
        <v>1</v>
      </c>
      <c r="K532" s="14" t="s">
        <v>372</v>
      </c>
      <c r="L532" s="12"/>
      <c r="M532" s="12">
        <v>530</v>
      </c>
    </row>
    <row r="533" spans="1:13" ht="15" hidden="1" customHeight="1" x14ac:dyDescent="0.25">
      <c r="A533" s="10">
        <v>11</v>
      </c>
      <c r="B533" s="10" t="str">
        <f t="shared" si="52"/>
        <v>L15US-ЩР-1 — Здание оператора верхней станции L15 US</v>
      </c>
      <c r="C533" s="10" t="s">
        <v>161</v>
      </c>
      <c r="D533" s="10" t="s">
        <v>165</v>
      </c>
      <c r="E533" s="11" t="s">
        <v>166</v>
      </c>
      <c r="F533" s="12">
        <v>634</v>
      </c>
      <c r="G533" s="12">
        <f>F533*Kurallar!$B$3</f>
        <v>634</v>
      </c>
      <c r="H533" s="12">
        <f>G533*J533</f>
        <v>1902</v>
      </c>
      <c r="I533" s="10" t="s">
        <v>142</v>
      </c>
      <c r="J533" s="13">
        <v>3</v>
      </c>
      <c r="K533" s="14" t="s">
        <v>372</v>
      </c>
      <c r="L533" s="12"/>
      <c r="M533" s="12">
        <v>1902</v>
      </c>
    </row>
    <row r="534" spans="1:13" ht="15" hidden="1" customHeight="1" x14ac:dyDescent="0.25">
      <c r="A534" s="10">
        <v>12</v>
      </c>
      <c r="B534" s="10" t="str">
        <f t="shared" si="52"/>
        <v>L15US-ЩР-1 — Здание оператора верхней станции L15 US</v>
      </c>
      <c r="C534" s="10" t="s">
        <v>31</v>
      </c>
      <c r="D534" s="10" t="s">
        <v>373</v>
      </c>
      <c r="E534" s="11" t="s">
        <v>374</v>
      </c>
      <c r="F534" s="12">
        <v>140</v>
      </c>
      <c r="G534" s="12">
        <f t="shared" ref="G534:G535" si="53">0.6*F534</f>
        <v>84</v>
      </c>
      <c r="H534" s="12">
        <f>G534*J534</f>
        <v>1848</v>
      </c>
      <c r="I534" s="10" t="s">
        <v>142</v>
      </c>
      <c r="J534" s="13">
        <v>22</v>
      </c>
      <c r="K534" s="14" t="s">
        <v>375</v>
      </c>
      <c r="L534" s="12"/>
      <c r="M534" s="12">
        <v>1848</v>
      </c>
    </row>
    <row r="535" spans="1:13" ht="15" hidden="1" customHeight="1" x14ac:dyDescent="0.25">
      <c r="A535" s="10">
        <v>13</v>
      </c>
      <c r="B535" s="10" t="str">
        <f t="shared" si="52"/>
        <v>L15US-ЩР-1 — Здание оператора верхней станции L15 US</v>
      </c>
      <c r="C535" s="10" t="s">
        <v>31</v>
      </c>
      <c r="D535" s="10" t="s">
        <v>373</v>
      </c>
      <c r="E535" s="11" t="s">
        <v>374</v>
      </c>
      <c r="F535" s="12">
        <v>140</v>
      </c>
      <c r="G535" s="12">
        <f t="shared" si="53"/>
        <v>84</v>
      </c>
      <c r="H535" s="12">
        <f>G535*J535</f>
        <v>1512</v>
      </c>
      <c r="I535" s="10" t="s">
        <v>142</v>
      </c>
      <c r="J535" s="13">
        <v>18</v>
      </c>
      <c r="K535" s="14" t="s">
        <v>375</v>
      </c>
      <c r="L535" s="12"/>
      <c r="M535" s="12">
        <v>1512</v>
      </c>
    </row>
    <row r="536" spans="1:13" ht="15" hidden="1" customHeight="1" x14ac:dyDescent="0.25">
      <c r="A536" s="10">
        <v>14</v>
      </c>
      <c r="B536" s="10" t="str">
        <f t="shared" si="52"/>
        <v>L15US-ЩР-1 — Здание оператора верхней станции L15 US</v>
      </c>
      <c r="C536" s="10" t="s">
        <v>167</v>
      </c>
      <c r="D536" s="10" t="s">
        <v>168</v>
      </c>
      <c r="E536" s="11" t="s">
        <v>169</v>
      </c>
      <c r="F536" s="12">
        <v>869</v>
      </c>
      <c r="G536" s="12">
        <f>F536*Kurallar!$B$2</f>
        <v>521.4</v>
      </c>
      <c r="H536" s="12">
        <f>G536*J536</f>
        <v>521.4</v>
      </c>
      <c r="I536" s="10" t="s">
        <v>170</v>
      </c>
      <c r="J536" s="13">
        <v>1</v>
      </c>
      <c r="K536" s="10" t="s">
        <v>146</v>
      </c>
      <c r="L536" s="12"/>
      <c r="M536" s="12">
        <v>521.4</v>
      </c>
    </row>
    <row r="537" spans="1:13" ht="15" hidden="1" customHeight="1" x14ac:dyDescent="0.25">
      <c r="A537" s="10">
        <v>15</v>
      </c>
      <c r="B537" s="10" t="str">
        <f t="shared" si="52"/>
        <v>L15US-ЩР-1 — Здание оператора верхней станции L15 US</v>
      </c>
      <c r="C537" s="10" t="s">
        <v>167</v>
      </c>
      <c r="D537" s="10" t="s">
        <v>171</v>
      </c>
      <c r="E537" s="11" t="s">
        <v>172</v>
      </c>
      <c r="F537" s="12">
        <v>1808</v>
      </c>
      <c r="G537" s="12">
        <f>F537*Kurallar!$B$3</f>
        <v>1808</v>
      </c>
      <c r="H537" s="12">
        <f>G537*J537</f>
        <v>1808</v>
      </c>
      <c r="I537" s="10" t="s">
        <v>142</v>
      </c>
      <c r="J537" s="13">
        <v>1</v>
      </c>
      <c r="K537" s="10" t="s">
        <v>164</v>
      </c>
      <c r="L537" s="12"/>
      <c r="M537" s="12">
        <v>1808</v>
      </c>
    </row>
    <row r="538" spans="1:13" ht="15" hidden="1" customHeight="1" x14ac:dyDescent="0.25">
      <c r="A538" s="10">
        <v>16</v>
      </c>
      <c r="B538" s="10" t="str">
        <f t="shared" si="52"/>
        <v>L15US-ЩР-1 — Здание оператора верхней станции L15 US</v>
      </c>
      <c r="C538" s="10" t="s">
        <v>167</v>
      </c>
      <c r="D538" s="10" t="s">
        <v>173</v>
      </c>
      <c r="E538" s="11" t="s">
        <v>174</v>
      </c>
      <c r="F538" s="12">
        <v>127</v>
      </c>
      <c r="G538" s="12">
        <f>F538*Kurallar!$B$3</f>
        <v>127</v>
      </c>
      <c r="H538" s="12">
        <f>G538*J538</f>
        <v>3048</v>
      </c>
      <c r="I538" s="10" t="s">
        <v>170</v>
      </c>
      <c r="J538" s="13">
        <v>24</v>
      </c>
      <c r="K538" s="10" t="s">
        <v>143</v>
      </c>
      <c r="L538" s="12"/>
      <c r="M538" s="12">
        <v>3048</v>
      </c>
    </row>
    <row r="539" spans="1:13" ht="15" hidden="1" customHeight="1" x14ac:dyDescent="0.25">
      <c r="A539" s="10">
        <v>17</v>
      </c>
      <c r="B539" s="10" t="str">
        <f t="shared" si="52"/>
        <v>L15US-ЩР-1 — Здание оператора верхней станции L15 US</v>
      </c>
      <c r="C539" s="10" t="s">
        <v>167</v>
      </c>
      <c r="D539" s="10" t="s">
        <v>175</v>
      </c>
      <c r="E539" s="11" t="s">
        <v>176</v>
      </c>
      <c r="F539" s="12">
        <v>918</v>
      </c>
      <c r="G539" s="12">
        <f>F539*Kurallar!$B$3</f>
        <v>918</v>
      </c>
      <c r="H539" s="12">
        <f>G539*J539</f>
        <v>7344</v>
      </c>
      <c r="I539" s="10" t="s">
        <v>170</v>
      </c>
      <c r="J539" s="13">
        <v>8</v>
      </c>
      <c r="K539" s="10" t="s">
        <v>143</v>
      </c>
      <c r="L539" s="12"/>
      <c r="M539" s="12">
        <v>7344</v>
      </c>
    </row>
    <row r="540" spans="1:13" ht="15" hidden="1" customHeight="1" x14ac:dyDescent="0.25">
      <c r="A540" s="10">
        <v>18</v>
      </c>
      <c r="B540" s="10" t="str">
        <f t="shared" si="52"/>
        <v>L15US-ЩР-1 — Здание оператора верхней станции L15 US</v>
      </c>
      <c r="C540" s="10" t="s">
        <v>167</v>
      </c>
      <c r="D540" s="10" t="s">
        <v>177</v>
      </c>
      <c r="E540" s="11" t="s">
        <v>178</v>
      </c>
      <c r="F540" s="12">
        <v>79</v>
      </c>
      <c r="G540" s="12">
        <f>F540*Kurallar!$B$3</f>
        <v>79</v>
      </c>
      <c r="H540" s="12">
        <f>G540*J540</f>
        <v>553</v>
      </c>
      <c r="I540" s="10" t="s">
        <v>170</v>
      </c>
      <c r="J540" s="13">
        <v>7</v>
      </c>
      <c r="K540" s="10" t="s">
        <v>143</v>
      </c>
      <c r="L540" s="12"/>
      <c r="M540" s="12">
        <v>553</v>
      </c>
    </row>
    <row r="541" spans="1:13" ht="23.25" hidden="1" customHeight="1" x14ac:dyDescent="0.25">
      <c r="A541" s="10">
        <v>19</v>
      </c>
      <c r="B541" s="10" t="str">
        <f t="shared" si="52"/>
        <v>L15US-ЩР-1 — Здание оператора верхней станции L15 US</v>
      </c>
      <c r="C541" s="10" t="s">
        <v>167</v>
      </c>
      <c r="D541" s="10" t="s">
        <v>179</v>
      </c>
      <c r="E541" s="11" t="s">
        <v>180</v>
      </c>
      <c r="F541" s="12"/>
      <c r="G541" s="12">
        <f>SUM(H524:H540)*Kurallar!$B$5</f>
        <v>8898.4619999999995</v>
      </c>
      <c r="H541" s="12">
        <f>G541*J541</f>
        <v>8898.4619999999995</v>
      </c>
      <c r="I541" s="10" t="s">
        <v>142</v>
      </c>
      <c r="J541" s="13">
        <v>1</v>
      </c>
      <c r="K541" s="10" t="s">
        <v>181</v>
      </c>
      <c r="L541" s="12"/>
      <c r="M541" s="12">
        <v>8898.4619999999995</v>
      </c>
    </row>
    <row r="542" spans="1:13" ht="15" hidden="1" customHeight="1" x14ac:dyDescent="0.25">
      <c r="A542" s="10">
        <v>20</v>
      </c>
      <c r="B542" s="10" t="str">
        <f t="shared" si="52"/>
        <v>L15US-ЩР-1 — Здание оператора верхней станции L15 US</v>
      </c>
      <c r="C542" s="10" t="s">
        <v>182</v>
      </c>
      <c r="D542" s="10" t="s">
        <v>183</v>
      </c>
      <c r="E542" s="11" t="s">
        <v>184</v>
      </c>
      <c r="F542" s="12">
        <f>J542/60</f>
        <v>4.7</v>
      </c>
      <c r="G542" s="12">
        <f>Kurallar!$B$6</f>
        <v>100</v>
      </c>
      <c r="H542" s="12">
        <f>G542*J542</f>
        <v>28200</v>
      </c>
      <c r="I542" s="10" t="s">
        <v>185</v>
      </c>
      <c r="J542" s="13">
        <f>ROUND((Kurallar!$B$11+1*Kurallar!$B$13+0*Kurallar!$B$14+0*Kurallar!$B$15+1*Kurallar!$B$16+0*Kurallar!$B$17+0*Kurallar!$B$18+10*Kurallar!$B$19+5*Kurallar!$B$20+1*Kurallar!$B$21+40*Kurallar!$B$22+4*Kurallar!$B$23+0*Kurallar!$B$24+3*Kurallar!$B$25)*Kurallar!$B$7,0)*0.4</f>
        <v>282</v>
      </c>
      <c r="K542" s="10" t="s">
        <v>181</v>
      </c>
      <c r="L542" s="12"/>
      <c r="M542" s="12">
        <v>28200</v>
      </c>
    </row>
    <row r="543" spans="1:13" ht="15" customHeight="1" x14ac:dyDescent="0.25">
      <c r="A543" s="15"/>
      <c r="B543" s="15" t="s">
        <v>311</v>
      </c>
      <c r="C543" s="15"/>
      <c r="D543" s="15"/>
      <c r="E543" s="16"/>
      <c r="F543" s="17"/>
      <c r="G543" s="17"/>
      <c r="H543" s="17">
        <f>SUBTOTAL(9,H524:H542)</f>
        <v>0</v>
      </c>
      <c r="I543" s="15"/>
      <c r="J543" s="18"/>
      <c r="K543" s="15"/>
      <c r="L543" s="17">
        <f>SUBTOTAL(9,H524:H540)</f>
        <v>0</v>
      </c>
      <c r="M543" s="17">
        <v>333713.86200000002</v>
      </c>
    </row>
  </sheetData>
  <autoFilter ref="A1:M542" xr:uid="{00000000-0001-0000-0100-000000000000}">
    <filterColumn colId="8">
      <filters blank="1">
        <filter val="комплект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9530-4D79-4086-A7CD-DA06253069FC}">
  <dimension ref="A1:K27"/>
  <sheetViews>
    <sheetView tabSelected="1" workbookViewId="0">
      <selection activeCell="E2" sqref="E2:E27"/>
    </sheetView>
  </sheetViews>
  <sheetFormatPr defaultRowHeight="39" customHeight="1" x14ac:dyDescent="0.25"/>
  <cols>
    <col min="2" max="2" width="64.42578125" customWidth="1"/>
  </cols>
  <sheetData>
    <row r="1" spans="1:11" ht="39" customHeight="1" x14ac:dyDescent="0.25">
      <c r="A1" s="9" t="s">
        <v>127</v>
      </c>
      <c r="B1" s="9" t="s">
        <v>128</v>
      </c>
      <c r="C1" s="9" t="s">
        <v>129</v>
      </c>
      <c r="D1" s="9" t="s">
        <v>130</v>
      </c>
      <c r="E1" s="9" t="s">
        <v>131</v>
      </c>
      <c r="F1" s="9" t="s">
        <v>133</v>
      </c>
      <c r="G1" s="9" t="s">
        <v>132</v>
      </c>
      <c r="H1" s="9" t="s">
        <v>134</v>
      </c>
      <c r="I1" s="9" t="s">
        <v>135</v>
      </c>
      <c r="J1" s="25" t="s">
        <v>131</v>
      </c>
      <c r="K1">
        <v>2.2999999999999998</v>
      </c>
    </row>
    <row r="2" spans="1:11" ht="39" customHeight="1" x14ac:dyDescent="0.25">
      <c r="A2" s="19" t="s">
        <v>137</v>
      </c>
      <c r="B2" s="21" t="s">
        <v>138</v>
      </c>
      <c r="C2" s="22">
        <f>ROUNDUP(K2,-3)</f>
        <v>733000</v>
      </c>
      <c r="D2" s="22">
        <f>0.7*C2</f>
        <v>513099.99999999994</v>
      </c>
      <c r="E2" s="22">
        <f>D2*G2</f>
        <v>513099.99999999994</v>
      </c>
      <c r="F2" s="19" t="s">
        <v>139</v>
      </c>
      <c r="G2" s="23">
        <v>1</v>
      </c>
      <c r="H2" s="19"/>
      <c r="I2" s="22"/>
      <c r="J2" s="17">
        <v>318462.60600000009</v>
      </c>
      <c r="K2">
        <f>2.3*J2</f>
        <v>732463.99380000017</v>
      </c>
    </row>
    <row r="3" spans="1:11" ht="39" customHeight="1" x14ac:dyDescent="0.25">
      <c r="A3" s="19" t="s">
        <v>187</v>
      </c>
      <c r="B3" s="21" t="s">
        <v>188</v>
      </c>
      <c r="C3" s="22">
        <f t="shared" ref="C3:C27" si="0">ROUNDUP(K3,-3)</f>
        <v>802000</v>
      </c>
      <c r="D3" s="22">
        <f t="shared" ref="D3:D27" si="1">0.7*C3</f>
        <v>561400</v>
      </c>
      <c r="E3" s="22">
        <f t="shared" ref="E3:E27" si="2">D3*G3</f>
        <v>561400</v>
      </c>
      <c r="F3" s="19" t="s">
        <v>139</v>
      </c>
      <c r="G3" s="23">
        <v>1</v>
      </c>
      <c r="H3" s="19"/>
      <c r="I3" s="22"/>
      <c r="J3" s="17">
        <v>348302.70200000005</v>
      </c>
      <c r="K3">
        <f t="shared" ref="K3:K27" si="3">2.3*J3</f>
        <v>801096.21460000006</v>
      </c>
    </row>
    <row r="4" spans="1:11" ht="39" customHeight="1" x14ac:dyDescent="0.25">
      <c r="A4" s="19" t="s">
        <v>193</v>
      </c>
      <c r="B4" s="21" t="s">
        <v>194</v>
      </c>
      <c r="C4" s="22">
        <f t="shared" si="0"/>
        <v>1344000</v>
      </c>
      <c r="D4" s="22">
        <f t="shared" si="1"/>
        <v>940799.99999999988</v>
      </c>
      <c r="E4" s="22">
        <f t="shared" si="2"/>
        <v>940799.99999999988</v>
      </c>
      <c r="F4" s="19" t="s">
        <v>139</v>
      </c>
      <c r="G4" s="23">
        <v>1</v>
      </c>
      <c r="H4" s="19"/>
      <c r="I4" s="22"/>
      <c r="J4" s="17">
        <v>584194.84899999993</v>
      </c>
      <c r="K4">
        <f t="shared" si="3"/>
        <v>1343648.1526999997</v>
      </c>
    </row>
    <row r="5" spans="1:11" ht="39" customHeight="1" x14ac:dyDescent="0.25">
      <c r="A5" s="19" t="s">
        <v>193</v>
      </c>
      <c r="B5" s="21" t="s">
        <v>232</v>
      </c>
      <c r="C5" s="22">
        <f t="shared" si="0"/>
        <v>226000</v>
      </c>
      <c r="D5" s="22">
        <f t="shared" si="1"/>
        <v>158200</v>
      </c>
      <c r="E5" s="22">
        <f t="shared" si="2"/>
        <v>158200</v>
      </c>
      <c r="F5" s="19" t="s">
        <v>139</v>
      </c>
      <c r="G5" s="23">
        <v>1</v>
      </c>
      <c r="H5" s="19"/>
      <c r="I5" s="22"/>
      <c r="J5" s="17">
        <v>97941.84199999999</v>
      </c>
      <c r="K5">
        <f t="shared" si="3"/>
        <v>225266.23659999995</v>
      </c>
    </row>
    <row r="6" spans="1:11" ht="39" customHeight="1" x14ac:dyDescent="0.25">
      <c r="A6" s="19" t="s">
        <v>193</v>
      </c>
      <c r="B6" s="21" t="s">
        <v>238</v>
      </c>
      <c r="C6" s="22">
        <f t="shared" si="0"/>
        <v>69000</v>
      </c>
      <c r="D6" s="22">
        <f t="shared" si="1"/>
        <v>48300</v>
      </c>
      <c r="E6" s="22">
        <f t="shared" si="2"/>
        <v>48300</v>
      </c>
      <c r="F6" s="19" t="s">
        <v>139</v>
      </c>
      <c r="G6" s="23">
        <v>1</v>
      </c>
      <c r="H6" s="19"/>
      <c r="I6" s="22"/>
      <c r="J6" s="17">
        <v>29646.466</v>
      </c>
      <c r="K6">
        <f t="shared" si="3"/>
        <v>68186.871799999994</v>
      </c>
    </row>
    <row r="7" spans="1:11" ht="39" customHeight="1" x14ac:dyDescent="0.25">
      <c r="A7" s="19" t="s">
        <v>243</v>
      </c>
      <c r="B7" s="21" t="s">
        <v>244</v>
      </c>
      <c r="C7" s="22">
        <f t="shared" si="0"/>
        <v>1305000</v>
      </c>
      <c r="D7" s="22">
        <f t="shared" si="1"/>
        <v>913500</v>
      </c>
      <c r="E7" s="22">
        <f t="shared" si="2"/>
        <v>913500</v>
      </c>
      <c r="F7" s="19" t="s">
        <v>139</v>
      </c>
      <c r="G7" s="23">
        <v>1</v>
      </c>
      <c r="H7" s="19"/>
      <c r="I7" s="22"/>
      <c r="J7" s="17">
        <v>567125.93499999982</v>
      </c>
      <c r="K7">
        <f t="shared" si="3"/>
        <v>1304389.6504999995</v>
      </c>
    </row>
    <row r="8" spans="1:11" ht="39" customHeight="1" x14ac:dyDescent="0.25">
      <c r="A8" s="19" t="s">
        <v>243</v>
      </c>
      <c r="B8" s="21" t="s">
        <v>248</v>
      </c>
      <c r="C8" s="22">
        <f t="shared" si="0"/>
        <v>252000</v>
      </c>
      <c r="D8" s="22">
        <f t="shared" si="1"/>
        <v>176400</v>
      </c>
      <c r="E8" s="22">
        <f t="shared" si="2"/>
        <v>176400</v>
      </c>
      <c r="F8" s="19" t="s">
        <v>139</v>
      </c>
      <c r="G8" s="23">
        <v>1</v>
      </c>
      <c r="H8" s="19"/>
      <c r="I8" s="22"/>
      <c r="J8" s="17">
        <v>109227.06399999998</v>
      </c>
      <c r="K8">
        <f t="shared" si="3"/>
        <v>251222.24719999995</v>
      </c>
    </row>
    <row r="9" spans="1:11" ht="39" customHeight="1" x14ac:dyDescent="0.25">
      <c r="A9" s="19" t="s">
        <v>243</v>
      </c>
      <c r="B9" s="21" t="s">
        <v>250</v>
      </c>
      <c r="C9" s="22">
        <f t="shared" si="0"/>
        <v>68000</v>
      </c>
      <c r="D9" s="22">
        <f t="shared" si="1"/>
        <v>47600</v>
      </c>
      <c r="E9" s="22">
        <f t="shared" si="2"/>
        <v>47600</v>
      </c>
      <c r="F9" s="19" t="s">
        <v>139</v>
      </c>
      <c r="G9" s="23">
        <v>1</v>
      </c>
      <c r="H9" s="19"/>
      <c r="I9" s="22"/>
      <c r="J9" s="17">
        <v>29380.466</v>
      </c>
      <c r="K9">
        <f t="shared" si="3"/>
        <v>67575.071799999991</v>
      </c>
    </row>
    <row r="10" spans="1:11" ht="39" customHeight="1" x14ac:dyDescent="0.25">
      <c r="A10" s="19" t="s">
        <v>252</v>
      </c>
      <c r="B10" s="21" t="s">
        <v>253</v>
      </c>
      <c r="C10" s="22">
        <f t="shared" si="0"/>
        <v>788000</v>
      </c>
      <c r="D10" s="22">
        <f t="shared" si="1"/>
        <v>551600</v>
      </c>
      <c r="E10" s="22">
        <f t="shared" si="2"/>
        <v>551600</v>
      </c>
      <c r="F10" s="19" t="s">
        <v>139</v>
      </c>
      <c r="G10" s="23">
        <v>1</v>
      </c>
      <c r="H10" s="19"/>
      <c r="I10" s="22"/>
      <c r="J10" s="17">
        <v>342470.10600000003</v>
      </c>
      <c r="K10">
        <f t="shared" si="3"/>
        <v>787681.24380000005</v>
      </c>
    </row>
    <row r="11" spans="1:11" ht="39" customHeight="1" x14ac:dyDescent="0.25">
      <c r="A11" s="19" t="s">
        <v>257</v>
      </c>
      <c r="B11" s="21" t="s">
        <v>258</v>
      </c>
      <c r="C11" s="22">
        <f t="shared" si="0"/>
        <v>728000</v>
      </c>
      <c r="D11" s="22">
        <f t="shared" si="1"/>
        <v>509599.99999999994</v>
      </c>
      <c r="E11" s="22">
        <f t="shared" si="2"/>
        <v>509599.99999999994</v>
      </c>
      <c r="F11" s="19" t="s">
        <v>139</v>
      </c>
      <c r="G11" s="23">
        <v>1</v>
      </c>
      <c r="H11" s="19"/>
      <c r="I11" s="22"/>
      <c r="J11" s="17">
        <v>316412.40600000008</v>
      </c>
      <c r="K11">
        <f t="shared" si="3"/>
        <v>727748.53380000009</v>
      </c>
    </row>
    <row r="12" spans="1:11" ht="39" customHeight="1" x14ac:dyDescent="0.25">
      <c r="A12" s="19" t="s">
        <v>260</v>
      </c>
      <c r="B12" s="21" t="s">
        <v>261</v>
      </c>
      <c r="C12" s="22">
        <f t="shared" si="0"/>
        <v>803000</v>
      </c>
      <c r="D12" s="22">
        <f t="shared" si="1"/>
        <v>562100</v>
      </c>
      <c r="E12" s="22">
        <f t="shared" si="2"/>
        <v>562100</v>
      </c>
      <c r="F12" s="19" t="s">
        <v>139</v>
      </c>
      <c r="G12" s="23">
        <v>1</v>
      </c>
      <c r="H12" s="19"/>
      <c r="I12" s="22"/>
      <c r="J12" s="17">
        <v>348950.39000000007</v>
      </c>
      <c r="K12">
        <f t="shared" si="3"/>
        <v>802585.89700000011</v>
      </c>
    </row>
    <row r="13" spans="1:11" ht="39" customHeight="1" x14ac:dyDescent="0.25">
      <c r="A13" s="19" t="s">
        <v>263</v>
      </c>
      <c r="B13" s="21" t="s">
        <v>264</v>
      </c>
      <c r="C13" s="22">
        <f t="shared" si="0"/>
        <v>695000</v>
      </c>
      <c r="D13" s="22">
        <f t="shared" si="1"/>
        <v>486499.99999999994</v>
      </c>
      <c r="E13" s="22">
        <f t="shared" si="2"/>
        <v>486499.99999999994</v>
      </c>
      <c r="F13" s="19" t="s">
        <v>139</v>
      </c>
      <c r="G13" s="23">
        <v>1</v>
      </c>
      <c r="H13" s="19"/>
      <c r="I13" s="22"/>
      <c r="J13" s="17">
        <v>302109.20600000001</v>
      </c>
      <c r="K13">
        <f t="shared" si="3"/>
        <v>694851.17379999999</v>
      </c>
    </row>
    <row r="14" spans="1:11" ht="39" customHeight="1" x14ac:dyDescent="0.25">
      <c r="A14" s="19" t="s">
        <v>266</v>
      </c>
      <c r="B14" s="21" t="s">
        <v>267</v>
      </c>
      <c r="C14" s="22">
        <f t="shared" si="0"/>
        <v>695000</v>
      </c>
      <c r="D14" s="22">
        <f t="shared" si="1"/>
        <v>486499.99999999994</v>
      </c>
      <c r="E14" s="22">
        <f t="shared" si="2"/>
        <v>486499.99999999994</v>
      </c>
      <c r="F14" s="19" t="s">
        <v>139</v>
      </c>
      <c r="G14" s="23">
        <v>1</v>
      </c>
      <c r="H14" s="19"/>
      <c r="I14" s="22"/>
      <c r="J14" s="17">
        <v>302109.20600000001</v>
      </c>
      <c r="K14">
        <f t="shared" si="3"/>
        <v>694851.17379999999</v>
      </c>
    </row>
    <row r="15" spans="1:11" ht="39" customHeight="1" x14ac:dyDescent="0.25">
      <c r="A15" s="19" t="s">
        <v>269</v>
      </c>
      <c r="B15" s="21" t="s">
        <v>270</v>
      </c>
      <c r="C15" s="22">
        <f t="shared" si="0"/>
        <v>789000</v>
      </c>
      <c r="D15" s="22">
        <f t="shared" si="1"/>
        <v>552300</v>
      </c>
      <c r="E15" s="22">
        <f t="shared" si="2"/>
        <v>552300</v>
      </c>
      <c r="F15" s="19" t="s">
        <v>139</v>
      </c>
      <c r="G15" s="23">
        <v>1</v>
      </c>
      <c r="H15" s="19"/>
      <c r="I15" s="22"/>
      <c r="J15" s="17">
        <v>342796.41</v>
      </c>
      <c r="K15">
        <f t="shared" si="3"/>
        <v>788431.7429999999</v>
      </c>
    </row>
    <row r="16" spans="1:11" ht="39" customHeight="1" x14ac:dyDescent="0.25">
      <c r="A16" s="19" t="s">
        <v>272</v>
      </c>
      <c r="B16" s="21" t="s">
        <v>273</v>
      </c>
      <c r="C16" s="22">
        <f t="shared" si="0"/>
        <v>893000</v>
      </c>
      <c r="D16" s="22">
        <f t="shared" si="1"/>
        <v>625100</v>
      </c>
      <c r="E16" s="22">
        <f t="shared" si="2"/>
        <v>625100</v>
      </c>
      <c r="F16" s="19" t="s">
        <v>139</v>
      </c>
      <c r="G16" s="23">
        <v>1</v>
      </c>
      <c r="H16" s="19"/>
      <c r="I16" s="22"/>
      <c r="J16" s="17">
        <v>387961.28800000006</v>
      </c>
      <c r="K16">
        <f t="shared" si="3"/>
        <v>892310.96240000008</v>
      </c>
    </row>
    <row r="17" spans="1:11" ht="39" customHeight="1" x14ac:dyDescent="0.25">
      <c r="A17" s="19" t="s">
        <v>277</v>
      </c>
      <c r="B17" s="21" t="s">
        <v>278</v>
      </c>
      <c r="C17" s="22">
        <f t="shared" si="0"/>
        <v>739000</v>
      </c>
      <c r="D17" s="22">
        <f t="shared" si="1"/>
        <v>517299.99999999994</v>
      </c>
      <c r="E17" s="22">
        <f t="shared" si="2"/>
        <v>517299.99999999994</v>
      </c>
      <c r="F17" s="19" t="s">
        <v>139</v>
      </c>
      <c r="G17" s="23">
        <v>1</v>
      </c>
      <c r="H17" s="19"/>
      <c r="I17" s="22"/>
      <c r="J17" s="17">
        <v>321116.83200000005</v>
      </c>
      <c r="K17">
        <f t="shared" si="3"/>
        <v>738568.71360000002</v>
      </c>
    </row>
    <row r="18" spans="1:11" ht="39" customHeight="1" x14ac:dyDescent="0.25">
      <c r="A18" s="19" t="s">
        <v>280</v>
      </c>
      <c r="B18" s="21" t="s">
        <v>281</v>
      </c>
      <c r="C18" s="22">
        <f t="shared" si="0"/>
        <v>789000</v>
      </c>
      <c r="D18" s="22">
        <f t="shared" si="1"/>
        <v>552300</v>
      </c>
      <c r="E18" s="22">
        <f t="shared" si="2"/>
        <v>552300</v>
      </c>
      <c r="F18" s="19" t="s">
        <v>139</v>
      </c>
      <c r="G18" s="23">
        <v>1</v>
      </c>
      <c r="H18" s="19"/>
      <c r="I18" s="22"/>
      <c r="J18" s="17">
        <v>342796.41</v>
      </c>
      <c r="K18">
        <f t="shared" si="3"/>
        <v>788431.7429999999</v>
      </c>
    </row>
    <row r="19" spans="1:11" ht="39" customHeight="1" x14ac:dyDescent="0.25">
      <c r="A19" s="19" t="s">
        <v>283</v>
      </c>
      <c r="B19" s="21" t="s">
        <v>284</v>
      </c>
      <c r="C19" s="22">
        <f t="shared" si="0"/>
        <v>730000</v>
      </c>
      <c r="D19" s="22">
        <f t="shared" si="1"/>
        <v>510999.99999999994</v>
      </c>
      <c r="E19" s="22">
        <f t="shared" si="2"/>
        <v>510999.99999999994</v>
      </c>
      <c r="F19" s="19" t="s">
        <v>139</v>
      </c>
      <c r="G19" s="23">
        <v>1</v>
      </c>
      <c r="H19" s="19"/>
      <c r="I19" s="22"/>
      <c r="J19" s="17">
        <v>317003.52800000005</v>
      </c>
      <c r="K19">
        <f t="shared" si="3"/>
        <v>729108.11440000008</v>
      </c>
    </row>
    <row r="20" spans="1:11" ht="39" customHeight="1" x14ac:dyDescent="0.25">
      <c r="A20" s="19" t="s">
        <v>286</v>
      </c>
      <c r="B20" s="21" t="s">
        <v>287</v>
      </c>
      <c r="C20" s="22">
        <f t="shared" si="0"/>
        <v>754000</v>
      </c>
      <c r="D20" s="22">
        <f t="shared" si="1"/>
        <v>527800</v>
      </c>
      <c r="E20" s="22">
        <f t="shared" si="2"/>
        <v>527800</v>
      </c>
      <c r="F20" s="19" t="s">
        <v>139</v>
      </c>
      <c r="G20" s="23">
        <v>1</v>
      </c>
      <c r="H20" s="19"/>
      <c r="I20" s="22"/>
      <c r="J20" s="17">
        <v>327802.05000000005</v>
      </c>
      <c r="K20">
        <f t="shared" si="3"/>
        <v>753944.71500000008</v>
      </c>
    </row>
    <row r="21" spans="1:11" ht="39" customHeight="1" x14ac:dyDescent="0.25">
      <c r="A21" s="19" t="s">
        <v>289</v>
      </c>
      <c r="B21" s="21" t="s">
        <v>290</v>
      </c>
      <c r="C21" s="22">
        <f t="shared" si="0"/>
        <v>793000</v>
      </c>
      <c r="D21" s="22">
        <f t="shared" si="1"/>
        <v>555100</v>
      </c>
      <c r="E21" s="22">
        <f t="shared" si="2"/>
        <v>555100</v>
      </c>
      <c r="F21" s="19" t="s">
        <v>139</v>
      </c>
      <c r="G21" s="23">
        <v>1</v>
      </c>
      <c r="H21" s="19"/>
      <c r="I21" s="22"/>
      <c r="J21" s="17">
        <v>344740.99100000004</v>
      </c>
      <c r="K21">
        <f t="shared" si="3"/>
        <v>792904.27930000005</v>
      </c>
    </row>
    <row r="22" spans="1:11" ht="39" customHeight="1" x14ac:dyDescent="0.25">
      <c r="A22" s="19" t="s">
        <v>289</v>
      </c>
      <c r="B22" s="21" t="s">
        <v>295</v>
      </c>
      <c r="C22" s="22">
        <f t="shared" si="0"/>
        <v>192000</v>
      </c>
      <c r="D22" s="22">
        <f t="shared" si="1"/>
        <v>134400</v>
      </c>
      <c r="E22" s="22">
        <f t="shared" si="2"/>
        <v>134400</v>
      </c>
      <c r="F22" s="19" t="s">
        <v>139</v>
      </c>
      <c r="G22" s="23">
        <v>1</v>
      </c>
      <c r="H22" s="19"/>
      <c r="I22" s="22"/>
      <c r="J22" s="17">
        <v>83375.246000000014</v>
      </c>
      <c r="K22">
        <f t="shared" si="3"/>
        <v>191763.06580000001</v>
      </c>
    </row>
    <row r="23" spans="1:11" ht="39" customHeight="1" x14ac:dyDescent="0.25">
      <c r="A23" s="19" t="s">
        <v>298</v>
      </c>
      <c r="B23" s="21" t="s">
        <v>299</v>
      </c>
      <c r="C23" s="22">
        <f t="shared" si="0"/>
        <v>800000</v>
      </c>
      <c r="D23" s="22">
        <f t="shared" si="1"/>
        <v>560000</v>
      </c>
      <c r="E23" s="22">
        <f t="shared" si="2"/>
        <v>560000</v>
      </c>
      <c r="F23" s="19" t="s">
        <v>139</v>
      </c>
      <c r="G23" s="23">
        <v>1</v>
      </c>
      <c r="H23" s="19"/>
      <c r="I23" s="22"/>
      <c r="J23" s="17">
        <v>347582.20600000001</v>
      </c>
      <c r="K23">
        <f t="shared" si="3"/>
        <v>799439.0737999999</v>
      </c>
    </row>
    <row r="24" spans="1:11" ht="39" customHeight="1" x14ac:dyDescent="0.25">
      <c r="A24" s="19" t="s">
        <v>301</v>
      </c>
      <c r="B24" s="21" t="s">
        <v>302</v>
      </c>
      <c r="C24" s="22">
        <f t="shared" si="0"/>
        <v>793000</v>
      </c>
      <c r="D24" s="22">
        <f t="shared" si="1"/>
        <v>555100</v>
      </c>
      <c r="E24" s="22">
        <f t="shared" si="2"/>
        <v>555100</v>
      </c>
      <c r="F24" s="19" t="s">
        <v>139</v>
      </c>
      <c r="G24" s="23">
        <v>1</v>
      </c>
      <c r="H24" s="19"/>
      <c r="I24" s="22"/>
      <c r="J24" s="17">
        <v>344740.99100000004</v>
      </c>
      <c r="K24">
        <f t="shared" si="3"/>
        <v>792904.27930000005</v>
      </c>
    </row>
    <row r="25" spans="1:11" ht="39" customHeight="1" x14ac:dyDescent="0.25">
      <c r="A25" s="19" t="s">
        <v>301</v>
      </c>
      <c r="B25" s="21" t="s">
        <v>304</v>
      </c>
      <c r="C25" s="22">
        <f t="shared" si="0"/>
        <v>214000</v>
      </c>
      <c r="D25" s="22">
        <f t="shared" si="1"/>
        <v>149800</v>
      </c>
      <c r="E25" s="22">
        <f t="shared" si="2"/>
        <v>149800</v>
      </c>
      <c r="F25" s="19" t="s">
        <v>139</v>
      </c>
      <c r="G25" s="23">
        <v>1</v>
      </c>
      <c r="H25" s="19"/>
      <c r="I25" s="22"/>
      <c r="J25" s="17">
        <v>92969.297999999995</v>
      </c>
      <c r="K25">
        <f t="shared" si="3"/>
        <v>213829.38539999997</v>
      </c>
    </row>
    <row r="26" spans="1:11" ht="39" customHeight="1" x14ac:dyDescent="0.25">
      <c r="A26" s="19" t="s">
        <v>306</v>
      </c>
      <c r="B26" s="21" t="s">
        <v>307</v>
      </c>
      <c r="C26" s="22">
        <f t="shared" si="0"/>
        <v>739000</v>
      </c>
      <c r="D26" s="22">
        <f t="shared" si="1"/>
        <v>517299.99999999994</v>
      </c>
      <c r="E26" s="22">
        <f t="shared" si="2"/>
        <v>517299.99999999994</v>
      </c>
      <c r="F26" s="19" t="s">
        <v>139</v>
      </c>
      <c r="G26" s="23">
        <v>1</v>
      </c>
      <c r="H26" s="19"/>
      <c r="I26" s="22"/>
      <c r="J26" s="17">
        <v>321116.83200000005</v>
      </c>
      <c r="K26">
        <f t="shared" si="3"/>
        <v>738568.71360000002</v>
      </c>
    </row>
    <row r="27" spans="1:11" ht="39" customHeight="1" x14ac:dyDescent="0.25">
      <c r="A27" s="19" t="s">
        <v>309</v>
      </c>
      <c r="B27" s="21" t="s">
        <v>310</v>
      </c>
      <c r="C27" s="22">
        <f t="shared" si="0"/>
        <v>768000</v>
      </c>
      <c r="D27" s="22">
        <f t="shared" si="1"/>
        <v>537600</v>
      </c>
      <c r="E27" s="22">
        <f t="shared" si="2"/>
        <v>537600</v>
      </c>
      <c r="F27" s="19" t="s">
        <v>139</v>
      </c>
      <c r="G27" s="23">
        <v>1</v>
      </c>
      <c r="H27" s="19"/>
      <c r="I27" s="22"/>
      <c r="J27" s="17">
        <v>333713.86200000002</v>
      </c>
      <c r="K27">
        <f t="shared" si="3"/>
        <v>767541.88260000001</v>
      </c>
    </row>
  </sheetData>
  <autoFilter ref="A1:J27" xr:uid="{974A9530-4D79-4086-A7CD-DA06253069F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zoomScaleNormal="100" workbookViewId="0"/>
  </sheetViews>
  <sheetFormatPr defaultColWidth="8.7109375" defaultRowHeight="15" x14ac:dyDescent="0.25"/>
  <cols>
    <col min="1" max="1" width="6" customWidth="1"/>
    <col min="2" max="2" width="22" customWidth="1"/>
    <col min="3" max="3" width="62" customWidth="1"/>
    <col min="4" max="4" width="34" customWidth="1"/>
    <col min="5" max="5" width="14" customWidth="1"/>
    <col min="6" max="6" width="18" customWidth="1"/>
    <col min="7" max="7" width="16" customWidth="1"/>
  </cols>
  <sheetData>
    <row r="1" spans="1:7" ht="15" customHeight="1" x14ac:dyDescent="0.25">
      <c r="A1" s="6" t="s">
        <v>312</v>
      </c>
      <c r="B1" s="6" t="s">
        <v>313</v>
      </c>
      <c r="C1" s="6" t="s">
        <v>314</v>
      </c>
      <c r="D1" s="6" t="s">
        <v>315</v>
      </c>
      <c r="E1" s="6" t="s">
        <v>316</v>
      </c>
      <c r="F1" s="6" t="s">
        <v>317</v>
      </c>
      <c r="G1" s="6" t="s">
        <v>131</v>
      </c>
    </row>
    <row r="2" spans="1:7" ht="15" customHeight="1" x14ac:dyDescent="0.25">
      <c r="A2" s="2">
        <v>1</v>
      </c>
      <c r="B2" s="2" t="s">
        <v>318</v>
      </c>
      <c r="C2" s="2" t="s">
        <v>319</v>
      </c>
      <c r="D2" s="2" t="s">
        <v>141</v>
      </c>
      <c r="E2" s="2">
        <v>1</v>
      </c>
      <c r="F2" s="7">
        <f>BOM!H22</f>
        <v>0</v>
      </c>
      <c r="G2" s="7">
        <f t="shared" ref="G2:G27" si="0">E2*F2</f>
        <v>0</v>
      </c>
    </row>
    <row r="3" spans="1:7" ht="15" customHeight="1" x14ac:dyDescent="0.25">
      <c r="A3" s="2">
        <v>2</v>
      </c>
      <c r="B3" s="2" t="s">
        <v>320</v>
      </c>
      <c r="C3" s="2" t="s">
        <v>321</v>
      </c>
      <c r="D3" s="2" t="s">
        <v>189</v>
      </c>
      <c r="E3" s="2">
        <v>1</v>
      </c>
      <c r="F3" s="7">
        <f>BOM!H43</f>
        <v>0</v>
      </c>
      <c r="G3" s="7">
        <f t="shared" si="0"/>
        <v>0</v>
      </c>
    </row>
    <row r="4" spans="1:7" ht="15" customHeight="1" x14ac:dyDescent="0.25">
      <c r="A4" s="2">
        <v>3</v>
      </c>
      <c r="B4" s="2" t="s">
        <v>322</v>
      </c>
      <c r="C4" s="2" t="s">
        <v>323</v>
      </c>
      <c r="D4" s="2" t="s">
        <v>195</v>
      </c>
      <c r="E4" s="2">
        <v>1</v>
      </c>
      <c r="F4" s="7">
        <f>BOM!H74</f>
        <v>0</v>
      </c>
      <c r="G4" s="7">
        <f t="shared" si="0"/>
        <v>0</v>
      </c>
    </row>
    <row r="5" spans="1:7" ht="15" customHeight="1" x14ac:dyDescent="0.25">
      <c r="A5" s="2">
        <v>4</v>
      </c>
      <c r="B5" s="2" t="s">
        <v>324</v>
      </c>
      <c r="C5" s="2" t="s">
        <v>325</v>
      </c>
      <c r="D5" s="2" t="s">
        <v>141</v>
      </c>
      <c r="E5" s="2">
        <v>1</v>
      </c>
      <c r="F5" s="7">
        <f>BOM!H92</f>
        <v>0</v>
      </c>
      <c r="G5" s="7">
        <f t="shared" si="0"/>
        <v>0</v>
      </c>
    </row>
    <row r="6" spans="1:7" ht="15" customHeight="1" x14ac:dyDescent="0.25">
      <c r="A6" s="2">
        <v>5</v>
      </c>
      <c r="B6" s="2" t="s">
        <v>326</v>
      </c>
      <c r="C6" s="2" t="s">
        <v>327</v>
      </c>
      <c r="D6" s="2" t="s">
        <v>239</v>
      </c>
      <c r="E6" s="2">
        <v>1</v>
      </c>
      <c r="F6" s="7">
        <f>BOM!H108</f>
        <v>0</v>
      </c>
      <c r="G6" s="7">
        <f t="shared" si="0"/>
        <v>0</v>
      </c>
    </row>
    <row r="7" spans="1:7" ht="15" customHeight="1" x14ac:dyDescent="0.25">
      <c r="A7" s="2">
        <v>6</v>
      </c>
      <c r="B7" s="2" t="s">
        <v>328</v>
      </c>
      <c r="C7" s="2" t="s">
        <v>329</v>
      </c>
      <c r="D7" s="2" t="s">
        <v>195</v>
      </c>
      <c r="E7" s="2">
        <v>1</v>
      </c>
      <c r="F7" s="7">
        <f>BOM!H139</f>
        <v>0</v>
      </c>
      <c r="G7" s="7">
        <f t="shared" si="0"/>
        <v>0</v>
      </c>
    </row>
    <row r="8" spans="1:7" ht="15" customHeight="1" x14ac:dyDescent="0.25">
      <c r="A8" s="2">
        <v>7</v>
      </c>
      <c r="B8" s="2" t="s">
        <v>330</v>
      </c>
      <c r="C8" s="2" t="s">
        <v>331</v>
      </c>
      <c r="D8" s="2" t="s">
        <v>141</v>
      </c>
      <c r="E8" s="2">
        <v>1</v>
      </c>
      <c r="F8" s="7">
        <f>BOM!H157</f>
        <v>0</v>
      </c>
      <c r="G8" s="7">
        <f t="shared" si="0"/>
        <v>0</v>
      </c>
    </row>
    <row r="9" spans="1:7" ht="15" customHeight="1" x14ac:dyDescent="0.25">
      <c r="A9" s="2">
        <v>8</v>
      </c>
      <c r="B9" s="2" t="s">
        <v>332</v>
      </c>
      <c r="C9" s="2" t="s">
        <v>333</v>
      </c>
      <c r="D9" s="2" t="s">
        <v>239</v>
      </c>
      <c r="E9" s="2">
        <v>1</v>
      </c>
      <c r="F9" s="7">
        <f>BOM!H173</f>
        <v>0</v>
      </c>
      <c r="G9" s="7">
        <f t="shared" si="0"/>
        <v>0</v>
      </c>
    </row>
    <row r="10" spans="1:7" ht="15" customHeight="1" x14ac:dyDescent="0.25">
      <c r="A10" s="2">
        <v>9</v>
      </c>
      <c r="B10" s="2" t="s">
        <v>334</v>
      </c>
      <c r="C10" s="2" t="s">
        <v>335</v>
      </c>
      <c r="D10" s="2" t="s">
        <v>189</v>
      </c>
      <c r="E10" s="2">
        <v>1</v>
      </c>
      <c r="F10" s="7">
        <f>BOM!H194</f>
        <v>0</v>
      </c>
      <c r="G10" s="7">
        <f t="shared" si="0"/>
        <v>0</v>
      </c>
    </row>
    <row r="11" spans="1:7" ht="15" customHeight="1" x14ac:dyDescent="0.25">
      <c r="A11" s="2">
        <v>10</v>
      </c>
      <c r="B11" s="2" t="s">
        <v>336</v>
      </c>
      <c r="C11" s="2" t="s">
        <v>337</v>
      </c>
      <c r="D11" s="2" t="s">
        <v>189</v>
      </c>
      <c r="E11" s="2">
        <v>1</v>
      </c>
      <c r="F11" s="7">
        <f>BOM!H215</f>
        <v>0</v>
      </c>
      <c r="G11" s="7">
        <f t="shared" si="0"/>
        <v>0</v>
      </c>
    </row>
    <row r="12" spans="1:7" ht="15" customHeight="1" x14ac:dyDescent="0.25">
      <c r="A12" s="2">
        <v>11</v>
      </c>
      <c r="B12" s="2" t="s">
        <v>338</v>
      </c>
      <c r="C12" s="2" t="s">
        <v>339</v>
      </c>
      <c r="D12" s="2" t="s">
        <v>189</v>
      </c>
      <c r="E12" s="2">
        <v>1</v>
      </c>
      <c r="F12" s="7">
        <f>BOM!H236</f>
        <v>0</v>
      </c>
      <c r="G12" s="7">
        <f t="shared" si="0"/>
        <v>0</v>
      </c>
    </row>
    <row r="13" spans="1:7" ht="15" customHeight="1" x14ac:dyDescent="0.25">
      <c r="A13" s="2">
        <v>12</v>
      </c>
      <c r="B13" s="2" t="s">
        <v>340</v>
      </c>
      <c r="C13" s="2" t="s">
        <v>341</v>
      </c>
      <c r="D13" s="2" t="s">
        <v>141</v>
      </c>
      <c r="E13" s="2">
        <v>1</v>
      </c>
      <c r="F13" s="7">
        <f>BOM!H257</f>
        <v>0</v>
      </c>
      <c r="G13" s="7">
        <f t="shared" si="0"/>
        <v>0</v>
      </c>
    </row>
    <row r="14" spans="1:7" ht="15" customHeight="1" x14ac:dyDescent="0.25">
      <c r="A14" s="2">
        <v>13</v>
      </c>
      <c r="B14" s="2" t="s">
        <v>342</v>
      </c>
      <c r="C14" s="2" t="s">
        <v>343</v>
      </c>
      <c r="D14" s="2" t="s">
        <v>141</v>
      </c>
      <c r="E14" s="2">
        <v>1</v>
      </c>
      <c r="F14" s="7">
        <f>BOM!H278</f>
        <v>0</v>
      </c>
      <c r="G14" s="7">
        <f t="shared" si="0"/>
        <v>0</v>
      </c>
    </row>
    <row r="15" spans="1:7" ht="15" customHeight="1" x14ac:dyDescent="0.25">
      <c r="A15" s="2">
        <v>14</v>
      </c>
      <c r="B15" s="2" t="s">
        <v>344</v>
      </c>
      <c r="C15" s="2" t="s">
        <v>345</v>
      </c>
      <c r="D15" s="2" t="s">
        <v>189</v>
      </c>
      <c r="E15" s="2">
        <v>1</v>
      </c>
      <c r="F15" s="7">
        <f>BOM!H299</f>
        <v>0</v>
      </c>
      <c r="G15" s="7">
        <f t="shared" si="0"/>
        <v>0</v>
      </c>
    </row>
    <row r="16" spans="1:7" ht="15" customHeight="1" x14ac:dyDescent="0.25">
      <c r="A16" s="2">
        <v>15</v>
      </c>
      <c r="B16" s="2" t="s">
        <v>346</v>
      </c>
      <c r="C16" s="2" t="s">
        <v>347</v>
      </c>
      <c r="D16" s="2" t="s">
        <v>189</v>
      </c>
      <c r="E16" s="2">
        <v>1</v>
      </c>
      <c r="F16" s="7">
        <f>BOM!H321</f>
        <v>0</v>
      </c>
      <c r="G16" s="7">
        <f t="shared" si="0"/>
        <v>0</v>
      </c>
    </row>
    <row r="17" spans="1:7" ht="15" customHeight="1" x14ac:dyDescent="0.25">
      <c r="A17" s="2">
        <v>16</v>
      </c>
      <c r="B17" s="2" t="s">
        <v>348</v>
      </c>
      <c r="C17" s="2" t="s">
        <v>349</v>
      </c>
      <c r="D17" s="2" t="s">
        <v>189</v>
      </c>
      <c r="E17" s="2">
        <v>1</v>
      </c>
      <c r="F17" s="7">
        <f>BOM!H342</f>
        <v>0</v>
      </c>
      <c r="G17" s="7">
        <f t="shared" si="0"/>
        <v>0</v>
      </c>
    </row>
    <row r="18" spans="1:7" ht="15" customHeight="1" x14ac:dyDescent="0.25">
      <c r="A18" s="2">
        <v>17</v>
      </c>
      <c r="B18" s="2" t="s">
        <v>350</v>
      </c>
      <c r="C18" s="2" t="s">
        <v>351</v>
      </c>
      <c r="D18" s="2" t="s">
        <v>189</v>
      </c>
      <c r="E18" s="2">
        <v>1</v>
      </c>
      <c r="F18" s="7">
        <f>BOM!H363</f>
        <v>0</v>
      </c>
      <c r="G18" s="7">
        <f t="shared" si="0"/>
        <v>0</v>
      </c>
    </row>
    <row r="19" spans="1:7" ht="15" customHeight="1" x14ac:dyDescent="0.25">
      <c r="A19" s="2">
        <v>18</v>
      </c>
      <c r="B19" s="2" t="s">
        <v>352</v>
      </c>
      <c r="C19" s="2" t="s">
        <v>353</v>
      </c>
      <c r="D19" s="2" t="s">
        <v>141</v>
      </c>
      <c r="E19" s="2">
        <v>1</v>
      </c>
      <c r="F19" s="7">
        <f>BOM!H383</f>
        <v>0</v>
      </c>
      <c r="G19" s="7">
        <f t="shared" si="0"/>
        <v>0</v>
      </c>
    </row>
    <row r="20" spans="1:7" ht="15" customHeight="1" x14ac:dyDescent="0.25">
      <c r="A20" s="2">
        <v>19</v>
      </c>
      <c r="B20" s="2" t="s">
        <v>354</v>
      </c>
      <c r="C20" s="2" t="s">
        <v>355</v>
      </c>
      <c r="D20" s="2" t="s">
        <v>189</v>
      </c>
      <c r="E20" s="2">
        <v>1</v>
      </c>
      <c r="F20" s="7">
        <f>BOM!H404</f>
        <v>0</v>
      </c>
      <c r="G20" s="7">
        <f t="shared" si="0"/>
        <v>0</v>
      </c>
    </row>
    <row r="21" spans="1:7" ht="15" customHeight="1" x14ac:dyDescent="0.25">
      <c r="A21" s="2">
        <v>20</v>
      </c>
      <c r="B21" s="2" t="s">
        <v>356</v>
      </c>
      <c r="C21" s="2" t="s">
        <v>357</v>
      </c>
      <c r="D21" s="2" t="s">
        <v>291</v>
      </c>
      <c r="E21" s="2">
        <v>1</v>
      </c>
      <c r="F21" s="7">
        <f>BOM!H424</f>
        <v>0</v>
      </c>
      <c r="G21" s="7">
        <f t="shared" si="0"/>
        <v>0</v>
      </c>
    </row>
    <row r="22" spans="1:7" ht="15" customHeight="1" x14ac:dyDescent="0.25">
      <c r="A22" s="2">
        <v>21</v>
      </c>
      <c r="B22" s="2" t="s">
        <v>358</v>
      </c>
      <c r="C22" s="2" t="s">
        <v>359</v>
      </c>
      <c r="D22" s="2" t="s">
        <v>296</v>
      </c>
      <c r="E22" s="2">
        <v>1</v>
      </c>
      <c r="F22" s="7">
        <f>BOM!H442</f>
        <v>0</v>
      </c>
      <c r="G22" s="7">
        <f t="shared" si="0"/>
        <v>0</v>
      </c>
    </row>
    <row r="23" spans="1:7" ht="15" customHeight="1" x14ac:dyDescent="0.25">
      <c r="A23" s="2">
        <v>22</v>
      </c>
      <c r="B23" s="2" t="s">
        <v>360</v>
      </c>
      <c r="C23" s="2" t="s">
        <v>361</v>
      </c>
      <c r="D23" s="2" t="s">
        <v>189</v>
      </c>
      <c r="E23" s="2">
        <v>1</v>
      </c>
      <c r="F23" s="7">
        <f>BOM!H463</f>
        <v>0</v>
      </c>
      <c r="G23" s="7">
        <f t="shared" si="0"/>
        <v>0</v>
      </c>
    </row>
    <row r="24" spans="1:7" ht="15" customHeight="1" x14ac:dyDescent="0.25">
      <c r="A24" s="2">
        <v>23</v>
      </c>
      <c r="B24" s="2" t="s">
        <v>362</v>
      </c>
      <c r="C24" s="2" t="s">
        <v>363</v>
      </c>
      <c r="D24" s="2" t="s">
        <v>291</v>
      </c>
      <c r="E24" s="2">
        <v>1</v>
      </c>
      <c r="F24" s="7">
        <f>BOM!H483</f>
        <v>0</v>
      </c>
      <c r="G24" s="7">
        <f t="shared" si="0"/>
        <v>0</v>
      </c>
    </row>
    <row r="25" spans="1:7" ht="15" customHeight="1" x14ac:dyDescent="0.25">
      <c r="A25" s="2">
        <v>24</v>
      </c>
      <c r="B25" s="2" t="s">
        <v>364</v>
      </c>
      <c r="C25" s="2" t="s">
        <v>365</v>
      </c>
      <c r="D25" s="2" t="s">
        <v>141</v>
      </c>
      <c r="E25" s="2">
        <v>1</v>
      </c>
      <c r="F25" s="7">
        <f>BOM!H501</f>
        <v>0</v>
      </c>
      <c r="G25" s="7">
        <f t="shared" si="0"/>
        <v>0</v>
      </c>
    </row>
    <row r="26" spans="1:7" ht="15" customHeight="1" x14ac:dyDescent="0.25">
      <c r="A26" s="2">
        <v>25</v>
      </c>
      <c r="B26" s="2" t="s">
        <v>366</v>
      </c>
      <c r="C26" s="2" t="s">
        <v>367</v>
      </c>
      <c r="D26" s="2" t="s">
        <v>189</v>
      </c>
      <c r="E26" s="2">
        <v>1</v>
      </c>
      <c r="F26" s="7">
        <f>BOM!H522</f>
        <v>0</v>
      </c>
      <c r="G26" s="7">
        <f t="shared" si="0"/>
        <v>0</v>
      </c>
    </row>
    <row r="27" spans="1:7" ht="15" customHeight="1" x14ac:dyDescent="0.25">
      <c r="A27" s="2">
        <v>26</v>
      </c>
      <c r="B27" s="2" t="s">
        <v>368</v>
      </c>
      <c r="C27" s="2" t="s">
        <v>369</v>
      </c>
      <c r="D27" s="2" t="s">
        <v>189</v>
      </c>
      <c r="E27" s="2">
        <v>1</v>
      </c>
      <c r="F27" s="7">
        <f>BOM!H543</f>
        <v>0</v>
      </c>
      <c r="G27" s="7">
        <f t="shared" si="0"/>
        <v>0</v>
      </c>
    </row>
    <row r="28" spans="1:7" ht="15" customHeight="1" x14ac:dyDescent="0.25">
      <c r="A28" s="4"/>
      <c r="B28" s="4" t="s">
        <v>370</v>
      </c>
      <c r="C28" s="4"/>
      <c r="D28" s="4"/>
      <c r="E28" s="4">
        <f>SUM(E2:E27)</f>
        <v>26</v>
      </c>
      <c r="F28" s="8"/>
      <c r="G28" s="8">
        <f>SUM(G2:G27)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Kurallar</vt:lpstr>
      <vt:lpstr>BOM</vt:lpstr>
      <vt:lpstr>Sayfa1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2026-07-27T08:07:18Z</dcterms:created>
  <dcterms:modified xsi:type="dcterms:W3CDTF">2026-07-27T12:40:58Z</dcterms:modified>
  <dc:language>en-US</dc:language>
</cp:coreProperties>
</file>