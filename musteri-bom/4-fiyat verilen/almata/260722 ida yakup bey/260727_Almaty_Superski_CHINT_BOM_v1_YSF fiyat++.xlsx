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2 ida yakup bey\"/>
    </mc:Choice>
  </mc:AlternateContent>
  <xr:revisionPtr revIDLastSave="0" documentId="13_ncr:1_{0C1A9963-BBB4-45A0-B7CE-0E8FF18884E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4" r:id="rId1"/>
  </sheets>
  <definedNames>
    <definedName name="_xlnm._FilterDatabase" localSheetId="0">Sayfa1!$A$1:$H$27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" i="4"/>
</calcChain>
</file>

<file path=xl/sharedStrings.xml><?xml version="1.0" encoding="utf-8"?>
<sst xmlns="http://schemas.openxmlformats.org/spreadsheetml/2006/main" count="112" uniqueCount="56">
  <si>
    <t>Артикул</t>
  </si>
  <si>
    <t>Номенклатура</t>
  </si>
  <si>
    <t>Цена (лист)</t>
  </si>
  <si>
    <t>Цена нетто</t>
  </si>
  <si>
    <t>Сумма</t>
  </si>
  <si>
    <t>Кол-во</t>
  </si>
  <si>
    <t>Ед.изм.</t>
  </si>
  <si>
    <t>Завод</t>
  </si>
  <si>
    <t>ASM-ETN-027-EOM-DGD-0001</t>
  </si>
  <si>
    <t>L3-ЩР-1 — Здание оператора L3</t>
  </si>
  <si>
    <t>комплект</t>
  </si>
  <si>
    <t>ASM-ETN-028-EOM-DGD-0001</t>
  </si>
  <si>
    <t>L5LS-ЩР-1 — Здание оператора нижней станции L5 LS</t>
  </si>
  <si>
    <t>ASM-ETN-004-EOM-DGD-0001</t>
  </si>
  <si>
    <t>L5US-ВРУ-1 — Гараж для подвижного состава канатной дороги верхней станции L5 US — ВРУ-1</t>
  </si>
  <si>
    <t>L5US-ЩС-1 — Гараж верхней станции L5 US — ЩС-1</t>
  </si>
  <si>
    <t>L5US-ЩО-1 — Гараж верхней станции L5 US — ЩО-1</t>
  </si>
  <si>
    <t>ASM-ETN-005-EOM-DGD-0001</t>
  </si>
  <si>
    <t>L6LS-ВРУ-1 — Гараж для подвижного состава канатной дороги нижней станции L6 LS — ВРУ-1</t>
  </si>
  <si>
    <t>L6LS-ЩС-1 — Гараж нижней станции L6 LS — ЩС-1</t>
  </si>
  <si>
    <t>L6LS-ЩО-1 — Гараж нижней станции L6 LS — ЩО-1</t>
  </si>
  <si>
    <t>ASM-ETN-029-EOM-DGD-0001</t>
  </si>
  <si>
    <t>L6US-ЩР-1 — Здание оператора верхней станции L6 US</t>
  </si>
  <si>
    <t>ASM-ETN-030-EOM-DGD-0001</t>
  </si>
  <si>
    <t>L7LS-ЩР-1 — Здание оператора нижней станции L7 LS</t>
  </si>
  <si>
    <t>ASM-ETN-031-EOM-DGD-0001</t>
  </si>
  <si>
    <t>L7LS-WC-ЩР-1 — Кассы и общественные туалеты нижней станций L7 LS</t>
  </si>
  <si>
    <t>ASM-ETN-032-EOM-DGD-0001</t>
  </si>
  <si>
    <t>L7US-ЩР-1 — Здание оператора верхней станции L7 US</t>
  </si>
  <si>
    <t>ASM-ETN-033-EOM-DGD-0001</t>
  </si>
  <si>
    <t>L8-ЩР-1 — Здание оператора L8</t>
  </si>
  <si>
    <t>ASM-ETN-034-EOM-DGD-0001</t>
  </si>
  <si>
    <t>L10US-ЩР-1 — Здание оператора верхней станции L10 US</t>
  </si>
  <si>
    <t>ASM-ETN-013-EOM-DGD-0001</t>
  </si>
  <si>
    <t>L11LS-GARAJ-ЩР-1 — Гараж для подвижного состава канатной дороги, гараж снегоходов нижней станции L11 LS</t>
  </si>
  <si>
    <t>ASM-ETN-035-EOM-DGD-0001</t>
  </si>
  <si>
    <t>L11LS-OP-ЩР-1 — Здание оператора нижней станции L11 LS</t>
  </si>
  <si>
    <t>ASM-ETN-036-EOM-DGD-0001</t>
  </si>
  <si>
    <t>L11US-ЩР-1 — Здание оператора верхней станции L11 US</t>
  </si>
  <si>
    <t>ASM-ETN-014-EOM-DGD-0001</t>
  </si>
  <si>
    <t>L12LS-GARAJ-ЩР-1 — Гараж для подвижного состава канатной дороги нижней станции L12 LS</t>
  </si>
  <si>
    <t>ASM-ETN-037-EOM-DGD-0001</t>
  </si>
  <si>
    <t>L12LS-OP-ЩР-1 — Здание оператора нижней станции L12 LS</t>
  </si>
  <si>
    <t>ASM-ETN-038-EOM-DGD-0001</t>
  </si>
  <si>
    <t>L12US-ЩР-1 — Здание оператора верхней станции L12 US</t>
  </si>
  <si>
    <t>L12US-ЩСВ — Здание оператора верхней станции L12 US — ЩСВ</t>
  </si>
  <si>
    <t>ASM-ETN-039-EOM-DGD-0001</t>
  </si>
  <si>
    <t>L14LS-ЩР-1 — Здание оператора нижней станции L14 LS</t>
  </si>
  <si>
    <t>ASM-ETN-040-EOM-DGD-0001</t>
  </si>
  <si>
    <t>L14US-ЩР-1 — Пункт спасателей, здание оператора верхней станции L14 US</t>
  </si>
  <si>
    <t>L14US-ЩСВ — Пункт спасателей, здание оператора верхней станции L14 US — ЩСВ</t>
  </si>
  <si>
    <t>ASM-ETN-041-EOM-DGD-0001</t>
  </si>
  <si>
    <t>L15LS-ЩР-1 — Здание оператора нижней станции L15 LS</t>
  </si>
  <si>
    <t>ASM-ETN-042-EOM-DGD-0001</t>
  </si>
  <si>
    <t>L15US-ЩР-1 — Здание оператора верхней станции L15 US</t>
  </si>
  <si>
    <t>TEKLED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</si>
</sst>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b/>
      <sz val="16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3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9530-4D79-4086-A7CD-DA06253069FC}">
  <dimension ref="A1:H28"/>
  <sheetViews>
    <sheetView tabSelected="1" topLeftCell="A19" workbookViewId="0">
      <selection activeCell="L27" sqref="L27"/>
    </sheetView>
  </sheetViews>
  <sheetFormatPr defaultRowHeight="39" customHeight="1" x14ac:dyDescent="0.25"/>
  <cols>
    <col min="2" max="2" width="64.42578125" customWidth="1"/>
    <col min="3" max="3" width="13" style="7" customWidth="1"/>
    <col min="4" max="4" width="9.140625" style="7"/>
    <col min="5" max="5" width="18.28515625" style="7" customWidth="1"/>
    <col min="7" max="7" width="11.85546875" customWidth="1"/>
    <col min="8" max="8" width="21.140625" customWidth="1"/>
  </cols>
  <sheetData>
    <row r="1" spans="1:8" ht="39" customHeight="1" x14ac:dyDescent="0.25">
      <c r="A1" s="1" t="s">
        <v>0</v>
      </c>
      <c r="B1" s="1" t="s">
        <v>1</v>
      </c>
      <c r="C1" s="1" t="s">
        <v>6</v>
      </c>
      <c r="D1" s="1" t="s">
        <v>5</v>
      </c>
      <c r="E1" s="1" t="s">
        <v>7</v>
      </c>
      <c r="F1" s="1" t="s">
        <v>2</v>
      </c>
      <c r="G1" s="1" t="s">
        <v>3</v>
      </c>
      <c r="H1" s="1" t="s">
        <v>4</v>
      </c>
    </row>
    <row r="2" spans="1:8" ht="39" customHeight="1" x14ac:dyDescent="0.25">
      <c r="A2" s="2" t="s">
        <v>8</v>
      </c>
      <c r="B2" s="3" t="s">
        <v>9</v>
      </c>
      <c r="C2" s="5" t="s">
        <v>10</v>
      </c>
      <c r="D2" s="6">
        <v>1</v>
      </c>
      <c r="E2" s="5" t="s">
        <v>55</v>
      </c>
      <c r="F2" s="4">
        <v>733000</v>
      </c>
      <c r="G2" s="4">
        <v>513099.99999999994</v>
      </c>
      <c r="H2" s="4">
        <f>G2*D2</f>
        <v>513099.99999999994</v>
      </c>
    </row>
    <row r="3" spans="1:8" ht="39" customHeight="1" x14ac:dyDescent="0.25">
      <c r="A3" s="2" t="s">
        <v>11</v>
      </c>
      <c r="B3" s="3" t="s">
        <v>12</v>
      </c>
      <c r="C3" s="5" t="s">
        <v>10</v>
      </c>
      <c r="D3" s="6">
        <v>1</v>
      </c>
      <c r="E3" s="5" t="s">
        <v>55</v>
      </c>
      <c r="F3" s="4">
        <v>802000</v>
      </c>
      <c r="G3" s="4">
        <v>561400</v>
      </c>
      <c r="H3" s="4">
        <f>G3*D3</f>
        <v>561400</v>
      </c>
    </row>
    <row r="4" spans="1:8" ht="39" customHeight="1" x14ac:dyDescent="0.25">
      <c r="A4" s="2" t="s">
        <v>13</v>
      </c>
      <c r="B4" s="3" t="s">
        <v>14</v>
      </c>
      <c r="C4" s="5" t="s">
        <v>10</v>
      </c>
      <c r="D4" s="6">
        <v>1</v>
      </c>
      <c r="E4" s="5" t="s">
        <v>55</v>
      </c>
      <c r="F4" s="4">
        <v>1344000</v>
      </c>
      <c r="G4" s="4">
        <v>940799.99999999988</v>
      </c>
      <c r="H4" s="4">
        <f>G4*D4</f>
        <v>940799.99999999988</v>
      </c>
    </row>
    <row r="5" spans="1:8" ht="39" customHeight="1" x14ac:dyDescent="0.25">
      <c r="A5" s="2" t="s">
        <v>13</v>
      </c>
      <c r="B5" s="3" t="s">
        <v>15</v>
      </c>
      <c r="C5" s="5" t="s">
        <v>10</v>
      </c>
      <c r="D5" s="6">
        <v>1</v>
      </c>
      <c r="E5" s="5" t="s">
        <v>55</v>
      </c>
      <c r="F5" s="4">
        <v>226000</v>
      </c>
      <c r="G5" s="4">
        <v>158200</v>
      </c>
      <c r="H5" s="4">
        <f>G5*D5</f>
        <v>158200</v>
      </c>
    </row>
    <row r="6" spans="1:8" ht="39" customHeight="1" x14ac:dyDescent="0.25">
      <c r="A6" s="2" t="s">
        <v>13</v>
      </c>
      <c r="B6" s="3" t="s">
        <v>16</v>
      </c>
      <c r="C6" s="5" t="s">
        <v>10</v>
      </c>
      <c r="D6" s="6">
        <v>1</v>
      </c>
      <c r="E6" s="5" t="s">
        <v>55</v>
      </c>
      <c r="F6" s="4">
        <v>69000</v>
      </c>
      <c r="G6" s="4">
        <v>48300</v>
      </c>
      <c r="H6" s="4">
        <f>G6*D6</f>
        <v>48300</v>
      </c>
    </row>
    <row r="7" spans="1:8" ht="39" customHeight="1" x14ac:dyDescent="0.25">
      <c r="A7" s="2" t="s">
        <v>17</v>
      </c>
      <c r="B7" s="3" t="s">
        <v>18</v>
      </c>
      <c r="C7" s="5" t="s">
        <v>10</v>
      </c>
      <c r="D7" s="6">
        <v>1</v>
      </c>
      <c r="E7" s="5" t="s">
        <v>55</v>
      </c>
      <c r="F7" s="4">
        <v>1305000</v>
      </c>
      <c r="G7" s="4">
        <v>913500</v>
      </c>
      <c r="H7" s="4">
        <f>G7*D7</f>
        <v>913500</v>
      </c>
    </row>
    <row r="8" spans="1:8" ht="39" customHeight="1" x14ac:dyDescent="0.25">
      <c r="A8" s="2" t="s">
        <v>17</v>
      </c>
      <c r="B8" s="3" t="s">
        <v>19</v>
      </c>
      <c r="C8" s="5" t="s">
        <v>10</v>
      </c>
      <c r="D8" s="6">
        <v>1</v>
      </c>
      <c r="E8" s="5" t="s">
        <v>55</v>
      </c>
      <c r="F8" s="4">
        <v>252000</v>
      </c>
      <c r="G8" s="4">
        <v>176400</v>
      </c>
      <c r="H8" s="4">
        <f>G8*D8</f>
        <v>176400</v>
      </c>
    </row>
    <row r="9" spans="1:8" ht="39" customHeight="1" x14ac:dyDescent="0.25">
      <c r="A9" s="2" t="s">
        <v>17</v>
      </c>
      <c r="B9" s="3" t="s">
        <v>20</v>
      </c>
      <c r="C9" s="5" t="s">
        <v>10</v>
      </c>
      <c r="D9" s="6">
        <v>1</v>
      </c>
      <c r="E9" s="5" t="s">
        <v>55</v>
      </c>
      <c r="F9" s="4">
        <v>68000</v>
      </c>
      <c r="G9" s="4">
        <v>47600</v>
      </c>
      <c r="H9" s="4">
        <f>G9*D9</f>
        <v>47600</v>
      </c>
    </row>
    <row r="10" spans="1:8" ht="39" customHeight="1" x14ac:dyDescent="0.25">
      <c r="A10" s="2" t="s">
        <v>21</v>
      </c>
      <c r="B10" s="3" t="s">
        <v>22</v>
      </c>
      <c r="C10" s="5" t="s">
        <v>10</v>
      </c>
      <c r="D10" s="6">
        <v>1</v>
      </c>
      <c r="E10" s="5" t="s">
        <v>55</v>
      </c>
      <c r="F10" s="4">
        <v>788000</v>
      </c>
      <c r="G10" s="4">
        <v>551600</v>
      </c>
      <c r="H10" s="4">
        <f>G10*D10</f>
        <v>551600</v>
      </c>
    </row>
    <row r="11" spans="1:8" ht="39" customHeight="1" x14ac:dyDescent="0.25">
      <c r="A11" s="2" t="s">
        <v>23</v>
      </c>
      <c r="B11" s="3" t="s">
        <v>24</v>
      </c>
      <c r="C11" s="5" t="s">
        <v>10</v>
      </c>
      <c r="D11" s="6">
        <v>1</v>
      </c>
      <c r="E11" s="5" t="s">
        <v>55</v>
      </c>
      <c r="F11" s="4">
        <v>728000</v>
      </c>
      <c r="G11" s="4">
        <v>509599.99999999994</v>
      </c>
      <c r="H11" s="4">
        <f>G11*D11</f>
        <v>509599.99999999994</v>
      </c>
    </row>
    <row r="12" spans="1:8" ht="39" customHeight="1" x14ac:dyDescent="0.25">
      <c r="A12" s="2" t="s">
        <v>25</v>
      </c>
      <c r="B12" s="3" t="s">
        <v>26</v>
      </c>
      <c r="C12" s="5" t="s">
        <v>10</v>
      </c>
      <c r="D12" s="6">
        <v>1</v>
      </c>
      <c r="E12" s="5" t="s">
        <v>55</v>
      </c>
      <c r="F12" s="4">
        <v>803000</v>
      </c>
      <c r="G12" s="4">
        <v>562100</v>
      </c>
      <c r="H12" s="4">
        <f>G12*D12</f>
        <v>562100</v>
      </c>
    </row>
    <row r="13" spans="1:8" ht="39" customHeight="1" x14ac:dyDescent="0.25">
      <c r="A13" s="2" t="s">
        <v>27</v>
      </c>
      <c r="B13" s="3" t="s">
        <v>28</v>
      </c>
      <c r="C13" s="5" t="s">
        <v>10</v>
      </c>
      <c r="D13" s="6">
        <v>1</v>
      </c>
      <c r="E13" s="5" t="s">
        <v>55</v>
      </c>
      <c r="F13" s="4">
        <v>695000</v>
      </c>
      <c r="G13" s="4">
        <v>486499.99999999994</v>
      </c>
      <c r="H13" s="4">
        <f>G13*D13</f>
        <v>486499.99999999994</v>
      </c>
    </row>
    <row r="14" spans="1:8" ht="39" customHeight="1" x14ac:dyDescent="0.25">
      <c r="A14" s="2" t="s">
        <v>29</v>
      </c>
      <c r="B14" s="3" t="s">
        <v>30</v>
      </c>
      <c r="C14" s="5" t="s">
        <v>10</v>
      </c>
      <c r="D14" s="6">
        <v>1</v>
      </c>
      <c r="E14" s="5" t="s">
        <v>55</v>
      </c>
      <c r="F14" s="4">
        <v>695000</v>
      </c>
      <c r="G14" s="4">
        <v>486499.99999999994</v>
      </c>
      <c r="H14" s="4">
        <f>G14*D14</f>
        <v>486499.99999999994</v>
      </c>
    </row>
    <row r="15" spans="1:8" ht="39" customHeight="1" x14ac:dyDescent="0.25">
      <c r="A15" s="2" t="s">
        <v>31</v>
      </c>
      <c r="B15" s="3" t="s">
        <v>32</v>
      </c>
      <c r="C15" s="5" t="s">
        <v>10</v>
      </c>
      <c r="D15" s="6">
        <v>1</v>
      </c>
      <c r="E15" s="5" t="s">
        <v>55</v>
      </c>
      <c r="F15" s="4">
        <v>789000</v>
      </c>
      <c r="G15" s="4">
        <v>552300</v>
      </c>
      <c r="H15" s="4">
        <f>G15*D15</f>
        <v>552300</v>
      </c>
    </row>
    <row r="16" spans="1:8" ht="39" customHeight="1" x14ac:dyDescent="0.25">
      <c r="A16" s="2" t="s">
        <v>33</v>
      </c>
      <c r="B16" s="3" t="s">
        <v>34</v>
      </c>
      <c r="C16" s="5" t="s">
        <v>10</v>
      </c>
      <c r="D16" s="6">
        <v>1</v>
      </c>
      <c r="E16" s="5" t="s">
        <v>55</v>
      </c>
      <c r="F16" s="4">
        <v>893000</v>
      </c>
      <c r="G16" s="4">
        <v>625100</v>
      </c>
      <c r="H16" s="4">
        <f>G16*D16</f>
        <v>625100</v>
      </c>
    </row>
    <row r="17" spans="1:8" ht="39" customHeight="1" x14ac:dyDescent="0.25">
      <c r="A17" s="2" t="s">
        <v>35</v>
      </c>
      <c r="B17" s="3" t="s">
        <v>36</v>
      </c>
      <c r="C17" s="5" t="s">
        <v>10</v>
      </c>
      <c r="D17" s="6">
        <v>1</v>
      </c>
      <c r="E17" s="5" t="s">
        <v>55</v>
      </c>
      <c r="F17" s="4">
        <v>739000</v>
      </c>
      <c r="G17" s="4">
        <v>517299.99999999994</v>
      </c>
      <c r="H17" s="4">
        <f>G17*D17</f>
        <v>517299.99999999994</v>
      </c>
    </row>
    <row r="18" spans="1:8" ht="39" customHeight="1" x14ac:dyDescent="0.25">
      <c r="A18" s="2" t="s">
        <v>37</v>
      </c>
      <c r="B18" s="3" t="s">
        <v>38</v>
      </c>
      <c r="C18" s="5" t="s">
        <v>10</v>
      </c>
      <c r="D18" s="6">
        <v>1</v>
      </c>
      <c r="E18" s="5" t="s">
        <v>55</v>
      </c>
      <c r="F18" s="4">
        <v>789000</v>
      </c>
      <c r="G18" s="4">
        <v>552300</v>
      </c>
      <c r="H18" s="4">
        <f>G18*D18</f>
        <v>552300</v>
      </c>
    </row>
    <row r="19" spans="1:8" ht="39" customHeight="1" x14ac:dyDescent="0.25">
      <c r="A19" s="2" t="s">
        <v>39</v>
      </c>
      <c r="B19" s="3" t="s">
        <v>40</v>
      </c>
      <c r="C19" s="5" t="s">
        <v>10</v>
      </c>
      <c r="D19" s="6">
        <v>1</v>
      </c>
      <c r="E19" s="5" t="s">
        <v>55</v>
      </c>
      <c r="F19" s="4">
        <v>730000</v>
      </c>
      <c r="G19" s="4">
        <v>510999.99999999994</v>
      </c>
      <c r="H19" s="4">
        <f>G19*D19</f>
        <v>510999.99999999994</v>
      </c>
    </row>
    <row r="20" spans="1:8" ht="39" customHeight="1" x14ac:dyDescent="0.25">
      <c r="A20" s="2" t="s">
        <v>41</v>
      </c>
      <c r="B20" s="3" t="s">
        <v>42</v>
      </c>
      <c r="C20" s="5" t="s">
        <v>10</v>
      </c>
      <c r="D20" s="6">
        <v>1</v>
      </c>
      <c r="E20" s="5" t="s">
        <v>55</v>
      </c>
      <c r="F20" s="4">
        <v>754000</v>
      </c>
      <c r="G20" s="4">
        <v>527800</v>
      </c>
      <c r="H20" s="4">
        <f>G20*D20</f>
        <v>527800</v>
      </c>
    </row>
    <row r="21" spans="1:8" ht="39" customHeight="1" x14ac:dyDescent="0.25">
      <c r="A21" s="2" t="s">
        <v>43</v>
      </c>
      <c r="B21" s="3" t="s">
        <v>44</v>
      </c>
      <c r="C21" s="5" t="s">
        <v>10</v>
      </c>
      <c r="D21" s="6">
        <v>1</v>
      </c>
      <c r="E21" s="5" t="s">
        <v>55</v>
      </c>
      <c r="F21" s="4">
        <v>793000</v>
      </c>
      <c r="G21" s="4">
        <v>555100</v>
      </c>
      <c r="H21" s="4">
        <f>G21*D21</f>
        <v>555100</v>
      </c>
    </row>
    <row r="22" spans="1:8" ht="39" customHeight="1" x14ac:dyDescent="0.25">
      <c r="A22" s="2" t="s">
        <v>43</v>
      </c>
      <c r="B22" s="3" t="s">
        <v>45</v>
      </c>
      <c r="C22" s="5" t="s">
        <v>10</v>
      </c>
      <c r="D22" s="6">
        <v>1</v>
      </c>
      <c r="E22" s="5" t="s">
        <v>55</v>
      </c>
      <c r="F22" s="4">
        <v>192000</v>
      </c>
      <c r="G22" s="4">
        <v>134400</v>
      </c>
      <c r="H22" s="4">
        <f>G22*D22</f>
        <v>134400</v>
      </c>
    </row>
    <row r="23" spans="1:8" ht="39" customHeight="1" x14ac:dyDescent="0.25">
      <c r="A23" s="2" t="s">
        <v>46</v>
      </c>
      <c r="B23" s="3" t="s">
        <v>47</v>
      </c>
      <c r="C23" s="5" t="s">
        <v>10</v>
      </c>
      <c r="D23" s="6">
        <v>1</v>
      </c>
      <c r="E23" s="5" t="s">
        <v>55</v>
      </c>
      <c r="F23" s="4">
        <v>800000</v>
      </c>
      <c r="G23" s="4">
        <v>560000</v>
      </c>
      <c r="H23" s="4">
        <f>G23*D23</f>
        <v>560000</v>
      </c>
    </row>
    <row r="24" spans="1:8" ht="39" customHeight="1" x14ac:dyDescent="0.25">
      <c r="A24" s="2" t="s">
        <v>48</v>
      </c>
      <c r="B24" s="3" t="s">
        <v>49</v>
      </c>
      <c r="C24" s="5" t="s">
        <v>10</v>
      </c>
      <c r="D24" s="6">
        <v>1</v>
      </c>
      <c r="E24" s="5" t="s">
        <v>55</v>
      </c>
      <c r="F24" s="4">
        <v>793000</v>
      </c>
      <c r="G24" s="4">
        <v>555100</v>
      </c>
      <c r="H24" s="4">
        <f>G24*D24</f>
        <v>555100</v>
      </c>
    </row>
    <row r="25" spans="1:8" ht="39" customHeight="1" x14ac:dyDescent="0.25">
      <c r="A25" s="2" t="s">
        <v>48</v>
      </c>
      <c r="B25" s="3" t="s">
        <v>50</v>
      </c>
      <c r="C25" s="5" t="s">
        <v>10</v>
      </c>
      <c r="D25" s="6">
        <v>1</v>
      </c>
      <c r="E25" s="5" t="s">
        <v>55</v>
      </c>
      <c r="F25" s="4">
        <v>214000</v>
      </c>
      <c r="G25" s="4">
        <v>149800</v>
      </c>
      <c r="H25" s="4">
        <f>G25*D25</f>
        <v>149800</v>
      </c>
    </row>
    <row r="26" spans="1:8" ht="39" customHeight="1" x14ac:dyDescent="0.25">
      <c r="A26" s="2" t="s">
        <v>51</v>
      </c>
      <c r="B26" s="3" t="s">
        <v>52</v>
      </c>
      <c r="C26" s="5" t="s">
        <v>10</v>
      </c>
      <c r="D26" s="6">
        <v>1</v>
      </c>
      <c r="E26" s="5" t="s">
        <v>55</v>
      </c>
      <c r="F26" s="4">
        <v>739000</v>
      </c>
      <c r="G26" s="4">
        <v>517299.99999999994</v>
      </c>
      <c r="H26" s="4">
        <f>G26*D26</f>
        <v>517299.99999999994</v>
      </c>
    </row>
    <row r="27" spans="1:8" ht="39" customHeight="1" x14ac:dyDescent="0.25">
      <c r="A27" s="2" t="s">
        <v>53</v>
      </c>
      <c r="B27" s="3" t="s">
        <v>54</v>
      </c>
      <c r="C27" s="5" t="s">
        <v>10</v>
      </c>
      <c r="D27" s="6">
        <v>1</v>
      </c>
      <c r="E27" s="5" t="s">
        <v>55</v>
      </c>
      <c r="F27" s="4">
        <v>768000</v>
      </c>
      <c r="G27" s="4">
        <v>537600</v>
      </c>
      <c r="H27" s="4">
        <f>G27*D27</f>
        <v>537600</v>
      </c>
    </row>
    <row r="28" spans="1:8" ht="39" customHeight="1" x14ac:dyDescent="0.35">
      <c r="H28" s="8">
        <f>SUM(H2:H27)</f>
        <v>12250700</v>
      </c>
    </row>
  </sheetData>
  <autoFilter ref="A1:H27" xr:uid="{974A9530-4D79-4086-A7CD-DA06253069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2026-07-27T08:07:18Z</dcterms:created>
  <dcterms:modified xsi:type="dcterms:W3CDTF">2026-07-27T12:44:27Z</dcterms:modified>
  <dc:language>en-US</dc:language>
</cp:coreProperties>
</file>