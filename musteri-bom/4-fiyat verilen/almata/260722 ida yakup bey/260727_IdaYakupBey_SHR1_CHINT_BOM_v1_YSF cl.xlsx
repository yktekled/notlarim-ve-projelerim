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ida yakup bey\"/>
    </mc:Choice>
  </mc:AlternateContent>
  <xr:revisionPtr revIDLastSave="0" documentId="13_ncr:1_{A98DEC8A-9031-4416-B174-30AF6209721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Kurallar" sheetId="1" r:id="rId1"/>
    <sheet name="BOM" sheetId="2" r:id="rId2"/>
    <sheet name="СВО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4" i="2" l="1"/>
  <c r="H44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I65" i="2"/>
  <c r="G65" i="2"/>
  <c r="F65" i="2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47" i="2"/>
  <c r="H47" i="2" s="1"/>
  <c r="G46" i="2"/>
  <c r="H46" i="2" s="1"/>
  <c r="G45" i="2"/>
  <c r="H45" i="2" s="1"/>
  <c r="G43" i="2"/>
  <c r="H43" i="2" s="1"/>
  <c r="B42" i="2"/>
  <c r="B43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I40" i="2"/>
  <c r="F40" i="2" s="1"/>
  <c r="G40" i="2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G3" i="2"/>
  <c r="H3" i="2" s="1"/>
  <c r="G20" i="2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18" i="1"/>
  <c r="I20" i="2" s="1"/>
  <c r="F20" i="2" s="1"/>
  <c r="B44" i="2" l="1"/>
  <c r="H65" i="2"/>
  <c r="G64" i="2"/>
  <c r="H64" i="2" s="1"/>
  <c r="H66" i="2" s="1"/>
  <c r="H40" i="2"/>
  <c r="G39" i="2"/>
  <c r="H39" i="2" s="1"/>
  <c r="H20" i="2"/>
  <c r="D2" i="3"/>
  <c r="E2" i="3" s="1"/>
  <c r="E3" i="3" s="1"/>
  <c r="G19" i="2"/>
  <c r="H19" i="2" s="1"/>
  <c r="H21" i="2" s="1"/>
  <c r="H41" i="2" l="1"/>
</calcChain>
</file>

<file path=xl/sharedStrings.xml><?xml version="1.0" encoding="utf-8"?>
<sst xmlns="http://schemas.openxmlformats.org/spreadsheetml/2006/main" count="391" uniqueCount="157">
  <si>
    <t>PARAMETRE</t>
  </si>
  <si>
    <t>DEĞER</t>
  </si>
  <si>
    <t>AÇIKLAMA</t>
  </si>
  <si>
    <t>CHINT net katsayısı</t>
  </si>
  <si>
    <t>Liste × 0,60 (%40 indirim). Liste: CHINT 13.06.2026 (KZT)</t>
  </si>
  <si>
    <t>EKT / IEK / UNIT katsayısı</t>
  </si>
  <si>
    <t>Liste: EKT 19.06.2025 (KZT)</t>
  </si>
  <si>
    <t>САЙМАН katsayısı</t>
  </si>
  <si>
    <t>Liste: САЙМАН 2026 (KZT)</t>
  </si>
  <si>
    <t>Montaj malzemesi oranı</t>
  </si>
  <si>
    <t>Pano malzeme ara toplamının %3'ü</t>
  </si>
  <si>
    <t>İşçilik birim fiyat (KZT/dk)</t>
  </si>
  <si>
    <t>Montajная работа</t>
  </si>
  <si>
    <t>Test/etiket/kontrol çarpanı</t>
  </si>
  <si>
    <t>Toplam dakika × 1,15</t>
  </si>
  <si>
    <t>ZAMAN NORMLARI</t>
  </si>
  <si>
    <t>dakika</t>
  </si>
  <si>
    <t>Korpus hazırlık (orta boy)</t>
  </si>
  <si>
    <t>dk/adet</t>
  </si>
  <si>
    <t>АВР / MCCB ≤250A</t>
  </si>
  <si>
    <t>Sayaç (trafosuz)</t>
  </si>
  <si>
    <t>Диф.авт. (RCBO) 1P+N</t>
  </si>
  <si>
    <t>Авт.выкл. (MCB) 1P</t>
  </si>
  <si>
    <t>Авт.выкл. (MCB) 3P</t>
  </si>
  <si>
    <t>Klemens</t>
  </si>
  <si>
    <t>DIN ray / kablo kanalı</t>
  </si>
  <si>
    <t>dk/m</t>
  </si>
  <si>
    <t>HESAPLANAN İŞÇİLİK (dk)</t>
  </si>
  <si>
    <t>ЩР-1 toplam dakika</t>
  </si>
  <si>
    <t>PROJE</t>
  </si>
  <si>
    <t>260727 İda Yakup Bey — ЩР-1 — CHINT</t>
  </si>
  <si>
    <t>Şema verisi</t>
  </si>
  <si>
    <t>Ру=11,2 kW · Кс=0,8 · Рр=9,0 kW · cosφ=0,9 · Iр=15,1 A · Un=380 V</t>
  </si>
  <si>
    <t>FİYAT LİSTESİ YAŞI</t>
  </si>
  <si>
    <t>CHINT 13.06.2026</t>
  </si>
  <si>
    <t>1,5 ay — GÜNCEL</t>
  </si>
  <si>
    <t>САЙМАН 2026</t>
  </si>
  <si>
    <t>GÜNCEL</t>
  </si>
  <si>
    <t>EKT 19.06.2025</t>
  </si>
  <si>
    <t>UYARI: 13 ay — 2026 listesi istenmeli</t>
  </si>
  <si>
    <t>Teksan 14.04.2025</t>
  </si>
  <si>
    <t>KULLANILMADI: dosya aydınlatma stoğu, korpus stoğu değil. Korpus EKT'den alındı.</t>
  </si>
  <si>
    <t>KONTROL / RİSK</t>
  </si>
  <si>
    <t>АВР NXZM-63</t>
  </si>
  <si>
    <t>Şemada 3P 32A. CHINT'te 32A YOK. 40A alındı (art.256759), stok sadece 3 ad. Şemada 2. besleme (rezerv) görünmüyor — АВР gerçekten var mı? Alternatif: NXM-63S/3P 32A giriş şalteri (KONTROL bölümünde).</t>
  </si>
  <si>
    <t>NXB-63 1P B10A</t>
  </si>
  <si>
    <t>STOK 0 (art.814039). Alternatif NXB-63 1P C10 (art.814013, stok 3720) KONTROL bölümünde.</t>
  </si>
  <si>
    <t>NXBLE-63 1P+N</t>
  </si>
  <si>
    <t>Düz NXBLE-63 serisi stokta sadece 2P/4P. 1P+N için NXBLE-63YH (6kA, tip AC) alındı. Tip A isteniyorsa: 515381 (C16), 515388 (C20) — aynı fiyat.</t>
  </si>
  <si>
    <t>Sayaç</t>
  </si>
  <si>
    <t>Şemada Дала САР4-Э721 ТХ PLC IP П RS 10(100A). САЙМАН 2026 listesinde Э721 yok; Дала СА4-Э720 R ТХ IР П RS Д 10-100A (kod LI) eşdeğer alındı. Sayaç ЭСО/müşteri temini ise satır silinecek.</t>
  </si>
  <si>
    <t>Şema görseli</t>
  </si>
  <si>
    <t>Görsel alttan kesik — kablo/yük tablosu okunamadı, çift kaynak doğrulama YAPILAMADI.</t>
  </si>
  <si>
    <t>Parafudr (ОПН)</t>
  </si>
  <si>
    <t>Şemada yok. Bina giriş panosu — eklenmesi değerlendirilmeli.</t>
  </si>
  <si>
    <t>Faz dağılımı</t>
  </si>
  <si>
    <t>8 adet tek fazlı çıkış L1/L2/L3'e dengeli dağıtılacak (montaj notu).</t>
  </si>
  <si>
    <t>Korpus seçimi</t>
  </si>
  <si>
    <t>19 modül DIN + АВР bloğu (~180×165 mm) → ЩМП-3 IP31 650×500×220. АВР iptal olursa ЩМП-2 500×400×220 yeterli.</t>
  </si>
  <si>
    <t>ROW</t>
  </si>
  <si>
    <t>Наименование1</t>
  </si>
  <si>
    <t>Тип</t>
  </si>
  <si>
    <t>Артикул</t>
  </si>
  <si>
    <t>Номенклатура</t>
  </si>
  <si>
    <t>Цена (лист)</t>
  </si>
  <si>
    <t>Цена нетто</t>
  </si>
  <si>
    <t>Сумма</t>
  </si>
  <si>
    <t>Кол-во</t>
  </si>
  <si>
    <t>Ед.изм.</t>
  </si>
  <si>
    <t>Завод</t>
  </si>
  <si>
    <t>malz</t>
  </si>
  <si>
    <t>mal grup</t>
  </si>
  <si>
    <t>пано</t>
  </si>
  <si>
    <t>ЩР-1 (шкаф распределительный, ввод + учёт, 10 отходящих линий)</t>
  </si>
  <si>
    <t>комплект</t>
  </si>
  <si>
    <t>korpus</t>
  </si>
  <si>
    <t>шт.</t>
  </si>
  <si>
    <t>256759</t>
  </si>
  <si>
    <t>Устройство автоматического ввода резерва NXZM-63S/3B 40A (АВР)</t>
  </si>
  <si>
    <t>CHINT</t>
  </si>
  <si>
    <t>sayac</t>
  </si>
  <si>
    <t>САЙМАН</t>
  </si>
  <si>
    <t>DİF</t>
  </si>
  <si>
    <t>515380</t>
  </si>
  <si>
    <t>Диф. авт. выкл. NXBLE-63YH 1P+N C16 30mA тип AC, 6kA</t>
  </si>
  <si>
    <t>515387</t>
  </si>
  <si>
    <t>Диф. авт. выкл. NXBLE-63YH 1P+N C20 30mA тип AC, 6kA</t>
  </si>
  <si>
    <t>OTO</t>
  </si>
  <si>
    <t>814014</t>
  </si>
  <si>
    <t>Авт. выкл. NXB-63 1P 16A 6кА х-ка C</t>
  </si>
  <si>
    <t>814039</t>
  </si>
  <si>
    <t>Авт. выкл. NXB-63 1P 10A 6кА х-ка B</t>
  </si>
  <si>
    <t>814171</t>
  </si>
  <si>
    <t>Авт. выкл. NXB-63 3P 20A 6кА х-ка C</t>
  </si>
  <si>
    <t>LOOBAR</t>
  </si>
  <si>
    <t>130200007_</t>
  </si>
  <si>
    <t>Шина "N" нулевая 6х9мм 14/2 (крепеж по краям) IEK</t>
  </si>
  <si>
    <t>130200409_</t>
  </si>
  <si>
    <t>Шина РЕ "земля" в комб DIN-изол "Стойка" ШНИ-8х12-8-КС-Ж IEK</t>
  </si>
  <si>
    <t>130301153_</t>
  </si>
  <si>
    <t>ЗНИ 4мм² (35А) серый UNIT</t>
  </si>
  <si>
    <t>montajный материал</t>
  </si>
  <si>
    <t>570003</t>
  </si>
  <si>
    <t>DIN-рейка оцинкованная TH35-7.5 100cm</t>
  </si>
  <si>
    <t>м</t>
  </si>
  <si>
    <t>270300105_</t>
  </si>
  <si>
    <t>Кабель-канал перф. 40х60 ИМПАКТ IEK (2 м)</t>
  </si>
  <si>
    <t>100300025_</t>
  </si>
  <si>
    <t>Провод ПВ3-2,5 белый ГОСТ</t>
  </si>
  <si>
    <t>100300031_</t>
  </si>
  <si>
    <t>Провод ПВ3-6 белый ГОСТ</t>
  </si>
  <si>
    <t>100300076_</t>
  </si>
  <si>
    <t>Провод ПВ3-1,5 жёлто-зелёный ГОСТ</t>
  </si>
  <si>
    <t>MM-3%</t>
  </si>
  <si>
    <t>Монтажные материалы (крепёж, маркировка, наконечники, стяжки) — 3% от материалов</t>
  </si>
  <si>
    <t>компл.</t>
  </si>
  <si>
    <t>-</t>
  </si>
  <si>
    <t>montajная работа</t>
  </si>
  <si>
    <t>ISC-01</t>
  </si>
  <si>
    <t>Сборка, монтаж, маркировка и испытание щита (норма времени, мин)</t>
  </si>
  <si>
    <t>мин</t>
  </si>
  <si>
    <t>№</t>
  </si>
  <si>
    <t>Наименование щита</t>
  </si>
  <si>
    <t>Кол-во компл.</t>
  </si>
  <si>
    <t>Цена за 1 компл.</t>
  </si>
  <si>
    <t>Примечание</t>
  </si>
  <si>
    <t>АВР ve sayaç dahil. KONTROL satırları hariç.</t>
  </si>
  <si>
    <t>ИТОГО</t>
  </si>
  <si>
    <t>pys</t>
  </si>
  <si>
    <t>IB</t>
  </si>
  <si>
    <t>ДАЛА СА4-Э720 R TX OP P П RS1 Д W (3x220/380V 5-100A)</t>
  </si>
  <si>
    <t>714-15117</t>
  </si>
  <si>
    <t>Щит мет. ЩРн-5-2 PR (1000x650x300) IP31 (TS)</t>
  </si>
  <si>
    <t>kaztek</t>
  </si>
  <si>
    <t>ЩР-1 (260727 sprksy) (ELL-L3)</t>
  </si>
  <si>
    <t>ЩР-1 (260727 sprksy) (L5LS-ЩР-1)</t>
  </si>
  <si>
    <t>3*32</t>
  </si>
  <si>
    <t>ВРУ-1(ВРУ1-18-80 УХЛ4)(260727 sprksy) (L5US-ВРУ-1)</t>
  </si>
  <si>
    <t>1600*600*400</t>
  </si>
  <si>
    <t>ats</t>
  </si>
  <si>
    <t>ATS</t>
  </si>
  <si>
    <t>MCCB</t>
  </si>
  <si>
    <t>SAYAÇ</t>
  </si>
  <si>
    <t>AKIM TRAFOSU</t>
  </si>
  <si>
    <t>MCB</t>
  </si>
  <si>
    <t>SİNYAL</t>
  </si>
  <si>
    <t>NXZM-125 4P 63A</t>
  </si>
  <si>
    <t>NXM-125 3P 63A</t>
  </si>
  <si>
    <t>NXM-63 3P 16A</t>
  </si>
  <si>
    <t>NXM-63 3P 25A</t>
  </si>
  <si>
    <t>NXM-63 3P 32A</t>
  </si>
  <si>
    <t>NXM-63 3P 40A</t>
  </si>
  <si>
    <t>NXM-63 3P 50A</t>
  </si>
  <si>
    <t>ДАЛА САР4У-Э721 ТХ PLC IP П RS</t>
  </si>
  <si>
    <t>Т-0,66 100/5A</t>
  </si>
  <si>
    <t>NXB-63 1P B6</t>
  </si>
  <si>
    <t>ND16-22DS AC230V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</si>
</sst>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3" fontId="3" fillId="0" borderId="1" xfId="0" applyNumberFormat="1" applyFont="1" applyBorder="1"/>
    <xf numFmtId="3" fontId="2" fillId="0" borderId="1" xfId="0" applyNumberFormat="1" applyFont="1" applyBorder="1"/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4" customWidth="1"/>
    <col min="3" max="3" width="6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0.6</v>
      </c>
      <c r="C2" s="2" t="s">
        <v>4</v>
      </c>
    </row>
    <row r="3" spans="1:3" x14ac:dyDescent="0.25">
      <c r="A3" s="2" t="s">
        <v>5</v>
      </c>
      <c r="B3" s="3">
        <v>1</v>
      </c>
      <c r="C3" s="2" t="s">
        <v>6</v>
      </c>
    </row>
    <row r="4" spans="1:3" x14ac:dyDescent="0.25">
      <c r="A4" s="2" t="s">
        <v>7</v>
      </c>
      <c r="B4" s="3">
        <v>1</v>
      </c>
      <c r="C4" s="2" t="s">
        <v>8</v>
      </c>
    </row>
    <row r="5" spans="1:3" x14ac:dyDescent="0.25">
      <c r="A5" s="2" t="s">
        <v>9</v>
      </c>
      <c r="B5" s="3">
        <v>0.03</v>
      </c>
      <c r="C5" s="2" t="s">
        <v>10</v>
      </c>
    </row>
    <row r="6" spans="1:3" x14ac:dyDescent="0.25">
      <c r="A6" s="2" t="s">
        <v>11</v>
      </c>
      <c r="B6" s="3">
        <v>100</v>
      </c>
      <c r="C6" s="2" t="s">
        <v>12</v>
      </c>
    </row>
    <row r="7" spans="1:3" x14ac:dyDescent="0.25">
      <c r="A7" s="2" t="s">
        <v>13</v>
      </c>
      <c r="B7" s="3">
        <v>1.1499999999999999</v>
      </c>
      <c r="C7" s="2" t="s">
        <v>14</v>
      </c>
    </row>
    <row r="8" spans="1:3" x14ac:dyDescent="0.25">
      <c r="A8" s="1" t="s">
        <v>15</v>
      </c>
      <c r="B8" s="1"/>
      <c r="C8" s="1" t="s">
        <v>16</v>
      </c>
    </row>
    <row r="9" spans="1:3" x14ac:dyDescent="0.25">
      <c r="A9" s="2" t="s">
        <v>17</v>
      </c>
      <c r="B9" s="3">
        <v>45</v>
      </c>
      <c r="C9" s="2" t="s">
        <v>18</v>
      </c>
    </row>
    <row r="10" spans="1:3" x14ac:dyDescent="0.25">
      <c r="A10" s="2" t="s">
        <v>19</v>
      </c>
      <c r="B10" s="3">
        <v>60</v>
      </c>
      <c r="C10" s="2" t="s">
        <v>18</v>
      </c>
    </row>
    <row r="11" spans="1:3" x14ac:dyDescent="0.25">
      <c r="A11" s="2" t="s">
        <v>20</v>
      </c>
      <c r="B11" s="3">
        <v>90</v>
      </c>
      <c r="C11" s="2" t="s">
        <v>18</v>
      </c>
    </row>
    <row r="12" spans="1:3" x14ac:dyDescent="0.25">
      <c r="A12" s="2" t="s">
        <v>21</v>
      </c>
      <c r="B12" s="3">
        <v>12</v>
      </c>
      <c r="C12" s="2" t="s">
        <v>18</v>
      </c>
    </row>
    <row r="13" spans="1:3" x14ac:dyDescent="0.25">
      <c r="A13" s="2" t="s">
        <v>22</v>
      </c>
      <c r="B13" s="3">
        <v>10</v>
      </c>
      <c r="C13" s="2" t="s">
        <v>18</v>
      </c>
    </row>
    <row r="14" spans="1:3" x14ac:dyDescent="0.25">
      <c r="A14" s="2" t="s">
        <v>23</v>
      </c>
      <c r="B14" s="3">
        <v>18</v>
      </c>
      <c r="C14" s="2" t="s">
        <v>18</v>
      </c>
    </row>
    <row r="15" spans="1:3" x14ac:dyDescent="0.25">
      <c r="A15" s="2" t="s">
        <v>24</v>
      </c>
      <c r="B15" s="3">
        <v>4</v>
      </c>
      <c r="C15" s="2" t="s">
        <v>18</v>
      </c>
    </row>
    <row r="16" spans="1:3" x14ac:dyDescent="0.25">
      <c r="A16" s="2" t="s">
        <v>25</v>
      </c>
      <c r="B16" s="3">
        <v>5</v>
      </c>
      <c r="C16" s="2" t="s">
        <v>26</v>
      </c>
    </row>
    <row r="17" spans="1:3" x14ac:dyDescent="0.25">
      <c r="A17" s="2" t="s">
        <v>27</v>
      </c>
      <c r="B17" s="2"/>
      <c r="C17" s="2" t="s">
        <v>28</v>
      </c>
    </row>
    <row r="18" spans="1:3" x14ac:dyDescent="0.25">
      <c r="A18" s="4"/>
      <c r="B18" s="5">
        <f>ROUND((B9+B10+B11+5*B12+4*B13+1*B14+20*B15+6*B16)*B7,0)</f>
        <v>486</v>
      </c>
      <c r="C18" s="4"/>
    </row>
    <row r="20" spans="1:3" ht="38.25" x14ac:dyDescent="0.25">
      <c r="A20" s="4" t="s">
        <v>29</v>
      </c>
      <c r="B20" s="6" t="s">
        <v>30</v>
      </c>
    </row>
    <row r="21" spans="1:3" ht="76.5" x14ac:dyDescent="0.25">
      <c r="A21" s="4" t="s">
        <v>31</v>
      </c>
      <c r="B21" s="6" t="s">
        <v>32</v>
      </c>
    </row>
    <row r="22" spans="1:3" x14ac:dyDescent="0.25">
      <c r="A22" s="4" t="s">
        <v>33</v>
      </c>
      <c r="B22" s="6"/>
    </row>
    <row r="23" spans="1:3" ht="25.5" x14ac:dyDescent="0.25">
      <c r="A23" s="4" t="s">
        <v>34</v>
      </c>
      <c r="B23" s="6" t="s">
        <v>35</v>
      </c>
    </row>
    <row r="24" spans="1:3" x14ac:dyDescent="0.25">
      <c r="A24" s="4" t="s">
        <v>36</v>
      </c>
      <c r="B24" s="6" t="s">
        <v>37</v>
      </c>
    </row>
    <row r="25" spans="1:3" ht="38.25" x14ac:dyDescent="0.25">
      <c r="A25" s="4" t="s">
        <v>38</v>
      </c>
      <c r="B25" s="6" t="s">
        <v>39</v>
      </c>
    </row>
    <row r="26" spans="1:3" ht="89.25" x14ac:dyDescent="0.25">
      <c r="A26" s="4" t="s">
        <v>40</v>
      </c>
      <c r="B26" s="6" t="s">
        <v>41</v>
      </c>
    </row>
    <row r="27" spans="1:3" x14ac:dyDescent="0.25">
      <c r="A27" s="4" t="s">
        <v>42</v>
      </c>
      <c r="B27" s="6"/>
    </row>
    <row r="28" spans="1:3" ht="229.5" x14ac:dyDescent="0.25">
      <c r="A28" s="4" t="s">
        <v>43</v>
      </c>
      <c r="B28" s="6" t="s">
        <v>44</v>
      </c>
    </row>
    <row r="29" spans="1:3" ht="102" x14ac:dyDescent="0.25">
      <c r="A29" s="4" t="s">
        <v>45</v>
      </c>
      <c r="B29" s="6" t="s">
        <v>46</v>
      </c>
    </row>
    <row r="30" spans="1:3" ht="140.25" x14ac:dyDescent="0.25">
      <c r="A30" s="4" t="s">
        <v>47</v>
      </c>
      <c r="B30" s="6" t="s">
        <v>48</v>
      </c>
    </row>
    <row r="31" spans="1:3" ht="216.75" x14ac:dyDescent="0.25">
      <c r="A31" s="4" t="s">
        <v>49</v>
      </c>
      <c r="B31" s="6" t="s">
        <v>50</v>
      </c>
    </row>
    <row r="32" spans="1:3" ht="102" x14ac:dyDescent="0.25">
      <c r="A32" s="4" t="s">
        <v>51</v>
      </c>
      <c r="B32" s="6" t="s">
        <v>52</v>
      </c>
    </row>
    <row r="33" spans="1:2" ht="76.5" x14ac:dyDescent="0.25">
      <c r="A33" s="4" t="s">
        <v>53</v>
      </c>
      <c r="B33" s="6" t="s">
        <v>54</v>
      </c>
    </row>
    <row r="34" spans="1:2" ht="76.5" x14ac:dyDescent="0.25">
      <c r="A34" s="4" t="s">
        <v>55</v>
      </c>
      <c r="B34" s="6" t="s">
        <v>56</v>
      </c>
    </row>
    <row r="35" spans="1:2" ht="127.5" x14ac:dyDescent="0.25">
      <c r="A35" s="4" t="s">
        <v>57</v>
      </c>
      <c r="B35" s="6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tabSelected="1" zoomScaleNormal="100" workbookViewId="0">
      <pane ySplit="1" topLeftCell="A39" activePane="bottomLeft" state="frozen"/>
      <selection pane="bottomLeft" activeCell="E44" sqref="E44"/>
    </sheetView>
  </sheetViews>
  <sheetFormatPr defaultColWidth="8.7109375" defaultRowHeight="15" x14ac:dyDescent="0.25"/>
  <cols>
    <col min="1" max="1" width="6" customWidth="1"/>
    <col min="2" max="2" width="28.5703125" customWidth="1"/>
    <col min="3" max="3" width="20" customWidth="1"/>
    <col min="4" max="4" width="14" customWidth="1"/>
    <col min="5" max="5" width="62" customWidth="1"/>
    <col min="6" max="7" width="12" customWidth="1"/>
    <col min="8" max="8" width="13" customWidth="1"/>
    <col min="9" max="9" width="9" style="23" customWidth="1"/>
    <col min="10" max="11" width="10" style="23" customWidth="1"/>
    <col min="12" max="12" width="13" customWidth="1"/>
    <col min="13" max="13" width="11" customWidth="1"/>
  </cols>
  <sheetData>
    <row r="1" spans="1:13" ht="46.5" customHeight="1" x14ac:dyDescent="0.25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</row>
    <row r="2" spans="1:13" x14ac:dyDescent="0.25">
      <c r="A2" s="8">
        <v>1</v>
      </c>
      <c r="B2" s="9" t="str">
        <f>E2</f>
        <v>ЩР-1 (260727 sprksy) (ELL-L3)</v>
      </c>
      <c r="C2" s="8" t="s">
        <v>72</v>
      </c>
      <c r="D2" s="8"/>
      <c r="E2" s="10" t="s">
        <v>134</v>
      </c>
      <c r="F2" s="11"/>
      <c r="G2" s="11"/>
      <c r="H2" s="11"/>
      <c r="I2" s="18">
        <v>1</v>
      </c>
      <c r="J2" s="19" t="s">
        <v>74</v>
      </c>
      <c r="K2" s="19"/>
      <c r="L2" s="11"/>
      <c r="M2" s="8"/>
    </row>
    <row r="3" spans="1:13" x14ac:dyDescent="0.25">
      <c r="A3" s="12">
        <v>2</v>
      </c>
      <c r="B3" s="12" t="str">
        <f t="shared" ref="B3:B66" si="0">B2</f>
        <v>ЩР-1 (260727 sprksy) (ELL-L3)</v>
      </c>
      <c r="C3" s="12" t="s">
        <v>75</v>
      </c>
      <c r="D3" s="12" t="s">
        <v>131</v>
      </c>
      <c r="E3" s="13" t="s">
        <v>132</v>
      </c>
      <c r="F3" s="14">
        <v>55770</v>
      </c>
      <c r="G3" s="14">
        <f>0.6*F3</f>
        <v>33462</v>
      </c>
      <c r="H3" s="14">
        <f t="shared" ref="H3:H20" si="1">G3*I3</f>
        <v>33462</v>
      </c>
      <c r="I3" s="20">
        <v>1</v>
      </c>
      <c r="J3" s="21" t="s">
        <v>76</v>
      </c>
      <c r="K3" s="22" t="s">
        <v>133</v>
      </c>
      <c r="L3" s="14"/>
      <c r="M3" s="12"/>
    </row>
    <row r="4" spans="1:13" x14ac:dyDescent="0.25">
      <c r="A4" s="12">
        <v>3</v>
      </c>
      <c r="B4" s="12" t="str">
        <f t="shared" si="0"/>
        <v>ЩР-1 (260727 sprksy) (ELL-L3)</v>
      </c>
      <c r="C4" s="26" t="s">
        <v>139</v>
      </c>
      <c r="D4" s="12" t="s">
        <v>77</v>
      </c>
      <c r="E4" s="13" t="s">
        <v>78</v>
      </c>
      <c r="F4" s="14">
        <v>201862</v>
      </c>
      <c r="G4" s="14">
        <f>F4*Kurallar!$B$2</f>
        <v>121117.2</v>
      </c>
      <c r="H4" s="14">
        <f t="shared" si="1"/>
        <v>121117.2</v>
      </c>
      <c r="I4" s="20">
        <v>1</v>
      </c>
      <c r="J4" s="21" t="s">
        <v>76</v>
      </c>
      <c r="K4" s="21" t="s">
        <v>79</v>
      </c>
      <c r="L4" s="14"/>
      <c r="M4" s="12"/>
    </row>
    <row r="5" spans="1:13" x14ac:dyDescent="0.25">
      <c r="A5" s="12">
        <v>4</v>
      </c>
      <c r="B5" s="12" t="str">
        <f t="shared" si="0"/>
        <v>ЩР-1 (260727 sprksy) (ELL-L3)</v>
      </c>
      <c r="C5" s="12" t="s">
        <v>80</v>
      </c>
      <c r="D5" s="12" t="s">
        <v>129</v>
      </c>
      <c r="E5" s="13" t="s">
        <v>130</v>
      </c>
      <c r="F5" s="14">
        <v>88000</v>
      </c>
      <c r="G5" s="14">
        <f>F5*Kurallar!$B$4</f>
        <v>88000</v>
      </c>
      <c r="H5" s="14">
        <f t="shared" si="1"/>
        <v>88000</v>
      </c>
      <c r="I5" s="20">
        <v>1</v>
      </c>
      <c r="J5" s="21" t="s">
        <v>76</v>
      </c>
      <c r="K5" s="21" t="s">
        <v>81</v>
      </c>
      <c r="L5" s="14"/>
      <c r="M5" s="12"/>
    </row>
    <row r="6" spans="1:13" x14ac:dyDescent="0.25">
      <c r="A6" s="12">
        <v>5</v>
      </c>
      <c r="B6" s="12" t="str">
        <f t="shared" si="0"/>
        <v>ЩР-1 (260727 sprksy) (ELL-L3)</v>
      </c>
      <c r="C6" s="12" t="s">
        <v>82</v>
      </c>
      <c r="D6" s="12" t="s">
        <v>83</v>
      </c>
      <c r="E6" s="13" t="s">
        <v>84</v>
      </c>
      <c r="F6" s="14">
        <v>5104</v>
      </c>
      <c r="G6" s="14">
        <f>F6*Kurallar!$B$2</f>
        <v>3062.4</v>
      </c>
      <c r="H6" s="14">
        <f t="shared" si="1"/>
        <v>9187.2000000000007</v>
      </c>
      <c r="I6" s="20">
        <v>3</v>
      </c>
      <c r="J6" s="21" t="s">
        <v>76</v>
      </c>
      <c r="K6" s="21" t="s">
        <v>79</v>
      </c>
      <c r="L6" s="14"/>
      <c r="M6" s="12"/>
    </row>
    <row r="7" spans="1:13" x14ac:dyDescent="0.25">
      <c r="A7" s="12">
        <v>6</v>
      </c>
      <c r="B7" s="12" t="str">
        <f t="shared" si="0"/>
        <v>ЩР-1 (260727 sprksy) (ELL-L3)</v>
      </c>
      <c r="C7" s="12" t="s">
        <v>82</v>
      </c>
      <c r="D7" s="12" t="s">
        <v>85</v>
      </c>
      <c r="E7" s="13" t="s">
        <v>86</v>
      </c>
      <c r="F7" s="14">
        <v>5632</v>
      </c>
      <c r="G7" s="14">
        <f>F7*Kurallar!$B$2</f>
        <v>3379.2</v>
      </c>
      <c r="H7" s="14">
        <f t="shared" si="1"/>
        <v>6758.4</v>
      </c>
      <c r="I7" s="20">
        <v>2</v>
      </c>
      <c r="J7" s="21" t="s">
        <v>76</v>
      </c>
      <c r="K7" s="21" t="s">
        <v>79</v>
      </c>
      <c r="L7" s="14"/>
      <c r="M7" s="12"/>
    </row>
    <row r="8" spans="1:13" x14ac:dyDescent="0.25">
      <c r="A8" s="12">
        <v>7</v>
      </c>
      <c r="B8" s="12" t="str">
        <f t="shared" si="0"/>
        <v>ЩР-1 (260727 sprksy) (ELL-L3)</v>
      </c>
      <c r="C8" s="12" t="s">
        <v>87</v>
      </c>
      <c r="D8" s="12" t="s">
        <v>88</v>
      </c>
      <c r="E8" s="13" t="s">
        <v>89</v>
      </c>
      <c r="F8" s="14">
        <v>1389</v>
      </c>
      <c r="G8" s="14">
        <f>F8*Kurallar!$B$2</f>
        <v>833.4</v>
      </c>
      <c r="H8" s="14">
        <f t="shared" si="1"/>
        <v>2500.1999999999998</v>
      </c>
      <c r="I8" s="20">
        <v>3</v>
      </c>
      <c r="J8" s="21" t="s">
        <v>76</v>
      </c>
      <c r="K8" s="21" t="s">
        <v>79</v>
      </c>
      <c r="L8" s="14"/>
      <c r="M8" s="12"/>
    </row>
    <row r="9" spans="1:13" x14ac:dyDescent="0.25">
      <c r="A9" s="12">
        <v>8</v>
      </c>
      <c r="B9" s="12" t="str">
        <f t="shared" si="0"/>
        <v>ЩР-1 (260727 sprksy) (ELL-L3)</v>
      </c>
      <c r="C9" s="12" t="s">
        <v>87</v>
      </c>
      <c r="D9" s="12" t="s">
        <v>90</v>
      </c>
      <c r="E9" s="13" t="s">
        <v>91</v>
      </c>
      <c r="F9" s="14">
        <v>1419</v>
      </c>
      <c r="G9" s="14">
        <f>F9*Kurallar!$B$2</f>
        <v>851.4</v>
      </c>
      <c r="H9" s="14">
        <f t="shared" si="1"/>
        <v>851.4</v>
      </c>
      <c r="I9" s="20">
        <v>1</v>
      </c>
      <c r="J9" s="21" t="s">
        <v>76</v>
      </c>
      <c r="K9" s="21" t="s">
        <v>79</v>
      </c>
      <c r="L9" s="14"/>
      <c r="M9" s="12"/>
    </row>
    <row r="10" spans="1:13" x14ac:dyDescent="0.25">
      <c r="A10" s="12">
        <v>9</v>
      </c>
      <c r="B10" s="12" t="str">
        <f t="shared" si="0"/>
        <v>ЩР-1 (260727 sprksy) (ELL-L3)</v>
      </c>
      <c r="C10" s="12" t="s">
        <v>87</v>
      </c>
      <c r="D10" s="12" t="s">
        <v>92</v>
      </c>
      <c r="E10" s="13" t="s">
        <v>93</v>
      </c>
      <c r="F10" s="14">
        <v>5884</v>
      </c>
      <c r="G10" s="14">
        <f>F10*Kurallar!$B$2</f>
        <v>3530.4</v>
      </c>
      <c r="H10" s="14">
        <f t="shared" si="1"/>
        <v>3530.4</v>
      </c>
      <c r="I10" s="20">
        <v>1</v>
      </c>
      <c r="J10" s="21" t="s">
        <v>76</v>
      </c>
      <c r="K10" s="21" t="s">
        <v>79</v>
      </c>
      <c r="L10" s="14"/>
      <c r="M10" s="12"/>
    </row>
    <row r="11" spans="1:13" x14ac:dyDescent="0.25">
      <c r="A11" s="12">
        <v>10</v>
      </c>
      <c r="B11" s="12" t="str">
        <f t="shared" si="0"/>
        <v>ЩР-1 (260727 sprksy) (ELL-L3)</v>
      </c>
      <c r="C11" s="12" t="s">
        <v>94</v>
      </c>
      <c r="D11" s="12" t="s">
        <v>95</v>
      </c>
      <c r="E11" s="13" t="s">
        <v>96</v>
      </c>
      <c r="F11" s="14">
        <v>494</v>
      </c>
      <c r="G11" s="14">
        <f>F11*Kurallar!$B$3</f>
        <v>494</v>
      </c>
      <c r="H11" s="14">
        <f t="shared" si="1"/>
        <v>494</v>
      </c>
      <c r="I11" s="20">
        <v>1</v>
      </c>
      <c r="J11" s="21" t="s">
        <v>76</v>
      </c>
      <c r="K11" s="22" t="s">
        <v>128</v>
      </c>
      <c r="L11" s="14"/>
      <c r="M11" s="12"/>
    </row>
    <row r="12" spans="1:13" x14ac:dyDescent="0.25">
      <c r="A12" s="12">
        <v>11</v>
      </c>
      <c r="B12" s="12" t="str">
        <f t="shared" si="0"/>
        <v>ЩР-1 (260727 sprksy) (ELL-L3)</v>
      </c>
      <c r="C12" s="12" t="s">
        <v>94</v>
      </c>
      <c r="D12" s="12" t="s">
        <v>97</v>
      </c>
      <c r="E12" s="13" t="s">
        <v>98</v>
      </c>
      <c r="F12" s="14">
        <v>634</v>
      </c>
      <c r="G12" s="14">
        <f>F12*Kurallar!$B$3</f>
        <v>634</v>
      </c>
      <c r="H12" s="14">
        <f t="shared" si="1"/>
        <v>634</v>
      </c>
      <c r="I12" s="20">
        <v>1</v>
      </c>
      <c r="J12" s="21" t="s">
        <v>76</v>
      </c>
      <c r="K12" s="22" t="s">
        <v>128</v>
      </c>
      <c r="L12" s="14"/>
      <c r="M12" s="12"/>
    </row>
    <row r="13" spans="1:13" x14ac:dyDescent="0.25">
      <c r="A13" s="12">
        <v>12</v>
      </c>
      <c r="B13" s="12" t="str">
        <f t="shared" si="0"/>
        <v>ЩР-1 (260727 sprksy) (ELL-L3)</v>
      </c>
      <c r="C13" s="12" t="s">
        <v>24</v>
      </c>
      <c r="D13" s="12" t="s">
        <v>99</v>
      </c>
      <c r="E13" s="13" t="s">
        <v>100</v>
      </c>
      <c r="F13" s="14">
        <v>90</v>
      </c>
      <c r="G13" s="14">
        <f>F13*Kurallar!$B$3</f>
        <v>90</v>
      </c>
      <c r="H13" s="14">
        <f t="shared" si="1"/>
        <v>1800</v>
      </c>
      <c r="I13" s="20">
        <v>20</v>
      </c>
      <c r="J13" s="21" t="s">
        <v>76</v>
      </c>
      <c r="K13" s="22" t="s">
        <v>128</v>
      </c>
      <c r="L13" s="14"/>
      <c r="M13" s="12"/>
    </row>
    <row r="14" spans="1:13" x14ac:dyDescent="0.25">
      <c r="A14" s="12">
        <v>13</v>
      </c>
      <c r="B14" s="12" t="str">
        <f t="shared" si="0"/>
        <v>ЩР-1 (260727 sprksy) (ELL-L3)</v>
      </c>
      <c r="C14" s="12" t="s">
        <v>101</v>
      </c>
      <c r="D14" s="12" t="s">
        <v>102</v>
      </c>
      <c r="E14" s="13" t="s">
        <v>103</v>
      </c>
      <c r="F14" s="14">
        <v>869</v>
      </c>
      <c r="G14" s="14">
        <f>F14*Kurallar!$B$2</f>
        <v>521.4</v>
      </c>
      <c r="H14" s="14">
        <f t="shared" si="1"/>
        <v>1042.8</v>
      </c>
      <c r="I14" s="20">
        <v>2</v>
      </c>
      <c r="J14" s="21" t="s">
        <v>104</v>
      </c>
      <c r="K14" s="22" t="s">
        <v>128</v>
      </c>
      <c r="L14" s="14"/>
      <c r="M14" s="12"/>
    </row>
    <row r="15" spans="1:13" x14ac:dyDescent="0.25">
      <c r="A15" s="12">
        <v>14</v>
      </c>
      <c r="B15" s="12" t="str">
        <f t="shared" si="0"/>
        <v>ЩР-1 (260727 sprksy) (ELL-L3)</v>
      </c>
      <c r="C15" s="12" t="s">
        <v>101</v>
      </c>
      <c r="D15" s="12" t="s">
        <v>105</v>
      </c>
      <c r="E15" s="13" t="s">
        <v>106</v>
      </c>
      <c r="F15" s="14">
        <v>1808</v>
      </c>
      <c r="G15" s="14">
        <f>F15*Kurallar!$B$3</f>
        <v>1808</v>
      </c>
      <c r="H15" s="14">
        <f t="shared" si="1"/>
        <v>3616</v>
      </c>
      <c r="I15" s="20">
        <v>2</v>
      </c>
      <c r="J15" s="21" t="s">
        <v>76</v>
      </c>
      <c r="K15" s="22" t="s">
        <v>128</v>
      </c>
      <c r="L15" s="14"/>
      <c r="M15" s="12"/>
    </row>
    <row r="16" spans="1:13" x14ac:dyDescent="0.25">
      <c r="A16" s="12">
        <v>15</v>
      </c>
      <c r="B16" s="12" t="str">
        <f t="shared" si="0"/>
        <v>ЩР-1 (260727 sprksy) (ELL-L3)</v>
      </c>
      <c r="C16" s="12" t="s">
        <v>101</v>
      </c>
      <c r="D16" s="12" t="s">
        <v>107</v>
      </c>
      <c r="E16" s="13" t="s">
        <v>108</v>
      </c>
      <c r="F16" s="14">
        <v>127</v>
      </c>
      <c r="G16" s="14">
        <f>F16*Kurallar!$B$3</f>
        <v>127</v>
      </c>
      <c r="H16" s="14">
        <f t="shared" si="1"/>
        <v>3175</v>
      </c>
      <c r="I16" s="20">
        <v>25</v>
      </c>
      <c r="J16" s="21" t="s">
        <v>104</v>
      </c>
      <c r="K16" s="22" t="s">
        <v>128</v>
      </c>
      <c r="L16" s="14"/>
      <c r="M16" s="12"/>
    </row>
    <row r="17" spans="1:13" x14ac:dyDescent="0.25">
      <c r="A17" s="12">
        <v>16</v>
      </c>
      <c r="B17" s="12" t="str">
        <f t="shared" si="0"/>
        <v>ЩР-1 (260727 sprksy) (ELL-L3)</v>
      </c>
      <c r="C17" s="12" t="s">
        <v>101</v>
      </c>
      <c r="D17" s="12" t="s">
        <v>109</v>
      </c>
      <c r="E17" s="13" t="s">
        <v>110</v>
      </c>
      <c r="F17" s="14">
        <v>319</v>
      </c>
      <c r="G17" s="14">
        <f>F17*Kurallar!$B$3</f>
        <v>319</v>
      </c>
      <c r="H17" s="14">
        <f t="shared" si="1"/>
        <v>1914</v>
      </c>
      <c r="I17" s="20">
        <v>6</v>
      </c>
      <c r="J17" s="21" t="s">
        <v>104</v>
      </c>
      <c r="K17" s="22" t="s">
        <v>128</v>
      </c>
      <c r="L17" s="14"/>
      <c r="M17" s="12"/>
    </row>
    <row r="18" spans="1:13" x14ac:dyDescent="0.25">
      <c r="A18" s="12">
        <v>17</v>
      </c>
      <c r="B18" s="12" t="str">
        <f t="shared" si="0"/>
        <v>ЩР-1 (260727 sprksy) (ELL-L3)</v>
      </c>
      <c r="C18" s="12" t="s">
        <v>101</v>
      </c>
      <c r="D18" s="12" t="s">
        <v>111</v>
      </c>
      <c r="E18" s="13" t="s">
        <v>112</v>
      </c>
      <c r="F18" s="14">
        <v>79</v>
      </c>
      <c r="G18" s="14">
        <f>F18*Kurallar!$B$3</f>
        <v>79</v>
      </c>
      <c r="H18" s="14">
        <f t="shared" si="1"/>
        <v>237</v>
      </c>
      <c r="I18" s="20">
        <v>3</v>
      </c>
      <c r="J18" s="21" t="s">
        <v>104</v>
      </c>
      <c r="K18" s="22" t="s">
        <v>128</v>
      </c>
      <c r="L18" s="14"/>
      <c r="M18" s="12"/>
    </row>
    <row r="19" spans="1:13" ht="25.5" x14ac:dyDescent="0.25">
      <c r="A19" s="12">
        <v>18</v>
      </c>
      <c r="B19" s="12" t="str">
        <f t="shared" si="0"/>
        <v>ЩР-1 (260727 sprksy) (ELL-L3)</v>
      </c>
      <c r="C19" s="12" t="s">
        <v>101</v>
      </c>
      <c r="D19" s="12" t="s">
        <v>113</v>
      </c>
      <c r="E19" s="13" t="s">
        <v>114</v>
      </c>
      <c r="F19" s="14"/>
      <c r="G19" s="14">
        <f>SUM(H3:H18)*Kurallar!$B$5</f>
        <v>8349.5880000000016</v>
      </c>
      <c r="H19" s="14">
        <f t="shared" si="1"/>
        <v>8349.5880000000016</v>
      </c>
      <c r="I19" s="20">
        <v>1</v>
      </c>
      <c r="J19" s="21" t="s">
        <v>115</v>
      </c>
      <c r="K19" s="21" t="s">
        <v>116</v>
      </c>
      <c r="L19" s="14"/>
      <c r="M19" s="12"/>
    </row>
    <row r="20" spans="1:13" ht="25.5" x14ac:dyDescent="0.25">
      <c r="A20" s="12">
        <v>19</v>
      </c>
      <c r="B20" s="12" t="str">
        <f t="shared" si="0"/>
        <v>ЩР-1 (260727 sprksy) (ELL-L3)</v>
      </c>
      <c r="C20" s="12" t="s">
        <v>117</v>
      </c>
      <c r="D20" s="12" t="s">
        <v>118</v>
      </c>
      <c r="E20" s="13" t="s">
        <v>119</v>
      </c>
      <c r="F20" s="14">
        <f>I20/60</f>
        <v>8.1</v>
      </c>
      <c r="G20" s="14">
        <f>Kurallar!$B$6</f>
        <v>100</v>
      </c>
      <c r="H20" s="14">
        <f t="shared" si="1"/>
        <v>48600</v>
      </c>
      <c r="I20" s="20">
        <f>Kurallar!$B$18</f>
        <v>486</v>
      </c>
      <c r="J20" s="21" t="s">
        <v>120</v>
      </c>
      <c r="K20" s="21" t="s">
        <v>116</v>
      </c>
      <c r="L20" s="14"/>
      <c r="M20" s="12"/>
    </row>
    <row r="21" spans="1:13" x14ac:dyDescent="0.25">
      <c r="A21" s="12">
        <v>20</v>
      </c>
      <c r="B21" s="12" t="str">
        <f t="shared" si="0"/>
        <v>ЩР-1 (260727 sprksy) (ELL-L3)</v>
      </c>
      <c r="H21" s="24">
        <f>SUM(H3:H20)</f>
        <v>335269.18800000002</v>
      </c>
    </row>
    <row r="22" spans="1:13" x14ac:dyDescent="0.25">
      <c r="A22" s="8">
        <v>1</v>
      </c>
      <c r="B22" s="9" t="str">
        <f>E22</f>
        <v>ЩР-1 (260727 sprksy) (L5LS-ЩР-1)</v>
      </c>
      <c r="C22" s="8" t="s">
        <v>72</v>
      </c>
      <c r="D22" s="8"/>
      <c r="E22" s="10" t="s">
        <v>135</v>
      </c>
      <c r="F22" s="11"/>
      <c r="G22" s="11"/>
      <c r="H22" s="11"/>
      <c r="I22" s="18">
        <v>1</v>
      </c>
      <c r="J22" s="19" t="s">
        <v>74</v>
      </c>
      <c r="K22" s="19"/>
      <c r="L22" s="11"/>
      <c r="M22" s="8"/>
    </row>
    <row r="23" spans="1:13" x14ac:dyDescent="0.25">
      <c r="A23" s="12">
        <v>2</v>
      </c>
      <c r="B23" s="12" t="str">
        <f t="shared" si="0"/>
        <v>ЩР-1 (260727 sprksy) (L5LS-ЩР-1)</v>
      </c>
      <c r="C23" s="12" t="s">
        <v>75</v>
      </c>
      <c r="D23" s="12" t="s">
        <v>131</v>
      </c>
      <c r="E23" s="13" t="s">
        <v>132</v>
      </c>
      <c r="F23" s="14">
        <v>55770</v>
      </c>
      <c r="G23" s="14">
        <f>0.6*F23</f>
        <v>33462</v>
      </c>
      <c r="H23" s="14">
        <f t="shared" ref="H23:H40" si="2">G23*I23</f>
        <v>33462</v>
      </c>
      <c r="I23" s="20">
        <v>1</v>
      </c>
      <c r="J23" s="21" t="s">
        <v>76</v>
      </c>
      <c r="K23" s="22" t="s">
        <v>133</v>
      </c>
      <c r="L23" s="14"/>
      <c r="M23" s="12"/>
    </row>
    <row r="24" spans="1:13" x14ac:dyDescent="0.25">
      <c r="A24" s="12">
        <v>3</v>
      </c>
      <c r="B24" s="12" t="str">
        <f t="shared" si="0"/>
        <v>ЩР-1 (260727 sprksy) (L5LS-ЩР-1)</v>
      </c>
      <c r="C24" s="26" t="s">
        <v>139</v>
      </c>
      <c r="D24" s="12" t="s">
        <v>77</v>
      </c>
      <c r="E24" s="13" t="s">
        <v>78</v>
      </c>
      <c r="F24" s="14">
        <v>201862</v>
      </c>
      <c r="G24" s="14">
        <f>F24*Kurallar!$B$2</f>
        <v>121117.2</v>
      </c>
      <c r="H24" s="14">
        <f t="shared" si="2"/>
        <v>121117.2</v>
      </c>
      <c r="I24" s="20">
        <v>1</v>
      </c>
      <c r="J24" s="21" t="s">
        <v>76</v>
      </c>
      <c r="K24" s="21" t="s">
        <v>79</v>
      </c>
      <c r="L24" s="14"/>
      <c r="M24" s="12"/>
    </row>
    <row r="25" spans="1:13" x14ac:dyDescent="0.25">
      <c r="A25" s="12">
        <v>4</v>
      </c>
      <c r="B25" s="12" t="str">
        <f t="shared" si="0"/>
        <v>ЩР-1 (260727 sprksy) (L5LS-ЩР-1)</v>
      </c>
      <c r="C25" s="12" t="s">
        <v>80</v>
      </c>
      <c r="D25" s="12" t="s">
        <v>129</v>
      </c>
      <c r="E25" s="13" t="s">
        <v>130</v>
      </c>
      <c r="F25" s="14">
        <v>88000</v>
      </c>
      <c r="G25" s="14">
        <f>F25*Kurallar!$B$4</f>
        <v>88000</v>
      </c>
      <c r="H25" s="14">
        <f t="shared" si="2"/>
        <v>88000</v>
      </c>
      <c r="I25" s="20">
        <v>1</v>
      </c>
      <c r="J25" s="21" t="s">
        <v>76</v>
      </c>
      <c r="K25" s="21" t="s">
        <v>81</v>
      </c>
      <c r="L25" s="14"/>
      <c r="M25" s="12"/>
    </row>
    <row r="26" spans="1:13" x14ac:dyDescent="0.25">
      <c r="A26" s="12">
        <v>5</v>
      </c>
      <c r="B26" s="12" t="str">
        <f t="shared" si="0"/>
        <v>ЩР-1 (260727 sprksy) (L5LS-ЩР-1)</v>
      </c>
      <c r="C26" s="12" t="s">
        <v>82</v>
      </c>
      <c r="D26" s="12" t="s">
        <v>83</v>
      </c>
      <c r="E26" s="13" t="s">
        <v>84</v>
      </c>
      <c r="F26" s="14">
        <v>5104</v>
      </c>
      <c r="G26" s="14">
        <f>F26*Kurallar!$B$2</f>
        <v>3062.4</v>
      </c>
      <c r="H26" s="14">
        <f t="shared" si="2"/>
        <v>15312</v>
      </c>
      <c r="I26" s="20">
        <v>5</v>
      </c>
      <c r="J26" s="21" t="s">
        <v>76</v>
      </c>
      <c r="K26" s="21" t="s">
        <v>79</v>
      </c>
      <c r="L26" s="14"/>
      <c r="M26" s="12"/>
    </row>
    <row r="27" spans="1:13" x14ac:dyDescent="0.25">
      <c r="A27" s="12">
        <v>6</v>
      </c>
      <c r="B27" s="12" t="str">
        <f t="shared" si="0"/>
        <v>ЩР-1 (260727 sprksy) (L5LS-ЩР-1)</v>
      </c>
      <c r="C27" s="12" t="s">
        <v>82</v>
      </c>
      <c r="D27" s="12" t="s">
        <v>85</v>
      </c>
      <c r="E27" s="13" t="s">
        <v>86</v>
      </c>
      <c r="F27" s="14">
        <v>5632</v>
      </c>
      <c r="G27" s="14">
        <f>F27*Kurallar!$B$2</f>
        <v>3379.2</v>
      </c>
      <c r="H27" s="14">
        <f t="shared" si="2"/>
        <v>20275.199999999997</v>
      </c>
      <c r="I27" s="20">
        <v>6</v>
      </c>
      <c r="J27" s="21" t="s">
        <v>76</v>
      </c>
      <c r="K27" s="21" t="s">
        <v>79</v>
      </c>
      <c r="L27" s="14"/>
      <c r="M27" s="12"/>
    </row>
    <row r="28" spans="1:13" x14ac:dyDescent="0.25">
      <c r="A28" s="12">
        <v>7</v>
      </c>
      <c r="B28" s="12" t="str">
        <f t="shared" si="0"/>
        <v>ЩР-1 (260727 sprksy) (L5LS-ЩР-1)</v>
      </c>
      <c r="C28" s="12" t="s">
        <v>87</v>
      </c>
      <c r="D28" s="12" t="s">
        <v>88</v>
      </c>
      <c r="E28" s="13" t="s">
        <v>89</v>
      </c>
      <c r="F28" s="14">
        <v>1389</v>
      </c>
      <c r="G28" s="14">
        <f>F28*Kurallar!$B$2</f>
        <v>833.4</v>
      </c>
      <c r="H28" s="14">
        <f t="shared" si="2"/>
        <v>2500.1999999999998</v>
      </c>
      <c r="I28" s="20">
        <v>3</v>
      </c>
      <c r="J28" s="21" t="s">
        <v>76</v>
      </c>
      <c r="K28" s="21" t="s">
        <v>79</v>
      </c>
      <c r="L28" s="14"/>
      <c r="M28" s="12"/>
    </row>
    <row r="29" spans="1:13" x14ac:dyDescent="0.25">
      <c r="A29" s="12">
        <v>8</v>
      </c>
      <c r="B29" s="12" t="str">
        <f t="shared" si="0"/>
        <v>ЩР-1 (260727 sprksy) (L5LS-ЩР-1)</v>
      </c>
      <c r="C29" s="12" t="s">
        <v>87</v>
      </c>
      <c r="D29" s="12" t="s">
        <v>90</v>
      </c>
      <c r="E29" s="13" t="s">
        <v>91</v>
      </c>
      <c r="F29" s="14">
        <v>1419</v>
      </c>
      <c r="G29" s="14">
        <f>F29*Kurallar!$B$2</f>
        <v>851.4</v>
      </c>
      <c r="H29" s="14">
        <f t="shared" si="2"/>
        <v>851.4</v>
      </c>
      <c r="I29" s="20">
        <v>1</v>
      </c>
      <c r="J29" s="21" t="s">
        <v>76</v>
      </c>
      <c r="K29" s="21" t="s">
        <v>79</v>
      </c>
      <c r="L29" s="14"/>
      <c r="M29" s="12"/>
    </row>
    <row r="30" spans="1:13" x14ac:dyDescent="0.25">
      <c r="A30" s="12">
        <v>9</v>
      </c>
      <c r="B30" s="12" t="str">
        <f t="shared" si="0"/>
        <v>ЩР-1 (260727 sprksy) (L5LS-ЩР-1)</v>
      </c>
      <c r="C30" s="12" t="s">
        <v>87</v>
      </c>
      <c r="D30" s="12" t="s">
        <v>92</v>
      </c>
      <c r="E30" s="25" t="s">
        <v>136</v>
      </c>
      <c r="F30" s="14">
        <v>5884</v>
      </c>
      <c r="G30" s="14">
        <f>F30*Kurallar!$B$2</f>
        <v>3530.4</v>
      </c>
      <c r="H30" s="14">
        <f t="shared" si="2"/>
        <v>3530.4</v>
      </c>
      <c r="I30" s="20">
        <v>1</v>
      </c>
      <c r="J30" s="21" t="s">
        <v>76</v>
      </c>
      <c r="K30" s="21" t="s">
        <v>79</v>
      </c>
      <c r="L30" s="14"/>
      <c r="M30" s="12"/>
    </row>
    <row r="31" spans="1:13" x14ac:dyDescent="0.25">
      <c r="A31" s="12">
        <v>10</v>
      </c>
      <c r="B31" s="12" t="str">
        <f t="shared" si="0"/>
        <v>ЩР-1 (260727 sprksy) (L5LS-ЩР-1)</v>
      </c>
      <c r="C31" s="12" t="s">
        <v>94</v>
      </c>
      <c r="D31" s="12" t="s">
        <v>95</v>
      </c>
      <c r="E31" s="13" t="s">
        <v>96</v>
      </c>
      <c r="F31" s="14">
        <v>494</v>
      </c>
      <c r="G31" s="14">
        <f>F31*Kurallar!$B$3</f>
        <v>494</v>
      </c>
      <c r="H31" s="14">
        <f t="shared" si="2"/>
        <v>494</v>
      </c>
      <c r="I31" s="20">
        <v>1</v>
      </c>
      <c r="J31" s="21" t="s">
        <v>76</v>
      </c>
      <c r="K31" s="22" t="s">
        <v>128</v>
      </c>
      <c r="L31" s="14"/>
      <c r="M31" s="12"/>
    </row>
    <row r="32" spans="1:13" x14ac:dyDescent="0.25">
      <c r="A32" s="12">
        <v>11</v>
      </c>
      <c r="B32" s="12" t="str">
        <f t="shared" si="0"/>
        <v>ЩР-1 (260727 sprksy) (L5LS-ЩР-1)</v>
      </c>
      <c r="C32" s="12" t="s">
        <v>94</v>
      </c>
      <c r="D32" s="12" t="s">
        <v>97</v>
      </c>
      <c r="E32" s="13" t="s">
        <v>98</v>
      </c>
      <c r="F32" s="14">
        <v>634</v>
      </c>
      <c r="G32" s="14">
        <f>F32*Kurallar!$B$3</f>
        <v>634</v>
      </c>
      <c r="H32" s="14">
        <f t="shared" si="2"/>
        <v>634</v>
      </c>
      <c r="I32" s="20">
        <v>1</v>
      </c>
      <c r="J32" s="21" t="s">
        <v>76</v>
      </c>
      <c r="K32" s="22" t="s">
        <v>128</v>
      </c>
      <c r="L32" s="14"/>
      <c r="M32" s="12"/>
    </row>
    <row r="33" spans="1:13" x14ac:dyDescent="0.25">
      <c r="A33" s="12">
        <v>12</v>
      </c>
      <c r="B33" s="12" t="str">
        <f t="shared" si="0"/>
        <v>ЩР-1 (260727 sprksy) (L5LS-ЩР-1)</v>
      </c>
      <c r="C33" s="12" t="s">
        <v>24</v>
      </c>
      <c r="D33" s="12" t="s">
        <v>99</v>
      </c>
      <c r="E33" s="13" t="s">
        <v>100</v>
      </c>
      <c r="F33" s="14">
        <v>90</v>
      </c>
      <c r="G33" s="14">
        <f>F33*Kurallar!$B$3</f>
        <v>90</v>
      </c>
      <c r="H33" s="14">
        <f t="shared" si="2"/>
        <v>1800</v>
      </c>
      <c r="I33" s="20">
        <v>20</v>
      </c>
      <c r="J33" s="21" t="s">
        <v>76</v>
      </c>
      <c r="K33" s="22" t="s">
        <v>128</v>
      </c>
      <c r="L33" s="14"/>
      <c r="M33" s="12"/>
    </row>
    <row r="34" spans="1:13" x14ac:dyDescent="0.25">
      <c r="A34" s="12">
        <v>13</v>
      </c>
      <c r="B34" s="12" t="str">
        <f t="shared" si="0"/>
        <v>ЩР-1 (260727 sprksy) (L5LS-ЩР-1)</v>
      </c>
      <c r="C34" s="12" t="s">
        <v>101</v>
      </c>
      <c r="D34" s="12" t="s">
        <v>102</v>
      </c>
      <c r="E34" s="13" t="s">
        <v>103</v>
      </c>
      <c r="F34" s="14">
        <v>869</v>
      </c>
      <c r="G34" s="14">
        <f>F34*Kurallar!$B$2</f>
        <v>521.4</v>
      </c>
      <c r="H34" s="14">
        <f t="shared" si="2"/>
        <v>1042.8</v>
      </c>
      <c r="I34" s="20">
        <v>2</v>
      </c>
      <c r="J34" s="21" t="s">
        <v>104</v>
      </c>
      <c r="K34" s="22" t="s">
        <v>128</v>
      </c>
      <c r="L34" s="14"/>
      <c r="M34" s="12"/>
    </row>
    <row r="35" spans="1:13" x14ac:dyDescent="0.25">
      <c r="A35" s="12">
        <v>14</v>
      </c>
      <c r="B35" s="12" t="str">
        <f t="shared" si="0"/>
        <v>ЩР-1 (260727 sprksy) (L5LS-ЩР-1)</v>
      </c>
      <c r="C35" s="12" t="s">
        <v>101</v>
      </c>
      <c r="D35" s="12" t="s">
        <v>105</v>
      </c>
      <c r="E35" s="13" t="s">
        <v>106</v>
      </c>
      <c r="F35" s="14">
        <v>1808</v>
      </c>
      <c r="G35" s="14">
        <f>F35*Kurallar!$B$3</f>
        <v>1808</v>
      </c>
      <c r="H35" s="14">
        <f t="shared" si="2"/>
        <v>3616</v>
      </c>
      <c r="I35" s="20">
        <v>2</v>
      </c>
      <c r="J35" s="21" t="s">
        <v>76</v>
      </c>
      <c r="K35" s="22" t="s">
        <v>128</v>
      </c>
      <c r="L35" s="14"/>
      <c r="M35" s="12"/>
    </row>
    <row r="36" spans="1:13" x14ac:dyDescent="0.25">
      <c r="A36" s="12">
        <v>15</v>
      </c>
      <c r="B36" s="12" t="str">
        <f t="shared" si="0"/>
        <v>ЩР-1 (260727 sprksy) (L5LS-ЩР-1)</v>
      </c>
      <c r="C36" s="12" t="s">
        <v>101</v>
      </c>
      <c r="D36" s="12" t="s">
        <v>107</v>
      </c>
      <c r="E36" s="13" t="s">
        <v>108</v>
      </c>
      <c r="F36" s="14">
        <v>127</v>
      </c>
      <c r="G36" s="14">
        <f>F36*Kurallar!$B$3</f>
        <v>127</v>
      </c>
      <c r="H36" s="14">
        <f t="shared" si="2"/>
        <v>3175</v>
      </c>
      <c r="I36" s="20">
        <v>25</v>
      </c>
      <c r="J36" s="21" t="s">
        <v>104</v>
      </c>
      <c r="K36" s="22" t="s">
        <v>128</v>
      </c>
      <c r="L36" s="14"/>
      <c r="M36" s="12"/>
    </row>
    <row r="37" spans="1:13" x14ac:dyDescent="0.25">
      <c r="A37" s="12">
        <v>16</v>
      </c>
      <c r="B37" s="12" t="str">
        <f t="shared" si="0"/>
        <v>ЩР-1 (260727 sprksy) (L5LS-ЩР-1)</v>
      </c>
      <c r="C37" s="12" t="s">
        <v>101</v>
      </c>
      <c r="D37" s="12" t="s">
        <v>109</v>
      </c>
      <c r="E37" s="13" t="s">
        <v>110</v>
      </c>
      <c r="F37" s="14">
        <v>319</v>
      </c>
      <c r="G37" s="14">
        <f>F37*Kurallar!$B$3</f>
        <v>319</v>
      </c>
      <c r="H37" s="14">
        <f t="shared" si="2"/>
        <v>1914</v>
      </c>
      <c r="I37" s="20">
        <v>6</v>
      </c>
      <c r="J37" s="21" t="s">
        <v>104</v>
      </c>
      <c r="K37" s="22" t="s">
        <v>128</v>
      </c>
      <c r="L37" s="14"/>
      <c r="M37" s="12"/>
    </row>
    <row r="38" spans="1:13" x14ac:dyDescent="0.25">
      <c r="A38" s="12">
        <v>17</v>
      </c>
      <c r="B38" s="12" t="str">
        <f t="shared" si="0"/>
        <v>ЩР-1 (260727 sprksy) (L5LS-ЩР-1)</v>
      </c>
      <c r="C38" s="12" t="s">
        <v>101</v>
      </c>
      <c r="D38" s="12" t="s">
        <v>111</v>
      </c>
      <c r="E38" s="13" t="s">
        <v>112</v>
      </c>
      <c r="F38" s="14">
        <v>79</v>
      </c>
      <c r="G38" s="14">
        <f>F38*Kurallar!$B$3</f>
        <v>79</v>
      </c>
      <c r="H38" s="14">
        <f t="shared" si="2"/>
        <v>237</v>
      </c>
      <c r="I38" s="20">
        <v>3</v>
      </c>
      <c r="J38" s="21" t="s">
        <v>104</v>
      </c>
      <c r="K38" s="22" t="s">
        <v>128</v>
      </c>
      <c r="L38" s="14"/>
      <c r="M38" s="12"/>
    </row>
    <row r="39" spans="1:13" ht="25.5" x14ac:dyDescent="0.25">
      <c r="A39" s="12">
        <v>18</v>
      </c>
      <c r="B39" s="12" t="str">
        <f t="shared" si="0"/>
        <v>ЩР-1 (260727 sprksy) (L5LS-ЩР-1)</v>
      </c>
      <c r="C39" s="12" t="s">
        <v>101</v>
      </c>
      <c r="D39" s="12" t="s">
        <v>113</v>
      </c>
      <c r="E39" s="13" t="s">
        <v>114</v>
      </c>
      <c r="F39" s="14"/>
      <c r="G39" s="14">
        <f>SUM(H23:H38)*Kurallar!$B$5</f>
        <v>8938.8360000000011</v>
      </c>
      <c r="H39" s="14">
        <f t="shared" si="2"/>
        <v>8938.8360000000011</v>
      </c>
      <c r="I39" s="20">
        <v>1</v>
      </c>
      <c r="J39" s="21" t="s">
        <v>115</v>
      </c>
      <c r="K39" s="21" t="s">
        <v>116</v>
      </c>
      <c r="L39" s="14"/>
      <c r="M39" s="12"/>
    </row>
    <row r="40" spans="1:13" ht="25.5" x14ac:dyDescent="0.25">
      <c r="A40" s="12">
        <v>19</v>
      </c>
      <c r="B40" s="12" t="str">
        <f t="shared" si="0"/>
        <v>ЩР-1 (260727 sprksy) (L5LS-ЩР-1)</v>
      </c>
      <c r="C40" s="12" t="s">
        <v>117</v>
      </c>
      <c r="D40" s="12" t="s">
        <v>118</v>
      </c>
      <c r="E40" s="13" t="s">
        <v>119</v>
      </c>
      <c r="F40" s="14">
        <f>I40/60</f>
        <v>8.1</v>
      </c>
      <c r="G40" s="14">
        <f>Kurallar!$B$6</f>
        <v>100</v>
      </c>
      <c r="H40" s="14">
        <f t="shared" si="2"/>
        <v>48600</v>
      </c>
      <c r="I40" s="20">
        <f>Kurallar!$B$18</f>
        <v>486</v>
      </c>
      <c r="J40" s="21" t="s">
        <v>120</v>
      </c>
      <c r="K40" s="21" t="s">
        <v>116</v>
      </c>
      <c r="L40" s="14"/>
      <c r="M40" s="12"/>
    </row>
    <row r="41" spans="1:13" x14ac:dyDescent="0.25">
      <c r="A41" s="12">
        <v>20</v>
      </c>
      <c r="B41" s="12" t="str">
        <f t="shared" si="0"/>
        <v>ЩР-1 (260727 sprksy) (L5LS-ЩР-1)</v>
      </c>
      <c r="H41" s="24">
        <f>SUM(H23:H40)</f>
        <v>355500.03600000008</v>
      </c>
    </row>
    <row r="42" spans="1:13" x14ac:dyDescent="0.25">
      <c r="A42" s="8">
        <v>1</v>
      </c>
      <c r="B42" s="9" t="str">
        <f>E42</f>
        <v>ВРУ-1(ВРУ1-18-80 УХЛ4)(260727 sprksy) (L5US-ВРУ-1)</v>
      </c>
      <c r="C42" s="8" t="s">
        <v>72</v>
      </c>
      <c r="D42" s="8"/>
      <c r="E42" s="10" t="s">
        <v>137</v>
      </c>
      <c r="F42" s="11"/>
      <c r="G42" s="11"/>
      <c r="H42" s="11"/>
      <c r="I42" s="18">
        <v>1</v>
      </c>
      <c r="J42" s="19" t="s">
        <v>74</v>
      </c>
      <c r="K42" s="19"/>
      <c r="L42" s="11"/>
      <c r="M42" s="8"/>
    </row>
    <row r="43" spans="1:13" x14ac:dyDescent="0.25">
      <c r="A43" s="12">
        <v>2</v>
      </c>
      <c r="B43" s="12" t="str">
        <f t="shared" si="0"/>
        <v>ВРУ-1(ВРУ1-18-80 УХЛ4)(260727 sprksy) (L5US-ВРУ-1)</v>
      </c>
      <c r="C43" s="12" t="s">
        <v>75</v>
      </c>
      <c r="D43" s="12" t="s">
        <v>131</v>
      </c>
      <c r="E43" s="25" t="s">
        <v>138</v>
      </c>
      <c r="F43" s="14">
        <v>1</v>
      </c>
      <c r="G43" s="14">
        <f>0.6*F43</f>
        <v>0.6</v>
      </c>
      <c r="H43" s="14">
        <f t="shared" ref="H43:H65" si="3">G43*I43</f>
        <v>0.6</v>
      </c>
      <c r="I43" s="20">
        <v>1</v>
      </c>
      <c r="J43" s="21" t="s">
        <v>76</v>
      </c>
      <c r="K43" s="22" t="s">
        <v>133</v>
      </c>
      <c r="L43" s="14"/>
      <c r="M43" s="12"/>
    </row>
    <row r="44" spans="1:13" x14ac:dyDescent="0.25">
      <c r="A44" s="12">
        <v>2</v>
      </c>
      <c r="B44" s="12" t="str">
        <f t="shared" si="0"/>
        <v>ВРУ-1(ВРУ1-18-80 УХЛ4)(260727 sprksy) (L5US-ВРУ-1)</v>
      </c>
      <c r="C44" s="12" t="s">
        <v>75</v>
      </c>
      <c r="D44" s="12" t="s">
        <v>131</v>
      </c>
      <c r="E44" s="25" t="s">
        <v>138</v>
      </c>
      <c r="F44" s="14">
        <v>1</v>
      </c>
      <c r="G44" s="14">
        <f>0.6*F44</f>
        <v>0.6</v>
      </c>
      <c r="H44" s="14">
        <f t="shared" ref="H44" si="4">G44*I44</f>
        <v>0.6</v>
      </c>
      <c r="I44" s="20">
        <v>1</v>
      </c>
      <c r="J44" s="21" t="s">
        <v>76</v>
      </c>
      <c r="K44" s="22" t="s">
        <v>133</v>
      </c>
      <c r="L44" s="14"/>
      <c r="M44" s="12"/>
    </row>
    <row r="45" spans="1:13" x14ac:dyDescent="0.25">
      <c r="A45" s="12">
        <v>3</v>
      </c>
      <c r="B45" s="12" t="str">
        <f>B43</f>
        <v>ВРУ-1(ВРУ1-18-80 УХЛ4)(260727 sprksy) (L5US-ВРУ-1)</v>
      </c>
      <c r="C45" s="26" t="s">
        <v>140</v>
      </c>
      <c r="D45" s="12" t="s">
        <v>77</v>
      </c>
      <c r="E45" s="25" t="s">
        <v>146</v>
      </c>
      <c r="F45" s="14">
        <v>201862</v>
      </c>
      <c r="G45" s="14">
        <f>F45*Kurallar!$B$2</f>
        <v>121117.2</v>
      </c>
      <c r="H45" s="14">
        <f t="shared" si="3"/>
        <v>121117.2</v>
      </c>
      <c r="I45" s="20">
        <v>1</v>
      </c>
      <c r="J45" s="21" t="s">
        <v>76</v>
      </c>
      <c r="K45" s="21" t="s">
        <v>79</v>
      </c>
      <c r="L45" s="14"/>
      <c r="M45" s="12"/>
    </row>
    <row r="46" spans="1:13" x14ac:dyDescent="0.25">
      <c r="A46" s="12">
        <v>4</v>
      </c>
      <c r="B46" s="12" t="str">
        <f t="shared" si="0"/>
        <v>ВРУ-1(ВРУ1-18-80 УХЛ4)(260727 sprksy) (L5US-ВРУ-1)</v>
      </c>
      <c r="C46" s="12" t="s">
        <v>141</v>
      </c>
      <c r="D46" s="12" t="s">
        <v>129</v>
      </c>
      <c r="E46" s="25" t="s">
        <v>147</v>
      </c>
      <c r="F46" s="14">
        <v>88000</v>
      </c>
      <c r="G46" s="14">
        <f>F46*Kurallar!$B$4</f>
        <v>88000</v>
      </c>
      <c r="H46" s="14">
        <f t="shared" si="3"/>
        <v>176000</v>
      </c>
      <c r="I46" s="20">
        <v>2</v>
      </c>
      <c r="J46" s="21" t="s">
        <v>76</v>
      </c>
      <c r="K46" s="21" t="s">
        <v>81</v>
      </c>
      <c r="L46" s="14"/>
      <c r="M46" s="12"/>
    </row>
    <row r="47" spans="1:13" x14ac:dyDescent="0.25">
      <c r="A47" s="12">
        <v>5</v>
      </c>
      <c r="B47" s="12" t="str">
        <f t="shared" si="0"/>
        <v>ВРУ-1(ВРУ1-18-80 УХЛ4)(260727 sprksy) (L5US-ВРУ-1)</v>
      </c>
      <c r="C47" s="12" t="s">
        <v>141</v>
      </c>
      <c r="D47" s="12" t="s">
        <v>83</v>
      </c>
      <c r="E47" s="13" t="s">
        <v>148</v>
      </c>
      <c r="F47" s="14">
        <v>5104</v>
      </c>
      <c r="G47" s="14">
        <f>F47*Kurallar!$B$2</f>
        <v>3062.4</v>
      </c>
      <c r="H47" s="14">
        <f t="shared" si="3"/>
        <v>6124.8</v>
      </c>
      <c r="I47" s="20">
        <v>2</v>
      </c>
      <c r="J47" s="21" t="s">
        <v>76</v>
      </c>
      <c r="K47" s="21" t="s">
        <v>79</v>
      </c>
      <c r="L47" s="14"/>
      <c r="M47" s="12"/>
    </row>
    <row r="48" spans="1:13" x14ac:dyDescent="0.25">
      <c r="A48" s="12">
        <v>5</v>
      </c>
      <c r="B48" s="12" t="str">
        <f t="shared" si="0"/>
        <v>ВРУ-1(ВРУ1-18-80 УХЛ4)(260727 sprksy) (L5US-ВРУ-1)</v>
      </c>
      <c r="C48" s="12" t="s">
        <v>141</v>
      </c>
      <c r="D48" s="12" t="s">
        <v>83</v>
      </c>
      <c r="E48" s="13" t="s">
        <v>149</v>
      </c>
      <c r="F48" s="14">
        <v>5104</v>
      </c>
      <c r="G48" s="14">
        <f>F48*Kurallar!$B$2</f>
        <v>3062.4</v>
      </c>
      <c r="H48" s="14">
        <f t="shared" ref="H48:H55" si="5">G48*I48</f>
        <v>3062.4</v>
      </c>
      <c r="I48" s="20">
        <v>1</v>
      </c>
      <c r="J48" s="21" t="s">
        <v>76</v>
      </c>
      <c r="K48" s="21" t="s">
        <v>79</v>
      </c>
      <c r="L48" s="14"/>
      <c r="M48" s="12"/>
    </row>
    <row r="49" spans="1:13" x14ac:dyDescent="0.25">
      <c r="A49" s="12">
        <v>5</v>
      </c>
      <c r="B49" s="12" t="str">
        <f t="shared" si="0"/>
        <v>ВРУ-1(ВРУ1-18-80 УХЛ4)(260727 sprksy) (L5US-ВРУ-1)</v>
      </c>
      <c r="C49" s="12" t="s">
        <v>141</v>
      </c>
      <c r="D49" s="12" t="s">
        <v>83</v>
      </c>
      <c r="E49" s="13" t="s">
        <v>150</v>
      </c>
      <c r="F49" s="14">
        <v>5104</v>
      </c>
      <c r="G49" s="14">
        <f>F49*Kurallar!$B$2</f>
        <v>3062.4</v>
      </c>
      <c r="H49" s="14">
        <f t="shared" si="5"/>
        <v>3062.4</v>
      </c>
      <c r="I49" s="20">
        <v>1</v>
      </c>
      <c r="J49" s="21" t="s">
        <v>76</v>
      </c>
      <c r="K49" s="21" t="s">
        <v>79</v>
      </c>
      <c r="L49" s="14"/>
      <c r="M49" s="12"/>
    </row>
    <row r="50" spans="1:13" x14ac:dyDescent="0.25">
      <c r="A50" s="12">
        <v>5</v>
      </c>
      <c r="B50" s="12" t="str">
        <f t="shared" si="0"/>
        <v>ВРУ-1(ВРУ1-18-80 УХЛ4)(260727 sprksy) (L5US-ВРУ-1)</v>
      </c>
      <c r="C50" s="12" t="s">
        <v>141</v>
      </c>
      <c r="D50" s="12" t="s">
        <v>83</v>
      </c>
      <c r="E50" s="13" t="s">
        <v>151</v>
      </c>
      <c r="F50" s="14">
        <v>5104</v>
      </c>
      <c r="G50" s="14">
        <f>F50*Kurallar!$B$2</f>
        <v>3062.4</v>
      </c>
      <c r="H50" s="14">
        <f t="shared" si="5"/>
        <v>3062.4</v>
      </c>
      <c r="I50" s="20">
        <v>1</v>
      </c>
      <c r="J50" s="21" t="s">
        <v>76</v>
      </c>
      <c r="K50" s="21" t="s">
        <v>79</v>
      </c>
      <c r="L50" s="14"/>
      <c r="M50" s="12"/>
    </row>
    <row r="51" spans="1:13" x14ac:dyDescent="0.25">
      <c r="A51" s="12">
        <v>5</v>
      </c>
      <c r="B51" s="12" t="str">
        <f t="shared" si="0"/>
        <v>ВРУ-1(ВРУ1-18-80 УХЛ4)(260727 sprksy) (L5US-ВРУ-1)</v>
      </c>
      <c r="C51" s="12" t="s">
        <v>141</v>
      </c>
      <c r="D51" s="12" t="s">
        <v>83</v>
      </c>
      <c r="E51" s="13" t="s">
        <v>152</v>
      </c>
      <c r="F51" s="14">
        <v>5104</v>
      </c>
      <c r="G51" s="14">
        <f>F51*Kurallar!$B$2</f>
        <v>3062.4</v>
      </c>
      <c r="H51" s="14">
        <f t="shared" si="5"/>
        <v>3062.4</v>
      </c>
      <c r="I51" s="20">
        <v>1</v>
      </c>
      <c r="J51" s="21" t="s">
        <v>76</v>
      </c>
      <c r="K51" s="21" t="s">
        <v>79</v>
      </c>
      <c r="L51" s="14"/>
      <c r="M51" s="12"/>
    </row>
    <row r="52" spans="1:13" x14ac:dyDescent="0.25">
      <c r="A52" s="12">
        <v>5</v>
      </c>
      <c r="B52" s="12" t="str">
        <f t="shared" si="0"/>
        <v>ВРУ-1(ВРУ1-18-80 УХЛ4)(260727 sprksy) (L5US-ВРУ-1)</v>
      </c>
      <c r="C52" s="12" t="s">
        <v>142</v>
      </c>
      <c r="D52" s="12" t="s">
        <v>83</v>
      </c>
      <c r="E52" s="13" t="s">
        <v>153</v>
      </c>
      <c r="F52" s="14">
        <v>5104</v>
      </c>
      <c r="G52" s="14">
        <f>F52*Kurallar!$B$2</f>
        <v>3062.4</v>
      </c>
      <c r="H52" s="14">
        <f t="shared" si="5"/>
        <v>3062.4</v>
      </c>
      <c r="I52" s="20">
        <v>1</v>
      </c>
      <c r="J52" s="21" t="s">
        <v>76</v>
      </c>
      <c r="K52" s="21" t="s">
        <v>79</v>
      </c>
      <c r="L52" s="14"/>
      <c r="M52" s="12"/>
    </row>
    <row r="53" spans="1:13" x14ac:dyDescent="0.25">
      <c r="A53" s="12">
        <v>5</v>
      </c>
      <c r="B53" s="12" t="str">
        <f t="shared" si="0"/>
        <v>ВРУ-1(ВРУ1-18-80 УХЛ4)(260727 sprksy) (L5US-ВРУ-1)</v>
      </c>
      <c r="C53" s="12" t="s">
        <v>143</v>
      </c>
      <c r="D53" s="12" t="s">
        <v>83</v>
      </c>
      <c r="E53" s="13" t="s">
        <v>154</v>
      </c>
      <c r="F53" s="14">
        <v>5104</v>
      </c>
      <c r="G53" s="14">
        <f>F53*Kurallar!$B$2</f>
        <v>3062.4</v>
      </c>
      <c r="H53" s="14">
        <f t="shared" si="5"/>
        <v>9187.2000000000007</v>
      </c>
      <c r="I53" s="20">
        <v>3</v>
      </c>
      <c r="J53" s="21" t="s">
        <v>76</v>
      </c>
      <c r="K53" s="21" t="s">
        <v>79</v>
      </c>
      <c r="L53" s="14"/>
      <c r="M53" s="12"/>
    </row>
    <row r="54" spans="1:13" x14ac:dyDescent="0.25">
      <c r="A54" s="12">
        <v>5</v>
      </c>
      <c r="B54" s="12" t="str">
        <f t="shared" si="0"/>
        <v>ВРУ-1(ВРУ1-18-80 УХЛ4)(260727 sprksy) (L5US-ВРУ-1)</v>
      </c>
      <c r="C54" s="12" t="s">
        <v>144</v>
      </c>
      <c r="D54" s="12" t="s">
        <v>83</v>
      </c>
      <c r="E54" s="13" t="s">
        <v>155</v>
      </c>
      <c r="F54" s="14">
        <v>5104</v>
      </c>
      <c r="G54" s="14">
        <f>F54*Kurallar!$B$2</f>
        <v>3062.4</v>
      </c>
      <c r="H54" s="14">
        <f t="shared" si="5"/>
        <v>6124.8</v>
      </c>
      <c r="I54" s="20">
        <v>2</v>
      </c>
      <c r="J54" s="21" t="s">
        <v>76</v>
      </c>
      <c r="K54" s="21" t="s">
        <v>79</v>
      </c>
      <c r="L54" s="14"/>
      <c r="M54" s="12"/>
    </row>
    <row r="55" spans="1:13" x14ac:dyDescent="0.25">
      <c r="A55" s="12">
        <v>5</v>
      </c>
      <c r="B55" s="12" t="str">
        <f t="shared" si="0"/>
        <v>ВРУ-1(ВРУ1-18-80 УХЛ4)(260727 sprksy) (L5US-ВРУ-1)</v>
      </c>
      <c r="C55" s="27" t="s">
        <v>145</v>
      </c>
      <c r="D55" s="12" t="s">
        <v>83</v>
      </c>
      <c r="E55" s="13" t="s">
        <v>156</v>
      </c>
      <c r="F55" s="14">
        <v>5104</v>
      </c>
      <c r="G55" s="14">
        <f>F55*Kurallar!$B$2</f>
        <v>3062.4</v>
      </c>
      <c r="H55" s="14">
        <f t="shared" si="5"/>
        <v>6124.8</v>
      </c>
      <c r="I55" s="20">
        <v>2</v>
      </c>
      <c r="J55" s="21" t="s">
        <v>76</v>
      </c>
      <c r="K55" s="21" t="s">
        <v>79</v>
      </c>
      <c r="L55" s="14"/>
      <c r="M55" s="12"/>
    </row>
    <row r="56" spans="1:13" x14ac:dyDescent="0.25">
      <c r="A56" s="12">
        <v>10</v>
      </c>
      <c r="B56" s="12" t="str">
        <f t="shared" si="0"/>
        <v>ВРУ-1(ВРУ1-18-80 УХЛ4)(260727 sprksy) (L5US-ВРУ-1)</v>
      </c>
      <c r="C56" s="12" t="s">
        <v>94</v>
      </c>
      <c r="D56" s="12" t="s">
        <v>95</v>
      </c>
      <c r="E56" s="13" t="s">
        <v>96</v>
      </c>
      <c r="F56" s="14">
        <v>494</v>
      </c>
      <c r="G56" s="14">
        <f>F56*Kurallar!$B$3</f>
        <v>494</v>
      </c>
      <c r="H56" s="14">
        <f t="shared" si="3"/>
        <v>494</v>
      </c>
      <c r="I56" s="20">
        <v>1</v>
      </c>
      <c r="J56" s="21" t="s">
        <v>76</v>
      </c>
      <c r="K56" s="22" t="s">
        <v>128</v>
      </c>
      <c r="L56" s="14"/>
      <c r="M56" s="12"/>
    </row>
    <row r="57" spans="1:13" x14ac:dyDescent="0.25">
      <c r="A57" s="12">
        <v>11</v>
      </c>
      <c r="B57" s="12" t="str">
        <f t="shared" si="0"/>
        <v>ВРУ-1(ВРУ1-18-80 УХЛ4)(260727 sprksy) (L5US-ВРУ-1)</v>
      </c>
      <c r="C57" s="12" t="s">
        <v>94</v>
      </c>
      <c r="D57" s="12" t="s">
        <v>97</v>
      </c>
      <c r="E57" s="13" t="s">
        <v>98</v>
      </c>
      <c r="F57" s="14">
        <v>634</v>
      </c>
      <c r="G57" s="14">
        <f>F57*Kurallar!$B$3</f>
        <v>634</v>
      </c>
      <c r="H57" s="14">
        <f t="shared" si="3"/>
        <v>634</v>
      </c>
      <c r="I57" s="20">
        <v>1</v>
      </c>
      <c r="J57" s="21" t="s">
        <v>76</v>
      </c>
      <c r="K57" s="22" t="s">
        <v>128</v>
      </c>
      <c r="L57" s="14"/>
      <c r="M57" s="12"/>
    </row>
    <row r="58" spans="1:13" x14ac:dyDescent="0.25">
      <c r="A58" s="12">
        <v>12</v>
      </c>
      <c r="B58" s="12" t="str">
        <f t="shared" si="0"/>
        <v>ВРУ-1(ВРУ1-18-80 УХЛ4)(260727 sprksy) (L5US-ВРУ-1)</v>
      </c>
      <c r="C58" s="12" t="s">
        <v>24</v>
      </c>
      <c r="D58" s="12" t="s">
        <v>99</v>
      </c>
      <c r="E58" s="13" t="s">
        <v>100</v>
      </c>
      <c r="F58" s="14">
        <v>90</v>
      </c>
      <c r="G58" s="14">
        <f>F58*Kurallar!$B$3</f>
        <v>90</v>
      </c>
      <c r="H58" s="14">
        <f t="shared" si="3"/>
        <v>1800</v>
      </c>
      <c r="I58" s="20">
        <v>20</v>
      </c>
      <c r="J58" s="21" t="s">
        <v>76</v>
      </c>
      <c r="K58" s="22" t="s">
        <v>128</v>
      </c>
      <c r="L58" s="14"/>
      <c r="M58" s="12"/>
    </row>
    <row r="59" spans="1:13" x14ac:dyDescent="0.25">
      <c r="A59" s="12">
        <v>13</v>
      </c>
      <c r="B59" s="12" t="str">
        <f t="shared" si="0"/>
        <v>ВРУ-1(ВРУ1-18-80 УХЛ4)(260727 sprksy) (L5US-ВРУ-1)</v>
      </c>
      <c r="C59" s="12" t="s">
        <v>101</v>
      </c>
      <c r="D59" s="12" t="s">
        <v>102</v>
      </c>
      <c r="E59" s="13" t="s">
        <v>103</v>
      </c>
      <c r="F59" s="14">
        <v>869</v>
      </c>
      <c r="G59" s="14">
        <f>F59*Kurallar!$B$2</f>
        <v>521.4</v>
      </c>
      <c r="H59" s="14">
        <f t="shared" si="3"/>
        <v>1042.8</v>
      </c>
      <c r="I59" s="20">
        <v>2</v>
      </c>
      <c r="J59" s="21" t="s">
        <v>104</v>
      </c>
      <c r="K59" s="22" t="s">
        <v>128</v>
      </c>
      <c r="L59" s="14"/>
      <c r="M59" s="12"/>
    </row>
    <row r="60" spans="1:13" x14ac:dyDescent="0.25">
      <c r="A60" s="12">
        <v>14</v>
      </c>
      <c r="B60" s="12" t="str">
        <f t="shared" si="0"/>
        <v>ВРУ-1(ВРУ1-18-80 УХЛ4)(260727 sprksy) (L5US-ВРУ-1)</v>
      </c>
      <c r="C60" s="12" t="s">
        <v>101</v>
      </c>
      <c r="D60" s="12" t="s">
        <v>105</v>
      </c>
      <c r="E60" s="13" t="s">
        <v>106</v>
      </c>
      <c r="F60" s="14">
        <v>1808</v>
      </c>
      <c r="G60" s="14">
        <f>F60*Kurallar!$B$3</f>
        <v>1808</v>
      </c>
      <c r="H60" s="14">
        <f t="shared" si="3"/>
        <v>3616</v>
      </c>
      <c r="I60" s="20">
        <v>2</v>
      </c>
      <c r="J60" s="21" t="s">
        <v>76</v>
      </c>
      <c r="K60" s="22" t="s">
        <v>128</v>
      </c>
      <c r="L60" s="14"/>
      <c r="M60" s="12"/>
    </row>
    <row r="61" spans="1:13" x14ac:dyDescent="0.25">
      <c r="A61" s="12">
        <v>15</v>
      </c>
      <c r="B61" s="12" t="str">
        <f t="shared" si="0"/>
        <v>ВРУ-1(ВРУ1-18-80 УХЛ4)(260727 sprksy) (L5US-ВРУ-1)</v>
      </c>
      <c r="C61" s="12" t="s">
        <v>101</v>
      </c>
      <c r="D61" s="12" t="s">
        <v>107</v>
      </c>
      <c r="E61" s="13" t="s">
        <v>108</v>
      </c>
      <c r="F61" s="14">
        <v>127</v>
      </c>
      <c r="G61" s="14">
        <f>F61*Kurallar!$B$3</f>
        <v>127</v>
      </c>
      <c r="H61" s="14">
        <f t="shared" si="3"/>
        <v>3175</v>
      </c>
      <c r="I61" s="20">
        <v>25</v>
      </c>
      <c r="J61" s="21" t="s">
        <v>104</v>
      </c>
      <c r="K61" s="22" t="s">
        <v>128</v>
      </c>
      <c r="L61" s="14"/>
      <c r="M61" s="12"/>
    </row>
    <row r="62" spans="1:13" x14ac:dyDescent="0.25">
      <c r="A62" s="12">
        <v>16</v>
      </c>
      <c r="B62" s="12" t="str">
        <f t="shared" si="0"/>
        <v>ВРУ-1(ВРУ1-18-80 УХЛ4)(260727 sprksy) (L5US-ВРУ-1)</v>
      </c>
      <c r="C62" s="12" t="s">
        <v>101</v>
      </c>
      <c r="D62" s="12" t="s">
        <v>109</v>
      </c>
      <c r="E62" s="13" t="s">
        <v>110</v>
      </c>
      <c r="F62" s="14">
        <v>319</v>
      </c>
      <c r="G62" s="14">
        <f>F62*Kurallar!$B$3</f>
        <v>319</v>
      </c>
      <c r="H62" s="14">
        <f t="shared" si="3"/>
        <v>1914</v>
      </c>
      <c r="I62" s="20">
        <v>6</v>
      </c>
      <c r="J62" s="21" t="s">
        <v>104</v>
      </c>
      <c r="K62" s="22" t="s">
        <v>128</v>
      </c>
      <c r="L62" s="14"/>
      <c r="M62" s="12"/>
    </row>
    <row r="63" spans="1:13" x14ac:dyDescent="0.25">
      <c r="A63" s="12">
        <v>17</v>
      </c>
      <c r="B63" s="12" t="str">
        <f t="shared" si="0"/>
        <v>ВРУ-1(ВРУ1-18-80 УХЛ4)(260727 sprksy) (L5US-ВРУ-1)</v>
      </c>
      <c r="C63" s="12" t="s">
        <v>101</v>
      </c>
      <c r="D63" s="12" t="s">
        <v>111</v>
      </c>
      <c r="E63" s="13" t="s">
        <v>112</v>
      </c>
      <c r="F63" s="14">
        <v>79</v>
      </c>
      <c r="G63" s="14">
        <f>F63*Kurallar!$B$3</f>
        <v>79</v>
      </c>
      <c r="H63" s="14">
        <f t="shared" si="3"/>
        <v>237</v>
      </c>
      <c r="I63" s="20">
        <v>3</v>
      </c>
      <c r="J63" s="21" t="s">
        <v>104</v>
      </c>
      <c r="K63" s="22" t="s">
        <v>128</v>
      </c>
      <c r="L63" s="14"/>
      <c r="M63" s="12"/>
    </row>
    <row r="64" spans="1:13" ht="25.5" x14ac:dyDescent="0.25">
      <c r="A64" s="12">
        <v>18</v>
      </c>
      <c r="B64" s="12" t="str">
        <f t="shared" si="0"/>
        <v>ВРУ-1(ВРУ1-18-80 УХЛ4)(260727 sprksy) (L5US-ВРУ-1)</v>
      </c>
      <c r="C64" s="12" t="s">
        <v>101</v>
      </c>
      <c r="D64" s="12" t="s">
        <v>113</v>
      </c>
      <c r="E64" s="13" t="s">
        <v>114</v>
      </c>
      <c r="F64" s="14"/>
      <c r="G64" s="14">
        <f>SUM(H43:H63)*Kurallar!$B$5</f>
        <v>10587.144000000002</v>
      </c>
      <c r="H64" s="14">
        <f t="shared" si="3"/>
        <v>10587.144000000002</v>
      </c>
      <c r="I64" s="20">
        <v>1</v>
      </c>
      <c r="J64" s="21" t="s">
        <v>115</v>
      </c>
      <c r="K64" s="21" t="s">
        <v>116</v>
      </c>
      <c r="L64" s="14"/>
      <c r="M64" s="12"/>
    </row>
    <row r="65" spans="1:13" ht="25.5" x14ac:dyDescent="0.25">
      <c r="A65" s="12">
        <v>19</v>
      </c>
      <c r="B65" s="12" t="str">
        <f t="shared" si="0"/>
        <v>ВРУ-1(ВРУ1-18-80 УХЛ4)(260727 sprksy) (L5US-ВРУ-1)</v>
      </c>
      <c r="C65" s="12" t="s">
        <v>117</v>
      </c>
      <c r="D65" s="12" t="s">
        <v>118</v>
      </c>
      <c r="E65" s="13" t="s">
        <v>119</v>
      </c>
      <c r="F65" s="14">
        <f>I65/60</f>
        <v>8.1</v>
      </c>
      <c r="G65" s="14">
        <f>Kurallar!$B$6</f>
        <v>100</v>
      </c>
      <c r="H65" s="14">
        <f t="shared" si="3"/>
        <v>48600</v>
      </c>
      <c r="I65" s="20">
        <f>Kurallar!$B$18</f>
        <v>486</v>
      </c>
      <c r="J65" s="21" t="s">
        <v>120</v>
      </c>
      <c r="K65" s="21" t="s">
        <v>116</v>
      </c>
      <c r="L65" s="14"/>
      <c r="M65" s="12"/>
    </row>
    <row r="66" spans="1:13" x14ac:dyDescent="0.25">
      <c r="A66" s="12">
        <v>20</v>
      </c>
      <c r="B66" s="12" t="str">
        <f t="shared" si="0"/>
        <v>ВРУ-1(ВРУ1-18-80 УХЛ4)(260727 sprksy) (L5US-ВРУ-1)</v>
      </c>
      <c r="H66" s="24">
        <f>SUM(H43:H65)</f>
        <v>412091.94400000013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defaultColWidth="8.7109375" defaultRowHeight="15" x14ac:dyDescent="0.25"/>
  <cols>
    <col min="1" max="1" width="6" customWidth="1"/>
    <col min="2" max="2" width="58" customWidth="1"/>
    <col min="3" max="3" width="14" customWidth="1"/>
    <col min="4" max="4" width="18" customWidth="1"/>
    <col min="5" max="5" width="16" customWidth="1"/>
    <col min="6" max="6" width="44" customWidth="1"/>
  </cols>
  <sheetData>
    <row r="1" spans="1:6" ht="26.25" x14ac:dyDescent="0.25">
      <c r="A1" s="15" t="s">
        <v>121</v>
      </c>
      <c r="B1" s="15" t="s">
        <v>122</v>
      </c>
      <c r="C1" s="15" t="s">
        <v>123</v>
      </c>
      <c r="D1" s="15" t="s">
        <v>124</v>
      </c>
      <c r="E1" s="15" t="s">
        <v>66</v>
      </c>
      <c r="F1" s="15" t="s">
        <v>125</v>
      </c>
    </row>
    <row r="2" spans="1:6" x14ac:dyDescent="0.25">
      <c r="A2" s="2">
        <v>1</v>
      </c>
      <c r="B2" s="2" t="s">
        <v>73</v>
      </c>
      <c r="C2" s="2">
        <v>1</v>
      </c>
      <c r="D2" s="16" t="e">
        <f>BOM!#REF!</f>
        <v>#REF!</v>
      </c>
      <c r="E2" s="16" t="e">
        <f>C2*D2</f>
        <v>#REF!</v>
      </c>
      <c r="F2" s="2" t="s">
        <v>126</v>
      </c>
    </row>
    <row r="3" spans="1:6" x14ac:dyDescent="0.25">
      <c r="A3" s="4"/>
      <c r="B3" s="4" t="s">
        <v>127</v>
      </c>
      <c r="C3" s="4"/>
      <c r="D3" s="17"/>
      <c r="E3" s="17" t="e">
        <f>SUM(E2:E2)</f>
        <v>#REF!</v>
      </c>
      <c r="F3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Kurallar</vt:lpstr>
      <vt:lpstr>BOM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2026-07-27T07:15:21Z</dcterms:created>
  <dcterms:modified xsi:type="dcterms:W3CDTF">2026-07-27T10:24:21Z</dcterms:modified>
  <dc:language>en-US</dc:language>
</cp:coreProperties>
</file>