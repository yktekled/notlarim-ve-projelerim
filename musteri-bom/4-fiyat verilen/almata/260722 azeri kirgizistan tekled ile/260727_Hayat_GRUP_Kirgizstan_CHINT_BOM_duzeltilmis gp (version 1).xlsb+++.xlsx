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azeri kirgizistan tekled ile\"/>
    </mc:Choice>
  </mc:AlternateContent>
  <xr:revisionPtr revIDLastSave="0" documentId="13_ncr:1_{BFC04F78-7D4C-47C6-82B3-FB490BA0CC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yfa1" sheetId="1" r:id="rId1"/>
    <sheet name="BOM_DUZELTILMIS" sheetId="2" r:id="rId2"/>
    <sheet name="fiyat" sheetId="6" r:id="rId3"/>
    <sheet name="fazla panolar" sheetId="5" r:id="rId4"/>
    <sheet name="REVIZYON_OZETI" sheetId="3" r:id="rId5"/>
    <sheet name="KAPSAM_KONTROL" sheetId="4" r:id="rId6"/>
  </sheets>
  <definedNames>
    <definedName name="_xlnm._FilterDatabase" localSheetId="1" hidden="1">BOM_DUZELTILMIS!$B$1:$L$489</definedName>
    <definedName name="_xlnm._FilterDatabase" localSheetId="2" hidden="1">fiyat!$A$1:$J$51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5" i="2"/>
  <c r="A16" i="2"/>
  <c r="A17" i="2"/>
  <c r="A18" i="2"/>
  <c r="A19" i="2"/>
  <c r="A20" i="2"/>
  <c r="A21" i="2"/>
  <c r="A22" i="2"/>
  <c r="A23" i="2"/>
  <c r="A24" i="2"/>
  <c r="A26" i="2"/>
  <c r="A27" i="2"/>
  <c r="A28" i="2"/>
  <c r="A29" i="2"/>
  <c r="A30" i="2"/>
  <c r="A31" i="2"/>
  <c r="A32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8" i="2"/>
  <c r="A49" i="2"/>
  <c r="A50" i="2"/>
  <c r="A51" i="2"/>
  <c r="A52" i="2"/>
  <c r="A53" i="2"/>
  <c r="A54" i="2"/>
  <c r="A55" i="2"/>
  <c r="A56" i="2"/>
  <c r="A58" i="2"/>
  <c r="A59" i="2"/>
  <c r="A60" i="2"/>
  <c r="A61" i="2"/>
  <c r="A63" i="2"/>
  <c r="A64" i="2"/>
  <c r="A65" i="2"/>
  <c r="A66" i="2"/>
  <c r="A67" i="2"/>
  <c r="A68" i="2"/>
  <c r="A69" i="2"/>
  <c r="A71" i="2"/>
  <c r="A72" i="2"/>
  <c r="A73" i="2"/>
  <c r="A74" i="2"/>
  <c r="A75" i="2"/>
  <c r="A76" i="2"/>
  <c r="A77" i="2"/>
  <c r="A78" i="2"/>
  <c r="A79" i="2"/>
  <c r="A80" i="2"/>
  <c r="A81" i="2"/>
  <c r="A82" i="2"/>
  <c r="A84" i="2"/>
  <c r="A85" i="2"/>
  <c r="A86" i="2"/>
  <c r="A87" i="2"/>
  <c r="A88" i="2"/>
  <c r="A89" i="2"/>
  <c r="A90" i="2"/>
  <c r="A91" i="2"/>
  <c r="A92" i="2"/>
  <c r="A93" i="2"/>
  <c r="A95" i="2"/>
  <c r="A96" i="2"/>
  <c r="A97" i="2"/>
  <c r="A98" i="2"/>
  <c r="A100" i="2"/>
  <c r="A101" i="2"/>
  <c r="A102" i="2"/>
  <c r="A103" i="2"/>
  <c r="A104" i="2"/>
  <c r="A105" i="2"/>
  <c r="A106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1" i="2"/>
  <c r="A122" i="2"/>
  <c r="A123" i="2"/>
  <c r="A124" i="2"/>
  <c r="A125" i="2"/>
  <c r="A126" i="2"/>
  <c r="A127" i="2"/>
  <c r="A128" i="2"/>
  <c r="A129" i="2"/>
  <c r="A131" i="2"/>
  <c r="A132" i="2"/>
  <c r="A133" i="2"/>
  <c r="A134" i="2"/>
  <c r="A135" i="2"/>
  <c r="A136" i="2"/>
  <c r="A137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2" i="2"/>
  <c r="A153" i="2"/>
  <c r="A154" i="2"/>
  <c r="A155" i="2"/>
  <c r="A156" i="2"/>
  <c r="A157" i="2"/>
  <c r="A158" i="2"/>
  <c r="A159" i="2"/>
  <c r="A160" i="2"/>
  <c r="A161" i="2"/>
  <c r="A162" i="2"/>
  <c r="A164" i="2"/>
  <c r="A165" i="2"/>
  <c r="A166" i="2"/>
  <c r="A167" i="2"/>
  <c r="A169" i="2"/>
  <c r="A170" i="2"/>
  <c r="A171" i="2"/>
  <c r="A172" i="2"/>
  <c r="A173" i="2"/>
  <c r="A174" i="2"/>
  <c r="A175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90" i="2"/>
  <c r="A191" i="2"/>
  <c r="A192" i="2"/>
  <c r="A193" i="2"/>
  <c r="A194" i="2"/>
  <c r="A195" i="2"/>
  <c r="A196" i="2"/>
  <c r="A197" i="2"/>
  <c r="A198" i="2"/>
  <c r="A200" i="2"/>
  <c r="A201" i="2"/>
  <c r="A202" i="2"/>
  <c r="A203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8" i="2"/>
  <c r="A219" i="2"/>
  <c r="A220" i="2"/>
  <c r="A221" i="2"/>
  <c r="A222" i="2"/>
  <c r="A223" i="2"/>
  <c r="A224" i="2"/>
  <c r="A225" i="2"/>
  <c r="A226" i="2"/>
  <c r="A227" i="2"/>
  <c r="A229" i="2"/>
  <c r="A230" i="2"/>
  <c r="A231" i="2"/>
  <c r="A232" i="2"/>
  <c r="A233" i="2"/>
  <c r="A234" i="2"/>
  <c r="A235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7" i="2"/>
  <c r="A278" i="2"/>
  <c r="A279" i="2"/>
  <c r="A280" i="2"/>
  <c r="A281" i="2"/>
  <c r="A282" i="2"/>
  <c r="A283" i="2"/>
  <c r="A284" i="2"/>
  <c r="A285" i="2"/>
  <c r="A287" i="2"/>
  <c r="A288" i="2"/>
  <c r="A289" i="2"/>
  <c r="A290" i="2"/>
  <c r="A291" i="2"/>
  <c r="A292" i="2"/>
  <c r="A293" i="2"/>
  <c r="A294" i="2"/>
  <c r="A295" i="2"/>
  <c r="A296" i="2"/>
  <c r="A297" i="2"/>
  <c r="A299" i="2"/>
  <c r="A300" i="2"/>
  <c r="A301" i="2"/>
  <c r="A302" i="2"/>
  <c r="A303" i="2"/>
  <c r="A304" i="2"/>
  <c r="A305" i="2"/>
  <c r="A306" i="2"/>
  <c r="A307" i="2"/>
  <c r="A309" i="2"/>
  <c r="A310" i="2"/>
  <c r="A311" i="2"/>
  <c r="A312" i="2"/>
  <c r="A313" i="2"/>
  <c r="A314" i="2"/>
  <c r="A315" i="2"/>
  <c r="A316" i="2"/>
  <c r="A317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3" i="2"/>
  <c r="A334" i="2"/>
  <c r="A335" i="2"/>
  <c r="A336" i="2"/>
  <c r="A338" i="2"/>
  <c r="A339" i="2"/>
  <c r="A340" i="2"/>
  <c r="A341" i="2"/>
  <c r="A343" i="2"/>
  <c r="A344" i="2"/>
  <c r="A345" i="2"/>
  <c r="A346" i="2"/>
  <c r="A347" i="2"/>
  <c r="A348" i="2"/>
  <c r="A349" i="2"/>
  <c r="A350" i="2"/>
  <c r="A351" i="2"/>
  <c r="A353" i="2"/>
  <c r="A354" i="2"/>
  <c r="A355" i="2"/>
  <c r="A356" i="2"/>
  <c r="A357" i="2"/>
  <c r="A358" i="2"/>
  <c r="A359" i="2"/>
  <c r="A360" i="2"/>
  <c r="A361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8" i="2"/>
  <c r="A379" i="2"/>
  <c r="A380" i="2"/>
  <c r="A381" i="2"/>
  <c r="A382" i="2"/>
  <c r="A383" i="2"/>
  <c r="A384" i="2"/>
  <c r="A386" i="2"/>
  <c r="A387" i="2"/>
  <c r="A389" i="2"/>
  <c r="A391" i="2"/>
  <c r="A392" i="2"/>
  <c r="A393" i="2"/>
  <c r="A394" i="2"/>
  <c r="A395" i="2"/>
  <c r="A396" i="2"/>
  <c r="A397" i="2"/>
  <c r="A398" i="2"/>
  <c r="A399" i="2"/>
  <c r="A400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5" i="2"/>
  <c r="A416" i="2"/>
  <c r="A417" i="2"/>
  <c r="A418" i="2"/>
  <c r="A419" i="2"/>
  <c r="A420" i="2"/>
  <c r="A421" i="2"/>
  <c r="A422" i="2"/>
  <c r="A423" i="2"/>
  <c r="A425" i="2"/>
  <c r="A426" i="2"/>
  <c r="A428" i="2"/>
  <c r="A430" i="2"/>
  <c r="A431" i="2"/>
  <c r="A432" i="2"/>
  <c r="A433" i="2"/>
  <c r="A434" i="2"/>
  <c r="A435" i="2"/>
  <c r="A436" i="2"/>
  <c r="A437" i="2"/>
  <c r="A438" i="2"/>
  <c r="A439" i="2"/>
  <c r="A441" i="2"/>
  <c r="A442" i="2"/>
  <c r="A443" i="2"/>
  <c r="A444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9" i="2"/>
  <c r="A480" i="2"/>
  <c r="A481" i="2"/>
  <c r="A482" i="2"/>
  <c r="A483" i="2"/>
  <c r="A484" i="2"/>
  <c r="A485" i="2"/>
  <c r="A486" i="2"/>
  <c r="A487" i="2"/>
  <c r="A488" i="2"/>
  <c r="A2" i="2"/>
  <c r="K3" i="6"/>
  <c r="C3" i="6" s="1"/>
  <c r="D3" i="6" s="1"/>
  <c r="E3" i="6" s="1"/>
  <c r="K4" i="6"/>
  <c r="C4" i="6" s="1"/>
  <c r="D4" i="6" s="1"/>
  <c r="E4" i="6" s="1"/>
  <c r="K5" i="6"/>
  <c r="C5" i="6" s="1"/>
  <c r="D5" i="6" s="1"/>
  <c r="E5" i="6" s="1"/>
  <c r="K6" i="6"/>
  <c r="C6" i="6" s="1"/>
  <c r="D6" i="6" s="1"/>
  <c r="E6" i="6" s="1"/>
  <c r="K7" i="6"/>
  <c r="C7" i="6" s="1"/>
  <c r="D7" i="6" s="1"/>
  <c r="E7" i="6" s="1"/>
  <c r="K8" i="6"/>
  <c r="C8" i="6" s="1"/>
  <c r="D8" i="6" s="1"/>
  <c r="E8" i="6" s="1"/>
  <c r="K9" i="6"/>
  <c r="C9" i="6" s="1"/>
  <c r="D9" i="6" s="1"/>
  <c r="E9" i="6" s="1"/>
  <c r="K10" i="6"/>
  <c r="C10" i="6" s="1"/>
  <c r="D10" i="6" s="1"/>
  <c r="E10" i="6" s="1"/>
  <c r="K11" i="6"/>
  <c r="C11" i="6" s="1"/>
  <c r="D11" i="6" s="1"/>
  <c r="E11" i="6" s="1"/>
  <c r="K12" i="6"/>
  <c r="C12" i="6" s="1"/>
  <c r="D12" i="6" s="1"/>
  <c r="E12" i="6" s="1"/>
  <c r="K13" i="6"/>
  <c r="C13" i="6" s="1"/>
  <c r="D13" i="6" s="1"/>
  <c r="E13" i="6" s="1"/>
  <c r="K14" i="6"/>
  <c r="C14" i="6" s="1"/>
  <c r="D14" i="6" s="1"/>
  <c r="E14" i="6" s="1"/>
  <c r="K15" i="6"/>
  <c r="C15" i="6" s="1"/>
  <c r="D15" i="6" s="1"/>
  <c r="E15" i="6" s="1"/>
  <c r="K16" i="6"/>
  <c r="C16" i="6" s="1"/>
  <c r="D16" i="6" s="1"/>
  <c r="E16" i="6" s="1"/>
  <c r="K17" i="6"/>
  <c r="C17" i="6" s="1"/>
  <c r="D17" i="6" s="1"/>
  <c r="E17" i="6" s="1"/>
  <c r="K18" i="6"/>
  <c r="C18" i="6" s="1"/>
  <c r="D18" i="6" s="1"/>
  <c r="E18" i="6" s="1"/>
  <c r="K19" i="6"/>
  <c r="C19" i="6" s="1"/>
  <c r="D19" i="6" s="1"/>
  <c r="E19" i="6" s="1"/>
  <c r="K20" i="6"/>
  <c r="C20" i="6" s="1"/>
  <c r="D20" i="6" s="1"/>
  <c r="E20" i="6" s="1"/>
  <c r="K21" i="6"/>
  <c r="C21" i="6" s="1"/>
  <c r="D21" i="6" s="1"/>
  <c r="E21" i="6" s="1"/>
  <c r="K22" i="6"/>
  <c r="C22" i="6" s="1"/>
  <c r="D22" i="6" s="1"/>
  <c r="E22" i="6" s="1"/>
  <c r="K23" i="6"/>
  <c r="C23" i="6" s="1"/>
  <c r="D23" i="6" s="1"/>
  <c r="E23" i="6" s="1"/>
  <c r="K24" i="6"/>
  <c r="C24" i="6" s="1"/>
  <c r="D24" i="6" s="1"/>
  <c r="E24" i="6" s="1"/>
  <c r="K25" i="6"/>
  <c r="C25" i="6" s="1"/>
  <c r="D25" i="6" s="1"/>
  <c r="E25" i="6" s="1"/>
  <c r="K26" i="6"/>
  <c r="C26" i="6" s="1"/>
  <c r="D26" i="6" s="1"/>
  <c r="E26" i="6" s="1"/>
  <c r="K27" i="6"/>
  <c r="C27" i="6" s="1"/>
  <c r="D27" i="6" s="1"/>
  <c r="E27" i="6" s="1"/>
  <c r="K28" i="6"/>
  <c r="C28" i="6" s="1"/>
  <c r="D28" i="6" s="1"/>
  <c r="E28" i="6" s="1"/>
  <c r="K29" i="6"/>
  <c r="C29" i="6" s="1"/>
  <c r="D29" i="6" s="1"/>
  <c r="E29" i="6" s="1"/>
  <c r="K30" i="6"/>
  <c r="C30" i="6" s="1"/>
  <c r="D30" i="6" s="1"/>
  <c r="E30" i="6" s="1"/>
  <c r="K31" i="6"/>
  <c r="C31" i="6" s="1"/>
  <c r="D31" i="6" s="1"/>
  <c r="E31" i="6" s="1"/>
  <c r="K32" i="6"/>
  <c r="C32" i="6" s="1"/>
  <c r="D32" i="6" s="1"/>
  <c r="E32" i="6" s="1"/>
  <c r="K33" i="6"/>
  <c r="C33" i="6" s="1"/>
  <c r="D33" i="6" s="1"/>
  <c r="E33" i="6" s="1"/>
  <c r="K34" i="6"/>
  <c r="C34" i="6" s="1"/>
  <c r="D34" i="6" s="1"/>
  <c r="E34" i="6" s="1"/>
  <c r="K35" i="6"/>
  <c r="C35" i="6" s="1"/>
  <c r="D35" i="6" s="1"/>
  <c r="E35" i="6" s="1"/>
  <c r="K36" i="6"/>
  <c r="C36" i="6" s="1"/>
  <c r="D36" i="6" s="1"/>
  <c r="E36" i="6" s="1"/>
  <c r="K37" i="6"/>
  <c r="C37" i="6" s="1"/>
  <c r="D37" i="6" s="1"/>
  <c r="E37" i="6" s="1"/>
  <c r="K38" i="6"/>
  <c r="C38" i="6" s="1"/>
  <c r="D38" i="6" s="1"/>
  <c r="E38" i="6" s="1"/>
  <c r="K39" i="6"/>
  <c r="C39" i="6" s="1"/>
  <c r="D39" i="6" s="1"/>
  <c r="E39" i="6" s="1"/>
  <c r="K40" i="6"/>
  <c r="C40" i="6" s="1"/>
  <c r="D40" i="6" s="1"/>
  <c r="E40" i="6" s="1"/>
  <c r="K41" i="6"/>
  <c r="C41" i="6" s="1"/>
  <c r="D41" i="6" s="1"/>
  <c r="E41" i="6" s="1"/>
  <c r="K42" i="6"/>
  <c r="C42" i="6" s="1"/>
  <c r="D42" i="6" s="1"/>
  <c r="E42" i="6" s="1"/>
  <c r="K43" i="6"/>
  <c r="C43" i="6" s="1"/>
  <c r="D43" i="6" s="1"/>
  <c r="E43" i="6" s="1"/>
  <c r="K44" i="6"/>
  <c r="C44" i="6" s="1"/>
  <c r="D44" i="6" s="1"/>
  <c r="E44" i="6" s="1"/>
  <c r="K45" i="6"/>
  <c r="C45" i="6" s="1"/>
  <c r="D45" i="6" s="1"/>
  <c r="E45" i="6" s="1"/>
  <c r="K46" i="6"/>
  <c r="C46" i="6" s="1"/>
  <c r="D46" i="6" s="1"/>
  <c r="E46" i="6" s="1"/>
  <c r="K47" i="6"/>
  <c r="C47" i="6" s="1"/>
  <c r="D47" i="6" s="1"/>
  <c r="E47" i="6" s="1"/>
  <c r="K2" i="6"/>
  <c r="C2" i="6" s="1"/>
  <c r="D2" i="6" s="1"/>
  <c r="E2" i="6" s="1"/>
  <c r="G486" i="2"/>
  <c r="H486" i="2" s="1"/>
  <c r="G485" i="2"/>
  <c r="H485" i="2" s="1"/>
  <c r="G484" i="2"/>
  <c r="H484" i="2" s="1"/>
  <c r="G475" i="2"/>
  <c r="H475" i="2" s="1"/>
  <c r="G474" i="2"/>
  <c r="H474" i="2" s="1"/>
  <c r="G473" i="2"/>
  <c r="H473" i="2" s="1"/>
  <c r="G461" i="2"/>
  <c r="H461" i="2" s="1"/>
  <c r="G460" i="2"/>
  <c r="H460" i="2" s="1"/>
  <c r="G459" i="2"/>
  <c r="H459" i="2" s="1"/>
  <c r="G458" i="2"/>
  <c r="H458" i="2" s="1"/>
  <c r="G442" i="2"/>
  <c r="H442" i="2" s="1"/>
  <c r="G437" i="2"/>
  <c r="H437" i="2" s="1"/>
  <c r="G436" i="2"/>
  <c r="H436" i="2" s="1"/>
  <c r="G435" i="2"/>
  <c r="H435" i="2" s="1"/>
  <c r="G421" i="2"/>
  <c r="H421" i="2" s="1"/>
  <c r="G420" i="2"/>
  <c r="H420" i="2" s="1"/>
  <c r="G419" i="2"/>
  <c r="H419" i="2" s="1"/>
  <c r="G411" i="2"/>
  <c r="H411" i="2" s="1"/>
  <c r="G410" i="2"/>
  <c r="H410" i="2" s="1"/>
  <c r="G409" i="2"/>
  <c r="H409" i="2" s="1"/>
  <c r="G398" i="2"/>
  <c r="H398" i="2" s="1"/>
  <c r="G397" i="2"/>
  <c r="H397" i="2" s="1"/>
  <c r="G396" i="2"/>
  <c r="H396" i="2" s="1"/>
  <c r="G380" i="2"/>
  <c r="H380" i="2" s="1"/>
  <c r="G374" i="2"/>
  <c r="H374" i="2" s="1"/>
  <c r="G373" i="2"/>
  <c r="H373" i="2" s="1"/>
  <c r="G372" i="2"/>
  <c r="H372" i="2" s="1"/>
  <c r="G359" i="2"/>
  <c r="H359" i="2" s="1"/>
  <c r="G358" i="2"/>
  <c r="H358" i="2" s="1"/>
  <c r="G357" i="2"/>
  <c r="H357" i="2" s="1"/>
  <c r="G349" i="2"/>
  <c r="H349" i="2" s="1"/>
  <c r="G348" i="2"/>
  <c r="H348" i="2" s="1"/>
  <c r="G347" i="2"/>
  <c r="H347" i="2" s="1"/>
  <c r="G329" i="2"/>
  <c r="H329" i="2" s="1"/>
  <c r="G328" i="2"/>
  <c r="H328" i="2" s="1"/>
  <c r="G327" i="2"/>
  <c r="H327" i="2" s="1"/>
  <c r="G315" i="2"/>
  <c r="H315" i="2" s="1"/>
  <c r="G314" i="2"/>
  <c r="H314" i="2" s="1"/>
  <c r="G313" i="2"/>
  <c r="H313" i="2" s="1"/>
  <c r="G305" i="2"/>
  <c r="H305" i="2" s="1"/>
  <c r="G304" i="2"/>
  <c r="H304" i="2" s="1"/>
  <c r="G303" i="2"/>
  <c r="H303" i="2" s="1"/>
  <c r="G295" i="2"/>
  <c r="H295" i="2" s="1"/>
  <c r="G294" i="2"/>
  <c r="H294" i="2" s="1"/>
  <c r="G293" i="2"/>
  <c r="H293" i="2" s="1"/>
  <c r="G283" i="2"/>
  <c r="H283" i="2" s="1"/>
  <c r="G282" i="2"/>
  <c r="H282" i="2" s="1"/>
  <c r="G281" i="2"/>
  <c r="H281" i="2" s="1"/>
  <c r="G273" i="2"/>
  <c r="H273" i="2" s="1"/>
  <c r="G272" i="2"/>
  <c r="H272" i="2" s="1"/>
  <c r="G271" i="2"/>
  <c r="H271" i="2" s="1"/>
  <c r="G260" i="2"/>
  <c r="H260" i="2" s="1"/>
  <c r="G259" i="2"/>
  <c r="H259" i="2" s="1"/>
  <c r="G258" i="2"/>
  <c r="H258" i="2" s="1"/>
  <c r="G246" i="2"/>
  <c r="H246" i="2" s="1"/>
  <c r="G245" i="2"/>
  <c r="H245" i="2" s="1"/>
  <c r="G244" i="2"/>
  <c r="H244" i="2" s="1"/>
  <c r="G231" i="2"/>
  <c r="H231" i="2" s="1"/>
  <c r="G225" i="2"/>
  <c r="H225" i="2" s="1"/>
  <c r="G224" i="2"/>
  <c r="H224" i="2" s="1"/>
  <c r="G223" i="2"/>
  <c r="H223" i="2" s="1"/>
  <c r="G214" i="2"/>
  <c r="H214" i="2" s="1"/>
  <c r="G213" i="2"/>
  <c r="H213" i="2" s="1"/>
  <c r="G212" i="2"/>
  <c r="H212" i="2" s="1"/>
  <c r="G201" i="2"/>
  <c r="H201" i="2" s="1"/>
  <c r="G196" i="2"/>
  <c r="H196" i="2" s="1"/>
  <c r="G195" i="2"/>
  <c r="H195" i="2" s="1"/>
  <c r="G194" i="2"/>
  <c r="H194" i="2" s="1"/>
  <c r="G186" i="2"/>
  <c r="H186" i="2" s="1"/>
  <c r="G185" i="2"/>
  <c r="H185" i="2" s="1"/>
  <c r="G184" i="2"/>
  <c r="H184" i="2" s="1"/>
  <c r="G171" i="2"/>
  <c r="H171" i="2" s="1"/>
  <c r="G160" i="2"/>
  <c r="H160" i="2" s="1"/>
  <c r="G159" i="2"/>
  <c r="H159" i="2" s="1"/>
  <c r="G158" i="2"/>
  <c r="H158" i="2" s="1"/>
  <c r="G148" i="2"/>
  <c r="H148" i="2" s="1"/>
  <c r="G147" i="2"/>
  <c r="H147" i="2" s="1"/>
  <c r="G146" i="2"/>
  <c r="H146" i="2" s="1"/>
  <c r="G133" i="2"/>
  <c r="H133" i="2" s="1"/>
  <c r="G127" i="2"/>
  <c r="H127" i="2" s="1"/>
  <c r="G126" i="2"/>
  <c r="H126" i="2" s="1"/>
  <c r="G125" i="2"/>
  <c r="H125" i="2" s="1"/>
  <c r="G117" i="2"/>
  <c r="H117" i="2" s="1"/>
  <c r="G116" i="2"/>
  <c r="H116" i="2" s="1"/>
  <c r="G115" i="2"/>
  <c r="H115" i="2" s="1"/>
  <c r="G102" i="2"/>
  <c r="H102" i="2" s="1"/>
  <c r="G91" i="2"/>
  <c r="H91" i="2" s="1"/>
  <c r="G90" i="2"/>
  <c r="H90" i="2" s="1"/>
  <c r="G89" i="2"/>
  <c r="H89" i="2" s="1"/>
  <c r="G80" i="2"/>
  <c r="H80" i="2" s="1"/>
  <c r="G79" i="2"/>
  <c r="H79" i="2" s="1"/>
  <c r="G78" i="2"/>
  <c r="H78" i="2" s="1"/>
  <c r="G65" i="2"/>
  <c r="H65" i="2" s="1"/>
  <c r="G54" i="2"/>
  <c r="H54" i="2" s="1"/>
  <c r="G53" i="2"/>
  <c r="H53" i="2" s="1"/>
  <c r="G52" i="2"/>
  <c r="H52" i="2" s="1"/>
  <c r="G44" i="2"/>
  <c r="H44" i="2" s="1"/>
  <c r="G43" i="2"/>
  <c r="H43" i="2" s="1"/>
  <c r="G42" i="2"/>
  <c r="H42" i="2" s="1"/>
  <c r="G28" i="2"/>
  <c r="H28" i="2" s="1"/>
  <c r="G22" i="2"/>
  <c r="H22" i="2" s="1"/>
  <c r="G21" i="2"/>
  <c r="H21" i="2" s="1"/>
  <c r="G20" i="2"/>
  <c r="H20" i="2" s="1"/>
  <c r="G11" i="2"/>
  <c r="H11" i="2" s="1"/>
  <c r="G10" i="2"/>
  <c r="H10" i="2" s="1"/>
  <c r="G483" i="2"/>
  <c r="H483" i="2" s="1"/>
  <c r="G482" i="2"/>
  <c r="H482" i="2" s="1"/>
  <c r="G481" i="2"/>
  <c r="H481" i="2" s="1"/>
  <c r="G480" i="2"/>
  <c r="H480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34" i="2"/>
  <c r="H434" i="2" s="1"/>
  <c r="G433" i="2"/>
  <c r="H433" i="2" s="1"/>
  <c r="G432" i="2"/>
  <c r="H432" i="2" s="1"/>
  <c r="G431" i="2"/>
  <c r="H431" i="2" s="1"/>
  <c r="G430" i="2"/>
  <c r="H430" i="2" s="1"/>
  <c r="G428" i="2"/>
  <c r="H428" i="2" s="1"/>
  <c r="H429" i="2" s="1"/>
  <c r="G426" i="2"/>
  <c r="H426" i="2" s="1"/>
  <c r="H427" i="2" s="1"/>
  <c r="G418" i="2"/>
  <c r="H418" i="2" s="1"/>
  <c r="G417" i="2"/>
  <c r="H417" i="2" s="1"/>
  <c r="G416" i="2"/>
  <c r="H416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395" i="2"/>
  <c r="H395" i="2" s="1"/>
  <c r="G394" i="2"/>
  <c r="H394" i="2" s="1"/>
  <c r="G393" i="2"/>
  <c r="H393" i="2" s="1"/>
  <c r="G392" i="2"/>
  <c r="H392" i="2" s="1"/>
  <c r="G391" i="2"/>
  <c r="H391" i="2" s="1"/>
  <c r="G389" i="2"/>
  <c r="H389" i="2" s="1"/>
  <c r="H390" i="2" s="1"/>
  <c r="G387" i="2"/>
  <c r="H387" i="2" s="1"/>
  <c r="H388" i="2" s="1"/>
  <c r="G382" i="2"/>
  <c r="H382" i="2" s="1"/>
  <c r="G381" i="2"/>
  <c r="H381" i="2" s="1"/>
  <c r="G379" i="2"/>
  <c r="H379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56" i="2"/>
  <c r="H356" i="2" s="1"/>
  <c r="G355" i="2"/>
  <c r="H355" i="2" s="1"/>
  <c r="G354" i="2"/>
  <c r="H354" i="2" s="1"/>
  <c r="G346" i="2"/>
  <c r="H346" i="2" s="1"/>
  <c r="G345" i="2"/>
  <c r="H345" i="2" s="1"/>
  <c r="G344" i="2"/>
  <c r="H344" i="2" s="1"/>
  <c r="G339" i="2"/>
  <c r="H339" i="2" s="1"/>
  <c r="G334" i="2"/>
  <c r="H334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2" i="2"/>
  <c r="H312" i="2" s="1"/>
  <c r="G311" i="2"/>
  <c r="H311" i="2" s="1"/>
  <c r="G310" i="2"/>
  <c r="H310" i="2" s="1"/>
  <c r="G302" i="2"/>
  <c r="H302" i="2" s="1"/>
  <c r="G301" i="2"/>
  <c r="H301" i="2" s="1"/>
  <c r="G300" i="2"/>
  <c r="H300" i="2" s="1"/>
  <c r="G292" i="2"/>
  <c r="H292" i="2" s="1"/>
  <c r="G291" i="2"/>
  <c r="H291" i="2" s="1"/>
  <c r="G290" i="2"/>
  <c r="H290" i="2" s="1"/>
  <c r="G289" i="2"/>
  <c r="H289" i="2" s="1"/>
  <c r="G288" i="2"/>
  <c r="H288" i="2" s="1"/>
  <c r="G280" i="2"/>
  <c r="H280" i="2" s="1"/>
  <c r="G279" i="2"/>
  <c r="H279" i="2" s="1"/>
  <c r="G278" i="2"/>
  <c r="H278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3" i="2"/>
  <c r="H233" i="2" s="1"/>
  <c r="G232" i="2"/>
  <c r="H232" i="2" s="1"/>
  <c r="G230" i="2"/>
  <c r="H230" i="2" s="1"/>
  <c r="G222" i="2"/>
  <c r="H222" i="2" s="1"/>
  <c r="G221" i="2"/>
  <c r="H221" i="2" s="1"/>
  <c r="G220" i="2"/>
  <c r="H220" i="2" s="1"/>
  <c r="G219" i="2"/>
  <c r="H219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193" i="2"/>
  <c r="H193" i="2" s="1"/>
  <c r="G192" i="2"/>
  <c r="H192" i="2" s="1"/>
  <c r="G191" i="2"/>
  <c r="H191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3" i="2"/>
  <c r="H173" i="2" s="1"/>
  <c r="G172" i="2"/>
  <c r="H172" i="2" s="1"/>
  <c r="G170" i="2"/>
  <c r="H170" i="2" s="1"/>
  <c r="G165" i="2"/>
  <c r="H165" i="2" s="1"/>
  <c r="G157" i="2"/>
  <c r="H157" i="2" s="1"/>
  <c r="G156" i="2"/>
  <c r="H156" i="2" s="1"/>
  <c r="G155" i="2"/>
  <c r="H155" i="2" s="1"/>
  <c r="G154" i="2"/>
  <c r="H154" i="2" s="1"/>
  <c r="G153" i="2"/>
  <c r="H153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5" i="2"/>
  <c r="H135" i="2" s="1"/>
  <c r="G134" i="2"/>
  <c r="H134" i="2" s="1"/>
  <c r="G132" i="2"/>
  <c r="H132" i="2" s="1"/>
  <c r="G124" i="2"/>
  <c r="H124" i="2" s="1"/>
  <c r="G123" i="2"/>
  <c r="H123" i="2" s="1"/>
  <c r="G122" i="2"/>
  <c r="H122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4" i="2"/>
  <c r="H104" i="2" s="1"/>
  <c r="G103" i="2"/>
  <c r="H103" i="2" s="1"/>
  <c r="G101" i="2"/>
  <c r="H101" i="2" s="1"/>
  <c r="G96" i="2"/>
  <c r="H96" i="2" s="1"/>
  <c r="G88" i="2"/>
  <c r="H88" i="2" s="1"/>
  <c r="G87" i="2"/>
  <c r="H87" i="2" s="1"/>
  <c r="G86" i="2"/>
  <c r="H86" i="2" s="1"/>
  <c r="G85" i="2"/>
  <c r="H85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67" i="2"/>
  <c r="H67" i="2" s="1"/>
  <c r="G66" i="2"/>
  <c r="H66" i="2" s="1"/>
  <c r="G64" i="2"/>
  <c r="H64" i="2" s="1"/>
  <c r="G59" i="2"/>
  <c r="H59" i="2" s="1"/>
  <c r="G51" i="2"/>
  <c r="H51" i="2" s="1"/>
  <c r="G50" i="2"/>
  <c r="H50" i="2" s="1"/>
  <c r="G49" i="2"/>
  <c r="H49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0" i="2"/>
  <c r="H30" i="2" s="1"/>
  <c r="G29" i="2"/>
  <c r="H29" i="2" s="1"/>
  <c r="G27" i="2"/>
  <c r="H27" i="2" s="1"/>
  <c r="G19" i="2"/>
  <c r="H19" i="2" s="1"/>
  <c r="G18" i="2"/>
  <c r="H18" i="2" s="1"/>
  <c r="G17" i="2"/>
  <c r="H17" i="2" s="1"/>
  <c r="G16" i="2"/>
  <c r="H16" i="2" s="1"/>
  <c r="G8" i="2"/>
  <c r="H8" i="2" s="1"/>
  <c r="G7" i="2"/>
  <c r="G6" i="2"/>
  <c r="G5" i="2"/>
  <c r="G4" i="2"/>
  <c r="G3" i="2"/>
  <c r="H3" i="2" s="1"/>
  <c r="L165" i="2"/>
  <c r="L166" i="2" s="1"/>
  <c r="L167" i="2" s="1"/>
  <c r="L169" i="2" s="1"/>
  <c r="L170" i="2" s="1"/>
  <c r="L171" i="2" s="1"/>
  <c r="L172" i="2" s="1"/>
  <c r="L173" i="2" s="1"/>
  <c r="L174" i="2" s="1"/>
  <c r="L175" i="2" s="1"/>
  <c r="G9" i="2"/>
  <c r="H9" i="2" s="1"/>
  <c r="I150" i="5"/>
  <c r="H150" i="5" s="1"/>
  <c r="F149" i="5" s="1"/>
  <c r="G149" i="5" s="1"/>
  <c r="H149" i="5" s="1"/>
  <c r="H148" i="5"/>
  <c r="H147" i="5"/>
  <c r="H146" i="5"/>
  <c r="H145" i="5"/>
  <c r="H144" i="5"/>
  <c r="H143" i="5"/>
  <c r="H142" i="5"/>
  <c r="H141" i="5"/>
  <c r="I138" i="5"/>
  <c r="H138" i="5" s="1"/>
  <c r="F137" i="5" s="1"/>
  <c r="G137" i="5" s="1"/>
  <c r="H137" i="5" s="1"/>
  <c r="H136" i="5"/>
  <c r="H135" i="5"/>
  <c r="H134" i="5"/>
  <c r="H133" i="5"/>
  <c r="H132" i="5"/>
  <c r="H131" i="5"/>
  <c r="H130" i="5"/>
  <c r="I384" i="2"/>
  <c r="H384" i="2" s="1"/>
  <c r="F383" i="2" s="1"/>
  <c r="G383" i="2" s="1"/>
  <c r="H383" i="2" s="1"/>
  <c r="L378" i="2"/>
  <c r="L379" i="2" s="1"/>
  <c r="L380" i="2" s="1"/>
  <c r="L381" i="2" s="1"/>
  <c r="L382" i="2" s="1"/>
  <c r="L383" i="2" s="1"/>
  <c r="L384" i="2" s="1"/>
  <c r="L333" i="2"/>
  <c r="L334" i="2" s="1"/>
  <c r="L335" i="2" s="1"/>
  <c r="L336" i="2" s="1"/>
  <c r="L338" i="2" s="1"/>
  <c r="L339" i="2" s="1"/>
  <c r="L340" i="2" s="1"/>
  <c r="L341" i="2" s="1"/>
  <c r="I336" i="2"/>
  <c r="H336" i="2" s="1"/>
  <c r="F335" i="2" s="1"/>
  <c r="G335" i="2" s="1"/>
  <c r="H335" i="2" s="1"/>
  <c r="H337" i="2" s="1"/>
  <c r="B333" i="2"/>
  <c r="B334" i="2" s="1"/>
  <c r="I341" i="2"/>
  <c r="H341" i="2" s="1"/>
  <c r="F340" i="2" s="1"/>
  <c r="G340" i="2" s="1"/>
  <c r="H340" i="2" s="1"/>
  <c r="H342" i="2" s="1"/>
  <c r="B338" i="2"/>
  <c r="B339" i="2" s="1"/>
  <c r="B340" i="2" s="1"/>
  <c r="B341" i="2" s="1"/>
  <c r="I127" i="5"/>
  <c r="H127" i="5" s="1"/>
  <c r="F126" i="5" s="1"/>
  <c r="G126" i="5" s="1"/>
  <c r="H126" i="5" s="1"/>
  <c r="H125" i="5"/>
  <c r="H124" i="5"/>
  <c r="H123" i="5"/>
  <c r="H122" i="5"/>
  <c r="H121" i="5"/>
  <c r="I118" i="5"/>
  <c r="H118" i="5" s="1"/>
  <c r="F117" i="5" s="1"/>
  <c r="G117" i="5" s="1"/>
  <c r="H117" i="5" s="1"/>
  <c r="H116" i="5"/>
  <c r="H115" i="5"/>
  <c r="H114" i="5"/>
  <c r="H113" i="5"/>
  <c r="H112" i="5"/>
  <c r="H111" i="5"/>
  <c r="H110" i="5"/>
  <c r="H109" i="5"/>
  <c r="I106" i="5"/>
  <c r="H106" i="5" s="1"/>
  <c r="F105" i="5" s="1"/>
  <c r="G105" i="5" s="1"/>
  <c r="H105" i="5" s="1"/>
  <c r="H104" i="5"/>
  <c r="H103" i="5"/>
  <c r="H102" i="5"/>
  <c r="H101" i="5"/>
  <c r="H100" i="5"/>
  <c r="H99" i="5"/>
  <c r="H98" i="5"/>
  <c r="I235" i="2"/>
  <c r="H235" i="2" s="1"/>
  <c r="F234" i="2" s="1"/>
  <c r="G234" i="2" s="1"/>
  <c r="H234" i="2" s="1"/>
  <c r="L229" i="2"/>
  <c r="L230" i="2" s="1"/>
  <c r="L231" i="2" s="1"/>
  <c r="L232" i="2" s="1"/>
  <c r="L233" i="2" s="1"/>
  <c r="L234" i="2" s="1"/>
  <c r="L235" i="2" s="1"/>
  <c r="I95" i="5"/>
  <c r="H95" i="5" s="1"/>
  <c r="F94" i="5" s="1"/>
  <c r="G94" i="5" s="1"/>
  <c r="H94" i="5" s="1"/>
  <c r="H93" i="5"/>
  <c r="H92" i="5"/>
  <c r="H91" i="5"/>
  <c r="H90" i="5"/>
  <c r="H89" i="5"/>
  <c r="H88" i="5"/>
  <c r="H87" i="5"/>
  <c r="H86" i="5"/>
  <c r="I83" i="5"/>
  <c r="H83" i="5" s="1"/>
  <c r="F82" i="5" s="1"/>
  <c r="G82" i="5" s="1"/>
  <c r="H82" i="5" s="1"/>
  <c r="H81" i="5"/>
  <c r="H80" i="5"/>
  <c r="H79" i="5"/>
  <c r="H78" i="5"/>
  <c r="H77" i="5"/>
  <c r="H76" i="5"/>
  <c r="H75" i="5"/>
  <c r="I175" i="2"/>
  <c r="H175" i="2" s="1"/>
  <c r="F174" i="2" s="1"/>
  <c r="G174" i="2" s="1"/>
  <c r="H174" i="2" s="1"/>
  <c r="I167" i="2"/>
  <c r="H167" i="2" s="1"/>
  <c r="F166" i="2" s="1"/>
  <c r="G166" i="2" s="1"/>
  <c r="H166" i="2" s="1"/>
  <c r="B164" i="2"/>
  <c r="B165" i="2" s="1"/>
  <c r="B166" i="2" s="1"/>
  <c r="B167" i="2" s="1"/>
  <c r="I72" i="5"/>
  <c r="H72" i="5" s="1"/>
  <c r="F71" i="5" s="1"/>
  <c r="G71" i="5" s="1"/>
  <c r="H71" i="5" s="1"/>
  <c r="H70" i="5"/>
  <c r="H69" i="5"/>
  <c r="H68" i="5"/>
  <c r="H67" i="5"/>
  <c r="H66" i="5"/>
  <c r="H65" i="5"/>
  <c r="H64" i="5"/>
  <c r="H63" i="5"/>
  <c r="I60" i="5"/>
  <c r="H60" i="5" s="1"/>
  <c r="F59" i="5" s="1"/>
  <c r="G59" i="5" s="1"/>
  <c r="H59" i="5" s="1"/>
  <c r="H58" i="5"/>
  <c r="H57" i="5"/>
  <c r="H56" i="5"/>
  <c r="H55" i="5"/>
  <c r="H54" i="5"/>
  <c r="H53" i="5"/>
  <c r="H52" i="5"/>
  <c r="I137" i="2"/>
  <c r="H137" i="2" s="1"/>
  <c r="F136" i="2" s="1"/>
  <c r="G136" i="2" s="1"/>
  <c r="H136" i="2" s="1"/>
  <c r="I49" i="5"/>
  <c r="H49" i="5"/>
  <c r="F48" i="5" s="1"/>
  <c r="G48" i="5" s="1"/>
  <c r="H48" i="5" s="1"/>
  <c r="H47" i="5"/>
  <c r="H46" i="5"/>
  <c r="H45" i="5"/>
  <c r="H44" i="5"/>
  <c r="H43" i="5"/>
  <c r="H42" i="5"/>
  <c r="H41" i="5"/>
  <c r="H40" i="5"/>
  <c r="I37" i="5"/>
  <c r="H37" i="5" s="1"/>
  <c r="F36" i="5" s="1"/>
  <c r="G36" i="5" s="1"/>
  <c r="H36" i="5" s="1"/>
  <c r="H35" i="5"/>
  <c r="H34" i="5"/>
  <c r="H33" i="5"/>
  <c r="H32" i="5"/>
  <c r="H31" i="5"/>
  <c r="H30" i="5"/>
  <c r="H29" i="5"/>
  <c r="I106" i="2"/>
  <c r="H106" i="2" s="1"/>
  <c r="F105" i="2" s="1"/>
  <c r="G105" i="2" s="1"/>
  <c r="H105" i="2" s="1"/>
  <c r="I98" i="2"/>
  <c r="H98" i="2" s="1"/>
  <c r="F97" i="2" s="1"/>
  <c r="G97" i="2" s="1"/>
  <c r="H97" i="2" s="1"/>
  <c r="B95" i="2"/>
  <c r="B96" i="2" s="1"/>
  <c r="B97" i="2" s="1"/>
  <c r="B98" i="2" s="1"/>
  <c r="I26" i="5"/>
  <c r="H26" i="5" s="1"/>
  <c r="F25" i="5" s="1"/>
  <c r="G25" i="5" s="1"/>
  <c r="H25" i="5" s="1"/>
  <c r="H24" i="5"/>
  <c r="H23" i="5"/>
  <c r="H22" i="5"/>
  <c r="H21" i="5"/>
  <c r="H20" i="5"/>
  <c r="H19" i="5"/>
  <c r="H18" i="5"/>
  <c r="H17" i="5"/>
  <c r="H16" i="5"/>
  <c r="I69" i="2"/>
  <c r="H69" i="2" s="1"/>
  <c r="F68" i="2" s="1"/>
  <c r="G68" i="2" s="1"/>
  <c r="H68" i="2" s="1"/>
  <c r="B58" i="2"/>
  <c r="B59" i="2" s="1"/>
  <c r="B60" i="2" s="1"/>
  <c r="B61" i="2" s="1"/>
  <c r="I61" i="2"/>
  <c r="H61" i="2" s="1"/>
  <c r="F60" i="2" s="1"/>
  <c r="G60" i="2" s="1"/>
  <c r="H60" i="2" s="1"/>
  <c r="I13" i="5"/>
  <c r="H13" i="5" s="1"/>
  <c r="F12" i="5" s="1"/>
  <c r="G12" i="5" s="1"/>
  <c r="H12" i="5" s="1"/>
  <c r="H11" i="5"/>
  <c r="H10" i="5"/>
  <c r="H9" i="5"/>
  <c r="H8" i="5"/>
  <c r="H7" i="5"/>
  <c r="H6" i="5"/>
  <c r="H5" i="5"/>
  <c r="H4" i="5"/>
  <c r="H3" i="5"/>
  <c r="H2" i="5"/>
  <c r="I488" i="2"/>
  <c r="I477" i="2"/>
  <c r="I463" i="2"/>
  <c r="I444" i="2"/>
  <c r="I439" i="2"/>
  <c r="I423" i="2"/>
  <c r="I413" i="2"/>
  <c r="I400" i="2"/>
  <c r="I376" i="2"/>
  <c r="I361" i="2"/>
  <c r="I351" i="2"/>
  <c r="I331" i="2"/>
  <c r="I317" i="2"/>
  <c r="I307" i="2"/>
  <c r="I297" i="2"/>
  <c r="I285" i="2"/>
  <c r="I275" i="2"/>
  <c r="I262" i="2"/>
  <c r="I248" i="2"/>
  <c r="I227" i="2"/>
  <c r="I216" i="2"/>
  <c r="I203" i="2"/>
  <c r="I198" i="2"/>
  <c r="I188" i="2"/>
  <c r="I162" i="2"/>
  <c r="I150" i="2"/>
  <c r="I129" i="2"/>
  <c r="I119" i="2"/>
  <c r="I93" i="2"/>
  <c r="I82" i="2"/>
  <c r="I56" i="2"/>
  <c r="I46" i="2"/>
  <c r="I32" i="2"/>
  <c r="I24" i="2"/>
  <c r="I13" i="2"/>
  <c r="H62" i="2" l="1"/>
  <c r="H168" i="2"/>
  <c r="H176" i="2"/>
  <c r="E48" i="6"/>
  <c r="H70" i="2"/>
  <c r="H99" i="2"/>
  <c r="H107" i="2"/>
  <c r="H138" i="2"/>
  <c r="H385" i="2"/>
  <c r="H236" i="2"/>
  <c r="H163" i="2"/>
  <c r="H139" i="5"/>
  <c r="H151" i="5"/>
  <c r="B335" i="2"/>
  <c r="B336" i="2" s="1"/>
  <c r="H128" i="5"/>
  <c r="H119" i="5"/>
  <c r="H107" i="5"/>
  <c r="H96" i="5"/>
  <c r="H84" i="5"/>
  <c r="H73" i="5"/>
  <c r="H61" i="5"/>
  <c r="H50" i="5"/>
  <c r="H38" i="5"/>
  <c r="H27" i="5"/>
  <c r="H14" i="5"/>
  <c r="H488" i="2"/>
  <c r="F487" i="2" s="1"/>
  <c r="G487" i="2" s="1"/>
  <c r="H487" i="2" s="1"/>
  <c r="H489" i="2" s="1"/>
  <c r="H477" i="2"/>
  <c r="F476" i="2" s="1"/>
  <c r="G476" i="2" s="1"/>
  <c r="H476" i="2" s="1"/>
  <c r="H478" i="2" s="1"/>
  <c r="H463" i="2"/>
  <c r="F462" i="2" s="1"/>
  <c r="G462" i="2" s="1"/>
  <c r="H462" i="2" s="1"/>
  <c r="H464" i="2" s="1"/>
  <c r="H444" i="2"/>
  <c r="F443" i="2" s="1"/>
  <c r="G443" i="2" s="1"/>
  <c r="H443" i="2" s="1"/>
  <c r="H445" i="2" s="1"/>
  <c r="H439" i="2"/>
  <c r="F438" i="2" s="1"/>
  <c r="G438" i="2" s="1"/>
  <c r="H438" i="2" s="1"/>
  <c r="H440" i="2" s="1"/>
  <c r="H423" i="2"/>
  <c r="F422" i="2" s="1"/>
  <c r="G422" i="2" s="1"/>
  <c r="H422" i="2" s="1"/>
  <c r="H424" i="2" s="1"/>
  <c r="H413" i="2"/>
  <c r="F412" i="2" s="1"/>
  <c r="G412" i="2" s="1"/>
  <c r="H412" i="2" s="1"/>
  <c r="H414" i="2" s="1"/>
  <c r="H400" i="2"/>
  <c r="F399" i="2" s="1"/>
  <c r="G399" i="2" s="1"/>
  <c r="H399" i="2" s="1"/>
  <c r="H401" i="2" s="1"/>
  <c r="H376" i="2"/>
  <c r="F375" i="2" s="1"/>
  <c r="G375" i="2" s="1"/>
  <c r="H375" i="2" s="1"/>
  <c r="H377" i="2" s="1"/>
  <c r="H361" i="2"/>
  <c r="F360" i="2" s="1"/>
  <c r="G360" i="2" s="1"/>
  <c r="H360" i="2" s="1"/>
  <c r="H362" i="2" s="1"/>
  <c r="H351" i="2"/>
  <c r="F350" i="2" s="1"/>
  <c r="G350" i="2" s="1"/>
  <c r="H350" i="2" s="1"/>
  <c r="H352" i="2" s="1"/>
  <c r="H331" i="2"/>
  <c r="F330" i="2" s="1"/>
  <c r="G330" i="2" s="1"/>
  <c r="H330" i="2" s="1"/>
  <c r="H332" i="2" s="1"/>
  <c r="H317" i="2"/>
  <c r="F316" i="2" s="1"/>
  <c r="G316" i="2" s="1"/>
  <c r="H316" i="2" s="1"/>
  <c r="H318" i="2" s="1"/>
  <c r="H307" i="2"/>
  <c r="F306" i="2" s="1"/>
  <c r="G306" i="2" s="1"/>
  <c r="H306" i="2" s="1"/>
  <c r="H308" i="2" s="1"/>
  <c r="H297" i="2"/>
  <c r="F296" i="2" s="1"/>
  <c r="G296" i="2" s="1"/>
  <c r="H296" i="2" s="1"/>
  <c r="H298" i="2" s="1"/>
  <c r="H285" i="2"/>
  <c r="F284" i="2" s="1"/>
  <c r="G284" i="2" s="1"/>
  <c r="H284" i="2" s="1"/>
  <c r="H286" i="2" s="1"/>
  <c r="H275" i="2"/>
  <c r="F274" i="2" s="1"/>
  <c r="G274" i="2" s="1"/>
  <c r="H274" i="2" s="1"/>
  <c r="H276" i="2" s="1"/>
  <c r="H262" i="2"/>
  <c r="F261" i="2" s="1"/>
  <c r="G261" i="2" s="1"/>
  <c r="H261" i="2" s="1"/>
  <c r="H263" i="2" s="1"/>
  <c r="H248" i="2"/>
  <c r="F247" i="2" s="1"/>
  <c r="G247" i="2" s="1"/>
  <c r="H247" i="2" s="1"/>
  <c r="H249" i="2" s="1"/>
  <c r="H227" i="2"/>
  <c r="F226" i="2" s="1"/>
  <c r="G226" i="2" s="1"/>
  <c r="H226" i="2" s="1"/>
  <c r="H228" i="2" s="1"/>
  <c r="H216" i="2"/>
  <c r="F215" i="2" s="1"/>
  <c r="G215" i="2" s="1"/>
  <c r="H215" i="2" s="1"/>
  <c r="H217" i="2" s="1"/>
  <c r="H203" i="2"/>
  <c r="F202" i="2" s="1"/>
  <c r="G202" i="2" s="1"/>
  <c r="H202" i="2" s="1"/>
  <c r="H204" i="2" s="1"/>
  <c r="H198" i="2"/>
  <c r="F197" i="2" s="1"/>
  <c r="G197" i="2" s="1"/>
  <c r="H197" i="2" s="1"/>
  <c r="H199" i="2" s="1"/>
  <c r="H188" i="2"/>
  <c r="F187" i="2" s="1"/>
  <c r="G187" i="2" s="1"/>
  <c r="H187" i="2" s="1"/>
  <c r="H189" i="2" s="1"/>
  <c r="H162" i="2"/>
  <c r="F161" i="2" s="1"/>
  <c r="G161" i="2" s="1"/>
  <c r="H161" i="2" s="1"/>
  <c r="H150" i="2"/>
  <c r="F149" i="2" s="1"/>
  <c r="G149" i="2" s="1"/>
  <c r="H149" i="2" s="1"/>
  <c r="H151" i="2" s="1"/>
  <c r="H129" i="2"/>
  <c r="F128" i="2" s="1"/>
  <c r="G128" i="2" s="1"/>
  <c r="H128" i="2" s="1"/>
  <c r="H130" i="2" s="1"/>
  <c r="H119" i="2"/>
  <c r="F118" i="2" s="1"/>
  <c r="G118" i="2" s="1"/>
  <c r="H118" i="2" s="1"/>
  <c r="H120" i="2" s="1"/>
  <c r="H93" i="2"/>
  <c r="F92" i="2" s="1"/>
  <c r="G92" i="2" s="1"/>
  <c r="H92" i="2" s="1"/>
  <c r="H94" i="2" s="1"/>
  <c r="H82" i="2"/>
  <c r="F81" i="2" s="1"/>
  <c r="G81" i="2" s="1"/>
  <c r="H81" i="2" s="1"/>
  <c r="H83" i="2" s="1"/>
  <c r="H56" i="2"/>
  <c r="F55" i="2" s="1"/>
  <c r="G55" i="2" s="1"/>
  <c r="H55" i="2" s="1"/>
  <c r="H57" i="2" s="1"/>
  <c r="H46" i="2"/>
  <c r="F45" i="2" s="1"/>
  <c r="G45" i="2" s="1"/>
  <c r="H45" i="2" s="1"/>
  <c r="H47" i="2" s="1"/>
  <c r="H32" i="2"/>
  <c r="F31" i="2" s="1"/>
  <c r="G31" i="2" s="1"/>
  <c r="H31" i="2" s="1"/>
  <c r="H33" i="2" s="1"/>
  <c r="H24" i="2"/>
  <c r="F23" i="2" s="1"/>
  <c r="G23" i="2" s="1"/>
  <c r="H23" i="2" s="1"/>
  <c r="H25" i="2" s="1"/>
  <c r="H13" i="2"/>
  <c r="F12" i="2" s="1"/>
  <c r="G12" i="2" s="1"/>
  <c r="H12" i="2" s="1"/>
  <c r="H7" i="2"/>
  <c r="H6" i="2"/>
  <c r="H5" i="2"/>
  <c r="H4" i="2"/>
  <c r="H407" i="1"/>
  <c r="G407" i="1"/>
  <c r="E406" i="1" s="1"/>
  <c r="F406" i="1" s="1"/>
  <c r="G406" i="1" s="1"/>
  <c r="F405" i="1"/>
  <c r="G405" i="1" s="1"/>
  <c r="F404" i="1"/>
  <c r="G404" i="1" s="1"/>
  <c r="F403" i="1"/>
  <c r="G403" i="1" s="1"/>
  <c r="K402" i="1"/>
  <c r="K403" i="1" s="1"/>
  <c r="K404" i="1" s="1"/>
  <c r="K405" i="1" s="1"/>
  <c r="K406" i="1" s="1"/>
  <c r="K407" i="1" s="1"/>
  <c r="K408" i="1" s="1"/>
  <c r="F402" i="1"/>
  <c r="G402" i="1" s="1"/>
  <c r="A401" i="1"/>
  <c r="A402" i="1" s="1"/>
  <c r="A403" i="1" s="1"/>
  <c r="A404" i="1" s="1"/>
  <c r="A405" i="1" s="1"/>
  <c r="A406" i="1" s="1"/>
  <c r="A407" i="1" s="1"/>
  <c r="A408" i="1" s="1"/>
  <c r="H399" i="1"/>
  <c r="G399" i="1"/>
  <c r="E398" i="1" s="1"/>
  <c r="F398" i="1" s="1"/>
  <c r="G398" i="1" s="1"/>
  <c r="F397" i="1"/>
  <c r="G397" i="1" s="1"/>
  <c r="G396" i="1"/>
  <c r="F396" i="1"/>
  <c r="G395" i="1"/>
  <c r="F395" i="1"/>
  <c r="A395" i="1"/>
  <c r="A396" i="1" s="1"/>
  <c r="A397" i="1" s="1"/>
  <c r="A398" i="1" s="1"/>
  <c r="A399" i="1" s="1"/>
  <c r="A400" i="1" s="1"/>
  <c r="K394" i="1"/>
  <c r="K395" i="1" s="1"/>
  <c r="K396" i="1" s="1"/>
  <c r="K397" i="1" s="1"/>
  <c r="K398" i="1" s="1"/>
  <c r="K399" i="1" s="1"/>
  <c r="K400" i="1" s="1"/>
  <c r="G394" i="1"/>
  <c r="F394" i="1"/>
  <c r="K393" i="1"/>
  <c r="G393" i="1"/>
  <c r="F393" i="1"/>
  <c r="A392" i="1"/>
  <c r="A393" i="1" s="1"/>
  <c r="A394" i="1" s="1"/>
  <c r="H390" i="1"/>
  <c r="G390" i="1"/>
  <c r="E389" i="1" s="1"/>
  <c r="F389" i="1" s="1"/>
  <c r="G389" i="1" s="1"/>
  <c r="F388" i="1"/>
  <c r="G388" i="1" s="1"/>
  <c r="G387" i="1"/>
  <c r="F387" i="1"/>
  <c r="F386" i="1"/>
  <c r="G386" i="1" s="1"/>
  <c r="F385" i="1"/>
  <c r="G385" i="1" s="1"/>
  <c r="G384" i="1"/>
  <c r="F384" i="1"/>
  <c r="F383" i="1"/>
  <c r="G383" i="1" s="1"/>
  <c r="K382" i="1"/>
  <c r="K383" i="1" s="1"/>
  <c r="K384" i="1" s="1"/>
  <c r="K385" i="1" s="1"/>
  <c r="K386" i="1" s="1"/>
  <c r="K387" i="1" s="1"/>
  <c r="K388" i="1" s="1"/>
  <c r="K389" i="1" s="1"/>
  <c r="K390" i="1" s="1"/>
  <c r="K391" i="1" s="1"/>
  <c r="F382" i="1"/>
  <c r="G382" i="1" s="1"/>
  <c r="A382" i="1"/>
  <c r="A383" i="1" s="1"/>
  <c r="A384" i="1" s="1"/>
  <c r="A385" i="1" s="1"/>
  <c r="A386" i="1" s="1"/>
  <c r="A387" i="1" s="1"/>
  <c r="A388" i="1" s="1"/>
  <c r="A389" i="1" s="1"/>
  <c r="A390" i="1" s="1"/>
  <c r="A391" i="1" s="1"/>
  <c r="A381" i="1"/>
  <c r="H379" i="1"/>
  <c r="G379" i="1"/>
  <c r="E378" i="1"/>
  <c r="F378" i="1" s="1"/>
  <c r="G378" i="1" s="1"/>
  <c r="F377" i="1"/>
  <c r="G377" i="1" s="1"/>
  <c r="G376" i="1"/>
  <c r="F376" i="1"/>
  <c r="G375" i="1"/>
  <c r="F375" i="1"/>
  <c r="F374" i="1"/>
  <c r="G374" i="1" s="1"/>
  <c r="G373" i="1"/>
  <c r="F373" i="1"/>
  <c r="F372" i="1"/>
  <c r="G372" i="1" s="1"/>
  <c r="F371" i="1"/>
  <c r="G371" i="1" s="1"/>
  <c r="G370" i="1"/>
  <c r="F370" i="1"/>
  <c r="F369" i="1"/>
  <c r="G369" i="1" s="1"/>
  <c r="F368" i="1"/>
  <c r="G368" i="1" s="1"/>
  <c r="G367" i="1"/>
  <c r="F367" i="1"/>
  <c r="K366" i="1"/>
  <c r="K369" i="1" s="1"/>
  <c r="G366" i="1"/>
  <c r="F366" i="1"/>
  <c r="A366" i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65" i="1"/>
  <c r="A364" i="1"/>
  <c r="H362" i="1"/>
  <c r="G362" i="1"/>
  <c r="E361" i="1"/>
  <c r="F361" i="1" s="1"/>
  <c r="G361" i="1" s="1"/>
  <c r="G360" i="1"/>
  <c r="F360" i="1"/>
  <c r="G359" i="1"/>
  <c r="F359" i="1"/>
  <c r="F358" i="1"/>
  <c r="G358" i="1" s="1"/>
  <c r="G357" i="1"/>
  <c r="F357" i="1"/>
  <c r="G356" i="1"/>
  <c r="F356" i="1"/>
  <c r="K355" i="1"/>
  <c r="F355" i="1"/>
  <c r="G355" i="1" s="1"/>
  <c r="G354" i="1"/>
  <c r="F354" i="1"/>
  <c r="G353" i="1"/>
  <c r="F353" i="1"/>
  <c r="F352" i="1"/>
  <c r="G352" i="1" s="1"/>
  <c r="G351" i="1"/>
  <c r="F351" i="1"/>
  <c r="K350" i="1"/>
  <c r="K353" i="1" s="1"/>
  <c r="G350" i="1"/>
  <c r="F350" i="1"/>
  <c r="A349" i="1"/>
  <c r="A350" i="1" s="1"/>
  <c r="A353" i="1" s="1"/>
  <c r="H347" i="1"/>
  <c r="G347" i="1"/>
  <c r="E346" i="1"/>
  <c r="F346" i="1" s="1"/>
  <c r="G346" i="1" s="1"/>
  <c r="K345" i="1"/>
  <c r="K346" i="1" s="1"/>
  <c r="K347" i="1" s="1"/>
  <c r="K348" i="1" s="1"/>
  <c r="G345" i="1"/>
  <c r="F345" i="1"/>
  <c r="F344" i="1"/>
  <c r="G344" i="1" s="1"/>
  <c r="K343" i="1"/>
  <c r="K344" i="1" s="1"/>
  <c r="F343" i="1"/>
  <c r="G343" i="1" s="1"/>
  <c r="A342" i="1"/>
  <c r="A343" i="1" s="1"/>
  <c r="A344" i="1" s="1"/>
  <c r="A345" i="1" s="1"/>
  <c r="A346" i="1" s="1"/>
  <c r="A347" i="1" s="1"/>
  <c r="A348" i="1" s="1"/>
  <c r="A341" i="1"/>
  <c r="H339" i="1"/>
  <c r="G339" i="1"/>
  <c r="E338" i="1"/>
  <c r="F338" i="1" s="1"/>
  <c r="G338" i="1" s="1"/>
  <c r="F337" i="1"/>
  <c r="G337" i="1" s="1"/>
  <c r="F336" i="1"/>
  <c r="G336" i="1" s="1"/>
  <c r="F335" i="1"/>
  <c r="G335" i="1" s="1"/>
  <c r="F334" i="1"/>
  <c r="G334" i="1" s="1"/>
  <c r="F333" i="1"/>
  <c r="G333" i="1" s="1"/>
  <c r="K332" i="1"/>
  <c r="K333" i="1" s="1"/>
  <c r="K334" i="1" s="1"/>
  <c r="G332" i="1"/>
  <c r="F332" i="1"/>
  <c r="A332" i="1"/>
  <c r="A333" i="1" s="1"/>
  <c r="A334" i="1" s="1"/>
  <c r="A331" i="1"/>
  <c r="H329" i="1"/>
  <c r="G329" i="1"/>
  <c r="E328" i="1"/>
  <c r="F328" i="1" s="1"/>
  <c r="G328" i="1" s="1"/>
  <c r="F327" i="1"/>
  <c r="G327" i="1" s="1"/>
  <c r="G326" i="1"/>
  <c r="F326" i="1"/>
  <c r="G325" i="1"/>
  <c r="F325" i="1"/>
  <c r="G324" i="1"/>
  <c r="F324" i="1"/>
  <c r="G323" i="1"/>
  <c r="F323" i="1"/>
  <c r="F322" i="1"/>
  <c r="G322" i="1" s="1"/>
  <c r="G321" i="1"/>
  <c r="F321" i="1"/>
  <c r="G320" i="1"/>
  <c r="F320" i="1"/>
  <c r="F319" i="1"/>
  <c r="G319" i="1" s="1"/>
  <c r="G318" i="1"/>
  <c r="F318" i="1"/>
  <c r="K317" i="1"/>
  <c r="K320" i="1" s="1"/>
  <c r="G317" i="1"/>
  <c r="F317" i="1"/>
  <c r="A317" i="1"/>
  <c r="A320" i="1" s="1"/>
  <c r="A316" i="1"/>
  <c r="H314" i="1"/>
  <c r="G314" i="1"/>
  <c r="E313" i="1"/>
  <c r="F313" i="1" s="1"/>
  <c r="G313" i="1" s="1"/>
  <c r="K312" i="1"/>
  <c r="K313" i="1" s="1"/>
  <c r="K314" i="1" s="1"/>
  <c r="K315" i="1" s="1"/>
  <c r="G312" i="1"/>
  <c r="F312" i="1"/>
  <c r="G311" i="1"/>
  <c r="F311" i="1"/>
  <c r="F310" i="1"/>
  <c r="G310" i="1" s="1"/>
  <c r="K309" i="1"/>
  <c r="K310" i="1" s="1"/>
  <c r="K311" i="1" s="1"/>
  <c r="G309" i="1"/>
  <c r="F309" i="1"/>
  <c r="A308" i="1"/>
  <c r="A309" i="1" s="1"/>
  <c r="A310" i="1" s="1"/>
  <c r="A311" i="1" s="1"/>
  <c r="A312" i="1" s="1"/>
  <c r="A313" i="1" s="1"/>
  <c r="A314" i="1" s="1"/>
  <c r="A315" i="1" s="1"/>
  <c r="H306" i="1"/>
  <c r="G306" i="1"/>
  <c r="E305" i="1" s="1"/>
  <c r="F305" i="1" s="1"/>
  <c r="G305" i="1" s="1"/>
  <c r="F304" i="1"/>
  <c r="G304" i="1" s="1"/>
  <c r="G303" i="1"/>
  <c r="F303" i="1"/>
  <c r="G302" i="1"/>
  <c r="F302" i="1"/>
  <c r="F301" i="1"/>
  <c r="G301" i="1" s="1"/>
  <c r="K300" i="1"/>
  <c r="K301" i="1" s="1"/>
  <c r="K302" i="1" s="1"/>
  <c r="K303" i="1" s="1"/>
  <c r="K304" i="1" s="1"/>
  <c r="K305" i="1" s="1"/>
  <c r="K306" i="1" s="1"/>
  <c r="K307" i="1" s="1"/>
  <c r="F300" i="1"/>
  <c r="G300" i="1" s="1"/>
  <c r="A299" i="1"/>
  <c r="A300" i="1" s="1"/>
  <c r="A301" i="1" s="1"/>
  <c r="A302" i="1" s="1"/>
  <c r="A303" i="1" s="1"/>
  <c r="A304" i="1" s="1"/>
  <c r="A305" i="1" s="1"/>
  <c r="A306" i="1" s="1"/>
  <c r="A307" i="1" s="1"/>
  <c r="H297" i="1"/>
  <c r="G297" i="1"/>
  <c r="E296" i="1"/>
  <c r="F296" i="1" s="1"/>
  <c r="G296" i="1" s="1"/>
  <c r="F295" i="1"/>
  <c r="G295" i="1" s="1"/>
  <c r="F294" i="1"/>
  <c r="G294" i="1" s="1"/>
  <c r="K293" i="1"/>
  <c r="G293" i="1"/>
  <c r="F293" i="1"/>
  <c r="F292" i="1"/>
  <c r="G292" i="1" s="1"/>
  <c r="F291" i="1"/>
  <c r="G291" i="1" s="1"/>
  <c r="K290" i="1"/>
  <c r="K291" i="1" s="1"/>
  <c r="K292" i="1" s="1"/>
  <c r="F290" i="1"/>
  <c r="G290" i="1" s="1"/>
  <c r="K289" i="1"/>
  <c r="F289" i="1"/>
  <c r="G289" i="1" s="1"/>
  <c r="K288" i="1"/>
  <c r="F288" i="1"/>
  <c r="G288" i="1" s="1"/>
  <c r="A287" i="1"/>
  <c r="A288" i="1" s="1"/>
  <c r="A289" i="1" s="1"/>
  <c r="A290" i="1" s="1"/>
  <c r="A291" i="1" s="1"/>
  <c r="A292" i="1" s="1"/>
  <c r="A293" i="1" s="1"/>
  <c r="K286" i="1"/>
  <c r="H285" i="1"/>
  <c r="G285" i="1"/>
  <c r="E284" i="1" s="1"/>
  <c r="F284" i="1" s="1"/>
  <c r="G284" i="1" s="1"/>
  <c r="K283" i="1"/>
  <c r="K284" i="1" s="1"/>
  <c r="K285" i="1" s="1"/>
  <c r="F283" i="1"/>
  <c r="G283" i="1" s="1"/>
  <c r="G282" i="1"/>
  <c r="F282" i="1"/>
  <c r="K281" i="1"/>
  <c r="K282" i="1" s="1"/>
  <c r="G281" i="1"/>
  <c r="F281" i="1"/>
  <c r="A280" i="1"/>
  <c r="A281" i="1" s="1"/>
  <c r="H278" i="1"/>
  <c r="G278" i="1"/>
  <c r="E277" i="1"/>
  <c r="F277" i="1" s="1"/>
  <c r="G277" i="1" s="1"/>
  <c r="K276" i="1"/>
  <c r="K277" i="1" s="1"/>
  <c r="K278" i="1" s="1"/>
  <c r="K279" i="1" s="1"/>
  <c r="G276" i="1"/>
  <c r="F276" i="1"/>
  <c r="F275" i="1"/>
  <c r="G275" i="1" s="1"/>
  <c r="K274" i="1"/>
  <c r="K275" i="1" s="1"/>
  <c r="F274" i="1"/>
  <c r="G274" i="1" s="1"/>
  <c r="A273" i="1"/>
  <c r="A274" i="1" s="1"/>
  <c r="H271" i="1"/>
  <c r="G271" i="1"/>
  <c r="E270" i="1"/>
  <c r="F270" i="1" s="1"/>
  <c r="G270" i="1" s="1"/>
  <c r="G269" i="1"/>
  <c r="F269" i="1"/>
  <c r="F268" i="1"/>
  <c r="G268" i="1" s="1"/>
  <c r="F267" i="1"/>
  <c r="G267" i="1" s="1"/>
  <c r="G266" i="1"/>
  <c r="F266" i="1"/>
  <c r="F265" i="1"/>
  <c r="G265" i="1" s="1"/>
  <c r="F264" i="1"/>
  <c r="G264" i="1" s="1"/>
  <c r="K263" i="1"/>
  <c r="K264" i="1" s="1"/>
  <c r="G263" i="1"/>
  <c r="F263" i="1"/>
  <c r="A262" i="1"/>
  <c r="A263" i="1" s="1"/>
  <c r="A264" i="1" s="1"/>
  <c r="H260" i="1"/>
  <c r="G260" i="1"/>
  <c r="E259" i="1" s="1"/>
  <c r="F259" i="1" s="1"/>
  <c r="G259" i="1" s="1"/>
  <c r="A260" i="1"/>
  <c r="A261" i="1" s="1"/>
  <c r="K259" i="1"/>
  <c r="K260" i="1" s="1"/>
  <c r="K261" i="1" s="1"/>
  <c r="F258" i="1"/>
  <c r="G258" i="1" s="1"/>
  <c r="K257" i="1"/>
  <c r="G257" i="1"/>
  <c r="F257" i="1"/>
  <c r="K256" i="1"/>
  <c r="K258" i="1" s="1"/>
  <c r="F256" i="1"/>
  <c r="G256" i="1" s="1"/>
  <c r="A255" i="1"/>
  <c r="A256" i="1" s="1"/>
  <c r="A258" i="1" s="1"/>
  <c r="A259" i="1" s="1"/>
  <c r="H253" i="1"/>
  <c r="G253" i="1"/>
  <c r="E252" i="1" s="1"/>
  <c r="F252" i="1" s="1"/>
  <c r="G252" i="1" s="1"/>
  <c r="F251" i="1"/>
  <c r="G251" i="1" s="1"/>
  <c r="A251" i="1"/>
  <c r="A252" i="1" s="1"/>
  <c r="A253" i="1" s="1"/>
  <c r="A254" i="1" s="1"/>
  <c r="K250" i="1"/>
  <c r="K251" i="1" s="1"/>
  <c r="K252" i="1" s="1"/>
  <c r="K253" i="1" s="1"/>
  <c r="K254" i="1" s="1"/>
  <c r="G250" i="1"/>
  <c r="F250" i="1"/>
  <c r="K249" i="1"/>
  <c r="F249" i="1"/>
  <c r="G249" i="1" s="1"/>
  <c r="A248" i="1"/>
  <c r="A249" i="1" s="1"/>
  <c r="A250" i="1" s="1"/>
  <c r="H246" i="1"/>
  <c r="G246" i="1"/>
  <c r="E245" i="1" s="1"/>
  <c r="F245" i="1" s="1"/>
  <c r="G245" i="1" s="1"/>
  <c r="F244" i="1"/>
  <c r="G244" i="1" s="1"/>
  <c r="A244" i="1"/>
  <c r="A245" i="1" s="1"/>
  <c r="A246" i="1" s="1"/>
  <c r="A247" i="1" s="1"/>
  <c r="G243" i="1"/>
  <c r="F243" i="1"/>
  <c r="G242" i="1"/>
  <c r="F242" i="1"/>
  <c r="F241" i="1"/>
  <c r="G241" i="1" s="1"/>
  <c r="A241" i="1"/>
  <c r="A243" i="1" s="1"/>
  <c r="K240" i="1"/>
  <c r="G240" i="1"/>
  <c r="F240" i="1"/>
  <c r="K239" i="1"/>
  <c r="K242" i="1" s="1"/>
  <c r="G239" i="1"/>
  <c r="F239" i="1"/>
  <c r="A239" i="1"/>
  <c r="A242" i="1" s="1"/>
  <c r="A238" i="1"/>
  <c r="A240" i="1" s="1"/>
  <c r="H236" i="1"/>
  <c r="G236" i="1"/>
  <c r="E235" i="1"/>
  <c r="F235" i="1" s="1"/>
  <c r="G235" i="1" s="1"/>
  <c r="F234" i="1"/>
  <c r="G234" i="1" s="1"/>
  <c r="A234" i="1"/>
  <c r="A235" i="1" s="1"/>
  <c r="A236" i="1" s="1"/>
  <c r="A237" i="1" s="1"/>
  <c r="K233" i="1"/>
  <c r="K234" i="1" s="1"/>
  <c r="K235" i="1" s="1"/>
  <c r="K236" i="1" s="1"/>
  <c r="K237" i="1" s="1"/>
  <c r="G233" i="1"/>
  <c r="F233" i="1"/>
  <c r="K232" i="1"/>
  <c r="F232" i="1"/>
  <c r="G232" i="1" s="1"/>
  <c r="A231" i="1"/>
  <c r="A232" i="1" s="1"/>
  <c r="A233" i="1" s="1"/>
  <c r="A230" i="1"/>
  <c r="K229" i="1"/>
  <c r="K230" i="1" s="1"/>
  <c r="H229" i="1"/>
  <c r="G229" i="1"/>
  <c r="E228" i="1"/>
  <c r="F228" i="1" s="1"/>
  <c r="G228" i="1" s="1"/>
  <c r="F227" i="1"/>
  <c r="G227" i="1" s="1"/>
  <c r="F226" i="1"/>
  <c r="G226" i="1" s="1"/>
  <c r="G225" i="1"/>
  <c r="F225" i="1"/>
  <c r="K224" i="1"/>
  <c r="G224" i="1"/>
  <c r="F224" i="1"/>
  <c r="A224" i="1"/>
  <c r="F223" i="1"/>
  <c r="G223" i="1" s="1"/>
  <c r="K222" i="1"/>
  <c r="K223" i="1" s="1"/>
  <c r="K225" i="1" s="1"/>
  <c r="K226" i="1" s="1"/>
  <c r="K228" i="1" s="1"/>
  <c r="G222" i="1"/>
  <c r="F222" i="1"/>
  <c r="A221" i="1"/>
  <c r="A222" i="1" s="1"/>
  <c r="A223" i="1" s="1"/>
  <c r="A225" i="1" s="1"/>
  <c r="A226" i="1" s="1"/>
  <c r="A228" i="1" s="1"/>
  <c r="A229" i="1" s="1"/>
  <c r="H219" i="1"/>
  <c r="G219" i="1"/>
  <c r="E218" i="1"/>
  <c r="F218" i="1" s="1"/>
  <c r="G218" i="1" s="1"/>
  <c r="F217" i="1"/>
  <c r="G217" i="1" s="1"/>
  <c r="F216" i="1"/>
  <c r="G216" i="1" s="1"/>
  <c r="G215" i="1"/>
  <c r="F215" i="1"/>
  <c r="F214" i="1"/>
  <c r="G214" i="1" s="1"/>
  <c r="F213" i="1"/>
  <c r="G213" i="1" s="1"/>
  <c r="G212" i="1"/>
  <c r="F212" i="1"/>
  <c r="G211" i="1"/>
  <c r="F211" i="1"/>
  <c r="F210" i="1"/>
  <c r="G210" i="1" s="1"/>
  <c r="G209" i="1"/>
  <c r="F209" i="1"/>
  <c r="K208" i="1"/>
  <c r="K209" i="1" s="1"/>
  <c r="K211" i="1" s="1"/>
  <c r="K214" i="1" s="1"/>
  <c r="F208" i="1"/>
  <c r="G208" i="1" s="1"/>
  <c r="K207" i="1"/>
  <c r="K210" i="1" s="1"/>
  <c r="F207" i="1"/>
  <c r="G207" i="1" s="1"/>
  <c r="A206" i="1"/>
  <c r="A207" i="1" s="1"/>
  <c r="A210" i="1" s="1"/>
  <c r="H204" i="1"/>
  <c r="G204" i="1"/>
  <c r="E203" i="1" s="1"/>
  <c r="F203" i="1" s="1"/>
  <c r="G203" i="1" s="1"/>
  <c r="F202" i="1"/>
  <c r="G202" i="1" s="1"/>
  <c r="K201" i="1"/>
  <c r="K202" i="1" s="1"/>
  <c r="K203" i="1" s="1"/>
  <c r="K204" i="1" s="1"/>
  <c r="K205" i="1" s="1"/>
  <c r="G201" i="1"/>
  <c r="F201" i="1"/>
  <c r="F200" i="1"/>
  <c r="G200" i="1" s="1"/>
  <c r="F199" i="1"/>
  <c r="G199" i="1" s="1"/>
  <c r="K198" i="1"/>
  <c r="K199" i="1" s="1"/>
  <c r="K200" i="1" s="1"/>
  <c r="G198" i="1"/>
  <c r="F198" i="1"/>
  <c r="A197" i="1"/>
  <c r="A198" i="1" s="1"/>
  <c r="A199" i="1" s="1"/>
  <c r="A200" i="1" s="1"/>
  <c r="A201" i="1" s="1"/>
  <c r="A202" i="1" s="1"/>
  <c r="A203" i="1" s="1"/>
  <c r="A204" i="1" s="1"/>
  <c r="A205" i="1" s="1"/>
  <c r="H195" i="1"/>
  <c r="G195" i="1"/>
  <c r="E194" i="1" s="1"/>
  <c r="F194" i="1" s="1"/>
  <c r="G194" i="1" s="1"/>
  <c r="G193" i="1"/>
  <c r="F193" i="1"/>
  <c r="G192" i="1"/>
  <c r="F192" i="1"/>
  <c r="K191" i="1"/>
  <c r="K192" i="1" s="1"/>
  <c r="K193" i="1" s="1"/>
  <c r="K194" i="1" s="1"/>
  <c r="K195" i="1" s="1"/>
  <c r="K196" i="1" s="1"/>
  <c r="F191" i="1"/>
  <c r="G191" i="1" s="1"/>
  <c r="G190" i="1"/>
  <c r="F190" i="1"/>
  <c r="F189" i="1"/>
  <c r="G189" i="1" s="1"/>
  <c r="K188" i="1"/>
  <c r="K189" i="1" s="1"/>
  <c r="K190" i="1" s="1"/>
  <c r="F188" i="1"/>
  <c r="G188" i="1" s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86" i="1"/>
  <c r="H184" i="1"/>
  <c r="G184" i="1"/>
  <c r="E183" i="1" s="1"/>
  <c r="F183" i="1" s="1"/>
  <c r="G183" i="1" s="1"/>
  <c r="F182" i="1"/>
  <c r="G182" i="1" s="1"/>
  <c r="F181" i="1"/>
  <c r="G181" i="1" s="1"/>
  <c r="F180" i="1"/>
  <c r="G180" i="1" s="1"/>
  <c r="K179" i="1"/>
  <c r="K180" i="1" s="1"/>
  <c r="K181" i="1" s="1"/>
  <c r="K182" i="1" s="1"/>
  <c r="K183" i="1" s="1"/>
  <c r="K184" i="1" s="1"/>
  <c r="K185" i="1" s="1"/>
  <c r="F179" i="1"/>
  <c r="G179" i="1" s="1"/>
  <c r="A179" i="1"/>
  <c r="A180" i="1" s="1"/>
  <c r="A181" i="1" s="1"/>
  <c r="A182" i="1" s="1"/>
  <c r="A183" i="1" s="1"/>
  <c r="A184" i="1" s="1"/>
  <c r="A185" i="1" s="1"/>
  <c r="A178" i="1"/>
  <c r="H176" i="1"/>
  <c r="G176" i="1"/>
  <c r="E175" i="1"/>
  <c r="F175" i="1" s="1"/>
  <c r="G175" i="1" s="1"/>
  <c r="G174" i="1"/>
  <c r="F174" i="1"/>
  <c r="F173" i="1"/>
  <c r="G173" i="1" s="1"/>
  <c r="F172" i="1"/>
  <c r="G172" i="1" s="1"/>
  <c r="A172" i="1"/>
  <c r="A173" i="1" s="1"/>
  <c r="A174" i="1" s="1"/>
  <c r="A175" i="1" s="1"/>
  <c r="A176" i="1" s="1"/>
  <c r="A177" i="1" s="1"/>
  <c r="K171" i="1"/>
  <c r="K172" i="1" s="1"/>
  <c r="K173" i="1" s="1"/>
  <c r="K174" i="1" s="1"/>
  <c r="K175" i="1" s="1"/>
  <c r="K176" i="1" s="1"/>
  <c r="K177" i="1" s="1"/>
  <c r="G171" i="1"/>
  <c r="F171" i="1"/>
  <c r="A170" i="1"/>
  <c r="A171" i="1" s="1"/>
  <c r="H168" i="1"/>
  <c r="G168" i="1"/>
  <c r="E167" i="1" s="1"/>
  <c r="F167" i="1" s="1"/>
  <c r="G167" i="1" s="1"/>
  <c r="G166" i="1"/>
  <c r="F166" i="1"/>
  <c r="G165" i="1"/>
  <c r="F165" i="1"/>
  <c r="F164" i="1"/>
  <c r="G164" i="1" s="1"/>
  <c r="G163" i="1"/>
  <c r="F163" i="1"/>
  <c r="F162" i="1"/>
  <c r="G162" i="1" s="1"/>
  <c r="A162" i="1"/>
  <c r="A163" i="1" s="1"/>
  <c r="A164" i="1" s="1"/>
  <c r="A165" i="1" s="1"/>
  <c r="A166" i="1" s="1"/>
  <c r="A167" i="1" s="1"/>
  <c r="A168" i="1" s="1"/>
  <c r="A169" i="1" s="1"/>
  <c r="K161" i="1"/>
  <c r="K162" i="1" s="1"/>
  <c r="K163" i="1" s="1"/>
  <c r="K164" i="1" s="1"/>
  <c r="K165" i="1" s="1"/>
  <c r="K166" i="1" s="1"/>
  <c r="K167" i="1" s="1"/>
  <c r="K168" i="1" s="1"/>
  <c r="K169" i="1" s="1"/>
  <c r="F161" i="1"/>
  <c r="G161" i="1" s="1"/>
  <c r="A160" i="1"/>
  <c r="A161" i="1" s="1"/>
  <c r="A159" i="1"/>
  <c r="H157" i="1"/>
  <c r="G157" i="1"/>
  <c r="E156" i="1" s="1"/>
  <c r="F156" i="1" s="1"/>
  <c r="G156" i="1" s="1"/>
  <c r="F155" i="1"/>
  <c r="G155" i="1" s="1"/>
  <c r="A155" i="1"/>
  <c r="A156" i="1" s="1"/>
  <c r="A157" i="1" s="1"/>
  <c r="A158" i="1" s="1"/>
  <c r="K154" i="1"/>
  <c r="K155" i="1" s="1"/>
  <c r="K156" i="1" s="1"/>
  <c r="K157" i="1" s="1"/>
  <c r="K158" i="1" s="1"/>
  <c r="F154" i="1"/>
  <c r="G154" i="1" s="1"/>
  <c r="K153" i="1"/>
  <c r="F153" i="1"/>
  <c r="G153" i="1" s="1"/>
  <c r="A153" i="1"/>
  <c r="A154" i="1" s="1"/>
  <c r="A152" i="1"/>
  <c r="H150" i="1"/>
  <c r="G150" i="1"/>
  <c r="E149" i="1"/>
  <c r="F149" i="1" s="1"/>
  <c r="G149" i="1" s="1"/>
  <c r="F148" i="1"/>
  <c r="G148" i="1" s="1"/>
  <c r="K147" i="1"/>
  <c r="K148" i="1" s="1"/>
  <c r="K149" i="1" s="1"/>
  <c r="K150" i="1" s="1"/>
  <c r="K151" i="1" s="1"/>
  <c r="G147" i="1"/>
  <c r="F147" i="1"/>
  <c r="F146" i="1"/>
  <c r="G146" i="1" s="1"/>
  <c r="F145" i="1"/>
  <c r="G145" i="1" s="1"/>
  <c r="K144" i="1"/>
  <c r="K145" i="1" s="1"/>
  <c r="K146" i="1" s="1"/>
  <c r="G144" i="1"/>
  <c r="F144" i="1"/>
  <c r="A143" i="1"/>
  <c r="A144" i="1" s="1"/>
  <c r="A145" i="1" s="1"/>
  <c r="A146" i="1" s="1"/>
  <c r="A147" i="1" s="1"/>
  <c r="A148" i="1" s="1"/>
  <c r="A149" i="1" s="1"/>
  <c r="A150" i="1" s="1"/>
  <c r="A151" i="1" s="1"/>
  <c r="A142" i="1"/>
  <c r="H140" i="1"/>
  <c r="G140" i="1"/>
  <c r="E139" i="1" s="1"/>
  <c r="F139" i="1" s="1"/>
  <c r="G139" i="1" s="1"/>
  <c r="G138" i="1"/>
  <c r="F138" i="1"/>
  <c r="F137" i="1"/>
  <c r="G137" i="1" s="1"/>
  <c r="A137" i="1"/>
  <c r="A138" i="1" s="1"/>
  <c r="A139" i="1" s="1"/>
  <c r="A140" i="1" s="1"/>
  <c r="A141" i="1" s="1"/>
  <c r="F136" i="1"/>
  <c r="G136" i="1" s="1"/>
  <c r="K135" i="1"/>
  <c r="K136" i="1" s="1"/>
  <c r="K137" i="1" s="1"/>
  <c r="K138" i="1" s="1"/>
  <c r="K139" i="1" s="1"/>
  <c r="K140" i="1" s="1"/>
  <c r="K141" i="1" s="1"/>
  <c r="G135" i="1"/>
  <c r="F135" i="1"/>
  <c r="A134" i="1"/>
  <c r="A135" i="1" s="1"/>
  <c r="A136" i="1" s="1"/>
  <c r="H132" i="1"/>
  <c r="G132" i="1"/>
  <c r="E131" i="1" s="1"/>
  <c r="F131" i="1" s="1"/>
  <c r="G131" i="1" s="1"/>
  <c r="K131" i="1"/>
  <c r="K132" i="1" s="1"/>
  <c r="K133" i="1" s="1"/>
  <c r="A131" i="1"/>
  <c r="A132" i="1" s="1"/>
  <c r="A133" i="1" s="1"/>
  <c r="K130" i="1"/>
  <c r="G130" i="1"/>
  <c r="F130" i="1"/>
  <c r="F129" i="1"/>
  <c r="G129" i="1" s="1"/>
  <c r="F128" i="1"/>
  <c r="G128" i="1" s="1"/>
  <c r="A128" i="1"/>
  <c r="A129" i="1" s="1"/>
  <c r="A130" i="1" s="1"/>
  <c r="K127" i="1"/>
  <c r="K128" i="1" s="1"/>
  <c r="K129" i="1" s="1"/>
  <c r="F127" i="1"/>
  <c r="G127" i="1" s="1"/>
  <c r="F126" i="1"/>
  <c r="G126" i="1" s="1"/>
  <c r="F125" i="1"/>
  <c r="G125" i="1" s="1"/>
  <c r="A125" i="1"/>
  <c r="A126" i="1" s="1"/>
  <c r="K124" i="1"/>
  <c r="K125" i="1" s="1"/>
  <c r="K126" i="1" s="1"/>
  <c r="F124" i="1"/>
  <c r="G124" i="1" s="1"/>
  <c r="A124" i="1"/>
  <c r="A127" i="1" s="1"/>
  <c r="A123" i="1"/>
  <c r="H121" i="1"/>
  <c r="G121" i="1"/>
  <c r="E120" i="1"/>
  <c r="F120" i="1" s="1"/>
  <c r="G120" i="1" s="1"/>
  <c r="F119" i="1"/>
  <c r="G119" i="1" s="1"/>
  <c r="F118" i="1"/>
  <c r="G118" i="1" s="1"/>
  <c r="G117" i="1"/>
  <c r="F117" i="1"/>
  <c r="F116" i="1"/>
  <c r="G116" i="1" s="1"/>
  <c r="F115" i="1"/>
  <c r="G115" i="1" s="1"/>
  <c r="A115" i="1"/>
  <c r="A116" i="1" s="1"/>
  <c r="A117" i="1" s="1"/>
  <c r="A118" i="1" s="1"/>
  <c r="A119" i="1" s="1"/>
  <c r="A120" i="1" s="1"/>
  <c r="A121" i="1" s="1"/>
  <c r="A122" i="1" s="1"/>
  <c r="K114" i="1"/>
  <c r="K115" i="1" s="1"/>
  <c r="K116" i="1" s="1"/>
  <c r="K117" i="1" s="1"/>
  <c r="K118" i="1" s="1"/>
  <c r="K119" i="1" s="1"/>
  <c r="K120" i="1" s="1"/>
  <c r="K121" i="1" s="1"/>
  <c r="K122" i="1" s="1"/>
  <c r="G114" i="1"/>
  <c r="F114" i="1"/>
  <c r="A113" i="1"/>
  <c r="A114" i="1" s="1"/>
  <c r="A112" i="1"/>
  <c r="H110" i="1"/>
  <c r="G110" i="1"/>
  <c r="E109" i="1" s="1"/>
  <c r="F109" i="1" s="1"/>
  <c r="G109" i="1" s="1"/>
  <c r="F108" i="1"/>
  <c r="G108" i="1" s="1"/>
  <c r="K107" i="1"/>
  <c r="K108" i="1" s="1"/>
  <c r="K109" i="1" s="1"/>
  <c r="K110" i="1" s="1"/>
  <c r="K111" i="1" s="1"/>
  <c r="G107" i="1"/>
  <c r="F107" i="1"/>
  <c r="F106" i="1"/>
  <c r="G106" i="1" s="1"/>
  <c r="K105" i="1"/>
  <c r="K106" i="1" s="1"/>
  <c r="F105" i="1"/>
  <c r="G105" i="1" s="1"/>
  <c r="A104" i="1"/>
  <c r="A105" i="1" s="1"/>
  <c r="A106" i="1" s="1"/>
  <c r="A107" i="1" s="1"/>
  <c r="A108" i="1" s="1"/>
  <c r="A109" i="1" s="1"/>
  <c r="A110" i="1" s="1"/>
  <c r="A111" i="1" s="1"/>
  <c r="H102" i="1"/>
  <c r="G102" i="1"/>
  <c r="E101" i="1" s="1"/>
  <c r="F101" i="1" s="1"/>
  <c r="G101" i="1" s="1"/>
  <c r="K101" i="1"/>
  <c r="K102" i="1" s="1"/>
  <c r="K103" i="1" s="1"/>
  <c r="K100" i="1"/>
  <c r="F100" i="1"/>
  <c r="G100" i="1" s="1"/>
  <c r="F99" i="1"/>
  <c r="G99" i="1" s="1"/>
  <c r="K98" i="1"/>
  <c r="K99" i="1" s="1"/>
  <c r="F98" i="1"/>
  <c r="G98" i="1" s="1"/>
  <c r="A97" i="1"/>
  <c r="A98" i="1" s="1"/>
  <c r="A99" i="1" s="1"/>
  <c r="A100" i="1" s="1"/>
  <c r="A101" i="1" s="1"/>
  <c r="A102" i="1" s="1"/>
  <c r="A103" i="1" s="1"/>
  <c r="H95" i="1"/>
  <c r="G95" i="1"/>
  <c r="E94" i="1"/>
  <c r="F94" i="1" s="1"/>
  <c r="G94" i="1" s="1"/>
  <c r="G96" i="1" s="1"/>
  <c r="G93" i="1"/>
  <c r="F93" i="1"/>
  <c r="F92" i="1"/>
  <c r="G92" i="1" s="1"/>
  <c r="F91" i="1"/>
  <c r="G91" i="1" s="1"/>
  <c r="A91" i="1"/>
  <c r="A92" i="1" s="1"/>
  <c r="A93" i="1" s="1"/>
  <c r="A94" i="1" s="1"/>
  <c r="A95" i="1" s="1"/>
  <c r="A96" i="1" s="1"/>
  <c r="K90" i="1"/>
  <c r="K91" i="1" s="1"/>
  <c r="K92" i="1" s="1"/>
  <c r="K93" i="1" s="1"/>
  <c r="K94" i="1" s="1"/>
  <c r="K95" i="1" s="1"/>
  <c r="K96" i="1" s="1"/>
  <c r="G90" i="1"/>
  <c r="F90" i="1"/>
  <c r="F89" i="1"/>
  <c r="G89" i="1" s="1"/>
  <c r="K88" i="1"/>
  <c r="K89" i="1" s="1"/>
  <c r="F88" i="1"/>
  <c r="G88" i="1" s="1"/>
  <c r="A88" i="1"/>
  <c r="A89" i="1" s="1"/>
  <c r="A90" i="1" s="1"/>
  <c r="A87" i="1"/>
  <c r="A86" i="1"/>
  <c r="H84" i="1"/>
  <c r="G84" i="1"/>
  <c r="E83" i="1"/>
  <c r="F83" i="1" s="1"/>
  <c r="G83" i="1" s="1"/>
  <c r="F82" i="1"/>
  <c r="G82" i="1" s="1"/>
  <c r="G81" i="1"/>
  <c r="F81" i="1"/>
  <c r="F80" i="1"/>
  <c r="G80" i="1" s="1"/>
  <c r="A80" i="1"/>
  <c r="A81" i="1" s="1"/>
  <c r="A82" i="1" s="1"/>
  <c r="A83" i="1" s="1"/>
  <c r="A84" i="1" s="1"/>
  <c r="A85" i="1" s="1"/>
  <c r="K79" i="1"/>
  <c r="K80" i="1" s="1"/>
  <c r="K81" i="1" s="1"/>
  <c r="K82" i="1" s="1"/>
  <c r="K83" i="1" s="1"/>
  <c r="K84" i="1" s="1"/>
  <c r="K85" i="1" s="1"/>
  <c r="F79" i="1"/>
  <c r="G79" i="1" s="1"/>
  <c r="A78" i="1"/>
  <c r="A79" i="1" s="1"/>
  <c r="H76" i="1"/>
  <c r="G76" i="1"/>
  <c r="E75" i="1" s="1"/>
  <c r="F75" i="1" s="1"/>
  <c r="G75" i="1" s="1"/>
  <c r="G74" i="1"/>
  <c r="F74" i="1"/>
  <c r="K73" i="1"/>
  <c r="K74" i="1" s="1"/>
  <c r="K75" i="1" s="1"/>
  <c r="K76" i="1" s="1"/>
  <c r="K77" i="1" s="1"/>
  <c r="F73" i="1"/>
  <c r="G73" i="1" s="1"/>
  <c r="F72" i="1"/>
  <c r="G72" i="1" s="1"/>
  <c r="G71" i="1"/>
  <c r="F71" i="1"/>
  <c r="K70" i="1"/>
  <c r="K71" i="1" s="1"/>
  <c r="K72" i="1" s="1"/>
  <c r="F70" i="1"/>
  <c r="G70" i="1" s="1"/>
  <c r="K69" i="1"/>
  <c r="F69" i="1"/>
  <c r="G69" i="1" s="1"/>
  <c r="A69" i="1"/>
  <c r="A70" i="1" s="1"/>
  <c r="A68" i="1"/>
  <c r="H66" i="1"/>
  <c r="G66" i="1"/>
  <c r="E65" i="1" s="1"/>
  <c r="F65" i="1" s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K59" i="1"/>
  <c r="K60" i="1" s="1"/>
  <c r="K61" i="1" s="1"/>
  <c r="K62" i="1" s="1"/>
  <c r="K63" i="1" s="1"/>
  <c r="K64" i="1" s="1"/>
  <c r="K65" i="1" s="1"/>
  <c r="K66" i="1" s="1"/>
  <c r="K67" i="1" s="1"/>
  <c r="F59" i="1"/>
  <c r="G59" i="1" s="1"/>
  <c r="A58" i="1"/>
  <c r="A59" i="1" s="1"/>
  <c r="A60" i="1" s="1"/>
  <c r="A61" i="1" s="1"/>
  <c r="A62" i="1" s="1"/>
  <c r="A63" i="1" s="1"/>
  <c r="A64" i="1" s="1"/>
  <c r="A65" i="1" s="1"/>
  <c r="A66" i="1" s="1"/>
  <c r="A67" i="1" s="1"/>
  <c r="A57" i="1"/>
  <c r="H55" i="1"/>
  <c r="G55" i="1"/>
  <c r="E54" i="1" s="1"/>
  <c r="F54" i="1" s="1"/>
  <c r="G54" i="1" s="1"/>
  <c r="F53" i="1"/>
  <c r="G53" i="1" s="1"/>
  <c r="F52" i="1"/>
  <c r="G52" i="1" s="1"/>
  <c r="F51" i="1"/>
  <c r="G51" i="1" s="1"/>
  <c r="K50" i="1"/>
  <c r="K51" i="1" s="1"/>
  <c r="K52" i="1" s="1"/>
  <c r="K53" i="1" s="1"/>
  <c r="K54" i="1" s="1"/>
  <c r="K55" i="1" s="1"/>
  <c r="K56" i="1" s="1"/>
  <c r="F50" i="1"/>
  <c r="G50" i="1" s="1"/>
  <c r="A49" i="1"/>
  <c r="A50" i="1" s="1"/>
  <c r="A51" i="1" s="1"/>
  <c r="A52" i="1" s="1"/>
  <c r="A53" i="1" s="1"/>
  <c r="A54" i="1" s="1"/>
  <c r="A55" i="1" s="1"/>
  <c r="A56" i="1" s="1"/>
  <c r="H47" i="1"/>
  <c r="G47" i="1"/>
  <c r="E46" i="1"/>
  <c r="F46" i="1" s="1"/>
  <c r="G46" i="1" s="1"/>
  <c r="G45" i="1"/>
  <c r="F45" i="1"/>
  <c r="F44" i="1"/>
  <c r="G44" i="1" s="1"/>
  <c r="F43" i="1"/>
  <c r="G43" i="1" s="1"/>
  <c r="K42" i="1"/>
  <c r="K44" i="1" s="1"/>
  <c r="K45" i="1" s="1"/>
  <c r="K46" i="1" s="1"/>
  <c r="K47" i="1" s="1"/>
  <c r="K48" i="1" s="1"/>
  <c r="G42" i="1"/>
  <c r="F42" i="1"/>
  <c r="K41" i="1"/>
  <c r="F41" i="1"/>
  <c r="G41" i="1" s="1"/>
  <c r="A41" i="1"/>
  <c r="A42" i="1" s="1"/>
  <c r="A40" i="1"/>
  <c r="H38" i="1"/>
  <c r="G38" i="1"/>
  <c r="E37" i="1"/>
  <c r="F37" i="1" s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K30" i="1"/>
  <c r="K31" i="1" s="1"/>
  <c r="K32" i="1" s="1"/>
  <c r="K33" i="1" s="1"/>
  <c r="K34" i="1" s="1"/>
  <c r="K35" i="1" s="1"/>
  <c r="K36" i="1" s="1"/>
  <c r="K37" i="1" s="1"/>
  <c r="K38" i="1" s="1"/>
  <c r="K39" i="1" s="1"/>
  <c r="F30" i="1"/>
  <c r="G30" i="1" s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28" i="1"/>
  <c r="H26" i="1"/>
  <c r="G26" i="1"/>
  <c r="E25" i="1"/>
  <c r="F25" i="1" s="1"/>
  <c r="G25" i="1" s="1"/>
  <c r="F24" i="1"/>
  <c r="G24" i="1" s="1"/>
  <c r="F23" i="1"/>
  <c r="G23" i="1" s="1"/>
  <c r="K22" i="1"/>
  <c r="K23" i="1" s="1"/>
  <c r="K24" i="1" s="1"/>
  <c r="K25" i="1" s="1"/>
  <c r="K26" i="1" s="1"/>
  <c r="K27" i="1" s="1"/>
  <c r="F22" i="1"/>
  <c r="G22" i="1" s="1"/>
  <c r="K21" i="1"/>
  <c r="F21" i="1"/>
  <c r="G21" i="1" s="1"/>
  <c r="A20" i="1"/>
  <c r="A21" i="1" s="1"/>
  <c r="A22" i="1" s="1"/>
  <c r="A23" i="1" s="1"/>
  <c r="A24" i="1" s="1"/>
  <c r="A25" i="1" s="1"/>
  <c r="A26" i="1" s="1"/>
  <c r="A27" i="1" s="1"/>
  <c r="H18" i="1"/>
  <c r="G18" i="1"/>
  <c r="E17" i="1" s="1"/>
  <c r="F17" i="1" s="1"/>
  <c r="G17" i="1" s="1"/>
  <c r="F16" i="1"/>
  <c r="G16" i="1" s="1"/>
  <c r="G15" i="1"/>
  <c r="F15" i="1"/>
  <c r="F14" i="1"/>
  <c r="G14" i="1" s="1"/>
  <c r="K13" i="1"/>
  <c r="K14" i="1" s="1"/>
  <c r="K15" i="1" s="1"/>
  <c r="K16" i="1" s="1"/>
  <c r="K17" i="1" s="1"/>
  <c r="K18" i="1" s="1"/>
  <c r="K19" i="1" s="1"/>
  <c r="F13" i="1"/>
  <c r="G13" i="1" s="1"/>
  <c r="A13" i="1"/>
  <c r="A14" i="1" s="1"/>
  <c r="A15" i="1" s="1"/>
  <c r="A16" i="1" s="1"/>
  <c r="A17" i="1" s="1"/>
  <c r="A18" i="1" s="1"/>
  <c r="A19" i="1" s="1"/>
  <c r="A12" i="1"/>
  <c r="H10" i="1"/>
  <c r="G10" i="1"/>
  <c r="E9" i="1"/>
  <c r="F9" i="1" s="1"/>
  <c r="G9" i="1" s="1"/>
  <c r="F8" i="1"/>
  <c r="G8" i="1" s="1"/>
  <c r="F7" i="1"/>
  <c r="G7" i="1" s="1"/>
  <c r="F6" i="1"/>
  <c r="G6" i="1" s="1"/>
  <c r="F5" i="1"/>
  <c r="G5" i="1" s="1"/>
  <c r="F4" i="1"/>
  <c r="G4" i="1" s="1"/>
  <c r="K3" i="1"/>
  <c r="K4" i="1" s="1"/>
  <c r="K5" i="1" s="1"/>
  <c r="K6" i="1" s="1"/>
  <c r="K7" i="1" s="1"/>
  <c r="F3" i="1"/>
  <c r="G3" i="1" s="1"/>
  <c r="A2" i="1"/>
  <c r="A3" i="1" s="1"/>
  <c r="A4" i="1" s="1"/>
  <c r="A5" i="1" s="1"/>
  <c r="A6" i="1" s="1"/>
  <c r="A7" i="1" s="1"/>
  <c r="H14" i="2" l="1"/>
  <c r="H490" i="2"/>
  <c r="G279" i="1"/>
  <c r="G177" i="1"/>
  <c r="G27" i="1"/>
  <c r="G39" i="1"/>
  <c r="G56" i="1"/>
  <c r="G286" i="1"/>
  <c r="G103" i="1"/>
  <c r="G48" i="1"/>
  <c r="G19" i="1"/>
  <c r="G67" i="1"/>
  <c r="G169" i="1"/>
  <c r="G348" i="1"/>
  <c r="G307" i="1"/>
  <c r="G315" i="1"/>
  <c r="A8" i="1"/>
  <c r="A9" i="1"/>
  <c r="A10" i="1" s="1"/>
  <c r="A11" i="1" s="1"/>
  <c r="G196" i="1"/>
  <c r="A283" i="1"/>
  <c r="A284" i="1" s="1"/>
  <c r="A285" i="1" s="1"/>
  <c r="A286" i="1" s="1"/>
  <c r="A282" i="1"/>
  <c r="G11" i="1"/>
  <c r="G400" i="1"/>
  <c r="A44" i="1"/>
  <c r="A45" i="1" s="1"/>
  <c r="A46" i="1" s="1"/>
  <c r="A47" i="1" s="1"/>
  <c r="A48" i="1" s="1"/>
  <c r="A43" i="1"/>
  <c r="G220" i="1"/>
  <c r="G230" i="1"/>
  <c r="A322" i="1"/>
  <c r="A318" i="1"/>
  <c r="A319" i="1" s="1"/>
  <c r="A321" i="1" s="1"/>
  <c r="A324" i="1" s="1"/>
  <c r="A323" i="1"/>
  <c r="A325" i="1" s="1"/>
  <c r="A327" i="1" s="1"/>
  <c r="G133" i="1"/>
  <c r="K216" i="1"/>
  <c r="K218" i="1"/>
  <c r="K219" i="1" s="1"/>
  <c r="K220" i="1" s="1"/>
  <c r="A355" i="1"/>
  <c r="A351" i="1"/>
  <c r="A352" i="1" s="1"/>
  <c r="A354" i="1" s="1"/>
  <c r="A357" i="1" s="1"/>
  <c r="A356" i="1"/>
  <c r="A358" i="1" s="1"/>
  <c r="A360" i="1" s="1"/>
  <c r="A276" i="1"/>
  <c r="A277" i="1" s="1"/>
  <c r="A278" i="1" s="1"/>
  <c r="A279" i="1" s="1"/>
  <c r="A275" i="1"/>
  <c r="A73" i="1"/>
  <c r="A74" i="1" s="1"/>
  <c r="A75" i="1" s="1"/>
  <c r="A76" i="1" s="1"/>
  <c r="A77" i="1" s="1"/>
  <c r="A71" i="1"/>
  <c r="A72" i="1" s="1"/>
  <c r="G237" i="1"/>
  <c r="K9" i="1"/>
  <c r="K10" i="1" s="1"/>
  <c r="K11" i="1" s="1"/>
  <c r="K8" i="1"/>
  <c r="A265" i="1"/>
  <c r="A266" i="1" s="1"/>
  <c r="A268" i="1" s="1"/>
  <c r="A269" i="1" s="1"/>
  <c r="A270" i="1" s="1"/>
  <c r="A271" i="1" s="1"/>
  <c r="A272" i="1" s="1"/>
  <c r="A267" i="1"/>
  <c r="A294" i="1"/>
  <c r="A295" i="1" s="1"/>
  <c r="A296" i="1"/>
  <c r="A297" i="1" s="1"/>
  <c r="A298" i="1" s="1"/>
  <c r="G363" i="1"/>
  <c r="G247" i="1"/>
  <c r="K351" i="1"/>
  <c r="K352" i="1" s="1"/>
  <c r="K354" i="1" s="1"/>
  <c r="K357" i="1" s="1"/>
  <c r="K356" i="1"/>
  <c r="K358" i="1" s="1"/>
  <c r="K360" i="1" s="1"/>
  <c r="G391" i="1"/>
  <c r="G185" i="1"/>
  <c r="K294" i="1"/>
  <c r="K295" i="1" s="1"/>
  <c r="K296" i="1"/>
  <c r="K297" i="1" s="1"/>
  <c r="K298" i="1" s="1"/>
  <c r="K318" i="1"/>
  <c r="K319" i="1" s="1"/>
  <c r="K321" i="1" s="1"/>
  <c r="K324" i="1" s="1"/>
  <c r="K323" i="1"/>
  <c r="K325" i="1" s="1"/>
  <c r="K327" i="1" s="1"/>
  <c r="K373" i="1"/>
  <c r="K367" i="1"/>
  <c r="K368" i="1" s="1"/>
  <c r="G122" i="1"/>
  <c r="G298" i="1"/>
  <c r="K322" i="1"/>
  <c r="G408" i="1"/>
  <c r="K43" i="1"/>
  <c r="G151" i="1"/>
  <c r="G205" i="1"/>
  <c r="G380" i="1"/>
  <c r="A335" i="1"/>
  <c r="A336" i="1" s="1"/>
  <c r="G330" i="1"/>
  <c r="G111" i="1"/>
  <c r="A208" i="1"/>
  <c r="A209" i="1" s="1"/>
  <c r="A211" i="1" s="1"/>
  <c r="A214" i="1" s="1"/>
  <c r="A213" i="1"/>
  <c r="A215" i="1" s="1"/>
  <c r="A217" i="1" s="1"/>
  <c r="A227" i="1"/>
  <c r="G340" i="1"/>
  <c r="A212" i="1"/>
  <c r="G254" i="1"/>
  <c r="G261" i="1"/>
  <c r="G77" i="1"/>
  <c r="K213" i="1"/>
  <c r="K215" i="1" s="1"/>
  <c r="K217" i="1" s="1"/>
  <c r="K212" i="1"/>
  <c r="G272" i="1"/>
  <c r="K335" i="1"/>
  <c r="K336" i="1" s="1"/>
  <c r="K374" i="1"/>
  <c r="K376" i="1" s="1"/>
  <c r="G158" i="1"/>
  <c r="K227" i="1"/>
  <c r="A257" i="1"/>
  <c r="K265" i="1"/>
  <c r="K266" i="1" s="1"/>
  <c r="K268" i="1" s="1"/>
  <c r="K269" i="1" s="1"/>
  <c r="K270" i="1" s="1"/>
  <c r="K271" i="1" s="1"/>
  <c r="K272" i="1" s="1"/>
  <c r="K267" i="1"/>
  <c r="G85" i="1"/>
  <c r="G141" i="1"/>
  <c r="K241" i="1"/>
  <c r="K244" i="1" l="1"/>
  <c r="K245" i="1" s="1"/>
  <c r="K246" i="1" s="1"/>
  <c r="K247" i="1" s="1"/>
  <c r="K243" i="1"/>
  <c r="K370" i="1"/>
  <c r="K375" i="1" s="1"/>
  <c r="K372" i="1"/>
  <c r="K371" i="1"/>
  <c r="A361" i="1"/>
  <c r="A362" i="1" s="1"/>
  <c r="A363" i="1" s="1"/>
  <c r="A359" i="1"/>
  <c r="K337" i="1"/>
  <c r="K338" i="1"/>
  <c r="K339" i="1" s="1"/>
  <c r="K340" i="1" s="1"/>
  <c r="A337" i="1"/>
  <c r="A338" i="1"/>
  <c r="A339" i="1" s="1"/>
  <c r="A340" i="1" s="1"/>
  <c r="K326" i="1"/>
  <c r="K328" i="1"/>
  <c r="K329" i="1" s="1"/>
  <c r="K330" i="1" s="1"/>
  <c r="K359" i="1"/>
  <c r="K361" i="1"/>
  <c r="K362" i="1" s="1"/>
  <c r="K363" i="1" s="1"/>
  <c r="A216" i="1"/>
  <c r="A218" i="1"/>
  <c r="A219" i="1" s="1"/>
  <c r="A220" i="1" s="1"/>
  <c r="A328" i="1"/>
  <c r="A329" i="1" s="1"/>
  <c r="A330" i="1" s="1"/>
  <c r="A326" i="1"/>
  <c r="K378" i="1" l="1"/>
  <c r="K379" i="1" s="1"/>
  <c r="K380" i="1" s="1"/>
  <c r="K377" i="1"/>
</calcChain>
</file>

<file path=xl/sharedStrings.xml><?xml version="1.0" encoding="utf-8"?>
<sst xmlns="http://schemas.openxmlformats.org/spreadsheetml/2006/main" count="6086" uniqueCount="406">
  <si>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</si>
  <si>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</si>
  <si>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</si>
  <si>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</si>
  <si>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</si>
  <si>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</si>
  <si>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</si>
  <si>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</si>
  <si>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</si>
  <si>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source</t>
  </si>
  <si>
    <t>ГРЩ (B01, B02, B03)</t>
  </si>
  <si>
    <t>комплект</t>
  </si>
  <si>
    <t>TEKSAN</t>
  </si>
  <si>
    <t>B01, B02, B03</t>
  </si>
  <si>
    <t>korpus</t>
  </si>
  <si>
    <t>714-15010</t>
  </si>
  <si>
    <t>Pano met.ShRn-24 b/o (398х312х120)S/U 36 IP31 (TS)</t>
  </si>
  <si>
    <t xml:space="preserve"> ШТ. </t>
  </si>
  <si>
    <t>teksan f</t>
  </si>
  <si>
    <t>mccb</t>
  </si>
  <si>
    <t>131363</t>
  </si>
  <si>
    <t>Авт. выкл. NXM-125S/3Р 125A 25кА (R)</t>
  </si>
  <si>
    <t>chint</t>
  </si>
  <si>
    <t>oto</t>
  </si>
  <si>
    <t>816141</t>
  </si>
  <si>
    <t>Авт. выкл. NXB-125 3P 100A 10кА х-ка C (R)</t>
  </si>
  <si>
    <t>296827</t>
  </si>
  <si>
    <t>Авт. выкл. NXB-63S 3P 16А 4.5kA х-ка C (R)</t>
  </si>
  <si>
    <t>814014</t>
  </si>
  <si>
    <t>Авт. выкл. NXB-63 1P 16A 6кА х-ка C (R)</t>
  </si>
  <si>
    <t>rn</t>
  </si>
  <si>
    <t>816989</t>
  </si>
  <si>
    <t>Независимый расцепитель SHT-X3 AC240V/AC415V для NXB-125(G) (R)</t>
  </si>
  <si>
    <t>монтажный материал</t>
  </si>
  <si>
    <t>монтажная работа</t>
  </si>
  <si>
    <t>РПВ (B01, B02, B03)</t>
  </si>
  <si>
    <t>714-15007</t>
  </si>
  <si>
    <t>Щит мет.ЩРн-18 б/o (448х268х120)S/U 36 IP31 (TS)</t>
  </si>
  <si>
    <t> ЯВЗ-31-IP54 УХЛ2 100А</t>
  </si>
  <si>
    <t>719-15043</t>
  </si>
  <si>
    <t>450*240*175</t>
  </si>
  <si>
    <t>ppn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</si>
  <si>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</si>
  <si>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</si>
  <si>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</si>
  <si>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</si>
  <si>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rubilnik</t>
  </si>
  <si>
    <t>270100152_</t>
  </si>
  <si>
    <t>Рубильник ВР-32-31  В31250-100А на 1 направление (+6камер) UNIT (1/18)</t>
  </si>
  <si>
    <t>pys</t>
  </si>
  <si>
    <t>ЯТП-0,25-220/36 036УХЛ4</t>
  </si>
  <si>
    <t>ГРЩ (В08)</t>
  </si>
  <si>
    <t>B08</t>
  </si>
  <si>
    <t>816139</t>
  </si>
  <si>
    <t>Авт. выкл. NXB-125 3P 80A 10кА х-ка C (R)</t>
  </si>
  <si>
    <t>296832</t>
  </si>
  <si>
    <t>Авт. выкл. NXB-63S 3P 50А 4.5kA х-ка C (R)</t>
  </si>
  <si>
    <t>296829</t>
  </si>
  <si>
    <t>Авт. выкл. NXB-63S 3P 25А 4.5kA х-ка C (R)</t>
  </si>
  <si>
    <t>814989</t>
  </si>
  <si>
    <t>Независимый расцепитель SHT-X1 AC230V/400V для NXB-63 (R)</t>
  </si>
  <si>
    <t>РПВ (В08)</t>
  </si>
  <si>
    <t>714-15040</t>
  </si>
  <si>
    <t>Мет. Корпус ЩРН- 48 (660x310x120) IP31  (TS)</t>
  </si>
  <si>
    <t>contactor</t>
  </si>
  <si>
    <t>836704</t>
  </si>
  <si>
    <t>Контактор NXC-09 9A 220В/АС3 1НО+1НЗ 50Гц (R)</t>
  </si>
  <si>
    <t>rele</t>
  </si>
  <si>
    <t>837113</t>
  </si>
  <si>
    <t>Тепловое реле NXR-25 2.5-4A (R)</t>
  </si>
  <si>
    <t>ГРЩ (В11)</t>
  </si>
  <si>
    <t>B11</t>
  </si>
  <si>
    <t>296831</t>
  </si>
  <si>
    <t>Авт. выкл. NXB-63S 3P 40А 4.5kA х-ка C (R)</t>
  </si>
  <si>
    <t>РПВ (В11)</t>
  </si>
  <si>
    <t>714-15005</t>
  </si>
  <si>
    <t>Pano met.ShRn-12 b/o (313х268х120)S/U 36 IP31 (TS)</t>
  </si>
  <si>
    <t>837099</t>
  </si>
  <si>
    <t>Тепловое реле NXR-12 1.6-2.5A (R)</t>
  </si>
  <si>
    <t>ГРЩ (В14)</t>
  </si>
  <si>
    <t>B14</t>
  </si>
  <si>
    <t>296828</t>
  </si>
  <si>
    <t>Авт. выкл. NXB-63S 3P 20А 4.5kA х-ка C (R)</t>
  </si>
  <si>
    <t>РПВ (В14)</t>
  </si>
  <si>
    <t>ГРЩ (В16)</t>
  </si>
  <si>
    <t>B16</t>
  </si>
  <si>
    <t>РПВ (В16)</t>
  </si>
  <si>
    <t>837114</t>
  </si>
  <si>
    <t>Тепловое реле NXR-25 4-6A (R)</t>
  </si>
  <si>
    <t>ГРЩ (В18)</t>
  </si>
  <si>
    <t>B18</t>
  </si>
  <si>
    <t>296830</t>
  </si>
  <si>
    <t>Авт. выкл. NXB-63S 3P 32А 4.5kA х-ка C (R)</t>
  </si>
  <si>
    <t>РПВ (В18)</t>
  </si>
  <si>
    <t>ГРЩ (В19)</t>
  </si>
  <si>
    <t>B19</t>
  </si>
  <si>
    <t>714-15050</t>
  </si>
  <si>
    <t>Мет. Корпус ЩРН-18 (265x440x120) IP54  (TS)</t>
  </si>
  <si>
    <t>РПВ (В19)</t>
  </si>
  <si>
    <t>714-15055</t>
  </si>
  <si>
    <t>Мет. Корпус ЩРН-12 (265x310x120) IP54  (TS)</t>
  </si>
  <si>
    <t>ГРЩ (В25)</t>
  </si>
  <si>
    <t>B25</t>
  </si>
  <si>
    <t>714-15015</t>
  </si>
  <si>
    <t>Pano met.ShRn-36 b/o (312х540х120)S/U 36 IP31 (TS)</t>
  </si>
  <si>
    <t>ПП (В25)</t>
  </si>
  <si>
    <t>719-15402</t>
  </si>
  <si>
    <t>ЩМП- 3 IP 31 (650х500х220)</t>
  </si>
  <si>
    <t>ats</t>
  </si>
  <si>
    <t>Устройство автоматического ввода резерва NXZM-125S/3B 100A (R)</t>
  </si>
  <si>
    <t>indicator</t>
  </si>
  <si>
    <t>Индикатор ND16-22D/2 зеленый AC/DC230В (R)</t>
  </si>
  <si>
    <t>Индикатор ND16-22D/2 желтый AC/DC230В (R)</t>
  </si>
  <si>
    <t>Индикатор ND16-22D/2 красный AC/DC230В (R)</t>
  </si>
  <si>
    <t>ЩАП23 (В25)</t>
  </si>
  <si>
    <t>719-15435</t>
  </si>
  <si>
    <t>Мет.Корпус ЩМП-1-0 (395x310x220) IP31</t>
  </si>
  <si>
    <t>296825</t>
  </si>
  <si>
    <t>Авт. выкл. NXB-63S 3P 6А 4.5kA х-ка C (R)</t>
  </si>
  <si>
    <t>593075</t>
  </si>
  <si>
    <t>836851</t>
  </si>
  <si>
    <t>Контактор NXC-25 25A 220В/АС3 1НО+1НЗ 50Гц (R)</t>
  </si>
  <si>
    <t>938256</t>
  </si>
  <si>
    <t>Приставка доп.контакты AX-3X/11 к контактору NXC-06~630 (R)</t>
  </si>
  <si>
    <t>block</t>
  </si>
  <si>
    <t>256717</t>
  </si>
  <si>
    <t>Механическая блокировка MI-5 для NC1-09-32, NXC-09-38 (R)</t>
  </si>
  <si>
    <t>593077</t>
  </si>
  <si>
    <t>697034</t>
  </si>
  <si>
    <t>Реле контроля фаз NJYB3-15 AC220V (R)</t>
  </si>
  <si>
    <t>285202</t>
  </si>
  <si>
    <t>Промежуточное реле JZX-22F(D) 3 конт. с инд. LED 5А 220В AC (R)</t>
  </si>
  <si>
    <t>rozetka</t>
  </si>
  <si>
    <t>285975</t>
  </si>
  <si>
    <t>Розетка CZY11A для JZX-22F(D) 3 контакта</t>
  </si>
  <si>
    <t>РПАвр (В25)</t>
  </si>
  <si>
    <t>dif</t>
  </si>
  <si>
    <t>105542</t>
  </si>
  <si>
    <t>Диф. авт. выкл. NXBLE-63Y 1P+N 16А 30mA электронный тип AС, х-ка С, 4.5kA (R)</t>
  </si>
  <si>
    <t>РП-1 (В25)</t>
  </si>
  <si>
    <t>РПл-1 (В25)</t>
  </si>
  <si>
    <t>296711</t>
  </si>
  <si>
    <t>Авт. выкл. NXB-63S 1P 20А 4.5kA х-ка C (R)</t>
  </si>
  <si>
    <t>Рпкух-1 (В25)</t>
  </si>
  <si>
    <t>РПВ-1 (В25)</t>
  </si>
  <si>
    <t>РПо-1 (В25)</t>
  </si>
  <si>
    <t>ЩО-1 (В25)</t>
  </si>
  <si>
    <t>ЩАО-1 (В25)</t>
  </si>
  <si>
    <t>296709</t>
  </si>
  <si>
    <t>Авт. выкл. NXB-63S 1P 10А 4.5kA х-ка C (R)</t>
  </si>
  <si>
    <t>ГРЩ (В26)</t>
  </si>
  <si>
    <t>B26</t>
  </si>
  <si>
    <t>714-15035</t>
  </si>
  <si>
    <t>Мет. Корпус ЩРН- 48 (660x310x120) IP54  (TS)</t>
  </si>
  <si>
    <t>131361</t>
  </si>
  <si>
    <t>Авт. выкл. NXM-125S/3Р 80A 25кА (R)</t>
  </si>
  <si>
    <t>539865</t>
  </si>
  <si>
    <t>Диф. авт. выкл. NXBLE-63YH 3P+N C32 30mA тип AC, 6kA (R)</t>
  </si>
  <si>
    <t>946996</t>
  </si>
  <si>
    <t>Независимый расцепитель SHT-M1 A1 L для NXM-125(63)/NXMLE-125 AC230V (левый) (R)</t>
  </si>
  <si>
    <t>ПП (В26)</t>
  </si>
  <si>
    <t>ЩАП25 (В26)</t>
  </si>
  <si>
    <t>РПВ-1 (В26)</t>
  </si>
  <si>
    <t>296712</t>
  </si>
  <si>
    <t>Авт. выкл. NXB-63S 1P 25А 4.5kA х-ка C (R)</t>
  </si>
  <si>
    <t>ГРЩ (В27)</t>
  </si>
  <si>
    <t>B27</t>
  </si>
  <si>
    <t>ЩАП25 (В27)</t>
  </si>
  <si>
    <t>Я511К-3074(В27)</t>
  </si>
  <si>
    <t>719-15415</t>
  </si>
  <si>
    <t>Мет.Корпус ЩМП-1 (395х310х150) УХЛ3 IP31</t>
  </si>
  <si>
    <t>296840</t>
  </si>
  <si>
    <t>Авт. выкл. NXB-63S 3P 16А 4.5kA х-ка D (R)</t>
  </si>
  <si>
    <t>296704</t>
  </si>
  <si>
    <t>Авт. выкл. NXB-63S 1P C1А 4.5kA х-ка C (R)</t>
  </si>
  <si>
    <t>button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</si>
  <si>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</si>
  <si>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</si>
  <si>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</si>
  <si>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</si>
  <si>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836712</t>
  </si>
  <si>
    <t>Контактор NXC-12 12A 220В/АС3 1НО+1НЗ 50Гц (R)</t>
  </si>
  <si>
    <t>perekluchatel</t>
  </si>
  <si>
    <t>574858</t>
  </si>
  <si>
    <t>Переключатель NP2-BJ33, 3 положения с фиксацией, 2НО IP40</t>
  </si>
  <si>
    <t>837116</t>
  </si>
  <si>
    <t>Тепловое реле NXR-25 7-10A (R)</t>
  </si>
  <si>
    <t>zajim</t>
  </si>
  <si>
    <t>130301152_</t>
  </si>
  <si>
    <t>ЗНИ  2.5мм ² (24А) серый  UNIT (100)</t>
  </si>
  <si>
    <t>РП (В28)</t>
  </si>
  <si>
    <t>B28</t>
  </si>
  <si>
    <t>ПП (В28)</t>
  </si>
  <si>
    <t>256759</t>
  </si>
  <si>
    <t>Устройство автоматического ввода резерва NXZM-63S/3B 40A (R)</t>
  </si>
  <si>
    <t>РПо-1 (В28)</t>
  </si>
  <si>
    <t>TEKLED/TEKSAN</t>
  </si>
  <si>
    <t>ШТ.</t>
  </si>
  <si>
    <t>bara</t>
  </si>
  <si>
    <t>KONTROL-N</t>
  </si>
  <si>
    <t>Шина N изолированная, не менее 12 присоединений</t>
  </si>
  <si>
    <t>EKT/Klemsan</t>
  </si>
  <si>
    <t>KONTROL-PE</t>
  </si>
  <si>
    <t>Шина PE медная, не менее 12 присоединений</t>
  </si>
  <si>
    <t>kanal</t>
  </si>
  <si>
    <t>KONTROL-KK</t>
  </si>
  <si>
    <t>Кабельный канал перфорированный, комплект по габариту</t>
  </si>
  <si>
    <t>ONKA/EKT</t>
  </si>
  <si>
    <t>klemens</t>
  </si>
  <si>
    <t>KONTROL-KL</t>
  </si>
  <si>
    <t>Клеммник 2,5-6 мм² (фаза/N/PE по схеме)</t>
  </si>
  <si>
    <t>Klemsan/EKT</t>
  </si>
  <si>
    <t>kablo</t>
  </si>
  <si>
    <t>KONTROL-WIRE</t>
  </si>
  <si>
    <t>Внутренняя проводка Harmony + маркировка, комплект</t>
  </si>
  <si>
    <t>Harmony</t>
  </si>
  <si>
    <t>монтажный материал</t>
  </si>
  <si>
    <t>Монтажный материал</t>
  </si>
  <si>
    <t>монтажные работы</t>
  </si>
  <si>
    <t>Монтажные работы</t>
  </si>
  <si>
    <t>ИТОГО на 1 комплект</t>
  </si>
  <si>
    <t>ЯВЗ-31-IP54 УХЛ2 100А</t>
  </si>
  <si>
    <t>KONTROL-NH40-125-3W</t>
  </si>
  <si>
    <t>Выключатель-разъединитель CHINT NH40-125/3W, 100A, рукоятка на дверь</t>
  </si>
  <si>
    <t>KONTROL-KORPUS-YATP</t>
  </si>
  <si>
    <t>Корпус металлический 300x250x150 мм, IP54, монтажная панель</t>
  </si>
  <si>
    <t>TEKSAN/TEKLED</t>
  </si>
  <si>
    <t>transformator</t>
  </si>
  <si>
    <t>KONTROL-NDK250</t>
  </si>
  <si>
    <t>Трансформатор CHINT NDK-250, 230/36V, 250VA</t>
  </si>
  <si>
    <t>KONTROL-MCB-1P-C2</t>
  </si>
  <si>
    <t>Авт. выключатель CHINT NXB-63 1P C2A, первичная цепь</t>
  </si>
  <si>
    <t>KONTROL-MCB-2P-C10</t>
  </si>
  <si>
    <t>Авт. выключатель CHINT NXB-63 2P C10A, вторичная цепь 36V</t>
  </si>
  <si>
    <t>KONTROL-SOCKET36</t>
  </si>
  <si>
    <t>Розетка 36V 16A, 2P+PE, IP44</t>
  </si>
  <si>
    <t>EKT/IEK</t>
  </si>
  <si>
    <t>KONTROL-KORPUS-PP-100</t>
  </si>
  <si>
    <t>Корпус металлический 400x300x200 мм IP54 для ручного переключателя 100A</t>
  </si>
  <si>
    <t>KONTROL-NH40-CS-100</t>
  </si>
  <si>
    <t>Переключатель ручной I-0-II CHINT, 3P, 100A, рукоятка на дверь (экв. ПП)</t>
  </si>
  <si>
    <t>593076</t>
  </si>
  <si>
    <t>Авт. выключатель CHINT NXB-63S 1P B10A 4.5kA</t>
  </si>
  <si>
    <t>Щ (В27)</t>
  </si>
  <si>
    <t>Pano</t>
  </si>
  <si>
    <t>Stajyer BOM Hatası / Eksik</t>
  </si>
  <si>
    <t>Yapılan Düzeltme</t>
  </si>
  <si>
    <t>Kaynak</t>
  </si>
  <si>
    <t>Stajyer: 3P C16=3, 1P C16=5</t>
  </si>
  <si>
    <t>Projeye göre 3P C16=2, 1P C16=6</t>
  </si>
  <si>
    <t>B01-B03 tek hat/spec</t>
  </si>
  <si>
    <t>ЯВЗ-31 (B01, B02, B03)</t>
  </si>
  <si>
    <t>UNIT rubilnik kullanılmış</t>
  </si>
  <si>
    <t>CHINT NH40 serisi ile değiştirildi</t>
  </si>
  <si>
    <t>Tek hat + CHINT dönüşümü</t>
  </si>
  <si>
    <t>ЯВЗ-31 (B08)</t>
  </si>
  <si>
    <t>ЯВЗ-31 (B11)</t>
  </si>
  <si>
    <t>Stajyer: 1 комплект</t>
  </si>
  <si>
    <t>Tek hatta iki vinç/Y1-Y2 olduğundan 2 комплект</t>
  </si>
  <si>
    <t>B11-E sayfa 1</t>
  </si>
  <si>
    <t>ЯВЗ-31 (B14)</t>
  </si>
  <si>
    <t>ЯВЗ-31 (B16)</t>
  </si>
  <si>
    <t>ЯВЗ-31 (B19)</t>
  </si>
  <si>
    <t>ЯВЗ-31 (B26)</t>
  </si>
  <si>
    <t>ЯТП (B01, B02, B03)</t>
  </si>
  <si>
    <t>Stajyer BOM'unda başlık var, iç malzeme yok</t>
  </si>
  <si>
    <t>Korpus, NDK-250 trafo, primer/sekonder koruma ve 36V priz eklendi</t>
  </si>
  <si>
    <t>Proje ekipman spesifikasyonu</t>
  </si>
  <si>
    <t>ЯТП (B08)</t>
  </si>
  <si>
    <t>ЯТП (B11)</t>
  </si>
  <si>
    <t>ЯТП (B14)</t>
  </si>
  <si>
    <t>ЯТП (B16)</t>
  </si>
  <si>
    <t>ЯТП (B18)</t>
  </si>
  <si>
    <t>ЯТП (B19)</t>
  </si>
  <si>
    <t>ЯТП (B26)</t>
  </si>
  <si>
    <t>ЯТП (B27)</t>
  </si>
  <si>
    <t>660x310x120 gövde; 8 kontaktör+termik ve 16 otomata fiziksel olarak yetersiz</t>
  </si>
  <si>
    <t>800x600x250 üretim gövdesi seçildi</t>
  </si>
  <si>
    <t>B08 tek hat + yerleşim kontrolü</t>
  </si>
  <si>
    <t>Stajyer: 3P C16=3, 1P C16=2 ve 12 modül gövde</t>
  </si>
  <si>
    <t>Projeye göre 3P C16=1, 1P C16=4; kontaktör için 500x400x220 gövde</t>
  </si>
  <si>
    <t>B11 spec</t>
  </si>
  <si>
    <t>Stajyer: 3P C16=2, 1P C16=5</t>
  </si>
  <si>
    <t>Projeye göre 3P C16=1, 1P C16=6; gövde büyütüldü</t>
  </si>
  <si>
    <t>B16 spec</t>
  </si>
  <si>
    <t>Stajyer: 3P C25 iki adet, 1P C25 yok</t>
  </si>
  <si>
    <t>3P C25=1 + 1P C25=1 olarak düzeltildi</t>
  </si>
  <si>
    <t>B18 tek hat/spec</t>
  </si>
  <si>
    <t>Stajyer otomatik NXZM ATS seçmiş</t>
  </si>
  <si>
    <t>Projedeki ПП manuel paket/değiştirici şalter olarak düzeltildi</t>
  </si>
  <si>
    <t>İlgili proje spec</t>
  </si>
  <si>
    <t>Stajyer BOM'unda tek kontaktör + mekanik kilit var; ATS çalışmaz</t>
  </si>
  <si>
    <t>Entegre CHINT NXZM-63S/4B 25A 4P ATSE seçildi</t>
  </si>
  <si>
    <t>Proje: ЩАП 25A IP54</t>
  </si>
  <si>
    <t>Stajyer: 3P C20=1 + 1P C20=1</t>
  </si>
  <si>
    <t>Projeye göre 3P C20=2; 1P C20 kaldırıldı</t>
  </si>
  <si>
    <t>B25 spec</t>
  </si>
  <si>
    <t>Stajyer RCBO=5</t>
  </si>
  <si>
    <t>Projeye göre RCBO=4</t>
  </si>
  <si>
    <t>VD1KM 9A ve V5KM 18A kontaktörleri eksik</t>
  </si>
  <si>
    <t>NXC-09 ve NXC-18 eklendi</t>
  </si>
  <si>
    <t>Girişte MCB kullanılmış</t>
  </si>
  <si>
    <t>Projeye göre yük ayırıcı 3P 20A seçildi</t>
  </si>
  <si>
    <t>Giriş 3P C16 seçilmiş</t>
  </si>
  <si>
    <t>Projeye göre 3P 20A yük ayırıcı ve 1P B10 çıkışlar</t>
  </si>
  <si>
    <t>660x310x120 gövde MCCB+RCBO+çıkışlar için yetersiz</t>
  </si>
  <si>
    <t>800x600x250 IP54 gövde seçildi</t>
  </si>
  <si>
    <t>B26 yerleşim kontrolü</t>
  </si>
  <si>
    <t>Stajyer 18 modül gövde kullanmış</t>
  </si>
  <si>
    <t>Projeye göre 24 modül gövde</t>
  </si>
  <si>
    <t>B27 auxiliary spec</t>
  </si>
  <si>
    <t>3P32 cihazı MCCB olarak sınıflandırılmış</t>
  </si>
  <si>
    <t>NXB-63S MCB/ОТО olarak düzeltildi</t>
  </si>
  <si>
    <t>B28 spec</t>
  </si>
  <si>
    <t>Konu</t>
  </si>
  <si>
    <t>Durum / Karar</t>
  </si>
  <si>
    <t>Ana kaynak</t>
  </si>
  <si>
    <t>Tek hat şemaları esas alındı. Ekipman spesifikasyonu doğrulama için kullanıldı; santral+karakol_catismayanlar dosyası çelişki kontrolü olarak değerlendirildi.</t>
  </si>
  <si>
    <t>В27 10 kV ve 0,4 kV ana dağıtım</t>
  </si>
  <si>
    <t>KSO 10 kV hücreler, 2x1000 kVA trafolar, 1600 A ana AG dağıtım, 2x150 kVAr kompanzasyon ve DGU ana panosu stajyer Excel kapsamına alınmamış. Bu dosyada yardımcı AG panoları düzeltildi; ana sistem ayrı teknik BOM ve koruma koordinasyonu gerektirir.</t>
  </si>
  <si>
    <t>KONTROL EDİLECEK satırlar</t>
  </si>
  <si>
    <t>Yeni eklenen TEKLED özel korpuslar, NH40 manuel değiştirici, NDK-250 trafo, bazı küçük MCB ve aksesuarların yerel CHINT/tedarikçi artikel ve fiyatları doğrulanmadan fiyat yazılmadı.</t>
  </si>
  <si>
    <t>Fiyat toplamları</t>
  </si>
  <si>
    <t>KONTROL EDİLECEK kalemlerin fiyatları boş bırakıldığı için bölüm toplamları yalnızca fiyatı mevcut kalemleri toplar.</t>
  </si>
  <si>
    <t>Panel adedi kuralı</t>
  </si>
  <si>
    <t>Pano adedi yalnız başlık satırında gösterildi. İç malzeme miktarları 1 pano içindir ve pano adediyle çarpılmadı.</t>
  </si>
  <si>
    <t>Marka standardı</t>
  </si>
  <si>
    <t>Şalt CHINT; korpus TEKSAN/TEKLED; klemens/kanal EKT-Klemsan-Onka; iç kablo Harmony.</t>
  </si>
  <si>
    <t>malz</t>
  </si>
  <si>
    <t>shmp 450*240*175</t>
  </si>
  <si>
    <t xml:space="preserve">П1...П4-В1...В4 </t>
  </si>
  <si>
    <t xml:space="preserve">В1КМ </t>
  </si>
  <si>
    <t xml:space="preserve">Ящик с понижающим трансформатором 220/36 В, 250 ВА </t>
  </si>
  <si>
    <t>ВД1КМ</t>
  </si>
  <si>
    <t>В5КМ</t>
  </si>
  <si>
    <t>171629</t>
  </si>
  <si>
    <t>Устройство автоматического ввода резерва NXZB-63H/4C 25A D25 (R)</t>
  </si>
  <si>
    <t>296907</t>
  </si>
  <si>
    <t>Авт. выкл. NXB-63S 4P 25А 4.5kA х-ка C (R)</t>
  </si>
  <si>
    <t>130200360_</t>
  </si>
  <si>
    <t>Шина "N" PEN "земля-ноль" 8х12мм 14/2 (крепеж по краям) UNIT (10/250)</t>
  </si>
  <si>
    <t>130200363_</t>
  </si>
  <si>
    <t>Шина "N" нулевая 8х12мм комб с изол "Стойка" ШНИ 14-КС-С UNIT (20/200)</t>
  </si>
  <si>
    <t>496405</t>
  </si>
  <si>
    <t>Электромагнитный пускатель в корпусе NQ3-5.5P 2.5-4A AC230В IP55 (R)</t>
  </si>
  <si>
    <t>496403</t>
  </si>
  <si>
    <t>Электромагнитный пускатель в корпусе NQ3-5.5P 1.6-2.5A AC230В IP55 (R)</t>
  </si>
  <si>
    <t>496406</t>
  </si>
  <si>
    <t>Электромагнитный пускатель в корпусе NQ3-5.5P 4-6A AC230В IP55 (R)</t>
  </si>
  <si>
    <t>496399</t>
  </si>
  <si>
    <t>Электромагнитный пускатель в корпусе NQ3-5.5P 1-1.6A AC230В IP55 (R)</t>
  </si>
  <si>
    <t>496398</t>
  </si>
  <si>
    <t>Электромагнитный пускатель в корпусе NQ3-5.5P 0.4-0.63A AC230В IP55 (R)</t>
  </si>
  <si>
    <t>ПВ-3 2,5</t>
  </si>
  <si>
    <t>714-15122</t>
  </si>
  <si>
    <t>Щит мет. ЩРн-2-2 PR (540x400x220) IP54 (TS)</t>
  </si>
  <si>
    <t>714-15118</t>
  </si>
  <si>
    <t>Щит мет. ЩРн-4-2 PR (800x650x250) IP54 (TS)</t>
  </si>
  <si>
    <t>270100156_</t>
  </si>
  <si>
    <t>Рубильник ВР-32-31  А31220-100А на 1 направаление (+6камер) UNIT (1/18)</t>
  </si>
  <si>
    <t>193180</t>
  </si>
  <si>
    <t>Выключатель нагрузки NXHB-125 3P 20A (R)</t>
  </si>
  <si>
    <t>296708</t>
  </si>
  <si>
    <t>Авт. выкл. NXB-63S 1P 6А 4.5kA х-ка C (R)</t>
  </si>
  <si>
    <t>515381</t>
  </si>
  <si>
    <t>Диф. авт. выкл. NXBLE-63YH 1P+N C16 30mA тип A, 6kA (R)</t>
  </si>
  <si>
    <t>sira no</t>
  </si>
  <si>
    <t>Toplam ГРЩ (B01, B02, B03)</t>
  </si>
  <si>
    <t>Toplam РПВ (B01, B02, B03)</t>
  </si>
  <si>
    <t>Toplam ЯВЗ-31-IP54 УХЛ2 100А</t>
  </si>
  <si>
    <t>Toplam ГРЩ (В08)</t>
  </si>
  <si>
    <t>Toplam РПВ (В08)</t>
  </si>
  <si>
    <t xml:space="preserve">Toplam П1...П4-В1...В4 </t>
  </si>
  <si>
    <t>Toplam ГРЩ (В11)</t>
  </si>
  <si>
    <t>Toplam РПВ (В11)</t>
  </si>
  <si>
    <t xml:space="preserve">Toplam В1КМ </t>
  </si>
  <si>
    <t>Toplam ГРЩ (В14)</t>
  </si>
  <si>
    <t>Toplam РПВ (В14)</t>
  </si>
  <si>
    <t>Toplam ГРЩ (В16)</t>
  </si>
  <si>
    <t>Toplam РПВ (В16)</t>
  </si>
  <si>
    <t>Toplam ГРЩ (В18)</t>
  </si>
  <si>
    <t>Toplam РПВ (В18)</t>
  </si>
  <si>
    <t>Toplam ЯТП-0,25-220/36 036УХЛ4</t>
  </si>
  <si>
    <t>Toplam ГРЩ (В19)</t>
  </si>
  <si>
    <t>Toplam РПВ (В19)</t>
  </si>
  <si>
    <t>Toplam ГРЩ (В25)</t>
  </si>
  <si>
    <t>Toplam ЩАП23 (В25)</t>
  </si>
  <si>
    <t>Toplam РПАвр (В25)</t>
  </si>
  <si>
    <t>Toplam РП-1 (В25)</t>
  </si>
  <si>
    <t>Toplam РПл-1 (В25)</t>
  </si>
  <si>
    <t>Toplam Рпкух-1 (В25)</t>
  </si>
  <si>
    <t>Toplam РПВ-1 (В25)</t>
  </si>
  <si>
    <t>Toplam РПо-1 (В25)</t>
  </si>
  <si>
    <t>Toplam ВД1КМ</t>
  </si>
  <si>
    <t>Toplam В5КМ</t>
  </si>
  <si>
    <t>Toplam ЩО-1 (В25)</t>
  </si>
  <si>
    <t>Toplam ЩАО-1 (В25)</t>
  </si>
  <si>
    <t>Toplam ГРЩ (В26)</t>
  </si>
  <si>
    <t>Toplam ЩАП25 (В26)</t>
  </si>
  <si>
    <t>Toplam РПВ-1 (В26)</t>
  </si>
  <si>
    <t>Toplam Щ (В27)</t>
  </si>
  <si>
    <t>Toplam ЩАП25 (В27)</t>
  </si>
  <si>
    <t>Toplam Я511К-3074(В27)</t>
  </si>
  <si>
    <t>Toplam РП (В28)</t>
  </si>
  <si>
    <t>Toplam РПо-1 (В28)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</si>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</sst>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  <numFmt numFmtId="167" formatCode="0.##"/>
  </numFmts>
  <fonts count="22" x14ac:knownFonts="1">
    <font>
      <sz val="11"/>
      <color rgb="FF000000"/>
      <name val="Calibri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color rgb="FFC0000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Calibri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D966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200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>
      <alignment horizontal="center" vertical="center"/>
    </xf>
    <xf numFmtId="166" fontId="6" fillId="6" borderId="1" xfId="1" applyNumberFormat="1" applyFont="1" applyFill="1" applyBorder="1" applyAlignment="1">
      <alignment horizontal="center" vertical="center" wrapText="1"/>
    </xf>
    <xf numFmtId="0" fontId="6" fillId="6" borderId="1" xfId="1" applyNumberFormat="1" applyFont="1" applyFill="1" applyBorder="1" applyAlignment="1">
      <alignment horizontal="center" vertical="center"/>
    </xf>
    <xf numFmtId="165" fontId="6" fillId="6" borderId="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/>
    </xf>
    <xf numFmtId="0" fontId="6" fillId="4" borderId="1" xfId="1" applyNumberFormat="1" applyFont="1" applyFill="1" applyBorder="1" applyAlignment="1">
      <alignment horizontal="center" vertical="center"/>
    </xf>
    <xf numFmtId="165" fontId="6" fillId="4" borderId="1" xfId="1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7" fillId="11" borderId="5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7" fillId="12" borderId="5" xfId="0" applyFont="1" applyFill="1" applyBorder="1" applyAlignment="1">
      <alignment horizontal="center" wrapText="1"/>
    </xf>
    <xf numFmtId="0" fontId="17" fillId="12" borderId="7" xfId="0" applyFont="1" applyFill="1" applyBorder="1" applyAlignment="1">
      <alignment horizont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4" fontId="13" fillId="8" borderId="4" xfId="0" applyNumberFormat="1" applyFont="1" applyFill="1" applyBorder="1" applyAlignment="1">
      <alignment horizontal="center" vertical="center" wrapText="1"/>
    </xf>
    <xf numFmtId="167" fontId="13" fillId="8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4" fontId="14" fillId="0" borderId="4" xfId="0" applyNumberFormat="1" applyFont="1" applyBorder="1" applyAlignment="1">
      <alignment vertical="center" wrapText="1"/>
    </xf>
    <xf numFmtId="0" fontId="14" fillId="10" borderId="4" xfId="0" applyFont="1" applyFill="1" applyBorder="1" applyAlignment="1">
      <alignment vertical="center" wrapText="1"/>
    </xf>
    <xf numFmtId="0" fontId="16" fillId="10" borderId="4" xfId="0" applyFont="1" applyFill="1" applyBorder="1" applyAlignment="1">
      <alignment vertical="center" wrapText="1"/>
    </xf>
    <xf numFmtId="4" fontId="14" fillId="10" borderId="4" xfId="0" applyNumberFormat="1" applyFont="1" applyFill="1" applyBorder="1" applyAlignment="1">
      <alignment vertical="center" wrapText="1"/>
    </xf>
    <xf numFmtId="0" fontId="15" fillId="9" borderId="4" xfId="0" applyFont="1" applyFill="1" applyBorder="1" applyAlignment="1">
      <alignment vertical="center" wrapText="1"/>
    </xf>
    <xf numFmtId="0" fontId="15" fillId="9" borderId="4" xfId="0" applyFont="1" applyFill="1" applyBorder="1" applyAlignment="1">
      <alignment horizontal="right" vertical="center" wrapText="1"/>
    </xf>
    <xf numFmtId="4" fontId="15" fillId="9" borderId="4" xfId="0" applyNumberFormat="1" applyFont="1" applyFill="1" applyBorder="1" applyAlignment="1">
      <alignment horizontal="right" vertical="center" wrapText="1"/>
    </xf>
    <xf numFmtId="167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7" fontId="14" fillId="10" borderId="4" xfId="0" applyNumberFormat="1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167" fontId="15" fillId="9" borderId="4" xfId="0" applyNumberFormat="1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left" vertical="center"/>
    </xf>
    <xf numFmtId="167" fontId="20" fillId="13" borderId="4" xfId="0" applyNumberFormat="1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vertical="center" wrapText="1"/>
    </xf>
    <xf numFmtId="0" fontId="21" fillId="13" borderId="4" xfId="0" applyFont="1" applyFill="1" applyBorder="1" applyAlignment="1">
      <alignment vertical="center" wrapText="1"/>
    </xf>
    <xf numFmtId="4" fontId="20" fillId="13" borderId="4" xfId="0" applyNumberFormat="1" applyFont="1" applyFill="1" applyBorder="1" applyAlignment="1">
      <alignment vertical="center" wrapText="1"/>
    </xf>
    <xf numFmtId="0" fontId="20" fillId="13" borderId="4" xfId="0" applyFont="1" applyFill="1" applyBorder="1" applyAlignment="1">
      <alignment horizontal="center" vertical="center" wrapText="1"/>
    </xf>
    <xf numFmtId="3" fontId="13" fillId="7" borderId="4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15" fillId="9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5" fillId="10" borderId="4" xfId="0" applyFont="1" applyFill="1" applyBorder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4" fontId="14" fillId="0" borderId="12" xfId="0" applyNumberFormat="1" applyFont="1" applyBorder="1" applyAlignment="1">
      <alignment vertical="center" wrapText="1"/>
    </xf>
    <xf numFmtId="167" fontId="14" fillId="0" borderId="12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4" fontId="0" fillId="0" borderId="0" xfId="0" applyNumberFormat="1"/>
  </cellXfs>
  <cellStyles count="7">
    <cellStyle name="Normal" xfId="0" builtinId="0"/>
    <cellStyle name="Normal 2" xfId="4" xr:uid="{00000000-0005-0000-0000-000001000000}"/>
    <cellStyle name="Virgül" xfId="1" xr:uid="{00000000-0005-0000-0000-000002000000}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8"/>
  <sheetViews>
    <sheetView workbookViewId="0"/>
  </sheetViews>
  <sheetFormatPr defaultRowHeight="15" x14ac:dyDescent="0.25"/>
  <cols>
    <col min="1" max="1" width="36.42578125" customWidth="1"/>
    <col min="3" max="3" width="9.28515625" customWidth="1"/>
    <col min="4" max="4" width="72.42578125" customWidth="1"/>
    <col min="5" max="6" width="10" customWidth="1"/>
    <col min="7" max="7" width="15.7109375" customWidth="1"/>
    <col min="8" max="8" width="9.28515625" customWidth="1"/>
    <col min="11" max="11" width="36.42578125" customWidth="1"/>
  </cols>
  <sheetData>
    <row r="1" spans="1:11" ht="39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</row>
    <row r="2" spans="1:11" ht="39.75" customHeight="1" x14ac:dyDescent="0.25">
      <c r="A2" s="5" t="str">
        <f>D2</f>
        <v>ГРЩ (B01, B02, B03)</v>
      </c>
      <c r="B2" s="6"/>
      <c r="C2" s="7"/>
      <c r="D2" s="6" t="s">
        <v>10</v>
      </c>
      <c r="E2" s="8"/>
      <c r="F2" s="8"/>
      <c r="G2" s="9"/>
      <c r="H2" s="10">
        <v>1</v>
      </c>
      <c r="I2" s="11" t="s">
        <v>11</v>
      </c>
      <c r="J2" s="6" t="s">
        <v>12</v>
      </c>
      <c r="K2" s="5" t="s">
        <v>13</v>
      </c>
    </row>
    <row r="3" spans="1:11" ht="21" customHeight="1" x14ac:dyDescent="0.25">
      <c r="A3" s="12" t="str">
        <f>A2</f>
        <v>ГРЩ (B01, B02, B03)</v>
      </c>
      <c r="B3" s="13" t="s">
        <v>14</v>
      </c>
      <c r="C3" s="14" t="s">
        <v>15</v>
      </c>
      <c r="D3" s="12" t="s">
        <v>16</v>
      </c>
      <c r="E3" s="13">
        <v>13410</v>
      </c>
      <c r="F3" s="15">
        <f t="shared" ref="F3:F8" si="0">E3*0.6</f>
        <v>8046</v>
      </c>
      <c r="G3" s="15">
        <f>H3*F3</f>
        <v>8046</v>
      </c>
      <c r="H3" s="16">
        <v>1</v>
      </c>
      <c r="I3" s="17" t="s">
        <v>17</v>
      </c>
      <c r="J3" s="13" t="s">
        <v>18</v>
      </c>
      <c r="K3" s="12" t="str">
        <f>K2</f>
        <v>B01, B02, B03</v>
      </c>
    </row>
    <row r="4" spans="1:11" ht="21" customHeight="1" x14ac:dyDescent="0.25">
      <c r="A4" s="12" t="str">
        <f t="shared" ref="A4:A11" si="1">A3</f>
        <v>ГРЩ (B01, B02, B03)</v>
      </c>
      <c r="B4" s="13" t="s">
        <v>19</v>
      </c>
      <c r="C4" s="14" t="s">
        <v>20</v>
      </c>
      <c r="D4" s="12" t="s">
        <v>21</v>
      </c>
      <c r="E4" s="13">
        <v>19760</v>
      </c>
      <c r="F4" s="15">
        <f t="shared" si="0"/>
        <v>11856</v>
      </c>
      <c r="G4" s="15">
        <f t="shared" ref="G4:G9" si="2">F4*H4</f>
        <v>11856</v>
      </c>
      <c r="H4" s="16">
        <v>1</v>
      </c>
      <c r="I4" s="17" t="s">
        <v>17</v>
      </c>
      <c r="J4" s="13" t="s">
        <v>22</v>
      </c>
      <c r="K4" s="12" t="str">
        <f t="shared" ref="K4:K11" si="3">K3</f>
        <v>B01, B02, B03</v>
      </c>
    </row>
    <row r="5" spans="1:11" ht="21" customHeight="1" x14ac:dyDescent="0.25">
      <c r="A5" s="12" t="str">
        <f t="shared" si="1"/>
        <v>ГРЩ (B01, B02, B03)</v>
      </c>
      <c r="B5" s="13" t="s">
        <v>23</v>
      </c>
      <c r="C5" s="14" t="s">
        <v>24</v>
      </c>
      <c r="D5" s="12" t="s">
        <v>25</v>
      </c>
      <c r="E5" s="13">
        <v>11015</v>
      </c>
      <c r="F5" s="15">
        <f t="shared" si="0"/>
        <v>6609</v>
      </c>
      <c r="G5" s="15">
        <f t="shared" si="2"/>
        <v>6609</v>
      </c>
      <c r="H5" s="16">
        <v>1</v>
      </c>
      <c r="I5" s="17" t="s">
        <v>17</v>
      </c>
      <c r="J5" s="13" t="s">
        <v>22</v>
      </c>
      <c r="K5" s="12" t="str">
        <f t="shared" si="3"/>
        <v>B01, B02, B03</v>
      </c>
    </row>
    <row r="6" spans="1:11" ht="21" customHeight="1" x14ac:dyDescent="0.25">
      <c r="A6" s="12" t="str">
        <f t="shared" si="1"/>
        <v>ГРЩ (B01, B02, B03)</v>
      </c>
      <c r="B6" s="13" t="s">
        <v>23</v>
      </c>
      <c r="C6" s="14" t="s">
        <v>26</v>
      </c>
      <c r="D6" s="12" t="s">
        <v>27</v>
      </c>
      <c r="E6" s="13">
        <v>2337</v>
      </c>
      <c r="F6" s="15">
        <f t="shared" si="0"/>
        <v>1402.2</v>
      </c>
      <c r="G6" s="15">
        <f t="shared" si="2"/>
        <v>4206.6000000000004</v>
      </c>
      <c r="H6" s="16">
        <v>3</v>
      </c>
      <c r="I6" s="17" t="s">
        <v>17</v>
      </c>
      <c r="J6" s="13" t="s">
        <v>22</v>
      </c>
      <c r="K6" s="12" t="str">
        <f t="shared" si="3"/>
        <v>B01, B02, B03</v>
      </c>
    </row>
    <row r="7" spans="1:11" ht="21" customHeight="1" x14ac:dyDescent="0.25">
      <c r="A7" s="12" t="str">
        <f t="shared" si="1"/>
        <v>ГРЩ (B01, B02, B03)</v>
      </c>
      <c r="B7" s="13" t="s">
        <v>23</v>
      </c>
      <c r="C7" s="14" t="s">
        <v>28</v>
      </c>
      <c r="D7" s="12" t="s">
        <v>29</v>
      </c>
      <c r="E7" s="13">
        <v>1389</v>
      </c>
      <c r="F7" s="15">
        <f t="shared" si="0"/>
        <v>833.4</v>
      </c>
      <c r="G7" s="15">
        <f t="shared" si="2"/>
        <v>4167</v>
      </c>
      <c r="H7" s="16">
        <v>5</v>
      </c>
      <c r="I7" s="17" t="s">
        <v>17</v>
      </c>
      <c r="J7" s="13" t="s">
        <v>22</v>
      </c>
      <c r="K7" s="12" t="str">
        <f t="shared" si="3"/>
        <v>B01, B02, B03</v>
      </c>
    </row>
    <row r="8" spans="1:11" ht="21" customHeight="1" x14ac:dyDescent="0.25">
      <c r="A8" s="12" t="str">
        <f>A7</f>
        <v>ГРЩ (B01, B02, B03)</v>
      </c>
      <c r="B8" s="13" t="s">
        <v>30</v>
      </c>
      <c r="C8" s="14" t="s">
        <v>31</v>
      </c>
      <c r="D8" s="12" t="s">
        <v>32</v>
      </c>
      <c r="E8" s="13">
        <v>4160</v>
      </c>
      <c r="F8" s="15">
        <f t="shared" si="0"/>
        <v>2496</v>
      </c>
      <c r="G8" s="15">
        <f t="shared" si="2"/>
        <v>2496</v>
      </c>
      <c r="H8" s="16">
        <v>1</v>
      </c>
      <c r="I8" s="17" t="s">
        <v>17</v>
      </c>
      <c r="J8" s="13" t="s">
        <v>22</v>
      </c>
      <c r="K8" s="12" t="str">
        <f>K7</f>
        <v>B01, B02, B03</v>
      </c>
    </row>
    <row r="9" spans="1:11" ht="24" customHeight="1" x14ac:dyDescent="0.25">
      <c r="A9" s="12" t="str">
        <f>A7</f>
        <v>ГРЩ (B01, B02, B03)</v>
      </c>
      <c r="B9" s="12" t="s">
        <v>33</v>
      </c>
      <c r="C9" s="18" t="s">
        <v>33</v>
      </c>
      <c r="D9" s="12" t="s">
        <v>33</v>
      </c>
      <c r="E9" s="12">
        <f ca="1">OFFSET(E9,1,2)</f>
        <v>0</v>
      </c>
      <c r="F9" s="15">
        <f ca="1">E9</f>
        <v>0</v>
      </c>
      <c r="G9" s="15">
        <f t="shared" ca="1" si="2"/>
        <v>0</v>
      </c>
      <c r="H9" s="12"/>
      <c r="I9" s="12" t="s">
        <v>17</v>
      </c>
      <c r="J9" s="12" t="s">
        <v>33</v>
      </c>
      <c r="K9" s="12" t="str">
        <f>K7</f>
        <v>B01, B02, B03</v>
      </c>
    </row>
    <row r="10" spans="1:11" ht="21" customHeight="1" x14ac:dyDescent="0.25">
      <c r="A10" s="12" t="str">
        <f t="shared" si="1"/>
        <v>ГРЩ (B01, B02, B03)</v>
      </c>
      <c r="B10" s="12" t="s">
        <v>34</v>
      </c>
      <c r="C10" s="18" t="s">
        <v>34</v>
      </c>
      <c r="D10" s="12" t="s">
        <v>34</v>
      </c>
      <c r="E10" s="12"/>
      <c r="F10" s="15">
        <v>100</v>
      </c>
      <c r="G10" s="15">
        <f>60*E10*F10</f>
        <v>0</v>
      </c>
      <c r="H10" s="12">
        <f>60*E10</f>
        <v>0</v>
      </c>
      <c r="I10" s="12" t="s">
        <v>17</v>
      </c>
      <c r="J10" s="12" t="s">
        <v>34</v>
      </c>
      <c r="K10" s="12" t="str">
        <f t="shared" si="3"/>
        <v>B01, B02, B03</v>
      </c>
    </row>
    <row r="11" spans="1:11" ht="30" customHeight="1" x14ac:dyDescent="0.25">
      <c r="A11" s="12" t="str">
        <f t="shared" si="1"/>
        <v>ГРЩ (B01, B02, B03)</v>
      </c>
      <c r="B11" s="19"/>
      <c r="C11" s="20"/>
      <c r="D11" s="21"/>
      <c r="E11" s="23"/>
      <c r="F11" s="25"/>
      <c r="G11" s="24">
        <f ca="1">SUM(G3:G10)</f>
        <v>37380.6</v>
      </c>
      <c r="H11" s="20"/>
      <c r="I11" s="22"/>
      <c r="J11" s="20"/>
      <c r="K11" s="12" t="str">
        <f t="shared" si="3"/>
        <v>B01, B02, B03</v>
      </c>
    </row>
    <row r="12" spans="1:11" ht="39.75" customHeight="1" x14ac:dyDescent="0.25">
      <c r="A12" s="5" t="str">
        <f>D12</f>
        <v>РПВ (B01, B02, B03)</v>
      </c>
      <c r="B12" s="6"/>
      <c r="C12" s="7"/>
      <c r="D12" s="6" t="s">
        <v>35</v>
      </c>
      <c r="E12" s="8"/>
      <c r="F12" s="8"/>
      <c r="G12" s="9"/>
      <c r="H12" s="10">
        <v>1</v>
      </c>
      <c r="I12" s="11" t="s">
        <v>11</v>
      </c>
      <c r="J12" s="6" t="s">
        <v>12</v>
      </c>
      <c r="K12" s="5" t="s">
        <v>13</v>
      </c>
    </row>
    <row r="13" spans="1:11" ht="21" customHeight="1" x14ac:dyDescent="0.25">
      <c r="A13" s="12" t="str">
        <f>A12</f>
        <v>РПВ (B01, B02, B03)</v>
      </c>
      <c r="B13" s="13" t="s">
        <v>14</v>
      </c>
      <c r="C13" s="14" t="s">
        <v>36</v>
      </c>
      <c r="D13" s="12" t="s">
        <v>37</v>
      </c>
      <c r="E13" s="13">
        <v>14695</v>
      </c>
      <c r="F13" s="15">
        <f>E13*0.6</f>
        <v>8817</v>
      </c>
      <c r="G13" s="15">
        <f>H13*F13</f>
        <v>8817</v>
      </c>
      <c r="H13" s="16">
        <v>1</v>
      </c>
      <c r="I13" s="17" t="s">
        <v>17</v>
      </c>
      <c r="J13" s="13" t="s">
        <v>18</v>
      </c>
      <c r="K13" s="12" t="str">
        <f>K12</f>
        <v>B01, B02, B03</v>
      </c>
    </row>
    <row r="14" spans="1:11" ht="21" customHeight="1" x14ac:dyDescent="0.25">
      <c r="A14" s="12" t="str">
        <f t="shared" ref="A14:A19" si="4">A13</f>
        <v>РПВ (B01, B02, B03)</v>
      </c>
      <c r="B14" s="13" t="s">
        <v>23</v>
      </c>
      <c r="C14" s="14" t="s">
        <v>24</v>
      </c>
      <c r="D14" s="12" t="s">
        <v>25</v>
      </c>
      <c r="E14" s="13">
        <v>11015</v>
      </c>
      <c r="F14" s="15">
        <f>E14*0.6</f>
        <v>6609</v>
      </c>
      <c r="G14" s="15">
        <f>F14*H14</f>
        <v>6609</v>
      </c>
      <c r="H14" s="16">
        <v>1</v>
      </c>
      <c r="I14" s="17" t="s">
        <v>17</v>
      </c>
      <c r="J14" s="13" t="s">
        <v>22</v>
      </c>
      <c r="K14" s="12" t="str">
        <f t="shared" ref="K14:K19" si="5">K13</f>
        <v>B01, B02, B03</v>
      </c>
    </row>
    <row r="15" spans="1:11" ht="21" customHeight="1" x14ac:dyDescent="0.25">
      <c r="A15" s="12" t="str">
        <f t="shared" si="4"/>
        <v>РПВ (B01, B02, B03)</v>
      </c>
      <c r="B15" s="13" t="s">
        <v>23</v>
      </c>
      <c r="C15" s="14" t="s">
        <v>26</v>
      </c>
      <c r="D15" s="12" t="s">
        <v>27</v>
      </c>
      <c r="E15" s="13">
        <v>2337</v>
      </c>
      <c r="F15" s="15">
        <f>E15*0.6</f>
        <v>1402.2</v>
      </c>
      <c r="G15" s="15">
        <f>F15*H15</f>
        <v>4206.6000000000004</v>
      </c>
      <c r="H15" s="16">
        <v>3</v>
      </c>
      <c r="I15" s="17" t="s">
        <v>17</v>
      </c>
      <c r="J15" s="13" t="s">
        <v>22</v>
      </c>
      <c r="K15" s="12" t="str">
        <f t="shared" si="5"/>
        <v>B01, B02, B03</v>
      </c>
    </row>
    <row r="16" spans="1:11" ht="21" customHeight="1" x14ac:dyDescent="0.25">
      <c r="A16" s="12" t="str">
        <f t="shared" si="4"/>
        <v>РПВ (B01, B02, B03)</v>
      </c>
      <c r="B16" s="13" t="s">
        <v>23</v>
      </c>
      <c r="C16" s="14" t="s">
        <v>28</v>
      </c>
      <c r="D16" s="12" t="s">
        <v>29</v>
      </c>
      <c r="E16" s="13">
        <v>1389</v>
      </c>
      <c r="F16" s="15">
        <f>E16*0.6</f>
        <v>833.4</v>
      </c>
      <c r="G16" s="15">
        <f>F16*H16</f>
        <v>4167</v>
      </c>
      <c r="H16" s="16">
        <v>5</v>
      </c>
      <c r="I16" s="17" t="s">
        <v>17</v>
      </c>
      <c r="J16" s="13" t="s">
        <v>22</v>
      </c>
      <c r="K16" s="12" t="str">
        <f t="shared" si="5"/>
        <v>B01, B02, B03</v>
      </c>
    </row>
    <row r="17" spans="1:11" ht="24" customHeight="1" x14ac:dyDescent="0.25">
      <c r="A17" s="12" t="str">
        <f t="shared" si="4"/>
        <v>РПВ (B01, B02, B03)</v>
      </c>
      <c r="B17" s="12" t="s">
        <v>33</v>
      </c>
      <c r="C17" s="18" t="s">
        <v>33</v>
      </c>
      <c r="D17" s="12" t="s">
        <v>33</v>
      </c>
      <c r="E17" s="12">
        <f ca="1">OFFSET(E17,1,2)</f>
        <v>0</v>
      </c>
      <c r="F17" s="15">
        <f ca="1">E17</f>
        <v>0</v>
      </c>
      <c r="G17" s="15">
        <f ca="1">F17*H17</f>
        <v>0</v>
      </c>
      <c r="H17" s="12"/>
      <c r="I17" s="12" t="s">
        <v>17</v>
      </c>
      <c r="J17" s="12" t="s">
        <v>33</v>
      </c>
      <c r="K17" s="12" t="str">
        <f t="shared" si="5"/>
        <v>B01, B02, B03</v>
      </c>
    </row>
    <row r="18" spans="1:11" ht="21" customHeight="1" x14ac:dyDescent="0.25">
      <c r="A18" s="12" t="str">
        <f t="shared" si="4"/>
        <v>РПВ (B01, B02, B03)</v>
      </c>
      <c r="B18" s="12" t="s">
        <v>34</v>
      </c>
      <c r="C18" s="18" t="s">
        <v>34</v>
      </c>
      <c r="D18" s="12" t="s">
        <v>34</v>
      </c>
      <c r="E18" s="12"/>
      <c r="F18" s="15">
        <v>100</v>
      </c>
      <c r="G18" s="15">
        <f>60*E18*F18</f>
        <v>0</v>
      </c>
      <c r="H18" s="12">
        <f>60*E18</f>
        <v>0</v>
      </c>
      <c r="I18" s="12" t="s">
        <v>17</v>
      </c>
      <c r="J18" s="12" t="s">
        <v>34</v>
      </c>
      <c r="K18" s="12" t="str">
        <f t="shared" si="5"/>
        <v>B01, B02, B03</v>
      </c>
    </row>
    <row r="19" spans="1:11" ht="30" customHeight="1" x14ac:dyDescent="0.25">
      <c r="A19" s="12" t="str">
        <f t="shared" si="4"/>
        <v>РПВ (B01, B02, B03)</v>
      </c>
      <c r="B19" s="19"/>
      <c r="C19" s="20"/>
      <c r="D19" s="21"/>
      <c r="E19" s="23"/>
      <c r="F19" s="25"/>
      <c r="G19" s="24">
        <f ca="1">SUM(G13:G18)</f>
        <v>23799.599999999999</v>
      </c>
      <c r="H19" s="20"/>
      <c r="I19" s="22"/>
      <c r="J19" s="20"/>
      <c r="K19" s="12" t="str">
        <f t="shared" si="5"/>
        <v>B01, B02, B03</v>
      </c>
    </row>
    <row r="20" spans="1:11" ht="39.75" customHeight="1" x14ac:dyDescent="0.25">
      <c r="A20" s="5" t="str">
        <f>D20</f>
        <v> ЯВЗ-31-IP54 УХЛ2 100А</v>
      </c>
      <c r="B20" s="6"/>
      <c r="C20" s="7"/>
      <c r="D20" s="6" t="s">
        <v>38</v>
      </c>
      <c r="E20" s="8"/>
      <c r="F20" s="8"/>
      <c r="G20" s="9"/>
      <c r="H20" s="10">
        <v>1</v>
      </c>
      <c r="I20" s="11" t="s">
        <v>11</v>
      </c>
      <c r="J20" s="6" t="s">
        <v>12</v>
      </c>
      <c r="K20" s="5" t="s">
        <v>13</v>
      </c>
    </row>
    <row r="21" spans="1:11" ht="21" customHeight="1" x14ac:dyDescent="0.25">
      <c r="A21" s="12" t="str">
        <f>A20</f>
        <v> ЯВЗ-31-IP54 УХЛ2 100А</v>
      </c>
      <c r="B21" s="13" t="s">
        <v>14</v>
      </c>
      <c r="C21" s="14" t="s">
        <v>39</v>
      </c>
      <c r="D21" s="12" t="s">
        <v>40</v>
      </c>
      <c r="E21" s="13"/>
      <c r="F21" s="15">
        <f>E21*0.6</f>
        <v>0</v>
      </c>
      <c r="G21" s="15">
        <f>H21*F21</f>
        <v>0</v>
      </c>
      <c r="H21" s="16">
        <v>1</v>
      </c>
      <c r="I21" s="17" t="s">
        <v>17</v>
      </c>
      <c r="J21" s="13" t="s">
        <v>18</v>
      </c>
      <c r="K21" s="12" t="str">
        <f>K20</f>
        <v>B01, B02, B03</v>
      </c>
    </row>
    <row r="22" spans="1:11" ht="21" customHeight="1" x14ac:dyDescent="0.25">
      <c r="A22" s="12" t="str">
        <f t="shared" ref="A22:A27" si="6">A21</f>
        <v> ЯВЗ-31-IP54 УХЛ2 100А</v>
      </c>
      <c r="B22" s="13" t="s">
        <v>41</v>
      </c>
      <c r="C22" s="14" t="s">
        <v>42</v>
      </c>
      <c r="D22" s="12" t="s">
        <v>43</v>
      </c>
      <c r="E22" s="13">
        <v>1545</v>
      </c>
      <c r="F22" s="15">
        <f>E22*0.6</f>
        <v>927</v>
      </c>
      <c r="G22" s="15">
        <f>F22*H22</f>
        <v>2781</v>
      </c>
      <c r="H22" s="16">
        <v>3</v>
      </c>
      <c r="I22" s="17" t="s">
        <v>17</v>
      </c>
      <c r="J22" s="13" t="s">
        <v>22</v>
      </c>
      <c r="K22" s="12" t="str">
        <f t="shared" ref="K22:K27" si="7">K21</f>
        <v>B01, B02, B03</v>
      </c>
    </row>
    <row r="23" spans="1:11" ht="21" customHeight="1" x14ac:dyDescent="0.25">
      <c r="A23" s="12" t="str">
        <f t="shared" si="6"/>
        <v> ЯВЗ-31-IP54 УХЛ2 100А</v>
      </c>
      <c r="B23" s="13" t="s">
        <v>41</v>
      </c>
      <c r="C23" s="14" t="s">
        <v>44</v>
      </c>
      <c r="D23" s="12" t="s">
        <v>45</v>
      </c>
      <c r="E23" s="13">
        <v>2038</v>
      </c>
      <c r="F23" s="15">
        <f>E23*0.6</f>
        <v>1222.8</v>
      </c>
      <c r="G23" s="15">
        <f>F23*H23</f>
        <v>3668.3999999999996</v>
      </c>
      <c r="H23" s="16">
        <v>3</v>
      </c>
      <c r="I23" s="17" t="s">
        <v>17</v>
      </c>
      <c r="J23" s="13" t="s">
        <v>22</v>
      </c>
      <c r="K23" s="12" t="str">
        <f t="shared" si="7"/>
        <v>B01, B02, B03</v>
      </c>
    </row>
    <row r="24" spans="1:11" ht="21" customHeight="1" x14ac:dyDescent="0.25">
      <c r="A24" s="12" t="str">
        <f t="shared" si="6"/>
        <v> ЯВЗ-31-IP54 УХЛ2 100А</v>
      </c>
      <c r="B24" s="13" t="s">
        <v>46</v>
      </c>
      <c r="C24" s="14" t="s">
        <v>47</v>
      </c>
      <c r="D24" s="12" t="s">
        <v>48</v>
      </c>
      <c r="E24" s="13">
        <v>6835</v>
      </c>
      <c r="F24" s="15">
        <f>E24</f>
        <v>6835</v>
      </c>
      <c r="G24" s="15">
        <f>F24*H24</f>
        <v>6835</v>
      </c>
      <c r="H24" s="16">
        <v>1</v>
      </c>
      <c r="I24" s="17" t="s">
        <v>17</v>
      </c>
      <c r="J24" s="13" t="s">
        <v>49</v>
      </c>
      <c r="K24" s="12" t="str">
        <f t="shared" si="7"/>
        <v>B01, B02, B03</v>
      </c>
    </row>
    <row r="25" spans="1:11" ht="24" customHeight="1" x14ac:dyDescent="0.25">
      <c r="A25" s="12" t="str">
        <f t="shared" si="6"/>
        <v> ЯВЗ-31-IP54 УХЛ2 100А</v>
      </c>
      <c r="B25" s="12" t="s">
        <v>33</v>
      </c>
      <c r="C25" s="18" t="s">
        <v>33</v>
      </c>
      <c r="D25" s="12" t="s">
        <v>33</v>
      </c>
      <c r="E25" s="12">
        <f ca="1">OFFSET(E25,1,2)</f>
        <v>0</v>
      </c>
      <c r="F25" s="15">
        <f ca="1">E25</f>
        <v>0</v>
      </c>
      <c r="G25" s="15">
        <f ca="1">F25*H25</f>
        <v>0</v>
      </c>
      <c r="H25" s="12"/>
      <c r="I25" s="12" t="s">
        <v>17</v>
      </c>
      <c r="J25" s="12" t="s">
        <v>33</v>
      </c>
      <c r="K25" s="12" t="str">
        <f t="shared" si="7"/>
        <v>B01, B02, B03</v>
      </c>
    </row>
    <row r="26" spans="1:11" ht="21" customHeight="1" x14ac:dyDescent="0.25">
      <c r="A26" s="12" t="str">
        <f t="shared" si="6"/>
        <v> ЯВЗ-31-IP54 УХЛ2 100А</v>
      </c>
      <c r="B26" s="12" t="s">
        <v>34</v>
      </c>
      <c r="C26" s="18" t="s">
        <v>34</v>
      </c>
      <c r="D26" s="12" t="s">
        <v>34</v>
      </c>
      <c r="E26" s="12"/>
      <c r="F26" s="15">
        <v>100</v>
      </c>
      <c r="G26" s="15">
        <f>60*E26*F26</f>
        <v>0</v>
      </c>
      <c r="H26" s="12">
        <f>60*E26</f>
        <v>0</v>
      </c>
      <c r="I26" s="12" t="s">
        <v>17</v>
      </c>
      <c r="J26" s="12" t="s">
        <v>34</v>
      </c>
      <c r="K26" s="12" t="str">
        <f t="shared" si="7"/>
        <v>B01, B02, B03</v>
      </c>
    </row>
    <row r="27" spans="1:11" ht="30" customHeight="1" x14ac:dyDescent="0.25">
      <c r="A27" s="12" t="str">
        <f t="shared" si="6"/>
        <v> ЯВЗ-31-IP54 УХЛ2 100А</v>
      </c>
      <c r="B27" s="19"/>
      <c r="C27" s="20"/>
      <c r="D27" s="21"/>
      <c r="E27" s="23"/>
      <c r="F27" s="25"/>
      <c r="G27" s="24">
        <f ca="1">SUM(G21:G26)</f>
        <v>13284.4</v>
      </c>
      <c r="H27" s="20"/>
      <c r="I27" s="22"/>
      <c r="J27" s="20"/>
      <c r="K27" s="12" t="str">
        <f t="shared" si="7"/>
        <v>B01, B02, B03</v>
      </c>
    </row>
    <row r="28" spans="1:11" ht="39.75" customHeight="1" x14ac:dyDescent="0.25">
      <c r="A28" s="5" t="str">
        <f>D28</f>
        <v>ЯТП-0,25-220/36 036УХЛ4</v>
      </c>
      <c r="B28" s="6"/>
      <c r="C28" s="7"/>
      <c r="D28" s="6" t="s">
        <v>50</v>
      </c>
      <c r="E28" s="8"/>
      <c r="F28" s="8"/>
      <c r="G28" s="9"/>
      <c r="H28" s="10">
        <v>1</v>
      </c>
      <c r="I28" s="11" t="s">
        <v>11</v>
      </c>
      <c r="J28" s="6" t="s">
        <v>12</v>
      </c>
      <c r="K28" s="5" t="s">
        <v>13</v>
      </c>
    </row>
    <row r="29" spans="1:11" ht="39.75" customHeight="1" x14ac:dyDescent="0.25">
      <c r="A29" s="5" t="str">
        <f>D29</f>
        <v>ГРЩ (В08)</v>
      </c>
      <c r="B29" s="6"/>
      <c r="C29" s="7"/>
      <c r="D29" s="6" t="s">
        <v>51</v>
      </c>
      <c r="E29" s="8"/>
      <c r="F29" s="8"/>
      <c r="G29" s="9"/>
      <c r="H29" s="10">
        <v>1</v>
      </c>
      <c r="I29" s="11" t="s">
        <v>11</v>
      </c>
      <c r="J29" s="6" t="s">
        <v>12</v>
      </c>
      <c r="K29" s="5" t="s">
        <v>52</v>
      </c>
    </row>
    <row r="30" spans="1:11" ht="21" customHeight="1" x14ac:dyDescent="0.25">
      <c r="A30" s="12" t="str">
        <f>A29</f>
        <v>ГРЩ (В08)</v>
      </c>
      <c r="B30" s="13" t="s">
        <v>14</v>
      </c>
      <c r="C30" s="14" t="s">
        <v>15</v>
      </c>
      <c r="D30" s="12" t="s">
        <v>16</v>
      </c>
      <c r="E30" s="13">
        <v>13410</v>
      </c>
      <c r="F30" s="15">
        <f t="shared" ref="F30:F36" si="8">E30*0.6</f>
        <v>8046</v>
      </c>
      <c r="G30" s="15">
        <f>H30*F30</f>
        <v>8046</v>
      </c>
      <c r="H30" s="16">
        <v>1</v>
      </c>
      <c r="I30" s="17" t="s">
        <v>17</v>
      </c>
      <c r="J30" s="13" t="s">
        <v>18</v>
      </c>
      <c r="K30" s="12" t="str">
        <f>K29</f>
        <v>B08</v>
      </c>
    </row>
    <row r="31" spans="1:11" ht="21" customHeight="1" x14ac:dyDescent="0.25">
      <c r="A31" s="12" t="str">
        <f t="shared" ref="A31:A39" si="9">A30</f>
        <v>ГРЩ (В08)</v>
      </c>
      <c r="B31" s="13" t="s">
        <v>23</v>
      </c>
      <c r="C31" s="14" t="s">
        <v>53</v>
      </c>
      <c r="D31" s="12" t="s">
        <v>54</v>
      </c>
      <c r="E31" s="13">
        <v>10949</v>
      </c>
      <c r="F31" s="15">
        <f t="shared" si="8"/>
        <v>6569.4</v>
      </c>
      <c r="G31" s="15">
        <f t="shared" ref="G31:G37" si="10">F31*H31</f>
        <v>6569.4</v>
      </c>
      <c r="H31" s="16">
        <v>1</v>
      </c>
      <c r="I31" s="17" t="s">
        <v>17</v>
      </c>
      <c r="J31" s="13" t="s">
        <v>22</v>
      </c>
      <c r="K31" s="12" t="str">
        <f t="shared" ref="K31:K39" si="11">K30</f>
        <v>B08</v>
      </c>
    </row>
    <row r="32" spans="1:11" ht="21" customHeight="1" x14ac:dyDescent="0.25">
      <c r="A32" s="12" t="str">
        <f t="shared" si="9"/>
        <v>ГРЩ (В08)</v>
      </c>
      <c r="B32" s="13" t="s">
        <v>23</v>
      </c>
      <c r="C32" s="14" t="s">
        <v>55</v>
      </c>
      <c r="D32" s="12" t="s">
        <v>56</v>
      </c>
      <c r="E32" s="13">
        <v>3172</v>
      </c>
      <c r="F32" s="15">
        <f t="shared" si="8"/>
        <v>1903.1999999999998</v>
      </c>
      <c r="G32" s="15">
        <f t="shared" si="10"/>
        <v>1903.1999999999998</v>
      </c>
      <c r="H32" s="16">
        <v>1</v>
      </c>
      <c r="I32" s="17" t="s">
        <v>17</v>
      </c>
      <c r="J32" s="13" t="s">
        <v>22</v>
      </c>
      <c r="K32" s="12" t="str">
        <f t="shared" si="11"/>
        <v>B08</v>
      </c>
    </row>
    <row r="33" spans="1:11" ht="21" customHeight="1" x14ac:dyDescent="0.25">
      <c r="A33" s="12" t="str">
        <f t="shared" si="9"/>
        <v>ГРЩ (В08)</v>
      </c>
      <c r="B33" s="13" t="s">
        <v>23</v>
      </c>
      <c r="C33" s="14" t="s">
        <v>57</v>
      </c>
      <c r="D33" s="12" t="s">
        <v>58</v>
      </c>
      <c r="E33" s="13">
        <v>2429</v>
      </c>
      <c r="F33" s="15">
        <f t="shared" si="8"/>
        <v>1457.3999999999999</v>
      </c>
      <c r="G33" s="15">
        <f t="shared" si="10"/>
        <v>1457.3999999999999</v>
      </c>
      <c r="H33" s="16">
        <v>1</v>
      </c>
      <c r="I33" s="17" t="s">
        <v>17</v>
      </c>
      <c r="J33" s="13" t="s">
        <v>22</v>
      </c>
      <c r="K33" s="12" t="str">
        <f t="shared" si="11"/>
        <v>B08</v>
      </c>
    </row>
    <row r="34" spans="1:11" ht="21" customHeight="1" x14ac:dyDescent="0.25">
      <c r="A34" s="12" t="str">
        <f t="shared" si="9"/>
        <v>ГРЩ (В08)</v>
      </c>
      <c r="B34" s="13" t="s">
        <v>23</v>
      </c>
      <c r="C34" s="14" t="s">
        <v>26</v>
      </c>
      <c r="D34" s="12" t="s">
        <v>27</v>
      </c>
      <c r="E34" s="13">
        <v>2337</v>
      </c>
      <c r="F34" s="15">
        <f t="shared" si="8"/>
        <v>1402.2</v>
      </c>
      <c r="G34" s="15">
        <f t="shared" si="10"/>
        <v>1402.2</v>
      </c>
      <c r="H34" s="16">
        <v>1</v>
      </c>
      <c r="I34" s="17" t="s">
        <v>17</v>
      </c>
      <c r="J34" s="13" t="s">
        <v>22</v>
      </c>
      <c r="K34" s="12" t="str">
        <f t="shared" si="11"/>
        <v>B08</v>
      </c>
    </row>
    <row r="35" spans="1:11" ht="21" customHeight="1" x14ac:dyDescent="0.25">
      <c r="A35" s="12" t="str">
        <f t="shared" si="9"/>
        <v>ГРЩ (В08)</v>
      </c>
      <c r="B35" s="13" t="s">
        <v>23</v>
      </c>
      <c r="C35" s="14" t="s">
        <v>28</v>
      </c>
      <c r="D35" s="12" t="s">
        <v>29</v>
      </c>
      <c r="E35" s="13">
        <v>1389</v>
      </c>
      <c r="F35" s="15">
        <f t="shared" si="8"/>
        <v>833.4</v>
      </c>
      <c r="G35" s="15">
        <f t="shared" si="10"/>
        <v>4167</v>
      </c>
      <c r="H35" s="16">
        <v>5</v>
      </c>
      <c r="I35" s="17" t="s">
        <v>17</v>
      </c>
      <c r="J35" s="13" t="s">
        <v>22</v>
      </c>
      <c r="K35" s="12" t="str">
        <f t="shared" si="11"/>
        <v>B08</v>
      </c>
    </row>
    <row r="36" spans="1:11" ht="21" customHeight="1" x14ac:dyDescent="0.25">
      <c r="A36" s="12" t="str">
        <f t="shared" si="9"/>
        <v>ГРЩ (В08)</v>
      </c>
      <c r="B36" s="13" t="s">
        <v>30</v>
      </c>
      <c r="C36" s="14" t="s">
        <v>59</v>
      </c>
      <c r="D36" s="12" t="s">
        <v>60</v>
      </c>
      <c r="E36" s="13">
        <v>5354</v>
      </c>
      <c r="F36" s="15">
        <f t="shared" si="8"/>
        <v>3212.4</v>
      </c>
      <c r="G36" s="15">
        <f t="shared" si="10"/>
        <v>3212.4</v>
      </c>
      <c r="H36" s="16">
        <v>1</v>
      </c>
      <c r="I36" s="17" t="s">
        <v>17</v>
      </c>
      <c r="J36" s="13" t="s">
        <v>22</v>
      </c>
      <c r="K36" s="12" t="str">
        <f t="shared" si="11"/>
        <v>B08</v>
      </c>
    </row>
    <row r="37" spans="1:11" ht="24" customHeight="1" x14ac:dyDescent="0.25">
      <c r="A37" s="12" t="str">
        <f t="shared" si="9"/>
        <v>ГРЩ (В08)</v>
      </c>
      <c r="B37" s="12" t="s">
        <v>33</v>
      </c>
      <c r="C37" s="18" t="s">
        <v>33</v>
      </c>
      <c r="D37" s="12" t="s">
        <v>33</v>
      </c>
      <c r="E37" s="12">
        <f ca="1">OFFSET(E37,1,2)</f>
        <v>0</v>
      </c>
      <c r="F37" s="15">
        <f ca="1">E37</f>
        <v>0</v>
      </c>
      <c r="G37" s="15">
        <f t="shared" ca="1" si="10"/>
        <v>0</v>
      </c>
      <c r="H37" s="12"/>
      <c r="I37" s="12" t="s">
        <v>17</v>
      </c>
      <c r="J37" s="12" t="s">
        <v>33</v>
      </c>
      <c r="K37" s="12" t="str">
        <f t="shared" si="11"/>
        <v>B08</v>
      </c>
    </row>
    <row r="38" spans="1:11" ht="21" customHeight="1" x14ac:dyDescent="0.25">
      <c r="A38" s="12" t="str">
        <f t="shared" si="9"/>
        <v>ГРЩ (В08)</v>
      </c>
      <c r="B38" s="12" t="s">
        <v>34</v>
      </c>
      <c r="C38" s="18" t="s">
        <v>34</v>
      </c>
      <c r="D38" s="12" t="s">
        <v>34</v>
      </c>
      <c r="E38" s="12"/>
      <c r="F38" s="15">
        <v>100</v>
      </c>
      <c r="G38" s="15">
        <f>60*E38*F38</f>
        <v>0</v>
      </c>
      <c r="H38" s="12">
        <f>60*E38</f>
        <v>0</v>
      </c>
      <c r="I38" s="12" t="s">
        <v>17</v>
      </c>
      <c r="J38" s="12" t="s">
        <v>34</v>
      </c>
      <c r="K38" s="12" t="str">
        <f t="shared" si="11"/>
        <v>B08</v>
      </c>
    </row>
    <row r="39" spans="1:11" ht="30" customHeight="1" x14ac:dyDescent="0.25">
      <c r="A39" s="12" t="str">
        <f t="shared" si="9"/>
        <v>ГРЩ (В08)</v>
      </c>
      <c r="B39" s="19"/>
      <c r="C39" s="20"/>
      <c r="D39" s="21"/>
      <c r="E39" s="23"/>
      <c r="F39" s="25"/>
      <c r="G39" s="24">
        <f ca="1">SUM(G30:G38)</f>
        <v>26757.600000000002</v>
      </c>
      <c r="H39" s="20"/>
      <c r="I39" s="22"/>
      <c r="J39" s="20"/>
      <c r="K39" s="12" t="str">
        <f t="shared" si="11"/>
        <v>B08</v>
      </c>
    </row>
    <row r="40" spans="1:11" ht="39.75" customHeight="1" x14ac:dyDescent="0.25">
      <c r="A40" s="5" t="str">
        <f>D40</f>
        <v>РПВ (В08)</v>
      </c>
      <c r="B40" s="6"/>
      <c r="C40" s="7"/>
      <c r="D40" s="6" t="s">
        <v>61</v>
      </c>
      <c r="E40" s="8"/>
      <c r="F40" s="8"/>
      <c r="G40" s="9"/>
      <c r="H40" s="10">
        <v>1</v>
      </c>
      <c r="I40" s="11" t="s">
        <v>11</v>
      </c>
      <c r="J40" s="6" t="s">
        <v>12</v>
      </c>
      <c r="K40" s="5" t="s">
        <v>52</v>
      </c>
    </row>
    <row r="41" spans="1:11" ht="21" customHeight="1" x14ac:dyDescent="0.25">
      <c r="A41" s="12" t="str">
        <f>A40</f>
        <v>РПВ (В08)</v>
      </c>
      <c r="B41" s="13" t="s">
        <v>14</v>
      </c>
      <c r="C41" s="14" t="s">
        <v>62</v>
      </c>
      <c r="D41" s="12" t="s">
        <v>63</v>
      </c>
      <c r="E41" s="13">
        <v>15210</v>
      </c>
      <c r="F41" s="15">
        <f>E41*0.6</f>
        <v>9126</v>
      </c>
      <c r="G41" s="15">
        <f>H41*F41</f>
        <v>9126</v>
      </c>
      <c r="H41" s="16">
        <v>1</v>
      </c>
      <c r="I41" s="17" t="s">
        <v>17</v>
      </c>
      <c r="J41" s="13" t="s">
        <v>18</v>
      </c>
      <c r="K41" s="12" t="str">
        <f>K40</f>
        <v>B08</v>
      </c>
    </row>
    <row r="42" spans="1:11" ht="21" customHeight="1" x14ac:dyDescent="0.25">
      <c r="A42" s="12" t="str">
        <f t="shared" ref="A42:A48" si="12">A41</f>
        <v>РПВ (В08)</v>
      </c>
      <c r="B42" s="13" t="s">
        <v>64</v>
      </c>
      <c r="C42" s="14" t="s">
        <v>65</v>
      </c>
      <c r="D42" s="12" t="s">
        <v>66</v>
      </c>
      <c r="E42" s="13">
        <v>5214</v>
      </c>
      <c r="F42" s="15">
        <f>E42*0.6</f>
        <v>3128.4</v>
      </c>
      <c r="G42" s="15">
        <f>F42*H42</f>
        <v>25027.200000000001</v>
      </c>
      <c r="H42" s="16">
        <v>8</v>
      </c>
      <c r="I42" s="17" t="s">
        <v>17</v>
      </c>
      <c r="J42" s="13" t="s">
        <v>22</v>
      </c>
      <c r="K42" s="12" t="str">
        <f t="shared" ref="K42:K48" si="13">K41</f>
        <v>B08</v>
      </c>
    </row>
    <row r="43" spans="1:11" ht="21" customHeight="1" x14ac:dyDescent="0.25">
      <c r="A43" s="12" t="str">
        <f>A42</f>
        <v>РПВ (В08)</v>
      </c>
      <c r="B43" s="13" t="s">
        <v>67</v>
      </c>
      <c r="C43" s="14" t="s">
        <v>68</v>
      </c>
      <c r="D43" s="12" t="s">
        <v>69</v>
      </c>
      <c r="E43" s="13">
        <v>4315</v>
      </c>
      <c r="F43" s="15">
        <f>E43*0.6</f>
        <v>2589</v>
      </c>
      <c r="G43" s="15">
        <f>F43*H43</f>
        <v>20712</v>
      </c>
      <c r="H43" s="16">
        <v>8</v>
      </c>
      <c r="I43" s="17" t="s">
        <v>17</v>
      </c>
      <c r="J43" s="13" t="s">
        <v>22</v>
      </c>
      <c r="K43" s="12" t="str">
        <f>K42</f>
        <v>B08</v>
      </c>
    </row>
    <row r="44" spans="1:11" ht="21" customHeight="1" x14ac:dyDescent="0.25">
      <c r="A44" s="12" t="str">
        <f>A42</f>
        <v>РПВ (В08)</v>
      </c>
      <c r="B44" s="13" t="s">
        <v>23</v>
      </c>
      <c r="C44" s="14" t="s">
        <v>26</v>
      </c>
      <c r="D44" s="12" t="s">
        <v>27</v>
      </c>
      <c r="E44" s="13">
        <v>2337</v>
      </c>
      <c r="F44" s="15">
        <f>E44*0.6</f>
        <v>1402.2</v>
      </c>
      <c r="G44" s="15">
        <f>F44*H44</f>
        <v>15424.2</v>
      </c>
      <c r="H44" s="16">
        <v>11</v>
      </c>
      <c r="I44" s="17" t="s">
        <v>17</v>
      </c>
      <c r="J44" s="13" t="s">
        <v>22</v>
      </c>
      <c r="K44" s="12" t="str">
        <f>K42</f>
        <v>B08</v>
      </c>
    </row>
    <row r="45" spans="1:11" ht="21" customHeight="1" x14ac:dyDescent="0.25">
      <c r="A45" s="12" t="str">
        <f t="shared" si="12"/>
        <v>РПВ (В08)</v>
      </c>
      <c r="B45" s="13" t="s">
        <v>23</v>
      </c>
      <c r="C45" s="14" t="s">
        <v>28</v>
      </c>
      <c r="D45" s="12" t="s">
        <v>29</v>
      </c>
      <c r="E45" s="13">
        <v>1389</v>
      </c>
      <c r="F45" s="15">
        <f>E45*0.6</f>
        <v>833.4</v>
      </c>
      <c r="G45" s="15">
        <f>F45*H45</f>
        <v>4167</v>
      </c>
      <c r="H45" s="16">
        <v>5</v>
      </c>
      <c r="I45" s="17" t="s">
        <v>17</v>
      </c>
      <c r="J45" s="13" t="s">
        <v>22</v>
      </c>
      <c r="K45" s="12" t="str">
        <f t="shared" si="13"/>
        <v>B08</v>
      </c>
    </row>
    <row r="46" spans="1:11" ht="24" customHeight="1" x14ac:dyDescent="0.25">
      <c r="A46" s="12" t="str">
        <f t="shared" si="12"/>
        <v>РПВ (В08)</v>
      </c>
      <c r="B46" s="12" t="s">
        <v>33</v>
      </c>
      <c r="C46" s="18" t="s">
        <v>33</v>
      </c>
      <c r="D46" s="12" t="s">
        <v>33</v>
      </c>
      <c r="E46" s="12">
        <f ca="1">OFFSET(E46,1,2)</f>
        <v>0</v>
      </c>
      <c r="F46" s="15">
        <f ca="1">E46</f>
        <v>0</v>
      </c>
      <c r="G46" s="15">
        <f ca="1">F46*H46</f>
        <v>0</v>
      </c>
      <c r="H46" s="12"/>
      <c r="I46" s="12" t="s">
        <v>17</v>
      </c>
      <c r="J46" s="12" t="s">
        <v>33</v>
      </c>
      <c r="K46" s="12" t="str">
        <f t="shared" si="13"/>
        <v>B08</v>
      </c>
    </row>
    <row r="47" spans="1:11" ht="21" customHeight="1" x14ac:dyDescent="0.25">
      <c r="A47" s="12" t="str">
        <f t="shared" si="12"/>
        <v>РПВ (В08)</v>
      </c>
      <c r="B47" s="12" t="s">
        <v>34</v>
      </c>
      <c r="C47" s="18" t="s">
        <v>34</v>
      </c>
      <c r="D47" s="12" t="s">
        <v>34</v>
      </c>
      <c r="E47" s="12"/>
      <c r="F47" s="15">
        <v>100</v>
      </c>
      <c r="G47" s="15">
        <f>60*E47*F47</f>
        <v>0</v>
      </c>
      <c r="H47" s="12">
        <f>60*E47</f>
        <v>0</v>
      </c>
      <c r="I47" s="12" t="s">
        <v>17</v>
      </c>
      <c r="J47" s="12" t="s">
        <v>34</v>
      </c>
      <c r="K47" s="12" t="str">
        <f t="shared" si="13"/>
        <v>B08</v>
      </c>
    </row>
    <row r="48" spans="1:11" ht="30" customHeight="1" x14ac:dyDescent="0.25">
      <c r="A48" s="12" t="str">
        <f t="shared" si="12"/>
        <v>РПВ (В08)</v>
      </c>
      <c r="B48" s="19"/>
      <c r="C48" s="20"/>
      <c r="D48" s="21"/>
      <c r="E48" s="23"/>
      <c r="F48" s="25"/>
      <c r="G48" s="24">
        <f ca="1">SUM(G41:G47)</f>
        <v>74456.399999999994</v>
      </c>
      <c r="H48" s="20"/>
      <c r="I48" s="22"/>
      <c r="J48" s="20"/>
      <c r="K48" s="12" t="str">
        <f t="shared" si="13"/>
        <v>B08</v>
      </c>
    </row>
    <row r="49" spans="1:11" ht="39.75" customHeight="1" x14ac:dyDescent="0.25">
      <c r="A49" s="5" t="str">
        <f>D49</f>
        <v> ЯВЗ-31-IP54 УХЛ2 100А</v>
      </c>
      <c r="B49" s="6"/>
      <c r="C49" s="7"/>
      <c r="D49" s="6" t="s">
        <v>38</v>
      </c>
      <c r="E49" s="8"/>
      <c r="F49" s="8"/>
      <c r="G49" s="9"/>
      <c r="H49" s="10">
        <v>1</v>
      </c>
      <c r="I49" s="11" t="s">
        <v>11</v>
      </c>
      <c r="J49" s="6" t="s">
        <v>12</v>
      </c>
      <c r="K49" s="5" t="s">
        <v>52</v>
      </c>
    </row>
    <row r="50" spans="1:11" ht="21" customHeight="1" x14ac:dyDescent="0.25">
      <c r="A50" s="12" t="str">
        <f>A49</f>
        <v> ЯВЗ-31-IP54 УХЛ2 100А</v>
      </c>
      <c r="B50" s="13" t="s">
        <v>14</v>
      </c>
      <c r="C50" s="14" t="s">
        <v>39</v>
      </c>
      <c r="D50" s="12" t="s">
        <v>40</v>
      </c>
      <c r="E50" s="13"/>
      <c r="F50" s="15">
        <f>E50*0.6</f>
        <v>0</v>
      </c>
      <c r="G50" s="15">
        <f>H50*F50</f>
        <v>0</v>
      </c>
      <c r="H50" s="16">
        <v>1</v>
      </c>
      <c r="I50" s="17" t="s">
        <v>17</v>
      </c>
      <c r="J50" s="13" t="s">
        <v>18</v>
      </c>
      <c r="K50" s="12" t="str">
        <f>K49</f>
        <v>B08</v>
      </c>
    </row>
    <row r="51" spans="1:11" ht="21" customHeight="1" x14ac:dyDescent="0.25">
      <c r="A51" s="12" t="str">
        <f t="shared" ref="A51:A56" si="14">A50</f>
        <v> ЯВЗ-31-IP54 УХЛ2 100А</v>
      </c>
      <c r="B51" s="13" t="s">
        <v>41</v>
      </c>
      <c r="C51" s="14" t="s">
        <v>42</v>
      </c>
      <c r="D51" s="12" t="s">
        <v>43</v>
      </c>
      <c r="E51" s="13">
        <v>1545</v>
      </c>
      <c r="F51" s="15">
        <f>E51*0.6</f>
        <v>927</v>
      </c>
      <c r="G51" s="15">
        <f>F51*H51</f>
        <v>2781</v>
      </c>
      <c r="H51" s="16">
        <v>3</v>
      </c>
      <c r="I51" s="17" t="s">
        <v>17</v>
      </c>
      <c r="J51" s="13" t="s">
        <v>22</v>
      </c>
      <c r="K51" s="12" t="str">
        <f t="shared" ref="K51:K56" si="15">K50</f>
        <v>B08</v>
      </c>
    </row>
    <row r="52" spans="1:11" ht="21" customHeight="1" x14ac:dyDescent="0.25">
      <c r="A52" s="12" t="str">
        <f t="shared" si="14"/>
        <v> ЯВЗ-31-IP54 УХЛ2 100А</v>
      </c>
      <c r="B52" s="13" t="s">
        <v>41</v>
      </c>
      <c r="C52" s="14" t="s">
        <v>44</v>
      </c>
      <c r="D52" s="12" t="s">
        <v>45</v>
      </c>
      <c r="E52" s="13">
        <v>2038</v>
      </c>
      <c r="F52" s="15">
        <f>E52*0.6</f>
        <v>1222.8</v>
      </c>
      <c r="G52" s="15">
        <f>F52*H52</f>
        <v>3668.3999999999996</v>
      </c>
      <c r="H52" s="16">
        <v>3</v>
      </c>
      <c r="I52" s="17" t="s">
        <v>17</v>
      </c>
      <c r="J52" s="13" t="s">
        <v>22</v>
      </c>
      <c r="K52" s="12" t="str">
        <f t="shared" si="15"/>
        <v>B08</v>
      </c>
    </row>
    <row r="53" spans="1:11" ht="21" customHeight="1" x14ac:dyDescent="0.25">
      <c r="A53" s="12" t="str">
        <f t="shared" si="14"/>
        <v> ЯВЗ-31-IP54 УХЛ2 100А</v>
      </c>
      <c r="B53" s="13" t="s">
        <v>46</v>
      </c>
      <c r="C53" s="14" t="s">
        <v>47</v>
      </c>
      <c r="D53" s="12" t="s">
        <v>48</v>
      </c>
      <c r="E53" s="13">
        <v>6835</v>
      </c>
      <c r="F53" s="15">
        <f>E53</f>
        <v>6835</v>
      </c>
      <c r="G53" s="15">
        <f>F53*H53</f>
        <v>6835</v>
      </c>
      <c r="H53" s="16">
        <v>1</v>
      </c>
      <c r="I53" s="17" t="s">
        <v>17</v>
      </c>
      <c r="J53" s="13" t="s">
        <v>49</v>
      </c>
      <c r="K53" s="12" t="str">
        <f t="shared" si="15"/>
        <v>B08</v>
      </c>
    </row>
    <row r="54" spans="1:11" ht="24" customHeight="1" x14ac:dyDescent="0.25">
      <c r="A54" s="12" t="str">
        <f t="shared" si="14"/>
        <v> ЯВЗ-31-IP54 УХЛ2 100А</v>
      </c>
      <c r="B54" s="12" t="s">
        <v>33</v>
      </c>
      <c r="C54" s="18" t="s">
        <v>33</v>
      </c>
      <c r="D54" s="12" t="s">
        <v>33</v>
      </c>
      <c r="E54" s="12">
        <f ca="1">OFFSET(E54,1,2)</f>
        <v>0</v>
      </c>
      <c r="F54" s="15">
        <f ca="1">E54</f>
        <v>0</v>
      </c>
      <c r="G54" s="15">
        <f ca="1">F54*H54</f>
        <v>0</v>
      </c>
      <c r="H54" s="12"/>
      <c r="I54" s="12" t="s">
        <v>17</v>
      </c>
      <c r="J54" s="12" t="s">
        <v>33</v>
      </c>
      <c r="K54" s="12" t="str">
        <f t="shared" si="15"/>
        <v>B08</v>
      </c>
    </row>
    <row r="55" spans="1:11" ht="21" customHeight="1" x14ac:dyDescent="0.25">
      <c r="A55" s="12" t="str">
        <f t="shared" si="14"/>
        <v> ЯВЗ-31-IP54 УХЛ2 100А</v>
      </c>
      <c r="B55" s="12" t="s">
        <v>34</v>
      </c>
      <c r="C55" s="18" t="s">
        <v>34</v>
      </c>
      <c r="D55" s="12" t="s">
        <v>34</v>
      </c>
      <c r="E55" s="12"/>
      <c r="F55" s="15">
        <v>100</v>
      </c>
      <c r="G55" s="15">
        <f>60*E55*F55</f>
        <v>0</v>
      </c>
      <c r="H55" s="12">
        <f>60*E55</f>
        <v>0</v>
      </c>
      <c r="I55" s="12" t="s">
        <v>17</v>
      </c>
      <c r="J55" s="12" t="s">
        <v>34</v>
      </c>
      <c r="K55" s="12" t="str">
        <f t="shared" si="15"/>
        <v>B08</v>
      </c>
    </row>
    <row r="56" spans="1:11" ht="30" customHeight="1" x14ac:dyDescent="0.25">
      <c r="A56" s="12" t="str">
        <f t="shared" si="14"/>
        <v> ЯВЗ-31-IP54 УХЛ2 100А</v>
      </c>
      <c r="B56" s="19"/>
      <c r="C56" s="20"/>
      <c r="D56" s="21"/>
      <c r="E56" s="23"/>
      <c r="F56" s="25"/>
      <c r="G56" s="24">
        <f ca="1">SUM(G50:G55)</f>
        <v>13284.4</v>
      </c>
      <c r="H56" s="20"/>
      <c r="I56" s="22"/>
      <c r="J56" s="20"/>
      <c r="K56" s="12" t="str">
        <f t="shared" si="15"/>
        <v>B08</v>
      </c>
    </row>
    <row r="57" spans="1:11" ht="39.75" customHeight="1" x14ac:dyDescent="0.25">
      <c r="A57" s="5" t="str">
        <f>D57</f>
        <v>ЯТП-0,25-220/36 036УХЛ4</v>
      </c>
      <c r="B57" s="6"/>
      <c r="C57" s="7"/>
      <c r="D57" s="6" t="s">
        <v>50</v>
      </c>
      <c r="E57" s="8"/>
      <c r="F57" s="8"/>
      <c r="G57" s="9"/>
      <c r="H57" s="10">
        <v>1</v>
      </c>
      <c r="I57" s="11" t="s">
        <v>11</v>
      </c>
      <c r="J57" s="6" t="s">
        <v>12</v>
      </c>
      <c r="K57" s="5" t="s">
        <v>52</v>
      </c>
    </row>
    <row r="58" spans="1:11" ht="39.75" customHeight="1" x14ac:dyDescent="0.25">
      <c r="A58" s="5" t="str">
        <f>D58</f>
        <v>ГРЩ (В11)</v>
      </c>
      <c r="B58" s="6"/>
      <c r="C58" s="7"/>
      <c r="D58" s="6" t="s">
        <v>70</v>
      </c>
      <c r="E58" s="8"/>
      <c r="F58" s="8"/>
      <c r="G58" s="9"/>
      <c r="H58" s="10">
        <v>1</v>
      </c>
      <c r="I58" s="11" t="s">
        <v>11</v>
      </c>
      <c r="J58" s="6" t="s">
        <v>12</v>
      </c>
      <c r="K58" s="5" t="s">
        <v>71</v>
      </c>
    </row>
    <row r="59" spans="1:11" ht="21" customHeight="1" x14ac:dyDescent="0.25">
      <c r="A59" s="12" t="str">
        <f>A58</f>
        <v>ГРЩ (В11)</v>
      </c>
      <c r="B59" s="13" t="s">
        <v>14</v>
      </c>
      <c r="C59" s="14" t="s">
        <v>36</v>
      </c>
      <c r="D59" s="12" t="s">
        <v>37</v>
      </c>
      <c r="E59" s="13">
        <v>14695</v>
      </c>
      <c r="F59" s="15">
        <f t="shared" ref="F59:F64" si="16">E59*0.6</f>
        <v>8817</v>
      </c>
      <c r="G59" s="15">
        <f>H59*F59</f>
        <v>8817</v>
      </c>
      <c r="H59" s="16">
        <v>1</v>
      </c>
      <c r="I59" s="17" t="s">
        <v>17</v>
      </c>
      <c r="J59" s="13" t="s">
        <v>18</v>
      </c>
      <c r="K59" s="12" t="str">
        <f>K58</f>
        <v>B11</v>
      </c>
    </row>
    <row r="60" spans="1:11" ht="21" customHeight="1" x14ac:dyDescent="0.25">
      <c r="A60" s="12" t="str">
        <f t="shared" ref="A60:A67" si="17">A59</f>
        <v>ГРЩ (В11)</v>
      </c>
      <c r="B60" s="13" t="s">
        <v>23</v>
      </c>
      <c r="C60" s="14" t="s">
        <v>55</v>
      </c>
      <c r="D60" s="12" t="s">
        <v>56</v>
      </c>
      <c r="E60" s="13">
        <v>3172</v>
      </c>
      <c r="F60" s="15">
        <f t="shared" si="16"/>
        <v>1903.1999999999998</v>
      </c>
      <c r="G60" s="15">
        <f t="shared" ref="G60:G65" si="18">F60*H60</f>
        <v>1903.1999999999998</v>
      </c>
      <c r="H60" s="16">
        <v>1</v>
      </c>
      <c r="I60" s="17" t="s">
        <v>17</v>
      </c>
      <c r="J60" s="13" t="s">
        <v>22</v>
      </c>
      <c r="K60" s="12" t="str">
        <f t="shared" ref="K60:K67" si="19">K59</f>
        <v>B11</v>
      </c>
    </row>
    <row r="61" spans="1:11" ht="21" customHeight="1" x14ac:dyDescent="0.25">
      <c r="A61" s="12" t="str">
        <f t="shared" si="17"/>
        <v>ГРЩ (В11)</v>
      </c>
      <c r="B61" s="13" t="s">
        <v>23</v>
      </c>
      <c r="C61" s="14" t="s">
        <v>72</v>
      </c>
      <c r="D61" s="12" t="s">
        <v>73</v>
      </c>
      <c r="E61" s="13">
        <v>2807</v>
      </c>
      <c r="F61" s="15">
        <f t="shared" si="16"/>
        <v>1684.2</v>
      </c>
      <c r="G61" s="15">
        <f t="shared" si="18"/>
        <v>1684.2</v>
      </c>
      <c r="H61" s="16">
        <v>1</v>
      </c>
      <c r="I61" s="17" t="s">
        <v>17</v>
      </c>
      <c r="J61" s="13" t="s">
        <v>22</v>
      </c>
      <c r="K61" s="12" t="str">
        <f t="shared" si="19"/>
        <v>B11</v>
      </c>
    </row>
    <row r="62" spans="1:11" ht="21" customHeight="1" x14ac:dyDescent="0.25">
      <c r="A62" s="12" t="str">
        <f t="shared" si="17"/>
        <v>ГРЩ (В11)</v>
      </c>
      <c r="B62" s="13" t="s">
        <v>23</v>
      </c>
      <c r="C62" s="14" t="s">
        <v>26</v>
      </c>
      <c r="D62" s="12" t="s">
        <v>27</v>
      </c>
      <c r="E62" s="13">
        <v>2337</v>
      </c>
      <c r="F62" s="15">
        <f t="shared" si="16"/>
        <v>1402.2</v>
      </c>
      <c r="G62" s="15">
        <f t="shared" si="18"/>
        <v>1402.2</v>
      </c>
      <c r="H62" s="16">
        <v>1</v>
      </c>
      <c r="I62" s="17" t="s">
        <v>17</v>
      </c>
      <c r="J62" s="13" t="s">
        <v>22</v>
      </c>
      <c r="K62" s="12" t="str">
        <f t="shared" si="19"/>
        <v>B11</v>
      </c>
    </row>
    <row r="63" spans="1:11" ht="21" customHeight="1" x14ac:dyDescent="0.25">
      <c r="A63" s="12" t="str">
        <f t="shared" si="17"/>
        <v>ГРЩ (В11)</v>
      </c>
      <c r="B63" s="13" t="s">
        <v>23</v>
      </c>
      <c r="C63" s="14" t="s">
        <v>28</v>
      </c>
      <c r="D63" s="12" t="s">
        <v>29</v>
      </c>
      <c r="E63" s="13">
        <v>1389</v>
      </c>
      <c r="F63" s="15">
        <f t="shared" si="16"/>
        <v>833.4</v>
      </c>
      <c r="G63" s="15">
        <f t="shared" si="18"/>
        <v>3333.6</v>
      </c>
      <c r="H63" s="16">
        <v>4</v>
      </c>
      <c r="I63" s="17" t="s">
        <v>17</v>
      </c>
      <c r="J63" s="13" t="s">
        <v>22</v>
      </c>
      <c r="K63" s="12" t="str">
        <f t="shared" si="19"/>
        <v>B11</v>
      </c>
    </row>
    <row r="64" spans="1:11" ht="21" customHeight="1" x14ac:dyDescent="0.25">
      <c r="A64" s="12" t="str">
        <f t="shared" si="17"/>
        <v>ГРЩ (В11)</v>
      </c>
      <c r="B64" s="13" t="s">
        <v>30</v>
      </c>
      <c r="C64" s="14" t="s">
        <v>59</v>
      </c>
      <c r="D64" s="12" t="s">
        <v>60</v>
      </c>
      <c r="E64" s="13">
        <v>5354</v>
      </c>
      <c r="F64" s="15">
        <f t="shared" si="16"/>
        <v>3212.4</v>
      </c>
      <c r="G64" s="15">
        <f t="shared" si="18"/>
        <v>3212.4</v>
      </c>
      <c r="H64" s="16">
        <v>1</v>
      </c>
      <c r="I64" s="17" t="s">
        <v>17</v>
      </c>
      <c r="J64" s="13" t="s">
        <v>22</v>
      </c>
      <c r="K64" s="12" t="str">
        <f t="shared" si="19"/>
        <v>B11</v>
      </c>
    </row>
    <row r="65" spans="1:11" ht="24" customHeight="1" x14ac:dyDescent="0.25">
      <c r="A65" s="12" t="str">
        <f t="shared" si="17"/>
        <v>ГРЩ (В11)</v>
      </c>
      <c r="B65" s="12" t="s">
        <v>33</v>
      </c>
      <c r="C65" s="18" t="s">
        <v>33</v>
      </c>
      <c r="D65" s="12" t="s">
        <v>33</v>
      </c>
      <c r="E65" s="12">
        <f ca="1">OFFSET(E65,1,2)</f>
        <v>0</v>
      </c>
      <c r="F65" s="15">
        <f ca="1">E65</f>
        <v>0</v>
      </c>
      <c r="G65" s="15">
        <f t="shared" ca="1" si="18"/>
        <v>0</v>
      </c>
      <c r="H65" s="12"/>
      <c r="I65" s="12" t="s">
        <v>17</v>
      </c>
      <c r="J65" s="12" t="s">
        <v>33</v>
      </c>
      <c r="K65" s="12" t="str">
        <f t="shared" si="19"/>
        <v>B11</v>
      </c>
    </row>
    <row r="66" spans="1:11" ht="21" customHeight="1" x14ac:dyDescent="0.25">
      <c r="A66" s="12" t="str">
        <f t="shared" si="17"/>
        <v>ГРЩ (В11)</v>
      </c>
      <c r="B66" s="12" t="s">
        <v>34</v>
      </c>
      <c r="C66" s="18" t="s">
        <v>34</v>
      </c>
      <c r="D66" s="12" t="s">
        <v>34</v>
      </c>
      <c r="E66" s="12"/>
      <c r="F66" s="15">
        <v>100</v>
      </c>
      <c r="G66" s="15">
        <f>60*E66*F66</f>
        <v>0</v>
      </c>
      <c r="H66" s="12">
        <f>60*E66</f>
        <v>0</v>
      </c>
      <c r="I66" s="12" t="s">
        <v>17</v>
      </c>
      <c r="J66" s="12" t="s">
        <v>34</v>
      </c>
      <c r="K66" s="12" t="str">
        <f t="shared" si="19"/>
        <v>B11</v>
      </c>
    </row>
    <row r="67" spans="1:11" ht="30" customHeight="1" x14ac:dyDescent="0.25">
      <c r="A67" s="12" t="str">
        <f t="shared" si="17"/>
        <v>ГРЩ (В11)</v>
      </c>
      <c r="B67" s="19"/>
      <c r="C67" s="20"/>
      <c r="D67" s="21"/>
      <c r="E67" s="23"/>
      <c r="F67" s="25"/>
      <c r="G67" s="24">
        <f ca="1">SUM(G59:G66)</f>
        <v>20352.600000000002</v>
      </c>
      <c r="H67" s="20"/>
      <c r="I67" s="22"/>
      <c r="J67" s="20"/>
      <c r="K67" s="12" t="str">
        <f t="shared" si="19"/>
        <v>B11</v>
      </c>
    </row>
    <row r="68" spans="1:11" ht="39.75" customHeight="1" x14ac:dyDescent="0.25">
      <c r="A68" s="5" t="str">
        <f>D68</f>
        <v>РПВ (В11)</v>
      </c>
      <c r="B68" s="6"/>
      <c r="C68" s="7"/>
      <c r="D68" s="6" t="s">
        <v>74</v>
      </c>
      <c r="E68" s="8"/>
      <c r="F68" s="8"/>
      <c r="G68" s="9"/>
      <c r="H68" s="10">
        <v>1</v>
      </c>
      <c r="I68" s="11" t="s">
        <v>11</v>
      </c>
      <c r="J68" s="6" t="s">
        <v>12</v>
      </c>
      <c r="K68" s="5" t="s">
        <v>71</v>
      </c>
    </row>
    <row r="69" spans="1:11" ht="21" customHeight="1" x14ac:dyDescent="0.25">
      <c r="A69" s="12" t="str">
        <f>A68</f>
        <v>РПВ (В11)</v>
      </c>
      <c r="B69" s="13" t="s">
        <v>14</v>
      </c>
      <c r="C69" s="14" t="s">
        <v>75</v>
      </c>
      <c r="D69" s="12" t="s">
        <v>76</v>
      </c>
      <c r="E69" s="13">
        <v>10270</v>
      </c>
      <c r="F69" s="15">
        <f t="shared" ref="F69:F74" si="20">E69*0.6</f>
        <v>6162</v>
      </c>
      <c r="G69" s="15">
        <f>H69*F69</f>
        <v>6162</v>
      </c>
      <c r="H69" s="16">
        <v>1</v>
      </c>
      <c r="I69" s="17" t="s">
        <v>17</v>
      </c>
      <c r="J69" s="13" t="s">
        <v>18</v>
      </c>
      <c r="K69" s="12" t="str">
        <f>K68</f>
        <v>B11</v>
      </c>
    </row>
    <row r="70" spans="1:11" ht="21" customHeight="1" x14ac:dyDescent="0.25">
      <c r="A70" s="12" t="str">
        <f>A69</f>
        <v>РПВ (В11)</v>
      </c>
      <c r="B70" s="13" t="s">
        <v>64</v>
      </c>
      <c r="C70" s="14" t="s">
        <v>65</v>
      </c>
      <c r="D70" s="12" t="s">
        <v>66</v>
      </c>
      <c r="E70" s="13">
        <v>5214</v>
      </c>
      <c r="F70" s="15">
        <f t="shared" si="20"/>
        <v>3128.4</v>
      </c>
      <c r="G70" s="15">
        <f t="shared" ref="G70:G75" si="21">F70*H70</f>
        <v>3128.4</v>
      </c>
      <c r="H70" s="16">
        <v>1</v>
      </c>
      <c r="I70" s="17" t="s">
        <v>17</v>
      </c>
      <c r="J70" s="13" t="s">
        <v>22</v>
      </c>
      <c r="K70" s="12" t="str">
        <f>K69</f>
        <v>B11</v>
      </c>
    </row>
    <row r="71" spans="1:11" ht="21" customHeight="1" x14ac:dyDescent="0.25">
      <c r="A71" s="12" t="str">
        <f>A70</f>
        <v>РПВ (В11)</v>
      </c>
      <c r="B71" s="13" t="s">
        <v>67</v>
      </c>
      <c r="C71" s="14" t="s">
        <v>77</v>
      </c>
      <c r="D71" s="12" t="s">
        <v>78</v>
      </c>
      <c r="E71" s="13">
        <v>4445</v>
      </c>
      <c r="F71" s="15">
        <f t="shared" si="20"/>
        <v>2667</v>
      </c>
      <c r="G71" s="15">
        <f t="shared" si="21"/>
        <v>2667</v>
      </c>
      <c r="H71" s="16">
        <v>1</v>
      </c>
      <c r="I71" s="17" t="s">
        <v>17</v>
      </c>
      <c r="J71" s="13" t="s">
        <v>22</v>
      </c>
      <c r="K71" s="12" t="str">
        <f>K70</f>
        <v>B11</v>
      </c>
    </row>
    <row r="72" spans="1:11" ht="21" customHeight="1" x14ac:dyDescent="0.25">
      <c r="A72" s="12" t="str">
        <f>A71</f>
        <v>РПВ (В11)</v>
      </c>
      <c r="B72" s="13" t="s">
        <v>23</v>
      </c>
      <c r="C72" s="14" t="s">
        <v>57</v>
      </c>
      <c r="D72" s="12" t="s">
        <v>58</v>
      </c>
      <c r="E72" s="13">
        <v>2429</v>
      </c>
      <c r="F72" s="15">
        <f t="shared" si="20"/>
        <v>1457.3999999999999</v>
      </c>
      <c r="G72" s="15">
        <f t="shared" si="21"/>
        <v>1457.3999999999999</v>
      </c>
      <c r="H72" s="16">
        <v>1</v>
      </c>
      <c r="I72" s="17" t="s">
        <v>17</v>
      </c>
      <c r="J72" s="13" t="s">
        <v>22</v>
      </c>
      <c r="K72" s="12" t="str">
        <f>K71</f>
        <v>B11</v>
      </c>
    </row>
    <row r="73" spans="1:11" ht="21" customHeight="1" x14ac:dyDescent="0.25">
      <c r="A73" s="12" t="str">
        <f>A70</f>
        <v>РПВ (В11)</v>
      </c>
      <c r="B73" s="13" t="s">
        <v>23</v>
      </c>
      <c r="C73" s="14" t="s">
        <v>26</v>
      </c>
      <c r="D73" s="12" t="s">
        <v>27</v>
      </c>
      <c r="E73" s="13">
        <v>2337</v>
      </c>
      <c r="F73" s="15">
        <f t="shared" si="20"/>
        <v>1402.2</v>
      </c>
      <c r="G73" s="15">
        <f t="shared" si="21"/>
        <v>4206.6000000000004</v>
      </c>
      <c r="H73" s="16">
        <v>3</v>
      </c>
      <c r="I73" s="17" t="s">
        <v>17</v>
      </c>
      <c r="J73" s="13" t="s">
        <v>22</v>
      </c>
      <c r="K73" s="12" t="str">
        <f>K70</f>
        <v>B11</v>
      </c>
    </row>
    <row r="74" spans="1:11" ht="21" customHeight="1" x14ac:dyDescent="0.25">
      <c r="A74" s="12" t="str">
        <f>A73</f>
        <v>РПВ (В11)</v>
      </c>
      <c r="B74" s="13" t="s">
        <v>23</v>
      </c>
      <c r="C74" s="14" t="s">
        <v>28</v>
      </c>
      <c r="D74" s="12" t="s">
        <v>29</v>
      </c>
      <c r="E74" s="13">
        <v>1389</v>
      </c>
      <c r="F74" s="15">
        <f t="shared" si="20"/>
        <v>833.4</v>
      </c>
      <c r="G74" s="15">
        <f t="shared" si="21"/>
        <v>1666.8</v>
      </c>
      <c r="H74" s="16">
        <v>2</v>
      </c>
      <c r="I74" s="17" t="s">
        <v>17</v>
      </c>
      <c r="J74" s="13" t="s">
        <v>22</v>
      </c>
      <c r="K74" s="12" t="str">
        <f>K73</f>
        <v>B11</v>
      </c>
    </row>
    <row r="75" spans="1:11" ht="24" customHeight="1" x14ac:dyDescent="0.25">
      <c r="A75" s="12" t="str">
        <f>A74</f>
        <v>РПВ (В11)</v>
      </c>
      <c r="B75" s="12" t="s">
        <v>33</v>
      </c>
      <c r="C75" s="18" t="s">
        <v>33</v>
      </c>
      <c r="D75" s="12" t="s">
        <v>33</v>
      </c>
      <c r="E75" s="12">
        <f ca="1">OFFSET(E75,1,2)</f>
        <v>0</v>
      </c>
      <c r="F75" s="15">
        <f ca="1">E75</f>
        <v>0</v>
      </c>
      <c r="G75" s="15">
        <f t="shared" ca="1" si="21"/>
        <v>0</v>
      </c>
      <c r="H75" s="12"/>
      <c r="I75" s="12" t="s">
        <v>17</v>
      </c>
      <c r="J75" s="12" t="s">
        <v>33</v>
      </c>
      <c r="K75" s="12" t="str">
        <f>K74</f>
        <v>B11</v>
      </c>
    </row>
    <row r="76" spans="1:11" ht="21" customHeight="1" x14ac:dyDescent="0.25">
      <c r="A76" s="12" t="str">
        <f>A75</f>
        <v>РПВ (В11)</v>
      </c>
      <c r="B76" s="12" t="s">
        <v>34</v>
      </c>
      <c r="C76" s="18" t="s">
        <v>34</v>
      </c>
      <c r="D76" s="12" t="s">
        <v>34</v>
      </c>
      <c r="E76" s="12"/>
      <c r="F76" s="15">
        <v>100</v>
      </c>
      <c r="G76" s="15">
        <f>60*E76*F76</f>
        <v>0</v>
      </c>
      <c r="H76" s="12">
        <f>60*E76</f>
        <v>0</v>
      </c>
      <c r="I76" s="12" t="s">
        <v>17</v>
      </c>
      <c r="J76" s="12" t="s">
        <v>34</v>
      </c>
      <c r="K76" s="12" t="str">
        <f>K75</f>
        <v>B11</v>
      </c>
    </row>
    <row r="77" spans="1:11" ht="30" customHeight="1" x14ac:dyDescent="0.25">
      <c r="A77" s="12" t="str">
        <f>A76</f>
        <v>РПВ (В11)</v>
      </c>
      <c r="B77" s="19"/>
      <c r="C77" s="20"/>
      <c r="D77" s="21"/>
      <c r="E77" s="23"/>
      <c r="F77" s="25"/>
      <c r="G77" s="24">
        <f ca="1">SUM(G69:G76)</f>
        <v>19288.2</v>
      </c>
      <c r="H77" s="20"/>
      <c r="I77" s="22"/>
      <c r="J77" s="20"/>
      <c r="K77" s="12" t="str">
        <f>K76</f>
        <v>B11</v>
      </c>
    </row>
    <row r="78" spans="1:11" ht="39.75" customHeight="1" x14ac:dyDescent="0.25">
      <c r="A78" s="5" t="str">
        <f>D78</f>
        <v> ЯВЗ-31-IP54 УХЛ2 100А</v>
      </c>
      <c r="B78" s="6"/>
      <c r="C78" s="7"/>
      <c r="D78" s="6" t="s">
        <v>38</v>
      </c>
      <c r="E78" s="8"/>
      <c r="F78" s="8"/>
      <c r="G78" s="9"/>
      <c r="H78" s="10">
        <v>1</v>
      </c>
      <c r="I78" s="11" t="s">
        <v>11</v>
      </c>
      <c r="J78" s="6" t="s">
        <v>12</v>
      </c>
      <c r="K78" s="5" t="s">
        <v>71</v>
      </c>
    </row>
    <row r="79" spans="1:11" ht="21" customHeight="1" x14ac:dyDescent="0.25">
      <c r="A79" s="12" t="str">
        <f>A78</f>
        <v> ЯВЗ-31-IP54 УХЛ2 100А</v>
      </c>
      <c r="B79" s="13" t="s">
        <v>14</v>
      </c>
      <c r="C79" s="14" t="s">
        <v>39</v>
      </c>
      <c r="D79" s="12" t="s">
        <v>40</v>
      </c>
      <c r="E79" s="13"/>
      <c r="F79" s="15">
        <f>E79*0.6</f>
        <v>0</v>
      </c>
      <c r="G79" s="15">
        <f>H79*F79</f>
        <v>0</v>
      </c>
      <c r="H79" s="16">
        <v>1</v>
      </c>
      <c r="I79" s="17" t="s">
        <v>17</v>
      </c>
      <c r="J79" s="13" t="s">
        <v>18</v>
      </c>
      <c r="K79" s="12" t="str">
        <f>K78</f>
        <v>B11</v>
      </c>
    </row>
    <row r="80" spans="1:11" ht="21" customHeight="1" x14ac:dyDescent="0.25">
      <c r="A80" s="12" t="str">
        <f t="shared" ref="A80:A85" si="22">A79</f>
        <v> ЯВЗ-31-IP54 УХЛ2 100А</v>
      </c>
      <c r="B80" s="13" t="s">
        <v>41</v>
      </c>
      <c r="C80" s="14" t="s">
        <v>42</v>
      </c>
      <c r="D80" s="12" t="s">
        <v>43</v>
      </c>
      <c r="E80" s="13">
        <v>1545</v>
      </c>
      <c r="F80" s="15">
        <f>E80*0.6</f>
        <v>927</v>
      </c>
      <c r="G80" s="15">
        <f>F80*H80</f>
        <v>2781</v>
      </c>
      <c r="H80" s="16">
        <v>3</v>
      </c>
      <c r="I80" s="17" t="s">
        <v>17</v>
      </c>
      <c r="J80" s="13" t="s">
        <v>22</v>
      </c>
      <c r="K80" s="12" t="str">
        <f t="shared" ref="K80:K85" si="23">K79</f>
        <v>B11</v>
      </c>
    </row>
    <row r="81" spans="1:11" ht="21" customHeight="1" x14ac:dyDescent="0.25">
      <c r="A81" s="12" t="str">
        <f t="shared" si="22"/>
        <v> ЯВЗ-31-IP54 УХЛ2 100А</v>
      </c>
      <c r="B81" s="13" t="s">
        <v>41</v>
      </c>
      <c r="C81" s="14" t="s">
        <v>44</v>
      </c>
      <c r="D81" s="12" t="s">
        <v>45</v>
      </c>
      <c r="E81" s="13">
        <v>2038</v>
      </c>
      <c r="F81" s="15">
        <f>E81*0.6</f>
        <v>1222.8</v>
      </c>
      <c r="G81" s="15">
        <f>F81*H81</f>
        <v>3668.3999999999996</v>
      </c>
      <c r="H81" s="16">
        <v>3</v>
      </c>
      <c r="I81" s="17" t="s">
        <v>17</v>
      </c>
      <c r="J81" s="13" t="s">
        <v>22</v>
      </c>
      <c r="K81" s="12" t="str">
        <f t="shared" si="23"/>
        <v>B11</v>
      </c>
    </row>
    <row r="82" spans="1:11" ht="21" customHeight="1" x14ac:dyDescent="0.25">
      <c r="A82" s="12" t="str">
        <f t="shared" si="22"/>
        <v> ЯВЗ-31-IP54 УХЛ2 100А</v>
      </c>
      <c r="B82" s="13" t="s">
        <v>46</v>
      </c>
      <c r="C82" s="14" t="s">
        <v>47</v>
      </c>
      <c r="D82" s="12" t="s">
        <v>48</v>
      </c>
      <c r="E82" s="13">
        <v>6835</v>
      </c>
      <c r="F82" s="15">
        <f>E82</f>
        <v>6835</v>
      </c>
      <c r="G82" s="15">
        <f>F82*H82</f>
        <v>6835</v>
      </c>
      <c r="H82" s="16">
        <v>1</v>
      </c>
      <c r="I82" s="17" t="s">
        <v>17</v>
      </c>
      <c r="J82" s="13" t="s">
        <v>49</v>
      </c>
      <c r="K82" s="12" t="str">
        <f t="shared" si="23"/>
        <v>B11</v>
      </c>
    </row>
    <row r="83" spans="1:11" ht="24" customHeight="1" x14ac:dyDescent="0.25">
      <c r="A83" s="12" t="str">
        <f t="shared" si="22"/>
        <v> ЯВЗ-31-IP54 УХЛ2 100А</v>
      </c>
      <c r="B83" s="12" t="s">
        <v>33</v>
      </c>
      <c r="C83" s="18" t="s">
        <v>33</v>
      </c>
      <c r="D83" s="12" t="s">
        <v>33</v>
      </c>
      <c r="E83" s="12">
        <f ca="1">OFFSET(E83,1,2)</f>
        <v>0</v>
      </c>
      <c r="F83" s="15">
        <f ca="1">E83</f>
        <v>0</v>
      </c>
      <c r="G83" s="15">
        <f ca="1">F83*H83</f>
        <v>0</v>
      </c>
      <c r="H83" s="12"/>
      <c r="I83" s="12" t="s">
        <v>17</v>
      </c>
      <c r="J83" s="12" t="s">
        <v>33</v>
      </c>
      <c r="K83" s="12" t="str">
        <f t="shared" si="23"/>
        <v>B11</v>
      </c>
    </row>
    <row r="84" spans="1:11" ht="21" customHeight="1" x14ac:dyDescent="0.25">
      <c r="A84" s="12" t="str">
        <f t="shared" si="22"/>
        <v> ЯВЗ-31-IP54 УХЛ2 100А</v>
      </c>
      <c r="B84" s="12" t="s">
        <v>34</v>
      </c>
      <c r="C84" s="18" t="s">
        <v>34</v>
      </c>
      <c r="D84" s="12" t="s">
        <v>34</v>
      </c>
      <c r="E84" s="12"/>
      <c r="F84" s="15">
        <v>100</v>
      </c>
      <c r="G84" s="15">
        <f>60*E84*F84</f>
        <v>0</v>
      </c>
      <c r="H84" s="12">
        <f>60*E84</f>
        <v>0</v>
      </c>
      <c r="I84" s="12" t="s">
        <v>17</v>
      </c>
      <c r="J84" s="12" t="s">
        <v>34</v>
      </c>
      <c r="K84" s="12" t="str">
        <f t="shared" si="23"/>
        <v>B11</v>
      </c>
    </row>
    <row r="85" spans="1:11" ht="30" customHeight="1" x14ac:dyDescent="0.25">
      <c r="A85" s="12" t="str">
        <f t="shared" si="22"/>
        <v> ЯВЗ-31-IP54 УХЛ2 100А</v>
      </c>
      <c r="B85" s="19"/>
      <c r="C85" s="20"/>
      <c r="D85" s="21"/>
      <c r="E85" s="23"/>
      <c r="F85" s="25"/>
      <c r="G85" s="24">
        <f ca="1">SUM(G79:G84)</f>
        <v>13284.4</v>
      </c>
      <c r="H85" s="20"/>
      <c r="I85" s="22"/>
      <c r="J85" s="20"/>
      <c r="K85" s="12" t="str">
        <f t="shared" si="23"/>
        <v>B11</v>
      </c>
    </row>
    <row r="86" spans="1:11" ht="39.75" customHeight="1" x14ac:dyDescent="0.25">
      <c r="A86" s="5" t="str">
        <f>D86</f>
        <v>ЯТП-0,25-220/36 036УХЛ4</v>
      </c>
      <c r="B86" s="6"/>
      <c r="C86" s="7"/>
      <c r="D86" s="6" t="s">
        <v>50</v>
      </c>
      <c r="E86" s="8"/>
      <c r="F86" s="8"/>
      <c r="G86" s="9"/>
      <c r="H86" s="10">
        <v>1</v>
      </c>
      <c r="I86" s="11" t="s">
        <v>11</v>
      </c>
      <c r="J86" s="6" t="s">
        <v>12</v>
      </c>
      <c r="K86" s="5" t="s">
        <v>71</v>
      </c>
    </row>
    <row r="87" spans="1:11" ht="39.75" customHeight="1" x14ac:dyDescent="0.25">
      <c r="A87" s="5" t="str">
        <f>D87</f>
        <v>ГРЩ (В14)</v>
      </c>
      <c r="B87" s="6"/>
      <c r="C87" s="7"/>
      <c r="D87" s="6" t="s">
        <v>79</v>
      </c>
      <c r="E87" s="8"/>
      <c r="F87" s="8"/>
      <c r="G87" s="9"/>
      <c r="H87" s="10">
        <v>1</v>
      </c>
      <c r="I87" s="11" t="s">
        <v>11</v>
      </c>
      <c r="J87" s="6" t="s">
        <v>12</v>
      </c>
      <c r="K87" s="5" t="s">
        <v>80</v>
      </c>
    </row>
    <row r="88" spans="1:11" ht="21" customHeight="1" x14ac:dyDescent="0.25">
      <c r="A88" s="12" t="str">
        <f>A87</f>
        <v>ГРЩ (В14)</v>
      </c>
      <c r="B88" s="13" t="s">
        <v>14</v>
      </c>
      <c r="C88" s="14" t="s">
        <v>36</v>
      </c>
      <c r="D88" s="12" t="s">
        <v>37</v>
      </c>
      <c r="E88" s="13">
        <v>14695</v>
      </c>
      <c r="F88" s="15">
        <f t="shared" ref="F88:F93" si="24">E88*0.6</f>
        <v>8817</v>
      </c>
      <c r="G88" s="15">
        <f>H88*F88</f>
        <v>8817</v>
      </c>
      <c r="H88" s="16">
        <v>1</v>
      </c>
      <c r="I88" s="17" t="s">
        <v>17</v>
      </c>
      <c r="J88" s="13" t="s">
        <v>18</v>
      </c>
      <c r="K88" s="12" t="str">
        <f>K87</f>
        <v>B14</v>
      </c>
    </row>
    <row r="89" spans="1:11" ht="21" customHeight="1" x14ac:dyDescent="0.25">
      <c r="A89" s="12" t="str">
        <f t="shared" ref="A89:A96" si="25">A88</f>
        <v>ГРЩ (В14)</v>
      </c>
      <c r="B89" s="13" t="s">
        <v>23</v>
      </c>
      <c r="C89" s="14" t="s">
        <v>57</v>
      </c>
      <c r="D89" s="12" t="s">
        <v>58</v>
      </c>
      <c r="E89" s="13">
        <v>2429</v>
      </c>
      <c r="F89" s="15">
        <f t="shared" si="24"/>
        <v>1457.3999999999999</v>
      </c>
      <c r="G89" s="15">
        <f t="shared" ref="G89:G94" si="26">F89*H89</f>
        <v>1457.3999999999999</v>
      </c>
      <c r="H89" s="16">
        <v>1</v>
      </c>
      <c r="I89" s="17" t="s">
        <v>17</v>
      </c>
      <c r="J89" s="13" t="s">
        <v>22</v>
      </c>
      <c r="K89" s="12" t="str">
        <f>K88</f>
        <v>B14</v>
      </c>
    </row>
    <row r="90" spans="1:11" ht="21" customHeight="1" x14ac:dyDescent="0.25">
      <c r="A90" s="12" t="str">
        <f t="shared" si="25"/>
        <v>ГРЩ (В14)</v>
      </c>
      <c r="B90" s="13" t="s">
        <v>23</v>
      </c>
      <c r="C90" s="14" t="s">
        <v>81</v>
      </c>
      <c r="D90" s="12" t="s">
        <v>82</v>
      </c>
      <c r="E90" s="13">
        <v>2499</v>
      </c>
      <c r="F90" s="15">
        <f t="shared" si="24"/>
        <v>1499.3999999999999</v>
      </c>
      <c r="G90" s="15">
        <f t="shared" si="26"/>
        <v>1499.3999999999999</v>
      </c>
      <c r="H90" s="16">
        <v>1</v>
      </c>
      <c r="I90" s="17" t="s">
        <v>17</v>
      </c>
      <c r="J90" s="13" t="s">
        <v>22</v>
      </c>
      <c r="K90" s="12" t="str">
        <f t="shared" ref="K90:K96" si="27">K89</f>
        <v>B14</v>
      </c>
    </row>
    <row r="91" spans="1:11" ht="21" customHeight="1" x14ac:dyDescent="0.25">
      <c r="A91" s="12" t="str">
        <f t="shared" si="25"/>
        <v>ГРЩ (В14)</v>
      </c>
      <c r="B91" s="13" t="s">
        <v>23</v>
      </c>
      <c r="C91" s="14" t="s">
        <v>26</v>
      </c>
      <c r="D91" s="12" t="s">
        <v>27</v>
      </c>
      <c r="E91" s="13">
        <v>2337</v>
      </c>
      <c r="F91" s="15">
        <f t="shared" si="24"/>
        <v>1402.2</v>
      </c>
      <c r="G91" s="15">
        <f t="shared" si="26"/>
        <v>4206.6000000000004</v>
      </c>
      <c r="H91" s="16">
        <v>3</v>
      </c>
      <c r="I91" s="17" t="s">
        <v>17</v>
      </c>
      <c r="J91" s="13" t="s">
        <v>22</v>
      </c>
      <c r="K91" s="12" t="str">
        <f t="shared" si="27"/>
        <v>B14</v>
      </c>
    </row>
    <row r="92" spans="1:11" ht="21" customHeight="1" x14ac:dyDescent="0.25">
      <c r="A92" s="12" t="str">
        <f t="shared" si="25"/>
        <v>ГРЩ (В14)</v>
      </c>
      <c r="B92" s="13" t="s">
        <v>23</v>
      </c>
      <c r="C92" s="14" t="s">
        <v>28</v>
      </c>
      <c r="D92" s="12" t="s">
        <v>29</v>
      </c>
      <c r="E92" s="13">
        <v>1389</v>
      </c>
      <c r="F92" s="15">
        <f t="shared" si="24"/>
        <v>833.4</v>
      </c>
      <c r="G92" s="15">
        <f t="shared" si="26"/>
        <v>1666.8</v>
      </c>
      <c r="H92" s="16">
        <v>2</v>
      </c>
      <c r="I92" s="17" t="s">
        <v>17</v>
      </c>
      <c r="J92" s="13" t="s">
        <v>22</v>
      </c>
      <c r="K92" s="12" t="str">
        <f t="shared" si="27"/>
        <v>B14</v>
      </c>
    </row>
    <row r="93" spans="1:11" ht="21" customHeight="1" x14ac:dyDescent="0.25">
      <c r="A93" s="12" t="str">
        <f t="shared" si="25"/>
        <v>ГРЩ (В14)</v>
      </c>
      <c r="B93" s="13" t="s">
        <v>30</v>
      </c>
      <c r="C93" s="14" t="s">
        <v>59</v>
      </c>
      <c r="D93" s="12" t="s">
        <v>60</v>
      </c>
      <c r="E93" s="13">
        <v>5354</v>
      </c>
      <c r="F93" s="15">
        <f t="shared" si="24"/>
        <v>3212.4</v>
      </c>
      <c r="G93" s="15">
        <f t="shared" si="26"/>
        <v>3212.4</v>
      </c>
      <c r="H93" s="16">
        <v>1</v>
      </c>
      <c r="I93" s="17" t="s">
        <v>17</v>
      </c>
      <c r="J93" s="13" t="s">
        <v>22</v>
      </c>
      <c r="K93" s="12" t="str">
        <f t="shared" si="27"/>
        <v>B14</v>
      </c>
    </row>
    <row r="94" spans="1:11" ht="24" customHeight="1" x14ac:dyDescent="0.25">
      <c r="A94" s="12" t="str">
        <f t="shared" si="25"/>
        <v>ГРЩ (В14)</v>
      </c>
      <c r="B94" s="12" t="s">
        <v>33</v>
      </c>
      <c r="C94" s="18" t="s">
        <v>33</v>
      </c>
      <c r="D94" s="12" t="s">
        <v>33</v>
      </c>
      <c r="E94" s="12">
        <f ca="1">OFFSET(E94,1,2)</f>
        <v>0</v>
      </c>
      <c r="F94" s="15">
        <f ca="1">E94</f>
        <v>0</v>
      </c>
      <c r="G94" s="15">
        <f t="shared" ca="1" si="26"/>
        <v>0</v>
      </c>
      <c r="H94" s="12"/>
      <c r="I94" s="12" t="s">
        <v>17</v>
      </c>
      <c r="J94" s="12" t="s">
        <v>33</v>
      </c>
      <c r="K94" s="12" t="str">
        <f t="shared" si="27"/>
        <v>B14</v>
      </c>
    </row>
    <row r="95" spans="1:11" ht="21" customHeight="1" x14ac:dyDescent="0.25">
      <c r="A95" s="12" t="str">
        <f t="shared" si="25"/>
        <v>ГРЩ (В14)</v>
      </c>
      <c r="B95" s="12" t="s">
        <v>34</v>
      </c>
      <c r="C95" s="18" t="s">
        <v>34</v>
      </c>
      <c r="D95" s="12" t="s">
        <v>34</v>
      </c>
      <c r="E95" s="12"/>
      <c r="F95" s="15">
        <v>100</v>
      </c>
      <c r="G95" s="15">
        <f>60*E95*F95</f>
        <v>0</v>
      </c>
      <c r="H95" s="12">
        <f>60*E95</f>
        <v>0</v>
      </c>
      <c r="I95" s="12" t="s">
        <v>17</v>
      </c>
      <c r="J95" s="12" t="s">
        <v>34</v>
      </c>
      <c r="K95" s="12" t="str">
        <f t="shared" si="27"/>
        <v>B14</v>
      </c>
    </row>
    <row r="96" spans="1:11" ht="30" customHeight="1" x14ac:dyDescent="0.25">
      <c r="A96" s="12" t="str">
        <f t="shared" si="25"/>
        <v>ГРЩ (В14)</v>
      </c>
      <c r="B96" s="19"/>
      <c r="C96" s="20"/>
      <c r="D96" s="21"/>
      <c r="E96" s="23"/>
      <c r="F96" s="25"/>
      <c r="G96" s="24">
        <f ca="1">SUM(G88:G95)</f>
        <v>20859.600000000002</v>
      </c>
      <c r="H96" s="20"/>
      <c r="I96" s="22"/>
      <c r="J96" s="20"/>
      <c r="K96" s="12" t="str">
        <f t="shared" si="27"/>
        <v>B14</v>
      </c>
    </row>
    <row r="97" spans="1:11" ht="39.75" customHeight="1" x14ac:dyDescent="0.25">
      <c r="A97" s="5" t="str">
        <f>D97</f>
        <v>РПВ (В14)</v>
      </c>
      <c r="B97" s="6"/>
      <c r="C97" s="7"/>
      <c r="D97" s="6" t="s">
        <v>83</v>
      </c>
      <c r="E97" s="8"/>
      <c r="F97" s="8"/>
      <c r="G97" s="9"/>
      <c r="H97" s="10">
        <v>1</v>
      </c>
      <c r="I97" s="11" t="s">
        <v>11</v>
      </c>
      <c r="J97" s="6" t="s">
        <v>12</v>
      </c>
      <c r="K97" s="5" t="s">
        <v>80</v>
      </c>
    </row>
    <row r="98" spans="1:11" ht="21" customHeight="1" x14ac:dyDescent="0.25">
      <c r="A98" s="12" t="str">
        <f t="shared" ref="A98:A103" si="28">A97</f>
        <v>РПВ (В14)</v>
      </c>
      <c r="B98" s="13" t="s">
        <v>14</v>
      </c>
      <c r="C98" s="14" t="s">
        <v>75</v>
      </c>
      <c r="D98" s="12" t="s">
        <v>76</v>
      </c>
      <c r="E98" s="13">
        <v>10270</v>
      </c>
      <c r="F98" s="15">
        <f>E98*0.6</f>
        <v>6162</v>
      </c>
      <c r="G98" s="15">
        <f>H98*F98</f>
        <v>6162</v>
      </c>
      <c r="H98" s="16">
        <v>1</v>
      </c>
      <c r="I98" s="17" t="s">
        <v>17</v>
      </c>
      <c r="J98" s="13" t="s">
        <v>18</v>
      </c>
      <c r="K98" s="12" t="str">
        <f t="shared" ref="K98:K103" si="29">K97</f>
        <v>B14</v>
      </c>
    </row>
    <row r="99" spans="1:11" ht="21" customHeight="1" x14ac:dyDescent="0.25">
      <c r="A99" s="12" t="str">
        <f t="shared" si="28"/>
        <v>РПВ (В14)</v>
      </c>
      <c r="B99" s="13" t="s">
        <v>23</v>
      </c>
      <c r="C99" s="14" t="s">
        <v>26</v>
      </c>
      <c r="D99" s="12" t="s">
        <v>27</v>
      </c>
      <c r="E99" s="13">
        <v>2337</v>
      </c>
      <c r="F99" s="15">
        <f>E99*0.6</f>
        <v>1402.2</v>
      </c>
      <c r="G99" s="15">
        <f>F99*H99</f>
        <v>1402.2</v>
      </c>
      <c r="H99" s="16">
        <v>1</v>
      </c>
      <c r="I99" s="17" t="s">
        <v>17</v>
      </c>
      <c r="J99" s="13" t="s">
        <v>22</v>
      </c>
      <c r="K99" s="12" t="str">
        <f t="shared" si="29"/>
        <v>B14</v>
      </c>
    </row>
    <row r="100" spans="1:11" ht="21" customHeight="1" x14ac:dyDescent="0.25">
      <c r="A100" s="12" t="str">
        <f t="shared" si="28"/>
        <v>РПВ (В14)</v>
      </c>
      <c r="B100" s="13" t="s">
        <v>23</v>
      </c>
      <c r="C100" s="14" t="s">
        <v>28</v>
      </c>
      <c r="D100" s="12" t="s">
        <v>29</v>
      </c>
      <c r="E100" s="13">
        <v>1389</v>
      </c>
      <c r="F100" s="15">
        <f>E100*0.6</f>
        <v>833.4</v>
      </c>
      <c r="G100" s="15">
        <f>F100*H100</f>
        <v>3333.6</v>
      </c>
      <c r="H100" s="16">
        <v>4</v>
      </c>
      <c r="I100" s="17" t="s">
        <v>17</v>
      </c>
      <c r="J100" s="13" t="s">
        <v>22</v>
      </c>
      <c r="K100" s="12" t="str">
        <f t="shared" si="29"/>
        <v>B14</v>
      </c>
    </row>
    <row r="101" spans="1:11" ht="24" customHeight="1" x14ac:dyDescent="0.25">
      <c r="A101" s="12" t="str">
        <f t="shared" si="28"/>
        <v>РПВ (В14)</v>
      </c>
      <c r="B101" s="12" t="s">
        <v>33</v>
      </c>
      <c r="C101" s="18" t="s">
        <v>33</v>
      </c>
      <c r="D101" s="12" t="s">
        <v>33</v>
      </c>
      <c r="E101" s="12">
        <f ca="1">OFFSET(E101,1,2)</f>
        <v>0</v>
      </c>
      <c r="F101" s="15">
        <f ca="1">E101</f>
        <v>0</v>
      </c>
      <c r="G101" s="15">
        <f ca="1">F101*H101</f>
        <v>0</v>
      </c>
      <c r="H101" s="12"/>
      <c r="I101" s="12" t="s">
        <v>17</v>
      </c>
      <c r="J101" s="12" t="s">
        <v>33</v>
      </c>
      <c r="K101" s="12" t="str">
        <f t="shared" si="29"/>
        <v>B14</v>
      </c>
    </row>
    <row r="102" spans="1:11" ht="21" customHeight="1" x14ac:dyDescent="0.25">
      <c r="A102" s="12" t="str">
        <f t="shared" si="28"/>
        <v>РПВ (В14)</v>
      </c>
      <c r="B102" s="12" t="s">
        <v>34</v>
      </c>
      <c r="C102" s="18" t="s">
        <v>34</v>
      </c>
      <c r="D102" s="12" t="s">
        <v>34</v>
      </c>
      <c r="E102" s="12"/>
      <c r="F102" s="15">
        <v>100</v>
      </c>
      <c r="G102" s="15">
        <f>60*E102*F102</f>
        <v>0</v>
      </c>
      <c r="H102" s="12">
        <f>60*E102</f>
        <v>0</v>
      </c>
      <c r="I102" s="12" t="s">
        <v>17</v>
      </c>
      <c r="J102" s="12" t="s">
        <v>34</v>
      </c>
      <c r="K102" s="12" t="str">
        <f t="shared" si="29"/>
        <v>B14</v>
      </c>
    </row>
    <row r="103" spans="1:11" ht="30" customHeight="1" x14ac:dyDescent="0.25">
      <c r="A103" s="12" t="str">
        <f t="shared" si="28"/>
        <v>РПВ (В14)</v>
      </c>
      <c r="B103" s="19"/>
      <c r="C103" s="20"/>
      <c r="D103" s="21"/>
      <c r="E103" s="23"/>
      <c r="F103" s="25"/>
      <c r="G103" s="24">
        <f ca="1">SUM(G98:G102)</f>
        <v>10897.8</v>
      </c>
      <c r="H103" s="20"/>
      <c r="I103" s="22"/>
      <c r="J103" s="20"/>
      <c r="K103" s="12" t="str">
        <f t="shared" si="29"/>
        <v>B14</v>
      </c>
    </row>
    <row r="104" spans="1:11" ht="39.75" customHeight="1" x14ac:dyDescent="0.25">
      <c r="A104" s="5" t="str">
        <f>D104</f>
        <v> ЯВЗ-31-IP54 УХЛ2 100А</v>
      </c>
      <c r="B104" s="6"/>
      <c r="C104" s="7"/>
      <c r="D104" s="6" t="s">
        <v>38</v>
      </c>
      <c r="E104" s="8"/>
      <c r="F104" s="8"/>
      <c r="G104" s="9"/>
      <c r="H104" s="10">
        <v>1</v>
      </c>
      <c r="I104" s="11" t="s">
        <v>11</v>
      </c>
      <c r="J104" s="6" t="s">
        <v>12</v>
      </c>
      <c r="K104" s="5" t="s">
        <v>80</v>
      </c>
    </row>
    <row r="105" spans="1:11" ht="21" customHeight="1" x14ac:dyDescent="0.25">
      <c r="A105" s="12" t="str">
        <f>A104</f>
        <v> ЯВЗ-31-IP54 УХЛ2 100А</v>
      </c>
      <c r="B105" s="13" t="s">
        <v>14</v>
      </c>
      <c r="C105" s="14" t="s">
        <v>39</v>
      </c>
      <c r="D105" s="12" t="s">
        <v>40</v>
      </c>
      <c r="E105" s="13"/>
      <c r="F105" s="15">
        <f>E105*0.6</f>
        <v>0</v>
      </c>
      <c r="G105" s="15">
        <f>H105*F105</f>
        <v>0</v>
      </c>
      <c r="H105" s="16">
        <v>1</v>
      </c>
      <c r="I105" s="17" t="s">
        <v>17</v>
      </c>
      <c r="J105" s="13" t="s">
        <v>18</v>
      </c>
      <c r="K105" s="12" t="str">
        <f>K104</f>
        <v>B14</v>
      </c>
    </row>
    <row r="106" spans="1:11" ht="21" customHeight="1" x14ac:dyDescent="0.25">
      <c r="A106" s="12" t="str">
        <f t="shared" ref="A106:A111" si="30">A105</f>
        <v> ЯВЗ-31-IP54 УХЛ2 100А</v>
      </c>
      <c r="B106" s="13" t="s">
        <v>41</v>
      </c>
      <c r="C106" s="14" t="s">
        <v>42</v>
      </c>
      <c r="D106" s="12" t="s">
        <v>43</v>
      </c>
      <c r="E106" s="13">
        <v>1545</v>
      </c>
      <c r="F106" s="15">
        <f>E106*0.6</f>
        <v>927</v>
      </c>
      <c r="G106" s="15">
        <f>F106*H106</f>
        <v>2781</v>
      </c>
      <c r="H106" s="16">
        <v>3</v>
      </c>
      <c r="I106" s="17" t="s">
        <v>17</v>
      </c>
      <c r="J106" s="13" t="s">
        <v>22</v>
      </c>
      <c r="K106" s="12" t="str">
        <f t="shared" ref="K106:K111" si="31">K105</f>
        <v>B14</v>
      </c>
    </row>
    <row r="107" spans="1:11" ht="21" customHeight="1" x14ac:dyDescent="0.25">
      <c r="A107" s="12" t="str">
        <f t="shared" si="30"/>
        <v> ЯВЗ-31-IP54 УХЛ2 100А</v>
      </c>
      <c r="B107" s="13" t="s">
        <v>41</v>
      </c>
      <c r="C107" s="14" t="s">
        <v>44</v>
      </c>
      <c r="D107" s="12" t="s">
        <v>45</v>
      </c>
      <c r="E107" s="13">
        <v>2038</v>
      </c>
      <c r="F107" s="15">
        <f>E107*0.6</f>
        <v>1222.8</v>
      </c>
      <c r="G107" s="15">
        <f>F107*H107</f>
        <v>3668.3999999999996</v>
      </c>
      <c r="H107" s="16">
        <v>3</v>
      </c>
      <c r="I107" s="17" t="s">
        <v>17</v>
      </c>
      <c r="J107" s="13" t="s">
        <v>22</v>
      </c>
      <c r="K107" s="12" t="str">
        <f t="shared" si="31"/>
        <v>B14</v>
      </c>
    </row>
    <row r="108" spans="1:11" ht="21" customHeight="1" x14ac:dyDescent="0.25">
      <c r="A108" s="12" t="str">
        <f t="shared" si="30"/>
        <v> ЯВЗ-31-IP54 УХЛ2 100А</v>
      </c>
      <c r="B108" s="13" t="s">
        <v>46</v>
      </c>
      <c r="C108" s="14" t="s">
        <v>47</v>
      </c>
      <c r="D108" s="12" t="s">
        <v>48</v>
      </c>
      <c r="E108" s="13">
        <v>6835</v>
      </c>
      <c r="F108" s="15">
        <f>E108</f>
        <v>6835</v>
      </c>
      <c r="G108" s="15">
        <f>F108*H108</f>
        <v>6835</v>
      </c>
      <c r="H108" s="16">
        <v>1</v>
      </c>
      <c r="I108" s="17" t="s">
        <v>17</v>
      </c>
      <c r="J108" s="13" t="s">
        <v>49</v>
      </c>
      <c r="K108" s="12" t="str">
        <f t="shared" si="31"/>
        <v>B14</v>
      </c>
    </row>
    <row r="109" spans="1:11" ht="24" customHeight="1" x14ac:dyDescent="0.25">
      <c r="A109" s="12" t="str">
        <f t="shared" si="30"/>
        <v> ЯВЗ-31-IP54 УХЛ2 100А</v>
      </c>
      <c r="B109" s="12" t="s">
        <v>33</v>
      </c>
      <c r="C109" s="18" t="s">
        <v>33</v>
      </c>
      <c r="D109" s="12" t="s">
        <v>33</v>
      </c>
      <c r="E109" s="12">
        <f ca="1">OFFSET(E109,1,2)</f>
        <v>0</v>
      </c>
      <c r="F109" s="15">
        <f ca="1">E109</f>
        <v>0</v>
      </c>
      <c r="G109" s="15">
        <f ca="1">F109*H109</f>
        <v>0</v>
      </c>
      <c r="H109" s="12"/>
      <c r="I109" s="12" t="s">
        <v>17</v>
      </c>
      <c r="J109" s="12" t="s">
        <v>33</v>
      </c>
      <c r="K109" s="12" t="str">
        <f t="shared" si="31"/>
        <v>B14</v>
      </c>
    </row>
    <row r="110" spans="1:11" ht="21" customHeight="1" x14ac:dyDescent="0.25">
      <c r="A110" s="12" t="str">
        <f t="shared" si="30"/>
        <v> ЯВЗ-31-IP54 УХЛ2 100А</v>
      </c>
      <c r="B110" s="12" t="s">
        <v>34</v>
      </c>
      <c r="C110" s="18" t="s">
        <v>34</v>
      </c>
      <c r="D110" s="12" t="s">
        <v>34</v>
      </c>
      <c r="E110" s="12"/>
      <c r="F110" s="15">
        <v>100</v>
      </c>
      <c r="G110" s="15">
        <f>60*E110*F110</f>
        <v>0</v>
      </c>
      <c r="H110" s="12">
        <f>60*E110</f>
        <v>0</v>
      </c>
      <c r="I110" s="12" t="s">
        <v>17</v>
      </c>
      <c r="J110" s="12" t="s">
        <v>34</v>
      </c>
      <c r="K110" s="12" t="str">
        <f t="shared" si="31"/>
        <v>B14</v>
      </c>
    </row>
    <row r="111" spans="1:11" ht="30" customHeight="1" x14ac:dyDescent="0.25">
      <c r="A111" s="12" t="str">
        <f t="shared" si="30"/>
        <v> ЯВЗ-31-IP54 УХЛ2 100А</v>
      </c>
      <c r="B111" s="19"/>
      <c r="C111" s="20"/>
      <c r="D111" s="21"/>
      <c r="E111" s="23"/>
      <c r="F111" s="25"/>
      <c r="G111" s="24">
        <f ca="1">SUM(G105:G110)</f>
        <v>13284.4</v>
      </c>
      <c r="H111" s="20"/>
      <c r="I111" s="22"/>
      <c r="J111" s="20"/>
      <c r="K111" s="12" t="str">
        <f t="shared" si="31"/>
        <v>B14</v>
      </c>
    </row>
    <row r="112" spans="1:11" ht="39.75" customHeight="1" x14ac:dyDescent="0.25">
      <c r="A112" s="5" t="str">
        <f>D112</f>
        <v>ЯТП-0,25-220/36 036УХЛ4</v>
      </c>
      <c r="B112" s="6"/>
      <c r="C112" s="7"/>
      <c r="D112" s="6" t="s">
        <v>50</v>
      </c>
      <c r="E112" s="8"/>
      <c r="F112" s="8"/>
      <c r="G112" s="9"/>
      <c r="H112" s="10">
        <v>1</v>
      </c>
      <c r="I112" s="11" t="s">
        <v>11</v>
      </c>
      <c r="J112" s="6" t="s">
        <v>12</v>
      </c>
      <c r="K112" s="5" t="s">
        <v>80</v>
      </c>
    </row>
    <row r="113" spans="1:11" ht="39.75" customHeight="1" x14ac:dyDescent="0.25">
      <c r="A113" s="5" t="str">
        <f>D113</f>
        <v>ГРЩ (В16)</v>
      </c>
      <c r="B113" s="6"/>
      <c r="C113" s="7"/>
      <c r="D113" s="6" t="s">
        <v>84</v>
      </c>
      <c r="E113" s="8"/>
      <c r="F113" s="8"/>
      <c r="G113" s="9"/>
      <c r="H113" s="10">
        <v>1</v>
      </c>
      <c r="I113" s="11" t="s">
        <v>11</v>
      </c>
      <c r="J113" s="6" t="s">
        <v>12</v>
      </c>
      <c r="K113" s="5" t="s">
        <v>85</v>
      </c>
    </row>
    <row r="114" spans="1:11" ht="21" customHeight="1" x14ac:dyDescent="0.25">
      <c r="A114" s="12" t="str">
        <f>A113</f>
        <v>ГРЩ (В16)</v>
      </c>
      <c r="B114" s="13" t="s">
        <v>14</v>
      </c>
      <c r="C114" s="14" t="s">
        <v>15</v>
      </c>
      <c r="D114" s="12" t="s">
        <v>16</v>
      </c>
      <c r="E114" s="13">
        <v>13410</v>
      </c>
      <c r="F114" s="15">
        <f t="shared" ref="F114:F119" si="32">E114*0.6</f>
        <v>8046</v>
      </c>
      <c r="G114" s="15">
        <f>H114*F114</f>
        <v>8046</v>
      </c>
      <c r="H114" s="16">
        <v>1</v>
      </c>
      <c r="I114" s="17" t="s">
        <v>17</v>
      </c>
      <c r="J114" s="13" t="s">
        <v>18</v>
      </c>
      <c r="K114" s="12" t="str">
        <f>K113</f>
        <v>B16</v>
      </c>
    </row>
    <row r="115" spans="1:11" ht="21" customHeight="1" x14ac:dyDescent="0.25">
      <c r="A115" s="12" t="str">
        <f t="shared" ref="A115:A122" si="33">A114</f>
        <v>ГРЩ (В16)</v>
      </c>
      <c r="B115" s="13" t="s">
        <v>23</v>
      </c>
      <c r="C115" s="14" t="s">
        <v>24</v>
      </c>
      <c r="D115" s="12" t="s">
        <v>25</v>
      </c>
      <c r="E115" s="13">
        <v>11015</v>
      </c>
      <c r="F115" s="15">
        <f t="shared" si="32"/>
        <v>6609</v>
      </c>
      <c r="G115" s="15">
        <f t="shared" ref="G115:G120" si="34">F115*H115</f>
        <v>6609</v>
      </c>
      <c r="H115" s="16">
        <v>1</v>
      </c>
      <c r="I115" s="17" t="s">
        <v>17</v>
      </c>
      <c r="J115" s="13" t="s">
        <v>22</v>
      </c>
      <c r="K115" s="12" t="str">
        <f t="shared" ref="K115:K122" si="35">K114</f>
        <v>B16</v>
      </c>
    </row>
    <row r="116" spans="1:11" ht="21" customHeight="1" x14ac:dyDescent="0.25">
      <c r="A116" s="12" t="str">
        <f t="shared" si="33"/>
        <v>ГРЩ (В16)</v>
      </c>
      <c r="B116" s="13" t="s">
        <v>23</v>
      </c>
      <c r="C116" s="14" t="s">
        <v>53</v>
      </c>
      <c r="D116" s="12" t="s">
        <v>54</v>
      </c>
      <c r="E116" s="13">
        <v>10949</v>
      </c>
      <c r="F116" s="15">
        <f t="shared" si="32"/>
        <v>6569.4</v>
      </c>
      <c r="G116" s="15">
        <f t="shared" si="34"/>
        <v>6569.4</v>
      </c>
      <c r="H116" s="16">
        <v>1</v>
      </c>
      <c r="I116" s="17" t="s">
        <v>17</v>
      </c>
      <c r="J116" s="13" t="s">
        <v>22</v>
      </c>
      <c r="K116" s="12" t="str">
        <f t="shared" si="35"/>
        <v>B16</v>
      </c>
    </row>
    <row r="117" spans="1:11" ht="21" customHeight="1" x14ac:dyDescent="0.25">
      <c r="A117" s="12" t="str">
        <f t="shared" si="33"/>
        <v>ГРЩ (В16)</v>
      </c>
      <c r="B117" s="13" t="s">
        <v>23</v>
      </c>
      <c r="C117" s="14" t="s">
        <v>26</v>
      </c>
      <c r="D117" s="12" t="s">
        <v>27</v>
      </c>
      <c r="E117" s="13">
        <v>2337</v>
      </c>
      <c r="F117" s="15">
        <f t="shared" si="32"/>
        <v>1402.2</v>
      </c>
      <c r="G117" s="15">
        <f t="shared" si="34"/>
        <v>2804.4</v>
      </c>
      <c r="H117" s="16">
        <v>2</v>
      </c>
      <c r="I117" s="17" t="s">
        <v>17</v>
      </c>
      <c r="J117" s="13" t="s">
        <v>22</v>
      </c>
      <c r="K117" s="12" t="str">
        <f t="shared" si="35"/>
        <v>B16</v>
      </c>
    </row>
    <row r="118" spans="1:11" ht="21" customHeight="1" x14ac:dyDescent="0.25">
      <c r="A118" s="12" t="str">
        <f t="shared" si="33"/>
        <v>ГРЩ (В16)</v>
      </c>
      <c r="B118" s="13" t="s">
        <v>23</v>
      </c>
      <c r="C118" s="14" t="s">
        <v>28</v>
      </c>
      <c r="D118" s="12" t="s">
        <v>29</v>
      </c>
      <c r="E118" s="13">
        <v>1389</v>
      </c>
      <c r="F118" s="15">
        <f t="shared" si="32"/>
        <v>833.4</v>
      </c>
      <c r="G118" s="15">
        <f t="shared" si="34"/>
        <v>4167</v>
      </c>
      <c r="H118" s="16">
        <v>5</v>
      </c>
      <c r="I118" s="17" t="s">
        <v>17</v>
      </c>
      <c r="J118" s="13" t="s">
        <v>22</v>
      </c>
      <c r="K118" s="12" t="str">
        <f t="shared" si="35"/>
        <v>B16</v>
      </c>
    </row>
    <row r="119" spans="1:11" ht="21" customHeight="1" x14ac:dyDescent="0.25">
      <c r="A119" s="12" t="str">
        <f t="shared" si="33"/>
        <v>ГРЩ (В16)</v>
      </c>
      <c r="B119" s="13" t="s">
        <v>30</v>
      </c>
      <c r="C119" s="14" t="s">
        <v>31</v>
      </c>
      <c r="D119" s="12" t="s">
        <v>32</v>
      </c>
      <c r="E119" s="13">
        <v>4160</v>
      </c>
      <c r="F119" s="15">
        <f t="shared" si="32"/>
        <v>2496</v>
      </c>
      <c r="G119" s="15">
        <f t="shared" si="34"/>
        <v>2496</v>
      </c>
      <c r="H119" s="16">
        <v>1</v>
      </c>
      <c r="I119" s="17" t="s">
        <v>17</v>
      </c>
      <c r="J119" s="13" t="s">
        <v>22</v>
      </c>
      <c r="K119" s="12" t="str">
        <f t="shared" si="35"/>
        <v>B16</v>
      </c>
    </row>
    <row r="120" spans="1:11" ht="24" customHeight="1" x14ac:dyDescent="0.25">
      <c r="A120" s="12" t="str">
        <f t="shared" si="33"/>
        <v>ГРЩ (В16)</v>
      </c>
      <c r="B120" s="12" t="s">
        <v>33</v>
      </c>
      <c r="C120" s="18" t="s">
        <v>33</v>
      </c>
      <c r="D120" s="12" t="s">
        <v>33</v>
      </c>
      <c r="E120" s="12">
        <f ca="1">OFFSET(E120,1,2)</f>
        <v>0</v>
      </c>
      <c r="F120" s="15">
        <f ca="1">E120</f>
        <v>0</v>
      </c>
      <c r="G120" s="15">
        <f t="shared" ca="1" si="34"/>
        <v>0</v>
      </c>
      <c r="H120" s="12"/>
      <c r="I120" s="12" t="s">
        <v>17</v>
      </c>
      <c r="J120" s="12" t="s">
        <v>33</v>
      </c>
      <c r="K120" s="12" t="str">
        <f t="shared" si="35"/>
        <v>B16</v>
      </c>
    </row>
    <row r="121" spans="1:11" ht="21" customHeight="1" x14ac:dyDescent="0.25">
      <c r="A121" s="12" t="str">
        <f t="shared" si="33"/>
        <v>ГРЩ (В16)</v>
      </c>
      <c r="B121" s="12" t="s">
        <v>34</v>
      </c>
      <c r="C121" s="18" t="s">
        <v>34</v>
      </c>
      <c r="D121" s="12" t="s">
        <v>34</v>
      </c>
      <c r="E121" s="12"/>
      <c r="F121" s="15">
        <v>100</v>
      </c>
      <c r="G121" s="15">
        <f>60*E121*F121</f>
        <v>0</v>
      </c>
      <c r="H121" s="12">
        <f>60*E121</f>
        <v>0</v>
      </c>
      <c r="I121" s="12" t="s">
        <v>17</v>
      </c>
      <c r="J121" s="12" t="s">
        <v>34</v>
      </c>
      <c r="K121" s="12" t="str">
        <f t="shared" si="35"/>
        <v>B16</v>
      </c>
    </row>
    <row r="122" spans="1:11" ht="30" customHeight="1" x14ac:dyDescent="0.25">
      <c r="A122" s="12" t="str">
        <f t="shared" si="33"/>
        <v>ГРЩ (В16)</v>
      </c>
      <c r="B122" s="19"/>
      <c r="C122" s="20"/>
      <c r="D122" s="21"/>
      <c r="E122" s="23"/>
      <c r="F122" s="25"/>
      <c r="G122" s="24">
        <f ca="1">SUM(G114:G121)</f>
        <v>30691.800000000003</v>
      </c>
      <c r="H122" s="20"/>
      <c r="I122" s="22"/>
      <c r="J122" s="20"/>
      <c r="K122" s="12" t="str">
        <f t="shared" si="35"/>
        <v>B16</v>
      </c>
    </row>
    <row r="123" spans="1:11" ht="39.75" customHeight="1" x14ac:dyDescent="0.25">
      <c r="A123" s="5" t="str">
        <f>D123</f>
        <v>РПВ (В16)</v>
      </c>
      <c r="B123" s="6"/>
      <c r="C123" s="7"/>
      <c r="D123" s="6" t="s">
        <v>86</v>
      </c>
      <c r="E123" s="8"/>
      <c r="F123" s="8"/>
      <c r="G123" s="9"/>
      <c r="H123" s="10">
        <v>1</v>
      </c>
      <c r="I123" s="11" t="s">
        <v>11</v>
      </c>
      <c r="J123" s="6" t="s">
        <v>12</v>
      </c>
      <c r="K123" s="5" t="s">
        <v>85</v>
      </c>
    </row>
    <row r="124" spans="1:11" ht="21" customHeight="1" x14ac:dyDescent="0.25">
      <c r="A124" s="12" t="str">
        <f>A123</f>
        <v>РПВ (В16)</v>
      </c>
      <c r="B124" s="13" t="s">
        <v>14</v>
      </c>
      <c r="C124" s="14" t="s">
        <v>36</v>
      </c>
      <c r="D124" s="12" t="s">
        <v>37</v>
      </c>
      <c r="E124" s="13">
        <v>14695</v>
      </c>
      <c r="F124" s="15">
        <f t="shared" ref="F124:F130" si="36">E124*0.6</f>
        <v>8817</v>
      </c>
      <c r="G124" s="15">
        <f>H124*F124</f>
        <v>8817</v>
      </c>
      <c r="H124" s="16">
        <v>1</v>
      </c>
      <c r="I124" s="17" t="s">
        <v>17</v>
      </c>
      <c r="J124" s="13" t="s">
        <v>18</v>
      </c>
      <c r="K124" s="12" t="str">
        <f>K123</f>
        <v>B16</v>
      </c>
    </row>
    <row r="125" spans="1:11" ht="21" customHeight="1" x14ac:dyDescent="0.25">
      <c r="A125" s="12" t="str">
        <f>A124</f>
        <v>РПВ (В16)</v>
      </c>
      <c r="B125" s="13" t="s">
        <v>23</v>
      </c>
      <c r="C125" s="14" t="s">
        <v>55</v>
      </c>
      <c r="D125" s="12" t="s">
        <v>56</v>
      </c>
      <c r="E125" s="13">
        <v>3172</v>
      </c>
      <c r="F125" s="15">
        <f t="shared" si="36"/>
        <v>1903.1999999999998</v>
      </c>
      <c r="G125" s="15">
        <f t="shared" ref="G125:G131" si="37">F125*H125</f>
        <v>1903.1999999999998</v>
      </c>
      <c r="H125" s="16">
        <v>1</v>
      </c>
      <c r="I125" s="17" t="s">
        <v>17</v>
      </c>
      <c r="J125" s="13" t="s">
        <v>22</v>
      </c>
      <c r="K125" s="12" t="str">
        <f>K124</f>
        <v>B16</v>
      </c>
    </row>
    <row r="126" spans="1:11" ht="21" customHeight="1" x14ac:dyDescent="0.25">
      <c r="A126" s="12" t="str">
        <f>A125</f>
        <v>РПВ (В16)</v>
      </c>
      <c r="B126" s="13" t="s">
        <v>23</v>
      </c>
      <c r="C126" s="14" t="s">
        <v>57</v>
      </c>
      <c r="D126" s="12" t="s">
        <v>58</v>
      </c>
      <c r="E126" s="13">
        <v>2429</v>
      </c>
      <c r="F126" s="15">
        <f t="shared" si="36"/>
        <v>1457.3999999999999</v>
      </c>
      <c r="G126" s="15">
        <f t="shared" si="37"/>
        <v>1457.3999999999999</v>
      </c>
      <c r="H126" s="16">
        <v>1</v>
      </c>
      <c r="I126" s="17" t="s">
        <v>17</v>
      </c>
      <c r="J126" s="13" t="s">
        <v>22</v>
      </c>
      <c r="K126" s="12" t="str">
        <f>K125</f>
        <v>B16</v>
      </c>
    </row>
    <row r="127" spans="1:11" ht="21" customHeight="1" x14ac:dyDescent="0.25">
      <c r="A127" s="12" t="str">
        <f>A124</f>
        <v>РПВ (В16)</v>
      </c>
      <c r="B127" s="13" t="s">
        <v>23</v>
      </c>
      <c r="C127" s="14" t="s">
        <v>26</v>
      </c>
      <c r="D127" s="12" t="s">
        <v>27</v>
      </c>
      <c r="E127" s="13">
        <v>2337</v>
      </c>
      <c r="F127" s="15">
        <f t="shared" si="36"/>
        <v>1402.2</v>
      </c>
      <c r="G127" s="15">
        <f t="shared" si="37"/>
        <v>2804.4</v>
      </c>
      <c r="H127" s="16">
        <v>2</v>
      </c>
      <c r="I127" s="17" t="s">
        <v>17</v>
      </c>
      <c r="J127" s="13" t="s">
        <v>22</v>
      </c>
      <c r="K127" s="12" t="str">
        <f>K124</f>
        <v>B16</v>
      </c>
    </row>
    <row r="128" spans="1:11" ht="21" customHeight="1" x14ac:dyDescent="0.25">
      <c r="A128" s="12" t="str">
        <f t="shared" ref="A128:A133" si="38">A127</f>
        <v>РПВ (В16)</v>
      </c>
      <c r="B128" s="13" t="s">
        <v>23</v>
      </c>
      <c r="C128" s="14" t="s">
        <v>28</v>
      </c>
      <c r="D128" s="12" t="s">
        <v>29</v>
      </c>
      <c r="E128" s="13">
        <v>1389</v>
      </c>
      <c r="F128" s="15">
        <f t="shared" si="36"/>
        <v>833.4</v>
      </c>
      <c r="G128" s="15">
        <f t="shared" si="37"/>
        <v>4167</v>
      </c>
      <c r="H128" s="16">
        <v>5</v>
      </c>
      <c r="I128" s="17" t="s">
        <v>17</v>
      </c>
      <c r="J128" s="13" t="s">
        <v>22</v>
      </c>
      <c r="K128" s="12" t="str">
        <f t="shared" ref="K128:K133" si="39">K127</f>
        <v>B16</v>
      </c>
    </row>
    <row r="129" spans="1:11" ht="21" customHeight="1" x14ac:dyDescent="0.25">
      <c r="A129" s="12" t="str">
        <f t="shared" si="38"/>
        <v>РПВ (В16)</v>
      </c>
      <c r="B129" s="13" t="s">
        <v>64</v>
      </c>
      <c r="C129" s="14" t="s">
        <v>65</v>
      </c>
      <c r="D129" s="12" t="s">
        <v>66</v>
      </c>
      <c r="E129" s="13">
        <v>5214</v>
      </c>
      <c r="F129" s="15">
        <f t="shared" si="36"/>
        <v>3128.4</v>
      </c>
      <c r="G129" s="15">
        <f t="shared" si="37"/>
        <v>3128.4</v>
      </c>
      <c r="H129" s="16">
        <v>1</v>
      </c>
      <c r="I129" s="17" t="s">
        <v>17</v>
      </c>
      <c r="J129" s="13" t="s">
        <v>22</v>
      </c>
      <c r="K129" s="12" t="str">
        <f t="shared" si="39"/>
        <v>B16</v>
      </c>
    </row>
    <row r="130" spans="1:11" ht="21" customHeight="1" x14ac:dyDescent="0.25">
      <c r="A130" s="12" t="str">
        <f t="shared" si="38"/>
        <v>РПВ (В16)</v>
      </c>
      <c r="B130" s="13" t="s">
        <v>67</v>
      </c>
      <c r="C130" s="14" t="s">
        <v>87</v>
      </c>
      <c r="D130" s="12" t="s">
        <v>88</v>
      </c>
      <c r="E130" s="13">
        <v>4315</v>
      </c>
      <c r="F130" s="15">
        <f t="shared" si="36"/>
        <v>2589</v>
      </c>
      <c r="G130" s="15">
        <f t="shared" si="37"/>
        <v>2589</v>
      </c>
      <c r="H130" s="16">
        <v>1</v>
      </c>
      <c r="I130" s="17" t="s">
        <v>17</v>
      </c>
      <c r="J130" s="13" t="s">
        <v>22</v>
      </c>
      <c r="K130" s="12" t="str">
        <f t="shared" si="39"/>
        <v>B16</v>
      </c>
    </row>
    <row r="131" spans="1:11" ht="24" customHeight="1" x14ac:dyDescent="0.25">
      <c r="A131" s="12" t="str">
        <f>A128</f>
        <v>РПВ (В16)</v>
      </c>
      <c r="B131" s="12" t="s">
        <v>33</v>
      </c>
      <c r="C131" s="18" t="s">
        <v>33</v>
      </c>
      <c r="D131" s="12" t="s">
        <v>33</v>
      </c>
      <c r="E131" s="12">
        <f ca="1">OFFSET(E131,1,2)</f>
        <v>0</v>
      </c>
      <c r="F131" s="15">
        <f ca="1">E131</f>
        <v>0</v>
      </c>
      <c r="G131" s="15">
        <f t="shared" ca="1" si="37"/>
        <v>0</v>
      </c>
      <c r="H131" s="12"/>
      <c r="I131" s="12" t="s">
        <v>17</v>
      </c>
      <c r="J131" s="12" t="s">
        <v>33</v>
      </c>
      <c r="K131" s="12" t="str">
        <f>K128</f>
        <v>B16</v>
      </c>
    </row>
    <row r="132" spans="1:11" ht="21" customHeight="1" x14ac:dyDescent="0.25">
      <c r="A132" s="12" t="str">
        <f t="shared" si="38"/>
        <v>РПВ (В16)</v>
      </c>
      <c r="B132" s="12" t="s">
        <v>34</v>
      </c>
      <c r="C132" s="18" t="s">
        <v>34</v>
      </c>
      <c r="D132" s="12" t="s">
        <v>34</v>
      </c>
      <c r="E132" s="12"/>
      <c r="F132" s="15">
        <v>100</v>
      </c>
      <c r="G132" s="15">
        <f>60*E132*F132</f>
        <v>0</v>
      </c>
      <c r="H132" s="12">
        <f>60*E132</f>
        <v>0</v>
      </c>
      <c r="I132" s="12" t="s">
        <v>17</v>
      </c>
      <c r="J132" s="12" t="s">
        <v>34</v>
      </c>
      <c r="K132" s="12" t="str">
        <f t="shared" si="39"/>
        <v>B16</v>
      </c>
    </row>
    <row r="133" spans="1:11" ht="30" customHeight="1" x14ac:dyDescent="0.25">
      <c r="A133" s="12" t="str">
        <f t="shared" si="38"/>
        <v>РПВ (В16)</v>
      </c>
      <c r="B133" s="19"/>
      <c r="C133" s="20"/>
      <c r="D133" s="21"/>
      <c r="E133" s="23"/>
      <c r="F133" s="25"/>
      <c r="G133" s="24">
        <f ca="1">SUM(G124:G132)</f>
        <v>24866.400000000001</v>
      </c>
      <c r="H133" s="20"/>
      <c r="I133" s="22"/>
      <c r="J133" s="20"/>
      <c r="K133" s="12" t="str">
        <f t="shared" si="39"/>
        <v>B16</v>
      </c>
    </row>
    <row r="134" spans="1:11" ht="39.75" customHeight="1" x14ac:dyDescent="0.25">
      <c r="A134" s="5" t="str">
        <f>D134</f>
        <v> ЯВЗ-31-IP54 УХЛ2 100А</v>
      </c>
      <c r="B134" s="6"/>
      <c r="C134" s="7"/>
      <c r="D134" s="6" t="s">
        <v>38</v>
      </c>
      <c r="E134" s="8"/>
      <c r="F134" s="8"/>
      <c r="G134" s="9"/>
      <c r="H134" s="10">
        <v>1</v>
      </c>
      <c r="I134" s="11" t="s">
        <v>11</v>
      </c>
      <c r="J134" s="6" t="s">
        <v>12</v>
      </c>
      <c r="K134" s="5" t="s">
        <v>85</v>
      </c>
    </row>
    <row r="135" spans="1:11" ht="21" customHeight="1" x14ac:dyDescent="0.25">
      <c r="A135" s="12" t="str">
        <f>A134</f>
        <v> ЯВЗ-31-IP54 УХЛ2 100А</v>
      </c>
      <c r="B135" s="13" t="s">
        <v>14</v>
      </c>
      <c r="C135" s="14" t="s">
        <v>39</v>
      </c>
      <c r="D135" s="12" t="s">
        <v>40</v>
      </c>
      <c r="E135" s="13"/>
      <c r="F135" s="15">
        <f>E135*0.6</f>
        <v>0</v>
      </c>
      <c r="G135" s="15">
        <f>H135*F135</f>
        <v>0</v>
      </c>
      <c r="H135" s="16">
        <v>1</v>
      </c>
      <c r="I135" s="17" t="s">
        <v>17</v>
      </c>
      <c r="J135" s="13" t="s">
        <v>18</v>
      </c>
      <c r="K135" s="12" t="str">
        <f>K134</f>
        <v>B16</v>
      </c>
    </row>
    <row r="136" spans="1:11" ht="21" customHeight="1" x14ac:dyDescent="0.25">
      <c r="A136" s="12" t="str">
        <f t="shared" ref="A136:A141" si="40">A135</f>
        <v> ЯВЗ-31-IP54 УХЛ2 100А</v>
      </c>
      <c r="B136" s="13" t="s">
        <v>41</v>
      </c>
      <c r="C136" s="14" t="s">
        <v>42</v>
      </c>
      <c r="D136" s="12" t="s">
        <v>43</v>
      </c>
      <c r="E136" s="13">
        <v>1545</v>
      </c>
      <c r="F136" s="15">
        <f>E136*0.6</f>
        <v>927</v>
      </c>
      <c r="G136" s="15">
        <f>F136*H136</f>
        <v>2781</v>
      </c>
      <c r="H136" s="16">
        <v>3</v>
      </c>
      <c r="I136" s="17" t="s">
        <v>17</v>
      </c>
      <c r="J136" s="13" t="s">
        <v>22</v>
      </c>
      <c r="K136" s="12" t="str">
        <f t="shared" ref="K136:K141" si="41">K135</f>
        <v>B16</v>
      </c>
    </row>
    <row r="137" spans="1:11" ht="21" customHeight="1" x14ac:dyDescent="0.25">
      <c r="A137" s="12" t="str">
        <f t="shared" si="40"/>
        <v> ЯВЗ-31-IP54 УХЛ2 100А</v>
      </c>
      <c r="B137" s="13" t="s">
        <v>41</v>
      </c>
      <c r="C137" s="14" t="s">
        <v>44</v>
      </c>
      <c r="D137" s="12" t="s">
        <v>45</v>
      </c>
      <c r="E137" s="13">
        <v>2038</v>
      </c>
      <c r="F137" s="15">
        <f>E137*0.6</f>
        <v>1222.8</v>
      </c>
      <c r="G137" s="15">
        <f>F137*H137</f>
        <v>3668.3999999999996</v>
      </c>
      <c r="H137" s="16">
        <v>3</v>
      </c>
      <c r="I137" s="17" t="s">
        <v>17</v>
      </c>
      <c r="J137" s="13" t="s">
        <v>22</v>
      </c>
      <c r="K137" s="12" t="str">
        <f t="shared" si="41"/>
        <v>B16</v>
      </c>
    </row>
    <row r="138" spans="1:11" ht="21" customHeight="1" x14ac:dyDescent="0.25">
      <c r="A138" s="12" t="str">
        <f t="shared" si="40"/>
        <v> ЯВЗ-31-IP54 УХЛ2 100А</v>
      </c>
      <c r="B138" s="13" t="s">
        <v>46</v>
      </c>
      <c r="C138" s="14" t="s">
        <v>47</v>
      </c>
      <c r="D138" s="12" t="s">
        <v>48</v>
      </c>
      <c r="E138" s="13">
        <v>6835</v>
      </c>
      <c r="F138" s="15">
        <f>E138</f>
        <v>6835</v>
      </c>
      <c r="G138" s="15">
        <f>F138*H138</f>
        <v>6835</v>
      </c>
      <c r="H138" s="16">
        <v>1</v>
      </c>
      <c r="I138" s="17" t="s">
        <v>17</v>
      </c>
      <c r="J138" s="13" t="s">
        <v>49</v>
      </c>
      <c r="K138" s="12" t="str">
        <f t="shared" si="41"/>
        <v>B16</v>
      </c>
    </row>
    <row r="139" spans="1:11" ht="24" customHeight="1" x14ac:dyDescent="0.25">
      <c r="A139" s="12" t="str">
        <f t="shared" si="40"/>
        <v> ЯВЗ-31-IP54 УХЛ2 100А</v>
      </c>
      <c r="B139" s="12" t="s">
        <v>33</v>
      </c>
      <c r="C139" s="18" t="s">
        <v>33</v>
      </c>
      <c r="D139" s="12" t="s">
        <v>33</v>
      </c>
      <c r="E139" s="12">
        <f ca="1">OFFSET(E139,1,2)</f>
        <v>0</v>
      </c>
      <c r="F139" s="15">
        <f ca="1">E139</f>
        <v>0</v>
      </c>
      <c r="G139" s="15">
        <f ca="1">F139*H139</f>
        <v>0</v>
      </c>
      <c r="H139" s="12"/>
      <c r="I139" s="12" t="s">
        <v>17</v>
      </c>
      <c r="J139" s="12" t="s">
        <v>33</v>
      </c>
      <c r="K139" s="12" t="str">
        <f t="shared" si="41"/>
        <v>B16</v>
      </c>
    </row>
    <row r="140" spans="1:11" ht="21" customHeight="1" x14ac:dyDescent="0.25">
      <c r="A140" s="12" t="str">
        <f t="shared" si="40"/>
        <v> ЯВЗ-31-IP54 УХЛ2 100А</v>
      </c>
      <c r="B140" s="12" t="s">
        <v>34</v>
      </c>
      <c r="C140" s="18" t="s">
        <v>34</v>
      </c>
      <c r="D140" s="12" t="s">
        <v>34</v>
      </c>
      <c r="E140" s="12"/>
      <c r="F140" s="15">
        <v>100</v>
      </c>
      <c r="G140" s="15">
        <f>60*E140*F140</f>
        <v>0</v>
      </c>
      <c r="H140" s="12">
        <f>60*E140</f>
        <v>0</v>
      </c>
      <c r="I140" s="12" t="s">
        <v>17</v>
      </c>
      <c r="J140" s="12" t="s">
        <v>34</v>
      </c>
      <c r="K140" s="12" t="str">
        <f t="shared" si="41"/>
        <v>B16</v>
      </c>
    </row>
    <row r="141" spans="1:11" ht="30" customHeight="1" x14ac:dyDescent="0.25">
      <c r="A141" s="12" t="str">
        <f t="shared" si="40"/>
        <v> ЯВЗ-31-IP54 УХЛ2 100А</v>
      </c>
      <c r="B141" s="19"/>
      <c r="C141" s="20"/>
      <c r="D141" s="21"/>
      <c r="E141" s="23"/>
      <c r="F141" s="25"/>
      <c r="G141" s="24">
        <f ca="1">SUM(G135:G140)</f>
        <v>13284.4</v>
      </c>
      <c r="H141" s="20"/>
      <c r="I141" s="22"/>
      <c r="J141" s="20"/>
      <c r="K141" s="12" t="str">
        <f t="shared" si="41"/>
        <v>B16</v>
      </c>
    </row>
    <row r="142" spans="1:11" ht="39.75" customHeight="1" x14ac:dyDescent="0.25">
      <c r="A142" s="5" t="str">
        <f>D142</f>
        <v>ЯТП-0,25-220/36 036УХЛ4</v>
      </c>
      <c r="B142" s="6"/>
      <c r="C142" s="7"/>
      <c r="D142" s="6" t="s">
        <v>50</v>
      </c>
      <c r="E142" s="8"/>
      <c r="F142" s="8"/>
      <c r="G142" s="9"/>
      <c r="H142" s="10">
        <v>1</v>
      </c>
      <c r="I142" s="11" t="s">
        <v>11</v>
      </c>
      <c r="J142" s="6" t="s">
        <v>12</v>
      </c>
      <c r="K142" s="5" t="s">
        <v>85</v>
      </c>
    </row>
    <row r="143" spans="1:11" ht="39.75" customHeight="1" x14ac:dyDescent="0.25">
      <c r="A143" s="5" t="str">
        <f>D143</f>
        <v>ГРЩ (В18)</v>
      </c>
      <c r="B143" s="6"/>
      <c r="C143" s="7"/>
      <c r="D143" s="6" t="s">
        <v>89</v>
      </c>
      <c r="E143" s="8"/>
      <c r="F143" s="8"/>
      <c r="G143" s="9"/>
      <c r="H143" s="10">
        <v>1</v>
      </c>
      <c r="I143" s="11" t="s">
        <v>11</v>
      </c>
      <c r="J143" s="6" t="s">
        <v>12</v>
      </c>
      <c r="K143" s="5" t="s">
        <v>90</v>
      </c>
    </row>
    <row r="144" spans="1:11" ht="21" customHeight="1" x14ac:dyDescent="0.25">
      <c r="A144" s="12" t="str">
        <f>A143</f>
        <v>ГРЩ (В18)</v>
      </c>
      <c r="B144" s="13" t="s">
        <v>14</v>
      </c>
      <c r="C144" s="14" t="s">
        <v>36</v>
      </c>
      <c r="D144" s="12" t="s">
        <v>37</v>
      </c>
      <c r="E144" s="13">
        <v>14695</v>
      </c>
      <c r="F144" s="15">
        <f>E144*0.6</f>
        <v>8817</v>
      </c>
      <c r="G144" s="15">
        <f>H144*F144</f>
        <v>8817</v>
      </c>
      <c r="H144" s="16">
        <v>1</v>
      </c>
      <c r="I144" s="17" t="s">
        <v>17</v>
      </c>
      <c r="J144" s="13" t="s">
        <v>18</v>
      </c>
      <c r="K144" s="12" t="str">
        <f>K143</f>
        <v>B18</v>
      </c>
    </row>
    <row r="145" spans="1:11" ht="21" customHeight="1" x14ac:dyDescent="0.25">
      <c r="A145" s="12" t="str">
        <f t="shared" ref="A145:A151" si="42">A144</f>
        <v>ГРЩ (В18)</v>
      </c>
      <c r="B145" s="13" t="s">
        <v>23</v>
      </c>
      <c r="C145" s="14" t="s">
        <v>91</v>
      </c>
      <c r="D145" s="12" t="s">
        <v>92</v>
      </c>
      <c r="E145" s="13">
        <v>2606</v>
      </c>
      <c r="F145" s="15">
        <f>E145*0.6</f>
        <v>1563.6</v>
      </c>
      <c r="G145" s="15">
        <f>F145*H145</f>
        <v>1563.6</v>
      </c>
      <c r="H145" s="16">
        <v>1</v>
      </c>
      <c r="I145" s="17" t="s">
        <v>17</v>
      </c>
      <c r="J145" s="13" t="s">
        <v>22</v>
      </c>
      <c r="K145" s="12" t="str">
        <f t="shared" ref="K145:K151" si="43">K144</f>
        <v>B18</v>
      </c>
    </row>
    <row r="146" spans="1:11" ht="21" customHeight="1" x14ac:dyDescent="0.25">
      <c r="A146" s="12" t="str">
        <f t="shared" si="42"/>
        <v>ГРЩ (В18)</v>
      </c>
      <c r="B146" s="13" t="s">
        <v>23</v>
      </c>
      <c r="C146" s="14" t="s">
        <v>57</v>
      </c>
      <c r="D146" s="12" t="s">
        <v>58</v>
      </c>
      <c r="E146" s="13">
        <v>2429</v>
      </c>
      <c r="F146" s="15">
        <f>E146*0.6</f>
        <v>1457.3999999999999</v>
      </c>
      <c r="G146" s="15">
        <f>F146*H146</f>
        <v>2914.7999999999997</v>
      </c>
      <c r="H146" s="16">
        <v>2</v>
      </c>
      <c r="I146" s="17" t="s">
        <v>17</v>
      </c>
      <c r="J146" s="13" t="s">
        <v>22</v>
      </c>
      <c r="K146" s="12" t="str">
        <f t="shared" si="43"/>
        <v>B18</v>
      </c>
    </row>
    <row r="147" spans="1:11" ht="21" customHeight="1" x14ac:dyDescent="0.25">
      <c r="A147" s="12" t="str">
        <f t="shared" si="42"/>
        <v>ГРЩ (В18)</v>
      </c>
      <c r="B147" s="13" t="s">
        <v>23</v>
      </c>
      <c r="C147" s="14" t="s">
        <v>28</v>
      </c>
      <c r="D147" s="12" t="s">
        <v>29</v>
      </c>
      <c r="E147" s="13">
        <v>1389</v>
      </c>
      <c r="F147" s="15">
        <f>E147*0.6</f>
        <v>833.4</v>
      </c>
      <c r="G147" s="15">
        <f>F147*H147</f>
        <v>4167</v>
      </c>
      <c r="H147" s="16">
        <v>5</v>
      </c>
      <c r="I147" s="17" t="s">
        <v>17</v>
      </c>
      <c r="J147" s="13" t="s">
        <v>22</v>
      </c>
      <c r="K147" s="12" t="str">
        <f t="shared" si="43"/>
        <v>B18</v>
      </c>
    </row>
    <row r="148" spans="1:11" ht="21" customHeight="1" x14ac:dyDescent="0.25">
      <c r="A148" s="12" t="str">
        <f t="shared" si="42"/>
        <v>ГРЩ (В18)</v>
      </c>
      <c r="B148" s="13" t="s">
        <v>30</v>
      </c>
      <c r="C148" s="14" t="s">
        <v>59</v>
      </c>
      <c r="D148" s="12" t="s">
        <v>60</v>
      </c>
      <c r="E148" s="13">
        <v>5354</v>
      </c>
      <c r="F148" s="15">
        <f>E148*0.6</f>
        <v>3212.4</v>
      </c>
      <c r="G148" s="15">
        <f>F148*H148</f>
        <v>3212.4</v>
      </c>
      <c r="H148" s="16">
        <v>1</v>
      </c>
      <c r="I148" s="17" t="s">
        <v>17</v>
      </c>
      <c r="J148" s="13" t="s">
        <v>22</v>
      </c>
      <c r="K148" s="12" t="str">
        <f t="shared" si="43"/>
        <v>B18</v>
      </c>
    </row>
    <row r="149" spans="1:11" ht="24" customHeight="1" x14ac:dyDescent="0.25">
      <c r="A149" s="12" t="str">
        <f t="shared" si="42"/>
        <v>ГРЩ (В18)</v>
      </c>
      <c r="B149" s="12" t="s">
        <v>33</v>
      </c>
      <c r="C149" s="18" t="s">
        <v>33</v>
      </c>
      <c r="D149" s="12" t="s">
        <v>33</v>
      </c>
      <c r="E149" s="12">
        <f ca="1">OFFSET(E149,1,2)</f>
        <v>0</v>
      </c>
      <c r="F149" s="15">
        <f ca="1">E149</f>
        <v>0</v>
      </c>
      <c r="G149" s="15">
        <f ca="1">F149*H149</f>
        <v>0</v>
      </c>
      <c r="H149" s="12"/>
      <c r="I149" s="12" t="s">
        <v>17</v>
      </c>
      <c r="J149" s="12" t="s">
        <v>33</v>
      </c>
      <c r="K149" s="12" t="str">
        <f t="shared" si="43"/>
        <v>B18</v>
      </c>
    </row>
    <row r="150" spans="1:11" ht="21" customHeight="1" x14ac:dyDescent="0.25">
      <c r="A150" s="12" t="str">
        <f t="shared" si="42"/>
        <v>ГРЩ (В18)</v>
      </c>
      <c r="B150" s="12" t="s">
        <v>34</v>
      </c>
      <c r="C150" s="18" t="s">
        <v>34</v>
      </c>
      <c r="D150" s="12" t="s">
        <v>34</v>
      </c>
      <c r="E150" s="12"/>
      <c r="F150" s="15">
        <v>100</v>
      </c>
      <c r="G150" s="15">
        <f>60*E150*F150</f>
        <v>0</v>
      </c>
      <c r="H150" s="12">
        <f>60*E150</f>
        <v>0</v>
      </c>
      <c r="I150" s="12" t="s">
        <v>17</v>
      </c>
      <c r="J150" s="12" t="s">
        <v>34</v>
      </c>
      <c r="K150" s="12" t="str">
        <f t="shared" si="43"/>
        <v>B18</v>
      </c>
    </row>
    <row r="151" spans="1:11" ht="30" customHeight="1" x14ac:dyDescent="0.25">
      <c r="A151" s="12" t="str">
        <f t="shared" si="42"/>
        <v>ГРЩ (В18)</v>
      </c>
      <c r="B151" s="19"/>
      <c r="C151" s="20"/>
      <c r="D151" s="21"/>
      <c r="E151" s="23"/>
      <c r="F151" s="25"/>
      <c r="G151" s="24">
        <f ca="1">SUM(G144:G150)</f>
        <v>20674.800000000003</v>
      </c>
      <c r="H151" s="20"/>
      <c r="I151" s="22"/>
      <c r="J151" s="20"/>
      <c r="K151" s="12" t="str">
        <f t="shared" si="43"/>
        <v>B18</v>
      </c>
    </row>
    <row r="152" spans="1:11" ht="39.75" customHeight="1" x14ac:dyDescent="0.25">
      <c r="A152" s="5" t="str">
        <f>D152</f>
        <v>РПВ (В18)</v>
      </c>
      <c r="B152" s="6"/>
      <c r="C152" s="7"/>
      <c r="D152" s="6" t="s">
        <v>93</v>
      </c>
      <c r="E152" s="8"/>
      <c r="F152" s="8"/>
      <c r="G152" s="9"/>
      <c r="H152" s="10">
        <v>1</v>
      </c>
      <c r="I152" s="11" t="s">
        <v>11</v>
      </c>
      <c r="J152" s="6" t="s">
        <v>12</v>
      </c>
      <c r="K152" s="5" t="s">
        <v>90</v>
      </c>
    </row>
    <row r="153" spans="1:11" ht="21" customHeight="1" x14ac:dyDescent="0.25">
      <c r="A153" s="12" t="str">
        <f t="shared" ref="A153:A158" si="44">A152</f>
        <v>РПВ (В18)</v>
      </c>
      <c r="B153" s="13" t="s">
        <v>14</v>
      </c>
      <c r="C153" s="14" t="s">
        <v>75</v>
      </c>
      <c r="D153" s="12" t="s">
        <v>76</v>
      </c>
      <c r="E153" s="13">
        <v>10270</v>
      </c>
      <c r="F153" s="15">
        <f>E153*0.6</f>
        <v>6162</v>
      </c>
      <c r="G153" s="15">
        <f>H153*F153</f>
        <v>6162</v>
      </c>
      <c r="H153" s="16">
        <v>1</v>
      </c>
      <c r="I153" s="17" t="s">
        <v>17</v>
      </c>
      <c r="J153" s="13" t="s">
        <v>18</v>
      </c>
      <c r="K153" s="12" t="str">
        <f t="shared" ref="K153:K158" si="45">K152</f>
        <v>B18</v>
      </c>
    </row>
    <row r="154" spans="1:11" ht="21" customHeight="1" x14ac:dyDescent="0.25">
      <c r="A154" s="12" t="str">
        <f t="shared" si="44"/>
        <v>РПВ (В18)</v>
      </c>
      <c r="B154" s="13" t="s">
        <v>23</v>
      </c>
      <c r="C154" s="14" t="s">
        <v>26</v>
      </c>
      <c r="D154" s="12" t="s">
        <v>27</v>
      </c>
      <c r="E154" s="13">
        <v>2337</v>
      </c>
      <c r="F154" s="15">
        <f>E154*0.6</f>
        <v>1402.2</v>
      </c>
      <c r="G154" s="15">
        <f>F154*H154</f>
        <v>2804.4</v>
      </c>
      <c r="H154" s="16">
        <v>2</v>
      </c>
      <c r="I154" s="17" t="s">
        <v>17</v>
      </c>
      <c r="J154" s="13" t="s">
        <v>22</v>
      </c>
      <c r="K154" s="12" t="str">
        <f t="shared" si="45"/>
        <v>B18</v>
      </c>
    </row>
    <row r="155" spans="1:11" ht="21" customHeight="1" x14ac:dyDescent="0.25">
      <c r="A155" s="12" t="str">
        <f t="shared" si="44"/>
        <v>РПВ (В18)</v>
      </c>
      <c r="B155" s="13" t="s">
        <v>23</v>
      </c>
      <c r="C155" s="14" t="s">
        <v>28</v>
      </c>
      <c r="D155" s="12" t="s">
        <v>29</v>
      </c>
      <c r="E155" s="13">
        <v>1389</v>
      </c>
      <c r="F155" s="15">
        <f>E155*0.6</f>
        <v>833.4</v>
      </c>
      <c r="G155" s="15">
        <f>F155*H155</f>
        <v>3333.6</v>
      </c>
      <c r="H155" s="16">
        <v>4</v>
      </c>
      <c r="I155" s="17" t="s">
        <v>17</v>
      </c>
      <c r="J155" s="13" t="s">
        <v>22</v>
      </c>
      <c r="K155" s="12" t="str">
        <f t="shared" si="45"/>
        <v>B18</v>
      </c>
    </row>
    <row r="156" spans="1:11" ht="24" customHeight="1" x14ac:dyDescent="0.25">
      <c r="A156" s="12" t="str">
        <f t="shared" si="44"/>
        <v>РПВ (В18)</v>
      </c>
      <c r="B156" s="12" t="s">
        <v>33</v>
      </c>
      <c r="C156" s="18" t="s">
        <v>33</v>
      </c>
      <c r="D156" s="12" t="s">
        <v>33</v>
      </c>
      <c r="E156" s="12">
        <f ca="1">OFFSET(E156,1,2)</f>
        <v>0</v>
      </c>
      <c r="F156" s="15">
        <f ca="1">E156</f>
        <v>0</v>
      </c>
      <c r="G156" s="15">
        <f ca="1">F156*H156</f>
        <v>0</v>
      </c>
      <c r="H156" s="12"/>
      <c r="I156" s="12" t="s">
        <v>17</v>
      </c>
      <c r="J156" s="12" t="s">
        <v>33</v>
      </c>
      <c r="K156" s="12" t="str">
        <f t="shared" si="45"/>
        <v>B18</v>
      </c>
    </row>
    <row r="157" spans="1:11" ht="21" customHeight="1" x14ac:dyDescent="0.25">
      <c r="A157" s="12" t="str">
        <f t="shared" si="44"/>
        <v>РПВ (В18)</v>
      </c>
      <c r="B157" s="12" t="s">
        <v>34</v>
      </c>
      <c r="C157" s="18" t="s">
        <v>34</v>
      </c>
      <c r="D157" s="12" t="s">
        <v>34</v>
      </c>
      <c r="E157" s="12"/>
      <c r="F157" s="15">
        <v>100</v>
      </c>
      <c r="G157" s="15">
        <f>60*E157*F157</f>
        <v>0</v>
      </c>
      <c r="H157" s="12">
        <f>60*E157</f>
        <v>0</v>
      </c>
      <c r="I157" s="12" t="s">
        <v>17</v>
      </c>
      <c r="J157" s="12" t="s">
        <v>34</v>
      </c>
      <c r="K157" s="12" t="str">
        <f t="shared" si="45"/>
        <v>B18</v>
      </c>
    </row>
    <row r="158" spans="1:11" ht="30" customHeight="1" x14ac:dyDescent="0.25">
      <c r="A158" s="12" t="str">
        <f t="shared" si="44"/>
        <v>РПВ (В18)</v>
      </c>
      <c r="B158" s="19"/>
      <c r="C158" s="20"/>
      <c r="D158" s="21"/>
      <c r="E158" s="23"/>
      <c r="F158" s="25"/>
      <c r="G158" s="24">
        <f ca="1">SUM(G153:G157)</f>
        <v>12300</v>
      </c>
      <c r="H158" s="20"/>
      <c r="I158" s="22"/>
      <c r="J158" s="20"/>
      <c r="K158" s="12" t="str">
        <f t="shared" si="45"/>
        <v>B18</v>
      </c>
    </row>
    <row r="159" spans="1:11" ht="39.75" customHeight="1" x14ac:dyDescent="0.25">
      <c r="A159" s="5" t="str">
        <f>D159</f>
        <v>ЯТП-0,25-220/36 036УХЛ4</v>
      </c>
      <c r="B159" s="6"/>
      <c r="C159" s="7"/>
      <c r="D159" s="6" t="s">
        <v>50</v>
      </c>
      <c r="E159" s="8"/>
      <c r="F159" s="8"/>
      <c r="G159" s="9"/>
      <c r="H159" s="10">
        <v>1</v>
      </c>
      <c r="I159" s="11" t="s">
        <v>11</v>
      </c>
      <c r="J159" s="6" t="s">
        <v>12</v>
      </c>
      <c r="K159" s="5" t="s">
        <v>90</v>
      </c>
    </row>
    <row r="160" spans="1:11" ht="39.75" customHeight="1" x14ac:dyDescent="0.25">
      <c r="A160" s="5" t="str">
        <f>D160</f>
        <v>ГРЩ (В19)</v>
      </c>
      <c r="B160" s="6"/>
      <c r="C160" s="7"/>
      <c r="D160" s="6" t="s">
        <v>94</v>
      </c>
      <c r="E160" s="8"/>
      <c r="F160" s="8"/>
      <c r="G160" s="9"/>
      <c r="H160" s="10">
        <v>1</v>
      </c>
      <c r="I160" s="11" t="s">
        <v>11</v>
      </c>
      <c r="J160" s="6" t="s">
        <v>12</v>
      </c>
      <c r="K160" s="5" t="s">
        <v>95</v>
      </c>
    </row>
    <row r="161" spans="1:11" ht="21" customHeight="1" x14ac:dyDescent="0.25">
      <c r="A161" s="12" t="str">
        <f>A160</f>
        <v>ГРЩ (В19)</v>
      </c>
      <c r="B161" s="13" t="s">
        <v>14</v>
      </c>
      <c r="C161" s="14" t="s">
        <v>96</v>
      </c>
      <c r="D161" s="12" t="s">
        <v>97</v>
      </c>
      <c r="E161" s="13">
        <v>9425</v>
      </c>
      <c r="F161" s="15">
        <f t="shared" ref="F161:F166" si="46">E161*0.6</f>
        <v>5655</v>
      </c>
      <c r="G161" s="15">
        <f>H161*F161</f>
        <v>5655</v>
      </c>
      <c r="H161" s="16">
        <v>1</v>
      </c>
      <c r="I161" s="17" t="s">
        <v>17</v>
      </c>
      <c r="J161" s="13" t="s">
        <v>18</v>
      </c>
      <c r="K161" s="12" t="str">
        <f>K160</f>
        <v>B19</v>
      </c>
    </row>
    <row r="162" spans="1:11" ht="21" customHeight="1" x14ac:dyDescent="0.25">
      <c r="A162" s="12" t="str">
        <f>A161</f>
        <v>ГРЩ (В19)</v>
      </c>
      <c r="B162" s="13" t="s">
        <v>23</v>
      </c>
      <c r="C162" s="14" t="s">
        <v>91</v>
      </c>
      <c r="D162" s="12" t="s">
        <v>92</v>
      </c>
      <c r="E162" s="13">
        <v>2606</v>
      </c>
      <c r="F162" s="15">
        <f t="shared" si="46"/>
        <v>1563.6</v>
      </c>
      <c r="G162" s="15">
        <f t="shared" ref="G162:G167" si="47">F162*H162</f>
        <v>1563.6</v>
      </c>
      <c r="H162" s="16">
        <v>1</v>
      </c>
      <c r="I162" s="17" t="s">
        <v>17</v>
      </c>
      <c r="J162" s="13" t="s">
        <v>22</v>
      </c>
      <c r="K162" s="12" t="str">
        <f>K161</f>
        <v>B19</v>
      </c>
    </row>
    <row r="163" spans="1:11" ht="21" customHeight="1" x14ac:dyDescent="0.25">
      <c r="A163" s="12" t="str">
        <f>A162</f>
        <v>ГРЩ (В19)</v>
      </c>
      <c r="B163" s="13" t="s">
        <v>23</v>
      </c>
      <c r="C163" s="14" t="s">
        <v>57</v>
      </c>
      <c r="D163" s="12" t="s">
        <v>58</v>
      </c>
      <c r="E163" s="13">
        <v>2429</v>
      </c>
      <c r="F163" s="15">
        <f t="shared" si="46"/>
        <v>1457.3999999999999</v>
      </c>
      <c r="G163" s="15">
        <f t="shared" si="47"/>
        <v>1457.3999999999999</v>
      </c>
      <c r="H163" s="16">
        <v>1</v>
      </c>
      <c r="I163" s="17" t="s">
        <v>17</v>
      </c>
      <c r="J163" s="13" t="s">
        <v>22</v>
      </c>
      <c r="K163" s="12" t="str">
        <f>K162</f>
        <v>B19</v>
      </c>
    </row>
    <row r="164" spans="1:11" ht="21" customHeight="1" x14ac:dyDescent="0.25">
      <c r="A164" s="12" t="str">
        <f t="shared" ref="A164:A169" si="48">A163</f>
        <v>ГРЩ (В19)</v>
      </c>
      <c r="B164" s="13" t="s">
        <v>23</v>
      </c>
      <c r="C164" s="14" t="s">
        <v>26</v>
      </c>
      <c r="D164" s="12" t="s">
        <v>27</v>
      </c>
      <c r="E164" s="13">
        <v>2337</v>
      </c>
      <c r="F164" s="15">
        <f t="shared" si="46"/>
        <v>1402.2</v>
      </c>
      <c r="G164" s="15">
        <f t="shared" si="47"/>
        <v>2804.4</v>
      </c>
      <c r="H164" s="16">
        <v>2</v>
      </c>
      <c r="I164" s="17" t="s">
        <v>17</v>
      </c>
      <c r="J164" s="13" t="s">
        <v>22</v>
      </c>
      <c r="K164" s="12" t="str">
        <f t="shared" ref="K164:K169" si="49">K163</f>
        <v>B19</v>
      </c>
    </row>
    <row r="165" spans="1:11" ht="21" customHeight="1" x14ac:dyDescent="0.25">
      <c r="A165" s="12" t="str">
        <f t="shared" si="48"/>
        <v>ГРЩ (В19)</v>
      </c>
      <c r="B165" s="13" t="s">
        <v>23</v>
      </c>
      <c r="C165" s="14" t="s">
        <v>28</v>
      </c>
      <c r="D165" s="12" t="s">
        <v>29</v>
      </c>
      <c r="E165" s="13">
        <v>1389</v>
      </c>
      <c r="F165" s="15">
        <f t="shared" si="46"/>
        <v>833.4</v>
      </c>
      <c r="G165" s="15">
        <f t="shared" si="47"/>
        <v>2500.1999999999998</v>
      </c>
      <c r="H165" s="16">
        <v>3</v>
      </c>
      <c r="I165" s="17" t="s">
        <v>17</v>
      </c>
      <c r="J165" s="13" t="s">
        <v>22</v>
      </c>
      <c r="K165" s="12" t="str">
        <f t="shared" si="49"/>
        <v>B19</v>
      </c>
    </row>
    <row r="166" spans="1:11" ht="21" customHeight="1" x14ac:dyDescent="0.25">
      <c r="A166" s="12" t="str">
        <f t="shared" si="48"/>
        <v>ГРЩ (В19)</v>
      </c>
      <c r="B166" s="13" t="s">
        <v>30</v>
      </c>
      <c r="C166" s="14" t="s">
        <v>59</v>
      </c>
      <c r="D166" s="12" t="s">
        <v>60</v>
      </c>
      <c r="E166" s="13">
        <v>5354</v>
      </c>
      <c r="F166" s="15">
        <f t="shared" si="46"/>
        <v>3212.4</v>
      </c>
      <c r="G166" s="15">
        <f t="shared" si="47"/>
        <v>3212.4</v>
      </c>
      <c r="H166" s="16">
        <v>1</v>
      </c>
      <c r="I166" s="17" t="s">
        <v>17</v>
      </c>
      <c r="J166" s="13" t="s">
        <v>22</v>
      </c>
      <c r="K166" s="12" t="str">
        <f t="shared" si="49"/>
        <v>B19</v>
      </c>
    </row>
    <row r="167" spans="1:11" ht="24" customHeight="1" x14ac:dyDescent="0.25">
      <c r="A167" s="12" t="str">
        <f t="shared" si="48"/>
        <v>ГРЩ (В19)</v>
      </c>
      <c r="B167" s="12" t="s">
        <v>33</v>
      </c>
      <c r="C167" s="18" t="s">
        <v>33</v>
      </c>
      <c r="D167" s="12" t="s">
        <v>33</v>
      </c>
      <c r="E167" s="12">
        <f ca="1">OFFSET(E167,1,2)</f>
        <v>0</v>
      </c>
      <c r="F167" s="15">
        <f ca="1">E167</f>
        <v>0</v>
      </c>
      <c r="G167" s="15">
        <f t="shared" ca="1" si="47"/>
        <v>0</v>
      </c>
      <c r="H167" s="12"/>
      <c r="I167" s="12" t="s">
        <v>17</v>
      </c>
      <c r="J167" s="12" t="s">
        <v>33</v>
      </c>
      <c r="K167" s="12" t="str">
        <f t="shared" si="49"/>
        <v>B19</v>
      </c>
    </row>
    <row r="168" spans="1:11" ht="21" customHeight="1" x14ac:dyDescent="0.25">
      <c r="A168" s="12" t="str">
        <f t="shared" si="48"/>
        <v>ГРЩ (В19)</v>
      </c>
      <c r="B168" s="12" t="s">
        <v>34</v>
      </c>
      <c r="C168" s="18" t="s">
        <v>34</v>
      </c>
      <c r="D168" s="12" t="s">
        <v>34</v>
      </c>
      <c r="E168" s="12"/>
      <c r="F168" s="15">
        <v>100</v>
      </c>
      <c r="G168" s="15">
        <f>60*E168*F168</f>
        <v>0</v>
      </c>
      <c r="H168" s="12">
        <f>60*E168</f>
        <v>0</v>
      </c>
      <c r="I168" s="12" t="s">
        <v>17</v>
      </c>
      <c r="J168" s="12" t="s">
        <v>34</v>
      </c>
      <c r="K168" s="12" t="str">
        <f t="shared" si="49"/>
        <v>B19</v>
      </c>
    </row>
    <row r="169" spans="1:11" ht="30" customHeight="1" x14ac:dyDescent="0.25">
      <c r="A169" s="12" t="str">
        <f t="shared" si="48"/>
        <v>ГРЩ (В19)</v>
      </c>
      <c r="B169" s="19"/>
      <c r="C169" s="20"/>
      <c r="D169" s="21"/>
      <c r="E169" s="23"/>
      <c r="F169" s="25"/>
      <c r="G169" s="24">
        <f ca="1">SUM(G161:G168)</f>
        <v>17193</v>
      </c>
      <c r="H169" s="20"/>
      <c r="I169" s="22"/>
      <c r="J169" s="20"/>
      <c r="K169" s="12" t="str">
        <f t="shared" si="49"/>
        <v>B19</v>
      </c>
    </row>
    <row r="170" spans="1:11" ht="39.75" customHeight="1" x14ac:dyDescent="0.25">
      <c r="A170" s="5" t="str">
        <f>D170</f>
        <v>РПВ (В19)</v>
      </c>
      <c r="B170" s="6"/>
      <c r="C170" s="7"/>
      <c r="D170" s="6" t="s">
        <v>98</v>
      </c>
      <c r="E170" s="8"/>
      <c r="F170" s="8"/>
      <c r="G170" s="9"/>
      <c r="H170" s="10">
        <v>1</v>
      </c>
      <c r="I170" s="11" t="s">
        <v>11</v>
      </c>
      <c r="J170" s="6" t="s">
        <v>12</v>
      </c>
      <c r="K170" s="5" t="s">
        <v>95</v>
      </c>
    </row>
    <row r="171" spans="1:11" ht="21" customHeight="1" x14ac:dyDescent="0.25">
      <c r="A171" s="12" t="str">
        <f>A170</f>
        <v>РПВ (В19)</v>
      </c>
      <c r="B171" s="13" t="s">
        <v>14</v>
      </c>
      <c r="C171" s="14" t="s">
        <v>99</v>
      </c>
      <c r="D171" s="12" t="s">
        <v>100</v>
      </c>
      <c r="E171" s="13">
        <v>7650</v>
      </c>
      <c r="F171" s="15">
        <f>E171*0.6</f>
        <v>4590</v>
      </c>
      <c r="G171" s="15">
        <f>H171*F171</f>
        <v>4590</v>
      </c>
      <c r="H171" s="16">
        <v>1</v>
      </c>
      <c r="I171" s="17" t="s">
        <v>17</v>
      </c>
      <c r="J171" s="13" t="s">
        <v>18</v>
      </c>
      <c r="K171" s="12" t="str">
        <f>K170</f>
        <v>B19</v>
      </c>
    </row>
    <row r="172" spans="1:11" ht="21" customHeight="1" x14ac:dyDescent="0.25">
      <c r="A172" s="12" t="str">
        <f t="shared" ref="A172:A177" si="50">A171</f>
        <v>РПВ (В19)</v>
      </c>
      <c r="B172" s="13" t="s">
        <v>23</v>
      </c>
      <c r="C172" s="14" t="s">
        <v>81</v>
      </c>
      <c r="D172" s="12" t="s">
        <v>82</v>
      </c>
      <c r="E172" s="13">
        <v>2499</v>
      </c>
      <c r="F172" s="15">
        <f>E172*0.6</f>
        <v>1499.3999999999999</v>
      </c>
      <c r="G172" s="15">
        <f>F172*H172</f>
        <v>1499.3999999999999</v>
      </c>
      <c r="H172" s="16">
        <v>1</v>
      </c>
      <c r="I172" s="17" t="s">
        <v>17</v>
      </c>
      <c r="J172" s="13" t="s">
        <v>22</v>
      </c>
      <c r="K172" s="12" t="str">
        <f t="shared" ref="K172:K177" si="51">K171</f>
        <v>B19</v>
      </c>
    </row>
    <row r="173" spans="1:11" ht="21" customHeight="1" x14ac:dyDescent="0.25">
      <c r="A173" s="12" t="str">
        <f t="shared" si="50"/>
        <v>РПВ (В19)</v>
      </c>
      <c r="B173" s="13" t="s">
        <v>23</v>
      </c>
      <c r="C173" s="14" t="s">
        <v>26</v>
      </c>
      <c r="D173" s="12" t="s">
        <v>27</v>
      </c>
      <c r="E173" s="13">
        <v>2337</v>
      </c>
      <c r="F173" s="15">
        <f>E173*0.6</f>
        <v>1402.2</v>
      </c>
      <c r="G173" s="15">
        <f>F173*H173</f>
        <v>1402.2</v>
      </c>
      <c r="H173" s="16">
        <v>1</v>
      </c>
      <c r="I173" s="17" t="s">
        <v>17</v>
      </c>
      <c r="J173" s="13" t="s">
        <v>22</v>
      </c>
      <c r="K173" s="12" t="str">
        <f t="shared" si="51"/>
        <v>B19</v>
      </c>
    </row>
    <row r="174" spans="1:11" ht="21" customHeight="1" x14ac:dyDescent="0.25">
      <c r="A174" s="12" t="str">
        <f t="shared" si="50"/>
        <v>РПВ (В19)</v>
      </c>
      <c r="B174" s="13" t="s">
        <v>23</v>
      </c>
      <c r="C174" s="14" t="s">
        <v>28</v>
      </c>
      <c r="D174" s="12" t="s">
        <v>29</v>
      </c>
      <c r="E174" s="13">
        <v>1389</v>
      </c>
      <c r="F174" s="15">
        <f>E174*0.6</f>
        <v>833.4</v>
      </c>
      <c r="G174" s="15">
        <f>F174*H174</f>
        <v>2500.1999999999998</v>
      </c>
      <c r="H174" s="16">
        <v>3</v>
      </c>
      <c r="I174" s="17" t="s">
        <v>17</v>
      </c>
      <c r="J174" s="13" t="s">
        <v>22</v>
      </c>
      <c r="K174" s="12" t="str">
        <f t="shared" si="51"/>
        <v>B19</v>
      </c>
    </row>
    <row r="175" spans="1:11" ht="24" customHeight="1" x14ac:dyDescent="0.25">
      <c r="A175" s="12" t="str">
        <f t="shared" si="50"/>
        <v>РПВ (В19)</v>
      </c>
      <c r="B175" s="12" t="s">
        <v>33</v>
      </c>
      <c r="C175" s="18" t="s">
        <v>33</v>
      </c>
      <c r="D175" s="12" t="s">
        <v>33</v>
      </c>
      <c r="E175" s="12">
        <f ca="1">OFFSET(E175,1,2)</f>
        <v>0</v>
      </c>
      <c r="F175" s="15">
        <f ca="1">E175</f>
        <v>0</v>
      </c>
      <c r="G175" s="15">
        <f ca="1">F175*H175</f>
        <v>0</v>
      </c>
      <c r="H175" s="12"/>
      <c r="I175" s="12" t="s">
        <v>17</v>
      </c>
      <c r="J175" s="12" t="s">
        <v>33</v>
      </c>
      <c r="K175" s="12" t="str">
        <f t="shared" si="51"/>
        <v>B19</v>
      </c>
    </row>
    <row r="176" spans="1:11" ht="21" customHeight="1" x14ac:dyDescent="0.25">
      <c r="A176" s="12" t="str">
        <f t="shared" si="50"/>
        <v>РПВ (В19)</v>
      </c>
      <c r="B176" s="12" t="s">
        <v>34</v>
      </c>
      <c r="C176" s="18" t="s">
        <v>34</v>
      </c>
      <c r="D176" s="12" t="s">
        <v>34</v>
      </c>
      <c r="E176" s="12"/>
      <c r="F176" s="15">
        <v>100</v>
      </c>
      <c r="G176" s="15">
        <f>60*E176*F176</f>
        <v>0</v>
      </c>
      <c r="H176" s="12">
        <f>60*E176</f>
        <v>0</v>
      </c>
      <c r="I176" s="12" t="s">
        <v>17</v>
      </c>
      <c r="J176" s="12" t="s">
        <v>34</v>
      </c>
      <c r="K176" s="12" t="str">
        <f t="shared" si="51"/>
        <v>B19</v>
      </c>
    </row>
    <row r="177" spans="1:11" ht="30" customHeight="1" x14ac:dyDescent="0.25">
      <c r="A177" s="12" t="str">
        <f t="shared" si="50"/>
        <v>РПВ (В19)</v>
      </c>
      <c r="B177" s="19"/>
      <c r="C177" s="20"/>
      <c r="D177" s="21"/>
      <c r="E177" s="23"/>
      <c r="F177" s="25"/>
      <c r="G177" s="24">
        <f ca="1">SUM(G171:G176)</f>
        <v>9991.7999999999993</v>
      </c>
      <c r="H177" s="20"/>
      <c r="I177" s="22"/>
      <c r="J177" s="20"/>
      <c r="K177" s="12" t="str">
        <f t="shared" si="51"/>
        <v>B19</v>
      </c>
    </row>
    <row r="178" spans="1:11" ht="39.75" customHeight="1" x14ac:dyDescent="0.25">
      <c r="A178" s="5" t="str">
        <f>D178</f>
        <v> ЯВЗ-31-IP54 УХЛ2 100А</v>
      </c>
      <c r="B178" s="6"/>
      <c r="C178" s="7"/>
      <c r="D178" s="6" t="s">
        <v>38</v>
      </c>
      <c r="E178" s="8"/>
      <c r="F178" s="8"/>
      <c r="G178" s="9"/>
      <c r="H178" s="10">
        <v>1</v>
      </c>
      <c r="I178" s="11" t="s">
        <v>11</v>
      </c>
      <c r="J178" s="6" t="s">
        <v>12</v>
      </c>
      <c r="K178" s="5" t="s">
        <v>95</v>
      </c>
    </row>
    <row r="179" spans="1:11" ht="21" customHeight="1" x14ac:dyDescent="0.25">
      <c r="A179" s="12" t="str">
        <f>A178</f>
        <v> ЯВЗ-31-IP54 УХЛ2 100А</v>
      </c>
      <c r="B179" s="13" t="s">
        <v>14</v>
      </c>
      <c r="C179" s="14" t="s">
        <v>39</v>
      </c>
      <c r="D179" s="12" t="s">
        <v>40</v>
      </c>
      <c r="E179" s="13"/>
      <c r="F179" s="15">
        <f>E179*0.6</f>
        <v>0</v>
      </c>
      <c r="G179" s="15">
        <f>H179*F179</f>
        <v>0</v>
      </c>
      <c r="H179" s="16">
        <v>1</v>
      </c>
      <c r="I179" s="17" t="s">
        <v>17</v>
      </c>
      <c r="J179" s="13" t="s">
        <v>18</v>
      </c>
      <c r="K179" s="12" t="str">
        <f>K178</f>
        <v>B19</v>
      </c>
    </row>
    <row r="180" spans="1:11" ht="21" customHeight="1" x14ac:dyDescent="0.25">
      <c r="A180" s="12" t="str">
        <f t="shared" ref="A180:A185" si="52">A179</f>
        <v> ЯВЗ-31-IP54 УХЛ2 100А</v>
      </c>
      <c r="B180" s="13" t="s">
        <v>41</v>
      </c>
      <c r="C180" s="14" t="s">
        <v>42</v>
      </c>
      <c r="D180" s="12" t="s">
        <v>43</v>
      </c>
      <c r="E180" s="13">
        <v>1545</v>
      </c>
      <c r="F180" s="15">
        <f>E180*0.6</f>
        <v>927</v>
      </c>
      <c r="G180" s="15">
        <f>F180*H180</f>
        <v>2781</v>
      </c>
      <c r="H180" s="16">
        <v>3</v>
      </c>
      <c r="I180" s="17" t="s">
        <v>17</v>
      </c>
      <c r="J180" s="13" t="s">
        <v>22</v>
      </c>
      <c r="K180" s="12" t="str">
        <f t="shared" ref="K180:K185" si="53">K179</f>
        <v>B19</v>
      </c>
    </row>
    <row r="181" spans="1:11" ht="21" customHeight="1" x14ac:dyDescent="0.25">
      <c r="A181" s="12" t="str">
        <f t="shared" si="52"/>
        <v> ЯВЗ-31-IP54 УХЛ2 100А</v>
      </c>
      <c r="B181" s="13" t="s">
        <v>41</v>
      </c>
      <c r="C181" s="14" t="s">
        <v>44</v>
      </c>
      <c r="D181" s="12" t="s">
        <v>45</v>
      </c>
      <c r="E181" s="13">
        <v>2038</v>
      </c>
      <c r="F181" s="15">
        <f>E181*0.6</f>
        <v>1222.8</v>
      </c>
      <c r="G181" s="15">
        <f>F181*H181</f>
        <v>3668.3999999999996</v>
      </c>
      <c r="H181" s="16">
        <v>3</v>
      </c>
      <c r="I181" s="17" t="s">
        <v>17</v>
      </c>
      <c r="J181" s="13" t="s">
        <v>22</v>
      </c>
      <c r="K181" s="12" t="str">
        <f t="shared" si="53"/>
        <v>B19</v>
      </c>
    </row>
    <row r="182" spans="1:11" ht="21" customHeight="1" x14ac:dyDescent="0.25">
      <c r="A182" s="12" t="str">
        <f t="shared" si="52"/>
        <v> ЯВЗ-31-IP54 УХЛ2 100А</v>
      </c>
      <c r="B182" s="13" t="s">
        <v>46</v>
      </c>
      <c r="C182" s="14" t="s">
        <v>47</v>
      </c>
      <c r="D182" s="12" t="s">
        <v>48</v>
      </c>
      <c r="E182" s="13">
        <v>6835</v>
      </c>
      <c r="F182" s="15">
        <f>E182</f>
        <v>6835</v>
      </c>
      <c r="G182" s="15">
        <f>F182*H182</f>
        <v>6835</v>
      </c>
      <c r="H182" s="16">
        <v>1</v>
      </c>
      <c r="I182" s="17" t="s">
        <v>17</v>
      </c>
      <c r="J182" s="13" t="s">
        <v>49</v>
      </c>
      <c r="K182" s="12" t="str">
        <f t="shared" si="53"/>
        <v>B19</v>
      </c>
    </row>
    <row r="183" spans="1:11" ht="24" customHeight="1" x14ac:dyDescent="0.25">
      <c r="A183" s="12" t="str">
        <f t="shared" si="52"/>
        <v> ЯВЗ-31-IP54 УХЛ2 100А</v>
      </c>
      <c r="B183" s="12" t="s">
        <v>33</v>
      </c>
      <c r="C183" s="18" t="s">
        <v>33</v>
      </c>
      <c r="D183" s="12" t="s">
        <v>33</v>
      </c>
      <c r="E183" s="12">
        <f ca="1">OFFSET(E183,1,2)</f>
        <v>0</v>
      </c>
      <c r="F183" s="15">
        <f ca="1">E183</f>
        <v>0</v>
      </c>
      <c r="G183" s="15">
        <f ca="1">F183*H183</f>
        <v>0</v>
      </c>
      <c r="H183" s="12"/>
      <c r="I183" s="12" t="s">
        <v>17</v>
      </c>
      <c r="J183" s="12" t="s">
        <v>33</v>
      </c>
      <c r="K183" s="12" t="str">
        <f t="shared" si="53"/>
        <v>B19</v>
      </c>
    </row>
    <row r="184" spans="1:11" ht="21" customHeight="1" x14ac:dyDescent="0.25">
      <c r="A184" s="12" t="str">
        <f t="shared" si="52"/>
        <v> ЯВЗ-31-IP54 УХЛ2 100А</v>
      </c>
      <c r="B184" s="12" t="s">
        <v>34</v>
      </c>
      <c r="C184" s="18" t="s">
        <v>34</v>
      </c>
      <c r="D184" s="12" t="s">
        <v>34</v>
      </c>
      <c r="E184" s="12"/>
      <c r="F184" s="15">
        <v>100</v>
      </c>
      <c r="G184" s="15">
        <f>60*E184*F184</f>
        <v>0</v>
      </c>
      <c r="H184" s="12">
        <f>60*E184</f>
        <v>0</v>
      </c>
      <c r="I184" s="12" t="s">
        <v>17</v>
      </c>
      <c r="J184" s="12" t="s">
        <v>34</v>
      </c>
      <c r="K184" s="12" t="str">
        <f t="shared" si="53"/>
        <v>B19</v>
      </c>
    </row>
    <row r="185" spans="1:11" ht="30" customHeight="1" x14ac:dyDescent="0.25">
      <c r="A185" s="12" t="str">
        <f t="shared" si="52"/>
        <v> ЯВЗ-31-IP54 УХЛ2 100А</v>
      </c>
      <c r="B185" s="19"/>
      <c r="C185" s="20"/>
      <c r="D185" s="21"/>
      <c r="E185" s="23"/>
      <c r="F185" s="25"/>
      <c r="G185" s="24">
        <f ca="1">SUM(G179:G184)</f>
        <v>13284.4</v>
      </c>
      <c r="H185" s="20"/>
      <c r="I185" s="22"/>
      <c r="J185" s="20"/>
      <c r="K185" s="12" t="str">
        <f t="shared" si="53"/>
        <v>B19</v>
      </c>
    </row>
    <row r="186" spans="1:11" ht="39.75" customHeight="1" x14ac:dyDescent="0.25">
      <c r="A186" s="5" t="str">
        <f>D186</f>
        <v>ЯТП-0,25-220/36 036УХЛ4</v>
      </c>
      <c r="B186" s="6"/>
      <c r="C186" s="7"/>
      <c r="D186" s="6" t="s">
        <v>50</v>
      </c>
      <c r="E186" s="8"/>
      <c r="F186" s="8"/>
      <c r="G186" s="9"/>
      <c r="H186" s="10">
        <v>1</v>
      </c>
      <c r="I186" s="11" t="s">
        <v>11</v>
      </c>
      <c r="J186" s="6" t="s">
        <v>12</v>
      </c>
      <c r="K186" s="5" t="s">
        <v>95</v>
      </c>
    </row>
    <row r="187" spans="1:11" ht="39.75" customHeight="1" x14ac:dyDescent="0.25">
      <c r="A187" s="5" t="str">
        <f>D187</f>
        <v>ГРЩ (В25)</v>
      </c>
      <c r="B187" s="6"/>
      <c r="C187" s="7"/>
      <c r="D187" s="6" t="s">
        <v>101</v>
      </c>
      <c r="E187" s="8"/>
      <c r="F187" s="8"/>
      <c r="G187" s="9"/>
      <c r="H187" s="10">
        <v>1</v>
      </c>
      <c r="I187" s="11" t="s">
        <v>11</v>
      </c>
      <c r="J187" s="6" t="s">
        <v>12</v>
      </c>
      <c r="K187" s="5" t="s">
        <v>102</v>
      </c>
    </row>
    <row r="188" spans="1:11" ht="21" customHeight="1" x14ac:dyDescent="0.25">
      <c r="A188" s="12" t="str">
        <f>A187</f>
        <v>ГРЩ (В25)</v>
      </c>
      <c r="B188" s="13" t="s">
        <v>14</v>
      </c>
      <c r="C188" s="14" t="s">
        <v>103</v>
      </c>
      <c r="D188" s="12" t="s">
        <v>104</v>
      </c>
      <c r="E188" s="13">
        <v>15140</v>
      </c>
      <c r="F188" s="15">
        <f t="shared" ref="F188:F193" si="54">E188*0.6</f>
        <v>9084</v>
      </c>
      <c r="G188" s="15">
        <f>H188*F188</f>
        <v>9084</v>
      </c>
      <c r="H188" s="16">
        <v>1</v>
      </c>
      <c r="I188" s="17" t="s">
        <v>17</v>
      </c>
      <c r="J188" s="13" t="s">
        <v>18</v>
      </c>
      <c r="K188" s="12" t="str">
        <f>K187</f>
        <v>B25</v>
      </c>
    </row>
    <row r="189" spans="1:11" ht="21" customHeight="1" x14ac:dyDescent="0.25">
      <c r="A189" s="12" t="str">
        <f>A188</f>
        <v>ГРЩ (В25)</v>
      </c>
      <c r="B189" s="13" t="s">
        <v>23</v>
      </c>
      <c r="C189" s="14" t="s">
        <v>53</v>
      </c>
      <c r="D189" s="12" t="s">
        <v>54</v>
      </c>
      <c r="E189" s="13">
        <v>10949</v>
      </c>
      <c r="F189" s="15">
        <f t="shared" si="54"/>
        <v>6569.4</v>
      </c>
      <c r="G189" s="15">
        <f t="shared" ref="G189:G194" si="55">F189*H189</f>
        <v>6569.4</v>
      </c>
      <c r="H189" s="16">
        <v>1</v>
      </c>
      <c r="I189" s="17" t="s">
        <v>17</v>
      </c>
      <c r="J189" s="13" t="s">
        <v>22</v>
      </c>
      <c r="K189" s="12" t="str">
        <f>K188</f>
        <v>B25</v>
      </c>
    </row>
    <row r="190" spans="1:11" ht="21" customHeight="1" x14ac:dyDescent="0.25">
      <c r="A190" s="12" t="str">
        <f t="shared" ref="A190:A196" si="56">A189</f>
        <v>ГРЩ (В25)</v>
      </c>
      <c r="B190" s="13" t="s">
        <v>23</v>
      </c>
      <c r="C190" s="14" t="s">
        <v>57</v>
      </c>
      <c r="D190" s="12" t="s">
        <v>58</v>
      </c>
      <c r="E190" s="13">
        <v>2429</v>
      </c>
      <c r="F190" s="15">
        <f t="shared" si="54"/>
        <v>1457.3999999999999</v>
      </c>
      <c r="G190" s="15">
        <f t="shared" si="55"/>
        <v>5829.5999999999995</v>
      </c>
      <c r="H190" s="16">
        <v>4</v>
      </c>
      <c r="I190" s="17" t="s">
        <v>17</v>
      </c>
      <c r="J190" s="13" t="s">
        <v>22</v>
      </c>
      <c r="K190" s="12" t="str">
        <f t="shared" ref="K190:K196" si="57">K189</f>
        <v>B25</v>
      </c>
    </row>
    <row r="191" spans="1:11" ht="21" customHeight="1" x14ac:dyDescent="0.25">
      <c r="A191" s="12" t="str">
        <f t="shared" si="56"/>
        <v>ГРЩ (В25)</v>
      </c>
      <c r="B191" s="13" t="s">
        <v>23</v>
      </c>
      <c r="C191" s="14" t="s">
        <v>26</v>
      </c>
      <c r="D191" s="12" t="s">
        <v>27</v>
      </c>
      <c r="E191" s="13">
        <v>2337</v>
      </c>
      <c r="F191" s="15">
        <f t="shared" si="54"/>
        <v>1402.2</v>
      </c>
      <c r="G191" s="15">
        <f t="shared" si="55"/>
        <v>2804.4</v>
      </c>
      <c r="H191" s="16">
        <v>2</v>
      </c>
      <c r="I191" s="17" t="s">
        <v>17</v>
      </c>
      <c r="J191" s="13" t="s">
        <v>22</v>
      </c>
      <c r="K191" s="12" t="str">
        <f t="shared" si="57"/>
        <v>B25</v>
      </c>
    </row>
    <row r="192" spans="1:11" ht="21" customHeight="1" x14ac:dyDescent="0.25">
      <c r="A192" s="12" t="str">
        <f t="shared" si="56"/>
        <v>ГРЩ (В25)</v>
      </c>
      <c r="B192" s="13" t="s">
        <v>23</v>
      </c>
      <c r="C192" s="14" t="s">
        <v>55</v>
      </c>
      <c r="D192" s="12" t="s">
        <v>56</v>
      </c>
      <c r="E192" s="13">
        <v>3172</v>
      </c>
      <c r="F192" s="15">
        <f t="shared" si="54"/>
        <v>1903.1999999999998</v>
      </c>
      <c r="G192" s="15">
        <f t="shared" si="55"/>
        <v>1903.1999999999998</v>
      </c>
      <c r="H192" s="16">
        <v>1</v>
      </c>
      <c r="I192" s="17" t="s">
        <v>17</v>
      </c>
      <c r="J192" s="13" t="s">
        <v>22</v>
      </c>
      <c r="K192" s="12" t="str">
        <f t="shared" si="57"/>
        <v>B25</v>
      </c>
    </row>
    <row r="193" spans="1:11" ht="21" customHeight="1" x14ac:dyDescent="0.25">
      <c r="A193" s="12" t="str">
        <f t="shared" si="56"/>
        <v>ГРЩ (В25)</v>
      </c>
      <c r="B193" s="13" t="s">
        <v>30</v>
      </c>
      <c r="C193" s="14" t="s">
        <v>31</v>
      </c>
      <c r="D193" s="12" t="s">
        <v>32</v>
      </c>
      <c r="E193" s="13">
        <v>4160</v>
      </c>
      <c r="F193" s="15">
        <f t="shared" si="54"/>
        <v>2496</v>
      </c>
      <c r="G193" s="15">
        <f t="shared" si="55"/>
        <v>2496</v>
      </c>
      <c r="H193" s="16">
        <v>1</v>
      </c>
      <c r="I193" s="17" t="s">
        <v>17</v>
      </c>
      <c r="J193" s="13" t="s">
        <v>22</v>
      </c>
      <c r="K193" s="12" t="str">
        <f t="shared" si="57"/>
        <v>B25</v>
      </c>
    </row>
    <row r="194" spans="1:11" ht="24" customHeight="1" x14ac:dyDescent="0.25">
      <c r="A194" s="12" t="str">
        <f t="shared" si="56"/>
        <v>ГРЩ (В25)</v>
      </c>
      <c r="B194" s="12" t="s">
        <v>33</v>
      </c>
      <c r="C194" s="18" t="s">
        <v>33</v>
      </c>
      <c r="D194" s="12" t="s">
        <v>33</v>
      </c>
      <c r="E194" s="12">
        <f ca="1">OFFSET(E194,1,2)</f>
        <v>0</v>
      </c>
      <c r="F194" s="15">
        <f ca="1">E194</f>
        <v>0</v>
      </c>
      <c r="G194" s="15">
        <f t="shared" ca="1" si="55"/>
        <v>0</v>
      </c>
      <c r="H194" s="12"/>
      <c r="I194" s="12" t="s">
        <v>17</v>
      </c>
      <c r="J194" s="12" t="s">
        <v>33</v>
      </c>
      <c r="K194" s="12" t="str">
        <f t="shared" si="57"/>
        <v>B25</v>
      </c>
    </row>
    <row r="195" spans="1:11" ht="21" customHeight="1" x14ac:dyDescent="0.25">
      <c r="A195" s="12" t="str">
        <f t="shared" si="56"/>
        <v>ГРЩ (В25)</v>
      </c>
      <c r="B195" s="12" t="s">
        <v>34</v>
      </c>
      <c r="C195" s="18" t="s">
        <v>34</v>
      </c>
      <c r="D195" s="12" t="s">
        <v>34</v>
      </c>
      <c r="E195" s="12"/>
      <c r="F195" s="15">
        <v>100</v>
      </c>
      <c r="G195" s="15">
        <f>60*E195*F195</f>
        <v>0</v>
      </c>
      <c r="H195" s="12">
        <f>60*E195</f>
        <v>0</v>
      </c>
      <c r="I195" s="12" t="s">
        <v>17</v>
      </c>
      <c r="J195" s="12" t="s">
        <v>34</v>
      </c>
      <c r="K195" s="12" t="str">
        <f t="shared" si="57"/>
        <v>B25</v>
      </c>
    </row>
    <row r="196" spans="1:11" ht="30" customHeight="1" x14ac:dyDescent="0.25">
      <c r="A196" s="12" t="str">
        <f t="shared" si="56"/>
        <v>ГРЩ (В25)</v>
      </c>
      <c r="B196" s="19"/>
      <c r="C196" s="20"/>
      <c r="D196" s="21"/>
      <c r="E196" s="23"/>
      <c r="F196" s="25"/>
      <c r="G196" s="24">
        <f ca="1">SUM(G188:G195)</f>
        <v>28686.600000000002</v>
      </c>
      <c r="H196" s="20"/>
      <c r="I196" s="22"/>
      <c r="J196" s="20"/>
      <c r="K196" s="12" t="str">
        <f t="shared" si="57"/>
        <v>B25</v>
      </c>
    </row>
    <row r="197" spans="1:11" ht="39.75" customHeight="1" x14ac:dyDescent="0.25">
      <c r="A197" s="5" t="str">
        <f>D197</f>
        <v>ПП (В25)</v>
      </c>
      <c r="B197" s="6"/>
      <c r="C197" s="7"/>
      <c r="D197" s="6" t="s">
        <v>105</v>
      </c>
      <c r="E197" s="8"/>
      <c r="F197" s="8"/>
      <c r="G197" s="9"/>
      <c r="H197" s="10">
        <v>1</v>
      </c>
      <c r="I197" s="11" t="s">
        <v>11</v>
      </c>
      <c r="J197" s="6" t="s">
        <v>12</v>
      </c>
      <c r="K197" s="5" t="s">
        <v>102</v>
      </c>
    </row>
    <row r="198" spans="1:11" ht="21" customHeight="1" x14ac:dyDescent="0.25">
      <c r="A198" s="12" t="str">
        <f>A197</f>
        <v>ПП (В25)</v>
      </c>
      <c r="B198" s="13" t="s">
        <v>14</v>
      </c>
      <c r="C198" s="14" t="s">
        <v>106</v>
      </c>
      <c r="D198" s="12" t="s">
        <v>107</v>
      </c>
      <c r="E198" s="13">
        <v>45000</v>
      </c>
      <c r="F198" s="15">
        <f>E198*0.6</f>
        <v>27000</v>
      </c>
      <c r="G198" s="15">
        <f>H198*F198</f>
        <v>27000</v>
      </c>
      <c r="H198" s="16">
        <v>1</v>
      </c>
      <c r="I198" s="17" t="s">
        <v>17</v>
      </c>
      <c r="J198" s="13" t="s">
        <v>18</v>
      </c>
      <c r="K198" s="12" t="str">
        <f>K197</f>
        <v>B25</v>
      </c>
    </row>
    <row r="199" spans="1:11" ht="21" customHeight="1" x14ac:dyDescent="0.25">
      <c r="A199" s="12" t="str">
        <f t="shared" ref="A199:A205" si="58">A198</f>
        <v>ПП (В25)</v>
      </c>
      <c r="B199" s="13" t="s">
        <v>108</v>
      </c>
      <c r="C199" s="14">
        <v>256781</v>
      </c>
      <c r="D199" s="12" t="s">
        <v>109</v>
      </c>
      <c r="E199" s="13">
        <v>207389</v>
      </c>
      <c r="F199" s="15">
        <f>E199*0.6</f>
        <v>124433.4</v>
      </c>
      <c r="G199" s="15">
        <f>F199*H199</f>
        <v>124433.4</v>
      </c>
      <c r="H199" s="16">
        <v>1</v>
      </c>
      <c r="I199" s="17" t="s">
        <v>17</v>
      </c>
      <c r="J199" s="13" t="s">
        <v>22</v>
      </c>
      <c r="K199" s="12" t="str">
        <f t="shared" ref="K199:K205" si="59">K198</f>
        <v>B25</v>
      </c>
    </row>
    <row r="200" spans="1:11" ht="21" customHeight="1" x14ac:dyDescent="0.25">
      <c r="A200" s="12" t="str">
        <f t="shared" si="58"/>
        <v>ПП (В25)</v>
      </c>
      <c r="B200" s="13" t="s">
        <v>110</v>
      </c>
      <c r="C200" s="14">
        <v>593077</v>
      </c>
      <c r="D200" s="12" t="s">
        <v>111</v>
      </c>
      <c r="E200" s="13">
        <v>589</v>
      </c>
      <c r="F200" s="15">
        <f>E200*0.6</f>
        <v>353.4</v>
      </c>
      <c r="G200" s="15">
        <f>F200*H200</f>
        <v>706.8</v>
      </c>
      <c r="H200" s="16">
        <v>2</v>
      </c>
      <c r="I200" s="17" t="s">
        <v>17</v>
      </c>
      <c r="J200" s="13" t="s">
        <v>22</v>
      </c>
      <c r="K200" s="12" t="str">
        <f t="shared" si="59"/>
        <v>B25</v>
      </c>
    </row>
    <row r="201" spans="1:11" ht="21" customHeight="1" x14ac:dyDescent="0.25">
      <c r="A201" s="12" t="str">
        <f t="shared" si="58"/>
        <v>ПП (В25)</v>
      </c>
      <c r="B201" s="13" t="s">
        <v>110</v>
      </c>
      <c r="C201" s="14">
        <v>593076</v>
      </c>
      <c r="D201" s="12" t="s">
        <v>112</v>
      </c>
      <c r="E201" s="13">
        <v>571</v>
      </c>
      <c r="F201" s="15">
        <f>E201*0.6</f>
        <v>342.59999999999997</v>
      </c>
      <c r="G201" s="15">
        <f>F201*H201</f>
        <v>685.19999999999993</v>
      </c>
      <c r="H201" s="16">
        <v>2</v>
      </c>
      <c r="I201" s="17" t="s">
        <v>17</v>
      </c>
      <c r="J201" s="13" t="s">
        <v>22</v>
      </c>
      <c r="K201" s="12" t="str">
        <f t="shared" si="59"/>
        <v>B25</v>
      </c>
    </row>
    <row r="202" spans="1:11" ht="21" customHeight="1" x14ac:dyDescent="0.25">
      <c r="A202" s="12" t="str">
        <f t="shared" si="58"/>
        <v>ПП (В25)</v>
      </c>
      <c r="B202" s="13" t="s">
        <v>110</v>
      </c>
      <c r="C202" s="14">
        <v>593075</v>
      </c>
      <c r="D202" s="12" t="s">
        <v>113</v>
      </c>
      <c r="E202" s="13">
        <v>571</v>
      </c>
      <c r="F202" s="15">
        <f>E202*0.6</f>
        <v>342.59999999999997</v>
      </c>
      <c r="G202" s="15">
        <f>F202*H202</f>
        <v>685.19999999999993</v>
      </c>
      <c r="H202" s="16">
        <v>2</v>
      </c>
      <c r="I202" s="17" t="s">
        <v>17</v>
      </c>
      <c r="J202" s="13" t="s">
        <v>22</v>
      </c>
      <c r="K202" s="12" t="str">
        <f t="shared" si="59"/>
        <v>B25</v>
      </c>
    </row>
    <row r="203" spans="1:11" ht="24" customHeight="1" x14ac:dyDescent="0.25">
      <c r="A203" s="12" t="str">
        <f t="shared" si="58"/>
        <v>ПП (В25)</v>
      </c>
      <c r="B203" s="12" t="s">
        <v>33</v>
      </c>
      <c r="C203" s="18" t="s">
        <v>33</v>
      </c>
      <c r="D203" s="12" t="s">
        <v>33</v>
      </c>
      <c r="E203" s="12">
        <f ca="1">OFFSET(E203,1,2)</f>
        <v>0</v>
      </c>
      <c r="F203" s="15">
        <f ca="1">E203</f>
        <v>0</v>
      </c>
      <c r="G203" s="15">
        <f ca="1">F203*H203</f>
        <v>0</v>
      </c>
      <c r="H203" s="12"/>
      <c r="I203" s="12" t="s">
        <v>17</v>
      </c>
      <c r="J203" s="12" t="s">
        <v>33</v>
      </c>
      <c r="K203" s="12" t="str">
        <f t="shared" si="59"/>
        <v>B25</v>
      </c>
    </row>
    <row r="204" spans="1:11" ht="21" customHeight="1" x14ac:dyDescent="0.25">
      <c r="A204" s="12" t="str">
        <f t="shared" si="58"/>
        <v>ПП (В25)</v>
      </c>
      <c r="B204" s="12" t="s">
        <v>34</v>
      </c>
      <c r="C204" s="18" t="s">
        <v>34</v>
      </c>
      <c r="D204" s="12" t="s">
        <v>34</v>
      </c>
      <c r="E204" s="12"/>
      <c r="F204" s="15">
        <v>100</v>
      </c>
      <c r="G204" s="15">
        <f>60*E204*F204</f>
        <v>0</v>
      </c>
      <c r="H204" s="12">
        <f>60*E204</f>
        <v>0</v>
      </c>
      <c r="I204" s="12" t="s">
        <v>17</v>
      </c>
      <c r="J204" s="12" t="s">
        <v>34</v>
      </c>
      <c r="K204" s="12" t="str">
        <f t="shared" si="59"/>
        <v>B25</v>
      </c>
    </row>
    <row r="205" spans="1:11" ht="30" customHeight="1" x14ac:dyDescent="0.25">
      <c r="A205" s="12" t="str">
        <f t="shared" si="58"/>
        <v>ПП (В25)</v>
      </c>
      <c r="B205" s="19"/>
      <c r="C205" s="20"/>
      <c r="D205" s="21"/>
      <c r="E205" s="23"/>
      <c r="F205" s="25"/>
      <c r="G205" s="24">
        <f ca="1">SUM(G198:G204)</f>
        <v>153510.6</v>
      </c>
      <c r="H205" s="20"/>
      <c r="I205" s="22"/>
      <c r="J205" s="20"/>
      <c r="K205" s="12" t="str">
        <f t="shared" si="59"/>
        <v>B25</v>
      </c>
    </row>
    <row r="206" spans="1:11" ht="39.75" customHeight="1" x14ac:dyDescent="0.25">
      <c r="A206" s="5" t="str">
        <f>D206</f>
        <v>ЩАП23 (В25)</v>
      </c>
      <c r="B206" s="6"/>
      <c r="C206" s="7"/>
      <c r="D206" s="6" t="s">
        <v>114</v>
      </c>
      <c r="E206" s="8"/>
      <c r="F206" s="8"/>
      <c r="G206" s="9"/>
      <c r="H206" s="10">
        <v>1</v>
      </c>
      <c r="I206" s="11" t="s">
        <v>11</v>
      </c>
      <c r="J206" s="6" t="s">
        <v>12</v>
      </c>
      <c r="K206" s="5" t="s">
        <v>102</v>
      </c>
    </row>
    <row r="207" spans="1:11" ht="21" customHeight="1" x14ac:dyDescent="0.25">
      <c r="A207" s="12" t="str">
        <f>A206</f>
        <v>ЩАП23 (В25)</v>
      </c>
      <c r="B207" s="13" t="s">
        <v>14</v>
      </c>
      <c r="C207" s="14" t="s">
        <v>115</v>
      </c>
      <c r="D207" s="12" t="s">
        <v>116</v>
      </c>
      <c r="E207" s="13">
        <v>14000</v>
      </c>
      <c r="F207" s="15">
        <f>E207*0.6</f>
        <v>8400</v>
      </c>
      <c r="G207" s="15">
        <f>H207*F207</f>
        <v>8400</v>
      </c>
      <c r="H207" s="16">
        <v>1</v>
      </c>
      <c r="I207" s="17" t="s">
        <v>17</v>
      </c>
      <c r="J207" s="13" t="s">
        <v>18</v>
      </c>
      <c r="K207" s="12" t="str">
        <f>K206</f>
        <v>B25</v>
      </c>
    </row>
    <row r="208" spans="1:11" ht="21" customHeight="1" x14ac:dyDescent="0.25">
      <c r="A208" s="12" t="str">
        <f>A210</f>
        <v>ЩАП23 (В25)</v>
      </c>
      <c r="B208" s="13" t="s">
        <v>23</v>
      </c>
      <c r="C208" s="14" t="s">
        <v>57</v>
      </c>
      <c r="D208" s="12" t="s">
        <v>58</v>
      </c>
      <c r="E208" s="13">
        <v>2429</v>
      </c>
      <c r="F208" s="15">
        <f>E208*0.6</f>
        <v>1457.3999999999999</v>
      </c>
      <c r="G208" s="15">
        <f>F208*H208</f>
        <v>2914.7999999999997</v>
      </c>
      <c r="H208" s="16">
        <v>2</v>
      </c>
      <c r="I208" s="17" t="s">
        <v>17</v>
      </c>
      <c r="J208" s="13" t="s">
        <v>22</v>
      </c>
      <c r="K208" s="12" t="str">
        <f>K210</f>
        <v>B25</v>
      </c>
    </row>
    <row r="209" spans="1:11" ht="21" customHeight="1" x14ac:dyDescent="0.25">
      <c r="A209" s="12" t="str">
        <f>A208</f>
        <v>ЩАП23 (В25)</v>
      </c>
      <c r="B209" s="13" t="s">
        <v>23</v>
      </c>
      <c r="C209" s="14" t="s">
        <v>117</v>
      </c>
      <c r="D209" s="12" t="s">
        <v>118</v>
      </c>
      <c r="E209" s="13">
        <v>2873</v>
      </c>
      <c r="F209" s="15">
        <f>E209*0.6</f>
        <v>1723.8</v>
      </c>
      <c r="G209" s="15">
        <f>F209*H209</f>
        <v>1723.8</v>
      </c>
      <c r="H209" s="16">
        <v>1</v>
      </c>
      <c r="I209" s="17" t="s">
        <v>17</v>
      </c>
      <c r="J209" s="13" t="s">
        <v>22</v>
      </c>
      <c r="K209" s="12" t="str">
        <f>K208</f>
        <v>B25</v>
      </c>
    </row>
    <row r="210" spans="1:11" ht="21" customHeight="1" x14ac:dyDescent="0.25">
      <c r="A210" s="12" t="str">
        <f>A207</f>
        <v>ЩАП23 (В25)</v>
      </c>
      <c r="B210" s="13" t="s">
        <v>110</v>
      </c>
      <c r="C210" s="14" t="s">
        <v>119</v>
      </c>
      <c r="D210" s="12" t="s">
        <v>113</v>
      </c>
      <c r="E210" s="13">
        <v>571</v>
      </c>
      <c r="F210" s="15">
        <f>E210*0.6</f>
        <v>342.59999999999997</v>
      </c>
      <c r="G210" s="15">
        <f>F210*H210</f>
        <v>342.59999999999997</v>
      </c>
      <c r="H210" s="16">
        <v>1</v>
      </c>
      <c r="I210" s="17" t="s">
        <v>17</v>
      </c>
      <c r="J210" s="13" t="s">
        <v>22</v>
      </c>
      <c r="K210" s="12" t="str">
        <f>K207</f>
        <v>B25</v>
      </c>
    </row>
    <row r="211" spans="1:11" ht="21" customHeight="1" x14ac:dyDescent="0.25">
      <c r="A211" s="12" t="str">
        <f>A209</f>
        <v>ЩАП23 (В25)</v>
      </c>
      <c r="B211" s="13" t="s">
        <v>64</v>
      </c>
      <c r="C211" s="14" t="s">
        <v>120</v>
      </c>
      <c r="D211" s="12" t="s">
        <v>121</v>
      </c>
      <c r="E211" s="13">
        <v>9149</v>
      </c>
      <c r="F211" s="15">
        <f t="shared" ref="F211:F217" si="60">E211*0.6</f>
        <v>5489.4</v>
      </c>
      <c r="G211" s="15">
        <f t="shared" ref="G211:G217" si="61">F211*H211</f>
        <v>5489.4</v>
      </c>
      <c r="H211" s="16">
        <v>1</v>
      </c>
      <c r="I211" s="17" t="s">
        <v>17</v>
      </c>
      <c r="J211" s="13" t="s">
        <v>22</v>
      </c>
      <c r="K211" s="12" t="str">
        <f>K209</f>
        <v>B25</v>
      </c>
    </row>
    <row r="212" spans="1:11" ht="21" customHeight="1" x14ac:dyDescent="0.25">
      <c r="A212" s="12" t="str">
        <f>A210</f>
        <v>ЩАП23 (В25)</v>
      </c>
      <c r="B212" s="13" t="s">
        <v>64</v>
      </c>
      <c r="C212" s="14" t="s">
        <v>122</v>
      </c>
      <c r="D212" s="12" t="s">
        <v>123</v>
      </c>
      <c r="E212" s="13">
        <v>1306</v>
      </c>
      <c r="F212" s="15">
        <f t="shared" si="60"/>
        <v>783.6</v>
      </c>
      <c r="G212" s="15">
        <f t="shared" si="61"/>
        <v>783.6</v>
      </c>
      <c r="H212" s="16">
        <v>1</v>
      </c>
      <c r="I212" s="17" t="s">
        <v>17</v>
      </c>
      <c r="J212" s="13" t="s">
        <v>22</v>
      </c>
      <c r="K212" s="12" t="str">
        <f>K210</f>
        <v>B25</v>
      </c>
    </row>
    <row r="213" spans="1:11" ht="21" customHeight="1" x14ac:dyDescent="0.25">
      <c r="A213" s="12" t="str">
        <f>A210</f>
        <v>ЩАП23 (В25)</v>
      </c>
      <c r="B213" s="13" t="s">
        <v>124</v>
      </c>
      <c r="C213" s="14" t="s">
        <v>125</v>
      </c>
      <c r="D213" s="12" t="s">
        <v>126</v>
      </c>
      <c r="E213" s="13">
        <v>1078</v>
      </c>
      <c r="F213" s="15">
        <f t="shared" si="60"/>
        <v>646.79999999999995</v>
      </c>
      <c r="G213" s="15">
        <f t="shared" si="61"/>
        <v>646.79999999999995</v>
      </c>
      <c r="H213" s="16">
        <v>1</v>
      </c>
      <c r="I213" s="17" t="s">
        <v>17</v>
      </c>
      <c r="J213" s="13" t="s">
        <v>22</v>
      </c>
      <c r="K213" s="12" t="str">
        <f>K210</f>
        <v>B25</v>
      </c>
    </row>
    <row r="214" spans="1:11" ht="21" customHeight="1" x14ac:dyDescent="0.25">
      <c r="A214" s="12" t="str">
        <f>A211</f>
        <v>ЩАП23 (В25)</v>
      </c>
      <c r="B214" s="13" t="s">
        <v>110</v>
      </c>
      <c r="C214" s="14" t="s">
        <v>127</v>
      </c>
      <c r="D214" s="12" t="s">
        <v>111</v>
      </c>
      <c r="E214" s="13">
        <v>589</v>
      </c>
      <c r="F214" s="15">
        <f t="shared" si="60"/>
        <v>353.4</v>
      </c>
      <c r="G214" s="15">
        <f t="shared" si="61"/>
        <v>353.4</v>
      </c>
      <c r="H214" s="16">
        <v>1</v>
      </c>
      <c r="I214" s="17" t="s">
        <v>17</v>
      </c>
      <c r="J214" s="13" t="s">
        <v>22</v>
      </c>
      <c r="K214" s="12" t="str">
        <f>K211</f>
        <v>B25</v>
      </c>
    </row>
    <row r="215" spans="1:11" ht="21" customHeight="1" x14ac:dyDescent="0.25">
      <c r="A215" s="12" t="str">
        <f>A213</f>
        <v>ЩАП23 (В25)</v>
      </c>
      <c r="B215" s="13" t="s">
        <v>67</v>
      </c>
      <c r="C215" s="14" t="s">
        <v>128</v>
      </c>
      <c r="D215" s="12" t="s">
        <v>129</v>
      </c>
      <c r="E215" s="13">
        <v>14767</v>
      </c>
      <c r="F215" s="15">
        <f t="shared" si="60"/>
        <v>8860.1999999999989</v>
      </c>
      <c r="G215" s="15">
        <f t="shared" si="61"/>
        <v>8860.1999999999989</v>
      </c>
      <c r="H215" s="16">
        <v>1</v>
      </c>
      <c r="I215" s="17" t="s">
        <v>17</v>
      </c>
      <c r="J215" s="13" t="s">
        <v>22</v>
      </c>
      <c r="K215" s="12" t="str">
        <f>K213</f>
        <v>B25</v>
      </c>
    </row>
    <row r="216" spans="1:11" ht="21" customHeight="1" x14ac:dyDescent="0.25">
      <c r="A216" s="12" t="str">
        <f>A214</f>
        <v>ЩАП23 (В25)</v>
      </c>
      <c r="B216" s="13" t="s">
        <v>67</v>
      </c>
      <c r="C216" s="14" t="s">
        <v>130</v>
      </c>
      <c r="D216" s="12" t="s">
        <v>131</v>
      </c>
      <c r="E216" s="13">
        <v>1575</v>
      </c>
      <c r="F216" s="15">
        <f t="shared" si="60"/>
        <v>945</v>
      </c>
      <c r="G216" s="15">
        <f t="shared" si="61"/>
        <v>945</v>
      </c>
      <c r="H216" s="16">
        <v>1</v>
      </c>
      <c r="I216" s="17" t="s">
        <v>17</v>
      </c>
      <c r="J216" s="13" t="s">
        <v>22</v>
      </c>
      <c r="K216" s="12" t="str">
        <f>K214</f>
        <v>B25</v>
      </c>
    </row>
    <row r="217" spans="1:11" ht="21" customHeight="1" x14ac:dyDescent="0.25">
      <c r="A217" s="12" t="str">
        <f>A215</f>
        <v>ЩАП23 (В25)</v>
      </c>
      <c r="B217" s="13" t="s">
        <v>132</v>
      </c>
      <c r="C217" s="14" t="s">
        <v>133</v>
      </c>
      <c r="D217" s="12" t="s">
        <v>134</v>
      </c>
      <c r="E217" s="13">
        <v>682</v>
      </c>
      <c r="F217" s="15">
        <f t="shared" si="60"/>
        <v>409.2</v>
      </c>
      <c r="G217" s="15">
        <f t="shared" si="61"/>
        <v>409.2</v>
      </c>
      <c r="H217" s="16">
        <v>1</v>
      </c>
      <c r="I217" s="17" t="s">
        <v>17</v>
      </c>
      <c r="J217" s="13" t="s">
        <v>22</v>
      </c>
      <c r="K217" s="12" t="str">
        <f>K215</f>
        <v>B25</v>
      </c>
    </row>
    <row r="218" spans="1:11" ht="24" customHeight="1" x14ac:dyDescent="0.25">
      <c r="A218" s="12" t="str">
        <f>A214</f>
        <v>ЩАП23 (В25)</v>
      </c>
      <c r="B218" s="12" t="s">
        <v>33</v>
      </c>
      <c r="C218" s="18" t="s">
        <v>33</v>
      </c>
      <c r="D218" s="12" t="s">
        <v>33</v>
      </c>
      <c r="E218" s="12">
        <f ca="1">OFFSET(E218,1,2)</f>
        <v>0</v>
      </c>
      <c r="F218" s="15">
        <f ca="1">E218</f>
        <v>0</v>
      </c>
      <c r="G218" s="15">
        <f ca="1">F218*H218</f>
        <v>0</v>
      </c>
      <c r="H218" s="12"/>
      <c r="I218" s="12" t="s">
        <v>17</v>
      </c>
      <c r="J218" s="12" t="s">
        <v>33</v>
      </c>
      <c r="K218" s="12" t="str">
        <f>K214</f>
        <v>B25</v>
      </c>
    </row>
    <row r="219" spans="1:11" ht="21" customHeight="1" x14ac:dyDescent="0.25">
      <c r="A219" s="12" t="str">
        <f>A218</f>
        <v>ЩАП23 (В25)</v>
      </c>
      <c r="B219" s="12" t="s">
        <v>34</v>
      </c>
      <c r="C219" s="18" t="s">
        <v>34</v>
      </c>
      <c r="D219" s="12" t="s">
        <v>34</v>
      </c>
      <c r="E219" s="12"/>
      <c r="F219" s="15">
        <v>100</v>
      </c>
      <c r="G219" s="15">
        <f>60*E219*F219</f>
        <v>0</v>
      </c>
      <c r="H219" s="12">
        <f>60*E219</f>
        <v>0</v>
      </c>
      <c r="I219" s="12" t="s">
        <v>17</v>
      </c>
      <c r="J219" s="12" t="s">
        <v>34</v>
      </c>
      <c r="K219" s="12" t="str">
        <f>K218</f>
        <v>B25</v>
      </c>
    </row>
    <row r="220" spans="1:11" ht="30" customHeight="1" x14ac:dyDescent="0.25">
      <c r="A220" s="12" t="str">
        <f>A219</f>
        <v>ЩАП23 (В25)</v>
      </c>
      <c r="B220" s="19"/>
      <c r="C220" s="20"/>
      <c r="D220" s="21"/>
      <c r="E220" s="23"/>
      <c r="F220" s="25"/>
      <c r="G220" s="24">
        <f ca="1">SUM(G207:G219)</f>
        <v>30868.799999999999</v>
      </c>
      <c r="H220" s="20"/>
      <c r="I220" s="22"/>
      <c r="J220" s="20"/>
      <c r="K220" s="12" t="str">
        <f>K219</f>
        <v>B25</v>
      </c>
    </row>
    <row r="221" spans="1:11" ht="39.75" customHeight="1" x14ac:dyDescent="0.25">
      <c r="A221" s="5" t="str">
        <f>D221</f>
        <v>РПАвр (В25)</v>
      </c>
      <c r="B221" s="6"/>
      <c r="C221" s="7"/>
      <c r="D221" s="6" t="s">
        <v>135</v>
      </c>
      <c r="E221" s="8"/>
      <c r="F221" s="8"/>
      <c r="G221" s="9"/>
      <c r="H221" s="10">
        <v>1</v>
      </c>
      <c r="I221" s="11" t="s">
        <v>11</v>
      </c>
      <c r="J221" s="6" t="s">
        <v>12</v>
      </c>
      <c r="K221" s="5" t="s">
        <v>102</v>
      </c>
    </row>
    <row r="222" spans="1:11" ht="21" customHeight="1" x14ac:dyDescent="0.25">
      <c r="A222" s="12" t="str">
        <f>A221</f>
        <v>РПАвр (В25)</v>
      </c>
      <c r="B222" s="13" t="s">
        <v>14</v>
      </c>
      <c r="C222" s="14" t="s">
        <v>103</v>
      </c>
      <c r="D222" s="12" t="s">
        <v>104</v>
      </c>
      <c r="E222" s="13">
        <v>15140</v>
      </c>
      <c r="F222" s="15">
        <f t="shared" ref="F222:F227" si="62">E222*0.6</f>
        <v>9084</v>
      </c>
      <c r="G222" s="15">
        <f>H222*F222</f>
        <v>9084</v>
      </c>
      <c r="H222" s="16">
        <v>1</v>
      </c>
      <c r="I222" s="17" t="s">
        <v>17</v>
      </c>
      <c r="J222" s="13" t="s">
        <v>18</v>
      </c>
      <c r="K222" s="12" t="str">
        <f>K221</f>
        <v>B25</v>
      </c>
    </row>
    <row r="223" spans="1:11" ht="21" customHeight="1" x14ac:dyDescent="0.25">
      <c r="A223" s="12" t="str">
        <f>A222</f>
        <v>РПАвр (В25)</v>
      </c>
      <c r="B223" s="13" t="s">
        <v>23</v>
      </c>
      <c r="C223" s="14" t="s">
        <v>57</v>
      </c>
      <c r="D223" s="12" t="s">
        <v>58</v>
      </c>
      <c r="E223" s="13">
        <v>2429</v>
      </c>
      <c r="F223" s="15">
        <f t="shared" si="62"/>
        <v>1457.3999999999999</v>
      </c>
      <c r="G223" s="15">
        <f t="shared" ref="G223:G228" si="63">F223*H223</f>
        <v>1457.3999999999999</v>
      </c>
      <c r="H223" s="16">
        <v>1</v>
      </c>
      <c r="I223" s="17" t="s">
        <v>17</v>
      </c>
      <c r="J223" s="13" t="s">
        <v>22</v>
      </c>
      <c r="K223" s="12" t="str">
        <f>K222</f>
        <v>B25</v>
      </c>
    </row>
    <row r="224" spans="1:11" ht="21" customHeight="1" x14ac:dyDescent="0.25">
      <c r="A224" s="12" t="str">
        <f>A223</f>
        <v>РПАвр (В25)</v>
      </c>
      <c r="B224" s="13" t="s">
        <v>23</v>
      </c>
      <c r="C224" s="14" t="s">
        <v>81</v>
      </c>
      <c r="D224" s="12" t="s">
        <v>82</v>
      </c>
      <c r="E224" s="13">
        <v>2499</v>
      </c>
      <c r="F224" s="15">
        <f t="shared" si="62"/>
        <v>1499.3999999999999</v>
      </c>
      <c r="G224" s="15">
        <f t="shared" si="63"/>
        <v>1499.3999999999999</v>
      </c>
      <c r="H224" s="16">
        <v>1</v>
      </c>
      <c r="I224" s="17" t="s">
        <v>17</v>
      </c>
      <c r="J224" s="13" t="s">
        <v>22</v>
      </c>
      <c r="K224" s="12" t="str">
        <f>K223</f>
        <v>B25</v>
      </c>
    </row>
    <row r="225" spans="1:11" ht="21" customHeight="1" x14ac:dyDescent="0.25">
      <c r="A225" s="12" t="str">
        <f>A223</f>
        <v>РПАвр (В25)</v>
      </c>
      <c r="B225" s="13" t="s">
        <v>23</v>
      </c>
      <c r="C225" s="14" t="s">
        <v>26</v>
      </c>
      <c r="D225" s="12" t="s">
        <v>27</v>
      </c>
      <c r="E225" s="13">
        <v>2337</v>
      </c>
      <c r="F225" s="15">
        <f t="shared" si="62"/>
        <v>1402.2</v>
      </c>
      <c r="G225" s="15">
        <f t="shared" si="63"/>
        <v>4206.6000000000004</v>
      </c>
      <c r="H225" s="16">
        <v>3</v>
      </c>
      <c r="I225" s="17" t="s">
        <v>17</v>
      </c>
      <c r="J225" s="13" t="s">
        <v>22</v>
      </c>
      <c r="K225" s="12" t="str">
        <f>K223</f>
        <v>B25</v>
      </c>
    </row>
    <row r="226" spans="1:11" ht="21" customHeight="1" x14ac:dyDescent="0.25">
      <c r="A226" s="12" t="str">
        <f>A225</f>
        <v>РПАвр (В25)</v>
      </c>
      <c r="B226" s="13" t="s">
        <v>23</v>
      </c>
      <c r="C226" s="14" t="s">
        <v>28</v>
      </c>
      <c r="D226" s="12" t="s">
        <v>29</v>
      </c>
      <c r="E226" s="13">
        <v>1389</v>
      </c>
      <c r="F226" s="15">
        <f t="shared" si="62"/>
        <v>833.4</v>
      </c>
      <c r="G226" s="15">
        <f t="shared" si="63"/>
        <v>2500.1999999999998</v>
      </c>
      <c r="H226" s="16">
        <v>3</v>
      </c>
      <c r="I226" s="17" t="s">
        <v>17</v>
      </c>
      <c r="J226" s="13" t="s">
        <v>22</v>
      </c>
      <c r="K226" s="12" t="str">
        <f>K225</f>
        <v>B25</v>
      </c>
    </row>
    <row r="227" spans="1:11" ht="21" customHeight="1" x14ac:dyDescent="0.25">
      <c r="A227" s="12" t="str">
        <f>A226</f>
        <v>РПАвр (В25)</v>
      </c>
      <c r="B227" s="13" t="s">
        <v>136</v>
      </c>
      <c r="C227" s="14" t="s">
        <v>137</v>
      </c>
      <c r="D227" s="12" t="s">
        <v>138</v>
      </c>
      <c r="E227" s="13">
        <v>5093</v>
      </c>
      <c r="F227" s="15">
        <f t="shared" si="62"/>
        <v>3055.7999999999997</v>
      </c>
      <c r="G227" s="15">
        <f t="shared" si="63"/>
        <v>12223.199999999999</v>
      </c>
      <c r="H227" s="16">
        <v>4</v>
      </c>
      <c r="I227" s="17" t="s">
        <v>17</v>
      </c>
      <c r="J227" s="13" t="s">
        <v>22</v>
      </c>
      <c r="K227" s="12" t="str">
        <f>K226</f>
        <v>B25</v>
      </c>
    </row>
    <row r="228" spans="1:11" ht="24" customHeight="1" x14ac:dyDescent="0.25">
      <c r="A228" s="12" t="str">
        <f>A226</f>
        <v>РПАвр (В25)</v>
      </c>
      <c r="B228" s="12" t="s">
        <v>33</v>
      </c>
      <c r="C228" s="18" t="s">
        <v>33</v>
      </c>
      <c r="D228" s="12" t="s">
        <v>33</v>
      </c>
      <c r="E228" s="12">
        <f ca="1">OFFSET(E228,1,2)</f>
        <v>0</v>
      </c>
      <c r="F228" s="15">
        <f ca="1">E228</f>
        <v>0</v>
      </c>
      <c r="G228" s="15">
        <f t="shared" ca="1" si="63"/>
        <v>0</v>
      </c>
      <c r="H228" s="12"/>
      <c r="I228" s="12" t="s">
        <v>17</v>
      </c>
      <c r="J228" s="12" t="s">
        <v>33</v>
      </c>
      <c r="K228" s="12" t="str">
        <f>K226</f>
        <v>B25</v>
      </c>
    </row>
    <row r="229" spans="1:11" ht="21" customHeight="1" x14ac:dyDescent="0.25">
      <c r="A229" s="12" t="str">
        <f>A228</f>
        <v>РПАвр (В25)</v>
      </c>
      <c r="B229" s="12" t="s">
        <v>34</v>
      </c>
      <c r="C229" s="18" t="s">
        <v>34</v>
      </c>
      <c r="D229" s="12" t="s">
        <v>34</v>
      </c>
      <c r="E229" s="12"/>
      <c r="F229" s="15">
        <v>100</v>
      </c>
      <c r="G229" s="15">
        <f>60*E229*F229</f>
        <v>0</v>
      </c>
      <c r="H229" s="12">
        <f>60*E229</f>
        <v>0</v>
      </c>
      <c r="I229" s="12" t="s">
        <v>17</v>
      </c>
      <c r="J229" s="12" t="s">
        <v>34</v>
      </c>
      <c r="K229" s="12" t="str">
        <f>K228</f>
        <v>B25</v>
      </c>
    </row>
    <row r="230" spans="1:11" ht="30" customHeight="1" x14ac:dyDescent="0.25">
      <c r="A230" s="12" t="str">
        <f>A229</f>
        <v>РПАвр (В25)</v>
      </c>
      <c r="B230" s="19"/>
      <c r="C230" s="20"/>
      <c r="D230" s="21"/>
      <c r="E230" s="23"/>
      <c r="F230" s="25"/>
      <c r="G230" s="24">
        <f ca="1">SUM(G222:G229)</f>
        <v>30970.799999999996</v>
      </c>
      <c r="H230" s="20"/>
      <c r="I230" s="22"/>
      <c r="J230" s="20"/>
      <c r="K230" s="12" t="str">
        <f>K229</f>
        <v>B25</v>
      </c>
    </row>
    <row r="231" spans="1:11" ht="39.75" customHeight="1" x14ac:dyDescent="0.25">
      <c r="A231" s="5" t="str">
        <f>D231</f>
        <v>РП-1 (В25)</v>
      </c>
      <c r="B231" s="6"/>
      <c r="C231" s="7"/>
      <c r="D231" s="6" t="s">
        <v>139</v>
      </c>
      <c r="E231" s="8"/>
      <c r="F231" s="8"/>
      <c r="G231" s="9"/>
      <c r="H231" s="10">
        <v>1</v>
      </c>
      <c r="I231" s="11" t="s">
        <v>11</v>
      </c>
      <c r="J231" s="6" t="s">
        <v>12</v>
      </c>
      <c r="K231" s="5" t="s">
        <v>102</v>
      </c>
    </row>
    <row r="232" spans="1:11" ht="21" customHeight="1" x14ac:dyDescent="0.25">
      <c r="A232" s="12" t="str">
        <f t="shared" ref="A232:A237" si="64">A231</f>
        <v>РП-1 (В25)</v>
      </c>
      <c r="B232" s="13" t="s">
        <v>14</v>
      </c>
      <c r="C232" s="14" t="s">
        <v>103</v>
      </c>
      <c r="D232" s="12" t="s">
        <v>104</v>
      </c>
      <c r="E232" s="13">
        <v>15140</v>
      </c>
      <c r="F232" s="15">
        <f>E232*0.6</f>
        <v>9084</v>
      </c>
      <c r="G232" s="15">
        <f>H232*F232</f>
        <v>9084</v>
      </c>
      <c r="H232" s="16">
        <v>1</v>
      </c>
      <c r="I232" s="17" t="s">
        <v>17</v>
      </c>
      <c r="J232" s="13" t="s">
        <v>18</v>
      </c>
      <c r="K232" s="12" t="str">
        <f t="shared" ref="K232:K237" si="65">K231</f>
        <v>B25</v>
      </c>
    </row>
    <row r="233" spans="1:11" ht="21" customHeight="1" x14ac:dyDescent="0.25">
      <c r="A233" s="12" t="str">
        <f t="shared" si="64"/>
        <v>РП-1 (В25)</v>
      </c>
      <c r="B233" s="13" t="s">
        <v>23</v>
      </c>
      <c r="C233" s="14" t="s">
        <v>81</v>
      </c>
      <c r="D233" s="12" t="s">
        <v>82</v>
      </c>
      <c r="E233" s="13">
        <v>2499</v>
      </c>
      <c r="F233" s="15">
        <f>E233*0.6</f>
        <v>1499.3999999999999</v>
      </c>
      <c r="G233" s="15">
        <f>F233*H233</f>
        <v>1499.3999999999999</v>
      </c>
      <c r="H233" s="16">
        <v>1</v>
      </c>
      <c r="I233" s="17" t="s">
        <v>17</v>
      </c>
      <c r="J233" s="13" t="s">
        <v>22</v>
      </c>
      <c r="K233" s="12" t="str">
        <f t="shared" si="65"/>
        <v>B25</v>
      </c>
    </row>
    <row r="234" spans="1:11" ht="21" customHeight="1" x14ac:dyDescent="0.25">
      <c r="A234" s="12" t="str">
        <f t="shared" si="64"/>
        <v>РП-1 (В25)</v>
      </c>
      <c r="B234" s="13" t="s">
        <v>136</v>
      </c>
      <c r="C234" s="14" t="s">
        <v>137</v>
      </c>
      <c r="D234" s="12" t="s">
        <v>138</v>
      </c>
      <c r="E234" s="13">
        <v>5093</v>
      </c>
      <c r="F234" s="15">
        <f>E234*0.6</f>
        <v>3055.7999999999997</v>
      </c>
      <c r="G234" s="15">
        <f>F234*H234</f>
        <v>18334.8</v>
      </c>
      <c r="H234" s="16">
        <v>6</v>
      </c>
      <c r="I234" s="17" t="s">
        <v>17</v>
      </c>
      <c r="J234" s="13" t="s">
        <v>22</v>
      </c>
      <c r="K234" s="12" t="str">
        <f t="shared" si="65"/>
        <v>B25</v>
      </c>
    </row>
    <row r="235" spans="1:11" ht="24" customHeight="1" x14ac:dyDescent="0.25">
      <c r="A235" s="12" t="str">
        <f t="shared" si="64"/>
        <v>РП-1 (В25)</v>
      </c>
      <c r="B235" s="12" t="s">
        <v>33</v>
      </c>
      <c r="C235" s="18" t="s">
        <v>33</v>
      </c>
      <c r="D235" s="12" t="s">
        <v>33</v>
      </c>
      <c r="E235" s="12">
        <f ca="1">OFFSET(E235,1,2)</f>
        <v>0</v>
      </c>
      <c r="F235" s="15">
        <f ca="1">E235</f>
        <v>0</v>
      </c>
      <c r="G235" s="15">
        <f ca="1">F235*H235</f>
        <v>0</v>
      </c>
      <c r="H235" s="12"/>
      <c r="I235" s="12" t="s">
        <v>17</v>
      </c>
      <c r="J235" s="12" t="s">
        <v>33</v>
      </c>
      <c r="K235" s="12" t="str">
        <f t="shared" si="65"/>
        <v>B25</v>
      </c>
    </row>
    <row r="236" spans="1:11" ht="21" customHeight="1" x14ac:dyDescent="0.25">
      <c r="A236" s="12" t="str">
        <f t="shared" si="64"/>
        <v>РП-1 (В25)</v>
      </c>
      <c r="B236" s="12" t="s">
        <v>34</v>
      </c>
      <c r="C236" s="18" t="s">
        <v>34</v>
      </c>
      <c r="D236" s="12" t="s">
        <v>34</v>
      </c>
      <c r="E236" s="12"/>
      <c r="F236" s="15">
        <v>100</v>
      </c>
      <c r="G236" s="15">
        <f>60*E236*F236</f>
        <v>0</v>
      </c>
      <c r="H236" s="12">
        <f>60*E236</f>
        <v>0</v>
      </c>
      <c r="I236" s="12" t="s">
        <v>17</v>
      </c>
      <c r="J236" s="12" t="s">
        <v>34</v>
      </c>
      <c r="K236" s="12" t="str">
        <f t="shared" si="65"/>
        <v>B25</v>
      </c>
    </row>
    <row r="237" spans="1:11" ht="30" customHeight="1" x14ac:dyDescent="0.25">
      <c r="A237" s="12" t="str">
        <f t="shared" si="64"/>
        <v>РП-1 (В25)</v>
      </c>
      <c r="B237" s="19"/>
      <c r="C237" s="20"/>
      <c r="D237" s="21"/>
      <c r="E237" s="23"/>
      <c r="F237" s="25"/>
      <c r="G237" s="24">
        <f ca="1">SUM(G232:G236)</f>
        <v>28918.199999999997</v>
      </c>
      <c r="H237" s="20"/>
      <c r="I237" s="22"/>
      <c r="J237" s="20"/>
      <c r="K237" s="12" t="str">
        <f t="shared" si="65"/>
        <v>B25</v>
      </c>
    </row>
    <row r="238" spans="1:11" ht="39.75" customHeight="1" x14ac:dyDescent="0.25">
      <c r="A238" s="5" t="str">
        <f>D238</f>
        <v>РПл-1 (В25)</v>
      </c>
      <c r="B238" s="6"/>
      <c r="C238" s="7"/>
      <c r="D238" s="6" t="s">
        <v>140</v>
      </c>
      <c r="E238" s="8"/>
      <c r="F238" s="8"/>
      <c r="G238" s="9"/>
      <c r="H238" s="10">
        <v>1</v>
      </c>
      <c r="I238" s="11" t="s">
        <v>11</v>
      </c>
      <c r="J238" s="6" t="s">
        <v>12</v>
      </c>
      <c r="K238" s="5" t="s">
        <v>102</v>
      </c>
    </row>
    <row r="239" spans="1:11" ht="21" customHeight="1" x14ac:dyDescent="0.25">
      <c r="A239" s="12" t="str">
        <f>A238</f>
        <v>РПл-1 (В25)</v>
      </c>
      <c r="B239" s="13" t="s">
        <v>14</v>
      </c>
      <c r="C239" s="14" t="s">
        <v>62</v>
      </c>
      <c r="D239" s="12" t="s">
        <v>63</v>
      </c>
      <c r="E239" s="13">
        <v>15210</v>
      </c>
      <c r="F239" s="15">
        <f t="shared" ref="F239:F244" si="66">E239*0.6</f>
        <v>9126</v>
      </c>
      <c r="G239" s="15">
        <f>H239*F239</f>
        <v>9126</v>
      </c>
      <c r="H239" s="16">
        <v>1</v>
      </c>
      <c r="I239" s="17" t="s">
        <v>17</v>
      </c>
      <c r="J239" s="13" t="s">
        <v>18</v>
      </c>
      <c r="K239" s="12" t="str">
        <f>K238</f>
        <v>B25</v>
      </c>
    </row>
    <row r="240" spans="1:11" ht="21" customHeight="1" x14ac:dyDescent="0.25">
      <c r="A240" s="12" t="str">
        <f>A238</f>
        <v>РПл-1 (В25)</v>
      </c>
      <c r="B240" s="13" t="s">
        <v>23</v>
      </c>
      <c r="C240" s="14" t="s">
        <v>72</v>
      </c>
      <c r="D240" s="12" t="s">
        <v>73</v>
      </c>
      <c r="E240" s="13">
        <v>2807</v>
      </c>
      <c r="F240" s="15">
        <f t="shared" si="66"/>
        <v>1684.2</v>
      </c>
      <c r="G240" s="15">
        <f t="shared" ref="G240:G245" si="67">F240*H240</f>
        <v>1684.2</v>
      </c>
      <c r="H240" s="16">
        <v>1</v>
      </c>
      <c r="I240" s="17" t="s">
        <v>17</v>
      </c>
      <c r="J240" s="13" t="s">
        <v>22</v>
      </c>
      <c r="K240" s="12" t="str">
        <f>K238</f>
        <v>B25</v>
      </c>
    </row>
    <row r="241" spans="1:11" ht="21" customHeight="1" x14ac:dyDescent="0.25">
      <c r="A241" s="12" t="str">
        <f>A239</f>
        <v>РПл-1 (В25)</v>
      </c>
      <c r="B241" s="13" t="s">
        <v>23</v>
      </c>
      <c r="C241" s="14" t="s">
        <v>81</v>
      </c>
      <c r="D241" s="12" t="s">
        <v>82</v>
      </c>
      <c r="E241" s="13">
        <v>2499</v>
      </c>
      <c r="F241" s="15">
        <f t="shared" si="66"/>
        <v>1499.3999999999999</v>
      </c>
      <c r="G241" s="15">
        <f t="shared" si="67"/>
        <v>1499.3999999999999</v>
      </c>
      <c r="H241" s="16">
        <v>1</v>
      </c>
      <c r="I241" s="17" t="s">
        <v>17</v>
      </c>
      <c r="J241" s="13" t="s">
        <v>22</v>
      </c>
      <c r="K241" s="12" t="str">
        <f>K239</f>
        <v>B25</v>
      </c>
    </row>
    <row r="242" spans="1:11" ht="21" customHeight="1" x14ac:dyDescent="0.25">
      <c r="A242" s="12" t="str">
        <f>A239</f>
        <v>РПл-1 (В25)</v>
      </c>
      <c r="B242" s="13" t="s">
        <v>23</v>
      </c>
      <c r="C242" s="14" t="s">
        <v>141</v>
      </c>
      <c r="D242" s="12" t="s">
        <v>142</v>
      </c>
      <c r="E242" s="13">
        <v>796</v>
      </c>
      <c r="F242" s="15">
        <f t="shared" si="66"/>
        <v>477.59999999999997</v>
      </c>
      <c r="G242" s="15">
        <f t="shared" si="67"/>
        <v>477.59999999999997</v>
      </c>
      <c r="H242" s="16">
        <v>1</v>
      </c>
      <c r="I242" s="17" t="s">
        <v>17</v>
      </c>
      <c r="J242" s="13" t="s">
        <v>22</v>
      </c>
      <c r="K242" s="12" t="str">
        <f>K239</f>
        <v>B25</v>
      </c>
    </row>
    <row r="243" spans="1:11" ht="21" customHeight="1" x14ac:dyDescent="0.25">
      <c r="A243" s="12" t="str">
        <f>A241</f>
        <v>РПл-1 (В25)</v>
      </c>
      <c r="B243" s="13" t="s">
        <v>23</v>
      </c>
      <c r="C243" s="14" t="s">
        <v>28</v>
      </c>
      <c r="D243" s="12" t="s">
        <v>29</v>
      </c>
      <c r="E243" s="13">
        <v>1389</v>
      </c>
      <c r="F243" s="15">
        <f t="shared" si="66"/>
        <v>833.4</v>
      </c>
      <c r="G243" s="15">
        <f t="shared" si="67"/>
        <v>1666.8</v>
      </c>
      <c r="H243" s="16">
        <v>2</v>
      </c>
      <c r="I243" s="17" t="s">
        <v>17</v>
      </c>
      <c r="J243" s="13" t="s">
        <v>22</v>
      </c>
      <c r="K243" s="12" t="str">
        <f>K241</f>
        <v>B25</v>
      </c>
    </row>
    <row r="244" spans="1:11" ht="21" customHeight="1" x14ac:dyDescent="0.25">
      <c r="A244" s="12" t="str">
        <f>A241</f>
        <v>РПл-1 (В25)</v>
      </c>
      <c r="B244" s="13" t="s">
        <v>136</v>
      </c>
      <c r="C244" s="14" t="s">
        <v>137</v>
      </c>
      <c r="D244" s="12" t="s">
        <v>138</v>
      </c>
      <c r="E244" s="13">
        <v>5093</v>
      </c>
      <c r="F244" s="15">
        <f t="shared" si="66"/>
        <v>3055.7999999999997</v>
      </c>
      <c r="G244" s="15">
        <f t="shared" si="67"/>
        <v>30557.999999999996</v>
      </c>
      <c r="H244" s="16">
        <v>10</v>
      </c>
      <c r="I244" s="17" t="s">
        <v>17</v>
      </c>
      <c r="J244" s="13" t="s">
        <v>22</v>
      </c>
      <c r="K244" s="12" t="str">
        <f>K241</f>
        <v>B25</v>
      </c>
    </row>
    <row r="245" spans="1:11" ht="24" customHeight="1" x14ac:dyDescent="0.25">
      <c r="A245" s="12" t="str">
        <f>A244</f>
        <v>РПл-1 (В25)</v>
      </c>
      <c r="B245" s="12" t="s">
        <v>33</v>
      </c>
      <c r="C245" s="18" t="s">
        <v>33</v>
      </c>
      <c r="D245" s="12" t="s">
        <v>33</v>
      </c>
      <c r="E245" s="12">
        <f ca="1">OFFSET(E245,1,2)</f>
        <v>0</v>
      </c>
      <c r="F245" s="15">
        <f ca="1">E245</f>
        <v>0</v>
      </c>
      <c r="G245" s="15">
        <f t="shared" ca="1" si="67"/>
        <v>0</v>
      </c>
      <c r="H245" s="12"/>
      <c r="I245" s="12" t="s">
        <v>17</v>
      </c>
      <c r="J245" s="12" t="s">
        <v>33</v>
      </c>
      <c r="K245" s="12" t="str">
        <f>K244</f>
        <v>B25</v>
      </c>
    </row>
    <row r="246" spans="1:11" ht="21" customHeight="1" x14ac:dyDescent="0.25">
      <c r="A246" s="12" t="str">
        <f>A245</f>
        <v>РПл-1 (В25)</v>
      </c>
      <c r="B246" s="12" t="s">
        <v>34</v>
      </c>
      <c r="C246" s="18" t="s">
        <v>34</v>
      </c>
      <c r="D246" s="12" t="s">
        <v>34</v>
      </c>
      <c r="E246" s="12"/>
      <c r="F246" s="15">
        <v>100</v>
      </c>
      <c r="G246" s="15">
        <f>60*E246*F246</f>
        <v>0</v>
      </c>
      <c r="H246" s="12">
        <f>60*E246</f>
        <v>0</v>
      </c>
      <c r="I246" s="12" t="s">
        <v>17</v>
      </c>
      <c r="J246" s="12" t="s">
        <v>34</v>
      </c>
      <c r="K246" s="12" t="str">
        <f>K245</f>
        <v>B25</v>
      </c>
    </row>
    <row r="247" spans="1:11" ht="30" customHeight="1" x14ac:dyDescent="0.25">
      <c r="A247" s="12" t="str">
        <f>A246</f>
        <v>РПл-1 (В25)</v>
      </c>
      <c r="B247" s="19"/>
      <c r="C247" s="20"/>
      <c r="D247" s="21"/>
      <c r="E247" s="23"/>
      <c r="F247" s="25"/>
      <c r="G247" s="24">
        <f ca="1">SUM(G239:G246)</f>
        <v>45012</v>
      </c>
      <c r="H247" s="20"/>
      <c r="I247" s="22"/>
      <c r="J247" s="20"/>
      <c r="K247" s="12" t="str">
        <f>K246</f>
        <v>B25</v>
      </c>
    </row>
    <row r="248" spans="1:11" ht="39.75" customHeight="1" x14ac:dyDescent="0.25">
      <c r="A248" s="5" t="str">
        <f>D248</f>
        <v>Рпкух-1 (В25)</v>
      </c>
      <c r="B248" s="6"/>
      <c r="C248" s="7"/>
      <c r="D248" s="6" t="s">
        <v>143</v>
      </c>
      <c r="E248" s="8"/>
      <c r="F248" s="8"/>
      <c r="G248" s="9"/>
      <c r="H248" s="10">
        <v>1</v>
      </c>
      <c r="I248" s="11" t="s">
        <v>11</v>
      </c>
      <c r="J248" s="6" t="s">
        <v>12</v>
      </c>
      <c r="K248" s="5" t="s">
        <v>102</v>
      </c>
    </row>
    <row r="249" spans="1:11" ht="21" customHeight="1" x14ac:dyDescent="0.25">
      <c r="A249" s="12" t="str">
        <f t="shared" ref="A249:A254" si="68">A248</f>
        <v>Рпкух-1 (В25)</v>
      </c>
      <c r="B249" s="13" t="s">
        <v>14</v>
      </c>
      <c r="C249" s="14" t="s">
        <v>15</v>
      </c>
      <c r="D249" s="12" t="s">
        <v>16</v>
      </c>
      <c r="E249" s="13">
        <v>13410</v>
      </c>
      <c r="F249" s="15">
        <f>E249*0.6</f>
        <v>8046</v>
      </c>
      <c r="G249" s="15">
        <f>H249*F249</f>
        <v>8046</v>
      </c>
      <c r="H249" s="16">
        <v>1</v>
      </c>
      <c r="I249" s="17" t="s">
        <v>17</v>
      </c>
      <c r="J249" s="13" t="s">
        <v>18</v>
      </c>
      <c r="K249" s="12" t="str">
        <f t="shared" ref="K249:K254" si="69">K248</f>
        <v>B25</v>
      </c>
    </row>
    <row r="250" spans="1:11" ht="21" customHeight="1" x14ac:dyDescent="0.25">
      <c r="A250" s="12" t="str">
        <f t="shared" si="68"/>
        <v>Рпкух-1 (В25)</v>
      </c>
      <c r="B250" s="13" t="s">
        <v>23</v>
      </c>
      <c r="C250" s="14" t="s">
        <v>81</v>
      </c>
      <c r="D250" s="12" t="s">
        <v>82</v>
      </c>
      <c r="E250" s="13">
        <v>2499</v>
      </c>
      <c r="F250" s="15">
        <f>E250*0.6</f>
        <v>1499.3999999999999</v>
      </c>
      <c r="G250" s="15">
        <f>F250*H250</f>
        <v>1499.3999999999999</v>
      </c>
      <c r="H250" s="16">
        <v>1</v>
      </c>
      <c r="I250" s="17" t="s">
        <v>17</v>
      </c>
      <c r="J250" s="13" t="s">
        <v>22</v>
      </c>
      <c r="K250" s="12" t="str">
        <f t="shared" si="69"/>
        <v>B25</v>
      </c>
    </row>
    <row r="251" spans="1:11" ht="21" customHeight="1" x14ac:dyDescent="0.25">
      <c r="A251" s="12" t="str">
        <f t="shared" si="68"/>
        <v>Рпкух-1 (В25)</v>
      </c>
      <c r="B251" s="13" t="s">
        <v>136</v>
      </c>
      <c r="C251" s="14" t="s">
        <v>137</v>
      </c>
      <c r="D251" s="12" t="s">
        <v>138</v>
      </c>
      <c r="E251" s="13">
        <v>5093</v>
      </c>
      <c r="F251" s="15">
        <f>E251*0.6</f>
        <v>3055.7999999999997</v>
      </c>
      <c r="G251" s="15">
        <f>F251*H251</f>
        <v>15278.999999999998</v>
      </c>
      <c r="H251" s="16">
        <v>5</v>
      </c>
      <c r="I251" s="17" t="s">
        <v>17</v>
      </c>
      <c r="J251" s="13" t="s">
        <v>22</v>
      </c>
      <c r="K251" s="12" t="str">
        <f t="shared" si="69"/>
        <v>B25</v>
      </c>
    </row>
    <row r="252" spans="1:11" ht="24" customHeight="1" x14ac:dyDescent="0.25">
      <c r="A252" s="12" t="str">
        <f t="shared" si="68"/>
        <v>Рпкух-1 (В25)</v>
      </c>
      <c r="B252" s="12" t="s">
        <v>33</v>
      </c>
      <c r="C252" s="18" t="s">
        <v>33</v>
      </c>
      <c r="D252" s="12" t="s">
        <v>33</v>
      </c>
      <c r="E252" s="12">
        <f ca="1">OFFSET(E252,1,2)</f>
        <v>0</v>
      </c>
      <c r="F252" s="15">
        <f ca="1">E252</f>
        <v>0</v>
      </c>
      <c r="G252" s="15">
        <f ca="1">F252*H252</f>
        <v>0</v>
      </c>
      <c r="H252" s="12"/>
      <c r="I252" s="12" t="s">
        <v>17</v>
      </c>
      <c r="J252" s="12" t="s">
        <v>33</v>
      </c>
      <c r="K252" s="12" t="str">
        <f t="shared" si="69"/>
        <v>B25</v>
      </c>
    </row>
    <row r="253" spans="1:11" ht="21" customHeight="1" x14ac:dyDescent="0.25">
      <c r="A253" s="12" t="str">
        <f t="shared" si="68"/>
        <v>Рпкух-1 (В25)</v>
      </c>
      <c r="B253" s="12" t="s">
        <v>34</v>
      </c>
      <c r="C253" s="18" t="s">
        <v>34</v>
      </c>
      <c r="D253" s="12" t="s">
        <v>34</v>
      </c>
      <c r="E253" s="12"/>
      <c r="F253" s="15">
        <v>100</v>
      </c>
      <c r="G253" s="15">
        <f>60*E253*F253</f>
        <v>0</v>
      </c>
      <c r="H253" s="12">
        <f>60*E253</f>
        <v>0</v>
      </c>
      <c r="I253" s="12" t="s">
        <v>17</v>
      </c>
      <c r="J253" s="12" t="s">
        <v>34</v>
      </c>
      <c r="K253" s="12" t="str">
        <f t="shared" si="69"/>
        <v>B25</v>
      </c>
    </row>
    <row r="254" spans="1:11" ht="30" customHeight="1" x14ac:dyDescent="0.25">
      <c r="A254" s="12" t="str">
        <f t="shared" si="68"/>
        <v>Рпкух-1 (В25)</v>
      </c>
      <c r="B254" s="19"/>
      <c r="C254" s="20"/>
      <c r="D254" s="21"/>
      <c r="E254" s="23"/>
      <c r="F254" s="25"/>
      <c r="G254" s="24">
        <f ca="1">SUM(G249:G253)</f>
        <v>24824.399999999998</v>
      </c>
      <c r="H254" s="20"/>
      <c r="I254" s="22"/>
      <c r="J254" s="20"/>
      <c r="K254" s="12" t="str">
        <f t="shared" si="69"/>
        <v>B25</v>
      </c>
    </row>
    <row r="255" spans="1:11" ht="39.75" customHeight="1" x14ac:dyDescent="0.25">
      <c r="A255" s="5" t="str">
        <f>D255</f>
        <v>РПВ-1 (В25)</v>
      </c>
      <c r="B255" s="6"/>
      <c r="C255" s="7"/>
      <c r="D255" s="6" t="s">
        <v>144</v>
      </c>
      <c r="E255" s="8"/>
      <c r="F255" s="8"/>
      <c r="G255" s="9"/>
      <c r="H255" s="10">
        <v>1</v>
      </c>
      <c r="I255" s="11" t="s">
        <v>11</v>
      </c>
      <c r="J255" s="6" t="s">
        <v>12</v>
      </c>
      <c r="K255" s="5" t="s">
        <v>102</v>
      </c>
    </row>
    <row r="256" spans="1:11" ht="21" customHeight="1" x14ac:dyDescent="0.25">
      <c r="A256" s="12" t="str">
        <f>A255</f>
        <v>РПВ-1 (В25)</v>
      </c>
      <c r="B256" s="13" t="s">
        <v>14</v>
      </c>
      <c r="C256" s="14" t="s">
        <v>75</v>
      </c>
      <c r="D256" s="12" t="s">
        <v>76</v>
      </c>
      <c r="E256" s="13">
        <v>10270</v>
      </c>
      <c r="F256" s="15">
        <f>E256*0.6</f>
        <v>6162</v>
      </c>
      <c r="G256" s="15">
        <f>H256*F256</f>
        <v>6162</v>
      </c>
      <c r="H256" s="16">
        <v>1</v>
      </c>
      <c r="I256" s="17" t="s">
        <v>17</v>
      </c>
      <c r="J256" s="13" t="s">
        <v>18</v>
      </c>
      <c r="K256" s="12" t="str">
        <f>K255</f>
        <v>B25</v>
      </c>
    </row>
    <row r="257" spans="1:11" ht="21" customHeight="1" x14ac:dyDescent="0.25">
      <c r="A257" s="12" t="str">
        <f>A256</f>
        <v>РПВ-1 (В25)</v>
      </c>
      <c r="B257" s="13" t="s">
        <v>23</v>
      </c>
      <c r="C257" s="14" t="s">
        <v>81</v>
      </c>
      <c r="D257" s="12" t="s">
        <v>82</v>
      </c>
      <c r="E257" s="13">
        <v>2499</v>
      </c>
      <c r="F257" s="15">
        <f>E257*0.6</f>
        <v>1499.3999999999999</v>
      </c>
      <c r="G257" s="15">
        <f>F257*H257</f>
        <v>1499.3999999999999</v>
      </c>
      <c r="H257" s="16">
        <v>1</v>
      </c>
      <c r="I257" s="17" t="s">
        <v>17</v>
      </c>
      <c r="J257" s="13" t="s">
        <v>22</v>
      </c>
      <c r="K257" s="12" t="str">
        <f>K256</f>
        <v>B25</v>
      </c>
    </row>
    <row r="258" spans="1:11" ht="21" customHeight="1" x14ac:dyDescent="0.25">
      <c r="A258" s="12" t="str">
        <f>A256</f>
        <v>РПВ-1 (В25)</v>
      </c>
      <c r="B258" s="13" t="s">
        <v>23</v>
      </c>
      <c r="C258" s="14" t="s">
        <v>28</v>
      </c>
      <c r="D258" s="12" t="s">
        <v>29</v>
      </c>
      <c r="E258" s="13">
        <v>1389</v>
      </c>
      <c r="F258" s="15">
        <f>E258*0.6</f>
        <v>833.4</v>
      </c>
      <c r="G258" s="15">
        <f>F258*H258</f>
        <v>5000.3999999999996</v>
      </c>
      <c r="H258" s="16">
        <v>6</v>
      </c>
      <c r="I258" s="17" t="s">
        <v>17</v>
      </c>
      <c r="J258" s="13" t="s">
        <v>22</v>
      </c>
      <c r="K258" s="12" t="str">
        <f>K256</f>
        <v>B25</v>
      </c>
    </row>
    <row r="259" spans="1:11" ht="24" customHeight="1" x14ac:dyDescent="0.25">
      <c r="A259" s="12" t="str">
        <f>A258</f>
        <v>РПВ-1 (В25)</v>
      </c>
      <c r="B259" s="12" t="s">
        <v>33</v>
      </c>
      <c r="C259" s="18" t="s">
        <v>33</v>
      </c>
      <c r="D259" s="12" t="s">
        <v>33</v>
      </c>
      <c r="E259" s="12">
        <f ca="1">OFFSET(E259,1,2)</f>
        <v>0</v>
      </c>
      <c r="F259" s="15">
        <f ca="1">E259</f>
        <v>0</v>
      </c>
      <c r="G259" s="15">
        <f ca="1">F259*H259</f>
        <v>0</v>
      </c>
      <c r="H259" s="12"/>
      <c r="I259" s="12" t="s">
        <v>17</v>
      </c>
      <c r="J259" s="12" t="s">
        <v>33</v>
      </c>
      <c r="K259" s="12" t="str">
        <f>K258</f>
        <v>B25</v>
      </c>
    </row>
    <row r="260" spans="1:11" ht="21" customHeight="1" x14ac:dyDescent="0.25">
      <c r="A260" s="12" t="str">
        <f>A259</f>
        <v>РПВ-1 (В25)</v>
      </c>
      <c r="B260" s="12" t="s">
        <v>34</v>
      </c>
      <c r="C260" s="18" t="s">
        <v>34</v>
      </c>
      <c r="D260" s="12" t="s">
        <v>34</v>
      </c>
      <c r="E260" s="12"/>
      <c r="F260" s="15">
        <v>100</v>
      </c>
      <c r="G260" s="15">
        <f>60*E260*F260</f>
        <v>0</v>
      </c>
      <c r="H260" s="12">
        <f>60*E260</f>
        <v>0</v>
      </c>
      <c r="I260" s="12" t="s">
        <v>17</v>
      </c>
      <c r="J260" s="12" t="s">
        <v>34</v>
      </c>
      <c r="K260" s="12" t="str">
        <f>K259</f>
        <v>B25</v>
      </c>
    </row>
    <row r="261" spans="1:11" ht="30" customHeight="1" x14ac:dyDescent="0.25">
      <c r="A261" s="12" t="str">
        <f>A260</f>
        <v>РПВ-1 (В25)</v>
      </c>
      <c r="B261" s="19"/>
      <c r="C261" s="20"/>
      <c r="D261" s="21"/>
      <c r="E261" s="23"/>
      <c r="F261" s="25"/>
      <c r="G261" s="24">
        <f ca="1">SUM(G256:G260)</f>
        <v>12661.8</v>
      </c>
      <c r="H261" s="20"/>
      <c r="I261" s="22"/>
      <c r="J261" s="20"/>
      <c r="K261" s="12" t="str">
        <f>K260</f>
        <v>B25</v>
      </c>
    </row>
    <row r="262" spans="1:11" ht="39.75" customHeight="1" x14ac:dyDescent="0.25">
      <c r="A262" s="5" t="str">
        <f>D262</f>
        <v>РПо-1 (В25)</v>
      </c>
      <c r="B262" s="6"/>
      <c r="C262" s="7"/>
      <c r="D262" s="6" t="s">
        <v>145</v>
      </c>
      <c r="E262" s="8"/>
      <c r="F262" s="8"/>
      <c r="G262" s="9"/>
      <c r="H262" s="10">
        <v>1</v>
      </c>
      <c r="I262" s="11" t="s">
        <v>11</v>
      </c>
      <c r="J262" s="6" t="s">
        <v>12</v>
      </c>
      <c r="K262" s="5" t="s">
        <v>102</v>
      </c>
    </row>
    <row r="263" spans="1:11" ht="21" customHeight="1" x14ac:dyDescent="0.25">
      <c r="A263" s="12" t="str">
        <f>A262</f>
        <v>РПо-1 (В25)</v>
      </c>
      <c r="B263" s="13" t="s">
        <v>14</v>
      </c>
      <c r="C263" s="14" t="s">
        <v>103</v>
      </c>
      <c r="D263" s="12" t="s">
        <v>104</v>
      </c>
      <c r="E263" s="13">
        <v>15140</v>
      </c>
      <c r="F263" s="15">
        <f t="shared" ref="F263:F269" si="70">E263*0.6</f>
        <v>9084</v>
      </c>
      <c r="G263" s="15">
        <f>H263*F263</f>
        <v>9084</v>
      </c>
      <c r="H263" s="16">
        <v>1</v>
      </c>
      <c r="I263" s="17" t="s">
        <v>17</v>
      </c>
      <c r="J263" s="13" t="s">
        <v>18</v>
      </c>
      <c r="K263" s="12" t="str">
        <f>K262</f>
        <v>B25</v>
      </c>
    </row>
    <row r="264" spans="1:11" ht="21" customHeight="1" x14ac:dyDescent="0.25">
      <c r="A264" s="12" t="str">
        <f t="shared" ref="A264:A272" si="71">A263</f>
        <v>РПо-1 (В25)</v>
      </c>
      <c r="B264" s="13" t="s">
        <v>23</v>
      </c>
      <c r="C264" s="14" t="s">
        <v>24</v>
      </c>
      <c r="D264" s="12" t="s">
        <v>25</v>
      </c>
      <c r="E264" s="13">
        <v>11015</v>
      </c>
      <c r="F264" s="15">
        <f t="shared" si="70"/>
        <v>6609</v>
      </c>
      <c r="G264" s="15">
        <f t="shared" ref="G264:G270" si="72">F264*H264</f>
        <v>6609</v>
      </c>
      <c r="H264" s="16">
        <v>1</v>
      </c>
      <c r="I264" s="17" t="s">
        <v>17</v>
      </c>
      <c r="J264" s="13" t="s">
        <v>22</v>
      </c>
      <c r="K264" s="12" t="str">
        <f t="shared" ref="K264:K272" si="73">K263</f>
        <v>B25</v>
      </c>
    </row>
    <row r="265" spans="1:11" ht="21" customHeight="1" x14ac:dyDescent="0.25">
      <c r="A265" s="12" t="str">
        <f t="shared" si="71"/>
        <v>РПо-1 (В25)</v>
      </c>
      <c r="B265" s="13" t="s">
        <v>23</v>
      </c>
      <c r="C265" s="14" t="s">
        <v>57</v>
      </c>
      <c r="D265" s="12" t="s">
        <v>58</v>
      </c>
      <c r="E265" s="13">
        <v>2429</v>
      </c>
      <c r="F265" s="15">
        <f t="shared" si="70"/>
        <v>1457.3999999999999</v>
      </c>
      <c r="G265" s="15">
        <f t="shared" si="72"/>
        <v>1457.3999999999999</v>
      </c>
      <c r="H265" s="16">
        <v>1</v>
      </c>
      <c r="I265" s="17" t="s">
        <v>17</v>
      </c>
      <c r="J265" s="13" t="s">
        <v>22</v>
      </c>
      <c r="K265" s="12" t="str">
        <f t="shared" si="73"/>
        <v>B25</v>
      </c>
    </row>
    <row r="266" spans="1:11" ht="21" customHeight="1" x14ac:dyDescent="0.25">
      <c r="A266" s="12" t="str">
        <f t="shared" si="71"/>
        <v>РПо-1 (В25)</v>
      </c>
      <c r="B266" s="13" t="s">
        <v>23</v>
      </c>
      <c r="C266" s="14" t="s">
        <v>26</v>
      </c>
      <c r="D266" s="12" t="s">
        <v>27</v>
      </c>
      <c r="E266" s="13">
        <v>2337</v>
      </c>
      <c r="F266" s="15">
        <f t="shared" si="70"/>
        <v>1402.2</v>
      </c>
      <c r="G266" s="15">
        <f t="shared" si="72"/>
        <v>7011</v>
      </c>
      <c r="H266" s="16">
        <v>5</v>
      </c>
      <c r="I266" s="17" t="s">
        <v>17</v>
      </c>
      <c r="J266" s="13" t="s">
        <v>22</v>
      </c>
      <c r="K266" s="12" t="str">
        <f t="shared" si="73"/>
        <v>B25</v>
      </c>
    </row>
    <row r="267" spans="1:11" ht="21" customHeight="1" x14ac:dyDescent="0.25">
      <c r="A267" s="12" t="str">
        <f>A264</f>
        <v>РПо-1 (В25)</v>
      </c>
      <c r="B267" s="13" t="s">
        <v>23</v>
      </c>
      <c r="C267" s="14" t="s">
        <v>141</v>
      </c>
      <c r="D267" s="12" t="s">
        <v>142</v>
      </c>
      <c r="E267" s="13">
        <v>796</v>
      </c>
      <c r="F267" s="15">
        <f t="shared" si="70"/>
        <v>477.59999999999997</v>
      </c>
      <c r="G267" s="15">
        <f t="shared" si="72"/>
        <v>955.19999999999993</v>
      </c>
      <c r="H267" s="16">
        <v>2</v>
      </c>
      <c r="I267" s="17" t="s">
        <v>17</v>
      </c>
      <c r="J267" s="13" t="s">
        <v>22</v>
      </c>
      <c r="K267" s="12" t="str">
        <f>K264</f>
        <v>B25</v>
      </c>
    </row>
    <row r="268" spans="1:11" ht="21" customHeight="1" x14ac:dyDescent="0.25">
      <c r="A268" s="12" t="str">
        <f>A266</f>
        <v>РПо-1 (В25)</v>
      </c>
      <c r="B268" s="13" t="s">
        <v>23</v>
      </c>
      <c r="C268" s="14" t="s">
        <v>28</v>
      </c>
      <c r="D268" s="12" t="s">
        <v>29</v>
      </c>
      <c r="E268" s="13">
        <v>1389</v>
      </c>
      <c r="F268" s="15">
        <f t="shared" si="70"/>
        <v>833.4</v>
      </c>
      <c r="G268" s="15">
        <f t="shared" si="72"/>
        <v>1666.8</v>
      </c>
      <c r="H268" s="16">
        <v>2</v>
      </c>
      <c r="I268" s="17" t="s">
        <v>17</v>
      </c>
      <c r="J268" s="13" t="s">
        <v>22</v>
      </c>
      <c r="K268" s="12" t="str">
        <f>K266</f>
        <v>B25</v>
      </c>
    </row>
    <row r="269" spans="1:11" ht="21" customHeight="1" x14ac:dyDescent="0.25">
      <c r="A269" s="12" t="str">
        <f t="shared" si="71"/>
        <v>РПо-1 (В25)</v>
      </c>
      <c r="B269" s="13" t="s">
        <v>30</v>
      </c>
      <c r="C269" s="14" t="s">
        <v>31</v>
      </c>
      <c r="D269" s="12" t="s">
        <v>32</v>
      </c>
      <c r="E269" s="13">
        <v>4160</v>
      </c>
      <c r="F269" s="15">
        <f t="shared" si="70"/>
        <v>2496</v>
      </c>
      <c r="G269" s="15">
        <f t="shared" si="72"/>
        <v>2496</v>
      </c>
      <c r="H269" s="16">
        <v>1</v>
      </c>
      <c r="I269" s="17" t="s">
        <v>17</v>
      </c>
      <c r="J269" s="13" t="s">
        <v>22</v>
      </c>
      <c r="K269" s="12" t="str">
        <f t="shared" si="73"/>
        <v>B25</v>
      </c>
    </row>
    <row r="270" spans="1:11" ht="24" customHeight="1" x14ac:dyDescent="0.25">
      <c r="A270" s="12" t="str">
        <f t="shared" si="71"/>
        <v>РПо-1 (В25)</v>
      </c>
      <c r="B270" s="12" t="s">
        <v>33</v>
      </c>
      <c r="C270" s="18" t="s">
        <v>33</v>
      </c>
      <c r="D270" s="12" t="s">
        <v>33</v>
      </c>
      <c r="E270" s="12">
        <f ca="1">OFFSET(E270,1,2)</f>
        <v>0</v>
      </c>
      <c r="F270" s="15">
        <f ca="1">E270</f>
        <v>0</v>
      </c>
      <c r="G270" s="15">
        <f t="shared" ca="1" si="72"/>
        <v>0</v>
      </c>
      <c r="H270" s="12"/>
      <c r="I270" s="12" t="s">
        <v>17</v>
      </c>
      <c r="J270" s="12" t="s">
        <v>33</v>
      </c>
      <c r="K270" s="12" t="str">
        <f t="shared" si="73"/>
        <v>B25</v>
      </c>
    </row>
    <row r="271" spans="1:11" ht="21" customHeight="1" x14ac:dyDescent="0.25">
      <c r="A271" s="12" t="str">
        <f t="shared" si="71"/>
        <v>РПо-1 (В25)</v>
      </c>
      <c r="B271" s="12" t="s">
        <v>34</v>
      </c>
      <c r="C271" s="18" t="s">
        <v>34</v>
      </c>
      <c r="D271" s="12" t="s">
        <v>34</v>
      </c>
      <c r="E271" s="12"/>
      <c r="F271" s="15">
        <v>100</v>
      </c>
      <c r="G271" s="15">
        <f>60*E271*F271</f>
        <v>0</v>
      </c>
      <c r="H271" s="12">
        <f>60*E271</f>
        <v>0</v>
      </c>
      <c r="I271" s="12" t="s">
        <v>17</v>
      </c>
      <c r="J271" s="12" t="s">
        <v>34</v>
      </c>
      <c r="K271" s="12" t="str">
        <f t="shared" si="73"/>
        <v>B25</v>
      </c>
    </row>
    <row r="272" spans="1:11" ht="30" customHeight="1" x14ac:dyDescent="0.25">
      <c r="A272" s="12" t="str">
        <f t="shared" si="71"/>
        <v>РПо-1 (В25)</v>
      </c>
      <c r="B272" s="19"/>
      <c r="C272" s="20"/>
      <c r="D272" s="21"/>
      <c r="E272" s="23"/>
      <c r="F272" s="25"/>
      <c r="G272" s="24">
        <f ca="1">SUM(G263:G271)</f>
        <v>29279.4</v>
      </c>
      <c r="H272" s="20"/>
      <c r="I272" s="22"/>
      <c r="J272" s="20"/>
      <c r="K272" s="12" t="str">
        <f t="shared" si="73"/>
        <v>B25</v>
      </c>
    </row>
    <row r="273" spans="1:11" ht="39.75" customHeight="1" x14ac:dyDescent="0.25">
      <c r="A273" s="5" t="str">
        <f>D273</f>
        <v>ЩО-1 (В25)</v>
      </c>
      <c r="B273" s="6"/>
      <c r="C273" s="7"/>
      <c r="D273" s="6" t="s">
        <v>146</v>
      </c>
      <c r="E273" s="8"/>
      <c r="F273" s="8"/>
      <c r="G273" s="9"/>
      <c r="H273" s="10">
        <v>1</v>
      </c>
      <c r="I273" s="11" t="s">
        <v>11</v>
      </c>
      <c r="J273" s="6" t="s">
        <v>12</v>
      </c>
      <c r="K273" s="5" t="s">
        <v>102</v>
      </c>
    </row>
    <row r="274" spans="1:11" ht="21" customHeight="1" x14ac:dyDescent="0.25">
      <c r="A274" s="12" t="str">
        <f>A273</f>
        <v>ЩО-1 (В25)</v>
      </c>
      <c r="B274" s="13" t="s">
        <v>14</v>
      </c>
      <c r="C274" s="14" t="s">
        <v>75</v>
      </c>
      <c r="D274" s="12" t="s">
        <v>76</v>
      </c>
      <c r="E274" s="13">
        <v>10270</v>
      </c>
      <c r="F274" s="15">
        <f>E274*0.6</f>
        <v>6162</v>
      </c>
      <c r="G274" s="15">
        <f>H274*F274</f>
        <v>6162</v>
      </c>
      <c r="H274" s="16">
        <v>1</v>
      </c>
      <c r="I274" s="17" t="s">
        <v>17</v>
      </c>
      <c r="J274" s="13" t="s">
        <v>18</v>
      </c>
      <c r="K274" s="12" t="str">
        <f>K273</f>
        <v>B25</v>
      </c>
    </row>
    <row r="275" spans="1:11" ht="21" customHeight="1" x14ac:dyDescent="0.25">
      <c r="A275" s="12" t="str">
        <f>A274</f>
        <v>ЩО-1 (В25)</v>
      </c>
      <c r="B275" s="13" t="s">
        <v>23</v>
      </c>
      <c r="C275" s="14" t="s">
        <v>81</v>
      </c>
      <c r="D275" s="12" t="s">
        <v>82</v>
      </c>
      <c r="E275" s="13">
        <v>2499</v>
      </c>
      <c r="F275" s="15">
        <f>E275*0.6</f>
        <v>1499.3999999999999</v>
      </c>
      <c r="G275" s="15">
        <f>F275*H275</f>
        <v>1499.3999999999999</v>
      </c>
      <c r="H275" s="16">
        <v>1</v>
      </c>
      <c r="I275" s="17" t="s">
        <v>17</v>
      </c>
      <c r="J275" s="13" t="s">
        <v>22</v>
      </c>
      <c r="K275" s="12" t="str">
        <f>K274</f>
        <v>B25</v>
      </c>
    </row>
    <row r="276" spans="1:11" ht="21" customHeight="1" x14ac:dyDescent="0.25">
      <c r="A276" s="12" t="str">
        <f>A274</f>
        <v>ЩО-1 (В25)</v>
      </c>
      <c r="B276" s="13" t="s">
        <v>23</v>
      </c>
      <c r="C276" s="14" t="s">
        <v>28</v>
      </c>
      <c r="D276" s="12" t="s">
        <v>29</v>
      </c>
      <c r="E276" s="13">
        <v>1389</v>
      </c>
      <c r="F276" s="15">
        <f>E276*0.6</f>
        <v>833.4</v>
      </c>
      <c r="G276" s="15">
        <f>F276*H276</f>
        <v>5833.8</v>
      </c>
      <c r="H276" s="16">
        <v>7</v>
      </c>
      <c r="I276" s="17" t="s">
        <v>17</v>
      </c>
      <c r="J276" s="13" t="s">
        <v>22</v>
      </c>
      <c r="K276" s="12" t="str">
        <f>K274</f>
        <v>B25</v>
      </c>
    </row>
    <row r="277" spans="1:11" ht="24" customHeight="1" x14ac:dyDescent="0.25">
      <c r="A277" s="12" t="str">
        <f>A276</f>
        <v>ЩО-1 (В25)</v>
      </c>
      <c r="B277" s="12" t="s">
        <v>33</v>
      </c>
      <c r="C277" s="18" t="s">
        <v>33</v>
      </c>
      <c r="D277" s="12" t="s">
        <v>33</v>
      </c>
      <c r="E277" s="12">
        <f ca="1">OFFSET(E277,1,2)</f>
        <v>0</v>
      </c>
      <c r="F277" s="15">
        <f ca="1">E277</f>
        <v>0</v>
      </c>
      <c r="G277" s="15">
        <f ca="1">F277*H277</f>
        <v>0</v>
      </c>
      <c r="H277" s="12"/>
      <c r="I277" s="12" t="s">
        <v>17</v>
      </c>
      <c r="J277" s="12" t="s">
        <v>33</v>
      </c>
      <c r="K277" s="12" t="str">
        <f>K276</f>
        <v>B25</v>
      </c>
    </row>
    <row r="278" spans="1:11" ht="21" customHeight="1" x14ac:dyDescent="0.25">
      <c r="A278" s="12" t="str">
        <f>A277</f>
        <v>ЩО-1 (В25)</v>
      </c>
      <c r="B278" s="12" t="s">
        <v>34</v>
      </c>
      <c r="C278" s="18" t="s">
        <v>34</v>
      </c>
      <c r="D278" s="12" t="s">
        <v>34</v>
      </c>
      <c r="E278" s="12"/>
      <c r="F278" s="15">
        <v>100</v>
      </c>
      <c r="G278" s="15">
        <f>60*E278*F278</f>
        <v>0</v>
      </c>
      <c r="H278" s="12">
        <f>60*E278</f>
        <v>0</v>
      </c>
      <c r="I278" s="12" t="s">
        <v>17</v>
      </c>
      <c r="J278" s="12" t="s">
        <v>34</v>
      </c>
      <c r="K278" s="12" t="str">
        <f>K277</f>
        <v>B25</v>
      </c>
    </row>
    <row r="279" spans="1:11" ht="30" customHeight="1" x14ac:dyDescent="0.25">
      <c r="A279" s="12" t="str">
        <f>A278</f>
        <v>ЩО-1 (В25)</v>
      </c>
      <c r="B279" s="19"/>
      <c r="C279" s="20"/>
      <c r="D279" s="21"/>
      <c r="E279" s="23"/>
      <c r="F279" s="25"/>
      <c r="G279" s="24">
        <f ca="1">SUM(G274:G278)</f>
        <v>13495.2</v>
      </c>
      <c r="H279" s="20"/>
      <c r="I279" s="22"/>
      <c r="J279" s="20"/>
      <c r="K279" s="12" t="str">
        <f>K278</f>
        <v>B25</v>
      </c>
    </row>
    <row r="280" spans="1:11" ht="39.75" customHeight="1" x14ac:dyDescent="0.25">
      <c r="A280" s="5" t="str">
        <f>D280</f>
        <v>ЩАО-1 (В25)</v>
      </c>
      <c r="B280" s="6"/>
      <c r="C280" s="7"/>
      <c r="D280" s="6" t="s">
        <v>147</v>
      </c>
      <c r="E280" s="8"/>
      <c r="F280" s="8"/>
      <c r="G280" s="9"/>
      <c r="H280" s="10">
        <v>1</v>
      </c>
      <c r="I280" s="11" t="s">
        <v>11</v>
      </c>
      <c r="J280" s="6" t="s">
        <v>12</v>
      </c>
      <c r="K280" s="5" t="s">
        <v>102</v>
      </c>
    </row>
    <row r="281" spans="1:11" ht="21" customHeight="1" x14ac:dyDescent="0.25">
      <c r="A281" s="12" t="str">
        <f>A280</f>
        <v>ЩАО-1 (В25)</v>
      </c>
      <c r="B281" s="13" t="s">
        <v>14</v>
      </c>
      <c r="C281" s="14" t="s">
        <v>75</v>
      </c>
      <c r="D281" s="12" t="s">
        <v>76</v>
      </c>
      <c r="E281" s="13">
        <v>10270</v>
      </c>
      <c r="F281" s="15">
        <f>E281*0.6</f>
        <v>6162</v>
      </c>
      <c r="G281" s="15">
        <f>H281*F281</f>
        <v>6162</v>
      </c>
      <c r="H281" s="16">
        <v>1</v>
      </c>
      <c r="I281" s="17" t="s">
        <v>17</v>
      </c>
      <c r="J281" s="13" t="s">
        <v>18</v>
      </c>
      <c r="K281" s="12" t="str">
        <f>K280</f>
        <v>B25</v>
      </c>
    </row>
    <row r="282" spans="1:11" ht="21" customHeight="1" x14ac:dyDescent="0.25">
      <c r="A282" s="12" t="str">
        <f>A281</f>
        <v>ЩАО-1 (В25)</v>
      </c>
      <c r="B282" s="13" t="s">
        <v>23</v>
      </c>
      <c r="C282" s="14" t="s">
        <v>26</v>
      </c>
      <c r="D282" s="12" t="s">
        <v>27</v>
      </c>
      <c r="E282" s="13">
        <v>2337</v>
      </c>
      <c r="F282" s="15">
        <f>E282*0.6</f>
        <v>1402.2</v>
      </c>
      <c r="G282" s="15">
        <f>F282*H282</f>
        <v>1402.2</v>
      </c>
      <c r="H282" s="16">
        <v>1</v>
      </c>
      <c r="I282" s="17" t="s">
        <v>17</v>
      </c>
      <c r="J282" s="13" t="s">
        <v>22</v>
      </c>
      <c r="K282" s="12" t="str">
        <f>K281</f>
        <v>B25</v>
      </c>
    </row>
    <row r="283" spans="1:11" ht="21" customHeight="1" x14ac:dyDescent="0.25">
      <c r="A283" s="12" t="str">
        <f>A281</f>
        <v>ЩАО-1 (В25)</v>
      </c>
      <c r="B283" s="13" t="s">
        <v>23</v>
      </c>
      <c r="C283" s="14" t="s">
        <v>148</v>
      </c>
      <c r="D283" s="12" t="s">
        <v>149</v>
      </c>
      <c r="E283" s="13">
        <v>783</v>
      </c>
      <c r="F283" s="15">
        <f>E283*0.6</f>
        <v>469.79999999999995</v>
      </c>
      <c r="G283" s="15">
        <f>F283*H283</f>
        <v>1879.1999999999998</v>
      </c>
      <c r="H283" s="16">
        <v>4</v>
      </c>
      <c r="I283" s="17" t="s">
        <v>17</v>
      </c>
      <c r="J283" s="13" t="s">
        <v>22</v>
      </c>
      <c r="K283" s="12" t="str">
        <f>K281</f>
        <v>B25</v>
      </c>
    </row>
    <row r="284" spans="1:11" ht="24" customHeight="1" x14ac:dyDescent="0.25">
      <c r="A284" s="12" t="str">
        <f>A283</f>
        <v>ЩАО-1 (В25)</v>
      </c>
      <c r="B284" s="12" t="s">
        <v>33</v>
      </c>
      <c r="C284" s="18" t="s">
        <v>33</v>
      </c>
      <c r="D284" s="12" t="s">
        <v>33</v>
      </c>
      <c r="E284" s="12">
        <f ca="1">OFFSET(E284,1,2)</f>
        <v>0</v>
      </c>
      <c r="F284" s="15">
        <f ca="1">E284</f>
        <v>0</v>
      </c>
      <c r="G284" s="15">
        <f ca="1">F284*H284</f>
        <v>0</v>
      </c>
      <c r="H284" s="12"/>
      <c r="I284" s="12" t="s">
        <v>17</v>
      </c>
      <c r="J284" s="12" t="s">
        <v>33</v>
      </c>
      <c r="K284" s="12" t="str">
        <f>K283</f>
        <v>B25</v>
      </c>
    </row>
    <row r="285" spans="1:11" ht="21" customHeight="1" x14ac:dyDescent="0.25">
      <c r="A285" s="12" t="str">
        <f>A284</f>
        <v>ЩАО-1 (В25)</v>
      </c>
      <c r="B285" s="12" t="s">
        <v>34</v>
      </c>
      <c r="C285" s="18" t="s">
        <v>34</v>
      </c>
      <c r="D285" s="12" t="s">
        <v>34</v>
      </c>
      <c r="E285" s="12"/>
      <c r="F285" s="15">
        <v>100</v>
      </c>
      <c r="G285" s="15">
        <f>60*E285*F285</f>
        <v>0</v>
      </c>
      <c r="H285" s="12">
        <f>60*E285</f>
        <v>0</v>
      </c>
      <c r="I285" s="12" t="s">
        <v>17</v>
      </c>
      <c r="J285" s="12" t="s">
        <v>34</v>
      </c>
      <c r="K285" s="12" t="str">
        <f>K284</f>
        <v>B25</v>
      </c>
    </row>
    <row r="286" spans="1:11" ht="30" customHeight="1" x14ac:dyDescent="0.25">
      <c r="A286" s="12" t="str">
        <f>A285</f>
        <v>ЩАО-1 (В25)</v>
      </c>
      <c r="B286" s="19"/>
      <c r="C286" s="20"/>
      <c r="D286" s="21"/>
      <c r="E286" s="23"/>
      <c r="F286" s="25"/>
      <c r="G286" s="24">
        <f ca="1">SUM(G281:G285)</f>
        <v>9443.4</v>
      </c>
      <c r="H286" s="20"/>
      <c r="I286" s="22"/>
      <c r="J286" s="20"/>
      <c r="K286" s="12" t="str">
        <f>K285</f>
        <v>B25</v>
      </c>
    </row>
    <row r="287" spans="1:11" ht="39.75" customHeight="1" x14ac:dyDescent="0.25">
      <c r="A287" s="5" t="str">
        <f>D287</f>
        <v>ГРЩ (В26)</v>
      </c>
      <c r="B287" s="6"/>
      <c r="C287" s="7"/>
      <c r="D287" s="6" t="s">
        <v>150</v>
      </c>
      <c r="E287" s="8"/>
      <c r="F287" s="8"/>
      <c r="G287" s="9"/>
      <c r="H287" s="10">
        <v>1</v>
      </c>
      <c r="I287" s="11" t="s">
        <v>11</v>
      </c>
      <c r="J287" s="6" t="s">
        <v>12</v>
      </c>
      <c r="K287" s="5" t="s">
        <v>151</v>
      </c>
    </row>
    <row r="288" spans="1:11" ht="21" customHeight="1" x14ac:dyDescent="0.25">
      <c r="A288" s="12" t="str">
        <f>A287</f>
        <v>ГРЩ (В26)</v>
      </c>
      <c r="B288" s="13" t="s">
        <v>14</v>
      </c>
      <c r="C288" s="14" t="s">
        <v>152</v>
      </c>
      <c r="D288" s="12" t="s">
        <v>153</v>
      </c>
      <c r="E288" s="13">
        <v>15950</v>
      </c>
      <c r="F288" s="15">
        <f>E288*0.6</f>
        <v>9570</v>
      </c>
      <c r="G288" s="15">
        <f>H288*F288</f>
        <v>9570</v>
      </c>
      <c r="H288" s="16">
        <v>1</v>
      </c>
      <c r="I288" s="17" t="s">
        <v>17</v>
      </c>
      <c r="J288" s="13" t="s">
        <v>18</v>
      </c>
      <c r="K288" s="12" t="str">
        <f>K287</f>
        <v>B26</v>
      </c>
    </row>
    <row r="289" spans="1:11" ht="21" customHeight="1" x14ac:dyDescent="0.25">
      <c r="A289" s="12" t="str">
        <f t="shared" ref="A289:A298" si="74">A288</f>
        <v>ГРЩ (В26)</v>
      </c>
      <c r="B289" s="13" t="s">
        <v>19</v>
      </c>
      <c r="C289" s="14" t="s">
        <v>154</v>
      </c>
      <c r="D289" s="12" t="s">
        <v>155</v>
      </c>
      <c r="E289" s="13">
        <v>19418</v>
      </c>
      <c r="F289" s="15">
        <f>E289*0.6</f>
        <v>11650.8</v>
      </c>
      <c r="G289" s="15">
        <f>F289*H289</f>
        <v>11650.8</v>
      </c>
      <c r="H289" s="16">
        <v>1</v>
      </c>
      <c r="I289" s="17" t="s">
        <v>17</v>
      </c>
      <c r="J289" s="13" t="s">
        <v>22</v>
      </c>
      <c r="K289" s="12" t="str">
        <f t="shared" ref="K289:K298" si="75">K288</f>
        <v>B26</v>
      </c>
    </row>
    <row r="290" spans="1:11" ht="21" customHeight="1" x14ac:dyDescent="0.25">
      <c r="A290" s="12" t="str">
        <f t="shared" si="74"/>
        <v>ГРЩ (В26)</v>
      </c>
      <c r="B290" s="13" t="s">
        <v>23</v>
      </c>
      <c r="C290" s="14" t="s">
        <v>81</v>
      </c>
      <c r="D290" s="12" t="s">
        <v>82</v>
      </c>
      <c r="E290" s="13">
        <v>2499</v>
      </c>
      <c r="F290" s="15">
        <f t="shared" ref="F290:F295" si="76">E290*0.6</f>
        <v>1499.3999999999999</v>
      </c>
      <c r="G290" s="15">
        <f t="shared" ref="G290:G295" si="77">F290*H290</f>
        <v>1499.3999999999999</v>
      </c>
      <c r="H290" s="16">
        <v>1</v>
      </c>
      <c r="I290" s="17" t="s">
        <v>17</v>
      </c>
      <c r="J290" s="13" t="s">
        <v>22</v>
      </c>
      <c r="K290" s="12" t="str">
        <f t="shared" si="75"/>
        <v>B26</v>
      </c>
    </row>
    <row r="291" spans="1:11" ht="21" customHeight="1" x14ac:dyDescent="0.25">
      <c r="A291" s="12" t="str">
        <f t="shared" si="74"/>
        <v>ГРЩ (В26)</v>
      </c>
      <c r="B291" s="13" t="s">
        <v>23</v>
      </c>
      <c r="C291" s="14" t="s">
        <v>26</v>
      </c>
      <c r="D291" s="12" t="s">
        <v>27</v>
      </c>
      <c r="E291" s="13">
        <v>2337</v>
      </c>
      <c r="F291" s="15">
        <f t="shared" si="76"/>
        <v>1402.2</v>
      </c>
      <c r="G291" s="15">
        <f t="shared" si="77"/>
        <v>8413.2000000000007</v>
      </c>
      <c r="H291" s="16">
        <v>6</v>
      </c>
      <c r="I291" s="17" t="s">
        <v>17</v>
      </c>
      <c r="J291" s="13" t="s">
        <v>22</v>
      </c>
      <c r="K291" s="12" t="str">
        <f t="shared" si="75"/>
        <v>B26</v>
      </c>
    </row>
    <row r="292" spans="1:11" ht="21" customHeight="1" x14ac:dyDescent="0.25">
      <c r="A292" s="12" t="str">
        <f t="shared" si="74"/>
        <v>ГРЩ (В26)</v>
      </c>
      <c r="B292" s="13" t="s">
        <v>23</v>
      </c>
      <c r="C292" s="14" t="s">
        <v>28</v>
      </c>
      <c r="D292" s="12" t="s">
        <v>29</v>
      </c>
      <c r="E292" s="13">
        <v>1389</v>
      </c>
      <c r="F292" s="15">
        <f t="shared" si="76"/>
        <v>833.4</v>
      </c>
      <c r="G292" s="15">
        <f t="shared" si="77"/>
        <v>5833.8</v>
      </c>
      <c r="H292" s="16">
        <v>7</v>
      </c>
      <c r="I292" s="17" t="s">
        <v>17</v>
      </c>
      <c r="J292" s="13" t="s">
        <v>22</v>
      </c>
      <c r="K292" s="12" t="str">
        <f t="shared" si="75"/>
        <v>B26</v>
      </c>
    </row>
    <row r="293" spans="1:11" ht="21" customHeight="1" x14ac:dyDescent="0.25">
      <c r="A293" s="12" t="str">
        <f t="shared" si="74"/>
        <v>ГРЩ (В26)</v>
      </c>
      <c r="B293" s="13" t="s">
        <v>136</v>
      </c>
      <c r="C293" s="14" t="s">
        <v>137</v>
      </c>
      <c r="D293" s="12" t="s">
        <v>138</v>
      </c>
      <c r="E293" s="13">
        <v>5093</v>
      </c>
      <c r="F293" s="15">
        <f t="shared" si="76"/>
        <v>3055.7999999999997</v>
      </c>
      <c r="G293" s="15">
        <f t="shared" si="77"/>
        <v>3055.7999999999997</v>
      </c>
      <c r="H293" s="16">
        <v>1</v>
      </c>
      <c r="I293" s="17" t="s">
        <v>17</v>
      </c>
      <c r="J293" s="13" t="s">
        <v>22</v>
      </c>
      <c r="K293" s="12" t="str">
        <f t="shared" si="75"/>
        <v>B26</v>
      </c>
    </row>
    <row r="294" spans="1:11" ht="21" customHeight="1" x14ac:dyDescent="0.25">
      <c r="A294" s="12" t="str">
        <f>A293</f>
        <v>ГРЩ (В26)</v>
      </c>
      <c r="B294" s="13" t="s">
        <v>136</v>
      </c>
      <c r="C294" s="14" t="s">
        <v>156</v>
      </c>
      <c r="D294" s="12" t="s">
        <v>157</v>
      </c>
      <c r="E294" s="13">
        <v>8934</v>
      </c>
      <c r="F294" s="15">
        <f t="shared" si="76"/>
        <v>5360.4</v>
      </c>
      <c r="G294" s="15">
        <f t="shared" si="77"/>
        <v>5360.4</v>
      </c>
      <c r="H294" s="16">
        <v>1</v>
      </c>
      <c r="I294" s="17" t="s">
        <v>17</v>
      </c>
      <c r="J294" s="13" t="s">
        <v>22</v>
      </c>
      <c r="K294" s="12" t="str">
        <f>K293</f>
        <v>B26</v>
      </c>
    </row>
    <row r="295" spans="1:11" ht="21" customHeight="1" x14ac:dyDescent="0.25">
      <c r="A295" s="12" t="str">
        <f>A294</f>
        <v>ГРЩ (В26)</v>
      </c>
      <c r="B295" s="13" t="s">
        <v>30</v>
      </c>
      <c r="C295" s="14" t="s">
        <v>158</v>
      </c>
      <c r="D295" s="12" t="s">
        <v>159</v>
      </c>
      <c r="E295" s="13">
        <v>6054</v>
      </c>
      <c r="F295" s="15">
        <f t="shared" si="76"/>
        <v>3632.4</v>
      </c>
      <c r="G295" s="15">
        <f t="shared" si="77"/>
        <v>3632.4</v>
      </c>
      <c r="H295" s="16">
        <v>1</v>
      </c>
      <c r="I295" s="17" t="s">
        <v>17</v>
      </c>
      <c r="J295" s="13" t="s">
        <v>22</v>
      </c>
      <c r="K295" s="12" t="str">
        <f>K294</f>
        <v>B26</v>
      </c>
    </row>
    <row r="296" spans="1:11" ht="24" customHeight="1" x14ac:dyDescent="0.25">
      <c r="A296" s="12" t="str">
        <f>A293</f>
        <v>ГРЩ (В26)</v>
      </c>
      <c r="B296" s="12" t="s">
        <v>33</v>
      </c>
      <c r="C296" s="18" t="s">
        <v>33</v>
      </c>
      <c r="D296" s="12" t="s">
        <v>33</v>
      </c>
      <c r="E296" s="12">
        <f ca="1">OFFSET(E296,1,2)</f>
        <v>0</v>
      </c>
      <c r="F296" s="15">
        <f ca="1">E296</f>
        <v>0</v>
      </c>
      <c r="G296" s="15">
        <f ca="1">F296*H296</f>
        <v>0</v>
      </c>
      <c r="H296" s="12"/>
      <c r="I296" s="12" t="s">
        <v>17</v>
      </c>
      <c r="J296" s="12" t="s">
        <v>33</v>
      </c>
      <c r="K296" s="12" t="str">
        <f>K293</f>
        <v>B26</v>
      </c>
    </row>
    <row r="297" spans="1:11" ht="21" customHeight="1" x14ac:dyDescent="0.25">
      <c r="A297" s="12" t="str">
        <f t="shared" si="74"/>
        <v>ГРЩ (В26)</v>
      </c>
      <c r="B297" s="12" t="s">
        <v>34</v>
      </c>
      <c r="C297" s="18" t="s">
        <v>34</v>
      </c>
      <c r="D297" s="12" t="s">
        <v>34</v>
      </c>
      <c r="E297" s="12"/>
      <c r="F297" s="15">
        <v>100</v>
      </c>
      <c r="G297" s="15">
        <f>60*E297*F297</f>
        <v>0</v>
      </c>
      <c r="H297" s="12">
        <f>60*E297</f>
        <v>0</v>
      </c>
      <c r="I297" s="12" t="s">
        <v>17</v>
      </c>
      <c r="J297" s="12" t="s">
        <v>34</v>
      </c>
      <c r="K297" s="12" t="str">
        <f t="shared" si="75"/>
        <v>B26</v>
      </c>
    </row>
    <row r="298" spans="1:11" ht="30" customHeight="1" x14ac:dyDescent="0.25">
      <c r="A298" s="12" t="str">
        <f t="shared" si="74"/>
        <v>ГРЩ (В26)</v>
      </c>
      <c r="B298" s="19"/>
      <c r="C298" s="20"/>
      <c r="D298" s="21"/>
      <c r="E298" s="23"/>
      <c r="F298" s="25"/>
      <c r="G298" s="24">
        <f ca="1">SUM(G288:G297)</f>
        <v>49015.80000000001</v>
      </c>
      <c r="H298" s="20"/>
      <c r="I298" s="22"/>
      <c r="J298" s="20"/>
      <c r="K298" s="12" t="str">
        <f t="shared" si="75"/>
        <v>B26</v>
      </c>
    </row>
    <row r="299" spans="1:11" ht="39.75" customHeight="1" x14ac:dyDescent="0.25">
      <c r="A299" s="5" t="str">
        <f>D299</f>
        <v>ПП (В26)</v>
      </c>
      <c r="B299" s="6"/>
      <c r="C299" s="7"/>
      <c r="D299" s="6" t="s">
        <v>160</v>
      </c>
      <c r="E299" s="8"/>
      <c r="F299" s="8"/>
      <c r="G299" s="9"/>
      <c r="H299" s="10">
        <v>1</v>
      </c>
      <c r="I299" s="11" t="s">
        <v>11</v>
      </c>
      <c r="J299" s="6" t="s">
        <v>12</v>
      </c>
      <c r="K299" s="5" t="s">
        <v>151</v>
      </c>
    </row>
    <row r="300" spans="1:11" ht="21" customHeight="1" x14ac:dyDescent="0.25">
      <c r="A300" s="12" t="str">
        <f>A299</f>
        <v>ПП (В26)</v>
      </c>
      <c r="B300" s="13" t="s">
        <v>14</v>
      </c>
      <c r="C300" s="14" t="s">
        <v>106</v>
      </c>
      <c r="D300" s="12" t="s">
        <v>107</v>
      </c>
      <c r="E300" s="13">
        <v>45000</v>
      </c>
      <c r="F300" s="15">
        <f>E300*0.6</f>
        <v>27000</v>
      </c>
      <c r="G300" s="15">
        <f>H300*F300</f>
        <v>27000</v>
      </c>
      <c r="H300" s="16">
        <v>1</v>
      </c>
      <c r="I300" s="17" t="s">
        <v>17</v>
      </c>
      <c r="J300" s="13" t="s">
        <v>18</v>
      </c>
      <c r="K300" s="12" t="str">
        <f>K299</f>
        <v>B26</v>
      </c>
    </row>
    <row r="301" spans="1:11" ht="21" customHeight="1" x14ac:dyDescent="0.25">
      <c r="A301" s="12" t="str">
        <f t="shared" ref="A301:A307" si="78">A300</f>
        <v>ПП (В26)</v>
      </c>
      <c r="B301" s="13" t="s">
        <v>108</v>
      </c>
      <c r="C301" s="14">
        <v>256781</v>
      </c>
      <c r="D301" s="12" t="s">
        <v>109</v>
      </c>
      <c r="E301" s="13">
        <v>207389</v>
      </c>
      <c r="F301" s="15">
        <f>E301*0.6</f>
        <v>124433.4</v>
      </c>
      <c r="G301" s="15">
        <f>F301*H301</f>
        <v>124433.4</v>
      </c>
      <c r="H301" s="16">
        <v>1</v>
      </c>
      <c r="I301" s="17" t="s">
        <v>17</v>
      </c>
      <c r="J301" s="13" t="s">
        <v>22</v>
      </c>
      <c r="K301" s="12" t="str">
        <f t="shared" ref="K301:K307" si="79">K300</f>
        <v>B26</v>
      </c>
    </row>
    <row r="302" spans="1:11" ht="21" customHeight="1" x14ac:dyDescent="0.25">
      <c r="A302" s="12" t="str">
        <f t="shared" si="78"/>
        <v>ПП (В26)</v>
      </c>
      <c r="B302" s="13" t="s">
        <v>110</v>
      </c>
      <c r="C302" s="14">
        <v>593077</v>
      </c>
      <c r="D302" s="12" t="s">
        <v>111</v>
      </c>
      <c r="E302" s="13">
        <v>589</v>
      </c>
      <c r="F302" s="15">
        <f>E302*0.6</f>
        <v>353.4</v>
      </c>
      <c r="G302" s="15">
        <f>F302*H302</f>
        <v>706.8</v>
      </c>
      <c r="H302" s="16">
        <v>2</v>
      </c>
      <c r="I302" s="17" t="s">
        <v>17</v>
      </c>
      <c r="J302" s="13" t="s">
        <v>22</v>
      </c>
      <c r="K302" s="12" t="str">
        <f t="shared" si="79"/>
        <v>B26</v>
      </c>
    </row>
    <row r="303" spans="1:11" ht="21" customHeight="1" x14ac:dyDescent="0.25">
      <c r="A303" s="12" t="str">
        <f t="shared" si="78"/>
        <v>ПП (В26)</v>
      </c>
      <c r="B303" s="13" t="s">
        <v>110</v>
      </c>
      <c r="C303" s="14">
        <v>593076</v>
      </c>
      <c r="D303" s="12" t="s">
        <v>112</v>
      </c>
      <c r="E303" s="13">
        <v>571</v>
      </c>
      <c r="F303" s="15">
        <f>E303*0.6</f>
        <v>342.59999999999997</v>
      </c>
      <c r="G303" s="15">
        <f>F303*H303</f>
        <v>685.19999999999993</v>
      </c>
      <c r="H303" s="16">
        <v>2</v>
      </c>
      <c r="I303" s="17" t="s">
        <v>17</v>
      </c>
      <c r="J303" s="13" t="s">
        <v>22</v>
      </c>
      <c r="K303" s="12" t="str">
        <f t="shared" si="79"/>
        <v>B26</v>
      </c>
    </row>
    <row r="304" spans="1:11" ht="21" customHeight="1" x14ac:dyDescent="0.25">
      <c r="A304" s="12" t="str">
        <f t="shared" si="78"/>
        <v>ПП (В26)</v>
      </c>
      <c r="B304" s="13" t="s">
        <v>110</v>
      </c>
      <c r="C304" s="14">
        <v>593075</v>
      </c>
      <c r="D304" s="12" t="s">
        <v>113</v>
      </c>
      <c r="E304" s="13">
        <v>571</v>
      </c>
      <c r="F304" s="15">
        <f>E304*0.6</f>
        <v>342.59999999999997</v>
      </c>
      <c r="G304" s="15">
        <f>F304*H304</f>
        <v>685.19999999999993</v>
      </c>
      <c r="H304" s="16">
        <v>2</v>
      </c>
      <c r="I304" s="17" t="s">
        <v>17</v>
      </c>
      <c r="J304" s="13" t="s">
        <v>22</v>
      </c>
      <c r="K304" s="12" t="str">
        <f t="shared" si="79"/>
        <v>B26</v>
      </c>
    </row>
    <row r="305" spans="1:11" ht="24" customHeight="1" x14ac:dyDescent="0.25">
      <c r="A305" s="12" t="str">
        <f t="shared" si="78"/>
        <v>ПП (В26)</v>
      </c>
      <c r="B305" s="12" t="s">
        <v>33</v>
      </c>
      <c r="C305" s="18" t="s">
        <v>33</v>
      </c>
      <c r="D305" s="12" t="s">
        <v>33</v>
      </c>
      <c r="E305" s="12">
        <f ca="1">OFFSET(E305,1,2)</f>
        <v>0</v>
      </c>
      <c r="F305" s="15">
        <f ca="1">E305</f>
        <v>0</v>
      </c>
      <c r="G305" s="15">
        <f ca="1">F305*H305</f>
        <v>0</v>
      </c>
      <c r="H305" s="12"/>
      <c r="I305" s="12" t="s">
        <v>17</v>
      </c>
      <c r="J305" s="12" t="s">
        <v>33</v>
      </c>
      <c r="K305" s="12" t="str">
        <f t="shared" si="79"/>
        <v>B26</v>
      </c>
    </row>
    <row r="306" spans="1:11" ht="21" customHeight="1" x14ac:dyDescent="0.25">
      <c r="A306" s="12" t="str">
        <f t="shared" si="78"/>
        <v>ПП (В26)</v>
      </c>
      <c r="B306" s="12" t="s">
        <v>34</v>
      </c>
      <c r="C306" s="18" t="s">
        <v>34</v>
      </c>
      <c r="D306" s="12" t="s">
        <v>34</v>
      </c>
      <c r="E306" s="12"/>
      <c r="F306" s="15">
        <v>100</v>
      </c>
      <c r="G306" s="15">
        <f>60*E306*F306</f>
        <v>0</v>
      </c>
      <c r="H306" s="12">
        <f>60*E306</f>
        <v>0</v>
      </c>
      <c r="I306" s="12" t="s">
        <v>17</v>
      </c>
      <c r="J306" s="12" t="s">
        <v>34</v>
      </c>
      <c r="K306" s="12" t="str">
        <f t="shared" si="79"/>
        <v>B26</v>
      </c>
    </row>
    <row r="307" spans="1:11" ht="30" customHeight="1" x14ac:dyDescent="0.25">
      <c r="A307" s="12" t="str">
        <f t="shared" si="78"/>
        <v>ПП (В26)</v>
      </c>
      <c r="B307" s="19"/>
      <c r="C307" s="20"/>
      <c r="D307" s="21"/>
      <c r="E307" s="23"/>
      <c r="F307" s="25"/>
      <c r="G307" s="24">
        <f ca="1">SUM(G300:G306)</f>
        <v>153510.6</v>
      </c>
      <c r="H307" s="20"/>
      <c r="I307" s="22"/>
      <c r="J307" s="20"/>
      <c r="K307" s="12" t="str">
        <f t="shared" si="79"/>
        <v>B26</v>
      </c>
    </row>
    <row r="308" spans="1:11" ht="39.75" customHeight="1" x14ac:dyDescent="0.25">
      <c r="A308" s="5" t="str">
        <f>D308</f>
        <v> ЯВЗ-31-IP54 УХЛ2 100А</v>
      </c>
      <c r="B308" s="6"/>
      <c r="C308" s="7"/>
      <c r="D308" s="6" t="s">
        <v>38</v>
      </c>
      <c r="E308" s="8"/>
      <c r="F308" s="8"/>
      <c r="G308" s="9"/>
      <c r="H308" s="10">
        <v>1</v>
      </c>
      <c r="I308" s="11" t="s">
        <v>11</v>
      </c>
      <c r="J308" s="6" t="s">
        <v>12</v>
      </c>
      <c r="K308" s="5" t="s">
        <v>151</v>
      </c>
    </row>
    <row r="309" spans="1:11" ht="21" customHeight="1" x14ac:dyDescent="0.25">
      <c r="A309" s="12" t="str">
        <f>A308</f>
        <v> ЯВЗ-31-IP54 УХЛ2 100А</v>
      </c>
      <c r="B309" s="13" t="s">
        <v>14</v>
      </c>
      <c r="C309" s="14" t="s">
        <v>39</v>
      </c>
      <c r="D309" s="12" t="s">
        <v>40</v>
      </c>
      <c r="E309" s="13"/>
      <c r="F309" s="15">
        <f>E309*0.6</f>
        <v>0</v>
      </c>
      <c r="G309" s="15">
        <f>H309*F309</f>
        <v>0</v>
      </c>
      <c r="H309" s="16">
        <v>1</v>
      </c>
      <c r="I309" s="17" t="s">
        <v>17</v>
      </c>
      <c r="J309" s="13" t="s">
        <v>18</v>
      </c>
      <c r="K309" s="12" t="str">
        <f>K308</f>
        <v>B26</v>
      </c>
    </row>
    <row r="310" spans="1:11" ht="21" customHeight="1" x14ac:dyDescent="0.25">
      <c r="A310" s="12" t="str">
        <f t="shared" ref="A310:A315" si="80">A309</f>
        <v> ЯВЗ-31-IP54 УХЛ2 100А</v>
      </c>
      <c r="B310" s="13" t="s">
        <v>41</v>
      </c>
      <c r="C310" s="14" t="s">
        <v>42</v>
      </c>
      <c r="D310" s="12" t="s">
        <v>43</v>
      </c>
      <c r="E310" s="13">
        <v>1545</v>
      </c>
      <c r="F310" s="15">
        <f>E310*0.6</f>
        <v>927</v>
      </c>
      <c r="G310" s="15">
        <f>F310*H310</f>
        <v>2781</v>
      </c>
      <c r="H310" s="16">
        <v>3</v>
      </c>
      <c r="I310" s="17" t="s">
        <v>17</v>
      </c>
      <c r="J310" s="13" t="s">
        <v>22</v>
      </c>
      <c r="K310" s="12" t="str">
        <f t="shared" ref="K310:K315" si="81">K309</f>
        <v>B26</v>
      </c>
    </row>
    <row r="311" spans="1:11" ht="21" customHeight="1" x14ac:dyDescent="0.25">
      <c r="A311" s="12" t="str">
        <f t="shared" si="80"/>
        <v> ЯВЗ-31-IP54 УХЛ2 100А</v>
      </c>
      <c r="B311" s="13" t="s">
        <v>41</v>
      </c>
      <c r="C311" s="14" t="s">
        <v>44</v>
      </c>
      <c r="D311" s="12" t="s">
        <v>45</v>
      </c>
      <c r="E311" s="13">
        <v>2038</v>
      </c>
      <c r="F311" s="15">
        <f>E311*0.6</f>
        <v>1222.8</v>
      </c>
      <c r="G311" s="15">
        <f>F311*H311</f>
        <v>3668.3999999999996</v>
      </c>
      <c r="H311" s="16">
        <v>3</v>
      </c>
      <c r="I311" s="17" t="s">
        <v>17</v>
      </c>
      <c r="J311" s="13" t="s">
        <v>22</v>
      </c>
      <c r="K311" s="12" t="str">
        <f t="shared" si="81"/>
        <v>B26</v>
      </c>
    </row>
    <row r="312" spans="1:11" ht="21" customHeight="1" x14ac:dyDescent="0.25">
      <c r="A312" s="12" t="str">
        <f t="shared" si="80"/>
        <v> ЯВЗ-31-IP54 УХЛ2 100А</v>
      </c>
      <c r="B312" s="13" t="s">
        <v>46</v>
      </c>
      <c r="C312" s="14" t="s">
        <v>47</v>
      </c>
      <c r="D312" s="12" t="s">
        <v>48</v>
      </c>
      <c r="E312" s="13">
        <v>6835</v>
      </c>
      <c r="F312" s="15">
        <f>E312</f>
        <v>6835</v>
      </c>
      <c r="G312" s="15">
        <f>F312*H312</f>
        <v>6835</v>
      </c>
      <c r="H312" s="16">
        <v>1</v>
      </c>
      <c r="I312" s="17" t="s">
        <v>17</v>
      </c>
      <c r="J312" s="13" t="s">
        <v>49</v>
      </c>
      <c r="K312" s="12" t="str">
        <f t="shared" si="81"/>
        <v>B26</v>
      </c>
    </row>
    <row r="313" spans="1:11" ht="24" customHeight="1" x14ac:dyDescent="0.25">
      <c r="A313" s="12" t="str">
        <f t="shared" si="80"/>
        <v> ЯВЗ-31-IP54 УХЛ2 100А</v>
      </c>
      <c r="B313" s="12" t="s">
        <v>33</v>
      </c>
      <c r="C313" s="18" t="s">
        <v>33</v>
      </c>
      <c r="D313" s="12" t="s">
        <v>33</v>
      </c>
      <c r="E313" s="12">
        <f ca="1">OFFSET(E313,1,2)</f>
        <v>0</v>
      </c>
      <c r="F313" s="15">
        <f ca="1">E313</f>
        <v>0</v>
      </c>
      <c r="G313" s="15">
        <f ca="1">F313*H313</f>
        <v>0</v>
      </c>
      <c r="H313" s="12"/>
      <c r="I313" s="12" t="s">
        <v>17</v>
      </c>
      <c r="J313" s="12" t="s">
        <v>33</v>
      </c>
      <c r="K313" s="12" t="str">
        <f t="shared" si="81"/>
        <v>B26</v>
      </c>
    </row>
    <row r="314" spans="1:11" ht="21" customHeight="1" x14ac:dyDescent="0.25">
      <c r="A314" s="12" t="str">
        <f t="shared" si="80"/>
        <v> ЯВЗ-31-IP54 УХЛ2 100А</v>
      </c>
      <c r="B314" s="12" t="s">
        <v>34</v>
      </c>
      <c r="C314" s="18" t="s">
        <v>34</v>
      </c>
      <c r="D314" s="12" t="s">
        <v>34</v>
      </c>
      <c r="E314" s="12"/>
      <c r="F314" s="15">
        <v>100</v>
      </c>
      <c r="G314" s="15">
        <f>60*E314*F314</f>
        <v>0</v>
      </c>
      <c r="H314" s="12">
        <f>60*E314</f>
        <v>0</v>
      </c>
      <c r="I314" s="12" t="s">
        <v>17</v>
      </c>
      <c r="J314" s="12" t="s">
        <v>34</v>
      </c>
      <c r="K314" s="12" t="str">
        <f t="shared" si="81"/>
        <v>B26</v>
      </c>
    </row>
    <row r="315" spans="1:11" ht="30" customHeight="1" x14ac:dyDescent="0.25">
      <c r="A315" s="12" t="str">
        <f t="shared" si="80"/>
        <v> ЯВЗ-31-IP54 УХЛ2 100А</v>
      </c>
      <c r="B315" s="19"/>
      <c r="C315" s="20"/>
      <c r="D315" s="21"/>
      <c r="E315" s="23"/>
      <c r="F315" s="25"/>
      <c r="G315" s="24">
        <f ca="1">SUM(G309:G314)</f>
        <v>13284.4</v>
      </c>
      <c r="H315" s="20"/>
      <c r="I315" s="22"/>
      <c r="J315" s="20"/>
      <c r="K315" s="12" t="str">
        <f t="shared" si="81"/>
        <v>B26</v>
      </c>
    </row>
    <row r="316" spans="1:11" ht="39.75" customHeight="1" x14ac:dyDescent="0.25">
      <c r="A316" s="5" t="str">
        <f>D316</f>
        <v>ЩАП25 (В26)</v>
      </c>
      <c r="B316" s="6"/>
      <c r="C316" s="7"/>
      <c r="D316" s="6" t="s">
        <v>161</v>
      </c>
      <c r="E316" s="8"/>
      <c r="F316" s="8"/>
      <c r="G316" s="9"/>
      <c r="H316" s="10">
        <v>1</v>
      </c>
      <c r="I316" s="11" t="s">
        <v>11</v>
      </c>
      <c r="J316" s="6" t="s">
        <v>12</v>
      </c>
      <c r="K316" s="5" t="s">
        <v>151</v>
      </c>
    </row>
    <row r="317" spans="1:11" ht="21" customHeight="1" x14ac:dyDescent="0.25">
      <c r="A317" s="12" t="str">
        <f>A316</f>
        <v>ЩАП25 (В26)</v>
      </c>
      <c r="B317" s="13" t="s">
        <v>14</v>
      </c>
      <c r="C317" s="14" t="s">
        <v>115</v>
      </c>
      <c r="D317" s="12" t="s">
        <v>116</v>
      </c>
      <c r="E317" s="13">
        <v>14000</v>
      </c>
      <c r="F317" s="15">
        <f>E317*0.6</f>
        <v>8400</v>
      </c>
      <c r="G317" s="15">
        <f>H317*F317</f>
        <v>8400</v>
      </c>
      <c r="H317" s="16">
        <v>1</v>
      </c>
      <c r="I317" s="17" t="s">
        <v>17</v>
      </c>
      <c r="J317" s="13" t="s">
        <v>18</v>
      </c>
      <c r="K317" s="12" t="str">
        <f>K316</f>
        <v>B26</v>
      </c>
    </row>
    <row r="318" spans="1:11" ht="21" customHeight="1" x14ac:dyDescent="0.25">
      <c r="A318" s="12" t="str">
        <f>A320</f>
        <v>ЩАП25 (В26)</v>
      </c>
      <c r="B318" s="13" t="s">
        <v>23</v>
      </c>
      <c r="C318" s="14" t="s">
        <v>57</v>
      </c>
      <c r="D318" s="12" t="s">
        <v>58</v>
      </c>
      <c r="E318" s="13">
        <v>2429</v>
      </c>
      <c r="F318" s="15">
        <f>E318*0.6</f>
        <v>1457.3999999999999</v>
      </c>
      <c r="G318" s="15">
        <f>F318*H318</f>
        <v>2914.7999999999997</v>
      </c>
      <c r="H318" s="16">
        <v>2</v>
      </c>
      <c r="I318" s="17" t="s">
        <v>17</v>
      </c>
      <c r="J318" s="13" t="s">
        <v>22</v>
      </c>
      <c r="K318" s="12" t="str">
        <f>K320</f>
        <v>B26</v>
      </c>
    </row>
    <row r="319" spans="1:11" ht="21" customHeight="1" x14ac:dyDescent="0.25">
      <c r="A319" s="12" t="str">
        <f>A318</f>
        <v>ЩАП25 (В26)</v>
      </c>
      <c r="B319" s="13" t="s">
        <v>23</v>
      </c>
      <c r="C319" s="14" t="s">
        <v>117</v>
      </c>
      <c r="D319" s="12" t="s">
        <v>118</v>
      </c>
      <c r="E319" s="13">
        <v>2873</v>
      </c>
      <c r="F319" s="15">
        <f>E319*0.6</f>
        <v>1723.8</v>
      </c>
      <c r="G319" s="15">
        <f>F319*H319</f>
        <v>1723.8</v>
      </c>
      <c r="H319" s="16">
        <v>1</v>
      </c>
      <c r="I319" s="17" t="s">
        <v>17</v>
      </c>
      <c r="J319" s="13" t="s">
        <v>22</v>
      </c>
      <c r="K319" s="12" t="str">
        <f>K318</f>
        <v>B26</v>
      </c>
    </row>
    <row r="320" spans="1:11" ht="21" customHeight="1" x14ac:dyDescent="0.25">
      <c r="A320" s="12" t="str">
        <f>A317</f>
        <v>ЩАП25 (В26)</v>
      </c>
      <c r="B320" s="13" t="s">
        <v>110</v>
      </c>
      <c r="C320" s="14" t="s">
        <v>119</v>
      </c>
      <c r="D320" s="12" t="s">
        <v>113</v>
      </c>
      <c r="E320" s="13">
        <v>571</v>
      </c>
      <c r="F320" s="15">
        <f>E320*0.6</f>
        <v>342.59999999999997</v>
      </c>
      <c r="G320" s="15">
        <f>F320*H320</f>
        <v>342.59999999999997</v>
      </c>
      <c r="H320" s="16">
        <v>1</v>
      </c>
      <c r="I320" s="17" t="s">
        <v>17</v>
      </c>
      <c r="J320" s="13" t="s">
        <v>22</v>
      </c>
      <c r="K320" s="12" t="str">
        <f>K317</f>
        <v>B26</v>
      </c>
    </row>
    <row r="321" spans="1:11" ht="21" customHeight="1" x14ac:dyDescent="0.25">
      <c r="A321" s="12" t="str">
        <f>A319</f>
        <v>ЩАП25 (В26)</v>
      </c>
      <c r="B321" s="13" t="s">
        <v>64</v>
      </c>
      <c r="C321" s="14" t="s">
        <v>120</v>
      </c>
      <c r="D321" s="12" t="s">
        <v>121</v>
      </c>
      <c r="E321" s="13">
        <v>9149</v>
      </c>
      <c r="F321" s="15">
        <f t="shared" ref="F321:F327" si="82">E321*0.6</f>
        <v>5489.4</v>
      </c>
      <c r="G321" s="15">
        <f t="shared" ref="G321:G327" si="83">F321*H321</f>
        <v>5489.4</v>
      </c>
      <c r="H321" s="16">
        <v>1</v>
      </c>
      <c r="I321" s="17" t="s">
        <v>17</v>
      </c>
      <c r="J321" s="13" t="s">
        <v>22</v>
      </c>
      <c r="K321" s="12" t="str">
        <f>K319</f>
        <v>B26</v>
      </c>
    </row>
    <row r="322" spans="1:11" ht="21" customHeight="1" x14ac:dyDescent="0.25">
      <c r="A322" s="12" t="str">
        <f>A320</f>
        <v>ЩАП25 (В26)</v>
      </c>
      <c r="B322" s="13" t="s">
        <v>64</v>
      </c>
      <c r="C322" s="14" t="s">
        <v>122</v>
      </c>
      <c r="D322" s="12" t="s">
        <v>123</v>
      </c>
      <c r="E322" s="13">
        <v>1306</v>
      </c>
      <c r="F322" s="15">
        <f t="shared" si="82"/>
        <v>783.6</v>
      </c>
      <c r="G322" s="15">
        <f t="shared" si="83"/>
        <v>783.6</v>
      </c>
      <c r="H322" s="16">
        <v>1</v>
      </c>
      <c r="I322" s="17" t="s">
        <v>17</v>
      </c>
      <c r="J322" s="13" t="s">
        <v>22</v>
      </c>
      <c r="K322" s="12" t="str">
        <f>K320</f>
        <v>B26</v>
      </c>
    </row>
    <row r="323" spans="1:11" ht="21" customHeight="1" x14ac:dyDescent="0.25">
      <c r="A323" s="12" t="str">
        <f>A320</f>
        <v>ЩАП25 (В26)</v>
      </c>
      <c r="B323" s="13" t="s">
        <v>124</v>
      </c>
      <c r="C323" s="14" t="s">
        <v>125</v>
      </c>
      <c r="D323" s="12" t="s">
        <v>126</v>
      </c>
      <c r="E323" s="13">
        <v>1078</v>
      </c>
      <c r="F323" s="15">
        <f t="shared" si="82"/>
        <v>646.79999999999995</v>
      </c>
      <c r="G323" s="15">
        <f t="shared" si="83"/>
        <v>646.79999999999995</v>
      </c>
      <c r="H323" s="16">
        <v>1</v>
      </c>
      <c r="I323" s="17" t="s">
        <v>17</v>
      </c>
      <c r="J323" s="13" t="s">
        <v>22</v>
      </c>
      <c r="K323" s="12" t="str">
        <f>K320</f>
        <v>B26</v>
      </c>
    </row>
    <row r="324" spans="1:11" ht="21" customHeight="1" x14ac:dyDescent="0.25">
      <c r="A324" s="12" t="str">
        <f>A321</f>
        <v>ЩАП25 (В26)</v>
      </c>
      <c r="B324" s="13" t="s">
        <v>110</v>
      </c>
      <c r="C324" s="14" t="s">
        <v>127</v>
      </c>
      <c r="D324" s="12" t="s">
        <v>111</v>
      </c>
      <c r="E324" s="13">
        <v>589</v>
      </c>
      <c r="F324" s="15">
        <f t="shared" si="82"/>
        <v>353.4</v>
      </c>
      <c r="G324" s="15">
        <f t="shared" si="83"/>
        <v>353.4</v>
      </c>
      <c r="H324" s="16">
        <v>1</v>
      </c>
      <c r="I324" s="17" t="s">
        <v>17</v>
      </c>
      <c r="J324" s="13" t="s">
        <v>22</v>
      </c>
      <c r="K324" s="12" t="str">
        <f>K321</f>
        <v>B26</v>
      </c>
    </row>
    <row r="325" spans="1:11" ht="21" customHeight="1" x14ac:dyDescent="0.25">
      <c r="A325" s="12" t="str">
        <f>A323</f>
        <v>ЩАП25 (В26)</v>
      </c>
      <c r="B325" s="13" t="s">
        <v>67</v>
      </c>
      <c r="C325" s="14" t="s">
        <v>128</v>
      </c>
      <c r="D325" s="12" t="s">
        <v>129</v>
      </c>
      <c r="E325" s="13">
        <v>14767</v>
      </c>
      <c r="F325" s="15">
        <f t="shared" si="82"/>
        <v>8860.1999999999989</v>
      </c>
      <c r="G325" s="15">
        <f t="shared" si="83"/>
        <v>8860.1999999999989</v>
      </c>
      <c r="H325" s="16">
        <v>1</v>
      </c>
      <c r="I325" s="17" t="s">
        <v>17</v>
      </c>
      <c r="J325" s="13" t="s">
        <v>22</v>
      </c>
      <c r="K325" s="12" t="str">
        <f>K323</f>
        <v>B26</v>
      </c>
    </row>
    <row r="326" spans="1:11" ht="21" customHeight="1" x14ac:dyDescent="0.25">
      <c r="A326" s="12" t="str">
        <f>A324</f>
        <v>ЩАП25 (В26)</v>
      </c>
      <c r="B326" s="13" t="s">
        <v>67</v>
      </c>
      <c r="C326" s="14" t="s">
        <v>130</v>
      </c>
      <c r="D326" s="12" t="s">
        <v>131</v>
      </c>
      <c r="E326" s="13">
        <v>1575</v>
      </c>
      <c r="F326" s="15">
        <f t="shared" si="82"/>
        <v>945</v>
      </c>
      <c r="G326" s="15">
        <f t="shared" si="83"/>
        <v>945</v>
      </c>
      <c r="H326" s="16">
        <v>1</v>
      </c>
      <c r="I326" s="17" t="s">
        <v>17</v>
      </c>
      <c r="J326" s="13" t="s">
        <v>22</v>
      </c>
      <c r="K326" s="12" t="str">
        <f>K324</f>
        <v>B26</v>
      </c>
    </row>
    <row r="327" spans="1:11" ht="21" customHeight="1" x14ac:dyDescent="0.25">
      <c r="A327" s="12" t="str">
        <f>A325</f>
        <v>ЩАП25 (В26)</v>
      </c>
      <c r="B327" s="13" t="s">
        <v>132</v>
      </c>
      <c r="C327" s="14" t="s">
        <v>133</v>
      </c>
      <c r="D327" s="12" t="s">
        <v>134</v>
      </c>
      <c r="E327" s="13">
        <v>682</v>
      </c>
      <c r="F327" s="15">
        <f t="shared" si="82"/>
        <v>409.2</v>
      </c>
      <c r="G327" s="15">
        <f t="shared" si="83"/>
        <v>409.2</v>
      </c>
      <c r="H327" s="16">
        <v>1</v>
      </c>
      <c r="I327" s="17" t="s">
        <v>17</v>
      </c>
      <c r="J327" s="13" t="s">
        <v>22</v>
      </c>
      <c r="K327" s="12" t="str">
        <f>K325</f>
        <v>B26</v>
      </c>
    </row>
    <row r="328" spans="1:11" ht="24" customHeight="1" x14ac:dyDescent="0.25">
      <c r="A328" s="12" t="str">
        <f>A324</f>
        <v>ЩАП25 (В26)</v>
      </c>
      <c r="B328" s="12" t="s">
        <v>33</v>
      </c>
      <c r="C328" s="18" t="s">
        <v>33</v>
      </c>
      <c r="D328" s="12" t="s">
        <v>33</v>
      </c>
      <c r="E328" s="12">
        <f ca="1">OFFSET(E328,1,2)</f>
        <v>0</v>
      </c>
      <c r="F328" s="15">
        <f ca="1">E328</f>
        <v>0</v>
      </c>
      <c r="G328" s="15">
        <f ca="1">F328*H328</f>
        <v>0</v>
      </c>
      <c r="H328" s="12"/>
      <c r="I328" s="12" t="s">
        <v>17</v>
      </c>
      <c r="J328" s="12" t="s">
        <v>33</v>
      </c>
      <c r="K328" s="12" t="str">
        <f>K324</f>
        <v>B26</v>
      </c>
    </row>
    <row r="329" spans="1:11" ht="21" customHeight="1" x14ac:dyDescent="0.25">
      <c r="A329" s="12" t="str">
        <f>A328</f>
        <v>ЩАП25 (В26)</v>
      </c>
      <c r="B329" s="12" t="s">
        <v>34</v>
      </c>
      <c r="C329" s="18" t="s">
        <v>34</v>
      </c>
      <c r="D329" s="12" t="s">
        <v>34</v>
      </c>
      <c r="E329" s="12"/>
      <c r="F329" s="15">
        <v>100</v>
      </c>
      <c r="G329" s="15">
        <f>60*E329*F329</f>
        <v>0</v>
      </c>
      <c r="H329" s="12">
        <f>60*E329</f>
        <v>0</v>
      </c>
      <c r="I329" s="12" t="s">
        <v>17</v>
      </c>
      <c r="J329" s="12" t="s">
        <v>34</v>
      </c>
      <c r="K329" s="12" t="str">
        <f>K328</f>
        <v>B26</v>
      </c>
    </row>
    <row r="330" spans="1:11" ht="30" customHeight="1" x14ac:dyDescent="0.25">
      <c r="A330" s="12" t="str">
        <f>A329</f>
        <v>ЩАП25 (В26)</v>
      </c>
      <c r="B330" s="19"/>
      <c r="C330" s="20"/>
      <c r="D330" s="21"/>
      <c r="E330" s="23"/>
      <c r="F330" s="25"/>
      <c r="G330" s="24">
        <f ca="1">SUM(G317:G329)</f>
        <v>30868.799999999999</v>
      </c>
      <c r="H330" s="20"/>
      <c r="I330" s="22"/>
      <c r="J330" s="20"/>
      <c r="K330" s="12" t="str">
        <f>K329</f>
        <v>B26</v>
      </c>
    </row>
    <row r="331" spans="1:11" ht="39.75" customHeight="1" x14ac:dyDescent="0.25">
      <c r="A331" s="5" t="str">
        <f>D331</f>
        <v>РПВ-1 (В26)</v>
      </c>
      <c r="B331" s="6"/>
      <c r="C331" s="7"/>
      <c r="D331" s="6" t="s">
        <v>162</v>
      </c>
      <c r="E331" s="8"/>
      <c r="F331" s="8"/>
      <c r="G331" s="9"/>
      <c r="H331" s="10">
        <v>1</v>
      </c>
      <c r="I331" s="11" t="s">
        <v>11</v>
      </c>
      <c r="J331" s="6" t="s">
        <v>12</v>
      </c>
      <c r="K331" s="5" t="s">
        <v>151</v>
      </c>
    </row>
    <row r="332" spans="1:11" ht="21" customHeight="1" x14ac:dyDescent="0.25">
      <c r="A332" s="12" t="str">
        <f>A331</f>
        <v>РПВ-1 (В26)</v>
      </c>
      <c r="B332" s="13" t="s">
        <v>14</v>
      </c>
      <c r="C332" s="14" t="s">
        <v>99</v>
      </c>
      <c r="D332" s="12" t="s">
        <v>100</v>
      </c>
      <c r="E332" s="13">
        <v>7650</v>
      </c>
      <c r="F332" s="15">
        <f t="shared" ref="F332:F337" si="84">E332*0.6</f>
        <v>4590</v>
      </c>
      <c r="G332" s="15">
        <f>H332*F332</f>
        <v>4590</v>
      </c>
      <c r="H332" s="16">
        <v>1</v>
      </c>
      <c r="I332" s="17" t="s">
        <v>17</v>
      </c>
      <c r="J332" s="13" t="s">
        <v>18</v>
      </c>
      <c r="K332" s="12" t="str">
        <f>K331</f>
        <v>B26</v>
      </c>
    </row>
    <row r="333" spans="1:11" ht="21" customHeight="1" x14ac:dyDescent="0.25">
      <c r="A333" s="12" t="str">
        <f>A332</f>
        <v>РПВ-1 (В26)</v>
      </c>
      <c r="B333" s="13" t="s">
        <v>23</v>
      </c>
      <c r="C333" s="14" t="s">
        <v>57</v>
      </c>
      <c r="D333" s="12" t="s">
        <v>58</v>
      </c>
      <c r="E333" s="13">
        <v>2429</v>
      </c>
      <c r="F333" s="15">
        <f t="shared" si="84"/>
        <v>1457.3999999999999</v>
      </c>
      <c r="G333" s="15">
        <f t="shared" ref="G333:G338" si="85">F333*H333</f>
        <v>1457.3999999999999</v>
      </c>
      <c r="H333" s="16">
        <v>1</v>
      </c>
      <c r="I333" s="17" t="s">
        <v>17</v>
      </c>
      <c r="J333" s="13" t="s">
        <v>22</v>
      </c>
      <c r="K333" s="12" t="str">
        <f>K332</f>
        <v>B26</v>
      </c>
    </row>
    <row r="334" spans="1:11" ht="21" customHeight="1" x14ac:dyDescent="0.25">
      <c r="A334" s="12" t="str">
        <f>A333</f>
        <v>РПВ-1 (В26)</v>
      </c>
      <c r="B334" s="13" t="s">
        <v>23</v>
      </c>
      <c r="C334" s="14" t="s">
        <v>81</v>
      </c>
      <c r="D334" s="12" t="s">
        <v>82</v>
      </c>
      <c r="E334" s="13">
        <v>2499</v>
      </c>
      <c r="F334" s="15">
        <f t="shared" si="84"/>
        <v>1499.3999999999999</v>
      </c>
      <c r="G334" s="15">
        <f t="shared" si="85"/>
        <v>1499.3999999999999</v>
      </c>
      <c r="H334" s="16">
        <v>1</v>
      </c>
      <c r="I334" s="17" t="s">
        <v>17</v>
      </c>
      <c r="J334" s="13" t="s">
        <v>22</v>
      </c>
      <c r="K334" s="12" t="str">
        <f>K333</f>
        <v>B26</v>
      </c>
    </row>
    <row r="335" spans="1:11" ht="21" customHeight="1" x14ac:dyDescent="0.25">
      <c r="A335" s="12" t="str">
        <f>A333</f>
        <v>РПВ-1 (В26)</v>
      </c>
      <c r="B335" s="13" t="s">
        <v>23</v>
      </c>
      <c r="C335" s="14" t="s">
        <v>163</v>
      </c>
      <c r="D335" s="12" t="s">
        <v>164</v>
      </c>
      <c r="E335" s="13">
        <v>800</v>
      </c>
      <c r="F335" s="15">
        <f t="shared" si="84"/>
        <v>480</v>
      </c>
      <c r="G335" s="15">
        <f t="shared" si="85"/>
        <v>480</v>
      </c>
      <c r="H335" s="16">
        <v>1</v>
      </c>
      <c r="I335" s="17" t="s">
        <v>17</v>
      </c>
      <c r="J335" s="13" t="s">
        <v>22</v>
      </c>
      <c r="K335" s="12" t="str">
        <f>K333</f>
        <v>B26</v>
      </c>
    </row>
    <row r="336" spans="1:11" ht="21" customHeight="1" x14ac:dyDescent="0.25">
      <c r="A336" s="12" t="str">
        <f>A335</f>
        <v>РПВ-1 (В26)</v>
      </c>
      <c r="B336" s="13" t="s">
        <v>23</v>
      </c>
      <c r="C336" s="14" t="s">
        <v>28</v>
      </c>
      <c r="D336" s="12" t="s">
        <v>29</v>
      </c>
      <c r="E336" s="13">
        <v>1389</v>
      </c>
      <c r="F336" s="15">
        <f t="shared" si="84"/>
        <v>833.4</v>
      </c>
      <c r="G336" s="15">
        <f t="shared" si="85"/>
        <v>1666.8</v>
      </c>
      <c r="H336" s="16">
        <v>2</v>
      </c>
      <c r="I336" s="17" t="s">
        <v>17</v>
      </c>
      <c r="J336" s="13" t="s">
        <v>22</v>
      </c>
      <c r="K336" s="12" t="str">
        <f>K335</f>
        <v>B26</v>
      </c>
    </row>
    <row r="337" spans="1:11" ht="21" customHeight="1" x14ac:dyDescent="0.25">
      <c r="A337" s="12" t="str">
        <f>A336</f>
        <v>РПВ-1 (В26)</v>
      </c>
      <c r="B337" s="13" t="s">
        <v>30</v>
      </c>
      <c r="C337" s="14" t="s">
        <v>59</v>
      </c>
      <c r="D337" s="12" t="s">
        <v>60</v>
      </c>
      <c r="E337" s="13">
        <v>5354</v>
      </c>
      <c r="F337" s="15">
        <f t="shared" si="84"/>
        <v>3212.4</v>
      </c>
      <c r="G337" s="15">
        <f t="shared" si="85"/>
        <v>3212.4</v>
      </c>
      <c r="H337" s="16">
        <v>1</v>
      </c>
      <c r="I337" s="17" t="s">
        <v>17</v>
      </c>
      <c r="J337" s="13" t="s">
        <v>22</v>
      </c>
      <c r="K337" s="12" t="str">
        <f>K336</f>
        <v>B26</v>
      </c>
    </row>
    <row r="338" spans="1:11" ht="24" customHeight="1" x14ac:dyDescent="0.25">
      <c r="A338" s="12" t="str">
        <f>A336</f>
        <v>РПВ-1 (В26)</v>
      </c>
      <c r="B338" s="12" t="s">
        <v>33</v>
      </c>
      <c r="C338" s="18" t="s">
        <v>33</v>
      </c>
      <c r="D338" s="12" t="s">
        <v>33</v>
      </c>
      <c r="E338" s="12">
        <f ca="1">OFFSET(E338,1,2)</f>
        <v>0</v>
      </c>
      <c r="F338" s="15">
        <f ca="1">E338</f>
        <v>0</v>
      </c>
      <c r="G338" s="15">
        <f t="shared" ca="1" si="85"/>
        <v>0</v>
      </c>
      <c r="H338" s="12"/>
      <c r="I338" s="12" t="s">
        <v>17</v>
      </c>
      <c r="J338" s="12" t="s">
        <v>33</v>
      </c>
      <c r="K338" s="12" t="str">
        <f>K336</f>
        <v>B26</v>
      </c>
    </row>
    <row r="339" spans="1:11" ht="21" customHeight="1" x14ac:dyDescent="0.25">
      <c r="A339" s="12" t="str">
        <f>A338</f>
        <v>РПВ-1 (В26)</v>
      </c>
      <c r="B339" s="12" t="s">
        <v>34</v>
      </c>
      <c r="C339" s="18" t="s">
        <v>34</v>
      </c>
      <c r="D339" s="12" t="s">
        <v>34</v>
      </c>
      <c r="E339" s="12"/>
      <c r="F339" s="15">
        <v>100</v>
      </c>
      <c r="G339" s="15">
        <f>60*E339*F339</f>
        <v>0</v>
      </c>
      <c r="H339" s="12">
        <f>60*E339</f>
        <v>0</v>
      </c>
      <c r="I339" s="12" t="s">
        <v>17</v>
      </c>
      <c r="J339" s="12" t="s">
        <v>34</v>
      </c>
      <c r="K339" s="12" t="str">
        <f>K338</f>
        <v>B26</v>
      </c>
    </row>
    <row r="340" spans="1:11" ht="30" customHeight="1" x14ac:dyDescent="0.25">
      <c r="A340" s="12" t="str">
        <f>A339</f>
        <v>РПВ-1 (В26)</v>
      </c>
      <c r="B340" s="19"/>
      <c r="C340" s="20"/>
      <c r="D340" s="21"/>
      <c r="E340" s="23"/>
      <c r="F340" s="25"/>
      <c r="G340" s="24">
        <f ca="1">SUM(G332:G339)</f>
        <v>12905.999999999998</v>
      </c>
      <c r="H340" s="20"/>
      <c r="I340" s="22"/>
      <c r="J340" s="20"/>
      <c r="K340" s="12" t="str">
        <f>K339</f>
        <v>B26</v>
      </c>
    </row>
    <row r="341" spans="1:11" ht="39.75" customHeight="1" x14ac:dyDescent="0.25">
      <c r="A341" s="5" t="str">
        <f>D341</f>
        <v>ЯТП-0,25-220/36 036УХЛ4</v>
      </c>
      <c r="B341" s="6"/>
      <c r="C341" s="7"/>
      <c r="D341" s="6" t="s">
        <v>50</v>
      </c>
      <c r="E341" s="8"/>
      <c r="F341" s="8"/>
      <c r="G341" s="9"/>
      <c r="H341" s="10">
        <v>1</v>
      </c>
      <c r="I341" s="11" t="s">
        <v>11</v>
      </c>
      <c r="J341" s="6" t="s">
        <v>12</v>
      </c>
      <c r="K341" s="5" t="s">
        <v>151</v>
      </c>
    </row>
    <row r="342" spans="1:11" ht="39.75" customHeight="1" x14ac:dyDescent="0.25">
      <c r="A342" s="5" t="str">
        <f>D342</f>
        <v>ГРЩ (В27)</v>
      </c>
      <c r="B342" s="6"/>
      <c r="C342" s="7"/>
      <c r="D342" s="6" t="s">
        <v>165</v>
      </c>
      <c r="E342" s="8"/>
      <c r="F342" s="8"/>
      <c r="G342" s="9"/>
      <c r="H342" s="10">
        <v>1</v>
      </c>
      <c r="I342" s="11" t="s">
        <v>11</v>
      </c>
      <c r="J342" s="6" t="s">
        <v>12</v>
      </c>
      <c r="K342" s="5" t="s">
        <v>166</v>
      </c>
    </row>
    <row r="343" spans="1:11" ht="21" customHeight="1" x14ac:dyDescent="0.25">
      <c r="A343" s="12" t="str">
        <f t="shared" ref="A343:A348" si="86">A342</f>
        <v>ГРЩ (В27)</v>
      </c>
      <c r="B343" s="13" t="s">
        <v>14</v>
      </c>
      <c r="C343" s="14" t="s">
        <v>36</v>
      </c>
      <c r="D343" s="12" t="s">
        <v>37</v>
      </c>
      <c r="E343" s="13">
        <v>14695</v>
      </c>
      <c r="F343" s="15">
        <f>E343*0.6</f>
        <v>8817</v>
      </c>
      <c r="G343" s="15">
        <f>H343*F343</f>
        <v>8817</v>
      </c>
      <c r="H343" s="16">
        <v>1</v>
      </c>
      <c r="I343" s="17" t="s">
        <v>17</v>
      </c>
      <c r="J343" s="13" t="s">
        <v>18</v>
      </c>
      <c r="K343" s="12" t="str">
        <f t="shared" ref="K343:K348" si="87">K342</f>
        <v>B27</v>
      </c>
    </row>
    <row r="344" spans="1:11" ht="21" customHeight="1" x14ac:dyDescent="0.25">
      <c r="A344" s="12" t="str">
        <f t="shared" si="86"/>
        <v>ГРЩ (В27)</v>
      </c>
      <c r="B344" s="13" t="s">
        <v>23</v>
      </c>
      <c r="C344" s="14" t="s">
        <v>26</v>
      </c>
      <c r="D344" s="12" t="s">
        <v>27</v>
      </c>
      <c r="E344" s="13">
        <v>2337</v>
      </c>
      <c r="F344" s="15">
        <f>E344*0.6</f>
        <v>1402.2</v>
      </c>
      <c r="G344" s="15">
        <f>F344*H344</f>
        <v>4206.6000000000004</v>
      </c>
      <c r="H344" s="16">
        <v>3</v>
      </c>
      <c r="I344" s="17" t="s">
        <v>17</v>
      </c>
      <c r="J344" s="13" t="s">
        <v>22</v>
      </c>
      <c r="K344" s="12" t="str">
        <f t="shared" si="87"/>
        <v>B27</v>
      </c>
    </row>
    <row r="345" spans="1:11" ht="21" customHeight="1" x14ac:dyDescent="0.25">
      <c r="A345" s="12" t="str">
        <f t="shared" si="86"/>
        <v>ГРЩ (В27)</v>
      </c>
      <c r="B345" s="13" t="s">
        <v>23</v>
      </c>
      <c r="C345" s="14" t="s">
        <v>28</v>
      </c>
      <c r="D345" s="12" t="s">
        <v>29</v>
      </c>
      <c r="E345" s="13">
        <v>1389</v>
      </c>
      <c r="F345" s="15">
        <f>E345*0.6</f>
        <v>833.4</v>
      </c>
      <c r="G345" s="15">
        <f>F345*H345</f>
        <v>9167.4</v>
      </c>
      <c r="H345" s="16">
        <v>11</v>
      </c>
      <c r="I345" s="17" t="s">
        <v>17</v>
      </c>
      <c r="J345" s="13" t="s">
        <v>22</v>
      </c>
      <c r="K345" s="12" t="str">
        <f t="shared" si="87"/>
        <v>B27</v>
      </c>
    </row>
    <row r="346" spans="1:11" ht="24" customHeight="1" x14ac:dyDescent="0.25">
      <c r="A346" s="12" t="str">
        <f t="shared" si="86"/>
        <v>ГРЩ (В27)</v>
      </c>
      <c r="B346" s="12" t="s">
        <v>33</v>
      </c>
      <c r="C346" s="18" t="s">
        <v>33</v>
      </c>
      <c r="D346" s="12" t="s">
        <v>33</v>
      </c>
      <c r="E346" s="12">
        <f ca="1">OFFSET(E346,1,2)</f>
        <v>0</v>
      </c>
      <c r="F346" s="15">
        <f ca="1">E346</f>
        <v>0</v>
      </c>
      <c r="G346" s="15">
        <f ca="1">F346*H346</f>
        <v>0</v>
      </c>
      <c r="H346" s="12"/>
      <c r="I346" s="12" t="s">
        <v>17</v>
      </c>
      <c r="J346" s="12" t="s">
        <v>33</v>
      </c>
      <c r="K346" s="12" t="str">
        <f t="shared" si="87"/>
        <v>B27</v>
      </c>
    </row>
    <row r="347" spans="1:11" ht="21" customHeight="1" x14ac:dyDescent="0.25">
      <c r="A347" s="12" t="str">
        <f t="shared" si="86"/>
        <v>ГРЩ (В27)</v>
      </c>
      <c r="B347" s="12" t="s">
        <v>34</v>
      </c>
      <c r="C347" s="18" t="s">
        <v>34</v>
      </c>
      <c r="D347" s="12" t="s">
        <v>34</v>
      </c>
      <c r="E347" s="12"/>
      <c r="F347" s="15">
        <v>100</v>
      </c>
      <c r="G347" s="15">
        <f>60*E347*F347</f>
        <v>0</v>
      </c>
      <c r="H347" s="12">
        <f>60*E347</f>
        <v>0</v>
      </c>
      <c r="I347" s="12" t="s">
        <v>17</v>
      </c>
      <c r="J347" s="12" t="s">
        <v>34</v>
      </c>
      <c r="K347" s="12" t="str">
        <f t="shared" si="87"/>
        <v>B27</v>
      </c>
    </row>
    <row r="348" spans="1:11" ht="30" customHeight="1" x14ac:dyDescent="0.25">
      <c r="A348" s="12" t="str">
        <f t="shared" si="86"/>
        <v>ГРЩ (В27)</v>
      </c>
      <c r="B348" s="19"/>
      <c r="C348" s="20"/>
      <c r="D348" s="21"/>
      <c r="E348" s="23"/>
      <c r="F348" s="25"/>
      <c r="G348" s="24">
        <f ca="1">SUM(G343:G347)</f>
        <v>22191</v>
      </c>
      <c r="H348" s="20"/>
      <c r="I348" s="22"/>
      <c r="J348" s="20"/>
      <c r="K348" s="12" t="str">
        <f t="shared" si="87"/>
        <v>B27</v>
      </c>
    </row>
    <row r="349" spans="1:11" ht="39.75" customHeight="1" x14ac:dyDescent="0.25">
      <c r="A349" s="5" t="str">
        <f>D349</f>
        <v>ЩАП25 (В27)</v>
      </c>
      <c r="B349" s="6"/>
      <c r="C349" s="7"/>
      <c r="D349" s="6" t="s">
        <v>167</v>
      </c>
      <c r="E349" s="8"/>
      <c r="F349" s="8"/>
      <c r="G349" s="9"/>
      <c r="H349" s="10">
        <v>1</v>
      </c>
      <c r="I349" s="11" t="s">
        <v>11</v>
      </c>
      <c r="J349" s="6" t="s">
        <v>12</v>
      </c>
      <c r="K349" s="5" t="s">
        <v>166</v>
      </c>
    </row>
    <row r="350" spans="1:11" ht="21" customHeight="1" x14ac:dyDescent="0.25">
      <c r="A350" s="12" t="str">
        <f>A349</f>
        <v>ЩАП25 (В27)</v>
      </c>
      <c r="B350" s="13" t="s">
        <v>14</v>
      </c>
      <c r="C350" s="14" t="s">
        <v>115</v>
      </c>
      <c r="D350" s="12" t="s">
        <v>116</v>
      </c>
      <c r="E350" s="13">
        <v>14000</v>
      </c>
      <c r="F350" s="15">
        <f>E350*0.6</f>
        <v>8400</v>
      </c>
      <c r="G350" s="15">
        <f>H350*F350</f>
        <v>8400</v>
      </c>
      <c r="H350" s="16">
        <v>1</v>
      </c>
      <c r="I350" s="17" t="s">
        <v>17</v>
      </c>
      <c r="J350" s="13" t="s">
        <v>18</v>
      </c>
      <c r="K350" s="12" t="str">
        <f>K349</f>
        <v>B27</v>
      </c>
    </row>
    <row r="351" spans="1:11" ht="21" customHeight="1" x14ac:dyDescent="0.25">
      <c r="A351" s="12" t="str">
        <f>A353</f>
        <v>ЩАП25 (В27)</v>
      </c>
      <c r="B351" s="13" t="s">
        <v>23</v>
      </c>
      <c r="C351" s="14" t="s">
        <v>57</v>
      </c>
      <c r="D351" s="12" t="s">
        <v>58</v>
      </c>
      <c r="E351" s="13">
        <v>2429</v>
      </c>
      <c r="F351" s="15">
        <f>E351*0.6</f>
        <v>1457.3999999999999</v>
      </c>
      <c r="G351" s="15">
        <f>F351*H351</f>
        <v>2914.7999999999997</v>
      </c>
      <c r="H351" s="16">
        <v>2</v>
      </c>
      <c r="I351" s="17" t="s">
        <v>17</v>
      </c>
      <c r="J351" s="13" t="s">
        <v>22</v>
      </c>
      <c r="K351" s="12" t="str">
        <f>K353</f>
        <v>B27</v>
      </c>
    </row>
    <row r="352" spans="1:11" ht="21" customHeight="1" x14ac:dyDescent="0.25">
      <c r="A352" s="12" t="str">
        <f>A351</f>
        <v>ЩАП25 (В27)</v>
      </c>
      <c r="B352" s="13" t="s">
        <v>23</v>
      </c>
      <c r="C352" s="14" t="s">
        <v>117</v>
      </c>
      <c r="D352" s="12" t="s">
        <v>118</v>
      </c>
      <c r="E352" s="13">
        <v>2873</v>
      </c>
      <c r="F352" s="15">
        <f>E352*0.6</f>
        <v>1723.8</v>
      </c>
      <c r="G352" s="15">
        <f>F352*H352</f>
        <v>1723.8</v>
      </c>
      <c r="H352" s="16">
        <v>1</v>
      </c>
      <c r="I352" s="17" t="s">
        <v>17</v>
      </c>
      <c r="J352" s="13" t="s">
        <v>22</v>
      </c>
      <c r="K352" s="12" t="str">
        <f>K351</f>
        <v>B27</v>
      </c>
    </row>
    <row r="353" spans="1:11" ht="21" customHeight="1" x14ac:dyDescent="0.25">
      <c r="A353" s="12" t="str">
        <f>A350</f>
        <v>ЩАП25 (В27)</v>
      </c>
      <c r="B353" s="13" t="s">
        <v>110</v>
      </c>
      <c r="C353" s="14" t="s">
        <v>119</v>
      </c>
      <c r="D353" s="12" t="s">
        <v>113</v>
      </c>
      <c r="E353" s="13">
        <v>571</v>
      </c>
      <c r="F353" s="15">
        <f>E353*0.6</f>
        <v>342.59999999999997</v>
      </c>
      <c r="G353" s="15">
        <f>F353*H353</f>
        <v>342.59999999999997</v>
      </c>
      <c r="H353" s="16">
        <v>1</v>
      </c>
      <c r="I353" s="17" t="s">
        <v>17</v>
      </c>
      <c r="J353" s="13" t="s">
        <v>22</v>
      </c>
      <c r="K353" s="12" t="str">
        <f>K350</f>
        <v>B27</v>
      </c>
    </row>
    <row r="354" spans="1:11" ht="21" customHeight="1" x14ac:dyDescent="0.25">
      <c r="A354" s="12" t="str">
        <f>A352</f>
        <v>ЩАП25 (В27)</v>
      </c>
      <c r="B354" s="13" t="s">
        <v>64</v>
      </c>
      <c r="C354" s="14" t="s">
        <v>120</v>
      </c>
      <c r="D354" s="12" t="s">
        <v>121</v>
      </c>
      <c r="E354" s="13">
        <v>9149</v>
      </c>
      <c r="F354" s="15">
        <f t="shared" ref="F354:F360" si="88">E354*0.6</f>
        <v>5489.4</v>
      </c>
      <c r="G354" s="15">
        <f t="shared" ref="G354:G360" si="89">F354*H354</f>
        <v>5489.4</v>
      </c>
      <c r="H354" s="16">
        <v>1</v>
      </c>
      <c r="I354" s="17" t="s">
        <v>17</v>
      </c>
      <c r="J354" s="13" t="s">
        <v>22</v>
      </c>
      <c r="K354" s="12" t="str">
        <f>K352</f>
        <v>B27</v>
      </c>
    </row>
    <row r="355" spans="1:11" ht="21" customHeight="1" x14ac:dyDescent="0.25">
      <c r="A355" s="12" t="str">
        <f>A353</f>
        <v>ЩАП25 (В27)</v>
      </c>
      <c r="B355" s="13" t="s">
        <v>64</v>
      </c>
      <c r="C355" s="14" t="s">
        <v>122</v>
      </c>
      <c r="D355" s="12" t="s">
        <v>123</v>
      </c>
      <c r="E355" s="13">
        <v>1306</v>
      </c>
      <c r="F355" s="15">
        <f t="shared" si="88"/>
        <v>783.6</v>
      </c>
      <c r="G355" s="15">
        <f t="shared" si="89"/>
        <v>783.6</v>
      </c>
      <c r="H355" s="16">
        <v>1</v>
      </c>
      <c r="I355" s="17" t="s">
        <v>17</v>
      </c>
      <c r="J355" s="13" t="s">
        <v>22</v>
      </c>
      <c r="K355" s="12" t="str">
        <f>K353</f>
        <v>B27</v>
      </c>
    </row>
    <row r="356" spans="1:11" ht="21" customHeight="1" x14ac:dyDescent="0.25">
      <c r="A356" s="12" t="str">
        <f>A353</f>
        <v>ЩАП25 (В27)</v>
      </c>
      <c r="B356" s="13" t="s">
        <v>124</v>
      </c>
      <c r="C356" s="14" t="s">
        <v>125</v>
      </c>
      <c r="D356" s="12" t="s">
        <v>126</v>
      </c>
      <c r="E356" s="13">
        <v>1078</v>
      </c>
      <c r="F356" s="15">
        <f t="shared" si="88"/>
        <v>646.79999999999995</v>
      </c>
      <c r="G356" s="15">
        <f t="shared" si="89"/>
        <v>646.79999999999995</v>
      </c>
      <c r="H356" s="16">
        <v>1</v>
      </c>
      <c r="I356" s="17" t="s">
        <v>17</v>
      </c>
      <c r="J356" s="13" t="s">
        <v>22</v>
      </c>
      <c r="K356" s="12" t="str">
        <f>K353</f>
        <v>B27</v>
      </c>
    </row>
    <row r="357" spans="1:11" ht="21" customHeight="1" x14ac:dyDescent="0.25">
      <c r="A357" s="12" t="str">
        <f>A354</f>
        <v>ЩАП25 (В27)</v>
      </c>
      <c r="B357" s="13" t="s">
        <v>110</v>
      </c>
      <c r="C357" s="14" t="s">
        <v>127</v>
      </c>
      <c r="D357" s="12" t="s">
        <v>111</v>
      </c>
      <c r="E357" s="13">
        <v>589</v>
      </c>
      <c r="F357" s="15">
        <f t="shared" si="88"/>
        <v>353.4</v>
      </c>
      <c r="G357" s="15">
        <f t="shared" si="89"/>
        <v>353.4</v>
      </c>
      <c r="H357" s="16">
        <v>1</v>
      </c>
      <c r="I357" s="17" t="s">
        <v>17</v>
      </c>
      <c r="J357" s="13" t="s">
        <v>22</v>
      </c>
      <c r="K357" s="12" t="str">
        <f>K354</f>
        <v>B27</v>
      </c>
    </row>
    <row r="358" spans="1:11" ht="21" customHeight="1" x14ac:dyDescent="0.25">
      <c r="A358" s="12" t="str">
        <f>A356</f>
        <v>ЩАП25 (В27)</v>
      </c>
      <c r="B358" s="13" t="s">
        <v>67</v>
      </c>
      <c r="C358" s="14" t="s">
        <v>128</v>
      </c>
      <c r="D358" s="12" t="s">
        <v>129</v>
      </c>
      <c r="E358" s="13">
        <v>14767</v>
      </c>
      <c r="F358" s="15">
        <f t="shared" si="88"/>
        <v>8860.1999999999989</v>
      </c>
      <c r="G358" s="15">
        <f t="shared" si="89"/>
        <v>8860.1999999999989</v>
      </c>
      <c r="H358" s="16">
        <v>1</v>
      </c>
      <c r="I358" s="17" t="s">
        <v>17</v>
      </c>
      <c r="J358" s="13" t="s">
        <v>22</v>
      </c>
      <c r="K358" s="12" t="str">
        <f>K356</f>
        <v>B27</v>
      </c>
    </row>
    <row r="359" spans="1:11" ht="21" customHeight="1" x14ac:dyDescent="0.25">
      <c r="A359" s="12" t="str">
        <f>A357</f>
        <v>ЩАП25 (В27)</v>
      </c>
      <c r="B359" s="13" t="s">
        <v>67</v>
      </c>
      <c r="C359" s="14" t="s">
        <v>130</v>
      </c>
      <c r="D359" s="12" t="s">
        <v>131</v>
      </c>
      <c r="E359" s="13">
        <v>1575</v>
      </c>
      <c r="F359" s="15">
        <f t="shared" si="88"/>
        <v>945</v>
      </c>
      <c r="G359" s="15">
        <f t="shared" si="89"/>
        <v>945</v>
      </c>
      <c r="H359" s="16">
        <v>1</v>
      </c>
      <c r="I359" s="17" t="s">
        <v>17</v>
      </c>
      <c r="J359" s="13" t="s">
        <v>22</v>
      </c>
      <c r="K359" s="12" t="str">
        <f>K357</f>
        <v>B27</v>
      </c>
    </row>
    <row r="360" spans="1:11" ht="21" customHeight="1" x14ac:dyDescent="0.25">
      <c r="A360" s="12" t="str">
        <f>A358</f>
        <v>ЩАП25 (В27)</v>
      </c>
      <c r="B360" s="13" t="s">
        <v>132</v>
      </c>
      <c r="C360" s="14" t="s">
        <v>133</v>
      </c>
      <c r="D360" s="12" t="s">
        <v>134</v>
      </c>
      <c r="E360" s="13">
        <v>682</v>
      </c>
      <c r="F360" s="15">
        <f t="shared" si="88"/>
        <v>409.2</v>
      </c>
      <c r="G360" s="15">
        <f t="shared" si="89"/>
        <v>409.2</v>
      </c>
      <c r="H360" s="16">
        <v>1</v>
      </c>
      <c r="I360" s="17" t="s">
        <v>17</v>
      </c>
      <c r="J360" s="13" t="s">
        <v>22</v>
      </c>
      <c r="K360" s="12" t="str">
        <f>K358</f>
        <v>B27</v>
      </c>
    </row>
    <row r="361" spans="1:11" ht="24" customHeight="1" x14ac:dyDescent="0.25">
      <c r="A361" s="12" t="str">
        <f>A357</f>
        <v>ЩАП25 (В27)</v>
      </c>
      <c r="B361" s="12" t="s">
        <v>33</v>
      </c>
      <c r="C361" s="18" t="s">
        <v>33</v>
      </c>
      <c r="D361" s="12" t="s">
        <v>33</v>
      </c>
      <c r="E361" s="12">
        <f ca="1">OFFSET(E361,1,2)</f>
        <v>0</v>
      </c>
      <c r="F361" s="15">
        <f ca="1">E361</f>
        <v>0</v>
      </c>
      <c r="G361" s="15">
        <f ca="1">F361*H361</f>
        <v>0</v>
      </c>
      <c r="H361" s="12"/>
      <c r="I361" s="12" t="s">
        <v>17</v>
      </c>
      <c r="J361" s="12" t="s">
        <v>33</v>
      </c>
      <c r="K361" s="12" t="str">
        <f>K357</f>
        <v>B27</v>
      </c>
    </row>
    <row r="362" spans="1:11" ht="21" customHeight="1" x14ac:dyDescent="0.25">
      <c r="A362" s="12" t="str">
        <f>A361</f>
        <v>ЩАП25 (В27)</v>
      </c>
      <c r="B362" s="12" t="s">
        <v>34</v>
      </c>
      <c r="C362" s="18" t="s">
        <v>34</v>
      </c>
      <c r="D362" s="12" t="s">
        <v>34</v>
      </c>
      <c r="E362" s="12"/>
      <c r="F362" s="15">
        <v>100</v>
      </c>
      <c r="G362" s="15">
        <f>60*E362*F362</f>
        <v>0</v>
      </c>
      <c r="H362" s="12">
        <f>60*E362</f>
        <v>0</v>
      </c>
      <c r="I362" s="12" t="s">
        <v>17</v>
      </c>
      <c r="J362" s="12" t="s">
        <v>34</v>
      </c>
      <c r="K362" s="12" t="str">
        <f>K361</f>
        <v>B27</v>
      </c>
    </row>
    <row r="363" spans="1:11" ht="30" customHeight="1" x14ac:dyDescent="0.25">
      <c r="A363" s="12" t="str">
        <f>A362</f>
        <v>ЩАП25 (В27)</v>
      </c>
      <c r="B363" s="19"/>
      <c r="C363" s="20"/>
      <c r="D363" s="21"/>
      <c r="E363" s="23"/>
      <c r="F363" s="25"/>
      <c r="G363" s="24">
        <f ca="1">SUM(G350:G362)</f>
        <v>30868.799999999999</v>
      </c>
      <c r="H363" s="20"/>
      <c r="I363" s="22"/>
      <c r="J363" s="20"/>
      <c r="K363" s="12" t="str">
        <f>K362</f>
        <v>B27</v>
      </c>
    </row>
    <row r="364" spans="1:11" ht="39.75" customHeight="1" x14ac:dyDescent="0.25">
      <c r="A364" s="5" t="str">
        <f>D364</f>
        <v>ЯТП-0,25-220/36 036УХЛ4</v>
      </c>
      <c r="B364" s="6"/>
      <c r="C364" s="7"/>
      <c r="D364" s="6" t="s">
        <v>50</v>
      </c>
      <c r="E364" s="8"/>
      <c r="F364" s="8"/>
      <c r="G364" s="9"/>
      <c r="H364" s="10">
        <v>1</v>
      </c>
      <c r="I364" s="11" t="s">
        <v>11</v>
      </c>
      <c r="J364" s="6" t="s">
        <v>12</v>
      </c>
      <c r="K364" s="5" t="s">
        <v>166</v>
      </c>
    </row>
    <row r="365" spans="1:11" ht="39.75" customHeight="1" x14ac:dyDescent="0.25">
      <c r="A365" s="5" t="str">
        <f>D365</f>
        <v>Я511К-3074(В27)</v>
      </c>
      <c r="B365" s="6"/>
      <c r="C365" s="7"/>
      <c r="D365" s="6" t="s">
        <v>168</v>
      </c>
      <c r="E365" s="8"/>
      <c r="F365" s="8"/>
      <c r="G365" s="9"/>
      <c r="H365" s="10">
        <v>1</v>
      </c>
      <c r="I365" s="11" t="s">
        <v>11</v>
      </c>
      <c r="J365" s="6" t="s">
        <v>12</v>
      </c>
      <c r="K365" s="5" t="s">
        <v>166</v>
      </c>
    </row>
    <row r="366" spans="1:11" ht="21" customHeight="1" x14ac:dyDescent="0.25">
      <c r="A366" s="12" t="str">
        <f>A365</f>
        <v>Я511К-3074(В27)</v>
      </c>
      <c r="B366" s="13" t="s">
        <v>14</v>
      </c>
      <c r="C366" s="14" t="s">
        <v>169</v>
      </c>
      <c r="D366" s="12" t="s">
        <v>170</v>
      </c>
      <c r="E366" s="13">
        <v>9110</v>
      </c>
      <c r="F366" s="15">
        <f t="shared" ref="F366:F376" si="90">E366*0.6</f>
        <v>5466</v>
      </c>
      <c r="G366" s="15">
        <f>H366*F366</f>
        <v>5466</v>
      </c>
      <c r="H366" s="16">
        <v>1</v>
      </c>
      <c r="I366" s="17" t="s">
        <v>17</v>
      </c>
      <c r="J366" s="13" t="s">
        <v>18</v>
      </c>
      <c r="K366" s="12" t="str">
        <f>K365</f>
        <v>B27</v>
      </c>
    </row>
    <row r="367" spans="1:11" ht="21" customHeight="1" x14ac:dyDescent="0.25">
      <c r="A367" s="12" t="str">
        <f t="shared" ref="A367:A380" si="91">A366</f>
        <v>Я511К-3074(В27)</v>
      </c>
      <c r="B367" s="13" t="s">
        <v>23</v>
      </c>
      <c r="C367" s="14" t="s">
        <v>171</v>
      </c>
      <c r="D367" s="12" t="s">
        <v>172</v>
      </c>
      <c r="E367" s="13">
        <v>3604</v>
      </c>
      <c r="F367" s="15">
        <f t="shared" si="90"/>
        <v>2162.4</v>
      </c>
      <c r="G367" s="15">
        <f>F367*H367</f>
        <v>2162.4</v>
      </c>
      <c r="H367" s="16">
        <v>1</v>
      </c>
      <c r="I367" s="17" t="s">
        <v>17</v>
      </c>
      <c r="J367" s="13" t="s">
        <v>22</v>
      </c>
      <c r="K367" s="12" t="str">
        <f>K369</f>
        <v>B27</v>
      </c>
    </row>
    <row r="368" spans="1:11" ht="21" customHeight="1" x14ac:dyDescent="0.25">
      <c r="A368" s="12" t="str">
        <f t="shared" si="91"/>
        <v>Я511К-3074(В27)</v>
      </c>
      <c r="B368" s="13" t="s">
        <v>23</v>
      </c>
      <c r="C368" s="14" t="s">
        <v>173</v>
      </c>
      <c r="D368" s="12" t="s">
        <v>174</v>
      </c>
      <c r="E368" s="13">
        <v>1086</v>
      </c>
      <c r="F368" s="15">
        <f t="shared" si="90"/>
        <v>651.6</v>
      </c>
      <c r="G368" s="15">
        <f>F368*H368</f>
        <v>651.6</v>
      </c>
      <c r="H368" s="16">
        <v>1</v>
      </c>
      <c r="I368" s="17" t="s">
        <v>17</v>
      </c>
      <c r="J368" s="13" t="s">
        <v>22</v>
      </c>
      <c r="K368" s="12" t="str">
        <f>K367</f>
        <v>B27</v>
      </c>
    </row>
    <row r="369" spans="1:11" ht="21" customHeight="1" x14ac:dyDescent="0.25">
      <c r="A369" s="12" t="str">
        <f t="shared" si="91"/>
        <v>Я511К-3074(В27)</v>
      </c>
      <c r="B369" s="13" t="s">
        <v>175</v>
      </c>
      <c r="C369" s="14" t="s">
        <v>176</v>
      </c>
      <c r="D369" s="12" t="s">
        <v>177</v>
      </c>
      <c r="E369" s="13">
        <v>3769</v>
      </c>
      <c r="F369" s="15">
        <f t="shared" si="90"/>
        <v>2261.4</v>
      </c>
      <c r="G369" s="15">
        <f>F369*H369</f>
        <v>2261.4</v>
      </c>
      <c r="H369" s="16">
        <v>1</v>
      </c>
      <c r="I369" s="17" t="s">
        <v>17</v>
      </c>
      <c r="J369" s="13" t="s">
        <v>22</v>
      </c>
      <c r="K369" s="12" t="str">
        <f>K366</f>
        <v>B27</v>
      </c>
    </row>
    <row r="370" spans="1:11" ht="21" customHeight="1" x14ac:dyDescent="0.25">
      <c r="A370" s="12" t="str">
        <f t="shared" si="91"/>
        <v>Я511К-3074(В27)</v>
      </c>
      <c r="B370" s="13" t="s">
        <v>175</v>
      </c>
      <c r="C370" s="14" t="s">
        <v>178</v>
      </c>
      <c r="D370" s="12" t="s">
        <v>179</v>
      </c>
      <c r="E370" s="13">
        <v>3769</v>
      </c>
      <c r="F370" s="15">
        <f t="shared" si="90"/>
        <v>2261.4</v>
      </c>
      <c r="G370" s="15">
        <f>F370*H370</f>
        <v>2261.4</v>
      </c>
      <c r="H370" s="16">
        <v>1</v>
      </c>
      <c r="I370" s="17" t="s">
        <v>17</v>
      </c>
      <c r="J370" s="13" t="s">
        <v>22</v>
      </c>
      <c r="K370" s="12" t="str">
        <f>K368</f>
        <v>B27</v>
      </c>
    </row>
    <row r="371" spans="1:11" ht="21" customHeight="1" x14ac:dyDescent="0.25">
      <c r="A371" s="12" t="str">
        <f t="shared" si="91"/>
        <v>Я511К-3074(В27)</v>
      </c>
      <c r="B371" s="13" t="s">
        <v>110</v>
      </c>
      <c r="C371" s="14" t="s">
        <v>119</v>
      </c>
      <c r="D371" s="12" t="s">
        <v>113</v>
      </c>
      <c r="E371" s="13">
        <v>571</v>
      </c>
      <c r="F371" s="15">
        <f t="shared" si="90"/>
        <v>342.59999999999997</v>
      </c>
      <c r="G371" s="15">
        <f>F371*H371</f>
        <v>342.59999999999997</v>
      </c>
      <c r="H371" s="16">
        <v>1</v>
      </c>
      <c r="I371" s="17" t="s">
        <v>17</v>
      </c>
      <c r="J371" s="13" t="s">
        <v>22</v>
      </c>
      <c r="K371" s="12" t="str">
        <f>K368</f>
        <v>B27</v>
      </c>
    </row>
    <row r="372" spans="1:11" ht="21" customHeight="1" x14ac:dyDescent="0.25">
      <c r="A372" s="12" t="str">
        <f t="shared" si="91"/>
        <v>Я511К-3074(В27)</v>
      </c>
      <c r="B372" s="13" t="s">
        <v>64</v>
      </c>
      <c r="C372" s="14" t="s">
        <v>180</v>
      </c>
      <c r="D372" s="12" t="s">
        <v>181</v>
      </c>
      <c r="E372" s="13">
        <v>5341</v>
      </c>
      <c r="F372" s="15">
        <f t="shared" si="90"/>
        <v>3204.6</v>
      </c>
      <c r="G372" s="15">
        <f t="shared" ref="G372:G377" si="92">F372*H372</f>
        <v>3204.6</v>
      </c>
      <c r="H372" s="16">
        <v>1</v>
      </c>
      <c r="I372" s="17" t="s">
        <v>17</v>
      </c>
      <c r="J372" s="13" t="s">
        <v>22</v>
      </c>
      <c r="K372" s="12" t="str">
        <f>K368</f>
        <v>B27</v>
      </c>
    </row>
    <row r="373" spans="1:11" ht="21" customHeight="1" x14ac:dyDescent="0.25">
      <c r="A373" s="12" t="str">
        <f t="shared" si="91"/>
        <v>Я511К-3074(В27)</v>
      </c>
      <c r="B373" s="13" t="s">
        <v>64</v>
      </c>
      <c r="C373" s="14" t="s">
        <v>122</v>
      </c>
      <c r="D373" s="12" t="s">
        <v>123</v>
      </c>
      <c r="E373" s="13">
        <v>1306</v>
      </c>
      <c r="F373" s="15">
        <f t="shared" si="90"/>
        <v>783.6</v>
      </c>
      <c r="G373" s="15">
        <f t="shared" si="92"/>
        <v>783.6</v>
      </c>
      <c r="H373" s="16">
        <v>1</v>
      </c>
      <c r="I373" s="17" t="s">
        <v>17</v>
      </c>
      <c r="J373" s="13" t="s">
        <v>22</v>
      </c>
      <c r="K373" s="12" t="str">
        <f>K369</f>
        <v>B27</v>
      </c>
    </row>
    <row r="374" spans="1:11" ht="21" customHeight="1" x14ac:dyDescent="0.25">
      <c r="A374" s="12" t="str">
        <f t="shared" si="91"/>
        <v>Я511К-3074(В27)</v>
      </c>
      <c r="B374" s="13" t="s">
        <v>182</v>
      </c>
      <c r="C374" s="14" t="s">
        <v>183</v>
      </c>
      <c r="D374" s="12" t="s">
        <v>184</v>
      </c>
      <c r="E374" s="13">
        <v>1752</v>
      </c>
      <c r="F374" s="15">
        <f t="shared" si="90"/>
        <v>1051.2</v>
      </c>
      <c r="G374" s="15">
        <f t="shared" si="92"/>
        <v>1051.2</v>
      </c>
      <c r="H374" s="16">
        <v>1</v>
      </c>
      <c r="I374" s="17" t="s">
        <v>17</v>
      </c>
      <c r="J374" s="13" t="s">
        <v>22</v>
      </c>
      <c r="K374" s="12" t="str">
        <f>K369</f>
        <v>B27</v>
      </c>
    </row>
    <row r="375" spans="1:11" ht="21" customHeight="1" x14ac:dyDescent="0.25">
      <c r="A375" s="12" t="str">
        <f t="shared" si="91"/>
        <v>Я511К-3074(В27)</v>
      </c>
      <c r="B375" s="13" t="s">
        <v>110</v>
      </c>
      <c r="C375" s="14" t="s">
        <v>127</v>
      </c>
      <c r="D375" s="12" t="s">
        <v>111</v>
      </c>
      <c r="E375" s="13">
        <v>589</v>
      </c>
      <c r="F375" s="15">
        <f t="shared" si="90"/>
        <v>353.4</v>
      </c>
      <c r="G375" s="15">
        <f t="shared" si="92"/>
        <v>353.4</v>
      </c>
      <c r="H375" s="16">
        <v>1</v>
      </c>
      <c r="I375" s="17" t="s">
        <v>17</v>
      </c>
      <c r="J375" s="13" t="s">
        <v>22</v>
      </c>
      <c r="K375" s="12" t="str">
        <f>K370</f>
        <v>B27</v>
      </c>
    </row>
    <row r="376" spans="1:11" ht="21" customHeight="1" x14ac:dyDescent="0.25">
      <c r="A376" s="12" t="str">
        <f t="shared" si="91"/>
        <v>Я511К-3074(В27)</v>
      </c>
      <c r="B376" s="13" t="s">
        <v>67</v>
      </c>
      <c r="C376" s="14" t="s">
        <v>185</v>
      </c>
      <c r="D376" s="12" t="s">
        <v>186</v>
      </c>
      <c r="E376" s="13">
        <v>4315</v>
      </c>
      <c r="F376" s="15">
        <f t="shared" si="90"/>
        <v>2589</v>
      </c>
      <c r="G376" s="15">
        <f t="shared" si="92"/>
        <v>2589</v>
      </c>
      <c r="H376" s="16">
        <v>1</v>
      </c>
      <c r="I376" s="17" t="s">
        <v>17</v>
      </c>
      <c r="J376" s="13" t="s">
        <v>22</v>
      </c>
      <c r="K376" s="12" t="str">
        <f>K374</f>
        <v>B27</v>
      </c>
    </row>
    <row r="377" spans="1:11" ht="21" customHeight="1" x14ac:dyDescent="0.25">
      <c r="A377" s="12" t="str">
        <f t="shared" si="91"/>
        <v>Я511К-3074(В27)</v>
      </c>
      <c r="B377" s="13" t="s">
        <v>187</v>
      </c>
      <c r="C377" s="14" t="s">
        <v>188</v>
      </c>
      <c r="D377" s="12" t="s">
        <v>189</v>
      </c>
      <c r="E377" s="13">
        <v>91</v>
      </c>
      <c r="F377" s="15">
        <f>E377</f>
        <v>91</v>
      </c>
      <c r="G377" s="15">
        <f t="shared" si="92"/>
        <v>2093</v>
      </c>
      <c r="H377" s="16">
        <v>23</v>
      </c>
      <c r="I377" s="17" t="s">
        <v>17</v>
      </c>
      <c r="J377" s="13" t="s">
        <v>49</v>
      </c>
      <c r="K377" s="12" t="str">
        <f>K375</f>
        <v>B27</v>
      </c>
    </row>
    <row r="378" spans="1:11" ht="24" customHeight="1" x14ac:dyDescent="0.25">
      <c r="A378" s="12" t="str">
        <f t="shared" si="91"/>
        <v>Я511К-3074(В27)</v>
      </c>
      <c r="B378" s="12" t="s">
        <v>33</v>
      </c>
      <c r="C378" s="18" t="s">
        <v>33</v>
      </c>
      <c r="D378" s="12" t="s">
        <v>33</v>
      </c>
      <c r="E378" s="12">
        <f ca="1">OFFSET(E378,1,2)</f>
        <v>0</v>
      </c>
      <c r="F378" s="15">
        <f ca="1">E378</f>
        <v>0</v>
      </c>
      <c r="G378" s="15">
        <f ca="1">F378*H378</f>
        <v>0</v>
      </c>
      <c r="H378" s="12"/>
      <c r="I378" s="12" t="s">
        <v>17</v>
      </c>
      <c r="J378" s="12" t="s">
        <v>33</v>
      </c>
      <c r="K378" s="12" t="str">
        <f>K375</f>
        <v>B27</v>
      </c>
    </row>
    <row r="379" spans="1:11" ht="21" customHeight="1" x14ac:dyDescent="0.25">
      <c r="A379" s="12" t="str">
        <f t="shared" si="91"/>
        <v>Я511К-3074(В27)</v>
      </c>
      <c r="B379" s="12" t="s">
        <v>34</v>
      </c>
      <c r="C379" s="18" t="s">
        <v>34</v>
      </c>
      <c r="D379" s="12" t="s">
        <v>34</v>
      </c>
      <c r="E379" s="12"/>
      <c r="F379" s="15">
        <v>100</v>
      </c>
      <c r="G379" s="15">
        <f>60*E379*F379</f>
        <v>0</v>
      </c>
      <c r="H379" s="12">
        <f>60*E379</f>
        <v>0</v>
      </c>
      <c r="I379" s="12" t="s">
        <v>17</v>
      </c>
      <c r="J379" s="12" t="s">
        <v>34</v>
      </c>
      <c r="K379" s="12" t="str">
        <f>K378</f>
        <v>B27</v>
      </c>
    </row>
    <row r="380" spans="1:11" ht="30" customHeight="1" x14ac:dyDescent="0.25">
      <c r="A380" s="12" t="str">
        <f t="shared" si="91"/>
        <v>Я511К-3074(В27)</v>
      </c>
      <c r="B380" s="19"/>
      <c r="C380" s="20"/>
      <c r="D380" s="21"/>
      <c r="E380" s="23"/>
      <c r="F380" s="25"/>
      <c r="G380" s="24">
        <f ca="1">SUM(G366:G379)</f>
        <v>23220.2</v>
      </c>
      <c r="H380" s="20"/>
      <c r="I380" s="22"/>
      <c r="J380" s="20"/>
      <c r="K380" s="12" t="str">
        <f>K379</f>
        <v>B27</v>
      </c>
    </row>
    <row r="381" spans="1:11" ht="39.75" customHeight="1" x14ac:dyDescent="0.25">
      <c r="A381" s="5" t="str">
        <f>D381</f>
        <v>РП (В28)</v>
      </c>
      <c r="B381" s="6"/>
      <c r="C381" s="7"/>
      <c r="D381" s="6" t="s">
        <v>190</v>
      </c>
      <c r="E381" s="8"/>
      <c r="F381" s="8"/>
      <c r="G381" s="9"/>
      <c r="H381" s="10">
        <v>1</v>
      </c>
      <c r="I381" s="11" t="s">
        <v>11</v>
      </c>
      <c r="J381" s="6" t="s">
        <v>12</v>
      </c>
      <c r="K381" s="5" t="s">
        <v>191</v>
      </c>
    </row>
    <row r="382" spans="1:11" ht="21" customHeight="1" x14ac:dyDescent="0.25">
      <c r="A382" s="12" t="str">
        <f>A381</f>
        <v>РП (В28)</v>
      </c>
      <c r="B382" s="13" t="s">
        <v>14</v>
      </c>
      <c r="C382" s="14" t="s">
        <v>15</v>
      </c>
      <c r="D382" s="12" t="s">
        <v>16</v>
      </c>
      <c r="E382" s="13">
        <v>13410</v>
      </c>
      <c r="F382" s="15">
        <f t="shared" ref="F382:F388" si="93">E382*0.6</f>
        <v>8046</v>
      </c>
      <c r="G382" s="15">
        <f>H382*F382</f>
        <v>8046</v>
      </c>
      <c r="H382" s="16">
        <v>1</v>
      </c>
      <c r="I382" s="17" t="s">
        <v>17</v>
      </c>
      <c r="J382" s="13" t="s">
        <v>18</v>
      </c>
      <c r="K382" s="12" t="str">
        <f>K381</f>
        <v>B28</v>
      </c>
    </row>
    <row r="383" spans="1:11" ht="21" customHeight="1" x14ac:dyDescent="0.25">
      <c r="A383" s="12" t="str">
        <f t="shared" ref="A383:A391" si="94">A382</f>
        <v>РП (В28)</v>
      </c>
      <c r="B383" s="13" t="s">
        <v>19</v>
      </c>
      <c r="C383" s="14" t="s">
        <v>91</v>
      </c>
      <c r="D383" s="12" t="s">
        <v>92</v>
      </c>
      <c r="E383" s="13">
        <v>2606</v>
      </c>
      <c r="F383" s="15">
        <f t="shared" si="93"/>
        <v>1563.6</v>
      </c>
      <c r="G383" s="15">
        <f t="shared" ref="G383:G389" si="95">F383*H383</f>
        <v>1563.6</v>
      </c>
      <c r="H383" s="16">
        <v>1</v>
      </c>
      <c r="I383" s="17" t="s">
        <v>17</v>
      </c>
      <c r="J383" s="13" t="s">
        <v>22</v>
      </c>
      <c r="K383" s="12" t="str">
        <f t="shared" ref="K383:K391" si="96">K382</f>
        <v>B28</v>
      </c>
    </row>
    <row r="384" spans="1:11" ht="21" customHeight="1" x14ac:dyDescent="0.25">
      <c r="A384" s="12" t="str">
        <f t="shared" si="94"/>
        <v>РП (В28)</v>
      </c>
      <c r="B384" s="13" t="s">
        <v>23</v>
      </c>
      <c r="C384" s="14" t="s">
        <v>57</v>
      </c>
      <c r="D384" s="12" t="s">
        <v>58</v>
      </c>
      <c r="E384" s="13">
        <v>2429</v>
      </c>
      <c r="F384" s="15">
        <f t="shared" si="93"/>
        <v>1457.3999999999999</v>
      </c>
      <c r="G384" s="15">
        <f t="shared" si="95"/>
        <v>2914.7999999999997</v>
      </c>
      <c r="H384" s="16">
        <v>2</v>
      </c>
      <c r="I384" s="17" t="s">
        <v>17</v>
      </c>
      <c r="J384" s="13" t="s">
        <v>22</v>
      </c>
      <c r="K384" s="12" t="str">
        <f t="shared" si="96"/>
        <v>B28</v>
      </c>
    </row>
    <row r="385" spans="1:11" ht="21" customHeight="1" x14ac:dyDescent="0.25">
      <c r="A385" s="12" t="str">
        <f t="shared" si="94"/>
        <v>РП (В28)</v>
      </c>
      <c r="B385" s="13" t="s">
        <v>23</v>
      </c>
      <c r="C385" s="14" t="s">
        <v>26</v>
      </c>
      <c r="D385" s="12" t="s">
        <v>27</v>
      </c>
      <c r="E385" s="13">
        <v>2337</v>
      </c>
      <c r="F385" s="15">
        <f t="shared" si="93"/>
        <v>1402.2</v>
      </c>
      <c r="G385" s="15">
        <f t="shared" si="95"/>
        <v>1402.2</v>
      </c>
      <c r="H385" s="16">
        <v>1</v>
      </c>
      <c r="I385" s="17" t="s">
        <v>17</v>
      </c>
      <c r="J385" s="13" t="s">
        <v>22</v>
      </c>
      <c r="K385" s="12" t="str">
        <f t="shared" si="96"/>
        <v>B28</v>
      </c>
    </row>
    <row r="386" spans="1:11" ht="21" customHeight="1" x14ac:dyDescent="0.25">
      <c r="A386" s="12" t="str">
        <f t="shared" si="94"/>
        <v>РП (В28)</v>
      </c>
      <c r="B386" s="13" t="s">
        <v>23</v>
      </c>
      <c r="C386" s="14" t="s">
        <v>28</v>
      </c>
      <c r="D386" s="12" t="s">
        <v>29</v>
      </c>
      <c r="E386" s="13">
        <v>1389</v>
      </c>
      <c r="F386" s="15">
        <f t="shared" si="93"/>
        <v>833.4</v>
      </c>
      <c r="G386" s="15">
        <f t="shared" si="95"/>
        <v>3333.6</v>
      </c>
      <c r="H386" s="16">
        <v>4</v>
      </c>
      <c r="I386" s="17" t="s">
        <v>17</v>
      </c>
      <c r="J386" s="13" t="s">
        <v>22</v>
      </c>
      <c r="K386" s="12" t="str">
        <f t="shared" si="96"/>
        <v>B28</v>
      </c>
    </row>
    <row r="387" spans="1:11" ht="21" customHeight="1" x14ac:dyDescent="0.25">
      <c r="A387" s="12" t="str">
        <f t="shared" si="94"/>
        <v>РП (В28)</v>
      </c>
      <c r="B387" s="13" t="s">
        <v>136</v>
      </c>
      <c r="C387" s="14" t="s">
        <v>137</v>
      </c>
      <c r="D387" s="12" t="s">
        <v>138</v>
      </c>
      <c r="E387" s="13">
        <v>5093</v>
      </c>
      <c r="F387" s="15">
        <f t="shared" si="93"/>
        <v>3055.7999999999997</v>
      </c>
      <c r="G387" s="15">
        <f t="shared" si="95"/>
        <v>3055.7999999999997</v>
      </c>
      <c r="H387" s="16">
        <v>1</v>
      </c>
      <c r="I387" s="17" t="s">
        <v>17</v>
      </c>
      <c r="J387" s="13" t="s">
        <v>22</v>
      </c>
      <c r="K387" s="12" t="str">
        <f t="shared" si="96"/>
        <v>B28</v>
      </c>
    </row>
    <row r="388" spans="1:11" ht="21" customHeight="1" x14ac:dyDescent="0.25">
      <c r="A388" s="12" t="str">
        <f t="shared" si="94"/>
        <v>РП (В28)</v>
      </c>
      <c r="B388" s="13" t="s">
        <v>30</v>
      </c>
      <c r="C388" s="14" t="s">
        <v>59</v>
      </c>
      <c r="D388" s="12" t="s">
        <v>60</v>
      </c>
      <c r="E388" s="13">
        <v>5354</v>
      </c>
      <c r="F388" s="15">
        <f t="shared" si="93"/>
        <v>3212.4</v>
      </c>
      <c r="G388" s="15">
        <f t="shared" si="95"/>
        <v>3212.4</v>
      </c>
      <c r="H388" s="16">
        <v>1</v>
      </c>
      <c r="I388" s="17" t="s">
        <v>17</v>
      </c>
      <c r="J388" s="13" t="s">
        <v>22</v>
      </c>
      <c r="K388" s="12" t="str">
        <f t="shared" si="96"/>
        <v>B28</v>
      </c>
    </row>
    <row r="389" spans="1:11" ht="24" customHeight="1" x14ac:dyDescent="0.25">
      <c r="A389" s="12" t="str">
        <f t="shared" si="94"/>
        <v>РП (В28)</v>
      </c>
      <c r="B389" s="12" t="s">
        <v>33</v>
      </c>
      <c r="C389" s="18" t="s">
        <v>33</v>
      </c>
      <c r="D389" s="12" t="s">
        <v>33</v>
      </c>
      <c r="E389" s="12">
        <f ca="1">OFFSET(E389,1,2)</f>
        <v>0</v>
      </c>
      <c r="F389" s="15">
        <f ca="1">E389</f>
        <v>0</v>
      </c>
      <c r="G389" s="15">
        <f t="shared" ca="1" si="95"/>
        <v>0</v>
      </c>
      <c r="H389" s="12"/>
      <c r="I389" s="12" t="s">
        <v>17</v>
      </c>
      <c r="J389" s="12" t="s">
        <v>33</v>
      </c>
      <c r="K389" s="12" t="str">
        <f t="shared" si="96"/>
        <v>B28</v>
      </c>
    </row>
    <row r="390" spans="1:11" ht="21" customHeight="1" x14ac:dyDescent="0.25">
      <c r="A390" s="12" t="str">
        <f t="shared" si="94"/>
        <v>РП (В28)</v>
      </c>
      <c r="B390" s="12" t="s">
        <v>34</v>
      </c>
      <c r="C390" s="18" t="s">
        <v>34</v>
      </c>
      <c r="D390" s="12" t="s">
        <v>34</v>
      </c>
      <c r="E390" s="12"/>
      <c r="F390" s="15">
        <v>100</v>
      </c>
      <c r="G390" s="15">
        <f>60*E390*F390</f>
        <v>0</v>
      </c>
      <c r="H390" s="12">
        <f>60*E390</f>
        <v>0</v>
      </c>
      <c r="I390" s="12" t="s">
        <v>17</v>
      </c>
      <c r="J390" s="12" t="s">
        <v>34</v>
      </c>
      <c r="K390" s="12" t="str">
        <f t="shared" si="96"/>
        <v>B28</v>
      </c>
    </row>
    <row r="391" spans="1:11" ht="30" customHeight="1" x14ac:dyDescent="0.25">
      <c r="A391" s="12" t="str">
        <f t="shared" si="94"/>
        <v>РП (В28)</v>
      </c>
      <c r="B391" s="19"/>
      <c r="C391" s="20"/>
      <c r="D391" s="21"/>
      <c r="E391" s="23"/>
      <c r="F391" s="25"/>
      <c r="G391" s="24">
        <f ca="1">SUM(G382:G390)</f>
        <v>23528.400000000001</v>
      </c>
      <c r="H391" s="20"/>
      <c r="I391" s="22"/>
      <c r="J391" s="20"/>
      <c r="K391" s="12" t="str">
        <f t="shared" si="96"/>
        <v>B28</v>
      </c>
    </row>
    <row r="392" spans="1:11" ht="39.75" customHeight="1" x14ac:dyDescent="0.25">
      <c r="A392" s="5" t="str">
        <f>D392</f>
        <v>ПП (В28)</v>
      </c>
      <c r="B392" s="6"/>
      <c r="C392" s="7"/>
      <c r="D392" s="6" t="s">
        <v>192</v>
      </c>
      <c r="E392" s="8"/>
      <c r="F392" s="8"/>
      <c r="G392" s="9"/>
      <c r="H392" s="10">
        <v>1</v>
      </c>
      <c r="I392" s="11" t="s">
        <v>11</v>
      </c>
      <c r="J392" s="6" t="s">
        <v>12</v>
      </c>
      <c r="K392" s="5" t="s">
        <v>191</v>
      </c>
    </row>
    <row r="393" spans="1:11" ht="21" customHeight="1" x14ac:dyDescent="0.25">
      <c r="A393" s="12" t="str">
        <f>A392</f>
        <v>ПП (В28)</v>
      </c>
      <c r="B393" s="13" t="s">
        <v>14</v>
      </c>
      <c r="C393" s="14" t="s">
        <v>106</v>
      </c>
      <c r="D393" s="12" t="s">
        <v>107</v>
      </c>
      <c r="E393" s="13">
        <v>45000</v>
      </c>
      <c r="F393" s="15">
        <f>E393*0.6</f>
        <v>27000</v>
      </c>
      <c r="G393" s="15">
        <f>H393*F393</f>
        <v>27000</v>
      </c>
      <c r="H393" s="16">
        <v>1</v>
      </c>
      <c r="I393" s="17" t="s">
        <v>17</v>
      </c>
      <c r="J393" s="13" t="s">
        <v>18</v>
      </c>
      <c r="K393" s="12" t="str">
        <f>K392</f>
        <v>B28</v>
      </c>
    </row>
    <row r="394" spans="1:11" ht="21" customHeight="1" x14ac:dyDescent="0.25">
      <c r="A394" s="12" t="str">
        <f t="shared" ref="A394:A400" si="97">A393</f>
        <v>ПП (В28)</v>
      </c>
      <c r="B394" s="13" t="s">
        <v>108</v>
      </c>
      <c r="C394" s="14" t="s">
        <v>193</v>
      </c>
      <c r="D394" s="12" t="s">
        <v>194</v>
      </c>
      <c r="E394" s="13">
        <v>201862</v>
      </c>
      <c r="F394" s="15">
        <f>E394*0.6</f>
        <v>121117.2</v>
      </c>
      <c r="G394" s="15">
        <f>F394*H394</f>
        <v>121117.2</v>
      </c>
      <c r="H394" s="16">
        <v>1</v>
      </c>
      <c r="I394" s="17" t="s">
        <v>17</v>
      </c>
      <c r="J394" s="13" t="s">
        <v>22</v>
      </c>
      <c r="K394" s="12" t="str">
        <f t="shared" ref="K394:K400" si="98">K393</f>
        <v>B28</v>
      </c>
    </row>
    <row r="395" spans="1:11" ht="21" customHeight="1" x14ac:dyDescent="0.25">
      <c r="A395" s="12" t="str">
        <f t="shared" si="97"/>
        <v>ПП (В28)</v>
      </c>
      <c r="B395" s="13" t="s">
        <v>110</v>
      </c>
      <c r="C395" s="14">
        <v>593077</v>
      </c>
      <c r="D395" s="12" t="s">
        <v>111</v>
      </c>
      <c r="E395" s="13">
        <v>589</v>
      </c>
      <c r="F395" s="15">
        <f>E395*0.6</f>
        <v>353.4</v>
      </c>
      <c r="G395" s="15">
        <f>F395*H395</f>
        <v>706.8</v>
      </c>
      <c r="H395" s="16">
        <v>2</v>
      </c>
      <c r="I395" s="17" t="s">
        <v>17</v>
      </c>
      <c r="J395" s="13" t="s">
        <v>22</v>
      </c>
      <c r="K395" s="12" t="str">
        <f t="shared" si="98"/>
        <v>B28</v>
      </c>
    </row>
    <row r="396" spans="1:11" ht="21" customHeight="1" x14ac:dyDescent="0.25">
      <c r="A396" s="12" t="str">
        <f t="shared" si="97"/>
        <v>ПП (В28)</v>
      </c>
      <c r="B396" s="13" t="s">
        <v>110</v>
      </c>
      <c r="C396" s="14">
        <v>593076</v>
      </c>
      <c r="D396" s="12" t="s">
        <v>112</v>
      </c>
      <c r="E396" s="13">
        <v>571</v>
      </c>
      <c r="F396" s="15">
        <f>E396*0.6</f>
        <v>342.59999999999997</v>
      </c>
      <c r="G396" s="15">
        <f>F396*H396</f>
        <v>685.19999999999993</v>
      </c>
      <c r="H396" s="16">
        <v>2</v>
      </c>
      <c r="I396" s="17" t="s">
        <v>17</v>
      </c>
      <c r="J396" s="13" t="s">
        <v>22</v>
      </c>
      <c r="K396" s="12" t="str">
        <f t="shared" si="98"/>
        <v>B28</v>
      </c>
    </row>
    <row r="397" spans="1:11" ht="21" customHeight="1" x14ac:dyDescent="0.25">
      <c r="A397" s="12" t="str">
        <f t="shared" si="97"/>
        <v>ПП (В28)</v>
      </c>
      <c r="B397" s="13" t="s">
        <v>110</v>
      </c>
      <c r="C397" s="14">
        <v>593075</v>
      </c>
      <c r="D397" s="12" t="s">
        <v>113</v>
      </c>
      <c r="E397" s="13">
        <v>571</v>
      </c>
      <c r="F397" s="15">
        <f>E397*0.6</f>
        <v>342.59999999999997</v>
      </c>
      <c r="G397" s="15">
        <f>F397*H397</f>
        <v>685.19999999999993</v>
      </c>
      <c r="H397" s="16">
        <v>2</v>
      </c>
      <c r="I397" s="17" t="s">
        <v>17</v>
      </c>
      <c r="J397" s="13" t="s">
        <v>22</v>
      </c>
      <c r="K397" s="12" t="str">
        <f t="shared" si="98"/>
        <v>B28</v>
      </c>
    </row>
    <row r="398" spans="1:11" ht="24" customHeight="1" x14ac:dyDescent="0.25">
      <c r="A398" s="12" t="str">
        <f t="shared" si="97"/>
        <v>ПП (В28)</v>
      </c>
      <c r="B398" s="12" t="s">
        <v>33</v>
      </c>
      <c r="C398" s="18" t="s">
        <v>33</v>
      </c>
      <c r="D398" s="12" t="s">
        <v>33</v>
      </c>
      <c r="E398" s="12">
        <f ca="1">OFFSET(E398,1,2)</f>
        <v>0</v>
      </c>
      <c r="F398" s="15">
        <f ca="1">E398</f>
        <v>0</v>
      </c>
      <c r="G398" s="15">
        <f ca="1">F398*H398</f>
        <v>0</v>
      </c>
      <c r="H398" s="12"/>
      <c r="I398" s="12" t="s">
        <v>17</v>
      </c>
      <c r="J398" s="12" t="s">
        <v>33</v>
      </c>
      <c r="K398" s="12" t="str">
        <f t="shared" si="98"/>
        <v>B28</v>
      </c>
    </row>
    <row r="399" spans="1:11" ht="21" customHeight="1" x14ac:dyDescent="0.25">
      <c r="A399" s="12" t="str">
        <f t="shared" si="97"/>
        <v>ПП (В28)</v>
      </c>
      <c r="B399" s="12" t="s">
        <v>34</v>
      </c>
      <c r="C399" s="18" t="s">
        <v>34</v>
      </c>
      <c r="D399" s="12" t="s">
        <v>34</v>
      </c>
      <c r="E399" s="12"/>
      <c r="F399" s="15">
        <v>100</v>
      </c>
      <c r="G399" s="15">
        <f>60*E399*F399</f>
        <v>0</v>
      </c>
      <c r="H399" s="12">
        <f>60*E399</f>
        <v>0</v>
      </c>
      <c r="I399" s="12" t="s">
        <v>17</v>
      </c>
      <c r="J399" s="12" t="s">
        <v>34</v>
      </c>
      <c r="K399" s="12" t="str">
        <f t="shared" si="98"/>
        <v>B28</v>
      </c>
    </row>
    <row r="400" spans="1:11" ht="30" customHeight="1" x14ac:dyDescent="0.25">
      <c r="A400" s="12" t="str">
        <f t="shared" si="97"/>
        <v>ПП (В28)</v>
      </c>
      <c r="B400" s="19"/>
      <c r="C400" s="20"/>
      <c r="D400" s="21"/>
      <c r="E400" s="23"/>
      <c r="F400" s="25"/>
      <c r="G400" s="24">
        <f ca="1">SUM(G393:G399)</f>
        <v>150194.40000000002</v>
      </c>
      <c r="H400" s="20"/>
      <c r="I400" s="22"/>
      <c r="J400" s="20"/>
      <c r="K400" s="12" t="str">
        <f t="shared" si="98"/>
        <v>B28</v>
      </c>
    </row>
    <row r="401" spans="1:11" ht="39.75" customHeight="1" x14ac:dyDescent="0.25">
      <c r="A401" s="5" t="str">
        <f>D401</f>
        <v>РПо-1 (В28)</v>
      </c>
      <c r="B401" s="6"/>
      <c r="C401" s="7"/>
      <c r="D401" s="6" t="s">
        <v>195</v>
      </c>
      <c r="E401" s="8"/>
      <c r="F401" s="8"/>
      <c r="G401" s="9"/>
      <c r="H401" s="10">
        <v>1</v>
      </c>
      <c r="I401" s="11" t="s">
        <v>11</v>
      </c>
      <c r="J401" s="6" t="s">
        <v>12</v>
      </c>
      <c r="K401" s="5" t="s">
        <v>191</v>
      </c>
    </row>
    <row r="402" spans="1:11" ht="21" customHeight="1" x14ac:dyDescent="0.25">
      <c r="A402" s="12" t="str">
        <f>A401</f>
        <v>РПо-1 (В28)</v>
      </c>
      <c r="B402" s="13" t="s">
        <v>14</v>
      </c>
      <c r="C402" s="14" t="s">
        <v>75</v>
      </c>
      <c r="D402" s="12" t="s">
        <v>76</v>
      </c>
      <c r="E402" s="13">
        <v>10270</v>
      </c>
      <c r="F402" s="15">
        <f>E402*0.6</f>
        <v>6162</v>
      </c>
      <c r="G402" s="15">
        <f>H402*F402</f>
        <v>6162</v>
      </c>
      <c r="H402" s="16">
        <v>1</v>
      </c>
      <c r="I402" s="17" t="s">
        <v>17</v>
      </c>
      <c r="J402" s="13" t="s">
        <v>18</v>
      </c>
      <c r="K402" s="12" t="str">
        <f>K401</f>
        <v>B28</v>
      </c>
    </row>
    <row r="403" spans="1:11" ht="21" customHeight="1" x14ac:dyDescent="0.25">
      <c r="A403" s="12" t="str">
        <f t="shared" ref="A403:A408" si="99">A402</f>
        <v>РПо-1 (В28)</v>
      </c>
      <c r="B403" s="13" t="s">
        <v>23</v>
      </c>
      <c r="C403" s="14" t="s">
        <v>81</v>
      </c>
      <c r="D403" s="12" t="s">
        <v>82</v>
      </c>
      <c r="E403" s="13">
        <v>2499</v>
      </c>
      <c r="F403" s="15">
        <f>E403*0.6</f>
        <v>1499.3999999999999</v>
      </c>
      <c r="G403" s="15">
        <f>F403*H403</f>
        <v>1499.3999999999999</v>
      </c>
      <c r="H403" s="16">
        <v>1</v>
      </c>
      <c r="I403" s="17" t="s">
        <v>17</v>
      </c>
      <c r="J403" s="13" t="s">
        <v>22</v>
      </c>
      <c r="K403" s="12" t="str">
        <f t="shared" ref="K403:K408" si="100">K402</f>
        <v>B28</v>
      </c>
    </row>
    <row r="404" spans="1:11" ht="21" customHeight="1" x14ac:dyDescent="0.25">
      <c r="A404" s="12" t="str">
        <f t="shared" si="99"/>
        <v>РПо-1 (В28)</v>
      </c>
      <c r="B404" s="13" t="s">
        <v>23</v>
      </c>
      <c r="C404" s="14" t="s">
        <v>28</v>
      </c>
      <c r="D404" s="12" t="s">
        <v>29</v>
      </c>
      <c r="E404" s="13">
        <v>1389</v>
      </c>
      <c r="F404" s="15">
        <f>E404*0.6</f>
        <v>833.4</v>
      </c>
      <c r="G404" s="15">
        <f>F404*H404</f>
        <v>1666.8</v>
      </c>
      <c r="H404" s="16">
        <v>2</v>
      </c>
      <c r="I404" s="17" t="s">
        <v>17</v>
      </c>
      <c r="J404" s="13" t="s">
        <v>22</v>
      </c>
      <c r="K404" s="12" t="str">
        <f t="shared" si="100"/>
        <v>B28</v>
      </c>
    </row>
    <row r="405" spans="1:11" ht="21" customHeight="1" x14ac:dyDescent="0.25">
      <c r="A405" s="12" t="str">
        <f t="shared" si="99"/>
        <v>РПо-1 (В28)</v>
      </c>
      <c r="B405" s="13" t="s">
        <v>30</v>
      </c>
      <c r="C405" s="14" t="s">
        <v>59</v>
      </c>
      <c r="D405" s="12" t="s">
        <v>60</v>
      </c>
      <c r="E405" s="13">
        <v>5354</v>
      </c>
      <c r="F405" s="15">
        <f>E405*0.6</f>
        <v>3212.4</v>
      </c>
      <c r="G405" s="15">
        <f>F405*H405</f>
        <v>3212.4</v>
      </c>
      <c r="H405" s="16">
        <v>1</v>
      </c>
      <c r="I405" s="17" t="s">
        <v>17</v>
      </c>
      <c r="J405" s="13" t="s">
        <v>22</v>
      </c>
      <c r="K405" s="12" t="str">
        <f t="shared" si="100"/>
        <v>B28</v>
      </c>
    </row>
    <row r="406" spans="1:11" ht="24" customHeight="1" x14ac:dyDescent="0.25">
      <c r="A406" s="12" t="str">
        <f t="shared" si="99"/>
        <v>РПо-1 (В28)</v>
      </c>
      <c r="B406" s="12" t="s">
        <v>33</v>
      </c>
      <c r="C406" s="18" t="s">
        <v>33</v>
      </c>
      <c r="D406" s="12" t="s">
        <v>33</v>
      </c>
      <c r="E406" s="12">
        <f ca="1">OFFSET(E406,1,2)</f>
        <v>0</v>
      </c>
      <c r="F406" s="15">
        <f ca="1">E406</f>
        <v>0</v>
      </c>
      <c r="G406" s="15">
        <f ca="1">F406*H406</f>
        <v>0</v>
      </c>
      <c r="H406" s="12"/>
      <c r="I406" s="12" t="s">
        <v>17</v>
      </c>
      <c r="J406" s="12" t="s">
        <v>33</v>
      </c>
      <c r="K406" s="12" t="str">
        <f t="shared" si="100"/>
        <v>B28</v>
      </c>
    </row>
    <row r="407" spans="1:11" ht="21" customHeight="1" x14ac:dyDescent="0.25">
      <c r="A407" s="12" t="str">
        <f t="shared" si="99"/>
        <v>РПо-1 (В28)</v>
      </c>
      <c r="B407" s="12" t="s">
        <v>34</v>
      </c>
      <c r="C407" s="18" t="s">
        <v>34</v>
      </c>
      <c r="D407" s="12" t="s">
        <v>34</v>
      </c>
      <c r="E407" s="12"/>
      <c r="F407" s="15">
        <v>100</v>
      </c>
      <c r="G407" s="15">
        <f>60*E407*F407</f>
        <v>0</v>
      </c>
      <c r="H407" s="12">
        <f>60*E407</f>
        <v>0</v>
      </c>
      <c r="I407" s="12" t="s">
        <v>17</v>
      </c>
      <c r="J407" s="12" t="s">
        <v>34</v>
      </c>
      <c r="K407" s="12" t="str">
        <f t="shared" si="100"/>
        <v>B28</v>
      </c>
    </row>
    <row r="408" spans="1:11" ht="30" customHeight="1" x14ac:dyDescent="0.25">
      <c r="A408" s="12" t="str">
        <f t="shared" si="99"/>
        <v>РПо-1 (В28)</v>
      </c>
      <c r="B408" s="19"/>
      <c r="C408" s="20"/>
      <c r="D408" s="21"/>
      <c r="E408" s="23"/>
      <c r="F408" s="25"/>
      <c r="G408" s="24">
        <f ca="1">SUM(G402:G407)</f>
        <v>12540.599999999999</v>
      </c>
      <c r="H408" s="20"/>
      <c r="I408" s="22"/>
      <c r="J408" s="20"/>
      <c r="K408" s="12" t="str">
        <f t="shared" si="100"/>
        <v>B28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0"/>
  <sheetViews>
    <sheetView tabSelected="1" workbookViewId="0">
      <pane xSplit="12" ySplit="1" topLeftCell="M2" activePane="bottomRight" state="frozen"/>
      <selection pane="topRight" activeCell="N1" sqref="N1"/>
      <selection pane="bottomLeft" activeCell="A2" sqref="A2"/>
      <selection pane="bottomRight" activeCell="M14" sqref="M14:M489"/>
    </sheetView>
  </sheetViews>
  <sheetFormatPr defaultRowHeight="15" outlineLevelRow="2" x14ac:dyDescent="0.25"/>
  <cols>
    <col min="1" max="1" width="10" style="55" customWidth="1"/>
    <col min="2" max="2" width="22.42578125" customWidth="1"/>
    <col min="3" max="4" width="18" customWidth="1"/>
    <col min="5" max="5" width="70.42578125" customWidth="1"/>
    <col min="6" max="7" width="12" customWidth="1"/>
    <col min="8" max="8" width="14" customWidth="1"/>
    <col min="9" max="9" width="10" style="55" customWidth="1"/>
    <col min="10" max="10" width="12" style="55" customWidth="1"/>
    <col min="11" max="11" width="18" style="55" customWidth="1"/>
    <col min="12" max="12" width="16" style="55" customWidth="1"/>
    <col min="13" max="13" width="14" customWidth="1"/>
  </cols>
  <sheetData>
    <row r="1" spans="1:13" ht="27.95" customHeight="1" x14ac:dyDescent="0.25">
      <c r="A1" s="37" t="s">
        <v>366</v>
      </c>
      <c r="B1" s="37" t="s">
        <v>0</v>
      </c>
      <c r="C1" s="37" t="s">
        <v>1</v>
      </c>
      <c r="D1" s="37" t="s">
        <v>2</v>
      </c>
      <c r="E1" s="37" t="s">
        <v>3</v>
      </c>
      <c r="F1" s="37" t="s">
        <v>4</v>
      </c>
      <c r="G1" s="37" t="s">
        <v>4</v>
      </c>
      <c r="H1" s="37" t="s">
        <v>5</v>
      </c>
      <c r="I1" s="37" t="s">
        <v>6</v>
      </c>
      <c r="J1" s="37" t="s">
        <v>7</v>
      </c>
      <c r="K1" s="37" t="s">
        <v>8</v>
      </c>
      <c r="L1" s="37" t="s">
        <v>9</v>
      </c>
      <c r="M1" s="37" t="s">
        <v>328</v>
      </c>
    </row>
    <row r="2" spans="1:13" ht="24" customHeight="1" outlineLevel="2" x14ac:dyDescent="0.25">
      <c r="A2" s="38">
        <f>ROW(A1)</f>
        <v>1</v>
      </c>
      <c r="B2" s="38" t="s">
        <v>10</v>
      </c>
      <c r="C2" s="38"/>
      <c r="D2" s="38"/>
      <c r="E2" s="38" t="s">
        <v>10</v>
      </c>
      <c r="F2" s="39"/>
      <c r="G2" s="39"/>
      <c r="H2" s="39"/>
      <c r="I2" s="40">
        <v>1</v>
      </c>
      <c r="J2" s="38" t="s">
        <v>11</v>
      </c>
      <c r="K2" s="38" t="s">
        <v>12</v>
      </c>
      <c r="L2" s="38" t="s">
        <v>13</v>
      </c>
      <c r="M2" s="39"/>
    </row>
    <row r="3" spans="1:13" outlineLevel="2" x14ac:dyDescent="0.25">
      <c r="A3" s="50">
        <f t="shared" ref="A3:A73" si="0">ROW(A2)</f>
        <v>2</v>
      </c>
      <c r="B3" s="56" t="s">
        <v>10</v>
      </c>
      <c r="C3" s="41" t="s">
        <v>14</v>
      </c>
      <c r="D3" s="41" t="s">
        <v>354</v>
      </c>
      <c r="E3" s="56" t="s">
        <v>355</v>
      </c>
      <c r="F3" s="42">
        <v>20185</v>
      </c>
      <c r="G3" s="42">
        <f>0.6*F3</f>
        <v>12111</v>
      </c>
      <c r="H3" s="42">
        <f>G3*I3</f>
        <v>12111</v>
      </c>
      <c r="I3" s="49">
        <v>1</v>
      </c>
      <c r="J3" s="50" t="s">
        <v>197</v>
      </c>
      <c r="K3" s="50" t="s">
        <v>18</v>
      </c>
      <c r="L3" s="50" t="s">
        <v>13</v>
      </c>
      <c r="M3" s="42">
        <v>12111</v>
      </c>
    </row>
    <row r="4" spans="1:13" outlineLevel="2" x14ac:dyDescent="0.25">
      <c r="A4" s="50">
        <f t="shared" si="0"/>
        <v>3</v>
      </c>
      <c r="B4" s="41" t="s">
        <v>10</v>
      </c>
      <c r="C4" s="41" t="s">
        <v>19</v>
      </c>
      <c r="D4" s="41" t="s">
        <v>20</v>
      </c>
      <c r="E4" s="41" t="s">
        <v>21</v>
      </c>
      <c r="F4" s="42">
        <v>19760</v>
      </c>
      <c r="G4" s="42">
        <f t="shared" ref="G4:G8" si="1">0.6*F4</f>
        <v>11856</v>
      </c>
      <c r="H4" s="42">
        <f>IF(OR(G4="",I4=""),"",G4*I4)</f>
        <v>11856</v>
      </c>
      <c r="I4" s="49">
        <v>1</v>
      </c>
      <c r="J4" s="50" t="s">
        <v>197</v>
      </c>
      <c r="K4" s="50" t="s">
        <v>22</v>
      </c>
      <c r="L4" s="50" t="s">
        <v>13</v>
      </c>
      <c r="M4" s="42">
        <v>11856</v>
      </c>
    </row>
    <row r="5" spans="1:13" outlineLevel="2" x14ac:dyDescent="0.25">
      <c r="A5" s="50">
        <f t="shared" si="0"/>
        <v>4</v>
      </c>
      <c r="B5" s="41" t="s">
        <v>10</v>
      </c>
      <c r="C5" s="41" t="s">
        <v>23</v>
      </c>
      <c r="D5" s="41" t="s">
        <v>24</v>
      </c>
      <c r="E5" s="41" t="s">
        <v>25</v>
      </c>
      <c r="F5" s="42">
        <v>11015</v>
      </c>
      <c r="G5" s="42">
        <f t="shared" si="1"/>
        <v>6609</v>
      </c>
      <c r="H5" s="42">
        <f>IF(OR(G5="",I5=""),"",G5*I5)</f>
        <v>6609</v>
      </c>
      <c r="I5" s="49">
        <v>1</v>
      </c>
      <c r="J5" s="50" t="s">
        <v>197</v>
      </c>
      <c r="K5" s="50" t="s">
        <v>22</v>
      </c>
      <c r="L5" s="50" t="s">
        <v>13</v>
      </c>
      <c r="M5" s="42">
        <v>6609</v>
      </c>
    </row>
    <row r="6" spans="1:13" outlineLevel="2" x14ac:dyDescent="0.25">
      <c r="A6" s="50">
        <f t="shared" si="0"/>
        <v>5</v>
      </c>
      <c r="B6" s="41" t="s">
        <v>10</v>
      </c>
      <c r="C6" s="41" t="s">
        <v>23</v>
      </c>
      <c r="D6" s="41" t="s">
        <v>26</v>
      </c>
      <c r="E6" s="41" t="s">
        <v>27</v>
      </c>
      <c r="F6" s="42">
        <v>2337</v>
      </c>
      <c r="G6" s="42">
        <f t="shared" si="1"/>
        <v>1402.2</v>
      </c>
      <c r="H6" s="42">
        <f>IF(OR(G6="",I6=""),"",G6*I6)</f>
        <v>4206.6000000000004</v>
      </c>
      <c r="I6" s="49">
        <v>3</v>
      </c>
      <c r="J6" s="50" t="s">
        <v>197</v>
      </c>
      <c r="K6" s="50" t="s">
        <v>22</v>
      </c>
      <c r="L6" s="50" t="s">
        <v>13</v>
      </c>
      <c r="M6" s="42">
        <v>4206.6000000000004</v>
      </c>
    </row>
    <row r="7" spans="1:13" outlineLevel="2" x14ac:dyDescent="0.25">
      <c r="A7" s="50">
        <f t="shared" si="0"/>
        <v>6</v>
      </c>
      <c r="B7" s="41" t="s">
        <v>10</v>
      </c>
      <c r="C7" s="41" t="s">
        <v>23</v>
      </c>
      <c r="D7" s="41" t="s">
        <v>28</v>
      </c>
      <c r="E7" s="41" t="s">
        <v>29</v>
      </c>
      <c r="F7" s="42">
        <v>1389</v>
      </c>
      <c r="G7" s="42">
        <f t="shared" si="1"/>
        <v>833.4</v>
      </c>
      <c r="H7" s="42">
        <f>IF(OR(G7="",I7=""),"",G7*I7)</f>
        <v>4167</v>
      </c>
      <c r="I7" s="49">
        <v>5</v>
      </c>
      <c r="J7" s="50" t="s">
        <v>197</v>
      </c>
      <c r="K7" s="50" t="s">
        <v>22</v>
      </c>
      <c r="L7" s="50" t="s">
        <v>13</v>
      </c>
      <c r="M7" s="42">
        <v>4167</v>
      </c>
    </row>
    <row r="8" spans="1:13" outlineLevel="2" x14ac:dyDescent="0.25">
      <c r="A8" s="50">
        <f t="shared" si="0"/>
        <v>7</v>
      </c>
      <c r="B8" s="41" t="s">
        <v>10</v>
      </c>
      <c r="C8" s="41" t="s">
        <v>30</v>
      </c>
      <c r="D8" s="41" t="s">
        <v>31</v>
      </c>
      <c r="E8" s="41" t="s">
        <v>32</v>
      </c>
      <c r="F8" s="42">
        <v>4160</v>
      </c>
      <c r="G8" s="42">
        <f t="shared" si="1"/>
        <v>2496</v>
      </c>
      <c r="H8" s="42">
        <f>G8*I8</f>
        <v>2496</v>
      </c>
      <c r="I8" s="49">
        <v>1</v>
      </c>
      <c r="J8" s="50" t="s">
        <v>197</v>
      </c>
      <c r="K8" s="50" t="s">
        <v>22</v>
      </c>
      <c r="L8" s="50" t="s">
        <v>13</v>
      </c>
      <c r="M8" s="42">
        <v>2496</v>
      </c>
    </row>
    <row r="9" spans="1:13" outlineLevel="2" x14ac:dyDescent="0.25">
      <c r="A9" s="61">
        <f t="shared" si="0"/>
        <v>8</v>
      </c>
      <c r="B9" s="58" t="s">
        <v>10</v>
      </c>
      <c r="C9" s="58" t="s">
        <v>198</v>
      </c>
      <c r="D9" s="59" t="s">
        <v>341</v>
      </c>
      <c r="E9" s="58" t="s">
        <v>342</v>
      </c>
      <c r="F9" s="60">
        <v>1055</v>
      </c>
      <c r="G9" s="60">
        <f>F9</f>
        <v>1055</v>
      </c>
      <c r="H9" s="60">
        <f>G9*I9</f>
        <v>1055</v>
      </c>
      <c r="I9" s="57">
        <v>1</v>
      </c>
      <c r="J9" s="61" t="s">
        <v>197</v>
      </c>
      <c r="K9" s="61" t="s">
        <v>49</v>
      </c>
      <c r="L9" s="50" t="s">
        <v>13</v>
      </c>
      <c r="M9" s="60">
        <v>1055</v>
      </c>
    </row>
    <row r="10" spans="1:13" outlineLevel="2" x14ac:dyDescent="0.25">
      <c r="A10" s="61">
        <f t="shared" si="0"/>
        <v>9</v>
      </c>
      <c r="B10" s="58" t="s">
        <v>10</v>
      </c>
      <c r="C10" s="58" t="s">
        <v>198</v>
      </c>
      <c r="D10" s="59" t="s">
        <v>339</v>
      </c>
      <c r="E10" s="58" t="s">
        <v>340</v>
      </c>
      <c r="F10" s="60">
        <v>1135</v>
      </c>
      <c r="G10" s="60">
        <f t="shared" ref="G10:G11" si="2">F10</f>
        <v>1135</v>
      </c>
      <c r="H10" s="60">
        <f t="shared" ref="H10:H11" si="3">G10*I10</f>
        <v>1135</v>
      </c>
      <c r="I10" s="57">
        <v>1</v>
      </c>
      <c r="J10" s="61" t="s">
        <v>197</v>
      </c>
      <c r="K10" s="61" t="s">
        <v>49</v>
      </c>
      <c r="L10" s="50" t="s">
        <v>13</v>
      </c>
      <c r="M10" s="60">
        <v>1135</v>
      </c>
    </row>
    <row r="11" spans="1:13" outlineLevel="2" x14ac:dyDescent="0.25">
      <c r="A11" s="61">
        <f t="shared" si="0"/>
        <v>10</v>
      </c>
      <c r="B11" s="58" t="s">
        <v>10</v>
      </c>
      <c r="C11" s="58" t="s">
        <v>212</v>
      </c>
      <c r="D11" s="59" t="s">
        <v>353</v>
      </c>
      <c r="E11" s="58" t="s">
        <v>353</v>
      </c>
      <c r="F11" s="60">
        <v>190</v>
      </c>
      <c r="G11" s="60">
        <f t="shared" si="2"/>
        <v>190</v>
      </c>
      <c r="H11" s="60">
        <f t="shared" si="3"/>
        <v>190</v>
      </c>
      <c r="I11" s="57">
        <v>1</v>
      </c>
      <c r="J11" s="61" t="s">
        <v>197</v>
      </c>
      <c r="K11" s="61" t="s">
        <v>49</v>
      </c>
      <c r="L11" s="50" t="s">
        <v>13</v>
      </c>
      <c r="M11" s="60">
        <v>190</v>
      </c>
    </row>
    <row r="12" spans="1:13" ht="24" outlineLevel="2" x14ac:dyDescent="0.25">
      <c r="A12" s="50">
        <f t="shared" si="0"/>
        <v>11</v>
      </c>
      <c r="B12" s="41" t="s">
        <v>10</v>
      </c>
      <c r="C12" s="41" t="s">
        <v>216</v>
      </c>
      <c r="D12" s="41" t="s">
        <v>216</v>
      </c>
      <c r="E12" s="41" t="s">
        <v>217</v>
      </c>
      <c r="F12" s="42">
        <f ca="1">OFFSET(F12,1,2)</f>
        <v>12000</v>
      </c>
      <c r="G12" s="42">
        <f ca="1">F12</f>
        <v>12000</v>
      </c>
      <c r="H12" s="42">
        <f ca="1">G12*I12</f>
        <v>12000</v>
      </c>
      <c r="I12" s="49">
        <v>1</v>
      </c>
      <c r="J12" s="50" t="s">
        <v>197</v>
      </c>
      <c r="K12" s="41" t="s">
        <v>216</v>
      </c>
      <c r="L12" s="50" t="s">
        <v>13</v>
      </c>
      <c r="M12" s="42">
        <v>12000</v>
      </c>
    </row>
    <row r="13" spans="1:13" outlineLevel="2" x14ac:dyDescent="0.25">
      <c r="A13" s="50">
        <f t="shared" si="0"/>
        <v>12</v>
      </c>
      <c r="B13" s="41" t="s">
        <v>10</v>
      </c>
      <c r="C13" s="41" t="s">
        <v>218</v>
      </c>
      <c r="D13" s="41" t="s">
        <v>218</v>
      </c>
      <c r="E13" s="41" t="s">
        <v>219</v>
      </c>
      <c r="F13" s="42">
        <v>2</v>
      </c>
      <c r="G13" s="42">
        <v>100</v>
      </c>
      <c r="H13" s="42">
        <f>IF(OR(G13="",I13=""),"",G13*I13)</f>
        <v>12000</v>
      </c>
      <c r="I13" s="49">
        <f>60*F13</f>
        <v>120</v>
      </c>
      <c r="J13" s="50" t="s">
        <v>197</v>
      </c>
      <c r="K13" s="41" t="s">
        <v>218</v>
      </c>
      <c r="L13" s="50" t="s">
        <v>13</v>
      </c>
      <c r="M13" s="42">
        <v>12000</v>
      </c>
    </row>
    <row r="14" spans="1:13" ht="24" outlineLevel="1" x14ac:dyDescent="0.25">
      <c r="A14" s="50"/>
      <c r="B14" s="65" t="s">
        <v>367</v>
      </c>
      <c r="C14" s="41"/>
      <c r="D14" s="41"/>
      <c r="E14" s="41"/>
      <c r="F14" s="42"/>
      <c r="G14" s="42"/>
      <c r="H14" s="42">
        <f ca="1">SUBTOTAL(9,H2:H13)</f>
        <v>67825.600000000006</v>
      </c>
      <c r="I14" s="49"/>
      <c r="J14" s="50"/>
      <c r="K14" s="41"/>
      <c r="L14" s="50"/>
      <c r="M14" s="42">
        <v>67825.600000000006</v>
      </c>
    </row>
    <row r="15" spans="1:13" ht="24" customHeight="1" outlineLevel="2" x14ac:dyDescent="0.25">
      <c r="A15" s="38">
        <f>ROW(A13)</f>
        <v>13</v>
      </c>
      <c r="B15" s="38" t="s">
        <v>35</v>
      </c>
      <c r="C15" s="38"/>
      <c r="D15" s="38"/>
      <c r="E15" s="38" t="s">
        <v>35</v>
      </c>
      <c r="F15" s="39"/>
      <c r="G15" s="39"/>
      <c r="H15" s="39"/>
      <c r="I15" s="40">
        <v>1</v>
      </c>
      <c r="J15" s="38" t="s">
        <v>11</v>
      </c>
      <c r="K15" s="38" t="s">
        <v>12</v>
      </c>
      <c r="L15" s="38" t="s">
        <v>13</v>
      </c>
      <c r="M15" s="39"/>
    </row>
    <row r="16" spans="1:13" outlineLevel="2" x14ac:dyDescent="0.25">
      <c r="A16" s="50">
        <f t="shared" si="0"/>
        <v>15</v>
      </c>
      <c r="B16" s="41" t="s">
        <v>35</v>
      </c>
      <c r="C16" s="41" t="s">
        <v>14</v>
      </c>
      <c r="D16" s="41" t="s">
        <v>15</v>
      </c>
      <c r="E16" s="41" t="s">
        <v>16</v>
      </c>
      <c r="F16" s="42">
        <v>15000</v>
      </c>
      <c r="G16" s="42">
        <f t="shared" ref="G16:G19" si="4">0.6*F16</f>
        <v>9000</v>
      </c>
      <c r="H16" s="42">
        <f t="shared" ref="H16:H22" si="5">G16*I16</f>
        <v>9000</v>
      </c>
      <c r="I16" s="49">
        <v>1</v>
      </c>
      <c r="J16" s="50" t="s">
        <v>197</v>
      </c>
      <c r="K16" s="50" t="s">
        <v>18</v>
      </c>
      <c r="L16" s="50" t="s">
        <v>13</v>
      </c>
      <c r="M16" s="42">
        <v>9000</v>
      </c>
    </row>
    <row r="17" spans="1:13" outlineLevel="2" x14ac:dyDescent="0.25">
      <c r="A17" s="50">
        <f t="shared" si="0"/>
        <v>16</v>
      </c>
      <c r="B17" s="41" t="s">
        <v>35</v>
      </c>
      <c r="C17" s="41" t="s">
        <v>23</v>
      </c>
      <c r="D17" s="41" t="s">
        <v>24</v>
      </c>
      <c r="E17" s="41" t="s">
        <v>25</v>
      </c>
      <c r="F17" s="42">
        <v>11015</v>
      </c>
      <c r="G17" s="42">
        <f t="shared" si="4"/>
        <v>6609</v>
      </c>
      <c r="H17" s="42">
        <f t="shared" si="5"/>
        <v>6609</v>
      </c>
      <c r="I17" s="49">
        <v>1</v>
      </c>
      <c r="J17" s="50" t="s">
        <v>197</v>
      </c>
      <c r="K17" s="50" t="s">
        <v>22</v>
      </c>
      <c r="L17" s="50" t="s">
        <v>13</v>
      </c>
      <c r="M17" s="42">
        <v>6609</v>
      </c>
    </row>
    <row r="18" spans="1:13" outlineLevel="2" x14ac:dyDescent="0.25">
      <c r="A18" s="50">
        <f t="shared" si="0"/>
        <v>17</v>
      </c>
      <c r="B18" s="41" t="s">
        <v>35</v>
      </c>
      <c r="C18" s="41" t="s">
        <v>23</v>
      </c>
      <c r="D18" s="41" t="s">
        <v>26</v>
      </c>
      <c r="E18" s="41" t="s">
        <v>27</v>
      </c>
      <c r="F18" s="42">
        <v>2337</v>
      </c>
      <c r="G18" s="42">
        <f t="shared" si="4"/>
        <v>1402.2</v>
      </c>
      <c r="H18" s="42">
        <f t="shared" si="5"/>
        <v>4206.6000000000004</v>
      </c>
      <c r="I18" s="49">
        <v>3</v>
      </c>
      <c r="J18" s="50" t="s">
        <v>197</v>
      </c>
      <c r="K18" s="50" t="s">
        <v>22</v>
      </c>
      <c r="L18" s="50" t="s">
        <v>13</v>
      </c>
      <c r="M18" s="42">
        <v>4206.6000000000004</v>
      </c>
    </row>
    <row r="19" spans="1:13" outlineLevel="2" x14ac:dyDescent="0.25">
      <c r="A19" s="50">
        <f t="shared" si="0"/>
        <v>18</v>
      </c>
      <c r="B19" s="41" t="s">
        <v>35</v>
      </c>
      <c r="C19" s="41" t="s">
        <v>23</v>
      </c>
      <c r="D19" s="41" t="s">
        <v>28</v>
      </c>
      <c r="E19" s="41" t="s">
        <v>29</v>
      </c>
      <c r="F19" s="42">
        <v>1389</v>
      </c>
      <c r="G19" s="42">
        <f t="shared" si="4"/>
        <v>833.4</v>
      </c>
      <c r="H19" s="42">
        <f t="shared" si="5"/>
        <v>4167</v>
      </c>
      <c r="I19" s="49">
        <v>5</v>
      </c>
      <c r="J19" s="50" t="s">
        <v>197</v>
      </c>
      <c r="K19" s="50" t="s">
        <v>22</v>
      </c>
      <c r="L19" s="50" t="s">
        <v>13</v>
      </c>
      <c r="M19" s="42">
        <v>4167</v>
      </c>
    </row>
    <row r="20" spans="1:13" outlineLevel="2" x14ac:dyDescent="0.25">
      <c r="A20" s="61">
        <f t="shared" si="0"/>
        <v>19</v>
      </c>
      <c r="B20" s="58" t="s">
        <v>35</v>
      </c>
      <c r="C20" s="58" t="s">
        <v>198</v>
      </c>
      <c r="D20" s="59" t="s">
        <v>341</v>
      </c>
      <c r="E20" s="58" t="s">
        <v>342</v>
      </c>
      <c r="F20" s="60">
        <v>1055</v>
      </c>
      <c r="G20" s="60">
        <f t="shared" ref="G20:G22" si="6">F20</f>
        <v>1055</v>
      </c>
      <c r="H20" s="60">
        <f t="shared" si="5"/>
        <v>1055</v>
      </c>
      <c r="I20" s="57">
        <v>1</v>
      </c>
      <c r="J20" s="61" t="s">
        <v>197</v>
      </c>
      <c r="K20" s="61" t="s">
        <v>49</v>
      </c>
      <c r="L20" s="50" t="s">
        <v>13</v>
      </c>
      <c r="M20" s="60">
        <v>1055</v>
      </c>
    </row>
    <row r="21" spans="1:13" outlineLevel="2" x14ac:dyDescent="0.25">
      <c r="A21" s="61">
        <f t="shared" si="0"/>
        <v>20</v>
      </c>
      <c r="B21" s="58" t="s">
        <v>35</v>
      </c>
      <c r="C21" s="58" t="s">
        <v>198</v>
      </c>
      <c r="D21" s="59" t="s">
        <v>339</v>
      </c>
      <c r="E21" s="58" t="s">
        <v>340</v>
      </c>
      <c r="F21" s="60">
        <v>1135</v>
      </c>
      <c r="G21" s="60">
        <f t="shared" si="6"/>
        <v>1135</v>
      </c>
      <c r="H21" s="60">
        <f t="shared" si="5"/>
        <v>1135</v>
      </c>
      <c r="I21" s="57">
        <v>1</v>
      </c>
      <c r="J21" s="61" t="s">
        <v>197</v>
      </c>
      <c r="K21" s="61" t="s">
        <v>49</v>
      </c>
      <c r="L21" s="50" t="s">
        <v>13</v>
      </c>
      <c r="M21" s="60">
        <v>1135</v>
      </c>
    </row>
    <row r="22" spans="1:13" outlineLevel="2" x14ac:dyDescent="0.25">
      <c r="A22" s="61">
        <f t="shared" si="0"/>
        <v>21</v>
      </c>
      <c r="B22" s="58" t="s">
        <v>35</v>
      </c>
      <c r="C22" s="58" t="s">
        <v>212</v>
      </c>
      <c r="D22" s="59" t="s">
        <v>353</v>
      </c>
      <c r="E22" s="58" t="s">
        <v>353</v>
      </c>
      <c r="F22" s="60">
        <v>190</v>
      </c>
      <c r="G22" s="60">
        <f t="shared" si="6"/>
        <v>190</v>
      </c>
      <c r="H22" s="60">
        <f t="shared" si="5"/>
        <v>190</v>
      </c>
      <c r="I22" s="57">
        <v>1</v>
      </c>
      <c r="J22" s="61" t="s">
        <v>197</v>
      </c>
      <c r="K22" s="61" t="s">
        <v>49</v>
      </c>
      <c r="L22" s="50" t="s">
        <v>13</v>
      </c>
      <c r="M22" s="60">
        <v>190</v>
      </c>
    </row>
    <row r="23" spans="1:13" ht="24" outlineLevel="2" x14ac:dyDescent="0.25">
      <c r="A23" s="50">
        <f t="shared" si="0"/>
        <v>22</v>
      </c>
      <c r="B23" s="41" t="s">
        <v>35</v>
      </c>
      <c r="C23" s="41" t="s">
        <v>216</v>
      </c>
      <c r="D23" s="41" t="s">
        <v>216</v>
      </c>
      <c r="E23" s="41" t="s">
        <v>217</v>
      </c>
      <c r="F23" s="42">
        <f ca="1">OFFSET(F23,1,2)</f>
        <v>6000</v>
      </c>
      <c r="G23" s="42">
        <f ca="1">F23</f>
        <v>6000</v>
      </c>
      <c r="H23" s="42">
        <f ca="1">G23*I23</f>
        <v>6000</v>
      </c>
      <c r="I23" s="49">
        <v>1</v>
      </c>
      <c r="J23" s="50" t="s">
        <v>197</v>
      </c>
      <c r="K23" s="41" t="s">
        <v>216</v>
      </c>
      <c r="L23" s="50" t="s">
        <v>13</v>
      </c>
      <c r="M23" s="42">
        <v>6000</v>
      </c>
    </row>
    <row r="24" spans="1:13" outlineLevel="2" x14ac:dyDescent="0.25">
      <c r="A24" s="50">
        <f t="shared" si="0"/>
        <v>23</v>
      </c>
      <c r="B24" s="41" t="s">
        <v>35</v>
      </c>
      <c r="C24" s="41" t="s">
        <v>218</v>
      </c>
      <c r="D24" s="41" t="s">
        <v>218</v>
      </c>
      <c r="E24" s="41" t="s">
        <v>219</v>
      </c>
      <c r="F24" s="42">
        <v>1</v>
      </c>
      <c r="G24" s="42">
        <v>100</v>
      </c>
      <c r="H24" s="42">
        <f>IF(OR(G24="",I24=""),"",G24*I24)</f>
        <v>6000</v>
      </c>
      <c r="I24" s="49">
        <f>60*F24</f>
        <v>60</v>
      </c>
      <c r="J24" s="50" t="s">
        <v>197</v>
      </c>
      <c r="K24" s="41" t="s">
        <v>218</v>
      </c>
      <c r="L24" s="50" t="s">
        <v>13</v>
      </c>
      <c r="M24" s="42">
        <v>6000</v>
      </c>
    </row>
    <row r="25" spans="1:13" ht="24" outlineLevel="1" x14ac:dyDescent="0.25">
      <c r="A25" s="50"/>
      <c r="B25" s="65" t="s">
        <v>368</v>
      </c>
      <c r="C25" s="41"/>
      <c r="D25" s="41"/>
      <c r="E25" s="41"/>
      <c r="F25" s="42"/>
      <c r="G25" s="42"/>
      <c r="H25" s="42">
        <f ca="1">SUBTOTAL(9,H15:H24)</f>
        <v>38362.6</v>
      </c>
      <c r="I25" s="49"/>
      <c r="J25" s="50"/>
      <c r="K25" s="41"/>
      <c r="L25" s="50"/>
      <c r="M25" s="42">
        <v>38362.6</v>
      </c>
    </row>
    <row r="26" spans="1:13" ht="24" customHeight="1" outlineLevel="2" x14ac:dyDescent="0.25">
      <c r="A26" s="38">
        <f>ROW(A24)</f>
        <v>24</v>
      </c>
      <c r="B26" s="38" t="s">
        <v>221</v>
      </c>
      <c r="C26" s="38"/>
      <c r="D26" s="38"/>
      <c r="E26" s="38" t="s">
        <v>221</v>
      </c>
      <c r="F26" s="39"/>
      <c r="G26" s="39"/>
      <c r="H26" s="39"/>
      <c r="I26" s="40">
        <v>1</v>
      </c>
      <c r="J26" s="38" t="s">
        <v>11</v>
      </c>
      <c r="K26" s="38" t="s">
        <v>12</v>
      </c>
      <c r="L26" s="38" t="s">
        <v>13</v>
      </c>
      <c r="M26" s="39"/>
    </row>
    <row r="27" spans="1:13" outlineLevel="2" x14ac:dyDescent="0.25">
      <c r="A27" s="50">
        <f t="shared" si="0"/>
        <v>26</v>
      </c>
      <c r="B27" s="41" t="s">
        <v>221</v>
      </c>
      <c r="C27" s="41" t="s">
        <v>14</v>
      </c>
      <c r="D27" s="41"/>
      <c r="E27" s="41" t="s">
        <v>329</v>
      </c>
      <c r="F27" s="42">
        <v>20000</v>
      </c>
      <c r="G27" s="42">
        <f>0.6*F27</f>
        <v>12000</v>
      </c>
      <c r="H27" s="42">
        <f>G27*I27</f>
        <v>12000</v>
      </c>
      <c r="I27" s="49">
        <v>1</v>
      </c>
      <c r="J27" s="50" t="s">
        <v>197</v>
      </c>
      <c r="K27" s="50" t="s">
        <v>18</v>
      </c>
      <c r="L27" s="50" t="s">
        <v>13</v>
      </c>
      <c r="M27" s="42">
        <v>12000</v>
      </c>
    </row>
    <row r="28" spans="1:13" outlineLevel="2" x14ac:dyDescent="0.25">
      <c r="A28" s="61">
        <f t="shared" si="0"/>
        <v>27</v>
      </c>
      <c r="B28" s="58" t="s">
        <v>221</v>
      </c>
      <c r="C28" s="58" t="s">
        <v>46</v>
      </c>
      <c r="D28" s="59" t="s">
        <v>358</v>
      </c>
      <c r="E28" s="58" t="s">
        <v>359</v>
      </c>
      <c r="F28" s="60">
        <v>8202</v>
      </c>
      <c r="G28" s="60">
        <f>F28</f>
        <v>8202</v>
      </c>
      <c r="H28" s="60">
        <f>G28*I28</f>
        <v>8202</v>
      </c>
      <c r="I28" s="57">
        <v>1</v>
      </c>
      <c r="J28" s="61" t="s">
        <v>197</v>
      </c>
      <c r="K28" s="61" t="s">
        <v>49</v>
      </c>
      <c r="L28" s="50" t="s">
        <v>13</v>
      </c>
      <c r="M28" s="60">
        <v>8202</v>
      </c>
    </row>
    <row r="29" spans="1:13" outlineLevel="2" x14ac:dyDescent="0.25">
      <c r="A29" s="50">
        <f t="shared" si="0"/>
        <v>28</v>
      </c>
      <c r="B29" s="41" t="s">
        <v>221</v>
      </c>
      <c r="C29" s="41" t="s">
        <v>41</v>
      </c>
      <c r="D29" s="41" t="s">
        <v>42</v>
      </c>
      <c r="E29" s="41" t="s">
        <v>43</v>
      </c>
      <c r="F29" s="42">
        <v>1545</v>
      </c>
      <c r="G29" s="42">
        <f t="shared" ref="G29:G30" si="7">0.6*F29</f>
        <v>927</v>
      </c>
      <c r="H29" s="42">
        <f t="shared" ref="H29:H30" si="8">G29*I29</f>
        <v>2781</v>
      </c>
      <c r="I29" s="49">
        <v>3</v>
      </c>
      <c r="J29" s="50" t="s">
        <v>197</v>
      </c>
      <c r="K29" s="50" t="s">
        <v>22</v>
      </c>
      <c r="L29" s="50" t="s">
        <v>13</v>
      </c>
      <c r="M29" s="42">
        <v>2781</v>
      </c>
    </row>
    <row r="30" spans="1:13" outlineLevel="2" x14ac:dyDescent="0.25">
      <c r="A30" s="50">
        <f t="shared" si="0"/>
        <v>29</v>
      </c>
      <c r="B30" s="41" t="s">
        <v>221</v>
      </c>
      <c r="C30" s="41" t="s">
        <v>41</v>
      </c>
      <c r="D30" s="41" t="s">
        <v>44</v>
      </c>
      <c r="E30" s="41" t="s">
        <v>45</v>
      </c>
      <c r="F30" s="42">
        <v>2038</v>
      </c>
      <c r="G30" s="42">
        <f t="shared" si="7"/>
        <v>1222.8</v>
      </c>
      <c r="H30" s="42">
        <f t="shared" si="8"/>
        <v>3668.3999999999996</v>
      </c>
      <c r="I30" s="49">
        <v>3</v>
      </c>
      <c r="J30" s="50" t="s">
        <v>197</v>
      </c>
      <c r="K30" s="50" t="s">
        <v>22</v>
      </c>
      <c r="L30" s="50" t="s">
        <v>13</v>
      </c>
      <c r="M30" s="42">
        <v>3668.3999999999996</v>
      </c>
    </row>
    <row r="31" spans="1:13" ht="24" outlineLevel="2" x14ac:dyDescent="0.25">
      <c r="A31" s="50">
        <f t="shared" si="0"/>
        <v>30</v>
      </c>
      <c r="B31" s="41" t="s">
        <v>221</v>
      </c>
      <c r="C31" s="41" t="s">
        <v>216</v>
      </c>
      <c r="D31" s="41" t="s">
        <v>216</v>
      </c>
      <c r="E31" s="41" t="s">
        <v>217</v>
      </c>
      <c r="F31" s="42">
        <f ca="1">OFFSET(F31,1,2)</f>
        <v>9000</v>
      </c>
      <c r="G31" s="42">
        <f ca="1">F31</f>
        <v>9000</v>
      </c>
      <c r="H31" s="42">
        <f ca="1">G31*I31</f>
        <v>9000</v>
      </c>
      <c r="I31" s="49">
        <v>1</v>
      </c>
      <c r="J31" s="50" t="s">
        <v>197</v>
      </c>
      <c r="K31" s="41" t="s">
        <v>216</v>
      </c>
      <c r="L31" s="50" t="s">
        <v>13</v>
      </c>
      <c r="M31" s="42">
        <v>9000</v>
      </c>
    </row>
    <row r="32" spans="1:13" outlineLevel="2" x14ac:dyDescent="0.25">
      <c r="A32" s="50">
        <f t="shared" si="0"/>
        <v>31</v>
      </c>
      <c r="B32" s="41" t="s">
        <v>221</v>
      </c>
      <c r="C32" s="41" t="s">
        <v>218</v>
      </c>
      <c r="D32" s="41" t="s">
        <v>218</v>
      </c>
      <c r="E32" s="41" t="s">
        <v>219</v>
      </c>
      <c r="F32" s="42">
        <v>1.5</v>
      </c>
      <c r="G32" s="42">
        <v>100</v>
      </c>
      <c r="H32" s="42">
        <f>IF(OR(G32="",I32=""),"",G32*I32)</f>
        <v>9000</v>
      </c>
      <c r="I32" s="49">
        <f>60*F32</f>
        <v>90</v>
      </c>
      <c r="J32" s="50" t="s">
        <v>197</v>
      </c>
      <c r="K32" s="41" t="s">
        <v>218</v>
      </c>
      <c r="L32" s="50" t="s">
        <v>13</v>
      </c>
      <c r="M32" s="42">
        <v>9000</v>
      </c>
    </row>
    <row r="33" spans="1:13" ht="24" outlineLevel="1" x14ac:dyDescent="0.25">
      <c r="A33" s="50"/>
      <c r="B33" s="65" t="s">
        <v>369</v>
      </c>
      <c r="C33" s="41"/>
      <c r="D33" s="41"/>
      <c r="E33" s="41"/>
      <c r="F33" s="42"/>
      <c r="G33" s="42"/>
      <c r="H33" s="42">
        <f ca="1">SUBTOTAL(9,H26:H32)</f>
        <v>44651.4</v>
      </c>
      <c r="I33" s="49"/>
      <c r="J33" s="50"/>
      <c r="K33" s="41"/>
      <c r="L33" s="50"/>
      <c r="M33" s="42">
        <v>44651.4</v>
      </c>
    </row>
    <row r="34" spans="1:13" ht="24" customHeight="1" outlineLevel="2" x14ac:dyDescent="0.25">
      <c r="A34" s="38">
        <f>ROW(A32)</f>
        <v>32</v>
      </c>
      <c r="B34" s="38" t="s">
        <v>51</v>
      </c>
      <c r="C34" s="38"/>
      <c r="D34" s="38"/>
      <c r="E34" s="38" t="s">
        <v>51</v>
      </c>
      <c r="F34" s="39"/>
      <c r="G34" s="39"/>
      <c r="H34" s="39"/>
      <c r="I34" s="40">
        <v>1</v>
      </c>
      <c r="J34" s="38" t="s">
        <v>11</v>
      </c>
      <c r="K34" s="38" t="s">
        <v>12</v>
      </c>
      <c r="L34" s="38" t="s">
        <v>52</v>
      </c>
      <c r="M34" s="39"/>
    </row>
    <row r="35" spans="1:13" outlineLevel="2" x14ac:dyDescent="0.25">
      <c r="A35" s="50">
        <f t="shared" si="0"/>
        <v>34</v>
      </c>
      <c r="B35" s="41" t="s">
        <v>51</v>
      </c>
      <c r="C35" s="41" t="s">
        <v>14</v>
      </c>
      <c r="D35" s="41" t="s">
        <v>15</v>
      </c>
      <c r="E35" s="41" t="s">
        <v>16</v>
      </c>
      <c r="F35" s="42">
        <v>15000</v>
      </c>
      <c r="G35" s="42">
        <f t="shared" ref="G35:G41" si="9">0.6*F35</f>
        <v>9000</v>
      </c>
      <c r="H35" s="42">
        <f t="shared" ref="H35:H44" si="10">G35*I35</f>
        <v>9000</v>
      </c>
      <c r="I35" s="49">
        <v>1</v>
      </c>
      <c r="J35" s="50" t="s">
        <v>197</v>
      </c>
      <c r="K35" s="50" t="s">
        <v>18</v>
      </c>
      <c r="L35" s="50" t="s">
        <v>52</v>
      </c>
      <c r="M35" s="42">
        <v>9000</v>
      </c>
    </row>
    <row r="36" spans="1:13" outlineLevel="2" x14ac:dyDescent="0.25">
      <c r="A36" s="50">
        <f t="shared" si="0"/>
        <v>35</v>
      </c>
      <c r="B36" s="41" t="s">
        <v>51</v>
      </c>
      <c r="C36" s="41" t="s">
        <v>23</v>
      </c>
      <c r="D36" s="41" t="s">
        <v>53</v>
      </c>
      <c r="E36" s="41" t="s">
        <v>54</v>
      </c>
      <c r="F36" s="42">
        <v>10949</v>
      </c>
      <c r="G36" s="42">
        <f t="shared" si="9"/>
        <v>6569.4</v>
      </c>
      <c r="H36" s="42">
        <f t="shared" si="10"/>
        <v>6569.4</v>
      </c>
      <c r="I36" s="49">
        <v>1</v>
      </c>
      <c r="J36" s="50" t="s">
        <v>197</v>
      </c>
      <c r="K36" s="50" t="s">
        <v>22</v>
      </c>
      <c r="L36" s="50" t="s">
        <v>52</v>
      </c>
      <c r="M36" s="42">
        <v>6569.4</v>
      </c>
    </row>
    <row r="37" spans="1:13" outlineLevel="2" x14ac:dyDescent="0.25">
      <c r="A37" s="50">
        <f t="shared" si="0"/>
        <v>36</v>
      </c>
      <c r="B37" s="41" t="s">
        <v>51</v>
      </c>
      <c r="C37" s="41" t="s">
        <v>23</v>
      </c>
      <c r="D37" s="41" t="s">
        <v>55</v>
      </c>
      <c r="E37" s="41" t="s">
        <v>56</v>
      </c>
      <c r="F37" s="42">
        <v>3172</v>
      </c>
      <c r="G37" s="42">
        <f t="shared" si="9"/>
        <v>1903.1999999999998</v>
      </c>
      <c r="H37" s="42">
        <f t="shared" si="10"/>
        <v>1903.1999999999998</v>
      </c>
      <c r="I37" s="49">
        <v>1</v>
      </c>
      <c r="J37" s="50" t="s">
        <v>197</v>
      </c>
      <c r="K37" s="50" t="s">
        <v>22</v>
      </c>
      <c r="L37" s="50" t="s">
        <v>52</v>
      </c>
      <c r="M37" s="42">
        <v>1903.1999999999998</v>
      </c>
    </row>
    <row r="38" spans="1:13" outlineLevel="2" x14ac:dyDescent="0.25">
      <c r="A38" s="50">
        <f t="shared" si="0"/>
        <v>37</v>
      </c>
      <c r="B38" s="41" t="s">
        <v>51</v>
      </c>
      <c r="C38" s="41" t="s">
        <v>23</v>
      </c>
      <c r="D38" s="41" t="s">
        <v>57</v>
      </c>
      <c r="E38" s="41" t="s">
        <v>58</v>
      </c>
      <c r="F38" s="42">
        <v>2429</v>
      </c>
      <c r="G38" s="42">
        <f t="shared" si="9"/>
        <v>1457.3999999999999</v>
      </c>
      <c r="H38" s="42">
        <f t="shared" si="10"/>
        <v>1457.3999999999999</v>
      </c>
      <c r="I38" s="49">
        <v>1</v>
      </c>
      <c r="J38" s="50" t="s">
        <v>197</v>
      </c>
      <c r="K38" s="50" t="s">
        <v>22</v>
      </c>
      <c r="L38" s="50" t="s">
        <v>52</v>
      </c>
      <c r="M38" s="42">
        <v>1457.3999999999999</v>
      </c>
    </row>
    <row r="39" spans="1:13" outlineLevel="2" x14ac:dyDescent="0.25">
      <c r="A39" s="50">
        <f t="shared" si="0"/>
        <v>38</v>
      </c>
      <c r="B39" s="41" t="s">
        <v>51</v>
      </c>
      <c r="C39" s="41" t="s">
        <v>23</v>
      </c>
      <c r="D39" s="41" t="s">
        <v>26</v>
      </c>
      <c r="E39" s="41" t="s">
        <v>27</v>
      </c>
      <c r="F39" s="42">
        <v>2337</v>
      </c>
      <c r="G39" s="42">
        <f t="shared" si="9"/>
        <v>1402.2</v>
      </c>
      <c r="H39" s="42">
        <f t="shared" si="10"/>
        <v>1402.2</v>
      </c>
      <c r="I39" s="49">
        <v>1</v>
      </c>
      <c r="J39" s="50" t="s">
        <v>197</v>
      </c>
      <c r="K39" s="50" t="s">
        <v>22</v>
      </c>
      <c r="L39" s="50" t="s">
        <v>52</v>
      </c>
      <c r="M39" s="42">
        <v>1402.2</v>
      </c>
    </row>
    <row r="40" spans="1:13" outlineLevel="2" x14ac:dyDescent="0.25">
      <c r="A40" s="50">
        <f t="shared" si="0"/>
        <v>39</v>
      </c>
      <c r="B40" s="41" t="s">
        <v>51</v>
      </c>
      <c r="C40" s="41" t="s">
        <v>23</v>
      </c>
      <c r="D40" s="41" t="s">
        <v>28</v>
      </c>
      <c r="E40" s="41" t="s">
        <v>29</v>
      </c>
      <c r="F40" s="42">
        <v>1389</v>
      </c>
      <c r="G40" s="42">
        <f t="shared" si="9"/>
        <v>833.4</v>
      </c>
      <c r="H40" s="42">
        <f t="shared" si="10"/>
        <v>4167</v>
      </c>
      <c r="I40" s="49">
        <v>5</v>
      </c>
      <c r="J40" s="50" t="s">
        <v>197</v>
      </c>
      <c r="K40" s="50" t="s">
        <v>22</v>
      </c>
      <c r="L40" s="50" t="s">
        <v>52</v>
      </c>
      <c r="M40" s="42">
        <v>4167</v>
      </c>
    </row>
    <row r="41" spans="1:13" outlineLevel="2" x14ac:dyDescent="0.25">
      <c r="A41" s="50">
        <f t="shared" si="0"/>
        <v>40</v>
      </c>
      <c r="B41" s="41" t="s">
        <v>51</v>
      </c>
      <c r="C41" s="41" t="s">
        <v>30</v>
      </c>
      <c r="D41" s="41" t="s">
        <v>59</v>
      </c>
      <c r="E41" s="41" t="s">
        <v>60</v>
      </c>
      <c r="F41" s="42">
        <v>5354</v>
      </c>
      <c r="G41" s="42">
        <f t="shared" si="9"/>
        <v>3212.4</v>
      </c>
      <c r="H41" s="42">
        <f t="shared" si="10"/>
        <v>3212.4</v>
      </c>
      <c r="I41" s="49">
        <v>1</v>
      </c>
      <c r="J41" s="50" t="s">
        <v>197</v>
      </c>
      <c r="K41" s="50" t="s">
        <v>22</v>
      </c>
      <c r="L41" s="50" t="s">
        <v>52</v>
      </c>
      <c r="M41" s="42">
        <v>3212.4</v>
      </c>
    </row>
    <row r="42" spans="1:13" outlineLevel="2" x14ac:dyDescent="0.25">
      <c r="A42" s="61">
        <f t="shared" si="0"/>
        <v>41</v>
      </c>
      <c r="B42" s="58" t="s">
        <v>51</v>
      </c>
      <c r="C42" s="58" t="s">
        <v>198</v>
      </c>
      <c r="D42" s="59" t="s">
        <v>341</v>
      </c>
      <c r="E42" s="58" t="s">
        <v>342</v>
      </c>
      <c r="F42" s="60">
        <v>1055</v>
      </c>
      <c r="G42" s="60">
        <f t="shared" ref="G42:G44" si="11">F42</f>
        <v>1055</v>
      </c>
      <c r="H42" s="60">
        <f t="shared" si="10"/>
        <v>1055</v>
      </c>
      <c r="I42" s="57">
        <v>1</v>
      </c>
      <c r="J42" s="61" t="s">
        <v>197</v>
      </c>
      <c r="K42" s="61" t="s">
        <v>49</v>
      </c>
      <c r="L42" s="50" t="s">
        <v>52</v>
      </c>
      <c r="M42" s="60">
        <v>1055</v>
      </c>
    </row>
    <row r="43" spans="1:13" outlineLevel="2" x14ac:dyDescent="0.25">
      <c r="A43" s="61">
        <f t="shared" si="0"/>
        <v>42</v>
      </c>
      <c r="B43" s="58" t="s">
        <v>51</v>
      </c>
      <c r="C43" s="58" t="s">
        <v>198</v>
      </c>
      <c r="D43" s="59" t="s">
        <v>339</v>
      </c>
      <c r="E43" s="58" t="s">
        <v>340</v>
      </c>
      <c r="F43" s="60">
        <v>1135</v>
      </c>
      <c r="G43" s="60">
        <f t="shared" si="11"/>
        <v>1135</v>
      </c>
      <c r="H43" s="60">
        <f t="shared" si="10"/>
        <v>1135</v>
      </c>
      <c r="I43" s="57">
        <v>1</v>
      </c>
      <c r="J43" s="61" t="s">
        <v>197</v>
      </c>
      <c r="K43" s="61" t="s">
        <v>49</v>
      </c>
      <c r="L43" s="50" t="s">
        <v>52</v>
      </c>
      <c r="M43" s="60">
        <v>1135</v>
      </c>
    </row>
    <row r="44" spans="1:13" outlineLevel="2" x14ac:dyDescent="0.25">
      <c r="A44" s="61">
        <f t="shared" si="0"/>
        <v>43</v>
      </c>
      <c r="B44" s="58" t="s">
        <v>51</v>
      </c>
      <c r="C44" s="58" t="s">
        <v>212</v>
      </c>
      <c r="D44" s="59" t="s">
        <v>353</v>
      </c>
      <c r="E44" s="58" t="s">
        <v>353</v>
      </c>
      <c r="F44" s="60">
        <v>190</v>
      </c>
      <c r="G44" s="60">
        <f t="shared" si="11"/>
        <v>190</v>
      </c>
      <c r="H44" s="60">
        <f t="shared" si="10"/>
        <v>190</v>
      </c>
      <c r="I44" s="57">
        <v>1</v>
      </c>
      <c r="J44" s="61" t="s">
        <v>197</v>
      </c>
      <c r="K44" s="61" t="s">
        <v>49</v>
      </c>
      <c r="L44" s="50" t="s">
        <v>52</v>
      </c>
      <c r="M44" s="60">
        <v>190</v>
      </c>
    </row>
    <row r="45" spans="1:13" ht="24" outlineLevel="2" x14ac:dyDescent="0.25">
      <c r="A45" s="50">
        <f t="shared" si="0"/>
        <v>44</v>
      </c>
      <c r="B45" s="41" t="s">
        <v>51</v>
      </c>
      <c r="C45" s="41" t="s">
        <v>216</v>
      </c>
      <c r="D45" s="41" t="s">
        <v>216</v>
      </c>
      <c r="E45" s="41" t="s">
        <v>217</v>
      </c>
      <c r="F45" s="42">
        <f ca="1">OFFSET(F45,1,2)</f>
        <v>6000</v>
      </c>
      <c r="G45" s="42">
        <f ca="1">F45</f>
        <v>6000</v>
      </c>
      <c r="H45" s="42">
        <f ca="1">G45*I45</f>
        <v>6000</v>
      </c>
      <c r="I45" s="49">
        <v>1</v>
      </c>
      <c r="J45" s="50" t="s">
        <v>197</v>
      </c>
      <c r="K45" s="41" t="s">
        <v>216</v>
      </c>
      <c r="L45" s="50" t="s">
        <v>52</v>
      </c>
      <c r="M45" s="42">
        <v>6000</v>
      </c>
    </row>
    <row r="46" spans="1:13" outlineLevel="2" x14ac:dyDescent="0.25">
      <c r="A46" s="50">
        <f t="shared" si="0"/>
        <v>45</v>
      </c>
      <c r="B46" s="41" t="s">
        <v>51</v>
      </c>
      <c r="C46" s="41" t="s">
        <v>218</v>
      </c>
      <c r="D46" s="41" t="s">
        <v>218</v>
      </c>
      <c r="E46" s="41" t="s">
        <v>219</v>
      </c>
      <c r="F46" s="42">
        <v>1</v>
      </c>
      <c r="G46" s="42">
        <v>100</v>
      </c>
      <c r="H46" s="42">
        <f>IF(OR(G46="",I46=""),"",G46*I46)</f>
        <v>6000</v>
      </c>
      <c r="I46" s="49">
        <f>60*F46</f>
        <v>60</v>
      </c>
      <c r="J46" s="50" t="s">
        <v>197</v>
      </c>
      <c r="K46" s="41" t="s">
        <v>218</v>
      </c>
      <c r="L46" s="50" t="s">
        <v>52</v>
      </c>
      <c r="M46" s="42">
        <v>6000</v>
      </c>
    </row>
    <row r="47" spans="1:13" outlineLevel="1" x14ac:dyDescent="0.25">
      <c r="A47" s="50"/>
      <c r="B47" s="65" t="s">
        <v>370</v>
      </c>
      <c r="C47" s="41"/>
      <c r="D47" s="41"/>
      <c r="E47" s="41"/>
      <c r="F47" s="42"/>
      <c r="G47" s="42"/>
      <c r="H47" s="42">
        <f ca="1">SUBTOTAL(9,H34:H46)</f>
        <v>42091.600000000006</v>
      </c>
      <c r="I47" s="49"/>
      <c r="J47" s="50"/>
      <c r="K47" s="41"/>
      <c r="L47" s="50"/>
      <c r="M47" s="42">
        <v>42091.600000000006</v>
      </c>
    </row>
    <row r="48" spans="1:13" ht="24" customHeight="1" outlineLevel="2" x14ac:dyDescent="0.25">
      <c r="A48" s="38">
        <f>ROW(A46)</f>
        <v>46</v>
      </c>
      <c r="B48" s="38" t="s">
        <v>61</v>
      </c>
      <c r="C48" s="38"/>
      <c r="D48" s="38"/>
      <c r="E48" s="38" t="s">
        <v>61</v>
      </c>
      <c r="F48" s="39"/>
      <c r="G48" s="39"/>
      <c r="H48" s="39"/>
      <c r="I48" s="40">
        <v>1</v>
      </c>
      <c r="J48" s="38" t="s">
        <v>11</v>
      </c>
      <c r="K48" s="38" t="s">
        <v>12</v>
      </c>
      <c r="L48" s="38" t="s">
        <v>52</v>
      </c>
      <c r="M48" s="39"/>
    </row>
    <row r="49" spans="1:13" outlineLevel="2" x14ac:dyDescent="0.25">
      <c r="A49" s="52">
        <f t="shared" si="0"/>
        <v>48</v>
      </c>
      <c r="B49" s="43" t="s">
        <v>61</v>
      </c>
      <c r="C49" s="43" t="s">
        <v>14</v>
      </c>
      <c r="D49" s="41" t="s">
        <v>62</v>
      </c>
      <c r="E49" s="41" t="s">
        <v>63</v>
      </c>
      <c r="F49" s="42">
        <v>22000</v>
      </c>
      <c r="G49" s="42">
        <f t="shared" ref="G49:G51" si="12">0.6*F49</f>
        <v>13200</v>
      </c>
      <c r="H49" s="42">
        <f t="shared" ref="H49:H54" si="13">G49*I49</f>
        <v>13200</v>
      </c>
      <c r="I49" s="51">
        <v>1</v>
      </c>
      <c r="J49" s="52" t="s">
        <v>197</v>
      </c>
      <c r="K49" s="50" t="s">
        <v>18</v>
      </c>
      <c r="L49" s="50" t="s">
        <v>52</v>
      </c>
      <c r="M49" s="42">
        <v>13200</v>
      </c>
    </row>
    <row r="50" spans="1:13" outlineLevel="2" x14ac:dyDescent="0.25">
      <c r="A50" s="50">
        <f t="shared" si="0"/>
        <v>49</v>
      </c>
      <c r="B50" s="41" t="s">
        <v>61</v>
      </c>
      <c r="C50" s="41" t="s">
        <v>23</v>
      </c>
      <c r="D50" s="41" t="s">
        <v>26</v>
      </c>
      <c r="E50" s="41" t="s">
        <v>27</v>
      </c>
      <c r="F50" s="42">
        <v>2337</v>
      </c>
      <c r="G50" s="42">
        <f t="shared" si="12"/>
        <v>1402.2</v>
      </c>
      <c r="H50" s="42">
        <f t="shared" si="13"/>
        <v>15424.2</v>
      </c>
      <c r="I50" s="49">
        <v>11</v>
      </c>
      <c r="J50" s="50" t="s">
        <v>197</v>
      </c>
      <c r="K50" s="50" t="s">
        <v>22</v>
      </c>
      <c r="L50" s="50" t="s">
        <v>52</v>
      </c>
      <c r="M50" s="42">
        <v>15424.2</v>
      </c>
    </row>
    <row r="51" spans="1:13" outlineLevel="2" x14ac:dyDescent="0.25">
      <c r="A51" s="50">
        <f t="shared" si="0"/>
        <v>50</v>
      </c>
      <c r="B51" s="41" t="s">
        <v>61</v>
      </c>
      <c r="C51" s="41" t="s">
        <v>23</v>
      </c>
      <c r="D51" s="41" t="s">
        <v>28</v>
      </c>
      <c r="E51" s="41" t="s">
        <v>29</v>
      </c>
      <c r="F51" s="42">
        <v>1389</v>
      </c>
      <c r="G51" s="42">
        <f t="shared" si="12"/>
        <v>833.4</v>
      </c>
      <c r="H51" s="42">
        <f t="shared" si="13"/>
        <v>4167</v>
      </c>
      <c r="I51" s="49">
        <v>5</v>
      </c>
      <c r="J51" s="50" t="s">
        <v>197</v>
      </c>
      <c r="K51" s="50" t="s">
        <v>22</v>
      </c>
      <c r="L51" s="50" t="s">
        <v>52</v>
      </c>
      <c r="M51" s="42">
        <v>4167</v>
      </c>
    </row>
    <row r="52" spans="1:13" outlineLevel="2" x14ac:dyDescent="0.25">
      <c r="A52" s="61">
        <f t="shared" si="0"/>
        <v>51</v>
      </c>
      <c r="B52" s="58" t="s">
        <v>61</v>
      </c>
      <c r="C52" s="58" t="s">
        <v>198</v>
      </c>
      <c r="D52" s="59" t="s">
        <v>341</v>
      </c>
      <c r="E52" s="58" t="s">
        <v>342</v>
      </c>
      <c r="F52" s="60">
        <v>1055</v>
      </c>
      <c r="G52" s="60">
        <f t="shared" ref="G52:G54" si="14">F52</f>
        <v>1055</v>
      </c>
      <c r="H52" s="60">
        <f t="shared" si="13"/>
        <v>1055</v>
      </c>
      <c r="I52" s="57">
        <v>1</v>
      </c>
      <c r="J52" s="61" t="s">
        <v>197</v>
      </c>
      <c r="K52" s="61" t="s">
        <v>49</v>
      </c>
      <c r="L52" s="50" t="s">
        <v>52</v>
      </c>
      <c r="M52" s="60">
        <v>1055</v>
      </c>
    </row>
    <row r="53" spans="1:13" outlineLevel="2" x14ac:dyDescent="0.25">
      <c r="A53" s="61">
        <f t="shared" si="0"/>
        <v>52</v>
      </c>
      <c r="B53" s="58" t="s">
        <v>61</v>
      </c>
      <c r="C53" s="58" t="s">
        <v>198</v>
      </c>
      <c r="D53" s="59" t="s">
        <v>339</v>
      </c>
      <c r="E53" s="58" t="s">
        <v>340</v>
      </c>
      <c r="F53" s="60">
        <v>1135</v>
      </c>
      <c r="G53" s="60">
        <f t="shared" si="14"/>
        <v>1135</v>
      </c>
      <c r="H53" s="60">
        <f t="shared" si="13"/>
        <v>1135</v>
      </c>
      <c r="I53" s="57">
        <v>1</v>
      </c>
      <c r="J53" s="61" t="s">
        <v>197</v>
      </c>
      <c r="K53" s="61" t="s">
        <v>49</v>
      </c>
      <c r="L53" s="50" t="s">
        <v>52</v>
      </c>
      <c r="M53" s="60">
        <v>1135</v>
      </c>
    </row>
    <row r="54" spans="1:13" outlineLevel="2" x14ac:dyDescent="0.25">
      <c r="A54" s="61">
        <f t="shared" si="0"/>
        <v>53</v>
      </c>
      <c r="B54" s="58" t="s">
        <v>61</v>
      </c>
      <c r="C54" s="58" t="s">
        <v>212</v>
      </c>
      <c r="D54" s="59" t="s">
        <v>353</v>
      </c>
      <c r="E54" s="58" t="s">
        <v>353</v>
      </c>
      <c r="F54" s="60">
        <v>190</v>
      </c>
      <c r="G54" s="60">
        <f t="shared" si="14"/>
        <v>190</v>
      </c>
      <c r="H54" s="60">
        <f t="shared" si="13"/>
        <v>190</v>
      </c>
      <c r="I54" s="57">
        <v>1</v>
      </c>
      <c r="J54" s="61" t="s">
        <v>197</v>
      </c>
      <c r="K54" s="61" t="s">
        <v>49</v>
      </c>
      <c r="L54" s="50" t="s">
        <v>52</v>
      </c>
      <c r="M54" s="60">
        <v>190</v>
      </c>
    </row>
    <row r="55" spans="1:13" ht="24" outlineLevel="2" x14ac:dyDescent="0.25">
      <c r="A55" s="50">
        <f t="shared" si="0"/>
        <v>54</v>
      </c>
      <c r="B55" s="41" t="s">
        <v>61</v>
      </c>
      <c r="C55" s="41" t="s">
        <v>216</v>
      </c>
      <c r="D55" s="41" t="s">
        <v>216</v>
      </c>
      <c r="E55" s="41" t="s">
        <v>217</v>
      </c>
      <c r="F55" s="42">
        <f ca="1">OFFSET(F55,1,2)</f>
        <v>9000</v>
      </c>
      <c r="G55" s="42">
        <f ca="1">F55</f>
        <v>9000</v>
      </c>
      <c r="H55" s="42">
        <f ca="1">G55*I55</f>
        <v>9000</v>
      </c>
      <c r="I55" s="49">
        <v>1</v>
      </c>
      <c r="J55" s="50" t="s">
        <v>197</v>
      </c>
      <c r="K55" s="41" t="s">
        <v>216</v>
      </c>
      <c r="L55" s="50" t="s">
        <v>52</v>
      </c>
      <c r="M55" s="42">
        <v>9000</v>
      </c>
    </row>
    <row r="56" spans="1:13" outlineLevel="2" x14ac:dyDescent="0.25">
      <c r="A56" s="50">
        <f t="shared" si="0"/>
        <v>55</v>
      </c>
      <c r="B56" s="41" t="s">
        <v>61</v>
      </c>
      <c r="C56" s="41" t="s">
        <v>218</v>
      </c>
      <c r="D56" s="41" t="s">
        <v>218</v>
      </c>
      <c r="E56" s="41" t="s">
        <v>219</v>
      </c>
      <c r="F56" s="42">
        <v>1.5</v>
      </c>
      <c r="G56" s="42">
        <v>100</v>
      </c>
      <c r="H56" s="42">
        <f>IF(OR(G56="",I56=""),"",G56*I56)</f>
        <v>9000</v>
      </c>
      <c r="I56" s="49">
        <f>60*F56</f>
        <v>90</v>
      </c>
      <c r="J56" s="50" t="s">
        <v>197</v>
      </c>
      <c r="K56" s="41" t="s">
        <v>218</v>
      </c>
      <c r="L56" s="50" t="s">
        <v>52</v>
      </c>
      <c r="M56" s="42">
        <v>9000</v>
      </c>
    </row>
    <row r="57" spans="1:13" outlineLevel="1" x14ac:dyDescent="0.25">
      <c r="A57" s="50"/>
      <c r="B57" s="65" t="s">
        <v>371</v>
      </c>
      <c r="C57" s="41"/>
      <c r="D57" s="41"/>
      <c r="E57" s="41"/>
      <c r="F57" s="42"/>
      <c r="G57" s="42"/>
      <c r="H57" s="42">
        <f ca="1">SUBTOTAL(9,H48:H56)</f>
        <v>53171.199999999997</v>
      </c>
      <c r="I57" s="49"/>
      <c r="J57" s="50"/>
      <c r="K57" s="41"/>
      <c r="L57" s="50"/>
      <c r="M57" s="42">
        <v>53171.199999999997</v>
      </c>
    </row>
    <row r="58" spans="1:13" ht="24" customHeight="1" outlineLevel="2" x14ac:dyDescent="0.25">
      <c r="A58" s="38">
        <f>ROW(A56)</f>
        <v>56</v>
      </c>
      <c r="B58" s="38" t="str">
        <f>E58</f>
        <v xml:space="preserve">П1...П4-В1...В4 </v>
      </c>
      <c r="C58" s="38"/>
      <c r="D58" s="38"/>
      <c r="E58" s="38" t="s">
        <v>330</v>
      </c>
      <c r="F58" s="39"/>
      <c r="G58" s="39"/>
      <c r="H58" s="39"/>
      <c r="I58" s="40">
        <v>8</v>
      </c>
      <c r="J58" s="38" t="s">
        <v>11</v>
      </c>
      <c r="K58" s="38" t="s">
        <v>12</v>
      </c>
      <c r="L58" s="38" t="s">
        <v>52</v>
      </c>
      <c r="M58" s="39"/>
    </row>
    <row r="59" spans="1:13" outlineLevel="2" x14ac:dyDescent="0.25">
      <c r="A59" s="50">
        <f t="shared" si="0"/>
        <v>58</v>
      </c>
      <c r="B59" s="41" t="str">
        <f>B58</f>
        <v xml:space="preserve">П1...П4-В1...В4 </v>
      </c>
      <c r="C59" s="41" t="s">
        <v>64</v>
      </c>
      <c r="D59" s="41" t="s">
        <v>343</v>
      </c>
      <c r="E59" s="41" t="s">
        <v>344</v>
      </c>
      <c r="F59" s="42">
        <v>23514</v>
      </c>
      <c r="G59" s="42">
        <f>0.6*F59</f>
        <v>14108.4</v>
      </c>
      <c r="H59" s="42">
        <f>G59*I59</f>
        <v>14108.4</v>
      </c>
      <c r="I59" s="49">
        <v>1</v>
      </c>
      <c r="J59" s="50" t="s">
        <v>197</v>
      </c>
      <c r="K59" s="50" t="s">
        <v>22</v>
      </c>
      <c r="L59" s="50" t="s">
        <v>52</v>
      </c>
      <c r="M59" s="42">
        <v>14108.4</v>
      </c>
    </row>
    <row r="60" spans="1:13" ht="24" outlineLevel="2" x14ac:dyDescent="0.25">
      <c r="A60" s="50">
        <f t="shared" si="0"/>
        <v>59</v>
      </c>
      <c r="B60" s="41" t="str">
        <f t="shared" ref="B60:B61" si="15">B59</f>
        <v xml:space="preserve">П1...П4-В1...В4 </v>
      </c>
      <c r="C60" s="41" t="s">
        <v>216</v>
      </c>
      <c r="D60" s="41" t="s">
        <v>216</v>
      </c>
      <c r="E60" s="41" t="s">
        <v>217</v>
      </c>
      <c r="F60" s="42">
        <f ca="1">OFFSET(F60,1,2)</f>
        <v>600</v>
      </c>
      <c r="G60" s="42">
        <f ca="1">F60</f>
        <v>600</v>
      </c>
      <c r="H60" s="42">
        <f ca="1">G60*I60</f>
        <v>600</v>
      </c>
      <c r="I60" s="49">
        <v>1</v>
      </c>
      <c r="J60" s="50" t="s">
        <v>197</v>
      </c>
      <c r="K60" s="41" t="s">
        <v>216</v>
      </c>
      <c r="L60" s="50" t="s">
        <v>52</v>
      </c>
      <c r="M60" s="42">
        <v>600</v>
      </c>
    </row>
    <row r="61" spans="1:13" outlineLevel="2" x14ac:dyDescent="0.25">
      <c r="A61" s="50">
        <f t="shared" si="0"/>
        <v>60</v>
      </c>
      <c r="B61" s="41" t="str">
        <f t="shared" si="15"/>
        <v xml:space="preserve">П1...П4-В1...В4 </v>
      </c>
      <c r="C61" s="41" t="s">
        <v>218</v>
      </c>
      <c r="D61" s="41" t="s">
        <v>218</v>
      </c>
      <c r="E61" s="41" t="s">
        <v>219</v>
      </c>
      <c r="F61" s="42">
        <v>0.1</v>
      </c>
      <c r="G61" s="42">
        <v>100</v>
      </c>
      <c r="H61" s="42">
        <f>IF(OR(G61="",I61=""),"",G61*I61)</f>
        <v>600</v>
      </c>
      <c r="I61" s="49">
        <f>60*F61</f>
        <v>6</v>
      </c>
      <c r="J61" s="50" t="s">
        <v>197</v>
      </c>
      <c r="K61" s="41" t="s">
        <v>218</v>
      </c>
      <c r="L61" s="50" t="s">
        <v>52</v>
      </c>
      <c r="M61" s="42">
        <v>600</v>
      </c>
    </row>
    <row r="62" spans="1:13" outlineLevel="1" x14ac:dyDescent="0.25">
      <c r="A62" s="50"/>
      <c r="B62" s="65" t="s">
        <v>372</v>
      </c>
      <c r="C62" s="41"/>
      <c r="D62" s="41"/>
      <c r="E62" s="41"/>
      <c r="F62" s="42"/>
      <c r="G62" s="42"/>
      <c r="H62" s="42">
        <f ca="1">SUBTOTAL(9,H58:H61)</f>
        <v>15308.4</v>
      </c>
      <c r="I62" s="49"/>
      <c r="J62" s="50"/>
      <c r="K62" s="41"/>
      <c r="L62" s="50"/>
      <c r="M62" s="42">
        <v>15308.4</v>
      </c>
    </row>
    <row r="63" spans="1:13" ht="24" customHeight="1" outlineLevel="2" x14ac:dyDescent="0.25">
      <c r="A63" s="38">
        <f>ROW(A61)</f>
        <v>61</v>
      </c>
      <c r="B63" s="38" t="s">
        <v>221</v>
      </c>
      <c r="C63" s="38"/>
      <c r="D63" s="38"/>
      <c r="E63" s="38" t="s">
        <v>221</v>
      </c>
      <c r="F63" s="39"/>
      <c r="G63" s="39"/>
      <c r="H63" s="39"/>
      <c r="I63" s="40">
        <v>1</v>
      </c>
      <c r="J63" s="38" t="s">
        <v>11</v>
      </c>
      <c r="K63" s="38" t="s">
        <v>12</v>
      </c>
      <c r="L63" s="38" t="s">
        <v>52</v>
      </c>
      <c r="M63" s="39"/>
    </row>
    <row r="64" spans="1:13" outlineLevel="2" x14ac:dyDescent="0.25">
      <c r="A64" s="50">
        <f t="shared" si="0"/>
        <v>63</v>
      </c>
      <c r="B64" s="41" t="s">
        <v>221</v>
      </c>
      <c r="C64" s="41" t="s">
        <v>14</v>
      </c>
      <c r="D64" s="41"/>
      <c r="E64" s="41" t="s">
        <v>329</v>
      </c>
      <c r="F64" s="42">
        <v>20000</v>
      </c>
      <c r="G64" s="42">
        <f>0.6*F64</f>
        <v>12000</v>
      </c>
      <c r="H64" s="42">
        <f>G64*I64</f>
        <v>12000</v>
      </c>
      <c r="I64" s="49">
        <v>1</v>
      </c>
      <c r="J64" s="50" t="s">
        <v>197</v>
      </c>
      <c r="K64" s="50" t="s">
        <v>18</v>
      </c>
      <c r="L64" s="50" t="s">
        <v>52</v>
      </c>
      <c r="M64" s="42">
        <v>12000</v>
      </c>
    </row>
    <row r="65" spans="1:13" outlineLevel="2" x14ac:dyDescent="0.25">
      <c r="A65" s="61">
        <f t="shared" si="0"/>
        <v>64</v>
      </c>
      <c r="B65" s="58" t="s">
        <v>221</v>
      </c>
      <c r="C65" s="58" t="s">
        <v>46</v>
      </c>
      <c r="D65" s="59" t="s">
        <v>358</v>
      </c>
      <c r="E65" s="58" t="s">
        <v>359</v>
      </c>
      <c r="F65" s="60">
        <v>8202</v>
      </c>
      <c r="G65" s="60">
        <f>F65</f>
        <v>8202</v>
      </c>
      <c r="H65" s="60">
        <f>G65*I65</f>
        <v>8202</v>
      </c>
      <c r="I65" s="57">
        <v>1</v>
      </c>
      <c r="J65" s="61" t="s">
        <v>197</v>
      </c>
      <c r="K65" s="61" t="s">
        <v>49</v>
      </c>
      <c r="L65" s="50" t="s">
        <v>52</v>
      </c>
      <c r="M65" s="60">
        <v>8202</v>
      </c>
    </row>
    <row r="66" spans="1:13" outlineLevel="2" x14ac:dyDescent="0.25">
      <c r="A66" s="50">
        <f t="shared" si="0"/>
        <v>65</v>
      </c>
      <c r="B66" s="41" t="s">
        <v>221</v>
      </c>
      <c r="C66" s="41" t="s">
        <v>41</v>
      </c>
      <c r="D66" s="41" t="s">
        <v>42</v>
      </c>
      <c r="E66" s="41" t="s">
        <v>43</v>
      </c>
      <c r="F66" s="42">
        <v>1545</v>
      </c>
      <c r="G66" s="42">
        <f t="shared" ref="G66:G67" si="16">0.6*F66</f>
        <v>927</v>
      </c>
      <c r="H66" s="42">
        <f t="shared" ref="H66:H67" si="17">G66*I66</f>
        <v>2781</v>
      </c>
      <c r="I66" s="49">
        <v>3</v>
      </c>
      <c r="J66" s="50" t="s">
        <v>197</v>
      </c>
      <c r="K66" s="50" t="s">
        <v>22</v>
      </c>
      <c r="L66" s="50" t="s">
        <v>52</v>
      </c>
      <c r="M66" s="42">
        <v>2781</v>
      </c>
    </row>
    <row r="67" spans="1:13" outlineLevel="2" x14ac:dyDescent="0.25">
      <c r="A67" s="50">
        <f t="shared" si="0"/>
        <v>66</v>
      </c>
      <c r="B67" s="41" t="s">
        <v>221</v>
      </c>
      <c r="C67" s="41" t="s">
        <v>41</v>
      </c>
      <c r="D67" s="41" t="s">
        <v>44</v>
      </c>
      <c r="E67" s="41" t="s">
        <v>45</v>
      </c>
      <c r="F67" s="42">
        <v>2038</v>
      </c>
      <c r="G67" s="42">
        <f t="shared" si="16"/>
        <v>1222.8</v>
      </c>
      <c r="H67" s="42">
        <f t="shared" si="17"/>
        <v>3668.3999999999996</v>
      </c>
      <c r="I67" s="49">
        <v>3</v>
      </c>
      <c r="J67" s="50" t="s">
        <v>197</v>
      </c>
      <c r="K67" s="50" t="s">
        <v>22</v>
      </c>
      <c r="L67" s="50" t="s">
        <v>52</v>
      </c>
      <c r="M67" s="42">
        <v>3668.3999999999996</v>
      </c>
    </row>
    <row r="68" spans="1:13" ht="24" outlineLevel="2" x14ac:dyDescent="0.25">
      <c r="A68" s="50">
        <f t="shared" si="0"/>
        <v>67</v>
      </c>
      <c r="B68" s="41" t="s">
        <v>221</v>
      </c>
      <c r="C68" s="41" t="s">
        <v>216</v>
      </c>
      <c r="D68" s="41" t="s">
        <v>216</v>
      </c>
      <c r="E68" s="41" t="s">
        <v>217</v>
      </c>
      <c r="F68" s="42">
        <f ca="1">OFFSET(F68,1,2)</f>
        <v>9000</v>
      </c>
      <c r="G68" s="42">
        <f ca="1">F68</f>
        <v>9000</v>
      </c>
      <c r="H68" s="42">
        <f ca="1">G68*I68</f>
        <v>9000</v>
      </c>
      <c r="I68" s="49">
        <v>1</v>
      </c>
      <c r="J68" s="50" t="s">
        <v>197</v>
      </c>
      <c r="K68" s="41" t="s">
        <v>216</v>
      </c>
      <c r="L68" s="50" t="s">
        <v>52</v>
      </c>
      <c r="M68" s="42">
        <v>9000</v>
      </c>
    </row>
    <row r="69" spans="1:13" outlineLevel="2" x14ac:dyDescent="0.25">
      <c r="A69" s="50">
        <f t="shared" si="0"/>
        <v>68</v>
      </c>
      <c r="B69" s="41" t="s">
        <v>221</v>
      </c>
      <c r="C69" s="41" t="s">
        <v>218</v>
      </c>
      <c r="D69" s="41" t="s">
        <v>218</v>
      </c>
      <c r="E69" s="41" t="s">
        <v>219</v>
      </c>
      <c r="F69" s="42">
        <v>1.5</v>
      </c>
      <c r="G69" s="42">
        <v>100</v>
      </c>
      <c r="H69" s="42">
        <f>IF(OR(G69="",I69=""),"",G69*I69)</f>
        <v>9000</v>
      </c>
      <c r="I69" s="49">
        <f>60*F69</f>
        <v>90</v>
      </c>
      <c r="J69" s="50" t="s">
        <v>197</v>
      </c>
      <c r="K69" s="41" t="s">
        <v>218</v>
      </c>
      <c r="L69" s="50" t="s">
        <v>52</v>
      </c>
      <c r="M69" s="42">
        <v>9000</v>
      </c>
    </row>
    <row r="70" spans="1:13" ht="24" outlineLevel="1" x14ac:dyDescent="0.25">
      <c r="A70" s="50"/>
      <c r="B70" s="65" t="s">
        <v>369</v>
      </c>
      <c r="C70" s="41"/>
      <c r="D70" s="41"/>
      <c r="E70" s="41"/>
      <c r="F70" s="42"/>
      <c r="G70" s="42"/>
      <c r="H70" s="42">
        <f ca="1">SUBTOTAL(9,H63:H69)</f>
        <v>44651.4</v>
      </c>
      <c r="I70" s="49"/>
      <c r="J70" s="50"/>
      <c r="K70" s="41"/>
      <c r="L70" s="50"/>
      <c r="M70" s="42">
        <v>44651.4</v>
      </c>
    </row>
    <row r="71" spans="1:13" ht="24" customHeight="1" outlineLevel="2" x14ac:dyDescent="0.25">
      <c r="A71" s="38">
        <f>ROW(A69)</f>
        <v>69</v>
      </c>
      <c r="B71" s="38" t="s">
        <v>70</v>
      </c>
      <c r="C71" s="38"/>
      <c r="D71" s="38"/>
      <c r="E71" s="38" t="s">
        <v>70</v>
      </c>
      <c r="F71" s="39"/>
      <c r="G71" s="39"/>
      <c r="H71" s="39"/>
      <c r="I71" s="40">
        <v>1</v>
      </c>
      <c r="J71" s="38" t="s">
        <v>11</v>
      </c>
      <c r="K71" s="38" t="s">
        <v>12</v>
      </c>
      <c r="L71" s="38" t="s">
        <v>71</v>
      </c>
      <c r="M71" s="39"/>
    </row>
    <row r="72" spans="1:13" outlineLevel="2" x14ac:dyDescent="0.25">
      <c r="A72" s="50">
        <f t="shared" si="0"/>
        <v>71</v>
      </c>
      <c r="B72" s="41" t="s">
        <v>70</v>
      </c>
      <c r="C72" s="41" t="s">
        <v>14</v>
      </c>
      <c r="D72" s="41" t="s">
        <v>36</v>
      </c>
      <c r="E72" s="41" t="s">
        <v>37</v>
      </c>
      <c r="F72" s="42">
        <v>14695</v>
      </c>
      <c r="G72" s="42">
        <f t="shared" ref="G72:G77" si="18">0.6*F72</f>
        <v>8817</v>
      </c>
      <c r="H72" s="42">
        <f t="shared" ref="H72:H80" si="19">G72*I72</f>
        <v>8817</v>
      </c>
      <c r="I72" s="49">
        <v>1</v>
      </c>
      <c r="J72" s="50" t="s">
        <v>197</v>
      </c>
      <c r="K72" s="50" t="s">
        <v>18</v>
      </c>
      <c r="L72" s="50" t="s">
        <v>71</v>
      </c>
      <c r="M72" s="42">
        <v>8817</v>
      </c>
    </row>
    <row r="73" spans="1:13" outlineLevel="2" x14ac:dyDescent="0.25">
      <c r="A73" s="50">
        <f t="shared" si="0"/>
        <v>72</v>
      </c>
      <c r="B73" s="41" t="s">
        <v>70</v>
      </c>
      <c r="C73" s="41" t="s">
        <v>23</v>
      </c>
      <c r="D73" s="41" t="s">
        <v>55</v>
      </c>
      <c r="E73" s="41" t="s">
        <v>56</v>
      </c>
      <c r="F73" s="42">
        <v>3172</v>
      </c>
      <c r="G73" s="42">
        <f t="shared" si="18"/>
        <v>1903.1999999999998</v>
      </c>
      <c r="H73" s="42">
        <f t="shared" si="19"/>
        <v>1903.1999999999998</v>
      </c>
      <c r="I73" s="49">
        <v>1</v>
      </c>
      <c r="J73" s="50" t="s">
        <v>197</v>
      </c>
      <c r="K73" s="50" t="s">
        <v>22</v>
      </c>
      <c r="L73" s="50" t="s">
        <v>71</v>
      </c>
      <c r="M73" s="42">
        <v>1903.1999999999998</v>
      </c>
    </row>
    <row r="74" spans="1:13" outlineLevel="2" x14ac:dyDescent="0.25">
      <c r="A74" s="50">
        <f t="shared" ref="A74:A144" si="20">ROW(A73)</f>
        <v>73</v>
      </c>
      <c r="B74" s="41" t="s">
        <v>70</v>
      </c>
      <c r="C74" s="41" t="s">
        <v>23</v>
      </c>
      <c r="D74" s="41" t="s">
        <v>72</v>
      </c>
      <c r="E74" s="41" t="s">
        <v>73</v>
      </c>
      <c r="F74" s="42">
        <v>2807</v>
      </c>
      <c r="G74" s="42">
        <f t="shared" si="18"/>
        <v>1684.2</v>
      </c>
      <c r="H74" s="42">
        <f t="shared" si="19"/>
        <v>1684.2</v>
      </c>
      <c r="I74" s="49">
        <v>1</v>
      </c>
      <c r="J74" s="50" t="s">
        <v>197</v>
      </c>
      <c r="K74" s="50" t="s">
        <v>22</v>
      </c>
      <c r="L74" s="50" t="s">
        <v>71</v>
      </c>
      <c r="M74" s="42">
        <v>1684.2</v>
      </c>
    </row>
    <row r="75" spans="1:13" outlineLevel="2" x14ac:dyDescent="0.25">
      <c r="A75" s="50">
        <f t="shared" si="20"/>
        <v>74</v>
      </c>
      <c r="B75" s="41" t="s">
        <v>70</v>
      </c>
      <c r="C75" s="41" t="s">
        <v>23</v>
      </c>
      <c r="D75" s="41" t="s">
        <v>26</v>
      </c>
      <c r="E75" s="41" t="s">
        <v>27</v>
      </c>
      <c r="F75" s="42">
        <v>2337</v>
      </c>
      <c r="G75" s="42">
        <f t="shared" si="18"/>
        <v>1402.2</v>
      </c>
      <c r="H75" s="42">
        <f t="shared" si="19"/>
        <v>1402.2</v>
      </c>
      <c r="I75" s="49">
        <v>1</v>
      </c>
      <c r="J75" s="50" t="s">
        <v>197</v>
      </c>
      <c r="K75" s="50" t="s">
        <v>22</v>
      </c>
      <c r="L75" s="50" t="s">
        <v>71</v>
      </c>
      <c r="M75" s="42">
        <v>1402.2</v>
      </c>
    </row>
    <row r="76" spans="1:13" outlineLevel="2" x14ac:dyDescent="0.25">
      <c r="A76" s="50">
        <f t="shared" si="20"/>
        <v>75</v>
      </c>
      <c r="B76" s="41" t="s">
        <v>70</v>
      </c>
      <c r="C76" s="41" t="s">
        <v>23</v>
      </c>
      <c r="D76" s="41" t="s">
        <v>28</v>
      </c>
      <c r="E76" s="41" t="s">
        <v>29</v>
      </c>
      <c r="F76" s="42">
        <v>1389</v>
      </c>
      <c r="G76" s="42">
        <f t="shared" si="18"/>
        <v>833.4</v>
      </c>
      <c r="H76" s="42">
        <f t="shared" si="19"/>
        <v>3333.6</v>
      </c>
      <c r="I76" s="49">
        <v>4</v>
      </c>
      <c r="J76" s="50" t="s">
        <v>197</v>
      </c>
      <c r="K76" s="50" t="s">
        <v>22</v>
      </c>
      <c r="L76" s="50" t="s">
        <v>71</v>
      </c>
      <c r="M76" s="42">
        <v>3333.6</v>
      </c>
    </row>
    <row r="77" spans="1:13" outlineLevel="2" x14ac:dyDescent="0.25">
      <c r="A77" s="50">
        <f t="shared" si="20"/>
        <v>76</v>
      </c>
      <c r="B77" s="41" t="s">
        <v>70</v>
      </c>
      <c r="C77" s="41" t="s">
        <v>30</v>
      </c>
      <c r="D77" s="41" t="s">
        <v>59</v>
      </c>
      <c r="E77" s="41" t="s">
        <v>60</v>
      </c>
      <c r="F77" s="42">
        <v>5354</v>
      </c>
      <c r="G77" s="42">
        <f t="shared" si="18"/>
        <v>3212.4</v>
      </c>
      <c r="H77" s="42">
        <f t="shared" si="19"/>
        <v>3212.4</v>
      </c>
      <c r="I77" s="49">
        <v>1</v>
      </c>
      <c r="J77" s="50" t="s">
        <v>197</v>
      </c>
      <c r="K77" s="50" t="s">
        <v>22</v>
      </c>
      <c r="L77" s="50" t="s">
        <v>71</v>
      </c>
      <c r="M77" s="42">
        <v>3212.4</v>
      </c>
    </row>
    <row r="78" spans="1:13" outlineLevel="2" x14ac:dyDescent="0.25">
      <c r="A78" s="61">
        <f t="shared" si="20"/>
        <v>77</v>
      </c>
      <c r="B78" s="58" t="s">
        <v>70</v>
      </c>
      <c r="C78" s="58" t="s">
        <v>198</v>
      </c>
      <c r="D78" s="59" t="s">
        <v>341</v>
      </c>
      <c r="E78" s="58" t="s">
        <v>342</v>
      </c>
      <c r="F78" s="60">
        <v>1055</v>
      </c>
      <c r="G78" s="60">
        <f t="shared" ref="G78:G80" si="21">F78</f>
        <v>1055</v>
      </c>
      <c r="H78" s="60">
        <f t="shared" si="19"/>
        <v>1055</v>
      </c>
      <c r="I78" s="57">
        <v>1</v>
      </c>
      <c r="J78" s="61" t="s">
        <v>197</v>
      </c>
      <c r="K78" s="61" t="s">
        <v>49</v>
      </c>
      <c r="L78" s="50" t="s">
        <v>71</v>
      </c>
      <c r="M78" s="60">
        <v>1055</v>
      </c>
    </row>
    <row r="79" spans="1:13" outlineLevel="2" x14ac:dyDescent="0.25">
      <c r="A79" s="61">
        <f t="shared" si="20"/>
        <v>78</v>
      </c>
      <c r="B79" s="58" t="s">
        <v>70</v>
      </c>
      <c r="C79" s="58" t="s">
        <v>198</v>
      </c>
      <c r="D79" s="59" t="s">
        <v>339</v>
      </c>
      <c r="E79" s="58" t="s">
        <v>340</v>
      </c>
      <c r="F79" s="60">
        <v>1135</v>
      </c>
      <c r="G79" s="60">
        <f t="shared" si="21"/>
        <v>1135</v>
      </c>
      <c r="H79" s="60">
        <f t="shared" si="19"/>
        <v>1135</v>
      </c>
      <c r="I79" s="57">
        <v>1</v>
      </c>
      <c r="J79" s="61" t="s">
        <v>197</v>
      </c>
      <c r="K79" s="61" t="s">
        <v>49</v>
      </c>
      <c r="L79" s="50" t="s">
        <v>71</v>
      </c>
      <c r="M79" s="60">
        <v>1135</v>
      </c>
    </row>
    <row r="80" spans="1:13" outlineLevel="2" x14ac:dyDescent="0.25">
      <c r="A80" s="61">
        <f t="shared" si="20"/>
        <v>79</v>
      </c>
      <c r="B80" s="58" t="s">
        <v>70</v>
      </c>
      <c r="C80" s="58" t="s">
        <v>212</v>
      </c>
      <c r="D80" s="59" t="s">
        <v>353</v>
      </c>
      <c r="E80" s="58" t="s">
        <v>353</v>
      </c>
      <c r="F80" s="60">
        <v>190</v>
      </c>
      <c r="G80" s="60">
        <f t="shared" si="21"/>
        <v>190</v>
      </c>
      <c r="H80" s="60">
        <f t="shared" si="19"/>
        <v>190</v>
      </c>
      <c r="I80" s="57">
        <v>1</v>
      </c>
      <c r="J80" s="61" t="s">
        <v>197</v>
      </c>
      <c r="K80" s="61" t="s">
        <v>49</v>
      </c>
      <c r="L80" s="50" t="s">
        <v>71</v>
      </c>
      <c r="M80" s="60">
        <v>190</v>
      </c>
    </row>
    <row r="81" spans="1:13" ht="24" outlineLevel="2" x14ac:dyDescent="0.25">
      <c r="A81" s="50">
        <f t="shared" si="20"/>
        <v>80</v>
      </c>
      <c r="B81" s="41" t="s">
        <v>70</v>
      </c>
      <c r="C81" s="41" t="s">
        <v>216</v>
      </c>
      <c r="D81" s="41" t="s">
        <v>216</v>
      </c>
      <c r="E81" s="41" t="s">
        <v>217</v>
      </c>
      <c r="F81" s="42">
        <f ca="1">OFFSET(F81,1,2)</f>
        <v>6000</v>
      </c>
      <c r="G81" s="42">
        <f ca="1">F81</f>
        <v>6000</v>
      </c>
      <c r="H81" s="42">
        <f ca="1">G81*I81</f>
        <v>6000</v>
      </c>
      <c r="I81" s="49">
        <v>1</v>
      </c>
      <c r="J81" s="50" t="s">
        <v>197</v>
      </c>
      <c r="K81" s="41" t="s">
        <v>216</v>
      </c>
      <c r="L81" s="50" t="s">
        <v>71</v>
      </c>
      <c r="M81" s="42">
        <v>6000</v>
      </c>
    </row>
    <row r="82" spans="1:13" outlineLevel="2" x14ac:dyDescent="0.25">
      <c r="A82" s="50">
        <f t="shared" si="20"/>
        <v>81</v>
      </c>
      <c r="B82" s="41" t="s">
        <v>70</v>
      </c>
      <c r="C82" s="41" t="s">
        <v>218</v>
      </c>
      <c r="D82" s="41" t="s">
        <v>218</v>
      </c>
      <c r="E82" s="41" t="s">
        <v>219</v>
      </c>
      <c r="F82" s="42">
        <v>1</v>
      </c>
      <c r="G82" s="42">
        <v>100</v>
      </c>
      <c r="H82" s="42">
        <f>IF(OR(G82="",I82=""),"",G82*I82)</f>
        <v>6000</v>
      </c>
      <c r="I82" s="49">
        <f>60*F82</f>
        <v>60</v>
      </c>
      <c r="J82" s="50" t="s">
        <v>197</v>
      </c>
      <c r="K82" s="41" t="s">
        <v>218</v>
      </c>
      <c r="L82" s="50" t="s">
        <v>71</v>
      </c>
      <c r="M82" s="42">
        <v>6000</v>
      </c>
    </row>
    <row r="83" spans="1:13" outlineLevel="1" x14ac:dyDescent="0.25">
      <c r="A83" s="50"/>
      <c r="B83" s="65" t="s">
        <v>373</v>
      </c>
      <c r="C83" s="41"/>
      <c r="D83" s="41"/>
      <c r="E83" s="41"/>
      <c r="F83" s="42"/>
      <c r="G83" s="42"/>
      <c r="H83" s="42">
        <f ca="1">SUBTOTAL(9,H71:H82)</f>
        <v>34732.600000000006</v>
      </c>
      <c r="I83" s="49"/>
      <c r="J83" s="50"/>
      <c r="K83" s="41"/>
      <c r="L83" s="50"/>
      <c r="M83" s="42">
        <v>34732.600000000006</v>
      </c>
    </row>
    <row r="84" spans="1:13" ht="24" customHeight="1" outlineLevel="2" x14ac:dyDescent="0.25">
      <c r="A84" s="38">
        <f>ROW(A82)</f>
        <v>82</v>
      </c>
      <c r="B84" s="38" t="s">
        <v>74</v>
      </c>
      <c r="C84" s="38"/>
      <c r="D84" s="38"/>
      <c r="E84" s="38" t="s">
        <v>74</v>
      </c>
      <c r="F84" s="39"/>
      <c r="G84" s="39"/>
      <c r="H84" s="39"/>
      <c r="I84" s="40">
        <v>1</v>
      </c>
      <c r="J84" s="38" t="s">
        <v>11</v>
      </c>
      <c r="K84" s="38" t="s">
        <v>12</v>
      </c>
      <c r="L84" s="38" t="s">
        <v>71</v>
      </c>
      <c r="M84" s="39"/>
    </row>
    <row r="85" spans="1:13" outlineLevel="2" x14ac:dyDescent="0.25">
      <c r="A85" s="52">
        <f t="shared" si="20"/>
        <v>84</v>
      </c>
      <c r="B85" s="43" t="s">
        <v>74</v>
      </c>
      <c r="C85" s="43" t="s">
        <v>14</v>
      </c>
      <c r="D85" s="41" t="s">
        <v>75</v>
      </c>
      <c r="E85" s="41" t="s">
        <v>76</v>
      </c>
      <c r="F85" s="42">
        <v>10270</v>
      </c>
      <c r="G85" s="42">
        <f t="shared" ref="G85:G88" si="22">0.6*F85</f>
        <v>6162</v>
      </c>
      <c r="H85" s="42">
        <f t="shared" ref="H85:H91" si="23">G85*I85</f>
        <v>6162</v>
      </c>
      <c r="I85" s="51">
        <v>1</v>
      </c>
      <c r="J85" s="52" t="s">
        <v>197</v>
      </c>
      <c r="K85" s="50" t="s">
        <v>18</v>
      </c>
      <c r="L85" s="50" t="s">
        <v>71</v>
      </c>
      <c r="M85" s="42">
        <v>6162</v>
      </c>
    </row>
    <row r="86" spans="1:13" outlineLevel="2" x14ac:dyDescent="0.25">
      <c r="A86" s="50">
        <f t="shared" si="20"/>
        <v>85</v>
      </c>
      <c r="B86" s="41" t="s">
        <v>74</v>
      </c>
      <c r="C86" s="41" t="s">
        <v>23</v>
      </c>
      <c r="D86" s="41" t="s">
        <v>57</v>
      </c>
      <c r="E86" s="41" t="s">
        <v>58</v>
      </c>
      <c r="F86" s="42">
        <v>2429</v>
      </c>
      <c r="G86" s="42">
        <f t="shared" si="22"/>
        <v>1457.3999999999999</v>
      </c>
      <c r="H86" s="42">
        <f t="shared" si="23"/>
        <v>1457.3999999999999</v>
      </c>
      <c r="I86" s="49">
        <v>1</v>
      </c>
      <c r="J86" s="50" t="s">
        <v>197</v>
      </c>
      <c r="K86" s="50" t="s">
        <v>22</v>
      </c>
      <c r="L86" s="50" t="s">
        <v>71</v>
      </c>
      <c r="M86" s="42">
        <v>1457.3999999999999</v>
      </c>
    </row>
    <row r="87" spans="1:13" outlineLevel="2" x14ac:dyDescent="0.25">
      <c r="A87" s="50">
        <f t="shared" si="20"/>
        <v>86</v>
      </c>
      <c r="B87" s="41" t="s">
        <v>74</v>
      </c>
      <c r="C87" s="41" t="s">
        <v>23</v>
      </c>
      <c r="D87" s="41" t="s">
        <v>26</v>
      </c>
      <c r="E87" s="41" t="s">
        <v>27</v>
      </c>
      <c r="F87" s="42">
        <v>2337</v>
      </c>
      <c r="G87" s="42">
        <f t="shared" si="22"/>
        <v>1402.2</v>
      </c>
      <c r="H87" s="42">
        <f t="shared" si="23"/>
        <v>1402.2</v>
      </c>
      <c r="I87" s="49">
        <v>1</v>
      </c>
      <c r="J87" s="50" t="s">
        <v>197</v>
      </c>
      <c r="K87" s="50" t="s">
        <v>22</v>
      </c>
      <c r="L87" s="50" t="s">
        <v>71</v>
      </c>
      <c r="M87" s="42">
        <v>1402.2</v>
      </c>
    </row>
    <row r="88" spans="1:13" outlineLevel="2" x14ac:dyDescent="0.25">
      <c r="A88" s="50">
        <f t="shared" si="20"/>
        <v>87</v>
      </c>
      <c r="B88" s="41" t="s">
        <v>74</v>
      </c>
      <c r="C88" s="41" t="s">
        <v>23</v>
      </c>
      <c r="D88" s="41" t="s">
        <v>28</v>
      </c>
      <c r="E88" s="41" t="s">
        <v>29</v>
      </c>
      <c r="F88" s="42">
        <v>1389</v>
      </c>
      <c r="G88" s="42">
        <f t="shared" si="22"/>
        <v>833.4</v>
      </c>
      <c r="H88" s="42">
        <f t="shared" si="23"/>
        <v>3333.6</v>
      </c>
      <c r="I88" s="49">
        <v>4</v>
      </c>
      <c r="J88" s="50" t="s">
        <v>197</v>
      </c>
      <c r="K88" s="50" t="s">
        <v>22</v>
      </c>
      <c r="L88" s="50" t="s">
        <v>71</v>
      </c>
      <c r="M88" s="42">
        <v>3333.6</v>
      </c>
    </row>
    <row r="89" spans="1:13" outlineLevel="2" x14ac:dyDescent="0.25">
      <c r="A89" s="61">
        <f t="shared" si="20"/>
        <v>88</v>
      </c>
      <c r="B89" s="58" t="s">
        <v>74</v>
      </c>
      <c r="C89" s="58" t="s">
        <v>198</v>
      </c>
      <c r="D89" s="59" t="s">
        <v>341</v>
      </c>
      <c r="E89" s="58" t="s">
        <v>342</v>
      </c>
      <c r="F89" s="60">
        <v>1055</v>
      </c>
      <c r="G89" s="60">
        <f t="shared" ref="G89:G91" si="24">F89</f>
        <v>1055</v>
      </c>
      <c r="H89" s="60">
        <f t="shared" si="23"/>
        <v>1055</v>
      </c>
      <c r="I89" s="57">
        <v>1</v>
      </c>
      <c r="J89" s="61" t="s">
        <v>197</v>
      </c>
      <c r="K89" s="61" t="s">
        <v>49</v>
      </c>
      <c r="L89" s="50" t="s">
        <v>71</v>
      </c>
      <c r="M89" s="60">
        <v>1055</v>
      </c>
    </row>
    <row r="90" spans="1:13" outlineLevel="2" x14ac:dyDescent="0.25">
      <c r="A90" s="61">
        <f t="shared" si="20"/>
        <v>89</v>
      </c>
      <c r="B90" s="58" t="s">
        <v>74</v>
      </c>
      <c r="C90" s="58" t="s">
        <v>198</v>
      </c>
      <c r="D90" s="59" t="s">
        <v>339</v>
      </c>
      <c r="E90" s="58" t="s">
        <v>340</v>
      </c>
      <c r="F90" s="60">
        <v>1135</v>
      </c>
      <c r="G90" s="60">
        <f t="shared" si="24"/>
        <v>1135</v>
      </c>
      <c r="H90" s="60">
        <f t="shared" si="23"/>
        <v>1135</v>
      </c>
      <c r="I90" s="57">
        <v>1</v>
      </c>
      <c r="J90" s="61" t="s">
        <v>197</v>
      </c>
      <c r="K90" s="61" t="s">
        <v>49</v>
      </c>
      <c r="L90" s="50" t="s">
        <v>71</v>
      </c>
      <c r="M90" s="60">
        <v>1135</v>
      </c>
    </row>
    <row r="91" spans="1:13" outlineLevel="2" x14ac:dyDescent="0.25">
      <c r="A91" s="61">
        <f t="shared" si="20"/>
        <v>90</v>
      </c>
      <c r="B91" s="58" t="s">
        <v>74</v>
      </c>
      <c r="C91" s="58" t="s">
        <v>212</v>
      </c>
      <c r="D91" s="59" t="s">
        <v>353</v>
      </c>
      <c r="E91" s="58" t="s">
        <v>353</v>
      </c>
      <c r="F91" s="60">
        <v>190</v>
      </c>
      <c r="G91" s="60">
        <f t="shared" si="24"/>
        <v>190</v>
      </c>
      <c r="H91" s="60">
        <f t="shared" si="23"/>
        <v>190</v>
      </c>
      <c r="I91" s="57">
        <v>1</v>
      </c>
      <c r="J91" s="61" t="s">
        <v>197</v>
      </c>
      <c r="K91" s="61" t="s">
        <v>49</v>
      </c>
      <c r="L91" s="50" t="s">
        <v>71</v>
      </c>
      <c r="M91" s="60">
        <v>190</v>
      </c>
    </row>
    <row r="92" spans="1:13" ht="24" outlineLevel="2" x14ac:dyDescent="0.25">
      <c r="A92" s="50">
        <f t="shared" si="20"/>
        <v>91</v>
      </c>
      <c r="B92" s="41" t="s">
        <v>74</v>
      </c>
      <c r="C92" s="41" t="s">
        <v>216</v>
      </c>
      <c r="D92" s="41" t="s">
        <v>216</v>
      </c>
      <c r="E92" s="41" t="s">
        <v>217</v>
      </c>
      <c r="F92" s="42">
        <f ca="1">OFFSET(F92,1,2)</f>
        <v>3600</v>
      </c>
      <c r="G92" s="42">
        <f ca="1">F92</f>
        <v>3600</v>
      </c>
      <c r="H92" s="42">
        <f ca="1">G92*I92</f>
        <v>3600</v>
      </c>
      <c r="I92" s="49">
        <v>1</v>
      </c>
      <c r="J92" s="50" t="s">
        <v>197</v>
      </c>
      <c r="K92" s="41" t="s">
        <v>216</v>
      </c>
      <c r="L92" s="50" t="s">
        <v>71</v>
      </c>
      <c r="M92" s="42">
        <v>3600</v>
      </c>
    </row>
    <row r="93" spans="1:13" outlineLevel="2" x14ac:dyDescent="0.25">
      <c r="A93" s="50">
        <f t="shared" si="20"/>
        <v>92</v>
      </c>
      <c r="B93" s="41" t="s">
        <v>74</v>
      </c>
      <c r="C93" s="41" t="s">
        <v>218</v>
      </c>
      <c r="D93" s="41" t="s">
        <v>218</v>
      </c>
      <c r="E93" s="41" t="s">
        <v>219</v>
      </c>
      <c r="F93" s="42">
        <v>0.6</v>
      </c>
      <c r="G93" s="42">
        <v>100</v>
      </c>
      <c r="H93" s="42">
        <f>IF(OR(G93="",I93=""),"",G93*I93)</f>
        <v>3600</v>
      </c>
      <c r="I93" s="49">
        <f>60*F93</f>
        <v>36</v>
      </c>
      <c r="J93" s="50" t="s">
        <v>197</v>
      </c>
      <c r="K93" s="41" t="s">
        <v>218</v>
      </c>
      <c r="L93" s="50" t="s">
        <v>71</v>
      </c>
      <c r="M93" s="42">
        <v>3600</v>
      </c>
    </row>
    <row r="94" spans="1:13" outlineLevel="1" x14ac:dyDescent="0.25">
      <c r="A94" s="50"/>
      <c r="B94" s="65" t="s">
        <v>374</v>
      </c>
      <c r="C94" s="41"/>
      <c r="D94" s="41"/>
      <c r="E94" s="41"/>
      <c r="F94" s="42"/>
      <c r="G94" s="42"/>
      <c r="H94" s="42">
        <f ca="1">SUBTOTAL(9,H84:H93)</f>
        <v>21935.200000000001</v>
      </c>
      <c r="I94" s="49"/>
      <c r="J94" s="50"/>
      <c r="K94" s="41"/>
      <c r="L94" s="50"/>
      <c r="M94" s="42">
        <v>21935.200000000001</v>
      </c>
    </row>
    <row r="95" spans="1:13" ht="24" customHeight="1" outlineLevel="2" x14ac:dyDescent="0.25">
      <c r="A95" s="38">
        <f>ROW(A93)</f>
        <v>93</v>
      </c>
      <c r="B95" s="38" t="str">
        <f>E95</f>
        <v xml:space="preserve">В1КМ </v>
      </c>
      <c r="C95" s="38"/>
      <c r="D95" s="38"/>
      <c r="E95" s="38" t="s">
        <v>331</v>
      </c>
      <c r="F95" s="39"/>
      <c r="G95" s="39"/>
      <c r="H95" s="39"/>
      <c r="I95" s="40">
        <v>1</v>
      </c>
      <c r="J95" s="38" t="s">
        <v>11</v>
      </c>
      <c r="K95" s="38" t="s">
        <v>12</v>
      </c>
      <c r="L95" s="38" t="s">
        <v>71</v>
      </c>
      <c r="M95" s="39"/>
    </row>
    <row r="96" spans="1:13" outlineLevel="2" x14ac:dyDescent="0.25">
      <c r="A96" s="50">
        <f t="shared" si="20"/>
        <v>95</v>
      </c>
      <c r="B96" s="41" t="str">
        <f>B95</f>
        <v xml:space="preserve">В1КМ </v>
      </c>
      <c r="C96" s="41" t="s">
        <v>64</v>
      </c>
      <c r="D96" s="41" t="s">
        <v>345</v>
      </c>
      <c r="E96" s="41" t="s">
        <v>346</v>
      </c>
      <c r="F96" s="42">
        <v>23514</v>
      </c>
      <c r="G96" s="42">
        <f>0.6*F96</f>
        <v>14108.4</v>
      </c>
      <c r="H96" s="42">
        <f>G96*I96</f>
        <v>14108.4</v>
      </c>
      <c r="I96" s="49">
        <v>1</v>
      </c>
      <c r="J96" s="50" t="s">
        <v>197</v>
      </c>
      <c r="K96" s="50" t="s">
        <v>22</v>
      </c>
      <c r="L96" s="50" t="s">
        <v>71</v>
      </c>
      <c r="M96" s="42">
        <v>14108.4</v>
      </c>
    </row>
    <row r="97" spans="1:13" ht="24" outlineLevel="2" x14ac:dyDescent="0.25">
      <c r="A97" s="50">
        <f t="shared" si="20"/>
        <v>96</v>
      </c>
      <c r="B97" s="41" t="str">
        <f t="shared" ref="B97:B98" si="25">B96</f>
        <v xml:space="preserve">В1КМ </v>
      </c>
      <c r="C97" s="41" t="s">
        <v>216</v>
      </c>
      <c r="D97" s="41" t="s">
        <v>216</v>
      </c>
      <c r="E97" s="41" t="s">
        <v>217</v>
      </c>
      <c r="F97" s="42">
        <f ca="1">OFFSET(F97,1,2)</f>
        <v>600</v>
      </c>
      <c r="G97" s="42">
        <f ca="1">F97</f>
        <v>600</v>
      </c>
      <c r="H97" s="42">
        <f ca="1">G97*I97</f>
        <v>600</v>
      </c>
      <c r="I97" s="49">
        <v>1</v>
      </c>
      <c r="J97" s="50" t="s">
        <v>197</v>
      </c>
      <c r="K97" s="41" t="s">
        <v>216</v>
      </c>
      <c r="L97" s="50" t="s">
        <v>71</v>
      </c>
      <c r="M97" s="42">
        <v>600</v>
      </c>
    </row>
    <row r="98" spans="1:13" outlineLevel="2" x14ac:dyDescent="0.25">
      <c r="A98" s="50">
        <f t="shared" si="20"/>
        <v>97</v>
      </c>
      <c r="B98" s="41" t="str">
        <f t="shared" si="25"/>
        <v xml:space="preserve">В1КМ </v>
      </c>
      <c r="C98" s="41" t="s">
        <v>218</v>
      </c>
      <c r="D98" s="41" t="s">
        <v>218</v>
      </c>
      <c r="E98" s="41" t="s">
        <v>219</v>
      </c>
      <c r="F98" s="42">
        <v>0.1</v>
      </c>
      <c r="G98" s="42">
        <v>100</v>
      </c>
      <c r="H98" s="42">
        <f>IF(OR(G98="",I98=""),"",G98*I98)</f>
        <v>600</v>
      </c>
      <c r="I98" s="49">
        <f>60*F98</f>
        <v>6</v>
      </c>
      <c r="J98" s="50" t="s">
        <v>197</v>
      </c>
      <c r="K98" s="41" t="s">
        <v>218</v>
      </c>
      <c r="L98" s="50" t="s">
        <v>71</v>
      </c>
      <c r="M98" s="42">
        <v>600</v>
      </c>
    </row>
    <row r="99" spans="1:13" outlineLevel="1" x14ac:dyDescent="0.25">
      <c r="A99" s="50"/>
      <c r="B99" s="65" t="s">
        <v>375</v>
      </c>
      <c r="C99" s="41"/>
      <c r="D99" s="41"/>
      <c r="E99" s="41"/>
      <c r="F99" s="42"/>
      <c r="G99" s="42"/>
      <c r="H99" s="42">
        <f ca="1">SUBTOTAL(9,H95:H98)</f>
        <v>15308.4</v>
      </c>
      <c r="I99" s="49"/>
      <c r="J99" s="50"/>
      <c r="K99" s="41"/>
      <c r="L99" s="50"/>
      <c r="M99" s="42">
        <v>15308.4</v>
      </c>
    </row>
    <row r="100" spans="1:13" ht="24" customHeight="1" outlineLevel="2" x14ac:dyDescent="0.25">
      <c r="A100" s="38">
        <f>ROW(A98)</f>
        <v>98</v>
      </c>
      <c r="B100" s="38" t="s">
        <v>221</v>
      </c>
      <c r="C100" s="38"/>
      <c r="D100" s="38"/>
      <c r="E100" s="38" t="s">
        <v>221</v>
      </c>
      <c r="F100" s="39"/>
      <c r="G100" s="39"/>
      <c r="H100" s="39"/>
      <c r="I100" s="40">
        <v>1</v>
      </c>
      <c r="J100" s="38" t="s">
        <v>11</v>
      </c>
      <c r="K100" s="38" t="s">
        <v>12</v>
      </c>
      <c r="L100" s="38" t="s">
        <v>71</v>
      </c>
      <c r="M100" s="39"/>
    </row>
    <row r="101" spans="1:13" outlineLevel="2" x14ac:dyDescent="0.25">
      <c r="A101" s="50">
        <f t="shared" si="20"/>
        <v>100</v>
      </c>
      <c r="B101" s="41" t="s">
        <v>221</v>
      </c>
      <c r="C101" s="41" t="s">
        <v>14</v>
      </c>
      <c r="D101" s="41"/>
      <c r="E101" s="41" t="s">
        <v>329</v>
      </c>
      <c r="F101" s="42">
        <v>20000</v>
      </c>
      <c r="G101" s="42">
        <f>0.6*F101</f>
        <v>12000</v>
      </c>
      <c r="H101" s="42">
        <f>G101*I101</f>
        <v>12000</v>
      </c>
      <c r="I101" s="49">
        <v>1</v>
      </c>
      <c r="J101" s="50" t="s">
        <v>197</v>
      </c>
      <c r="K101" s="50" t="s">
        <v>18</v>
      </c>
      <c r="L101" s="50" t="s">
        <v>71</v>
      </c>
      <c r="M101" s="42">
        <v>12000</v>
      </c>
    </row>
    <row r="102" spans="1:13" outlineLevel="2" x14ac:dyDescent="0.25">
      <c r="A102" s="61">
        <f t="shared" si="20"/>
        <v>101</v>
      </c>
      <c r="B102" s="58" t="s">
        <v>221</v>
      </c>
      <c r="C102" s="58" t="s">
        <v>46</v>
      </c>
      <c r="D102" s="59" t="s">
        <v>358</v>
      </c>
      <c r="E102" s="58" t="s">
        <v>359</v>
      </c>
      <c r="F102" s="60">
        <v>8202</v>
      </c>
      <c r="G102" s="60">
        <f>F102</f>
        <v>8202</v>
      </c>
      <c r="H102" s="60">
        <f>G102*I102</f>
        <v>8202</v>
      </c>
      <c r="I102" s="57">
        <v>1</v>
      </c>
      <c r="J102" s="61" t="s">
        <v>197</v>
      </c>
      <c r="K102" s="61" t="s">
        <v>49</v>
      </c>
      <c r="L102" s="50" t="s">
        <v>71</v>
      </c>
      <c r="M102" s="60">
        <v>8202</v>
      </c>
    </row>
    <row r="103" spans="1:13" outlineLevel="2" x14ac:dyDescent="0.25">
      <c r="A103" s="50">
        <f t="shared" si="20"/>
        <v>102</v>
      </c>
      <c r="B103" s="41" t="s">
        <v>221</v>
      </c>
      <c r="C103" s="41" t="s">
        <v>41</v>
      </c>
      <c r="D103" s="41" t="s">
        <v>42</v>
      </c>
      <c r="E103" s="41" t="s">
        <v>43</v>
      </c>
      <c r="F103" s="42">
        <v>1545</v>
      </c>
      <c r="G103" s="42">
        <f t="shared" ref="G103:G104" si="26">0.6*F103</f>
        <v>927</v>
      </c>
      <c r="H103" s="42">
        <f t="shared" ref="H103:H104" si="27">G103*I103</f>
        <v>2781</v>
      </c>
      <c r="I103" s="49">
        <v>3</v>
      </c>
      <c r="J103" s="50" t="s">
        <v>197</v>
      </c>
      <c r="K103" s="50" t="s">
        <v>22</v>
      </c>
      <c r="L103" s="50" t="s">
        <v>71</v>
      </c>
      <c r="M103" s="42">
        <v>2781</v>
      </c>
    </row>
    <row r="104" spans="1:13" outlineLevel="2" x14ac:dyDescent="0.25">
      <c r="A104" s="50">
        <f t="shared" si="20"/>
        <v>103</v>
      </c>
      <c r="B104" s="41" t="s">
        <v>221</v>
      </c>
      <c r="C104" s="41" t="s">
        <v>41</v>
      </c>
      <c r="D104" s="41" t="s">
        <v>44</v>
      </c>
      <c r="E104" s="41" t="s">
        <v>45</v>
      </c>
      <c r="F104" s="42">
        <v>2038</v>
      </c>
      <c r="G104" s="42">
        <f t="shared" si="26"/>
        <v>1222.8</v>
      </c>
      <c r="H104" s="42">
        <f t="shared" si="27"/>
        <v>3668.3999999999996</v>
      </c>
      <c r="I104" s="49">
        <v>3</v>
      </c>
      <c r="J104" s="50" t="s">
        <v>197</v>
      </c>
      <c r="K104" s="50" t="s">
        <v>22</v>
      </c>
      <c r="L104" s="50" t="s">
        <v>71</v>
      </c>
      <c r="M104" s="42">
        <v>3668.3999999999996</v>
      </c>
    </row>
    <row r="105" spans="1:13" ht="24" outlineLevel="2" x14ac:dyDescent="0.25">
      <c r="A105" s="50">
        <f t="shared" si="20"/>
        <v>104</v>
      </c>
      <c r="B105" s="41" t="s">
        <v>221</v>
      </c>
      <c r="C105" s="41" t="s">
        <v>216</v>
      </c>
      <c r="D105" s="41" t="s">
        <v>216</v>
      </c>
      <c r="E105" s="41" t="s">
        <v>217</v>
      </c>
      <c r="F105" s="42">
        <f ca="1">OFFSET(F105,1,2)</f>
        <v>9000</v>
      </c>
      <c r="G105" s="42">
        <f ca="1">F105</f>
        <v>9000</v>
      </c>
      <c r="H105" s="42">
        <f ca="1">G105*I105</f>
        <v>9000</v>
      </c>
      <c r="I105" s="49">
        <v>1</v>
      </c>
      <c r="J105" s="50" t="s">
        <v>197</v>
      </c>
      <c r="K105" s="41" t="s">
        <v>216</v>
      </c>
      <c r="L105" s="50" t="s">
        <v>71</v>
      </c>
      <c r="M105" s="42">
        <v>9000</v>
      </c>
    </row>
    <row r="106" spans="1:13" outlineLevel="2" x14ac:dyDescent="0.25">
      <c r="A106" s="50">
        <f t="shared" si="20"/>
        <v>105</v>
      </c>
      <c r="B106" s="41" t="s">
        <v>221</v>
      </c>
      <c r="C106" s="41" t="s">
        <v>218</v>
      </c>
      <c r="D106" s="41" t="s">
        <v>218</v>
      </c>
      <c r="E106" s="41" t="s">
        <v>219</v>
      </c>
      <c r="F106" s="42">
        <v>1.5</v>
      </c>
      <c r="G106" s="42">
        <v>100</v>
      </c>
      <c r="H106" s="42">
        <f>IF(OR(G106="",I106=""),"",G106*I106)</f>
        <v>9000</v>
      </c>
      <c r="I106" s="49">
        <f>60*F106</f>
        <v>90</v>
      </c>
      <c r="J106" s="50" t="s">
        <v>197</v>
      </c>
      <c r="K106" s="41" t="s">
        <v>218</v>
      </c>
      <c r="L106" s="50" t="s">
        <v>71</v>
      </c>
      <c r="M106" s="42">
        <v>9000</v>
      </c>
    </row>
    <row r="107" spans="1:13" ht="24" outlineLevel="1" x14ac:dyDescent="0.25">
      <c r="A107" s="50"/>
      <c r="B107" s="65" t="s">
        <v>369</v>
      </c>
      <c r="C107" s="41"/>
      <c r="D107" s="41"/>
      <c r="E107" s="41"/>
      <c r="F107" s="42"/>
      <c r="G107" s="42"/>
      <c r="H107" s="42">
        <f ca="1">SUBTOTAL(9,H100:H106)</f>
        <v>44651.4</v>
      </c>
      <c r="I107" s="49"/>
      <c r="J107" s="50"/>
      <c r="K107" s="41"/>
      <c r="L107" s="50"/>
      <c r="M107" s="42">
        <v>44651.4</v>
      </c>
    </row>
    <row r="108" spans="1:13" ht="24" customHeight="1" outlineLevel="2" x14ac:dyDescent="0.25">
      <c r="A108" s="38">
        <f>ROW(A106)</f>
        <v>106</v>
      </c>
      <c r="B108" s="38" t="s">
        <v>79</v>
      </c>
      <c r="C108" s="38"/>
      <c r="D108" s="38"/>
      <c r="E108" s="38" t="s">
        <v>79</v>
      </c>
      <c r="F108" s="39"/>
      <c r="G108" s="39"/>
      <c r="H108" s="39"/>
      <c r="I108" s="40">
        <v>1</v>
      </c>
      <c r="J108" s="38" t="s">
        <v>11</v>
      </c>
      <c r="K108" s="38" t="s">
        <v>12</v>
      </c>
      <c r="L108" s="38" t="s">
        <v>80</v>
      </c>
      <c r="M108" s="39"/>
    </row>
    <row r="109" spans="1:13" outlineLevel="2" x14ac:dyDescent="0.25">
      <c r="A109" s="50">
        <f t="shared" si="20"/>
        <v>108</v>
      </c>
      <c r="B109" s="41" t="s">
        <v>79</v>
      </c>
      <c r="C109" s="41" t="s">
        <v>14</v>
      </c>
      <c r="D109" s="41" t="s">
        <v>15</v>
      </c>
      <c r="E109" s="41" t="s">
        <v>16</v>
      </c>
      <c r="F109" s="42">
        <v>15000</v>
      </c>
      <c r="G109" s="42">
        <f t="shared" ref="G109:G114" si="28">0.6*F109</f>
        <v>9000</v>
      </c>
      <c r="H109" s="42">
        <f t="shared" ref="H109:H117" si="29">G109*I109</f>
        <v>9000</v>
      </c>
      <c r="I109" s="49">
        <v>1</v>
      </c>
      <c r="J109" s="50" t="s">
        <v>197</v>
      </c>
      <c r="K109" s="50" t="s">
        <v>18</v>
      </c>
      <c r="L109" s="50" t="s">
        <v>80</v>
      </c>
      <c r="M109" s="42">
        <v>9000</v>
      </c>
    </row>
    <row r="110" spans="1:13" outlineLevel="2" x14ac:dyDescent="0.25">
      <c r="A110" s="50">
        <f t="shared" si="20"/>
        <v>109</v>
      </c>
      <c r="B110" s="41" t="s">
        <v>79</v>
      </c>
      <c r="C110" s="41" t="s">
        <v>23</v>
      </c>
      <c r="D110" s="41" t="s">
        <v>57</v>
      </c>
      <c r="E110" s="41" t="s">
        <v>58</v>
      </c>
      <c r="F110" s="42">
        <v>2429</v>
      </c>
      <c r="G110" s="42">
        <f t="shared" si="28"/>
        <v>1457.3999999999999</v>
      </c>
      <c r="H110" s="42">
        <f t="shared" si="29"/>
        <v>1457.3999999999999</v>
      </c>
      <c r="I110" s="49">
        <v>1</v>
      </c>
      <c r="J110" s="50" t="s">
        <v>197</v>
      </c>
      <c r="K110" s="50" t="s">
        <v>22</v>
      </c>
      <c r="L110" s="50" t="s">
        <v>80</v>
      </c>
      <c r="M110" s="42">
        <v>1457.3999999999999</v>
      </c>
    </row>
    <row r="111" spans="1:13" outlineLevel="2" x14ac:dyDescent="0.25">
      <c r="A111" s="50">
        <f t="shared" si="20"/>
        <v>110</v>
      </c>
      <c r="B111" s="41" t="s">
        <v>79</v>
      </c>
      <c r="C111" s="41" t="s">
        <v>23</v>
      </c>
      <c r="D111" s="41" t="s">
        <v>81</v>
      </c>
      <c r="E111" s="41" t="s">
        <v>82</v>
      </c>
      <c r="F111" s="42">
        <v>2499</v>
      </c>
      <c r="G111" s="42">
        <f t="shared" si="28"/>
        <v>1499.3999999999999</v>
      </c>
      <c r="H111" s="42">
        <f t="shared" si="29"/>
        <v>1499.3999999999999</v>
      </c>
      <c r="I111" s="49">
        <v>1</v>
      </c>
      <c r="J111" s="50" t="s">
        <v>197</v>
      </c>
      <c r="K111" s="50" t="s">
        <v>22</v>
      </c>
      <c r="L111" s="50" t="s">
        <v>80</v>
      </c>
      <c r="M111" s="42">
        <v>1499.3999999999999</v>
      </c>
    </row>
    <row r="112" spans="1:13" outlineLevel="2" x14ac:dyDescent="0.25">
      <c r="A112" s="50">
        <f t="shared" si="20"/>
        <v>111</v>
      </c>
      <c r="B112" s="41" t="s">
        <v>79</v>
      </c>
      <c r="C112" s="41" t="s">
        <v>23</v>
      </c>
      <c r="D112" s="41" t="s">
        <v>26</v>
      </c>
      <c r="E112" s="41" t="s">
        <v>27</v>
      </c>
      <c r="F112" s="42">
        <v>2337</v>
      </c>
      <c r="G112" s="42">
        <f t="shared" si="28"/>
        <v>1402.2</v>
      </c>
      <c r="H112" s="42">
        <f t="shared" si="29"/>
        <v>4206.6000000000004</v>
      </c>
      <c r="I112" s="49">
        <v>3</v>
      </c>
      <c r="J112" s="50" t="s">
        <v>197</v>
      </c>
      <c r="K112" s="50" t="s">
        <v>22</v>
      </c>
      <c r="L112" s="50" t="s">
        <v>80</v>
      </c>
      <c r="M112" s="42">
        <v>4206.6000000000004</v>
      </c>
    </row>
    <row r="113" spans="1:13" outlineLevel="2" x14ac:dyDescent="0.25">
      <c r="A113" s="50">
        <f t="shared" si="20"/>
        <v>112</v>
      </c>
      <c r="B113" s="41" t="s">
        <v>79</v>
      </c>
      <c r="C113" s="41" t="s">
        <v>23</v>
      </c>
      <c r="D113" s="41" t="s">
        <v>28</v>
      </c>
      <c r="E113" s="41" t="s">
        <v>29</v>
      </c>
      <c r="F113" s="42">
        <v>1389</v>
      </c>
      <c r="G113" s="42">
        <f t="shared" si="28"/>
        <v>833.4</v>
      </c>
      <c r="H113" s="42">
        <f t="shared" si="29"/>
        <v>1666.8</v>
      </c>
      <c r="I113" s="49">
        <v>2</v>
      </c>
      <c r="J113" s="50" t="s">
        <v>197</v>
      </c>
      <c r="K113" s="50" t="s">
        <v>22</v>
      </c>
      <c r="L113" s="50" t="s">
        <v>80</v>
      </c>
      <c r="M113" s="42">
        <v>1666.8</v>
      </c>
    </row>
    <row r="114" spans="1:13" outlineLevel="2" x14ac:dyDescent="0.25">
      <c r="A114" s="50">
        <f t="shared" si="20"/>
        <v>113</v>
      </c>
      <c r="B114" s="41" t="s">
        <v>79</v>
      </c>
      <c r="C114" s="41" t="s">
        <v>30</v>
      </c>
      <c r="D114" s="41" t="s">
        <v>59</v>
      </c>
      <c r="E114" s="41" t="s">
        <v>60</v>
      </c>
      <c r="F114" s="42">
        <v>5354</v>
      </c>
      <c r="G114" s="42">
        <f t="shared" si="28"/>
        <v>3212.4</v>
      </c>
      <c r="H114" s="42">
        <f t="shared" si="29"/>
        <v>3212.4</v>
      </c>
      <c r="I114" s="49">
        <v>1</v>
      </c>
      <c r="J114" s="50" t="s">
        <v>197</v>
      </c>
      <c r="K114" s="50" t="s">
        <v>22</v>
      </c>
      <c r="L114" s="50" t="s">
        <v>80</v>
      </c>
      <c r="M114" s="42">
        <v>3212.4</v>
      </c>
    </row>
    <row r="115" spans="1:13" outlineLevel="2" x14ac:dyDescent="0.25">
      <c r="A115" s="61">
        <f t="shared" si="20"/>
        <v>114</v>
      </c>
      <c r="B115" s="58" t="s">
        <v>79</v>
      </c>
      <c r="C115" s="58" t="s">
        <v>198</v>
      </c>
      <c r="D115" s="59" t="s">
        <v>341</v>
      </c>
      <c r="E115" s="58" t="s">
        <v>342</v>
      </c>
      <c r="F115" s="60">
        <v>1055</v>
      </c>
      <c r="G115" s="60">
        <f t="shared" ref="G115:G117" si="30">F115</f>
        <v>1055</v>
      </c>
      <c r="H115" s="60">
        <f t="shared" si="29"/>
        <v>1055</v>
      </c>
      <c r="I115" s="57">
        <v>1</v>
      </c>
      <c r="J115" s="61" t="s">
        <v>197</v>
      </c>
      <c r="K115" s="61" t="s">
        <v>49</v>
      </c>
      <c r="L115" s="50" t="s">
        <v>80</v>
      </c>
      <c r="M115" s="60">
        <v>1055</v>
      </c>
    </row>
    <row r="116" spans="1:13" outlineLevel="2" x14ac:dyDescent="0.25">
      <c r="A116" s="61">
        <f t="shared" si="20"/>
        <v>115</v>
      </c>
      <c r="B116" s="58" t="s">
        <v>79</v>
      </c>
      <c r="C116" s="58" t="s">
        <v>198</v>
      </c>
      <c r="D116" s="59" t="s">
        <v>339</v>
      </c>
      <c r="E116" s="58" t="s">
        <v>340</v>
      </c>
      <c r="F116" s="60">
        <v>1135</v>
      </c>
      <c r="G116" s="60">
        <f t="shared" si="30"/>
        <v>1135</v>
      </c>
      <c r="H116" s="60">
        <f t="shared" si="29"/>
        <v>1135</v>
      </c>
      <c r="I116" s="57">
        <v>1</v>
      </c>
      <c r="J116" s="61" t="s">
        <v>197</v>
      </c>
      <c r="K116" s="61" t="s">
        <v>49</v>
      </c>
      <c r="L116" s="50" t="s">
        <v>80</v>
      </c>
      <c r="M116" s="60">
        <v>1135</v>
      </c>
    </row>
    <row r="117" spans="1:13" outlineLevel="2" x14ac:dyDescent="0.25">
      <c r="A117" s="61">
        <f t="shared" si="20"/>
        <v>116</v>
      </c>
      <c r="B117" s="58" t="s">
        <v>79</v>
      </c>
      <c r="C117" s="58" t="s">
        <v>212</v>
      </c>
      <c r="D117" s="59" t="s">
        <v>353</v>
      </c>
      <c r="E117" s="58" t="s">
        <v>353</v>
      </c>
      <c r="F117" s="60">
        <v>190</v>
      </c>
      <c r="G117" s="60">
        <f t="shared" si="30"/>
        <v>190</v>
      </c>
      <c r="H117" s="60">
        <f t="shared" si="29"/>
        <v>190</v>
      </c>
      <c r="I117" s="57">
        <v>1</v>
      </c>
      <c r="J117" s="61" t="s">
        <v>197</v>
      </c>
      <c r="K117" s="61" t="s">
        <v>49</v>
      </c>
      <c r="L117" s="50" t="s">
        <v>80</v>
      </c>
      <c r="M117" s="60">
        <v>190</v>
      </c>
    </row>
    <row r="118" spans="1:13" ht="24" outlineLevel="2" x14ac:dyDescent="0.25">
      <c r="A118" s="50">
        <f t="shared" si="20"/>
        <v>117</v>
      </c>
      <c r="B118" s="41" t="s">
        <v>79</v>
      </c>
      <c r="C118" s="41" t="s">
        <v>216</v>
      </c>
      <c r="D118" s="41" t="s">
        <v>216</v>
      </c>
      <c r="E118" s="41" t="s">
        <v>217</v>
      </c>
      <c r="F118" s="42">
        <f ca="1">OFFSET(F118,1,2)</f>
        <v>6000</v>
      </c>
      <c r="G118" s="42">
        <f ca="1">F118</f>
        <v>6000</v>
      </c>
      <c r="H118" s="42">
        <f ca="1">G118*I118</f>
        <v>6000</v>
      </c>
      <c r="I118" s="49">
        <v>1</v>
      </c>
      <c r="J118" s="50" t="s">
        <v>197</v>
      </c>
      <c r="K118" s="41" t="s">
        <v>216</v>
      </c>
      <c r="L118" s="50" t="s">
        <v>80</v>
      </c>
      <c r="M118" s="42">
        <v>6000</v>
      </c>
    </row>
    <row r="119" spans="1:13" outlineLevel="2" x14ac:dyDescent="0.25">
      <c r="A119" s="50">
        <f t="shared" si="20"/>
        <v>118</v>
      </c>
      <c r="B119" s="41" t="s">
        <v>79</v>
      </c>
      <c r="C119" s="41" t="s">
        <v>218</v>
      </c>
      <c r="D119" s="41" t="s">
        <v>218</v>
      </c>
      <c r="E119" s="41" t="s">
        <v>219</v>
      </c>
      <c r="F119" s="42">
        <v>1</v>
      </c>
      <c r="G119" s="42">
        <v>100</v>
      </c>
      <c r="H119" s="42">
        <f>IF(OR(G119="",I119=""),"",G119*I119)</f>
        <v>6000</v>
      </c>
      <c r="I119" s="49">
        <f>60*F119</f>
        <v>60</v>
      </c>
      <c r="J119" s="50" t="s">
        <v>197</v>
      </c>
      <c r="K119" s="41" t="s">
        <v>218</v>
      </c>
      <c r="L119" s="50" t="s">
        <v>80</v>
      </c>
      <c r="M119" s="42">
        <v>6000</v>
      </c>
    </row>
    <row r="120" spans="1:13" outlineLevel="1" x14ac:dyDescent="0.25">
      <c r="A120" s="50"/>
      <c r="B120" s="65" t="s">
        <v>376</v>
      </c>
      <c r="C120" s="41"/>
      <c r="D120" s="41"/>
      <c r="E120" s="41"/>
      <c r="F120" s="42"/>
      <c r="G120" s="42"/>
      <c r="H120" s="42">
        <f ca="1">SUBTOTAL(9,H108:H119)</f>
        <v>35422.600000000006</v>
      </c>
      <c r="I120" s="49"/>
      <c r="J120" s="50"/>
      <c r="K120" s="41"/>
      <c r="L120" s="50"/>
      <c r="M120" s="42">
        <v>35422.600000000006</v>
      </c>
    </row>
    <row r="121" spans="1:13" ht="24" customHeight="1" outlineLevel="2" x14ac:dyDescent="0.25">
      <c r="A121" s="38">
        <f>ROW(A119)</f>
        <v>119</v>
      </c>
      <c r="B121" s="38" t="s">
        <v>83</v>
      </c>
      <c r="C121" s="38"/>
      <c r="D121" s="38"/>
      <c r="E121" s="38" t="s">
        <v>83</v>
      </c>
      <c r="F121" s="39"/>
      <c r="G121" s="39"/>
      <c r="H121" s="39"/>
      <c r="I121" s="40">
        <v>1</v>
      </c>
      <c r="J121" s="38" t="s">
        <v>11</v>
      </c>
      <c r="K121" s="38" t="s">
        <v>12</v>
      </c>
      <c r="L121" s="38" t="s">
        <v>80</v>
      </c>
      <c r="M121" s="39"/>
    </row>
    <row r="122" spans="1:13" outlineLevel="2" x14ac:dyDescent="0.25">
      <c r="A122" s="50">
        <f t="shared" si="20"/>
        <v>121</v>
      </c>
      <c r="B122" s="41" t="s">
        <v>83</v>
      </c>
      <c r="C122" s="41" t="s">
        <v>14</v>
      </c>
      <c r="D122" s="41" t="s">
        <v>75</v>
      </c>
      <c r="E122" s="41" t="s">
        <v>76</v>
      </c>
      <c r="F122" s="42">
        <v>10270</v>
      </c>
      <c r="G122" s="42">
        <f t="shared" ref="G122:G124" si="31">0.6*F122</f>
        <v>6162</v>
      </c>
      <c r="H122" s="42">
        <f t="shared" ref="H122:H127" si="32">G122*I122</f>
        <v>6162</v>
      </c>
      <c r="I122" s="49">
        <v>1</v>
      </c>
      <c r="J122" s="50" t="s">
        <v>197</v>
      </c>
      <c r="K122" s="50" t="s">
        <v>18</v>
      </c>
      <c r="L122" s="50" t="s">
        <v>80</v>
      </c>
      <c r="M122" s="42">
        <v>6162</v>
      </c>
    </row>
    <row r="123" spans="1:13" outlineLevel="2" x14ac:dyDescent="0.25">
      <c r="A123" s="50">
        <f t="shared" si="20"/>
        <v>122</v>
      </c>
      <c r="B123" s="41" t="s">
        <v>83</v>
      </c>
      <c r="C123" s="41" t="s">
        <v>23</v>
      </c>
      <c r="D123" s="41" t="s">
        <v>26</v>
      </c>
      <c r="E123" s="41" t="s">
        <v>27</v>
      </c>
      <c r="F123" s="42">
        <v>2337</v>
      </c>
      <c r="G123" s="42">
        <f t="shared" si="31"/>
        <v>1402.2</v>
      </c>
      <c r="H123" s="42">
        <f t="shared" si="32"/>
        <v>1402.2</v>
      </c>
      <c r="I123" s="49">
        <v>1</v>
      </c>
      <c r="J123" s="50" t="s">
        <v>197</v>
      </c>
      <c r="K123" s="50" t="s">
        <v>22</v>
      </c>
      <c r="L123" s="50" t="s">
        <v>80</v>
      </c>
      <c r="M123" s="42">
        <v>1402.2</v>
      </c>
    </row>
    <row r="124" spans="1:13" outlineLevel="2" x14ac:dyDescent="0.25">
      <c r="A124" s="50">
        <f t="shared" si="20"/>
        <v>123</v>
      </c>
      <c r="B124" s="41" t="s">
        <v>83</v>
      </c>
      <c r="C124" s="41" t="s">
        <v>23</v>
      </c>
      <c r="D124" s="41" t="s">
        <v>28</v>
      </c>
      <c r="E124" s="41" t="s">
        <v>29</v>
      </c>
      <c r="F124" s="42">
        <v>1389</v>
      </c>
      <c r="G124" s="42">
        <f t="shared" si="31"/>
        <v>833.4</v>
      </c>
      <c r="H124" s="42">
        <f t="shared" si="32"/>
        <v>3333.6</v>
      </c>
      <c r="I124" s="49">
        <v>4</v>
      </c>
      <c r="J124" s="50" t="s">
        <v>197</v>
      </c>
      <c r="K124" s="50" t="s">
        <v>22</v>
      </c>
      <c r="L124" s="50" t="s">
        <v>80</v>
      </c>
      <c r="M124" s="42">
        <v>3333.6</v>
      </c>
    </row>
    <row r="125" spans="1:13" outlineLevel="2" x14ac:dyDescent="0.25">
      <c r="A125" s="61">
        <f t="shared" si="20"/>
        <v>124</v>
      </c>
      <c r="B125" s="58" t="s">
        <v>83</v>
      </c>
      <c r="C125" s="58" t="s">
        <v>198</v>
      </c>
      <c r="D125" s="59" t="s">
        <v>341</v>
      </c>
      <c r="E125" s="58" t="s">
        <v>342</v>
      </c>
      <c r="F125" s="60">
        <v>1055</v>
      </c>
      <c r="G125" s="60">
        <f t="shared" ref="G125:G127" si="33">F125</f>
        <v>1055</v>
      </c>
      <c r="H125" s="60">
        <f t="shared" si="32"/>
        <v>1055</v>
      </c>
      <c r="I125" s="57">
        <v>1</v>
      </c>
      <c r="J125" s="61" t="s">
        <v>197</v>
      </c>
      <c r="K125" s="61" t="s">
        <v>49</v>
      </c>
      <c r="L125" s="50" t="s">
        <v>80</v>
      </c>
      <c r="M125" s="60">
        <v>1055</v>
      </c>
    </row>
    <row r="126" spans="1:13" outlineLevel="2" x14ac:dyDescent="0.25">
      <c r="A126" s="61">
        <f t="shared" si="20"/>
        <v>125</v>
      </c>
      <c r="B126" s="58" t="s">
        <v>83</v>
      </c>
      <c r="C126" s="58" t="s">
        <v>198</v>
      </c>
      <c r="D126" s="59" t="s">
        <v>339</v>
      </c>
      <c r="E126" s="58" t="s">
        <v>340</v>
      </c>
      <c r="F126" s="60">
        <v>1135</v>
      </c>
      <c r="G126" s="60">
        <f t="shared" si="33"/>
        <v>1135</v>
      </c>
      <c r="H126" s="60">
        <f t="shared" si="32"/>
        <v>1135</v>
      </c>
      <c r="I126" s="57">
        <v>1</v>
      </c>
      <c r="J126" s="61" t="s">
        <v>197</v>
      </c>
      <c r="K126" s="61" t="s">
        <v>49</v>
      </c>
      <c r="L126" s="50" t="s">
        <v>80</v>
      </c>
      <c r="M126" s="60">
        <v>1135</v>
      </c>
    </row>
    <row r="127" spans="1:13" outlineLevel="2" x14ac:dyDescent="0.25">
      <c r="A127" s="61">
        <f t="shared" si="20"/>
        <v>126</v>
      </c>
      <c r="B127" s="58" t="s">
        <v>83</v>
      </c>
      <c r="C127" s="58" t="s">
        <v>212</v>
      </c>
      <c r="D127" s="59" t="s">
        <v>353</v>
      </c>
      <c r="E127" s="58" t="s">
        <v>353</v>
      </c>
      <c r="F127" s="60">
        <v>190</v>
      </c>
      <c r="G127" s="60">
        <f t="shared" si="33"/>
        <v>190</v>
      </c>
      <c r="H127" s="60">
        <f t="shared" si="32"/>
        <v>190</v>
      </c>
      <c r="I127" s="57">
        <v>1</v>
      </c>
      <c r="J127" s="61" t="s">
        <v>197</v>
      </c>
      <c r="K127" s="61" t="s">
        <v>49</v>
      </c>
      <c r="L127" s="50" t="s">
        <v>80</v>
      </c>
      <c r="M127" s="60">
        <v>190</v>
      </c>
    </row>
    <row r="128" spans="1:13" ht="24" outlineLevel="2" x14ac:dyDescent="0.25">
      <c r="A128" s="50">
        <f t="shared" si="20"/>
        <v>127</v>
      </c>
      <c r="B128" s="41" t="s">
        <v>83</v>
      </c>
      <c r="C128" s="41" t="s">
        <v>216</v>
      </c>
      <c r="D128" s="41" t="s">
        <v>216</v>
      </c>
      <c r="E128" s="41" t="s">
        <v>217</v>
      </c>
      <c r="F128" s="42">
        <f ca="1">OFFSET(F128,1,2)</f>
        <v>1200</v>
      </c>
      <c r="G128" s="42">
        <f ca="1">F128</f>
        <v>1200</v>
      </c>
      <c r="H128" s="42">
        <f ca="1">G128*I128</f>
        <v>1200</v>
      </c>
      <c r="I128" s="49">
        <v>1</v>
      </c>
      <c r="J128" s="50" t="s">
        <v>197</v>
      </c>
      <c r="K128" s="41" t="s">
        <v>216</v>
      </c>
      <c r="L128" s="50" t="s">
        <v>80</v>
      </c>
      <c r="M128" s="42">
        <v>1200</v>
      </c>
    </row>
    <row r="129" spans="1:13" outlineLevel="2" x14ac:dyDescent="0.25">
      <c r="A129" s="50">
        <f t="shared" si="20"/>
        <v>128</v>
      </c>
      <c r="B129" s="41" t="s">
        <v>83</v>
      </c>
      <c r="C129" s="41" t="s">
        <v>218</v>
      </c>
      <c r="D129" s="41" t="s">
        <v>218</v>
      </c>
      <c r="E129" s="41" t="s">
        <v>219</v>
      </c>
      <c r="F129" s="42">
        <v>0.2</v>
      </c>
      <c r="G129" s="42">
        <v>100</v>
      </c>
      <c r="H129" s="42">
        <f>IF(OR(G129="",I129=""),"",G129*I129)</f>
        <v>1200</v>
      </c>
      <c r="I129" s="49">
        <f>60*F129</f>
        <v>12</v>
      </c>
      <c r="J129" s="50" t="s">
        <v>197</v>
      </c>
      <c r="K129" s="41" t="s">
        <v>218</v>
      </c>
      <c r="L129" s="50" t="s">
        <v>80</v>
      </c>
      <c r="M129" s="42">
        <v>1200</v>
      </c>
    </row>
    <row r="130" spans="1:13" outlineLevel="1" x14ac:dyDescent="0.25">
      <c r="A130" s="50"/>
      <c r="B130" s="65" t="s">
        <v>377</v>
      </c>
      <c r="C130" s="41"/>
      <c r="D130" s="41"/>
      <c r="E130" s="41"/>
      <c r="F130" s="42"/>
      <c r="G130" s="42"/>
      <c r="H130" s="42">
        <f ca="1">SUBTOTAL(9,H121:H129)</f>
        <v>15677.8</v>
      </c>
      <c r="I130" s="49"/>
      <c r="J130" s="50"/>
      <c r="K130" s="41"/>
      <c r="L130" s="50"/>
      <c r="M130" s="42">
        <v>15677.8</v>
      </c>
    </row>
    <row r="131" spans="1:13" ht="24" customHeight="1" outlineLevel="2" x14ac:dyDescent="0.25">
      <c r="A131" s="38">
        <f>ROW(A129)</f>
        <v>129</v>
      </c>
      <c r="B131" s="38" t="s">
        <v>221</v>
      </c>
      <c r="C131" s="38"/>
      <c r="D131" s="38"/>
      <c r="E131" s="38" t="s">
        <v>221</v>
      </c>
      <c r="F131" s="39"/>
      <c r="G131" s="39"/>
      <c r="H131" s="39"/>
      <c r="I131" s="40">
        <v>1</v>
      </c>
      <c r="J131" s="38" t="s">
        <v>11</v>
      </c>
      <c r="K131" s="38" t="s">
        <v>12</v>
      </c>
      <c r="L131" s="38" t="s">
        <v>80</v>
      </c>
      <c r="M131" s="39"/>
    </row>
    <row r="132" spans="1:13" outlineLevel="2" x14ac:dyDescent="0.25">
      <c r="A132" s="50">
        <f t="shared" si="20"/>
        <v>131</v>
      </c>
      <c r="B132" s="41" t="s">
        <v>221</v>
      </c>
      <c r="C132" s="41" t="s">
        <v>14</v>
      </c>
      <c r="D132" s="41"/>
      <c r="E132" s="41" t="s">
        <v>329</v>
      </c>
      <c r="F132" s="42">
        <v>20000</v>
      </c>
      <c r="G132" s="42">
        <f>0.6*F132</f>
        <v>12000</v>
      </c>
      <c r="H132" s="42">
        <f>G132*I132</f>
        <v>12000</v>
      </c>
      <c r="I132" s="49">
        <v>1</v>
      </c>
      <c r="J132" s="50" t="s">
        <v>197</v>
      </c>
      <c r="K132" s="50" t="s">
        <v>18</v>
      </c>
      <c r="L132" s="50" t="s">
        <v>80</v>
      </c>
      <c r="M132" s="42">
        <v>12000</v>
      </c>
    </row>
    <row r="133" spans="1:13" outlineLevel="2" x14ac:dyDescent="0.25">
      <c r="A133" s="61">
        <f t="shared" si="20"/>
        <v>132</v>
      </c>
      <c r="B133" s="58" t="s">
        <v>221</v>
      </c>
      <c r="C133" s="58" t="s">
        <v>46</v>
      </c>
      <c r="D133" s="59" t="s">
        <v>358</v>
      </c>
      <c r="E133" s="58" t="s">
        <v>359</v>
      </c>
      <c r="F133" s="60">
        <v>8202</v>
      </c>
      <c r="G133" s="60">
        <f>F133</f>
        <v>8202</v>
      </c>
      <c r="H133" s="60">
        <f>G133*I133</f>
        <v>8202</v>
      </c>
      <c r="I133" s="57">
        <v>1</v>
      </c>
      <c r="J133" s="61" t="s">
        <v>197</v>
      </c>
      <c r="K133" s="61" t="s">
        <v>49</v>
      </c>
      <c r="L133" s="50" t="s">
        <v>80</v>
      </c>
      <c r="M133" s="60">
        <v>8202</v>
      </c>
    </row>
    <row r="134" spans="1:13" outlineLevel="2" x14ac:dyDescent="0.25">
      <c r="A134" s="50">
        <f t="shared" si="20"/>
        <v>133</v>
      </c>
      <c r="B134" s="41" t="s">
        <v>221</v>
      </c>
      <c r="C134" s="41" t="s">
        <v>41</v>
      </c>
      <c r="D134" s="41" t="s">
        <v>42</v>
      </c>
      <c r="E134" s="41" t="s">
        <v>43</v>
      </c>
      <c r="F134" s="42">
        <v>1545</v>
      </c>
      <c r="G134" s="42">
        <f t="shared" ref="G134:G135" si="34">0.6*F134</f>
        <v>927</v>
      </c>
      <c r="H134" s="42">
        <f t="shared" ref="H134:H135" si="35">G134*I134</f>
        <v>2781</v>
      </c>
      <c r="I134" s="49">
        <v>3</v>
      </c>
      <c r="J134" s="50" t="s">
        <v>197</v>
      </c>
      <c r="K134" s="50" t="s">
        <v>22</v>
      </c>
      <c r="L134" s="50" t="s">
        <v>80</v>
      </c>
      <c r="M134" s="42">
        <v>2781</v>
      </c>
    </row>
    <row r="135" spans="1:13" outlineLevel="2" x14ac:dyDescent="0.25">
      <c r="A135" s="50">
        <f t="shared" si="20"/>
        <v>134</v>
      </c>
      <c r="B135" s="41" t="s">
        <v>221</v>
      </c>
      <c r="C135" s="41" t="s">
        <v>41</v>
      </c>
      <c r="D135" s="41" t="s">
        <v>44</v>
      </c>
      <c r="E135" s="41" t="s">
        <v>45</v>
      </c>
      <c r="F135" s="42">
        <v>2038</v>
      </c>
      <c r="G135" s="42">
        <f t="shared" si="34"/>
        <v>1222.8</v>
      </c>
      <c r="H135" s="42">
        <f t="shared" si="35"/>
        <v>3668.3999999999996</v>
      </c>
      <c r="I135" s="49">
        <v>3</v>
      </c>
      <c r="J135" s="50" t="s">
        <v>197</v>
      </c>
      <c r="K135" s="50" t="s">
        <v>22</v>
      </c>
      <c r="L135" s="50" t="s">
        <v>80</v>
      </c>
      <c r="M135" s="42">
        <v>3668.3999999999996</v>
      </c>
    </row>
    <row r="136" spans="1:13" ht="24" outlineLevel="2" x14ac:dyDescent="0.25">
      <c r="A136" s="50">
        <f t="shared" si="20"/>
        <v>135</v>
      </c>
      <c r="B136" s="41" t="s">
        <v>221</v>
      </c>
      <c r="C136" s="41" t="s">
        <v>216</v>
      </c>
      <c r="D136" s="41" t="s">
        <v>216</v>
      </c>
      <c r="E136" s="41" t="s">
        <v>217</v>
      </c>
      <c r="F136" s="42">
        <f ca="1">OFFSET(F136,1,2)</f>
        <v>9000</v>
      </c>
      <c r="G136" s="42">
        <f ca="1">F136</f>
        <v>9000</v>
      </c>
      <c r="H136" s="42">
        <f ca="1">G136*I136</f>
        <v>9000</v>
      </c>
      <c r="I136" s="49">
        <v>1</v>
      </c>
      <c r="J136" s="50" t="s">
        <v>197</v>
      </c>
      <c r="K136" s="41" t="s">
        <v>216</v>
      </c>
      <c r="L136" s="50" t="s">
        <v>80</v>
      </c>
      <c r="M136" s="42">
        <v>9000</v>
      </c>
    </row>
    <row r="137" spans="1:13" outlineLevel="2" x14ac:dyDescent="0.25">
      <c r="A137" s="50">
        <f t="shared" si="20"/>
        <v>136</v>
      </c>
      <c r="B137" s="41" t="s">
        <v>221</v>
      </c>
      <c r="C137" s="41" t="s">
        <v>218</v>
      </c>
      <c r="D137" s="41" t="s">
        <v>218</v>
      </c>
      <c r="E137" s="41" t="s">
        <v>219</v>
      </c>
      <c r="F137" s="42">
        <v>1.5</v>
      </c>
      <c r="G137" s="42">
        <v>100</v>
      </c>
      <c r="H137" s="42">
        <f>IF(OR(G137="",I137=""),"",G137*I137)</f>
        <v>9000</v>
      </c>
      <c r="I137" s="49">
        <f>60*F137</f>
        <v>90</v>
      </c>
      <c r="J137" s="50" t="s">
        <v>197</v>
      </c>
      <c r="K137" s="41" t="s">
        <v>218</v>
      </c>
      <c r="L137" s="50" t="s">
        <v>80</v>
      </c>
      <c r="M137" s="42">
        <v>9000</v>
      </c>
    </row>
    <row r="138" spans="1:13" ht="24" outlineLevel="1" x14ac:dyDescent="0.25">
      <c r="A138" s="50"/>
      <c r="B138" s="65" t="s">
        <v>369</v>
      </c>
      <c r="C138" s="41"/>
      <c r="D138" s="41"/>
      <c r="E138" s="41"/>
      <c r="F138" s="42"/>
      <c r="G138" s="42"/>
      <c r="H138" s="42">
        <f ca="1">SUBTOTAL(9,H131:H137)</f>
        <v>44651.4</v>
      </c>
      <c r="I138" s="49"/>
      <c r="J138" s="50"/>
      <c r="K138" s="41"/>
      <c r="L138" s="50"/>
      <c r="M138" s="42">
        <v>44651.4</v>
      </c>
    </row>
    <row r="139" spans="1:13" ht="24" customHeight="1" outlineLevel="2" x14ac:dyDescent="0.25">
      <c r="A139" s="38">
        <f>ROW(A137)</f>
        <v>137</v>
      </c>
      <c r="B139" s="38" t="s">
        <v>84</v>
      </c>
      <c r="C139" s="38"/>
      <c r="D139" s="38"/>
      <c r="E139" s="38" t="s">
        <v>84</v>
      </c>
      <c r="F139" s="39"/>
      <c r="G139" s="39"/>
      <c r="H139" s="39"/>
      <c r="I139" s="40">
        <v>1</v>
      </c>
      <c r="J139" s="38" t="s">
        <v>11</v>
      </c>
      <c r="K139" s="38" t="s">
        <v>12</v>
      </c>
      <c r="L139" s="38" t="s">
        <v>85</v>
      </c>
      <c r="M139" s="39"/>
    </row>
    <row r="140" spans="1:13" outlineLevel="2" x14ac:dyDescent="0.25">
      <c r="A140" s="50">
        <f t="shared" si="20"/>
        <v>139</v>
      </c>
      <c r="B140" s="41" t="s">
        <v>84</v>
      </c>
      <c r="C140" s="41" t="s">
        <v>14</v>
      </c>
      <c r="D140" s="41" t="s">
        <v>15</v>
      </c>
      <c r="E140" s="41" t="s">
        <v>16</v>
      </c>
      <c r="F140" s="42">
        <v>15000</v>
      </c>
      <c r="G140" s="42">
        <f t="shared" ref="G140:G145" si="36">0.6*F140</f>
        <v>9000</v>
      </c>
      <c r="H140" s="42">
        <f t="shared" ref="H140:H148" si="37">G140*I140</f>
        <v>9000</v>
      </c>
      <c r="I140" s="49">
        <v>1</v>
      </c>
      <c r="J140" s="50" t="s">
        <v>197</v>
      </c>
      <c r="K140" s="50" t="s">
        <v>18</v>
      </c>
      <c r="L140" s="50" t="s">
        <v>85</v>
      </c>
      <c r="M140" s="42">
        <v>9000</v>
      </c>
    </row>
    <row r="141" spans="1:13" outlineLevel="2" x14ac:dyDescent="0.25">
      <c r="A141" s="50">
        <f t="shared" si="20"/>
        <v>140</v>
      </c>
      <c r="B141" s="41" t="s">
        <v>84</v>
      </c>
      <c r="C141" s="41" t="s">
        <v>23</v>
      </c>
      <c r="D141" s="41" t="s">
        <v>24</v>
      </c>
      <c r="E141" s="41" t="s">
        <v>25</v>
      </c>
      <c r="F141" s="42">
        <v>11015</v>
      </c>
      <c r="G141" s="42">
        <f t="shared" si="36"/>
        <v>6609</v>
      </c>
      <c r="H141" s="42">
        <f t="shared" si="37"/>
        <v>6609</v>
      </c>
      <c r="I141" s="49">
        <v>1</v>
      </c>
      <c r="J141" s="50" t="s">
        <v>197</v>
      </c>
      <c r="K141" s="50" t="s">
        <v>22</v>
      </c>
      <c r="L141" s="50" t="s">
        <v>85</v>
      </c>
      <c r="M141" s="42">
        <v>6609</v>
      </c>
    </row>
    <row r="142" spans="1:13" outlineLevel="2" x14ac:dyDescent="0.25">
      <c r="A142" s="50">
        <f t="shared" si="20"/>
        <v>141</v>
      </c>
      <c r="B142" s="41" t="s">
        <v>84</v>
      </c>
      <c r="C142" s="41" t="s">
        <v>23</v>
      </c>
      <c r="D142" s="41" t="s">
        <v>53</v>
      </c>
      <c r="E142" s="41" t="s">
        <v>54</v>
      </c>
      <c r="F142" s="42">
        <v>10949</v>
      </c>
      <c r="G142" s="42">
        <f t="shared" si="36"/>
        <v>6569.4</v>
      </c>
      <c r="H142" s="42">
        <f t="shared" si="37"/>
        <v>6569.4</v>
      </c>
      <c r="I142" s="49">
        <v>1</v>
      </c>
      <c r="J142" s="50" t="s">
        <v>197</v>
      </c>
      <c r="K142" s="50" t="s">
        <v>22</v>
      </c>
      <c r="L142" s="50" t="s">
        <v>85</v>
      </c>
      <c r="M142" s="42">
        <v>6569.4</v>
      </c>
    </row>
    <row r="143" spans="1:13" outlineLevel="2" x14ac:dyDescent="0.25">
      <c r="A143" s="50">
        <f t="shared" si="20"/>
        <v>142</v>
      </c>
      <c r="B143" s="41" t="s">
        <v>84</v>
      </c>
      <c r="C143" s="41" t="s">
        <v>23</v>
      </c>
      <c r="D143" s="41" t="s">
        <v>26</v>
      </c>
      <c r="E143" s="41" t="s">
        <v>27</v>
      </c>
      <c r="F143" s="42">
        <v>2337</v>
      </c>
      <c r="G143" s="42">
        <f t="shared" si="36"/>
        <v>1402.2</v>
      </c>
      <c r="H143" s="42">
        <f t="shared" si="37"/>
        <v>2804.4</v>
      </c>
      <c r="I143" s="49">
        <v>2</v>
      </c>
      <c r="J143" s="50" t="s">
        <v>197</v>
      </c>
      <c r="K143" s="50" t="s">
        <v>22</v>
      </c>
      <c r="L143" s="50" t="s">
        <v>85</v>
      </c>
      <c r="M143" s="42">
        <v>2804.4</v>
      </c>
    </row>
    <row r="144" spans="1:13" outlineLevel="2" x14ac:dyDescent="0.25">
      <c r="A144" s="50">
        <f t="shared" si="20"/>
        <v>143</v>
      </c>
      <c r="B144" s="41" t="s">
        <v>84</v>
      </c>
      <c r="C144" s="41" t="s">
        <v>23</v>
      </c>
      <c r="D144" s="41" t="s">
        <v>28</v>
      </c>
      <c r="E144" s="41" t="s">
        <v>29</v>
      </c>
      <c r="F144" s="42">
        <v>1389</v>
      </c>
      <c r="G144" s="42">
        <f t="shared" si="36"/>
        <v>833.4</v>
      </c>
      <c r="H144" s="42">
        <f t="shared" si="37"/>
        <v>4167</v>
      </c>
      <c r="I144" s="49">
        <v>5</v>
      </c>
      <c r="J144" s="50" t="s">
        <v>197</v>
      </c>
      <c r="K144" s="50" t="s">
        <v>22</v>
      </c>
      <c r="L144" s="50" t="s">
        <v>85</v>
      </c>
      <c r="M144" s="42">
        <v>4167</v>
      </c>
    </row>
    <row r="145" spans="1:13" outlineLevel="2" x14ac:dyDescent="0.25">
      <c r="A145" s="50">
        <f t="shared" ref="A145:A215" si="38">ROW(A144)</f>
        <v>144</v>
      </c>
      <c r="B145" s="41" t="s">
        <v>84</v>
      </c>
      <c r="C145" s="41" t="s">
        <v>30</v>
      </c>
      <c r="D145" s="41" t="s">
        <v>31</v>
      </c>
      <c r="E145" s="41" t="s">
        <v>32</v>
      </c>
      <c r="F145" s="42">
        <v>4160</v>
      </c>
      <c r="G145" s="42">
        <f t="shared" si="36"/>
        <v>2496</v>
      </c>
      <c r="H145" s="42">
        <f t="shared" si="37"/>
        <v>2496</v>
      </c>
      <c r="I145" s="49">
        <v>1</v>
      </c>
      <c r="J145" s="50" t="s">
        <v>197</v>
      </c>
      <c r="K145" s="50" t="s">
        <v>22</v>
      </c>
      <c r="L145" s="50" t="s">
        <v>85</v>
      </c>
      <c r="M145" s="42">
        <v>2496</v>
      </c>
    </row>
    <row r="146" spans="1:13" outlineLevel="2" x14ac:dyDescent="0.25">
      <c r="A146" s="61">
        <f t="shared" si="38"/>
        <v>145</v>
      </c>
      <c r="B146" s="58" t="s">
        <v>84</v>
      </c>
      <c r="C146" s="58" t="s">
        <v>198</v>
      </c>
      <c r="D146" s="59" t="s">
        <v>341</v>
      </c>
      <c r="E146" s="58" t="s">
        <v>342</v>
      </c>
      <c r="F146" s="60">
        <v>1055</v>
      </c>
      <c r="G146" s="60">
        <f t="shared" ref="G146:G148" si="39">F146</f>
        <v>1055</v>
      </c>
      <c r="H146" s="60">
        <f t="shared" si="37"/>
        <v>1055</v>
      </c>
      <c r="I146" s="57">
        <v>1</v>
      </c>
      <c r="J146" s="61" t="s">
        <v>197</v>
      </c>
      <c r="K146" s="61" t="s">
        <v>49</v>
      </c>
      <c r="L146" s="50" t="s">
        <v>85</v>
      </c>
      <c r="M146" s="60">
        <v>1055</v>
      </c>
    </row>
    <row r="147" spans="1:13" outlineLevel="2" x14ac:dyDescent="0.25">
      <c r="A147" s="61">
        <f t="shared" si="38"/>
        <v>146</v>
      </c>
      <c r="B147" s="58" t="s">
        <v>84</v>
      </c>
      <c r="C147" s="58" t="s">
        <v>198</v>
      </c>
      <c r="D147" s="59" t="s">
        <v>339</v>
      </c>
      <c r="E147" s="58" t="s">
        <v>340</v>
      </c>
      <c r="F147" s="60">
        <v>1135</v>
      </c>
      <c r="G147" s="60">
        <f t="shared" si="39"/>
        <v>1135</v>
      </c>
      <c r="H147" s="60">
        <f t="shared" si="37"/>
        <v>1135</v>
      </c>
      <c r="I147" s="57">
        <v>1</v>
      </c>
      <c r="J147" s="61" t="s">
        <v>197</v>
      </c>
      <c r="K147" s="61" t="s">
        <v>49</v>
      </c>
      <c r="L147" s="50" t="s">
        <v>85</v>
      </c>
      <c r="M147" s="60">
        <v>1135</v>
      </c>
    </row>
    <row r="148" spans="1:13" outlineLevel="2" x14ac:dyDescent="0.25">
      <c r="A148" s="61">
        <f t="shared" si="38"/>
        <v>147</v>
      </c>
      <c r="B148" s="58" t="s">
        <v>84</v>
      </c>
      <c r="C148" s="58" t="s">
        <v>212</v>
      </c>
      <c r="D148" s="59" t="s">
        <v>353</v>
      </c>
      <c r="E148" s="58" t="s">
        <v>353</v>
      </c>
      <c r="F148" s="60">
        <v>190</v>
      </c>
      <c r="G148" s="60">
        <f t="shared" si="39"/>
        <v>190</v>
      </c>
      <c r="H148" s="60">
        <f t="shared" si="37"/>
        <v>190</v>
      </c>
      <c r="I148" s="57">
        <v>1</v>
      </c>
      <c r="J148" s="61" t="s">
        <v>197</v>
      </c>
      <c r="K148" s="61" t="s">
        <v>49</v>
      </c>
      <c r="L148" s="50" t="s">
        <v>85</v>
      </c>
      <c r="M148" s="60">
        <v>190</v>
      </c>
    </row>
    <row r="149" spans="1:13" ht="24" outlineLevel="2" x14ac:dyDescent="0.25">
      <c r="A149" s="50">
        <f t="shared" si="38"/>
        <v>148</v>
      </c>
      <c r="B149" s="41" t="s">
        <v>84</v>
      </c>
      <c r="C149" s="41" t="s">
        <v>216</v>
      </c>
      <c r="D149" s="41" t="s">
        <v>216</v>
      </c>
      <c r="E149" s="41" t="s">
        <v>217</v>
      </c>
      <c r="F149" s="42">
        <f ca="1">OFFSET(F149,1,2)</f>
        <v>10200</v>
      </c>
      <c r="G149" s="42">
        <f ca="1">F149</f>
        <v>10200</v>
      </c>
      <c r="H149" s="42">
        <f ca="1">G149*I149</f>
        <v>10200</v>
      </c>
      <c r="I149" s="49">
        <v>1</v>
      </c>
      <c r="J149" s="50" t="s">
        <v>197</v>
      </c>
      <c r="K149" s="41" t="s">
        <v>216</v>
      </c>
      <c r="L149" s="50" t="s">
        <v>85</v>
      </c>
      <c r="M149" s="42">
        <v>10200</v>
      </c>
    </row>
    <row r="150" spans="1:13" outlineLevel="2" x14ac:dyDescent="0.25">
      <c r="A150" s="50">
        <f t="shared" si="38"/>
        <v>149</v>
      </c>
      <c r="B150" s="41" t="s">
        <v>84</v>
      </c>
      <c r="C150" s="41" t="s">
        <v>218</v>
      </c>
      <c r="D150" s="41" t="s">
        <v>218</v>
      </c>
      <c r="E150" s="41" t="s">
        <v>219</v>
      </c>
      <c r="F150" s="42">
        <v>1.7</v>
      </c>
      <c r="G150" s="42">
        <v>100</v>
      </c>
      <c r="H150" s="42">
        <f>IF(OR(G150="",I150=""),"",G150*I150)</f>
        <v>10200</v>
      </c>
      <c r="I150" s="49">
        <f>60*F150</f>
        <v>102</v>
      </c>
      <c r="J150" s="50" t="s">
        <v>197</v>
      </c>
      <c r="K150" s="41" t="s">
        <v>218</v>
      </c>
      <c r="L150" s="50" t="s">
        <v>85</v>
      </c>
      <c r="M150" s="42">
        <v>10200</v>
      </c>
    </row>
    <row r="151" spans="1:13" outlineLevel="1" x14ac:dyDescent="0.25">
      <c r="A151" s="50"/>
      <c r="B151" s="65" t="s">
        <v>378</v>
      </c>
      <c r="C151" s="41"/>
      <c r="D151" s="41"/>
      <c r="E151" s="41"/>
      <c r="F151" s="42"/>
      <c r="G151" s="42"/>
      <c r="H151" s="42">
        <f ca="1">SUBTOTAL(9,H139:H150)</f>
        <v>54425.8</v>
      </c>
      <c r="I151" s="49"/>
      <c r="J151" s="50"/>
      <c r="K151" s="41"/>
      <c r="L151" s="50"/>
      <c r="M151" s="42">
        <v>54425.8</v>
      </c>
    </row>
    <row r="152" spans="1:13" ht="24" customHeight="1" outlineLevel="2" x14ac:dyDescent="0.25">
      <c r="A152" s="38">
        <f>ROW(A150)</f>
        <v>150</v>
      </c>
      <c r="B152" s="38" t="s">
        <v>86</v>
      </c>
      <c r="C152" s="38"/>
      <c r="D152" s="38"/>
      <c r="E152" s="38" t="s">
        <v>86</v>
      </c>
      <c r="F152" s="39"/>
      <c r="G152" s="39"/>
      <c r="H152" s="39"/>
      <c r="I152" s="40">
        <v>1</v>
      </c>
      <c r="J152" s="38" t="s">
        <v>11</v>
      </c>
      <c r="K152" s="38" t="s">
        <v>12</v>
      </c>
      <c r="L152" s="38" t="s">
        <v>85</v>
      </c>
      <c r="M152" s="39"/>
    </row>
    <row r="153" spans="1:13" outlineLevel="2" x14ac:dyDescent="0.25">
      <c r="A153" s="52">
        <f t="shared" si="38"/>
        <v>152</v>
      </c>
      <c r="B153" s="43" t="s">
        <v>86</v>
      </c>
      <c r="C153" s="43" t="s">
        <v>14</v>
      </c>
      <c r="D153" s="41" t="s">
        <v>15</v>
      </c>
      <c r="E153" s="41" t="s">
        <v>16</v>
      </c>
      <c r="F153" s="42">
        <v>15000</v>
      </c>
      <c r="G153" s="42">
        <f t="shared" ref="G153:G157" si="40">0.6*F153</f>
        <v>9000</v>
      </c>
      <c r="H153" s="42">
        <f t="shared" ref="H153:H160" si="41">G153*I153</f>
        <v>9000</v>
      </c>
      <c r="I153" s="51">
        <v>1</v>
      </c>
      <c r="J153" s="52" t="s">
        <v>197</v>
      </c>
      <c r="K153" s="50" t="s">
        <v>18</v>
      </c>
      <c r="L153" s="50" t="s">
        <v>85</v>
      </c>
      <c r="M153" s="42">
        <v>9000</v>
      </c>
    </row>
    <row r="154" spans="1:13" outlineLevel="2" x14ac:dyDescent="0.25">
      <c r="A154" s="50">
        <f t="shared" si="38"/>
        <v>153</v>
      </c>
      <c r="B154" s="41" t="s">
        <v>86</v>
      </c>
      <c r="C154" s="41" t="s">
        <v>23</v>
      </c>
      <c r="D154" s="41" t="s">
        <v>55</v>
      </c>
      <c r="E154" s="41" t="s">
        <v>56</v>
      </c>
      <c r="F154" s="42">
        <v>3172</v>
      </c>
      <c r="G154" s="42">
        <f t="shared" si="40"/>
        <v>1903.1999999999998</v>
      </c>
      <c r="H154" s="42">
        <f t="shared" si="41"/>
        <v>1903.1999999999998</v>
      </c>
      <c r="I154" s="49">
        <v>1</v>
      </c>
      <c r="J154" s="50" t="s">
        <v>197</v>
      </c>
      <c r="K154" s="50" t="s">
        <v>22</v>
      </c>
      <c r="L154" s="50" t="s">
        <v>85</v>
      </c>
      <c r="M154" s="42">
        <v>1903.1999999999998</v>
      </c>
    </row>
    <row r="155" spans="1:13" outlineLevel="2" x14ac:dyDescent="0.25">
      <c r="A155" s="50">
        <f t="shared" si="38"/>
        <v>154</v>
      </c>
      <c r="B155" s="41" t="s">
        <v>86</v>
      </c>
      <c r="C155" s="41" t="s">
        <v>23</v>
      </c>
      <c r="D155" s="41" t="s">
        <v>57</v>
      </c>
      <c r="E155" s="41" t="s">
        <v>58</v>
      </c>
      <c r="F155" s="42">
        <v>2429</v>
      </c>
      <c r="G155" s="42">
        <f t="shared" si="40"/>
        <v>1457.3999999999999</v>
      </c>
      <c r="H155" s="42">
        <f t="shared" si="41"/>
        <v>1457.3999999999999</v>
      </c>
      <c r="I155" s="49">
        <v>1</v>
      </c>
      <c r="J155" s="50" t="s">
        <v>197</v>
      </c>
      <c r="K155" s="50" t="s">
        <v>22</v>
      </c>
      <c r="L155" s="50" t="s">
        <v>85</v>
      </c>
      <c r="M155" s="42">
        <v>1457.3999999999999</v>
      </c>
    </row>
    <row r="156" spans="1:13" outlineLevel="2" x14ac:dyDescent="0.25">
      <c r="A156" s="50">
        <f t="shared" si="38"/>
        <v>155</v>
      </c>
      <c r="B156" s="41" t="s">
        <v>86</v>
      </c>
      <c r="C156" s="41" t="s">
        <v>23</v>
      </c>
      <c r="D156" s="41" t="s">
        <v>26</v>
      </c>
      <c r="E156" s="41" t="s">
        <v>27</v>
      </c>
      <c r="F156" s="42">
        <v>2337</v>
      </c>
      <c r="G156" s="42">
        <f t="shared" si="40"/>
        <v>1402.2</v>
      </c>
      <c r="H156" s="42">
        <f t="shared" si="41"/>
        <v>1402.2</v>
      </c>
      <c r="I156" s="49">
        <v>1</v>
      </c>
      <c r="J156" s="50" t="s">
        <v>197</v>
      </c>
      <c r="K156" s="50" t="s">
        <v>22</v>
      </c>
      <c r="L156" s="50" t="s">
        <v>85</v>
      </c>
      <c r="M156" s="42">
        <v>1402.2</v>
      </c>
    </row>
    <row r="157" spans="1:13" outlineLevel="2" x14ac:dyDescent="0.25">
      <c r="A157" s="50">
        <f t="shared" si="38"/>
        <v>156</v>
      </c>
      <c r="B157" s="41" t="s">
        <v>86</v>
      </c>
      <c r="C157" s="41" t="s">
        <v>23</v>
      </c>
      <c r="D157" s="41" t="s">
        <v>28</v>
      </c>
      <c r="E157" s="41" t="s">
        <v>29</v>
      </c>
      <c r="F157" s="42">
        <v>1389</v>
      </c>
      <c r="G157" s="42">
        <f t="shared" si="40"/>
        <v>833.4</v>
      </c>
      <c r="H157" s="42">
        <f t="shared" si="41"/>
        <v>5000.3999999999996</v>
      </c>
      <c r="I157" s="49">
        <v>6</v>
      </c>
      <c r="J157" s="50" t="s">
        <v>197</v>
      </c>
      <c r="K157" s="50" t="s">
        <v>22</v>
      </c>
      <c r="L157" s="50" t="s">
        <v>85</v>
      </c>
      <c r="M157" s="42">
        <v>5000.3999999999996</v>
      </c>
    </row>
    <row r="158" spans="1:13" outlineLevel="2" x14ac:dyDescent="0.25">
      <c r="A158" s="61">
        <f t="shared" si="38"/>
        <v>157</v>
      </c>
      <c r="B158" s="58" t="s">
        <v>86</v>
      </c>
      <c r="C158" s="58" t="s">
        <v>198</v>
      </c>
      <c r="D158" s="59" t="s">
        <v>341</v>
      </c>
      <c r="E158" s="58" t="s">
        <v>342</v>
      </c>
      <c r="F158" s="60">
        <v>1055</v>
      </c>
      <c r="G158" s="60">
        <f t="shared" ref="G158:G160" si="42">F158</f>
        <v>1055</v>
      </c>
      <c r="H158" s="60">
        <f t="shared" si="41"/>
        <v>1055</v>
      </c>
      <c r="I158" s="57">
        <v>1</v>
      </c>
      <c r="J158" s="61" t="s">
        <v>197</v>
      </c>
      <c r="K158" s="61" t="s">
        <v>49</v>
      </c>
      <c r="L158" s="50" t="s">
        <v>85</v>
      </c>
      <c r="M158" s="60">
        <v>1055</v>
      </c>
    </row>
    <row r="159" spans="1:13" outlineLevel="2" x14ac:dyDescent="0.25">
      <c r="A159" s="61">
        <f t="shared" si="38"/>
        <v>158</v>
      </c>
      <c r="B159" s="58" t="s">
        <v>86</v>
      </c>
      <c r="C159" s="58" t="s">
        <v>198</v>
      </c>
      <c r="D159" s="59" t="s">
        <v>339</v>
      </c>
      <c r="E159" s="58" t="s">
        <v>340</v>
      </c>
      <c r="F159" s="60">
        <v>1135</v>
      </c>
      <c r="G159" s="60">
        <f t="shared" si="42"/>
        <v>1135</v>
      </c>
      <c r="H159" s="60">
        <f t="shared" si="41"/>
        <v>1135</v>
      </c>
      <c r="I159" s="57">
        <v>1</v>
      </c>
      <c r="J159" s="61" t="s">
        <v>197</v>
      </c>
      <c r="K159" s="61" t="s">
        <v>49</v>
      </c>
      <c r="L159" s="50" t="s">
        <v>85</v>
      </c>
      <c r="M159" s="60">
        <v>1135</v>
      </c>
    </row>
    <row r="160" spans="1:13" outlineLevel="2" x14ac:dyDescent="0.25">
      <c r="A160" s="61">
        <f t="shared" si="38"/>
        <v>159</v>
      </c>
      <c r="B160" s="58" t="s">
        <v>86</v>
      </c>
      <c r="C160" s="58" t="s">
        <v>212</v>
      </c>
      <c r="D160" s="59" t="s">
        <v>353</v>
      </c>
      <c r="E160" s="58" t="s">
        <v>353</v>
      </c>
      <c r="F160" s="60">
        <v>190</v>
      </c>
      <c r="G160" s="60">
        <f t="shared" si="42"/>
        <v>190</v>
      </c>
      <c r="H160" s="60">
        <f t="shared" si="41"/>
        <v>190</v>
      </c>
      <c r="I160" s="57">
        <v>1</v>
      </c>
      <c r="J160" s="61" t="s">
        <v>197</v>
      </c>
      <c r="K160" s="61" t="s">
        <v>49</v>
      </c>
      <c r="L160" s="50" t="s">
        <v>85</v>
      </c>
      <c r="M160" s="60">
        <v>190</v>
      </c>
    </row>
    <row r="161" spans="1:13" ht="24" outlineLevel="2" x14ac:dyDescent="0.25">
      <c r="A161" s="50">
        <f t="shared" si="38"/>
        <v>160</v>
      </c>
      <c r="B161" s="41" t="s">
        <v>86</v>
      </c>
      <c r="C161" s="41" t="s">
        <v>216</v>
      </c>
      <c r="D161" s="41" t="s">
        <v>216</v>
      </c>
      <c r="E161" s="41" t="s">
        <v>217</v>
      </c>
      <c r="F161" s="42">
        <f ca="1">OFFSET(F161,1,2)</f>
        <v>9000</v>
      </c>
      <c r="G161" s="42">
        <f ca="1">F161</f>
        <v>9000</v>
      </c>
      <c r="H161" s="42">
        <f ca="1">G161*I161</f>
        <v>9000</v>
      </c>
      <c r="I161" s="49">
        <v>1</v>
      </c>
      <c r="J161" s="50" t="s">
        <v>197</v>
      </c>
      <c r="K161" s="41" t="s">
        <v>216</v>
      </c>
      <c r="L161" s="50" t="s">
        <v>85</v>
      </c>
      <c r="M161" s="42">
        <v>9000</v>
      </c>
    </row>
    <row r="162" spans="1:13" outlineLevel="2" x14ac:dyDescent="0.25">
      <c r="A162" s="50">
        <f t="shared" si="38"/>
        <v>161</v>
      </c>
      <c r="B162" s="41" t="s">
        <v>86</v>
      </c>
      <c r="C162" s="41" t="s">
        <v>218</v>
      </c>
      <c r="D162" s="41" t="s">
        <v>218</v>
      </c>
      <c r="E162" s="41" t="s">
        <v>219</v>
      </c>
      <c r="F162" s="42">
        <v>1.5</v>
      </c>
      <c r="G162" s="42">
        <v>100</v>
      </c>
      <c r="H162" s="42">
        <f>IF(OR(G162="",I162=""),"",G162*I162)</f>
        <v>9000</v>
      </c>
      <c r="I162" s="49">
        <f>60*F162</f>
        <v>90</v>
      </c>
      <c r="J162" s="50" t="s">
        <v>197</v>
      </c>
      <c r="K162" s="41" t="s">
        <v>218</v>
      </c>
      <c r="L162" s="50" t="s">
        <v>85</v>
      </c>
      <c r="M162" s="42">
        <v>9000</v>
      </c>
    </row>
    <row r="163" spans="1:13" outlineLevel="1" x14ac:dyDescent="0.25">
      <c r="A163" s="50"/>
      <c r="B163" s="65" t="s">
        <v>379</v>
      </c>
      <c r="C163" s="41"/>
      <c r="D163" s="41"/>
      <c r="E163" s="41"/>
      <c r="F163" s="42"/>
      <c r="G163" s="42"/>
      <c r="H163" s="42">
        <f ca="1">SUBTOTAL(9,H152:H162)</f>
        <v>39143.199999999997</v>
      </c>
      <c r="I163" s="49"/>
      <c r="J163" s="50"/>
      <c r="K163" s="41"/>
      <c r="L163" s="50"/>
      <c r="M163" s="42">
        <v>39143.199999999997</v>
      </c>
    </row>
    <row r="164" spans="1:13" ht="24" customHeight="1" outlineLevel="2" x14ac:dyDescent="0.25">
      <c r="A164" s="38">
        <f>ROW(A162)</f>
        <v>162</v>
      </c>
      <c r="B164" s="38" t="str">
        <f>E164</f>
        <v xml:space="preserve">В1КМ </v>
      </c>
      <c r="C164" s="38"/>
      <c r="D164" s="38"/>
      <c r="E164" s="38" t="s">
        <v>331</v>
      </c>
      <c r="F164" s="39"/>
      <c r="G164" s="39"/>
      <c r="H164" s="39"/>
      <c r="I164" s="40">
        <v>1</v>
      </c>
      <c r="J164" s="38" t="s">
        <v>11</v>
      </c>
      <c r="K164" s="38" t="s">
        <v>12</v>
      </c>
      <c r="L164" s="38" t="s">
        <v>85</v>
      </c>
      <c r="M164" s="39"/>
    </row>
    <row r="165" spans="1:13" outlineLevel="2" x14ac:dyDescent="0.25">
      <c r="A165" s="50">
        <f t="shared" si="38"/>
        <v>164</v>
      </c>
      <c r="B165" s="41" t="str">
        <f>B164</f>
        <v xml:space="preserve">В1КМ </v>
      </c>
      <c r="C165" s="41" t="s">
        <v>64</v>
      </c>
      <c r="D165" s="41" t="s">
        <v>347</v>
      </c>
      <c r="E165" s="41" t="s">
        <v>348</v>
      </c>
      <c r="F165" s="42">
        <v>23514</v>
      </c>
      <c r="G165" s="42">
        <f>0.6*F165</f>
        <v>14108.4</v>
      </c>
      <c r="H165" s="42">
        <f>G165*I165</f>
        <v>14108.4</v>
      </c>
      <c r="I165" s="49">
        <v>1</v>
      </c>
      <c r="J165" s="50" t="s">
        <v>197</v>
      </c>
      <c r="K165" s="50" t="s">
        <v>22</v>
      </c>
      <c r="L165" s="50" t="str">
        <f t="shared" ref="L165:L175" si="43">L164</f>
        <v>B16</v>
      </c>
      <c r="M165" s="42">
        <v>14108.4</v>
      </c>
    </row>
    <row r="166" spans="1:13" ht="24" outlineLevel="2" x14ac:dyDescent="0.25">
      <c r="A166" s="50">
        <f t="shared" si="38"/>
        <v>165</v>
      </c>
      <c r="B166" s="41" t="str">
        <f t="shared" ref="B166:B167" si="44">B165</f>
        <v xml:space="preserve">В1КМ </v>
      </c>
      <c r="C166" s="41" t="s">
        <v>216</v>
      </c>
      <c r="D166" s="41" t="s">
        <v>216</v>
      </c>
      <c r="E166" s="41" t="s">
        <v>217</v>
      </c>
      <c r="F166" s="42">
        <f ca="1">OFFSET(F166,1,2)</f>
        <v>600</v>
      </c>
      <c r="G166" s="42">
        <f ca="1">F166</f>
        <v>600</v>
      </c>
      <c r="H166" s="42">
        <f ca="1">G166*I166</f>
        <v>600</v>
      </c>
      <c r="I166" s="49">
        <v>1</v>
      </c>
      <c r="J166" s="50" t="s">
        <v>197</v>
      </c>
      <c r="K166" s="41" t="s">
        <v>216</v>
      </c>
      <c r="L166" s="50" t="str">
        <f t="shared" si="43"/>
        <v>B16</v>
      </c>
      <c r="M166" s="42">
        <v>600</v>
      </c>
    </row>
    <row r="167" spans="1:13" outlineLevel="2" x14ac:dyDescent="0.25">
      <c r="A167" s="50">
        <f t="shared" si="38"/>
        <v>166</v>
      </c>
      <c r="B167" s="41" t="str">
        <f t="shared" si="44"/>
        <v xml:space="preserve">В1КМ </v>
      </c>
      <c r="C167" s="41" t="s">
        <v>218</v>
      </c>
      <c r="D167" s="41" t="s">
        <v>218</v>
      </c>
      <c r="E167" s="41" t="s">
        <v>219</v>
      </c>
      <c r="F167" s="42">
        <v>0.1</v>
      </c>
      <c r="G167" s="42">
        <v>100</v>
      </c>
      <c r="H167" s="42">
        <f>IF(OR(G167="",I167=""),"",G167*I167)</f>
        <v>600</v>
      </c>
      <c r="I167" s="49">
        <f>60*F167</f>
        <v>6</v>
      </c>
      <c r="J167" s="50" t="s">
        <v>197</v>
      </c>
      <c r="K167" s="41" t="s">
        <v>218</v>
      </c>
      <c r="L167" s="50" t="str">
        <f t="shared" si="43"/>
        <v>B16</v>
      </c>
      <c r="M167" s="42">
        <v>600</v>
      </c>
    </row>
    <row r="168" spans="1:13" outlineLevel="1" x14ac:dyDescent="0.25">
      <c r="A168" s="50"/>
      <c r="B168" s="65" t="s">
        <v>375</v>
      </c>
      <c r="C168" s="41"/>
      <c r="D168" s="41"/>
      <c r="E168" s="41"/>
      <c r="F168" s="42"/>
      <c r="G168" s="42"/>
      <c r="H168" s="42">
        <f ca="1">SUBTOTAL(9,H164:H167)</f>
        <v>15308.4</v>
      </c>
      <c r="I168" s="49"/>
      <c r="J168" s="50"/>
      <c r="K168" s="41"/>
      <c r="L168" s="50"/>
      <c r="M168" s="42">
        <v>15308.4</v>
      </c>
    </row>
    <row r="169" spans="1:13" ht="24" customHeight="1" outlineLevel="2" x14ac:dyDescent="0.25">
      <c r="A169" s="38">
        <f>ROW(A167)</f>
        <v>167</v>
      </c>
      <c r="B169" s="38" t="s">
        <v>221</v>
      </c>
      <c r="C169" s="38"/>
      <c r="D169" s="38"/>
      <c r="E169" s="38" t="s">
        <v>221</v>
      </c>
      <c r="F169" s="39"/>
      <c r="G169" s="39"/>
      <c r="H169" s="39"/>
      <c r="I169" s="40">
        <v>1</v>
      </c>
      <c r="J169" s="38" t="s">
        <v>11</v>
      </c>
      <c r="K169" s="38" t="s">
        <v>12</v>
      </c>
      <c r="L169" s="38" t="e">
        <f>#REF!</f>
        <v>#REF!</v>
      </c>
      <c r="M169" s="39"/>
    </row>
    <row r="170" spans="1:13" outlineLevel="2" x14ac:dyDescent="0.25">
      <c r="A170" s="50">
        <f t="shared" si="38"/>
        <v>169</v>
      </c>
      <c r="B170" s="41" t="s">
        <v>221</v>
      </c>
      <c r="C170" s="41" t="s">
        <v>14</v>
      </c>
      <c r="D170" s="41"/>
      <c r="E170" s="41" t="s">
        <v>329</v>
      </c>
      <c r="F170" s="42">
        <v>20000</v>
      </c>
      <c r="G170" s="42">
        <f>0.6*F170</f>
        <v>12000</v>
      </c>
      <c r="H170" s="42">
        <f>G170*I170</f>
        <v>12000</v>
      </c>
      <c r="I170" s="49">
        <v>1</v>
      </c>
      <c r="J170" s="50" t="s">
        <v>197</v>
      </c>
      <c r="K170" s="50" t="s">
        <v>18</v>
      </c>
      <c r="L170" s="50" t="e">
        <f t="shared" si="43"/>
        <v>#REF!</v>
      </c>
      <c r="M170" s="42">
        <v>12000</v>
      </c>
    </row>
    <row r="171" spans="1:13" outlineLevel="2" x14ac:dyDescent="0.25">
      <c r="A171" s="61">
        <f t="shared" si="38"/>
        <v>170</v>
      </c>
      <c r="B171" s="58" t="s">
        <v>221</v>
      </c>
      <c r="C171" s="58" t="s">
        <v>46</v>
      </c>
      <c r="D171" s="59" t="s">
        <v>358</v>
      </c>
      <c r="E171" s="58" t="s">
        <v>359</v>
      </c>
      <c r="F171" s="60">
        <v>8202</v>
      </c>
      <c r="G171" s="60">
        <f>F171</f>
        <v>8202</v>
      </c>
      <c r="H171" s="60">
        <f>G171*I171</f>
        <v>8202</v>
      </c>
      <c r="I171" s="57">
        <v>1</v>
      </c>
      <c r="J171" s="61" t="s">
        <v>197</v>
      </c>
      <c r="K171" s="61" t="s">
        <v>49</v>
      </c>
      <c r="L171" s="50" t="e">
        <f t="shared" si="43"/>
        <v>#REF!</v>
      </c>
      <c r="M171" s="60">
        <v>8202</v>
      </c>
    </row>
    <row r="172" spans="1:13" outlineLevel="2" x14ac:dyDescent="0.25">
      <c r="A172" s="50">
        <f t="shared" si="38"/>
        <v>171</v>
      </c>
      <c r="B172" s="41" t="s">
        <v>221</v>
      </c>
      <c r="C172" s="41" t="s">
        <v>41</v>
      </c>
      <c r="D172" s="41" t="s">
        <v>42</v>
      </c>
      <c r="E172" s="41" t="s">
        <v>43</v>
      </c>
      <c r="F172" s="42">
        <v>1545</v>
      </c>
      <c r="G172" s="42">
        <f t="shared" ref="G172:G173" si="45">0.6*F172</f>
        <v>927</v>
      </c>
      <c r="H172" s="42">
        <f t="shared" ref="H172:H173" si="46">G172*I172</f>
        <v>2781</v>
      </c>
      <c r="I172" s="49">
        <v>3</v>
      </c>
      <c r="J172" s="50" t="s">
        <v>197</v>
      </c>
      <c r="K172" s="50" t="s">
        <v>22</v>
      </c>
      <c r="L172" s="50" t="e">
        <f t="shared" si="43"/>
        <v>#REF!</v>
      </c>
      <c r="M172" s="42">
        <v>2781</v>
      </c>
    </row>
    <row r="173" spans="1:13" outlineLevel="2" x14ac:dyDescent="0.25">
      <c r="A173" s="50">
        <f t="shared" si="38"/>
        <v>172</v>
      </c>
      <c r="B173" s="41" t="s">
        <v>221</v>
      </c>
      <c r="C173" s="41" t="s">
        <v>41</v>
      </c>
      <c r="D173" s="41" t="s">
        <v>44</v>
      </c>
      <c r="E173" s="41" t="s">
        <v>45</v>
      </c>
      <c r="F173" s="42">
        <v>2038</v>
      </c>
      <c r="G173" s="42">
        <f t="shared" si="45"/>
        <v>1222.8</v>
      </c>
      <c r="H173" s="42">
        <f t="shared" si="46"/>
        <v>3668.3999999999996</v>
      </c>
      <c r="I173" s="49">
        <v>3</v>
      </c>
      <c r="J173" s="50" t="s">
        <v>197</v>
      </c>
      <c r="K173" s="50" t="s">
        <v>22</v>
      </c>
      <c r="L173" s="50" t="e">
        <f t="shared" si="43"/>
        <v>#REF!</v>
      </c>
      <c r="M173" s="42">
        <v>3668.3999999999996</v>
      </c>
    </row>
    <row r="174" spans="1:13" ht="24" outlineLevel="2" x14ac:dyDescent="0.25">
      <c r="A174" s="50">
        <f t="shared" si="38"/>
        <v>173</v>
      </c>
      <c r="B174" s="41" t="s">
        <v>221</v>
      </c>
      <c r="C174" s="41" t="s">
        <v>216</v>
      </c>
      <c r="D174" s="41" t="s">
        <v>216</v>
      </c>
      <c r="E174" s="41" t="s">
        <v>217</v>
      </c>
      <c r="F174" s="42">
        <f ca="1">OFFSET(F174,1,2)</f>
        <v>9000</v>
      </c>
      <c r="G174" s="42">
        <f ca="1">F174</f>
        <v>9000</v>
      </c>
      <c r="H174" s="42">
        <f ca="1">G174*I174</f>
        <v>9000</v>
      </c>
      <c r="I174" s="49">
        <v>1</v>
      </c>
      <c r="J174" s="50" t="s">
        <v>197</v>
      </c>
      <c r="K174" s="41" t="s">
        <v>216</v>
      </c>
      <c r="L174" s="50" t="e">
        <f t="shared" si="43"/>
        <v>#REF!</v>
      </c>
      <c r="M174" s="42">
        <v>9000</v>
      </c>
    </row>
    <row r="175" spans="1:13" outlineLevel="2" x14ac:dyDescent="0.25">
      <c r="A175" s="50">
        <f t="shared" si="38"/>
        <v>174</v>
      </c>
      <c r="B175" s="41" t="s">
        <v>221</v>
      </c>
      <c r="C175" s="41" t="s">
        <v>218</v>
      </c>
      <c r="D175" s="41" t="s">
        <v>218</v>
      </c>
      <c r="E175" s="41" t="s">
        <v>219</v>
      </c>
      <c r="F175" s="42">
        <v>1.5</v>
      </c>
      <c r="G175" s="42">
        <v>100</v>
      </c>
      <c r="H175" s="42">
        <f>IF(OR(G175="",I175=""),"",G175*I175)</f>
        <v>9000</v>
      </c>
      <c r="I175" s="49">
        <f>60*F175</f>
        <v>90</v>
      </c>
      <c r="J175" s="50" t="s">
        <v>197</v>
      </c>
      <c r="K175" s="41" t="s">
        <v>218</v>
      </c>
      <c r="L175" s="50" t="e">
        <f t="shared" si="43"/>
        <v>#REF!</v>
      </c>
      <c r="M175" s="42">
        <v>9000</v>
      </c>
    </row>
    <row r="176" spans="1:13" ht="24" outlineLevel="1" x14ac:dyDescent="0.25">
      <c r="A176" s="50"/>
      <c r="B176" s="65" t="s">
        <v>369</v>
      </c>
      <c r="C176" s="41"/>
      <c r="D176" s="41"/>
      <c r="E176" s="41"/>
      <c r="F176" s="42"/>
      <c r="G176" s="42"/>
      <c r="H176" s="42">
        <f ca="1">SUBTOTAL(9,H169:H175)</f>
        <v>44651.4</v>
      </c>
      <c r="I176" s="49"/>
      <c r="J176" s="50"/>
      <c r="K176" s="41"/>
      <c r="L176" s="50"/>
      <c r="M176" s="42">
        <v>44651.4</v>
      </c>
    </row>
    <row r="177" spans="1:13" ht="24" customHeight="1" outlineLevel="2" x14ac:dyDescent="0.25">
      <c r="A177" s="38">
        <f>ROW(A175)</f>
        <v>175</v>
      </c>
      <c r="B177" s="38" t="s">
        <v>89</v>
      </c>
      <c r="C177" s="38"/>
      <c r="D177" s="38"/>
      <c r="E177" s="38" t="s">
        <v>89</v>
      </c>
      <c r="F177" s="39"/>
      <c r="G177" s="39"/>
      <c r="H177" s="39"/>
      <c r="I177" s="40">
        <v>1</v>
      </c>
      <c r="J177" s="38" t="s">
        <v>11</v>
      </c>
      <c r="K177" s="38" t="s">
        <v>12</v>
      </c>
      <c r="L177" s="38" t="s">
        <v>90</v>
      </c>
      <c r="M177" s="39"/>
    </row>
    <row r="178" spans="1:13" outlineLevel="2" x14ac:dyDescent="0.25">
      <c r="A178" s="50">
        <f t="shared" si="38"/>
        <v>177</v>
      </c>
      <c r="B178" s="41" t="s">
        <v>89</v>
      </c>
      <c r="C178" s="41" t="s">
        <v>14</v>
      </c>
      <c r="D178" s="41" t="s">
        <v>36</v>
      </c>
      <c r="E178" s="41" t="s">
        <v>37</v>
      </c>
      <c r="F178" s="42">
        <v>14695</v>
      </c>
      <c r="G178" s="42">
        <f t="shared" ref="G178:G183" si="47">0.6*F178</f>
        <v>8817</v>
      </c>
      <c r="H178" s="42">
        <f t="shared" ref="H178:H186" si="48">G178*I178</f>
        <v>8817</v>
      </c>
      <c r="I178" s="49">
        <v>1</v>
      </c>
      <c r="J178" s="50" t="s">
        <v>197</v>
      </c>
      <c r="K178" s="50" t="s">
        <v>18</v>
      </c>
      <c r="L178" s="50" t="s">
        <v>90</v>
      </c>
      <c r="M178" s="42">
        <v>8817</v>
      </c>
    </row>
    <row r="179" spans="1:13" outlineLevel="2" x14ac:dyDescent="0.25">
      <c r="A179" s="50">
        <f t="shared" si="38"/>
        <v>178</v>
      </c>
      <c r="B179" s="41" t="s">
        <v>89</v>
      </c>
      <c r="C179" s="41" t="s">
        <v>23</v>
      </c>
      <c r="D179" s="41" t="s">
        <v>91</v>
      </c>
      <c r="E179" s="41" t="s">
        <v>92</v>
      </c>
      <c r="F179" s="42">
        <v>2606</v>
      </c>
      <c r="G179" s="42">
        <f t="shared" si="47"/>
        <v>1563.6</v>
      </c>
      <c r="H179" s="42">
        <f t="shared" si="48"/>
        <v>1563.6</v>
      </c>
      <c r="I179" s="49">
        <v>1</v>
      </c>
      <c r="J179" s="50" t="s">
        <v>197</v>
      </c>
      <c r="K179" s="50" t="s">
        <v>22</v>
      </c>
      <c r="L179" s="50" t="s">
        <v>90</v>
      </c>
      <c r="M179" s="42">
        <v>1563.6</v>
      </c>
    </row>
    <row r="180" spans="1:13" outlineLevel="2" x14ac:dyDescent="0.25">
      <c r="A180" s="50">
        <f t="shared" si="38"/>
        <v>179</v>
      </c>
      <c r="B180" s="41" t="s">
        <v>89</v>
      </c>
      <c r="C180" s="41" t="s">
        <v>23</v>
      </c>
      <c r="D180" s="41" t="s">
        <v>57</v>
      </c>
      <c r="E180" s="41" t="s">
        <v>58</v>
      </c>
      <c r="F180" s="42">
        <v>2429</v>
      </c>
      <c r="G180" s="42">
        <f t="shared" si="47"/>
        <v>1457.3999999999999</v>
      </c>
      <c r="H180" s="42">
        <f t="shared" si="48"/>
        <v>1457.3999999999999</v>
      </c>
      <c r="I180" s="49">
        <v>1</v>
      </c>
      <c r="J180" s="50" t="s">
        <v>197</v>
      </c>
      <c r="K180" s="50" t="s">
        <v>22</v>
      </c>
      <c r="L180" s="50" t="s">
        <v>90</v>
      </c>
      <c r="M180" s="42">
        <v>1457.3999999999999</v>
      </c>
    </row>
    <row r="181" spans="1:13" outlineLevel="2" x14ac:dyDescent="0.25">
      <c r="A181" s="50">
        <f t="shared" si="38"/>
        <v>180</v>
      </c>
      <c r="B181" s="41" t="s">
        <v>89</v>
      </c>
      <c r="C181" s="41" t="s">
        <v>23</v>
      </c>
      <c r="D181" s="41" t="s">
        <v>163</v>
      </c>
      <c r="E181" s="41" t="s">
        <v>164</v>
      </c>
      <c r="F181" s="42">
        <v>800</v>
      </c>
      <c r="G181" s="42">
        <f t="shared" si="47"/>
        <v>480</v>
      </c>
      <c r="H181" s="42">
        <f t="shared" si="48"/>
        <v>480</v>
      </c>
      <c r="I181" s="49">
        <v>1</v>
      </c>
      <c r="J181" s="50" t="s">
        <v>197</v>
      </c>
      <c r="K181" s="50" t="s">
        <v>22</v>
      </c>
      <c r="L181" s="50" t="s">
        <v>90</v>
      </c>
      <c r="M181" s="42">
        <v>480</v>
      </c>
    </row>
    <row r="182" spans="1:13" outlineLevel="2" x14ac:dyDescent="0.25">
      <c r="A182" s="50">
        <f t="shared" si="38"/>
        <v>181</v>
      </c>
      <c r="B182" s="41" t="s">
        <v>89</v>
      </c>
      <c r="C182" s="41" t="s">
        <v>23</v>
      </c>
      <c r="D182" s="41" t="s">
        <v>28</v>
      </c>
      <c r="E182" s="41" t="s">
        <v>29</v>
      </c>
      <c r="F182" s="42">
        <v>1389</v>
      </c>
      <c r="G182" s="42">
        <f t="shared" si="47"/>
        <v>833.4</v>
      </c>
      <c r="H182" s="42">
        <f t="shared" si="48"/>
        <v>4167</v>
      </c>
      <c r="I182" s="49">
        <v>5</v>
      </c>
      <c r="J182" s="50" t="s">
        <v>197</v>
      </c>
      <c r="K182" s="50" t="s">
        <v>22</v>
      </c>
      <c r="L182" s="50" t="s">
        <v>90</v>
      </c>
      <c r="M182" s="42">
        <v>4167</v>
      </c>
    </row>
    <row r="183" spans="1:13" outlineLevel="2" x14ac:dyDescent="0.25">
      <c r="A183" s="50">
        <f t="shared" si="38"/>
        <v>182</v>
      </c>
      <c r="B183" s="41" t="s">
        <v>89</v>
      </c>
      <c r="C183" s="41" t="s">
        <v>30</v>
      </c>
      <c r="D183" s="41" t="s">
        <v>59</v>
      </c>
      <c r="E183" s="41" t="s">
        <v>60</v>
      </c>
      <c r="F183" s="42">
        <v>5354</v>
      </c>
      <c r="G183" s="42">
        <f t="shared" si="47"/>
        <v>3212.4</v>
      </c>
      <c r="H183" s="42">
        <f t="shared" si="48"/>
        <v>3212.4</v>
      </c>
      <c r="I183" s="49">
        <v>1</v>
      </c>
      <c r="J183" s="50" t="s">
        <v>197</v>
      </c>
      <c r="K183" s="50" t="s">
        <v>22</v>
      </c>
      <c r="L183" s="50" t="s">
        <v>90</v>
      </c>
      <c r="M183" s="42">
        <v>3212.4</v>
      </c>
    </row>
    <row r="184" spans="1:13" outlineLevel="2" x14ac:dyDescent="0.25">
      <c r="A184" s="61">
        <f t="shared" si="38"/>
        <v>183</v>
      </c>
      <c r="B184" s="58" t="s">
        <v>89</v>
      </c>
      <c r="C184" s="58" t="s">
        <v>198</v>
      </c>
      <c r="D184" s="59" t="s">
        <v>341</v>
      </c>
      <c r="E184" s="58" t="s">
        <v>342</v>
      </c>
      <c r="F184" s="60">
        <v>1055</v>
      </c>
      <c r="G184" s="60">
        <f t="shared" ref="G184:G186" si="49">F184</f>
        <v>1055</v>
      </c>
      <c r="H184" s="60">
        <f t="shared" si="48"/>
        <v>1055</v>
      </c>
      <c r="I184" s="57">
        <v>1</v>
      </c>
      <c r="J184" s="61" t="s">
        <v>197</v>
      </c>
      <c r="K184" s="61" t="s">
        <v>49</v>
      </c>
      <c r="L184" s="50" t="s">
        <v>90</v>
      </c>
      <c r="M184" s="60">
        <v>1055</v>
      </c>
    </row>
    <row r="185" spans="1:13" outlineLevel="2" x14ac:dyDescent="0.25">
      <c r="A185" s="61">
        <f t="shared" si="38"/>
        <v>184</v>
      </c>
      <c r="B185" s="58" t="s">
        <v>89</v>
      </c>
      <c r="C185" s="58" t="s">
        <v>198</v>
      </c>
      <c r="D185" s="59" t="s">
        <v>339</v>
      </c>
      <c r="E185" s="58" t="s">
        <v>340</v>
      </c>
      <c r="F185" s="60">
        <v>1135</v>
      </c>
      <c r="G185" s="60">
        <f t="shared" si="49"/>
        <v>1135</v>
      </c>
      <c r="H185" s="60">
        <f t="shared" si="48"/>
        <v>1135</v>
      </c>
      <c r="I185" s="57">
        <v>1</v>
      </c>
      <c r="J185" s="61" t="s">
        <v>197</v>
      </c>
      <c r="K185" s="61" t="s">
        <v>49</v>
      </c>
      <c r="L185" s="50" t="s">
        <v>90</v>
      </c>
      <c r="M185" s="60">
        <v>1135</v>
      </c>
    </row>
    <row r="186" spans="1:13" outlineLevel="2" x14ac:dyDescent="0.25">
      <c r="A186" s="61">
        <f t="shared" si="38"/>
        <v>185</v>
      </c>
      <c r="B186" s="58" t="s">
        <v>89</v>
      </c>
      <c r="C186" s="58" t="s">
        <v>212</v>
      </c>
      <c r="D186" s="59" t="s">
        <v>353</v>
      </c>
      <c r="E186" s="58" t="s">
        <v>353</v>
      </c>
      <c r="F186" s="60">
        <v>190</v>
      </c>
      <c r="G186" s="60">
        <f t="shared" si="49"/>
        <v>190</v>
      </c>
      <c r="H186" s="60">
        <f t="shared" si="48"/>
        <v>190</v>
      </c>
      <c r="I186" s="57">
        <v>1</v>
      </c>
      <c r="J186" s="61" t="s">
        <v>197</v>
      </c>
      <c r="K186" s="61" t="s">
        <v>49</v>
      </c>
      <c r="L186" s="50" t="s">
        <v>90</v>
      </c>
      <c r="M186" s="60">
        <v>190</v>
      </c>
    </row>
    <row r="187" spans="1:13" ht="24" outlineLevel="2" x14ac:dyDescent="0.25">
      <c r="A187" s="50">
        <f t="shared" si="38"/>
        <v>186</v>
      </c>
      <c r="B187" s="41" t="s">
        <v>89</v>
      </c>
      <c r="C187" s="41" t="s">
        <v>216</v>
      </c>
      <c r="D187" s="41" t="s">
        <v>216</v>
      </c>
      <c r="E187" s="41" t="s">
        <v>217</v>
      </c>
      <c r="F187" s="42">
        <f ca="1">OFFSET(F187,1,2)</f>
        <v>9000</v>
      </c>
      <c r="G187" s="42">
        <f ca="1">F187</f>
        <v>9000</v>
      </c>
      <c r="H187" s="42">
        <f ca="1">G187*I187</f>
        <v>9000</v>
      </c>
      <c r="I187" s="49">
        <v>1</v>
      </c>
      <c r="J187" s="50" t="s">
        <v>197</v>
      </c>
      <c r="K187" s="41" t="s">
        <v>216</v>
      </c>
      <c r="L187" s="50" t="s">
        <v>90</v>
      </c>
      <c r="M187" s="42">
        <v>9000</v>
      </c>
    </row>
    <row r="188" spans="1:13" outlineLevel="2" x14ac:dyDescent="0.25">
      <c r="A188" s="50">
        <f t="shared" si="38"/>
        <v>187</v>
      </c>
      <c r="B188" s="41" t="s">
        <v>89</v>
      </c>
      <c r="C188" s="41" t="s">
        <v>218</v>
      </c>
      <c r="D188" s="41" t="s">
        <v>218</v>
      </c>
      <c r="E188" s="41" t="s">
        <v>219</v>
      </c>
      <c r="F188" s="42">
        <v>1.5</v>
      </c>
      <c r="G188" s="42">
        <v>100</v>
      </c>
      <c r="H188" s="42">
        <f>IF(OR(G188="",I188=""),"",G188*I188)</f>
        <v>9000</v>
      </c>
      <c r="I188" s="49">
        <f>60*F188</f>
        <v>90</v>
      </c>
      <c r="J188" s="50" t="s">
        <v>197</v>
      </c>
      <c r="K188" s="41" t="s">
        <v>218</v>
      </c>
      <c r="L188" s="50" t="s">
        <v>90</v>
      </c>
      <c r="M188" s="42">
        <v>9000</v>
      </c>
    </row>
    <row r="189" spans="1:13" outlineLevel="1" x14ac:dyDescent="0.25">
      <c r="A189" s="50"/>
      <c r="B189" s="65" t="s">
        <v>380</v>
      </c>
      <c r="C189" s="41"/>
      <c r="D189" s="41"/>
      <c r="E189" s="41"/>
      <c r="F189" s="42"/>
      <c r="G189" s="42"/>
      <c r="H189" s="42">
        <f ca="1">SUBTOTAL(9,H177:H188)</f>
        <v>40077.4</v>
      </c>
      <c r="I189" s="49"/>
      <c r="J189" s="50"/>
      <c r="K189" s="41"/>
      <c r="L189" s="50"/>
      <c r="M189" s="42">
        <v>40077.4</v>
      </c>
    </row>
    <row r="190" spans="1:13" ht="24" customHeight="1" outlineLevel="2" x14ac:dyDescent="0.25">
      <c r="A190" s="38">
        <f>ROW(A188)</f>
        <v>188</v>
      </c>
      <c r="B190" s="38" t="s">
        <v>93</v>
      </c>
      <c r="C190" s="38"/>
      <c r="D190" s="38"/>
      <c r="E190" s="38" t="s">
        <v>93</v>
      </c>
      <c r="F190" s="39"/>
      <c r="G190" s="39"/>
      <c r="H190" s="39"/>
      <c r="I190" s="40">
        <v>1</v>
      </c>
      <c r="J190" s="38" t="s">
        <v>11</v>
      </c>
      <c r="K190" s="38" t="s">
        <v>12</v>
      </c>
      <c r="L190" s="38" t="s">
        <v>90</v>
      </c>
      <c r="M190" s="39"/>
    </row>
    <row r="191" spans="1:13" outlineLevel="2" x14ac:dyDescent="0.25">
      <c r="A191" s="50">
        <f t="shared" si="38"/>
        <v>190</v>
      </c>
      <c r="B191" s="41" t="s">
        <v>93</v>
      </c>
      <c r="C191" s="41" t="s">
        <v>14</v>
      </c>
      <c r="D191" s="41" t="s">
        <v>75</v>
      </c>
      <c r="E191" s="41" t="s">
        <v>76</v>
      </c>
      <c r="F191" s="42">
        <v>10270</v>
      </c>
      <c r="G191" s="42">
        <f t="shared" ref="G191:G193" si="50">0.6*F191</f>
        <v>6162</v>
      </c>
      <c r="H191" s="42">
        <f t="shared" ref="H191:H196" si="51">G191*I191</f>
        <v>6162</v>
      </c>
      <c r="I191" s="49">
        <v>1</v>
      </c>
      <c r="J191" s="50" t="s">
        <v>197</v>
      </c>
      <c r="K191" s="50" t="s">
        <v>18</v>
      </c>
      <c r="L191" s="50" t="s">
        <v>90</v>
      </c>
      <c r="M191" s="42">
        <v>6162</v>
      </c>
    </row>
    <row r="192" spans="1:13" outlineLevel="2" x14ac:dyDescent="0.25">
      <c r="A192" s="50">
        <f t="shared" si="38"/>
        <v>191</v>
      </c>
      <c r="B192" s="41" t="s">
        <v>93</v>
      </c>
      <c r="C192" s="41" t="s">
        <v>23</v>
      </c>
      <c r="D192" s="41" t="s">
        <v>26</v>
      </c>
      <c r="E192" s="41" t="s">
        <v>27</v>
      </c>
      <c r="F192" s="42">
        <v>2337</v>
      </c>
      <c r="G192" s="42">
        <f t="shared" si="50"/>
        <v>1402.2</v>
      </c>
      <c r="H192" s="42">
        <f t="shared" si="51"/>
        <v>2804.4</v>
      </c>
      <c r="I192" s="49">
        <v>2</v>
      </c>
      <c r="J192" s="50" t="s">
        <v>197</v>
      </c>
      <c r="K192" s="50" t="s">
        <v>22</v>
      </c>
      <c r="L192" s="50" t="s">
        <v>90</v>
      </c>
      <c r="M192" s="42">
        <v>2804.4</v>
      </c>
    </row>
    <row r="193" spans="1:13" outlineLevel="2" x14ac:dyDescent="0.25">
      <c r="A193" s="50">
        <f t="shared" si="38"/>
        <v>192</v>
      </c>
      <c r="B193" s="41" t="s">
        <v>93</v>
      </c>
      <c r="C193" s="41" t="s">
        <v>23</v>
      </c>
      <c r="D193" s="41" t="s">
        <v>28</v>
      </c>
      <c r="E193" s="41" t="s">
        <v>29</v>
      </c>
      <c r="F193" s="42">
        <v>1389</v>
      </c>
      <c r="G193" s="42">
        <f t="shared" si="50"/>
        <v>833.4</v>
      </c>
      <c r="H193" s="42">
        <f t="shared" si="51"/>
        <v>3333.6</v>
      </c>
      <c r="I193" s="49">
        <v>4</v>
      </c>
      <c r="J193" s="50" t="s">
        <v>197</v>
      </c>
      <c r="K193" s="50" t="s">
        <v>22</v>
      </c>
      <c r="L193" s="50" t="s">
        <v>90</v>
      </c>
      <c r="M193" s="42">
        <v>3333.6</v>
      </c>
    </row>
    <row r="194" spans="1:13" outlineLevel="2" x14ac:dyDescent="0.25">
      <c r="A194" s="61">
        <f t="shared" si="38"/>
        <v>193</v>
      </c>
      <c r="B194" s="58" t="s">
        <v>93</v>
      </c>
      <c r="C194" s="58" t="s">
        <v>198</v>
      </c>
      <c r="D194" s="59" t="s">
        <v>341</v>
      </c>
      <c r="E194" s="58" t="s">
        <v>342</v>
      </c>
      <c r="F194" s="60">
        <v>1055</v>
      </c>
      <c r="G194" s="60">
        <f t="shared" ref="G194:G196" si="52">F194</f>
        <v>1055</v>
      </c>
      <c r="H194" s="60">
        <f t="shared" si="51"/>
        <v>1055</v>
      </c>
      <c r="I194" s="57">
        <v>1</v>
      </c>
      <c r="J194" s="61" t="s">
        <v>197</v>
      </c>
      <c r="K194" s="61" t="s">
        <v>49</v>
      </c>
      <c r="L194" s="50" t="s">
        <v>90</v>
      </c>
      <c r="M194" s="60">
        <v>1055</v>
      </c>
    </row>
    <row r="195" spans="1:13" outlineLevel="2" x14ac:dyDescent="0.25">
      <c r="A195" s="61">
        <f t="shared" si="38"/>
        <v>194</v>
      </c>
      <c r="B195" s="58" t="s">
        <v>93</v>
      </c>
      <c r="C195" s="58" t="s">
        <v>198</v>
      </c>
      <c r="D195" s="59" t="s">
        <v>339</v>
      </c>
      <c r="E195" s="58" t="s">
        <v>340</v>
      </c>
      <c r="F195" s="60">
        <v>1135</v>
      </c>
      <c r="G195" s="60">
        <f t="shared" si="52"/>
        <v>1135</v>
      </c>
      <c r="H195" s="60">
        <f t="shared" si="51"/>
        <v>1135</v>
      </c>
      <c r="I195" s="57">
        <v>1</v>
      </c>
      <c r="J195" s="61" t="s">
        <v>197</v>
      </c>
      <c r="K195" s="61" t="s">
        <v>49</v>
      </c>
      <c r="L195" s="50" t="s">
        <v>90</v>
      </c>
      <c r="M195" s="60">
        <v>1135</v>
      </c>
    </row>
    <row r="196" spans="1:13" outlineLevel="2" x14ac:dyDescent="0.25">
      <c r="A196" s="61">
        <f t="shared" si="38"/>
        <v>195</v>
      </c>
      <c r="B196" s="58" t="s">
        <v>93</v>
      </c>
      <c r="C196" s="58" t="s">
        <v>212</v>
      </c>
      <c r="D196" s="59" t="s">
        <v>353</v>
      </c>
      <c r="E196" s="58" t="s">
        <v>353</v>
      </c>
      <c r="F196" s="60">
        <v>190</v>
      </c>
      <c r="G196" s="60">
        <f t="shared" si="52"/>
        <v>190</v>
      </c>
      <c r="H196" s="60">
        <f t="shared" si="51"/>
        <v>190</v>
      </c>
      <c r="I196" s="57">
        <v>1</v>
      </c>
      <c r="J196" s="61" t="s">
        <v>197</v>
      </c>
      <c r="K196" s="61" t="s">
        <v>49</v>
      </c>
      <c r="L196" s="50" t="s">
        <v>90</v>
      </c>
      <c r="M196" s="60">
        <v>190</v>
      </c>
    </row>
    <row r="197" spans="1:13" ht="24" outlineLevel="2" x14ac:dyDescent="0.25">
      <c r="A197" s="50">
        <f t="shared" si="38"/>
        <v>196</v>
      </c>
      <c r="B197" s="41" t="s">
        <v>93</v>
      </c>
      <c r="C197" s="41" t="s">
        <v>216</v>
      </c>
      <c r="D197" s="41" t="s">
        <v>216</v>
      </c>
      <c r="E197" s="41" t="s">
        <v>217</v>
      </c>
      <c r="F197" s="42">
        <f ca="1">OFFSET(F197,1,2)</f>
        <v>1200</v>
      </c>
      <c r="G197" s="42">
        <f ca="1">F197</f>
        <v>1200</v>
      </c>
      <c r="H197" s="42">
        <f ca="1">G197*I197</f>
        <v>1200</v>
      </c>
      <c r="I197" s="49">
        <v>1</v>
      </c>
      <c r="J197" s="50" t="s">
        <v>197</v>
      </c>
      <c r="K197" s="41" t="s">
        <v>216</v>
      </c>
      <c r="L197" s="50" t="s">
        <v>90</v>
      </c>
      <c r="M197" s="42">
        <v>1200</v>
      </c>
    </row>
    <row r="198" spans="1:13" outlineLevel="2" x14ac:dyDescent="0.25">
      <c r="A198" s="50">
        <f t="shared" si="38"/>
        <v>197</v>
      </c>
      <c r="B198" s="41" t="s">
        <v>93</v>
      </c>
      <c r="C198" s="41" t="s">
        <v>218</v>
      </c>
      <c r="D198" s="41" t="s">
        <v>218</v>
      </c>
      <c r="E198" s="41" t="s">
        <v>219</v>
      </c>
      <c r="F198" s="42">
        <v>0.2</v>
      </c>
      <c r="G198" s="42">
        <v>100</v>
      </c>
      <c r="H198" s="42">
        <f>IF(OR(G198="",I198=""),"",G198*I198)</f>
        <v>1200</v>
      </c>
      <c r="I198" s="49">
        <f>60*F198</f>
        <v>12</v>
      </c>
      <c r="J198" s="50" t="s">
        <v>197</v>
      </c>
      <c r="K198" s="41" t="s">
        <v>218</v>
      </c>
      <c r="L198" s="50" t="s">
        <v>90</v>
      </c>
      <c r="M198" s="42">
        <v>1200</v>
      </c>
    </row>
    <row r="199" spans="1:13" outlineLevel="1" x14ac:dyDescent="0.25">
      <c r="A199" s="50"/>
      <c r="B199" s="65" t="s">
        <v>381</v>
      </c>
      <c r="C199" s="41"/>
      <c r="D199" s="41"/>
      <c r="E199" s="41"/>
      <c r="F199" s="42"/>
      <c r="G199" s="42"/>
      <c r="H199" s="42">
        <f ca="1">SUBTOTAL(9,H190:H198)</f>
        <v>17080</v>
      </c>
      <c r="I199" s="49"/>
      <c r="J199" s="50"/>
      <c r="K199" s="41"/>
      <c r="L199" s="50"/>
      <c r="M199" s="42">
        <v>17080</v>
      </c>
    </row>
    <row r="200" spans="1:13" ht="24" customHeight="1" outlineLevel="2" x14ac:dyDescent="0.25">
      <c r="A200" s="38">
        <f>ROW(A198)</f>
        <v>198</v>
      </c>
      <c r="B200" s="38" t="s">
        <v>50</v>
      </c>
      <c r="C200" s="38"/>
      <c r="D200" s="38"/>
      <c r="E200" s="38" t="s">
        <v>50</v>
      </c>
      <c r="F200" s="39"/>
      <c r="G200" s="39"/>
      <c r="H200" s="39"/>
      <c r="I200" s="40">
        <v>1</v>
      </c>
      <c r="J200" s="38" t="s">
        <v>11</v>
      </c>
      <c r="K200" s="38" t="s">
        <v>12</v>
      </c>
      <c r="L200" s="38" t="s">
        <v>90</v>
      </c>
      <c r="M200" s="39"/>
    </row>
    <row r="201" spans="1:13" ht="24" outlineLevel="2" x14ac:dyDescent="0.25">
      <c r="A201" s="61">
        <f t="shared" si="38"/>
        <v>200</v>
      </c>
      <c r="B201" s="58" t="s">
        <v>50</v>
      </c>
      <c r="C201" s="58" t="s">
        <v>50</v>
      </c>
      <c r="D201" s="59">
        <v>5677</v>
      </c>
      <c r="E201" s="58" t="s">
        <v>332</v>
      </c>
      <c r="F201" s="60">
        <v>38950</v>
      </c>
      <c r="G201" s="60">
        <f>F201</f>
        <v>38950</v>
      </c>
      <c r="H201" s="60">
        <f>G201*I201</f>
        <v>38950</v>
      </c>
      <c r="I201" s="57">
        <v>1</v>
      </c>
      <c r="J201" s="61" t="s">
        <v>197</v>
      </c>
      <c r="K201" s="61" t="s">
        <v>49</v>
      </c>
      <c r="L201" s="50" t="s">
        <v>90</v>
      </c>
      <c r="M201" s="60">
        <v>38950</v>
      </c>
    </row>
    <row r="202" spans="1:13" ht="24" outlineLevel="2" x14ac:dyDescent="0.25">
      <c r="A202" s="50">
        <f t="shared" si="38"/>
        <v>201</v>
      </c>
      <c r="B202" s="41" t="s">
        <v>50</v>
      </c>
      <c r="C202" s="41" t="s">
        <v>216</v>
      </c>
      <c r="D202" s="41" t="s">
        <v>216</v>
      </c>
      <c r="E202" s="41" t="s">
        <v>217</v>
      </c>
      <c r="F202" s="42">
        <f ca="1">OFFSET(F202,1,2)</f>
        <v>60</v>
      </c>
      <c r="G202" s="42">
        <f ca="1">F202</f>
        <v>60</v>
      </c>
      <c r="H202" s="42">
        <f ca="1">G202*I202</f>
        <v>60</v>
      </c>
      <c r="I202" s="49">
        <v>1</v>
      </c>
      <c r="J202" s="50" t="s">
        <v>197</v>
      </c>
      <c r="K202" s="41" t="s">
        <v>216</v>
      </c>
      <c r="L202" s="50" t="s">
        <v>90</v>
      </c>
      <c r="M202" s="42">
        <v>60</v>
      </c>
    </row>
    <row r="203" spans="1:13" ht="24" outlineLevel="2" x14ac:dyDescent="0.25">
      <c r="A203" s="50">
        <f t="shared" si="38"/>
        <v>202</v>
      </c>
      <c r="B203" s="41" t="s">
        <v>50</v>
      </c>
      <c r="C203" s="41" t="s">
        <v>218</v>
      </c>
      <c r="D203" s="41" t="s">
        <v>218</v>
      </c>
      <c r="E203" s="41" t="s">
        <v>219</v>
      </c>
      <c r="F203" s="42">
        <v>0.01</v>
      </c>
      <c r="G203" s="42">
        <v>100</v>
      </c>
      <c r="H203" s="42">
        <f>IF(OR(G203="",I203=""),"",G203*I203)</f>
        <v>60</v>
      </c>
      <c r="I203" s="49">
        <f>60*F203</f>
        <v>0.6</v>
      </c>
      <c r="J203" s="50" t="s">
        <v>197</v>
      </c>
      <c r="K203" s="41" t="s">
        <v>218</v>
      </c>
      <c r="L203" s="50" t="s">
        <v>90</v>
      </c>
      <c r="M203" s="42">
        <v>60</v>
      </c>
    </row>
    <row r="204" spans="1:13" ht="24" outlineLevel="1" x14ac:dyDescent="0.25">
      <c r="A204" s="50"/>
      <c r="B204" s="65" t="s">
        <v>382</v>
      </c>
      <c r="C204" s="41"/>
      <c r="D204" s="41"/>
      <c r="E204" s="41"/>
      <c r="F204" s="42"/>
      <c r="G204" s="42"/>
      <c r="H204" s="42">
        <f ca="1">SUBTOTAL(9,H200:H203)</f>
        <v>39070</v>
      </c>
      <c r="I204" s="49"/>
      <c r="J204" s="50"/>
      <c r="K204" s="41"/>
      <c r="L204" s="50"/>
      <c r="M204" s="42">
        <v>39070</v>
      </c>
    </row>
    <row r="205" spans="1:13" ht="24" customHeight="1" outlineLevel="2" x14ac:dyDescent="0.25">
      <c r="A205" s="38">
        <f>ROW(A203)</f>
        <v>203</v>
      </c>
      <c r="B205" s="38" t="s">
        <v>94</v>
      </c>
      <c r="C205" s="38"/>
      <c r="D205" s="38"/>
      <c r="E205" s="38" t="s">
        <v>94</v>
      </c>
      <c r="F205" s="39"/>
      <c r="G205" s="39"/>
      <c r="H205" s="39"/>
      <c r="I205" s="40">
        <v>1</v>
      </c>
      <c r="J205" s="38" t="s">
        <v>11</v>
      </c>
      <c r="K205" s="38" t="s">
        <v>12</v>
      </c>
      <c r="L205" s="38" t="s">
        <v>95</v>
      </c>
      <c r="M205" s="39"/>
    </row>
    <row r="206" spans="1:13" outlineLevel="2" x14ac:dyDescent="0.25">
      <c r="A206" s="50">
        <f t="shared" si="38"/>
        <v>205</v>
      </c>
      <c r="B206" s="41" t="s">
        <v>94</v>
      </c>
      <c r="C206" s="41" t="s">
        <v>14</v>
      </c>
      <c r="D206" s="41" t="s">
        <v>36</v>
      </c>
      <c r="E206" s="41" t="s">
        <v>37</v>
      </c>
      <c r="F206" s="42">
        <v>14695</v>
      </c>
      <c r="G206" s="42">
        <f t="shared" ref="G206:G211" si="53">0.6*F206</f>
        <v>8817</v>
      </c>
      <c r="H206" s="42">
        <f t="shared" ref="H206:H214" si="54">G206*I206</f>
        <v>8817</v>
      </c>
      <c r="I206" s="49">
        <v>1</v>
      </c>
      <c r="J206" s="50" t="s">
        <v>197</v>
      </c>
      <c r="K206" s="50" t="s">
        <v>18</v>
      </c>
      <c r="L206" s="50" t="s">
        <v>95</v>
      </c>
      <c r="M206" s="42">
        <v>8817</v>
      </c>
    </row>
    <row r="207" spans="1:13" outlineLevel="2" x14ac:dyDescent="0.25">
      <c r="A207" s="50">
        <f t="shared" si="38"/>
        <v>206</v>
      </c>
      <c r="B207" s="41" t="s">
        <v>94</v>
      </c>
      <c r="C207" s="41" t="s">
        <v>23</v>
      </c>
      <c r="D207" s="41" t="s">
        <v>91</v>
      </c>
      <c r="E207" s="41" t="s">
        <v>92</v>
      </c>
      <c r="F207" s="42">
        <v>2606</v>
      </c>
      <c r="G207" s="42">
        <f t="shared" si="53"/>
        <v>1563.6</v>
      </c>
      <c r="H207" s="42">
        <f t="shared" si="54"/>
        <v>1563.6</v>
      </c>
      <c r="I207" s="49">
        <v>1</v>
      </c>
      <c r="J207" s="50" t="s">
        <v>197</v>
      </c>
      <c r="K207" s="50" t="s">
        <v>22</v>
      </c>
      <c r="L207" s="50" t="s">
        <v>95</v>
      </c>
      <c r="M207" s="42">
        <v>1563.6</v>
      </c>
    </row>
    <row r="208" spans="1:13" outlineLevel="2" x14ac:dyDescent="0.25">
      <c r="A208" s="50">
        <f t="shared" si="38"/>
        <v>207</v>
      </c>
      <c r="B208" s="41" t="s">
        <v>94</v>
      </c>
      <c r="C208" s="41" t="s">
        <v>23</v>
      </c>
      <c r="D208" s="41" t="s">
        <v>57</v>
      </c>
      <c r="E208" s="41" t="s">
        <v>58</v>
      </c>
      <c r="F208" s="42">
        <v>2429</v>
      </c>
      <c r="G208" s="42">
        <f t="shared" si="53"/>
        <v>1457.3999999999999</v>
      </c>
      <c r="H208" s="42">
        <f t="shared" si="54"/>
        <v>1457.3999999999999</v>
      </c>
      <c r="I208" s="49">
        <v>1</v>
      </c>
      <c r="J208" s="50" t="s">
        <v>197</v>
      </c>
      <c r="K208" s="50" t="s">
        <v>22</v>
      </c>
      <c r="L208" s="50" t="s">
        <v>95</v>
      </c>
      <c r="M208" s="42">
        <v>1457.3999999999999</v>
      </c>
    </row>
    <row r="209" spans="1:13" outlineLevel="2" x14ac:dyDescent="0.25">
      <c r="A209" s="50">
        <f t="shared" si="38"/>
        <v>208</v>
      </c>
      <c r="B209" s="41" t="s">
        <v>94</v>
      </c>
      <c r="C209" s="41" t="s">
        <v>23</v>
      </c>
      <c r="D209" s="41" t="s">
        <v>26</v>
      </c>
      <c r="E209" s="41" t="s">
        <v>27</v>
      </c>
      <c r="F209" s="42">
        <v>2337</v>
      </c>
      <c r="G209" s="42">
        <f t="shared" si="53"/>
        <v>1402.2</v>
      </c>
      <c r="H209" s="42">
        <f t="shared" si="54"/>
        <v>2804.4</v>
      </c>
      <c r="I209" s="49">
        <v>2</v>
      </c>
      <c r="J209" s="50" t="s">
        <v>197</v>
      </c>
      <c r="K209" s="50" t="s">
        <v>22</v>
      </c>
      <c r="L209" s="50" t="s">
        <v>95</v>
      </c>
      <c r="M209" s="42">
        <v>2804.4</v>
      </c>
    </row>
    <row r="210" spans="1:13" outlineLevel="2" x14ac:dyDescent="0.25">
      <c r="A210" s="50">
        <f t="shared" si="38"/>
        <v>209</v>
      </c>
      <c r="B210" s="41" t="s">
        <v>94</v>
      </c>
      <c r="C210" s="41" t="s">
        <v>23</v>
      </c>
      <c r="D210" s="41" t="s">
        <v>28</v>
      </c>
      <c r="E210" s="41" t="s">
        <v>29</v>
      </c>
      <c r="F210" s="42">
        <v>1389</v>
      </c>
      <c r="G210" s="42">
        <f t="shared" si="53"/>
        <v>833.4</v>
      </c>
      <c r="H210" s="42">
        <f t="shared" si="54"/>
        <v>2500.1999999999998</v>
      </c>
      <c r="I210" s="49">
        <v>3</v>
      </c>
      <c r="J210" s="50" t="s">
        <v>197</v>
      </c>
      <c r="K210" s="50" t="s">
        <v>22</v>
      </c>
      <c r="L210" s="50" t="s">
        <v>95</v>
      </c>
      <c r="M210" s="42">
        <v>2500.1999999999998</v>
      </c>
    </row>
    <row r="211" spans="1:13" outlineLevel="2" x14ac:dyDescent="0.25">
      <c r="A211" s="50">
        <f t="shared" si="38"/>
        <v>210</v>
      </c>
      <c r="B211" s="41" t="s">
        <v>94</v>
      </c>
      <c r="C211" s="41" t="s">
        <v>30</v>
      </c>
      <c r="D211" s="41" t="s">
        <v>59</v>
      </c>
      <c r="E211" s="41" t="s">
        <v>60</v>
      </c>
      <c r="F211" s="42">
        <v>5354</v>
      </c>
      <c r="G211" s="42">
        <f t="shared" si="53"/>
        <v>3212.4</v>
      </c>
      <c r="H211" s="42">
        <f t="shared" si="54"/>
        <v>3212.4</v>
      </c>
      <c r="I211" s="49">
        <v>1</v>
      </c>
      <c r="J211" s="50" t="s">
        <v>197</v>
      </c>
      <c r="K211" s="50" t="s">
        <v>22</v>
      </c>
      <c r="L211" s="50" t="s">
        <v>95</v>
      </c>
      <c r="M211" s="42">
        <v>3212.4</v>
      </c>
    </row>
    <row r="212" spans="1:13" outlineLevel="2" x14ac:dyDescent="0.25">
      <c r="A212" s="61">
        <f t="shared" si="38"/>
        <v>211</v>
      </c>
      <c r="B212" s="58" t="s">
        <v>94</v>
      </c>
      <c r="C212" s="58" t="s">
        <v>198</v>
      </c>
      <c r="D212" s="59" t="s">
        <v>341</v>
      </c>
      <c r="E212" s="58" t="s">
        <v>342</v>
      </c>
      <c r="F212" s="60">
        <v>1055</v>
      </c>
      <c r="G212" s="60">
        <f t="shared" ref="G212:G214" si="55">F212</f>
        <v>1055</v>
      </c>
      <c r="H212" s="60">
        <f t="shared" si="54"/>
        <v>1055</v>
      </c>
      <c r="I212" s="57">
        <v>1</v>
      </c>
      <c r="J212" s="61" t="s">
        <v>197</v>
      </c>
      <c r="K212" s="61" t="s">
        <v>49</v>
      </c>
      <c r="L212" s="50" t="s">
        <v>95</v>
      </c>
      <c r="M212" s="60">
        <v>1055</v>
      </c>
    </row>
    <row r="213" spans="1:13" outlineLevel="2" x14ac:dyDescent="0.25">
      <c r="A213" s="61">
        <f t="shared" si="38"/>
        <v>212</v>
      </c>
      <c r="B213" s="58" t="s">
        <v>94</v>
      </c>
      <c r="C213" s="58" t="s">
        <v>198</v>
      </c>
      <c r="D213" s="59" t="s">
        <v>339</v>
      </c>
      <c r="E213" s="58" t="s">
        <v>340</v>
      </c>
      <c r="F213" s="60">
        <v>1135</v>
      </c>
      <c r="G213" s="60">
        <f t="shared" si="55"/>
        <v>1135</v>
      </c>
      <c r="H213" s="60">
        <f t="shared" si="54"/>
        <v>1135</v>
      </c>
      <c r="I213" s="57">
        <v>1</v>
      </c>
      <c r="J213" s="61" t="s">
        <v>197</v>
      </c>
      <c r="K213" s="61" t="s">
        <v>49</v>
      </c>
      <c r="L213" s="50" t="s">
        <v>95</v>
      </c>
      <c r="M213" s="60">
        <v>1135</v>
      </c>
    </row>
    <row r="214" spans="1:13" outlineLevel="2" x14ac:dyDescent="0.25">
      <c r="A214" s="61">
        <f t="shared" si="38"/>
        <v>213</v>
      </c>
      <c r="B214" s="58" t="s">
        <v>94</v>
      </c>
      <c r="C214" s="58" t="s">
        <v>212</v>
      </c>
      <c r="D214" s="59" t="s">
        <v>353</v>
      </c>
      <c r="E214" s="58" t="s">
        <v>353</v>
      </c>
      <c r="F214" s="60">
        <v>190</v>
      </c>
      <c r="G214" s="60">
        <f t="shared" si="55"/>
        <v>190</v>
      </c>
      <c r="H214" s="60">
        <f t="shared" si="54"/>
        <v>190</v>
      </c>
      <c r="I214" s="57">
        <v>1</v>
      </c>
      <c r="J214" s="61" t="s">
        <v>197</v>
      </c>
      <c r="K214" s="61" t="s">
        <v>49</v>
      </c>
      <c r="L214" s="50" t="s">
        <v>95</v>
      </c>
      <c r="M214" s="60">
        <v>190</v>
      </c>
    </row>
    <row r="215" spans="1:13" ht="24" outlineLevel="2" x14ac:dyDescent="0.25">
      <c r="A215" s="50">
        <f t="shared" si="38"/>
        <v>214</v>
      </c>
      <c r="B215" s="41" t="s">
        <v>94</v>
      </c>
      <c r="C215" s="41" t="s">
        <v>216</v>
      </c>
      <c r="D215" s="41" t="s">
        <v>216</v>
      </c>
      <c r="E215" s="41" t="s">
        <v>217</v>
      </c>
      <c r="F215" s="42">
        <f ca="1">OFFSET(F215,1,2)</f>
        <v>9000</v>
      </c>
      <c r="G215" s="42">
        <f ca="1">F215</f>
        <v>9000</v>
      </c>
      <c r="H215" s="42">
        <f ca="1">G215*I215</f>
        <v>9000</v>
      </c>
      <c r="I215" s="49">
        <v>1</v>
      </c>
      <c r="J215" s="50" t="s">
        <v>197</v>
      </c>
      <c r="K215" s="41" t="s">
        <v>216</v>
      </c>
      <c r="L215" s="50" t="s">
        <v>95</v>
      </c>
      <c r="M215" s="42">
        <v>9000</v>
      </c>
    </row>
    <row r="216" spans="1:13" outlineLevel="2" x14ac:dyDescent="0.25">
      <c r="A216" s="50">
        <f t="shared" ref="A216:A285" si="56">ROW(A215)</f>
        <v>215</v>
      </c>
      <c r="B216" s="41" t="s">
        <v>94</v>
      </c>
      <c r="C216" s="41" t="s">
        <v>218</v>
      </c>
      <c r="D216" s="41" t="s">
        <v>218</v>
      </c>
      <c r="E216" s="41" t="s">
        <v>219</v>
      </c>
      <c r="F216" s="42">
        <v>1.5</v>
      </c>
      <c r="G216" s="42">
        <v>100</v>
      </c>
      <c r="H216" s="42">
        <f>IF(OR(G216="",I216=""),"",G216*I216)</f>
        <v>9000</v>
      </c>
      <c r="I216" s="49">
        <f>60*F216</f>
        <v>90</v>
      </c>
      <c r="J216" s="50" t="s">
        <v>197</v>
      </c>
      <c r="K216" s="41" t="s">
        <v>218</v>
      </c>
      <c r="L216" s="50" t="s">
        <v>95</v>
      </c>
      <c r="M216" s="42">
        <v>9000</v>
      </c>
    </row>
    <row r="217" spans="1:13" outlineLevel="1" x14ac:dyDescent="0.25">
      <c r="A217" s="50"/>
      <c r="B217" s="65" t="s">
        <v>383</v>
      </c>
      <c r="C217" s="41"/>
      <c r="D217" s="41"/>
      <c r="E217" s="41"/>
      <c r="F217" s="42"/>
      <c r="G217" s="42"/>
      <c r="H217" s="42">
        <f ca="1">SUBTOTAL(9,H205:H216)</f>
        <v>40735</v>
      </c>
      <c r="I217" s="49"/>
      <c r="J217" s="50"/>
      <c r="K217" s="41"/>
      <c r="L217" s="50"/>
      <c r="M217" s="42">
        <v>40735</v>
      </c>
    </row>
    <row r="218" spans="1:13" ht="24" customHeight="1" outlineLevel="2" x14ac:dyDescent="0.25">
      <c r="A218" s="38">
        <f>ROW(A216)</f>
        <v>216</v>
      </c>
      <c r="B218" s="38" t="s">
        <v>98</v>
      </c>
      <c r="C218" s="38"/>
      <c r="D218" s="38"/>
      <c r="E218" s="38" t="s">
        <v>98</v>
      </c>
      <c r="F218" s="39"/>
      <c r="G218" s="39"/>
      <c r="H218" s="39"/>
      <c r="I218" s="40">
        <v>1</v>
      </c>
      <c r="J218" s="38" t="s">
        <v>11</v>
      </c>
      <c r="K218" s="38" t="s">
        <v>12</v>
      </c>
      <c r="L218" s="38" t="s">
        <v>95</v>
      </c>
      <c r="M218" s="39"/>
    </row>
    <row r="219" spans="1:13" outlineLevel="2" x14ac:dyDescent="0.25">
      <c r="A219" s="50">
        <f t="shared" si="56"/>
        <v>218</v>
      </c>
      <c r="B219" s="41" t="s">
        <v>98</v>
      </c>
      <c r="C219" s="41" t="s">
        <v>14</v>
      </c>
      <c r="D219" s="41" t="s">
        <v>75</v>
      </c>
      <c r="E219" s="41" t="s">
        <v>76</v>
      </c>
      <c r="F219" s="42">
        <v>10270</v>
      </c>
      <c r="G219" s="42">
        <f t="shared" ref="G219:G222" si="57">0.6*F219</f>
        <v>6162</v>
      </c>
      <c r="H219" s="42">
        <f t="shared" ref="H219:H225" si="58">G219*I219</f>
        <v>6162</v>
      </c>
      <c r="I219" s="49">
        <v>1</v>
      </c>
      <c r="J219" s="50" t="s">
        <v>197</v>
      </c>
      <c r="K219" s="50" t="s">
        <v>18</v>
      </c>
      <c r="L219" s="50" t="s">
        <v>95</v>
      </c>
      <c r="M219" s="42">
        <v>6162</v>
      </c>
    </row>
    <row r="220" spans="1:13" outlineLevel="2" x14ac:dyDescent="0.25">
      <c r="A220" s="50">
        <f t="shared" si="56"/>
        <v>219</v>
      </c>
      <c r="B220" s="41" t="s">
        <v>98</v>
      </c>
      <c r="C220" s="41" t="s">
        <v>23</v>
      </c>
      <c r="D220" s="41" t="s">
        <v>81</v>
      </c>
      <c r="E220" s="41" t="s">
        <v>82</v>
      </c>
      <c r="F220" s="42">
        <v>2499</v>
      </c>
      <c r="G220" s="42">
        <f t="shared" si="57"/>
        <v>1499.3999999999999</v>
      </c>
      <c r="H220" s="42">
        <f t="shared" si="58"/>
        <v>1499.3999999999999</v>
      </c>
      <c r="I220" s="49">
        <v>1</v>
      </c>
      <c r="J220" s="50" t="s">
        <v>197</v>
      </c>
      <c r="K220" s="50" t="s">
        <v>22</v>
      </c>
      <c r="L220" s="50" t="s">
        <v>95</v>
      </c>
      <c r="M220" s="42">
        <v>1499.3999999999999</v>
      </c>
    </row>
    <row r="221" spans="1:13" outlineLevel="2" x14ac:dyDescent="0.25">
      <c r="A221" s="50">
        <f t="shared" si="56"/>
        <v>220</v>
      </c>
      <c r="B221" s="41" t="s">
        <v>98</v>
      </c>
      <c r="C221" s="41" t="s">
        <v>23</v>
      </c>
      <c r="D221" s="41" t="s">
        <v>26</v>
      </c>
      <c r="E221" s="41" t="s">
        <v>27</v>
      </c>
      <c r="F221" s="42">
        <v>2337</v>
      </c>
      <c r="G221" s="42">
        <f t="shared" si="57"/>
        <v>1402.2</v>
      </c>
      <c r="H221" s="42">
        <f t="shared" si="58"/>
        <v>1402.2</v>
      </c>
      <c r="I221" s="49">
        <v>1</v>
      </c>
      <c r="J221" s="50" t="s">
        <v>197</v>
      </c>
      <c r="K221" s="50" t="s">
        <v>22</v>
      </c>
      <c r="L221" s="50" t="s">
        <v>95</v>
      </c>
      <c r="M221" s="42">
        <v>1402.2</v>
      </c>
    </row>
    <row r="222" spans="1:13" outlineLevel="2" x14ac:dyDescent="0.25">
      <c r="A222" s="50">
        <f t="shared" si="56"/>
        <v>221</v>
      </c>
      <c r="B222" s="41" t="s">
        <v>98</v>
      </c>
      <c r="C222" s="41" t="s">
        <v>23</v>
      </c>
      <c r="D222" s="41" t="s">
        <v>28</v>
      </c>
      <c r="E222" s="41" t="s">
        <v>29</v>
      </c>
      <c r="F222" s="42">
        <v>1389</v>
      </c>
      <c r="G222" s="42">
        <f t="shared" si="57"/>
        <v>833.4</v>
      </c>
      <c r="H222" s="42">
        <f t="shared" si="58"/>
        <v>2500.1999999999998</v>
      </c>
      <c r="I222" s="49">
        <v>3</v>
      </c>
      <c r="J222" s="50" t="s">
        <v>197</v>
      </c>
      <c r="K222" s="50" t="s">
        <v>22</v>
      </c>
      <c r="L222" s="50" t="s">
        <v>95</v>
      </c>
      <c r="M222" s="42">
        <v>2500.1999999999998</v>
      </c>
    </row>
    <row r="223" spans="1:13" outlineLevel="2" x14ac:dyDescent="0.25">
      <c r="A223" s="61">
        <f t="shared" si="56"/>
        <v>222</v>
      </c>
      <c r="B223" s="58" t="s">
        <v>98</v>
      </c>
      <c r="C223" s="58" t="s">
        <v>198</v>
      </c>
      <c r="D223" s="59" t="s">
        <v>341</v>
      </c>
      <c r="E223" s="58" t="s">
        <v>342</v>
      </c>
      <c r="F223" s="60">
        <v>1055</v>
      </c>
      <c r="G223" s="60">
        <f t="shared" ref="G223:G225" si="59">F223</f>
        <v>1055</v>
      </c>
      <c r="H223" s="60">
        <f t="shared" si="58"/>
        <v>1055</v>
      </c>
      <c r="I223" s="57">
        <v>1</v>
      </c>
      <c r="J223" s="61" t="s">
        <v>197</v>
      </c>
      <c r="K223" s="61" t="s">
        <v>49</v>
      </c>
      <c r="L223" s="50" t="s">
        <v>95</v>
      </c>
      <c r="M223" s="60">
        <v>1055</v>
      </c>
    </row>
    <row r="224" spans="1:13" outlineLevel="2" x14ac:dyDescent="0.25">
      <c r="A224" s="61">
        <f t="shared" si="56"/>
        <v>223</v>
      </c>
      <c r="B224" s="58" t="s">
        <v>98</v>
      </c>
      <c r="C224" s="58" t="s">
        <v>198</v>
      </c>
      <c r="D224" s="59" t="s">
        <v>339</v>
      </c>
      <c r="E224" s="58" t="s">
        <v>340</v>
      </c>
      <c r="F224" s="60">
        <v>1135</v>
      </c>
      <c r="G224" s="60">
        <f t="shared" si="59"/>
        <v>1135</v>
      </c>
      <c r="H224" s="60">
        <f t="shared" si="58"/>
        <v>1135</v>
      </c>
      <c r="I224" s="57">
        <v>1</v>
      </c>
      <c r="J224" s="61" t="s">
        <v>197</v>
      </c>
      <c r="K224" s="61" t="s">
        <v>49</v>
      </c>
      <c r="L224" s="50" t="s">
        <v>95</v>
      </c>
      <c r="M224" s="60">
        <v>1135</v>
      </c>
    </row>
    <row r="225" spans="1:13" outlineLevel="2" x14ac:dyDescent="0.25">
      <c r="A225" s="61">
        <f t="shared" si="56"/>
        <v>224</v>
      </c>
      <c r="B225" s="58" t="s">
        <v>98</v>
      </c>
      <c r="C225" s="58" t="s">
        <v>212</v>
      </c>
      <c r="D225" s="59" t="s">
        <v>353</v>
      </c>
      <c r="E225" s="58" t="s">
        <v>353</v>
      </c>
      <c r="F225" s="60">
        <v>190</v>
      </c>
      <c r="G225" s="60">
        <f t="shared" si="59"/>
        <v>190</v>
      </c>
      <c r="H225" s="60">
        <f t="shared" si="58"/>
        <v>190</v>
      </c>
      <c r="I225" s="57">
        <v>1</v>
      </c>
      <c r="J225" s="61" t="s">
        <v>197</v>
      </c>
      <c r="K225" s="61" t="s">
        <v>49</v>
      </c>
      <c r="L225" s="50" t="s">
        <v>95</v>
      </c>
      <c r="M225" s="60">
        <v>190</v>
      </c>
    </row>
    <row r="226" spans="1:13" ht="24" outlineLevel="2" x14ac:dyDescent="0.25">
      <c r="A226" s="50">
        <f t="shared" si="56"/>
        <v>225</v>
      </c>
      <c r="B226" s="41" t="s">
        <v>98</v>
      </c>
      <c r="C226" s="41" t="s">
        <v>216</v>
      </c>
      <c r="D226" s="41" t="s">
        <v>216</v>
      </c>
      <c r="E226" s="41" t="s">
        <v>217</v>
      </c>
      <c r="F226" s="42">
        <f ca="1">OFFSET(F226,1,2)</f>
        <v>1200</v>
      </c>
      <c r="G226" s="42">
        <f ca="1">F226</f>
        <v>1200</v>
      </c>
      <c r="H226" s="42">
        <f ca="1">G226*I226</f>
        <v>1200</v>
      </c>
      <c r="I226" s="49">
        <v>1</v>
      </c>
      <c r="J226" s="50" t="s">
        <v>197</v>
      </c>
      <c r="K226" s="41" t="s">
        <v>216</v>
      </c>
      <c r="L226" s="50" t="s">
        <v>95</v>
      </c>
      <c r="M226" s="42">
        <v>1200</v>
      </c>
    </row>
    <row r="227" spans="1:13" outlineLevel="2" x14ac:dyDescent="0.25">
      <c r="A227" s="50">
        <f t="shared" si="56"/>
        <v>226</v>
      </c>
      <c r="B227" s="41" t="s">
        <v>98</v>
      </c>
      <c r="C227" s="41" t="s">
        <v>218</v>
      </c>
      <c r="D227" s="41" t="s">
        <v>218</v>
      </c>
      <c r="E227" s="41" t="s">
        <v>219</v>
      </c>
      <c r="F227" s="42">
        <v>0.2</v>
      </c>
      <c r="G227" s="42">
        <v>100</v>
      </c>
      <c r="H227" s="42">
        <f>IF(OR(G227="",I227=""),"",G227*I227)</f>
        <v>1200</v>
      </c>
      <c r="I227" s="49">
        <f>60*F227</f>
        <v>12</v>
      </c>
      <c r="J227" s="50" t="s">
        <v>197</v>
      </c>
      <c r="K227" s="41" t="s">
        <v>218</v>
      </c>
      <c r="L227" s="50" t="s">
        <v>95</v>
      </c>
      <c r="M227" s="42">
        <v>1200</v>
      </c>
    </row>
    <row r="228" spans="1:13" outlineLevel="1" x14ac:dyDescent="0.25">
      <c r="A228" s="50"/>
      <c r="B228" s="65" t="s">
        <v>384</v>
      </c>
      <c r="C228" s="41"/>
      <c r="D228" s="41"/>
      <c r="E228" s="41"/>
      <c r="F228" s="42"/>
      <c r="G228" s="42"/>
      <c r="H228" s="42">
        <f ca="1">SUBTOTAL(9,H218:H227)</f>
        <v>16343.8</v>
      </c>
      <c r="I228" s="49"/>
      <c r="J228" s="50"/>
      <c r="K228" s="41"/>
      <c r="L228" s="50"/>
      <c r="M228" s="42">
        <v>16343.8</v>
      </c>
    </row>
    <row r="229" spans="1:13" ht="24" customHeight="1" outlineLevel="2" x14ac:dyDescent="0.25">
      <c r="A229" s="38">
        <f>ROW(A227)</f>
        <v>227</v>
      </c>
      <c r="B229" s="38" t="s">
        <v>221</v>
      </c>
      <c r="C229" s="38"/>
      <c r="D229" s="38"/>
      <c r="E229" s="38" t="s">
        <v>221</v>
      </c>
      <c r="F229" s="39"/>
      <c r="G229" s="39"/>
      <c r="H229" s="39"/>
      <c r="I229" s="40">
        <v>1</v>
      </c>
      <c r="J229" s="38" t="s">
        <v>11</v>
      </c>
      <c r="K229" s="38" t="s">
        <v>12</v>
      </c>
      <c r="L229" s="38" t="e">
        <f>#REF!</f>
        <v>#REF!</v>
      </c>
      <c r="M229" s="39"/>
    </row>
    <row r="230" spans="1:13" outlineLevel="2" x14ac:dyDescent="0.25">
      <c r="A230" s="50">
        <f t="shared" si="56"/>
        <v>229</v>
      </c>
      <c r="B230" s="41" t="s">
        <v>221</v>
      </c>
      <c r="C230" s="41" t="s">
        <v>14</v>
      </c>
      <c r="D230" s="41"/>
      <c r="E230" s="41" t="s">
        <v>329</v>
      </c>
      <c r="F230" s="42">
        <v>20000</v>
      </c>
      <c r="G230" s="42">
        <f>0.6*F230</f>
        <v>12000</v>
      </c>
      <c r="H230" s="42">
        <f>G230*I230</f>
        <v>12000</v>
      </c>
      <c r="I230" s="49">
        <v>1</v>
      </c>
      <c r="J230" s="50" t="s">
        <v>197</v>
      </c>
      <c r="K230" s="50" t="s">
        <v>18</v>
      </c>
      <c r="L230" s="50" t="e">
        <f t="shared" ref="L230:L235" si="60">L229</f>
        <v>#REF!</v>
      </c>
      <c r="M230" s="42">
        <v>12000</v>
      </c>
    </row>
    <row r="231" spans="1:13" outlineLevel="2" x14ac:dyDescent="0.25">
      <c r="A231" s="61">
        <f t="shared" si="56"/>
        <v>230</v>
      </c>
      <c r="B231" s="58" t="s">
        <v>221</v>
      </c>
      <c r="C231" s="58" t="s">
        <v>46</v>
      </c>
      <c r="D231" s="59" t="s">
        <v>358</v>
      </c>
      <c r="E231" s="58" t="s">
        <v>359</v>
      </c>
      <c r="F231" s="60">
        <v>8202</v>
      </c>
      <c r="G231" s="60">
        <f>F231</f>
        <v>8202</v>
      </c>
      <c r="H231" s="60">
        <f>G231*I231</f>
        <v>8202</v>
      </c>
      <c r="I231" s="57">
        <v>1</v>
      </c>
      <c r="J231" s="61" t="s">
        <v>197</v>
      </c>
      <c r="K231" s="61" t="s">
        <v>49</v>
      </c>
      <c r="L231" s="50" t="e">
        <f t="shared" si="60"/>
        <v>#REF!</v>
      </c>
      <c r="M231" s="60">
        <v>8202</v>
      </c>
    </row>
    <row r="232" spans="1:13" outlineLevel="2" x14ac:dyDescent="0.25">
      <c r="A232" s="50">
        <f t="shared" si="56"/>
        <v>231</v>
      </c>
      <c r="B232" s="41" t="s">
        <v>221</v>
      </c>
      <c r="C232" s="41" t="s">
        <v>41</v>
      </c>
      <c r="D232" s="41" t="s">
        <v>42</v>
      </c>
      <c r="E232" s="41" t="s">
        <v>43</v>
      </c>
      <c r="F232" s="42">
        <v>1545</v>
      </c>
      <c r="G232" s="42">
        <f t="shared" ref="G232:G233" si="61">0.6*F232</f>
        <v>927</v>
      </c>
      <c r="H232" s="42">
        <f t="shared" ref="H232:H233" si="62">G232*I232</f>
        <v>2781</v>
      </c>
      <c r="I232" s="49">
        <v>3</v>
      </c>
      <c r="J232" s="50" t="s">
        <v>197</v>
      </c>
      <c r="K232" s="50" t="s">
        <v>22</v>
      </c>
      <c r="L232" s="50" t="e">
        <f t="shared" si="60"/>
        <v>#REF!</v>
      </c>
      <c r="M232" s="42">
        <v>2781</v>
      </c>
    </row>
    <row r="233" spans="1:13" outlineLevel="2" x14ac:dyDescent="0.25">
      <c r="A233" s="50">
        <f t="shared" si="56"/>
        <v>232</v>
      </c>
      <c r="B233" s="41" t="s">
        <v>221</v>
      </c>
      <c r="C233" s="41" t="s">
        <v>41</v>
      </c>
      <c r="D233" s="41" t="s">
        <v>44</v>
      </c>
      <c r="E233" s="41" t="s">
        <v>45</v>
      </c>
      <c r="F233" s="42">
        <v>2038</v>
      </c>
      <c r="G233" s="42">
        <f t="shared" si="61"/>
        <v>1222.8</v>
      </c>
      <c r="H233" s="42">
        <f t="shared" si="62"/>
        <v>3668.3999999999996</v>
      </c>
      <c r="I233" s="49">
        <v>3</v>
      </c>
      <c r="J233" s="50" t="s">
        <v>197</v>
      </c>
      <c r="K233" s="50" t="s">
        <v>22</v>
      </c>
      <c r="L233" s="50" t="e">
        <f t="shared" si="60"/>
        <v>#REF!</v>
      </c>
      <c r="M233" s="42">
        <v>3668.3999999999996</v>
      </c>
    </row>
    <row r="234" spans="1:13" ht="24" outlineLevel="2" x14ac:dyDescent="0.25">
      <c r="A234" s="50">
        <f t="shared" si="56"/>
        <v>233</v>
      </c>
      <c r="B234" s="41" t="s">
        <v>221</v>
      </c>
      <c r="C234" s="41" t="s">
        <v>216</v>
      </c>
      <c r="D234" s="41" t="s">
        <v>216</v>
      </c>
      <c r="E234" s="41" t="s">
        <v>217</v>
      </c>
      <c r="F234" s="42">
        <f ca="1">OFFSET(F234,1,2)</f>
        <v>9000</v>
      </c>
      <c r="G234" s="42">
        <f ca="1">F234</f>
        <v>9000</v>
      </c>
      <c r="H234" s="42">
        <f ca="1">G234*I234</f>
        <v>9000</v>
      </c>
      <c r="I234" s="49">
        <v>1</v>
      </c>
      <c r="J234" s="50" t="s">
        <v>197</v>
      </c>
      <c r="K234" s="41" t="s">
        <v>216</v>
      </c>
      <c r="L234" s="50" t="e">
        <f t="shared" si="60"/>
        <v>#REF!</v>
      </c>
      <c r="M234" s="42">
        <v>9000</v>
      </c>
    </row>
    <row r="235" spans="1:13" outlineLevel="2" x14ac:dyDescent="0.25">
      <c r="A235" s="50">
        <f t="shared" si="56"/>
        <v>234</v>
      </c>
      <c r="B235" s="41" t="s">
        <v>221</v>
      </c>
      <c r="C235" s="41" t="s">
        <v>218</v>
      </c>
      <c r="D235" s="41" t="s">
        <v>218</v>
      </c>
      <c r="E235" s="41" t="s">
        <v>219</v>
      </c>
      <c r="F235" s="42">
        <v>1.5</v>
      </c>
      <c r="G235" s="42">
        <v>100</v>
      </c>
      <c r="H235" s="42">
        <f>IF(OR(G235="",I235=""),"",G235*I235)</f>
        <v>9000</v>
      </c>
      <c r="I235" s="49">
        <f>60*F235</f>
        <v>90</v>
      </c>
      <c r="J235" s="50" t="s">
        <v>197</v>
      </c>
      <c r="K235" s="41" t="s">
        <v>218</v>
      </c>
      <c r="L235" s="50" t="e">
        <f t="shared" si="60"/>
        <v>#REF!</v>
      </c>
      <c r="M235" s="42">
        <v>9000</v>
      </c>
    </row>
    <row r="236" spans="1:13" ht="24" outlineLevel="1" x14ac:dyDescent="0.25">
      <c r="A236" s="50"/>
      <c r="B236" s="65" t="s">
        <v>369</v>
      </c>
      <c r="C236" s="41"/>
      <c r="D236" s="41"/>
      <c r="E236" s="41"/>
      <c r="F236" s="42"/>
      <c r="G236" s="42"/>
      <c r="H236" s="42">
        <f ca="1">SUBTOTAL(9,H229:H235)</f>
        <v>44651.4</v>
      </c>
      <c r="I236" s="49"/>
      <c r="J236" s="50"/>
      <c r="K236" s="41"/>
      <c r="L236" s="50"/>
      <c r="M236" s="42">
        <v>44651.4</v>
      </c>
    </row>
    <row r="237" spans="1:13" ht="24" customHeight="1" outlineLevel="2" x14ac:dyDescent="0.25">
      <c r="A237" s="38">
        <f>ROW(A235)</f>
        <v>235</v>
      </c>
      <c r="B237" s="38" t="s">
        <v>101</v>
      </c>
      <c r="C237" s="38"/>
      <c r="D237" s="38"/>
      <c r="E237" s="38" t="s">
        <v>101</v>
      </c>
      <c r="F237" s="39"/>
      <c r="G237" s="39"/>
      <c r="H237" s="39"/>
      <c r="I237" s="40">
        <v>1</v>
      </c>
      <c r="J237" s="38" t="s">
        <v>11</v>
      </c>
      <c r="K237" s="38" t="s">
        <v>12</v>
      </c>
      <c r="L237" s="38" t="s">
        <v>102</v>
      </c>
      <c r="M237" s="39"/>
    </row>
    <row r="238" spans="1:13" outlineLevel="2" x14ac:dyDescent="0.25">
      <c r="A238" s="50">
        <f t="shared" si="56"/>
        <v>237</v>
      </c>
      <c r="B238" s="41" t="s">
        <v>101</v>
      </c>
      <c r="C238" s="41" t="s">
        <v>14</v>
      </c>
      <c r="D238" s="41" t="s">
        <v>103</v>
      </c>
      <c r="E238" s="41" t="s">
        <v>104</v>
      </c>
      <c r="F238" s="42">
        <v>18000</v>
      </c>
      <c r="G238" s="42">
        <f t="shared" ref="G238:G243" si="63">0.6*F238</f>
        <v>10800</v>
      </c>
      <c r="H238" s="42">
        <f t="shared" ref="H238:H246" si="64">G238*I238</f>
        <v>10800</v>
      </c>
      <c r="I238" s="49">
        <v>1</v>
      </c>
      <c r="J238" s="50" t="s">
        <v>197</v>
      </c>
      <c r="K238" s="50" t="s">
        <v>18</v>
      </c>
      <c r="L238" s="50" t="s">
        <v>102</v>
      </c>
      <c r="M238" s="42">
        <v>10800</v>
      </c>
    </row>
    <row r="239" spans="1:13" outlineLevel="2" x14ac:dyDescent="0.25">
      <c r="A239" s="50">
        <f t="shared" si="56"/>
        <v>238</v>
      </c>
      <c r="B239" s="41" t="s">
        <v>101</v>
      </c>
      <c r="C239" s="41" t="s">
        <v>23</v>
      </c>
      <c r="D239" s="41" t="s">
        <v>53</v>
      </c>
      <c r="E239" s="41" t="s">
        <v>54</v>
      </c>
      <c r="F239" s="42">
        <v>10949</v>
      </c>
      <c r="G239" s="42">
        <f t="shared" si="63"/>
        <v>6569.4</v>
      </c>
      <c r="H239" s="42">
        <f t="shared" si="64"/>
        <v>6569.4</v>
      </c>
      <c r="I239" s="49">
        <v>1</v>
      </c>
      <c r="J239" s="50" t="s">
        <v>197</v>
      </c>
      <c r="K239" s="50" t="s">
        <v>22</v>
      </c>
      <c r="L239" s="50" t="s">
        <v>102</v>
      </c>
      <c r="M239" s="42">
        <v>6569.4</v>
      </c>
    </row>
    <row r="240" spans="1:13" outlineLevel="2" x14ac:dyDescent="0.25">
      <c r="A240" s="50">
        <f t="shared" si="56"/>
        <v>239</v>
      </c>
      <c r="B240" s="41" t="s">
        <v>101</v>
      </c>
      <c r="C240" s="41" t="s">
        <v>23</v>
      </c>
      <c r="D240" s="41" t="s">
        <v>57</v>
      </c>
      <c r="E240" s="41" t="s">
        <v>58</v>
      </c>
      <c r="F240" s="42">
        <v>2429</v>
      </c>
      <c r="G240" s="42">
        <f t="shared" si="63"/>
        <v>1457.3999999999999</v>
      </c>
      <c r="H240" s="42">
        <f t="shared" si="64"/>
        <v>5829.5999999999995</v>
      </c>
      <c r="I240" s="49">
        <v>4</v>
      </c>
      <c r="J240" s="50" t="s">
        <v>197</v>
      </c>
      <c r="K240" s="50" t="s">
        <v>22</v>
      </c>
      <c r="L240" s="50" t="s">
        <v>102</v>
      </c>
      <c r="M240" s="42">
        <v>5829.5999999999995</v>
      </c>
    </row>
    <row r="241" spans="1:13" outlineLevel="2" x14ac:dyDescent="0.25">
      <c r="A241" s="50">
        <f t="shared" si="56"/>
        <v>240</v>
      </c>
      <c r="B241" s="41" t="s">
        <v>101</v>
      </c>
      <c r="C241" s="41" t="s">
        <v>23</v>
      </c>
      <c r="D241" s="41" t="s">
        <v>26</v>
      </c>
      <c r="E241" s="41" t="s">
        <v>27</v>
      </c>
      <c r="F241" s="42">
        <v>2337</v>
      </c>
      <c r="G241" s="42">
        <f t="shared" si="63"/>
        <v>1402.2</v>
      </c>
      <c r="H241" s="42">
        <f t="shared" si="64"/>
        <v>2804.4</v>
      </c>
      <c r="I241" s="49">
        <v>2</v>
      </c>
      <c r="J241" s="50" t="s">
        <v>197</v>
      </c>
      <c r="K241" s="50" t="s">
        <v>22</v>
      </c>
      <c r="L241" s="50" t="s">
        <v>102</v>
      </c>
      <c r="M241" s="42">
        <v>2804.4</v>
      </c>
    </row>
    <row r="242" spans="1:13" outlineLevel="2" x14ac:dyDescent="0.25">
      <c r="A242" s="50">
        <f t="shared" si="56"/>
        <v>241</v>
      </c>
      <c r="B242" s="41" t="s">
        <v>101</v>
      </c>
      <c r="C242" s="41" t="s">
        <v>23</v>
      </c>
      <c r="D242" s="41" t="s">
        <v>55</v>
      </c>
      <c r="E242" s="41" t="s">
        <v>56</v>
      </c>
      <c r="F242" s="42">
        <v>3172</v>
      </c>
      <c r="G242" s="42">
        <f t="shared" si="63"/>
        <v>1903.1999999999998</v>
      </c>
      <c r="H242" s="42">
        <f t="shared" si="64"/>
        <v>1903.1999999999998</v>
      </c>
      <c r="I242" s="49">
        <v>1</v>
      </c>
      <c r="J242" s="50" t="s">
        <v>197</v>
      </c>
      <c r="K242" s="50" t="s">
        <v>22</v>
      </c>
      <c r="L242" s="50" t="s">
        <v>102</v>
      </c>
      <c r="M242" s="42">
        <v>1903.1999999999998</v>
      </c>
    </row>
    <row r="243" spans="1:13" outlineLevel="2" x14ac:dyDescent="0.25">
      <c r="A243" s="50">
        <f t="shared" si="56"/>
        <v>242</v>
      </c>
      <c r="B243" s="41" t="s">
        <v>101</v>
      </c>
      <c r="C243" s="41" t="s">
        <v>30</v>
      </c>
      <c r="D243" s="41" t="s">
        <v>31</v>
      </c>
      <c r="E243" s="41" t="s">
        <v>32</v>
      </c>
      <c r="F243" s="42">
        <v>4160</v>
      </c>
      <c r="G243" s="42">
        <f t="shared" si="63"/>
        <v>2496</v>
      </c>
      <c r="H243" s="42">
        <f t="shared" si="64"/>
        <v>2496</v>
      </c>
      <c r="I243" s="49">
        <v>1</v>
      </c>
      <c r="J243" s="50" t="s">
        <v>197</v>
      </c>
      <c r="K243" s="50" t="s">
        <v>22</v>
      </c>
      <c r="L243" s="50" t="s">
        <v>102</v>
      </c>
      <c r="M243" s="42">
        <v>2496</v>
      </c>
    </row>
    <row r="244" spans="1:13" outlineLevel="2" x14ac:dyDescent="0.25">
      <c r="A244" s="61">
        <f t="shared" si="56"/>
        <v>243</v>
      </c>
      <c r="B244" s="58" t="s">
        <v>101</v>
      </c>
      <c r="C244" s="58" t="s">
        <v>198</v>
      </c>
      <c r="D244" s="59" t="s">
        <v>341</v>
      </c>
      <c r="E244" s="58" t="s">
        <v>342</v>
      </c>
      <c r="F244" s="60">
        <v>1055</v>
      </c>
      <c r="G244" s="60">
        <f t="shared" ref="G244:G246" si="65">F244</f>
        <v>1055</v>
      </c>
      <c r="H244" s="60">
        <f t="shared" si="64"/>
        <v>1055</v>
      </c>
      <c r="I244" s="57">
        <v>1</v>
      </c>
      <c r="J244" s="61" t="s">
        <v>197</v>
      </c>
      <c r="K244" s="61" t="s">
        <v>49</v>
      </c>
      <c r="L244" s="50" t="s">
        <v>102</v>
      </c>
      <c r="M244" s="60">
        <v>1055</v>
      </c>
    </row>
    <row r="245" spans="1:13" outlineLevel="2" x14ac:dyDescent="0.25">
      <c r="A245" s="61">
        <f t="shared" si="56"/>
        <v>244</v>
      </c>
      <c r="B245" s="58" t="s">
        <v>101</v>
      </c>
      <c r="C245" s="58" t="s">
        <v>198</v>
      </c>
      <c r="D245" s="59" t="s">
        <v>339</v>
      </c>
      <c r="E245" s="58" t="s">
        <v>340</v>
      </c>
      <c r="F245" s="60">
        <v>1135</v>
      </c>
      <c r="G245" s="60">
        <f t="shared" si="65"/>
        <v>1135</v>
      </c>
      <c r="H245" s="60">
        <f t="shared" si="64"/>
        <v>1135</v>
      </c>
      <c r="I245" s="57">
        <v>1</v>
      </c>
      <c r="J245" s="61" t="s">
        <v>197</v>
      </c>
      <c r="K245" s="61" t="s">
        <v>49</v>
      </c>
      <c r="L245" s="50" t="s">
        <v>102</v>
      </c>
      <c r="M245" s="60">
        <v>1135</v>
      </c>
    </row>
    <row r="246" spans="1:13" outlineLevel="2" x14ac:dyDescent="0.25">
      <c r="A246" s="61">
        <f t="shared" si="56"/>
        <v>245</v>
      </c>
      <c r="B246" s="58" t="s">
        <v>101</v>
      </c>
      <c r="C246" s="58" t="s">
        <v>212</v>
      </c>
      <c r="D246" s="59" t="s">
        <v>353</v>
      </c>
      <c r="E246" s="58" t="s">
        <v>353</v>
      </c>
      <c r="F246" s="60">
        <v>190</v>
      </c>
      <c r="G246" s="60">
        <f t="shared" si="65"/>
        <v>190</v>
      </c>
      <c r="H246" s="60">
        <f t="shared" si="64"/>
        <v>190</v>
      </c>
      <c r="I246" s="57">
        <v>1</v>
      </c>
      <c r="J246" s="61" t="s">
        <v>197</v>
      </c>
      <c r="K246" s="61" t="s">
        <v>49</v>
      </c>
      <c r="L246" s="50" t="s">
        <v>102</v>
      </c>
      <c r="M246" s="60">
        <v>190</v>
      </c>
    </row>
    <row r="247" spans="1:13" ht="24" outlineLevel="2" x14ac:dyDescent="0.25">
      <c r="A247" s="50">
        <f t="shared" si="56"/>
        <v>246</v>
      </c>
      <c r="B247" s="41" t="s">
        <v>101</v>
      </c>
      <c r="C247" s="41" t="s">
        <v>216</v>
      </c>
      <c r="D247" s="41" t="s">
        <v>216</v>
      </c>
      <c r="E247" s="41" t="s">
        <v>217</v>
      </c>
      <c r="F247" s="42">
        <f ca="1">OFFSET(F247,1,2)</f>
        <v>9000</v>
      </c>
      <c r="G247" s="42">
        <f ca="1">F247</f>
        <v>9000</v>
      </c>
      <c r="H247" s="42">
        <f ca="1">G247*I247</f>
        <v>9000</v>
      </c>
      <c r="I247" s="49">
        <v>1</v>
      </c>
      <c r="J247" s="50" t="s">
        <v>197</v>
      </c>
      <c r="K247" s="41" t="s">
        <v>216</v>
      </c>
      <c r="L247" s="50" t="s">
        <v>102</v>
      </c>
      <c r="M247" s="42">
        <v>9000</v>
      </c>
    </row>
    <row r="248" spans="1:13" outlineLevel="2" x14ac:dyDescent="0.25">
      <c r="A248" s="50">
        <f t="shared" si="56"/>
        <v>247</v>
      </c>
      <c r="B248" s="41" t="s">
        <v>101</v>
      </c>
      <c r="C248" s="41" t="s">
        <v>218</v>
      </c>
      <c r="D248" s="41" t="s">
        <v>218</v>
      </c>
      <c r="E248" s="41" t="s">
        <v>219</v>
      </c>
      <c r="F248" s="42">
        <v>1.5</v>
      </c>
      <c r="G248" s="42">
        <v>100</v>
      </c>
      <c r="H248" s="42">
        <f>IF(OR(G248="",I248=""),"",G248*I248)</f>
        <v>9000</v>
      </c>
      <c r="I248" s="49">
        <f>60*F248</f>
        <v>90</v>
      </c>
      <c r="J248" s="50" t="s">
        <v>197</v>
      </c>
      <c r="K248" s="41" t="s">
        <v>218</v>
      </c>
      <c r="L248" s="50" t="s">
        <v>102</v>
      </c>
      <c r="M248" s="42">
        <v>9000</v>
      </c>
    </row>
    <row r="249" spans="1:13" outlineLevel="1" x14ac:dyDescent="0.25">
      <c r="A249" s="50"/>
      <c r="B249" s="65" t="s">
        <v>385</v>
      </c>
      <c r="C249" s="41"/>
      <c r="D249" s="41"/>
      <c r="E249" s="41"/>
      <c r="F249" s="42"/>
      <c r="G249" s="42"/>
      <c r="H249" s="42">
        <f ca="1">SUBTOTAL(9,H237:H248)</f>
        <v>50782.600000000006</v>
      </c>
      <c r="I249" s="49"/>
      <c r="J249" s="50"/>
      <c r="K249" s="41"/>
      <c r="L249" s="50"/>
      <c r="M249" s="42">
        <v>50782.600000000006</v>
      </c>
    </row>
    <row r="250" spans="1:13" ht="24" customHeight="1" outlineLevel="2" x14ac:dyDescent="0.25">
      <c r="A250" s="38">
        <f>ROW(A248)</f>
        <v>248</v>
      </c>
      <c r="B250" s="38" t="s">
        <v>114</v>
      </c>
      <c r="C250" s="38"/>
      <c r="D250" s="38"/>
      <c r="E250" s="38" t="s">
        <v>114</v>
      </c>
      <c r="F250" s="39"/>
      <c r="G250" s="39"/>
      <c r="H250" s="39"/>
      <c r="I250" s="40">
        <v>1</v>
      </c>
      <c r="J250" s="38" t="s">
        <v>11</v>
      </c>
      <c r="K250" s="38" t="s">
        <v>12</v>
      </c>
      <c r="L250" s="38" t="s">
        <v>102</v>
      </c>
      <c r="M250" s="39"/>
    </row>
    <row r="251" spans="1:13" outlineLevel="2" x14ac:dyDescent="0.25">
      <c r="A251" s="52">
        <f t="shared" si="56"/>
        <v>250</v>
      </c>
      <c r="B251" s="43" t="s">
        <v>114</v>
      </c>
      <c r="C251" s="43" t="s">
        <v>14</v>
      </c>
      <c r="D251" s="41" t="s">
        <v>354</v>
      </c>
      <c r="E251" s="56" t="s">
        <v>355</v>
      </c>
      <c r="F251" s="42">
        <v>20185</v>
      </c>
      <c r="G251" s="42">
        <f t="shared" ref="G251:G257" si="66">0.6*F251</f>
        <v>12111</v>
      </c>
      <c r="H251" s="42">
        <f t="shared" ref="H251:H260" si="67">G251*I251</f>
        <v>12111</v>
      </c>
      <c r="I251" s="51">
        <v>1</v>
      </c>
      <c r="J251" s="52" t="s">
        <v>197</v>
      </c>
      <c r="K251" s="50" t="s">
        <v>18</v>
      </c>
      <c r="L251" s="50" t="s">
        <v>102</v>
      </c>
      <c r="M251" s="42">
        <v>12111</v>
      </c>
    </row>
    <row r="252" spans="1:13" outlineLevel="2" x14ac:dyDescent="0.25">
      <c r="A252" s="50">
        <f t="shared" si="56"/>
        <v>251</v>
      </c>
      <c r="B252" s="41" t="s">
        <v>114</v>
      </c>
      <c r="C252" s="41" t="s">
        <v>23</v>
      </c>
      <c r="D252" s="41" t="s">
        <v>337</v>
      </c>
      <c r="E252" s="41" t="s">
        <v>338</v>
      </c>
      <c r="F252" s="42">
        <v>3401</v>
      </c>
      <c r="G252" s="42">
        <f t="shared" si="66"/>
        <v>2040.6</v>
      </c>
      <c r="H252" s="42">
        <f t="shared" si="67"/>
        <v>2040.6</v>
      </c>
      <c r="I252" s="49">
        <v>1</v>
      </c>
      <c r="J252" s="50" t="s">
        <v>197</v>
      </c>
      <c r="K252" s="50" t="s">
        <v>22</v>
      </c>
      <c r="L252" s="50" t="s">
        <v>102</v>
      </c>
      <c r="M252" s="42">
        <v>2040.6</v>
      </c>
    </row>
    <row r="253" spans="1:13" outlineLevel="2" x14ac:dyDescent="0.25">
      <c r="A253" s="50">
        <f t="shared" si="56"/>
        <v>252</v>
      </c>
      <c r="B253" s="41" t="s">
        <v>114</v>
      </c>
      <c r="C253" s="41" t="s">
        <v>108</v>
      </c>
      <c r="D253" s="41" t="s">
        <v>335</v>
      </c>
      <c r="E253" s="41" t="s">
        <v>336</v>
      </c>
      <c r="F253" s="42">
        <v>114080</v>
      </c>
      <c r="G253" s="42">
        <f t="shared" si="66"/>
        <v>68448</v>
      </c>
      <c r="H253" s="42">
        <f t="shared" si="67"/>
        <v>68448</v>
      </c>
      <c r="I253" s="49">
        <v>1</v>
      </c>
      <c r="J253" s="50" t="s">
        <v>197</v>
      </c>
      <c r="K253" s="50" t="s">
        <v>22</v>
      </c>
      <c r="L253" s="50" t="s">
        <v>102</v>
      </c>
      <c r="M253" s="42">
        <v>68448</v>
      </c>
    </row>
    <row r="254" spans="1:13" outlineLevel="2" x14ac:dyDescent="0.25">
      <c r="A254" s="61">
        <f t="shared" si="56"/>
        <v>253</v>
      </c>
      <c r="B254" s="58" t="s">
        <v>114</v>
      </c>
      <c r="C254" s="58" t="s">
        <v>23</v>
      </c>
      <c r="D254" s="59" t="s">
        <v>362</v>
      </c>
      <c r="E254" s="58" t="s">
        <v>363</v>
      </c>
      <c r="F254" s="60">
        <v>975</v>
      </c>
      <c r="G254" s="60">
        <f t="shared" si="66"/>
        <v>585</v>
      </c>
      <c r="H254" s="60">
        <f t="shared" si="67"/>
        <v>585</v>
      </c>
      <c r="I254" s="57">
        <v>1</v>
      </c>
      <c r="J254" s="61" t="s">
        <v>197</v>
      </c>
      <c r="K254" s="61" t="s">
        <v>22</v>
      </c>
      <c r="L254" s="50" t="s">
        <v>102</v>
      </c>
      <c r="M254" s="60">
        <v>585</v>
      </c>
    </row>
    <row r="255" spans="1:13" outlineLevel="2" x14ac:dyDescent="0.25">
      <c r="A255" s="50">
        <f t="shared" si="56"/>
        <v>254</v>
      </c>
      <c r="B255" s="41" t="s">
        <v>114</v>
      </c>
      <c r="C255" s="41" t="s">
        <v>110</v>
      </c>
      <c r="D255" s="41" t="s">
        <v>127</v>
      </c>
      <c r="E255" s="41" t="s">
        <v>111</v>
      </c>
      <c r="F255" s="42">
        <v>589</v>
      </c>
      <c r="G255" s="42">
        <f t="shared" si="66"/>
        <v>353.4</v>
      </c>
      <c r="H255" s="42">
        <f t="shared" si="67"/>
        <v>706.8</v>
      </c>
      <c r="I255" s="49">
        <v>2</v>
      </c>
      <c r="J255" s="50" t="s">
        <v>197</v>
      </c>
      <c r="K255" s="50" t="s">
        <v>22</v>
      </c>
      <c r="L255" s="50" t="s">
        <v>102</v>
      </c>
      <c r="M255" s="42">
        <v>706.8</v>
      </c>
    </row>
    <row r="256" spans="1:13" outlineLevel="2" x14ac:dyDescent="0.25">
      <c r="A256" s="50">
        <f t="shared" si="56"/>
        <v>255</v>
      </c>
      <c r="B256" s="41" t="s">
        <v>114</v>
      </c>
      <c r="C256" s="41" t="s">
        <v>110</v>
      </c>
      <c r="D256" s="41" t="s">
        <v>241</v>
      </c>
      <c r="E256" s="41" t="s">
        <v>112</v>
      </c>
      <c r="F256" s="42">
        <v>571</v>
      </c>
      <c r="G256" s="42">
        <f t="shared" si="66"/>
        <v>342.59999999999997</v>
      </c>
      <c r="H256" s="42">
        <f t="shared" si="67"/>
        <v>685.19999999999993</v>
      </c>
      <c r="I256" s="49">
        <v>2</v>
      </c>
      <c r="J256" s="50" t="s">
        <v>197</v>
      </c>
      <c r="K256" s="50" t="s">
        <v>22</v>
      </c>
      <c r="L256" s="50" t="s">
        <v>102</v>
      </c>
      <c r="M256" s="42">
        <v>685.19999999999993</v>
      </c>
    </row>
    <row r="257" spans="1:13" outlineLevel="2" x14ac:dyDescent="0.25">
      <c r="A257" s="50">
        <f t="shared" si="56"/>
        <v>256</v>
      </c>
      <c r="B257" s="41" t="s">
        <v>114</v>
      </c>
      <c r="C257" s="41" t="s">
        <v>110</v>
      </c>
      <c r="D257" s="41" t="s">
        <v>119</v>
      </c>
      <c r="E257" s="41" t="s">
        <v>113</v>
      </c>
      <c r="F257" s="42">
        <v>571</v>
      </c>
      <c r="G257" s="42">
        <f t="shared" si="66"/>
        <v>342.59999999999997</v>
      </c>
      <c r="H257" s="42">
        <f t="shared" si="67"/>
        <v>685.19999999999993</v>
      </c>
      <c r="I257" s="49">
        <v>2</v>
      </c>
      <c r="J257" s="50" t="s">
        <v>197</v>
      </c>
      <c r="K257" s="50" t="s">
        <v>22</v>
      </c>
      <c r="L257" s="50" t="s">
        <v>102</v>
      </c>
      <c r="M257" s="42">
        <v>685.19999999999993</v>
      </c>
    </row>
    <row r="258" spans="1:13" outlineLevel="2" x14ac:dyDescent="0.25">
      <c r="A258" s="61">
        <f t="shared" si="56"/>
        <v>257</v>
      </c>
      <c r="B258" s="58" t="s">
        <v>114</v>
      </c>
      <c r="C258" s="58" t="s">
        <v>198</v>
      </c>
      <c r="D258" s="59" t="s">
        <v>341</v>
      </c>
      <c r="E258" s="58" t="s">
        <v>342</v>
      </c>
      <c r="F258" s="60">
        <v>1055</v>
      </c>
      <c r="G258" s="60">
        <f t="shared" ref="G258:G260" si="68">F258</f>
        <v>1055</v>
      </c>
      <c r="H258" s="60">
        <f t="shared" si="67"/>
        <v>1055</v>
      </c>
      <c r="I258" s="57">
        <v>1</v>
      </c>
      <c r="J258" s="61" t="s">
        <v>197</v>
      </c>
      <c r="K258" s="61" t="s">
        <v>49</v>
      </c>
      <c r="L258" s="50" t="s">
        <v>102</v>
      </c>
      <c r="M258" s="60">
        <v>1055</v>
      </c>
    </row>
    <row r="259" spans="1:13" outlineLevel="2" x14ac:dyDescent="0.25">
      <c r="A259" s="61">
        <f t="shared" si="56"/>
        <v>258</v>
      </c>
      <c r="B259" s="58" t="s">
        <v>114</v>
      </c>
      <c r="C259" s="58" t="s">
        <v>198</v>
      </c>
      <c r="D259" s="59" t="s">
        <v>339</v>
      </c>
      <c r="E259" s="58" t="s">
        <v>340</v>
      </c>
      <c r="F259" s="60">
        <v>1135</v>
      </c>
      <c r="G259" s="60">
        <f t="shared" si="68"/>
        <v>1135</v>
      </c>
      <c r="H259" s="60">
        <f t="shared" si="67"/>
        <v>1135</v>
      </c>
      <c r="I259" s="57">
        <v>1</v>
      </c>
      <c r="J259" s="61" t="s">
        <v>197</v>
      </c>
      <c r="K259" s="61" t="s">
        <v>49</v>
      </c>
      <c r="L259" s="50" t="s">
        <v>102</v>
      </c>
      <c r="M259" s="60">
        <v>1135</v>
      </c>
    </row>
    <row r="260" spans="1:13" outlineLevel="2" x14ac:dyDescent="0.25">
      <c r="A260" s="61">
        <f t="shared" si="56"/>
        <v>259</v>
      </c>
      <c r="B260" s="58" t="s">
        <v>114</v>
      </c>
      <c r="C260" s="58" t="s">
        <v>212</v>
      </c>
      <c r="D260" s="59" t="s">
        <v>353</v>
      </c>
      <c r="E260" s="58" t="s">
        <v>353</v>
      </c>
      <c r="F260" s="60">
        <v>190</v>
      </c>
      <c r="G260" s="60">
        <f t="shared" si="68"/>
        <v>190</v>
      </c>
      <c r="H260" s="60">
        <f t="shared" si="67"/>
        <v>190</v>
      </c>
      <c r="I260" s="57">
        <v>1</v>
      </c>
      <c r="J260" s="61" t="s">
        <v>197</v>
      </c>
      <c r="K260" s="61" t="s">
        <v>49</v>
      </c>
      <c r="L260" s="50" t="s">
        <v>102</v>
      </c>
      <c r="M260" s="60">
        <v>190</v>
      </c>
    </row>
    <row r="261" spans="1:13" ht="24" outlineLevel="2" x14ac:dyDescent="0.25">
      <c r="A261" s="50">
        <f t="shared" si="56"/>
        <v>260</v>
      </c>
      <c r="B261" s="41" t="s">
        <v>114</v>
      </c>
      <c r="C261" s="41" t="s">
        <v>216</v>
      </c>
      <c r="D261" s="41" t="s">
        <v>216</v>
      </c>
      <c r="E261" s="41" t="s">
        <v>217</v>
      </c>
      <c r="F261" s="42">
        <f ca="1">OFFSET(F261,1,2)</f>
        <v>15000</v>
      </c>
      <c r="G261" s="42">
        <f ca="1">F261</f>
        <v>15000</v>
      </c>
      <c r="H261" s="42">
        <f ca="1">G261*I261</f>
        <v>15000</v>
      </c>
      <c r="I261" s="49">
        <v>1</v>
      </c>
      <c r="J261" s="50" t="s">
        <v>197</v>
      </c>
      <c r="K261" s="41" t="s">
        <v>216</v>
      </c>
      <c r="L261" s="50" t="s">
        <v>102</v>
      </c>
      <c r="M261" s="42">
        <v>15000</v>
      </c>
    </row>
    <row r="262" spans="1:13" outlineLevel="2" x14ac:dyDescent="0.25">
      <c r="A262" s="50">
        <f t="shared" si="56"/>
        <v>261</v>
      </c>
      <c r="B262" s="41" t="s">
        <v>114</v>
      </c>
      <c r="C262" s="41" t="s">
        <v>218</v>
      </c>
      <c r="D262" s="41" t="s">
        <v>218</v>
      </c>
      <c r="E262" s="41" t="s">
        <v>219</v>
      </c>
      <c r="F262" s="42">
        <v>2.5</v>
      </c>
      <c r="G262" s="42">
        <v>100</v>
      </c>
      <c r="H262" s="42">
        <f>IF(OR(G262="",I262=""),"",G262*I262)</f>
        <v>15000</v>
      </c>
      <c r="I262" s="49">
        <f>60*F262</f>
        <v>150</v>
      </c>
      <c r="J262" s="50" t="s">
        <v>197</v>
      </c>
      <c r="K262" s="41" t="s">
        <v>218</v>
      </c>
      <c r="L262" s="50" t="s">
        <v>102</v>
      </c>
      <c r="M262" s="42">
        <v>15000</v>
      </c>
    </row>
    <row r="263" spans="1:13" outlineLevel="1" x14ac:dyDescent="0.25">
      <c r="A263" s="50"/>
      <c r="B263" s="65" t="s">
        <v>386</v>
      </c>
      <c r="C263" s="41"/>
      <c r="D263" s="41"/>
      <c r="E263" s="41"/>
      <c r="F263" s="42"/>
      <c r="G263" s="42"/>
      <c r="H263" s="42">
        <f ca="1">SUBTOTAL(9,H250:H262)</f>
        <v>117641.8</v>
      </c>
      <c r="I263" s="49"/>
      <c r="J263" s="50"/>
      <c r="K263" s="41"/>
      <c r="L263" s="50"/>
      <c r="M263" s="42">
        <v>117641.8</v>
      </c>
    </row>
    <row r="264" spans="1:13" ht="24" customHeight="1" outlineLevel="2" x14ac:dyDescent="0.25">
      <c r="A264" s="38">
        <f>ROW(A262)</f>
        <v>262</v>
      </c>
      <c r="B264" s="38" t="s">
        <v>135</v>
      </c>
      <c r="C264" s="38"/>
      <c r="D264" s="38"/>
      <c r="E264" s="38" t="s">
        <v>135</v>
      </c>
      <c r="F264" s="39"/>
      <c r="G264" s="39"/>
      <c r="H264" s="39"/>
      <c r="I264" s="40">
        <v>1</v>
      </c>
      <c r="J264" s="38" t="s">
        <v>11</v>
      </c>
      <c r="K264" s="38" t="s">
        <v>12</v>
      </c>
      <c r="L264" s="38" t="s">
        <v>102</v>
      </c>
      <c r="M264" s="39"/>
    </row>
    <row r="265" spans="1:13" outlineLevel="2" x14ac:dyDescent="0.25">
      <c r="A265" s="50">
        <f t="shared" si="56"/>
        <v>264</v>
      </c>
      <c r="B265" s="41" t="s">
        <v>135</v>
      </c>
      <c r="C265" s="41" t="s">
        <v>14</v>
      </c>
      <c r="D265" s="41" t="s">
        <v>103</v>
      </c>
      <c r="E265" s="41" t="s">
        <v>104</v>
      </c>
      <c r="F265" s="42">
        <v>18000</v>
      </c>
      <c r="G265" s="42">
        <f t="shared" ref="G265:G270" si="69">0.6*F265</f>
        <v>10800</v>
      </c>
      <c r="H265" s="42">
        <f t="shared" ref="H265:H273" si="70">G265*I265</f>
        <v>10800</v>
      </c>
      <c r="I265" s="49">
        <v>1</v>
      </c>
      <c r="J265" s="50" t="s">
        <v>197</v>
      </c>
      <c r="K265" s="50" t="s">
        <v>18</v>
      </c>
      <c r="L265" s="50" t="s">
        <v>102</v>
      </c>
      <c r="M265" s="42">
        <v>10800</v>
      </c>
    </row>
    <row r="266" spans="1:13" outlineLevel="2" x14ac:dyDescent="0.25">
      <c r="A266" s="50">
        <f t="shared" si="56"/>
        <v>265</v>
      </c>
      <c r="B266" s="41" t="s">
        <v>135</v>
      </c>
      <c r="C266" s="41" t="s">
        <v>23</v>
      </c>
      <c r="D266" s="41" t="s">
        <v>57</v>
      </c>
      <c r="E266" s="41" t="s">
        <v>58</v>
      </c>
      <c r="F266" s="42">
        <v>2429</v>
      </c>
      <c r="G266" s="42">
        <f t="shared" si="69"/>
        <v>1457.3999999999999</v>
      </c>
      <c r="H266" s="42">
        <f t="shared" si="70"/>
        <v>1457.3999999999999</v>
      </c>
      <c r="I266" s="49">
        <v>1</v>
      </c>
      <c r="J266" s="50" t="s">
        <v>197</v>
      </c>
      <c r="K266" s="50" t="s">
        <v>22</v>
      </c>
      <c r="L266" s="50" t="s">
        <v>102</v>
      </c>
      <c r="M266" s="42">
        <v>1457.3999999999999</v>
      </c>
    </row>
    <row r="267" spans="1:13" outlineLevel="2" x14ac:dyDescent="0.25">
      <c r="A267" s="50">
        <f t="shared" si="56"/>
        <v>266</v>
      </c>
      <c r="B267" s="41" t="s">
        <v>135</v>
      </c>
      <c r="C267" s="41" t="s">
        <v>23</v>
      </c>
      <c r="D267" s="41" t="s">
        <v>81</v>
      </c>
      <c r="E267" s="41" t="s">
        <v>82</v>
      </c>
      <c r="F267" s="42">
        <v>2499</v>
      </c>
      <c r="G267" s="42">
        <f t="shared" si="69"/>
        <v>1499.3999999999999</v>
      </c>
      <c r="H267" s="42">
        <f t="shared" si="70"/>
        <v>1499.3999999999999</v>
      </c>
      <c r="I267" s="49">
        <v>1</v>
      </c>
      <c r="J267" s="50" t="s">
        <v>197</v>
      </c>
      <c r="K267" s="50" t="s">
        <v>22</v>
      </c>
      <c r="L267" s="50" t="s">
        <v>102</v>
      </c>
      <c r="M267" s="42">
        <v>1499.3999999999999</v>
      </c>
    </row>
    <row r="268" spans="1:13" outlineLevel="2" x14ac:dyDescent="0.25">
      <c r="A268" s="50">
        <f t="shared" si="56"/>
        <v>267</v>
      </c>
      <c r="B268" s="41" t="s">
        <v>135</v>
      </c>
      <c r="C268" s="41" t="s">
        <v>23</v>
      </c>
      <c r="D268" s="41" t="s">
        <v>26</v>
      </c>
      <c r="E268" s="41" t="s">
        <v>27</v>
      </c>
      <c r="F268" s="42">
        <v>2337</v>
      </c>
      <c r="G268" s="42">
        <f t="shared" si="69"/>
        <v>1402.2</v>
      </c>
      <c r="H268" s="42">
        <f t="shared" si="70"/>
        <v>4206.6000000000004</v>
      </c>
      <c r="I268" s="49">
        <v>3</v>
      </c>
      <c r="J268" s="50" t="s">
        <v>197</v>
      </c>
      <c r="K268" s="50" t="s">
        <v>22</v>
      </c>
      <c r="L268" s="50" t="s">
        <v>102</v>
      </c>
      <c r="M268" s="42">
        <v>4206.6000000000004</v>
      </c>
    </row>
    <row r="269" spans="1:13" outlineLevel="2" x14ac:dyDescent="0.25">
      <c r="A269" s="50">
        <f t="shared" si="56"/>
        <v>268</v>
      </c>
      <c r="B269" s="41" t="s">
        <v>135</v>
      </c>
      <c r="C269" s="41" t="s">
        <v>23</v>
      </c>
      <c r="D269" s="41" t="s">
        <v>28</v>
      </c>
      <c r="E269" s="41" t="s">
        <v>29</v>
      </c>
      <c r="F269" s="42">
        <v>1389</v>
      </c>
      <c r="G269" s="42">
        <f t="shared" si="69"/>
        <v>833.4</v>
      </c>
      <c r="H269" s="42">
        <f t="shared" si="70"/>
        <v>2500.1999999999998</v>
      </c>
      <c r="I269" s="49">
        <v>3</v>
      </c>
      <c r="J269" s="50" t="s">
        <v>197</v>
      </c>
      <c r="K269" s="50" t="s">
        <v>22</v>
      </c>
      <c r="L269" s="50" t="s">
        <v>102</v>
      </c>
      <c r="M269" s="42">
        <v>2500.1999999999998</v>
      </c>
    </row>
    <row r="270" spans="1:13" outlineLevel="2" x14ac:dyDescent="0.25">
      <c r="A270" s="50">
        <f t="shared" si="56"/>
        <v>269</v>
      </c>
      <c r="B270" s="41" t="s">
        <v>135</v>
      </c>
      <c r="C270" s="41" t="s">
        <v>136</v>
      </c>
      <c r="D270" s="41" t="s">
        <v>364</v>
      </c>
      <c r="E270" s="41" t="s">
        <v>365</v>
      </c>
      <c r="F270" s="42">
        <v>5104</v>
      </c>
      <c r="G270" s="42">
        <f t="shared" si="69"/>
        <v>3062.4</v>
      </c>
      <c r="H270" s="42">
        <f t="shared" si="70"/>
        <v>12249.6</v>
      </c>
      <c r="I270" s="49">
        <v>4</v>
      </c>
      <c r="J270" s="50" t="s">
        <v>197</v>
      </c>
      <c r="K270" s="50" t="s">
        <v>22</v>
      </c>
      <c r="L270" s="50" t="s">
        <v>102</v>
      </c>
      <c r="M270" s="42">
        <v>12249.6</v>
      </c>
    </row>
    <row r="271" spans="1:13" outlineLevel="2" x14ac:dyDescent="0.25">
      <c r="A271" s="61">
        <f t="shared" si="56"/>
        <v>270</v>
      </c>
      <c r="B271" s="58" t="s">
        <v>135</v>
      </c>
      <c r="C271" s="58" t="s">
        <v>198</v>
      </c>
      <c r="D271" s="59" t="s">
        <v>341</v>
      </c>
      <c r="E271" s="58" t="s">
        <v>342</v>
      </c>
      <c r="F271" s="60">
        <v>1055</v>
      </c>
      <c r="G271" s="60">
        <f t="shared" ref="G271:G273" si="71">F271</f>
        <v>1055</v>
      </c>
      <c r="H271" s="60">
        <f t="shared" si="70"/>
        <v>1055</v>
      </c>
      <c r="I271" s="57">
        <v>1</v>
      </c>
      <c r="J271" s="61" t="s">
        <v>197</v>
      </c>
      <c r="K271" s="61" t="s">
        <v>49</v>
      </c>
      <c r="L271" s="50" t="s">
        <v>102</v>
      </c>
      <c r="M271" s="60">
        <v>1055</v>
      </c>
    </row>
    <row r="272" spans="1:13" outlineLevel="2" x14ac:dyDescent="0.25">
      <c r="A272" s="61">
        <f t="shared" si="56"/>
        <v>271</v>
      </c>
      <c r="B272" s="58" t="s">
        <v>135</v>
      </c>
      <c r="C272" s="58" t="s">
        <v>198</v>
      </c>
      <c r="D272" s="59" t="s">
        <v>339</v>
      </c>
      <c r="E272" s="58" t="s">
        <v>340</v>
      </c>
      <c r="F272" s="60">
        <v>1135</v>
      </c>
      <c r="G272" s="60">
        <f t="shared" si="71"/>
        <v>1135</v>
      </c>
      <c r="H272" s="60">
        <f t="shared" si="70"/>
        <v>1135</v>
      </c>
      <c r="I272" s="57">
        <v>1</v>
      </c>
      <c r="J272" s="61" t="s">
        <v>197</v>
      </c>
      <c r="K272" s="61" t="s">
        <v>49</v>
      </c>
      <c r="L272" s="50" t="s">
        <v>102</v>
      </c>
      <c r="M272" s="60">
        <v>1135</v>
      </c>
    </row>
    <row r="273" spans="1:13" outlineLevel="2" x14ac:dyDescent="0.25">
      <c r="A273" s="61">
        <f t="shared" si="56"/>
        <v>272</v>
      </c>
      <c r="B273" s="58" t="s">
        <v>135</v>
      </c>
      <c r="C273" s="58" t="s">
        <v>212</v>
      </c>
      <c r="D273" s="59" t="s">
        <v>353</v>
      </c>
      <c r="E273" s="58" t="s">
        <v>353</v>
      </c>
      <c r="F273" s="60">
        <v>190</v>
      </c>
      <c r="G273" s="60">
        <f t="shared" si="71"/>
        <v>190</v>
      </c>
      <c r="H273" s="60">
        <f t="shared" si="70"/>
        <v>190</v>
      </c>
      <c r="I273" s="57">
        <v>1</v>
      </c>
      <c r="J273" s="61" t="s">
        <v>197</v>
      </c>
      <c r="K273" s="61" t="s">
        <v>49</v>
      </c>
      <c r="L273" s="50" t="s">
        <v>102</v>
      </c>
      <c r="M273" s="60">
        <v>190</v>
      </c>
    </row>
    <row r="274" spans="1:13" ht="24" outlineLevel="2" x14ac:dyDescent="0.25">
      <c r="A274" s="50">
        <f t="shared" si="56"/>
        <v>273</v>
      </c>
      <c r="B274" s="41" t="s">
        <v>135</v>
      </c>
      <c r="C274" s="41" t="s">
        <v>216</v>
      </c>
      <c r="D274" s="41" t="s">
        <v>216</v>
      </c>
      <c r="E274" s="41" t="s">
        <v>217</v>
      </c>
      <c r="F274" s="42">
        <f ca="1">OFFSET(F274,1,2)</f>
        <v>15000</v>
      </c>
      <c r="G274" s="42">
        <f ca="1">F274</f>
        <v>15000</v>
      </c>
      <c r="H274" s="42">
        <f ca="1">G274*I274</f>
        <v>15000</v>
      </c>
      <c r="I274" s="49">
        <v>1</v>
      </c>
      <c r="J274" s="50" t="s">
        <v>197</v>
      </c>
      <c r="K274" s="41" t="s">
        <v>216</v>
      </c>
      <c r="L274" s="50" t="s">
        <v>102</v>
      </c>
      <c r="M274" s="42">
        <v>15000</v>
      </c>
    </row>
    <row r="275" spans="1:13" outlineLevel="2" x14ac:dyDescent="0.25">
      <c r="A275" s="50">
        <f t="shared" si="56"/>
        <v>274</v>
      </c>
      <c r="B275" s="41" t="s">
        <v>135</v>
      </c>
      <c r="C275" s="41" t="s">
        <v>218</v>
      </c>
      <c r="D275" s="41" t="s">
        <v>218</v>
      </c>
      <c r="E275" s="41" t="s">
        <v>219</v>
      </c>
      <c r="F275" s="42">
        <v>2.5</v>
      </c>
      <c r="G275" s="42">
        <v>100</v>
      </c>
      <c r="H275" s="42">
        <f>IF(OR(G275="",I275=""),"",G275*I275)</f>
        <v>15000</v>
      </c>
      <c r="I275" s="49">
        <f>60*F275</f>
        <v>150</v>
      </c>
      <c r="J275" s="50" t="s">
        <v>197</v>
      </c>
      <c r="K275" s="41" t="s">
        <v>218</v>
      </c>
      <c r="L275" s="50" t="s">
        <v>102</v>
      </c>
      <c r="M275" s="42">
        <v>15000</v>
      </c>
    </row>
    <row r="276" spans="1:13" outlineLevel="1" x14ac:dyDescent="0.25">
      <c r="A276" s="50"/>
      <c r="B276" s="65" t="s">
        <v>387</v>
      </c>
      <c r="C276" s="41"/>
      <c r="D276" s="41"/>
      <c r="E276" s="41"/>
      <c r="F276" s="42"/>
      <c r="G276" s="42"/>
      <c r="H276" s="42">
        <f ca="1">SUBTOTAL(9,H264:H275)</f>
        <v>65093.200000000004</v>
      </c>
      <c r="I276" s="49"/>
      <c r="J276" s="50"/>
      <c r="K276" s="41"/>
      <c r="L276" s="50"/>
      <c r="M276" s="42">
        <v>65093.200000000004</v>
      </c>
    </row>
    <row r="277" spans="1:13" ht="24" customHeight="1" outlineLevel="2" x14ac:dyDescent="0.25">
      <c r="A277" s="38">
        <f>ROW(A275)</f>
        <v>275</v>
      </c>
      <c r="B277" s="38" t="s">
        <v>139</v>
      </c>
      <c r="C277" s="38"/>
      <c r="D277" s="38"/>
      <c r="E277" s="38" t="s">
        <v>139</v>
      </c>
      <c r="F277" s="39"/>
      <c r="G277" s="39"/>
      <c r="H277" s="39"/>
      <c r="I277" s="40">
        <v>1</v>
      </c>
      <c r="J277" s="38" t="s">
        <v>11</v>
      </c>
      <c r="K277" s="38" t="s">
        <v>12</v>
      </c>
      <c r="L277" s="38" t="s">
        <v>102</v>
      </c>
      <c r="M277" s="39"/>
    </row>
    <row r="278" spans="1:13" outlineLevel="2" x14ac:dyDescent="0.25">
      <c r="A278" s="50">
        <f t="shared" si="56"/>
        <v>277</v>
      </c>
      <c r="B278" s="41" t="s">
        <v>139</v>
      </c>
      <c r="C278" s="41" t="s">
        <v>14</v>
      </c>
      <c r="D278" s="41" t="s">
        <v>103</v>
      </c>
      <c r="E278" s="41" t="s">
        <v>104</v>
      </c>
      <c r="F278" s="42">
        <v>18000</v>
      </c>
      <c r="G278" s="42">
        <f t="shared" ref="G278:G280" si="72">0.6*F278</f>
        <v>10800</v>
      </c>
      <c r="H278" s="42">
        <f t="shared" ref="H278:H283" si="73">G278*I278</f>
        <v>10800</v>
      </c>
      <c r="I278" s="49">
        <v>1</v>
      </c>
      <c r="J278" s="50" t="s">
        <v>197</v>
      </c>
      <c r="K278" s="50" t="s">
        <v>18</v>
      </c>
      <c r="L278" s="50" t="s">
        <v>102</v>
      </c>
      <c r="M278" s="42">
        <v>10800</v>
      </c>
    </row>
    <row r="279" spans="1:13" outlineLevel="2" x14ac:dyDescent="0.25">
      <c r="A279" s="50">
        <f t="shared" si="56"/>
        <v>278</v>
      </c>
      <c r="B279" s="41" t="s">
        <v>139</v>
      </c>
      <c r="C279" s="41" t="s">
        <v>23</v>
      </c>
      <c r="D279" s="41" t="s">
        <v>81</v>
      </c>
      <c r="E279" s="41" t="s">
        <v>82</v>
      </c>
      <c r="F279" s="42">
        <v>2499</v>
      </c>
      <c r="G279" s="42">
        <f t="shared" si="72"/>
        <v>1499.3999999999999</v>
      </c>
      <c r="H279" s="42">
        <f t="shared" si="73"/>
        <v>1499.3999999999999</v>
      </c>
      <c r="I279" s="49">
        <v>1</v>
      </c>
      <c r="J279" s="50" t="s">
        <v>197</v>
      </c>
      <c r="K279" s="50" t="s">
        <v>22</v>
      </c>
      <c r="L279" s="50" t="s">
        <v>102</v>
      </c>
      <c r="M279" s="42">
        <v>1499.3999999999999</v>
      </c>
    </row>
    <row r="280" spans="1:13" outlineLevel="2" x14ac:dyDescent="0.25">
      <c r="A280" s="50">
        <f t="shared" si="56"/>
        <v>279</v>
      </c>
      <c r="B280" s="41" t="s">
        <v>139</v>
      </c>
      <c r="C280" s="41" t="s">
        <v>136</v>
      </c>
      <c r="D280" s="41" t="s">
        <v>364</v>
      </c>
      <c r="E280" s="41" t="s">
        <v>365</v>
      </c>
      <c r="F280" s="42">
        <v>5104</v>
      </c>
      <c r="G280" s="42">
        <f t="shared" si="72"/>
        <v>3062.4</v>
      </c>
      <c r="H280" s="42">
        <f t="shared" si="73"/>
        <v>18374.400000000001</v>
      </c>
      <c r="I280" s="49">
        <v>6</v>
      </c>
      <c r="J280" s="50" t="s">
        <v>197</v>
      </c>
      <c r="K280" s="50" t="s">
        <v>22</v>
      </c>
      <c r="L280" s="50" t="s">
        <v>102</v>
      </c>
      <c r="M280" s="42">
        <v>18374.400000000001</v>
      </c>
    </row>
    <row r="281" spans="1:13" outlineLevel="2" x14ac:dyDescent="0.25">
      <c r="A281" s="61">
        <f t="shared" si="56"/>
        <v>280</v>
      </c>
      <c r="B281" s="58" t="s">
        <v>139</v>
      </c>
      <c r="C281" s="58" t="s">
        <v>198</v>
      </c>
      <c r="D281" s="59" t="s">
        <v>341</v>
      </c>
      <c r="E281" s="58" t="s">
        <v>342</v>
      </c>
      <c r="F281" s="60">
        <v>1055</v>
      </c>
      <c r="G281" s="60">
        <f t="shared" ref="G281:G283" si="74">F281</f>
        <v>1055</v>
      </c>
      <c r="H281" s="60">
        <f t="shared" si="73"/>
        <v>1055</v>
      </c>
      <c r="I281" s="57">
        <v>1</v>
      </c>
      <c r="J281" s="61" t="s">
        <v>197</v>
      </c>
      <c r="K281" s="61" t="s">
        <v>49</v>
      </c>
      <c r="L281" s="50" t="s">
        <v>102</v>
      </c>
      <c r="M281" s="60">
        <v>1055</v>
      </c>
    </row>
    <row r="282" spans="1:13" outlineLevel="2" x14ac:dyDescent="0.25">
      <c r="A282" s="61">
        <f t="shared" si="56"/>
        <v>281</v>
      </c>
      <c r="B282" s="58" t="s">
        <v>139</v>
      </c>
      <c r="C282" s="58" t="s">
        <v>198</v>
      </c>
      <c r="D282" s="59" t="s">
        <v>339</v>
      </c>
      <c r="E282" s="58" t="s">
        <v>340</v>
      </c>
      <c r="F282" s="60">
        <v>1135</v>
      </c>
      <c r="G282" s="60">
        <f t="shared" si="74"/>
        <v>1135</v>
      </c>
      <c r="H282" s="60">
        <f t="shared" si="73"/>
        <v>1135</v>
      </c>
      <c r="I282" s="57">
        <v>1</v>
      </c>
      <c r="J282" s="61" t="s">
        <v>197</v>
      </c>
      <c r="K282" s="61" t="s">
        <v>49</v>
      </c>
      <c r="L282" s="50" t="s">
        <v>102</v>
      </c>
      <c r="M282" s="60">
        <v>1135</v>
      </c>
    </row>
    <row r="283" spans="1:13" outlineLevel="2" x14ac:dyDescent="0.25">
      <c r="A283" s="61">
        <f t="shared" si="56"/>
        <v>282</v>
      </c>
      <c r="B283" s="58" t="s">
        <v>139</v>
      </c>
      <c r="C283" s="58" t="s">
        <v>212</v>
      </c>
      <c r="D283" s="59" t="s">
        <v>353</v>
      </c>
      <c r="E283" s="58" t="s">
        <v>353</v>
      </c>
      <c r="F283" s="60">
        <v>190</v>
      </c>
      <c r="G283" s="60">
        <f t="shared" si="74"/>
        <v>190</v>
      </c>
      <c r="H283" s="60">
        <f t="shared" si="73"/>
        <v>190</v>
      </c>
      <c r="I283" s="57">
        <v>1</v>
      </c>
      <c r="J283" s="61" t="s">
        <v>197</v>
      </c>
      <c r="K283" s="61" t="s">
        <v>49</v>
      </c>
      <c r="L283" s="50" t="s">
        <v>102</v>
      </c>
      <c r="M283" s="60">
        <v>190</v>
      </c>
    </row>
    <row r="284" spans="1:13" ht="24" outlineLevel="2" x14ac:dyDescent="0.25">
      <c r="A284" s="50">
        <f t="shared" si="56"/>
        <v>283</v>
      </c>
      <c r="B284" s="41" t="s">
        <v>139</v>
      </c>
      <c r="C284" s="41" t="s">
        <v>216</v>
      </c>
      <c r="D284" s="41" t="s">
        <v>216</v>
      </c>
      <c r="E284" s="41" t="s">
        <v>217</v>
      </c>
      <c r="F284" s="42">
        <f ca="1">OFFSET(F284,1,2)</f>
        <v>12000</v>
      </c>
      <c r="G284" s="42">
        <f ca="1">F284</f>
        <v>12000</v>
      </c>
      <c r="H284" s="42">
        <f ca="1">G284*I284</f>
        <v>12000</v>
      </c>
      <c r="I284" s="49">
        <v>1</v>
      </c>
      <c r="J284" s="50" t="s">
        <v>197</v>
      </c>
      <c r="K284" s="41" t="s">
        <v>216</v>
      </c>
      <c r="L284" s="50" t="s">
        <v>102</v>
      </c>
      <c r="M284" s="42">
        <v>12000</v>
      </c>
    </row>
    <row r="285" spans="1:13" outlineLevel="2" x14ac:dyDescent="0.25">
      <c r="A285" s="50">
        <f t="shared" si="56"/>
        <v>284</v>
      </c>
      <c r="B285" s="41" t="s">
        <v>139</v>
      </c>
      <c r="C285" s="41" t="s">
        <v>218</v>
      </c>
      <c r="D285" s="41" t="s">
        <v>218</v>
      </c>
      <c r="E285" s="41" t="s">
        <v>219</v>
      </c>
      <c r="F285" s="42">
        <v>2</v>
      </c>
      <c r="G285" s="42">
        <v>100</v>
      </c>
      <c r="H285" s="42">
        <f>IF(OR(G285="",I285=""),"",G285*I285)</f>
        <v>12000</v>
      </c>
      <c r="I285" s="49">
        <f>60*F285</f>
        <v>120</v>
      </c>
      <c r="J285" s="50" t="s">
        <v>197</v>
      </c>
      <c r="K285" s="41" t="s">
        <v>218</v>
      </c>
      <c r="L285" s="50" t="s">
        <v>102</v>
      </c>
      <c r="M285" s="42">
        <v>12000</v>
      </c>
    </row>
    <row r="286" spans="1:13" outlineLevel="1" x14ac:dyDescent="0.25">
      <c r="A286" s="50"/>
      <c r="B286" s="65" t="s">
        <v>388</v>
      </c>
      <c r="C286" s="41"/>
      <c r="D286" s="41"/>
      <c r="E286" s="41"/>
      <c r="F286" s="42"/>
      <c r="G286" s="42"/>
      <c r="H286" s="42">
        <f ca="1">SUBTOTAL(9,H277:H285)</f>
        <v>57053.8</v>
      </c>
      <c r="I286" s="49"/>
      <c r="J286" s="50"/>
      <c r="K286" s="41"/>
      <c r="L286" s="50"/>
      <c r="M286" s="42">
        <v>57053.8</v>
      </c>
    </row>
    <row r="287" spans="1:13" ht="24" customHeight="1" outlineLevel="2" x14ac:dyDescent="0.25">
      <c r="A287" s="38">
        <f>ROW(A285)</f>
        <v>285</v>
      </c>
      <c r="B287" s="38" t="s">
        <v>140</v>
      </c>
      <c r="C287" s="38"/>
      <c r="D287" s="38"/>
      <c r="E287" s="38" t="s">
        <v>140</v>
      </c>
      <c r="F287" s="39"/>
      <c r="G287" s="39"/>
      <c r="H287" s="39"/>
      <c r="I287" s="40">
        <v>1</v>
      </c>
      <c r="J287" s="38" t="s">
        <v>11</v>
      </c>
      <c r="K287" s="38" t="s">
        <v>12</v>
      </c>
      <c r="L287" s="38" t="s">
        <v>102</v>
      </c>
      <c r="M287" s="39"/>
    </row>
    <row r="288" spans="1:13" outlineLevel="2" x14ac:dyDescent="0.25">
      <c r="A288" s="50">
        <f t="shared" ref="A288:A357" si="75">ROW(A287)</f>
        <v>287</v>
      </c>
      <c r="B288" s="41" t="s">
        <v>140</v>
      </c>
      <c r="C288" s="41" t="s">
        <v>14</v>
      </c>
      <c r="D288" s="41" t="s">
        <v>62</v>
      </c>
      <c r="E288" s="41" t="s">
        <v>63</v>
      </c>
      <c r="F288" s="42">
        <v>22000</v>
      </c>
      <c r="G288" s="42">
        <f t="shared" ref="G288:G292" si="76">0.6*F288</f>
        <v>13200</v>
      </c>
      <c r="H288" s="42">
        <f t="shared" ref="H288:H295" si="77">G288*I288</f>
        <v>13200</v>
      </c>
      <c r="I288" s="49">
        <v>1</v>
      </c>
      <c r="J288" s="50" t="s">
        <v>197</v>
      </c>
      <c r="K288" s="50" t="s">
        <v>18</v>
      </c>
      <c r="L288" s="50" t="s">
        <v>102</v>
      </c>
      <c r="M288" s="42">
        <v>13200</v>
      </c>
    </row>
    <row r="289" spans="1:13" outlineLevel="2" x14ac:dyDescent="0.25">
      <c r="A289" s="50">
        <f t="shared" si="75"/>
        <v>288</v>
      </c>
      <c r="B289" s="41" t="s">
        <v>140</v>
      </c>
      <c r="C289" s="41" t="s">
        <v>23</v>
      </c>
      <c r="D289" s="41" t="s">
        <v>72</v>
      </c>
      <c r="E289" s="41" t="s">
        <v>73</v>
      </c>
      <c r="F289" s="42">
        <v>2807</v>
      </c>
      <c r="G289" s="42">
        <f t="shared" si="76"/>
        <v>1684.2</v>
      </c>
      <c r="H289" s="42">
        <f t="shared" si="77"/>
        <v>1684.2</v>
      </c>
      <c r="I289" s="49">
        <v>1</v>
      </c>
      <c r="J289" s="50" t="s">
        <v>197</v>
      </c>
      <c r="K289" s="50" t="s">
        <v>22</v>
      </c>
      <c r="L289" s="50" t="s">
        <v>102</v>
      </c>
      <c r="M289" s="42">
        <v>1684.2</v>
      </c>
    </row>
    <row r="290" spans="1:13" outlineLevel="2" x14ac:dyDescent="0.25">
      <c r="A290" s="50">
        <f t="shared" si="75"/>
        <v>289</v>
      </c>
      <c r="B290" s="41" t="s">
        <v>140</v>
      </c>
      <c r="C290" s="41" t="s">
        <v>23</v>
      </c>
      <c r="D290" s="41" t="s">
        <v>81</v>
      </c>
      <c r="E290" s="41" t="s">
        <v>82</v>
      </c>
      <c r="F290" s="42">
        <v>2499</v>
      </c>
      <c r="G290" s="42">
        <f t="shared" si="76"/>
        <v>1499.3999999999999</v>
      </c>
      <c r="H290" s="42">
        <f t="shared" si="77"/>
        <v>2998.7999999999997</v>
      </c>
      <c r="I290" s="49">
        <v>2</v>
      </c>
      <c r="J290" s="50" t="s">
        <v>197</v>
      </c>
      <c r="K290" s="50" t="s">
        <v>22</v>
      </c>
      <c r="L290" s="50" t="s">
        <v>102</v>
      </c>
      <c r="M290" s="42">
        <v>2998.7999999999997</v>
      </c>
    </row>
    <row r="291" spans="1:13" outlineLevel="2" x14ac:dyDescent="0.25">
      <c r="A291" s="50">
        <f t="shared" si="75"/>
        <v>290</v>
      </c>
      <c r="B291" s="41" t="s">
        <v>140</v>
      </c>
      <c r="C291" s="41" t="s">
        <v>23</v>
      </c>
      <c r="D291" s="41" t="s">
        <v>28</v>
      </c>
      <c r="E291" s="41" t="s">
        <v>29</v>
      </c>
      <c r="F291" s="42">
        <v>1389</v>
      </c>
      <c r="G291" s="42">
        <f t="shared" si="76"/>
        <v>833.4</v>
      </c>
      <c r="H291" s="42">
        <f t="shared" si="77"/>
        <v>1666.8</v>
      </c>
      <c r="I291" s="49">
        <v>2</v>
      </c>
      <c r="J291" s="50" t="s">
        <v>197</v>
      </c>
      <c r="K291" s="50" t="s">
        <v>22</v>
      </c>
      <c r="L291" s="50" t="s">
        <v>102</v>
      </c>
      <c r="M291" s="42">
        <v>1666.8</v>
      </c>
    </row>
    <row r="292" spans="1:13" outlineLevel="2" x14ac:dyDescent="0.25">
      <c r="A292" s="50">
        <f t="shared" si="75"/>
        <v>291</v>
      </c>
      <c r="B292" s="41" t="s">
        <v>140</v>
      </c>
      <c r="C292" s="41" t="s">
        <v>136</v>
      </c>
      <c r="D292" s="41" t="s">
        <v>364</v>
      </c>
      <c r="E292" s="41" t="s">
        <v>365</v>
      </c>
      <c r="F292" s="42">
        <v>5104</v>
      </c>
      <c r="G292" s="42">
        <f t="shared" si="76"/>
        <v>3062.4</v>
      </c>
      <c r="H292" s="42">
        <f t="shared" si="77"/>
        <v>30624</v>
      </c>
      <c r="I292" s="49">
        <v>10</v>
      </c>
      <c r="J292" s="50" t="s">
        <v>197</v>
      </c>
      <c r="K292" s="50" t="s">
        <v>22</v>
      </c>
      <c r="L292" s="50" t="s">
        <v>102</v>
      </c>
      <c r="M292" s="42">
        <v>30624</v>
      </c>
    </row>
    <row r="293" spans="1:13" outlineLevel="2" x14ac:dyDescent="0.25">
      <c r="A293" s="61">
        <f t="shared" si="75"/>
        <v>292</v>
      </c>
      <c r="B293" s="58" t="s">
        <v>140</v>
      </c>
      <c r="C293" s="58" t="s">
        <v>198</v>
      </c>
      <c r="D293" s="59" t="s">
        <v>341</v>
      </c>
      <c r="E293" s="58" t="s">
        <v>342</v>
      </c>
      <c r="F293" s="60">
        <v>1055</v>
      </c>
      <c r="G293" s="60">
        <f t="shared" ref="G293:G295" si="78">F293</f>
        <v>1055</v>
      </c>
      <c r="H293" s="60">
        <f t="shared" si="77"/>
        <v>1055</v>
      </c>
      <c r="I293" s="57">
        <v>1</v>
      </c>
      <c r="J293" s="61" t="s">
        <v>197</v>
      </c>
      <c r="K293" s="61" t="s">
        <v>49</v>
      </c>
      <c r="L293" s="50" t="s">
        <v>102</v>
      </c>
      <c r="M293" s="60">
        <v>1055</v>
      </c>
    </row>
    <row r="294" spans="1:13" outlineLevel="2" x14ac:dyDescent="0.25">
      <c r="A294" s="61">
        <f t="shared" si="75"/>
        <v>293</v>
      </c>
      <c r="B294" s="58" t="s">
        <v>140</v>
      </c>
      <c r="C294" s="58" t="s">
        <v>198</v>
      </c>
      <c r="D294" s="59" t="s">
        <v>339</v>
      </c>
      <c r="E294" s="58" t="s">
        <v>340</v>
      </c>
      <c r="F294" s="60">
        <v>1135</v>
      </c>
      <c r="G294" s="60">
        <f t="shared" si="78"/>
        <v>1135</v>
      </c>
      <c r="H294" s="60">
        <f t="shared" si="77"/>
        <v>1135</v>
      </c>
      <c r="I294" s="57">
        <v>1</v>
      </c>
      <c r="J294" s="61" t="s">
        <v>197</v>
      </c>
      <c r="K294" s="61" t="s">
        <v>49</v>
      </c>
      <c r="L294" s="50" t="s">
        <v>102</v>
      </c>
      <c r="M294" s="60">
        <v>1135</v>
      </c>
    </row>
    <row r="295" spans="1:13" outlineLevel="2" x14ac:dyDescent="0.25">
      <c r="A295" s="61">
        <f t="shared" si="75"/>
        <v>294</v>
      </c>
      <c r="B295" s="58" t="s">
        <v>140</v>
      </c>
      <c r="C295" s="58" t="s">
        <v>212</v>
      </c>
      <c r="D295" s="59" t="s">
        <v>353</v>
      </c>
      <c r="E295" s="58" t="s">
        <v>353</v>
      </c>
      <c r="F295" s="60">
        <v>190</v>
      </c>
      <c r="G295" s="60">
        <f t="shared" si="78"/>
        <v>190</v>
      </c>
      <c r="H295" s="60">
        <f t="shared" si="77"/>
        <v>190</v>
      </c>
      <c r="I295" s="57">
        <v>1</v>
      </c>
      <c r="J295" s="61" t="s">
        <v>197</v>
      </c>
      <c r="K295" s="61" t="s">
        <v>49</v>
      </c>
      <c r="L295" s="50" t="s">
        <v>102</v>
      </c>
      <c r="M295" s="60">
        <v>190</v>
      </c>
    </row>
    <row r="296" spans="1:13" ht="24" outlineLevel="2" x14ac:dyDescent="0.25">
      <c r="A296" s="50">
        <f t="shared" si="75"/>
        <v>295</v>
      </c>
      <c r="B296" s="41" t="s">
        <v>140</v>
      </c>
      <c r="C296" s="41" t="s">
        <v>216</v>
      </c>
      <c r="D296" s="41" t="s">
        <v>216</v>
      </c>
      <c r="E296" s="41" t="s">
        <v>217</v>
      </c>
      <c r="F296" s="42">
        <f ca="1">OFFSET(F296,1,2)</f>
        <v>18000</v>
      </c>
      <c r="G296" s="42">
        <f ca="1">F296</f>
        <v>18000</v>
      </c>
      <c r="H296" s="42">
        <f ca="1">G296*I296</f>
        <v>18000</v>
      </c>
      <c r="I296" s="49">
        <v>1</v>
      </c>
      <c r="J296" s="50" t="s">
        <v>197</v>
      </c>
      <c r="K296" s="41" t="s">
        <v>216</v>
      </c>
      <c r="L296" s="50" t="s">
        <v>102</v>
      </c>
      <c r="M296" s="42">
        <v>18000</v>
      </c>
    </row>
    <row r="297" spans="1:13" outlineLevel="2" x14ac:dyDescent="0.25">
      <c r="A297" s="50">
        <f t="shared" si="75"/>
        <v>296</v>
      </c>
      <c r="B297" s="41" t="s">
        <v>140</v>
      </c>
      <c r="C297" s="41" t="s">
        <v>218</v>
      </c>
      <c r="D297" s="41" t="s">
        <v>218</v>
      </c>
      <c r="E297" s="41" t="s">
        <v>219</v>
      </c>
      <c r="F297" s="42">
        <v>3</v>
      </c>
      <c r="G297" s="42">
        <v>100</v>
      </c>
      <c r="H297" s="42">
        <f>IF(OR(G297="",I297=""),"",G297*I297)</f>
        <v>18000</v>
      </c>
      <c r="I297" s="49">
        <f>60*F297</f>
        <v>180</v>
      </c>
      <c r="J297" s="50" t="s">
        <v>197</v>
      </c>
      <c r="K297" s="41" t="s">
        <v>218</v>
      </c>
      <c r="L297" s="50" t="s">
        <v>102</v>
      </c>
      <c r="M297" s="42">
        <v>18000</v>
      </c>
    </row>
    <row r="298" spans="1:13" outlineLevel="1" x14ac:dyDescent="0.25">
      <c r="A298" s="50"/>
      <c r="B298" s="65" t="s">
        <v>389</v>
      </c>
      <c r="C298" s="41"/>
      <c r="D298" s="41"/>
      <c r="E298" s="41"/>
      <c r="F298" s="42"/>
      <c r="G298" s="42"/>
      <c r="H298" s="42">
        <f ca="1">SUBTOTAL(9,H287:H297)</f>
        <v>88553.8</v>
      </c>
      <c r="I298" s="49"/>
      <c r="J298" s="50"/>
      <c r="K298" s="41"/>
      <c r="L298" s="50"/>
      <c r="M298" s="42">
        <v>88553.8</v>
      </c>
    </row>
    <row r="299" spans="1:13" ht="24" customHeight="1" outlineLevel="2" x14ac:dyDescent="0.25">
      <c r="A299" s="38">
        <f>ROW(A297)</f>
        <v>297</v>
      </c>
      <c r="B299" s="38" t="s">
        <v>143</v>
      </c>
      <c r="C299" s="38"/>
      <c r="D299" s="38"/>
      <c r="E299" s="38" t="s">
        <v>143</v>
      </c>
      <c r="F299" s="39"/>
      <c r="G299" s="39"/>
      <c r="H299" s="39"/>
      <c r="I299" s="40">
        <v>1</v>
      </c>
      <c r="J299" s="38" t="s">
        <v>11</v>
      </c>
      <c r="K299" s="38" t="s">
        <v>12</v>
      </c>
      <c r="L299" s="38" t="s">
        <v>102</v>
      </c>
      <c r="M299" s="39"/>
    </row>
    <row r="300" spans="1:13" outlineLevel="2" x14ac:dyDescent="0.25">
      <c r="A300" s="50">
        <f t="shared" si="75"/>
        <v>299</v>
      </c>
      <c r="B300" s="41" t="s">
        <v>143</v>
      </c>
      <c r="C300" s="41" t="s">
        <v>14</v>
      </c>
      <c r="D300" s="41" t="s">
        <v>15</v>
      </c>
      <c r="E300" s="41" t="s">
        <v>16</v>
      </c>
      <c r="F300" s="42">
        <v>15000</v>
      </c>
      <c r="G300" s="42">
        <f t="shared" ref="G300:G302" si="79">0.6*F300</f>
        <v>9000</v>
      </c>
      <c r="H300" s="42">
        <f t="shared" ref="H300:H305" si="80">G300*I300</f>
        <v>9000</v>
      </c>
      <c r="I300" s="49">
        <v>1</v>
      </c>
      <c r="J300" s="50" t="s">
        <v>197</v>
      </c>
      <c r="K300" s="50" t="s">
        <v>18</v>
      </c>
      <c r="L300" s="50" t="s">
        <v>102</v>
      </c>
      <c r="M300" s="42">
        <v>9000</v>
      </c>
    </row>
    <row r="301" spans="1:13" outlineLevel="2" x14ac:dyDescent="0.25">
      <c r="A301" s="50">
        <f t="shared" si="75"/>
        <v>300</v>
      </c>
      <c r="B301" s="41" t="s">
        <v>143</v>
      </c>
      <c r="C301" s="41" t="s">
        <v>23</v>
      </c>
      <c r="D301" s="41" t="s">
        <v>81</v>
      </c>
      <c r="E301" s="41" t="s">
        <v>82</v>
      </c>
      <c r="F301" s="42">
        <v>2499</v>
      </c>
      <c r="G301" s="42">
        <f t="shared" si="79"/>
        <v>1499.3999999999999</v>
      </c>
      <c r="H301" s="42">
        <f t="shared" si="80"/>
        <v>1499.3999999999999</v>
      </c>
      <c r="I301" s="49">
        <v>1</v>
      </c>
      <c r="J301" s="50" t="s">
        <v>197</v>
      </c>
      <c r="K301" s="50" t="s">
        <v>22</v>
      </c>
      <c r="L301" s="50" t="s">
        <v>102</v>
      </c>
      <c r="M301" s="42">
        <v>1499.3999999999999</v>
      </c>
    </row>
    <row r="302" spans="1:13" outlineLevel="2" x14ac:dyDescent="0.25">
      <c r="A302" s="50">
        <f t="shared" si="75"/>
        <v>301</v>
      </c>
      <c r="B302" s="41" t="s">
        <v>143</v>
      </c>
      <c r="C302" s="41" t="s">
        <v>136</v>
      </c>
      <c r="D302" s="41" t="s">
        <v>364</v>
      </c>
      <c r="E302" s="41" t="s">
        <v>365</v>
      </c>
      <c r="F302" s="42">
        <v>5104</v>
      </c>
      <c r="G302" s="42">
        <f t="shared" si="79"/>
        <v>3062.4</v>
      </c>
      <c r="H302" s="42">
        <f t="shared" si="80"/>
        <v>12249.6</v>
      </c>
      <c r="I302" s="49">
        <v>4</v>
      </c>
      <c r="J302" s="50" t="s">
        <v>197</v>
      </c>
      <c r="K302" s="50" t="s">
        <v>22</v>
      </c>
      <c r="L302" s="50" t="s">
        <v>102</v>
      </c>
      <c r="M302" s="42">
        <v>12249.6</v>
      </c>
    </row>
    <row r="303" spans="1:13" outlineLevel="2" x14ac:dyDescent="0.25">
      <c r="A303" s="61">
        <f t="shared" si="75"/>
        <v>302</v>
      </c>
      <c r="B303" s="58" t="s">
        <v>143</v>
      </c>
      <c r="C303" s="58" t="s">
        <v>198</v>
      </c>
      <c r="D303" s="59" t="s">
        <v>341</v>
      </c>
      <c r="E303" s="58" t="s">
        <v>342</v>
      </c>
      <c r="F303" s="60">
        <v>1055</v>
      </c>
      <c r="G303" s="60">
        <f t="shared" ref="G303:G305" si="81">F303</f>
        <v>1055</v>
      </c>
      <c r="H303" s="60">
        <f t="shared" si="80"/>
        <v>1055</v>
      </c>
      <c r="I303" s="57">
        <v>1</v>
      </c>
      <c r="J303" s="61" t="s">
        <v>197</v>
      </c>
      <c r="K303" s="61" t="s">
        <v>49</v>
      </c>
      <c r="L303" s="50" t="s">
        <v>102</v>
      </c>
      <c r="M303" s="60">
        <v>1055</v>
      </c>
    </row>
    <row r="304" spans="1:13" outlineLevel="2" x14ac:dyDescent="0.25">
      <c r="A304" s="61">
        <f t="shared" si="75"/>
        <v>303</v>
      </c>
      <c r="B304" s="58" t="s">
        <v>143</v>
      </c>
      <c r="C304" s="58" t="s">
        <v>198</v>
      </c>
      <c r="D304" s="59" t="s">
        <v>339</v>
      </c>
      <c r="E304" s="58" t="s">
        <v>340</v>
      </c>
      <c r="F304" s="60">
        <v>1135</v>
      </c>
      <c r="G304" s="60">
        <f t="shared" si="81"/>
        <v>1135</v>
      </c>
      <c r="H304" s="60">
        <f t="shared" si="80"/>
        <v>1135</v>
      </c>
      <c r="I304" s="57">
        <v>1</v>
      </c>
      <c r="J304" s="61" t="s">
        <v>197</v>
      </c>
      <c r="K304" s="61" t="s">
        <v>49</v>
      </c>
      <c r="L304" s="50" t="s">
        <v>102</v>
      </c>
      <c r="M304" s="60">
        <v>1135</v>
      </c>
    </row>
    <row r="305" spans="1:13" outlineLevel="2" x14ac:dyDescent="0.25">
      <c r="A305" s="61">
        <f t="shared" si="75"/>
        <v>304</v>
      </c>
      <c r="B305" s="58" t="s">
        <v>143</v>
      </c>
      <c r="C305" s="58" t="s">
        <v>212</v>
      </c>
      <c r="D305" s="59" t="s">
        <v>353</v>
      </c>
      <c r="E305" s="58" t="s">
        <v>353</v>
      </c>
      <c r="F305" s="60">
        <v>190</v>
      </c>
      <c r="G305" s="60">
        <f t="shared" si="81"/>
        <v>190</v>
      </c>
      <c r="H305" s="60">
        <f t="shared" si="80"/>
        <v>190</v>
      </c>
      <c r="I305" s="57">
        <v>1</v>
      </c>
      <c r="J305" s="61" t="s">
        <v>197</v>
      </c>
      <c r="K305" s="61" t="s">
        <v>49</v>
      </c>
      <c r="L305" s="50" t="s">
        <v>102</v>
      </c>
      <c r="M305" s="60">
        <v>190</v>
      </c>
    </row>
    <row r="306" spans="1:13" ht="24" outlineLevel="2" x14ac:dyDescent="0.25">
      <c r="A306" s="50">
        <f t="shared" si="75"/>
        <v>305</v>
      </c>
      <c r="B306" s="41" t="s">
        <v>143</v>
      </c>
      <c r="C306" s="41" t="s">
        <v>216</v>
      </c>
      <c r="D306" s="41" t="s">
        <v>216</v>
      </c>
      <c r="E306" s="41" t="s">
        <v>217</v>
      </c>
      <c r="F306" s="42">
        <f ca="1">OFFSET(F306,1,2)</f>
        <v>9000</v>
      </c>
      <c r="G306" s="42">
        <f ca="1">F306</f>
        <v>9000</v>
      </c>
      <c r="H306" s="42">
        <f ca="1">G306*I306</f>
        <v>9000</v>
      </c>
      <c r="I306" s="49">
        <v>1</v>
      </c>
      <c r="J306" s="50" t="s">
        <v>197</v>
      </c>
      <c r="K306" s="41" t="s">
        <v>216</v>
      </c>
      <c r="L306" s="50" t="s">
        <v>102</v>
      </c>
      <c r="M306" s="42">
        <v>9000</v>
      </c>
    </row>
    <row r="307" spans="1:13" outlineLevel="2" x14ac:dyDescent="0.25">
      <c r="A307" s="50">
        <f t="shared" si="75"/>
        <v>306</v>
      </c>
      <c r="B307" s="41" t="s">
        <v>143</v>
      </c>
      <c r="C307" s="41" t="s">
        <v>218</v>
      </c>
      <c r="D307" s="41" t="s">
        <v>218</v>
      </c>
      <c r="E307" s="41" t="s">
        <v>219</v>
      </c>
      <c r="F307" s="42">
        <v>1.5</v>
      </c>
      <c r="G307" s="42">
        <v>100</v>
      </c>
      <c r="H307" s="42">
        <f>IF(OR(G307="",I307=""),"",G307*I307)</f>
        <v>9000</v>
      </c>
      <c r="I307" s="49">
        <f>60*F307</f>
        <v>90</v>
      </c>
      <c r="J307" s="50" t="s">
        <v>197</v>
      </c>
      <c r="K307" s="41" t="s">
        <v>218</v>
      </c>
      <c r="L307" s="50" t="s">
        <v>102</v>
      </c>
      <c r="M307" s="42">
        <v>9000</v>
      </c>
    </row>
    <row r="308" spans="1:13" outlineLevel="1" x14ac:dyDescent="0.25">
      <c r="A308" s="50"/>
      <c r="B308" s="65" t="s">
        <v>390</v>
      </c>
      <c r="C308" s="41"/>
      <c r="D308" s="41"/>
      <c r="E308" s="41"/>
      <c r="F308" s="42"/>
      <c r="G308" s="42"/>
      <c r="H308" s="42">
        <f ca="1">SUBTOTAL(9,H299:H307)</f>
        <v>43129</v>
      </c>
      <c r="I308" s="49"/>
      <c r="J308" s="50"/>
      <c r="K308" s="41"/>
      <c r="L308" s="50"/>
      <c r="M308" s="42">
        <v>43129</v>
      </c>
    </row>
    <row r="309" spans="1:13" ht="24" customHeight="1" outlineLevel="2" x14ac:dyDescent="0.25">
      <c r="A309" s="38">
        <f>ROW(A307)</f>
        <v>307</v>
      </c>
      <c r="B309" s="38" t="s">
        <v>144</v>
      </c>
      <c r="C309" s="38"/>
      <c r="D309" s="38"/>
      <c r="E309" s="38" t="s">
        <v>144</v>
      </c>
      <c r="F309" s="39"/>
      <c r="G309" s="39"/>
      <c r="H309" s="39"/>
      <c r="I309" s="40">
        <v>1</v>
      </c>
      <c r="J309" s="38" t="s">
        <v>11</v>
      </c>
      <c r="K309" s="38" t="s">
        <v>12</v>
      </c>
      <c r="L309" s="38" t="s">
        <v>102</v>
      </c>
      <c r="M309" s="39"/>
    </row>
    <row r="310" spans="1:13" outlineLevel="2" x14ac:dyDescent="0.25">
      <c r="A310" s="50">
        <f t="shared" si="75"/>
        <v>309</v>
      </c>
      <c r="B310" s="41" t="s">
        <v>144</v>
      </c>
      <c r="C310" s="41" t="s">
        <v>14</v>
      </c>
      <c r="D310" s="41" t="s">
        <v>75</v>
      </c>
      <c r="E310" s="41" t="s">
        <v>76</v>
      </c>
      <c r="F310" s="42">
        <v>10270</v>
      </c>
      <c r="G310" s="42">
        <f t="shared" ref="G310:G312" si="82">0.6*F310</f>
        <v>6162</v>
      </c>
      <c r="H310" s="42">
        <f t="shared" ref="H310:H315" si="83">G310*I310</f>
        <v>6162</v>
      </c>
      <c r="I310" s="49">
        <v>1</v>
      </c>
      <c r="J310" s="50" t="s">
        <v>197</v>
      </c>
      <c r="K310" s="50" t="s">
        <v>18</v>
      </c>
      <c r="L310" s="50" t="s">
        <v>102</v>
      </c>
      <c r="M310" s="42">
        <v>6162</v>
      </c>
    </row>
    <row r="311" spans="1:13" outlineLevel="2" x14ac:dyDescent="0.25">
      <c r="A311" s="50">
        <f t="shared" si="75"/>
        <v>310</v>
      </c>
      <c r="B311" s="41" t="s">
        <v>144</v>
      </c>
      <c r="C311" s="41" t="s">
        <v>23</v>
      </c>
      <c r="D311" s="41" t="s">
        <v>81</v>
      </c>
      <c r="E311" s="41" t="s">
        <v>82</v>
      </c>
      <c r="F311" s="42">
        <v>2499</v>
      </c>
      <c r="G311" s="42">
        <f t="shared" si="82"/>
        <v>1499.3999999999999</v>
      </c>
      <c r="H311" s="42">
        <f t="shared" si="83"/>
        <v>1499.3999999999999</v>
      </c>
      <c r="I311" s="49">
        <v>1</v>
      </c>
      <c r="J311" s="50" t="s">
        <v>197</v>
      </c>
      <c r="K311" s="50" t="s">
        <v>22</v>
      </c>
      <c r="L311" s="50" t="s">
        <v>102</v>
      </c>
      <c r="M311" s="42">
        <v>1499.3999999999999</v>
      </c>
    </row>
    <row r="312" spans="1:13" outlineLevel="2" x14ac:dyDescent="0.25">
      <c r="A312" s="50">
        <f t="shared" si="75"/>
        <v>311</v>
      </c>
      <c r="B312" s="41" t="s">
        <v>144</v>
      </c>
      <c r="C312" s="41" t="s">
        <v>23</v>
      </c>
      <c r="D312" s="41" t="s">
        <v>28</v>
      </c>
      <c r="E312" s="41" t="s">
        <v>29</v>
      </c>
      <c r="F312" s="42">
        <v>1389</v>
      </c>
      <c r="G312" s="42">
        <f t="shared" si="82"/>
        <v>833.4</v>
      </c>
      <c r="H312" s="42">
        <f t="shared" si="83"/>
        <v>5000.3999999999996</v>
      </c>
      <c r="I312" s="49">
        <v>6</v>
      </c>
      <c r="J312" s="50" t="s">
        <v>197</v>
      </c>
      <c r="K312" s="50" t="s">
        <v>22</v>
      </c>
      <c r="L312" s="50" t="s">
        <v>102</v>
      </c>
      <c r="M312" s="42">
        <v>5000.3999999999996</v>
      </c>
    </row>
    <row r="313" spans="1:13" outlineLevel="2" x14ac:dyDescent="0.25">
      <c r="A313" s="61">
        <f t="shared" si="75"/>
        <v>312</v>
      </c>
      <c r="B313" s="58" t="s">
        <v>144</v>
      </c>
      <c r="C313" s="58" t="s">
        <v>198</v>
      </c>
      <c r="D313" s="59" t="s">
        <v>341</v>
      </c>
      <c r="E313" s="58" t="s">
        <v>342</v>
      </c>
      <c r="F313" s="60">
        <v>1055</v>
      </c>
      <c r="G313" s="60">
        <f t="shared" ref="G313:G315" si="84">F313</f>
        <v>1055</v>
      </c>
      <c r="H313" s="60">
        <f t="shared" si="83"/>
        <v>1055</v>
      </c>
      <c r="I313" s="57">
        <v>1</v>
      </c>
      <c r="J313" s="61" t="s">
        <v>197</v>
      </c>
      <c r="K313" s="61" t="s">
        <v>49</v>
      </c>
      <c r="L313" s="50" t="s">
        <v>102</v>
      </c>
      <c r="M313" s="60">
        <v>1055</v>
      </c>
    </row>
    <row r="314" spans="1:13" outlineLevel="2" x14ac:dyDescent="0.25">
      <c r="A314" s="61">
        <f t="shared" si="75"/>
        <v>313</v>
      </c>
      <c r="B314" s="58" t="s">
        <v>144</v>
      </c>
      <c r="C314" s="58" t="s">
        <v>198</v>
      </c>
      <c r="D314" s="59" t="s">
        <v>339</v>
      </c>
      <c r="E314" s="58" t="s">
        <v>340</v>
      </c>
      <c r="F314" s="60">
        <v>1135</v>
      </c>
      <c r="G314" s="60">
        <f t="shared" si="84"/>
        <v>1135</v>
      </c>
      <c r="H314" s="60">
        <f t="shared" si="83"/>
        <v>1135</v>
      </c>
      <c r="I314" s="57">
        <v>1</v>
      </c>
      <c r="J314" s="61" t="s">
        <v>197</v>
      </c>
      <c r="K314" s="61" t="s">
        <v>49</v>
      </c>
      <c r="L314" s="50" t="s">
        <v>102</v>
      </c>
      <c r="M314" s="60">
        <v>1135</v>
      </c>
    </row>
    <row r="315" spans="1:13" outlineLevel="2" x14ac:dyDescent="0.25">
      <c r="A315" s="61">
        <f t="shared" si="75"/>
        <v>314</v>
      </c>
      <c r="B315" s="58" t="s">
        <v>144</v>
      </c>
      <c r="C315" s="58" t="s">
        <v>212</v>
      </c>
      <c r="D315" s="59" t="s">
        <v>353</v>
      </c>
      <c r="E315" s="58" t="s">
        <v>353</v>
      </c>
      <c r="F315" s="60">
        <v>190</v>
      </c>
      <c r="G315" s="60">
        <f t="shared" si="84"/>
        <v>190</v>
      </c>
      <c r="H315" s="60">
        <f t="shared" si="83"/>
        <v>190</v>
      </c>
      <c r="I315" s="57">
        <v>1</v>
      </c>
      <c r="J315" s="61" t="s">
        <v>197</v>
      </c>
      <c r="K315" s="61" t="s">
        <v>49</v>
      </c>
      <c r="L315" s="50" t="s">
        <v>102</v>
      </c>
      <c r="M315" s="60">
        <v>190</v>
      </c>
    </row>
    <row r="316" spans="1:13" ht="24" outlineLevel="2" x14ac:dyDescent="0.25">
      <c r="A316" s="50">
        <f t="shared" si="75"/>
        <v>315</v>
      </c>
      <c r="B316" s="41" t="s">
        <v>144</v>
      </c>
      <c r="C316" s="41" t="s">
        <v>216</v>
      </c>
      <c r="D316" s="41" t="s">
        <v>216</v>
      </c>
      <c r="E316" s="41" t="s">
        <v>217</v>
      </c>
      <c r="F316" s="42">
        <f ca="1">OFFSET(F316,1,2)</f>
        <v>1200</v>
      </c>
      <c r="G316" s="42">
        <f ca="1">F316</f>
        <v>1200</v>
      </c>
      <c r="H316" s="42">
        <f ca="1">G316*I316</f>
        <v>1200</v>
      </c>
      <c r="I316" s="49">
        <v>1</v>
      </c>
      <c r="J316" s="50" t="s">
        <v>197</v>
      </c>
      <c r="K316" s="41" t="s">
        <v>216</v>
      </c>
      <c r="L316" s="50" t="s">
        <v>102</v>
      </c>
      <c r="M316" s="42">
        <v>1200</v>
      </c>
    </row>
    <row r="317" spans="1:13" outlineLevel="2" x14ac:dyDescent="0.25">
      <c r="A317" s="50">
        <f t="shared" si="75"/>
        <v>316</v>
      </c>
      <c r="B317" s="41" t="s">
        <v>144</v>
      </c>
      <c r="C317" s="41" t="s">
        <v>218</v>
      </c>
      <c r="D317" s="41" t="s">
        <v>218</v>
      </c>
      <c r="E317" s="41" t="s">
        <v>219</v>
      </c>
      <c r="F317" s="42">
        <v>0.2</v>
      </c>
      <c r="G317" s="42">
        <v>100</v>
      </c>
      <c r="H317" s="42">
        <f>IF(OR(G317="",I317=""),"",G317*I317)</f>
        <v>1200</v>
      </c>
      <c r="I317" s="49">
        <f>60*F317</f>
        <v>12</v>
      </c>
      <c r="J317" s="50" t="s">
        <v>197</v>
      </c>
      <c r="K317" s="41" t="s">
        <v>218</v>
      </c>
      <c r="L317" s="50" t="s">
        <v>102</v>
      </c>
      <c r="M317" s="42">
        <v>1200</v>
      </c>
    </row>
    <row r="318" spans="1:13" outlineLevel="1" x14ac:dyDescent="0.25">
      <c r="A318" s="50"/>
      <c r="B318" s="65" t="s">
        <v>391</v>
      </c>
      <c r="C318" s="41"/>
      <c r="D318" s="41"/>
      <c r="E318" s="41"/>
      <c r="F318" s="42"/>
      <c r="G318" s="42"/>
      <c r="H318" s="42">
        <f ca="1">SUBTOTAL(9,H309:H317)</f>
        <v>17441.8</v>
      </c>
      <c r="I318" s="49"/>
      <c r="J318" s="50"/>
      <c r="K318" s="41"/>
      <c r="L318" s="50"/>
      <c r="M318" s="42">
        <v>17441.8</v>
      </c>
    </row>
    <row r="319" spans="1:13" ht="24" customHeight="1" outlineLevel="2" x14ac:dyDescent="0.25">
      <c r="A319" s="38">
        <f>ROW(A317)</f>
        <v>317</v>
      </c>
      <c r="B319" s="38" t="s">
        <v>145</v>
      </c>
      <c r="C319" s="38"/>
      <c r="D319" s="38"/>
      <c r="E319" s="38" t="s">
        <v>145</v>
      </c>
      <c r="F319" s="39"/>
      <c r="G319" s="39"/>
      <c r="H319" s="39"/>
      <c r="I319" s="40">
        <v>1</v>
      </c>
      <c r="J319" s="38" t="s">
        <v>11</v>
      </c>
      <c r="K319" s="38" t="s">
        <v>12</v>
      </c>
      <c r="L319" s="38" t="s">
        <v>102</v>
      </c>
      <c r="M319" s="39"/>
    </row>
    <row r="320" spans="1:13" outlineLevel="2" x14ac:dyDescent="0.25">
      <c r="A320" s="50">
        <f t="shared" si="75"/>
        <v>319</v>
      </c>
      <c r="B320" s="41" t="s">
        <v>145</v>
      </c>
      <c r="C320" s="41" t="s">
        <v>14</v>
      </c>
      <c r="D320" s="41" t="s">
        <v>103</v>
      </c>
      <c r="E320" s="41" t="s">
        <v>104</v>
      </c>
      <c r="F320" s="42">
        <v>18000</v>
      </c>
      <c r="G320" s="42">
        <f t="shared" ref="G320:G326" si="85">0.6*F320</f>
        <v>10800</v>
      </c>
      <c r="H320" s="42">
        <f t="shared" ref="H320:H329" si="86">G320*I320</f>
        <v>10800</v>
      </c>
      <c r="I320" s="49">
        <v>1</v>
      </c>
      <c r="J320" s="50" t="s">
        <v>197</v>
      </c>
      <c r="K320" s="50" t="s">
        <v>18</v>
      </c>
      <c r="L320" s="50" t="s">
        <v>102</v>
      </c>
      <c r="M320" s="42">
        <v>10800</v>
      </c>
    </row>
    <row r="321" spans="1:13" outlineLevel="2" x14ac:dyDescent="0.25">
      <c r="A321" s="50">
        <f t="shared" si="75"/>
        <v>320</v>
      </c>
      <c r="B321" s="41" t="s">
        <v>145</v>
      </c>
      <c r="C321" s="41" t="s">
        <v>23</v>
      </c>
      <c r="D321" s="41" t="s">
        <v>24</v>
      </c>
      <c r="E321" s="41" t="s">
        <v>25</v>
      </c>
      <c r="F321" s="42">
        <v>11015</v>
      </c>
      <c r="G321" s="42">
        <f t="shared" si="85"/>
        <v>6609</v>
      </c>
      <c r="H321" s="42">
        <f t="shared" si="86"/>
        <v>6609</v>
      </c>
      <c r="I321" s="49">
        <v>1</v>
      </c>
      <c r="J321" s="50" t="s">
        <v>197</v>
      </c>
      <c r="K321" s="50" t="s">
        <v>22</v>
      </c>
      <c r="L321" s="50" t="s">
        <v>102</v>
      </c>
      <c r="M321" s="42">
        <v>6609</v>
      </c>
    </row>
    <row r="322" spans="1:13" outlineLevel="2" x14ac:dyDescent="0.25">
      <c r="A322" s="50">
        <f t="shared" si="75"/>
        <v>321</v>
      </c>
      <c r="B322" s="41" t="s">
        <v>145</v>
      </c>
      <c r="C322" s="41" t="s">
        <v>23</v>
      </c>
      <c r="D322" s="41" t="s">
        <v>57</v>
      </c>
      <c r="E322" s="41" t="s">
        <v>58</v>
      </c>
      <c r="F322" s="42">
        <v>2429</v>
      </c>
      <c r="G322" s="42">
        <f t="shared" si="85"/>
        <v>1457.3999999999999</v>
      </c>
      <c r="H322" s="42">
        <f t="shared" si="86"/>
        <v>1457.3999999999999</v>
      </c>
      <c r="I322" s="49">
        <v>1</v>
      </c>
      <c r="J322" s="50" t="s">
        <v>197</v>
      </c>
      <c r="K322" s="50" t="s">
        <v>22</v>
      </c>
      <c r="L322" s="50" t="s">
        <v>102</v>
      </c>
      <c r="M322" s="42">
        <v>1457.3999999999999</v>
      </c>
    </row>
    <row r="323" spans="1:13" outlineLevel="2" x14ac:dyDescent="0.25">
      <c r="A323" s="50">
        <f t="shared" si="75"/>
        <v>322</v>
      </c>
      <c r="B323" s="41" t="s">
        <v>145</v>
      </c>
      <c r="C323" s="41" t="s">
        <v>23</v>
      </c>
      <c r="D323" s="41" t="s">
        <v>26</v>
      </c>
      <c r="E323" s="41" t="s">
        <v>27</v>
      </c>
      <c r="F323" s="42">
        <v>2337</v>
      </c>
      <c r="G323" s="42">
        <f t="shared" si="85"/>
        <v>1402.2</v>
      </c>
      <c r="H323" s="42">
        <f t="shared" si="86"/>
        <v>7011</v>
      </c>
      <c r="I323" s="49">
        <v>5</v>
      </c>
      <c r="J323" s="50" t="s">
        <v>197</v>
      </c>
      <c r="K323" s="50" t="s">
        <v>22</v>
      </c>
      <c r="L323" s="50" t="s">
        <v>102</v>
      </c>
      <c r="M323" s="42">
        <v>7011</v>
      </c>
    </row>
    <row r="324" spans="1:13" outlineLevel="2" x14ac:dyDescent="0.25">
      <c r="A324" s="50">
        <f t="shared" si="75"/>
        <v>323</v>
      </c>
      <c r="B324" s="41" t="s">
        <v>145</v>
      </c>
      <c r="C324" s="41" t="s">
        <v>23</v>
      </c>
      <c r="D324" s="41" t="s">
        <v>141</v>
      </c>
      <c r="E324" s="41" t="s">
        <v>142</v>
      </c>
      <c r="F324" s="42">
        <v>796</v>
      </c>
      <c r="G324" s="42">
        <f t="shared" si="85"/>
        <v>477.59999999999997</v>
      </c>
      <c r="H324" s="42">
        <f t="shared" si="86"/>
        <v>955.19999999999993</v>
      </c>
      <c r="I324" s="49">
        <v>2</v>
      </c>
      <c r="J324" s="50" t="s">
        <v>197</v>
      </c>
      <c r="K324" s="50" t="s">
        <v>22</v>
      </c>
      <c r="L324" s="50" t="s">
        <v>102</v>
      </c>
      <c r="M324" s="42">
        <v>955.19999999999993</v>
      </c>
    </row>
    <row r="325" spans="1:13" outlineLevel="2" x14ac:dyDescent="0.25">
      <c r="A325" s="50">
        <f t="shared" si="75"/>
        <v>324</v>
      </c>
      <c r="B325" s="41" t="s">
        <v>145</v>
      </c>
      <c r="C325" s="41" t="s">
        <v>23</v>
      </c>
      <c r="D325" s="41" t="s">
        <v>28</v>
      </c>
      <c r="E325" s="41" t="s">
        <v>29</v>
      </c>
      <c r="F325" s="42">
        <v>1389</v>
      </c>
      <c r="G325" s="42">
        <f t="shared" si="85"/>
        <v>833.4</v>
      </c>
      <c r="H325" s="42">
        <f t="shared" si="86"/>
        <v>1666.8</v>
      </c>
      <c r="I325" s="49">
        <v>2</v>
      </c>
      <c r="J325" s="50" t="s">
        <v>197</v>
      </c>
      <c r="K325" s="50" t="s">
        <v>22</v>
      </c>
      <c r="L325" s="50" t="s">
        <v>102</v>
      </c>
      <c r="M325" s="42">
        <v>1666.8</v>
      </c>
    </row>
    <row r="326" spans="1:13" outlineLevel="2" x14ac:dyDescent="0.25">
      <c r="A326" s="50">
        <f t="shared" si="75"/>
        <v>325</v>
      </c>
      <c r="B326" s="41" t="s">
        <v>145</v>
      </c>
      <c r="C326" s="41" t="s">
        <v>30</v>
      </c>
      <c r="D326" s="41" t="s">
        <v>31</v>
      </c>
      <c r="E326" s="41" t="s">
        <v>32</v>
      </c>
      <c r="F326" s="42">
        <v>4160</v>
      </c>
      <c r="G326" s="42">
        <f t="shared" si="85"/>
        <v>2496</v>
      </c>
      <c r="H326" s="42">
        <f t="shared" si="86"/>
        <v>2496</v>
      </c>
      <c r="I326" s="49">
        <v>1</v>
      </c>
      <c r="J326" s="50" t="s">
        <v>197</v>
      </c>
      <c r="K326" s="50" t="s">
        <v>22</v>
      </c>
      <c r="L326" s="50" t="s">
        <v>102</v>
      </c>
      <c r="M326" s="42">
        <v>2496</v>
      </c>
    </row>
    <row r="327" spans="1:13" outlineLevel="2" x14ac:dyDescent="0.25">
      <c r="A327" s="61">
        <f t="shared" si="75"/>
        <v>326</v>
      </c>
      <c r="B327" s="58" t="s">
        <v>145</v>
      </c>
      <c r="C327" s="58" t="s">
        <v>198</v>
      </c>
      <c r="D327" s="59" t="s">
        <v>341</v>
      </c>
      <c r="E327" s="58" t="s">
        <v>342</v>
      </c>
      <c r="F327" s="60">
        <v>1055</v>
      </c>
      <c r="G327" s="60">
        <f t="shared" ref="G327:G329" si="87">F327</f>
        <v>1055</v>
      </c>
      <c r="H327" s="60">
        <f t="shared" si="86"/>
        <v>1055</v>
      </c>
      <c r="I327" s="57">
        <v>1</v>
      </c>
      <c r="J327" s="61" t="s">
        <v>197</v>
      </c>
      <c r="K327" s="61" t="s">
        <v>49</v>
      </c>
      <c r="L327" s="50" t="s">
        <v>102</v>
      </c>
      <c r="M327" s="60">
        <v>1055</v>
      </c>
    </row>
    <row r="328" spans="1:13" outlineLevel="2" x14ac:dyDescent="0.25">
      <c r="A328" s="61">
        <f t="shared" si="75"/>
        <v>327</v>
      </c>
      <c r="B328" s="58" t="s">
        <v>145</v>
      </c>
      <c r="C328" s="58" t="s">
        <v>198</v>
      </c>
      <c r="D328" s="59" t="s">
        <v>339</v>
      </c>
      <c r="E328" s="58" t="s">
        <v>340</v>
      </c>
      <c r="F328" s="60">
        <v>1135</v>
      </c>
      <c r="G328" s="60">
        <f t="shared" si="87"/>
        <v>1135</v>
      </c>
      <c r="H328" s="60">
        <f t="shared" si="86"/>
        <v>1135</v>
      </c>
      <c r="I328" s="57">
        <v>1</v>
      </c>
      <c r="J328" s="61" t="s">
        <v>197</v>
      </c>
      <c r="K328" s="61" t="s">
        <v>49</v>
      </c>
      <c r="L328" s="50" t="s">
        <v>102</v>
      </c>
      <c r="M328" s="60">
        <v>1135</v>
      </c>
    </row>
    <row r="329" spans="1:13" outlineLevel="2" x14ac:dyDescent="0.25">
      <c r="A329" s="61">
        <f t="shared" si="75"/>
        <v>328</v>
      </c>
      <c r="B329" s="58" t="s">
        <v>145</v>
      </c>
      <c r="C329" s="58" t="s">
        <v>212</v>
      </c>
      <c r="D329" s="59" t="s">
        <v>353</v>
      </c>
      <c r="E329" s="58" t="s">
        <v>353</v>
      </c>
      <c r="F329" s="60">
        <v>190</v>
      </c>
      <c r="G329" s="60">
        <f t="shared" si="87"/>
        <v>190</v>
      </c>
      <c r="H329" s="60">
        <f t="shared" si="86"/>
        <v>190</v>
      </c>
      <c r="I329" s="57">
        <v>1</v>
      </c>
      <c r="J329" s="61" t="s">
        <v>197</v>
      </c>
      <c r="K329" s="61" t="s">
        <v>49</v>
      </c>
      <c r="L329" s="50" t="s">
        <v>102</v>
      </c>
      <c r="M329" s="60">
        <v>190</v>
      </c>
    </row>
    <row r="330" spans="1:13" ht="24" outlineLevel="2" x14ac:dyDescent="0.25">
      <c r="A330" s="50">
        <f t="shared" si="75"/>
        <v>329</v>
      </c>
      <c r="B330" s="41" t="s">
        <v>145</v>
      </c>
      <c r="C330" s="41" t="s">
        <v>216</v>
      </c>
      <c r="D330" s="41" t="s">
        <v>216</v>
      </c>
      <c r="E330" s="41" t="s">
        <v>217</v>
      </c>
      <c r="F330" s="42">
        <f ca="1">OFFSET(F330,1,2)</f>
        <v>12000</v>
      </c>
      <c r="G330" s="42">
        <f ca="1">F330</f>
        <v>12000</v>
      </c>
      <c r="H330" s="42">
        <f ca="1">G330*I330</f>
        <v>12000</v>
      </c>
      <c r="I330" s="49">
        <v>1</v>
      </c>
      <c r="J330" s="50" t="s">
        <v>197</v>
      </c>
      <c r="K330" s="41" t="s">
        <v>216</v>
      </c>
      <c r="L330" s="50" t="s">
        <v>102</v>
      </c>
      <c r="M330" s="42">
        <v>12000</v>
      </c>
    </row>
    <row r="331" spans="1:13" outlineLevel="2" x14ac:dyDescent="0.25">
      <c r="A331" s="50">
        <f t="shared" si="75"/>
        <v>330</v>
      </c>
      <c r="B331" s="41" t="s">
        <v>145</v>
      </c>
      <c r="C331" s="41" t="s">
        <v>218</v>
      </c>
      <c r="D331" s="41" t="s">
        <v>218</v>
      </c>
      <c r="E331" s="41" t="s">
        <v>219</v>
      </c>
      <c r="F331" s="42">
        <v>2</v>
      </c>
      <c r="G331" s="42">
        <v>100</v>
      </c>
      <c r="H331" s="42">
        <f>IF(OR(G331="",I331=""),"",G331*I331)</f>
        <v>12000</v>
      </c>
      <c r="I331" s="49">
        <f>60*F331</f>
        <v>120</v>
      </c>
      <c r="J331" s="50" t="s">
        <v>197</v>
      </c>
      <c r="K331" s="41" t="s">
        <v>218</v>
      </c>
      <c r="L331" s="50" t="s">
        <v>102</v>
      </c>
      <c r="M331" s="42">
        <v>12000</v>
      </c>
    </row>
    <row r="332" spans="1:13" outlineLevel="1" x14ac:dyDescent="0.25">
      <c r="A332" s="50"/>
      <c r="B332" s="65" t="s">
        <v>392</v>
      </c>
      <c r="C332" s="41"/>
      <c r="D332" s="41"/>
      <c r="E332" s="41"/>
      <c r="F332" s="42"/>
      <c r="G332" s="42"/>
      <c r="H332" s="42">
        <f ca="1">SUBTOTAL(9,H319:H331)</f>
        <v>57375.4</v>
      </c>
      <c r="I332" s="49"/>
      <c r="J332" s="50"/>
      <c r="K332" s="41"/>
      <c r="L332" s="50"/>
      <c r="M332" s="42">
        <v>57375.4</v>
      </c>
    </row>
    <row r="333" spans="1:13" ht="24" customHeight="1" outlineLevel="2" x14ac:dyDescent="0.25">
      <c r="A333" s="38">
        <f>ROW(A331)</f>
        <v>331</v>
      </c>
      <c r="B333" s="38" t="str">
        <f>E333</f>
        <v>ВД1КМ</v>
      </c>
      <c r="C333" s="38"/>
      <c r="D333" s="38"/>
      <c r="E333" s="38" t="s">
        <v>333</v>
      </c>
      <c r="F333" s="39"/>
      <c r="G333" s="39"/>
      <c r="H333" s="39"/>
      <c r="I333" s="40">
        <v>1</v>
      </c>
      <c r="J333" s="38" t="s">
        <v>11</v>
      </c>
      <c r="K333" s="38" t="s">
        <v>12</v>
      </c>
      <c r="L333" s="38" t="e">
        <f>#REF!</f>
        <v>#REF!</v>
      </c>
      <c r="M333" s="39"/>
    </row>
    <row r="334" spans="1:13" outlineLevel="2" x14ac:dyDescent="0.25">
      <c r="A334" s="50">
        <f t="shared" si="75"/>
        <v>333</v>
      </c>
      <c r="B334" s="41" t="str">
        <f>B333</f>
        <v>ВД1КМ</v>
      </c>
      <c r="C334" s="41" t="s">
        <v>64</v>
      </c>
      <c r="D334" s="41" t="s">
        <v>351</v>
      </c>
      <c r="E334" s="41" t="s">
        <v>352</v>
      </c>
      <c r="F334" s="42">
        <v>23514</v>
      </c>
      <c r="G334" s="42">
        <f>0.6*F334</f>
        <v>14108.4</v>
      </c>
      <c r="H334" s="42">
        <f>G334*I334</f>
        <v>14108.4</v>
      </c>
      <c r="I334" s="49">
        <v>1</v>
      </c>
      <c r="J334" s="50" t="s">
        <v>197</v>
      </c>
      <c r="K334" s="50" t="s">
        <v>22</v>
      </c>
      <c r="L334" s="50" t="e">
        <f>L333</f>
        <v>#REF!</v>
      </c>
      <c r="M334" s="42">
        <v>14108.4</v>
      </c>
    </row>
    <row r="335" spans="1:13" ht="24" outlineLevel="2" x14ac:dyDescent="0.25">
      <c r="A335" s="50">
        <f t="shared" si="75"/>
        <v>334</v>
      </c>
      <c r="B335" s="41" t="str">
        <f>B334</f>
        <v>ВД1КМ</v>
      </c>
      <c r="C335" s="41" t="s">
        <v>216</v>
      </c>
      <c r="D335" s="41" t="s">
        <v>216</v>
      </c>
      <c r="E335" s="41" t="s">
        <v>217</v>
      </c>
      <c r="F335" s="42">
        <f ca="1">OFFSET(F335,1,2)</f>
        <v>600</v>
      </c>
      <c r="G335" s="42">
        <f ca="1">F335</f>
        <v>600</v>
      </c>
      <c r="H335" s="42">
        <f ca="1">G335*I335</f>
        <v>600</v>
      </c>
      <c r="I335" s="49">
        <v>1</v>
      </c>
      <c r="J335" s="50" t="s">
        <v>197</v>
      </c>
      <c r="K335" s="41" t="s">
        <v>216</v>
      </c>
      <c r="L335" s="50" t="e">
        <f t="shared" ref="L335:L341" si="88">L334</f>
        <v>#REF!</v>
      </c>
      <c r="M335" s="42">
        <v>600</v>
      </c>
    </row>
    <row r="336" spans="1:13" outlineLevel="2" x14ac:dyDescent="0.25">
      <c r="A336" s="50">
        <f t="shared" si="75"/>
        <v>335</v>
      </c>
      <c r="B336" s="41" t="str">
        <f>B335</f>
        <v>ВД1КМ</v>
      </c>
      <c r="C336" s="41" t="s">
        <v>218</v>
      </c>
      <c r="D336" s="41" t="s">
        <v>218</v>
      </c>
      <c r="E336" s="41" t="s">
        <v>219</v>
      </c>
      <c r="F336" s="42">
        <v>0.1</v>
      </c>
      <c r="G336" s="42">
        <v>100</v>
      </c>
      <c r="H336" s="42">
        <f>IF(OR(G336="",I336=""),"",G336*I336)</f>
        <v>600</v>
      </c>
      <c r="I336" s="49">
        <f>60*F336</f>
        <v>6</v>
      </c>
      <c r="J336" s="50" t="s">
        <v>197</v>
      </c>
      <c r="K336" s="41" t="s">
        <v>218</v>
      </c>
      <c r="L336" s="50" t="e">
        <f t="shared" si="88"/>
        <v>#REF!</v>
      </c>
      <c r="M336" s="42">
        <v>600</v>
      </c>
    </row>
    <row r="337" spans="1:13" outlineLevel="1" x14ac:dyDescent="0.25">
      <c r="A337" s="50"/>
      <c r="B337" s="65" t="s">
        <v>393</v>
      </c>
      <c r="C337" s="41"/>
      <c r="D337" s="41"/>
      <c r="E337" s="41"/>
      <c r="F337" s="42"/>
      <c r="G337" s="42"/>
      <c r="H337" s="42">
        <f ca="1">SUBTOTAL(9,H333:H336)</f>
        <v>15308.4</v>
      </c>
      <c r="I337" s="49"/>
      <c r="J337" s="50"/>
      <c r="K337" s="41"/>
      <c r="L337" s="50"/>
      <c r="M337" s="42">
        <v>15308.4</v>
      </c>
    </row>
    <row r="338" spans="1:13" ht="24" customHeight="1" outlineLevel="2" x14ac:dyDescent="0.25">
      <c r="A338" s="38">
        <f>ROW(A336)</f>
        <v>336</v>
      </c>
      <c r="B338" s="38" t="str">
        <f>E338</f>
        <v>В5КМ</v>
      </c>
      <c r="C338" s="38"/>
      <c r="D338" s="38"/>
      <c r="E338" s="38" t="s">
        <v>334</v>
      </c>
      <c r="F338" s="39"/>
      <c r="G338" s="39"/>
      <c r="H338" s="39"/>
      <c r="I338" s="40">
        <v>1</v>
      </c>
      <c r="J338" s="38" t="s">
        <v>11</v>
      </c>
      <c r="K338" s="38" t="s">
        <v>12</v>
      </c>
      <c r="L338" s="38" t="e">
        <f>#REF!</f>
        <v>#REF!</v>
      </c>
      <c r="M338" s="39"/>
    </row>
    <row r="339" spans="1:13" outlineLevel="2" x14ac:dyDescent="0.25">
      <c r="A339" s="50">
        <f t="shared" si="75"/>
        <v>338</v>
      </c>
      <c r="B339" s="41" t="str">
        <f>B338</f>
        <v>В5КМ</v>
      </c>
      <c r="C339" s="41" t="s">
        <v>64</v>
      </c>
      <c r="D339" s="41" t="s">
        <v>349</v>
      </c>
      <c r="E339" s="41" t="s">
        <v>350</v>
      </c>
      <c r="F339" s="42">
        <v>23514</v>
      </c>
      <c r="G339" s="42">
        <f>0.6*F339</f>
        <v>14108.4</v>
      </c>
      <c r="H339" s="42">
        <f>G339*I339</f>
        <v>14108.4</v>
      </c>
      <c r="I339" s="49">
        <v>1</v>
      </c>
      <c r="J339" s="50" t="s">
        <v>197</v>
      </c>
      <c r="K339" s="50" t="s">
        <v>22</v>
      </c>
      <c r="L339" s="50" t="e">
        <f t="shared" si="88"/>
        <v>#REF!</v>
      </c>
      <c r="M339" s="42">
        <v>14108.4</v>
      </c>
    </row>
    <row r="340" spans="1:13" ht="24" outlineLevel="2" x14ac:dyDescent="0.25">
      <c r="A340" s="50">
        <f t="shared" si="75"/>
        <v>339</v>
      </c>
      <c r="B340" s="41" t="str">
        <f t="shared" ref="B340:B341" si="89">B339</f>
        <v>В5КМ</v>
      </c>
      <c r="C340" s="41" t="s">
        <v>216</v>
      </c>
      <c r="D340" s="41" t="s">
        <v>216</v>
      </c>
      <c r="E340" s="41" t="s">
        <v>217</v>
      </c>
      <c r="F340" s="42">
        <f ca="1">OFFSET(F340,1,2)</f>
        <v>600</v>
      </c>
      <c r="G340" s="42">
        <f ca="1">F340</f>
        <v>600</v>
      </c>
      <c r="H340" s="42">
        <f ca="1">G340*I340</f>
        <v>600</v>
      </c>
      <c r="I340" s="49">
        <v>1</v>
      </c>
      <c r="J340" s="50" t="s">
        <v>197</v>
      </c>
      <c r="K340" s="41" t="s">
        <v>216</v>
      </c>
      <c r="L340" s="50" t="e">
        <f t="shared" si="88"/>
        <v>#REF!</v>
      </c>
      <c r="M340" s="42">
        <v>600</v>
      </c>
    </row>
    <row r="341" spans="1:13" outlineLevel="2" x14ac:dyDescent="0.25">
      <c r="A341" s="50">
        <f t="shared" si="75"/>
        <v>340</v>
      </c>
      <c r="B341" s="41" t="str">
        <f t="shared" si="89"/>
        <v>В5КМ</v>
      </c>
      <c r="C341" s="41" t="s">
        <v>218</v>
      </c>
      <c r="D341" s="41" t="s">
        <v>218</v>
      </c>
      <c r="E341" s="41" t="s">
        <v>219</v>
      </c>
      <c r="F341" s="42">
        <v>0.1</v>
      </c>
      <c r="G341" s="42">
        <v>100</v>
      </c>
      <c r="H341" s="42">
        <f>IF(OR(G341="",I341=""),"",G341*I341)</f>
        <v>600</v>
      </c>
      <c r="I341" s="49">
        <f>60*F341</f>
        <v>6</v>
      </c>
      <c r="J341" s="50" t="s">
        <v>197</v>
      </c>
      <c r="K341" s="41" t="s">
        <v>218</v>
      </c>
      <c r="L341" s="50" t="e">
        <f t="shared" si="88"/>
        <v>#REF!</v>
      </c>
      <c r="M341" s="42">
        <v>600</v>
      </c>
    </row>
    <row r="342" spans="1:13" outlineLevel="1" x14ac:dyDescent="0.25">
      <c r="A342" s="50"/>
      <c r="B342" s="65" t="s">
        <v>394</v>
      </c>
      <c r="C342" s="41"/>
      <c r="D342" s="41"/>
      <c r="E342" s="41"/>
      <c r="F342" s="42"/>
      <c r="G342" s="42"/>
      <c r="H342" s="42">
        <f ca="1">SUBTOTAL(9,H338:H341)</f>
        <v>15308.4</v>
      </c>
      <c r="I342" s="49"/>
      <c r="J342" s="50"/>
      <c r="K342" s="41"/>
      <c r="L342" s="50"/>
      <c r="M342" s="42">
        <v>15308.4</v>
      </c>
    </row>
    <row r="343" spans="1:13" ht="24" customHeight="1" outlineLevel="2" x14ac:dyDescent="0.25">
      <c r="A343" s="38">
        <f>ROW(A341)</f>
        <v>341</v>
      </c>
      <c r="B343" s="38" t="s">
        <v>146</v>
      </c>
      <c r="C343" s="38"/>
      <c r="D343" s="38"/>
      <c r="E343" s="38" t="s">
        <v>146</v>
      </c>
      <c r="F343" s="39"/>
      <c r="G343" s="39"/>
      <c r="H343" s="39"/>
      <c r="I343" s="40">
        <v>1</v>
      </c>
      <c r="J343" s="38" t="s">
        <v>11</v>
      </c>
      <c r="K343" s="38" t="s">
        <v>12</v>
      </c>
      <c r="L343" s="38" t="s">
        <v>102</v>
      </c>
      <c r="M343" s="39"/>
    </row>
    <row r="344" spans="1:13" outlineLevel="2" x14ac:dyDescent="0.25">
      <c r="A344" s="50">
        <f t="shared" si="75"/>
        <v>343</v>
      </c>
      <c r="B344" s="41" t="s">
        <v>146</v>
      </c>
      <c r="C344" s="41" t="s">
        <v>14</v>
      </c>
      <c r="D344" s="41" t="s">
        <v>75</v>
      </c>
      <c r="E344" s="41" t="s">
        <v>76</v>
      </c>
      <c r="F344" s="42">
        <v>10270</v>
      </c>
      <c r="G344" s="42">
        <f t="shared" ref="G344:G346" si="90">0.6*F344</f>
        <v>6162</v>
      </c>
      <c r="H344" s="42">
        <f t="shared" ref="H344:H349" si="91">G344*I344</f>
        <v>6162</v>
      </c>
      <c r="I344" s="49">
        <v>1</v>
      </c>
      <c r="J344" s="50" t="s">
        <v>197</v>
      </c>
      <c r="K344" s="50" t="s">
        <v>18</v>
      </c>
      <c r="L344" s="50" t="s">
        <v>102</v>
      </c>
      <c r="M344" s="42">
        <v>6162</v>
      </c>
    </row>
    <row r="345" spans="1:13" outlineLevel="2" x14ac:dyDescent="0.25">
      <c r="A345" s="61">
        <f t="shared" si="75"/>
        <v>344</v>
      </c>
      <c r="B345" s="58" t="s">
        <v>146</v>
      </c>
      <c r="C345" s="58" t="s">
        <v>46</v>
      </c>
      <c r="D345" s="59" t="s">
        <v>360</v>
      </c>
      <c r="E345" s="58" t="s">
        <v>361</v>
      </c>
      <c r="F345" s="60">
        <v>3372</v>
      </c>
      <c r="G345" s="60">
        <f t="shared" si="90"/>
        <v>2023.1999999999998</v>
      </c>
      <c r="H345" s="60">
        <f t="shared" si="91"/>
        <v>2023.1999999999998</v>
      </c>
      <c r="I345" s="57">
        <v>1</v>
      </c>
      <c r="J345" s="61" t="s">
        <v>197</v>
      </c>
      <c r="K345" s="61" t="s">
        <v>22</v>
      </c>
      <c r="L345" s="50" t="s">
        <v>102</v>
      </c>
      <c r="M345" s="60">
        <v>2023.1999999999998</v>
      </c>
    </row>
    <row r="346" spans="1:13" outlineLevel="2" x14ac:dyDescent="0.25">
      <c r="A346" s="50">
        <f t="shared" si="75"/>
        <v>345</v>
      </c>
      <c r="B346" s="41" t="s">
        <v>146</v>
      </c>
      <c r="C346" s="41" t="s">
        <v>23</v>
      </c>
      <c r="D346" s="41" t="s">
        <v>28</v>
      </c>
      <c r="E346" s="41" t="s">
        <v>29</v>
      </c>
      <c r="F346" s="42">
        <v>1389</v>
      </c>
      <c r="G346" s="42">
        <f t="shared" si="90"/>
        <v>833.4</v>
      </c>
      <c r="H346" s="42">
        <f t="shared" si="91"/>
        <v>5833.8</v>
      </c>
      <c r="I346" s="49">
        <v>7</v>
      </c>
      <c r="J346" s="50" t="s">
        <v>197</v>
      </c>
      <c r="K346" s="50" t="s">
        <v>22</v>
      </c>
      <c r="L346" s="50" t="s">
        <v>102</v>
      </c>
      <c r="M346" s="42">
        <v>5833.8</v>
      </c>
    </row>
    <row r="347" spans="1:13" outlineLevel="2" x14ac:dyDescent="0.25">
      <c r="A347" s="61">
        <f t="shared" si="75"/>
        <v>346</v>
      </c>
      <c r="B347" s="58" t="s">
        <v>146</v>
      </c>
      <c r="C347" s="58" t="s">
        <v>198</v>
      </c>
      <c r="D347" s="59" t="s">
        <v>341</v>
      </c>
      <c r="E347" s="58" t="s">
        <v>342</v>
      </c>
      <c r="F347" s="60">
        <v>1055</v>
      </c>
      <c r="G347" s="60">
        <f t="shared" ref="G347:G349" si="92">F347</f>
        <v>1055</v>
      </c>
      <c r="H347" s="60">
        <f t="shared" si="91"/>
        <v>1055</v>
      </c>
      <c r="I347" s="57">
        <v>1</v>
      </c>
      <c r="J347" s="61" t="s">
        <v>197</v>
      </c>
      <c r="K347" s="61" t="s">
        <v>49</v>
      </c>
      <c r="L347" s="50" t="s">
        <v>102</v>
      </c>
      <c r="M347" s="60">
        <v>1055</v>
      </c>
    </row>
    <row r="348" spans="1:13" outlineLevel="2" x14ac:dyDescent="0.25">
      <c r="A348" s="61">
        <f t="shared" si="75"/>
        <v>347</v>
      </c>
      <c r="B348" s="58" t="s">
        <v>146</v>
      </c>
      <c r="C348" s="58" t="s">
        <v>198</v>
      </c>
      <c r="D348" s="59" t="s">
        <v>339</v>
      </c>
      <c r="E348" s="58" t="s">
        <v>340</v>
      </c>
      <c r="F348" s="60">
        <v>1135</v>
      </c>
      <c r="G348" s="60">
        <f t="shared" si="92"/>
        <v>1135</v>
      </c>
      <c r="H348" s="60">
        <f t="shared" si="91"/>
        <v>1135</v>
      </c>
      <c r="I348" s="57">
        <v>1</v>
      </c>
      <c r="J348" s="61" t="s">
        <v>197</v>
      </c>
      <c r="K348" s="61" t="s">
        <v>49</v>
      </c>
      <c r="L348" s="50" t="s">
        <v>102</v>
      </c>
      <c r="M348" s="60">
        <v>1135</v>
      </c>
    </row>
    <row r="349" spans="1:13" outlineLevel="2" x14ac:dyDescent="0.25">
      <c r="A349" s="61">
        <f t="shared" si="75"/>
        <v>348</v>
      </c>
      <c r="B349" s="58" t="s">
        <v>146</v>
      </c>
      <c r="C349" s="58" t="s">
        <v>212</v>
      </c>
      <c r="D349" s="59" t="s">
        <v>353</v>
      </c>
      <c r="E349" s="58" t="s">
        <v>353</v>
      </c>
      <c r="F349" s="60">
        <v>190</v>
      </c>
      <c r="G349" s="60">
        <f t="shared" si="92"/>
        <v>190</v>
      </c>
      <c r="H349" s="60">
        <f t="shared" si="91"/>
        <v>190</v>
      </c>
      <c r="I349" s="57">
        <v>1</v>
      </c>
      <c r="J349" s="61" t="s">
        <v>197</v>
      </c>
      <c r="K349" s="61" t="s">
        <v>49</v>
      </c>
      <c r="L349" s="50" t="s">
        <v>102</v>
      </c>
      <c r="M349" s="60">
        <v>190</v>
      </c>
    </row>
    <row r="350" spans="1:13" ht="24" outlineLevel="2" x14ac:dyDescent="0.25">
      <c r="A350" s="50">
        <f t="shared" si="75"/>
        <v>349</v>
      </c>
      <c r="B350" s="41" t="s">
        <v>146</v>
      </c>
      <c r="C350" s="41" t="s">
        <v>216</v>
      </c>
      <c r="D350" s="41" t="s">
        <v>216</v>
      </c>
      <c r="E350" s="41" t="s">
        <v>217</v>
      </c>
      <c r="F350" s="42">
        <f ca="1">OFFSET(F350,1,2)</f>
        <v>1800</v>
      </c>
      <c r="G350" s="42">
        <f ca="1">F350</f>
        <v>1800</v>
      </c>
      <c r="H350" s="42">
        <f ca="1">G350*I350</f>
        <v>1800</v>
      </c>
      <c r="I350" s="49">
        <v>1</v>
      </c>
      <c r="J350" s="50" t="s">
        <v>197</v>
      </c>
      <c r="K350" s="41" t="s">
        <v>216</v>
      </c>
      <c r="L350" s="50" t="s">
        <v>102</v>
      </c>
      <c r="M350" s="42">
        <v>1800</v>
      </c>
    </row>
    <row r="351" spans="1:13" outlineLevel="2" x14ac:dyDescent="0.25">
      <c r="A351" s="50">
        <f t="shared" si="75"/>
        <v>350</v>
      </c>
      <c r="B351" s="41" t="s">
        <v>146</v>
      </c>
      <c r="C351" s="41" t="s">
        <v>218</v>
      </c>
      <c r="D351" s="41" t="s">
        <v>218</v>
      </c>
      <c r="E351" s="41" t="s">
        <v>219</v>
      </c>
      <c r="F351" s="42">
        <v>0.3</v>
      </c>
      <c r="G351" s="42">
        <v>100</v>
      </c>
      <c r="H351" s="42">
        <f>IF(OR(G351="",I351=""),"",G351*I351)</f>
        <v>1800</v>
      </c>
      <c r="I351" s="49">
        <f>60*F351</f>
        <v>18</v>
      </c>
      <c r="J351" s="50" t="s">
        <v>197</v>
      </c>
      <c r="K351" s="41" t="s">
        <v>218</v>
      </c>
      <c r="L351" s="50" t="s">
        <v>102</v>
      </c>
      <c r="M351" s="42">
        <v>1800</v>
      </c>
    </row>
    <row r="352" spans="1:13" outlineLevel="1" x14ac:dyDescent="0.25">
      <c r="A352" s="50"/>
      <c r="B352" s="65" t="s">
        <v>395</v>
      </c>
      <c r="C352" s="41"/>
      <c r="D352" s="41"/>
      <c r="E352" s="41"/>
      <c r="F352" s="42"/>
      <c r="G352" s="42"/>
      <c r="H352" s="42">
        <f ca="1">SUBTOTAL(9,H343:H351)</f>
        <v>19999</v>
      </c>
      <c r="I352" s="49"/>
      <c r="J352" s="50"/>
      <c r="K352" s="41"/>
      <c r="L352" s="50"/>
      <c r="M352" s="42">
        <v>19999</v>
      </c>
    </row>
    <row r="353" spans="1:13" ht="24" customHeight="1" outlineLevel="2" x14ac:dyDescent="0.25">
      <c r="A353" s="38">
        <f>ROW(A351)</f>
        <v>351</v>
      </c>
      <c r="B353" s="38" t="s">
        <v>147</v>
      </c>
      <c r="C353" s="38"/>
      <c r="D353" s="38"/>
      <c r="E353" s="38" t="s">
        <v>147</v>
      </c>
      <c r="F353" s="39"/>
      <c r="G353" s="39"/>
      <c r="H353" s="39"/>
      <c r="I353" s="40">
        <v>1</v>
      </c>
      <c r="J353" s="38" t="s">
        <v>11</v>
      </c>
      <c r="K353" s="38" t="s">
        <v>12</v>
      </c>
      <c r="L353" s="38" t="s">
        <v>102</v>
      </c>
      <c r="M353" s="39"/>
    </row>
    <row r="354" spans="1:13" outlineLevel="2" x14ac:dyDescent="0.25">
      <c r="A354" s="50">
        <f t="shared" si="75"/>
        <v>353</v>
      </c>
      <c r="B354" s="41" t="s">
        <v>147</v>
      </c>
      <c r="C354" s="41" t="s">
        <v>14</v>
      </c>
      <c r="D354" s="41" t="s">
        <v>75</v>
      </c>
      <c r="E354" s="41" t="s">
        <v>76</v>
      </c>
      <c r="F354" s="42">
        <v>10270</v>
      </c>
      <c r="G354" s="42">
        <f t="shared" ref="G354:G356" si="93">0.6*F354</f>
        <v>6162</v>
      </c>
      <c r="H354" s="42">
        <f t="shared" ref="H354:H359" si="94">G354*I354</f>
        <v>6162</v>
      </c>
      <c r="I354" s="49">
        <v>1</v>
      </c>
      <c r="J354" s="50" t="s">
        <v>197</v>
      </c>
      <c r="K354" s="50" t="s">
        <v>18</v>
      </c>
      <c r="L354" s="50" t="s">
        <v>102</v>
      </c>
      <c r="M354" s="42">
        <v>6162</v>
      </c>
    </row>
    <row r="355" spans="1:13" outlineLevel="2" x14ac:dyDescent="0.25">
      <c r="A355" s="61">
        <f t="shared" si="75"/>
        <v>354</v>
      </c>
      <c r="B355" s="58" t="s">
        <v>147</v>
      </c>
      <c r="C355" s="58" t="s">
        <v>46</v>
      </c>
      <c r="D355" s="59" t="s">
        <v>360</v>
      </c>
      <c r="E355" s="58" t="s">
        <v>361</v>
      </c>
      <c r="F355" s="60">
        <v>3372</v>
      </c>
      <c r="G355" s="60">
        <f t="shared" si="93"/>
        <v>2023.1999999999998</v>
      </c>
      <c r="H355" s="60">
        <f t="shared" si="94"/>
        <v>2023.1999999999998</v>
      </c>
      <c r="I355" s="57">
        <v>1</v>
      </c>
      <c r="J355" s="61" t="s">
        <v>197</v>
      </c>
      <c r="K355" s="61" t="s">
        <v>22</v>
      </c>
      <c r="L355" s="50" t="s">
        <v>102</v>
      </c>
      <c r="M355" s="60">
        <v>2023.1999999999998</v>
      </c>
    </row>
    <row r="356" spans="1:13" outlineLevel="2" x14ac:dyDescent="0.25">
      <c r="A356" s="50">
        <f t="shared" si="75"/>
        <v>355</v>
      </c>
      <c r="B356" s="41" t="s">
        <v>147</v>
      </c>
      <c r="C356" s="41" t="s">
        <v>23</v>
      </c>
      <c r="D356" s="41" t="s">
        <v>148</v>
      </c>
      <c r="E356" s="41" t="s">
        <v>242</v>
      </c>
      <c r="F356" s="42">
        <v>783</v>
      </c>
      <c r="G356" s="42">
        <f t="shared" si="93"/>
        <v>469.79999999999995</v>
      </c>
      <c r="H356" s="42">
        <f t="shared" si="94"/>
        <v>1879.1999999999998</v>
      </c>
      <c r="I356" s="49">
        <v>4</v>
      </c>
      <c r="J356" s="50" t="s">
        <v>197</v>
      </c>
      <c r="K356" s="50" t="s">
        <v>22</v>
      </c>
      <c r="L356" s="50" t="s">
        <v>102</v>
      </c>
      <c r="M356" s="42">
        <v>1879.1999999999998</v>
      </c>
    </row>
    <row r="357" spans="1:13" outlineLevel="2" x14ac:dyDescent="0.25">
      <c r="A357" s="61">
        <f t="shared" si="75"/>
        <v>356</v>
      </c>
      <c r="B357" s="58" t="s">
        <v>147</v>
      </c>
      <c r="C357" s="58" t="s">
        <v>198</v>
      </c>
      <c r="D357" s="59" t="s">
        <v>341</v>
      </c>
      <c r="E357" s="58" t="s">
        <v>342</v>
      </c>
      <c r="F357" s="60">
        <v>1055</v>
      </c>
      <c r="G357" s="60">
        <f t="shared" ref="G357:G359" si="95">F357</f>
        <v>1055</v>
      </c>
      <c r="H357" s="60">
        <f t="shared" si="94"/>
        <v>1055</v>
      </c>
      <c r="I357" s="57">
        <v>1</v>
      </c>
      <c r="J357" s="61" t="s">
        <v>197</v>
      </c>
      <c r="K357" s="61" t="s">
        <v>49</v>
      </c>
      <c r="L357" s="50" t="s">
        <v>102</v>
      </c>
      <c r="M357" s="60">
        <v>1055</v>
      </c>
    </row>
    <row r="358" spans="1:13" outlineLevel="2" x14ac:dyDescent="0.25">
      <c r="A358" s="61">
        <f t="shared" ref="A358:A431" si="96">ROW(A357)</f>
        <v>357</v>
      </c>
      <c r="B358" s="58" t="s">
        <v>147</v>
      </c>
      <c r="C358" s="58" t="s">
        <v>198</v>
      </c>
      <c r="D358" s="59" t="s">
        <v>339</v>
      </c>
      <c r="E358" s="58" t="s">
        <v>340</v>
      </c>
      <c r="F358" s="60">
        <v>1135</v>
      </c>
      <c r="G358" s="60">
        <f t="shared" si="95"/>
        <v>1135</v>
      </c>
      <c r="H358" s="60">
        <f t="shared" si="94"/>
        <v>1135</v>
      </c>
      <c r="I358" s="57">
        <v>1</v>
      </c>
      <c r="J358" s="61" t="s">
        <v>197</v>
      </c>
      <c r="K358" s="61" t="s">
        <v>49</v>
      </c>
      <c r="L358" s="50" t="s">
        <v>102</v>
      </c>
      <c r="M358" s="60">
        <v>1135</v>
      </c>
    </row>
    <row r="359" spans="1:13" outlineLevel="2" x14ac:dyDescent="0.25">
      <c r="A359" s="61">
        <f t="shared" si="96"/>
        <v>358</v>
      </c>
      <c r="B359" s="58" t="s">
        <v>147</v>
      </c>
      <c r="C359" s="58" t="s">
        <v>212</v>
      </c>
      <c r="D359" s="59" t="s">
        <v>353</v>
      </c>
      <c r="E359" s="58" t="s">
        <v>353</v>
      </c>
      <c r="F359" s="60">
        <v>190</v>
      </c>
      <c r="G359" s="60">
        <f t="shared" si="95"/>
        <v>190</v>
      </c>
      <c r="H359" s="60">
        <f t="shared" si="94"/>
        <v>190</v>
      </c>
      <c r="I359" s="57">
        <v>1</v>
      </c>
      <c r="J359" s="61" t="s">
        <v>197</v>
      </c>
      <c r="K359" s="61" t="s">
        <v>49</v>
      </c>
      <c r="L359" s="50" t="s">
        <v>102</v>
      </c>
      <c r="M359" s="60">
        <v>190</v>
      </c>
    </row>
    <row r="360" spans="1:13" ht="24" outlineLevel="2" x14ac:dyDescent="0.25">
      <c r="A360" s="50">
        <f t="shared" si="96"/>
        <v>359</v>
      </c>
      <c r="B360" s="41" t="s">
        <v>147</v>
      </c>
      <c r="C360" s="41" t="s">
        <v>216</v>
      </c>
      <c r="D360" s="41" t="s">
        <v>216</v>
      </c>
      <c r="E360" s="41" t="s">
        <v>217</v>
      </c>
      <c r="F360" s="42">
        <f ca="1">OFFSET(F360,1,2)</f>
        <v>1800</v>
      </c>
      <c r="G360" s="42">
        <f ca="1">F360</f>
        <v>1800</v>
      </c>
      <c r="H360" s="42">
        <f ca="1">G360*I360</f>
        <v>1800</v>
      </c>
      <c r="I360" s="49">
        <v>1</v>
      </c>
      <c r="J360" s="50" t="s">
        <v>197</v>
      </c>
      <c r="K360" s="41" t="s">
        <v>216</v>
      </c>
      <c r="L360" s="50" t="s">
        <v>102</v>
      </c>
      <c r="M360" s="42">
        <v>1800</v>
      </c>
    </row>
    <row r="361" spans="1:13" outlineLevel="2" x14ac:dyDescent="0.25">
      <c r="A361" s="50">
        <f t="shared" si="96"/>
        <v>360</v>
      </c>
      <c r="B361" s="41" t="s">
        <v>147</v>
      </c>
      <c r="C361" s="41" t="s">
        <v>218</v>
      </c>
      <c r="D361" s="41" t="s">
        <v>218</v>
      </c>
      <c r="E361" s="41" t="s">
        <v>219</v>
      </c>
      <c r="F361" s="42">
        <v>0.3</v>
      </c>
      <c r="G361" s="42">
        <v>100</v>
      </c>
      <c r="H361" s="42">
        <f>IF(OR(G361="",I361=""),"",G361*I361)</f>
        <v>1800</v>
      </c>
      <c r="I361" s="49">
        <f>60*F361</f>
        <v>18</v>
      </c>
      <c r="J361" s="50" t="s">
        <v>197</v>
      </c>
      <c r="K361" s="41" t="s">
        <v>218</v>
      </c>
      <c r="L361" s="50" t="s">
        <v>102</v>
      </c>
      <c r="M361" s="42">
        <v>1800</v>
      </c>
    </row>
    <row r="362" spans="1:13" outlineLevel="1" x14ac:dyDescent="0.25">
      <c r="A362" s="50"/>
      <c r="B362" s="65" t="s">
        <v>396</v>
      </c>
      <c r="C362" s="41"/>
      <c r="D362" s="41"/>
      <c r="E362" s="41"/>
      <c r="F362" s="42"/>
      <c r="G362" s="42"/>
      <c r="H362" s="42">
        <f ca="1">SUBTOTAL(9,H353:H361)</f>
        <v>16044.4</v>
      </c>
      <c r="I362" s="49"/>
      <c r="J362" s="50"/>
      <c r="K362" s="41"/>
      <c r="L362" s="50"/>
      <c r="M362" s="42">
        <v>16044.4</v>
      </c>
    </row>
    <row r="363" spans="1:13" ht="24" customHeight="1" outlineLevel="2" x14ac:dyDescent="0.25">
      <c r="A363" s="38">
        <f>ROW(A361)</f>
        <v>361</v>
      </c>
      <c r="B363" s="38" t="s">
        <v>150</v>
      </c>
      <c r="C363" s="38"/>
      <c r="D363" s="38"/>
      <c r="E363" s="38" t="s">
        <v>150</v>
      </c>
      <c r="F363" s="39"/>
      <c r="G363" s="39"/>
      <c r="H363" s="39"/>
      <c r="I363" s="40">
        <v>1</v>
      </c>
      <c r="J363" s="38" t="s">
        <v>11</v>
      </c>
      <c r="K363" s="38" t="s">
        <v>12</v>
      </c>
      <c r="L363" s="38" t="s">
        <v>151</v>
      </c>
      <c r="M363" s="39"/>
    </row>
    <row r="364" spans="1:13" outlineLevel="2" x14ac:dyDescent="0.25">
      <c r="A364" s="61">
        <f t="shared" si="96"/>
        <v>363</v>
      </c>
      <c r="B364" s="58" t="s">
        <v>150</v>
      </c>
      <c r="C364" s="58" t="s">
        <v>14</v>
      </c>
      <c r="D364" s="59" t="s">
        <v>356</v>
      </c>
      <c r="E364" s="58" t="s">
        <v>357</v>
      </c>
      <c r="F364" s="60">
        <v>45145</v>
      </c>
      <c r="G364" s="60">
        <f t="shared" ref="G364:G371" si="97">0.6*F364</f>
        <v>27087</v>
      </c>
      <c r="H364" s="60">
        <f t="shared" ref="H364:H374" si="98">G364*I364</f>
        <v>27087</v>
      </c>
      <c r="I364" s="57">
        <v>1</v>
      </c>
      <c r="J364" s="61" t="s">
        <v>197</v>
      </c>
      <c r="K364" s="61" t="s">
        <v>18</v>
      </c>
      <c r="L364" s="50" t="s">
        <v>151</v>
      </c>
      <c r="M364" s="60">
        <v>27087</v>
      </c>
    </row>
    <row r="365" spans="1:13" outlineLevel="2" x14ac:dyDescent="0.25">
      <c r="A365" s="50">
        <f t="shared" si="96"/>
        <v>364</v>
      </c>
      <c r="B365" s="41" t="s">
        <v>150</v>
      </c>
      <c r="C365" s="41" t="s">
        <v>19</v>
      </c>
      <c r="D365" s="41" t="s">
        <v>154</v>
      </c>
      <c r="E365" s="41" t="s">
        <v>155</v>
      </c>
      <c r="F365" s="42">
        <v>19418</v>
      </c>
      <c r="G365" s="42">
        <f t="shared" si="97"/>
        <v>11650.8</v>
      </c>
      <c r="H365" s="42">
        <f t="shared" si="98"/>
        <v>11650.8</v>
      </c>
      <c r="I365" s="49">
        <v>1</v>
      </c>
      <c r="J365" s="50" t="s">
        <v>197</v>
      </c>
      <c r="K365" s="50" t="s">
        <v>22</v>
      </c>
      <c r="L365" s="50" t="s">
        <v>151</v>
      </c>
      <c r="M365" s="42">
        <v>11650.8</v>
      </c>
    </row>
    <row r="366" spans="1:13" outlineLevel="2" x14ac:dyDescent="0.25">
      <c r="A366" s="50">
        <f t="shared" si="96"/>
        <v>365</v>
      </c>
      <c r="B366" s="41" t="s">
        <v>150</v>
      </c>
      <c r="C366" s="41" t="s">
        <v>23</v>
      </c>
      <c r="D366" s="41" t="s">
        <v>81</v>
      </c>
      <c r="E366" s="41" t="s">
        <v>82</v>
      </c>
      <c r="F366" s="42">
        <v>2499</v>
      </c>
      <c r="G366" s="42">
        <f t="shared" si="97"/>
        <v>1499.3999999999999</v>
      </c>
      <c r="H366" s="42">
        <f t="shared" si="98"/>
        <v>1499.3999999999999</v>
      </c>
      <c r="I366" s="49">
        <v>1</v>
      </c>
      <c r="J366" s="50" t="s">
        <v>197</v>
      </c>
      <c r="K366" s="50" t="s">
        <v>22</v>
      </c>
      <c r="L366" s="50" t="s">
        <v>151</v>
      </c>
      <c r="M366" s="42">
        <v>1499.3999999999999</v>
      </c>
    </row>
    <row r="367" spans="1:13" outlineLevel="2" x14ac:dyDescent="0.25">
      <c r="A367" s="50">
        <f t="shared" si="96"/>
        <v>366</v>
      </c>
      <c r="B367" s="41" t="s">
        <v>150</v>
      </c>
      <c r="C367" s="41" t="s">
        <v>23</v>
      </c>
      <c r="D367" s="41" t="s">
        <v>26</v>
      </c>
      <c r="E367" s="41" t="s">
        <v>27</v>
      </c>
      <c r="F367" s="42">
        <v>2337</v>
      </c>
      <c r="G367" s="42">
        <f t="shared" si="97"/>
        <v>1402.2</v>
      </c>
      <c r="H367" s="42">
        <f t="shared" si="98"/>
        <v>8413.2000000000007</v>
      </c>
      <c r="I367" s="49">
        <v>6</v>
      </c>
      <c r="J367" s="50" t="s">
        <v>197</v>
      </c>
      <c r="K367" s="50" t="s">
        <v>22</v>
      </c>
      <c r="L367" s="50" t="s">
        <v>151</v>
      </c>
      <c r="M367" s="42">
        <v>8413.2000000000007</v>
      </c>
    </row>
    <row r="368" spans="1:13" outlineLevel="2" x14ac:dyDescent="0.25">
      <c r="A368" s="50">
        <f t="shared" si="96"/>
        <v>367</v>
      </c>
      <c r="B368" s="41" t="s">
        <v>150</v>
      </c>
      <c r="C368" s="41" t="s">
        <v>23</v>
      </c>
      <c r="D368" s="41" t="s">
        <v>28</v>
      </c>
      <c r="E368" s="41" t="s">
        <v>29</v>
      </c>
      <c r="F368" s="42">
        <v>1389</v>
      </c>
      <c r="G368" s="42">
        <f t="shared" si="97"/>
        <v>833.4</v>
      </c>
      <c r="H368" s="42">
        <f t="shared" si="98"/>
        <v>5833.8</v>
      </c>
      <c r="I368" s="49">
        <v>7</v>
      </c>
      <c r="J368" s="50" t="s">
        <v>197</v>
      </c>
      <c r="K368" s="50" t="s">
        <v>22</v>
      </c>
      <c r="L368" s="50" t="s">
        <v>151</v>
      </c>
      <c r="M368" s="42">
        <v>5833.8</v>
      </c>
    </row>
    <row r="369" spans="1:13" outlineLevel="2" x14ac:dyDescent="0.25">
      <c r="A369" s="50">
        <f t="shared" si="96"/>
        <v>368</v>
      </c>
      <c r="B369" s="41" t="s">
        <v>150</v>
      </c>
      <c r="C369" s="41" t="s">
        <v>136</v>
      </c>
      <c r="D369" s="41" t="s">
        <v>364</v>
      </c>
      <c r="E369" s="41" t="s">
        <v>365</v>
      </c>
      <c r="F369" s="42">
        <v>5104</v>
      </c>
      <c r="G369" s="42">
        <f t="shared" si="97"/>
        <v>3062.4</v>
      </c>
      <c r="H369" s="42">
        <f t="shared" si="98"/>
        <v>3062.4</v>
      </c>
      <c r="I369" s="49">
        <v>1</v>
      </c>
      <c r="J369" s="50" t="s">
        <v>197</v>
      </c>
      <c r="K369" s="50" t="s">
        <v>22</v>
      </c>
      <c r="L369" s="50" t="s">
        <v>151</v>
      </c>
      <c r="M369" s="42">
        <v>3062.4</v>
      </c>
    </row>
    <row r="370" spans="1:13" outlineLevel="2" x14ac:dyDescent="0.25">
      <c r="A370" s="50">
        <f t="shared" si="96"/>
        <v>369</v>
      </c>
      <c r="B370" s="41" t="s">
        <v>150</v>
      </c>
      <c r="C370" s="41" t="s">
        <v>136</v>
      </c>
      <c r="D370" s="41" t="s">
        <v>156</v>
      </c>
      <c r="E370" s="41" t="s">
        <v>157</v>
      </c>
      <c r="F370" s="42">
        <v>8934</v>
      </c>
      <c r="G370" s="42">
        <f t="shared" si="97"/>
        <v>5360.4</v>
      </c>
      <c r="H370" s="42">
        <f t="shared" si="98"/>
        <v>5360.4</v>
      </c>
      <c r="I370" s="49">
        <v>1</v>
      </c>
      <c r="J370" s="50" t="s">
        <v>197</v>
      </c>
      <c r="K370" s="50" t="s">
        <v>22</v>
      </c>
      <c r="L370" s="50" t="s">
        <v>151</v>
      </c>
      <c r="M370" s="42">
        <v>5360.4</v>
      </c>
    </row>
    <row r="371" spans="1:13" ht="24" outlineLevel="2" x14ac:dyDescent="0.25">
      <c r="A371" s="50">
        <f t="shared" si="96"/>
        <v>370</v>
      </c>
      <c r="B371" s="41" t="s">
        <v>150</v>
      </c>
      <c r="C371" s="41" t="s">
        <v>30</v>
      </c>
      <c r="D371" s="41" t="s">
        <v>158</v>
      </c>
      <c r="E371" s="41" t="s">
        <v>159</v>
      </c>
      <c r="F371" s="42">
        <v>6054</v>
      </c>
      <c r="G371" s="42">
        <f t="shared" si="97"/>
        <v>3632.4</v>
      </c>
      <c r="H371" s="42">
        <f t="shared" si="98"/>
        <v>3632.4</v>
      </c>
      <c r="I371" s="49">
        <v>1</v>
      </c>
      <c r="J371" s="50" t="s">
        <v>197</v>
      </c>
      <c r="K371" s="50" t="s">
        <v>22</v>
      </c>
      <c r="L371" s="50" t="s">
        <v>151</v>
      </c>
      <c r="M371" s="42">
        <v>3632.4</v>
      </c>
    </row>
    <row r="372" spans="1:13" outlineLevel="2" x14ac:dyDescent="0.25">
      <c r="A372" s="61">
        <f t="shared" si="96"/>
        <v>371</v>
      </c>
      <c r="B372" s="58" t="s">
        <v>150</v>
      </c>
      <c r="C372" s="58" t="s">
        <v>198</v>
      </c>
      <c r="D372" s="59" t="s">
        <v>341</v>
      </c>
      <c r="E372" s="58" t="s">
        <v>342</v>
      </c>
      <c r="F372" s="60">
        <v>1055</v>
      </c>
      <c r="G372" s="60">
        <f t="shared" ref="G372:G374" si="99">F372</f>
        <v>1055</v>
      </c>
      <c r="H372" s="60">
        <f t="shared" si="98"/>
        <v>1055</v>
      </c>
      <c r="I372" s="57">
        <v>1</v>
      </c>
      <c r="J372" s="61" t="s">
        <v>197</v>
      </c>
      <c r="K372" s="61" t="s">
        <v>49</v>
      </c>
      <c r="L372" s="50" t="s">
        <v>151</v>
      </c>
      <c r="M372" s="60">
        <v>1055</v>
      </c>
    </row>
    <row r="373" spans="1:13" outlineLevel="2" x14ac:dyDescent="0.25">
      <c r="A373" s="61">
        <f t="shared" si="96"/>
        <v>372</v>
      </c>
      <c r="B373" s="58" t="s">
        <v>150</v>
      </c>
      <c r="C373" s="58" t="s">
        <v>198</v>
      </c>
      <c r="D373" s="59" t="s">
        <v>339</v>
      </c>
      <c r="E373" s="58" t="s">
        <v>340</v>
      </c>
      <c r="F373" s="60">
        <v>1135</v>
      </c>
      <c r="G373" s="60">
        <f t="shared" si="99"/>
        <v>1135</v>
      </c>
      <c r="H373" s="60">
        <f t="shared" si="98"/>
        <v>1135</v>
      </c>
      <c r="I373" s="57">
        <v>1</v>
      </c>
      <c r="J373" s="61" t="s">
        <v>197</v>
      </c>
      <c r="K373" s="61" t="s">
        <v>49</v>
      </c>
      <c r="L373" s="50" t="s">
        <v>151</v>
      </c>
      <c r="M373" s="60">
        <v>1135</v>
      </c>
    </row>
    <row r="374" spans="1:13" outlineLevel="2" x14ac:dyDescent="0.25">
      <c r="A374" s="61">
        <f t="shared" si="96"/>
        <v>373</v>
      </c>
      <c r="B374" s="58" t="s">
        <v>150</v>
      </c>
      <c r="C374" s="58" t="s">
        <v>212</v>
      </c>
      <c r="D374" s="59" t="s">
        <v>353</v>
      </c>
      <c r="E374" s="58" t="s">
        <v>353</v>
      </c>
      <c r="F374" s="60">
        <v>190</v>
      </c>
      <c r="G374" s="60">
        <f t="shared" si="99"/>
        <v>190</v>
      </c>
      <c r="H374" s="60">
        <f t="shared" si="98"/>
        <v>190</v>
      </c>
      <c r="I374" s="57">
        <v>1</v>
      </c>
      <c r="J374" s="61" t="s">
        <v>197</v>
      </c>
      <c r="K374" s="61" t="s">
        <v>49</v>
      </c>
      <c r="L374" s="50" t="s">
        <v>151</v>
      </c>
      <c r="M374" s="60">
        <v>190</v>
      </c>
    </row>
    <row r="375" spans="1:13" ht="24" outlineLevel="2" x14ac:dyDescent="0.25">
      <c r="A375" s="50">
        <f t="shared" si="96"/>
        <v>374</v>
      </c>
      <c r="B375" s="41" t="s">
        <v>150</v>
      </c>
      <c r="C375" s="41" t="s">
        <v>216</v>
      </c>
      <c r="D375" s="41" t="s">
        <v>216</v>
      </c>
      <c r="E375" s="41" t="s">
        <v>217</v>
      </c>
      <c r="F375" s="42">
        <f ca="1">OFFSET(F375,1,2)</f>
        <v>27000</v>
      </c>
      <c r="G375" s="42">
        <f ca="1">F375</f>
        <v>27000</v>
      </c>
      <c r="H375" s="42">
        <f ca="1">G375*I375</f>
        <v>27000</v>
      </c>
      <c r="I375" s="49">
        <v>1</v>
      </c>
      <c r="J375" s="50" t="s">
        <v>197</v>
      </c>
      <c r="K375" s="41" t="s">
        <v>216</v>
      </c>
      <c r="L375" s="50" t="s">
        <v>151</v>
      </c>
      <c r="M375" s="42">
        <v>27000</v>
      </c>
    </row>
    <row r="376" spans="1:13" outlineLevel="2" x14ac:dyDescent="0.25">
      <c r="A376" s="50">
        <f t="shared" si="96"/>
        <v>375</v>
      </c>
      <c r="B376" s="41" t="s">
        <v>150</v>
      </c>
      <c r="C376" s="41" t="s">
        <v>218</v>
      </c>
      <c r="D376" s="41" t="s">
        <v>218</v>
      </c>
      <c r="E376" s="41" t="s">
        <v>219</v>
      </c>
      <c r="F376" s="42">
        <v>4.5</v>
      </c>
      <c r="G376" s="42">
        <v>100</v>
      </c>
      <c r="H376" s="42">
        <f>IF(OR(G376="",I376=""),"",G376*I376)</f>
        <v>27000</v>
      </c>
      <c r="I376" s="49">
        <f>60*F376</f>
        <v>270</v>
      </c>
      <c r="J376" s="50" t="s">
        <v>197</v>
      </c>
      <c r="K376" s="41" t="s">
        <v>218</v>
      </c>
      <c r="L376" s="50" t="s">
        <v>151</v>
      </c>
      <c r="M376" s="42">
        <v>27000</v>
      </c>
    </row>
    <row r="377" spans="1:13" outlineLevel="1" x14ac:dyDescent="0.25">
      <c r="A377" s="50"/>
      <c r="B377" s="65" t="s">
        <v>397</v>
      </c>
      <c r="C377" s="41"/>
      <c r="D377" s="41"/>
      <c r="E377" s="41"/>
      <c r="F377" s="42"/>
      <c r="G377" s="42"/>
      <c r="H377" s="42">
        <f ca="1">SUBTOTAL(9,H363:H376)</f>
        <v>122919.40000000001</v>
      </c>
      <c r="I377" s="49"/>
      <c r="J377" s="50"/>
      <c r="K377" s="41"/>
      <c r="L377" s="50"/>
      <c r="M377" s="42">
        <v>122919.40000000001</v>
      </c>
    </row>
    <row r="378" spans="1:13" ht="24" customHeight="1" outlineLevel="2" x14ac:dyDescent="0.25">
      <c r="A378" s="38">
        <f>ROW(A376)</f>
        <v>376</v>
      </c>
      <c r="B378" s="38" t="s">
        <v>221</v>
      </c>
      <c r="C378" s="38"/>
      <c r="D378" s="38"/>
      <c r="E378" s="38" t="s">
        <v>221</v>
      </c>
      <c r="F378" s="39"/>
      <c r="G378" s="39"/>
      <c r="H378" s="39"/>
      <c r="I378" s="40">
        <v>1</v>
      </c>
      <c r="J378" s="38" t="s">
        <v>11</v>
      </c>
      <c r="K378" s="38" t="s">
        <v>12</v>
      </c>
      <c r="L378" s="38" t="e">
        <f>#REF!</f>
        <v>#REF!</v>
      </c>
      <c r="M378" s="39"/>
    </row>
    <row r="379" spans="1:13" outlineLevel="2" x14ac:dyDescent="0.25">
      <c r="A379" s="50">
        <f t="shared" si="96"/>
        <v>378</v>
      </c>
      <c r="B379" s="41" t="s">
        <v>221</v>
      </c>
      <c r="C379" s="41" t="s">
        <v>14</v>
      </c>
      <c r="D379" s="41"/>
      <c r="E379" s="41" t="s">
        <v>329</v>
      </c>
      <c r="F379" s="42">
        <v>20000</v>
      </c>
      <c r="G379" s="42">
        <f>0.6*F379</f>
        <v>12000</v>
      </c>
      <c r="H379" s="42">
        <f>G379*I379</f>
        <v>12000</v>
      </c>
      <c r="I379" s="49">
        <v>1</v>
      </c>
      <c r="J379" s="50" t="s">
        <v>197</v>
      </c>
      <c r="K379" s="50" t="s">
        <v>18</v>
      </c>
      <c r="L379" s="50" t="e">
        <f t="shared" ref="L379:L384" si="100">L378</f>
        <v>#REF!</v>
      </c>
      <c r="M379" s="42">
        <v>12000</v>
      </c>
    </row>
    <row r="380" spans="1:13" outlineLevel="2" x14ac:dyDescent="0.25">
      <c r="A380" s="61">
        <f t="shared" si="96"/>
        <v>379</v>
      </c>
      <c r="B380" s="58" t="s">
        <v>221</v>
      </c>
      <c r="C380" s="58" t="s">
        <v>46</v>
      </c>
      <c r="D380" s="59" t="s">
        <v>358</v>
      </c>
      <c r="E380" s="58" t="s">
        <v>359</v>
      </c>
      <c r="F380" s="60">
        <v>8202</v>
      </c>
      <c r="G380" s="60">
        <f>F380</f>
        <v>8202</v>
      </c>
      <c r="H380" s="60">
        <f>G380*I380</f>
        <v>8202</v>
      </c>
      <c r="I380" s="57">
        <v>1</v>
      </c>
      <c r="J380" s="61" t="s">
        <v>197</v>
      </c>
      <c r="K380" s="61" t="s">
        <v>49</v>
      </c>
      <c r="L380" s="50" t="e">
        <f t="shared" si="100"/>
        <v>#REF!</v>
      </c>
      <c r="M380" s="60">
        <v>8202</v>
      </c>
    </row>
    <row r="381" spans="1:13" outlineLevel="2" x14ac:dyDescent="0.25">
      <c r="A381" s="50">
        <f t="shared" si="96"/>
        <v>380</v>
      </c>
      <c r="B381" s="41" t="s">
        <v>221</v>
      </c>
      <c r="C381" s="41" t="s">
        <v>41</v>
      </c>
      <c r="D381" s="41" t="s">
        <v>42</v>
      </c>
      <c r="E381" s="41" t="s">
        <v>43</v>
      </c>
      <c r="F381" s="42">
        <v>1545</v>
      </c>
      <c r="G381" s="42">
        <f t="shared" ref="G381:G382" si="101">0.6*F381</f>
        <v>927</v>
      </c>
      <c r="H381" s="42">
        <f t="shared" ref="H381:H382" si="102">G381*I381</f>
        <v>2781</v>
      </c>
      <c r="I381" s="49">
        <v>3</v>
      </c>
      <c r="J381" s="50" t="s">
        <v>197</v>
      </c>
      <c r="K381" s="50" t="s">
        <v>22</v>
      </c>
      <c r="L381" s="50" t="e">
        <f t="shared" si="100"/>
        <v>#REF!</v>
      </c>
      <c r="M381" s="42">
        <v>2781</v>
      </c>
    </row>
    <row r="382" spans="1:13" outlineLevel="2" x14ac:dyDescent="0.25">
      <c r="A382" s="50">
        <f t="shared" si="96"/>
        <v>381</v>
      </c>
      <c r="B382" s="41" t="s">
        <v>221</v>
      </c>
      <c r="C382" s="41" t="s">
        <v>41</v>
      </c>
      <c r="D382" s="41" t="s">
        <v>44</v>
      </c>
      <c r="E382" s="41" t="s">
        <v>45</v>
      </c>
      <c r="F382" s="42">
        <v>2038</v>
      </c>
      <c r="G382" s="42">
        <f t="shared" si="101"/>
        <v>1222.8</v>
      </c>
      <c r="H382" s="42">
        <f t="shared" si="102"/>
        <v>3668.3999999999996</v>
      </c>
      <c r="I382" s="49">
        <v>3</v>
      </c>
      <c r="J382" s="50" t="s">
        <v>197</v>
      </c>
      <c r="K382" s="50" t="s">
        <v>22</v>
      </c>
      <c r="L382" s="50" t="e">
        <f t="shared" si="100"/>
        <v>#REF!</v>
      </c>
      <c r="M382" s="42">
        <v>3668.3999999999996</v>
      </c>
    </row>
    <row r="383" spans="1:13" ht="24" outlineLevel="2" x14ac:dyDescent="0.25">
      <c r="A383" s="50">
        <f t="shared" si="96"/>
        <v>382</v>
      </c>
      <c r="B383" s="41" t="s">
        <v>221</v>
      </c>
      <c r="C383" s="41" t="s">
        <v>216</v>
      </c>
      <c r="D383" s="41" t="s">
        <v>216</v>
      </c>
      <c r="E383" s="41" t="s">
        <v>217</v>
      </c>
      <c r="F383" s="42">
        <f ca="1">OFFSET(F383,1,2)</f>
        <v>9000</v>
      </c>
      <c r="G383" s="42">
        <f ca="1">F383</f>
        <v>9000</v>
      </c>
      <c r="H383" s="42">
        <f ca="1">G383*I383</f>
        <v>9000</v>
      </c>
      <c r="I383" s="49">
        <v>1</v>
      </c>
      <c r="J383" s="50" t="s">
        <v>197</v>
      </c>
      <c r="K383" s="41" t="s">
        <v>216</v>
      </c>
      <c r="L383" s="50" t="e">
        <f t="shared" si="100"/>
        <v>#REF!</v>
      </c>
      <c r="M383" s="42">
        <v>9000</v>
      </c>
    </row>
    <row r="384" spans="1:13" outlineLevel="2" x14ac:dyDescent="0.25">
      <c r="A384" s="50">
        <f t="shared" si="96"/>
        <v>383</v>
      </c>
      <c r="B384" s="41" t="s">
        <v>221</v>
      </c>
      <c r="C384" s="41" t="s">
        <v>218</v>
      </c>
      <c r="D384" s="41" t="s">
        <v>218</v>
      </c>
      <c r="E384" s="41" t="s">
        <v>219</v>
      </c>
      <c r="F384" s="42">
        <v>1.5</v>
      </c>
      <c r="G384" s="42">
        <v>100</v>
      </c>
      <c r="H384" s="42">
        <f>IF(OR(G384="",I384=""),"",G384*I384)</f>
        <v>9000</v>
      </c>
      <c r="I384" s="49">
        <f>60*F384</f>
        <v>90</v>
      </c>
      <c r="J384" s="50" t="s">
        <v>197</v>
      </c>
      <c r="K384" s="41" t="s">
        <v>218</v>
      </c>
      <c r="L384" s="50" t="e">
        <f t="shared" si="100"/>
        <v>#REF!</v>
      </c>
      <c r="M384" s="42">
        <v>9000</v>
      </c>
    </row>
    <row r="385" spans="1:13" ht="24" outlineLevel="1" x14ac:dyDescent="0.25">
      <c r="A385" s="50"/>
      <c r="B385" s="65" t="s">
        <v>369</v>
      </c>
      <c r="C385" s="41"/>
      <c r="D385" s="41"/>
      <c r="E385" s="41"/>
      <c r="F385" s="42"/>
      <c r="G385" s="42"/>
      <c r="H385" s="42">
        <f ca="1">SUBTOTAL(9,H378:H384)</f>
        <v>44651.4</v>
      </c>
      <c r="I385" s="49"/>
      <c r="J385" s="50"/>
      <c r="K385" s="41"/>
      <c r="L385" s="50"/>
      <c r="M385" s="42">
        <v>44651.4</v>
      </c>
    </row>
    <row r="386" spans="1:13" ht="24" customHeight="1" outlineLevel="2" x14ac:dyDescent="0.25">
      <c r="A386" s="38">
        <f>ROW(A384)</f>
        <v>384</v>
      </c>
      <c r="B386" s="38" t="s">
        <v>161</v>
      </c>
      <c r="C386" s="38"/>
      <c r="D386" s="38"/>
      <c r="E386" s="38" t="s">
        <v>161</v>
      </c>
      <c r="F386" s="39"/>
      <c r="G386" s="39"/>
      <c r="H386" s="39"/>
      <c r="I386" s="40">
        <v>1</v>
      </c>
      <c r="J386" s="38" t="s">
        <v>11</v>
      </c>
      <c r="K386" s="38" t="s">
        <v>12</v>
      </c>
      <c r="L386" s="38" t="s">
        <v>151</v>
      </c>
      <c r="M386" s="39"/>
    </row>
    <row r="387" spans="1:13" outlineLevel="2" x14ac:dyDescent="0.25">
      <c r="A387" s="52">
        <f t="shared" si="96"/>
        <v>386</v>
      </c>
      <c r="B387" s="43" t="s">
        <v>161</v>
      </c>
      <c r="C387" s="43" t="s">
        <v>14</v>
      </c>
      <c r="D387" s="41" t="s">
        <v>354</v>
      </c>
      <c r="E387" s="56" t="s">
        <v>355</v>
      </c>
      <c r="F387" s="42">
        <v>20185</v>
      </c>
      <c r="G387" s="42">
        <f t="shared" ref="G387:G395" si="103">0.6*F387</f>
        <v>12111</v>
      </c>
      <c r="H387" s="42">
        <f t="shared" ref="H387:H398" si="104">G387*I387</f>
        <v>12111</v>
      </c>
      <c r="I387" s="51">
        <v>1</v>
      </c>
      <c r="J387" s="52" t="s">
        <v>197</v>
      </c>
      <c r="K387" s="50" t="s">
        <v>18</v>
      </c>
      <c r="L387" s="50" t="s">
        <v>151</v>
      </c>
      <c r="M387" s="42">
        <v>12111</v>
      </c>
    </row>
    <row r="388" spans="1:13" outlineLevel="1" x14ac:dyDescent="0.25">
      <c r="A388" s="52"/>
      <c r="B388" s="66" t="s">
        <v>398</v>
      </c>
      <c r="C388" s="43"/>
      <c r="D388" s="41"/>
      <c r="E388" s="56"/>
      <c r="F388" s="42"/>
      <c r="G388" s="42"/>
      <c r="H388" s="42">
        <f>SUBTOTAL(9,H386:H387)</f>
        <v>12111</v>
      </c>
      <c r="I388" s="51"/>
      <c r="J388" s="52"/>
      <c r="K388" s="50"/>
      <c r="L388" s="50"/>
      <c r="M388" s="42">
        <v>12111</v>
      </c>
    </row>
    <row r="389" spans="1:13" outlineLevel="2" x14ac:dyDescent="0.25">
      <c r="A389" s="50">
        <f>ROW(A387)</f>
        <v>387</v>
      </c>
      <c r="B389" s="41" t="s">
        <v>114</v>
      </c>
      <c r="C389" s="41" t="s">
        <v>23</v>
      </c>
      <c r="D389" s="41" t="s">
        <v>337</v>
      </c>
      <c r="E389" s="41" t="s">
        <v>338</v>
      </c>
      <c r="F389" s="42">
        <v>3401</v>
      </c>
      <c r="G389" s="42">
        <f t="shared" si="103"/>
        <v>2040.6</v>
      </c>
      <c r="H389" s="42">
        <f t="shared" si="104"/>
        <v>2040.6</v>
      </c>
      <c r="I389" s="49">
        <v>1</v>
      </c>
      <c r="J389" s="50" t="s">
        <v>197</v>
      </c>
      <c r="K389" s="50" t="s">
        <v>22</v>
      </c>
      <c r="L389" s="50" t="s">
        <v>151</v>
      </c>
      <c r="M389" s="42">
        <v>2040.6</v>
      </c>
    </row>
    <row r="390" spans="1:13" outlineLevel="1" x14ac:dyDescent="0.25">
      <c r="A390" s="50"/>
      <c r="B390" s="65" t="s">
        <v>386</v>
      </c>
      <c r="C390" s="41"/>
      <c r="D390" s="41"/>
      <c r="E390" s="41"/>
      <c r="F390" s="42"/>
      <c r="G390" s="42"/>
      <c r="H390" s="42">
        <f>SUBTOTAL(9,H389:H389)</f>
        <v>2040.6</v>
      </c>
      <c r="I390" s="49"/>
      <c r="J390" s="50"/>
      <c r="K390" s="50"/>
      <c r="L390" s="50"/>
      <c r="M390" s="42">
        <v>2040.6</v>
      </c>
    </row>
    <row r="391" spans="1:13" outlineLevel="2" x14ac:dyDescent="0.25">
      <c r="A391" s="50">
        <f>ROW(A389)</f>
        <v>389</v>
      </c>
      <c r="B391" s="41" t="s">
        <v>161</v>
      </c>
      <c r="C391" s="41" t="s">
        <v>108</v>
      </c>
      <c r="D391" s="41" t="s">
        <v>335</v>
      </c>
      <c r="E391" s="41" t="s">
        <v>336</v>
      </c>
      <c r="F391" s="42">
        <v>114080</v>
      </c>
      <c r="G391" s="42">
        <f t="shared" si="103"/>
        <v>68448</v>
      </c>
      <c r="H391" s="42">
        <f t="shared" si="104"/>
        <v>68448</v>
      </c>
      <c r="I391" s="49">
        <v>1</v>
      </c>
      <c r="J391" s="50" t="s">
        <v>197</v>
      </c>
      <c r="K391" s="50" t="s">
        <v>22</v>
      </c>
      <c r="L391" s="50" t="s">
        <v>151</v>
      </c>
      <c r="M391" s="42">
        <v>68448</v>
      </c>
    </row>
    <row r="392" spans="1:13" outlineLevel="2" x14ac:dyDescent="0.25">
      <c r="A392" s="61">
        <f t="shared" si="96"/>
        <v>391</v>
      </c>
      <c r="B392" s="58" t="s">
        <v>161</v>
      </c>
      <c r="C392" s="58" t="s">
        <v>23</v>
      </c>
      <c r="D392" s="59" t="s">
        <v>362</v>
      </c>
      <c r="E392" s="58" t="s">
        <v>363</v>
      </c>
      <c r="F392" s="60">
        <v>975</v>
      </c>
      <c r="G392" s="60">
        <f t="shared" si="103"/>
        <v>585</v>
      </c>
      <c r="H392" s="60">
        <f t="shared" si="104"/>
        <v>585</v>
      </c>
      <c r="I392" s="57">
        <v>1</v>
      </c>
      <c r="J392" s="61" t="s">
        <v>197</v>
      </c>
      <c r="K392" s="61" t="s">
        <v>22</v>
      </c>
      <c r="L392" s="50" t="s">
        <v>151</v>
      </c>
      <c r="M392" s="60">
        <v>585</v>
      </c>
    </row>
    <row r="393" spans="1:13" outlineLevel="2" x14ac:dyDescent="0.25">
      <c r="A393" s="50">
        <f t="shared" si="96"/>
        <v>392</v>
      </c>
      <c r="B393" s="41" t="s">
        <v>161</v>
      </c>
      <c r="C393" s="41" t="s">
        <v>110</v>
      </c>
      <c r="D393" s="41" t="s">
        <v>127</v>
      </c>
      <c r="E393" s="41" t="s">
        <v>111</v>
      </c>
      <c r="F393" s="42">
        <v>589</v>
      </c>
      <c r="G393" s="42">
        <f t="shared" si="103"/>
        <v>353.4</v>
      </c>
      <c r="H393" s="42">
        <f t="shared" si="104"/>
        <v>706.8</v>
      </c>
      <c r="I393" s="49">
        <v>2</v>
      </c>
      <c r="J393" s="50" t="s">
        <v>197</v>
      </c>
      <c r="K393" s="50" t="s">
        <v>22</v>
      </c>
      <c r="L393" s="50" t="s">
        <v>151</v>
      </c>
      <c r="M393" s="42">
        <v>706.8</v>
      </c>
    </row>
    <row r="394" spans="1:13" outlineLevel="2" x14ac:dyDescent="0.25">
      <c r="A394" s="50">
        <f t="shared" si="96"/>
        <v>393</v>
      </c>
      <c r="B394" s="41" t="s">
        <v>161</v>
      </c>
      <c r="C394" s="41" t="s">
        <v>110</v>
      </c>
      <c r="D394" s="41" t="s">
        <v>241</v>
      </c>
      <c r="E394" s="41" t="s">
        <v>112</v>
      </c>
      <c r="F394" s="42">
        <v>571</v>
      </c>
      <c r="G394" s="42">
        <f t="shared" si="103"/>
        <v>342.59999999999997</v>
      </c>
      <c r="H394" s="42">
        <f t="shared" si="104"/>
        <v>685.19999999999993</v>
      </c>
      <c r="I394" s="49">
        <v>2</v>
      </c>
      <c r="J394" s="50" t="s">
        <v>197</v>
      </c>
      <c r="K394" s="50" t="s">
        <v>22</v>
      </c>
      <c r="L394" s="50" t="s">
        <v>151</v>
      </c>
      <c r="M394" s="42">
        <v>685.19999999999993</v>
      </c>
    </row>
    <row r="395" spans="1:13" outlineLevel="2" x14ac:dyDescent="0.25">
      <c r="A395" s="50">
        <f t="shared" si="96"/>
        <v>394</v>
      </c>
      <c r="B395" s="41" t="s">
        <v>161</v>
      </c>
      <c r="C395" s="41" t="s">
        <v>110</v>
      </c>
      <c r="D395" s="41" t="s">
        <v>119</v>
      </c>
      <c r="E395" s="41" t="s">
        <v>113</v>
      </c>
      <c r="F395" s="42">
        <v>571</v>
      </c>
      <c r="G395" s="42">
        <f t="shared" si="103"/>
        <v>342.59999999999997</v>
      </c>
      <c r="H395" s="42">
        <f t="shared" si="104"/>
        <v>685.19999999999993</v>
      </c>
      <c r="I395" s="49">
        <v>2</v>
      </c>
      <c r="J395" s="50" t="s">
        <v>197</v>
      </c>
      <c r="K395" s="50" t="s">
        <v>22</v>
      </c>
      <c r="L395" s="50" t="s">
        <v>151</v>
      </c>
      <c r="M395" s="42">
        <v>685.19999999999993</v>
      </c>
    </row>
    <row r="396" spans="1:13" outlineLevel="2" x14ac:dyDescent="0.25">
      <c r="A396" s="61">
        <f t="shared" si="96"/>
        <v>395</v>
      </c>
      <c r="B396" s="58" t="s">
        <v>161</v>
      </c>
      <c r="C396" s="58" t="s">
        <v>198</v>
      </c>
      <c r="D396" s="59" t="s">
        <v>341</v>
      </c>
      <c r="E396" s="58" t="s">
        <v>342</v>
      </c>
      <c r="F396" s="60">
        <v>1055</v>
      </c>
      <c r="G396" s="60">
        <f t="shared" ref="G396:G398" si="105">F396</f>
        <v>1055</v>
      </c>
      <c r="H396" s="60">
        <f t="shared" si="104"/>
        <v>1055</v>
      </c>
      <c r="I396" s="57">
        <v>1</v>
      </c>
      <c r="J396" s="61" t="s">
        <v>197</v>
      </c>
      <c r="K396" s="61" t="s">
        <v>49</v>
      </c>
      <c r="L396" s="50" t="s">
        <v>151</v>
      </c>
      <c r="M396" s="60">
        <v>1055</v>
      </c>
    </row>
    <row r="397" spans="1:13" outlineLevel="2" x14ac:dyDescent="0.25">
      <c r="A397" s="61">
        <f t="shared" si="96"/>
        <v>396</v>
      </c>
      <c r="B397" s="58" t="s">
        <v>161</v>
      </c>
      <c r="C397" s="58" t="s">
        <v>198</v>
      </c>
      <c r="D397" s="59" t="s">
        <v>339</v>
      </c>
      <c r="E397" s="58" t="s">
        <v>340</v>
      </c>
      <c r="F397" s="60">
        <v>1135</v>
      </c>
      <c r="G397" s="60">
        <f t="shared" si="105"/>
        <v>1135</v>
      </c>
      <c r="H397" s="60">
        <f t="shared" si="104"/>
        <v>1135</v>
      </c>
      <c r="I397" s="57">
        <v>1</v>
      </c>
      <c r="J397" s="61" t="s">
        <v>197</v>
      </c>
      <c r="K397" s="61" t="s">
        <v>49</v>
      </c>
      <c r="L397" s="50" t="s">
        <v>151</v>
      </c>
      <c r="M397" s="60">
        <v>1135</v>
      </c>
    </row>
    <row r="398" spans="1:13" outlineLevel="2" x14ac:dyDescent="0.25">
      <c r="A398" s="61">
        <f t="shared" si="96"/>
        <v>397</v>
      </c>
      <c r="B398" s="58" t="s">
        <v>161</v>
      </c>
      <c r="C398" s="58" t="s">
        <v>212</v>
      </c>
      <c r="D398" s="59" t="s">
        <v>353</v>
      </c>
      <c r="E398" s="58" t="s">
        <v>353</v>
      </c>
      <c r="F398" s="60">
        <v>190</v>
      </c>
      <c r="G398" s="60">
        <f t="shared" si="105"/>
        <v>190</v>
      </c>
      <c r="H398" s="60">
        <f t="shared" si="104"/>
        <v>190</v>
      </c>
      <c r="I398" s="57">
        <v>1</v>
      </c>
      <c r="J398" s="61" t="s">
        <v>197</v>
      </c>
      <c r="K398" s="61" t="s">
        <v>49</v>
      </c>
      <c r="L398" s="50" t="s">
        <v>151</v>
      </c>
      <c r="M398" s="60">
        <v>190</v>
      </c>
    </row>
    <row r="399" spans="1:13" ht="24" outlineLevel="2" x14ac:dyDescent="0.25">
      <c r="A399" s="50">
        <f t="shared" si="96"/>
        <v>398</v>
      </c>
      <c r="B399" s="41" t="s">
        <v>161</v>
      </c>
      <c r="C399" s="41" t="s">
        <v>216</v>
      </c>
      <c r="D399" s="41" t="s">
        <v>216</v>
      </c>
      <c r="E399" s="41" t="s">
        <v>217</v>
      </c>
      <c r="F399" s="42">
        <f ca="1">OFFSET(F399,1,2)</f>
        <v>24000</v>
      </c>
      <c r="G399" s="42">
        <f ca="1">F399</f>
        <v>24000</v>
      </c>
      <c r="H399" s="42">
        <f ca="1">G399*I399</f>
        <v>24000</v>
      </c>
      <c r="I399" s="49">
        <v>1</v>
      </c>
      <c r="J399" s="50" t="s">
        <v>197</v>
      </c>
      <c r="K399" s="41" t="s">
        <v>216</v>
      </c>
      <c r="L399" s="50" t="s">
        <v>151</v>
      </c>
      <c r="M399" s="42">
        <v>24000</v>
      </c>
    </row>
    <row r="400" spans="1:13" outlineLevel="2" x14ac:dyDescent="0.25">
      <c r="A400" s="50">
        <f t="shared" si="96"/>
        <v>399</v>
      </c>
      <c r="B400" s="41" t="s">
        <v>161</v>
      </c>
      <c r="C400" s="41" t="s">
        <v>218</v>
      </c>
      <c r="D400" s="41" t="s">
        <v>218</v>
      </c>
      <c r="E400" s="41" t="s">
        <v>219</v>
      </c>
      <c r="F400" s="42">
        <v>4</v>
      </c>
      <c r="G400" s="42">
        <v>100</v>
      </c>
      <c r="H400" s="42">
        <f>IF(OR(G400="",I400=""),"",G400*I400)</f>
        <v>24000</v>
      </c>
      <c r="I400" s="49">
        <f>60*F400</f>
        <v>240</v>
      </c>
      <c r="J400" s="50" t="s">
        <v>197</v>
      </c>
      <c r="K400" s="41" t="s">
        <v>218</v>
      </c>
      <c r="L400" s="50" t="s">
        <v>151</v>
      </c>
      <c r="M400" s="42">
        <v>24000</v>
      </c>
    </row>
    <row r="401" spans="1:13" outlineLevel="1" x14ac:dyDescent="0.25">
      <c r="A401" s="50"/>
      <c r="B401" s="65" t="s">
        <v>398</v>
      </c>
      <c r="C401" s="41"/>
      <c r="D401" s="41"/>
      <c r="E401" s="41"/>
      <c r="F401" s="42"/>
      <c r="G401" s="42"/>
      <c r="H401" s="42">
        <f ca="1">SUBTOTAL(9,H391:H400)</f>
        <v>121490.2</v>
      </c>
      <c r="I401" s="49"/>
      <c r="J401" s="50"/>
      <c r="K401" s="41"/>
      <c r="L401" s="50"/>
      <c r="M401" s="42">
        <v>121490.2</v>
      </c>
    </row>
    <row r="402" spans="1:13" ht="24" customHeight="1" outlineLevel="2" x14ac:dyDescent="0.25">
      <c r="A402" s="38">
        <f>ROW(A400)</f>
        <v>400</v>
      </c>
      <c r="B402" s="38" t="s">
        <v>162</v>
      </c>
      <c r="C402" s="38"/>
      <c r="D402" s="38"/>
      <c r="E402" s="38" t="s">
        <v>162</v>
      </c>
      <c r="F402" s="39"/>
      <c r="G402" s="39"/>
      <c r="H402" s="39"/>
      <c r="I402" s="40">
        <v>1</v>
      </c>
      <c r="J402" s="38" t="s">
        <v>11</v>
      </c>
      <c r="K402" s="38" t="s">
        <v>12</v>
      </c>
      <c r="L402" s="38" t="s">
        <v>151</v>
      </c>
      <c r="M402" s="39"/>
    </row>
    <row r="403" spans="1:13" outlineLevel="2" x14ac:dyDescent="0.25">
      <c r="A403" s="50">
        <f t="shared" si="96"/>
        <v>402</v>
      </c>
      <c r="B403" s="41" t="s">
        <v>162</v>
      </c>
      <c r="C403" s="41" t="s">
        <v>14</v>
      </c>
      <c r="D403" s="41" t="s">
        <v>75</v>
      </c>
      <c r="E403" s="41" t="s">
        <v>76</v>
      </c>
      <c r="F403" s="42">
        <v>10270</v>
      </c>
      <c r="G403" s="42">
        <f t="shared" ref="G403:G408" si="106">0.6*F403</f>
        <v>6162</v>
      </c>
      <c r="H403" s="42">
        <f t="shared" ref="H403:H411" si="107">G403*I403</f>
        <v>6162</v>
      </c>
      <c r="I403" s="49">
        <v>1</v>
      </c>
      <c r="J403" s="50" t="s">
        <v>197</v>
      </c>
      <c r="K403" s="50" t="s">
        <v>18</v>
      </c>
      <c r="L403" s="50" t="s">
        <v>151</v>
      </c>
      <c r="M403" s="42">
        <v>6162</v>
      </c>
    </row>
    <row r="404" spans="1:13" outlineLevel="2" x14ac:dyDescent="0.25">
      <c r="A404" s="50">
        <f t="shared" si="96"/>
        <v>403</v>
      </c>
      <c r="B404" s="41" t="s">
        <v>162</v>
      </c>
      <c r="C404" s="41" t="s">
        <v>23</v>
      </c>
      <c r="D404" s="41" t="s">
        <v>57</v>
      </c>
      <c r="E404" s="41" t="s">
        <v>58</v>
      </c>
      <c r="F404" s="42">
        <v>2429</v>
      </c>
      <c r="G404" s="42">
        <f t="shared" si="106"/>
        <v>1457.3999999999999</v>
      </c>
      <c r="H404" s="42">
        <f t="shared" si="107"/>
        <v>1457.3999999999999</v>
      </c>
      <c r="I404" s="49">
        <v>1</v>
      </c>
      <c r="J404" s="50" t="s">
        <v>197</v>
      </c>
      <c r="K404" s="50" t="s">
        <v>22</v>
      </c>
      <c r="L404" s="50" t="s">
        <v>151</v>
      </c>
      <c r="M404" s="42">
        <v>1457.3999999999999</v>
      </c>
    </row>
    <row r="405" spans="1:13" outlineLevel="2" x14ac:dyDescent="0.25">
      <c r="A405" s="50">
        <f t="shared" si="96"/>
        <v>404</v>
      </c>
      <c r="B405" s="41" t="s">
        <v>162</v>
      </c>
      <c r="C405" s="41" t="s">
        <v>23</v>
      </c>
      <c r="D405" s="41" t="s">
        <v>81</v>
      </c>
      <c r="E405" s="41" t="s">
        <v>82</v>
      </c>
      <c r="F405" s="42">
        <v>2499</v>
      </c>
      <c r="G405" s="42">
        <f t="shared" si="106"/>
        <v>1499.3999999999999</v>
      </c>
      <c r="H405" s="42">
        <f t="shared" si="107"/>
        <v>1499.3999999999999</v>
      </c>
      <c r="I405" s="49">
        <v>1</v>
      </c>
      <c r="J405" s="50" t="s">
        <v>197</v>
      </c>
      <c r="K405" s="50" t="s">
        <v>22</v>
      </c>
      <c r="L405" s="50" t="s">
        <v>151</v>
      </c>
      <c r="M405" s="42">
        <v>1499.3999999999999</v>
      </c>
    </row>
    <row r="406" spans="1:13" outlineLevel="2" x14ac:dyDescent="0.25">
      <c r="A406" s="50">
        <f t="shared" si="96"/>
        <v>405</v>
      </c>
      <c r="B406" s="41" t="s">
        <v>162</v>
      </c>
      <c r="C406" s="41" t="s">
        <v>23</v>
      </c>
      <c r="D406" s="41" t="s">
        <v>163</v>
      </c>
      <c r="E406" s="41" t="s">
        <v>164</v>
      </c>
      <c r="F406" s="42">
        <v>800</v>
      </c>
      <c r="G406" s="42">
        <f t="shared" si="106"/>
        <v>480</v>
      </c>
      <c r="H406" s="42">
        <f t="shared" si="107"/>
        <v>480</v>
      </c>
      <c r="I406" s="49">
        <v>1</v>
      </c>
      <c r="J406" s="50" t="s">
        <v>197</v>
      </c>
      <c r="K406" s="50" t="s">
        <v>22</v>
      </c>
      <c r="L406" s="50" t="s">
        <v>151</v>
      </c>
      <c r="M406" s="42">
        <v>480</v>
      </c>
    </row>
    <row r="407" spans="1:13" outlineLevel="2" x14ac:dyDescent="0.25">
      <c r="A407" s="50">
        <f t="shared" si="96"/>
        <v>406</v>
      </c>
      <c r="B407" s="41" t="s">
        <v>162</v>
      </c>
      <c r="C407" s="41" t="s">
        <v>23</v>
      </c>
      <c r="D407" s="41" t="s">
        <v>28</v>
      </c>
      <c r="E407" s="41" t="s">
        <v>29</v>
      </c>
      <c r="F407" s="42">
        <v>1389</v>
      </c>
      <c r="G407" s="42">
        <f t="shared" si="106"/>
        <v>833.4</v>
      </c>
      <c r="H407" s="42">
        <f t="shared" si="107"/>
        <v>1666.8</v>
      </c>
      <c r="I407" s="49">
        <v>2</v>
      </c>
      <c r="J407" s="50" t="s">
        <v>197</v>
      </c>
      <c r="K407" s="50" t="s">
        <v>22</v>
      </c>
      <c r="L407" s="50" t="s">
        <v>151</v>
      </c>
      <c r="M407" s="42">
        <v>1666.8</v>
      </c>
    </row>
    <row r="408" spans="1:13" outlineLevel="2" x14ac:dyDescent="0.25">
      <c r="A408" s="50">
        <f t="shared" si="96"/>
        <v>407</v>
      </c>
      <c r="B408" s="41" t="s">
        <v>162</v>
      </c>
      <c r="C408" s="41" t="s">
        <v>30</v>
      </c>
      <c r="D408" s="41" t="s">
        <v>59</v>
      </c>
      <c r="E408" s="41" t="s">
        <v>60</v>
      </c>
      <c r="F408" s="42">
        <v>5354</v>
      </c>
      <c r="G408" s="42">
        <f t="shared" si="106"/>
        <v>3212.4</v>
      </c>
      <c r="H408" s="42">
        <f t="shared" si="107"/>
        <v>3212.4</v>
      </c>
      <c r="I408" s="49">
        <v>1</v>
      </c>
      <c r="J408" s="50" t="s">
        <v>197</v>
      </c>
      <c r="K408" s="50" t="s">
        <v>22</v>
      </c>
      <c r="L408" s="50" t="s">
        <v>151</v>
      </c>
      <c r="M408" s="42">
        <v>3212.4</v>
      </c>
    </row>
    <row r="409" spans="1:13" outlineLevel="2" x14ac:dyDescent="0.25">
      <c r="A409" s="61">
        <f t="shared" si="96"/>
        <v>408</v>
      </c>
      <c r="B409" s="58" t="s">
        <v>162</v>
      </c>
      <c r="C409" s="58" t="s">
        <v>198</v>
      </c>
      <c r="D409" s="59" t="s">
        <v>341</v>
      </c>
      <c r="E409" s="58" t="s">
        <v>342</v>
      </c>
      <c r="F409" s="60">
        <v>1055</v>
      </c>
      <c r="G409" s="60">
        <f t="shared" ref="G409:G411" si="108">F409</f>
        <v>1055</v>
      </c>
      <c r="H409" s="60">
        <f t="shared" si="107"/>
        <v>1055</v>
      </c>
      <c r="I409" s="57">
        <v>1</v>
      </c>
      <c r="J409" s="61" t="s">
        <v>197</v>
      </c>
      <c r="K409" s="61" t="s">
        <v>49</v>
      </c>
      <c r="L409" s="50" t="s">
        <v>151</v>
      </c>
      <c r="M409" s="60">
        <v>1055</v>
      </c>
    </row>
    <row r="410" spans="1:13" outlineLevel="2" x14ac:dyDescent="0.25">
      <c r="A410" s="61">
        <f t="shared" si="96"/>
        <v>409</v>
      </c>
      <c r="B410" s="58" t="s">
        <v>162</v>
      </c>
      <c r="C410" s="58" t="s">
        <v>198</v>
      </c>
      <c r="D410" s="59" t="s">
        <v>339</v>
      </c>
      <c r="E410" s="58" t="s">
        <v>340</v>
      </c>
      <c r="F410" s="60">
        <v>1135</v>
      </c>
      <c r="G410" s="60">
        <f t="shared" si="108"/>
        <v>1135</v>
      </c>
      <c r="H410" s="60">
        <f t="shared" si="107"/>
        <v>1135</v>
      </c>
      <c r="I410" s="57">
        <v>1</v>
      </c>
      <c r="J410" s="61" t="s">
        <v>197</v>
      </c>
      <c r="K410" s="61" t="s">
        <v>49</v>
      </c>
      <c r="L410" s="50" t="s">
        <v>151</v>
      </c>
      <c r="M410" s="60">
        <v>1135</v>
      </c>
    </row>
    <row r="411" spans="1:13" outlineLevel="2" x14ac:dyDescent="0.25">
      <c r="A411" s="61">
        <f t="shared" si="96"/>
        <v>410</v>
      </c>
      <c r="B411" s="58" t="s">
        <v>162</v>
      </c>
      <c r="C411" s="58" t="s">
        <v>212</v>
      </c>
      <c r="D411" s="59" t="s">
        <v>353</v>
      </c>
      <c r="E411" s="58" t="s">
        <v>353</v>
      </c>
      <c r="F411" s="60">
        <v>190</v>
      </c>
      <c r="G411" s="60">
        <f t="shared" si="108"/>
        <v>190</v>
      </c>
      <c r="H411" s="60">
        <f t="shared" si="107"/>
        <v>190</v>
      </c>
      <c r="I411" s="57">
        <v>1</v>
      </c>
      <c r="J411" s="61" t="s">
        <v>197</v>
      </c>
      <c r="K411" s="61" t="s">
        <v>49</v>
      </c>
      <c r="L411" s="50" t="s">
        <v>151</v>
      </c>
      <c r="M411" s="60">
        <v>190</v>
      </c>
    </row>
    <row r="412" spans="1:13" ht="24" outlineLevel="2" x14ac:dyDescent="0.25">
      <c r="A412" s="50">
        <f t="shared" si="96"/>
        <v>411</v>
      </c>
      <c r="B412" s="41" t="s">
        <v>162</v>
      </c>
      <c r="C412" s="41" t="s">
        <v>216</v>
      </c>
      <c r="D412" s="41" t="s">
        <v>216</v>
      </c>
      <c r="E412" s="41" t="s">
        <v>217</v>
      </c>
      <c r="F412" s="42">
        <f ca="1">OFFSET(F412,1,2)</f>
        <v>1800</v>
      </c>
      <c r="G412" s="42">
        <f ca="1">F412</f>
        <v>1800</v>
      </c>
      <c r="H412" s="42">
        <f ca="1">G412*I412</f>
        <v>1800</v>
      </c>
      <c r="I412" s="49">
        <v>1</v>
      </c>
      <c r="J412" s="50" t="s">
        <v>197</v>
      </c>
      <c r="K412" s="41" t="s">
        <v>216</v>
      </c>
      <c r="L412" s="50" t="s">
        <v>151</v>
      </c>
      <c r="M412" s="42">
        <v>1800</v>
      </c>
    </row>
    <row r="413" spans="1:13" outlineLevel="2" x14ac:dyDescent="0.25">
      <c r="A413" s="50">
        <f t="shared" si="96"/>
        <v>412</v>
      </c>
      <c r="B413" s="41" t="s">
        <v>162</v>
      </c>
      <c r="C413" s="41" t="s">
        <v>218</v>
      </c>
      <c r="D413" s="41" t="s">
        <v>218</v>
      </c>
      <c r="E413" s="41" t="s">
        <v>219</v>
      </c>
      <c r="F413" s="42">
        <v>0.3</v>
      </c>
      <c r="G413" s="42">
        <v>100</v>
      </c>
      <c r="H413" s="42">
        <f>IF(OR(G413="",I413=""),"",G413*I413)</f>
        <v>1800</v>
      </c>
      <c r="I413" s="49">
        <f>60*F413</f>
        <v>18</v>
      </c>
      <c r="J413" s="50" t="s">
        <v>197</v>
      </c>
      <c r="K413" s="41" t="s">
        <v>218</v>
      </c>
      <c r="L413" s="50" t="s">
        <v>151</v>
      </c>
      <c r="M413" s="42">
        <v>1800</v>
      </c>
    </row>
    <row r="414" spans="1:13" outlineLevel="1" x14ac:dyDescent="0.25">
      <c r="A414" s="50"/>
      <c r="B414" s="65" t="s">
        <v>399</v>
      </c>
      <c r="C414" s="41"/>
      <c r="D414" s="41"/>
      <c r="E414" s="41"/>
      <c r="F414" s="42"/>
      <c r="G414" s="42"/>
      <c r="H414" s="42">
        <f ca="1">SUBTOTAL(9,H402:H413)</f>
        <v>20458</v>
      </c>
      <c r="I414" s="49"/>
      <c r="J414" s="50"/>
      <c r="K414" s="41"/>
      <c r="L414" s="50"/>
      <c r="M414" s="42">
        <v>20458</v>
      </c>
    </row>
    <row r="415" spans="1:13" ht="24" customHeight="1" outlineLevel="2" x14ac:dyDescent="0.25">
      <c r="A415" s="38">
        <f>ROW(A413)</f>
        <v>413</v>
      </c>
      <c r="B415" s="38" t="s">
        <v>243</v>
      </c>
      <c r="C415" s="38"/>
      <c r="D415" s="38"/>
      <c r="E415" s="38" t="s">
        <v>243</v>
      </c>
      <c r="F415" s="39"/>
      <c r="G415" s="39"/>
      <c r="H415" s="39"/>
      <c r="I415" s="40">
        <v>1</v>
      </c>
      <c r="J415" s="38" t="s">
        <v>11</v>
      </c>
      <c r="K415" s="38" t="s">
        <v>12</v>
      </c>
      <c r="L415" s="38" t="s">
        <v>166</v>
      </c>
      <c r="M415" s="39"/>
    </row>
    <row r="416" spans="1:13" outlineLevel="2" x14ac:dyDescent="0.25">
      <c r="A416" s="50">
        <f t="shared" si="96"/>
        <v>415</v>
      </c>
      <c r="B416" s="41" t="s">
        <v>243</v>
      </c>
      <c r="C416" s="41" t="s">
        <v>14</v>
      </c>
      <c r="D416" s="41" t="s">
        <v>15</v>
      </c>
      <c r="E416" s="41" t="s">
        <v>16</v>
      </c>
      <c r="F416" s="42">
        <v>15000</v>
      </c>
      <c r="G416" s="42">
        <f t="shared" ref="G416:G418" si="109">0.6*F416</f>
        <v>9000</v>
      </c>
      <c r="H416" s="42">
        <f t="shared" ref="H416:H421" si="110">G416*I416</f>
        <v>9000</v>
      </c>
      <c r="I416" s="49">
        <v>1</v>
      </c>
      <c r="J416" s="50" t="s">
        <v>197</v>
      </c>
      <c r="K416" s="50" t="s">
        <v>18</v>
      </c>
      <c r="L416" s="50" t="s">
        <v>166</v>
      </c>
      <c r="M416" s="42">
        <v>9000</v>
      </c>
    </row>
    <row r="417" spans="1:13" outlineLevel="2" x14ac:dyDescent="0.25">
      <c r="A417" s="50">
        <f t="shared" si="96"/>
        <v>416</v>
      </c>
      <c r="B417" s="41" t="s">
        <v>243</v>
      </c>
      <c r="C417" s="41" t="s">
        <v>23</v>
      </c>
      <c r="D417" s="41" t="s">
        <v>26</v>
      </c>
      <c r="E417" s="41" t="s">
        <v>27</v>
      </c>
      <c r="F417" s="42">
        <v>2337</v>
      </c>
      <c r="G417" s="42">
        <f t="shared" si="109"/>
        <v>1402.2</v>
      </c>
      <c r="H417" s="42">
        <f t="shared" si="110"/>
        <v>4206.6000000000004</v>
      </c>
      <c r="I417" s="49">
        <v>3</v>
      </c>
      <c r="J417" s="50" t="s">
        <v>197</v>
      </c>
      <c r="K417" s="50" t="s">
        <v>22</v>
      </c>
      <c r="L417" s="50" t="s">
        <v>166</v>
      </c>
      <c r="M417" s="42">
        <v>4206.6000000000004</v>
      </c>
    </row>
    <row r="418" spans="1:13" outlineLevel="2" x14ac:dyDescent="0.25">
      <c r="A418" s="50">
        <f t="shared" si="96"/>
        <v>417</v>
      </c>
      <c r="B418" s="41" t="s">
        <v>243</v>
      </c>
      <c r="C418" s="41" t="s">
        <v>23</v>
      </c>
      <c r="D418" s="41" t="s">
        <v>28</v>
      </c>
      <c r="E418" s="41" t="s">
        <v>29</v>
      </c>
      <c r="F418" s="42">
        <v>1389</v>
      </c>
      <c r="G418" s="42">
        <f t="shared" si="109"/>
        <v>833.4</v>
      </c>
      <c r="H418" s="42">
        <f t="shared" si="110"/>
        <v>9167.4</v>
      </c>
      <c r="I418" s="49">
        <v>11</v>
      </c>
      <c r="J418" s="50" t="s">
        <v>197</v>
      </c>
      <c r="K418" s="50" t="s">
        <v>22</v>
      </c>
      <c r="L418" s="50" t="s">
        <v>166</v>
      </c>
      <c r="M418" s="42">
        <v>9167.4</v>
      </c>
    </row>
    <row r="419" spans="1:13" outlineLevel="2" x14ac:dyDescent="0.25">
      <c r="A419" s="61">
        <f t="shared" si="96"/>
        <v>418</v>
      </c>
      <c r="B419" s="58" t="s">
        <v>243</v>
      </c>
      <c r="C419" s="58" t="s">
        <v>198</v>
      </c>
      <c r="D419" s="59" t="s">
        <v>341</v>
      </c>
      <c r="E419" s="58" t="s">
        <v>342</v>
      </c>
      <c r="F419" s="60">
        <v>1055</v>
      </c>
      <c r="G419" s="60">
        <f t="shared" ref="G419:G421" si="111">F419</f>
        <v>1055</v>
      </c>
      <c r="H419" s="60">
        <f t="shared" si="110"/>
        <v>1055</v>
      </c>
      <c r="I419" s="57">
        <v>1</v>
      </c>
      <c r="J419" s="61" t="s">
        <v>197</v>
      </c>
      <c r="K419" s="61" t="s">
        <v>49</v>
      </c>
      <c r="L419" s="50" t="s">
        <v>166</v>
      </c>
      <c r="M419" s="60">
        <v>1055</v>
      </c>
    </row>
    <row r="420" spans="1:13" outlineLevel="2" x14ac:dyDescent="0.25">
      <c r="A420" s="61">
        <f t="shared" si="96"/>
        <v>419</v>
      </c>
      <c r="B420" s="58" t="s">
        <v>243</v>
      </c>
      <c r="C420" s="58" t="s">
        <v>198</v>
      </c>
      <c r="D420" s="59" t="s">
        <v>339</v>
      </c>
      <c r="E420" s="58" t="s">
        <v>340</v>
      </c>
      <c r="F420" s="60">
        <v>1135</v>
      </c>
      <c r="G420" s="60">
        <f t="shared" si="111"/>
        <v>1135</v>
      </c>
      <c r="H420" s="60">
        <f t="shared" si="110"/>
        <v>1135</v>
      </c>
      <c r="I420" s="57">
        <v>1</v>
      </c>
      <c r="J420" s="61" t="s">
        <v>197</v>
      </c>
      <c r="K420" s="61" t="s">
        <v>49</v>
      </c>
      <c r="L420" s="50" t="s">
        <v>166</v>
      </c>
      <c r="M420" s="60">
        <v>1135</v>
      </c>
    </row>
    <row r="421" spans="1:13" outlineLevel="2" x14ac:dyDescent="0.25">
      <c r="A421" s="61">
        <f t="shared" si="96"/>
        <v>420</v>
      </c>
      <c r="B421" s="58" t="s">
        <v>243</v>
      </c>
      <c r="C421" s="58" t="s">
        <v>212</v>
      </c>
      <c r="D421" s="59" t="s">
        <v>353</v>
      </c>
      <c r="E421" s="58" t="s">
        <v>353</v>
      </c>
      <c r="F421" s="60">
        <v>190</v>
      </c>
      <c r="G421" s="60">
        <f t="shared" si="111"/>
        <v>190</v>
      </c>
      <c r="H421" s="60">
        <f t="shared" si="110"/>
        <v>190</v>
      </c>
      <c r="I421" s="57">
        <v>1</v>
      </c>
      <c r="J421" s="61" t="s">
        <v>197</v>
      </c>
      <c r="K421" s="61" t="s">
        <v>49</v>
      </c>
      <c r="L421" s="50" t="s">
        <v>166</v>
      </c>
      <c r="M421" s="60">
        <v>190</v>
      </c>
    </row>
    <row r="422" spans="1:13" ht="24" outlineLevel="2" x14ac:dyDescent="0.25">
      <c r="A422" s="50">
        <f t="shared" si="96"/>
        <v>421</v>
      </c>
      <c r="B422" s="41" t="s">
        <v>243</v>
      </c>
      <c r="C422" s="41" t="s">
        <v>216</v>
      </c>
      <c r="D422" s="41" t="s">
        <v>216</v>
      </c>
      <c r="E422" s="41" t="s">
        <v>217</v>
      </c>
      <c r="F422" s="42">
        <f ca="1">OFFSET(F422,1,2)</f>
        <v>1800</v>
      </c>
      <c r="G422" s="42">
        <f ca="1">F422</f>
        <v>1800</v>
      </c>
      <c r="H422" s="42">
        <f ca="1">G422*I422</f>
        <v>1800</v>
      </c>
      <c r="I422" s="49">
        <v>1</v>
      </c>
      <c r="J422" s="50" t="s">
        <v>197</v>
      </c>
      <c r="K422" s="41" t="s">
        <v>216</v>
      </c>
      <c r="L422" s="50" t="s">
        <v>166</v>
      </c>
      <c r="M422" s="42">
        <v>1800</v>
      </c>
    </row>
    <row r="423" spans="1:13" outlineLevel="2" x14ac:dyDescent="0.25">
      <c r="A423" s="50">
        <f t="shared" si="96"/>
        <v>422</v>
      </c>
      <c r="B423" s="41" t="s">
        <v>243</v>
      </c>
      <c r="C423" s="41" t="s">
        <v>218</v>
      </c>
      <c r="D423" s="41" t="s">
        <v>218</v>
      </c>
      <c r="E423" s="41" t="s">
        <v>219</v>
      </c>
      <c r="F423" s="42">
        <v>0.3</v>
      </c>
      <c r="G423" s="42">
        <v>100</v>
      </c>
      <c r="H423" s="42">
        <f>IF(OR(G423="",I423=""),"",G423*I423)</f>
        <v>1800</v>
      </c>
      <c r="I423" s="49">
        <f>60*F423</f>
        <v>18</v>
      </c>
      <c r="J423" s="50" t="s">
        <v>197</v>
      </c>
      <c r="K423" s="41" t="s">
        <v>218</v>
      </c>
      <c r="L423" s="50" t="s">
        <v>166</v>
      </c>
      <c r="M423" s="42">
        <v>1800</v>
      </c>
    </row>
    <row r="424" spans="1:13" outlineLevel="1" x14ac:dyDescent="0.25">
      <c r="A424" s="50"/>
      <c r="B424" s="65" t="s">
        <v>400</v>
      </c>
      <c r="C424" s="41"/>
      <c r="D424" s="41"/>
      <c r="E424" s="41"/>
      <c r="F424" s="42"/>
      <c r="G424" s="42"/>
      <c r="H424" s="42">
        <f ca="1">SUBTOTAL(9,H415:H423)</f>
        <v>28354</v>
      </c>
      <c r="I424" s="49"/>
      <c r="J424" s="50"/>
      <c r="K424" s="41"/>
      <c r="L424" s="50"/>
      <c r="M424" s="42">
        <v>28354</v>
      </c>
    </row>
    <row r="425" spans="1:13" ht="24" customHeight="1" outlineLevel="2" x14ac:dyDescent="0.25">
      <c r="A425" s="38">
        <f>ROW(A423)</f>
        <v>423</v>
      </c>
      <c r="B425" s="38" t="s">
        <v>167</v>
      </c>
      <c r="C425" s="38"/>
      <c r="D425" s="38"/>
      <c r="E425" s="38" t="s">
        <v>167</v>
      </c>
      <c r="F425" s="39"/>
      <c r="G425" s="39"/>
      <c r="H425" s="39"/>
      <c r="I425" s="40">
        <v>1</v>
      </c>
      <c r="J425" s="38" t="s">
        <v>11</v>
      </c>
      <c r="K425" s="38" t="s">
        <v>12</v>
      </c>
      <c r="L425" s="38" t="s">
        <v>166</v>
      </c>
      <c r="M425" s="39"/>
    </row>
    <row r="426" spans="1:13" outlineLevel="2" x14ac:dyDescent="0.25">
      <c r="A426" s="52">
        <f t="shared" si="96"/>
        <v>425</v>
      </c>
      <c r="B426" s="43" t="s">
        <v>167</v>
      </c>
      <c r="C426" s="43" t="s">
        <v>14</v>
      </c>
      <c r="D426" s="41" t="s">
        <v>354</v>
      </c>
      <c r="E426" s="56" t="s">
        <v>355</v>
      </c>
      <c r="F426" s="42">
        <v>20185</v>
      </c>
      <c r="G426" s="42">
        <f t="shared" ref="G426:G434" si="112">0.6*F426</f>
        <v>12111</v>
      </c>
      <c r="H426" s="42">
        <f t="shared" ref="H426:H437" si="113">G426*I426</f>
        <v>12111</v>
      </c>
      <c r="I426" s="51">
        <v>1</v>
      </c>
      <c r="J426" s="52" t="s">
        <v>197</v>
      </c>
      <c r="K426" s="50" t="s">
        <v>18</v>
      </c>
      <c r="L426" s="50" t="s">
        <v>166</v>
      </c>
      <c r="M426" s="42">
        <v>12111</v>
      </c>
    </row>
    <row r="427" spans="1:13" outlineLevel="1" x14ac:dyDescent="0.25">
      <c r="A427" s="52"/>
      <c r="B427" s="66" t="s">
        <v>401</v>
      </c>
      <c r="C427" s="43"/>
      <c r="D427" s="41"/>
      <c r="E427" s="56"/>
      <c r="F427" s="42"/>
      <c r="G427" s="42"/>
      <c r="H427" s="42">
        <f>SUBTOTAL(9,H425:H426)</f>
        <v>12111</v>
      </c>
      <c r="I427" s="51"/>
      <c r="J427" s="52"/>
      <c r="K427" s="50"/>
      <c r="L427" s="50"/>
      <c r="M427" s="42">
        <v>12111</v>
      </c>
    </row>
    <row r="428" spans="1:13" outlineLevel="2" x14ac:dyDescent="0.25">
      <c r="A428" s="50">
        <f>ROW(A426)</f>
        <v>426</v>
      </c>
      <c r="B428" s="41" t="s">
        <v>114</v>
      </c>
      <c r="C428" s="41" t="s">
        <v>23</v>
      </c>
      <c r="D428" s="41" t="s">
        <v>337</v>
      </c>
      <c r="E428" s="41" t="s">
        <v>338</v>
      </c>
      <c r="F428" s="42">
        <v>3401</v>
      </c>
      <c r="G428" s="42">
        <f t="shared" si="112"/>
        <v>2040.6</v>
      </c>
      <c r="H428" s="42">
        <f t="shared" si="113"/>
        <v>2040.6</v>
      </c>
      <c r="I428" s="49">
        <v>1</v>
      </c>
      <c r="J428" s="50" t="s">
        <v>197</v>
      </c>
      <c r="K428" s="50" t="s">
        <v>22</v>
      </c>
      <c r="L428" s="50" t="s">
        <v>166</v>
      </c>
      <c r="M428" s="42">
        <v>2040.6</v>
      </c>
    </row>
    <row r="429" spans="1:13" outlineLevel="1" x14ac:dyDescent="0.25">
      <c r="A429" s="50"/>
      <c r="B429" s="65" t="s">
        <v>386</v>
      </c>
      <c r="C429" s="41"/>
      <c r="D429" s="41"/>
      <c r="E429" s="41"/>
      <c r="F429" s="42"/>
      <c r="G429" s="42"/>
      <c r="H429" s="42">
        <f>SUBTOTAL(9,H428:H428)</f>
        <v>2040.6</v>
      </c>
      <c r="I429" s="49"/>
      <c r="J429" s="50"/>
      <c r="K429" s="50"/>
      <c r="L429" s="50"/>
      <c r="M429" s="42">
        <v>2040.6</v>
      </c>
    </row>
    <row r="430" spans="1:13" outlineLevel="2" x14ac:dyDescent="0.25">
      <c r="A430" s="50">
        <f>ROW(A428)</f>
        <v>428</v>
      </c>
      <c r="B430" s="41" t="s">
        <v>167</v>
      </c>
      <c r="C430" s="41" t="s">
        <v>108</v>
      </c>
      <c r="D430" s="41" t="s">
        <v>335</v>
      </c>
      <c r="E430" s="41" t="s">
        <v>336</v>
      </c>
      <c r="F430" s="42">
        <v>114080</v>
      </c>
      <c r="G430" s="42">
        <f t="shared" si="112"/>
        <v>68448</v>
      </c>
      <c r="H430" s="42">
        <f t="shared" si="113"/>
        <v>68448</v>
      </c>
      <c r="I430" s="49">
        <v>1</v>
      </c>
      <c r="J430" s="50" t="s">
        <v>197</v>
      </c>
      <c r="K430" s="50" t="s">
        <v>22</v>
      </c>
      <c r="L430" s="50" t="s">
        <v>166</v>
      </c>
      <c r="M430" s="42">
        <v>68448</v>
      </c>
    </row>
    <row r="431" spans="1:13" outlineLevel="2" x14ac:dyDescent="0.25">
      <c r="A431" s="61">
        <f t="shared" si="96"/>
        <v>430</v>
      </c>
      <c r="B431" s="58" t="s">
        <v>167</v>
      </c>
      <c r="C431" s="58" t="s">
        <v>23</v>
      </c>
      <c r="D431" s="59" t="s">
        <v>362</v>
      </c>
      <c r="E431" s="58" t="s">
        <v>363</v>
      </c>
      <c r="F431" s="60">
        <v>975</v>
      </c>
      <c r="G431" s="60">
        <f t="shared" si="112"/>
        <v>585</v>
      </c>
      <c r="H431" s="60">
        <f t="shared" si="113"/>
        <v>585</v>
      </c>
      <c r="I431" s="57">
        <v>1</v>
      </c>
      <c r="J431" s="61" t="s">
        <v>197</v>
      </c>
      <c r="K431" s="61" t="s">
        <v>22</v>
      </c>
      <c r="L431" s="50" t="s">
        <v>166</v>
      </c>
      <c r="M431" s="60">
        <v>585</v>
      </c>
    </row>
    <row r="432" spans="1:13" outlineLevel="2" x14ac:dyDescent="0.25">
      <c r="A432" s="50">
        <f t="shared" ref="A432:A488" si="114">ROW(A431)</f>
        <v>431</v>
      </c>
      <c r="B432" s="41" t="s">
        <v>167</v>
      </c>
      <c r="C432" s="41" t="s">
        <v>110</v>
      </c>
      <c r="D432" s="41" t="s">
        <v>127</v>
      </c>
      <c r="E432" s="41" t="s">
        <v>111</v>
      </c>
      <c r="F432" s="42">
        <v>589</v>
      </c>
      <c r="G432" s="42">
        <f t="shared" si="112"/>
        <v>353.4</v>
      </c>
      <c r="H432" s="42">
        <f t="shared" si="113"/>
        <v>706.8</v>
      </c>
      <c r="I432" s="49">
        <v>2</v>
      </c>
      <c r="J432" s="50" t="s">
        <v>197</v>
      </c>
      <c r="K432" s="50" t="s">
        <v>22</v>
      </c>
      <c r="L432" s="50" t="s">
        <v>166</v>
      </c>
      <c r="M432" s="42">
        <v>706.8</v>
      </c>
    </row>
    <row r="433" spans="1:13" outlineLevel="2" x14ac:dyDescent="0.25">
      <c r="A433" s="50">
        <f t="shared" si="114"/>
        <v>432</v>
      </c>
      <c r="B433" s="41" t="s">
        <v>167</v>
      </c>
      <c r="C433" s="41" t="s">
        <v>110</v>
      </c>
      <c r="D433" s="41" t="s">
        <v>241</v>
      </c>
      <c r="E433" s="41" t="s">
        <v>112</v>
      </c>
      <c r="F433" s="42">
        <v>571</v>
      </c>
      <c r="G433" s="42">
        <f t="shared" si="112"/>
        <v>342.59999999999997</v>
      </c>
      <c r="H433" s="42">
        <f t="shared" si="113"/>
        <v>685.19999999999993</v>
      </c>
      <c r="I433" s="49">
        <v>2</v>
      </c>
      <c r="J433" s="50" t="s">
        <v>197</v>
      </c>
      <c r="K433" s="50" t="s">
        <v>22</v>
      </c>
      <c r="L433" s="50" t="s">
        <v>166</v>
      </c>
      <c r="M433" s="42">
        <v>685.19999999999993</v>
      </c>
    </row>
    <row r="434" spans="1:13" outlineLevel="2" x14ac:dyDescent="0.25">
      <c r="A434" s="50">
        <f t="shared" si="114"/>
        <v>433</v>
      </c>
      <c r="B434" s="41" t="s">
        <v>167</v>
      </c>
      <c r="C434" s="41" t="s">
        <v>110</v>
      </c>
      <c r="D434" s="41" t="s">
        <v>119</v>
      </c>
      <c r="E434" s="41" t="s">
        <v>113</v>
      </c>
      <c r="F434" s="42">
        <v>571</v>
      </c>
      <c r="G434" s="42">
        <f t="shared" si="112"/>
        <v>342.59999999999997</v>
      </c>
      <c r="H434" s="42">
        <f t="shared" si="113"/>
        <v>685.19999999999993</v>
      </c>
      <c r="I434" s="49">
        <v>2</v>
      </c>
      <c r="J434" s="50" t="s">
        <v>197</v>
      </c>
      <c r="K434" s="50" t="s">
        <v>22</v>
      </c>
      <c r="L434" s="50" t="s">
        <v>166</v>
      </c>
      <c r="M434" s="42">
        <v>685.19999999999993</v>
      </c>
    </row>
    <row r="435" spans="1:13" outlineLevel="2" x14ac:dyDescent="0.25">
      <c r="A435" s="61">
        <f t="shared" si="114"/>
        <v>434</v>
      </c>
      <c r="B435" s="58" t="s">
        <v>167</v>
      </c>
      <c r="C435" s="58" t="s">
        <v>198</v>
      </c>
      <c r="D435" s="59" t="s">
        <v>341</v>
      </c>
      <c r="E435" s="58" t="s">
        <v>342</v>
      </c>
      <c r="F435" s="60">
        <v>1055</v>
      </c>
      <c r="G435" s="60">
        <f t="shared" ref="G435:G437" si="115">F435</f>
        <v>1055</v>
      </c>
      <c r="H435" s="60">
        <f t="shared" si="113"/>
        <v>1055</v>
      </c>
      <c r="I435" s="57">
        <v>1</v>
      </c>
      <c r="J435" s="61" t="s">
        <v>197</v>
      </c>
      <c r="K435" s="61" t="s">
        <v>49</v>
      </c>
      <c r="L435" s="50" t="s">
        <v>166</v>
      </c>
      <c r="M435" s="60">
        <v>1055</v>
      </c>
    </row>
    <row r="436" spans="1:13" outlineLevel="2" x14ac:dyDescent="0.25">
      <c r="A436" s="61">
        <f t="shared" si="114"/>
        <v>435</v>
      </c>
      <c r="B436" s="58" t="s">
        <v>167</v>
      </c>
      <c r="C436" s="58" t="s">
        <v>198</v>
      </c>
      <c r="D436" s="59" t="s">
        <v>339</v>
      </c>
      <c r="E436" s="58" t="s">
        <v>340</v>
      </c>
      <c r="F436" s="60">
        <v>1135</v>
      </c>
      <c r="G436" s="60">
        <f t="shared" si="115"/>
        <v>1135</v>
      </c>
      <c r="H436" s="60">
        <f t="shared" si="113"/>
        <v>1135</v>
      </c>
      <c r="I436" s="57">
        <v>1</v>
      </c>
      <c r="J436" s="61" t="s">
        <v>197</v>
      </c>
      <c r="K436" s="61" t="s">
        <v>49</v>
      </c>
      <c r="L436" s="50" t="s">
        <v>166</v>
      </c>
      <c r="M436" s="60">
        <v>1135</v>
      </c>
    </row>
    <row r="437" spans="1:13" outlineLevel="2" x14ac:dyDescent="0.25">
      <c r="A437" s="61">
        <f t="shared" si="114"/>
        <v>436</v>
      </c>
      <c r="B437" s="58" t="s">
        <v>167</v>
      </c>
      <c r="C437" s="58" t="s">
        <v>212</v>
      </c>
      <c r="D437" s="59" t="s">
        <v>353</v>
      </c>
      <c r="E437" s="58" t="s">
        <v>353</v>
      </c>
      <c r="F437" s="60">
        <v>190</v>
      </c>
      <c r="G437" s="60">
        <f t="shared" si="115"/>
        <v>190</v>
      </c>
      <c r="H437" s="60">
        <f t="shared" si="113"/>
        <v>190</v>
      </c>
      <c r="I437" s="57">
        <v>1</v>
      </c>
      <c r="J437" s="61" t="s">
        <v>197</v>
      </c>
      <c r="K437" s="61" t="s">
        <v>49</v>
      </c>
      <c r="L437" s="50" t="s">
        <v>166</v>
      </c>
      <c r="M437" s="60">
        <v>190</v>
      </c>
    </row>
    <row r="438" spans="1:13" ht="24" outlineLevel="2" x14ac:dyDescent="0.25">
      <c r="A438" s="50">
        <f t="shared" si="114"/>
        <v>437</v>
      </c>
      <c r="B438" s="41" t="s">
        <v>167</v>
      </c>
      <c r="C438" s="41" t="s">
        <v>216</v>
      </c>
      <c r="D438" s="41" t="s">
        <v>216</v>
      </c>
      <c r="E438" s="41" t="s">
        <v>217</v>
      </c>
      <c r="F438" s="42">
        <f ca="1">OFFSET(F438,1,2)</f>
        <v>24000</v>
      </c>
      <c r="G438" s="42">
        <f ca="1">F438</f>
        <v>24000</v>
      </c>
      <c r="H438" s="42">
        <f ca="1">G438*I438</f>
        <v>24000</v>
      </c>
      <c r="I438" s="49">
        <v>1</v>
      </c>
      <c r="J438" s="50" t="s">
        <v>197</v>
      </c>
      <c r="K438" s="41" t="s">
        <v>216</v>
      </c>
      <c r="L438" s="50" t="s">
        <v>166</v>
      </c>
      <c r="M438" s="42">
        <v>24000</v>
      </c>
    </row>
    <row r="439" spans="1:13" outlineLevel="2" x14ac:dyDescent="0.25">
      <c r="A439" s="50">
        <f t="shared" si="114"/>
        <v>438</v>
      </c>
      <c r="B439" s="41" t="s">
        <v>167</v>
      </c>
      <c r="C439" s="41" t="s">
        <v>218</v>
      </c>
      <c r="D439" s="41" t="s">
        <v>218</v>
      </c>
      <c r="E439" s="41" t="s">
        <v>219</v>
      </c>
      <c r="F439" s="42">
        <v>4</v>
      </c>
      <c r="G439" s="42">
        <v>100</v>
      </c>
      <c r="H439" s="42">
        <f>IF(OR(G439="",I439=""),"",G439*I439)</f>
        <v>24000</v>
      </c>
      <c r="I439" s="49">
        <f>60*F439</f>
        <v>240</v>
      </c>
      <c r="J439" s="50" t="s">
        <v>197</v>
      </c>
      <c r="K439" s="41" t="s">
        <v>218</v>
      </c>
      <c r="L439" s="50" t="s">
        <v>166</v>
      </c>
      <c r="M439" s="42">
        <v>24000</v>
      </c>
    </row>
    <row r="440" spans="1:13" outlineLevel="1" x14ac:dyDescent="0.25">
      <c r="A440" s="50"/>
      <c r="B440" s="65" t="s">
        <v>401</v>
      </c>
      <c r="C440" s="41"/>
      <c r="D440" s="41"/>
      <c r="E440" s="41"/>
      <c r="F440" s="42"/>
      <c r="G440" s="42"/>
      <c r="H440" s="42">
        <f ca="1">SUBTOTAL(9,H430:H439)</f>
        <v>121490.2</v>
      </c>
      <c r="I440" s="49"/>
      <c r="J440" s="50"/>
      <c r="K440" s="41"/>
      <c r="L440" s="50"/>
      <c r="M440" s="42">
        <v>121490.2</v>
      </c>
    </row>
    <row r="441" spans="1:13" ht="24" customHeight="1" outlineLevel="2" x14ac:dyDescent="0.25">
      <c r="A441" s="38">
        <f>ROW(A439)</f>
        <v>439</v>
      </c>
      <c r="B441" s="38" t="s">
        <v>50</v>
      </c>
      <c r="C441" s="38"/>
      <c r="D441" s="38"/>
      <c r="E441" s="38" t="s">
        <v>50</v>
      </c>
      <c r="F441" s="39"/>
      <c r="G441" s="39"/>
      <c r="H441" s="39"/>
      <c r="I441" s="40">
        <v>1</v>
      </c>
      <c r="J441" s="38" t="s">
        <v>11</v>
      </c>
      <c r="K441" s="38" t="s">
        <v>12</v>
      </c>
      <c r="L441" s="38" t="s">
        <v>166</v>
      </c>
      <c r="M441" s="39"/>
    </row>
    <row r="442" spans="1:13" ht="24" outlineLevel="2" x14ac:dyDescent="0.25">
      <c r="A442" s="61">
        <f t="shared" si="114"/>
        <v>441</v>
      </c>
      <c r="B442" s="58" t="s">
        <v>50</v>
      </c>
      <c r="C442" s="58" t="s">
        <v>50</v>
      </c>
      <c r="D442" s="59">
        <v>5677</v>
      </c>
      <c r="E442" s="58" t="s">
        <v>332</v>
      </c>
      <c r="F442" s="60">
        <v>38950</v>
      </c>
      <c r="G442" s="60">
        <f>F442</f>
        <v>38950</v>
      </c>
      <c r="H442" s="60">
        <f>G442*I442</f>
        <v>38950</v>
      </c>
      <c r="I442" s="57">
        <v>1</v>
      </c>
      <c r="J442" s="61" t="s">
        <v>197</v>
      </c>
      <c r="K442" s="61" t="s">
        <v>49</v>
      </c>
      <c r="L442" s="50" t="s">
        <v>166</v>
      </c>
      <c r="M442" s="60">
        <v>38950</v>
      </c>
    </row>
    <row r="443" spans="1:13" ht="24" outlineLevel="2" x14ac:dyDescent="0.25">
      <c r="A443" s="50">
        <f t="shared" si="114"/>
        <v>442</v>
      </c>
      <c r="B443" s="41" t="s">
        <v>50</v>
      </c>
      <c r="C443" s="41" t="s">
        <v>216</v>
      </c>
      <c r="D443" s="41" t="s">
        <v>216</v>
      </c>
      <c r="E443" s="41" t="s">
        <v>217</v>
      </c>
      <c r="F443" s="42">
        <f ca="1">OFFSET(F443,1,2)</f>
        <v>60</v>
      </c>
      <c r="G443" s="42">
        <f ca="1">F443</f>
        <v>60</v>
      </c>
      <c r="H443" s="42">
        <f ca="1">G443*I443</f>
        <v>60</v>
      </c>
      <c r="I443" s="49">
        <v>1</v>
      </c>
      <c r="J443" s="50" t="s">
        <v>197</v>
      </c>
      <c r="K443" s="41" t="s">
        <v>216</v>
      </c>
      <c r="L443" s="50" t="s">
        <v>166</v>
      </c>
      <c r="M443" s="42">
        <v>60</v>
      </c>
    </row>
    <row r="444" spans="1:13" ht="24" outlineLevel="2" x14ac:dyDescent="0.25">
      <c r="A444" s="50">
        <f t="shared" si="114"/>
        <v>443</v>
      </c>
      <c r="B444" s="41" t="s">
        <v>50</v>
      </c>
      <c r="C444" s="41" t="s">
        <v>218</v>
      </c>
      <c r="D444" s="41" t="s">
        <v>218</v>
      </c>
      <c r="E444" s="41" t="s">
        <v>219</v>
      </c>
      <c r="F444" s="42">
        <v>0.01</v>
      </c>
      <c r="G444" s="42">
        <v>100</v>
      </c>
      <c r="H444" s="42">
        <f>IF(OR(G444="",I444=""),"",G444*I444)</f>
        <v>60</v>
      </c>
      <c r="I444" s="49">
        <f>60*F444</f>
        <v>0.6</v>
      </c>
      <c r="J444" s="50" t="s">
        <v>197</v>
      </c>
      <c r="K444" s="41" t="s">
        <v>218</v>
      </c>
      <c r="L444" s="50" t="s">
        <v>166</v>
      </c>
      <c r="M444" s="42">
        <v>60</v>
      </c>
    </row>
    <row r="445" spans="1:13" ht="24" outlineLevel="1" x14ac:dyDescent="0.25">
      <c r="A445" s="50"/>
      <c r="B445" s="65" t="s">
        <v>382</v>
      </c>
      <c r="C445" s="41"/>
      <c r="D445" s="41"/>
      <c r="E445" s="41"/>
      <c r="F445" s="42"/>
      <c r="G445" s="42"/>
      <c r="H445" s="42">
        <f ca="1">SUBTOTAL(9,H441:H444)</f>
        <v>39070</v>
      </c>
      <c r="I445" s="49"/>
      <c r="J445" s="50"/>
      <c r="K445" s="41"/>
      <c r="L445" s="50"/>
      <c r="M445" s="42">
        <v>39070</v>
      </c>
    </row>
    <row r="446" spans="1:13" ht="24" customHeight="1" outlineLevel="2" x14ac:dyDescent="0.25">
      <c r="A446" s="38">
        <f>ROW(A444)</f>
        <v>444</v>
      </c>
      <c r="B446" s="38" t="s">
        <v>168</v>
      </c>
      <c r="C446" s="38"/>
      <c r="D446" s="38"/>
      <c r="E446" s="38" t="s">
        <v>168</v>
      </c>
      <c r="F446" s="39"/>
      <c r="G446" s="39"/>
      <c r="H446" s="39"/>
      <c r="I446" s="40">
        <v>1</v>
      </c>
      <c r="J446" s="38" t="s">
        <v>11</v>
      </c>
      <c r="K446" s="38" t="s">
        <v>12</v>
      </c>
      <c r="L446" s="38" t="s">
        <v>166</v>
      </c>
      <c r="M446" s="39"/>
    </row>
    <row r="447" spans="1:13" outlineLevel="2" x14ac:dyDescent="0.25">
      <c r="A447" s="50">
        <f t="shared" si="114"/>
        <v>446</v>
      </c>
      <c r="B447" s="41" t="s">
        <v>168</v>
      </c>
      <c r="C447" s="41" t="s">
        <v>14</v>
      </c>
      <c r="D447" s="41" t="s">
        <v>169</v>
      </c>
      <c r="E447" s="41" t="s">
        <v>170</v>
      </c>
      <c r="F447" s="42">
        <v>9110</v>
      </c>
      <c r="G447" s="42">
        <f t="shared" ref="G447:G457" si="116">0.6*F447</f>
        <v>5466</v>
      </c>
      <c r="H447" s="42">
        <f t="shared" ref="H447:H461" si="117">G447*I447</f>
        <v>5466</v>
      </c>
      <c r="I447" s="49">
        <v>1</v>
      </c>
      <c r="J447" s="50" t="s">
        <v>197</v>
      </c>
      <c r="K447" s="50" t="s">
        <v>18</v>
      </c>
      <c r="L447" s="50" t="s">
        <v>166</v>
      </c>
      <c r="M447" s="42">
        <v>5466</v>
      </c>
    </row>
    <row r="448" spans="1:13" outlineLevel="2" x14ac:dyDescent="0.25">
      <c r="A448" s="50">
        <f t="shared" si="114"/>
        <v>447</v>
      </c>
      <c r="B448" s="41" t="s">
        <v>168</v>
      </c>
      <c r="C448" s="41" t="s">
        <v>23</v>
      </c>
      <c r="D448" s="41" t="s">
        <v>171</v>
      </c>
      <c r="E448" s="41" t="s">
        <v>172</v>
      </c>
      <c r="F448" s="42">
        <v>3604</v>
      </c>
      <c r="G448" s="42">
        <f t="shared" si="116"/>
        <v>2162.4</v>
      </c>
      <c r="H448" s="42">
        <f t="shared" si="117"/>
        <v>2162.4</v>
      </c>
      <c r="I448" s="49">
        <v>1</v>
      </c>
      <c r="J448" s="50" t="s">
        <v>197</v>
      </c>
      <c r="K448" s="50" t="s">
        <v>22</v>
      </c>
      <c r="L448" s="50" t="s">
        <v>166</v>
      </c>
      <c r="M448" s="42">
        <v>2162.4</v>
      </c>
    </row>
    <row r="449" spans="1:13" outlineLevel="2" x14ac:dyDescent="0.25">
      <c r="A449" s="50">
        <f t="shared" si="114"/>
        <v>448</v>
      </c>
      <c r="B449" s="41" t="s">
        <v>168</v>
      </c>
      <c r="C449" s="41" t="s">
        <v>23</v>
      </c>
      <c r="D449" s="41" t="s">
        <v>173</v>
      </c>
      <c r="E449" s="41" t="s">
        <v>174</v>
      </c>
      <c r="F449" s="42">
        <v>1086</v>
      </c>
      <c r="G449" s="42">
        <f t="shared" si="116"/>
        <v>651.6</v>
      </c>
      <c r="H449" s="42">
        <f t="shared" si="117"/>
        <v>651.6</v>
      </c>
      <c r="I449" s="49">
        <v>1</v>
      </c>
      <c r="J449" s="50" t="s">
        <v>197</v>
      </c>
      <c r="K449" s="50" t="s">
        <v>22</v>
      </c>
      <c r="L449" s="50" t="s">
        <v>166</v>
      </c>
      <c r="M449" s="42">
        <v>651.6</v>
      </c>
    </row>
    <row r="450" spans="1:13" outlineLevel="2" x14ac:dyDescent="0.25">
      <c r="A450" s="50">
        <f t="shared" si="114"/>
        <v>449</v>
      </c>
      <c r="B450" s="41" t="s">
        <v>168</v>
      </c>
      <c r="C450" s="41" t="s">
        <v>175</v>
      </c>
      <c r="D450" s="41" t="s">
        <v>176</v>
      </c>
      <c r="E450" s="41" t="s">
        <v>177</v>
      </c>
      <c r="F450" s="42">
        <v>3769</v>
      </c>
      <c r="G450" s="42">
        <f t="shared" si="116"/>
        <v>2261.4</v>
      </c>
      <c r="H450" s="42">
        <f t="shared" si="117"/>
        <v>2261.4</v>
      </c>
      <c r="I450" s="49">
        <v>1</v>
      </c>
      <c r="J450" s="50" t="s">
        <v>197</v>
      </c>
      <c r="K450" s="50" t="s">
        <v>22</v>
      </c>
      <c r="L450" s="50" t="s">
        <v>166</v>
      </c>
      <c r="M450" s="42">
        <v>2261.4</v>
      </c>
    </row>
    <row r="451" spans="1:13" outlineLevel="2" x14ac:dyDescent="0.25">
      <c r="A451" s="50">
        <f t="shared" si="114"/>
        <v>450</v>
      </c>
      <c r="B451" s="41" t="s">
        <v>168</v>
      </c>
      <c r="C451" s="41" t="s">
        <v>175</v>
      </c>
      <c r="D451" s="41" t="s">
        <v>178</v>
      </c>
      <c r="E451" s="41" t="s">
        <v>179</v>
      </c>
      <c r="F451" s="42">
        <v>3769</v>
      </c>
      <c r="G451" s="42">
        <f t="shared" si="116"/>
        <v>2261.4</v>
      </c>
      <c r="H451" s="42">
        <f t="shared" si="117"/>
        <v>2261.4</v>
      </c>
      <c r="I451" s="49">
        <v>1</v>
      </c>
      <c r="J451" s="50" t="s">
        <v>197</v>
      </c>
      <c r="K451" s="50" t="s">
        <v>22</v>
      </c>
      <c r="L451" s="50" t="s">
        <v>166</v>
      </c>
      <c r="M451" s="42">
        <v>2261.4</v>
      </c>
    </row>
    <row r="452" spans="1:13" outlineLevel="2" x14ac:dyDescent="0.25">
      <c r="A452" s="50">
        <f t="shared" si="114"/>
        <v>451</v>
      </c>
      <c r="B452" s="41" t="s">
        <v>168</v>
      </c>
      <c r="C452" s="41" t="s">
        <v>110</v>
      </c>
      <c r="D452" s="41" t="s">
        <v>119</v>
      </c>
      <c r="E452" s="41" t="s">
        <v>113</v>
      </c>
      <c r="F452" s="42">
        <v>571</v>
      </c>
      <c r="G452" s="42">
        <f t="shared" si="116"/>
        <v>342.59999999999997</v>
      </c>
      <c r="H452" s="42">
        <f t="shared" si="117"/>
        <v>342.59999999999997</v>
      </c>
      <c r="I452" s="49">
        <v>1</v>
      </c>
      <c r="J452" s="50" t="s">
        <v>197</v>
      </c>
      <c r="K452" s="50" t="s">
        <v>22</v>
      </c>
      <c r="L452" s="50" t="s">
        <v>166</v>
      </c>
      <c r="M452" s="42">
        <v>342.59999999999997</v>
      </c>
    </row>
    <row r="453" spans="1:13" outlineLevel="2" x14ac:dyDescent="0.25">
      <c r="A453" s="50">
        <f t="shared" si="114"/>
        <v>452</v>
      </c>
      <c r="B453" s="41" t="s">
        <v>168</v>
      </c>
      <c r="C453" s="41" t="s">
        <v>64</v>
      </c>
      <c r="D453" s="41" t="s">
        <v>180</v>
      </c>
      <c r="E453" s="41" t="s">
        <v>181</v>
      </c>
      <c r="F453" s="42">
        <v>5341</v>
      </c>
      <c r="G453" s="42">
        <f t="shared" si="116"/>
        <v>3204.6</v>
      </c>
      <c r="H453" s="42">
        <f t="shared" si="117"/>
        <v>3204.6</v>
      </c>
      <c r="I453" s="49">
        <v>1</v>
      </c>
      <c r="J453" s="50" t="s">
        <v>197</v>
      </c>
      <c r="K453" s="50" t="s">
        <v>22</v>
      </c>
      <c r="L453" s="50" t="s">
        <v>166</v>
      </c>
      <c r="M453" s="42">
        <v>3204.6</v>
      </c>
    </row>
    <row r="454" spans="1:13" outlineLevel="2" x14ac:dyDescent="0.25">
      <c r="A454" s="50">
        <f t="shared" si="114"/>
        <v>453</v>
      </c>
      <c r="B454" s="41" t="s">
        <v>168</v>
      </c>
      <c r="C454" s="41" t="s">
        <v>64</v>
      </c>
      <c r="D454" s="41" t="s">
        <v>122</v>
      </c>
      <c r="E454" s="41" t="s">
        <v>123</v>
      </c>
      <c r="F454" s="42">
        <v>1306</v>
      </c>
      <c r="G454" s="42">
        <f t="shared" si="116"/>
        <v>783.6</v>
      </c>
      <c r="H454" s="42">
        <f t="shared" si="117"/>
        <v>783.6</v>
      </c>
      <c r="I454" s="49">
        <v>1</v>
      </c>
      <c r="J454" s="50" t="s">
        <v>197</v>
      </c>
      <c r="K454" s="50" t="s">
        <v>22</v>
      </c>
      <c r="L454" s="50" t="s">
        <v>166</v>
      </c>
      <c r="M454" s="42">
        <v>783.6</v>
      </c>
    </row>
    <row r="455" spans="1:13" outlineLevel="2" x14ac:dyDescent="0.25">
      <c r="A455" s="50">
        <f t="shared" si="114"/>
        <v>454</v>
      </c>
      <c r="B455" s="41" t="s">
        <v>168</v>
      </c>
      <c r="C455" s="41" t="s">
        <v>182</v>
      </c>
      <c r="D455" s="41" t="s">
        <v>183</v>
      </c>
      <c r="E455" s="41" t="s">
        <v>184</v>
      </c>
      <c r="F455" s="42">
        <v>1752</v>
      </c>
      <c r="G455" s="42">
        <f t="shared" si="116"/>
        <v>1051.2</v>
      </c>
      <c r="H455" s="42">
        <f t="shared" si="117"/>
        <v>1051.2</v>
      </c>
      <c r="I455" s="49">
        <v>1</v>
      </c>
      <c r="J455" s="50" t="s">
        <v>197</v>
      </c>
      <c r="K455" s="50" t="s">
        <v>22</v>
      </c>
      <c r="L455" s="50" t="s">
        <v>166</v>
      </c>
      <c r="M455" s="42">
        <v>1051.2</v>
      </c>
    </row>
    <row r="456" spans="1:13" outlineLevel="2" x14ac:dyDescent="0.25">
      <c r="A456" s="50">
        <f t="shared" si="114"/>
        <v>455</v>
      </c>
      <c r="B456" s="41" t="s">
        <v>168</v>
      </c>
      <c r="C456" s="41" t="s">
        <v>110</v>
      </c>
      <c r="D456" s="41" t="s">
        <v>127</v>
      </c>
      <c r="E456" s="41" t="s">
        <v>111</v>
      </c>
      <c r="F456" s="42">
        <v>589</v>
      </c>
      <c r="G456" s="42">
        <f t="shared" si="116"/>
        <v>353.4</v>
      </c>
      <c r="H456" s="42">
        <f t="shared" si="117"/>
        <v>353.4</v>
      </c>
      <c r="I456" s="49">
        <v>1</v>
      </c>
      <c r="J456" s="50" t="s">
        <v>197</v>
      </c>
      <c r="K456" s="50" t="s">
        <v>22</v>
      </c>
      <c r="L456" s="50" t="s">
        <v>166</v>
      </c>
      <c r="M456" s="42">
        <v>353.4</v>
      </c>
    </row>
    <row r="457" spans="1:13" outlineLevel="2" x14ac:dyDescent="0.25">
      <c r="A457" s="50">
        <f t="shared" si="114"/>
        <v>456</v>
      </c>
      <c r="B457" s="41" t="s">
        <v>168</v>
      </c>
      <c r="C457" s="41" t="s">
        <v>67</v>
      </c>
      <c r="D457" s="41" t="s">
        <v>185</v>
      </c>
      <c r="E457" s="41" t="s">
        <v>186</v>
      </c>
      <c r="F457" s="42">
        <v>4315</v>
      </c>
      <c r="G457" s="42">
        <f t="shared" si="116"/>
        <v>2589</v>
      </c>
      <c r="H457" s="42">
        <f t="shared" si="117"/>
        <v>2589</v>
      </c>
      <c r="I457" s="49">
        <v>1</v>
      </c>
      <c r="J457" s="50" t="s">
        <v>197</v>
      </c>
      <c r="K457" s="50" t="s">
        <v>22</v>
      </c>
      <c r="L457" s="50" t="s">
        <v>166</v>
      </c>
      <c r="M457" s="42">
        <v>2589</v>
      </c>
    </row>
    <row r="458" spans="1:13" outlineLevel="2" x14ac:dyDescent="0.25">
      <c r="A458" s="50">
        <f t="shared" si="114"/>
        <v>457</v>
      </c>
      <c r="B458" s="41" t="s">
        <v>168</v>
      </c>
      <c r="C458" s="41" t="s">
        <v>187</v>
      </c>
      <c r="D458" s="41" t="s">
        <v>188</v>
      </c>
      <c r="E458" s="41" t="s">
        <v>189</v>
      </c>
      <c r="F458" s="42">
        <v>91</v>
      </c>
      <c r="G458" s="45">
        <f t="shared" ref="G458:G461" si="118">F458</f>
        <v>91</v>
      </c>
      <c r="H458" s="45">
        <f t="shared" si="117"/>
        <v>2093</v>
      </c>
      <c r="I458" s="49">
        <v>23</v>
      </c>
      <c r="J458" s="50" t="s">
        <v>197</v>
      </c>
      <c r="K458" s="50" t="s">
        <v>49</v>
      </c>
      <c r="L458" s="50" t="s">
        <v>166</v>
      </c>
      <c r="M458" s="45">
        <v>2093</v>
      </c>
    </row>
    <row r="459" spans="1:13" outlineLevel="2" x14ac:dyDescent="0.25">
      <c r="A459" s="61">
        <f t="shared" si="114"/>
        <v>458</v>
      </c>
      <c r="B459" s="58" t="s">
        <v>168</v>
      </c>
      <c r="C459" s="58" t="s">
        <v>198</v>
      </c>
      <c r="D459" s="59" t="s">
        <v>341</v>
      </c>
      <c r="E459" s="58" t="s">
        <v>342</v>
      </c>
      <c r="F459" s="60">
        <v>1055</v>
      </c>
      <c r="G459" s="60">
        <f t="shared" si="118"/>
        <v>1055</v>
      </c>
      <c r="H459" s="60">
        <f t="shared" si="117"/>
        <v>1055</v>
      </c>
      <c r="I459" s="57">
        <v>1</v>
      </c>
      <c r="J459" s="61" t="s">
        <v>197</v>
      </c>
      <c r="K459" s="61" t="s">
        <v>49</v>
      </c>
      <c r="L459" s="50" t="s">
        <v>166</v>
      </c>
      <c r="M459" s="60">
        <v>1055</v>
      </c>
    </row>
    <row r="460" spans="1:13" outlineLevel="2" x14ac:dyDescent="0.25">
      <c r="A460" s="61">
        <f t="shared" si="114"/>
        <v>459</v>
      </c>
      <c r="B460" s="58" t="s">
        <v>168</v>
      </c>
      <c r="C460" s="58" t="s">
        <v>198</v>
      </c>
      <c r="D460" s="59" t="s">
        <v>339</v>
      </c>
      <c r="E460" s="58" t="s">
        <v>340</v>
      </c>
      <c r="F460" s="60">
        <v>1135</v>
      </c>
      <c r="G460" s="60">
        <f t="shared" si="118"/>
        <v>1135</v>
      </c>
      <c r="H460" s="60">
        <f t="shared" si="117"/>
        <v>1135</v>
      </c>
      <c r="I460" s="57">
        <v>1</v>
      </c>
      <c r="J460" s="61" t="s">
        <v>197</v>
      </c>
      <c r="K460" s="61" t="s">
        <v>49</v>
      </c>
      <c r="L460" s="50" t="s">
        <v>166</v>
      </c>
      <c r="M460" s="60">
        <v>1135</v>
      </c>
    </row>
    <row r="461" spans="1:13" outlineLevel="2" x14ac:dyDescent="0.25">
      <c r="A461" s="61">
        <f t="shared" si="114"/>
        <v>460</v>
      </c>
      <c r="B461" s="58" t="s">
        <v>168</v>
      </c>
      <c r="C461" s="58" t="s">
        <v>212</v>
      </c>
      <c r="D461" s="59" t="s">
        <v>353</v>
      </c>
      <c r="E461" s="58" t="s">
        <v>353</v>
      </c>
      <c r="F461" s="60">
        <v>190</v>
      </c>
      <c r="G461" s="60">
        <f t="shared" si="118"/>
        <v>190</v>
      </c>
      <c r="H461" s="60">
        <f t="shared" si="117"/>
        <v>190</v>
      </c>
      <c r="I461" s="57">
        <v>1</v>
      </c>
      <c r="J461" s="61" t="s">
        <v>197</v>
      </c>
      <c r="K461" s="61" t="s">
        <v>49</v>
      </c>
      <c r="L461" s="50" t="s">
        <v>166</v>
      </c>
      <c r="M461" s="60">
        <v>190</v>
      </c>
    </row>
    <row r="462" spans="1:13" ht="24" outlineLevel="2" x14ac:dyDescent="0.25">
      <c r="A462" s="50">
        <f t="shared" si="114"/>
        <v>461</v>
      </c>
      <c r="B462" s="41" t="s">
        <v>168</v>
      </c>
      <c r="C462" s="41" t="s">
        <v>216</v>
      </c>
      <c r="D462" s="41" t="s">
        <v>216</v>
      </c>
      <c r="E462" s="41" t="s">
        <v>217</v>
      </c>
      <c r="F462" s="42">
        <f ca="1">OFFSET(F462,1,2)</f>
        <v>12000</v>
      </c>
      <c r="G462" s="42">
        <f ca="1">F462</f>
        <v>12000</v>
      </c>
      <c r="H462" s="42">
        <f ca="1">G462*I462</f>
        <v>12000</v>
      </c>
      <c r="I462" s="49">
        <v>1</v>
      </c>
      <c r="J462" s="50" t="s">
        <v>197</v>
      </c>
      <c r="K462" s="41" t="s">
        <v>216</v>
      </c>
      <c r="L462" s="50" t="s">
        <v>166</v>
      </c>
      <c r="M462" s="42">
        <v>12000</v>
      </c>
    </row>
    <row r="463" spans="1:13" outlineLevel="2" x14ac:dyDescent="0.25">
      <c r="A463" s="50">
        <f t="shared" si="114"/>
        <v>462</v>
      </c>
      <c r="B463" s="41" t="s">
        <v>168</v>
      </c>
      <c r="C463" s="41" t="s">
        <v>218</v>
      </c>
      <c r="D463" s="41" t="s">
        <v>218</v>
      </c>
      <c r="E463" s="41" t="s">
        <v>219</v>
      </c>
      <c r="F463" s="42">
        <v>2</v>
      </c>
      <c r="G463" s="42">
        <v>100</v>
      </c>
      <c r="H463" s="42">
        <f>IF(OR(G463="",I463=""),"",G463*I463)</f>
        <v>12000</v>
      </c>
      <c r="I463" s="49">
        <f>60*F463</f>
        <v>120</v>
      </c>
      <c r="J463" s="50" t="s">
        <v>197</v>
      </c>
      <c r="K463" s="41" t="s">
        <v>218</v>
      </c>
      <c r="L463" s="50" t="s">
        <v>166</v>
      </c>
      <c r="M463" s="42">
        <v>12000</v>
      </c>
    </row>
    <row r="464" spans="1:13" outlineLevel="1" x14ac:dyDescent="0.25">
      <c r="A464" s="50"/>
      <c r="B464" s="65" t="s">
        <v>402</v>
      </c>
      <c r="C464" s="41"/>
      <c r="D464" s="41"/>
      <c r="E464" s="41"/>
      <c r="F464" s="42"/>
      <c r="G464" s="42"/>
      <c r="H464" s="42">
        <f ca="1">SUBTOTAL(9,H446:H463)</f>
        <v>49600.2</v>
      </c>
      <c r="I464" s="49"/>
      <c r="J464" s="50"/>
      <c r="K464" s="41"/>
      <c r="L464" s="50"/>
      <c r="M464" s="42">
        <v>49600.2</v>
      </c>
    </row>
    <row r="465" spans="1:13" ht="24" customHeight="1" outlineLevel="2" x14ac:dyDescent="0.25">
      <c r="A465" s="38">
        <f>ROW(A463)</f>
        <v>463</v>
      </c>
      <c r="B465" s="38" t="s">
        <v>190</v>
      </c>
      <c r="C465" s="38"/>
      <c r="D465" s="38"/>
      <c r="E465" s="38" t="s">
        <v>190</v>
      </c>
      <c r="F465" s="39"/>
      <c r="G465" s="39"/>
      <c r="H465" s="39"/>
      <c r="I465" s="40">
        <v>1</v>
      </c>
      <c r="J465" s="38" t="s">
        <v>11</v>
      </c>
      <c r="K465" s="38" t="s">
        <v>12</v>
      </c>
      <c r="L465" s="38" t="s">
        <v>191</v>
      </c>
      <c r="M465" s="39"/>
    </row>
    <row r="466" spans="1:13" outlineLevel="2" x14ac:dyDescent="0.25">
      <c r="A466" s="50">
        <f t="shared" si="114"/>
        <v>465</v>
      </c>
      <c r="B466" s="41" t="s">
        <v>190</v>
      </c>
      <c r="C466" s="41" t="s">
        <v>14</v>
      </c>
      <c r="D466" s="41" t="s">
        <v>15</v>
      </c>
      <c r="E466" s="41" t="s">
        <v>16</v>
      </c>
      <c r="F466" s="42">
        <v>15000</v>
      </c>
      <c r="G466" s="42">
        <f t="shared" ref="G466:G472" si="119">0.6*F466</f>
        <v>9000</v>
      </c>
      <c r="H466" s="42">
        <f t="shared" ref="H466:H475" si="120">G466*I466</f>
        <v>9000</v>
      </c>
      <c r="I466" s="49">
        <v>1</v>
      </c>
      <c r="J466" s="50" t="s">
        <v>197</v>
      </c>
      <c r="K466" s="50" t="s">
        <v>18</v>
      </c>
      <c r="L466" s="50" t="s">
        <v>191</v>
      </c>
      <c r="M466" s="42">
        <v>9000</v>
      </c>
    </row>
    <row r="467" spans="1:13" outlineLevel="2" x14ac:dyDescent="0.25">
      <c r="A467" s="50">
        <f t="shared" si="114"/>
        <v>466</v>
      </c>
      <c r="B467" s="41" t="s">
        <v>190</v>
      </c>
      <c r="C467" s="41" t="s">
        <v>23</v>
      </c>
      <c r="D467" s="41" t="s">
        <v>91</v>
      </c>
      <c r="E467" s="41" t="s">
        <v>92</v>
      </c>
      <c r="F467" s="42">
        <v>2606</v>
      </c>
      <c r="G467" s="42">
        <f t="shared" si="119"/>
        <v>1563.6</v>
      </c>
      <c r="H467" s="42">
        <f t="shared" si="120"/>
        <v>1563.6</v>
      </c>
      <c r="I467" s="49">
        <v>1</v>
      </c>
      <c r="J467" s="50" t="s">
        <v>197</v>
      </c>
      <c r="K467" s="50" t="s">
        <v>22</v>
      </c>
      <c r="L467" s="50" t="s">
        <v>191</v>
      </c>
      <c r="M467" s="42">
        <v>1563.6</v>
      </c>
    </row>
    <row r="468" spans="1:13" outlineLevel="2" x14ac:dyDescent="0.25">
      <c r="A468" s="50">
        <f t="shared" si="114"/>
        <v>467</v>
      </c>
      <c r="B468" s="41" t="s">
        <v>190</v>
      </c>
      <c r="C468" s="41" t="s">
        <v>23</v>
      </c>
      <c r="D468" s="41" t="s">
        <v>57</v>
      </c>
      <c r="E468" s="41" t="s">
        <v>58</v>
      </c>
      <c r="F468" s="42">
        <v>2429</v>
      </c>
      <c r="G468" s="42">
        <f t="shared" si="119"/>
        <v>1457.3999999999999</v>
      </c>
      <c r="H468" s="42">
        <f t="shared" si="120"/>
        <v>2914.7999999999997</v>
      </c>
      <c r="I468" s="49">
        <v>2</v>
      </c>
      <c r="J468" s="50" t="s">
        <v>197</v>
      </c>
      <c r="K468" s="50" t="s">
        <v>22</v>
      </c>
      <c r="L468" s="50" t="s">
        <v>191</v>
      </c>
      <c r="M468" s="42">
        <v>2914.7999999999997</v>
      </c>
    </row>
    <row r="469" spans="1:13" outlineLevel="2" x14ac:dyDescent="0.25">
      <c r="A469" s="50">
        <f t="shared" si="114"/>
        <v>468</v>
      </c>
      <c r="B469" s="41" t="s">
        <v>190</v>
      </c>
      <c r="C469" s="41" t="s">
        <v>23</v>
      </c>
      <c r="D469" s="41" t="s">
        <v>26</v>
      </c>
      <c r="E469" s="41" t="s">
        <v>27</v>
      </c>
      <c r="F469" s="42">
        <v>2337</v>
      </c>
      <c r="G469" s="42">
        <f t="shared" si="119"/>
        <v>1402.2</v>
      </c>
      <c r="H469" s="42">
        <f t="shared" si="120"/>
        <v>1402.2</v>
      </c>
      <c r="I469" s="49">
        <v>1</v>
      </c>
      <c r="J469" s="50" t="s">
        <v>197</v>
      </c>
      <c r="K469" s="50" t="s">
        <v>22</v>
      </c>
      <c r="L469" s="50" t="s">
        <v>191</v>
      </c>
      <c r="M469" s="42">
        <v>1402.2</v>
      </c>
    </row>
    <row r="470" spans="1:13" outlineLevel="2" x14ac:dyDescent="0.25">
      <c r="A470" s="50">
        <f t="shared" si="114"/>
        <v>469</v>
      </c>
      <c r="B470" s="41" t="s">
        <v>190</v>
      </c>
      <c r="C470" s="41" t="s">
        <v>23</v>
      </c>
      <c r="D470" s="41" t="s">
        <v>28</v>
      </c>
      <c r="E470" s="41" t="s">
        <v>29</v>
      </c>
      <c r="F470" s="42">
        <v>1389</v>
      </c>
      <c r="G470" s="42">
        <f t="shared" si="119"/>
        <v>833.4</v>
      </c>
      <c r="H470" s="42">
        <f t="shared" si="120"/>
        <v>3333.6</v>
      </c>
      <c r="I470" s="49">
        <v>4</v>
      </c>
      <c r="J470" s="50" t="s">
        <v>197</v>
      </c>
      <c r="K470" s="50" t="s">
        <v>22</v>
      </c>
      <c r="L470" s="50" t="s">
        <v>191</v>
      </c>
      <c r="M470" s="42">
        <v>3333.6</v>
      </c>
    </row>
    <row r="471" spans="1:13" outlineLevel="2" x14ac:dyDescent="0.25">
      <c r="A471" s="50">
        <f t="shared" si="114"/>
        <v>470</v>
      </c>
      <c r="B471" s="41" t="s">
        <v>190</v>
      </c>
      <c r="C471" s="41" t="s">
        <v>136</v>
      </c>
      <c r="D471" s="41" t="s">
        <v>364</v>
      </c>
      <c r="E471" s="41" t="s">
        <v>365</v>
      </c>
      <c r="F471" s="42">
        <v>5104</v>
      </c>
      <c r="G471" s="42">
        <f t="shared" si="119"/>
        <v>3062.4</v>
      </c>
      <c r="H471" s="42">
        <f t="shared" si="120"/>
        <v>3062.4</v>
      </c>
      <c r="I471" s="49">
        <v>1</v>
      </c>
      <c r="J471" s="50" t="s">
        <v>197</v>
      </c>
      <c r="K471" s="50" t="s">
        <v>22</v>
      </c>
      <c r="L471" s="50" t="s">
        <v>191</v>
      </c>
      <c r="M471" s="42">
        <v>3062.4</v>
      </c>
    </row>
    <row r="472" spans="1:13" outlineLevel="2" x14ac:dyDescent="0.25">
      <c r="A472" s="50">
        <f t="shared" si="114"/>
        <v>471</v>
      </c>
      <c r="B472" s="41" t="s">
        <v>190</v>
      </c>
      <c r="C472" s="41" t="s">
        <v>30</v>
      </c>
      <c r="D472" s="41" t="s">
        <v>59</v>
      </c>
      <c r="E472" s="41" t="s">
        <v>60</v>
      </c>
      <c r="F472" s="42">
        <v>5354</v>
      </c>
      <c r="G472" s="42">
        <f t="shared" si="119"/>
        <v>3212.4</v>
      </c>
      <c r="H472" s="42">
        <f t="shared" si="120"/>
        <v>3212.4</v>
      </c>
      <c r="I472" s="49">
        <v>1</v>
      </c>
      <c r="J472" s="50" t="s">
        <v>197</v>
      </c>
      <c r="K472" s="50" t="s">
        <v>22</v>
      </c>
      <c r="L472" s="50" t="s">
        <v>191</v>
      </c>
      <c r="M472" s="42">
        <v>3212.4</v>
      </c>
    </row>
    <row r="473" spans="1:13" outlineLevel="2" x14ac:dyDescent="0.25">
      <c r="A473" s="61">
        <f t="shared" si="114"/>
        <v>472</v>
      </c>
      <c r="B473" s="58" t="s">
        <v>190</v>
      </c>
      <c r="C473" s="58" t="s">
        <v>198</v>
      </c>
      <c r="D473" s="59" t="s">
        <v>341</v>
      </c>
      <c r="E473" s="58" t="s">
        <v>342</v>
      </c>
      <c r="F473" s="60">
        <v>1055</v>
      </c>
      <c r="G473" s="60">
        <f t="shared" ref="G473:G475" si="121">F473</f>
        <v>1055</v>
      </c>
      <c r="H473" s="60">
        <f t="shared" si="120"/>
        <v>1055</v>
      </c>
      <c r="I473" s="57">
        <v>1</v>
      </c>
      <c r="J473" s="61" t="s">
        <v>197</v>
      </c>
      <c r="K473" s="61" t="s">
        <v>49</v>
      </c>
      <c r="L473" s="50" t="s">
        <v>191</v>
      </c>
      <c r="M473" s="60">
        <v>1055</v>
      </c>
    </row>
    <row r="474" spans="1:13" outlineLevel="2" x14ac:dyDescent="0.25">
      <c r="A474" s="61">
        <f t="shared" si="114"/>
        <v>473</v>
      </c>
      <c r="B474" s="58" t="s">
        <v>190</v>
      </c>
      <c r="C474" s="58" t="s">
        <v>198</v>
      </c>
      <c r="D474" s="59" t="s">
        <v>339</v>
      </c>
      <c r="E474" s="58" t="s">
        <v>340</v>
      </c>
      <c r="F474" s="60">
        <v>1135</v>
      </c>
      <c r="G474" s="60">
        <f t="shared" si="121"/>
        <v>1135</v>
      </c>
      <c r="H474" s="60">
        <f t="shared" si="120"/>
        <v>1135</v>
      </c>
      <c r="I474" s="57">
        <v>1</v>
      </c>
      <c r="J474" s="61" t="s">
        <v>197</v>
      </c>
      <c r="K474" s="61" t="s">
        <v>49</v>
      </c>
      <c r="L474" s="50" t="s">
        <v>191</v>
      </c>
      <c r="M474" s="60">
        <v>1135</v>
      </c>
    </row>
    <row r="475" spans="1:13" outlineLevel="2" x14ac:dyDescent="0.25">
      <c r="A475" s="61">
        <f t="shared" si="114"/>
        <v>474</v>
      </c>
      <c r="B475" s="58" t="s">
        <v>190</v>
      </c>
      <c r="C475" s="58" t="s">
        <v>212</v>
      </c>
      <c r="D475" s="59" t="s">
        <v>353</v>
      </c>
      <c r="E475" s="58" t="s">
        <v>353</v>
      </c>
      <c r="F475" s="60">
        <v>190</v>
      </c>
      <c r="G475" s="60">
        <f t="shared" si="121"/>
        <v>190</v>
      </c>
      <c r="H475" s="60">
        <f t="shared" si="120"/>
        <v>190</v>
      </c>
      <c r="I475" s="57">
        <v>1</v>
      </c>
      <c r="J475" s="61" t="s">
        <v>197</v>
      </c>
      <c r="K475" s="61" t="s">
        <v>49</v>
      </c>
      <c r="L475" s="50" t="s">
        <v>191</v>
      </c>
      <c r="M475" s="60">
        <v>190</v>
      </c>
    </row>
    <row r="476" spans="1:13" ht="24" outlineLevel="2" x14ac:dyDescent="0.25">
      <c r="A476" s="50">
        <f t="shared" si="114"/>
        <v>475</v>
      </c>
      <c r="B476" s="41" t="s">
        <v>190</v>
      </c>
      <c r="C476" s="41" t="s">
        <v>216</v>
      </c>
      <c r="D476" s="41" t="s">
        <v>216</v>
      </c>
      <c r="E476" s="41" t="s">
        <v>217</v>
      </c>
      <c r="F476" s="42">
        <f ca="1">OFFSET(F476,1,2)</f>
        <v>9000</v>
      </c>
      <c r="G476" s="42">
        <f ca="1">F476</f>
        <v>9000</v>
      </c>
      <c r="H476" s="42">
        <f ca="1">G476*I476</f>
        <v>9000</v>
      </c>
      <c r="I476" s="49">
        <v>1</v>
      </c>
      <c r="J476" s="50" t="s">
        <v>197</v>
      </c>
      <c r="K476" s="41" t="s">
        <v>216</v>
      </c>
      <c r="L476" s="50" t="s">
        <v>191</v>
      </c>
      <c r="M476" s="42">
        <v>9000</v>
      </c>
    </row>
    <row r="477" spans="1:13" outlineLevel="2" x14ac:dyDescent="0.25">
      <c r="A477" s="50">
        <f t="shared" si="114"/>
        <v>476</v>
      </c>
      <c r="B477" s="41" t="s">
        <v>190</v>
      </c>
      <c r="C477" s="41" t="s">
        <v>218</v>
      </c>
      <c r="D477" s="41" t="s">
        <v>218</v>
      </c>
      <c r="E477" s="41" t="s">
        <v>219</v>
      </c>
      <c r="F477" s="42">
        <v>1.5</v>
      </c>
      <c r="G477" s="42">
        <v>100</v>
      </c>
      <c r="H477" s="42">
        <f>IF(OR(G477="",I477=""),"",G477*I477)</f>
        <v>9000</v>
      </c>
      <c r="I477" s="49">
        <f>60*F477</f>
        <v>90</v>
      </c>
      <c r="J477" s="50" t="s">
        <v>197</v>
      </c>
      <c r="K477" s="41" t="s">
        <v>218</v>
      </c>
      <c r="L477" s="50" t="s">
        <v>191</v>
      </c>
      <c r="M477" s="42">
        <v>9000</v>
      </c>
    </row>
    <row r="478" spans="1:13" outlineLevel="1" x14ac:dyDescent="0.25">
      <c r="A478" s="50"/>
      <c r="B478" s="65" t="s">
        <v>403</v>
      </c>
      <c r="C478" s="41"/>
      <c r="D478" s="41"/>
      <c r="E478" s="41"/>
      <c r="F478" s="42"/>
      <c r="G478" s="42"/>
      <c r="H478" s="42">
        <f ca="1">SUBTOTAL(9,H465:H477)</f>
        <v>44869</v>
      </c>
      <c r="I478" s="49"/>
      <c r="J478" s="50"/>
      <c r="K478" s="41"/>
      <c r="L478" s="50"/>
      <c r="M478" s="42">
        <v>44869</v>
      </c>
    </row>
    <row r="479" spans="1:13" ht="24" customHeight="1" outlineLevel="2" x14ac:dyDescent="0.25">
      <c r="A479" s="38">
        <f>ROW(A477)</f>
        <v>477</v>
      </c>
      <c r="B479" s="38" t="s">
        <v>195</v>
      </c>
      <c r="C479" s="38"/>
      <c r="D479" s="38"/>
      <c r="E479" s="38" t="s">
        <v>195</v>
      </c>
      <c r="F479" s="39"/>
      <c r="G479" s="39"/>
      <c r="H479" s="39"/>
      <c r="I479" s="40">
        <v>1</v>
      </c>
      <c r="J479" s="38" t="s">
        <v>11</v>
      </c>
      <c r="K479" s="38" t="s">
        <v>12</v>
      </c>
      <c r="L479" s="38" t="s">
        <v>191</v>
      </c>
      <c r="M479" s="39"/>
    </row>
    <row r="480" spans="1:13" outlineLevel="2" x14ac:dyDescent="0.25">
      <c r="A480" s="50">
        <f t="shared" si="114"/>
        <v>479</v>
      </c>
      <c r="B480" s="41" t="s">
        <v>195</v>
      </c>
      <c r="C480" s="41" t="s">
        <v>14</v>
      </c>
      <c r="D480" s="41" t="s">
        <v>75</v>
      </c>
      <c r="E480" s="41" t="s">
        <v>76</v>
      </c>
      <c r="F480" s="42">
        <v>10270</v>
      </c>
      <c r="G480" s="42">
        <f t="shared" ref="G480:G483" si="122">0.6*F480</f>
        <v>6162</v>
      </c>
      <c r="H480" s="42">
        <f t="shared" ref="H480:H482" si="123">G480*I480</f>
        <v>6162</v>
      </c>
      <c r="I480" s="49">
        <v>1</v>
      </c>
      <c r="J480" s="50" t="s">
        <v>197</v>
      </c>
      <c r="K480" s="50" t="s">
        <v>18</v>
      </c>
      <c r="L480" s="50" t="s">
        <v>191</v>
      </c>
      <c r="M480" s="42">
        <v>6162</v>
      </c>
    </row>
    <row r="481" spans="1:13" outlineLevel="2" x14ac:dyDescent="0.25">
      <c r="A481" s="50">
        <f t="shared" si="114"/>
        <v>480</v>
      </c>
      <c r="B481" s="41" t="s">
        <v>195</v>
      </c>
      <c r="C481" s="41" t="s">
        <v>23</v>
      </c>
      <c r="D481" s="41" t="s">
        <v>81</v>
      </c>
      <c r="E481" s="41" t="s">
        <v>82</v>
      </c>
      <c r="F481" s="42">
        <v>2499</v>
      </c>
      <c r="G481" s="42">
        <f t="shared" si="122"/>
        <v>1499.3999999999999</v>
      </c>
      <c r="H481" s="42">
        <f t="shared" si="123"/>
        <v>1499.3999999999999</v>
      </c>
      <c r="I481" s="49">
        <v>1</v>
      </c>
      <c r="J481" s="50" t="s">
        <v>197</v>
      </c>
      <c r="K481" s="50" t="s">
        <v>22</v>
      </c>
      <c r="L481" s="50" t="s">
        <v>191</v>
      </c>
      <c r="M481" s="42">
        <v>1499.3999999999999</v>
      </c>
    </row>
    <row r="482" spans="1:13" outlineLevel="2" x14ac:dyDescent="0.25">
      <c r="A482" s="50">
        <f t="shared" si="114"/>
        <v>481</v>
      </c>
      <c r="B482" s="41" t="s">
        <v>195</v>
      </c>
      <c r="C482" s="41" t="s">
        <v>23</v>
      </c>
      <c r="D482" s="41" t="s">
        <v>28</v>
      </c>
      <c r="E482" s="41" t="s">
        <v>29</v>
      </c>
      <c r="F482" s="42">
        <v>1389</v>
      </c>
      <c r="G482" s="42">
        <f t="shared" si="122"/>
        <v>833.4</v>
      </c>
      <c r="H482" s="42">
        <f t="shared" si="123"/>
        <v>1666.8</v>
      </c>
      <c r="I482" s="49">
        <v>2</v>
      </c>
      <c r="J482" s="50" t="s">
        <v>197</v>
      </c>
      <c r="K482" s="50" t="s">
        <v>22</v>
      </c>
      <c r="L482" s="50" t="s">
        <v>191</v>
      </c>
      <c r="M482" s="42">
        <v>1666.8</v>
      </c>
    </row>
    <row r="483" spans="1:13" outlineLevel="2" x14ac:dyDescent="0.25">
      <c r="A483" s="50">
        <f t="shared" si="114"/>
        <v>482</v>
      </c>
      <c r="B483" s="41" t="s">
        <v>195</v>
      </c>
      <c r="C483" s="41" t="s">
        <v>30</v>
      </c>
      <c r="D483" s="41" t="s">
        <v>59</v>
      </c>
      <c r="E483" s="41" t="s">
        <v>60</v>
      </c>
      <c r="F483" s="42">
        <v>5354</v>
      </c>
      <c r="G483" s="42">
        <f t="shared" si="122"/>
        <v>3212.4</v>
      </c>
      <c r="H483" s="42">
        <f>G483*I483</f>
        <v>3212.4</v>
      </c>
      <c r="I483" s="49">
        <v>1</v>
      </c>
      <c r="J483" s="50" t="s">
        <v>197</v>
      </c>
      <c r="K483" s="50" t="s">
        <v>22</v>
      </c>
      <c r="L483" s="50" t="s">
        <v>191</v>
      </c>
      <c r="M483" s="42">
        <v>3212.4</v>
      </c>
    </row>
    <row r="484" spans="1:13" outlineLevel="2" x14ac:dyDescent="0.25">
      <c r="A484" s="61">
        <f t="shared" si="114"/>
        <v>483</v>
      </c>
      <c r="B484" s="58" t="s">
        <v>195</v>
      </c>
      <c r="C484" s="58" t="s">
        <v>198</v>
      </c>
      <c r="D484" s="59" t="s">
        <v>341</v>
      </c>
      <c r="E484" s="58" t="s">
        <v>342</v>
      </c>
      <c r="F484" s="60">
        <v>1055</v>
      </c>
      <c r="G484" s="60">
        <f t="shared" ref="G484:G486" si="124">F484</f>
        <v>1055</v>
      </c>
      <c r="H484" s="60">
        <f t="shared" ref="H484:H486" si="125">G484*I484</f>
        <v>1055</v>
      </c>
      <c r="I484" s="57">
        <v>1</v>
      </c>
      <c r="J484" s="61" t="s">
        <v>197</v>
      </c>
      <c r="K484" s="61" t="s">
        <v>49</v>
      </c>
      <c r="L484" s="50" t="s">
        <v>191</v>
      </c>
      <c r="M484" s="60">
        <v>1055</v>
      </c>
    </row>
    <row r="485" spans="1:13" outlineLevel="2" x14ac:dyDescent="0.25">
      <c r="A485" s="61">
        <f t="shared" si="114"/>
        <v>484</v>
      </c>
      <c r="B485" s="58" t="s">
        <v>195</v>
      </c>
      <c r="C485" s="58" t="s">
        <v>198</v>
      </c>
      <c r="D485" s="59" t="s">
        <v>339</v>
      </c>
      <c r="E485" s="58" t="s">
        <v>340</v>
      </c>
      <c r="F485" s="60">
        <v>1135</v>
      </c>
      <c r="G485" s="60">
        <f t="shared" si="124"/>
        <v>1135</v>
      </c>
      <c r="H485" s="60">
        <f t="shared" si="125"/>
        <v>1135</v>
      </c>
      <c r="I485" s="57">
        <v>1</v>
      </c>
      <c r="J485" s="61" t="s">
        <v>197</v>
      </c>
      <c r="K485" s="61" t="s">
        <v>49</v>
      </c>
      <c r="L485" s="50" t="s">
        <v>191</v>
      </c>
      <c r="M485" s="60">
        <v>1135</v>
      </c>
    </row>
    <row r="486" spans="1:13" outlineLevel="2" x14ac:dyDescent="0.25">
      <c r="A486" s="61">
        <f t="shared" si="114"/>
        <v>485</v>
      </c>
      <c r="B486" s="58" t="s">
        <v>195</v>
      </c>
      <c r="C486" s="58" t="s">
        <v>212</v>
      </c>
      <c r="D486" s="59" t="s">
        <v>353</v>
      </c>
      <c r="E486" s="58" t="s">
        <v>353</v>
      </c>
      <c r="F486" s="60">
        <v>190</v>
      </c>
      <c r="G486" s="60">
        <f t="shared" si="124"/>
        <v>190</v>
      </c>
      <c r="H486" s="60">
        <f t="shared" si="125"/>
        <v>190</v>
      </c>
      <c r="I486" s="57">
        <v>1</v>
      </c>
      <c r="J486" s="61" t="s">
        <v>197</v>
      </c>
      <c r="K486" s="61" t="s">
        <v>49</v>
      </c>
      <c r="L486" s="50" t="s">
        <v>191</v>
      </c>
      <c r="M486" s="60">
        <v>190</v>
      </c>
    </row>
    <row r="487" spans="1:13" ht="24" outlineLevel="2" x14ac:dyDescent="0.25">
      <c r="A487" s="50">
        <f t="shared" si="114"/>
        <v>486</v>
      </c>
      <c r="B487" s="41" t="s">
        <v>195</v>
      </c>
      <c r="C487" s="41" t="s">
        <v>216</v>
      </c>
      <c r="D487" s="41" t="s">
        <v>216</v>
      </c>
      <c r="E487" s="41" t="s">
        <v>217</v>
      </c>
      <c r="F487" s="42">
        <f ca="1">OFFSET(F487,1,2)</f>
        <v>1800</v>
      </c>
      <c r="G487" s="42">
        <f ca="1">F487</f>
        <v>1800</v>
      </c>
      <c r="H487" s="42">
        <f ca="1">G487*I487</f>
        <v>1800</v>
      </c>
      <c r="I487" s="49">
        <v>1</v>
      </c>
      <c r="J487" s="50" t="s">
        <v>197</v>
      </c>
      <c r="K487" s="41" t="s">
        <v>216</v>
      </c>
      <c r="L487" s="50" t="s">
        <v>191</v>
      </c>
      <c r="M487" s="42">
        <v>1800</v>
      </c>
    </row>
    <row r="488" spans="1:13" outlineLevel="2" x14ac:dyDescent="0.25">
      <c r="A488" s="50">
        <f t="shared" si="114"/>
        <v>487</v>
      </c>
      <c r="B488" s="41" t="s">
        <v>195</v>
      </c>
      <c r="C488" s="41" t="s">
        <v>218</v>
      </c>
      <c r="D488" s="41" t="s">
        <v>218</v>
      </c>
      <c r="E488" s="41" t="s">
        <v>219</v>
      </c>
      <c r="F488" s="42">
        <v>0.3</v>
      </c>
      <c r="G488" s="42">
        <v>100</v>
      </c>
      <c r="H488" s="42">
        <f>IF(OR(G488="",I488=""),"",G488*I488)</f>
        <v>1800</v>
      </c>
      <c r="I488" s="49">
        <f>60*F488</f>
        <v>18</v>
      </c>
      <c r="J488" s="50" t="s">
        <v>197</v>
      </c>
      <c r="K488" s="41" t="s">
        <v>218</v>
      </c>
      <c r="L488" s="50" t="s">
        <v>191</v>
      </c>
      <c r="M488" s="42">
        <v>1800</v>
      </c>
    </row>
    <row r="489" spans="1:13" outlineLevel="1" x14ac:dyDescent="0.25">
      <c r="A489" s="67"/>
      <c r="B489" s="71" t="s">
        <v>404</v>
      </c>
      <c r="C489" s="68"/>
      <c r="D489" s="68"/>
      <c r="E489" s="68"/>
      <c r="F489" s="69"/>
      <c r="G489" s="69"/>
      <c r="H489" s="69">
        <f ca="1">SUBTOTAL(9,H479:H488)</f>
        <v>18520.599999999999</v>
      </c>
      <c r="I489" s="70"/>
      <c r="J489" s="67"/>
      <c r="K489" s="68"/>
      <c r="L489" s="67"/>
      <c r="M489" s="69">
        <v>18520.599999999999</v>
      </c>
    </row>
    <row r="490" spans="1:13" x14ac:dyDescent="0.25">
      <c r="A490" s="67"/>
      <c r="B490" s="71" t="s">
        <v>405</v>
      </c>
      <c r="C490" s="68"/>
      <c r="D490" s="68"/>
      <c r="E490" s="68"/>
      <c r="F490" s="69"/>
      <c r="G490" s="69"/>
      <c r="H490" s="69">
        <f ca="1">SUBTOTAL(9,H2:H488)</f>
        <v>2073385.7999999986</v>
      </c>
      <c r="I490" s="70"/>
      <c r="J490" s="67"/>
      <c r="K490" s="68"/>
      <c r="L490" s="67"/>
      <c r="M490" s="69">
        <v>2073385.7999999986</v>
      </c>
    </row>
  </sheetData>
  <autoFilter ref="B1:L489" xr:uid="{00000000-0001-0000-0100-000000000000}"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DA86-EDE4-4D48-BDB3-B3E0C44522B0}">
  <dimension ref="A1:K51"/>
  <sheetViews>
    <sheetView workbookViewId="0">
      <selection activeCell="E60" sqref="E60"/>
    </sheetView>
  </sheetViews>
  <sheetFormatPr defaultRowHeight="15" x14ac:dyDescent="0.25"/>
  <cols>
    <col min="2" max="2" width="63.140625" customWidth="1"/>
    <col min="3" max="4" width="10.140625" bestFit="1" customWidth="1"/>
    <col min="5" max="5" width="17.85546875" customWidth="1"/>
    <col min="10" max="10" width="9.140625" style="63"/>
    <col min="11" max="11" width="19.140625" style="63" customWidth="1"/>
  </cols>
  <sheetData>
    <row r="1" spans="1:11" ht="51" x14ac:dyDescent="0.25">
      <c r="A1" s="37" t="s">
        <v>2</v>
      </c>
      <c r="B1" s="37" t="s">
        <v>3</v>
      </c>
      <c r="C1" s="37" t="s">
        <v>4</v>
      </c>
      <c r="D1" s="37" t="s">
        <v>4</v>
      </c>
      <c r="E1" s="37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62" t="s">
        <v>328</v>
      </c>
      <c r="K1" s="63">
        <v>2.2999999999999998</v>
      </c>
    </row>
    <row r="2" spans="1:11" ht="25.5" x14ac:dyDescent="0.25">
      <c r="A2" s="38"/>
      <c r="B2" s="38" t="s">
        <v>10</v>
      </c>
      <c r="C2" s="39">
        <f>ROUNDUP(K2,-3)</f>
        <v>156000</v>
      </c>
      <c r="D2" s="39">
        <f>0.7*C2</f>
        <v>109200</v>
      </c>
      <c r="E2" s="39">
        <f>D2*F2</f>
        <v>109200</v>
      </c>
      <c r="F2" s="38">
        <v>1</v>
      </c>
      <c r="G2" s="38" t="s">
        <v>11</v>
      </c>
      <c r="H2" s="38" t="s">
        <v>12</v>
      </c>
      <c r="I2" s="38" t="s">
        <v>13</v>
      </c>
      <c r="J2" s="64">
        <v>67825.600000000006</v>
      </c>
      <c r="K2" s="63">
        <f>2.3*J2</f>
        <v>155998.88</v>
      </c>
    </row>
    <row r="3" spans="1:11" ht="25.5" x14ac:dyDescent="0.25">
      <c r="A3" s="38"/>
      <c r="B3" s="38" t="s">
        <v>35</v>
      </c>
      <c r="C3" s="39">
        <f t="shared" ref="C3:C47" si="0">ROUNDUP(K3,-3)</f>
        <v>89000</v>
      </c>
      <c r="D3" s="39">
        <f t="shared" ref="D3:D47" si="1">0.7*C3</f>
        <v>62299.999999999993</v>
      </c>
      <c r="E3" s="39">
        <f t="shared" ref="E3:E47" si="2">D3*F3</f>
        <v>62299.999999999993</v>
      </c>
      <c r="F3" s="38">
        <v>1</v>
      </c>
      <c r="G3" s="38" t="s">
        <v>11</v>
      </c>
      <c r="H3" s="38" t="s">
        <v>12</v>
      </c>
      <c r="I3" s="38" t="s">
        <v>13</v>
      </c>
      <c r="J3" s="64">
        <v>38362.6</v>
      </c>
      <c r="K3" s="63">
        <f t="shared" ref="K3:K47" si="3">2.3*J3</f>
        <v>88233.98</v>
      </c>
    </row>
    <row r="4" spans="1:11" ht="25.5" x14ac:dyDescent="0.25">
      <c r="A4" s="38"/>
      <c r="B4" s="38" t="s">
        <v>221</v>
      </c>
      <c r="C4" s="39">
        <f t="shared" si="0"/>
        <v>51000</v>
      </c>
      <c r="D4" s="39">
        <f t="shared" si="1"/>
        <v>35700</v>
      </c>
      <c r="E4" s="39">
        <f t="shared" si="2"/>
        <v>35700</v>
      </c>
      <c r="F4" s="38">
        <v>1</v>
      </c>
      <c r="G4" s="38" t="s">
        <v>11</v>
      </c>
      <c r="H4" s="38" t="s">
        <v>12</v>
      </c>
      <c r="I4" s="38" t="s">
        <v>13</v>
      </c>
      <c r="J4" s="64">
        <v>22000</v>
      </c>
      <c r="K4" s="63">
        <f t="shared" si="3"/>
        <v>50599.999999999993</v>
      </c>
    </row>
    <row r="5" spans="1:11" ht="25.5" x14ac:dyDescent="0.25">
      <c r="A5" s="38"/>
      <c r="B5" s="38" t="s">
        <v>51</v>
      </c>
      <c r="C5" s="39">
        <f t="shared" si="0"/>
        <v>97000</v>
      </c>
      <c r="D5" s="39">
        <f t="shared" si="1"/>
        <v>67900</v>
      </c>
      <c r="E5" s="39">
        <f t="shared" si="2"/>
        <v>67900</v>
      </c>
      <c r="F5" s="38">
        <v>1</v>
      </c>
      <c r="G5" s="38" t="s">
        <v>11</v>
      </c>
      <c r="H5" s="38" t="s">
        <v>12</v>
      </c>
      <c r="I5" s="38" t="s">
        <v>52</v>
      </c>
      <c r="J5" s="64">
        <v>42091.600000000006</v>
      </c>
      <c r="K5" s="63">
        <f t="shared" si="3"/>
        <v>96810.680000000008</v>
      </c>
    </row>
    <row r="6" spans="1:11" ht="25.5" x14ac:dyDescent="0.25">
      <c r="A6" s="38"/>
      <c r="B6" s="38" t="s">
        <v>61</v>
      </c>
      <c r="C6" s="39">
        <f t="shared" si="0"/>
        <v>123000</v>
      </c>
      <c r="D6" s="39">
        <f t="shared" si="1"/>
        <v>86100</v>
      </c>
      <c r="E6" s="39">
        <f t="shared" si="2"/>
        <v>86100</v>
      </c>
      <c r="F6" s="38">
        <v>1</v>
      </c>
      <c r="G6" s="38" t="s">
        <v>11</v>
      </c>
      <c r="H6" s="38" t="s">
        <v>12</v>
      </c>
      <c r="I6" s="38" t="s">
        <v>52</v>
      </c>
      <c r="J6" s="64">
        <v>53171.199999999997</v>
      </c>
      <c r="K6" s="63">
        <f t="shared" si="3"/>
        <v>122293.75999999998</v>
      </c>
    </row>
    <row r="7" spans="1:11" ht="25.5" x14ac:dyDescent="0.25">
      <c r="A7" s="38"/>
      <c r="B7" s="38" t="s">
        <v>330</v>
      </c>
      <c r="C7" s="39">
        <f t="shared" si="0"/>
        <v>36000</v>
      </c>
      <c r="D7" s="39">
        <f t="shared" si="1"/>
        <v>25200</v>
      </c>
      <c r="E7" s="39">
        <f t="shared" si="2"/>
        <v>201600</v>
      </c>
      <c r="F7" s="38">
        <v>8</v>
      </c>
      <c r="G7" s="38" t="s">
        <v>11</v>
      </c>
      <c r="H7" s="38" t="s">
        <v>12</v>
      </c>
      <c r="I7" s="38" t="s">
        <v>52</v>
      </c>
      <c r="J7" s="64">
        <v>15308.4</v>
      </c>
      <c r="K7" s="63">
        <f t="shared" si="3"/>
        <v>35209.32</v>
      </c>
    </row>
    <row r="8" spans="1:11" ht="25.5" x14ac:dyDescent="0.25">
      <c r="A8" s="38"/>
      <c r="B8" s="38" t="s">
        <v>221</v>
      </c>
      <c r="C8" s="39">
        <f t="shared" si="0"/>
        <v>51000</v>
      </c>
      <c r="D8" s="39">
        <f t="shared" si="1"/>
        <v>35700</v>
      </c>
      <c r="E8" s="39">
        <f t="shared" si="2"/>
        <v>35700</v>
      </c>
      <c r="F8" s="38">
        <v>1</v>
      </c>
      <c r="G8" s="38" t="s">
        <v>11</v>
      </c>
      <c r="H8" s="38" t="s">
        <v>12</v>
      </c>
      <c r="I8" s="38" t="s">
        <v>52</v>
      </c>
      <c r="J8" s="64">
        <v>22000</v>
      </c>
      <c r="K8" s="63">
        <f t="shared" si="3"/>
        <v>50599.999999999993</v>
      </c>
    </row>
    <row r="9" spans="1:11" ht="25.5" x14ac:dyDescent="0.25">
      <c r="A9" s="38"/>
      <c r="B9" s="38" t="s">
        <v>70</v>
      </c>
      <c r="C9" s="39">
        <f t="shared" si="0"/>
        <v>80000</v>
      </c>
      <c r="D9" s="39">
        <f t="shared" si="1"/>
        <v>56000</v>
      </c>
      <c r="E9" s="39">
        <f t="shared" si="2"/>
        <v>56000</v>
      </c>
      <c r="F9" s="38">
        <v>1</v>
      </c>
      <c r="G9" s="38" t="s">
        <v>11</v>
      </c>
      <c r="H9" s="38" t="s">
        <v>12</v>
      </c>
      <c r="I9" s="38" t="s">
        <v>71</v>
      </c>
      <c r="J9" s="64">
        <v>34732.600000000006</v>
      </c>
      <c r="K9" s="63">
        <f t="shared" si="3"/>
        <v>79884.98000000001</v>
      </c>
    </row>
    <row r="10" spans="1:11" ht="25.5" x14ac:dyDescent="0.25">
      <c r="A10" s="38"/>
      <c r="B10" s="38" t="s">
        <v>74</v>
      </c>
      <c r="C10" s="39">
        <f t="shared" si="0"/>
        <v>51000</v>
      </c>
      <c r="D10" s="39">
        <f t="shared" si="1"/>
        <v>35700</v>
      </c>
      <c r="E10" s="39">
        <f t="shared" si="2"/>
        <v>35700</v>
      </c>
      <c r="F10" s="38">
        <v>1</v>
      </c>
      <c r="G10" s="38" t="s">
        <v>11</v>
      </c>
      <c r="H10" s="38" t="s">
        <v>12</v>
      </c>
      <c r="I10" s="38" t="s">
        <v>71</v>
      </c>
      <c r="J10" s="64">
        <v>21935.200000000001</v>
      </c>
      <c r="K10" s="63">
        <f t="shared" si="3"/>
        <v>50450.96</v>
      </c>
    </row>
    <row r="11" spans="1:11" ht="25.5" x14ac:dyDescent="0.25">
      <c r="A11" s="38"/>
      <c r="B11" s="38" t="s">
        <v>331</v>
      </c>
      <c r="C11" s="39">
        <f t="shared" si="0"/>
        <v>36000</v>
      </c>
      <c r="D11" s="39">
        <f t="shared" si="1"/>
        <v>25200</v>
      </c>
      <c r="E11" s="39">
        <f t="shared" si="2"/>
        <v>25200</v>
      </c>
      <c r="F11" s="38">
        <v>1</v>
      </c>
      <c r="G11" s="38" t="s">
        <v>11</v>
      </c>
      <c r="H11" s="38" t="s">
        <v>12</v>
      </c>
      <c r="I11" s="38" t="s">
        <v>71</v>
      </c>
      <c r="J11" s="64">
        <v>15308.4</v>
      </c>
      <c r="K11" s="63">
        <f t="shared" si="3"/>
        <v>35209.32</v>
      </c>
    </row>
    <row r="12" spans="1:11" ht="25.5" x14ac:dyDescent="0.25">
      <c r="A12" s="38"/>
      <c r="B12" s="38" t="s">
        <v>221</v>
      </c>
      <c r="C12" s="39">
        <f t="shared" si="0"/>
        <v>51000</v>
      </c>
      <c r="D12" s="39">
        <f t="shared" si="1"/>
        <v>35700</v>
      </c>
      <c r="E12" s="39">
        <f t="shared" si="2"/>
        <v>35700</v>
      </c>
      <c r="F12" s="38">
        <v>1</v>
      </c>
      <c r="G12" s="38" t="s">
        <v>11</v>
      </c>
      <c r="H12" s="38" t="s">
        <v>12</v>
      </c>
      <c r="I12" s="38" t="s">
        <v>71</v>
      </c>
      <c r="J12" s="64">
        <v>22000</v>
      </c>
      <c r="K12" s="63">
        <f t="shared" si="3"/>
        <v>50599.999999999993</v>
      </c>
    </row>
    <row r="13" spans="1:11" ht="25.5" x14ac:dyDescent="0.25">
      <c r="A13" s="38"/>
      <c r="B13" s="38" t="s">
        <v>79</v>
      </c>
      <c r="C13" s="39">
        <f t="shared" si="0"/>
        <v>82000</v>
      </c>
      <c r="D13" s="39">
        <f t="shared" si="1"/>
        <v>57399.999999999993</v>
      </c>
      <c r="E13" s="39">
        <f t="shared" si="2"/>
        <v>57399.999999999993</v>
      </c>
      <c r="F13" s="38">
        <v>1</v>
      </c>
      <c r="G13" s="38" t="s">
        <v>11</v>
      </c>
      <c r="H13" s="38" t="s">
        <v>12</v>
      </c>
      <c r="I13" s="38" t="s">
        <v>80</v>
      </c>
      <c r="J13" s="64">
        <v>35422.600000000006</v>
      </c>
      <c r="K13" s="63">
        <f t="shared" si="3"/>
        <v>81471.98000000001</v>
      </c>
    </row>
    <row r="14" spans="1:11" ht="25.5" x14ac:dyDescent="0.25">
      <c r="A14" s="38"/>
      <c r="B14" s="38" t="s">
        <v>83</v>
      </c>
      <c r="C14" s="39">
        <f t="shared" si="0"/>
        <v>37000</v>
      </c>
      <c r="D14" s="39">
        <f t="shared" si="1"/>
        <v>25900</v>
      </c>
      <c r="E14" s="39">
        <f t="shared" si="2"/>
        <v>25900</v>
      </c>
      <c r="F14" s="38">
        <v>1</v>
      </c>
      <c r="G14" s="38" t="s">
        <v>11</v>
      </c>
      <c r="H14" s="38" t="s">
        <v>12</v>
      </c>
      <c r="I14" s="38" t="s">
        <v>80</v>
      </c>
      <c r="J14" s="64">
        <v>15677.8</v>
      </c>
      <c r="K14" s="63">
        <f t="shared" si="3"/>
        <v>36058.939999999995</v>
      </c>
    </row>
    <row r="15" spans="1:11" ht="25.5" x14ac:dyDescent="0.25">
      <c r="A15" s="38"/>
      <c r="B15" s="38" t="s">
        <v>221</v>
      </c>
      <c r="C15" s="39">
        <f t="shared" si="0"/>
        <v>51000</v>
      </c>
      <c r="D15" s="39">
        <f t="shared" si="1"/>
        <v>35700</v>
      </c>
      <c r="E15" s="39">
        <f t="shared" si="2"/>
        <v>35700</v>
      </c>
      <c r="F15" s="38">
        <v>1</v>
      </c>
      <c r="G15" s="38" t="s">
        <v>11</v>
      </c>
      <c r="H15" s="38" t="s">
        <v>12</v>
      </c>
      <c r="I15" s="38" t="s">
        <v>80</v>
      </c>
      <c r="J15" s="64">
        <v>22000</v>
      </c>
      <c r="K15" s="63">
        <f t="shared" si="3"/>
        <v>50599.999999999993</v>
      </c>
    </row>
    <row r="16" spans="1:11" ht="25.5" x14ac:dyDescent="0.25">
      <c r="A16" s="38"/>
      <c r="B16" s="38" t="s">
        <v>84</v>
      </c>
      <c r="C16" s="39">
        <f t="shared" si="0"/>
        <v>126000</v>
      </c>
      <c r="D16" s="39">
        <f t="shared" si="1"/>
        <v>88200</v>
      </c>
      <c r="E16" s="39">
        <f t="shared" si="2"/>
        <v>88200</v>
      </c>
      <c r="F16" s="38">
        <v>1</v>
      </c>
      <c r="G16" s="38" t="s">
        <v>11</v>
      </c>
      <c r="H16" s="38" t="s">
        <v>12</v>
      </c>
      <c r="I16" s="38" t="s">
        <v>85</v>
      </c>
      <c r="J16" s="64">
        <v>54425.8</v>
      </c>
      <c r="K16" s="63">
        <f t="shared" si="3"/>
        <v>125179.34</v>
      </c>
    </row>
    <row r="17" spans="1:11" ht="25.5" x14ac:dyDescent="0.25">
      <c r="A17" s="38"/>
      <c r="B17" s="38" t="s">
        <v>86</v>
      </c>
      <c r="C17" s="39">
        <f t="shared" si="0"/>
        <v>91000</v>
      </c>
      <c r="D17" s="39">
        <f t="shared" si="1"/>
        <v>63699.999999999993</v>
      </c>
      <c r="E17" s="39">
        <f t="shared" si="2"/>
        <v>63699.999999999993</v>
      </c>
      <c r="F17" s="38">
        <v>1</v>
      </c>
      <c r="G17" s="38" t="s">
        <v>11</v>
      </c>
      <c r="H17" s="38" t="s">
        <v>12</v>
      </c>
      <c r="I17" s="38" t="s">
        <v>85</v>
      </c>
      <c r="J17" s="64">
        <v>39143.199999999997</v>
      </c>
      <c r="K17" s="63">
        <f t="shared" si="3"/>
        <v>90029.359999999986</v>
      </c>
    </row>
    <row r="18" spans="1:11" ht="25.5" x14ac:dyDescent="0.25">
      <c r="A18" s="38"/>
      <c r="B18" s="38" t="s">
        <v>331</v>
      </c>
      <c r="C18" s="39">
        <f t="shared" si="0"/>
        <v>36000</v>
      </c>
      <c r="D18" s="39">
        <f t="shared" si="1"/>
        <v>25200</v>
      </c>
      <c r="E18" s="39">
        <f t="shared" si="2"/>
        <v>25200</v>
      </c>
      <c r="F18" s="38">
        <v>1</v>
      </c>
      <c r="G18" s="38" t="s">
        <v>11</v>
      </c>
      <c r="H18" s="38" t="s">
        <v>12</v>
      </c>
      <c r="I18" s="38" t="s">
        <v>85</v>
      </c>
      <c r="J18" s="64">
        <v>15308.4</v>
      </c>
      <c r="K18" s="63">
        <f t="shared" si="3"/>
        <v>35209.32</v>
      </c>
    </row>
    <row r="19" spans="1:11" ht="25.5" x14ac:dyDescent="0.25">
      <c r="A19" s="38"/>
      <c r="B19" s="38" t="s">
        <v>221</v>
      </c>
      <c r="C19" s="39">
        <f t="shared" si="0"/>
        <v>51000</v>
      </c>
      <c r="D19" s="39">
        <f t="shared" si="1"/>
        <v>35700</v>
      </c>
      <c r="E19" s="39">
        <f t="shared" si="2"/>
        <v>35700</v>
      </c>
      <c r="F19" s="38">
        <v>1</v>
      </c>
      <c r="G19" s="38" t="s">
        <v>11</v>
      </c>
      <c r="H19" s="38" t="s">
        <v>12</v>
      </c>
      <c r="I19" s="38" t="s">
        <v>85</v>
      </c>
      <c r="J19" s="64">
        <v>22000</v>
      </c>
      <c r="K19" s="63">
        <f t="shared" si="3"/>
        <v>50599.999999999993</v>
      </c>
    </row>
    <row r="20" spans="1:11" ht="25.5" x14ac:dyDescent="0.25">
      <c r="A20" s="38"/>
      <c r="B20" s="38" t="s">
        <v>89</v>
      </c>
      <c r="C20" s="39">
        <f t="shared" si="0"/>
        <v>93000</v>
      </c>
      <c r="D20" s="39">
        <f t="shared" si="1"/>
        <v>65099.999999999993</v>
      </c>
      <c r="E20" s="39">
        <f t="shared" si="2"/>
        <v>65099.999999999993</v>
      </c>
      <c r="F20" s="38">
        <v>1</v>
      </c>
      <c r="G20" s="38" t="s">
        <v>11</v>
      </c>
      <c r="H20" s="38" t="s">
        <v>12</v>
      </c>
      <c r="I20" s="38" t="s">
        <v>90</v>
      </c>
      <c r="J20" s="64">
        <v>40077.4</v>
      </c>
      <c r="K20" s="63">
        <f t="shared" si="3"/>
        <v>92178.01999999999</v>
      </c>
    </row>
    <row r="21" spans="1:11" ht="25.5" x14ac:dyDescent="0.25">
      <c r="A21" s="38"/>
      <c r="B21" s="38" t="s">
        <v>93</v>
      </c>
      <c r="C21" s="39">
        <f t="shared" si="0"/>
        <v>40000</v>
      </c>
      <c r="D21" s="39">
        <f t="shared" si="1"/>
        <v>28000</v>
      </c>
      <c r="E21" s="39">
        <f t="shared" si="2"/>
        <v>28000</v>
      </c>
      <c r="F21" s="38">
        <v>1</v>
      </c>
      <c r="G21" s="38" t="s">
        <v>11</v>
      </c>
      <c r="H21" s="38" t="s">
        <v>12</v>
      </c>
      <c r="I21" s="38" t="s">
        <v>90</v>
      </c>
      <c r="J21" s="64">
        <v>17080</v>
      </c>
      <c r="K21" s="63">
        <f t="shared" si="3"/>
        <v>39284</v>
      </c>
    </row>
    <row r="22" spans="1:11" ht="25.5" x14ac:dyDescent="0.25">
      <c r="A22" s="38"/>
      <c r="B22" s="38" t="s">
        <v>50</v>
      </c>
      <c r="C22" s="39">
        <f t="shared" si="0"/>
        <v>53000</v>
      </c>
      <c r="D22" s="39">
        <f t="shared" si="1"/>
        <v>37100</v>
      </c>
      <c r="E22" s="39">
        <f t="shared" si="2"/>
        <v>37100</v>
      </c>
      <c r="F22" s="38">
        <v>1</v>
      </c>
      <c r="G22" s="38" t="s">
        <v>11</v>
      </c>
      <c r="H22" s="38" t="s">
        <v>12</v>
      </c>
      <c r="I22" s="38" t="s">
        <v>90</v>
      </c>
      <c r="J22" s="64">
        <v>23000</v>
      </c>
      <c r="K22" s="63">
        <f t="shared" si="3"/>
        <v>52899.999999999993</v>
      </c>
    </row>
    <row r="23" spans="1:11" ht="25.5" x14ac:dyDescent="0.25">
      <c r="A23" s="38"/>
      <c r="B23" s="38" t="s">
        <v>94</v>
      </c>
      <c r="C23" s="39">
        <f t="shared" si="0"/>
        <v>94000</v>
      </c>
      <c r="D23" s="39">
        <f t="shared" si="1"/>
        <v>65800</v>
      </c>
      <c r="E23" s="39">
        <f t="shared" si="2"/>
        <v>65800</v>
      </c>
      <c r="F23" s="38">
        <v>1</v>
      </c>
      <c r="G23" s="38" t="s">
        <v>11</v>
      </c>
      <c r="H23" s="38" t="s">
        <v>12</v>
      </c>
      <c r="I23" s="38" t="s">
        <v>95</v>
      </c>
      <c r="J23" s="64">
        <v>40735</v>
      </c>
      <c r="K23" s="63">
        <f t="shared" si="3"/>
        <v>93690.5</v>
      </c>
    </row>
    <row r="24" spans="1:11" ht="25.5" x14ac:dyDescent="0.25">
      <c r="A24" s="38"/>
      <c r="B24" s="38" t="s">
        <v>98</v>
      </c>
      <c r="C24" s="39">
        <f t="shared" si="0"/>
        <v>38000</v>
      </c>
      <c r="D24" s="39">
        <f t="shared" si="1"/>
        <v>26600</v>
      </c>
      <c r="E24" s="39">
        <f t="shared" si="2"/>
        <v>26600</v>
      </c>
      <c r="F24" s="38">
        <v>1</v>
      </c>
      <c r="G24" s="38" t="s">
        <v>11</v>
      </c>
      <c r="H24" s="38" t="s">
        <v>12</v>
      </c>
      <c r="I24" s="38" t="s">
        <v>95</v>
      </c>
      <c r="J24" s="64">
        <v>16343.8</v>
      </c>
      <c r="K24" s="63">
        <f t="shared" si="3"/>
        <v>37590.74</v>
      </c>
    </row>
    <row r="25" spans="1:11" ht="25.5" x14ac:dyDescent="0.25">
      <c r="A25" s="38"/>
      <c r="B25" s="38" t="s">
        <v>221</v>
      </c>
      <c r="C25" s="39">
        <f t="shared" si="0"/>
        <v>51000</v>
      </c>
      <c r="D25" s="39">
        <f t="shared" si="1"/>
        <v>35700</v>
      </c>
      <c r="E25" s="39">
        <f t="shared" si="2"/>
        <v>35700</v>
      </c>
      <c r="F25" s="38">
        <v>1</v>
      </c>
      <c r="G25" s="38" t="s">
        <v>11</v>
      </c>
      <c r="H25" s="38" t="s">
        <v>12</v>
      </c>
      <c r="I25" s="38" t="s">
        <v>95</v>
      </c>
      <c r="J25" s="64">
        <v>22000</v>
      </c>
      <c r="K25" s="63">
        <f t="shared" si="3"/>
        <v>50599.999999999993</v>
      </c>
    </row>
    <row r="26" spans="1:11" ht="25.5" x14ac:dyDescent="0.25">
      <c r="A26" s="38"/>
      <c r="B26" s="38" t="s">
        <v>101</v>
      </c>
      <c r="C26" s="39">
        <f t="shared" si="0"/>
        <v>117000</v>
      </c>
      <c r="D26" s="39">
        <f t="shared" si="1"/>
        <v>81900</v>
      </c>
      <c r="E26" s="39">
        <f t="shared" si="2"/>
        <v>81900</v>
      </c>
      <c r="F26" s="38">
        <v>1</v>
      </c>
      <c r="G26" s="38" t="s">
        <v>11</v>
      </c>
      <c r="H26" s="38" t="s">
        <v>12</v>
      </c>
      <c r="I26" s="38" t="s">
        <v>102</v>
      </c>
      <c r="J26" s="64">
        <v>50782.600000000006</v>
      </c>
      <c r="K26" s="63">
        <f t="shared" si="3"/>
        <v>116799.98000000001</v>
      </c>
    </row>
    <row r="27" spans="1:11" ht="25.5" x14ac:dyDescent="0.25">
      <c r="A27" s="38"/>
      <c r="B27" s="38" t="s">
        <v>114</v>
      </c>
      <c r="C27" s="39">
        <f t="shared" si="0"/>
        <v>271000</v>
      </c>
      <c r="D27" s="39">
        <f t="shared" si="1"/>
        <v>189700</v>
      </c>
      <c r="E27" s="39">
        <f t="shared" si="2"/>
        <v>189700</v>
      </c>
      <c r="F27" s="38">
        <v>1</v>
      </c>
      <c r="G27" s="38" t="s">
        <v>11</v>
      </c>
      <c r="H27" s="38" t="s">
        <v>12</v>
      </c>
      <c r="I27" s="38" t="s">
        <v>102</v>
      </c>
      <c r="J27" s="64">
        <v>117641.8</v>
      </c>
      <c r="K27" s="63">
        <f t="shared" si="3"/>
        <v>270576.14</v>
      </c>
    </row>
    <row r="28" spans="1:11" ht="25.5" x14ac:dyDescent="0.25">
      <c r="A28" s="38"/>
      <c r="B28" s="38" t="s">
        <v>135</v>
      </c>
      <c r="C28" s="39">
        <f t="shared" si="0"/>
        <v>150000</v>
      </c>
      <c r="D28" s="39">
        <f t="shared" si="1"/>
        <v>105000</v>
      </c>
      <c r="E28" s="39">
        <f t="shared" si="2"/>
        <v>105000</v>
      </c>
      <c r="F28" s="38">
        <v>1</v>
      </c>
      <c r="G28" s="38" t="s">
        <v>11</v>
      </c>
      <c r="H28" s="38" t="s">
        <v>12</v>
      </c>
      <c r="I28" s="38" t="s">
        <v>102</v>
      </c>
      <c r="J28" s="64">
        <v>65093.200000000004</v>
      </c>
      <c r="K28" s="63">
        <f t="shared" si="3"/>
        <v>149714.35999999999</v>
      </c>
    </row>
    <row r="29" spans="1:11" ht="25.5" x14ac:dyDescent="0.25">
      <c r="A29" s="38"/>
      <c r="B29" s="38" t="s">
        <v>139</v>
      </c>
      <c r="C29" s="39">
        <f t="shared" si="0"/>
        <v>132000</v>
      </c>
      <c r="D29" s="39">
        <f t="shared" si="1"/>
        <v>92400</v>
      </c>
      <c r="E29" s="39">
        <f t="shared" si="2"/>
        <v>92400</v>
      </c>
      <c r="F29" s="38">
        <v>1</v>
      </c>
      <c r="G29" s="38" t="s">
        <v>11</v>
      </c>
      <c r="H29" s="38" t="s">
        <v>12</v>
      </c>
      <c r="I29" s="38" t="s">
        <v>102</v>
      </c>
      <c r="J29" s="64">
        <v>57053.8</v>
      </c>
      <c r="K29" s="63">
        <f t="shared" si="3"/>
        <v>131223.74</v>
      </c>
    </row>
    <row r="30" spans="1:11" ht="25.5" x14ac:dyDescent="0.25">
      <c r="A30" s="38"/>
      <c r="B30" s="38" t="s">
        <v>140</v>
      </c>
      <c r="C30" s="39">
        <f t="shared" si="0"/>
        <v>204000</v>
      </c>
      <c r="D30" s="39">
        <f t="shared" si="1"/>
        <v>142800</v>
      </c>
      <c r="E30" s="39">
        <f t="shared" si="2"/>
        <v>142800</v>
      </c>
      <c r="F30" s="38">
        <v>1</v>
      </c>
      <c r="G30" s="38" t="s">
        <v>11</v>
      </c>
      <c r="H30" s="38" t="s">
        <v>12</v>
      </c>
      <c r="I30" s="38" t="s">
        <v>102</v>
      </c>
      <c r="J30" s="64">
        <v>88553.8</v>
      </c>
      <c r="K30" s="63">
        <f t="shared" si="3"/>
        <v>203673.74</v>
      </c>
    </row>
    <row r="31" spans="1:11" ht="25.5" x14ac:dyDescent="0.25">
      <c r="A31" s="38"/>
      <c r="B31" s="38" t="s">
        <v>143</v>
      </c>
      <c r="C31" s="39">
        <f t="shared" si="0"/>
        <v>100000</v>
      </c>
      <c r="D31" s="39">
        <f t="shared" si="1"/>
        <v>70000</v>
      </c>
      <c r="E31" s="39">
        <f t="shared" si="2"/>
        <v>70000</v>
      </c>
      <c r="F31" s="38">
        <v>1</v>
      </c>
      <c r="G31" s="38" t="s">
        <v>11</v>
      </c>
      <c r="H31" s="38" t="s">
        <v>12</v>
      </c>
      <c r="I31" s="38" t="s">
        <v>102</v>
      </c>
      <c r="J31" s="64">
        <v>43129</v>
      </c>
      <c r="K31" s="63">
        <f t="shared" si="3"/>
        <v>99196.7</v>
      </c>
    </row>
    <row r="32" spans="1:11" ht="25.5" x14ac:dyDescent="0.25">
      <c r="A32" s="38"/>
      <c r="B32" s="38" t="s">
        <v>144</v>
      </c>
      <c r="C32" s="39">
        <f t="shared" si="0"/>
        <v>41000</v>
      </c>
      <c r="D32" s="39">
        <f t="shared" si="1"/>
        <v>28699.999999999996</v>
      </c>
      <c r="E32" s="39">
        <f t="shared" si="2"/>
        <v>28699.999999999996</v>
      </c>
      <c r="F32" s="38">
        <v>1</v>
      </c>
      <c r="G32" s="38" t="s">
        <v>11</v>
      </c>
      <c r="H32" s="38" t="s">
        <v>12</v>
      </c>
      <c r="I32" s="38" t="s">
        <v>102</v>
      </c>
      <c r="J32" s="64">
        <v>17441.8</v>
      </c>
      <c r="K32" s="63">
        <f t="shared" si="3"/>
        <v>40116.139999999992</v>
      </c>
    </row>
    <row r="33" spans="1:11" ht="25.5" x14ac:dyDescent="0.25">
      <c r="A33" s="38"/>
      <c r="B33" s="38" t="s">
        <v>145</v>
      </c>
      <c r="C33" s="39">
        <f t="shared" si="0"/>
        <v>132000</v>
      </c>
      <c r="D33" s="39">
        <f t="shared" si="1"/>
        <v>92400</v>
      </c>
      <c r="E33" s="39">
        <f t="shared" si="2"/>
        <v>92400</v>
      </c>
      <c r="F33" s="38">
        <v>1</v>
      </c>
      <c r="G33" s="38" t="s">
        <v>11</v>
      </c>
      <c r="H33" s="38" t="s">
        <v>12</v>
      </c>
      <c r="I33" s="38" t="s">
        <v>102</v>
      </c>
      <c r="J33" s="64">
        <v>57375.4</v>
      </c>
      <c r="K33" s="63">
        <f t="shared" si="3"/>
        <v>131963.41999999998</v>
      </c>
    </row>
    <row r="34" spans="1:11" ht="25.5" x14ac:dyDescent="0.25">
      <c r="A34" s="38"/>
      <c r="B34" s="38" t="s">
        <v>333</v>
      </c>
      <c r="C34" s="39">
        <f t="shared" si="0"/>
        <v>36000</v>
      </c>
      <c r="D34" s="39">
        <f t="shared" si="1"/>
        <v>25200</v>
      </c>
      <c r="E34" s="39">
        <f t="shared" si="2"/>
        <v>25200</v>
      </c>
      <c r="F34" s="38">
        <v>1</v>
      </c>
      <c r="G34" s="38" t="s">
        <v>11</v>
      </c>
      <c r="H34" s="38" t="s">
        <v>12</v>
      </c>
      <c r="I34" s="38" t="s">
        <v>102</v>
      </c>
      <c r="J34" s="64">
        <v>15308.4</v>
      </c>
      <c r="K34" s="63">
        <f t="shared" si="3"/>
        <v>35209.32</v>
      </c>
    </row>
    <row r="35" spans="1:11" ht="25.5" x14ac:dyDescent="0.25">
      <c r="A35" s="38"/>
      <c r="B35" s="38" t="s">
        <v>334</v>
      </c>
      <c r="C35" s="39">
        <f t="shared" si="0"/>
        <v>36000</v>
      </c>
      <c r="D35" s="39">
        <f t="shared" si="1"/>
        <v>25200</v>
      </c>
      <c r="E35" s="39">
        <f t="shared" si="2"/>
        <v>25200</v>
      </c>
      <c r="F35" s="38">
        <v>1</v>
      </c>
      <c r="G35" s="38" t="s">
        <v>11</v>
      </c>
      <c r="H35" s="38" t="s">
        <v>12</v>
      </c>
      <c r="I35" s="38" t="s">
        <v>102</v>
      </c>
      <c r="J35" s="64">
        <v>15308.4</v>
      </c>
      <c r="K35" s="63">
        <f t="shared" si="3"/>
        <v>35209.32</v>
      </c>
    </row>
    <row r="36" spans="1:11" ht="25.5" x14ac:dyDescent="0.25">
      <c r="A36" s="38"/>
      <c r="B36" s="38" t="s">
        <v>146</v>
      </c>
      <c r="C36" s="39">
        <f t="shared" si="0"/>
        <v>46000</v>
      </c>
      <c r="D36" s="39">
        <f t="shared" si="1"/>
        <v>32199.999999999996</v>
      </c>
      <c r="E36" s="39">
        <f t="shared" si="2"/>
        <v>32199.999999999996</v>
      </c>
      <c r="F36" s="38">
        <v>1</v>
      </c>
      <c r="G36" s="38" t="s">
        <v>11</v>
      </c>
      <c r="H36" s="38" t="s">
        <v>12</v>
      </c>
      <c r="I36" s="38" t="s">
        <v>102</v>
      </c>
      <c r="J36" s="64">
        <v>19999</v>
      </c>
      <c r="K36" s="63">
        <f t="shared" si="3"/>
        <v>45997.7</v>
      </c>
    </row>
    <row r="37" spans="1:11" ht="25.5" x14ac:dyDescent="0.25">
      <c r="A37" s="38"/>
      <c r="B37" s="38" t="s">
        <v>147</v>
      </c>
      <c r="C37" s="39">
        <f t="shared" si="0"/>
        <v>37000</v>
      </c>
      <c r="D37" s="39">
        <f t="shared" si="1"/>
        <v>25900</v>
      </c>
      <c r="E37" s="39">
        <f t="shared" si="2"/>
        <v>25900</v>
      </c>
      <c r="F37" s="38">
        <v>1</v>
      </c>
      <c r="G37" s="38" t="s">
        <v>11</v>
      </c>
      <c r="H37" s="38" t="s">
        <v>12</v>
      </c>
      <c r="I37" s="38" t="s">
        <v>102</v>
      </c>
      <c r="J37" s="64">
        <v>16044.4</v>
      </c>
      <c r="K37" s="63">
        <f t="shared" si="3"/>
        <v>36902.119999999995</v>
      </c>
    </row>
    <row r="38" spans="1:11" ht="25.5" x14ac:dyDescent="0.25">
      <c r="A38" s="38"/>
      <c r="B38" s="38" t="s">
        <v>150</v>
      </c>
      <c r="C38" s="39">
        <f t="shared" si="0"/>
        <v>283000</v>
      </c>
      <c r="D38" s="39">
        <f t="shared" si="1"/>
        <v>198100</v>
      </c>
      <c r="E38" s="39">
        <f t="shared" si="2"/>
        <v>198100</v>
      </c>
      <c r="F38" s="38">
        <v>1</v>
      </c>
      <c r="G38" s="38" t="s">
        <v>11</v>
      </c>
      <c r="H38" s="38" t="s">
        <v>12</v>
      </c>
      <c r="I38" s="38" t="s">
        <v>151</v>
      </c>
      <c r="J38" s="64">
        <v>122919.40000000001</v>
      </c>
      <c r="K38" s="63">
        <f t="shared" si="3"/>
        <v>282714.62</v>
      </c>
    </row>
    <row r="39" spans="1:11" ht="25.5" x14ac:dyDescent="0.25">
      <c r="A39" s="38"/>
      <c r="B39" s="38" t="s">
        <v>221</v>
      </c>
      <c r="C39" s="39">
        <f t="shared" si="0"/>
        <v>51000</v>
      </c>
      <c r="D39" s="39">
        <f t="shared" si="1"/>
        <v>35700</v>
      </c>
      <c r="E39" s="39">
        <f t="shared" si="2"/>
        <v>35700</v>
      </c>
      <c r="F39" s="38">
        <v>1</v>
      </c>
      <c r="G39" s="38" t="s">
        <v>11</v>
      </c>
      <c r="H39" s="38" t="s">
        <v>12</v>
      </c>
      <c r="I39" s="38" t="s">
        <v>151</v>
      </c>
      <c r="J39" s="64">
        <v>22000</v>
      </c>
      <c r="K39" s="63">
        <f t="shared" si="3"/>
        <v>50599.999999999993</v>
      </c>
    </row>
    <row r="40" spans="1:11" ht="25.5" x14ac:dyDescent="0.25">
      <c r="A40" s="38"/>
      <c r="B40" s="38" t="s">
        <v>161</v>
      </c>
      <c r="C40" s="39">
        <f t="shared" si="0"/>
        <v>28000</v>
      </c>
      <c r="D40" s="39">
        <f t="shared" si="1"/>
        <v>19600</v>
      </c>
      <c r="E40" s="39">
        <f t="shared" si="2"/>
        <v>19600</v>
      </c>
      <c r="F40" s="38">
        <v>1</v>
      </c>
      <c r="G40" s="38" t="s">
        <v>11</v>
      </c>
      <c r="H40" s="38" t="s">
        <v>12</v>
      </c>
      <c r="I40" s="38" t="s">
        <v>151</v>
      </c>
      <c r="J40" s="64">
        <v>12111</v>
      </c>
      <c r="K40" s="63">
        <f t="shared" si="3"/>
        <v>27855.3</v>
      </c>
    </row>
    <row r="41" spans="1:11" ht="25.5" x14ac:dyDescent="0.25">
      <c r="A41" s="38"/>
      <c r="B41" s="38" t="s">
        <v>162</v>
      </c>
      <c r="C41" s="39">
        <f t="shared" si="0"/>
        <v>5000</v>
      </c>
      <c r="D41" s="39">
        <f t="shared" si="1"/>
        <v>3500</v>
      </c>
      <c r="E41" s="39">
        <f t="shared" si="2"/>
        <v>3500</v>
      </c>
      <c r="F41" s="38">
        <v>1</v>
      </c>
      <c r="G41" s="38" t="s">
        <v>11</v>
      </c>
      <c r="H41" s="38" t="s">
        <v>12</v>
      </c>
      <c r="I41" s="38" t="s">
        <v>151</v>
      </c>
      <c r="J41" s="64">
        <v>2040.6</v>
      </c>
      <c r="K41" s="63">
        <f t="shared" si="3"/>
        <v>4693.3799999999992</v>
      </c>
    </row>
    <row r="42" spans="1:11" ht="25.5" x14ac:dyDescent="0.25">
      <c r="A42" s="38"/>
      <c r="B42" s="38" t="s">
        <v>243</v>
      </c>
      <c r="C42" s="39">
        <f t="shared" si="0"/>
        <v>280000</v>
      </c>
      <c r="D42" s="39">
        <f t="shared" si="1"/>
        <v>196000</v>
      </c>
      <c r="E42" s="39">
        <f t="shared" si="2"/>
        <v>196000</v>
      </c>
      <c r="F42" s="38">
        <v>1</v>
      </c>
      <c r="G42" s="38" t="s">
        <v>11</v>
      </c>
      <c r="H42" s="38" t="s">
        <v>12</v>
      </c>
      <c r="I42" s="38" t="s">
        <v>166</v>
      </c>
      <c r="J42" s="64">
        <v>121490.2</v>
      </c>
      <c r="K42" s="63">
        <f t="shared" si="3"/>
        <v>279427.45999999996</v>
      </c>
    </row>
    <row r="43" spans="1:11" ht="25.5" x14ac:dyDescent="0.25">
      <c r="A43" s="38"/>
      <c r="B43" s="38" t="s">
        <v>167</v>
      </c>
      <c r="C43" s="39">
        <f t="shared" si="0"/>
        <v>48000</v>
      </c>
      <c r="D43" s="39">
        <f t="shared" si="1"/>
        <v>33600</v>
      </c>
      <c r="E43" s="39">
        <f t="shared" si="2"/>
        <v>33600</v>
      </c>
      <c r="F43" s="38">
        <v>1</v>
      </c>
      <c r="G43" s="38" t="s">
        <v>11</v>
      </c>
      <c r="H43" s="38" t="s">
        <v>12</v>
      </c>
      <c r="I43" s="38" t="s">
        <v>166</v>
      </c>
      <c r="J43" s="64">
        <v>20458</v>
      </c>
      <c r="K43" s="63">
        <f t="shared" si="3"/>
        <v>47053.399999999994</v>
      </c>
    </row>
    <row r="44" spans="1:11" ht="25.5" x14ac:dyDescent="0.25">
      <c r="A44" s="38"/>
      <c r="B44" s="38" t="s">
        <v>50</v>
      </c>
      <c r="C44" s="39">
        <f t="shared" si="0"/>
        <v>53000</v>
      </c>
      <c r="D44" s="39">
        <f t="shared" si="1"/>
        <v>37100</v>
      </c>
      <c r="E44" s="39">
        <f t="shared" si="2"/>
        <v>37100</v>
      </c>
      <c r="F44" s="38">
        <v>1</v>
      </c>
      <c r="G44" s="38" t="s">
        <v>11</v>
      </c>
      <c r="H44" s="38" t="s">
        <v>12</v>
      </c>
      <c r="I44" s="38" t="s">
        <v>166</v>
      </c>
      <c r="J44" s="64">
        <v>23000</v>
      </c>
      <c r="K44" s="63">
        <f t="shared" si="3"/>
        <v>52899.999999999993</v>
      </c>
    </row>
    <row r="45" spans="1:11" ht="25.5" x14ac:dyDescent="0.25">
      <c r="A45" s="38"/>
      <c r="B45" s="38" t="s">
        <v>168</v>
      </c>
      <c r="C45" s="39">
        <f t="shared" si="0"/>
        <v>28000</v>
      </c>
      <c r="D45" s="39">
        <f t="shared" si="1"/>
        <v>19600</v>
      </c>
      <c r="E45" s="39">
        <f t="shared" si="2"/>
        <v>19600</v>
      </c>
      <c r="F45" s="38">
        <v>1</v>
      </c>
      <c r="G45" s="38" t="s">
        <v>11</v>
      </c>
      <c r="H45" s="38" t="s">
        <v>12</v>
      </c>
      <c r="I45" s="38" t="s">
        <v>166</v>
      </c>
      <c r="J45" s="64">
        <v>12111</v>
      </c>
      <c r="K45" s="63">
        <f t="shared" si="3"/>
        <v>27855.3</v>
      </c>
    </row>
    <row r="46" spans="1:11" ht="25.5" x14ac:dyDescent="0.25">
      <c r="A46" s="38"/>
      <c r="B46" s="38" t="s">
        <v>190</v>
      </c>
      <c r="C46" s="39">
        <f t="shared" si="0"/>
        <v>5000</v>
      </c>
      <c r="D46" s="39">
        <f t="shared" si="1"/>
        <v>3500</v>
      </c>
      <c r="E46" s="39">
        <f t="shared" si="2"/>
        <v>3500</v>
      </c>
      <c r="F46" s="38">
        <v>1</v>
      </c>
      <c r="G46" s="38" t="s">
        <v>11</v>
      </c>
      <c r="H46" s="38" t="s">
        <v>12</v>
      </c>
      <c r="I46" s="38" t="s">
        <v>191</v>
      </c>
      <c r="J46" s="64">
        <v>2040.6</v>
      </c>
      <c r="K46" s="63">
        <f t="shared" si="3"/>
        <v>4693.3799999999992</v>
      </c>
    </row>
    <row r="47" spans="1:11" ht="25.5" x14ac:dyDescent="0.25">
      <c r="A47" s="38"/>
      <c r="B47" s="38" t="s">
        <v>195</v>
      </c>
      <c r="C47" s="39">
        <f t="shared" si="0"/>
        <v>280000</v>
      </c>
      <c r="D47" s="39">
        <f t="shared" si="1"/>
        <v>196000</v>
      </c>
      <c r="E47" s="39">
        <f t="shared" si="2"/>
        <v>196000</v>
      </c>
      <c r="F47" s="38">
        <v>1</v>
      </c>
      <c r="G47" s="38" t="s">
        <v>11</v>
      </c>
      <c r="H47" s="38" t="s">
        <v>12</v>
      </c>
      <c r="I47" s="38" t="s">
        <v>191</v>
      </c>
      <c r="J47" s="64">
        <v>121490.2</v>
      </c>
      <c r="K47" s="63">
        <f t="shared" si="3"/>
        <v>279427.45999999996</v>
      </c>
    </row>
    <row r="48" spans="1:11" x14ac:dyDescent="0.25">
      <c r="E48" s="72">
        <f>SUM(E2:E47)</f>
        <v>2995300</v>
      </c>
      <c r="J48" s="63">
        <v>39070</v>
      </c>
    </row>
    <row r="49" spans="10:10" x14ac:dyDescent="0.25">
      <c r="J49" s="63">
        <v>49600.2</v>
      </c>
    </row>
    <row r="50" spans="10:10" x14ac:dyDescent="0.25">
      <c r="J50" s="63">
        <v>44869</v>
      </c>
    </row>
    <row r="51" spans="10:10" x14ac:dyDescent="0.25">
      <c r="J51" s="63">
        <v>18520.599999999999</v>
      </c>
    </row>
  </sheetData>
  <autoFilter ref="A1:J51" xr:uid="{A125DA86-EDE4-4D48-BDB3-B3E0C44522B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8000-0503-4E80-B997-A1D9551EB754}">
  <dimension ref="A1:M151"/>
  <sheetViews>
    <sheetView topLeftCell="A133" workbookViewId="0">
      <selection activeCell="A140" sqref="A140:XFD151"/>
    </sheetView>
  </sheetViews>
  <sheetFormatPr defaultRowHeight="15" x14ac:dyDescent="0.25"/>
  <sheetData>
    <row r="1" spans="1:13" ht="24" customHeight="1" x14ac:dyDescent="0.25">
      <c r="A1" s="40"/>
      <c r="B1" s="38" t="s">
        <v>50</v>
      </c>
      <c r="C1" s="38"/>
      <c r="D1" s="38"/>
      <c r="E1" s="38" t="s">
        <v>50</v>
      </c>
      <c r="F1" s="39"/>
      <c r="G1" s="39"/>
      <c r="H1" s="39"/>
      <c r="I1" s="40">
        <v>1</v>
      </c>
      <c r="J1" s="38" t="s">
        <v>11</v>
      </c>
      <c r="K1" s="38" t="s">
        <v>196</v>
      </c>
      <c r="L1" s="38"/>
      <c r="M1" s="38" t="s">
        <v>13</v>
      </c>
    </row>
    <row r="2" spans="1:13" ht="108" x14ac:dyDescent="0.25">
      <c r="A2" s="51"/>
      <c r="B2" s="43" t="s">
        <v>50</v>
      </c>
      <c r="C2" s="43" t="s">
        <v>14</v>
      </c>
      <c r="D2" s="44" t="s">
        <v>224</v>
      </c>
      <c r="E2" s="43" t="s">
        <v>225</v>
      </c>
      <c r="F2" s="45"/>
      <c r="G2" s="45"/>
      <c r="H2" s="45" t="str">
        <f t="shared" ref="H2:H11" si="0">IF(OR(G2="",I2=""),"",G2*I2)</f>
        <v/>
      </c>
      <c r="I2" s="51">
        <v>1</v>
      </c>
      <c r="J2" s="52" t="s">
        <v>197</v>
      </c>
      <c r="K2" s="52" t="s">
        <v>226</v>
      </c>
      <c r="L2" s="52"/>
      <c r="M2" s="41" t="s">
        <v>13</v>
      </c>
    </row>
    <row r="3" spans="1:13" ht="72" x14ac:dyDescent="0.25">
      <c r="A3" s="51"/>
      <c r="B3" s="43" t="s">
        <v>50</v>
      </c>
      <c r="C3" s="43" t="s">
        <v>227</v>
      </c>
      <c r="D3" s="44" t="s">
        <v>228</v>
      </c>
      <c r="E3" s="43" t="s">
        <v>229</v>
      </c>
      <c r="F3" s="45"/>
      <c r="G3" s="45"/>
      <c r="H3" s="45" t="str">
        <f t="shared" si="0"/>
        <v/>
      </c>
      <c r="I3" s="51">
        <v>1</v>
      </c>
      <c r="J3" s="52" t="s">
        <v>197</v>
      </c>
      <c r="K3" s="50" t="s">
        <v>22</v>
      </c>
      <c r="L3" s="52"/>
      <c r="M3" s="41" t="s">
        <v>13</v>
      </c>
    </row>
    <row r="4" spans="1:13" ht="96" x14ac:dyDescent="0.25">
      <c r="A4" s="51"/>
      <c r="B4" s="43" t="s">
        <v>50</v>
      </c>
      <c r="C4" s="43" t="s">
        <v>23</v>
      </c>
      <c r="D4" s="44" t="s">
        <v>230</v>
      </c>
      <c r="E4" s="43" t="s">
        <v>231</v>
      </c>
      <c r="F4" s="45"/>
      <c r="G4" s="45"/>
      <c r="H4" s="45" t="str">
        <f t="shared" si="0"/>
        <v/>
      </c>
      <c r="I4" s="51">
        <v>1</v>
      </c>
      <c r="J4" s="52" t="s">
        <v>197</v>
      </c>
      <c r="K4" s="50" t="s">
        <v>22</v>
      </c>
      <c r="L4" s="52"/>
      <c r="M4" s="41" t="s">
        <v>13</v>
      </c>
    </row>
    <row r="5" spans="1:13" ht="108" x14ac:dyDescent="0.25">
      <c r="A5" s="51"/>
      <c r="B5" s="43" t="s">
        <v>50</v>
      </c>
      <c r="C5" s="43" t="s">
        <v>23</v>
      </c>
      <c r="D5" s="44" t="s">
        <v>232</v>
      </c>
      <c r="E5" s="43" t="s">
        <v>233</v>
      </c>
      <c r="F5" s="45"/>
      <c r="G5" s="45"/>
      <c r="H5" s="45" t="str">
        <f t="shared" si="0"/>
        <v/>
      </c>
      <c r="I5" s="51">
        <v>1</v>
      </c>
      <c r="J5" s="52" t="s">
        <v>197</v>
      </c>
      <c r="K5" s="50" t="s">
        <v>22</v>
      </c>
      <c r="L5" s="52"/>
      <c r="M5" s="41" t="s">
        <v>13</v>
      </c>
    </row>
    <row r="6" spans="1:13" ht="48" x14ac:dyDescent="0.25">
      <c r="A6" s="51"/>
      <c r="B6" s="43" t="s">
        <v>50</v>
      </c>
      <c r="C6" s="43" t="s">
        <v>132</v>
      </c>
      <c r="D6" s="44" t="s">
        <v>234</v>
      </c>
      <c r="E6" s="43" t="s">
        <v>235</v>
      </c>
      <c r="F6" s="45"/>
      <c r="G6" s="45"/>
      <c r="H6" s="45" t="str">
        <f t="shared" si="0"/>
        <v/>
      </c>
      <c r="I6" s="51">
        <v>1</v>
      </c>
      <c r="J6" s="52" t="s">
        <v>197</v>
      </c>
      <c r="K6" s="52" t="s">
        <v>236</v>
      </c>
      <c r="L6" s="52"/>
      <c r="M6" s="41" t="s">
        <v>13</v>
      </c>
    </row>
    <row r="7" spans="1:13" ht="84" x14ac:dyDescent="0.25">
      <c r="A7" s="51"/>
      <c r="B7" s="43" t="s">
        <v>50</v>
      </c>
      <c r="C7" s="43" t="s">
        <v>198</v>
      </c>
      <c r="D7" s="44" t="s">
        <v>199</v>
      </c>
      <c r="E7" s="43" t="s">
        <v>200</v>
      </c>
      <c r="F7" s="45"/>
      <c r="G7" s="45"/>
      <c r="H7" s="45" t="str">
        <f t="shared" si="0"/>
        <v/>
      </c>
      <c r="I7" s="51">
        <v>1</v>
      </c>
      <c r="J7" s="52" t="s">
        <v>197</v>
      </c>
      <c r="K7" s="52" t="s">
        <v>201</v>
      </c>
      <c r="L7" s="52"/>
      <c r="M7" s="41" t="s">
        <v>13</v>
      </c>
    </row>
    <row r="8" spans="1:13" ht="72" x14ac:dyDescent="0.25">
      <c r="A8" s="51"/>
      <c r="B8" s="43" t="s">
        <v>50</v>
      </c>
      <c r="C8" s="43" t="s">
        <v>198</v>
      </c>
      <c r="D8" s="44" t="s">
        <v>202</v>
      </c>
      <c r="E8" s="43" t="s">
        <v>203</v>
      </c>
      <c r="F8" s="45"/>
      <c r="G8" s="45"/>
      <c r="H8" s="45" t="str">
        <f t="shared" si="0"/>
        <v/>
      </c>
      <c r="I8" s="51">
        <v>1</v>
      </c>
      <c r="J8" s="52" t="s">
        <v>197</v>
      </c>
      <c r="K8" s="52" t="s">
        <v>201</v>
      </c>
      <c r="L8" s="52"/>
      <c r="M8" s="41" t="s">
        <v>13</v>
      </c>
    </row>
    <row r="9" spans="1:13" ht="96" x14ac:dyDescent="0.25">
      <c r="A9" s="51"/>
      <c r="B9" s="43" t="s">
        <v>50</v>
      </c>
      <c r="C9" s="43" t="s">
        <v>204</v>
      </c>
      <c r="D9" s="44" t="s">
        <v>205</v>
      </c>
      <c r="E9" s="43" t="s">
        <v>206</v>
      </c>
      <c r="F9" s="45"/>
      <c r="G9" s="45"/>
      <c r="H9" s="45" t="str">
        <f t="shared" si="0"/>
        <v/>
      </c>
      <c r="I9" s="51">
        <v>1</v>
      </c>
      <c r="J9" s="52" t="s">
        <v>197</v>
      </c>
      <c r="K9" s="52" t="s">
        <v>207</v>
      </c>
      <c r="L9" s="52"/>
      <c r="M9" s="41" t="s">
        <v>13</v>
      </c>
    </row>
    <row r="10" spans="1:13" ht="72" x14ac:dyDescent="0.25">
      <c r="A10" s="51"/>
      <c r="B10" s="43" t="s">
        <v>50</v>
      </c>
      <c r="C10" s="43" t="s">
        <v>208</v>
      </c>
      <c r="D10" s="44" t="s">
        <v>209</v>
      </c>
      <c r="E10" s="43" t="s">
        <v>210</v>
      </c>
      <c r="F10" s="45"/>
      <c r="G10" s="45"/>
      <c r="H10" s="45" t="str">
        <f t="shared" si="0"/>
        <v/>
      </c>
      <c r="I10" s="51">
        <v>12</v>
      </c>
      <c r="J10" s="52" t="s">
        <v>197</v>
      </c>
      <c r="K10" s="52" t="s">
        <v>211</v>
      </c>
      <c r="L10" s="52"/>
      <c r="M10" s="41" t="s">
        <v>13</v>
      </c>
    </row>
    <row r="11" spans="1:13" ht="96" x14ac:dyDescent="0.25">
      <c r="A11" s="51"/>
      <c r="B11" s="43" t="s">
        <v>50</v>
      </c>
      <c r="C11" s="43" t="s">
        <v>212</v>
      </c>
      <c r="D11" s="44" t="s">
        <v>213</v>
      </c>
      <c r="E11" s="43" t="s">
        <v>214</v>
      </c>
      <c r="F11" s="45"/>
      <c r="G11" s="45"/>
      <c r="H11" s="45" t="str">
        <f t="shared" si="0"/>
        <v/>
      </c>
      <c r="I11" s="51">
        <v>1</v>
      </c>
      <c r="J11" s="52" t="s">
        <v>197</v>
      </c>
      <c r="K11" s="52" t="s">
        <v>215</v>
      </c>
      <c r="L11" s="52"/>
      <c r="M11" s="41" t="s">
        <v>13</v>
      </c>
    </row>
    <row r="12" spans="1:13" ht="36" x14ac:dyDescent="0.25">
      <c r="A12" s="49"/>
      <c r="B12" s="41" t="s">
        <v>50</v>
      </c>
      <c r="C12" s="41" t="s">
        <v>216</v>
      </c>
      <c r="D12" s="41" t="s">
        <v>216</v>
      </c>
      <c r="E12" s="41" t="s">
        <v>217</v>
      </c>
      <c r="F12" s="42">
        <f ca="1">OFFSET(F12,1,2)</f>
        <v>0</v>
      </c>
      <c r="G12" s="42">
        <f ca="1">F12</f>
        <v>0</v>
      </c>
      <c r="H12" s="42">
        <f ca="1">G12*I12</f>
        <v>0</v>
      </c>
      <c r="I12" s="49">
        <v>1</v>
      </c>
      <c r="J12" s="50" t="s">
        <v>197</v>
      </c>
      <c r="K12" s="41" t="s">
        <v>216</v>
      </c>
      <c r="L12" s="50"/>
      <c r="M12" s="41" t="s">
        <v>13</v>
      </c>
    </row>
    <row r="13" spans="1:13" ht="36" x14ac:dyDescent="0.25">
      <c r="A13" s="49"/>
      <c r="B13" s="41" t="s">
        <v>50</v>
      </c>
      <c r="C13" s="41" t="s">
        <v>218</v>
      </c>
      <c r="D13" s="41" t="s">
        <v>218</v>
      </c>
      <c r="E13" s="41" t="s">
        <v>219</v>
      </c>
      <c r="F13" s="42"/>
      <c r="G13" s="42">
        <v>100</v>
      </c>
      <c r="H13" s="42">
        <f>IF(OR(G13="",I13=""),"",G13*I13)</f>
        <v>0</v>
      </c>
      <c r="I13" s="49">
        <f>60*F13</f>
        <v>0</v>
      </c>
      <c r="J13" s="50" t="s">
        <v>197</v>
      </c>
      <c r="K13" s="41" t="s">
        <v>218</v>
      </c>
      <c r="L13" s="50"/>
      <c r="M13" s="41" t="s">
        <v>13</v>
      </c>
    </row>
    <row r="14" spans="1:13" ht="36" x14ac:dyDescent="0.25">
      <c r="A14" s="53"/>
      <c r="B14" s="47" t="s">
        <v>50</v>
      </c>
      <c r="C14" s="46"/>
      <c r="D14" s="46"/>
      <c r="E14" s="47" t="s">
        <v>220</v>
      </c>
      <c r="F14" s="48"/>
      <c r="G14" s="48"/>
      <c r="H14" s="48">
        <f ca="1">SUM(H2:H13)</f>
        <v>0</v>
      </c>
      <c r="I14" s="53"/>
      <c r="J14" s="54"/>
      <c r="K14" s="54"/>
      <c r="L14" s="54"/>
      <c r="M14" s="46" t="s">
        <v>13</v>
      </c>
    </row>
    <row r="15" spans="1:13" ht="24" customHeight="1" x14ac:dyDescent="0.25">
      <c r="A15" s="40"/>
      <c r="B15" s="38" t="s">
        <v>50</v>
      </c>
      <c r="C15" s="38"/>
      <c r="D15" s="38"/>
      <c r="E15" s="38" t="s">
        <v>50</v>
      </c>
      <c r="F15" s="39"/>
      <c r="G15" s="39"/>
      <c r="H15" s="39"/>
      <c r="I15" s="40">
        <v>1</v>
      </c>
      <c r="J15" s="38" t="s">
        <v>11</v>
      </c>
      <c r="K15" s="38" t="s">
        <v>196</v>
      </c>
      <c r="L15" s="38"/>
      <c r="M15" s="38" t="s">
        <v>52</v>
      </c>
    </row>
    <row r="16" spans="1:13" ht="108" x14ac:dyDescent="0.25">
      <c r="A16" s="51"/>
      <c r="B16" s="43" t="s">
        <v>50</v>
      </c>
      <c r="C16" s="43" t="s">
        <v>14</v>
      </c>
      <c r="D16" s="44" t="s">
        <v>224</v>
      </c>
      <c r="E16" s="43" t="s">
        <v>225</v>
      </c>
      <c r="F16" s="45"/>
      <c r="G16" s="45"/>
      <c r="H16" s="45" t="str">
        <f t="shared" ref="H16:H24" si="1">IF(OR(G16="",I16=""),"",G16*I16)</f>
        <v/>
      </c>
      <c r="I16" s="51">
        <v>1</v>
      </c>
      <c r="J16" s="52" t="s">
        <v>197</v>
      </c>
      <c r="K16" s="52" t="s">
        <v>226</v>
      </c>
      <c r="L16" s="52"/>
      <c r="M16" s="41" t="s">
        <v>52</v>
      </c>
    </row>
    <row r="17" spans="1:13" ht="72" x14ac:dyDescent="0.25">
      <c r="A17" s="51"/>
      <c r="B17" s="43" t="s">
        <v>50</v>
      </c>
      <c r="C17" s="43" t="s">
        <v>227</v>
      </c>
      <c r="D17" s="44" t="s">
        <v>228</v>
      </c>
      <c r="E17" s="43" t="s">
        <v>229</v>
      </c>
      <c r="F17" s="45"/>
      <c r="G17" s="45"/>
      <c r="H17" s="45" t="str">
        <f t="shared" si="1"/>
        <v/>
      </c>
      <c r="I17" s="51">
        <v>1</v>
      </c>
      <c r="J17" s="52" t="s">
        <v>197</v>
      </c>
      <c r="K17" s="50" t="s">
        <v>22</v>
      </c>
      <c r="L17" s="52"/>
      <c r="M17" s="41" t="s">
        <v>52</v>
      </c>
    </row>
    <row r="18" spans="1:13" ht="96" x14ac:dyDescent="0.25">
      <c r="A18" s="51"/>
      <c r="B18" s="43" t="s">
        <v>50</v>
      </c>
      <c r="C18" s="43" t="s">
        <v>23</v>
      </c>
      <c r="D18" s="44" t="s">
        <v>230</v>
      </c>
      <c r="E18" s="43" t="s">
        <v>231</v>
      </c>
      <c r="F18" s="45"/>
      <c r="G18" s="45"/>
      <c r="H18" s="45" t="str">
        <f t="shared" si="1"/>
        <v/>
      </c>
      <c r="I18" s="51">
        <v>1</v>
      </c>
      <c r="J18" s="52" t="s">
        <v>197</v>
      </c>
      <c r="K18" s="50" t="s">
        <v>22</v>
      </c>
      <c r="L18" s="52"/>
      <c r="M18" s="41" t="s">
        <v>52</v>
      </c>
    </row>
    <row r="19" spans="1:13" ht="108" x14ac:dyDescent="0.25">
      <c r="A19" s="51"/>
      <c r="B19" s="43" t="s">
        <v>50</v>
      </c>
      <c r="C19" s="43" t="s">
        <v>23</v>
      </c>
      <c r="D19" s="44" t="s">
        <v>232</v>
      </c>
      <c r="E19" s="43" t="s">
        <v>233</v>
      </c>
      <c r="F19" s="45"/>
      <c r="G19" s="45"/>
      <c r="H19" s="45" t="str">
        <f t="shared" si="1"/>
        <v/>
      </c>
      <c r="I19" s="51">
        <v>1</v>
      </c>
      <c r="J19" s="52" t="s">
        <v>197</v>
      </c>
      <c r="K19" s="50" t="s">
        <v>22</v>
      </c>
      <c r="L19" s="52"/>
      <c r="M19" s="41" t="s">
        <v>52</v>
      </c>
    </row>
    <row r="20" spans="1:13" ht="48" x14ac:dyDescent="0.25">
      <c r="A20" s="51"/>
      <c r="B20" s="43" t="s">
        <v>50</v>
      </c>
      <c r="C20" s="43" t="s">
        <v>132</v>
      </c>
      <c r="D20" s="44" t="s">
        <v>234</v>
      </c>
      <c r="E20" s="43" t="s">
        <v>235</v>
      </c>
      <c r="F20" s="45"/>
      <c r="G20" s="45"/>
      <c r="H20" s="45" t="str">
        <f t="shared" si="1"/>
        <v/>
      </c>
      <c r="I20" s="51">
        <v>1</v>
      </c>
      <c r="J20" s="52" t="s">
        <v>197</v>
      </c>
      <c r="K20" s="52" t="s">
        <v>236</v>
      </c>
      <c r="L20" s="52"/>
      <c r="M20" s="41" t="s">
        <v>52</v>
      </c>
    </row>
    <row r="21" spans="1:13" ht="84" x14ac:dyDescent="0.25">
      <c r="A21" s="51"/>
      <c r="B21" s="43" t="s">
        <v>50</v>
      </c>
      <c r="C21" s="43" t="s">
        <v>198</v>
      </c>
      <c r="D21" s="44" t="s">
        <v>199</v>
      </c>
      <c r="E21" s="43" t="s">
        <v>200</v>
      </c>
      <c r="F21" s="45"/>
      <c r="G21" s="45"/>
      <c r="H21" s="45" t="str">
        <f t="shared" si="1"/>
        <v/>
      </c>
      <c r="I21" s="51">
        <v>1</v>
      </c>
      <c r="J21" s="52" t="s">
        <v>197</v>
      </c>
      <c r="K21" s="52" t="s">
        <v>201</v>
      </c>
      <c r="L21" s="52"/>
      <c r="M21" s="41" t="s">
        <v>52</v>
      </c>
    </row>
    <row r="22" spans="1:13" ht="72" x14ac:dyDescent="0.25">
      <c r="A22" s="51"/>
      <c r="B22" s="43" t="s">
        <v>50</v>
      </c>
      <c r="C22" s="43" t="s">
        <v>198</v>
      </c>
      <c r="D22" s="44" t="s">
        <v>202</v>
      </c>
      <c r="E22" s="43" t="s">
        <v>203</v>
      </c>
      <c r="F22" s="45"/>
      <c r="G22" s="45"/>
      <c r="H22" s="45" t="str">
        <f t="shared" si="1"/>
        <v/>
      </c>
      <c r="I22" s="51">
        <v>1</v>
      </c>
      <c r="J22" s="52" t="s">
        <v>197</v>
      </c>
      <c r="K22" s="52" t="s">
        <v>201</v>
      </c>
      <c r="L22" s="52"/>
      <c r="M22" s="41" t="s">
        <v>52</v>
      </c>
    </row>
    <row r="23" spans="1:13" ht="96" x14ac:dyDescent="0.25">
      <c r="A23" s="51"/>
      <c r="B23" s="43" t="s">
        <v>50</v>
      </c>
      <c r="C23" s="43" t="s">
        <v>204</v>
      </c>
      <c r="D23" s="44" t="s">
        <v>205</v>
      </c>
      <c r="E23" s="43" t="s">
        <v>206</v>
      </c>
      <c r="F23" s="45"/>
      <c r="G23" s="45"/>
      <c r="H23" s="45" t="str">
        <f t="shared" si="1"/>
        <v/>
      </c>
      <c r="I23" s="51">
        <v>1</v>
      </c>
      <c r="J23" s="52" t="s">
        <v>197</v>
      </c>
      <c r="K23" s="52" t="s">
        <v>207</v>
      </c>
      <c r="L23" s="52"/>
      <c r="M23" s="41" t="s">
        <v>52</v>
      </c>
    </row>
    <row r="24" spans="1:13" ht="96" x14ac:dyDescent="0.25">
      <c r="A24" s="51"/>
      <c r="B24" s="43" t="s">
        <v>50</v>
      </c>
      <c r="C24" s="43" t="s">
        <v>212</v>
      </c>
      <c r="D24" s="44" t="s">
        <v>213</v>
      </c>
      <c r="E24" s="43" t="s">
        <v>214</v>
      </c>
      <c r="F24" s="45"/>
      <c r="G24" s="45"/>
      <c r="H24" s="45" t="str">
        <f t="shared" si="1"/>
        <v/>
      </c>
      <c r="I24" s="51">
        <v>1</v>
      </c>
      <c r="J24" s="52" t="s">
        <v>197</v>
      </c>
      <c r="K24" s="52" t="s">
        <v>215</v>
      </c>
      <c r="L24" s="52"/>
      <c r="M24" s="41" t="s">
        <v>52</v>
      </c>
    </row>
    <row r="25" spans="1:13" ht="36" x14ac:dyDescent="0.25">
      <c r="A25" s="49"/>
      <c r="B25" s="41" t="s">
        <v>50</v>
      </c>
      <c r="C25" s="41" t="s">
        <v>216</v>
      </c>
      <c r="D25" s="41" t="s">
        <v>216</v>
      </c>
      <c r="E25" s="41" t="s">
        <v>217</v>
      </c>
      <c r="F25" s="42">
        <f ca="1">OFFSET(F25,1,2)</f>
        <v>0</v>
      </c>
      <c r="G25" s="42">
        <f ca="1">F25</f>
        <v>0</v>
      </c>
      <c r="H25" s="42">
        <f ca="1">G25*I25</f>
        <v>0</v>
      </c>
      <c r="I25" s="49">
        <v>1</v>
      </c>
      <c r="J25" s="50" t="s">
        <v>197</v>
      </c>
      <c r="K25" s="41" t="s">
        <v>216</v>
      </c>
      <c r="L25" s="50"/>
      <c r="M25" s="41" t="s">
        <v>52</v>
      </c>
    </row>
    <row r="26" spans="1:13" ht="36" x14ac:dyDescent="0.25">
      <c r="A26" s="49"/>
      <c r="B26" s="41" t="s">
        <v>50</v>
      </c>
      <c r="C26" s="41" t="s">
        <v>218</v>
      </c>
      <c r="D26" s="41" t="s">
        <v>218</v>
      </c>
      <c r="E26" s="41" t="s">
        <v>219</v>
      </c>
      <c r="F26" s="42"/>
      <c r="G26" s="42">
        <v>100</v>
      </c>
      <c r="H26" s="42">
        <f>IF(OR(G26="",I26=""),"",G26*I26)</f>
        <v>0</v>
      </c>
      <c r="I26" s="49">
        <f>60*F26</f>
        <v>0</v>
      </c>
      <c r="J26" s="50" t="s">
        <v>197</v>
      </c>
      <c r="K26" s="41" t="s">
        <v>218</v>
      </c>
      <c r="L26" s="50"/>
      <c r="M26" s="41" t="s">
        <v>52</v>
      </c>
    </row>
    <row r="27" spans="1:13" ht="36" x14ac:dyDescent="0.25">
      <c r="A27" s="53"/>
      <c r="B27" s="47" t="s">
        <v>50</v>
      </c>
      <c r="C27" s="46"/>
      <c r="D27" s="46"/>
      <c r="E27" s="47" t="s">
        <v>220</v>
      </c>
      <c r="F27" s="48"/>
      <c r="G27" s="48"/>
      <c r="H27" s="48">
        <f ca="1">SUM(H16:H26)</f>
        <v>0</v>
      </c>
      <c r="I27" s="53"/>
      <c r="J27" s="54"/>
      <c r="K27" s="54"/>
      <c r="L27" s="54"/>
      <c r="M27" s="46" t="s">
        <v>52</v>
      </c>
    </row>
    <row r="28" spans="1:13" ht="24" customHeight="1" x14ac:dyDescent="0.25">
      <c r="A28" s="40"/>
      <c r="B28" s="38" t="s">
        <v>221</v>
      </c>
      <c r="C28" s="38"/>
      <c r="D28" s="38"/>
      <c r="E28" s="38" t="s">
        <v>221</v>
      </c>
      <c r="F28" s="39"/>
      <c r="G28" s="39"/>
      <c r="H28" s="39"/>
      <c r="I28" s="40">
        <v>2</v>
      </c>
      <c r="J28" s="38" t="s">
        <v>11</v>
      </c>
      <c r="K28" s="38" t="s">
        <v>196</v>
      </c>
      <c r="L28" s="38"/>
      <c r="M28" s="38" t="s">
        <v>71</v>
      </c>
    </row>
    <row r="29" spans="1:13" ht="48" x14ac:dyDescent="0.25">
      <c r="A29" s="49"/>
      <c r="B29" s="41" t="s">
        <v>221</v>
      </c>
      <c r="C29" s="41" t="s">
        <v>14</v>
      </c>
      <c r="D29" s="41" t="s">
        <v>39</v>
      </c>
      <c r="E29" s="41" t="s">
        <v>40</v>
      </c>
      <c r="F29" s="42"/>
      <c r="G29" s="42">
        <v>0</v>
      </c>
      <c r="H29" s="42">
        <f t="shared" ref="H29:H35" si="2">IF(OR(G29="",I29=""),"",G29*I29)</f>
        <v>0</v>
      </c>
      <c r="I29" s="49">
        <v>1</v>
      </c>
      <c r="J29" s="50" t="s">
        <v>197</v>
      </c>
      <c r="K29" s="50" t="s">
        <v>18</v>
      </c>
      <c r="L29" s="50"/>
      <c r="M29" s="41" t="s">
        <v>71</v>
      </c>
    </row>
    <row r="30" spans="1:13" ht="120" x14ac:dyDescent="0.25">
      <c r="A30" s="51"/>
      <c r="B30" s="43" t="s">
        <v>221</v>
      </c>
      <c r="C30" s="43" t="s">
        <v>46</v>
      </c>
      <c r="D30" s="44" t="s">
        <v>222</v>
      </c>
      <c r="E30" s="43" t="s">
        <v>223</v>
      </c>
      <c r="F30" s="45"/>
      <c r="G30" s="45"/>
      <c r="H30" s="45" t="str">
        <f t="shared" si="2"/>
        <v/>
      </c>
      <c r="I30" s="51">
        <v>1</v>
      </c>
      <c r="J30" s="52" t="s">
        <v>197</v>
      </c>
      <c r="K30" s="50" t="s">
        <v>22</v>
      </c>
      <c r="L30" s="52"/>
      <c r="M30" s="41" t="s">
        <v>71</v>
      </c>
    </row>
    <row r="31" spans="1:13" ht="96" x14ac:dyDescent="0.25">
      <c r="A31" s="49"/>
      <c r="B31" s="41" t="s">
        <v>221</v>
      </c>
      <c r="C31" s="41" t="s">
        <v>41</v>
      </c>
      <c r="D31" s="41" t="s">
        <v>42</v>
      </c>
      <c r="E31" s="41" t="s">
        <v>43</v>
      </c>
      <c r="F31" s="42">
        <v>1545</v>
      </c>
      <c r="G31" s="42">
        <v>927</v>
      </c>
      <c r="H31" s="42">
        <f t="shared" si="2"/>
        <v>2781</v>
      </c>
      <c r="I31" s="49">
        <v>3</v>
      </c>
      <c r="J31" s="50" t="s">
        <v>197</v>
      </c>
      <c r="K31" s="50" t="s">
        <v>22</v>
      </c>
      <c r="L31" s="50"/>
      <c r="M31" s="41" t="s">
        <v>71</v>
      </c>
    </row>
    <row r="32" spans="1:13" ht="96" x14ac:dyDescent="0.25">
      <c r="A32" s="49"/>
      <c r="B32" s="41" t="s">
        <v>221</v>
      </c>
      <c r="C32" s="41" t="s">
        <v>41</v>
      </c>
      <c r="D32" s="41" t="s">
        <v>44</v>
      </c>
      <c r="E32" s="41" t="s">
        <v>45</v>
      </c>
      <c r="F32" s="42">
        <v>2038</v>
      </c>
      <c r="G32" s="42">
        <v>1222.8</v>
      </c>
      <c r="H32" s="42">
        <f t="shared" si="2"/>
        <v>3668.3999999999996</v>
      </c>
      <c r="I32" s="49">
        <v>3</v>
      </c>
      <c r="J32" s="50" t="s">
        <v>197</v>
      </c>
      <c r="K32" s="50" t="s">
        <v>22</v>
      </c>
      <c r="L32" s="50"/>
      <c r="M32" s="41" t="s">
        <v>71</v>
      </c>
    </row>
    <row r="33" spans="1:13" ht="84" x14ac:dyDescent="0.25">
      <c r="A33" s="51"/>
      <c r="B33" s="43" t="s">
        <v>221</v>
      </c>
      <c r="C33" s="43" t="s">
        <v>198</v>
      </c>
      <c r="D33" s="44" t="s">
        <v>199</v>
      </c>
      <c r="E33" s="43" t="s">
        <v>200</v>
      </c>
      <c r="F33" s="45"/>
      <c r="G33" s="45"/>
      <c r="H33" s="45" t="str">
        <f t="shared" si="2"/>
        <v/>
      </c>
      <c r="I33" s="51">
        <v>1</v>
      </c>
      <c r="J33" s="52" t="s">
        <v>197</v>
      </c>
      <c r="K33" s="52" t="s">
        <v>201</v>
      </c>
      <c r="L33" s="52"/>
      <c r="M33" s="41" t="s">
        <v>71</v>
      </c>
    </row>
    <row r="34" spans="1:13" ht="72" x14ac:dyDescent="0.25">
      <c r="A34" s="51"/>
      <c r="B34" s="43" t="s">
        <v>221</v>
      </c>
      <c r="C34" s="43" t="s">
        <v>198</v>
      </c>
      <c r="D34" s="44" t="s">
        <v>202</v>
      </c>
      <c r="E34" s="43" t="s">
        <v>203</v>
      </c>
      <c r="F34" s="45"/>
      <c r="G34" s="45"/>
      <c r="H34" s="45" t="str">
        <f t="shared" si="2"/>
        <v/>
      </c>
      <c r="I34" s="51">
        <v>1</v>
      </c>
      <c r="J34" s="52" t="s">
        <v>197</v>
      </c>
      <c r="K34" s="52" t="s">
        <v>201</v>
      </c>
      <c r="L34" s="52"/>
      <c r="M34" s="41" t="s">
        <v>71</v>
      </c>
    </row>
    <row r="35" spans="1:13" ht="96" x14ac:dyDescent="0.25">
      <c r="A35" s="51"/>
      <c r="B35" s="43" t="s">
        <v>221</v>
      </c>
      <c r="C35" s="43" t="s">
        <v>212</v>
      </c>
      <c r="D35" s="44" t="s">
        <v>213</v>
      </c>
      <c r="E35" s="43" t="s">
        <v>214</v>
      </c>
      <c r="F35" s="45"/>
      <c r="G35" s="45"/>
      <c r="H35" s="45" t="str">
        <f t="shared" si="2"/>
        <v/>
      </c>
      <c r="I35" s="51">
        <v>1</v>
      </c>
      <c r="J35" s="52" t="s">
        <v>197</v>
      </c>
      <c r="K35" s="52" t="s">
        <v>215</v>
      </c>
      <c r="L35" s="52"/>
      <c r="M35" s="41" t="s">
        <v>71</v>
      </c>
    </row>
    <row r="36" spans="1:13" ht="48" x14ac:dyDescent="0.25">
      <c r="A36" s="49"/>
      <c r="B36" s="41" t="s">
        <v>221</v>
      </c>
      <c r="C36" s="41" t="s">
        <v>216</v>
      </c>
      <c r="D36" s="41" t="s">
        <v>216</v>
      </c>
      <c r="E36" s="41" t="s">
        <v>217</v>
      </c>
      <c r="F36" s="42">
        <f ca="1">OFFSET(F36,1,2)</f>
        <v>0</v>
      </c>
      <c r="G36" s="42">
        <f ca="1">F36</f>
        <v>0</v>
      </c>
      <c r="H36" s="42">
        <f ca="1">G36*I36</f>
        <v>0</v>
      </c>
      <c r="I36" s="49">
        <v>1</v>
      </c>
      <c r="J36" s="50" t="s">
        <v>197</v>
      </c>
      <c r="K36" s="41" t="s">
        <v>216</v>
      </c>
      <c r="L36" s="50"/>
      <c r="M36" s="41" t="s">
        <v>71</v>
      </c>
    </row>
    <row r="37" spans="1:13" ht="48" x14ac:dyDescent="0.25">
      <c r="A37" s="49"/>
      <c r="B37" s="41" t="s">
        <v>221</v>
      </c>
      <c r="C37" s="41" t="s">
        <v>218</v>
      </c>
      <c r="D37" s="41" t="s">
        <v>218</v>
      </c>
      <c r="E37" s="41" t="s">
        <v>219</v>
      </c>
      <c r="F37" s="42"/>
      <c r="G37" s="42">
        <v>100</v>
      </c>
      <c r="H37" s="42">
        <f>IF(OR(G37="",I37=""),"",G37*I37)</f>
        <v>0</v>
      </c>
      <c r="I37" s="49">
        <f>60*F37</f>
        <v>0</v>
      </c>
      <c r="J37" s="50" t="s">
        <v>197</v>
      </c>
      <c r="K37" s="41" t="s">
        <v>218</v>
      </c>
      <c r="L37" s="50"/>
      <c r="M37" s="41" t="s">
        <v>71</v>
      </c>
    </row>
    <row r="38" spans="1:13" ht="48" x14ac:dyDescent="0.25">
      <c r="A38" s="53"/>
      <c r="B38" s="47" t="s">
        <v>221</v>
      </c>
      <c r="C38" s="46"/>
      <c r="D38" s="46"/>
      <c r="E38" s="47" t="s">
        <v>220</v>
      </c>
      <c r="F38" s="48"/>
      <c r="G38" s="48"/>
      <c r="H38" s="48">
        <f ca="1">SUM(H29:H37)</f>
        <v>6449.4</v>
      </c>
      <c r="I38" s="53"/>
      <c r="J38" s="54"/>
      <c r="K38" s="54"/>
      <c r="L38" s="54"/>
      <c r="M38" s="46" t="s">
        <v>71</v>
      </c>
    </row>
    <row r="39" spans="1:13" ht="24" customHeight="1" x14ac:dyDescent="0.25">
      <c r="A39" s="40"/>
      <c r="B39" s="38" t="s">
        <v>50</v>
      </c>
      <c r="C39" s="38"/>
      <c r="D39" s="38"/>
      <c r="E39" s="38" t="s">
        <v>50</v>
      </c>
      <c r="F39" s="39"/>
      <c r="G39" s="39"/>
      <c r="H39" s="39"/>
      <c r="I39" s="40">
        <v>1</v>
      </c>
      <c r="J39" s="38" t="s">
        <v>11</v>
      </c>
      <c r="K39" s="38" t="s">
        <v>196</v>
      </c>
      <c r="L39" s="38"/>
      <c r="M39" s="38" t="s">
        <v>71</v>
      </c>
    </row>
    <row r="40" spans="1:13" ht="108" x14ac:dyDescent="0.25">
      <c r="A40" s="51"/>
      <c r="B40" s="43" t="s">
        <v>50</v>
      </c>
      <c r="C40" s="43" t="s">
        <v>14</v>
      </c>
      <c r="D40" s="44" t="s">
        <v>224</v>
      </c>
      <c r="E40" s="43" t="s">
        <v>225</v>
      </c>
      <c r="F40" s="45"/>
      <c r="G40" s="45"/>
      <c r="H40" s="45" t="str">
        <f t="shared" ref="H40:H47" si="3">IF(OR(G40="",I40=""),"",G40*I40)</f>
        <v/>
      </c>
      <c r="I40" s="51">
        <v>1</v>
      </c>
      <c r="J40" s="52" t="s">
        <v>197</v>
      </c>
      <c r="K40" s="52" t="s">
        <v>226</v>
      </c>
      <c r="L40" s="52"/>
      <c r="M40" s="41" t="s">
        <v>71</v>
      </c>
    </row>
    <row r="41" spans="1:13" ht="72" x14ac:dyDescent="0.25">
      <c r="A41" s="51"/>
      <c r="B41" s="43" t="s">
        <v>50</v>
      </c>
      <c r="C41" s="43" t="s">
        <v>227</v>
      </c>
      <c r="D41" s="44" t="s">
        <v>228</v>
      </c>
      <c r="E41" s="43" t="s">
        <v>229</v>
      </c>
      <c r="F41" s="45"/>
      <c r="G41" s="45"/>
      <c r="H41" s="45" t="str">
        <f t="shared" si="3"/>
        <v/>
      </c>
      <c r="I41" s="51">
        <v>1</v>
      </c>
      <c r="J41" s="52" t="s">
        <v>197</v>
      </c>
      <c r="K41" s="50" t="s">
        <v>22</v>
      </c>
      <c r="L41" s="52"/>
      <c r="M41" s="41" t="s">
        <v>71</v>
      </c>
    </row>
    <row r="42" spans="1:13" ht="96" x14ac:dyDescent="0.25">
      <c r="A42" s="51"/>
      <c r="B42" s="43" t="s">
        <v>50</v>
      </c>
      <c r="C42" s="43" t="s">
        <v>23</v>
      </c>
      <c r="D42" s="44" t="s">
        <v>230</v>
      </c>
      <c r="E42" s="43" t="s">
        <v>231</v>
      </c>
      <c r="F42" s="45"/>
      <c r="G42" s="45"/>
      <c r="H42" s="45" t="str">
        <f t="shared" si="3"/>
        <v/>
      </c>
      <c r="I42" s="51">
        <v>1</v>
      </c>
      <c r="J42" s="52" t="s">
        <v>197</v>
      </c>
      <c r="K42" s="50" t="s">
        <v>22</v>
      </c>
      <c r="L42" s="52"/>
      <c r="M42" s="41" t="s">
        <v>71</v>
      </c>
    </row>
    <row r="43" spans="1:13" ht="108" x14ac:dyDescent="0.25">
      <c r="A43" s="51"/>
      <c r="B43" s="43" t="s">
        <v>50</v>
      </c>
      <c r="C43" s="43" t="s">
        <v>23</v>
      </c>
      <c r="D43" s="44" t="s">
        <v>232</v>
      </c>
      <c r="E43" s="43" t="s">
        <v>233</v>
      </c>
      <c r="F43" s="45"/>
      <c r="G43" s="45"/>
      <c r="H43" s="45" t="str">
        <f t="shared" si="3"/>
        <v/>
      </c>
      <c r="I43" s="51">
        <v>1</v>
      </c>
      <c r="J43" s="52" t="s">
        <v>197</v>
      </c>
      <c r="K43" s="50" t="s">
        <v>22</v>
      </c>
      <c r="L43" s="52"/>
      <c r="M43" s="41" t="s">
        <v>71</v>
      </c>
    </row>
    <row r="44" spans="1:13" ht="48" x14ac:dyDescent="0.25">
      <c r="A44" s="51"/>
      <c r="B44" s="43" t="s">
        <v>50</v>
      </c>
      <c r="C44" s="43" t="s">
        <v>132</v>
      </c>
      <c r="D44" s="44" t="s">
        <v>234</v>
      </c>
      <c r="E44" s="43" t="s">
        <v>235</v>
      </c>
      <c r="F44" s="45"/>
      <c r="G44" s="45"/>
      <c r="H44" s="45" t="str">
        <f t="shared" si="3"/>
        <v/>
      </c>
      <c r="I44" s="51">
        <v>1</v>
      </c>
      <c r="J44" s="52" t="s">
        <v>197</v>
      </c>
      <c r="K44" s="52" t="s">
        <v>236</v>
      </c>
      <c r="L44" s="52"/>
      <c r="M44" s="41" t="s">
        <v>71</v>
      </c>
    </row>
    <row r="45" spans="1:13" ht="84" x14ac:dyDescent="0.25">
      <c r="A45" s="51"/>
      <c r="B45" s="43" t="s">
        <v>50</v>
      </c>
      <c r="C45" s="43" t="s">
        <v>198</v>
      </c>
      <c r="D45" s="44" t="s">
        <v>199</v>
      </c>
      <c r="E45" s="43" t="s">
        <v>200</v>
      </c>
      <c r="F45" s="45"/>
      <c r="G45" s="45"/>
      <c r="H45" s="45" t="str">
        <f t="shared" si="3"/>
        <v/>
      </c>
      <c r="I45" s="51">
        <v>1</v>
      </c>
      <c r="J45" s="52" t="s">
        <v>197</v>
      </c>
      <c r="K45" s="52" t="s">
        <v>201</v>
      </c>
      <c r="L45" s="52"/>
      <c r="M45" s="41" t="s">
        <v>71</v>
      </c>
    </row>
    <row r="46" spans="1:13" ht="72" x14ac:dyDescent="0.25">
      <c r="A46" s="51"/>
      <c r="B46" s="43" t="s">
        <v>50</v>
      </c>
      <c r="C46" s="43" t="s">
        <v>198</v>
      </c>
      <c r="D46" s="44" t="s">
        <v>202</v>
      </c>
      <c r="E46" s="43" t="s">
        <v>203</v>
      </c>
      <c r="F46" s="45"/>
      <c r="G46" s="45"/>
      <c r="H46" s="45" t="str">
        <f t="shared" si="3"/>
        <v/>
      </c>
      <c r="I46" s="51">
        <v>1</v>
      </c>
      <c r="J46" s="52" t="s">
        <v>197</v>
      </c>
      <c r="K46" s="52" t="s">
        <v>201</v>
      </c>
      <c r="L46" s="52"/>
      <c r="M46" s="41" t="s">
        <v>71</v>
      </c>
    </row>
    <row r="47" spans="1:13" ht="96" x14ac:dyDescent="0.25">
      <c r="A47" s="51"/>
      <c r="B47" s="43" t="s">
        <v>50</v>
      </c>
      <c r="C47" s="43" t="s">
        <v>212</v>
      </c>
      <c r="D47" s="44" t="s">
        <v>213</v>
      </c>
      <c r="E47" s="43" t="s">
        <v>214</v>
      </c>
      <c r="F47" s="45"/>
      <c r="G47" s="45"/>
      <c r="H47" s="45" t="str">
        <f t="shared" si="3"/>
        <v/>
      </c>
      <c r="I47" s="51">
        <v>1</v>
      </c>
      <c r="J47" s="52" t="s">
        <v>197</v>
      </c>
      <c r="K47" s="52" t="s">
        <v>215</v>
      </c>
      <c r="L47" s="52"/>
      <c r="M47" s="41" t="s">
        <v>71</v>
      </c>
    </row>
    <row r="48" spans="1:13" ht="36" x14ac:dyDescent="0.25">
      <c r="A48" s="49"/>
      <c r="B48" s="41" t="s">
        <v>50</v>
      </c>
      <c r="C48" s="41" t="s">
        <v>216</v>
      </c>
      <c r="D48" s="41" t="s">
        <v>216</v>
      </c>
      <c r="E48" s="41" t="s">
        <v>217</v>
      </c>
      <c r="F48" s="42">
        <f ca="1">OFFSET(F48,1,2)</f>
        <v>0</v>
      </c>
      <c r="G48" s="42">
        <f ca="1">F48</f>
        <v>0</v>
      </c>
      <c r="H48" s="42">
        <f ca="1">G48*I48</f>
        <v>0</v>
      </c>
      <c r="I48" s="49">
        <v>1</v>
      </c>
      <c r="J48" s="50" t="s">
        <v>197</v>
      </c>
      <c r="K48" s="41" t="s">
        <v>216</v>
      </c>
      <c r="L48" s="50"/>
      <c r="M48" s="41" t="s">
        <v>71</v>
      </c>
    </row>
    <row r="49" spans="1:13" ht="36" x14ac:dyDescent="0.25">
      <c r="A49" s="49"/>
      <c r="B49" s="41" t="s">
        <v>50</v>
      </c>
      <c r="C49" s="41" t="s">
        <v>218</v>
      </c>
      <c r="D49" s="41" t="s">
        <v>218</v>
      </c>
      <c r="E49" s="41" t="s">
        <v>219</v>
      </c>
      <c r="F49" s="42"/>
      <c r="G49" s="42">
        <v>100</v>
      </c>
      <c r="H49" s="42">
        <f>IF(OR(G49="",I49=""),"",G49*I49)</f>
        <v>0</v>
      </c>
      <c r="I49" s="49">
        <f>60*F49</f>
        <v>0</v>
      </c>
      <c r="J49" s="50" t="s">
        <v>197</v>
      </c>
      <c r="K49" s="41" t="s">
        <v>218</v>
      </c>
      <c r="L49" s="50"/>
      <c r="M49" s="41" t="s">
        <v>71</v>
      </c>
    </row>
    <row r="50" spans="1:13" ht="36" x14ac:dyDescent="0.25">
      <c r="A50" s="53"/>
      <c r="B50" s="47" t="s">
        <v>50</v>
      </c>
      <c r="C50" s="46"/>
      <c r="D50" s="46"/>
      <c r="E50" s="47" t="s">
        <v>220</v>
      </c>
      <c r="F50" s="48"/>
      <c r="G50" s="48"/>
      <c r="H50" s="48">
        <f ca="1">SUM(H40:H49)</f>
        <v>0</v>
      </c>
      <c r="I50" s="53"/>
      <c r="J50" s="54"/>
      <c r="K50" s="54"/>
      <c r="L50" s="54"/>
      <c r="M50" s="46" t="s">
        <v>71</v>
      </c>
    </row>
    <row r="51" spans="1:13" ht="24" customHeight="1" x14ac:dyDescent="0.25">
      <c r="A51" s="40"/>
      <c r="B51" s="38" t="s">
        <v>221</v>
      </c>
      <c r="C51" s="38"/>
      <c r="D51" s="38"/>
      <c r="E51" s="38" t="s">
        <v>221</v>
      </c>
      <c r="F51" s="39"/>
      <c r="G51" s="39"/>
      <c r="H51" s="39"/>
      <c r="I51" s="40">
        <v>1</v>
      </c>
      <c r="J51" s="38" t="s">
        <v>11</v>
      </c>
      <c r="K51" s="38" t="s">
        <v>196</v>
      </c>
      <c r="L51" s="38"/>
      <c r="M51" s="38" t="s">
        <v>80</v>
      </c>
    </row>
    <row r="52" spans="1:13" ht="48" x14ac:dyDescent="0.25">
      <c r="A52" s="49"/>
      <c r="B52" s="41" t="s">
        <v>221</v>
      </c>
      <c r="C52" s="41" t="s">
        <v>14</v>
      </c>
      <c r="D52" s="41" t="s">
        <v>39</v>
      </c>
      <c r="E52" s="41" t="s">
        <v>40</v>
      </c>
      <c r="F52" s="42"/>
      <c r="G52" s="42">
        <v>0</v>
      </c>
      <c r="H52" s="42">
        <f t="shared" ref="H52:H58" si="4">IF(OR(G52="",I52=""),"",G52*I52)</f>
        <v>0</v>
      </c>
      <c r="I52" s="49">
        <v>1</v>
      </c>
      <c r="J52" s="50" t="s">
        <v>197</v>
      </c>
      <c r="K52" s="50" t="s">
        <v>18</v>
      </c>
      <c r="L52" s="50"/>
      <c r="M52" s="41" t="s">
        <v>80</v>
      </c>
    </row>
    <row r="53" spans="1:13" ht="120" x14ac:dyDescent="0.25">
      <c r="A53" s="51"/>
      <c r="B53" s="43" t="s">
        <v>221</v>
      </c>
      <c r="C53" s="43" t="s">
        <v>46</v>
      </c>
      <c r="D53" s="44" t="s">
        <v>222</v>
      </c>
      <c r="E53" s="43" t="s">
        <v>223</v>
      </c>
      <c r="F53" s="45"/>
      <c r="G53" s="45"/>
      <c r="H53" s="45" t="str">
        <f t="shared" si="4"/>
        <v/>
      </c>
      <c r="I53" s="51">
        <v>1</v>
      </c>
      <c r="J53" s="52" t="s">
        <v>197</v>
      </c>
      <c r="K53" s="50" t="s">
        <v>22</v>
      </c>
      <c r="L53" s="52"/>
      <c r="M53" s="41" t="s">
        <v>80</v>
      </c>
    </row>
    <row r="54" spans="1:13" ht="96" x14ac:dyDescent="0.25">
      <c r="A54" s="49"/>
      <c r="B54" s="41" t="s">
        <v>221</v>
      </c>
      <c r="C54" s="41" t="s">
        <v>41</v>
      </c>
      <c r="D54" s="41" t="s">
        <v>42</v>
      </c>
      <c r="E54" s="41" t="s">
        <v>43</v>
      </c>
      <c r="F54" s="42">
        <v>1545</v>
      </c>
      <c r="G54" s="42">
        <v>927</v>
      </c>
      <c r="H54" s="42">
        <f t="shared" si="4"/>
        <v>2781</v>
      </c>
      <c r="I54" s="49">
        <v>3</v>
      </c>
      <c r="J54" s="50" t="s">
        <v>197</v>
      </c>
      <c r="K54" s="50" t="s">
        <v>22</v>
      </c>
      <c r="L54" s="50"/>
      <c r="M54" s="41" t="s">
        <v>80</v>
      </c>
    </row>
    <row r="55" spans="1:13" ht="96" x14ac:dyDescent="0.25">
      <c r="A55" s="49"/>
      <c r="B55" s="41" t="s">
        <v>221</v>
      </c>
      <c r="C55" s="41" t="s">
        <v>41</v>
      </c>
      <c r="D55" s="41" t="s">
        <v>44</v>
      </c>
      <c r="E55" s="41" t="s">
        <v>45</v>
      </c>
      <c r="F55" s="42">
        <v>2038</v>
      </c>
      <c r="G55" s="42">
        <v>1222.8</v>
      </c>
      <c r="H55" s="42">
        <f t="shared" si="4"/>
        <v>3668.3999999999996</v>
      </c>
      <c r="I55" s="49">
        <v>3</v>
      </c>
      <c r="J55" s="50" t="s">
        <v>197</v>
      </c>
      <c r="K55" s="50" t="s">
        <v>22</v>
      </c>
      <c r="L55" s="50"/>
      <c r="M55" s="41" t="s">
        <v>80</v>
      </c>
    </row>
    <row r="56" spans="1:13" ht="84" x14ac:dyDescent="0.25">
      <c r="A56" s="51"/>
      <c r="B56" s="43" t="s">
        <v>221</v>
      </c>
      <c r="C56" s="43" t="s">
        <v>198</v>
      </c>
      <c r="D56" s="44" t="s">
        <v>199</v>
      </c>
      <c r="E56" s="43" t="s">
        <v>200</v>
      </c>
      <c r="F56" s="45"/>
      <c r="G56" s="45"/>
      <c r="H56" s="45" t="str">
        <f t="shared" si="4"/>
        <v/>
      </c>
      <c r="I56" s="51">
        <v>1</v>
      </c>
      <c r="J56" s="52" t="s">
        <v>197</v>
      </c>
      <c r="K56" s="52" t="s">
        <v>201</v>
      </c>
      <c r="L56" s="52"/>
      <c r="M56" s="41" t="s">
        <v>80</v>
      </c>
    </row>
    <row r="57" spans="1:13" ht="72" x14ac:dyDescent="0.25">
      <c r="A57" s="51"/>
      <c r="B57" s="43" t="s">
        <v>221</v>
      </c>
      <c r="C57" s="43" t="s">
        <v>198</v>
      </c>
      <c r="D57" s="44" t="s">
        <v>202</v>
      </c>
      <c r="E57" s="43" t="s">
        <v>203</v>
      </c>
      <c r="F57" s="45"/>
      <c r="G57" s="45"/>
      <c r="H57" s="45" t="str">
        <f t="shared" si="4"/>
        <v/>
      </c>
      <c r="I57" s="51">
        <v>1</v>
      </c>
      <c r="J57" s="52" t="s">
        <v>197</v>
      </c>
      <c r="K57" s="52" t="s">
        <v>201</v>
      </c>
      <c r="L57" s="52"/>
      <c r="M57" s="41" t="s">
        <v>80</v>
      </c>
    </row>
    <row r="58" spans="1:13" ht="96" x14ac:dyDescent="0.25">
      <c r="A58" s="51"/>
      <c r="B58" s="43" t="s">
        <v>221</v>
      </c>
      <c r="C58" s="43" t="s">
        <v>212</v>
      </c>
      <c r="D58" s="44" t="s">
        <v>213</v>
      </c>
      <c r="E58" s="43" t="s">
        <v>214</v>
      </c>
      <c r="F58" s="45"/>
      <c r="G58" s="45"/>
      <c r="H58" s="45" t="str">
        <f t="shared" si="4"/>
        <v/>
      </c>
      <c r="I58" s="51">
        <v>1</v>
      </c>
      <c r="J58" s="52" t="s">
        <v>197</v>
      </c>
      <c r="K58" s="52" t="s">
        <v>215</v>
      </c>
      <c r="L58" s="52"/>
      <c r="M58" s="41" t="s">
        <v>80</v>
      </c>
    </row>
    <row r="59" spans="1:13" ht="48" x14ac:dyDescent="0.25">
      <c r="A59" s="49"/>
      <c r="B59" s="41" t="s">
        <v>221</v>
      </c>
      <c r="C59" s="41" t="s">
        <v>216</v>
      </c>
      <c r="D59" s="41" t="s">
        <v>216</v>
      </c>
      <c r="E59" s="41" t="s">
        <v>217</v>
      </c>
      <c r="F59" s="42">
        <f ca="1">OFFSET(F59,1,2)</f>
        <v>0</v>
      </c>
      <c r="G59" s="42">
        <f ca="1">F59</f>
        <v>0</v>
      </c>
      <c r="H59" s="42">
        <f ca="1">G59*I59</f>
        <v>0</v>
      </c>
      <c r="I59" s="49">
        <v>1</v>
      </c>
      <c r="J59" s="50" t="s">
        <v>197</v>
      </c>
      <c r="K59" s="41" t="s">
        <v>216</v>
      </c>
      <c r="L59" s="50"/>
      <c r="M59" s="41" t="s">
        <v>80</v>
      </c>
    </row>
    <row r="60" spans="1:13" ht="48" x14ac:dyDescent="0.25">
      <c r="A60" s="49"/>
      <c r="B60" s="41" t="s">
        <v>221</v>
      </c>
      <c r="C60" s="41" t="s">
        <v>218</v>
      </c>
      <c r="D60" s="41" t="s">
        <v>218</v>
      </c>
      <c r="E60" s="41" t="s">
        <v>219</v>
      </c>
      <c r="F60" s="42"/>
      <c r="G60" s="42">
        <v>100</v>
      </c>
      <c r="H60" s="42">
        <f>IF(OR(G60="",I60=""),"",G60*I60)</f>
        <v>0</v>
      </c>
      <c r="I60" s="49">
        <f>60*F60</f>
        <v>0</v>
      </c>
      <c r="J60" s="50" t="s">
        <v>197</v>
      </c>
      <c r="K60" s="41" t="s">
        <v>218</v>
      </c>
      <c r="L60" s="50"/>
      <c r="M60" s="41" t="s">
        <v>80</v>
      </c>
    </row>
    <row r="61" spans="1:13" ht="48" x14ac:dyDescent="0.25">
      <c r="A61" s="53"/>
      <c r="B61" s="47" t="s">
        <v>221</v>
      </c>
      <c r="C61" s="46"/>
      <c r="D61" s="46"/>
      <c r="E61" s="47" t="s">
        <v>220</v>
      </c>
      <c r="F61" s="48"/>
      <c r="G61" s="48"/>
      <c r="H61" s="48">
        <f ca="1">SUM(H52:H60)</f>
        <v>6449.4</v>
      </c>
      <c r="I61" s="53"/>
      <c r="J61" s="54"/>
      <c r="K61" s="54"/>
      <c r="L61" s="54"/>
      <c r="M61" s="46" t="s">
        <v>80</v>
      </c>
    </row>
    <row r="62" spans="1:13" ht="24" customHeight="1" x14ac:dyDescent="0.25">
      <c r="A62" s="40"/>
      <c r="B62" s="38" t="s">
        <v>50</v>
      </c>
      <c r="C62" s="38"/>
      <c r="D62" s="38"/>
      <c r="E62" s="38" t="s">
        <v>50</v>
      </c>
      <c r="F62" s="39"/>
      <c r="G62" s="39"/>
      <c r="H62" s="39"/>
      <c r="I62" s="40">
        <v>1</v>
      </c>
      <c r="J62" s="38" t="s">
        <v>11</v>
      </c>
      <c r="K62" s="38" t="s">
        <v>196</v>
      </c>
      <c r="L62" s="38"/>
      <c r="M62" s="38" t="s">
        <v>80</v>
      </c>
    </row>
    <row r="63" spans="1:13" ht="108" x14ac:dyDescent="0.25">
      <c r="A63" s="51"/>
      <c r="B63" s="43" t="s">
        <v>50</v>
      </c>
      <c r="C63" s="43" t="s">
        <v>14</v>
      </c>
      <c r="D63" s="44" t="s">
        <v>224</v>
      </c>
      <c r="E63" s="43" t="s">
        <v>225</v>
      </c>
      <c r="F63" s="45"/>
      <c r="G63" s="45"/>
      <c r="H63" s="45" t="str">
        <f t="shared" ref="H63:H70" si="5">IF(OR(G63="",I63=""),"",G63*I63)</f>
        <v/>
      </c>
      <c r="I63" s="51">
        <v>1</v>
      </c>
      <c r="J63" s="52" t="s">
        <v>197</v>
      </c>
      <c r="K63" s="52" t="s">
        <v>226</v>
      </c>
      <c r="L63" s="52"/>
      <c r="M63" s="41" t="s">
        <v>80</v>
      </c>
    </row>
    <row r="64" spans="1:13" ht="72" x14ac:dyDescent="0.25">
      <c r="A64" s="51"/>
      <c r="B64" s="43" t="s">
        <v>50</v>
      </c>
      <c r="C64" s="43" t="s">
        <v>227</v>
      </c>
      <c r="D64" s="44" t="s">
        <v>228</v>
      </c>
      <c r="E64" s="43" t="s">
        <v>229</v>
      </c>
      <c r="F64" s="45"/>
      <c r="G64" s="45"/>
      <c r="H64" s="45" t="str">
        <f t="shared" si="5"/>
        <v/>
      </c>
      <c r="I64" s="51">
        <v>1</v>
      </c>
      <c r="J64" s="52" t="s">
        <v>197</v>
      </c>
      <c r="K64" s="50" t="s">
        <v>22</v>
      </c>
      <c r="L64" s="52"/>
      <c r="M64" s="41" t="s">
        <v>80</v>
      </c>
    </row>
    <row r="65" spans="1:13" ht="96" x14ac:dyDescent="0.25">
      <c r="A65" s="51"/>
      <c r="B65" s="43" t="s">
        <v>50</v>
      </c>
      <c r="C65" s="43" t="s">
        <v>23</v>
      </c>
      <c r="D65" s="44" t="s">
        <v>230</v>
      </c>
      <c r="E65" s="43" t="s">
        <v>231</v>
      </c>
      <c r="F65" s="45"/>
      <c r="G65" s="45"/>
      <c r="H65" s="45" t="str">
        <f t="shared" si="5"/>
        <v/>
      </c>
      <c r="I65" s="51">
        <v>1</v>
      </c>
      <c r="J65" s="52" t="s">
        <v>197</v>
      </c>
      <c r="K65" s="50" t="s">
        <v>22</v>
      </c>
      <c r="L65" s="52"/>
      <c r="M65" s="41" t="s">
        <v>80</v>
      </c>
    </row>
    <row r="66" spans="1:13" ht="108" x14ac:dyDescent="0.25">
      <c r="A66" s="51"/>
      <c r="B66" s="43" t="s">
        <v>50</v>
      </c>
      <c r="C66" s="43" t="s">
        <v>23</v>
      </c>
      <c r="D66" s="44" t="s">
        <v>232</v>
      </c>
      <c r="E66" s="43" t="s">
        <v>233</v>
      </c>
      <c r="F66" s="45"/>
      <c r="G66" s="45"/>
      <c r="H66" s="45" t="str">
        <f t="shared" si="5"/>
        <v/>
      </c>
      <c r="I66" s="51">
        <v>1</v>
      </c>
      <c r="J66" s="52" t="s">
        <v>197</v>
      </c>
      <c r="K66" s="50" t="s">
        <v>22</v>
      </c>
      <c r="L66" s="52"/>
      <c r="M66" s="41" t="s">
        <v>80</v>
      </c>
    </row>
    <row r="67" spans="1:13" ht="48" x14ac:dyDescent="0.25">
      <c r="A67" s="51"/>
      <c r="B67" s="43" t="s">
        <v>50</v>
      </c>
      <c r="C67" s="43" t="s">
        <v>132</v>
      </c>
      <c r="D67" s="44" t="s">
        <v>234</v>
      </c>
      <c r="E67" s="43" t="s">
        <v>235</v>
      </c>
      <c r="F67" s="45"/>
      <c r="G67" s="45"/>
      <c r="H67" s="45" t="str">
        <f t="shared" si="5"/>
        <v/>
      </c>
      <c r="I67" s="51">
        <v>1</v>
      </c>
      <c r="J67" s="52" t="s">
        <v>197</v>
      </c>
      <c r="K67" s="52" t="s">
        <v>236</v>
      </c>
      <c r="L67" s="52"/>
      <c r="M67" s="41" t="s">
        <v>80</v>
      </c>
    </row>
    <row r="68" spans="1:13" ht="84" x14ac:dyDescent="0.25">
      <c r="A68" s="51"/>
      <c r="B68" s="43" t="s">
        <v>50</v>
      </c>
      <c r="C68" s="43" t="s">
        <v>198</v>
      </c>
      <c r="D68" s="44" t="s">
        <v>199</v>
      </c>
      <c r="E68" s="43" t="s">
        <v>200</v>
      </c>
      <c r="F68" s="45"/>
      <c r="G68" s="45"/>
      <c r="H68" s="45" t="str">
        <f t="shared" si="5"/>
        <v/>
      </c>
      <c r="I68" s="51">
        <v>1</v>
      </c>
      <c r="J68" s="52" t="s">
        <v>197</v>
      </c>
      <c r="K68" s="52" t="s">
        <v>201</v>
      </c>
      <c r="L68" s="52"/>
      <c r="M68" s="41" t="s">
        <v>80</v>
      </c>
    </row>
    <row r="69" spans="1:13" ht="72" x14ac:dyDescent="0.25">
      <c r="A69" s="51"/>
      <c r="B69" s="43" t="s">
        <v>50</v>
      </c>
      <c r="C69" s="43" t="s">
        <v>198</v>
      </c>
      <c r="D69" s="44" t="s">
        <v>202</v>
      </c>
      <c r="E69" s="43" t="s">
        <v>203</v>
      </c>
      <c r="F69" s="45"/>
      <c r="G69" s="45"/>
      <c r="H69" s="45" t="str">
        <f t="shared" si="5"/>
        <v/>
      </c>
      <c r="I69" s="51">
        <v>1</v>
      </c>
      <c r="J69" s="52" t="s">
        <v>197</v>
      </c>
      <c r="K69" s="52" t="s">
        <v>201</v>
      </c>
      <c r="L69" s="52"/>
      <c r="M69" s="41" t="s">
        <v>80</v>
      </c>
    </row>
    <row r="70" spans="1:13" ht="96" x14ac:dyDescent="0.25">
      <c r="A70" s="51"/>
      <c r="B70" s="43" t="s">
        <v>50</v>
      </c>
      <c r="C70" s="43" t="s">
        <v>212</v>
      </c>
      <c r="D70" s="44" t="s">
        <v>213</v>
      </c>
      <c r="E70" s="43" t="s">
        <v>214</v>
      </c>
      <c r="F70" s="45"/>
      <c r="G70" s="45"/>
      <c r="H70" s="45" t="str">
        <f t="shared" si="5"/>
        <v/>
      </c>
      <c r="I70" s="51">
        <v>1</v>
      </c>
      <c r="J70" s="52" t="s">
        <v>197</v>
      </c>
      <c r="K70" s="52" t="s">
        <v>215</v>
      </c>
      <c r="L70" s="52"/>
      <c r="M70" s="41" t="s">
        <v>80</v>
      </c>
    </row>
    <row r="71" spans="1:13" ht="36" x14ac:dyDescent="0.25">
      <c r="A71" s="49"/>
      <c r="B71" s="41" t="s">
        <v>50</v>
      </c>
      <c r="C71" s="41" t="s">
        <v>216</v>
      </c>
      <c r="D71" s="41" t="s">
        <v>216</v>
      </c>
      <c r="E71" s="41" t="s">
        <v>217</v>
      </c>
      <c r="F71" s="42">
        <f ca="1">OFFSET(F71,1,2)</f>
        <v>0</v>
      </c>
      <c r="G71" s="42">
        <f ca="1">F71</f>
        <v>0</v>
      </c>
      <c r="H71" s="42">
        <f ca="1">G71*I71</f>
        <v>0</v>
      </c>
      <c r="I71" s="49">
        <v>1</v>
      </c>
      <c r="J71" s="50" t="s">
        <v>197</v>
      </c>
      <c r="K71" s="41" t="s">
        <v>216</v>
      </c>
      <c r="L71" s="50"/>
      <c r="M71" s="41" t="s">
        <v>80</v>
      </c>
    </row>
    <row r="72" spans="1:13" ht="36" x14ac:dyDescent="0.25">
      <c r="A72" s="49"/>
      <c r="B72" s="41" t="s">
        <v>50</v>
      </c>
      <c r="C72" s="41" t="s">
        <v>218</v>
      </c>
      <c r="D72" s="41" t="s">
        <v>218</v>
      </c>
      <c r="E72" s="41" t="s">
        <v>219</v>
      </c>
      <c r="F72" s="42"/>
      <c r="G72" s="42">
        <v>100</v>
      </c>
      <c r="H72" s="42">
        <f>IF(OR(G72="",I72=""),"",G72*I72)</f>
        <v>0</v>
      </c>
      <c r="I72" s="49">
        <f>60*F72</f>
        <v>0</v>
      </c>
      <c r="J72" s="50" t="s">
        <v>197</v>
      </c>
      <c r="K72" s="41" t="s">
        <v>218</v>
      </c>
      <c r="L72" s="50"/>
      <c r="M72" s="41" t="s">
        <v>80</v>
      </c>
    </row>
    <row r="73" spans="1:13" ht="36" x14ac:dyDescent="0.25">
      <c r="A73" s="53"/>
      <c r="B73" s="47" t="s">
        <v>50</v>
      </c>
      <c r="C73" s="46"/>
      <c r="D73" s="46"/>
      <c r="E73" s="47" t="s">
        <v>220</v>
      </c>
      <c r="F73" s="48"/>
      <c r="G73" s="48"/>
      <c r="H73" s="48">
        <f ca="1">SUM(H63:H72)</f>
        <v>0</v>
      </c>
      <c r="I73" s="53"/>
      <c r="J73" s="54"/>
      <c r="K73" s="54"/>
      <c r="L73" s="54"/>
      <c r="M73" s="46" t="s">
        <v>80</v>
      </c>
    </row>
    <row r="74" spans="1:13" ht="24" customHeight="1" x14ac:dyDescent="0.25">
      <c r="A74" s="40"/>
      <c r="B74" s="38" t="s">
        <v>221</v>
      </c>
      <c r="C74" s="38"/>
      <c r="D74" s="38"/>
      <c r="E74" s="38" t="s">
        <v>221</v>
      </c>
      <c r="F74" s="39"/>
      <c r="G74" s="39"/>
      <c r="H74" s="39"/>
      <c r="I74" s="40">
        <v>1</v>
      </c>
      <c r="J74" s="38" t="s">
        <v>11</v>
      </c>
      <c r="K74" s="38" t="s">
        <v>196</v>
      </c>
      <c r="L74" s="38"/>
      <c r="M74" s="38" t="s">
        <v>85</v>
      </c>
    </row>
    <row r="75" spans="1:13" ht="48" x14ac:dyDescent="0.25">
      <c r="A75" s="49"/>
      <c r="B75" s="41" t="s">
        <v>221</v>
      </c>
      <c r="C75" s="41" t="s">
        <v>14</v>
      </c>
      <c r="D75" s="41" t="s">
        <v>39</v>
      </c>
      <c r="E75" s="41" t="s">
        <v>40</v>
      </c>
      <c r="F75" s="42"/>
      <c r="G75" s="42">
        <v>0</v>
      </c>
      <c r="H75" s="42">
        <f t="shared" ref="H75:H81" si="6">IF(OR(G75="",I75=""),"",G75*I75)</f>
        <v>0</v>
      </c>
      <c r="I75" s="49">
        <v>1</v>
      </c>
      <c r="J75" s="50" t="s">
        <v>197</v>
      </c>
      <c r="K75" s="50" t="s">
        <v>18</v>
      </c>
      <c r="L75" s="50"/>
      <c r="M75" s="41" t="s">
        <v>85</v>
      </c>
    </row>
    <row r="76" spans="1:13" ht="120" x14ac:dyDescent="0.25">
      <c r="A76" s="51"/>
      <c r="B76" s="43" t="s">
        <v>221</v>
      </c>
      <c r="C76" s="43" t="s">
        <v>46</v>
      </c>
      <c r="D76" s="44" t="s">
        <v>222</v>
      </c>
      <c r="E76" s="43" t="s">
        <v>223</v>
      </c>
      <c r="F76" s="45"/>
      <c r="G76" s="45"/>
      <c r="H76" s="45" t="str">
        <f t="shared" si="6"/>
        <v/>
      </c>
      <c r="I76" s="51">
        <v>1</v>
      </c>
      <c r="J76" s="52" t="s">
        <v>197</v>
      </c>
      <c r="K76" s="50" t="s">
        <v>22</v>
      </c>
      <c r="L76" s="52"/>
      <c r="M76" s="41" t="s">
        <v>85</v>
      </c>
    </row>
    <row r="77" spans="1:13" ht="96" x14ac:dyDescent="0.25">
      <c r="A77" s="49"/>
      <c r="B77" s="41" t="s">
        <v>221</v>
      </c>
      <c r="C77" s="41" t="s">
        <v>41</v>
      </c>
      <c r="D77" s="41" t="s">
        <v>42</v>
      </c>
      <c r="E77" s="41" t="s">
        <v>43</v>
      </c>
      <c r="F77" s="42">
        <v>1545</v>
      </c>
      <c r="G77" s="42">
        <v>927</v>
      </c>
      <c r="H77" s="42">
        <f t="shared" si="6"/>
        <v>2781</v>
      </c>
      <c r="I77" s="49">
        <v>3</v>
      </c>
      <c r="J77" s="50" t="s">
        <v>197</v>
      </c>
      <c r="K77" s="50" t="s">
        <v>22</v>
      </c>
      <c r="L77" s="50"/>
      <c r="M77" s="41" t="s">
        <v>85</v>
      </c>
    </row>
    <row r="78" spans="1:13" ht="96" x14ac:dyDescent="0.25">
      <c r="A78" s="49"/>
      <c r="B78" s="41" t="s">
        <v>221</v>
      </c>
      <c r="C78" s="41" t="s">
        <v>41</v>
      </c>
      <c r="D78" s="41" t="s">
        <v>44</v>
      </c>
      <c r="E78" s="41" t="s">
        <v>45</v>
      </c>
      <c r="F78" s="42">
        <v>2038</v>
      </c>
      <c r="G78" s="42">
        <v>1222.8</v>
      </c>
      <c r="H78" s="42">
        <f t="shared" si="6"/>
        <v>3668.3999999999996</v>
      </c>
      <c r="I78" s="49">
        <v>3</v>
      </c>
      <c r="J78" s="50" t="s">
        <v>197</v>
      </c>
      <c r="K78" s="50" t="s">
        <v>22</v>
      </c>
      <c r="L78" s="50"/>
      <c r="M78" s="41" t="s">
        <v>85</v>
      </c>
    </row>
    <row r="79" spans="1:13" ht="84" x14ac:dyDescent="0.25">
      <c r="A79" s="51"/>
      <c r="B79" s="43" t="s">
        <v>221</v>
      </c>
      <c r="C79" s="43" t="s">
        <v>198</v>
      </c>
      <c r="D79" s="44" t="s">
        <v>199</v>
      </c>
      <c r="E79" s="43" t="s">
        <v>200</v>
      </c>
      <c r="F79" s="45"/>
      <c r="G79" s="45"/>
      <c r="H79" s="45" t="str">
        <f t="shared" si="6"/>
        <v/>
      </c>
      <c r="I79" s="51">
        <v>1</v>
      </c>
      <c r="J79" s="52" t="s">
        <v>197</v>
      </c>
      <c r="K79" s="52" t="s">
        <v>201</v>
      </c>
      <c r="L79" s="52"/>
      <c r="M79" s="41" t="s">
        <v>85</v>
      </c>
    </row>
    <row r="80" spans="1:13" ht="72" x14ac:dyDescent="0.25">
      <c r="A80" s="51"/>
      <c r="B80" s="43" t="s">
        <v>221</v>
      </c>
      <c r="C80" s="43" t="s">
        <v>198</v>
      </c>
      <c r="D80" s="44" t="s">
        <v>202</v>
      </c>
      <c r="E80" s="43" t="s">
        <v>203</v>
      </c>
      <c r="F80" s="45"/>
      <c r="G80" s="45"/>
      <c r="H80" s="45" t="str">
        <f t="shared" si="6"/>
        <v/>
      </c>
      <c r="I80" s="51">
        <v>1</v>
      </c>
      <c r="J80" s="52" t="s">
        <v>197</v>
      </c>
      <c r="K80" s="52" t="s">
        <v>201</v>
      </c>
      <c r="L80" s="52"/>
      <c r="M80" s="41" t="s">
        <v>85</v>
      </c>
    </row>
    <row r="81" spans="1:13" ht="96" x14ac:dyDescent="0.25">
      <c r="A81" s="51"/>
      <c r="B81" s="43" t="s">
        <v>221</v>
      </c>
      <c r="C81" s="43" t="s">
        <v>212</v>
      </c>
      <c r="D81" s="44" t="s">
        <v>213</v>
      </c>
      <c r="E81" s="43" t="s">
        <v>214</v>
      </c>
      <c r="F81" s="45"/>
      <c r="G81" s="45"/>
      <c r="H81" s="45" t="str">
        <f t="shared" si="6"/>
        <v/>
      </c>
      <c r="I81" s="51">
        <v>1</v>
      </c>
      <c r="J81" s="52" t="s">
        <v>197</v>
      </c>
      <c r="K81" s="52" t="s">
        <v>215</v>
      </c>
      <c r="L81" s="52"/>
      <c r="M81" s="41" t="s">
        <v>85</v>
      </c>
    </row>
    <row r="82" spans="1:13" ht="48" x14ac:dyDescent="0.25">
      <c r="A82" s="49"/>
      <c r="B82" s="41" t="s">
        <v>221</v>
      </c>
      <c r="C82" s="41" t="s">
        <v>216</v>
      </c>
      <c r="D82" s="41" t="s">
        <v>216</v>
      </c>
      <c r="E82" s="41" t="s">
        <v>217</v>
      </c>
      <c r="F82" s="42">
        <f ca="1">OFFSET(F82,1,2)</f>
        <v>0</v>
      </c>
      <c r="G82" s="42">
        <f ca="1">F82</f>
        <v>0</v>
      </c>
      <c r="H82" s="42">
        <f ca="1">G82*I82</f>
        <v>0</v>
      </c>
      <c r="I82" s="49">
        <v>1</v>
      </c>
      <c r="J82" s="50" t="s">
        <v>197</v>
      </c>
      <c r="K82" s="41" t="s">
        <v>216</v>
      </c>
      <c r="L82" s="50"/>
      <c r="M82" s="41" t="s">
        <v>85</v>
      </c>
    </row>
    <row r="83" spans="1:13" ht="48" x14ac:dyDescent="0.25">
      <c r="A83" s="49"/>
      <c r="B83" s="41" t="s">
        <v>221</v>
      </c>
      <c r="C83" s="41" t="s">
        <v>218</v>
      </c>
      <c r="D83" s="41" t="s">
        <v>218</v>
      </c>
      <c r="E83" s="41" t="s">
        <v>219</v>
      </c>
      <c r="F83" s="42"/>
      <c r="G83" s="42">
        <v>100</v>
      </c>
      <c r="H83" s="42">
        <f>IF(OR(G83="",I83=""),"",G83*I83)</f>
        <v>0</v>
      </c>
      <c r="I83" s="49">
        <f>60*F83</f>
        <v>0</v>
      </c>
      <c r="J83" s="50" t="s">
        <v>197</v>
      </c>
      <c r="K83" s="41" t="s">
        <v>218</v>
      </c>
      <c r="L83" s="50"/>
      <c r="M83" s="41" t="s">
        <v>85</v>
      </c>
    </row>
    <row r="84" spans="1:13" ht="48" x14ac:dyDescent="0.25">
      <c r="A84" s="53"/>
      <c r="B84" s="47" t="s">
        <v>221</v>
      </c>
      <c r="C84" s="46"/>
      <c r="D84" s="46"/>
      <c r="E84" s="47" t="s">
        <v>220</v>
      </c>
      <c r="F84" s="48"/>
      <c r="G84" s="48"/>
      <c r="H84" s="48">
        <f ca="1">SUM(H75:H83)</f>
        <v>6449.4</v>
      </c>
      <c r="I84" s="53"/>
      <c r="J84" s="54"/>
      <c r="K84" s="54"/>
      <c r="L84" s="54"/>
      <c r="M84" s="46" t="s">
        <v>85</v>
      </c>
    </row>
    <row r="85" spans="1:13" ht="24" customHeight="1" x14ac:dyDescent="0.25">
      <c r="A85" s="40"/>
      <c r="B85" s="38" t="s">
        <v>50</v>
      </c>
      <c r="C85" s="38"/>
      <c r="D85" s="38"/>
      <c r="E85" s="38" t="s">
        <v>50</v>
      </c>
      <c r="F85" s="39"/>
      <c r="G85" s="39"/>
      <c r="H85" s="39"/>
      <c r="I85" s="40">
        <v>1</v>
      </c>
      <c r="J85" s="38" t="s">
        <v>11</v>
      </c>
      <c r="K85" s="38" t="s">
        <v>196</v>
      </c>
      <c r="L85" s="38"/>
      <c r="M85" s="38" t="s">
        <v>85</v>
      </c>
    </row>
    <row r="86" spans="1:13" ht="108" x14ac:dyDescent="0.25">
      <c r="A86" s="51"/>
      <c r="B86" s="43" t="s">
        <v>50</v>
      </c>
      <c r="C86" s="43" t="s">
        <v>14</v>
      </c>
      <c r="D86" s="44" t="s">
        <v>224</v>
      </c>
      <c r="E86" s="43" t="s">
        <v>225</v>
      </c>
      <c r="F86" s="45"/>
      <c r="G86" s="45"/>
      <c r="H86" s="45" t="str">
        <f t="shared" ref="H86:H93" si="7">IF(OR(G86="",I86=""),"",G86*I86)</f>
        <v/>
      </c>
      <c r="I86" s="51">
        <v>1</v>
      </c>
      <c r="J86" s="52" t="s">
        <v>197</v>
      </c>
      <c r="K86" s="52" t="s">
        <v>226</v>
      </c>
      <c r="L86" s="52"/>
      <c r="M86" s="41" t="s">
        <v>85</v>
      </c>
    </row>
    <row r="87" spans="1:13" ht="72" x14ac:dyDescent="0.25">
      <c r="A87" s="51"/>
      <c r="B87" s="43" t="s">
        <v>50</v>
      </c>
      <c r="C87" s="43" t="s">
        <v>227</v>
      </c>
      <c r="D87" s="44" t="s">
        <v>228</v>
      </c>
      <c r="E87" s="43" t="s">
        <v>229</v>
      </c>
      <c r="F87" s="45"/>
      <c r="G87" s="45"/>
      <c r="H87" s="45" t="str">
        <f t="shared" si="7"/>
        <v/>
      </c>
      <c r="I87" s="51">
        <v>1</v>
      </c>
      <c r="J87" s="52" t="s">
        <v>197</v>
      </c>
      <c r="K87" s="50" t="s">
        <v>22</v>
      </c>
      <c r="L87" s="52"/>
      <c r="M87" s="41" t="s">
        <v>85</v>
      </c>
    </row>
    <row r="88" spans="1:13" ht="96" x14ac:dyDescent="0.25">
      <c r="A88" s="51"/>
      <c r="B88" s="43" t="s">
        <v>50</v>
      </c>
      <c r="C88" s="43" t="s">
        <v>23</v>
      </c>
      <c r="D88" s="44" t="s">
        <v>230</v>
      </c>
      <c r="E88" s="43" t="s">
        <v>231</v>
      </c>
      <c r="F88" s="45"/>
      <c r="G88" s="45"/>
      <c r="H88" s="45" t="str">
        <f t="shared" si="7"/>
        <v/>
      </c>
      <c r="I88" s="51">
        <v>1</v>
      </c>
      <c r="J88" s="52" t="s">
        <v>197</v>
      </c>
      <c r="K88" s="50" t="s">
        <v>22</v>
      </c>
      <c r="L88" s="52"/>
      <c r="M88" s="41" t="s">
        <v>85</v>
      </c>
    </row>
    <row r="89" spans="1:13" ht="108" x14ac:dyDescent="0.25">
      <c r="A89" s="51"/>
      <c r="B89" s="43" t="s">
        <v>50</v>
      </c>
      <c r="C89" s="43" t="s">
        <v>23</v>
      </c>
      <c r="D89" s="44" t="s">
        <v>232</v>
      </c>
      <c r="E89" s="43" t="s">
        <v>233</v>
      </c>
      <c r="F89" s="45"/>
      <c r="G89" s="45"/>
      <c r="H89" s="45" t="str">
        <f t="shared" si="7"/>
        <v/>
      </c>
      <c r="I89" s="51">
        <v>1</v>
      </c>
      <c r="J89" s="52" t="s">
        <v>197</v>
      </c>
      <c r="K89" s="50" t="s">
        <v>22</v>
      </c>
      <c r="L89" s="52"/>
      <c r="M89" s="41" t="s">
        <v>85</v>
      </c>
    </row>
    <row r="90" spans="1:13" ht="48" x14ac:dyDescent="0.25">
      <c r="A90" s="51"/>
      <c r="B90" s="43" t="s">
        <v>50</v>
      </c>
      <c r="C90" s="43" t="s">
        <v>132</v>
      </c>
      <c r="D90" s="44" t="s">
        <v>234</v>
      </c>
      <c r="E90" s="43" t="s">
        <v>235</v>
      </c>
      <c r="F90" s="45"/>
      <c r="G90" s="45"/>
      <c r="H90" s="45" t="str">
        <f t="shared" si="7"/>
        <v/>
      </c>
      <c r="I90" s="51">
        <v>1</v>
      </c>
      <c r="J90" s="52" t="s">
        <v>197</v>
      </c>
      <c r="K90" s="52" t="s">
        <v>236</v>
      </c>
      <c r="L90" s="52"/>
      <c r="M90" s="41" t="s">
        <v>85</v>
      </c>
    </row>
    <row r="91" spans="1:13" ht="84" x14ac:dyDescent="0.25">
      <c r="A91" s="51"/>
      <c r="B91" s="43" t="s">
        <v>50</v>
      </c>
      <c r="C91" s="43" t="s">
        <v>198</v>
      </c>
      <c r="D91" s="44" t="s">
        <v>199</v>
      </c>
      <c r="E91" s="43" t="s">
        <v>200</v>
      </c>
      <c r="F91" s="45"/>
      <c r="G91" s="45"/>
      <c r="H91" s="45" t="str">
        <f t="shared" si="7"/>
        <v/>
      </c>
      <c r="I91" s="51">
        <v>1</v>
      </c>
      <c r="J91" s="52" t="s">
        <v>197</v>
      </c>
      <c r="K91" s="52" t="s">
        <v>201</v>
      </c>
      <c r="L91" s="52"/>
      <c r="M91" s="41" t="s">
        <v>85</v>
      </c>
    </row>
    <row r="92" spans="1:13" ht="72" x14ac:dyDescent="0.25">
      <c r="A92" s="51"/>
      <c r="B92" s="43" t="s">
        <v>50</v>
      </c>
      <c r="C92" s="43" t="s">
        <v>198</v>
      </c>
      <c r="D92" s="44" t="s">
        <v>202</v>
      </c>
      <c r="E92" s="43" t="s">
        <v>203</v>
      </c>
      <c r="F92" s="45"/>
      <c r="G92" s="45"/>
      <c r="H92" s="45" t="str">
        <f t="shared" si="7"/>
        <v/>
      </c>
      <c r="I92" s="51">
        <v>1</v>
      </c>
      <c r="J92" s="52" t="s">
        <v>197</v>
      </c>
      <c r="K92" s="52" t="s">
        <v>201</v>
      </c>
      <c r="L92" s="52"/>
      <c r="M92" s="41" t="s">
        <v>85</v>
      </c>
    </row>
    <row r="93" spans="1:13" ht="96" x14ac:dyDescent="0.25">
      <c r="A93" s="51"/>
      <c r="B93" s="43" t="s">
        <v>50</v>
      </c>
      <c r="C93" s="43" t="s">
        <v>212</v>
      </c>
      <c r="D93" s="44" t="s">
        <v>213</v>
      </c>
      <c r="E93" s="43" t="s">
        <v>214</v>
      </c>
      <c r="F93" s="45"/>
      <c r="G93" s="45"/>
      <c r="H93" s="45" t="str">
        <f t="shared" si="7"/>
        <v/>
      </c>
      <c r="I93" s="51">
        <v>1</v>
      </c>
      <c r="J93" s="52" t="s">
        <v>197</v>
      </c>
      <c r="K93" s="52" t="s">
        <v>215</v>
      </c>
      <c r="L93" s="52"/>
      <c r="M93" s="41" t="s">
        <v>85</v>
      </c>
    </row>
    <row r="94" spans="1:13" ht="36" x14ac:dyDescent="0.25">
      <c r="A94" s="49"/>
      <c r="B94" s="41" t="s">
        <v>50</v>
      </c>
      <c r="C94" s="41" t="s">
        <v>216</v>
      </c>
      <c r="D94" s="41" t="s">
        <v>216</v>
      </c>
      <c r="E94" s="41" t="s">
        <v>217</v>
      </c>
      <c r="F94" s="42">
        <f ca="1">OFFSET(F94,1,2)</f>
        <v>0</v>
      </c>
      <c r="G94" s="42">
        <f ca="1">F94</f>
        <v>0</v>
      </c>
      <c r="H94" s="42">
        <f ca="1">G94*I94</f>
        <v>0</v>
      </c>
      <c r="I94" s="49">
        <v>1</v>
      </c>
      <c r="J94" s="50" t="s">
        <v>197</v>
      </c>
      <c r="K94" s="41" t="s">
        <v>216</v>
      </c>
      <c r="L94" s="50"/>
      <c r="M94" s="41" t="s">
        <v>85</v>
      </c>
    </row>
    <row r="95" spans="1:13" ht="36" x14ac:dyDescent="0.25">
      <c r="A95" s="49"/>
      <c r="B95" s="41" t="s">
        <v>50</v>
      </c>
      <c r="C95" s="41" t="s">
        <v>218</v>
      </c>
      <c r="D95" s="41" t="s">
        <v>218</v>
      </c>
      <c r="E95" s="41" t="s">
        <v>219</v>
      </c>
      <c r="F95" s="42"/>
      <c r="G95" s="42">
        <v>100</v>
      </c>
      <c r="H95" s="42">
        <f>IF(OR(G95="",I95=""),"",G95*I95)</f>
        <v>0</v>
      </c>
      <c r="I95" s="49">
        <f>60*F95</f>
        <v>0</v>
      </c>
      <c r="J95" s="50" t="s">
        <v>197</v>
      </c>
      <c r="K95" s="41" t="s">
        <v>218</v>
      </c>
      <c r="L95" s="50"/>
      <c r="M95" s="41" t="s">
        <v>85</v>
      </c>
    </row>
    <row r="96" spans="1:13" ht="36" x14ac:dyDescent="0.25">
      <c r="A96" s="53"/>
      <c r="B96" s="47" t="s">
        <v>50</v>
      </c>
      <c r="C96" s="46"/>
      <c r="D96" s="46"/>
      <c r="E96" s="47" t="s">
        <v>220</v>
      </c>
      <c r="F96" s="48"/>
      <c r="G96" s="48"/>
      <c r="H96" s="48">
        <f ca="1">SUM(H86:H95)</f>
        <v>0</v>
      </c>
      <c r="I96" s="53"/>
      <c r="J96" s="54"/>
      <c r="K96" s="54"/>
      <c r="L96" s="54"/>
      <c r="M96" s="46" t="s">
        <v>85</v>
      </c>
    </row>
    <row r="97" spans="1:13" ht="24" customHeight="1" x14ac:dyDescent="0.25">
      <c r="A97" s="40"/>
      <c r="B97" s="38" t="s">
        <v>221</v>
      </c>
      <c r="C97" s="38"/>
      <c r="D97" s="38"/>
      <c r="E97" s="38" t="s">
        <v>221</v>
      </c>
      <c r="F97" s="39"/>
      <c r="G97" s="39"/>
      <c r="H97" s="39"/>
      <c r="I97" s="40">
        <v>1</v>
      </c>
      <c r="J97" s="38" t="s">
        <v>11</v>
      </c>
      <c r="K97" s="38" t="s">
        <v>196</v>
      </c>
      <c r="L97" s="38"/>
      <c r="M97" s="38" t="s">
        <v>95</v>
      </c>
    </row>
    <row r="98" spans="1:13" ht="48" x14ac:dyDescent="0.25">
      <c r="A98" s="49"/>
      <c r="B98" s="41" t="s">
        <v>221</v>
      </c>
      <c r="C98" s="41" t="s">
        <v>14</v>
      </c>
      <c r="D98" s="41" t="s">
        <v>39</v>
      </c>
      <c r="E98" s="41" t="s">
        <v>40</v>
      </c>
      <c r="F98" s="42"/>
      <c r="G98" s="42">
        <v>0</v>
      </c>
      <c r="H98" s="42">
        <f t="shared" ref="H98:H104" si="8">IF(OR(G98="",I98=""),"",G98*I98)</f>
        <v>0</v>
      </c>
      <c r="I98" s="49">
        <v>1</v>
      </c>
      <c r="J98" s="50" t="s">
        <v>197</v>
      </c>
      <c r="K98" s="50" t="s">
        <v>18</v>
      </c>
      <c r="L98" s="50"/>
      <c r="M98" s="41" t="s">
        <v>95</v>
      </c>
    </row>
    <row r="99" spans="1:13" ht="120" x14ac:dyDescent="0.25">
      <c r="A99" s="51"/>
      <c r="B99" s="43" t="s">
        <v>221</v>
      </c>
      <c r="C99" s="43" t="s">
        <v>46</v>
      </c>
      <c r="D99" s="44" t="s">
        <v>222</v>
      </c>
      <c r="E99" s="43" t="s">
        <v>223</v>
      </c>
      <c r="F99" s="45"/>
      <c r="G99" s="45"/>
      <c r="H99" s="45" t="str">
        <f t="shared" si="8"/>
        <v/>
      </c>
      <c r="I99" s="51">
        <v>1</v>
      </c>
      <c r="J99" s="52" t="s">
        <v>197</v>
      </c>
      <c r="K99" s="50" t="s">
        <v>22</v>
      </c>
      <c r="L99" s="52"/>
      <c r="M99" s="41" t="s">
        <v>95</v>
      </c>
    </row>
    <row r="100" spans="1:13" ht="96" x14ac:dyDescent="0.25">
      <c r="A100" s="49"/>
      <c r="B100" s="41" t="s">
        <v>221</v>
      </c>
      <c r="C100" s="41" t="s">
        <v>41</v>
      </c>
      <c r="D100" s="41" t="s">
        <v>42</v>
      </c>
      <c r="E100" s="41" t="s">
        <v>43</v>
      </c>
      <c r="F100" s="42">
        <v>1545</v>
      </c>
      <c r="G100" s="42">
        <v>927</v>
      </c>
      <c r="H100" s="42">
        <f t="shared" si="8"/>
        <v>2781</v>
      </c>
      <c r="I100" s="49">
        <v>3</v>
      </c>
      <c r="J100" s="50" t="s">
        <v>197</v>
      </c>
      <c r="K100" s="50" t="s">
        <v>22</v>
      </c>
      <c r="L100" s="50"/>
      <c r="M100" s="41" t="s">
        <v>95</v>
      </c>
    </row>
    <row r="101" spans="1:13" ht="96" x14ac:dyDescent="0.25">
      <c r="A101" s="49"/>
      <c r="B101" s="41" t="s">
        <v>221</v>
      </c>
      <c r="C101" s="41" t="s">
        <v>41</v>
      </c>
      <c r="D101" s="41" t="s">
        <v>44</v>
      </c>
      <c r="E101" s="41" t="s">
        <v>45</v>
      </c>
      <c r="F101" s="42">
        <v>2038</v>
      </c>
      <c r="G101" s="42">
        <v>1222.8</v>
      </c>
      <c r="H101" s="42">
        <f t="shared" si="8"/>
        <v>3668.3999999999996</v>
      </c>
      <c r="I101" s="49">
        <v>3</v>
      </c>
      <c r="J101" s="50" t="s">
        <v>197</v>
      </c>
      <c r="K101" s="50" t="s">
        <v>22</v>
      </c>
      <c r="L101" s="50"/>
      <c r="M101" s="41" t="s">
        <v>95</v>
      </c>
    </row>
    <row r="102" spans="1:13" ht="84" x14ac:dyDescent="0.25">
      <c r="A102" s="51"/>
      <c r="B102" s="43" t="s">
        <v>221</v>
      </c>
      <c r="C102" s="43" t="s">
        <v>198</v>
      </c>
      <c r="D102" s="44" t="s">
        <v>199</v>
      </c>
      <c r="E102" s="43" t="s">
        <v>200</v>
      </c>
      <c r="F102" s="45"/>
      <c r="G102" s="45"/>
      <c r="H102" s="45" t="str">
        <f t="shared" si="8"/>
        <v/>
      </c>
      <c r="I102" s="51">
        <v>1</v>
      </c>
      <c r="J102" s="52" t="s">
        <v>197</v>
      </c>
      <c r="K102" s="52" t="s">
        <v>201</v>
      </c>
      <c r="L102" s="52"/>
      <c r="M102" s="41" t="s">
        <v>95</v>
      </c>
    </row>
    <row r="103" spans="1:13" ht="72" x14ac:dyDescent="0.25">
      <c r="A103" s="51"/>
      <c r="B103" s="43" t="s">
        <v>221</v>
      </c>
      <c r="C103" s="43" t="s">
        <v>198</v>
      </c>
      <c r="D103" s="44" t="s">
        <v>202</v>
      </c>
      <c r="E103" s="43" t="s">
        <v>203</v>
      </c>
      <c r="F103" s="45"/>
      <c r="G103" s="45"/>
      <c r="H103" s="45" t="str">
        <f t="shared" si="8"/>
        <v/>
      </c>
      <c r="I103" s="51">
        <v>1</v>
      </c>
      <c r="J103" s="52" t="s">
        <v>197</v>
      </c>
      <c r="K103" s="52" t="s">
        <v>201</v>
      </c>
      <c r="L103" s="52"/>
      <c r="M103" s="41" t="s">
        <v>95</v>
      </c>
    </row>
    <row r="104" spans="1:13" ht="96" x14ac:dyDescent="0.25">
      <c r="A104" s="51"/>
      <c r="B104" s="43" t="s">
        <v>221</v>
      </c>
      <c r="C104" s="43" t="s">
        <v>212</v>
      </c>
      <c r="D104" s="44" t="s">
        <v>213</v>
      </c>
      <c r="E104" s="43" t="s">
        <v>214</v>
      </c>
      <c r="F104" s="45"/>
      <c r="G104" s="45"/>
      <c r="H104" s="45" t="str">
        <f t="shared" si="8"/>
        <v/>
      </c>
      <c r="I104" s="51">
        <v>1</v>
      </c>
      <c r="J104" s="52" t="s">
        <v>197</v>
      </c>
      <c r="K104" s="52" t="s">
        <v>215</v>
      </c>
      <c r="L104" s="52"/>
      <c r="M104" s="41" t="s">
        <v>95</v>
      </c>
    </row>
    <row r="105" spans="1:13" ht="48" x14ac:dyDescent="0.25">
      <c r="A105" s="49"/>
      <c r="B105" s="41" t="s">
        <v>221</v>
      </c>
      <c r="C105" s="41" t="s">
        <v>216</v>
      </c>
      <c r="D105" s="41" t="s">
        <v>216</v>
      </c>
      <c r="E105" s="41" t="s">
        <v>217</v>
      </c>
      <c r="F105" s="42">
        <f ca="1">OFFSET(F105,1,2)</f>
        <v>0</v>
      </c>
      <c r="G105" s="42">
        <f ca="1">F105</f>
        <v>0</v>
      </c>
      <c r="H105" s="42">
        <f ca="1">G105*I105</f>
        <v>0</v>
      </c>
      <c r="I105" s="49">
        <v>1</v>
      </c>
      <c r="J105" s="50" t="s">
        <v>197</v>
      </c>
      <c r="K105" s="41" t="s">
        <v>216</v>
      </c>
      <c r="L105" s="50"/>
      <c r="M105" s="41" t="s">
        <v>95</v>
      </c>
    </row>
    <row r="106" spans="1:13" ht="48" x14ac:dyDescent="0.25">
      <c r="A106" s="49"/>
      <c r="B106" s="41" t="s">
        <v>221</v>
      </c>
      <c r="C106" s="41" t="s">
        <v>218</v>
      </c>
      <c r="D106" s="41" t="s">
        <v>218</v>
      </c>
      <c r="E106" s="41" t="s">
        <v>219</v>
      </c>
      <c r="F106" s="42"/>
      <c r="G106" s="42">
        <v>100</v>
      </c>
      <c r="H106" s="42">
        <f>IF(OR(G106="",I106=""),"",G106*I106)</f>
        <v>0</v>
      </c>
      <c r="I106" s="49">
        <f>60*F106</f>
        <v>0</v>
      </c>
      <c r="J106" s="50" t="s">
        <v>197</v>
      </c>
      <c r="K106" s="41" t="s">
        <v>218</v>
      </c>
      <c r="L106" s="50"/>
      <c r="M106" s="41" t="s">
        <v>95</v>
      </c>
    </row>
    <row r="107" spans="1:13" ht="48" x14ac:dyDescent="0.25">
      <c r="A107" s="53"/>
      <c r="B107" s="47" t="s">
        <v>221</v>
      </c>
      <c r="C107" s="46"/>
      <c r="D107" s="46"/>
      <c r="E107" s="47" t="s">
        <v>220</v>
      </c>
      <c r="F107" s="48"/>
      <c r="G107" s="48"/>
      <c r="H107" s="48">
        <f ca="1">SUM(H98:H106)</f>
        <v>6449.4</v>
      </c>
      <c r="I107" s="53"/>
      <c r="J107" s="54"/>
      <c r="K107" s="54"/>
      <c r="L107" s="54"/>
      <c r="M107" s="46" t="s">
        <v>95</v>
      </c>
    </row>
    <row r="108" spans="1:13" ht="24" customHeight="1" x14ac:dyDescent="0.25">
      <c r="A108" s="40"/>
      <c r="B108" s="38" t="s">
        <v>50</v>
      </c>
      <c r="C108" s="38"/>
      <c r="D108" s="38"/>
      <c r="E108" s="38" t="s">
        <v>50</v>
      </c>
      <c r="F108" s="39"/>
      <c r="G108" s="39"/>
      <c r="H108" s="39"/>
      <c r="I108" s="40">
        <v>1</v>
      </c>
      <c r="J108" s="38" t="s">
        <v>11</v>
      </c>
      <c r="K108" s="38" t="s">
        <v>196</v>
      </c>
      <c r="L108" s="38"/>
      <c r="M108" s="38" t="s">
        <v>95</v>
      </c>
    </row>
    <row r="109" spans="1:13" ht="108" x14ac:dyDescent="0.25">
      <c r="A109" s="51"/>
      <c r="B109" s="43" t="s">
        <v>50</v>
      </c>
      <c r="C109" s="43" t="s">
        <v>14</v>
      </c>
      <c r="D109" s="44" t="s">
        <v>224</v>
      </c>
      <c r="E109" s="43" t="s">
        <v>225</v>
      </c>
      <c r="F109" s="45"/>
      <c r="G109" s="45"/>
      <c r="H109" s="45" t="str">
        <f t="shared" ref="H109:H116" si="9">IF(OR(G109="",I109=""),"",G109*I109)</f>
        <v/>
      </c>
      <c r="I109" s="51">
        <v>1</v>
      </c>
      <c r="J109" s="52" t="s">
        <v>197</v>
      </c>
      <c r="K109" s="52" t="s">
        <v>226</v>
      </c>
      <c r="L109" s="52"/>
      <c r="M109" s="41" t="s">
        <v>95</v>
      </c>
    </row>
    <row r="110" spans="1:13" ht="72" x14ac:dyDescent="0.25">
      <c r="A110" s="51"/>
      <c r="B110" s="43" t="s">
        <v>50</v>
      </c>
      <c r="C110" s="43" t="s">
        <v>227</v>
      </c>
      <c r="D110" s="44" t="s">
        <v>228</v>
      </c>
      <c r="E110" s="43" t="s">
        <v>229</v>
      </c>
      <c r="F110" s="45"/>
      <c r="G110" s="45"/>
      <c r="H110" s="45" t="str">
        <f t="shared" si="9"/>
        <v/>
      </c>
      <c r="I110" s="51">
        <v>1</v>
      </c>
      <c r="J110" s="52" t="s">
        <v>197</v>
      </c>
      <c r="K110" s="50" t="s">
        <v>22</v>
      </c>
      <c r="L110" s="52"/>
      <c r="M110" s="41" t="s">
        <v>95</v>
      </c>
    </row>
    <row r="111" spans="1:13" ht="96" x14ac:dyDescent="0.25">
      <c r="A111" s="51"/>
      <c r="B111" s="43" t="s">
        <v>50</v>
      </c>
      <c r="C111" s="43" t="s">
        <v>23</v>
      </c>
      <c r="D111" s="44" t="s">
        <v>230</v>
      </c>
      <c r="E111" s="43" t="s">
        <v>231</v>
      </c>
      <c r="F111" s="45"/>
      <c r="G111" s="45"/>
      <c r="H111" s="45" t="str">
        <f t="shared" si="9"/>
        <v/>
      </c>
      <c r="I111" s="51">
        <v>1</v>
      </c>
      <c r="J111" s="52" t="s">
        <v>197</v>
      </c>
      <c r="K111" s="50" t="s">
        <v>22</v>
      </c>
      <c r="L111" s="52"/>
      <c r="M111" s="41" t="s">
        <v>95</v>
      </c>
    </row>
    <row r="112" spans="1:13" ht="108" x14ac:dyDescent="0.25">
      <c r="A112" s="51"/>
      <c r="B112" s="43" t="s">
        <v>50</v>
      </c>
      <c r="C112" s="43" t="s">
        <v>23</v>
      </c>
      <c r="D112" s="44" t="s">
        <v>232</v>
      </c>
      <c r="E112" s="43" t="s">
        <v>233</v>
      </c>
      <c r="F112" s="45"/>
      <c r="G112" s="45"/>
      <c r="H112" s="45" t="str">
        <f t="shared" si="9"/>
        <v/>
      </c>
      <c r="I112" s="51">
        <v>1</v>
      </c>
      <c r="J112" s="52" t="s">
        <v>197</v>
      </c>
      <c r="K112" s="50" t="s">
        <v>22</v>
      </c>
      <c r="L112" s="52"/>
      <c r="M112" s="41" t="s">
        <v>95</v>
      </c>
    </row>
    <row r="113" spans="1:13" ht="48" x14ac:dyDescent="0.25">
      <c r="A113" s="51"/>
      <c r="B113" s="43" t="s">
        <v>50</v>
      </c>
      <c r="C113" s="43" t="s">
        <v>132</v>
      </c>
      <c r="D113" s="44" t="s">
        <v>234</v>
      </c>
      <c r="E113" s="43" t="s">
        <v>235</v>
      </c>
      <c r="F113" s="45"/>
      <c r="G113" s="45"/>
      <c r="H113" s="45" t="str">
        <f t="shared" si="9"/>
        <v/>
      </c>
      <c r="I113" s="51">
        <v>1</v>
      </c>
      <c r="J113" s="52" t="s">
        <v>197</v>
      </c>
      <c r="K113" s="52" t="s">
        <v>236</v>
      </c>
      <c r="L113" s="52"/>
      <c r="M113" s="41" t="s">
        <v>95</v>
      </c>
    </row>
    <row r="114" spans="1:13" ht="84" x14ac:dyDescent="0.25">
      <c r="A114" s="51"/>
      <c r="B114" s="43" t="s">
        <v>50</v>
      </c>
      <c r="C114" s="43" t="s">
        <v>198</v>
      </c>
      <c r="D114" s="44" t="s">
        <v>199</v>
      </c>
      <c r="E114" s="43" t="s">
        <v>200</v>
      </c>
      <c r="F114" s="45"/>
      <c r="G114" s="45"/>
      <c r="H114" s="45" t="str">
        <f t="shared" si="9"/>
        <v/>
      </c>
      <c r="I114" s="51">
        <v>1</v>
      </c>
      <c r="J114" s="52" t="s">
        <v>197</v>
      </c>
      <c r="K114" s="52" t="s">
        <v>201</v>
      </c>
      <c r="L114" s="52"/>
      <c r="M114" s="41" t="s">
        <v>95</v>
      </c>
    </row>
    <row r="115" spans="1:13" ht="72" x14ac:dyDescent="0.25">
      <c r="A115" s="51"/>
      <c r="B115" s="43" t="s">
        <v>50</v>
      </c>
      <c r="C115" s="43" t="s">
        <v>198</v>
      </c>
      <c r="D115" s="44" t="s">
        <v>202</v>
      </c>
      <c r="E115" s="43" t="s">
        <v>203</v>
      </c>
      <c r="F115" s="45"/>
      <c r="G115" s="45"/>
      <c r="H115" s="45" t="str">
        <f t="shared" si="9"/>
        <v/>
      </c>
      <c r="I115" s="51">
        <v>1</v>
      </c>
      <c r="J115" s="52" t="s">
        <v>197</v>
      </c>
      <c r="K115" s="52" t="s">
        <v>201</v>
      </c>
      <c r="L115" s="52"/>
      <c r="M115" s="41" t="s">
        <v>95</v>
      </c>
    </row>
    <row r="116" spans="1:13" ht="96" x14ac:dyDescent="0.25">
      <c r="A116" s="51"/>
      <c r="B116" s="43" t="s">
        <v>50</v>
      </c>
      <c r="C116" s="43" t="s">
        <v>212</v>
      </c>
      <c r="D116" s="44" t="s">
        <v>213</v>
      </c>
      <c r="E116" s="43" t="s">
        <v>214</v>
      </c>
      <c r="F116" s="45"/>
      <c r="G116" s="45"/>
      <c r="H116" s="45" t="str">
        <f t="shared" si="9"/>
        <v/>
      </c>
      <c r="I116" s="51">
        <v>1</v>
      </c>
      <c r="J116" s="52" t="s">
        <v>197</v>
      </c>
      <c r="K116" s="52" t="s">
        <v>215</v>
      </c>
      <c r="L116" s="52"/>
      <c r="M116" s="41" t="s">
        <v>95</v>
      </c>
    </row>
    <row r="117" spans="1:13" ht="36" x14ac:dyDescent="0.25">
      <c r="A117" s="49"/>
      <c r="B117" s="41" t="s">
        <v>50</v>
      </c>
      <c r="C117" s="41" t="s">
        <v>216</v>
      </c>
      <c r="D117" s="41" t="s">
        <v>216</v>
      </c>
      <c r="E117" s="41" t="s">
        <v>217</v>
      </c>
      <c r="F117" s="42">
        <f ca="1">OFFSET(F117,1,2)</f>
        <v>0</v>
      </c>
      <c r="G117" s="42">
        <f ca="1">F117</f>
        <v>0</v>
      </c>
      <c r="H117" s="42">
        <f ca="1">G117*I117</f>
        <v>0</v>
      </c>
      <c r="I117" s="49">
        <v>1</v>
      </c>
      <c r="J117" s="50" t="s">
        <v>197</v>
      </c>
      <c r="K117" s="41" t="s">
        <v>216</v>
      </c>
      <c r="L117" s="50"/>
      <c r="M117" s="41" t="s">
        <v>95</v>
      </c>
    </row>
    <row r="118" spans="1:13" ht="36" x14ac:dyDescent="0.25">
      <c r="A118" s="49"/>
      <c r="B118" s="41" t="s">
        <v>50</v>
      </c>
      <c r="C118" s="41" t="s">
        <v>218</v>
      </c>
      <c r="D118" s="41" t="s">
        <v>218</v>
      </c>
      <c r="E118" s="41" t="s">
        <v>219</v>
      </c>
      <c r="F118" s="42"/>
      <c r="G118" s="42">
        <v>100</v>
      </c>
      <c r="H118" s="42">
        <f>IF(OR(G118="",I118=""),"",G118*I118)</f>
        <v>0</v>
      </c>
      <c r="I118" s="49">
        <f>60*F118</f>
        <v>0</v>
      </c>
      <c r="J118" s="50" t="s">
        <v>197</v>
      </c>
      <c r="K118" s="41" t="s">
        <v>218</v>
      </c>
      <c r="L118" s="50"/>
      <c r="M118" s="41" t="s">
        <v>95</v>
      </c>
    </row>
    <row r="119" spans="1:13" ht="36" x14ac:dyDescent="0.25">
      <c r="A119" s="53"/>
      <c r="B119" s="47" t="s">
        <v>50</v>
      </c>
      <c r="C119" s="46"/>
      <c r="D119" s="46"/>
      <c r="E119" s="47" t="s">
        <v>220</v>
      </c>
      <c r="F119" s="48"/>
      <c r="G119" s="48"/>
      <c r="H119" s="48">
        <f ca="1">SUM(H109:H118)</f>
        <v>0</v>
      </c>
      <c r="I119" s="53"/>
      <c r="J119" s="54"/>
      <c r="K119" s="54"/>
      <c r="L119" s="54"/>
      <c r="M119" s="46" t="s">
        <v>95</v>
      </c>
    </row>
    <row r="120" spans="1:13" ht="24" customHeight="1" x14ac:dyDescent="0.25">
      <c r="A120" s="40"/>
      <c r="B120" s="38" t="s">
        <v>105</v>
      </c>
      <c r="C120" s="38"/>
      <c r="D120" s="38"/>
      <c r="E120" s="38" t="s">
        <v>105</v>
      </c>
      <c r="F120" s="39"/>
      <c r="G120" s="39"/>
      <c r="H120" s="39"/>
      <c r="I120" s="40">
        <v>1</v>
      </c>
      <c r="J120" s="38" t="s">
        <v>11</v>
      </c>
      <c r="K120" s="38" t="s">
        <v>196</v>
      </c>
      <c r="L120" s="38"/>
      <c r="M120" s="38" t="s">
        <v>102</v>
      </c>
    </row>
    <row r="121" spans="1:13" ht="120" x14ac:dyDescent="0.25">
      <c r="A121" s="51"/>
      <c r="B121" s="43" t="s">
        <v>105</v>
      </c>
      <c r="C121" s="43" t="s">
        <v>14</v>
      </c>
      <c r="D121" s="44" t="s">
        <v>237</v>
      </c>
      <c r="E121" s="43" t="s">
        <v>238</v>
      </c>
      <c r="F121" s="45"/>
      <c r="G121" s="45"/>
      <c r="H121" s="45" t="str">
        <f>IF(OR(G121="",I121=""),"",G121*I121)</f>
        <v/>
      </c>
      <c r="I121" s="51">
        <v>1</v>
      </c>
      <c r="J121" s="52" t="s">
        <v>197</v>
      </c>
      <c r="K121" s="52" t="s">
        <v>226</v>
      </c>
      <c r="L121" s="52"/>
      <c r="M121" s="41" t="s">
        <v>102</v>
      </c>
    </row>
    <row r="122" spans="1:13" ht="108" x14ac:dyDescent="0.25">
      <c r="A122" s="51"/>
      <c r="B122" s="43" t="s">
        <v>105</v>
      </c>
      <c r="C122" s="43" t="s">
        <v>182</v>
      </c>
      <c r="D122" s="44" t="s">
        <v>239</v>
      </c>
      <c r="E122" s="43" t="s">
        <v>240</v>
      </c>
      <c r="F122" s="45"/>
      <c r="G122" s="45"/>
      <c r="H122" s="45" t="str">
        <f>IF(OR(G122="",I122=""),"",G122*I122)</f>
        <v/>
      </c>
      <c r="I122" s="51">
        <v>1</v>
      </c>
      <c r="J122" s="52" t="s">
        <v>197</v>
      </c>
      <c r="K122" s="50" t="s">
        <v>22</v>
      </c>
      <c r="L122" s="52"/>
      <c r="M122" s="41" t="s">
        <v>102</v>
      </c>
    </row>
    <row r="123" spans="1:13" ht="84" x14ac:dyDescent="0.25">
      <c r="A123" s="51"/>
      <c r="B123" s="43" t="s">
        <v>105</v>
      </c>
      <c r="C123" s="43" t="s">
        <v>198</v>
      </c>
      <c r="D123" s="44" t="s">
        <v>199</v>
      </c>
      <c r="E123" s="43" t="s">
        <v>200</v>
      </c>
      <c r="F123" s="45"/>
      <c r="G123" s="45"/>
      <c r="H123" s="45" t="str">
        <f>IF(OR(G123="",I123=""),"",G123*I123)</f>
        <v/>
      </c>
      <c r="I123" s="51">
        <v>1</v>
      </c>
      <c r="J123" s="52" t="s">
        <v>197</v>
      </c>
      <c r="K123" s="52" t="s">
        <v>201</v>
      </c>
      <c r="L123" s="52"/>
      <c r="M123" s="41" t="s">
        <v>102</v>
      </c>
    </row>
    <row r="124" spans="1:13" ht="72" x14ac:dyDescent="0.25">
      <c r="A124" s="51"/>
      <c r="B124" s="43" t="s">
        <v>105</v>
      </c>
      <c r="C124" s="43" t="s">
        <v>198</v>
      </c>
      <c r="D124" s="44" t="s">
        <v>202</v>
      </c>
      <c r="E124" s="43" t="s">
        <v>203</v>
      </c>
      <c r="F124" s="45"/>
      <c r="G124" s="45"/>
      <c r="H124" s="45" t="str">
        <f>IF(OR(G124="",I124=""),"",G124*I124)</f>
        <v/>
      </c>
      <c r="I124" s="51">
        <v>1</v>
      </c>
      <c r="J124" s="52" t="s">
        <v>197</v>
      </c>
      <c r="K124" s="52" t="s">
        <v>201</v>
      </c>
      <c r="L124" s="52"/>
      <c r="M124" s="41" t="s">
        <v>102</v>
      </c>
    </row>
    <row r="125" spans="1:13" ht="96" x14ac:dyDescent="0.25">
      <c r="A125" s="51"/>
      <c r="B125" s="43" t="s">
        <v>105</v>
      </c>
      <c r="C125" s="43" t="s">
        <v>212</v>
      </c>
      <c r="D125" s="44" t="s">
        <v>213</v>
      </c>
      <c r="E125" s="43" t="s">
        <v>214</v>
      </c>
      <c r="F125" s="45"/>
      <c r="G125" s="45"/>
      <c r="H125" s="45" t="str">
        <f>IF(OR(G125="",I125=""),"",G125*I125)</f>
        <v/>
      </c>
      <c r="I125" s="51">
        <v>1</v>
      </c>
      <c r="J125" s="52" t="s">
        <v>197</v>
      </c>
      <c r="K125" s="52" t="s">
        <v>215</v>
      </c>
      <c r="L125" s="52"/>
      <c r="M125" s="41" t="s">
        <v>102</v>
      </c>
    </row>
    <row r="126" spans="1:13" ht="36" x14ac:dyDescent="0.25">
      <c r="A126" s="49"/>
      <c r="B126" s="41" t="s">
        <v>105</v>
      </c>
      <c r="C126" s="41" t="s">
        <v>216</v>
      </c>
      <c r="D126" s="41" t="s">
        <v>216</v>
      </c>
      <c r="E126" s="41" t="s">
        <v>217</v>
      </c>
      <c r="F126" s="42">
        <f ca="1">OFFSET(F126,1,2)</f>
        <v>0</v>
      </c>
      <c r="G126" s="42">
        <f ca="1">F126</f>
        <v>0</v>
      </c>
      <c r="H126" s="42">
        <f ca="1">G126*I126</f>
        <v>0</v>
      </c>
      <c r="I126" s="49">
        <v>1</v>
      </c>
      <c r="J126" s="50" t="s">
        <v>197</v>
      </c>
      <c r="K126" s="41" t="s">
        <v>216</v>
      </c>
      <c r="L126" s="50"/>
      <c r="M126" s="41" t="s">
        <v>102</v>
      </c>
    </row>
    <row r="127" spans="1:13" ht="36" x14ac:dyDescent="0.25">
      <c r="A127" s="49"/>
      <c r="B127" s="41" t="s">
        <v>105</v>
      </c>
      <c r="C127" s="41" t="s">
        <v>218</v>
      </c>
      <c r="D127" s="41" t="s">
        <v>218</v>
      </c>
      <c r="E127" s="41" t="s">
        <v>219</v>
      </c>
      <c r="F127" s="42"/>
      <c r="G127" s="42">
        <v>100</v>
      </c>
      <c r="H127" s="42">
        <f>IF(OR(G127="",I127=""),"",G127*I127)</f>
        <v>0</v>
      </c>
      <c r="I127" s="49">
        <f>60*F127</f>
        <v>0</v>
      </c>
      <c r="J127" s="50" t="s">
        <v>197</v>
      </c>
      <c r="K127" s="41" t="s">
        <v>218</v>
      </c>
      <c r="L127" s="50"/>
      <c r="M127" s="41" t="s">
        <v>102</v>
      </c>
    </row>
    <row r="128" spans="1:13" ht="36" x14ac:dyDescent="0.25">
      <c r="A128" s="53"/>
      <c r="B128" s="47" t="s">
        <v>105</v>
      </c>
      <c r="C128" s="46"/>
      <c r="D128" s="46"/>
      <c r="E128" s="47" t="s">
        <v>220</v>
      </c>
      <c r="F128" s="48"/>
      <c r="G128" s="48"/>
      <c r="H128" s="48">
        <f ca="1">SUM(H121:H127)</f>
        <v>0</v>
      </c>
      <c r="I128" s="53"/>
      <c r="J128" s="54"/>
      <c r="K128" s="54"/>
      <c r="L128" s="54"/>
      <c r="M128" s="46" t="s">
        <v>102</v>
      </c>
    </row>
    <row r="129" spans="1:13" ht="24" customHeight="1" x14ac:dyDescent="0.25">
      <c r="A129" s="40"/>
      <c r="B129" s="38" t="s">
        <v>221</v>
      </c>
      <c r="C129" s="38"/>
      <c r="D129" s="38"/>
      <c r="E129" s="38" t="s">
        <v>221</v>
      </c>
      <c r="F129" s="39"/>
      <c r="G129" s="39"/>
      <c r="H129" s="39"/>
      <c r="I129" s="40">
        <v>1</v>
      </c>
      <c r="J129" s="38" t="s">
        <v>11</v>
      </c>
      <c r="K129" s="38" t="s">
        <v>196</v>
      </c>
      <c r="L129" s="38"/>
      <c r="M129" s="38" t="s">
        <v>151</v>
      </c>
    </row>
    <row r="130" spans="1:13" ht="48" x14ac:dyDescent="0.25">
      <c r="A130" s="49"/>
      <c r="B130" s="41" t="s">
        <v>221</v>
      </c>
      <c r="C130" s="41" t="s">
        <v>14</v>
      </c>
      <c r="D130" s="41" t="s">
        <v>39</v>
      </c>
      <c r="E130" s="41" t="s">
        <v>40</v>
      </c>
      <c r="F130" s="42"/>
      <c r="G130" s="42">
        <v>0</v>
      </c>
      <c r="H130" s="42">
        <f t="shared" ref="H130:H136" si="10">IF(OR(G130="",I130=""),"",G130*I130)</f>
        <v>0</v>
      </c>
      <c r="I130" s="49">
        <v>1</v>
      </c>
      <c r="J130" s="50" t="s">
        <v>197</v>
      </c>
      <c r="K130" s="50" t="s">
        <v>18</v>
      </c>
      <c r="L130" s="50"/>
      <c r="M130" s="41" t="s">
        <v>151</v>
      </c>
    </row>
    <row r="131" spans="1:13" ht="120" x14ac:dyDescent="0.25">
      <c r="A131" s="51"/>
      <c r="B131" s="43" t="s">
        <v>221</v>
      </c>
      <c r="C131" s="43" t="s">
        <v>46</v>
      </c>
      <c r="D131" s="44" t="s">
        <v>222</v>
      </c>
      <c r="E131" s="43" t="s">
        <v>223</v>
      </c>
      <c r="F131" s="45"/>
      <c r="G131" s="45"/>
      <c r="H131" s="45" t="str">
        <f t="shared" si="10"/>
        <v/>
      </c>
      <c r="I131" s="51">
        <v>1</v>
      </c>
      <c r="J131" s="52" t="s">
        <v>197</v>
      </c>
      <c r="K131" s="50" t="s">
        <v>22</v>
      </c>
      <c r="L131" s="52"/>
      <c r="M131" s="41" t="s">
        <v>151</v>
      </c>
    </row>
    <row r="132" spans="1:13" ht="96" x14ac:dyDescent="0.25">
      <c r="A132" s="49"/>
      <c r="B132" s="41" t="s">
        <v>221</v>
      </c>
      <c r="C132" s="41" t="s">
        <v>41</v>
      </c>
      <c r="D132" s="41" t="s">
        <v>42</v>
      </c>
      <c r="E132" s="41" t="s">
        <v>43</v>
      </c>
      <c r="F132" s="42">
        <v>1545</v>
      </c>
      <c r="G132" s="42">
        <v>927</v>
      </c>
      <c r="H132" s="42">
        <f t="shared" si="10"/>
        <v>2781</v>
      </c>
      <c r="I132" s="49">
        <v>3</v>
      </c>
      <c r="J132" s="50" t="s">
        <v>197</v>
      </c>
      <c r="K132" s="50" t="s">
        <v>22</v>
      </c>
      <c r="L132" s="50"/>
      <c r="M132" s="41" t="s">
        <v>151</v>
      </c>
    </row>
    <row r="133" spans="1:13" ht="96" x14ac:dyDescent="0.25">
      <c r="A133" s="49"/>
      <c r="B133" s="41" t="s">
        <v>221</v>
      </c>
      <c r="C133" s="41" t="s">
        <v>41</v>
      </c>
      <c r="D133" s="41" t="s">
        <v>44</v>
      </c>
      <c r="E133" s="41" t="s">
        <v>45</v>
      </c>
      <c r="F133" s="42">
        <v>2038</v>
      </c>
      <c r="G133" s="42">
        <v>1222.8</v>
      </c>
      <c r="H133" s="42">
        <f t="shared" si="10"/>
        <v>3668.3999999999996</v>
      </c>
      <c r="I133" s="49">
        <v>3</v>
      </c>
      <c r="J133" s="50" t="s">
        <v>197</v>
      </c>
      <c r="K133" s="50" t="s">
        <v>22</v>
      </c>
      <c r="L133" s="50"/>
      <c r="M133" s="41" t="s">
        <v>151</v>
      </c>
    </row>
    <row r="134" spans="1:13" ht="84" x14ac:dyDescent="0.25">
      <c r="A134" s="51"/>
      <c r="B134" s="43" t="s">
        <v>221</v>
      </c>
      <c r="C134" s="43" t="s">
        <v>198</v>
      </c>
      <c r="D134" s="44" t="s">
        <v>199</v>
      </c>
      <c r="E134" s="43" t="s">
        <v>200</v>
      </c>
      <c r="F134" s="45"/>
      <c r="G134" s="45"/>
      <c r="H134" s="45" t="str">
        <f t="shared" si="10"/>
        <v/>
      </c>
      <c r="I134" s="51">
        <v>1</v>
      </c>
      <c r="J134" s="52" t="s">
        <v>197</v>
      </c>
      <c r="K134" s="52" t="s">
        <v>201</v>
      </c>
      <c r="L134" s="52"/>
      <c r="M134" s="41" t="s">
        <v>151</v>
      </c>
    </row>
    <row r="135" spans="1:13" ht="72" x14ac:dyDescent="0.25">
      <c r="A135" s="51"/>
      <c r="B135" s="43" t="s">
        <v>221</v>
      </c>
      <c r="C135" s="43" t="s">
        <v>198</v>
      </c>
      <c r="D135" s="44" t="s">
        <v>202</v>
      </c>
      <c r="E135" s="43" t="s">
        <v>203</v>
      </c>
      <c r="F135" s="45"/>
      <c r="G135" s="45"/>
      <c r="H135" s="45" t="str">
        <f t="shared" si="10"/>
        <v/>
      </c>
      <c r="I135" s="51">
        <v>1</v>
      </c>
      <c r="J135" s="52" t="s">
        <v>197</v>
      </c>
      <c r="K135" s="52" t="s">
        <v>201</v>
      </c>
      <c r="L135" s="52"/>
      <c r="M135" s="41" t="s">
        <v>151</v>
      </c>
    </row>
    <row r="136" spans="1:13" ht="96" x14ac:dyDescent="0.25">
      <c r="A136" s="51"/>
      <c r="B136" s="43" t="s">
        <v>221</v>
      </c>
      <c r="C136" s="43" t="s">
        <v>212</v>
      </c>
      <c r="D136" s="44" t="s">
        <v>213</v>
      </c>
      <c r="E136" s="43" t="s">
        <v>214</v>
      </c>
      <c r="F136" s="45"/>
      <c r="G136" s="45"/>
      <c r="H136" s="45" t="str">
        <f t="shared" si="10"/>
        <v/>
      </c>
      <c r="I136" s="51">
        <v>1</v>
      </c>
      <c r="J136" s="52" t="s">
        <v>197</v>
      </c>
      <c r="K136" s="52" t="s">
        <v>215</v>
      </c>
      <c r="L136" s="52"/>
      <c r="M136" s="41" t="s">
        <v>151</v>
      </c>
    </row>
    <row r="137" spans="1:13" ht="48" x14ac:dyDescent="0.25">
      <c r="A137" s="49"/>
      <c r="B137" s="41" t="s">
        <v>221</v>
      </c>
      <c r="C137" s="41" t="s">
        <v>216</v>
      </c>
      <c r="D137" s="41" t="s">
        <v>216</v>
      </c>
      <c r="E137" s="41" t="s">
        <v>217</v>
      </c>
      <c r="F137" s="42">
        <f ca="1">OFFSET(F137,1,2)</f>
        <v>0</v>
      </c>
      <c r="G137" s="42">
        <f ca="1">F137</f>
        <v>0</v>
      </c>
      <c r="H137" s="42">
        <f ca="1">G137*I137</f>
        <v>0</v>
      </c>
      <c r="I137" s="49">
        <v>1</v>
      </c>
      <c r="J137" s="50" t="s">
        <v>197</v>
      </c>
      <c r="K137" s="41" t="s">
        <v>216</v>
      </c>
      <c r="L137" s="50"/>
      <c r="M137" s="41" t="s">
        <v>151</v>
      </c>
    </row>
    <row r="138" spans="1:13" ht="48" x14ac:dyDescent="0.25">
      <c r="A138" s="49"/>
      <c r="B138" s="41" t="s">
        <v>221</v>
      </c>
      <c r="C138" s="41" t="s">
        <v>218</v>
      </c>
      <c r="D138" s="41" t="s">
        <v>218</v>
      </c>
      <c r="E138" s="41" t="s">
        <v>219</v>
      </c>
      <c r="F138" s="42"/>
      <c r="G138" s="42">
        <v>100</v>
      </c>
      <c r="H138" s="42">
        <f>IF(OR(G138="",I138=""),"",G138*I138)</f>
        <v>0</v>
      </c>
      <c r="I138" s="49">
        <f>60*F138</f>
        <v>0</v>
      </c>
      <c r="J138" s="50" t="s">
        <v>197</v>
      </c>
      <c r="K138" s="41" t="s">
        <v>218</v>
      </c>
      <c r="L138" s="50"/>
      <c r="M138" s="41" t="s">
        <v>151</v>
      </c>
    </row>
    <row r="139" spans="1:13" ht="48" x14ac:dyDescent="0.25">
      <c r="A139" s="53"/>
      <c r="B139" s="47" t="s">
        <v>221</v>
      </c>
      <c r="C139" s="46"/>
      <c r="D139" s="46"/>
      <c r="E139" s="47" t="s">
        <v>220</v>
      </c>
      <c r="F139" s="48"/>
      <c r="G139" s="48"/>
      <c r="H139" s="48">
        <f ca="1">SUM(H130:H138)</f>
        <v>6449.4</v>
      </c>
      <c r="I139" s="53"/>
      <c r="J139" s="54"/>
      <c r="K139" s="54"/>
      <c r="L139" s="54"/>
      <c r="M139" s="46" t="s">
        <v>151</v>
      </c>
    </row>
    <row r="140" spans="1:13" ht="24" customHeight="1" x14ac:dyDescent="0.25">
      <c r="A140" s="40"/>
      <c r="B140" s="38" t="s">
        <v>50</v>
      </c>
      <c r="C140" s="38"/>
      <c r="D140" s="38"/>
      <c r="E140" s="38" t="s">
        <v>50</v>
      </c>
      <c r="F140" s="39"/>
      <c r="G140" s="39"/>
      <c r="H140" s="39"/>
      <c r="I140" s="40">
        <v>1</v>
      </c>
      <c r="J140" s="38" t="s">
        <v>11</v>
      </c>
      <c r="K140" s="38" t="s">
        <v>196</v>
      </c>
      <c r="L140" s="38"/>
      <c r="M140" s="38" t="s">
        <v>151</v>
      </c>
    </row>
    <row r="141" spans="1:13" ht="108" x14ac:dyDescent="0.25">
      <c r="A141" s="51"/>
      <c r="B141" s="43" t="s">
        <v>50</v>
      </c>
      <c r="C141" s="43" t="s">
        <v>14</v>
      </c>
      <c r="D141" s="44" t="s">
        <v>224</v>
      </c>
      <c r="E141" s="43" t="s">
        <v>225</v>
      </c>
      <c r="F141" s="45"/>
      <c r="G141" s="45"/>
      <c r="H141" s="45" t="str">
        <f t="shared" ref="H141:H148" si="11">IF(OR(G141="",I141=""),"",G141*I141)</f>
        <v/>
      </c>
      <c r="I141" s="51">
        <v>1</v>
      </c>
      <c r="J141" s="52" t="s">
        <v>197</v>
      </c>
      <c r="K141" s="52" t="s">
        <v>226</v>
      </c>
      <c r="L141" s="52"/>
      <c r="M141" s="41" t="s">
        <v>151</v>
      </c>
    </row>
    <row r="142" spans="1:13" ht="72" x14ac:dyDescent="0.25">
      <c r="A142" s="51"/>
      <c r="B142" s="43" t="s">
        <v>50</v>
      </c>
      <c r="C142" s="43" t="s">
        <v>227</v>
      </c>
      <c r="D142" s="44" t="s">
        <v>228</v>
      </c>
      <c r="E142" s="43" t="s">
        <v>229</v>
      </c>
      <c r="F142" s="45"/>
      <c r="G142" s="45"/>
      <c r="H142" s="45" t="str">
        <f t="shared" si="11"/>
        <v/>
      </c>
      <c r="I142" s="51">
        <v>1</v>
      </c>
      <c r="J142" s="52" t="s">
        <v>197</v>
      </c>
      <c r="K142" s="50" t="s">
        <v>22</v>
      </c>
      <c r="L142" s="52"/>
      <c r="M142" s="41" t="s">
        <v>151</v>
      </c>
    </row>
    <row r="143" spans="1:13" ht="96" x14ac:dyDescent="0.25">
      <c r="A143" s="51"/>
      <c r="B143" s="43" t="s">
        <v>50</v>
      </c>
      <c r="C143" s="43" t="s">
        <v>23</v>
      </c>
      <c r="D143" s="44" t="s">
        <v>230</v>
      </c>
      <c r="E143" s="43" t="s">
        <v>231</v>
      </c>
      <c r="F143" s="45"/>
      <c r="G143" s="45"/>
      <c r="H143" s="45" t="str">
        <f t="shared" si="11"/>
        <v/>
      </c>
      <c r="I143" s="51">
        <v>1</v>
      </c>
      <c r="J143" s="52" t="s">
        <v>197</v>
      </c>
      <c r="K143" s="50" t="s">
        <v>22</v>
      </c>
      <c r="L143" s="52"/>
      <c r="M143" s="41" t="s">
        <v>151</v>
      </c>
    </row>
    <row r="144" spans="1:13" ht="108" x14ac:dyDescent="0.25">
      <c r="A144" s="51"/>
      <c r="B144" s="43" t="s">
        <v>50</v>
      </c>
      <c r="C144" s="43" t="s">
        <v>23</v>
      </c>
      <c r="D144" s="44" t="s">
        <v>232</v>
      </c>
      <c r="E144" s="43" t="s">
        <v>233</v>
      </c>
      <c r="F144" s="45"/>
      <c r="G144" s="45"/>
      <c r="H144" s="45" t="str">
        <f t="shared" si="11"/>
        <v/>
      </c>
      <c r="I144" s="51">
        <v>1</v>
      </c>
      <c r="J144" s="52" t="s">
        <v>197</v>
      </c>
      <c r="K144" s="50" t="s">
        <v>22</v>
      </c>
      <c r="L144" s="52"/>
      <c r="M144" s="41" t="s">
        <v>151</v>
      </c>
    </row>
    <row r="145" spans="1:13" ht="48" x14ac:dyDescent="0.25">
      <c r="A145" s="51"/>
      <c r="B145" s="43" t="s">
        <v>50</v>
      </c>
      <c r="C145" s="43" t="s">
        <v>132</v>
      </c>
      <c r="D145" s="44" t="s">
        <v>234</v>
      </c>
      <c r="E145" s="43" t="s">
        <v>235</v>
      </c>
      <c r="F145" s="45"/>
      <c r="G145" s="45"/>
      <c r="H145" s="45" t="str">
        <f t="shared" si="11"/>
        <v/>
      </c>
      <c r="I145" s="51">
        <v>1</v>
      </c>
      <c r="J145" s="52" t="s">
        <v>197</v>
      </c>
      <c r="K145" s="52" t="s">
        <v>236</v>
      </c>
      <c r="L145" s="52"/>
      <c r="M145" s="41" t="s">
        <v>151</v>
      </c>
    </row>
    <row r="146" spans="1:13" ht="84" x14ac:dyDescent="0.25">
      <c r="A146" s="51"/>
      <c r="B146" s="43" t="s">
        <v>50</v>
      </c>
      <c r="C146" s="43" t="s">
        <v>198</v>
      </c>
      <c r="D146" s="44" t="s">
        <v>199</v>
      </c>
      <c r="E146" s="43" t="s">
        <v>200</v>
      </c>
      <c r="F146" s="45"/>
      <c r="G146" s="45"/>
      <c r="H146" s="45" t="str">
        <f t="shared" si="11"/>
        <v/>
      </c>
      <c r="I146" s="51">
        <v>1</v>
      </c>
      <c r="J146" s="52" t="s">
        <v>197</v>
      </c>
      <c r="K146" s="52" t="s">
        <v>201</v>
      </c>
      <c r="L146" s="52"/>
      <c r="M146" s="41" t="s">
        <v>151</v>
      </c>
    </row>
    <row r="147" spans="1:13" ht="72" x14ac:dyDescent="0.25">
      <c r="A147" s="51"/>
      <c r="B147" s="43" t="s">
        <v>50</v>
      </c>
      <c r="C147" s="43" t="s">
        <v>198</v>
      </c>
      <c r="D147" s="44" t="s">
        <v>202</v>
      </c>
      <c r="E147" s="43" t="s">
        <v>203</v>
      </c>
      <c r="F147" s="45"/>
      <c r="G147" s="45"/>
      <c r="H147" s="45" t="str">
        <f t="shared" si="11"/>
        <v/>
      </c>
      <c r="I147" s="51">
        <v>1</v>
      </c>
      <c r="J147" s="52" t="s">
        <v>197</v>
      </c>
      <c r="K147" s="52" t="s">
        <v>201</v>
      </c>
      <c r="L147" s="52"/>
      <c r="M147" s="41" t="s">
        <v>151</v>
      </c>
    </row>
    <row r="148" spans="1:13" ht="96" x14ac:dyDescent="0.25">
      <c r="A148" s="51"/>
      <c r="B148" s="43" t="s">
        <v>50</v>
      </c>
      <c r="C148" s="43" t="s">
        <v>212</v>
      </c>
      <c r="D148" s="44" t="s">
        <v>213</v>
      </c>
      <c r="E148" s="43" t="s">
        <v>214</v>
      </c>
      <c r="F148" s="45"/>
      <c r="G148" s="45"/>
      <c r="H148" s="45" t="str">
        <f t="shared" si="11"/>
        <v/>
      </c>
      <c r="I148" s="51">
        <v>1</v>
      </c>
      <c r="J148" s="52" t="s">
        <v>197</v>
      </c>
      <c r="K148" s="52" t="s">
        <v>215</v>
      </c>
      <c r="L148" s="52"/>
      <c r="M148" s="41" t="s">
        <v>151</v>
      </c>
    </row>
    <row r="149" spans="1:13" ht="36" x14ac:dyDescent="0.25">
      <c r="A149" s="49"/>
      <c r="B149" s="41" t="s">
        <v>50</v>
      </c>
      <c r="C149" s="41" t="s">
        <v>216</v>
      </c>
      <c r="D149" s="41" t="s">
        <v>216</v>
      </c>
      <c r="E149" s="41" t="s">
        <v>217</v>
      </c>
      <c r="F149" s="42">
        <f ca="1">OFFSET(F149,1,2)</f>
        <v>0</v>
      </c>
      <c r="G149" s="42">
        <f ca="1">F149</f>
        <v>0</v>
      </c>
      <c r="H149" s="42">
        <f ca="1">G149*I149</f>
        <v>0</v>
      </c>
      <c r="I149" s="49">
        <v>1</v>
      </c>
      <c r="J149" s="50" t="s">
        <v>197</v>
      </c>
      <c r="K149" s="41" t="s">
        <v>216</v>
      </c>
      <c r="L149" s="50"/>
      <c r="M149" s="41" t="s">
        <v>151</v>
      </c>
    </row>
    <row r="150" spans="1:13" ht="36" x14ac:dyDescent="0.25">
      <c r="A150" s="49"/>
      <c r="B150" s="41" t="s">
        <v>50</v>
      </c>
      <c r="C150" s="41" t="s">
        <v>218</v>
      </c>
      <c r="D150" s="41" t="s">
        <v>218</v>
      </c>
      <c r="E150" s="41" t="s">
        <v>219</v>
      </c>
      <c r="F150" s="42"/>
      <c r="G150" s="42">
        <v>100</v>
      </c>
      <c r="H150" s="42">
        <f>IF(OR(G150="",I150=""),"",G150*I150)</f>
        <v>0</v>
      </c>
      <c r="I150" s="49">
        <f>60*F150</f>
        <v>0</v>
      </c>
      <c r="J150" s="50" t="s">
        <v>197</v>
      </c>
      <c r="K150" s="41" t="s">
        <v>218</v>
      </c>
      <c r="L150" s="50"/>
      <c r="M150" s="41" t="s">
        <v>151</v>
      </c>
    </row>
    <row r="151" spans="1:13" ht="36" x14ac:dyDescent="0.25">
      <c r="A151" s="53"/>
      <c r="B151" s="47" t="s">
        <v>50</v>
      </c>
      <c r="C151" s="46"/>
      <c r="D151" s="46"/>
      <c r="E151" s="47" t="s">
        <v>220</v>
      </c>
      <c r="F151" s="48"/>
      <c r="G151" s="48"/>
      <c r="H151" s="48">
        <f ca="1">SUM(H141:H150)</f>
        <v>0</v>
      </c>
      <c r="I151" s="53"/>
      <c r="J151" s="54"/>
      <c r="K151" s="54"/>
      <c r="L151" s="54"/>
      <c r="M151" s="46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/>
  </sheetViews>
  <sheetFormatPr defaultRowHeight="15" x14ac:dyDescent="0.25"/>
  <cols>
    <col min="1" max="1" width="25" customWidth="1"/>
    <col min="2" max="2" width="55" customWidth="1"/>
    <col min="3" max="3" width="65" customWidth="1"/>
    <col min="4" max="4" width="30" customWidth="1"/>
  </cols>
  <sheetData>
    <row r="1" spans="1:4" x14ac:dyDescent="0.25">
      <c r="A1" s="27" t="s">
        <v>244</v>
      </c>
      <c r="B1" s="28" t="s">
        <v>245</v>
      </c>
      <c r="C1" s="28" t="s">
        <v>246</v>
      </c>
      <c r="D1" s="29" t="s">
        <v>247</v>
      </c>
    </row>
    <row r="2" spans="1:4" x14ac:dyDescent="0.25">
      <c r="A2" s="30" t="s">
        <v>10</v>
      </c>
      <c r="B2" s="26" t="s">
        <v>248</v>
      </c>
      <c r="C2" s="26" t="s">
        <v>249</v>
      </c>
      <c r="D2" s="31" t="s">
        <v>250</v>
      </c>
    </row>
    <row r="3" spans="1:4" x14ac:dyDescent="0.25">
      <c r="A3" s="30" t="s">
        <v>251</v>
      </c>
      <c r="B3" s="26" t="s">
        <v>252</v>
      </c>
      <c r="C3" s="26" t="s">
        <v>253</v>
      </c>
      <c r="D3" s="31" t="s">
        <v>254</v>
      </c>
    </row>
    <row r="4" spans="1:4" x14ac:dyDescent="0.25">
      <c r="A4" s="30" t="s">
        <v>255</v>
      </c>
      <c r="B4" s="26" t="s">
        <v>252</v>
      </c>
      <c r="C4" s="26" t="s">
        <v>253</v>
      </c>
      <c r="D4" s="31" t="s">
        <v>254</v>
      </c>
    </row>
    <row r="5" spans="1:4" x14ac:dyDescent="0.25">
      <c r="A5" s="30" t="s">
        <v>256</v>
      </c>
      <c r="B5" s="26" t="s">
        <v>257</v>
      </c>
      <c r="C5" s="26" t="s">
        <v>258</v>
      </c>
      <c r="D5" s="31" t="s">
        <v>259</v>
      </c>
    </row>
    <row r="6" spans="1:4" x14ac:dyDescent="0.25">
      <c r="A6" s="30" t="s">
        <v>256</v>
      </c>
      <c r="B6" s="26" t="s">
        <v>252</v>
      </c>
      <c r="C6" s="26" t="s">
        <v>253</v>
      </c>
      <c r="D6" s="31" t="s">
        <v>254</v>
      </c>
    </row>
    <row r="7" spans="1:4" x14ac:dyDescent="0.25">
      <c r="A7" s="30" t="s">
        <v>260</v>
      </c>
      <c r="B7" s="26" t="s">
        <v>252</v>
      </c>
      <c r="C7" s="26" t="s">
        <v>253</v>
      </c>
      <c r="D7" s="31" t="s">
        <v>254</v>
      </c>
    </row>
    <row r="8" spans="1:4" x14ac:dyDescent="0.25">
      <c r="A8" s="30" t="s">
        <v>261</v>
      </c>
      <c r="B8" s="26" t="s">
        <v>252</v>
      </c>
      <c r="C8" s="26" t="s">
        <v>253</v>
      </c>
      <c r="D8" s="31" t="s">
        <v>254</v>
      </c>
    </row>
    <row r="9" spans="1:4" x14ac:dyDescent="0.25">
      <c r="A9" s="30" t="s">
        <v>262</v>
      </c>
      <c r="B9" s="26" t="s">
        <v>252</v>
      </c>
      <c r="C9" s="26" t="s">
        <v>253</v>
      </c>
      <c r="D9" s="31" t="s">
        <v>254</v>
      </c>
    </row>
    <row r="10" spans="1:4" x14ac:dyDescent="0.25">
      <c r="A10" s="30" t="s">
        <v>263</v>
      </c>
      <c r="B10" s="26" t="s">
        <v>252</v>
      </c>
      <c r="C10" s="26" t="s">
        <v>253</v>
      </c>
      <c r="D10" s="31" t="s">
        <v>254</v>
      </c>
    </row>
    <row r="11" spans="1:4" x14ac:dyDescent="0.25">
      <c r="A11" s="30" t="s">
        <v>264</v>
      </c>
      <c r="B11" s="26" t="s">
        <v>265</v>
      </c>
      <c r="C11" s="26" t="s">
        <v>266</v>
      </c>
      <c r="D11" s="31" t="s">
        <v>267</v>
      </c>
    </row>
    <row r="12" spans="1:4" x14ac:dyDescent="0.25">
      <c r="A12" s="30" t="s">
        <v>268</v>
      </c>
      <c r="B12" s="26" t="s">
        <v>265</v>
      </c>
      <c r="C12" s="26" t="s">
        <v>266</v>
      </c>
      <c r="D12" s="31" t="s">
        <v>267</v>
      </c>
    </row>
    <row r="13" spans="1:4" x14ac:dyDescent="0.25">
      <c r="A13" s="30" t="s">
        <v>269</v>
      </c>
      <c r="B13" s="26" t="s">
        <v>265</v>
      </c>
      <c r="C13" s="26" t="s">
        <v>266</v>
      </c>
      <c r="D13" s="31" t="s">
        <v>267</v>
      </c>
    </row>
    <row r="14" spans="1:4" x14ac:dyDescent="0.25">
      <c r="A14" s="30" t="s">
        <v>270</v>
      </c>
      <c r="B14" s="26" t="s">
        <v>265</v>
      </c>
      <c r="C14" s="26" t="s">
        <v>266</v>
      </c>
      <c r="D14" s="31" t="s">
        <v>267</v>
      </c>
    </row>
    <row r="15" spans="1:4" x14ac:dyDescent="0.25">
      <c r="A15" s="30" t="s">
        <v>271</v>
      </c>
      <c r="B15" s="26" t="s">
        <v>265</v>
      </c>
      <c r="C15" s="26" t="s">
        <v>266</v>
      </c>
      <c r="D15" s="31" t="s">
        <v>267</v>
      </c>
    </row>
    <row r="16" spans="1:4" x14ac:dyDescent="0.25">
      <c r="A16" s="30" t="s">
        <v>272</v>
      </c>
      <c r="B16" s="26" t="s">
        <v>265</v>
      </c>
      <c r="C16" s="26" t="s">
        <v>266</v>
      </c>
      <c r="D16" s="31" t="s">
        <v>267</v>
      </c>
    </row>
    <row r="17" spans="1:4" x14ac:dyDescent="0.25">
      <c r="A17" s="30" t="s">
        <v>273</v>
      </c>
      <c r="B17" s="26" t="s">
        <v>265</v>
      </c>
      <c r="C17" s="26" t="s">
        <v>266</v>
      </c>
      <c r="D17" s="31" t="s">
        <v>267</v>
      </c>
    </row>
    <row r="18" spans="1:4" x14ac:dyDescent="0.25">
      <c r="A18" s="30" t="s">
        <v>274</v>
      </c>
      <c r="B18" s="26" t="s">
        <v>265</v>
      </c>
      <c r="C18" s="26" t="s">
        <v>266</v>
      </c>
      <c r="D18" s="31" t="s">
        <v>267</v>
      </c>
    </row>
    <row r="19" spans="1:4" x14ac:dyDescent="0.25">
      <c r="A19" s="30" t="s">
        <v>275</v>
      </c>
      <c r="B19" s="26" t="s">
        <v>265</v>
      </c>
      <c r="C19" s="26" t="s">
        <v>266</v>
      </c>
      <c r="D19" s="31" t="s">
        <v>267</v>
      </c>
    </row>
    <row r="20" spans="1:4" ht="26.25" x14ac:dyDescent="0.25">
      <c r="A20" s="30" t="s">
        <v>61</v>
      </c>
      <c r="B20" s="26" t="s">
        <v>276</v>
      </c>
      <c r="C20" s="26" t="s">
        <v>277</v>
      </c>
      <c r="D20" s="31" t="s">
        <v>278</v>
      </c>
    </row>
    <row r="21" spans="1:4" x14ac:dyDescent="0.25">
      <c r="A21" s="30" t="s">
        <v>74</v>
      </c>
      <c r="B21" s="26" t="s">
        <v>279</v>
      </c>
      <c r="C21" s="26" t="s">
        <v>280</v>
      </c>
      <c r="D21" s="31" t="s">
        <v>281</v>
      </c>
    </row>
    <row r="22" spans="1:4" x14ac:dyDescent="0.25">
      <c r="A22" s="30" t="s">
        <v>86</v>
      </c>
      <c r="B22" s="26" t="s">
        <v>282</v>
      </c>
      <c r="C22" s="26" t="s">
        <v>283</v>
      </c>
      <c r="D22" s="31" t="s">
        <v>284</v>
      </c>
    </row>
    <row r="23" spans="1:4" x14ac:dyDescent="0.25">
      <c r="A23" s="30" t="s">
        <v>89</v>
      </c>
      <c r="B23" s="26" t="s">
        <v>285</v>
      </c>
      <c r="C23" s="26" t="s">
        <v>286</v>
      </c>
      <c r="D23" s="31" t="s">
        <v>287</v>
      </c>
    </row>
    <row r="24" spans="1:4" x14ac:dyDescent="0.25">
      <c r="A24" s="30" t="s">
        <v>105</v>
      </c>
      <c r="B24" s="26" t="s">
        <v>288</v>
      </c>
      <c r="C24" s="26" t="s">
        <v>289</v>
      </c>
      <c r="D24" s="31" t="s">
        <v>290</v>
      </c>
    </row>
    <row r="25" spans="1:4" x14ac:dyDescent="0.25">
      <c r="A25" s="30" t="s">
        <v>160</v>
      </c>
      <c r="B25" s="26" t="s">
        <v>288</v>
      </c>
      <c r="C25" s="26" t="s">
        <v>289</v>
      </c>
      <c r="D25" s="31" t="s">
        <v>290</v>
      </c>
    </row>
    <row r="26" spans="1:4" x14ac:dyDescent="0.25">
      <c r="A26" s="30" t="s">
        <v>192</v>
      </c>
      <c r="B26" s="26" t="s">
        <v>288</v>
      </c>
      <c r="C26" s="26" t="s">
        <v>289</v>
      </c>
      <c r="D26" s="31" t="s">
        <v>290</v>
      </c>
    </row>
    <row r="27" spans="1:4" ht="26.25" x14ac:dyDescent="0.25">
      <c r="A27" s="30" t="s">
        <v>114</v>
      </c>
      <c r="B27" s="26" t="s">
        <v>291</v>
      </c>
      <c r="C27" s="26" t="s">
        <v>292</v>
      </c>
      <c r="D27" s="31" t="s">
        <v>293</v>
      </c>
    </row>
    <row r="28" spans="1:4" ht="26.25" x14ac:dyDescent="0.25">
      <c r="A28" s="30" t="s">
        <v>161</v>
      </c>
      <c r="B28" s="26" t="s">
        <v>291</v>
      </c>
      <c r="C28" s="26" t="s">
        <v>292</v>
      </c>
      <c r="D28" s="31" t="s">
        <v>293</v>
      </c>
    </row>
    <row r="29" spans="1:4" ht="26.25" x14ac:dyDescent="0.25">
      <c r="A29" s="30" t="s">
        <v>167</v>
      </c>
      <c r="B29" s="26" t="s">
        <v>291</v>
      </c>
      <c r="C29" s="26" t="s">
        <v>292</v>
      </c>
      <c r="D29" s="31" t="s">
        <v>293</v>
      </c>
    </row>
    <row r="30" spans="1:4" x14ac:dyDescent="0.25">
      <c r="A30" s="30" t="s">
        <v>140</v>
      </c>
      <c r="B30" s="26" t="s">
        <v>294</v>
      </c>
      <c r="C30" s="26" t="s">
        <v>295</v>
      </c>
      <c r="D30" s="31" t="s">
        <v>296</v>
      </c>
    </row>
    <row r="31" spans="1:4" x14ac:dyDescent="0.25">
      <c r="A31" s="30" t="s">
        <v>143</v>
      </c>
      <c r="B31" s="26" t="s">
        <v>297</v>
      </c>
      <c r="C31" s="26" t="s">
        <v>298</v>
      </c>
      <c r="D31" s="31" t="s">
        <v>296</v>
      </c>
    </row>
    <row r="32" spans="1:4" x14ac:dyDescent="0.25">
      <c r="A32" s="30" t="s">
        <v>145</v>
      </c>
      <c r="B32" s="26" t="s">
        <v>299</v>
      </c>
      <c r="C32" s="26" t="s">
        <v>300</v>
      </c>
      <c r="D32" s="31" t="s">
        <v>296</v>
      </c>
    </row>
    <row r="33" spans="1:4" x14ac:dyDescent="0.25">
      <c r="A33" s="30" t="s">
        <v>146</v>
      </c>
      <c r="B33" s="26" t="s">
        <v>301</v>
      </c>
      <c r="C33" s="26" t="s">
        <v>302</v>
      </c>
      <c r="D33" s="31" t="s">
        <v>296</v>
      </c>
    </row>
    <row r="34" spans="1:4" x14ac:dyDescent="0.25">
      <c r="A34" s="30" t="s">
        <v>147</v>
      </c>
      <c r="B34" s="26" t="s">
        <v>303</v>
      </c>
      <c r="C34" s="26" t="s">
        <v>304</v>
      </c>
      <c r="D34" s="31" t="s">
        <v>296</v>
      </c>
    </row>
    <row r="35" spans="1:4" x14ac:dyDescent="0.25">
      <c r="A35" s="30" t="s">
        <v>150</v>
      </c>
      <c r="B35" s="26" t="s">
        <v>305</v>
      </c>
      <c r="C35" s="26" t="s">
        <v>306</v>
      </c>
      <c r="D35" s="31" t="s">
        <v>307</v>
      </c>
    </row>
    <row r="36" spans="1:4" x14ac:dyDescent="0.25">
      <c r="A36" s="30" t="s">
        <v>243</v>
      </c>
      <c r="B36" s="26" t="s">
        <v>308</v>
      </c>
      <c r="C36" s="26" t="s">
        <v>309</v>
      </c>
      <c r="D36" s="31" t="s">
        <v>310</v>
      </c>
    </row>
    <row r="37" spans="1:4" x14ac:dyDescent="0.25">
      <c r="A37" s="32" t="s">
        <v>190</v>
      </c>
      <c r="B37" s="33" t="s">
        <v>311</v>
      </c>
      <c r="C37" s="33" t="s">
        <v>312</v>
      </c>
      <c r="D37" s="34" t="s">
        <v>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cols>
    <col min="1" max="1" width="28" customWidth="1"/>
    <col min="2" max="2" width="100" customWidth="1"/>
  </cols>
  <sheetData>
    <row r="1" spans="1:2" x14ac:dyDescent="0.25">
      <c r="A1" s="35" t="s">
        <v>314</v>
      </c>
      <c r="B1" s="36" t="s">
        <v>315</v>
      </c>
    </row>
    <row r="2" spans="1:2" ht="26.25" x14ac:dyDescent="0.25">
      <c r="A2" s="30" t="s">
        <v>316</v>
      </c>
      <c r="B2" s="31" t="s">
        <v>317</v>
      </c>
    </row>
    <row r="3" spans="1:2" ht="39" x14ac:dyDescent="0.25">
      <c r="A3" s="30" t="s">
        <v>318</v>
      </c>
      <c r="B3" s="31" t="s">
        <v>319</v>
      </c>
    </row>
    <row r="4" spans="1:2" ht="26.25" x14ac:dyDescent="0.25">
      <c r="A4" s="30" t="s">
        <v>320</v>
      </c>
      <c r="B4" s="31" t="s">
        <v>321</v>
      </c>
    </row>
    <row r="5" spans="1:2" x14ac:dyDescent="0.25">
      <c r="A5" s="30" t="s">
        <v>322</v>
      </c>
      <c r="B5" s="31" t="s">
        <v>323</v>
      </c>
    </row>
    <row r="6" spans="1:2" x14ac:dyDescent="0.25">
      <c r="A6" s="30" t="s">
        <v>324</v>
      </c>
      <c r="B6" s="31" t="s">
        <v>325</v>
      </c>
    </row>
    <row r="7" spans="1:2" x14ac:dyDescent="0.25">
      <c r="A7" s="32" t="s">
        <v>326</v>
      </c>
      <c r="B7" s="3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Sayfa1</vt:lpstr>
      <vt:lpstr>BOM_DUZELTILMIS</vt:lpstr>
      <vt:lpstr>fiyat</vt:lpstr>
      <vt:lpstr>fazla panolar</vt:lpstr>
      <vt:lpstr>REVIZYON_OZETI</vt:lpstr>
      <vt:lpstr>KAPSAM_KONTROL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created xsi:type="dcterms:W3CDTF">2026-07-30T09:15:18Z</dcterms:created>
  <dcterms:modified xsi:type="dcterms:W3CDTF">2026-07-30T14:37:49Z</dcterms:modified>
</cp:coreProperties>
</file>