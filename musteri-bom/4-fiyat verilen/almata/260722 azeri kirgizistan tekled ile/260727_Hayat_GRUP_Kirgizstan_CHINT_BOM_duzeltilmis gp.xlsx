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59bc62aa5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85a06fba4551491c"/>
    <x:sheet xmlns:r="http://schemas.openxmlformats.org/officeDocument/2006/relationships" name="BOM_DUZELTILMIS" sheetId="2" r:id="Raca3534975e746d0"/>
    <x:sheet xmlns:r="http://schemas.openxmlformats.org/officeDocument/2006/relationships" name="REVIZYON_OZETI" sheetId="3" r:id="R76890ce0c42341e7"/>
    <x:sheet xmlns:r="http://schemas.openxmlformats.org/officeDocument/2006/relationships" name="KAPSAM_KONTROL" sheetId="4" r:id="R602ba28a0fdb48cf"/>
  </x:sheets>
  <x:definedNames>
    <x:definedName name="sayac">Sayfa1!#REF!</x:definedName>
  </x:definedNames>
</x:workbook>
</file>

<file path=xl/sharedStrings.xml><?xml version="1.0" encoding="utf-8"?>
<x:sst xmlns:x="http://schemas.openxmlformats.org/spreadsheetml/2006/main">
  <x:si>
    <x:t xml:space="preserve">Наименование</x:t>
  </x:si>
  <x:si>
    <x:t xml:space="preserve">malzeme</x:t>
  </x:si>
  <x:si>
    <x:t xml:space="preserve">Артикул</x:t>
  </x:si>
  <x:si>
    <x:t xml:space="preserve">Номенклатура</x:t>
  </x:si>
  <x:si>
    <x:t xml:space="preserve">Цена,тг</x:t>
  </x:si>
  <x:si>
    <x:t xml:space="preserve">СУММ.</x:t>
  </x:si>
  <x:si>
    <x:t xml:space="preserve">Кол- во</x:t>
  </x:si>
  <x:si>
    <x:t xml:space="preserve">Ед.изм</x:t>
  </x:si>
  <x:si>
    <x:t xml:space="preserve">завод из готовитель</x:t>
  </x:si>
  <x:si>
    <x:t xml:space="preserve">source</x:t>
  </x:si>
  <x:si>
    <x:t xml:space="preserve">ГРЩ (B01, B02, B03)</x:t>
  </x:si>
  <x:si>
    <x:t xml:space="preserve">комплект</x:t>
  </x:si>
  <x:si>
    <x:t xml:space="preserve">TEKSAN</x:t>
  </x:si>
  <x:si>
    <x:t xml:space="preserve">B01, B02, B03</x:t>
  </x:si>
  <x:si>
    <x:t xml:space="preserve">korpus</x:t>
  </x:si>
  <x:si>
    <x:t xml:space="preserve">714-15010</x:t>
  </x:si>
  <x:si>
    <x:t xml:space="preserve">Pano met.ShRn-24 b/o (398х312х120)S/U 36 IP31 (TS)</x:t>
  </x:si>
  <x:si>
    <x:t xml:space="preserve"> ШТ. </x:t>
  </x:si>
  <x:si>
    <x:t xml:space="preserve">teksan f</x:t>
  </x:si>
  <x:si>
    <x:t xml:space="preserve">mccb</x:t>
  </x:si>
  <x:si>
    <x:t xml:space="preserve">131363</x:t>
  </x:si>
  <x:si>
    <x:t xml:space="preserve">Авт. выкл. NXM-125S/3Р 125A 25кА (R)</x:t>
  </x:si>
  <x:si>
    <x:t xml:space="preserve">chint</x:t>
  </x:si>
  <x:si>
    <x:t xml:space="preserve">oto</x:t>
  </x:si>
  <x:si>
    <x:t xml:space="preserve">816141</x:t>
  </x:si>
  <x:si>
    <x:t xml:space="preserve">Авт. выкл. NXB-125 3P 100A 10кА х-ка C (R)</x:t>
  </x:si>
  <x:si>
    <x:t xml:space="preserve">296827</x:t>
  </x:si>
  <x:si>
    <x:t xml:space="preserve">Авт. выкл. NXB-63S 3P 16А 4.5kA х-ка C (R)</x:t>
  </x:si>
  <x:si>
    <x:t xml:space="preserve">814014</x:t>
  </x:si>
  <x:si>
    <x:t xml:space="preserve">Авт. выкл. NXB-63 1P 16A 6кА х-ка C (R)</x:t>
  </x:si>
  <x:si>
    <x:t xml:space="preserve">rn</x:t>
  </x:si>
  <x:si>
    <x:t xml:space="preserve">816989</x:t>
  </x:si>
  <x:si>
    <x:t xml:space="preserve">Независимый расцепитель SHT-X3 AC240V/AC415V для NXB-125(G) (R)</x:t>
  </x:si>
  <x:si>
    <x:t xml:space="preserve">монтажный материал</x:t>
  </x:si>
  <x:si>
    <x:t xml:space="preserve">монтажная работа</x:t>
  </x:si>
  <x:si>
    <x:t xml:space="preserve">РПВ (B01, B02, B03)</x:t>
  </x:si>
  <x:si>
    <x:t xml:space="preserve">714-15007</x:t>
  </x:si>
  <x:si>
    <x:t xml:space="preserve">Щит мет.ЩРн-18 б/o (448х268х120)S/U 36 IP31 (TS)</x:t>
  </x:si>
  <x:si>
    <x:t xml:space="preserve"> ЯВЗ-31-IP54 УХЛ2 100А</x:t>
  </x:si>
  <x:si>
    <x:t xml:space="preserve">719-15043</x:t>
  </x:si>
  <x:si>
    <x:t xml:space="preserve">450*240*175</x:t>
  </x:si>
  <x:si>
    <x:t xml:space="preserve">ppn</x:t>
  </x:si>
  <x:si>
    <x:t xml:space="preserve">521349</x:t>
  </x:si>
  <x:si>
    <x:t xml:space="preserve">Плавкая вставка предохранителя RT36-00-160, габарит 00, 100А</x:t>
  </x:si>
  <x:si>
    <x:t xml:space="preserve">521260</x:t>
  </x:si>
  <x:si>
    <x:t xml:space="preserve">Держатель плавкой вставки RT36-00-160, габарит 00, 160А</x:t>
  </x:si>
  <x:si>
    <x:t xml:space="preserve">rubilnik</x:t>
  </x:si>
  <x:si>
    <x:t xml:space="preserve">270100152_</x:t>
  </x:si>
  <x:si>
    <x:t xml:space="preserve">Рубильник ВР-32-31  В31250-100А на 1 направление (+6камер) UNIT (1/18)</x:t>
  </x:si>
  <x:si>
    <x:t xml:space="preserve">pys</x:t>
  </x:si>
  <x:si>
    <x:t xml:space="preserve">ЯТП-0,25-220/36 036УХЛ4</x:t>
  </x:si>
  <x:si>
    <x:t xml:space="preserve">ГРЩ (В08)</x:t>
  </x:si>
  <x:si>
    <x:t xml:space="preserve">B08</x:t>
  </x:si>
  <x:si>
    <x:t xml:space="preserve">816139</x:t>
  </x:si>
  <x:si>
    <x:t xml:space="preserve">Авт. выкл. NXB-125 3P 80A 10кА х-ка C (R)</x:t>
  </x:si>
  <x:si>
    <x:t xml:space="preserve">296832</x:t>
  </x:si>
  <x:si>
    <x:t xml:space="preserve">Авт. выкл. NXB-63S 3P 50А 4.5kA х-ка C (R)</x:t>
  </x:si>
  <x:si>
    <x:t xml:space="preserve">296829</x:t>
  </x:si>
  <x:si>
    <x:t xml:space="preserve">Авт. выкл. NXB-63S 3P 25А 4.5kA х-ка C (R)</x:t>
  </x:si>
  <x:si>
    <x:t xml:space="preserve">814989</x:t>
  </x:si>
  <x:si>
    <x:t xml:space="preserve">Независимый расцепитель SHT-X1 AC230V/400V для NXB-63 (R)</x:t>
  </x:si>
  <x:si>
    <x:t xml:space="preserve">РПВ (В08)</x:t>
  </x:si>
  <x:si>
    <x:t xml:space="preserve">714-15040</x:t>
  </x:si>
  <x:si>
    <x:t xml:space="preserve">Мет. Корпус ЩРН- 48 (660x310x120) IP31  (TS)</x:t>
  </x:si>
  <x:si>
    <x:t xml:space="preserve">contactor</x:t>
  </x:si>
  <x:si>
    <x:t xml:space="preserve">836704</x:t>
  </x:si>
  <x:si>
    <x:t xml:space="preserve">Контактор NXC-09 9A 220В/АС3 1НО+1НЗ 50Гц (R)</x:t>
  </x:si>
  <x:si>
    <x:t xml:space="preserve">rele</x:t>
  </x:si>
  <x:si>
    <x:t xml:space="preserve">837113</x:t>
  </x:si>
  <x:si>
    <x:t xml:space="preserve">Тепловое реле NXR-25 2.5-4A (R)</x:t>
  </x:si>
  <x:si>
    <x:t xml:space="preserve">ГРЩ (В11)</x:t>
  </x:si>
  <x:si>
    <x:t xml:space="preserve">B11</x:t>
  </x:si>
  <x:si>
    <x:t xml:space="preserve">296831</x:t>
  </x:si>
  <x:si>
    <x:t xml:space="preserve">Авт. выкл. NXB-63S 3P 40А 4.5kA х-ка C (R)</x:t>
  </x:si>
  <x:si>
    <x:t xml:space="preserve">РПВ (В11)</x:t>
  </x:si>
  <x:si>
    <x:t xml:space="preserve">714-15005</x:t>
  </x:si>
  <x:si>
    <x:t xml:space="preserve">Pano met.ShRn-12 b/o (313х268х120)S/U 36 IP31 (TS)</x:t>
  </x:si>
  <x:si>
    <x:t xml:space="preserve">837099</x:t>
  </x:si>
  <x:si>
    <x:t xml:space="preserve">Тепловое реле NXR-12 1.6-2.5A (R)</x:t>
  </x:si>
  <x:si>
    <x:t xml:space="preserve">ГРЩ (В14)</x:t>
  </x:si>
  <x:si>
    <x:t xml:space="preserve">B14</x:t>
  </x:si>
  <x:si>
    <x:t xml:space="preserve">296828</x:t>
  </x:si>
  <x:si>
    <x:t xml:space="preserve">Авт. выкл. NXB-63S 3P 20А 4.5kA х-ка C (R)</x:t>
  </x:si>
  <x:si>
    <x:t xml:space="preserve">РПВ (В14)</x:t>
  </x:si>
  <x:si>
    <x:t xml:space="preserve">ГРЩ (В16)</x:t>
  </x:si>
  <x:si>
    <x:t xml:space="preserve">B16</x:t>
  </x:si>
  <x:si>
    <x:t xml:space="preserve">РПВ (В16)</x:t>
  </x:si>
  <x:si>
    <x:t xml:space="preserve">837114</x:t>
  </x:si>
  <x:si>
    <x:t xml:space="preserve">Тепловое реле NXR-25 4-6A (R)</x:t>
  </x:si>
  <x:si>
    <x:t xml:space="preserve">ГРЩ (В18)</x:t>
  </x:si>
  <x:si>
    <x:t xml:space="preserve">B18</x:t>
  </x:si>
  <x:si>
    <x:t xml:space="preserve">296830</x:t>
  </x:si>
  <x:si>
    <x:t xml:space="preserve">Авт. выкл. NXB-63S 3P 32А 4.5kA х-ка C (R)</x:t>
  </x:si>
  <x:si>
    <x:t xml:space="preserve">РПВ (В18)</x:t>
  </x:si>
  <x:si>
    <x:t xml:space="preserve">ГРЩ (В19)</x:t>
  </x:si>
  <x:si>
    <x:t xml:space="preserve">B19</x:t>
  </x:si>
  <x:si>
    <x:t xml:space="preserve">714-15050</x:t>
  </x:si>
  <x:si>
    <x:t xml:space="preserve">Мет. Корпус ЩРН-18 (265x440x120) IP54  (TS)</x:t>
  </x:si>
  <x:si>
    <x:t xml:space="preserve">РПВ (В19)</x:t>
  </x:si>
  <x:si>
    <x:t xml:space="preserve">714-15055</x:t>
  </x:si>
  <x:si>
    <x:t xml:space="preserve">Мет. Корпус ЩРН-12 (265x310x120) IP54  (TS)</x:t>
  </x:si>
  <x:si>
    <x:t xml:space="preserve">ГРЩ (В25)</x:t>
  </x:si>
  <x:si>
    <x:t xml:space="preserve">B25</x:t>
  </x:si>
  <x:si>
    <x:t xml:space="preserve">714-15015</x:t>
  </x:si>
  <x:si>
    <x:t xml:space="preserve">Pano met.ShRn-36 b/o (312х540х120)S/U 36 IP31 (TS)</x:t>
  </x:si>
  <x:si>
    <x:t xml:space="preserve">ПП (В25)</x:t>
  </x:si>
  <x:si>
    <x:t xml:space="preserve">719-15402</x:t>
  </x:si>
  <x:si>
    <x:t xml:space="preserve">ЩМП- 3 IP 31 (650х500х220)</x:t>
  </x:si>
  <x:si>
    <x:t xml:space="preserve">ats</x:t>
  </x:si>
  <x:si>
    <x:t xml:space="preserve">Устройство автоматического ввода резерва NXZM-125S/3B 100A (R)</x:t>
  </x:si>
  <x:si>
    <x:t xml:space="preserve">indicator</x:t>
  </x:si>
  <x:si>
    <x:t xml:space="preserve">Индикатор ND16-22D/2 зеленый AC/DC230В (R)</x:t>
  </x:si>
  <x:si>
    <x:t xml:space="preserve">Индикатор ND16-22D/2 желтый AC/DC230В (R)</x:t>
  </x:si>
  <x:si>
    <x:t xml:space="preserve">Индикатор ND16-22D/2 красный AC/DC230В (R)</x:t>
  </x:si>
  <x:si>
    <x:t xml:space="preserve">ЩАП23 (В25)</x:t>
  </x:si>
  <x:si>
    <x:t xml:space="preserve">719-15435</x:t>
  </x:si>
  <x:si>
    <x:t xml:space="preserve">Мет.Корпус ЩМП-1-0 (395x310x220) IP31</x:t>
  </x:si>
  <x:si>
    <x:t xml:space="preserve">296825</x:t>
  </x:si>
  <x:si>
    <x:t xml:space="preserve">Авт. выкл. NXB-63S 3P 6А 4.5kA х-ка C (R)</x:t>
  </x:si>
  <x:si>
    <x:t xml:space="preserve">593075</x:t>
  </x:si>
  <x:si>
    <x:t xml:space="preserve">836851</x:t>
  </x:si>
  <x:si>
    <x:t xml:space="preserve">Контактор NXC-25 25A 220В/АС3 1НО+1НЗ 50Гц (R)</x:t>
  </x:si>
  <x:si>
    <x:t xml:space="preserve">938256</x:t>
  </x:si>
  <x:si>
    <x:t xml:space="preserve">Приставка доп.контакты AX-3X/11 к контактору NXC-06~630 (R)</x:t>
  </x:si>
  <x:si>
    <x:t xml:space="preserve">block</x:t>
  </x:si>
  <x:si>
    <x:t xml:space="preserve">256717</x:t>
  </x:si>
  <x:si>
    <x:t xml:space="preserve">Механическая блокировка MI-5 для NC1-09-32, NXC-09-38 (R)</x:t>
  </x:si>
  <x:si>
    <x:t xml:space="preserve">593077</x:t>
  </x:si>
  <x:si>
    <x:t xml:space="preserve">697034</x:t>
  </x:si>
  <x:si>
    <x:t xml:space="preserve">Реле контроля фаз NJYB3-15 AC220V (R)</x:t>
  </x:si>
  <x:si>
    <x:t xml:space="preserve">285202</x:t>
  </x:si>
  <x:si>
    <x:t xml:space="preserve">Промежуточное реле JZX-22F(D) 3 конт. с инд. LED 5А 220В AC (R)</x:t>
  </x:si>
  <x:si>
    <x:t xml:space="preserve">rozetka</x:t>
  </x:si>
  <x:si>
    <x:t xml:space="preserve">285975</x:t>
  </x:si>
  <x:si>
    <x:t xml:space="preserve">Розетка CZY11A для JZX-22F(D) 3 контакта</x:t>
  </x:si>
  <x:si>
    <x:t xml:space="preserve">РПАвр (В25)</x:t>
  </x:si>
  <x:si>
    <x:t xml:space="preserve">dif</x:t>
  </x:si>
  <x:si>
    <x:t xml:space="preserve">105542</x:t>
  </x:si>
  <x:si>
    <x:t xml:space="preserve">Диф. авт. выкл. NXBLE-63Y 1P+N 16А 30mA электронный тип AС, х-ка С, 4.5kA (R)</x:t>
  </x:si>
  <x:si>
    <x:t xml:space="preserve">РП-1 (В25)</x:t>
  </x:si>
  <x:si>
    <x:t xml:space="preserve">РПл-1 (В25)</x:t>
  </x:si>
  <x:si>
    <x:t xml:space="preserve">296711</x:t>
  </x:si>
  <x:si>
    <x:t xml:space="preserve">Авт. выкл. NXB-63S 1P 20А 4.5kA х-ка C (R)</x:t>
  </x:si>
  <x:si>
    <x:t xml:space="preserve">Рпкух-1 (В25)</x:t>
  </x:si>
  <x:si>
    <x:t xml:space="preserve">РПВ-1 (В25)</x:t>
  </x:si>
  <x:si>
    <x:t xml:space="preserve">РПо-1 (В25)</x:t>
  </x:si>
  <x:si>
    <x:t xml:space="preserve">ЩО-1 (В25)</x:t>
  </x:si>
  <x:si>
    <x:t xml:space="preserve">ЩАО-1 (В25)</x:t>
  </x:si>
  <x:si>
    <x:t xml:space="preserve">296709</x:t>
  </x:si>
  <x:si>
    <x:t xml:space="preserve">Авт. выкл. NXB-63S 1P 10А 4.5kA х-ка C (R)</x:t>
  </x:si>
  <x:si>
    <x:t xml:space="preserve">ГРЩ (В26)</x:t>
  </x:si>
  <x:si>
    <x:t xml:space="preserve">B26</x:t>
  </x:si>
  <x:si>
    <x:t xml:space="preserve">714-15035</x:t>
  </x:si>
  <x:si>
    <x:t xml:space="preserve">Мет. Корпус ЩРН- 48 (660x310x120) IP54  (TS)</x:t>
  </x:si>
  <x:si>
    <x:t xml:space="preserve">131361</x:t>
  </x:si>
  <x:si>
    <x:t xml:space="preserve">Авт. выкл. NXM-125S/3Р 80A 25кА (R)</x:t>
  </x:si>
  <x:si>
    <x:t xml:space="preserve">539865</x:t>
  </x:si>
  <x:si>
    <x:t xml:space="preserve">Диф. авт. выкл. NXBLE-63YH 3P+N C32 30mA тип AC, 6kA (R)</x:t>
  </x:si>
  <x:si>
    <x:t xml:space="preserve">946996</x:t>
  </x:si>
  <x:si>
    <x:t xml:space="preserve">Независимый расцепитель SHT-M1 A1 L для NXM-125(63)/NXMLE-125 AC230V (левый) (R)</x:t>
  </x:si>
  <x:si>
    <x:t xml:space="preserve">ПП (В26)</x:t>
  </x:si>
  <x:si>
    <x:t xml:space="preserve">ЩАП25 (В26)</x:t>
  </x:si>
  <x:si>
    <x:t xml:space="preserve">РПВ-1 (В26)</x:t>
  </x:si>
  <x:si>
    <x:t xml:space="preserve">296712</x:t>
  </x:si>
  <x:si>
    <x:t xml:space="preserve">Авт. выкл. NXB-63S 1P 25А 4.5kA х-ка C (R)</x:t>
  </x:si>
  <x:si>
    <x:t xml:space="preserve">ГРЩ (В27)</x:t>
  </x:si>
  <x:si>
    <x:t xml:space="preserve">B27</x:t>
  </x:si>
  <x:si>
    <x:t xml:space="preserve">ЩАП25 (В27)</x:t>
  </x:si>
  <x:si>
    <x:t xml:space="preserve">Я511К-3074(В27)</x:t>
  </x:si>
  <x:si>
    <x:t xml:space="preserve">719-15415</x:t>
  </x:si>
  <x:si>
    <x:t xml:space="preserve">Мет.Корпус ЩМП-1 (395х310х150) УХЛ3 IP31</x:t>
  </x:si>
  <x:si>
    <x:t xml:space="preserve">296840</x:t>
  </x:si>
  <x:si>
    <x:t xml:space="preserve">Авт. выкл. NXB-63S 3P 16А 4.5kA х-ка D (R)</x:t>
  </x:si>
  <x:si>
    <x:t xml:space="preserve">296704</x:t>
  </x:si>
  <x:si>
    <x:t xml:space="preserve">Авт. выкл. NXB-63S 1P C1А 4.5kA х-ка C (R)</x:t>
  </x:si>
  <x:si>
    <x:t xml:space="preserve">button</x:t>
  </x:si>
  <x:si>
    <x:t xml:space="preserve">667113</x:t>
  </x:si>
  <x:si>
    <x:t xml:space="preserve">Кнопка управления NP8-11BN/3 без подсветки, зелёная 1НО+1НЗ IP65 (R)</x:t>
  </x:si>
  <x:si>
    <x:t xml:space="preserve">667114</x:t>
  </x:si>
  <x:si>
    <x:t xml:space="preserve">Кнопка управления NP8-11BN/4 без подсветки, красная 1НО+1НЗ IP65 (R)</x:t>
  </x:si>
  <x:si>
    <x:t xml:space="preserve">836712</x:t>
  </x:si>
  <x:si>
    <x:t xml:space="preserve">Контактор NXC-12 12A 220В/АС3 1НО+1НЗ 50Гц (R)</x:t>
  </x:si>
  <x:si>
    <x:t xml:space="preserve">perekluchatel</x:t>
  </x:si>
  <x:si>
    <x:t xml:space="preserve">574858</x:t>
  </x:si>
  <x:si>
    <x:t xml:space="preserve">Переключатель NP2-BJ33, 3 положения с фиксацией, 2НО IP40</x:t>
  </x:si>
  <x:si>
    <x:t xml:space="preserve">837116</x:t>
  </x:si>
  <x:si>
    <x:t xml:space="preserve">Тепловое реле NXR-25 7-10A (R)</x:t>
  </x:si>
  <x:si>
    <x:t xml:space="preserve">zajim</x:t>
  </x:si>
  <x:si>
    <x:t xml:space="preserve">130301152_</x:t>
  </x:si>
  <x:si>
    <x:t xml:space="preserve">ЗНИ  2.5мм ² (24А) серый  UNIT (100)</x:t>
  </x:si>
  <x:si>
    <x:t xml:space="preserve">РП (В28)</x:t>
  </x:si>
  <x:si>
    <x:t xml:space="preserve">B28</x:t>
  </x:si>
  <x:si>
    <x:t xml:space="preserve">ПП (В28)</x:t>
  </x:si>
  <x:si>
    <x:t xml:space="preserve">256759</x:t>
  </x:si>
  <x:si>
    <x:t xml:space="preserve">Устройство автоматического ввода резерва NXZM-63S/3B 40A (R)</x:t>
  </x:si>
  <x:si>
    <x:t xml:space="preserve">РПо-1 (В28)</x:t>
  </x:si>
</x:sst>
</file>

<file path=xl/styles.xml><?xml version="1.0" encoding="utf-8"?>
<x:styleSheet xmlns:x="http://schemas.openxmlformats.org/spreadsheetml/2006/main">
  <x:numFmts count="5">
    <x:numFmt numFmtId="164" formatCode="_-* #,##0.00_-;\-* #,##0.00_-;_-* \-??_-;_-@_-"/>
    <x:numFmt numFmtId="165" formatCode="_-* #,##0_-;\-* #,##0_-;_-* \-??_-;_-@_-"/>
    <x:numFmt numFmtId="166" formatCode="_-* #,##0.00\ _X_D_R_-;\-* #,##0.00\ _X_D_R_-;_-* \-??\ _X_D_R_-;_-@_-"/>
    <x:numFmt numFmtId="200" formatCode="#,##0.00"/>
    <x:numFmt numFmtId="201" formatCode="0.##"/>
  </x:numFmts>
  <x:fonts count="19">
    <x:font>
      <x:sz val="11"/>
      <x:color rgb="FF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color theme="1"/>
      <x:name val="Calibri"/>
    </x:font>
    <x:font>
      <x:b/>
      <x:sz val="10"/>
      <x:color theme="1"/>
      <x:name val="Calibri"/>
    </x:font>
    <x:font>
      <x:b/>
      <x:sz val="10"/>
      <x:color theme="1"/>
      <x:name val="Calibri"/>
    </x:font>
    <x:font>
      <x:b/>
      <x:sz val="9"/>
      <x:color theme="1"/>
      <x:name val="Calibri"/>
    </x:font>
    <x:font>
      <x:b/>
      <x:sz val="9"/>
      <x:color theme="1"/>
      <x:name val="Calibri"/>
    </x:font>
    <x:font>
      <x:sz val="9"/>
      <x:name val="Calibri"/>
    </x:font>
    <x:font>
      <x:sz val="9"/>
      <x:name val="Tahoma"/>
    </x:font>
    <x:font>
      <x:b/>
      <x:sz val="9"/>
      <x:name val="Calibri"/>
    </x:font>
    <x:font>
      <x:b/>
      <x:sz val="10"/>
      <x:color rgb="FF000000"/>
      <x:name val="Arial"/>
    </x:font>
    <x:font>
      <x:sz val="9"/>
      <x:color rgb="FF000000"/>
      <x:name val="Arial"/>
    </x:font>
    <x:font>
      <x:b/>
      <x:sz val="9"/>
      <x:color rgb="FF000000"/>
      <x:name val="Arial"/>
    </x:font>
    <x:font>
      <x:b/>
      <x:sz val="9"/>
      <x:color rgb="FFC00000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D966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7" tint="0.39998"/>
      </x:patternFill>
    </x:fill>
    <x:fill>
      <x:patternFill patternType="solid">
        <x:fgColor rgb="FFFFF200"/>
      </x:patternFill>
    </x:fill>
    <x:fill>
      <x:patternFill patternType="solid">
        <x:fgColor rgb="FFFFD96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3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indexed="64"/>
      </x:bottom>
    </x:border>
    <x:border>
      <x:right style="thin">
        <x:color auto="1"/>
      </x:right>
      <x:top style="thin">
        <x:color auto="1"/>
      </x:top>
      <x:bottom style="thin">
        <x:color indexed="6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indexed="64"/>
      </x:bottom>
    </x:border>
    <x:border>
      <x:right style="thin">
        <x:color auto="1"/>
      </x:right>
      <x:top style="thin">
        <x:color auto="1"/>
      </x:top>
      <x:bottom style="thin">
        <x:color indexed="64"/>
      </x:bottom>
    </x:border>
    <x:border>
      <x:bottom/>
    </x:border>
    <x:border>
      <x:bottom/>
    </x:border>
    <x:border>
      <x:top/>
      <x:bottom/>
    </x:border>
    <x:border>
      <x:top/>
      <x:bottom/>
    </x:border>
    <x:border>
      <x:top/>
    </x:border>
    <x:border>
      <x:top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7">
    <x:xf numFmtId="0" fontId="0" fillId="0" borderId="0"/>
    <x:xf numFmtId="164" fontId="4" fillId="0" borderId="0" applyBorder="0" applyProtection="0"/>
    <x:xf numFmtId="0" fontId="3" fillId="0" borderId="0"/>
    <x:xf numFmtId="0" fontId="2" fillId="0" borderId="0"/>
    <x:xf numFmtId="0" fontId="5" fillId="0" borderId="0"/>
    <x:xf numFmtId="0" fontId="1" fillId="0" borderId="0"/>
    <x:xf numFmtId="0" fontId="1" fillId="0" borderId="0"/>
  </x:cellStyleXfs>
  <x:cellXfs count="142">
    <x:xf numFmtId="0" fontId="0" fillId="0" borderId="0" xfId="0"/>
    <x:xf numFmtId="0" fontId="6" fillId="2" borderId="1" xfId="0" applyFont="1" applyFill="1" applyBorder="1" applyAlignment="1">
      <x:alignment horizontal="center" vertical="center" wrapText="1"/>
    </x:xf>
    <x:xf numFmtId="3" fontId="6" fillId="2" borderId="1" xfId="0" applyNumberFormat="1" applyFont="1" applyFill="1" applyBorder="1" applyAlignment="1">
      <x:alignment horizontal="center" vertical="center" wrapText="1"/>
    </x:xf>
    <x:xf numFmtId="165" fontId="6" fillId="2" borderId="1" xfId="1" applyNumberFormat="1" applyFont="1" applyFill="1" applyBorder="1" applyAlignment="1">
      <x:alignment horizontal="center" vertical="center" wrapText="1"/>
    </x:xf>
    <x:xf numFmtId="0" fontId="6" fillId="2" borderId="1" xfId="1" applyNumberFormat="1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3" fontId="6" fillId="6" borderId="1" xfId="1" applyNumberFormat="1" applyFont="1" applyFill="1" applyBorder="1" applyAlignment="1">
      <x:alignment horizontal="center" vertical="center" wrapText="1"/>
    </x:xf>
    <x:xf numFmtId="165" fontId="6" fillId="6" borderId="1" xfId="1" applyNumberFormat="1" applyFont="1" applyFill="1" applyBorder="1" applyAlignment="1">
      <x:alignment horizontal="center" vertical="center"/>
    </x:xf>
    <x:xf numFmtId="166" fontId="6" fillId="6" borderId="1" xfId="1" applyNumberFormat="1" applyFont="1" applyFill="1" applyBorder="1" applyAlignment="1">
      <x:alignment horizontal="center" vertical="center" wrapText="1"/>
    </x:xf>
    <x:xf numFmtId="0" fontId="6" fillId="6" borderId="1" xfId="1" applyNumberFormat="1" applyFont="1" applyFill="1" applyBorder="1" applyAlignment="1">
      <x:alignment horizontal="center" vertical="center"/>
    </x:xf>
    <x:xf numFmtId="165" fontId="6" fillId="6" borderId="1" xfId="1" applyNumberFormat="1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7" fillId="5" borderId="1" xfId="0" applyFont="1" applyFill="1" applyBorder="1" applyAlignment="1">
      <x:alignment horizontal="center" vertical="center" wrapText="1"/>
    </x:xf>
    <x:xf numFmtId="3" fontId="6" fillId="4" borderId="1" xfId="1" applyNumberFormat="1" applyFont="1" applyFill="1" applyBorder="1" applyAlignment="1">
      <x:alignment horizontal="center" vertical="center" wrapText="1"/>
    </x:xf>
    <x:xf numFmtId="165" fontId="6" fillId="4" borderId="1" xfId="1" applyNumberFormat="1" applyFont="1" applyFill="1" applyBorder="1" applyAlignment="1">
      <x:alignment horizontal="center" vertical="center"/>
    </x:xf>
    <x:xf numFmtId="0" fontId="6" fillId="4" borderId="1" xfId="1" applyNumberFormat="1" applyFont="1" applyFill="1" applyBorder="1" applyAlignment="1">
      <x:alignment horizontal="center" vertical="center"/>
    </x:xf>
    <x:xf numFmtId="165" fontId="6" fillId="4" borderId="1" xfId="1" applyNumberFormat="1" applyFont="1" applyFill="1" applyBorder="1" applyAlignment="1">
      <x:alignment horizontal="center" vertical="center" wrapText="1"/>
    </x:xf>
    <x:xf numFmtId="3" fontId="6" fillId="4" borderId="1" xfId="0" applyNumberFormat="1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center" vertical="center" wrapText="1"/>
    </x:xf>
    <x:xf numFmtId="0" fontId="9" fillId="5" borderId="1" xfId="0" applyFont="1" applyFill="1" applyBorder="1" applyAlignment="1">
      <x:alignment horizontal="center" vertical="center" wrapText="1"/>
    </x:xf>
    <x:xf numFmtId="1" fontId="10" fillId="0" borderId="1" xfId="0" applyNumberFormat="1" applyFont="1" applyBorder="1" applyAlignment="1">
      <x:alignment horizontal="center" vertical="center"/>
    </x:xf>
    <x:xf numFmtId="165" fontId="12" fillId="4" borderId="1" xfId="1" applyNumberFormat="1" applyFont="1" applyFill="1" applyBorder="1" applyAlignment="1">
      <x:alignment horizontal="center" vertical="center" wrapText="1"/>
    </x:xf>
    <x:xf numFmtId="3" fontId="11" fillId="0" borderId="2" xfId="0" applyNumberFormat="1" applyFont="1" applyBorder="1" applyAlignment="1">
      <x:alignment horizontal="center" vertical="center" wrapText="1"/>
    </x:xf>
    <x:xf numFmtId="3" fontId="11" fillId="0" borderId="3" xfId="0" applyNumberFormat="1" applyFont="1" applyBorder="1" applyAlignment="1">
      <x:alignment horizontal="center" vertical="center" wrapText="1"/>
    </x:xf>
    <x:xf numFmtId="3" fontId="11" fillId="0" borderId="1" xfId="0" applyNumberFormat="1" applyFont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6" fillId="2" borderId="5" xfId="0" applyNumberFormat="1" applyFont="1" applyFill="1" applyBorder="1" applyAlignment="1">
      <x:alignment horizontal="center" vertical="center" wrapText="1"/>
    </x:xf>
    <x:xf numFmtId="3" fontId="6" fillId="2" borderId="5" xfId="0" applyNumberFormat="1" applyFont="1" applyFill="1" applyBorder="1" applyAlignment="1">
      <x:alignment horizontal="center" vertical="center" wrapText="1"/>
    </x:xf>
    <x:xf numFmtId="165" fontId="6" fillId="2" borderId="5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3" fontId="6" fillId="6" borderId="5" xfId="0" applyNumberFormat="1" applyFont="1" applyFill="1" applyBorder="1" applyAlignment="1">
      <x:alignment horizontal="center" vertical="center" wrapText="1"/>
    </x:xf>
    <x:xf numFmtId="165" fontId="6" fillId="6" borderId="5" xfId="0" applyNumberFormat="1" applyFont="1" applyFill="1" applyBorder="1" applyAlignment="1">
      <x:alignment horizontal="center" vertical="center"/>
    </x:xf>
    <x:xf numFmtId="166" fontId="6" fillId="6" borderId="5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/>
    </x:xf>
    <x:xf numFmtId="165" fontId="6" fillId="6" borderId="5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3" fontId="6" fillId="4" borderId="5" xfId="0" applyNumberFormat="1" applyFont="1" applyFill="1" applyBorder="1" applyAlignment="1">
      <x:alignment horizontal="center" vertical="center" wrapText="1"/>
    </x:xf>
    <x:xf numFmtId="165" fontId="6" fillId="4" borderId="5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165" fontId="6" fillId="4" borderId="5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1" fontId="10" fillId="0" borderId="5" xfId="0" applyNumberFormat="1" applyFont="1" applyFill="1" applyBorder="1" applyAlignment="1">
      <x:alignment horizontal="center" vertical="center"/>
    </x:xf>
    <x:xf numFmtId="165" fontId="12" fillId="4" borderId="5" xfId="0" applyNumberFormat="1" applyFont="1" applyFill="1" applyBorder="1" applyAlignment="1">
      <x:alignment horizontal="center" vertical="center" wrapText="1"/>
    </x:xf>
    <x:xf numFmtId="3" fontId="11" fillId="0" borderId="6" xfId="0" applyNumberFormat="1" applyFont="1" applyFill="1" applyBorder="1" applyAlignment="1">
      <x:alignment horizontal="center" vertical="center" wrapText="1"/>
    </x:xf>
    <x:xf numFmtId="3" fontId="11" fillId="0" borderId="7" xfId="0" applyNumberFormat="1" applyFont="1" applyFill="1" applyBorder="1" applyAlignment="1">
      <x:alignment horizontal="center" vertical="center" wrapText="1"/>
    </x:xf>
    <x:xf numFmtId="3" fontId="11" fillId="0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8" xfId="0" applyNumberFormat="1" applyFont="1" applyFill="1" applyBorder="1"/>
    <x:xf numFmtId="0" fontId="13" fillId="7" borderId="8" xfId="0" applyNumberFormat="1" applyFont="1" applyFill="1" applyBorder="1" applyAlignment="1">
      <x:alignment wrapText="1"/>
    </x:xf>
    <x:xf numFmtId="0" fontId="13" fillId="7" borderId="8" xfId="0" applyNumberFormat="1" applyFont="1" applyFill="1" applyBorder="1" applyAlignment="1">
      <x:alignment horizont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/>
    <x:xf numFmtId="0" fontId="13" fillId="7" borderId="4" xfId="0" applyNumberFormat="1" applyFont="1" applyFill="1" applyBorder="1"/>
    <x:xf numFmtId="0" fontId="13" fillId="7" borderId="9" xfId="0" applyNumberFormat="1" applyFont="1" applyFill="1" applyBorder="1"/>
    <x:xf numFmtId="0" fontId="13" fillId="7" borderId="9" xfId="0" applyNumberFormat="1" applyFont="1" applyFill="1" applyBorder="1" applyAlignment="1">
      <x:alignment wrapText="1"/>
    </x:xf>
    <x:xf numFmtId="0" fontId="13" fillId="7" borderId="9" xfId="0" applyNumberFormat="1" applyFont="1" applyFill="1" applyBorder="1" applyAlignment="1">
      <x:alignment horizontal="center" wrapText="1"/>
    </x:xf>
    <x:xf numFmtId="0" fontId="13" fillId="7" borderId="9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4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0" xfId="0" applyNumberFormat="1" applyFont="1" applyFill="1" applyBorder="1" applyAlignment="1">
      <x:alignment vertical="center" wrapText="1"/>
    </x:xf>
    <x:xf numFmtId="0" fontId="13" fillId="8" borderId="10" xfId="0" applyNumberFormat="1" applyFont="1" applyFill="1" applyBorder="1" applyAlignment="1">
      <x:alignment horizontal="center" vertical="center" wrapText="1"/>
    </x:xf>
    <x:xf numFmtId="0" fontId="14" fillId="8" borderId="4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11" xfId="0" applyNumberFormat="1" applyFont="1" applyFill="1" applyBorder="1" applyAlignment="1">
      <x:alignment vertical="center" wrapText="1"/>
    </x:xf>
    <x:xf numFmtId="0" fontId="13" fillId="8" borderId="11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5" fillId="9" borderId="12" xfId="0" applyNumberFormat="1" applyFont="1" applyFill="1" applyBorder="1" applyAlignment="1">
      <x:alignment vertical="center" wrapText="1"/>
    </x:xf>
    <x:xf numFmtId="0" fontId="14" fillId="9" borderId="4" xfId="0" applyNumberFormat="1" applyFont="1" applyFill="1" applyBorder="1" applyAlignment="1">
      <x:alignment vertical="center" wrapText="1"/>
    </x:xf>
    <x:xf numFmtId="0" fontId="15" fillId="9" borderId="4" xfId="0" applyNumberFormat="1" applyFont="1" applyFill="1" applyBorder="1" applyAlignment="1">
      <x:alignment vertical="center" wrapText="1"/>
    </x:xf>
    <x:xf numFmtId="0" fontId="15" fillId="9" borderId="13" xfId="0" applyNumberFormat="1" applyFont="1" applyFill="1" applyBorder="1" applyAlignment="1">
      <x:alignment vertical="center" wrapText="1"/>
    </x:xf>
    <x:xf numFmtId="0" fontId="15" fillId="9" borderId="12" xfId="0" applyNumberFormat="1" applyFont="1" applyFill="1" applyBorder="1" applyAlignment="1">
      <x:alignment horizontal="right" vertical="center" wrapText="1"/>
    </x:xf>
    <x:xf numFmtId="0" fontId="15" fillId="9" borderId="13" xfId="0" applyNumberFormat="1" applyFont="1" applyFill="1" applyBorder="1" applyAlignment="1">
      <x:alignment horizontal="right" vertical="center" wrapText="1"/>
    </x:xf>
    <x:xf numFmtId="200" fontId="13" fillId="8" borderId="10" xfId="0" applyNumberFormat="1" applyFont="1" applyFill="1" applyBorder="1" applyAlignment="1">
      <x:alignment horizontal="center"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200" fontId="15" fillId="9" borderId="12" xfId="0" applyNumberFormat="1" applyFont="1" applyFill="1" applyBorder="1" applyAlignment="1">
      <x:alignment horizontal="right" vertical="center" wrapText="1"/>
    </x:xf>
    <x:xf numFmtId="200" fontId="13" fillId="8" borderId="11" xfId="0" applyNumberFormat="1" applyFont="1" applyFill="1" applyBorder="1" applyAlignment="1">
      <x:alignment horizontal="center" vertical="center" wrapText="1"/>
    </x:xf>
    <x:xf numFmtId="200" fontId="14" fillId="0" borderId="4" xfId="0" applyNumberFormat="1" applyFont="1" applyFill="1" applyBorder="1" applyAlignment="1">
      <x:alignment vertical="center" wrapText="1"/>
    </x:xf>
    <x:xf numFmtId="200" fontId="15" fillId="9" borderId="13" xfId="0" applyNumberFormat="1" applyFont="1" applyFill="1" applyBorder="1" applyAlignment="1">
      <x:alignment horizontal="right" vertical="center" wrapText="1"/>
    </x:xf>
    <x:xf numFmtId="201" fontId="13" fillId="8" borderId="10" xfId="0" applyNumberFormat="1" applyFont="1" applyFill="1" applyBorder="1" applyAlignment="1">
      <x:alignment horizontal="center"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201" fontId="15" fillId="9" borderId="12" xfId="0" applyNumberFormat="1" applyFont="1" applyFill="1" applyBorder="1" applyAlignment="1">
      <x:alignment vertical="center" wrapText="1"/>
    </x:xf>
    <x:xf numFmtId="201" fontId="13" fillId="8" borderId="11" xfId="0" applyNumberFormat="1" applyFont="1" applyFill="1" applyBorder="1" applyAlignment="1">
      <x:alignment horizontal="center" vertical="center" wrapText="1"/>
    </x:xf>
    <x:xf numFmtId="201" fontId="14" fillId="0" borderId="4" xfId="0" applyNumberFormat="1" applyFont="1" applyFill="1" applyBorder="1" applyAlignment="1">
      <x:alignment vertical="center" wrapText="1"/>
    </x:xf>
    <x:xf numFmtId="201" fontId="15" fillId="9" borderId="13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200" fontId="14" fillId="10" borderId="0" xfId="0" applyNumberFormat="1" applyFont="1" applyFill="1" applyBorder="1" applyAlignment="1">
      <x:alignment vertical="center" wrapText="1"/>
    </x:xf>
    <x:xf numFmtId="201" fontId="14" fillId="10" borderId="0" xfId="0" applyNumberFormat="1" applyFont="1" applyFill="1" applyBorder="1" applyAlignment="1">
      <x:alignment vertical="center" wrapText="1"/>
    </x:xf>
    <x:xf numFmtId="0" fontId="14" fillId="10" borderId="4" xfId="0" applyNumberFormat="1" applyFont="1" applyFill="1" applyBorder="1" applyAlignment="1">
      <x:alignment vertical="center" wrapText="1"/>
    </x:xf>
    <x:xf numFmtId="200" fontId="14" fillId="10" borderId="4" xfId="0" applyNumberFormat="1" applyFont="1" applyFill="1" applyBorder="1" applyAlignment="1">
      <x:alignment vertical="center" wrapText="1"/>
    </x:xf>
    <x:xf numFmtId="201" fontId="14" fillId="10" borderId="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6" fillId="10" borderId="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horizontal="center" wrapText="1"/>
    </x:xf>
    <x:xf numFmtId="0" fontId="17" fillId="11" borderId="0" xfId="0" applyNumberFormat="1" applyFont="1" applyFill="1" applyBorder="1" applyAlignment="1">
      <x:alignment horizontal="center" vertical="center" wrapText="1"/>
    </x:xf>
    <x:xf numFmtId="0" fontId="0" fillId="11" borderId="4" xfId="0" applyNumberFormat="1" applyFont="1" applyFill="1" applyBorder="1"/>
    <x:xf numFmtId="0" fontId="17" fillId="11" borderId="4" xfId="0" applyNumberFormat="1" applyFont="1" applyFill="1" applyBorder="1"/>
    <x:xf numFmtId="0" fontId="17" fillId="11" borderId="4" xfId="0" applyNumberFormat="1" applyFont="1" applyFill="1" applyBorder="1" applyAlignment="1">
      <x:alignment wrapText="1"/>
    </x:xf>
    <x:xf numFmtId="0" fontId="17" fillId="11" borderId="4" xfId="0" applyNumberFormat="1" applyFont="1" applyFill="1" applyBorder="1" applyAlignment="1">
      <x:alignment horizontal="center" wrapText="1"/>
    </x:xf>
    <x:xf numFmtId="0" fontId="17" fillId="11" borderId="4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wrapText="1"/>
    </x:xf>
    <x:xf numFmtId="0" fontId="17" fillId="11" borderId="14" xfId="0" applyNumberFormat="1" applyFont="1" applyFill="1" applyBorder="1" applyAlignment="1">
      <x:alignment horizontal="center" vertical="center" wrapText="1"/>
    </x:xf>
    <x:xf numFmtId="0" fontId="17" fillId="11" borderId="15" xfId="0" applyNumberFormat="1" applyFont="1" applyFill="1" applyBorder="1" applyAlignment="1">
      <x:alignment horizontal="center" vertical="center" wrapText="1"/>
    </x:xf>
    <x:xf numFmtId="0" fontId="17" fillId="11" borderId="16" xfId="0" applyNumberFormat="1" applyFont="1" applyFill="1" applyBorder="1" applyAlignment="1">
      <x:alignment horizontal="center" vertical="center" wrapText="1"/>
    </x:xf>
    <x:xf numFmtId="0" fontId="18" fillId="0" borderId="17" xfId="0" applyNumberFormat="1" applyFont="1" applyFill="1" applyBorder="1" applyAlignment="1">
      <x:alignment wrapText="1"/>
    </x:xf>
    <x:xf numFmtId="0" fontId="18" fillId="0" borderId="18" xfId="0" applyNumberFormat="1" applyFont="1" applyFill="1" applyBorder="1" applyAlignment="1">
      <x:alignment wrapText="1"/>
    </x:xf>
    <x:xf numFmtId="0" fontId="18" fillId="0" borderId="19" xfId="0" applyNumberFormat="1" applyFont="1" applyFill="1" applyBorder="1" applyAlignment="1">
      <x:alignment wrapText="1"/>
    </x:xf>
    <x:xf numFmtId="0" fontId="18" fillId="0" borderId="20" xfId="0" applyNumberFormat="1" applyFont="1" applyFill="1" applyBorder="1" applyAlignment="1">
      <x:alignment wrapText="1"/>
    </x:xf>
    <x:xf numFmtId="0" fontId="18" fillId="0" borderId="21" xfId="0" applyNumberFormat="1" applyFont="1" applyFill="1" applyBorder="1" applyAlignment="1">
      <x:alignment wrapText="1"/>
    </x:xf>
    <x:xf numFmtId="0" fontId="17" fillId="11" borderId="22" xfId="0" applyNumberFormat="1" applyFont="1" applyFill="1" applyBorder="1" applyAlignment="1">
      <x:alignment horizontal="center" vertical="center" wrapText="1"/>
    </x:xf>
    <x:xf numFmtId="0" fontId="17" fillId="11" borderId="23" xfId="0" applyNumberFormat="1" applyFont="1" applyFill="1" applyBorder="1" applyAlignment="1">
      <x:alignment horizontal="center" vertical="center" wrapText="1"/>
    </x:xf>
    <x:xf numFmtId="0" fontId="17" fillId="11" borderId="24" xfId="0" applyNumberFormat="1" applyFont="1" applyFill="1" applyBorder="1" applyAlignment="1">
      <x:alignment horizontal="center" vertical="center" wrapText="1"/>
    </x:xf>
    <x:xf numFmtId="0" fontId="18" fillId="0" borderId="25" xfId="0" applyNumberFormat="1" applyFont="1" applyFill="1" applyBorder="1" applyAlignment="1">
      <x:alignment wrapText="1"/>
    </x:xf>
    <x:xf numFmtId="0" fontId="18" fillId="0" borderId="26" xfId="0" applyNumberFormat="1" applyFont="1" applyFill="1" applyBorder="1" applyAlignment="1">
      <x:alignment wrapText="1"/>
    </x:xf>
    <x:xf numFmtId="0" fontId="18" fillId="0" borderId="27" xfId="0" applyNumberFormat="1" applyFont="1" applyFill="1" applyBorder="1" applyAlignment="1">
      <x:alignment wrapText="1"/>
    </x:xf>
    <x:xf numFmtId="0" fontId="18" fillId="0" borderId="28" xfId="0" applyNumberFormat="1" applyFont="1" applyFill="1" applyBorder="1" applyAlignment="1">
      <x:alignment wrapText="1"/>
    </x:xf>
    <x:xf numFmtId="0" fontId="18" fillId="0" borderId="29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0" fillId="12" borderId="4" xfId="0" applyNumberFormat="1" applyFont="1" applyFill="1" applyBorder="1"/>
    <x:xf numFmtId="0" fontId="17" fillId="12" borderId="4" xfId="0" applyNumberFormat="1" applyFont="1" applyFill="1" applyBorder="1"/>
    <x:xf numFmtId="0" fontId="17" fillId="12" borderId="4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wrapText="1"/>
    </x:xf>
    <x:xf numFmtId="0" fontId="17" fillId="12" borderId="4" xfId="0" applyNumberFormat="1" applyFont="1" applyFill="1" applyBorder="1" applyAlignment="1">
      <x:alignment horizontal="center" wrapText="1"/>
    </x:xf>
    <x:xf numFmtId="0" fontId="17" fillId="12" borderId="14" xfId="0" applyNumberFormat="1" applyFont="1" applyFill="1" applyBorder="1" applyAlignment="1">
      <x:alignment horizontal="center" wrapText="1"/>
    </x:xf>
    <x:xf numFmtId="0" fontId="17" fillId="12" borderId="16" xfId="0" applyNumberFormat="1" applyFont="1" applyFill="1" applyBorder="1" applyAlignment="1">
      <x:alignment horizontal="center" wrapText="1"/>
    </x:xf>
  </x:cellXfs>
  <x:cellStyles count="7">
    <x:cellStyle name="Normal" xfId="0"/>
    <x:cellStyle name="Normal 2" xfId="4"/>
    <x:cellStyle name="Virgül" xfId="1"/>
    <x:cellStyle name="Обычный 2" xfId="2"/>
    <x:cellStyle name="Обычный 2 2" xfId="3"/>
    <x:cellStyle name="Обычный 2 2 2" xfId="6"/>
    <x:cellStyle name="Обычный 2 3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ed7169f17493f" /><Relationship Type="http://schemas.openxmlformats.org/officeDocument/2006/relationships/theme" Target="/xl/theme/theme1.xml" Id="R6dafee09a69d42ee" /><Relationship Type="http://schemas.openxmlformats.org/officeDocument/2006/relationships/sharedStrings" Target="/xl/sharedStrings.xml" Id="R3cc5610956594a43" /><Relationship Type="http://schemas.openxmlformats.org/officeDocument/2006/relationships/worksheet" Target="/xl/worksheets/sheet1.xml" Id="R85a06fba4551491c" /><Relationship Type="http://schemas.openxmlformats.org/officeDocument/2006/relationships/worksheet" Target="/xl/worksheets/sheet2.xml" Id="Raca3534975e746d0" /><Relationship Type="http://schemas.openxmlformats.org/officeDocument/2006/relationships/worksheet" Target="/xl/worksheets/sheet3.xml" Id="R76890ce0c42341e7" /><Relationship Type="http://schemas.openxmlformats.org/officeDocument/2006/relationships/worksheet" Target="/xl/worksheets/sheet4.xml" Id="R602ba28a0fdb48cf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21"/>
  <x:cols>
    <x:col min="1" max="1" width="36.42578125" customWidth="1"/>
    <x:col min="3" max="3" width="9.28515625" customWidth="1"/>
    <x:col min="4" max="4" width="72.42578125" customWidth="1"/>
    <x:col min="5" max="6" width="10" customWidth="1"/>
    <x:col min="7" max="7" width="15.7109375" customWidth="1"/>
    <x:col min="8" max="8" width="9.28515625" customWidth="1"/>
    <x:col min="11" max="11" width="36.42578125" customWidth="1"/>
  </x:cols>
  <x:sheetData>
    <x:row r="1" ht="39.75" customHeight="1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4</x:v>
      </x:c>
      <x:c r="G1" s="3" t="s">
        <x:v>5</x:v>
      </x:c>
      <x:c r="H1" s="4" t="s">
        <x:v>6</x:v>
      </x:c>
      <x:c r="I1" s="4" t="s">
        <x:v>7</x:v>
      </x:c>
      <x:c r="J1" s="4" t="s">
        <x:v>8</x:v>
      </x:c>
      <x:c r="K1" s="1" t="s">
        <x:v>9</x:v>
      </x:c>
    </x:row>
    <x:row r="2" ht="39.75" customHeight="1">
      <x:c r="A2" s="5" t="str">
        <x:f>D2</x:f>
        <x:v>ГРЩ (B01, B02, B03)</x:v>
      </x:c>
      <x:c r="B2" s="6"/>
      <x:c r="C2" s="7"/>
      <x:c r="D2" s="6" t="s">
        <x:v>10</x:v>
      </x:c>
      <x:c r="E2" s="8"/>
      <x:c r="F2" s="8"/>
      <x:c r="G2" s="9"/>
      <x:c r="H2" s="10">
        <x:v>1</x:v>
      </x:c>
      <x:c r="I2" s="11" t="s">
        <x:v>11</x:v>
      </x:c>
      <x:c r="J2" s="6" t="s">
        <x:v>12</x:v>
      </x:c>
      <x:c r="K2" s="5" t="s">
        <x:v>13</x:v>
      </x:c>
    </x:row>
    <x:row r="3" ht="21" customHeight="1">
      <x:c r="A3" s="12" t="str">
        <x:f>A2</x:f>
        <x:v>ГРЩ (B01, B02, B03)</x:v>
      </x:c>
      <x:c r="B3" s="13" t="s">
        <x:v>14</x:v>
      </x:c>
      <x:c r="C3" s="14" t="s">
        <x:v>15</x:v>
      </x:c>
      <x:c r="D3" s="12" t="s">
        <x:v>16</x:v>
      </x:c>
      <x:c r="E3" s="13">
        <x:v>13410</x:v>
      </x:c>
      <x:c r="F3" s="15" t="n">
        <x:f>E3*0.6</x:f>
        <x:v>8046</x:v>
      </x:c>
      <x:c r="G3" s="15" t="n">
        <x:f>H3*F3</x:f>
        <x:v>8046</x:v>
      </x:c>
      <x:c r="H3" s="16">
        <x:v>1</x:v>
      </x:c>
      <x:c r="I3" s="17" t="s">
        <x:v>17</x:v>
      </x:c>
      <x:c r="J3" s="13" t="s">
        <x:v>18</x:v>
      </x:c>
      <x:c r="K3" s="12" t="str">
        <x:f>K2</x:f>
        <x:v>B01, B02, B03</x:v>
      </x:c>
    </x:row>
    <x:row r="4" ht="21" customHeight="1">
      <x:c r="A4" s="12" t="str">
        <x:f t="shared" ref="A4:A11" si="0">A3</x:f>
        <x:v>ГРЩ (B01, B02, B03)</x:v>
      </x:c>
      <x:c r="B4" s="13" t="s">
        <x:v>19</x:v>
      </x:c>
      <x:c r="C4" s="14" t="s">
        <x:v>20</x:v>
      </x:c>
      <x:c r="D4" s="12" t="s">
        <x:v>21</x:v>
      </x:c>
      <x:c r="E4" s="13">
        <x:v>19760</x:v>
      </x:c>
      <x:c r="F4" s="15" t="n">
        <x:f t="shared" ref="F4" si="1">E4*0.6</x:f>
        <x:v>11856</x:v>
      </x:c>
      <x:c r="G4" s="15" t="n">
        <x:f t="shared" ref="G4" si="2">F4*H4</x:f>
        <x:v>11856</x:v>
      </x:c>
      <x:c r="H4" s="16">
        <x:v>1</x:v>
      </x:c>
      <x:c r="I4" s="17" t="s">
        <x:v>17</x:v>
      </x:c>
      <x:c r="J4" s="13" t="s">
        <x:v>22</x:v>
      </x:c>
      <x:c r="K4" s="12" t="str">
        <x:f t="shared" ref="K4:K11" si="3">K3</x:f>
        <x:v>B01, B02, B03</x:v>
      </x:c>
    </x:row>
    <x:row r="5" ht="21" customHeight="1">
      <x:c r="A5" s="12" t="str">
        <x:f t="shared" si="0"/>
        <x:v>ГРЩ (B01, B02, B03)</x:v>
      </x:c>
      <x:c r="B5" s="13" t="s">
        <x:v>23</x:v>
      </x:c>
      <x:c r="C5" s="14" t="s">
        <x:v>24</x:v>
      </x:c>
      <x:c r="D5" s="12" t="s">
        <x:v>25</x:v>
      </x:c>
      <x:c r="E5" s="13">
        <x:v>11015</x:v>
      </x:c>
      <x:c r="F5" s="15" t="n">
        <x:f t="shared" ref="F5" si="4">E5*0.6</x:f>
        <x:v>6609</x:v>
      </x:c>
      <x:c r="G5" s="15" t="n">
        <x:f t="shared" ref="G5" si="5">F5*H5</x:f>
        <x:v>6609</x:v>
      </x:c>
      <x:c r="H5" s="16">
        <x:v>1</x:v>
      </x:c>
      <x:c r="I5" s="17" t="s">
        <x:v>17</x:v>
      </x:c>
      <x:c r="J5" s="13" t="s">
        <x:v>22</x:v>
      </x:c>
      <x:c r="K5" s="12" t="str">
        <x:f t="shared" si="3"/>
        <x:v>B01, B02, B03</x:v>
      </x:c>
    </x:row>
    <x:row r="6" ht="21" customHeight="1">
      <x:c r="A6" s="12" t="str">
        <x:f t="shared" si="0"/>
        <x:v>ГРЩ (B01, B02, B03)</x:v>
      </x:c>
      <x:c r="B6" s="13" t="s">
        <x:v>23</x:v>
      </x:c>
      <x:c r="C6" s="14" t="s">
        <x:v>26</x:v>
      </x:c>
      <x:c r="D6" s="12" t="s">
        <x:v>27</x:v>
      </x:c>
      <x:c r="E6" s="13">
        <x:v>2337</x:v>
      </x:c>
      <x:c r="F6" s="15" t="n">
        <x:f>E6*0.6</x:f>
        <x:v>1402.2</x:v>
      </x:c>
      <x:c r="G6" s="15" t="n">
        <x:f>F6*H6</x:f>
        <x:v>4206.6</x:v>
      </x:c>
      <x:c r="H6" s="16">
        <x:v>3</x:v>
      </x:c>
      <x:c r="I6" s="17" t="s">
        <x:v>17</x:v>
      </x:c>
      <x:c r="J6" s="13" t="s">
        <x:v>22</x:v>
      </x:c>
      <x:c r="K6" s="12" t="str">
        <x:f t="shared" si="3"/>
        <x:v>B01, B02, B03</x:v>
      </x:c>
    </x:row>
    <x:row r="7" ht="21" customHeight="1">
      <x:c r="A7" s="12" t="str">
        <x:f t="shared" si="0"/>
        <x:v>ГРЩ (B01, B02, B03)</x:v>
      </x:c>
      <x:c r="B7" s="13" t="s">
        <x:v>23</x:v>
      </x:c>
      <x:c r="C7" s="14" t="s">
        <x:v>28</x:v>
      </x:c>
      <x:c r="D7" s="12" t="s">
        <x:v>29</x:v>
      </x:c>
      <x:c r="E7" s="13">
        <x:v>1389</x:v>
      </x:c>
      <x:c r="F7" s="15" t="n">
        <x:f>E7*0.6</x:f>
        <x:v>833.4</x:v>
      </x:c>
      <x:c r="G7" s="15" t="n">
        <x:f>F7*H7</x:f>
        <x:v>4167</x:v>
      </x:c>
      <x:c r="H7" s="16">
        <x:v>5</x:v>
      </x:c>
      <x:c r="I7" s="17" t="s">
        <x:v>17</x:v>
      </x:c>
      <x:c r="J7" s="13" t="s">
        <x:v>22</x:v>
      </x:c>
      <x:c r="K7" s="12" t="str">
        <x:f t="shared" si="3"/>
        <x:v>B01, B02, B03</x:v>
      </x:c>
    </x:row>
    <x:row r="8" ht="21" customHeight="1">
      <x:c r="A8" s="12" t="str">
        <x:f t="shared" ref="A8" si="6">A7</x:f>
        <x:v>ГРЩ (B01, B02, B03)</x:v>
      </x:c>
      <x:c r="B8" s="13" t="s">
        <x:v>30</x:v>
      </x:c>
      <x:c r="C8" s="14" t="s">
        <x:v>31</x:v>
      </x:c>
      <x:c r="D8" s="12" t="s">
        <x:v>32</x:v>
      </x:c>
      <x:c r="E8" s="13">
        <x:v>4160</x:v>
      </x:c>
      <x:c r="F8" s="15" t="n">
        <x:f>E8*0.6</x:f>
        <x:v>2496</x:v>
      </x:c>
      <x:c r="G8" s="15" t="n">
        <x:f>F8*H8</x:f>
        <x:v>2496</x:v>
      </x:c>
      <x:c r="H8" s="16">
        <x:v>1</x:v>
      </x:c>
      <x:c r="I8" s="17" t="s">
        <x:v>17</x:v>
      </x:c>
      <x:c r="J8" s="13" t="s">
        <x:v>22</x:v>
      </x:c>
      <x:c r="K8" s="12" t="str">
        <x:f t="shared" ref="K8" si="7">K7</x:f>
        <x:v>B01, B02, B03</x:v>
      </x:c>
    </x:row>
    <x:row r="9" ht="24" customHeight="1">
      <x:c r="A9" s="12" t="str">
        <x:f>A7</x:f>
        <x:v>ГРЩ (B01, B02, B03)</x:v>
      </x:c>
      <x:c r="B9" s="12" t="s">
        <x:v>33</x:v>
      </x:c>
      <x:c r="C9" s="18" t="s">
        <x:v>33</x:v>
      </x:c>
      <x:c r="D9" s="12" t="s">
        <x:v>33</x:v>
      </x:c>
      <x:c r="E9" s="12">
        <x:f>OFFSET(E9,1,2)</x:f>
        <x:v>0</x:v>
      </x:c>
      <x:c r="F9" s="15" t="n">
        <x:f>E9</x:f>
        <x:v>0</x:v>
      </x:c>
      <x:c r="G9" s="15" t="n">
        <x:f t="shared" ref="G9" si="8">F9*H9</x:f>
        <x:v>0</x:v>
      </x:c>
      <x:c r="H9" s="12"/>
      <x:c r="I9" s="12" t="s">
        <x:v>17</x:v>
      </x:c>
      <x:c r="J9" s="12" t="s">
        <x:v>33</x:v>
      </x:c>
      <x:c r="K9" s="12" t="str">
        <x:f>K7</x:f>
        <x:v>B01, B02, B03</x:v>
      </x:c>
    </x:row>
    <x:row r="10" ht="21" customHeight="1">
      <x:c r="A10" s="12" t="str">
        <x:f t="shared" si="0"/>
        <x:v>ГРЩ (B01, B02, B03)</x:v>
      </x:c>
      <x:c r="B10" s="12" t="s">
        <x:v>34</x:v>
      </x:c>
      <x:c r="C10" s="18" t="s">
        <x:v>34</x:v>
      </x:c>
      <x:c r="D10" s="12" t="s">
        <x:v>34</x:v>
      </x:c>
      <x:c r="E10" s="12"/>
      <x:c r="F10" s="15">
        <x:v>100</x:v>
      </x:c>
      <x:c r="G10" s="15" t="n">
        <x:f>60*E10*F10</x:f>
        <x:v>0</x:v>
      </x:c>
      <x:c r="H10" s="12" t="n">
        <x:f>60*E10</x:f>
        <x:v>0</x:v>
      </x:c>
      <x:c r="I10" s="12" t="s">
        <x:v>17</x:v>
      </x:c>
      <x:c r="J10" s="12" t="s">
        <x:v>34</x:v>
      </x:c>
      <x:c r="K10" s="12" t="str">
        <x:f t="shared" si="3"/>
        <x:v>B01, B02, B03</x:v>
      </x:c>
    </x:row>
    <x:row r="11" ht="30" customHeight="1">
      <x:c r="A11" s="12" t="str">
        <x:f t="shared" si="0"/>
        <x:v>ГРЩ (B01, B02, B03)</x:v>
      </x:c>
      <x:c r="B11" s="19"/>
      <x:c r="C11" s="20"/>
      <x:c r="D11" s="21"/>
      <x:c r="E11" s="23"/>
      <x:c r="F11" s="25"/>
      <x:c r="G11" s="24" t="n">
        <x:f>SUM(G3:G10)</x:f>
        <x:v>37380.6</x:v>
      </x:c>
      <x:c r="H11" s="20"/>
      <x:c r="I11" s="22"/>
      <x:c r="J11" s="20"/>
      <x:c r="K11" s="12" t="str">
        <x:f t="shared" si="3"/>
        <x:v>B01, B02, B03</x:v>
      </x:c>
    </x:row>
    <x:row r="12" ht="39.75" customHeight="1">
      <x:c r="A12" s="5" t="str">
        <x:f>D12</x:f>
        <x:v>РПВ (B01, B02, B03)</x:v>
      </x:c>
      <x:c r="B12" s="6"/>
      <x:c r="C12" s="7"/>
      <x:c r="D12" s="6" t="s">
        <x:v>35</x:v>
      </x:c>
      <x:c r="E12" s="8"/>
      <x:c r="F12" s="8"/>
      <x:c r="G12" s="9"/>
      <x:c r="H12" s="10">
        <x:v>1</x:v>
      </x:c>
      <x:c r="I12" s="11" t="s">
        <x:v>11</x:v>
      </x:c>
      <x:c r="J12" s="6" t="s">
        <x:v>12</x:v>
      </x:c>
      <x:c r="K12" s="5" t="s">
        <x:v>13</x:v>
      </x:c>
    </x:row>
    <x:row r="13" ht="21" customHeight="1">
      <x:c r="A13" s="12" t="str">
        <x:f>A12</x:f>
        <x:v>РПВ (B01, B02, B03)</x:v>
      </x:c>
      <x:c r="B13" s="13" t="s">
        <x:v>14</x:v>
      </x:c>
      <x:c r="C13" s="14" t="s">
        <x:v>36</x:v>
      </x:c>
      <x:c r="D13" s="12" t="s">
        <x:v>37</x:v>
      </x:c>
      <x:c r="E13" s="13">
        <x:v>14695</x:v>
      </x:c>
      <x:c r="F13" s="15" t="n">
        <x:f>E13*0.6</x:f>
        <x:v>8817</x:v>
      </x:c>
      <x:c r="G13" s="15" t="n">
        <x:f>H13*F13</x:f>
        <x:v>8817</x:v>
      </x:c>
      <x:c r="H13" s="16">
        <x:v>1</x:v>
      </x:c>
      <x:c r="I13" s="17" t="s">
        <x:v>17</x:v>
      </x:c>
      <x:c r="J13" s="13" t="s">
        <x:v>18</x:v>
      </x:c>
      <x:c r="K13" s="12" t="str">
        <x:f>K12</x:f>
        <x:v>B01, B02, B03</x:v>
      </x:c>
    </x:row>
    <x:row r="14" ht="21" customHeight="1">
      <x:c r="A14" s="12" t="str">
        <x:f t="shared" ref="A14:A19" si="9">A13</x:f>
        <x:v>РПВ (B01, B02, B03)</x:v>
      </x:c>
      <x:c r="B14" s="13" t="s">
        <x:v>23</x:v>
      </x:c>
      <x:c r="C14" s="14" t="s">
        <x:v>24</x:v>
      </x:c>
      <x:c r="D14" s="12" t="s">
        <x:v>25</x:v>
      </x:c>
      <x:c r="E14" s="13">
        <x:v>11015</x:v>
      </x:c>
      <x:c r="F14" s="15" t="n">
        <x:f t="shared" ref="F14" si="10">E14*0.6</x:f>
        <x:v>6609</x:v>
      </x:c>
      <x:c r="G14" s="15" t="n">
        <x:f t="shared" ref="G14" si="11">F14*H14</x:f>
        <x:v>6609</x:v>
      </x:c>
      <x:c r="H14" s="16">
        <x:v>1</x:v>
      </x:c>
      <x:c r="I14" s="17" t="s">
        <x:v>17</x:v>
      </x:c>
      <x:c r="J14" s="13" t="s">
        <x:v>22</x:v>
      </x:c>
      <x:c r="K14" s="12" t="str">
        <x:f t="shared" ref="K14:K19" si="12">K13</x:f>
        <x:v>B01, B02, B03</x:v>
      </x:c>
    </x:row>
    <x:row r="15" ht="21" customHeight="1">
      <x:c r="A15" s="12" t="str">
        <x:f t="shared" si="9"/>
        <x:v>РПВ (B01, B02, B03)</x:v>
      </x:c>
      <x:c r="B15" s="13" t="s">
        <x:v>23</x:v>
      </x:c>
      <x:c r="C15" s="14" t="s">
        <x:v>26</x:v>
      </x:c>
      <x:c r="D15" s="12" t="s">
        <x:v>27</x:v>
      </x:c>
      <x:c r="E15" s="13">
        <x:v>2337</x:v>
      </x:c>
      <x:c r="F15" s="15" t="n">
        <x:f>E15*0.6</x:f>
        <x:v>1402.2</x:v>
      </x:c>
      <x:c r="G15" s="15" t="n">
        <x:f>F15*H15</x:f>
        <x:v>4206.6</x:v>
      </x:c>
      <x:c r="H15" s="16">
        <x:v>3</x:v>
      </x:c>
      <x:c r="I15" s="17" t="s">
        <x:v>17</x:v>
      </x:c>
      <x:c r="J15" s="13" t="s">
        <x:v>22</x:v>
      </x:c>
      <x:c r="K15" s="12" t="str">
        <x:f t="shared" si="12"/>
        <x:v>B01, B02, B03</x:v>
      </x:c>
    </x:row>
    <x:row r="16" ht="21" customHeight="1">
      <x:c r="A16" s="12" t="str">
        <x:f t="shared" si="9"/>
        <x:v>РПВ (B01, B02, B03)</x:v>
      </x:c>
      <x:c r="B16" s="13" t="s">
        <x:v>23</x:v>
      </x:c>
      <x:c r="C16" s="14" t="s">
        <x:v>28</x:v>
      </x:c>
      <x:c r="D16" s="12" t="s">
        <x:v>29</x:v>
      </x:c>
      <x:c r="E16" s="13">
        <x:v>1389</x:v>
      </x:c>
      <x:c r="F16" s="15" t="n">
        <x:f>E16*0.6</x:f>
        <x:v>833.4</x:v>
      </x:c>
      <x:c r="G16" s="15" t="n">
        <x:f>F16*H16</x:f>
        <x:v>4167</x:v>
      </x:c>
      <x:c r="H16" s="16">
        <x:v>5</x:v>
      </x:c>
      <x:c r="I16" s="17" t="s">
        <x:v>17</x:v>
      </x:c>
      <x:c r="J16" s="13" t="s">
        <x:v>22</x:v>
      </x:c>
      <x:c r="K16" s="12" t="str">
        <x:f t="shared" si="12"/>
        <x:v>B01, B02, B03</x:v>
      </x:c>
    </x:row>
    <x:row r="17" ht="24" customHeight="1">
      <x:c r="A17" s="12" t="str">
        <x:f t="shared" si="9"/>
        <x:v>РПВ (B01, B02, B03)</x:v>
      </x:c>
      <x:c r="B17" s="12" t="s">
        <x:v>33</x:v>
      </x:c>
      <x:c r="C17" s="18" t="s">
        <x:v>33</x:v>
      </x:c>
      <x:c r="D17" s="12" t="s">
        <x:v>33</x:v>
      </x:c>
      <x:c r="E17" s="12">
        <x:f>OFFSET(E17,1,2)</x:f>
        <x:v>0</x:v>
      </x:c>
      <x:c r="F17" s="15" t="n">
        <x:f>E17</x:f>
        <x:v>0</x:v>
      </x:c>
      <x:c r="G17" s="15" t="n">
        <x:f t="shared" ref="G17" si="13">F17*H17</x:f>
        <x:v>0</x:v>
      </x:c>
      <x:c r="H17" s="12"/>
      <x:c r="I17" s="12" t="s">
        <x:v>17</x:v>
      </x:c>
      <x:c r="J17" s="12" t="s">
        <x:v>33</x:v>
      </x:c>
      <x:c r="K17" s="12" t="str">
        <x:f t="shared" si="12"/>
        <x:v>B01, B02, B03</x:v>
      </x:c>
    </x:row>
    <x:row r="18" ht="21" customHeight="1">
      <x:c r="A18" s="12" t="str">
        <x:f t="shared" si="9"/>
        <x:v>РПВ (B01, B02, B03)</x:v>
      </x:c>
      <x:c r="B18" s="12" t="s">
        <x:v>34</x:v>
      </x:c>
      <x:c r="C18" s="18" t="s">
        <x:v>34</x:v>
      </x:c>
      <x:c r="D18" s="12" t="s">
        <x:v>34</x:v>
      </x:c>
      <x:c r="E18" s="12"/>
      <x:c r="F18" s="15">
        <x:v>100</x:v>
      </x:c>
      <x:c r="G18" s="15" t="n">
        <x:f>60*E18*F18</x:f>
        <x:v>0</x:v>
      </x:c>
      <x:c r="H18" s="12" t="n">
        <x:f>60*E18</x:f>
        <x:v>0</x:v>
      </x:c>
      <x:c r="I18" s="12" t="s">
        <x:v>17</x:v>
      </x:c>
      <x:c r="J18" s="12" t="s">
        <x:v>34</x:v>
      </x:c>
      <x:c r="K18" s="12" t="str">
        <x:f t="shared" si="12"/>
        <x:v>B01, B02, B03</x:v>
      </x:c>
    </x:row>
    <x:row r="19" ht="30" customHeight="1">
      <x:c r="A19" s="12" t="str">
        <x:f t="shared" si="9"/>
        <x:v>РПВ (B01, B02, B03)</x:v>
      </x:c>
      <x:c r="B19" s="19"/>
      <x:c r="C19" s="20"/>
      <x:c r="D19" s="21"/>
      <x:c r="E19" s="23"/>
      <x:c r="F19" s="25"/>
      <x:c r="G19" s="24" t="n">
        <x:f>SUM(G13:G18)</x:f>
        <x:v>23799.6</x:v>
      </x:c>
      <x:c r="H19" s="20"/>
      <x:c r="I19" s="22"/>
      <x:c r="J19" s="20"/>
      <x:c r="K19" s="12" t="str">
        <x:f t="shared" si="12"/>
        <x:v>B01, B02, B03</x:v>
      </x:c>
    </x:row>
    <x:row r="20" ht="39.75" customHeight="1">
      <x:c r="A20" s="5" t="str">
        <x:f>D20</x:f>
        <x:v> ЯВЗ-31-IP54 УХЛ2 100А</x:v>
      </x:c>
      <x:c r="B20" s="6"/>
      <x:c r="C20" s="7"/>
      <x:c r="D20" s="6" t="s">
        <x:v>38</x:v>
      </x:c>
      <x:c r="E20" s="8"/>
      <x:c r="F20" s="8"/>
      <x:c r="G20" s="9"/>
      <x:c r="H20" s="10">
        <x:v>1</x:v>
      </x:c>
      <x:c r="I20" s="11" t="s">
        <x:v>11</x:v>
      </x:c>
      <x:c r="J20" s="6" t="s">
        <x:v>12</x:v>
      </x:c>
      <x:c r="K20" s="5" t="s">
        <x:v>13</x:v>
      </x:c>
    </x:row>
    <x:row r="21" ht="21" customHeight="1">
      <x:c r="A21" s="12" t="str">
        <x:f>A20</x:f>
        <x:v> ЯВЗ-31-IP54 УХЛ2 100А</x:v>
      </x:c>
      <x:c r="B21" s="13" t="s">
        <x:v>14</x:v>
      </x:c>
      <x:c r="C21" s="14" t="s">
        <x:v>39</x:v>
      </x:c>
      <x:c r="D21" s="12" t="s">
        <x:v>40</x:v>
      </x:c>
      <x:c r="E21" s="13"/>
      <x:c r="F21" s="15" t="n">
        <x:f>E21*0.6</x:f>
        <x:v>0</x:v>
      </x:c>
      <x:c r="G21" s="15" t="n">
        <x:f>H21*F21</x:f>
        <x:v>0</x:v>
      </x:c>
      <x:c r="H21" s="16">
        <x:v>1</x:v>
      </x:c>
      <x:c r="I21" s="17" t="s">
        <x:v>17</x:v>
      </x:c>
      <x:c r="J21" s="13" t="s">
        <x:v>18</x:v>
      </x:c>
      <x:c r="K21" s="12" t="str">
        <x:f>K20</x:f>
        <x:v>B01, B02, B03</x:v>
      </x:c>
    </x:row>
    <x:row r="22" ht="21" customHeight="1">
      <x:c r="A22" s="12" t="str">
        <x:f t="shared" ref="A22:A27" si="14">A21</x:f>
        <x:v> ЯВЗ-31-IP54 УХЛ2 100А</x:v>
      </x:c>
      <x:c r="B22" s="13" t="s">
        <x:v>41</x:v>
      </x:c>
      <x:c r="C22" s="14" t="s">
        <x:v>42</x:v>
      </x:c>
      <x:c r="D22" s="12" t="s">
        <x:v>43</x:v>
      </x:c>
      <x:c r="E22" s="13">
        <x:v>1545</x:v>
      </x:c>
      <x:c r="F22" s="15" t="n">
        <x:f>E22*0.6</x:f>
        <x:v>927</x:v>
      </x:c>
      <x:c r="G22" s="15" t="n">
        <x:f>F22*H22</x:f>
        <x:v>2781</x:v>
      </x:c>
      <x:c r="H22" s="16">
        <x:v>3</x:v>
      </x:c>
      <x:c r="I22" s="17" t="s">
        <x:v>17</x:v>
      </x:c>
      <x:c r="J22" s="13" t="s">
        <x:v>22</x:v>
      </x:c>
      <x:c r="K22" s="12" t="str">
        <x:f t="shared" ref="K22:K27" si="15">K21</x:f>
        <x:v>B01, B02, B03</x:v>
      </x:c>
    </x:row>
    <x:row r="23" ht="21" customHeight="1">
      <x:c r="A23" s="12" t="str">
        <x:f t="shared" si="14"/>
        <x:v> ЯВЗ-31-IP54 УХЛ2 100А</x:v>
      </x:c>
      <x:c r="B23" s="13" t="s">
        <x:v>41</x:v>
      </x:c>
      <x:c r="C23" s="14" t="s">
        <x:v>44</x:v>
      </x:c>
      <x:c r="D23" s="12" t="s">
        <x:v>45</x:v>
      </x:c>
      <x:c r="E23" s="13">
        <x:v>2038</x:v>
      </x:c>
      <x:c r="F23" s="15" t="n">
        <x:f>E23*0.6</x:f>
        <x:v>1222.8</x:v>
      </x:c>
      <x:c r="G23" s="15" t="n">
        <x:f>F23*H23</x:f>
        <x:v>3668.3999999999996</x:v>
      </x:c>
      <x:c r="H23" s="16">
        <x:v>3</x:v>
      </x:c>
      <x:c r="I23" s="17" t="s">
        <x:v>17</x:v>
      </x:c>
      <x:c r="J23" s="13" t="s">
        <x:v>22</x:v>
      </x:c>
      <x:c r="K23" s="12" t="str">
        <x:f t="shared" si="15"/>
        <x:v>B01, B02, B03</x:v>
      </x:c>
    </x:row>
    <x:row r="24" ht="21" customHeight="1">
      <x:c r="A24" s="12" t="str">
        <x:f t="shared" si="14"/>
        <x:v> ЯВЗ-31-IP54 УХЛ2 100А</x:v>
      </x:c>
      <x:c r="B24" s="13" t="s">
        <x:v>46</x:v>
      </x:c>
      <x:c r="C24" s="14" t="s">
        <x:v>47</x:v>
      </x:c>
      <x:c r="D24" s="12" t="s">
        <x:v>48</x:v>
      </x:c>
      <x:c r="E24" s="13">
        <x:v>6835</x:v>
      </x:c>
      <x:c r="F24" s="15" t="n">
        <x:f>E24</x:f>
        <x:v>6835</x:v>
      </x:c>
      <x:c r="G24" s="15" t="n">
        <x:f>F24*H24</x:f>
        <x:v>6835</x:v>
      </x:c>
      <x:c r="H24" s="16">
        <x:v>1</x:v>
      </x:c>
      <x:c r="I24" s="17" t="s">
        <x:v>17</x:v>
      </x:c>
      <x:c r="J24" s="13" t="s">
        <x:v>49</x:v>
      </x:c>
      <x:c r="K24" s="12" t="str">
        <x:f t="shared" si="15"/>
        <x:v>B01, B02, B03</x:v>
      </x:c>
    </x:row>
    <x:row r="25" ht="24" customHeight="1">
      <x:c r="A25" s="12" t="str">
        <x:f t="shared" si="14"/>
        <x:v> ЯВЗ-31-IP54 УХЛ2 100А</x:v>
      </x:c>
      <x:c r="B25" s="12" t="s">
        <x:v>33</x:v>
      </x:c>
      <x:c r="C25" s="18" t="s">
        <x:v>33</x:v>
      </x:c>
      <x:c r="D25" s="12" t="s">
        <x:v>33</x:v>
      </x:c>
      <x:c r="E25" s="12">
        <x:f>OFFSET(E25,1,2)</x:f>
        <x:v>0</x:v>
      </x:c>
      <x:c r="F25" s="15" t="n">
        <x:f>E25</x:f>
        <x:v>0</x:v>
      </x:c>
      <x:c r="G25" s="15" t="n">
        <x:f t="shared" ref="G25" si="16">F25*H25</x:f>
        <x:v>0</x:v>
      </x:c>
      <x:c r="H25" s="12"/>
      <x:c r="I25" s="12" t="s">
        <x:v>17</x:v>
      </x:c>
      <x:c r="J25" s="12" t="s">
        <x:v>33</x:v>
      </x:c>
      <x:c r="K25" s="12" t="str">
        <x:f t="shared" si="15"/>
        <x:v>B01, B02, B03</x:v>
      </x:c>
    </x:row>
    <x:row r="26" ht="21" customHeight="1">
      <x:c r="A26" s="12" t="str">
        <x:f t="shared" si="14"/>
        <x:v> ЯВЗ-31-IP54 УХЛ2 100А</x:v>
      </x:c>
      <x:c r="B26" s="12" t="s">
        <x:v>34</x:v>
      </x:c>
      <x:c r="C26" s="18" t="s">
        <x:v>34</x:v>
      </x:c>
      <x:c r="D26" s="12" t="s">
        <x:v>34</x:v>
      </x:c>
      <x:c r="E26" s="12"/>
      <x:c r="F26" s="15">
        <x:v>100</x:v>
      </x:c>
      <x:c r="G26" s="15" t="n">
        <x:f>60*E26*F26</x:f>
        <x:v>0</x:v>
      </x:c>
      <x:c r="H26" s="12" t="n">
        <x:f>60*E26</x:f>
        <x:v>0</x:v>
      </x:c>
      <x:c r="I26" s="12" t="s">
        <x:v>17</x:v>
      </x:c>
      <x:c r="J26" s="12" t="s">
        <x:v>34</x:v>
      </x:c>
      <x:c r="K26" s="12" t="str">
        <x:f t="shared" si="15"/>
        <x:v>B01, B02, B03</x:v>
      </x:c>
    </x:row>
    <x:row r="27" ht="30" customHeight="1">
      <x:c r="A27" s="12" t="str">
        <x:f t="shared" si="14"/>
        <x:v> ЯВЗ-31-IP54 УХЛ2 100А</x:v>
      </x:c>
      <x:c r="B27" s="19"/>
      <x:c r="C27" s="20"/>
      <x:c r="D27" s="21"/>
      <x:c r="E27" s="23"/>
      <x:c r="F27" s="25"/>
      <x:c r="G27" s="24" t="n">
        <x:f>SUM(G21:G26)</x:f>
        <x:v>13284.4</x:v>
      </x:c>
      <x:c r="H27" s="20"/>
      <x:c r="I27" s="22"/>
      <x:c r="J27" s="20"/>
      <x:c r="K27" s="12" t="str">
        <x:f t="shared" si="15"/>
        <x:v>B01, B02, B03</x:v>
      </x:c>
    </x:row>
    <x:row r="28" ht="39.75" customHeight="1">
      <x:c r="A28" s="5" t="str">
        <x:f>D28</x:f>
        <x:v>ЯТП-0,25-220/36 036УХЛ4</x:v>
      </x:c>
      <x:c r="B28" s="6"/>
      <x:c r="C28" s="7"/>
      <x:c r="D28" s="6" t="s">
        <x:v>50</x:v>
      </x:c>
      <x:c r="E28" s="8"/>
      <x:c r="F28" s="8"/>
      <x:c r="G28" s="9"/>
      <x:c r="H28" s="10">
        <x:v>1</x:v>
      </x:c>
      <x:c r="I28" s="11" t="s">
        <x:v>11</x:v>
      </x:c>
      <x:c r="J28" s="6" t="s">
        <x:v>12</x:v>
      </x:c>
      <x:c r="K28" s="5" t="s">
        <x:v>13</x:v>
      </x:c>
    </x:row>
    <x:row r="29" ht="39.75" customHeight="1">
      <x:c r="A29" s="5" t="str">
        <x:f>D29</x:f>
        <x:v>ГРЩ (В08)</x:v>
      </x:c>
      <x:c r="B29" s="6"/>
      <x:c r="C29" s="7"/>
      <x:c r="D29" s="6" t="s">
        <x:v>51</x:v>
      </x:c>
      <x:c r="E29" s="8"/>
      <x:c r="F29" s="8"/>
      <x:c r="G29" s="9"/>
      <x:c r="H29" s="10">
        <x:v>1</x:v>
      </x:c>
      <x:c r="I29" s="11" t="s">
        <x:v>11</x:v>
      </x:c>
      <x:c r="J29" s="6" t="s">
        <x:v>12</x:v>
      </x:c>
      <x:c r="K29" s="5" t="s">
        <x:v>52</x:v>
      </x:c>
    </x:row>
    <x:row r="30" ht="21" customHeight="1">
      <x:c r="A30" s="12" t="str">
        <x:f>A29</x:f>
        <x:v>ГРЩ (В08)</x:v>
      </x:c>
      <x:c r="B30" s="13" t="s">
        <x:v>14</x:v>
      </x:c>
      <x:c r="C30" s="14" t="s">
        <x:v>15</x:v>
      </x:c>
      <x:c r="D30" s="12" t="s">
        <x:v>16</x:v>
      </x:c>
      <x:c r="E30" s="13">
        <x:v>13410</x:v>
      </x:c>
      <x:c r="F30" s="15" t="n">
        <x:f>E30*0.6</x:f>
        <x:v>8046</x:v>
      </x:c>
      <x:c r="G30" s="15" t="n">
        <x:f>H30*F30</x:f>
        <x:v>8046</x:v>
      </x:c>
      <x:c r="H30" s="16">
        <x:v>1</x:v>
      </x:c>
      <x:c r="I30" s="17" t="s">
        <x:v>17</x:v>
      </x:c>
      <x:c r="J30" s="13" t="s">
        <x:v>18</x:v>
      </x:c>
      <x:c r="K30" s="12" t="str">
        <x:f>K29</x:f>
        <x:v>B08</x:v>
      </x:c>
    </x:row>
    <x:row r="31" ht="21" customHeight="1">
      <x:c r="A31" s="12" t="str">
        <x:f t="shared" ref="A31:A39" si="17">A30</x:f>
        <x:v>ГРЩ (В08)</x:v>
      </x:c>
      <x:c r="B31" s="13" t="s">
        <x:v>23</x:v>
      </x:c>
      <x:c r="C31" s="14" t="s">
        <x:v>53</x:v>
      </x:c>
      <x:c r="D31" s="12" t="s">
        <x:v>54</x:v>
      </x:c>
      <x:c r="E31" s="13">
        <x:v>10949</x:v>
      </x:c>
      <x:c r="F31" s="15" t="n">
        <x:f t="shared" ref="F31" si="18">E31*0.6</x:f>
        <x:v>6569.4</x:v>
      </x:c>
      <x:c r="G31" s="15" t="n">
        <x:f t="shared" ref="G31" si="19">F31*H31</x:f>
        <x:v>6569.4</x:v>
      </x:c>
      <x:c r="H31" s="16">
        <x:v>1</x:v>
      </x:c>
      <x:c r="I31" s="17" t="s">
        <x:v>17</x:v>
      </x:c>
      <x:c r="J31" s="13" t="s">
        <x:v>22</x:v>
      </x:c>
      <x:c r="K31" s="12" t="str">
        <x:f t="shared" ref="K31:K39" si="20">K30</x:f>
        <x:v>B08</x:v>
      </x:c>
    </x:row>
    <x:row r="32" ht="21" customHeight="1">
      <x:c r="A32" s="12" t="str">
        <x:f t="shared" si="17"/>
        <x:v>ГРЩ (В08)</x:v>
      </x:c>
      <x:c r="B32" s="13" t="s">
        <x:v>23</x:v>
      </x:c>
      <x:c r="C32" s="14" t="s">
        <x:v>55</x:v>
      </x:c>
      <x:c r="D32" s="12" t="s">
        <x:v>56</x:v>
      </x:c>
      <x:c r="E32" s="13">
        <x:v>3172</x:v>
      </x:c>
      <x:c r="F32" s="15" t="n">
        <x:f>E32*0.6</x:f>
        <x:v>1903.1999999999998</x:v>
      </x:c>
      <x:c r="G32" s="15" t="n">
        <x:f>F32*H32</x:f>
        <x:v>1903.1999999999998</x:v>
      </x:c>
      <x:c r="H32" s="16">
        <x:v>1</x:v>
      </x:c>
      <x:c r="I32" s="17" t="s">
        <x:v>17</x:v>
      </x:c>
      <x:c r="J32" s="13" t="s">
        <x:v>22</x:v>
      </x:c>
      <x:c r="K32" s="12" t="str">
        <x:f t="shared" si="20"/>
        <x:v>B08</x:v>
      </x:c>
    </x:row>
    <x:row r="33" ht="21" customHeight="1">
      <x:c r="A33" s="12" t="str">
        <x:f t="shared" si="17"/>
        <x:v>ГРЩ (В08)</x:v>
      </x:c>
      <x:c r="B33" s="13" t="s">
        <x:v>23</x:v>
      </x:c>
      <x:c r="C33" s="14" t="s">
        <x:v>57</x:v>
      </x:c>
      <x:c r="D33" s="12" t="s">
        <x:v>58</x:v>
      </x:c>
      <x:c r="E33" s="13">
        <x:v>2429</x:v>
      </x:c>
      <x:c r="F33" s="15" t="n">
        <x:f>E33*0.6</x:f>
        <x:v>1457.3999999999999</x:v>
      </x:c>
      <x:c r="G33" s="15" t="n">
        <x:f>F33*H33</x:f>
        <x:v>1457.3999999999999</x:v>
      </x:c>
      <x:c r="H33" s="16">
        <x:v>1</x:v>
      </x:c>
      <x:c r="I33" s="17" t="s">
        <x:v>17</x:v>
      </x:c>
      <x:c r="J33" s="13" t="s">
        <x:v>22</x:v>
      </x:c>
      <x:c r="K33" s="12" t="str">
        <x:f t="shared" si="20"/>
        <x:v>B08</x:v>
      </x:c>
    </x:row>
    <x:row r="34" ht="21" customHeight="1">
      <x:c r="A34" s="12" t="str">
        <x:f t="shared" si="17"/>
        <x:v>ГРЩ (В08)</x:v>
      </x:c>
      <x:c r="B34" s="13" t="s">
        <x:v>23</x:v>
      </x:c>
      <x:c r="C34" s="14" t="s">
        <x:v>26</x:v>
      </x:c>
      <x:c r="D34" s="12" t="s">
        <x:v>27</x:v>
      </x:c>
      <x:c r="E34" s="13">
        <x:v>2337</x:v>
      </x:c>
      <x:c r="F34" s="15" t="n">
        <x:f>E34*0.6</x:f>
        <x:v>1402.2</x:v>
      </x:c>
      <x:c r="G34" s="15" t="n">
        <x:f>F34*H34</x:f>
        <x:v>1402.2</x:v>
      </x:c>
      <x:c r="H34" s="16">
        <x:v>1</x:v>
      </x:c>
      <x:c r="I34" s="17" t="s">
        <x:v>17</x:v>
      </x:c>
      <x:c r="J34" s="13" t="s">
        <x:v>22</x:v>
      </x:c>
      <x:c r="K34" s="12" t="str">
        <x:f t="shared" si="20"/>
        <x:v>B08</x:v>
      </x:c>
    </x:row>
    <x:row r="35" ht="21" customHeight="1">
      <x:c r="A35" s="12" t="str">
        <x:f t="shared" si="17"/>
        <x:v>ГРЩ (В08)</x:v>
      </x:c>
      <x:c r="B35" s="13" t="s">
        <x:v>23</x:v>
      </x:c>
      <x:c r="C35" s="14" t="s">
        <x:v>28</x:v>
      </x:c>
      <x:c r="D35" s="12" t="s">
        <x:v>29</x:v>
      </x:c>
      <x:c r="E35" s="13">
        <x:v>1389</x:v>
      </x:c>
      <x:c r="F35" s="15" t="n">
        <x:f>E35*0.6</x:f>
        <x:v>833.4</x:v>
      </x:c>
      <x:c r="G35" s="15" t="n">
        <x:f>F35*H35</x:f>
        <x:v>4167</x:v>
      </x:c>
      <x:c r="H35" s="16">
        <x:v>5</x:v>
      </x:c>
      <x:c r="I35" s="17" t="s">
        <x:v>17</x:v>
      </x:c>
      <x:c r="J35" s="13" t="s">
        <x:v>22</x:v>
      </x:c>
      <x:c r="K35" s="12" t="str">
        <x:f t="shared" si="20"/>
        <x:v>B08</x:v>
      </x:c>
    </x:row>
    <x:row r="36" ht="21" customHeight="1">
      <x:c r="A36" s="12" t="str">
        <x:f t="shared" si="17"/>
        <x:v>ГРЩ (В08)</x:v>
      </x:c>
      <x:c r="B36" s="13" t="s">
        <x:v>30</x:v>
      </x:c>
      <x:c r="C36" s="14" t="s">
        <x:v>59</x:v>
      </x:c>
      <x:c r="D36" s="12" t="s">
        <x:v>60</x:v>
      </x:c>
      <x:c r="E36" s="13">
        <x:v>5354</x:v>
      </x:c>
      <x:c r="F36" s="15" t="n">
        <x:f>E36*0.6</x:f>
        <x:v>3212.4</x:v>
      </x:c>
      <x:c r="G36" s="15" t="n">
        <x:f>F36*H36</x:f>
        <x:v>3212.4</x:v>
      </x:c>
      <x:c r="H36" s="16">
        <x:v>1</x:v>
      </x:c>
      <x:c r="I36" s="17" t="s">
        <x:v>17</x:v>
      </x:c>
      <x:c r="J36" s="13" t="s">
        <x:v>22</x:v>
      </x:c>
      <x:c r="K36" s="12" t="str">
        <x:f t="shared" si="20"/>
        <x:v>B08</x:v>
      </x:c>
    </x:row>
    <x:row r="37" ht="24" customHeight="1">
      <x:c r="A37" s="12" t="str">
        <x:f t="shared" si="17"/>
        <x:v>ГРЩ (В08)</x:v>
      </x:c>
      <x:c r="B37" s="12" t="s">
        <x:v>33</x:v>
      </x:c>
      <x:c r="C37" s="18" t="s">
        <x:v>33</x:v>
      </x:c>
      <x:c r="D37" s="12" t="s">
        <x:v>33</x:v>
      </x:c>
      <x:c r="E37" s="12">
        <x:f>OFFSET(E37,1,2)</x:f>
        <x:v>0</x:v>
      </x:c>
      <x:c r="F37" s="15" t="n">
        <x:f>E37</x:f>
        <x:v>0</x:v>
      </x:c>
      <x:c r="G37" s="15" t="n">
        <x:f t="shared" ref="G37" si="21">F37*H37</x:f>
        <x:v>0</x:v>
      </x:c>
      <x:c r="H37" s="12"/>
      <x:c r="I37" s="12" t="s">
        <x:v>17</x:v>
      </x:c>
      <x:c r="J37" s="12" t="s">
        <x:v>33</x:v>
      </x:c>
      <x:c r="K37" s="12" t="str">
        <x:f t="shared" si="20"/>
        <x:v>B08</x:v>
      </x:c>
    </x:row>
    <x:row r="38" ht="21" customHeight="1">
      <x:c r="A38" s="12" t="str">
        <x:f t="shared" si="17"/>
        <x:v>ГРЩ (В08)</x:v>
      </x:c>
      <x:c r="B38" s="12" t="s">
        <x:v>34</x:v>
      </x:c>
      <x:c r="C38" s="18" t="s">
        <x:v>34</x:v>
      </x:c>
      <x:c r="D38" s="12" t="s">
        <x:v>34</x:v>
      </x:c>
      <x:c r="E38" s="12"/>
      <x:c r="F38" s="15">
        <x:v>100</x:v>
      </x:c>
      <x:c r="G38" s="15" t="n">
        <x:f>60*E38*F38</x:f>
        <x:v>0</x:v>
      </x:c>
      <x:c r="H38" s="12" t="n">
        <x:f>60*E38</x:f>
        <x:v>0</x:v>
      </x:c>
      <x:c r="I38" s="12" t="s">
        <x:v>17</x:v>
      </x:c>
      <x:c r="J38" s="12" t="s">
        <x:v>34</x:v>
      </x:c>
      <x:c r="K38" s="12" t="str">
        <x:f t="shared" si="20"/>
        <x:v>B08</x:v>
      </x:c>
    </x:row>
    <x:row r="39" ht="30" customHeight="1">
      <x:c r="A39" s="12" t="str">
        <x:f t="shared" si="17"/>
        <x:v>ГРЩ (В08)</x:v>
      </x:c>
      <x:c r="B39" s="19"/>
      <x:c r="C39" s="20"/>
      <x:c r="D39" s="21"/>
      <x:c r="E39" s="23"/>
      <x:c r="F39" s="25"/>
      <x:c r="G39" s="24" t="n">
        <x:f>SUM(G30:G38)</x:f>
        <x:v>26757.600000000002</x:v>
      </x:c>
      <x:c r="H39" s="20"/>
      <x:c r="I39" s="22"/>
      <x:c r="J39" s="20"/>
      <x:c r="K39" s="12" t="str">
        <x:f t="shared" si="20"/>
        <x:v>B08</x:v>
      </x:c>
    </x:row>
    <x:row r="40" ht="39.75" customHeight="1">
      <x:c r="A40" s="5" t="str">
        <x:f>D40</x:f>
        <x:v>РПВ (В08)</x:v>
      </x:c>
      <x:c r="B40" s="6"/>
      <x:c r="C40" s="7"/>
      <x:c r="D40" s="6" t="s">
        <x:v>61</x:v>
      </x:c>
      <x:c r="E40" s="8"/>
      <x:c r="F40" s="8"/>
      <x:c r="G40" s="9"/>
      <x:c r="H40" s="10">
        <x:v>1</x:v>
      </x:c>
      <x:c r="I40" s="11" t="s">
        <x:v>11</x:v>
      </x:c>
      <x:c r="J40" s="6" t="s">
        <x:v>12</x:v>
      </x:c>
      <x:c r="K40" s="5" t="s">
        <x:v>52</x:v>
      </x:c>
    </x:row>
    <x:row r="41" ht="21" customHeight="1">
      <x:c r="A41" s="12" t="str">
        <x:f>A40</x:f>
        <x:v>РПВ (В08)</x:v>
      </x:c>
      <x:c r="B41" s="13" t="s">
        <x:v>14</x:v>
      </x:c>
      <x:c r="C41" s="14" t="s">
        <x:v>62</x:v>
      </x:c>
      <x:c r="D41" s="12" t="s">
        <x:v>63</x:v>
      </x:c>
      <x:c r="E41" s="13">
        <x:v>15210</x:v>
      </x:c>
      <x:c r="F41" s="15" t="n">
        <x:f>E41*0.6</x:f>
        <x:v>9126</x:v>
      </x:c>
      <x:c r="G41" s="15" t="n">
        <x:f>H41*F41</x:f>
        <x:v>9126</x:v>
      </x:c>
      <x:c r="H41" s="16">
        <x:v>1</x:v>
      </x:c>
      <x:c r="I41" s="17" t="s">
        <x:v>17</x:v>
      </x:c>
      <x:c r="J41" s="13" t="s">
        <x:v>18</x:v>
      </x:c>
      <x:c r="K41" s="12" t="str">
        <x:f>K40</x:f>
        <x:v>B08</x:v>
      </x:c>
    </x:row>
    <x:row r="42" ht="21" customHeight="1">
      <x:c r="A42" s="12" t="str">
        <x:f t="shared" ref="A42:A48" si="22">A41</x:f>
        <x:v>РПВ (В08)</x:v>
      </x:c>
      <x:c r="B42" s="13" t="s">
        <x:v>64</x:v>
      </x:c>
      <x:c r="C42" s="14" t="s">
        <x:v>65</x:v>
      </x:c>
      <x:c r="D42" s="12" t="s">
        <x:v>66</x:v>
      </x:c>
      <x:c r="E42" s="13">
        <x:v>5214</x:v>
      </x:c>
      <x:c r="F42" s="15" t="n">
        <x:f t="shared" ref="F42" si="23">E42*0.6</x:f>
        <x:v>3128.4</x:v>
      </x:c>
      <x:c r="G42" s="15" t="n">
        <x:f t="shared" ref="G42" si="24">F42*H42</x:f>
        <x:v>25027.2</x:v>
      </x:c>
      <x:c r="H42" s="16">
        <x:v>8</x:v>
      </x:c>
      <x:c r="I42" s="17" t="s">
        <x:v>17</x:v>
      </x:c>
      <x:c r="J42" s="13" t="s">
        <x:v>22</x:v>
      </x:c>
      <x:c r="K42" s="12" t="str">
        <x:f t="shared" ref="K42:K48" si="25">K41</x:f>
        <x:v>B08</x:v>
      </x:c>
    </x:row>
    <x:row r="43" ht="21" customHeight="1">
      <x:c r="A43" s="12" t="str">
        <x:f t="shared" ref="A43" si="26">A42</x:f>
        <x:v>РПВ (В08)</x:v>
      </x:c>
      <x:c r="B43" s="13" t="s">
        <x:v>67</x:v>
      </x:c>
      <x:c r="C43" s="14" t="s">
        <x:v>68</x:v>
      </x:c>
      <x:c r="D43" s="12" t="s">
        <x:v>69</x:v>
      </x:c>
      <x:c r="E43" s="13">
        <x:v>4315</x:v>
      </x:c>
      <x:c r="F43" s="15" t="n">
        <x:f t="shared" ref="F43" si="27">E43*0.6</x:f>
        <x:v>2589</x:v>
      </x:c>
      <x:c r="G43" s="15" t="n">
        <x:f t="shared" ref="G43" si="28">F43*H43</x:f>
        <x:v>20712</x:v>
      </x:c>
      <x:c r="H43" s="16">
        <x:v>8</x:v>
      </x:c>
      <x:c r="I43" s="17" t="s">
        <x:v>17</x:v>
      </x:c>
      <x:c r="J43" s="13" t="s">
        <x:v>22</x:v>
      </x:c>
      <x:c r="K43" s="12" t="str">
        <x:f t="shared" ref="K43" si="29">K42</x:f>
        <x:v>B08</x:v>
      </x:c>
    </x:row>
    <x:row r="44" ht="21" customHeight="1">
      <x:c r="A44" s="12" t="str">
        <x:f>A42</x:f>
        <x:v>РПВ (В08)</x:v>
      </x:c>
      <x:c r="B44" s="13" t="s">
        <x:v>23</x:v>
      </x:c>
      <x:c r="C44" s="14" t="s">
        <x:v>26</x:v>
      </x:c>
      <x:c r="D44" s="12" t="s">
        <x:v>27</x:v>
      </x:c>
      <x:c r="E44" s="13">
        <x:v>2337</x:v>
      </x:c>
      <x:c r="F44" s="15" t="n">
        <x:f>E44*0.6</x:f>
        <x:v>1402.2</x:v>
      </x:c>
      <x:c r="G44" s="15" t="n">
        <x:f>F44*H44</x:f>
        <x:v>15424.2</x:v>
      </x:c>
      <x:c r="H44" s="16">
        <x:v>11</x:v>
      </x:c>
      <x:c r="I44" s="17" t="s">
        <x:v>17</x:v>
      </x:c>
      <x:c r="J44" s="13" t="s">
        <x:v>22</x:v>
      </x:c>
      <x:c r="K44" s="12" t="str">
        <x:f>K42</x:f>
        <x:v>B08</x:v>
      </x:c>
    </x:row>
    <x:row r="45" ht="21" customHeight="1">
      <x:c r="A45" s="12" t="str">
        <x:f t="shared" si="22"/>
        <x:v>РПВ (В08)</x:v>
      </x:c>
      <x:c r="B45" s="13" t="s">
        <x:v>23</x:v>
      </x:c>
      <x:c r="C45" s="14" t="s">
        <x:v>28</x:v>
      </x:c>
      <x:c r="D45" s="12" t="s">
        <x:v>29</x:v>
      </x:c>
      <x:c r="E45" s="13">
        <x:v>1389</x:v>
      </x:c>
      <x:c r="F45" s="15" t="n">
        <x:f>E45*0.6</x:f>
        <x:v>833.4</x:v>
      </x:c>
      <x:c r="G45" s="15" t="n">
        <x:f>F45*H45</x:f>
        <x:v>4167</x:v>
      </x:c>
      <x:c r="H45" s="16">
        <x:v>5</x:v>
      </x:c>
      <x:c r="I45" s="17" t="s">
        <x:v>17</x:v>
      </x:c>
      <x:c r="J45" s="13" t="s">
        <x:v>22</x:v>
      </x:c>
      <x:c r="K45" s="12" t="str">
        <x:f t="shared" si="25"/>
        <x:v>B08</x:v>
      </x:c>
    </x:row>
    <x:row r="46" ht="24" customHeight="1">
      <x:c r="A46" s="12" t="str">
        <x:f t="shared" si="22"/>
        <x:v>РПВ (В08)</x:v>
      </x:c>
      <x:c r="B46" s="12" t="s">
        <x:v>33</x:v>
      </x:c>
      <x:c r="C46" s="18" t="s">
        <x:v>33</x:v>
      </x:c>
      <x:c r="D46" s="12" t="s">
        <x:v>33</x:v>
      </x:c>
      <x:c r="E46" s="12">
        <x:f>OFFSET(E46,1,2)</x:f>
        <x:v>0</x:v>
      </x:c>
      <x:c r="F46" s="15" t="n">
        <x:f>E46</x:f>
        <x:v>0</x:v>
      </x:c>
      <x:c r="G46" s="15" t="n">
        <x:f t="shared" ref="G46" si="30">F46*H46</x:f>
        <x:v>0</x:v>
      </x:c>
      <x:c r="H46" s="12"/>
      <x:c r="I46" s="12" t="s">
        <x:v>17</x:v>
      </x:c>
      <x:c r="J46" s="12" t="s">
        <x:v>33</x:v>
      </x:c>
      <x:c r="K46" s="12" t="str">
        <x:f t="shared" si="25"/>
        <x:v>B08</x:v>
      </x:c>
    </x:row>
    <x:row r="47" ht="21" customHeight="1">
      <x:c r="A47" s="12" t="str">
        <x:f t="shared" si="22"/>
        <x:v>РПВ (В08)</x:v>
      </x:c>
      <x:c r="B47" s="12" t="s">
        <x:v>34</x:v>
      </x:c>
      <x:c r="C47" s="18" t="s">
        <x:v>34</x:v>
      </x:c>
      <x:c r="D47" s="12" t="s">
        <x:v>34</x:v>
      </x:c>
      <x:c r="E47" s="12"/>
      <x:c r="F47" s="15">
        <x:v>100</x:v>
      </x:c>
      <x:c r="G47" s="15" t="n">
        <x:f>60*E47*F47</x:f>
        <x:v>0</x:v>
      </x:c>
      <x:c r="H47" s="12" t="n">
        <x:f>60*E47</x:f>
        <x:v>0</x:v>
      </x:c>
      <x:c r="I47" s="12" t="s">
        <x:v>17</x:v>
      </x:c>
      <x:c r="J47" s="12" t="s">
        <x:v>34</x:v>
      </x:c>
      <x:c r="K47" s="12" t="str">
        <x:f t="shared" si="25"/>
        <x:v>B08</x:v>
      </x:c>
    </x:row>
    <x:row r="48" ht="30" customHeight="1">
      <x:c r="A48" s="12" t="str">
        <x:f t="shared" si="22"/>
        <x:v>РПВ (В08)</x:v>
      </x:c>
      <x:c r="B48" s="19"/>
      <x:c r="C48" s="20"/>
      <x:c r="D48" s="21"/>
      <x:c r="E48" s="23"/>
      <x:c r="F48" s="25"/>
      <x:c r="G48" s="24" t="n">
        <x:f>SUM(G41:G47)</x:f>
        <x:v>74456.4</x:v>
      </x:c>
      <x:c r="H48" s="20"/>
      <x:c r="I48" s="22"/>
      <x:c r="J48" s="20"/>
      <x:c r="K48" s="12" t="str">
        <x:f t="shared" si="25"/>
        <x:v>B08</x:v>
      </x:c>
    </x:row>
    <x:row r="49" ht="39.75" customHeight="1">
      <x:c r="A49" s="5" t="str">
        <x:f>D49</x:f>
        <x:v> ЯВЗ-31-IP54 УХЛ2 100А</x:v>
      </x:c>
      <x:c r="B49" s="6"/>
      <x:c r="C49" s="7"/>
      <x:c r="D49" s="6" t="s">
        <x:v>38</x:v>
      </x:c>
      <x:c r="E49" s="8"/>
      <x:c r="F49" s="8"/>
      <x:c r="G49" s="9"/>
      <x:c r="H49" s="10">
        <x:v>1</x:v>
      </x:c>
      <x:c r="I49" s="11" t="s">
        <x:v>11</x:v>
      </x:c>
      <x:c r="J49" s="6" t="s">
        <x:v>12</x:v>
      </x:c>
      <x:c r="K49" s="5" t="s">
        <x:v>52</x:v>
      </x:c>
    </x:row>
    <x:row r="50" ht="21" customHeight="1">
      <x:c r="A50" s="12" t="str">
        <x:f>A49</x:f>
        <x:v> ЯВЗ-31-IP54 УХЛ2 100А</x:v>
      </x:c>
      <x:c r="B50" s="13" t="s">
        <x:v>14</x:v>
      </x:c>
      <x:c r="C50" s="14" t="s">
        <x:v>39</x:v>
      </x:c>
      <x:c r="D50" s="12" t="s">
        <x:v>40</x:v>
      </x:c>
      <x:c r="E50" s="13"/>
      <x:c r="F50" s="15" t="n">
        <x:f>E50*0.6</x:f>
        <x:v>0</x:v>
      </x:c>
      <x:c r="G50" s="15" t="n">
        <x:f>H50*F50</x:f>
        <x:v>0</x:v>
      </x:c>
      <x:c r="H50" s="16">
        <x:v>1</x:v>
      </x:c>
      <x:c r="I50" s="17" t="s">
        <x:v>17</x:v>
      </x:c>
      <x:c r="J50" s="13" t="s">
        <x:v>18</x:v>
      </x:c>
      <x:c r="K50" s="12" t="str">
        <x:f>K49</x:f>
        <x:v>B08</x:v>
      </x:c>
    </x:row>
    <x:row r="51" ht="21" customHeight="1">
      <x:c r="A51" s="12" t="str">
        <x:f t="shared" ref="A51:A56" si="31">A50</x:f>
        <x:v> ЯВЗ-31-IP54 УХЛ2 100А</x:v>
      </x:c>
      <x:c r="B51" s="13" t="s">
        <x:v>41</x:v>
      </x:c>
      <x:c r="C51" s="14" t="s">
        <x:v>42</x:v>
      </x:c>
      <x:c r="D51" s="12" t="s">
        <x:v>43</x:v>
      </x:c>
      <x:c r="E51" s="13">
        <x:v>1545</x:v>
      </x:c>
      <x:c r="F51" s="15" t="n">
        <x:f>E51*0.6</x:f>
        <x:v>927</x:v>
      </x:c>
      <x:c r="G51" s="15" t="n">
        <x:f>F51*H51</x:f>
        <x:v>2781</x:v>
      </x:c>
      <x:c r="H51" s="16">
        <x:v>3</x:v>
      </x:c>
      <x:c r="I51" s="17" t="s">
        <x:v>17</x:v>
      </x:c>
      <x:c r="J51" s="13" t="s">
        <x:v>22</x:v>
      </x:c>
      <x:c r="K51" s="12" t="str">
        <x:f t="shared" ref="K51:K56" si="32">K50</x:f>
        <x:v>B08</x:v>
      </x:c>
    </x:row>
    <x:row r="52" ht="21" customHeight="1">
      <x:c r="A52" s="12" t="str">
        <x:f t="shared" si="31"/>
        <x:v> ЯВЗ-31-IP54 УХЛ2 100А</x:v>
      </x:c>
      <x:c r="B52" s="13" t="s">
        <x:v>41</x:v>
      </x:c>
      <x:c r="C52" s="14" t="s">
        <x:v>44</x:v>
      </x:c>
      <x:c r="D52" s="12" t="s">
        <x:v>45</x:v>
      </x:c>
      <x:c r="E52" s="13">
        <x:v>2038</x:v>
      </x:c>
      <x:c r="F52" s="15" t="n">
        <x:f>E52*0.6</x:f>
        <x:v>1222.8</x:v>
      </x:c>
      <x:c r="G52" s="15" t="n">
        <x:f>F52*H52</x:f>
        <x:v>3668.3999999999996</x:v>
      </x:c>
      <x:c r="H52" s="16">
        <x:v>3</x:v>
      </x:c>
      <x:c r="I52" s="17" t="s">
        <x:v>17</x:v>
      </x:c>
      <x:c r="J52" s="13" t="s">
        <x:v>22</x:v>
      </x:c>
      <x:c r="K52" s="12" t="str">
        <x:f t="shared" si="32"/>
        <x:v>B08</x:v>
      </x:c>
    </x:row>
    <x:row r="53" ht="21" customHeight="1">
      <x:c r="A53" s="12" t="str">
        <x:f t="shared" si="31"/>
        <x:v> ЯВЗ-31-IP54 УХЛ2 100А</x:v>
      </x:c>
      <x:c r="B53" s="13" t="s">
        <x:v>46</x:v>
      </x:c>
      <x:c r="C53" s="14" t="s">
        <x:v>47</x:v>
      </x:c>
      <x:c r="D53" s="12" t="s">
        <x:v>48</x:v>
      </x:c>
      <x:c r="E53" s="13">
        <x:v>6835</x:v>
      </x:c>
      <x:c r="F53" s="15" t="n">
        <x:f>E53</x:f>
        <x:v>6835</x:v>
      </x:c>
      <x:c r="G53" s="15" t="n">
        <x:f>F53*H53</x:f>
        <x:v>6835</x:v>
      </x:c>
      <x:c r="H53" s="16">
        <x:v>1</x:v>
      </x:c>
      <x:c r="I53" s="17" t="s">
        <x:v>17</x:v>
      </x:c>
      <x:c r="J53" s="13" t="s">
        <x:v>49</x:v>
      </x:c>
      <x:c r="K53" s="12" t="str">
        <x:f t="shared" si="32"/>
        <x:v>B08</x:v>
      </x:c>
    </x:row>
    <x:row r="54" ht="24" customHeight="1">
      <x:c r="A54" s="12" t="str">
        <x:f t="shared" si="31"/>
        <x:v> ЯВЗ-31-IP54 УХЛ2 100А</x:v>
      </x:c>
      <x:c r="B54" s="12" t="s">
        <x:v>33</x:v>
      </x:c>
      <x:c r="C54" s="18" t="s">
        <x:v>33</x:v>
      </x:c>
      <x:c r="D54" s="12" t="s">
        <x:v>33</x:v>
      </x:c>
      <x:c r="E54" s="12">
        <x:f>OFFSET(E54,1,2)</x:f>
        <x:v>0</x:v>
      </x:c>
      <x:c r="F54" s="15" t="n">
        <x:f>E54</x:f>
        <x:v>0</x:v>
      </x:c>
      <x:c r="G54" s="15" t="n">
        <x:f t="shared" ref="G54" si="33">F54*H54</x:f>
        <x:v>0</x:v>
      </x:c>
      <x:c r="H54" s="12"/>
      <x:c r="I54" s="12" t="s">
        <x:v>17</x:v>
      </x:c>
      <x:c r="J54" s="12" t="s">
        <x:v>33</x:v>
      </x:c>
      <x:c r="K54" s="12" t="str">
        <x:f t="shared" si="32"/>
        <x:v>B08</x:v>
      </x:c>
    </x:row>
    <x:row r="55" ht="21" customHeight="1">
      <x:c r="A55" s="12" t="str">
        <x:f t="shared" si="31"/>
        <x:v> ЯВЗ-31-IP54 УХЛ2 100А</x:v>
      </x:c>
      <x:c r="B55" s="12" t="s">
        <x:v>34</x:v>
      </x:c>
      <x:c r="C55" s="18" t="s">
        <x:v>34</x:v>
      </x:c>
      <x:c r="D55" s="12" t="s">
        <x:v>34</x:v>
      </x:c>
      <x:c r="E55" s="12"/>
      <x:c r="F55" s="15">
        <x:v>100</x:v>
      </x:c>
      <x:c r="G55" s="15" t="n">
        <x:f>60*E55*F55</x:f>
        <x:v>0</x:v>
      </x:c>
      <x:c r="H55" s="12" t="n">
        <x:f>60*E55</x:f>
        <x:v>0</x:v>
      </x:c>
      <x:c r="I55" s="12" t="s">
        <x:v>17</x:v>
      </x:c>
      <x:c r="J55" s="12" t="s">
        <x:v>34</x:v>
      </x:c>
      <x:c r="K55" s="12" t="str">
        <x:f t="shared" si="32"/>
        <x:v>B08</x:v>
      </x:c>
    </x:row>
    <x:row r="56" ht="30" customHeight="1">
      <x:c r="A56" s="12" t="str">
        <x:f t="shared" si="31"/>
        <x:v> ЯВЗ-31-IP54 УХЛ2 100А</x:v>
      </x:c>
      <x:c r="B56" s="19"/>
      <x:c r="C56" s="20"/>
      <x:c r="D56" s="21"/>
      <x:c r="E56" s="23"/>
      <x:c r="F56" s="25"/>
      <x:c r="G56" s="24" t="n">
        <x:f>SUM(G50:G55)</x:f>
        <x:v>13284.4</x:v>
      </x:c>
      <x:c r="H56" s="20"/>
      <x:c r="I56" s="22"/>
      <x:c r="J56" s="20"/>
      <x:c r="K56" s="12" t="str">
        <x:f t="shared" si="32"/>
        <x:v>B08</x:v>
      </x:c>
    </x:row>
    <x:row r="57" ht="39.75" customHeight="1">
      <x:c r="A57" s="5" t="str">
        <x:f>D57</x:f>
        <x:v>ЯТП-0,25-220/36 036УХЛ4</x:v>
      </x:c>
      <x:c r="B57" s="6"/>
      <x:c r="C57" s="7"/>
      <x:c r="D57" s="6" t="s">
        <x:v>50</x:v>
      </x:c>
      <x:c r="E57" s="8"/>
      <x:c r="F57" s="8"/>
      <x:c r="G57" s="9"/>
      <x:c r="H57" s="10">
        <x:v>1</x:v>
      </x:c>
      <x:c r="I57" s="11" t="s">
        <x:v>11</x:v>
      </x:c>
      <x:c r="J57" s="6" t="s">
        <x:v>12</x:v>
      </x:c>
      <x:c r="K57" s="5" t="s">
        <x:v>52</x:v>
      </x:c>
    </x:row>
    <x:row r="58" ht="39.75" customHeight="1">
      <x:c r="A58" s="5" t="str">
        <x:f>D58</x:f>
        <x:v>ГРЩ (В11)</x:v>
      </x:c>
      <x:c r="B58" s="6"/>
      <x:c r="C58" s="7"/>
      <x:c r="D58" s="6" t="s">
        <x:v>70</x:v>
      </x:c>
      <x:c r="E58" s="8"/>
      <x:c r="F58" s="8"/>
      <x:c r="G58" s="9"/>
      <x:c r="H58" s="10">
        <x:v>1</x:v>
      </x:c>
      <x:c r="I58" s="11" t="s">
        <x:v>11</x:v>
      </x:c>
      <x:c r="J58" s="6" t="s">
        <x:v>12</x:v>
      </x:c>
      <x:c r="K58" s="5" t="s">
        <x:v>71</x:v>
      </x:c>
    </x:row>
    <x:row r="59" ht="21" customHeight="1">
      <x:c r="A59" s="12" t="str">
        <x:f>A58</x:f>
        <x:v>ГРЩ (В11)</x:v>
      </x:c>
      <x:c r="B59" s="13" t="s">
        <x:v>14</x:v>
      </x:c>
      <x:c r="C59" s="14" t="s">
        <x:v>36</x:v>
      </x:c>
      <x:c r="D59" s="12" t="s">
        <x:v>37</x:v>
      </x:c>
      <x:c r="E59" s="13">
        <x:v>14695</x:v>
      </x:c>
      <x:c r="F59" s="15" t="n">
        <x:f t="shared" ref="F59:F64" si="34">E59*0.6</x:f>
        <x:v>8817</x:v>
      </x:c>
      <x:c r="G59" s="15" t="n">
        <x:f>H59*F59</x:f>
        <x:v>8817</x:v>
      </x:c>
      <x:c r="H59" s="16">
        <x:v>1</x:v>
      </x:c>
      <x:c r="I59" s="17" t="s">
        <x:v>17</x:v>
      </x:c>
      <x:c r="J59" s="13" t="s">
        <x:v>18</x:v>
      </x:c>
      <x:c r="K59" s="12" t="str">
        <x:f>K58</x:f>
        <x:v>B11</x:v>
      </x:c>
    </x:row>
    <x:row r="60" ht="21" customHeight="1">
      <x:c r="A60" s="12" t="str">
        <x:f t="shared" ref="A60:A67" si="35">A59</x:f>
        <x:v>ГРЩ (В11)</x:v>
      </x:c>
      <x:c r="B60" s="13" t="s">
        <x:v>23</x:v>
      </x:c>
      <x:c r="C60" s="14" t="s">
        <x:v>55</x:v>
      </x:c>
      <x:c r="D60" s="12" t="s">
        <x:v>56</x:v>
      </x:c>
      <x:c r="E60" s="13">
        <x:v>3172</x:v>
      </x:c>
      <x:c r="F60" s="15">
        <x:f t="shared" si="34"/>
        <x:v>1903.1999999999998</x:v>
      </x:c>
      <x:c r="G60" s="15" t="n">
        <x:f>F60*H60</x:f>
        <x:v>1903.1999999999998</x:v>
      </x:c>
      <x:c r="H60" s="16">
        <x:v>1</x:v>
      </x:c>
      <x:c r="I60" s="17" t="s">
        <x:v>17</x:v>
      </x:c>
      <x:c r="J60" s="13" t="s">
        <x:v>22</x:v>
      </x:c>
      <x:c r="K60" s="12" t="str">
        <x:f t="shared" ref="K60:K67" si="36">K59</x:f>
        <x:v>B11</x:v>
      </x:c>
    </x:row>
    <x:row r="61" ht="21" customHeight="1">
      <x:c r="A61" s="12" t="str">
        <x:f t="shared" si="35"/>
        <x:v>ГРЩ (В11)</x:v>
      </x:c>
      <x:c r="B61" s="13" t="s">
        <x:v>23</x:v>
      </x:c>
      <x:c r="C61" s="14" t="s">
        <x:v>72</x:v>
      </x:c>
      <x:c r="D61" s="12" t="s">
        <x:v>73</x:v>
      </x:c>
      <x:c r="E61" s="13">
        <x:v>2807</x:v>
      </x:c>
      <x:c r="F61" s="15">
        <x:f t="shared" si="34"/>
        <x:v>1684.2</x:v>
      </x:c>
      <x:c r="G61" s="15" t="n">
        <x:f>F61*H61</x:f>
        <x:v>1684.2</x:v>
      </x:c>
      <x:c r="H61" s="16">
        <x:v>1</x:v>
      </x:c>
      <x:c r="I61" s="17" t="s">
        <x:v>17</x:v>
      </x:c>
      <x:c r="J61" s="13" t="s">
        <x:v>22</x:v>
      </x:c>
      <x:c r="K61" s="12" t="str">
        <x:f t="shared" si="36"/>
        <x:v>B11</x:v>
      </x:c>
    </x:row>
    <x:row r="62" ht="21" customHeight="1">
      <x:c r="A62" s="12" t="str">
        <x:f t="shared" si="35"/>
        <x:v>ГРЩ (В11)</x:v>
      </x:c>
      <x:c r="B62" s="13" t="s">
        <x:v>23</x:v>
      </x:c>
      <x:c r="C62" s="14" t="s">
        <x:v>26</x:v>
      </x:c>
      <x:c r="D62" s="12" t="s">
        <x:v>27</x:v>
      </x:c>
      <x:c r="E62" s="13">
        <x:v>2337</x:v>
      </x:c>
      <x:c r="F62" s="15">
        <x:f t="shared" si="34"/>
        <x:v>1402.2</x:v>
      </x:c>
      <x:c r="G62" s="15" t="n">
        <x:f>F62*H62</x:f>
        <x:v>1402.2</x:v>
      </x:c>
      <x:c r="H62" s="16">
        <x:v>1</x:v>
      </x:c>
      <x:c r="I62" s="17" t="s">
        <x:v>17</x:v>
      </x:c>
      <x:c r="J62" s="13" t="s">
        <x:v>22</x:v>
      </x:c>
      <x:c r="K62" s="12" t="str">
        <x:f t="shared" si="36"/>
        <x:v>B11</x:v>
      </x:c>
    </x:row>
    <x:row r="63" ht="21" customHeight="1">
      <x:c r="A63" s="12" t="str">
        <x:f t="shared" si="35"/>
        <x:v>ГРЩ (В11)</x:v>
      </x:c>
      <x:c r="B63" s="13" t="s">
        <x:v>23</x:v>
      </x:c>
      <x:c r="C63" s="14" t="s">
        <x:v>28</x:v>
      </x:c>
      <x:c r="D63" s="12" t="s">
        <x:v>29</x:v>
      </x:c>
      <x:c r="E63" s="13">
        <x:v>1389</x:v>
      </x:c>
      <x:c r="F63" s="15">
        <x:f t="shared" si="34"/>
        <x:v>833.4</x:v>
      </x:c>
      <x:c r="G63" s="15" t="n">
        <x:f>F63*H63</x:f>
        <x:v>3333.6</x:v>
      </x:c>
      <x:c r="H63" s="16">
        <x:v>4</x:v>
      </x:c>
      <x:c r="I63" s="17" t="s">
        <x:v>17</x:v>
      </x:c>
      <x:c r="J63" s="13" t="s">
        <x:v>22</x:v>
      </x:c>
      <x:c r="K63" s="12" t="str">
        <x:f t="shared" si="36"/>
        <x:v>B11</x:v>
      </x:c>
    </x:row>
    <x:row r="64" ht="21" customHeight="1">
      <x:c r="A64" s="12" t="str">
        <x:f t="shared" si="35"/>
        <x:v>ГРЩ (В11)</x:v>
      </x:c>
      <x:c r="B64" s="13" t="s">
        <x:v>30</x:v>
      </x:c>
      <x:c r="C64" s="14" t="s">
        <x:v>59</x:v>
      </x:c>
      <x:c r="D64" s="12" t="s">
        <x:v>60</x:v>
      </x:c>
      <x:c r="E64" s="13">
        <x:v>5354</x:v>
      </x:c>
      <x:c r="F64" s="15">
        <x:f t="shared" si="34"/>
        <x:v>3212.4</x:v>
      </x:c>
      <x:c r="G64" s="15" t="n">
        <x:f>F64*H64</x:f>
        <x:v>3212.4</x:v>
      </x:c>
      <x:c r="H64" s="16">
        <x:v>1</x:v>
      </x:c>
      <x:c r="I64" s="17" t="s">
        <x:v>17</x:v>
      </x:c>
      <x:c r="J64" s="13" t="s">
        <x:v>22</x:v>
      </x:c>
      <x:c r="K64" s="12" t="str">
        <x:f t="shared" si="36"/>
        <x:v>B11</x:v>
      </x:c>
    </x:row>
    <x:row r="65" ht="24" customHeight="1">
      <x:c r="A65" s="12" t="str">
        <x:f t="shared" si="35"/>
        <x:v>ГРЩ (В11)</x:v>
      </x:c>
      <x:c r="B65" s="12" t="s">
        <x:v>33</x:v>
      </x:c>
      <x:c r="C65" s="18" t="s">
        <x:v>33</x:v>
      </x:c>
      <x:c r="D65" s="12" t="s">
        <x:v>33</x:v>
      </x:c>
      <x:c r="E65" s="12">
        <x:f>OFFSET(E65,1,2)</x:f>
        <x:v>0</x:v>
      </x:c>
      <x:c r="F65" s="15" t="n">
        <x:f>E65</x:f>
        <x:v>0</x:v>
      </x:c>
      <x:c r="G65" s="15" t="n">
        <x:f t="shared" ref="G65" si="37">F65*H65</x:f>
        <x:v>0</x:v>
      </x:c>
      <x:c r="H65" s="12"/>
      <x:c r="I65" s="12" t="s">
        <x:v>17</x:v>
      </x:c>
      <x:c r="J65" s="12" t="s">
        <x:v>33</x:v>
      </x:c>
      <x:c r="K65" s="12" t="str">
        <x:f t="shared" si="36"/>
        <x:v>B11</x:v>
      </x:c>
    </x:row>
    <x:row r="66" ht="21" customHeight="1">
      <x:c r="A66" s="12" t="str">
        <x:f t="shared" si="35"/>
        <x:v>ГРЩ (В11)</x:v>
      </x:c>
      <x:c r="B66" s="12" t="s">
        <x:v>34</x:v>
      </x:c>
      <x:c r="C66" s="18" t="s">
        <x:v>34</x:v>
      </x:c>
      <x:c r="D66" s="12" t="s">
        <x:v>34</x:v>
      </x:c>
      <x:c r="E66" s="12"/>
      <x:c r="F66" s="15">
        <x:v>100</x:v>
      </x:c>
      <x:c r="G66" s="15" t="n">
        <x:f>60*E66*F66</x:f>
        <x:v>0</x:v>
      </x:c>
      <x:c r="H66" s="12" t="n">
        <x:f>60*E66</x:f>
        <x:v>0</x:v>
      </x:c>
      <x:c r="I66" s="12" t="s">
        <x:v>17</x:v>
      </x:c>
      <x:c r="J66" s="12" t="s">
        <x:v>34</x:v>
      </x:c>
      <x:c r="K66" s="12" t="str">
        <x:f t="shared" si="36"/>
        <x:v>B11</x:v>
      </x:c>
    </x:row>
    <x:row r="67" ht="30" customHeight="1">
      <x:c r="A67" s="12" t="str">
        <x:f t="shared" si="35"/>
        <x:v>ГРЩ (В11)</x:v>
      </x:c>
      <x:c r="B67" s="19"/>
      <x:c r="C67" s="20"/>
      <x:c r="D67" s="21"/>
      <x:c r="E67" s="23"/>
      <x:c r="F67" s="25"/>
      <x:c r="G67" s="24" t="n">
        <x:f>SUM(G59:G66)</x:f>
        <x:v>20352.600000000002</x:v>
      </x:c>
      <x:c r="H67" s="20"/>
      <x:c r="I67" s="22"/>
      <x:c r="J67" s="20"/>
      <x:c r="K67" s="12" t="str">
        <x:f t="shared" si="36"/>
        <x:v>B11</x:v>
      </x:c>
    </x:row>
    <x:row r="68" ht="39.75" customHeight="1">
      <x:c r="A68" s="5" t="str">
        <x:f>D68</x:f>
        <x:v>РПВ (В11)</x:v>
      </x:c>
      <x:c r="B68" s="6"/>
      <x:c r="C68" s="7"/>
      <x:c r="D68" s="6" t="s">
        <x:v>74</x:v>
      </x:c>
      <x:c r="E68" s="8"/>
      <x:c r="F68" s="8"/>
      <x:c r="G68" s="9"/>
      <x:c r="H68" s="10">
        <x:v>1</x:v>
      </x:c>
      <x:c r="I68" s="11" t="s">
        <x:v>11</x:v>
      </x:c>
      <x:c r="J68" s="6" t="s">
        <x:v>12</x:v>
      </x:c>
      <x:c r="K68" s="5" t="s">
        <x:v>71</x:v>
      </x:c>
    </x:row>
    <x:row r="69" ht="21" customHeight="1">
      <x:c r="A69" s="12" t="str">
        <x:f>A68</x:f>
        <x:v>РПВ (В11)</x:v>
      </x:c>
      <x:c r="B69" s="13" t="s">
        <x:v>14</x:v>
      </x:c>
      <x:c r="C69" s="14" t="s">
        <x:v>75</x:v>
      </x:c>
      <x:c r="D69" s="12" t="s">
        <x:v>76</x:v>
      </x:c>
      <x:c r="E69" s="13">
        <x:v>10270</x:v>
      </x:c>
      <x:c r="F69" s="15" t="n">
        <x:f>E69*0.6</x:f>
        <x:v>6162</x:v>
      </x:c>
      <x:c r="G69" s="15" t="n">
        <x:f>H69*F69</x:f>
        <x:v>6162</x:v>
      </x:c>
      <x:c r="H69" s="16">
        <x:v>1</x:v>
      </x:c>
      <x:c r="I69" s="17" t="s">
        <x:v>17</x:v>
      </x:c>
      <x:c r="J69" s="13" t="s">
        <x:v>18</x:v>
      </x:c>
      <x:c r="K69" s="12" t="str">
        <x:f>K68</x:f>
        <x:v>B11</x:v>
      </x:c>
    </x:row>
    <x:row r="70" ht="21" customHeight="1">
      <x:c r="A70" s="12" t="str">
        <x:f t="shared" ref="A70:A72" si="38">A69</x:f>
        <x:v>РПВ (В11)</x:v>
      </x:c>
      <x:c r="B70" s="13" t="s">
        <x:v>64</x:v>
      </x:c>
      <x:c r="C70" s="14" t="s">
        <x:v>65</x:v>
      </x:c>
      <x:c r="D70" s="12" t="s">
        <x:v>66</x:v>
      </x:c>
      <x:c r="E70" s="13">
        <x:v>5214</x:v>
      </x:c>
      <x:c r="F70" s="15" t="n">
        <x:f t="shared" ref="F70:F71" si="39">E70*0.6</x:f>
        <x:v>3128.4</x:v>
      </x:c>
      <x:c r="G70" s="15" t="n">
        <x:f t="shared" ref="G70:G71" si="40">F70*H70</x:f>
        <x:v>3128.4</x:v>
      </x:c>
      <x:c r="H70" s="16">
        <x:v>1</x:v>
      </x:c>
      <x:c r="I70" s="17" t="s">
        <x:v>17</x:v>
      </x:c>
      <x:c r="J70" s="13" t="s">
        <x:v>22</x:v>
      </x:c>
      <x:c r="K70" s="12" t="str">
        <x:f t="shared" ref="K70:K72" si="41">K69</x:f>
        <x:v>B11</x:v>
      </x:c>
    </x:row>
    <x:row r="71" ht="21" customHeight="1">
      <x:c r="A71" s="12" t="str">
        <x:f t="shared" si="38"/>
        <x:v>РПВ (В11)</x:v>
      </x:c>
      <x:c r="B71" s="13" t="s">
        <x:v>67</x:v>
      </x:c>
      <x:c r="C71" s="14" t="s">
        <x:v>77</x:v>
      </x:c>
      <x:c r="D71" s="12" t="s">
        <x:v>78</x:v>
      </x:c>
      <x:c r="E71" s="13">
        <x:v>4445</x:v>
      </x:c>
      <x:c r="F71" s="15">
        <x:f t="shared" si="39"/>
        <x:v>2667</x:v>
      </x:c>
      <x:c r="G71" s="15">
        <x:f t="shared" si="40"/>
        <x:v>2667</x:v>
      </x:c>
      <x:c r="H71" s="16">
        <x:v>1</x:v>
      </x:c>
      <x:c r="I71" s="17" t="s">
        <x:v>17</x:v>
      </x:c>
      <x:c r="J71" s="13" t="s">
        <x:v>22</x:v>
      </x:c>
      <x:c r="K71" s="12" t="str">
        <x:f t="shared" si="41"/>
        <x:v>B11</x:v>
      </x:c>
    </x:row>
    <x:row r="72" ht="21" customHeight="1">
      <x:c r="A72" s="12" t="str">
        <x:f t="shared" si="38"/>
        <x:v>РПВ (В11)</x:v>
      </x:c>
      <x:c r="B72" s="13" t="s">
        <x:v>23</x:v>
      </x:c>
      <x:c r="C72" s="14" t="s">
        <x:v>57</x:v>
      </x:c>
      <x:c r="D72" s="12" t="s">
        <x:v>58</x:v>
      </x:c>
      <x:c r="E72" s="13">
        <x:v>2429</x:v>
      </x:c>
      <x:c r="F72" s="15" t="n">
        <x:f>E72*0.6</x:f>
        <x:v>1457.3999999999999</x:v>
      </x:c>
      <x:c r="G72" s="15" t="n">
        <x:f>F72*H72</x:f>
        <x:v>1457.3999999999999</x:v>
      </x:c>
      <x:c r="H72" s="16">
        <x:v>1</x:v>
      </x:c>
      <x:c r="I72" s="17" t="s">
        <x:v>17</x:v>
      </x:c>
      <x:c r="J72" s="13" t="s">
        <x:v>22</x:v>
      </x:c>
      <x:c r="K72" s="12" t="str">
        <x:f t="shared" si="41"/>
        <x:v>B11</x:v>
      </x:c>
    </x:row>
    <x:row r="73" ht="21" customHeight="1">
      <x:c r="A73" s="12" t="str">
        <x:f>A70</x:f>
        <x:v>РПВ (В11)</x:v>
      </x:c>
      <x:c r="B73" s="13" t="s">
        <x:v>23</x:v>
      </x:c>
      <x:c r="C73" s="14" t="s">
        <x:v>26</x:v>
      </x:c>
      <x:c r="D73" s="12" t="s">
        <x:v>27</x:v>
      </x:c>
      <x:c r="E73" s="13">
        <x:v>2337</x:v>
      </x:c>
      <x:c r="F73" s="15" t="n">
        <x:f>E73*0.6</x:f>
        <x:v>1402.2</x:v>
      </x:c>
      <x:c r="G73" s="15" t="n">
        <x:f>F73*H73</x:f>
        <x:v>4206.6</x:v>
      </x:c>
      <x:c r="H73" s="16">
        <x:v>3</x:v>
      </x:c>
      <x:c r="I73" s="17" t="s">
        <x:v>17</x:v>
      </x:c>
      <x:c r="J73" s="13" t="s">
        <x:v>22</x:v>
      </x:c>
      <x:c r="K73" s="12" t="str">
        <x:f>K70</x:f>
        <x:v>B11</x:v>
      </x:c>
    </x:row>
    <x:row r="74" ht="21" customHeight="1">
      <x:c r="A74" s="12" t="str">
        <x:f t="shared" ref="A74:A77" si="42">A73</x:f>
        <x:v>РПВ (В11)</x:v>
      </x:c>
      <x:c r="B74" s="13" t="s">
        <x:v>23</x:v>
      </x:c>
      <x:c r="C74" s="14" t="s">
        <x:v>28</x:v>
      </x:c>
      <x:c r="D74" s="12" t="s">
        <x:v>29</x:v>
      </x:c>
      <x:c r="E74" s="13">
        <x:v>1389</x:v>
      </x:c>
      <x:c r="F74" s="15" t="n">
        <x:f>E74*0.6</x:f>
        <x:v>833.4</x:v>
      </x:c>
      <x:c r="G74" s="15" t="n">
        <x:f>F74*H74</x:f>
        <x:v>1666.8</x:v>
      </x:c>
      <x:c r="H74" s="16">
        <x:v>2</x:v>
      </x:c>
      <x:c r="I74" s="17" t="s">
        <x:v>17</x:v>
      </x:c>
      <x:c r="J74" s="13" t="s">
        <x:v>22</x:v>
      </x:c>
      <x:c r="K74" s="12" t="str">
        <x:f t="shared" ref="K74:K77" si="43">K73</x:f>
        <x:v>B11</x:v>
      </x:c>
    </x:row>
    <x:row r="75" ht="24" customHeight="1">
      <x:c r="A75" s="12" t="str">
        <x:f t="shared" si="42"/>
        <x:v>РПВ (В11)</x:v>
      </x:c>
      <x:c r="B75" s="12" t="s">
        <x:v>33</x:v>
      </x:c>
      <x:c r="C75" s="18" t="s">
        <x:v>33</x:v>
      </x:c>
      <x:c r="D75" s="12" t="s">
        <x:v>33</x:v>
      </x:c>
      <x:c r="E75" s="12">
        <x:f>OFFSET(E75,1,2)</x:f>
        <x:v>0</x:v>
      </x:c>
      <x:c r="F75" s="15" t="n">
        <x:f>E75</x:f>
        <x:v>0</x:v>
      </x:c>
      <x:c r="G75" s="15" t="n">
        <x:f t="shared" ref="G75" si="44">F75*H75</x:f>
        <x:v>0</x:v>
      </x:c>
      <x:c r="H75" s="12"/>
      <x:c r="I75" s="12" t="s">
        <x:v>17</x:v>
      </x:c>
      <x:c r="J75" s="12" t="s">
        <x:v>33</x:v>
      </x:c>
      <x:c r="K75" s="12" t="str">
        <x:f t="shared" si="43"/>
        <x:v>B11</x:v>
      </x:c>
    </x:row>
    <x:row r="76" ht="21" customHeight="1">
      <x:c r="A76" s="12" t="str">
        <x:f t="shared" si="42"/>
        <x:v>РПВ (В11)</x:v>
      </x:c>
      <x:c r="B76" s="12" t="s">
        <x:v>34</x:v>
      </x:c>
      <x:c r="C76" s="18" t="s">
        <x:v>34</x:v>
      </x:c>
      <x:c r="D76" s="12" t="s">
        <x:v>34</x:v>
      </x:c>
      <x:c r="E76" s="12"/>
      <x:c r="F76" s="15">
        <x:v>100</x:v>
      </x:c>
      <x:c r="G76" s="15" t="n">
        <x:f>60*E76*F76</x:f>
        <x:v>0</x:v>
      </x:c>
      <x:c r="H76" s="12" t="n">
        <x:f>60*E76</x:f>
        <x:v>0</x:v>
      </x:c>
      <x:c r="I76" s="12" t="s">
        <x:v>17</x:v>
      </x:c>
      <x:c r="J76" s="12" t="s">
        <x:v>34</x:v>
      </x:c>
      <x:c r="K76" s="12" t="str">
        <x:f t="shared" si="43"/>
        <x:v>B11</x:v>
      </x:c>
    </x:row>
    <x:row r="77" ht="30" customHeight="1">
      <x:c r="A77" s="12" t="str">
        <x:f t="shared" si="42"/>
        <x:v>РПВ (В11)</x:v>
      </x:c>
      <x:c r="B77" s="19"/>
      <x:c r="C77" s="20"/>
      <x:c r="D77" s="21"/>
      <x:c r="E77" s="23"/>
      <x:c r="F77" s="25"/>
      <x:c r="G77" s="24" t="n">
        <x:f>SUM(G69:G76)</x:f>
        <x:v>19288.2</x:v>
      </x:c>
      <x:c r="H77" s="20"/>
      <x:c r="I77" s="22"/>
      <x:c r="J77" s="20"/>
      <x:c r="K77" s="12" t="str">
        <x:f t="shared" si="43"/>
        <x:v>B11</x:v>
      </x:c>
    </x:row>
    <x:row r="78" ht="39.75" customHeight="1">
      <x:c r="A78" s="5" t="str">
        <x:f>D78</x:f>
        <x:v> ЯВЗ-31-IP54 УХЛ2 100А</x:v>
      </x:c>
      <x:c r="B78" s="6"/>
      <x:c r="C78" s="7"/>
      <x:c r="D78" s="6" t="s">
        <x:v>38</x:v>
      </x:c>
      <x:c r="E78" s="8"/>
      <x:c r="F78" s="8"/>
      <x:c r="G78" s="9"/>
      <x:c r="H78" s="10">
        <x:v>1</x:v>
      </x:c>
      <x:c r="I78" s="11" t="s">
        <x:v>11</x:v>
      </x:c>
      <x:c r="J78" s="6" t="s">
        <x:v>12</x:v>
      </x:c>
      <x:c r="K78" s="5" t="s">
        <x:v>71</x:v>
      </x:c>
    </x:row>
    <x:row r="79" ht="21" customHeight="1">
      <x:c r="A79" s="12" t="str">
        <x:f>A78</x:f>
        <x:v> ЯВЗ-31-IP54 УХЛ2 100А</x:v>
      </x:c>
      <x:c r="B79" s="13" t="s">
        <x:v>14</x:v>
      </x:c>
      <x:c r="C79" s="14" t="s">
        <x:v>39</x:v>
      </x:c>
      <x:c r="D79" s="12" t="s">
        <x:v>40</x:v>
      </x:c>
      <x:c r="E79" s="13"/>
      <x:c r="F79" s="15" t="n">
        <x:f>E79*0.6</x:f>
        <x:v>0</x:v>
      </x:c>
      <x:c r="G79" s="15" t="n">
        <x:f>H79*F79</x:f>
        <x:v>0</x:v>
      </x:c>
      <x:c r="H79" s="16">
        <x:v>1</x:v>
      </x:c>
      <x:c r="I79" s="17" t="s">
        <x:v>17</x:v>
      </x:c>
      <x:c r="J79" s="13" t="s">
        <x:v>18</x:v>
      </x:c>
      <x:c r="K79" s="12" t="str">
        <x:f>K78</x:f>
        <x:v>B11</x:v>
      </x:c>
    </x:row>
    <x:row r="80" ht="21" customHeight="1">
      <x:c r="A80" s="12" t="str">
        <x:f t="shared" ref="A80:A85" si="45">A79</x:f>
        <x:v> ЯВЗ-31-IP54 УХЛ2 100А</x:v>
      </x:c>
      <x:c r="B80" s="13" t="s">
        <x:v>41</x:v>
      </x:c>
      <x:c r="C80" s="14" t="s">
        <x:v>42</x:v>
      </x:c>
      <x:c r="D80" s="12" t="s">
        <x:v>43</x:v>
      </x:c>
      <x:c r="E80" s="13">
        <x:v>1545</x:v>
      </x:c>
      <x:c r="F80" s="15" t="n">
        <x:f>E80*0.6</x:f>
        <x:v>927</x:v>
      </x:c>
      <x:c r="G80" s="15" t="n">
        <x:f>F80*H80</x:f>
        <x:v>2781</x:v>
      </x:c>
      <x:c r="H80" s="16">
        <x:v>3</x:v>
      </x:c>
      <x:c r="I80" s="17" t="s">
        <x:v>17</x:v>
      </x:c>
      <x:c r="J80" s="13" t="s">
        <x:v>22</x:v>
      </x:c>
      <x:c r="K80" s="12" t="str">
        <x:f t="shared" ref="K80:K85" si="46">K79</x:f>
        <x:v>B11</x:v>
      </x:c>
    </x:row>
    <x:row r="81" ht="21" customHeight="1">
      <x:c r="A81" s="12" t="str">
        <x:f t="shared" si="45"/>
        <x:v> ЯВЗ-31-IP54 УХЛ2 100А</x:v>
      </x:c>
      <x:c r="B81" s="13" t="s">
        <x:v>41</x:v>
      </x:c>
      <x:c r="C81" s="14" t="s">
        <x:v>44</x:v>
      </x:c>
      <x:c r="D81" s="12" t="s">
        <x:v>45</x:v>
      </x:c>
      <x:c r="E81" s="13">
        <x:v>2038</x:v>
      </x:c>
      <x:c r="F81" s="15" t="n">
        <x:f>E81*0.6</x:f>
        <x:v>1222.8</x:v>
      </x:c>
      <x:c r="G81" s="15" t="n">
        <x:f>F81*H81</x:f>
        <x:v>3668.3999999999996</x:v>
      </x:c>
      <x:c r="H81" s="16">
        <x:v>3</x:v>
      </x:c>
      <x:c r="I81" s="17" t="s">
        <x:v>17</x:v>
      </x:c>
      <x:c r="J81" s="13" t="s">
        <x:v>22</x:v>
      </x:c>
      <x:c r="K81" s="12" t="str">
        <x:f t="shared" si="46"/>
        <x:v>B11</x:v>
      </x:c>
    </x:row>
    <x:row r="82" ht="21" customHeight="1">
      <x:c r="A82" s="12" t="str">
        <x:f t="shared" si="45"/>
        <x:v> ЯВЗ-31-IP54 УХЛ2 100А</x:v>
      </x:c>
      <x:c r="B82" s="13" t="s">
        <x:v>46</x:v>
      </x:c>
      <x:c r="C82" s="14" t="s">
        <x:v>47</x:v>
      </x:c>
      <x:c r="D82" s="12" t="s">
        <x:v>48</x:v>
      </x:c>
      <x:c r="E82" s="13">
        <x:v>6835</x:v>
      </x:c>
      <x:c r="F82" s="15" t="n">
        <x:f>E82</x:f>
        <x:v>6835</x:v>
      </x:c>
      <x:c r="G82" s="15" t="n">
        <x:f>F82*H82</x:f>
        <x:v>6835</x:v>
      </x:c>
      <x:c r="H82" s="16">
        <x:v>1</x:v>
      </x:c>
      <x:c r="I82" s="17" t="s">
        <x:v>17</x:v>
      </x:c>
      <x:c r="J82" s="13" t="s">
        <x:v>49</x:v>
      </x:c>
      <x:c r="K82" s="12" t="str">
        <x:f t="shared" si="46"/>
        <x:v>B11</x:v>
      </x:c>
    </x:row>
    <x:row r="83" ht="24" customHeight="1">
      <x:c r="A83" s="12" t="str">
        <x:f t="shared" si="45"/>
        <x:v> ЯВЗ-31-IP54 УХЛ2 100А</x:v>
      </x:c>
      <x:c r="B83" s="12" t="s">
        <x:v>33</x:v>
      </x:c>
      <x:c r="C83" s="18" t="s">
        <x:v>33</x:v>
      </x:c>
      <x:c r="D83" s="12" t="s">
        <x:v>33</x:v>
      </x:c>
      <x:c r="E83" s="12">
        <x:f>OFFSET(E83,1,2)</x:f>
        <x:v>0</x:v>
      </x:c>
      <x:c r="F83" s="15" t="n">
        <x:f>E83</x:f>
        <x:v>0</x:v>
      </x:c>
      <x:c r="G83" s="15" t="n">
        <x:f t="shared" ref="G83" si="47">F83*H83</x:f>
        <x:v>0</x:v>
      </x:c>
      <x:c r="H83" s="12"/>
      <x:c r="I83" s="12" t="s">
        <x:v>17</x:v>
      </x:c>
      <x:c r="J83" s="12" t="s">
        <x:v>33</x:v>
      </x:c>
      <x:c r="K83" s="12" t="str">
        <x:f t="shared" si="46"/>
        <x:v>B11</x:v>
      </x:c>
    </x:row>
    <x:row r="84" ht="21" customHeight="1">
      <x:c r="A84" s="12" t="str">
        <x:f t="shared" si="45"/>
        <x:v> ЯВЗ-31-IP54 УХЛ2 100А</x:v>
      </x:c>
      <x:c r="B84" s="12" t="s">
        <x:v>34</x:v>
      </x:c>
      <x:c r="C84" s="18" t="s">
        <x:v>34</x:v>
      </x:c>
      <x:c r="D84" s="12" t="s">
        <x:v>34</x:v>
      </x:c>
      <x:c r="E84" s="12"/>
      <x:c r="F84" s="15">
        <x:v>100</x:v>
      </x:c>
      <x:c r="G84" s="15" t="n">
        <x:f>60*E84*F84</x:f>
        <x:v>0</x:v>
      </x:c>
      <x:c r="H84" s="12" t="n">
        <x:f>60*E84</x:f>
        <x:v>0</x:v>
      </x:c>
      <x:c r="I84" s="12" t="s">
        <x:v>17</x:v>
      </x:c>
      <x:c r="J84" s="12" t="s">
        <x:v>34</x:v>
      </x:c>
      <x:c r="K84" s="12" t="str">
        <x:f t="shared" si="46"/>
        <x:v>B11</x:v>
      </x:c>
    </x:row>
    <x:row r="85" ht="30" customHeight="1">
      <x:c r="A85" s="12" t="str">
        <x:f t="shared" si="45"/>
        <x:v> ЯВЗ-31-IP54 УХЛ2 100А</x:v>
      </x:c>
      <x:c r="B85" s="19"/>
      <x:c r="C85" s="20"/>
      <x:c r="D85" s="21"/>
      <x:c r="E85" s="23"/>
      <x:c r="F85" s="25"/>
      <x:c r="G85" s="24" t="n">
        <x:f>SUM(G79:G84)</x:f>
        <x:v>13284.4</x:v>
      </x:c>
      <x:c r="H85" s="20"/>
      <x:c r="I85" s="22"/>
      <x:c r="J85" s="20"/>
      <x:c r="K85" s="12" t="str">
        <x:f t="shared" si="46"/>
        <x:v>B11</x:v>
      </x:c>
    </x:row>
    <x:row r="86" ht="39.75" customHeight="1">
      <x:c r="A86" s="5" t="str">
        <x:f>D86</x:f>
        <x:v>ЯТП-0,25-220/36 036УХЛ4</x:v>
      </x:c>
      <x:c r="B86" s="6"/>
      <x:c r="C86" s="7"/>
      <x:c r="D86" s="6" t="s">
        <x:v>50</x:v>
      </x:c>
      <x:c r="E86" s="8"/>
      <x:c r="F86" s="8"/>
      <x:c r="G86" s="9"/>
      <x:c r="H86" s="10">
        <x:v>1</x:v>
      </x:c>
      <x:c r="I86" s="11" t="s">
        <x:v>11</x:v>
      </x:c>
      <x:c r="J86" s="6" t="s">
        <x:v>12</x:v>
      </x:c>
      <x:c r="K86" s="5" t="s">
        <x:v>71</x:v>
      </x:c>
    </x:row>
    <x:row r="87" ht="39.75" customHeight="1">
      <x:c r="A87" s="5" t="str">
        <x:f>D87</x:f>
        <x:v>ГРЩ (В14)</x:v>
      </x:c>
      <x:c r="B87" s="6"/>
      <x:c r="C87" s="7"/>
      <x:c r="D87" s="6" t="s">
        <x:v>79</x:v>
      </x:c>
      <x:c r="E87" s="8"/>
      <x:c r="F87" s="8"/>
      <x:c r="G87" s="9"/>
      <x:c r="H87" s="10">
        <x:v>1</x:v>
      </x:c>
      <x:c r="I87" s="11" t="s">
        <x:v>11</x:v>
      </x:c>
      <x:c r="J87" s="6" t="s">
        <x:v>12</x:v>
      </x:c>
      <x:c r="K87" s="5" t="s">
        <x:v>80</x:v>
      </x:c>
    </x:row>
    <x:row r="88" ht="21" customHeight="1">
      <x:c r="A88" s="12" t="str">
        <x:f>A87</x:f>
        <x:v>ГРЩ (В14)</x:v>
      </x:c>
      <x:c r="B88" s="13" t="s">
        <x:v>14</x:v>
      </x:c>
      <x:c r="C88" s="14" t="s">
        <x:v>36</x:v>
      </x:c>
      <x:c r="D88" s="12" t="s">
        <x:v>37</x:v>
      </x:c>
      <x:c r="E88" s="13">
        <x:v>14695</x:v>
      </x:c>
      <x:c r="F88" s="15" t="n">
        <x:f t="shared" ref="F88:F93" si="48">E88*0.6</x:f>
        <x:v>8817</x:v>
      </x:c>
      <x:c r="G88" s="15" t="n">
        <x:f>H88*F88</x:f>
        <x:v>8817</x:v>
      </x:c>
      <x:c r="H88" s="16">
        <x:v>1</x:v>
      </x:c>
      <x:c r="I88" s="17" t="s">
        <x:v>17</x:v>
      </x:c>
      <x:c r="J88" s="13" t="s">
        <x:v>18</x:v>
      </x:c>
      <x:c r="K88" s="12" t="str">
        <x:f>K87</x:f>
        <x:v>B14</x:v>
      </x:c>
    </x:row>
    <x:row r="89" ht="21" customHeight="1">
      <x:c r="A89" s="12" t="str">
        <x:f t="shared" ref="A89:A96" si="49">A88</x:f>
        <x:v>ГРЩ (В14)</x:v>
      </x:c>
      <x:c r="B89" s="13" t="s">
        <x:v>23</x:v>
      </x:c>
      <x:c r="C89" s="14" t="s">
        <x:v>57</x:v>
      </x:c>
      <x:c r="D89" s="12" t="s">
        <x:v>58</x:v>
      </x:c>
      <x:c r="E89" s="13">
        <x:v>2429</x:v>
      </x:c>
      <x:c r="F89" s="15">
        <x:f t="shared" si="48"/>
        <x:v>1457.3999999999999</x:v>
      </x:c>
      <x:c r="G89" s="15" t="n">
        <x:f>F89*H89</x:f>
        <x:v>1457.3999999999999</x:v>
      </x:c>
      <x:c r="H89" s="16">
        <x:v>1</x:v>
      </x:c>
      <x:c r="I89" s="17" t="s">
        <x:v>17</x:v>
      </x:c>
      <x:c r="J89" s="13" t="s">
        <x:v>22</x:v>
      </x:c>
      <x:c r="K89" s="12" t="str">
        <x:f t="shared" ref="K89" si="50">K88</x:f>
        <x:v>B14</x:v>
      </x:c>
    </x:row>
    <x:row r="90" ht="21" customHeight="1">
      <x:c r="A90" s="12" t="str">
        <x:f t="shared" si="49"/>
        <x:v>ГРЩ (В14)</x:v>
      </x:c>
      <x:c r="B90" s="13" t="s">
        <x:v>23</x:v>
      </x:c>
      <x:c r="C90" s="14" t="s">
        <x:v>81</x:v>
      </x:c>
      <x:c r="D90" s="12" t="s">
        <x:v>82</x:v>
      </x:c>
      <x:c r="E90" s="13">
        <x:v>2499</x:v>
      </x:c>
      <x:c r="F90" s="15">
        <x:f t="shared" si="48"/>
        <x:v>1499.3999999999999</x:v>
      </x:c>
      <x:c r="G90" s="15" t="n">
        <x:f>F90*H90</x:f>
        <x:v>1499.3999999999999</x:v>
      </x:c>
      <x:c r="H90" s="16">
        <x:v>1</x:v>
      </x:c>
      <x:c r="I90" s="17" t="s">
        <x:v>17</x:v>
      </x:c>
      <x:c r="J90" s="13" t="s">
        <x:v>22</x:v>
      </x:c>
      <x:c r="K90" s="12" t="str">
        <x:f t="shared" ref="K90:K96" si="51">K89</x:f>
        <x:v>B14</x:v>
      </x:c>
    </x:row>
    <x:row r="91" ht="21" customHeight="1">
      <x:c r="A91" s="12" t="str">
        <x:f t="shared" si="49"/>
        <x:v>ГРЩ (В14)</x:v>
      </x:c>
      <x:c r="B91" s="13" t="s">
        <x:v>23</x:v>
      </x:c>
      <x:c r="C91" s="14" t="s">
        <x:v>26</x:v>
      </x:c>
      <x:c r="D91" s="12" t="s">
        <x:v>27</x:v>
      </x:c>
      <x:c r="E91" s="13">
        <x:v>2337</x:v>
      </x:c>
      <x:c r="F91" s="15">
        <x:f t="shared" si="48"/>
        <x:v>1402.2</x:v>
      </x:c>
      <x:c r="G91" s="15" t="n">
        <x:f>F91*H91</x:f>
        <x:v>4206.6</x:v>
      </x:c>
      <x:c r="H91" s="16">
        <x:v>3</x:v>
      </x:c>
      <x:c r="I91" s="17" t="s">
        <x:v>17</x:v>
      </x:c>
      <x:c r="J91" s="13" t="s">
        <x:v>22</x:v>
      </x:c>
      <x:c r="K91" s="12" t="str">
        <x:f t="shared" si="51"/>
        <x:v>B14</x:v>
      </x:c>
    </x:row>
    <x:row r="92" ht="21" customHeight="1">
      <x:c r="A92" s="12" t="str">
        <x:f t="shared" si="49"/>
        <x:v>ГРЩ (В14)</x:v>
      </x:c>
      <x:c r="B92" s="13" t="s">
        <x:v>23</x:v>
      </x:c>
      <x:c r="C92" s="14" t="s">
        <x:v>28</x:v>
      </x:c>
      <x:c r="D92" s="12" t="s">
        <x:v>29</x:v>
      </x:c>
      <x:c r="E92" s="13">
        <x:v>1389</x:v>
      </x:c>
      <x:c r="F92" s="15">
        <x:f t="shared" si="48"/>
        <x:v>833.4</x:v>
      </x:c>
      <x:c r="G92" s="15" t="n">
        <x:f>F92*H92</x:f>
        <x:v>1666.8</x:v>
      </x:c>
      <x:c r="H92" s="16">
        <x:v>2</x:v>
      </x:c>
      <x:c r="I92" s="17" t="s">
        <x:v>17</x:v>
      </x:c>
      <x:c r="J92" s="13" t="s">
        <x:v>22</x:v>
      </x:c>
      <x:c r="K92" s="12" t="str">
        <x:f t="shared" si="51"/>
        <x:v>B14</x:v>
      </x:c>
    </x:row>
    <x:row r="93" ht="21" customHeight="1">
      <x:c r="A93" s="12" t="str">
        <x:f t="shared" si="49"/>
        <x:v>ГРЩ (В14)</x:v>
      </x:c>
      <x:c r="B93" s="13" t="s">
        <x:v>30</x:v>
      </x:c>
      <x:c r="C93" s="14" t="s">
        <x:v>59</x:v>
      </x:c>
      <x:c r="D93" s="12" t="s">
        <x:v>60</x:v>
      </x:c>
      <x:c r="E93" s="13">
        <x:v>5354</x:v>
      </x:c>
      <x:c r="F93" s="15">
        <x:f t="shared" si="48"/>
        <x:v>3212.4</x:v>
      </x:c>
      <x:c r="G93" s="15" t="n">
        <x:f>F93*H93</x:f>
        <x:v>3212.4</x:v>
      </x:c>
      <x:c r="H93" s="16">
        <x:v>1</x:v>
      </x:c>
      <x:c r="I93" s="17" t="s">
        <x:v>17</x:v>
      </x:c>
      <x:c r="J93" s="13" t="s">
        <x:v>22</x:v>
      </x:c>
      <x:c r="K93" s="12" t="str">
        <x:f t="shared" si="51"/>
        <x:v>B14</x:v>
      </x:c>
    </x:row>
    <x:row r="94" ht="24" customHeight="1">
      <x:c r="A94" s="12" t="str">
        <x:f t="shared" si="49"/>
        <x:v>ГРЩ (В14)</x:v>
      </x:c>
      <x:c r="B94" s="12" t="s">
        <x:v>33</x:v>
      </x:c>
      <x:c r="C94" s="18" t="s">
        <x:v>33</x:v>
      </x:c>
      <x:c r="D94" s="12" t="s">
        <x:v>33</x:v>
      </x:c>
      <x:c r="E94" s="12">
        <x:f>OFFSET(E94,1,2)</x:f>
        <x:v>0</x:v>
      </x:c>
      <x:c r="F94" s="15" t="n">
        <x:f>E94</x:f>
        <x:v>0</x:v>
      </x:c>
      <x:c r="G94" s="15" t="n">
        <x:f t="shared" ref="G94" si="52">F94*H94</x:f>
        <x:v>0</x:v>
      </x:c>
      <x:c r="H94" s="12"/>
      <x:c r="I94" s="12" t="s">
        <x:v>17</x:v>
      </x:c>
      <x:c r="J94" s="12" t="s">
        <x:v>33</x:v>
      </x:c>
      <x:c r="K94" s="12" t="str">
        <x:f t="shared" si="51"/>
        <x:v>B14</x:v>
      </x:c>
    </x:row>
    <x:row r="95" ht="21" customHeight="1">
      <x:c r="A95" s="12" t="str">
        <x:f t="shared" si="49"/>
        <x:v>ГРЩ (В14)</x:v>
      </x:c>
      <x:c r="B95" s="12" t="s">
        <x:v>34</x:v>
      </x:c>
      <x:c r="C95" s="18" t="s">
        <x:v>34</x:v>
      </x:c>
      <x:c r="D95" s="12" t="s">
        <x:v>34</x:v>
      </x:c>
      <x:c r="E95" s="12"/>
      <x:c r="F95" s="15">
        <x:v>100</x:v>
      </x:c>
      <x:c r="G95" s="15" t="n">
        <x:f>60*E95*F95</x:f>
        <x:v>0</x:v>
      </x:c>
      <x:c r="H95" s="12" t="n">
        <x:f>60*E95</x:f>
        <x:v>0</x:v>
      </x:c>
      <x:c r="I95" s="12" t="s">
        <x:v>17</x:v>
      </x:c>
      <x:c r="J95" s="12" t="s">
        <x:v>34</x:v>
      </x:c>
      <x:c r="K95" s="12" t="str">
        <x:f t="shared" si="51"/>
        <x:v>B14</x:v>
      </x:c>
    </x:row>
    <x:row r="96" ht="30" customHeight="1">
      <x:c r="A96" s="12" t="str">
        <x:f t="shared" si="49"/>
        <x:v>ГРЩ (В14)</x:v>
      </x:c>
      <x:c r="B96" s="19"/>
      <x:c r="C96" s="20"/>
      <x:c r="D96" s="21"/>
      <x:c r="E96" s="23"/>
      <x:c r="F96" s="25"/>
      <x:c r="G96" s="24" t="n">
        <x:f>SUM(G88:G95)</x:f>
        <x:v>20859.600000000002</x:v>
      </x:c>
      <x:c r="H96" s="20"/>
      <x:c r="I96" s="22"/>
      <x:c r="J96" s="20"/>
      <x:c r="K96" s="12" t="str">
        <x:f t="shared" si="51"/>
        <x:v>B14</x:v>
      </x:c>
    </x:row>
    <x:row r="97" ht="39.75" customHeight="1">
      <x:c r="A97" s="5" t="str">
        <x:f>D97</x:f>
        <x:v>РПВ (В14)</x:v>
      </x:c>
      <x:c r="B97" s="6"/>
      <x:c r="C97" s="7"/>
      <x:c r="D97" s="6" t="s">
        <x:v>83</x:v>
      </x:c>
      <x:c r="E97" s="8"/>
      <x:c r="F97" s="8"/>
      <x:c r="G97" s="9"/>
      <x:c r="H97" s="10">
        <x:v>1</x:v>
      </x:c>
      <x:c r="I97" s="11" t="s">
        <x:v>11</x:v>
      </x:c>
      <x:c r="J97" s="6" t="s">
        <x:v>12</x:v>
      </x:c>
      <x:c r="K97" s="5" t="s">
        <x:v>80</x:v>
      </x:c>
    </x:row>
    <x:row r="98" ht="21" customHeight="1">
      <x:c r="A98" s="12" t="str">
        <x:f>A97</x:f>
        <x:v>РПВ (В14)</x:v>
      </x:c>
      <x:c r="B98" s="13" t="s">
        <x:v>14</x:v>
      </x:c>
      <x:c r="C98" s="14" t="s">
        <x:v>75</x:v>
      </x:c>
      <x:c r="D98" s="12" t="s">
        <x:v>76</x:v>
      </x:c>
      <x:c r="E98" s="13">
        <x:v>10270</x:v>
      </x:c>
      <x:c r="F98" s="15" t="n">
        <x:f>E98*0.6</x:f>
        <x:v>6162</x:v>
      </x:c>
      <x:c r="G98" s="15" t="n">
        <x:f>H98*F98</x:f>
        <x:v>6162</x:v>
      </x:c>
      <x:c r="H98" s="16">
        <x:v>1</x:v>
      </x:c>
      <x:c r="I98" s="17" t="s">
        <x:v>17</x:v>
      </x:c>
      <x:c r="J98" s="13" t="s">
        <x:v>18</x:v>
      </x:c>
      <x:c r="K98" s="12" t="str">
        <x:f>K97</x:f>
        <x:v>B14</x:v>
      </x:c>
    </x:row>
    <x:row r="99" ht="21" customHeight="1">
      <x:c r="A99" s="12" t="str">
        <x:f t="shared" ref="A99:A103" si="53">A98</x:f>
        <x:v>РПВ (В14)</x:v>
      </x:c>
      <x:c r="B99" s="13" t="s">
        <x:v>23</x:v>
      </x:c>
      <x:c r="C99" s="14" t="s">
        <x:v>26</x:v>
      </x:c>
      <x:c r="D99" s="12" t="s">
        <x:v>27</x:v>
      </x:c>
      <x:c r="E99" s="13">
        <x:v>2337</x:v>
      </x:c>
      <x:c r="F99" s="15" t="n">
        <x:f>E99*0.6</x:f>
        <x:v>1402.2</x:v>
      </x:c>
      <x:c r="G99" s="15" t="n">
        <x:f>F99*H99</x:f>
        <x:v>1402.2</x:v>
      </x:c>
      <x:c r="H99" s="16">
        <x:v>1</x:v>
      </x:c>
      <x:c r="I99" s="17" t="s">
        <x:v>17</x:v>
      </x:c>
      <x:c r="J99" s="13" t="s">
        <x:v>22</x:v>
      </x:c>
      <x:c r="K99" s="12" t="str">
        <x:f t="shared" ref="K99:K103" si="54">K98</x:f>
        <x:v>B14</x:v>
      </x:c>
    </x:row>
    <x:row r="100" ht="21" customHeight="1">
      <x:c r="A100" s="12" t="str">
        <x:f t="shared" si="53"/>
        <x:v>РПВ (В14)</x:v>
      </x:c>
      <x:c r="B100" s="13" t="s">
        <x:v>23</x:v>
      </x:c>
      <x:c r="C100" s="14" t="s">
        <x:v>28</x:v>
      </x:c>
      <x:c r="D100" s="12" t="s">
        <x:v>29</x:v>
      </x:c>
      <x:c r="E100" s="13">
        <x:v>1389</x:v>
      </x:c>
      <x:c r="F100" s="15" t="n">
        <x:f>E100*0.6</x:f>
        <x:v>833.4</x:v>
      </x:c>
      <x:c r="G100" s="15" t="n">
        <x:f>F100*H100</x:f>
        <x:v>3333.6</x:v>
      </x:c>
      <x:c r="H100" s="16">
        <x:v>4</x:v>
      </x:c>
      <x:c r="I100" s="17" t="s">
        <x:v>17</x:v>
      </x:c>
      <x:c r="J100" s="13" t="s">
        <x:v>22</x:v>
      </x:c>
      <x:c r="K100" s="12" t="str">
        <x:f t="shared" si="54"/>
        <x:v>B14</x:v>
      </x:c>
    </x:row>
    <x:row r="101" ht="24" customHeight="1">
      <x:c r="A101" s="12" t="str">
        <x:f t="shared" si="53"/>
        <x:v>РПВ (В14)</x:v>
      </x:c>
      <x:c r="B101" s="12" t="s">
        <x:v>33</x:v>
      </x:c>
      <x:c r="C101" s="18" t="s">
        <x:v>33</x:v>
      </x:c>
      <x:c r="D101" s="12" t="s">
        <x:v>33</x:v>
      </x:c>
      <x:c r="E101" s="12">
        <x:f>OFFSET(E101,1,2)</x:f>
        <x:v>0</x:v>
      </x:c>
      <x:c r="F101" s="15" t="n">
        <x:f>E101</x:f>
        <x:v>0</x:v>
      </x:c>
      <x:c r="G101" s="15" t="n">
        <x:f t="shared" ref="G101" si="55">F101*H101</x:f>
        <x:v>0</x:v>
      </x:c>
      <x:c r="H101" s="12"/>
      <x:c r="I101" s="12" t="s">
        <x:v>17</x:v>
      </x:c>
      <x:c r="J101" s="12" t="s">
        <x:v>33</x:v>
      </x:c>
      <x:c r="K101" s="12" t="str">
        <x:f t="shared" si="54"/>
        <x:v>B14</x:v>
      </x:c>
    </x:row>
    <x:row r="102" ht="21" customHeight="1">
      <x:c r="A102" s="12" t="str">
        <x:f t="shared" si="53"/>
        <x:v>РПВ (В14)</x:v>
      </x:c>
      <x:c r="B102" s="12" t="s">
        <x:v>34</x:v>
      </x:c>
      <x:c r="C102" s="18" t="s">
        <x:v>34</x:v>
      </x:c>
      <x:c r="D102" s="12" t="s">
        <x:v>34</x:v>
      </x:c>
      <x:c r="E102" s="12"/>
      <x:c r="F102" s="15">
        <x:v>100</x:v>
      </x:c>
      <x:c r="G102" s="15" t="n">
        <x:f>60*E102*F102</x:f>
        <x:v>0</x:v>
      </x:c>
      <x:c r="H102" s="12" t="n">
        <x:f>60*E102</x:f>
        <x:v>0</x:v>
      </x:c>
      <x:c r="I102" s="12" t="s">
        <x:v>17</x:v>
      </x:c>
      <x:c r="J102" s="12" t="s">
        <x:v>34</x:v>
      </x:c>
      <x:c r="K102" s="12" t="str">
        <x:f t="shared" si="54"/>
        <x:v>B14</x:v>
      </x:c>
    </x:row>
    <x:row r="103" ht="30" customHeight="1">
      <x:c r="A103" s="12" t="str">
        <x:f t="shared" si="53"/>
        <x:v>РПВ (В14)</x:v>
      </x:c>
      <x:c r="B103" s="19"/>
      <x:c r="C103" s="20"/>
      <x:c r="D103" s="21"/>
      <x:c r="E103" s="23"/>
      <x:c r="F103" s="25"/>
      <x:c r="G103" s="24" t="n">
        <x:f>SUM(G98:G102)</x:f>
        <x:v>10897.8</x:v>
      </x:c>
      <x:c r="H103" s="20"/>
      <x:c r="I103" s="22"/>
      <x:c r="J103" s="20"/>
      <x:c r="K103" s="12" t="str">
        <x:f t="shared" si="54"/>
        <x:v>B14</x:v>
      </x:c>
    </x:row>
    <x:row r="104" ht="39.75" customHeight="1">
      <x:c r="A104" s="5" t="str">
        <x:f>D104</x:f>
        <x:v> ЯВЗ-31-IP54 УХЛ2 100А</x:v>
      </x:c>
      <x:c r="B104" s="6"/>
      <x:c r="C104" s="7"/>
      <x:c r="D104" s="6" t="s">
        <x:v>38</x:v>
      </x:c>
      <x:c r="E104" s="8"/>
      <x:c r="F104" s="8"/>
      <x:c r="G104" s="9"/>
      <x:c r="H104" s="10">
        <x:v>1</x:v>
      </x:c>
      <x:c r="I104" s="11" t="s">
        <x:v>11</x:v>
      </x:c>
      <x:c r="J104" s="6" t="s">
        <x:v>12</x:v>
      </x:c>
      <x:c r="K104" s="5" t="s">
        <x:v>80</x:v>
      </x:c>
    </x:row>
    <x:row r="105" ht="21" customHeight="1">
      <x:c r="A105" s="12" t="str">
        <x:f>A104</x:f>
        <x:v> ЯВЗ-31-IP54 УХЛ2 100А</x:v>
      </x:c>
      <x:c r="B105" s="13" t="s">
        <x:v>14</x:v>
      </x:c>
      <x:c r="C105" s="14" t="s">
        <x:v>39</x:v>
      </x:c>
      <x:c r="D105" s="12" t="s">
        <x:v>40</x:v>
      </x:c>
      <x:c r="E105" s="13"/>
      <x:c r="F105" s="15" t="n">
        <x:f>E105*0.6</x:f>
        <x:v>0</x:v>
      </x:c>
      <x:c r="G105" s="15" t="n">
        <x:f>H105*F105</x:f>
        <x:v>0</x:v>
      </x:c>
      <x:c r="H105" s="16">
        <x:v>1</x:v>
      </x:c>
      <x:c r="I105" s="17" t="s">
        <x:v>17</x:v>
      </x:c>
      <x:c r="J105" s="13" t="s">
        <x:v>18</x:v>
      </x:c>
      <x:c r="K105" s="12" t="str">
        <x:f>K104</x:f>
        <x:v>B14</x:v>
      </x:c>
    </x:row>
    <x:row r="106" ht="21" customHeight="1">
      <x:c r="A106" s="12" t="str">
        <x:f t="shared" ref="A106:A111" si="56">A105</x:f>
        <x:v> ЯВЗ-31-IP54 УХЛ2 100А</x:v>
      </x:c>
      <x:c r="B106" s="13" t="s">
        <x:v>41</x:v>
      </x:c>
      <x:c r="C106" s="14" t="s">
        <x:v>42</x:v>
      </x:c>
      <x:c r="D106" s="12" t="s">
        <x:v>43</x:v>
      </x:c>
      <x:c r="E106" s="13">
        <x:v>1545</x:v>
      </x:c>
      <x:c r="F106" s="15" t="n">
        <x:f>E106*0.6</x:f>
        <x:v>927</x:v>
      </x:c>
      <x:c r="G106" s="15" t="n">
        <x:f>F106*H106</x:f>
        <x:v>2781</x:v>
      </x:c>
      <x:c r="H106" s="16">
        <x:v>3</x:v>
      </x:c>
      <x:c r="I106" s="17" t="s">
        <x:v>17</x:v>
      </x:c>
      <x:c r="J106" s="13" t="s">
        <x:v>22</x:v>
      </x:c>
      <x:c r="K106" s="12" t="str">
        <x:f t="shared" ref="K106:K111" si="57">K105</x:f>
        <x:v>B14</x:v>
      </x:c>
    </x:row>
    <x:row r="107" ht="21" customHeight="1">
      <x:c r="A107" s="12" t="str">
        <x:f t="shared" si="56"/>
        <x:v> ЯВЗ-31-IP54 УХЛ2 100А</x:v>
      </x:c>
      <x:c r="B107" s="13" t="s">
        <x:v>41</x:v>
      </x:c>
      <x:c r="C107" s="14" t="s">
        <x:v>44</x:v>
      </x:c>
      <x:c r="D107" s="12" t="s">
        <x:v>45</x:v>
      </x:c>
      <x:c r="E107" s="13">
        <x:v>2038</x:v>
      </x:c>
      <x:c r="F107" s="15" t="n">
        <x:f>E107*0.6</x:f>
        <x:v>1222.8</x:v>
      </x:c>
      <x:c r="G107" s="15" t="n">
        <x:f>F107*H107</x:f>
        <x:v>3668.3999999999996</x:v>
      </x:c>
      <x:c r="H107" s="16">
        <x:v>3</x:v>
      </x:c>
      <x:c r="I107" s="17" t="s">
        <x:v>17</x:v>
      </x:c>
      <x:c r="J107" s="13" t="s">
        <x:v>22</x:v>
      </x:c>
      <x:c r="K107" s="12" t="str">
        <x:f t="shared" si="57"/>
        <x:v>B14</x:v>
      </x:c>
    </x:row>
    <x:row r="108" ht="21" customHeight="1">
      <x:c r="A108" s="12" t="str">
        <x:f t="shared" si="56"/>
        <x:v> ЯВЗ-31-IP54 УХЛ2 100А</x:v>
      </x:c>
      <x:c r="B108" s="13" t="s">
        <x:v>46</x:v>
      </x:c>
      <x:c r="C108" s="14" t="s">
        <x:v>47</x:v>
      </x:c>
      <x:c r="D108" s="12" t="s">
        <x:v>48</x:v>
      </x:c>
      <x:c r="E108" s="13">
        <x:v>6835</x:v>
      </x:c>
      <x:c r="F108" s="15" t="n">
        <x:f>E108</x:f>
        <x:v>6835</x:v>
      </x:c>
      <x:c r="G108" s="15" t="n">
        <x:f>F108*H108</x:f>
        <x:v>6835</x:v>
      </x:c>
      <x:c r="H108" s="16">
        <x:v>1</x:v>
      </x:c>
      <x:c r="I108" s="17" t="s">
        <x:v>17</x:v>
      </x:c>
      <x:c r="J108" s="13" t="s">
        <x:v>49</x:v>
      </x:c>
      <x:c r="K108" s="12" t="str">
        <x:f t="shared" si="57"/>
        <x:v>B14</x:v>
      </x:c>
    </x:row>
    <x:row r="109" ht="24" customHeight="1">
      <x:c r="A109" s="12" t="str">
        <x:f t="shared" si="56"/>
        <x:v> ЯВЗ-31-IP54 УХЛ2 100А</x:v>
      </x:c>
      <x:c r="B109" s="12" t="s">
        <x:v>33</x:v>
      </x:c>
      <x:c r="C109" s="18" t="s">
        <x:v>33</x:v>
      </x:c>
      <x:c r="D109" s="12" t="s">
        <x:v>33</x:v>
      </x:c>
      <x:c r="E109" s="12">
        <x:f>OFFSET(E109,1,2)</x:f>
        <x:v>0</x:v>
      </x:c>
      <x:c r="F109" s="15" t="n">
        <x:f>E109</x:f>
        <x:v>0</x:v>
      </x:c>
      <x:c r="G109" s="15" t="n">
        <x:f t="shared" ref="G109" si="58">F109*H109</x:f>
        <x:v>0</x:v>
      </x:c>
      <x:c r="H109" s="12"/>
      <x:c r="I109" s="12" t="s">
        <x:v>17</x:v>
      </x:c>
      <x:c r="J109" s="12" t="s">
        <x:v>33</x:v>
      </x:c>
      <x:c r="K109" s="12" t="str">
        <x:f t="shared" si="57"/>
        <x:v>B14</x:v>
      </x:c>
    </x:row>
    <x:row r="110" ht="21" customHeight="1">
      <x:c r="A110" s="12" t="str">
        <x:f t="shared" si="56"/>
        <x:v> ЯВЗ-31-IP54 УХЛ2 100А</x:v>
      </x:c>
      <x:c r="B110" s="12" t="s">
        <x:v>34</x:v>
      </x:c>
      <x:c r="C110" s="18" t="s">
        <x:v>34</x:v>
      </x:c>
      <x:c r="D110" s="12" t="s">
        <x:v>34</x:v>
      </x:c>
      <x:c r="E110" s="12"/>
      <x:c r="F110" s="15">
        <x:v>100</x:v>
      </x:c>
      <x:c r="G110" s="15" t="n">
        <x:f>60*E110*F110</x:f>
        <x:v>0</x:v>
      </x:c>
      <x:c r="H110" s="12" t="n">
        <x:f>60*E110</x:f>
        <x:v>0</x:v>
      </x:c>
      <x:c r="I110" s="12" t="s">
        <x:v>17</x:v>
      </x:c>
      <x:c r="J110" s="12" t="s">
        <x:v>34</x:v>
      </x:c>
      <x:c r="K110" s="12" t="str">
        <x:f t="shared" si="57"/>
        <x:v>B14</x:v>
      </x:c>
    </x:row>
    <x:row r="111" ht="30" customHeight="1">
      <x:c r="A111" s="12" t="str">
        <x:f t="shared" si="56"/>
        <x:v> ЯВЗ-31-IP54 УХЛ2 100А</x:v>
      </x:c>
      <x:c r="B111" s="19"/>
      <x:c r="C111" s="20"/>
      <x:c r="D111" s="21"/>
      <x:c r="E111" s="23"/>
      <x:c r="F111" s="25"/>
      <x:c r="G111" s="24" t="n">
        <x:f>SUM(G105:G110)</x:f>
        <x:v>13284.4</x:v>
      </x:c>
      <x:c r="H111" s="20"/>
      <x:c r="I111" s="22"/>
      <x:c r="J111" s="20"/>
      <x:c r="K111" s="12" t="str">
        <x:f t="shared" si="57"/>
        <x:v>B14</x:v>
      </x:c>
    </x:row>
    <x:row r="112" ht="39.75" customHeight="1">
      <x:c r="A112" s="5" t="str">
        <x:f>D112</x:f>
        <x:v>ЯТП-0,25-220/36 036УХЛ4</x:v>
      </x:c>
      <x:c r="B112" s="6"/>
      <x:c r="C112" s="7"/>
      <x:c r="D112" s="6" t="s">
        <x:v>50</x:v>
      </x:c>
      <x:c r="E112" s="8"/>
      <x:c r="F112" s="8"/>
      <x:c r="G112" s="9"/>
      <x:c r="H112" s="10">
        <x:v>1</x:v>
      </x:c>
      <x:c r="I112" s="11" t="s">
        <x:v>11</x:v>
      </x:c>
      <x:c r="J112" s="6" t="s">
        <x:v>12</x:v>
      </x:c>
      <x:c r="K112" s="5" t="s">
        <x:v>80</x:v>
      </x:c>
    </x:row>
    <x:row r="113" ht="39.75" customHeight="1">
      <x:c r="A113" s="5" t="str">
        <x:f>D113</x:f>
        <x:v>ГРЩ (В16)</x:v>
      </x:c>
      <x:c r="B113" s="6"/>
      <x:c r="C113" s="7"/>
      <x:c r="D113" s="6" t="s">
        <x:v>84</x:v>
      </x:c>
      <x:c r="E113" s="8"/>
      <x:c r="F113" s="8"/>
      <x:c r="G113" s="9"/>
      <x:c r="H113" s="10">
        <x:v>1</x:v>
      </x:c>
      <x:c r="I113" s="11" t="s">
        <x:v>11</x:v>
      </x:c>
      <x:c r="J113" s="6" t="s">
        <x:v>12</x:v>
      </x:c>
      <x:c r="K113" s="5" t="s">
        <x:v>85</x:v>
      </x:c>
    </x:row>
    <x:row r="114" ht="21" customHeight="1">
      <x:c r="A114" s="12" t="str">
        <x:f>A113</x:f>
        <x:v>ГРЩ (В16)</x:v>
      </x:c>
      <x:c r="B114" s="13" t="s">
        <x:v>14</x:v>
      </x:c>
      <x:c r="C114" s="14" t="s">
        <x:v>15</x:v>
      </x:c>
      <x:c r="D114" s="12" t="s">
        <x:v>16</x:v>
      </x:c>
      <x:c r="E114" s="13">
        <x:v>13410</x:v>
      </x:c>
      <x:c r="F114" s="15" t="n">
        <x:f>E114*0.6</x:f>
        <x:v>8046</x:v>
      </x:c>
      <x:c r="G114" s="15" t="n">
        <x:f>H114*F114</x:f>
        <x:v>8046</x:v>
      </x:c>
      <x:c r="H114" s="16">
        <x:v>1</x:v>
      </x:c>
      <x:c r="I114" s="17" t="s">
        <x:v>17</x:v>
      </x:c>
      <x:c r="J114" s="13" t="s">
        <x:v>18</x:v>
      </x:c>
      <x:c r="K114" s="12" t="str">
        <x:f>K113</x:f>
        <x:v>B16</x:v>
      </x:c>
    </x:row>
    <x:row r="115" ht="21" customHeight="1">
      <x:c r="A115" s="12" t="str">
        <x:f t="shared" ref="A115:A122" si="59">A114</x:f>
        <x:v>ГРЩ (В16)</x:v>
      </x:c>
      <x:c r="B115" s="13" t="s">
        <x:v>23</x:v>
      </x:c>
      <x:c r="C115" s="14" t="s">
        <x:v>24</x:v>
      </x:c>
      <x:c r="D115" s="12" t="s">
        <x:v>25</x:v>
      </x:c>
      <x:c r="E115" s="13">
        <x:v>11015</x:v>
      </x:c>
      <x:c r="F115" s="15" t="n">
        <x:f t="shared" ref="F115:F116" si="60">E115*0.6</x:f>
        <x:v>6609</x:v>
      </x:c>
      <x:c r="G115" s="15" t="n">
        <x:f t="shared" ref="G115:G116" si="61">F115*H115</x:f>
        <x:v>6609</x:v>
      </x:c>
      <x:c r="H115" s="16">
        <x:v>1</x:v>
      </x:c>
      <x:c r="I115" s="17" t="s">
        <x:v>17</x:v>
      </x:c>
      <x:c r="J115" s="13" t="s">
        <x:v>22</x:v>
      </x:c>
      <x:c r="K115" s="12" t="str">
        <x:f t="shared" ref="K115:K122" si="62">K114</x:f>
        <x:v>B16</x:v>
      </x:c>
    </x:row>
    <x:row r="116" ht="21" customHeight="1">
      <x:c r="A116" s="12" t="str">
        <x:f t="shared" si="59"/>
        <x:v>ГРЩ (В16)</x:v>
      </x:c>
      <x:c r="B116" s="13" t="s">
        <x:v>23</x:v>
      </x:c>
      <x:c r="C116" s="14" t="s">
        <x:v>53</x:v>
      </x:c>
      <x:c r="D116" s="12" t="s">
        <x:v>54</x:v>
      </x:c>
      <x:c r="E116" s="13">
        <x:v>10949</x:v>
      </x:c>
      <x:c r="F116" s="15">
        <x:f t="shared" si="60"/>
        <x:v>6569.4</x:v>
      </x:c>
      <x:c r="G116" s="15">
        <x:f t="shared" si="61"/>
        <x:v>6569.4</x:v>
      </x:c>
      <x:c r="H116" s="16">
        <x:v>1</x:v>
      </x:c>
      <x:c r="I116" s="17" t="s">
        <x:v>17</x:v>
      </x:c>
      <x:c r="J116" s="13" t="s">
        <x:v>22</x:v>
      </x:c>
      <x:c r="K116" s="12" t="str">
        <x:f t="shared" si="62"/>
        <x:v>B16</x:v>
      </x:c>
    </x:row>
    <x:row r="117" ht="21" customHeight="1">
      <x:c r="A117" s="12" t="str">
        <x:f t="shared" si="59"/>
        <x:v>ГРЩ (В16)</x:v>
      </x:c>
      <x:c r="B117" s="13" t="s">
        <x:v>23</x:v>
      </x:c>
      <x:c r="C117" s="14" t="s">
        <x:v>26</x:v>
      </x:c>
      <x:c r="D117" s="12" t="s">
        <x:v>27</x:v>
      </x:c>
      <x:c r="E117" s="13">
        <x:v>2337</x:v>
      </x:c>
      <x:c r="F117" s="15" t="n">
        <x:f>E117*0.6</x:f>
        <x:v>1402.2</x:v>
      </x:c>
      <x:c r="G117" s="15" t="n">
        <x:f>F117*H117</x:f>
        <x:v>2804.4</x:v>
      </x:c>
      <x:c r="H117" s="16">
        <x:v>2</x:v>
      </x:c>
      <x:c r="I117" s="17" t="s">
        <x:v>17</x:v>
      </x:c>
      <x:c r="J117" s="13" t="s">
        <x:v>22</x:v>
      </x:c>
      <x:c r="K117" s="12" t="str">
        <x:f t="shared" si="62"/>
        <x:v>B16</x:v>
      </x:c>
    </x:row>
    <x:row r="118" ht="21" customHeight="1">
      <x:c r="A118" s="12" t="str">
        <x:f t="shared" si="59"/>
        <x:v>ГРЩ (В16)</x:v>
      </x:c>
      <x:c r="B118" s="13" t="s">
        <x:v>23</x:v>
      </x:c>
      <x:c r="C118" s="14" t="s">
        <x:v>28</x:v>
      </x:c>
      <x:c r="D118" s="12" t="s">
        <x:v>29</x:v>
      </x:c>
      <x:c r="E118" s="13">
        <x:v>1389</x:v>
      </x:c>
      <x:c r="F118" s="15" t="n">
        <x:f>E118*0.6</x:f>
        <x:v>833.4</x:v>
      </x:c>
      <x:c r="G118" s="15" t="n">
        <x:f>F118*H118</x:f>
        <x:v>4167</x:v>
      </x:c>
      <x:c r="H118" s="16">
        <x:v>5</x:v>
      </x:c>
      <x:c r="I118" s="17" t="s">
        <x:v>17</x:v>
      </x:c>
      <x:c r="J118" s="13" t="s">
        <x:v>22</x:v>
      </x:c>
      <x:c r="K118" s="12" t="str">
        <x:f t="shared" si="62"/>
        <x:v>B16</x:v>
      </x:c>
    </x:row>
    <x:row r="119" ht="21" customHeight="1">
      <x:c r="A119" s="12" t="str">
        <x:f t="shared" si="59"/>
        <x:v>ГРЩ (В16)</x:v>
      </x:c>
      <x:c r="B119" s="13" t="s">
        <x:v>30</x:v>
      </x:c>
      <x:c r="C119" s="14" t="s">
        <x:v>31</x:v>
      </x:c>
      <x:c r="D119" s="12" t="s">
        <x:v>32</x:v>
      </x:c>
      <x:c r="E119" s="13">
        <x:v>4160</x:v>
      </x:c>
      <x:c r="F119" s="15" t="n">
        <x:f>E119*0.6</x:f>
        <x:v>2496</x:v>
      </x:c>
      <x:c r="G119" s="15" t="n">
        <x:f>F119*H119</x:f>
        <x:v>2496</x:v>
      </x:c>
      <x:c r="H119" s="16">
        <x:v>1</x:v>
      </x:c>
      <x:c r="I119" s="17" t="s">
        <x:v>17</x:v>
      </x:c>
      <x:c r="J119" s="13" t="s">
        <x:v>22</x:v>
      </x:c>
      <x:c r="K119" s="12" t="str">
        <x:f t="shared" si="62"/>
        <x:v>B16</x:v>
      </x:c>
    </x:row>
    <x:row r="120" ht="24" customHeight="1">
      <x:c r="A120" s="12" t="str">
        <x:f t="shared" si="59"/>
        <x:v>ГРЩ (В16)</x:v>
      </x:c>
      <x:c r="B120" s="12" t="s">
        <x:v>33</x:v>
      </x:c>
      <x:c r="C120" s="18" t="s">
        <x:v>33</x:v>
      </x:c>
      <x:c r="D120" s="12" t="s">
        <x:v>33</x:v>
      </x:c>
      <x:c r="E120" s="12">
        <x:f>OFFSET(E120,1,2)</x:f>
        <x:v>0</x:v>
      </x:c>
      <x:c r="F120" s="15" t="n">
        <x:f>E120</x:f>
        <x:v>0</x:v>
      </x:c>
      <x:c r="G120" s="15" t="n">
        <x:f t="shared" ref="G120" si="63">F120*H120</x:f>
        <x:v>0</x:v>
      </x:c>
      <x:c r="H120" s="12"/>
      <x:c r="I120" s="12" t="s">
        <x:v>17</x:v>
      </x:c>
      <x:c r="J120" s="12" t="s">
        <x:v>33</x:v>
      </x:c>
      <x:c r="K120" s="12" t="str">
        <x:f t="shared" si="62"/>
        <x:v>B16</x:v>
      </x:c>
    </x:row>
    <x:row r="121" ht="21" customHeight="1">
      <x:c r="A121" s="12" t="str">
        <x:f t="shared" si="59"/>
        <x:v>ГРЩ (В16)</x:v>
      </x:c>
      <x:c r="B121" s="12" t="s">
        <x:v>34</x:v>
      </x:c>
      <x:c r="C121" s="18" t="s">
        <x:v>34</x:v>
      </x:c>
      <x:c r="D121" s="12" t="s">
        <x:v>34</x:v>
      </x:c>
      <x:c r="E121" s="12"/>
      <x:c r="F121" s="15">
        <x:v>100</x:v>
      </x:c>
      <x:c r="G121" s="15" t="n">
        <x:f>60*E121*F121</x:f>
        <x:v>0</x:v>
      </x:c>
      <x:c r="H121" s="12" t="n">
        <x:f>60*E121</x:f>
        <x:v>0</x:v>
      </x:c>
      <x:c r="I121" s="12" t="s">
        <x:v>17</x:v>
      </x:c>
      <x:c r="J121" s="12" t="s">
        <x:v>34</x:v>
      </x:c>
      <x:c r="K121" s="12" t="str">
        <x:f t="shared" si="62"/>
        <x:v>B16</x:v>
      </x:c>
    </x:row>
    <x:row r="122" ht="30" customHeight="1">
      <x:c r="A122" s="12" t="str">
        <x:f t="shared" si="59"/>
        <x:v>ГРЩ (В16)</x:v>
      </x:c>
      <x:c r="B122" s="19"/>
      <x:c r="C122" s="20"/>
      <x:c r="D122" s="21"/>
      <x:c r="E122" s="23"/>
      <x:c r="F122" s="25"/>
      <x:c r="G122" s="24" t="n">
        <x:f>SUM(G114:G121)</x:f>
        <x:v>30691.800000000003</x:v>
      </x:c>
      <x:c r="H122" s="20"/>
      <x:c r="I122" s="22"/>
      <x:c r="J122" s="20"/>
      <x:c r="K122" s="12" t="str">
        <x:f t="shared" si="62"/>
        <x:v>B16</x:v>
      </x:c>
    </x:row>
    <x:row r="123" ht="39.75" customHeight="1">
      <x:c r="A123" s="5" t="str">
        <x:f>D123</x:f>
        <x:v>РПВ (В16)</x:v>
      </x:c>
      <x:c r="B123" s="6"/>
      <x:c r="C123" s="7"/>
      <x:c r="D123" s="6" t="s">
        <x:v>86</x:v>
      </x:c>
      <x:c r="E123" s="8"/>
      <x:c r="F123" s="8"/>
      <x:c r="G123" s="9"/>
      <x:c r="H123" s="10">
        <x:v>1</x:v>
      </x:c>
      <x:c r="I123" s="11" t="s">
        <x:v>11</x:v>
      </x:c>
      <x:c r="J123" s="6" t="s">
        <x:v>12</x:v>
      </x:c>
      <x:c r="K123" s="5" t="s">
        <x:v>85</x:v>
      </x:c>
    </x:row>
    <x:row r="124" ht="21" customHeight="1">
      <x:c r="A124" s="12" t="str">
        <x:f>A123</x:f>
        <x:v>РПВ (В16)</x:v>
      </x:c>
      <x:c r="B124" s="13" t="s">
        <x:v>14</x:v>
      </x:c>
      <x:c r="C124" s="14" t="s">
        <x:v>36</x:v>
      </x:c>
      <x:c r="D124" s="12" t="s">
        <x:v>37</x:v>
      </x:c>
      <x:c r="E124" s="13">
        <x:v>14695</x:v>
      </x:c>
      <x:c r="F124" s="15" t="n">
        <x:f>E124*0.6</x:f>
        <x:v>8817</x:v>
      </x:c>
      <x:c r="G124" s="15" t="n">
        <x:f>H124*F124</x:f>
        <x:v>8817</x:v>
      </x:c>
      <x:c r="H124" s="16">
        <x:v>1</x:v>
      </x:c>
      <x:c r="I124" s="17" t="s">
        <x:v>17</x:v>
      </x:c>
      <x:c r="J124" s="13" t="s">
        <x:v>18</x:v>
      </x:c>
      <x:c r="K124" s="12" t="str">
        <x:f>K123</x:f>
        <x:v>B16</x:v>
      </x:c>
    </x:row>
    <x:row r="125" ht="21" customHeight="1">
      <x:c r="A125" s="12" t="str">
        <x:f t="shared" ref="A125:A126" si="64">A124</x:f>
        <x:v>РПВ (В16)</x:v>
      </x:c>
      <x:c r="B125" s="13" t="s">
        <x:v>23</x:v>
      </x:c>
      <x:c r="C125" s="14" t="s">
        <x:v>55</x:v>
      </x:c>
      <x:c r="D125" s="12" t="s">
        <x:v>56</x:v>
      </x:c>
      <x:c r="E125" s="13">
        <x:v>3172</x:v>
      </x:c>
      <x:c r="F125" s="15" t="n">
        <x:f>E125*0.6</x:f>
        <x:v>1903.1999999999998</x:v>
      </x:c>
      <x:c r="G125" s="15" t="n">
        <x:f>F125*H125</x:f>
        <x:v>1903.1999999999998</x:v>
      </x:c>
      <x:c r="H125" s="16">
        <x:v>1</x:v>
      </x:c>
      <x:c r="I125" s="17" t="s">
        <x:v>17</x:v>
      </x:c>
      <x:c r="J125" s="13" t="s">
        <x:v>22</x:v>
      </x:c>
      <x:c r="K125" s="12" t="str">
        <x:f t="shared" ref="K125:K126" si="65">K124</x:f>
        <x:v>B16</x:v>
      </x:c>
    </x:row>
    <x:row r="126" ht="21" customHeight="1">
      <x:c r="A126" s="12" t="str">
        <x:f t="shared" si="64"/>
        <x:v>РПВ (В16)</x:v>
      </x:c>
      <x:c r="B126" s="13" t="s">
        <x:v>23</x:v>
      </x:c>
      <x:c r="C126" s="14" t="s">
        <x:v>57</x:v>
      </x:c>
      <x:c r="D126" s="12" t="s">
        <x:v>58</x:v>
      </x:c>
      <x:c r="E126" s="13">
        <x:v>2429</x:v>
      </x:c>
      <x:c r="F126" s="15" t="n">
        <x:f>E126*0.6</x:f>
        <x:v>1457.3999999999999</x:v>
      </x:c>
      <x:c r="G126" s="15" t="n">
        <x:f>F126*H126</x:f>
        <x:v>1457.3999999999999</x:v>
      </x:c>
      <x:c r="H126" s="16">
        <x:v>1</x:v>
      </x:c>
      <x:c r="I126" s="17" t="s">
        <x:v>17</x:v>
      </x:c>
      <x:c r="J126" s="13" t="s">
        <x:v>22</x:v>
      </x:c>
      <x:c r="K126" s="12" t="str">
        <x:f t="shared" si="65"/>
        <x:v>B16</x:v>
      </x:c>
    </x:row>
    <x:row r="127" ht="21" customHeight="1">
      <x:c r="A127" s="12" t="str">
        <x:f>A124</x:f>
        <x:v>РПВ (В16)</x:v>
      </x:c>
      <x:c r="B127" s="13" t="s">
        <x:v>23</x:v>
      </x:c>
      <x:c r="C127" s="14" t="s">
        <x:v>26</x:v>
      </x:c>
      <x:c r="D127" s="12" t="s">
        <x:v>27</x:v>
      </x:c>
      <x:c r="E127" s="13">
        <x:v>2337</x:v>
      </x:c>
      <x:c r="F127" s="15" t="n">
        <x:f>E127*0.6</x:f>
        <x:v>1402.2</x:v>
      </x:c>
      <x:c r="G127" s="15" t="n">
        <x:f>F127*H127</x:f>
        <x:v>2804.4</x:v>
      </x:c>
      <x:c r="H127" s="16">
        <x:v>2</x:v>
      </x:c>
      <x:c r="I127" s="17" t="s">
        <x:v>17</x:v>
      </x:c>
      <x:c r="J127" s="13" t="s">
        <x:v>22</x:v>
      </x:c>
      <x:c r="K127" s="12" t="str">
        <x:f>K124</x:f>
        <x:v>B16</x:v>
      </x:c>
    </x:row>
    <x:row r="128" ht="21" customHeight="1">
      <x:c r="A128" s="12" t="str">
        <x:f t="shared" ref="A128:A133" si="66">A127</x:f>
        <x:v>РПВ (В16)</x:v>
      </x:c>
      <x:c r="B128" s="13" t="s">
        <x:v>23</x:v>
      </x:c>
      <x:c r="C128" s="14" t="s">
        <x:v>28</x:v>
      </x:c>
      <x:c r="D128" s="12" t="s">
        <x:v>29</x:v>
      </x:c>
      <x:c r="E128" s="13">
        <x:v>1389</x:v>
      </x:c>
      <x:c r="F128" s="15" t="n">
        <x:f>E128*0.6</x:f>
        <x:v>833.4</x:v>
      </x:c>
      <x:c r="G128" s="15" t="n">
        <x:f>F128*H128</x:f>
        <x:v>4167</x:v>
      </x:c>
      <x:c r="H128" s="16">
        <x:v>5</x:v>
      </x:c>
      <x:c r="I128" s="17" t="s">
        <x:v>17</x:v>
      </x:c>
      <x:c r="J128" s="13" t="s">
        <x:v>22</x:v>
      </x:c>
      <x:c r="K128" s="12" t="str">
        <x:f t="shared" ref="K128:K133" si="67">K127</x:f>
        <x:v>B16</x:v>
      </x:c>
    </x:row>
    <x:row r="129" ht="21" customHeight="1">
      <x:c r="A129" s="12" t="str">
        <x:f t="shared" si="66"/>
        <x:v>РПВ (В16)</x:v>
      </x:c>
      <x:c r="B129" s="13" t="s">
        <x:v>64</x:v>
      </x:c>
      <x:c r="C129" s="14" t="s">
        <x:v>65</x:v>
      </x:c>
      <x:c r="D129" s="12" t="s">
        <x:v>66</x:v>
      </x:c>
      <x:c r="E129" s="13">
        <x:v>5214</x:v>
      </x:c>
      <x:c r="F129" s="15" t="n">
        <x:f t="shared" ref="F129:F130" si="68">E129*0.6</x:f>
        <x:v>3128.4</x:v>
      </x:c>
      <x:c r="G129" s="15" t="n">
        <x:f t="shared" ref="G129:G130" si="69">F129*H129</x:f>
        <x:v>3128.4</x:v>
      </x:c>
      <x:c r="H129" s="16">
        <x:v>1</x:v>
      </x:c>
      <x:c r="I129" s="17" t="s">
        <x:v>17</x:v>
      </x:c>
      <x:c r="J129" s="13" t="s">
        <x:v>22</x:v>
      </x:c>
      <x:c r="K129" s="12" t="str">
        <x:f t="shared" si="67"/>
        <x:v>B16</x:v>
      </x:c>
    </x:row>
    <x:row r="130" ht="21" customHeight="1">
      <x:c r="A130" s="12" t="str">
        <x:f t="shared" si="66"/>
        <x:v>РПВ (В16)</x:v>
      </x:c>
      <x:c r="B130" s="13" t="s">
        <x:v>67</x:v>
      </x:c>
      <x:c r="C130" s="14" t="s">
        <x:v>87</x:v>
      </x:c>
      <x:c r="D130" s="12" t="s">
        <x:v>88</x:v>
      </x:c>
      <x:c r="E130" s="13">
        <x:v>4315</x:v>
      </x:c>
      <x:c r="F130" s="15">
        <x:f t="shared" si="68"/>
        <x:v>2589</x:v>
      </x:c>
      <x:c r="G130" s="15">
        <x:f t="shared" si="69"/>
        <x:v>2589</x:v>
      </x:c>
      <x:c r="H130" s="16">
        <x:v>1</x:v>
      </x:c>
      <x:c r="I130" s="17" t="s">
        <x:v>17</x:v>
      </x:c>
      <x:c r="J130" s="13" t="s">
        <x:v>22</x:v>
      </x:c>
      <x:c r="K130" s="12" t="str">
        <x:f t="shared" si="67"/>
        <x:v>B16</x:v>
      </x:c>
    </x:row>
    <x:row r="131" ht="24" customHeight="1">
      <x:c r="A131" s="12" t="str">
        <x:f>A128</x:f>
        <x:v>РПВ (В16)</x:v>
      </x:c>
      <x:c r="B131" s="12" t="s">
        <x:v>33</x:v>
      </x:c>
      <x:c r="C131" s="18" t="s">
        <x:v>33</x:v>
      </x:c>
      <x:c r="D131" s="12" t="s">
        <x:v>33</x:v>
      </x:c>
      <x:c r="E131" s="12">
        <x:f>OFFSET(E131,1,2)</x:f>
        <x:v>0</x:v>
      </x:c>
      <x:c r="F131" s="15" t="n">
        <x:f>E131</x:f>
        <x:v>0</x:v>
      </x:c>
      <x:c r="G131" s="15" t="n">
        <x:f t="shared" ref="G131" si="70">F131*H131</x:f>
        <x:v>0</x:v>
      </x:c>
      <x:c r="H131" s="12"/>
      <x:c r="I131" s="12" t="s">
        <x:v>17</x:v>
      </x:c>
      <x:c r="J131" s="12" t="s">
        <x:v>33</x:v>
      </x:c>
      <x:c r="K131" s="12" t="str">
        <x:f>K128</x:f>
        <x:v>B16</x:v>
      </x:c>
    </x:row>
    <x:row r="132" ht="21" customHeight="1">
      <x:c r="A132" s="12" t="str">
        <x:f t="shared" si="66"/>
        <x:v>РПВ (В16)</x:v>
      </x:c>
      <x:c r="B132" s="12" t="s">
        <x:v>34</x:v>
      </x:c>
      <x:c r="C132" s="18" t="s">
        <x:v>34</x:v>
      </x:c>
      <x:c r="D132" s="12" t="s">
        <x:v>34</x:v>
      </x:c>
      <x:c r="E132" s="12"/>
      <x:c r="F132" s="15">
        <x:v>100</x:v>
      </x:c>
      <x:c r="G132" s="15" t="n">
        <x:f>60*E132*F132</x:f>
        <x:v>0</x:v>
      </x:c>
      <x:c r="H132" s="12" t="n">
        <x:f>60*E132</x:f>
        <x:v>0</x:v>
      </x:c>
      <x:c r="I132" s="12" t="s">
        <x:v>17</x:v>
      </x:c>
      <x:c r="J132" s="12" t="s">
        <x:v>34</x:v>
      </x:c>
      <x:c r="K132" s="12" t="str">
        <x:f t="shared" si="67"/>
        <x:v>B16</x:v>
      </x:c>
    </x:row>
    <x:row r="133" ht="30" customHeight="1">
      <x:c r="A133" s="12" t="str">
        <x:f t="shared" si="66"/>
        <x:v>РПВ (В16)</x:v>
      </x:c>
      <x:c r="B133" s="19"/>
      <x:c r="C133" s="20"/>
      <x:c r="D133" s="21"/>
      <x:c r="E133" s="23"/>
      <x:c r="F133" s="25"/>
      <x:c r="G133" s="24" t="n">
        <x:f>SUM(G124:G132)</x:f>
        <x:v>24866.4</x:v>
      </x:c>
      <x:c r="H133" s="20"/>
      <x:c r="I133" s="22"/>
      <x:c r="J133" s="20"/>
      <x:c r="K133" s="12" t="str">
        <x:f t="shared" si="67"/>
        <x:v>B16</x:v>
      </x:c>
    </x:row>
    <x:row r="134" ht="39.75" customHeight="1">
      <x:c r="A134" s="5" t="str">
        <x:f>D134</x:f>
        <x:v> ЯВЗ-31-IP54 УХЛ2 100А</x:v>
      </x:c>
      <x:c r="B134" s="6"/>
      <x:c r="C134" s="7"/>
      <x:c r="D134" s="6" t="s">
        <x:v>38</x:v>
      </x:c>
      <x:c r="E134" s="8"/>
      <x:c r="F134" s="8"/>
      <x:c r="G134" s="9"/>
      <x:c r="H134" s="10">
        <x:v>1</x:v>
      </x:c>
      <x:c r="I134" s="11" t="s">
        <x:v>11</x:v>
      </x:c>
      <x:c r="J134" s="6" t="s">
        <x:v>12</x:v>
      </x:c>
      <x:c r="K134" s="5" t="s">
        <x:v>85</x:v>
      </x:c>
    </x:row>
    <x:row r="135" ht="21" customHeight="1">
      <x:c r="A135" s="12" t="str">
        <x:f>A134</x:f>
        <x:v> ЯВЗ-31-IP54 УХЛ2 100А</x:v>
      </x:c>
      <x:c r="B135" s="13" t="s">
        <x:v>14</x:v>
      </x:c>
      <x:c r="C135" s="14" t="s">
        <x:v>39</x:v>
      </x:c>
      <x:c r="D135" s="12" t="s">
        <x:v>40</x:v>
      </x:c>
      <x:c r="E135" s="13"/>
      <x:c r="F135" s="15" t="n">
        <x:f>E135*0.6</x:f>
        <x:v>0</x:v>
      </x:c>
      <x:c r="G135" s="15" t="n">
        <x:f>H135*F135</x:f>
        <x:v>0</x:v>
      </x:c>
      <x:c r="H135" s="16">
        <x:v>1</x:v>
      </x:c>
      <x:c r="I135" s="17" t="s">
        <x:v>17</x:v>
      </x:c>
      <x:c r="J135" s="13" t="s">
        <x:v>18</x:v>
      </x:c>
      <x:c r="K135" s="12" t="str">
        <x:f>K134</x:f>
        <x:v>B16</x:v>
      </x:c>
    </x:row>
    <x:row r="136" ht="21" customHeight="1">
      <x:c r="A136" s="12" t="str">
        <x:f t="shared" ref="A136:A141" si="71">A135</x:f>
        <x:v> ЯВЗ-31-IP54 УХЛ2 100А</x:v>
      </x:c>
      <x:c r="B136" s="13" t="s">
        <x:v>41</x:v>
      </x:c>
      <x:c r="C136" s="14" t="s">
        <x:v>42</x:v>
      </x:c>
      <x:c r="D136" s="12" t="s">
        <x:v>43</x:v>
      </x:c>
      <x:c r="E136" s="13">
        <x:v>1545</x:v>
      </x:c>
      <x:c r="F136" s="15" t="n">
        <x:f>E136*0.6</x:f>
        <x:v>927</x:v>
      </x:c>
      <x:c r="G136" s="15" t="n">
        <x:f>F136*H136</x:f>
        <x:v>2781</x:v>
      </x:c>
      <x:c r="H136" s="16">
        <x:v>3</x:v>
      </x:c>
      <x:c r="I136" s="17" t="s">
        <x:v>17</x:v>
      </x:c>
      <x:c r="J136" s="13" t="s">
        <x:v>22</x:v>
      </x:c>
      <x:c r="K136" s="12" t="str">
        <x:f t="shared" ref="K136:K141" si="72">K135</x:f>
        <x:v>B16</x:v>
      </x:c>
    </x:row>
    <x:row r="137" ht="21" customHeight="1">
      <x:c r="A137" s="12" t="str">
        <x:f t="shared" si="71"/>
        <x:v> ЯВЗ-31-IP54 УХЛ2 100А</x:v>
      </x:c>
      <x:c r="B137" s="13" t="s">
        <x:v>41</x:v>
      </x:c>
      <x:c r="C137" s="14" t="s">
        <x:v>44</x:v>
      </x:c>
      <x:c r="D137" s="12" t="s">
        <x:v>45</x:v>
      </x:c>
      <x:c r="E137" s="13">
        <x:v>2038</x:v>
      </x:c>
      <x:c r="F137" s="15" t="n">
        <x:f>E137*0.6</x:f>
        <x:v>1222.8</x:v>
      </x:c>
      <x:c r="G137" s="15" t="n">
        <x:f>F137*H137</x:f>
        <x:v>3668.3999999999996</x:v>
      </x:c>
      <x:c r="H137" s="16">
        <x:v>3</x:v>
      </x:c>
      <x:c r="I137" s="17" t="s">
        <x:v>17</x:v>
      </x:c>
      <x:c r="J137" s="13" t="s">
        <x:v>22</x:v>
      </x:c>
      <x:c r="K137" s="12" t="str">
        <x:f t="shared" si="72"/>
        <x:v>B16</x:v>
      </x:c>
    </x:row>
    <x:row r="138" ht="21" customHeight="1">
      <x:c r="A138" s="12" t="str">
        <x:f t="shared" si="71"/>
        <x:v> ЯВЗ-31-IP54 УХЛ2 100А</x:v>
      </x:c>
      <x:c r="B138" s="13" t="s">
        <x:v>46</x:v>
      </x:c>
      <x:c r="C138" s="14" t="s">
        <x:v>47</x:v>
      </x:c>
      <x:c r="D138" s="12" t="s">
        <x:v>48</x:v>
      </x:c>
      <x:c r="E138" s="13">
        <x:v>6835</x:v>
      </x:c>
      <x:c r="F138" s="15" t="n">
        <x:f>E138</x:f>
        <x:v>6835</x:v>
      </x:c>
      <x:c r="G138" s="15" t="n">
        <x:f>F138*H138</x:f>
        <x:v>6835</x:v>
      </x:c>
      <x:c r="H138" s="16">
        <x:v>1</x:v>
      </x:c>
      <x:c r="I138" s="17" t="s">
        <x:v>17</x:v>
      </x:c>
      <x:c r="J138" s="13" t="s">
        <x:v>49</x:v>
      </x:c>
      <x:c r="K138" s="12" t="str">
        <x:f t="shared" si="72"/>
        <x:v>B16</x:v>
      </x:c>
    </x:row>
    <x:row r="139" ht="24" customHeight="1">
      <x:c r="A139" s="12" t="str">
        <x:f t="shared" si="71"/>
        <x:v> ЯВЗ-31-IP54 УХЛ2 100А</x:v>
      </x:c>
      <x:c r="B139" s="12" t="s">
        <x:v>33</x:v>
      </x:c>
      <x:c r="C139" s="18" t="s">
        <x:v>33</x:v>
      </x:c>
      <x:c r="D139" s="12" t="s">
        <x:v>33</x:v>
      </x:c>
      <x:c r="E139" s="12">
        <x:f>OFFSET(E139,1,2)</x:f>
        <x:v>0</x:v>
      </x:c>
      <x:c r="F139" s="15" t="n">
        <x:f>E139</x:f>
        <x:v>0</x:v>
      </x:c>
      <x:c r="G139" s="15" t="n">
        <x:f t="shared" ref="G139" si="73">F139*H139</x:f>
        <x:v>0</x:v>
      </x:c>
      <x:c r="H139" s="12"/>
      <x:c r="I139" s="12" t="s">
        <x:v>17</x:v>
      </x:c>
      <x:c r="J139" s="12" t="s">
        <x:v>33</x:v>
      </x:c>
      <x:c r="K139" s="12" t="str">
        <x:f t="shared" si="72"/>
        <x:v>B16</x:v>
      </x:c>
    </x:row>
    <x:row r="140" ht="21" customHeight="1">
      <x:c r="A140" s="12" t="str">
        <x:f t="shared" si="71"/>
        <x:v> ЯВЗ-31-IP54 УХЛ2 100А</x:v>
      </x:c>
      <x:c r="B140" s="12" t="s">
        <x:v>34</x:v>
      </x:c>
      <x:c r="C140" s="18" t="s">
        <x:v>34</x:v>
      </x:c>
      <x:c r="D140" s="12" t="s">
        <x:v>34</x:v>
      </x:c>
      <x:c r="E140" s="12"/>
      <x:c r="F140" s="15">
        <x:v>100</x:v>
      </x:c>
      <x:c r="G140" s="15" t="n">
        <x:f>60*E140*F140</x:f>
        <x:v>0</x:v>
      </x:c>
      <x:c r="H140" s="12" t="n">
        <x:f>60*E140</x:f>
        <x:v>0</x:v>
      </x:c>
      <x:c r="I140" s="12" t="s">
        <x:v>17</x:v>
      </x:c>
      <x:c r="J140" s="12" t="s">
        <x:v>34</x:v>
      </x:c>
      <x:c r="K140" s="12" t="str">
        <x:f t="shared" si="72"/>
        <x:v>B16</x:v>
      </x:c>
    </x:row>
    <x:row r="141" ht="30" customHeight="1">
      <x:c r="A141" s="12" t="str">
        <x:f t="shared" si="71"/>
        <x:v> ЯВЗ-31-IP54 УХЛ2 100А</x:v>
      </x:c>
      <x:c r="B141" s="19"/>
      <x:c r="C141" s="20"/>
      <x:c r="D141" s="21"/>
      <x:c r="E141" s="23"/>
      <x:c r="F141" s="25"/>
      <x:c r="G141" s="24" t="n">
        <x:f>SUM(G135:G140)</x:f>
        <x:v>13284.4</x:v>
      </x:c>
      <x:c r="H141" s="20"/>
      <x:c r="I141" s="22"/>
      <x:c r="J141" s="20"/>
      <x:c r="K141" s="12" t="str">
        <x:f t="shared" si="72"/>
        <x:v>B16</x:v>
      </x:c>
    </x:row>
    <x:row r="142" ht="39.75" customHeight="1">
      <x:c r="A142" s="5" t="str">
        <x:f>D142</x:f>
        <x:v>ЯТП-0,25-220/36 036УХЛ4</x:v>
      </x:c>
      <x:c r="B142" s="6"/>
      <x:c r="C142" s="7"/>
      <x:c r="D142" s="6" t="s">
        <x:v>50</x:v>
      </x:c>
      <x:c r="E142" s="8"/>
      <x:c r="F142" s="8"/>
      <x:c r="G142" s="9"/>
      <x:c r="H142" s="10">
        <x:v>1</x:v>
      </x:c>
      <x:c r="I142" s="11" t="s">
        <x:v>11</x:v>
      </x:c>
      <x:c r="J142" s="6" t="s">
        <x:v>12</x:v>
      </x:c>
      <x:c r="K142" s="5" t="s">
        <x:v>85</x:v>
      </x:c>
    </x:row>
    <x:row r="143" ht="39.75" customHeight="1">
      <x:c r="A143" s="5" t="str">
        <x:f>D143</x:f>
        <x:v>ГРЩ (В18)</x:v>
      </x:c>
      <x:c r="B143" s="6"/>
      <x:c r="C143" s="7"/>
      <x:c r="D143" s="6" t="s">
        <x:v>89</x:v>
      </x:c>
      <x:c r="E143" s="8"/>
      <x:c r="F143" s="8"/>
      <x:c r="G143" s="9"/>
      <x:c r="H143" s="10">
        <x:v>1</x:v>
      </x:c>
      <x:c r="I143" s="11" t="s">
        <x:v>11</x:v>
      </x:c>
      <x:c r="J143" s="6" t="s">
        <x:v>12</x:v>
      </x:c>
      <x:c r="K143" s="5" t="s">
        <x:v>90</x:v>
      </x:c>
    </x:row>
    <x:row r="144" ht="21" customHeight="1">
      <x:c r="A144" s="12" t="str">
        <x:f>A143</x:f>
        <x:v>ГРЩ (В18)</x:v>
      </x:c>
      <x:c r="B144" s="13" t="s">
        <x:v>14</x:v>
      </x:c>
      <x:c r="C144" s="14" t="s">
        <x:v>36</x:v>
      </x:c>
      <x:c r="D144" s="12" t="s">
        <x:v>37</x:v>
      </x:c>
      <x:c r="E144" s="13">
        <x:v>14695</x:v>
      </x:c>
      <x:c r="F144" s="15" t="n">
        <x:f>E144*0.6</x:f>
        <x:v>8817</x:v>
      </x:c>
      <x:c r="G144" s="15" t="n">
        <x:f>H144*F144</x:f>
        <x:v>8817</x:v>
      </x:c>
      <x:c r="H144" s="16">
        <x:v>1</x:v>
      </x:c>
      <x:c r="I144" s="17" t="s">
        <x:v>17</x:v>
      </x:c>
      <x:c r="J144" s="13" t="s">
        <x:v>18</x:v>
      </x:c>
      <x:c r="K144" s="12" t="str">
        <x:f>K143</x:f>
        <x:v>B18</x:v>
      </x:c>
    </x:row>
    <x:row r="145" ht="21" customHeight="1">
      <x:c r="A145" s="12" t="str">
        <x:f t="shared" ref="A145:A151" si="74">A144</x:f>
        <x:v>ГРЩ (В18)</x:v>
      </x:c>
      <x:c r="B145" s="13" t="s">
        <x:v>23</x:v>
      </x:c>
      <x:c r="C145" s="14" t="s">
        <x:v>91</x:v>
      </x:c>
      <x:c r="D145" s="12" t="s">
        <x:v>92</x:v>
      </x:c>
      <x:c r="E145" s="13">
        <x:v>2606</x:v>
      </x:c>
      <x:c r="F145" s="15" t="n">
        <x:f t="shared" ref="F145" si="75">E145*0.6</x:f>
        <x:v>1563.6</x:v>
      </x:c>
      <x:c r="G145" s="15" t="n">
        <x:f t="shared" ref="G145" si="76">F145*H145</x:f>
        <x:v>1563.6</x:v>
      </x:c>
      <x:c r="H145" s="16">
        <x:v>1</x:v>
      </x:c>
      <x:c r="I145" s="17" t="s">
        <x:v>17</x:v>
      </x:c>
      <x:c r="J145" s="13" t="s">
        <x:v>22</x:v>
      </x:c>
      <x:c r="K145" s="12" t="str">
        <x:f t="shared" ref="K145:K151" si="77">K144</x:f>
        <x:v>B18</x:v>
      </x:c>
    </x:row>
    <x:row r="146" ht="21" customHeight="1">
      <x:c r="A146" s="12" t="str">
        <x:f t="shared" si="74"/>
        <x:v>ГРЩ (В18)</x:v>
      </x:c>
      <x:c r="B146" s="13" t="s">
        <x:v>23</x:v>
      </x:c>
      <x:c r="C146" s="14" t="s">
        <x:v>57</x:v>
      </x:c>
      <x:c r="D146" s="12" t="s">
        <x:v>58</x:v>
      </x:c>
      <x:c r="E146" s="13">
        <x:v>2429</x:v>
      </x:c>
      <x:c r="F146" s="15" t="n">
        <x:f>E146*0.6</x:f>
        <x:v>1457.3999999999999</x:v>
      </x:c>
      <x:c r="G146" s="15" t="n">
        <x:f>F146*H146</x:f>
        <x:v>2914.7999999999997</x:v>
      </x:c>
      <x:c r="H146" s="16">
        <x:v>2</x:v>
      </x:c>
      <x:c r="I146" s="17" t="s">
        <x:v>17</x:v>
      </x:c>
      <x:c r="J146" s="13" t="s">
        <x:v>22</x:v>
      </x:c>
      <x:c r="K146" s="12" t="str">
        <x:f t="shared" si="77"/>
        <x:v>B18</x:v>
      </x:c>
    </x:row>
    <x:row r="147" ht="21" customHeight="1">
      <x:c r="A147" s="12" t="str">
        <x:f t="shared" si="74"/>
        <x:v>ГРЩ (В18)</x:v>
      </x:c>
      <x:c r="B147" s="13" t="s">
        <x:v>23</x:v>
      </x:c>
      <x:c r="C147" s="14" t="s">
        <x:v>28</x:v>
      </x:c>
      <x:c r="D147" s="12" t="s">
        <x:v>29</x:v>
      </x:c>
      <x:c r="E147" s="13">
        <x:v>1389</x:v>
      </x:c>
      <x:c r="F147" s="15" t="n">
        <x:f>E147*0.6</x:f>
        <x:v>833.4</x:v>
      </x:c>
      <x:c r="G147" s="15" t="n">
        <x:f>F147*H147</x:f>
        <x:v>4167</x:v>
      </x:c>
      <x:c r="H147" s="16">
        <x:v>5</x:v>
      </x:c>
      <x:c r="I147" s="17" t="s">
        <x:v>17</x:v>
      </x:c>
      <x:c r="J147" s="13" t="s">
        <x:v>22</x:v>
      </x:c>
      <x:c r="K147" s="12" t="str">
        <x:f t="shared" si="77"/>
        <x:v>B18</x:v>
      </x:c>
    </x:row>
    <x:row r="148" ht="21" customHeight="1">
      <x:c r="A148" s="12" t="str">
        <x:f t="shared" si="74"/>
        <x:v>ГРЩ (В18)</x:v>
      </x:c>
      <x:c r="B148" s="13" t="s">
        <x:v>30</x:v>
      </x:c>
      <x:c r="C148" s="14" t="s">
        <x:v>59</x:v>
      </x:c>
      <x:c r="D148" s="12" t="s">
        <x:v>60</x:v>
      </x:c>
      <x:c r="E148" s="13">
        <x:v>5354</x:v>
      </x:c>
      <x:c r="F148" s="15" t="n">
        <x:f>E148*0.6</x:f>
        <x:v>3212.4</x:v>
      </x:c>
      <x:c r="G148" s="15" t="n">
        <x:f>F148*H148</x:f>
        <x:v>3212.4</x:v>
      </x:c>
      <x:c r="H148" s="16">
        <x:v>1</x:v>
      </x:c>
      <x:c r="I148" s="17" t="s">
        <x:v>17</x:v>
      </x:c>
      <x:c r="J148" s="13" t="s">
        <x:v>22</x:v>
      </x:c>
      <x:c r="K148" s="12" t="str">
        <x:f t="shared" si="77"/>
        <x:v>B18</x:v>
      </x:c>
    </x:row>
    <x:row r="149" ht="24" customHeight="1">
      <x:c r="A149" s="12" t="str">
        <x:f t="shared" si="74"/>
        <x:v>ГРЩ (В18)</x:v>
      </x:c>
      <x:c r="B149" s="12" t="s">
        <x:v>33</x:v>
      </x:c>
      <x:c r="C149" s="18" t="s">
        <x:v>33</x:v>
      </x:c>
      <x:c r="D149" s="12" t="s">
        <x:v>33</x:v>
      </x:c>
      <x:c r="E149" s="12">
        <x:f>OFFSET(E149,1,2)</x:f>
        <x:v>0</x:v>
      </x:c>
      <x:c r="F149" s="15" t="n">
        <x:f>E149</x:f>
        <x:v>0</x:v>
      </x:c>
      <x:c r="G149" s="15" t="n">
        <x:f t="shared" ref="G149" si="78">F149*H149</x:f>
        <x:v>0</x:v>
      </x:c>
      <x:c r="H149" s="12"/>
      <x:c r="I149" s="12" t="s">
        <x:v>17</x:v>
      </x:c>
      <x:c r="J149" s="12" t="s">
        <x:v>33</x:v>
      </x:c>
      <x:c r="K149" s="12" t="str">
        <x:f t="shared" si="77"/>
        <x:v>B18</x:v>
      </x:c>
    </x:row>
    <x:row r="150" ht="21" customHeight="1">
      <x:c r="A150" s="12" t="str">
        <x:f t="shared" si="74"/>
        <x:v>ГРЩ (В18)</x:v>
      </x:c>
      <x:c r="B150" s="12" t="s">
        <x:v>34</x:v>
      </x:c>
      <x:c r="C150" s="18" t="s">
        <x:v>34</x:v>
      </x:c>
      <x:c r="D150" s="12" t="s">
        <x:v>34</x:v>
      </x:c>
      <x:c r="E150" s="12"/>
      <x:c r="F150" s="15">
        <x:v>100</x:v>
      </x:c>
      <x:c r="G150" s="15" t="n">
        <x:f>60*E150*F150</x:f>
        <x:v>0</x:v>
      </x:c>
      <x:c r="H150" s="12" t="n">
        <x:f>60*E150</x:f>
        <x:v>0</x:v>
      </x:c>
      <x:c r="I150" s="12" t="s">
        <x:v>17</x:v>
      </x:c>
      <x:c r="J150" s="12" t="s">
        <x:v>34</x:v>
      </x:c>
      <x:c r="K150" s="12" t="str">
        <x:f t="shared" si="77"/>
        <x:v>B18</x:v>
      </x:c>
    </x:row>
    <x:row r="151" ht="30" customHeight="1">
      <x:c r="A151" s="12" t="str">
        <x:f t="shared" si="74"/>
        <x:v>ГРЩ (В18)</x:v>
      </x:c>
      <x:c r="B151" s="19"/>
      <x:c r="C151" s="20"/>
      <x:c r="D151" s="21"/>
      <x:c r="E151" s="23"/>
      <x:c r="F151" s="25"/>
      <x:c r="G151" s="24" t="n">
        <x:f>SUM(G144:G150)</x:f>
        <x:v>20674.800000000003</x:v>
      </x:c>
      <x:c r="H151" s="20"/>
      <x:c r="I151" s="22"/>
      <x:c r="J151" s="20"/>
      <x:c r="K151" s="12" t="str">
        <x:f t="shared" si="77"/>
        <x:v>B18</x:v>
      </x:c>
    </x:row>
    <x:row r="152" ht="39.75" customHeight="1">
      <x:c r="A152" s="5" t="str">
        <x:f>D152</x:f>
        <x:v>РПВ (В18)</x:v>
      </x:c>
      <x:c r="B152" s="6"/>
      <x:c r="C152" s="7"/>
      <x:c r="D152" s="6" t="s">
        <x:v>93</x:v>
      </x:c>
      <x:c r="E152" s="8"/>
      <x:c r="F152" s="8"/>
      <x:c r="G152" s="9"/>
      <x:c r="H152" s="10">
        <x:v>1</x:v>
      </x:c>
      <x:c r="I152" s="11" t="s">
        <x:v>11</x:v>
      </x:c>
      <x:c r="J152" s="6" t="s">
        <x:v>12</x:v>
      </x:c>
      <x:c r="K152" s="5" t="s">
        <x:v>90</x:v>
      </x:c>
    </x:row>
    <x:row r="153" ht="21" customHeight="1">
      <x:c r="A153" s="12" t="str">
        <x:f>A152</x:f>
        <x:v>РПВ (В18)</x:v>
      </x:c>
      <x:c r="B153" s="13" t="s">
        <x:v>14</x:v>
      </x:c>
      <x:c r="C153" s="14" t="s">
        <x:v>75</x:v>
      </x:c>
      <x:c r="D153" s="12" t="s">
        <x:v>76</x:v>
      </x:c>
      <x:c r="E153" s="13">
        <x:v>10270</x:v>
      </x:c>
      <x:c r="F153" s="15" t="n">
        <x:f>E153*0.6</x:f>
        <x:v>6162</x:v>
      </x:c>
      <x:c r="G153" s="15" t="n">
        <x:f>H153*F153</x:f>
        <x:v>6162</x:v>
      </x:c>
      <x:c r="H153" s="16">
        <x:v>1</x:v>
      </x:c>
      <x:c r="I153" s="17" t="s">
        <x:v>17</x:v>
      </x:c>
      <x:c r="J153" s="13" t="s">
        <x:v>18</x:v>
      </x:c>
      <x:c r="K153" s="12" t="str">
        <x:f>K152</x:f>
        <x:v>B18</x:v>
      </x:c>
    </x:row>
    <x:row r="154" ht="21" customHeight="1">
      <x:c r="A154" s="12" t="str">
        <x:f t="shared" ref="A154:A158" si="79">A153</x:f>
        <x:v>РПВ (В18)</x:v>
      </x:c>
      <x:c r="B154" s="13" t="s">
        <x:v>23</x:v>
      </x:c>
      <x:c r="C154" s="14" t="s">
        <x:v>26</x:v>
      </x:c>
      <x:c r="D154" s="12" t="s">
        <x:v>27</x:v>
      </x:c>
      <x:c r="E154" s="13">
        <x:v>2337</x:v>
      </x:c>
      <x:c r="F154" s="15" t="n">
        <x:f>E154*0.6</x:f>
        <x:v>1402.2</x:v>
      </x:c>
      <x:c r="G154" s="15" t="n">
        <x:f>F154*H154</x:f>
        <x:v>2804.4</x:v>
      </x:c>
      <x:c r="H154" s="16">
        <x:v>2</x:v>
      </x:c>
      <x:c r="I154" s="17" t="s">
        <x:v>17</x:v>
      </x:c>
      <x:c r="J154" s="13" t="s">
        <x:v>22</x:v>
      </x:c>
      <x:c r="K154" s="12" t="str">
        <x:f>K153</x:f>
        <x:v>B18</x:v>
      </x:c>
    </x:row>
    <x:row r="155" ht="21" customHeight="1">
      <x:c r="A155" s="12" t="str">
        <x:f t="shared" si="79"/>
        <x:v>РПВ (В18)</x:v>
      </x:c>
      <x:c r="B155" s="13" t="s">
        <x:v>23</x:v>
      </x:c>
      <x:c r="C155" s="14" t="s">
        <x:v>28</x:v>
      </x:c>
      <x:c r="D155" s="12" t="s">
        <x:v>29</x:v>
      </x:c>
      <x:c r="E155" s="13">
        <x:v>1389</x:v>
      </x:c>
      <x:c r="F155" s="15" t="n">
        <x:f>E155*0.6</x:f>
        <x:v>833.4</x:v>
      </x:c>
      <x:c r="G155" s="15" t="n">
        <x:f>F155*H155</x:f>
        <x:v>3333.6</x:v>
      </x:c>
      <x:c r="H155" s="16">
        <x:v>4</x:v>
      </x:c>
      <x:c r="I155" s="17" t="s">
        <x:v>17</x:v>
      </x:c>
      <x:c r="J155" s="13" t="s">
        <x:v>22</x:v>
      </x:c>
      <x:c r="K155" s="12" t="str">
        <x:f t="shared" ref="K155" si="80">K154</x:f>
        <x:v>B18</x:v>
      </x:c>
    </x:row>
    <x:row r="156" ht="24" customHeight="1">
      <x:c r="A156" s="12" t="str">
        <x:f t="shared" si="79"/>
        <x:v>РПВ (В18)</x:v>
      </x:c>
      <x:c r="B156" s="12" t="s">
        <x:v>33</x:v>
      </x:c>
      <x:c r="C156" s="18" t="s">
        <x:v>33</x:v>
      </x:c>
      <x:c r="D156" s="12" t="s">
        <x:v>33</x:v>
      </x:c>
      <x:c r="E156" s="12">
        <x:f>OFFSET(E156,1,2)</x:f>
        <x:v>0</x:v>
      </x:c>
      <x:c r="F156" s="15" t="n">
        <x:f>E156</x:f>
        <x:v>0</x:v>
      </x:c>
      <x:c r="G156" s="15" t="n">
        <x:f t="shared" ref="G156" si="81">F156*H156</x:f>
        <x:v>0</x:v>
      </x:c>
      <x:c r="H156" s="12"/>
      <x:c r="I156" s="12" t="s">
        <x:v>17</x:v>
      </x:c>
      <x:c r="J156" s="12" t="s">
        <x:v>33</x:v>
      </x:c>
      <x:c r="K156" s="12" t="str">
        <x:f>K155</x:f>
        <x:v>B18</x:v>
      </x:c>
    </x:row>
    <x:row r="157" ht="21" customHeight="1">
      <x:c r="A157" s="12" t="str">
        <x:f t="shared" si="79"/>
        <x:v>РПВ (В18)</x:v>
      </x:c>
      <x:c r="B157" s="12" t="s">
        <x:v>34</x:v>
      </x:c>
      <x:c r="C157" s="18" t="s">
        <x:v>34</x:v>
      </x:c>
      <x:c r="D157" s="12" t="s">
        <x:v>34</x:v>
      </x:c>
      <x:c r="E157" s="12"/>
      <x:c r="F157" s="15">
        <x:v>100</x:v>
      </x:c>
      <x:c r="G157" s="15" t="n">
        <x:f>60*E157*F157</x:f>
        <x:v>0</x:v>
      </x:c>
      <x:c r="H157" s="12" t="n">
        <x:f>60*E157</x:f>
        <x:v>0</x:v>
      </x:c>
      <x:c r="I157" s="12" t="s">
        <x:v>17</x:v>
      </x:c>
      <x:c r="J157" s="12" t="s">
        <x:v>34</x:v>
      </x:c>
      <x:c r="K157" s="12" t="str">
        <x:f t="shared" ref="K157:K158" si="82">K156</x:f>
        <x:v>B18</x:v>
      </x:c>
    </x:row>
    <x:row r="158" ht="30" customHeight="1">
      <x:c r="A158" s="12" t="str">
        <x:f t="shared" si="79"/>
        <x:v>РПВ (В18)</x:v>
      </x:c>
      <x:c r="B158" s="19"/>
      <x:c r="C158" s="20"/>
      <x:c r="D158" s="21"/>
      <x:c r="E158" s="23"/>
      <x:c r="F158" s="25"/>
      <x:c r="G158" s="24" t="n">
        <x:f>SUM(G153:G157)</x:f>
        <x:v>12300</x:v>
      </x:c>
      <x:c r="H158" s="20"/>
      <x:c r="I158" s="22"/>
      <x:c r="J158" s="20"/>
      <x:c r="K158" s="12" t="str">
        <x:f t="shared" si="82"/>
        <x:v>B18</x:v>
      </x:c>
    </x:row>
    <x:row r="159" ht="39.75" customHeight="1">
      <x:c r="A159" s="5" t="str">
        <x:f>D159</x:f>
        <x:v>ЯТП-0,25-220/36 036УХЛ4</x:v>
      </x:c>
      <x:c r="B159" s="6"/>
      <x:c r="C159" s="7"/>
      <x:c r="D159" s="6" t="s">
        <x:v>50</x:v>
      </x:c>
      <x:c r="E159" s="8"/>
      <x:c r="F159" s="8"/>
      <x:c r="G159" s="9"/>
      <x:c r="H159" s="10">
        <x:v>1</x:v>
      </x:c>
      <x:c r="I159" s="11" t="s">
        <x:v>11</x:v>
      </x:c>
      <x:c r="J159" s="6" t="s">
        <x:v>12</x:v>
      </x:c>
      <x:c r="K159" s="5" t="s">
        <x:v>90</x:v>
      </x:c>
    </x:row>
    <x:row r="160" ht="39.75" customHeight="1">
      <x:c r="A160" s="5" t="str">
        <x:f>D160</x:f>
        <x:v>ГРЩ (В19)</x:v>
      </x:c>
      <x:c r="B160" s="6"/>
      <x:c r="C160" s="7"/>
      <x:c r="D160" s="6" t="s">
        <x:v>94</x:v>
      </x:c>
      <x:c r="E160" s="8"/>
      <x:c r="F160" s="8"/>
      <x:c r="G160" s="9"/>
      <x:c r="H160" s="10">
        <x:v>1</x:v>
      </x:c>
      <x:c r="I160" s="11" t="s">
        <x:v>11</x:v>
      </x:c>
      <x:c r="J160" s="6" t="s">
        <x:v>12</x:v>
      </x:c>
      <x:c r="K160" s="5" t="s">
        <x:v>95</x:v>
      </x:c>
    </x:row>
    <x:row r="161" ht="21" customHeight="1">
      <x:c r="A161" s="12" t="str">
        <x:f>A160</x:f>
        <x:v>ГРЩ (В19)</x:v>
      </x:c>
      <x:c r="B161" s="13" t="s">
        <x:v>14</x:v>
      </x:c>
      <x:c r="C161" s="14" t="s">
        <x:v>96</x:v>
      </x:c>
      <x:c r="D161" s="12" t="s">
        <x:v>97</x:v>
      </x:c>
      <x:c r="E161" s="13">
        <x:v>9425</x:v>
      </x:c>
      <x:c r="F161" s="15" t="n">
        <x:f>E161*0.6</x:f>
        <x:v>5655</x:v>
      </x:c>
      <x:c r="G161" s="15" t="n">
        <x:f>H161*F161</x:f>
        <x:v>5655</x:v>
      </x:c>
      <x:c r="H161" s="16">
        <x:v>1</x:v>
      </x:c>
      <x:c r="I161" s="17" t="s">
        <x:v>17</x:v>
      </x:c>
      <x:c r="J161" s="13" t="s">
        <x:v>18</x:v>
      </x:c>
      <x:c r="K161" s="12" t="str">
        <x:f>K160</x:f>
        <x:v>B19</x:v>
      </x:c>
    </x:row>
    <x:row r="162" ht="21" customHeight="1">
      <x:c r="A162" s="12" t="str">
        <x:f t="shared" ref="A162:A163" si="83">A161</x:f>
        <x:v>ГРЩ (В19)</x:v>
      </x:c>
      <x:c r="B162" s="13" t="s">
        <x:v>23</x:v>
      </x:c>
      <x:c r="C162" s="14" t="s">
        <x:v>91</x:v>
      </x:c>
      <x:c r="D162" s="12" t="s">
        <x:v>92</x:v>
      </x:c>
      <x:c r="E162" s="13">
        <x:v>2606</x:v>
      </x:c>
      <x:c r="F162" s="15" t="n">
        <x:f t="shared" ref="F162" si="84">E162*0.6</x:f>
        <x:v>1563.6</x:v>
      </x:c>
      <x:c r="G162" s="15" t="n">
        <x:f t="shared" ref="G162" si="85">F162*H162</x:f>
        <x:v>1563.6</x:v>
      </x:c>
      <x:c r="H162" s="16">
        <x:v>1</x:v>
      </x:c>
      <x:c r="I162" s="17" t="s">
        <x:v>17</x:v>
      </x:c>
      <x:c r="J162" s="13" t="s">
        <x:v>22</x:v>
      </x:c>
      <x:c r="K162" s="12" t="str">
        <x:f t="shared" ref="K162:K163" si="86">K161</x:f>
        <x:v>B19</x:v>
      </x:c>
    </x:row>
    <x:row r="163" ht="21" customHeight="1">
      <x:c r="A163" s="12" t="str">
        <x:f t="shared" si="83"/>
        <x:v>ГРЩ (В19)</x:v>
      </x:c>
      <x:c r="B163" s="13" t="s">
        <x:v>23</x:v>
      </x:c>
      <x:c r="C163" s="14" t="s">
        <x:v>57</x:v>
      </x:c>
      <x:c r="D163" s="12" t="s">
        <x:v>58</x:v>
      </x:c>
      <x:c r="E163" s="13">
        <x:v>2429</x:v>
      </x:c>
      <x:c r="F163" s="15" t="n">
        <x:f>E163*0.6</x:f>
        <x:v>1457.3999999999999</x:v>
      </x:c>
      <x:c r="G163" s="15" t="n">
        <x:f>F163*H163</x:f>
        <x:v>1457.3999999999999</x:v>
      </x:c>
      <x:c r="H163" s="16">
        <x:v>1</x:v>
      </x:c>
      <x:c r="I163" s="17" t="s">
        <x:v>17</x:v>
      </x:c>
      <x:c r="J163" s="13" t="s">
        <x:v>22</x:v>
      </x:c>
      <x:c r="K163" s="12" t="str">
        <x:f t="shared" si="86"/>
        <x:v>B19</x:v>
      </x:c>
    </x:row>
    <x:row r="164" ht="21" customHeight="1">
      <x:c r="A164" s="12" t="str">
        <x:f t="shared" ref="A164:A169" si="87">A163</x:f>
        <x:v>ГРЩ (В19)</x:v>
      </x:c>
      <x:c r="B164" s="13" t="s">
        <x:v>23</x:v>
      </x:c>
      <x:c r="C164" s="14" t="s">
        <x:v>26</x:v>
      </x:c>
      <x:c r="D164" s="12" t="s">
        <x:v>27</x:v>
      </x:c>
      <x:c r="E164" s="13">
        <x:v>2337</x:v>
      </x:c>
      <x:c r="F164" s="15" t="n">
        <x:f>E164*0.6</x:f>
        <x:v>1402.2</x:v>
      </x:c>
      <x:c r="G164" s="15" t="n">
        <x:f>F164*H164</x:f>
        <x:v>2804.4</x:v>
      </x:c>
      <x:c r="H164" s="16">
        <x:v>2</x:v>
      </x:c>
      <x:c r="I164" s="17" t="s">
        <x:v>17</x:v>
      </x:c>
      <x:c r="J164" s="13" t="s">
        <x:v>22</x:v>
      </x:c>
      <x:c r="K164" s="12" t="str">
        <x:f t="shared" ref="K164:K169" si="88">K163</x:f>
        <x:v>B19</x:v>
      </x:c>
    </x:row>
    <x:row r="165" ht="21" customHeight="1">
      <x:c r="A165" s="12" t="str">
        <x:f t="shared" si="87"/>
        <x:v>ГРЩ (В19)</x:v>
      </x:c>
      <x:c r="B165" s="13" t="s">
        <x:v>23</x:v>
      </x:c>
      <x:c r="C165" s="14" t="s">
        <x:v>28</x:v>
      </x:c>
      <x:c r="D165" s="12" t="s">
        <x:v>29</x:v>
      </x:c>
      <x:c r="E165" s="13">
        <x:v>1389</x:v>
      </x:c>
      <x:c r="F165" s="15" t="n">
        <x:f>E165*0.6</x:f>
        <x:v>833.4</x:v>
      </x:c>
      <x:c r="G165" s="15" t="n">
        <x:f>F165*H165</x:f>
        <x:v>2500.2</x:v>
      </x:c>
      <x:c r="H165" s="16">
        <x:v>3</x:v>
      </x:c>
      <x:c r="I165" s="17" t="s">
        <x:v>17</x:v>
      </x:c>
      <x:c r="J165" s="13" t="s">
        <x:v>22</x:v>
      </x:c>
      <x:c r="K165" s="12" t="str">
        <x:f t="shared" si="88"/>
        <x:v>B19</x:v>
      </x:c>
    </x:row>
    <x:row r="166" ht="21" customHeight="1">
      <x:c r="A166" s="12" t="str">
        <x:f t="shared" si="87"/>
        <x:v>ГРЩ (В19)</x:v>
      </x:c>
      <x:c r="B166" s="13" t="s">
        <x:v>30</x:v>
      </x:c>
      <x:c r="C166" s="14" t="s">
        <x:v>59</x:v>
      </x:c>
      <x:c r="D166" s="12" t="s">
        <x:v>60</x:v>
      </x:c>
      <x:c r="E166" s="13">
        <x:v>5354</x:v>
      </x:c>
      <x:c r="F166" s="15" t="n">
        <x:f>E166*0.6</x:f>
        <x:v>3212.4</x:v>
      </x:c>
      <x:c r="G166" s="15" t="n">
        <x:f>F166*H166</x:f>
        <x:v>3212.4</x:v>
      </x:c>
      <x:c r="H166" s="16">
        <x:v>1</x:v>
      </x:c>
      <x:c r="I166" s="17" t="s">
        <x:v>17</x:v>
      </x:c>
      <x:c r="J166" s="13" t="s">
        <x:v>22</x:v>
      </x:c>
      <x:c r="K166" s="12" t="str">
        <x:f t="shared" si="88"/>
        <x:v>B19</x:v>
      </x:c>
    </x:row>
    <x:row r="167" ht="24" customHeight="1">
      <x:c r="A167" s="12" t="str">
        <x:f t="shared" si="87"/>
        <x:v>ГРЩ (В19)</x:v>
      </x:c>
      <x:c r="B167" s="12" t="s">
        <x:v>33</x:v>
      </x:c>
      <x:c r="C167" s="18" t="s">
        <x:v>33</x:v>
      </x:c>
      <x:c r="D167" s="12" t="s">
        <x:v>33</x:v>
      </x:c>
      <x:c r="E167" s="12">
        <x:f>OFFSET(E167,1,2)</x:f>
        <x:v>0</x:v>
      </x:c>
      <x:c r="F167" s="15" t="n">
        <x:f>E167</x:f>
        <x:v>0</x:v>
      </x:c>
      <x:c r="G167" s="15" t="n">
        <x:f t="shared" ref="G167" si="89">F167*H167</x:f>
        <x:v>0</x:v>
      </x:c>
      <x:c r="H167" s="12"/>
      <x:c r="I167" s="12" t="s">
        <x:v>17</x:v>
      </x:c>
      <x:c r="J167" s="12" t="s">
        <x:v>33</x:v>
      </x:c>
      <x:c r="K167" s="12" t="str">
        <x:f t="shared" si="88"/>
        <x:v>B19</x:v>
      </x:c>
    </x:row>
    <x:row r="168" ht="21" customHeight="1">
      <x:c r="A168" s="12" t="str">
        <x:f t="shared" si="87"/>
        <x:v>ГРЩ (В19)</x:v>
      </x:c>
      <x:c r="B168" s="12" t="s">
        <x:v>34</x:v>
      </x:c>
      <x:c r="C168" s="18" t="s">
        <x:v>34</x:v>
      </x:c>
      <x:c r="D168" s="12" t="s">
        <x:v>34</x:v>
      </x:c>
      <x:c r="E168" s="12"/>
      <x:c r="F168" s="15">
        <x:v>100</x:v>
      </x:c>
      <x:c r="G168" s="15" t="n">
        <x:f>60*E168*F168</x:f>
        <x:v>0</x:v>
      </x:c>
      <x:c r="H168" s="12" t="n">
        <x:f>60*E168</x:f>
        <x:v>0</x:v>
      </x:c>
      <x:c r="I168" s="12" t="s">
        <x:v>17</x:v>
      </x:c>
      <x:c r="J168" s="12" t="s">
        <x:v>34</x:v>
      </x:c>
      <x:c r="K168" s="12" t="str">
        <x:f t="shared" si="88"/>
        <x:v>B19</x:v>
      </x:c>
    </x:row>
    <x:row r="169" ht="30" customHeight="1">
      <x:c r="A169" s="12" t="str">
        <x:f t="shared" si="87"/>
        <x:v>ГРЩ (В19)</x:v>
      </x:c>
      <x:c r="B169" s="19"/>
      <x:c r="C169" s="20"/>
      <x:c r="D169" s="21"/>
      <x:c r="E169" s="23"/>
      <x:c r="F169" s="25"/>
      <x:c r="G169" s="24" t="n">
        <x:f>SUM(G161:G168)</x:f>
        <x:v>17193</x:v>
      </x:c>
      <x:c r="H169" s="20"/>
      <x:c r="I169" s="22"/>
      <x:c r="J169" s="20"/>
      <x:c r="K169" s="12" t="str">
        <x:f t="shared" si="88"/>
        <x:v>B19</x:v>
      </x:c>
    </x:row>
    <x:row r="170" ht="39.75" customHeight="1">
      <x:c r="A170" s="5" t="str">
        <x:f>D170</x:f>
        <x:v>РПВ (В19)</x:v>
      </x:c>
      <x:c r="B170" s="6"/>
      <x:c r="C170" s="7"/>
      <x:c r="D170" s="6" t="s">
        <x:v>98</x:v>
      </x:c>
      <x:c r="E170" s="8"/>
      <x:c r="F170" s="8"/>
      <x:c r="G170" s="9"/>
      <x:c r="H170" s="10">
        <x:v>1</x:v>
      </x:c>
      <x:c r="I170" s="11" t="s">
        <x:v>11</x:v>
      </x:c>
      <x:c r="J170" s="6" t="s">
        <x:v>12</x:v>
      </x:c>
      <x:c r="K170" s="5" t="s">
        <x:v>95</x:v>
      </x:c>
    </x:row>
    <x:row r="171" ht="21" customHeight="1">
      <x:c r="A171" s="12" t="str">
        <x:f>A170</x:f>
        <x:v>РПВ (В19)</x:v>
      </x:c>
      <x:c r="B171" s="13" t="s">
        <x:v>14</x:v>
      </x:c>
      <x:c r="C171" s="14" t="s">
        <x:v>99</x:v>
      </x:c>
      <x:c r="D171" s="12" t="s">
        <x:v>100</x:v>
      </x:c>
      <x:c r="E171" s="13">
        <x:v>7650</x:v>
      </x:c>
      <x:c r="F171" s="15" t="n">
        <x:f>E171*0.6</x:f>
        <x:v>4590</x:v>
      </x:c>
      <x:c r="G171" s="15" t="n">
        <x:f>H171*F171</x:f>
        <x:v>4590</x:v>
      </x:c>
      <x:c r="H171" s="16">
        <x:v>1</x:v>
      </x:c>
      <x:c r="I171" s="17" t="s">
        <x:v>17</x:v>
      </x:c>
      <x:c r="J171" s="13" t="s">
        <x:v>18</x:v>
      </x:c>
      <x:c r="K171" s="12" t="str">
        <x:f>K170</x:f>
        <x:v>B19</x:v>
      </x:c>
    </x:row>
    <x:row r="172" ht="21" customHeight="1">
      <x:c r="A172" s="12" t="str">
        <x:f t="shared" ref="A172:A177" si="90">A171</x:f>
        <x:v>РПВ (В19)</x:v>
      </x:c>
      <x:c r="B172" s="13" t="s">
        <x:v>23</x:v>
      </x:c>
      <x:c r="C172" s="14" t="s">
        <x:v>81</x:v>
      </x:c>
      <x:c r="D172" s="12" t="s">
        <x:v>82</x:v>
      </x:c>
      <x:c r="E172" s="13">
        <x:v>2499</x:v>
      </x:c>
      <x:c r="F172" s="15" t="n">
        <x:f>E172*0.6</x:f>
        <x:v>1499.3999999999999</x:v>
      </x:c>
      <x:c r="G172" s="15" t="n">
        <x:f>F172*H172</x:f>
        <x:v>1499.3999999999999</x:v>
      </x:c>
      <x:c r="H172" s="16">
        <x:v>1</x:v>
      </x:c>
      <x:c r="I172" s="17" t="s">
        <x:v>17</x:v>
      </x:c>
      <x:c r="J172" s="13" t="s">
        <x:v>22</x:v>
      </x:c>
      <x:c r="K172" s="12" t="str">
        <x:f t="shared" ref="K172:K177" si="91">K171</x:f>
        <x:v>B19</x:v>
      </x:c>
    </x:row>
    <x:row r="173" ht="21" customHeight="1">
      <x:c r="A173" s="12" t="str">
        <x:f t="shared" si="90"/>
        <x:v>РПВ (В19)</x:v>
      </x:c>
      <x:c r="B173" s="13" t="s">
        <x:v>23</x:v>
      </x:c>
      <x:c r="C173" s="14" t="s">
        <x:v>26</x:v>
      </x:c>
      <x:c r="D173" s="12" t="s">
        <x:v>27</x:v>
      </x:c>
      <x:c r="E173" s="13">
        <x:v>2337</x:v>
      </x:c>
      <x:c r="F173" s="15" t="n">
        <x:f>E173*0.6</x:f>
        <x:v>1402.2</x:v>
      </x:c>
      <x:c r="G173" s="15" t="n">
        <x:f>F173*H173</x:f>
        <x:v>1402.2</x:v>
      </x:c>
      <x:c r="H173" s="16">
        <x:v>1</x:v>
      </x:c>
      <x:c r="I173" s="17" t="s">
        <x:v>17</x:v>
      </x:c>
      <x:c r="J173" s="13" t="s">
        <x:v>22</x:v>
      </x:c>
      <x:c r="K173" s="12" t="str">
        <x:f t="shared" si="91"/>
        <x:v>B19</x:v>
      </x:c>
    </x:row>
    <x:row r="174" ht="21" customHeight="1">
      <x:c r="A174" s="12" t="str">
        <x:f t="shared" si="90"/>
        <x:v>РПВ (В19)</x:v>
      </x:c>
      <x:c r="B174" s="13" t="s">
        <x:v>23</x:v>
      </x:c>
      <x:c r="C174" s="14" t="s">
        <x:v>28</x:v>
      </x:c>
      <x:c r="D174" s="12" t="s">
        <x:v>29</x:v>
      </x:c>
      <x:c r="E174" s="13">
        <x:v>1389</x:v>
      </x:c>
      <x:c r="F174" s="15" t="n">
        <x:f>E174*0.6</x:f>
        <x:v>833.4</x:v>
      </x:c>
      <x:c r="G174" s="15" t="n">
        <x:f>F174*H174</x:f>
        <x:v>2500.2</x:v>
      </x:c>
      <x:c r="H174" s="16">
        <x:v>3</x:v>
      </x:c>
      <x:c r="I174" s="17" t="s">
        <x:v>17</x:v>
      </x:c>
      <x:c r="J174" s="13" t="s">
        <x:v>22</x:v>
      </x:c>
      <x:c r="K174" s="12" t="str">
        <x:f t="shared" si="91"/>
        <x:v>B19</x:v>
      </x:c>
    </x:row>
    <x:row r="175" ht="24" customHeight="1">
      <x:c r="A175" s="12" t="str">
        <x:f t="shared" si="90"/>
        <x:v>РПВ (В19)</x:v>
      </x:c>
      <x:c r="B175" s="12" t="s">
        <x:v>33</x:v>
      </x:c>
      <x:c r="C175" s="18" t="s">
        <x:v>33</x:v>
      </x:c>
      <x:c r="D175" s="12" t="s">
        <x:v>33</x:v>
      </x:c>
      <x:c r="E175" s="12">
        <x:f>OFFSET(E175,1,2)</x:f>
        <x:v>0</x:v>
      </x:c>
      <x:c r="F175" s="15" t="n">
        <x:f>E175</x:f>
        <x:v>0</x:v>
      </x:c>
      <x:c r="G175" s="15" t="n">
        <x:f t="shared" ref="G175" si="92">F175*H175</x:f>
        <x:v>0</x:v>
      </x:c>
      <x:c r="H175" s="12"/>
      <x:c r="I175" s="12" t="s">
        <x:v>17</x:v>
      </x:c>
      <x:c r="J175" s="12" t="s">
        <x:v>33</x:v>
      </x:c>
      <x:c r="K175" s="12" t="str">
        <x:f t="shared" si="91"/>
        <x:v>B19</x:v>
      </x:c>
    </x:row>
    <x:row r="176" ht="21" customHeight="1">
      <x:c r="A176" s="12" t="str">
        <x:f t="shared" si="90"/>
        <x:v>РПВ (В19)</x:v>
      </x:c>
      <x:c r="B176" s="12" t="s">
        <x:v>34</x:v>
      </x:c>
      <x:c r="C176" s="18" t="s">
        <x:v>34</x:v>
      </x:c>
      <x:c r="D176" s="12" t="s">
        <x:v>34</x:v>
      </x:c>
      <x:c r="E176" s="12"/>
      <x:c r="F176" s="15">
        <x:v>100</x:v>
      </x:c>
      <x:c r="G176" s="15" t="n">
        <x:f>60*E176*F176</x:f>
        <x:v>0</x:v>
      </x:c>
      <x:c r="H176" s="12" t="n">
        <x:f>60*E176</x:f>
        <x:v>0</x:v>
      </x:c>
      <x:c r="I176" s="12" t="s">
        <x:v>17</x:v>
      </x:c>
      <x:c r="J176" s="12" t="s">
        <x:v>34</x:v>
      </x:c>
      <x:c r="K176" s="12" t="str">
        <x:f t="shared" si="91"/>
        <x:v>B19</x:v>
      </x:c>
    </x:row>
    <x:row r="177" ht="30" customHeight="1">
      <x:c r="A177" s="12" t="str">
        <x:f t="shared" si="90"/>
        <x:v>РПВ (В19)</x:v>
      </x:c>
      <x:c r="B177" s="19"/>
      <x:c r="C177" s="20"/>
      <x:c r="D177" s="21"/>
      <x:c r="E177" s="23"/>
      <x:c r="F177" s="25"/>
      <x:c r="G177" s="24" t="n">
        <x:f>SUM(G171:G176)</x:f>
        <x:v>9991.8</x:v>
      </x:c>
      <x:c r="H177" s="20"/>
      <x:c r="I177" s="22"/>
      <x:c r="J177" s="20"/>
      <x:c r="K177" s="12" t="str">
        <x:f t="shared" si="91"/>
        <x:v>B19</x:v>
      </x:c>
    </x:row>
    <x:row r="178" ht="39.75" customHeight="1">
      <x:c r="A178" s="5" t="str">
        <x:f>D178</x:f>
        <x:v> ЯВЗ-31-IP54 УХЛ2 100А</x:v>
      </x:c>
      <x:c r="B178" s="6"/>
      <x:c r="C178" s="7"/>
      <x:c r="D178" s="6" t="s">
        <x:v>38</x:v>
      </x:c>
      <x:c r="E178" s="8"/>
      <x:c r="F178" s="8"/>
      <x:c r="G178" s="9"/>
      <x:c r="H178" s="10">
        <x:v>1</x:v>
      </x:c>
      <x:c r="I178" s="11" t="s">
        <x:v>11</x:v>
      </x:c>
      <x:c r="J178" s="6" t="s">
        <x:v>12</x:v>
      </x:c>
      <x:c r="K178" s="5" t="s">
        <x:v>95</x:v>
      </x:c>
    </x:row>
    <x:row r="179" ht="21" customHeight="1">
      <x:c r="A179" s="12" t="str">
        <x:f>A178</x:f>
        <x:v> ЯВЗ-31-IP54 УХЛ2 100А</x:v>
      </x:c>
      <x:c r="B179" s="13" t="s">
        <x:v>14</x:v>
      </x:c>
      <x:c r="C179" s="14" t="s">
        <x:v>39</x:v>
      </x:c>
      <x:c r="D179" s="12" t="s">
        <x:v>40</x:v>
      </x:c>
      <x:c r="E179" s="13"/>
      <x:c r="F179" s="15" t="n">
        <x:f>E179*0.6</x:f>
        <x:v>0</x:v>
      </x:c>
      <x:c r="G179" s="15" t="n">
        <x:f>H179*F179</x:f>
        <x:v>0</x:v>
      </x:c>
      <x:c r="H179" s="16">
        <x:v>1</x:v>
      </x:c>
      <x:c r="I179" s="17" t="s">
        <x:v>17</x:v>
      </x:c>
      <x:c r="J179" s="13" t="s">
        <x:v>18</x:v>
      </x:c>
      <x:c r="K179" s="12" t="str">
        <x:f>K178</x:f>
        <x:v>B19</x:v>
      </x:c>
    </x:row>
    <x:row r="180" ht="21" customHeight="1">
      <x:c r="A180" s="12" t="str">
        <x:f t="shared" ref="A180:A185" si="93">A179</x:f>
        <x:v> ЯВЗ-31-IP54 УХЛ2 100А</x:v>
      </x:c>
      <x:c r="B180" s="13" t="s">
        <x:v>41</x:v>
      </x:c>
      <x:c r="C180" s="14" t="s">
        <x:v>42</x:v>
      </x:c>
      <x:c r="D180" s="12" t="s">
        <x:v>43</x:v>
      </x:c>
      <x:c r="E180" s="13">
        <x:v>1545</x:v>
      </x:c>
      <x:c r="F180" s="15" t="n">
        <x:f>E180*0.6</x:f>
        <x:v>927</x:v>
      </x:c>
      <x:c r="G180" s="15" t="n">
        <x:f>F180*H180</x:f>
        <x:v>2781</x:v>
      </x:c>
      <x:c r="H180" s="16">
        <x:v>3</x:v>
      </x:c>
      <x:c r="I180" s="17" t="s">
        <x:v>17</x:v>
      </x:c>
      <x:c r="J180" s="13" t="s">
        <x:v>22</x:v>
      </x:c>
      <x:c r="K180" s="12" t="str">
        <x:f t="shared" ref="K180:K185" si="94">K179</x:f>
        <x:v>B19</x:v>
      </x:c>
    </x:row>
    <x:row r="181" ht="21" customHeight="1">
      <x:c r="A181" s="12" t="str">
        <x:f t="shared" si="93"/>
        <x:v> ЯВЗ-31-IP54 УХЛ2 100А</x:v>
      </x:c>
      <x:c r="B181" s="13" t="s">
        <x:v>41</x:v>
      </x:c>
      <x:c r="C181" s="14" t="s">
        <x:v>44</x:v>
      </x:c>
      <x:c r="D181" s="12" t="s">
        <x:v>45</x:v>
      </x:c>
      <x:c r="E181" s="13">
        <x:v>2038</x:v>
      </x:c>
      <x:c r="F181" s="15" t="n">
        <x:f>E181*0.6</x:f>
        <x:v>1222.8</x:v>
      </x:c>
      <x:c r="G181" s="15" t="n">
        <x:f>F181*H181</x:f>
        <x:v>3668.3999999999996</x:v>
      </x:c>
      <x:c r="H181" s="16">
        <x:v>3</x:v>
      </x:c>
      <x:c r="I181" s="17" t="s">
        <x:v>17</x:v>
      </x:c>
      <x:c r="J181" s="13" t="s">
        <x:v>22</x:v>
      </x:c>
      <x:c r="K181" s="12" t="str">
        <x:f t="shared" si="94"/>
        <x:v>B19</x:v>
      </x:c>
    </x:row>
    <x:row r="182" ht="21" customHeight="1">
      <x:c r="A182" s="12" t="str">
        <x:f t="shared" si="93"/>
        <x:v> ЯВЗ-31-IP54 УХЛ2 100А</x:v>
      </x:c>
      <x:c r="B182" s="13" t="s">
        <x:v>46</x:v>
      </x:c>
      <x:c r="C182" s="14" t="s">
        <x:v>47</x:v>
      </x:c>
      <x:c r="D182" s="12" t="s">
        <x:v>48</x:v>
      </x:c>
      <x:c r="E182" s="13">
        <x:v>6835</x:v>
      </x:c>
      <x:c r="F182" s="15" t="n">
        <x:f>E182</x:f>
        <x:v>6835</x:v>
      </x:c>
      <x:c r="G182" s="15" t="n">
        <x:f>F182*H182</x:f>
        <x:v>6835</x:v>
      </x:c>
      <x:c r="H182" s="16">
        <x:v>1</x:v>
      </x:c>
      <x:c r="I182" s="17" t="s">
        <x:v>17</x:v>
      </x:c>
      <x:c r="J182" s="13" t="s">
        <x:v>49</x:v>
      </x:c>
      <x:c r="K182" s="12" t="str">
        <x:f t="shared" si="94"/>
        <x:v>B19</x:v>
      </x:c>
    </x:row>
    <x:row r="183" ht="24" customHeight="1">
      <x:c r="A183" s="12" t="str">
        <x:f t="shared" si="93"/>
        <x:v> ЯВЗ-31-IP54 УХЛ2 100А</x:v>
      </x:c>
      <x:c r="B183" s="12" t="s">
        <x:v>33</x:v>
      </x:c>
      <x:c r="C183" s="18" t="s">
        <x:v>33</x:v>
      </x:c>
      <x:c r="D183" s="12" t="s">
        <x:v>33</x:v>
      </x:c>
      <x:c r="E183" s="12">
        <x:f>OFFSET(E183,1,2)</x:f>
        <x:v>0</x:v>
      </x:c>
      <x:c r="F183" s="15" t="n">
        <x:f>E183</x:f>
        <x:v>0</x:v>
      </x:c>
      <x:c r="G183" s="15" t="n">
        <x:f t="shared" ref="G183" si="95">F183*H183</x:f>
        <x:v>0</x:v>
      </x:c>
      <x:c r="H183" s="12"/>
      <x:c r="I183" s="12" t="s">
        <x:v>17</x:v>
      </x:c>
      <x:c r="J183" s="12" t="s">
        <x:v>33</x:v>
      </x:c>
      <x:c r="K183" s="12" t="str">
        <x:f t="shared" si="94"/>
        <x:v>B19</x:v>
      </x:c>
    </x:row>
    <x:row r="184" ht="21" customHeight="1">
      <x:c r="A184" s="12" t="str">
        <x:f t="shared" si="93"/>
        <x:v> ЯВЗ-31-IP54 УХЛ2 100А</x:v>
      </x:c>
      <x:c r="B184" s="12" t="s">
        <x:v>34</x:v>
      </x:c>
      <x:c r="C184" s="18" t="s">
        <x:v>34</x:v>
      </x:c>
      <x:c r="D184" s="12" t="s">
        <x:v>34</x:v>
      </x:c>
      <x:c r="E184" s="12"/>
      <x:c r="F184" s="15">
        <x:v>100</x:v>
      </x:c>
      <x:c r="G184" s="15" t="n">
        <x:f>60*E184*F184</x:f>
        <x:v>0</x:v>
      </x:c>
      <x:c r="H184" s="12" t="n">
        <x:f>60*E184</x:f>
        <x:v>0</x:v>
      </x:c>
      <x:c r="I184" s="12" t="s">
        <x:v>17</x:v>
      </x:c>
      <x:c r="J184" s="12" t="s">
        <x:v>34</x:v>
      </x:c>
      <x:c r="K184" s="12" t="str">
        <x:f t="shared" si="94"/>
        <x:v>B19</x:v>
      </x:c>
    </x:row>
    <x:row r="185" ht="30" customHeight="1">
      <x:c r="A185" s="12" t="str">
        <x:f t="shared" si="93"/>
        <x:v> ЯВЗ-31-IP54 УХЛ2 100А</x:v>
      </x:c>
      <x:c r="B185" s="19"/>
      <x:c r="C185" s="20"/>
      <x:c r="D185" s="21"/>
      <x:c r="E185" s="23"/>
      <x:c r="F185" s="25"/>
      <x:c r="G185" s="24" t="n">
        <x:f>SUM(G179:G184)</x:f>
        <x:v>13284.4</x:v>
      </x:c>
      <x:c r="H185" s="20"/>
      <x:c r="I185" s="22"/>
      <x:c r="J185" s="20"/>
      <x:c r="K185" s="12" t="str">
        <x:f t="shared" si="94"/>
        <x:v>B19</x:v>
      </x:c>
    </x:row>
    <x:row r="186" ht="39.75" customHeight="1">
      <x:c r="A186" s="5" t="str">
        <x:f>D186</x:f>
        <x:v>ЯТП-0,25-220/36 036УХЛ4</x:v>
      </x:c>
      <x:c r="B186" s="6"/>
      <x:c r="C186" s="7"/>
      <x:c r="D186" s="6" t="s">
        <x:v>50</x:v>
      </x:c>
      <x:c r="E186" s="8"/>
      <x:c r="F186" s="8"/>
      <x:c r="G186" s="9"/>
      <x:c r="H186" s="10">
        <x:v>1</x:v>
      </x:c>
      <x:c r="I186" s="11" t="s">
        <x:v>11</x:v>
      </x:c>
      <x:c r="J186" s="6" t="s">
        <x:v>12</x:v>
      </x:c>
      <x:c r="K186" s="5" t="s">
        <x:v>95</x:v>
      </x:c>
    </x:row>
    <x:row r="187" ht="39.75" customHeight="1">
      <x:c r="A187" s="5" t="str">
        <x:f>D187</x:f>
        <x:v>ГРЩ (В25)</x:v>
      </x:c>
      <x:c r="B187" s="6"/>
      <x:c r="C187" s="7"/>
      <x:c r="D187" s="6" t="s">
        <x:v>101</x:v>
      </x:c>
      <x:c r="E187" s="8"/>
      <x:c r="F187" s="8"/>
      <x:c r="G187" s="9"/>
      <x:c r="H187" s="10">
        <x:v>1</x:v>
      </x:c>
      <x:c r="I187" s="11" t="s">
        <x:v>11</x:v>
      </x:c>
      <x:c r="J187" s="6" t="s">
        <x:v>12</x:v>
      </x:c>
      <x:c r="K187" s="5" t="s">
        <x:v>102</x:v>
      </x:c>
    </x:row>
    <x:row r="188" ht="21" customHeight="1">
      <x:c r="A188" s="12" t="str">
        <x:f>A187</x:f>
        <x:v>ГРЩ (В25)</x:v>
      </x:c>
      <x:c r="B188" s="13" t="s">
        <x:v>14</x:v>
      </x:c>
      <x:c r="C188" s="14" t="s">
        <x:v>103</x:v>
      </x:c>
      <x:c r="D188" s="12" t="s">
        <x:v>104</x:v>
      </x:c>
      <x:c r="E188" s="13">
        <x:v>15140</x:v>
      </x:c>
      <x:c r="F188" s="15" t="n">
        <x:f>E188*0.6</x:f>
        <x:v>9084</x:v>
      </x:c>
      <x:c r="G188" s="15" t="n">
        <x:f>H188*F188</x:f>
        <x:v>9084</x:v>
      </x:c>
      <x:c r="H188" s="16">
        <x:v>1</x:v>
      </x:c>
      <x:c r="I188" s="17" t="s">
        <x:v>17</x:v>
      </x:c>
      <x:c r="J188" s="13" t="s">
        <x:v>18</x:v>
      </x:c>
      <x:c r="K188" s="12" t="str">
        <x:f>K187</x:f>
        <x:v>B25</x:v>
      </x:c>
    </x:row>
    <x:row r="189" ht="21" customHeight="1">
      <x:c r="A189" s="12" t="str">
        <x:f t="shared" ref="A189" si="96">A188</x:f>
        <x:v>ГРЩ (В25)</x:v>
      </x:c>
      <x:c r="B189" s="13" t="s">
        <x:v>23</x:v>
      </x:c>
      <x:c r="C189" s="14" t="s">
        <x:v>53</x:v>
      </x:c>
      <x:c r="D189" s="12" t="s">
        <x:v>54</x:v>
      </x:c>
      <x:c r="E189" s="13">
        <x:v>10949</x:v>
      </x:c>
      <x:c r="F189" s="15" t="n">
        <x:f t="shared" ref="F189" si="97">E189*0.6</x:f>
        <x:v>6569.4</x:v>
      </x:c>
      <x:c r="G189" s="15" t="n">
        <x:f t="shared" ref="G189" si="98">F189*H189</x:f>
        <x:v>6569.4</x:v>
      </x:c>
      <x:c r="H189" s="16">
        <x:v>1</x:v>
      </x:c>
      <x:c r="I189" s="17" t="s">
        <x:v>17</x:v>
      </x:c>
      <x:c r="J189" s="13" t="s">
        <x:v>22</x:v>
      </x:c>
      <x:c r="K189" s="12" t="str">
        <x:f t="shared" ref="K189" si="99">K188</x:f>
        <x:v>B25</x:v>
      </x:c>
    </x:row>
    <x:row r="190" ht="21" customHeight="1">
      <x:c r="A190" s="12" t="str">
        <x:f t="shared" ref="A190:A196" si="100">A189</x:f>
        <x:v>ГРЩ (В25)</x:v>
      </x:c>
      <x:c r="B190" s="13" t="s">
        <x:v>23</x:v>
      </x:c>
      <x:c r="C190" s="14" t="s">
        <x:v>57</x:v>
      </x:c>
      <x:c r="D190" s="12" t="s">
        <x:v>58</x:v>
      </x:c>
      <x:c r="E190" s="13">
        <x:v>2429</x:v>
      </x:c>
      <x:c r="F190" s="15" t="n">
        <x:f>E190*0.6</x:f>
        <x:v>1457.3999999999999</x:v>
      </x:c>
      <x:c r="G190" s="15" t="n">
        <x:f>F190*H190</x:f>
        <x:v>5829.599999999999</x:v>
      </x:c>
      <x:c r="H190" s="16">
        <x:v>4</x:v>
      </x:c>
      <x:c r="I190" s="17" t="s">
        <x:v>17</x:v>
      </x:c>
      <x:c r="J190" s="13" t="s">
        <x:v>22</x:v>
      </x:c>
      <x:c r="K190" s="12" t="str">
        <x:f t="shared" ref="K190:K196" si="101">K189</x:f>
        <x:v>B25</x:v>
      </x:c>
    </x:row>
    <x:row r="191" ht="21" customHeight="1">
      <x:c r="A191" s="12" t="str">
        <x:f t="shared" si="100"/>
        <x:v>ГРЩ (В25)</x:v>
      </x:c>
      <x:c r="B191" s="13" t="s">
        <x:v>23</x:v>
      </x:c>
      <x:c r="C191" s="14" t="s">
        <x:v>26</x:v>
      </x:c>
      <x:c r="D191" s="12" t="s">
        <x:v>27</x:v>
      </x:c>
      <x:c r="E191" s="13">
        <x:v>2337</x:v>
      </x:c>
      <x:c r="F191" s="15" t="n">
        <x:f>E191*0.6</x:f>
        <x:v>1402.2</x:v>
      </x:c>
      <x:c r="G191" s="15" t="n">
        <x:f>F191*H191</x:f>
        <x:v>2804.4</x:v>
      </x:c>
      <x:c r="H191" s="16">
        <x:v>2</x:v>
      </x:c>
      <x:c r="I191" s="17" t="s">
        <x:v>17</x:v>
      </x:c>
      <x:c r="J191" s="13" t="s">
        <x:v>22</x:v>
      </x:c>
      <x:c r="K191" s="12" t="str">
        <x:f t="shared" si="101"/>
        <x:v>B25</x:v>
      </x:c>
    </x:row>
    <x:row r="192" ht="21" customHeight="1">
      <x:c r="A192" s="12" t="str">
        <x:f t="shared" si="100"/>
        <x:v>ГРЩ (В25)</x:v>
      </x:c>
      <x:c r="B192" s="13" t="s">
        <x:v>23</x:v>
      </x:c>
      <x:c r="C192" s="14" t="s">
        <x:v>55</x:v>
      </x:c>
      <x:c r="D192" s="12" t="s">
        <x:v>56</x:v>
      </x:c>
      <x:c r="E192" s="13">
        <x:v>3172</x:v>
      </x:c>
      <x:c r="F192" s="15" t="n">
        <x:f>E192*0.6</x:f>
        <x:v>1903.1999999999998</x:v>
      </x:c>
      <x:c r="G192" s="15" t="n">
        <x:f>F192*H192</x:f>
        <x:v>1903.1999999999998</x:v>
      </x:c>
      <x:c r="H192" s="16">
        <x:v>1</x:v>
      </x:c>
      <x:c r="I192" s="17" t="s">
        <x:v>17</x:v>
      </x:c>
      <x:c r="J192" s="13" t="s">
        <x:v>22</x:v>
      </x:c>
      <x:c r="K192" s="12" t="str">
        <x:f t="shared" si="101"/>
        <x:v>B25</x:v>
      </x:c>
    </x:row>
    <x:row r="193" ht="21" customHeight="1">
      <x:c r="A193" s="12" t="str">
        <x:f t="shared" si="100"/>
        <x:v>ГРЩ (В25)</x:v>
      </x:c>
      <x:c r="B193" s="13" t="s">
        <x:v>30</x:v>
      </x:c>
      <x:c r="C193" s="14" t="s">
        <x:v>31</x:v>
      </x:c>
      <x:c r="D193" s="12" t="s">
        <x:v>32</x:v>
      </x:c>
      <x:c r="E193" s="13">
        <x:v>4160</x:v>
      </x:c>
      <x:c r="F193" s="15" t="n">
        <x:f>E193*0.6</x:f>
        <x:v>2496</x:v>
      </x:c>
      <x:c r="G193" s="15" t="n">
        <x:f>F193*H193</x:f>
        <x:v>2496</x:v>
      </x:c>
      <x:c r="H193" s="16">
        <x:v>1</x:v>
      </x:c>
      <x:c r="I193" s="17" t="s">
        <x:v>17</x:v>
      </x:c>
      <x:c r="J193" s="13" t="s">
        <x:v>22</x:v>
      </x:c>
      <x:c r="K193" s="12" t="str">
        <x:f t="shared" si="101"/>
        <x:v>B25</x:v>
      </x:c>
    </x:row>
    <x:row r="194" ht="24" customHeight="1">
      <x:c r="A194" s="12" t="str">
        <x:f t="shared" si="100"/>
        <x:v>ГРЩ (В25)</x:v>
      </x:c>
      <x:c r="B194" s="12" t="s">
        <x:v>33</x:v>
      </x:c>
      <x:c r="C194" s="18" t="s">
        <x:v>33</x:v>
      </x:c>
      <x:c r="D194" s="12" t="s">
        <x:v>33</x:v>
      </x:c>
      <x:c r="E194" s="12">
        <x:f>OFFSET(E194,1,2)</x:f>
        <x:v>0</x:v>
      </x:c>
      <x:c r="F194" s="15" t="n">
        <x:f>E194</x:f>
        <x:v>0</x:v>
      </x:c>
      <x:c r="G194" s="15" t="n">
        <x:f t="shared" ref="G194" si="102">F194*H194</x:f>
        <x:v>0</x:v>
      </x:c>
      <x:c r="H194" s="12"/>
      <x:c r="I194" s="12" t="s">
        <x:v>17</x:v>
      </x:c>
      <x:c r="J194" s="12" t="s">
        <x:v>33</x:v>
      </x:c>
      <x:c r="K194" s="12" t="str">
        <x:f t="shared" si="101"/>
        <x:v>B25</x:v>
      </x:c>
    </x:row>
    <x:row r="195" ht="21" customHeight="1">
      <x:c r="A195" s="12" t="str">
        <x:f t="shared" si="100"/>
        <x:v>ГРЩ (В25)</x:v>
      </x:c>
      <x:c r="B195" s="12" t="s">
        <x:v>34</x:v>
      </x:c>
      <x:c r="C195" s="18" t="s">
        <x:v>34</x:v>
      </x:c>
      <x:c r="D195" s="12" t="s">
        <x:v>34</x:v>
      </x:c>
      <x:c r="E195" s="12"/>
      <x:c r="F195" s="15">
        <x:v>100</x:v>
      </x:c>
      <x:c r="G195" s="15" t="n">
        <x:f>60*E195*F195</x:f>
        <x:v>0</x:v>
      </x:c>
      <x:c r="H195" s="12" t="n">
        <x:f>60*E195</x:f>
        <x:v>0</x:v>
      </x:c>
      <x:c r="I195" s="12" t="s">
        <x:v>17</x:v>
      </x:c>
      <x:c r="J195" s="12" t="s">
        <x:v>34</x:v>
      </x:c>
      <x:c r="K195" s="12" t="str">
        <x:f t="shared" si="101"/>
        <x:v>B25</x:v>
      </x:c>
    </x:row>
    <x:row r="196" ht="30" customHeight="1">
      <x:c r="A196" s="12" t="str">
        <x:f t="shared" si="100"/>
        <x:v>ГРЩ (В25)</x:v>
      </x:c>
      <x:c r="B196" s="19"/>
      <x:c r="C196" s="20"/>
      <x:c r="D196" s="21"/>
      <x:c r="E196" s="23"/>
      <x:c r="F196" s="25"/>
      <x:c r="G196" s="24" t="n">
        <x:f>SUM(G188:G195)</x:f>
        <x:v>28686.600000000002</x:v>
      </x:c>
      <x:c r="H196" s="20"/>
      <x:c r="I196" s="22"/>
      <x:c r="J196" s="20"/>
      <x:c r="K196" s="12" t="str">
        <x:f t="shared" si="101"/>
        <x:v>B25</x:v>
      </x:c>
    </x:row>
    <x:row r="197" ht="39.75" customHeight="1">
      <x:c r="A197" s="5" t="str">
        <x:f>D197</x:f>
        <x:v>ПП (В25)</x:v>
      </x:c>
      <x:c r="B197" s="6"/>
      <x:c r="C197" s="7"/>
      <x:c r="D197" s="6" t="s">
        <x:v>105</x:v>
      </x:c>
      <x:c r="E197" s="8"/>
      <x:c r="F197" s="8"/>
      <x:c r="G197" s="9"/>
      <x:c r="H197" s="10">
        <x:v>1</x:v>
      </x:c>
      <x:c r="I197" s="11" t="s">
        <x:v>11</x:v>
      </x:c>
      <x:c r="J197" s="6" t="s">
        <x:v>12</x:v>
      </x:c>
      <x:c r="K197" s="5" t="s">
        <x:v>102</x:v>
      </x:c>
    </x:row>
    <x:row r="198" ht="21" customHeight="1">
      <x:c r="A198" s="12" t="str">
        <x:f>A197</x:f>
        <x:v>ПП (В25)</x:v>
      </x:c>
      <x:c r="B198" s="13" t="s">
        <x:v>14</x:v>
      </x:c>
      <x:c r="C198" s="14" t="s">
        <x:v>106</x:v>
      </x:c>
      <x:c r="D198" s="12" t="s">
        <x:v>107</x:v>
      </x:c>
      <x:c r="E198" s="13">
        <x:v>45000</x:v>
      </x:c>
      <x:c r="F198" s="15" t="n">
        <x:f>E198*0.6</x:f>
        <x:v>27000</x:v>
      </x:c>
      <x:c r="G198" s="15" t="n">
        <x:f>H198*F198</x:f>
        <x:v>27000</x:v>
      </x:c>
      <x:c r="H198" s="16">
        <x:v>1</x:v>
      </x:c>
      <x:c r="I198" s="17" t="s">
        <x:v>17</x:v>
      </x:c>
      <x:c r="J198" s="13" t="s">
        <x:v>18</x:v>
      </x:c>
      <x:c r="K198" s="12" t="str">
        <x:f>K197</x:f>
        <x:v>B25</x:v>
      </x:c>
    </x:row>
    <x:row r="199" ht="21" customHeight="1">
      <x:c r="A199" s="12" t="str">
        <x:f t="shared" ref="A199:A205" si="103">A198</x:f>
        <x:v>ПП (В25)</x:v>
      </x:c>
      <x:c r="B199" s="13" t="s">
        <x:v>108</x:v>
      </x:c>
      <x:c r="C199" s="14">
        <x:v>256781</x:v>
      </x:c>
      <x:c r="D199" s="12" t="s">
        <x:v>109</x:v>
      </x:c>
      <x:c r="E199" s="13">
        <x:v>207389</x:v>
      </x:c>
      <x:c r="F199" s="15" t="n">
        <x:f>E199*0.6</x:f>
        <x:v>124433.4</x:v>
      </x:c>
      <x:c r="G199" s="15" t="n">
        <x:f>F199*H199</x:f>
        <x:v>124433.4</x:v>
      </x:c>
      <x:c r="H199" s="16">
        <x:v>1</x:v>
      </x:c>
      <x:c r="I199" s="17" t="s">
        <x:v>17</x:v>
      </x:c>
      <x:c r="J199" s="13" t="s">
        <x:v>22</x:v>
      </x:c>
      <x:c r="K199" s="12" t="str">
        <x:f t="shared" ref="K199:K205" si="104">K198</x:f>
        <x:v>B25</x:v>
      </x:c>
    </x:row>
    <x:row r="200" ht="21" customHeight="1">
      <x:c r="A200" s="12" t="str">
        <x:f t="shared" si="103"/>
        <x:v>ПП (В25)</x:v>
      </x:c>
      <x:c r="B200" s="13" t="s">
        <x:v>110</x:v>
      </x:c>
      <x:c r="C200" s="14">
        <x:v>593077</x:v>
      </x:c>
      <x:c r="D200" s="12" t="s">
        <x:v>111</x:v>
      </x:c>
      <x:c r="E200" s="13">
        <x:v>589</x:v>
      </x:c>
      <x:c r="F200" s="15" t="n">
        <x:f>E200*0.6</x:f>
        <x:v>353.4</x:v>
      </x:c>
      <x:c r="G200" s="15" t="n">
        <x:f>F200*H200</x:f>
        <x:v>706.8</x:v>
      </x:c>
      <x:c r="H200" s="16">
        <x:v>2</x:v>
      </x:c>
      <x:c r="I200" s="17" t="s">
        <x:v>17</x:v>
      </x:c>
      <x:c r="J200" s="13" t="s">
        <x:v>22</x:v>
      </x:c>
      <x:c r="K200" s="12" t="str">
        <x:f t="shared" si="104"/>
        <x:v>B25</x:v>
      </x:c>
    </x:row>
    <x:row r="201" ht="21" customHeight="1">
      <x:c r="A201" s="12" t="str">
        <x:f t="shared" si="103"/>
        <x:v>ПП (В25)</x:v>
      </x:c>
      <x:c r="B201" s="13" t="s">
        <x:v>110</x:v>
      </x:c>
      <x:c r="C201" s="14">
        <x:v>593076</x:v>
      </x:c>
      <x:c r="D201" s="12" t="s">
        <x:v>112</x:v>
      </x:c>
      <x:c r="E201" s="13">
        <x:v>571</x:v>
      </x:c>
      <x:c r="F201" s="15" t="n">
        <x:f>E201*0.6</x:f>
        <x:v>342.59999999999997</x:v>
      </x:c>
      <x:c r="G201" s="15" t="n">
        <x:f>F201*H201</x:f>
        <x:v>685.1999999999999</x:v>
      </x:c>
      <x:c r="H201" s="16">
        <x:v>2</x:v>
      </x:c>
      <x:c r="I201" s="17" t="s">
        <x:v>17</x:v>
      </x:c>
      <x:c r="J201" s="13" t="s">
        <x:v>22</x:v>
      </x:c>
      <x:c r="K201" s="12" t="str">
        <x:f t="shared" si="104"/>
        <x:v>B25</x:v>
      </x:c>
    </x:row>
    <x:row r="202" ht="21" customHeight="1">
      <x:c r="A202" s="12" t="str">
        <x:f t="shared" si="103"/>
        <x:v>ПП (В25)</x:v>
      </x:c>
      <x:c r="B202" s="13" t="s">
        <x:v>110</x:v>
      </x:c>
      <x:c r="C202" s="14">
        <x:v>593075</x:v>
      </x:c>
      <x:c r="D202" s="12" t="s">
        <x:v>113</x:v>
      </x:c>
      <x:c r="E202" s="13">
        <x:v>571</x:v>
      </x:c>
      <x:c r="F202" s="15" t="n">
        <x:f>E202*0.6</x:f>
        <x:v>342.59999999999997</x:v>
      </x:c>
      <x:c r="G202" s="15" t="n">
        <x:f>F202*H202</x:f>
        <x:v>685.1999999999999</x:v>
      </x:c>
      <x:c r="H202" s="16">
        <x:v>2</x:v>
      </x:c>
      <x:c r="I202" s="17" t="s">
        <x:v>17</x:v>
      </x:c>
      <x:c r="J202" s="13" t="s">
        <x:v>22</x:v>
      </x:c>
      <x:c r="K202" s="12" t="str">
        <x:f t="shared" si="104"/>
        <x:v>B25</x:v>
      </x:c>
    </x:row>
    <x:row r="203" ht="24" customHeight="1">
      <x:c r="A203" s="12" t="str">
        <x:f t="shared" si="103"/>
        <x:v>ПП (В25)</x:v>
      </x:c>
      <x:c r="B203" s="12" t="s">
        <x:v>33</x:v>
      </x:c>
      <x:c r="C203" s="18" t="s">
        <x:v>33</x:v>
      </x:c>
      <x:c r="D203" s="12" t="s">
        <x:v>33</x:v>
      </x:c>
      <x:c r="E203" s="12">
        <x:f>OFFSET(E203,1,2)</x:f>
        <x:v>0</x:v>
      </x:c>
      <x:c r="F203" s="15" t="n">
        <x:f>E203</x:f>
        <x:v>0</x:v>
      </x:c>
      <x:c r="G203" s="15" t="n">
        <x:f t="shared" ref="G203" si="105">F203*H203</x:f>
        <x:v>0</x:v>
      </x:c>
      <x:c r="H203" s="12"/>
      <x:c r="I203" s="12" t="s">
        <x:v>17</x:v>
      </x:c>
      <x:c r="J203" s="12" t="s">
        <x:v>33</x:v>
      </x:c>
      <x:c r="K203" s="12" t="str">
        <x:f t="shared" si="104"/>
        <x:v>B25</x:v>
      </x:c>
    </x:row>
    <x:row r="204" ht="21" customHeight="1">
      <x:c r="A204" s="12" t="str">
        <x:f t="shared" si="103"/>
        <x:v>ПП (В25)</x:v>
      </x:c>
      <x:c r="B204" s="12" t="s">
        <x:v>34</x:v>
      </x:c>
      <x:c r="C204" s="18" t="s">
        <x:v>34</x:v>
      </x:c>
      <x:c r="D204" s="12" t="s">
        <x:v>34</x:v>
      </x:c>
      <x:c r="E204" s="12"/>
      <x:c r="F204" s="15">
        <x:v>100</x:v>
      </x:c>
      <x:c r="G204" s="15" t="n">
        <x:f>60*E204*F204</x:f>
        <x:v>0</x:v>
      </x:c>
      <x:c r="H204" s="12" t="n">
        <x:f>60*E204</x:f>
        <x:v>0</x:v>
      </x:c>
      <x:c r="I204" s="12" t="s">
        <x:v>17</x:v>
      </x:c>
      <x:c r="J204" s="12" t="s">
        <x:v>34</x:v>
      </x:c>
      <x:c r="K204" s="12" t="str">
        <x:f t="shared" si="104"/>
        <x:v>B25</x:v>
      </x:c>
    </x:row>
    <x:row r="205" ht="30" customHeight="1">
      <x:c r="A205" s="12" t="str">
        <x:f t="shared" si="103"/>
        <x:v>ПП (В25)</x:v>
      </x:c>
      <x:c r="B205" s="19"/>
      <x:c r="C205" s="20"/>
      <x:c r="D205" s="21"/>
      <x:c r="E205" s="23"/>
      <x:c r="F205" s="25"/>
      <x:c r="G205" s="24" t="n">
        <x:f>SUM(G198:G204)</x:f>
        <x:v>153510.6</x:v>
      </x:c>
      <x:c r="H205" s="20"/>
      <x:c r="I205" s="22"/>
      <x:c r="J205" s="20"/>
      <x:c r="K205" s="12" t="str">
        <x:f t="shared" si="104"/>
        <x:v>B25</x:v>
      </x:c>
    </x:row>
    <x:row r="206" ht="39.75" customHeight="1">
      <x:c r="A206" s="5" t="str">
        <x:f>D206</x:f>
        <x:v>ЩАП23 (В25)</x:v>
      </x:c>
      <x:c r="B206" s="6"/>
      <x:c r="C206" s="7"/>
      <x:c r="D206" s="6" t="s">
        <x:v>114</x:v>
      </x:c>
      <x:c r="E206" s="8"/>
      <x:c r="F206" s="8"/>
      <x:c r="G206" s="9"/>
      <x:c r="H206" s="10">
        <x:v>1</x:v>
      </x:c>
      <x:c r="I206" s="11" t="s">
        <x:v>11</x:v>
      </x:c>
      <x:c r="J206" s="6" t="s">
        <x:v>12</x:v>
      </x:c>
      <x:c r="K206" s="5" t="s">
        <x:v>102</x:v>
      </x:c>
    </x:row>
    <x:row r="207" ht="21" customHeight="1">
      <x:c r="A207" s="12" t="str">
        <x:f>A206</x:f>
        <x:v>ЩАП23 (В25)</x:v>
      </x:c>
      <x:c r="B207" s="13" t="s">
        <x:v>14</x:v>
      </x:c>
      <x:c r="C207" s="14" t="s">
        <x:v>115</x:v>
      </x:c>
      <x:c r="D207" s="12" t="s">
        <x:v>116</x:v>
      </x:c>
      <x:c r="E207" s="13">
        <x:v>14000</x:v>
      </x:c>
      <x:c r="F207" s="15" t="n">
        <x:f>E207*0.6</x:f>
        <x:v>8400</x:v>
      </x:c>
      <x:c r="G207" s="15" t="n">
        <x:f>H207*F207</x:f>
        <x:v>8400</x:v>
      </x:c>
      <x:c r="H207" s="16">
        <x:v>1</x:v>
      </x:c>
      <x:c r="I207" s="17" t="s">
        <x:v>17</x:v>
      </x:c>
      <x:c r="J207" s="13" t="s">
        <x:v>18</x:v>
      </x:c>
      <x:c r="K207" s="12" t="str">
        <x:f>K206</x:f>
        <x:v>B25</x:v>
      </x:c>
    </x:row>
    <x:row r="208" ht="21" customHeight="1">
      <x:c r="A208" s="12" t="str">
        <x:f>A210</x:f>
        <x:v>ЩАП23 (В25)</x:v>
      </x:c>
      <x:c r="B208" s="13" t="s">
        <x:v>23</x:v>
      </x:c>
      <x:c r="C208" s="14" t="s">
        <x:v>57</x:v>
      </x:c>
      <x:c r="D208" s="12" t="s">
        <x:v>58</x:v>
      </x:c>
      <x:c r="E208" s="13">
        <x:v>2429</x:v>
      </x:c>
      <x:c r="F208" s="15" t="n">
        <x:f>E208*0.6</x:f>
        <x:v>1457.3999999999999</x:v>
      </x:c>
      <x:c r="G208" s="15" t="n">
        <x:f>F208*H208</x:f>
        <x:v>2914.7999999999997</x:v>
      </x:c>
      <x:c r="H208" s="16">
        <x:v>2</x:v>
      </x:c>
      <x:c r="I208" s="17" t="s">
        <x:v>17</x:v>
      </x:c>
      <x:c r="J208" s="13" t="s">
        <x:v>22</x:v>
      </x:c>
      <x:c r="K208" s="12" t="str">
        <x:f>K210</x:f>
        <x:v>B25</x:v>
      </x:c>
    </x:row>
    <x:row r="209" ht="21" customHeight="1">
      <x:c r="A209" s="12" t="str">
        <x:f>A208</x:f>
        <x:v>ЩАП23 (В25)</x:v>
      </x:c>
      <x:c r="B209" s="13" t="s">
        <x:v>23</x:v>
      </x:c>
      <x:c r="C209" s="14" t="s">
        <x:v>117</x:v>
      </x:c>
      <x:c r="D209" s="12" t="s">
        <x:v>118</x:v>
      </x:c>
      <x:c r="E209" s="13">
        <x:v>2873</x:v>
      </x:c>
      <x:c r="F209" s="15" t="n">
        <x:f>E209*0.6</x:f>
        <x:v>1723.8</x:v>
      </x:c>
      <x:c r="G209" s="15" t="n">
        <x:f>F209*H209</x:f>
        <x:v>1723.8</x:v>
      </x:c>
      <x:c r="H209" s="16">
        <x:v>1</x:v>
      </x:c>
      <x:c r="I209" s="17" t="s">
        <x:v>17</x:v>
      </x:c>
      <x:c r="J209" s="13" t="s">
        <x:v>22</x:v>
      </x:c>
      <x:c r="K209" s="12" t="str">
        <x:f>K208</x:f>
        <x:v>B25</x:v>
      </x:c>
    </x:row>
    <x:row r="210" ht="21" customHeight="1">
      <x:c r="A210" s="12" t="str">
        <x:f>A207</x:f>
        <x:v>ЩАП23 (В25)</x:v>
      </x:c>
      <x:c r="B210" s="13" t="s">
        <x:v>110</x:v>
      </x:c>
      <x:c r="C210" s="14" t="s">
        <x:v>119</x:v>
      </x:c>
      <x:c r="D210" s="12" t="s">
        <x:v>113</x:v>
      </x:c>
      <x:c r="E210" s="13">
        <x:v>571</x:v>
      </x:c>
      <x:c r="F210" s="15" t="n">
        <x:f t="shared" ref="F210" si="106">E210*0.6</x:f>
        <x:v>342.59999999999997</x:v>
      </x:c>
      <x:c r="G210" s="15" t="n">
        <x:f t="shared" ref="G210" si="107">F210*H210</x:f>
        <x:v>342.59999999999997</x:v>
      </x:c>
      <x:c r="H210" s="16">
        <x:v>1</x:v>
      </x:c>
      <x:c r="I210" s="17" t="s">
        <x:v>17</x:v>
      </x:c>
      <x:c r="J210" s="13" t="s">
        <x:v>22</x:v>
      </x:c>
      <x:c r="K210" s="12" t="str">
        <x:f>K207</x:f>
        <x:v>B25</x:v>
      </x:c>
    </x:row>
    <x:row r="211" ht="21" customHeight="1">
      <x:c r="A211" s="12" t="str">
        <x:f>A209</x:f>
        <x:v>ЩАП23 (В25)</x:v>
      </x:c>
      <x:c r="B211" s="13" t="s">
        <x:v>64</x:v>
      </x:c>
      <x:c r="C211" s="14" t="s">
        <x:v>120</x:v>
      </x:c>
      <x:c r="D211" s="12" t="s">
        <x:v>121</x:v>
      </x:c>
      <x:c r="E211" s="13">
        <x:v>9149</x:v>
      </x:c>
      <x:c r="F211" s="15" t="n">
        <x:f t="shared" ref="F211:F217" si="108">E211*0.6</x:f>
        <x:v>5489.4</x:v>
      </x:c>
      <x:c r="G211" s="15" t="n">
        <x:f t="shared" ref="G211:G217" si="109">F211*H211</x:f>
        <x:v>5489.4</x:v>
      </x:c>
      <x:c r="H211" s="16">
        <x:v>1</x:v>
      </x:c>
      <x:c r="I211" s="17" t="s">
        <x:v>17</x:v>
      </x:c>
      <x:c r="J211" s="13" t="s">
        <x:v>22</x:v>
      </x:c>
      <x:c r="K211" s="12" t="str">
        <x:f>K209</x:f>
        <x:v>B25</x:v>
      </x:c>
    </x:row>
    <x:row r="212" ht="21" customHeight="1">
      <x:c r="A212" s="12" t="str">
        <x:f>A210</x:f>
        <x:v>ЩАП23 (В25)</x:v>
      </x:c>
      <x:c r="B212" s="13" t="s">
        <x:v>64</x:v>
      </x:c>
      <x:c r="C212" s="14" t="s">
        <x:v>122</x:v>
      </x:c>
      <x:c r="D212" s="12" t="s">
        <x:v>123</x:v>
      </x:c>
      <x:c r="E212" s="13">
        <x:v>1306</x:v>
      </x:c>
      <x:c r="F212" s="15">
        <x:f t="shared" si="108"/>
        <x:v>783.6</x:v>
      </x:c>
      <x:c r="G212" s="15">
        <x:f t="shared" si="109"/>
        <x:v>783.6</x:v>
      </x:c>
      <x:c r="H212" s="16">
        <x:v>1</x:v>
      </x:c>
      <x:c r="I212" s="17" t="s">
        <x:v>17</x:v>
      </x:c>
      <x:c r="J212" s="13" t="s">
        <x:v>22</x:v>
      </x:c>
      <x:c r="K212" s="12" t="str">
        <x:f>K210</x:f>
        <x:v>B25</x:v>
      </x:c>
    </x:row>
    <x:row r="213" ht="21" customHeight="1">
      <x:c r="A213" s="12" t="str">
        <x:f>A210</x:f>
        <x:v>ЩАП23 (В25)</x:v>
      </x:c>
      <x:c r="B213" s="13" t="s">
        <x:v>124</x:v>
      </x:c>
      <x:c r="C213" s="14" t="s">
        <x:v>125</x:v>
      </x:c>
      <x:c r="D213" s="12" t="s">
        <x:v>126</x:v>
      </x:c>
      <x:c r="E213" s="13">
        <x:v>1078</x:v>
      </x:c>
      <x:c r="F213" s="15">
        <x:f t="shared" si="108"/>
        <x:v>646.79999999999995</x:v>
      </x:c>
      <x:c r="G213" s="15">
        <x:f t="shared" si="109"/>
        <x:v>646.79999999999995</x:v>
      </x:c>
      <x:c r="H213" s="16">
        <x:v>1</x:v>
      </x:c>
      <x:c r="I213" s="17" t="s">
        <x:v>17</x:v>
      </x:c>
      <x:c r="J213" s="13" t="s">
        <x:v>22</x:v>
      </x:c>
      <x:c r="K213" s="12" t="str">
        <x:f>K210</x:f>
        <x:v>B25</x:v>
      </x:c>
    </x:row>
    <x:row r="214" ht="21" customHeight="1">
      <x:c r="A214" s="12" t="str">
        <x:f>A211</x:f>
        <x:v>ЩАП23 (В25)</x:v>
      </x:c>
      <x:c r="B214" s="13" t="s">
        <x:v>110</x:v>
      </x:c>
      <x:c r="C214" s="14" t="s">
        <x:v>127</x:v>
      </x:c>
      <x:c r="D214" s="12" t="s">
        <x:v>111</x:v>
      </x:c>
      <x:c r="E214" s="13">
        <x:v>589</x:v>
      </x:c>
      <x:c r="F214" s="15">
        <x:f t="shared" si="108"/>
        <x:v>353.4</x:v>
      </x:c>
      <x:c r="G214" s="15">
        <x:f t="shared" si="109"/>
        <x:v>353.4</x:v>
      </x:c>
      <x:c r="H214" s="16">
        <x:v>1</x:v>
      </x:c>
      <x:c r="I214" s="17" t="s">
        <x:v>17</x:v>
      </x:c>
      <x:c r="J214" s="13" t="s">
        <x:v>22</x:v>
      </x:c>
      <x:c r="K214" s="12" t="str">
        <x:f>K211</x:f>
        <x:v>B25</x:v>
      </x:c>
    </x:row>
    <x:row r="215" ht="21" customHeight="1">
      <x:c r="A215" s="12" t="str">
        <x:f>A213</x:f>
        <x:v>ЩАП23 (В25)</x:v>
      </x:c>
      <x:c r="B215" s="13" t="s">
        <x:v>67</x:v>
      </x:c>
      <x:c r="C215" s="14" t="s">
        <x:v>128</x:v>
      </x:c>
      <x:c r="D215" s="12" t="s">
        <x:v>129</x:v>
      </x:c>
      <x:c r="E215" s="13">
        <x:v>14767</x:v>
      </x:c>
      <x:c r="F215" s="15">
        <x:f t="shared" si="108"/>
        <x:v>8860.1999999999989</x:v>
      </x:c>
      <x:c r="G215" s="15">
        <x:f t="shared" si="109"/>
        <x:v>8860.1999999999989</x:v>
      </x:c>
      <x:c r="H215" s="16">
        <x:v>1</x:v>
      </x:c>
      <x:c r="I215" s="17" t="s">
        <x:v>17</x:v>
      </x:c>
      <x:c r="J215" s="13" t="s">
        <x:v>22</x:v>
      </x:c>
      <x:c r="K215" s="12" t="str">
        <x:f>K213</x:f>
        <x:v>B25</x:v>
      </x:c>
    </x:row>
    <x:row r="216" ht="21" customHeight="1">
      <x:c r="A216" s="12" t="str">
        <x:f>A214</x:f>
        <x:v>ЩАП23 (В25)</x:v>
      </x:c>
      <x:c r="B216" s="13" t="s">
        <x:v>67</x:v>
      </x:c>
      <x:c r="C216" s="14" t="s">
        <x:v>130</x:v>
      </x:c>
      <x:c r="D216" s="12" t="s">
        <x:v>131</x:v>
      </x:c>
      <x:c r="E216" s="13">
        <x:v>1575</x:v>
      </x:c>
      <x:c r="F216" s="15">
        <x:f t="shared" si="108"/>
        <x:v>945</x:v>
      </x:c>
      <x:c r="G216" s="15">
        <x:f t="shared" si="109"/>
        <x:v>945</x:v>
      </x:c>
      <x:c r="H216" s="16">
        <x:v>1</x:v>
      </x:c>
      <x:c r="I216" s="17" t="s">
        <x:v>17</x:v>
      </x:c>
      <x:c r="J216" s="13" t="s">
        <x:v>22</x:v>
      </x:c>
      <x:c r="K216" s="12" t="str">
        <x:f>K214</x:f>
        <x:v>B25</x:v>
      </x:c>
    </x:row>
    <x:row r="217" ht="21" customHeight="1">
      <x:c r="A217" s="12" t="str">
        <x:f>A215</x:f>
        <x:v>ЩАП23 (В25)</x:v>
      </x:c>
      <x:c r="B217" s="13" t="s">
        <x:v>132</x:v>
      </x:c>
      <x:c r="C217" s="14" t="s">
        <x:v>133</x:v>
      </x:c>
      <x:c r="D217" s="12" t="s">
        <x:v>134</x:v>
      </x:c>
      <x:c r="E217" s="13">
        <x:v>682</x:v>
      </x:c>
      <x:c r="F217" s="15">
        <x:f t="shared" si="108"/>
        <x:v>409.2</x:v>
      </x:c>
      <x:c r="G217" s="15">
        <x:f t="shared" si="109"/>
        <x:v>409.2</x:v>
      </x:c>
      <x:c r="H217" s="16">
        <x:v>1</x:v>
      </x:c>
      <x:c r="I217" s="17" t="s">
        <x:v>17</x:v>
      </x:c>
      <x:c r="J217" s="13" t="s">
        <x:v>22</x:v>
      </x:c>
      <x:c r="K217" s="12" t="str">
        <x:f>K215</x:f>
        <x:v>B25</x:v>
      </x:c>
    </x:row>
    <x:row r="218" ht="24" customHeight="1">
      <x:c r="A218" s="12" t="str">
        <x:f>A214</x:f>
        <x:v>ЩАП23 (В25)</x:v>
      </x:c>
      <x:c r="B218" s="12" t="s">
        <x:v>33</x:v>
      </x:c>
      <x:c r="C218" s="18" t="s">
        <x:v>33</x:v>
      </x:c>
      <x:c r="D218" s="12" t="s">
        <x:v>33</x:v>
      </x:c>
      <x:c r="E218" s="12">
        <x:f>OFFSET(E218,1,2)</x:f>
        <x:v>0</x:v>
      </x:c>
      <x:c r="F218" s="15" t="n">
        <x:f>E218</x:f>
        <x:v>0</x:v>
      </x:c>
      <x:c r="G218" s="15" t="n">
        <x:f t="shared" ref="G218" si="110">F218*H218</x:f>
        <x:v>0</x:v>
      </x:c>
      <x:c r="H218" s="12"/>
      <x:c r="I218" s="12" t="s">
        <x:v>17</x:v>
      </x:c>
      <x:c r="J218" s="12" t="s">
        <x:v>33</x:v>
      </x:c>
      <x:c r="K218" s="12" t="str">
        <x:f>K214</x:f>
        <x:v>B25</x:v>
      </x:c>
    </x:row>
    <x:row r="219" ht="21" customHeight="1">
      <x:c r="A219" s="12" t="str">
        <x:f t="shared" ref="A219:A220" si="111">A218</x:f>
        <x:v>ЩАП23 (В25)</x:v>
      </x:c>
      <x:c r="B219" s="12" t="s">
        <x:v>34</x:v>
      </x:c>
      <x:c r="C219" s="18" t="s">
        <x:v>34</x:v>
      </x:c>
      <x:c r="D219" s="12" t="s">
        <x:v>34</x:v>
      </x:c>
      <x:c r="E219" s="12"/>
      <x:c r="F219" s="15">
        <x:v>100</x:v>
      </x:c>
      <x:c r="G219" s="15" t="n">
        <x:f>60*E219*F219</x:f>
        <x:v>0</x:v>
      </x:c>
      <x:c r="H219" s="12" t="n">
        <x:f>60*E219</x:f>
        <x:v>0</x:v>
      </x:c>
      <x:c r="I219" s="12" t="s">
        <x:v>17</x:v>
      </x:c>
      <x:c r="J219" s="12" t="s">
        <x:v>34</x:v>
      </x:c>
      <x:c r="K219" s="12" t="str">
        <x:f t="shared" ref="K219:K220" si="112">K218</x:f>
        <x:v>B25</x:v>
      </x:c>
    </x:row>
    <x:row r="220" ht="30" customHeight="1">
      <x:c r="A220" s="12" t="str">
        <x:f t="shared" si="111"/>
        <x:v>ЩАП23 (В25)</x:v>
      </x:c>
      <x:c r="B220" s="19"/>
      <x:c r="C220" s="20"/>
      <x:c r="D220" s="21"/>
      <x:c r="E220" s="23"/>
      <x:c r="F220" s="25"/>
      <x:c r="G220" s="24" t="n">
        <x:f>SUM(G207:G219)</x:f>
        <x:v>30868.8</x:v>
      </x:c>
      <x:c r="H220" s="20"/>
      <x:c r="I220" s="22"/>
      <x:c r="J220" s="20"/>
      <x:c r="K220" s="12" t="str">
        <x:f t="shared" si="112"/>
        <x:v>B25</x:v>
      </x:c>
    </x:row>
    <x:row r="221" ht="39.75" customHeight="1">
      <x:c r="A221" s="5" t="str">
        <x:f>D221</x:f>
        <x:v>РПАвр (В25)</x:v>
      </x:c>
      <x:c r="B221" s="6"/>
      <x:c r="C221" s="7"/>
      <x:c r="D221" s="6" t="s">
        <x:v>135</x:v>
      </x:c>
      <x:c r="E221" s="8"/>
      <x:c r="F221" s="8"/>
      <x:c r="G221" s="9"/>
      <x:c r="H221" s="10">
        <x:v>1</x:v>
      </x:c>
      <x:c r="I221" s="11" t="s">
        <x:v>11</x:v>
      </x:c>
      <x:c r="J221" s="6" t="s">
        <x:v>12</x:v>
      </x:c>
      <x:c r="K221" s="5" t="s">
        <x:v>102</x:v>
      </x:c>
    </x:row>
    <x:row r="222" ht="21" customHeight="1">
      <x:c r="A222" s="12" t="str">
        <x:f>A221</x:f>
        <x:v>РПАвр (В25)</x:v>
      </x:c>
      <x:c r="B222" s="13" t="s">
        <x:v>14</x:v>
      </x:c>
      <x:c r="C222" s="14" t="s">
        <x:v>103</x:v>
      </x:c>
      <x:c r="D222" s="12" t="s">
        <x:v>104</x:v>
      </x:c>
      <x:c r="E222" s="13">
        <x:v>15140</x:v>
      </x:c>
      <x:c r="F222" s="15" t="n">
        <x:f t="shared" ref="F222:F227" si="113">E222*0.6</x:f>
        <x:v>9084</x:v>
      </x:c>
      <x:c r="G222" s="15" t="n">
        <x:f>H222*F222</x:f>
        <x:v>9084</x:v>
      </x:c>
      <x:c r="H222" s="16">
        <x:v>1</x:v>
      </x:c>
      <x:c r="I222" s="17" t="s">
        <x:v>17</x:v>
      </x:c>
      <x:c r="J222" s="13" t="s">
        <x:v>18</x:v>
      </x:c>
      <x:c r="K222" s="12" t="str">
        <x:f>K221</x:f>
        <x:v>B25</x:v>
      </x:c>
    </x:row>
    <x:row r="223" ht="21" customHeight="1">
      <x:c r="A223" s="12" t="str">
        <x:f t="shared" ref="A223:A224" si="114">A222</x:f>
        <x:v>РПАвр (В25)</x:v>
      </x:c>
      <x:c r="B223" s="13" t="s">
        <x:v>23</x:v>
      </x:c>
      <x:c r="C223" s="14" t="s">
        <x:v>57</x:v>
      </x:c>
      <x:c r="D223" s="12" t="s">
        <x:v>58</x:v>
      </x:c>
      <x:c r="E223" s="13">
        <x:v>2429</x:v>
      </x:c>
      <x:c r="F223" s="15">
        <x:f t="shared" si="113"/>
        <x:v>1457.3999999999999</x:v>
      </x:c>
      <x:c r="G223" s="15" t="n">
        <x:f>F223*H223</x:f>
        <x:v>1457.3999999999999</x:v>
      </x:c>
      <x:c r="H223" s="16">
        <x:v>1</x:v>
      </x:c>
      <x:c r="I223" s="17" t="s">
        <x:v>17</x:v>
      </x:c>
      <x:c r="J223" s="13" t="s">
        <x:v>22</x:v>
      </x:c>
      <x:c r="K223" s="12" t="str">
        <x:f t="shared" ref="K223:K224" si="115">K222</x:f>
        <x:v>B25</x:v>
      </x:c>
    </x:row>
    <x:row r="224" ht="21" customHeight="1">
      <x:c r="A224" s="12" t="str">
        <x:f t="shared" si="114"/>
        <x:v>РПАвр (В25)</x:v>
      </x:c>
      <x:c r="B224" s="13" t="s">
        <x:v>23</x:v>
      </x:c>
      <x:c r="C224" s="14" t="s">
        <x:v>81</x:v>
      </x:c>
      <x:c r="D224" s="12" t="s">
        <x:v>82</x:v>
      </x:c>
      <x:c r="E224" s="13">
        <x:v>2499</x:v>
      </x:c>
      <x:c r="F224" s="15">
        <x:f t="shared" si="113"/>
        <x:v>1499.3999999999999</x:v>
      </x:c>
      <x:c r="G224" s="15" t="n">
        <x:f>F224*H224</x:f>
        <x:v>1499.3999999999999</x:v>
      </x:c>
      <x:c r="H224" s="16">
        <x:v>1</x:v>
      </x:c>
      <x:c r="I224" s="17" t="s">
        <x:v>17</x:v>
      </x:c>
      <x:c r="J224" s="13" t="s">
        <x:v>22</x:v>
      </x:c>
      <x:c r="K224" s="12" t="str">
        <x:f t="shared" si="115"/>
        <x:v>B25</x:v>
      </x:c>
    </x:row>
    <x:row r="225" ht="21" customHeight="1">
      <x:c r="A225" s="12" t="str">
        <x:f>A223</x:f>
        <x:v>РПАвр (В25)</x:v>
      </x:c>
      <x:c r="B225" s="13" t="s">
        <x:v>23</x:v>
      </x:c>
      <x:c r="C225" s="14" t="s">
        <x:v>26</x:v>
      </x:c>
      <x:c r="D225" s="12" t="s">
        <x:v>27</x:v>
      </x:c>
      <x:c r="E225" s="13">
        <x:v>2337</x:v>
      </x:c>
      <x:c r="F225" s="15">
        <x:f t="shared" si="113"/>
        <x:v>1402.2</x:v>
      </x:c>
      <x:c r="G225" s="15" t="n">
        <x:f>F225*H225</x:f>
        <x:v>4206.6</x:v>
      </x:c>
      <x:c r="H225" s="16">
        <x:v>3</x:v>
      </x:c>
      <x:c r="I225" s="17" t="s">
        <x:v>17</x:v>
      </x:c>
      <x:c r="J225" s="13" t="s">
        <x:v>22</x:v>
      </x:c>
      <x:c r="K225" s="12" t="str">
        <x:f>K223</x:f>
        <x:v>B25</x:v>
      </x:c>
    </x:row>
    <x:row r="226" ht="21" customHeight="1">
      <x:c r="A226" s="12" t="str">
        <x:f t="shared" ref="A226:A230" si="116">A225</x:f>
        <x:v>РПАвр (В25)</x:v>
      </x:c>
      <x:c r="B226" s="13" t="s">
        <x:v>23</x:v>
      </x:c>
      <x:c r="C226" s="14" t="s">
        <x:v>28</x:v>
      </x:c>
      <x:c r="D226" s="12" t="s">
        <x:v>29</x:v>
      </x:c>
      <x:c r="E226" s="13">
        <x:v>1389</x:v>
      </x:c>
      <x:c r="F226" s="15">
        <x:f t="shared" si="113"/>
        <x:v>833.4</x:v>
      </x:c>
      <x:c r="G226" s="15" t="n">
        <x:f>F226*H226</x:f>
        <x:v>2500.2</x:v>
      </x:c>
      <x:c r="H226" s="16">
        <x:v>3</x:v>
      </x:c>
      <x:c r="I226" s="17" t="s">
        <x:v>17</x:v>
      </x:c>
      <x:c r="J226" s="13" t="s">
        <x:v>22</x:v>
      </x:c>
      <x:c r="K226" s="12" t="str">
        <x:f t="shared" ref="K226:K230" si="117">K225</x:f>
        <x:v>B25</x:v>
      </x:c>
    </x:row>
    <x:row r="227" ht="21" customHeight="1">
      <x:c r="A227" s="12" t="str">
        <x:f t="shared" ref="A227" si="118">A226</x:f>
        <x:v>РПАвр (В25)</x:v>
      </x:c>
      <x:c r="B227" s="13" t="s">
        <x:v>136</x:v>
      </x:c>
      <x:c r="C227" s="14" t="s">
        <x:v>137</x:v>
      </x:c>
      <x:c r="D227" s="12" t="s">
        <x:v>138</x:v>
      </x:c>
      <x:c r="E227" s="13">
        <x:v>5093</x:v>
      </x:c>
      <x:c r="F227" s="15">
        <x:f t="shared" si="113"/>
        <x:v>3055.7999999999997</x:v>
      </x:c>
      <x:c r="G227" s="15" t="n">
        <x:f>F227*H227</x:f>
        <x:v>12223.199999999999</x:v>
      </x:c>
      <x:c r="H227" s="16">
        <x:v>4</x:v>
      </x:c>
      <x:c r="I227" s="17" t="s">
        <x:v>17</x:v>
      </x:c>
      <x:c r="J227" s="13" t="s">
        <x:v>22</x:v>
      </x:c>
      <x:c r="K227" s="12" t="str">
        <x:f t="shared" ref="K227" si="119">K226</x:f>
        <x:v>B25</x:v>
      </x:c>
    </x:row>
    <x:row r="228" ht="24" customHeight="1">
      <x:c r="A228" s="12" t="str">
        <x:f>A226</x:f>
        <x:v>РПАвр (В25)</x:v>
      </x:c>
      <x:c r="B228" s="12" t="s">
        <x:v>33</x:v>
      </x:c>
      <x:c r="C228" s="18" t="s">
        <x:v>33</x:v>
      </x:c>
      <x:c r="D228" s="12" t="s">
        <x:v>33</x:v>
      </x:c>
      <x:c r="E228" s="12">
        <x:f>OFFSET(E228,1,2)</x:f>
        <x:v>0</x:v>
      </x:c>
      <x:c r="F228" s="15" t="n">
        <x:f>E228</x:f>
        <x:v>0</x:v>
      </x:c>
      <x:c r="G228" s="15" t="n">
        <x:f t="shared" ref="G228" si="120">F228*H228</x:f>
        <x:v>0</x:v>
      </x:c>
      <x:c r="H228" s="12"/>
      <x:c r="I228" s="12" t="s">
        <x:v>17</x:v>
      </x:c>
      <x:c r="J228" s="12" t="s">
        <x:v>33</x:v>
      </x:c>
      <x:c r="K228" s="12" t="str">
        <x:f>K226</x:f>
        <x:v>B25</x:v>
      </x:c>
    </x:row>
    <x:row r="229" ht="21" customHeight="1">
      <x:c r="A229" s="12" t="str">
        <x:f t="shared" si="116"/>
        <x:v>РПАвр (В25)</x:v>
      </x:c>
      <x:c r="B229" s="12" t="s">
        <x:v>34</x:v>
      </x:c>
      <x:c r="C229" s="18" t="s">
        <x:v>34</x:v>
      </x:c>
      <x:c r="D229" s="12" t="s">
        <x:v>34</x:v>
      </x:c>
      <x:c r="E229" s="12"/>
      <x:c r="F229" s="15">
        <x:v>100</x:v>
      </x:c>
      <x:c r="G229" s="15" t="n">
        <x:f>60*E229*F229</x:f>
        <x:v>0</x:v>
      </x:c>
      <x:c r="H229" s="12" t="n">
        <x:f>60*E229</x:f>
        <x:v>0</x:v>
      </x:c>
      <x:c r="I229" s="12" t="s">
        <x:v>17</x:v>
      </x:c>
      <x:c r="J229" s="12" t="s">
        <x:v>34</x:v>
      </x:c>
      <x:c r="K229" s="12" t="str">
        <x:f t="shared" si="117"/>
        <x:v>B25</x:v>
      </x:c>
    </x:row>
    <x:row r="230" ht="30" customHeight="1">
      <x:c r="A230" s="12" t="str">
        <x:f t="shared" si="116"/>
        <x:v>РПАвр (В25)</x:v>
      </x:c>
      <x:c r="B230" s="19"/>
      <x:c r="C230" s="20"/>
      <x:c r="D230" s="21"/>
      <x:c r="E230" s="23"/>
      <x:c r="F230" s="25"/>
      <x:c r="G230" s="24" t="n">
        <x:f>SUM(G222:G229)</x:f>
        <x:v>30970.799999999996</x:v>
      </x:c>
      <x:c r="H230" s="20"/>
      <x:c r="I230" s="22"/>
      <x:c r="J230" s="20"/>
      <x:c r="K230" s="12" t="str">
        <x:f t="shared" si="117"/>
        <x:v>B25</x:v>
      </x:c>
    </x:row>
    <x:row r="231" ht="39.75" customHeight="1">
      <x:c r="A231" s="5" t="str">
        <x:f>D231</x:f>
        <x:v>РП-1 (В25)</x:v>
      </x:c>
      <x:c r="B231" s="6"/>
      <x:c r="C231" s="7"/>
      <x:c r="D231" s="6" t="s">
        <x:v>139</x:v>
      </x:c>
      <x:c r="E231" s="8"/>
      <x:c r="F231" s="8"/>
      <x:c r="G231" s="9"/>
      <x:c r="H231" s="10">
        <x:v>1</x:v>
      </x:c>
      <x:c r="I231" s="11" t="s">
        <x:v>11</x:v>
      </x:c>
      <x:c r="J231" s="6" t="s">
        <x:v>12</x:v>
      </x:c>
      <x:c r="K231" s="5" t="s">
        <x:v>102</x:v>
      </x:c>
    </x:row>
    <x:row r="232" ht="21" customHeight="1">
      <x:c r="A232" s="12" t="str">
        <x:f>A231</x:f>
        <x:v>РП-1 (В25)</x:v>
      </x:c>
      <x:c r="B232" s="13" t="s">
        <x:v>14</x:v>
      </x:c>
      <x:c r="C232" s="14" t="s">
        <x:v>103</x:v>
      </x:c>
      <x:c r="D232" s="12" t="s">
        <x:v>104</x:v>
      </x:c>
      <x:c r="E232" s="13">
        <x:v>15140</x:v>
      </x:c>
      <x:c r="F232" s="15" t="n">
        <x:f>E232*0.6</x:f>
        <x:v>9084</x:v>
      </x:c>
      <x:c r="G232" s="15" t="n">
        <x:f>H232*F232</x:f>
        <x:v>9084</x:v>
      </x:c>
      <x:c r="H232" s="16">
        <x:v>1</x:v>
      </x:c>
      <x:c r="I232" s="17" t="s">
        <x:v>17</x:v>
      </x:c>
      <x:c r="J232" s="13" t="s">
        <x:v>18</x:v>
      </x:c>
      <x:c r="K232" s="12" t="str">
        <x:f>K231</x:f>
        <x:v>B25</x:v>
      </x:c>
    </x:row>
    <x:row r="233" ht="21" customHeight="1">
      <x:c r="A233" s="12" t="str">
        <x:f t="shared" ref="A233:A237" si="121">A232</x:f>
        <x:v>РП-1 (В25)</x:v>
      </x:c>
      <x:c r="B233" s="13" t="s">
        <x:v>23</x:v>
      </x:c>
      <x:c r="C233" s="14" t="s">
        <x:v>81</x:v>
      </x:c>
      <x:c r="D233" s="12" t="s">
        <x:v>82</x:v>
      </x:c>
      <x:c r="E233" s="13">
        <x:v>2499</x:v>
      </x:c>
      <x:c r="F233" s="15" t="n">
        <x:f>E233*0.6</x:f>
        <x:v>1499.3999999999999</x:v>
      </x:c>
      <x:c r="G233" s="15" t="n">
        <x:f>F233*H233</x:f>
        <x:v>1499.3999999999999</x:v>
      </x:c>
      <x:c r="H233" s="16">
        <x:v>1</x:v>
      </x:c>
      <x:c r="I233" s="17" t="s">
        <x:v>17</x:v>
      </x:c>
      <x:c r="J233" s="13" t="s">
        <x:v>22</x:v>
      </x:c>
      <x:c r="K233" s="12" t="str">
        <x:f t="shared" ref="K233:K237" si="122">K232</x:f>
        <x:v>B25</x:v>
      </x:c>
    </x:row>
    <x:row r="234" ht="21" customHeight="1">
      <x:c r="A234" s="12" t="str">
        <x:f t="shared" si="121"/>
        <x:v>РП-1 (В25)</x:v>
      </x:c>
      <x:c r="B234" s="13" t="s">
        <x:v>136</x:v>
      </x:c>
      <x:c r="C234" s="14" t="s">
        <x:v>137</x:v>
      </x:c>
      <x:c r="D234" s="12" t="s">
        <x:v>138</x:v>
      </x:c>
      <x:c r="E234" s="13">
        <x:v>5093</x:v>
      </x:c>
      <x:c r="F234" s="15" t="n">
        <x:f>E234*0.6</x:f>
        <x:v>3055.7999999999997</x:v>
      </x:c>
      <x:c r="G234" s="15" t="n">
        <x:f>F234*H234</x:f>
        <x:v>18334.8</x:v>
      </x:c>
      <x:c r="H234" s="16">
        <x:v>6</x:v>
      </x:c>
      <x:c r="I234" s="17" t="s">
        <x:v>17</x:v>
      </x:c>
      <x:c r="J234" s="13" t="s">
        <x:v>22</x:v>
      </x:c>
      <x:c r="K234" s="12" t="str">
        <x:f t="shared" si="122"/>
        <x:v>B25</x:v>
      </x:c>
    </x:row>
    <x:row r="235" ht="24" customHeight="1">
      <x:c r="A235" s="12" t="str">
        <x:f t="shared" si="121"/>
        <x:v>РП-1 (В25)</x:v>
      </x:c>
      <x:c r="B235" s="12" t="s">
        <x:v>33</x:v>
      </x:c>
      <x:c r="C235" s="18" t="s">
        <x:v>33</x:v>
      </x:c>
      <x:c r="D235" s="12" t="s">
        <x:v>33</x:v>
      </x:c>
      <x:c r="E235" s="12">
        <x:f>OFFSET(E235,1,2)</x:f>
        <x:v>0</x:v>
      </x:c>
      <x:c r="F235" s="15" t="n">
        <x:f>E235</x:f>
        <x:v>0</x:v>
      </x:c>
      <x:c r="G235" s="15" t="n">
        <x:f t="shared" ref="G235" si="123">F235*H235</x:f>
        <x:v>0</x:v>
      </x:c>
      <x:c r="H235" s="12"/>
      <x:c r="I235" s="12" t="s">
        <x:v>17</x:v>
      </x:c>
      <x:c r="J235" s="12" t="s">
        <x:v>33</x:v>
      </x:c>
      <x:c r="K235" s="12" t="str">
        <x:f t="shared" si="122"/>
        <x:v>B25</x:v>
      </x:c>
    </x:row>
    <x:row r="236" ht="21" customHeight="1">
      <x:c r="A236" s="12" t="str">
        <x:f t="shared" si="121"/>
        <x:v>РП-1 (В25)</x:v>
      </x:c>
      <x:c r="B236" s="12" t="s">
        <x:v>34</x:v>
      </x:c>
      <x:c r="C236" s="18" t="s">
        <x:v>34</x:v>
      </x:c>
      <x:c r="D236" s="12" t="s">
        <x:v>34</x:v>
      </x:c>
      <x:c r="E236" s="12"/>
      <x:c r="F236" s="15">
        <x:v>100</x:v>
      </x:c>
      <x:c r="G236" s="15" t="n">
        <x:f>60*E236*F236</x:f>
        <x:v>0</x:v>
      </x:c>
      <x:c r="H236" s="12" t="n">
        <x:f>60*E236</x:f>
        <x:v>0</x:v>
      </x:c>
      <x:c r="I236" s="12" t="s">
        <x:v>17</x:v>
      </x:c>
      <x:c r="J236" s="12" t="s">
        <x:v>34</x:v>
      </x:c>
      <x:c r="K236" s="12" t="str">
        <x:f t="shared" si="122"/>
        <x:v>B25</x:v>
      </x:c>
    </x:row>
    <x:row r="237" ht="30" customHeight="1">
      <x:c r="A237" s="12" t="str">
        <x:f t="shared" si="121"/>
        <x:v>РП-1 (В25)</x:v>
      </x:c>
      <x:c r="B237" s="19"/>
      <x:c r="C237" s="20"/>
      <x:c r="D237" s="21"/>
      <x:c r="E237" s="23"/>
      <x:c r="F237" s="25"/>
      <x:c r="G237" s="24" t="n">
        <x:f>SUM(G232:G236)</x:f>
        <x:v>28918.199999999997</x:v>
      </x:c>
      <x:c r="H237" s="20"/>
      <x:c r="I237" s="22"/>
      <x:c r="J237" s="20"/>
      <x:c r="K237" s="12" t="str">
        <x:f t="shared" si="122"/>
        <x:v>B25</x:v>
      </x:c>
    </x:row>
    <x:row r="238" ht="39.75" customHeight="1">
      <x:c r="A238" s="5" t="str">
        <x:f>D238</x:f>
        <x:v>РПл-1 (В25)</x:v>
      </x:c>
      <x:c r="B238" s="6"/>
      <x:c r="C238" s="7"/>
      <x:c r="D238" s="6" t="s">
        <x:v>140</x:v>
      </x:c>
      <x:c r="E238" s="8"/>
      <x:c r="F238" s="8"/>
      <x:c r="G238" s="9"/>
      <x:c r="H238" s="10">
        <x:v>1</x:v>
      </x:c>
      <x:c r="I238" s="11" t="s">
        <x:v>11</x:v>
      </x:c>
      <x:c r="J238" s="6" t="s">
        <x:v>12</x:v>
      </x:c>
      <x:c r="K238" s="5" t="s">
        <x:v>102</x:v>
      </x:c>
    </x:row>
    <x:row r="239" ht="21" customHeight="1">
      <x:c r="A239" s="12" t="str">
        <x:f>A238</x:f>
        <x:v>РПл-1 (В25)</x:v>
      </x:c>
      <x:c r="B239" s="13" t="s">
        <x:v>14</x:v>
      </x:c>
      <x:c r="C239" s="14" t="s">
        <x:v>62</x:v>
      </x:c>
      <x:c r="D239" s="12" t="s">
        <x:v>63</x:v>
      </x:c>
      <x:c r="E239" s="13">
        <x:v>15210</x:v>
      </x:c>
      <x:c r="F239" s="15" t="n">
        <x:f t="shared" ref="F239:F244" si="124">E239*0.6</x:f>
        <x:v>9126</x:v>
      </x:c>
      <x:c r="G239" s="15" t="n">
        <x:f>H239*F239</x:f>
        <x:v>9126</x:v>
      </x:c>
      <x:c r="H239" s="16">
        <x:v>1</x:v>
      </x:c>
      <x:c r="I239" s="17" t="s">
        <x:v>17</x:v>
      </x:c>
      <x:c r="J239" s="13" t="s">
        <x:v>18</x:v>
      </x:c>
      <x:c r="K239" s="12" t="str">
        <x:f>K238</x:f>
        <x:v>B25</x:v>
      </x:c>
    </x:row>
    <x:row r="240" ht="21" customHeight="1">
      <x:c r="A240" s="12" t="str">
        <x:f>A238</x:f>
        <x:v>РПл-1 (В25)</x:v>
      </x:c>
      <x:c r="B240" s="13" t="s">
        <x:v>23</x:v>
      </x:c>
      <x:c r="C240" s="14" t="s">
        <x:v>72</x:v>
      </x:c>
      <x:c r="D240" s="12" t="s">
        <x:v>73</x:v>
      </x:c>
      <x:c r="E240" s="13">
        <x:v>2807</x:v>
      </x:c>
      <x:c r="F240" s="15">
        <x:f t="shared" si="124"/>
        <x:v>1684.2</x:v>
      </x:c>
      <x:c r="G240" s="15" t="n">
        <x:f>F240*H240</x:f>
        <x:v>1684.2</x:v>
      </x:c>
      <x:c r="H240" s="16">
        <x:v>1</x:v>
      </x:c>
      <x:c r="I240" s="17" t="s">
        <x:v>17</x:v>
      </x:c>
      <x:c r="J240" s="13" t="s">
        <x:v>22</x:v>
      </x:c>
      <x:c r="K240" s="12" t="str">
        <x:f>K238</x:f>
        <x:v>B25</x:v>
      </x:c>
    </x:row>
    <x:row r="241" ht="21" customHeight="1">
      <x:c r="A241" s="12" t="str">
        <x:f>A239</x:f>
        <x:v>РПл-1 (В25)</x:v>
      </x:c>
      <x:c r="B241" s="13" t="s">
        <x:v>23</x:v>
      </x:c>
      <x:c r="C241" s="14" t="s">
        <x:v>81</x:v>
      </x:c>
      <x:c r="D241" s="12" t="s">
        <x:v>82</x:v>
      </x:c>
      <x:c r="E241" s="13">
        <x:v>2499</x:v>
      </x:c>
      <x:c r="F241" s="15">
        <x:f t="shared" si="124"/>
        <x:v>1499.3999999999999</x:v>
      </x:c>
      <x:c r="G241" s="15" t="n">
        <x:f>F241*H241</x:f>
        <x:v>1499.3999999999999</x:v>
      </x:c>
      <x:c r="H241" s="16">
        <x:v>1</x:v>
      </x:c>
      <x:c r="I241" s="17" t="s">
        <x:v>17</x:v>
      </x:c>
      <x:c r="J241" s="13" t="s">
        <x:v>22</x:v>
      </x:c>
      <x:c r="K241" s="12" t="str">
        <x:f>K239</x:f>
        <x:v>B25</x:v>
      </x:c>
    </x:row>
    <x:row r="242" ht="21" customHeight="1">
      <x:c r="A242" s="12" t="str">
        <x:f>A239</x:f>
        <x:v>РПл-1 (В25)</x:v>
      </x:c>
      <x:c r="B242" s="13" t="s">
        <x:v>23</x:v>
      </x:c>
      <x:c r="C242" s="14" t="s">
        <x:v>141</x:v>
      </x:c>
      <x:c r="D242" s="12" t="s">
        <x:v>142</x:v>
      </x:c>
      <x:c r="E242" s="13">
        <x:v>796</x:v>
      </x:c>
      <x:c r="F242" s="15">
        <x:f t="shared" si="124"/>
        <x:v>477.59999999999997</x:v>
      </x:c>
      <x:c r="G242" s="15" t="n">
        <x:f>F242*H242</x:f>
        <x:v>477.59999999999997</x:v>
      </x:c>
      <x:c r="H242" s="16">
        <x:v>1</x:v>
      </x:c>
      <x:c r="I242" s="17" t="s">
        <x:v>17</x:v>
      </x:c>
      <x:c r="J242" s="13" t="s">
        <x:v>22</x:v>
      </x:c>
      <x:c r="K242" s="12" t="str">
        <x:f>K239</x:f>
        <x:v>B25</x:v>
      </x:c>
    </x:row>
    <x:row r="243" ht="21" customHeight="1">
      <x:c r="A243" s="12" t="str">
        <x:f>A241</x:f>
        <x:v>РПл-1 (В25)</x:v>
      </x:c>
      <x:c r="B243" s="13" t="s">
        <x:v>23</x:v>
      </x:c>
      <x:c r="C243" s="14" t="s">
        <x:v>28</x:v>
      </x:c>
      <x:c r="D243" s="12" t="s">
        <x:v>29</x:v>
      </x:c>
      <x:c r="E243" s="13">
        <x:v>1389</x:v>
      </x:c>
      <x:c r="F243" s="15">
        <x:f t="shared" si="124"/>
        <x:v>833.4</x:v>
      </x:c>
      <x:c r="G243" s="15" t="n">
        <x:f>F243*H243</x:f>
        <x:v>1666.8</x:v>
      </x:c>
      <x:c r="H243" s="16">
        <x:v>2</x:v>
      </x:c>
      <x:c r="I243" s="17" t="s">
        <x:v>17</x:v>
      </x:c>
      <x:c r="J243" s="13" t="s">
        <x:v>22</x:v>
      </x:c>
      <x:c r="K243" s="12" t="str">
        <x:f>K241</x:f>
        <x:v>B25</x:v>
      </x:c>
    </x:row>
    <x:row r="244" ht="21" customHeight="1">
      <x:c r="A244" s="12" t="str">
        <x:f>A241</x:f>
        <x:v>РПл-1 (В25)</x:v>
      </x:c>
      <x:c r="B244" s="13" t="s">
        <x:v>136</x:v>
      </x:c>
      <x:c r="C244" s="14" t="s">
        <x:v>137</x:v>
      </x:c>
      <x:c r="D244" s="12" t="s">
        <x:v>138</x:v>
      </x:c>
      <x:c r="E244" s="13">
        <x:v>5093</x:v>
      </x:c>
      <x:c r="F244" s="15">
        <x:f t="shared" si="124"/>
        <x:v>3055.7999999999997</x:v>
      </x:c>
      <x:c r="G244" s="15" t="n">
        <x:f>F244*H244</x:f>
        <x:v>30557.999999999996</x:v>
      </x:c>
      <x:c r="H244" s="16">
        <x:v>10</x:v>
      </x:c>
      <x:c r="I244" s="17" t="s">
        <x:v>17</x:v>
      </x:c>
      <x:c r="J244" s="13" t="s">
        <x:v>22</x:v>
      </x:c>
      <x:c r="K244" s="12" t="str">
        <x:f>K241</x:f>
        <x:v>B25</x:v>
      </x:c>
    </x:row>
    <x:row r="245" ht="24" customHeight="1">
      <x:c r="A245" s="12" t="str">
        <x:f t="shared" ref="A245:A247" si="125">A244</x:f>
        <x:v>РПл-1 (В25)</x:v>
      </x:c>
      <x:c r="B245" s="12" t="s">
        <x:v>33</x:v>
      </x:c>
      <x:c r="C245" s="18" t="s">
        <x:v>33</x:v>
      </x:c>
      <x:c r="D245" s="12" t="s">
        <x:v>33</x:v>
      </x:c>
      <x:c r="E245" s="12">
        <x:f>OFFSET(E245,1,2)</x:f>
        <x:v>0</x:v>
      </x:c>
      <x:c r="F245" s="15" t="n">
        <x:f>E245</x:f>
        <x:v>0</x:v>
      </x:c>
      <x:c r="G245" s="15" t="n">
        <x:f t="shared" ref="G245" si="126">F245*H245</x:f>
        <x:v>0</x:v>
      </x:c>
      <x:c r="H245" s="12"/>
      <x:c r="I245" s="12" t="s">
        <x:v>17</x:v>
      </x:c>
      <x:c r="J245" s="12" t="s">
        <x:v>33</x:v>
      </x:c>
      <x:c r="K245" s="12" t="str">
        <x:f t="shared" ref="K245:K247" si="127">K244</x:f>
        <x:v>B25</x:v>
      </x:c>
    </x:row>
    <x:row r="246" ht="21" customHeight="1">
      <x:c r="A246" s="12" t="str">
        <x:f t="shared" si="125"/>
        <x:v>РПл-1 (В25)</x:v>
      </x:c>
      <x:c r="B246" s="12" t="s">
        <x:v>34</x:v>
      </x:c>
      <x:c r="C246" s="18" t="s">
        <x:v>34</x:v>
      </x:c>
      <x:c r="D246" s="12" t="s">
        <x:v>34</x:v>
      </x:c>
      <x:c r="E246" s="12"/>
      <x:c r="F246" s="15">
        <x:v>100</x:v>
      </x:c>
      <x:c r="G246" s="15" t="n">
        <x:f>60*E246*F246</x:f>
        <x:v>0</x:v>
      </x:c>
      <x:c r="H246" s="12" t="n">
        <x:f>60*E246</x:f>
        <x:v>0</x:v>
      </x:c>
      <x:c r="I246" s="12" t="s">
        <x:v>17</x:v>
      </x:c>
      <x:c r="J246" s="12" t="s">
        <x:v>34</x:v>
      </x:c>
      <x:c r="K246" s="12" t="str">
        <x:f t="shared" si="127"/>
        <x:v>B25</x:v>
      </x:c>
    </x:row>
    <x:row r="247" ht="30" customHeight="1">
      <x:c r="A247" s="12" t="str">
        <x:f t="shared" si="125"/>
        <x:v>РПл-1 (В25)</x:v>
      </x:c>
      <x:c r="B247" s="19"/>
      <x:c r="C247" s="20"/>
      <x:c r="D247" s="21"/>
      <x:c r="E247" s="23"/>
      <x:c r="F247" s="25"/>
      <x:c r="G247" s="24" t="n">
        <x:f>SUM(G239:G246)</x:f>
        <x:v>45012</x:v>
      </x:c>
      <x:c r="H247" s="20"/>
      <x:c r="I247" s="22"/>
      <x:c r="J247" s="20"/>
      <x:c r="K247" s="12" t="str">
        <x:f t="shared" si="127"/>
        <x:v>B25</x:v>
      </x:c>
    </x:row>
    <x:row r="248" ht="39.75" customHeight="1">
      <x:c r="A248" s="5" t="str">
        <x:f>D248</x:f>
        <x:v>Рпкух-1 (В25)</x:v>
      </x:c>
      <x:c r="B248" s="6"/>
      <x:c r="C248" s="7"/>
      <x:c r="D248" s="6" t="s">
        <x:v>143</x:v>
      </x:c>
      <x:c r="E248" s="8"/>
      <x:c r="F248" s="8"/>
      <x:c r="G248" s="9"/>
      <x:c r="H248" s="10">
        <x:v>1</x:v>
      </x:c>
      <x:c r="I248" s="11" t="s">
        <x:v>11</x:v>
      </x:c>
      <x:c r="J248" s="6" t="s">
        <x:v>12</x:v>
      </x:c>
      <x:c r="K248" s="5" t="s">
        <x:v>102</x:v>
      </x:c>
    </x:row>
    <x:row r="249" ht="21" customHeight="1">
      <x:c r="A249" s="12" t="str">
        <x:f>A248</x:f>
        <x:v>Рпкух-1 (В25)</x:v>
      </x:c>
      <x:c r="B249" s="13" t="s">
        <x:v>14</x:v>
      </x:c>
      <x:c r="C249" s="14" t="s">
        <x:v>15</x:v>
      </x:c>
      <x:c r="D249" s="12" t="s">
        <x:v>16</x:v>
      </x:c>
      <x:c r="E249" s="13">
        <x:v>13410</x:v>
      </x:c>
      <x:c r="F249" s="15" t="n">
        <x:f>E249*0.6</x:f>
        <x:v>8046</x:v>
      </x:c>
      <x:c r="G249" s="15" t="n">
        <x:f>H249*F249</x:f>
        <x:v>8046</x:v>
      </x:c>
      <x:c r="H249" s="16">
        <x:v>1</x:v>
      </x:c>
      <x:c r="I249" s="17" t="s">
        <x:v>17</x:v>
      </x:c>
      <x:c r="J249" s="13" t="s">
        <x:v>18</x:v>
      </x:c>
      <x:c r="K249" s="12" t="str">
        <x:f>K248</x:f>
        <x:v>B25</x:v>
      </x:c>
    </x:row>
    <x:row r="250" ht="21" customHeight="1">
      <x:c r="A250" s="12" t="str">
        <x:f>A249</x:f>
        <x:v>Рпкух-1 (В25)</x:v>
      </x:c>
      <x:c r="B250" s="13" t="s">
        <x:v>23</x:v>
      </x:c>
      <x:c r="C250" s="14" t="s">
        <x:v>81</x:v>
      </x:c>
      <x:c r="D250" s="12" t="s">
        <x:v>82</x:v>
      </x:c>
      <x:c r="E250" s="13">
        <x:v>2499</x:v>
      </x:c>
      <x:c r="F250" s="15" t="n">
        <x:f>E250*0.6</x:f>
        <x:v>1499.3999999999999</x:v>
      </x:c>
      <x:c r="G250" s="15" t="n">
        <x:f>F250*H250</x:f>
        <x:v>1499.3999999999999</x:v>
      </x:c>
      <x:c r="H250" s="16">
        <x:v>1</x:v>
      </x:c>
      <x:c r="I250" s="17" t="s">
        <x:v>17</x:v>
      </x:c>
      <x:c r="J250" s="13" t="s">
        <x:v>22</x:v>
      </x:c>
      <x:c r="K250" s="12" t="str">
        <x:f>K249</x:f>
        <x:v>B25</x:v>
      </x:c>
    </x:row>
    <x:row r="251" ht="21" customHeight="1">
      <x:c r="A251" s="12" t="str">
        <x:f>A250</x:f>
        <x:v>Рпкух-1 (В25)</x:v>
      </x:c>
      <x:c r="B251" s="13" t="s">
        <x:v>136</x:v>
      </x:c>
      <x:c r="C251" s="14" t="s">
        <x:v>137</x:v>
      </x:c>
      <x:c r="D251" s="12" t="s">
        <x:v>138</x:v>
      </x:c>
      <x:c r="E251" s="13">
        <x:v>5093</x:v>
      </x:c>
      <x:c r="F251" s="15" t="n">
        <x:f>E251*0.6</x:f>
        <x:v>3055.7999999999997</x:v>
      </x:c>
      <x:c r="G251" s="15" t="n">
        <x:f>F251*H251</x:f>
        <x:v>15278.999999999998</x:v>
      </x:c>
      <x:c r="H251" s="16">
        <x:v>5</x:v>
      </x:c>
      <x:c r="I251" s="17" t="s">
        <x:v>17</x:v>
      </x:c>
      <x:c r="J251" s="13" t="s">
        <x:v>22</x:v>
      </x:c>
      <x:c r="K251" s="12" t="str">
        <x:f>K250</x:f>
        <x:v>B25</x:v>
      </x:c>
    </x:row>
    <x:row r="252" ht="24" customHeight="1">
      <x:c r="A252" s="12" t="str">
        <x:f t="shared" ref="A252:A254" si="128">A251</x:f>
        <x:v>Рпкух-1 (В25)</x:v>
      </x:c>
      <x:c r="B252" s="12" t="s">
        <x:v>33</x:v>
      </x:c>
      <x:c r="C252" s="18" t="s">
        <x:v>33</x:v>
      </x:c>
      <x:c r="D252" s="12" t="s">
        <x:v>33</x:v>
      </x:c>
      <x:c r="E252" s="12">
        <x:f>OFFSET(E252,1,2)</x:f>
        <x:v>0</x:v>
      </x:c>
      <x:c r="F252" s="15" t="n">
        <x:f>E252</x:f>
        <x:v>0</x:v>
      </x:c>
      <x:c r="G252" s="15" t="n">
        <x:f t="shared" ref="G252" si="129">F252*H252</x:f>
        <x:v>0</x:v>
      </x:c>
      <x:c r="H252" s="12"/>
      <x:c r="I252" s="12" t="s">
        <x:v>17</x:v>
      </x:c>
      <x:c r="J252" s="12" t="s">
        <x:v>33</x:v>
      </x:c>
      <x:c r="K252" s="12" t="str">
        <x:f t="shared" ref="K252:K254" si="130">K251</x:f>
        <x:v>B25</x:v>
      </x:c>
    </x:row>
    <x:row r="253" ht="21" customHeight="1">
      <x:c r="A253" s="12" t="str">
        <x:f t="shared" si="128"/>
        <x:v>Рпкух-1 (В25)</x:v>
      </x:c>
      <x:c r="B253" s="12" t="s">
        <x:v>34</x:v>
      </x:c>
      <x:c r="C253" s="18" t="s">
        <x:v>34</x:v>
      </x:c>
      <x:c r="D253" s="12" t="s">
        <x:v>34</x:v>
      </x:c>
      <x:c r="E253" s="12"/>
      <x:c r="F253" s="15">
        <x:v>100</x:v>
      </x:c>
      <x:c r="G253" s="15" t="n">
        <x:f>60*E253*F253</x:f>
        <x:v>0</x:v>
      </x:c>
      <x:c r="H253" s="12" t="n">
        <x:f>60*E253</x:f>
        <x:v>0</x:v>
      </x:c>
      <x:c r="I253" s="12" t="s">
        <x:v>17</x:v>
      </x:c>
      <x:c r="J253" s="12" t="s">
        <x:v>34</x:v>
      </x:c>
      <x:c r="K253" s="12" t="str">
        <x:f t="shared" si="130"/>
        <x:v>B25</x:v>
      </x:c>
    </x:row>
    <x:row r="254" ht="30" customHeight="1">
      <x:c r="A254" s="12" t="str">
        <x:f t="shared" si="128"/>
        <x:v>Рпкух-1 (В25)</x:v>
      </x:c>
      <x:c r="B254" s="19"/>
      <x:c r="C254" s="20"/>
      <x:c r="D254" s="21"/>
      <x:c r="E254" s="23"/>
      <x:c r="F254" s="25"/>
      <x:c r="G254" s="24" t="n">
        <x:f>SUM(G249:G253)</x:f>
        <x:v>24824.399999999998</x:v>
      </x:c>
      <x:c r="H254" s="20"/>
      <x:c r="I254" s="22"/>
      <x:c r="J254" s="20"/>
      <x:c r="K254" s="12" t="str">
        <x:f t="shared" si="130"/>
        <x:v>B25</x:v>
      </x:c>
    </x:row>
    <x:row r="255" ht="39.75" customHeight="1">
      <x:c r="A255" s="5" t="str">
        <x:f>D255</x:f>
        <x:v>РПВ-1 (В25)</x:v>
      </x:c>
      <x:c r="B255" s="6"/>
      <x:c r="C255" s="7"/>
      <x:c r="D255" s="6" t="s">
        <x:v>144</x:v>
      </x:c>
      <x:c r="E255" s="8"/>
      <x:c r="F255" s="8"/>
      <x:c r="G255" s="9"/>
      <x:c r="H255" s="10">
        <x:v>1</x:v>
      </x:c>
      <x:c r="I255" s="11" t="s">
        <x:v>11</x:v>
      </x:c>
      <x:c r="J255" s="6" t="s">
        <x:v>12</x:v>
      </x:c>
      <x:c r="K255" s="5" t="s">
        <x:v>102</x:v>
      </x:c>
    </x:row>
    <x:row r="256" ht="21" customHeight="1">
      <x:c r="A256" s="12" t="str">
        <x:f>A255</x:f>
        <x:v>РПВ-1 (В25)</x:v>
      </x:c>
      <x:c r="B256" s="13" t="s">
        <x:v>14</x:v>
      </x:c>
      <x:c r="C256" s="14" t="s">
        <x:v>75</x:v>
      </x:c>
      <x:c r="D256" s="12" t="s">
        <x:v>76</x:v>
      </x:c>
      <x:c r="E256" s="13">
        <x:v>10270</x:v>
      </x:c>
      <x:c r="F256" s="15" t="n">
        <x:f>E256*0.6</x:f>
        <x:v>6162</x:v>
      </x:c>
      <x:c r="G256" s="15" t="n">
        <x:f>H256*F256</x:f>
        <x:v>6162</x:v>
      </x:c>
      <x:c r="H256" s="16">
        <x:v>1</x:v>
      </x:c>
      <x:c r="I256" s="17" t="s">
        <x:v>17</x:v>
      </x:c>
      <x:c r="J256" s="13" t="s">
        <x:v>18</x:v>
      </x:c>
      <x:c r="K256" s="12" t="str">
        <x:f>K255</x:f>
        <x:v>B25</x:v>
      </x:c>
    </x:row>
    <x:row r="257" ht="21" customHeight="1">
      <x:c r="A257" s="12" t="str">
        <x:f>A256</x:f>
        <x:v>РПВ-1 (В25)</x:v>
      </x:c>
      <x:c r="B257" s="13" t="s">
        <x:v>23</x:v>
      </x:c>
      <x:c r="C257" s="14" t="s">
        <x:v>81</x:v>
      </x:c>
      <x:c r="D257" s="12" t="s">
        <x:v>82</x:v>
      </x:c>
      <x:c r="E257" s="13">
        <x:v>2499</x:v>
      </x:c>
      <x:c r="F257" s="15" t="n">
        <x:f>E257*0.6</x:f>
        <x:v>1499.3999999999999</x:v>
      </x:c>
      <x:c r="G257" s="15" t="n">
        <x:f>F257*H257</x:f>
        <x:v>1499.3999999999999</x:v>
      </x:c>
      <x:c r="H257" s="16">
        <x:v>1</x:v>
      </x:c>
      <x:c r="I257" s="17" t="s">
        <x:v>17</x:v>
      </x:c>
      <x:c r="J257" s="13" t="s">
        <x:v>22</x:v>
      </x:c>
      <x:c r="K257" s="12" t="str">
        <x:f>K256</x:f>
        <x:v>B25</x:v>
      </x:c>
    </x:row>
    <x:row r="258" ht="21" customHeight="1">
      <x:c r="A258" s="12" t="str">
        <x:f>A256</x:f>
        <x:v>РПВ-1 (В25)</x:v>
      </x:c>
      <x:c r="B258" s="13" t="s">
        <x:v>23</x:v>
      </x:c>
      <x:c r="C258" s="14" t="s">
        <x:v>28</x:v>
      </x:c>
      <x:c r="D258" s="12" t="s">
        <x:v>29</x:v>
      </x:c>
      <x:c r="E258" s="13">
        <x:v>1389</x:v>
      </x:c>
      <x:c r="F258" s="15" t="n">
        <x:f>E258*0.6</x:f>
        <x:v>833.4</x:v>
      </x:c>
      <x:c r="G258" s="15" t="n">
        <x:f>F258*H258</x:f>
        <x:v>5000.4</x:v>
      </x:c>
      <x:c r="H258" s="16">
        <x:v>6</x:v>
      </x:c>
      <x:c r="I258" s="17" t="s">
        <x:v>17</x:v>
      </x:c>
      <x:c r="J258" s="13" t="s">
        <x:v>22</x:v>
      </x:c>
      <x:c r="K258" s="12" t="str">
        <x:f>K256</x:f>
        <x:v>B25</x:v>
      </x:c>
    </x:row>
    <x:row r="259" ht="24" customHeight="1">
      <x:c r="A259" s="12" t="str">
        <x:f t="shared" ref="A259:A261" si="131">A258</x:f>
        <x:v>РПВ-1 (В25)</x:v>
      </x:c>
      <x:c r="B259" s="12" t="s">
        <x:v>33</x:v>
      </x:c>
      <x:c r="C259" s="18" t="s">
        <x:v>33</x:v>
      </x:c>
      <x:c r="D259" s="12" t="s">
        <x:v>33</x:v>
      </x:c>
      <x:c r="E259" s="12">
        <x:f>OFFSET(E259,1,2)</x:f>
        <x:v>0</x:v>
      </x:c>
      <x:c r="F259" s="15" t="n">
        <x:f>E259</x:f>
        <x:v>0</x:v>
      </x:c>
      <x:c r="G259" s="15" t="n">
        <x:f t="shared" ref="G259" si="132">F259*H259</x:f>
        <x:v>0</x:v>
      </x:c>
      <x:c r="H259" s="12"/>
      <x:c r="I259" s="12" t="s">
        <x:v>17</x:v>
      </x:c>
      <x:c r="J259" s="12" t="s">
        <x:v>33</x:v>
      </x:c>
      <x:c r="K259" s="12" t="str">
        <x:f t="shared" ref="K259:K261" si="133">K258</x:f>
        <x:v>B25</x:v>
      </x:c>
    </x:row>
    <x:row r="260" ht="21" customHeight="1">
      <x:c r="A260" s="12" t="str">
        <x:f t="shared" si="131"/>
        <x:v>РПВ-1 (В25)</x:v>
      </x:c>
      <x:c r="B260" s="12" t="s">
        <x:v>34</x:v>
      </x:c>
      <x:c r="C260" s="18" t="s">
        <x:v>34</x:v>
      </x:c>
      <x:c r="D260" s="12" t="s">
        <x:v>34</x:v>
      </x:c>
      <x:c r="E260" s="12"/>
      <x:c r="F260" s="15">
        <x:v>100</x:v>
      </x:c>
      <x:c r="G260" s="15" t="n">
        <x:f>60*E260*F260</x:f>
        <x:v>0</x:v>
      </x:c>
      <x:c r="H260" s="12" t="n">
        <x:f>60*E260</x:f>
        <x:v>0</x:v>
      </x:c>
      <x:c r="I260" s="12" t="s">
        <x:v>17</x:v>
      </x:c>
      <x:c r="J260" s="12" t="s">
        <x:v>34</x:v>
      </x:c>
      <x:c r="K260" s="12" t="str">
        <x:f t="shared" si="133"/>
        <x:v>B25</x:v>
      </x:c>
    </x:row>
    <x:row r="261" ht="30" customHeight="1">
      <x:c r="A261" s="12" t="str">
        <x:f t="shared" si="131"/>
        <x:v>РПВ-1 (В25)</x:v>
      </x:c>
      <x:c r="B261" s="19"/>
      <x:c r="C261" s="20"/>
      <x:c r="D261" s="21"/>
      <x:c r="E261" s="23"/>
      <x:c r="F261" s="25"/>
      <x:c r="G261" s="24" t="n">
        <x:f>SUM(G256:G260)</x:f>
        <x:v>12661.8</x:v>
      </x:c>
      <x:c r="H261" s="20"/>
      <x:c r="I261" s="22"/>
      <x:c r="J261" s="20"/>
      <x:c r="K261" s="12" t="str">
        <x:f t="shared" si="133"/>
        <x:v>B25</x:v>
      </x:c>
    </x:row>
    <x:row r="262" ht="39.75" customHeight="1">
      <x:c r="A262" s="5" t="str">
        <x:f>D262</x:f>
        <x:v>РПо-1 (В25)</x:v>
      </x:c>
      <x:c r="B262" s="6"/>
      <x:c r="C262" s="7"/>
      <x:c r="D262" s="6" t="s">
        <x:v>145</x:v>
      </x:c>
      <x:c r="E262" s="8"/>
      <x:c r="F262" s="8"/>
      <x:c r="G262" s="9"/>
      <x:c r="H262" s="10">
        <x:v>1</x:v>
      </x:c>
      <x:c r="I262" s="11" t="s">
        <x:v>11</x:v>
      </x:c>
      <x:c r="J262" s="6" t="s">
        <x:v>12</x:v>
      </x:c>
      <x:c r="K262" s="5" t="s">
        <x:v>102</x:v>
      </x:c>
    </x:row>
    <x:row r="263" ht="21" customHeight="1">
      <x:c r="A263" s="12" t="str">
        <x:f>A262</x:f>
        <x:v>РПо-1 (В25)</x:v>
      </x:c>
      <x:c r="B263" s="13" t="s">
        <x:v>14</x:v>
      </x:c>
      <x:c r="C263" s="14" t="s">
        <x:v>103</x:v>
      </x:c>
      <x:c r="D263" s="12" t="s">
        <x:v>104</x:v>
      </x:c>
      <x:c r="E263" s="13">
        <x:v>15140</x:v>
      </x:c>
      <x:c r="F263" s="15" t="n">
        <x:f>E263*0.6</x:f>
        <x:v>9084</x:v>
      </x:c>
      <x:c r="G263" s="15" t="n">
        <x:f>H263*F263</x:f>
        <x:v>9084</x:v>
      </x:c>
      <x:c r="H263" s="16">
        <x:v>1</x:v>
      </x:c>
      <x:c r="I263" s="17" t="s">
        <x:v>17</x:v>
      </x:c>
      <x:c r="J263" s="13" t="s">
        <x:v>18</x:v>
      </x:c>
      <x:c r="K263" s="12" t="str">
        <x:f>K262</x:f>
        <x:v>B25</x:v>
      </x:c>
    </x:row>
    <x:row r="264" ht="21" customHeight="1">
      <x:c r="A264" s="12" t="str">
        <x:f t="shared" ref="A264:A272" si="134">A263</x:f>
        <x:v>РПо-1 (В25)</x:v>
      </x:c>
      <x:c r="B264" s="13" t="s">
        <x:v>23</x:v>
      </x:c>
      <x:c r="C264" s="14" t="s">
        <x:v>24</x:v>
      </x:c>
      <x:c r="D264" s="12" t="s">
        <x:v>25</x:v>
      </x:c>
      <x:c r="E264" s="13">
        <x:v>11015</x:v>
      </x:c>
      <x:c r="F264" s="15" t="n">
        <x:f t="shared" ref="F264" si="135">E264*0.6</x:f>
        <x:v>6609</x:v>
      </x:c>
      <x:c r="G264" s="15" t="n">
        <x:f t="shared" ref="G264" si="136">F264*H264</x:f>
        <x:v>6609</x:v>
      </x:c>
      <x:c r="H264" s="16">
        <x:v>1</x:v>
      </x:c>
      <x:c r="I264" s="17" t="s">
        <x:v>17</x:v>
      </x:c>
      <x:c r="J264" s="13" t="s">
        <x:v>22</x:v>
      </x:c>
      <x:c r="K264" s="12" t="str">
        <x:f t="shared" ref="K264:K272" si="137">K263</x:f>
        <x:v>B25</x:v>
      </x:c>
    </x:row>
    <x:row r="265" ht="21" customHeight="1">
      <x:c r="A265" s="12" t="str">
        <x:f t="shared" si="134"/>
        <x:v>РПо-1 (В25)</x:v>
      </x:c>
      <x:c r="B265" s="13" t="s">
        <x:v>23</x:v>
      </x:c>
      <x:c r="C265" s="14" t="s">
        <x:v>57</x:v>
      </x:c>
      <x:c r="D265" s="12" t="s">
        <x:v>58</x:v>
      </x:c>
      <x:c r="E265" s="13">
        <x:v>2429</x:v>
      </x:c>
      <x:c r="F265" s="15" t="n">
        <x:f>E265*0.6</x:f>
        <x:v>1457.3999999999999</x:v>
      </x:c>
      <x:c r="G265" s="15" t="n">
        <x:f>F265*H265</x:f>
        <x:v>1457.3999999999999</x:v>
      </x:c>
      <x:c r="H265" s="16">
        <x:v>1</x:v>
      </x:c>
      <x:c r="I265" s="17" t="s">
        <x:v>17</x:v>
      </x:c>
      <x:c r="J265" s="13" t="s">
        <x:v>22</x:v>
      </x:c>
      <x:c r="K265" s="12" t="str">
        <x:f t="shared" si="137"/>
        <x:v>B25</x:v>
      </x:c>
    </x:row>
    <x:row r="266" ht="21" customHeight="1">
      <x:c r="A266" s="12" t="str">
        <x:f t="shared" si="134"/>
        <x:v>РПо-1 (В25)</x:v>
      </x:c>
      <x:c r="B266" s="13" t="s">
        <x:v>23</x:v>
      </x:c>
      <x:c r="C266" s="14" t="s">
        <x:v>26</x:v>
      </x:c>
      <x:c r="D266" s="12" t="s">
        <x:v>27</x:v>
      </x:c>
      <x:c r="E266" s="13">
        <x:v>2337</x:v>
      </x:c>
      <x:c r="F266" s="15" t="n">
        <x:f>E266*0.6</x:f>
        <x:v>1402.2</x:v>
      </x:c>
      <x:c r="G266" s="15" t="n">
        <x:f>F266*H266</x:f>
        <x:v>7011</x:v>
      </x:c>
      <x:c r="H266" s="16">
        <x:v>5</x:v>
      </x:c>
      <x:c r="I266" s="17" t="s">
        <x:v>17</x:v>
      </x:c>
      <x:c r="J266" s="13" t="s">
        <x:v>22</x:v>
      </x:c>
      <x:c r="K266" s="12" t="str">
        <x:f t="shared" si="137"/>
        <x:v>B25</x:v>
      </x:c>
    </x:row>
    <x:row r="267" ht="21" customHeight="1">
      <x:c r="A267" s="12" t="str">
        <x:f>A264</x:f>
        <x:v>РПо-1 (В25)</x:v>
      </x:c>
      <x:c r="B267" s="13" t="s">
        <x:v>23</x:v>
      </x:c>
      <x:c r="C267" s="14" t="s">
        <x:v>141</x:v>
      </x:c>
      <x:c r="D267" s="12" t="s">
        <x:v>142</x:v>
      </x:c>
      <x:c r="E267" s="13">
        <x:v>796</x:v>
      </x:c>
      <x:c r="F267" s="15" t="n">
        <x:f>E267*0.6</x:f>
        <x:v>477.59999999999997</x:v>
      </x:c>
      <x:c r="G267" s="15" t="n">
        <x:f>F267*H267</x:f>
        <x:v>955.1999999999999</x:v>
      </x:c>
      <x:c r="H267" s="16">
        <x:v>2</x:v>
      </x:c>
      <x:c r="I267" s="17" t="s">
        <x:v>17</x:v>
      </x:c>
      <x:c r="J267" s="13" t="s">
        <x:v>22</x:v>
      </x:c>
      <x:c r="K267" s="12" t="str">
        <x:f>K264</x:f>
        <x:v>B25</x:v>
      </x:c>
    </x:row>
    <x:row r="268" ht="21" customHeight="1">
      <x:c r="A268" s="12" t="str">
        <x:f>A266</x:f>
        <x:v>РПо-1 (В25)</x:v>
      </x:c>
      <x:c r="B268" s="13" t="s">
        <x:v>23</x:v>
      </x:c>
      <x:c r="C268" s="14" t="s">
        <x:v>28</x:v>
      </x:c>
      <x:c r="D268" s="12" t="s">
        <x:v>29</x:v>
      </x:c>
      <x:c r="E268" s="13">
        <x:v>1389</x:v>
      </x:c>
      <x:c r="F268" s="15" t="n">
        <x:f>E268*0.6</x:f>
        <x:v>833.4</x:v>
      </x:c>
      <x:c r="G268" s="15" t="n">
        <x:f>F268*H268</x:f>
        <x:v>1666.8</x:v>
      </x:c>
      <x:c r="H268" s="16">
        <x:v>2</x:v>
      </x:c>
      <x:c r="I268" s="17" t="s">
        <x:v>17</x:v>
      </x:c>
      <x:c r="J268" s="13" t="s">
        <x:v>22</x:v>
      </x:c>
      <x:c r="K268" s="12" t="str">
        <x:f>K266</x:f>
        <x:v>B25</x:v>
      </x:c>
    </x:row>
    <x:row r="269" ht="21" customHeight="1">
      <x:c r="A269" s="12" t="str">
        <x:f t="shared" si="134"/>
        <x:v>РПо-1 (В25)</x:v>
      </x:c>
      <x:c r="B269" s="13" t="s">
        <x:v>30</x:v>
      </x:c>
      <x:c r="C269" s="14" t="s">
        <x:v>31</x:v>
      </x:c>
      <x:c r="D269" s="12" t="s">
        <x:v>32</x:v>
      </x:c>
      <x:c r="E269" s="13">
        <x:v>4160</x:v>
      </x:c>
      <x:c r="F269" s="15" t="n">
        <x:f>E269*0.6</x:f>
        <x:v>2496</x:v>
      </x:c>
      <x:c r="G269" s="15" t="n">
        <x:f>F269*H269</x:f>
        <x:v>2496</x:v>
      </x:c>
      <x:c r="H269" s="16">
        <x:v>1</x:v>
      </x:c>
      <x:c r="I269" s="17" t="s">
        <x:v>17</x:v>
      </x:c>
      <x:c r="J269" s="13" t="s">
        <x:v>22</x:v>
      </x:c>
      <x:c r="K269" s="12" t="str">
        <x:f t="shared" si="137"/>
        <x:v>B25</x:v>
      </x:c>
    </x:row>
    <x:row r="270" ht="24" customHeight="1">
      <x:c r="A270" s="12" t="str">
        <x:f t="shared" si="134"/>
        <x:v>РПо-1 (В25)</x:v>
      </x:c>
      <x:c r="B270" s="12" t="s">
        <x:v>33</x:v>
      </x:c>
      <x:c r="C270" s="18" t="s">
        <x:v>33</x:v>
      </x:c>
      <x:c r="D270" s="12" t="s">
        <x:v>33</x:v>
      </x:c>
      <x:c r="E270" s="12">
        <x:f>OFFSET(E270,1,2)</x:f>
        <x:v>0</x:v>
      </x:c>
      <x:c r="F270" s="15" t="n">
        <x:f>E270</x:f>
        <x:v>0</x:v>
      </x:c>
      <x:c r="G270" s="15" t="n">
        <x:f t="shared" ref="G270" si="138">F270*H270</x:f>
        <x:v>0</x:v>
      </x:c>
      <x:c r="H270" s="12"/>
      <x:c r="I270" s="12" t="s">
        <x:v>17</x:v>
      </x:c>
      <x:c r="J270" s="12" t="s">
        <x:v>33</x:v>
      </x:c>
      <x:c r="K270" s="12" t="str">
        <x:f t="shared" si="137"/>
        <x:v>B25</x:v>
      </x:c>
    </x:row>
    <x:row r="271" ht="21" customHeight="1">
      <x:c r="A271" s="12" t="str">
        <x:f t="shared" si="134"/>
        <x:v>РПо-1 (В25)</x:v>
      </x:c>
      <x:c r="B271" s="12" t="s">
        <x:v>34</x:v>
      </x:c>
      <x:c r="C271" s="18" t="s">
        <x:v>34</x:v>
      </x:c>
      <x:c r="D271" s="12" t="s">
        <x:v>34</x:v>
      </x:c>
      <x:c r="E271" s="12"/>
      <x:c r="F271" s="15">
        <x:v>100</x:v>
      </x:c>
      <x:c r="G271" s="15" t="n">
        <x:f>60*E271*F271</x:f>
        <x:v>0</x:v>
      </x:c>
      <x:c r="H271" s="12" t="n">
        <x:f>60*E271</x:f>
        <x:v>0</x:v>
      </x:c>
      <x:c r="I271" s="12" t="s">
        <x:v>17</x:v>
      </x:c>
      <x:c r="J271" s="12" t="s">
        <x:v>34</x:v>
      </x:c>
      <x:c r="K271" s="12" t="str">
        <x:f t="shared" si="137"/>
        <x:v>B25</x:v>
      </x:c>
    </x:row>
    <x:row r="272" ht="30" customHeight="1">
      <x:c r="A272" s="12" t="str">
        <x:f t="shared" si="134"/>
        <x:v>РПо-1 (В25)</x:v>
      </x:c>
      <x:c r="B272" s="19"/>
      <x:c r="C272" s="20"/>
      <x:c r="D272" s="21"/>
      <x:c r="E272" s="23"/>
      <x:c r="F272" s="25"/>
      <x:c r="G272" s="24" t="n">
        <x:f>SUM(G263:G271)</x:f>
        <x:v>29279.4</x:v>
      </x:c>
      <x:c r="H272" s="20"/>
      <x:c r="I272" s="22"/>
      <x:c r="J272" s="20"/>
      <x:c r="K272" s="12" t="str">
        <x:f t="shared" si="137"/>
        <x:v>B25</x:v>
      </x:c>
    </x:row>
    <x:row r="273" ht="39.75" customHeight="1">
      <x:c r="A273" s="5" t="str">
        <x:f>D273</x:f>
        <x:v>ЩО-1 (В25)</x:v>
      </x:c>
      <x:c r="B273" s="6"/>
      <x:c r="C273" s="7"/>
      <x:c r="D273" s="6" t="s">
        <x:v>146</x:v>
      </x:c>
      <x:c r="E273" s="8"/>
      <x:c r="F273" s="8"/>
      <x:c r="G273" s="9"/>
      <x:c r="H273" s="10">
        <x:v>1</x:v>
      </x:c>
      <x:c r="I273" s="11" t="s">
        <x:v>11</x:v>
      </x:c>
      <x:c r="J273" s="6" t="s">
        <x:v>12</x:v>
      </x:c>
      <x:c r="K273" s="5" t="s">
        <x:v>102</x:v>
      </x:c>
    </x:row>
    <x:row r="274" ht="21" customHeight="1">
      <x:c r="A274" s="12" t="str">
        <x:f>A273</x:f>
        <x:v>ЩО-1 (В25)</x:v>
      </x:c>
      <x:c r="B274" s="13" t="s">
        <x:v>14</x:v>
      </x:c>
      <x:c r="C274" s="14" t="s">
        <x:v>75</x:v>
      </x:c>
      <x:c r="D274" s="12" t="s">
        <x:v>76</x:v>
      </x:c>
      <x:c r="E274" s="13">
        <x:v>10270</x:v>
      </x:c>
      <x:c r="F274" s="15" t="n">
        <x:f>E274*0.6</x:f>
        <x:v>6162</x:v>
      </x:c>
      <x:c r="G274" s="15" t="n">
        <x:f>H274*F274</x:f>
        <x:v>6162</x:v>
      </x:c>
      <x:c r="H274" s="16">
        <x:v>1</x:v>
      </x:c>
      <x:c r="I274" s="17" t="s">
        <x:v>17</x:v>
      </x:c>
      <x:c r="J274" s="13" t="s">
        <x:v>18</x:v>
      </x:c>
      <x:c r="K274" s="12" t="str">
        <x:f>K273</x:f>
        <x:v>B25</x:v>
      </x:c>
    </x:row>
    <x:row r="275" ht="21" customHeight="1">
      <x:c r="A275" s="12" t="str">
        <x:f>A274</x:f>
        <x:v>ЩО-1 (В25)</x:v>
      </x:c>
      <x:c r="B275" s="13" t="s">
        <x:v>23</x:v>
      </x:c>
      <x:c r="C275" s="14" t="s">
        <x:v>81</x:v>
      </x:c>
      <x:c r="D275" s="12" t="s">
        <x:v>82</x:v>
      </x:c>
      <x:c r="E275" s="13">
        <x:v>2499</x:v>
      </x:c>
      <x:c r="F275" s="15" t="n">
        <x:f>E275*0.6</x:f>
        <x:v>1499.3999999999999</x:v>
      </x:c>
      <x:c r="G275" s="15" t="n">
        <x:f>F275*H275</x:f>
        <x:v>1499.3999999999999</x:v>
      </x:c>
      <x:c r="H275" s="16">
        <x:v>1</x:v>
      </x:c>
      <x:c r="I275" s="17" t="s">
        <x:v>17</x:v>
      </x:c>
      <x:c r="J275" s="13" t="s">
        <x:v>22</x:v>
      </x:c>
      <x:c r="K275" s="12" t="str">
        <x:f>K274</x:f>
        <x:v>B25</x:v>
      </x:c>
    </x:row>
    <x:row r="276" ht="21" customHeight="1">
      <x:c r="A276" s="12" t="str">
        <x:f>A274</x:f>
        <x:v>ЩО-1 (В25)</x:v>
      </x:c>
      <x:c r="B276" s="13" t="s">
        <x:v>23</x:v>
      </x:c>
      <x:c r="C276" s="14" t="s">
        <x:v>28</x:v>
      </x:c>
      <x:c r="D276" s="12" t="s">
        <x:v>29</x:v>
      </x:c>
      <x:c r="E276" s="13">
        <x:v>1389</x:v>
      </x:c>
      <x:c r="F276" s="15" t="n">
        <x:f>E276*0.6</x:f>
        <x:v>833.4</x:v>
      </x:c>
      <x:c r="G276" s="15" t="n">
        <x:f>F276*H276</x:f>
        <x:v>5833.8</x:v>
      </x:c>
      <x:c r="H276" s="16">
        <x:v>7</x:v>
      </x:c>
      <x:c r="I276" s="17" t="s">
        <x:v>17</x:v>
      </x:c>
      <x:c r="J276" s="13" t="s">
        <x:v>22</x:v>
      </x:c>
      <x:c r="K276" s="12" t="str">
        <x:f>K274</x:f>
        <x:v>B25</x:v>
      </x:c>
    </x:row>
    <x:row r="277" ht="24" customHeight="1">
      <x:c r="A277" s="12" t="str">
        <x:f t="shared" ref="A277:A279" si="139">A276</x:f>
        <x:v>ЩО-1 (В25)</x:v>
      </x:c>
      <x:c r="B277" s="12" t="s">
        <x:v>33</x:v>
      </x:c>
      <x:c r="C277" s="18" t="s">
        <x:v>33</x:v>
      </x:c>
      <x:c r="D277" s="12" t="s">
        <x:v>33</x:v>
      </x:c>
      <x:c r="E277" s="12">
        <x:f>OFFSET(E277,1,2)</x:f>
        <x:v>0</x:v>
      </x:c>
      <x:c r="F277" s="15" t="n">
        <x:f>E277</x:f>
        <x:v>0</x:v>
      </x:c>
      <x:c r="G277" s="15" t="n">
        <x:f t="shared" ref="G277" si="140">F277*H277</x:f>
        <x:v>0</x:v>
      </x:c>
      <x:c r="H277" s="12"/>
      <x:c r="I277" s="12" t="s">
        <x:v>17</x:v>
      </x:c>
      <x:c r="J277" s="12" t="s">
        <x:v>33</x:v>
      </x:c>
      <x:c r="K277" s="12" t="str">
        <x:f t="shared" ref="K277:K279" si="141">K276</x:f>
        <x:v>B25</x:v>
      </x:c>
    </x:row>
    <x:row r="278" ht="21" customHeight="1">
      <x:c r="A278" s="12" t="str">
        <x:f t="shared" si="139"/>
        <x:v>ЩО-1 (В25)</x:v>
      </x:c>
      <x:c r="B278" s="12" t="s">
        <x:v>34</x:v>
      </x:c>
      <x:c r="C278" s="18" t="s">
        <x:v>34</x:v>
      </x:c>
      <x:c r="D278" s="12" t="s">
        <x:v>34</x:v>
      </x:c>
      <x:c r="E278" s="12"/>
      <x:c r="F278" s="15">
        <x:v>100</x:v>
      </x:c>
      <x:c r="G278" s="15" t="n">
        <x:f>60*E278*F278</x:f>
        <x:v>0</x:v>
      </x:c>
      <x:c r="H278" s="12" t="n">
        <x:f>60*E278</x:f>
        <x:v>0</x:v>
      </x:c>
      <x:c r="I278" s="12" t="s">
        <x:v>17</x:v>
      </x:c>
      <x:c r="J278" s="12" t="s">
        <x:v>34</x:v>
      </x:c>
      <x:c r="K278" s="12" t="str">
        <x:f t="shared" si="141"/>
        <x:v>B25</x:v>
      </x:c>
    </x:row>
    <x:row r="279" ht="30" customHeight="1">
      <x:c r="A279" s="12" t="str">
        <x:f t="shared" si="139"/>
        <x:v>ЩО-1 (В25)</x:v>
      </x:c>
      <x:c r="B279" s="19"/>
      <x:c r="C279" s="20"/>
      <x:c r="D279" s="21"/>
      <x:c r="E279" s="23"/>
      <x:c r="F279" s="25"/>
      <x:c r="G279" s="24" t="n">
        <x:f>SUM(G274:G278)</x:f>
        <x:v>13495.2</x:v>
      </x:c>
      <x:c r="H279" s="20"/>
      <x:c r="I279" s="22"/>
      <x:c r="J279" s="20"/>
      <x:c r="K279" s="12" t="str">
        <x:f t="shared" si="141"/>
        <x:v>B25</x:v>
      </x:c>
    </x:row>
    <x:row r="280" ht="39.75" customHeight="1">
      <x:c r="A280" s="5" t="str">
        <x:f>D280</x:f>
        <x:v>ЩАО-1 (В25)</x:v>
      </x:c>
      <x:c r="B280" s="6"/>
      <x:c r="C280" s="7"/>
      <x:c r="D280" s="6" t="s">
        <x:v>147</x:v>
      </x:c>
      <x:c r="E280" s="8"/>
      <x:c r="F280" s="8"/>
      <x:c r="G280" s="9"/>
      <x:c r="H280" s="10">
        <x:v>1</x:v>
      </x:c>
      <x:c r="I280" s="11" t="s">
        <x:v>11</x:v>
      </x:c>
      <x:c r="J280" s="6" t="s">
        <x:v>12</x:v>
      </x:c>
      <x:c r="K280" s="5" t="s">
        <x:v>102</x:v>
      </x:c>
    </x:row>
    <x:row r="281" ht="21" customHeight="1">
      <x:c r="A281" s="12" t="str">
        <x:f>A280</x:f>
        <x:v>ЩАО-1 (В25)</x:v>
      </x:c>
      <x:c r="B281" s="13" t="s">
        <x:v>14</x:v>
      </x:c>
      <x:c r="C281" s="14" t="s">
        <x:v>75</x:v>
      </x:c>
      <x:c r="D281" s="12" t="s">
        <x:v>76</x:v>
      </x:c>
      <x:c r="E281" s="13">
        <x:v>10270</x:v>
      </x:c>
      <x:c r="F281" s="15" t="n">
        <x:f>E281*0.6</x:f>
        <x:v>6162</x:v>
      </x:c>
      <x:c r="G281" s="15" t="n">
        <x:f>H281*F281</x:f>
        <x:v>6162</x:v>
      </x:c>
      <x:c r="H281" s="16">
        <x:v>1</x:v>
      </x:c>
      <x:c r="I281" s="17" t="s">
        <x:v>17</x:v>
      </x:c>
      <x:c r="J281" s="13" t="s">
        <x:v>18</x:v>
      </x:c>
      <x:c r="K281" s="12" t="str">
        <x:f>K280</x:f>
        <x:v>B25</x:v>
      </x:c>
    </x:row>
    <x:row r="282" ht="21" customHeight="1">
      <x:c r="A282" s="12" t="str">
        <x:f>A281</x:f>
        <x:v>ЩАО-1 (В25)</x:v>
      </x:c>
      <x:c r="B282" s="13" t="s">
        <x:v>23</x:v>
      </x:c>
      <x:c r="C282" s="14" t="s">
        <x:v>26</x:v>
      </x:c>
      <x:c r="D282" s="12" t="s">
        <x:v>27</x:v>
      </x:c>
      <x:c r="E282" s="13">
        <x:v>2337</x:v>
      </x:c>
      <x:c r="F282" s="15" t="n">
        <x:f>E282*0.6</x:f>
        <x:v>1402.2</x:v>
      </x:c>
      <x:c r="G282" s="15" t="n">
        <x:f>F282*H282</x:f>
        <x:v>1402.2</x:v>
      </x:c>
      <x:c r="H282" s="16">
        <x:v>1</x:v>
      </x:c>
      <x:c r="I282" s="17" t="s">
        <x:v>17</x:v>
      </x:c>
      <x:c r="J282" s="13" t="s">
        <x:v>22</x:v>
      </x:c>
      <x:c r="K282" s="12" t="str">
        <x:f>K281</x:f>
        <x:v>B25</x:v>
      </x:c>
    </x:row>
    <x:row r="283" ht="21" customHeight="1">
      <x:c r="A283" s="12" t="str">
        <x:f>A281</x:f>
        <x:v>ЩАО-1 (В25)</x:v>
      </x:c>
      <x:c r="B283" s="13" t="s">
        <x:v>23</x:v>
      </x:c>
      <x:c r="C283" s="14" t="s">
        <x:v>148</x:v>
      </x:c>
      <x:c r="D283" s="12" t="s">
        <x:v>149</x:v>
      </x:c>
      <x:c r="E283" s="13">
        <x:v>783</x:v>
      </x:c>
      <x:c r="F283" s="15" t="n">
        <x:f>E283*0.6</x:f>
        <x:v>469.79999999999995</x:v>
      </x:c>
      <x:c r="G283" s="15" t="n">
        <x:f>F283*H283</x:f>
        <x:v>1879.1999999999998</x:v>
      </x:c>
      <x:c r="H283" s="16">
        <x:v>4</x:v>
      </x:c>
      <x:c r="I283" s="17" t="s">
        <x:v>17</x:v>
      </x:c>
      <x:c r="J283" s="13" t="s">
        <x:v>22</x:v>
      </x:c>
      <x:c r="K283" s="12" t="str">
        <x:f>K281</x:f>
        <x:v>B25</x:v>
      </x:c>
    </x:row>
    <x:row r="284" ht="24" customHeight="1">
      <x:c r="A284" s="12" t="str">
        <x:f t="shared" ref="A284:A286" si="142">A283</x:f>
        <x:v>ЩАО-1 (В25)</x:v>
      </x:c>
      <x:c r="B284" s="12" t="s">
        <x:v>33</x:v>
      </x:c>
      <x:c r="C284" s="18" t="s">
        <x:v>33</x:v>
      </x:c>
      <x:c r="D284" s="12" t="s">
        <x:v>33</x:v>
      </x:c>
      <x:c r="E284" s="12">
        <x:f>OFFSET(E284,1,2)</x:f>
        <x:v>0</x:v>
      </x:c>
      <x:c r="F284" s="15" t="n">
        <x:f>E284</x:f>
        <x:v>0</x:v>
      </x:c>
      <x:c r="G284" s="15" t="n">
        <x:f t="shared" ref="G284" si="143">F284*H284</x:f>
        <x:v>0</x:v>
      </x:c>
      <x:c r="H284" s="12"/>
      <x:c r="I284" s="12" t="s">
        <x:v>17</x:v>
      </x:c>
      <x:c r="J284" s="12" t="s">
        <x:v>33</x:v>
      </x:c>
      <x:c r="K284" s="12" t="str">
        <x:f t="shared" ref="K284:K286" si="144">K283</x:f>
        <x:v>B25</x:v>
      </x:c>
    </x:row>
    <x:row r="285" ht="21" customHeight="1">
      <x:c r="A285" s="12" t="str">
        <x:f t="shared" si="142"/>
        <x:v>ЩАО-1 (В25)</x:v>
      </x:c>
      <x:c r="B285" s="12" t="s">
        <x:v>34</x:v>
      </x:c>
      <x:c r="C285" s="18" t="s">
        <x:v>34</x:v>
      </x:c>
      <x:c r="D285" s="12" t="s">
        <x:v>34</x:v>
      </x:c>
      <x:c r="E285" s="12"/>
      <x:c r="F285" s="15">
        <x:v>100</x:v>
      </x:c>
      <x:c r="G285" s="15" t="n">
        <x:f>60*E285*F285</x:f>
        <x:v>0</x:v>
      </x:c>
      <x:c r="H285" s="12" t="n">
        <x:f>60*E285</x:f>
        <x:v>0</x:v>
      </x:c>
      <x:c r="I285" s="12" t="s">
        <x:v>17</x:v>
      </x:c>
      <x:c r="J285" s="12" t="s">
        <x:v>34</x:v>
      </x:c>
      <x:c r="K285" s="12" t="str">
        <x:f t="shared" si="144"/>
        <x:v>B25</x:v>
      </x:c>
    </x:row>
    <x:row r="286" ht="30" customHeight="1">
      <x:c r="A286" s="12" t="str">
        <x:f t="shared" si="142"/>
        <x:v>ЩАО-1 (В25)</x:v>
      </x:c>
      <x:c r="B286" s="19"/>
      <x:c r="C286" s="20"/>
      <x:c r="D286" s="21"/>
      <x:c r="E286" s="23"/>
      <x:c r="F286" s="25"/>
      <x:c r="G286" s="24" t="n">
        <x:f>SUM(G281:G285)</x:f>
        <x:v>9443.4</x:v>
      </x:c>
      <x:c r="H286" s="20"/>
      <x:c r="I286" s="22"/>
      <x:c r="J286" s="20"/>
      <x:c r="K286" s="12" t="str">
        <x:f t="shared" si="144"/>
        <x:v>B25</x:v>
      </x:c>
    </x:row>
    <x:row r="287" ht="39.75" customHeight="1">
      <x:c r="A287" s="5" t="str">
        <x:f>D287</x:f>
        <x:v>ГРЩ (В26)</x:v>
      </x:c>
      <x:c r="B287" s="6"/>
      <x:c r="C287" s="7"/>
      <x:c r="D287" s="6" t="s">
        <x:v>150</x:v>
      </x:c>
      <x:c r="E287" s="8"/>
      <x:c r="F287" s="8"/>
      <x:c r="G287" s="9"/>
      <x:c r="H287" s="10">
        <x:v>1</x:v>
      </x:c>
      <x:c r="I287" s="11" t="s">
        <x:v>11</x:v>
      </x:c>
      <x:c r="J287" s="6" t="s">
        <x:v>12</x:v>
      </x:c>
      <x:c r="K287" s="5" t="s">
        <x:v>151</x:v>
      </x:c>
    </x:row>
    <x:row r="288" ht="21" customHeight="1">
      <x:c r="A288" s="12" t="str">
        <x:f>A287</x:f>
        <x:v>ГРЩ (В26)</x:v>
      </x:c>
      <x:c r="B288" s="13" t="s">
        <x:v>14</x:v>
      </x:c>
      <x:c r="C288" s="14" t="s">
        <x:v>152</x:v>
      </x:c>
      <x:c r="D288" s="12" t="s">
        <x:v>153</x:v>
      </x:c>
      <x:c r="E288" s="13">
        <x:v>15950</x:v>
      </x:c>
      <x:c r="F288" s="15" t="n">
        <x:f>E288*0.6</x:f>
        <x:v>9570</x:v>
      </x:c>
      <x:c r="G288" s="15" t="n">
        <x:f>H288*F288</x:f>
        <x:v>9570</x:v>
      </x:c>
      <x:c r="H288" s="16">
        <x:v>1</x:v>
      </x:c>
      <x:c r="I288" s="17" t="s">
        <x:v>17</x:v>
      </x:c>
      <x:c r="J288" s="13" t="s">
        <x:v>18</x:v>
      </x:c>
      <x:c r="K288" s="12" t="str">
        <x:f>K287</x:f>
        <x:v>B26</x:v>
      </x:c>
    </x:row>
    <x:row r="289" ht="21" customHeight="1">
      <x:c r="A289" s="12" t="str">
        <x:f t="shared" ref="A289:A298" si="145">A288</x:f>
        <x:v>ГРЩ (В26)</x:v>
      </x:c>
      <x:c r="B289" s="13" t="s">
        <x:v>19</x:v>
      </x:c>
      <x:c r="C289" s="14" t="s">
        <x:v>154</x:v>
      </x:c>
      <x:c r="D289" s="12" t="s">
        <x:v>155</x:v>
      </x:c>
      <x:c r="E289" s="13">
        <x:v>19418</x:v>
      </x:c>
      <x:c r="F289" s="15" t="n">
        <x:f t="shared" ref="F289" si="146">E289*0.6</x:f>
        <x:v>11650.8</x:v>
      </x:c>
      <x:c r="G289" s="15" t="n">
        <x:f t="shared" ref="G289" si="147">F289*H289</x:f>
        <x:v>11650.8</x:v>
      </x:c>
      <x:c r="H289" s="16">
        <x:v>1</x:v>
      </x:c>
      <x:c r="I289" s="17" t="s">
        <x:v>17</x:v>
      </x:c>
      <x:c r="J289" s="13" t="s">
        <x:v>22</x:v>
      </x:c>
      <x:c r="K289" s="12" t="str">
        <x:f t="shared" ref="K289:K298" si="148">K288</x:f>
        <x:v>B26</x:v>
      </x:c>
    </x:row>
    <x:row r="290" ht="21" customHeight="1">
      <x:c r="A290" s="12" t="str">
        <x:f t="shared" si="145"/>
        <x:v>ГРЩ (В26)</x:v>
      </x:c>
      <x:c r="B290" s="13" t="s">
        <x:v>23</x:v>
      </x:c>
      <x:c r="C290" s="14" t="s">
        <x:v>81</x:v>
      </x:c>
      <x:c r="D290" s="12" t="s">
        <x:v>82</x:v>
      </x:c>
      <x:c r="E290" s="13">
        <x:v>2499</x:v>
      </x:c>
      <x:c r="F290" s="15" t="n">
        <x:f t="shared" ref="F290:F295" si="149">E290*0.6</x:f>
        <x:v>1499.3999999999999</x:v>
      </x:c>
      <x:c r="G290" s="15" t="n">
        <x:f t="shared" ref="G290:G295" si="150">F290*H290</x:f>
        <x:v>1499.3999999999999</x:v>
      </x:c>
      <x:c r="H290" s="16">
        <x:v>1</x:v>
      </x:c>
      <x:c r="I290" s="17" t="s">
        <x:v>17</x:v>
      </x:c>
      <x:c r="J290" s="13" t="s">
        <x:v>22</x:v>
      </x:c>
      <x:c r="K290" s="12" t="str">
        <x:f t="shared" si="148"/>
        <x:v>B26</x:v>
      </x:c>
    </x:row>
    <x:row r="291" ht="21" customHeight="1">
      <x:c r="A291" s="12" t="str">
        <x:f t="shared" si="145"/>
        <x:v>ГРЩ (В26)</x:v>
      </x:c>
      <x:c r="B291" s="13" t="s">
        <x:v>23</x:v>
      </x:c>
      <x:c r="C291" s="14" t="s">
        <x:v>26</x:v>
      </x:c>
      <x:c r="D291" s="12" t="s">
        <x:v>27</x:v>
      </x:c>
      <x:c r="E291" s="13">
        <x:v>2337</x:v>
      </x:c>
      <x:c r="F291" s="15">
        <x:f t="shared" si="149"/>
        <x:v>1402.2</x:v>
      </x:c>
      <x:c r="G291" s="15">
        <x:f t="shared" si="150"/>
        <x:v>8413.2000000000007</x:v>
      </x:c>
      <x:c r="H291" s="16">
        <x:v>6</x:v>
      </x:c>
      <x:c r="I291" s="17" t="s">
        <x:v>17</x:v>
      </x:c>
      <x:c r="J291" s="13" t="s">
        <x:v>22</x:v>
      </x:c>
      <x:c r="K291" s="12" t="str">
        <x:f t="shared" si="148"/>
        <x:v>B26</x:v>
      </x:c>
    </x:row>
    <x:row r="292" ht="21" customHeight="1">
      <x:c r="A292" s="12" t="str">
        <x:f t="shared" si="145"/>
        <x:v>ГРЩ (В26)</x:v>
      </x:c>
      <x:c r="B292" s="13" t="s">
        <x:v>23</x:v>
      </x:c>
      <x:c r="C292" s="14" t="s">
        <x:v>28</x:v>
      </x:c>
      <x:c r="D292" s="12" t="s">
        <x:v>29</x:v>
      </x:c>
      <x:c r="E292" s="13">
        <x:v>1389</x:v>
      </x:c>
      <x:c r="F292" s="15">
        <x:f t="shared" si="149"/>
        <x:v>833.4</x:v>
      </x:c>
      <x:c r="G292" s="15">
        <x:f t="shared" si="150"/>
        <x:v>5833.8</x:v>
      </x:c>
      <x:c r="H292" s="16">
        <x:v>7</x:v>
      </x:c>
      <x:c r="I292" s="17" t="s">
        <x:v>17</x:v>
      </x:c>
      <x:c r="J292" s="13" t="s">
        <x:v>22</x:v>
      </x:c>
      <x:c r="K292" s="12" t="str">
        <x:f t="shared" si="148"/>
        <x:v>B26</x:v>
      </x:c>
    </x:row>
    <x:row r="293" ht="21" customHeight="1">
      <x:c r="A293" s="12" t="str">
        <x:f t="shared" si="145"/>
        <x:v>ГРЩ (В26)</x:v>
      </x:c>
      <x:c r="B293" s="13" t="s">
        <x:v>136</x:v>
      </x:c>
      <x:c r="C293" s="14" t="s">
        <x:v>137</x:v>
      </x:c>
      <x:c r="D293" s="12" t="s">
        <x:v>138</x:v>
      </x:c>
      <x:c r="E293" s="13">
        <x:v>5093</x:v>
      </x:c>
      <x:c r="F293" s="15">
        <x:f t="shared" si="149"/>
        <x:v>3055.7999999999997</x:v>
      </x:c>
      <x:c r="G293" s="15">
        <x:f t="shared" si="150"/>
        <x:v>3055.7999999999997</x:v>
      </x:c>
      <x:c r="H293" s="16">
        <x:v>1</x:v>
      </x:c>
      <x:c r="I293" s="17" t="s">
        <x:v>17</x:v>
      </x:c>
      <x:c r="J293" s="13" t="s">
        <x:v>22</x:v>
      </x:c>
      <x:c r="K293" s="12" t="str">
        <x:f t="shared" si="148"/>
        <x:v>B26</x:v>
      </x:c>
    </x:row>
    <x:row r="294" ht="21" customHeight="1">
      <x:c r="A294" s="12" t="str">
        <x:f t="shared" ref="A294:A295" si="151">A293</x:f>
        <x:v>ГРЩ (В26)</x:v>
      </x:c>
      <x:c r="B294" s="13" t="s">
        <x:v>136</x:v>
      </x:c>
      <x:c r="C294" s="14" t="s">
        <x:v>156</x:v>
      </x:c>
      <x:c r="D294" s="12" t="s">
        <x:v>157</x:v>
      </x:c>
      <x:c r="E294" s="13">
        <x:v>8934</x:v>
      </x:c>
      <x:c r="F294" s="15">
        <x:f t="shared" si="149"/>
        <x:v>5360.4</x:v>
      </x:c>
      <x:c r="G294" s="15">
        <x:f t="shared" si="150"/>
        <x:v>5360.4</x:v>
      </x:c>
      <x:c r="H294" s="16">
        <x:v>1</x:v>
      </x:c>
      <x:c r="I294" s="17" t="s">
        <x:v>17</x:v>
      </x:c>
      <x:c r="J294" s="13" t="s">
        <x:v>22</x:v>
      </x:c>
      <x:c r="K294" s="12" t="str">
        <x:f t="shared" ref="K294:K295" si="152">K293</x:f>
        <x:v>B26</x:v>
      </x:c>
    </x:row>
    <x:row r="295" ht="21" customHeight="1">
      <x:c r="A295" s="12" t="str">
        <x:f t="shared" si="151"/>
        <x:v>ГРЩ (В26)</x:v>
      </x:c>
      <x:c r="B295" s="13" t="s">
        <x:v>30</x:v>
      </x:c>
      <x:c r="C295" s="14" t="s">
        <x:v>158</x:v>
      </x:c>
      <x:c r="D295" s="12" t="s">
        <x:v>159</x:v>
      </x:c>
      <x:c r="E295" s="13">
        <x:v>6054</x:v>
      </x:c>
      <x:c r="F295" s="15">
        <x:f t="shared" si="149"/>
        <x:v>3632.4</x:v>
      </x:c>
      <x:c r="G295" s="15">
        <x:f t="shared" si="150"/>
        <x:v>3632.4</x:v>
      </x:c>
      <x:c r="H295" s="16">
        <x:v>1</x:v>
      </x:c>
      <x:c r="I295" s="17" t="s">
        <x:v>17</x:v>
      </x:c>
      <x:c r="J295" s="13" t="s">
        <x:v>22</x:v>
      </x:c>
      <x:c r="K295" s="12" t="str">
        <x:f t="shared" si="152"/>
        <x:v>B26</x:v>
      </x:c>
    </x:row>
    <x:row r="296" ht="24" customHeight="1">
      <x:c r="A296" s="12" t="str">
        <x:f>A293</x:f>
        <x:v>ГРЩ (В26)</x:v>
      </x:c>
      <x:c r="B296" s="12" t="s">
        <x:v>33</x:v>
      </x:c>
      <x:c r="C296" s="18" t="s">
        <x:v>33</x:v>
      </x:c>
      <x:c r="D296" s="12" t="s">
        <x:v>33</x:v>
      </x:c>
      <x:c r="E296" s="12">
        <x:f>OFFSET(E296,1,2)</x:f>
        <x:v>0</x:v>
      </x:c>
      <x:c r="F296" s="15" t="n">
        <x:f>E296</x:f>
        <x:v>0</x:v>
      </x:c>
      <x:c r="G296" s="15" t="n">
        <x:f t="shared" ref="G296" si="153">F296*H296</x:f>
        <x:v>0</x:v>
      </x:c>
      <x:c r="H296" s="12"/>
      <x:c r="I296" s="12" t="s">
        <x:v>17</x:v>
      </x:c>
      <x:c r="J296" s="12" t="s">
        <x:v>33</x:v>
      </x:c>
      <x:c r="K296" s="12" t="str">
        <x:f>K293</x:f>
        <x:v>B26</x:v>
      </x:c>
    </x:row>
    <x:row r="297" ht="21" customHeight="1">
      <x:c r="A297" s="12" t="str">
        <x:f t="shared" si="145"/>
        <x:v>ГРЩ (В26)</x:v>
      </x:c>
      <x:c r="B297" s="12" t="s">
        <x:v>34</x:v>
      </x:c>
      <x:c r="C297" s="18" t="s">
        <x:v>34</x:v>
      </x:c>
      <x:c r="D297" s="12" t="s">
        <x:v>34</x:v>
      </x:c>
      <x:c r="E297" s="12"/>
      <x:c r="F297" s="15">
        <x:v>100</x:v>
      </x:c>
      <x:c r="G297" s="15" t="n">
        <x:f>60*E297*F297</x:f>
        <x:v>0</x:v>
      </x:c>
      <x:c r="H297" s="12" t="n">
        <x:f>60*E297</x:f>
        <x:v>0</x:v>
      </x:c>
      <x:c r="I297" s="12" t="s">
        <x:v>17</x:v>
      </x:c>
      <x:c r="J297" s="12" t="s">
        <x:v>34</x:v>
      </x:c>
      <x:c r="K297" s="12" t="str">
        <x:f t="shared" si="148"/>
        <x:v>B26</x:v>
      </x:c>
    </x:row>
    <x:row r="298" ht="30" customHeight="1">
      <x:c r="A298" s="12" t="str">
        <x:f t="shared" si="145"/>
        <x:v>ГРЩ (В26)</x:v>
      </x:c>
      <x:c r="B298" s="19"/>
      <x:c r="C298" s="20"/>
      <x:c r="D298" s="21"/>
      <x:c r="E298" s="23"/>
      <x:c r="F298" s="25"/>
      <x:c r="G298" s="24" t="n">
        <x:f>SUM(G288:G297)</x:f>
        <x:v>49015.80000000001</x:v>
      </x:c>
      <x:c r="H298" s="20"/>
      <x:c r="I298" s="22"/>
      <x:c r="J298" s="20"/>
      <x:c r="K298" s="12" t="str">
        <x:f t="shared" si="148"/>
        <x:v>B26</x:v>
      </x:c>
    </x:row>
    <x:row r="299" ht="39.75" customHeight="1">
      <x:c r="A299" s="5" t="str">
        <x:f>D299</x:f>
        <x:v>ПП (В26)</x:v>
      </x:c>
      <x:c r="B299" s="6"/>
      <x:c r="C299" s="7"/>
      <x:c r="D299" s="6" t="s">
        <x:v>160</x:v>
      </x:c>
      <x:c r="E299" s="8"/>
      <x:c r="F299" s="8"/>
      <x:c r="G299" s="9"/>
      <x:c r="H299" s="10">
        <x:v>1</x:v>
      </x:c>
      <x:c r="I299" s="11" t="s">
        <x:v>11</x:v>
      </x:c>
      <x:c r="J299" s="6" t="s">
        <x:v>12</x:v>
      </x:c>
      <x:c r="K299" s="5" t="s">
        <x:v>151</x:v>
      </x:c>
    </x:row>
    <x:row r="300" ht="21" customHeight="1">
      <x:c r="A300" s="12" t="str">
        <x:f>A299</x:f>
        <x:v>ПП (В26)</x:v>
      </x:c>
      <x:c r="B300" s="13" t="s">
        <x:v>14</x:v>
      </x:c>
      <x:c r="C300" s="14" t="s">
        <x:v>106</x:v>
      </x:c>
      <x:c r="D300" s="12" t="s">
        <x:v>107</x:v>
      </x:c>
      <x:c r="E300" s="13">
        <x:v>45000</x:v>
      </x:c>
      <x:c r="F300" s="15" t="n">
        <x:f>E300*0.6</x:f>
        <x:v>27000</x:v>
      </x:c>
      <x:c r="G300" s="15" t="n">
        <x:f>H300*F300</x:f>
        <x:v>27000</x:v>
      </x:c>
      <x:c r="H300" s="16">
        <x:v>1</x:v>
      </x:c>
      <x:c r="I300" s="17" t="s">
        <x:v>17</x:v>
      </x:c>
      <x:c r="J300" s="13" t="s">
        <x:v>18</x:v>
      </x:c>
      <x:c r="K300" s="12" t="str">
        <x:f>K299</x:f>
        <x:v>B26</x:v>
      </x:c>
    </x:row>
    <x:row r="301" ht="21" customHeight="1">
      <x:c r="A301" s="12" t="str">
        <x:f t="shared" ref="A301:A307" si="154">A300</x:f>
        <x:v>ПП (В26)</x:v>
      </x:c>
      <x:c r="B301" s="13" t="s">
        <x:v>108</x:v>
      </x:c>
      <x:c r="C301" s="14">
        <x:v>256781</x:v>
      </x:c>
      <x:c r="D301" s="12" t="s">
        <x:v>109</x:v>
      </x:c>
      <x:c r="E301" s="13">
        <x:v>207389</x:v>
      </x:c>
      <x:c r="F301" s="15" t="n">
        <x:f>E301*0.6</x:f>
        <x:v>124433.4</x:v>
      </x:c>
      <x:c r="G301" s="15" t="n">
        <x:f>F301*H301</x:f>
        <x:v>124433.4</x:v>
      </x:c>
      <x:c r="H301" s="16">
        <x:v>1</x:v>
      </x:c>
      <x:c r="I301" s="17" t="s">
        <x:v>17</x:v>
      </x:c>
      <x:c r="J301" s="13" t="s">
        <x:v>22</x:v>
      </x:c>
      <x:c r="K301" s="12" t="str">
        <x:f t="shared" ref="K301:K307" si="155">K300</x:f>
        <x:v>B26</x:v>
      </x:c>
    </x:row>
    <x:row r="302" ht="21" customHeight="1">
      <x:c r="A302" s="12" t="str">
        <x:f t="shared" si="154"/>
        <x:v>ПП (В26)</x:v>
      </x:c>
      <x:c r="B302" s="13" t="s">
        <x:v>110</x:v>
      </x:c>
      <x:c r="C302" s="14">
        <x:v>593077</x:v>
      </x:c>
      <x:c r="D302" s="12" t="s">
        <x:v>111</x:v>
      </x:c>
      <x:c r="E302" s="13">
        <x:v>589</x:v>
      </x:c>
      <x:c r="F302" s="15" t="n">
        <x:f>E302*0.6</x:f>
        <x:v>353.4</x:v>
      </x:c>
      <x:c r="G302" s="15" t="n">
        <x:f>F302*H302</x:f>
        <x:v>706.8</x:v>
      </x:c>
      <x:c r="H302" s="16">
        <x:v>2</x:v>
      </x:c>
      <x:c r="I302" s="17" t="s">
        <x:v>17</x:v>
      </x:c>
      <x:c r="J302" s="13" t="s">
        <x:v>22</x:v>
      </x:c>
      <x:c r="K302" s="12" t="str">
        <x:f t="shared" si="155"/>
        <x:v>B26</x:v>
      </x:c>
    </x:row>
    <x:row r="303" ht="21" customHeight="1">
      <x:c r="A303" s="12" t="str">
        <x:f t="shared" si="154"/>
        <x:v>ПП (В26)</x:v>
      </x:c>
      <x:c r="B303" s="13" t="s">
        <x:v>110</x:v>
      </x:c>
      <x:c r="C303" s="14">
        <x:v>593076</x:v>
      </x:c>
      <x:c r="D303" s="12" t="s">
        <x:v>112</x:v>
      </x:c>
      <x:c r="E303" s="13">
        <x:v>571</x:v>
      </x:c>
      <x:c r="F303" s="15" t="n">
        <x:f>E303*0.6</x:f>
        <x:v>342.59999999999997</x:v>
      </x:c>
      <x:c r="G303" s="15" t="n">
        <x:f>F303*H303</x:f>
        <x:v>685.1999999999999</x:v>
      </x:c>
      <x:c r="H303" s="16">
        <x:v>2</x:v>
      </x:c>
      <x:c r="I303" s="17" t="s">
        <x:v>17</x:v>
      </x:c>
      <x:c r="J303" s="13" t="s">
        <x:v>22</x:v>
      </x:c>
      <x:c r="K303" s="12" t="str">
        <x:f t="shared" si="155"/>
        <x:v>B26</x:v>
      </x:c>
    </x:row>
    <x:row r="304" ht="21" customHeight="1">
      <x:c r="A304" s="12" t="str">
        <x:f t="shared" si="154"/>
        <x:v>ПП (В26)</x:v>
      </x:c>
      <x:c r="B304" s="13" t="s">
        <x:v>110</x:v>
      </x:c>
      <x:c r="C304" s="14">
        <x:v>593075</x:v>
      </x:c>
      <x:c r="D304" s="12" t="s">
        <x:v>113</x:v>
      </x:c>
      <x:c r="E304" s="13">
        <x:v>571</x:v>
      </x:c>
      <x:c r="F304" s="15" t="n">
        <x:f>E304*0.6</x:f>
        <x:v>342.59999999999997</x:v>
      </x:c>
      <x:c r="G304" s="15" t="n">
        <x:f>F304*H304</x:f>
        <x:v>685.1999999999999</x:v>
      </x:c>
      <x:c r="H304" s="16">
        <x:v>2</x:v>
      </x:c>
      <x:c r="I304" s="17" t="s">
        <x:v>17</x:v>
      </x:c>
      <x:c r="J304" s="13" t="s">
        <x:v>22</x:v>
      </x:c>
      <x:c r="K304" s="12" t="str">
        <x:f t="shared" si="155"/>
        <x:v>B26</x:v>
      </x:c>
    </x:row>
    <x:row r="305" ht="24" customHeight="1">
      <x:c r="A305" s="12" t="str">
        <x:f t="shared" si="154"/>
        <x:v>ПП (В26)</x:v>
      </x:c>
      <x:c r="B305" s="12" t="s">
        <x:v>33</x:v>
      </x:c>
      <x:c r="C305" s="18" t="s">
        <x:v>33</x:v>
      </x:c>
      <x:c r="D305" s="12" t="s">
        <x:v>33</x:v>
      </x:c>
      <x:c r="E305" s="12">
        <x:f>OFFSET(E305,1,2)</x:f>
        <x:v>0</x:v>
      </x:c>
      <x:c r="F305" s="15" t="n">
        <x:f>E305</x:f>
        <x:v>0</x:v>
      </x:c>
      <x:c r="G305" s="15" t="n">
        <x:f t="shared" ref="G305" si="156">F305*H305</x:f>
        <x:v>0</x:v>
      </x:c>
      <x:c r="H305" s="12"/>
      <x:c r="I305" s="12" t="s">
        <x:v>17</x:v>
      </x:c>
      <x:c r="J305" s="12" t="s">
        <x:v>33</x:v>
      </x:c>
      <x:c r="K305" s="12" t="str">
        <x:f t="shared" si="155"/>
        <x:v>B26</x:v>
      </x:c>
    </x:row>
    <x:row r="306" ht="21" customHeight="1">
      <x:c r="A306" s="12" t="str">
        <x:f t="shared" si="154"/>
        <x:v>ПП (В26)</x:v>
      </x:c>
      <x:c r="B306" s="12" t="s">
        <x:v>34</x:v>
      </x:c>
      <x:c r="C306" s="18" t="s">
        <x:v>34</x:v>
      </x:c>
      <x:c r="D306" s="12" t="s">
        <x:v>34</x:v>
      </x:c>
      <x:c r="E306" s="12"/>
      <x:c r="F306" s="15">
        <x:v>100</x:v>
      </x:c>
      <x:c r="G306" s="15" t="n">
        <x:f>60*E306*F306</x:f>
        <x:v>0</x:v>
      </x:c>
      <x:c r="H306" s="12" t="n">
        <x:f>60*E306</x:f>
        <x:v>0</x:v>
      </x:c>
      <x:c r="I306" s="12" t="s">
        <x:v>17</x:v>
      </x:c>
      <x:c r="J306" s="12" t="s">
        <x:v>34</x:v>
      </x:c>
      <x:c r="K306" s="12" t="str">
        <x:f t="shared" si="155"/>
        <x:v>B26</x:v>
      </x:c>
    </x:row>
    <x:row r="307" ht="30" customHeight="1">
      <x:c r="A307" s="12" t="str">
        <x:f t="shared" si="154"/>
        <x:v>ПП (В26)</x:v>
      </x:c>
      <x:c r="B307" s="19"/>
      <x:c r="C307" s="20"/>
      <x:c r="D307" s="21"/>
      <x:c r="E307" s="23"/>
      <x:c r="F307" s="25"/>
      <x:c r="G307" s="24" t="n">
        <x:f>SUM(G300:G306)</x:f>
        <x:v>153510.6</x:v>
      </x:c>
      <x:c r="H307" s="20"/>
      <x:c r="I307" s="22"/>
      <x:c r="J307" s="20"/>
      <x:c r="K307" s="12" t="str">
        <x:f t="shared" si="155"/>
        <x:v>B26</x:v>
      </x:c>
    </x:row>
    <x:row r="308" ht="39.75" customHeight="1">
      <x:c r="A308" s="5" t="str">
        <x:f>D308</x:f>
        <x:v> ЯВЗ-31-IP54 УХЛ2 100А</x:v>
      </x:c>
      <x:c r="B308" s="6"/>
      <x:c r="C308" s="7"/>
      <x:c r="D308" s="6" t="s">
        <x:v>38</x:v>
      </x:c>
      <x:c r="E308" s="8"/>
      <x:c r="F308" s="8"/>
      <x:c r="G308" s="9"/>
      <x:c r="H308" s="10">
        <x:v>1</x:v>
      </x:c>
      <x:c r="I308" s="11" t="s">
        <x:v>11</x:v>
      </x:c>
      <x:c r="J308" s="6" t="s">
        <x:v>12</x:v>
      </x:c>
      <x:c r="K308" s="5" t="s">
        <x:v>151</x:v>
      </x:c>
    </x:row>
    <x:row r="309" ht="21" customHeight="1">
      <x:c r="A309" s="12" t="str">
        <x:f>A308</x:f>
        <x:v> ЯВЗ-31-IP54 УХЛ2 100А</x:v>
      </x:c>
      <x:c r="B309" s="13" t="s">
        <x:v>14</x:v>
      </x:c>
      <x:c r="C309" s="14" t="s">
        <x:v>39</x:v>
      </x:c>
      <x:c r="D309" s="12" t="s">
        <x:v>40</x:v>
      </x:c>
      <x:c r="E309" s="13"/>
      <x:c r="F309" s="15" t="n">
        <x:f>E309*0.6</x:f>
        <x:v>0</x:v>
      </x:c>
      <x:c r="G309" s="15" t="n">
        <x:f>H309*F309</x:f>
        <x:v>0</x:v>
      </x:c>
      <x:c r="H309" s="16">
        <x:v>1</x:v>
      </x:c>
      <x:c r="I309" s="17" t="s">
        <x:v>17</x:v>
      </x:c>
      <x:c r="J309" s="13" t="s">
        <x:v>18</x:v>
      </x:c>
      <x:c r="K309" s="12" t="str">
        <x:f>K308</x:f>
        <x:v>B26</x:v>
      </x:c>
    </x:row>
    <x:row r="310" ht="21" customHeight="1">
      <x:c r="A310" s="12" t="str">
        <x:f t="shared" ref="A310:A315" si="157">A309</x:f>
        <x:v> ЯВЗ-31-IP54 УХЛ2 100А</x:v>
      </x:c>
      <x:c r="B310" s="13" t="s">
        <x:v>41</x:v>
      </x:c>
      <x:c r="C310" s="14" t="s">
        <x:v>42</x:v>
      </x:c>
      <x:c r="D310" s="12" t="s">
        <x:v>43</x:v>
      </x:c>
      <x:c r="E310" s="13">
        <x:v>1545</x:v>
      </x:c>
      <x:c r="F310" s="15" t="n">
        <x:f>E310*0.6</x:f>
        <x:v>927</x:v>
      </x:c>
      <x:c r="G310" s="15" t="n">
        <x:f>F310*H310</x:f>
        <x:v>2781</x:v>
      </x:c>
      <x:c r="H310" s="16">
        <x:v>3</x:v>
      </x:c>
      <x:c r="I310" s="17" t="s">
        <x:v>17</x:v>
      </x:c>
      <x:c r="J310" s="13" t="s">
        <x:v>22</x:v>
      </x:c>
      <x:c r="K310" s="12" t="str">
        <x:f t="shared" ref="K310:K315" si="158">K309</x:f>
        <x:v>B26</x:v>
      </x:c>
    </x:row>
    <x:row r="311" ht="21" customHeight="1">
      <x:c r="A311" s="12" t="str">
        <x:f t="shared" si="157"/>
        <x:v> ЯВЗ-31-IP54 УХЛ2 100А</x:v>
      </x:c>
      <x:c r="B311" s="13" t="s">
        <x:v>41</x:v>
      </x:c>
      <x:c r="C311" s="14" t="s">
        <x:v>44</x:v>
      </x:c>
      <x:c r="D311" s="12" t="s">
        <x:v>45</x:v>
      </x:c>
      <x:c r="E311" s="13">
        <x:v>2038</x:v>
      </x:c>
      <x:c r="F311" s="15" t="n">
        <x:f>E311*0.6</x:f>
        <x:v>1222.8</x:v>
      </x:c>
      <x:c r="G311" s="15" t="n">
        <x:f>F311*H311</x:f>
        <x:v>3668.3999999999996</x:v>
      </x:c>
      <x:c r="H311" s="16">
        <x:v>3</x:v>
      </x:c>
      <x:c r="I311" s="17" t="s">
        <x:v>17</x:v>
      </x:c>
      <x:c r="J311" s="13" t="s">
        <x:v>22</x:v>
      </x:c>
      <x:c r="K311" s="12" t="str">
        <x:f t="shared" si="158"/>
        <x:v>B26</x:v>
      </x:c>
    </x:row>
    <x:row r="312" ht="21" customHeight="1">
      <x:c r="A312" s="12" t="str">
        <x:f t="shared" si="157"/>
        <x:v> ЯВЗ-31-IP54 УХЛ2 100А</x:v>
      </x:c>
      <x:c r="B312" s="13" t="s">
        <x:v>46</x:v>
      </x:c>
      <x:c r="C312" s="14" t="s">
        <x:v>47</x:v>
      </x:c>
      <x:c r="D312" s="12" t="s">
        <x:v>48</x:v>
      </x:c>
      <x:c r="E312" s="13">
        <x:v>6835</x:v>
      </x:c>
      <x:c r="F312" s="15" t="n">
        <x:f>E312</x:f>
        <x:v>6835</x:v>
      </x:c>
      <x:c r="G312" s="15" t="n">
        <x:f>F312*H312</x:f>
        <x:v>6835</x:v>
      </x:c>
      <x:c r="H312" s="16">
        <x:v>1</x:v>
      </x:c>
      <x:c r="I312" s="17" t="s">
        <x:v>17</x:v>
      </x:c>
      <x:c r="J312" s="13" t="s">
        <x:v>49</x:v>
      </x:c>
      <x:c r="K312" s="12" t="str">
        <x:f t="shared" si="158"/>
        <x:v>B26</x:v>
      </x:c>
    </x:row>
    <x:row r="313" ht="24" customHeight="1">
      <x:c r="A313" s="12" t="str">
        <x:f t="shared" si="157"/>
        <x:v> ЯВЗ-31-IP54 УХЛ2 100А</x:v>
      </x:c>
      <x:c r="B313" s="12" t="s">
        <x:v>33</x:v>
      </x:c>
      <x:c r="C313" s="18" t="s">
        <x:v>33</x:v>
      </x:c>
      <x:c r="D313" s="12" t="s">
        <x:v>33</x:v>
      </x:c>
      <x:c r="E313" s="12">
        <x:f>OFFSET(E313,1,2)</x:f>
        <x:v>0</x:v>
      </x:c>
      <x:c r="F313" s="15" t="n">
        <x:f>E313</x:f>
        <x:v>0</x:v>
      </x:c>
      <x:c r="G313" s="15" t="n">
        <x:f t="shared" ref="G313" si="159">F313*H313</x:f>
        <x:v>0</x:v>
      </x:c>
      <x:c r="H313" s="12"/>
      <x:c r="I313" s="12" t="s">
        <x:v>17</x:v>
      </x:c>
      <x:c r="J313" s="12" t="s">
        <x:v>33</x:v>
      </x:c>
      <x:c r="K313" s="12" t="str">
        <x:f t="shared" si="158"/>
        <x:v>B26</x:v>
      </x:c>
    </x:row>
    <x:row r="314" ht="21" customHeight="1">
      <x:c r="A314" s="12" t="str">
        <x:f t="shared" si="157"/>
        <x:v> ЯВЗ-31-IP54 УХЛ2 100А</x:v>
      </x:c>
      <x:c r="B314" s="12" t="s">
        <x:v>34</x:v>
      </x:c>
      <x:c r="C314" s="18" t="s">
        <x:v>34</x:v>
      </x:c>
      <x:c r="D314" s="12" t="s">
        <x:v>34</x:v>
      </x:c>
      <x:c r="E314" s="12"/>
      <x:c r="F314" s="15">
        <x:v>100</x:v>
      </x:c>
      <x:c r="G314" s="15" t="n">
        <x:f>60*E314*F314</x:f>
        <x:v>0</x:v>
      </x:c>
      <x:c r="H314" s="12" t="n">
        <x:f>60*E314</x:f>
        <x:v>0</x:v>
      </x:c>
      <x:c r="I314" s="12" t="s">
        <x:v>17</x:v>
      </x:c>
      <x:c r="J314" s="12" t="s">
        <x:v>34</x:v>
      </x:c>
      <x:c r="K314" s="12" t="str">
        <x:f t="shared" si="158"/>
        <x:v>B26</x:v>
      </x:c>
    </x:row>
    <x:row r="315" ht="30" customHeight="1">
      <x:c r="A315" s="12" t="str">
        <x:f t="shared" si="157"/>
        <x:v> ЯВЗ-31-IP54 УХЛ2 100А</x:v>
      </x:c>
      <x:c r="B315" s="19"/>
      <x:c r="C315" s="20"/>
      <x:c r="D315" s="21"/>
      <x:c r="E315" s="23"/>
      <x:c r="F315" s="25"/>
      <x:c r="G315" s="24" t="n">
        <x:f>SUM(G309:G314)</x:f>
        <x:v>13284.4</x:v>
      </x:c>
      <x:c r="H315" s="20"/>
      <x:c r="I315" s="22"/>
      <x:c r="J315" s="20"/>
      <x:c r="K315" s="12" t="str">
        <x:f t="shared" si="158"/>
        <x:v>B26</x:v>
      </x:c>
    </x:row>
    <x:row r="316" ht="39.75" customHeight="1">
      <x:c r="A316" s="5" t="str">
        <x:f>D316</x:f>
        <x:v>ЩАП25 (В26)</x:v>
      </x:c>
      <x:c r="B316" s="6"/>
      <x:c r="C316" s="7"/>
      <x:c r="D316" s="6" t="s">
        <x:v>161</x:v>
      </x:c>
      <x:c r="E316" s="8"/>
      <x:c r="F316" s="8"/>
      <x:c r="G316" s="9"/>
      <x:c r="H316" s="10">
        <x:v>1</x:v>
      </x:c>
      <x:c r="I316" s="11" t="s">
        <x:v>11</x:v>
      </x:c>
      <x:c r="J316" s="6" t="s">
        <x:v>12</x:v>
      </x:c>
      <x:c r="K316" s="5" t="s">
        <x:v>151</x:v>
      </x:c>
    </x:row>
    <x:row r="317" ht="21" customHeight="1">
      <x:c r="A317" s="12" t="str">
        <x:f>A316</x:f>
        <x:v>ЩАП25 (В26)</x:v>
      </x:c>
      <x:c r="B317" s="13" t="s">
        <x:v>14</x:v>
      </x:c>
      <x:c r="C317" s="14" t="s">
        <x:v>115</x:v>
      </x:c>
      <x:c r="D317" s="12" t="s">
        <x:v>116</x:v>
      </x:c>
      <x:c r="E317" s="13">
        <x:v>14000</x:v>
      </x:c>
      <x:c r="F317" s="15" t="n">
        <x:f>E317*0.6</x:f>
        <x:v>8400</x:v>
      </x:c>
      <x:c r="G317" s="15" t="n">
        <x:f>H317*F317</x:f>
        <x:v>8400</x:v>
      </x:c>
      <x:c r="H317" s="16">
        <x:v>1</x:v>
      </x:c>
      <x:c r="I317" s="17" t="s">
        <x:v>17</x:v>
      </x:c>
      <x:c r="J317" s="13" t="s">
        <x:v>18</x:v>
      </x:c>
      <x:c r="K317" s="12" t="str">
        <x:f>K316</x:f>
        <x:v>B26</x:v>
      </x:c>
    </x:row>
    <x:row r="318" ht="21" customHeight="1">
      <x:c r="A318" s="12" t="str">
        <x:f>A320</x:f>
        <x:v>ЩАП25 (В26)</x:v>
      </x:c>
      <x:c r="B318" s="13" t="s">
        <x:v>23</x:v>
      </x:c>
      <x:c r="C318" s="14" t="s">
        <x:v>57</x:v>
      </x:c>
      <x:c r="D318" s="12" t="s">
        <x:v>58</x:v>
      </x:c>
      <x:c r="E318" s="13">
        <x:v>2429</x:v>
      </x:c>
      <x:c r="F318" s="15" t="n">
        <x:f>E318*0.6</x:f>
        <x:v>1457.3999999999999</x:v>
      </x:c>
      <x:c r="G318" s="15" t="n">
        <x:f>F318*H318</x:f>
        <x:v>2914.7999999999997</x:v>
      </x:c>
      <x:c r="H318" s="16">
        <x:v>2</x:v>
      </x:c>
      <x:c r="I318" s="17" t="s">
        <x:v>17</x:v>
      </x:c>
      <x:c r="J318" s="13" t="s">
        <x:v>22</x:v>
      </x:c>
      <x:c r="K318" s="12" t="str">
        <x:f>K320</x:f>
        <x:v>B26</x:v>
      </x:c>
    </x:row>
    <x:row r="319" ht="21" customHeight="1">
      <x:c r="A319" s="12" t="str">
        <x:f>A318</x:f>
        <x:v>ЩАП25 (В26)</x:v>
      </x:c>
      <x:c r="B319" s="13" t="s">
        <x:v>23</x:v>
      </x:c>
      <x:c r="C319" s="14" t="s">
        <x:v>117</x:v>
      </x:c>
      <x:c r="D319" s="12" t="s">
        <x:v>118</x:v>
      </x:c>
      <x:c r="E319" s="13">
        <x:v>2873</x:v>
      </x:c>
      <x:c r="F319" s="15" t="n">
        <x:f>E319*0.6</x:f>
        <x:v>1723.8</x:v>
      </x:c>
      <x:c r="G319" s="15" t="n">
        <x:f>F319*H319</x:f>
        <x:v>1723.8</x:v>
      </x:c>
      <x:c r="H319" s="16">
        <x:v>1</x:v>
      </x:c>
      <x:c r="I319" s="17" t="s">
        <x:v>17</x:v>
      </x:c>
      <x:c r="J319" s="13" t="s">
        <x:v>22</x:v>
      </x:c>
      <x:c r="K319" s="12" t="str">
        <x:f>K318</x:f>
        <x:v>B26</x:v>
      </x:c>
    </x:row>
    <x:row r="320" ht="21" customHeight="1">
      <x:c r="A320" s="12" t="str">
        <x:f>A317</x:f>
        <x:v>ЩАП25 (В26)</x:v>
      </x:c>
      <x:c r="B320" s="13" t="s">
        <x:v>110</x:v>
      </x:c>
      <x:c r="C320" s="14" t="s">
        <x:v>119</x:v>
      </x:c>
      <x:c r="D320" s="12" t="s">
        <x:v>113</x:v>
      </x:c>
      <x:c r="E320" s="13">
        <x:v>571</x:v>
      </x:c>
      <x:c r="F320" s="15" t="n">
        <x:f t="shared" ref="F320" si="160">E320*0.6</x:f>
        <x:v>342.59999999999997</x:v>
      </x:c>
      <x:c r="G320" s="15" t="n">
        <x:f t="shared" ref="G320" si="161">F320*H320</x:f>
        <x:v>342.59999999999997</x:v>
      </x:c>
      <x:c r="H320" s="16">
        <x:v>1</x:v>
      </x:c>
      <x:c r="I320" s="17" t="s">
        <x:v>17</x:v>
      </x:c>
      <x:c r="J320" s="13" t="s">
        <x:v>22</x:v>
      </x:c>
      <x:c r="K320" s="12" t="str">
        <x:f>K317</x:f>
        <x:v>B26</x:v>
      </x:c>
    </x:row>
    <x:row r="321" ht="21" customHeight="1">
      <x:c r="A321" s="12" t="str">
        <x:f>A319</x:f>
        <x:v>ЩАП25 (В26)</x:v>
      </x:c>
      <x:c r="B321" s="13" t="s">
        <x:v>64</x:v>
      </x:c>
      <x:c r="C321" s="14" t="s">
        <x:v>120</x:v>
      </x:c>
      <x:c r="D321" s="12" t="s">
        <x:v>121</x:v>
      </x:c>
      <x:c r="E321" s="13">
        <x:v>9149</x:v>
      </x:c>
      <x:c r="F321" s="15" t="n">
        <x:f t="shared" ref="F321:F327" si="162">E321*0.6</x:f>
        <x:v>5489.4</x:v>
      </x:c>
      <x:c r="G321" s="15" t="n">
        <x:f t="shared" ref="G321:G327" si="163">F321*H321</x:f>
        <x:v>5489.4</x:v>
      </x:c>
      <x:c r="H321" s="16">
        <x:v>1</x:v>
      </x:c>
      <x:c r="I321" s="17" t="s">
        <x:v>17</x:v>
      </x:c>
      <x:c r="J321" s="13" t="s">
        <x:v>22</x:v>
      </x:c>
      <x:c r="K321" s="12" t="str">
        <x:f>K319</x:f>
        <x:v>B26</x:v>
      </x:c>
    </x:row>
    <x:row r="322" ht="21" customHeight="1">
      <x:c r="A322" s="12" t="str">
        <x:f>A320</x:f>
        <x:v>ЩАП25 (В26)</x:v>
      </x:c>
      <x:c r="B322" s="13" t="s">
        <x:v>64</x:v>
      </x:c>
      <x:c r="C322" s="14" t="s">
        <x:v>122</x:v>
      </x:c>
      <x:c r="D322" s="12" t="s">
        <x:v>123</x:v>
      </x:c>
      <x:c r="E322" s="13">
        <x:v>1306</x:v>
      </x:c>
      <x:c r="F322" s="15">
        <x:f t="shared" si="162"/>
        <x:v>783.6</x:v>
      </x:c>
      <x:c r="G322" s="15">
        <x:f t="shared" si="163"/>
        <x:v>783.6</x:v>
      </x:c>
      <x:c r="H322" s="16">
        <x:v>1</x:v>
      </x:c>
      <x:c r="I322" s="17" t="s">
        <x:v>17</x:v>
      </x:c>
      <x:c r="J322" s="13" t="s">
        <x:v>22</x:v>
      </x:c>
      <x:c r="K322" s="12" t="str">
        <x:f>K320</x:f>
        <x:v>B26</x:v>
      </x:c>
    </x:row>
    <x:row r="323" ht="21" customHeight="1">
      <x:c r="A323" s="12" t="str">
        <x:f>A320</x:f>
        <x:v>ЩАП25 (В26)</x:v>
      </x:c>
      <x:c r="B323" s="13" t="s">
        <x:v>124</x:v>
      </x:c>
      <x:c r="C323" s="14" t="s">
        <x:v>125</x:v>
      </x:c>
      <x:c r="D323" s="12" t="s">
        <x:v>126</x:v>
      </x:c>
      <x:c r="E323" s="13">
        <x:v>1078</x:v>
      </x:c>
      <x:c r="F323" s="15">
        <x:f t="shared" si="162"/>
        <x:v>646.79999999999995</x:v>
      </x:c>
      <x:c r="G323" s="15">
        <x:f t="shared" si="163"/>
        <x:v>646.79999999999995</x:v>
      </x:c>
      <x:c r="H323" s="16">
        <x:v>1</x:v>
      </x:c>
      <x:c r="I323" s="17" t="s">
        <x:v>17</x:v>
      </x:c>
      <x:c r="J323" s="13" t="s">
        <x:v>22</x:v>
      </x:c>
      <x:c r="K323" s="12" t="str">
        <x:f>K320</x:f>
        <x:v>B26</x:v>
      </x:c>
    </x:row>
    <x:row r="324" ht="21" customHeight="1">
      <x:c r="A324" s="12" t="str">
        <x:f>A321</x:f>
        <x:v>ЩАП25 (В26)</x:v>
      </x:c>
      <x:c r="B324" s="13" t="s">
        <x:v>110</x:v>
      </x:c>
      <x:c r="C324" s="14" t="s">
        <x:v>127</x:v>
      </x:c>
      <x:c r="D324" s="12" t="s">
        <x:v>111</x:v>
      </x:c>
      <x:c r="E324" s="13">
        <x:v>589</x:v>
      </x:c>
      <x:c r="F324" s="15">
        <x:f t="shared" si="162"/>
        <x:v>353.4</x:v>
      </x:c>
      <x:c r="G324" s="15">
        <x:f t="shared" si="163"/>
        <x:v>353.4</x:v>
      </x:c>
      <x:c r="H324" s="16">
        <x:v>1</x:v>
      </x:c>
      <x:c r="I324" s="17" t="s">
        <x:v>17</x:v>
      </x:c>
      <x:c r="J324" s="13" t="s">
        <x:v>22</x:v>
      </x:c>
      <x:c r="K324" s="12" t="str">
        <x:f>K321</x:f>
        <x:v>B26</x:v>
      </x:c>
    </x:row>
    <x:row r="325" ht="21" customHeight="1">
      <x:c r="A325" s="12" t="str">
        <x:f>A323</x:f>
        <x:v>ЩАП25 (В26)</x:v>
      </x:c>
      <x:c r="B325" s="13" t="s">
        <x:v>67</x:v>
      </x:c>
      <x:c r="C325" s="14" t="s">
        <x:v>128</x:v>
      </x:c>
      <x:c r="D325" s="12" t="s">
        <x:v>129</x:v>
      </x:c>
      <x:c r="E325" s="13">
        <x:v>14767</x:v>
      </x:c>
      <x:c r="F325" s="15">
        <x:f t="shared" si="162"/>
        <x:v>8860.1999999999989</x:v>
      </x:c>
      <x:c r="G325" s="15">
        <x:f t="shared" si="163"/>
        <x:v>8860.1999999999989</x:v>
      </x:c>
      <x:c r="H325" s="16">
        <x:v>1</x:v>
      </x:c>
      <x:c r="I325" s="17" t="s">
        <x:v>17</x:v>
      </x:c>
      <x:c r="J325" s="13" t="s">
        <x:v>22</x:v>
      </x:c>
      <x:c r="K325" s="12" t="str">
        <x:f>K323</x:f>
        <x:v>B26</x:v>
      </x:c>
    </x:row>
    <x:row r="326" ht="21" customHeight="1">
      <x:c r="A326" s="12" t="str">
        <x:f>A324</x:f>
        <x:v>ЩАП25 (В26)</x:v>
      </x:c>
      <x:c r="B326" s="13" t="s">
        <x:v>67</x:v>
      </x:c>
      <x:c r="C326" s="14" t="s">
        <x:v>130</x:v>
      </x:c>
      <x:c r="D326" s="12" t="s">
        <x:v>131</x:v>
      </x:c>
      <x:c r="E326" s="13">
        <x:v>1575</x:v>
      </x:c>
      <x:c r="F326" s="15">
        <x:f t="shared" si="162"/>
        <x:v>945</x:v>
      </x:c>
      <x:c r="G326" s="15">
        <x:f t="shared" si="163"/>
        <x:v>945</x:v>
      </x:c>
      <x:c r="H326" s="16">
        <x:v>1</x:v>
      </x:c>
      <x:c r="I326" s="17" t="s">
        <x:v>17</x:v>
      </x:c>
      <x:c r="J326" s="13" t="s">
        <x:v>22</x:v>
      </x:c>
      <x:c r="K326" s="12" t="str">
        <x:f>K324</x:f>
        <x:v>B26</x:v>
      </x:c>
    </x:row>
    <x:row r="327" ht="21" customHeight="1">
      <x:c r="A327" s="12" t="str">
        <x:f>A325</x:f>
        <x:v>ЩАП25 (В26)</x:v>
      </x:c>
      <x:c r="B327" s="13" t="s">
        <x:v>132</x:v>
      </x:c>
      <x:c r="C327" s="14" t="s">
        <x:v>133</x:v>
      </x:c>
      <x:c r="D327" s="12" t="s">
        <x:v>134</x:v>
      </x:c>
      <x:c r="E327" s="13">
        <x:v>682</x:v>
      </x:c>
      <x:c r="F327" s="15">
        <x:f t="shared" si="162"/>
        <x:v>409.2</x:v>
      </x:c>
      <x:c r="G327" s="15">
        <x:f t="shared" si="163"/>
        <x:v>409.2</x:v>
      </x:c>
      <x:c r="H327" s="16">
        <x:v>1</x:v>
      </x:c>
      <x:c r="I327" s="17" t="s">
        <x:v>17</x:v>
      </x:c>
      <x:c r="J327" s="13" t="s">
        <x:v>22</x:v>
      </x:c>
      <x:c r="K327" s="12" t="str">
        <x:f>K325</x:f>
        <x:v>B26</x:v>
      </x:c>
    </x:row>
    <x:row r="328" ht="24" customHeight="1">
      <x:c r="A328" s="12" t="str">
        <x:f>A324</x:f>
        <x:v>ЩАП25 (В26)</x:v>
      </x:c>
      <x:c r="B328" s="12" t="s">
        <x:v>33</x:v>
      </x:c>
      <x:c r="C328" s="18" t="s">
        <x:v>33</x:v>
      </x:c>
      <x:c r="D328" s="12" t="s">
        <x:v>33</x:v>
      </x:c>
      <x:c r="E328" s="12">
        <x:f>OFFSET(E328,1,2)</x:f>
        <x:v>0</x:v>
      </x:c>
      <x:c r="F328" s="15" t="n">
        <x:f>E328</x:f>
        <x:v>0</x:v>
      </x:c>
      <x:c r="G328" s="15" t="n">
        <x:f t="shared" ref="G328" si="164">F328*H328</x:f>
        <x:v>0</x:v>
      </x:c>
      <x:c r="H328" s="12"/>
      <x:c r="I328" s="12" t="s">
        <x:v>17</x:v>
      </x:c>
      <x:c r="J328" s="12" t="s">
        <x:v>33</x:v>
      </x:c>
      <x:c r="K328" s="12" t="str">
        <x:f>K324</x:f>
        <x:v>B26</x:v>
      </x:c>
    </x:row>
    <x:row r="329" ht="21" customHeight="1">
      <x:c r="A329" s="12" t="str">
        <x:f t="shared" ref="A329:A330" si="165">A328</x:f>
        <x:v>ЩАП25 (В26)</x:v>
      </x:c>
      <x:c r="B329" s="12" t="s">
        <x:v>34</x:v>
      </x:c>
      <x:c r="C329" s="18" t="s">
        <x:v>34</x:v>
      </x:c>
      <x:c r="D329" s="12" t="s">
        <x:v>34</x:v>
      </x:c>
      <x:c r="E329" s="12"/>
      <x:c r="F329" s="15">
        <x:v>100</x:v>
      </x:c>
      <x:c r="G329" s="15" t="n">
        <x:f>60*E329*F329</x:f>
        <x:v>0</x:v>
      </x:c>
      <x:c r="H329" s="12" t="n">
        <x:f>60*E329</x:f>
        <x:v>0</x:v>
      </x:c>
      <x:c r="I329" s="12" t="s">
        <x:v>17</x:v>
      </x:c>
      <x:c r="J329" s="12" t="s">
        <x:v>34</x:v>
      </x:c>
      <x:c r="K329" s="12" t="str">
        <x:f t="shared" ref="K329:K330" si="166">K328</x:f>
        <x:v>B26</x:v>
      </x:c>
    </x:row>
    <x:row r="330" ht="30" customHeight="1">
      <x:c r="A330" s="12" t="str">
        <x:f t="shared" si="165"/>
        <x:v>ЩАП25 (В26)</x:v>
      </x:c>
      <x:c r="B330" s="19"/>
      <x:c r="C330" s="20"/>
      <x:c r="D330" s="21"/>
      <x:c r="E330" s="23"/>
      <x:c r="F330" s="25"/>
      <x:c r="G330" s="24" t="n">
        <x:f>SUM(G317:G329)</x:f>
        <x:v>30868.8</x:v>
      </x:c>
      <x:c r="H330" s="20"/>
      <x:c r="I330" s="22"/>
      <x:c r="J330" s="20"/>
      <x:c r="K330" s="12" t="str">
        <x:f t="shared" si="166"/>
        <x:v>B26</x:v>
      </x:c>
    </x:row>
    <x:row r="331" ht="39.75" customHeight="1">
      <x:c r="A331" s="5" t="str">
        <x:f>D331</x:f>
        <x:v>РПВ-1 (В26)</x:v>
      </x:c>
      <x:c r="B331" s="6"/>
      <x:c r="C331" s="7"/>
      <x:c r="D331" s="6" t="s">
        <x:v>162</x:v>
      </x:c>
      <x:c r="E331" s="8"/>
      <x:c r="F331" s="8"/>
      <x:c r="G331" s="9"/>
      <x:c r="H331" s="10">
        <x:v>1</x:v>
      </x:c>
      <x:c r="I331" s="11" t="s">
        <x:v>11</x:v>
      </x:c>
      <x:c r="J331" s="6" t="s">
        <x:v>12</x:v>
      </x:c>
      <x:c r="K331" s="5" t="s">
        <x:v>151</x:v>
      </x:c>
    </x:row>
    <x:row r="332" ht="21" customHeight="1">
      <x:c r="A332" s="12" t="str">
        <x:f>A331</x:f>
        <x:v>РПВ-1 (В26)</x:v>
      </x:c>
      <x:c r="B332" s="13" t="s">
        <x:v>14</x:v>
      </x:c>
      <x:c r="C332" s="14" t="s">
        <x:v>99</x:v>
      </x:c>
      <x:c r="D332" s="12" t="s">
        <x:v>100</x:v>
      </x:c>
      <x:c r="E332" s="13">
        <x:v>7650</x:v>
      </x:c>
      <x:c r="F332" s="15" t="n">
        <x:f t="shared" ref="F332:F337" si="167">E332*0.6</x:f>
        <x:v>4590</x:v>
      </x:c>
      <x:c r="G332" s="15" t="n">
        <x:f>H332*F332</x:f>
        <x:v>4590</x:v>
      </x:c>
      <x:c r="H332" s="16">
        <x:v>1</x:v>
      </x:c>
      <x:c r="I332" s="17" t="s">
        <x:v>17</x:v>
      </x:c>
      <x:c r="J332" s="13" t="s">
        <x:v>18</x:v>
      </x:c>
      <x:c r="K332" s="12" t="str">
        <x:f>K331</x:f>
        <x:v>B26</x:v>
      </x:c>
    </x:row>
    <x:row r="333" ht="21" customHeight="1">
      <x:c r="A333" s="12" t="str">
        <x:f t="shared" ref="A333:A334" si="168">A332</x:f>
        <x:v>РПВ-1 (В26)</x:v>
      </x:c>
      <x:c r="B333" s="13" t="s">
        <x:v>23</x:v>
      </x:c>
      <x:c r="C333" s="14" t="s">
        <x:v>57</x:v>
      </x:c>
      <x:c r="D333" s="12" t="s">
        <x:v>58</x:v>
      </x:c>
      <x:c r="E333" s="13">
        <x:v>2429</x:v>
      </x:c>
      <x:c r="F333" s="15">
        <x:f t="shared" si="167"/>
        <x:v>1457.3999999999999</x:v>
      </x:c>
      <x:c r="G333" s="15" t="n">
        <x:f>F333*H333</x:f>
        <x:v>1457.3999999999999</x:v>
      </x:c>
      <x:c r="H333" s="16">
        <x:v>1</x:v>
      </x:c>
      <x:c r="I333" s="17" t="s">
        <x:v>17</x:v>
      </x:c>
      <x:c r="J333" s="13" t="s">
        <x:v>22</x:v>
      </x:c>
      <x:c r="K333" s="12" t="str">
        <x:f t="shared" ref="K333:K334" si="169">K332</x:f>
        <x:v>B26</x:v>
      </x:c>
    </x:row>
    <x:row r="334" ht="21" customHeight="1">
      <x:c r="A334" s="12" t="str">
        <x:f t="shared" si="168"/>
        <x:v>РПВ-1 (В26)</x:v>
      </x:c>
      <x:c r="B334" s="13" t="s">
        <x:v>23</x:v>
      </x:c>
      <x:c r="C334" s="14" t="s">
        <x:v>81</x:v>
      </x:c>
      <x:c r="D334" s="12" t="s">
        <x:v>82</x:v>
      </x:c>
      <x:c r="E334" s="13">
        <x:v>2499</x:v>
      </x:c>
      <x:c r="F334" s="15">
        <x:f t="shared" si="167"/>
        <x:v>1499.3999999999999</x:v>
      </x:c>
      <x:c r="G334" s="15" t="n">
        <x:f>F334*H334</x:f>
        <x:v>1499.3999999999999</x:v>
      </x:c>
      <x:c r="H334" s="16">
        <x:v>1</x:v>
      </x:c>
      <x:c r="I334" s="17" t="s">
        <x:v>17</x:v>
      </x:c>
      <x:c r="J334" s="13" t="s">
        <x:v>22</x:v>
      </x:c>
      <x:c r="K334" s="12" t="str">
        <x:f t="shared" si="169"/>
        <x:v>B26</x:v>
      </x:c>
    </x:row>
    <x:row r="335" ht="21" customHeight="1">
      <x:c r="A335" s="12" t="str">
        <x:f>A333</x:f>
        <x:v>РПВ-1 (В26)</x:v>
      </x:c>
      <x:c r="B335" s="13" t="s">
        <x:v>23</x:v>
      </x:c>
      <x:c r="C335" s="14" t="s">
        <x:v>163</x:v>
      </x:c>
      <x:c r="D335" s="12" t="s">
        <x:v>164</x:v>
      </x:c>
      <x:c r="E335" s="13">
        <x:v>800</x:v>
      </x:c>
      <x:c r="F335" s="15">
        <x:f t="shared" si="167"/>
        <x:v>480</x:v>
      </x:c>
      <x:c r="G335" s="15" t="n">
        <x:f>F335*H335</x:f>
        <x:v>480</x:v>
      </x:c>
      <x:c r="H335" s="16">
        <x:v>1</x:v>
      </x:c>
      <x:c r="I335" s="17" t="s">
        <x:v>17</x:v>
      </x:c>
      <x:c r="J335" s="13" t="s">
        <x:v>22</x:v>
      </x:c>
      <x:c r="K335" s="12" t="str">
        <x:f>K333</x:f>
        <x:v>B26</x:v>
      </x:c>
    </x:row>
    <x:row r="336" ht="21" customHeight="1">
      <x:c r="A336" s="12" t="str">
        <x:f t="shared" ref="A336:A337" si="170">A335</x:f>
        <x:v>РПВ-1 (В26)</x:v>
      </x:c>
      <x:c r="B336" s="13" t="s">
        <x:v>23</x:v>
      </x:c>
      <x:c r="C336" s="14" t="s">
        <x:v>28</x:v>
      </x:c>
      <x:c r="D336" s="12" t="s">
        <x:v>29</x:v>
      </x:c>
      <x:c r="E336" s="13">
        <x:v>1389</x:v>
      </x:c>
      <x:c r="F336" s="15">
        <x:f t="shared" si="167"/>
        <x:v>833.4</x:v>
      </x:c>
      <x:c r="G336" s="15" t="n">
        <x:f>F336*H336</x:f>
        <x:v>1666.8</x:v>
      </x:c>
      <x:c r="H336" s="16">
        <x:v>2</x:v>
      </x:c>
      <x:c r="I336" s="17" t="s">
        <x:v>17</x:v>
      </x:c>
      <x:c r="J336" s="13" t="s">
        <x:v>22</x:v>
      </x:c>
      <x:c r="K336" s="12" t="str">
        <x:f t="shared" ref="K336:K337" si="171">K335</x:f>
        <x:v>B26</x:v>
      </x:c>
    </x:row>
    <x:row r="337" ht="21" customHeight="1">
      <x:c r="A337" s="12" t="str">
        <x:f t="shared" si="170"/>
        <x:v>РПВ-1 (В26)</x:v>
      </x:c>
      <x:c r="B337" s="13" t="s">
        <x:v>30</x:v>
      </x:c>
      <x:c r="C337" s="14" t="s">
        <x:v>59</x:v>
      </x:c>
      <x:c r="D337" s="12" t="s">
        <x:v>60</x:v>
      </x:c>
      <x:c r="E337" s="13">
        <x:v>5354</x:v>
      </x:c>
      <x:c r="F337" s="15">
        <x:f t="shared" si="167"/>
        <x:v>3212.4</x:v>
      </x:c>
      <x:c r="G337" s="15" t="n">
        <x:f>F337*H337</x:f>
        <x:v>3212.4</x:v>
      </x:c>
      <x:c r="H337" s="16">
        <x:v>1</x:v>
      </x:c>
      <x:c r="I337" s="17" t="s">
        <x:v>17</x:v>
      </x:c>
      <x:c r="J337" s="13" t="s">
        <x:v>22</x:v>
      </x:c>
      <x:c r="K337" s="12" t="str">
        <x:f t="shared" si="171"/>
        <x:v>B26</x:v>
      </x:c>
    </x:row>
    <x:row r="338" ht="24" customHeight="1">
      <x:c r="A338" s="12" t="str">
        <x:f>A336</x:f>
        <x:v>РПВ-1 (В26)</x:v>
      </x:c>
      <x:c r="B338" s="12" t="s">
        <x:v>33</x:v>
      </x:c>
      <x:c r="C338" s="18" t="s">
        <x:v>33</x:v>
      </x:c>
      <x:c r="D338" s="12" t="s">
        <x:v>33</x:v>
      </x:c>
      <x:c r="E338" s="12">
        <x:f>OFFSET(E338,1,2)</x:f>
        <x:v>0</x:v>
      </x:c>
      <x:c r="F338" s="15" t="n">
        <x:f>E338</x:f>
        <x:v>0</x:v>
      </x:c>
      <x:c r="G338" s="15" t="n">
        <x:f t="shared" ref="G338" si="172">F338*H338</x:f>
        <x:v>0</x:v>
      </x:c>
      <x:c r="H338" s="12"/>
      <x:c r="I338" s="12" t="s">
        <x:v>17</x:v>
      </x:c>
      <x:c r="J338" s="12" t="s">
        <x:v>33</x:v>
      </x:c>
      <x:c r="K338" s="12" t="str">
        <x:f>K336</x:f>
        <x:v>B26</x:v>
      </x:c>
    </x:row>
    <x:row r="339" ht="21" customHeight="1">
      <x:c r="A339" s="12" t="str">
        <x:f t="shared" ref="A339:A340" si="173">A338</x:f>
        <x:v>РПВ-1 (В26)</x:v>
      </x:c>
      <x:c r="B339" s="12" t="s">
        <x:v>34</x:v>
      </x:c>
      <x:c r="C339" s="18" t="s">
        <x:v>34</x:v>
      </x:c>
      <x:c r="D339" s="12" t="s">
        <x:v>34</x:v>
      </x:c>
      <x:c r="E339" s="12"/>
      <x:c r="F339" s="15">
        <x:v>100</x:v>
      </x:c>
      <x:c r="G339" s="15" t="n">
        <x:f>60*E339*F339</x:f>
        <x:v>0</x:v>
      </x:c>
      <x:c r="H339" s="12" t="n">
        <x:f>60*E339</x:f>
        <x:v>0</x:v>
      </x:c>
      <x:c r="I339" s="12" t="s">
        <x:v>17</x:v>
      </x:c>
      <x:c r="J339" s="12" t="s">
        <x:v>34</x:v>
      </x:c>
      <x:c r="K339" s="12" t="str">
        <x:f t="shared" ref="K339:K340" si="174">K338</x:f>
        <x:v>B26</x:v>
      </x:c>
    </x:row>
    <x:row r="340" ht="30" customHeight="1">
      <x:c r="A340" s="12" t="str">
        <x:f t="shared" si="173"/>
        <x:v>РПВ-1 (В26)</x:v>
      </x:c>
      <x:c r="B340" s="19"/>
      <x:c r="C340" s="20"/>
      <x:c r="D340" s="21"/>
      <x:c r="E340" s="23"/>
      <x:c r="F340" s="25"/>
      <x:c r="G340" s="24" t="n">
        <x:f>SUM(G332:G339)</x:f>
        <x:v>12905.999999999998</x:v>
      </x:c>
      <x:c r="H340" s="20"/>
      <x:c r="I340" s="22"/>
      <x:c r="J340" s="20"/>
      <x:c r="K340" s="12" t="str">
        <x:f t="shared" si="174"/>
        <x:v>B26</x:v>
      </x:c>
    </x:row>
    <x:row r="341" ht="39.75" customHeight="1">
      <x:c r="A341" s="5" t="str">
        <x:f>D341</x:f>
        <x:v>ЯТП-0,25-220/36 036УХЛ4</x:v>
      </x:c>
      <x:c r="B341" s="6"/>
      <x:c r="C341" s="7"/>
      <x:c r="D341" s="6" t="s">
        <x:v>50</x:v>
      </x:c>
      <x:c r="E341" s="8"/>
      <x:c r="F341" s="8"/>
      <x:c r="G341" s="9"/>
      <x:c r="H341" s="10">
        <x:v>1</x:v>
      </x:c>
      <x:c r="I341" s="11" t="s">
        <x:v>11</x:v>
      </x:c>
      <x:c r="J341" s="6" t="s">
        <x:v>12</x:v>
      </x:c>
      <x:c r="K341" s="5" t="s">
        <x:v>151</x:v>
      </x:c>
    </x:row>
    <x:row r="342" ht="39.75" customHeight="1">
      <x:c r="A342" s="5" t="str">
        <x:f>D342</x:f>
        <x:v>ГРЩ (В27)</x:v>
      </x:c>
      <x:c r="B342" s="6"/>
      <x:c r="C342" s="7"/>
      <x:c r="D342" s="6" t="s">
        <x:v>165</x:v>
      </x:c>
      <x:c r="E342" s="8"/>
      <x:c r="F342" s="8"/>
      <x:c r="G342" s="9"/>
      <x:c r="H342" s="10">
        <x:v>1</x:v>
      </x:c>
      <x:c r="I342" s="11" t="s">
        <x:v>11</x:v>
      </x:c>
      <x:c r="J342" s="6" t="s">
        <x:v>12</x:v>
      </x:c>
      <x:c r="K342" s="5" t="s">
        <x:v>166</x:v>
      </x:c>
    </x:row>
    <x:row r="343" ht="21" customHeight="1">
      <x:c r="A343" s="12" t="str">
        <x:f>A342</x:f>
        <x:v>ГРЩ (В27)</x:v>
      </x:c>
      <x:c r="B343" s="13" t="s">
        <x:v>14</x:v>
      </x:c>
      <x:c r="C343" s="14" t="s">
        <x:v>36</x:v>
      </x:c>
      <x:c r="D343" s="12" t="s">
        <x:v>37</x:v>
      </x:c>
      <x:c r="E343" s="13">
        <x:v>14695</x:v>
      </x:c>
      <x:c r="F343" s="15" t="n">
        <x:f>E343*0.6</x:f>
        <x:v>8817</x:v>
      </x:c>
      <x:c r="G343" s="15" t="n">
        <x:f>H343*F343</x:f>
        <x:v>8817</x:v>
      </x:c>
      <x:c r="H343" s="16">
        <x:v>1</x:v>
      </x:c>
      <x:c r="I343" s="17" t="s">
        <x:v>17</x:v>
      </x:c>
      <x:c r="J343" s="13" t="s">
        <x:v>18</x:v>
      </x:c>
      <x:c r="K343" s="12" t="str">
        <x:f>K342</x:f>
        <x:v>B27</x:v>
      </x:c>
    </x:row>
    <x:row r="344" ht="21" customHeight="1">
      <x:c r="A344" s="12" t="str">
        <x:f t="shared" ref="A344:A348" si="175">A343</x:f>
        <x:v>ГРЩ (В27)</x:v>
      </x:c>
      <x:c r="B344" s="13" t="s">
        <x:v>23</x:v>
      </x:c>
      <x:c r="C344" s="14" t="s">
        <x:v>26</x:v>
      </x:c>
      <x:c r="D344" s="12" t="s">
        <x:v>27</x:v>
      </x:c>
      <x:c r="E344" s="13">
        <x:v>2337</x:v>
      </x:c>
      <x:c r="F344" s="15" t="n">
        <x:f>E344*0.6</x:f>
        <x:v>1402.2</x:v>
      </x:c>
      <x:c r="G344" s="15" t="n">
        <x:f>F344*H344</x:f>
        <x:v>4206.6</x:v>
      </x:c>
      <x:c r="H344" s="16">
        <x:v>3</x:v>
      </x:c>
      <x:c r="I344" s="17" t="s">
        <x:v>17</x:v>
      </x:c>
      <x:c r="J344" s="13" t="s">
        <x:v>22</x:v>
      </x:c>
      <x:c r="K344" s="12" t="str">
        <x:f t="shared" ref="K344:K348" si="176">K343</x:f>
        <x:v>B27</x:v>
      </x:c>
    </x:row>
    <x:row r="345" ht="21" customHeight="1">
      <x:c r="A345" s="12" t="str">
        <x:f t="shared" si="175"/>
        <x:v>ГРЩ (В27)</x:v>
      </x:c>
      <x:c r="B345" s="13" t="s">
        <x:v>23</x:v>
      </x:c>
      <x:c r="C345" s="14" t="s">
        <x:v>28</x:v>
      </x:c>
      <x:c r="D345" s="12" t="s">
        <x:v>29</x:v>
      </x:c>
      <x:c r="E345" s="13">
        <x:v>1389</x:v>
      </x:c>
      <x:c r="F345" s="15" t="n">
        <x:f>E345*0.6</x:f>
        <x:v>833.4</x:v>
      </x:c>
      <x:c r="G345" s="15" t="n">
        <x:f>F345*H345</x:f>
        <x:v>9167.4</x:v>
      </x:c>
      <x:c r="H345" s="16">
        <x:v>11</x:v>
      </x:c>
      <x:c r="I345" s="17" t="s">
        <x:v>17</x:v>
      </x:c>
      <x:c r="J345" s="13" t="s">
        <x:v>22</x:v>
      </x:c>
      <x:c r="K345" s="12" t="str">
        <x:f t="shared" si="176"/>
        <x:v>B27</x:v>
      </x:c>
    </x:row>
    <x:row r="346" ht="24" customHeight="1">
      <x:c r="A346" s="12" t="str">
        <x:f t="shared" si="175"/>
        <x:v>ГРЩ (В27)</x:v>
      </x:c>
      <x:c r="B346" s="12" t="s">
        <x:v>33</x:v>
      </x:c>
      <x:c r="C346" s="18" t="s">
        <x:v>33</x:v>
      </x:c>
      <x:c r="D346" s="12" t="s">
        <x:v>33</x:v>
      </x:c>
      <x:c r="E346" s="12">
        <x:f>OFFSET(E346,1,2)</x:f>
        <x:v>0</x:v>
      </x:c>
      <x:c r="F346" s="15" t="n">
        <x:f>E346</x:f>
        <x:v>0</x:v>
      </x:c>
      <x:c r="G346" s="15" t="n">
        <x:f t="shared" ref="G346" si="177">F346*H346</x:f>
        <x:v>0</x:v>
      </x:c>
      <x:c r="H346" s="12"/>
      <x:c r="I346" s="12" t="s">
        <x:v>17</x:v>
      </x:c>
      <x:c r="J346" s="12" t="s">
        <x:v>33</x:v>
      </x:c>
      <x:c r="K346" s="12" t="str">
        <x:f t="shared" si="176"/>
        <x:v>B27</x:v>
      </x:c>
    </x:row>
    <x:row r="347" ht="21" customHeight="1">
      <x:c r="A347" s="12" t="str">
        <x:f t="shared" si="175"/>
        <x:v>ГРЩ (В27)</x:v>
      </x:c>
      <x:c r="B347" s="12" t="s">
        <x:v>34</x:v>
      </x:c>
      <x:c r="C347" s="18" t="s">
        <x:v>34</x:v>
      </x:c>
      <x:c r="D347" s="12" t="s">
        <x:v>34</x:v>
      </x:c>
      <x:c r="E347" s="12"/>
      <x:c r="F347" s="15">
        <x:v>100</x:v>
      </x:c>
      <x:c r="G347" s="15" t="n">
        <x:f>60*E347*F347</x:f>
        <x:v>0</x:v>
      </x:c>
      <x:c r="H347" s="12" t="n">
        <x:f>60*E347</x:f>
        <x:v>0</x:v>
      </x:c>
      <x:c r="I347" s="12" t="s">
        <x:v>17</x:v>
      </x:c>
      <x:c r="J347" s="12" t="s">
        <x:v>34</x:v>
      </x:c>
      <x:c r="K347" s="12" t="str">
        <x:f t="shared" si="176"/>
        <x:v>B27</x:v>
      </x:c>
    </x:row>
    <x:row r="348" ht="30" customHeight="1">
      <x:c r="A348" s="12" t="str">
        <x:f t="shared" si="175"/>
        <x:v>ГРЩ (В27)</x:v>
      </x:c>
      <x:c r="B348" s="19"/>
      <x:c r="C348" s="20"/>
      <x:c r="D348" s="21"/>
      <x:c r="E348" s="23"/>
      <x:c r="F348" s="25"/>
      <x:c r="G348" s="24" t="n">
        <x:f>SUM(G343:G347)</x:f>
        <x:v>22191</x:v>
      </x:c>
      <x:c r="H348" s="20"/>
      <x:c r="I348" s="22"/>
      <x:c r="J348" s="20"/>
      <x:c r="K348" s="12" t="str">
        <x:f t="shared" si="176"/>
        <x:v>B27</x:v>
      </x:c>
    </x:row>
    <x:row r="349" ht="39.75" customHeight="1">
      <x:c r="A349" s="5" t="str">
        <x:f>D349</x:f>
        <x:v>ЩАП25 (В27)</x:v>
      </x:c>
      <x:c r="B349" s="6"/>
      <x:c r="C349" s="7"/>
      <x:c r="D349" s="6" t="s">
        <x:v>167</x:v>
      </x:c>
      <x:c r="E349" s="8"/>
      <x:c r="F349" s="8"/>
      <x:c r="G349" s="9"/>
      <x:c r="H349" s="10">
        <x:v>1</x:v>
      </x:c>
      <x:c r="I349" s="11" t="s">
        <x:v>11</x:v>
      </x:c>
      <x:c r="J349" s="6" t="s">
        <x:v>12</x:v>
      </x:c>
      <x:c r="K349" s="5" t="s">
        <x:v>166</x:v>
      </x:c>
    </x:row>
    <x:row r="350" ht="21" customHeight="1">
      <x:c r="A350" s="12" t="str">
        <x:f>A349</x:f>
        <x:v>ЩАП25 (В27)</x:v>
      </x:c>
      <x:c r="B350" s="13" t="s">
        <x:v>14</x:v>
      </x:c>
      <x:c r="C350" s="14" t="s">
        <x:v>115</x:v>
      </x:c>
      <x:c r="D350" s="12" t="s">
        <x:v>116</x:v>
      </x:c>
      <x:c r="E350" s="13">
        <x:v>14000</x:v>
      </x:c>
      <x:c r="F350" s="15" t="n">
        <x:f>E350*0.6</x:f>
        <x:v>8400</x:v>
      </x:c>
      <x:c r="G350" s="15" t="n">
        <x:f>H350*F350</x:f>
        <x:v>8400</x:v>
      </x:c>
      <x:c r="H350" s="16">
        <x:v>1</x:v>
      </x:c>
      <x:c r="I350" s="17" t="s">
        <x:v>17</x:v>
      </x:c>
      <x:c r="J350" s="13" t="s">
        <x:v>18</x:v>
      </x:c>
      <x:c r="K350" s="12" t="str">
        <x:f>K349</x:f>
        <x:v>B27</x:v>
      </x:c>
    </x:row>
    <x:row r="351" ht="21" customHeight="1">
      <x:c r="A351" s="12" t="str">
        <x:f>A353</x:f>
        <x:v>ЩАП25 (В27)</x:v>
      </x:c>
      <x:c r="B351" s="13" t="s">
        <x:v>23</x:v>
      </x:c>
      <x:c r="C351" s="14" t="s">
        <x:v>57</x:v>
      </x:c>
      <x:c r="D351" s="12" t="s">
        <x:v>58</x:v>
      </x:c>
      <x:c r="E351" s="13">
        <x:v>2429</x:v>
      </x:c>
      <x:c r="F351" s="15" t="n">
        <x:f>E351*0.6</x:f>
        <x:v>1457.3999999999999</x:v>
      </x:c>
      <x:c r="G351" s="15" t="n">
        <x:f>F351*H351</x:f>
        <x:v>2914.7999999999997</x:v>
      </x:c>
      <x:c r="H351" s="16">
        <x:v>2</x:v>
      </x:c>
      <x:c r="I351" s="17" t="s">
        <x:v>17</x:v>
      </x:c>
      <x:c r="J351" s="13" t="s">
        <x:v>22</x:v>
      </x:c>
      <x:c r="K351" s="12" t="str">
        <x:f>K353</x:f>
        <x:v>B27</x:v>
      </x:c>
    </x:row>
    <x:row r="352" ht="21" customHeight="1">
      <x:c r="A352" s="12" t="str">
        <x:f>A351</x:f>
        <x:v>ЩАП25 (В27)</x:v>
      </x:c>
      <x:c r="B352" s="13" t="s">
        <x:v>23</x:v>
      </x:c>
      <x:c r="C352" s="14" t="s">
        <x:v>117</x:v>
      </x:c>
      <x:c r="D352" s="12" t="s">
        <x:v>118</x:v>
      </x:c>
      <x:c r="E352" s="13">
        <x:v>2873</x:v>
      </x:c>
      <x:c r="F352" s="15" t="n">
        <x:f>E352*0.6</x:f>
        <x:v>1723.8</x:v>
      </x:c>
      <x:c r="G352" s="15" t="n">
        <x:f>F352*H352</x:f>
        <x:v>1723.8</x:v>
      </x:c>
      <x:c r="H352" s="16">
        <x:v>1</x:v>
      </x:c>
      <x:c r="I352" s="17" t="s">
        <x:v>17</x:v>
      </x:c>
      <x:c r="J352" s="13" t="s">
        <x:v>22</x:v>
      </x:c>
      <x:c r="K352" s="12" t="str">
        <x:f>K351</x:f>
        <x:v>B27</x:v>
      </x:c>
    </x:row>
    <x:row r="353" ht="21" customHeight="1">
      <x:c r="A353" s="12" t="str">
        <x:f>A350</x:f>
        <x:v>ЩАП25 (В27)</x:v>
      </x:c>
      <x:c r="B353" s="13" t="s">
        <x:v>110</x:v>
      </x:c>
      <x:c r="C353" s="14" t="s">
        <x:v>119</x:v>
      </x:c>
      <x:c r="D353" s="12" t="s">
        <x:v>113</x:v>
      </x:c>
      <x:c r="E353" s="13">
        <x:v>571</x:v>
      </x:c>
      <x:c r="F353" s="15" t="n">
        <x:f t="shared" ref="F353" si="178">E353*0.6</x:f>
        <x:v>342.59999999999997</x:v>
      </x:c>
      <x:c r="G353" s="15" t="n">
        <x:f t="shared" ref="G353" si="179">F353*H353</x:f>
        <x:v>342.59999999999997</x:v>
      </x:c>
      <x:c r="H353" s="16">
        <x:v>1</x:v>
      </x:c>
      <x:c r="I353" s="17" t="s">
        <x:v>17</x:v>
      </x:c>
      <x:c r="J353" s="13" t="s">
        <x:v>22</x:v>
      </x:c>
      <x:c r="K353" s="12" t="str">
        <x:f>K350</x:f>
        <x:v>B27</x:v>
      </x:c>
    </x:row>
    <x:row r="354" ht="21" customHeight="1">
      <x:c r="A354" s="12" t="str">
        <x:f>A352</x:f>
        <x:v>ЩАП25 (В27)</x:v>
      </x:c>
      <x:c r="B354" s="13" t="s">
        <x:v>64</x:v>
      </x:c>
      <x:c r="C354" s="14" t="s">
        <x:v>120</x:v>
      </x:c>
      <x:c r="D354" s="12" t="s">
        <x:v>121</x:v>
      </x:c>
      <x:c r="E354" s="13">
        <x:v>9149</x:v>
      </x:c>
      <x:c r="F354" s="15" t="n">
        <x:f t="shared" ref="F354:F360" si="180">E354*0.6</x:f>
        <x:v>5489.4</x:v>
      </x:c>
      <x:c r="G354" s="15" t="n">
        <x:f t="shared" ref="G354:G360" si="181">F354*H354</x:f>
        <x:v>5489.4</x:v>
      </x:c>
      <x:c r="H354" s="16">
        <x:v>1</x:v>
      </x:c>
      <x:c r="I354" s="17" t="s">
        <x:v>17</x:v>
      </x:c>
      <x:c r="J354" s="13" t="s">
        <x:v>22</x:v>
      </x:c>
      <x:c r="K354" s="12" t="str">
        <x:f>K352</x:f>
        <x:v>B27</x:v>
      </x:c>
    </x:row>
    <x:row r="355" ht="21" customHeight="1">
      <x:c r="A355" s="12" t="str">
        <x:f>A353</x:f>
        <x:v>ЩАП25 (В27)</x:v>
      </x:c>
      <x:c r="B355" s="13" t="s">
        <x:v>64</x:v>
      </x:c>
      <x:c r="C355" s="14" t="s">
        <x:v>122</x:v>
      </x:c>
      <x:c r="D355" s="12" t="s">
        <x:v>123</x:v>
      </x:c>
      <x:c r="E355" s="13">
        <x:v>1306</x:v>
      </x:c>
      <x:c r="F355" s="15">
        <x:f t="shared" si="180"/>
        <x:v>783.6</x:v>
      </x:c>
      <x:c r="G355" s="15">
        <x:f t="shared" si="181"/>
        <x:v>783.6</x:v>
      </x:c>
      <x:c r="H355" s="16">
        <x:v>1</x:v>
      </x:c>
      <x:c r="I355" s="17" t="s">
        <x:v>17</x:v>
      </x:c>
      <x:c r="J355" s="13" t="s">
        <x:v>22</x:v>
      </x:c>
      <x:c r="K355" s="12" t="str">
        <x:f>K353</x:f>
        <x:v>B27</x:v>
      </x:c>
    </x:row>
    <x:row r="356" ht="21" customHeight="1">
      <x:c r="A356" s="12" t="str">
        <x:f>A353</x:f>
        <x:v>ЩАП25 (В27)</x:v>
      </x:c>
      <x:c r="B356" s="13" t="s">
        <x:v>124</x:v>
      </x:c>
      <x:c r="C356" s="14" t="s">
        <x:v>125</x:v>
      </x:c>
      <x:c r="D356" s="12" t="s">
        <x:v>126</x:v>
      </x:c>
      <x:c r="E356" s="13">
        <x:v>1078</x:v>
      </x:c>
      <x:c r="F356" s="15">
        <x:f t="shared" si="180"/>
        <x:v>646.79999999999995</x:v>
      </x:c>
      <x:c r="G356" s="15">
        <x:f t="shared" si="181"/>
        <x:v>646.79999999999995</x:v>
      </x:c>
      <x:c r="H356" s="16">
        <x:v>1</x:v>
      </x:c>
      <x:c r="I356" s="17" t="s">
        <x:v>17</x:v>
      </x:c>
      <x:c r="J356" s="13" t="s">
        <x:v>22</x:v>
      </x:c>
      <x:c r="K356" s="12" t="str">
        <x:f>K353</x:f>
        <x:v>B27</x:v>
      </x:c>
    </x:row>
    <x:row r="357" ht="21" customHeight="1">
      <x:c r="A357" s="12" t="str">
        <x:f>A354</x:f>
        <x:v>ЩАП25 (В27)</x:v>
      </x:c>
      <x:c r="B357" s="13" t="s">
        <x:v>110</x:v>
      </x:c>
      <x:c r="C357" s="14" t="s">
        <x:v>127</x:v>
      </x:c>
      <x:c r="D357" s="12" t="s">
        <x:v>111</x:v>
      </x:c>
      <x:c r="E357" s="13">
        <x:v>589</x:v>
      </x:c>
      <x:c r="F357" s="15">
        <x:f t="shared" si="180"/>
        <x:v>353.4</x:v>
      </x:c>
      <x:c r="G357" s="15">
        <x:f t="shared" si="181"/>
        <x:v>353.4</x:v>
      </x:c>
      <x:c r="H357" s="16">
        <x:v>1</x:v>
      </x:c>
      <x:c r="I357" s="17" t="s">
        <x:v>17</x:v>
      </x:c>
      <x:c r="J357" s="13" t="s">
        <x:v>22</x:v>
      </x:c>
      <x:c r="K357" s="12" t="str">
        <x:f>K354</x:f>
        <x:v>B27</x:v>
      </x:c>
    </x:row>
    <x:row r="358" ht="21" customHeight="1">
      <x:c r="A358" s="12" t="str">
        <x:f>A356</x:f>
        <x:v>ЩАП25 (В27)</x:v>
      </x:c>
      <x:c r="B358" s="13" t="s">
        <x:v>67</x:v>
      </x:c>
      <x:c r="C358" s="14" t="s">
        <x:v>128</x:v>
      </x:c>
      <x:c r="D358" s="12" t="s">
        <x:v>129</x:v>
      </x:c>
      <x:c r="E358" s="13">
        <x:v>14767</x:v>
      </x:c>
      <x:c r="F358" s="15">
        <x:f t="shared" si="180"/>
        <x:v>8860.1999999999989</x:v>
      </x:c>
      <x:c r="G358" s="15">
        <x:f t="shared" si="181"/>
        <x:v>8860.1999999999989</x:v>
      </x:c>
      <x:c r="H358" s="16">
        <x:v>1</x:v>
      </x:c>
      <x:c r="I358" s="17" t="s">
        <x:v>17</x:v>
      </x:c>
      <x:c r="J358" s="13" t="s">
        <x:v>22</x:v>
      </x:c>
      <x:c r="K358" s="12" t="str">
        <x:f>K356</x:f>
        <x:v>B27</x:v>
      </x:c>
    </x:row>
    <x:row r="359" ht="21" customHeight="1">
      <x:c r="A359" s="12" t="str">
        <x:f>A357</x:f>
        <x:v>ЩАП25 (В27)</x:v>
      </x:c>
      <x:c r="B359" s="13" t="s">
        <x:v>67</x:v>
      </x:c>
      <x:c r="C359" s="14" t="s">
        <x:v>130</x:v>
      </x:c>
      <x:c r="D359" s="12" t="s">
        <x:v>131</x:v>
      </x:c>
      <x:c r="E359" s="13">
        <x:v>1575</x:v>
      </x:c>
      <x:c r="F359" s="15">
        <x:f t="shared" si="180"/>
        <x:v>945</x:v>
      </x:c>
      <x:c r="G359" s="15">
        <x:f t="shared" si="181"/>
        <x:v>945</x:v>
      </x:c>
      <x:c r="H359" s="16">
        <x:v>1</x:v>
      </x:c>
      <x:c r="I359" s="17" t="s">
        <x:v>17</x:v>
      </x:c>
      <x:c r="J359" s="13" t="s">
        <x:v>22</x:v>
      </x:c>
      <x:c r="K359" s="12" t="str">
        <x:f>K357</x:f>
        <x:v>B27</x:v>
      </x:c>
    </x:row>
    <x:row r="360" ht="21" customHeight="1">
      <x:c r="A360" s="12" t="str">
        <x:f>A358</x:f>
        <x:v>ЩАП25 (В27)</x:v>
      </x:c>
      <x:c r="B360" s="13" t="s">
        <x:v>132</x:v>
      </x:c>
      <x:c r="C360" s="14" t="s">
        <x:v>133</x:v>
      </x:c>
      <x:c r="D360" s="12" t="s">
        <x:v>134</x:v>
      </x:c>
      <x:c r="E360" s="13">
        <x:v>682</x:v>
      </x:c>
      <x:c r="F360" s="15">
        <x:f t="shared" si="180"/>
        <x:v>409.2</x:v>
      </x:c>
      <x:c r="G360" s="15">
        <x:f t="shared" si="181"/>
        <x:v>409.2</x:v>
      </x:c>
      <x:c r="H360" s="16">
        <x:v>1</x:v>
      </x:c>
      <x:c r="I360" s="17" t="s">
        <x:v>17</x:v>
      </x:c>
      <x:c r="J360" s="13" t="s">
        <x:v>22</x:v>
      </x:c>
      <x:c r="K360" s="12" t="str">
        <x:f>K358</x:f>
        <x:v>B27</x:v>
      </x:c>
    </x:row>
    <x:row r="361" ht="24" customHeight="1">
      <x:c r="A361" s="12" t="str">
        <x:f>A357</x:f>
        <x:v>ЩАП25 (В27)</x:v>
      </x:c>
      <x:c r="B361" s="12" t="s">
        <x:v>33</x:v>
      </x:c>
      <x:c r="C361" s="18" t="s">
        <x:v>33</x:v>
      </x:c>
      <x:c r="D361" s="12" t="s">
        <x:v>33</x:v>
      </x:c>
      <x:c r="E361" s="12">
        <x:f>OFFSET(E361,1,2)</x:f>
        <x:v>0</x:v>
      </x:c>
      <x:c r="F361" s="15" t="n">
        <x:f>E361</x:f>
        <x:v>0</x:v>
      </x:c>
      <x:c r="G361" s="15" t="n">
        <x:f t="shared" ref="G361" si="182">F361*H361</x:f>
        <x:v>0</x:v>
      </x:c>
      <x:c r="H361" s="12"/>
      <x:c r="I361" s="12" t="s">
        <x:v>17</x:v>
      </x:c>
      <x:c r="J361" s="12" t="s">
        <x:v>33</x:v>
      </x:c>
      <x:c r="K361" s="12" t="str">
        <x:f>K357</x:f>
        <x:v>B27</x:v>
      </x:c>
    </x:row>
    <x:row r="362" ht="21" customHeight="1">
      <x:c r="A362" s="12" t="str">
        <x:f t="shared" ref="A362:A363" si="183">A361</x:f>
        <x:v>ЩАП25 (В27)</x:v>
      </x:c>
      <x:c r="B362" s="12" t="s">
        <x:v>34</x:v>
      </x:c>
      <x:c r="C362" s="18" t="s">
        <x:v>34</x:v>
      </x:c>
      <x:c r="D362" s="12" t="s">
        <x:v>34</x:v>
      </x:c>
      <x:c r="E362" s="12"/>
      <x:c r="F362" s="15">
        <x:v>100</x:v>
      </x:c>
      <x:c r="G362" s="15" t="n">
        <x:f>60*E362*F362</x:f>
        <x:v>0</x:v>
      </x:c>
      <x:c r="H362" s="12" t="n">
        <x:f>60*E362</x:f>
        <x:v>0</x:v>
      </x:c>
      <x:c r="I362" s="12" t="s">
        <x:v>17</x:v>
      </x:c>
      <x:c r="J362" s="12" t="s">
        <x:v>34</x:v>
      </x:c>
      <x:c r="K362" s="12" t="str">
        <x:f t="shared" ref="K362:K363" si="184">K361</x:f>
        <x:v>B27</x:v>
      </x:c>
    </x:row>
    <x:row r="363" ht="30" customHeight="1">
      <x:c r="A363" s="12" t="str">
        <x:f t="shared" si="183"/>
        <x:v>ЩАП25 (В27)</x:v>
      </x:c>
      <x:c r="B363" s="19"/>
      <x:c r="C363" s="20"/>
      <x:c r="D363" s="21"/>
      <x:c r="E363" s="23"/>
      <x:c r="F363" s="25"/>
      <x:c r="G363" s="24" t="n">
        <x:f>SUM(G350:G362)</x:f>
        <x:v>30868.8</x:v>
      </x:c>
      <x:c r="H363" s="20"/>
      <x:c r="I363" s="22"/>
      <x:c r="J363" s="20"/>
      <x:c r="K363" s="12" t="str">
        <x:f t="shared" si="184"/>
        <x:v>B27</x:v>
      </x:c>
    </x:row>
    <x:row r="364" ht="39.75" customHeight="1">
      <x:c r="A364" s="5" t="str">
        <x:f>D364</x:f>
        <x:v>ЯТП-0,25-220/36 036УХЛ4</x:v>
      </x:c>
      <x:c r="B364" s="6"/>
      <x:c r="C364" s="7"/>
      <x:c r="D364" s="6" t="s">
        <x:v>50</x:v>
      </x:c>
      <x:c r="E364" s="8"/>
      <x:c r="F364" s="8"/>
      <x:c r="G364" s="9"/>
      <x:c r="H364" s="10">
        <x:v>1</x:v>
      </x:c>
      <x:c r="I364" s="11" t="s">
        <x:v>11</x:v>
      </x:c>
      <x:c r="J364" s="6" t="s">
        <x:v>12</x:v>
      </x:c>
      <x:c r="K364" s="5" t="s">
        <x:v>166</x:v>
      </x:c>
    </x:row>
    <x:row r="365" ht="39.75" customHeight="1">
      <x:c r="A365" s="5" t="str">
        <x:f>D365</x:f>
        <x:v>Я511К-3074(В27)</x:v>
      </x:c>
      <x:c r="B365" s="6"/>
      <x:c r="C365" s="7"/>
      <x:c r="D365" s="6" t="s">
        <x:v>168</x:v>
      </x:c>
      <x:c r="E365" s="8"/>
      <x:c r="F365" s="8"/>
      <x:c r="G365" s="9"/>
      <x:c r="H365" s="10">
        <x:v>1</x:v>
      </x:c>
      <x:c r="I365" s="11" t="s">
        <x:v>11</x:v>
      </x:c>
      <x:c r="J365" s="6" t="s">
        <x:v>12</x:v>
      </x:c>
      <x:c r="K365" s="5" t="s">
        <x:v>166</x:v>
      </x:c>
    </x:row>
    <x:row r="366" ht="21" customHeight="1">
      <x:c r="A366" s="12" t="str">
        <x:f>A365</x:f>
        <x:v>Я511К-3074(В27)</x:v>
      </x:c>
      <x:c r="B366" s="13" t="s">
        <x:v>14</x:v>
      </x:c>
      <x:c r="C366" s="14" t="s">
        <x:v>169</x:v>
      </x:c>
      <x:c r="D366" s="12" t="s">
        <x:v>170</x:v>
      </x:c>
      <x:c r="E366" s="13">
        <x:v>9110</x:v>
      </x:c>
      <x:c r="F366" s="15" t="n">
        <x:f>E366*0.6</x:f>
        <x:v>5466</x:v>
      </x:c>
      <x:c r="G366" s="15" t="n">
        <x:f>H366*F366</x:f>
        <x:v>5466</x:v>
      </x:c>
      <x:c r="H366" s="16">
        <x:v>1</x:v>
      </x:c>
      <x:c r="I366" s="17" t="s">
        <x:v>17</x:v>
      </x:c>
      <x:c r="J366" s="13" t="s">
        <x:v>18</x:v>
      </x:c>
      <x:c r="K366" s="12" t="str">
        <x:f>K365</x:f>
        <x:v>B27</x:v>
      </x:c>
    </x:row>
    <x:row r="367" ht="21" customHeight="1">
      <x:c r="A367" s="12" t="str">
        <x:f t="shared" ref="A367:A380" si="185">A366</x:f>
        <x:v>Я511К-3074(В27)</x:v>
      </x:c>
      <x:c r="B367" s="13" t="s">
        <x:v>23</x:v>
      </x:c>
      <x:c r="C367" s="14" t="s">
        <x:v>171</x:v>
      </x:c>
      <x:c r="D367" s="12" t="s">
        <x:v>172</x:v>
      </x:c>
      <x:c r="E367" s="13">
        <x:v>3604</x:v>
      </x:c>
      <x:c r="F367" s="15" t="n">
        <x:f>E367*0.6</x:f>
        <x:v>2162.4</x:v>
      </x:c>
      <x:c r="G367" s="15" t="n">
        <x:f>F367*H367</x:f>
        <x:v>2162.4</x:v>
      </x:c>
      <x:c r="H367" s="16">
        <x:v>1</x:v>
      </x:c>
      <x:c r="I367" s="17" t="s">
        <x:v>17</x:v>
      </x:c>
      <x:c r="J367" s="13" t="s">
        <x:v>22</x:v>
      </x:c>
      <x:c r="K367" s="12" t="str">
        <x:f>K369</x:f>
        <x:v>B27</x:v>
      </x:c>
    </x:row>
    <x:row r="368" ht="21" customHeight="1">
      <x:c r="A368" s="12" t="str">
        <x:f t="shared" si="185"/>
        <x:v>Я511К-3074(В27)</x:v>
      </x:c>
      <x:c r="B368" s="13" t="s">
        <x:v>23</x:v>
      </x:c>
      <x:c r="C368" s="14" t="s">
        <x:v>173</x:v>
      </x:c>
      <x:c r="D368" s="12" t="s">
        <x:v>174</x:v>
      </x:c>
      <x:c r="E368" s="13">
        <x:v>1086</x:v>
      </x:c>
      <x:c r="F368" s="15" t="n">
        <x:f>E368*0.6</x:f>
        <x:v>651.6</x:v>
      </x:c>
      <x:c r="G368" s="15" t="n">
        <x:f>F368*H368</x:f>
        <x:v>651.6</x:v>
      </x:c>
      <x:c r="H368" s="16">
        <x:v>1</x:v>
      </x:c>
      <x:c r="I368" s="17" t="s">
        <x:v>17</x:v>
      </x:c>
      <x:c r="J368" s="13" t="s">
        <x:v>22</x:v>
      </x:c>
      <x:c r="K368" s="12" t="str">
        <x:f>K367</x:f>
        <x:v>B27</x:v>
      </x:c>
    </x:row>
    <x:row r="369" ht="21" customHeight="1">
      <x:c r="A369" s="12" t="str">
        <x:f t="shared" si="185"/>
        <x:v>Я511К-3074(В27)</x:v>
      </x:c>
      <x:c r="B369" s="13" t="s">
        <x:v>175</x:v>
      </x:c>
      <x:c r="C369" s="14" t="s">
        <x:v>176</x:v>
      </x:c>
      <x:c r="D369" s="12" t="s">
        <x:v>177</x:v>
      </x:c>
      <x:c r="E369" s="13">
        <x:v>3769</x:v>
      </x:c>
      <x:c r="F369" s="15" t="n">
        <x:f t="shared" ref="F369" si="186">E369*0.6</x:f>
        <x:v>2261.4</x:v>
      </x:c>
      <x:c r="G369" s="15" t="n">
        <x:f t="shared" ref="G369" si="187">F369*H369</x:f>
        <x:v>2261.4</x:v>
      </x:c>
      <x:c r="H369" s="16">
        <x:v>1</x:v>
      </x:c>
      <x:c r="I369" s="17" t="s">
        <x:v>17</x:v>
      </x:c>
      <x:c r="J369" s="13" t="s">
        <x:v>22</x:v>
      </x:c>
      <x:c r="K369" s="12" t="str">
        <x:f>K366</x:f>
        <x:v>B27</x:v>
      </x:c>
    </x:row>
    <x:row r="370" ht="21" customHeight="1">
      <x:c r="A370" s="12" t="str">
        <x:f t="shared" si="185"/>
        <x:v>Я511К-3074(В27)</x:v>
      </x:c>
      <x:c r="B370" s="13" t="s">
        <x:v>175</x:v>
      </x:c>
      <x:c r="C370" s="14" t="s">
        <x:v>178</x:v>
      </x:c>
      <x:c r="D370" s="12" t="s">
        <x:v>179</x:v>
      </x:c>
      <x:c r="E370" s="13">
        <x:v>3769</x:v>
      </x:c>
      <x:c r="F370" s="15" t="n">
        <x:f>E370*0.6</x:f>
        <x:v>2261.4</x:v>
      </x:c>
      <x:c r="G370" s="15" t="n">
        <x:f>F370*H370</x:f>
        <x:v>2261.4</x:v>
      </x:c>
      <x:c r="H370" s="16">
        <x:v>1</x:v>
      </x:c>
      <x:c r="I370" s="17" t="s">
        <x:v>17</x:v>
      </x:c>
      <x:c r="J370" s="13" t="s">
        <x:v>22</x:v>
      </x:c>
      <x:c r="K370" s="12" t="str">
        <x:f>K368</x:f>
        <x:v>B27</x:v>
      </x:c>
    </x:row>
    <x:row r="371" ht="21" customHeight="1">
      <x:c r="A371" s="12" t="str">
        <x:f t="shared" si="185"/>
        <x:v>Я511К-3074(В27)</x:v>
      </x:c>
      <x:c r="B371" s="13" t="s">
        <x:v>110</x:v>
      </x:c>
      <x:c r="C371" s="14" t="s">
        <x:v>119</x:v>
      </x:c>
      <x:c r="D371" s="12" t="s">
        <x:v>113</x:v>
      </x:c>
      <x:c r="E371" s="13">
        <x:v>571</x:v>
      </x:c>
      <x:c r="F371" s="15" t="n">
        <x:f t="shared" ref="F371" si="188">E371*0.6</x:f>
        <x:v>342.59999999999997</x:v>
      </x:c>
      <x:c r="G371" s="15" t="n">
        <x:f t="shared" ref="G371" si="189">F371*H371</x:f>
        <x:v>342.59999999999997</x:v>
      </x:c>
      <x:c r="H371" s="16">
        <x:v>1</x:v>
      </x:c>
      <x:c r="I371" s="17" t="s">
        <x:v>17</x:v>
      </x:c>
      <x:c r="J371" s="13" t="s">
        <x:v>22</x:v>
      </x:c>
      <x:c r="K371" s="12" t="str">
        <x:f>K368</x:f>
        <x:v>B27</x:v>
      </x:c>
    </x:row>
    <x:row r="372" ht="21" customHeight="1">
      <x:c r="A372" s="12" t="str">
        <x:f t="shared" si="185"/>
        <x:v>Я511К-3074(В27)</x:v>
      </x:c>
      <x:c r="B372" s="13" t="s">
        <x:v>64</x:v>
      </x:c>
      <x:c r="C372" s="14" t="s">
        <x:v>180</x:v>
      </x:c>
      <x:c r="D372" s="12" t="s">
        <x:v>181</x:v>
      </x:c>
      <x:c r="E372" s="13">
        <x:v>5341</x:v>
      </x:c>
      <x:c r="F372" s="15" t="n">
        <x:f>E372*0.6</x:f>
        <x:v>3204.6</x:v>
      </x:c>
      <x:c r="G372" s="15" t="n">
        <x:f t="shared" ref="G372:G377" si="190">F372*H372</x:f>
        <x:v>3204.6</x:v>
      </x:c>
      <x:c r="H372" s="16">
        <x:v>1</x:v>
      </x:c>
      <x:c r="I372" s="17" t="s">
        <x:v>17</x:v>
      </x:c>
      <x:c r="J372" s="13" t="s">
        <x:v>22</x:v>
      </x:c>
      <x:c r="K372" s="12" t="str">
        <x:f>K368</x:f>
        <x:v>B27</x:v>
      </x:c>
    </x:row>
    <x:row r="373" ht="21" customHeight="1">
      <x:c r="A373" s="12" t="str">
        <x:f t="shared" si="185"/>
        <x:v>Я511К-3074(В27)</x:v>
      </x:c>
      <x:c r="B373" s="13" t="s">
        <x:v>64</x:v>
      </x:c>
      <x:c r="C373" s="14" t="s">
        <x:v>122</x:v>
      </x:c>
      <x:c r="D373" s="12" t="s">
        <x:v>123</x:v>
      </x:c>
      <x:c r="E373" s="13">
        <x:v>1306</x:v>
      </x:c>
      <x:c r="F373" s="15" t="n">
        <x:f>E373*0.6</x:f>
        <x:v>783.6</x:v>
      </x:c>
      <x:c r="G373" s="15">
        <x:f t="shared" si="190"/>
        <x:v>783.6</x:v>
      </x:c>
      <x:c r="H373" s="16">
        <x:v>1</x:v>
      </x:c>
      <x:c r="I373" s="17" t="s">
        <x:v>17</x:v>
      </x:c>
      <x:c r="J373" s="13" t="s">
        <x:v>22</x:v>
      </x:c>
      <x:c r="K373" s="12" t="str">
        <x:f>K369</x:f>
        <x:v>B27</x:v>
      </x:c>
    </x:row>
    <x:row r="374" ht="21" customHeight="1">
      <x:c r="A374" s="12" t="str">
        <x:f t="shared" si="185"/>
        <x:v>Я511К-3074(В27)</x:v>
      </x:c>
      <x:c r="B374" s="13" t="s">
        <x:v>182</x:v>
      </x:c>
      <x:c r="C374" s="14" t="s">
        <x:v>183</x:v>
      </x:c>
      <x:c r="D374" s="12" t="s">
        <x:v>184</x:v>
      </x:c>
      <x:c r="E374" s="13">
        <x:v>1752</x:v>
      </x:c>
      <x:c r="F374" s="15" t="n">
        <x:f>E374*0.6</x:f>
        <x:v>1051.2</x:v>
      </x:c>
      <x:c r="G374" s="15">
        <x:f t="shared" si="190"/>
        <x:v>1051.2</x:v>
      </x:c>
      <x:c r="H374" s="16">
        <x:v>1</x:v>
      </x:c>
      <x:c r="I374" s="17" t="s">
        <x:v>17</x:v>
      </x:c>
      <x:c r="J374" s="13" t="s">
        <x:v>22</x:v>
      </x:c>
      <x:c r="K374" s="12" t="str">
        <x:f>K369</x:f>
        <x:v>B27</x:v>
      </x:c>
    </x:row>
    <x:row r="375" ht="21" customHeight="1">
      <x:c r="A375" s="12" t="str">
        <x:f t="shared" si="185"/>
        <x:v>Я511К-3074(В27)</x:v>
      </x:c>
      <x:c r="B375" s="13" t="s">
        <x:v>110</x:v>
      </x:c>
      <x:c r="C375" s="14" t="s">
        <x:v>127</x:v>
      </x:c>
      <x:c r="D375" s="12" t="s">
        <x:v>111</x:v>
      </x:c>
      <x:c r="E375" s="13">
        <x:v>589</x:v>
      </x:c>
      <x:c r="F375" s="15" t="n">
        <x:f>E375*0.6</x:f>
        <x:v>353.4</x:v>
      </x:c>
      <x:c r="G375" s="15">
        <x:f t="shared" si="190"/>
        <x:v>353.4</x:v>
      </x:c>
      <x:c r="H375" s="16">
        <x:v>1</x:v>
      </x:c>
      <x:c r="I375" s="17" t="s">
        <x:v>17</x:v>
      </x:c>
      <x:c r="J375" s="13" t="s">
        <x:v>22</x:v>
      </x:c>
      <x:c r="K375" s="12" t="str">
        <x:f>K370</x:f>
        <x:v>B27</x:v>
      </x:c>
    </x:row>
    <x:row r="376" ht="21" customHeight="1">
      <x:c r="A376" s="12" t="str">
        <x:f t="shared" si="185"/>
        <x:v>Я511К-3074(В27)</x:v>
      </x:c>
      <x:c r="B376" s="13" t="s">
        <x:v>67</x:v>
      </x:c>
      <x:c r="C376" s="14" t="s">
        <x:v>185</x:v>
      </x:c>
      <x:c r="D376" s="12" t="s">
        <x:v>186</x:v>
      </x:c>
      <x:c r="E376" s="13">
        <x:v>4315</x:v>
      </x:c>
      <x:c r="F376" s="15" t="n">
        <x:f>E376*0.6</x:f>
        <x:v>2589</x:v>
      </x:c>
      <x:c r="G376" s="15">
        <x:f t="shared" si="190"/>
        <x:v>2589</x:v>
      </x:c>
      <x:c r="H376" s="16">
        <x:v>1</x:v>
      </x:c>
      <x:c r="I376" s="17" t="s">
        <x:v>17</x:v>
      </x:c>
      <x:c r="J376" s="13" t="s">
        <x:v>22</x:v>
      </x:c>
      <x:c r="K376" s="12" t="str">
        <x:f>K374</x:f>
        <x:v>B27</x:v>
      </x:c>
    </x:row>
    <x:row r="377" ht="21" customHeight="1">
      <x:c r="A377" s="12" t="str">
        <x:f t="shared" si="185"/>
        <x:v>Я511К-3074(В27)</x:v>
      </x:c>
      <x:c r="B377" s="13" t="s">
        <x:v>187</x:v>
      </x:c>
      <x:c r="C377" s="14" t="s">
        <x:v>188</x:v>
      </x:c>
      <x:c r="D377" s="12" t="s">
        <x:v>189</x:v>
      </x:c>
      <x:c r="E377" s="13">
        <x:v>91</x:v>
      </x:c>
      <x:c r="F377" s="15" t="n">
        <x:f>E377</x:f>
        <x:v>91</x:v>
      </x:c>
      <x:c r="G377" s="15">
        <x:f t="shared" si="190"/>
        <x:v>2093</x:v>
      </x:c>
      <x:c r="H377" s="16">
        <x:v>23</x:v>
      </x:c>
      <x:c r="I377" s="17" t="s">
        <x:v>17</x:v>
      </x:c>
      <x:c r="J377" s="13" t="s">
        <x:v>49</x:v>
      </x:c>
      <x:c r="K377" s="12" t="str">
        <x:f>K375</x:f>
        <x:v>B27</x:v>
      </x:c>
    </x:row>
    <x:row r="378" ht="24" customHeight="1">
      <x:c r="A378" s="12" t="str">
        <x:f t="shared" si="185"/>
        <x:v>Я511К-3074(В27)</x:v>
      </x:c>
      <x:c r="B378" s="12" t="s">
        <x:v>33</x:v>
      </x:c>
      <x:c r="C378" s="18" t="s">
        <x:v>33</x:v>
      </x:c>
      <x:c r="D378" s="12" t="s">
        <x:v>33</x:v>
      </x:c>
      <x:c r="E378" s="12">
        <x:f>OFFSET(E378,1,2)</x:f>
        <x:v>0</x:v>
      </x:c>
      <x:c r="F378" s="15" t="n">
        <x:f>E378</x:f>
        <x:v>0</x:v>
      </x:c>
      <x:c r="G378" s="15" t="n">
        <x:f t="shared" ref="G378" si="191">F378*H378</x:f>
        <x:v>0</x:v>
      </x:c>
      <x:c r="H378" s="12"/>
      <x:c r="I378" s="12" t="s">
        <x:v>17</x:v>
      </x:c>
      <x:c r="J378" s="12" t="s">
        <x:v>33</x:v>
      </x:c>
      <x:c r="K378" s="12" t="str">
        <x:f>K375</x:f>
        <x:v>B27</x:v>
      </x:c>
    </x:row>
    <x:row r="379" ht="21" customHeight="1">
      <x:c r="A379" s="12" t="str">
        <x:f t="shared" si="185"/>
        <x:v>Я511К-3074(В27)</x:v>
      </x:c>
      <x:c r="B379" s="12" t="s">
        <x:v>34</x:v>
      </x:c>
      <x:c r="C379" s="18" t="s">
        <x:v>34</x:v>
      </x:c>
      <x:c r="D379" s="12" t="s">
        <x:v>34</x:v>
      </x:c>
      <x:c r="E379" s="12"/>
      <x:c r="F379" s="15">
        <x:v>100</x:v>
      </x:c>
      <x:c r="G379" s="15" t="n">
        <x:f>60*E379*F379</x:f>
        <x:v>0</x:v>
      </x:c>
      <x:c r="H379" s="12" t="n">
        <x:f>60*E379</x:f>
        <x:v>0</x:v>
      </x:c>
      <x:c r="I379" s="12" t="s">
        <x:v>17</x:v>
      </x:c>
      <x:c r="J379" s="12" t="s">
        <x:v>34</x:v>
      </x:c>
      <x:c r="K379" s="12" t="str">
        <x:f t="shared" ref="K379:K380" si="192">K378</x:f>
        <x:v>B27</x:v>
      </x:c>
    </x:row>
    <x:row r="380" ht="30" customHeight="1">
      <x:c r="A380" s="12" t="str">
        <x:f t="shared" si="185"/>
        <x:v>Я511К-3074(В27)</x:v>
      </x:c>
      <x:c r="B380" s="19"/>
      <x:c r="C380" s="20"/>
      <x:c r="D380" s="21"/>
      <x:c r="E380" s="23"/>
      <x:c r="F380" s="25"/>
      <x:c r="G380" s="24" t="n">
        <x:f>SUM(G366:G379)</x:f>
        <x:v>23220.2</x:v>
      </x:c>
      <x:c r="H380" s="20"/>
      <x:c r="I380" s="22"/>
      <x:c r="J380" s="20"/>
      <x:c r="K380" s="12" t="str">
        <x:f t="shared" si="192"/>
        <x:v>B27</x:v>
      </x:c>
    </x:row>
    <x:row r="381" ht="39.75" customHeight="1">
      <x:c r="A381" s="5" t="str">
        <x:f>D381</x:f>
        <x:v>РП (В28)</x:v>
      </x:c>
      <x:c r="B381" s="6"/>
      <x:c r="C381" s="7"/>
      <x:c r="D381" s="6" t="s">
        <x:v>190</x:v>
      </x:c>
      <x:c r="E381" s="8"/>
      <x:c r="F381" s="8"/>
      <x:c r="G381" s="9"/>
      <x:c r="H381" s="10">
        <x:v>1</x:v>
      </x:c>
      <x:c r="I381" s="11" t="s">
        <x:v>11</x:v>
      </x:c>
      <x:c r="J381" s="6" t="s">
        <x:v>12</x:v>
      </x:c>
      <x:c r="K381" s="5" t="s">
        <x:v>191</x:v>
      </x:c>
    </x:row>
    <x:row r="382" ht="21" customHeight="1">
      <x:c r="A382" s="12" t="str">
        <x:f>A381</x:f>
        <x:v>РП (В28)</x:v>
      </x:c>
      <x:c r="B382" s="13" t="s">
        <x:v>14</x:v>
      </x:c>
      <x:c r="C382" s="14" t="s">
        <x:v>15</x:v>
      </x:c>
      <x:c r="D382" s="12" t="s">
        <x:v>16</x:v>
      </x:c>
      <x:c r="E382" s="13">
        <x:v>13410</x:v>
      </x:c>
      <x:c r="F382" s="15" t="n">
        <x:f>E382*0.6</x:f>
        <x:v>8046</x:v>
      </x:c>
      <x:c r="G382" s="15" t="n">
        <x:f>H382*F382</x:f>
        <x:v>8046</x:v>
      </x:c>
      <x:c r="H382" s="16">
        <x:v>1</x:v>
      </x:c>
      <x:c r="I382" s="17" t="s">
        <x:v>17</x:v>
      </x:c>
      <x:c r="J382" s="13" t="s">
        <x:v>18</x:v>
      </x:c>
      <x:c r="K382" s="12" t="str">
        <x:f>K381</x:f>
        <x:v>B28</x:v>
      </x:c>
    </x:row>
    <x:row r="383" ht="21" customHeight="1">
      <x:c r="A383" s="12" t="str">
        <x:f t="shared" ref="A383:A391" si="193">A382</x:f>
        <x:v>РП (В28)</x:v>
      </x:c>
      <x:c r="B383" s="13" t="s">
        <x:v>19</x:v>
      </x:c>
      <x:c r="C383" s="14" t="s">
        <x:v>91</x:v>
      </x:c>
      <x:c r="D383" s="12" t="s">
        <x:v>92</x:v>
      </x:c>
      <x:c r="E383" s="13">
        <x:v>2606</x:v>
      </x:c>
      <x:c r="F383" s="15" t="n">
        <x:f t="shared" ref="F383" si="194">E383*0.6</x:f>
        <x:v>1563.6</x:v>
      </x:c>
      <x:c r="G383" s="15" t="n">
        <x:f t="shared" ref="G383" si="195">F383*H383</x:f>
        <x:v>1563.6</x:v>
      </x:c>
      <x:c r="H383" s="16">
        <x:v>1</x:v>
      </x:c>
      <x:c r="I383" s="17" t="s">
        <x:v>17</x:v>
      </x:c>
      <x:c r="J383" s="13" t="s">
        <x:v>22</x:v>
      </x:c>
      <x:c r="K383" s="12" t="str">
        <x:f t="shared" ref="K383:K391" si="196">K382</x:f>
        <x:v>B28</x:v>
      </x:c>
    </x:row>
    <x:row r="384" ht="21" customHeight="1">
      <x:c r="A384" s="12" t="str">
        <x:f t="shared" si="193"/>
        <x:v>РП (В28)</x:v>
      </x:c>
      <x:c r="B384" s="13" t="s">
        <x:v>23</x:v>
      </x:c>
      <x:c r="C384" s="14" t="s">
        <x:v>57</x:v>
      </x:c>
      <x:c r="D384" s="12" t="s">
        <x:v>58</x:v>
      </x:c>
      <x:c r="E384" s="13">
        <x:v>2429</x:v>
      </x:c>
      <x:c r="F384" s="15" t="n">
        <x:f>E384*0.6</x:f>
        <x:v>1457.3999999999999</x:v>
      </x:c>
      <x:c r="G384" s="15" t="n">
        <x:f>F384*H384</x:f>
        <x:v>2914.7999999999997</x:v>
      </x:c>
      <x:c r="H384" s="16">
        <x:v>2</x:v>
      </x:c>
      <x:c r="I384" s="17" t="s">
        <x:v>17</x:v>
      </x:c>
      <x:c r="J384" s="13" t="s">
        <x:v>22</x:v>
      </x:c>
      <x:c r="K384" s="12" t="str">
        <x:f t="shared" si="196"/>
        <x:v>B28</x:v>
      </x:c>
    </x:row>
    <x:row r="385" ht="21" customHeight="1">
      <x:c r="A385" s="12" t="str">
        <x:f t="shared" si="193"/>
        <x:v>РП (В28)</x:v>
      </x:c>
      <x:c r="B385" s="13" t="s">
        <x:v>23</x:v>
      </x:c>
      <x:c r="C385" s="14" t="s">
        <x:v>26</x:v>
      </x:c>
      <x:c r="D385" s="12" t="s">
        <x:v>27</x:v>
      </x:c>
      <x:c r="E385" s="13">
        <x:v>2337</x:v>
      </x:c>
      <x:c r="F385" s="15" t="n">
        <x:f>E385*0.6</x:f>
        <x:v>1402.2</x:v>
      </x:c>
      <x:c r="G385" s="15" t="n">
        <x:f>F385*H385</x:f>
        <x:v>1402.2</x:v>
      </x:c>
      <x:c r="H385" s="16">
        <x:v>1</x:v>
      </x:c>
      <x:c r="I385" s="17" t="s">
        <x:v>17</x:v>
      </x:c>
      <x:c r="J385" s="13" t="s">
        <x:v>22</x:v>
      </x:c>
      <x:c r="K385" s="12" t="str">
        <x:f t="shared" si="196"/>
        <x:v>B28</x:v>
      </x:c>
    </x:row>
    <x:row r="386" ht="21" customHeight="1">
      <x:c r="A386" s="12" t="str">
        <x:f t="shared" si="193"/>
        <x:v>РП (В28)</x:v>
      </x:c>
      <x:c r="B386" s="13" t="s">
        <x:v>23</x:v>
      </x:c>
      <x:c r="C386" s="14" t="s">
        <x:v>28</x:v>
      </x:c>
      <x:c r="D386" s="12" t="s">
        <x:v>29</x:v>
      </x:c>
      <x:c r="E386" s="13">
        <x:v>1389</x:v>
      </x:c>
      <x:c r="F386" s="15" t="n">
        <x:f>E386*0.6</x:f>
        <x:v>833.4</x:v>
      </x:c>
      <x:c r="G386" s="15" t="n">
        <x:f>F386*H386</x:f>
        <x:v>3333.6</x:v>
      </x:c>
      <x:c r="H386" s="16">
        <x:v>4</x:v>
      </x:c>
      <x:c r="I386" s="17" t="s">
        <x:v>17</x:v>
      </x:c>
      <x:c r="J386" s="13" t="s">
        <x:v>22</x:v>
      </x:c>
      <x:c r="K386" s="12" t="str">
        <x:f t="shared" si="196"/>
        <x:v>B28</x:v>
      </x:c>
    </x:row>
    <x:row r="387" ht="21" customHeight="1">
      <x:c r="A387" s="12" t="str">
        <x:f t="shared" si="193"/>
        <x:v>РП (В28)</x:v>
      </x:c>
      <x:c r="B387" s="13" t="s">
        <x:v>136</x:v>
      </x:c>
      <x:c r="C387" s="14" t="s">
        <x:v>137</x:v>
      </x:c>
      <x:c r="D387" s="12" t="s">
        <x:v>138</x:v>
      </x:c>
      <x:c r="E387" s="13">
        <x:v>5093</x:v>
      </x:c>
      <x:c r="F387" s="15" t="n">
        <x:f>E387*0.6</x:f>
        <x:v>3055.7999999999997</x:v>
      </x:c>
      <x:c r="G387" s="15" t="n">
        <x:f>F387*H387</x:f>
        <x:v>3055.7999999999997</x:v>
      </x:c>
      <x:c r="H387" s="16">
        <x:v>1</x:v>
      </x:c>
      <x:c r="I387" s="17" t="s">
        <x:v>17</x:v>
      </x:c>
      <x:c r="J387" s="13" t="s">
        <x:v>22</x:v>
      </x:c>
      <x:c r="K387" s="12" t="str">
        <x:f t="shared" si="196"/>
        <x:v>B28</x:v>
      </x:c>
    </x:row>
    <x:row r="388" ht="21" customHeight="1">
      <x:c r="A388" s="12" t="str">
        <x:f t="shared" si="193"/>
        <x:v>РП (В28)</x:v>
      </x:c>
      <x:c r="B388" s="13" t="s">
        <x:v>30</x:v>
      </x:c>
      <x:c r="C388" s="14" t="s">
        <x:v>59</x:v>
      </x:c>
      <x:c r="D388" s="12" t="s">
        <x:v>60</x:v>
      </x:c>
      <x:c r="E388" s="13">
        <x:v>5354</x:v>
      </x:c>
      <x:c r="F388" s="15" t="n">
        <x:f>E388*0.6</x:f>
        <x:v>3212.4</x:v>
      </x:c>
      <x:c r="G388" s="15" t="n">
        <x:f>F388*H388</x:f>
        <x:v>3212.4</x:v>
      </x:c>
      <x:c r="H388" s="16">
        <x:v>1</x:v>
      </x:c>
      <x:c r="I388" s="17" t="s">
        <x:v>17</x:v>
      </x:c>
      <x:c r="J388" s="13" t="s">
        <x:v>22</x:v>
      </x:c>
      <x:c r="K388" s="12" t="str">
        <x:f t="shared" si="196"/>
        <x:v>B28</x:v>
      </x:c>
    </x:row>
    <x:row r="389" ht="24" customHeight="1">
      <x:c r="A389" s="12" t="str">
        <x:f t="shared" si="193"/>
        <x:v>РП (В28)</x:v>
      </x:c>
      <x:c r="B389" s="12" t="s">
        <x:v>33</x:v>
      </x:c>
      <x:c r="C389" s="18" t="s">
        <x:v>33</x:v>
      </x:c>
      <x:c r="D389" s="12" t="s">
        <x:v>33</x:v>
      </x:c>
      <x:c r="E389" s="12">
        <x:f>OFFSET(E389,1,2)</x:f>
        <x:v>0</x:v>
      </x:c>
      <x:c r="F389" s="15" t="n">
        <x:f>E389</x:f>
        <x:v>0</x:v>
      </x:c>
      <x:c r="G389" s="15" t="n">
        <x:f t="shared" ref="G389" si="197">F389*H389</x:f>
        <x:v>0</x:v>
      </x:c>
      <x:c r="H389" s="12"/>
      <x:c r="I389" s="12" t="s">
        <x:v>17</x:v>
      </x:c>
      <x:c r="J389" s="12" t="s">
        <x:v>33</x:v>
      </x:c>
      <x:c r="K389" s="12" t="str">
        <x:f t="shared" si="196"/>
        <x:v>B28</x:v>
      </x:c>
    </x:row>
    <x:row r="390" ht="21" customHeight="1">
      <x:c r="A390" s="12" t="str">
        <x:f t="shared" si="193"/>
        <x:v>РП (В28)</x:v>
      </x:c>
      <x:c r="B390" s="12" t="s">
        <x:v>34</x:v>
      </x:c>
      <x:c r="C390" s="18" t="s">
        <x:v>34</x:v>
      </x:c>
      <x:c r="D390" s="12" t="s">
        <x:v>34</x:v>
      </x:c>
      <x:c r="E390" s="12"/>
      <x:c r="F390" s="15">
        <x:v>100</x:v>
      </x:c>
      <x:c r="G390" s="15" t="n">
        <x:f>60*E390*F390</x:f>
        <x:v>0</x:v>
      </x:c>
      <x:c r="H390" s="12" t="n">
        <x:f>60*E390</x:f>
        <x:v>0</x:v>
      </x:c>
      <x:c r="I390" s="12" t="s">
        <x:v>17</x:v>
      </x:c>
      <x:c r="J390" s="12" t="s">
        <x:v>34</x:v>
      </x:c>
      <x:c r="K390" s="12" t="str">
        <x:f t="shared" si="196"/>
        <x:v>B28</x:v>
      </x:c>
    </x:row>
    <x:row r="391" ht="30" customHeight="1">
      <x:c r="A391" s="12" t="str">
        <x:f t="shared" si="193"/>
        <x:v>РП (В28)</x:v>
      </x:c>
      <x:c r="B391" s="19"/>
      <x:c r="C391" s="20"/>
      <x:c r="D391" s="21"/>
      <x:c r="E391" s="23"/>
      <x:c r="F391" s="25"/>
      <x:c r="G391" s="24" t="n">
        <x:f>SUM(G382:G390)</x:f>
        <x:v>23528.4</x:v>
      </x:c>
      <x:c r="H391" s="20"/>
      <x:c r="I391" s="22"/>
      <x:c r="J391" s="20"/>
      <x:c r="K391" s="12" t="str">
        <x:f t="shared" si="196"/>
        <x:v>B28</x:v>
      </x:c>
    </x:row>
    <x:row r="392" ht="39.75" customHeight="1">
      <x:c r="A392" s="5" t="str">
        <x:f>D392</x:f>
        <x:v>ПП (В28)</x:v>
      </x:c>
      <x:c r="B392" s="6"/>
      <x:c r="C392" s="7"/>
      <x:c r="D392" s="6" t="s">
        <x:v>192</x:v>
      </x:c>
      <x:c r="E392" s="8"/>
      <x:c r="F392" s="8"/>
      <x:c r="G392" s="9"/>
      <x:c r="H392" s="10">
        <x:v>1</x:v>
      </x:c>
      <x:c r="I392" s="11" t="s">
        <x:v>11</x:v>
      </x:c>
      <x:c r="J392" s="6" t="s">
        <x:v>12</x:v>
      </x:c>
      <x:c r="K392" s="5" t="s">
        <x:v>191</x:v>
      </x:c>
    </x:row>
    <x:row r="393" ht="21" customHeight="1">
      <x:c r="A393" s="12" t="str">
        <x:f>A392</x:f>
        <x:v>ПП (В28)</x:v>
      </x:c>
      <x:c r="B393" s="13" t="s">
        <x:v>14</x:v>
      </x:c>
      <x:c r="C393" s="14" t="s">
        <x:v>106</x:v>
      </x:c>
      <x:c r="D393" s="12" t="s">
        <x:v>107</x:v>
      </x:c>
      <x:c r="E393" s="13">
        <x:v>45000</x:v>
      </x:c>
      <x:c r="F393" s="15" t="n">
        <x:f>E393*0.6</x:f>
        <x:v>27000</x:v>
      </x:c>
      <x:c r="G393" s="15" t="n">
        <x:f>H393*F393</x:f>
        <x:v>27000</x:v>
      </x:c>
      <x:c r="H393" s="16">
        <x:v>1</x:v>
      </x:c>
      <x:c r="I393" s="17" t="s">
        <x:v>17</x:v>
      </x:c>
      <x:c r="J393" s="13" t="s">
        <x:v>18</x:v>
      </x:c>
      <x:c r="K393" s="12" t="str">
        <x:f>K392</x:f>
        <x:v>B28</x:v>
      </x:c>
    </x:row>
    <x:row r="394" ht="21" customHeight="1">
      <x:c r="A394" s="12" t="str">
        <x:f t="shared" ref="A394:A400" si="198">A393</x:f>
        <x:v>ПП (В28)</x:v>
      </x:c>
      <x:c r="B394" s="13" t="s">
        <x:v>108</x:v>
      </x:c>
      <x:c r="C394" s="14" t="s">
        <x:v>193</x:v>
      </x:c>
      <x:c r="D394" s="12" t="s">
        <x:v>194</x:v>
      </x:c>
      <x:c r="E394" s="13">
        <x:v>201862</x:v>
      </x:c>
      <x:c r="F394" s="15" t="n">
        <x:f>E394*0.6</x:f>
        <x:v>121117.2</x:v>
      </x:c>
      <x:c r="G394" s="15" t="n">
        <x:f>F394*H394</x:f>
        <x:v>121117.2</x:v>
      </x:c>
      <x:c r="H394" s="16">
        <x:v>1</x:v>
      </x:c>
      <x:c r="I394" s="17" t="s">
        <x:v>17</x:v>
      </x:c>
      <x:c r="J394" s="13" t="s">
        <x:v>22</x:v>
      </x:c>
      <x:c r="K394" s="12" t="str">
        <x:f t="shared" ref="K394:K400" si="199">K393</x:f>
        <x:v>B28</x:v>
      </x:c>
    </x:row>
    <x:row r="395" ht="21" customHeight="1">
      <x:c r="A395" s="12" t="str">
        <x:f t="shared" si="198"/>
        <x:v>ПП (В28)</x:v>
      </x:c>
      <x:c r="B395" s="13" t="s">
        <x:v>110</x:v>
      </x:c>
      <x:c r="C395" s="14">
        <x:v>593077</x:v>
      </x:c>
      <x:c r="D395" s="12" t="s">
        <x:v>111</x:v>
      </x:c>
      <x:c r="E395" s="13">
        <x:v>589</x:v>
      </x:c>
      <x:c r="F395" s="15" t="n">
        <x:f>E395*0.6</x:f>
        <x:v>353.4</x:v>
      </x:c>
      <x:c r="G395" s="15" t="n">
        <x:f>F395*H395</x:f>
        <x:v>706.8</x:v>
      </x:c>
      <x:c r="H395" s="16">
        <x:v>2</x:v>
      </x:c>
      <x:c r="I395" s="17" t="s">
        <x:v>17</x:v>
      </x:c>
      <x:c r="J395" s="13" t="s">
        <x:v>22</x:v>
      </x:c>
      <x:c r="K395" s="12" t="str">
        <x:f t="shared" si="199"/>
        <x:v>B28</x:v>
      </x:c>
    </x:row>
    <x:row r="396" ht="21" customHeight="1">
      <x:c r="A396" s="12" t="str">
        <x:f t="shared" si="198"/>
        <x:v>ПП (В28)</x:v>
      </x:c>
      <x:c r="B396" s="13" t="s">
        <x:v>110</x:v>
      </x:c>
      <x:c r="C396" s="14">
        <x:v>593076</x:v>
      </x:c>
      <x:c r="D396" s="12" t="s">
        <x:v>112</x:v>
      </x:c>
      <x:c r="E396" s="13">
        <x:v>571</x:v>
      </x:c>
      <x:c r="F396" s="15" t="n">
        <x:f>E396*0.6</x:f>
        <x:v>342.59999999999997</x:v>
      </x:c>
      <x:c r="G396" s="15" t="n">
        <x:f>F396*H396</x:f>
        <x:v>685.1999999999999</x:v>
      </x:c>
      <x:c r="H396" s="16">
        <x:v>2</x:v>
      </x:c>
      <x:c r="I396" s="17" t="s">
        <x:v>17</x:v>
      </x:c>
      <x:c r="J396" s="13" t="s">
        <x:v>22</x:v>
      </x:c>
      <x:c r="K396" s="12" t="str">
        <x:f t="shared" si="199"/>
        <x:v>B28</x:v>
      </x:c>
    </x:row>
    <x:row r="397" ht="21" customHeight="1">
      <x:c r="A397" s="12" t="str">
        <x:f t="shared" si="198"/>
        <x:v>ПП (В28)</x:v>
      </x:c>
      <x:c r="B397" s="13" t="s">
        <x:v>110</x:v>
      </x:c>
      <x:c r="C397" s="14">
        <x:v>593075</x:v>
      </x:c>
      <x:c r="D397" s="12" t="s">
        <x:v>113</x:v>
      </x:c>
      <x:c r="E397" s="13">
        <x:v>571</x:v>
      </x:c>
      <x:c r="F397" s="15" t="n">
        <x:f>E397*0.6</x:f>
        <x:v>342.59999999999997</x:v>
      </x:c>
      <x:c r="G397" s="15" t="n">
        <x:f>F397*H397</x:f>
        <x:v>685.1999999999999</x:v>
      </x:c>
      <x:c r="H397" s="16">
        <x:v>2</x:v>
      </x:c>
      <x:c r="I397" s="17" t="s">
        <x:v>17</x:v>
      </x:c>
      <x:c r="J397" s="13" t="s">
        <x:v>22</x:v>
      </x:c>
      <x:c r="K397" s="12" t="str">
        <x:f t="shared" si="199"/>
        <x:v>B28</x:v>
      </x:c>
    </x:row>
    <x:row r="398" ht="24" customHeight="1">
      <x:c r="A398" s="12" t="str">
        <x:f t="shared" si="198"/>
        <x:v>ПП (В28)</x:v>
      </x:c>
      <x:c r="B398" s="12" t="s">
        <x:v>33</x:v>
      </x:c>
      <x:c r="C398" s="18" t="s">
        <x:v>33</x:v>
      </x:c>
      <x:c r="D398" s="12" t="s">
        <x:v>33</x:v>
      </x:c>
      <x:c r="E398" s="12">
        <x:f>OFFSET(E398,1,2)</x:f>
        <x:v>0</x:v>
      </x:c>
      <x:c r="F398" s="15" t="n">
        <x:f>E398</x:f>
        <x:v>0</x:v>
      </x:c>
      <x:c r="G398" s="15" t="n">
        <x:f t="shared" ref="G398" si="200">F398*H398</x:f>
        <x:v>0</x:v>
      </x:c>
      <x:c r="H398" s="12"/>
      <x:c r="I398" s="12" t="s">
        <x:v>17</x:v>
      </x:c>
      <x:c r="J398" s="12" t="s">
        <x:v>33</x:v>
      </x:c>
      <x:c r="K398" s="12" t="str">
        <x:f t="shared" si="199"/>
        <x:v>B28</x:v>
      </x:c>
    </x:row>
    <x:row r="399" ht="21" customHeight="1">
      <x:c r="A399" s="12" t="str">
        <x:f t="shared" si="198"/>
        <x:v>ПП (В28)</x:v>
      </x:c>
      <x:c r="B399" s="12" t="s">
        <x:v>34</x:v>
      </x:c>
      <x:c r="C399" s="18" t="s">
        <x:v>34</x:v>
      </x:c>
      <x:c r="D399" s="12" t="s">
        <x:v>34</x:v>
      </x:c>
      <x:c r="E399" s="12"/>
      <x:c r="F399" s="15">
        <x:v>100</x:v>
      </x:c>
      <x:c r="G399" s="15" t="n">
        <x:f>60*E399*F399</x:f>
        <x:v>0</x:v>
      </x:c>
      <x:c r="H399" s="12" t="n">
        <x:f>60*E399</x:f>
        <x:v>0</x:v>
      </x:c>
      <x:c r="I399" s="12" t="s">
        <x:v>17</x:v>
      </x:c>
      <x:c r="J399" s="12" t="s">
        <x:v>34</x:v>
      </x:c>
      <x:c r="K399" s="12" t="str">
        <x:f t="shared" si="199"/>
        <x:v>B28</x:v>
      </x:c>
    </x:row>
    <x:row r="400" ht="30" customHeight="1">
      <x:c r="A400" s="12" t="str">
        <x:f t="shared" si="198"/>
        <x:v>ПП (В28)</x:v>
      </x:c>
      <x:c r="B400" s="19"/>
      <x:c r="C400" s="20"/>
      <x:c r="D400" s="21"/>
      <x:c r="E400" s="23"/>
      <x:c r="F400" s="25"/>
      <x:c r="G400" s="24" t="n">
        <x:f>SUM(G393:G399)</x:f>
        <x:v>150194.40000000002</x:v>
      </x:c>
      <x:c r="H400" s="20"/>
      <x:c r="I400" s="22"/>
      <x:c r="J400" s="20"/>
      <x:c r="K400" s="12" t="str">
        <x:f t="shared" si="199"/>
        <x:v>B28</x:v>
      </x:c>
    </x:row>
    <x:row r="401" ht="39.75" customHeight="1">
      <x:c r="A401" s="5" t="str">
        <x:f>D401</x:f>
        <x:v>РПо-1 (В28)</x:v>
      </x:c>
      <x:c r="B401" s="6"/>
      <x:c r="C401" s="7"/>
      <x:c r="D401" s="6" t="s">
        <x:v>195</x:v>
      </x:c>
      <x:c r="E401" s="8"/>
      <x:c r="F401" s="8"/>
      <x:c r="G401" s="9"/>
      <x:c r="H401" s="10">
        <x:v>1</x:v>
      </x:c>
      <x:c r="I401" s="11" t="s">
        <x:v>11</x:v>
      </x:c>
      <x:c r="J401" s="6" t="s">
        <x:v>12</x:v>
      </x:c>
      <x:c r="K401" s="5" t="s">
        <x:v>191</x:v>
      </x:c>
    </x:row>
    <x:row r="402" ht="21" customHeight="1">
      <x:c r="A402" s="12" t="str">
        <x:f>A401</x:f>
        <x:v>РПо-1 (В28)</x:v>
      </x:c>
      <x:c r="B402" s="13" t="s">
        <x:v>14</x:v>
      </x:c>
      <x:c r="C402" s="14" t="s">
        <x:v>75</x:v>
      </x:c>
      <x:c r="D402" s="12" t="s">
        <x:v>76</x:v>
      </x:c>
      <x:c r="E402" s="13">
        <x:v>10270</x:v>
      </x:c>
      <x:c r="F402" s="15" t="n">
        <x:f>E402*0.6</x:f>
        <x:v>6162</x:v>
      </x:c>
      <x:c r="G402" s="15" t="n">
        <x:f>H402*F402</x:f>
        <x:v>6162</x:v>
      </x:c>
      <x:c r="H402" s="16">
        <x:v>1</x:v>
      </x:c>
      <x:c r="I402" s="17" t="s">
        <x:v>17</x:v>
      </x:c>
      <x:c r="J402" s="13" t="s">
        <x:v>18</x:v>
      </x:c>
      <x:c r="K402" s="12" t="str">
        <x:f>K401</x:f>
        <x:v>B28</x:v>
      </x:c>
    </x:row>
    <x:row r="403" ht="21" customHeight="1">
      <x:c r="A403" s="12" t="str">
        <x:f t="shared" ref="A403:A408" si="201">A402</x:f>
        <x:v>РПо-1 (В28)</x:v>
      </x:c>
      <x:c r="B403" s="13" t="s">
        <x:v>23</x:v>
      </x:c>
      <x:c r="C403" s="14" t="s">
        <x:v>81</x:v>
      </x:c>
      <x:c r="D403" s="12" t="s">
        <x:v>82</x:v>
      </x:c>
      <x:c r="E403" s="13">
        <x:v>2499</x:v>
      </x:c>
      <x:c r="F403" s="15" t="n">
        <x:f>E403*0.6</x:f>
        <x:v>1499.3999999999999</x:v>
      </x:c>
      <x:c r="G403" s="15" t="n">
        <x:f>F403*H403</x:f>
        <x:v>1499.3999999999999</x:v>
      </x:c>
      <x:c r="H403" s="16">
        <x:v>1</x:v>
      </x:c>
      <x:c r="I403" s="17" t="s">
        <x:v>17</x:v>
      </x:c>
      <x:c r="J403" s="13" t="s">
        <x:v>22</x:v>
      </x:c>
      <x:c r="K403" s="12" t="str">
        <x:f t="shared" ref="K403:K408" si="202">K402</x:f>
        <x:v>B28</x:v>
      </x:c>
    </x:row>
    <x:row r="404" ht="21" customHeight="1">
      <x:c r="A404" s="12" t="str">
        <x:f t="shared" si="201"/>
        <x:v>РПо-1 (В28)</x:v>
      </x:c>
      <x:c r="B404" s="13" t="s">
        <x:v>23</x:v>
      </x:c>
      <x:c r="C404" s="14" t="s">
        <x:v>28</x:v>
      </x:c>
      <x:c r="D404" s="12" t="s">
        <x:v>29</x:v>
      </x:c>
      <x:c r="E404" s="13">
        <x:v>1389</x:v>
      </x:c>
      <x:c r="F404" s="15" t="n">
        <x:f>E404*0.6</x:f>
        <x:v>833.4</x:v>
      </x:c>
      <x:c r="G404" s="15" t="n">
        <x:f>F404*H404</x:f>
        <x:v>1666.8</x:v>
      </x:c>
      <x:c r="H404" s="16">
        <x:v>2</x:v>
      </x:c>
      <x:c r="I404" s="17" t="s">
        <x:v>17</x:v>
      </x:c>
      <x:c r="J404" s="13" t="s">
        <x:v>22</x:v>
      </x:c>
      <x:c r="K404" s="12" t="str">
        <x:f t="shared" si="202"/>
        <x:v>B28</x:v>
      </x:c>
    </x:row>
    <x:row r="405" ht="21" customHeight="1">
      <x:c r="A405" s="12" t="str">
        <x:f t="shared" si="201"/>
        <x:v>РПо-1 (В28)</x:v>
      </x:c>
      <x:c r="B405" s="13" t="s">
        <x:v>30</x:v>
      </x:c>
      <x:c r="C405" s="14" t="s">
        <x:v>59</x:v>
      </x:c>
      <x:c r="D405" s="12" t="s">
        <x:v>60</x:v>
      </x:c>
      <x:c r="E405" s="13">
        <x:v>5354</x:v>
      </x:c>
      <x:c r="F405" s="15" t="n">
        <x:f>E405*0.6</x:f>
        <x:v>3212.4</x:v>
      </x:c>
      <x:c r="G405" s="15" t="n">
        <x:f>F405*H405</x:f>
        <x:v>3212.4</x:v>
      </x:c>
      <x:c r="H405" s="16">
        <x:v>1</x:v>
      </x:c>
      <x:c r="I405" s="17" t="s">
        <x:v>17</x:v>
      </x:c>
      <x:c r="J405" s="13" t="s">
        <x:v>22</x:v>
      </x:c>
      <x:c r="K405" s="12" t="str">
        <x:f t="shared" si="202"/>
        <x:v>B28</x:v>
      </x:c>
    </x:row>
    <x:row r="406" ht="24" customHeight="1">
      <x:c r="A406" s="12" t="str">
        <x:f t="shared" si="201"/>
        <x:v>РПо-1 (В28)</x:v>
      </x:c>
      <x:c r="B406" s="12" t="s">
        <x:v>33</x:v>
      </x:c>
      <x:c r="C406" s="18" t="s">
        <x:v>33</x:v>
      </x:c>
      <x:c r="D406" s="12" t="s">
        <x:v>33</x:v>
      </x:c>
      <x:c r="E406" s="12">
        <x:f>OFFSET(E406,1,2)</x:f>
        <x:v>0</x:v>
      </x:c>
      <x:c r="F406" s="15" t="n">
        <x:f>E406</x:f>
        <x:v>0</x:v>
      </x:c>
      <x:c r="G406" s="15" t="n">
        <x:f t="shared" ref="G406" si="203">F406*H406</x:f>
        <x:v>0</x:v>
      </x:c>
      <x:c r="H406" s="12"/>
      <x:c r="I406" s="12" t="s">
        <x:v>17</x:v>
      </x:c>
      <x:c r="J406" s="12" t="s">
        <x:v>33</x:v>
      </x:c>
      <x:c r="K406" s="12" t="str">
        <x:f t="shared" si="202"/>
        <x:v>B28</x:v>
      </x:c>
    </x:row>
    <x:row r="407" ht="21" customHeight="1">
      <x:c r="A407" s="12" t="str">
        <x:f t="shared" si="201"/>
        <x:v>РПо-1 (В28)</x:v>
      </x:c>
      <x:c r="B407" s="12" t="s">
        <x:v>34</x:v>
      </x:c>
      <x:c r="C407" s="18" t="s">
        <x:v>34</x:v>
      </x:c>
      <x:c r="D407" s="12" t="s">
        <x:v>34</x:v>
      </x:c>
      <x:c r="E407" s="12"/>
      <x:c r="F407" s="15">
        <x:v>100</x:v>
      </x:c>
      <x:c r="G407" s="15" t="n">
        <x:f>60*E407*F407</x:f>
        <x:v>0</x:v>
      </x:c>
      <x:c r="H407" s="12" t="n">
        <x:f>60*E407</x:f>
        <x:v>0</x:v>
      </x:c>
      <x:c r="I407" s="12" t="s">
        <x:v>17</x:v>
      </x:c>
      <x:c r="J407" s="12" t="s">
        <x:v>34</x:v>
      </x:c>
      <x:c r="K407" s="12" t="str">
        <x:f t="shared" si="202"/>
        <x:v>B28</x:v>
      </x:c>
    </x:row>
    <x:row r="408" ht="30" customHeight="1">
      <x:c r="A408" s="12" t="str">
        <x:f t="shared" si="201"/>
        <x:v>РПо-1 (В28)</x:v>
      </x:c>
      <x:c r="B408" s="19"/>
      <x:c r="C408" s="20"/>
      <x:c r="D408" s="21"/>
      <x:c r="E408" s="23"/>
      <x:c r="F408" s="25"/>
      <x:c r="G408" s="24" t="n">
        <x:f>SUM(G402:G407)</x:f>
        <x:v>12540.599999999999</x:v>
      </x:c>
      <x:c r="H408" s="20"/>
      <x:c r="I408" s="22"/>
      <x:c r="J408" s="20"/>
      <x:c r="K408" s="12" t="str">
        <x:f t="shared" si="202"/>
        <x:v>B28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58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12" hidden="0" customWidth="1"/>
    <x:col min="10" max="10" width="18" hidden="0" customWidth="1"/>
    <x:col min="11" max="11" width="16" hidden="0" customWidth="1"/>
  </x:cols>
  <x:sheetData>
    <x:row r="1" ht="28" customHeight="1">
      <x:c r="A1" s="53" t="str">
        <x:v>Наименование</x:v>
      </x:c>
      <x:c r="B1" s="53" t="str">
        <x:v>malzeme</x:v>
      </x:c>
      <x:c r="C1" s="53" t="str">
        <x:v>Артикул</x:v>
      </x:c>
      <x:c r="D1" s="53" t="str">
        <x:v>Номенклатура</x:v>
      </x:c>
      <x:c r="E1" s="53" t="str">
        <x:v>Цена,тг</x:v>
      </x:c>
      <x:c r="F1" s="53" t="str">
        <x:v>Цена,тг</x:v>
      </x:c>
      <x:c r="G1" s="53" t="str">
        <x:v>СУММ.</x:v>
      </x:c>
      <x:c r="H1" s="53" t="str">
        <x:v>Кол- во</x:v>
      </x:c>
      <x:c r="I1" s="53" t="str">
        <x:v>Ед.изм</x:v>
      </x:c>
      <x:c r="J1" s="53" t="str">
        <x:v>завод из готовитель</x:v>
      </x:c>
      <x:c r="K1" s="53" t="str">
        <x:v>source</x:v>
      </x:c>
    </x:row>
    <x:row r="2" ht="24" customHeight="1">
      <x:c r="A2" s="69" t="str">
        <x:v>ГРЩ (B01, B02, B03)</x:v>
      </x:c>
      <x:c r="B2" s="69"/>
      <x:c r="C2" s="69"/>
      <x:c r="D2" s="69" t="str">
        <x:v>ГРЩ (B01, B02, B03)</x:v>
      </x:c>
      <x:c r="E2" s="82"/>
      <x:c r="F2" s="82"/>
      <x:c r="G2" s="82"/>
      <x:c r="H2" s="88" t="n">
        <x:v>1</x:v>
      </x:c>
      <x:c r="I2" s="69" t="str">
        <x:v>комплект</x:v>
      </x:c>
      <x:c r="J2" s="69" t="str">
        <x:v>TEKLED/TEKSAN</x:v>
      </x:c>
      <x:c r="K2" s="69" t="str">
        <x:v>B01, B02, B03</x:v>
      </x:c>
    </x:row>
    <x:row r="3">
      <x:c r="A3" s="64" t="str">
        <x:v>ГРЩ (B01, B02, B03)</x:v>
      </x:c>
      <x:c r="B3" s="64" t="str">
        <x:v>korpus</x:v>
      </x:c>
      <x:c r="C3" s="64" t="str">
        <x:v>714-15010</x:v>
      </x:c>
      <x:c r="D3" s="64" t="str">
        <x:v>Pano met.ShRn-24 b/o (398х312х120)S/U 36 IP31 (TS)</x:v>
      </x:c>
      <x:c r="E3" s="83" t="n">
        <x:v>13410</x:v>
      </x:c>
      <x:c r="F3" s="83" t="n">
        <x:v>8046</x:v>
      </x:c>
      <x:c r="G3" s="83" t="n">
        <x:f>IF(OR(F3="",H3=""),"",F3*H3)</x:f>
        <x:v>8046</x:v>
      </x:c>
      <x:c r="H3" s="89" t="n">
        <x:v>1</x:v>
      </x:c>
      <x:c r="I3" s="64" t="str">
        <x:v> ШТ. </x:v>
      </x:c>
      <x:c r="J3" s="64" t="str">
        <x:v>teksan f</x:v>
      </x:c>
      <x:c r="K3" s="64" t="str">
        <x:v>B01, B02, B03</x:v>
      </x:c>
    </x:row>
    <x:row r="4">
      <x:c r="A4" s="64" t="str">
        <x:v>ГРЩ (B01, B02, B03)</x:v>
      </x:c>
      <x:c r="B4" s="64" t="str">
        <x:v>mccb</x:v>
      </x:c>
      <x:c r="C4" s="64" t="str">
        <x:v>131363</x:v>
      </x:c>
      <x:c r="D4" s="64" t="str">
        <x:v>Авт. выкл. NXM-125S/3Р 125A 25кА (R)</x:v>
      </x:c>
      <x:c r="E4" s="83" t="n">
        <x:v>19760</x:v>
      </x:c>
      <x:c r="F4" s="83" t="n">
        <x:v>11856</x:v>
      </x:c>
      <x:c r="G4" s="83" t="n">
        <x:f>IF(OR(F4="",H4=""),"",F4*H4)</x:f>
        <x:v>11856</x:v>
      </x:c>
      <x:c r="H4" s="89" t="n">
        <x:v>1</x:v>
      </x:c>
      <x:c r="I4" s="64" t="str">
        <x:v> ШТ. </x:v>
      </x:c>
      <x:c r="J4" s="64" t="str">
        <x:v>chint</x:v>
      </x:c>
      <x:c r="K4" s="64" t="str">
        <x:v>B01, B02, B03</x:v>
      </x:c>
    </x:row>
    <x:row r="5">
      <x:c r="A5" s="64" t="str">
        <x:v>ГРЩ (B01, B02, B03)</x:v>
      </x:c>
      <x:c r="B5" s="64" t="str">
        <x:v>oto</x:v>
      </x:c>
      <x:c r="C5" s="64" t="str">
        <x:v>816141</x:v>
      </x:c>
      <x:c r="D5" s="64" t="str">
        <x:v>Авт. выкл. NXB-125 3P 100A 10кА х-ка C (R)</x:v>
      </x:c>
      <x:c r="E5" s="83" t="n">
        <x:v>11015</x:v>
      </x:c>
      <x:c r="F5" s="83" t="n">
        <x:v>6609</x:v>
      </x:c>
      <x:c r="G5" s="83" t="n">
        <x:f>IF(OR(F5="",H5=""),"",F5*H5)</x:f>
        <x:v>6609</x:v>
      </x:c>
      <x:c r="H5" s="89" t="n">
        <x:v>1</x:v>
      </x:c>
      <x:c r="I5" s="64" t="str">
        <x:v> ШТ. </x:v>
      </x:c>
      <x:c r="J5" s="64" t="str">
        <x:v>chint</x:v>
      </x:c>
      <x:c r="K5" s="64" t="str">
        <x:v>B01, B02, B03</x:v>
      </x:c>
    </x:row>
    <x:row r="6">
      <x:c r="A6" s="64" t="str">
        <x:v>ГРЩ (B01, B02, B03)</x:v>
      </x:c>
      <x:c r="B6" s="64" t="str">
        <x:v>oto</x:v>
      </x:c>
      <x:c r="C6" s="64" t="str">
        <x:v>296827</x:v>
      </x:c>
      <x:c r="D6" s="64" t="str">
        <x:v>Авт. выкл. NXB-63S 3P 16А 4.5kA х-ка C (R)</x:v>
      </x:c>
      <x:c r="E6" s="83" t="n">
        <x:v>2337</x:v>
      </x:c>
      <x:c r="F6" s="83" t="n">
        <x:v>1402.2</x:v>
      </x:c>
      <x:c r="G6" s="83" t="n">
        <x:f>IF(OR(F6="",H6=""),"",F6*H6)</x:f>
        <x:v>2804.4</x:v>
      </x:c>
      <x:c r="H6" s="89" t="n">
        <x:v>2</x:v>
      </x:c>
      <x:c r="I6" s="64" t="str">
        <x:v> ШТ. </x:v>
      </x:c>
      <x:c r="J6" s="64" t="str">
        <x:v>chint</x:v>
      </x:c>
      <x:c r="K6" s="64" t="str">
        <x:v>B01, B02, B03</x:v>
      </x:c>
    </x:row>
    <x:row r="7">
      <x:c r="A7" s="64" t="str">
        <x:v>ГРЩ (B01, B02, B03)</x:v>
      </x:c>
      <x:c r="B7" s="64" t="str">
        <x:v>oto</x:v>
      </x:c>
      <x:c r="C7" s="64" t="str">
        <x:v>814014</x:v>
      </x:c>
      <x:c r="D7" s="64" t="str">
        <x:v>Авт. выкл. NXB-63 1P 16A 6кА х-ка C (R)</x:v>
      </x:c>
      <x:c r="E7" s="83" t="n">
        <x:v>1389</x:v>
      </x:c>
      <x:c r="F7" s="83" t="n">
        <x:v>833.4</x:v>
      </x:c>
      <x:c r="G7" s="83" t="n">
        <x:f>IF(OR(F7="",H7=""),"",F7*H7)</x:f>
        <x:v>5000.4</x:v>
      </x:c>
      <x:c r="H7" s="89" t="n">
        <x:v>6</x:v>
      </x:c>
      <x:c r="I7" s="64" t="str">
        <x:v> ШТ. </x:v>
      </x:c>
      <x:c r="J7" s="64" t="str">
        <x:v>chint</x:v>
      </x:c>
      <x:c r="K7" s="64" t="str">
        <x:v>B01, B02, B03</x:v>
      </x:c>
    </x:row>
    <x:row r="8">
      <x:c r="A8" s="64" t="str">
        <x:v>ГРЩ (B01, B02, B03)</x:v>
      </x:c>
      <x:c r="B8" s="64" t="str">
        <x:v>rn</x:v>
      </x:c>
      <x:c r="C8" s="64" t="str">
        <x:v>816989</x:v>
      </x:c>
      <x:c r="D8" s="64" t="str">
        <x:v>Независимый расцепитель SHT-X3 AC240V/AC415V для NXB-125(G) (R)</x:v>
      </x:c>
      <x:c r="E8" s="83" t="n">
        <x:v>4160</x:v>
      </x:c>
      <x:c r="F8" s="83" t="n">
        <x:v>2496</x:v>
      </x:c>
      <x:c r="G8" s="83" t="n">
        <x:f>IF(OR(F8="",H8=""),"",F8*H8)</x:f>
        <x:v>2496</x:v>
      </x:c>
      <x:c r="H8" s="89" t="n">
        <x:v>1</x:v>
      </x:c>
      <x:c r="I8" s="64" t="str">
        <x:v> ШТ. </x:v>
      </x:c>
      <x:c r="J8" s="64" t="str">
        <x:v>chint</x:v>
      </x:c>
      <x:c r="K8" s="64" t="str">
        <x:v>B01, B02, B03</x:v>
      </x:c>
    </x:row>
    <x:row r="9">
      <x:c r="A9" s="64" t="str">
        <x:v>ГРЩ (B01, B02, B03)</x:v>
      </x:c>
      <x:c r="B9" s="94" t="str">
        <x:v>bara</x:v>
      </x:c>
      <x:c r="C9" s="100" t="str">
        <x:v>KONTROL-N</x:v>
      </x:c>
      <x:c r="D9" s="94" t="str">
        <x:v>Шина N изолированная, не менее 12 присоединений</x:v>
      </x:c>
      <x:c r="E9" s="95"/>
      <x:c r="F9" s="95"/>
      <x:c r="G9" s="95" t="str">
        <x:f>IF(OR(F9="",H9=""),"",F9*H9)</x:f>
      </x:c>
      <x:c r="H9" s="96" t="n">
        <x:v>1</x:v>
      </x:c>
      <x:c r="I9" s="94" t="str">
        <x:v> ШТ. </x:v>
      </x:c>
      <x:c r="J9" s="94" t="str">
        <x:v>EKT/Klemsan</x:v>
      </x:c>
      <x:c r="K9" s="64" t="str">
        <x:v>B01, B02, B03</x:v>
      </x:c>
    </x:row>
    <x:row r="10">
      <x:c r="A10" s="64" t="str">
        <x:v>ГРЩ (B01, B02, B03)</x:v>
      </x:c>
      <x:c r="B10" s="94" t="str">
        <x:v>bara</x:v>
      </x:c>
      <x:c r="C10" s="100" t="str">
        <x:v>KONTROL-PE</x:v>
      </x:c>
      <x:c r="D10" s="94" t="str">
        <x:v>Шина PE медная, не менее 12 присоединений</x:v>
      </x:c>
      <x:c r="E10" s="95"/>
      <x:c r="F10" s="95"/>
      <x:c r="G10" s="95" t="str">
        <x:f>IF(OR(F10="",H10=""),"",F10*H10)</x:f>
      </x:c>
      <x:c r="H10" s="96" t="n">
        <x:v>1</x:v>
      </x:c>
      <x:c r="I10" s="94" t="str">
        <x:v> ШТ. </x:v>
      </x:c>
      <x:c r="J10" s="94" t="str">
        <x:v>EKT/Klemsan</x:v>
      </x:c>
      <x:c r="K10" s="64" t="str">
        <x:v>B01, B02, B03</x:v>
      </x:c>
    </x:row>
    <x:row r="11">
      <x:c r="A11" s="64" t="str">
        <x:v>ГРЩ (B01, B02, B03)</x:v>
      </x:c>
      <x:c r="B11" s="94" t="str">
        <x:v>din</x:v>
      </x:c>
      <x:c r="C11" s="100" t="str">
        <x:v>KONTROL-DIN</x:v>
      </x:c>
      <x:c r="D11" s="94" t="str">
        <x:v>DIN рейка 35 мм, оцинкованная, комплект по габариту</x:v>
      </x:c>
      <x:c r="E11" s="95"/>
      <x:c r="F11" s="95"/>
      <x:c r="G11" s="95" t="str">
        <x:f>IF(OR(F11="",H11=""),"",F11*H11)</x:f>
      </x:c>
      <x:c r="H11" s="96" t="n">
        <x:v>1</x:v>
      </x:c>
      <x:c r="I11" s="94" t="str">
        <x:v> ШТ. </x:v>
      </x:c>
      <x:c r="J11" s="94" t="str">
        <x:v>EKT</x:v>
      </x:c>
      <x:c r="K11" s="64" t="str">
        <x:v>B01, B02, B03</x:v>
      </x:c>
    </x:row>
    <x:row r="12">
      <x:c r="A12" s="64" t="str">
        <x:v>ГРЩ (B01, B02, B03)</x:v>
      </x:c>
      <x:c r="B12" s="94" t="str">
        <x:v>kanal</x:v>
      </x:c>
      <x:c r="C12" s="100" t="str">
        <x:v>KONTROL-KK</x:v>
      </x:c>
      <x:c r="D12" s="94" t="str">
        <x:v>Кабельный канал перфорированный, комплект по габариту</x:v>
      </x:c>
      <x:c r="E12" s="95"/>
      <x:c r="F12" s="95"/>
      <x:c r="G12" s="95" t="str">
        <x:f>IF(OR(F12="",H12=""),"",F12*H12)</x:f>
      </x:c>
      <x:c r="H12" s="96" t="n">
        <x:v>1</x:v>
      </x:c>
      <x:c r="I12" s="94" t="str">
        <x:v> ШТ. </x:v>
      </x:c>
      <x:c r="J12" s="94" t="str">
        <x:v>ONKA/EKT</x:v>
      </x:c>
      <x:c r="K12" s="64" t="str">
        <x:v>B01, B02, B03</x:v>
      </x:c>
    </x:row>
    <x:row r="13">
      <x:c r="A13" s="64" t="str">
        <x:v>ГРЩ (B01, B02, B03)</x:v>
      </x:c>
      <x:c r="B13" s="94" t="str">
        <x:v>klemens</x:v>
      </x:c>
      <x:c r="C13" s="100" t="str">
        <x:v>KONTROL-KL</x:v>
      </x:c>
      <x:c r="D13" s="94" t="str">
        <x:v>Клеммник 2,5-6 мм² (фаза/N/PE по схеме)</x:v>
      </x:c>
      <x:c r="E13" s="95"/>
      <x:c r="F13" s="95"/>
      <x:c r="G13" s="95" t="str">
        <x:f>IF(OR(F13="",H13=""),"",F13*H13)</x:f>
      </x:c>
      <x:c r="H13" s="96" t="n">
        <x:v>27</x:v>
      </x:c>
      <x:c r="I13" s="94" t="str">
        <x:v> ШТ. </x:v>
      </x:c>
      <x:c r="J13" s="94" t="str">
        <x:v>Klemsan/EKT</x:v>
      </x:c>
      <x:c r="K13" s="64" t="str">
        <x:v>B01, B02, B03</x:v>
      </x:c>
    </x:row>
    <x:row r="14">
      <x:c r="A14" s="64" t="str">
        <x:v>ГРЩ (B01, B02, B03)</x:v>
      </x:c>
      <x:c r="B14" s="94" t="str">
        <x:v>kablo</x:v>
      </x:c>
      <x:c r="C14" s="100" t="str">
        <x:v>KONTROL-WIRE</x:v>
      </x:c>
      <x:c r="D14" s="94" t="str">
        <x:v>Внутренняя проводка Harmony + маркировка, комплект</x:v>
      </x:c>
      <x:c r="E14" s="95"/>
      <x:c r="F14" s="95"/>
      <x:c r="G14" s="95" t="str">
        <x:f>IF(OR(F14="",H14=""),"",F14*H14)</x:f>
      </x:c>
      <x:c r="H14" s="96" t="n">
        <x:v>1</x:v>
      </x:c>
      <x:c r="I14" s="94" t="str">
        <x:v> ШТ. </x:v>
      </x:c>
      <x:c r="J14" s="94" t="str">
        <x:v>Harmony</x:v>
      </x:c>
      <x:c r="K14" s="64" t="str">
        <x:v>B01, B02, B03</x:v>
      </x:c>
    </x:row>
    <x:row r="15">
      <x:c r="A15" s="64" t="str">
        <x:v>ГРЩ (B01, B02, B03)</x:v>
      </x:c>
      <x:c r="B15" s="64" t="str">
        <x:v>монтажный материал</x:v>
      </x:c>
      <x:c r="C15" s="64" t="str">
        <x:v>монтажный материал</x:v>
      </x:c>
      <x:c r="D15" s="64" t="str">
        <x:v>Монтажный материал</x:v>
      </x:c>
      <x:c r="E15" s="83"/>
      <x:c r="F15" s="83"/>
      <x:c r="G15" s="83" t="str">
        <x:f>IF(OR(F15="",H15=""),"",F15*H15)</x:f>
      </x:c>
      <x:c r="H15" s="89" t="n">
        <x:v>1</x:v>
      </x:c>
      <x:c r="I15" s="64" t="str">
        <x:v>компл.</x:v>
      </x:c>
      <x:c r="J15" s="64" t="str">
        <x:v>TEKLED</x:v>
      </x:c>
      <x:c r="K15" s="64" t="str">
        <x:v>B01, B02, B03</x:v>
      </x:c>
    </x:row>
    <x:row r="16">
      <x:c r="A16" s="64" t="str">
        <x:v>ГРЩ (B01, B02, B03)</x:v>
      </x:c>
      <x:c r="B16" s="64" t="str">
        <x:v>монтажные работы</x:v>
      </x:c>
      <x:c r="C16" s="64" t="str">
        <x:v>монтажные работы</x:v>
      </x:c>
      <x:c r="D16" s="64" t="str">
        <x:v>Монтажные работы</x:v>
      </x:c>
      <x:c r="E16" s="83"/>
      <x:c r="F16" s="83"/>
      <x:c r="G16" s="83" t="str">
        <x:f>IF(OR(F16="",H16=""),"",F16*H16)</x:f>
      </x:c>
      <x:c r="H16" s="89" t="n">
        <x:v>1</x:v>
      </x:c>
      <x:c r="I16" s="64" t="str">
        <x:v>компл.</x:v>
      </x:c>
      <x:c r="J16" s="64" t="str">
        <x:v>TEKLED</x:v>
      </x:c>
      <x:c r="K16" s="64" t="str">
        <x:v>B01, B02, B03</x:v>
      </x:c>
    </x:row>
    <x:row r="17">
      <x:c r="A17" s="76" t="str">
        <x:v>ГРЩ (B01, B02, B03)</x:v>
      </x:c>
      <x:c r="B17" s="76"/>
      <x:c r="C17" s="76"/>
      <x:c r="D17" s="80" t="str">
        <x:v>ИТОГО на 1 комплект</x:v>
      </x:c>
      <x:c r="E17" s="84"/>
      <x:c r="F17" s="84"/>
      <x:c r="G17" s="84" t="n">
        <x:f>SUM(G3:G16)</x:f>
        <x:v>36811.8</x:v>
      </x:c>
      <x:c r="H17" s="90"/>
      <x:c r="I17" s="76"/>
      <x:c r="J17" s="76"/>
      <x:c r="K17" s="76" t="str">
        <x:v>B01, B02, B03</x:v>
      </x:c>
    </x:row>
    <x:row r="18" ht="24" customHeight="1">
      <x:c r="A18" s="69" t="str">
        <x:v>РПВ (B01, B02, B03)</x:v>
      </x:c>
      <x:c r="B18" s="69"/>
      <x:c r="C18" s="69"/>
      <x:c r="D18" s="69" t="str">
        <x:v>РПВ (B01, B02, B03)</x:v>
      </x:c>
      <x:c r="E18" s="82"/>
      <x:c r="F18" s="82"/>
      <x:c r="G18" s="82"/>
      <x:c r="H18" s="88" t="n">
        <x:v>1</x:v>
      </x:c>
      <x:c r="I18" s="69" t="str">
        <x:v>комплект</x:v>
      </x:c>
      <x:c r="J18" s="69" t="str">
        <x:v>TEKLED/TEKSAN</x:v>
      </x:c>
      <x:c r="K18" s="69" t="str">
        <x:v>B01, B02, B03</x:v>
      </x:c>
    </x:row>
    <x:row r="19">
      <x:c r="A19" s="64" t="str">
        <x:v>РПВ (B01, B02, B03)</x:v>
      </x:c>
      <x:c r="B19" s="64" t="str">
        <x:v>korpus</x:v>
      </x:c>
      <x:c r="C19" s="64" t="str">
        <x:v>714-15007</x:v>
      </x:c>
      <x:c r="D19" s="64" t="str">
        <x:v>Щит мет.ЩРн-18 б/o (448х268х120)S/U 36 IP31 (TS)</x:v>
      </x:c>
      <x:c r="E19" s="83" t="n">
        <x:v>14695</x:v>
      </x:c>
      <x:c r="F19" s="83" t="n">
        <x:v>8817</x:v>
      </x:c>
      <x:c r="G19" s="83" t="n">
        <x:f>IF(OR(F19="",H19=""),"",F19*H19)</x:f>
        <x:v>8817</x:v>
      </x:c>
      <x:c r="H19" s="89" t="n">
        <x:v>1</x:v>
      </x:c>
      <x:c r="I19" s="64" t="str">
        <x:v> ШТ. </x:v>
      </x:c>
      <x:c r="J19" s="64" t="str">
        <x:v>teksan f</x:v>
      </x:c>
      <x:c r="K19" s="64" t="str">
        <x:v>B01, B02, B03</x:v>
      </x:c>
    </x:row>
    <x:row r="20">
      <x:c r="A20" s="64" t="str">
        <x:v>РПВ (B01, B02, B03)</x:v>
      </x:c>
      <x:c r="B20" s="64" t="str">
        <x:v>oto</x:v>
      </x:c>
      <x:c r="C20" s="64" t="str">
        <x:v>816141</x:v>
      </x:c>
      <x:c r="D20" s="64" t="str">
        <x:v>Авт. выкл. NXB-125 3P 100A 10кА х-ка C (R)</x:v>
      </x:c>
      <x:c r="E20" s="83" t="n">
        <x:v>11015</x:v>
      </x:c>
      <x:c r="F20" s="83" t="n">
        <x:v>6609</x:v>
      </x:c>
      <x:c r="G20" s="83" t="n">
        <x:f>IF(OR(F20="",H20=""),"",F20*H20)</x:f>
        <x:v>6609</x:v>
      </x:c>
      <x:c r="H20" s="89" t="n">
        <x:v>1</x:v>
      </x:c>
      <x:c r="I20" s="64" t="str">
        <x:v> ШТ. </x:v>
      </x:c>
      <x:c r="J20" s="64" t="str">
        <x:v>chint</x:v>
      </x:c>
      <x:c r="K20" s="64" t="str">
        <x:v>B01, B02, B03</x:v>
      </x:c>
    </x:row>
    <x:row r="21">
      <x:c r="A21" s="64" t="str">
        <x:v>РПВ (B01, B02, B03)</x:v>
      </x:c>
      <x:c r="B21" s="64" t="str">
        <x:v>oto</x:v>
      </x:c>
      <x:c r="C21" s="64" t="str">
        <x:v>296827</x:v>
      </x:c>
      <x:c r="D21" s="64" t="str">
        <x:v>Авт. выкл. NXB-63S 3P 16А 4.5kA х-ка C (R)</x:v>
      </x:c>
      <x:c r="E21" s="83" t="n">
        <x:v>2337</x:v>
      </x:c>
      <x:c r="F21" s="83" t="n">
        <x:v>1402.2</x:v>
      </x:c>
      <x:c r="G21" s="83" t="n">
        <x:f>IF(OR(F21="",H21=""),"",F21*H21)</x:f>
        <x:v>4206.6</x:v>
      </x:c>
      <x:c r="H21" s="89" t="n">
        <x:v>3</x:v>
      </x:c>
      <x:c r="I21" s="64" t="str">
        <x:v> ШТ. </x:v>
      </x:c>
      <x:c r="J21" s="64" t="str">
        <x:v>chint</x:v>
      </x:c>
      <x:c r="K21" s="64" t="str">
        <x:v>B01, B02, B03</x:v>
      </x:c>
    </x:row>
    <x:row r="22">
      <x:c r="A22" s="64" t="str">
        <x:v>РПВ (B01, B02, B03)</x:v>
      </x:c>
      <x:c r="B22" s="64" t="str">
        <x:v>oto</x:v>
      </x:c>
      <x:c r="C22" s="64" t="str">
        <x:v>814014</x:v>
      </x:c>
      <x:c r="D22" s="64" t="str">
        <x:v>Авт. выкл. NXB-63 1P 16A 6кА х-ка C (R)</x:v>
      </x:c>
      <x:c r="E22" s="83" t="n">
        <x:v>1389</x:v>
      </x:c>
      <x:c r="F22" s="83" t="n">
        <x:v>833.4</x:v>
      </x:c>
      <x:c r="G22" s="83" t="n">
        <x:f>IF(OR(F22="",H22=""),"",F22*H22)</x:f>
        <x:v>4167</x:v>
      </x:c>
      <x:c r="H22" s="89" t="n">
        <x:v>5</x:v>
      </x:c>
      <x:c r="I22" s="64" t="str">
        <x:v> ШТ. </x:v>
      </x:c>
      <x:c r="J22" s="64" t="str">
        <x:v>chint</x:v>
      </x:c>
      <x:c r="K22" s="64" t="str">
        <x:v>B01, B02, B03</x:v>
      </x:c>
    </x:row>
    <x:row r="23">
      <x:c r="A23" s="64" t="str">
        <x:v>РПВ (B01, B02, B03)</x:v>
      </x:c>
      <x:c r="B23" s="94" t="str">
        <x:v>bara</x:v>
      </x:c>
      <x:c r="C23" s="100" t="str">
        <x:v>KONTROL-N</x:v>
      </x:c>
      <x:c r="D23" s="94" t="str">
        <x:v>Шина N изолированная, не менее 12 присоединений</x:v>
      </x:c>
      <x:c r="E23" s="95"/>
      <x:c r="F23" s="95"/>
      <x:c r="G23" s="95" t="str">
        <x:f>IF(OR(F23="",H23=""),"",F23*H23)</x:f>
      </x:c>
      <x:c r="H23" s="96" t="n">
        <x:v>1</x:v>
      </x:c>
      <x:c r="I23" s="94" t="str">
        <x:v> ШТ. </x:v>
      </x:c>
      <x:c r="J23" s="94" t="str">
        <x:v>EKT/Klemsan</x:v>
      </x:c>
      <x:c r="K23" s="64" t="str">
        <x:v>B01, B02, B03</x:v>
      </x:c>
    </x:row>
    <x:row r="24">
      <x:c r="A24" s="64" t="str">
        <x:v>РПВ (B01, B02, B03)</x:v>
      </x:c>
      <x:c r="B24" s="94" t="str">
        <x:v>bara</x:v>
      </x:c>
      <x:c r="C24" s="100" t="str">
        <x:v>KONTROL-PE</x:v>
      </x:c>
      <x:c r="D24" s="94" t="str">
        <x:v>Шина PE медная, не менее 12 присоединений</x:v>
      </x:c>
      <x:c r="E24" s="95"/>
      <x:c r="F24" s="95"/>
      <x:c r="G24" s="95" t="str">
        <x:f>IF(OR(F24="",H24=""),"",F24*H24)</x:f>
      </x:c>
      <x:c r="H24" s="96" t="n">
        <x:v>1</x:v>
      </x:c>
      <x:c r="I24" s="94" t="str">
        <x:v> ШТ. </x:v>
      </x:c>
      <x:c r="J24" s="94" t="str">
        <x:v>EKT/Klemsan</x:v>
      </x:c>
      <x:c r="K24" s="64" t="str">
        <x:v>B01, B02, B03</x:v>
      </x:c>
    </x:row>
    <x:row r="25">
      <x:c r="A25" s="64" t="str">
        <x:v>РПВ (B01, B02, B03)</x:v>
      </x:c>
      <x:c r="B25" s="94" t="str">
        <x:v>din</x:v>
      </x:c>
      <x:c r="C25" s="100" t="str">
        <x:v>KONTROL-DIN</x:v>
      </x:c>
      <x:c r="D25" s="94" t="str">
        <x:v>DIN рейка 35 мм, оцинкованная, комплект по габариту</x:v>
      </x:c>
      <x:c r="E25" s="95"/>
      <x:c r="F25" s="95"/>
      <x:c r="G25" s="95" t="str">
        <x:f>IF(OR(F25="",H25=""),"",F25*H25)</x:f>
      </x:c>
      <x:c r="H25" s="96" t="n">
        <x:v>1</x:v>
      </x:c>
      <x:c r="I25" s="94" t="str">
        <x:v> ШТ. </x:v>
      </x:c>
      <x:c r="J25" s="94" t="str">
        <x:v>EKT</x:v>
      </x:c>
      <x:c r="K25" s="64" t="str">
        <x:v>B01, B02, B03</x:v>
      </x:c>
    </x:row>
    <x:row r="26">
      <x:c r="A26" s="64" t="str">
        <x:v>РПВ (B01, B02, B03)</x:v>
      </x:c>
      <x:c r="B26" s="94" t="str">
        <x:v>kanal</x:v>
      </x:c>
      <x:c r="C26" s="100" t="str">
        <x:v>KONTROL-KK</x:v>
      </x:c>
      <x:c r="D26" s="94" t="str">
        <x:v>Кабельный канал перфорированный, комплект по габариту</x:v>
      </x:c>
      <x:c r="E26" s="95"/>
      <x:c r="F26" s="95"/>
      <x:c r="G26" s="95" t="str">
        <x:f>IF(OR(F26="",H26=""),"",F26*H26)</x:f>
      </x:c>
      <x:c r="H26" s="96" t="n">
        <x:v>1</x:v>
      </x:c>
      <x:c r="I26" s="94" t="str">
        <x:v> ШТ. </x:v>
      </x:c>
      <x:c r="J26" s="94" t="str">
        <x:v>ONKA/EKT</x:v>
      </x:c>
      <x:c r="K26" s="64" t="str">
        <x:v>B01, B02, B03</x:v>
      </x:c>
    </x:row>
    <x:row r="27">
      <x:c r="A27" s="64" t="str">
        <x:v>РПВ (B01, B02, B03)</x:v>
      </x:c>
      <x:c r="B27" s="94" t="str">
        <x:v>klemens</x:v>
      </x:c>
      <x:c r="C27" s="100" t="str">
        <x:v>KONTROL-KL</x:v>
      </x:c>
      <x:c r="D27" s="94" t="str">
        <x:v>Клеммник 2,5-6 мм² (фаза/N/PE по схеме)</x:v>
      </x:c>
      <x:c r="E27" s="95"/>
      <x:c r="F27" s="95"/>
      <x:c r="G27" s="95" t="str">
        <x:f>IF(OR(F27="",H27=""),"",F27*H27)</x:f>
      </x:c>
      <x:c r="H27" s="96" t="n">
        <x:v>22</x:v>
      </x:c>
      <x:c r="I27" s="94" t="str">
        <x:v> ШТ. </x:v>
      </x:c>
      <x:c r="J27" s="94" t="str">
        <x:v>Klemsan/EKT</x:v>
      </x:c>
      <x:c r="K27" s="64" t="str">
        <x:v>B01, B02, B03</x:v>
      </x:c>
    </x:row>
    <x:row r="28">
      <x:c r="A28" s="64" t="str">
        <x:v>РПВ (B01, B02, B03)</x:v>
      </x:c>
      <x:c r="B28" s="94" t="str">
        <x:v>kablo</x:v>
      </x:c>
      <x:c r="C28" s="100" t="str">
        <x:v>KONTROL-WIRE</x:v>
      </x:c>
      <x:c r="D28" s="94" t="str">
        <x:v>Внутренняя проводка Harmony + маркировка, комплект</x:v>
      </x:c>
      <x:c r="E28" s="95"/>
      <x:c r="F28" s="95"/>
      <x:c r="G28" s="95" t="str">
        <x:f>IF(OR(F28="",H28=""),"",F28*H28)</x:f>
      </x:c>
      <x:c r="H28" s="96" t="n">
        <x:v>1</x:v>
      </x:c>
      <x:c r="I28" s="94" t="str">
        <x:v> ШТ. </x:v>
      </x:c>
      <x:c r="J28" s="94" t="str">
        <x:v>Harmony</x:v>
      </x:c>
      <x:c r="K28" s="64" t="str">
        <x:v>B01, B02, B03</x:v>
      </x:c>
    </x:row>
    <x:row r="29">
      <x:c r="A29" s="64" t="str">
        <x:v>РПВ (B01, B02, B03)</x:v>
      </x:c>
      <x:c r="B29" s="64" t="str">
        <x:v>монтажный материал</x:v>
      </x:c>
      <x:c r="C29" s="64" t="str">
        <x:v>монтажный материал</x:v>
      </x:c>
      <x:c r="D29" s="64" t="str">
        <x:v>Монтажный материал</x:v>
      </x:c>
      <x:c r="E29" s="83"/>
      <x:c r="F29" s="83"/>
      <x:c r="G29" s="83" t="str">
        <x:f>IF(OR(F29="",H29=""),"",F29*H29)</x:f>
      </x:c>
      <x:c r="H29" s="89" t="n">
        <x:v>1</x:v>
      </x:c>
      <x:c r="I29" s="64" t="str">
        <x:v>компл.</x:v>
      </x:c>
      <x:c r="J29" s="64" t="str">
        <x:v>TEKLED</x:v>
      </x:c>
      <x:c r="K29" s="64" t="str">
        <x:v>B01, B02, B03</x:v>
      </x:c>
    </x:row>
    <x:row r="30">
      <x:c r="A30" s="64" t="str">
        <x:v>РПВ (B01, B02, B03)</x:v>
      </x:c>
      <x:c r="B30" s="64" t="str">
        <x:v>монтажные работы</x:v>
      </x:c>
      <x:c r="C30" s="64" t="str">
        <x:v>монтажные работы</x:v>
      </x:c>
      <x:c r="D30" s="64" t="str">
        <x:v>Монтажные работы</x:v>
      </x:c>
      <x:c r="E30" s="83"/>
      <x:c r="F30" s="83"/>
      <x:c r="G30" s="83" t="str">
        <x:f>IF(OR(F30="",H30=""),"",F30*H30)</x:f>
      </x:c>
      <x:c r="H30" s="89" t="n">
        <x:v>1</x:v>
      </x:c>
      <x:c r="I30" s="64" t="str">
        <x:v>компл.</x:v>
      </x:c>
      <x:c r="J30" s="64" t="str">
        <x:v>TEKLED</x:v>
      </x:c>
      <x:c r="K30" s="64" t="str">
        <x:v>B01, B02, B03</x:v>
      </x:c>
    </x:row>
    <x:row r="31">
      <x:c r="A31" s="76" t="str">
        <x:v>РПВ (B01, B02, B03)</x:v>
      </x:c>
      <x:c r="B31" s="76"/>
      <x:c r="C31" s="76"/>
      <x:c r="D31" s="80" t="str">
        <x:v>ИТОГО на 1 комплект</x:v>
      </x:c>
      <x:c r="E31" s="84"/>
      <x:c r="F31" s="84"/>
      <x:c r="G31" s="84" t="n">
        <x:f>SUM(G19:G30)</x:f>
        <x:v>23799.6</x:v>
      </x:c>
      <x:c r="H31" s="90"/>
      <x:c r="I31" s="76"/>
      <x:c r="J31" s="76"/>
      <x:c r="K31" s="76" t="str">
        <x:v>B01, B02, B03</x:v>
      </x:c>
    </x:row>
    <x:row r="32" ht="24" customHeight="1">
      <x:c r="A32" s="69" t="str">
        <x:v>ЯВЗ-31-IP54 УХЛ2 100А</x:v>
      </x:c>
      <x:c r="B32" s="69"/>
      <x:c r="C32" s="69"/>
      <x:c r="D32" s="69" t="str">
        <x:v>ЯВЗ-31-IP54 УХЛ2 100А</x:v>
      </x:c>
      <x:c r="E32" s="82"/>
      <x:c r="F32" s="82"/>
      <x:c r="G32" s="82"/>
      <x:c r="H32" s="88" t="n">
        <x:v>1</x:v>
      </x:c>
      <x:c r="I32" s="69" t="str">
        <x:v>комплект</x:v>
      </x:c>
      <x:c r="J32" s="69" t="str">
        <x:v>TEKLED/TEKSAN</x:v>
      </x:c>
      <x:c r="K32" s="69" t="str">
        <x:v>B01, B02, B03</x:v>
      </x:c>
    </x:row>
    <x:row r="33">
      <x:c r="A33" s="64" t="str">
        <x:v>ЯВЗ-31-IP54 УХЛ2 100А</x:v>
      </x:c>
      <x:c r="B33" s="64" t="str">
        <x:v>korpus</x:v>
      </x:c>
      <x:c r="C33" s="64" t="str">
        <x:v>719-15043</x:v>
      </x:c>
      <x:c r="D33" s="64" t="str">
        <x:v>450*240*175</x:v>
      </x:c>
      <x:c r="E33" s="83"/>
      <x:c r="F33" s="83" t="n">
        <x:v>0</x:v>
      </x:c>
      <x:c r="G33" s="83" t="str">
        <x:f>IF(OR(F33="",H33=""),"",F33*H33)</x:f>
      </x:c>
      <x:c r="H33" s="89" t="n">
        <x:v>1</x:v>
      </x:c>
      <x:c r="I33" s="64" t="str">
        <x:v> ШТ. </x:v>
      </x:c>
      <x:c r="J33" s="64" t="str">
        <x:v>teksan f</x:v>
      </x:c>
      <x:c r="K33" s="64" t="str">
        <x:v>B01, B02, B03</x:v>
      </x:c>
    </x:row>
    <x:row r="34">
      <x:c r="A34" s="64" t="str">
        <x:v>ЯВЗ-31-IP54 УХЛ2 100А</x:v>
      </x:c>
      <x:c r="B34" s="94" t="str">
        <x:v>rubilnik</x:v>
      </x:c>
      <x:c r="C34" s="100" t="str">
        <x:v>KONTROL-NH40-125-3W</x:v>
      </x:c>
      <x:c r="D34" s="94" t="str">
        <x:v>Выключатель-разъединитель CHINT NH40-125/3W, 100A, рукоятка на дверь</x:v>
      </x:c>
      <x:c r="E34" s="95"/>
      <x:c r="F34" s="95"/>
      <x:c r="G34" s="95" t="str">
        <x:f>IF(OR(F34="",H34=""),"",F34*H34)</x:f>
      </x:c>
      <x:c r="H34" s="96" t="n">
        <x:v>1</x:v>
      </x:c>
      <x:c r="I34" s="94" t="str">
        <x:v> ШТ. </x:v>
      </x:c>
      <x:c r="J34" s="94" t="str">
        <x:v>CHINT</x:v>
      </x:c>
      <x:c r="K34" s="64" t="str">
        <x:v>B01, B02, B03</x:v>
      </x:c>
    </x:row>
    <x:row r="35">
      <x:c r="A35" s="64" t="str">
        <x:v>ЯВЗ-31-IP54 УХЛ2 100А</x:v>
      </x:c>
      <x:c r="B35" s="64" t="str">
        <x:v>ppn</x:v>
      </x:c>
      <x:c r="C35" s="64" t="str">
        <x:v>521349</x:v>
      </x:c>
      <x:c r="D35" s="64" t="str">
        <x:v>Плавкая вставка предохранителя RT36-00-160, габарит 00, 100А</x:v>
      </x:c>
      <x:c r="E35" s="83" t="n">
        <x:v>1545</x:v>
      </x:c>
      <x:c r="F35" s="83" t="n">
        <x:v>927</x:v>
      </x:c>
      <x:c r="G35" s="83" t="n">
        <x:f>IF(OR(F35="",H35=""),"",F35*H35)</x:f>
        <x:v>2781</x:v>
      </x:c>
      <x:c r="H35" s="89" t="n">
        <x:v>3</x:v>
      </x:c>
      <x:c r="I35" s="64" t="str">
        <x:v> ШТ. </x:v>
      </x:c>
      <x:c r="J35" s="64" t="str">
        <x:v>chint</x:v>
      </x:c>
      <x:c r="K35" s="64" t="str">
        <x:v>B01, B02, B03</x:v>
      </x:c>
    </x:row>
    <x:row r="36">
      <x:c r="A36" s="64" t="str">
        <x:v>ЯВЗ-31-IP54 УХЛ2 100А</x:v>
      </x:c>
      <x:c r="B36" s="64" t="str">
        <x:v>ppn</x:v>
      </x:c>
      <x:c r="C36" s="64" t="str">
        <x:v>521260</x:v>
      </x:c>
      <x:c r="D36" s="64" t="str">
        <x:v>Держатель плавкой вставки RT36-00-160, габарит 00, 160А</x:v>
      </x:c>
      <x:c r="E36" s="83" t="n">
        <x:v>2038</x:v>
      </x:c>
      <x:c r="F36" s="83" t="n">
        <x:v>1222.8</x:v>
      </x:c>
      <x:c r="G36" s="83" t="n">
        <x:f>IF(OR(F36="",H36=""),"",F36*H36)</x:f>
        <x:v>3668.3999999999996</x:v>
      </x:c>
      <x:c r="H36" s="89" t="n">
        <x:v>3</x:v>
      </x:c>
      <x:c r="I36" s="64" t="str">
        <x:v> ШТ. </x:v>
      </x:c>
      <x:c r="J36" s="64" t="str">
        <x:v>chint</x:v>
      </x:c>
      <x:c r="K36" s="64" t="str">
        <x:v>B01, B02, B03</x:v>
      </x:c>
    </x:row>
    <x:row r="37">
      <x:c r="A37" s="64" t="str">
        <x:v>ЯВЗ-31-IP54 УХЛ2 100А</x:v>
      </x:c>
      <x:c r="B37" s="94" t="str">
        <x:v>bara</x:v>
      </x:c>
      <x:c r="C37" s="100" t="str">
        <x:v>KONTROL-N</x:v>
      </x:c>
      <x:c r="D37" s="94" t="str">
        <x:v>Шина N изолированная, не менее 12 присоединений</x:v>
      </x:c>
      <x:c r="E37" s="95"/>
      <x:c r="F37" s="95"/>
      <x:c r="G37" s="95" t="str">
        <x:f>IF(OR(F37="",H37=""),"",F37*H37)</x:f>
      </x:c>
      <x:c r="H37" s="96" t="n">
        <x:v>1</x:v>
      </x:c>
      <x:c r="I37" s="94" t="str">
        <x:v> ШТ. </x:v>
      </x:c>
      <x:c r="J37" s="94" t="str">
        <x:v>EKT/Klemsan</x:v>
      </x:c>
      <x:c r="K37" s="64" t="str">
        <x:v>B01, B02, B03</x:v>
      </x:c>
    </x:row>
    <x:row r="38">
      <x:c r="A38" s="64" t="str">
        <x:v>ЯВЗ-31-IP54 УХЛ2 100А</x:v>
      </x:c>
      <x:c r="B38" s="94" t="str">
        <x:v>bara</x:v>
      </x:c>
      <x:c r="C38" s="100" t="str">
        <x:v>KONTROL-PE</x:v>
      </x:c>
      <x:c r="D38" s="94" t="str">
        <x:v>Шина PE медная, не менее 12 присоединений</x:v>
      </x:c>
      <x:c r="E38" s="95"/>
      <x:c r="F38" s="95"/>
      <x:c r="G38" s="95" t="str">
        <x:f>IF(OR(F38="",H38=""),"",F38*H38)</x:f>
      </x:c>
      <x:c r="H38" s="96" t="n">
        <x:v>1</x:v>
      </x:c>
      <x:c r="I38" s="94" t="str">
        <x:v> ШТ. </x:v>
      </x:c>
      <x:c r="J38" s="94" t="str">
        <x:v>EKT/Klemsan</x:v>
      </x:c>
      <x:c r="K38" s="64" t="str">
        <x:v>B01, B02, B03</x:v>
      </x:c>
    </x:row>
    <x:row r="39">
      <x:c r="A39" s="64" t="str">
        <x:v>ЯВЗ-31-IP54 УХЛ2 100А</x:v>
      </x:c>
      <x:c r="B39" s="94" t="str">
        <x:v>din</x:v>
      </x:c>
      <x:c r="C39" s="100" t="str">
        <x:v>KONTROL-DIN</x:v>
      </x:c>
      <x:c r="D39" s="94" t="str">
        <x:v>DIN рейка 35 мм, оцинкованная, комплект по габариту</x:v>
      </x:c>
      <x:c r="E39" s="95"/>
      <x:c r="F39" s="95"/>
      <x:c r="G39" s="95" t="str">
        <x:f>IF(OR(F39="",H39=""),"",F39*H39)</x:f>
      </x:c>
      <x:c r="H39" s="96" t="n">
        <x:v>1</x:v>
      </x:c>
      <x:c r="I39" s="94" t="str">
        <x:v> ШТ. </x:v>
      </x:c>
      <x:c r="J39" s="94" t="str">
        <x:v>EKT</x:v>
      </x:c>
      <x:c r="K39" s="64" t="str">
        <x:v>B01, B02, B03</x:v>
      </x:c>
    </x:row>
    <x:row r="40">
      <x:c r="A40" s="64" t="str">
        <x:v>ЯВЗ-31-IP54 УХЛ2 100А</x:v>
      </x:c>
      <x:c r="B40" s="94" t="str">
        <x:v>kanal</x:v>
      </x:c>
      <x:c r="C40" s="100" t="str">
        <x:v>KONTROL-KK</x:v>
      </x:c>
      <x:c r="D40" s="94" t="str">
        <x:v>Кабельный канал перфорированный, комплект по габариту</x:v>
      </x:c>
      <x:c r="E40" s="95"/>
      <x:c r="F40" s="95"/>
      <x:c r="G40" s="95" t="str">
        <x:f>IF(OR(F40="",H40=""),"",F40*H40)</x:f>
      </x:c>
      <x:c r="H40" s="96" t="n">
        <x:v>1</x:v>
      </x:c>
      <x:c r="I40" s="94" t="str">
        <x:v> ШТ. </x:v>
      </x:c>
      <x:c r="J40" s="94" t="str">
        <x:v>ONKA/EKT</x:v>
      </x:c>
      <x:c r="K40" s="64" t="str">
        <x:v>B01, B02, B03</x:v>
      </x:c>
    </x:row>
    <x:row r="41">
      <x:c r="A41" s="64" t="str">
        <x:v>ЯВЗ-31-IP54 УХЛ2 100А</x:v>
      </x:c>
      <x:c r="B41" s="94" t="str">
        <x:v>klemens</x:v>
      </x:c>
      <x:c r="C41" s="100" t="str">
        <x:v>KONTROL-KL</x:v>
      </x:c>
      <x:c r="D41" s="94" t="str">
        <x:v>Клеммник 2,5-6 мм² (фаза/N/PE по схеме)</x:v>
      </x:c>
      <x:c r="E41" s="95"/>
      <x:c r="F41" s="95"/>
      <x:c r="G41" s="95" t="str">
        <x:f>IF(OR(F41="",H41=""),"",F41*H41)</x:f>
      </x:c>
      <x:c r="H41" s="96" t="n">
        <x:v>18</x:v>
      </x:c>
      <x:c r="I41" s="94" t="str">
        <x:v> ШТ. </x:v>
      </x:c>
      <x:c r="J41" s="94" t="str">
        <x:v>Klemsan/EKT</x:v>
      </x:c>
      <x:c r="K41" s="64" t="str">
        <x:v>B01, B02, B03</x:v>
      </x:c>
    </x:row>
    <x:row r="42">
      <x:c r="A42" s="64" t="str">
        <x:v>ЯВЗ-31-IP54 УХЛ2 100А</x:v>
      </x:c>
      <x:c r="B42" s="94" t="str">
        <x:v>kablo</x:v>
      </x:c>
      <x:c r="C42" s="100" t="str">
        <x:v>KONTROL-WIRE</x:v>
      </x:c>
      <x:c r="D42" s="94" t="str">
        <x:v>Внутренняя проводка Harmony + маркировка, комплект</x:v>
      </x:c>
      <x:c r="E42" s="95"/>
      <x:c r="F42" s="95"/>
      <x:c r="G42" s="95" t="str">
        <x:f>IF(OR(F42="",H42=""),"",F42*H42)</x:f>
      </x:c>
      <x:c r="H42" s="96" t="n">
        <x:v>1</x:v>
      </x:c>
      <x:c r="I42" s="94" t="str">
        <x:v> ШТ. </x:v>
      </x:c>
      <x:c r="J42" s="94" t="str">
        <x:v>Harmony</x:v>
      </x:c>
      <x:c r="K42" s="64" t="str">
        <x:v>B01, B02, B03</x:v>
      </x:c>
    </x:row>
    <x:row r="43">
      <x:c r="A43" s="64" t="str">
        <x:v>ЯВЗ-31-IP54 УХЛ2 100А</x:v>
      </x:c>
      <x:c r="B43" s="64" t="str">
        <x:v>монтажный материал</x:v>
      </x:c>
      <x:c r="C43" s="64" t="str">
        <x:v>монтажный материал</x:v>
      </x:c>
      <x:c r="D43" s="64" t="str">
        <x:v>Монтажный материал</x:v>
      </x:c>
      <x:c r="E43" s="83"/>
      <x:c r="F43" s="83"/>
      <x:c r="G43" s="83" t="str">
        <x:f>IF(OR(F43="",H43=""),"",F43*H43)</x:f>
      </x:c>
      <x:c r="H43" s="89" t="n">
        <x:v>1</x:v>
      </x:c>
      <x:c r="I43" s="64" t="str">
        <x:v>компл.</x:v>
      </x:c>
      <x:c r="J43" s="64" t="str">
        <x:v>TEKLED</x:v>
      </x:c>
      <x:c r="K43" s="64" t="str">
        <x:v>B01, B02, B03</x:v>
      </x:c>
    </x:row>
    <x:row r="44">
      <x:c r="A44" s="64" t="str">
        <x:v>ЯВЗ-31-IP54 УХЛ2 100А</x:v>
      </x:c>
      <x:c r="B44" s="64" t="str">
        <x:v>монтажные работы</x:v>
      </x:c>
      <x:c r="C44" s="64" t="str">
        <x:v>монтажные работы</x:v>
      </x:c>
      <x:c r="D44" s="64" t="str">
        <x:v>Монтажные работы</x:v>
      </x:c>
      <x:c r="E44" s="83"/>
      <x:c r="F44" s="83"/>
      <x:c r="G44" s="83" t="str">
        <x:f>IF(OR(F44="",H44=""),"",F44*H44)</x:f>
      </x:c>
      <x:c r="H44" s="89" t="n">
        <x:v>1</x:v>
      </x:c>
      <x:c r="I44" s="64" t="str">
        <x:v>компл.</x:v>
      </x:c>
      <x:c r="J44" s="64" t="str">
        <x:v>TEKLED</x:v>
      </x:c>
      <x:c r="K44" s="64" t="str">
        <x:v>B01, B02, B03</x:v>
      </x:c>
    </x:row>
    <x:row r="45">
      <x:c r="A45" s="76" t="str">
        <x:v>ЯВЗ-31-IP54 УХЛ2 100А</x:v>
      </x:c>
      <x:c r="B45" s="76"/>
      <x:c r="C45" s="76"/>
      <x:c r="D45" s="80" t="str">
        <x:v>ИТОГО на 1 комплект</x:v>
      </x:c>
      <x:c r="E45" s="84"/>
      <x:c r="F45" s="84"/>
      <x:c r="G45" s="84" t="n">
        <x:f>SUM(G33:G44)</x:f>
        <x:v>6449.4</x:v>
      </x:c>
      <x:c r="H45" s="90"/>
      <x:c r="I45" s="76"/>
      <x:c r="J45" s="76"/>
      <x:c r="K45" s="76" t="str">
        <x:v>B01, B02, B03</x:v>
      </x:c>
    </x:row>
    <x:row r="46" ht="24" customHeight="1">
      <x:c r="A46" s="69" t="str">
        <x:v>ЯТП-0,25-220/36 036УХЛ4</x:v>
      </x:c>
      <x:c r="B46" s="69"/>
      <x:c r="C46" s="69"/>
      <x:c r="D46" s="69" t="str">
        <x:v>ЯТП-0,25-220/36 036УХЛ4</x:v>
      </x:c>
      <x:c r="E46" s="82"/>
      <x:c r="F46" s="82"/>
      <x:c r="G46" s="82"/>
      <x:c r="H46" s="88" t="n">
        <x:v>1</x:v>
      </x:c>
      <x:c r="I46" s="69" t="str">
        <x:v>комплект</x:v>
      </x:c>
      <x:c r="J46" s="69" t="str">
        <x:v>TEKLED/TEKSAN</x:v>
      </x:c>
      <x:c r="K46" s="69" t="str">
        <x:v>B01, B02, B03</x:v>
      </x:c>
    </x:row>
    <x:row r="47">
      <x:c r="A47" s="64" t="str">
        <x:v>ЯТП-0,25-220/36 036УХЛ4</x:v>
      </x:c>
      <x:c r="B47" s="94" t="str">
        <x:v>korpus</x:v>
      </x:c>
      <x:c r="C47" s="100" t="str">
        <x:v>KONTROL-KORPUS-YATP</x:v>
      </x:c>
      <x:c r="D47" s="94" t="str">
        <x:v>Корпус металлический 300x250x150 мм, IP54, монтажная панель</x:v>
      </x:c>
      <x:c r="E47" s="95"/>
      <x:c r="F47" s="95"/>
      <x:c r="G47" s="95" t="str">
        <x:f>IF(OR(F47="",H47=""),"",F47*H47)</x:f>
      </x:c>
      <x:c r="H47" s="96" t="n">
        <x:v>1</x:v>
      </x:c>
      <x:c r="I47" s="94" t="str">
        <x:v> ШТ. </x:v>
      </x:c>
      <x:c r="J47" s="94" t="str">
        <x:v>TEKSAN/TEKLED</x:v>
      </x:c>
      <x:c r="K47" s="64" t="str">
        <x:v>B01, B02, B03</x:v>
      </x:c>
    </x:row>
    <x:row r="48">
      <x:c r="A48" s="64" t="str">
        <x:v>ЯТП-0,25-220/36 036УХЛ4</x:v>
      </x:c>
      <x:c r="B48" s="94" t="str">
        <x:v>transformator</x:v>
      </x:c>
      <x:c r="C48" s="100" t="str">
        <x:v>KONTROL-NDK250</x:v>
      </x:c>
      <x:c r="D48" s="94" t="str">
        <x:v>Трансформатор CHINT NDK-250, 230/36V, 250VA</x:v>
      </x:c>
      <x:c r="E48" s="95"/>
      <x:c r="F48" s="95"/>
      <x:c r="G48" s="95" t="str">
        <x:f>IF(OR(F48="",H48=""),"",F48*H48)</x:f>
      </x:c>
      <x:c r="H48" s="96" t="n">
        <x:v>1</x:v>
      </x:c>
      <x:c r="I48" s="94" t="str">
        <x:v> ШТ. </x:v>
      </x:c>
      <x:c r="J48" s="94" t="str">
        <x:v>CHINT</x:v>
      </x:c>
      <x:c r="K48" s="64" t="str">
        <x:v>B01, B02, B03</x:v>
      </x:c>
    </x:row>
    <x:row r="49">
      <x:c r="A49" s="64" t="str">
        <x:v>ЯТП-0,25-220/36 036УХЛ4</x:v>
      </x:c>
      <x:c r="B49" s="94" t="str">
        <x:v>oto</x:v>
      </x:c>
      <x:c r="C49" s="100" t="str">
        <x:v>KONTROL-MCB-1P-C2</x:v>
      </x:c>
      <x:c r="D49" s="94" t="str">
        <x:v>Авт. выключатель CHINT NXB-63 1P C2A, первичная цепь</x:v>
      </x:c>
      <x:c r="E49" s="95"/>
      <x:c r="F49" s="95"/>
      <x:c r="G49" s="95" t="str">
        <x:f>IF(OR(F49="",H49=""),"",F49*H49)</x:f>
      </x:c>
      <x:c r="H49" s="96" t="n">
        <x:v>1</x:v>
      </x:c>
      <x:c r="I49" s="94" t="str">
        <x:v> ШТ. </x:v>
      </x:c>
      <x:c r="J49" s="94" t="str">
        <x:v>CHINT</x:v>
      </x:c>
      <x:c r="K49" s="64" t="str">
        <x:v>B01, B02, B03</x:v>
      </x:c>
    </x:row>
    <x:row r="50">
      <x:c r="A50" s="64" t="str">
        <x:v>ЯТП-0,25-220/36 036УХЛ4</x:v>
      </x:c>
      <x:c r="B50" s="94" t="str">
        <x:v>oto</x:v>
      </x:c>
      <x:c r="C50" s="100" t="str">
        <x:v>KONTROL-MCB-2P-C10</x:v>
      </x:c>
      <x:c r="D50" s="94" t="str">
        <x:v>Авт. выключатель CHINT NXB-63 2P C10A, вторичная цепь 36V</x:v>
      </x:c>
      <x:c r="E50" s="95"/>
      <x:c r="F50" s="95"/>
      <x:c r="G50" s="95" t="str">
        <x:f>IF(OR(F50="",H50=""),"",F50*H50)</x:f>
      </x:c>
      <x:c r="H50" s="96" t="n">
        <x:v>1</x:v>
      </x:c>
      <x:c r="I50" s="94" t="str">
        <x:v> ШТ. </x:v>
      </x:c>
      <x:c r="J50" s="94" t="str">
        <x:v>CHINT</x:v>
      </x:c>
      <x:c r="K50" s="64" t="str">
        <x:v>B01, B02, B03</x:v>
      </x:c>
    </x:row>
    <x:row r="51">
      <x:c r="A51" s="64" t="str">
        <x:v>ЯТП-0,25-220/36 036УХЛ4</x:v>
      </x:c>
      <x:c r="B51" s="94" t="str">
        <x:v>rozetka</x:v>
      </x:c>
      <x:c r="C51" s="100" t="str">
        <x:v>KONTROL-SOCKET36</x:v>
      </x:c>
      <x:c r="D51" s="94" t="str">
        <x:v>Розетка 36V 16A, 2P+PE, IP44</x:v>
      </x:c>
      <x:c r="E51" s="95"/>
      <x:c r="F51" s="95"/>
      <x:c r="G51" s="95" t="str">
        <x:f>IF(OR(F51="",H51=""),"",F51*H51)</x:f>
      </x:c>
      <x:c r="H51" s="96" t="n">
        <x:v>1</x:v>
      </x:c>
      <x:c r="I51" s="94" t="str">
        <x:v> ШТ. </x:v>
      </x:c>
      <x:c r="J51" s="94" t="str">
        <x:v>EKT/IEK</x:v>
      </x:c>
      <x:c r="K51" s="64" t="str">
        <x:v>B01, B02, B03</x:v>
      </x:c>
    </x:row>
    <x:row r="52">
      <x:c r="A52" s="64" t="str">
        <x:v>ЯТП-0,25-220/36 036УХЛ4</x:v>
      </x:c>
      <x:c r="B52" s="94" t="str">
        <x:v>bara</x:v>
      </x:c>
      <x:c r="C52" s="100" t="str">
        <x:v>KONTROL-N</x:v>
      </x:c>
      <x:c r="D52" s="94" t="str">
        <x:v>Шина N изолированная, не менее 12 присоединений</x:v>
      </x:c>
      <x:c r="E52" s="95"/>
      <x:c r="F52" s="95"/>
      <x:c r="G52" s="95" t="str">
        <x:f>IF(OR(F52="",H52=""),"",F52*H52)</x:f>
      </x:c>
      <x:c r="H52" s="96" t="n">
        <x:v>1</x:v>
      </x:c>
      <x:c r="I52" s="94" t="str">
        <x:v> ШТ. </x:v>
      </x:c>
      <x:c r="J52" s="94" t="str">
        <x:v>EKT/Klemsan</x:v>
      </x:c>
      <x:c r="K52" s="64" t="str">
        <x:v>B01, B02, B03</x:v>
      </x:c>
    </x:row>
    <x:row r="53">
      <x:c r="A53" s="64" t="str">
        <x:v>ЯТП-0,25-220/36 036УХЛ4</x:v>
      </x:c>
      <x:c r="B53" s="94" t="str">
        <x:v>bara</x:v>
      </x:c>
      <x:c r="C53" s="100" t="str">
        <x:v>KONTROL-PE</x:v>
      </x:c>
      <x:c r="D53" s="94" t="str">
        <x:v>Шина PE медная, не менее 12 присоединений</x:v>
      </x:c>
      <x:c r="E53" s="95"/>
      <x:c r="F53" s="95"/>
      <x:c r="G53" s="95" t="str">
        <x:f>IF(OR(F53="",H53=""),"",F53*H53)</x:f>
      </x:c>
      <x:c r="H53" s="96" t="n">
        <x:v>1</x:v>
      </x:c>
      <x:c r="I53" s="94" t="str">
        <x:v> ШТ. </x:v>
      </x:c>
      <x:c r="J53" s="94" t="str">
        <x:v>EKT/Klemsan</x:v>
      </x:c>
      <x:c r="K53" s="64" t="str">
        <x:v>B01, B02, B03</x:v>
      </x:c>
    </x:row>
    <x:row r="54">
      <x:c r="A54" s="64" t="str">
        <x:v>ЯТП-0,25-220/36 036УХЛ4</x:v>
      </x:c>
      <x:c r="B54" s="94" t="str">
        <x:v>din</x:v>
      </x:c>
      <x:c r="C54" s="100" t="str">
        <x:v>KONTROL-DIN</x:v>
      </x:c>
      <x:c r="D54" s="94" t="str">
        <x:v>DIN рейка 35 мм, оцинкованная, комплект по габариту</x:v>
      </x:c>
      <x:c r="E54" s="95"/>
      <x:c r="F54" s="95"/>
      <x:c r="G54" s="95" t="str">
        <x:f>IF(OR(F54="",H54=""),"",F54*H54)</x:f>
      </x:c>
      <x:c r="H54" s="96" t="n">
        <x:v>1</x:v>
      </x:c>
      <x:c r="I54" s="94" t="str">
        <x:v> ШТ. </x:v>
      </x:c>
      <x:c r="J54" s="94" t="str">
        <x:v>EKT</x:v>
      </x:c>
      <x:c r="K54" s="64" t="str">
        <x:v>B01, B02, B03</x:v>
      </x:c>
    </x:row>
    <x:row r="55">
      <x:c r="A55" s="64" t="str">
        <x:v>ЯТП-0,25-220/36 036УХЛ4</x:v>
      </x:c>
      <x:c r="B55" s="94" t="str">
        <x:v>kanal</x:v>
      </x:c>
      <x:c r="C55" s="100" t="str">
        <x:v>KONTROL-KK</x:v>
      </x:c>
      <x:c r="D55" s="94" t="str">
        <x:v>Кабельный канал перфорированный, комплект по габариту</x:v>
      </x:c>
      <x:c r="E55" s="95"/>
      <x:c r="F55" s="95"/>
      <x:c r="G55" s="95" t="str">
        <x:f>IF(OR(F55="",H55=""),"",F55*H55)</x:f>
      </x:c>
      <x:c r="H55" s="96" t="n">
        <x:v>1</x:v>
      </x:c>
      <x:c r="I55" s="94" t="str">
        <x:v> ШТ. </x:v>
      </x:c>
      <x:c r="J55" s="94" t="str">
        <x:v>ONKA/EKT</x:v>
      </x:c>
      <x:c r="K55" s="64" t="str">
        <x:v>B01, B02, B03</x:v>
      </x:c>
    </x:row>
    <x:row r="56">
      <x:c r="A56" s="64" t="str">
        <x:v>ЯТП-0,25-220/36 036УХЛ4</x:v>
      </x:c>
      <x:c r="B56" s="94" t="str">
        <x:v>klemens</x:v>
      </x:c>
      <x:c r="C56" s="100" t="str">
        <x:v>KONTROL-KL</x:v>
      </x:c>
      <x:c r="D56" s="94" t="str">
        <x:v>Клеммник 2,5-6 мм² (фаза/N/PE по схеме)</x:v>
      </x:c>
      <x:c r="E56" s="95"/>
      <x:c r="F56" s="95"/>
      <x:c r="G56" s="95" t="str">
        <x:f>IF(OR(F56="",H56=""),"",F56*H56)</x:f>
      </x:c>
      <x:c r="H56" s="96" t="n">
        <x:v>12</x:v>
      </x:c>
      <x:c r="I56" s="94" t="str">
        <x:v> ШТ. </x:v>
      </x:c>
      <x:c r="J56" s="94" t="str">
        <x:v>Klemsan/EKT</x:v>
      </x:c>
      <x:c r="K56" s="64" t="str">
        <x:v>B01, B02, B03</x:v>
      </x:c>
    </x:row>
    <x:row r="57">
      <x:c r="A57" s="64" t="str">
        <x:v>ЯТП-0,25-220/36 036УХЛ4</x:v>
      </x:c>
      <x:c r="B57" s="94" t="str">
        <x:v>kablo</x:v>
      </x:c>
      <x:c r="C57" s="100" t="str">
        <x:v>KONTROL-WIRE</x:v>
      </x:c>
      <x:c r="D57" s="94" t="str">
        <x:v>Внутренняя проводка Harmony + маркировка, комплект</x:v>
      </x:c>
      <x:c r="E57" s="95"/>
      <x:c r="F57" s="95"/>
      <x:c r="G57" s="95" t="str">
        <x:f>IF(OR(F57="",H57=""),"",F57*H57)</x:f>
      </x:c>
      <x:c r="H57" s="96" t="n">
        <x:v>1</x:v>
      </x:c>
      <x:c r="I57" s="94" t="str">
        <x:v> ШТ. </x:v>
      </x:c>
      <x:c r="J57" s="94" t="str">
        <x:v>Harmony</x:v>
      </x:c>
      <x:c r="K57" s="64" t="str">
        <x:v>B01, B02, B03</x:v>
      </x:c>
    </x:row>
    <x:row r="58">
      <x:c r="A58" s="64" t="str">
        <x:v>ЯТП-0,25-220/36 036УХЛ4</x:v>
      </x:c>
      <x:c r="B58" s="64" t="str">
        <x:v>монтажный материал</x:v>
      </x:c>
      <x:c r="C58" s="64" t="str">
        <x:v>монтажный материал</x:v>
      </x:c>
      <x:c r="D58" s="64" t="str">
        <x:v>Монтажный материал</x:v>
      </x:c>
      <x:c r="E58" s="83"/>
      <x:c r="F58" s="83"/>
      <x:c r="G58" s="83" t="str">
        <x:f>IF(OR(F58="",H58=""),"",F58*H58)</x:f>
      </x:c>
      <x:c r="H58" s="89" t="n">
        <x:v>1</x:v>
      </x:c>
      <x:c r="I58" s="64" t="str">
        <x:v>компл.</x:v>
      </x:c>
      <x:c r="J58" s="64" t="str">
        <x:v>TEKLED</x:v>
      </x:c>
      <x:c r="K58" s="64" t="str">
        <x:v>B01, B02, B03</x:v>
      </x:c>
    </x:row>
    <x:row r="59">
      <x:c r="A59" s="64" t="str">
        <x:v>ЯТП-0,25-220/36 036УХЛ4</x:v>
      </x:c>
      <x:c r="B59" s="64" t="str">
        <x:v>монтажные работы</x:v>
      </x:c>
      <x:c r="C59" s="64" t="str">
        <x:v>монтажные работы</x:v>
      </x:c>
      <x:c r="D59" s="64" t="str">
        <x:v>Монтажные работы</x:v>
      </x:c>
      <x:c r="E59" s="83"/>
      <x:c r="F59" s="83"/>
      <x:c r="G59" s="83" t="str">
        <x:f>IF(OR(F59="",H59=""),"",F59*H59)</x:f>
      </x:c>
      <x:c r="H59" s="89" t="n">
        <x:v>1</x:v>
      </x:c>
      <x:c r="I59" s="64" t="str">
        <x:v>компл.</x:v>
      </x:c>
      <x:c r="J59" s="64" t="str">
        <x:v>TEKLED</x:v>
      </x:c>
      <x:c r="K59" s="64" t="str">
        <x:v>B01, B02, B03</x:v>
      </x:c>
    </x:row>
    <x:row r="60">
      <x:c r="A60" s="76" t="str">
        <x:v>ЯТП-0,25-220/36 036УХЛ4</x:v>
      </x:c>
      <x:c r="B60" s="76"/>
      <x:c r="C60" s="76"/>
      <x:c r="D60" s="80" t="str">
        <x:v>ИТОГО на 1 комплект</x:v>
      </x:c>
      <x:c r="E60" s="84"/>
      <x:c r="F60" s="84"/>
      <x:c r="G60" s="84" t="n">
        <x:f>SUM(G47:G59)</x:f>
        <x:v>0</x:v>
      </x:c>
      <x:c r="H60" s="90"/>
      <x:c r="I60" s="76"/>
      <x:c r="J60" s="76"/>
      <x:c r="K60" s="76" t="str">
        <x:v>B01, B02, B03</x:v>
      </x:c>
    </x:row>
    <x:row r="61" ht="24" customHeight="1">
      <x:c r="A61" s="69" t="str">
        <x:v>ГРЩ (В08)</x:v>
      </x:c>
      <x:c r="B61" s="69"/>
      <x:c r="C61" s="69"/>
      <x:c r="D61" s="69" t="str">
        <x:v>ГРЩ (В08)</x:v>
      </x:c>
      <x:c r="E61" s="82"/>
      <x:c r="F61" s="82"/>
      <x:c r="G61" s="82"/>
      <x:c r="H61" s="88" t="n">
        <x:v>1</x:v>
      </x:c>
      <x:c r="I61" s="69" t="str">
        <x:v>комплект</x:v>
      </x:c>
      <x:c r="J61" s="69" t="str">
        <x:v>TEKLED/TEKSAN</x:v>
      </x:c>
      <x:c r="K61" s="69" t="str">
        <x:v>B08</x:v>
      </x:c>
    </x:row>
    <x:row r="62">
      <x:c r="A62" s="64" t="str">
        <x:v>ГРЩ (В08)</x:v>
      </x:c>
      <x:c r="B62" s="64" t="str">
        <x:v>korpus</x:v>
      </x:c>
      <x:c r="C62" s="64" t="str">
        <x:v>714-15010</x:v>
      </x:c>
      <x:c r="D62" s="64" t="str">
        <x:v>Pano met.ShRn-24 b/o (398х312х120)S/U 36 IP31 (TS)</x:v>
      </x:c>
      <x:c r="E62" s="83" t="n">
        <x:v>13410</x:v>
      </x:c>
      <x:c r="F62" s="83" t="n">
        <x:v>8046</x:v>
      </x:c>
      <x:c r="G62" s="83" t="n">
        <x:f>IF(OR(F62="",H62=""),"",F62*H62)</x:f>
        <x:v>8046</x:v>
      </x:c>
      <x:c r="H62" s="89" t="n">
        <x:v>1</x:v>
      </x:c>
      <x:c r="I62" s="64" t="str">
        <x:v> ШТ. </x:v>
      </x:c>
      <x:c r="J62" s="64" t="str">
        <x:v>teksan f</x:v>
      </x:c>
      <x:c r="K62" s="64" t="str">
        <x:v>B08</x:v>
      </x:c>
    </x:row>
    <x:row r="63">
      <x:c r="A63" s="64" t="str">
        <x:v>ГРЩ (В08)</x:v>
      </x:c>
      <x:c r="B63" s="64" t="str">
        <x:v>oto</x:v>
      </x:c>
      <x:c r="C63" s="64" t="str">
        <x:v>816139</x:v>
      </x:c>
      <x:c r="D63" s="64" t="str">
        <x:v>Авт. выкл. NXB-125 3P 80A 10кА х-ка C (R)</x:v>
      </x:c>
      <x:c r="E63" s="83" t="n">
        <x:v>10949</x:v>
      </x:c>
      <x:c r="F63" s="83" t="n">
        <x:v>6569.4</x:v>
      </x:c>
      <x:c r="G63" s="83" t="n">
        <x:f>IF(OR(F63="",H63=""),"",F63*H63)</x:f>
        <x:v>6569.4</x:v>
      </x:c>
      <x:c r="H63" s="89" t="n">
        <x:v>1</x:v>
      </x:c>
      <x:c r="I63" s="64" t="str">
        <x:v> ШТ. </x:v>
      </x:c>
      <x:c r="J63" s="64" t="str">
        <x:v>chint</x:v>
      </x:c>
      <x:c r="K63" s="64" t="str">
        <x:v>B08</x:v>
      </x:c>
    </x:row>
    <x:row r="64">
      <x:c r="A64" s="64" t="str">
        <x:v>ГРЩ (В08)</x:v>
      </x:c>
      <x:c r="B64" s="64" t="str">
        <x:v>oto</x:v>
      </x:c>
      <x:c r="C64" s="64" t="str">
        <x:v>296832</x:v>
      </x:c>
      <x:c r="D64" s="64" t="str">
        <x:v>Авт. выкл. NXB-63S 3P 50А 4.5kA х-ка C (R)</x:v>
      </x:c>
      <x:c r="E64" s="83" t="n">
        <x:v>3172</x:v>
      </x:c>
      <x:c r="F64" s="83" t="n">
        <x:v>1903.1999999999998</x:v>
      </x:c>
      <x:c r="G64" s="83" t="n">
        <x:f>IF(OR(F64="",H64=""),"",F64*H64)</x:f>
        <x:v>1903.1999999999998</x:v>
      </x:c>
      <x:c r="H64" s="89" t="n">
        <x:v>1</x:v>
      </x:c>
      <x:c r="I64" s="64" t="str">
        <x:v> ШТ. </x:v>
      </x:c>
      <x:c r="J64" s="64" t="str">
        <x:v>chint</x:v>
      </x:c>
      <x:c r="K64" s="64" t="str">
        <x:v>B08</x:v>
      </x:c>
    </x:row>
    <x:row r="65">
      <x:c r="A65" s="64" t="str">
        <x:v>ГРЩ (В08)</x:v>
      </x:c>
      <x:c r="B65" s="64" t="str">
        <x:v>oto</x:v>
      </x:c>
      <x:c r="C65" s="64" t="str">
        <x:v>296829</x:v>
      </x:c>
      <x:c r="D65" s="64" t="str">
        <x:v>Авт. выкл. NXB-63S 3P 25А 4.5kA х-ка C (R)</x:v>
      </x:c>
      <x:c r="E65" s="83" t="n">
        <x:v>2429</x:v>
      </x:c>
      <x:c r="F65" s="83" t="n">
        <x:v>1457.3999999999999</x:v>
      </x:c>
      <x:c r="G65" s="83" t="n">
        <x:f>IF(OR(F65="",H65=""),"",F65*H65)</x:f>
        <x:v>1457.3999999999999</x:v>
      </x:c>
      <x:c r="H65" s="89" t="n">
        <x:v>1</x:v>
      </x:c>
      <x:c r="I65" s="64" t="str">
        <x:v> ШТ. </x:v>
      </x:c>
      <x:c r="J65" s="64" t="str">
        <x:v>chint</x:v>
      </x:c>
      <x:c r="K65" s="64" t="str">
        <x:v>B08</x:v>
      </x:c>
    </x:row>
    <x:row r="66">
      <x:c r="A66" s="64" t="str">
        <x:v>ГРЩ (В08)</x:v>
      </x:c>
      <x:c r="B66" s="64" t="str">
        <x:v>oto</x:v>
      </x:c>
      <x:c r="C66" s="64" t="str">
        <x:v>296827</x:v>
      </x:c>
      <x:c r="D66" s="64" t="str">
        <x:v>Авт. выкл. NXB-63S 3P 16А 4.5kA х-ка C (R)</x:v>
      </x:c>
      <x:c r="E66" s="83" t="n">
        <x:v>2337</x:v>
      </x:c>
      <x:c r="F66" s="83" t="n">
        <x:v>1402.2</x:v>
      </x:c>
      <x:c r="G66" s="83" t="n">
        <x:f>IF(OR(F66="",H66=""),"",F66*H66)</x:f>
        <x:v>1402.2</x:v>
      </x:c>
      <x:c r="H66" s="89" t="n">
        <x:v>1</x:v>
      </x:c>
      <x:c r="I66" s="64" t="str">
        <x:v> ШТ. </x:v>
      </x:c>
      <x:c r="J66" s="64" t="str">
        <x:v>chint</x:v>
      </x:c>
      <x:c r="K66" s="64" t="str">
        <x:v>B08</x:v>
      </x:c>
    </x:row>
    <x:row r="67">
      <x:c r="A67" s="64" t="str">
        <x:v>ГРЩ (В08)</x:v>
      </x:c>
      <x:c r="B67" s="64" t="str">
        <x:v>oto</x:v>
      </x:c>
      <x:c r="C67" s="64" t="str">
        <x:v>814014</x:v>
      </x:c>
      <x:c r="D67" s="64" t="str">
        <x:v>Авт. выкл. NXB-63 1P 16A 6кА х-ка C (R)</x:v>
      </x:c>
      <x:c r="E67" s="83" t="n">
        <x:v>1389</x:v>
      </x:c>
      <x:c r="F67" s="83" t="n">
        <x:v>833.4</x:v>
      </x:c>
      <x:c r="G67" s="83" t="n">
        <x:f>IF(OR(F67="",H67=""),"",F67*H67)</x:f>
        <x:v>4167</x:v>
      </x:c>
      <x:c r="H67" s="89" t="n">
        <x:v>5</x:v>
      </x:c>
      <x:c r="I67" s="64" t="str">
        <x:v> ШТ. </x:v>
      </x:c>
      <x:c r="J67" s="64" t="str">
        <x:v>chint</x:v>
      </x:c>
      <x:c r="K67" s="64" t="str">
        <x:v>B08</x:v>
      </x:c>
    </x:row>
    <x:row r="68">
      <x:c r="A68" s="64" t="str">
        <x:v>ГРЩ (В08)</x:v>
      </x:c>
      <x:c r="B68" s="64" t="str">
        <x:v>rn</x:v>
      </x:c>
      <x:c r="C68" s="64" t="str">
        <x:v>814989</x:v>
      </x:c>
      <x:c r="D68" s="64" t="str">
        <x:v>Независимый расцепитель SHT-X1 AC230V/400V для NXB-63 (R)</x:v>
      </x:c>
      <x:c r="E68" s="83" t="n">
        <x:v>5354</x:v>
      </x:c>
      <x:c r="F68" s="83" t="n">
        <x:v>3212.4</x:v>
      </x:c>
      <x:c r="G68" s="83" t="n">
        <x:f>IF(OR(F68="",H68=""),"",F68*H68)</x:f>
        <x:v>3212.4</x:v>
      </x:c>
      <x:c r="H68" s="89" t="n">
        <x:v>1</x:v>
      </x:c>
      <x:c r="I68" s="64" t="str">
        <x:v> ШТ. </x:v>
      </x:c>
      <x:c r="J68" s="64" t="str">
        <x:v>chint</x:v>
      </x:c>
      <x:c r="K68" s="64" t="str">
        <x:v>B08</x:v>
      </x:c>
    </x:row>
    <x:row r="69">
      <x:c r="A69" s="64" t="str">
        <x:v>ГРЩ (В08)</x:v>
      </x:c>
      <x:c r="B69" s="94" t="str">
        <x:v>bara</x:v>
      </x:c>
      <x:c r="C69" s="100" t="str">
        <x:v>KONTROL-N</x:v>
      </x:c>
      <x:c r="D69" s="94" t="str">
        <x:v>Шина N изолированная, не менее 12 присоединений</x:v>
      </x:c>
      <x:c r="E69" s="95"/>
      <x:c r="F69" s="95"/>
      <x:c r="G69" s="95" t="str">
        <x:f>IF(OR(F69="",H69=""),"",F69*H69)</x:f>
      </x:c>
      <x:c r="H69" s="96" t="n">
        <x:v>1</x:v>
      </x:c>
      <x:c r="I69" s="94" t="str">
        <x:v> ШТ. </x:v>
      </x:c>
      <x:c r="J69" s="94" t="str">
        <x:v>EKT/Klemsan</x:v>
      </x:c>
      <x:c r="K69" s="64" t="str">
        <x:v>B08</x:v>
      </x:c>
    </x:row>
    <x:row r="70">
      <x:c r="A70" s="64" t="str">
        <x:v>ГРЩ (В08)</x:v>
      </x:c>
      <x:c r="B70" s="94" t="str">
        <x:v>bara</x:v>
      </x:c>
      <x:c r="C70" s="100" t="str">
        <x:v>KONTROL-PE</x:v>
      </x:c>
      <x:c r="D70" s="94" t="str">
        <x:v>Шина PE медная, не менее 12 присоединений</x:v>
      </x:c>
      <x:c r="E70" s="95"/>
      <x:c r="F70" s="95"/>
      <x:c r="G70" s="95" t="str">
        <x:f>IF(OR(F70="",H70=""),"",F70*H70)</x:f>
      </x:c>
      <x:c r="H70" s="96" t="n">
        <x:v>1</x:v>
      </x:c>
      <x:c r="I70" s="94" t="str">
        <x:v> ШТ. </x:v>
      </x:c>
      <x:c r="J70" s="94" t="str">
        <x:v>EKT/Klemsan</x:v>
      </x:c>
      <x:c r="K70" s="64" t="str">
        <x:v>B08</x:v>
      </x:c>
    </x:row>
    <x:row r="71">
      <x:c r="A71" s="64" t="str">
        <x:v>ГРЩ (В08)</x:v>
      </x:c>
      <x:c r="B71" s="94" t="str">
        <x:v>din</x:v>
      </x:c>
      <x:c r="C71" s="100" t="str">
        <x:v>KONTROL-DIN</x:v>
      </x:c>
      <x:c r="D71" s="94" t="str">
        <x:v>DIN рейка 35 мм, оцинкованная, комплект по габариту</x:v>
      </x:c>
      <x:c r="E71" s="95"/>
      <x:c r="F71" s="95"/>
      <x:c r="G71" s="95" t="str">
        <x:f>IF(OR(F71="",H71=""),"",F71*H71)</x:f>
      </x:c>
      <x:c r="H71" s="96" t="n">
        <x:v>1</x:v>
      </x:c>
      <x:c r="I71" s="94" t="str">
        <x:v> ШТ. </x:v>
      </x:c>
      <x:c r="J71" s="94" t="str">
        <x:v>EKT</x:v>
      </x:c>
      <x:c r="K71" s="64" t="str">
        <x:v>B08</x:v>
      </x:c>
    </x:row>
    <x:row r="72">
      <x:c r="A72" s="64" t="str">
        <x:v>ГРЩ (В08)</x:v>
      </x:c>
      <x:c r="B72" s="94" t="str">
        <x:v>kanal</x:v>
      </x:c>
      <x:c r="C72" s="100" t="str">
        <x:v>KONTROL-KK</x:v>
      </x:c>
      <x:c r="D72" s="94" t="str">
        <x:v>Кабельный канал перфорированный, комплект по габариту</x:v>
      </x:c>
      <x:c r="E72" s="95"/>
      <x:c r="F72" s="95"/>
      <x:c r="G72" s="95" t="str">
        <x:f>IF(OR(F72="",H72=""),"",F72*H72)</x:f>
      </x:c>
      <x:c r="H72" s="96" t="n">
        <x:v>1</x:v>
      </x:c>
      <x:c r="I72" s="94" t="str">
        <x:v> ШТ. </x:v>
      </x:c>
      <x:c r="J72" s="94" t="str">
        <x:v>ONKA/EKT</x:v>
      </x:c>
      <x:c r="K72" s="64" t="str">
        <x:v>B08</x:v>
      </x:c>
    </x:row>
    <x:row r="73">
      <x:c r="A73" s="64" t="str">
        <x:v>ГРЩ (В08)</x:v>
      </x:c>
      <x:c r="B73" s="94" t="str">
        <x:v>klemens</x:v>
      </x:c>
      <x:c r="C73" s="100" t="str">
        <x:v>KONTROL-KL</x:v>
      </x:c>
      <x:c r="D73" s="94" t="str">
        <x:v>Клеммник 2,5-6 мм² (фаза/N/PE по схеме)</x:v>
      </x:c>
      <x:c r="E73" s="95"/>
      <x:c r="F73" s="95"/>
      <x:c r="G73" s="95" t="str">
        <x:f>IF(OR(F73="",H73=""),"",F73*H73)</x:f>
      </x:c>
      <x:c r="H73" s="96" t="n">
        <x:v>25</x:v>
      </x:c>
      <x:c r="I73" s="94" t="str">
        <x:v> ШТ. </x:v>
      </x:c>
      <x:c r="J73" s="94" t="str">
        <x:v>Klemsan/EKT</x:v>
      </x:c>
      <x:c r="K73" s="64" t="str">
        <x:v>B08</x:v>
      </x:c>
    </x:row>
    <x:row r="74">
      <x:c r="A74" s="64" t="str">
        <x:v>ГРЩ (В08)</x:v>
      </x:c>
      <x:c r="B74" s="94" t="str">
        <x:v>kablo</x:v>
      </x:c>
      <x:c r="C74" s="100" t="str">
        <x:v>KONTROL-WIRE</x:v>
      </x:c>
      <x:c r="D74" s="94" t="str">
        <x:v>Внутренняя проводка Harmony + маркировка, комплект</x:v>
      </x:c>
      <x:c r="E74" s="95"/>
      <x:c r="F74" s="95"/>
      <x:c r="G74" s="95" t="str">
        <x:f>IF(OR(F74="",H74=""),"",F74*H74)</x:f>
      </x:c>
      <x:c r="H74" s="96" t="n">
        <x:v>1</x:v>
      </x:c>
      <x:c r="I74" s="94" t="str">
        <x:v> ШТ. </x:v>
      </x:c>
      <x:c r="J74" s="94" t="str">
        <x:v>Harmony</x:v>
      </x:c>
      <x:c r="K74" s="64" t="str">
        <x:v>B08</x:v>
      </x:c>
    </x:row>
    <x:row r="75">
      <x:c r="A75" s="64" t="str">
        <x:v>ГРЩ (В08)</x:v>
      </x:c>
      <x:c r="B75" s="64" t="str">
        <x:v>монтажный материал</x:v>
      </x:c>
      <x:c r="C75" s="64" t="str">
        <x:v>монтажный материал</x:v>
      </x:c>
      <x:c r="D75" s="64" t="str">
        <x:v>Монтажный материал</x:v>
      </x:c>
      <x:c r="E75" s="83"/>
      <x:c r="F75" s="83"/>
      <x:c r="G75" s="83" t="str">
        <x:f>IF(OR(F75="",H75=""),"",F75*H75)</x:f>
      </x:c>
      <x:c r="H75" s="89" t="n">
        <x:v>1</x:v>
      </x:c>
      <x:c r="I75" s="64" t="str">
        <x:v>компл.</x:v>
      </x:c>
      <x:c r="J75" s="64" t="str">
        <x:v>TEKLED</x:v>
      </x:c>
      <x:c r="K75" s="64" t="str">
        <x:v>B08</x:v>
      </x:c>
    </x:row>
    <x:row r="76">
      <x:c r="A76" s="64" t="str">
        <x:v>ГРЩ (В08)</x:v>
      </x:c>
      <x:c r="B76" s="64" t="str">
        <x:v>монтажные работы</x:v>
      </x:c>
      <x:c r="C76" s="64" t="str">
        <x:v>монтажные работы</x:v>
      </x:c>
      <x:c r="D76" s="64" t="str">
        <x:v>Монтажные работы</x:v>
      </x:c>
      <x:c r="E76" s="83"/>
      <x:c r="F76" s="83"/>
      <x:c r="G76" s="83" t="str">
        <x:f>IF(OR(F76="",H76=""),"",F76*H76)</x:f>
      </x:c>
      <x:c r="H76" s="89" t="n">
        <x:v>1</x:v>
      </x:c>
      <x:c r="I76" s="64" t="str">
        <x:v>компл.</x:v>
      </x:c>
      <x:c r="J76" s="64" t="str">
        <x:v>TEKLED</x:v>
      </x:c>
      <x:c r="K76" s="64" t="str">
        <x:v>B08</x:v>
      </x:c>
    </x:row>
    <x:row r="77">
      <x:c r="A77" s="76" t="str">
        <x:v>ГРЩ (В08)</x:v>
      </x:c>
      <x:c r="B77" s="76"/>
      <x:c r="C77" s="76"/>
      <x:c r="D77" s="80" t="str">
        <x:v>ИТОГО на 1 комплект</x:v>
      </x:c>
      <x:c r="E77" s="84"/>
      <x:c r="F77" s="84"/>
      <x:c r="G77" s="84" t="n">
        <x:f>SUM(G62:G76)</x:f>
        <x:v>26757.600000000002</x:v>
      </x:c>
      <x:c r="H77" s="90"/>
      <x:c r="I77" s="76"/>
      <x:c r="J77" s="76"/>
      <x:c r="K77" s="76" t="str">
        <x:v>B08</x:v>
      </x:c>
    </x:row>
    <x:row r="78" ht="24" customHeight="1">
      <x:c r="A78" s="69" t="str">
        <x:v>РПВ (В08)</x:v>
      </x:c>
      <x:c r="B78" s="69"/>
      <x:c r="C78" s="69"/>
      <x:c r="D78" s="69" t="str">
        <x:v>РПВ (В08)</x:v>
      </x:c>
      <x:c r="E78" s="82"/>
      <x:c r="F78" s="82"/>
      <x:c r="G78" s="82"/>
      <x:c r="H78" s="88" t="n">
        <x:v>1</x:v>
      </x:c>
      <x:c r="I78" s="69" t="str">
        <x:v>комплект</x:v>
      </x:c>
      <x:c r="J78" s="69" t="str">
        <x:v>TEKLED/TEKSAN</x:v>
      </x:c>
      <x:c r="K78" s="69" t="str">
        <x:v>B08</x:v>
      </x:c>
    </x:row>
    <x:row r="79">
      <x:c r="A79" s="64" t="str">
        <x:v>РПВ (В08)</x:v>
      </x:c>
      <x:c r="B79" s="94" t="str">
        <x:v>korpus</x:v>
      </x:c>
      <x:c r="C79" s="100" t="str">
        <x:v>KONTROL-KORPUS-800600250-IP31</x:v>
      </x:c>
      <x:c r="D79" s="94" t="str">
        <x:v>Корпус металлический 800x600x250 мм IP31, монтажная панель</x:v>
      </x:c>
      <x:c r="E79" s="95"/>
      <x:c r="F79" s="95"/>
      <x:c r="G79" s="95" t="str">
        <x:f>IF(OR(F79="",H79=""),"",F79*H79)</x:f>
      </x:c>
      <x:c r="H79" s="96" t="n">
        <x:v>1</x:v>
      </x:c>
      <x:c r="I79" s="94" t="str">
        <x:v> ШТ. </x:v>
      </x:c>
      <x:c r="J79" s="94" t="str">
        <x:v>TEKLED</x:v>
      </x:c>
      <x:c r="K79" s="64" t="str">
        <x:v>B08</x:v>
      </x:c>
    </x:row>
    <x:row r="80">
      <x:c r="A80" s="64" t="str">
        <x:v>РПВ (В08)</x:v>
      </x:c>
      <x:c r="B80" s="64" t="str">
        <x:v>contactor</x:v>
      </x:c>
      <x:c r="C80" s="64" t="str">
        <x:v>836704</x:v>
      </x:c>
      <x:c r="D80" s="64" t="str">
        <x:v>Контактор NXC-09 9A 220В/АС3 1НО+1НЗ 50Гц (R)</x:v>
      </x:c>
      <x:c r="E80" s="83" t="n">
        <x:v>5214</x:v>
      </x:c>
      <x:c r="F80" s="83" t="n">
        <x:v>3128.4</x:v>
      </x:c>
      <x:c r="G80" s="83" t="n">
        <x:f>IF(OR(F80="",H80=""),"",F80*H80)</x:f>
        <x:v>25027.2</x:v>
      </x:c>
      <x:c r="H80" s="89" t="n">
        <x:v>8</x:v>
      </x:c>
      <x:c r="I80" s="64" t="str">
        <x:v> ШТ. </x:v>
      </x:c>
      <x:c r="J80" s="64" t="str">
        <x:v>chint</x:v>
      </x:c>
      <x:c r="K80" s="64" t="str">
        <x:v>B08</x:v>
      </x:c>
    </x:row>
    <x:row r="81">
      <x:c r="A81" s="64" t="str">
        <x:v>РПВ (В08)</x:v>
      </x:c>
      <x:c r="B81" s="64" t="str">
        <x:v>rele</x:v>
      </x:c>
      <x:c r="C81" s="64" t="str">
        <x:v>837113</x:v>
      </x:c>
      <x:c r="D81" s="64" t="str">
        <x:v>Тепловое реле NXR-25 2.5-4A (R)</x:v>
      </x:c>
      <x:c r="E81" s="83" t="n">
        <x:v>4315</x:v>
      </x:c>
      <x:c r="F81" s="83" t="n">
        <x:v>2589</x:v>
      </x:c>
      <x:c r="G81" s="83" t="n">
        <x:f>IF(OR(F81="",H81=""),"",F81*H81)</x:f>
        <x:v>20712</x:v>
      </x:c>
      <x:c r="H81" s="89" t="n">
        <x:v>8</x:v>
      </x:c>
      <x:c r="I81" s="64" t="str">
        <x:v> ШТ. </x:v>
      </x:c>
      <x:c r="J81" s="64" t="str">
        <x:v>chint</x:v>
      </x:c>
      <x:c r="K81" s="64" t="str">
        <x:v>B08</x:v>
      </x:c>
    </x:row>
    <x:row r="82">
      <x:c r="A82" s="64" t="str">
        <x:v>РПВ (В08)</x:v>
      </x:c>
      <x:c r="B82" s="64" t="str">
        <x:v>oto</x:v>
      </x:c>
      <x:c r="C82" s="64" t="str">
        <x:v>296827</x:v>
      </x:c>
      <x:c r="D82" s="64" t="str">
        <x:v>Авт. выкл. NXB-63S 3P 16А 4.5kA х-ка C (R)</x:v>
      </x:c>
      <x:c r="E82" s="83" t="n">
        <x:v>2337</x:v>
      </x:c>
      <x:c r="F82" s="83" t="n">
        <x:v>1402.2</x:v>
      </x:c>
      <x:c r="G82" s="83" t="n">
        <x:f>IF(OR(F82="",H82=""),"",F82*H82)</x:f>
        <x:v>15424.2</x:v>
      </x:c>
      <x:c r="H82" s="89" t="n">
        <x:v>11</x:v>
      </x:c>
      <x:c r="I82" s="64" t="str">
        <x:v> ШТ. </x:v>
      </x:c>
      <x:c r="J82" s="64" t="str">
        <x:v>chint</x:v>
      </x:c>
      <x:c r="K82" s="64" t="str">
        <x:v>B08</x:v>
      </x:c>
    </x:row>
    <x:row r="83">
      <x:c r="A83" s="64" t="str">
        <x:v>РПВ (В08)</x:v>
      </x:c>
      <x:c r="B83" s="64" t="str">
        <x:v>oto</x:v>
      </x:c>
      <x:c r="C83" s="64" t="str">
        <x:v>814014</x:v>
      </x:c>
      <x:c r="D83" s="64" t="str">
        <x:v>Авт. выкл. NXB-63 1P 16A 6кА х-ка C (R)</x:v>
      </x:c>
      <x:c r="E83" s="83" t="n">
        <x:v>1389</x:v>
      </x:c>
      <x:c r="F83" s="83" t="n">
        <x:v>833.4</x:v>
      </x:c>
      <x:c r="G83" s="83" t="n">
        <x:f>IF(OR(F83="",H83=""),"",F83*H83)</x:f>
        <x:v>4167</x:v>
      </x:c>
      <x:c r="H83" s="89" t="n">
        <x:v>5</x:v>
      </x:c>
      <x:c r="I83" s="64" t="str">
        <x:v> ШТ. </x:v>
      </x:c>
      <x:c r="J83" s="64" t="str">
        <x:v>chint</x:v>
      </x:c>
      <x:c r="K83" s="64" t="str">
        <x:v>B08</x:v>
      </x:c>
    </x:row>
    <x:row r="84">
      <x:c r="A84" s="64" t="str">
        <x:v>РПВ (В08)</x:v>
      </x:c>
      <x:c r="B84" s="94" t="str">
        <x:v>bara</x:v>
      </x:c>
      <x:c r="C84" s="100" t="str">
        <x:v>KONTROL-N</x:v>
      </x:c>
      <x:c r="D84" s="94" t="str">
        <x:v>Шина N изолированная, не менее 12 присоединений</x:v>
      </x:c>
      <x:c r="E84" s="95"/>
      <x:c r="F84" s="95"/>
      <x:c r="G84" s="95" t="str">
        <x:f>IF(OR(F84="",H84=""),"",F84*H84)</x:f>
      </x:c>
      <x:c r="H84" s="96" t="n">
        <x:v>1</x:v>
      </x:c>
      <x:c r="I84" s="94" t="str">
        <x:v> ШТ. </x:v>
      </x:c>
      <x:c r="J84" s="94" t="str">
        <x:v>EKT/Klemsan</x:v>
      </x:c>
      <x:c r="K84" s="64" t="str">
        <x:v>B08</x:v>
      </x:c>
    </x:row>
    <x:row r="85">
      <x:c r="A85" s="64" t="str">
        <x:v>РПВ (В08)</x:v>
      </x:c>
      <x:c r="B85" s="94" t="str">
        <x:v>bara</x:v>
      </x:c>
      <x:c r="C85" s="100" t="str">
        <x:v>KONTROL-PE</x:v>
      </x:c>
      <x:c r="D85" s="94" t="str">
        <x:v>Шина PE медная, не менее 12 присоединений</x:v>
      </x:c>
      <x:c r="E85" s="95"/>
      <x:c r="F85" s="95"/>
      <x:c r="G85" s="95" t="str">
        <x:f>IF(OR(F85="",H85=""),"",F85*H85)</x:f>
      </x:c>
      <x:c r="H85" s="96" t="n">
        <x:v>1</x:v>
      </x:c>
      <x:c r="I85" s="94" t="str">
        <x:v> ШТ. </x:v>
      </x:c>
      <x:c r="J85" s="94" t="str">
        <x:v>EKT/Klemsan</x:v>
      </x:c>
      <x:c r="K85" s="64" t="str">
        <x:v>B08</x:v>
      </x:c>
    </x:row>
    <x:row r="86">
      <x:c r="A86" s="64" t="str">
        <x:v>РПВ (В08)</x:v>
      </x:c>
      <x:c r="B86" s="94" t="str">
        <x:v>din</x:v>
      </x:c>
      <x:c r="C86" s="100" t="str">
        <x:v>KONTROL-DIN</x:v>
      </x:c>
      <x:c r="D86" s="94" t="str">
        <x:v>DIN рейка 35 мм, оцинкованная, комплект по габариту</x:v>
      </x:c>
      <x:c r="E86" s="95"/>
      <x:c r="F86" s="95"/>
      <x:c r="G86" s="95" t="str">
        <x:f>IF(OR(F86="",H86=""),"",F86*H86)</x:f>
      </x:c>
      <x:c r="H86" s="96" t="n">
        <x:v>1</x:v>
      </x:c>
      <x:c r="I86" s="94" t="str">
        <x:v> ШТ. </x:v>
      </x:c>
      <x:c r="J86" s="94" t="str">
        <x:v>EKT</x:v>
      </x:c>
      <x:c r="K86" s="64" t="str">
        <x:v>B08</x:v>
      </x:c>
    </x:row>
    <x:row r="87">
      <x:c r="A87" s="64" t="str">
        <x:v>РПВ (В08)</x:v>
      </x:c>
      <x:c r="B87" s="94" t="str">
        <x:v>kanal</x:v>
      </x:c>
      <x:c r="C87" s="100" t="str">
        <x:v>KONTROL-KK</x:v>
      </x:c>
      <x:c r="D87" s="94" t="str">
        <x:v>Кабельный канал перфорированный, комплект по габариту</x:v>
      </x:c>
      <x:c r="E87" s="95"/>
      <x:c r="F87" s="95"/>
      <x:c r="G87" s="95" t="str">
        <x:f>IF(OR(F87="",H87=""),"",F87*H87)</x:f>
      </x:c>
      <x:c r="H87" s="96" t="n">
        <x:v>1</x:v>
      </x:c>
      <x:c r="I87" s="94" t="str">
        <x:v> ШТ. </x:v>
      </x:c>
      <x:c r="J87" s="94" t="str">
        <x:v>ONKA/EKT</x:v>
      </x:c>
      <x:c r="K87" s="64" t="str">
        <x:v>B08</x:v>
      </x:c>
    </x:row>
    <x:row r="88">
      <x:c r="A88" s="64" t="str">
        <x:v>РПВ (В08)</x:v>
      </x:c>
      <x:c r="B88" s="94" t="str">
        <x:v>klemens</x:v>
      </x:c>
      <x:c r="C88" s="100" t="str">
        <x:v>KONTROL-KL</x:v>
      </x:c>
      <x:c r="D88" s="94" t="str">
        <x:v>Клеммник 2,5-6 мм² (фаза/N/PE по схеме)</x:v>
      </x:c>
      <x:c r="E88" s="95"/>
      <x:c r="F88" s="95"/>
      <x:c r="G88" s="95" t="str">
        <x:f>IF(OR(F88="",H88=""),"",F88*H88)</x:f>
      </x:c>
      <x:c r="H88" s="96" t="n">
        <x:v>73</x:v>
      </x:c>
      <x:c r="I88" s="94" t="str">
        <x:v> ШТ. </x:v>
      </x:c>
      <x:c r="J88" s="94" t="str">
        <x:v>Klemsan/EKT</x:v>
      </x:c>
      <x:c r="K88" s="64" t="str">
        <x:v>B08</x:v>
      </x:c>
    </x:row>
    <x:row r="89">
      <x:c r="A89" s="64" t="str">
        <x:v>РПВ (В08)</x:v>
      </x:c>
      <x:c r="B89" s="94" t="str">
        <x:v>kablo</x:v>
      </x:c>
      <x:c r="C89" s="100" t="str">
        <x:v>KONTROL-WIRE</x:v>
      </x:c>
      <x:c r="D89" s="94" t="str">
        <x:v>Внутренняя проводка Harmony + маркировка, комплект</x:v>
      </x:c>
      <x:c r="E89" s="95"/>
      <x:c r="F89" s="95"/>
      <x:c r="G89" s="95" t="str">
        <x:f>IF(OR(F89="",H89=""),"",F89*H89)</x:f>
      </x:c>
      <x:c r="H89" s="96" t="n">
        <x:v>1</x:v>
      </x:c>
      <x:c r="I89" s="94" t="str">
        <x:v> ШТ. </x:v>
      </x:c>
      <x:c r="J89" s="94" t="str">
        <x:v>Harmony</x:v>
      </x:c>
      <x:c r="K89" s="64" t="str">
        <x:v>B08</x:v>
      </x:c>
    </x:row>
    <x:row r="90">
      <x:c r="A90" s="64" t="str">
        <x:v>РПВ (В08)</x:v>
      </x:c>
      <x:c r="B90" s="64" t="str">
        <x:v>монтажный материал</x:v>
      </x:c>
      <x:c r="C90" s="64" t="str">
        <x:v>монтажный материал</x:v>
      </x:c>
      <x:c r="D90" s="64" t="str">
        <x:v>Монтажный материал</x:v>
      </x:c>
      <x:c r="E90" s="83"/>
      <x:c r="F90" s="83"/>
      <x:c r="G90" s="83" t="str">
        <x:f>IF(OR(F90="",H90=""),"",F90*H90)</x:f>
      </x:c>
      <x:c r="H90" s="89" t="n">
        <x:v>1</x:v>
      </x:c>
      <x:c r="I90" s="64" t="str">
        <x:v>компл.</x:v>
      </x:c>
      <x:c r="J90" s="64" t="str">
        <x:v>TEKLED</x:v>
      </x:c>
      <x:c r="K90" s="64" t="str">
        <x:v>B08</x:v>
      </x:c>
    </x:row>
    <x:row r="91">
      <x:c r="A91" s="64" t="str">
        <x:v>РПВ (В08)</x:v>
      </x:c>
      <x:c r="B91" s="64" t="str">
        <x:v>монтажные работы</x:v>
      </x:c>
      <x:c r="C91" s="64" t="str">
        <x:v>монтажные работы</x:v>
      </x:c>
      <x:c r="D91" s="64" t="str">
        <x:v>Монтажные работы</x:v>
      </x:c>
      <x:c r="E91" s="83"/>
      <x:c r="F91" s="83"/>
      <x:c r="G91" s="83" t="str">
        <x:f>IF(OR(F91="",H91=""),"",F91*H91)</x:f>
      </x:c>
      <x:c r="H91" s="89" t="n">
        <x:v>1</x:v>
      </x:c>
      <x:c r="I91" s="64" t="str">
        <x:v>компл.</x:v>
      </x:c>
      <x:c r="J91" s="64" t="str">
        <x:v>TEKLED</x:v>
      </x:c>
      <x:c r="K91" s="64" t="str">
        <x:v>B08</x:v>
      </x:c>
    </x:row>
    <x:row r="92">
      <x:c r="A92" s="76" t="str">
        <x:v>РПВ (В08)</x:v>
      </x:c>
      <x:c r="B92" s="76"/>
      <x:c r="C92" s="76"/>
      <x:c r="D92" s="80" t="str">
        <x:v>ИТОГО на 1 комплект</x:v>
      </x:c>
      <x:c r="E92" s="84"/>
      <x:c r="F92" s="84"/>
      <x:c r="G92" s="84" t="n">
        <x:f>SUM(G79:G91)</x:f>
        <x:v>65330.399999999994</x:v>
      </x:c>
      <x:c r="H92" s="90"/>
      <x:c r="I92" s="76"/>
      <x:c r="J92" s="76"/>
      <x:c r="K92" s="76" t="str">
        <x:v>B08</x:v>
      </x:c>
    </x:row>
    <x:row r="93" ht="24" customHeight="1">
      <x:c r="A93" s="69" t="str">
        <x:v>ЯВЗ-31-IP54 УХЛ2 100А</x:v>
      </x:c>
      <x:c r="B93" s="69"/>
      <x:c r="C93" s="69"/>
      <x:c r="D93" s="69" t="str">
        <x:v>ЯВЗ-31-IP54 УХЛ2 100А</x:v>
      </x:c>
      <x:c r="E93" s="82"/>
      <x:c r="F93" s="82"/>
      <x:c r="G93" s="82"/>
      <x:c r="H93" s="88" t="n">
        <x:v>1</x:v>
      </x:c>
      <x:c r="I93" s="69" t="str">
        <x:v>комплект</x:v>
      </x:c>
      <x:c r="J93" s="69" t="str">
        <x:v>TEKLED/TEKSAN</x:v>
      </x:c>
      <x:c r="K93" s="69" t="str">
        <x:v>B08</x:v>
      </x:c>
    </x:row>
    <x:row r="94">
      <x:c r="A94" s="64" t="str">
        <x:v>ЯВЗ-31-IP54 УХЛ2 100А</x:v>
      </x:c>
      <x:c r="B94" s="64" t="str">
        <x:v>korpus</x:v>
      </x:c>
      <x:c r="C94" s="64" t="str">
        <x:v>719-15043</x:v>
      </x:c>
      <x:c r="D94" s="64" t="str">
        <x:v>450*240*175</x:v>
      </x:c>
      <x:c r="E94" s="83"/>
      <x:c r="F94" s="83" t="n">
        <x:v>0</x:v>
      </x:c>
      <x:c r="G94" s="83" t="str">
        <x:f>IF(OR(F94="",H94=""),"",F94*H94)</x:f>
      </x:c>
      <x:c r="H94" s="89" t="n">
        <x:v>1</x:v>
      </x:c>
      <x:c r="I94" s="64" t="str">
        <x:v> ШТ. </x:v>
      </x:c>
      <x:c r="J94" s="64" t="str">
        <x:v>teksan f</x:v>
      </x:c>
      <x:c r="K94" s="64" t="str">
        <x:v>B08</x:v>
      </x:c>
    </x:row>
    <x:row r="95">
      <x:c r="A95" s="64" t="str">
        <x:v>ЯВЗ-31-IP54 УХЛ2 100А</x:v>
      </x:c>
      <x:c r="B95" s="94" t="str">
        <x:v>rubilnik</x:v>
      </x:c>
      <x:c r="C95" s="100" t="str">
        <x:v>KONTROL-NH40-125-3W</x:v>
      </x:c>
      <x:c r="D95" s="94" t="str">
        <x:v>Выключатель-разъединитель CHINT NH40-125/3W, 100A, рукоятка на дверь</x:v>
      </x:c>
      <x:c r="E95" s="95"/>
      <x:c r="F95" s="95"/>
      <x:c r="G95" s="95" t="str">
        <x:f>IF(OR(F95="",H95=""),"",F95*H95)</x:f>
      </x:c>
      <x:c r="H95" s="96" t="n">
        <x:v>1</x:v>
      </x:c>
      <x:c r="I95" s="94" t="str">
        <x:v> ШТ. </x:v>
      </x:c>
      <x:c r="J95" s="94" t="str">
        <x:v>CHINT</x:v>
      </x:c>
      <x:c r="K95" s="64" t="str">
        <x:v>B08</x:v>
      </x:c>
    </x:row>
    <x:row r="96">
      <x:c r="A96" s="64" t="str">
        <x:v>ЯВЗ-31-IP54 УХЛ2 100А</x:v>
      </x:c>
      <x:c r="B96" s="64" t="str">
        <x:v>ppn</x:v>
      </x:c>
      <x:c r="C96" s="64" t="str">
        <x:v>521349</x:v>
      </x:c>
      <x:c r="D96" s="64" t="str">
        <x:v>Плавкая вставка предохранителя RT36-00-160, габарит 00, 100А</x:v>
      </x:c>
      <x:c r="E96" s="83" t="n">
        <x:v>1545</x:v>
      </x:c>
      <x:c r="F96" s="83" t="n">
        <x:v>927</x:v>
      </x:c>
      <x:c r="G96" s="83" t="n">
        <x:f>IF(OR(F96="",H96=""),"",F96*H96)</x:f>
        <x:v>2781</x:v>
      </x:c>
      <x:c r="H96" s="89" t="n">
        <x:v>3</x:v>
      </x:c>
      <x:c r="I96" s="64" t="str">
        <x:v> ШТ. </x:v>
      </x:c>
      <x:c r="J96" s="64" t="str">
        <x:v>chint</x:v>
      </x:c>
      <x:c r="K96" s="64" t="str">
        <x:v>B08</x:v>
      </x:c>
    </x:row>
    <x:row r="97">
      <x:c r="A97" s="64" t="str">
        <x:v>ЯВЗ-31-IP54 УХЛ2 100А</x:v>
      </x:c>
      <x:c r="B97" s="64" t="str">
        <x:v>ppn</x:v>
      </x:c>
      <x:c r="C97" s="64" t="str">
        <x:v>521260</x:v>
      </x:c>
      <x:c r="D97" s="64" t="str">
        <x:v>Держатель плавкой вставки RT36-00-160, габарит 00, 160А</x:v>
      </x:c>
      <x:c r="E97" s="83" t="n">
        <x:v>2038</x:v>
      </x:c>
      <x:c r="F97" s="83" t="n">
        <x:v>1222.8</x:v>
      </x:c>
      <x:c r="G97" s="83" t="n">
        <x:f>IF(OR(F97="",H97=""),"",F97*H97)</x:f>
        <x:v>3668.3999999999996</x:v>
      </x:c>
      <x:c r="H97" s="89" t="n">
        <x:v>3</x:v>
      </x:c>
      <x:c r="I97" s="64" t="str">
        <x:v> ШТ. </x:v>
      </x:c>
      <x:c r="J97" s="64" t="str">
        <x:v>chint</x:v>
      </x:c>
      <x:c r="K97" s="64" t="str">
        <x:v>B08</x:v>
      </x:c>
    </x:row>
    <x:row r="98">
      <x:c r="A98" s="64" t="str">
        <x:v>ЯВЗ-31-IP54 УХЛ2 100А</x:v>
      </x:c>
      <x:c r="B98" s="94" t="str">
        <x:v>bara</x:v>
      </x:c>
      <x:c r="C98" s="100" t="str">
        <x:v>KONTROL-N</x:v>
      </x:c>
      <x:c r="D98" s="94" t="str">
        <x:v>Шина N изолированная, не менее 12 присоединений</x:v>
      </x:c>
      <x:c r="E98" s="95"/>
      <x:c r="F98" s="95"/>
      <x:c r="G98" s="95" t="str">
        <x:f>IF(OR(F98="",H98=""),"",F98*H98)</x:f>
      </x:c>
      <x:c r="H98" s="96" t="n">
        <x:v>1</x:v>
      </x:c>
      <x:c r="I98" s="94" t="str">
        <x:v> ШТ. </x:v>
      </x:c>
      <x:c r="J98" s="94" t="str">
        <x:v>EKT/Klemsan</x:v>
      </x:c>
      <x:c r="K98" s="64" t="str">
        <x:v>B08</x:v>
      </x:c>
    </x:row>
    <x:row r="99">
      <x:c r="A99" s="64" t="str">
        <x:v>ЯВЗ-31-IP54 УХЛ2 100А</x:v>
      </x:c>
      <x:c r="B99" s="94" t="str">
        <x:v>bara</x:v>
      </x:c>
      <x:c r="C99" s="100" t="str">
        <x:v>KONTROL-PE</x:v>
      </x:c>
      <x:c r="D99" s="94" t="str">
        <x:v>Шина PE медная, не менее 12 присоединений</x:v>
      </x:c>
      <x:c r="E99" s="95"/>
      <x:c r="F99" s="95"/>
      <x:c r="G99" s="95" t="str">
        <x:f>IF(OR(F99="",H99=""),"",F99*H99)</x:f>
      </x:c>
      <x:c r="H99" s="96" t="n">
        <x:v>1</x:v>
      </x:c>
      <x:c r="I99" s="94" t="str">
        <x:v> ШТ. </x:v>
      </x:c>
      <x:c r="J99" s="94" t="str">
        <x:v>EKT/Klemsan</x:v>
      </x:c>
      <x:c r="K99" s="64" t="str">
        <x:v>B08</x:v>
      </x:c>
    </x:row>
    <x:row r="100">
      <x:c r="A100" s="64" t="str">
        <x:v>ЯВЗ-31-IP54 УХЛ2 100А</x:v>
      </x:c>
      <x:c r="B100" s="94" t="str">
        <x:v>din</x:v>
      </x:c>
      <x:c r="C100" s="100" t="str">
        <x:v>KONTROL-DIN</x:v>
      </x:c>
      <x:c r="D100" s="94" t="str">
        <x:v>DIN рейка 35 мм, оцинкованная, комплект по габариту</x:v>
      </x:c>
      <x:c r="E100" s="95"/>
      <x:c r="F100" s="95"/>
      <x:c r="G100" s="95" t="str">
        <x:f>IF(OR(F100="",H100=""),"",F100*H100)</x:f>
      </x:c>
      <x:c r="H100" s="96" t="n">
        <x:v>1</x:v>
      </x:c>
      <x:c r="I100" s="94" t="str">
        <x:v> ШТ. </x:v>
      </x:c>
      <x:c r="J100" s="94" t="str">
        <x:v>EKT</x:v>
      </x:c>
      <x:c r="K100" s="64" t="str">
        <x:v>B08</x:v>
      </x:c>
    </x:row>
    <x:row r="101">
      <x:c r="A101" s="64" t="str">
        <x:v>ЯВЗ-31-IP54 УХЛ2 100А</x:v>
      </x:c>
      <x:c r="B101" s="94" t="str">
        <x:v>kanal</x:v>
      </x:c>
      <x:c r="C101" s="100" t="str">
        <x:v>KONTROL-KK</x:v>
      </x:c>
      <x:c r="D101" s="94" t="str">
        <x:v>Кабельный канал перфорированный, комплект по габариту</x:v>
      </x:c>
      <x:c r="E101" s="95"/>
      <x:c r="F101" s="95"/>
      <x:c r="G101" s="95" t="str">
        <x:f>IF(OR(F101="",H101=""),"",F101*H101)</x:f>
      </x:c>
      <x:c r="H101" s="96" t="n">
        <x:v>1</x:v>
      </x:c>
      <x:c r="I101" s="94" t="str">
        <x:v> ШТ. </x:v>
      </x:c>
      <x:c r="J101" s="94" t="str">
        <x:v>ONKA/EKT</x:v>
      </x:c>
      <x:c r="K101" s="64" t="str">
        <x:v>B08</x:v>
      </x:c>
    </x:row>
    <x:row r="102">
      <x:c r="A102" s="64" t="str">
        <x:v>ЯВЗ-31-IP54 УХЛ2 100А</x:v>
      </x:c>
      <x:c r="B102" s="94" t="str">
        <x:v>klemens</x:v>
      </x:c>
      <x:c r="C102" s="100" t="str">
        <x:v>KONTROL-KL</x:v>
      </x:c>
      <x:c r="D102" s="94" t="str">
        <x:v>Клеммник 2,5-6 мм² (фаза/N/PE по схеме)</x:v>
      </x:c>
      <x:c r="E102" s="95"/>
      <x:c r="F102" s="95"/>
      <x:c r="G102" s="95" t="str">
        <x:f>IF(OR(F102="",H102=""),"",F102*H102)</x:f>
      </x:c>
      <x:c r="H102" s="96" t="n">
        <x:v>18</x:v>
      </x:c>
      <x:c r="I102" s="94" t="str">
        <x:v> ШТ. </x:v>
      </x:c>
      <x:c r="J102" s="94" t="str">
        <x:v>Klemsan/EKT</x:v>
      </x:c>
      <x:c r="K102" s="64" t="str">
        <x:v>B08</x:v>
      </x:c>
    </x:row>
    <x:row r="103">
      <x:c r="A103" s="64" t="str">
        <x:v>ЯВЗ-31-IP54 УХЛ2 100А</x:v>
      </x:c>
      <x:c r="B103" s="94" t="str">
        <x:v>kablo</x:v>
      </x:c>
      <x:c r="C103" s="100" t="str">
        <x:v>KONTROL-WIRE</x:v>
      </x:c>
      <x:c r="D103" s="94" t="str">
        <x:v>Внутренняя проводка Harmony + маркировка, комплект</x:v>
      </x:c>
      <x:c r="E103" s="95"/>
      <x:c r="F103" s="95"/>
      <x:c r="G103" s="95" t="str">
        <x:f>IF(OR(F103="",H103=""),"",F103*H103)</x:f>
      </x:c>
      <x:c r="H103" s="96" t="n">
        <x:v>1</x:v>
      </x:c>
      <x:c r="I103" s="94" t="str">
        <x:v> ШТ. </x:v>
      </x:c>
      <x:c r="J103" s="94" t="str">
        <x:v>Harmony</x:v>
      </x:c>
      <x:c r="K103" s="64" t="str">
        <x:v>B08</x:v>
      </x:c>
    </x:row>
    <x:row r="104">
      <x:c r="A104" s="64" t="str">
        <x:v>ЯВЗ-31-IP54 УХЛ2 100А</x:v>
      </x:c>
      <x:c r="B104" s="64" t="str">
        <x:v>монтажный материал</x:v>
      </x:c>
      <x:c r="C104" s="64" t="str">
        <x:v>монтажный материал</x:v>
      </x:c>
      <x:c r="D104" s="64" t="str">
        <x:v>Монтажный материал</x:v>
      </x:c>
      <x:c r="E104" s="83"/>
      <x:c r="F104" s="83"/>
      <x:c r="G104" s="83" t="str">
        <x:f>IF(OR(F104="",H104=""),"",F104*H104)</x:f>
      </x:c>
      <x:c r="H104" s="89" t="n">
        <x:v>1</x:v>
      </x:c>
      <x:c r="I104" s="64" t="str">
        <x:v>компл.</x:v>
      </x:c>
      <x:c r="J104" s="64" t="str">
        <x:v>TEKLED</x:v>
      </x:c>
      <x:c r="K104" s="64" t="str">
        <x:v>B08</x:v>
      </x:c>
    </x:row>
    <x:row r="105">
      <x:c r="A105" s="64" t="str">
        <x:v>ЯВЗ-31-IP54 УХЛ2 100А</x:v>
      </x:c>
      <x:c r="B105" s="64" t="str">
        <x:v>монтажные работы</x:v>
      </x:c>
      <x:c r="C105" s="64" t="str">
        <x:v>монтажные работы</x:v>
      </x:c>
      <x:c r="D105" s="64" t="str">
        <x:v>Монтажные работы</x:v>
      </x:c>
      <x:c r="E105" s="83"/>
      <x:c r="F105" s="83"/>
      <x:c r="G105" s="83" t="str">
        <x:f>IF(OR(F105="",H105=""),"",F105*H105)</x:f>
      </x:c>
      <x:c r="H105" s="89" t="n">
        <x:v>1</x:v>
      </x:c>
      <x:c r="I105" s="64" t="str">
        <x:v>компл.</x:v>
      </x:c>
      <x:c r="J105" s="64" t="str">
        <x:v>TEKLED</x:v>
      </x:c>
      <x:c r="K105" s="64" t="str">
        <x:v>B08</x:v>
      </x:c>
    </x:row>
    <x:row r="106">
      <x:c r="A106" s="76" t="str">
        <x:v>ЯВЗ-31-IP54 УХЛ2 100А</x:v>
      </x:c>
      <x:c r="B106" s="76"/>
      <x:c r="C106" s="76"/>
      <x:c r="D106" s="80" t="str">
        <x:v>ИТОГО на 1 комплект</x:v>
      </x:c>
      <x:c r="E106" s="84"/>
      <x:c r="F106" s="84"/>
      <x:c r="G106" s="84" t="n">
        <x:f>SUM(G94:G105)</x:f>
        <x:v>6449.4</x:v>
      </x:c>
      <x:c r="H106" s="90"/>
      <x:c r="I106" s="76"/>
      <x:c r="J106" s="76"/>
      <x:c r="K106" s="76" t="str">
        <x:v>B08</x:v>
      </x:c>
    </x:row>
    <x:row r="107" ht="24" customHeight="1">
      <x:c r="A107" s="69" t="str">
        <x:v>ЯТП-0,25-220/36 036УХЛ4</x:v>
      </x:c>
      <x:c r="B107" s="69"/>
      <x:c r="C107" s="69"/>
      <x:c r="D107" s="69" t="str">
        <x:v>ЯТП-0,25-220/36 036УХЛ4</x:v>
      </x:c>
      <x:c r="E107" s="82"/>
      <x:c r="F107" s="82"/>
      <x:c r="G107" s="82"/>
      <x:c r="H107" s="88" t="n">
        <x:v>1</x:v>
      </x:c>
      <x:c r="I107" s="69" t="str">
        <x:v>комплект</x:v>
      </x:c>
      <x:c r="J107" s="69" t="str">
        <x:v>TEKLED/TEKSAN</x:v>
      </x:c>
      <x:c r="K107" s="69" t="str">
        <x:v>B08</x:v>
      </x:c>
    </x:row>
    <x:row r="108">
      <x:c r="A108" s="64" t="str">
        <x:v>ЯТП-0,25-220/36 036УХЛ4</x:v>
      </x:c>
      <x:c r="B108" s="94" t="str">
        <x:v>korpus</x:v>
      </x:c>
      <x:c r="C108" s="100" t="str">
        <x:v>KONTROL-KORPUS-YATP</x:v>
      </x:c>
      <x:c r="D108" s="94" t="str">
        <x:v>Корпус металлический 300x250x150 мм, IP54, монтажная панель</x:v>
      </x:c>
      <x:c r="E108" s="95"/>
      <x:c r="F108" s="95"/>
      <x:c r="G108" s="95" t="str">
        <x:f>IF(OR(F108="",H108=""),"",F108*H108)</x:f>
      </x:c>
      <x:c r="H108" s="96" t="n">
        <x:v>1</x:v>
      </x:c>
      <x:c r="I108" s="94" t="str">
        <x:v> ШТ. </x:v>
      </x:c>
      <x:c r="J108" s="94" t="str">
        <x:v>TEKSAN/TEKLED</x:v>
      </x:c>
      <x:c r="K108" s="64" t="str">
        <x:v>B08</x:v>
      </x:c>
    </x:row>
    <x:row r="109">
      <x:c r="A109" s="64" t="str">
        <x:v>ЯТП-0,25-220/36 036УХЛ4</x:v>
      </x:c>
      <x:c r="B109" s="94" t="str">
        <x:v>transformator</x:v>
      </x:c>
      <x:c r="C109" s="100" t="str">
        <x:v>KONTROL-NDK250</x:v>
      </x:c>
      <x:c r="D109" s="94" t="str">
        <x:v>Трансформатор CHINT NDK-250, 230/36V, 250VA</x:v>
      </x:c>
      <x:c r="E109" s="95"/>
      <x:c r="F109" s="95"/>
      <x:c r="G109" s="95" t="str">
        <x:f>IF(OR(F109="",H109=""),"",F109*H109)</x:f>
      </x:c>
      <x:c r="H109" s="96" t="n">
        <x:v>1</x:v>
      </x:c>
      <x:c r="I109" s="94" t="str">
        <x:v> ШТ. </x:v>
      </x:c>
      <x:c r="J109" s="94" t="str">
        <x:v>CHINT</x:v>
      </x:c>
      <x:c r="K109" s="64" t="str">
        <x:v>B08</x:v>
      </x:c>
    </x:row>
    <x:row r="110">
      <x:c r="A110" s="64" t="str">
        <x:v>ЯТП-0,25-220/36 036УХЛ4</x:v>
      </x:c>
      <x:c r="B110" s="94" t="str">
        <x:v>oto</x:v>
      </x:c>
      <x:c r="C110" s="100" t="str">
        <x:v>KONTROL-MCB-1P-C2</x:v>
      </x:c>
      <x:c r="D110" s="94" t="str">
        <x:v>Авт. выключатель CHINT NXB-63 1P C2A, первичная цепь</x:v>
      </x:c>
      <x:c r="E110" s="95"/>
      <x:c r="F110" s="95"/>
      <x:c r="G110" s="95" t="str">
        <x:f>IF(OR(F110="",H110=""),"",F110*H110)</x:f>
      </x:c>
      <x:c r="H110" s="96" t="n">
        <x:v>1</x:v>
      </x:c>
      <x:c r="I110" s="94" t="str">
        <x:v> ШТ. </x:v>
      </x:c>
      <x:c r="J110" s="94" t="str">
        <x:v>CHINT</x:v>
      </x:c>
      <x:c r="K110" s="64" t="str">
        <x:v>B08</x:v>
      </x:c>
    </x:row>
    <x:row r="111">
      <x:c r="A111" s="64" t="str">
        <x:v>ЯТП-0,25-220/36 036УХЛ4</x:v>
      </x:c>
      <x:c r="B111" s="94" t="str">
        <x:v>oto</x:v>
      </x:c>
      <x:c r="C111" s="100" t="str">
        <x:v>KONTROL-MCB-2P-C10</x:v>
      </x:c>
      <x:c r="D111" s="94" t="str">
        <x:v>Авт. выключатель CHINT NXB-63 2P C10A, вторичная цепь 36V</x:v>
      </x:c>
      <x:c r="E111" s="95"/>
      <x:c r="F111" s="95"/>
      <x:c r="G111" s="95" t="str">
        <x:f>IF(OR(F111="",H111=""),"",F111*H111)</x:f>
      </x:c>
      <x:c r="H111" s="96" t="n">
        <x:v>1</x:v>
      </x:c>
      <x:c r="I111" s="94" t="str">
        <x:v> ШТ. </x:v>
      </x:c>
      <x:c r="J111" s="94" t="str">
        <x:v>CHINT</x:v>
      </x:c>
      <x:c r="K111" s="64" t="str">
        <x:v>B08</x:v>
      </x:c>
    </x:row>
    <x:row r="112">
      <x:c r="A112" s="64" t="str">
        <x:v>ЯТП-0,25-220/36 036УХЛ4</x:v>
      </x:c>
      <x:c r="B112" s="94" t="str">
        <x:v>rozetka</x:v>
      </x:c>
      <x:c r="C112" s="100" t="str">
        <x:v>KONTROL-SOCKET36</x:v>
      </x:c>
      <x:c r="D112" s="94" t="str">
        <x:v>Розетка 36V 16A, 2P+PE, IP44</x:v>
      </x:c>
      <x:c r="E112" s="95"/>
      <x:c r="F112" s="95"/>
      <x:c r="G112" s="95" t="str">
        <x:f>IF(OR(F112="",H112=""),"",F112*H112)</x:f>
      </x:c>
      <x:c r="H112" s="96" t="n">
        <x:v>1</x:v>
      </x:c>
      <x:c r="I112" s="94" t="str">
        <x:v> ШТ. </x:v>
      </x:c>
      <x:c r="J112" s="94" t="str">
        <x:v>EKT/IEK</x:v>
      </x:c>
      <x:c r="K112" s="64" t="str">
        <x:v>B08</x:v>
      </x:c>
    </x:row>
    <x:row r="113">
      <x:c r="A113" s="64" t="str">
        <x:v>ЯТП-0,25-220/36 036УХЛ4</x:v>
      </x:c>
      <x:c r="B113" s="94" t="str">
        <x:v>bara</x:v>
      </x:c>
      <x:c r="C113" s="100" t="str">
        <x:v>KONTROL-N</x:v>
      </x:c>
      <x:c r="D113" s="94" t="str">
        <x:v>Шина N изолированная, не менее 12 присоединений</x:v>
      </x:c>
      <x:c r="E113" s="95"/>
      <x:c r="F113" s="95"/>
      <x:c r="G113" s="95" t="str">
        <x:f>IF(OR(F113="",H113=""),"",F113*H113)</x:f>
      </x:c>
      <x:c r="H113" s="96" t="n">
        <x:v>1</x:v>
      </x:c>
      <x:c r="I113" s="94" t="str">
        <x:v> ШТ. </x:v>
      </x:c>
      <x:c r="J113" s="94" t="str">
        <x:v>EKT/Klemsan</x:v>
      </x:c>
      <x:c r="K113" s="64" t="str">
        <x:v>B08</x:v>
      </x:c>
    </x:row>
    <x:row r="114">
      <x:c r="A114" s="64" t="str">
        <x:v>ЯТП-0,25-220/36 036УХЛ4</x:v>
      </x:c>
      <x:c r="B114" s="94" t="str">
        <x:v>bara</x:v>
      </x:c>
      <x:c r="C114" s="100" t="str">
        <x:v>KONTROL-PE</x:v>
      </x:c>
      <x:c r="D114" s="94" t="str">
        <x:v>Шина PE медная, не менее 12 присоединений</x:v>
      </x:c>
      <x:c r="E114" s="95"/>
      <x:c r="F114" s="95"/>
      <x:c r="G114" s="95" t="str">
        <x:f>IF(OR(F114="",H114=""),"",F114*H114)</x:f>
      </x:c>
      <x:c r="H114" s="96" t="n">
        <x:v>1</x:v>
      </x:c>
      <x:c r="I114" s="94" t="str">
        <x:v> ШТ. </x:v>
      </x:c>
      <x:c r="J114" s="94" t="str">
        <x:v>EKT/Klemsan</x:v>
      </x:c>
      <x:c r="K114" s="64" t="str">
        <x:v>B08</x:v>
      </x:c>
    </x:row>
    <x:row r="115">
      <x:c r="A115" s="64" t="str">
        <x:v>ЯТП-0,25-220/36 036УХЛ4</x:v>
      </x:c>
      <x:c r="B115" s="94" t="str">
        <x:v>din</x:v>
      </x:c>
      <x:c r="C115" s="100" t="str">
        <x:v>KONTROL-DIN</x:v>
      </x:c>
      <x:c r="D115" s="94" t="str">
        <x:v>DIN рейка 35 мм, оцинкованная, комплект по габариту</x:v>
      </x:c>
      <x:c r="E115" s="95"/>
      <x:c r="F115" s="95"/>
      <x:c r="G115" s="95" t="str">
        <x:f>IF(OR(F115="",H115=""),"",F115*H115)</x:f>
      </x:c>
      <x:c r="H115" s="96" t="n">
        <x:v>1</x:v>
      </x:c>
      <x:c r="I115" s="94" t="str">
        <x:v> ШТ. </x:v>
      </x:c>
      <x:c r="J115" s="94" t="str">
        <x:v>EKT</x:v>
      </x:c>
      <x:c r="K115" s="64" t="str">
        <x:v>B08</x:v>
      </x:c>
    </x:row>
    <x:row r="116">
      <x:c r="A116" s="64" t="str">
        <x:v>ЯТП-0,25-220/36 036УХЛ4</x:v>
      </x:c>
      <x:c r="B116" s="94" t="str">
        <x:v>kanal</x:v>
      </x:c>
      <x:c r="C116" s="100" t="str">
        <x:v>KONTROL-KK</x:v>
      </x:c>
      <x:c r="D116" s="94" t="str">
        <x:v>Кабельный канал перфорированный, комплект по габариту</x:v>
      </x:c>
      <x:c r="E116" s="95"/>
      <x:c r="F116" s="95"/>
      <x:c r="G116" s="95" t="str">
        <x:f>IF(OR(F116="",H116=""),"",F116*H116)</x:f>
      </x:c>
      <x:c r="H116" s="96" t="n">
        <x:v>1</x:v>
      </x:c>
      <x:c r="I116" s="94" t="str">
        <x:v> ШТ. </x:v>
      </x:c>
      <x:c r="J116" s="94" t="str">
        <x:v>ONKA/EKT</x:v>
      </x:c>
      <x:c r="K116" s="64" t="str">
        <x:v>B08</x:v>
      </x:c>
    </x:row>
    <x:row r="117">
      <x:c r="A117" s="64" t="str">
        <x:v>ЯТП-0,25-220/36 036УХЛ4</x:v>
      </x:c>
      <x:c r="B117" s="94" t="str">
        <x:v>klemens</x:v>
      </x:c>
      <x:c r="C117" s="100" t="str">
        <x:v>KONTROL-KL</x:v>
      </x:c>
      <x:c r="D117" s="94" t="str">
        <x:v>Клеммник 2,5-6 мм² (фаза/N/PE по схеме)</x:v>
      </x:c>
      <x:c r="E117" s="95"/>
      <x:c r="F117" s="95"/>
      <x:c r="G117" s="95" t="str">
        <x:f>IF(OR(F117="",H117=""),"",F117*H117)</x:f>
      </x:c>
      <x:c r="H117" s="96" t="n">
        <x:v>12</x:v>
      </x:c>
      <x:c r="I117" s="94" t="str">
        <x:v> ШТ. </x:v>
      </x:c>
      <x:c r="J117" s="94" t="str">
        <x:v>Klemsan/EKT</x:v>
      </x:c>
      <x:c r="K117" s="64" t="str">
        <x:v>B08</x:v>
      </x:c>
    </x:row>
    <x:row r="118">
      <x:c r="A118" s="64" t="str">
        <x:v>ЯТП-0,25-220/36 036УХЛ4</x:v>
      </x:c>
      <x:c r="B118" s="94" t="str">
        <x:v>kablo</x:v>
      </x:c>
      <x:c r="C118" s="100" t="str">
        <x:v>KONTROL-WIRE</x:v>
      </x:c>
      <x:c r="D118" s="94" t="str">
        <x:v>Внутренняя проводка Harmony + маркировка, комплект</x:v>
      </x:c>
      <x:c r="E118" s="95"/>
      <x:c r="F118" s="95"/>
      <x:c r="G118" s="95" t="str">
        <x:f>IF(OR(F118="",H118=""),"",F118*H118)</x:f>
      </x:c>
      <x:c r="H118" s="96" t="n">
        <x:v>1</x:v>
      </x:c>
      <x:c r="I118" s="94" t="str">
        <x:v> ШТ. </x:v>
      </x:c>
      <x:c r="J118" s="94" t="str">
        <x:v>Harmony</x:v>
      </x:c>
      <x:c r="K118" s="64" t="str">
        <x:v>B08</x:v>
      </x:c>
    </x:row>
    <x:row r="119">
      <x:c r="A119" s="64" t="str">
        <x:v>ЯТП-0,25-220/36 036УХЛ4</x:v>
      </x:c>
      <x:c r="B119" s="64" t="str">
        <x:v>монтажный материал</x:v>
      </x:c>
      <x:c r="C119" s="64" t="str">
        <x:v>монтажный материал</x:v>
      </x:c>
      <x:c r="D119" s="64" t="str">
        <x:v>Монтажный материал</x:v>
      </x:c>
      <x:c r="E119" s="83"/>
      <x:c r="F119" s="83"/>
      <x:c r="G119" s="83" t="str">
        <x:f>IF(OR(F119="",H119=""),"",F119*H119)</x:f>
      </x:c>
      <x:c r="H119" s="89" t="n">
        <x:v>1</x:v>
      </x:c>
      <x:c r="I119" s="64" t="str">
        <x:v>компл.</x:v>
      </x:c>
      <x:c r="J119" s="64" t="str">
        <x:v>TEKLED</x:v>
      </x:c>
      <x:c r="K119" s="64" t="str">
        <x:v>B08</x:v>
      </x:c>
    </x:row>
    <x:row r="120">
      <x:c r="A120" s="64" t="str">
        <x:v>ЯТП-0,25-220/36 036УХЛ4</x:v>
      </x:c>
      <x:c r="B120" s="64" t="str">
        <x:v>монтажные работы</x:v>
      </x:c>
      <x:c r="C120" s="64" t="str">
        <x:v>монтажные работы</x:v>
      </x:c>
      <x:c r="D120" s="64" t="str">
        <x:v>Монтажные работы</x:v>
      </x:c>
      <x:c r="E120" s="83"/>
      <x:c r="F120" s="83"/>
      <x:c r="G120" s="83" t="str">
        <x:f>IF(OR(F120="",H120=""),"",F120*H120)</x:f>
      </x:c>
      <x:c r="H120" s="89" t="n">
        <x:v>1</x:v>
      </x:c>
      <x:c r="I120" s="64" t="str">
        <x:v>компл.</x:v>
      </x:c>
      <x:c r="J120" s="64" t="str">
        <x:v>TEKLED</x:v>
      </x:c>
      <x:c r="K120" s="64" t="str">
        <x:v>B08</x:v>
      </x:c>
    </x:row>
    <x:row r="121">
      <x:c r="A121" s="76" t="str">
        <x:v>ЯТП-0,25-220/36 036УХЛ4</x:v>
      </x:c>
      <x:c r="B121" s="76"/>
      <x:c r="C121" s="76"/>
      <x:c r="D121" s="80" t="str">
        <x:v>ИТОГО на 1 комплект</x:v>
      </x:c>
      <x:c r="E121" s="84"/>
      <x:c r="F121" s="84"/>
      <x:c r="G121" s="84" t="n">
        <x:f>SUM(G108:G120)</x:f>
        <x:v>0</x:v>
      </x:c>
      <x:c r="H121" s="90"/>
      <x:c r="I121" s="76"/>
      <x:c r="J121" s="76"/>
      <x:c r="K121" s="76" t="str">
        <x:v>B08</x:v>
      </x:c>
    </x:row>
    <x:row r="122" ht="24" customHeight="1">
      <x:c r="A122" s="69" t="str">
        <x:v>ГРЩ (В11)</x:v>
      </x:c>
      <x:c r="B122" s="69"/>
      <x:c r="C122" s="69"/>
      <x:c r="D122" s="69" t="str">
        <x:v>ГРЩ (В11)</x:v>
      </x:c>
      <x:c r="E122" s="82"/>
      <x:c r="F122" s="82"/>
      <x:c r="G122" s="82"/>
      <x:c r="H122" s="88" t="n">
        <x:v>1</x:v>
      </x:c>
      <x:c r="I122" s="69" t="str">
        <x:v>комплект</x:v>
      </x:c>
      <x:c r="J122" s="69" t="str">
        <x:v>TEKLED/TEKSAN</x:v>
      </x:c>
      <x:c r="K122" s="69" t="str">
        <x:v>B11</x:v>
      </x:c>
    </x:row>
    <x:row r="123">
      <x:c r="A123" s="64" t="str">
        <x:v>ГРЩ (В11)</x:v>
      </x:c>
      <x:c r="B123" s="64" t="str">
        <x:v>korpus</x:v>
      </x:c>
      <x:c r="C123" s="64" t="str">
        <x:v>714-15007</x:v>
      </x:c>
      <x:c r="D123" s="64" t="str">
        <x:v>Щит мет.ЩРн-18 б/o (448х268х120)S/U 36 IP31 (TS)</x:v>
      </x:c>
      <x:c r="E123" s="83" t="n">
        <x:v>14695</x:v>
      </x:c>
      <x:c r="F123" s="83" t="n">
        <x:v>8817</x:v>
      </x:c>
      <x:c r="G123" s="83" t="n">
        <x:f>IF(OR(F123="",H123=""),"",F123*H123)</x:f>
        <x:v>8817</x:v>
      </x:c>
      <x:c r="H123" s="89" t="n">
        <x:v>1</x:v>
      </x:c>
      <x:c r="I123" s="64" t="str">
        <x:v> ШТ. </x:v>
      </x:c>
      <x:c r="J123" s="64" t="str">
        <x:v>teksan f</x:v>
      </x:c>
      <x:c r="K123" s="64" t="str">
        <x:v>B11</x:v>
      </x:c>
    </x:row>
    <x:row r="124">
      <x:c r="A124" s="64" t="str">
        <x:v>ГРЩ (В11)</x:v>
      </x:c>
      <x:c r="B124" s="64" t="str">
        <x:v>oto</x:v>
      </x:c>
      <x:c r="C124" s="64" t="str">
        <x:v>296832</x:v>
      </x:c>
      <x:c r="D124" s="64" t="str">
        <x:v>Авт. выкл. NXB-63S 3P 50А 4.5kA х-ка C (R)</x:v>
      </x:c>
      <x:c r="E124" s="83" t="n">
        <x:v>3172</x:v>
      </x:c>
      <x:c r="F124" s="83" t="n">
        <x:v>1903.1999999999998</x:v>
      </x:c>
      <x:c r="G124" s="83" t="n">
        <x:f>IF(OR(F124="",H124=""),"",F124*H124)</x:f>
        <x:v>1903.1999999999998</x:v>
      </x:c>
      <x:c r="H124" s="89" t="n">
        <x:v>1</x:v>
      </x:c>
      <x:c r="I124" s="64" t="str">
        <x:v> ШТ. </x:v>
      </x:c>
      <x:c r="J124" s="64" t="str">
        <x:v>chint</x:v>
      </x:c>
      <x:c r="K124" s="64" t="str">
        <x:v>B11</x:v>
      </x:c>
    </x:row>
    <x:row r="125">
      <x:c r="A125" s="64" t="str">
        <x:v>ГРЩ (В11)</x:v>
      </x:c>
      <x:c r="B125" s="64" t="str">
        <x:v>oto</x:v>
      </x:c>
      <x:c r="C125" s="64" t="str">
        <x:v>296831</x:v>
      </x:c>
      <x:c r="D125" s="64" t="str">
        <x:v>Авт. выкл. NXB-63S 3P 40А 4.5kA х-ка C (R)</x:v>
      </x:c>
      <x:c r="E125" s="83" t="n">
        <x:v>2807</x:v>
      </x:c>
      <x:c r="F125" s="83" t="n">
        <x:v>1684.2</x:v>
      </x:c>
      <x:c r="G125" s="83" t="n">
        <x:f>IF(OR(F125="",H125=""),"",F125*H125)</x:f>
        <x:v>1684.2</x:v>
      </x:c>
      <x:c r="H125" s="89" t="n">
        <x:v>1</x:v>
      </x:c>
      <x:c r="I125" s="64" t="str">
        <x:v> ШТ. </x:v>
      </x:c>
      <x:c r="J125" s="64" t="str">
        <x:v>chint</x:v>
      </x:c>
      <x:c r="K125" s="64" t="str">
        <x:v>B11</x:v>
      </x:c>
    </x:row>
    <x:row r="126">
      <x:c r="A126" s="64" t="str">
        <x:v>ГРЩ (В11)</x:v>
      </x:c>
      <x:c r="B126" s="64" t="str">
        <x:v>oto</x:v>
      </x:c>
      <x:c r="C126" s="64" t="str">
        <x:v>296827</x:v>
      </x:c>
      <x:c r="D126" s="64" t="str">
        <x:v>Авт. выкл. NXB-63S 3P 16А 4.5kA х-ка C (R)</x:v>
      </x:c>
      <x:c r="E126" s="83" t="n">
        <x:v>2337</x:v>
      </x:c>
      <x:c r="F126" s="83" t="n">
        <x:v>1402.2</x:v>
      </x:c>
      <x:c r="G126" s="83" t="n">
        <x:f>IF(OR(F126="",H126=""),"",F126*H126)</x:f>
        <x:v>1402.2</x:v>
      </x:c>
      <x:c r="H126" s="89" t="n">
        <x:v>1</x:v>
      </x:c>
      <x:c r="I126" s="64" t="str">
        <x:v> ШТ. </x:v>
      </x:c>
      <x:c r="J126" s="64" t="str">
        <x:v>chint</x:v>
      </x:c>
      <x:c r="K126" s="64" t="str">
        <x:v>B11</x:v>
      </x:c>
    </x:row>
    <x:row r="127">
      <x:c r="A127" s="64" t="str">
        <x:v>ГРЩ (В11)</x:v>
      </x:c>
      <x:c r="B127" s="64" t="str">
        <x:v>oto</x:v>
      </x:c>
      <x:c r="C127" s="64" t="str">
        <x:v>814014</x:v>
      </x:c>
      <x:c r="D127" s="64" t="str">
        <x:v>Авт. выкл. NXB-63 1P 16A 6кА х-ка C (R)</x:v>
      </x:c>
      <x:c r="E127" s="83" t="n">
        <x:v>1389</x:v>
      </x:c>
      <x:c r="F127" s="83" t="n">
        <x:v>833.4</x:v>
      </x:c>
      <x:c r="G127" s="83" t="n">
        <x:f>IF(OR(F127="",H127=""),"",F127*H127)</x:f>
        <x:v>3333.6</x:v>
      </x:c>
      <x:c r="H127" s="89" t="n">
        <x:v>4</x:v>
      </x:c>
      <x:c r="I127" s="64" t="str">
        <x:v> ШТ. </x:v>
      </x:c>
      <x:c r="J127" s="64" t="str">
        <x:v>chint</x:v>
      </x:c>
      <x:c r="K127" s="64" t="str">
        <x:v>B11</x:v>
      </x:c>
    </x:row>
    <x:row r="128">
      <x:c r="A128" s="64" t="str">
        <x:v>ГРЩ (В11)</x:v>
      </x:c>
      <x:c r="B128" s="64" t="str">
        <x:v>rn</x:v>
      </x:c>
      <x:c r="C128" s="64" t="str">
        <x:v>814989</x:v>
      </x:c>
      <x:c r="D128" s="64" t="str">
        <x:v>Независимый расцепитель SHT-X1 AC230V/400V для NXB-63 (R)</x:v>
      </x:c>
      <x:c r="E128" s="83" t="n">
        <x:v>5354</x:v>
      </x:c>
      <x:c r="F128" s="83" t="n">
        <x:v>3212.4</x:v>
      </x:c>
      <x:c r="G128" s="83" t="n">
        <x:f>IF(OR(F128="",H128=""),"",F128*H128)</x:f>
        <x:v>3212.4</x:v>
      </x:c>
      <x:c r="H128" s="89" t="n">
        <x:v>1</x:v>
      </x:c>
      <x:c r="I128" s="64" t="str">
        <x:v> ШТ. </x:v>
      </x:c>
      <x:c r="J128" s="64" t="str">
        <x:v>chint</x:v>
      </x:c>
      <x:c r="K128" s="64" t="str">
        <x:v>B11</x:v>
      </x:c>
    </x:row>
    <x:row r="129">
      <x:c r="A129" s="64" t="str">
        <x:v>ГРЩ (В11)</x:v>
      </x:c>
      <x:c r="B129" s="94" t="str">
        <x:v>bara</x:v>
      </x:c>
      <x:c r="C129" s="100" t="str">
        <x:v>KONTROL-N</x:v>
      </x:c>
      <x:c r="D129" s="94" t="str">
        <x:v>Шина N изолированная, не менее 12 присоединений</x:v>
      </x:c>
      <x:c r="E129" s="95"/>
      <x:c r="F129" s="95"/>
      <x:c r="G129" s="95" t="str">
        <x:f>IF(OR(F129="",H129=""),"",F129*H129)</x:f>
      </x:c>
      <x:c r="H129" s="96" t="n">
        <x:v>1</x:v>
      </x:c>
      <x:c r="I129" s="94" t="str">
        <x:v> ШТ. </x:v>
      </x:c>
      <x:c r="J129" s="94" t="str">
        <x:v>EKT/Klemsan</x:v>
      </x:c>
      <x:c r="K129" s="64" t="str">
        <x:v>B11</x:v>
      </x:c>
    </x:row>
    <x:row r="130">
      <x:c r="A130" s="64" t="str">
        <x:v>ГРЩ (В11)</x:v>
      </x:c>
      <x:c r="B130" s="94" t="str">
        <x:v>bara</x:v>
      </x:c>
      <x:c r="C130" s="100" t="str">
        <x:v>KONTROL-PE</x:v>
      </x:c>
      <x:c r="D130" s="94" t="str">
        <x:v>Шина PE медная, не менее 12 присоединений</x:v>
      </x:c>
      <x:c r="E130" s="95"/>
      <x:c r="F130" s="95"/>
      <x:c r="G130" s="95" t="str">
        <x:f>IF(OR(F130="",H130=""),"",F130*H130)</x:f>
      </x:c>
      <x:c r="H130" s="96" t="n">
        <x:v>1</x:v>
      </x:c>
      <x:c r="I130" s="94" t="str">
        <x:v> ШТ. </x:v>
      </x:c>
      <x:c r="J130" s="94" t="str">
        <x:v>EKT/Klemsan</x:v>
      </x:c>
      <x:c r="K130" s="64" t="str">
        <x:v>B11</x:v>
      </x:c>
    </x:row>
    <x:row r="131">
      <x:c r="A131" s="64" t="str">
        <x:v>ГРЩ (В11)</x:v>
      </x:c>
      <x:c r="B131" s="94" t="str">
        <x:v>din</x:v>
      </x:c>
      <x:c r="C131" s="100" t="str">
        <x:v>KONTROL-DIN</x:v>
      </x:c>
      <x:c r="D131" s="94" t="str">
        <x:v>DIN рейка 35 мм, оцинкованная, комплект по габариту</x:v>
      </x:c>
      <x:c r="E131" s="95"/>
      <x:c r="F131" s="95"/>
      <x:c r="G131" s="95" t="str">
        <x:f>IF(OR(F131="",H131=""),"",F131*H131)</x:f>
      </x:c>
      <x:c r="H131" s="96" t="n">
        <x:v>1</x:v>
      </x:c>
      <x:c r="I131" s="94" t="str">
        <x:v> ШТ. </x:v>
      </x:c>
      <x:c r="J131" s="94" t="str">
        <x:v>EKT</x:v>
      </x:c>
      <x:c r="K131" s="64" t="str">
        <x:v>B11</x:v>
      </x:c>
    </x:row>
    <x:row r="132">
      <x:c r="A132" s="64" t="str">
        <x:v>ГРЩ (В11)</x:v>
      </x:c>
      <x:c r="B132" s="94" t="str">
        <x:v>kanal</x:v>
      </x:c>
      <x:c r="C132" s="100" t="str">
        <x:v>KONTROL-KK</x:v>
      </x:c>
      <x:c r="D132" s="94" t="str">
        <x:v>Кабельный канал перфорированный, комплект по габариту</x:v>
      </x:c>
      <x:c r="E132" s="95"/>
      <x:c r="F132" s="95"/>
      <x:c r="G132" s="95" t="str">
        <x:f>IF(OR(F132="",H132=""),"",F132*H132)</x:f>
      </x:c>
      <x:c r="H132" s="96" t="n">
        <x:v>1</x:v>
      </x:c>
      <x:c r="I132" s="94" t="str">
        <x:v> ШТ. </x:v>
      </x:c>
      <x:c r="J132" s="94" t="str">
        <x:v>ONKA/EKT</x:v>
      </x:c>
      <x:c r="K132" s="64" t="str">
        <x:v>B11</x:v>
      </x:c>
    </x:row>
    <x:row r="133">
      <x:c r="A133" s="64" t="str">
        <x:v>ГРЩ (В11)</x:v>
      </x:c>
      <x:c r="B133" s="94" t="str">
        <x:v>klemens</x:v>
      </x:c>
      <x:c r="C133" s="100" t="str">
        <x:v>KONTROL-KL</x:v>
      </x:c>
      <x:c r="D133" s="94" t="str">
        <x:v>Клеммник 2,5-6 мм² (фаза/N/PE по схеме)</x:v>
      </x:c>
      <x:c r="E133" s="95"/>
      <x:c r="F133" s="95"/>
      <x:c r="G133" s="95" t="str">
        <x:f>IF(OR(F133="",H133=""),"",F133*H133)</x:f>
      </x:c>
      <x:c r="H133" s="96" t="n">
        <x:v>20</x:v>
      </x:c>
      <x:c r="I133" s="94" t="str">
        <x:v> ШТ. </x:v>
      </x:c>
      <x:c r="J133" s="94" t="str">
        <x:v>Klemsan/EKT</x:v>
      </x:c>
      <x:c r="K133" s="64" t="str">
        <x:v>B11</x:v>
      </x:c>
    </x:row>
    <x:row r="134">
      <x:c r="A134" s="64" t="str">
        <x:v>ГРЩ (В11)</x:v>
      </x:c>
      <x:c r="B134" s="94" t="str">
        <x:v>kablo</x:v>
      </x:c>
      <x:c r="C134" s="100" t="str">
        <x:v>KONTROL-WIRE</x:v>
      </x:c>
      <x:c r="D134" s="94" t="str">
        <x:v>Внутренняя проводка Harmony + маркировка, комплект</x:v>
      </x:c>
      <x:c r="E134" s="95"/>
      <x:c r="F134" s="95"/>
      <x:c r="G134" s="95" t="str">
        <x:f>IF(OR(F134="",H134=""),"",F134*H134)</x:f>
      </x:c>
      <x:c r="H134" s="96" t="n">
        <x:v>1</x:v>
      </x:c>
      <x:c r="I134" s="94" t="str">
        <x:v> ШТ. </x:v>
      </x:c>
      <x:c r="J134" s="94" t="str">
        <x:v>Harmony</x:v>
      </x:c>
      <x:c r="K134" s="64" t="str">
        <x:v>B11</x:v>
      </x:c>
    </x:row>
    <x:row r="135">
      <x:c r="A135" s="64" t="str">
        <x:v>ГРЩ (В11)</x:v>
      </x:c>
      <x:c r="B135" s="64" t="str">
        <x:v>монтажный материал</x:v>
      </x:c>
      <x:c r="C135" s="64" t="str">
        <x:v>монтажный материал</x:v>
      </x:c>
      <x:c r="D135" s="64" t="str">
        <x:v>Монтажный материал</x:v>
      </x:c>
      <x:c r="E135" s="83"/>
      <x:c r="F135" s="83"/>
      <x:c r="G135" s="83" t="str">
        <x:f>IF(OR(F135="",H135=""),"",F135*H135)</x:f>
      </x:c>
      <x:c r="H135" s="89" t="n">
        <x:v>1</x:v>
      </x:c>
      <x:c r="I135" s="64" t="str">
        <x:v>компл.</x:v>
      </x:c>
      <x:c r="J135" s="64" t="str">
        <x:v>TEKLED</x:v>
      </x:c>
      <x:c r="K135" s="64" t="str">
        <x:v>B11</x:v>
      </x:c>
    </x:row>
    <x:row r="136">
      <x:c r="A136" s="64" t="str">
        <x:v>ГРЩ (В11)</x:v>
      </x:c>
      <x:c r="B136" s="64" t="str">
        <x:v>монтажные работы</x:v>
      </x:c>
      <x:c r="C136" s="64" t="str">
        <x:v>монтажные работы</x:v>
      </x:c>
      <x:c r="D136" s="64" t="str">
        <x:v>Монтажные работы</x:v>
      </x:c>
      <x:c r="E136" s="83"/>
      <x:c r="F136" s="83"/>
      <x:c r="G136" s="83" t="str">
        <x:f>IF(OR(F136="",H136=""),"",F136*H136)</x:f>
      </x:c>
      <x:c r="H136" s="89" t="n">
        <x:v>1</x:v>
      </x:c>
      <x:c r="I136" s="64" t="str">
        <x:v>компл.</x:v>
      </x:c>
      <x:c r="J136" s="64" t="str">
        <x:v>TEKLED</x:v>
      </x:c>
      <x:c r="K136" s="64" t="str">
        <x:v>B11</x:v>
      </x:c>
    </x:row>
    <x:row r="137">
      <x:c r="A137" s="76" t="str">
        <x:v>ГРЩ (В11)</x:v>
      </x:c>
      <x:c r="B137" s="76"/>
      <x:c r="C137" s="76"/>
      <x:c r="D137" s="80" t="str">
        <x:v>ИТОГО на 1 комплект</x:v>
      </x:c>
      <x:c r="E137" s="84"/>
      <x:c r="F137" s="84"/>
      <x:c r="G137" s="84" t="n">
        <x:f>SUM(G123:G136)</x:f>
        <x:v>20352.600000000002</x:v>
      </x:c>
      <x:c r="H137" s="90"/>
      <x:c r="I137" s="76"/>
      <x:c r="J137" s="76"/>
      <x:c r="K137" s="76" t="str">
        <x:v>B11</x:v>
      </x:c>
    </x:row>
    <x:row r="138" ht="24" customHeight="1">
      <x:c r="A138" s="69" t="str">
        <x:v>РПВ (В11)</x:v>
      </x:c>
      <x:c r="B138" s="69"/>
      <x:c r="C138" s="69"/>
      <x:c r="D138" s="69" t="str">
        <x:v>РПВ (В11)</x:v>
      </x:c>
      <x:c r="E138" s="82"/>
      <x:c r="F138" s="82"/>
      <x:c r="G138" s="82"/>
      <x:c r="H138" s="88" t="n">
        <x:v>1</x:v>
      </x:c>
      <x:c r="I138" s="69" t="str">
        <x:v>комплект</x:v>
      </x:c>
      <x:c r="J138" s="69" t="str">
        <x:v>TEKLED/TEKSAN</x:v>
      </x:c>
      <x:c r="K138" s="69" t="str">
        <x:v>B11</x:v>
      </x:c>
    </x:row>
    <x:row r="139">
      <x:c r="A139" s="64" t="str">
        <x:v>РПВ (В11)</x:v>
      </x:c>
      <x:c r="B139" s="94" t="str">
        <x:v>korpus</x:v>
      </x:c>
      <x:c r="C139" s="100" t="str">
        <x:v>KONTROL-KORPUS-500400220-IP31</x:v>
      </x:c>
      <x:c r="D139" s="94" t="str">
        <x:v>Корпус металлический 500x400x220 мм IP31, монтажная панель</x:v>
      </x:c>
      <x:c r="E139" s="95"/>
      <x:c r="F139" s="95"/>
      <x:c r="G139" s="95" t="str">
        <x:f>IF(OR(F139="",H139=""),"",F139*H139)</x:f>
      </x:c>
      <x:c r="H139" s="96" t="n">
        <x:v>1</x:v>
      </x:c>
      <x:c r="I139" s="94" t="str">
        <x:v> ШТ. </x:v>
      </x:c>
      <x:c r="J139" s="94" t="str">
        <x:v>TEKLED</x:v>
      </x:c>
      <x:c r="K139" s="64" t="str">
        <x:v>B11</x:v>
      </x:c>
    </x:row>
    <x:row r="140">
      <x:c r="A140" s="64" t="str">
        <x:v>РПВ (В11)</x:v>
      </x:c>
      <x:c r="B140" s="64" t="str">
        <x:v>contactor</x:v>
      </x:c>
      <x:c r="C140" s="64" t="str">
        <x:v>836704</x:v>
      </x:c>
      <x:c r="D140" s="64" t="str">
        <x:v>Контактор NXC-09 9A 220В/АС3 1НО+1НЗ 50Гц (R)</x:v>
      </x:c>
      <x:c r="E140" s="83" t="n">
        <x:v>5214</x:v>
      </x:c>
      <x:c r="F140" s="83" t="n">
        <x:v>3128.4</x:v>
      </x:c>
      <x:c r="G140" s="83" t="n">
        <x:f>IF(OR(F140="",H140=""),"",F140*H140)</x:f>
        <x:v>3128.4</x:v>
      </x:c>
      <x:c r="H140" s="89" t="n">
        <x:v>1</x:v>
      </x:c>
      <x:c r="I140" s="64" t="str">
        <x:v> ШТ. </x:v>
      </x:c>
      <x:c r="J140" s="64" t="str">
        <x:v>chint</x:v>
      </x:c>
      <x:c r="K140" s="64" t="str">
        <x:v>B11</x:v>
      </x:c>
    </x:row>
    <x:row r="141">
      <x:c r="A141" s="64" t="str">
        <x:v>РПВ (В11)</x:v>
      </x:c>
      <x:c r="B141" s="64" t="str">
        <x:v>rele</x:v>
      </x:c>
      <x:c r="C141" s="64" t="str">
        <x:v>837099</x:v>
      </x:c>
      <x:c r="D141" s="64" t="str">
        <x:v>Тепловое реле NXR-12 1.6-2.5A (R)</x:v>
      </x:c>
      <x:c r="E141" s="83" t="n">
        <x:v>4445</x:v>
      </x:c>
      <x:c r="F141" s="83" t="n">
        <x:v>2667</x:v>
      </x:c>
      <x:c r="G141" s="83" t="n">
        <x:f>IF(OR(F141="",H141=""),"",F141*H141)</x:f>
        <x:v>2667</x:v>
      </x:c>
      <x:c r="H141" s="89" t="n">
        <x:v>1</x:v>
      </x:c>
      <x:c r="I141" s="64" t="str">
        <x:v> ШТ. </x:v>
      </x:c>
      <x:c r="J141" s="64" t="str">
        <x:v>chint</x:v>
      </x:c>
      <x:c r="K141" s="64" t="str">
        <x:v>B11</x:v>
      </x:c>
    </x:row>
    <x:row r="142">
      <x:c r="A142" s="64" t="str">
        <x:v>РПВ (В11)</x:v>
      </x:c>
      <x:c r="B142" s="64" t="str">
        <x:v>oto</x:v>
      </x:c>
      <x:c r="C142" s="64" t="str">
        <x:v>296829</x:v>
      </x:c>
      <x:c r="D142" s="64" t="str">
        <x:v>Авт. выкл. NXB-63S 3P 25А 4.5kA х-ка C (R)</x:v>
      </x:c>
      <x:c r="E142" s="83" t="n">
        <x:v>2429</x:v>
      </x:c>
      <x:c r="F142" s="83" t="n">
        <x:v>1457.3999999999999</x:v>
      </x:c>
      <x:c r="G142" s="83" t="n">
        <x:f>IF(OR(F142="",H142=""),"",F142*H142)</x:f>
        <x:v>1457.3999999999999</x:v>
      </x:c>
      <x:c r="H142" s="89" t="n">
        <x:v>1</x:v>
      </x:c>
      <x:c r="I142" s="64" t="str">
        <x:v> ШТ. </x:v>
      </x:c>
      <x:c r="J142" s="64" t="str">
        <x:v>chint</x:v>
      </x:c>
      <x:c r="K142" s="64" t="str">
        <x:v>B11</x:v>
      </x:c>
    </x:row>
    <x:row r="143">
      <x:c r="A143" s="64" t="str">
        <x:v>РПВ (В11)</x:v>
      </x:c>
      <x:c r="B143" s="64" t="str">
        <x:v>oto</x:v>
      </x:c>
      <x:c r="C143" s="64" t="str">
        <x:v>296827</x:v>
      </x:c>
      <x:c r="D143" s="64" t="str">
        <x:v>Авт. выкл. NXB-63S 3P 16А 4.5kA х-ка C (R)</x:v>
      </x:c>
      <x:c r="E143" s="83" t="n">
        <x:v>2337</x:v>
      </x:c>
      <x:c r="F143" s="83" t="n">
        <x:v>1402.2</x:v>
      </x:c>
      <x:c r="G143" s="83" t="n">
        <x:f>IF(OR(F143="",H143=""),"",F143*H143)</x:f>
        <x:v>1402.2</x:v>
      </x:c>
      <x:c r="H143" s="89" t="n">
        <x:v>1</x:v>
      </x:c>
      <x:c r="I143" s="64" t="str">
        <x:v> ШТ. </x:v>
      </x:c>
      <x:c r="J143" s="64" t="str">
        <x:v>chint</x:v>
      </x:c>
      <x:c r="K143" s="64" t="str">
        <x:v>B11</x:v>
      </x:c>
    </x:row>
    <x:row r="144">
      <x:c r="A144" s="64" t="str">
        <x:v>РПВ (В11)</x:v>
      </x:c>
      <x:c r="B144" s="64" t="str">
        <x:v>oto</x:v>
      </x:c>
      <x:c r="C144" s="64" t="str">
        <x:v>814014</x:v>
      </x:c>
      <x:c r="D144" s="64" t="str">
        <x:v>Авт. выкл. NXB-63 1P 16A 6кА х-ка C (R)</x:v>
      </x:c>
      <x:c r="E144" s="83" t="n">
        <x:v>1389</x:v>
      </x:c>
      <x:c r="F144" s="83" t="n">
        <x:v>833.4</x:v>
      </x:c>
      <x:c r="G144" s="83" t="n">
        <x:f>IF(OR(F144="",H144=""),"",F144*H144)</x:f>
        <x:v>3333.6</x:v>
      </x:c>
      <x:c r="H144" s="89" t="n">
        <x:v>4</x:v>
      </x:c>
      <x:c r="I144" s="64" t="str">
        <x:v> ШТ. </x:v>
      </x:c>
      <x:c r="J144" s="64" t="str">
        <x:v>chint</x:v>
      </x:c>
      <x:c r="K144" s="64" t="str">
        <x:v>B11</x:v>
      </x:c>
    </x:row>
    <x:row r="145">
      <x:c r="A145" s="64" t="str">
        <x:v>РПВ (В11)</x:v>
      </x:c>
      <x:c r="B145" s="94" t="str">
        <x:v>bara</x:v>
      </x:c>
      <x:c r="C145" s="100" t="str">
        <x:v>KONTROL-N</x:v>
      </x:c>
      <x:c r="D145" s="94" t="str">
        <x:v>Шина N изолированная, не менее 12 присоединений</x:v>
      </x:c>
      <x:c r="E145" s="95"/>
      <x:c r="F145" s="95"/>
      <x:c r="G145" s="95" t="str">
        <x:f>IF(OR(F145="",H145=""),"",F145*H145)</x:f>
      </x:c>
      <x:c r="H145" s="96" t="n">
        <x:v>1</x:v>
      </x:c>
      <x:c r="I145" s="94" t="str">
        <x:v> ШТ. </x:v>
      </x:c>
      <x:c r="J145" s="94" t="str">
        <x:v>EKT/Klemsan</x:v>
      </x:c>
      <x:c r="K145" s="64" t="str">
        <x:v>B11</x:v>
      </x:c>
    </x:row>
    <x:row r="146">
      <x:c r="A146" s="64" t="str">
        <x:v>РПВ (В11)</x:v>
      </x:c>
      <x:c r="B146" s="94" t="str">
        <x:v>bara</x:v>
      </x:c>
      <x:c r="C146" s="100" t="str">
        <x:v>KONTROL-PE</x:v>
      </x:c>
      <x:c r="D146" s="94" t="str">
        <x:v>Шина PE медная, не менее 12 присоединений</x:v>
      </x:c>
      <x:c r="E146" s="95"/>
      <x:c r="F146" s="95"/>
      <x:c r="G146" s="95" t="str">
        <x:f>IF(OR(F146="",H146=""),"",F146*H146)</x:f>
      </x:c>
      <x:c r="H146" s="96" t="n">
        <x:v>1</x:v>
      </x:c>
      <x:c r="I146" s="94" t="str">
        <x:v> ШТ. </x:v>
      </x:c>
      <x:c r="J146" s="94" t="str">
        <x:v>EKT/Klemsan</x:v>
      </x:c>
      <x:c r="K146" s="64" t="str">
        <x:v>B11</x:v>
      </x:c>
    </x:row>
    <x:row r="147">
      <x:c r="A147" s="64" t="str">
        <x:v>РПВ (В11)</x:v>
      </x:c>
      <x:c r="B147" s="94" t="str">
        <x:v>din</x:v>
      </x:c>
      <x:c r="C147" s="100" t="str">
        <x:v>KONTROL-DIN</x:v>
      </x:c>
      <x:c r="D147" s="94" t="str">
        <x:v>DIN рейка 35 мм, оцинкованная, комплект по габариту</x:v>
      </x:c>
      <x:c r="E147" s="95"/>
      <x:c r="F147" s="95"/>
      <x:c r="G147" s="95" t="str">
        <x:f>IF(OR(F147="",H147=""),"",F147*H147)</x:f>
      </x:c>
      <x:c r="H147" s="96" t="n">
        <x:v>1</x:v>
      </x:c>
      <x:c r="I147" s="94" t="str">
        <x:v> ШТ. </x:v>
      </x:c>
      <x:c r="J147" s="94" t="str">
        <x:v>EKT</x:v>
      </x:c>
      <x:c r="K147" s="64" t="str">
        <x:v>B11</x:v>
      </x:c>
    </x:row>
    <x:row r="148">
      <x:c r="A148" s="64" t="str">
        <x:v>РПВ (В11)</x:v>
      </x:c>
      <x:c r="B148" s="94" t="str">
        <x:v>kanal</x:v>
      </x:c>
      <x:c r="C148" s="100" t="str">
        <x:v>KONTROL-KK</x:v>
      </x:c>
      <x:c r="D148" s="94" t="str">
        <x:v>Кабельный канал перфорированный, комплект по габариту</x:v>
      </x:c>
      <x:c r="E148" s="95"/>
      <x:c r="F148" s="95"/>
      <x:c r="G148" s="95" t="str">
        <x:f>IF(OR(F148="",H148=""),"",F148*H148)</x:f>
      </x:c>
      <x:c r="H148" s="96" t="n">
        <x:v>1</x:v>
      </x:c>
      <x:c r="I148" s="94" t="str">
        <x:v> ШТ. </x:v>
      </x:c>
      <x:c r="J148" s="94" t="str">
        <x:v>ONKA/EKT</x:v>
      </x:c>
      <x:c r="K148" s="64" t="str">
        <x:v>B11</x:v>
      </x:c>
    </x:row>
    <x:row r="149">
      <x:c r="A149" s="64" t="str">
        <x:v>РПВ (В11)</x:v>
      </x:c>
      <x:c r="B149" s="94" t="str">
        <x:v>klemens</x:v>
      </x:c>
      <x:c r="C149" s="100" t="str">
        <x:v>KONTROL-KL</x:v>
      </x:c>
      <x:c r="D149" s="94" t="str">
        <x:v>Клеммник 2,5-6 мм² (фаза/N/PE по схеме)</x:v>
      </x:c>
      <x:c r="E149" s="95"/>
      <x:c r="F149" s="95"/>
      <x:c r="G149" s="95" t="str">
        <x:f>IF(OR(F149="",H149=""),"",F149*H149)</x:f>
      </x:c>
      <x:c r="H149" s="96" t="n">
        <x:v>20</x:v>
      </x:c>
      <x:c r="I149" s="94" t="str">
        <x:v> ШТ. </x:v>
      </x:c>
      <x:c r="J149" s="94" t="str">
        <x:v>Klemsan/EKT</x:v>
      </x:c>
      <x:c r="K149" s="64" t="str">
        <x:v>B11</x:v>
      </x:c>
    </x:row>
    <x:row r="150">
      <x:c r="A150" s="64" t="str">
        <x:v>РПВ (В11)</x:v>
      </x:c>
      <x:c r="B150" s="94" t="str">
        <x:v>kablo</x:v>
      </x:c>
      <x:c r="C150" s="100" t="str">
        <x:v>KONTROL-WIRE</x:v>
      </x:c>
      <x:c r="D150" s="94" t="str">
        <x:v>Внутренняя проводка Harmony + маркировка, комплект</x:v>
      </x:c>
      <x:c r="E150" s="95"/>
      <x:c r="F150" s="95"/>
      <x:c r="G150" s="95" t="str">
        <x:f>IF(OR(F150="",H150=""),"",F150*H150)</x:f>
      </x:c>
      <x:c r="H150" s="96" t="n">
        <x:v>1</x:v>
      </x:c>
      <x:c r="I150" s="94" t="str">
        <x:v> ШТ. </x:v>
      </x:c>
      <x:c r="J150" s="94" t="str">
        <x:v>Harmony</x:v>
      </x:c>
      <x:c r="K150" s="64" t="str">
        <x:v>B11</x:v>
      </x:c>
    </x:row>
    <x:row r="151">
      <x:c r="A151" s="64" t="str">
        <x:v>РПВ (В11)</x:v>
      </x:c>
      <x:c r="B151" s="64" t="str">
        <x:v>монтажный материал</x:v>
      </x:c>
      <x:c r="C151" s="64" t="str">
        <x:v>монтажный материал</x:v>
      </x:c>
      <x:c r="D151" s="64" t="str">
        <x:v>Монтажный материал</x:v>
      </x:c>
      <x:c r="E151" s="83"/>
      <x:c r="F151" s="83"/>
      <x:c r="G151" s="83" t="str">
        <x:f>IF(OR(F151="",H151=""),"",F151*H151)</x:f>
      </x:c>
      <x:c r="H151" s="89" t="n">
        <x:v>1</x:v>
      </x:c>
      <x:c r="I151" s="64" t="str">
        <x:v>компл.</x:v>
      </x:c>
      <x:c r="J151" s="64" t="str">
        <x:v>TEKLED</x:v>
      </x:c>
      <x:c r="K151" s="64" t="str">
        <x:v>B11</x:v>
      </x:c>
    </x:row>
    <x:row r="152">
      <x:c r="A152" s="64" t="str">
        <x:v>РПВ (В11)</x:v>
      </x:c>
      <x:c r="B152" s="64" t="str">
        <x:v>монтажные работы</x:v>
      </x:c>
      <x:c r="C152" s="64" t="str">
        <x:v>монтажные работы</x:v>
      </x:c>
      <x:c r="D152" s="64" t="str">
        <x:v>Монтажные работы</x:v>
      </x:c>
      <x:c r="E152" s="83"/>
      <x:c r="F152" s="83"/>
      <x:c r="G152" s="83" t="str">
        <x:f>IF(OR(F152="",H152=""),"",F152*H152)</x:f>
      </x:c>
      <x:c r="H152" s="89" t="n">
        <x:v>1</x:v>
      </x:c>
      <x:c r="I152" s="64" t="str">
        <x:v>компл.</x:v>
      </x:c>
      <x:c r="J152" s="64" t="str">
        <x:v>TEKLED</x:v>
      </x:c>
      <x:c r="K152" s="64" t="str">
        <x:v>B11</x:v>
      </x:c>
    </x:row>
    <x:row r="153">
      <x:c r="A153" s="76" t="str">
        <x:v>РПВ (В11)</x:v>
      </x:c>
      <x:c r="B153" s="76"/>
      <x:c r="C153" s="76"/>
      <x:c r="D153" s="80" t="str">
        <x:v>ИТОГО на 1 комплект</x:v>
      </x:c>
      <x:c r="E153" s="84"/>
      <x:c r="F153" s="84"/>
      <x:c r="G153" s="84" t="n">
        <x:f>SUM(G139:G152)</x:f>
        <x:v>11988.6</x:v>
      </x:c>
      <x:c r="H153" s="90"/>
      <x:c r="I153" s="76"/>
      <x:c r="J153" s="76"/>
      <x:c r="K153" s="76" t="str">
        <x:v>B11</x:v>
      </x:c>
    </x:row>
    <x:row r="154" ht="24" customHeight="1">
      <x:c r="A154" s="69" t="str">
        <x:v>ЯВЗ-31-IP54 УХЛ2 100А</x:v>
      </x:c>
      <x:c r="B154" s="69"/>
      <x:c r="C154" s="69"/>
      <x:c r="D154" s="69" t="str">
        <x:v>ЯВЗ-31-IP54 УХЛ2 100А</x:v>
      </x:c>
      <x:c r="E154" s="82"/>
      <x:c r="F154" s="82"/>
      <x:c r="G154" s="82"/>
      <x:c r="H154" s="88" t="n">
        <x:v>2</x:v>
      </x:c>
      <x:c r="I154" s="69" t="str">
        <x:v>комплект</x:v>
      </x:c>
      <x:c r="J154" s="69" t="str">
        <x:v>TEKLED/TEKSAN</x:v>
      </x:c>
      <x:c r="K154" s="69" t="str">
        <x:v>B11</x:v>
      </x:c>
    </x:row>
    <x:row r="155">
      <x:c r="A155" s="64" t="str">
        <x:v>ЯВЗ-31-IP54 УХЛ2 100А</x:v>
      </x:c>
      <x:c r="B155" s="64" t="str">
        <x:v>korpus</x:v>
      </x:c>
      <x:c r="C155" s="64" t="str">
        <x:v>719-15043</x:v>
      </x:c>
      <x:c r="D155" s="64" t="str">
        <x:v>450*240*175</x:v>
      </x:c>
      <x:c r="E155" s="83"/>
      <x:c r="F155" s="83" t="n">
        <x:v>0</x:v>
      </x:c>
      <x:c r="G155" s="83" t="str">
        <x:f>IF(OR(F155="",H155=""),"",F155*H155)</x:f>
      </x:c>
      <x:c r="H155" s="89" t="n">
        <x:v>1</x:v>
      </x:c>
      <x:c r="I155" s="64" t="str">
        <x:v> ШТ. </x:v>
      </x:c>
      <x:c r="J155" s="64" t="str">
        <x:v>teksan f</x:v>
      </x:c>
      <x:c r="K155" s="64" t="str">
        <x:v>B11</x:v>
      </x:c>
    </x:row>
    <x:row r="156">
      <x:c r="A156" s="64" t="str">
        <x:v>ЯВЗ-31-IP54 УХЛ2 100А</x:v>
      </x:c>
      <x:c r="B156" s="94" t="str">
        <x:v>rubilnik</x:v>
      </x:c>
      <x:c r="C156" s="100" t="str">
        <x:v>KONTROL-NH40-125-3W</x:v>
      </x:c>
      <x:c r="D156" s="94" t="str">
        <x:v>Выключатель-разъединитель CHINT NH40-125/3W, 100A, рукоятка на дверь</x:v>
      </x:c>
      <x:c r="E156" s="95"/>
      <x:c r="F156" s="95"/>
      <x:c r="G156" s="95" t="str">
        <x:f>IF(OR(F156="",H156=""),"",F156*H156)</x:f>
      </x:c>
      <x:c r="H156" s="96" t="n">
        <x:v>1</x:v>
      </x:c>
      <x:c r="I156" s="94" t="str">
        <x:v> ШТ. </x:v>
      </x:c>
      <x:c r="J156" s="94" t="str">
        <x:v>CHINT</x:v>
      </x:c>
      <x:c r="K156" s="64" t="str">
        <x:v>B11</x:v>
      </x:c>
    </x:row>
    <x:row r="157">
      <x:c r="A157" s="64" t="str">
        <x:v>ЯВЗ-31-IP54 УХЛ2 100А</x:v>
      </x:c>
      <x:c r="B157" s="64" t="str">
        <x:v>ppn</x:v>
      </x:c>
      <x:c r="C157" s="64" t="str">
        <x:v>521349</x:v>
      </x:c>
      <x:c r="D157" s="64" t="str">
        <x:v>Плавкая вставка предохранителя RT36-00-160, габарит 00, 100А</x:v>
      </x:c>
      <x:c r="E157" s="83" t="n">
        <x:v>1545</x:v>
      </x:c>
      <x:c r="F157" s="83" t="n">
        <x:v>927</x:v>
      </x:c>
      <x:c r="G157" s="83" t="n">
        <x:f>IF(OR(F157="",H157=""),"",F157*H157)</x:f>
        <x:v>2781</x:v>
      </x:c>
      <x:c r="H157" s="89" t="n">
        <x:v>3</x:v>
      </x:c>
      <x:c r="I157" s="64" t="str">
        <x:v> ШТ. </x:v>
      </x:c>
      <x:c r="J157" s="64" t="str">
        <x:v>chint</x:v>
      </x:c>
      <x:c r="K157" s="64" t="str">
        <x:v>B11</x:v>
      </x:c>
    </x:row>
    <x:row r="158">
      <x:c r="A158" s="64" t="str">
        <x:v>ЯВЗ-31-IP54 УХЛ2 100А</x:v>
      </x:c>
      <x:c r="B158" s="64" t="str">
        <x:v>ppn</x:v>
      </x:c>
      <x:c r="C158" s="64" t="str">
        <x:v>521260</x:v>
      </x:c>
      <x:c r="D158" s="64" t="str">
        <x:v>Держатель плавкой вставки RT36-00-160, габарит 00, 160А</x:v>
      </x:c>
      <x:c r="E158" s="83" t="n">
        <x:v>2038</x:v>
      </x:c>
      <x:c r="F158" s="83" t="n">
        <x:v>1222.8</x:v>
      </x:c>
      <x:c r="G158" s="83" t="n">
        <x:f>IF(OR(F158="",H158=""),"",F158*H158)</x:f>
        <x:v>3668.3999999999996</x:v>
      </x:c>
      <x:c r="H158" s="89" t="n">
        <x:v>3</x:v>
      </x:c>
      <x:c r="I158" s="64" t="str">
        <x:v> ШТ. </x:v>
      </x:c>
      <x:c r="J158" s="64" t="str">
        <x:v>chint</x:v>
      </x:c>
      <x:c r="K158" s="64" t="str">
        <x:v>B11</x:v>
      </x:c>
    </x:row>
    <x:row r="159">
      <x:c r="A159" s="64" t="str">
        <x:v>ЯВЗ-31-IP54 УХЛ2 100А</x:v>
      </x:c>
      <x:c r="B159" s="94" t="str">
        <x:v>bara</x:v>
      </x:c>
      <x:c r="C159" s="100" t="str">
        <x:v>KONTROL-N</x:v>
      </x:c>
      <x:c r="D159" s="94" t="str">
        <x:v>Шина N изолированная, не менее 12 присоединений</x:v>
      </x:c>
      <x:c r="E159" s="95"/>
      <x:c r="F159" s="95"/>
      <x:c r="G159" s="95" t="str">
        <x:f>IF(OR(F159="",H159=""),"",F159*H159)</x:f>
      </x:c>
      <x:c r="H159" s="96" t="n">
        <x:v>1</x:v>
      </x:c>
      <x:c r="I159" s="94" t="str">
        <x:v> ШТ. </x:v>
      </x:c>
      <x:c r="J159" s="94" t="str">
        <x:v>EKT/Klemsan</x:v>
      </x:c>
      <x:c r="K159" s="64" t="str">
        <x:v>B11</x:v>
      </x:c>
    </x:row>
    <x:row r="160">
      <x:c r="A160" s="64" t="str">
        <x:v>ЯВЗ-31-IP54 УХЛ2 100А</x:v>
      </x:c>
      <x:c r="B160" s="94" t="str">
        <x:v>bara</x:v>
      </x:c>
      <x:c r="C160" s="100" t="str">
        <x:v>KONTROL-PE</x:v>
      </x:c>
      <x:c r="D160" s="94" t="str">
        <x:v>Шина PE медная, не менее 12 присоединений</x:v>
      </x:c>
      <x:c r="E160" s="95"/>
      <x:c r="F160" s="95"/>
      <x:c r="G160" s="95" t="str">
        <x:f>IF(OR(F160="",H160=""),"",F160*H160)</x:f>
      </x:c>
      <x:c r="H160" s="96" t="n">
        <x:v>1</x:v>
      </x:c>
      <x:c r="I160" s="94" t="str">
        <x:v> ШТ. </x:v>
      </x:c>
      <x:c r="J160" s="94" t="str">
        <x:v>EKT/Klemsan</x:v>
      </x:c>
      <x:c r="K160" s="64" t="str">
        <x:v>B11</x:v>
      </x:c>
    </x:row>
    <x:row r="161">
      <x:c r="A161" s="64" t="str">
        <x:v>ЯВЗ-31-IP54 УХЛ2 100А</x:v>
      </x:c>
      <x:c r="B161" s="94" t="str">
        <x:v>din</x:v>
      </x:c>
      <x:c r="C161" s="100" t="str">
        <x:v>KONTROL-DIN</x:v>
      </x:c>
      <x:c r="D161" s="94" t="str">
        <x:v>DIN рейка 35 мм, оцинкованная, комплект по габариту</x:v>
      </x:c>
      <x:c r="E161" s="95"/>
      <x:c r="F161" s="95"/>
      <x:c r="G161" s="95" t="str">
        <x:f>IF(OR(F161="",H161=""),"",F161*H161)</x:f>
      </x:c>
      <x:c r="H161" s="96" t="n">
        <x:v>1</x:v>
      </x:c>
      <x:c r="I161" s="94" t="str">
        <x:v> ШТ. </x:v>
      </x:c>
      <x:c r="J161" s="94" t="str">
        <x:v>EKT</x:v>
      </x:c>
      <x:c r="K161" s="64" t="str">
        <x:v>B11</x:v>
      </x:c>
    </x:row>
    <x:row r="162">
      <x:c r="A162" s="64" t="str">
        <x:v>ЯВЗ-31-IP54 УХЛ2 100А</x:v>
      </x:c>
      <x:c r="B162" s="94" t="str">
        <x:v>kanal</x:v>
      </x:c>
      <x:c r="C162" s="100" t="str">
        <x:v>KONTROL-KK</x:v>
      </x:c>
      <x:c r="D162" s="94" t="str">
        <x:v>Кабельный канал перфорированный, комплект по габариту</x:v>
      </x:c>
      <x:c r="E162" s="95"/>
      <x:c r="F162" s="95"/>
      <x:c r="G162" s="95" t="str">
        <x:f>IF(OR(F162="",H162=""),"",F162*H162)</x:f>
      </x:c>
      <x:c r="H162" s="96" t="n">
        <x:v>1</x:v>
      </x:c>
      <x:c r="I162" s="94" t="str">
        <x:v> ШТ. </x:v>
      </x:c>
      <x:c r="J162" s="94" t="str">
        <x:v>ONKA/EKT</x:v>
      </x:c>
      <x:c r="K162" s="64" t="str">
        <x:v>B11</x:v>
      </x:c>
    </x:row>
    <x:row r="163">
      <x:c r="A163" s="64" t="str">
        <x:v>ЯВЗ-31-IP54 УХЛ2 100А</x:v>
      </x:c>
      <x:c r="B163" s="94" t="str">
        <x:v>klemens</x:v>
      </x:c>
      <x:c r="C163" s="100" t="str">
        <x:v>KONTROL-KL</x:v>
      </x:c>
      <x:c r="D163" s="94" t="str">
        <x:v>Клеммник 2,5-6 мм² (фаза/N/PE по схеме)</x:v>
      </x:c>
      <x:c r="E163" s="95"/>
      <x:c r="F163" s="95"/>
      <x:c r="G163" s="95" t="str">
        <x:f>IF(OR(F163="",H163=""),"",F163*H163)</x:f>
      </x:c>
      <x:c r="H163" s="96" t="n">
        <x:v>18</x:v>
      </x:c>
      <x:c r="I163" s="94" t="str">
        <x:v> ШТ. </x:v>
      </x:c>
      <x:c r="J163" s="94" t="str">
        <x:v>Klemsan/EKT</x:v>
      </x:c>
      <x:c r="K163" s="64" t="str">
        <x:v>B11</x:v>
      </x:c>
    </x:row>
    <x:row r="164">
      <x:c r="A164" s="64" t="str">
        <x:v>ЯВЗ-31-IP54 УХЛ2 100А</x:v>
      </x:c>
      <x:c r="B164" s="94" t="str">
        <x:v>kablo</x:v>
      </x:c>
      <x:c r="C164" s="100" t="str">
        <x:v>KONTROL-WIRE</x:v>
      </x:c>
      <x:c r="D164" s="94" t="str">
        <x:v>Внутренняя проводка Harmony + маркировка, комплект</x:v>
      </x:c>
      <x:c r="E164" s="95"/>
      <x:c r="F164" s="95"/>
      <x:c r="G164" s="95" t="str">
        <x:f>IF(OR(F164="",H164=""),"",F164*H164)</x:f>
      </x:c>
      <x:c r="H164" s="96" t="n">
        <x:v>1</x:v>
      </x:c>
      <x:c r="I164" s="94" t="str">
        <x:v> ШТ. </x:v>
      </x:c>
      <x:c r="J164" s="94" t="str">
        <x:v>Harmony</x:v>
      </x:c>
      <x:c r="K164" s="64" t="str">
        <x:v>B11</x:v>
      </x:c>
    </x:row>
    <x:row r="165">
      <x:c r="A165" s="64" t="str">
        <x:v>ЯВЗ-31-IP54 УХЛ2 100А</x:v>
      </x:c>
      <x:c r="B165" s="64" t="str">
        <x:v>монтажный материал</x:v>
      </x:c>
      <x:c r="C165" s="64" t="str">
        <x:v>монтажный материал</x:v>
      </x:c>
      <x:c r="D165" s="64" t="str">
        <x:v>Монтажный материал</x:v>
      </x:c>
      <x:c r="E165" s="83"/>
      <x:c r="F165" s="83"/>
      <x:c r="G165" s="83" t="str">
        <x:f>IF(OR(F165="",H165=""),"",F165*H165)</x:f>
      </x:c>
      <x:c r="H165" s="89" t="n">
        <x:v>1</x:v>
      </x:c>
      <x:c r="I165" s="64" t="str">
        <x:v>компл.</x:v>
      </x:c>
      <x:c r="J165" s="64" t="str">
        <x:v>TEKLED</x:v>
      </x:c>
      <x:c r="K165" s="64" t="str">
        <x:v>B11</x:v>
      </x:c>
    </x:row>
    <x:row r="166">
      <x:c r="A166" s="64" t="str">
        <x:v>ЯВЗ-31-IP54 УХЛ2 100А</x:v>
      </x:c>
      <x:c r="B166" s="64" t="str">
        <x:v>монтажные работы</x:v>
      </x:c>
      <x:c r="C166" s="64" t="str">
        <x:v>монтажные работы</x:v>
      </x:c>
      <x:c r="D166" s="64" t="str">
        <x:v>Монтажные работы</x:v>
      </x:c>
      <x:c r="E166" s="83"/>
      <x:c r="F166" s="83"/>
      <x:c r="G166" s="83" t="str">
        <x:f>IF(OR(F166="",H166=""),"",F166*H166)</x:f>
      </x:c>
      <x:c r="H166" s="89" t="n">
        <x:v>1</x:v>
      </x:c>
      <x:c r="I166" s="64" t="str">
        <x:v>компл.</x:v>
      </x:c>
      <x:c r="J166" s="64" t="str">
        <x:v>TEKLED</x:v>
      </x:c>
      <x:c r="K166" s="64" t="str">
        <x:v>B11</x:v>
      </x:c>
    </x:row>
    <x:row r="167">
      <x:c r="A167" s="76" t="str">
        <x:v>ЯВЗ-31-IP54 УХЛ2 100А</x:v>
      </x:c>
      <x:c r="B167" s="76"/>
      <x:c r="C167" s="76"/>
      <x:c r="D167" s="80" t="str">
        <x:v>ИТОГО на 1 комплект</x:v>
      </x:c>
      <x:c r="E167" s="84"/>
      <x:c r="F167" s="84"/>
      <x:c r="G167" s="84" t="n">
        <x:f>SUM(G155:G166)</x:f>
        <x:v>6449.4</x:v>
      </x:c>
      <x:c r="H167" s="90"/>
      <x:c r="I167" s="76"/>
      <x:c r="J167" s="76"/>
      <x:c r="K167" s="76" t="str">
        <x:v>B11</x:v>
      </x:c>
    </x:row>
    <x:row r="168" ht="24" customHeight="1">
      <x:c r="A168" s="69" t="str">
        <x:v>ЯТП-0,25-220/36 036УХЛ4</x:v>
      </x:c>
      <x:c r="B168" s="69"/>
      <x:c r="C168" s="69"/>
      <x:c r="D168" s="69" t="str">
        <x:v>ЯТП-0,25-220/36 036УХЛ4</x:v>
      </x:c>
      <x:c r="E168" s="82"/>
      <x:c r="F168" s="82"/>
      <x:c r="G168" s="82"/>
      <x:c r="H168" s="88" t="n">
        <x:v>1</x:v>
      </x:c>
      <x:c r="I168" s="69" t="str">
        <x:v>комплект</x:v>
      </x:c>
      <x:c r="J168" s="69" t="str">
        <x:v>TEKLED/TEKSAN</x:v>
      </x:c>
      <x:c r="K168" s="69" t="str">
        <x:v>B11</x:v>
      </x:c>
    </x:row>
    <x:row r="169">
      <x:c r="A169" s="64" t="str">
        <x:v>ЯТП-0,25-220/36 036УХЛ4</x:v>
      </x:c>
      <x:c r="B169" s="94" t="str">
        <x:v>korpus</x:v>
      </x:c>
      <x:c r="C169" s="100" t="str">
        <x:v>KONTROL-KORPUS-YATP</x:v>
      </x:c>
      <x:c r="D169" s="94" t="str">
        <x:v>Корпус металлический 300x250x150 мм, IP54, монтажная панель</x:v>
      </x:c>
      <x:c r="E169" s="95"/>
      <x:c r="F169" s="95"/>
      <x:c r="G169" s="95" t="str">
        <x:f>IF(OR(F169="",H169=""),"",F169*H169)</x:f>
      </x:c>
      <x:c r="H169" s="96" t="n">
        <x:v>1</x:v>
      </x:c>
      <x:c r="I169" s="94" t="str">
        <x:v> ШТ. </x:v>
      </x:c>
      <x:c r="J169" s="94" t="str">
        <x:v>TEKSAN/TEKLED</x:v>
      </x:c>
      <x:c r="K169" s="64" t="str">
        <x:v>B11</x:v>
      </x:c>
    </x:row>
    <x:row r="170">
      <x:c r="A170" s="64" t="str">
        <x:v>ЯТП-0,25-220/36 036УХЛ4</x:v>
      </x:c>
      <x:c r="B170" s="94" t="str">
        <x:v>transformator</x:v>
      </x:c>
      <x:c r="C170" s="100" t="str">
        <x:v>KONTROL-NDK250</x:v>
      </x:c>
      <x:c r="D170" s="94" t="str">
        <x:v>Трансформатор CHINT NDK-250, 230/36V, 250VA</x:v>
      </x:c>
      <x:c r="E170" s="95"/>
      <x:c r="F170" s="95"/>
      <x:c r="G170" s="95" t="str">
        <x:f>IF(OR(F170="",H170=""),"",F170*H170)</x:f>
      </x:c>
      <x:c r="H170" s="96" t="n">
        <x:v>1</x:v>
      </x:c>
      <x:c r="I170" s="94" t="str">
        <x:v> ШТ. </x:v>
      </x:c>
      <x:c r="J170" s="94" t="str">
        <x:v>CHINT</x:v>
      </x:c>
      <x:c r="K170" s="64" t="str">
        <x:v>B11</x:v>
      </x:c>
    </x:row>
    <x:row r="171">
      <x:c r="A171" s="64" t="str">
        <x:v>ЯТП-0,25-220/36 036УХЛ4</x:v>
      </x:c>
      <x:c r="B171" s="94" t="str">
        <x:v>oto</x:v>
      </x:c>
      <x:c r="C171" s="100" t="str">
        <x:v>KONTROL-MCB-1P-C2</x:v>
      </x:c>
      <x:c r="D171" s="94" t="str">
        <x:v>Авт. выключатель CHINT NXB-63 1P C2A, первичная цепь</x:v>
      </x:c>
      <x:c r="E171" s="95"/>
      <x:c r="F171" s="95"/>
      <x:c r="G171" s="95" t="str">
        <x:f>IF(OR(F171="",H171=""),"",F171*H171)</x:f>
      </x:c>
      <x:c r="H171" s="96" t="n">
        <x:v>1</x:v>
      </x:c>
      <x:c r="I171" s="94" t="str">
        <x:v> ШТ. </x:v>
      </x:c>
      <x:c r="J171" s="94" t="str">
        <x:v>CHINT</x:v>
      </x:c>
      <x:c r="K171" s="64" t="str">
        <x:v>B11</x:v>
      </x:c>
    </x:row>
    <x:row r="172">
      <x:c r="A172" s="64" t="str">
        <x:v>ЯТП-0,25-220/36 036УХЛ4</x:v>
      </x:c>
      <x:c r="B172" s="94" t="str">
        <x:v>oto</x:v>
      </x:c>
      <x:c r="C172" s="100" t="str">
        <x:v>KONTROL-MCB-2P-C10</x:v>
      </x:c>
      <x:c r="D172" s="94" t="str">
        <x:v>Авт. выключатель CHINT NXB-63 2P C10A, вторичная цепь 36V</x:v>
      </x:c>
      <x:c r="E172" s="95"/>
      <x:c r="F172" s="95"/>
      <x:c r="G172" s="95" t="str">
        <x:f>IF(OR(F172="",H172=""),"",F172*H172)</x:f>
      </x:c>
      <x:c r="H172" s="96" t="n">
        <x:v>1</x:v>
      </x:c>
      <x:c r="I172" s="94" t="str">
        <x:v> ШТ. </x:v>
      </x:c>
      <x:c r="J172" s="94" t="str">
        <x:v>CHINT</x:v>
      </x:c>
      <x:c r="K172" s="64" t="str">
        <x:v>B11</x:v>
      </x:c>
    </x:row>
    <x:row r="173">
      <x:c r="A173" s="64" t="str">
        <x:v>ЯТП-0,25-220/36 036УХЛ4</x:v>
      </x:c>
      <x:c r="B173" s="94" t="str">
        <x:v>rozetka</x:v>
      </x:c>
      <x:c r="C173" s="100" t="str">
        <x:v>KONTROL-SOCKET36</x:v>
      </x:c>
      <x:c r="D173" s="94" t="str">
        <x:v>Розетка 36V 16A, 2P+PE, IP44</x:v>
      </x:c>
      <x:c r="E173" s="95"/>
      <x:c r="F173" s="95"/>
      <x:c r="G173" s="95" t="str">
        <x:f>IF(OR(F173="",H173=""),"",F173*H173)</x:f>
      </x:c>
      <x:c r="H173" s="96" t="n">
        <x:v>1</x:v>
      </x:c>
      <x:c r="I173" s="94" t="str">
        <x:v> ШТ. </x:v>
      </x:c>
      <x:c r="J173" s="94" t="str">
        <x:v>EKT/IEK</x:v>
      </x:c>
      <x:c r="K173" s="64" t="str">
        <x:v>B11</x:v>
      </x:c>
    </x:row>
    <x:row r="174">
      <x:c r="A174" s="64" t="str">
        <x:v>ЯТП-0,25-220/36 036УХЛ4</x:v>
      </x:c>
      <x:c r="B174" s="94" t="str">
        <x:v>bara</x:v>
      </x:c>
      <x:c r="C174" s="100" t="str">
        <x:v>KONTROL-N</x:v>
      </x:c>
      <x:c r="D174" s="94" t="str">
        <x:v>Шина N изолированная, не менее 12 присоединений</x:v>
      </x:c>
      <x:c r="E174" s="95"/>
      <x:c r="F174" s="95"/>
      <x:c r="G174" s="95" t="str">
        <x:f>IF(OR(F174="",H174=""),"",F174*H174)</x:f>
      </x:c>
      <x:c r="H174" s="96" t="n">
        <x:v>1</x:v>
      </x:c>
      <x:c r="I174" s="94" t="str">
        <x:v> ШТ. </x:v>
      </x:c>
      <x:c r="J174" s="94" t="str">
        <x:v>EKT/Klemsan</x:v>
      </x:c>
      <x:c r="K174" s="64" t="str">
        <x:v>B11</x:v>
      </x:c>
    </x:row>
    <x:row r="175">
      <x:c r="A175" s="64" t="str">
        <x:v>ЯТП-0,25-220/36 036УХЛ4</x:v>
      </x:c>
      <x:c r="B175" s="94" t="str">
        <x:v>bara</x:v>
      </x:c>
      <x:c r="C175" s="100" t="str">
        <x:v>KONTROL-PE</x:v>
      </x:c>
      <x:c r="D175" s="94" t="str">
        <x:v>Шина PE медная, не менее 12 присоединений</x:v>
      </x:c>
      <x:c r="E175" s="95"/>
      <x:c r="F175" s="95"/>
      <x:c r="G175" s="95" t="str">
        <x:f>IF(OR(F175="",H175=""),"",F175*H175)</x:f>
      </x:c>
      <x:c r="H175" s="96" t="n">
        <x:v>1</x:v>
      </x:c>
      <x:c r="I175" s="94" t="str">
        <x:v> ШТ. </x:v>
      </x:c>
      <x:c r="J175" s="94" t="str">
        <x:v>EKT/Klemsan</x:v>
      </x:c>
      <x:c r="K175" s="64" t="str">
        <x:v>B11</x:v>
      </x:c>
    </x:row>
    <x:row r="176">
      <x:c r="A176" s="64" t="str">
        <x:v>ЯТП-0,25-220/36 036УХЛ4</x:v>
      </x:c>
      <x:c r="B176" s="94" t="str">
        <x:v>din</x:v>
      </x:c>
      <x:c r="C176" s="100" t="str">
        <x:v>KONTROL-DIN</x:v>
      </x:c>
      <x:c r="D176" s="94" t="str">
        <x:v>DIN рейка 35 мм, оцинкованная, комплект по габариту</x:v>
      </x:c>
      <x:c r="E176" s="95"/>
      <x:c r="F176" s="95"/>
      <x:c r="G176" s="95" t="str">
        <x:f>IF(OR(F176="",H176=""),"",F176*H176)</x:f>
      </x:c>
      <x:c r="H176" s="96" t="n">
        <x:v>1</x:v>
      </x:c>
      <x:c r="I176" s="94" t="str">
        <x:v> ШТ. </x:v>
      </x:c>
      <x:c r="J176" s="94" t="str">
        <x:v>EKT</x:v>
      </x:c>
      <x:c r="K176" s="64" t="str">
        <x:v>B11</x:v>
      </x:c>
    </x:row>
    <x:row r="177">
      <x:c r="A177" s="64" t="str">
        <x:v>ЯТП-0,25-220/36 036УХЛ4</x:v>
      </x:c>
      <x:c r="B177" s="94" t="str">
        <x:v>kanal</x:v>
      </x:c>
      <x:c r="C177" s="100" t="str">
        <x:v>KONTROL-KK</x:v>
      </x:c>
      <x:c r="D177" s="94" t="str">
        <x:v>Кабельный канал перфорированный, комплект по габариту</x:v>
      </x:c>
      <x:c r="E177" s="95"/>
      <x:c r="F177" s="95"/>
      <x:c r="G177" s="95" t="str">
        <x:f>IF(OR(F177="",H177=""),"",F177*H177)</x:f>
      </x:c>
      <x:c r="H177" s="96" t="n">
        <x:v>1</x:v>
      </x:c>
      <x:c r="I177" s="94" t="str">
        <x:v> ШТ. </x:v>
      </x:c>
      <x:c r="J177" s="94" t="str">
        <x:v>ONKA/EKT</x:v>
      </x:c>
      <x:c r="K177" s="64" t="str">
        <x:v>B11</x:v>
      </x:c>
    </x:row>
    <x:row r="178">
      <x:c r="A178" s="64" t="str">
        <x:v>ЯТП-0,25-220/36 036УХЛ4</x:v>
      </x:c>
      <x:c r="B178" s="94" t="str">
        <x:v>klemens</x:v>
      </x:c>
      <x:c r="C178" s="100" t="str">
        <x:v>KONTROL-KL</x:v>
      </x:c>
      <x:c r="D178" s="94" t="str">
        <x:v>Клеммник 2,5-6 мм² (фаза/N/PE по схеме)</x:v>
      </x:c>
      <x:c r="E178" s="95"/>
      <x:c r="F178" s="95"/>
      <x:c r="G178" s="95" t="str">
        <x:f>IF(OR(F178="",H178=""),"",F178*H178)</x:f>
      </x:c>
      <x:c r="H178" s="96" t="n">
        <x:v>12</x:v>
      </x:c>
      <x:c r="I178" s="94" t="str">
        <x:v> ШТ. </x:v>
      </x:c>
      <x:c r="J178" s="94" t="str">
        <x:v>Klemsan/EKT</x:v>
      </x:c>
      <x:c r="K178" s="64" t="str">
        <x:v>B11</x:v>
      </x:c>
    </x:row>
    <x:row r="179">
      <x:c r="A179" s="64" t="str">
        <x:v>ЯТП-0,25-220/36 036УХЛ4</x:v>
      </x:c>
      <x:c r="B179" s="94" t="str">
        <x:v>kablo</x:v>
      </x:c>
      <x:c r="C179" s="100" t="str">
        <x:v>KONTROL-WIRE</x:v>
      </x:c>
      <x:c r="D179" s="94" t="str">
        <x:v>Внутренняя проводка Harmony + маркировка, комплект</x:v>
      </x:c>
      <x:c r="E179" s="95"/>
      <x:c r="F179" s="95"/>
      <x:c r="G179" s="95" t="str">
        <x:f>IF(OR(F179="",H179=""),"",F179*H179)</x:f>
      </x:c>
      <x:c r="H179" s="96" t="n">
        <x:v>1</x:v>
      </x:c>
      <x:c r="I179" s="94" t="str">
        <x:v> ШТ. </x:v>
      </x:c>
      <x:c r="J179" s="94" t="str">
        <x:v>Harmony</x:v>
      </x:c>
      <x:c r="K179" s="64" t="str">
        <x:v>B11</x:v>
      </x:c>
    </x:row>
    <x:row r="180">
      <x:c r="A180" s="64" t="str">
        <x:v>ЯТП-0,25-220/36 036УХЛ4</x:v>
      </x:c>
      <x:c r="B180" s="64" t="str">
        <x:v>монтажный материал</x:v>
      </x:c>
      <x:c r="C180" s="64" t="str">
        <x:v>монтажный материал</x:v>
      </x:c>
      <x:c r="D180" s="64" t="str">
        <x:v>Монтажный материал</x:v>
      </x:c>
      <x:c r="E180" s="83"/>
      <x:c r="F180" s="83"/>
      <x:c r="G180" s="83" t="str">
        <x:f>IF(OR(F180="",H180=""),"",F180*H180)</x:f>
      </x:c>
      <x:c r="H180" s="89" t="n">
        <x:v>1</x:v>
      </x:c>
      <x:c r="I180" s="64" t="str">
        <x:v>компл.</x:v>
      </x:c>
      <x:c r="J180" s="64" t="str">
        <x:v>TEKLED</x:v>
      </x:c>
      <x:c r="K180" s="64" t="str">
        <x:v>B11</x:v>
      </x:c>
    </x:row>
    <x:row r="181">
      <x:c r="A181" s="64" t="str">
        <x:v>ЯТП-0,25-220/36 036УХЛ4</x:v>
      </x:c>
      <x:c r="B181" s="64" t="str">
        <x:v>монтажные работы</x:v>
      </x:c>
      <x:c r="C181" s="64" t="str">
        <x:v>монтажные работы</x:v>
      </x:c>
      <x:c r="D181" s="64" t="str">
        <x:v>Монтажные работы</x:v>
      </x:c>
      <x:c r="E181" s="83"/>
      <x:c r="F181" s="83"/>
      <x:c r="G181" s="83" t="str">
        <x:f>IF(OR(F181="",H181=""),"",F181*H181)</x:f>
      </x:c>
      <x:c r="H181" s="89" t="n">
        <x:v>1</x:v>
      </x:c>
      <x:c r="I181" s="64" t="str">
        <x:v>компл.</x:v>
      </x:c>
      <x:c r="J181" s="64" t="str">
        <x:v>TEKLED</x:v>
      </x:c>
      <x:c r="K181" s="64" t="str">
        <x:v>B11</x:v>
      </x:c>
    </x:row>
    <x:row r="182">
      <x:c r="A182" s="76" t="str">
        <x:v>ЯТП-0,25-220/36 036УХЛ4</x:v>
      </x:c>
      <x:c r="B182" s="76"/>
      <x:c r="C182" s="76"/>
      <x:c r="D182" s="80" t="str">
        <x:v>ИТОГО на 1 комплект</x:v>
      </x:c>
      <x:c r="E182" s="84"/>
      <x:c r="F182" s="84"/>
      <x:c r="G182" s="84" t="n">
        <x:f>SUM(G169:G181)</x:f>
        <x:v>0</x:v>
      </x:c>
      <x:c r="H182" s="90"/>
      <x:c r="I182" s="76"/>
      <x:c r="J182" s="76"/>
      <x:c r="K182" s="76" t="str">
        <x:v>B11</x:v>
      </x:c>
    </x:row>
    <x:row r="183" ht="24" customHeight="1">
      <x:c r="A183" s="69" t="str">
        <x:v>ГРЩ (В14)</x:v>
      </x:c>
      <x:c r="B183" s="69"/>
      <x:c r="C183" s="69"/>
      <x:c r="D183" s="69" t="str">
        <x:v>ГРЩ (В14)</x:v>
      </x:c>
      <x:c r="E183" s="82"/>
      <x:c r="F183" s="82"/>
      <x:c r="G183" s="82"/>
      <x:c r="H183" s="88" t="n">
        <x:v>1</x:v>
      </x:c>
      <x:c r="I183" s="69" t="str">
        <x:v>комплект</x:v>
      </x:c>
      <x:c r="J183" s="69" t="str">
        <x:v>TEKLED/TEKSAN</x:v>
      </x:c>
      <x:c r="K183" s="69" t="str">
        <x:v>B14</x:v>
      </x:c>
    </x:row>
    <x:row r="184">
      <x:c r="A184" s="64" t="str">
        <x:v>ГРЩ (В14)</x:v>
      </x:c>
      <x:c r="B184" s="64" t="str">
        <x:v>korpus</x:v>
      </x:c>
      <x:c r="C184" s="64" t="str">
        <x:v>714-15007</x:v>
      </x:c>
      <x:c r="D184" s="64" t="str">
        <x:v>Щит мет.ЩРн-18 б/o (448х268х120)S/U 36 IP31 (TS)</x:v>
      </x:c>
      <x:c r="E184" s="83" t="n">
        <x:v>14695</x:v>
      </x:c>
      <x:c r="F184" s="83" t="n">
        <x:v>8817</x:v>
      </x:c>
      <x:c r="G184" s="83" t="n">
        <x:f>IF(OR(F184="",H184=""),"",F184*H184)</x:f>
        <x:v>8817</x:v>
      </x:c>
      <x:c r="H184" s="89" t="n">
        <x:v>1</x:v>
      </x:c>
      <x:c r="I184" s="64" t="str">
        <x:v> ШТ. </x:v>
      </x:c>
      <x:c r="J184" s="64" t="str">
        <x:v>teksan f</x:v>
      </x:c>
      <x:c r="K184" s="64" t="str">
        <x:v>B14</x:v>
      </x:c>
    </x:row>
    <x:row r="185">
      <x:c r="A185" s="64" t="str">
        <x:v>ГРЩ (В14)</x:v>
      </x:c>
      <x:c r="B185" s="64" t="str">
        <x:v>oto</x:v>
      </x:c>
      <x:c r="C185" s="64" t="str">
        <x:v>296829</x:v>
      </x:c>
      <x:c r="D185" s="64" t="str">
        <x:v>Авт. выкл. NXB-63S 3P 25А 4.5kA х-ка C (R)</x:v>
      </x:c>
      <x:c r="E185" s="83" t="n">
        <x:v>2429</x:v>
      </x:c>
      <x:c r="F185" s="83" t="n">
        <x:v>1457.3999999999999</x:v>
      </x:c>
      <x:c r="G185" s="83" t="n">
        <x:f>IF(OR(F185="",H185=""),"",F185*H185)</x:f>
        <x:v>1457.3999999999999</x:v>
      </x:c>
      <x:c r="H185" s="89" t="n">
        <x:v>1</x:v>
      </x:c>
      <x:c r="I185" s="64" t="str">
        <x:v> ШТ. </x:v>
      </x:c>
      <x:c r="J185" s="64" t="str">
        <x:v>chint</x:v>
      </x:c>
      <x:c r="K185" s="64" t="str">
        <x:v>B14</x:v>
      </x:c>
    </x:row>
    <x:row r="186">
      <x:c r="A186" s="64" t="str">
        <x:v>ГРЩ (В14)</x:v>
      </x:c>
      <x:c r="B186" s="64" t="str">
        <x:v>oto</x:v>
      </x:c>
      <x:c r="C186" s="64" t="str">
        <x:v>296828</x:v>
      </x:c>
      <x:c r="D186" s="64" t="str">
        <x:v>Авт. выкл. NXB-63S 3P 20А 4.5kA х-ка C (R)</x:v>
      </x:c>
      <x:c r="E186" s="83" t="n">
        <x:v>2499</x:v>
      </x:c>
      <x:c r="F186" s="83" t="n">
        <x:v>1499.3999999999999</x:v>
      </x:c>
      <x:c r="G186" s="83" t="n">
        <x:f>IF(OR(F186="",H186=""),"",F186*H186)</x:f>
        <x:v>1499.3999999999999</x:v>
      </x:c>
      <x:c r="H186" s="89" t="n">
        <x:v>1</x:v>
      </x:c>
      <x:c r="I186" s="64" t="str">
        <x:v> ШТ. </x:v>
      </x:c>
      <x:c r="J186" s="64" t="str">
        <x:v>chint</x:v>
      </x:c>
      <x:c r="K186" s="64" t="str">
        <x:v>B14</x:v>
      </x:c>
    </x:row>
    <x:row r="187">
      <x:c r="A187" s="64" t="str">
        <x:v>ГРЩ (В14)</x:v>
      </x:c>
      <x:c r="B187" s="64" t="str">
        <x:v>oto</x:v>
      </x:c>
      <x:c r="C187" s="64" t="str">
        <x:v>296827</x:v>
      </x:c>
      <x:c r="D187" s="64" t="str">
        <x:v>Авт. выкл. NXB-63S 3P 16А 4.5kA х-ка C (R)</x:v>
      </x:c>
      <x:c r="E187" s="83" t="n">
        <x:v>2337</x:v>
      </x:c>
      <x:c r="F187" s="83" t="n">
        <x:v>1402.2</x:v>
      </x:c>
      <x:c r="G187" s="83" t="n">
        <x:f>IF(OR(F187="",H187=""),"",F187*H187)</x:f>
        <x:v>4206.6</x:v>
      </x:c>
      <x:c r="H187" s="89" t="n">
        <x:v>3</x:v>
      </x:c>
      <x:c r="I187" s="64" t="str">
        <x:v> ШТ. </x:v>
      </x:c>
      <x:c r="J187" s="64" t="str">
        <x:v>chint</x:v>
      </x:c>
      <x:c r="K187" s="64" t="str">
        <x:v>B14</x:v>
      </x:c>
    </x:row>
    <x:row r="188">
      <x:c r="A188" s="64" t="str">
        <x:v>ГРЩ (В14)</x:v>
      </x:c>
      <x:c r="B188" s="64" t="str">
        <x:v>oto</x:v>
      </x:c>
      <x:c r="C188" s="64" t="str">
        <x:v>814014</x:v>
      </x:c>
      <x:c r="D188" s="64" t="str">
        <x:v>Авт. выкл. NXB-63 1P 16A 6кА х-ка C (R)</x:v>
      </x:c>
      <x:c r="E188" s="83" t="n">
        <x:v>1389</x:v>
      </x:c>
      <x:c r="F188" s="83" t="n">
        <x:v>833.4</x:v>
      </x:c>
      <x:c r="G188" s="83" t="n">
        <x:f>IF(OR(F188="",H188=""),"",F188*H188)</x:f>
        <x:v>1666.8</x:v>
      </x:c>
      <x:c r="H188" s="89" t="n">
        <x:v>2</x:v>
      </x:c>
      <x:c r="I188" s="64" t="str">
        <x:v> ШТ. </x:v>
      </x:c>
      <x:c r="J188" s="64" t="str">
        <x:v>chint</x:v>
      </x:c>
      <x:c r="K188" s="64" t="str">
        <x:v>B14</x:v>
      </x:c>
    </x:row>
    <x:row r="189">
      <x:c r="A189" s="64" t="str">
        <x:v>ГРЩ (В14)</x:v>
      </x:c>
      <x:c r="B189" s="64" t="str">
        <x:v>rn</x:v>
      </x:c>
      <x:c r="C189" s="64" t="str">
        <x:v>814989</x:v>
      </x:c>
      <x:c r="D189" s="64" t="str">
        <x:v>Независимый расцепитель SHT-X1 AC230V/400V для NXB-63 (R)</x:v>
      </x:c>
      <x:c r="E189" s="83" t="n">
        <x:v>5354</x:v>
      </x:c>
      <x:c r="F189" s="83" t="n">
        <x:v>3212.4</x:v>
      </x:c>
      <x:c r="G189" s="83" t="n">
        <x:f>IF(OR(F189="",H189=""),"",F189*H189)</x:f>
        <x:v>3212.4</x:v>
      </x:c>
      <x:c r="H189" s="89" t="n">
        <x:v>1</x:v>
      </x:c>
      <x:c r="I189" s="64" t="str">
        <x:v> ШТ. </x:v>
      </x:c>
      <x:c r="J189" s="64" t="str">
        <x:v>chint</x:v>
      </x:c>
      <x:c r="K189" s="64" t="str">
        <x:v>B14</x:v>
      </x:c>
    </x:row>
    <x:row r="190">
      <x:c r="A190" s="64" t="str">
        <x:v>ГРЩ (В14)</x:v>
      </x:c>
      <x:c r="B190" s="94" t="str">
        <x:v>bara</x:v>
      </x:c>
      <x:c r="C190" s="100" t="str">
        <x:v>KONTROL-N</x:v>
      </x:c>
      <x:c r="D190" s="94" t="str">
        <x:v>Шина N изолированная, не менее 12 присоединений</x:v>
      </x:c>
      <x:c r="E190" s="95"/>
      <x:c r="F190" s="95"/>
      <x:c r="G190" s="95" t="str">
        <x:f>IF(OR(F190="",H190=""),"",F190*H190)</x:f>
      </x:c>
      <x:c r="H190" s="96" t="n">
        <x:v>1</x:v>
      </x:c>
      <x:c r="I190" s="94" t="str">
        <x:v> ШТ. </x:v>
      </x:c>
      <x:c r="J190" s="94" t="str">
        <x:v>EKT/Klemsan</x:v>
      </x:c>
      <x:c r="K190" s="64" t="str">
        <x:v>B14</x:v>
      </x:c>
    </x:row>
    <x:row r="191">
      <x:c r="A191" s="64" t="str">
        <x:v>ГРЩ (В14)</x:v>
      </x:c>
      <x:c r="B191" s="94" t="str">
        <x:v>bara</x:v>
      </x:c>
      <x:c r="C191" s="100" t="str">
        <x:v>KONTROL-PE</x:v>
      </x:c>
      <x:c r="D191" s="94" t="str">
        <x:v>Шина PE медная, не менее 12 присоединений</x:v>
      </x:c>
      <x:c r="E191" s="95"/>
      <x:c r="F191" s="95"/>
      <x:c r="G191" s="95" t="str">
        <x:f>IF(OR(F191="",H191=""),"",F191*H191)</x:f>
      </x:c>
      <x:c r="H191" s="96" t="n">
        <x:v>1</x:v>
      </x:c>
      <x:c r="I191" s="94" t="str">
        <x:v> ШТ. </x:v>
      </x:c>
      <x:c r="J191" s="94" t="str">
        <x:v>EKT/Klemsan</x:v>
      </x:c>
      <x:c r="K191" s="64" t="str">
        <x:v>B14</x:v>
      </x:c>
    </x:row>
    <x:row r="192">
      <x:c r="A192" s="64" t="str">
        <x:v>ГРЩ (В14)</x:v>
      </x:c>
      <x:c r="B192" s="94" t="str">
        <x:v>din</x:v>
      </x:c>
      <x:c r="C192" s="100" t="str">
        <x:v>KONTROL-DIN</x:v>
      </x:c>
      <x:c r="D192" s="94" t="str">
        <x:v>DIN рейка 35 мм, оцинкованная, комплект по габариту</x:v>
      </x:c>
      <x:c r="E192" s="95"/>
      <x:c r="F192" s="95"/>
      <x:c r="G192" s="95" t="str">
        <x:f>IF(OR(F192="",H192=""),"",F192*H192)</x:f>
      </x:c>
      <x:c r="H192" s="96" t="n">
        <x:v>1</x:v>
      </x:c>
      <x:c r="I192" s="94" t="str">
        <x:v> ШТ. </x:v>
      </x:c>
      <x:c r="J192" s="94" t="str">
        <x:v>EKT</x:v>
      </x:c>
      <x:c r="K192" s="64" t="str">
        <x:v>B14</x:v>
      </x:c>
    </x:row>
    <x:row r="193">
      <x:c r="A193" s="64" t="str">
        <x:v>ГРЩ (В14)</x:v>
      </x:c>
      <x:c r="B193" s="94" t="str">
        <x:v>kanal</x:v>
      </x:c>
      <x:c r="C193" s="100" t="str">
        <x:v>KONTROL-KK</x:v>
      </x:c>
      <x:c r="D193" s="94" t="str">
        <x:v>Кабельный канал перфорированный, комплект по габариту</x:v>
      </x:c>
      <x:c r="E193" s="95"/>
      <x:c r="F193" s="95"/>
      <x:c r="G193" s="95" t="str">
        <x:f>IF(OR(F193="",H193=""),"",F193*H193)</x:f>
      </x:c>
      <x:c r="H193" s="96" t="n">
        <x:v>1</x:v>
      </x:c>
      <x:c r="I193" s="94" t="str">
        <x:v> ШТ. </x:v>
      </x:c>
      <x:c r="J193" s="94" t="str">
        <x:v>ONKA/EKT</x:v>
      </x:c>
      <x:c r="K193" s="64" t="str">
        <x:v>B14</x:v>
      </x:c>
    </x:row>
    <x:row r="194">
      <x:c r="A194" s="64" t="str">
        <x:v>ГРЩ (В14)</x:v>
      </x:c>
      <x:c r="B194" s="94" t="str">
        <x:v>klemens</x:v>
      </x:c>
      <x:c r="C194" s="100" t="str">
        <x:v>KONTROL-KL</x:v>
      </x:c>
      <x:c r="D194" s="94" t="str">
        <x:v>Клеммник 2,5-6 мм² (фаза/N/PE по схеме)</x:v>
      </x:c>
      <x:c r="E194" s="95"/>
      <x:c r="F194" s="95"/>
      <x:c r="G194" s="95" t="str">
        <x:f>IF(OR(F194="",H194=""),"",F194*H194)</x:f>
      </x:c>
      <x:c r="H194" s="96" t="n">
        <x:v>20</x:v>
      </x:c>
      <x:c r="I194" s="94" t="str">
        <x:v> ШТ. </x:v>
      </x:c>
      <x:c r="J194" s="94" t="str">
        <x:v>Klemsan/EKT</x:v>
      </x:c>
      <x:c r="K194" s="64" t="str">
        <x:v>B14</x:v>
      </x:c>
    </x:row>
    <x:row r="195">
      <x:c r="A195" s="64" t="str">
        <x:v>ГРЩ (В14)</x:v>
      </x:c>
      <x:c r="B195" s="94" t="str">
        <x:v>kablo</x:v>
      </x:c>
      <x:c r="C195" s="100" t="str">
        <x:v>KONTROL-WIRE</x:v>
      </x:c>
      <x:c r="D195" s="94" t="str">
        <x:v>Внутренняя проводка Harmony + маркировка, комплект</x:v>
      </x:c>
      <x:c r="E195" s="95"/>
      <x:c r="F195" s="95"/>
      <x:c r="G195" s="95" t="str">
        <x:f>IF(OR(F195="",H195=""),"",F195*H195)</x:f>
      </x:c>
      <x:c r="H195" s="96" t="n">
        <x:v>1</x:v>
      </x:c>
      <x:c r="I195" s="94" t="str">
        <x:v> ШТ. </x:v>
      </x:c>
      <x:c r="J195" s="94" t="str">
        <x:v>Harmony</x:v>
      </x:c>
      <x:c r="K195" s="64" t="str">
        <x:v>B14</x:v>
      </x:c>
    </x:row>
    <x:row r="196">
      <x:c r="A196" s="64" t="str">
        <x:v>ГРЩ (В14)</x:v>
      </x:c>
      <x:c r="B196" s="64" t="str">
        <x:v>монтажный материал</x:v>
      </x:c>
      <x:c r="C196" s="64" t="str">
        <x:v>монтажный материал</x:v>
      </x:c>
      <x:c r="D196" s="64" t="str">
        <x:v>Монтажный материал</x:v>
      </x:c>
      <x:c r="E196" s="83"/>
      <x:c r="F196" s="83"/>
      <x:c r="G196" s="83" t="str">
        <x:f>IF(OR(F196="",H196=""),"",F196*H196)</x:f>
      </x:c>
      <x:c r="H196" s="89" t="n">
        <x:v>1</x:v>
      </x:c>
      <x:c r="I196" s="64" t="str">
        <x:v>компл.</x:v>
      </x:c>
      <x:c r="J196" s="64" t="str">
        <x:v>TEKLED</x:v>
      </x:c>
      <x:c r="K196" s="64" t="str">
        <x:v>B14</x:v>
      </x:c>
    </x:row>
    <x:row r="197">
      <x:c r="A197" s="64" t="str">
        <x:v>ГРЩ (В14)</x:v>
      </x:c>
      <x:c r="B197" s="64" t="str">
        <x:v>монтажные работы</x:v>
      </x:c>
      <x:c r="C197" s="64" t="str">
        <x:v>монтажные работы</x:v>
      </x:c>
      <x:c r="D197" s="64" t="str">
        <x:v>Монтажные работы</x:v>
      </x:c>
      <x:c r="E197" s="83"/>
      <x:c r="F197" s="83"/>
      <x:c r="G197" s="83" t="str">
        <x:f>IF(OR(F197="",H197=""),"",F197*H197)</x:f>
      </x:c>
      <x:c r="H197" s="89" t="n">
        <x:v>1</x:v>
      </x:c>
      <x:c r="I197" s="64" t="str">
        <x:v>компл.</x:v>
      </x:c>
      <x:c r="J197" s="64" t="str">
        <x:v>TEKLED</x:v>
      </x:c>
      <x:c r="K197" s="64" t="str">
        <x:v>B14</x:v>
      </x:c>
    </x:row>
    <x:row r="198">
      <x:c r="A198" s="76" t="str">
        <x:v>ГРЩ (В14)</x:v>
      </x:c>
      <x:c r="B198" s="76"/>
      <x:c r="C198" s="76"/>
      <x:c r="D198" s="80" t="str">
        <x:v>ИТОГО на 1 комплект</x:v>
      </x:c>
      <x:c r="E198" s="84"/>
      <x:c r="F198" s="84"/>
      <x:c r="G198" s="84" t="n">
        <x:f>SUM(G184:G197)</x:f>
        <x:v>20859.600000000002</x:v>
      </x:c>
      <x:c r="H198" s="90"/>
      <x:c r="I198" s="76"/>
      <x:c r="J198" s="76"/>
      <x:c r="K198" s="76" t="str">
        <x:v>B14</x:v>
      </x:c>
    </x:row>
    <x:row r="199" ht="24" customHeight="1">
      <x:c r="A199" s="69" t="str">
        <x:v>РПВ (В14)</x:v>
      </x:c>
      <x:c r="B199" s="69"/>
      <x:c r="C199" s="69"/>
      <x:c r="D199" s="69" t="str">
        <x:v>РПВ (В14)</x:v>
      </x:c>
      <x:c r="E199" s="82"/>
      <x:c r="F199" s="82"/>
      <x:c r="G199" s="82"/>
      <x:c r="H199" s="88" t="n">
        <x:v>1</x:v>
      </x:c>
      <x:c r="I199" s="69" t="str">
        <x:v>комплект</x:v>
      </x:c>
      <x:c r="J199" s="69" t="str">
        <x:v>TEKLED/TEKSAN</x:v>
      </x:c>
      <x:c r="K199" s="69" t="str">
        <x:v>B14</x:v>
      </x:c>
    </x:row>
    <x:row r="200">
      <x:c r="A200" s="64" t="str">
        <x:v>РПВ (В14)</x:v>
      </x:c>
      <x:c r="B200" s="64" t="str">
        <x:v>korpus</x:v>
      </x:c>
      <x:c r="C200" s="64" t="str">
        <x:v>714-15005</x:v>
      </x:c>
      <x:c r="D200" s="64" t="str">
        <x:v>Pano met.ShRn-12 b/o (313х268х120)S/U 36 IP31 (TS)</x:v>
      </x:c>
      <x:c r="E200" s="83" t="n">
        <x:v>10270</x:v>
      </x:c>
      <x:c r="F200" s="83" t="n">
        <x:v>6162</x:v>
      </x:c>
      <x:c r="G200" s="83" t="n">
        <x:f>IF(OR(F200="",H200=""),"",F200*H200)</x:f>
        <x:v>6162</x:v>
      </x:c>
      <x:c r="H200" s="89" t="n">
        <x:v>1</x:v>
      </x:c>
      <x:c r="I200" s="64" t="str">
        <x:v> ШТ. </x:v>
      </x:c>
      <x:c r="J200" s="64" t="str">
        <x:v>teksan f</x:v>
      </x:c>
      <x:c r="K200" s="64" t="str">
        <x:v>B14</x:v>
      </x:c>
    </x:row>
    <x:row r="201">
      <x:c r="A201" s="64" t="str">
        <x:v>РПВ (В14)</x:v>
      </x:c>
      <x:c r="B201" s="64" t="str">
        <x:v>oto</x:v>
      </x:c>
      <x:c r="C201" s="64" t="str">
        <x:v>296827</x:v>
      </x:c>
      <x:c r="D201" s="64" t="str">
        <x:v>Авт. выкл. NXB-63S 3P 16А 4.5kA х-ка C (R)</x:v>
      </x:c>
      <x:c r="E201" s="83" t="n">
        <x:v>2337</x:v>
      </x:c>
      <x:c r="F201" s="83" t="n">
        <x:v>1402.2</x:v>
      </x:c>
      <x:c r="G201" s="83" t="n">
        <x:f>IF(OR(F201="",H201=""),"",F201*H201)</x:f>
        <x:v>1402.2</x:v>
      </x:c>
      <x:c r="H201" s="89" t="n">
        <x:v>1</x:v>
      </x:c>
      <x:c r="I201" s="64" t="str">
        <x:v> ШТ. </x:v>
      </x:c>
      <x:c r="J201" s="64" t="str">
        <x:v>chint</x:v>
      </x:c>
      <x:c r="K201" s="64" t="str">
        <x:v>B14</x:v>
      </x:c>
    </x:row>
    <x:row r="202">
      <x:c r="A202" s="64" t="str">
        <x:v>РПВ (В14)</x:v>
      </x:c>
      <x:c r="B202" s="64" t="str">
        <x:v>oto</x:v>
      </x:c>
      <x:c r="C202" s="64" t="str">
        <x:v>814014</x:v>
      </x:c>
      <x:c r="D202" s="64" t="str">
        <x:v>Авт. выкл. NXB-63 1P 16A 6кА х-ка C (R)</x:v>
      </x:c>
      <x:c r="E202" s="83" t="n">
        <x:v>1389</x:v>
      </x:c>
      <x:c r="F202" s="83" t="n">
        <x:v>833.4</x:v>
      </x:c>
      <x:c r="G202" s="83" t="n">
        <x:f>IF(OR(F202="",H202=""),"",F202*H202)</x:f>
        <x:v>3333.6</x:v>
      </x:c>
      <x:c r="H202" s="89" t="n">
        <x:v>4</x:v>
      </x:c>
      <x:c r="I202" s="64" t="str">
        <x:v> ШТ. </x:v>
      </x:c>
      <x:c r="J202" s="64" t="str">
        <x:v>chint</x:v>
      </x:c>
      <x:c r="K202" s="64" t="str">
        <x:v>B14</x:v>
      </x:c>
    </x:row>
    <x:row r="203">
      <x:c r="A203" s="64" t="str">
        <x:v>РПВ (В14)</x:v>
      </x:c>
      <x:c r="B203" s="94" t="str">
        <x:v>bara</x:v>
      </x:c>
      <x:c r="C203" s="100" t="str">
        <x:v>KONTROL-N</x:v>
      </x:c>
      <x:c r="D203" s="94" t="str">
        <x:v>Шина N изолированная, не менее 12 присоединений</x:v>
      </x:c>
      <x:c r="E203" s="95"/>
      <x:c r="F203" s="95"/>
      <x:c r="G203" s="95" t="str">
        <x:f>IF(OR(F203="",H203=""),"",F203*H203)</x:f>
      </x:c>
      <x:c r="H203" s="96" t="n">
        <x:v>1</x:v>
      </x:c>
      <x:c r="I203" s="94" t="str">
        <x:v> ШТ. </x:v>
      </x:c>
      <x:c r="J203" s="94" t="str">
        <x:v>EKT/Klemsan</x:v>
      </x:c>
      <x:c r="K203" s="64" t="str">
        <x:v>B14</x:v>
      </x:c>
    </x:row>
    <x:row r="204">
      <x:c r="A204" s="64" t="str">
        <x:v>РПВ (В14)</x:v>
      </x:c>
      <x:c r="B204" s="94" t="str">
        <x:v>bara</x:v>
      </x:c>
      <x:c r="C204" s="100" t="str">
        <x:v>KONTROL-PE</x:v>
      </x:c>
      <x:c r="D204" s="94" t="str">
        <x:v>Шина PE медная, не менее 12 присоединений</x:v>
      </x:c>
      <x:c r="E204" s="95"/>
      <x:c r="F204" s="95"/>
      <x:c r="G204" s="95" t="str">
        <x:f>IF(OR(F204="",H204=""),"",F204*H204)</x:f>
      </x:c>
      <x:c r="H204" s="96" t="n">
        <x:v>1</x:v>
      </x:c>
      <x:c r="I204" s="94" t="str">
        <x:v> ШТ. </x:v>
      </x:c>
      <x:c r="J204" s="94" t="str">
        <x:v>EKT/Klemsan</x:v>
      </x:c>
      <x:c r="K204" s="64" t="str">
        <x:v>B14</x:v>
      </x:c>
    </x:row>
    <x:row r="205">
      <x:c r="A205" s="64" t="str">
        <x:v>РПВ (В14)</x:v>
      </x:c>
      <x:c r="B205" s="94" t="str">
        <x:v>din</x:v>
      </x:c>
      <x:c r="C205" s="100" t="str">
        <x:v>KONTROL-DIN</x:v>
      </x:c>
      <x:c r="D205" s="94" t="str">
        <x:v>DIN рейка 35 мм, оцинкованная, комплект по габариту</x:v>
      </x:c>
      <x:c r="E205" s="95"/>
      <x:c r="F205" s="95"/>
      <x:c r="G205" s="95" t="str">
        <x:f>IF(OR(F205="",H205=""),"",F205*H205)</x:f>
      </x:c>
      <x:c r="H205" s="96" t="n">
        <x:v>1</x:v>
      </x:c>
      <x:c r="I205" s="94" t="str">
        <x:v> ШТ. </x:v>
      </x:c>
      <x:c r="J205" s="94" t="str">
        <x:v>EKT</x:v>
      </x:c>
      <x:c r="K205" s="64" t="str">
        <x:v>B14</x:v>
      </x:c>
    </x:row>
    <x:row r="206">
      <x:c r="A206" s="64" t="str">
        <x:v>РПВ (В14)</x:v>
      </x:c>
      <x:c r="B206" s="94" t="str">
        <x:v>kanal</x:v>
      </x:c>
      <x:c r="C206" s="100" t="str">
        <x:v>KONTROL-KK</x:v>
      </x:c>
      <x:c r="D206" s="94" t="str">
        <x:v>Кабельный канал перфорированный, комплект по габариту</x:v>
      </x:c>
      <x:c r="E206" s="95"/>
      <x:c r="F206" s="95"/>
      <x:c r="G206" s="95" t="str">
        <x:f>IF(OR(F206="",H206=""),"",F206*H206)</x:f>
      </x:c>
      <x:c r="H206" s="96" t="n">
        <x:v>1</x:v>
      </x:c>
      <x:c r="I206" s="94" t="str">
        <x:v> ШТ. </x:v>
      </x:c>
      <x:c r="J206" s="94" t="str">
        <x:v>ONKA/EKT</x:v>
      </x:c>
      <x:c r="K206" s="64" t="str">
        <x:v>B14</x:v>
      </x:c>
    </x:row>
    <x:row r="207">
      <x:c r="A207" s="64" t="str">
        <x:v>РПВ (В14)</x:v>
      </x:c>
      <x:c r="B207" s="94" t="str">
        <x:v>klemens</x:v>
      </x:c>
      <x:c r="C207" s="100" t="str">
        <x:v>KONTROL-KL</x:v>
      </x:c>
      <x:c r="D207" s="94" t="str">
        <x:v>Клеммник 2,5-6 мм² (фаза/N/PE по схеме)</x:v>
      </x:c>
      <x:c r="E207" s="95"/>
      <x:c r="F207" s="95"/>
      <x:c r="G207" s="95" t="str">
        <x:f>IF(OR(F207="",H207=""),"",F207*H207)</x:f>
      </x:c>
      <x:c r="H207" s="96" t="n">
        <x:v>14</x:v>
      </x:c>
      <x:c r="I207" s="94" t="str">
        <x:v> ШТ. </x:v>
      </x:c>
      <x:c r="J207" s="94" t="str">
        <x:v>Klemsan/EKT</x:v>
      </x:c>
      <x:c r="K207" s="64" t="str">
        <x:v>B14</x:v>
      </x:c>
    </x:row>
    <x:row r="208">
      <x:c r="A208" s="64" t="str">
        <x:v>РПВ (В14)</x:v>
      </x:c>
      <x:c r="B208" s="94" t="str">
        <x:v>kablo</x:v>
      </x:c>
      <x:c r="C208" s="100" t="str">
        <x:v>KONTROL-WIRE</x:v>
      </x:c>
      <x:c r="D208" s="94" t="str">
        <x:v>Внутренняя проводка Harmony + маркировка, комплект</x:v>
      </x:c>
      <x:c r="E208" s="95"/>
      <x:c r="F208" s="95"/>
      <x:c r="G208" s="95" t="str">
        <x:f>IF(OR(F208="",H208=""),"",F208*H208)</x:f>
      </x:c>
      <x:c r="H208" s="96" t="n">
        <x:v>1</x:v>
      </x:c>
      <x:c r="I208" s="94" t="str">
        <x:v> ШТ. </x:v>
      </x:c>
      <x:c r="J208" s="94" t="str">
        <x:v>Harmony</x:v>
      </x:c>
      <x:c r="K208" s="64" t="str">
        <x:v>B14</x:v>
      </x:c>
    </x:row>
    <x:row r="209">
      <x:c r="A209" s="64" t="str">
        <x:v>РПВ (В14)</x:v>
      </x:c>
      <x:c r="B209" s="64" t="str">
        <x:v>монтажный материал</x:v>
      </x:c>
      <x:c r="C209" s="64" t="str">
        <x:v>монтажный материал</x:v>
      </x:c>
      <x:c r="D209" s="64" t="str">
        <x:v>Монтажный материал</x:v>
      </x:c>
      <x:c r="E209" s="83"/>
      <x:c r="F209" s="83"/>
      <x:c r="G209" s="83" t="str">
        <x:f>IF(OR(F209="",H209=""),"",F209*H209)</x:f>
      </x:c>
      <x:c r="H209" s="89" t="n">
        <x:v>1</x:v>
      </x:c>
      <x:c r="I209" s="64" t="str">
        <x:v>компл.</x:v>
      </x:c>
      <x:c r="J209" s="64" t="str">
        <x:v>TEKLED</x:v>
      </x:c>
      <x:c r="K209" s="64" t="str">
        <x:v>B14</x:v>
      </x:c>
    </x:row>
    <x:row r="210">
      <x:c r="A210" s="64" t="str">
        <x:v>РПВ (В14)</x:v>
      </x:c>
      <x:c r="B210" s="64" t="str">
        <x:v>монтажные работы</x:v>
      </x:c>
      <x:c r="C210" s="64" t="str">
        <x:v>монтажные работы</x:v>
      </x:c>
      <x:c r="D210" s="64" t="str">
        <x:v>Монтажные работы</x:v>
      </x:c>
      <x:c r="E210" s="83"/>
      <x:c r="F210" s="83"/>
      <x:c r="G210" s="83" t="str">
        <x:f>IF(OR(F210="",H210=""),"",F210*H210)</x:f>
      </x:c>
      <x:c r="H210" s="89" t="n">
        <x:v>1</x:v>
      </x:c>
      <x:c r="I210" s="64" t="str">
        <x:v>компл.</x:v>
      </x:c>
      <x:c r="J210" s="64" t="str">
        <x:v>TEKLED</x:v>
      </x:c>
      <x:c r="K210" s="64" t="str">
        <x:v>B14</x:v>
      </x:c>
    </x:row>
    <x:row r="211">
      <x:c r="A211" s="76" t="str">
        <x:v>РПВ (В14)</x:v>
      </x:c>
      <x:c r="B211" s="76"/>
      <x:c r="C211" s="76"/>
      <x:c r="D211" s="80" t="str">
        <x:v>ИТОГО на 1 комплект</x:v>
      </x:c>
      <x:c r="E211" s="84"/>
      <x:c r="F211" s="84"/>
      <x:c r="G211" s="84" t="n">
        <x:f>SUM(G200:G210)</x:f>
        <x:v>10897.8</x:v>
      </x:c>
      <x:c r="H211" s="90"/>
      <x:c r="I211" s="76"/>
      <x:c r="J211" s="76"/>
      <x:c r="K211" s="76" t="str">
        <x:v>B14</x:v>
      </x:c>
    </x:row>
    <x:row r="212" ht="24" customHeight="1">
      <x:c r="A212" s="69" t="str">
        <x:v>ЯВЗ-31-IP54 УХЛ2 100А</x:v>
      </x:c>
      <x:c r="B212" s="69"/>
      <x:c r="C212" s="69"/>
      <x:c r="D212" s="69" t="str">
        <x:v>ЯВЗ-31-IP54 УХЛ2 100А</x:v>
      </x:c>
      <x:c r="E212" s="82"/>
      <x:c r="F212" s="82"/>
      <x:c r="G212" s="82"/>
      <x:c r="H212" s="88" t="n">
        <x:v>1</x:v>
      </x:c>
      <x:c r="I212" s="69" t="str">
        <x:v>комплект</x:v>
      </x:c>
      <x:c r="J212" s="69" t="str">
        <x:v>TEKLED/TEKSAN</x:v>
      </x:c>
      <x:c r="K212" s="69" t="str">
        <x:v>B14</x:v>
      </x:c>
    </x:row>
    <x:row r="213">
      <x:c r="A213" s="64" t="str">
        <x:v>ЯВЗ-31-IP54 УХЛ2 100А</x:v>
      </x:c>
      <x:c r="B213" s="64" t="str">
        <x:v>korpus</x:v>
      </x:c>
      <x:c r="C213" s="64" t="str">
        <x:v>719-15043</x:v>
      </x:c>
      <x:c r="D213" s="64" t="str">
        <x:v>450*240*175</x:v>
      </x:c>
      <x:c r="E213" s="83"/>
      <x:c r="F213" s="83" t="n">
        <x:v>0</x:v>
      </x:c>
      <x:c r="G213" s="83" t="str">
        <x:f>IF(OR(F213="",H213=""),"",F213*H213)</x:f>
      </x:c>
      <x:c r="H213" s="89" t="n">
        <x:v>1</x:v>
      </x:c>
      <x:c r="I213" s="64" t="str">
        <x:v> ШТ. </x:v>
      </x:c>
      <x:c r="J213" s="64" t="str">
        <x:v>teksan f</x:v>
      </x:c>
      <x:c r="K213" s="64" t="str">
        <x:v>B14</x:v>
      </x:c>
    </x:row>
    <x:row r="214">
      <x:c r="A214" s="64" t="str">
        <x:v>ЯВЗ-31-IP54 УХЛ2 100А</x:v>
      </x:c>
      <x:c r="B214" s="94" t="str">
        <x:v>rubilnik</x:v>
      </x:c>
      <x:c r="C214" s="100" t="str">
        <x:v>KONTROL-NH40-125-3W</x:v>
      </x:c>
      <x:c r="D214" s="94" t="str">
        <x:v>Выключатель-разъединитель CHINT NH40-125/3W, 100A, рукоятка на дверь</x:v>
      </x:c>
      <x:c r="E214" s="95"/>
      <x:c r="F214" s="95"/>
      <x:c r="G214" s="95" t="str">
        <x:f>IF(OR(F214="",H214=""),"",F214*H214)</x:f>
      </x:c>
      <x:c r="H214" s="96" t="n">
        <x:v>1</x:v>
      </x:c>
      <x:c r="I214" s="94" t="str">
        <x:v> ШТ. </x:v>
      </x:c>
      <x:c r="J214" s="94" t="str">
        <x:v>CHINT</x:v>
      </x:c>
      <x:c r="K214" s="64" t="str">
        <x:v>B14</x:v>
      </x:c>
    </x:row>
    <x:row r="215">
      <x:c r="A215" s="64" t="str">
        <x:v>ЯВЗ-31-IP54 УХЛ2 100А</x:v>
      </x:c>
      <x:c r="B215" s="64" t="str">
        <x:v>ppn</x:v>
      </x:c>
      <x:c r="C215" s="64" t="str">
        <x:v>521349</x:v>
      </x:c>
      <x:c r="D215" s="64" t="str">
        <x:v>Плавкая вставка предохранителя RT36-00-160, габарит 00, 100А</x:v>
      </x:c>
      <x:c r="E215" s="83" t="n">
        <x:v>1545</x:v>
      </x:c>
      <x:c r="F215" s="83" t="n">
        <x:v>927</x:v>
      </x:c>
      <x:c r="G215" s="83" t="n">
        <x:f>IF(OR(F215="",H215=""),"",F215*H215)</x:f>
        <x:v>2781</x:v>
      </x:c>
      <x:c r="H215" s="89" t="n">
        <x:v>3</x:v>
      </x:c>
      <x:c r="I215" s="64" t="str">
        <x:v> ШТ. </x:v>
      </x:c>
      <x:c r="J215" s="64" t="str">
        <x:v>chint</x:v>
      </x:c>
      <x:c r="K215" s="64" t="str">
        <x:v>B14</x:v>
      </x:c>
    </x:row>
    <x:row r="216">
      <x:c r="A216" s="64" t="str">
        <x:v>ЯВЗ-31-IP54 УХЛ2 100А</x:v>
      </x:c>
      <x:c r="B216" s="64" t="str">
        <x:v>ppn</x:v>
      </x:c>
      <x:c r="C216" s="64" t="str">
        <x:v>521260</x:v>
      </x:c>
      <x:c r="D216" s="64" t="str">
        <x:v>Держатель плавкой вставки RT36-00-160, габарит 00, 160А</x:v>
      </x:c>
      <x:c r="E216" s="83" t="n">
        <x:v>2038</x:v>
      </x:c>
      <x:c r="F216" s="83" t="n">
        <x:v>1222.8</x:v>
      </x:c>
      <x:c r="G216" s="83" t="n">
        <x:f>IF(OR(F216="",H216=""),"",F216*H216)</x:f>
        <x:v>3668.3999999999996</x:v>
      </x:c>
      <x:c r="H216" s="89" t="n">
        <x:v>3</x:v>
      </x:c>
      <x:c r="I216" s="64" t="str">
        <x:v> ШТ. </x:v>
      </x:c>
      <x:c r="J216" s="64" t="str">
        <x:v>chint</x:v>
      </x:c>
      <x:c r="K216" s="64" t="str">
        <x:v>B14</x:v>
      </x:c>
    </x:row>
    <x:row r="217">
      <x:c r="A217" s="64" t="str">
        <x:v>ЯВЗ-31-IP54 УХЛ2 100А</x:v>
      </x:c>
      <x:c r="B217" s="94" t="str">
        <x:v>bara</x:v>
      </x:c>
      <x:c r="C217" s="100" t="str">
        <x:v>KONTROL-N</x:v>
      </x:c>
      <x:c r="D217" s="94" t="str">
        <x:v>Шина N изолированная, не менее 12 присоединений</x:v>
      </x:c>
      <x:c r="E217" s="95"/>
      <x:c r="F217" s="95"/>
      <x:c r="G217" s="95" t="str">
        <x:f>IF(OR(F217="",H217=""),"",F217*H217)</x:f>
      </x:c>
      <x:c r="H217" s="96" t="n">
        <x:v>1</x:v>
      </x:c>
      <x:c r="I217" s="94" t="str">
        <x:v> ШТ. </x:v>
      </x:c>
      <x:c r="J217" s="94" t="str">
        <x:v>EKT/Klemsan</x:v>
      </x:c>
      <x:c r="K217" s="64" t="str">
        <x:v>B14</x:v>
      </x:c>
    </x:row>
    <x:row r="218">
      <x:c r="A218" s="64" t="str">
        <x:v>ЯВЗ-31-IP54 УХЛ2 100А</x:v>
      </x:c>
      <x:c r="B218" s="94" t="str">
        <x:v>bara</x:v>
      </x:c>
      <x:c r="C218" s="100" t="str">
        <x:v>KONTROL-PE</x:v>
      </x:c>
      <x:c r="D218" s="94" t="str">
        <x:v>Шина PE медная, не менее 12 присоединений</x:v>
      </x:c>
      <x:c r="E218" s="95"/>
      <x:c r="F218" s="95"/>
      <x:c r="G218" s="95" t="str">
        <x:f>IF(OR(F218="",H218=""),"",F218*H218)</x:f>
      </x:c>
      <x:c r="H218" s="96" t="n">
        <x:v>1</x:v>
      </x:c>
      <x:c r="I218" s="94" t="str">
        <x:v> ШТ. </x:v>
      </x:c>
      <x:c r="J218" s="94" t="str">
        <x:v>EKT/Klemsan</x:v>
      </x:c>
      <x:c r="K218" s="64" t="str">
        <x:v>B14</x:v>
      </x:c>
    </x:row>
    <x:row r="219">
      <x:c r="A219" s="64" t="str">
        <x:v>ЯВЗ-31-IP54 УХЛ2 100А</x:v>
      </x:c>
      <x:c r="B219" s="94" t="str">
        <x:v>din</x:v>
      </x:c>
      <x:c r="C219" s="100" t="str">
        <x:v>KONTROL-DIN</x:v>
      </x:c>
      <x:c r="D219" s="94" t="str">
        <x:v>DIN рейка 35 мм, оцинкованная, комплект по габариту</x:v>
      </x:c>
      <x:c r="E219" s="95"/>
      <x:c r="F219" s="95"/>
      <x:c r="G219" s="95" t="str">
        <x:f>IF(OR(F219="",H219=""),"",F219*H219)</x:f>
      </x:c>
      <x:c r="H219" s="96" t="n">
        <x:v>1</x:v>
      </x:c>
      <x:c r="I219" s="94" t="str">
        <x:v> ШТ. </x:v>
      </x:c>
      <x:c r="J219" s="94" t="str">
        <x:v>EKT</x:v>
      </x:c>
      <x:c r="K219" s="64" t="str">
        <x:v>B14</x:v>
      </x:c>
    </x:row>
    <x:row r="220">
      <x:c r="A220" s="64" t="str">
        <x:v>ЯВЗ-31-IP54 УХЛ2 100А</x:v>
      </x:c>
      <x:c r="B220" s="94" t="str">
        <x:v>kanal</x:v>
      </x:c>
      <x:c r="C220" s="100" t="str">
        <x:v>KONTROL-KK</x:v>
      </x:c>
      <x:c r="D220" s="94" t="str">
        <x:v>Кабельный канал перфорированный, комплект по габариту</x:v>
      </x:c>
      <x:c r="E220" s="95"/>
      <x:c r="F220" s="95"/>
      <x:c r="G220" s="95" t="str">
        <x:f>IF(OR(F220="",H220=""),"",F220*H220)</x:f>
      </x:c>
      <x:c r="H220" s="96" t="n">
        <x:v>1</x:v>
      </x:c>
      <x:c r="I220" s="94" t="str">
        <x:v> ШТ. </x:v>
      </x:c>
      <x:c r="J220" s="94" t="str">
        <x:v>ONKA/EKT</x:v>
      </x:c>
      <x:c r="K220" s="64" t="str">
        <x:v>B14</x:v>
      </x:c>
    </x:row>
    <x:row r="221">
      <x:c r="A221" s="64" t="str">
        <x:v>ЯВЗ-31-IP54 УХЛ2 100А</x:v>
      </x:c>
      <x:c r="B221" s="94" t="str">
        <x:v>klemens</x:v>
      </x:c>
      <x:c r="C221" s="100" t="str">
        <x:v>KONTROL-KL</x:v>
      </x:c>
      <x:c r="D221" s="94" t="str">
        <x:v>Клеммник 2,5-6 мм² (фаза/N/PE по схеме)</x:v>
      </x:c>
      <x:c r="E221" s="95"/>
      <x:c r="F221" s="95"/>
      <x:c r="G221" s="95" t="str">
        <x:f>IF(OR(F221="",H221=""),"",F221*H221)</x:f>
      </x:c>
      <x:c r="H221" s="96" t="n">
        <x:v>18</x:v>
      </x:c>
      <x:c r="I221" s="94" t="str">
        <x:v> ШТ. </x:v>
      </x:c>
      <x:c r="J221" s="94" t="str">
        <x:v>Klemsan/EKT</x:v>
      </x:c>
      <x:c r="K221" s="64" t="str">
        <x:v>B14</x:v>
      </x:c>
    </x:row>
    <x:row r="222">
      <x:c r="A222" s="64" t="str">
        <x:v>ЯВЗ-31-IP54 УХЛ2 100А</x:v>
      </x:c>
      <x:c r="B222" s="94" t="str">
        <x:v>kablo</x:v>
      </x:c>
      <x:c r="C222" s="100" t="str">
        <x:v>KONTROL-WIRE</x:v>
      </x:c>
      <x:c r="D222" s="94" t="str">
        <x:v>Внутренняя проводка Harmony + маркировка, комплект</x:v>
      </x:c>
      <x:c r="E222" s="95"/>
      <x:c r="F222" s="95"/>
      <x:c r="G222" s="95" t="str">
        <x:f>IF(OR(F222="",H222=""),"",F222*H222)</x:f>
      </x:c>
      <x:c r="H222" s="96" t="n">
        <x:v>1</x:v>
      </x:c>
      <x:c r="I222" s="94" t="str">
        <x:v> ШТ. </x:v>
      </x:c>
      <x:c r="J222" s="94" t="str">
        <x:v>Harmony</x:v>
      </x:c>
      <x:c r="K222" s="64" t="str">
        <x:v>B14</x:v>
      </x:c>
    </x:row>
    <x:row r="223">
      <x:c r="A223" s="64" t="str">
        <x:v>ЯВЗ-31-IP54 УХЛ2 100А</x:v>
      </x:c>
      <x:c r="B223" s="64" t="str">
        <x:v>монтажный материал</x:v>
      </x:c>
      <x:c r="C223" s="64" t="str">
        <x:v>монтажный материал</x:v>
      </x:c>
      <x:c r="D223" s="64" t="str">
        <x:v>Монтажный материал</x:v>
      </x:c>
      <x:c r="E223" s="83"/>
      <x:c r="F223" s="83"/>
      <x:c r="G223" s="83" t="str">
        <x:f>IF(OR(F223="",H223=""),"",F223*H223)</x:f>
      </x:c>
      <x:c r="H223" s="89" t="n">
        <x:v>1</x:v>
      </x:c>
      <x:c r="I223" s="64" t="str">
        <x:v>компл.</x:v>
      </x:c>
      <x:c r="J223" s="64" t="str">
        <x:v>TEKLED</x:v>
      </x:c>
      <x:c r="K223" s="64" t="str">
        <x:v>B14</x:v>
      </x:c>
    </x:row>
    <x:row r="224">
      <x:c r="A224" s="64" t="str">
        <x:v>ЯВЗ-31-IP54 УХЛ2 100А</x:v>
      </x:c>
      <x:c r="B224" s="64" t="str">
        <x:v>монтажные работы</x:v>
      </x:c>
      <x:c r="C224" s="64" t="str">
        <x:v>монтажные работы</x:v>
      </x:c>
      <x:c r="D224" s="64" t="str">
        <x:v>Монтажные работы</x:v>
      </x:c>
      <x:c r="E224" s="83"/>
      <x:c r="F224" s="83"/>
      <x:c r="G224" s="83" t="str">
        <x:f>IF(OR(F224="",H224=""),"",F224*H224)</x:f>
      </x:c>
      <x:c r="H224" s="89" t="n">
        <x:v>1</x:v>
      </x:c>
      <x:c r="I224" s="64" t="str">
        <x:v>компл.</x:v>
      </x:c>
      <x:c r="J224" s="64" t="str">
        <x:v>TEKLED</x:v>
      </x:c>
      <x:c r="K224" s="64" t="str">
        <x:v>B14</x:v>
      </x:c>
    </x:row>
    <x:row r="225">
      <x:c r="A225" s="76" t="str">
        <x:v>ЯВЗ-31-IP54 УХЛ2 100А</x:v>
      </x:c>
      <x:c r="B225" s="76"/>
      <x:c r="C225" s="76"/>
      <x:c r="D225" s="80" t="str">
        <x:v>ИТОГО на 1 комплект</x:v>
      </x:c>
      <x:c r="E225" s="84"/>
      <x:c r="F225" s="84"/>
      <x:c r="G225" s="84" t="n">
        <x:f>SUM(G213:G224)</x:f>
        <x:v>6449.4</x:v>
      </x:c>
      <x:c r="H225" s="90"/>
      <x:c r="I225" s="76"/>
      <x:c r="J225" s="76"/>
      <x:c r="K225" s="76" t="str">
        <x:v>B14</x:v>
      </x:c>
    </x:row>
    <x:row r="226" ht="24" customHeight="1">
      <x:c r="A226" s="69" t="str">
        <x:v>ЯТП-0,25-220/36 036УХЛ4</x:v>
      </x:c>
      <x:c r="B226" s="69"/>
      <x:c r="C226" s="69"/>
      <x:c r="D226" s="69" t="str">
        <x:v>ЯТП-0,25-220/36 036УХЛ4</x:v>
      </x:c>
      <x:c r="E226" s="82"/>
      <x:c r="F226" s="82"/>
      <x:c r="G226" s="82"/>
      <x:c r="H226" s="88" t="n">
        <x:v>1</x:v>
      </x:c>
      <x:c r="I226" s="69" t="str">
        <x:v>комплект</x:v>
      </x:c>
      <x:c r="J226" s="69" t="str">
        <x:v>TEKLED/TEKSAN</x:v>
      </x:c>
      <x:c r="K226" s="69" t="str">
        <x:v>B14</x:v>
      </x:c>
    </x:row>
    <x:row r="227">
      <x:c r="A227" s="64" t="str">
        <x:v>ЯТП-0,25-220/36 036УХЛ4</x:v>
      </x:c>
      <x:c r="B227" s="94" t="str">
        <x:v>korpus</x:v>
      </x:c>
      <x:c r="C227" s="100" t="str">
        <x:v>KONTROL-KORPUS-YATP</x:v>
      </x:c>
      <x:c r="D227" s="94" t="str">
        <x:v>Корпус металлический 300x250x150 мм, IP54, монтажная панель</x:v>
      </x:c>
      <x:c r="E227" s="95"/>
      <x:c r="F227" s="95"/>
      <x:c r="G227" s="95" t="str">
        <x:f>IF(OR(F227="",H227=""),"",F227*H227)</x:f>
      </x:c>
      <x:c r="H227" s="96" t="n">
        <x:v>1</x:v>
      </x:c>
      <x:c r="I227" s="94" t="str">
        <x:v> ШТ. </x:v>
      </x:c>
      <x:c r="J227" s="94" t="str">
        <x:v>TEKSAN/TEKLED</x:v>
      </x:c>
      <x:c r="K227" s="64" t="str">
        <x:v>B14</x:v>
      </x:c>
    </x:row>
    <x:row r="228">
      <x:c r="A228" s="64" t="str">
        <x:v>ЯТП-0,25-220/36 036УХЛ4</x:v>
      </x:c>
      <x:c r="B228" s="94" t="str">
        <x:v>transformator</x:v>
      </x:c>
      <x:c r="C228" s="100" t="str">
        <x:v>KONTROL-NDK250</x:v>
      </x:c>
      <x:c r="D228" s="94" t="str">
        <x:v>Трансформатор CHINT NDK-250, 230/36V, 250VA</x:v>
      </x:c>
      <x:c r="E228" s="95"/>
      <x:c r="F228" s="95"/>
      <x:c r="G228" s="95" t="str">
        <x:f>IF(OR(F228="",H228=""),"",F228*H228)</x:f>
      </x:c>
      <x:c r="H228" s="96" t="n">
        <x:v>1</x:v>
      </x:c>
      <x:c r="I228" s="94" t="str">
        <x:v> ШТ. </x:v>
      </x:c>
      <x:c r="J228" s="94" t="str">
        <x:v>CHINT</x:v>
      </x:c>
      <x:c r="K228" s="64" t="str">
        <x:v>B14</x:v>
      </x:c>
    </x:row>
    <x:row r="229">
      <x:c r="A229" s="64" t="str">
        <x:v>ЯТП-0,25-220/36 036УХЛ4</x:v>
      </x:c>
      <x:c r="B229" s="94" t="str">
        <x:v>oto</x:v>
      </x:c>
      <x:c r="C229" s="100" t="str">
        <x:v>KONTROL-MCB-1P-C2</x:v>
      </x:c>
      <x:c r="D229" s="94" t="str">
        <x:v>Авт. выключатель CHINT NXB-63 1P C2A, первичная цепь</x:v>
      </x:c>
      <x:c r="E229" s="95"/>
      <x:c r="F229" s="95"/>
      <x:c r="G229" s="95" t="str">
        <x:f>IF(OR(F229="",H229=""),"",F229*H229)</x:f>
      </x:c>
      <x:c r="H229" s="96" t="n">
        <x:v>1</x:v>
      </x:c>
      <x:c r="I229" s="94" t="str">
        <x:v> ШТ. </x:v>
      </x:c>
      <x:c r="J229" s="94" t="str">
        <x:v>CHINT</x:v>
      </x:c>
      <x:c r="K229" s="64" t="str">
        <x:v>B14</x:v>
      </x:c>
    </x:row>
    <x:row r="230">
      <x:c r="A230" s="64" t="str">
        <x:v>ЯТП-0,25-220/36 036УХЛ4</x:v>
      </x:c>
      <x:c r="B230" s="94" t="str">
        <x:v>oto</x:v>
      </x:c>
      <x:c r="C230" s="100" t="str">
        <x:v>KONTROL-MCB-2P-C10</x:v>
      </x:c>
      <x:c r="D230" s="94" t="str">
        <x:v>Авт. выключатель CHINT NXB-63 2P C10A, вторичная цепь 36V</x:v>
      </x:c>
      <x:c r="E230" s="95"/>
      <x:c r="F230" s="95"/>
      <x:c r="G230" s="95" t="str">
        <x:f>IF(OR(F230="",H230=""),"",F230*H230)</x:f>
      </x:c>
      <x:c r="H230" s="96" t="n">
        <x:v>1</x:v>
      </x:c>
      <x:c r="I230" s="94" t="str">
        <x:v> ШТ. </x:v>
      </x:c>
      <x:c r="J230" s="94" t="str">
        <x:v>CHINT</x:v>
      </x:c>
      <x:c r="K230" s="64" t="str">
        <x:v>B14</x:v>
      </x:c>
    </x:row>
    <x:row r="231">
      <x:c r="A231" s="64" t="str">
        <x:v>ЯТП-0,25-220/36 036УХЛ4</x:v>
      </x:c>
      <x:c r="B231" s="94" t="str">
        <x:v>rozetka</x:v>
      </x:c>
      <x:c r="C231" s="100" t="str">
        <x:v>KONTROL-SOCKET36</x:v>
      </x:c>
      <x:c r="D231" s="94" t="str">
        <x:v>Розетка 36V 16A, 2P+PE, IP44</x:v>
      </x:c>
      <x:c r="E231" s="95"/>
      <x:c r="F231" s="95"/>
      <x:c r="G231" s="95" t="str">
        <x:f>IF(OR(F231="",H231=""),"",F231*H231)</x:f>
      </x:c>
      <x:c r="H231" s="96" t="n">
        <x:v>1</x:v>
      </x:c>
      <x:c r="I231" s="94" t="str">
        <x:v> ШТ. </x:v>
      </x:c>
      <x:c r="J231" s="94" t="str">
        <x:v>EKT/IEK</x:v>
      </x:c>
      <x:c r="K231" s="64" t="str">
        <x:v>B14</x:v>
      </x:c>
    </x:row>
    <x:row r="232">
      <x:c r="A232" s="64" t="str">
        <x:v>ЯТП-0,25-220/36 036УХЛ4</x:v>
      </x:c>
      <x:c r="B232" s="94" t="str">
        <x:v>bara</x:v>
      </x:c>
      <x:c r="C232" s="100" t="str">
        <x:v>KONTROL-N</x:v>
      </x:c>
      <x:c r="D232" s="94" t="str">
        <x:v>Шина N изолированная, не менее 12 присоединений</x:v>
      </x:c>
      <x:c r="E232" s="95"/>
      <x:c r="F232" s="95"/>
      <x:c r="G232" s="95" t="str">
        <x:f>IF(OR(F232="",H232=""),"",F232*H232)</x:f>
      </x:c>
      <x:c r="H232" s="96" t="n">
        <x:v>1</x:v>
      </x:c>
      <x:c r="I232" s="94" t="str">
        <x:v> ШТ. </x:v>
      </x:c>
      <x:c r="J232" s="94" t="str">
        <x:v>EKT/Klemsan</x:v>
      </x:c>
      <x:c r="K232" s="64" t="str">
        <x:v>B14</x:v>
      </x:c>
    </x:row>
    <x:row r="233">
      <x:c r="A233" s="64" t="str">
        <x:v>ЯТП-0,25-220/36 036УХЛ4</x:v>
      </x:c>
      <x:c r="B233" s="94" t="str">
        <x:v>bara</x:v>
      </x:c>
      <x:c r="C233" s="100" t="str">
        <x:v>KONTROL-PE</x:v>
      </x:c>
      <x:c r="D233" s="94" t="str">
        <x:v>Шина PE медная, не менее 12 присоединений</x:v>
      </x:c>
      <x:c r="E233" s="95"/>
      <x:c r="F233" s="95"/>
      <x:c r="G233" s="95" t="str">
        <x:f>IF(OR(F233="",H233=""),"",F233*H233)</x:f>
      </x:c>
      <x:c r="H233" s="96" t="n">
        <x:v>1</x:v>
      </x:c>
      <x:c r="I233" s="94" t="str">
        <x:v> ШТ. </x:v>
      </x:c>
      <x:c r="J233" s="94" t="str">
        <x:v>EKT/Klemsan</x:v>
      </x:c>
      <x:c r="K233" s="64" t="str">
        <x:v>B14</x:v>
      </x:c>
    </x:row>
    <x:row r="234">
      <x:c r="A234" s="64" t="str">
        <x:v>ЯТП-0,25-220/36 036УХЛ4</x:v>
      </x:c>
      <x:c r="B234" s="94" t="str">
        <x:v>din</x:v>
      </x:c>
      <x:c r="C234" s="100" t="str">
        <x:v>KONTROL-DIN</x:v>
      </x:c>
      <x:c r="D234" s="94" t="str">
        <x:v>DIN рейка 35 мм, оцинкованная, комплект по габариту</x:v>
      </x:c>
      <x:c r="E234" s="95"/>
      <x:c r="F234" s="95"/>
      <x:c r="G234" s="95" t="str">
        <x:f>IF(OR(F234="",H234=""),"",F234*H234)</x:f>
      </x:c>
      <x:c r="H234" s="96" t="n">
        <x:v>1</x:v>
      </x:c>
      <x:c r="I234" s="94" t="str">
        <x:v> ШТ. </x:v>
      </x:c>
      <x:c r="J234" s="94" t="str">
        <x:v>EKT</x:v>
      </x:c>
      <x:c r="K234" s="64" t="str">
        <x:v>B14</x:v>
      </x:c>
    </x:row>
    <x:row r="235">
      <x:c r="A235" s="64" t="str">
        <x:v>ЯТП-0,25-220/36 036УХЛ4</x:v>
      </x:c>
      <x:c r="B235" s="94" t="str">
        <x:v>kanal</x:v>
      </x:c>
      <x:c r="C235" s="100" t="str">
        <x:v>KONTROL-KK</x:v>
      </x:c>
      <x:c r="D235" s="94" t="str">
        <x:v>Кабельный канал перфорированный, комплект по габариту</x:v>
      </x:c>
      <x:c r="E235" s="95"/>
      <x:c r="F235" s="95"/>
      <x:c r="G235" s="95" t="str">
        <x:f>IF(OR(F235="",H235=""),"",F235*H235)</x:f>
      </x:c>
      <x:c r="H235" s="96" t="n">
        <x:v>1</x:v>
      </x:c>
      <x:c r="I235" s="94" t="str">
        <x:v> ШТ. </x:v>
      </x:c>
      <x:c r="J235" s="94" t="str">
        <x:v>ONKA/EKT</x:v>
      </x:c>
      <x:c r="K235" s="64" t="str">
        <x:v>B14</x:v>
      </x:c>
    </x:row>
    <x:row r="236">
      <x:c r="A236" s="64" t="str">
        <x:v>ЯТП-0,25-220/36 036УХЛ4</x:v>
      </x:c>
      <x:c r="B236" s="94" t="str">
        <x:v>klemens</x:v>
      </x:c>
      <x:c r="C236" s="100" t="str">
        <x:v>KONTROL-KL</x:v>
      </x:c>
      <x:c r="D236" s="94" t="str">
        <x:v>Клеммник 2,5-6 мм² (фаза/N/PE по схеме)</x:v>
      </x:c>
      <x:c r="E236" s="95"/>
      <x:c r="F236" s="95"/>
      <x:c r="G236" s="95" t="str">
        <x:f>IF(OR(F236="",H236=""),"",F236*H236)</x:f>
      </x:c>
      <x:c r="H236" s="96" t="n">
        <x:v>12</x:v>
      </x:c>
      <x:c r="I236" s="94" t="str">
        <x:v> ШТ. </x:v>
      </x:c>
      <x:c r="J236" s="94" t="str">
        <x:v>Klemsan/EKT</x:v>
      </x:c>
      <x:c r="K236" s="64" t="str">
        <x:v>B14</x:v>
      </x:c>
    </x:row>
    <x:row r="237">
      <x:c r="A237" s="64" t="str">
        <x:v>ЯТП-0,25-220/36 036УХЛ4</x:v>
      </x:c>
      <x:c r="B237" s="94" t="str">
        <x:v>kablo</x:v>
      </x:c>
      <x:c r="C237" s="100" t="str">
        <x:v>KONTROL-WIRE</x:v>
      </x:c>
      <x:c r="D237" s="94" t="str">
        <x:v>Внутренняя проводка Harmony + маркировка, комплект</x:v>
      </x:c>
      <x:c r="E237" s="95"/>
      <x:c r="F237" s="95"/>
      <x:c r="G237" s="95" t="str">
        <x:f>IF(OR(F237="",H237=""),"",F237*H237)</x:f>
      </x:c>
      <x:c r="H237" s="96" t="n">
        <x:v>1</x:v>
      </x:c>
      <x:c r="I237" s="94" t="str">
        <x:v> ШТ. </x:v>
      </x:c>
      <x:c r="J237" s="94" t="str">
        <x:v>Harmony</x:v>
      </x:c>
      <x:c r="K237" s="64" t="str">
        <x:v>B14</x:v>
      </x:c>
    </x:row>
    <x:row r="238">
      <x:c r="A238" s="64" t="str">
        <x:v>ЯТП-0,25-220/36 036УХЛ4</x:v>
      </x:c>
      <x:c r="B238" s="64" t="str">
        <x:v>монтажный материал</x:v>
      </x:c>
      <x:c r="C238" s="64" t="str">
        <x:v>монтажный материал</x:v>
      </x:c>
      <x:c r="D238" s="64" t="str">
        <x:v>Монтажный материал</x:v>
      </x:c>
      <x:c r="E238" s="83"/>
      <x:c r="F238" s="83"/>
      <x:c r="G238" s="83" t="str">
        <x:f>IF(OR(F238="",H238=""),"",F238*H238)</x:f>
      </x:c>
      <x:c r="H238" s="89" t="n">
        <x:v>1</x:v>
      </x:c>
      <x:c r="I238" s="64" t="str">
        <x:v>компл.</x:v>
      </x:c>
      <x:c r="J238" s="64" t="str">
        <x:v>TEKLED</x:v>
      </x:c>
      <x:c r="K238" s="64" t="str">
        <x:v>B14</x:v>
      </x:c>
    </x:row>
    <x:row r="239">
      <x:c r="A239" s="64" t="str">
        <x:v>ЯТП-0,25-220/36 036УХЛ4</x:v>
      </x:c>
      <x:c r="B239" s="64" t="str">
        <x:v>монтажные работы</x:v>
      </x:c>
      <x:c r="C239" s="64" t="str">
        <x:v>монтажные работы</x:v>
      </x:c>
      <x:c r="D239" s="64" t="str">
        <x:v>Монтажные работы</x:v>
      </x:c>
      <x:c r="E239" s="83"/>
      <x:c r="F239" s="83"/>
      <x:c r="G239" s="83" t="str">
        <x:f>IF(OR(F239="",H239=""),"",F239*H239)</x:f>
      </x:c>
      <x:c r="H239" s="89" t="n">
        <x:v>1</x:v>
      </x:c>
      <x:c r="I239" s="64" t="str">
        <x:v>компл.</x:v>
      </x:c>
      <x:c r="J239" s="64" t="str">
        <x:v>TEKLED</x:v>
      </x:c>
      <x:c r="K239" s="64" t="str">
        <x:v>B14</x:v>
      </x:c>
    </x:row>
    <x:row r="240">
      <x:c r="A240" s="76" t="str">
        <x:v>ЯТП-0,25-220/36 036УХЛ4</x:v>
      </x:c>
      <x:c r="B240" s="76"/>
      <x:c r="C240" s="76"/>
      <x:c r="D240" s="80" t="str">
        <x:v>ИТОГО на 1 комплект</x:v>
      </x:c>
      <x:c r="E240" s="84"/>
      <x:c r="F240" s="84"/>
      <x:c r="G240" s="84" t="n">
        <x:f>SUM(G227:G239)</x:f>
        <x:v>0</x:v>
      </x:c>
      <x:c r="H240" s="90"/>
      <x:c r="I240" s="76"/>
      <x:c r="J240" s="76"/>
      <x:c r="K240" s="76" t="str">
        <x:v>B14</x:v>
      </x:c>
    </x:row>
    <x:row r="241" ht="24" customHeight="1">
      <x:c r="A241" s="69" t="str">
        <x:v>ГРЩ (В16)</x:v>
      </x:c>
      <x:c r="B241" s="69"/>
      <x:c r="C241" s="69"/>
      <x:c r="D241" s="69" t="str">
        <x:v>ГРЩ (В16)</x:v>
      </x:c>
      <x:c r="E241" s="82"/>
      <x:c r="F241" s="82"/>
      <x:c r="G241" s="82"/>
      <x:c r="H241" s="88" t="n">
        <x:v>1</x:v>
      </x:c>
      <x:c r="I241" s="69" t="str">
        <x:v>комплект</x:v>
      </x:c>
      <x:c r="J241" s="69" t="str">
        <x:v>TEKLED/TEKSAN</x:v>
      </x:c>
      <x:c r="K241" s="69" t="str">
        <x:v>B16</x:v>
      </x:c>
    </x:row>
    <x:row r="242">
      <x:c r="A242" s="64" t="str">
        <x:v>ГРЩ (В16)</x:v>
      </x:c>
      <x:c r="B242" s="64" t="str">
        <x:v>korpus</x:v>
      </x:c>
      <x:c r="C242" s="64" t="str">
        <x:v>714-15010</x:v>
      </x:c>
      <x:c r="D242" s="64" t="str">
        <x:v>Pano met.ShRn-24 b/o (398х312х120)S/U 36 IP31 (TS)</x:v>
      </x:c>
      <x:c r="E242" s="83" t="n">
        <x:v>13410</x:v>
      </x:c>
      <x:c r="F242" s="83" t="n">
        <x:v>8046</x:v>
      </x:c>
      <x:c r="G242" s="83" t="n">
        <x:f>IF(OR(F242="",H242=""),"",F242*H242)</x:f>
        <x:v>8046</x:v>
      </x:c>
      <x:c r="H242" s="89" t="n">
        <x:v>1</x:v>
      </x:c>
      <x:c r="I242" s="64" t="str">
        <x:v> ШТ. </x:v>
      </x:c>
      <x:c r="J242" s="64" t="str">
        <x:v>teksan f</x:v>
      </x:c>
      <x:c r="K242" s="64" t="str">
        <x:v>B16</x:v>
      </x:c>
    </x:row>
    <x:row r="243">
      <x:c r="A243" s="64" t="str">
        <x:v>ГРЩ (В16)</x:v>
      </x:c>
      <x:c r="B243" s="64" t="str">
        <x:v>oto</x:v>
      </x:c>
      <x:c r="C243" s="64" t="str">
        <x:v>816141</x:v>
      </x:c>
      <x:c r="D243" s="64" t="str">
        <x:v>Авт. выкл. NXB-125 3P 100A 10кА х-ка C (R)</x:v>
      </x:c>
      <x:c r="E243" s="83" t="n">
        <x:v>11015</x:v>
      </x:c>
      <x:c r="F243" s="83" t="n">
        <x:v>6609</x:v>
      </x:c>
      <x:c r="G243" s="83" t="n">
        <x:f>IF(OR(F243="",H243=""),"",F243*H243)</x:f>
        <x:v>6609</x:v>
      </x:c>
      <x:c r="H243" s="89" t="n">
        <x:v>1</x:v>
      </x:c>
      <x:c r="I243" s="64" t="str">
        <x:v> ШТ. </x:v>
      </x:c>
      <x:c r="J243" s="64" t="str">
        <x:v>chint</x:v>
      </x:c>
      <x:c r="K243" s="64" t="str">
        <x:v>B16</x:v>
      </x:c>
    </x:row>
    <x:row r="244">
      <x:c r="A244" s="64" t="str">
        <x:v>ГРЩ (В16)</x:v>
      </x:c>
      <x:c r="B244" s="64" t="str">
        <x:v>oto</x:v>
      </x:c>
      <x:c r="C244" s="64" t="str">
        <x:v>816139</x:v>
      </x:c>
      <x:c r="D244" s="64" t="str">
        <x:v>Авт. выкл. NXB-125 3P 80A 10кА х-ка C (R)</x:v>
      </x:c>
      <x:c r="E244" s="83" t="n">
        <x:v>10949</x:v>
      </x:c>
      <x:c r="F244" s="83" t="n">
        <x:v>6569.4</x:v>
      </x:c>
      <x:c r="G244" s="83" t="n">
        <x:f>IF(OR(F244="",H244=""),"",F244*H244)</x:f>
        <x:v>6569.4</x:v>
      </x:c>
      <x:c r="H244" s="89" t="n">
        <x:v>1</x:v>
      </x:c>
      <x:c r="I244" s="64" t="str">
        <x:v> ШТ. </x:v>
      </x:c>
      <x:c r="J244" s="64" t="str">
        <x:v>chint</x:v>
      </x:c>
      <x:c r="K244" s="64" t="str">
        <x:v>B16</x:v>
      </x:c>
    </x:row>
    <x:row r="245">
      <x:c r="A245" s="64" t="str">
        <x:v>ГРЩ (В16)</x:v>
      </x:c>
      <x:c r="B245" s="64" t="str">
        <x:v>oto</x:v>
      </x:c>
      <x:c r="C245" s="64" t="str">
        <x:v>296827</x:v>
      </x:c>
      <x:c r="D245" s="64" t="str">
        <x:v>Авт. выкл. NXB-63S 3P 16А 4.5kA х-ка C (R)</x:v>
      </x:c>
      <x:c r="E245" s="83" t="n">
        <x:v>2337</x:v>
      </x:c>
      <x:c r="F245" s="83" t="n">
        <x:v>1402.2</x:v>
      </x:c>
      <x:c r="G245" s="83" t="n">
        <x:f>IF(OR(F245="",H245=""),"",F245*H245)</x:f>
        <x:v>2804.4</x:v>
      </x:c>
      <x:c r="H245" s="89" t="n">
        <x:v>2</x:v>
      </x:c>
      <x:c r="I245" s="64" t="str">
        <x:v> ШТ. </x:v>
      </x:c>
      <x:c r="J245" s="64" t="str">
        <x:v>chint</x:v>
      </x:c>
      <x:c r="K245" s="64" t="str">
        <x:v>B16</x:v>
      </x:c>
    </x:row>
    <x:row r="246">
      <x:c r="A246" s="64" t="str">
        <x:v>ГРЩ (В16)</x:v>
      </x:c>
      <x:c r="B246" s="64" t="str">
        <x:v>oto</x:v>
      </x:c>
      <x:c r="C246" s="64" t="str">
        <x:v>814014</x:v>
      </x:c>
      <x:c r="D246" s="64" t="str">
        <x:v>Авт. выкл. NXB-63 1P 16A 6кА х-ка C (R)</x:v>
      </x:c>
      <x:c r="E246" s="83" t="n">
        <x:v>1389</x:v>
      </x:c>
      <x:c r="F246" s="83" t="n">
        <x:v>833.4</x:v>
      </x:c>
      <x:c r="G246" s="83" t="n">
        <x:f>IF(OR(F246="",H246=""),"",F246*H246)</x:f>
        <x:v>4167</x:v>
      </x:c>
      <x:c r="H246" s="89" t="n">
        <x:v>5</x:v>
      </x:c>
      <x:c r="I246" s="64" t="str">
        <x:v> ШТ. </x:v>
      </x:c>
      <x:c r="J246" s="64" t="str">
        <x:v>chint</x:v>
      </x:c>
      <x:c r="K246" s="64" t="str">
        <x:v>B16</x:v>
      </x:c>
    </x:row>
    <x:row r="247">
      <x:c r="A247" s="64" t="str">
        <x:v>ГРЩ (В16)</x:v>
      </x:c>
      <x:c r="B247" s="64" t="str">
        <x:v>rn</x:v>
      </x:c>
      <x:c r="C247" s="64" t="str">
        <x:v>816989</x:v>
      </x:c>
      <x:c r="D247" s="64" t="str">
        <x:v>Независимый расцепитель SHT-X3 AC240V/AC415V для NXB-125(G) (R)</x:v>
      </x:c>
      <x:c r="E247" s="83" t="n">
        <x:v>4160</x:v>
      </x:c>
      <x:c r="F247" s="83" t="n">
        <x:v>2496</x:v>
      </x:c>
      <x:c r="G247" s="83" t="n">
        <x:f>IF(OR(F247="",H247=""),"",F247*H247)</x:f>
        <x:v>2496</x:v>
      </x:c>
      <x:c r="H247" s="89" t="n">
        <x:v>1</x:v>
      </x:c>
      <x:c r="I247" s="64" t="str">
        <x:v> ШТ. </x:v>
      </x:c>
      <x:c r="J247" s="64" t="str">
        <x:v>chint</x:v>
      </x:c>
      <x:c r="K247" s="64" t="str">
        <x:v>B16</x:v>
      </x:c>
    </x:row>
    <x:row r="248">
      <x:c r="A248" s="64" t="str">
        <x:v>ГРЩ (В16)</x:v>
      </x:c>
      <x:c r="B248" s="94" t="str">
        <x:v>bara</x:v>
      </x:c>
      <x:c r="C248" s="100" t="str">
        <x:v>KONTROL-N</x:v>
      </x:c>
      <x:c r="D248" s="94" t="str">
        <x:v>Шина N изолированная, не менее 12 присоединений</x:v>
      </x:c>
      <x:c r="E248" s="95"/>
      <x:c r="F248" s="95"/>
      <x:c r="G248" s="95" t="str">
        <x:f>IF(OR(F248="",H248=""),"",F248*H248)</x:f>
      </x:c>
      <x:c r="H248" s="96" t="n">
        <x:v>1</x:v>
      </x:c>
      <x:c r="I248" s="94" t="str">
        <x:v> ШТ. </x:v>
      </x:c>
      <x:c r="J248" s="94" t="str">
        <x:v>EKT/Klemsan</x:v>
      </x:c>
      <x:c r="K248" s="64" t="str">
        <x:v>B16</x:v>
      </x:c>
    </x:row>
    <x:row r="249">
      <x:c r="A249" s="64" t="str">
        <x:v>ГРЩ (В16)</x:v>
      </x:c>
      <x:c r="B249" s="94" t="str">
        <x:v>bara</x:v>
      </x:c>
      <x:c r="C249" s="100" t="str">
        <x:v>KONTROL-PE</x:v>
      </x:c>
      <x:c r="D249" s="94" t="str">
        <x:v>Шина PE медная, не менее 12 присоединений</x:v>
      </x:c>
      <x:c r="E249" s="95"/>
      <x:c r="F249" s="95"/>
      <x:c r="G249" s="95" t="str">
        <x:f>IF(OR(F249="",H249=""),"",F249*H249)</x:f>
      </x:c>
      <x:c r="H249" s="96" t="n">
        <x:v>1</x:v>
      </x:c>
      <x:c r="I249" s="94" t="str">
        <x:v> ШТ. </x:v>
      </x:c>
      <x:c r="J249" s="94" t="str">
        <x:v>EKT/Klemsan</x:v>
      </x:c>
      <x:c r="K249" s="64" t="str">
        <x:v>B16</x:v>
      </x:c>
    </x:row>
    <x:row r="250">
      <x:c r="A250" s="64" t="str">
        <x:v>ГРЩ (В16)</x:v>
      </x:c>
      <x:c r="B250" s="94" t="str">
        <x:v>din</x:v>
      </x:c>
      <x:c r="C250" s="100" t="str">
        <x:v>KONTROL-DIN</x:v>
      </x:c>
      <x:c r="D250" s="94" t="str">
        <x:v>DIN рейка 35 мм, оцинкованная, комплект по габариту</x:v>
      </x:c>
      <x:c r="E250" s="95"/>
      <x:c r="F250" s="95"/>
      <x:c r="G250" s="95" t="str">
        <x:f>IF(OR(F250="",H250=""),"",F250*H250)</x:f>
      </x:c>
      <x:c r="H250" s="96" t="n">
        <x:v>1</x:v>
      </x:c>
      <x:c r="I250" s="94" t="str">
        <x:v> ШТ. </x:v>
      </x:c>
      <x:c r="J250" s="94" t="str">
        <x:v>EKT</x:v>
      </x:c>
      <x:c r="K250" s="64" t="str">
        <x:v>B16</x:v>
      </x:c>
    </x:row>
    <x:row r="251">
      <x:c r="A251" s="64" t="str">
        <x:v>ГРЩ (В16)</x:v>
      </x:c>
      <x:c r="B251" s="94" t="str">
        <x:v>kanal</x:v>
      </x:c>
      <x:c r="C251" s="100" t="str">
        <x:v>KONTROL-KK</x:v>
      </x:c>
      <x:c r="D251" s="94" t="str">
        <x:v>Кабельный канал перфорированный, комплект по габариту</x:v>
      </x:c>
      <x:c r="E251" s="95"/>
      <x:c r="F251" s="95"/>
      <x:c r="G251" s="95" t="str">
        <x:f>IF(OR(F251="",H251=""),"",F251*H251)</x:f>
      </x:c>
      <x:c r="H251" s="96" t="n">
        <x:v>1</x:v>
      </x:c>
      <x:c r="I251" s="94" t="str">
        <x:v> ШТ. </x:v>
      </x:c>
      <x:c r="J251" s="94" t="str">
        <x:v>ONKA/EKT</x:v>
      </x:c>
      <x:c r="K251" s="64" t="str">
        <x:v>B16</x:v>
      </x:c>
    </x:row>
    <x:row r="252">
      <x:c r="A252" s="64" t="str">
        <x:v>ГРЩ (В16)</x:v>
      </x:c>
      <x:c r="B252" s="94" t="str">
        <x:v>klemens</x:v>
      </x:c>
      <x:c r="C252" s="100" t="str">
        <x:v>KONTROL-KL</x:v>
      </x:c>
      <x:c r="D252" s="94" t="str">
        <x:v>Клеммник 2,5-6 мм² (фаза/N/PE по схеме)</x:v>
      </x:c>
      <x:c r="E252" s="95"/>
      <x:c r="F252" s="95"/>
      <x:c r="G252" s="95" t="str">
        <x:f>IF(OR(F252="",H252=""),"",F252*H252)</x:f>
      </x:c>
      <x:c r="H252" s="96" t="n">
        <x:v>25</x:v>
      </x:c>
      <x:c r="I252" s="94" t="str">
        <x:v> ШТ. </x:v>
      </x:c>
      <x:c r="J252" s="94" t="str">
        <x:v>Klemsan/EKT</x:v>
      </x:c>
      <x:c r="K252" s="64" t="str">
        <x:v>B16</x:v>
      </x:c>
    </x:row>
    <x:row r="253">
      <x:c r="A253" s="64" t="str">
        <x:v>ГРЩ (В16)</x:v>
      </x:c>
      <x:c r="B253" s="94" t="str">
        <x:v>kablo</x:v>
      </x:c>
      <x:c r="C253" s="100" t="str">
        <x:v>KONTROL-WIRE</x:v>
      </x:c>
      <x:c r="D253" s="94" t="str">
        <x:v>Внутренняя проводка Harmony + маркировка, комплект</x:v>
      </x:c>
      <x:c r="E253" s="95"/>
      <x:c r="F253" s="95"/>
      <x:c r="G253" s="95" t="str">
        <x:f>IF(OR(F253="",H253=""),"",F253*H253)</x:f>
      </x:c>
      <x:c r="H253" s="96" t="n">
        <x:v>1</x:v>
      </x:c>
      <x:c r="I253" s="94" t="str">
        <x:v> ШТ. </x:v>
      </x:c>
      <x:c r="J253" s="94" t="str">
        <x:v>Harmony</x:v>
      </x:c>
      <x:c r="K253" s="64" t="str">
        <x:v>B16</x:v>
      </x:c>
    </x:row>
    <x:row r="254">
      <x:c r="A254" s="64" t="str">
        <x:v>ГРЩ (В16)</x:v>
      </x:c>
      <x:c r="B254" s="64" t="str">
        <x:v>монтажный материал</x:v>
      </x:c>
      <x:c r="C254" s="64" t="str">
        <x:v>монтажный материал</x:v>
      </x:c>
      <x:c r="D254" s="64" t="str">
        <x:v>Монтажный материал</x:v>
      </x:c>
      <x:c r="E254" s="83"/>
      <x:c r="F254" s="83"/>
      <x:c r="G254" s="83" t="str">
        <x:f>IF(OR(F254="",H254=""),"",F254*H254)</x:f>
      </x:c>
      <x:c r="H254" s="89" t="n">
        <x:v>1</x:v>
      </x:c>
      <x:c r="I254" s="64" t="str">
        <x:v>компл.</x:v>
      </x:c>
      <x:c r="J254" s="64" t="str">
        <x:v>TEKLED</x:v>
      </x:c>
      <x:c r="K254" s="64" t="str">
        <x:v>B16</x:v>
      </x:c>
    </x:row>
    <x:row r="255">
      <x:c r="A255" s="64" t="str">
        <x:v>ГРЩ (В16)</x:v>
      </x:c>
      <x:c r="B255" s="64" t="str">
        <x:v>монтажные работы</x:v>
      </x:c>
      <x:c r="C255" s="64" t="str">
        <x:v>монтажные работы</x:v>
      </x:c>
      <x:c r="D255" s="64" t="str">
        <x:v>Монтажные работы</x:v>
      </x:c>
      <x:c r="E255" s="83"/>
      <x:c r="F255" s="83"/>
      <x:c r="G255" s="83" t="str">
        <x:f>IF(OR(F255="",H255=""),"",F255*H255)</x:f>
      </x:c>
      <x:c r="H255" s="89" t="n">
        <x:v>1</x:v>
      </x:c>
      <x:c r="I255" s="64" t="str">
        <x:v>компл.</x:v>
      </x:c>
      <x:c r="J255" s="64" t="str">
        <x:v>TEKLED</x:v>
      </x:c>
      <x:c r="K255" s="64" t="str">
        <x:v>B16</x:v>
      </x:c>
    </x:row>
    <x:row r="256">
      <x:c r="A256" s="76" t="str">
        <x:v>ГРЩ (В16)</x:v>
      </x:c>
      <x:c r="B256" s="76"/>
      <x:c r="C256" s="76"/>
      <x:c r="D256" s="80" t="str">
        <x:v>ИТОГО на 1 комплект</x:v>
      </x:c>
      <x:c r="E256" s="84"/>
      <x:c r="F256" s="84"/>
      <x:c r="G256" s="84" t="n">
        <x:f>SUM(G242:G255)</x:f>
        <x:v>30691.800000000003</x:v>
      </x:c>
      <x:c r="H256" s="90"/>
      <x:c r="I256" s="76"/>
      <x:c r="J256" s="76"/>
      <x:c r="K256" s="76" t="str">
        <x:v>B16</x:v>
      </x:c>
    </x:row>
    <x:row r="257" ht="24" customHeight="1">
      <x:c r="A257" s="69" t="str">
        <x:v>РПВ (В16)</x:v>
      </x:c>
      <x:c r="B257" s="69"/>
      <x:c r="C257" s="69"/>
      <x:c r="D257" s="69" t="str">
        <x:v>РПВ (В16)</x:v>
      </x:c>
      <x:c r="E257" s="82"/>
      <x:c r="F257" s="82"/>
      <x:c r="G257" s="82"/>
      <x:c r="H257" s="88" t="n">
        <x:v>1</x:v>
      </x:c>
      <x:c r="I257" s="69" t="str">
        <x:v>комплект</x:v>
      </x:c>
      <x:c r="J257" s="69" t="str">
        <x:v>TEKLED/TEKSAN</x:v>
      </x:c>
      <x:c r="K257" s="69" t="str">
        <x:v>B16</x:v>
      </x:c>
    </x:row>
    <x:row r="258">
      <x:c r="A258" s="64" t="str">
        <x:v>РПВ (В16)</x:v>
      </x:c>
      <x:c r="B258" s="94" t="str">
        <x:v>korpus</x:v>
      </x:c>
      <x:c r="C258" s="100" t="str">
        <x:v>KONTROL-KORPUS-600500220-IP31</x:v>
      </x:c>
      <x:c r="D258" s="94" t="str">
        <x:v>Корпус металлический 600x500x220 мм IP31, монтажная панель</x:v>
      </x:c>
      <x:c r="E258" s="95"/>
      <x:c r="F258" s="95"/>
      <x:c r="G258" s="95" t="str">
        <x:f>IF(OR(F258="",H258=""),"",F258*H258)</x:f>
      </x:c>
      <x:c r="H258" s="96" t="n">
        <x:v>1</x:v>
      </x:c>
      <x:c r="I258" s="94" t="str">
        <x:v> ШТ. </x:v>
      </x:c>
      <x:c r="J258" s="94" t="str">
        <x:v>TEKLED</x:v>
      </x:c>
      <x:c r="K258" s="64" t="str">
        <x:v>B16</x:v>
      </x:c>
    </x:row>
    <x:row r="259">
      <x:c r="A259" s="64" t="str">
        <x:v>РПВ (В16)</x:v>
      </x:c>
      <x:c r="B259" s="64" t="str">
        <x:v>oto</x:v>
      </x:c>
      <x:c r="C259" s="64" t="str">
        <x:v>296832</x:v>
      </x:c>
      <x:c r="D259" s="64" t="str">
        <x:v>Авт. выкл. NXB-63S 3P 50А 4.5kA х-ка C (R)</x:v>
      </x:c>
      <x:c r="E259" s="83" t="n">
        <x:v>3172</x:v>
      </x:c>
      <x:c r="F259" s="83" t="n">
        <x:v>1903.1999999999998</x:v>
      </x:c>
      <x:c r="G259" s="83" t="n">
        <x:f>IF(OR(F259="",H259=""),"",F259*H259)</x:f>
        <x:v>1903.1999999999998</x:v>
      </x:c>
      <x:c r="H259" s="89" t="n">
        <x:v>1</x:v>
      </x:c>
      <x:c r="I259" s="64" t="str">
        <x:v> ШТ. </x:v>
      </x:c>
      <x:c r="J259" s="64" t="str">
        <x:v>chint</x:v>
      </x:c>
      <x:c r="K259" s="64" t="str">
        <x:v>B16</x:v>
      </x:c>
    </x:row>
    <x:row r="260">
      <x:c r="A260" s="64" t="str">
        <x:v>РПВ (В16)</x:v>
      </x:c>
      <x:c r="B260" s="64" t="str">
        <x:v>oto</x:v>
      </x:c>
      <x:c r="C260" s="64" t="str">
        <x:v>296829</x:v>
      </x:c>
      <x:c r="D260" s="64" t="str">
        <x:v>Авт. выкл. NXB-63S 3P 25А 4.5kA х-ка C (R)</x:v>
      </x:c>
      <x:c r="E260" s="83" t="n">
        <x:v>2429</x:v>
      </x:c>
      <x:c r="F260" s="83" t="n">
        <x:v>1457.3999999999999</x:v>
      </x:c>
      <x:c r="G260" s="83" t="n">
        <x:f>IF(OR(F260="",H260=""),"",F260*H260)</x:f>
        <x:v>1457.3999999999999</x:v>
      </x:c>
      <x:c r="H260" s="89" t="n">
        <x:v>1</x:v>
      </x:c>
      <x:c r="I260" s="64" t="str">
        <x:v> ШТ. </x:v>
      </x:c>
      <x:c r="J260" s="64" t="str">
        <x:v>chint</x:v>
      </x:c>
      <x:c r="K260" s="64" t="str">
        <x:v>B16</x:v>
      </x:c>
    </x:row>
    <x:row r="261">
      <x:c r="A261" s="64" t="str">
        <x:v>РПВ (В16)</x:v>
      </x:c>
      <x:c r="B261" s="64" t="str">
        <x:v>oto</x:v>
      </x:c>
      <x:c r="C261" s="64" t="str">
        <x:v>296827</x:v>
      </x:c>
      <x:c r="D261" s="64" t="str">
        <x:v>Авт. выкл. NXB-63S 3P 16А 4.5kA х-ка C (R)</x:v>
      </x:c>
      <x:c r="E261" s="83" t="n">
        <x:v>2337</x:v>
      </x:c>
      <x:c r="F261" s="83" t="n">
        <x:v>1402.2</x:v>
      </x:c>
      <x:c r="G261" s="83" t="n">
        <x:f>IF(OR(F261="",H261=""),"",F261*H261)</x:f>
        <x:v>1402.2</x:v>
      </x:c>
      <x:c r="H261" s="89" t="n">
        <x:v>1</x:v>
      </x:c>
      <x:c r="I261" s="64" t="str">
        <x:v> ШТ. </x:v>
      </x:c>
      <x:c r="J261" s="64" t="str">
        <x:v>chint</x:v>
      </x:c>
      <x:c r="K261" s="64" t="str">
        <x:v>B16</x:v>
      </x:c>
    </x:row>
    <x:row r="262">
      <x:c r="A262" s="64" t="str">
        <x:v>РПВ (В16)</x:v>
      </x:c>
      <x:c r="B262" s="64" t="str">
        <x:v>oto</x:v>
      </x:c>
      <x:c r="C262" s="64" t="str">
        <x:v>814014</x:v>
      </x:c>
      <x:c r="D262" s="64" t="str">
        <x:v>Авт. выкл. NXB-63 1P 16A 6кА х-ка C (R)</x:v>
      </x:c>
      <x:c r="E262" s="83" t="n">
        <x:v>1389</x:v>
      </x:c>
      <x:c r="F262" s="83" t="n">
        <x:v>833.4</x:v>
      </x:c>
      <x:c r="G262" s="83" t="n">
        <x:f>IF(OR(F262="",H262=""),"",F262*H262)</x:f>
        <x:v>5000.4</x:v>
      </x:c>
      <x:c r="H262" s="89" t="n">
        <x:v>6</x:v>
      </x:c>
      <x:c r="I262" s="64" t="str">
        <x:v> ШТ. </x:v>
      </x:c>
      <x:c r="J262" s="64" t="str">
        <x:v>chint</x:v>
      </x:c>
      <x:c r="K262" s="64" t="str">
        <x:v>B16</x:v>
      </x:c>
    </x:row>
    <x:row r="263">
      <x:c r="A263" s="64" t="str">
        <x:v>РПВ (В16)</x:v>
      </x:c>
      <x:c r="B263" s="64" t="str">
        <x:v>contactor</x:v>
      </x:c>
      <x:c r="C263" s="64" t="str">
        <x:v>836704</x:v>
      </x:c>
      <x:c r="D263" s="64" t="str">
        <x:v>Контактор NXC-09 9A 220В/АС3 1НО+1НЗ 50Гц (R)</x:v>
      </x:c>
      <x:c r="E263" s="83" t="n">
        <x:v>5214</x:v>
      </x:c>
      <x:c r="F263" s="83" t="n">
        <x:v>3128.4</x:v>
      </x:c>
      <x:c r="G263" s="83" t="n">
        <x:f>IF(OR(F263="",H263=""),"",F263*H263)</x:f>
        <x:v>3128.4</x:v>
      </x:c>
      <x:c r="H263" s="89" t="n">
        <x:v>1</x:v>
      </x:c>
      <x:c r="I263" s="64" t="str">
        <x:v> ШТ. </x:v>
      </x:c>
      <x:c r="J263" s="64" t="str">
        <x:v>chint</x:v>
      </x:c>
      <x:c r="K263" s="64" t="str">
        <x:v>B16</x:v>
      </x:c>
    </x:row>
    <x:row r="264">
      <x:c r="A264" s="64" t="str">
        <x:v>РПВ (В16)</x:v>
      </x:c>
      <x:c r="B264" s="64" t="str">
        <x:v>rele</x:v>
      </x:c>
      <x:c r="C264" s="64" t="str">
        <x:v>837114</x:v>
      </x:c>
      <x:c r="D264" s="64" t="str">
        <x:v>Тепловое реле NXR-25 4-6A (R)</x:v>
      </x:c>
      <x:c r="E264" s="83" t="n">
        <x:v>4315</x:v>
      </x:c>
      <x:c r="F264" s="83" t="n">
        <x:v>2589</x:v>
      </x:c>
      <x:c r="G264" s="83" t="n">
        <x:f>IF(OR(F264="",H264=""),"",F264*H264)</x:f>
        <x:v>2589</x:v>
      </x:c>
      <x:c r="H264" s="89" t="n">
        <x:v>1</x:v>
      </x:c>
      <x:c r="I264" s="64" t="str">
        <x:v> ШТ. </x:v>
      </x:c>
      <x:c r="J264" s="64" t="str">
        <x:v>chint</x:v>
      </x:c>
      <x:c r="K264" s="64" t="str">
        <x:v>B16</x:v>
      </x:c>
    </x:row>
    <x:row r="265">
      <x:c r="A265" s="64" t="str">
        <x:v>РПВ (В16)</x:v>
      </x:c>
      <x:c r="B265" s="94" t="str">
        <x:v>bara</x:v>
      </x:c>
      <x:c r="C265" s="100" t="str">
        <x:v>KONTROL-N</x:v>
      </x:c>
      <x:c r="D265" s="94" t="str">
        <x:v>Шина N изолированная, не менее 12 присоединений</x:v>
      </x:c>
      <x:c r="E265" s="95"/>
      <x:c r="F265" s="95"/>
      <x:c r="G265" s="95" t="str">
        <x:f>IF(OR(F265="",H265=""),"",F265*H265)</x:f>
      </x:c>
      <x:c r="H265" s="96" t="n">
        <x:v>1</x:v>
      </x:c>
      <x:c r="I265" s="94" t="str">
        <x:v> ШТ. </x:v>
      </x:c>
      <x:c r="J265" s="94" t="str">
        <x:v>EKT/Klemsan</x:v>
      </x:c>
      <x:c r="K265" s="64" t="str">
        <x:v>B16</x:v>
      </x:c>
    </x:row>
    <x:row r="266">
      <x:c r="A266" s="64" t="str">
        <x:v>РПВ (В16)</x:v>
      </x:c>
      <x:c r="B266" s="94" t="str">
        <x:v>bara</x:v>
      </x:c>
      <x:c r="C266" s="100" t="str">
        <x:v>KONTROL-PE</x:v>
      </x:c>
      <x:c r="D266" s="94" t="str">
        <x:v>Шина PE медная, не менее 12 присоединений</x:v>
      </x:c>
      <x:c r="E266" s="95"/>
      <x:c r="F266" s="95"/>
      <x:c r="G266" s="95" t="str">
        <x:f>IF(OR(F266="",H266=""),"",F266*H266)</x:f>
      </x:c>
      <x:c r="H266" s="96" t="n">
        <x:v>1</x:v>
      </x:c>
      <x:c r="I266" s="94" t="str">
        <x:v> ШТ. </x:v>
      </x:c>
      <x:c r="J266" s="94" t="str">
        <x:v>EKT/Klemsan</x:v>
      </x:c>
      <x:c r="K266" s="64" t="str">
        <x:v>B16</x:v>
      </x:c>
    </x:row>
    <x:row r="267">
      <x:c r="A267" s="64" t="str">
        <x:v>РПВ (В16)</x:v>
      </x:c>
      <x:c r="B267" s="94" t="str">
        <x:v>din</x:v>
      </x:c>
      <x:c r="C267" s="100" t="str">
        <x:v>KONTROL-DIN</x:v>
      </x:c>
      <x:c r="D267" s="94" t="str">
        <x:v>DIN рейка 35 мм, оцинкованная, комплект по габариту</x:v>
      </x:c>
      <x:c r="E267" s="95"/>
      <x:c r="F267" s="95"/>
      <x:c r="G267" s="95" t="str">
        <x:f>IF(OR(F267="",H267=""),"",F267*H267)</x:f>
      </x:c>
      <x:c r="H267" s="96" t="n">
        <x:v>1</x:v>
      </x:c>
      <x:c r="I267" s="94" t="str">
        <x:v> ШТ. </x:v>
      </x:c>
      <x:c r="J267" s="94" t="str">
        <x:v>EKT</x:v>
      </x:c>
      <x:c r="K267" s="64" t="str">
        <x:v>B16</x:v>
      </x:c>
    </x:row>
    <x:row r="268">
      <x:c r="A268" s="64" t="str">
        <x:v>РПВ (В16)</x:v>
      </x:c>
      <x:c r="B268" s="94" t="str">
        <x:v>kanal</x:v>
      </x:c>
      <x:c r="C268" s="100" t="str">
        <x:v>KONTROL-KK</x:v>
      </x:c>
      <x:c r="D268" s="94" t="str">
        <x:v>Кабельный канал перфорированный, комплект по габариту</x:v>
      </x:c>
      <x:c r="E268" s="95"/>
      <x:c r="F268" s="95"/>
      <x:c r="G268" s="95" t="str">
        <x:f>IF(OR(F268="",H268=""),"",F268*H268)</x:f>
      </x:c>
      <x:c r="H268" s="96" t="n">
        <x:v>1</x:v>
      </x:c>
      <x:c r="I268" s="94" t="str">
        <x:v> ШТ. </x:v>
      </x:c>
      <x:c r="J268" s="94" t="str">
        <x:v>ONKA/EKT</x:v>
      </x:c>
      <x:c r="K268" s="64" t="str">
        <x:v>B16</x:v>
      </x:c>
    </x:row>
    <x:row r="269">
      <x:c r="A269" s="64" t="str">
        <x:v>РПВ (В16)</x:v>
      </x:c>
      <x:c r="B269" s="94" t="str">
        <x:v>klemens</x:v>
      </x:c>
      <x:c r="C269" s="100" t="str">
        <x:v>KONTROL-KL</x:v>
      </x:c>
      <x:c r="D269" s="94" t="str">
        <x:v>Клеммник 2,5-6 мм² (фаза/N/PE по схеме)</x:v>
      </x:c>
      <x:c r="E269" s="95"/>
      <x:c r="F269" s="95"/>
      <x:c r="G269" s="95" t="str">
        <x:f>IF(OR(F269="",H269=""),"",F269*H269)</x:f>
      </x:c>
      <x:c r="H269" s="96" t="n">
        <x:v>27</x:v>
      </x:c>
      <x:c r="I269" s="94" t="str">
        <x:v> ШТ. </x:v>
      </x:c>
      <x:c r="J269" s="94" t="str">
        <x:v>Klemsan/EKT</x:v>
      </x:c>
      <x:c r="K269" s="64" t="str">
        <x:v>B16</x:v>
      </x:c>
    </x:row>
    <x:row r="270">
      <x:c r="A270" s="64" t="str">
        <x:v>РПВ (В16)</x:v>
      </x:c>
      <x:c r="B270" s="94" t="str">
        <x:v>kablo</x:v>
      </x:c>
      <x:c r="C270" s="100" t="str">
        <x:v>KONTROL-WIRE</x:v>
      </x:c>
      <x:c r="D270" s="94" t="str">
        <x:v>Внутренняя проводка Harmony + маркировка, комплект</x:v>
      </x:c>
      <x:c r="E270" s="95"/>
      <x:c r="F270" s="95"/>
      <x:c r="G270" s="95" t="str">
        <x:f>IF(OR(F270="",H270=""),"",F270*H270)</x:f>
      </x:c>
      <x:c r="H270" s="96" t="n">
        <x:v>1</x:v>
      </x:c>
      <x:c r="I270" s="94" t="str">
        <x:v> ШТ. </x:v>
      </x:c>
      <x:c r="J270" s="94" t="str">
        <x:v>Harmony</x:v>
      </x:c>
      <x:c r="K270" s="64" t="str">
        <x:v>B16</x:v>
      </x:c>
    </x:row>
    <x:row r="271">
      <x:c r="A271" s="64" t="str">
        <x:v>РПВ (В16)</x:v>
      </x:c>
      <x:c r="B271" s="64" t="str">
        <x:v>монтажный материал</x:v>
      </x:c>
      <x:c r="C271" s="64" t="str">
        <x:v>монтажный материал</x:v>
      </x:c>
      <x:c r="D271" s="64" t="str">
        <x:v>Монтажный материал</x:v>
      </x:c>
      <x:c r="E271" s="83"/>
      <x:c r="F271" s="83"/>
      <x:c r="G271" s="83" t="str">
        <x:f>IF(OR(F271="",H271=""),"",F271*H271)</x:f>
      </x:c>
      <x:c r="H271" s="89" t="n">
        <x:v>1</x:v>
      </x:c>
      <x:c r="I271" s="64" t="str">
        <x:v>компл.</x:v>
      </x:c>
      <x:c r="J271" s="64" t="str">
        <x:v>TEKLED</x:v>
      </x:c>
      <x:c r="K271" s="64" t="str">
        <x:v>B16</x:v>
      </x:c>
    </x:row>
    <x:row r="272">
      <x:c r="A272" s="64" t="str">
        <x:v>РПВ (В16)</x:v>
      </x:c>
      <x:c r="B272" s="64" t="str">
        <x:v>монтажные работы</x:v>
      </x:c>
      <x:c r="C272" s="64" t="str">
        <x:v>монтажные работы</x:v>
      </x:c>
      <x:c r="D272" s="64" t="str">
        <x:v>Монтажные работы</x:v>
      </x:c>
      <x:c r="E272" s="83"/>
      <x:c r="F272" s="83"/>
      <x:c r="G272" s="83" t="str">
        <x:f>IF(OR(F272="",H272=""),"",F272*H272)</x:f>
      </x:c>
      <x:c r="H272" s="89" t="n">
        <x:v>1</x:v>
      </x:c>
      <x:c r="I272" s="64" t="str">
        <x:v>компл.</x:v>
      </x:c>
      <x:c r="J272" s="64" t="str">
        <x:v>TEKLED</x:v>
      </x:c>
      <x:c r="K272" s="64" t="str">
        <x:v>B16</x:v>
      </x:c>
    </x:row>
    <x:row r="273">
      <x:c r="A273" s="76" t="str">
        <x:v>РПВ (В16)</x:v>
      </x:c>
      <x:c r="B273" s="76"/>
      <x:c r="C273" s="76"/>
      <x:c r="D273" s="80" t="str">
        <x:v>ИТОГО на 1 комплект</x:v>
      </x:c>
      <x:c r="E273" s="84"/>
      <x:c r="F273" s="84"/>
      <x:c r="G273" s="84" t="n">
        <x:f>SUM(G258:G272)</x:f>
        <x:v>15480.599999999999</x:v>
      </x:c>
      <x:c r="H273" s="90"/>
      <x:c r="I273" s="76"/>
      <x:c r="J273" s="76"/>
      <x:c r="K273" s="76" t="str">
        <x:v>B16</x:v>
      </x:c>
    </x:row>
    <x:row r="274" ht="24" customHeight="1">
      <x:c r="A274" s="69" t="str">
        <x:v>ЯВЗ-31-IP54 УХЛ2 100А</x:v>
      </x:c>
      <x:c r="B274" s="69"/>
      <x:c r="C274" s="69"/>
      <x:c r="D274" s="69" t="str">
        <x:v>ЯВЗ-31-IP54 УХЛ2 100А</x:v>
      </x:c>
      <x:c r="E274" s="82"/>
      <x:c r="F274" s="82"/>
      <x:c r="G274" s="82"/>
      <x:c r="H274" s="88" t="n">
        <x:v>1</x:v>
      </x:c>
      <x:c r="I274" s="69" t="str">
        <x:v>комплект</x:v>
      </x:c>
      <x:c r="J274" s="69" t="str">
        <x:v>TEKLED/TEKSAN</x:v>
      </x:c>
      <x:c r="K274" s="69" t="str">
        <x:v>B16</x:v>
      </x:c>
    </x:row>
    <x:row r="275">
      <x:c r="A275" s="64" t="str">
        <x:v>ЯВЗ-31-IP54 УХЛ2 100А</x:v>
      </x:c>
      <x:c r="B275" s="64" t="str">
        <x:v>korpus</x:v>
      </x:c>
      <x:c r="C275" s="64" t="str">
        <x:v>719-15043</x:v>
      </x:c>
      <x:c r="D275" s="64" t="str">
        <x:v>450*240*175</x:v>
      </x:c>
      <x:c r="E275" s="83"/>
      <x:c r="F275" s="83" t="n">
        <x:v>0</x:v>
      </x:c>
      <x:c r="G275" s="83" t="str">
        <x:f>IF(OR(F275="",H275=""),"",F275*H275)</x:f>
      </x:c>
      <x:c r="H275" s="89" t="n">
        <x:v>1</x:v>
      </x:c>
      <x:c r="I275" s="64" t="str">
        <x:v> ШТ. </x:v>
      </x:c>
      <x:c r="J275" s="64" t="str">
        <x:v>teksan f</x:v>
      </x:c>
      <x:c r="K275" s="64" t="str">
        <x:v>B16</x:v>
      </x:c>
    </x:row>
    <x:row r="276">
      <x:c r="A276" s="64" t="str">
        <x:v>ЯВЗ-31-IP54 УХЛ2 100А</x:v>
      </x:c>
      <x:c r="B276" s="94" t="str">
        <x:v>rubilnik</x:v>
      </x:c>
      <x:c r="C276" s="100" t="str">
        <x:v>KONTROL-NH40-125-3W</x:v>
      </x:c>
      <x:c r="D276" s="94" t="str">
        <x:v>Выключатель-разъединитель CHINT NH40-125/3W, 100A, рукоятка на дверь</x:v>
      </x:c>
      <x:c r="E276" s="95"/>
      <x:c r="F276" s="95"/>
      <x:c r="G276" s="95" t="str">
        <x:f>IF(OR(F276="",H276=""),"",F276*H276)</x:f>
      </x:c>
      <x:c r="H276" s="96" t="n">
        <x:v>1</x:v>
      </x:c>
      <x:c r="I276" s="94" t="str">
        <x:v> ШТ. </x:v>
      </x:c>
      <x:c r="J276" s="94" t="str">
        <x:v>CHINT</x:v>
      </x:c>
      <x:c r="K276" s="64" t="str">
        <x:v>B16</x:v>
      </x:c>
    </x:row>
    <x:row r="277">
      <x:c r="A277" s="64" t="str">
        <x:v>ЯВЗ-31-IP54 УХЛ2 100А</x:v>
      </x:c>
      <x:c r="B277" s="64" t="str">
        <x:v>ppn</x:v>
      </x:c>
      <x:c r="C277" s="64" t="str">
        <x:v>521349</x:v>
      </x:c>
      <x:c r="D277" s="64" t="str">
        <x:v>Плавкая вставка предохранителя RT36-00-160, габарит 00, 100А</x:v>
      </x:c>
      <x:c r="E277" s="83" t="n">
        <x:v>1545</x:v>
      </x:c>
      <x:c r="F277" s="83" t="n">
        <x:v>927</x:v>
      </x:c>
      <x:c r="G277" s="83" t="n">
        <x:f>IF(OR(F277="",H277=""),"",F277*H277)</x:f>
        <x:v>2781</x:v>
      </x:c>
      <x:c r="H277" s="89" t="n">
        <x:v>3</x:v>
      </x:c>
      <x:c r="I277" s="64" t="str">
        <x:v> ШТ. </x:v>
      </x:c>
      <x:c r="J277" s="64" t="str">
        <x:v>chint</x:v>
      </x:c>
      <x:c r="K277" s="64" t="str">
        <x:v>B16</x:v>
      </x:c>
    </x:row>
    <x:row r="278">
      <x:c r="A278" s="64" t="str">
        <x:v>ЯВЗ-31-IP54 УХЛ2 100А</x:v>
      </x:c>
      <x:c r="B278" s="64" t="str">
        <x:v>ppn</x:v>
      </x:c>
      <x:c r="C278" s="64" t="str">
        <x:v>521260</x:v>
      </x:c>
      <x:c r="D278" s="64" t="str">
        <x:v>Держатель плавкой вставки RT36-00-160, габарит 00, 160А</x:v>
      </x:c>
      <x:c r="E278" s="83" t="n">
        <x:v>2038</x:v>
      </x:c>
      <x:c r="F278" s="83" t="n">
        <x:v>1222.8</x:v>
      </x:c>
      <x:c r="G278" s="83" t="n">
        <x:f>IF(OR(F278="",H278=""),"",F278*H278)</x:f>
        <x:v>3668.3999999999996</x:v>
      </x:c>
      <x:c r="H278" s="89" t="n">
        <x:v>3</x:v>
      </x:c>
      <x:c r="I278" s="64" t="str">
        <x:v> ШТ. </x:v>
      </x:c>
      <x:c r="J278" s="64" t="str">
        <x:v>chint</x:v>
      </x:c>
      <x:c r="K278" s="64" t="str">
        <x:v>B16</x:v>
      </x:c>
    </x:row>
    <x:row r="279">
      <x:c r="A279" s="64" t="str">
        <x:v>ЯВЗ-31-IP54 УХЛ2 100А</x:v>
      </x:c>
      <x:c r="B279" s="94" t="str">
        <x:v>bara</x:v>
      </x:c>
      <x:c r="C279" s="100" t="str">
        <x:v>KONTROL-N</x:v>
      </x:c>
      <x:c r="D279" s="94" t="str">
        <x:v>Шина N изолированная, не менее 12 присоединений</x:v>
      </x:c>
      <x:c r="E279" s="95"/>
      <x:c r="F279" s="95"/>
      <x:c r="G279" s="95" t="str">
        <x:f>IF(OR(F279="",H279=""),"",F279*H279)</x:f>
      </x:c>
      <x:c r="H279" s="96" t="n">
        <x:v>1</x:v>
      </x:c>
      <x:c r="I279" s="94" t="str">
        <x:v> ШТ. </x:v>
      </x:c>
      <x:c r="J279" s="94" t="str">
        <x:v>EKT/Klemsan</x:v>
      </x:c>
      <x:c r="K279" s="64" t="str">
        <x:v>B16</x:v>
      </x:c>
    </x:row>
    <x:row r="280">
      <x:c r="A280" s="64" t="str">
        <x:v>ЯВЗ-31-IP54 УХЛ2 100А</x:v>
      </x:c>
      <x:c r="B280" s="94" t="str">
        <x:v>bara</x:v>
      </x:c>
      <x:c r="C280" s="100" t="str">
        <x:v>KONTROL-PE</x:v>
      </x:c>
      <x:c r="D280" s="94" t="str">
        <x:v>Шина PE медная, не менее 12 присоединений</x:v>
      </x:c>
      <x:c r="E280" s="95"/>
      <x:c r="F280" s="95"/>
      <x:c r="G280" s="95" t="str">
        <x:f>IF(OR(F280="",H280=""),"",F280*H280)</x:f>
      </x:c>
      <x:c r="H280" s="96" t="n">
        <x:v>1</x:v>
      </x:c>
      <x:c r="I280" s="94" t="str">
        <x:v> ШТ. </x:v>
      </x:c>
      <x:c r="J280" s="94" t="str">
        <x:v>EKT/Klemsan</x:v>
      </x:c>
      <x:c r="K280" s="64" t="str">
        <x:v>B16</x:v>
      </x:c>
    </x:row>
    <x:row r="281">
      <x:c r="A281" s="64" t="str">
        <x:v>ЯВЗ-31-IP54 УХЛ2 100А</x:v>
      </x:c>
      <x:c r="B281" s="94" t="str">
        <x:v>din</x:v>
      </x:c>
      <x:c r="C281" s="100" t="str">
        <x:v>KONTROL-DIN</x:v>
      </x:c>
      <x:c r="D281" s="94" t="str">
        <x:v>DIN рейка 35 мм, оцинкованная, комплект по габариту</x:v>
      </x:c>
      <x:c r="E281" s="95"/>
      <x:c r="F281" s="95"/>
      <x:c r="G281" s="95" t="str">
        <x:f>IF(OR(F281="",H281=""),"",F281*H281)</x:f>
      </x:c>
      <x:c r="H281" s="96" t="n">
        <x:v>1</x:v>
      </x:c>
      <x:c r="I281" s="94" t="str">
        <x:v> ШТ. </x:v>
      </x:c>
      <x:c r="J281" s="94" t="str">
        <x:v>EKT</x:v>
      </x:c>
      <x:c r="K281" s="64" t="str">
        <x:v>B16</x:v>
      </x:c>
    </x:row>
    <x:row r="282">
      <x:c r="A282" s="64" t="str">
        <x:v>ЯВЗ-31-IP54 УХЛ2 100А</x:v>
      </x:c>
      <x:c r="B282" s="94" t="str">
        <x:v>kanal</x:v>
      </x:c>
      <x:c r="C282" s="100" t="str">
        <x:v>KONTROL-KK</x:v>
      </x:c>
      <x:c r="D282" s="94" t="str">
        <x:v>Кабельный канал перфорированный, комплект по габариту</x:v>
      </x:c>
      <x:c r="E282" s="95"/>
      <x:c r="F282" s="95"/>
      <x:c r="G282" s="95" t="str">
        <x:f>IF(OR(F282="",H282=""),"",F282*H282)</x:f>
      </x:c>
      <x:c r="H282" s="96" t="n">
        <x:v>1</x:v>
      </x:c>
      <x:c r="I282" s="94" t="str">
        <x:v> ШТ. </x:v>
      </x:c>
      <x:c r="J282" s="94" t="str">
        <x:v>ONKA/EKT</x:v>
      </x:c>
      <x:c r="K282" s="64" t="str">
        <x:v>B16</x:v>
      </x:c>
    </x:row>
    <x:row r="283">
      <x:c r="A283" s="64" t="str">
        <x:v>ЯВЗ-31-IP54 УХЛ2 100А</x:v>
      </x:c>
      <x:c r="B283" s="94" t="str">
        <x:v>klemens</x:v>
      </x:c>
      <x:c r="C283" s="100" t="str">
        <x:v>KONTROL-KL</x:v>
      </x:c>
      <x:c r="D283" s="94" t="str">
        <x:v>Клеммник 2,5-6 мм² (фаза/N/PE по схеме)</x:v>
      </x:c>
      <x:c r="E283" s="95"/>
      <x:c r="F283" s="95"/>
      <x:c r="G283" s="95" t="str">
        <x:f>IF(OR(F283="",H283=""),"",F283*H283)</x:f>
      </x:c>
      <x:c r="H283" s="96" t="n">
        <x:v>18</x:v>
      </x:c>
      <x:c r="I283" s="94" t="str">
        <x:v> ШТ. </x:v>
      </x:c>
      <x:c r="J283" s="94" t="str">
        <x:v>Klemsan/EKT</x:v>
      </x:c>
      <x:c r="K283" s="64" t="str">
        <x:v>B16</x:v>
      </x:c>
    </x:row>
    <x:row r="284">
      <x:c r="A284" s="64" t="str">
        <x:v>ЯВЗ-31-IP54 УХЛ2 100А</x:v>
      </x:c>
      <x:c r="B284" s="94" t="str">
        <x:v>kablo</x:v>
      </x:c>
      <x:c r="C284" s="100" t="str">
        <x:v>KONTROL-WIRE</x:v>
      </x:c>
      <x:c r="D284" s="94" t="str">
        <x:v>Внутренняя проводка Harmony + маркировка, комплект</x:v>
      </x:c>
      <x:c r="E284" s="95"/>
      <x:c r="F284" s="95"/>
      <x:c r="G284" s="95" t="str">
        <x:f>IF(OR(F284="",H284=""),"",F284*H284)</x:f>
      </x:c>
      <x:c r="H284" s="96" t="n">
        <x:v>1</x:v>
      </x:c>
      <x:c r="I284" s="94" t="str">
        <x:v> ШТ. </x:v>
      </x:c>
      <x:c r="J284" s="94" t="str">
        <x:v>Harmony</x:v>
      </x:c>
      <x:c r="K284" s="64" t="str">
        <x:v>B16</x:v>
      </x:c>
    </x:row>
    <x:row r="285">
      <x:c r="A285" s="64" t="str">
        <x:v>ЯВЗ-31-IP54 УХЛ2 100А</x:v>
      </x:c>
      <x:c r="B285" s="64" t="str">
        <x:v>монтажный материал</x:v>
      </x:c>
      <x:c r="C285" s="64" t="str">
        <x:v>монтажный материал</x:v>
      </x:c>
      <x:c r="D285" s="64" t="str">
        <x:v>Монтажный материал</x:v>
      </x:c>
      <x:c r="E285" s="83"/>
      <x:c r="F285" s="83"/>
      <x:c r="G285" s="83" t="str">
        <x:f>IF(OR(F285="",H285=""),"",F285*H285)</x:f>
      </x:c>
      <x:c r="H285" s="89" t="n">
        <x:v>1</x:v>
      </x:c>
      <x:c r="I285" s="64" t="str">
        <x:v>компл.</x:v>
      </x:c>
      <x:c r="J285" s="64" t="str">
        <x:v>TEKLED</x:v>
      </x:c>
      <x:c r="K285" s="64" t="str">
        <x:v>B16</x:v>
      </x:c>
    </x:row>
    <x:row r="286">
      <x:c r="A286" s="64" t="str">
        <x:v>ЯВЗ-31-IP54 УХЛ2 100А</x:v>
      </x:c>
      <x:c r="B286" s="64" t="str">
        <x:v>монтажные работы</x:v>
      </x:c>
      <x:c r="C286" s="64" t="str">
        <x:v>монтажные работы</x:v>
      </x:c>
      <x:c r="D286" s="64" t="str">
        <x:v>Монтажные работы</x:v>
      </x:c>
      <x:c r="E286" s="83"/>
      <x:c r="F286" s="83"/>
      <x:c r="G286" s="83" t="str">
        <x:f>IF(OR(F286="",H286=""),"",F286*H286)</x:f>
      </x:c>
      <x:c r="H286" s="89" t="n">
        <x:v>1</x:v>
      </x:c>
      <x:c r="I286" s="64" t="str">
        <x:v>компл.</x:v>
      </x:c>
      <x:c r="J286" s="64" t="str">
        <x:v>TEKLED</x:v>
      </x:c>
      <x:c r="K286" s="64" t="str">
        <x:v>B16</x:v>
      </x:c>
    </x:row>
    <x:row r="287">
      <x:c r="A287" s="76" t="str">
        <x:v>ЯВЗ-31-IP54 УХЛ2 100А</x:v>
      </x:c>
      <x:c r="B287" s="76"/>
      <x:c r="C287" s="76"/>
      <x:c r="D287" s="80" t="str">
        <x:v>ИТОГО на 1 комплект</x:v>
      </x:c>
      <x:c r="E287" s="84"/>
      <x:c r="F287" s="84"/>
      <x:c r="G287" s="84" t="n">
        <x:f>SUM(G275:G286)</x:f>
        <x:v>6449.4</x:v>
      </x:c>
      <x:c r="H287" s="90"/>
      <x:c r="I287" s="76"/>
      <x:c r="J287" s="76"/>
      <x:c r="K287" s="76" t="str">
        <x:v>B16</x:v>
      </x:c>
    </x:row>
    <x:row r="288" ht="24" customHeight="1">
      <x:c r="A288" s="69" t="str">
        <x:v>ЯТП-0,25-220/36 036УХЛ4</x:v>
      </x:c>
      <x:c r="B288" s="69"/>
      <x:c r="C288" s="69"/>
      <x:c r="D288" s="69" t="str">
        <x:v>ЯТП-0,25-220/36 036УХЛ4</x:v>
      </x:c>
      <x:c r="E288" s="82"/>
      <x:c r="F288" s="82"/>
      <x:c r="G288" s="82"/>
      <x:c r="H288" s="88" t="n">
        <x:v>1</x:v>
      </x:c>
      <x:c r="I288" s="69" t="str">
        <x:v>комплект</x:v>
      </x:c>
      <x:c r="J288" s="69" t="str">
        <x:v>TEKLED/TEKSAN</x:v>
      </x:c>
      <x:c r="K288" s="69" t="str">
        <x:v>B16</x:v>
      </x:c>
    </x:row>
    <x:row r="289">
      <x:c r="A289" s="64" t="str">
        <x:v>ЯТП-0,25-220/36 036УХЛ4</x:v>
      </x:c>
      <x:c r="B289" s="94" t="str">
        <x:v>korpus</x:v>
      </x:c>
      <x:c r="C289" s="100" t="str">
        <x:v>KONTROL-KORPUS-YATP</x:v>
      </x:c>
      <x:c r="D289" s="94" t="str">
        <x:v>Корпус металлический 300x250x150 мм, IP54, монтажная панель</x:v>
      </x:c>
      <x:c r="E289" s="95"/>
      <x:c r="F289" s="95"/>
      <x:c r="G289" s="95" t="str">
        <x:f>IF(OR(F289="",H289=""),"",F289*H289)</x:f>
      </x:c>
      <x:c r="H289" s="96" t="n">
        <x:v>1</x:v>
      </x:c>
      <x:c r="I289" s="94" t="str">
        <x:v> ШТ. </x:v>
      </x:c>
      <x:c r="J289" s="94" t="str">
        <x:v>TEKSAN/TEKLED</x:v>
      </x:c>
      <x:c r="K289" s="64" t="str">
        <x:v>B16</x:v>
      </x:c>
    </x:row>
    <x:row r="290">
      <x:c r="A290" s="64" t="str">
        <x:v>ЯТП-0,25-220/36 036УХЛ4</x:v>
      </x:c>
      <x:c r="B290" s="94" t="str">
        <x:v>transformator</x:v>
      </x:c>
      <x:c r="C290" s="100" t="str">
        <x:v>KONTROL-NDK250</x:v>
      </x:c>
      <x:c r="D290" s="94" t="str">
        <x:v>Трансформатор CHINT NDK-250, 230/36V, 250VA</x:v>
      </x:c>
      <x:c r="E290" s="95"/>
      <x:c r="F290" s="95"/>
      <x:c r="G290" s="95" t="str">
        <x:f>IF(OR(F290="",H290=""),"",F290*H290)</x:f>
      </x:c>
      <x:c r="H290" s="96" t="n">
        <x:v>1</x:v>
      </x:c>
      <x:c r="I290" s="94" t="str">
        <x:v> ШТ. </x:v>
      </x:c>
      <x:c r="J290" s="94" t="str">
        <x:v>CHINT</x:v>
      </x:c>
      <x:c r="K290" s="64" t="str">
        <x:v>B16</x:v>
      </x:c>
    </x:row>
    <x:row r="291">
      <x:c r="A291" s="64" t="str">
        <x:v>ЯТП-0,25-220/36 036УХЛ4</x:v>
      </x:c>
      <x:c r="B291" s="94" t="str">
        <x:v>oto</x:v>
      </x:c>
      <x:c r="C291" s="100" t="str">
        <x:v>KONTROL-MCB-1P-C2</x:v>
      </x:c>
      <x:c r="D291" s="94" t="str">
        <x:v>Авт. выключатель CHINT NXB-63 1P C2A, первичная цепь</x:v>
      </x:c>
      <x:c r="E291" s="95"/>
      <x:c r="F291" s="95"/>
      <x:c r="G291" s="95" t="str">
        <x:f>IF(OR(F291="",H291=""),"",F291*H291)</x:f>
      </x:c>
      <x:c r="H291" s="96" t="n">
        <x:v>1</x:v>
      </x:c>
      <x:c r="I291" s="94" t="str">
        <x:v> ШТ. </x:v>
      </x:c>
      <x:c r="J291" s="94" t="str">
        <x:v>CHINT</x:v>
      </x:c>
      <x:c r="K291" s="64" t="str">
        <x:v>B16</x:v>
      </x:c>
    </x:row>
    <x:row r="292">
      <x:c r="A292" s="64" t="str">
        <x:v>ЯТП-0,25-220/36 036УХЛ4</x:v>
      </x:c>
      <x:c r="B292" s="94" t="str">
        <x:v>oto</x:v>
      </x:c>
      <x:c r="C292" s="100" t="str">
        <x:v>KONTROL-MCB-2P-C10</x:v>
      </x:c>
      <x:c r="D292" s="94" t="str">
        <x:v>Авт. выключатель CHINT NXB-63 2P C10A, вторичная цепь 36V</x:v>
      </x:c>
      <x:c r="E292" s="95"/>
      <x:c r="F292" s="95"/>
      <x:c r="G292" s="95" t="str">
        <x:f>IF(OR(F292="",H292=""),"",F292*H292)</x:f>
      </x:c>
      <x:c r="H292" s="96" t="n">
        <x:v>1</x:v>
      </x:c>
      <x:c r="I292" s="94" t="str">
        <x:v> ШТ. </x:v>
      </x:c>
      <x:c r="J292" s="94" t="str">
        <x:v>CHINT</x:v>
      </x:c>
      <x:c r="K292" s="64" t="str">
        <x:v>B16</x:v>
      </x:c>
    </x:row>
    <x:row r="293">
      <x:c r="A293" s="64" t="str">
        <x:v>ЯТП-0,25-220/36 036УХЛ4</x:v>
      </x:c>
      <x:c r="B293" s="94" t="str">
        <x:v>rozetka</x:v>
      </x:c>
      <x:c r="C293" s="100" t="str">
        <x:v>KONTROL-SOCKET36</x:v>
      </x:c>
      <x:c r="D293" s="94" t="str">
        <x:v>Розетка 36V 16A, 2P+PE, IP44</x:v>
      </x:c>
      <x:c r="E293" s="95"/>
      <x:c r="F293" s="95"/>
      <x:c r="G293" s="95" t="str">
        <x:f>IF(OR(F293="",H293=""),"",F293*H293)</x:f>
      </x:c>
      <x:c r="H293" s="96" t="n">
        <x:v>1</x:v>
      </x:c>
      <x:c r="I293" s="94" t="str">
        <x:v> ШТ. </x:v>
      </x:c>
      <x:c r="J293" s="94" t="str">
        <x:v>EKT/IEK</x:v>
      </x:c>
      <x:c r="K293" s="64" t="str">
        <x:v>B16</x:v>
      </x:c>
    </x:row>
    <x:row r="294">
      <x:c r="A294" s="64" t="str">
        <x:v>ЯТП-0,25-220/36 036УХЛ4</x:v>
      </x:c>
      <x:c r="B294" s="94" t="str">
        <x:v>bara</x:v>
      </x:c>
      <x:c r="C294" s="100" t="str">
        <x:v>KONTROL-N</x:v>
      </x:c>
      <x:c r="D294" s="94" t="str">
        <x:v>Шина N изолированная, не менее 12 присоединений</x:v>
      </x:c>
      <x:c r="E294" s="95"/>
      <x:c r="F294" s="95"/>
      <x:c r="G294" s="95" t="str">
        <x:f>IF(OR(F294="",H294=""),"",F294*H294)</x:f>
      </x:c>
      <x:c r="H294" s="96" t="n">
        <x:v>1</x:v>
      </x:c>
      <x:c r="I294" s="94" t="str">
        <x:v> ШТ. </x:v>
      </x:c>
      <x:c r="J294" s="94" t="str">
        <x:v>EKT/Klemsan</x:v>
      </x:c>
      <x:c r="K294" s="64" t="str">
        <x:v>B16</x:v>
      </x:c>
    </x:row>
    <x:row r="295">
      <x:c r="A295" s="64" t="str">
        <x:v>ЯТП-0,25-220/36 036УХЛ4</x:v>
      </x:c>
      <x:c r="B295" s="94" t="str">
        <x:v>bara</x:v>
      </x:c>
      <x:c r="C295" s="100" t="str">
        <x:v>KONTROL-PE</x:v>
      </x:c>
      <x:c r="D295" s="94" t="str">
        <x:v>Шина PE медная, не менее 12 присоединений</x:v>
      </x:c>
      <x:c r="E295" s="95"/>
      <x:c r="F295" s="95"/>
      <x:c r="G295" s="95" t="str">
        <x:f>IF(OR(F295="",H295=""),"",F295*H295)</x:f>
      </x:c>
      <x:c r="H295" s="96" t="n">
        <x:v>1</x:v>
      </x:c>
      <x:c r="I295" s="94" t="str">
        <x:v> ШТ. </x:v>
      </x:c>
      <x:c r="J295" s="94" t="str">
        <x:v>EKT/Klemsan</x:v>
      </x:c>
      <x:c r="K295" s="64" t="str">
        <x:v>B16</x:v>
      </x:c>
    </x:row>
    <x:row r="296">
      <x:c r="A296" s="64" t="str">
        <x:v>ЯТП-0,25-220/36 036УХЛ4</x:v>
      </x:c>
      <x:c r="B296" s="94" t="str">
        <x:v>din</x:v>
      </x:c>
      <x:c r="C296" s="100" t="str">
        <x:v>KONTROL-DIN</x:v>
      </x:c>
      <x:c r="D296" s="94" t="str">
        <x:v>DIN рейка 35 мм, оцинкованная, комплект по габариту</x:v>
      </x:c>
      <x:c r="E296" s="95"/>
      <x:c r="F296" s="95"/>
      <x:c r="G296" s="95" t="str">
        <x:f>IF(OR(F296="",H296=""),"",F296*H296)</x:f>
      </x:c>
      <x:c r="H296" s="96" t="n">
        <x:v>1</x:v>
      </x:c>
      <x:c r="I296" s="94" t="str">
        <x:v> ШТ. </x:v>
      </x:c>
      <x:c r="J296" s="94" t="str">
        <x:v>EKT</x:v>
      </x:c>
      <x:c r="K296" s="64" t="str">
        <x:v>B16</x:v>
      </x:c>
    </x:row>
    <x:row r="297">
      <x:c r="A297" s="64" t="str">
        <x:v>ЯТП-0,25-220/36 036УХЛ4</x:v>
      </x:c>
      <x:c r="B297" s="94" t="str">
        <x:v>kanal</x:v>
      </x:c>
      <x:c r="C297" s="100" t="str">
        <x:v>KONTROL-KK</x:v>
      </x:c>
      <x:c r="D297" s="94" t="str">
        <x:v>Кабельный канал перфорированный, комплект по габариту</x:v>
      </x:c>
      <x:c r="E297" s="95"/>
      <x:c r="F297" s="95"/>
      <x:c r="G297" s="95" t="str">
        <x:f>IF(OR(F297="",H297=""),"",F297*H297)</x:f>
      </x:c>
      <x:c r="H297" s="96" t="n">
        <x:v>1</x:v>
      </x:c>
      <x:c r="I297" s="94" t="str">
        <x:v> ШТ. </x:v>
      </x:c>
      <x:c r="J297" s="94" t="str">
        <x:v>ONKA/EKT</x:v>
      </x:c>
      <x:c r="K297" s="64" t="str">
        <x:v>B16</x:v>
      </x:c>
    </x:row>
    <x:row r="298">
      <x:c r="A298" s="64" t="str">
        <x:v>ЯТП-0,25-220/36 036УХЛ4</x:v>
      </x:c>
      <x:c r="B298" s="94" t="str">
        <x:v>klemens</x:v>
      </x:c>
      <x:c r="C298" s="100" t="str">
        <x:v>KONTROL-KL</x:v>
      </x:c>
      <x:c r="D298" s="94" t="str">
        <x:v>Клеммник 2,5-6 мм² (фаза/N/PE по схеме)</x:v>
      </x:c>
      <x:c r="E298" s="95"/>
      <x:c r="F298" s="95"/>
      <x:c r="G298" s="95" t="str">
        <x:f>IF(OR(F298="",H298=""),"",F298*H298)</x:f>
      </x:c>
      <x:c r="H298" s="96" t="n">
        <x:v>12</x:v>
      </x:c>
      <x:c r="I298" s="94" t="str">
        <x:v> ШТ. </x:v>
      </x:c>
      <x:c r="J298" s="94" t="str">
        <x:v>Klemsan/EKT</x:v>
      </x:c>
      <x:c r="K298" s="64" t="str">
        <x:v>B16</x:v>
      </x:c>
    </x:row>
    <x:row r="299">
      <x:c r="A299" s="64" t="str">
        <x:v>ЯТП-0,25-220/36 036УХЛ4</x:v>
      </x:c>
      <x:c r="B299" s="94" t="str">
        <x:v>kablo</x:v>
      </x:c>
      <x:c r="C299" s="100" t="str">
        <x:v>KONTROL-WIRE</x:v>
      </x:c>
      <x:c r="D299" s="94" t="str">
        <x:v>Внутренняя проводка Harmony + маркировка, комплект</x:v>
      </x:c>
      <x:c r="E299" s="95"/>
      <x:c r="F299" s="95"/>
      <x:c r="G299" s="95" t="str">
        <x:f>IF(OR(F299="",H299=""),"",F299*H299)</x:f>
      </x:c>
      <x:c r="H299" s="96" t="n">
        <x:v>1</x:v>
      </x:c>
      <x:c r="I299" s="94" t="str">
        <x:v> ШТ. </x:v>
      </x:c>
      <x:c r="J299" s="94" t="str">
        <x:v>Harmony</x:v>
      </x:c>
      <x:c r="K299" s="64" t="str">
        <x:v>B16</x:v>
      </x:c>
    </x:row>
    <x:row r="300">
      <x:c r="A300" s="64" t="str">
        <x:v>ЯТП-0,25-220/36 036УХЛ4</x:v>
      </x:c>
      <x:c r="B300" s="64" t="str">
        <x:v>монтажный материал</x:v>
      </x:c>
      <x:c r="C300" s="64" t="str">
        <x:v>монтажный материал</x:v>
      </x:c>
      <x:c r="D300" s="64" t="str">
        <x:v>Монтажный материал</x:v>
      </x:c>
      <x:c r="E300" s="83"/>
      <x:c r="F300" s="83"/>
      <x:c r="G300" s="83" t="str">
        <x:f>IF(OR(F300="",H300=""),"",F300*H300)</x:f>
      </x:c>
      <x:c r="H300" s="89" t="n">
        <x:v>1</x:v>
      </x:c>
      <x:c r="I300" s="64" t="str">
        <x:v>компл.</x:v>
      </x:c>
      <x:c r="J300" s="64" t="str">
        <x:v>TEKLED</x:v>
      </x:c>
      <x:c r="K300" s="64" t="str">
        <x:v>B16</x:v>
      </x:c>
    </x:row>
    <x:row r="301">
      <x:c r="A301" s="64" t="str">
        <x:v>ЯТП-0,25-220/36 036УХЛ4</x:v>
      </x:c>
      <x:c r="B301" s="64" t="str">
        <x:v>монтажные работы</x:v>
      </x:c>
      <x:c r="C301" s="64" t="str">
        <x:v>монтажные работы</x:v>
      </x:c>
      <x:c r="D301" s="64" t="str">
        <x:v>Монтажные работы</x:v>
      </x:c>
      <x:c r="E301" s="83"/>
      <x:c r="F301" s="83"/>
      <x:c r="G301" s="83" t="str">
        <x:f>IF(OR(F301="",H301=""),"",F301*H301)</x:f>
      </x:c>
      <x:c r="H301" s="89" t="n">
        <x:v>1</x:v>
      </x:c>
      <x:c r="I301" s="64" t="str">
        <x:v>компл.</x:v>
      </x:c>
      <x:c r="J301" s="64" t="str">
        <x:v>TEKLED</x:v>
      </x:c>
      <x:c r="K301" s="64" t="str">
        <x:v>B16</x:v>
      </x:c>
    </x:row>
    <x:row r="302">
      <x:c r="A302" s="76" t="str">
        <x:v>ЯТП-0,25-220/36 036УХЛ4</x:v>
      </x:c>
      <x:c r="B302" s="76"/>
      <x:c r="C302" s="76"/>
      <x:c r="D302" s="80" t="str">
        <x:v>ИТОГО на 1 комплект</x:v>
      </x:c>
      <x:c r="E302" s="84"/>
      <x:c r="F302" s="84"/>
      <x:c r="G302" s="84" t="n">
        <x:f>SUM(G289:G301)</x:f>
        <x:v>0</x:v>
      </x:c>
      <x:c r="H302" s="90"/>
      <x:c r="I302" s="76"/>
      <x:c r="J302" s="76"/>
      <x:c r="K302" s="76" t="str">
        <x:v>B16</x:v>
      </x:c>
    </x:row>
    <x:row r="303" ht="24" customHeight="1">
      <x:c r="A303" s="69" t="str">
        <x:v>ГРЩ (В18)</x:v>
      </x:c>
      <x:c r="B303" s="69"/>
      <x:c r="C303" s="69"/>
      <x:c r="D303" s="69" t="str">
        <x:v>ГРЩ (В18)</x:v>
      </x:c>
      <x:c r="E303" s="82"/>
      <x:c r="F303" s="82"/>
      <x:c r="G303" s="82"/>
      <x:c r="H303" s="88" t="n">
        <x:v>1</x:v>
      </x:c>
      <x:c r="I303" s="69" t="str">
        <x:v>комплект</x:v>
      </x:c>
      <x:c r="J303" s="69" t="str">
        <x:v>TEKLED/TEKSAN</x:v>
      </x:c>
      <x:c r="K303" s="69" t="str">
        <x:v>B18</x:v>
      </x:c>
    </x:row>
    <x:row r="304">
      <x:c r="A304" s="64" t="str">
        <x:v>ГРЩ (В18)</x:v>
      </x:c>
      <x:c r="B304" s="64" t="str">
        <x:v>korpus</x:v>
      </x:c>
      <x:c r="C304" s="64" t="str">
        <x:v>714-15007</x:v>
      </x:c>
      <x:c r="D304" s="64" t="str">
        <x:v>Щит мет.ЩРн-18 б/o (448х268х120)S/U 36 IP31 (TS)</x:v>
      </x:c>
      <x:c r="E304" s="83" t="n">
        <x:v>14695</x:v>
      </x:c>
      <x:c r="F304" s="83" t="n">
        <x:v>8817</x:v>
      </x:c>
      <x:c r="G304" s="83" t="n">
        <x:f>IF(OR(F304="",H304=""),"",F304*H304)</x:f>
        <x:v>8817</x:v>
      </x:c>
      <x:c r="H304" s="89" t="n">
        <x:v>1</x:v>
      </x:c>
      <x:c r="I304" s="64" t="str">
        <x:v> ШТ. </x:v>
      </x:c>
      <x:c r="J304" s="64" t="str">
        <x:v>teksan f</x:v>
      </x:c>
      <x:c r="K304" s="64" t="str">
        <x:v>B18</x:v>
      </x:c>
    </x:row>
    <x:row r="305">
      <x:c r="A305" s="64" t="str">
        <x:v>ГРЩ (В18)</x:v>
      </x:c>
      <x:c r="B305" s="64" t="str">
        <x:v>oto</x:v>
      </x:c>
      <x:c r="C305" s="64" t="str">
        <x:v>296830</x:v>
      </x:c>
      <x:c r="D305" s="64" t="str">
        <x:v>Авт. выкл. NXB-63S 3P 32А 4.5kA х-ка C (R)</x:v>
      </x:c>
      <x:c r="E305" s="83" t="n">
        <x:v>2606</x:v>
      </x:c>
      <x:c r="F305" s="83" t="n">
        <x:v>1563.6</x:v>
      </x:c>
      <x:c r="G305" s="83" t="n">
        <x:f>IF(OR(F305="",H305=""),"",F305*H305)</x:f>
        <x:v>1563.6</x:v>
      </x:c>
      <x:c r="H305" s="89" t="n">
        <x:v>1</x:v>
      </x:c>
      <x:c r="I305" s="64" t="str">
        <x:v> ШТ. </x:v>
      </x:c>
      <x:c r="J305" s="64" t="str">
        <x:v>chint</x:v>
      </x:c>
      <x:c r="K305" s="64" t="str">
        <x:v>B18</x:v>
      </x:c>
    </x:row>
    <x:row r="306">
      <x:c r="A306" s="64" t="str">
        <x:v>ГРЩ (В18)</x:v>
      </x:c>
      <x:c r="B306" s="64" t="str">
        <x:v>oto</x:v>
      </x:c>
      <x:c r="C306" s="64" t="str">
        <x:v>296829</x:v>
      </x:c>
      <x:c r="D306" s="64" t="str">
        <x:v>Авт. выкл. NXB-63S 3P 25А 4.5kA х-ка C (R)</x:v>
      </x:c>
      <x:c r="E306" s="83" t="n">
        <x:v>2429</x:v>
      </x:c>
      <x:c r="F306" s="83" t="n">
        <x:v>1457.3999999999999</x:v>
      </x:c>
      <x:c r="G306" s="83" t="n">
        <x:f>IF(OR(F306="",H306=""),"",F306*H306)</x:f>
        <x:v>1457.3999999999999</x:v>
      </x:c>
      <x:c r="H306" s="89" t="n">
        <x:v>1</x:v>
      </x:c>
      <x:c r="I306" s="64" t="str">
        <x:v> ШТ. </x:v>
      </x:c>
      <x:c r="J306" s="64" t="str">
        <x:v>chint</x:v>
      </x:c>
      <x:c r="K306" s="64" t="str">
        <x:v>B18</x:v>
      </x:c>
    </x:row>
    <x:row r="307">
      <x:c r="A307" s="64" t="str">
        <x:v>ГРЩ (В18)</x:v>
      </x:c>
      <x:c r="B307" s="64" t="str">
        <x:v>oto</x:v>
      </x:c>
      <x:c r="C307" s="64" t="str">
        <x:v>296712</x:v>
      </x:c>
      <x:c r="D307" s="64" t="str">
        <x:v>Авт. выкл. NXB-63S 1P 25А 4.5kA х-ка C (R)</x:v>
      </x:c>
      <x:c r="E307" s="83" t="n">
        <x:v>800</x:v>
      </x:c>
      <x:c r="F307" s="83" t="n">
        <x:v>480</x:v>
      </x:c>
      <x:c r="G307" s="83" t="n">
        <x:f>IF(OR(F307="",H307=""),"",F307*H307)</x:f>
        <x:v>480</x:v>
      </x:c>
      <x:c r="H307" s="89" t="n">
        <x:v>1</x:v>
      </x:c>
      <x:c r="I307" s="64" t="str">
        <x:v> ШТ. </x:v>
      </x:c>
      <x:c r="J307" s="64" t="str">
        <x:v>chint</x:v>
      </x:c>
      <x:c r="K307" s="64" t="str">
        <x:v>B18</x:v>
      </x:c>
    </x:row>
    <x:row r="308">
      <x:c r="A308" s="64" t="str">
        <x:v>ГРЩ (В18)</x:v>
      </x:c>
      <x:c r="B308" s="64" t="str">
        <x:v>oto</x:v>
      </x:c>
      <x:c r="C308" s="64" t="str">
        <x:v>814014</x:v>
      </x:c>
      <x:c r="D308" s="64" t="str">
        <x:v>Авт. выкл. NXB-63 1P 16A 6кА х-ка C (R)</x:v>
      </x:c>
      <x:c r="E308" s="83" t="n">
        <x:v>1389</x:v>
      </x:c>
      <x:c r="F308" s="83" t="n">
        <x:v>833.4</x:v>
      </x:c>
      <x:c r="G308" s="83" t="n">
        <x:f>IF(OR(F308="",H308=""),"",F308*H308)</x:f>
        <x:v>4167</x:v>
      </x:c>
      <x:c r="H308" s="89" t="n">
        <x:v>5</x:v>
      </x:c>
      <x:c r="I308" s="64" t="str">
        <x:v> ШТ. </x:v>
      </x:c>
      <x:c r="J308" s="64" t="str">
        <x:v>chint</x:v>
      </x:c>
      <x:c r="K308" s="64" t="str">
        <x:v>B18</x:v>
      </x:c>
    </x:row>
    <x:row r="309">
      <x:c r="A309" s="64" t="str">
        <x:v>ГРЩ (В18)</x:v>
      </x:c>
      <x:c r="B309" s="64" t="str">
        <x:v>rn</x:v>
      </x:c>
      <x:c r="C309" s="64" t="str">
        <x:v>814989</x:v>
      </x:c>
      <x:c r="D309" s="64" t="str">
        <x:v>Независимый расцепитель SHT-X1 AC230V/400V для NXB-63 (R)</x:v>
      </x:c>
      <x:c r="E309" s="83" t="n">
        <x:v>5354</x:v>
      </x:c>
      <x:c r="F309" s="83" t="n">
        <x:v>3212.4</x:v>
      </x:c>
      <x:c r="G309" s="83" t="n">
        <x:f>IF(OR(F309="",H309=""),"",F309*H309)</x:f>
        <x:v>3212.4</x:v>
      </x:c>
      <x:c r="H309" s="89" t="n">
        <x:v>1</x:v>
      </x:c>
      <x:c r="I309" s="64" t="str">
        <x:v> ШТ. </x:v>
      </x:c>
      <x:c r="J309" s="64" t="str">
        <x:v>chint</x:v>
      </x:c>
      <x:c r="K309" s="64" t="str">
        <x:v>B18</x:v>
      </x:c>
    </x:row>
    <x:row r="310">
      <x:c r="A310" s="64" t="str">
        <x:v>ГРЩ (В18)</x:v>
      </x:c>
      <x:c r="B310" s="94" t="str">
        <x:v>bara</x:v>
      </x:c>
      <x:c r="C310" s="100" t="str">
        <x:v>KONTROL-N</x:v>
      </x:c>
      <x:c r="D310" s="94" t="str">
        <x:v>Шина N изолированная, не менее 12 присоединений</x:v>
      </x:c>
      <x:c r="E310" s="95"/>
      <x:c r="F310" s="95"/>
      <x:c r="G310" s="95" t="str">
        <x:f>IF(OR(F310="",H310=""),"",F310*H310)</x:f>
      </x:c>
      <x:c r="H310" s="96" t="n">
        <x:v>1</x:v>
      </x:c>
      <x:c r="I310" s="94" t="str">
        <x:v> ШТ. </x:v>
      </x:c>
      <x:c r="J310" s="94" t="str">
        <x:v>EKT/Klemsan</x:v>
      </x:c>
      <x:c r="K310" s="64" t="str">
        <x:v>B18</x:v>
      </x:c>
    </x:row>
    <x:row r="311">
      <x:c r="A311" s="64" t="str">
        <x:v>ГРЩ (В18)</x:v>
      </x:c>
      <x:c r="B311" s="94" t="str">
        <x:v>bara</x:v>
      </x:c>
      <x:c r="C311" s="100" t="str">
        <x:v>KONTROL-PE</x:v>
      </x:c>
      <x:c r="D311" s="94" t="str">
        <x:v>Шина PE медная, не менее 12 присоединений</x:v>
      </x:c>
      <x:c r="E311" s="95"/>
      <x:c r="F311" s="95"/>
      <x:c r="G311" s="95" t="str">
        <x:f>IF(OR(F311="",H311=""),"",F311*H311)</x:f>
      </x:c>
      <x:c r="H311" s="96" t="n">
        <x:v>1</x:v>
      </x:c>
      <x:c r="I311" s="94" t="str">
        <x:v> ШТ. </x:v>
      </x:c>
      <x:c r="J311" s="94" t="str">
        <x:v>EKT/Klemsan</x:v>
      </x:c>
      <x:c r="K311" s="64" t="str">
        <x:v>B18</x:v>
      </x:c>
    </x:row>
    <x:row r="312">
      <x:c r="A312" s="64" t="str">
        <x:v>ГРЩ (В18)</x:v>
      </x:c>
      <x:c r="B312" s="94" t="str">
        <x:v>din</x:v>
      </x:c>
      <x:c r="C312" s="100" t="str">
        <x:v>KONTROL-DIN</x:v>
      </x:c>
      <x:c r="D312" s="94" t="str">
        <x:v>DIN рейка 35 мм, оцинкованная, комплект по габариту</x:v>
      </x:c>
      <x:c r="E312" s="95"/>
      <x:c r="F312" s="95"/>
      <x:c r="G312" s="95" t="str">
        <x:f>IF(OR(F312="",H312=""),"",F312*H312)</x:f>
      </x:c>
      <x:c r="H312" s="96" t="n">
        <x:v>1</x:v>
      </x:c>
      <x:c r="I312" s="94" t="str">
        <x:v> ШТ. </x:v>
      </x:c>
      <x:c r="J312" s="94" t="str">
        <x:v>EKT</x:v>
      </x:c>
      <x:c r="K312" s="64" t="str">
        <x:v>B18</x:v>
      </x:c>
    </x:row>
    <x:row r="313">
      <x:c r="A313" s="64" t="str">
        <x:v>ГРЩ (В18)</x:v>
      </x:c>
      <x:c r="B313" s="94" t="str">
        <x:v>kanal</x:v>
      </x:c>
      <x:c r="C313" s="100" t="str">
        <x:v>KONTROL-KK</x:v>
      </x:c>
      <x:c r="D313" s="94" t="str">
        <x:v>Кабельный канал перфорированный, комплект по габариту</x:v>
      </x:c>
      <x:c r="E313" s="95"/>
      <x:c r="F313" s="95"/>
      <x:c r="G313" s="95" t="str">
        <x:f>IF(OR(F313="",H313=""),"",F313*H313)</x:f>
      </x:c>
      <x:c r="H313" s="96" t="n">
        <x:v>1</x:v>
      </x:c>
      <x:c r="I313" s="94" t="str">
        <x:v> ШТ. </x:v>
      </x:c>
      <x:c r="J313" s="94" t="str">
        <x:v>ONKA/EKT</x:v>
      </x:c>
      <x:c r="K313" s="64" t="str">
        <x:v>B18</x:v>
      </x:c>
    </x:row>
    <x:row r="314">
      <x:c r="A314" s="64" t="str">
        <x:v>ГРЩ (В18)</x:v>
      </x:c>
      <x:c r="B314" s="94" t="str">
        <x:v>klemens</x:v>
      </x:c>
      <x:c r="C314" s="100" t="str">
        <x:v>KONTROL-KL</x:v>
      </x:c>
      <x:c r="D314" s="94" t="str">
        <x:v>Клеммник 2,5-6 мм² (фаза/N/PE по схеме)</x:v>
      </x:c>
      <x:c r="E314" s="95"/>
      <x:c r="F314" s="95"/>
      <x:c r="G314" s="95" t="str">
        <x:f>IF(OR(F314="",H314=""),"",F314*H314)</x:f>
      </x:c>
      <x:c r="H314" s="96" t="n">
        <x:v>22</x:v>
      </x:c>
      <x:c r="I314" s="94" t="str">
        <x:v> ШТ. </x:v>
      </x:c>
      <x:c r="J314" s="94" t="str">
        <x:v>Klemsan/EKT</x:v>
      </x:c>
      <x:c r="K314" s="64" t="str">
        <x:v>B18</x:v>
      </x:c>
    </x:row>
    <x:row r="315">
      <x:c r="A315" s="64" t="str">
        <x:v>ГРЩ (В18)</x:v>
      </x:c>
      <x:c r="B315" s="94" t="str">
        <x:v>kablo</x:v>
      </x:c>
      <x:c r="C315" s="100" t="str">
        <x:v>KONTROL-WIRE</x:v>
      </x:c>
      <x:c r="D315" s="94" t="str">
        <x:v>Внутренняя проводка Harmony + маркировка, комплект</x:v>
      </x:c>
      <x:c r="E315" s="95"/>
      <x:c r="F315" s="95"/>
      <x:c r="G315" s="95" t="str">
        <x:f>IF(OR(F315="",H315=""),"",F315*H315)</x:f>
      </x:c>
      <x:c r="H315" s="96" t="n">
        <x:v>1</x:v>
      </x:c>
      <x:c r="I315" s="94" t="str">
        <x:v> ШТ. </x:v>
      </x:c>
      <x:c r="J315" s="94" t="str">
        <x:v>Harmony</x:v>
      </x:c>
      <x:c r="K315" s="64" t="str">
        <x:v>B18</x:v>
      </x:c>
    </x:row>
    <x:row r="316">
      <x:c r="A316" s="64" t="str">
        <x:v>ГРЩ (В18)</x:v>
      </x:c>
      <x:c r="B316" s="64" t="str">
        <x:v>монтажный материал</x:v>
      </x:c>
      <x:c r="C316" s="64" t="str">
        <x:v>монтажный материал</x:v>
      </x:c>
      <x:c r="D316" s="64" t="str">
        <x:v>Монтажный материал</x:v>
      </x:c>
      <x:c r="E316" s="83"/>
      <x:c r="F316" s="83"/>
      <x:c r="G316" s="83" t="str">
        <x:f>IF(OR(F316="",H316=""),"",F316*H316)</x:f>
      </x:c>
      <x:c r="H316" s="89" t="n">
        <x:v>1</x:v>
      </x:c>
      <x:c r="I316" s="64" t="str">
        <x:v>компл.</x:v>
      </x:c>
      <x:c r="J316" s="64" t="str">
        <x:v>TEKLED</x:v>
      </x:c>
      <x:c r="K316" s="64" t="str">
        <x:v>B18</x:v>
      </x:c>
    </x:row>
    <x:row r="317">
      <x:c r="A317" s="64" t="str">
        <x:v>ГРЩ (В18)</x:v>
      </x:c>
      <x:c r="B317" s="64" t="str">
        <x:v>монтажные работы</x:v>
      </x:c>
      <x:c r="C317" s="64" t="str">
        <x:v>монтажные работы</x:v>
      </x:c>
      <x:c r="D317" s="64" t="str">
        <x:v>Монтажные работы</x:v>
      </x:c>
      <x:c r="E317" s="83"/>
      <x:c r="F317" s="83"/>
      <x:c r="G317" s="83" t="str">
        <x:f>IF(OR(F317="",H317=""),"",F317*H317)</x:f>
      </x:c>
      <x:c r="H317" s="89" t="n">
        <x:v>1</x:v>
      </x:c>
      <x:c r="I317" s="64" t="str">
        <x:v>компл.</x:v>
      </x:c>
      <x:c r="J317" s="64" t="str">
        <x:v>TEKLED</x:v>
      </x:c>
      <x:c r="K317" s="64" t="str">
        <x:v>B18</x:v>
      </x:c>
    </x:row>
    <x:row r="318">
      <x:c r="A318" s="76" t="str">
        <x:v>ГРЩ (В18)</x:v>
      </x:c>
      <x:c r="B318" s="76"/>
      <x:c r="C318" s="76"/>
      <x:c r="D318" s="80" t="str">
        <x:v>ИТОГО на 1 комплект</x:v>
      </x:c>
      <x:c r="E318" s="84"/>
      <x:c r="F318" s="84"/>
      <x:c r="G318" s="84" t="n">
        <x:f>SUM(G304:G317)</x:f>
        <x:v>19697.4</x:v>
      </x:c>
      <x:c r="H318" s="90"/>
      <x:c r="I318" s="76"/>
      <x:c r="J318" s="76"/>
      <x:c r="K318" s="76" t="str">
        <x:v>B18</x:v>
      </x:c>
    </x:row>
    <x:row r="319" ht="24" customHeight="1">
      <x:c r="A319" s="69" t="str">
        <x:v>РПВ (В18)</x:v>
      </x:c>
      <x:c r="B319" s="69"/>
      <x:c r="C319" s="69"/>
      <x:c r="D319" s="69" t="str">
        <x:v>РПВ (В18)</x:v>
      </x:c>
      <x:c r="E319" s="82"/>
      <x:c r="F319" s="82"/>
      <x:c r="G319" s="82"/>
      <x:c r="H319" s="88" t="n">
        <x:v>1</x:v>
      </x:c>
      <x:c r="I319" s="69" t="str">
        <x:v>комплект</x:v>
      </x:c>
      <x:c r="J319" s="69" t="str">
        <x:v>TEKLED/TEKSAN</x:v>
      </x:c>
      <x:c r="K319" s="69" t="str">
        <x:v>B18</x:v>
      </x:c>
    </x:row>
    <x:row r="320">
      <x:c r="A320" s="64" t="str">
        <x:v>РПВ (В18)</x:v>
      </x:c>
      <x:c r="B320" s="64" t="str">
        <x:v>korpus</x:v>
      </x:c>
      <x:c r="C320" s="64" t="str">
        <x:v>714-15005</x:v>
      </x:c>
      <x:c r="D320" s="64" t="str">
        <x:v>Pano met.ShRn-12 b/o (313х268х120)S/U 36 IP31 (TS)</x:v>
      </x:c>
      <x:c r="E320" s="83" t="n">
        <x:v>10270</x:v>
      </x:c>
      <x:c r="F320" s="83" t="n">
        <x:v>6162</x:v>
      </x:c>
      <x:c r="G320" s="83" t="n">
        <x:f>IF(OR(F320="",H320=""),"",F320*H320)</x:f>
        <x:v>6162</x:v>
      </x:c>
      <x:c r="H320" s="89" t="n">
        <x:v>1</x:v>
      </x:c>
      <x:c r="I320" s="64" t="str">
        <x:v> ШТ. </x:v>
      </x:c>
      <x:c r="J320" s="64" t="str">
        <x:v>teksan f</x:v>
      </x:c>
      <x:c r="K320" s="64" t="str">
        <x:v>B18</x:v>
      </x:c>
    </x:row>
    <x:row r="321">
      <x:c r="A321" s="64" t="str">
        <x:v>РПВ (В18)</x:v>
      </x:c>
      <x:c r="B321" s="64" t="str">
        <x:v>oto</x:v>
      </x:c>
      <x:c r="C321" s="64" t="str">
        <x:v>296827</x:v>
      </x:c>
      <x:c r="D321" s="64" t="str">
        <x:v>Авт. выкл. NXB-63S 3P 16А 4.5kA х-ка C (R)</x:v>
      </x:c>
      <x:c r="E321" s="83" t="n">
        <x:v>2337</x:v>
      </x:c>
      <x:c r="F321" s="83" t="n">
        <x:v>1402.2</x:v>
      </x:c>
      <x:c r="G321" s="83" t="n">
        <x:f>IF(OR(F321="",H321=""),"",F321*H321)</x:f>
        <x:v>2804.4</x:v>
      </x:c>
      <x:c r="H321" s="89" t="n">
        <x:v>2</x:v>
      </x:c>
      <x:c r="I321" s="64" t="str">
        <x:v> ШТ. </x:v>
      </x:c>
      <x:c r="J321" s="64" t="str">
        <x:v>chint</x:v>
      </x:c>
      <x:c r="K321" s="64" t="str">
        <x:v>B18</x:v>
      </x:c>
    </x:row>
    <x:row r="322">
      <x:c r="A322" s="64" t="str">
        <x:v>РПВ (В18)</x:v>
      </x:c>
      <x:c r="B322" s="64" t="str">
        <x:v>oto</x:v>
      </x:c>
      <x:c r="C322" s="64" t="str">
        <x:v>814014</x:v>
      </x:c>
      <x:c r="D322" s="64" t="str">
        <x:v>Авт. выкл. NXB-63 1P 16A 6кА х-ка C (R)</x:v>
      </x:c>
      <x:c r="E322" s="83" t="n">
        <x:v>1389</x:v>
      </x:c>
      <x:c r="F322" s="83" t="n">
        <x:v>833.4</x:v>
      </x:c>
      <x:c r="G322" s="83" t="n">
        <x:f>IF(OR(F322="",H322=""),"",F322*H322)</x:f>
        <x:v>3333.6</x:v>
      </x:c>
      <x:c r="H322" s="89" t="n">
        <x:v>4</x:v>
      </x:c>
      <x:c r="I322" s="64" t="str">
        <x:v> ШТ. </x:v>
      </x:c>
      <x:c r="J322" s="64" t="str">
        <x:v>chint</x:v>
      </x:c>
      <x:c r="K322" s="64" t="str">
        <x:v>B18</x:v>
      </x:c>
    </x:row>
    <x:row r="323">
      <x:c r="A323" s="64" t="str">
        <x:v>РПВ (В18)</x:v>
      </x:c>
      <x:c r="B323" s="94" t="str">
        <x:v>bara</x:v>
      </x:c>
      <x:c r="C323" s="100" t="str">
        <x:v>KONTROL-N</x:v>
      </x:c>
      <x:c r="D323" s="94" t="str">
        <x:v>Шина N изолированная, не менее 12 присоединений</x:v>
      </x:c>
      <x:c r="E323" s="95"/>
      <x:c r="F323" s="95"/>
      <x:c r="G323" s="95" t="str">
        <x:f>IF(OR(F323="",H323=""),"",F323*H323)</x:f>
      </x:c>
      <x:c r="H323" s="96" t="n">
        <x:v>1</x:v>
      </x:c>
      <x:c r="I323" s="94" t="str">
        <x:v> ШТ. </x:v>
      </x:c>
      <x:c r="J323" s="94" t="str">
        <x:v>EKT/Klemsan</x:v>
      </x:c>
      <x:c r="K323" s="64" t="str">
        <x:v>B18</x:v>
      </x:c>
    </x:row>
    <x:row r="324">
      <x:c r="A324" s="64" t="str">
        <x:v>РПВ (В18)</x:v>
      </x:c>
      <x:c r="B324" s="94" t="str">
        <x:v>bara</x:v>
      </x:c>
      <x:c r="C324" s="100" t="str">
        <x:v>KONTROL-PE</x:v>
      </x:c>
      <x:c r="D324" s="94" t="str">
        <x:v>Шина PE медная, не менее 12 присоединений</x:v>
      </x:c>
      <x:c r="E324" s="95"/>
      <x:c r="F324" s="95"/>
      <x:c r="G324" s="95" t="str">
        <x:f>IF(OR(F324="",H324=""),"",F324*H324)</x:f>
      </x:c>
      <x:c r="H324" s="96" t="n">
        <x:v>1</x:v>
      </x:c>
      <x:c r="I324" s="94" t="str">
        <x:v> ШТ. </x:v>
      </x:c>
      <x:c r="J324" s="94" t="str">
        <x:v>EKT/Klemsan</x:v>
      </x:c>
      <x:c r="K324" s="64" t="str">
        <x:v>B18</x:v>
      </x:c>
    </x:row>
    <x:row r="325">
      <x:c r="A325" s="64" t="str">
        <x:v>РПВ (В18)</x:v>
      </x:c>
      <x:c r="B325" s="94" t="str">
        <x:v>din</x:v>
      </x:c>
      <x:c r="C325" s="100" t="str">
        <x:v>KONTROL-DIN</x:v>
      </x:c>
      <x:c r="D325" s="94" t="str">
        <x:v>DIN рейка 35 мм, оцинкованная, комплект по габариту</x:v>
      </x:c>
      <x:c r="E325" s="95"/>
      <x:c r="F325" s="95"/>
      <x:c r="G325" s="95" t="str">
        <x:f>IF(OR(F325="",H325=""),"",F325*H325)</x:f>
      </x:c>
      <x:c r="H325" s="96" t="n">
        <x:v>1</x:v>
      </x:c>
      <x:c r="I325" s="94" t="str">
        <x:v> ШТ. </x:v>
      </x:c>
      <x:c r="J325" s="94" t="str">
        <x:v>EKT</x:v>
      </x:c>
      <x:c r="K325" s="64" t="str">
        <x:v>B18</x:v>
      </x:c>
    </x:row>
    <x:row r="326">
      <x:c r="A326" s="64" t="str">
        <x:v>РПВ (В18)</x:v>
      </x:c>
      <x:c r="B326" s="94" t="str">
        <x:v>kanal</x:v>
      </x:c>
      <x:c r="C326" s="100" t="str">
        <x:v>KONTROL-KK</x:v>
      </x:c>
      <x:c r="D326" s="94" t="str">
        <x:v>Кабельный канал перфорированный, комплект по габариту</x:v>
      </x:c>
      <x:c r="E326" s="95"/>
      <x:c r="F326" s="95"/>
      <x:c r="G326" s="95" t="str">
        <x:f>IF(OR(F326="",H326=""),"",F326*H326)</x:f>
      </x:c>
      <x:c r="H326" s="96" t="n">
        <x:v>1</x:v>
      </x:c>
      <x:c r="I326" s="94" t="str">
        <x:v> ШТ. </x:v>
      </x:c>
      <x:c r="J326" s="94" t="str">
        <x:v>ONKA/EKT</x:v>
      </x:c>
      <x:c r="K326" s="64" t="str">
        <x:v>B18</x:v>
      </x:c>
    </x:row>
    <x:row r="327">
      <x:c r="A327" s="64" t="str">
        <x:v>РПВ (В18)</x:v>
      </x:c>
      <x:c r="B327" s="94" t="str">
        <x:v>klemens</x:v>
      </x:c>
      <x:c r="C327" s="100" t="str">
        <x:v>KONTROL-KL</x:v>
      </x:c>
      <x:c r="D327" s="94" t="str">
        <x:v>Клеммник 2,5-6 мм² (фаза/N/PE по схеме)</x:v>
      </x:c>
      <x:c r="E327" s="95"/>
      <x:c r="F327" s="95"/>
      <x:c r="G327" s="95" t="str">
        <x:f>IF(OR(F327="",H327=""),"",F327*H327)</x:f>
      </x:c>
      <x:c r="H327" s="96" t="n">
        <x:v>16</x:v>
      </x:c>
      <x:c r="I327" s="94" t="str">
        <x:v> ШТ. </x:v>
      </x:c>
      <x:c r="J327" s="94" t="str">
        <x:v>Klemsan/EKT</x:v>
      </x:c>
      <x:c r="K327" s="64" t="str">
        <x:v>B18</x:v>
      </x:c>
    </x:row>
    <x:row r="328">
      <x:c r="A328" s="64" t="str">
        <x:v>РПВ (В18)</x:v>
      </x:c>
      <x:c r="B328" s="94" t="str">
        <x:v>kablo</x:v>
      </x:c>
      <x:c r="C328" s="100" t="str">
        <x:v>KONTROL-WIRE</x:v>
      </x:c>
      <x:c r="D328" s="94" t="str">
        <x:v>Внутренняя проводка Harmony + маркировка, комплект</x:v>
      </x:c>
      <x:c r="E328" s="95"/>
      <x:c r="F328" s="95"/>
      <x:c r="G328" s="95" t="str">
        <x:f>IF(OR(F328="",H328=""),"",F328*H328)</x:f>
      </x:c>
      <x:c r="H328" s="96" t="n">
        <x:v>1</x:v>
      </x:c>
      <x:c r="I328" s="94" t="str">
        <x:v> ШТ. </x:v>
      </x:c>
      <x:c r="J328" s="94" t="str">
        <x:v>Harmony</x:v>
      </x:c>
      <x:c r="K328" s="64" t="str">
        <x:v>B18</x:v>
      </x:c>
    </x:row>
    <x:row r="329">
      <x:c r="A329" s="64" t="str">
        <x:v>РПВ (В18)</x:v>
      </x:c>
      <x:c r="B329" s="64" t="str">
        <x:v>монтажный материал</x:v>
      </x:c>
      <x:c r="C329" s="64" t="str">
        <x:v>монтажный материал</x:v>
      </x:c>
      <x:c r="D329" s="64" t="str">
        <x:v>Монтажный материал</x:v>
      </x:c>
      <x:c r="E329" s="83"/>
      <x:c r="F329" s="83"/>
      <x:c r="G329" s="83" t="str">
        <x:f>IF(OR(F329="",H329=""),"",F329*H329)</x:f>
      </x:c>
      <x:c r="H329" s="89" t="n">
        <x:v>1</x:v>
      </x:c>
      <x:c r="I329" s="64" t="str">
        <x:v>компл.</x:v>
      </x:c>
      <x:c r="J329" s="64" t="str">
        <x:v>TEKLED</x:v>
      </x:c>
      <x:c r="K329" s="64" t="str">
        <x:v>B18</x:v>
      </x:c>
    </x:row>
    <x:row r="330">
      <x:c r="A330" s="64" t="str">
        <x:v>РПВ (В18)</x:v>
      </x:c>
      <x:c r="B330" s="64" t="str">
        <x:v>монтажные работы</x:v>
      </x:c>
      <x:c r="C330" s="64" t="str">
        <x:v>монтажные работы</x:v>
      </x:c>
      <x:c r="D330" s="64" t="str">
        <x:v>Монтажные работы</x:v>
      </x:c>
      <x:c r="E330" s="83"/>
      <x:c r="F330" s="83"/>
      <x:c r="G330" s="83" t="str">
        <x:f>IF(OR(F330="",H330=""),"",F330*H330)</x:f>
      </x:c>
      <x:c r="H330" s="89" t="n">
        <x:v>1</x:v>
      </x:c>
      <x:c r="I330" s="64" t="str">
        <x:v>компл.</x:v>
      </x:c>
      <x:c r="J330" s="64" t="str">
        <x:v>TEKLED</x:v>
      </x:c>
      <x:c r="K330" s="64" t="str">
        <x:v>B18</x:v>
      </x:c>
    </x:row>
    <x:row r="331">
      <x:c r="A331" s="76" t="str">
        <x:v>РПВ (В18)</x:v>
      </x:c>
      <x:c r="B331" s="76"/>
      <x:c r="C331" s="76"/>
      <x:c r="D331" s="80" t="str">
        <x:v>ИТОГО на 1 комплект</x:v>
      </x:c>
      <x:c r="E331" s="84"/>
      <x:c r="F331" s="84"/>
      <x:c r="G331" s="84" t="n">
        <x:f>SUM(G320:G330)</x:f>
        <x:v>12300</x:v>
      </x:c>
      <x:c r="H331" s="90"/>
      <x:c r="I331" s="76"/>
      <x:c r="J331" s="76"/>
      <x:c r="K331" s="76" t="str">
        <x:v>B18</x:v>
      </x:c>
    </x:row>
    <x:row r="332" ht="24" customHeight="1">
      <x:c r="A332" s="69" t="str">
        <x:v>ЯТП-0,25-220/36 036УХЛ4</x:v>
      </x:c>
      <x:c r="B332" s="69"/>
      <x:c r="C332" s="69"/>
      <x:c r="D332" s="69" t="str">
        <x:v>ЯТП-0,25-220/36 036УХЛ4</x:v>
      </x:c>
      <x:c r="E332" s="82"/>
      <x:c r="F332" s="82"/>
      <x:c r="G332" s="82"/>
      <x:c r="H332" s="88" t="n">
        <x:v>1</x:v>
      </x:c>
      <x:c r="I332" s="69" t="str">
        <x:v>комплект</x:v>
      </x:c>
      <x:c r="J332" s="69" t="str">
        <x:v>TEKLED/TEKSAN</x:v>
      </x:c>
      <x:c r="K332" s="69" t="str">
        <x:v>B18</x:v>
      </x:c>
    </x:row>
    <x:row r="333">
      <x:c r="A333" s="64" t="str">
        <x:v>ЯТП-0,25-220/36 036УХЛ4</x:v>
      </x:c>
      <x:c r="B333" s="94" t="str">
        <x:v>korpus</x:v>
      </x:c>
      <x:c r="C333" s="100" t="str">
        <x:v>KONTROL-KORPUS-YATP</x:v>
      </x:c>
      <x:c r="D333" s="94" t="str">
        <x:v>Корпус металлический 300x250x150 мм, IP54, монтажная панель</x:v>
      </x:c>
      <x:c r="E333" s="95"/>
      <x:c r="F333" s="95"/>
      <x:c r="G333" s="95" t="str">
        <x:f>IF(OR(F333="",H333=""),"",F333*H333)</x:f>
      </x:c>
      <x:c r="H333" s="96" t="n">
        <x:v>1</x:v>
      </x:c>
      <x:c r="I333" s="94" t="str">
        <x:v> ШТ. </x:v>
      </x:c>
      <x:c r="J333" s="94" t="str">
        <x:v>TEKSAN/TEKLED</x:v>
      </x:c>
      <x:c r="K333" s="64" t="str">
        <x:v>B18</x:v>
      </x:c>
    </x:row>
    <x:row r="334">
      <x:c r="A334" s="64" t="str">
        <x:v>ЯТП-0,25-220/36 036УХЛ4</x:v>
      </x:c>
      <x:c r="B334" s="94" t="str">
        <x:v>transformator</x:v>
      </x:c>
      <x:c r="C334" s="100" t="str">
        <x:v>KONTROL-NDK250</x:v>
      </x:c>
      <x:c r="D334" s="94" t="str">
        <x:v>Трансформатор CHINT NDK-250, 230/36V, 250VA</x:v>
      </x:c>
      <x:c r="E334" s="95"/>
      <x:c r="F334" s="95"/>
      <x:c r="G334" s="95" t="str">
        <x:f>IF(OR(F334="",H334=""),"",F334*H334)</x:f>
      </x:c>
      <x:c r="H334" s="96" t="n">
        <x:v>1</x:v>
      </x:c>
      <x:c r="I334" s="94" t="str">
        <x:v> ШТ. </x:v>
      </x:c>
      <x:c r="J334" s="94" t="str">
        <x:v>CHINT</x:v>
      </x:c>
      <x:c r="K334" s="64" t="str">
        <x:v>B18</x:v>
      </x:c>
    </x:row>
    <x:row r="335">
      <x:c r="A335" s="64" t="str">
        <x:v>ЯТП-0,25-220/36 036УХЛ4</x:v>
      </x:c>
      <x:c r="B335" s="94" t="str">
        <x:v>oto</x:v>
      </x:c>
      <x:c r="C335" s="100" t="str">
        <x:v>KONTROL-MCB-1P-C2</x:v>
      </x:c>
      <x:c r="D335" s="94" t="str">
        <x:v>Авт. выключатель CHINT NXB-63 1P C2A, первичная цепь</x:v>
      </x:c>
      <x:c r="E335" s="95"/>
      <x:c r="F335" s="95"/>
      <x:c r="G335" s="95" t="str">
        <x:f>IF(OR(F335="",H335=""),"",F335*H335)</x:f>
      </x:c>
      <x:c r="H335" s="96" t="n">
        <x:v>1</x:v>
      </x:c>
      <x:c r="I335" s="94" t="str">
        <x:v> ШТ. </x:v>
      </x:c>
      <x:c r="J335" s="94" t="str">
        <x:v>CHINT</x:v>
      </x:c>
      <x:c r="K335" s="64" t="str">
        <x:v>B18</x:v>
      </x:c>
    </x:row>
    <x:row r="336">
      <x:c r="A336" s="64" t="str">
        <x:v>ЯТП-0,25-220/36 036УХЛ4</x:v>
      </x:c>
      <x:c r="B336" s="94" t="str">
        <x:v>oto</x:v>
      </x:c>
      <x:c r="C336" s="100" t="str">
        <x:v>KONTROL-MCB-2P-C10</x:v>
      </x:c>
      <x:c r="D336" s="94" t="str">
        <x:v>Авт. выключатель CHINT NXB-63 2P C10A, вторичная цепь 36V</x:v>
      </x:c>
      <x:c r="E336" s="95"/>
      <x:c r="F336" s="95"/>
      <x:c r="G336" s="95" t="str">
        <x:f>IF(OR(F336="",H336=""),"",F336*H336)</x:f>
      </x:c>
      <x:c r="H336" s="96" t="n">
        <x:v>1</x:v>
      </x:c>
      <x:c r="I336" s="94" t="str">
        <x:v> ШТ. </x:v>
      </x:c>
      <x:c r="J336" s="94" t="str">
        <x:v>CHINT</x:v>
      </x:c>
      <x:c r="K336" s="64" t="str">
        <x:v>B18</x:v>
      </x:c>
    </x:row>
    <x:row r="337">
      <x:c r="A337" s="64" t="str">
        <x:v>ЯТП-0,25-220/36 036УХЛ4</x:v>
      </x:c>
      <x:c r="B337" s="94" t="str">
        <x:v>rozetka</x:v>
      </x:c>
      <x:c r="C337" s="100" t="str">
        <x:v>KONTROL-SOCKET36</x:v>
      </x:c>
      <x:c r="D337" s="94" t="str">
        <x:v>Розетка 36V 16A, 2P+PE, IP44</x:v>
      </x:c>
      <x:c r="E337" s="95"/>
      <x:c r="F337" s="95"/>
      <x:c r="G337" s="95" t="str">
        <x:f>IF(OR(F337="",H337=""),"",F337*H337)</x:f>
      </x:c>
      <x:c r="H337" s="96" t="n">
        <x:v>1</x:v>
      </x:c>
      <x:c r="I337" s="94" t="str">
        <x:v> ШТ. </x:v>
      </x:c>
      <x:c r="J337" s="94" t="str">
        <x:v>EKT/IEK</x:v>
      </x:c>
      <x:c r="K337" s="64" t="str">
        <x:v>B18</x:v>
      </x:c>
    </x:row>
    <x:row r="338">
      <x:c r="A338" s="64" t="str">
        <x:v>ЯТП-0,25-220/36 036УХЛ4</x:v>
      </x:c>
      <x:c r="B338" s="94" t="str">
        <x:v>bara</x:v>
      </x:c>
      <x:c r="C338" s="100" t="str">
        <x:v>KONTROL-N</x:v>
      </x:c>
      <x:c r="D338" s="94" t="str">
        <x:v>Шина N изолированная, не менее 12 присоединений</x:v>
      </x:c>
      <x:c r="E338" s="95"/>
      <x:c r="F338" s="95"/>
      <x:c r="G338" s="95" t="str">
        <x:f>IF(OR(F338="",H338=""),"",F338*H338)</x:f>
      </x:c>
      <x:c r="H338" s="96" t="n">
        <x:v>1</x:v>
      </x:c>
      <x:c r="I338" s="94" t="str">
        <x:v> ШТ. </x:v>
      </x:c>
      <x:c r="J338" s="94" t="str">
        <x:v>EKT/Klemsan</x:v>
      </x:c>
      <x:c r="K338" s="64" t="str">
        <x:v>B18</x:v>
      </x:c>
    </x:row>
    <x:row r="339">
      <x:c r="A339" s="64" t="str">
        <x:v>ЯТП-0,25-220/36 036УХЛ4</x:v>
      </x:c>
      <x:c r="B339" s="94" t="str">
        <x:v>bara</x:v>
      </x:c>
      <x:c r="C339" s="100" t="str">
        <x:v>KONTROL-PE</x:v>
      </x:c>
      <x:c r="D339" s="94" t="str">
        <x:v>Шина PE медная, не менее 12 присоединений</x:v>
      </x:c>
      <x:c r="E339" s="95"/>
      <x:c r="F339" s="95"/>
      <x:c r="G339" s="95" t="str">
        <x:f>IF(OR(F339="",H339=""),"",F339*H339)</x:f>
      </x:c>
      <x:c r="H339" s="96" t="n">
        <x:v>1</x:v>
      </x:c>
      <x:c r="I339" s="94" t="str">
        <x:v> ШТ. </x:v>
      </x:c>
      <x:c r="J339" s="94" t="str">
        <x:v>EKT/Klemsan</x:v>
      </x:c>
      <x:c r="K339" s="64" t="str">
        <x:v>B18</x:v>
      </x:c>
    </x:row>
    <x:row r="340">
      <x:c r="A340" s="64" t="str">
        <x:v>ЯТП-0,25-220/36 036УХЛ4</x:v>
      </x:c>
      <x:c r="B340" s="94" t="str">
        <x:v>din</x:v>
      </x:c>
      <x:c r="C340" s="100" t="str">
        <x:v>KONTROL-DIN</x:v>
      </x:c>
      <x:c r="D340" s="94" t="str">
        <x:v>DIN рейка 35 мм, оцинкованная, комплект по габариту</x:v>
      </x:c>
      <x:c r="E340" s="95"/>
      <x:c r="F340" s="95"/>
      <x:c r="G340" s="95" t="str">
        <x:f>IF(OR(F340="",H340=""),"",F340*H340)</x:f>
      </x:c>
      <x:c r="H340" s="96" t="n">
        <x:v>1</x:v>
      </x:c>
      <x:c r="I340" s="94" t="str">
        <x:v> ШТ. </x:v>
      </x:c>
      <x:c r="J340" s="94" t="str">
        <x:v>EKT</x:v>
      </x:c>
      <x:c r="K340" s="64" t="str">
        <x:v>B18</x:v>
      </x:c>
    </x:row>
    <x:row r="341">
      <x:c r="A341" s="64" t="str">
        <x:v>ЯТП-0,25-220/36 036УХЛ4</x:v>
      </x:c>
      <x:c r="B341" s="94" t="str">
        <x:v>kanal</x:v>
      </x:c>
      <x:c r="C341" s="100" t="str">
        <x:v>KONTROL-KK</x:v>
      </x:c>
      <x:c r="D341" s="94" t="str">
        <x:v>Кабельный канал перфорированный, комплект по габариту</x:v>
      </x:c>
      <x:c r="E341" s="95"/>
      <x:c r="F341" s="95"/>
      <x:c r="G341" s="95" t="str">
        <x:f>IF(OR(F341="",H341=""),"",F341*H341)</x:f>
      </x:c>
      <x:c r="H341" s="96" t="n">
        <x:v>1</x:v>
      </x:c>
      <x:c r="I341" s="94" t="str">
        <x:v> ШТ. </x:v>
      </x:c>
      <x:c r="J341" s="94" t="str">
        <x:v>ONKA/EKT</x:v>
      </x:c>
      <x:c r="K341" s="64" t="str">
        <x:v>B18</x:v>
      </x:c>
    </x:row>
    <x:row r="342">
      <x:c r="A342" s="64" t="str">
        <x:v>ЯТП-0,25-220/36 036УХЛ4</x:v>
      </x:c>
      <x:c r="B342" s="94" t="str">
        <x:v>klemens</x:v>
      </x:c>
      <x:c r="C342" s="100" t="str">
        <x:v>KONTROL-KL</x:v>
      </x:c>
      <x:c r="D342" s="94" t="str">
        <x:v>Клеммник 2,5-6 мм² (фаза/N/PE по схеме)</x:v>
      </x:c>
      <x:c r="E342" s="95"/>
      <x:c r="F342" s="95"/>
      <x:c r="G342" s="95" t="str">
        <x:f>IF(OR(F342="",H342=""),"",F342*H342)</x:f>
      </x:c>
      <x:c r="H342" s="96" t="n">
        <x:v>12</x:v>
      </x:c>
      <x:c r="I342" s="94" t="str">
        <x:v> ШТ. </x:v>
      </x:c>
      <x:c r="J342" s="94" t="str">
        <x:v>Klemsan/EKT</x:v>
      </x:c>
      <x:c r="K342" s="64" t="str">
        <x:v>B18</x:v>
      </x:c>
    </x:row>
    <x:row r="343">
      <x:c r="A343" s="64" t="str">
        <x:v>ЯТП-0,25-220/36 036УХЛ4</x:v>
      </x:c>
      <x:c r="B343" s="94" t="str">
        <x:v>kablo</x:v>
      </x:c>
      <x:c r="C343" s="100" t="str">
        <x:v>KONTROL-WIRE</x:v>
      </x:c>
      <x:c r="D343" s="94" t="str">
        <x:v>Внутренняя проводка Harmony + маркировка, комплект</x:v>
      </x:c>
      <x:c r="E343" s="95"/>
      <x:c r="F343" s="95"/>
      <x:c r="G343" s="95" t="str">
        <x:f>IF(OR(F343="",H343=""),"",F343*H343)</x:f>
      </x:c>
      <x:c r="H343" s="96" t="n">
        <x:v>1</x:v>
      </x:c>
      <x:c r="I343" s="94" t="str">
        <x:v> ШТ. </x:v>
      </x:c>
      <x:c r="J343" s="94" t="str">
        <x:v>Harmony</x:v>
      </x:c>
      <x:c r="K343" s="64" t="str">
        <x:v>B18</x:v>
      </x:c>
    </x:row>
    <x:row r="344">
      <x:c r="A344" s="64" t="str">
        <x:v>ЯТП-0,25-220/36 036УХЛ4</x:v>
      </x:c>
      <x:c r="B344" s="64" t="str">
        <x:v>монтажный материал</x:v>
      </x:c>
      <x:c r="C344" s="64" t="str">
        <x:v>монтажный материал</x:v>
      </x:c>
      <x:c r="D344" s="64" t="str">
        <x:v>Монтажный материал</x:v>
      </x:c>
      <x:c r="E344" s="83"/>
      <x:c r="F344" s="83"/>
      <x:c r="G344" s="83" t="str">
        <x:f>IF(OR(F344="",H344=""),"",F344*H344)</x:f>
      </x:c>
      <x:c r="H344" s="89" t="n">
        <x:v>1</x:v>
      </x:c>
      <x:c r="I344" s="64" t="str">
        <x:v>компл.</x:v>
      </x:c>
      <x:c r="J344" s="64" t="str">
        <x:v>TEKLED</x:v>
      </x:c>
      <x:c r="K344" s="64" t="str">
        <x:v>B18</x:v>
      </x:c>
    </x:row>
    <x:row r="345">
      <x:c r="A345" s="64" t="str">
        <x:v>ЯТП-0,25-220/36 036УХЛ4</x:v>
      </x:c>
      <x:c r="B345" s="64" t="str">
        <x:v>монтажные работы</x:v>
      </x:c>
      <x:c r="C345" s="64" t="str">
        <x:v>монтажные работы</x:v>
      </x:c>
      <x:c r="D345" s="64" t="str">
        <x:v>Монтажные работы</x:v>
      </x:c>
      <x:c r="E345" s="83"/>
      <x:c r="F345" s="83"/>
      <x:c r="G345" s="83" t="str">
        <x:f>IF(OR(F345="",H345=""),"",F345*H345)</x:f>
      </x:c>
      <x:c r="H345" s="89" t="n">
        <x:v>1</x:v>
      </x:c>
      <x:c r="I345" s="64" t="str">
        <x:v>компл.</x:v>
      </x:c>
      <x:c r="J345" s="64" t="str">
        <x:v>TEKLED</x:v>
      </x:c>
      <x:c r="K345" s="64" t="str">
        <x:v>B18</x:v>
      </x:c>
    </x:row>
    <x:row r="346">
      <x:c r="A346" s="76" t="str">
        <x:v>ЯТП-0,25-220/36 036УХЛ4</x:v>
      </x:c>
      <x:c r="B346" s="76"/>
      <x:c r="C346" s="76"/>
      <x:c r="D346" s="80" t="str">
        <x:v>ИТОГО на 1 комплект</x:v>
      </x:c>
      <x:c r="E346" s="84"/>
      <x:c r="F346" s="84"/>
      <x:c r="G346" s="84" t="n">
        <x:f>SUM(G333:G345)</x:f>
        <x:v>0</x:v>
      </x:c>
      <x:c r="H346" s="90"/>
      <x:c r="I346" s="76"/>
      <x:c r="J346" s="76"/>
      <x:c r="K346" s="76" t="str">
        <x:v>B18</x:v>
      </x:c>
    </x:row>
    <x:row r="347" ht="24" customHeight="1">
      <x:c r="A347" s="69" t="str">
        <x:v>ГРЩ (В19)</x:v>
      </x:c>
      <x:c r="B347" s="69"/>
      <x:c r="C347" s="69"/>
      <x:c r="D347" s="69" t="str">
        <x:v>ГРЩ (В19)</x:v>
      </x:c>
      <x:c r="E347" s="82"/>
      <x:c r="F347" s="82"/>
      <x:c r="G347" s="82"/>
      <x:c r="H347" s="88" t="n">
        <x:v>1</x:v>
      </x:c>
      <x:c r="I347" s="69" t="str">
        <x:v>комплект</x:v>
      </x:c>
      <x:c r="J347" s="69" t="str">
        <x:v>TEKLED/TEKSAN</x:v>
      </x:c>
      <x:c r="K347" s="69" t="str">
        <x:v>B19</x:v>
      </x:c>
    </x:row>
    <x:row r="348">
      <x:c r="A348" s="64" t="str">
        <x:v>ГРЩ (В19)</x:v>
      </x:c>
      <x:c r="B348" s="64" t="str">
        <x:v>korpus</x:v>
      </x:c>
      <x:c r="C348" s="64" t="str">
        <x:v>714-15050</x:v>
      </x:c>
      <x:c r="D348" s="64" t="str">
        <x:v>Мет. Корпус ЩРН-18 (265x440x120) IP54  (TS)</x:v>
      </x:c>
      <x:c r="E348" s="83" t="n">
        <x:v>9425</x:v>
      </x:c>
      <x:c r="F348" s="83" t="n">
        <x:v>5655</x:v>
      </x:c>
      <x:c r="G348" s="83" t="n">
        <x:f>IF(OR(F348="",H348=""),"",F348*H348)</x:f>
        <x:v>5655</x:v>
      </x:c>
      <x:c r="H348" s="89" t="n">
        <x:v>1</x:v>
      </x:c>
      <x:c r="I348" s="64" t="str">
        <x:v> ШТ. </x:v>
      </x:c>
      <x:c r="J348" s="64" t="str">
        <x:v>teksan f</x:v>
      </x:c>
      <x:c r="K348" s="64" t="str">
        <x:v>B19</x:v>
      </x:c>
    </x:row>
    <x:row r="349">
      <x:c r="A349" s="64" t="str">
        <x:v>ГРЩ (В19)</x:v>
      </x:c>
      <x:c r="B349" s="64" t="str">
        <x:v>oto</x:v>
      </x:c>
      <x:c r="C349" s="64" t="str">
        <x:v>296830</x:v>
      </x:c>
      <x:c r="D349" s="64" t="str">
        <x:v>Авт. выкл. NXB-63S 3P 32А 4.5kA х-ка C (R)</x:v>
      </x:c>
      <x:c r="E349" s="83" t="n">
        <x:v>2606</x:v>
      </x:c>
      <x:c r="F349" s="83" t="n">
        <x:v>1563.6</x:v>
      </x:c>
      <x:c r="G349" s="83" t="n">
        <x:f>IF(OR(F349="",H349=""),"",F349*H349)</x:f>
        <x:v>1563.6</x:v>
      </x:c>
      <x:c r="H349" s="89" t="n">
        <x:v>1</x:v>
      </x:c>
      <x:c r="I349" s="64" t="str">
        <x:v> ШТ. </x:v>
      </x:c>
      <x:c r="J349" s="64" t="str">
        <x:v>chint</x:v>
      </x:c>
      <x:c r="K349" s="64" t="str">
        <x:v>B19</x:v>
      </x:c>
    </x:row>
    <x:row r="350">
      <x:c r="A350" s="64" t="str">
        <x:v>ГРЩ (В19)</x:v>
      </x:c>
      <x:c r="B350" s="64" t="str">
        <x:v>oto</x:v>
      </x:c>
      <x:c r="C350" s="64" t="str">
        <x:v>296829</x:v>
      </x:c>
      <x:c r="D350" s="64" t="str">
        <x:v>Авт. выкл. NXB-63S 3P 25А 4.5kA х-ка C (R)</x:v>
      </x:c>
      <x:c r="E350" s="83" t="n">
        <x:v>2429</x:v>
      </x:c>
      <x:c r="F350" s="83" t="n">
        <x:v>1457.3999999999999</x:v>
      </x:c>
      <x:c r="G350" s="83" t="n">
        <x:f>IF(OR(F350="",H350=""),"",F350*H350)</x:f>
        <x:v>1457.3999999999999</x:v>
      </x:c>
      <x:c r="H350" s="89" t="n">
        <x:v>1</x:v>
      </x:c>
      <x:c r="I350" s="64" t="str">
        <x:v> ШТ. </x:v>
      </x:c>
      <x:c r="J350" s="64" t="str">
        <x:v>chint</x:v>
      </x:c>
      <x:c r="K350" s="64" t="str">
        <x:v>B19</x:v>
      </x:c>
    </x:row>
    <x:row r="351">
      <x:c r="A351" s="64" t="str">
        <x:v>ГРЩ (В19)</x:v>
      </x:c>
      <x:c r="B351" s="64" t="str">
        <x:v>oto</x:v>
      </x:c>
      <x:c r="C351" s="64" t="str">
        <x:v>296827</x:v>
      </x:c>
      <x:c r="D351" s="64" t="str">
        <x:v>Авт. выкл. NXB-63S 3P 16А 4.5kA х-ка C (R)</x:v>
      </x:c>
      <x:c r="E351" s="83" t="n">
        <x:v>2337</x:v>
      </x:c>
      <x:c r="F351" s="83" t="n">
        <x:v>1402.2</x:v>
      </x:c>
      <x:c r="G351" s="83" t="n">
        <x:f>IF(OR(F351="",H351=""),"",F351*H351)</x:f>
        <x:v>2804.4</x:v>
      </x:c>
      <x:c r="H351" s="89" t="n">
        <x:v>2</x:v>
      </x:c>
      <x:c r="I351" s="64" t="str">
        <x:v> ШТ. </x:v>
      </x:c>
      <x:c r="J351" s="64" t="str">
        <x:v>chint</x:v>
      </x:c>
      <x:c r="K351" s="64" t="str">
        <x:v>B19</x:v>
      </x:c>
    </x:row>
    <x:row r="352">
      <x:c r="A352" s="64" t="str">
        <x:v>ГРЩ (В19)</x:v>
      </x:c>
      <x:c r="B352" s="64" t="str">
        <x:v>oto</x:v>
      </x:c>
      <x:c r="C352" s="64" t="str">
        <x:v>814014</x:v>
      </x:c>
      <x:c r="D352" s="64" t="str">
        <x:v>Авт. выкл. NXB-63 1P 16A 6кА х-ка C (R)</x:v>
      </x:c>
      <x:c r="E352" s="83" t="n">
        <x:v>1389</x:v>
      </x:c>
      <x:c r="F352" s="83" t="n">
        <x:v>833.4</x:v>
      </x:c>
      <x:c r="G352" s="83" t="n">
        <x:f>IF(OR(F352="",H352=""),"",F352*H352)</x:f>
        <x:v>2500.2</x:v>
      </x:c>
      <x:c r="H352" s="89" t="n">
        <x:v>3</x:v>
      </x:c>
      <x:c r="I352" s="64" t="str">
        <x:v> ШТ. </x:v>
      </x:c>
      <x:c r="J352" s="64" t="str">
        <x:v>chint</x:v>
      </x:c>
      <x:c r="K352" s="64" t="str">
        <x:v>B19</x:v>
      </x:c>
    </x:row>
    <x:row r="353">
      <x:c r="A353" s="64" t="str">
        <x:v>ГРЩ (В19)</x:v>
      </x:c>
      <x:c r="B353" s="64" t="str">
        <x:v>rn</x:v>
      </x:c>
      <x:c r="C353" s="64" t="str">
        <x:v>814989</x:v>
      </x:c>
      <x:c r="D353" s="64" t="str">
        <x:v>Независимый расцепитель SHT-X1 AC230V/400V для NXB-63 (R)</x:v>
      </x:c>
      <x:c r="E353" s="83" t="n">
        <x:v>5354</x:v>
      </x:c>
      <x:c r="F353" s="83" t="n">
        <x:v>3212.4</x:v>
      </x:c>
      <x:c r="G353" s="83" t="n">
        <x:f>IF(OR(F353="",H353=""),"",F353*H353)</x:f>
        <x:v>3212.4</x:v>
      </x:c>
      <x:c r="H353" s="89" t="n">
        <x:v>1</x:v>
      </x:c>
      <x:c r="I353" s="64" t="str">
        <x:v> ШТ. </x:v>
      </x:c>
      <x:c r="J353" s="64" t="str">
        <x:v>chint</x:v>
      </x:c>
      <x:c r="K353" s="64" t="str">
        <x:v>B19</x:v>
      </x:c>
    </x:row>
    <x:row r="354">
      <x:c r="A354" s="64" t="str">
        <x:v>ГРЩ (В19)</x:v>
      </x:c>
      <x:c r="B354" s="94" t="str">
        <x:v>bara</x:v>
      </x:c>
      <x:c r="C354" s="100" t="str">
        <x:v>KONTROL-N</x:v>
      </x:c>
      <x:c r="D354" s="94" t="str">
        <x:v>Шина N изолированная, не менее 12 присоединений</x:v>
      </x:c>
      <x:c r="E354" s="95"/>
      <x:c r="F354" s="95"/>
      <x:c r="G354" s="95" t="str">
        <x:f>IF(OR(F354="",H354=""),"",F354*H354)</x:f>
      </x:c>
      <x:c r="H354" s="96" t="n">
        <x:v>1</x:v>
      </x:c>
      <x:c r="I354" s="94" t="str">
        <x:v> ШТ. </x:v>
      </x:c>
      <x:c r="J354" s="94" t="str">
        <x:v>EKT/Klemsan</x:v>
      </x:c>
      <x:c r="K354" s="64" t="str">
        <x:v>B19</x:v>
      </x:c>
    </x:row>
    <x:row r="355">
      <x:c r="A355" s="64" t="str">
        <x:v>ГРЩ (В19)</x:v>
      </x:c>
      <x:c r="B355" s="94" t="str">
        <x:v>bara</x:v>
      </x:c>
      <x:c r="C355" s="100" t="str">
        <x:v>KONTROL-PE</x:v>
      </x:c>
      <x:c r="D355" s="94" t="str">
        <x:v>Шина PE медная, не менее 12 присоединений</x:v>
      </x:c>
      <x:c r="E355" s="95"/>
      <x:c r="F355" s="95"/>
      <x:c r="G355" s="95" t="str">
        <x:f>IF(OR(F355="",H355=""),"",F355*H355)</x:f>
      </x:c>
      <x:c r="H355" s="96" t="n">
        <x:v>1</x:v>
      </x:c>
      <x:c r="I355" s="94" t="str">
        <x:v> ШТ. </x:v>
      </x:c>
      <x:c r="J355" s="94" t="str">
        <x:v>EKT/Klemsan</x:v>
      </x:c>
      <x:c r="K355" s="64" t="str">
        <x:v>B19</x:v>
      </x:c>
    </x:row>
    <x:row r="356">
      <x:c r="A356" s="64" t="str">
        <x:v>ГРЩ (В19)</x:v>
      </x:c>
      <x:c r="B356" s="94" t="str">
        <x:v>din</x:v>
      </x:c>
      <x:c r="C356" s="100" t="str">
        <x:v>KONTROL-DIN</x:v>
      </x:c>
      <x:c r="D356" s="94" t="str">
        <x:v>DIN рейка 35 мм, оцинкованная, комплект по габариту</x:v>
      </x:c>
      <x:c r="E356" s="95"/>
      <x:c r="F356" s="95"/>
      <x:c r="G356" s="95" t="str">
        <x:f>IF(OR(F356="",H356=""),"",F356*H356)</x:f>
      </x:c>
      <x:c r="H356" s="96" t="n">
        <x:v>1</x:v>
      </x:c>
      <x:c r="I356" s="94" t="str">
        <x:v> ШТ. </x:v>
      </x:c>
      <x:c r="J356" s="94" t="str">
        <x:v>EKT</x:v>
      </x:c>
      <x:c r="K356" s="64" t="str">
        <x:v>B19</x:v>
      </x:c>
    </x:row>
    <x:row r="357">
      <x:c r="A357" s="64" t="str">
        <x:v>ГРЩ (В19)</x:v>
      </x:c>
      <x:c r="B357" s="94" t="str">
        <x:v>kanal</x:v>
      </x:c>
      <x:c r="C357" s="100" t="str">
        <x:v>KONTROL-KK</x:v>
      </x:c>
      <x:c r="D357" s="94" t="str">
        <x:v>Кабельный канал перфорированный, комплект по габариту</x:v>
      </x:c>
      <x:c r="E357" s="95"/>
      <x:c r="F357" s="95"/>
      <x:c r="G357" s="95" t="str">
        <x:f>IF(OR(F357="",H357=""),"",F357*H357)</x:f>
      </x:c>
      <x:c r="H357" s="96" t="n">
        <x:v>1</x:v>
      </x:c>
      <x:c r="I357" s="94" t="str">
        <x:v> ШТ. </x:v>
      </x:c>
      <x:c r="J357" s="94" t="str">
        <x:v>ONKA/EKT</x:v>
      </x:c>
      <x:c r="K357" s="64" t="str">
        <x:v>B19</x:v>
      </x:c>
    </x:row>
    <x:row r="358">
      <x:c r="A358" s="64" t="str">
        <x:v>ГРЩ (В19)</x:v>
      </x:c>
      <x:c r="B358" s="94" t="str">
        <x:v>klemens</x:v>
      </x:c>
      <x:c r="C358" s="100" t="str">
        <x:v>KONTROL-KL</x:v>
      </x:c>
      <x:c r="D358" s="94" t="str">
        <x:v>Клеммник 2,5-6 мм² (фаза/N/PE по схеме)</x:v>
      </x:c>
      <x:c r="E358" s="95"/>
      <x:c r="F358" s="95"/>
      <x:c r="G358" s="95" t="str">
        <x:f>IF(OR(F358="",H358=""),"",F358*H358)</x:f>
      </x:c>
      <x:c r="H358" s="96" t="n">
        <x:v>20</x:v>
      </x:c>
      <x:c r="I358" s="94" t="str">
        <x:v> ШТ. </x:v>
      </x:c>
      <x:c r="J358" s="94" t="str">
        <x:v>Klemsan/EKT</x:v>
      </x:c>
      <x:c r="K358" s="64" t="str">
        <x:v>B19</x:v>
      </x:c>
    </x:row>
    <x:row r="359">
      <x:c r="A359" s="64" t="str">
        <x:v>ГРЩ (В19)</x:v>
      </x:c>
      <x:c r="B359" s="94" t="str">
        <x:v>kablo</x:v>
      </x:c>
      <x:c r="C359" s="100" t="str">
        <x:v>KONTROL-WIRE</x:v>
      </x:c>
      <x:c r="D359" s="94" t="str">
        <x:v>Внутренняя проводка Harmony + маркировка, комплект</x:v>
      </x:c>
      <x:c r="E359" s="95"/>
      <x:c r="F359" s="95"/>
      <x:c r="G359" s="95" t="str">
        <x:f>IF(OR(F359="",H359=""),"",F359*H359)</x:f>
      </x:c>
      <x:c r="H359" s="96" t="n">
        <x:v>1</x:v>
      </x:c>
      <x:c r="I359" s="94" t="str">
        <x:v> ШТ. </x:v>
      </x:c>
      <x:c r="J359" s="94" t="str">
        <x:v>Harmony</x:v>
      </x:c>
      <x:c r="K359" s="64" t="str">
        <x:v>B19</x:v>
      </x:c>
    </x:row>
    <x:row r="360">
      <x:c r="A360" s="64" t="str">
        <x:v>ГРЩ (В19)</x:v>
      </x:c>
      <x:c r="B360" s="64" t="str">
        <x:v>монтажный материал</x:v>
      </x:c>
      <x:c r="C360" s="64" t="str">
        <x:v>монтажный материал</x:v>
      </x:c>
      <x:c r="D360" s="64" t="str">
        <x:v>Монтажный материал</x:v>
      </x:c>
      <x:c r="E360" s="83"/>
      <x:c r="F360" s="83"/>
      <x:c r="G360" s="83" t="str">
        <x:f>IF(OR(F360="",H360=""),"",F360*H360)</x:f>
      </x:c>
      <x:c r="H360" s="89" t="n">
        <x:v>1</x:v>
      </x:c>
      <x:c r="I360" s="64" t="str">
        <x:v>компл.</x:v>
      </x:c>
      <x:c r="J360" s="64" t="str">
        <x:v>TEKLED</x:v>
      </x:c>
      <x:c r="K360" s="64" t="str">
        <x:v>B19</x:v>
      </x:c>
    </x:row>
    <x:row r="361">
      <x:c r="A361" s="64" t="str">
        <x:v>ГРЩ (В19)</x:v>
      </x:c>
      <x:c r="B361" s="64" t="str">
        <x:v>монтажные работы</x:v>
      </x:c>
      <x:c r="C361" s="64" t="str">
        <x:v>монтажные работы</x:v>
      </x:c>
      <x:c r="D361" s="64" t="str">
        <x:v>Монтажные работы</x:v>
      </x:c>
      <x:c r="E361" s="83"/>
      <x:c r="F361" s="83"/>
      <x:c r="G361" s="83" t="str">
        <x:f>IF(OR(F361="",H361=""),"",F361*H361)</x:f>
      </x:c>
      <x:c r="H361" s="89" t="n">
        <x:v>1</x:v>
      </x:c>
      <x:c r="I361" s="64" t="str">
        <x:v>компл.</x:v>
      </x:c>
      <x:c r="J361" s="64" t="str">
        <x:v>TEKLED</x:v>
      </x:c>
      <x:c r="K361" s="64" t="str">
        <x:v>B19</x:v>
      </x:c>
    </x:row>
    <x:row r="362">
      <x:c r="A362" s="76" t="str">
        <x:v>ГРЩ (В19)</x:v>
      </x:c>
      <x:c r="B362" s="76"/>
      <x:c r="C362" s="76"/>
      <x:c r="D362" s="80" t="str">
        <x:v>ИТОГО на 1 комплект</x:v>
      </x:c>
      <x:c r="E362" s="84"/>
      <x:c r="F362" s="84"/>
      <x:c r="G362" s="84" t="n">
        <x:f>SUM(G348:G361)</x:f>
        <x:v>17193</x:v>
      </x:c>
      <x:c r="H362" s="90"/>
      <x:c r="I362" s="76"/>
      <x:c r="J362" s="76"/>
      <x:c r="K362" s="76" t="str">
        <x:v>B19</x:v>
      </x:c>
    </x:row>
    <x:row r="363" ht="24" customHeight="1">
      <x:c r="A363" s="69" t="str">
        <x:v>РПВ (В19)</x:v>
      </x:c>
      <x:c r="B363" s="69"/>
      <x:c r="C363" s="69"/>
      <x:c r="D363" s="69" t="str">
        <x:v>РПВ (В19)</x:v>
      </x:c>
      <x:c r="E363" s="82"/>
      <x:c r="F363" s="82"/>
      <x:c r="G363" s="82"/>
      <x:c r="H363" s="88" t="n">
        <x:v>1</x:v>
      </x:c>
      <x:c r="I363" s="69" t="str">
        <x:v>комплект</x:v>
      </x:c>
      <x:c r="J363" s="69" t="str">
        <x:v>TEKLED/TEKSAN</x:v>
      </x:c>
      <x:c r="K363" s="69" t="str">
        <x:v>B19</x:v>
      </x:c>
    </x:row>
    <x:row r="364">
      <x:c r="A364" s="64" t="str">
        <x:v>РПВ (В19)</x:v>
      </x:c>
      <x:c r="B364" s="64" t="str">
        <x:v>korpus</x:v>
      </x:c>
      <x:c r="C364" s="64" t="str">
        <x:v>714-15055</x:v>
      </x:c>
      <x:c r="D364" s="64" t="str">
        <x:v>Мет. Корпус ЩРН-12 (265x310x120) IP54  (TS)</x:v>
      </x:c>
      <x:c r="E364" s="83" t="n">
        <x:v>7650</x:v>
      </x:c>
      <x:c r="F364" s="83" t="n">
        <x:v>4590</x:v>
      </x:c>
      <x:c r="G364" s="83" t="n">
        <x:f>IF(OR(F364="",H364=""),"",F364*H364)</x:f>
        <x:v>4590</x:v>
      </x:c>
      <x:c r="H364" s="89" t="n">
        <x:v>1</x:v>
      </x:c>
      <x:c r="I364" s="64" t="str">
        <x:v> ШТ. </x:v>
      </x:c>
      <x:c r="J364" s="64" t="str">
        <x:v>teksan f</x:v>
      </x:c>
      <x:c r="K364" s="64" t="str">
        <x:v>B19</x:v>
      </x:c>
    </x:row>
    <x:row r="365">
      <x:c r="A365" s="64" t="str">
        <x:v>РПВ (В19)</x:v>
      </x:c>
      <x:c r="B365" s="64" t="str">
        <x:v>oto</x:v>
      </x:c>
      <x:c r="C365" s="64" t="str">
        <x:v>296828</x:v>
      </x:c>
      <x:c r="D365" s="64" t="str">
        <x:v>Авт. выкл. NXB-63S 3P 20А 4.5kA х-ка C (R)</x:v>
      </x:c>
      <x:c r="E365" s="83" t="n">
        <x:v>2499</x:v>
      </x:c>
      <x:c r="F365" s="83" t="n">
        <x:v>1499.3999999999999</x:v>
      </x:c>
      <x:c r="G365" s="83" t="n">
        <x:f>IF(OR(F365="",H365=""),"",F365*H365)</x:f>
        <x:v>1499.3999999999999</x:v>
      </x:c>
      <x:c r="H365" s="89" t="n">
        <x:v>1</x:v>
      </x:c>
      <x:c r="I365" s="64" t="str">
        <x:v> ШТ. </x:v>
      </x:c>
      <x:c r="J365" s="64" t="str">
        <x:v>chint</x:v>
      </x:c>
      <x:c r="K365" s="64" t="str">
        <x:v>B19</x:v>
      </x:c>
    </x:row>
    <x:row r="366">
      <x:c r="A366" s="64" t="str">
        <x:v>РПВ (В19)</x:v>
      </x:c>
      <x:c r="B366" s="64" t="str">
        <x:v>oto</x:v>
      </x:c>
      <x:c r="C366" s="64" t="str">
        <x:v>296827</x:v>
      </x:c>
      <x:c r="D366" s="64" t="str">
        <x:v>Авт. выкл. NXB-63S 3P 16А 4.5kA х-ка C (R)</x:v>
      </x:c>
      <x:c r="E366" s="83" t="n">
        <x:v>2337</x:v>
      </x:c>
      <x:c r="F366" s="83" t="n">
        <x:v>1402.2</x:v>
      </x:c>
      <x:c r="G366" s="83" t="n">
        <x:f>IF(OR(F366="",H366=""),"",F366*H366)</x:f>
        <x:v>1402.2</x:v>
      </x:c>
      <x:c r="H366" s="89" t="n">
        <x:v>1</x:v>
      </x:c>
      <x:c r="I366" s="64" t="str">
        <x:v> ШТ. </x:v>
      </x:c>
      <x:c r="J366" s="64" t="str">
        <x:v>chint</x:v>
      </x:c>
      <x:c r="K366" s="64" t="str">
        <x:v>B19</x:v>
      </x:c>
    </x:row>
    <x:row r="367">
      <x:c r="A367" s="64" t="str">
        <x:v>РПВ (В19)</x:v>
      </x:c>
      <x:c r="B367" s="64" t="str">
        <x:v>oto</x:v>
      </x:c>
      <x:c r="C367" s="64" t="str">
        <x:v>814014</x:v>
      </x:c>
      <x:c r="D367" s="64" t="str">
        <x:v>Авт. выкл. NXB-63 1P 16A 6кА х-ка C (R)</x:v>
      </x:c>
      <x:c r="E367" s="83" t="n">
        <x:v>1389</x:v>
      </x:c>
      <x:c r="F367" s="83" t="n">
        <x:v>833.4</x:v>
      </x:c>
      <x:c r="G367" s="83" t="n">
        <x:f>IF(OR(F367="",H367=""),"",F367*H367)</x:f>
        <x:v>2500.2</x:v>
      </x:c>
      <x:c r="H367" s="89" t="n">
        <x:v>3</x:v>
      </x:c>
      <x:c r="I367" s="64" t="str">
        <x:v> ШТ. </x:v>
      </x:c>
      <x:c r="J367" s="64" t="str">
        <x:v>chint</x:v>
      </x:c>
      <x:c r="K367" s="64" t="str">
        <x:v>B19</x:v>
      </x:c>
    </x:row>
    <x:row r="368">
      <x:c r="A368" s="64" t="str">
        <x:v>РПВ (В19)</x:v>
      </x:c>
      <x:c r="B368" s="94" t="str">
        <x:v>bara</x:v>
      </x:c>
      <x:c r="C368" s="100" t="str">
        <x:v>KONTROL-N</x:v>
      </x:c>
      <x:c r="D368" s="94" t="str">
        <x:v>Шина N изолированная, не менее 12 присоединений</x:v>
      </x:c>
      <x:c r="E368" s="95"/>
      <x:c r="F368" s="95"/>
      <x:c r="G368" s="95" t="str">
        <x:f>IF(OR(F368="",H368=""),"",F368*H368)</x:f>
      </x:c>
      <x:c r="H368" s="96" t="n">
        <x:v>1</x:v>
      </x:c>
      <x:c r="I368" s="94" t="str">
        <x:v> ШТ. </x:v>
      </x:c>
      <x:c r="J368" s="94" t="str">
        <x:v>EKT/Klemsan</x:v>
      </x:c>
      <x:c r="K368" s="64" t="str">
        <x:v>B19</x:v>
      </x:c>
    </x:row>
    <x:row r="369">
      <x:c r="A369" s="64" t="str">
        <x:v>РПВ (В19)</x:v>
      </x:c>
      <x:c r="B369" s="94" t="str">
        <x:v>bara</x:v>
      </x:c>
      <x:c r="C369" s="100" t="str">
        <x:v>KONTROL-PE</x:v>
      </x:c>
      <x:c r="D369" s="94" t="str">
        <x:v>Шина PE медная, не менее 12 присоединений</x:v>
      </x:c>
      <x:c r="E369" s="95"/>
      <x:c r="F369" s="95"/>
      <x:c r="G369" s="95" t="str">
        <x:f>IF(OR(F369="",H369=""),"",F369*H369)</x:f>
      </x:c>
      <x:c r="H369" s="96" t="n">
        <x:v>1</x:v>
      </x:c>
      <x:c r="I369" s="94" t="str">
        <x:v> ШТ. </x:v>
      </x:c>
      <x:c r="J369" s="94" t="str">
        <x:v>EKT/Klemsan</x:v>
      </x:c>
      <x:c r="K369" s="64" t="str">
        <x:v>B19</x:v>
      </x:c>
    </x:row>
    <x:row r="370">
      <x:c r="A370" s="64" t="str">
        <x:v>РПВ (В19)</x:v>
      </x:c>
      <x:c r="B370" s="94" t="str">
        <x:v>din</x:v>
      </x:c>
      <x:c r="C370" s="100" t="str">
        <x:v>KONTROL-DIN</x:v>
      </x:c>
      <x:c r="D370" s="94" t="str">
        <x:v>DIN рейка 35 мм, оцинкованная, комплект по габариту</x:v>
      </x:c>
      <x:c r="E370" s="95"/>
      <x:c r="F370" s="95"/>
      <x:c r="G370" s="95" t="str">
        <x:f>IF(OR(F370="",H370=""),"",F370*H370)</x:f>
      </x:c>
      <x:c r="H370" s="96" t="n">
        <x:v>1</x:v>
      </x:c>
      <x:c r="I370" s="94" t="str">
        <x:v> ШТ. </x:v>
      </x:c>
      <x:c r="J370" s="94" t="str">
        <x:v>EKT</x:v>
      </x:c>
      <x:c r="K370" s="64" t="str">
        <x:v>B19</x:v>
      </x:c>
    </x:row>
    <x:row r="371">
      <x:c r="A371" s="64" t="str">
        <x:v>РПВ (В19)</x:v>
      </x:c>
      <x:c r="B371" s="94" t="str">
        <x:v>kanal</x:v>
      </x:c>
      <x:c r="C371" s="100" t="str">
        <x:v>KONTROL-KK</x:v>
      </x:c>
      <x:c r="D371" s="94" t="str">
        <x:v>Кабельный канал перфорированный, комплект по габариту</x:v>
      </x:c>
      <x:c r="E371" s="95"/>
      <x:c r="F371" s="95"/>
      <x:c r="G371" s="95" t="str">
        <x:f>IF(OR(F371="",H371=""),"",F371*H371)</x:f>
      </x:c>
      <x:c r="H371" s="96" t="n">
        <x:v>1</x:v>
      </x:c>
      <x:c r="I371" s="94" t="str">
        <x:v> ШТ. </x:v>
      </x:c>
      <x:c r="J371" s="94" t="str">
        <x:v>ONKA/EKT</x:v>
      </x:c>
      <x:c r="K371" s="64" t="str">
        <x:v>B19</x:v>
      </x:c>
    </x:row>
    <x:row r="372">
      <x:c r="A372" s="64" t="str">
        <x:v>РПВ (В19)</x:v>
      </x:c>
      <x:c r="B372" s="94" t="str">
        <x:v>klemens</x:v>
      </x:c>
      <x:c r="C372" s="100" t="str">
        <x:v>KONTROL-KL</x:v>
      </x:c>
      <x:c r="D372" s="94" t="str">
        <x:v>Клеммник 2,5-6 мм² (фаза/N/PE по схеме)</x:v>
      </x:c>
      <x:c r="E372" s="95"/>
      <x:c r="F372" s="95"/>
      <x:c r="G372" s="95" t="str">
        <x:f>IF(OR(F372="",H372=""),"",F372*H372)</x:f>
      </x:c>
      <x:c r="H372" s="96" t="n">
        <x:v>14</x:v>
      </x:c>
      <x:c r="I372" s="94" t="str">
        <x:v> ШТ. </x:v>
      </x:c>
      <x:c r="J372" s="94" t="str">
        <x:v>Klemsan/EKT</x:v>
      </x:c>
      <x:c r="K372" s="64" t="str">
        <x:v>B19</x:v>
      </x:c>
    </x:row>
    <x:row r="373">
      <x:c r="A373" s="64" t="str">
        <x:v>РПВ (В19)</x:v>
      </x:c>
      <x:c r="B373" s="94" t="str">
        <x:v>kablo</x:v>
      </x:c>
      <x:c r="C373" s="100" t="str">
        <x:v>KONTROL-WIRE</x:v>
      </x:c>
      <x:c r="D373" s="94" t="str">
        <x:v>Внутренняя проводка Harmony + маркировка, комплект</x:v>
      </x:c>
      <x:c r="E373" s="95"/>
      <x:c r="F373" s="95"/>
      <x:c r="G373" s="95" t="str">
        <x:f>IF(OR(F373="",H373=""),"",F373*H373)</x:f>
      </x:c>
      <x:c r="H373" s="96" t="n">
        <x:v>1</x:v>
      </x:c>
      <x:c r="I373" s="94" t="str">
        <x:v> ШТ. </x:v>
      </x:c>
      <x:c r="J373" s="94" t="str">
        <x:v>Harmony</x:v>
      </x:c>
      <x:c r="K373" s="64" t="str">
        <x:v>B19</x:v>
      </x:c>
    </x:row>
    <x:row r="374">
      <x:c r="A374" s="64" t="str">
        <x:v>РПВ (В19)</x:v>
      </x:c>
      <x:c r="B374" s="64" t="str">
        <x:v>монтажный материал</x:v>
      </x:c>
      <x:c r="C374" s="64" t="str">
        <x:v>монтажный материал</x:v>
      </x:c>
      <x:c r="D374" s="64" t="str">
        <x:v>Монтажный материал</x:v>
      </x:c>
      <x:c r="E374" s="83"/>
      <x:c r="F374" s="83"/>
      <x:c r="G374" s="83" t="str">
        <x:f>IF(OR(F374="",H374=""),"",F374*H374)</x:f>
      </x:c>
      <x:c r="H374" s="89" t="n">
        <x:v>1</x:v>
      </x:c>
      <x:c r="I374" s="64" t="str">
        <x:v>компл.</x:v>
      </x:c>
      <x:c r="J374" s="64" t="str">
        <x:v>TEKLED</x:v>
      </x:c>
      <x:c r="K374" s="64" t="str">
        <x:v>B19</x:v>
      </x:c>
    </x:row>
    <x:row r="375">
      <x:c r="A375" s="64" t="str">
        <x:v>РПВ (В19)</x:v>
      </x:c>
      <x:c r="B375" s="64" t="str">
        <x:v>монтажные работы</x:v>
      </x:c>
      <x:c r="C375" s="64" t="str">
        <x:v>монтажные работы</x:v>
      </x:c>
      <x:c r="D375" s="64" t="str">
        <x:v>Монтажные работы</x:v>
      </x:c>
      <x:c r="E375" s="83"/>
      <x:c r="F375" s="83"/>
      <x:c r="G375" s="83" t="str">
        <x:f>IF(OR(F375="",H375=""),"",F375*H375)</x:f>
      </x:c>
      <x:c r="H375" s="89" t="n">
        <x:v>1</x:v>
      </x:c>
      <x:c r="I375" s="64" t="str">
        <x:v>компл.</x:v>
      </x:c>
      <x:c r="J375" s="64" t="str">
        <x:v>TEKLED</x:v>
      </x:c>
      <x:c r="K375" s="64" t="str">
        <x:v>B19</x:v>
      </x:c>
    </x:row>
    <x:row r="376">
      <x:c r="A376" s="76" t="str">
        <x:v>РПВ (В19)</x:v>
      </x:c>
      <x:c r="B376" s="76"/>
      <x:c r="C376" s="76"/>
      <x:c r="D376" s="80" t="str">
        <x:v>ИТОГО на 1 комплект</x:v>
      </x:c>
      <x:c r="E376" s="84"/>
      <x:c r="F376" s="84"/>
      <x:c r="G376" s="84" t="n">
        <x:f>SUM(G364:G375)</x:f>
        <x:v>9991.8</x:v>
      </x:c>
      <x:c r="H376" s="90"/>
      <x:c r="I376" s="76"/>
      <x:c r="J376" s="76"/>
      <x:c r="K376" s="76" t="str">
        <x:v>B19</x:v>
      </x:c>
    </x:row>
    <x:row r="377" ht="24" customHeight="1">
      <x:c r="A377" s="69" t="str">
        <x:v>ЯВЗ-31-IP54 УХЛ2 100А</x:v>
      </x:c>
      <x:c r="B377" s="69"/>
      <x:c r="C377" s="69"/>
      <x:c r="D377" s="69" t="str">
        <x:v>ЯВЗ-31-IP54 УХЛ2 100А</x:v>
      </x:c>
      <x:c r="E377" s="82"/>
      <x:c r="F377" s="82"/>
      <x:c r="G377" s="82"/>
      <x:c r="H377" s="88" t="n">
        <x:v>1</x:v>
      </x:c>
      <x:c r="I377" s="69" t="str">
        <x:v>комплект</x:v>
      </x:c>
      <x:c r="J377" s="69" t="str">
        <x:v>TEKLED/TEKSAN</x:v>
      </x:c>
      <x:c r="K377" s="69" t="str">
        <x:v>B19</x:v>
      </x:c>
    </x:row>
    <x:row r="378">
      <x:c r="A378" s="64" t="str">
        <x:v>ЯВЗ-31-IP54 УХЛ2 100А</x:v>
      </x:c>
      <x:c r="B378" s="64" t="str">
        <x:v>korpus</x:v>
      </x:c>
      <x:c r="C378" s="64" t="str">
        <x:v>719-15043</x:v>
      </x:c>
      <x:c r="D378" s="64" t="str">
        <x:v>450*240*175</x:v>
      </x:c>
      <x:c r="E378" s="83"/>
      <x:c r="F378" s="83" t="n">
        <x:v>0</x:v>
      </x:c>
      <x:c r="G378" s="83" t="str">
        <x:f>IF(OR(F378="",H378=""),"",F378*H378)</x:f>
      </x:c>
      <x:c r="H378" s="89" t="n">
        <x:v>1</x:v>
      </x:c>
      <x:c r="I378" s="64" t="str">
        <x:v> ШТ. </x:v>
      </x:c>
      <x:c r="J378" s="64" t="str">
        <x:v>teksan f</x:v>
      </x:c>
      <x:c r="K378" s="64" t="str">
        <x:v>B19</x:v>
      </x:c>
    </x:row>
    <x:row r="379">
      <x:c r="A379" s="64" t="str">
        <x:v>ЯВЗ-31-IP54 УХЛ2 100А</x:v>
      </x:c>
      <x:c r="B379" s="94" t="str">
        <x:v>rubilnik</x:v>
      </x:c>
      <x:c r="C379" s="100" t="str">
        <x:v>KONTROL-NH40-125-3W</x:v>
      </x:c>
      <x:c r="D379" s="94" t="str">
        <x:v>Выключатель-разъединитель CHINT NH40-125/3W, 100A, рукоятка на дверь</x:v>
      </x:c>
      <x:c r="E379" s="95"/>
      <x:c r="F379" s="95"/>
      <x:c r="G379" s="95" t="str">
        <x:f>IF(OR(F379="",H379=""),"",F379*H379)</x:f>
      </x:c>
      <x:c r="H379" s="96" t="n">
        <x:v>1</x:v>
      </x:c>
      <x:c r="I379" s="94" t="str">
        <x:v> ШТ. </x:v>
      </x:c>
      <x:c r="J379" s="94" t="str">
        <x:v>CHINT</x:v>
      </x:c>
      <x:c r="K379" s="64" t="str">
        <x:v>B19</x:v>
      </x:c>
    </x:row>
    <x:row r="380">
      <x:c r="A380" s="64" t="str">
        <x:v>ЯВЗ-31-IP54 УХЛ2 100А</x:v>
      </x:c>
      <x:c r="B380" s="64" t="str">
        <x:v>ppn</x:v>
      </x:c>
      <x:c r="C380" s="64" t="str">
        <x:v>521349</x:v>
      </x:c>
      <x:c r="D380" s="64" t="str">
        <x:v>Плавкая вставка предохранителя RT36-00-160, габарит 00, 100А</x:v>
      </x:c>
      <x:c r="E380" s="83" t="n">
        <x:v>1545</x:v>
      </x:c>
      <x:c r="F380" s="83" t="n">
        <x:v>927</x:v>
      </x:c>
      <x:c r="G380" s="83" t="n">
        <x:f>IF(OR(F380="",H380=""),"",F380*H380)</x:f>
        <x:v>2781</x:v>
      </x:c>
      <x:c r="H380" s="89" t="n">
        <x:v>3</x:v>
      </x:c>
      <x:c r="I380" s="64" t="str">
        <x:v> ШТ. </x:v>
      </x:c>
      <x:c r="J380" s="64" t="str">
        <x:v>chint</x:v>
      </x:c>
      <x:c r="K380" s="64" t="str">
        <x:v>B19</x:v>
      </x:c>
    </x:row>
    <x:row r="381">
      <x:c r="A381" s="64" t="str">
        <x:v>ЯВЗ-31-IP54 УХЛ2 100А</x:v>
      </x:c>
      <x:c r="B381" s="64" t="str">
        <x:v>ppn</x:v>
      </x:c>
      <x:c r="C381" s="64" t="str">
        <x:v>521260</x:v>
      </x:c>
      <x:c r="D381" s="64" t="str">
        <x:v>Держатель плавкой вставки RT36-00-160, габарит 00, 160А</x:v>
      </x:c>
      <x:c r="E381" s="83" t="n">
        <x:v>2038</x:v>
      </x:c>
      <x:c r="F381" s="83" t="n">
        <x:v>1222.8</x:v>
      </x:c>
      <x:c r="G381" s="83" t="n">
        <x:f>IF(OR(F381="",H381=""),"",F381*H381)</x:f>
        <x:v>3668.3999999999996</x:v>
      </x:c>
      <x:c r="H381" s="89" t="n">
        <x:v>3</x:v>
      </x:c>
      <x:c r="I381" s="64" t="str">
        <x:v> ШТ. </x:v>
      </x:c>
      <x:c r="J381" s="64" t="str">
        <x:v>chint</x:v>
      </x:c>
      <x:c r="K381" s="64" t="str">
        <x:v>B19</x:v>
      </x:c>
    </x:row>
    <x:row r="382">
      <x:c r="A382" s="64" t="str">
        <x:v>ЯВЗ-31-IP54 УХЛ2 100А</x:v>
      </x:c>
      <x:c r="B382" s="94" t="str">
        <x:v>bara</x:v>
      </x:c>
      <x:c r="C382" s="100" t="str">
        <x:v>KONTROL-N</x:v>
      </x:c>
      <x:c r="D382" s="94" t="str">
        <x:v>Шина N изолированная, не менее 12 присоединений</x:v>
      </x:c>
      <x:c r="E382" s="95"/>
      <x:c r="F382" s="95"/>
      <x:c r="G382" s="95" t="str">
        <x:f>IF(OR(F382="",H382=""),"",F382*H382)</x:f>
      </x:c>
      <x:c r="H382" s="96" t="n">
        <x:v>1</x:v>
      </x:c>
      <x:c r="I382" s="94" t="str">
        <x:v> ШТ. </x:v>
      </x:c>
      <x:c r="J382" s="94" t="str">
        <x:v>EKT/Klemsan</x:v>
      </x:c>
      <x:c r="K382" s="64" t="str">
        <x:v>B19</x:v>
      </x:c>
    </x:row>
    <x:row r="383">
      <x:c r="A383" s="64" t="str">
        <x:v>ЯВЗ-31-IP54 УХЛ2 100А</x:v>
      </x:c>
      <x:c r="B383" s="94" t="str">
        <x:v>bara</x:v>
      </x:c>
      <x:c r="C383" s="100" t="str">
        <x:v>KONTROL-PE</x:v>
      </x:c>
      <x:c r="D383" s="94" t="str">
        <x:v>Шина PE медная, не менее 12 присоединений</x:v>
      </x:c>
      <x:c r="E383" s="95"/>
      <x:c r="F383" s="95"/>
      <x:c r="G383" s="95" t="str">
        <x:f>IF(OR(F383="",H383=""),"",F383*H383)</x:f>
      </x:c>
      <x:c r="H383" s="96" t="n">
        <x:v>1</x:v>
      </x:c>
      <x:c r="I383" s="94" t="str">
        <x:v> ШТ. </x:v>
      </x:c>
      <x:c r="J383" s="94" t="str">
        <x:v>EKT/Klemsan</x:v>
      </x:c>
      <x:c r="K383" s="64" t="str">
        <x:v>B19</x:v>
      </x:c>
    </x:row>
    <x:row r="384">
      <x:c r="A384" s="64" t="str">
        <x:v>ЯВЗ-31-IP54 УХЛ2 100А</x:v>
      </x:c>
      <x:c r="B384" s="94" t="str">
        <x:v>din</x:v>
      </x:c>
      <x:c r="C384" s="100" t="str">
        <x:v>KONTROL-DIN</x:v>
      </x:c>
      <x:c r="D384" s="94" t="str">
        <x:v>DIN рейка 35 мм, оцинкованная, комплект по габариту</x:v>
      </x:c>
      <x:c r="E384" s="95"/>
      <x:c r="F384" s="95"/>
      <x:c r="G384" s="95" t="str">
        <x:f>IF(OR(F384="",H384=""),"",F384*H384)</x:f>
      </x:c>
      <x:c r="H384" s="96" t="n">
        <x:v>1</x:v>
      </x:c>
      <x:c r="I384" s="94" t="str">
        <x:v> ШТ. </x:v>
      </x:c>
      <x:c r="J384" s="94" t="str">
        <x:v>EKT</x:v>
      </x:c>
      <x:c r="K384" s="64" t="str">
        <x:v>B19</x:v>
      </x:c>
    </x:row>
    <x:row r="385">
      <x:c r="A385" s="64" t="str">
        <x:v>ЯВЗ-31-IP54 УХЛ2 100А</x:v>
      </x:c>
      <x:c r="B385" s="94" t="str">
        <x:v>kanal</x:v>
      </x:c>
      <x:c r="C385" s="100" t="str">
        <x:v>KONTROL-KK</x:v>
      </x:c>
      <x:c r="D385" s="94" t="str">
        <x:v>Кабельный канал перфорированный, комплект по габариту</x:v>
      </x:c>
      <x:c r="E385" s="95"/>
      <x:c r="F385" s="95"/>
      <x:c r="G385" s="95" t="str">
        <x:f>IF(OR(F385="",H385=""),"",F385*H385)</x:f>
      </x:c>
      <x:c r="H385" s="96" t="n">
        <x:v>1</x:v>
      </x:c>
      <x:c r="I385" s="94" t="str">
        <x:v> ШТ. </x:v>
      </x:c>
      <x:c r="J385" s="94" t="str">
        <x:v>ONKA/EKT</x:v>
      </x:c>
      <x:c r="K385" s="64" t="str">
        <x:v>B19</x:v>
      </x:c>
    </x:row>
    <x:row r="386">
      <x:c r="A386" s="64" t="str">
        <x:v>ЯВЗ-31-IP54 УХЛ2 100А</x:v>
      </x:c>
      <x:c r="B386" s="94" t="str">
        <x:v>klemens</x:v>
      </x:c>
      <x:c r="C386" s="100" t="str">
        <x:v>KONTROL-KL</x:v>
      </x:c>
      <x:c r="D386" s="94" t="str">
        <x:v>Клеммник 2,5-6 мм² (фаза/N/PE по схеме)</x:v>
      </x:c>
      <x:c r="E386" s="95"/>
      <x:c r="F386" s="95"/>
      <x:c r="G386" s="95" t="str">
        <x:f>IF(OR(F386="",H386=""),"",F386*H386)</x:f>
      </x:c>
      <x:c r="H386" s="96" t="n">
        <x:v>18</x:v>
      </x:c>
      <x:c r="I386" s="94" t="str">
        <x:v> ШТ. </x:v>
      </x:c>
      <x:c r="J386" s="94" t="str">
        <x:v>Klemsan/EKT</x:v>
      </x:c>
      <x:c r="K386" s="64" t="str">
        <x:v>B19</x:v>
      </x:c>
    </x:row>
    <x:row r="387">
      <x:c r="A387" s="64" t="str">
        <x:v>ЯВЗ-31-IP54 УХЛ2 100А</x:v>
      </x:c>
      <x:c r="B387" s="94" t="str">
        <x:v>kablo</x:v>
      </x:c>
      <x:c r="C387" s="100" t="str">
        <x:v>KONTROL-WIRE</x:v>
      </x:c>
      <x:c r="D387" s="94" t="str">
        <x:v>Внутренняя проводка Harmony + маркировка, комплект</x:v>
      </x:c>
      <x:c r="E387" s="95"/>
      <x:c r="F387" s="95"/>
      <x:c r="G387" s="95" t="str">
        <x:f>IF(OR(F387="",H387=""),"",F387*H387)</x:f>
      </x:c>
      <x:c r="H387" s="96" t="n">
        <x:v>1</x:v>
      </x:c>
      <x:c r="I387" s="94" t="str">
        <x:v> ШТ. </x:v>
      </x:c>
      <x:c r="J387" s="94" t="str">
        <x:v>Harmony</x:v>
      </x:c>
      <x:c r="K387" s="64" t="str">
        <x:v>B19</x:v>
      </x:c>
    </x:row>
    <x:row r="388">
      <x:c r="A388" s="64" t="str">
        <x:v>ЯВЗ-31-IP54 УХЛ2 100А</x:v>
      </x:c>
      <x:c r="B388" s="64" t="str">
        <x:v>монтажный материал</x:v>
      </x:c>
      <x:c r="C388" s="64" t="str">
        <x:v>монтажный материал</x:v>
      </x:c>
      <x:c r="D388" s="64" t="str">
        <x:v>Монтажный материал</x:v>
      </x:c>
      <x:c r="E388" s="83"/>
      <x:c r="F388" s="83"/>
      <x:c r="G388" s="83" t="str">
        <x:f>IF(OR(F388="",H388=""),"",F388*H388)</x:f>
      </x:c>
      <x:c r="H388" s="89" t="n">
        <x:v>1</x:v>
      </x:c>
      <x:c r="I388" s="64" t="str">
        <x:v>компл.</x:v>
      </x:c>
      <x:c r="J388" s="64" t="str">
        <x:v>TEKLED</x:v>
      </x:c>
      <x:c r="K388" s="64" t="str">
        <x:v>B19</x:v>
      </x:c>
    </x:row>
    <x:row r="389">
      <x:c r="A389" s="64" t="str">
        <x:v>ЯВЗ-31-IP54 УХЛ2 100А</x:v>
      </x:c>
      <x:c r="B389" s="64" t="str">
        <x:v>монтажные работы</x:v>
      </x:c>
      <x:c r="C389" s="64" t="str">
        <x:v>монтажные работы</x:v>
      </x:c>
      <x:c r="D389" s="64" t="str">
        <x:v>Монтажные работы</x:v>
      </x:c>
      <x:c r="E389" s="83"/>
      <x:c r="F389" s="83"/>
      <x:c r="G389" s="83" t="str">
        <x:f>IF(OR(F389="",H389=""),"",F389*H389)</x:f>
      </x:c>
      <x:c r="H389" s="89" t="n">
        <x:v>1</x:v>
      </x:c>
      <x:c r="I389" s="64" t="str">
        <x:v>компл.</x:v>
      </x:c>
      <x:c r="J389" s="64" t="str">
        <x:v>TEKLED</x:v>
      </x:c>
      <x:c r="K389" s="64" t="str">
        <x:v>B19</x:v>
      </x:c>
    </x:row>
    <x:row r="390">
      <x:c r="A390" s="76" t="str">
        <x:v>ЯВЗ-31-IP54 УХЛ2 100А</x:v>
      </x:c>
      <x:c r="B390" s="76"/>
      <x:c r="C390" s="76"/>
      <x:c r="D390" s="80" t="str">
        <x:v>ИТОГО на 1 комплект</x:v>
      </x:c>
      <x:c r="E390" s="84"/>
      <x:c r="F390" s="84"/>
      <x:c r="G390" s="84" t="n">
        <x:f>SUM(G378:G389)</x:f>
        <x:v>6449.4</x:v>
      </x:c>
      <x:c r="H390" s="90"/>
      <x:c r="I390" s="76"/>
      <x:c r="J390" s="76"/>
      <x:c r="K390" s="76" t="str">
        <x:v>B19</x:v>
      </x:c>
    </x:row>
    <x:row r="391" ht="24" customHeight="1">
      <x:c r="A391" s="69" t="str">
        <x:v>ЯТП-0,25-220/36 036УХЛ4</x:v>
      </x:c>
      <x:c r="B391" s="69"/>
      <x:c r="C391" s="69"/>
      <x:c r="D391" s="69" t="str">
        <x:v>ЯТП-0,25-220/36 036УХЛ4</x:v>
      </x:c>
      <x:c r="E391" s="82"/>
      <x:c r="F391" s="82"/>
      <x:c r="G391" s="82"/>
      <x:c r="H391" s="88" t="n">
        <x:v>1</x:v>
      </x:c>
      <x:c r="I391" s="69" t="str">
        <x:v>комплект</x:v>
      </x:c>
      <x:c r="J391" s="69" t="str">
        <x:v>TEKLED/TEKSAN</x:v>
      </x:c>
      <x:c r="K391" s="69" t="str">
        <x:v>B19</x:v>
      </x:c>
    </x:row>
    <x:row r="392">
      <x:c r="A392" s="64" t="str">
        <x:v>ЯТП-0,25-220/36 036УХЛ4</x:v>
      </x:c>
      <x:c r="B392" s="94" t="str">
        <x:v>korpus</x:v>
      </x:c>
      <x:c r="C392" s="100" t="str">
        <x:v>KONTROL-KORPUS-YATP</x:v>
      </x:c>
      <x:c r="D392" s="94" t="str">
        <x:v>Корпус металлический 300x250x150 мм, IP54, монтажная панель</x:v>
      </x:c>
      <x:c r="E392" s="95"/>
      <x:c r="F392" s="95"/>
      <x:c r="G392" s="95" t="str">
        <x:f>IF(OR(F392="",H392=""),"",F392*H392)</x:f>
      </x:c>
      <x:c r="H392" s="96" t="n">
        <x:v>1</x:v>
      </x:c>
      <x:c r="I392" s="94" t="str">
        <x:v> ШТ. </x:v>
      </x:c>
      <x:c r="J392" s="94" t="str">
        <x:v>TEKSAN/TEKLED</x:v>
      </x:c>
      <x:c r="K392" s="64" t="str">
        <x:v>B19</x:v>
      </x:c>
    </x:row>
    <x:row r="393">
      <x:c r="A393" s="64" t="str">
        <x:v>ЯТП-0,25-220/36 036УХЛ4</x:v>
      </x:c>
      <x:c r="B393" s="94" t="str">
        <x:v>transformator</x:v>
      </x:c>
      <x:c r="C393" s="100" t="str">
        <x:v>KONTROL-NDK250</x:v>
      </x:c>
      <x:c r="D393" s="94" t="str">
        <x:v>Трансформатор CHINT NDK-250, 230/36V, 250VA</x:v>
      </x:c>
      <x:c r="E393" s="95"/>
      <x:c r="F393" s="95"/>
      <x:c r="G393" s="95" t="str">
        <x:f>IF(OR(F393="",H393=""),"",F393*H393)</x:f>
      </x:c>
      <x:c r="H393" s="96" t="n">
        <x:v>1</x:v>
      </x:c>
      <x:c r="I393" s="94" t="str">
        <x:v> ШТ. </x:v>
      </x:c>
      <x:c r="J393" s="94" t="str">
        <x:v>CHINT</x:v>
      </x:c>
      <x:c r="K393" s="64" t="str">
        <x:v>B19</x:v>
      </x:c>
    </x:row>
    <x:row r="394">
      <x:c r="A394" s="64" t="str">
        <x:v>ЯТП-0,25-220/36 036УХЛ4</x:v>
      </x:c>
      <x:c r="B394" s="94" t="str">
        <x:v>oto</x:v>
      </x:c>
      <x:c r="C394" s="100" t="str">
        <x:v>KONTROL-MCB-1P-C2</x:v>
      </x:c>
      <x:c r="D394" s="94" t="str">
        <x:v>Авт. выключатель CHINT NXB-63 1P C2A, первичная цепь</x:v>
      </x:c>
      <x:c r="E394" s="95"/>
      <x:c r="F394" s="95"/>
      <x:c r="G394" s="95" t="str">
        <x:f>IF(OR(F394="",H394=""),"",F394*H394)</x:f>
      </x:c>
      <x:c r="H394" s="96" t="n">
        <x:v>1</x:v>
      </x:c>
      <x:c r="I394" s="94" t="str">
        <x:v> ШТ. </x:v>
      </x:c>
      <x:c r="J394" s="94" t="str">
        <x:v>CHINT</x:v>
      </x:c>
      <x:c r="K394" s="64" t="str">
        <x:v>B19</x:v>
      </x:c>
    </x:row>
    <x:row r="395">
      <x:c r="A395" s="64" t="str">
        <x:v>ЯТП-0,25-220/36 036УХЛ4</x:v>
      </x:c>
      <x:c r="B395" s="94" t="str">
        <x:v>oto</x:v>
      </x:c>
      <x:c r="C395" s="100" t="str">
        <x:v>KONTROL-MCB-2P-C10</x:v>
      </x:c>
      <x:c r="D395" s="94" t="str">
        <x:v>Авт. выключатель CHINT NXB-63 2P C10A, вторичная цепь 36V</x:v>
      </x:c>
      <x:c r="E395" s="95"/>
      <x:c r="F395" s="95"/>
      <x:c r="G395" s="95" t="str">
        <x:f>IF(OR(F395="",H395=""),"",F395*H395)</x:f>
      </x:c>
      <x:c r="H395" s="96" t="n">
        <x:v>1</x:v>
      </x:c>
      <x:c r="I395" s="94" t="str">
        <x:v> ШТ. </x:v>
      </x:c>
      <x:c r="J395" s="94" t="str">
        <x:v>CHINT</x:v>
      </x:c>
      <x:c r="K395" s="64" t="str">
        <x:v>B19</x:v>
      </x:c>
    </x:row>
    <x:row r="396">
      <x:c r="A396" s="64" t="str">
        <x:v>ЯТП-0,25-220/36 036УХЛ4</x:v>
      </x:c>
      <x:c r="B396" s="94" t="str">
        <x:v>rozetka</x:v>
      </x:c>
      <x:c r="C396" s="100" t="str">
        <x:v>KONTROL-SOCKET36</x:v>
      </x:c>
      <x:c r="D396" s="94" t="str">
        <x:v>Розетка 36V 16A, 2P+PE, IP44</x:v>
      </x:c>
      <x:c r="E396" s="95"/>
      <x:c r="F396" s="95"/>
      <x:c r="G396" s="95" t="str">
        <x:f>IF(OR(F396="",H396=""),"",F396*H396)</x:f>
      </x:c>
      <x:c r="H396" s="96" t="n">
        <x:v>1</x:v>
      </x:c>
      <x:c r="I396" s="94" t="str">
        <x:v> ШТ. </x:v>
      </x:c>
      <x:c r="J396" s="94" t="str">
        <x:v>EKT/IEK</x:v>
      </x:c>
      <x:c r="K396" s="64" t="str">
        <x:v>B19</x:v>
      </x:c>
    </x:row>
    <x:row r="397">
      <x:c r="A397" s="64" t="str">
        <x:v>ЯТП-0,25-220/36 036УХЛ4</x:v>
      </x:c>
      <x:c r="B397" s="94" t="str">
        <x:v>bara</x:v>
      </x:c>
      <x:c r="C397" s="100" t="str">
        <x:v>KONTROL-N</x:v>
      </x:c>
      <x:c r="D397" s="94" t="str">
        <x:v>Шина N изолированная, не менее 12 присоединений</x:v>
      </x:c>
      <x:c r="E397" s="95"/>
      <x:c r="F397" s="95"/>
      <x:c r="G397" s="95" t="str">
        <x:f>IF(OR(F397="",H397=""),"",F397*H397)</x:f>
      </x:c>
      <x:c r="H397" s="96" t="n">
        <x:v>1</x:v>
      </x:c>
      <x:c r="I397" s="94" t="str">
        <x:v> ШТ. </x:v>
      </x:c>
      <x:c r="J397" s="94" t="str">
        <x:v>EKT/Klemsan</x:v>
      </x:c>
      <x:c r="K397" s="64" t="str">
        <x:v>B19</x:v>
      </x:c>
    </x:row>
    <x:row r="398">
      <x:c r="A398" s="64" t="str">
        <x:v>ЯТП-0,25-220/36 036УХЛ4</x:v>
      </x:c>
      <x:c r="B398" s="94" t="str">
        <x:v>bara</x:v>
      </x:c>
      <x:c r="C398" s="100" t="str">
        <x:v>KONTROL-PE</x:v>
      </x:c>
      <x:c r="D398" s="94" t="str">
        <x:v>Шина PE медная, не менее 12 присоединений</x:v>
      </x:c>
      <x:c r="E398" s="95"/>
      <x:c r="F398" s="95"/>
      <x:c r="G398" s="95" t="str">
        <x:f>IF(OR(F398="",H398=""),"",F398*H398)</x:f>
      </x:c>
      <x:c r="H398" s="96" t="n">
        <x:v>1</x:v>
      </x:c>
      <x:c r="I398" s="94" t="str">
        <x:v> ШТ. </x:v>
      </x:c>
      <x:c r="J398" s="94" t="str">
        <x:v>EKT/Klemsan</x:v>
      </x:c>
      <x:c r="K398" s="64" t="str">
        <x:v>B19</x:v>
      </x:c>
    </x:row>
    <x:row r="399">
      <x:c r="A399" s="64" t="str">
        <x:v>ЯТП-0,25-220/36 036УХЛ4</x:v>
      </x:c>
      <x:c r="B399" s="94" t="str">
        <x:v>din</x:v>
      </x:c>
      <x:c r="C399" s="100" t="str">
        <x:v>KONTROL-DIN</x:v>
      </x:c>
      <x:c r="D399" s="94" t="str">
        <x:v>DIN рейка 35 мм, оцинкованная, комплект по габариту</x:v>
      </x:c>
      <x:c r="E399" s="95"/>
      <x:c r="F399" s="95"/>
      <x:c r="G399" s="95" t="str">
        <x:f>IF(OR(F399="",H399=""),"",F399*H399)</x:f>
      </x:c>
      <x:c r="H399" s="96" t="n">
        <x:v>1</x:v>
      </x:c>
      <x:c r="I399" s="94" t="str">
        <x:v> ШТ. </x:v>
      </x:c>
      <x:c r="J399" s="94" t="str">
        <x:v>EKT</x:v>
      </x:c>
      <x:c r="K399" s="64" t="str">
        <x:v>B19</x:v>
      </x:c>
    </x:row>
    <x:row r="400">
      <x:c r="A400" s="64" t="str">
        <x:v>ЯТП-0,25-220/36 036УХЛ4</x:v>
      </x:c>
      <x:c r="B400" s="94" t="str">
        <x:v>kanal</x:v>
      </x:c>
      <x:c r="C400" s="100" t="str">
        <x:v>KONTROL-KK</x:v>
      </x:c>
      <x:c r="D400" s="94" t="str">
        <x:v>Кабельный канал перфорированный, комплект по габариту</x:v>
      </x:c>
      <x:c r="E400" s="95"/>
      <x:c r="F400" s="95"/>
      <x:c r="G400" s="95" t="str">
        <x:f>IF(OR(F400="",H400=""),"",F400*H400)</x:f>
      </x:c>
      <x:c r="H400" s="96" t="n">
        <x:v>1</x:v>
      </x:c>
      <x:c r="I400" s="94" t="str">
        <x:v> ШТ. </x:v>
      </x:c>
      <x:c r="J400" s="94" t="str">
        <x:v>ONKA/EKT</x:v>
      </x:c>
      <x:c r="K400" s="64" t="str">
        <x:v>B19</x:v>
      </x:c>
    </x:row>
    <x:row r="401">
      <x:c r="A401" s="64" t="str">
        <x:v>ЯТП-0,25-220/36 036УХЛ4</x:v>
      </x:c>
      <x:c r="B401" s="94" t="str">
        <x:v>klemens</x:v>
      </x:c>
      <x:c r="C401" s="100" t="str">
        <x:v>KONTROL-KL</x:v>
      </x:c>
      <x:c r="D401" s="94" t="str">
        <x:v>Клеммник 2,5-6 мм² (фаза/N/PE по схеме)</x:v>
      </x:c>
      <x:c r="E401" s="95"/>
      <x:c r="F401" s="95"/>
      <x:c r="G401" s="95" t="str">
        <x:f>IF(OR(F401="",H401=""),"",F401*H401)</x:f>
      </x:c>
      <x:c r="H401" s="96" t="n">
        <x:v>12</x:v>
      </x:c>
      <x:c r="I401" s="94" t="str">
        <x:v> ШТ. </x:v>
      </x:c>
      <x:c r="J401" s="94" t="str">
        <x:v>Klemsan/EKT</x:v>
      </x:c>
      <x:c r="K401" s="64" t="str">
        <x:v>B19</x:v>
      </x:c>
    </x:row>
    <x:row r="402">
      <x:c r="A402" s="64" t="str">
        <x:v>ЯТП-0,25-220/36 036УХЛ4</x:v>
      </x:c>
      <x:c r="B402" s="94" t="str">
        <x:v>kablo</x:v>
      </x:c>
      <x:c r="C402" s="100" t="str">
        <x:v>KONTROL-WIRE</x:v>
      </x:c>
      <x:c r="D402" s="94" t="str">
        <x:v>Внутренняя проводка Harmony + маркировка, комплект</x:v>
      </x:c>
      <x:c r="E402" s="95"/>
      <x:c r="F402" s="95"/>
      <x:c r="G402" s="95" t="str">
        <x:f>IF(OR(F402="",H402=""),"",F402*H402)</x:f>
      </x:c>
      <x:c r="H402" s="96" t="n">
        <x:v>1</x:v>
      </x:c>
      <x:c r="I402" s="94" t="str">
        <x:v> ШТ. </x:v>
      </x:c>
      <x:c r="J402" s="94" t="str">
        <x:v>Harmony</x:v>
      </x:c>
      <x:c r="K402" s="64" t="str">
        <x:v>B19</x:v>
      </x:c>
    </x:row>
    <x:row r="403">
      <x:c r="A403" s="64" t="str">
        <x:v>ЯТП-0,25-220/36 036УХЛ4</x:v>
      </x:c>
      <x:c r="B403" s="64" t="str">
        <x:v>монтажный материал</x:v>
      </x:c>
      <x:c r="C403" s="64" t="str">
        <x:v>монтажный материал</x:v>
      </x:c>
      <x:c r="D403" s="64" t="str">
        <x:v>Монтажный материал</x:v>
      </x:c>
      <x:c r="E403" s="83"/>
      <x:c r="F403" s="83"/>
      <x:c r="G403" s="83" t="str">
        <x:f>IF(OR(F403="",H403=""),"",F403*H403)</x:f>
      </x:c>
      <x:c r="H403" s="89" t="n">
        <x:v>1</x:v>
      </x:c>
      <x:c r="I403" s="64" t="str">
        <x:v>компл.</x:v>
      </x:c>
      <x:c r="J403" s="64" t="str">
        <x:v>TEKLED</x:v>
      </x:c>
      <x:c r="K403" s="64" t="str">
        <x:v>B19</x:v>
      </x:c>
    </x:row>
    <x:row r="404">
      <x:c r="A404" s="64" t="str">
        <x:v>ЯТП-0,25-220/36 036УХЛ4</x:v>
      </x:c>
      <x:c r="B404" s="64" t="str">
        <x:v>монтажные работы</x:v>
      </x:c>
      <x:c r="C404" s="64" t="str">
        <x:v>монтажные работы</x:v>
      </x:c>
      <x:c r="D404" s="64" t="str">
        <x:v>Монтажные работы</x:v>
      </x:c>
      <x:c r="E404" s="83"/>
      <x:c r="F404" s="83"/>
      <x:c r="G404" s="83" t="str">
        <x:f>IF(OR(F404="",H404=""),"",F404*H404)</x:f>
      </x:c>
      <x:c r="H404" s="89" t="n">
        <x:v>1</x:v>
      </x:c>
      <x:c r="I404" s="64" t="str">
        <x:v>компл.</x:v>
      </x:c>
      <x:c r="J404" s="64" t="str">
        <x:v>TEKLED</x:v>
      </x:c>
      <x:c r="K404" s="64" t="str">
        <x:v>B19</x:v>
      </x:c>
    </x:row>
    <x:row r="405">
      <x:c r="A405" s="76" t="str">
        <x:v>ЯТП-0,25-220/36 036УХЛ4</x:v>
      </x:c>
      <x:c r="B405" s="76"/>
      <x:c r="C405" s="76"/>
      <x:c r="D405" s="80" t="str">
        <x:v>ИТОГО на 1 комплект</x:v>
      </x:c>
      <x:c r="E405" s="84"/>
      <x:c r="F405" s="84"/>
      <x:c r="G405" s="84" t="n">
        <x:f>SUM(G392:G404)</x:f>
        <x:v>0</x:v>
      </x:c>
      <x:c r="H405" s="90"/>
      <x:c r="I405" s="76"/>
      <x:c r="J405" s="76"/>
      <x:c r="K405" s="76" t="str">
        <x:v>B19</x:v>
      </x:c>
    </x:row>
    <x:row r="406" ht="24" customHeight="1">
      <x:c r="A406" s="69" t="str">
        <x:v>ГРЩ (В25)</x:v>
      </x:c>
      <x:c r="B406" s="69"/>
      <x:c r="C406" s="69"/>
      <x:c r="D406" s="69" t="str">
        <x:v>ГРЩ (В25)</x:v>
      </x:c>
      <x:c r="E406" s="82"/>
      <x:c r="F406" s="82"/>
      <x:c r="G406" s="82"/>
      <x:c r="H406" s="88" t="n">
        <x:v>1</x:v>
      </x:c>
      <x:c r="I406" s="69" t="str">
        <x:v>комплект</x:v>
      </x:c>
      <x:c r="J406" s="69" t="str">
        <x:v>TEKLED/TEKSAN</x:v>
      </x:c>
      <x:c r="K406" s="69" t="str">
        <x:v>B25</x:v>
      </x:c>
    </x:row>
    <x:row r="407">
      <x:c r="A407" s="64" t="str">
        <x:v>ГРЩ (В25)</x:v>
      </x:c>
      <x:c r="B407" s="64" t="str">
        <x:v>korpus</x:v>
      </x:c>
      <x:c r="C407" s="64" t="str">
        <x:v>714-15015</x:v>
      </x:c>
      <x:c r="D407" s="64" t="str">
        <x:v>Pano met.ShRn-36 b/o (312х540х120)S/U 36 IP31 (TS)</x:v>
      </x:c>
      <x:c r="E407" s="83" t="n">
        <x:v>15140</x:v>
      </x:c>
      <x:c r="F407" s="83" t="n">
        <x:v>9084</x:v>
      </x:c>
      <x:c r="G407" s="83" t="n">
        <x:f>IF(OR(F407="",H407=""),"",F407*H407)</x:f>
        <x:v>9084</x:v>
      </x:c>
      <x:c r="H407" s="89" t="n">
        <x:v>1</x:v>
      </x:c>
      <x:c r="I407" s="64" t="str">
        <x:v> ШТ. </x:v>
      </x:c>
      <x:c r="J407" s="64" t="str">
        <x:v>teksan f</x:v>
      </x:c>
      <x:c r="K407" s="64" t="str">
        <x:v>B25</x:v>
      </x:c>
    </x:row>
    <x:row r="408">
      <x:c r="A408" s="64" t="str">
        <x:v>ГРЩ (В25)</x:v>
      </x:c>
      <x:c r="B408" s="64" t="str">
        <x:v>oto</x:v>
      </x:c>
      <x:c r="C408" s="64" t="str">
        <x:v>816139</x:v>
      </x:c>
      <x:c r="D408" s="64" t="str">
        <x:v>Авт. выкл. NXB-125 3P 80A 10кА х-ка C (R)</x:v>
      </x:c>
      <x:c r="E408" s="83" t="n">
        <x:v>10949</x:v>
      </x:c>
      <x:c r="F408" s="83" t="n">
        <x:v>6569.4</x:v>
      </x:c>
      <x:c r="G408" s="83" t="n">
        <x:f>IF(OR(F408="",H408=""),"",F408*H408)</x:f>
        <x:v>6569.4</x:v>
      </x:c>
      <x:c r="H408" s="89" t="n">
        <x:v>1</x:v>
      </x:c>
      <x:c r="I408" s="64" t="str">
        <x:v> ШТ. </x:v>
      </x:c>
      <x:c r="J408" s="64" t="str">
        <x:v>chint</x:v>
      </x:c>
      <x:c r="K408" s="64" t="str">
        <x:v>B25</x:v>
      </x:c>
    </x:row>
    <x:row r="409">
      <x:c r="A409" s="64" t="str">
        <x:v>ГРЩ (В25)</x:v>
      </x:c>
      <x:c r="B409" s="64" t="str">
        <x:v>oto</x:v>
      </x:c>
      <x:c r="C409" s="64" t="str">
        <x:v>296829</x:v>
      </x:c>
      <x:c r="D409" s="64" t="str">
        <x:v>Авт. выкл. NXB-63S 3P 25А 4.5kA х-ка C (R)</x:v>
      </x:c>
      <x:c r="E409" s="83" t="n">
        <x:v>2429</x:v>
      </x:c>
      <x:c r="F409" s="83" t="n">
        <x:v>1457.3999999999999</x:v>
      </x:c>
      <x:c r="G409" s="83" t="n">
        <x:f>IF(OR(F409="",H409=""),"",F409*H409)</x:f>
        <x:v>5829.599999999999</x:v>
      </x:c>
      <x:c r="H409" s="89" t="n">
        <x:v>4</x:v>
      </x:c>
      <x:c r="I409" s="64" t="str">
        <x:v> ШТ. </x:v>
      </x:c>
      <x:c r="J409" s="64" t="str">
        <x:v>chint</x:v>
      </x:c>
      <x:c r="K409" s="64" t="str">
        <x:v>B25</x:v>
      </x:c>
    </x:row>
    <x:row r="410">
      <x:c r="A410" s="64" t="str">
        <x:v>ГРЩ (В25)</x:v>
      </x:c>
      <x:c r="B410" s="64" t="str">
        <x:v>oto</x:v>
      </x:c>
      <x:c r="C410" s="64" t="str">
        <x:v>296827</x:v>
      </x:c>
      <x:c r="D410" s="64" t="str">
        <x:v>Авт. выкл. NXB-63S 3P 16А 4.5kA х-ка C (R)</x:v>
      </x:c>
      <x:c r="E410" s="83" t="n">
        <x:v>2337</x:v>
      </x:c>
      <x:c r="F410" s="83" t="n">
        <x:v>1402.2</x:v>
      </x:c>
      <x:c r="G410" s="83" t="n">
        <x:f>IF(OR(F410="",H410=""),"",F410*H410)</x:f>
        <x:v>2804.4</x:v>
      </x:c>
      <x:c r="H410" s="89" t="n">
        <x:v>2</x:v>
      </x:c>
      <x:c r="I410" s="64" t="str">
        <x:v> ШТ. </x:v>
      </x:c>
      <x:c r="J410" s="64" t="str">
        <x:v>chint</x:v>
      </x:c>
      <x:c r="K410" s="64" t="str">
        <x:v>B25</x:v>
      </x:c>
    </x:row>
    <x:row r="411">
      <x:c r="A411" s="64" t="str">
        <x:v>ГРЩ (В25)</x:v>
      </x:c>
      <x:c r="B411" s="64" t="str">
        <x:v>oto</x:v>
      </x:c>
      <x:c r="C411" s="64" t="str">
        <x:v>296832</x:v>
      </x:c>
      <x:c r="D411" s="64" t="str">
        <x:v>Авт. выкл. NXB-63S 3P 50А 4.5kA х-ка C (R)</x:v>
      </x:c>
      <x:c r="E411" s="83" t="n">
        <x:v>3172</x:v>
      </x:c>
      <x:c r="F411" s="83" t="n">
        <x:v>1903.1999999999998</x:v>
      </x:c>
      <x:c r="G411" s="83" t="n">
        <x:f>IF(OR(F411="",H411=""),"",F411*H411)</x:f>
        <x:v>1903.1999999999998</x:v>
      </x:c>
      <x:c r="H411" s="89" t="n">
        <x:v>1</x:v>
      </x:c>
      <x:c r="I411" s="64" t="str">
        <x:v> ШТ. </x:v>
      </x:c>
      <x:c r="J411" s="64" t="str">
        <x:v>chint</x:v>
      </x:c>
      <x:c r="K411" s="64" t="str">
        <x:v>B25</x:v>
      </x:c>
    </x:row>
    <x:row r="412">
      <x:c r="A412" s="64" t="str">
        <x:v>ГРЩ (В25)</x:v>
      </x:c>
      <x:c r="B412" s="64" t="str">
        <x:v>rn</x:v>
      </x:c>
      <x:c r="C412" s="64" t="str">
        <x:v>816989</x:v>
      </x:c>
      <x:c r="D412" s="64" t="str">
        <x:v>Независимый расцепитель SHT-X3 AC240V/AC415V для NXB-125(G) (R)</x:v>
      </x:c>
      <x:c r="E412" s="83" t="n">
        <x:v>4160</x:v>
      </x:c>
      <x:c r="F412" s="83" t="n">
        <x:v>2496</x:v>
      </x:c>
      <x:c r="G412" s="83" t="n">
        <x:f>IF(OR(F412="",H412=""),"",F412*H412)</x:f>
        <x:v>2496</x:v>
      </x:c>
      <x:c r="H412" s="89" t="n">
        <x:v>1</x:v>
      </x:c>
      <x:c r="I412" s="64" t="str">
        <x:v> ШТ. </x:v>
      </x:c>
      <x:c r="J412" s="64" t="str">
        <x:v>chint</x:v>
      </x:c>
      <x:c r="K412" s="64" t="str">
        <x:v>B25</x:v>
      </x:c>
    </x:row>
    <x:row r="413">
      <x:c r="A413" s="64" t="str">
        <x:v>ГРЩ (В25)</x:v>
      </x:c>
      <x:c r="B413" s="94" t="str">
        <x:v>bara</x:v>
      </x:c>
      <x:c r="C413" s="100" t="str">
        <x:v>KONTROL-N</x:v>
      </x:c>
      <x:c r="D413" s="94" t="str">
        <x:v>Шина N изолированная, не менее 12 присоединений</x:v>
      </x:c>
      <x:c r="E413" s="95"/>
      <x:c r="F413" s="95"/>
      <x:c r="G413" s="95" t="str">
        <x:f>IF(OR(F413="",H413=""),"",F413*H413)</x:f>
      </x:c>
      <x:c r="H413" s="96" t="n">
        <x:v>1</x:v>
      </x:c>
      <x:c r="I413" s="94" t="str">
        <x:v> ШТ. </x:v>
      </x:c>
      <x:c r="J413" s="94" t="str">
        <x:v>EKT/Klemsan</x:v>
      </x:c>
      <x:c r="K413" s="64" t="str">
        <x:v>B25</x:v>
      </x:c>
    </x:row>
    <x:row r="414">
      <x:c r="A414" s="64" t="str">
        <x:v>ГРЩ (В25)</x:v>
      </x:c>
      <x:c r="B414" s="94" t="str">
        <x:v>bara</x:v>
      </x:c>
      <x:c r="C414" s="100" t="str">
        <x:v>KONTROL-PE</x:v>
      </x:c>
      <x:c r="D414" s="94" t="str">
        <x:v>Шина PE медная, не менее 12 присоединений</x:v>
      </x:c>
      <x:c r="E414" s="95"/>
      <x:c r="F414" s="95"/>
      <x:c r="G414" s="95" t="str">
        <x:f>IF(OR(F414="",H414=""),"",F414*H414)</x:f>
      </x:c>
      <x:c r="H414" s="96" t="n">
        <x:v>1</x:v>
      </x:c>
      <x:c r="I414" s="94" t="str">
        <x:v> ШТ. </x:v>
      </x:c>
      <x:c r="J414" s="94" t="str">
        <x:v>EKT/Klemsan</x:v>
      </x:c>
      <x:c r="K414" s="64" t="str">
        <x:v>B25</x:v>
      </x:c>
    </x:row>
    <x:row r="415">
      <x:c r="A415" s="64" t="str">
        <x:v>ГРЩ (В25)</x:v>
      </x:c>
      <x:c r="B415" s="94" t="str">
        <x:v>din</x:v>
      </x:c>
      <x:c r="C415" s="100" t="str">
        <x:v>KONTROL-DIN</x:v>
      </x:c>
      <x:c r="D415" s="94" t="str">
        <x:v>DIN рейка 35 мм, оцинкованная, комплект по габариту</x:v>
      </x:c>
      <x:c r="E415" s="95"/>
      <x:c r="F415" s="95"/>
      <x:c r="G415" s="95" t="str">
        <x:f>IF(OR(F415="",H415=""),"",F415*H415)</x:f>
      </x:c>
      <x:c r="H415" s="96" t="n">
        <x:v>1</x:v>
      </x:c>
      <x:c r="I415" s="94" t="str">
        <x:v> ШТ. </x:v>
      </x:c>
      <x:c r="J415" s="94" t="str">
        <x:v>EKT</x:v>
      </x:c>
      <x:c r="K415" s="64" t="str">
        <x:v>B25</x:v>
      </x:c>
    </x:row>
    <x:row r="416">
      <x:c r="A416" s="64" t="str">
        <x:v>ГРЩ (В25)</x:v>
      </x:c>
      <x:c r="B416" s="94" t="str">
        <x:v>kanal</x:v>
      </x:c>
      <x:c r="C416" s="100" t="str">
        <x:v>KONTROL-KK</x:v>
      </x:c>
      <x:c r="D416" s="94" t="str">
        <x:v>Кабельный канал перфорированный, комплект по габариту</x:v>
      </x:c>
      <x:c r="E416" s="95"/>
      <x:c r="F416" s="95"/>
      <x:c r="G416" s="95" t="str">
        <x:f>IF(OR(F416="",H416=""),"",F416*H416)</x:f>
      </x:c>
      <x:c r="H416" s="96" t="n">
        <x:v>1</x:v>
      </x:c>
      <x:c r="I416" s="94" t="str">
        <x:v> ШТ. </x:v>
      </x:c>
      <x:c r="J416" s="94" t="str">
        <x:v>ONKA/EKT</x:v>
      </x:c>
      <x:c r="K416" s="64" t="str">
        <x:v>B25</x:v>
      </x:c>
    </x:row>
    <x:row r="417">
      <x:c r="A417" s="64" t="str">
        <x:v>ГРЩ (В25)</x:v>
      </x:c>
      <x:c r="B417" s="94" t="str">
        <x:v>klemens</x:v>
      </x:c>
      <x:c r="C417" s="100" t="str">
        <x:v>KONTROL-KL</x:v>
      </x:c>
      <x:c r="D417" s="94" t="str">
        <x:v>Клеммник 2,5-6 мм² (фаза/N/PE по схеме)</x:v>
      </x:c>
      <x:c r="E417" s="95"/>
      <x:c r="F417" s="95"/>
      <x:c r="G417" s="95" t="str">
        <x:f>IF(OR(F417="",H417=""),"",F417*H417)</x:f>
      </x:c>
      <x:c r="H417" s="96" t="n">
        <x:v>22</x:v>
      </x:c>
      <x:c r="I417" s="94" t="str">
        <x:v> ШТ. </x:v>
      </x:c>
      <x:c r="J417" s="94" t="str">
        <x:v>Klemsan/EKT</x:v>
      </x:c>
      <x:c r="K417" s="64" t="str">
        <x:v>B25</x:v>
      </x:c>
    </x:row>
    <x:row r="418">
      <x:c r="A418" s="64" t="str">
        <x:v>ГРЩ (В25)</x:v>
      </x:c>
      <x:c r="B418" s="94" t="str">
        <x:v>kablo</x:v>
      </x:c>
      <x:c r="C418" s="100" t="str">
        <x:v>KONTROL-WIRE</x:v>
      </x:c>
      <x:c r="D418" s="94" t="str">
        <x:v>Внутренняя проводка Harmony + маркировка, комплект</x:v>
      </x:c>
      <x:c r="E418" s="95"/>
      <x:c r="F418" s="95"/>
      <x:c r="G418" s="95" t="str">
        <x:f>IF(OR(F418="",H418=""),"",F418*H418)</x:f>
      </x:c>
      <x:c r="H418" s="96" t="n">
        <x:v>1</x:v>
      </x:c>
      <x:c r="I418" s="94" t="str">
        <x:v> ШТ. </x:v>
      </x:c>
      <x:c r="J418" s="94" t="str">
        <x:v>Harmony</x:v>
      </x:c>
      <x:c r="K418" s="64" t="str">
        <x:v>B25</x:v>
      </x:c>
    </x:row>
    <x:row r="419">
      <x:c r="A419" s="64" t="str">
        <x:v>ГРЩ (В25)</x:v>
      </x:c>
      <x:c r="B419" s="64" t="str">
        <x:v>монтажный материал</x:v>
      </x:c>
      <x:c r="C419" s="64" t="str">
        <x:v>монтажный материал</x:v>
      </x:c>
      <x:c r="D419" s="64" t="str">
        <x:v>Монтажный материал</x:v>
      </x:c>
      <x:c r="E419" s="83"/>
      <x:c r="F419" s="83"/>
      <x:c r="G419" s="83" t="str">
        <x:f>IF(OR(F419="",H419=""),"",F419*H419)</x:f>
      </x:c>
      <x:c r="H419" s="89" t="n">
        <x:v>1</x:v>
      </x:c>
      <x:c r="I419" s="64" t="str">
        <x:v>компл.</x:v>
      </x:c>
      <x:c r="J419" s="64" t="str">
        <x:v>TEKLED</x:v>
      </x:c>
      <x:c r="K419" s="64" t="str">
        <x:v>B25</x:v>
      </x:c>
    </x:row>
    <x:row r="420">
      <x:c r="A420" s="64" t="str">
        <x:v>ГРЩ (В25)</x:v>
      </x:c>
      <x:c r="B420" s="64" t="str">
        <x:v>монтажные работы</x:v>
      </x:c>
      <x:c r="C420" s="64" t="str">
        <x:v>монтажные работы</x:v>
      </x:c>
      <x:c r="D420" s="64" t="str">
        <x:v>Монтажные работы</x:v>
      </x:c>
      <x:c r="E420" s="83"/>
      <x:c r="F420" s="83"/>
      <x:c r="G420" s="83" t="str">
        <x:f>IF(OR(F420="",H420=""),"",F420*H420)</x:f>
      </x:c>
      <x:c r="H420" s="89" t="n">
        <x:v>1</x:v>
      </x:c>
      <x:c r="I420" s="64" t="str">
        <x:v>компл.</x:v>
      </x:c>
      <x:c r="J420" s="64" t="str">
        <x:v>TEKLED</x:v>
      </x:c>
      <x:c r="K420" s="64" t="str">
        <x:v>B25</x:v>
      </x:c>
    </x:row>
    <x:row r="421">
      <x:c r="A421" s="76" t="str">
        <x:v>ГРЩ (В25)</x:v>
      </x:c>
      <x:c r="B421" s="76"/>
      <x:c r="C421" s="76"/>
      <x:c r="D421" s="80" t="str">
        <x:v>ИТОГО на 1 комплект</x:v>
      </x:c>
      <x:c r="E421" s="84"/>
      <x:c r="F421" s="84"/>
      <x:c r="G421" s="84" t="n">
        <x:f>SUM(G407:G420)</x:f>
        <x:v>28686.600000000002</x:v>
      </x:c>
      <x:c r="H421" s="90"/>
      <x:c r="I421" s="76"/>
      <x:c r="J421" s="76"/>
      <x:c r="K421" s="76" t="str">
        <x:v>B25</x:v>
      </x:c>
    </x:row>
    <x:row r="422" ht="24" customHeight="1">
      <x:c r="A422" s="69" t="str">
        <x:v>ПП (В25)</x:v>
      </x:c>
      <x:c r="B422" s="69"/>
      <x:c r="C422" s="69"/>
      <x:c r="D422" s="69" t="str">
        <x:v>ПП (В25)</x:v>
      </x:c>
      <x:c r="E422" s="82"/>
      <x:c r="F422" s="82"/>
      <x:c r="G422" s="82"/>
      <x:c r="H422" s="88" t="n">
        <x:v>1</x:v>
      </x:c>
      <x:c r="I422" s="69" t="str">
        <x:v>комплект</x:v>
      </x:c>
      <x:c r="J422" s="69" t="str">
        <x:v>TEKLED/TEKSAN</x:v>
      </x:c>
      <x:c r="K422" s="69" t="str">
        <x:v>B25</x:v>
      </x:c>
    </x:row>
    <x:row r="423">
      <x:c r="A423" s="64" t="str">
        <x:v>ПП (В25)</x:v>
      </x:c>
      <x:c r="B423" s="94" t="str">
        <x:v>korpus</x:v>
      </x:c>
      <x:c r="C423" s="100" t="str">
        <x:v>KONTROL-KORPUS-PP-100</x:v>
      </x:c>
      <x:c r="D423" s="94" t="str">
        <x:v>Корпус металлический 400x300x200 мм IP54 для ручного переключателя 100A</x:v>
      </x:c>
      <x:c r="E423" s="95"/>
      <x:c r="F423" s="95"/>
      <x:c r="G423" s="95" t="str">
        <x:f>IF(OR(F423="",H423=""),"",F423*H423)</x:f>
      </x:c>
      <x:c r="H423" s="96" t="n">
        <x:v>1</x:v>
      </x:c>
      <x:c r="I423" s="94" t="str">
        <x:v> ШТ. </x:v>
      </x:c>
      <x:c r="J423" s="94" t="str">
        <x:v>TEKSAN/TEKLED</x:v>
      </x:c>
      <x:c r="K423" s="64" t="str">
        <x:v>B25</x:v>
      </x:c>
    </x:row>
    <x:row r="424">
      <x:c r="A424" s="64" t="str">
        <x:v>ПП (В25)</x:v>
      </x:c>
      <x:c r="B424" s="94" t="str">
        <x:v>perekluchatel</x:v>
      </x:c>
      <x:c r="C424" s="100" t="str">
        <x:v>KONTROL-NH40-CS-100</x:v>
      </x:c>
      <x:c r="D424" s="94" t="str">
        <x:v>Переключатель ручной I-0-II CHINT, 3P, 100A, рукоятка на дверь (экв. ПП)</x:v>
      </x:c>
      <x:c r="E424" s="95"/>
      <x:c r="F424" s="95"/>
      <x:c r="G424" s="95" t="str">
        <x:f>IF(OR(F424="",H424=""),"",F424*H424)</x:f>
      </x:c>
      <x:c r="H424" s="96" t="n">
        <x:v>1</x:v>
      </x:c>
      <x:c r="I424" s="94" t="str">
        <x:v> ШТ. </x:v>
      </x:c>
      <x:c r="J424" s="94" t="str">
        <x:v>CHINT</x:v>
      </x:c>
      <x:c r="K424" s="64" t="str">
        <x:v>B25</x:v>
      </x:c>
    </x:row>
    <x:row r="425">
      <x:c r="A425" s="64" t="str">
        <x:v>ПП (В25)</x:v>
      </x:c>
      <x:c r="B425" s="94" t="str">
        <x:v>bara</x:v>
      </x:c>
      <x:c r="C425" s="100" t="str">
        <x:v>KONTROL-N</x:v>
      </x:c>
      <x:c r="D425" s="94" t="str">
        <x:v>Шина N изолированная, не менее 12 присоединений</x:v>
      </x:c>
      <x:c r="E425" s="95"/>
      <x:c r="F425" s="95"/>
      <x:c r="G425" s="95" t="str">
        <x:f>IF(OR(F425="",H425=""),"",F425*H425)</x:f>
      </x:c>
      <x:c r="H425" s="96" t="n">
        <x:v>1</x:v>
      </x:c>
      <x:c r="I425" s="94" t="str">
        <x:v> ШТ. </x:v>
      </x:c>
      <x:c r="J425" s="94" t="str">
        <x:v>EKT/Klemsan</x:v>
      </x:c>
      <x:c r="K425" s="64" t="str">
        <x:v>B25</x:v>
      </x:c>
    </x:row>
    <x:row r="426">
      <x:c r="A426" s="64" t="str">
        <x:v>ПП (В25)</x:v>
      </x:c>
      <x:c r="B426" s="94" t="str">
        <x:v>bara</x:v>
      </x:c>
      <x:c r="C426" s="100" t="str">
        <x:v>KONTROL-PE</x:v>
      </x:c>
      <x:c r="D426" s="94" t="str">
        <x:v>Шина PE медная, не менее 12 присоединений</x:v>
      </x:c>
      <x:c r="E426" s="95"/>
      <x:c r="F426" s="95"/>
      <x:c r="G426" s="95" t="str">
        <x:f>IF(OR(F426="",H426=""),"",F426*H426)</x:f>
      </x:c>
      <x:c r="H426" s="96" t="n">
        <x:v>1</x:v>
      </x:c>
      <x:c r="I426" s="94" t="str">
        <x:v> ШТ. </x:v>
      </x:c>
      <x:c r="J426" s="94" t="str">
        <x:v>EKT/Klemsan</x:v>
      </x:c>
      <x:c r="K426" s="64" t="str">
        <x:v>B25</x:v>
      </x:c>
    </x:row>
    <x:row r="427">
      <x:c r="A427" s="64" t="str">
        <x:v>ПП (В25)</x:v>
      </x:c>
      <x:c r="B427" s="94" t="str">
        <x:v>din</x:v>
      </x:c>
      <x:c r="C427" s="100" t="str">
        <x:v>KONTROL-DIN</x:v>
      </x:c>
      <x:c r="D427" s="94" t="str">
        <x:v>DIN рейка 35 мм, оцинкованная, комплект по габариту</x:v>
      </x:c>
      <x:c r="E427" s="95"/>
      <x:c r="F427" s="95"/>
      <x:c r="G427" s="95" t="str">
        <x:f>IF(OR(F427="",H427=""),"",F427*H427)</x:f>
      </x:c>
      <x:c r="H427" s="96" t="n">
        <x:v>1</x:v>
      </x:c>
      <x:c r="I427" s="94" t="str">
        <x:v> ШТ. </x:v>
      </x:c>
      <x:c r="J427" s="94" t="str">
        <x:v>EKT</x:v>
      </x:c>
      <x:c r="K427" s="64" t="str">
        <x:v>B25</x:v>
      </x:c>
    </x:row>
    <x:row r="428">
      <x:c r="A428" s="64" t="str">
        <x:v>ПП (В25)</x:v>
      </x:c>
      <x:c r="B428" s="94" t="str">
        <x:v>kanal</x:v>
      </x:c>
      <x:c r="C428" s="100" t="str">
        <x:v>KONTROL-KK</x:v>
      </x:c>
      <x:c r="D428" s="94" t="str">
        <x:v>Кабельный канал перфорированный, комплект по габариту</x:v>
      </x:c>
      <x:c r="E428" s="95"/>
      <x:c r="F428" s="95"/>
      <x:c r="G428" s="95" t="str">
        <x:f>IF(OR(F428="",H428=""),"",F428*H428)</x:f>
      </x:c>
      <x:c r="H428" s="96" t="n">
        <x:v>1</x:v>
      </x:c>
      <x:c r="I428" s="94" t="str">
        <x:v> ШТ. </x:v>
      </x:c>
      <x:c r="J428" s="94" t="str">
        <x:v>ONKA/EKT</x:v>
      </x:c>
      <x:c r="K428" s="64" t="str">
        <x:v>B25</x:v>
      </x:c>
    </x:row>
    <x:row r="429">
      <x:c r="A429" s="64" t="str">
        <x:v>ПП (В25)</x:v>
      </x:c>
      <x:c r="B429" s="94" t="str">
        <x:v>klemens</x:v>
      </x:c>
      <x:c r="C429" s="100" t="str">
        <x:v>KONTROL-KL</x:v>
      </x:c>
      <x:c r="D429" s="94" t="str">
        <x:v>Клеммник 2,5-6 мм² (фаза/N/PE по схеме)</x:v>
      </x:c>
      <x:c r="E429" s="95"/>
      <x:c r="F429" s="95"/>
      <x:c r="G429" s="95" t="str">
        <x:f>IF(OR(F429="",H429=""),"",F429*H429)</x:f>
      </x:c>
      <x:c r="H429" s="96" t="n">
        <x:v>12</x:v>
      </x:c>
      <x:c r="I429" s="94" t="str">
        <x:v> ШТ. </x:v>
      </x:c>
      <x:c r="J429" s="94" t="str">
        <x:v>Klemsan/EKT</x:v>
      </x:c>
      <x:c r="K429" s="64" t="str">
        <x:v>B25</x:v>
      </x:c>
    </x:row>
    <x:row r="430">
      <x:c r="A430" s="64" t="str">
        <x:v>ПП (В25)</x:v>
      </x:c>
      <x:c r="B430" s="94" t="str">
        <x:v>kablo</x:v>
      </x:c>
      <x:c r="C430" s="100" t="str">
        <x:v>KONTROL-WIRE</x:v>
      </x:c>
      <x:c r="D430" s="94" t="str">
        <x:v>Внутренняя проводка Harmony + маркировка, комплект</x:v>
      </x:c>
      <x:c r="E430" s="95"/>
      <x:c r="F430" s="95"/>
      <x:c r="G430" s="95" t="str">
        <x:f>IF(OR(F430="",H430=""),"",F430*H430)</x:f>
      </x:c>
      <x:c r="H430" s="96" t="n">
        <x:v>1</x:v>
      </x:c>
      <x:c r="I430" s="94" t="str">
        <x:v> ШТ. </x:v>
      </x:c>
      <x:c r="J430" s="94" t="str">
        <x:v>Harmony</x:v>
      </x:c>
      <x:c r="K430" s="64" t="str">
        <x:v>B25</x:v>
      </x:c>
    </x:row>
    <x:row r="431">
      <x:c r="A431" s="64" t="str">
        <x:v>ПП (В25)</x:v>
      </x:c>
      <x:c r="B431" s="64" t="str">
        <x:v>монтажный материал</x:v>
      </x:c>
      <x:c r="C431" s="64" t="str">
        <x:v>монтажный материал</x:v>
      </x:c>
      <x:c r="D431" s="64" t="str">
        <x:v>Монтажный материал</x:v>
      </x:c>
      <x:c r="E431" s="83"/>
      <x:c r="F431" s="83"/>
      <x:c r="G431" s="83" t="str">
        <x:f>IF(OR(F431="",H431=""),"",F431*H431)</x:f>
      </x:c>
      <x:c r="H431" s="89" t="n">
        <x:v>1</x:v>
      </x:c>
      <x:c r="I431" s="64" t="str">
        <x:v>компл.</x:v>
      </x:c>
      <x:c r="J431" s="64" t="str">
        <x:v>TEKLED</x:v>
      </x:c>
      <x:c r="K431" s="64" t="str">
        <x:v>B25</x:v>
      </x:c>
    </x:row>
    <x:row r="432">
      <x:c r="A432" s="64" t="str">
        <x:v>ПП (В25)</x:v>
      </x:c>
      <x:c r="B432" s="64" t="str">
        <x:v>монтажные работы</x:v>
      </x:c>
      <x:c r="C432" s="64" t="str">
        <x:v>монтажные работы</x:v>
      </x:c>
      <x:c r="D432" s="64" t="str">
        <x:v>Монтажные работы</x:v>
      </x:c>
      <x:c r="E432" s="83"/>
      <x:c r="F432" s="83"/>
      <x:c r="G432" s="83" t="str">
        <x:f>IF(OR(F432="",H432=""),"",F432*H432)</x:f>
      </x:c>
      <x:c r="H432" s="89" t="n">
        <x:v>1</x:v>
      </x:c>
      <x:c r="I432" s="64" t="str">
        <x:v>компл.</x:v>
      </x:c>
      <x:c r="J432" s="64" t="str">
        <x:v>TEKLED</x:v>
      </x:c>
      <x:c r="K432" s="64" t="str">
        <x:v>B25</x:v>
      </x:c>
    </x:row>
    <x:row r="433">
      <x:c r="A433" s="76" t="str">
        <x:v>ПП (В25)</x:v>
      </x:c>
      <x:c r="B433" s="76"/>
      <x:c r="C433" s="76"/>
      <x:c r="D433" s="80" t="str">
        <x:v>ИТОГО на 1 комплект</x:v>
      </x:c>
      <x:c r="E433" s="84"/>
      <x:c r="F433" s="84"/>
      <x:c r="G433" s="84" t="n">
        <x:f>SUM(G423:G432)</x:f>
        <x:v>0</x:v>
      </x:c>
      <x:c r="H433" s="90"/>
      <x:c r="I433" s="76"/>
      <x:c r="J433" s="76"/>
      <x:c r="K433" s="76" t="str">
        <x:v>B25</x:v>
      </x:c>
    </x:row>
    <x:row r="434" ht="24" customHeight="1">
      <x:c r="A434" s="69" t="str">
        <x:v>ЩАП23 (В25)</x:v>
      </x:c>
      <x:c r="B434" s="69"/>
      <x:c r="C434" s="69"/>
      <x:c r="D434" s="69" t="str">
        <x:v>ЩАП23 (В25)</x:v>
      </x:c>
      <x:c r="E434" s="82"/>
      <x:c r="F434" s="82"/>
      <x:c r="G434" s="82"/>
      <x:c r="H434" s="88" t="n">
        <x:v>1</x:v>
      </x:c>
      <x:c r="I434" s="69" t="str">
        <x:v>комплект</x:v>
      </x:c>
      <x:c r="J434" s="69" t="str">
        <x:v>TEKLED/TEKSAN</x:v>
      </x:c>
      <x:c r="K434" s="69" t="str">
        <x:v>B25</x:v>
      </x:c>
    </x:row>
    <x:row r="435">
      <x:c r="A435" s="64" t="str">
        <x:v>ЩАП23 (В25)</x:v>
      </x:c>
      <x:c r="B435" s="94" t="str">
        <x:v>korpus</x:v>
      </x:c>
      <x:c r="C435" s="100" t="str">
        <x:v>KONTROL-KORPUS-ATS-500400220-IP54</x:v>
      </x:c>
      <x:c r="D435" s="94" t="str">
        <x:v>Корпус металлический 500x400x220 мм IP54, монтажная панель</x:v>
      </x:c>
      <x:c r="E435" s="95"/>
      <x:c r="F435" s="95"/>
      <x:c r="G435" s="95" t="str">
        <x:f>IF(OR(F435="",H435=""),"",F435*H435)</x:f>
      </x:c>
      <x:c r="H435" s="96" t="n">
        <x:v>1</x:v>
      </x:c>
      <x:c r="I435" s="94" t="str">
        <x:v> ШТ. </x:v>
      </x:c>
      <x:c r="J435" s="94" t="str">
        <x:v>TEKLED</x:v>
      </x:c>
      <x:c r="K435" s="64" t="str">
        <x:v>B25</x:v>
      </x:c>
    </x:row>
    <x:row r="436">
      <x:c r="A436" s="64" t="str">
        <x:v>ЩАП23 (В25)</x:v>
      </x:c>
      <x:c r="B436" s="64" t="str">
        <x:v>ats</x:v>
      </x:c>
      <x:c r="C436" s="64" t="str">
        <x:v>256775</x:v>
      </x:c>
      <x:c r="D436" s="64" t="str">
        <x:v>Устройство АВР CHINT NXZM-63S/4B 25A, 4P</x:v>
      </x:c>
      <x:c r="E436" s="83"/>
      <x:c r="F436" s="83"/>
      <x:c r="G436" s="83" t="str">
        <x:f>IF(OR(F436="",H436=""),"",F436*H436)</x:f>
      </x:c>
      <x:c r="H436" s="89" t="n">
        <x:v>1</x:v>
      </x:c>
      <x:c r="I436" s="64" t="str">
        <x:v> ШТ. </x:v>
      </x:c>
      <x:c r="J436" s="64" t="str">
        <x:v>CHINT</x:v>
      </x:c>
      <x:c r="K436" s="64" t="str">
        <x:v>B25</x:v>
      </x:c>
    </x:row>
    <x:row r="437">
      <x:c r="A437" s="64" t="str">
        <x:v>ЩАП23 (В25)</x:v>
      </x:c>
      <x:c r="B437" s="94" t="str">
        <x:v>oto</x:v>
      </x:c>
      <x:c r="C437" s="100" t="str">
        <x:v>KONTROL-MCB-1P-C6</x:v>
      </x:c>
      <x:c r="D437" s="94" t="str">
        <x:v>Авт. выключатель CHINT NXB-63 1P C6A, цепь управления</x:v>
      </x:c>
      <x:c r="E437" s="95"/>
      <x:c r="F437" s="95"/>
      <x:c r="G437" s="95" t="str">
        <x:f>IF(OR(F437="",H437=""),"",F437*H437)</x:f>
      </x:c>
      <x:c r="H437" s="96" t="n">
        <x:v>1</x:v>
      </x:c>
      <x:c r="I437" s="94" t="str">
        <x:v> ШТ. </x:v>
      </x:c>
      <x:c r="J437" s="94" t="str">
        <x:v>CHINT</x:v>
      </x:c>
      <x:c r="K437" s="64" t="str">
        <x:v>B25</x:v>
      </x:c>
    </x:row>
    <x:row r="438">
      <x:c r="A438" s="64" t="str">
        <x:v>ЩАП23 (В25)</x:v>
      </x:c>
      <x:c r="B438" s="64" t="str">
        <x:v>indicator</x:v>
      </x:c>
      <x:c r="C438" s="64" t="str">
        <x:v>593077</x:v>
      </x:c>
      <x:c r="D438" s="64" t="str">
        <x:v>Индикатор ND16-22D/2 зеленый AC/DC230В (R)</x:v>
      </x:c>
      <x:c r="E438" s="83" t="n">
        <x:v>589</x:v>
      </x:c>
      <x:c r="F438" s="83" t="n">
        <x:v>353.4</x:v>
      </x:c>
      <x:c r="G438" s="83" t="n">
        <x:f>IF(OR(F438="",H438=""),"",F438*H438)</x:f>
        <x:v>706.8</x:v>
      </x:c>
      <x:c r="H438" s="89" t="n">
        <x:v>2</x:v>
      </x:c>
      <x:c r="I438" s="64" t="str">
        <x:v> ШТ. </x:v>
      </x:c>
      <x:c r="J438" s="64" t="str">
        <x:v>chint</x:v>
      </x:c>
      <x:c r="K438" s="64" t="str">
        <x:v>B25</x:v>
      </x:c>
    </x:row>
    <x:row r="439">
      <x:c r="A439" s="64" t="str">
        <x:v>ЩАП23 (В25)</x:v>
      </x:c>
      <x:c r="B439" s="64" t="str">
        <x:v>indicator</x:v>
      </x:c>
      <x:c r="C439" s="64" t="str">
        <x:v>593076</x:v>
      </x:c>
      <x:c r="D439" s="64" t="str">
        <x:v>Индикатор ND16-22D/2 желтый AC/DC230В (R)</x:v>
      </x:c>
      <x:c r="E439" s="83" t="n">
        <x:v>571</x:v>
      </x:c>
      <x:c r="F439" s="83" t="n">
        <x:v>342.59999999999997</x:v>
      </x:c>
      <x:c r="G439" s="83" t="n">
        <x:f>IF(OR(F439="",H439=""),"",F439*H439)</x:f>
        <x:v>685.1999999999999</x:v>
      </x:c>
      <x:c r="H439" s="89" t="n">
        <x:v>2</x:v>
      </x:c>
      <x:c r="I439" s="64" t="str">
        <x:v> ШТ. </x:v>
      </x:c>
      <x:c r="J439" s="64" t="str">
        <x:v>chint</x:v>
      </x:c>
      <x:c r="K439" s="64" t="str">
        <x:v>B25</x:v>
      </x:c>
    </x:row>
    <x:row r="440">
      <x:c r="A440" s="64" t="str">
        <x:v>ЩАП23 (В25)</x:v>
      </x:c>
      <x:c r="B440" s="64" t="str">
        <x:v>indicator</x:v>
      </x:c>
      <x:c r="C440" s="64" t="str">
        <x:v>593075</x:v>
      </x:c>
      <x:c r="D440" s="64" t="str">
        <x:v>Индикатор ND16-22D/2 красный AC/DC230В (R)</x:v>
      </x:c>
      <x:c r="E440" s="83" t="n">
        <x:v>571</x:v>
      </x:c>
      <x:c r="F440" s="83" t="n">
        <x:v>342.59999999999997</x:v>
      </x:c>
      <x:c r="G440" s="83" t="n">
        <x:f>IF(OR(F440="",H440=""),"",F440*H440)</x:f>
        <x:v>685.1999999999999</x:v>
      </x:c>
      <x:c r="H440" s="89" t="n">
        <x:v>2</x:v>
      </x:c>
      <x:c r="I440" s="64" t="str">
        <x:v> ШТ. </x:v>
      </x:c>
      <x:c r="J440" s="64" t="str">
        <x:v>chint</x:v>
      </x:c>
      <x:c r="K440" s="64" t="str">
        <x:v>B25</x:v>
      </x:c>
    </x:row>
    <x:row r="441">
      <x:c r="A441" s="64" t="str">
        <x:v>ЩАП23 (В25)</x:v>
      </x:c>
      <x:c r="B441" s="94" t="str">
        <x:v>bara</x:v>
      </x:c>
      <x:c r="C441" s="100" t="str">
        <x:v>KONTROL-N</x:v>
      </x:c>
      <x:c r="D441" s="94" t="str">
        <x:v>Шина N изолированная, не менее 12 присоединений</x:v>
      </x:c>
      <x:c r="E441" s="95"/>
      <x:c r="F441" s="95"/>
      <x:c r="G441" s="95" t="str">
        <x:f>IF(OR(F441="",H441=""),"",F441*H441)</x:f>
      </x:c>
      <x:c r="H441" s="96" t="n">
        <x:v>1</x:v>
      </x:c>
      <x:c r="I441" s="94" t="str">
        <x:v> ШТ. </x:v>
      </x:c>
      <x:c r="J441" s="94" t="str">
        <x:v>EKT/Klemsan</x:v>
      </x:c>
      <x:c r="K441" s="64" t="str">
        <x:v>B25</x:v>
      </x:c>
    </x:row>
    <x:row r="442">
      <x:c r="A442" s="64" t="str">
        <x:v>ЩАП23 (В25)</x:v>
      </x:c>
      <x:c r="B442" s="94" t="str">
        <x:v>bara</x:v>
      </x:c>
      <x:c r="C442" s="100" t="str">
        <x:v>KONTROL-PE</x:v>
      </x:c>
      <x:c r="D442" s="94" t="str">
        <x:v>Шина PE медная, не менее 12 присоединений</x:v>
      </x:c>
      <x:c r="E442" s="95"/>
      <x:c r="F442" s="95"/>
      <x:c r="G442" s="95" t="str">
        <x:f>IF(OR(F442="",H442=""),"",F442*H442)</x:f>
      </x:c>
      <x:c r="H442" s="96" t="n">
        <x:v>1</x:v>
      </x:c>
      <x:c r="I442" s="94" t="str">
        <x:v> ШТ. </x:v>
      </x:c>
      <x:c r="J442" s="94" t="str">
        <x:v>EKT/Klemsan</x:v>
      </x:c>
      <x:c r="K442" s="64" t="str">
        <x:v>B25</x:v>
      </x:c>
    </x:row>
    <x:row r="443">
      <x:c r="A443" s="64" t="str">
        <x:v>ЩАП23 (В25)</x:v>
      </x:c>
      <x:c r="B443" s="94" t="str">
        <x:v>din</x:v>
      </x:c>
      <x:c r="C443" s="100" t="str">
        <x:v>KONTROL-DIN</x:v>
      </x:c>
      <x:c r="D443" s="94" t="str">
        <x:v>DIN рейка 35 мм, оцинкованная, комплект по габариту</x:v>
      </x:c>
      <x:c r="E443" s="95"/>
      <x:c r="F443" s="95"/>
      <x:c r="G443" s="95" t="str">
        <x:f>IF(OR(F443="",H443=""),"",F443*H443)</x:f>
      </x:c>
      <x:c r="H443" s="96" t="n">
        <x:v>1</x:v>
      </x:c>
      <x:c r="I443" s="94" t="str">
        <x:v> ШТ. </x:v>
      </x:c>
      <x:c r="J443" s="94" t="str">
        <x:v>EKT</x:v>
      </x:c>
      <x:c r="K443" s="64" t="str">
        <x:v>B25</x:v>
      </x:c>
    </x:row>
    <x:row r="444">
      <x:c r="A444" s="64" t="str">
        <x:v>ЩАП23 (В25)</x:v>
      </x:c>
      <x:c r="B444" s="94" t="str">
        <x:v>kanal</x:v>
      </x:c>
      <x:c r="C444" s="100" t="str">
        <x:v>KONTROL-KK</x:v>
      </x:c>
      <x:c r="D444" s="94" t="str">
        <x:v>Кабельный канал перфорированный, комплект по габариту</x:v>
      </x:c>
      <x:c r="E444" s="95"/>
      <x:c r="F444" s="95"/>
      <x:c r="G444" s="95" t="str">
        <x:f>IF(OR(F444="",H444=""),"",F444*H444)</x:f>
      </x:c>
      <x:c r="H444" s="96" t="n">
        <x:v>1</x:v>
      </x:c>
      <x:c r="I444" s="94" t="str">
        <x:v> ШТ. </x:v>
      </x:c>
      <x:c r="J444" s="94" t="str">
        <x:v>ONKA/EKT</x:v>
      </x:c>
      <x:c r="K444" s="64" t="str">
        <x:v>B25</x:v>
      </x:c>
    </x:row>
    <x:row r="445">
      <x:c r="A445" s="64" t="str">
        <x:v>ЩАП23 (В25)</x:v>
      </x:c>
      <x:c r="B445" s="94" t="str">
        <x:v>klemens</x:v>
      </x:c>
      <x:c r="C445" s="100" t="str">
        <x:v>KONTROL-KL</x:v>
      </x:c>
      <x:c r="D445" s="94" t="str">
        <x:v>Клеммник 2,5-6 мм² (фаза/N/PE по схеме)</x:v>
      </x:c>
      <x:c r="E445" s="95"/>
      <x:c r="F445" s="95"/>
      <x:c r="G445" s="95" t="str">
        <x:f>IF(OR(F445="",H445=""),"",F445*H445)</x:f>
      </x:c>
      <x:c r="H445" s="96" t="n">
        <x:v>20</x:v>
      </x:c>
      <x:c r="I445" s="94" t="str">
        <x:v> ШТ. </x:v>
      </x:c>
      <x:c r="J445" s="94" t="str">
        <x:v>Klemsan/EKT</x:v>
      </x:c>
      <x:c r="K445" s="64" t="str">
        <x:v>B25</x:v>
      </x:c>
    </x:row>
    <x:row r="446">
      <x:c r="A446" s="64" t="str">
        <x:v>ЩАП23 (В25)</x:v>
      </x:c>
      <x:c r="B446" s="94" t="str">
        <x:v>kablo</x:v>
      </x:c>
      <x:c r="C446" s="100" t="str">
        <x:v>KONTROL-WIRE</x:v>
      </x:c>
      <x:c r="D446" s="94" t="str">
        <x:v>Внутренняя проводка Harmony + маркировка, комплект</x:v>
      </x:c>
      <x:c r="E446" s="95"/>
      <x:c r="F446" s="95"/>
      <x:c r="G446" s="95" t="str">
        <x:f>IF(OR(F446="",H446=""),"",F446*H446)</x:f>
      </x:c>
      <x:c r="H446" s="96" t="n">
        <x:v>1</x:v>
      </x:c>
      <x:c r="I446" s="94" t="str">
        <x:v> ШТ. </x:v>
      </x:c>
      <x:c r="J446" s="94" t="str">
        <x:v>Harmony</x:v>
      </x:c>
      <x:c r="K446" s="64" t="str">
        <x:v>B25</x:v>
      </x:c>
    </x:row>
    <x:row r="447">
      <x:c r="A447" s="64" t="str">
        <x:v>ЩАП23 (В25)</x:v>
      </x:c>
      <x:c r="B447" s="64" t="str">
        <x:v>монтажный материал</x:v>
      </x:c>
      <x:c r="C447" s="64" t="str">
        <x:v>монтажный материал</x:v>
      </x:c>
      <x:c r="D447" s="64" t="str">
        <x:v>Монтажный материал</x:v>
      </x:c>
      <x:c r="E447" s="83"/>
      <x:c r="F447" s="83"/>
      <x:c r="G447" s="83" t="str">
        <x:f>IF(OR(F447="",H447=""),"",F447*H447)</x:f>
      </x:c>
      <x:c r="H447" s="89" t="n">
        <x:v>1</x:v>
      </x:c>
      <x:c r="I447" s="64" t="str">
        <x:v>компл.</x:v>
      </x:c>
      <x:c r="J447" s="64" t="str">
        <x:v>TEKLED</x:v>
      </x:c>
      <x:c r="K447" s="64" t="str">
        <x:v>B25</x:v>
      </x:c>
    </x:row>
    <x:row r="448">
      <x:c r="A448" s="64" t="str">
        <x:v>ЩАП23 (В25)</x:v>
      </x:c>
      <x:c r="B448" s="64" t="str">
        <x:v>монтажные работы</x:v>
      </x:c>
      <x:c r="C448" s="64" t="str">
        <x:v>монтажные работы</x:v>
      </x:c>
      <x:c r="D448" s="64" t="str">
        <x:v>Монтажные работы</x:v>
      </x:c>
      <x:c r="E448" s="83"/>
      <x:c r="F448" s="83"/>
      <x:c r="G448" s="83" t="str">
        <x:f>IF(OR(F448="",H448=""),"",F448*H448)</x:f>
      </x:c>
      <x:c r="H448" s="89" t="n">
        <x:v>1</x:v>
      </x:c>
      <x:c r="I448" s="64" t="str">
        <x:v>компл.</x:v>
      </x:c>
      <x:c r="J448" s="64" t="str">
        <x:v>TEKLED</x:v>
      </x:c>
      <x:c r="K448" s="64" t="str">
        <x:v>B25</x:v>
      </x:c>
    </x:row>
    <x:row r="449">
      <x:c r="A449" s="76" t="str">
        <x:v>ЩАП23 (В25)</x:v>
      </x:c>
      <x:c r="B449" s="76"/>
      <x:c r="C449" s="76"/>
      <x:c r="D449" s="80" t="str">
        <x:v>ИТОГО на 1 комплект</x:v>
      </x:c>
      <x:c r="E449" s="84"/>
      <x:c r="F449" s="84"/>
      <x:c r="G449" s="84" t="n">
        <x:f>SUM(G435:G448)</x:f>
        <x:v>2077.2</x:v>
      </x:c>
      <x:c r="H449" s="90"/>
      <x:c r="I449" s="76"/>
      <x:c r="J449" s="76"/>
      <x:c r="K449" s="76" t="str">
        <x:v>B25</x:v>
      </x:c>
    </x:row>
    <x:row r="450" ht="24" customHeight="1">
      <x:c r="A450" s="69" t="str">
        <x:v>РПАвр (В25)</x:v>
      </x:c>
      <x:c r="B450" s="69"/>
      <x:c r="C450" s="69"/>
      <x:c r="D450" s="69" t="str">
        <x:v>РПАвр (В25)</x:v>
      </x:c>
      <x:c r="E450" s="82"/>
      <x:c r="F450" s="82"/>
      <x:c r="G450" s="82"/>
      <x:c r="H450" s="88" t="n">
        <x:v>1</x:v>
      </x:c>
      <x:c r="I450" s="69" t="str">
        <x:v>комплект</x:v>
      </x:c>
      <x:c r="J450" s="69" t="str">
        <x:v>TEKLED/TEKSAN</x:v>
      </x:c>
      <x:c r="K450" s="69" t="str">
        <x:v>B25</x:v>
      </x:c>
    </x:row>
    <x:row r="451">
      <x:c r="A451" s="64" t="str">
        <x:v>РПАвр (В25)</x:v>
      </x:c>
      <x:c r="B451" s="64" t="str">
        <x:v>korpus</x:v>
      </x:c>
      <x:c r="C451" s="64" t="str">
        <x:v>714-15015</x:v>
      </x:c>
      <x:c r="D451" s="64" t="str">
        <x:v>Pano met.ShRn-36 b/o (312х540х120)S/U 36 IP31 (TS)</x:v>
      </x:c>
      <x:c r="E451" s="83" t="n">
        <x:v>15140</x:v>
      </x:c>
      <x:c r="F451" s="83" t="n">
        <x:v>9084</x:v>
      </x:c>
      <x:c r="G451" s="83" t="n">
        <x:f>IF(OR(F451="",H451=""),"",F451*H451)</x:f>
        <x:v>9084</x:v>
      </x:c>
      <x:c r="H451" s="89" t="n">
        <x:v>1</x:v>
      </x:c>
      <x:c r="I451" s="64" t="str">
        <x:v> ШТ. </x:v>
      </x:c>
      <x:c r="J451" s="64" t="str">
        <x:v>teksan f</x:v>
      </x:c>
      <x:c r="K451" s="64" t="str">
        <x:v>B25</x:v>
      </x:c>
    </x:row>
    <x:row r="452">
      <x:c r="A452" s="64" t="str">
        <x:v>РПАвр (В25)</x:v>
      </x:c>
      <x:c r="B452" s="64" t="str">
        <x:v>oto</x:v>
      </x:c>
      <x:c r="C452" s="64" t="str">
        <x:v>296829</x:v>
      </x:c>
      <x:c r="D452" s="64" t="str">
        <x:v>Авт. выкл. NXB-63S 3P 25А 4.5kA х-ка C (R)</x:v>
      </x:c>
      <x:c r="E452" s="83" t="n">
        <x:v>2429</x:v>
      </x:c>
      <x:c r="F452" s="83" t="n">
        <x:v>1457.3999999999999</x:v>
      </x:c>
      <x:c r="G452" s="83" t="n">
        <x:f>IF(OR(F452="",H452=""),"",F452*H452)</x:f>
        <x:v>1457.3999999999999</x:v>
      </x:c>
      <x:c r="H452" s="89" t="n">
        <x:v>1</x:v>
      </x:c>
      <x:c r="I452" s="64" t="str">
        <x:v> ШТ. </x:v>
      </x:c>
      <x:c r="J452" s="64" t="str">
        <x:v>chint</x:v>
      </x:c>
      <x:c r="K452" s="64" t="str">
        <x:v>B25</x:v>
      </x:c>
    </x:row>
    <x:row r="453">
      <x:c r="A453" s="64" t="str">
        <x:v>РПАвр (В25)</x:v>
      </x:c>
      <x:c r="B453" s="64" t="str">
        <x:v>oto</x:v>
      </x:c>
      <x:c r="C453" s="64" t="str">
        <x:v>296828</x:v>
      </x:c>
      <x:c r="D453" s="64" t="str">
        <x:v>Авт. выкл. NXB-63S 3P 20А 4.5kA х-ка C (R)</x:v>
      </x:c>
      <x:c r="E453" s="83" t="n">
        <x:v>2499</x:v>
      </x:c>
      <x:c r="F453" s="83" t="n">
        <x:v>1499.3999999999999</x:v>
      </x:c>
      <x:c r="G453" s="83" t="n">
        <x:f>IF(OR(F453="",H453=""),"",F453*H453)</x:f>
        <x:v>1499.3999999999999</x:v>
      </x:c>
      <x:c r="H453" s="89" t="n">
        <x:v>1</x:v>
      </x:c>
      <x:c r="I453" s="64" t="str">
        <x:v> ШТ. </x:v>
      </x:c>
      <x:c r="J453" s="64" t="str">
        <x:v>chint</x:v>
      </x:c>
      <x:c r="K453" s="64" t="str">
        <x:v>B25</x:v>
      </x:c>
    </x:row>
    <x:row r="454">
      <x:c r="A454" s="64" t="str">
        <x:v>РПАвр (В25)</x:v>
      </x:c>
      <x:c r="B454" s="64" t="str">
        <x:v>oto</x:v>
      </x:c>
      <x:c r="C454" s="64" t="str">
        <x:v>296827</x:v>
      </x:c>
      <x:c r="D454" s="64" t="str">
        <x:v>Авт. выкл. NXB-63S 3P 16А 4.5kA х-ка C (R)</x:v>
      </x:c>
      <x:c r="E454" s="83" t="n">
        <x:v>2337</x:v>
      </x:c>
      <x:c r="F454" s="83" t="n">
        <x:v>1402.2</x:v>
      </x:c>
      <x:c r="G454" s="83" t="n">
        <x:f>IF(OR(F454="",H454=""),"",F454*H454)</x:f>
        <x:v>4206.6</x:v>
      </x:c>
      <x:c r="H454" s="89" t="n">
        <x:v>3</x:v>
      </x:c>
      <x:c r="I454" s="64" t="str">
        <x:v> ШТ. </x:v>
      </x:c>
      <x:c r="J454" s="64" t="str">
        <x:v>chint</x:v>
      </x:c>
      <x:c r="K454" s="64" t="str">
        <x:v>B25</x:v>
      </x:c>
    </x:row>
    <x:row r="455">
      <x:c r="A455" s="64" t="str">
        <x:v>РПАвр (В25)</x:v>
      </x:c>
      <x:c r="B455" s="64" t="str">
        <x:v>oto</x:v>
      </x:c>
      <x:c r="C455" s="64" t="str">
        <x:v>814014</x:v>
      </x:c>
      <x:c r="D455" s="64" t="str">
        <x:v>Авт. выкл. NXB-63 1P 16A 6кА х-ка C (R)</x:v>
      </x:c>
      <x:c r="E455" s="83" t="n">
        <x:v>1389</x:v>
      </x:c>
      <x:c r="F455" s="83" t="n">
        <x:v>833.4</x:v>
      </x:c>
      <x:c r="G455" s="83" t="n">
        <x:f>IF(OR(F455="",H455=""),"",F455*H455)</x:f>
        <x:v>2500.2</x:v>
      </x:c>
      <x:c r="H455" s="89" t="n">
        <x:v>3</x:v>
      </x:c>
      <x:c r="I455" s="64" t="str">
        <x:v> ШТ. </x:v>
      </x:c>
      <x:c r="J455" s="64" t="str">
        <x:v>chint</x:v>
      </x:c>
      <x:c r="K455" s="64" t="str">
        <x:v>B25</x:v>
      </x:c>
    </x:row>
    <x:row r="456">
      <x:c r="A456" s="64" t="str">
        <x:v>РПАвр (В25)</x:v>
      </x:c>
      <x:c r="B456" s="64" t="str">
        <x:v>dif</x:v>
      </x:c>
      <x:c r="C456" s="64" t="str">
        <x:v>105542</x:v>
      </x:c>
      <x:c r="D456" s="64" t="str">
        <x:v>Диф. авт. выкл. NXBLE-63Y 1P+N 16А 30mA электронный тип AС, х-ка С, 4.5kA (R)</x:v>
      </x:c>
      <x:c r="E456" s="83" t="n">
        <x:v>5093</x:v>
      </x:c>
      <x:c r="F456" s="83" t="n">
        <x:v>3055.7999999999997</x:v>
      </x:c>
      <x:c r="G456" s="83" t="n">
        <x:f>IF(OR(F456="",H456=""),"",F456*H456)</x:f>
        <x:v>12223.199999999999</x:v>
      </x:c>
      <x:c r="H456" s="89" t="n">
        <x:v>4</x:v>
      </x:c>
      <x:c r="I456" s="64" t="str">
        <x:v> ШТ. </x:v>
      </x:c>
      <x:c r="J456" s="64" t="str">
        <x:v>chint</x:v>
      </x:c>
      <x:c r="K456" s="64" t="str">
        <x:v>B25</x:v>
      </x:c>
    </x:row>
    <x:row r="457">
      <x:c r="A457" s="64" t="str">
        <x:v>РПАвр (В25)</x:v>
      </x:c>
      <x:c r="B457" s="94" t="str">
        <x:v>bara</x:v>
      </x:c>
      <x:c r="C457" s="100" t="str">
        <x:v>KONTROL-N</x:v>
      </x:c>
      <x:c r="D457" s="94" t="str">
        <x:v>Шина N изолированная, не менее 12 присоединений</x:v>
      </x:c>
      <x:c r="E457" s="95"/>
      <x:c r="F457" s="95"/>
      <x:c r="G457" s="95" t="str">
        <x:f>IF(OR(F457="",H457=""),"",F457*H457)</x:f>
      </x:c>
      <x:c r="H457" s="96" t="n">
        <x:v>1</x:v>
      </x:c>
      <x:c r="I457" s="94" t="str">
        <x:v> ШТ. </x:v>
      </x:c>
      <x:c r="J457" s="94" t="str">
        <x:v>EKT/Klemsan</x:v>
      </x:c>
      <x:c r="K457" s="64" t="str">
        <x:v>B25</x:v>
      </x:c>
    </x:row>
    <x:row r="458">
      <x:c r="A458" s="64" t="str">
        <x:v>РПАвр (В25)</x:v>
      </x:c>
      <x:c r="B458" s="94" t="str">
        <x:v>bara</x:v>
      </x:c>
      <x:c r="C458" s="100" t="str">
        <x:v>KONTROL-PE</x:v>
      </x:c>
      <x:c r="D458" s="94" t="str">
        <x:v>Шина PE медная, не менее 12 присоединений</x:v>
      </x:c>
      <x:c r="E458" s="95"/>
      <x:c r="F458" s="95"/>
      <x:c r="G458" s="95" t="str">
        <x:f>IF(OR(F458="",H458=""),"",F458*H458)</x:f>
      </x:c>
      <x:c r="H458" s="96" t="n">
        <x:v>1</x:v>
      </x:c>
      <x:c r="I458" s="94" t="str">
        <x:v> ШТ. </x:v>
      </x:c>
      <x:c r="J458" s="94" t="str">
        <x:v>EKT/Klemsan</x:v>
      </x:c>
      <x:c r="K458" s="64" t="str">
        <x:v>B25</x:v>
      </x:c>
    </x:row>
    <x:row r="459">
      <x:c r="A459" s="64" t="str">
        <x:v>РПАвр (В25)</x:v>
      </x:c>
      <x:c r="B459" s="94" t="str">
        <x:v>din</x:v>
      </x:c>
      <x:c r="C459" s="100" t="str">
        <x:v>KONTROL-DIN</x:v>
      </x:c>
      <x:c r="D459" s="94" t="str">
        <x:v>DIN рейка 35 мм, оцинкованная, комплект по габариту</x:v>
      </x:c>
      <x:c r="E459" s="95"/>
      <x:c r="F459" s="95"/>
      <x:c r="G459" s="95" t="str">
        <x:f>IF(OR(F459="",H459=""),"",F459*H459)</x:f>
      </x:c>
      <x:c r="H459" s="96" t="n">
        <x:v>1</x:v>
      </x:c>
      <x:c r="I459" s="94" t="str">
        <x:v> ШТ. </x:v>
      </x:c>
      <x:c r="J459" s="94" t="str">
        <x:v>EKT</x:v>
      </x:c>
      <x:c r="K459" s="64" t="str">
        <x:v>B25</x:v>
      </x:c>
    </x:row>
    <x:row r="460">
      <x:c r="A460" s="64" t="str">
        <x:v>РПАвр (В25)</x:v>
      </x:c>
      <x:c r="B460" s="94" t="str">
        <x:v>kanal</x:v>
      </x:c>
      <x:c r="C460" s="100" t="str">
        <x:v>KONTROL-KK</x:v>
      </x:c>
      <x:c r="D460" s="94" t="str">
        <x:v>Кабельный канал перфорированный, комплект по габариту</x:v>
      </x:c>
      <x:c r="E460" s="95"/>
      <x:c r="F460" s="95"/>
      <x:c r="G460" s="95" t="str">
        <x:f>IF(OR(F460="",H460=""),"",F460*H460)</x:f>
      </x:c>
      <x:c r="H460" s="96" t="n">
        <x:v>1</x:v>
      </x:c>
      <x:c r="I460" s="94" t="str">
        <x:v> ШТ. </x:v>
      </x:c>
      <x:c r="J460" s="94" t="str">
        <x:v>ONKA/EKT</x:v>
      </x:c>
      <x:c r="K460" s="64" t="str">
        <x:v>B25</x:v>
      </x:c>
    </x:row>
    <x:row r="461">
      <x:c r="A461" s="64" t="str">
        <x:v>РПАвр (В25)</x:v>
      </x:c>
      <x:c r="B461" s="94" t="str">
        <x:v>klemens</x:v>
      </x:c>
      <x:c r="C461" s="100" t="str">
        <x:v>KONTROL-KL</x:v>
      </x:c>
      <x:c r="D461" s="94" t="str">
        <x:v>Клеммник 2,5-6 мм² (фаза/N/PE по схеме)</x:v>
      </x:c>
      <x:c r="E461" s="95"/>
      <x:c r="F461" s="95"/>
      <x:c r="G461" s="95" t="str">
        <x:f>IF(OR(F461="",H461=""),"",F461*H461)</x:f>
      </x:c>
      <x:c r="H461" s="96" t="n">
        <x:v>29</x:v>
      </x:c>
      <x:c r="I461" s="94" t="str">
        <x:v> ШТ. </x:v>
      </x:c>
      <x:c r="J461" s="94" t="str">
        <x:v>Klemsan/EKT</x:v>
      </x:c>
      <x:c r="K461" s="64" t="str">
        <x:v>B25</x:v>
      </x:c>
    </x:row>
    <x:row r="462">
      <x:c r="A462" s="64" t="str">
        <x:v>РПАвр (В25)</x:v>
      </x:c>
      <x:c r="B462" s="94" t="str">
        <x:v>kablo</x:v>
      </x:c>
      <x:c r="C462" s="100" t="str">
        <x:v>KONTROL-WIRE</x:v>
      </x:c>
      <x:c r="D462" s="94" t="str">
        <x:v>Внутренняя проводка Harmony + маркировка, комплект</x:v>
      </x:c>
      <x:c r="E462" s="95"/>
      <x:c r="F462" s="95"/>
      <x:c r="G462" s="95" t="str">
        <x:f>IF(OR(F462="",H462=""),"",F462*H462)</x:f>
      </x:c>
      <x:c r="H462" s="96" t="n">
        <x:v>1</x:v>
      </x:c>
      <x:c r="I462" s="94" t="str">
        <x:v> ШТ. </x:v>
      </x:c>
      <x:c r="J462" s="94" t="str">
        <x:v>Harmony</x:v>
      </x:c>
      <x:c r="K462" s="64" t="str">
        <x:v>B25</x:v>
      </x:c>
    </x:row>
    <x:row r="463">
      <x:c r="A463" s="64" t="str">
        <x:v>РПАвр (В25)</x:v>
      </x:c>
      <x:c r="B463" s="64" t="str">
        <x:v>монтажный материал</x:v>
      </x:c>
      <x:c r="C463" s="64" t="str">
        <x:v>монтажный материал</x:v>
      </x:c>
      <x:c r="D463" s="64" t="str">
        <x:v>Монтажный материал</x:v>
      </x:c>
      <x:c r="E463" s="83"/>
      <x:c r="F463" s="83"/>
      <x:c r="G463" s="83" t="str">
        <x:f>IF(OR(F463="",H463=""),"",F463*H463)</x:f>
      </x:c>
      <x:c r="H463" s="89" t="n">
        <x:v>1</x:v>
      </x:c>
      <x:c r="I463" s="64" t="str">
        <x:v>компл.</x:v>
      </x:c>
      <x:c r="J463" s="64" t="str">
        <x:v>TEKLED</x:v>
      </x:c>
      <x:c r="K463" s="64" t="str">
        <x:v>B25</x:v>
      </x:c>
    </x:row>
    <x:row r="464">
      <x:c r="A464" s="64" t="str">
        <x:v>РПАвр (В25)</x:v>
      </x:c>
      <x:c r="B464" s="64" t="str">
        <x:v>монтажные работы</x:v>
      </x:c>
      <x:c r="C464" s="64" t="str">
        <x:v>монтажные работы</x:v>
      </x:c>
      <x:c r="D464" s="64" t="str">
        <x:v>Монтажные работы</x:v>
      </x:c>
      <x:c r="E464" s="83"/>
      <x:c r="F464" s="83"/>
      <x:c r="G464" s="83" t="str">
        <x:f>IF(OR(F464="",H464=""),"",F464*H464)</x:f>
      </x:c>
      <x:c r="H464" s="89" t="n">
        <x:v>1</x:v>
      </x:c>
      <x:c r="I464" s="64" t="str">
        <x:v>компл.</x:v>
      </x:c>
      <x:c r="J464" s="64" t="str">
        <x:v>TEKLED</x:v>
      </x:c>
      <x:c r="K464" s="64" t="str">
        <x:v>B25</x:v>
      </x:c>
    </x:row>
    <x:row r="465">
      <x:c r="A465" s="76" t="str">
        <x:v>РПАвр (В25)</x:v>
      </x:c>
      <x:c r="B465" s="76"/>
      <x:c r="C465" s="76"/>
      <x:c r="D465" s="80" t="str">
        <x:v>ИТОГО на 1 комплект</x:v>
      </x:c>
      <x:c r="E465" s="84"/>
      <x:c r="F465" s="84"/>
      <x:c r="G465" s="84" t="n">
        <x:f>SUM(G451:G464)</x:f>
        <x:v>30970.799999999996</x:v>
      </x:c>
      <x:c r="H465" s="90"/>
      <x:c r="I465" s="76"/>
      <x:c r="J465" s="76"/>
      <x:c r="K465" s="76" t="str">
        <x:v>B25</x:v>
      </x:c>
    </x:row>
    <x:row r="466" ht="24" customHeight="1">
      <x:c r="A466" s="69" t="str">
        <x:v>РП-1 (В25)</x:v>
      </x:c>
      <x:c r="B466" s="69"/>
      <x:c r="C466" s="69"/>
      <x:c r="D466" s="69" t="str">
        <x:v>РП-1 (В25)</x:v>
      </x:c>
      <x:c r="E466" s="82"/>
      <x:c r="F466" s="82"/>
      <x:c r="G466" s="82"/>
      <x:c r="H466" s="88" t="n">
        <x:v>1</x:v>
      </x:c>
      <x:c r="I466" s="69" t="str">
        <x:v>комплект</x:v>
      </x:c>
      <x:c r="J466" s="69" t="str">
        <x:v>TEKLED/TEKSAN</x:v>
      </x:c>
      <x:c r="K466" s="69" t="str">
        <x:v>B25</x:v>
      </x:c>
    </x:row>
    <x:row r="467">
      <x:c r="A467" s="64" t="str">
        <x:v>РП-1 (В25)</x:v>
      </x:c>
      <x:c r="B467" s="64" t="str">
        <x:v>korpus</x:v>
      </x:c>
      <x:c r="C467" s="64" t="str">
        <x:v>714-15015</x:v>
      </x:c>
      <x:c r="D467" s="64" t="str">
        <x:v>Pano met.ShRn-36 b/o (312х540х120)S/U 36 IP31 (TS)</x:v>
      </x:c>
      <x:c r="E467" s="83" t="n">
        <x:v>15140</x:v>
      </x:c>
      <x:c r="F467" s="83" t="n">
        <x:v>9084</x:v>
      </x:c>
      <x:c r="G467" s="83" t="n">
        <x:f>IF(OR(F467="",H467=""),"",F467*H467)</x:f>
        <x:v>9084</x:v>
      </x:c>
      <x:c r="H467" s="89" t="n">
        <x:v>1</x:v>
      </x:c>
      <x:c r="I467" s="64" t="str">
        <x:v> ШТ. </x:v>
      </x:c>
      <x:c r="J467" s="64" t="str">
        <x:v>teksan f</x:v>
      </x:c>
      <x:c r="K467" s="64" t="str">
        <x:v>B25</x:v>
      </x:c>
    </x:row>
    <x:row r="468">
      <x:c r="A468" s="64" t="str">
        <x:v>РП-1 (В25)</x:v>
      </x:c>
      <x:c r="B468" s="64" t="str">
        <x:v>oto</x:v>
      </x:c>
      <x:c r="C468" s="64" t="str">
        <x:v>296828</x:v>
      </x:c>
      <x:c r="D468" s="64" t="str">
        <x:v>Авт. выкл. NXB-63S 3P 20А 4.5kA х-ка C (R)</x:v>
      </x:c>
      <x:c r="E468" s="83" t="n">
        <x:v>2499</x:v>
      </x:c>
      <x:c r="F468" s="83" t="n">
        <x:v>1499.3999999999999</x:v>
      </x:c>
      <x:c r="G468" s="83" t="n">
        <x:f>IF(OR(F468="",H468=""),"",F468*H468)</x:f>
        <x:v>1499.3999999999999</x:v>
      </x:c>
      <x:c r="H468" s="89" t="n">
        <x:v>1</x:v>
      </x:c>
      <x:c r="I468" s="64" t="str">
        <x:v> ШТ. </x:v>
      </x:c>
      <x:c r="J468" s="64" t="str">
        <x:v>chint</x:v>
      </x:c>
      <x:c r="K468" s="64" t="str">
        <x:v>B25</x:v>
      </x:c>
    </x:row>
    <x:row r="469">
      <x:c r="A469" s="64" t="str">
        <x:v>РП-1 (В25)</x:v>
      </x:c>
      <x:c r="B469" s="64" t="str">
        <x:v>dif</x:v>
      </x:c>
      <x:c r="C469" s="64" t="str">
        <x:v>105542</x:v>
      </x:c>
      <x:c r="D469" s="64" t="str">
        <x:v>Диф. авт. выкл. NXBLE-63Y 1P+N 16А 30mA электронный тип AС, х-ка С, 4.5kA (R)</x:v>
      </x:c>
      <x:c r="E469" s="83" t="n">
        <x:v>5093</x:v>
      </x:c>
      <x:c r="F469" s="83" t="n">
        <x:v>3055.7999999999997</x:v>
      </x:c>
      <x:c r="G469" s="83" t="n">
        <x:f>IF(OR(F469="",H469=""),"",F469*H469)</x:f>
        <x:v>18334.8</x:v>
      </x:c>
      <x:c r="H469" s="89" t="n">
        <x:v>6</x:v>
      </x:c>
      <x:c r="I469" s="64" t="str">
        <x:v> ШТ. </x:v>
      </x:c>
      <x:c r="J469" s="64" t="str">
        <x:v>chint</x:v>
      </x:c>
      <x:c r="K469" s="64" t="str">
        <x:v>B25</x:v>
      </x:c>
    </x:row>
    <x:row r="470">
      <x:c r="A470" s="64" t="str">
        <x:v>РП-1 (В25)</x:v>
      </x:c>
      <x:c r="B470" s="94" t="str">
        <x:v>bara</x:v>
      </x:c>
      <x:c r="C470" s="100" t="str">
        <x:v>KONTROL-N</x:v>
      </x:c>
      <x:c r="D470" s="94" t="str">
        <x:v>Шина N изолированная, не менее 12 присоединений</x:v>
      </x:c>
      <x:c r="E470" s="95"/>
      <x:c r="F470" s="95"/>
      <x:c r="G470" s="95" t="str">
        <x:f>IF(OR(F470="",H470=""),"",F470*H470)</x:f>
      </x:c>
      <x:c r="H470" s="96" t="n">
        <x:v>1</x:v>
      </x:c>
      <x:c r="I470" s="94" t="str">
        <x:v> ШТ. </x:v>
      </x:c>
      <x:c r="J470" s="94" t="str">
        <x:v>EKT/Klemsan</x:v>
      </x:c>
      <x:c r="K470" s="64" t="str">
        <x:v>B25</x:v>
      </x:c>
    </x:row>
    <x:row r="471">
      <x:c r="A471" s="64" t="str">
        <x:v>РП-1 (В25)</x:v>
      </x:c>
      <x:c r="B471" s="94" t="str">
        <x:v>bara</x:v>
      </x:c>
      <x:c r="C471" s="100" t="str">
        <x:v>KONTROL-PE</x:v>
      </x:c>
      <x:c r="D471" s="94" t="str">
        <x:v>Шина PE медная, не менее 12 присоединений</x:v>
      </x:c>
      <x:c r="E471" s="95"/>
      <x:c r="F471" s="95"/>
      <x:c r="G471" s="95" t="str">
        <x:f>IF(OR(F471="",H471=""),"",F471*H471)</x:f>
      </x:c>
      <x:c r="H471" s="96" t="n">
        <x:v>1</x:v>
      </x:c>
      <x:c r="I471" s="94" t="str">
        <x:v> ШТ. </x:v>
      </x:c>
      <x:c r="J471" s="94" t="str">
        <x:v>EKT/Klemsan</x:v>
      </x:c>
      <x:c r="K471" s="64" t="str">
        <x:v>B25</x:v>
      </x:c>
    </x:row>
    <x:row r="472">
      <x:c r="A472" s="64" t="str">
        <x:v>РП-1 (В25)</x:v>
      </x:c>
      <x:c r="B472" s="94" t="str">
        <x:v>din</x:v>
      </x:c>
      <x:c r="C472" s="100" t="str">
        <x:v>KONTROL-DIN</x:v>
      </x:c>
      <x:c r="D472" s="94" t="str">
        <x:v>DIN рейка 35 мм, оцинкованная, комплект по габариту</x:v>
      </x:c>
      <x:c r="E472" s="95"/>
      <x:c r="F472" s="95"/>
      <x:c r="G472" s="95" t="str">
        <x:f>IF(OR(F472="",H472=""),"",F472*H472)</x:f>
      </x:c>
      <x:c r="H472" s="96" t="n">
        <x:v>1</x:v>
      </x:c>
      <x:c r="I472" s="94" t="str">
        <x:v> ШТ. </x:v>
      </x:c>
      <x:c r="J472" s="94" t="str">
        <x:v>EKT</x:v>
      </x:c>
      <x:c r="K472" s="64" t="str">
        <x:v>B25</x:v>
      </x:c>
    </x:row>
    <x:row r="473">
      <x:c r="A473" s="64" t="str">
        <x:v>РП-1 (В25)</x:v>
      </x:c>
      <x:c r="B473" s="94" t="str">
        <x:v>kanal</x:v>
      </x:c>
      <x:c r="C473" s="100" t="str">
        <x:v>KONTROL-KK</x:v>
      </x:c>
      <x:c r="D473" s="94" t="str">
        <x:v>Кабельный канал перфорированный, комплект по габариту</x:v>
      </x:c>
      <x:c r="E473" s="95"/>
      <x:c r="F473" s="95"/>
      <x:c r="G473" s="95" t="str">
        <x:f>IF(OR(F473="",H473=""),"",F473*H473)</x:f>
      </x:c>
      <x:c r="H473" s="96" t="n">
        <x:v>1</x:v>
      </x:c>
      <x:c r="I473" s="94" t="str">
        <x:v> ШТ. </x:v>
      </x:c>
      <x:c r="J473" s="94" t="str">
        <x:v>ONKA/EKT</x:v>
      </x:c>
      <x:c r="K473" s="64" t="str">
        <x:v>B25</x:v>
      </x:c>
    </x:row>
    <x:row r="474">
      <x:c r="A474" s="64" t="str">
        <x:v>РП-1 (В25)</x:v>
      </x:c>
      <x:c r="B474" s="94" t="str">
        <x:v>klemens</x:v>
      </x:c>
      <x:c r="C474" s="100" t="str">
        <x:v>KONTROL-KL</x:v>
      </x:c>
      <x:c r="D474" s="94" t="str">
        <x:v>Клеммник 2,5-6 мм² (фаза/N/PE по схеме)</x:v>
      </x:c>
      <x:c r="E474" s="95"/>
      <x:c r="F474" s="95"/>
      <x:c r="G474" s="95" t="str">
        <x:f>IF(OR(F474="",H474=""),"",F474*H474)</x:f>
      </x:c>
      <x:c r="H474" s="96" t="n">
        <x:v>18</x:v>
      </x:c>
      <x:c r="I474" s="94" t="str">
        <x:v> ШТ. </x:v>
      </x:c>
      <x:c r="J474" s="94" t="str">
        <x:v>Klemsan/EKT</x:v>
      </x:c>
      <x:c r="K474" s="64" t="str">
        <x:v>B25</x:v>
      </x:c>
    </x:row>
    <x:row r="475">
      <x:c r="A475" s="64" t="str">
        <x:v>РП-1 (В25)</x:v>
      </x:c>
      <x:c r="B475" s="94" t="str">
        <x:v>kablo</x:v>
      </x:c>
      <x:c r="C475" s="100" t="str">
        <x:v>KONTROL-WIRE</x:v>
      </x:c>
      <x:c r="D475" s="94" t="str">
        <x:v>Внутренняя проводка Harmony + маркировка, комплект</x:v>
      </x:c>
      <x:c r="E475" s="95"/>
      <x:c r="F475" s="95"/>
      <x:c r="G475" s="95" t="str">
        <x:f>IF(OR(F475="",H475=""),"",F475*H475)</x:f>
      </x:c>
      <x:c r="H475" s="96" t="n">
        <x:v>1</x:v>
      </x:c>
      <x:c r="I475" s="94" t="str">
        <x:v> ШТ. </x:v>
      </x:c>
      <x:c r="J475" s="94" t="str">
        <x:v>Harmony</x:v>
      </x:c>
      <x:c r="K475" s="64" t="str">
        <x:v>B25</x:v>
      </x:c>
    </x:row>
    <x:row r="476">
      <x:c r="A476" s="64" t="str">
        <x:v>РП-1 (В25)</x:v>
      </x:c>
      <x:c r="B476" s="64" t="str">
        <x:v>монтажный материал</x:v>
      </x:c>
      <x:c r="C476" s="64" t="str">
        <x:v>монтажный материал</x:v>
      </x:c>
      <x:c r="D476" s="64" t="str">
        <x:v>Монтажный материал</x:v>
      </x:c>
      <x:c r="E476" s="83"/>
      <x:c r="F476" s="83"/>
      <x:c r="G476" s="83" t="str">
        <x:f>IF(OR(F476="",H476=""),"",F476*H476)</x:f>
      </x:c>
      <x:c r="H476" s="89" t="n">
        <x:v>1</x:v>
      </x:c>
      <x:c r="I476" s="64" t="str">
        <x:v>компл.</x:v>
      </x:c>
      <x:c r="J476" s="64" t="str">
        <x:v>TEKLED</x:v>
      </x:c>
      <x:c r="K476" s="64" t="str">
        <x:v>B25</x:v>
      </x:c>
    </x:row>
    <x:row r="477">
      <x:c r="A477" s="64" t="str">
        <x:v>РП-1 (В25)</x:v>
      </x:c>
      <x:c r="B477" s="64" t="str">
        <x:v>монтажные работы</x:v>
      </x:c>
      <x:c r="C477" s="64" t="str">
        <x:v>монтажные работы</x:v>
      </x:c>
      <x:c r="D477" s="64" t="str">
        <x:v>Монтажные работы</x:v>
      </x:c>
      <x:c r="E477" s="83"/>
      <x:c r="F477" s="83"/>
      <x:c r="G477" s="83" t="str">
        <x:f>IF(OR(F477="",H477=""),"",F477*H477)</x:f>
      </x:c>
      <x:c r="H477" s="89" t="n">
        <x:v>1</x:v>
      </x:c>
      <x:c r="I477" s="64" t="str">
        <x:v>компл.</x:v>
      </x:c>
      <x:c r="J477" s="64" t="str">
        <x:v>TEKLED</x:v>
      </x:c>
      <x:c r="K477" s="64" t="str">
        <x:v>B25</x:v>
      </x:c>
    </x:row>
    <x:row r="478">
      <x:c r="A478" s="76" t="str">
        <x:v>РП-1 (В25)</x:v>
      </x:c>
      <x:c r="B478" s="76"/>
      <x:c r="C478" s="76"/>
      <x:c r="D478" s="80" t="str">
        <x:v>ИТОГО на 1 комплект</x:v>
      </x:c>
      <x:c r="E478" s="84"/>
      <x:c r="F478" s="84"/>
      <x:c r="G478" s="84" t="n">
        <x:f>SUM(G467:G477)</x:f>
        <x:v>28918.199999999997</x:v>
      </x:c>
      <x:c r="H478" s="90"/>
      <x:c r="I478" s="76"/>
      <x:c r="J478" s="76"/>
      <x:c r="K478" s="76" t="str">
        <x:v>B25</x:v>
      </x:c>
    </x:row>
    <x:row r="479" ht="24" customHeight="1">
      <x:c r="A479" s="69" t="str">
        <x:v>РПл-1 (В25)</x:v>
      </x:c>
      <x:c r="B479" s="69"/>
      <x:c r="C479" s="69"/>
      <x:c r="D479" s="69" t="str">
        <x:v>РПл-1 (В25)</x:v>
      </x:c>
      <x:c r="E479" s="82"/>
      <x:c r="F479" s="82"/>
      <x:c r="G479" s="82"/>
      <x:c r="H479" s="88" t="n">
        <x:v>1</x:v>
      </x:c>
      <x:c r="I479" s="69" t="str">
        <x:v>комплект</x:v>
      </x:c>
      <x:c r="J479" s="69" t="str">
        <x:v>TEKLED/TEKSAN</x:v>
      </x:c>
      <x:c r="K479" s="69" t="str">
        <x:v>B25</x:v>
      </x:c>
    </x:row>
    <x:row r="480">
      <x:c r="A480" s="64" t="str">
        <x:v>РПл-1 (В25)</x:v>
      </x:c>
      <x:c r="B480" s="64" t="str">
        <x:v>korpus</x:v>
      </x:c>
      <x:c r="C480" s="64" t="str">
        <x:v>714-15040</x:v>
      </x:c>
      <x:c r="D480" s="64" t="str">
        <x:v>Мет. Корпус ЩРН- 48 (660x310x120) IP31  (TS)</x:v>
      </x:c>
      <x:c r="E480" s="83" t="n">
        <x:v>15210</x:v>
      </x:c>
      <x:c r="F480" s="83" t="n">
        <x:v>9126</x:v>
      </x:c>
      <x:c r="G480" s="83" t="n">
        <x:f>IF(OR(F480="",H480=""),"",F480*H480)</x:f>
        <x:v>9126</x:v>
      </x:c>
      <x:c r="H480" s="89" t="n">
        <x:v>1</x:v>
      </x:c>
      <x:c r="I480" s="64" t="str">
        <x:v> ШТ. </x:v>
      </x:c>
      <x:c r="J480" s="64" t="str">
        <x:v>teksan f</x:v>
      </x:c>
      <x:c r="K480" s="64" t="str">
        <x:v>B25</x:v>
      </x:c>
    </x:row>
    <x:row r="481">
      <x:c r="A481" s="64" t="str">
        <x:v>РПл-1 (В25)</x:v>
      </x:c>
      <x:c r="B481" s="64" t="str">
        <x:v>oto</x:v>
      </x:c>
      <x:c r="C481" s="64" t="str">
        <x:v>296831</x:v>
      </x:c>
      <x:c r="D481" s="64" t="str">
        <x:v>Авт. выкл. NXB-63S 3P 40А 4.5kA х-ка C (R)</x:v>
      </x:c>
      <x:c r="E481" s="83" t="n">
        <x:v>2807</x:v>
      </x:c>
      <x:c r="F481" s="83" t="n">
        <x:v>1684.2</x:v>
      </x:c>
      <x:c r="G481" s="83" t="n">
        <x:f>IF(OR(F481="",H481=""),"",F481*H481)</x:f>
        <x:v>1684.2</x:v>
      </x:c>
      <x:c r="H481" s="89" t="n">
        <x:v>1</x:v>
      </x:c>
      <x:c r="I481" s="64" t="str">
        <x:v> ШТ. </x:v>
      </x:c>
      <x:c r="J481" s="64" t="str">
        <x:v>chint</x:v>
      </x:c>
      <x:c r="K481" s="64" t="str">
        <x:v>B25</x:v>
      </x:c>
    </x:row>
    <x:row r="482">
      <x:c r="A482" s="64" t="str">
        <x:v>РПл-1 (В25)</x:v>
      </x:c>
      <x:c r="B482" s="64" t="str">
        <x:v>oto</x:v>
      </x:c>
      <x:c r="C482" s="64" t="str">
        <x:v>296828</x:v>
      </x:c>
      <x:c r="D482" s="64" t="str">
        <x:v>Авт. выкл. NXB-63S 3P 20А 4.5kA х-ка C (R)</x:v>
      </x:c>
      <x:c r="E482" s="83" t="n">
        <x:v>2499</x:v>
      </x:c>
      <x:c r="F482" s="83" t="n">
        <x:v>1499.3999999999999</x:v>
      </x:c>
      <x:c r="G482" s="83" t="n">
        <x:f>IF(OR(F482="",H482=""),"",F482*H482)</x:f>
        <x:v>2998.7999999999997</x:v>
      </x:c>
      <x:c r="H482" s="89" t="n">
        <x:v>2</x:v>
      </x:c>
      <x:c r="I482" s="64" t="str">
        <x:v> ШТ. </x:v>
      </x:c>
      <x:c r="J482" s="64" t="str">
        <x:v>chint</x:v>
      </x:c>
      <x:c r="K482" s="64" t="str">
        <x:v>B25</x:v>
      </x:c>
    </x:row>
    <x:row r="483">
      <x:c r="A483" s="64" t="str">
        <x:v>РПл-1 (В25)</x:v>
      </x:c>
      <x:c r="B483" s="64" t="str">
        <x:v>oto</x:v>
      </x:c>
      <x:c r="C483" s="64" t="str">
        <x:v>814014</x:v>
      </x:c>
      <x:c r="D483" s="64" t="str">
        <x:v>Авт. выкл. NXB-63 1P 16A 6кА х-ка C (R)</x:v>
      </x:c>
      <x:c r="E483" s="83" t="n">
        <x:v>1389</x:v>
      </x:c>
      <x:c r="F483" s="83" t="n">
        <x:v>833.4</x:v>
      </x:c>
      <x:c r="G483" s="83" t="n">
        <x:f>IF(OR(F483="",H483=""),"",F483*H483)</x:f>
        <x:v>1666.8</x:v>
      </x:c>
      <x:c r="H483" s="89" t="n">
        <x:v>2</x:v>
      </x:c>
      <x:c r="I483" s="64" t="str">
        <x:v> ШТ. </x:v>
      </x:c>
      <x:c r="J483" s="64" t="str">
        <x:v>chint</x:v>
      </x:c>
      <x:c r="K483" s="64" t="str">
        <x:v>B25</x:v>
      </x:c>
    </x:row>
    <x:row r="484">
      <x:c r="A484" s="64" t="str">
        <x:v>РПл-1 (В25)</x:v>
      </x:c>
      <x:c r="B484" s="64" t="str">
        <x:v>dif</x:v>
      </x:c>
      <x:c r="C484" s="64" t="str">
        <x:v>105542</x:v>
      </x:c>
      <x:c r="D484" s="64" t="str">
        <x:v>Диф. авт. выкл. NXBLE-63Y 1P+N 16А 30mA электронный тип AС, х-ка С, 4.5kA (R)</x:v>
      </x:c>
      <x:c r="E484" s="83" t="n">
        <x:v>5093</x:v>
      </x:c>
      <x:c r="F484" s="83" t="n">
        <x:v>3055.7999999999997</x:v>
      </x:c>
      <x:c r="G484" s="83" t="n">
        <x:f>IF(OR(F484="",H484=""),"",F484*H484)</x:f>
        <x:v>30557.999999999996</x:v>
      </x:c>
      <x:c r="H484" s="89" t="n">
        <x:v>10</x:v>
      </x:c>
      <x:c r="I484" s="64" t="str">
        <x:v> ШТ. </x:v>
      </x:c>
      <x:c r="J484" s="64" t="str">
        <x:v>chint</x:v>
      </x:c>
      <x:c r="K484" s="64" t="str">
        <x:v>B25</x:v>
      </x:c>
    </x:row>
    <x:row r="485">
      <x:c r="A485" s="64" t="str">
        <x:v>РПл-1 (В25)</x:v>
      </x:c>
      <x:c r="B485" s="94" t="str">
        <x:v>bara</x:v>
      </x:c>
      <x:c r="C485" s="100" t="str">
        <x:v>KONTROL-N</x:v>
      </x:c>
      <x:c r="D485" s="94" t="str">
        <x:v>Шина N изолированная, не менее 12 присоединений</x:v>
      </x:c>
      <x:c r="E485" s="95"/>
      <x:c r="F485" s="95"/>
      <x:c r="G485" s="95" t="str">
        <x:f>IF(OR(F485="",H485=""),"",F485*H485)</x:f>
      </x:c>
      <x:c r="H485" s="96" t="n">
        <x:v>1</x:v>
      </x:c>
      <x:c r="I485" s="94" t="str">
        <x:v> ШТ. </x:v>
      </x:c>
      <x:c r="J485" s="94" t="str">
        <x:v>EKT/Klemsan</x:v>
      </x:c>
      <x:c r="K485" s="64" t="str">
        <x:v>B25</x:v>
      </x:c>
    </x:row>
    <x:row r="486">
      <x:c r="A486" s="64" t="str">
        <x:v>РПл-1 (В25)</x:v>
      </x:c>
      <x:c r="B486" s="94" t="str">
        <x:v>bara</x:v>
      </x:c>
      <x:c r="C486" s="100" t="str">
        <x:v>KONTROL-PE</x:v>
      </x:c>
      <x:c r="D486" s="94" t="str">
        <x:v>Шина PE медная, не менее 12 присоединений</x:v>
      </x:c>
      <x:c r="E486" s="95"/>
      <x:c r="F486" s="95"/>
      <x:c r="G486" s="95" t="str">
        <x:f>IF(OR(F486="",H486=""),"",F486*H486)</x:f>
      </x:c>
      <x:c r="H486" s="96" t="n">
        <x:v>1</x:v>
      </x:c>
      <x:c r="I486" s="94" t="str">
        <x:v> ШТ. </x:v>
      </x:c>
      <x:c r="J486" s="94" t="str">
        <x:v>EKT/Klemsan</x:v>
      </x:c>
      <x:c r="K486" s="64" t="str">
        <x:v>B25</x:v>
      </x:c>
    </x:row>
    <x:row r="487">
      <x:c r="A487" s="64" t="str">
        <x:v>РПл-1 (В25)</x:v>
      </x:c>
      <x:c r="B487" s="94" t="str">
        <x:v>din</x:v>
      </x:c>
      <x:c r="C487" s="100" t="str">
        <x:v>KONTROL-DIN</x:v>
      </x:c>
      <x:c r="D487" s="94" t="str">
        <x:v>DIN рейка 35 мм, оцинкованная, комплект по габариту</x:v>
      </x:c>
      <x:c r="E487" s="95"/>
      <x:c r="F487" s="95"/>
      <x:c r="G487" s="95" t="str">
        <x:f>IF(OR(F487="",H487=""),"",F487*H487)</x:f>
      </x:c>
      <x:c r="H487" s="96" t="n">
        <x:v>1</x:v>
      </x:c>
      <x:c r="I487" s="94" t="str">
        <x:v> ШТ. </x:v>
      </x:c>
      <x:c r="J487" s="94" t="str">
        <x:v>EKT</x:v>
      </x:c>
      <x:c r="K487" s="64" t="str">
        <x:v>B25</x:v>
      </x:c>
    </x:row>
    <x:row r="488">
      <x:c r="A488" s="64" t="str">
        <x:v>РПл-1 (В25)</x:v>
      </x:c>
      <x:c r="B488" s="94" t="str">
        <x:v>kanal</x:v>
      </x:c>
      <x:c r="C488" s="100" t="str">
        <x:v>KONTROL-KK</x:v>
      </x:c>
      <x:c r="D488" s="94" t="str">
        <x:v>Кабельный канал перфорированный, комплект по габариту</x:v>
      </x:c>
      <x:c r="E488" s="95"/>
      <x:c r="F488" s="95"/>
      <x:c r="G488" s="95" t="str">
        <x:f>IF(OR(F488="",H488=""),"",F488*H488)</x:f>
      </x:c>
      <x:c r="H488" s="96" t="n">
        <x:v>1</x:v>
      </x:c>
      <x:c r="I488" s="94" t="str">
        <x:v> ШТ. </x:v>
      </x:c>
      <x:c r="J488" s="94" t="str">
        <x:v>ONKA/EKT</x:v>
      </x:c>
      <x:c r="K488" s="64" t="str">
        <x:v>B25</x:v>
      </x:c>
    </x:row>
    <x:row r="489">
      <x:c r="A489" s="64" t="str">
        <x:v>РПл-1 (В25)</x:v>
      </x:c>
      <x:c r="B489" s="94" t="str">
        <x:v>klemens</x:v>
      </x:c>
      <x:c r="C489" s="100" t="str">
        <x:v>KONTROL-KL</x:v>
      </x:c>
      <x:c r="D489" s="94" t="str">
        <x:v>Клеммник 2,5-6 мм² (фаза/N/PE по схеме)</x:v>
      </x:c>
      <x:c r="E489" s="95"/>
      <x:c r="F489" s="95"/>
      <x:c r="G489" s="95" t="str">
        <x:f>IF(OR(F489="",H489=""),"",F489*H489)</x:f>
      </x:c>
      <x:c r="H489" s="96" t="n">
        <x:v>36</x:v>
      </x:c>
      <x:c r="I489" s="94" t="str">
        <x:v> ШТ. </x:v>
      </x:c>
      <x:c r="J489" s="94" t="str">
        <x:v>Klemsan/EKT</x:v>
      </x:c>
      <x:c r="K489" s="64" t="str">
        <x:v>B25</x:v>
      </x:c>
    </x:row>
    <x:row r="490">
      <x:c r="A490" s="64" t="str">
        <x:v>РПл-1 (В25)</x:v>
      </x:c>
      <x:c r="B490" s="94" t="str">
        <x:v>kablo</x:v>
      </x:c>
      <x:c r="C490" s="100" t="str">
        <x:v>KONTROL-WIRE</x:v>
      </x:c>
      <x:c r="D490" s="94" t="str">
        <x:v>Внутренняя проводка Harmony + маркировка, комплект</x:v>
      </x:c>
      <x:c r="E490" s="95"/>
      <x:c r="F490" s="95"/>
      <x:c r="G490" s="95" t="str">
        <x:f>IF(OR(F490="",H490=""),"",F490*H490)</x:f>
      </x:c>
      <x:c r="H490" s="96" t="n">
        <x:v>1</x:v>
      </x:c>
      <x:c r="I490" s="94" t="str">
        <x:v> ШТ. </x:v>
      </x:c>
      <x:c r="J490" s="94" t="str">
        <x:v>Harmony</x:v>
      </x:c>
      <x:c r="K490" s="64" t="str">
        <x:v>B25</x:v>
      </x:c>
    </x:row>
    <x:row r="491">
      <x:c r="A491" s="64" t="str">
        <x:v>РПл-1 (В25)</x:v>
      </x:c>
      <x:c r="B491" s="64" t="str">
        <x:v>монтажный материал</x:v>
      </x:c>
      <x:c r="C491" s="64" t="str">
        <x:v>монтажный материал</x:v>
      </x:c>
      <x:c r="D491" s="64" t="str">
        <x:v>Монтажный материал</x:v>
      </x:c>
      <x:c r="E491" s="83"/>
      <x:c r="F491" s="83"/>
      <x:c r="G491" s="83" t="str">
        <x:f>IF(OR(F491="",H491=""),"",F491*H491)</x:f>
      </x:c>
      <x:c r="H491" s="89" t="n">
        <x:v>1</x:v>
      </x:c>
      <x:c r="I491" s="64" t="str">
        <x:v>компл.</x:v>
      </x:c>
      <x:c r="J491" s="64" t="str">
        <x:v>TEKLED</x:v>
      </x:c>
      <x:c r="K491" s="64" t="str">
        <x:v>B25</x:v>
      </x:c>
    </x:row>
    <x:row r="492">
      <x:c r="A492" s="64" t="str">
        <x:v>РПл-1 (В25)</x:v>
      </x:c>
      <x:c r="B492" s="64" t="str">
        <x:v>монтажные работы</x:v>
      </x:c>
      <x:c r="C492" s="64" t="str">
        <x:v>монтажные работы</x:v>
      </x:c>
      <x:c r="D492" s="64" t="str">
        <x:v>Монтажные работы</x:v>
      </x:c>
      <x:c r="E492" s="83"/>
      <x:c r="F492" s="83"/>
      <x:c r="G492" s="83" t="str">
        <x:f>IF(OR(F492="",H492=""),"",F492*H492)</x:f>
      </x:c>
      <x:c r="H492" s="89" t="n">
        <x:v>1</x:v>
      </x:c>
      <x:c r="I492" s="64" t="str">
        <x:v>компл.</x:v>
      </x:c>
      <x:c r="J492" s="64" t="str">
        <x:v>TEKLED</x:v>
      </x:c>
      <x:c r="K492" s="64" t="str">
        <x:v>B25</x:v>
      </x:c>
    </x:row>
    <x:row r="493">
      <x:c r="A493" s="76" t="str">
        <x:v>РПл-1 (В25)</x:v>
      </x:c>
      <x:c r="B493" s="76"/>
      <x:c r="C493" s="76"/>
      <x:c r="D493" s="80" t="str">
        <x:v>ИТОГО на 1 комплект</x:v>
      </x:c>
      <x:c r="E493" s="84"/>
      <x:c r="F493" s="84"/>
      <x:c r="G493" s="84" t="n">
        <x:f>SUM(G480:G492)</x:f>
        <x:v>46033.799999999996</x:v>
      </x:c>
      <x:c r="H493" s="90"/>
      <x:c r="I493" s="76"/>
      <x:c r="J493" s="76"/>
      <x:c r="K493" s="76" t="str">
        <x:v>B25</x:v>
      </x:c>
    </x:row>
    <x:row r="494" ht="24" customHeight="1">
      <x:c r="A494" s="69" t="str">
        <x:v>Рпкух-1 (В25)</x:v>
      </x:c>
      <x:c r="B494" s="69"/>
      <x:c r="C494" s="69"/>
      <x:c r="D494" s="69" t="str">
        <x:v>Рпкух-1 (В25)</x:v>
      </x:c>
      <x:c r="E494" s="82"/>
      <x:c r="F494" s="82"/>
      <x:c r="G494" s="82"/>
      <x:c r="H494" s="88" t="n">
        <x:v>1</x:v>
      </x:c>
      <x:c r="I494" s="69" t="str">
        <x:v>комплект</x:v>
      </x:c>
      <x:c r="J494" s="69" t="str">
        <x:v>TEKLED/TEKSAN</x:v>
      </x:c>
      <x:c r="K494" s="69" t="str">
        <x:v>B25</x:v>
      </x:c>
    </x:row>
    <x:row r="495">
      <x:c r="A495" s="64" t="str">
        <x:v>Рпкух-1 (В25)</x:v>
      </x:c>
      <x:c r="B495" s="64" t="str">
        <x:v>korpus</x:v>
      </x:c>
      <x:c r="C495" s="64" t="str">
        <x:v>714-15010</x:v>
      </x:c>
      <x:c r="D495" s="64" t="str">
        <x:v>Pano met.ShRn-24 b/o (398х312х120)S/U 36 IP31 (TS)</x:v>
      </x:c>
      <x:c r="E495" s="83" t="n">
        <x:v>13410</x:v>
      </x:c>
      <x:c r="F495" s="83" t="n">
        <x:v>8046</x:v>
      </x:c>
      <x:c r="G495" s="83" t="n">
        <x:f>IF(OR(F495="",H495=""),"",F495*H495)</x:f>
        <x:v>8046</x:v>
      </x:c>
      <x:c r="H495" s="89" t="n">
        <x:v>1</x:v>
      </x:c>
      <x:c r="I495" s="64" t="str">
        <x:v> ШТ. </x:v>
      </x:c>
      <x:c r="J495" s="64" t="str">
        <x:v>teksan f</x:v>
      </x:c>
      <x:c r="K495" s="64" t="str">
        <x:v>B25</x:v>
      </x:c>
    </x:row>
    <x:row r="496">
      <x:c r="A496" s="64" t="str">
        <x:v>Рпкух-1 (В25)</x:v>
      </x:c>
      <x:c r="B496" s="64" t="str">
        <x:v>oto</x:v>
      </x:c>
      <x:c r="C496" s="64" t="str">
        <x:v>296828</x:v>
      </x:c>
      <x:c r="D496" s="64" t="str">
        <x:v>Авт. выкл. NXB-63S 3P 20А 4.5kA х-ка C (R)</x:v>
      </x:c>
      <x:c r="E496" s="83" t="n">
        <x:v>2499</x:v>
      </x:c>
      <x:c r="F496" s="83" t="n">
        <x:v>1499.3999999999999</x:v>
      </x:c>
      <x:c r="G496" s="83" t="n">
        <x:f>IF(OR(F496="",H496=""),"",F496*H496)</x:f>
        <x:v>1499.3999999999999</x:v>
      </x:c>
      <x:c r="H496" s="89" t="n">
        <x:v>1</x:v>
      </x:c>
      <x:c r="I496" s="64" t="str">
        <x:v> ШТ. </x:v>
      </x:c>
      <x:c r="J496" s="64" t="str">
        <x:v>chint</x:v>
      </x:c>
      <x:c r="K496" s="64" t="str">
        <x:v>B25</x:v>
      </x:c>
    </x:row>
    <x:row r="497">
      <x:c r="A497" s="64" t="str">
        <x:v>Рпкух-1 (В25)</x:v>
      </x:c>
      <x:c r="B497" s="64" t="str">
        <x:v>dif</x:v>
      </x:c>
      <x:c r="C497" s="64" t="str">
        <x:v>105542</x:v>
      </x:c>
      <x:c r="D497" s="64" t="str">
        <x:v>Диф. авт. выкл. NXBLE-63Y 1P+N 16А 30mA электронный тип AС, х-ка С, 4.5kA (R)</x:v>
      </x:c>
      <x:c r="E497" s="83" t="n">
        <x:v>5093</x:v>
      </x:c>
      <x:c r="F497" s="83" t="n">
        <x:v>3055.7999999999997</x:v>
      </x:c>
      <x:c r="G497" s="83" t="n">
        <x:f>IF(OR(F497="",H497=""),"",F497*H497)</x:f>
        <x:v>12223.199999999999</x:v>
      </x:c>
      <x:c r="H497" s="89" t="n">
        <x:v>4</x:v>
      </x:c>
      <x:c r="I497" s="64" t="str">
        <x:v> ШТ. </x:v>
      </x:c>
      <x:c r="J497" s="64" t="str">
        <x:v>chint</x:v>
      </x:c>
      <x:c r="K497" s="64" t="str">
        <x:v>B25</x:v>
      </x:c>
    </x:row>
    <x:row r="498">
      <x:c r="A498" s="64" t="str">
        <x:v>Рпкух-1 (В25)</x:v>
      </x:c>
      <x:c r="B498" s="94" t="str">
        <x:v>bara</x:v>
      </x:c>
      <x:c r="C498" s="100" t="str">
        <x:v>KONTROL-N</x:v>
      </x:c>
      <x:c r="D498" s="94" t="str">
        <x:v>Шина N изолированная, не менее 12 присоединений</x:v>
      </x:c>
      <x:c r="E498" s="95"/>
      <x:c r="F498" s="95"/>
      <x:c r="G498" s="95" t="str">
        <x:f>IF(OR(F498="",H498=""),"",F498*H498)</x:f>
      </x:c>
      <x:c r="H498" s="96" t="n">
        <x:v>1</x:v>
      </x:c>
      <x:c r="I498" s="94" t="str">
        <x:v> ШТ. </x:v>
      </x:c>
      <x:c r="J498" s="94" t="str">
        <x:v>EKT/Klemsan</x:v>
      </x:c>
      <x:c r="K498" s="64" t="str">
        <x:v>B25</x:v>
      </x:c>
    </x:row>
    <x:row r="499">
      <x:c r="A499" s="64" t="str">
        <x:v>Рпкух-1 (В25)</x:v>
      </x:c>
      <x:c r="B499" s="94" t="str">
        <x:v>bara</x:v>
      </x:c>
      <x:c r="C499" s="100" t="str">
        <x:v>KONTROL-PE</x:v>
      </x:c>
      <x:c r="D499" s="94" t="str">
        <x:v>Шина PE медная, не менее 12 присоединений</x:v>
      </x:c>
      <x:c r="E499" s="95"/>
      <x:c r="F499" s="95"/>
      <x:c r="G499" s="95" t="str">
        <x:f>IF(OR(F499="",H499=""),"",F499*H499)</x:f>
      </x:c>
      <x:c r="H499" s="96" t="n">
        <x:v>1</x:v>
      </x:c>
      <x:c r="I499" s="94" t="str">
        <x:v> ШТ. </x:v>
      </x:c>
      <x:c r="J499" s="94" t="str">
        <x:v>EKT/Klemsan</x:v>
      </x:c>
      <x:c r="K499" s="64" t="str">
        <x:v>B25</x:v>
      </x:c>
    </x:row>
    <x:row r="500">
      <x:c r="A500" s="64" t="str">
        <x:v>Рпкух-1 (В25)</x:v>
      </x:c>
      <x:c r="B500" s="94" t="str">
        <x:v>din</x:v>
      </x:c>
      <x:c r="C500" s="100" t="str">
        <x:v>KONTROL-DIN</x:v>
      </x:c>
      <x:c r="D500" s="94" t="str">
        <x:v>DIN рейка 35 мм, оцинкованная, комплект по габариту</x:v>
      </x:c>
      <x:c r="E500" s="95"/>
      <x:c r="F500" s="95"/>
      <x:c r="G500" s="95" t="str">
        <x:f>IF(OR(F500="",H500=""),"",F500*H500)</x:f>
      </x:c>
      <x:c r="H500" s="96" t="n">
        <x:v>1</x:v>
      </x:c>
      <x:c r="I500" s="94" t="str">
        <x:v> ШТ. </x:v>
      </x:c>
      <x:c r="J500" s="94" t="str">
        <x:v>EKT</x:v>
      </x:c>
      <x:c r="K500" s="64" t="str">
        <x:v>B25</x:v>
      </x:c>
    </x:row>
    <x:row r="501">
      <x:c r="A501" s="64" t="str">
        <x:v>Рпкух-1 (В25)</x:v>
      </x:c>
      <x:c r="B501" s="94" t="str">
        <x:v>kanal</x:v>
      </x:c>
      <x:c r="C501" s="100" t="str">
        <x:v>KONTROL-KK</x:v>
      </x:c>
      <x:c r="D501" s="94" t="str">
        <x:v>Кабельный канал перфорированный, комплект по габариту</x:v>
      </x:c>
      <x:c r="E501" s="95"/>
      <x:c r="F501" s="95"/>
      <x:c r="G501" s="95" t="str">
        <x:f>IF(OR(F501="",H501=""),"",F501*H501)</x:f>
      </x:c>
      <x:c r="H501" s="96" t="n">
        <x:v>1</x:v>
      </x:c>
      <x:c r="I501" s="94" t="str">
        <x:v> ШТ. </x:v>
      </x:c>
      <x:c r="J501" s="94" t="str">
        <x:v>ONKA/EKT</x:v>
      </x:c>
      <x:c r="K501" s="64" t="str">
        <x:v>B25</x:v>
      </x:c>
    </x:row>
    <x:row r="502">
      <x:c r="A502" s="64" t="str">
        <x:v>Рпкух-1 (В25)</x:v>
      </x:c>
      <x:c r="B502" s="94" t="str">
        <x:v>klemens</x:v>
      </x:c>
      <x:c r="C502" s="100" t="str">
        <x:v>KONTROL-KL</x:v>
      </x:c>
      <x:c r="D502" s="94" t="str">
        <x:v>Клеммник 2,5-6 мм² (фаза/N/PE по схеме)</x:v>
      </x:c>
      <x:c r="E502" s="95"/>
      <x:c r="F502" s="95"/>
      <x:c r="G502" s="95" t="str">
        <x:f>IF(OR(F502="",H502=""),"",F502*H502)</x:f>
      </x:c>
      <x:c r="H502" s="96" t="n">
        <x:v>14</x:v>
      </x:c>
      <x:c r="I502" s="94" t="str">
        <x:v> ШТ. </x:v>
      </x:c>
      <x:c r="J502" s="94" t="str">
        <x:v>Klemsan/EKT</x:v>
      </x:c>
      <x:c r="K502" s="64" t="str">
        <x:v>B25</x:v>
      </x:c>
    </x:row>
    <x:row r="503">
      <x:c r="A503" s="64" t="str">
        <x:v>Рпкух-1 (В25)</x:v>
      </x:c>
      <x:c r="B503" s="94" t="str">
        <x:v>kablo</x:v>
      </x:c>
      <x:c r="C503" s="100" t="str">
        <x:v>KONTROL-WIRE</x:v>
      </x:c>
      <x:c r="D503" s="94" t="str">
        <x:v>Внутренняя проводка Harmony + маркировка, комплект</x:v>
      </x:c>
      <x:c r="E503" s="95"/>
      <x:c r="F503" s="95"/>
      <x:c r="G503" s="95" t="str">
        <x:f>IF(OR(F503="",H503=""),"",F503*H503)</x:f>
      </x:c>
      <x:c r="H503" s="96" t="n">
        <x:v>1</x:v>
      </x:c>
      <x:c r="I503" s="94" t="str">
        <x:v> ШТ. </x:v>
      </x:c>
      <x:c r="J503" s="94" t="str">
        <x:v>Harmony</x:v>
      </x:c>
      <x:c r="K503" s="64" t="str">
        <x:v>B25</x:v>
      </x:c>
    </x:row>
    <x:row r="504">
      <x:c r="A504" s="64" t="str">
        <x:v>Рпкух-1 (В25)</x:v>
      </x:c>
      <x:c r="B504" s="64" t="str">
        <x:v>монтажный материал</x:v>
      </x:c>
      <x:c r="C504" s="64" t="str">
        <x:v>монтажный материал</x:v>
      </x:c>
      <x:c r="D504" s="64" t="str">
        <x:v>Монтажный материал</x:v>
      </x:c>
      <x:c r="E504" s="83"/>
      <x:c r="F504" s="83"/>
      <x:c r="G504" s="83" t="str">
        <x:f>IF(OR(F504="",H504=""),"",F504*H504)</x:f>
      </x:c>
      <x:c r="H504" s="89" t="n">
        <x:v>1</x:v>
      </x:c>
      <x:c r="I504" s="64" t="str">
        <x:v>компл.</x:v>
      </x:c>
      <x:c r="J504" s="64" t="str">
        <x:v>TEKLED</x:v>
      </x:c>
      <x:c r="K504" s="64" t="str">
        <x:v>B25</x:v>
      </x:c>
    </x:row>
    <x:row r="505">
      <x:c r="A505" s="64" t="str">
        <x:v>Рпкух-1 (В25)</x:v>
      </x:c>
      <x:c r="B505" s="64" t="str">
        <x:v>монтажные работы</x:v>
      </x:c>
      <x:c r="C505" s="64" t="str">
        <x:v>монтажные работы</x:v>
      </x:c>
      <x:c r="D505" s="64" t="str">
        <x:v>Монтажные работы</x:v>
      </x:c>
      <x:c r="E505" s="83"/>
      <x:c r="F505" s="83"/>
      <x:c r="G505" s="83" t="str">
        <x:f>IF(OR(F505="",H505=""),"",F505*H505)</x:f>
      </x:c>
      <x:c r="H505" s="89" t="n">
        <x:v>1</x:v>
      </x:c>
      <x:c r="I505" s="64" t="str">
        <x:v>компл.</x:v>
      </x:c>
      <x:c r="J505" s="64" t="str">
        <x:v>TEKLED</x:v>
      </x:c>
      <x:c r="K505" s="64" t="str">
        <x:v>B25</x:v>
      </x:c>
    </x:row>
    <x:row r="506">
      <x:c r="A506" s="76" t="str">
        <x:v>Рпкух-1 (В25)</x:v>
      </x:c>
      <x:c r="B506" s="76"/>
      <x:c r="C506" s="76"/>
      <x:c r="D506" s="80" t="str">
        <x:v>ИТОГО на 1 комплект</x:v>
      </x:c>
      <x:c r="E506" s="84"/>
      <x:c r="F506" s="84"/>
      <x:c r="G506" s="84" t="n">
        <x:f>SUM(G495:G505)</x:f>
        <x:v>21768.6</x:v>
      </x:c>
      <x:c r="H506" s="90"/>
      <x:c r="I506" s="76"/>
      <x:c r="J506" s="76"/>
      <x:c r="K506" s="76" t="str">
        <x:v>B25</x:v>
      </x:c>
    </x:row>
    <x:row r="507" ht="24" customHeight="1">
      <x:c r="A507" s="69" t="str">
        <x:v>РПВ-1 (В25)</x:v>
      </x:c>
      <x:c r="B507" s="69"/>
      <x:c r="C507" s="69"/>
      <x:c r="D507" s="69" t="str">
        <x:v>РПВ-1 (В25)</x:v>
      </x:c>
      <x:c r="E507" s="82"/>
      <x:c r="F507" s="82"/>
      <x:c r="G507" s="82"/>
      <x:c r="H507" s="88" t="n">
        <x:v>1</x:v>
      </x:c>
      <x:c r="I507" s="69" t="str">
        <x:v>комплект</x:v>
      </x:c>
      <x:c r="J507" s="69" t="str">
        <x:v>TEKLED/TEKSAN</x:v>
      </x:c>
      <x:c r="K507" s="69" t="str">
        <x:v>B25</x:v>
      </x:c>
    </x:row>
    <x:row r="508">
      <x:c r="A508" s="64" t="str">
        <x:v>РПВ-1 (В25)</x:v>
      </x:c>
      <x:c r="B508" s="64" t="str">
        <x:v>korpus</x:v>
      </x:c>
      <x:c r="C508" s="64" t="str">
        <x:v>714-15005</x:v>
      </x:c>
      <x:c r="D508" s="64" t="str">
        <x:v>Pano met.ShRn-12 b/o (313х268х120)S/U 36 IP31 (TS)</x:v>
      </x:c>
      <x:c r="E508" s="83" t="n">
        <x:v>10270</x:v>
      </x:c>
      <x:c r="F508" s="83" t="n">
        <x:v>6162</x:v>
      </x:c>
      <x:c r="G508" s="83" t="n">
        <x:f>IF(OR(F508="",H508=""),"",F508*H508)</x:f>
        <x:v>6162</x:v>
      </x:c>
      <x:c r="H508" s="89" t="n">
        <x:v>1</x:v>
      </x:c>
      <x:c r="I508" s="64" t="str">
        <x:v> ШТ. </x:v>
      </x:c>
      <x:c r="J508" s="64" t="str">
        <x:v>teksan f</x:v>
      </x:c>
      <x:c r="K508" s="64" t="str">
        <x:v>B25</x:v>
      </x:c>
    </x:row>
    <x:row r="509">
      <x:c r="A509" s="64" t="str">
        <x:v>РПВ-1 (В25)</x:v>
      </x:c>
      <x:c r="B509" s="64" t="str">
        <x:v>oto</x:v>
      </x:c>
      <x:c r="C509" s="64" t="str">
        <x:v>296828</x:v>
      </x:c>
      <x:c r="D509" s="64" t="str">
        <x:v>Авт. выкл. NXB-63S 3P 20А 4.5kA х-ка C (R)</x:v>
      </x:c>
      <x:c r="E509" s="83" t="n">
        <x:v>2499</x:v>
      </x:c>
      <x:c r="F509" s="83" t="n">
        <x:v>1499.3999999999999</x:v>
      </x:c>
      <x:c r="G509" s="83" t="n">
        <x:f>IF(OR(F509="",H509=""),"",F509*H509)</x:f>
        <x:v>1499.3999999999999</x:v>
      </x:c>
      <x:c r="H509" s="89" t="n">
        <x:v>1</x:v>
      </x:c>
      <x:c r="I509" s="64" t="str">
        <x:v> ШТ. </x:v>
      </x:c>
      <x:c r="J509" s="64" t="str">
        <x:v>chint</x:v>
      </x:c>
      <x:c r="K509" s="64" t="str">
        <x:v>B25</x:v>
      </x:c>
    </x:row>
    <x:row r="510">
      <x:c r="A510" s="64" t="str">
        <x:v>РПВ-1 (В25)</x:v>
      </x:c>
      <x:c r="B510" s="64" t="str">
        <x:v>oto</x:v>
      </x:c>
      <x:c r="C510" s="64" t="str">
        <x:v>814014</x:v>
      </x:c>
      <x:c r="D510" s="64" t="str">
        <x:v>Авт. выкл. NXB-63 1P 16A 6кА х-ка C (R)</x:v>
      </x:c>
      <x:c r="E510" s="83" t="n">
        <x:v>1389</x:v>
      </x:c>
      <x:c r="F510" s="83" t="n">
        <x:v>833.4</x:v>
      </x:c>
      <x:c r="G510" s="83" t="n">
        <x:f>IF(OR(F510="",H510=""),"",F510*H510)</x:f>
        <x:v>5000.4</x:v>
      </x:c>
      <x:c r="H510" s="89" t="n">
        <x:v>6</x:v>
      </x:c>
      <x:c r="I510" s="64" t="str">
        <x:v> ШТ. </x:v>
      </x:c>
      <x:c r="J510" s="64" t="str">
        <x:v>chint</x:v>
      </x:c>
      <x:c r="K510" s="64" t="str">
        <x:v>B25</x:v>
      </x:c>
    </x:row>
    <x:row r="511">
      <x:c r="A511" s="64" t="str">
        <x:v>РПВ-1 (В25)</x:v>
      </x:c>
      <x:c r="B511" s="94" t="str">
        <x:v>bara</x:v>
      </x:c>
      <x:c r="C511" s="100" t="str">
        <x:v>KONTROL-N</x:v>
      </x:c>
      <x:c r="D511" s="94" t="str">
        <x:v>Шина N изолированная, не менее 12 присоединений</x:v>
      </x:c>
      <x:c r="E511" s="95"/>
      <x:c r="F511" s="95"/>
      <x:c r="G511" s="95" t="str">
        <x:f>IF(OR(F511="",H511=""),"",F511*H511)</x:f>
      </x:c>
      <x:c r="H511" s="96" t="n">
        <x:v>1</x:v>
      </x:c>
      <x:c r="I511" s="94" t="str">
        <x:v> ШТ. </x:v>
      </x:c>
      <x:c r="J511" s="94" t="str">
        <x:v>EKT/Klemsan</x:v>
      </x:c>
      <x:c r="K511" s="64" t="str">
        <x:v>B25</x:v>
      </x:c>
    </x:row>
    <x:row r="512">
      <x:c r="A512" s="64" t="str">
        <x:v>РПВ-1 (В25)</x:v>
      </x:c>
      <x:c r="B512" s="94" t="str">
        <x:v>bara</x:v>
      </x:c>
      <x:c r="C512" s="100" t="str">
        <x:v>KONTROL-PE</x:v>
      </x:c>
      <x:c r="D512" s="94" t="str">
        <x:v>Шина PE медная, не менее 12 присоединений</x:v>
      </x:c>
      <x:c r="E512" s="95"/>
      <x:c r="F512" s="95"/>
      <x:c r="G512" s="95" t="str">
        <x:f>IF(OR(F512="",H512=""),"",F512*H512)</x:f>
      </x:c>
      <x:c r="H512" s="96" t="n">
        <x:v>1</x:v>
      </x:c>
      <x:c r="I512" s="94" t="str">
        <x:v> ШТ. </x:v>
      </x:c>
      <x:c r="J512" s="94" t="str">
        <x:v>EKT/Klemsan</x:v>
      </x:c>
      <x:c r="K512" s="64" t="str">
        <x:v>B25</x:v>
      </x:c>
    </x:row>
    <x:row r="513">
      <x:c r="A513" s="64" t="str">
        <x:v>РПВ-1 (В25)</x:v>
      </x:c>
      <x:c r="B513" s="94" t="str">
        <x:v>din</x:v>
      </x:c>
      <x:c r="C513" s="100" t="str">
        <x:v>KONTROL-DIN</x:v>
      </x:c>
      <x:c r="D513" s="94" t="str">
        <x:v>DIN рейка 35 мм, оцинкованная, комплект по габариту</x:v>
      </x:c>
      <x:c r="E513" s="95"/>
      <x:c r="F513" s="95"/>
      <x:c r="G513" s="95" t="str">
        <x:f>IF(OR(F513="",H513=""),"",F513*H513)</x:f>
      </x:c>
      <x:c r="H513" s="96" t="n">
        <x:v>1</x:v>
      </x:c>
      <x:c r="I513" s="94" t="str">
        <x:v> ШТ. </x:v>
      </x:c>
      <x:c r="J513" s="94" t="str">
        <x:v>EKT</x:v>
      </x:c>
      <x:c r="K513" s="64" t="str">
        <x:v>B25</x:v>
      </x:c>
    </x:row>
    <x:row r="514">
      <x:c r="A514" s="64" t="str">
        <x:v>РПВ-1 (В25)</x:v>
      </x:c>
      <x:c r="B514" s="94" t="str">
        <x:v>kanal</x:v>
      </x:c>
      <x:c r="C514" s="100" t="str">
        <x:v>KONTROL-KK</x:v>
      </x:c>
      <x:c r="D514" s="94" t="str">
        <x:v>Кабельный канал перфорированный, комплект по габариту</x:v>
      </x:c>
      <x:c r="E514" s="95"/>
      <x:c r="F514" s="95"/>
      <x:c r="G514" s="95" t="str">
        <x:f>IF(OR(F514="",H514=""),"",F514*H514)</x:f>
      </x:c>
      <x:c r="H514" s="96" t="n">
        <x:v>1</x:v>
      </x:c>
      <x:c r="I514" s="94" t="str">
        <x:v> ШТ. </x:v>
      </x:c>
      <x:c r="J514" s="94" t="str">
        <x:v>ONKA/EKT</x:v>
      </x:c>
      <x:c r="K514" s="64" t="str">
        <x:v>B25</x:v>
      </x:c>
    </x:row>
    <x:row r="515">
      <x:c r="A515" s="64" t="str">
        <x:v>РПВ-1 (В25)</x:v>
      </x:c>
      <x:c r="B515" s="94" t="str">
        <x:v>klemens</x:v>
      </x:c>
      <x:c r="C515" s="100" t="str">
        <x:v>KONTROL-KL</x:v>
      </x:c>
      <x:c r="D515" s="94" t="str">
        <x:v>Клеммник 2,5-6 мм² (фаза/N/PE по схеме)</x:v>
      </x:c>
      <x:c r="E515" s="95"/>
      <x:c r="F515" s="95"/>
      <x:c r="G515" s="95" t="str">
        <x:f>IF(OR(F515="",H515=""),"",F515*H515)</x:f>
      </x:c>
      <x:c r="H515" s="96" t="n">
        <x:v>18</x:v>
      </x:c>
      <x:c r="I515" s="94" t="str">
        <x:v> ШТ. </x:v>
      </x:c>
      <x:c r="J515" s="94" t="str">
        <x:v>Klemsan/EKT</x:v>
      </x:c>
      <x:c r="K515" s="64" t="str">
        <x:v>B25</x:v>
      </x:c>
    </x:row>
    <x:row r="516">
      <x:c r="A516" s="64" t="str">
        <x:v>РПВ-1 (В25)</x:v>
      </x:c>
      <x:c r="B516" s="94" t="str">
        <x:v>kablo</x:v>
      </x:c>
      <x:c r="C516" s="100" t="str">
        <x:v>KONTROL-WIRE</x:v>
      </x:c>
      <x:c r="D516" s="94" t="str">
        <x:v>Внутренняя проводка Harmony + маркировка, комплект</x:v>
      </x:c>
      <x:c r="E516" s="95"/>
      <x:c r="F516" s="95"/>
      <x:c r="G516" s="95" t="str">
        <x:f>IF(OR(F516="",H516=""),"",F516*H516)</x:f>
      </x:c>
      <x:c r="H516" s="96" t="n">
        <x:v>1</x:v>
      </x:c>
      <x:c r="I516" s="94" t="str">
        <x:v> ШТ. </x:v>
      </x:c>
      <x:c r="J516" s="94" t="str">
        <x:v>Harmony</x:v>
      </x:c>
      <x:c r="K516" s="64" t="str">
        <x:v>B25</x:v>
      </x:c>
    </x:row>
    <x:row r="517">
      <x:c r="A517" s="64" t="str">
        <x:v>РПВ-1 (В25)</x:v>
      </x:c>
      <x:c r="B517" s="64" t="str">
        <x:v>монтажный материал</x:v>
      </x:c>
      <x:c r="C517" s="64" t="str">
        <x:v>монтажный материал</x:v>
      </x:c>
      <x:c r="D517" s="64" t="str">
        <x:v>Монтажный материал</x:v>
      </x:c>
      <x:c r="E517" s="83"/>
      <x:c r="F517" s="83"/>
      <x:c r="G517" s="83" t="str">
        <x:f>IF(OR(F517="",H517=""),"",F517*H517)</x:f>
      </x:c>
      <x:c r="H517" s="89" t="n">
        <x:v>1</x:v>
      </x:c>
      <x:c r="I517" s="64" t="str">
        <x:v>компл.</x:v>
      </x:c>
      <x:c r="J517" s="64" t="str">
        <x:v>TEKLED</x:v>
      </x:c>
      <x:c r="K517" s="64" t="str">
        <x:v>B25</x:v>
      </x:c>
    </x:row>
    <x:row r="518">
      <x:c r="A518" s="64" t="str">
        <x:v>РПВ-1 (В25)</x:v>
      </x:c>
      <x:c r="B518" s="64" t="str">
        <x:v>монтажные работы</x:v>
      </x:c>
      <x:c r="C518" s="64" t="str">
        <x:v>монтажные работы</x:v>
      </x:c>
      <x:c r="D518" s="64" t="str">
        <x:v>Монтажные работы</x:v>
      </x:c>
      <x:c r="E518" s="83"/>
      <x:c r="F518" s="83"/>
      <x:c r="G518" s="83" t="str">
        <x:f>IF(OR(F518="",H518=""),"",F518*H518)</x:f>
      </x:c>
      <x:c r="H518" s="89" t="n">
        <x:v>1</x:v>
      </x:c>
      <x:c r="I518" s="64" t="str">
        <x:v>компл.</x:v>
      </x:c>
      <x:c r="J518" s="64" t="str">
        <x:v>TEKLED</x:v>
      </x:c>
      <x:c r="K518" s="64" t="str">
        <x:v>B25</x:v>
      </x:c>
    </x:row>
    <x:row r="519">
      <x:c r="A519" s="76" t="str">
        <x:v>РПВ-1 (В25)</x:v>
      </x:c>
      <x:c r="B519" s="76"/>
      <x:c r="C519" s="76"/>
      <x:c r="D519" s="80" t="str">
        <x:v>ИТОГО на 1 комплект</x:v>
      </x:c>
      <x:c r="E519" s="84"/>
      <x:c r="F519" s="84"/>
      <x:c r="G519" s="84" t="n">
        <x:f>SUM(G508:G518)</x:f>
        <x:v>12661.8</x:v>
      </x:c>
      <x:c r="H519" s="90"/>
      <x:c r="I519" s="76"/>
      <x:c r="J519" s="76"/>
      <x:c r="K519" s="76" t="str">
        <x:v>B25</x:v>
      </x:c>
    </x:row>
    <x:row r="520" ht="24" customHeight="1">
      <x:c r="A520" s="69" t="str">
        <x:v>РПо-1 (В25)</x:v>
      </x:c>
      <x:c r="B520" s="69"/>
      <x:c r="C520" s="69"/>
      <x:c r="D520" s="69" t="str">
        <x:v>РПо-1 (В25)</x:v>
      </x:c>
      <x:c r="E520" s="82"/>
      <x:c r="F520" s="82"/>
      <x:c r="G520" s="82"/>
      <x:c r="H520" s="88" t="n">
        <x:v>1</x:v>
      </x:c>
      <x:c r="I520" s="69" t="str">
        <x:v>комплект</x:v>
      </x:c>
      <x:c r="J520" s="69" t="str">
        <x:v>TEKLED/TEKSAN</x:v>
      </x:c>
      <x:c r="K520" s="69" t="str">
        <x:v>B25</x:v>
      </x:c>
    </x:row>
    <x:row r="521">
      <x:c r="A521" s="64" t="str">
        <x:v>РПо-1 (В25)</x:v>
      </x:c>
      <x:c r="B521" s="64" t="str">
        <x:v>korpus</x:v>
      </x:c>
      <x:c r="C521" s="64" t="str">
        <x:v>714-15015</x:v>
      </x:c>
      <x:c r="D521" s="64" t="str">
        <x:v>Pano met.ShRn-36 b/o (312х540х120)S/U 36 IP31 (TS)</x:v>
      </x:c>
      <x:c r="E521" s="83" t="n">
        <x:v>15140</x:v>
      </x:c>
      <x:c r="F521" s="83" t="n">
        <x:v>9084</x:v>
      </x:c>
      <x:c r="G521" s="83" t="n">
        <x:f>IF(OR(F521="",H521=""),"",F521*H521)</x:f>
        <x:v>9084</x:v>
      </x:c>
      <x:c r="H521" s="89" t="n">
        <x:v>1</x:v>
      </x:c>
      <x:c r="I521" s="64" t="str">
        <x:v> ШТ. </x:v>
      </x:c>
      <x:c r="J521" s="64" t="str">
        <x:v>teksan f</x:v>
      </x:c>
      <x:c r="K521" s="64" t="str">
        <x:v>B25</x:v>
      </x:c>
    </x:row>
    <x:row r="522">
      <x:c r="A522" s="64" t="str">
        <x:v>РПо-1 (В25)</x:v>
      </x:c>
      <x:c r="B522" s="64" t="str">
        <x:v>oto</x:v>
      </x:c>
      <x:c r="C522" s="64" t="str">
        <x:v>816141</x:v>
      </x:c>
      <x:c r="D522" s="64" t="str">
        <x:v>Авт. выкл. NXB-125 3P 100A 10кА х-ка C (R)</x:v>
      </x:c>
      <x:c r="E522" s="83" t="n">
        <x:v>11015</x:v>
      </x:c>
      <x:c r="F522" s="83" t="n">
        <x:v>6609</x:v>
      </x:c>
      <x:c r="G522" s="83" t="n">
        <x:f>IF(OR(F522="",H522=""),"",F522*H522)</x:f>
        <x:v>6609</x:v>
      </x:c>
      <x:c r="H522" s="89" t="n">
        <x:v>1</x:v>
      </x:c>
      <x:c r="I522" s="64" t="str">
        <x:v> ШТ. </x:v>
      </x:c>
      <x:c r="J522" s="64" t="str">
        <x:v>chint</x:v>
      </x:c>
      <x:c r="K522" s="64" t="str">
        <x:v>B25</x:v>
      </x:c>
    </x:row>
    <x:row r="523">
      <x:c r="A523" s="64" t="str">
        <x:v>РПо-1 (В25)</x:v>
      </x:c>
      <x:c r="B523" s="64" t="str">
        <x:v>oto</x:v>
      </x:c>
      <x:c r="C523" s="64" t="str">
        <x:v>296829</x:v>
      </x:c>
      <x:c r="D523" s="64" t="str">
        <x:v>Авт. выкл. NXB-63S 3P 25А 4.5kA х-ка C (R)</x:v>
      </x:c>
      <x:c r="E523" s="83" t="n">
        <x:v>2429</x:v>
      </x:c>
      <x:c r="F523" s="83" t="n">
        <x:v>1457.3999999999999</x:v>
      </x:c>
      <x:c r="G523" s="83" t="n">
        <x:f>IF(OR(F523="",H523=""),"",F523*H523)</x:f>
        <x:v>1457.3999999999999</x:v>
      </x:c>
      <x:c r="H523" s="89" t="n">
        <x:v>1</x:v>
      </x:c>
      <x:c r="I523" s="64" t="str">
        <x:v> ШТ. </x:v>
      </x:c>
      <x:c r="J523" s="64" t="str">
        <x:v>chint</x:v>
      </x:c>
      <x:c r="K523" s="64" t="str">
        <x:v>B25</x:v>
      </x:c>
    </x:row>
    <x:row r="524">
      <x:c r="A524" s="64" t="str">
        <x:v>РПо-1 (В25)</x:v>
      </x:c>
      <x:c r="B524" s="64" t="str">
        <x:v>oto</x:v>
      </x:c>
      <x:c r="C524" s="64" t="str">
        <x:v>296827</x:v>
      </x:c>
      <x:c r="D524" s="64" t="str">
        <x:v>Авт. выкл. NXB-63S 3P 16А 4.5kA х-ка C (R)</x:v>
      </x:c>
      <x:c r="E524" s="83" t="n">
        <x:v>2337</x:v>
      </x:c>
      <x:c r="F524" s="83" t="n">
        <x:v>1402.2</x:v>
      </x:c>
      <x:c r="G524" s="83" t="n">
        <x:f>IF(OR(F524="",H524=""),"",F524*H524)</x:f>
        <x:v>7011</x:v>
      </x:c>
      <x:c r="H524" s="89" t="n">
        <x:v>5</x:v>
      </x:c>
      <x:c r="I524" s="64" t="str">
        <x:v> ШТ. </x:v>
      </x:c>
      <x:c r="J524" s="64" t="str">
        <x:v>chint</x:v>
      </x:c>
      <x:c r="K524" s="64" t="str">
        <x:v>B25</x:v>
      </x:c>
    </x:row>
    <x:row r="525">
      <x:c r="A525" s="64" t="str">
        <x:v>РПо-1 (В25)</x:v>
      </x:c>
      <x:c r="B525" s="64" t="str">
        <x:v>oto</x:v>
      </x:c>
      <x:c r="C525" s="64" t="str">
        <x:v>296711</x:v>
      </x:c>
      <x:c r="D525" s="64" t="str">
        <x:v>Авт. выкл. NXB-63S 1P 20А 4.5kA х-ка C (R)</x:v>
      </x:c>
      <x:c r="E525" s="83" t="n">
        <x:v>796</x:v>
      </x:c>
      <x:c r="F525" s="83" t="n">
        <x:v>477.59999999999997</x:v>
      </x:c>
      <x:c r="G525" s="83" t="n">
        <x:f>IF(OR(F525="",H525=""),"",F525*H525)</x:f>
        <x:v>955.1999999999999</x:v>
      </x:c>
      <x:c r="H525" s="89" t="n">
        <x:v>2</x:v>
      </x:c>
      <x:c r="I525" s="64" t="str">
        <x:v> ШТ. </x:v>
      </x:c>
      <x:c r="J525" s="64" t="str">
        <x:v>chint</x:v>
      </x:c>
      <x:c r="K525" s="64" t="str">
        <x:v>B25</x:v>
      </x:c>
    </x:row>
    <x:row r="526">
      <x:c r="A526" s="64" t="str">
        <x:v>РПо-1 (В25)</x:v>
      </x:c>
      <x:c r="B526" s="64" t="str">
        <x:v>oto</x:v>
      </x:c>
      <x:c r="C526" s="64" t="str">
        <x:v>814014</x:v>
      </x:c>
      <x:c r="D526" s="64" t="str">
        <x:v>Авт. выкл. NXB-63 1P 16A 6кА х-ка C (R)</x:v>
      </x:c>
      <x:c r="E526" s="83" t="n">
        <x:v>1389</x:v>
      </x:c>
      <x:c r="F526" s="83" t="n">
        <x:v>833.4</x:v>
      </x:c>
      <x:c r="G526" s="83" t="n">
        <x:f>IF(OR(F526="",H526=""),"",F526*H526)</x:f>
        <x:v>1666.8</x:v>
      </x:c>
      <x:c r="H526" s="89" t="n">
        <x:v>2</x:v>
      </x:c>
      <x:c r="I526" s="64" t="str">
        <x:v> ШТ. </x:v>
      </x:c>
      <x:c r="J526" s="64" t="str">
        <x:v>chint</x:v>
      </x:c>
      <x:c r="K526" s="64" t="str">
        <x:v>B25</x:v>
      </x:c>
    </x:row>
    <x:row r="527">
      <x:c r="A527" s="64" t="str">
        <x:v>РПо-1 (В25)</x:v>
      </x:c>
      <x:c r="B527" s="64" t="str">
        <x:v>rn</x:v>
      </x:c>
      <x:c r="C527" s="64" t="str">
        <x:v>816989</x:v>
      </x:c>
      <x:c r="D527" s="64" t="str">
        <x:v>Независимый расцепитель SHT-X3 AC240V/AC415V для NXB-125(G) (R)</x:v>
      </x:c>
      <x:c r="E527" s="83" t="n">
        <x:v>4160</x:v>
      </x:c>
      <x:c r="F527" s="83" t="n">
        <x:v>2496</x:v>
      </x:c>
      <x:c r="G527" s="83" t="n">
        <x:f>IF(OR(F527="",H527=""),"",F527*H527)</x:f>
        <x:v>2496</x:v>
      </x:c>
      <x:c r="H527" s="89" t="n">
        <x:v>1</x:v>
      </x:c>
      <x:c r="I527" s="64" t="str">
        <x:v> ШТ. </x:v>
      </x:c>
      <x:c r="J527" s="64" t="str">
        <x:v>chint</x:v>
      </x:c>
      <x:c r="K527" s="64" t="str">
        <x:v>B25</x:v>
      </x:c>
    </x:row>
    <x:row r="528">
      <x:c r="A528" s="64" t="str">
        <x:v>РПо-1 (В25)</x:v>
      </x:c>
      <x:c r="B528" s="64" t="str">
        <x:v>contactor</x:v>
      </x:c>
      <x:c r="C528" s="64" t="str">
        <x:v>836704</x:v>
      </x:c>
      <x:c r="D528" s="64" t="str">
        <x:v>Контактор NXC-09 9A 220В/АС3 1НО+1НЗ 50Гц (R)</x:v>
      </x:c>
      <x:c r="E528" s="83" t="n">
        <x:v>5214</x:v>
      </x:c>
      <x:c r="F528" s="83" t="n">
        <x:v>3128.4</x:v>
      </x:c>
      <x:c r="G528" s="83" t="n">
        <x:f>IF(OR(F528="",H528=""),"",F528*H528)</x:f>
        <x:v>3128.4</x:v>
      </x:c>
      <x:c r="H528" s="89" t="n">
        <x:v>1</x:v>
      </x:c>
      <x:c r="I528" s="64" t="str">
        <x:v> ШТ. </x:v>
      </x:c>
      <x:c r="J528" s="64" t="str">
        <x:v>chint</x:v>
      </x:c>
      <x:c r="K528" s="64" t="str">
        <x:v>B25</x:v>
      </x:c>
    </x:row>
    <x:row r="529">
      <x:c r="A529" s="64" t="str">
        <x:v>РПо-1 (В25)</x:v>
      </x:c>
      <x:c r="B529" s="94" t="str">
        <x:v>contactor</x:v>
      </x:c>
      <x:c r="C529" s="100" t="str">
        <x:v>KONTROL-NXC18</x:v>
      </x:c>
      <x:c r="D529" s="94" t="str">
        <x:v>Контактор CHINT NXC-18 18A, катушка 220V AC, 1NO+1NC</x:v>
      </x:c>
      <x:c r="E529" s="95"/>
      <x:c r="F529" s="95"/>
      <x:c r="G529" s="95" t="str">
        <x:f>IF(OR(F529="",H529=""),"",F529*H529)</x:f>
      </x:c>
      <x:c r="H529" s="96" t="n">
        <x:v>1</x:v>
      </x:c>
      <x:c r="I529" s="94" t="str">
        <x:v> ШТ. </x:v>
      </x:c>
      <x:c r="J529" s="94" t="str">
        <x:v>CHINT</x:v>
      </x:c>
      <x:c r="K529" s="64" t="str">
        <x:v>B25</x:v>
      </x:c>
    </x:row>
    <x:row r="530">
      <x:c r="A530" s="64" t="str">
        <x:v>РПо-1 (В25)</x:v>
      </x:c>
      <x:c r="B530" s="94" t="str">
        <x:v>bara</x:v>
      </x:c>
      <x:c r="C530" s="100" t="str">
        <x:v>KONTROL-N</x:v>
      </x:c>
      <x:c r="D530" s="94" t="str">
        <x:v>Шина N изолированная, не менее 12 присоединений</x:v>
      </x:c>
      <x:c r="E530" s="95"/>
      <x:c r="F530" s="95"/>
      <x:c r="G530" s="95" t="str">
        <x:f>IF(OR(F530="",H530=""),"",F530*H530)</x:f>
      </x:c>
      <x:c r="H530" s="96" t="n">
        <x:v>1</x:v>
      </x:c>
      <x:c r="I530" s="94" t="str">
        <x:v> ШТ. </x:v>
      </x:c>
      <x:c r="J530" s="94" t="str">
        <x:v>EKT/Klemsan</x:v>
      </x:c>
      <x:c r="K530" s="64" t="str">
        <x:v>B25</x:v>
      </x:c>
    </x:row>
    <x:row r="531">
      <x:c r="A531" s="64" t="str">
        <x:v>РПо-1 (В25)</x:v>
      </x:c>
      <x:c r="B531" s="94" t="str">
        <x:v>bara</x:v>
      </x:c>
      <x:c r="C531" s="100" t="str">
        <x:v>KONTROL-PE</x:v>
      </x:c>
      <x:c r="D531" s="94" t="str">
        <x:v>Шина PE медная, не менее 12 присоединений</x:v>
      </x:c>
      <x:c r="E531" s="95"/>
      <x:c r="F531" s="95"/>
      <x:c r="G531" s="95" t="str">
        <x:f>IF(OR(F531="",H531=""),"",F531*H531)</x:f>
      </x:c>
      <x:c r="H531" s="96" t="n">
        <x:v>1</x:v>
      </x:c>
      <x:c r="I531" s="94" t="str">
        <x:v> ШТ. </x:v>
      </x:c>
      <x:c r="J531" s="94" t="str">
        <x:v>EKT/Klemsan</x:v>
      </x:c>
      <x:c r="K531" s="64" t="str">
        <x:v>B25</x:v>
      </x:c>
    </x:row>
    <x:row r="532">
      <x:c r="A532" s="64" t="str">
        <x:v>РПо-1 (В25)</x:v>
      </x:c>
      <x:c r="B532" s="94" t="str">
        <x:v>din</x:v>
      </x:c>
      <x:c r="C532" s="100" t="str">
        <x:v>KONTROL-DIN</x:v>
      </x:c>
      <x:c r="D532" s="94" t="str">
        <x:v>DIN рейка 35 мм, оцинкованная, комплект по габариту</x:v>
      </x:c>
      <x:c r="E532" s="95"/>
      <x:c r="F532" s="95"/>
      <x:c r="G532" s="95" t="str">
        <x:f>IF(OR(F532="",H532=""),"",F532*H532)</x:f>
      </x:c>
      <x:c r="H532" s="96" t="n">
        <x:v>1</x:v>
      </x:c>
      <x:c r="I532" s="94" t="str">
        <x:v> ШТ. </x:v>
      </x:c>
      <x:c r="J532" s="94" t="str">
        <x:v>EKT</x:v>
      </x:c>
      <x:c r="K532" s="64" t="str">
        <x:v>B25</x:v>
      </x:c>
    </x:row>
    <x:row r="533">
      <x:c r="A533" s="64" t="str">
        <x:v>РПо-1 (В25)</x:v>
      </x:c>
      <x:c r="B533" s="94" t="str">
        <x:v>kanal</x:v>
      </x:c>
      <x:c r="C533" s="100" t="str">
        <x:v>KONTROL-KK</x:v>
      </x:c>
      <x:c r="D533" s="94" t="str">
        <x:v>Кабельный канал перфорированный, комплект по габариту</x:v>
      </x:c>
      <x:c r="E533" s="95"/>
      <x:c r="F533" s="95"/>
      <x:c r="G533" s="95" t="str">
        <x:f>IF(OR(F533="",H533=""),"",F533*H533)</x:f>
      </x:c>
      <x:c r="H533" s="96" t="n">
        <x:v>1</x:v>
      </x:c>
      <x:c r="I533" s="94" t="str">
        <x:v> ШТ. </x:v>
      </x:c>
      <x:c r="J533" s="94" t="str">
        <x:v>ONKA/EKT</x:v>
      </x:c>
      <x:c r="K533" s="64" t="str">
        <x:v>B25</x:v>
      </x:c>
    </x:row>
    <x:row r="534">
      <x:c r="A534" s="64" t="str">
        <x:v>РПо-1 (В25)</x:v>
      </x:c>
      <x:c r="B534" s="94" t="str">
        <x:v>klemens</x:v>
      </x:c>
      <x:c r="C534" s="100" t="str">
        <x:v>KONTROL-KL</x:v>
      </x:c>
      <x:c r="D534" s="94" t="str">
        <x:v>Клеммник 2,5-6 мм² (фаза/N/PE по схеме)</x:v>
      </x:c>
      <x:c r="E534" s="95"/>
      <x:c r="F534" s="95"/>
      <x:c r="G534" s="95" t="str">
        <x:f>IF(OR(F534="",H534=""),"",F534*H534)</x:f>
      </x:c>
      <x:c r="H534" s="96" t="n">
        <x:v>33</x:v>
      </x:c>
      <x:c r="I534" s="94" t="str">
        <x:v> ШТ. </x:v>
      </x:c>
      <x:c r="J534" s="94" t="str">
        <x:v>Klemsan/EKT</x:v>
      </x:c>
      <x:c r="K534" s="64" t="str">
        <x:v>B25</x:v>
      </x:c>
    </x:row>
    <x:row r="535">
      <x:c r="A535" s="64" t="str">
        <x:v>РПо-1 (В25)</x:v>
      </x:c>
      <x:c r="B535" s="94" t="str">
        <x:v>kablo</x:v>
      </x:c>
      <x:c r="C535" s="100" t="str">
        <x:v>KONTROL-WIRE</x:v>
      </x:c>
      <x:c r="D535" s="94" t="str">
        <x:v>Внутренняя проводка Harmony + маркировка, комплект</x:v>
      </x:c>
      <x:c r="E535" s="95"/>
      <x:c r="F535" s="95"/>
      <x:c r="G535" s="95" t="str">
        <x:f>IF(OR(F535="",H535=""),"",F535*H535)</x:f>
      </x:c>
      <x:c r="H535" s="96" t="n">
        <x:v>1</x:v>
      </x:c>
      <x:c r="I535" s="94" t="str">
        <x:v> ШТ. </x:v>
      </x:c>
      <x:c r="J535" s="94" t="str">
        <x:v>Harmony</x:v>
      </x:c>
      <x:c r="K535" s="64" t="str">
        <x:v>B25</x:v>
      </x:c>
    </x:row>
    <x:row r="536">
      <x:c r="A536" s="64" t="str">
        <x:v>РПо-1 (В25)</x:v>
      </x:c>
      <x:c r="B536" s="64" t="str">
        <x:v>монтажный материал</x:v>
      </x:c>
      <x:c r="C536" s="64" t="str">
        <x:v>монтажный материал</x:v>
      </x:c>
      <x:c r="D536" s="64" t="str">
        <x:v>Монтажный материал</x:v>
      </x:c>
      <x:c r="E536" s="83"/>
      <x:c r="F536" s="83"/>
      <x:c r="G536" s="83" t="str">
        <x:f>IF(OR(F536="",H536=""),"",F536*H536)</x:f>
      </x:c>
      <x:c r="H536" s="89" t="n">
        <x:v>1</x:v>
      </x:c>
      <x:c r="I536" s="64" t="str">
        <x:v>компл.</x:v>
      </x:c>
      <x:c r="J536" s="64" t="str">
        <x:v>TEKLED</x:v>
      </x:c>
      <x:c r="K536" s="64" t="str">
        <x:v>B25</x:v>
      </x:c>
    </x:row>
    <x:row r="537">
      <x:c r="A537" s="64" t="str">
        <x:v>РПо-1 (В25)</x:v>
      </x:c>
      <x:c r="B537" s="64" t="str">
        <x:v>монтажные работы</x:v>
      </x:c>
      <x:c r="C537" s="64" t="str">
        <x:v>монтажные работы</x:v>
      </x:c>
      <x:c r="D537" s="64" t="str">
        <x:v>Монтажные работы</x:v>
      </x:c>
      <x:c r="E537" s="83"/>
      <x:c r="F537" s="83"/>
      <x:c r="G537" s="83" t="str">
        <x:f>IF(OR(F537="",H537=""),"",F537*H537)</x:f>
      </x:c>
      <x:c r="H537" s="89" t="n">
        <x:v>1</x:v>
      </x:c>
      <x:c r="I537" s="64" t="str">
        <x:v>компл.</x:v>
      </x:c>
      <x:c r="J537" s="64" t="str">
        <x:v>TEKLED</x:v>
      </x:c>
      <x:c r="K537" s="64" t="str">
        <x:v>B25</x:v>
      </x:c>
    </x:row>
    <x:row r="538">
      <x:c r="A538" s="76" t="str">
        <x:v>РПо-1 (В25)</x:v>
      </x:c>
      <x:c r="B538" s="76"/>
      <x:c r="C538" s="76"/>
      <x:c r="D538" s="80" t="str">
        <x:v>ИТОГО на 1 комплект</x:v>
      </x:c>
      <x:c r="E538" s="84"/>
      <x:c r="F538" s="84"/>
      <x:c r="G538" s="84" t="n">
        <x:f>SUM(G521:G537)</x:f>
        <x:v>32407.800000000003</x:v>
      </x:c>
      <x:c r="H538" s="90"/>
      <x:c r="I538" s="76"/>
      <x:c r="J538" s="76"/>
      <x:c r="K538" s="76" t="str">
        <x:v>B25</x:v>
      </x:c>
    </x:row>
    <x:row r="539" ht="24" customHeight="1">
      <x:c r="A539" s="69" t="str">
        <x:v>ЩО-1 (В25)</x:v>
      </x:c>
      <x:c r="B539" s="69"/>
      <x:c r="C539" s="69"/>
      <x:c r="D539" s="69" t="str">
        <x:v>ЩО-1 (В25)</x:v>
      </x:c>
      <x:c r="E539" s="82"/>
      <x:c r="F539" s="82"/>
      <x:c r="G539" s="82"/>
      <x:c r="H539" s="88" t="n">
        <x:v>1</x:v>
      </x:c>
      <x:c r="I539" s="69" t="str">
        <x:v>комплект</x:v>
      </x:c>
      <x:c r="J539" s="69" t="str">
        <x:v>TEKLED/TEKSAN</x:v>
      </x:c>
      <x:c r="K539" s="69" t="str">
        <x:v>B25</x:v>
      </x:c>
    </x:row>
    <x:row r="540">
      <x:c r="A540" s="64" t="str">
        <x:v>ЩО-1 (В25)</x:v>
      </x:c>
      <x:c r="B540" s="64" t="str">
        <x:v>korpus</x:v>
      </x:c>
      <x:c r="C540" s="64" t="str">
        <x:v>714-15005</x:v>
      </x:c>
      <x:c r="D540" s="64" t="str">
        <x:v>Pano met.ShRn-12 b/o (313х268х120)S/U 36 IP31 (TS)</x:v>
      </x:c>
      <x:c r="E540" s="83" t="n">
        <x:v>10270</x:v>
      </x:c>
      <x:c r="F540" s="83" t="n">
        <x:v>6162</x:v>
      </x:c>
      <x:c r="G540" s="83" t="n">
        <x:f>IF(OR(F540="",H540=""),"",F540*H540)</x:f>
        <x:v>6162</x:v>
      </x:c>
      <x:c r="H540" s="89" t="n">
        <x:v>1</x:v>
      </x:c>
      <x:c r="I540" s="64" t="str">
        <x:v> ШТ. </x:v>
      </x:c>
      <x:c r="J540" s="64" t="str">
        <x:v>teksan f</x:v>
      </x:c>
      <x:c r="K540" s="64" t="str">
        <x:v>B25</x:v>
      </x:c>
    </x:row>
    <x:row r="541">
      <x:c r="A541" s="64" t="str">
        <x:v>ЩО-1 (В25)</x:v>
      </x:c>
      <x:c r="B541" s="94" t="str">
        <x:v>rubilnik</x:v>
      </x:c>
      <x:c r="C541" s="100" t="str">
        <x:v>KONTROL-NH2-3P20</x:v>
      </x:c>
      <x:c r="D541" s="94" t="str">
        <x:v>Выключатель нагрузки CHINT 3P 20A, характеристика B не применяется</x:v>
      </x:c>
      <x:c r="E541" s="95"/>
      <x:c r="F541" s="95"/>
      <x:c r="G541" s="95" t="str">
        <x:f>IF(OR(F541="",H541=""),"",F541*H541)</x:f>
      </x:c>
      <x:c r="H541" s="96" t="n">
        <x:v>1</x:v>
      </x:c>
      <x:c r="I541" s="94" t="str">
        <x:v> ШТ. </x:v>
      </x:c>
      <x:c r="J541" s="94" t="str">
        <x:v>CHINT</x:v>
      </x:c>
      <x:c r="K541" s="64" t="str">
        <x:v>B25</x:v>
      </x:c>
    </x:row>
    <x:row r="542">
      <x:c r="A542" s="64" t="str">
        <x:v>ЩО-1 (В25)</x:v>
      </x:c>
      <x:c r="B542" s="64" t="str">
        <x:v>oto</x:v>
      </x:c>
      <x:c r="C542" s="64" t="str">
        <x:v>814014</x:v>
      </x:c>
      <x:c r="D542" s="64" t="str">
        <x:v>Авт. выкл. NXB-63 1P 16A 6кА х-ка C (R)</x:v>
      </x:c>
      <x:c r="E542" s="83" t="n">
        <x:v>1389</x:v>
      </x:c>
      <x:c r="F542" s="83" t="n">
        <x:v>833.4</x:v>
      </x:c>
      <x:c r="G542" s="83" t="n">
        <x:f>IF(OR(F542="",H542=""),"",F542*H542)</x:f>
        <x:v>5833.8</x:v>
      </x:c>
      <x:c r="H542" s="89" t="n">
        <x:v>7</x:v>
      </x:c>
      <x:c r="I542" s="64" t="str">
        <x:v> ШТ. </x:v>
      </x:c>
      <x:c r="J542" s="64" t="str">
        <x:v>chint</x:v>
      </x:c>
      <x:c r="K542" s="64" t="str">
        <x:v>B25</x:v>
      </x:c>
    </x:row>
    <x:row r="543">
      <x:c r="A543" s="64" t="str">
        <x:v>ЩО-1 (В25)</x:v>
      </x:c>
      <x:c r="B543" s="94" t="str">
        <x:v>bara</x:v>
      </x:c>
      <x:c r="C543" s="100" t="str">
        <x:v>KONTROL-N</x:v>
      </x:c>
      <x:c r="D543" s="94" t="str">
        <x:v>Шина N изолированная, не менее 12 присоединений</x:v>
      </x:c>
      <x:c r="E543" s="95"/>
      <x:c r="F543" s="95"/>
      <x:c r="G543" s="95" t="str">
        <x:f>IF(OR(F543="",H543=""),"",F543*H543)</x:f>
      </x:c>
      <x:c r="H543" s="96" t="n">
        <x:v>1</x:v>
      </x:c>
      <x:c r="I543" s="94" t="str">
        <x:v> ШТ. </x:v>
      </x:c>
      <x:c r="J543" s="94" t="str">
        <x:v>EKT/Klemsan</x:v>
      </x:c>
      <x:c r="K543" s="64" t="str">
        <x:v>B25</x:v>
      </x:c>
    </x:row>
    <x:row r="544">
      <x:c r="A544" s="64" t="str">
        <x:v>ЩО-1 (В25)</x:v>
      </x:c>
      <x:c r="B544" s="94" t="str">
        <x:v>bara</x:v>
      </x:c>
      <x:c r="C544" s="100" t="str">
        <x:v>KONTROL-PE</x:v>
      </x:c>
      <x:c r="D544" s="94" t="str">
        <x:v>Шина PE медная, не менее 12 присоединений</x:v>
      </x:c>
      <x:c r="E544" s="95"/>
      <x:c r="F544" s="95"/>
      <x:c r="G544" s="95" t="str">
        <x:f>IF(OR(F544="",H544=""),"",F544*H544)</x:f>
      </x:c>
      <x:c r="H544" s="96" t="n">
        <x:v>1</x:v>
      </x:c>
      <x:c r="I544" s="94" t="str">
        <x:v> ШТ. </x:v>
      </x:c>
      <x:c r="J544" s="94" t="str">
        <x:v>EKT/Klemsan</x:v>
      </x:c>
      <x:c r="K544" s="64" t="str">
        <x:v>B25</x:v>
      </x:c>
    </x:row>
    <x:row r="545">
      <x:c r="A545" s="64" t="str">
        <x:v>ЩО-1 (В25)</x:v>
      </x:c>
      <x:c r="B545" s="94" t="str">
        <x:v>din</x:v>
      </x:c>
      <x:c r="C545" s="100" t="str">
        <x:v>KONTROL-DIN</x:v>
      </x:c>
      <x:c r="D545" s="94" t="str">
        <x:v>DIN рейка 35 мм, оцинкованная, комплект по габариту</x:v>
      </x:c>
      <x:c r="E545" s="95"/>
      <x:c r="F545" s="95"/>
      <x:c r="G545" s="95" t="str">
        <x:f>IF(OR(F545="",H545=""),"",F545*H545)</x:f>
      </x:c>
      <x:c r="H545" s="96" t="n">
        <x:v>1</x:v>
      </x:c>
      <x:c r="I545" s="94" t="str">
        <x:v> ШТ. </x:v>
      </x:c>
      <x:c r="J545" s="94" t="str">
        <x:v>EKT</x:v>
      </x:c>
      <x:c r="K545" s="64" t="str">
        <x:v>B25</x:v>
      </x:c>
    </x:row>
    <x:row r="546">
      <x:c r="A546" s="64" t="str">
        <x:v>ЩО-1 (В25)</x:v>
      </x:c>
      <x:c r="B546" s="94" t="str">
        <x:v>kanal</x:v>
      </x:c>
      <x:c r="C546" s="100" t="str">
        <x:v>KONTROL-KK</x:v>
      </x:c>
      <x:c r="D546" s="94" t="str">
        <x:v>Кабельный канал перфорированный, комплект по габариту</x:v>
      </x:c>
      <x:c r="E546" s="95"/>
      <x:c r="F546" s="95"/>
      <x:c r="G546" s="95" t="str">
        <x:f>IF(OR(F546="",H546=""),"",F546*H546)</x:f>
      </x:c>
      <x:c r="H546" s="96" t="n">
        <x:v>1</x:v>
      </x:c>
      <x:c r="I546" s="94" t="str">
        <x:v> ШТ. </x:v>
      </x:c>
      <x:c r="J546" s="94" t="str">
        <x:v>ONKA/EKT</x:v>
      </x:c>
      <x:c r="K546" s="64" t="str">
        <x:v>B25</x:v>
      </x:c>
    </x:row>
    <x:row r="547">
      <x:c r="A547" s="64" t="str">
        <x:v>ЩО-1 (В25)</x:v>
      </x:c>
      <x:c r="B547" s="94" t="str">
        <x:v>klemens</x:v>
      </x:c>
      <x:c r="C547" s="100" t="str">
        <x:v>KONTROL-KL</x:v>
      </x:c>
      <x:c r="D547" s="94" t="str">
        <x:v>Клеммник 2,5-6 мм² (фаза/N/PE по схеме)</x:v>
      </x:c>
      <x:c r="E547" s="95"/>
      <x:c r="F547" s="95"/>
      <x:c r="G547" s="95" t="str">
        <x:f>IF(OR(F547="",H547=""),"",F547*H547)</x:f>
      </x:c>
      <x:c r="H547" s="96" t="n">
        <x:v>20</x:v>
      </x:c>
      <x:c r="I547" s="94" t="str">
        <x:v> ШТ. </x:v>
      </x:c>
      <x:c r="J547" s="94" t="str">
        <x:v>Klemsan/EKT</x:v>
      </x:c>
      <x:c r="K547" s="64" t="str">
        <x:v>B25</x:v>
      </x:c>
    </x:row>
    <x:row r="548">
      <x:c r="A548" s="64" t="str">
        <x:v>ЩО-1 (В25)</x:v>
      </x:c>
      <x:c r="B548" s="94" t="str">
        <x:v>kablo</x:v>
      </x:c>
      <x:c r="C548" s="100" t="str">
        <x:v>KONTROL-WIRE</x:v>
      </x:c>
      <x:c r="D548" s="94" t="str">
        <x:v>Внутренняя проводка Harmony + маркировка, комплект</x:v>
      </x:c>
      <x:c r="E548" s="95"/>
      <x:c r="F548" s="95"/>
      <x:c r="G548" s="95" t="str">
        <x:f>IF(OR(F548="",H548=""),"",F548*H548)</x:f>
      </x:c>
      <x:c r="H548" s="96" t="n">
        <x:v>1</x:v>
      </x:c>
      <x:c r="I548" s="94" t="str">
        <x:v> ШТ. </x:v>
      </x:c>
      <x:c r="J548" s="94" t="str">
        <x:v>Harmony</x:v>
      </x:c>
      <x:c r="K548" s="64" t="str">
        <x:v>B25</x:v>
      </x:c>
    </x:row>
    <x:row r="549">
      <x:c r="A549" s="64" t="str">
        <x:v>ЩО-1 (В25)</x:v>
      </x:c>
      <x:c r="B549" s="64" t="str">
        <x:v>монтажный материал</x:v>
      </x:c>
      <x:c r="C549" s="64" t="str">
        <x:v>монтажный материал</x:v>
      </x:c>
      <x:c r="D549" s="64" t="str">
        <x:v>Монтажный материал</x:v>
      </x:c>
      <x:c r="E549" s="83"/>
      <x:c r="F549" s="83"/>
      <x:c r="G549" s="83" t="str">
        <x:f>IF(OR(F549="",H549=""),"",F549*H549)</x:f>
      </x:c>
      <x:c r="H549" s="89" t="n">
        <x:v>1</x:v>
      </x:c>
      <x:c r="I549" s="64" t="str">
        <x:v>компл.</x:v>
      </x:c>
      <x:c r="J549" s="64" t="str">
        <x:v>TEKLED</x:v>
      </x:c>
      <x:c r="K549" s="64" t="str">
        <x:v>B25</x:v>
      </x:c>
    </x:row>
    <x:row r="550">
      <x:c r="A550" s="64" t="str">
        <x:v>ЩО-1 (В25)</x:v>
      </x:c>
      <x:c r="B550" s="64" t="str">
        <x:v>монтажные работы</x:v>
      </x:c>
      <x:c r="C550" s="64" t="str">
        <x:v>монтажные работы</x:v>
      </x:c>
      <x:c r="D550" s="64" t="str">
        <x:v>Монтажные работы</x:v>
      </x:c>
      <x:c r="E550" s="83"/>
      <x:c r="F550" s="83"/>
      <x:c r="G550" s="83" t="str">
        <x:f>IF(OR(F550="",H550=""),"",F550*H550)</x:f>
      </x:c>
      <x:c r="H550" s="89" t="n">
        <x:v>1</x:v>
      </x:c>
      <x:c r="I550" s="64" t="str">
        <x:v>компл.</x:v>
      </x:c>
      <x:c r="J550" s="64" t="str">
        <x:v>TEKLED</x:v>
      </x:c>
      <x:c r="K550" s="64" t="str">
        <x:v>B25</x:v>
      </x:c>
    </x:row>
    <x:row r="551">
      <x:c r="A551" s="76" t="str">
        <x:v>ЩО-1 (В25)</x:v>
      </x:c>
      <x:c r="B551" s="76"/>
      <x:c r="C551" s="76"/>
      <x:c r="D551" s="80" t="str">
        <x:v>ИТОГО на 1 комплект</x:v>
      </x:c>
      <x:c r="E551" s="84"/>
      <x:c r="F551" s="84"/>
      <x:c r="G551" s="84" t="n">
        <x:f>SUM(G540:G550)</x:f>
        <x:v>11995.8</x:v>
      </x:c>
      <x:c r="H551" s="90"/>
      <x:c r="I551" s="76"/>
      <x:c r="J551" s="76"/>
      <x:c r="K551" s="76" t="str">
        <x:v>B25</x:v>
      </x:c>
    </x:row>
    <x:row r="552" ht="24" customHeight="1">
      <x:c r="A552" s="69" t="str">
        <x:v>ЩАО-1 (В25)</x:v>
      </x:c>
      <x:c r="B552" s="69"/>
      <x:c r="C552" s="69"/>
      <x:c r="D552" s="69" t="str">
        <x:v>ЩАО-1 (В25)</x:v>
      </x:c>
      <x:c r="E552" s="82"/>
      <x:c r="F552" s="82"/>
      <x:c r="G552" s="82"/>
      <x:c r="H552" s="88" t="n">
        <x:v>1</x:v>
      </x:c>
      <x:c r="I552" s="69" t="str">
        <x:v>комплект</x:v>
      </x:c>
      <x:c r="J552" s="69" t="str">
        <x:v>TEKLED/TEKSAN</x:v>
      </x:c>
      <x:c r="K552" s="69" t="str">
        <x:v>B25</x:v>
      </x:c>
    </x:row>
    <x:row r="553">
      <x:c r="A553" s="64" t="str">
        <x:v>ЩАО-1 (В25)</x:v>
      </x:c>
      <x:c r="B553" s="64" t="str">
        <x:v>korpus</x:v>
      </x:c>
      <x:c r="C553" s="64" t="str">
        <x:v>714-15005</x:v>
      </x:c>
      <x:c r="D553" s="64" t="str">
        <x:v>Pano met.ShRn-12 b/o (313х268х120)S/U 36 IP31 (TS)</x:v>
      </x:c>
      <x:c r="E553" s="83" t="n">
        <x:v>10270</x:v>
      </x:c>
      <x:c r="F553" s="83" t="n">
        <x:v>6162</x:v>
      </x:c>
      <x:c r="G553" s="83" t="n">
        <x:f>IF(OR(F553="",H553=""),"",F553*H553)</x:f>
        <x:v>6162</x:v>
      </x:c>
      <x:c r="H553" s="89" t="n">
        <x:v>1</x:v>
      </x:c>
      <x:c r="I553" s="64" t="str">
        <x:v> ШТ. </x:v>
      </x:c>
      <x:c r="J553" s="64" t="str">
        <x:v>teksan f</x:v>
      </x:c>
      <x:c r="K553" s="64" t="str">
        <x:v>B25</x:v>
      </x:c>
    </x:row>
    <x:row r="554">
      <x:c r="A554" s="64" t="str">
        <x:v>ЩАО-1 (В25)</x:v>
      </x:c>
      <x:c r="B554" s="94" t="str">
        <x:v>rubilnik</x:v>
      </x:c>
      <x:c r="C554" s="100" t="str">
        <x:v>KONTROL-NH2-3P20</x:v>
      </x:c>
      <x:c r="D554" s="94" t="str">
        <x:v>Выключатель нагрузки CHINT 3P 20A</x:v>
      </x:c>
      <x:c r="E554" s="95"/>
      <x:c r="F554" s="95"/>
      <x:c r="G554" s="95" t="str">
        <x:f>IF(OR(F554="",H554=""),"",F554*H554)</x:f>
      </x:c>
      <x:c r="H554" s="96" t="n">
        <x:v>1</x:v>
      </x:c>
      <x:c r="I554" s="94" t="str">
        <x:v> ШТ. </x:v>
      </x:c>
      <x:c r="J554" s="94" t="str">
        <x:v>CHINT</x:v>
      </x:c>
      <x:c r="K554" s="64" t="str">
        <x:v>B25</x:v>
      </x:c>
    </x:row>
    <x:row r="555">
      <x:c r="A555" s="64" t="str">
        <x:v>ЩАО-1 (В25)</x:v>
      </x:c>
      <x:c r="B555" s="64" t="str">
        <x:v>oto</x:v>
      </x:c>
      <x:c r="C555" s="64" t="str">
        <x:v>296709</x:v>
      </x:c>
      <x:c r="D555" s="64" t="str">
        <x:v>Авт. выключатель CHINT NXB-63S 1P B10A 4.5kA</x:v>
      </x:c>
      <x:c r="E555" s="83" t="n">
        <x:v>783</x:v>
      </x:c>
      <x:c r="F555" s="83" t="n">
        <x:v>469.79999999999995</x:v>
      </x:c>
      <x:c r="G555" s="83" t="n">
        <x:f>IF(OR(F555="",H555=""),"",F555*H555)</x:f>
        <x:v>1879.1999999999998</x:v>
      </x:c>
      <x:c r="H555" s="89" t="n">
        <x:v>4</x:v>
      </x:c>
      <x:c r="I555" s="64" t="str">
        <x:v> ШТ. </x:v>
      </x:c>
      <x:c r="J555" s="64" t="str">
        <x:v>chint</x:v>
      </x:c>
      <x:c r="K555" s="64" t="str">
        <x:v>B25</x:v>
      </x:c>
    </x:row>
    <x:row r="556">
      <x:c r="A556" s="64" t="str">
        <x:v>ЩАО-1 (В25)</x:v>
      </x:c>
      <x:c r="B556" s="94" t="str">
        <x:v>bara</x:v>
      </x:c>
      <x:c r="C556" s="100" t="str">
        <x:v>KONTROL-N</x:v>
      </x:c>
      <x:c r="D556" s="94" t="str">
        <x:v>Шина N изолированная, не менее 12 присоединений</x:v>
      </x:c>
      <x:c r="E556" s="95"/>
      <x:c r="F556" s="95"/>
      <x:c r="G556" s="95" t="str">
        <x:f>IF(OR(F556="",H556=""),"",F556*H556)</x:f>
      </x:c>
      <x:c r="H556" s="96" t="n">
        <x:v>1</x:v>
      </x:c>
      <x:c r="I556" s="94" t="str">
        <x:v> ШТ. </x:v>
      </x:c>
      <x:c r="J556" s="94" t="str">
        <x:v>EKT/Klemsan</x:v>
      </x:c>
      <x:c r="K556" s="64" t="str">
        <x:v>B25</x:v>
      </x:c>
    </x:row>
    <x:row r="557">
      <x:c r="A557" s="64" t="str">
        <x:v>ЩАО-1 (В25)</x:v>
      </x:c>
      <x:c r="B557" s="94" t="str">
        <x:v>bara</x:v>
      </x:c>
      <x:c r="C557" s="100" t="str">
        <x:v>KONTROL-PE</x:v>
      </x:c>
      <x:c r="D557" s="94" t="str">
        <x:v>Шина PE медная, не менее 12 присоединений</x:v>
      </x:c>
      <x:c r="E557" s="95"/>
      <x:c r="F557" s="95"/>
      <x:c r="G557" s="95" t="str">
        <x:f>IF(OR(F557="",H557=""),"",F557*H557)</x:f>
      </x:c>
      <x:c r="H557" s="96" t="n">
        <x:v>1</x:v>
      </x:c>
      <x:c r="I557" s="94" t="str">
        <x:v> ШТ. </x:v>
      </x:c>
      <x:c r="J557" s="94" t="str">
        <x:v>EKT/Klemsan</x:v>
      </x:c>
      <x:c r="K557" s="64" t="str">
        <x:v>B25</x:v>
      </x:c>
    </x:row>
    <x:row r="558">
      <x:c r="A558" s="64" t="str">
        <x:v>ЩАО-1 (В25)</x:v>
      </x:c>
      <x:c r="B558" s="94" t="str">
        <x:v>din</x:v>
      </x:c>
      <x:c r="C558" s="100" t="str">
        <x:v>KONTROL-DIN</x:v>
      </x:c>
      <x:c r="D558" s="94" t="str">
        <x:v>DIN рейка 35 мм, оцинкованная, комплект по габариту</x:v>
      </x:c>
      <x:c r="E558" s="95"/>
      <x:c r="F558" s="95"/>
      <x:c r="G558" s="95" t="str">
        <x:f>IF(OR(F558="",H558=""),"",F558*H558)</x:f>
      </x:c>
      <x:c r="H558" s="96" t="n">
        <x:v>1</x:v>
      </x:c>
      <x:c r="I558" s="94" t="str">
        <x:v> ШТ. </x:v>
      </x:c>
      <x:c r="J558" s="94" t="str">
        <x:v>EKT</x:v>
      </x:c>
      <x:c r="K558" s="64" t="str">
        <x:v>B25</x:v>
      </x:c>
    </x:row>
    <x:row r="559">
      <x:c r="A559" s="64" t="str">
        <x:v>ЩАО-1 (В25)</x:v>
      </x:c>
      <x:c r="B559" s="94" t="str">
        <x:v>kanal</x:v>
      </x:c>
      <x:c r="C559" s="100" t="str">
        <x:v>KONTROL-KK</x:v>
      </x:c>
      <x:c r="D559" s="94" t="str">
        <x:v>Кабельный канал перфорированный, комплект по габариту</x:v>
      </x:c>
      <x:c r="E559" s="95"/>
      <x:c r="F559" s="95"/>
      <x:c r="G559" s="95" t="str">
        <x:f>IF(OR(F559="",H559=""),"",F559*H559)</x:f>
      </x:c>
      <x:c r="H559" s="96" t="n">
        <x:v>1</x:v>
      </x:c>
      <x:c r="I559" s="94" t="str">
        <x:v> ШТ. </x:v>
      </x:c>
      <x:c r="J559" s="94" t="str">
        <x:v>ONKA/EKT</x:v>
      </x:c>
      <x:c r="K559" s="64" t="str">
        <x:v>B25</x:v>
      </x:c>
    </x:row>
    <x:row r="560">
      <x:c r="A560" s="64" t="str">
        <x:v>ЩАО-1 (В25)</x:v>
      </x:c>
      <x:c r="B560" s="94" t="str">
        <x:v>klemens</x:v>
      </x:c>
      <x:c r="C560" s="100" t="str">
        <x:v>KONTROL-KL</x:v>
      </x:c>
      <x:c r="D560" s="94" t="str">
        <x:v>Клеммник 2,5-6 мм² (фаза/N/PE по схеме)</x:v>
      </x:c>
      <x:c r="E560" s="95"/>
      <x:c r="F560" s="95"/>
      <x:c r="G560" s="95" t="str">
        <x:f>IF(OR(F560="",H560=""),"",F560*H560)</x:f>
      </x:c>
      <x:c r="H560" s="96" t="n">
        <x:v>14</x:v>
      </x:c>
      <x:c r="I560" s="94" t="str">
        <x:v> ШТ. </x:v>
      </x:c>
      <x:c r="J560" s="94" t="str">
        <x:v>Klemsan/EKT</x:v>
      </x:c>
      <x:c r="K560" s="64" t="str">
        <x:v>B25</x:v>
      </x:c>
    </x:row>
    <x:row r="561">
      <x:c r="A561" s="64" t="str">
        <x:v>ЩАО-1 (В25)</x:v>
      </x:c>
      <x:c r="B561" s="94" t="str">
        <x:v>kablo</x:v>
      </x:c>
      <x:c r="C561" s="100" t="str">
        <x:v>KONTROL-WIRE</x:v>
      </x:c>
      <x:c r="D561" s="94" t="str">
        <x:v>Внутренняя проводка Harmony + маркировка, комплект</x:v>
      </x:c>
      <x:c r="E561" s="95"/>
      <x:c r="F561" s="95"/>
      <x:c r="G561" s="95" t="str">
        <x:f>IF(OR(F561="",H561=""),"",F561*H561)</x:f>
      </x:c>
      <x:c r="H561" s="96" t="n">
        <x:v>1</x:v>
      </x:c>
      <x:c r="I561" s="94" t="str">
        <x:v> ШТ. </x:v>
      </x:c>
      <x:c r="J561" s="94" t="str">
        <x:v>Harmony</x:v>
      </x:c>
      <x:c r="K561" s="64" t="str">
        <x:v>B25</x:v>
      </x:c>
    </x:row>
    <x:row r="562">
      <x:c r="A562" s="64" t="str">
        <x:v>ЩАО-1 (В25)</x:v>
      </x:c>
      <x:c r="B562" s="64" t="str">
        <x:v>монтажный материал</x:v>
      </x:c>
      <x:c r="C562" s="64" t="str">
        <x:v>монтажный материал</x:v>
      </x:c>
      <x:c r="D562" s="64" t="str">
        <x:v>Монтажный материал</x:v>
      </x:c>
      <x:c r="E562" s="83"/>
      <x:c r="F562" s="83"/>
      <x:c r="G562" s="83" t="str">
        <x:f>IF(OR(F562="",H562=""),"",F562*H562)</x:f>
      </x:c>
      <x:c r="H562" s="89" t="n">
        <x:v>1</x:v>
      </x:c>
      <x:c r="I562" s="64" t="str">
        <x:v>компл.</x:v>
      </x:c>
      <x:c r="J562" s="64" t="str">
        <x:v>TEKLED</x:v>
      </x:c>
      <x:c r="K562" s="64" t="str">
        <x:v>B25</x:v>
      </x:c>
    </x:row>
    <x:row r="563">
      <x:c r="A563" s="64" t="str">
        <x:v>ЩАО-1 (В25)</x:v>
      </x:c>
      <x:c r="B563" s="64" t="str">
        <x:v>монтажные работы</x:v>
      </x:c>
      <x:c r="C563" s="64" t="str">
        <x:v>монтажные работы</x:v>
      </x:c>
      <x:c r="D563" s="64" t="str">
        <x:v>Монтажные работы</x:v>
      </x:c>
      <x:c r="E563" s="83"/>
      <x:c r="F563" s="83"/>
      <x:c r="G563" s="83" t="str">
        <x:f>IF(OR(F563="",H563=""),"",F563*H563)</x:f>
      </x:c>
      <x:c r="H563" s="89" t="n">
        <x:v>1</x:v>
      </x:c>
      <x:c r="I563" s="64" t="str">
        <x:v>компл.</x:v>
      </x:c>
      <x:c r="J563" s="64" t="str">
        <x:v>TEKLED</x:v>
      </x:c>
      <x:c r="K563" s="64" t="str">
        <x:v>B25</x:v>
      </x:c>
    </x:row>
    <x:row r="564">
      <x:c r="A564" s="76" t="str">
        <x:v>ЩАО-1 (В25)</x:v>
      </x:c>
      <x:c r="B564" s="76"/>
      <x:c r="C564" s="76"/>
      <x:c r="D564" s="80" t="str">
        <x:v>ИТОГО на 1 комплект</x:v>
      </x:c>
      <x:c r="E564" s="84"/>
      <x:c r="F564" s="84"/>
      <x:c r="G564" s="84" t="n">
        <x:f>SUM(G553:G563)</x:f>
        <x:v>8041.2</x:v>
      </x:c>
      <x:c r="H564" s="90"/>
      <x:c r="I564" s="76"/>
      <x:c r="J564" s="76"/>
      <x:c r="K564" s="76" t="str">
        <x:v>B25</x:v>
      </x:c>
    </x:row>
    <x:row r="565" ht="24" customHeight="1">
      <x:c r="A565" s="69" t="str">
        <x:v>ГРЩ (В26)</x:v>
      </x:c>
      <x:c r="B565" s="69"/>
      <x:c r="C565" s="69"/>
      <x:c r="D565" s="69" t="str">
        <x:v>ГРЩ (В26)</x:v>
      </x:c>
      <x:c r="E565" s="82"/>
      <x:c r="F565" s="82"/>
      <x:c r="G565" s="82"/>
      <x:c r="H565" s="88" t="n">
        <x:v>1</x:v>
      </x:c>
      <x:c r="I565" s="69" t="str">
        <x:v>комплект</x:v>
      </x:c>
      <x:c r="J565" s="69" t="str">
        <x:v>TEKLED/TEKSAN</x:v>
      </x:c>
      <x:c r="K565" s="69" t="str">
        <x:v>B26</x:v>
      </x:c>
    </x:row>
    <x:row r="566">
      <x:c r="A566" s="64" t="str">
        <x:v>ГРЩ (В26)</x:v>
      </x:c>
      <x:c r="B566" s="94" t="str">
        <x:v>korpus</x:v>
      </x:c>
      <x:c r="C566" s="100" t="str">
        <x:v>KONTROL-KORPUS-800600250-IP54</x:v>
      </x:c>
      <x:c r="D566" s="94" t="str">
        <x:v>Корпус металлический 800x600x250 мм IP54, монтажная панель</x:v>
      </x:c>
      <x:c r="E566" s="95"/>
      <x:c r="F566" s="95"/>
      <x:c r="G566" s="95" t="str">
        <x:f>IF(OR(F566="",H566=""),"",F566*H566)</x:f>
      </x:c>
      <x:c r="H566" s="96" t="n">
        <x:v>1</x:v>
      </x:c>
      <x:c r="I566" s="94" t="str">
        <x:v> ШТ. </x:v>
      </x:c>
      <x:c r="J566" s="94" t="str">
        <x:v>TEKLED</x:v>
      </x:c>
      <x:c r="K566" s="64" t="str">
        <x:v>B26</x:v>
      </x:c>
    </x:row>
    <x:row r="567">
      <x:c r="A567" s="64" t="str">
        <x:v>ГРЩ (В26)</x:v>
      </x:c>
      <x:c r="B567" s="64" t="str">
        <x:v>mccb</x:v>
      </x:c>
      <x:c r="C567" s="64" t="str">
        <x:v>131361</x:v>
      </x:c>
      <x:c r="D567" s="64" t="str">
        <x:v>Авт. выкл. NXM-125S/3Р 80A 25кА (R)</x:v>
      </x:c>
      <x:c r="E567" s="83" t="n">
        <x:v>19418</x:v>
      </x:c>
      <x:c r="F567" s="83" t="n">
        <x:v>11650.8</x:v>
      </x:c>
      <x:c r="G567" s="83" t="n">
        <x:f>IF(OR(F567="",H567=""),"",F567*H567)</x:f>
        <x:v>11650.8</x:v>
      </x:c>
      <x:c r="H567" s="89" t="n">
        <x:v>1</x:v>
      </x:c>
      <x:c r="I567" s="64" t="str">
        <x:v> ШТ. </x:v>
      </x:c>
      <x:c r="J567" s="64" t="str">
        <x:v>chint</x:v>
      </x:c>
      <x:c r="K567" s="64" t="str">
        <x:v>B26</x:v>
      </x:c>
    </x:row>
    <x:row r="568">
      <x:c r="A568" s="64" t="str">
        <x:v>ГРЩ (В26)</x:v>
      </x:c>
      <x:c r="B568" s="64" t="str">
        <x:v>oto</x:v>
      </x:c>
      <x:c r="C568" s="64" t="str">
        <x:v>296828</x:v>
      </x:c>
      <x:c r="D568" s="64" t="str">
        <x:v>Авт. выкл. NXB-63S 3P 20А 4.5kA х-ка C (R)</x:v>
      </x:c>
      <x:c r="E568" s="83" t="n">
        <x:v>2499</x:v>
      </x:c>
      <x:c r="F568" s="83" t="n">
        <x:v>1499.3999999999999</x:v>
      </x:c>
      <x:c r="G568" s="83" t="n">
        <x:f>IF(OR(F568="",H568=""),"",F568*H568)</x:f>
        <x:v>1499.3999999999999</x:v>
      </x:c>
      <x:c r="H568" s="89" t="n">
        <x:v>1</x:v>
      </x:c>
      <x:c r="I568" s="64" t="str">
        <x:v> ШТ. </x:v>
      </x:c>
      <x:c r="J568" s="64" t="str">
        <x:v>chint</x:v>
      </x:c>
      <x:c r="K568" s="64" t="str">
        <x:v>B26</x:v>
      </x:c>
    </x:row>
    <x:row r="569">
      <x:c r="A569" s="64" t="str">
        <x:v>ГРЩ (В26)</x:v>
      </x:c>
      <x:c r="B569" s="64" t="str">
        <x:v>oto</x:v>
      </x:c>
      <x:c r="C569" s="64" t="str">
        <x:v>296827</x:v>
      </x:c>
      <x:c r="D569" s="64" t="str">
        <x:v>Авт. выкл. NXB-63S 3P 16А 4.5kA х-ка C (R)</x:v>
      </x:c>
      <x:c r="E569" s="83" t="n">
        <x:v>2337</x:v>
      </x:c>
      <x:c r="F569" s="83" t="n">
        <x:v>1402.2</x:v>
      </x:c>
      <x:c r="G569" s="83" t="n">
        <x:f>IF(OR(F569="",H569=""),"",F569*H569)</x:f>
        <x:v>8413.2</x:v>
      </x:c>
      <x:c r="H569" s="89" t="n">
        <x:v>6</x:v>
      </x:c>
      <x:c r="I569" s="64" t="str">
        <x:v> ШТ. </x:v>
      </x:c>
      <x:c r="J569" s="64" t="str">
        <x:v>chint</x:v>
      </x:c>
      <x:c r="K569" s="64" t="str">
        <x:v>B26</x:v>
      </x:c>
    </x:row>
    <x:row r="570">
      <x:c r="A570" s="64" t="str">
        <x:v>ГРЩ (В26)</x:v>
      </x:c>
      <x:c r="B570" s="64" t="str">
        <x:v>oto</x:v>
      </x:c>
      <x:c r="C570" s="64" t="str">
        <x:v>814014</x:v>
      </x:c>
      <x:c r="D570" s="64" t="str">
        <x:v>Авт. выкл. NXB-63 1P 16A 6кА х-ка C (R)</x:v>
      </x:c>
      <x:c r="E570" s="83" t="n">
        <x:v>1389</x:v>
      </x:c>
      <x:c r="F570" s="83" t="n">
        <x:v>833.4</x:v>
      </x:c>
      <x:c r="G570" s="83" t="n">
        <x:f>IF(OR(F570="",H570=""),"",F570*H570)</x:f>
        <x:v>5833.8</x:v>
      </x:c>
      <x:c r="H570" s="89" t="n">
        <x:v>7</x:v>
      </x:c>
      <x:c r="I570" s="64" t="str">
        <x:v> ШТ. </x:v>
      </x:c>
      <x:c r="J570" s="64" t="str">
        <x:v>chint</x:v>
      </x:c>
      <x:c r="K570" s="64" t="str">
        <x:v>B26</x:v>
      </x:c>
    </x:row>
    <x:row r="571">
      <x:c r="A571" s="64" t="str">
        <x:v>ГРЩ (В26)</x:v>
      </x:c>
      <x:c r="B571" s="64" t="str">
        <x:v>dif</x:v>
      </x:c>
      <x:c r="C571" s="64" t="str">
        <x:v>105542</x:v>
      </x:c>
      <x:c r="D571" s="64" t="str">
        <x:v>Диф. авт. выкл. NXBLE-63Y 1P+N 16А 30mA электронный тип AС, х-ка С, 4.5kA (R)</x:v>
      </x:c>
      <x:c r="E571" s="83" t="n">
        <x:v>5093</x:v>
      </x:c>
      <x:c r="F571" s="83" t="n">
        <x:v>3055.7999999999997</x:v>
      </x:c>
      <x:c r="G571" s="83" t="n">
        <x:f>IF(OR(F571="",H571=""),"",F571*H571)</x:f>
        <x:v>3055.7999999999997</x:v>
      </x:c>
      <x:c r="H571" s="89" t="n">
        <x:v>1</x:v>
      </x:c>
      <x:c r="I571" s="64" t="str">
        <x:v> ШТ. </x:v>
      </x:c>
      <x:c r="J571" s="64" t="str">
        <x:v>chint</x:v>
      </x:c>
      <x:c r="K571" s="64" t="str">
        <x:v>B26</x:v>
      </x:c>
    </x:row>
    <x:row r="572">
      <x:c r="A572" s="64" t="str">
        <x:v>ГРЩ (В26)</x:v>
      </x:c>
      <x:c r="B572" s="64" t="str">
        <x:v>dif</x:v>
      </x:c>
      <x:c r="C572" s="64" t="str">
        <x:v>539865</x:v>
      </x:c>
      <x:c r="D572" s="64" t="str">
        <x:v>Диф. авт. выкл. NXBLE-63YH 3P+N C32 30mA тип AC, 6kA (R)</x:v>
      </x:c>
      <x:c r="E572" s="83" t="n">
        <x:v>8934</x:v>
      </x:c>
      <x:c r="F572" s="83" t="n">
        <x:v>5360.4</x:v>
      </x:c>
      <x:c r="G572" s="83" t="n">
        <x:f>IF(OR(F572="",H572=""),"",F572*H572)</x:f>
        <x:v>5360.4</x:v>
      </x:c>
      <x:c r="H572" s="89" t="n">
        <x:v>1</x:v>
      </x:c>
      <x:c r="I572" s="64" t="str">
        <x:v> ШТ. </x:v>
      </x:c>
      <x:c r="J572" s="64" t="str">
        <x:v>chint</x:v>
      </x:c>
      <x:c r="K572" s="64" t="str">
        <x:v>B26</x:v>
      </x:c>
    </x:row>
    <x:row r="573">
      <x:c r="A573" s="64" t="str">
        <x:v>ГРЩ (В26)</x:v>
      </x:c>
      <x:c r="B573" s="64" t="str">
        <x:v>rn</x:v>
      </x:c>
      <x:c r="C573" s="64" t="str">
        <x:v>946996</x:v>
      </x:c>
      <x:c r="D573" s="64" t="str">
        <x:v>Независимый расцепитель SHT-M1 A1 L для NXM-125(63)/NXMLE-125 AC230V (левый) (R)</x:v>
      </x:c>
      <x:c r="E573" s="83" t="n">
        <x:v>6054</x:v>
      </x:c>
      <x:c r="F573" s="83" t="n">
        <x:v>3632.4</x:v>
      </x:c>
      <x:c r="G573" s="83" t="n">
        <x:f>IF(OR(F573="",H573=""),"",F573*H573)</x:f>
        <x:v>3632.4</x:v>
      </x:c>
      <x:c r="H573" s="89" t="n">
        <x:v>1</x:v>
      </x:c>
      <x:c r="I573" s="64" t="str">
        <x:v> ШТ. </x:v>
      </x:c>
      <x:c r="J573" s="64" t="str">
        <x:v>chint</x:v>
      </x:c>
      <x:c r="K573" s="64" t="str">
        <x:v>B26</x:v>
      </x:c>
    </x:row>
    <x:row r="574">
      <x:c r="A574" s="64" t="str">
        <x:v>ГРЩ (В26)</x:v>
      </x:c>
      <x:c r="B574" s="94" t="str">
        <x:v>bara</x:v>
      </x:c>
      <x:c r="C574" s="100" t="str">
        <x:v>KONTROL-N</x:v>
      </x:c>
      <x:c r="D574" s="94" t="str">
        <x:v>Шина N изолированная, не менее 12 присоединений</x:v>
      </x:c>
      <x:c r="E574" s="95"/>
      <x:c r="F574" s="95"/>
      <x:c r="G574" s="95" t="str">
        <x:f>IF(OR(F574="",H574=""),"",F574*H574)</x:f>
      </x:c>
      <x:c r="H574" s="96" t="n">
        <x:v>1</x:v>
      </x:c>
      <x:c r="I574" s="94" t="str">
        <x:v> ШТ. </x:v>
      </x:c>
      <x:c r="J574" s="94" t="str">
        <x:v>EKT/Klemsan</x:v>
      </x:c>
      <x:c r="K574" s="64" t="str">
        <x:v>B26</x:v>
      </x:c>
    </x:row>
    <x:row r="575">
      <x:c r="A575" s="64" t="str">
        <x:v>ГРЩ (В26)</x:v>
      </x:c>
      <x:c r="B575" s="94" t="str">
        <x:v>bara</x:v>
      </x:c>
      <x:c r="C575" s="100" t="str">
        <x:v>KONTROL-PE</x:v>
      </x:c>
      <x:c r="D575" s="94" t="str">
        <x:v>Шина PE медная, не менее 12 присоединений</x:v>
      </x:c>
      <x:c r="E575" s="95"/>
      <x:c r="F575" s="95"/>
      <x:c r="G575" s="95" t="str">
        <x:f>IF(OR(F575="",H575=""),"",F575*H575)</x:f>
      </x:c>
      <x:c r="H575" s="96" t="n">
        <x:v>1</x:v>
      </x:c>
      <x:c r="I575" s="94" t="str">
        <x:v> ШТ. </x:v>
      </x:c>
      <x:c r="J575" s="94" t="str">
        <x:v>EKT/Klemsan</x:v>
      </x:c>
      <x:c r="K575" s="64" t="str">
        <x:v>B26</x:v>
      </x:c>
    </x:row>
    <x:row r="576">
      <x:c r="A576" s="64" t="str">
        <x:v>ГРЩ (В26)</x:v>
      </x:c>
      <x:c r="B576" s="94" t="str">
        <x:v>din</x:v>
      </x:c>
      <x:c r="C576" s="100" t="str">
        <x:v>KONTROL-DIN</x:v>
      </x:c>
      <x:c r="D576" s="94" t="str">
        <x:v>DIN рейка 35 мм, оцинкованная, комплект по габариту</x:v>
      </x:c>
      <x:c r="E576" s="95"/>
      <x:c r="F576" s="95"/>
      <x:c r="G576" s="95" t="str">
        <x:f>IF(OR(F576="",H576=""),"",F576*H576)</x:f>
      </x:c>
      <x:c r="H576" s="96" t="n">
        <x:v>1</x:v>
      </x:c>
      <x:c r="I576" s="94" t="str">
        <x:v> ШТ. </x:v>
      </x:c>
      <x:c r="J576" s="94" t="str">
        <x:v>EKT</x:v>
      </x:c>
      <x:c r="K576" s="64" t="str">
        <x:v>B26</x:v>
      </x:c>
    </x:row>
    <x:row r="577">
      <x:c r="A577" s="64" t="str">
        <x:v>ГРЩ (В26)</x:v>
      </x:c>
      <x:c r="B577" s="94" t="str">
        <x:v>kanal</x:v>
      </x:c>
      <x:c r="C577" s="100" t="str">
        <x:v>KONTROL-KK</x:v>
      </x:c>
      <x:c r="D577" s="94" t="str">
        <x:v>Кабельный канал перфорированный, комплект по габариту</x:v>
      </x:c>
      <x:c r="E577" s="95"/>
      <x:c r="F577" s="95"/>
      <x:c r="G577" s="95" t="str">
        <x:f>IF(OR(F577="",H577=""),"",F577*H577)</x:f>
      </x:c>
      <x:c r="H577" s="96" t="n">
        <x:v>1</x:v>
      </x:c>
      <x:c r="I577" s="94" t="str">
        <x:v> ШТ. </x:v>
      </x:c>
      <x:c r="J577" s="94" t="str">
        <x:v>ONKA/EKT</x:v>
      </x:c>
      <x:c r="K577" s="64" t="str">
        <x:v>B26</x:v>
      </x:c>
    </x:row>
    <x:row r="578">
      <x:c r="A578" s="64" t="str">
        <x:v>ГРЩ (В26)</x:v>
      </x:c>
      <x:c r="B578" s="94" t="str">
        <x:v>klemens</x:v>
      </x:c>
      <x:c r="C578" s="100" t="str">
        <x:v>KONTROL-KL</x:v>
      </x:c>
      <x:c r="D578" s="94" t="str">
        <x:v>Клеммник 2,5-6 мм² (фаза/N/PE по схеме)</x:v>
      </x:c>
      <x:c r="E578" s="95"/>
      <x:c r="F578" s="95"/>
      <x:c r="G578" s="95" t="str">
        <x:f>IF(OR(F578="",H578=""),"",F578*H578)</x:f>
      </x:c>
      <x:c r="H578" s="96" t="n">
        <x:v>42</x:v>
      </x:c>
      <x:c r="I578" s="94" t="str">
        <x:v> ШТ. </x:v>
      </x:c>
      <x:c r="J578" s="94" t="str">
        <x:v>Klemsan/EKT</x:v>
      </x:c>
      <x:c r="K578" s="64" t="str">
        <x:v>B26</x:v>
      </x:c>
    </x:row>
    <x:row r="579">
      <x:c r="A579" s="64" t="str">
        <x:v>ГРЩ (В26)</x:v>
      </x:c>
      <x:c r="B579" s="94" t="str">
        <x:v>kablo</x:v>
      </x:c>
      <x:c r="C579" s="100" t="str">
        <x:v>KONTROL-WIRE</x:v>
      </x:c>
      <x:c r="D579" s="94" t="str">
        <x:v>Внутренняя проводка Harmony + маркировка, комплект</x:v>
      </x:c>
      <x:c r="E579" s="95"/>
      <x:c r="F579" s="95"/>
      <x:c r="G579" s="95" t="str">
        <x:f>IF(OR(F579="",H579=""),"",F579*H579)</x:f>
      </x:c>
      <x:c r="H579" s="96" t="n">
        <x:v>1</x:v>
      </x:c>
      <x:c r="I579" s="94" t="str">
        <x:v> ШТ. </x:v>
      </x:c>
      <x:c r="J579" s="94" t="str">
        <x:v>Harmony</x:v>
      </x:c>
      <x:c r="K579" s="64" t="str">
        <x:v>B26</x:v>
      </x:c>
    </x:row>
    <x:row r="580">
      <x:c r="A580" s="64" t="str">
        <x:v>ГРЩ (В26)</x:v>
      </x:c>
      <x:c r="B580" s="64" t="str">
        <x:v>монтажный материал</x:v>
      </x:c>
      <x:c r="C580" s="64" t="str">
        <x:v>монтажный материал</x:v>
      </x:c>
      <x:c r="D580" s="64" t="str">
        <x:v>Монтажный материал</x:v>
      </x:c>
      <x:c r="E580" s="83"/>
      <x:c r="F580" s="83"/>
      <x:c r="G580" s="83" t="str">
        <x:f>IF(OR(F580="",H580=""),"",F580*H580)</x:f>
      </x:c>
      <x:c r="H580" s="89" t="n">
        <x:v>1</x:v>
      </x:c>
      <x:c r="I580" s="64" t="str">
        <x:v>компл.</x:v>
      </x:c>
      <x:c r="J580" s="64" t="str">
        <x:v>TEKLED</x:v>
      </x:c>
      <x:c r="K580" s="64" t="str">
        <x:v>B26</x:v>
      </x:c>
    </x:row>
    <x:row r="581">
      <x:c r="A581" s="64" t="str">
        <x:v>ГРЩ (В26)</x:v>
      </x:c>
      <x:c r="B581" s="64" t="str">
        <x:v>монтажные работы</x:v>
      </x:c>
      <x:c r="C581" s="64" t="str">
        <x:v>монтажные работы</x:v>
      </x:c>
      <x:c r="D581" s="64" t="str">
        <x:v>Монтажные работы</x:v>
      </x:c>
      <x:c r="E581" s="83"/>
      <x:c r="F581" s="83"/>
      <x:c r="G581" s="83" t="str">
        <x:f>IF(OR(F581="",H581=""),"",F581*H581)</x:f>
      </x:c>
      <x:c r="H581" s="89" t="n">
        <x:v>1</x:v>
      </x:c>
      <x:c r="I581" s="64" t="str">
        <x:v>компл.</x:v>
      </x:c>
      <x:c r="J581" s="64" t="str">
        <x:v>TEKLED</x:v>
      </x:c>
      <x:c r="K581" s="64" t="str">
        <x:v>B26</x:v>
      </x:c>
    </x:row>
    <x:row r="582">
      <x:c r="A582" s="76" t="str">
        <x:v>ГРЩ (В26)</x:v>
      </x:c>
      <x:c r="B582" s="76"/>
      <x:c r="C582" s="76"/>
      <x:c r="D582" s="80" t="str">
        <x:v>ИТОГО на 1 комплект</x:v>
      </x:c>
      <x:c r="E582" s="84"/>
      <x:c r="F582" s="84"/>
      <x:c r="G582" s="84" t="n">
        <x:f>SUM(G566:G581)</x:f>
        <x:v>39445.8</x:v>
      </x:c>
      <x:c r="H582" s="90"/>
      <x:c r="I582" s="76"/>
      <x:c r="J582" s="76"/>
      <x:c r="K582" s="76" t="str">
        <x:v>B26</x:v>
      </x:c>
    </x:row>
    <x:row r="583" ht="24" customHeight="1">
      <x:c r="A583" s="69" t="str">
        <x:v>ПП (В26)</x:v>
      </x:c>
      <x:c r="B583" s="69"/>
      <x:c r="C583" s="69"/>
      <x:c r="D583" s="69" t="str">
        <x:v>ПП (В26)</x:v>
      </x:c>
      <x:c r="E583" s="82"/>
      <x:c r="F583" s="82"/>
      <x:c r="G583" s="82"/>
      <x:c r="H583" s="88" t="n">
        <x:v>1</x:v>
      </x:c>
      <x:c r="I583" s="69" t="str">
        <x:v>комплект</x:v>
      </x:c>
      <x:c r="J583" s="69" t="str">
        <x:v>TEKLED/TEKSAN</x:v>
      </x:c>
      <x:c r="K583" s="69" t="str">
        <x:v>B26</x:v>
      </x:c>
    </x:row>
    <x:row r="584">
      <x:c r="A584" s="64" t="str">
        <x:v>ПП (В26)</x:v>
      </x:c>
      <x:c r="B584" s="94" t="str">
        <x:v>korpus</x:v>
      </x:c>
      <x:c r="C584" s="100" t="str">
        <x:v>KONTROL-KORPUS-PP-100</x:v>
      </x:c>
      <x:c r="D584" s="94" t="str">
        <x:v>Корпус металлический 400x300x200 мм IP54 для ручного переключателя 100A</x:v>
      </x:c>
      <x:c r="E584" s="95"/>
      <x:c r="F584" s="95"/>
      <x:c r="G584" s="95" t="str">
        <x:f>IF(OR(F584="",H584=""),"",F584*H584)</x:f>
      </x:c>
      <x:c r="H584" s="96" t="n">
        <x:v>1</x:v>
      </x:c>
      <x:c r="I584" s="94" t="str">
        <x:v> ШТ. </x:v>
      </x:c>
      <x:c r="J584" s="94" t="str">
        <x:v>TEKSAN/TEKLED</x:v>
      </x:c>
      <x:c r="K584" s="64" t="str">
        <x:v>B26</x:v>
      </x:c>
    </x:row>
    <x:row r="585">
      <x:c r="A585" s="64" t="str">
        <x:v>ПП (В26)</x:v>
      </x:c>
      <x:c r="B585" s="94" t="str">
        <x:v>perekluchatel</x:v>
      </x:c>
      <x:c r="C585" s="100" t="str">
        <x:v>KONTROL-NH40-CS-100</x:v>
      </x:c>
      <x:c r="D585" s="94" t="str">
        <x:v>Переключатель ручной I-0-II CHINT, 3P, 100A, рукоятка на дверь (экв. ПП)</x:v>
      </x:c>
      <x:c r="E585" s="95"/>
      <x:c r="F585" s="95"/>
      <x:c r="G585" s="95" t="str">
        <x:f>IF(OR(F585="",H585=""),"",F585*H585)</x:f>
      </x:c>
      <x:c r="H585" s="96" t="n">
        <x:v>1</x:v>
      </x:c>
      <x:c r="I585" s="94" t="str">
        <x:v> ШТ. </x:v>
      </x:c>
      <x:c r="J585" s="94" t="str">
        <x:v>CHINT</x:v>
      </x:c>
      <x:c r="K585" s="64" t="str">
        <x:v>B26</x:v>
      </x:c>
    </x:row>
    <x:row r="586">
      <x:c r="A586" s="64" t="str">
        <x:v>ПП (В26)</x:v>
      </x:c>
      <x:c r="B586" s="94" t="str">
        <x:v>bara</x:v>
      </x:c>
      <x:c r="C586" s="100" t="str">
        <x:v>KONTROL-N</x:v>
      </x:c>
      <x:c r="D586" s="94" t="str">
        <x:v>Шина N изолированная, не менее 12 присоединений</x:v>
      </x:c>
      <x:c r="E586" s="95"/>
      <x:c r="F586" s="95"/>
      <x:c r="G586" s="95" t="str">
        <x:f>IF(OR(F586="",H586=""),"",F586*H586)</x:f>
      </x:c>
      <x:c r="H586" s="96" t="n">
        <x:v>1</x:v>
      </x:c>
      <x:c r="I586" s="94" t="str">
        <x:v> ШТ. </x:v>
      </x:c>
      <x:c r="J586" s="94" t="str">
        <x:v>EKT/Klemsan</x:v>
      </x:c>
      <x:c r="K586" s="64" t="str">
        <x:v>B26</x:v>
      </x:c>
    </x:row>
    <x:row r="587">
      <x:c r="A587" s="64" t="str">
        <x:v>ПП (В26)</x:v>
      </x:c>
      <x:c r="B587" s="94" t="str">
        <x:v>bara</x:v>
      </x:c>
      <x:c r="C587" s="100" t="str">
        <x:v>KONTROL-PE</x:v>
      </x:c>
      <x:c r="D587" s="94" t="str">
        <x:v>Шина PE медная, не менее 12 присоединений</x:v>
      </x:c>
      <x:c r="E587" s="95"/>
      <x:c r="F587" s="95"/>
      <x:c r="G587" s="95" t="str">
        <x:f>IF(OR(F587="",H587=""),"",F587*H587)</x:f>
      </x:c>
      <x:c r="H587" s="96" t="n">
        <x:v>1</x:v>
      </x:c>
      <x:c r="I587" s="94" t="str">
        <x:v> ШТ. </x:v>
      </x:c>
      <x:c r="J587" s="94" t="str">
        <x:v>EKT/Klemsan</x:v>
      </x:c>
      <x:c r="K587" s="64" t="str">
        <x:v>B26</x:v>
      </x:c>
    </x:row>
    <x:row r="588">
      <x:c r="A588" s="64" t="str">
        <x:v>ПП (В26)</x:v>
      </x:c>
      <x:c r="B588" s="94" t="str">
        <x:v>din</x:v>
      </x:c>
      <x:c r="C588" s="100" t="str">
        <x:v>KONTROL-DIN</x:v>
      </x:c>
      <x:c r="D588" s="94" t="str">
        <x:v>DIN рейка 35 мм, оцинкованная, комплект по габариту</x:v>
      </x:c>
      <x:c r="E588" s="95"/>
      <x:c r="F588" s="95"/>
      <x:c r="G588" s="95" t="str">
        <x:f>IF(OR(F588="",H588=""),"",F588*H588)</x:f>
      </x:c>
      <x:c r="H588" s="96" t="n">
        <x:v>1</x:v>
      </x:c>
      <x:c r="I588" s="94" t="str">
        <x:v> ШТ. </x:v>
      </x:c>
      <x:c r="J588" s="94" t="str">
        <x:v>EKT</x:v>
      </x:c>
      <x:c r="K588" s="64" t="str">
        <x:v>B26</x:v>
      </x:c>
    </x:row>
    <x:row r="589">
      <x:c r="A589" s="64" t="str">
        <x:v>ПП (В26)</x:v>
      </x:c>
      <x:c r="B589" s="94" t="str">
        <x:v>kanal</x:v>
      </x:c>
      <x:c r="C589" s="100" t="str">
        <x:v>KONTROL-KK</x:v>
      </x:c>
      <x:c r="D589" s="94" t="str">
        <x:v>Кабельный канал перфорированный, комплект по габариту</x:v>
      </x:c>
      <x:c r="E589" s="95"/>
      <x:c r="F589" s="95"/>
      <x:c r="G589" s="95" t="str">
        <x:f>IF(OR(F589="",H589=""),"",F589*H589)</x:f>
      </x:c>
      <x:c r="H589" s="96" t="n">
        <x:v>1</x:v>
      </x:c>
      <x:c r="I589" s="94" t="str">
        <x:v> ШТ. </x:v>
      </x:c>
      <x:c r="J589" s="94" t="str">
        <x:v>ONKA/EKT</x:v>
      </x:c>
      <x:c r="K589" s="64" t="str">
        <x:v>B26</x:v>
      </x:c>
    </x:row>
    <x:row r="590">
      <x:c r="A590" s="64" t="str">
        <x:v>ПП (В26)</x:v>
      </x:c>
      <x:c r="B590" s="94" t="str">
        <x:v>klemens</x:v>
      </x:c>
      <x:c r="C590" s="100" t="str">
        <x:v>KONTROL-KL</x:v>
      </x:c>
      <x:c r="D590" s="94" t="str">
        <x:v>Клеммник 2,5-6 мм² (фаза/N/PE по схеме)</x:v>
      </x:c>
      <x:c r="E590" s="95"/>
      <x:c r="F590" s="95"/>
      <x:c r="G590" s="95" t="str">
        <x:f>IF(OR(F590="",H590=""),"",F590*H590)</x:f>
      </x:c>
      <x:c r="H590" s="96" t="n">
        <x:v>12</x:v>
      </x:c>
      <x:c r="I590" s="94" t="str">
        <x:v> ШТ. </x:v>
      </x:c>
      <x:c r="J590" s="94" t="str">
        <x:v>Klemsan/EKT</x:v>
      </x:c>
      <x:c r="K590" s="64" t="str">
        <x:v>B26</x:v>
      </x:c>
    </x:row>
    <x:row r="591">
      <x:c r="A591" s="64" t="str">
        <x:v>ПП (В26)</x:v>
      </x:c>
      <x:c r="B591" s="94" t="str">
        <x:v>kablo</x:v>
      </x:c>
      <x:c r="C591" s="100" t="str">
        <x:v>KONTROL-WIRE</x:v>
      </x:c>
      <x:c r="D591" s="94" t="str">
        <x:v>Внутренняя проводка Harmony + маркировка, комплект</x:v>
      </x:c>
      <x:c r="E591" s="95"/>
      <x:c r="F591" s="95"/>
      <x:c r="G591" s="95" t="str">
        <x:f>IF(OR(F591="",H591=""),"",F591*H591)</x:f>
      </x:c>
      <x:c r="H591" s="96" t="n">
        <x:v>1</x:v>
      </x:c>
      <x:c r="I591" s="94" t="str">
        <x:v> ШТ. </x:v>
      </x:c>
      <x:c r="J591" s="94" t="str">
        <x:v>Harmony</x:v>
      </x:c>
      <x:c r="K591" s="64" t="str">
        <x:v>B26</x:v>
      </x:c>
    </x:row>
    <x:row r="592">
      <x:c r="A592" s="64" t="str">
        <x:v>ПП (В26)</x:v>
      </x:c>
      <x:c r="B592" s="64" t="str">
        <x:v>монтажный материал</x:v>
      </x:c>
      <x:c r="C592" s="64" t="str">
        <x:v>монтажный материал</x:v>
      </x:c>
      <x:c r="D592" s="64" t="str">
        <x:v>Монтажный материал</x:v>
      </x:c>
      <x:c r="E592" s="83"/>
      <x:c r="F592" s="83"/>
      <x:c r="G592" s="83" t="str">
        <x:f>IF(OR(F592="",H592=""),"",F592*H592)</x:f>
      </x:c>
      <x:c r="H592" s="89" t="n">
        <x:v>1</x:v>
      </x:c>
      <x:c r="I592" s="64" t="str">
        <x:v>компл.</x:v>
      </x:c>
      <x:c r="J592" s="64" t="str">
        <x:v>TEKLED</x:v>
      </x:c>
      <x:c r="K592" s="64" t="str">
        <x:v>B26</x:v>
      </x:c>
    </x:row>
    <x:row r="593">
      <x:c r="A593" s="64" t="str">
        <x:v>ПП (В26)</x:v>
      </x:c>
      <x:c r="B593" s="64" t="str">
        <x:v>монтажные работы</x:v>
      </x:c>
      <x:c r="C593" s="64" t="str">
        <x:v>монтажные работы</x:v>
      </x:c>
      <x:c r="D593" s="64" t="str">
        <x:v>Монтажные работы</x:v>
      </x:c>
      <x:c r="E593" s="83"/>
      <x:c r="F593" s="83"/>
      <x:c r="G593" s="83" t="str">
        <x:f>IF(OR(F593="",H593=""),"",F593*H593)</x:f>
      </x:c>
      <x:c r="H593" s="89" t="n">
        <x:v>1</x:v>
      </x:c>
      <x:c r="I593" s="64" t="str">
        <x:v>компл.</x:v>
      </x:c>
      <x:c r="J593" s="64" t="str">
        <x:v>TEKLED</x:v>
      </x:c>
      <x:c r="K593" s="64" t="str">
        <x:v>B26</x:v>
      </x:c>
    </x:row>
    <x:row r="594">
      <x:c r="A594" s="76" t="str">
        <x:v>ПП (В26)</x:v>
      </x:c>
      <x:c r="B594" s="76"/>
      <x:c r="C594" s="76"/>
      <x:c r="D594" s="80" t="str">
        <x:v>ИТОГО на 1 комплект</x:v>
      </x:c>
      <x:c r="E594" s="84"/>
      <x:c r="F594" s="84"/>
      <x:c r="G594" s="84" t="n">
        <x:f>SUM(G584:G593)</x:f>
        <x:v>0</x:v>
      </x:c>
      <x:c r="H594" s="90"/>
      <x:c r="I594" s="76"/>
      <x:c r="J594" s="76"/>
      <x:c r="K594" s="76" t="str">
        <x:v>B26</x:v>
      </x:c>
    </x:row>
    <x:row r="595" ht="24" customHeight="1">
      <x:c r="A595" s="69" t="str">
        <x:v>ЯВЗ-31-IP54 УХЛ2 100А</x:v>
      </x:c>
      <x:c r="B595" s="69"/>
      <x:c r="C595" s="69"/>
      <x:c r="D595" s="69" t="str">
        <x:v>ЯВЗ-31-IP54 УХЛ2 100А</x:v>
      </x:c>
      <x:c r="E595" s="82"/>
      <x:c r="F595" s="82"/>
      <x:c r="G595" s="82"/>
      <x:c r="H595" s="88" t="n">
        <x:v>1</x:v>
      </x:c>
      <x:c r="I595" s="69" t="str">
        <x:v>комплект</x:v>
      </x:c>
      <x:c r="J595" s="69" t="str">
        <x:v>TEKLED/TEKSAN</x:v>
      </x:c>
      <x:c r="K595" s="69" t="str">
        <x:v>B26</x:v>
      </x:c>
    </x:row>
    <x:row r="596">
      <x:c r="A596" s="64" t="str">
        <x:v>ЯВЗ-31-IP54 УХЛ2 100А</x:v>
      </x:c>
      <x:c r="B596" s="64" t="str">
        <x:v>korpus</x:v>
      </x:c>
      <x:c r="C596" s="64" t="str">
        <x:v>719-15043</x:v>
      </x:c>
      <x:c r="D596" s="64" t="str">
        <x:v>450*240*175</x:v>
      </x:c>
      <x:c r="E596" s="83"/>
      <x:c r="F596" s="83" t="n">
        <x:v>0</x:v>
      </x:c>
      <x:c r="G596" s="83" t="str">
        <x:f>IF(OR(F596="",H596=""),"",F596*H596)</x:f>
      </x:c>
      <x:c r="H596" s="89" t="n">
        <x:v>1</x:v>
      </x:c>
      <x:c r="I596" s="64" t="str">
        <x:v> ШТ. </x:v>
      </x:c>
      <x:c r="J596" s="64" t="str">
        <x:v>teksan f</x:v>
      </x:c>
      <x:c r="K596" s="64" t="str">
        <x:v>B26</x:v>
      </x:c>
    </x:row>
    <x:row r="597">
      <x:c r="A597" s="64" t="str">
        <x:v>ЯВЗ-31-IP54 УХЛ2 100А</x:v>
      </x:c>
      <x:c r="B597" s="94" t="str">
        <x:v>rubilnik</x:v>
      </x:c>
      <x:c r="C597" s="100" t="str">
        <x:v>KONTROL-NH40-125-3W</x:v>
      </x:c>
      <x:c r="D597" s="94" t="str">
        <x:v>Выключатель-разъединитель CHINT NH40-125/3W, 100A, рукоятка на дверь</x:v>
      </x:c>
      <x:c r="E597" s="95"/>
      <x:c r="F597" s="95"/>
      <x:c r="G597" s="95" t="str">
        <x:f>IF(OR(F597="",H597=""),"",F597*H597)</x:f>
      </x:c>
      <x:c r="H597" s="96" t="n">
        <x:v>1</x:v>
      </x:c>
      <x:c r="I597" s="94" t="str">
        <x:v> ШТ. </x:v>
      </x:c>
      <x:c r="J597" s="94" t="str">
        <x:v>CHINT</x:v>
      </x:c>
      <x:c r="K597" s="64" t="str">
        <x:v>B26</x:v>
      </x:c>
    </x:row>
    <x:row r="598">
      <x:c r="A598" s="64" t="str">
        <x:v>ЯВЗ-31-IP54 УХЛ2 100А</x:v>
      </x:c>
      <x:c r="B598" s="64" t="str">
        <x:v>ppn</x:v>
      </x:c>
      <x:c r="C598" s="64" t="str">
        <x:v>521349</x:v>
      </x:c>
      <x:c r="D598" s="64" t="str">
        <x:v>Плавкая вставка предохранителя RT36-00-160, габарит 00, 100А</x:v>
      </x:c>
      <x:c r="E598" s="83" t="n">
        <x:v>1545</x:v>
      </x:c>
      <x:c r="F598" s="83" t="n">
        <x:v>927</x:v>
      </x:c>
      <x:c r="G598" s="83" t="n">
        <x:f>IF(OR(F598="",H598=""),"",F598*H598)</x:f>
        <x:v>2781</x:v>
      </x:c>
      <x:c r="H598" s="89" t="n">
        <x:v>3</x:v>
      </x:c>
      <x:c r="I598" s="64" t="str">
        <x:v> ШТ. </x:v>
      </x:c>
      <x:c r="J598" s="64" t="str">
        <x:v>chint</x:v>
      </x:c>
      <x:c r="K598" s="64" t="str">
        <x:v>B26</x:v>
      </x:c>
    </x:row>
    <x:row r="599">
      <x:c r="A599" s="64" t="str">
        <x:v>ЯВЗ-31-IP54 УХЛ2 100А</x:v>
      </x:c>
      <x:c r="B599" s="64" t="str">
        <x:v>ppn</x:v>
      </x:c>
      <x:c r="C599" s="64" t="str">
        <x:v>521260</x:v>
      </x:c>
      <x:c r="D599" s="64" t="str">
        <x:v>Держатель плавкой вставки RT36-00-160, габарит 00, 160А</x:v>
      </x:c>
      <x:c r="E599" s="83" t="n">
        <x:v>2038</x:v>
      </x:c>
      <x:c r="F599" s="83" t="n">
        <x:v>1222.8</x:v>
      </x:c>
      <x:c r="G599" s="83" t="n">
        <x:f>IF(OR(F599="",H599=""),"",F599*H599)</x:f>
        <x:v>3668.3999999999996</x:v>
      </x:c>
      <x:c r="H599" s="89" t="n">
        <x:v>3</x:v>
      </x:c>
      <x:c r="I599" s="64" t="str">
        <x:v> ШТ. </x:v>
      </x:c>
      <x:c r="J599" s="64" t="str">
        <x:v>chint</x:v>
      </x:c>
      <x:c r="K599" s="64" t="str">
        <x:v>B26</x:v>
      </x:c>
    </x:row>
    <x:row r="600">
      <x:c r="A600" s="64" t="str">
        <x:v>ЯВЗ-31-IP54 УХЛ2 100А</x:v>
      </x:c>
      <x:c r="B600" s="94" t="str">
        <x:v>bara</x:v>
      </x:c>
      <x:c r="C600" s="100" t="str">
        <x:v>KONTROL-N</x:v>
      </x:c>
      <x:c r="D600" s="94" t="str">
        <x:v>Шина N изолированная, не менее 12 присоединений</x:v>
      </x:c>
      <x:c r="E600" s="95"/>
      <x:c r="F600" s="95"/>
      <x:c r="G600" s="95" t="str">
        <x:f>IF(OR(F600="",H600=""),"",F600*H600)</x:f>
      </x:c>
      <x:c r="H600" s="96" t="n">
        <x:v>1</x:v>
      </x:c>
      <x:c r="I600" s="94" t="str">
        <x:v> ШТ. </x:v>
      </x:c>
      <x:c r="J600" s="94" t="str">
        <x:v>EKT/Klemsan</x:v>
      </x:c>
      <x:c r="K600" s="64" t="str">
        <x:v>B26</x:v>
      </x:c>
    </x:row>
    <x:row r="601">
      <x:c r="A601" s="64" t="str">
        <x:v>ЯВЗ-31-IP54 УХЛ2 100А</x:v>
      </x:c>
      <x:c r="B601" s="94" t="str">
        <x:v>bara</x:v>
      </x:c>
      <x:c r="C601" s="100" t="str">
        <x:v>KONTROL-PE</x:v>
      </x:c>
      <x:c r="D601" s="94" t="str">
        <x:v>Шина PE медная, не менее 12 присоединений</x:v>
      </x:c>
      <x:c r="E601" s="95"/>
      <x:c r="F601" s="95"/>
      <x:c r="G601" s="95" t="str">
        <x:f>IF(OR(F601="",H601=""),"",F601*H601)</x:f>
      </x:c>
      <x:c r="H601" s="96" t="n">
        <x:v>1</x:v>
      </x:c>
      <x:c r="I601" s="94" t="str">
        <x:v> ШТ. </x:v>
      </x:c>
      <x:c r="J601" s="94" t="str">
        <x:v>EKT/Klemsan</x:v>
      </x:c>
      <x:c r="K601" s="64" t="str">
        <x:v>B26</x:v>
      </x:c>
    </x:row>
    <x:row r="602">
      <x:c r="A602" s="64" t="str">
        <x:v>ЯВЗ-31-IP54 УХЛ2 100А</x:v>
      </x:c>
      <x:c r="B602" s="94" t="str">
        <x:v>din</x:v>
      </x:c>
      <x:c r="C602" s="100" t="str">
        <x:v>KONTROL-DIN</x:v>
      </x:c>
      <x:c r="D602" s="94" t="str">
        <x:v>DIN рейка 35 мм, оцинкованная, комплект по габариту</x:v>
      </x:c>
      <x:c r="E602" s="95"/>
      <x:c r="F602" s="95"/>
      <x:c r="G602" s="95" t="str">
        <x:f>IF(OR(F602="",H602=""),"",F602*H602)</x:f>
      </x:c>
      <x:c r="H602" s="96" t="n">
        <x:v>1</x:v>
      </x:c>
      <x:c r="I602" s="94" t="str">
        <x:v> ШТ. </x:v>
      </x:c>
      <x:c r="J602" s="94" t="str">
        <x:v>EKT</x:v>
      </x:c>
      <x:c r="K602" s="64" t="str">
        <x:v>B26</x:v>
      </x:c>
    </x:row>
    <x:row r="603">
      <x:c r="A603" s="64" t="str">
        <x:v>ЯВЗ-31-IP54 УХЛ2 100А</x:v>
      </x:c>
      <x:c r="B603" s="94" t="str">
        <x:v>kanal</x:v>
      </x:c>
      <x:c r="C603" s="100" t="str">
        <x:v>KONTROL-KK</x:v>
      </x:c>
      <x:c r="D603" s="94" t="str">
        <x:v>Кабельный канал перфорированный, комплект по габариту</x:v>
      </x:c>
      <x:c r="E603" s="95"/>
      <x:c r="F603" s="95"/>
      <x:c r="G603" s="95" t="str">
        <x:f>IF(OR(F603="",H603=""),"",F603*H603)</x:f>
      </x:c>
      <x:c r="H603" s="96" t="n">
        <x:v>1</x:v>
      </x:c>
      <x:c r="I603" s="94" t="str">
        <x:v> ШТ. </x:v>
      </x:c>
      <x:c r="J603" s="94" t="str">
        <x:v>ONKA/EKT</x:v>
      </x:c>
      <x:c r="K603" s="64" t="str">
        <x:v>B26</x:v>
      </x:c>
    </x:row>
    <x:row r="604">
      <x:c r="A604" s="64" t="str">
        <x:v>ЯВЗ-31-IP54 УХЛ2 100А</x:v>
      </x:c>
      <x:c r="B604" s="94" t="str">
        <x:v>klemens</x:v>
      </x:c>
      <x:c r="C604" s="100" t="str">
        <x:v>KONTROL-KL</x:v>
      </x:c>
      <x:c r="D604" s="94" t="str">
        <x:v>Клеммник 2,5-6 мм² (фаза/N/PE по схеме)</x:v>
      </x:c>
      <x:c r="E604" s="95"/>
      <x:c r="F604" s="95"/>
      <x:c r="G604" s="95" t="str">
        <x:f>IF(OR(F604="",H604=""),"",F604*H604)</x:f>
      </x:c>
      <x:c r="H604" s="96" t="n">
        <x:v>18</x:v>
      </x:c>
      <x:c r="I604" s="94" t="str">
        <x:v> ШТ. </x:v>
      </x:c>
      <x:c r="J604" s="94" t="str">
        <x:v>Klemsan/EKT</x:v>
      </x:c>
      <x:c r="K604" s="64" t="str">
        <x:v>B26</x:v>
      </x:c>
    </x:row>
    <x:row r="605">
      <x:c r="A605" s="64" t="str">
        <x:v>ЯВЗ-31-IP54 УХЛ2 100А</x:v>
      </x:c>
      <x:c r="B605" s="94" t="str">
        <x:v>kablo</x:v>
      </x:c>
      <x:c r="C605" s="100" t="str">
        <x:v>KONTROL-WIRE</x:v>
      </x:c>
      <x:c r="D605" s="94" t="str">
        <x:v>Внутренняя проводка Harmony + маркировка, комплект</x:v>
      </x:c>
      <x:c r="E605" s="95"/>
      <x:c r="F605" s="95"/>
      <x:c r="G605" s="95" t="str">
        <x:f>IF(OR(F605="",H605=""),"",F605*H605)</x:f>
      </x:c>
      <x:c r="H605" s="96" t="n">
        <x:v>1</x:v>
      </x:c>
      <x:c r="I605" s="94" t="str">
        <x:v> ШТ. </x:v>
      </x:c>
      <x:c r="J605" s="94" t="str">
        <x:v>Harmony</x:v>
      </x:c>
      <x:c r="K605" s="64" t="str">
        <x:v>B26</x:v>
      </x:c>
    </x:row>
    <x:row r="606">
      <x:c r="A606" s="64" t="str">
        <x:v>ЯВЗ-31-IP54 УХЛ2 100А</x:v>
      </x:c>
      <x:c r="B606" s="64" t="str">
        <x:v>монтажный материал</x:v>
      </x:c>
      <x:c r="C606" s="64" t="str">
        <x:v>монтажный материал</x:v>
      </x:c>
      <x:c r="D606" s="64" t="str">
        <x:v>Монтажный материал</x:v>
      </x:c>
      <x:c r="E606" s="83"/>
      <x:c r="F606" s="83"/>
      <x:c r="G606" s="83" t="str">
        <x:f>IF(OR(F606="",H606=""),"",F606*H606)</x:f>
      </x:c>
      <x:c r="H606" s="89" t="n">
        <x:v>1</x:v>
      </x:c>
      <x:c r="I606" s="64" t="str">
        <x:v>компл.</x:v>
      </x:c>
      <x:c r="J606" s="64" t="str">
        <x:v>TEKLED</x:v>
      </x:c>
      <x:c r="K606" s="64" t="str">
        <x:v>B26</x:v>
      </x:c>
    </x:row>
    <x:row r="607">
      <x:c r="A607" s="64" t="str">
        <x:v>ЯВЗ-31-IP54 УХЛ2 100А</x:v>
      </x:c>
      <x:c r="B607" s="64" t="str">
        <x:v>монтажные работы</x:v>
      </x:c>
      <x:c r="C607" s="64" t="str">
        <x:v>монтажные работы</x:v>
      </x:c>
      <x:c r="D607" s="64" t="str">
        <x:v>Монтажные работы</x:v>
      </x:c>
      <x:c r="E607" s="83"/>
      <x:c r="F607" s="83"/>
      <x:c r="G607" s="83" t="str">
        <x:f>IF(OR(F607="",H607=""),"",F607*H607)</x:f>
      </x:c>
      <x:c r="H607" s="89" t="n">
        <x:v>1</x:v>
      </x:c>
      <x:c r="I607" s="64" t="str">
        <x:v>компл.</x:v>
      </x:c>
      <x:c r="J607" s="64" t="str">
        <x:v>TEKLED</x:v>
      </x:c>
      <x:c r="K607" s="64" t="str">
        <x:v>B26</x:v>
      </x:c>
    </x:row>
    <x:row r="608">
      <x:c r="A608" s="76" t="str">
        <x:v>ЯВЗ-31-IP54 УХЛ2 100А</x:v>
      </x:c>
      <x:c r="B608" s="76"/>
      <x:c r="C608" s="76"/>
      <x:c r="D608" s="80" t="str">
        <x:v>ИТОГО на 1 комплект</x:v>
      </x:c>
      <x:c r="E608" s="84"/>
      <x:c r="F608" s="84"/>
      <x:c r="G608" s="84" t="n">
        <x:f>SUM(G596:G607)</x:f>
        <x:v>6449.4</x:v>
      </x:c>
      <x:c r="H608" s="90"/>
      <x:c r="I608" s="76"/>
      <x:c r="J608" s="76"/>
      <x:c r="K608" s="76" t="str">
        <x:v>B26</x:v>
      </x:c>
    </x:row>
    <x:row r="609" ht="24" customHeight="1">
      <x:c r="A609" s="69" t="str">
        <x:v>ЩАП25 (В26)</x:v>
      </x:c>
      <x:c r="B609" s="69"/>
      <x:c r="C609" s="69"/>
      <x:c r="D609" s="69" t="str">
        <x:v>ЩАП25 (В26)</x:v>
      </x:c>
      <x:c r="E609" s="82"/>
      <x:c r="F609" s="82"/>
      <x:c r="G609" s="82"/>
      <x:c r="H609" s="88" t="n">
        <x:v>1</x:v>
      </x:c>
      <x:c r="I609" s="69" t="str">
        <x:v>комплект</x:v>
      </x:c>
      <x:c r="J609" s="69" t="str">
        <x:v>TEKLED/TEKSAN</x:v>
      </x:c>
      <x:c r="K609" s="69" t="str">
        <x:v>B26</x:v>
      </x:c>
    </x:row>
    <x:row r="610">
      <x:c r="A610" s="64" t="str">
        <x:v>ЩАП25 (В26)</x:v>
      </x:c>
      <x:c r="B610" s="94" t="str">
        <x:v>korpus</x:v>
      </x:c>
      <x:c r="C610" s="100" t="str">
        <x:v>KONTROL-KORPUS-ATS-500400220-IP54</x:v>
      </x:c>
      <x:c r="D610" s="94" t="str">
        <x:v>Корпус металлический 500x400x220 мм IP54, монтажная панель</x:v>
      </x:c>
      <x:c r="E610" s="95"/>
      <x:c r="F610" s="95"/>
      <x:c r="G610" s="95" t="str">
        <x:f>IF(OR(F610="",H610=""),"",F610*H610)</x:f>
      </x:c>
      <x:c r="H610" s="96" t="n">
        <x:v>1</x:v>
      </x:c>
      <x:c r="I610" s="94" t="str">
        <x:v> ШТ. </x:v>
      </x:c>
      <x:c r="J610" s="94" t="str">
        <x:v>TEKLED</x:v>
      </x:c>
      <x:c r="K610" s="64" t="str">
        <x:v>B26</x:v>
      </x:c>
    </x:row>
    <x:row r="611">
      <x:c r="A611" s="64" t="str">
        <x:v>ЩАП25 (В26)</x:v>
      </x:c>
      <x:c r="B611" s="64" t="str">
        <x:v>ats</x:v>
      </x:c>
      <x:c r="C611" s="64" t="str">
        <x:v>256775</x:v>
      </x:c>
      <x:c r="D611" s="64" t="str">
        <x:v>Устройство АВР CHINT NXZM-63S/4B 25A, 4P</x:v>
      </x:c>
      <x:c r="E611" s="83"/>
      <x:c r="F611" s="83"/>
      <x:c r="G611" s="83" t="str">
        <x:f>IF(OR(F611="",H611=""),"",F611*H611)</x:f>
      </x:c>
      <x:c r="H611" s="89" t="n">
        <x:v>1</x:v>
      </x:c>
      <x:c r="I611" s="64" t="str">
        <x:v> ШТ. </x:v>
      </x:c>
      <x:c r="J611" s="64" t="str">
        <x:v>CHINT</x:v>
      </x:c>
      <x:c r="K611" s="64" t="str">
        <x:v>B26</x:v>
      </x:c>
    </x:row>
    <x:row r="612">
      <x:c r="A612" s="64" t="str">
        <x:v>ЩАП25 (В26)</x:v>
      </x:c>
      <x:c r="B612" s="94" t="str">
        <x:v>oto</x:v>
      </x:c>
      <x:c r="C612" s="100" t="str">
        <x:v>KONTROL-MCB-1P-C6</x:v>
      </x:c>
      <x:c r="D612" s="94" t="str">
        <x:v>Авт. выключатель CHINT NXB-63 1P C6A, цепь управления</x:v>
      </x:c>
      <x:c r="E612" s="95"/>
      <x:c r="F612" s="95"/>
      <x:c r="G612" s="95" t="str">
        <x:f>IF(OR(F612="",H612=""),"",F612*H612)</x:f>
      </x:c>
      <x:c r="H612" s="96" t="n">
        <x:v>1</x:v>
      </x:c>
      <x:c r="I612" s="94" t="str">
        <x:v> ШТ. </x:v>
      </x:c>
      <x:c r="J612" s="94" t="str">
        <x:v>CHINT</x:v>
      </x:c>
      <x:c r="K612" s="64" t="str">
        <x:v>B26</x:v>
      </x:c>
    </x:row>
    <x:row r="613">
      <x:c r="A613" s="64" t="str">
        <x:v>ЩАП25 (В26)</x:v>
      </x:c>
      <x:c r="B613" s="64" t="str">
        <x:v>indicator</x:v>
      </x:c>
      <x:c r="C613" s="64" t="str">
        <x:v>593077</x:v>
      </x:c>
      <x:c r="D613" s="64" t="str">
        <x:v>Индикатор ND16-22D/2 зеленый AC/DC230В (R)</x:v>
      </x:c>
      <x:c r="E613" s="83" t="n">
        <x:v>589</x:v>
      </x:c>
      <x:c r="F613" s="83" t="n">
        <x:v>353.4</x:v>
      </x:c>
      <x:c r="G613" s="83" t="n">
        <x:f>IF(OR(F613="",H613=""),"",F613*H613)</x:f>
        <x:v>706.8</x:v>
      </x:c>
      <x:c r="H613" s="89" t="n">
        <x:v>2</x:v>
      </x:c>
      <x:c r="I613" s="64" t="str">
        <x:v> ШТ. </x:v>
      </x:c>
      <x:c r="J613" s="64" t="str">
        <x:v>chint</x:v>
      </x:c>
      <x:c r="K613" s="64" t="str">
        <x:v>B26</x:v>
      </x:c>
    </x:row>
    <x:row r="614">
      <x:c r="A614" s="64" t="str">
        <x:v>ЩАП25 (В26)</x:v>
      </x:c>
      <x:c r="B614" s="64" t="str">
        <x:v>indicator</x:v>
      </x:c>
      <x:c r="C614" s="64" t="str">
        <x:v>593076</x:v>
      </x:c>
      <x:c r="D614" s="64" t="str">
        <x:v>Индикатор ND16-22D/2 желтый AC/DC230В (R)</x:v>
      </x:c>
      <x:c r="E614" s="83" t="n">
        <x:v>571</x:v>
      </x:c>
      <x:c r="F614" s="83" t="n">
        <x:v>342.59999999999997</x:v>
      </x:c>
      <x:c r="G614" s="83" t="n">
        <x:f>IF(OR(F614="",H614=""),"",F614*H614)</x:f>
        <x:v>685.1999999999999</x:v>
      </x:c>
      <x:c r="H614" s="89" t="n">
        <x:v>2</x:v>
      </x:c>
      <x:c r="I614" s="64" t="str">
        <x:v> ШТ. </x:v>
      </x:c>
      <x:c r="J614" s="64" t="str">
        <x:v>chint</x:v>
      </x:c>
      <x:c r="K614" s="64" t="str">
        <x:v>B26</x:v>
      </x:c>
    </x:row>
    <x:row r="615">
      <x:c r="A615" s="64" t="str">
        <x:v>ЩАП25 (В26)</x:v>
      </x:c>
      <x:c r="B615" s="64" t="str">
        <x:v>indicator</x:v>
      </x:c>
      <x:c r="C615" s="64" t="str">
        <x:v>593075</x:v>
      </x:c>
      <x:c r="D615" s="64" t="str">
        <x:v>Индикатор ND16-22D/2 красный AC/DC230В (R)</x:v>
      </x:c>
      <x:c r="E615" s="83" t="n">
        <x:v>571</x:v>
      </x:c>
      <x:c r="F615" s="83" t="n">
        <x:v>342.59999999999997</x:v>
      </x:c>
      <x:c r="G615" s="83" t="n">
        <x:f>IF(OR(F615="",H615=""),"",F615*H615)</x:f>
        <x:v>685.1999999999999</x:v>
      </x:c>
      <x:c r="H615" s="89" t="n">
        <x:v>2</x:v>
      </x:c>
      <x:c r="I615" s="64" t="str">
        <x:v> ШТ. </x:v>
      </x:c>
      <x:c r="J615" s="64" t="str">
        <x:v>chint</x:v>
      </x:c>
      <x:c r="K615" s="64" t="str">
        <x:v>B26</x:v>
      </x:c>
    </x:row>
    <x:row r="616">
      <x:c r="A616" s="64" t="str">
        <x:v>ЩАП25 (В26)</x:v>
      </x:c>
      <x:c r="B616" s="94" t="str">
        <x:v>bara</x:v>
      </x:c>
      <x:c r="C616" s="100" t="str">
        <x:v>KONTROL-N</x:v>
      </x:c>
      <x:c r="D616" s="94" t="str">
        <x:v>Шина N изолированная, не менее 12 присоединений</x:v>
      </x:c>
      <x:c r="E616" s="95"/>
      <x:c r="F616" s="95"/>
      <x:c r="G616" s="95" t="str">
        <x:f>IF(OR(F616="",H616=""),"",F616*H616)</x:f>
      </x:c>
      <x:c r="H616" s="96" t="n">
        <x:v>1</x:v>
      </x:c>
      <x:c r="I616" s="94" t="str">
        <x:v> ШТ. </x:v>
      </x:c>
      <x:c r="J616" s="94" t="str">
        <x:v>EKT/Klemsan</x:v>
      </x:c>
      <x:c r="K616" s="64" t="str">
        <x:v>B26</x:v>
      </x:c>
    </x:row>
    <x:row r="617">
      <x:c r="A617" s="64" t="str">
        <x:v>ЩАП25 (В26)</x:v>
      </x:c>
      <x:c r="B617" s="94" t="str">
        <x:v>bara</x:v>
      </x:c>
      <x:c r="C617" s="100" t="str">
        <x:v>KONTROL-PE</x:v>
      </x:c>
      <x:c r="D617" s="94" t="str">
        <x:v>Шина PE медная, не менее 12 присоединений</x:v>
      </x:c>
      <x:c r="E617" s="95"/>
      <x:c r="F617" s="95"/>
      <x:c r="G617" s="95" t="str">
        <x:f>IF(OR(F617="",H617=""),"",F617*H617)</x:f>
      </x:c>
      <x:c r="H617" s="96" t="n">
        <x:v>1</x:v>
      </x:c>
      <x:c r="I617" s="94" t="str">
        <x:v> ШТ. </x:v>
      </x:c>
      <x:c r="J617" s="94" t="str">
        <x:v>EKT/Klemsan</x:v>
      </x:c>
      <x:c r="K617" s="64" t="str">
        <x:v>B26</x:v>
      </x:c>
    </x:row>
    <x:row r="618">
      <x:c r="A618" s="64" t="str">
        <x:v>ЩАП25 (В26)</x:v>
      </x:c>
      <x:c r="B618" s="94" t="str">
        <x:v>din</x:v>
      </x:c>
      <x:c r="C618" s="100" t="str">
        <x:v>KONTROL-DIN</x:v>
      </x:c>
      <x:c r="D618" s="94" t="str">
        <x:v>DIN рейка 35 мм, оцинкованная, комплект по габариту</x:v>
      </x:c>
      <x:c r="E618" s="95"/>
      <x:c r="F618" s="95"/>
      <x:c r="G618" s="95" t="str">
        <x:f>IF(OR(F618="",H618=""),"",F618*H618)</x:f>
      </x:c>
      <x:c r="H618" s="96" t="n">
        <x:v>1</x:v>
      </x:c>
      <x:c r="I618" s="94" t="str">
        <x:v> ШТ. </x:v>
      </x:c>
      <x:c r="J618" s="94" t="str">
        <x:v>EKT</x:v>
      </x:c>
      <x:c r="K618" s="64" t="str">
        <x:v>B26</x:v>
      </x:c>
    </x:row>
    <x:row r="619">
      <x:c r="A619" s="64" t="str">
        <x:v>ЩАП25 (В26)</x:v>
      </x:c>
      <x:c r="B619" s="94" t="str">
        <x:v>kanal</x:v>
      </x:c>
      <x:c r="C619" s="100" t="str">
        <x:v>KONTROL-KK</x:v>
      </x:c>
      <x:c r="D619" s="94" t="str">
        <x:v>Кабельный канал перфорированный, комплект по габариту</x:v>
      </x:c>
      <x:c r="E619" s="95"/>
      <x:c r="F619" s="95"/>
      <x:c r="G619" s="95" t="str">
        <x:f>IF(OR(F619="",H619=""),"",F619*H619)</x:f>
      </x:c>
      <x:c r="H619" s="96" t="n">
        <x:v>1</x:v>
      </x:c>
      <x:c r="I619" s="94" t="str">
        <x:v> ШТ. </x:v>
      </x:c>
      <x:c r="J619" s="94" t="str">
        <x:v>ONKA/EKT</x:v>
      </x:c>
      <x:c r="K619" s="64" t="str">
        <x:v>B26</x:v>
      </x:c>
    </x:row>
    <x:row r="620">
      <x:c r="A620" s="64" t="str">
        <x:v>ЩАП25 (В26)</x:v>
      </x:c>
      <x:c r="B620" s="94" t="str">
        <x:v>klemens</x:v>
      </x:c>
      <x:c r="C620" s="100" t="str">
        <x:v>KONTROL-KL</x:v>
      </x:c>
      <x:c r="D620" s="94" t="str">
        <x:v>Клеммник 2,5-6 мм² (фаза/N/PE по схеме)</x:v>
      </x:c>
      <x:c r="E620" s="95"/>
      <x:c r="F620" s="95"/>
      <x:c r="G620" s="95" t="str">
        <x:f>IF(OR(F620="",H620=""),"",F620*H620)</x:f>
      </x:c>
      <x:c r="H620" s="96" t="n">
        <x:v>20</x:v>
      </x:c>
      <x:c r="I620" s="94" t="str">
        <x:v> ШТ. </x:v>
      </x:c>
      <x:c r="J620" s="94" t="str">
        <x:v>Klemsan/EKT</x:v>
      </x:c>
      <x:c r="K620" s="64" t="str">
        <x:v>B26</x:v>
      </x:c>
    </x:row>
    <x:row r="621">
      <x:c r="A621" s="64" t="str">
        <x:v>ЩАП25 (В26)</x:v>
      </x:c>
      <x:c r="B621" s="94" t="str">
        <x:v>kablo</x:v>
      </x:c>
      <x:c r="C621" s="100" t="str">
        <x:v>KONTROL-WIRE</x:v>
      </x:c>
      <x:c r="D621" s="94" t="str">
        <x:v>Внутренняя проводка Harmony + маркировка, комплект</x:v>
      </x:c>
      <x:c r="E621" s="95"/>
      <x:c r="F621" s="95"/>
      <x:c r="G621" s="95" t="str">
        <x:f>IF(OR(F621="",H621=""),"",F621*H621)</x:f>
      </x:c>
      <x:c r="H621" s="96" t="n">
        <x:v>1</x:v>
      </x:c>
      <x:c r="I621" s="94" t="str">
        <x:v> ШТ. </x:v>
      </x:c>
      <x:c r="J621" s="94" t="str">
        <x:v>Harmony</x:v>
      </x:c>
      <x:c r="K621" s="64" t="str">
        <x:v>B26</x:v>
      </x:c>
    </x:row>
    <x:row r="622">
      <x:c r="A622" s="64" t="str">
        <x:v>ЩАП25 (В26)</x:v>
      </x:c>
      <x:c r="B622" s="64" t="str">
        <x:v>монтажный материал</x:v>
      </x:c>
      <x:c r="C622" s="64" t="str">
        <x:v>монтажный материал</x:v>
      </x:c>
      <x:c r="D622" s="64" t="str">
        <x:v>Монтажный материал</x:v>
      </x:c>
      <x:c r="E622" s="83"/>
      <x:c r="F622" s="83"/>
      <x:c r="G622" s="83" t="str">
        <x:f>IF(OR(F622="",H622=""),"",F622*H622)</x:f>
      </x:c>
      <x:c r="H622" s="89" t="n">
        <x:v>1</x:v>
      </x:c>
      <x:c r="I622" s="64" t="str">
        <x:v>компл.</x:v>
      </x:c>
      <x:c r="J622" s="64" t="str">
        <x:v>TEKLED</x:v>
      </x:c>
      <x:c r="K622" s="64" t="str">
        <x:v>B26</x:v>
      </x:c>
    </x:row>
    <x:row r="623">
      <x:c r="A623" s="64" t="str">
        <x:v>ЩАП25 (В26)</x:v>
      </x:c>
      <x:c r="B623" s="64" t="str">
        <x:v>монтажные работы</x:v>
      </x:c>
      <x:c r="C623" s="64" t="str">
        <x:v>монтажные работы</x:v>
      </x:c>
      <x:c r="D623" s="64" t="str">
        <x:v>Монтажные работы</x:v>
      </x:c>
      <x:c r="E623" s="83"/>
      <x:c r="F623" s="83"/>
      <x:c r="G623" s="83" t="str">
        <x:f>IF(OR(F623="",H623=""),"",F623*H623)</x:f>
      </x:c>
      <x:c r="H623" s="89" t="n">
        <x:v>1</x:v>
      </x:c>
      <x:c r="I623" s="64" t="str">
        <x:v>компл.</x:v>
      </x:c>
      <x:c r="J623" s="64" t="str">
        <x:v>TEKLED</x:v>
      </x:c>
      <x:c r="K623" s="64" t="str">
        <x:v>B26</x:v>
      </x:c>
    </x:row>
    <x:row r="624">
      <x:c r="A624" s="76" t="str">
        <x:v>ЩАП25 (В26)</x:v>
      </x:c>
      <x:c r="B624" s="76"/>
      <x:c r="C624" s="76"/>
      <x:c r="D624" s="80" t="str">
        <x:v>ИТОГО на 1 комплект</x:v>
      </x:c>
      <x:c r="E624" s="84"/>
      <x:c r="F624" s="84"/>
      <x:c r="G624" s="84" t="n">
        <x:f>SUM(G610:G623)</x:f>
        <x:v>2077.2</x:v>
      </x:c>
      <x:c r="H624" s="90"/>
      <x:c r="I624" s="76"/>
      <x:c r="J624" s="76"/>
      <x:c r="K624" s="76" t="str">
        <x:v>B26</x:v>
      </x:c>
    </x:row>
    <x:row r="625" ht="24" customHeight="1">
      <x:c r="A625" s="69" t="str">
        <x:v>РПВ-1 (В26)</x:v>
      </x:c>
      <x:c r="B625" s="69"/>
      <x:c r="C625" s="69"/>
      <x:c r="D625" s="69" t="str">
        <x:v>РПВ-1 (В26)</x:v>
      </x:c>
      <x:c r="E625" s="82"/>
      <x:c r="F625" s="82"/>
      <x:c r="G625" s="82"/>
      <x:c r="H625" s="88" t="n">
        <x:v>1</x:v>
      </x:c>
      <x:c r="I625" s="69" t="str">
        <x:v>комплект</x:v>
      </x:c>
      <x:c r="J625" s="69" t="str">
        <x:v>TEKLED/TEKSAN</x:v>
      </x:c>
      <x:c r="K625" s="69" t="str">
        <x:v>B26</x:v>
      </x:c>
    </x:row>
    <x:row r="626">
      <x:c r="A626" s="64" t="str">
        <x:v>РПВ-1 (В26)</x:v>
      </x:c>
      <x:c r="B626" s="64" t="str">
        <x:v>korpus</x:v>
      </x:c>
      <x:c r="C626" s="64" t="str">
        <x:v>714-15055</x:v>
      </x:c>
      <x:c r="D626" s="64" t="str">
        <x:v>Мет. Корпус ЩРН-12 (265x310x120) IP54  (TS)</x:v>
      </x:c>
      <x:c r="E626" s="83" t="n">
        <x:v>7650</x:v>
      </x:c>
      <x:c r="F626" s="83" t="n">
        <x:v>4590</x:v>
      </x:c>
      <x:c r="G626" s="83" t="n">
        <x:f>IF(OR(F626="",H626=""),"",F626*H626)</x:f>
        <x:v>4590</x:v>
      </x:c>
      <x:c r="H626" s="89" t="n">
        <x:v>1</x:v>
      </x:c>
      <x:c r="I626" s="64" t="str">
        <x:v> ШТ. </x:v>
      </x:c>
      <x:c r="J626" s="64" t="str">
        <x:v>teksan f</x:v>
      </x:c>
      <x:c r="K626" s="64" t="str">
        <x:v>B26</x:v>
      </x:c>
    </x:row>
    <x:row r="627">
      <x:c r="A627" s="64" t="str">
        <x:v>РПВ-1 (В26)</x:v>
      </x:c>
      <x:c r="B627" s="64" t="str">
        <x:v>oto</x:v>
      </x:c>
      <x:c r="C627" s="64" t="str">
        <x:v>296829</x:v>
      </x:c>
      <x:c r="D627" s="64" t="str">
        <x:v>Авт. выкл. NXB-63S 3P 25А 4.5kA х-ка C (R)</x:v>
      </x:c>
      <x:c r="E627" s="83" t="n">
        <x:v>2429</x:v>
      </x:c>
      <x:c r="F627" s="83" t="n">
        <x:v>1457.3999999999999</x:v>
      </x:c>
      <x:c r="G627" s="83" t="n">
        <x:f>IF(OR(F627="",H627=""),"",F627*H627)</x:f>
        <x:v>1457.3999999999999</x:v>
      </x:c>
      <x:c r="H627" s="89" t="n">
        <x:v>1</x:v>
      </x:c>
      <x:c r="I627" s="64" t="str">
        <x:v> ШТ. </x:v>
      </x:c>
      <x:c r="J627" s="64" t="str">
        <x:v>chint</x:v>
      </x:c>
      <x:c r="K627" s="64" t="str">
        <x:v>B26</x:v>
      </x:c>
    </x:row>
    <x:row r="628">
      <x:c r="A628" s="64" t="str">
        <x:v>РПВ-1 (В26)</x:v>
      </x:c>
      <x:c r="B628" s="64" t="str">
        <x:v>oto</x:v>
      </x:c>
      <x:c r="C628" s="64" t="str">
        <x:v>296828</x:v>
      </x:c>
      <x:c r="D628" s="64" t="str">
        <x:v>Авт. выкл. NXB-63S 3P 20А 4.5kA х-ка C (R)</x:v>
      </x:c>
      <x:c r="E628" s="83" t="n">
        <x:v>2499</x:v>
      </x:c>
      <x:c r="F628" s="83" t="n">
        <x:v>1499.3999999999999</x:v>
      </x:c>
      <x:c r="G628" s="83" t="n">
        <x:f>IF(OR(F628="",H628=""),"",F628*H628)</x:f>
        <x:v>1499.3999999999999</x:v>
      </x:c>
      <x:c r="H628" s="89" t="n">
        <x:v>1</x:v>
      </x:c>
      <x:c r="I628" s="64" t="str">
        <x:v> ШТ. </x:v>
      </x:c>
      <x:c r="J628" s="64" t="str">
        <x:v>chint</x:v>
      </x:c>
      <x:c r="K628" s="64" t="str">
        <x:v>B26</x:v>
      </x:c>
    </x:row>
    <x:row r="629">
      <x:c r="A629" s="64" t="str">
        <x:v>РПВ-1 (В26)</x:v>
      </x:c>
      <x:c r="B629" s="64" t="str">
        <x:v>oto</x:v>
      </x:c>
      <x:c r="C629" s="64" t="str">
        <x:v>296712</x:v>
      </x:c>
      <x:c r="D629" s="64" t="str">
        <x:v>Авт. выкл. NXB-63S 1P 25А 4.5kA х-ка C (R)</x:v>
      </x:c>
      <x:c r="E629" s="83" t="n">
        <x:v>800</x:v>
      </x:c>
      <x:c r="F629" s="83" t="n">
        <x:v>480</x:v>
      </x:c>
      <x:c r="G629" s="83" t="n">
        <x:f>IF(OR(F629="",H629=""),"",F629*H629)</x:f>
        <x:v>480</x:v>
      </x:c>
      <x:c r="H629" s="89" t="n">
        <x:v>1</x:v>
      </x:c>
      <x:c r="I629" s="64" t="str">
        <x:v> ШТ. </x:v>
      </x:c>
      <x:c r="J629" s="64" t="str">
        <x:v>chint</x:v>
      </x:c>
      <x:c r="K629" s="64" t="str">
        <x:v>B26</x:v>
      </x:c>
    </x:row>
    <x:row r="630">
      <x:c r="A630" s="64" t="str">
        <x:v>РПВ-1 (В26)</x:v>
      </x:c>
      <x:c r="B630" s="64" t="str">
        <x:v>oto</x:v>
      </x:c>
      <x:c r="C630" s="64" t="str">
        <x:v>814014</x:v>
      </x:c>
      <x:c r="D630" s="64" t="str">
        <x:v>Авт. выкл. NXB-63 1P 16A 6кА х-ка C (R)</x:v>
      </x:c>
      <x:c r="E630" s="83" t="n">
        <x:v>1389</x:v>
      </x:c>
      <x:c r="F630" s="83" t="n">
        <x:v>833.4</x:v>
      </x:c>
      <x:c r="G630" s="83" t="n">
        <x:f>IF(OR(F630="",H630=""),"",F630*H630)</x:f>
        <x:v>1666.8</x:v>
      </x:c>
      <x:c r="H630" s="89" t="n">
        <x:v>2</x:v>
      </x:c>
      <x:c r="I630" s="64" t="str">
        <x:v> ШТ. </x:v>
      </x:c>
      <x:c r="J630" s="64" t="str">
        <x:v>chint</x:v>
      </x:c>
      <x:c r="K630" s="64" t="str">
        <x:v>B26</x:v>
      </x:c>
    </x:row>
    <x:row r="631">
      <x:c r="A631" s="64" t="str">
        <x:v>РПВ-1 (В26)</x:v>
      </x:c>
      <x:c r="B631" s="64" t="str">
        <x:v>rn</x:v>
      </x:c>
      <x:c r="C631" s="64" t="str">
        <x:v>814989</x:v>
      </x:c>
      <x:c r="D631" s="64" t="str">
        <x:v>Независимый расцепитель SHT-X1 AC230V/400V для NXB-63 (R)</x:v>
      </x:c>
      <x:c r="E631" s="83" t="n">
        <x:v>5354</x:v>
      </x:c>
      <x:c r="F631" s="83" t="n">
        <x:v>3212.4</x:v>
      </x:c>
      <x:c r="G631" s="83" t="n">
        <x:f>IF(OR(F631="",H631=""),"",F631*H631)</x:f>
        <x:v>3212.4</x:v>
      </x:c>
      <x:c r="H631" s="89" t="n">
        <x:v>1</x:v>
      </x:c>
      <x:c r="I631" s="64" t="str">
        <x:v> ШТ. </x:v>
      </x:c>
      <x:c r="J631" s="64" t="str">
        <x:v>chint</x:v>
      </x:c>
      <x:c r="K631" s="64" t="str">
        <x:v>B26</x:v>
      </x:c>
    </x:row>
    <x:row r="632">
      <x:c r="A632" s="64" t="str">
        <x:v>РПВ-1 (В26)</x:v>
      </x:c>
      <x:c r="B632" s="94" t="str">
        <x:v>bara</x:v>
      </x:c>
      <x:c r="C632" s="100" t="str">
        <x:v>KONTROL-N</x:v>
      </x:c>
      <x:c r="D632" s="94" t="str">
        <x:v>Шина N изолированная, не менее 12 присоединений</x:v>
      </x:c>
      <x:c r="E632" s="95"/>
      <x:c r="F632" s="95"/>
      <x:c r="G632" s="95" t="str">
        <x:f>IF(OR(F632="",H632=""),"",F632*H632)</x:f>
      </x:c>
      <x:c r="H632" s="96" t="n">
        <x:v>1</x:v>
      </x:c>
      <x:c r="I632" s="94" t="str">
        <x:v> ШТ. </x:v>
      </x:c>
      <x:c r="J632" s="94" t="str">
        <x:v>EKT/Klemsan</x:v>
      </x:c>
      <x:c r="K632" s="64" t="str">
        <x:v>B26</x:v>
      </x:c>
    </x:row>
    <x:row r="633">
      <x:c r="A633" s="64" t="str">
        <x:v>РПВ-1 (В26)</x:v>
      </x:c>
      <x:c r="B633" s="94" t="str">
        <x:v>bara</x:v>
      </x:c>
      <x:c r="C633" s="100" t="str">
        <x:v>KONTROL-PE</x:v>
      </x:c>
      <x:c r="D633" s="94" t="str">
        <x:v>Шина PE медная, не менее 12 присоединений</x:v>
      </x:c>
      <x:c r="E633" s="95"/>
      <x:c r="F633" s="95"/>
      <x:c r="G633" s="95" t="str">
        <x:f>IF(OR(F633="",H633=""),"",F633*H633)</x:f>
      </x:c>
      <x:c r="H633" s="96" t="n">
        <x:v>1</x:v>
      </x:c>
      <x:c r="I633" s="94" t="str">
        <x:v> ШТ. </x:v>
      </x:c>
      <x:c r="J633" s="94" t="str">
        <x:v>EKT/Klemsan</x:v>
      </x:c>
      <x:c r="K633" s="64" t="str">
        <x:v>B26</x:v>
      </x:c>
    </x:row>
    <x:row r="634">
      <x:c r="A634" s="64" t="str">
        <x:v>РПВ-1 (В26)</x:v>
      </x:c>
      <x:c r="B634" s="94" t="str">
        <x:v>din</x:v>
      </x:c>
      <x:c r="C634" s="100" t="str">
        <x:v>KONTROL-DIN</x:v>
      </x:c>
      <x:c r="D634" s="94" t="str">
        <x:v>DIN рейка 35 мм, оцинкованная, комплект по габариту</x:v>
      </x:c>
      <x:c r="E634" s="95"/>
      <x:c r="F634" s="95"/>
      <x:c r="G634" s="95" t="str">
        <x:f>IF(OR(F634="",H634=""),"",F634*H634)</x:f>
      </x:c>
      <x:c r="H634" s="96" t="n">
        <x:v>1</x:v>
      </x:c>
      <x:c r="I634" s="94" t="str">
        <x:v> ШТ. </x:v>
      </x:c>
      <x:c r="J634" s="94" t="str">
        <x:v>EKT</x:v>
      </x:c>
      <x:c r="K634" s="64" t="str">
        <x:v>B26</x:v>
      </x:c>
    </x:row>
    <x:row r="635">
      <x:c r="A635" s="64" t="str">
        <x:v>РПВ-1 (В26)</x:v>
      </x:c>
      <x:c r="B635" s="94" t="str">
        <x:v>kanal</x:v>
      </x:c>
      <x:c r="C635" s="100" t="str">
        <x:v>KONTROL-KK</x:v>
      </x:c>
      <x:c r="D635" s="94" t="str">
        <x:v>Кабельный канал перфорированный, комплект по габариту</x:v>
      </x:c>
      <x:c r="E635" s="95"/>
      <x:c r="F635" s="95"/>
      <x:c r="G635" s="95" t="str">
        <x:f>IF(OR(F635="",H635=""),"",F635*H635)</x:f>
      </x:c>
      <x:c r="H635" s="96" t="n">
        <x:v>1</x:v>
      </x:c>
      <x:c r="I635" s="94" t="str">
        <x:v> ШТ. </x:v>
      </x:c>
      <x:c r="J635" s="94" t="str">
        <x:v>ONKA/EKT</x:v>
      </x:c>
      <x:c r="K635" s="64" t="str">
        <x:v>B26</x:v>
      </x:c>
    </x:row>
    <x:row r="636">
      <x:c r="A636" s="64" t="str">
        <x:v>РПВ-1 (В26)</x:v>
      </x:c>
      <x:c r="B636" s="94" t="str">
        <x:v>klemens</x:v>
      </x:c>
      <x:c r="C636" s="100" t="str">
        <x:v>KONTROL-KL</x:v>
      </x:c>
      <x:c r="D636" s="94" t="str">
        <x:v>Клеммник 2,5-6 мм² (фаза/N/PE по схеме)</x:v>
      </x:c>
      <x:c r="E636" s="95"/>
      <x:c r="F636" s="95"/>
      <x:c r="G636" s="95" t="str">
        <x:f>IF(OR(F636="",H636=""),"",F636*H636)</x:f>
      </x:c>
      <x:c r="H636" s="96" t="n">
        <x:v>16</x:v>
      </x:c>
      <x:c r="I636" s="94" t="str">
        <x:v> ШТ. </x:v>
      </x:c>
      <x:c r="J636" s="94" t="str">
        <x:v>Klemsan/EKT</x:v>
      </x:c>
      <x:c r="K636" s="64" t="str">
        <x:v>B26</x:v>
      </x:c>
    </x:row>
    <x:row r="637">
      <x:c r="A637" s="64" t="str">
        <x:v>РПВ-1 (В26)</x:v>
      </x:c>
      <x:c r="B637" s="94" t="str">
        <x:v>kablo</x:v>
      </x:c>
      <x:c r="C637" s="100" t="str">
        <x:v>KONTROL-WIRE</x:v>
      </x:c>
      <x:c r="D637" s="94" t="str">
        <x:v>Внутренняя проводка Harmony + маркировка, комплект</x:v>
      </x:c>
      <x:c r="E637" s="95"/>
      <x:c r="F637" s="95"/>
      <x:c r="G637" s="95" t="str">
        <x:f>IF(OR(F637="",H637=""),"",F637*H637)</x:f>
      </x:c>
      <x:c r="H637" s="96" t="n">
        <x:v>1</x:v>
      </x:c>
      <x:c r="I637" s="94" t="str">
        <x:v> ШТ. </x:v>
      </x:c>
      <x:c r="J637" s="94" t="str">
        <x:v>Harmony</x:v>
      </x:c>
      <x:c r="K637" s="64" t="str">
        <x:v>B26</x:v>
      </x:c>
    </x:row>
    <x:row r="638">
      <x:c r="A638" s="64" t="str">
        <x:v>РПВ-1 (В26)</x:v>
      </x:c>
      <x:c r="B638" s="64" t="str">
        <x:v>монтажный материал</x:v>
      </x:c>
      <x:c r="C638" s="64" t="str">
        <x:v>монтажный материал</x:v>
      </x:c>
      <x:c r="D638" s="64" t="str">
        <x:v>Монтажный материал</x:v>
      </x:c>
      <x:c r="E638" s="83"/>
      <x:c r="F638" s="83"/>
      <x:c r="G638" s="83" t="str">
        <x:f>IF(OR(F638="",H638=""),"",F638*H638)</x:f>
      </x:c>
      <x:c r="H638" s="89" t="n">
        <x:v>1</x:v>
      </x:c>
      <x:c r="I638" s="64" t="str">
        <x:v>компл.</x:v>
      </x:c>
      <x:c r="J638" s="64" t="str">
        <x:v>TEKLED</x:v>
      </x:c>
      <x:c r="K638" s="64" t="str">
        <x:v>B26</x:v>
      </x:c>
    </x:row>
    <x:row r="639">
      <x:c r="A639" s="64" t="str">
        <x:v>РПВ-1 (В26)</x:v>
      </x:c>
      <x:c r="B639" s="64" t="str">
        <x:v>монтажные работы</x:v>
      </x:c>
      <x:c r="C639" s="64" t="str">
        <x:v>монтажные работы</x:v>
      </x:c>
      <x:c r="D639" s="64" t="str">
        <x:v>Монтажные работы</x:v>
      </x:c>
      <x:c r="E639" s="83"/>
      <x:c r="F639" s="83"/>
      <x:c r="G639" s="83" t="str">
        <x:f>IF(OR(F639="",H639=""),"",F639*H639)</x:f>
      </x:c>
      <x:c r="H639" s="89" t="n">
        <x:v>1</x:v>
      </x:c>
      <x:c r="I639" s="64" t="str">
        <x:v>компл.</x:v>
      </x:c>
      <x:c r="J639" s="64" t="str">
        <x:v>TEKLED</x:v>
      </x:c>
      <x:c r="K639" s="64" t="str">
        <x:v>B26</x:v>
      </x:c>
    </x:row>
    <x:row r="640">
      <x:c r="A640" s="76" t="str">
        <x:v>РПВ-1 (В26)</x:v>
      </x:c>
      <x:c r="B640" s="76"/>
      <x:c r="C640" s="76"/>
      <x:c r="D640" s="80" t="str">
        <x:v>ИТОГО на 1 комплект</x:v>
      </x:c>
      <x:c r="E640" s="84"/>
      <x:c r="F640" s="84"/>
      <x:c r="G640" s="84" t="n">
        <x:f>SUM(G626:G639)</x:f>
        <x:v>12905.999999999998</x:v>
      </x:c>
      <x:c r="H640" s="90"/>
      <x:c r="I640" s="76"/>
      <x:c r="J640" s="76"/>
      <x:c r="K640" s="76" t="str">
        <x:v>B26</x:v>
      </x:c>
    </x:row>
    <x:row r="641" ht="24" customHeight="1">
      <x:c r="A641" s="69" t="str">
        <x:v>ЯТП-0,25-220/36 036УХЛ4</x:v>
      </x:c>
      <x:c r="B641" s="69"/>
      <x:c r="C641" s="69"/>
      <x:c r="D641" s="69" t="str">
        <x:v>ЯТП-0,25-220/36 036УХЛ4</x:v>
      </x:c>
      <x:c r="E641" s="82"/>
      <x:c r="F641" s="82"/>
      <x:c r="G641" s="82"/>
      <x:c r="H641" s="88" t="n">
        <x:v>1</x:v>
      </x:c>
      <x:c r="I641" s="69" t="str">
        <x:v>комплект</x:v>
      </x:c>
      <x:c r="J641" s="69" t="str">
        <x:v>TEKLED/TEKSAN</x:v>
      </x:c>
      <x:c r="K641" s="69" t="str">
        <x:v>B26</x:v>
      </x:c>
    </x:row>
    <x:row r="642">
      <x:c r="A642" s="64" t="str">
        <x:v>ЯТП-0,25-220/36 036УХЛ4</x:v>
      </x:c>
      <x:c r="B642" s="94" t="str">
        <x:v>korpus</x:v>
      </x:c>
      <x:c r="C642" s="100" t="str">
        <x:v>KONTROL-KORPUS-YATP</x:v>
      </x:c>
      <x:c r="D642" s="94" t="str">
        <x:v>Корпус металлический 300x250x150 мм, IP54, монтажная панель</x:v>
      </x:c>
      <x:c r="E642" s="95"/>
      <x:c r="F642" s="95"/>
      <x:c r="G642" s="95" t="str">
        <x:f>IF(OR(F642="",H642=""),"",F642*H642)</x:f>
      </x:c>
      <x:c r="H642" s="96" t="n">
        <x:v>1</x:v>
      </x:c>
      <x:c r="I642" s="94" t="str">
        <x:v> ШТ. </x:v>
      </x:c>
      <x:c r="J642" s="94" t="str">
        <x:v>TEKSAN/TEKLED</x:v>
      </x:c>
      <x:c r="K642" s="64" t="str">
        <x:v>B26</x:v>
      </x:c>
    </x:row>
    <x:row r="643">
      <x:c r="A643" s="64" t="str">
        <x:v>ЯТП-0,25-220/36 036УХЛ4</x:v>
      </x:c>
      <x:c r="B643" s="94" t="str">
        <x:v>transformator</x:v>
      </x:c>
      <x:c r="C643" s="100" t="str">
        <x:v>KONTROL-NDK250</x:v>
      </x:c>
      <x:c r="D643" s="94" t="str">
        <x:v>Трансформатор CHINT NDK-250, 230/36V, 250VA</x:v>
      </x:c>
      <x:c r="E643" s="95"/>
      <x:c r="F643" s="95"/>
      <x:c r="G643" s="95" t="str">
        <x:f>IF(OR(F643="",H643=""),"",F643*H643)</x:f>
      </x:c>
      <x:c r="H643" s="96" t="n">
        <x:v>1</x:v>
      </x:c>
      <x:c r="I643" s="94" t="str">
        <x:v> ШТ. </x:v>
      </x:c>
      <x:c r="J643" s="94" t="str">
        <x:v>CHINT</x:v>
      </x:c>
      <x:c r="K643" s="64" t="str">
        <x:v>B26</x:v>
      </x:c>
    </x:row>
    <x:row r="644">
      <x:c r="A644" s="64" t="str">
        <x:v>ЯТП-0,25-220/36 036УХЛ4</x:v>
      </x:c>
      <x:c r="B644" s="94" t="str">
        <x:v>oto</x:v>
      </x:c>
      <x:c r="C644" s="100" t="str">
        <x:v>KONTROL-MCB-1P-C2</x:v>
      </x:c>
      <x:c r="D644" s="94" t="str">
        <x:v>Авт. выключатель CHINT NXB-63 1P C2A, первичная цепь</x:v>
      </x:c>
      <x:c r="E644" s="95"/>
      <x:c r="F644" s="95"/>
      <x:c r="G644" s="95" t="str">
        <x:f>IF(OR(F644="",H644=""),"",F644*H644)</x:f>
      </x:c>
      <x:c r="H644" s="96" t="n">
        <x:v>1</x:v>
      </x:c>
      <x:c r="I644" s="94" t="str">
        <x:v> ШТ. </x:v>
      </x:c>
      <x:c r="J644" s="94" t="str">
        <x:v>CHINT</x:v>
      </x:c>
      <x:c r="K644" s="64" t="str">
        <x:v>B26</x:v>
      </x:c>
    </x:row>
    <x:row r="645">
      <x:c r="A645" s="64" t="str">
        <x:v>ЯТП-0,25-220/36 036УХЛ4</x:v>
      </x:c>
      <x:c r="B645" s="94" t="str">
        <x:v>oto</x:v>
      </x:c>
      <x:c r="C645" s="100" t="str">
        <x:v>KONTROL-MCB-2P-C10</x:v>
      </x:c>
      <x:c r="D645" s="94" t="str">
        <x:v>Авт. выключатель CHINT NXB-63 2P C10A, вторичная цепь 36V</x:v>
      </x:c>
      <x:c r="E645" s="95"/>
      <x:c r="F645" s="95"/>
      <x:c r="G645" s="95" t="str">
        <x:f>IF(OR(F645="",H645=""),"",F645*H645)</x:f>
      </x:c>
      <x:c r="H645" s="96" t="n">
        <x:v>1</x:v>
      </x:c>
      <x:c r="I645" s="94" t="str">
        <x:v> ШТ. </x:v>
      </x:c>
      <x:c r="J645" s="94" t="str">
        <x:v>CHINT</x:v>
      </x:c>
      <x:c r="K645" s="64" t="str">
        <x:v>B26</x:v>
      </x:c>
    </x:row>
    <x:row r="646">
      <x:c r="A646" s="64" t="str">
        <x:v>ЯТП-0,25-220/36 036УХЛ4</x:v>
      </x:c>
      <x:c r="B646" s="94" t="str">
        <x:v>rozetka</x:v>
      </x:c>
      <x:c r="C646" s="100" t="str">
        <x:v>KONTROL-SOCKET36</x:v>
      </x:c>
      <x:c r="D646" s="94" t="str">
        <x:v>Розетка 36V 16A, 2P+PE, IP44</x:v>
      </x:c>
      <x:c r="E646" s="95"/>
      <x:c r="F646" s="95"/>
      <x:c r="G646" s="95" t="str">
        <x:f>IF(OR(F646="",H646=""),"",F646*H646)</x:f>
      </x:c>
      <x:c r="H646" s="96" t="n">
        <x:v>1</x:v>
      </x:c>
      <x:c r="I646" s="94" t="str">
        <x:v> ШТ. </x:v>
      </x:c>
      <x:c r="J646" s="94" t="str">
        <x:v>EKT/IEK</x:v>
      </x:c>
      <x:c r="K646" s="64" t="str">
        <x:v>B26</x:v>
      </x:c>
    </x:row>
    <x:row r="647">
      <x:c r="A647" s="64" t="str">
        <x:v>ЯТП-0,25-220/36 036УХЛ4</x:v>
      </x:c>
      <x:c r="B647" s="94" t="str">
        <x:v>bara</x:v>
      </x:c>
      <x:c r="C647" s="100" t="str">
        <x:v>KONTROL-N</x:v>
      </x:c>
      <x:c r="D647" s="94" t="str">
        <x:v>Шина N изолированная, не менее 12 присоединений</x:v>
      </x:c>
      <x:c r="E647" s="95"/>
      <x:c r="F647" s="95"/>
      <x:c r="G647" s="95" t="str">
        <x:f>IF(OR(F647="",H647=""),"",F647*H647)</x:f>
      </x:c>
      <x:c r="H647" s="96" t="n">
        <x:v>1</x:v>
      </x:c>
      <x:c r="I647" s="94" t="str">
        <x:v> ШТ. </x:v>
      </x:c>
      <x:c r="J647" s="94" t="str">
        <x:v>EKT/Klemsan</x:v>
      </x:c>
      <x:c r="K647" s="64" t="str">
        <x:v>B26</x:v>
      </x:c>
    </x:row>
    <x:row r="648">
      <x:c r="A648" s="64" t="str">
        <x:v>ЯТП-0,25-220/36 036УХЛ4</x:v>
      </x:c>
      <x:c r="B648" s="94" t="str">
        <x:v>bara</x:v>
      </x:c>
      <x:c r="C648" s="100" t="str">
        <x:v>KONTROL-PE</x:v>
      </x:c>
      <x:c r="D648" s="94" t="str">
        <x:v>Шина PE медная, не менее 12 присоединений</x:v>
      </x:c>
      <x:c r="E648" s="95"/>
      <x:c r="F648" s="95"/>
      <x:c r="G648" s="95" t="str">
        <x:f>IF(OR(F648="",H648=""),"",F648*H648)</x:f>
      </x:c>
      <x:c r="H648" s="96" t="n">
        <x:v>1</x:v>
      </x:c>
      <x:c r="I648" s="94" t="str">
        <x:v> ШТ. </x:v>
      </x:c>
      <x:c r="J648" s="94" t="str">
        <x:v>EKT/Klemsan</x:v>
      </x:c>
      <x:c r="K648" s="64" t="str">
        <x:v>B26</x:v>
      </x:c>
    </x:row>
    <x:row r="649">
      <x:c r="A649" s="64" t="str">
        <x:v>ЯТП-0,25-220/36 036УХЛ4</x:v>
      </x:c>
      <x:c r="B649" s="94" t="str">
        <x:v>din</x:v>
      </x:c>
      <x:c r="C649" s="100" t="str">
        <x:v>KONTROL-DIN</x:v>
      </x:c>
      <x:c r="D649" s="94" t="str">
        <x:v>DIN рейка 35 мм, оцинкованная, комплект по габариту</x:v>
      </x:c>
      <x:c r="E649" s="95"/>
      <x:c r="F649" s="95"/>
      <x:c r="G649" s="95" t="str">
        <x:f>IF(OR(F649="",H649=""),"",F649*H649)</x:f>
      </x:c>
      <x:c r="H649" s="96" t="n">
        <x:v>1</x:v>
      </x:c>
      <x:c r="I649" s="94" t="str">
        <x:v> ШТ. </x:v>
      </x:c>
      <x:c r="J649" s="94" t="str">
        <x:v>EKT</x:v>
      </x:c>
      <x:c r="K649" s="64" t="str">
        <x:v>B26</x:v>
      </x:c>
    </x:row>
    <x:row r="650">
      <x:c r="A650" s="64" t="str">
        <x:v>ЯТП-0,25-220/36 036УХЛ4</x:v>
      </x:c>
      <x:c r="B650" s="94" t="str">
        <x:v>kanal</x:v>
      </x:c>
      <x:c r="C650" s="100" t="str">
        <x:v>KONTROL-KK</x:v>
      </x:c>
      <x:c r="D650" s="94" t="str">
        <x:v>Кабельный канал перфорированный, комплект по габариту</x:v>
      </x:c>
      <x:c r="E650" s="95"/>
      <x:c r="F650" s="95"/>
      <x:c r="G650" s="95" t="str">
        <x:f>IF(OR(F650="",H650=""),"",F650*H650)</x:f>
      </x:c>
      <x:c r="H650" s="96" t="n">
        <x:v>1</x:v>
      </x:c>
      <x:c r="I650" s="94" t="str">
        <x:v> ШТ. </x:v>
      </x:c>
      <x:c r="J650" s="94" t="str">
        <x:v>ONKA/EKT</x:v>
      </x:c>
      <x:c r="K650" s="64" t="str">
        <x:v>B26</x:v>
      </x:c>
    </x:row>
    <x:row r="651">
      <x:c r="A651" s="64" t="str">
        <x:v>ЯТП-0,25-220/36 036УХЛ4</x:v>
      </x:c>
      <x:c r="B651" s="94" t="str">
        <x:v>klemens</x:v>
      </x:c>
      <x:c r="C651" s="100" t="str">
        <x:v>KONTROL-KL</x:v>
      </x:c>
      <x:c r="D651" s="94" t="str">
        <x:v>Клеммник 2,5-6 мм² (фаза/N/PE по схеме)</x:v>
      </x:c>
      <x:c r="E651" s="95"/>
      <x:c r="F651" s="95"/>
      <x:c r="G651" s="95" t="str">
        <x:f>IF(OR(F651="",H651=""),"",F651*H651)</x:f>
      </x:c>
      <x:c r="H651" s="96" t="n">
        <x:v>12</x:v>
      </x:c>
      <x:c r="I651" s="94" t="str">
        <x:v> ШТ. </x:v>
      </x:c>
      <x:c r="J651" s="94" t="str">
        <x:v>Klemsan/EKT</x:v>
      </x:c>
      <x:c r="K651" s="64" t="str">
        <x:v>B26</x:v>
      </x:c>
    </x:row>
    <x:row r="652">
      <x:c r="A652" s="64" t="str">
        <x:v>ЯТП-0,25-220/36 036УХЛ4</x:v>
      </x:c>
      <x:c r="B652" s="94" t="str">
        <x:v>kablo</x:v>
      </x:c>
      <x:c r="C652" s="100" t="str">
        <x:v>KONTROL-WIRE</x:v>
      </x:c>
      <x:c r="D652" s="94" t="str">
        <x:v>Внутренняя проводка Harmony + маркировка, комплект</x:v>
      </x:c>
      <x:c r="E652" s="95"/>
      <x:c r="F652" s="95"/>
      <x:c r="G652" s="95" t="str">
        <x:f>IF(OR(F652="",H652=""),"",F652*H652)</x:f>
      </x:c>
      <x:c r="H652" s="96" t="n">
        <x:v>1</x:v>
      </x:c>
      <x:c r="I652" s="94" t="str">
        <x:v> ШТ. </x:v>
      </x:c>
      <x:c r="J652" s="94" t="str">
        <x:v>Harmony</x:v>
      </x:c>
      <x:c r="K652" s="64" t="str">
        <x:v>B26</x:v>
      </x:c>
    </x:row>
    <x:row r="653">
      <x:c r="A653" s="64" t="str">
        <x:v>ЯТП-0,25-220/36 036УХЛ4</x:v>
      </x:c>
      <x:c r="B653" s="64" t="str">
        <x:v>монтажный материал</x:v>
      </x:c>
      <x:c r="C653" s="64" t="str">
        <x:v>монтажный материал</x:v>
      </x:c>
      <x:c r="D653" s="64" t="str">
        <x:v>Монтажный материал</x:v>
      </x:c>
      <x:c r="E653" s="83"/>
      <x:c r="F653" s="83"/>
      <x:c r="G653" s="83" t="str">
        <x:f>IF(OR(F653="",H653=""),"",F653*H653)</x:f>
      </x:c>
      <x:c r="H653" s="89" t="n">
        <x:v>1</x:v>
      </x:c>
      <x:c r="I653" s="64" t="str">
        <x:v>компл.</x:v>
      </x:c>
      <x:c r="J653" s="64" t="str">
        <x:v>TEKLED</x:v>
      </x:c>
      <x:c r="K653" s="64" t="str">
        <x:v>B26</x:v>
      </x:c>
    </x:row>
    <x:row r="654">
      <x:c r="A654" s="64" t="str">
        <x:v>ЯТП-0,25-220/36 036УХЛ4</x:v>
      </x:c>
      <x:c r="B654" s="64" t="str">
        <x:v>монтажные работы</x:v>
      </x:c>
      <x:c r="C654" s="64" t="str">
        <x:v>монтажные работы</x:v>
      </x:c>
      <x:c r="D654" s="64" t="str">
        <x:v>Монтажные работы</x:v>
      </x:c>
      <x:c r="E654" s="83"/>
      <x:c r="F654" s="83"/>
      <x:c r="G654" s="83" t="str">
        <x:f>IF(OR(F654="",H654=""),"",F654*H654)</x:f>
      </x:c>
      <x:c r="H654" s="89" t="n">
        <x:v>1</x:v>
      </x:c>
      <x:c r="I654" s="64" t="str">
        <x:v>компл.</x:v>
      </x:c>
      <x:c r="J654" s="64" t="str">
        <x:v>TEKLED</x:v>
      </x:c>
      <x:c r="K654" s="64" t="str">
        <x:v>B26</x:v>
      </x:c>
    </x:row>
    <x:row r="655">
      <x:c r="A655" s="76" t="str">
        <x:v>ЯТП-0,25-220/36 036УХЛ4</x:v>
      </x:c>
      <x:c r="B655" s="76"/>
      <x:c r="C655" s="76"/>
      <x:c r="D655" s="80" t="str">
        <x:v>ИТОГО на 1 комплект</x:v>
      </x:c>
      <x:c r="E655" s="84"/>
      <x:c r="F655" s="84"/>
      <x:c r="G655" s="84" t="n">
        <x:f>SUM(G642:G654)</x:f>
        <x:v>0</x:v>
      </x:c>
      <x:c r="H655" s="90"/>
      <x:c r="I655" s="76"/>
      <x:c r="J655" s="76"/>
      <x:c r="K655" s="76" t="str">
        <x:v>B26</x:v>
      </x:c>
    </x:row>
    <x:row r="656" ht="24" customHeight="1">
      <x:c r="A656" s="69" t="str">
        <x:v>Щ (В27)</x:v>
      </x:c>
      <x:c r="B656" s="69"/>
      <x:c r="C656" s="69"/>
      <x:c r="D656" s="69" t="str">
        <x:v>Щ (В27)</x:v>
      </x:c>
      <x:c r="E656" s="82"/>
      <x:c r="F656" s="82"/>
      <x:c r="G656" s="82"/>
      <x:c r="H656" s="88" t="n">
        <x:v>1</x:v>
      </x:c>
      <x:c r="I656" s="69" t="str">
        <x:v>комплект</x:v>
      </x:c>
      <x:c r="J656" s="69" t="str">
        <x:v>TEKLED/TEKSAN</x:v>
      </x:c>
      <x:c r="K656" s="69" t="str">
        <x:v>B27</x:v>
      </x:c>
    </x:row>
    <x:row r="657">
      <x:c r="A657" s="64" t="str">
        <x:v>Щ (В27)</x:v>
      </x:c>
      <x:c r="B657" s="64" t="str">
        <x:v>korpus</x:v>
      </x:c>
      <x:c r="C657" s="64" t="str">
        <x:v>714-15010</x:v>
      </x:c>
      <x:c r="D657" s="64" t="str">
        <x:v>Pano met.ShRn-24 b/o (398х312х120)S/U 36 IP31 (TS)</x:v>
      </x:c>
      <x:c r="E657" s="83" t="n">
        <x:v>13410</x:v>
      </x:c>
      <x:c r="F657" s="83" t="n">
        <x:v>8046</x:v>
      </x:c>
      <x:c r="G657" s="83" t="n">
        <x:f>IF(OR(F657="",H657=""),"",F657*H657)</x:f>
        <x:v>8046</x:v>
      </x:c>
      <x:c r="H657" s="89" t="n">
        <x:v>1</x:v>
      </x:c>
      <x:c r="I657" s="64" t="str">
        <x:v> ШТ. </x:v>
      </x:c>
      <x:c r="J657" s="64" t="str">
        <x:v>teksan f</x:v>
      </x:c>
      <x:c r="K657" s="64" t="str">
        <x:v>B27</x:v>
      </x:c>
    </x:row>
    <x:row r="658">
      <x:c r="A658" s="64" t="str">
        <x:v>Щ (В27)</x:v>
      </x:c>
      <x:c r="B658" s="64" t="str">
        <x:v>oto</x:v>
      </x:c>
      <x:c r="C658" s="64" t="str">
        <x:v>296827</x:v>
      </x:c>
      <x:c r="D658" s="64" t="str">
        <x:v>Авт. выкл. NXB-63S 3P 16А 4.5kA х-ка C (R)</x:v>
      </x:c>
      <x:c r="E658" s="83" t="n">
        <x:v>2337</x:v>
      </x:c>
      <x:c r="F658" s="83" t="n">
        <x:v>1402.2</x:v>
      </x:c>
      <x:c r="G658" s="83" t="n">
        <x:f>IF(OR(F658="",H658=""),"",F658*H658)</x:f>
        <x:v>4206.6</x:v>
      </x:c>
      <x:c r="H658" s="89" t="n">
        <x:v>3</x:v>
      </x:c>
      <x:c r="I658" s="64" t="str">
        <x:v> ШТ. </x:v>
      </x:c>
      <x:c r="J658" s="64" t="str">
        <x:v>chint</x:v>
      </x:c>
      <x:c r="K658" s="64" t="str">
        <x:v>B27</x:v>
      </x:c>
    </x:row>
    <x:row r="659">
      <x:c r="A659" s="64" t="str">
        <x:v>Щ (В27)</x:v>
      </x:c>
      <x:c r="B659" s="64" t="str">
        <x:v>oto</x:v>
      </x:c>
      <x:c r="C659" s="64" t="str">
        <x:v>814014</x:v>
      </x:c>
      <x:c r="D659" s="64" t="str">
        <x:v>Авт. выкл. NXB-63 1P 16A 6кА х-ка C (R)</x:v>
      </x:c>
      <x:c r="E659" s="83" t="n">
        <x:v>1389</x:v>
      </x:c>
      <x:c r="F659" s="83" t="n">
        <x:v>833.4</x:v>
      </x:c>
      <x:c r="G659" s="83" t="n">
        <x:f>IF(OR(F659="",H659=""),"",F659*H659)</x:f>
        <x:v>9167.4</x:v>
      </x:c>
      <x:c r="H659" s="89" t="n">
        <x:v>11</x:v>
      </x:c>
      <x:c r="I659" s="64" t="str">
        <x:v> ШТ. </x:v>
      </x:c>
      <x:c r="J659" s="64" t="str">
        <x:v>chint</x:v>
      </x:c>
      <x:c r="K659" s="64" t="str">
        <x:v>B27</x:v>
      </x:c>
    </x:row>
    <x:row r="660">
      <x:c r="A660" s="64" t="str">
        <x:v>Щ (В27)</x:v>
      </x:c>
      <x:c r="B660" s="94" t="str">
        <x:v>bara</x:v>
      </x:c>
      <x:c r="C660" s="100" t="str">
        <x:v>KONTROL-N</x:v>
      </x:c>
      <x:c r="D660" s="94" t="str">
        <x:v>Шина N изолированная, не менее 12 присоединений</x:v>
      </x:c>
      <x:c r="E660" s="95"/>
      <x:c r="F660" s="95"/>
      <x:c r="G660" s="95" t="str">
        <x:f>IF(OR(F660="",H660=""),"",F660*H660)</x:f>
      </x:c>
      <x:c r="H660" s="96" t="n">
        <x:v>1</x:v>
      </x:c>
      <x:c r="I660" s="94" t="str">
        <x:v> ШТ. </x:v>
      </x:c>
      <x:c r="J660" s="94" t="str">
        <x:v>EKT/Klemsan</x:v>
      </x:c>
      <x:c r="K660" s="64" t="str">
        <x:v>B27</x:v>
      </x:c>
    </x:row>
    <x:row r="661">
      <x:c r="A661" s="64" t="str">
        <x:v>Щ (В27)</x:v>
      </x:c>
      <x:c r="B661" s="94" t="str">
        <x:v>bara</x:v>
      </x:c>
      <x:c r="C661" s="100" t="str">
        <x:v>KONTROL-PE</x:v>
      </x:c>
      <x:c r="D661" s="94" t="str">
        <x:v>Шина PE медная, не менее 12 присоединений</x:v>
      </x:c>
      <x:c r="E661" s="95"/>
      <x:c r="F661" s="95"/>
      <x:c r="G661" s="95" t="str">
        <x:f>IF(OR(F661="",H661=""),"",F661*H661)</x:f>
      </x:c>
      <x:c r="H661" s="96" t="n">
        <x:v>1</x:v>
      </x:c>
      <x:c r="I661" s="94" t="str">
        <x:v> ШТ. </x:v>
      </x:c>
      <x:c r="J661" s="94" t="str">
        <x:v>EKT/Klemsan</x:v>
      </x:c>
      <x:c r="K661" s="64" t="str">
        <x:v>B27</x:v>
      </x:c>
    </x:row>
    <x:row r="662">
      <x:c r="A662" s="64" t="str">
        <x:v>Щ (В27)</x:v>
      </x:c>
      <x:c r="B662" s="94" t="str">
        <x:v>din</x:v>
      </x:c>
      <x:c r="C662" s="100" t="str">
        <x:v>KONTROL-DIN</x:v>
      </x:c>
      <x:c r="D662" s="94" t="str">
        <x:v>DIN рейка 35 мм, оцинкованная, комплект по габариту</x:v>
      </x:c>
      <x:c r="E662" s="95"/>
      <x:c r="F662" s="95"/>
      <x:c r="G662" s="95" t="str">
        <x:f>IF(OR(F662="",H662=""),"",F662*H662)</x:f>
      </x:c>
      <x:c r="H662" s="96" t="n">
        <x:v>1</x:v>
      </x:c>
      <x:c r="I662" s="94" t="str">
        <x:v> ШТ. </x:v>
      </x:c>
      <x:c r="J662" s="94" t="str">
        <x:v>EKT</x:v>
      </x:c>
      <x:c r="K662" s="64" t="str">
        <x:v>B27</x:v>
      </x:c>
    </x:row>
    <x:row r="663">
      <x:c r="A663" s="64" t="str">
        <x:v>Щ (В27)</x:v>
      </x:c>
      <x:c r="B663" s="94" t="str">
        <x:v>kanal</x:v>
      </x:c>
      <x:c r="C663" s="100" t="str">
        <x:v>KONTROL-KK</x:v>
      </x:c>
      <x:c r="D663" s="94" t="str">
        <x:v>Кабельный канал перфорированный, комплект по габариту</x:v>
      </x:c>
      <x:c r="E663" s="95"/>
      <x:c r="F663" s="95"/>
      <x:c r="G663" s="95" t="str">
        <x:f>IF(OR(F663="",H663=""),"",F663*H663)</x:f>
      </x:c>
      <x:c r="H663" s="96" t="n">
        <x:v>1</x:v>
      </x:c>
      <x:c r="I663" s="94" t="str">
        <x:v> ШТ. </x:v>
      </x:c>
      <x:c r="J663" s="94" t="str">
        <x:v>ONKA/EKT</x:v>
      </x:c>
      <x:c r="K663" s="64" t="str">
        <x:v>B27</x:v>
      </x:c>
    </x:row>
    <x:row r="664">
      <x:c r="A664" s="64" t="str">
        <x:v>Щ (В27)</x:v>
      </x:c>
      <x:c r="B664" s="94" t="str">
        <x:v>klemens</x:v>
      </x:c>
      <x:c r="C664" s="100" t="str">
        <x:v>KONTROL-KL</x:v>
      </x:c>
      <x:c r="D664" s="94" t="str">
        <x:v>Клеммник 2,5-6 мм² (фаза/N/PE по схеме)</x:v>
      </x:c>
      <x:c r="E664" s="95"/>
      <x:c r="F664" s="95"/>
      <x:c r="G664" s="95" t="str">
        <x:f>IF(OR(F664="",H664=""),"",F664*H664)</x:f>
      </x:c>
      <x:c r="H664" s="96" t="n">
        <x:v>33</x:v>
      </x:c>
      <x:c r="I664" s="94" t="str">
        <x:v> ШТ. </x:v>
      </x:c>
      <x:c r="J664" s="94" t="str">
        <x:v>Klemsan/EKT</x:v>
      </x:c>
      <x:c r="K664" s="64" t="str">
        <x:v>B27</x:v>
      </x:c>
    </x:row>
    <x:row r="665">
      <x:c r="A665" s="64" t="str">
        <x:v>Щ (В27)</x:v>
      </x:c>
      <x:c r="B665" s="94" t="str">
        <x:v>kablo</x:v>
      </x:c>
      <x:c r="C665" s="100" t="str">
        <x:v>KONTROL-WIRE</x:v>
      </x:c>
      <x:c r="D665" s="94" t="str">
        <x:v>Внутренняя проводка Harmony + маркировка, комплект</x:v>
      </x:c>
      <x:c r="E665" s="95"/>
      <x:c r="F665" s="95"/>
      <x:c r="G665" s="95" t="str">
        <x:f>IF(OR(F665="",H665=""),"",F665*H665)</x:f>
      </x:c>
      <x:c r="H665" s="96" t="n">
        <x:v>1</x:v>
      </x:c>
      <x:c r="I665" s="94" t="str">
        <x:v> ШТ. </x:v>
      </x:c>
      <x:c r="J665" s="94" t="str">
        <x:v>Harmony</x:v>
      </x:c>
      <x:c r="K665" s="64" t="str">
        <x:v>B27</x:v>
      </x:c>
    </x:row>
    <x:row r="666">
      <x:c r="A666" s="64" t="str">
        <x:v>Щ (В27)</x:v>
      </x:c>
      <x:c r="B666" s="64" t="str">
        <x:v>монтажный материал</x:v>
      </x:c>
      <x:c r="C666" s="64" t="str">
        <x:v>монтажный материал</x:v>
      </x:c>
      <x:c r="D666" s="64" t="str">
        <x:v>Монтажный материал</x:v>
      </x:c>
      <x:c r="E666" s="83"/>
      <x:c r="F666" s="83"/>
      <x:c r="G666" s="83" t="str">
        <x:f>IF(OR(F666="",H666=""),"",F666*H666)</x:f>
      </x:c>
      <x:c r="H666" s="89" t="n">
        <x:v>1</x:v>
      </x:c>
      <x:c r="I666" s="64" t="str">
        <x:v>компл.</x:v>
      </x:c>
      <x:c r="J666" s="64" t="str">
        <x:v>TEKLED</x:v>
      </x:c>
      <x:c r="K666" s="64" t="str">
        <x:v>B27</x:v>
      </x:c>
    </x:row>
    <x:row r="667">
      <x:c r="A667" s="64" t="str">
        <x:v>Щ (В27)</x:v>
      </x:c>
      <x:c r="B667" s="64" t="str">
        <x:v>монтажные работы</x:v>
      </x:c>
      <x:c r="C667" s="64" t="str">
        <x:v>монтажные работы</x:v>
      </x:c>
      <x:c r="D667" s="64" t="str">
        <x:v>Монтажные работы</x:v>
      </x:c>
      <x:c r="E667" s="83"/>
      <x:c r="F667" s="83"/>
      <x:c r="G667" s="83" t="str">
        <x:f>IF(OR(F667="",H667=""),"",F667*H667)</x:f>
      </x:c>
      <x:c r="H667" s="89" t="n">
        <x:v>1</x:v>
      </x:c>
      <x:c r="I667" s="64" t="str">
        <x:v>компл.</x:v>
      </x:c>
      <x:c r="J667" s="64" t="str">
        <x:v>TEKLED</x:v>
      </x:c>
      <x:c r="K667" s="64" t="str">
        <x:v>B27</x:v>
      </x:c>
    </x:row>
    <x:row r="668">
      <x:c r="A668" s="76" t="str">
        <x:v>Щ (В27)</x:v>
      </x:c>
      <x:c r="B668" s="76"/>
      <x:c r="C668" s="76"/>
      <x:c r="D668" s="80" t="str">
        <x:v>ИТОГО на 1 комплект</x:v>
      </x:c>
      <x:c r="E668" s="84"/>
      <x:c r="F668" s="84"/>
      <x:c r="G668" s="84" t="n">
        <x:f>SUM(G657:G667)</x:f>
        <x:v>21420</x:v>
      </x:c>
      <x:c r="H668" s="90"/>
      <x:c r="I668" s="76"/>
      <x:c r="J668" s="76"/>
      <x:c r="K668" s="76" t="str">
        <x:v>B27</x:v>
      </x:c>
    </x:row>
    <x:row r="669" ht="24" customHeight="1">
      <x:c r="A669" s="69" t="str">
        <x:v>ЩАП25 (В27)</x:v>
      </x:c>
      <x:c r="B669" s="69"/>
      <x:c r="C669" s="69"/>
      <x:c r="D669" s="69" t="str">
        <x:v>ЩАП25 (В27)</x:v>
      </x:c>
      <x:c r="E669" s="82"/>
      <x:c r="F669" s="82"/>
      <x:c r="G669" s="82"/>
      <x:c r="H669" s="88" t="n">
        <x:v>1</x:v>
      </x:c>
      <x:c r="I669" s="69" t="str">
        <x:v>комплект</x:v>
      </x:c>
      <x:c r="J669" s="69" t="str">
        <x:v>TEKLED/TEKSAN</x:v>
      </x:c>
      <x:c r="K669" s="69" t="str">
        <x:v>B27</x:v>
      </x:c>
    </x:row>
    <x:row r="670">
      <x:c r="A670" s="64" t="str">
        <x:v>ЩАП25 (В27)</x:v>
      </x:c>
      <x:c r="B670" s="94" t="str">
        <x:v>korpus</x:v>
      </x:c>
      <x:c r="C670" s="100" t="str">
        <x:v>KONTROL-KORPUS-ATS-500400220-IP54</x:v>
      </x:c>
      <x:c r="D670" s="94" t="str">
        <x:v>Корпус металлический 500x400x220 мм IP54, монтажная панель</x:v>
      </x:c>
      <x:c r="E670" s="95"/>
      <x:c r="F670" s="95"/>
      <x:c r="G670" s="95" t="str">
        <x:f>IF(OR(F670="",H670=""),"",F670*H670)</x:f>
      </x:c>
      <x:c r="H670" s="96" t="n">
        <x:v>1</x:v>
      </x:c>
      <x:c r="I670" s="94" t="str">
        <x:v> ШТ. </x:v>
      </x:c>
      <x:c r="J670" s="94" t="str">
        <x:v>TEKLED</x:v>
      </x:c>
      <x:c r="K670" s="64" t="str">
        <x:v>B27</x:v>
      </x:c>
    </x:row>
    <x:row r="671">
      <x:c r="A671" s="64" t="str">
        <x:v>ЩАП25 (В27)</x:v>
      </x:c>
      <x:c r="B671" s="64" t="str">
        <x:v>ats</x:v>
      </x:c>
      <x:c r="C671" s="64" t="str">
        <x:v>256775</x:v>
      </x:c>
      <x:c r="D671" s="64" t="str">
        <x:v>Устройство АВР CHINT NXZM-63S/4B 25A, 4P</x:v>
      </x:c>
      <x:c r="E671" s="83"/>
      <x:c r="F671" s="83"/>
      <x:c r="G671" s="83" t="str">
        <x:f>IF(OR(F671="",H671=""),"",F671*H671)</x:f>
      </x:c>
      <x:c r="H671" s="89" t="n">
        <x:v>1</x:v>
      </x:c>
      <x:c r="I671" s="64" t="str">
        <x:v> ШТ. </x:v>
      </x:c>
      <x:c r="J671" s="64" t="str">
        <x:v>CHINT</x:v>
      </x:c>
      <x:c r="K671" s="64" t="str">
        <x:v>B27</x:v>
      </x:c>
    </x:row>
    <x:row r="672">
      <x:c r="A672" s="64" t="str">
        <x:v>ЩАП25 (В27)</x:v>
      </x:c>
      <x:c r="B672" s="94" t="str">
        <x:v>oto</x:v>
      </x:c>
      <x:c r="C672" s="100" t="str">
        <x:v>KONTROL-MCB-1P-C6</x:v>
      </x:c>
      <x:c r="D672" s="94" t="str">
        <x:v>Авт. выключатель CHINT NXB-63 1P C6A, цепь управления</x:v>
      </x:c>
      <x:c r="E672" s="95"/>
      <x:c r="F672" s="95"/>
      <x:c r="G672" s="95" t="str">
        <x:f>IF(OR(F672="",H672=""),"",F672*H672)</x:f>
      </x:c>
      <x:c r="H672" s="96" t="n">
        <x:v>1</x:v>
      </x:c>
      <x:c r="I672" s="94" t="str">
        <x:v> ШТ. </x:v>
      </x:c>
      <x:c r="J672" s="94" t="str">
        <x:v>CHINT</x:v>
      </x:c>
      <x:c r="K672" s="64" t="str">
        <x:v>B27</x:v>
      </x:c>
    </x:row>
    <x:row r="673">
      <x:c r="A673" s="64" t="str">
        <x:v>ЩАП25 (В27)</x:v>
      </x:c>
      <x:c r="B673" s="64" t="str">
        <x:v>indicator</x:v>
      </x:c>
      <x:c r="C673" s="64" t="str">
        <x:v>593077</x:v>
      </x:c>
      <x:c r="D673" s="64" t="str">
        <x:v>Индикатор ND16-22D/2 зеленый AC/DC230В (R)</x:v>
      </x:c>
      <x:c r="E673" s="83" t="n">
        <x:v>589</x:v>
      </x:c>
      <x:c r="F673" s="83" t="n">
        <x:v>353.4</x:v>
      </x:c>
      <x:c r="G673" s="83" t="n">
        <x:f>IF(OR(F673="",H673=""),"",F673*H673)</x:f>
        <x:v>706.8</x:v>
      </x:c>
      <x:c r="H673" s="89" t="n">
        <x:v>2</x:v>
      </x:c>
      <x:c r="I673" s="64" t="str">
        <x:v> ШТ. </x:v>
      </x:c>
      <x:c r="J673" s="64" t="str">
        <x:v>chint</x:v>
      </x:c>
      <x:c r="K673" s="64" t="str">
        <x:v>B27</x:v>
      </x:c>
    </x:row>
    <x:row r="674">
      <x:c r="A674" s="64" t="str">
        <x:v>ЩАП25 (В27)</x:v>
      </x:c>
      <x:c r="B674" s="64" t="str">
        <x:v>indicator</x:v>
      </x:c>
      <x:c r="C674" s="64" t="str">
        <x:v>593076</x:v>
      </x:c>
      <x:c r="D674" s="64" t="str">
        <x:v>Индикатор ND16-22D/2 желтый AC/DC230В (R)</x:v>
      </x:c>
      <x:c r="E674" s="83" t="n">
        <x:v>571</x:v>
      </x:c>
      <x:c r="F674" s="83" t="n">
        <x:v>342.59999999999997</x:v>
      </x:c>
      <x:c r="G674" s="83" t="n">
        <x:f>IF(OR(F674="",H674=""),"",F674*H674)</x:f>
        <x:v>685.1999999999999</x:v>
      </x:c>
      <x:c r="H674" s="89" t="n">
        <x:v>2</x:v>
      </x:c>
      <x:c r="I674" s="64" t="str">
        <x:v> ШТ. </x:v>
      </x:c>
      <x:c r="J674" s="64" t="str">
        <x:v>chint</x:v>
      </x:c>
      <x:c r="K674" s="64" t="str">
        <x:v>B27</x:v>
      </x:c>
    </x:row>
    <x:row r="675">
      <x:c r="A675" s="64" t="str">
        <x:v>ЩАП25 (В27)</x:v>
      </x:c>
      <x:c r="B675" s="64" t="str">
        <x:v>indicator</x:v>
      </x:c>
      <x:c r="C675" s="64" t="str">
        <x:v>593075</x:v>
      </x:c>
      <x:c r="D675" s="64" t="str">
        <x:v>Индикатор ND16-22D/2 красный AC/DC230В (R)</x:v>
      </x:c>
      <x:c r="E675" s="83" t="n">
        <x:v>571</x:v>
      </x:c>
      <x:c r="F675" s="83" t="n">
        <x:v>342.59999999999997</x:v>
      </x:c>
      <x:c r="G675" s="83" t="n">
        <x:f>IF(OR(F675="",H675=""),"",F675*H675)</x:f>
        <x:v>685.1999999999999</x:v>
      </x:c>
      <x:c r="H675" s="89" t="n">
        <x:v>2</x:v>
      </x:c>
      <x:c r="I675" s="64" t="str">
        <x:v> ШТ. </x:v>
      </x:c>
      <x:c r="J675" s="64" t="str">
        <x:v>chint</x:v>
      </x:c>
      <x:c r="K675" s="64" t="str">
        <x:v>B27</x:v>
      </x:c>
    </x:row>
    <x:row r="676">
      <x:c r="A676" s="64" t="str">
        <x:v>ЩАП25 (В27)</x:v>
      </x:c>
      <x:c r="B676" s="94" t="str">
        <x:v>bara</x:v>
      </x:c>
      <x:c r="C676" s="100" t="str">
        <x:v>KONTROL-N</x:v>
      </x:c>
      <x:c r="D676" s="94" t="str">
        <x:v>Шина N изолированная, не менее 12 присоединений</x:v>
      </x:c>
      <x:c r="E676" s="95"/>
      <x:c r="F676" s="95"/>
      <x:c r="G676" s="95" t="str">
        <x:f>IF(OR(F676="",H676=""),"",F676*H676)</x:f>
      </x:c>
      <x:c r="H676" s="96" t="n">
        <x:v>1</x:v>
      </x:c>
      <x:c r="I676" s="94" t="str">
        <x:v> ШТ. </x:v>
      </x:c>
      <x:c r="J676" s="94" t="str">
        <x:v>EKT/Klemsan</x:v>
      </x:c>
      <x:c r="K676" s="64" t="str">
        <x:v>B27</x:v>
      </x:c>
    </x:row>
    <x:row r="677">
      <x:c r="A677" s="64" t="str">
        <x:v>ЩАП25 (В27)</x:v>
      </x:c>
      <x:c r="B677" s="94" t="str">
        <x:v>bara</x:v>
      </x:c>
      <x:c r="C677" s="100" t="str">
        <x:v>KONTROL-PE</x:v>
      </x:c>
      <x:c r="D677" s="94" t="str">
        <x:v>Шина PE медная, не менее 12 присоединений</x:v>
      </x:c>
      <x:c r="E677" s="95"/>
      <x:c r="F677" s="95"/>
      <x:c r="G677" s="95" t="str">
        <x:f>IF(OR(F677="",H677=""),"",F677*H677)</x:f>
      </x:c>
      <x:c r="H677" s="96" t="n">
        <x:v>1</x:v>
      </x:c>
      <x:c r="I677" s="94" t="str">
        <x:v> ШТ. </x:v>
      </x:c>
      <x:c r="J677" s="94" t="str">
        <x:v>EKT/Klemsan</x:v>
      </x:c>
      <x:c r="K677" s="64" t="str">
        <x:v>B27</x:v>
      </x:c>
    </x:row>
    <x:row r="678">
      <x:c r="A678" s="64" t="str">
        <x:v>ЩАП25 (В27)</x:v>
      </x:c>
      <x:c r="B678" s="94" t="str">
        <x:v>din</x:v>
      </x:c>
      <x:c r="C678" s="100" t="str">
        <x:v>KONTROL-DIN</x:v>
      </x:c>
      <x:c r="D678" s="94" t="str">
        <x:v>DIN рейка 35 мм, оцинкованная, комплект по габариту</x:v>
      </x:c>
      <x:c r="E678" s="95"/>
      <x:c r="F678" s="95"/>
      <x:c r="G678" s="95" t="str">
        <x:f>IF(OR(F678="",H678=""),"",F678*H678)</x:f>
      </x:c>
      <x:c r="H678" s="96" t="n">
        <x:v>1</x:v>
      </x:c>
      <x:c r="I678" s="94" t="str">
        <x:v> ШТ. </x:v>
      </x:c>
      <x:c r="J678" s="94" t="str">
        <x:v>EKT</x:v>
      </x:c>
      <x:c r="K678" s="64" t="str">
        <x:v>B27</x:v>
      </x:c>
    </x:row>
    <x:row r="679">
      <x:c r="A679" s="64" t="str">
        <x:v>ЩАП25 (В27)</x:v>
      </x:c>
      <x:c r="B679" s="94" t="str">
        <x:v>kanal</x:v>
      </x:c>
      <x:c r="C679" s="100" t="str">
        <x:v>KONTROL-KK</x:v>
      </x:c>
      <x:c r="D679" s="94" t="str">
        <x:v>Кабельный канал перфорированный, комплект по габариту</x:v>
      </x:c>
      <x:c r="E679" s="95"/>
      <x:c r="F679" s="95"/>
      <x:c r="G679" s="95" t="str">
        <x:f>IF(OR(F679="",H679=""),"",F679*H679)</x:f>
      </x:c>
      <x:c r="H679" s="96" t="n">
        <x:v>1</x:v>
      </x:c>
      <x:c r="I679" s="94" t="str">
        <x:v> ШТ. </x:v>
      </x:c>
      <x:c r="J679" s="94" t="str">
        <x:v>ONKA/EKT</x:v>
      </x:c>
      <x:c r="K679" s="64" t="str">
        <x:v>B27</x:v>
      </x:c>
    </x:row>
    <x:row r="680">
      <x:c r="A680" s="64" t="str">
        <x:v>ЩАП25 (В27)</x:v>
      </x:c>
      <x:c r="B680" s="94" t="str">
        <x:v>klemens</x:v>
      </x:c>
      <x:c r="C680" s="100" t="str">
        <x:v>KONTROL-KL</x:v>
      </x:c>
      <x:c r="D680" s="94" t="str">
        <x:v>Клеммник 2,5-6 мм² (фаза/N/PE по схеме)</x:v>
      </x:c>
      <x:c r="E680" s="95"/>
      <x:c r="F680" s="95"/>
      <x:c r="G680" s="95" t="str">
        <x:f>IF(OR(F680="",H680=""),"",F680*H680)</x:f>
      </x:c>
      <x:c r="H680" s="96" t="n">
        <x:v>20</x:v>
      </x:c>
      <x:c r="I680" s="94" t="str">
        <x:v> ШТ. </x:v>
      </x:c>
      <x:c r="J680" s="94" t="str">
        <x:v>Klemsan/EKT</x:v>
      </x:c>
      <x:c r="K680" s="64" t="str">
        <x:v>B27</x:v>
      </x:c>
    </x:row>
    <x:row r="681">
      <x:c r="A681" s="64" t="str">
        <x:v>ЩАП25 (В27)</x:v>
      </x:c>
      <x:c r="B681" s="94" t="str">
        <x:v>kablo</x:v>
      </x:c>
      <x:c r="C681" s="100" t="str">
        <x:v>KONTROL-WIRE</x:v>
      </x:c>
      <x:c r="D681" s="94" t="str">
        <x:v>Внутренняя проводка Harmony + маркировка, комплект</x:v>
      </x:c>
      <x:c r="E681" s="95"/>
      <x:c r="F681" s="95"/>
      <x:c r="G681" s="95" t="str">
        <x:f>IF(OR(F681="",H681=""),"",F681*H681)</x:f>
      </x:c>
      <x:c r="H681" s="96" t="n">
        <x:v>1</x:v>
      </x:c>
      <x:c r="I681" s="94" t="str">
        <x:v> ШТ. </x:v>
      </x:c>
      <x:c r="J681" s="94" t="str">
        <x:v>Harmony</x:v>
      </x:c>
      <x:c r="K681" s="64" t="str">
        <x:v>B27</x:v>
      </x:c>
    </x:row>
    <x:row r="682">
      <x:c r="A682" s="64" t="str">
        <x:v>ЩАП25 (В27)</x:v>
      </x:c>
      <x:c r="B682" s="64" t="str">
        <x:v>монтажный материал</x:v>
      </x:c>
      <x:c r="C682" s="64" t="str">
        <x:v>монтажный материал</x:v>
      </x:c>
      <x:c r="D682" s="64" t="str">
        <x:v>Монтажный материал</x:v>
      </x:c>
      <x:c r="E682" s="83"/>
      <x:c r="F682" s="83"/>
      <x:c r="G682" s="83" t="str">
        <x:f>IF(OR(F682="",H682=""),"",F682*H682)</x:f>
      </x:c>
      <x:c r="H682" s="89" t="n">
        <x:v>1</x:v>
      </x:c>
      <x:c r="I682" s="64" t="str">
        <x:v>компл.</x:v>
      </x:c>
      <x:c r="J682" s="64" t="str">
        <x:v>TEKLED</x:v>
      </x:c>
      <x:c r="K682" s="64" t="str">
        <x:v>B27</x:v>
      </x:c>
    </x:row>
    <x:row r="683">
      <x:c r="A683" s="64" t="str">
        <x:v>ЩАП25 (В27)</x:v>
      </x:c>
      <x:c r="B683" s="64" t="str">
        <x:v>монтажные работы</x:v>
      </x:c>
      <x:c r="C683" s="64" t="str">
        <x:v>монтажные работы</x:v>
      </x:c>
      <x:c r="D683" s="64" t="str">
        <x:v>Монтажные работы</x:v>
      </x:c>
      <x:c r="E683" s="83"/>
      <x:c r="F683" s="83"/>
      <x:c r="G683" s="83" t="str">
        <x:f>IF(OR(F683="",H683=""),"",F683*H683)</x:f>
      </x:c>
      <x:c r="H683" s="89" t="n">
        <x:v>1</x:v>
      </x:c>
      <x:c r="I683" s="64" t="str">
        <x:v>компл.</x:v>
      </x:c>
      <x:c r="J683" s="64" t="str">
        <x:v>TEKLED</x:v>
      </x:c>
      <x:c r="K683" s="64" t="str">
        <x:v>B27</x:v>
      </x:c>
    </x:row>
    <x:row r="684">
      <x:c r="A684" s="76" t="str">
        <x:v>ЩАП25 (В27)</x:v>
      </x:c>
      <x:c r="B684" s="76"/>
      <x:c r="C684" s="76"/>
      <x:c r="D684" s="80" t="str">
        <x:v>ИТОГО на 1 комплект</x:v>
      </x:c>
      <x:c r="E684" s="84"/>
      <x:c r="F684" s="84"/>
      <x:c r="G684" s="84" t="n">
        <x:f>SUM(G670:G683)</x:f>
        <x:v>2077.2</x:v>
      </x:c>
      <x:c r="H684" s="90"/>
      <x:c r="I684" s="76"/>
      <x:c r="J684" s="76"/>
      <x:c r="K684" s="76" t="str">
        <x:v>B27</x:v>
      </x:c>
    </x:row>
    <x:row r="685" ht="24" customHeight="1">
      <x:c r="A685" s="69" t="str">
        <x:v>ЯТП-0,25-220/36 036УХЛ4</x:v>
      </x:c>
      <x:c r="B685" s="69"/>
      <x:c r="C685" s="69"/>
      <x:c r="D685" s="69" t="str">
        <x:v>ЯТП-0,25-220/36 036УХЛ4</x:v>
      </x:c>
      <x:c r="E685" s="82"/>
      <x:c r="F685" s="82"/>
      <x:c r="G685" s="82"/>
      <x:c r="H685" s="88" t="n">
        <x:v>1</x:v>
      </x:c>
      <x:c r="I685" s="69" t="str">
        <x:v>комплект</x:v>
      </x:c>
      <x:c r="J685" s="69" t="str">
        <x:v>TEKLED/TEKSAN</x:v>
      </x:c>
      <x:c r="K685" s="69" t="str">
        <x:v>B27</x:v>
      </x:c>
    </x:row>
    <x:row r="686">
      <x:c r="A686" s="64" t="str">
        <x:v>ЯТП-0,25-220/36 036УХЛ4</x:v>
      </x:c>
      <x:c r="B686" s="94" t="str">
        <x:v>korpus</x:v>
      </x:c>
      <x:c r="C686" s="100" t="str">
        <x:v>KONTROL-KORPUS-YATP</x:v>
      </x:c>
      <x:c r="D686" s="94" t="str">
        <x:v>Корпус металлический 300x250x150 мм, IP54, монтажная панель</x:v>
      </x:c>
      <x:c r="E686" s="95"/>
      <x:c r="F686" s="95"/>
      <x:c r="G686" s="95" t="str">
        <x:f>IF(OR(F686="",H686=""),"",F686*H686)</x:f>
      </x:c>
      <x:c r="H686" s="96" t="n">
        <x:v>1</x:v>
      </x:c>
      <x:c r="I686" s="94" t="str">
        <x:v> ШТ. </x:v>
      </x:c>
      <x:c r="J686" s="94" t="str">
        <x:v>TEKSAN/TEKLED</x:v>
      </x:c>
      <x:c r="K686" s="64" t="str">
        <x:v>B27</x:v>
      </x:c>
    </x:row>
    <x:row r="687">
      <x:c r="A687" s="64" t="str">
        <x:v>ЯТП-0,25-220/36 036УХЛ4</x:v>
      </x:c>
      <x:c r="B687" s="94" t="str">
        <x:v>transformator</x:v>
      </x:c>
      <x:c r="C687" s="100" t="str">
        <x:v>KONTROL-NDK250</x:v>
      </x:c>
      <x:c r="D687" s="94" t="str">
        <x:v>Трансформатор CHINT NDK-250, 230/36V, 250VA</x:v>
      </x:c>
      <x:c r="E687" s="95"/>
      <x:c r="F687" s="95"/>
      <x:c r="G687" s="95" t="str">
        <x:f>IF(OR(F687="",H687=""),"",F687*H687)</x:f>
      </x:c>
      <x:c r="H687" s="96" t="n">
        <x:v>1</x:v>
      </x:c>
      <x:c r="I687" s="94" t="str">
        <x:v> ШТ. </x:v>
      </x:c>
      <x:c r="J687" s="94" t="str">
        <x:v>CHINT</x:v>
      </x:c>
      <x:c r="K687" s="64" t="str">
        <x:v>B27</x:v>
      </x:c>
    </x:row>
    <x:row r="688">
      <x:c r="A688" s="64" t="str">
        <x:v>ЯТП-0,25-220/36 036УХЛ4</x:v>
      </x:c>
      <x:c r="B688" s="94" t="str">
        <x:v>oto</x:v>
      </x:c>
      <x:c r="C688" s="100" t="str">
        <x:v>KONTROL-MCB-1P-C2</x:v>
      </x:c>
      <x:c r="D688" s="94" t="str">
        <x:v>Авт. выключатель CHINT NXB-63 1P C2A, первичная цепь</x:v>
      </x:c>
      <x:c r="E688" s="95"/>
      <x:c r="F688" s="95"/>
      <x:c r="G688" s="95" t="str">
        <x:f>IF(OR(F688="",H688=""),"",F688*H688)</x:f>
      </x:c>
      <x:c r="H688" s="96" t="n">
        <x:v>1</x:v>
      </x:c>
      <x:c r="I688" s="94" t="str">
        <x:v> ШТ. </x:v>
      </x:c>
      <x:c r="J688" s="94" t="str">
        <x:v>CHINT</x:v>
      </x:c>
      <x:c r="K688" s="64" t="str">
        <x:v>B27</x:v>
      </x:c>
    </x:row>
    <x:row r="689">
      <x:c r="A689" s="64" t="str">
        <x:v>ЯТП-0,25-220/36 036УХЛ4</x:v>
      </x:c>
      <x:c r="B689" s="94" t="str">
        <x:v>oto</x:v>
      </x:c>
      <x:c r="C689" s="100" t="str">
        <x:v>KONTROL-MCB-2P-C10</x:v>
      </x:c>
      <x:c r="D689" s="94" t="str">
        <x:v>Авт. выключатель CHINT NXB-63 2P C10A, вторичная цепь 36V</x:v>
      </x:c>
      <x:c r="E689" s="95"/>
      <x:c r="F689" s="95"/>
      <x:c r="G689" s="95" t="str">
        <x:f>IF(OR(F689="",H689=""),"",F689*H689)</x:f>
      </x:c>
      <x:c r="H689" s="96" t="n">
        <x:v>1</x:v>
      </x:c>
      <x:c r="I689" s="94" t="str">
        <x:v> ШТ. </x:v>
      </x:c>
      <x:c r="J689" s="94" t="str">
        <x:v>CHINT</x:v>
      </x:c>
      <x:c r="K689" s="64" t="str">
        <x:v>B27</x:v>
      </x:c>
    </x:row>
    <x:row r="690">
      <x:c r="A690" s="64" t="str">
        <x:v>ЯТП-0,25-220/36 036УХЛ4</x:v>
      </x:c>
      <x:c r="B690" s="94" t="str">
        <x:v>rozetka</x:v>
      </x:c>
      <x:c r="C690" s="100" t="str">
        <x:v>KONTROL-SOCKET36</x:v>
      </x:c>
      <x:c r="D690" s="94" t="str">
        <x:v>Розетка 36V 16A, 2P+PE, IP44</x:v>
      </x:c>
      <x:c r="E690" s="95"/>
      <x:c r="F690" s="95"/>
      <x:c r="G690" s="95" t="str">
        <x:f>IF(OR(F690="",H690=""),"",F690*H690)</x:f>
      </x:c>
      <x:c r="H690" s="96" t="n">
        <x:v>1</x:v>
      </x:c>
      <x:c r="I690" s="94" t="str">
        <x:v> ШТ. </x:v>
      </x:c>
      <x:c r="J690" s="94" t="str">
        <x:v>EKT/IEK</x:v>
      </x:c>
      <x:c r="K690" s="64" t="str">
        <x:v>B27</x:v>
      </x:c>
    </x:row>
    <x:row r="691">
      <x:c r="A691" s="64" t="str">
        <x:v>ЯТП-0,25-220/36 036УХЛ4</x:v>
      </x:c>
      <x:c r="B691" s="94" t="str">
        <x:v>bara</x:v>
      </x:c>
      <x:c r="C691" s="100" t="str">
        <x:v>KONTROL-N</x:v>
      </x:c>
      <x:c r="D691" s="94" t="str">
        <x:v>Шина N изолированная, не менее 12 присоединений</x:v>
      </x:c>
      <x:c r="E691" s="95"/>
      <x:c r="F691" s="95"/>
      <x:c r="G691" s="95" t="str">
        <x:f>IF(OR(F691="",H691=""),"",F691*H691)</x:f>
      </x:c>
      <x:c r="H691" s="96" t="n">
        <x:v>1</x:v>
      </x:c>
      <x:c r="I691" s="94" t="str">
        <x:v> ШТ. </x:v>
      </x:c>
      <x:c r="J691" s="94" t="str">
        <x:v>EKT/Klemsan</x:v>
      </x:c>
      <x:c r="K691" s="64" t="str">
        <x:v>B27</x:v>
      </x:c>
    </x:row>
    <x:row r="692">
      <x:c r="A692" s="64" t="str">
        <x:v>ЯТП-0,25-220/36 036УХЛ4</x:v>
      </x:c>
      <x:c r="B692" s="94" t="str">
        <x:v>bara</x:v>
      </x:c>
      <x:c r="C692" s="100" t="str">
        <x:v>KONTROL-PE</x:v>
      </x:c>
      <x:c r="D692" s="94" t="str">
        <x:v>Шина PE медная, не менее 12 присоединений</x:v>
      </x:c>
      <x:c r="E692" s="95"/>
      <x:c r="F692" s="95"/>
      <x:c r="G692" s="95" t="str">
        <x:f>IF(OR(F692="",H692=""),"",F692*H692)</x:f>
      </x:c>
      <x:c r="H692" s="96" t="n">
        <x:v>1</x:v>
      </x:c>
      <x:c r="I692" s="94" t="str">
        <x:v> ШТ. </x:v>
      </x:c>
      <x:c r="J692" s="94" t="str">
        <x:v>EKT/Klemsan</x:v>
      </x:c>
      <x:c r="K692" s="64" t="str">
        <x:v>B27</x:v>
      </x:c>
    </x:row>
    <x:row r="693">
      <x:c r="A693" s="64" t="str">
        <x:v>ЯТП-0,25-220/36 036УХЛ4</x:v>
      </x:c>
      <x:c r="B693" s="94" t="str">
        <x:v>din</x:v>
      </x:c>
      <x:c r="C693" s="100" t="str">
        <x:v>KONTROL-DIN</x:v>
      </x:c>
      <x:c r="D693" s="94" t="str">
        <x:v>DIN рейка 35 мм, оцинкованная, комплект по габариту</x:v>
      </x:c>
      <x:c r="E693" s="95"/>
      <x:c r="F693" s="95"/>
      <x:c r="G693" s="95" t="str">
        <x:f>IF(OR(F693="",H693=""),"",F693*H693)</x:f>
      </x:c>
      <x:c r="H693" s="96" t="n">
        <x:v>1</x:v>
      </x:c>
      <x:c r="I693" s="94" t="str">
        <x:v> ШТ. </x:v>
      </x:c>
      <x:c r="J693" s="94" t="str">
        <x:v>EKT</x:v>
      </x:c>
      <x:c r="K693" s="64" t="str">
        <x:v>B27</x:v>
      </x:c>
    </x:row>
    <x:row r="694">
      <x:c r="A694" s="64" t="str">
        <x:v>ЯТП-0,25-220/36 036УХЛ4</x:v>
      </x:c>
      <x:c r="B694" s="94" t="str">
        <x:v>kanal</x:v>
      </x:c>
      <x:c r="C694" s="100" t="str">
        <x:v>KONTROL-KK</x:v>
      </x:c>
      <x:c r="D694" s="94" t="str">
        <x:v>Кабельный канал перфорированный, комплект по габариту</x:v>
      </x:c>
      <x:c r="E694" s="95"/>
      <x:c r="F694" s="95"/>
      <x:c r="G694" s="95" t="str">
        <x:f>IF(OR(F694="",H694=""),"",F694*H694)</x:f>
      </x:c>
      <x:c r="H694" s="96" t="n">
        <x:v>1</x:v>
      </x:c>
      <x:c r="I694" s="94" t="str">
        <x:v> ШТ. </x:v>
      </x:c>
      <x:c r="J694" s="94" t="str">
        <x:v>ONKA/EKT</x:v>
      </x:c>
      <x:c r="K694" s="64" t="str">
        <x:v>B27</x:v>
      </x:c>
    </x:row>
    <x:row r="695">
      <x:c r="A695" s="64" t="str">
        <x:v>ЯТП-0,25-220/36 036УХЛ4</x:v>
      </x:c>
      <x:c r="B695" s="94" t="str">
        <x:v>klemens</x:v>
      </x:c>
      <x:c r="C695" s="100" t="str">
        <x:v>KONTROL-KL</x:v>
      </x:c>
      <x:c r="D695" s="94" t="str">
        <x:v>Клеммник 2,5-6 мм² (фаза/N/PE по схеме)</x:v>
      </x:c>
      <x:c r="E695" s="95"/>
      <x:c r="F695" s="95"/>
      <x:c r="G695" s="95" t="str">
        <x:f>IF(OR(F695="",H695=""),"",F695*H695)</x:f>
      </x:c>
      <x:c r="H695" s="96" t="n">
        <x:v>12</x:v>
      </x:c>
      <x:c r="I695" s="94" t="str">
        <x:v> ШТ. </x:v>
      </x:c>
      <x:c r="J695" s="94" t="str">
        <x:v>Klemsan/EKT</x:v>
      </x:c>
      <x:c r="K695" s="64" t="str">
        <x:v>B27</x:v>
      </x:c>
    </x:row>
    <x:row r="696">
      <x:c r="A696" s="64" t="str">
        <x:v>ЯТП-0,25-220/36 036УХЛ4</x:v>
      </x:c>
      <x:c r="B696" s="94" t="str">
        <x:v>kablo</x:v>
      </x:c>
      <x:c r="C696" s="100" t="str">
        <x:v>KONTROL-WIRE</x:v>
      </x:c>
      <x:c r="D696" s="94" t="str">
        <x:v>Внутренняя проводка Harmony + маркировка, комплект</x:v>
      </x:c>
      <x:c r="E696" s="95"/>
      <x:c r="F696" s="95"/>
      <x:c r="G696" s="95" t="str">
        <x:f>IF(OR(F696="",H696=""),"",F696*H696)</x:f>
      </x:c>
      <x:c r="H696" s="96" t="n">
        <x:v>1</x:v>
      </x:c>
      <x:c r="I696" s="94" t="str">
        <x:v> ШТ. </x:v>
      </x:c>
      <x:c r="J696" s="94" t="str">
        <x:v>Harmony</x:v>
      </x:c>
      <x:c r="K696" s="64" t="str">
        <x:v>B27</x:v>
      </x:c>
    </x:row>
    <x:row r="697">
      <x:c r="A697" s="64" t="str">
        <x:v>ЯТП-0,25-220/36 036УХЛ4</x:v>
      </x:c>
      <x:c r="B697" s="64" t="str">
        <x:v>монтажный материал</x:v>
      </x:c>
      <x:c r="C697" s="64" t="str">
        <x:v>монтажный материал</x:v>
      </x:c>
      <x:c r="D697" s="64" t="str">
        <x:v>Монтажный материал</x:v>
      </x:c>
      <x:c r="E697" s="83"/>
      <x:c r="F697" s="83"/>
      <x:c r="G697" s="83" t="str">
        <x:f>IF(OR(F697="",H697=""),"",F697*H697)</x:f>
      </x:c>
      <x:c r="H697" s="89" t="n">
        <x:v>1</x:v>
      </x:c>
      <x:c r="I697" s="64" t="str">
        <x:v>компл.</x:v>
      </x:c>
      <x:c r="J697" s="64" t="str">
        <x:v>TEKLED</x:v>
      </x:c>
      <x:c r="K697" s="64" t="str">
        <x:v>B27</x:v>
      </x:c>
    </x:row>
    <x:row r="698">
      <x:c r="A698" s="64" t="str">
        <x:v>ЯТП-0,25-220/36 036УХЛ4</x:v>
      </x:c>
      <x:c r="B698" s="64" t="str">
        <x:v>монтажные работы</x:v>
      </x:c>
      <x:c r="C698" s="64" t="str">
        <x:v>монтажные работы</x:v>
      </x:c>
      <x:c r="D698" s="64" t="str">
        <x:v>Монтажные работы</x:v>
      </x:c>
      <x:c r="E698" s="83"/>
      <x:c r="F698" s="83"/>
      <x:c r="G698" s="83" t="str">
        <x:f>IF(OR(F698="",H698=""),"",F698*H698)</x:f>
      </x:c>
      <x:c r="H698" s="89" t="n">
        <x:v>1</x:v>
      </x:c>
      <x:c r="I698" s="64" t="str">
        <x:v>компл.</x:v>
      </x:c>
      <x:c r="J698" s="64" t="str">
        <x:v>TEKLED</x:v>
      </x:c>
      <x:c r="K698" s="64" t="str">
        <x:v>B27</x:v>
      </x:c>
    </x:row>
    <x:row r="699">
      <x:c r="A699" s="76" t="str">
        <x:v>ЯТП-0,25-220/36 036УХЛ4</x:v>
      </x:c>
      <x:c r="B699" s="76"/>
      <x:c r="C699" s="76"/>
      <x:c r="D699" s="80" t="str">
        <x:v>ИТОГО на 1 комплект</x:v>
      </x:c>
      <x:c r="E699" s="84"/>
      <x:c r="F699" s="84"/>
      <x:c r="G699" s="84" t="n">
        <x:f>SUM(G686:G698)</x:f>
        <x:v>0</x:v>
      </x:c>
      <x:c r="H699" s="90"/>
      <x:c r="I699" s="76"/>
      <x:c r="J699" s="76"/>
      <x:c r="K699" s="76" t="str">
        <x:v>B27</x:v>
      </x:c>
    </x:row>
    <x:row r="700" ht="24" customHeight="1">
      <x:c r="A700" s="69" t="str">
        <x:v>Я511К-3074(В27)</x:v>
      </x:c>
      <x:c r="B700" s="69"/>
      <x:c r="C700" s="69"/>
      <x:c r="D700" s="69" t="str">
        <x:v>Я511К-3074(В27)</x:v>
      </x:c>
      <x:c r="E700" s="82"/>
      <x:c r="F700" s="82"/>
      <x:c r="G700" s="82"/>
      <x:c r="H700" s="88" t="n">
        <x:v>1</x:v>
      </x:c>
      <x:c r="I700" s="69" t="str">
        <x:v>комплект</x:v>
      </x:c>
      <x:c r="J700" s="69" t="str">
        <x:v>TEKLED/TEKSAN</x:v>
      </x:c>
      <x:c r="K700" s="69" t="str">
        <x:v>B27</x:v>
      </x:c>
    </x:row>
    <x:row r="701">
      <x:c r="A701" s="64" t="str">
        <x:v>Я511К-3074(В27)</x:v>
      </x:c>
      <x:c r="B701" s="64" t="str">
        <x:v>korpus</x:v>
      </x:c>
      <x:c r="C701" s="64" t="str">
        <x:v>719-15415</x:v>
      </x:c>
      <x:c r="D701" s="64" t="str">
        <x:v>Мет.Корпус ЩМП-1 (395х310х150) УХЛ3 IP31</x:v>
      </x:c>
      <x:c r="E701" s="83" t="n">
        <x:v>9110</x:v>
      </x:c>
      <x:c r="F701" s="83" t="n">
        <x:v>5466</x:v>
      </x:c>
      <x:c r="G701" s="83" t="n">
        <x:f>IF(OR(F701="",H701=""),"",F701*H701)</x:f>
        <x:v>5466</x:v>
      </x:c>
      <x:c r="H701" s="89" t="n">
        <x:v>1</x:v>
      </x:c>
      <x:c r="I701" s="64" t="str">
        <x:v> ШТ. </x:v>
      </x:c>
      <x:c r="J701" s="64" t="str">
        <x:v>teksan f</x:v>
      </x:c>
      <x:c r="K701" s="64" t="str">
        <x:v>B27</x:v>
      </x:c>
    </x:row>
    <x:row r="702">
      <x:c r="A702" s="64" t="str">
        <x:v>Я511К-3074(В27)</x:v>
      </x:c>
      <x:c r="B702" s="64" t="str">
        <x:v>oto</x:v>
      </x:c>
      <x:c r="C702" s="64" t="str">
        <x:v>296840</x:v>
      </x:c>
      <x:c r="D702" s="64" t="str">
        <x:v>Авт. выкл. NXB-63S 3P 16А 4.5kA х-ка D (R)</x:v>
      </x:c>
      <x:c r="E702" s="83" t="n">
        <x:v>3604</x:v>
      </x:c>
      <x:c r="F702" s="83" t="n">
        <x:v>2162.4</x:v>
      </x:c>
      <x:c r="G702" s="83" t="n">
        <x:f>IF(OR(F702="",H702=""),"",F702*H702)</x:f>
        <x:v>2162.4</x:v>
      </x:c>
      <x:c r="H702" s="89" t="n">
        <x:v>1</x:v>
      </x:c>
      <x:c r="I702" s="64" t="str">
        <x:v> ШТ. </x:v>
      </x:c>
      <x:c r="J702" s="64" t="str">
        <x:v>chint</x:v>
      </x:c>
      <x:c r="K702" s="64" t="str">
        <x:v>B27</x:v>
      </x:c>
    </x:row>
    <x:row r="703">
      <x:c r="A703" s="64" t="str">
        <x:v>Я511К-3074(В27)</x:v>
      </x:c>
      <x:c r="B703" s="64" t="str">
        <x:v>oto</x:v>
      </x:c>
      <x:c r="C703" s="64" t="str">
        <x:v>296704</x:v>
      </x:c>
      <x:c r="D703" s="64" t="str">
        <x:v>Авт. выкл. NXB-63S 1P C1А 4.5kA х-ка C (R)</x:v>
      </x:c>
      <x:c r="E703" s="83" t="n">
        <x:v>1086</x:v>
      </x:c>
      <x:c r="F703" s="83" t="n">
        <x:v>651.6</x:v>
      </x:c>
      <x:c r="G703" s="83" t="n">
        <x:f>IF(OR(F703="",H703=""),"",F703*H703)</x:f>
        <x:v>651.6</x:v>
      </x:c>
      <x:c r="H703" s="89" t="n">
        <x:v>1</x:v>
      </x:c>
      <x:c r="I703" s="64" t="str">
        <x:v> ШТ. </x:v>
      </x:c>
      <x:c r="J703" s="64" t="str">
        <x:v>chint</x:v>
      </x:c>
      <x:c r="K703" s="64" t="str">
        <x:v>B27</x:v>
      </x:c>
    </x:row>
    <x:row r="704">
      <x:c r="A704" s="64" t="str">
        <x:v>Я511К-3074(В27)</x:v>
      </x:c>
      <x:c r="B704" s="64" t="str">
        <x:v>button</x:v>
      </x:c>
      <x:c r="C704" s="64" t="str">
        <x:v>667113</x:v>
      </x:c>
      <x:c r="D704" s="64" t="str">
        <x:v>Кнопка управления NP8-11BN/3 без подсветки, зелёная 1НО+1НЗ IP65 (R)</x:v>
      </x:c>
      <x:c r="E704" s="83" t="n">
        <x:v>3769</x:v>
      </x:c>
      <x:c r="F704" s="83" t="n">
        <x:v>2261.4</x:v>
      </x:c>
      <x:c r="G704" s="83" t="n">
        <x:f>IF(OR(F704="",H704=""),"",F704*H704)</x:f>
        <x:v>2261.4</x:v>
      </x:c>
      <x:c r="H704" s="89" t="n">
        <x:v>1</x:v>
      </x:c>
      <x:c r="I704" s="64" t="str">
        <x:v> ШТ. </x:v>
      </x:c>
      <x:c r="J704" s="64" t="str">
        <x:v>chint</x:v>
      </x:c>
      <x:c r="K704" s="64" t="str">
        <x:v>B27</x:v>
      </x:c>
    </x:row>
    <x:row r="705">
      <x:c r="A705" s="64" t="str">
        <x:v>Я511К-3074(В27)</x:v>
      </x:c>
      <x:c r="B705" s="64" t="str">
        <x:v>button</x:v>
      </x:c>
      <x:c r="C705" s="64" t="str">
        <x:v>667114</x:v>
      </x:c>
      <x:c r="D705" s="64" t="str">
        <x:v>Кнопка управления NP8-11BN/4 без подсветки, красная 1НО+1НЗ IP65 (R)</x:v>
      </x:c>
      <x:c r="E705" s="83" t="n">
        <x:v>3769</x:v>
      </x:c>
      <x:c r="F705" s="83" t="n">
        <x:v>2261.4</x:v>
      </x:c>
      <x:c r="G705" s="83" t="n">
        <x:f>IF(OR(F705="",H705=""),"",F705*H705)</x:f>
        <x:v>2261.4</x:v>
      </x:c>
      <x:c r="H705" s="89" t="n">
        <x:v>1</x:v>
      </x:c>
      <x:c r="I705" s="64" t="str">
        <x:v> ШТ. </x:v>
      </x:c>
      <x:c r="J705" s="64" t="str">
        <x:v>chint</x:v>
      </x:c>
      <x:c r="K705" s="64" t="str">
        <x:v>B27</x:v>
      </x:c>
    </x:row>
    <x:row r="706">
      <x:c r="A706" s="64" t="str">
        <x:v>Я511К-3074(В27)</x:v>
      </x:c>
      <x:c r="B706" s="64" t="str">
        <x:v>indicator</x:v>
      </x:c>
      <x:c r="C706" s="64" t="str">
        <x:v>593075</x:v>
      </x:c>
      <x:c r="D706" s="64" t="str">
        <x:v>Индикатор ND16-22D/2 красный AC/DC230В (R)</x:v>
      </x:c>
      <x:c r="E706" s="83" t="n">
        <x:v>571</x:v>
      </x:c>
      <x:c r="F706" s="83" t="n">
        <x:v>342.59999999999997</x:v>
      </x:c>
      <x:c r="G706" s="83" t="n">
        <x:f>IF(OR(F706="",H706=""),"",F706*H706)</x:f>
        <x:v>342.59999999999997</x:v>
      </x:c>
      <x:c r="H706" s="89" t="n">
        <x:v>1</x:v>
      </x:c>
      <x:c r="I706" s="64" t="str">
        <x:v> ШТ. </x:v>
      </x:c>
      <x:c r="J706" s="64" t="str">
        <x:v>chint</x:v>
      </x:c>
      <x:c r="K706" s="64" t="str">
        <x:v>B27</x:v>
      </x:c>
    </x:row>
    <x:row r="707">
      <x:c r="A707" s="64" t="str">
        <x:v>Я511К-3074(В27)</x:v>
      </x:c>
      <x:c r="B707" s="64" t="str">
        <x:v>contactor</x:v>
      </x:c>
      <x:c r="C707" s="64" t="str">
        <x:v>836712</x:v>
      </x:c>
      <x:c r="D707" s="64" t="str">
        <x:v>Контактор NXC-12 12A 220В/АС3 1НО+1НЗ 50Гц (R)</x:v>
      </x:c>
      <x:c r="E707" s="83" t="n">
        <x:v>5341</x:v>
      </x:c>
      <x:c r="F707" s="83" t="n">
        <x:v>3204.6</x:v>
      </x:c>
      <x:c r="G707" s="83" t="n">
        <x:f>IF(OR(F707="",H707=""),"",F707*H707)</x:f>
        <x:v>3204.6</x:v>
      </x:c>
      <x:c r="H707" s="89" t="n">
        <x:v>1</x:v>
      </x:c>
      <x:c r="I707" s="64" t="str">
        <x:v> ШТ. </x:v>
      </x:c>
      <x:c r="J707" s="64" t="str">
        <x:v>chint</x:v>
      </x:c>
      <x:c r="K707" s="64" t="str">
        <x:v>B27</x:v>
      </x:c>
    </x:row>
    <x:row r="708">
      <x:c r="A708" s="64" t="str">
        <x:v>Я511К-3074(В27)</x:v>
      </x:c>
      <x:c r="B708" s="64" t="str">
        <x:v>contactor</x:v>
      </x:c>
      <x:c r="C708" s="64" t="str">
        <x:v>938256</x:v>
      </x:c>
      <x:c r="D708" s="64" t="str">
        <x:v>Приставка доп.контакты AX-3X/11 к контактору NXC-06~630 (R)</x:v>
      </x:c>
      <x:c r="E708" s="83" t="n">
        <x:v>1306</x:v>
      </x:c>
      <x:c r="F708" s="83" t="n">
        <x:v>783.6</x:v>
      </x:c>
      <x:c r="G708" s="83" t="n">
        <x:f>IF(OR(F708="",H708=""),"",F708*H708)</x:f>
        <x:v>783.6</x:v>
      </x:c>
      <x:c r="H708" s="89" t="n">
        <x:v>1</x:v>
      </x:c>
      <x:c r="I708" s="64" t="str">
        <x:v> ШТ. </x:v>
      </x:c>
      <x:c r="J708" s="64" t="str">
        <x:v>chint</x:v>
      </x:c>
      <x:c r="K708" s="64" t="str">
        <x:v>B27</x:v>
      </x:c>
    </x:row>
    <x:row r="709">
      <x:c r="A709" s="64" t="str">
        <x:v>Я511К-3074(В27)</x:v>
      </x:c>
      <x:c r="B709" s="64" t="str">
        <x:v>perekluchatel</x:v>
      </x:c>
      <x:c r="C709" s="64" t="str">
        <x:v>574858</x:v>
      </x:c>
      <x:c r="D709" s="64" t="str">
        <x:v>Переключатель NP2-BJ33, 3 положения с фиксацией, 2НО IP40</x:v>
      </x:c>
      <x:c r="E709" s="83" t="n">
        <x:v>1752</x:v>
      </x:c>
      <x:c r="F709" s="83" t="n">
        <x:v>1051.2</x:v>
      </x:c>
      <x:c r="G709" s="83" t="n">
        <x:f>IF(OR(F709="",H709=""),"",F709*H709)</x:f>
        <x:v>1051.2</x:v>
      </x:c>
      <x:c r="H709" s="89" t="n">
        <x:v>1</x:v>
      </x:c>
      <x:c r="I709" s="64" t="str">
        <x:v> ШТ. </x:v>
      </x:c>
      <x:c r="J709" s="64" t="str">
        <x:v>chint</x:v>
      </x:c>
      <x:c r="K709" s="64" t="str">
        <x:v>B27</x:v>
      </x:c>
    </x:row>
    <x:row r="710">
      <x:c r="A710" s="64" t="str">
        <x:v>Я511К-3074(В27)</x:v>
      </x:c>
      <x:c r="B710" s="64" t="str">
        <x:v>indicator</x:v>
      </x:c>
      <x:c r="C710" s="64" t="str">
        <x:v>593077</x:v>
      </x:c>
      <x:c r="D710" s="64" t="str">
        <x:v>Индикатор ND16-22D/2 зеленый AC/DC230В (R)</x:v>
      </x:c>
      <x:c r="E710" s="83" t="n">
        <x:v>589</x:v>
      </x:c>
      <x:c r="F710" s="83" t="n">
        <x:v>353.4</x:v>
      </x:c>
      <x:c r="G710" s="83" t="n">
        <x:f>IF(OR(F710="",H710=""),"",F710*H710)</x:f>
        <x:v>353.4</x:v>
      </x:c>
      <x:c r="H710" s="89" t="n">
        <x:v>1</x:v>
      </x:c>
      <x:c r="I710" s="64" t="str">
        <x:v> ШТ. </x:v>
      </x:c>
      <x:c r="J710" s="64" t="str">
        <x:v>chint</x:v>
      </x:c>
      <x:c r="K710" s="64" t="str">
        <x:v>B27</x:v>
      </x:c>
    </x:row>
    <x:row r="711">
      <x:c r="A711" s="64" t="str">
        <x:v>Я511К-3074(В27)</x:v>
      </x:c>
      <x:c r="B711" s="64" t="str">
        <x:v>rele</x:v>
      </x:c>
      <x:c r="C711" s="64" t="str">
        <x:v>837116</x:v>
      </x:c>
      <x:c r="D711" s="64" t="str">
        <x:v>Тепловое реле NXR-25 7-10A (R)</x:v>
      </x:c>
      <x:c r="E711" s="83" t="n">
        <x:v>4315</x:v>
      </x:c>
      <x:c r="F711" s="83" t="n">
        <x:v>2589</x:v>
      </x:c>
      <x:c r="G711" s="83" t="n">
        <x:f>IF(OR(F711="",H711=""),"",F711*H711)</x:f>
        <x:v>2589</x:v>
      </x:c>
      <x:c r="H711" s="89" t="n">
        <x:v>1</x:v>
      </x:c>
      <x:c r="I711" s="64" t="str">
        <x:v> ШТ. </x:v>
      </x:c>
      <x:c r="J711" s="64" t="str">
        <x:v>chint</x:v>
      </x:c>
      <x:c r="K711" s="64" t="str">
        <x:v>B27</x:v>
      </x:c>
    </x:row>
    <x:row r="712">
      <x:c r="A712" s="64" t="str">
        <x:v>Я511К-3074(В27)</x:v>
      </x:c>
      <x:c r="B712" s="64" t="str">
        <x:v>zajim</x:v>
      </x:c>
      <x:c r="C712" s="64" t="str">
        <x:v>130301152_</x:v>
      </x:c>
      <x:c r="D712" s="64" t="str">
        <x:v>ЗНИ  2.5мм ² (24А) серый  UNIT (100)</x:v>
      </x:c>
      <x:c r="E712" s="83" t="n">
        <x:v>91</x:v>
      </x:c>
      <x:c r="F712" s="83" t="n">
        <x:v>91</x:v>
      </x:c>
      <x:c r="G712" s="83" t="n">
        <x:f>IF(OR(F712="",H712=""),"",F712*H712)</x:f>
        <x:v>2093</x:v>
      </x:c>
      <x:c r="H712" s="89" t="n">
        <x:v>23</x:v>
      </x:c>
      <x:c r="I712" s="64" t="str">
        <x:v> ШТ. </x:v>
      </x:c>
      <x:c r="J712" s="64" t="str">
        <x:v>pys</x:v>
      </x:c>
      <x:c r="K712" s="64" t="str">
        <x:v>B27</x:v>
      </x:c>
    </x:row>
    <x:row r="713">
      <x:c r="A713" s="64" t="str">
        <x:v>Я511К-3074(В27)</x:v>
      </x:c>
      <x:c r="B713" s="94" t="str">
        <x:v>bara</x:v>
      </x:c>
      <x:c r="C713" s="100" t="str">
        <x:v>KONTROL-N</x:v>
      </x:c>
      <x:c r="D713" s="94" t="str">
        <x:v>Шина N изолированная, не менее 12 присоединений</x:v>
      </x:c>
      <x:c r="E713" s="95"/>
      <x:c r="F713" s="95"/>
      <x:c r="G713" s="95" t="str">
        <x:f>IF(OR(F713="",H713=""),"",F713*H713)</x:f>
      </x:c>
      <x:c r="H713" s="96" t="n">
        <x:v>1</x:v>
      </x:c>
      <x:c r="I713" s="94" t="str">
        <x:v> ШТ. </x:v>
      </x:c>
      <x:c r="J713" s="94" t="str">
        <x:v>EKT/Klemsan</x:v>
      </x:c>
      <x:c r="K713" s="64" t="str">
        <x:v>B27</x:v>
      </x:c>
    </x:row>
    <x:row r="714">
      <x:c r="A714" s="64" t="str">
        <x:v>Я511К-3074(В27)</x:v>
      </x:c>
      <x:c r="B714" s="94" t="str">
        <x:v>bara</x:v>
      </x:c>
      <x:c r="C714" s="100" t="str">
        <x:v>KONTROL-PE</x:v>
      </x:c>
      <x:c r="D714" s="94" t="str">
        <x:v>Шина PE медная, не менее 12 присоединений</x:v>
      </x:c>
      <x:c r="E714" s="95"/>
      <x:c r="F714" s="95"/>
      <x:c r="G714" s="95" t="str">
        <x:f>IF(OR(F714="",H714=""),"",F714*H714)</x:f>
      </x:c>
      <x:c r="H714" s="96" t="n">
        <x:v>1</x:v>
      </x:c>
      <x:c r="I714" s="94" t="str">
        <x:v> ШТ. </x:v>
      </x:c>
      <x:c r="J714" s="94" t="str">
        <x:v>EKT/Klemsan</x:v>
      </x:c>
      <x:c r="K714" s="64" t="str">
        <x:v>B27</x:v>
      </x:c>
    </x:row>
    <x:row r="715">
      <x:c r="A715" s="64" t="str">
        <x:v>Я511К-3074(В27)</x:v>
      </x:c>
      <x:c r="B715" s="94" t="str">
        <x:v>din</x:v>
      </x:c>
      <x:c r="C715" s="100" t="str">
        <x:v>KONTROL-DIN</x:v>
      </x:c>
      <x:c r="D715" s="94" t="str">
        <x:v>DIN рейка 35 мм, оцинкованная, комплект по габариту</x:v>
      </x:c>
      <x:c r="E715" s="95"/>
      <x:c r="F715" s="95"/>
      <x:c r="G715" s="95" t="str">
        <x:f>IF(OR(F715="",H715=""),"",F715*H715)</x:f>
      </x:c>
      <x:c r="H715" s="96" t="n">
        <x:v>1</x:v>
      </x:c>
      <x:c r="I715" s="94" t="str">
        <x:v> ШТ. </x:v>
      </x:c>
      <x:c r="J715" s="94" t="str">
        <x:v>EKT</x:v>
      </x:c>
      <x:c r="K715" s="64" t="str">
        <x:v>B27</x:v>
      </x:c>
    </x:row>
    <x:row r="716">
      <x:c r="A716" s="64" t="str">
        <x:v>Я511К-3074(В27)</x:v>
      </x:c>
      <x:c r="B716" s="94" t="str">
        <x:v>kanal</x:v>
      </x:c>
      <x:c r="C716" s="100" t="str">
        <x:v>KONTROL-KK</x:v>
      </x:c>
      <x:c r="D716" s="94" t="str">
        <x:v>Кабельный канал перфорированный, комплект по габариту</x:v>
      </x:c>
      <x:c r="E716" s="95"/>
      <x:c r="F716" s="95"/>
      <x:c r="G716" s="95" t="str">
        <x:f>IF(OR(F716="",H716=""),"",F716*H716)</x:f>
      </x:c>
      <x:c r="H716" s="96" t="n">
        <x:v>1</x:v>
      </x:c>
      <x:c r="I716" s="94" t="str">
        <x:v> ШТ. </x:v>
      </x:c>
      <x:c r="J716" s="94" t="str">
        <x:v>ONKA/EKT</x:v>
      </x:c>
      <x:c r="K716" s="64" t="str">
        <x:v>B27</x:v>
      </x:c>
    </x:row>
    <x:row r="717">
      <x:c r="A717" s="64" t="str">
        <x:v>Я511К-3074(В27)</x:v>
      </x:c>
      <x:c r="B717" s="94" t="str">
        <x:v>klemens</x:v>
      </x:c>
      <x:c r="C717" s="100" t="str">
        <x:v>KONTROL-KL</x:v>
      </x:c>
      <x:c r="D717" s="94" t="str">
        <x:v>Клеммник 2,5-6 мм² (фаза/N/PE по схеме)</x:v>
      </x:c>
      <x:c r="E717" s="95"/>
      <x:c r="F717" s="95"/>
      <x:c r="G717" s="95" t="str">
        <x:f>IF(OR(F717="",H717=""),"",F717*H717)</x:f>
      </x:c>
      <x:c r="H717" s="96" t="n">
        <x:v>75</x:v>
      </x:c>
      <x:c r="I717" s="94" t="str">
        <x:v> ШТ. </x:v>
      </x:c>
      <x:c r="J717" s="94" t="str">
        <x:v>Klemsan/EKT</x:v>
      </x:c>
      <x:c r="K717" s="64" t="str">
        <x:v>B27</x:v>
      </x:c>
    </x:row>
    <x:row r="718">
      <x:c r="A718" s="64" t="str">
        <x:v>Я511К-3074(В27)</x:v>
      </x:c>
      <x:c r="B718" s="94" t="str">
        <x:v>kablo</x:v>
      </x:c>
      <x:c r="C718" s="100" t="str">
        <x:v>KONTROL-WIRE</x:v>
      </x:c>
      <x:c r="D718" s="94" t="str">
        <x:v>Внутренняя проводка Harmony + маркировка, комплект</x:v>
      </x:c>
      <x:c r="E718" s="95"/>
      <x:c r="F718" s="95"/>
      <x:c r="G718" s="95" t="str">
        <x:f>IF(OR(F718="",H718=""),"",F718*H718)</x:f>
      </x:c>
      <x:c r="H718" s="96" t="n">
        <x:v>1</x:v>
      </x:c>
      <x:c r="I718" s="94" t="str">
        <x:v> ШТ. </x:v>
      </x:c>
      <x:c r="J718" s="94" t="str">
        <x:v>Harmony</x:v>
      </x:c>
      <x:c r="K718" s="64" t="str">
        <x:v>B27</x:v>
      </x:c>
    </x:row>
    <x:row r="719">
      <x:c r="A719" s="64" t="str">
        <x:v>Я511К-3074(В27)</x:v>
      </x:c>
      <x:c r="B719" s="64" t="str">
        <x:v>монтажный материал</x:v>
      </x:c>
      <x:c r="C719" s="64" t="str">
        <x:v>монтажный материал</x:v>
      </x:c>
      <x:c r="D719" s="64" t="str">
        <x:v>Монтажный материал</x:v>
      </x:c>
      <x:c r="E719" s="83"/>
      <x:c r="F719" s="83"/>
      <x:c r="G719" s="83" t="str">
        <x:f>IF(OR(F719="",H719=""),"",F719*H719)</x:f>
      </x:c>
      <x:c r="H719" s="89" t="n">
        <x:v>1</x:v>
      </x:c>
      <x:c r="I719" s="64" t="str">
        <x:v>компл.</x:v>
      </x:c>
      <x:c r="J719" s="64" t="str">
        <x:v>TEKLED</x:v>
      </x:c>
      <x:c r="K719" s="64" t="str">
        <x:v>B27</x:v>
      </x:c>
    </x:row>
    <x:row r="720">
      <x:c r="A720" s="64" t="str">
        <x:v>Я511К-3074(В27)</x:v>
      </x:c>
      <x:c r="B720" s="64" t="str">
        <x:v>монтажные работы</x:v>
      </x:c>
      <x:c r="C720" s="64" t="str">
        <x:v>монтажные работы</x:v>
      </x:c>
      <x:c r="D720" s="64" t="str">
        <x:v>Монтажные работы</x:v>
      </x:c>
      <x:c r="E720" s="83"/>
      <x:c r="F720" s="83"/>
      <x:c r="G720" s="83" t="str">
        <x:f>IF(OR(F720="",H720=""),"",F720*H720)</x:f>
      </x:c>
      <x:c r="H720" s="89" t="n">
        <x:v>1</x:v>
      </x:c>
      <x:c r="I720" s="64" t="str">
        <x:v>компл.</x:v>
      </x:c>
      <x:c r="J720" s="64" t="str">
        <x:v>TEKLED</x:v>
      </x:c>
      <x:c r="K720" s="64" t="str">
        <x:v>B27</x:v>
      </x:c>
    </x:row>
    <x:row r="721">
      <x:c r="A721" s="76" t="str">
        <x:v>Я511К-3074(В27)</x:v>
      </x:c>
      <x:c r="B721" s="76"/>
      <x:c r="C721" s="76"/>
      <x:c r="D721" s="80" t="str">
        <x:v>ИТОГО на 1 комплект</x:v>
      </x:c>
      <x:c r="E721" s="84"/>
      <x:c r="F721" s="84"/>
      <x:c r="G721" s="84" t="n">
        <x:f>SUM(G701:G720)</x:f>
        <x:v>23220.2</x:v>
      </x:c>
      <x:c r="H721" s="90"/>
      <x:c r="I721" s="76"/>
      <x:c r="J721" s="76"/>
      <x:c r="K721" s="76" t="str">
        <x:v>B27</x:v>
      </x:c>
    </x:row>
    <x:row r="722" ht="24" customHeight="1">
      <x:c r="A722" s="69" t="str">
        <x:v>РП (В28)</x:v>
      </x:c>
      <x:c r="B722" s="69"/>
      <x:c r="C722" s="69"/>
      <x:c r="D722" s="69" t="str">
        <x:v>РП (В28)</x:v>
      </x:c>
      <x:c r="E722" s="82"/>
      <x:c r="F722" s="82"/>
      <x:c r="G722" s="82"/>
      <x:c r="H722" s="88" t="n">
        <x:v>1</x:v>
      </x:c>
      <x:c r="I722" s="69" t="str">
        <x:v>комплект</x:v>
      </x:c>
      <x:c r="J722" s="69" t="str">
        <x:v>TEKLED/TEKSAN</x:v>
      </x:c>
      <x:c r="K722" s="69" t="str">
        <x:v>B28</x:v>
      </x:c>
    </x:row>
    <x:row r="723">
      <x:c r="A723" s="64" t="str">
        <x:v>РП (В28)</x:v>
      </x:c>
      <x:c r="B723" s="64" t="str">
        <x:v>korpus</x:v>
      </x:c>
      <x:c r="C723" s="64" t="str">
        <x:v>714-15010</x:v>
      </x:c>
      <x:c r="D723" s="64" t="str">
        <x:v>Pano met.ShRn-24 b/o (398х312х120)S/U 36 IP31 (TS)</x:v>
      </x:c>
      <x:c r="E723" s="83" t="n">
        <x:v>13410</x:v>
      </x:c>
      <x:c r="F723" s="83" t="n">
        <x:v>8046</x:v>
      </x:c>
      <x:c r="G723" s="83" t="n">
        <x:f>IF(OR(F723="",H723=""),"",F723*H723)</x:f>
        <x:v>8046</x:v>
      </x:c>
      <x:c r="H723" s="89" t="n">
        <x:v>1</x:v>
      </x:c>
      <x:c r="I723" s="64" t="str">
        <x:v> ШТ. </x:v>
      </x:c>
      <x:c r="J723" s="64" t="str">
        <x:v>teksan f</x:v>
      </x:c>
      <x:c r="K723" s="64" t="str">
        <x:v>B28</x:v>
      </x:c>
    </x:row>
    <x:row r="724">
      <x:c r="A724" s="64" t="str">
        <x:v>РП (В28)</x:v>
      </x:c>
      <x:c r="B724" s="64" t="str">
        <x:v>oto</x:v>
      </x:c>
      <x:c r="C724" s="64" t="str">
        <x:v>296830</x:v>
      </x:c>
      <x:c r="D724" s="64" t="str">
        <x:v>Авт. выкл. NXB-63S 3P 32А 4.5kA х-ка C (R)</x:v>
      </x:c>
      <x:c r="E724" s="83" t="n">
        <x:v>2606</x:v>
      </x:c>
      <x:c r="F724" s="83" t="n">
        <x:v>1563.6</x:v>
      </x:c>
      <x:c r="G724" s="83" t="n">
        <x:f>IF(OR(F724="",H724=""),"",F724*H724)</x:f>
        <x:v>1563.6</x:v>
      </x:c>
      <x:c r="H724" s="89" t="n">
        <x:v>1</x:v>
      </x:c>
      <x:c r="I724" s="64" t="str">
        <x:v> ШТ. </x:v>
      </x:c>
      <x:c r="J724" s="64" t="str">
        <x:v>chint</x:v>
      </x:c>
      <x:c r="K724" s="64" t="str">
        <x:v>B28</x:v>
      </x:c>
    </x:row>
    <x:row r="725">
      <x:c r="A725" s="64" t="str">
        <x:v>РП (В28)</x:v>
      </x:c>
      <x:c r="B725" s="64" t="str">
        <x:v>oto</x:v>
      </x:c>
      <x:c r="C725" s="64" t="str">
        <x:v>296829</x:v>
      </x:c>
      <x:c r="D725" s="64" t="str">
        <x:v>Авт. выкл. NXB-63S 3P 25А 4.5kA х-ка C (R)</x:v>
      </x:c>
      <x:c r="E725" s="83" t="n">
        <x:v>2429</x:v>
      </x:c>
      <x:c r="F725" s="83" t="n">
        <x:v>1457.3999999999999</x:v>
      </x:c>
      <x:c r="G725" s="83" t="n">
        <x:f>IF(OR(F725="",H725=""),"",F725*H725)</x:f>
        <x:v>2914.7999999999997</x:v>
      </x:c>
      <x:c r="H725" s="89" t="n">
        <x:v>2</x:v>
      </x:c>
      <x:c r="I725" s="64" t="str">
        <x:v> ШТ. </x:v>
      </x:c>
      <x:c r="J725" s="64" t="str">
        <x:v>chint</x:v>
      </x:c>
      <x:c r="K725" s="64" t="str">
        <x:v>B28</x:v>
      </x:c>
    </x:row>
    <x:row r="726">
      <x:c r="A726" s="64" t="str">
        <x:v>РП (В28)</x:v>
      </x:c>
      <x:c r="B726" s="64" t="str">
        <x:v>oto</x:v>
      </x:c>
      <x:c r="C726" s="64" t="str">
        <x:v>296827</x:v>
      </x:c>
      <x:c r="D726" s="64" t="str">
        <x:v>Авт. выкл. NXB-63S 3P 16А 4.5kA х-ка C (R)</x:v>
      </x:c>
      <x:c r="E726" s="83" t="n">
        <x:v>2337</x:v>
      </x:c>
      <x:c r="F726" s="83" t="n">
        <x:v>1402.2</x:v>
      </x:c>
      <x:c r="G726" s="83" t="n">
        <x:f>IF(OR(F726="",H726=""),"",F726*H726)</x:f>
        <x:v>1402.2</x:v>
      </x:c>
      <x:c r="H726" s="89" t="n">
        <x:v>1</x:v>
      </x:c>
      <x:c r="I726" s="64" t="str">
        <x:v> ШТ. </x:v>
      </x:c>
      <x:c r="J726" s="64" t="str">
        <x:v>chint</x:v>
      </x:c>
      <x:c r="K726" s="64" t="str">
        <x:v>B28</x:v>
      </x:c>
    </x:row>
    <x:row r="727">
      <x:c r="A727" s="64" t="str">
        <x:v>РП (В28)</x:v>
      </x:c>
      <x:c r="B727" s="64" t="str">
        <x:v>oto</x:v>
      </x:c>
      <x:c r="C727" s="64" t="str">
        <x:v>814014</x:v>
      </x:c>
      <x:c r="D727" s="64" t="str">
        <x:v>Авт. выкл. NXB-63 1P 16A 6кА х-ка C (R)</x:v>
      </x:c>
      <x:c r="E727" s="83" t="n">
        <x:v>1389</x:v>
      </x:c>
      <x:c r="F727" s="83" t="n">
        <x:v>833.4</x:v>
      </x:c>
      <x:c r="G727" s="83" t="n">
        <x:f>IF(OR(F727="",H727=""),"",F727*H727)</x:f>
        <x:v>3333.6</x:v>
      </x:c>
      <x:c r="H727" s="89" t="n">
        <x:v>4</x:v>
      </x:c>
      <x:c r="I727" s="64" t="str">
        <x:v> ШТ. </x:v>
      </x:c>
      <x:c r="J727" s="64" t="str">
        <x:v>chint</x:v>
      </x:c>
      <x:c r="K727" s="64" t="str">
        <x:v>B28</x:v>
      </x:c>
    </x:row>
    <x:row r="728">
      <x:c r="A728" s="64" t="str">
        <x:v>РП (В28)</x:v>
      </x:c>
      <x:c r="B728" s="64" t="str">
        <x:v>dif</x:v>
      </x:c>
      <x:c r="C728" s="64" t="str">
        <x:v>105542</x:v>
      </x:c>
      <x:c r="D728" s="64" t="str">
        <x:v>Диф. авт. выкл. NXBLE-63Y 1P+N 16А 30mA электронный тип AС, х-ка С, 4.5kA (R)</x:v>
      </x:c>
      <x:c r="E728" s="83" t="n">
        <x:v>5093</x:v>
      </x:c>
      <x:c r="F728" s="83" t="n">
        <x:v>3055.7999999999997</x:v>
      </x:c>
      <x:c r="G728" s="83" t="n">
        <x:f>IF(OR(F728="",H728=""),"",F728*H728)</x:f>
        <x:v>3055.7999999999997</x:v>
      </x:c>
      <x:c r="H728" s="89" t="n">
        <x:v>1</x:v>
      </x:c>
      <x:c r="I728" s="64" t="str">
        <x:v> ШТ. </x:v>
      </x:c>
      <x:c r="J728" s="64" t="str">
        <x:v>chint</x:v>
      </x:c>
      <x:c r="K728" s="64" t="str">
        <x:v>B28</x:v>
      </x:c>
    </x:row>
    <x:row r="729">
      <x:c r="A729" s="64" t="str">
        <x:v>РП (В28)</x:v>
      </x:c>
      <x:c r="B729" s="64" t="str">
        <x:v>rn</x:v>
      </x:c>
      <x:c r="C729" s="64" t="str">
        <x:v>814989</x:v>
      </x:c>
      <x:c r="D729" s="64" t="str">
        <x:v>Независимый расцепитель SHT-X1 AC230V/400V для NXB-63 (R)</x:v>
      </x:c>
      <x:c r="E729" s="83" t="n">
        <x:v>5354</x:v>
      </x:c>
      <x:c r="F729" s="83" t="n">
        <x:v>3212.4</x:v>
      </x:c>
      <x:c r="G729" s="83" t="n">
        <x:f>IF(OR(F729="",H729=""),"",F729*H729)</x:f>
        <x:v>3212.4</x:v>
      </x:c>
      <x:c r="H729" s="89" t="n">
        <x:v>1</x:v>
      </x:c>
      <x:c r="I729" s="64" t="str">
        <x:v> ШТ. </x:v>
      </x:c>
      <x:c r="J729" s="64" t="str">
        <x:v>chint</x:v>
      </x:c>
      <x:c r="K729" s="64" t="str">
        <x:v>B28</x:v>
      </x:c>
    </x:row>
    <x:row r="730">
      <x:c r="A730" s="64" t="str">
        <x:v>РП (В28)</x:v>
      </x:c>
      <x:c r="B730" s="94" t="str">
        <x:v>bara</x:v>
      </x:c>
      <x:c r="C730" s="100" t="str">
        <x:v>KONTROL-N</x:v>
      </x:c>
      <x:c r="D730" s="94" t="str">
        <x:v>Шина N изолированная, не менее 12 присоединений</x:v>
      </x:c>
      <x:c r="E730" s="95"/>
      <x:c r="F730" s="95"/>
      <x:c r="G730" s="95" t="str">
        <x:f>IF(OR(F730="",H730=""),"",F730*H730)</x:f>
      </x:c>
      <x:c r="H730" s="96" t="n">
        <x:v>1</x:v>
      </x:c>
      <x:c r="I730" s="94" t="str">
        <x:v> ШТ. </x:v>
      </x:c>
      <x:c r="J730" s="94" t="str">
        <x:v>EKT/Klemsan</x:v>
      </x:c>
      <x:c r="K730" s="64" t="str">
        <x:v>B28</x:v>
      </x:c>
    </x:row>
    <x:row r="731">
      <x:c r="A731" s="64" t="str">
        <x:v>РП (В28)</x:v>
      </x:c>
      <x:c r="B731" s="94" t="str">
        <x:v>bara</x:v>
      </x:c>
      <x:c r="C731" s="100" t="str">
        <x:v>KONTROL-PE</x:v>
      </x:c>
      <x:c r="D731" s="94" t="str">
        <x:v>Шина PE медная, не менее 12 присоединений</x:v>
      </x:c>
      <x:c r="E731" s="95"/>
      <x:c r="F731" s="95"/>
      <x:c r="G731" s="95" t="str">
        <x:f>IF(OR(F731="",H731=""),"",F731*H731)</x:f>
      </x:c>
      <x:c r="H731" s="96" t="n">
        <x:v>1</x:v>
      </x:c>
      <x:c r="I731" s="94" t="str">
        <x:v> ШТ. </x:v>
      </x:c>
      <x:c r="J731" s="94" t="str">
        <x:v>EKT/Klemsan</x:v>
      </x:c>
      <x:c r="K731" s="64" t="str">
        <x:v>B28</x:v>
      </x:c>
    </x:row>
    <x:row r="732">
      <x:c r="A732" s="64" t="str">
        <x:v>РП (В28)</x:v>
      </x:c>
      <x:c r="B732" s="94" t="str">
        <x:v>din</x:v>
      </x:c>
      <x:c r="C732" s="100" t="str">
        <x:v>KONTROL-DIN</x:v>
      </x:c>
      <x:c r="D732" s="94" t="str">
        <x:v>DIN рейка 35 мм, оцинкованная, комплект по габариту</x:v>
      </x:c>
      <x:c r="E732" s="95"/>
      <x:c r="F732" s="95"/>
      <x:c r="G732" s="95" t="str">
        <x:f>IF(OR(F732="",H732=""),"",F732*H732)</x:f>
      </x:c>
      <x:c r="H732" s="96" t="n">
        <x:v>1</x:v>
      </x:c>
      <x:c r="I732" s="94" t="str">
        <x:v> ШТ. </x:v>
      </x:c>
      <x:c r="J732" s="94" t="str">
        <x:v>EKT</x:v>
      </x:c>
      <x:c r="K732" s="64" t="str">
        <x:v>B28</x:v>
      </x:c>
    </x:row>
    <x:row r="733">
      <x:c r="A733" s="64" t="str">
        <x:v>РП (В28)</x:v>
      </x:c>
      <x:c r="B733" s="94" t="str">
        <x:v>kanal</x:v>
      </x:c>
      <x:c r="C733" s="100" t="str">
        <x:v>KONTROL-KK</x:v>
      </x:c>
      <x:c r="D733" s="94" t="str">
        <x:v>Кабельный канал перфорированный, комплект по габариту</x:v>
      </x:c>
      <x:c r="E733" s="95"/>
      <x:c r="F733" s="95"/>
      <x:c r="G733" s="95" t="str">
        <x:f>IF(OR(F733="",H733=""),"",F733*H733)</x:f>
      </x:c>
      <x:c r="H733" s="96" t="n">
        <x:v>1</x:v>
      </x:c>
      <x:c r="I733" s="94" t="str">
        <x:v> ШТ. </x:v>
      </x:c>
      <x:c r="J733" s="94" t="str">
        <x:v>ONKA/EKT</x:v>
      </x:c>
      <x:c r="K733" s="64" t="str">
        <x:v>B28</x:v>
      </x:c>
    </x:row>
    <x:row r="734">
      <x:c r="A734" s="64" t="str">
        <x:v>РП (В28)</x:v>
      </x:c>
      <x:c r="B734" s="94" t="str">
        <x:v>klemens</x:v>
      </x:c>
      <x:c r="C734" s="100" t="str">
        <x:v>KONTROL-KL</x:v>
      </x:c>
      <x:c r="D734" s="94" t="str">
        <x:v>Клеммник 2,5-6 мм² (фаза/N/PE по схеме)</x:v>
      </x:c>
      <x:c r="E734" s="95"/>
      <x:c r="F734" s="95"/>
      <x:c r="G734" s="95" t="str">
        <x:f>IF(OR(F734="",H734=""),"",F734*H734)</x:f>
      </x:c>
      <x:c r="H734" s="96" t="n">
        <x:v>25</x:v>
      </x:c>
      <x:c r="I734" s="94" t="str">
        <x:v> ШТ. </x:v>
      </x:c>
      <x:c r="J734" s="94" t="str">
        <x:v>Klemsan/EKT</x:v>
      </x:c>
      <x:c r="K734" s="64" t="str">
        <x:v>B28</x:v>
      </x:c>
    </x:row>
    <x:row r="735">
      <x:c r="A735" s="64" t="str">
        <x:v>РП (В28)</x:v>
      </x:c>
      <x:c r="B735" s="94" t="str">
        <x:v>kablo</x:v>
      </x:c>
      <x:c r="C735" s="100" t="str">
        <x:v>KONTROL-WIRE</x:v>
      </x:c>
      <x:c r="D735" s="94" t="str">
        <x:v>Внутренняя проводка Harmony + маркировка, комплект</x:v>
      </x:c>
      <x:c r="E735" s="95"/>
      <x:c r="F735" s="95"/>
      <x:c r="G735" s="95" t="str">
        <x:f>IF(OR(F735="",H735=""),"",F735*H735)</x:f>
      </x:c>
      <x:c r="H735" s="96" t="n">
        <x:v>1</x:v>
      </x:c>
      <x:c r="I735" s="94" t="str">
        <x:v> ШТ. </x:v>
      </x:c>
      <x:c r="J735" s="94" t="str">
        <x:v>Harmony</x:v>
      </x:c>
      <x:c r="K735" s="64" t="str">
        <x:v>B28</x:v>
      </x:c>
    </x:row>
    <x:row r="736">
      <x:c r="A736" s="64" t="str">
        <x:v>РП (В28)</x:v>
      </x:c>
      <x:c r="B736" s="64" t="str">
        <x:v>монтажный материал</x:v>
      </x:c>
      <x:c r="C736" s="64" t="str">
        <x:v>монтажный материал</x:v>
      </x:c>
      <x:c r="D736" s="64" t="str">
        <x:v>Монтажный материал</x:v>
      </x:c>
      <x:c r="E736" s="83"/>
      <x:c r="F736" s="83"/>
      <x:c r="G736" s="83" t="str">
        <x:f>IF(OR(F736="",H736=""),"",F736*H736)</x:f>
      </x:c>
      <x:c r="H736" s="89" t="n">
        <x:v>1</x:v>
      </x:c>
      <x:c r="I736" s="64" t="str">
        <x:v>компл.</x:v>
      </x:c>
      <x:c r="J736" s="64" t="str">
        <x:v>TEKLED</x:v>
      </x:c>
      <x:c r="K736" s="64" t="str">
        <x:v>B28</x:v>
      </x:c>
    </x:row>
    <x:row r="737">
      <x:c r="A737" s="64" t="str">
        <x:v>РП (В28)</x:v>
      </x:c>
      <x:c r="B737" s="64" t="str">
        <x:v>монтажные работы</x:v>
      </x:c>
      <x:c r="C737" s="64" t="str">
        <x:v>монтажные работы</x:v>
      </x:c>
      <x:c r="D737" s="64" t="str">
        <x:v>Монтажные работы</x:v>
      </x:c>
      <x:c r="E737" s="83"/>
      <x:c r="F737" s="83"/>
      <x:c r="G737" s="83" t="str">
        <x:f>IF(OR(F737="",H737=""),"",F737*H737)</x:f>
      </x:c>
      <x:c r="H737" s="89" t="n">
        <x:v>1</x:v>
      </x:c>
      <x:c r="I737" s="64" t="str">
        <x:v>компл.</x:v>
      </x:c>
      <x:c r="J737" s="64" t="str">
        <x:v>TEKLED</x:v>
      </x:c>
      <x:c r="K737" s="64" t="str">
        <x:v>B28</x:v>
      </x:c>
    </x:row>
    <x:row r="738">
      <x:c r="A738" s="76" t="str">
        <x:v>РП (В28)</x:v>
      </x:c>
      <x:c r="B738" s="76"/>
      <x:c r="C738" s="76"/>
      <x:c r="D738" s="80" t="str">
        <x:v>ИТОГО на 1 комплект</x:v>
      </x:c>
      <x:c r="E738" s="84"/>
      <x:c r="F738" s="84"/>
      <x:c r="G738" s="84" t="n">
        <x:f>SUM(G723:G737)</x:f>
        <x:v>23528.4</x:v>
      </x:c>
      <x:c r="H738" s="90"/>
      <x:c r="I738" s="76"/>
      <x:c r="J738" s="76"/>
      <x:c r="K738" s="76" t="str">
        <x:v>B28</x:v>
      </x:c>
    </x:row>
    <x:row r="739" ht="24" customHeight="1">
      <x:c r="A739" s="69" t="str">
        <x:v>ПП (В28)</x:v>
      </x:c>
      <x:c r="B739" s="69"/>
      <x:c r="C739" s="69"/>
      <x:c r="D739" s="69" t="str">
        <x:v>ПП (В28)</x:v>
      </x:c>
      <x:c r="E739" s="82"/>
      <x:c r="F739" s="82"/>
      <x:c r="G739" s="82"/>
      <x:c r="H739" s="88" t="n">
        <x:v>1</x:v>
      </x:c>
      <x:c r="I739" s="69" t="str">
        <x:v>комплект</x:v>
      </x:c>
      <x:c r="J739" s="69" t="str">
        <x:v>TEKLED/TEKSAN</x:v>
      </x:c>
      <x:c r="K739" s="69" t="str">
        <x:v>B28</x:v>
      </x:c>
    </x:row>
    <x:row r="740">
      <x:c r="A740" s="64" t="str">
        <x:v>ПП (В28)</x:v>
      </x:c>
      <x:c r="B740" s="94" t="str">
        <x:v>korpus</x:v>
      </x:c>
      <x:c r="C740" s="100" t="str">
        <x:v>KONTROL-KORPUS-PP-63</x:v>
      </x:c>
      <x:c r="D740" s="94" t="str">
        <x:v>Корпус металлический 400x300x200 мм IP54 для ручного переключателя 63A</x:v>
      </x:c>
      <x:c r="E740" s="95"/>
      <x:c r="F740" s="95"/>
      <x:c r="G740" s="95" t="str">
        <x:f>IF(OR(F740="",H740=""),"",F740*H740)</x:f>
      </x:c>
      <x:c r="H740" s="96" t="n">
        <x:v>1</x:v>
      </x:c>
      <x:c r="I740" s="94" t="str">
        <x:v> ШТ. </x:v>
      </x:c>
      <x:c r="J740" s="94" t="str">
        <x:v>TEKSAN/TEKLED</x:v>
      </x:c>
      <x:c r="K740" s="64" t="str">
        <x:v>B28</x:v>
      </x:c>
    </x:row>
    <x:row r="741">
      <x:c r="A741" s="64" t="str">
        <x:v>ПП (В28)</x:v>
      </x:c>
      <x:c r="B741" s="94" t="str">
        <x:v>perekluchatel</x:v>
      </x:c>
      <x:c r="C741" s="100" t="str">
        <x:v>KONTROL-NH40-CS-63</x:v>
      </x:c>
      <x:c r="D741" s="94" t="str">
        <x:v>Переключатель ручной I-0-II CHINT, 3P, 63A, рукоятка на дверь (экв. ПП)</x:v>
      </x:c>
      <x:c r="E741" s="95"/>
      <x:c r="F741" s="95"/>
      <x:c r="G741" s="95" t="str">
        <x:f>IF(OR(F741="",H741=""),"",F741*H741)</x:f>
      </x:c>
      <x:c r="H741" s="96" t="n">
        <x:v>1</x:v>
      </x:c>
      <x:c r="I741" s="94" t="str">
        <x:v> ШТ. </x:v>
      </x:c>
      <x:c r="J741" s="94" t="str">
        <x:v>CHINT</x:v>
      </x:c>
      <x:c r="K741" s="64" t="str">
        <x:v>B28</x:v>
      </x:c>
    </x:row>
    <x:row r="742">
      <x:c r="A742" s="64" t="str">
        <x:v>ПП (В28)</x:v>
      </x:c>
      <x:c r="B742" s="94" t="str">
        <x:v>bara</x:v>
      </x:c>
      <x:c r="C742" s="100" t="str">
        <x:v>KONTROL-N</x:v>
      </x:c>
      <x:c r="D742" s="94" t="str">
        <x:v>Шина N изолированная, не менее 12 присоединений</x:v>
      </x:c>
      <x:c r="E742" s="95"/>
      <x:c r="F742" s="95"/>
      <x:c r="G742" s="95" t="str">
        <x:f>IF(OR(F742="",H742=""),"",F742*H742)</x:f>
      </x:c>
      <x:c r="H742" s="96" t="n">
        <x:v>1</x:v>
      </x:c>
      <x:c r="I742" s="94" t="str">
        <x:v> ШТ. </x:v>
      </x:c>
      <x:c r="J742" s="94" t="str">
        <x:v>EKT/Klemsan</x:v>
      </x:c>
      <x:c r="K742" s="64" t="str">
        <x:v>B28</x:v>
      </x:c>
    </x:row>
    <x:row r="743">
      <x:c r="A743" s="64" t="str">
        <x:v>ПП (В28)</x:v>
      </x:c>
      <x:c r="B743" s="94" t="str">
        <x:v>bara</x:v>
      </x:c>
      <x:c r="C743" s="100" t="str">
        <x:v>KONTROL-PE</x:v>
      </x:c>
      <x:c r="D743" s="94" t="str">
        <x:v>Шина PE медная, не менее 12 присоединений</x:v>
      </x:c>
      <x:c r="E743" s="95"/>
      <x:c r="F743" s="95"/>
      <x:c r="G743" s="95" t="str">
        <x:f>IF(OR(F743="",H743=""),"",F743*H743)</x:f>
      </x:c>
      <x:c r="H743" s="96" t="n">
        <x:v>1</x:v>
      </x:c>
      <x:c r="I743" s="94" t="str">
        <x:v> ШТ. </x:v>
      </x:c>
      <x:c r="J743" s="94" t="str">
        <x:v>EKT/Klemsan</x:v>
      </x:c>
      <x:c r="K743" s="64" t="str">
        <x:v>B28</x:v>
      </x:c>
    </x:row>
    <x:row r="744">
      <x:c r="A744" s="64" t="str">
        <x:v>ПП (В28)</x:v>
      </x:c>
      <x:c r="B744" s="94" t="str">
        <x:v>din</x:v>
      </x:c>
      <x:c r="C744" s="100" t="str">
        <x:v>KONTROL-DIN</x:v>
      </x:c>
      <x:c r="D744" s="94" t="str">
        <x:v>DIN рейка 35 мм, оцинкованная, комплект по габариту</x:v>
      </x:c>
      <x:c r="E744" s="95"/>
      <x:c r="F744" s="95"/>
      <x:c r="G744" s="95" t="str">
        <x:f>IF(OR(F744="",H744=""),"",F744*H744)</x:f>
      </x:c>
      <x:c r="H744" s="96" t="n">
        <x:v>1</x:v>
      </x:c>
      <x:c r="I744" s="94" t="str">
        <x:v> ШТ. </x:v>
      </x:c>
      <x:c r="J744" s="94" t="str">
        <x:v>EKT</x:v>
      </x:c>
      <x:c r="K744" s="64" t="str">
        <x:v>B28</x:v>
      </x:c>
    </x:row>
    <x:row r="745">
      <x:c r="A745" s="64" t="str">
        <x:v>ПП (В28)</x:v>
      </x:c>
      <x:c r="B745" s="94" t="str">
        <x:v>kanal</x:v>
      </x:c>
      <x:c r="C745" s="100" t="str">
        <x:v>KONTROL-KK</x:v>
      </x:c>
      <x:c r="D745" s="94" t="str">
        <x:v>Кабельный канал перфорированный, комплект по габариту</x:v>
      </x:c>
      <x:c r="E745" s="95"/>
      <x:c r="F745" s="95"/>
      <x:c r="G745" s="95" t="str">
        <x:f>IF(OR(F745="",H745=""),"",F745*H745)</x:f>
      </x:c>
      <x:c r="H745" s="96" t="n">
        <x:v>1</x:v>
      </x:c>
      <x:c r="I745" s="94" t="str">
        <x:v> ШТ. </x:v>
      </x:c>
      <x:c r="J745" s="94" t="str">
        <x:v>ONKA/EKT</x:v>
      </x:c>
      <x:c r="K745" s="64" t="str">
        <x:v>B28</x:v>
      </x:c>
    </x:row>
    <x:row r="746">
      <x:c r="A746" s="64" t="str">
        <x:v>ПП (В28)</x:v>
      </x:c>
      <x:c r="B746" s="94" t="str">
        <x:v>klemens</x:v>
      </x:c>
      <x:c r="C746" s="100" t="str">
        <x:v>KONTROL-KL</x:v>
      </x:c>
      <x:c r="D746" s="94" t="str">
        <x:v>Клеммник 2,5-6 мм² (фаза/N/PE по схеме)</x:v>
      </x:c>
      <x:c r="E746" s="95"/>
      <x:c r="F746" s="95"/>
      <x:c r="G746" s="95" t="str">
        <x:f>IF(OR(F746="",H746=""),"",F746*H746)</x:f>
      </x:c>
      <x:c r="H746" s="96" t="n">
        <x:v>12</x:v>
      </x:c>
      <x:c r="I746" s="94" t="str">
        <x:v> ШТ. </x:v>
      </x:c>
      <x:c r="J746" s="94" t="str">
        <x:v>Klemsan/EKT</x:v>
      </x:c>
      <x:c r="K746" s="64" t="str">
        <x:v>B28</x:v>
      </x:c>
    </x:row>
    <x:row r="747">
      <x:c r="A747" s="64" t="str">
        <x:v>ПП (В28)</x:v>
      </x:c>
      <x:c r="B747" s="94" t="str">
        <x:v>kablo</x:v>
      </x:c>
      <x:c r="C747" s="100" t="str">
        <x:v>KONTROL-WIRE</x:v>
      </x:c>
      <x:c r="D747" s="94" t="str">
        <x:v>Внутренняя проводка Harmony + маркировка, комплект</x:v>
      </x:c>
      <x:c r="E747" s="95"/>
      <x:c r="F747" s="95"/>
      <x:c r="G747" s="95" t="str">
        <x:f>IF(OR(F747="",H747=""),"",F747*H747)</x:f>
      </x:c>
      <x:c r="H747" s="96" t="n">
        <x:v>1</x:v>
      </x:c>
      <x:c r="I747" s="94" t="str">
        <x:v> ШТ. </x:v>
      </x:c>
      <x:c r="J747" s="94" t="str">
        <x:v>Harmony</x:v>
      </x:c>
      <x:c r="K747" s="64" t="str">
        <x:v>B28</x:v>
      </x:c>
    </x:row>
    <x:row r="748">
      <x:c r="A748" s="64" t="str">
        <x:v>ПП (В28)</x:v>
      </x:c>
      <x:c r="B748" s="64" t="str">
        <x:v>монтажный материал</x:v>
      </x:c>
      <x:c r="C748" s="64" t="str">
        <x:v>монтажный материал</x:v>
      </x:c>
      <x:c r="D748" s="64" t="str">
        <x:v>Монтажный материал</x:v>
      </x:c>
      <x:c r="E748" s="83"/>
      <x:c r="F748" s="83"/>
      <x:c r="G748" s="83" t="str">
        <x:f>IF(OR(F748="",H748=""),"",F748*H748)</x:f>
      </x:c>
      <x:c r="H748" s="89" t="n">
        <x:v>1</x:v>
      </x:c>
      <x:c r="I748" s="64" t="str">
        <x:v>компл.</x:v>
      </x:c>
      <x:c r="J748" s="64" t="str">
        <x:v>TEKLED</x:v>
      </x:c>
      <x:c r="K748" s="64" t="str">
        <x:v>B28</x:v>
      </x:c>
    </x:row>
    <x:row r="749">
      <x:c r="A749" s="64" t="str">
        <x:v>ПП (В28)</x:v>
      </x:c>
      <x:c r="B749" s="64" t="str">
        <x:v>монтажные работы</x:v>
      </x:c>
      <x:c r="C749" s="64" t="str">
        <x:v>монтажные работы</x:v>
      </x:c>
      <x:c r="D749" s="64" t="str">
        <x:v>Монтажные работы</x:v>
      </x:c>
      <x:c r="E749" s="83"/>
      <x:c r="F749" s="83"/>
      <x:c r="G749" s="83" t="str">
        <x:f>IF(OR(F749="",H749=""),"",F749*H749)</x:f>
      </x:c>
      <x:c r="H749" s="89" t="n">
        <x:v>1</x:v>
      </x:c>
      <x:c r="I749" s="64" t="str">
        <x:v>компл.</x:v>
      </x:c>
      <x:c r="J749" s="64" t="str">
        <x:v>TEKLED</x:v>
      </x:c>
      <x:c r="K749" s="64" t="str">
        <x:v>B28</x:v>
      </x:c>
    </x:row>
    <x:row r="750">
      <x:c r="A750" s="76" t="str">
        <x:v>ПП (В28)</x:v>
      </x:c>
      <x:c r="B750" s="76"/>
      <x:c r="C750" s="76"/>
      <x:c r="D750" s="80" t="str">
        <x:v>ИТОГО на 1 комплект</x:v>
      </x:c>
      <x:c r="E750" s="84"/>
      <x:c r="F750" s="84"/>
      <x:c r="G750" s="84" t="n">
        <x:f>SUM(G740:G749)</x:f>
        <x:v>0</x:v>
      </x:c>
      <x:c r="H750" s="90"/>
      <x:c r="I750" s="76"/>
      <x:c r="J750" s="76"/>
      <x:c r="K750" s="76" t="str">
        <x:v>B28</x:v>
      </x:c>
    </x:row>
    <x:row r="751" ht="24" customHeight="1">
      <x:c r="A751" s="69" t="str">
        <x:v>РПо-1 (В28)</x:v>
      </x:c>
      <x:c r="B751" s="69"/>
      <x:c r="C751" s="69"/>
      <x:c r="D751" s="69" t="str">
        <x:v>РПо-1 (В28)</x:v>
      </x:c>
      <x:c r="E751" s="82"/>
      <x:c r="F751" s="82"/>
      <x:c r="G751" s="82"/>
      <x:c r="H751" s="88" t="n">
        <x:v>1</x:v>
      </x:c>
      <x:c r="I751" s="69" t="str">
        <x:v>комплект</x:v>
      </x:c>
      <x:c r="J751" s="69" t="str">
        <x:v>TEKLED/TEKSAN</x:v>
      </x:c>
      <x:c r="K751" s="69" t="str">
        <x:v>B28</x:v>
      </x:c>
    </x:row>
    <x:row r="752">
      <x:c r="A752" s="64" t="str">
        <x:v>РПо-1 (В28)</x:v>
      </x:c>
      <x:c r="B752" s="64" t="str">
        <x:v>korpus</x:v>
      </x:c>
      <x:c r="C752" s="64" t="str">
        <x:v>714-15005</x:v>
      </x:c>
      <x:c r="D752" s="64" t="str">
        <x:v>Pano met.ShRn-12 b/o (313х268х120)S/U 36 IP31 (TS)</x:v>
      </x:c>
      <x:c r="E752" s="83" t="n">
        <x:v>10270</x:v>
      </x:c>
      <x:c r="F752" s="83" t="n">
        <x:v>6162</x:v>
      </x:c>
      <x:c r="G752" s="83" t="n">
        <x:f>IF(OR(F752="",H752=""),"",F752*H752)</x:f>
        <x:v>6162</x:v>
      </x:c>
      <x:c r="H752" s="89" t="n">
        <x:v>1</x:v>
      </x:c>
      <x:c r="I752" s="64" t="str">
        <x:v> ШТ. </x:v>
      </x:c>
      <x:c r="J752" s="64" t="str">
        <x:v>teksan f</x:v>
      </x:c>
      <x:c r="K752" s="64" t="str">
        <x:v>B28</x:v>
      </x:c>
    </x:row>
    <x:row r="753">
      <x:c r="A753" s="64" t="str">
        <x:v>РПо-1 (В28)</x:v>
      </x:c>
      <x:c r="B753" s="64" t="str">
        <x:v>oto</x:v>
      </x:c>
      <x:c r="C753" s="64" t="str">
        <x:v>296828</x:v>
      </x:c>
      <x:c r="D753" s="64" t="str">
        <x:v>Авт. выкл. NXB-63S 3P 20А 4.5kA х-ка C (R)</x:v>
      </x:c>
      <x:c r="E753" s="83" t="n">
        <x:v>2499</x:v>
      </x:c>
      <x:c r="F753" s="83" t="n">
        <x:v>1499.3999999999999</x:v>
      </x:c>
      <x:c r="G753" s="83" t="n">
        <x:f>IF(OR(F753="",H753=""),"",F753*H753)</x:f>
        <x:v>1499.3999999999999</x:v>
      </x:c>
      <x:c r="H753" s="89" t="n">
        <x:v>1</x:v>
      </x:c>
      <x:c r="I753" s="64" t="str">
        <x:v> ШТ. </x:v>
      </x:c>
      <x:c r="J753" s="64" t="str">
        <x:v>chint</x:v>
      </x:c>
      <x:c r="K753" s="64" t="str">
        <x:v>B28</x:v>
      </x:c>
    </x:row>
    <x:row r="754">
      <x:c r="A754" s="64" t="str">
        <x:v>РПо-1 (В28)</x:v>
      </x:c>
      <x:c r="B754" s="64" t="str">
        <x:v>oto</x:v>
      </x:c>
      <x:c r="C754" s="64" t="str">
        <x:v>814014</x:v>
      </x:c>
      <x:c r="D754" s="64" t="str">
        <x:v>Авт. выкл. NXB-63 1P 16A 6кА х-ка C (R)</x:v>
      </x:c>
      <x:c r="E754" s="83" t="n">
        <x:v>1389</x:v>
      </x:c>
      <x:c r="F754" s="83" t="n">
        <x:v>833.4</x:v>
      </x:c>
      <x:c r="G754" s="83" t="n">
        <x:f>IF(OR(F754="",H754=""),"",F754*H754)</x:f>
        <x:v>1666.8</x:v>
      </x:c>
      <x:c r="H754" s="89" t="n">
        <x:v>2</x:v>
      </x:c>
      <x:c r="I754" s="64" t="str">
        <x:v> ШТ. </x:v>
      </x:c>
      <x:c r="J754" s="64" t="str">
        <x:v>chint</x:v>
      </x:c>
      <x:c r="K754" s="64" t="str">
        <x:v>B28</x:v>
      </x:c>
    </x:row>
    <x:row r="755">
      <x:c r="A755" s="64" t="str">
        <x:v>РПо-1 (В28)</x:v>
      </x:c>
      <x:c r="B755" s="64" t="str">
        <x:v>rn</x:v>
      </x:c>
      <x:c r="C755" s="64" t="str">
        <x:v>814989</x:v>
      </x:c>
      <x:c r="D755" s="64" t="str">
        <x:v>Независимый расцепитель SHT-X1 AC230V/400V для NXB-63 (R)</x:v>
      </x:c>
      <x:c r="E755" s="83" t="n">
        <x:v>5354</x:v>
      </x:c>
      <x:c r="F755" s="83" t="n">
        <x:v>3212.4</x:v>
      </x:c>
      <x:c r="G755" s="83" t="n">
        <x:f>IF(OR(F755="",H755=""),"",F755*H755)</x:f>
        <x:v>3212.4</x:v>
      </x:c>
      <x:c r="H755" s="89" t="n">
        <x:v>1</x:v>
      </x:c>
      <x:c r="I755" s="64" t="str">
        <x:v> ШТ. </x:v>
      </x:c>
      <x:c r="J755" s="64" t="str">
        <x:v>chint</x:v>
      </x:c>
      <x:c r="K755" s="64" t="str">
        <x:v>B28</x:v>
      </x:c>
    </x:row>
    <x:row r="756">
      <x:c r="A756" s="64" t="str">
        <x:v>РПо-1 (В28)</x:v>
      </x:c>
      <x:c r="B756" s="94" t="str">
        <x:v>bara</x:v>
      </x:c>
      <x:c r="C756" s="100" t="str">
        <x:v>KONTROL-N</x:v>
      </x:c>
      <x:c r="D756" s="94" t="str">
        <x:v>Шина N изолированная, не менее 12 присоединений</x:v>
      </x:c>
      <x:c r="E756" s="95"/>
      <x:c r="F756" s="95"/>
      <x:c r="G756" s="95" t="str">
        <x:f>IF(OR(F756="",H756=""),"",F756*H756)</x:f>
      </x:c>
      <x:c r="H756" s="96" t="n">
        <x:v>1</x:v>
      </x:c>
      <x:c r="I756" s="94" t="str">
        <x:v> ШТ. </x:v>
      </x:c>
      <x:c r="J756" s="94" t="str">
        <x:v>EKT/Klemsan</x:v>
      </x:c>
      <x:c r="K756" s="64" t="str">
        <x:v>B28</x:v>
      </x:c>
    </x:row>
    <x:row r="757">
      <x:c r="A757" s="64" t="str">
        <x:v>РПо-1 (В28)</x:v>
      </x:c>
      <x:c r="B757" s="94" t="str">
        <x:v>bara</x:v>
      </x:c>
      <x:c r="C757" s="100" t="str">
        <x:v>KONTROL-PE</x:v>
      </x:c>
      <x:c r="D757" s="94" t="str">
        <x:v>Шина PE медная, не менее 12 присоединений</x:v>
      </x:c>
      <x:c r="E757" s="95"/>
      <x:c r="F757" s="95"/>
      <x:c r="G757" s="95" t="str">
        <x:f>IF(OR(F757="",H757=""),"",F757*H757)</x:f>
      </x:c>
      <x:c r="H757" s="96" t="n">
        <x:v>1</x:v>
      </x:c>
      <x:c r="I757" s="94" t="str">
        <x:v> ШТ. </x:v>
      </x:c>
      <x:c r="J757" s="94" t="str">
        <x:v>EKT/Klemsan</x:v>
      </x:c>
      <x:c r="K757" s="64" t="str">
        <x:v>B28</x:v>
      </x:c>
    </x:row>
    <x:row r="758">
      <x:c r="A758" s="64" t="str">
        <x:v>РПо-1 (В28)</x:v>
      </x:c>
      <x:c r="B758" s="94" t="str">
        <x:v>din</x:v>
      </x:c>
      <x:c r="C758" s="100" t="str">
        <x:v>KONTROL-DIN</x:v>
      </x:c>
      <x:c r="D758" s="94" t="str">
        <x:v>DIN рейка 35 мм, оцинкованная, комплект по габариту</x:v>
      </x:c>
      <x:c r="E758" s="95"/>
      <x:c r="F758" s="95"/>
      <x:c r="G758" s="95" t="str">
        <x:f>IF(OR(F758="",H758=""),"",F758*H758)</x:f>
      </x:c>
      <x:c r="H758" s="96" t="n">
        <x:v>1</x:v>
      </x:c>
      <x:c r="I758" s="94" t="str">
        <x:v> ШТ. </x:v>
      </x:c>
      <x:c r="J758" s="94" t="str">
        <x:v>EKT</x:v>
      </x:c>
      <x:c r="K758" s="64" t="str">
        <x:v>B28</x:v>
      </x:c>
    </x:row>
    <x:row r="759">
      <x:c r="A759" s="64" t="str">
        <x:v>РПо-1 (В28)</x:v>
      </x:c>
      <x:c r="B759" s="94" t="str">
        <x:v>kanal</x:v>
      </x:c>
      <x:c r="C759" s="100" t="str">
        <x:v>KONTROL-KK</x:v>
      </x:c>
      <x:c r="D759" s="94" t="str">
        <x:v>Кабельный канал перфорированный, комплект по габариту</x:v>
      </x:c>
      <x:c r="E759" s="95"/>
      <x:c r="F759" s="95"/>
      <x:c r="G759" s="95" t="str">
        <x:f>IF(OR(F759="",H759=""),"",F759*H759)</x:f>
      </x:c>
      <x:c r="H759" s="96" t="n">
        <x:v>1</x:v>
      </x:c>
      <x:c r="I759" s="94" t="str">
        <x:v> ШТ. </x:v>
      </x:c>
      <x:c r="J759" s="94" t="str">
        <x:v>ONKA/EKT</x:v>
      </x:c>
      <x:c r="K759" s="64" t="str">
        <x:v>B28</x:v>
      </x:c>
    </x:row>
    <x:row r="760">
      <x:c r="A760" s="64" t="str">
        <x:v>РПо-1 (В28)</x:v>
      </x:c>
      <x:c r="B760" s="94" t="str">
        <x:v>klemens</x:v>
      </x:c>
      <x:c r="C760" s="100" t="str">
        <x:v>KONTROL-KL</x:v>
      </x:c>
      <x:c r="D760" s="94" t="str">
        <x:v>Клеммник 2,5-6 мм² (фаза/N/PE по схеме)</x:v>
      </x:c>
      <x:c r="E760" s="95"/>
      <x:c r="F760" s="95"/>
      <x:c r="G760" s="95" t="str">
        <x:f>IF(OR(F760="",H760=""),"",F760*H760)</x:f>
      </x:c>
      <x:c r="H760" s="96" t="n">
        <x:v>12</x:v>
      </x:c>
      <x:c r="I760" s="94" t="str">
        <x:v> ШТ. </x:v>
      </x:c>
      <x:c r="J760" s="94" t="str">
        <x:v>Klemsan/EKT</x:v>
      </x:c>
      <x:c r="K760" s="64" t="str">
        <x:v>B28</x:v>
      </x:c>
    </x:row>
    <x:row r="761">
      <x:c r="A761" s="64" t="str">
        <x:v>РПо-1 (В28)</x:v>
      </x:c>
      <x:c r="B761" s="94" t="str">
        <x:v>kablo</x:v>
      </x:c>
      <x:c r="C761" s="100" t="str">
        <x:v>KONTROL-WIRE</x:v>
      </x:c>
      <x:c r="D761" s="94" t="str">
        <x:v>Внутренняя проводка Harmony + маркировка, комплект</x:v>
      </x:c>
      <x:c r="E761" s="95"/>
      <x:c r="F761" s="95"/>
      <x:c r="G761" s="95" t="str">
        <x:f>IF(OR(F761="",H761=""),"",F761*H761)</x:f>
      </x:c>
      <x:c r="H761" s="96" t="n">
        <x:v>1</x:v>
      </x:c>
      <x:c r="I761" s="94" t="str">
        <x:v> ШТ. </x:v>
      </x:c>
      <x:c r="J761" s="94" t="str">
        <x:v>Harmony</x:v>
      </x:c>
      <x:c r="K761" s="64" t="str">
        <x:v>B28</x:v>
      </x:c>
    </x:row>
    <x:row r="762">
      <x:c r="A762" s="64" t="str">
        <x:v>РПо-1 (В28)</x:v>
      </x:c>
      <x:c r="B762" s="64" t="str">
        <x:v>монтажный материал</x:v>
      </x:c>
      <x:c r="C762" s="64" t="str">
        <x:v>монтажный материал</x:v>
      </x:c>
      <x:c r="D762" s="64" t="str">
        <x:v>Монтажный материал</x:v>
      </x:c>
      <x:c r="E762" s="83"/>
      <x:c r="F762" s="83"/>
      <x:c r="G762" s="83" t="str">
        <x:f>IF(OR(F762="",H762=""),"",F762*H762)</x:f>
      </x:c>
      <x:c r="H762" s="89" t="n">
        <x:v>1</x:v>
      </x:c>
      <x:c r="I762" s="64" t="str">
        <x:v>компл.</x:v>
      </x:c>
      <x:c r="J762" s="64" t="str">
        <x:v>TEKLED</x:v>
      </x:c>
      <x:c r="K762" s="64" t="str">
        <x:v>B28</x:v>
      </x:c>
    </x:row>
    <x:row r="763">
      <x:c r="A763" s="64" t="str">
        <x:v>РПо-1 (В28)</x:v>
      </x:c>
      <x:c r="B763" s="64" t="str">
        <x:v>монтажные работы</x:v>
      </x:c>
      <x:c r="C763" s="64" t="str">
        <x:v>монтажные работы</x:v>
      </x:c>
      <x:c r="D763" s="64" t="str">
        <x:v>Монтажные работы</x:v>
      </x:c>
      <x:c r="E763" s="83"/>
      <x:c r="F763" s="83"/>
      <x:c r="G763" s="83" t="str">
        <x:f>IF(OR(F763="",H763=""),"",F763*H763)</x:f>
      </x:c>
      <x:c r="H763" s="89" t="n">
        <x:v>1</x:v>
      </x:c>
      <x:c r="I763" s="64" t="str">
        <x:v>компл.</x:v>
      </x:c>
      <x:c r="J763" s="64" t="str">
        <x:v>TEKLED</x:v>
      </x:c>
      <x:c r="K763" s="64" t="str">
        <x:v>B28</x:v>
      </x:c>
    </x:row>
    <x:row r="764">
      <x:c r="A764" s="76" t="str">
        <x:v>РПо-1 (В28)</x:v>
      </x:c>
      <x:c r="B764" s="76"/>
      <x:c r="C764" s="76"/>
      <x:c r="D764" s="80" t="str">
        <x:v>ИТОГО на 1 комплект</x:v>
      </x:c>
      <x:c r="E764" s="84"/>
      <x:c r="F764" s="84"/>
      <x:c r="G764" s="84" t="n">
        <x:f>SUM(G752:G763)</x:f>
        <x:v>12540.599999999999</x:v>
      </x:c>
      <x:c r="H764" s="90"/>
      <x:c r="I764" s="76"/>
      <x:c r="J764" s="76"/>
      <x:c r="K764" s="76" t="str">
        <x:v>B28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65" hidden="0" customWidth="1"/>
    <x:col min="4" max="4" width="30" hidden="0" customWidth="1"/>
  </x:cols>
  <x:sheetData>
    <x:row r="1">
      <x:c r="A1" s="116" t="str">
        <x:v>Pano</x:v>
      </x:c>
      <x:c r="B1" s="117" t="str">
        <x:v>Stajyer BOM Hatası / Eksik</x:v>
      </x:c>
      <x:c r="C1" s="117" t="str">
        <x:v>Yapılan Düzeltme</x:v>
      </x:c>
      <x:c r="D1" s="118" t="str">
        <x:v>Kaynak</x:v>
      </x:c>
    </x:row>
    <x:row r="2">
      <x:c r="A2" s="119" t="str">
        <x:v>ГРЩ (B01, B02, B03)</x:v>
      </x:c>
      <x:c r="B2" s="114" t="str">
        <x:v>Stajyer: 3P C16=3, 1P C16=5</x:v>
      </x:c>
      <x:c r="C2" s="114" t="str">
        <x:v>Projeye göre 3P C16=2, 1P C16=6</x:v>
      </x:c>
      <x:c r="D2" s="120" t="str">
        <x:v>B01-B03 tek hat/spec</x:v>
      </x:c>
    </x:row>
    <x:row r="3">
      <x:c r="A3" s="119" t="str">
        <x:v>ЯВЗ-31 (B01, B02, B03)</x:v>
      </x:c>
      <x:c r="B3" s="114" t="str">
        <x:v>UNIT rubilnik kullanılmış</x:v>
      </x:c>
      <x:c r="C3" s="114" t="str">
        <x:v>CHINT NH40 serisi ile değiştirildi</x:v>
      </x:c>
      <x:c r="D3" s="120" t="str">
        <x:v>Tek hat + CHINT dönüşümü</x:v>
      </x:c>
    </x:row>
    <x:row r="4">
      <x:c r="A4" s="119" t="str">
        <x:v>ЯВЗ-31 (B08)</x:v>
      </x:c>
      <x:c r="B4" s="114" t="str">
        <x:v>UNIT rubilnik kullanılmış</x:v>
      </x:c>
      <x:c r="C4" s="114" t="str">
        <x:v>CHINT NH40 serisi ile değiştirildi</x:v>
      </x:c>
      <x:c r="D4" s="120" t="str">
        <x:v>Tek hat + CHINT dönüşümü</x:v>
      </x:c>
    </x:row>
    <x:row r="5">
      <x:c r="A5" s="119" t="str">
        <x:v>ЯВЗ-31 (B11)</x:v>
      </x:c>
      <x:c r="B5" s="114" t="str">
        <x:v>Stajyer: 1 комплект</x:v>
      </x:c>
      <x:c r="C5" s="114" t="str">
        <x:v>Tek hatta iki vinç/Y1-Y2 olduğundan 2 комплект</x:v>
      </x:c>
      <x:c r="D5" s="120" t="str">
        <x:v>B11-E sayfa 1</x:v>
      </x:c>
    </x:row>
    <x:row r="6">
      <x:c r="A6" s="119" t="str">
        <x:v>ЯВЗ-31 (B11)</x:v>
      </x:c>
      <x:c r="B6" s="114" t="str">
        <x:v>UNIT rubilnik kullanılmış</x:v>
      </x:c>
      <x:c r="C6" s="114" t="str">
        <x:v>CHINT NH40 serisi ile değiştirildi</x:v>
      </x:c>
      <x:c r="D6" s="120" t="str">
        <x:v>Tek hat + CHINT dönüşümü</x:v>
      </x:c>
    </x:row>
    <x:row r="7">
      <x:c r="A7" s="119" t="str">
        <x:v>ЯВЗ-31 (B14)</x:v>
      </x:c>
      <x:c r="B7" s="114" t="str">
        <x:v>UNIT rubilnik kullanılmış</x:v>
      </x:c>
      <x:c r="C7" s="114" t="str">
        <x:v>CHINT NH40 serisi ile değiştirildi</x:v>
      </x:c>
      <x:c r="D7" s="120" t="str">
        <x:v>Tek hat + CHINT dönüşümü</x:v>
      </x:c>
    </x:row>
    <x:row r="8">
      <x:c r="A8" s="119" t="str">
        <x:v>ЯВЗ-31 (B16)</x:v>
      </x:c>
      <x:c r="B8" s="114" t="str">
        <x:v>UNIT rubilnik kullanılmış</x:v>
      </x:c>
      <x:c r="C8" s="114" t="str">
        <x:v>CHINT NH40 serisi ile değiştirildi</x:v>
      </x:c>
      <x:c r="D8" s="120" t="str">
        <x:v>Tek hat + CHINT dönüşümü</x:v>
      </x:c>
    </x:row>
    <x:row r="9">
      <x:c r="A9" s="119" t="str">
        <x:v>ЯВЗ-31 (B19)</x:v>
      </x:c>
      <x:c r="B9" s="114" t="str">
        <x:v>UNIT rubilnik kullanılmış</x:v>
      </x:c>
      <x:c r="C9" s="114" t="str">
        <x:v>CHINT NH40 serisi ile değiştirildi</x:v>
      </x:c>
      <x:c r="D9" s="120" t="str">
        <x:v>Tek hat + CHINT dönüşümü</x:v>
      </x:c>
    </x:row>
    <x:row r="10">
      <x:c r="A10" s="119" t="str">
        <x:v>ЯВЗ-31 (B26)</x:v>
      </x:c>
      <x:c r="B10" s="114" t="str">
        <x:v>UNIT rubilnik kullanılmış</x:v>
      </x:c>
      <x:c r="C10" s="114" t="str">
        <x:v>CHINT NH40 serisi ile değiştirildi</x:v>
      </x:c>
      <x:c r="D10" s="120" t="str">
        <x:v>Tek hat + CHINT dönüşümü</x:v>
      </x:c>
    </x:row>
    <x:row r="11">
      <x:c r="A11" s="119" t="str">
        <x:v>ЯТП (B01, B02, B03)</x:v>
      </x:c>
      <x:c r="B11" s="114" t="str">
        <x:v>Stajyer BOM'unda başlık var, iç malzeme yok</x:v>
      </x:c>
      <x:c r="C11" s="114" t="str">
        <x:v>Korpus, NDK-250 trafo, primer/sekonder koruma ve 36V priz eklendi</x:v>
      </x:c>
      <x:c r="D11" s="120" t="str">
        <x:v>Proje ekipman spesifikasyonu</x:v>
      </x:c>
    </x:row>
    <x:row r="12">
      <x:c r="A12" s="119" t="str">
        <x:v>ЯТП (B08)</x:v>
      </x:c>
      <x:c r="B12" s="114" t="str">
        <x:v>Stajyer BOM'unda başlık var, iç malzeme yok</x:v>
      </x:c>
      <x:c r="C12" s="114" t="str">
        <x:v>Korpus, NDK-250 trafo, primer/sekonder koruma ve 36V priz eklendi</x:v>
      </x:c>
      <x:c r="D12" s="120" t="str">
        <x:v>Proje ekipman spesifikasyonu</x:v>
      </x:c>
    </x:row>
    <x:row r="13">
      <x:c r="A13" s="119" t="str">
        <x:v>ЯТП (B11)</x:v>
      </x:c>
      <x:c r="B13" s="114" t="str">
        <x:v>Stajyer BOM'unda başlık var, iç malzeme yok</x:v>
      </x:c>
      <x:c r="C13" s="114" t="str">
        <x:v>Korpus, NDK-250 trafo, primer/sekonder koruma ve 36V priz eklendi</x:v>
      </x:c>
      <x:c r="D13" s="120" t="str">
        <x:v>Proje ekipman spesifikasyonu</x:v>
      </x:c>
    </x:row>
    <x:row r="14">
      <x:c r="A14" s="119" t="str">
        <x:v>ЯТП (B14)</x:v>
      </x:c>
      <x:c r="B14" s="114" t="str">
        <x:v>Stajyer BOM'unda başlık var, iç malzeme yok</x:v>
      </x:c>
      <x:c r="C14" s="114" t="str">
        <x:v>Korpus, NDK-250 trafo, primer/sekonder koruma ve 36V priz eklendi</x:v>
      </x:c>
      <x:c r="D14" s="120" t="str">
        <x:v>Proje ekipman spesifikasyonu</x:v>
      </x:c>
    </x:row>
    <x:row r="15">
      <x:c r="A15" s="119" t="str">
        <x:v>ЯТП (B16)</x:v>
      </x:c>
      <x:c r="B15" s="114" t="str">
        <x:v>Stajyer BOM'unda başlık var, iç malzeme yok</x:v>
      </x:c>
      <x:c r="C15" s="114" t="str">
        <x:v>Korpus, NDK-250 trafo, primer/sekonder koruma ve 36V priz eklendi</x:v>
      </x:c>
      <x:c r="D15" s="120" t="str">
        <x:v>Proje ekipman spesifikasyonu</x:v>
      </x:c>
    </x:row>
    <x:row r="16">
      <x:c r="A16" s="119" t="str">
        <x:v>ЯТП (B18)</x:v>
      </x:c>
      <x:c r="B16" s="114" t="str">
        <x:v>Stajyer BOM'unda başlık var, iç malzeme yok</x:v>
      </x:c>
      <x:c r="C16" s="114" t="str">
        <x:v>Korpus, NDK-250 trafo, primer/sekonder koruma ve 36V priz eklendi</x:v>
      </x:c>
      <x:c r="D16" s="120" t="str">
        <x:v>Proje ekipman spesifikasyonu</x:v>
      </x:c>
    </x:row>
    <x:row r="17">
      <x:c r="A17" s="119" t="str">
        <x:v>ЯТП (B19)</x:v>
      </x:c>
      <x:c r="B17" s="114" t="str">
        <x:v>Stajyer BOM'unda başlık var, iç malzeme yok</x:v>
      </x:c>
      <x:c r="C17" s="114" t="str">
        <x:v>Korpus, NDK-250 trafo, primer/sekonder koruma ve 36V priz eklendi</x:v>
      </x:c>
      <x:c r="D17" s="120" t="str">
        <x:v>Proje ekipman spesifikasyonu</x:v>
      </x:c>
    </x:row>
    <x:row r="18">
      <x:c r="A18" s="119" t="str">
        <x:v>ЯТП (B26)</x:v>
      </x:c>
      <x:c r="B18" s="114" t="str">
        <x:v>Stajyer BOM'unda başlık var, iç malzeme yok</x:v>
      </x:c>
      <x:c r="C18" s="114" t="str">
        <x:v>Korpus, NDK-250 trafo, primer/sekonder koruma ve 36V priz eklendi</x:v>
      </x:c>
      <x:c r="D18" s="120" t="str">
        <x:v>Proje ekipman spesifikasyonu</x:v>
      </x:c>
    </x:row>
    <x:row r="19">
      <x:c r="A19" s="119" t="str">
        <x:v>ЯТП (B27)</x:v>
      </x:c>
      <x:c r="B19" s="114" t="str">
        <x:v>Stajyer BOM'unda başlık var, iç malzeme yok</x:v>
      </x:c>
      <x:c r="C19" s="114" t="str">
        <x:v>Korpus, NDK-250 trafo, primer/sekonder koruma ve 36V priz eklendi</x:v>
      </x:c>
      <x:c r="D19" s="120" t="str">
        <x:v>Proje ekipman spesifikasyonu</x:v>
      </x:c>
    </x:row>
    <x:row r="20">
      <x:c r="A20" s="119" t="str">
        <x:v>РПВ (В08)</x:v>
      </x:c>
      <x:c r="B20" s="114" t="str">
        <x:v>660x310x120 gövde; 8 kontaktör+termik ve 16 otomata fiziksel olarak yetersiz</x:v>
      </x:c>
      <x:c r="C20" s="114" t="str">
        <x:v>800x600x250 üretim gövdesi seçildi</x:v>
      </x:c>
      <x:c r="D20" s="120" t="str">
        <x:v>B08 tek hat + yerleşim kontrolü</x:v>
      </x:c>
    </x:row>
    <x:row r="21">
      <x:c r="A21" s="119" t="str">
        <x:v>РПВ (В11)</x:v>
      </x:c>
      <x:c r="B21" s="114" t="str">
        <x:v>Stajyer: 3P C16=3, 1P C16=2 ve 12 modül gövde</x:v>
      </x:c>
      <x:c r="C21" s="114" t="str">
        <x:v>Projeye göre 3P C16=1, 1P C16=4; kontaktör için 500x400x220 gövde</x:v>
      </x:c>
      <x:c r="D21" s="120" t="str">
        <x:v>B11 spec</x:v>
      </x:c>
    </x:row>
    <x:row r="22">
      <x:c r="A22" s="119" t="str">
        <x:v>РПВ (В16)</x:v>
      </x:c>
      <x:c r="B22" s="114" t="str">
        <x:v>Stajyer: 3P C16=2, 1P C16=5</x:v>
      </x:c>
      <x:c r="C22" s="114" t="str">
        <x:v>Projeye göre 3P C16=1, 1P C16=6; gövde büyütüldü</x:v>
      </x:c>
      <x:c r="D22" s="120" t="str">
        <x:v>B16 spec</x:v>
      </x:c>
    </x:row>
    <x:row r="23">
      <x:c r="A23" s="119" t="str">
        <x:v>ГРЩ (В18)</x:v>
      </x:c>
      <x:c r="B23" s="114" t="str">
        <x:v>Stajyer: 3P C25 iki adet, 1P C25 yok</x:v>
      </x:c>
      <x:c r="C23" s="114" t="str">
        <x:v>3P C25=1 + 1P C25=1 olarak düzeltildi</x:v>
      </x:c>
      <x:c r="D23" s="120" t="str">
        <x:v>B18 tek hat/spec</x:v>
      </x:c>
    </x:row>
    <x:row r="24">
      <x:c r="A24" s="119" t="str">
        <x:v>ПП (В25)</x:v>
      </x:c>
      <x:c r="B24" s="114" t="str">
        <x:v>Stajyer otomatik NXZM ATS seçmiş</x:v>
      </x:c>
      <x:c r="C24" s="114" t="str">
        <x:v>Projedeki ПП manuel paket/değiştirici şalter olarak düzeltildi</x:v>
      </x:c>
      <x:c r="D24" s="120" t="str">
        <x:v>İlgili proje spec</x:v>
      </x:c>
    </x:row>
    <x:row r="25">
      <x:c r="A25" s="119" t="str">
        <x:v>ПП (В26)</x:v>
      </x:c>
      <x:c r="B25" s="114" t="str">
        <x:v>Stajyer otomatik NXZM ATS seçmiş</x:v>
      </x:c>
      <x:c r="C25" s="114" t="str">
        <x:v>Projedeki ПП manuel paket/değiştirici şalter olarak düzeltildi</x:v>
      </x:c>
      <x:c r="D25" s="120" t="str">
        <x:v>İlgili proje spec</x:v>
      </x:c>
    </x:row>
    <x:row r="26">
      <x:c r="A26" s="119" t="str">
        <x:v>ПП (В28)</x:v>
      </x:c>
      <x:c r="B26" s="114" t="str">
        <x:v>Stajyer otomatik NXZM ATS seçmiş</x:v>
      </x:c>
      <x:c r="C26" s="114" t="str">
        <x:v>Projedeki ПП manuel paket/değiştirici şalter olarak düzeltildi</x:v>
      </x:c>
      <x:c r="D26" s="120" t="str">
        <x:v>İlgili proje spec</x:v>
      </x:c>
    </x:row>
    <x:row r="27">
      <x:c r="A27" s="119" t="str">
        <x:v>ЩАП23 (В25)</x:v>
      </x:c>
      <x:c r="B27" s="114" t="str">
        <x:v>Stajyer BOM'unda tek kontaktör + mekanik kilit var; ATS çalışmaz</x:v>
      </x:c>
      <x:c r="C27" s="114" t="str">
        <x:v>Entegre CHINT NXZM-63S/4B 25A 4P ATSE seçildi</x:v>
      </x:c>
      <x:c r="D27" s="120" t="str">
        <x:v>Proje: ЩАП 25A IP54</x:v>
      </x:c>
    </x:row>
    <x:row r="28">
      <x:c r="A28" s="119" t="str">
        <x:v>ЩАП25 (В26)</x:v>
      </x:c>
      <x:c r="B28" s="114" t="str">
        <x:v>Stajyer BOM'unda tek kontaktör + mekanik kilit var; ATS çalışmaz</x:v>
      </x:c>
      <x:c r="C28" s="114" t="str">
        <x:v>Entegre CHINT NXZM-63S/4B 25A 4P ATSE seçildi</x:v>
      </x:c>
      <x:c r="D28" s="120" t="str">
        <x:v>Proje: ЩАП 25A IP54</x:v>
      </x:c>
    </x:row>
    <x:row r="29">
      <x:c r="A29" s="119" t="str">
        <x:v>ЩАП25 (В27)</x:v>
      </x:c>
      <x:c r="B29" s="114" t="str">
        <x:v>Stajyer BOM'unda tek kontaktör + mekanik kilit var; ATS çalışmaz</x:v>
      </x:c>
      <x:c r="C29" s="114" t="str">
        <x:v>Entegre CHINT NXZM-63S/4B 25A 4P ATSE seçildi</x:v>
      </x:c>
      <x:c r="D29" s="120" t="str">
        <x:v>Proje: ЩАП 25A IP54</x:v>
      </x:c>
    </x:row>
    <x:row r="30">
      <x:c r="A30" s="119" t="str">
        <x:v>РПл-1 (В25)</x:v>
      </x:c>
      <x:c r="B30" s="114" t="str">
        <x:v>Stajyer: 3P C20=1 + 1P C20=1</x:v>
      </x:c>
      <x:c r="C30" s="114" t="str">
        <x:v>Projeye göre 3P C20=2; 1P C20 kaldırıldı</x:v>
      </x:c>
      <x:c r="D30" s="120" t="str">
        <x:v>B25 spec</x:v>
      </x:c>
    </x:row>
    <x:row r="31">
      <x:c r="A31" s="119" t="str">
        <x:v>Рпкух-1 (В25)</x:v>
      </x:c>
      <x:c r="B31" s="114" t="str">
        <x:v>Stajyer RCBO=5</x:v>
      </x:c>
      <x:c r="C31" s="114" t="str">
        <x:v>Projeye göre RCBO=4</x:v>
      </x:c>
      <x:c r="D31" s="120" t="str">
        <x:v>B25 spec</x:v>
      </x:c>
    </x:row>
    <x:row r="32">
      <x:c r="A32" s="119" t="str">
        <x:v>РПо-1 (В25)</x:v>
      </x:c>
      <x:c r="B32" s="114" t="str">
        <x:v>VD1KM 9A ve V5KM 18A kontaktörleri eksik</x:v>
      </x:c>
      <x:c r="C32" s="114" t="str">
        <x:v>NXC-09 ve NXC-18 eklendi</x:v>
      </x:c>
      <x:c r="D32" s="120" t="str">
        <x:v>B25 spec</x:v>
      </x:c>
    </x:row>
    <x:row r="33">
      <x:c r="A33" s="119" t="str">
        <x:v>ЩО-1 (В25)</x:v>
      </x:c>
      <x:c r="B33" s="114" t="str">
        <x:v>Girişte MCB kullanılmış</x:v>
      </x:c>
      <x:c r="C33" s="114" t="str">
        <x:v>Projeye göre yük ayırıcı 3P 20A seçildi</x:v>
      </x:c>
      <x:c r="D33" s="120" t="str">
        <x:v>B25 spec</x:v>
      </x:c>
    </x:row>
    <x:row r="34">
      <x:c r="A34" s="119" t="str">
        <x:v>ЩАО-1 (В25)</x:v>
      </x:c>
      <x:c r="B34" s="114" t="str">
        <x:v>Giriş 3P C16 seçilmiş</x:v>
      </x:c>
      <x:c r="C34" s="114" t="str">
        <x:v>Projeye göre 3P 20A yük ayırıcı ve 1P B10 çıkışlar</x:v>
      </x:c>
      <x:c r="D34" s="120" t="str">
        <x:v>B25 spec</x:v>
      </x:c>
    </x:row>
    <x:row r="35">
      <x:c r="A35" s="119" t="str">
        <x:v>ГРЩ (В26)</x:v>
      </x:c>
      <x:c r="B35" s="114" t="str">
        <x:v>660x310x120 gövde MCCB+RCBO+çıkışlar için yetersiz</x:v>
      </x:c>
      <x:c r="C35" s="114" t="str">
        <x:v>800x600x250 IP54 gövde seçildi</x:v>
      </x:c>
      <x:c r="D35" s="120" t="str">
        <x:v>B26 yerleşim kontrolü</x:v>
      </x:c>
    </x:row>
    <x:row r="36">
      <x:c r="A36" s="119" t="str">
        <x:v>Щ (В27)</x:v>
      </x:c>
      <x:c r="B36" s="114" t="str">
        <x:v>Stajyer 18 modül gövde kullanmış</x:v>
      </x:c>
      <x:c r="C36" s="114" t="str">
        <x:v>Projeye göre 24 modül gövde</x:v>
      </x:c>
      <x:c r="D36" s="120" t="str">
        <x:v>B27 auxiliary spec</x:v>
      </x:c>
    </x:row>
    <x:row r="37">
      <x:c r="A37" s="121" t="str">
        <x:v>РП (В28)</x:v>
      </x:c>
      <x:c r="B37" s="122" t="str">
        <x:v>3P32 cihazı MCCB olarak sınıflandırılmış</x:v>
      </x:c>
      <x:c r="C37" s="122" t="str">
        <x:v>NXB-63S MCB/ОТО olarak düzeltildi</x:v>
      </x:c>
      <x:c r="D37" s="123" t="str">
        <x:v>B28 spec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40" t="str">
        <x:v>Konu</x:v>
      </x:c>
      <x:c r="B1" s="141" t="str">
        <x:v>Durum / Karar</x:v>
      </x:c>
    </x:row>
    <x:row r="2">
      <x:c r="A2" s="119" t="str">
        <x:v>Ana kaynak</x:v>
      </x:c>
      <x:c r="B2" s="120" t="str">
        <x:v>Tek hat şemaları esas alındı. Ekipman spesifikasyonu doğrulama için kullanıldı; santral+karakol_catismayanlar dosyası çelişki kontrolü olarak değerlendirildi.</x:v>
      </x:c>
    </x:row>
    <x:row r="3">
      <x:c r="A3" s="119" t="str">
        <x:v>В27 10 kV ve 0,4 kV ana dağıtım</x:v>
      </x:c>
      <x:c r="B3" s="120" t="str">
        <x:v>KSO 10 kV hücreler, 2x1000 kVA trafolar, 1600 A ana AG dağıtım, 2x150 kVAr kompanzasyon ve DGU ana panosu stajyer Excel kapsamına alınmamış. Bu dosyada yardımcı AG panoları düzeltildi; ana sistem ayrı teknik BOM ve koruma koordinasyonu gerektirir.</x:v>
      </x:c>
    </x:row>
    <x:row r="4">
      <x:c r="A4" s="119" t="str">
        <x:v>KONTROL EDİLECEK satırlar</x:v>
      </x:c>
      <x:c r="B4" s="120" t="str">
        <x:v>Yeni eklenen TEKLED özel korpuslar, NH40 manuel değiştirici, NDK-250 trafo, bazı küçük MCB ve aksesuarların yerel CHINT/tedarikçi artikel ve fiyatları doğrulanmadan fiyat yazılmadı.</x:v>
      </x:c>
    </x:row>
    <x:row r="5">
      <x:c r="A5" s="119" t="str">
        <x:v>Fiyat toplamları</x:v>
      </x:c>
      <x:c r="B5" s="120" t="str">
        <x:v>KONTROL EDİLECEK kalemlerin fiyatları boş bırakıldığı için bölüm toplamları yalnızca fiyatı mevcut kalemleri toplar.</x:v>
      </x:c>
    </x:row>
    <x:row r="6">
      <x:c r="A6" s="119" t="str">
        <x:v>Panel adedi kuralı</x:v>
      </x:c>
      <x:c r="B6" s="120" t="str">
        <x:v>Pano adedi yalnız başlık satırında gösterildi. İç malzeme miktarları 1 pano içindir ve pano adediyle çarpılmadı.</x:v>
      </x:c>
    </x:row>
    <x:row r="7">
      <x:c r="A7" s="121" t="str">
        <x:v>Marka standardı</x:v>
      </x:c>
      <x:c r="B7" s="123" t="str">
        <x:v>Şalt CHINT; korpus TEKSAN/TEKLED; klemens/kanal EKT-Klemsan-Onka; iç kablo Harmony.</x:v>
      </x:c>
    </x:row>
  </x:sheetData>
  <x:pageMargins left="0.7" right="0.7" top="0.75" bottom="0.75" header="0.3" footer="0.3"/>
</x:worksheet>
</file>