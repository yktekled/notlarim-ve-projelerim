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azeri kirgizistan tekled ile\"/>
    </mc:Choice>
  </mc:AlternateContent>
  <xr:revisionPtr revIDLastSave="0" documentId="13_ncr:1_{662981FF-3753-4B80-8BD3-EF35CAED90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yat" sheetId="6" r:id="rId1"/>
  </sheets>
  <definedNames>
    <definedName name="_xlnm._FilterDatabase" localSheetId="0">fiyat!$A$1:$H$51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6" l="1"/>
  <c r="H49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2" i="6"/>
  <c r="H48" i="6" l="1"/>
</calcChain>
</file>

<file path=xl/sharedStrings.xml><?xml version="1.0" encoding="utf-8"?>
<sst xmlns="http://schemas.openxmlformats.org/spreadsheetml/2006/main" count="195" uniqueCount="62">
  <si>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</si>
  <si>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</si>
  <si>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</si>
  <si>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</si>
  <si>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</si>
  <si>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</si>
  <si>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</si>
  <si>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source</t>
  </si>
  <si>
    <t>ГРЩ (B01, B02, B03)</t>
  </si>
  <si>
    <t>комплект</t>
  </si>
  <si>
    <t>TEKSAN</t>
  </si>
  <si>
    <t>B01, B02, B03</t>
  </si>
  <si>
    <t>РПВ (B01, B02, B03)</t>
  </si>
  <si>
    <t>ЯТП-0,25-220/36 036УХЛ4</t>
  </si>
  <si>
    <t>ГРЩ (В08)</t>
  </si>
  <si>
    <t>B08</t>
  </si>
  <si>
    <t>РПВ (В08)</t>
  </si>
  <si>
    <t>ГРЩ (В11)</t>
  </si>
  <si>
    <t>B11</t>
  </si>
  <si>
    <t>РПВ (В11)</t>
  </si>
  <si>
    <t>ГРЩ (В14)</t>
  </si>
  <si>
    <t>B14</t>
  </si>
  <si>
    <t>РПВ (В14)</t>
  </si>
  <si>
    <t>ГРЩ (В16)</t>
  </si>
  <si>
    <t>B16</t>
  </si>
  <si>
    <t>РПВ (В16)</t>
  </si>
  <si>
    <t>ГРЩ (В18)</t>
  </si>
  <si>
    <t>B18</t>
  </si>
  <si>
    <t>РПВ (В18)</t>
  </si>
  <si>
    <t>ГРЩ (В19)</t>
  </si>
  <si>
    <t>B19</t>
  </si>
  <si>
    <t>РПВ (В19)</t>
  </si>
  <si>
    <t>ГРЩ (В25)</t>
  </si>
  <si>
    <t>B25</t>
  </si>
  <si>
    <t>ЩАП23 (В25)</t>
  </si>
  <si>
    <t>РПАвр (В25)</t>
  </si>
  <si>
    <t>РП-1 (В25)</t>
  </si>
  <si>
    <t>РПл-1 (В25)</t>
  </si>
  <si>
    <t>Рпкух-1 (В25)</t>
  </si>
  <si>
    <t>РПВ-1 (В25)</t>
  </si>
  <si>
    <t>РПо-1 (В25)</t>
  </si>
  <si>
    <t>ЩО-1 (В25)</t>
  </si>
  <si>
    <t>ЩАО-1 (В25)</t>
  </si>
  <si>
    <t>ГРЩ (В26)</t>
  </si>
  <si>
    <t>B26</t>
  </si>
  <si>
    <t>ЩАП25 (В26)</t>
  </si>
  <si>
    <t>РПВ-1 (В26)</t>
  </si>
  <si>
    <t>B27</t>
  </si>
  <si>
    <t>ЩАП25 (В27)</t>
  </si>
  <si>
    <t>Я511К-3074(В27)</t>
  </si>
  <si>
    <t>РП (В28)</t>
  </si>
  <si>
    <t>B28</t>
  </si>
  <si>
    <t>РПо-1 (В28)</t>
  </si>
  <si>
    <t>ЯВЗ-31-IP54 УХЛ2 100А</t>
  </si>
  <si>
    <t>Щ (В27)</t>
  </si>
  <si>
    <t xml:space="preserve">П1...П4-В1...В4 </t>
  </si>
  <si>
    <t xml:space="preserve">В1КМ </t>
  </si>
  <si>
    <t>ВД1КМ</t>
  </si>
  <si>
    <t>В5КМ</t>
  </si>
  <si>
    <t>toplam</t>
  </si>
  <si>
    <t>indirim</t>
  </si>
  <si>
    <t>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</si>
</sst>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rgb="FF000000"/>
      <name val="Arial"/>
      <family val="2"/>
      <charset val="204"/>
    </font>
    <font>
      <b/>
      <sz val="14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D96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4" fontId="7" fillId="0" borderId="0" xfId="0" applyNumberFormat="1" applyFont="1"/>
    <xf numFmtId="0" fontId="4" fillId="0" borderId="0" xfId="0" applyFont="1"/>
    <xf numFmtId="4" fontId="8" fillId="4" borderId="0" xfId="0" applyNumberFormat="1" applyFont="1" applyFill="1"/>
  </cellXfs>
  <cellStyles count="7">
    <cellStyle name="Normal" xfId="0" builtinId="0"/>
    <cellStyle name="Normal 2" xfId="4" xr:uid="{00000000-0005-0000-0000-000001000000}"/>
    <cellStyle name="Virgül" xfId="1" xr:uid="{00000000-0005-0000-0000-000002000000}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DA86-EDE4-4D48-BDB3-B3E0C44522B0}">
  <dimension ref="A1:H53"/>
  <sheetViews>
    <sheetView tabSelected="1" topLeftCell="A33" workbookViewId="0">
      <selection activeCell="J45" sqref="J45"/>
    </sheetView>
  </sheetViews>
  <sheetFormatPr defaultRowHeight="15" x14ac:dyDescent="0.25"/>
  <cols>
    <col min="2" max="2" width="63.140625" customWidth="1"/>
    <col min="3" max="6" width="16.28515625" customWidth="1"/>
    <col min="7" max="7" width="10.140625" bestFit="1" customWidth="1"/>
    <col min="8" max="8" width="23.28515625" customWidth="1"/>
  </cols>
  <sheetData>
    <row r="1" spans="1:8" ht="5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3</v>
      </c>
    </row>
    <row r="2" spans="1:8" ht="25.5" x14ac:dyDescent="0.25">
      <c r="A2" s="2"/>
      <c r="B2" s="2" t="s">
        <v>8</v>
      </c>
      <c r="C2" s="2">
        <v>1</v>
      </c>
      <c r="D2" s="2" t="s">
        <v>9</v>
      </c>
      <c r="E2" s="2" t="s">
        <v>10</v>
      </c>
      <c r="F2" s="2" t="s">
        <v>11</v>
      </c>
      <c r="G2" s="3">
        <v>156000</v>
      </c>
      <c r="H2" s="3">
        <f>G2*C2</f>
        <v>156000</v>
      </c>
    </row>
    <row r="3" spans="1:8" ht="25.5" x14ac:dyDescent="0.25">
      <c r="A3" s="2"/>
      <c r="B3" s="2" t="s">
        <v>12</v>
      </c>
      <c r="C3" s="2">
        <v>1</v>
      </c>
      <c r="D3" s="2" t="s">
        <v>9</v>
      </c>
      <c r="E3" s="2" t="s">
        <v>10</v>
      </c>
      <c r="F3" s="2" t="s">
        <v>11</v>
      </c>
      <c r="G3" s="3">
        <v>89000</v>
      </c>
      <c r="H3" s="3">
        <f>G3*C3</f>
        <v>89000</v>
      </c>
    </row>
    <row r="4" spans="1:8" ht="25.5" x14ac:dyDescent="0.25">
      <c r="A4" s="2"/>
      <c r="B4" s="2" t="s">
        <v>53</v>
      </c>
      <c r="C4" s="2">
        <v>1</v>
      </c>
      <c r="D4" s="2" t="s">
        <v>9</v>
      </c>
      <c r="E4" s="2" t="s">
        <v>10</v>
      </c>
      <c r="F4" s="2" t="s">
        <v>11</v>
      </c>
      <c r="G4" s="3">
        <v>51000</v>
      </c>
      <c r="H4" s="3">
        <f>G4*C4</f>
        <v>51000</v>
      </c>
    </row>
    <row r="5" spans="1:8" ht="25.5" x14ac:dyDescent="0.25">
      <c r="A5" s="2"/>
      <c r="B5" s="2" t="s">
        <v>14</v>
      </c>
      <c r="C5" s="2">
        <v>1</v>
      </c>
      <c r="D5" s="2" t="s">
        <v>9</v>
      </c>
      <c r="E5" s="2" t="s">
        <v>10</v>
      </c>
      <c r="F5" s="2" t="s">
        <v>15</v>
      </c>
      <c r="G5" s="3">
        <v>97000</v>
      </c>
      <c r="H5" s="3">
        <f>G5*C5</f>
        <v>97000</v>
      </c>
    </row>
    <row r="6" spans="1:8" ht="25.5" x14ac:dyDescent="0.25">
      <c r="A6" s="2"/>
      <c r="B6" s="2" t="s">
        <v>16</v>
      </c>
      <c r="C6" s="2">
        <v>1</v>
      </c>
      <c r="D6" s="2" t="s">
        <v>9</v>
      </c>
      <c r="E6" s="2" t="s">
        <v>10</v>
      </c>
      <c r="F6" s="2" t="s">
        <v>15</v>
      </c>
      <c r="G6" s="3">
        <v>123000</v>
      </c>
      <c r="H6" s="3">
        <f>G6*C6</f>
        <v>123000</v>
      </c>
    </row>
    <row r="7" spans="1:8" ht="25.5" x14ac:dyDescent="0.25">
      <c r="A7" s="2"/>
      <c r="B7" s="2" t="s">
        <v>55</v>
      </c>
      <c r="C7" s="2">
        <v>8</v>
      </c>
      <c r="D7" s="2" t="s">
        <v>9</v>
      </c>
      <c r="E7" s="2" t="s">
        <v>10</v>
      </c>
      <c r="F7" s="2" t="s">
        <v>15</v>
      </c>
      <c r="G7" s="3">
        <v>36000</v>
      </c>
      <c r="H7" s="3">
        <f>G7*C7</f>
        <v>288000</v>
      </c>
    </row>
    <row r="8" spans="1:8" ht="25.5" x14ac:dyDescent="0.25">
      <c r="A8" s="2"/>
      <c r="B8" s="2" t="s">
        <v>53</v>
      </c>
      <c r="C8" s="2">
        <v>1</v>
      </c>
      <c r="D8" s="2" t="s">
        <v>9</v>
      </c>
      <c r="E8" s="2" t="s">
        <v>10</v>
      </c>
      <c r="F8" s="2" t="s">
        <v>15</v>
      </c>
      <c r="G8" s="3">
        <v>51000</v>
      </c>
      <c r="H8" s="3">
        <f>G8*C8</f>
        <v>51000</v>
      </c>
    </row>
    <row r="9" spans="1:8" ht="25.5" x14ac:dyDescent="0.25">
      <c r="A9" s="2"/>
      <c r="B9" s="2" t="s">
        <v>17</v>
      </c>
      <c r="C9" s="2">
        <v>1</v>
      </c>
      <c r="D9" s="2" t="s">
        <v>9</v>
      </c>
      <c r="E9" s="2" t="s">
        <v>10</v>
      </c>
      <c r="F9" s="2" t="s">
        <v>18</v>
      </c>
      <c r="G9" s="3">
        <v>80000</v>
      </c>
      <c r="H9" s="3">
        <f>G9*C9</f>
        <v>80000</v>
      </c>
    </row>
    <row r="10" spans="1:8" ht="25.5" x14ac:dyDescent="0.25">
      <c r="A10" s="2"/>
      <c r="B10" s="2" t="s">
        <v>19</v>
      </c>
      <c r="C10" s="2">
        <v>1</v>
      </c>
      <c r="D10" s="2" t="s">
        <v>9</v>
      </c>
      <c r="E10" s="2" t="s">
        <v>10</v>
      </c>
      <c r="F10" s="2" t="s">
        <v>18</v>
      </c>
      <c r="G10" s="3">
        <v>51000</v>
      </c>
      <c r="H10" s="3">
        <f>G10*C10</f>
        <v>51000</v>
      </c>
    </row>
    <row r="11" spans="1:8" ht="25.5" x14ac:dyDescent="0.25">
      <c r="A11" s="2"/>
      <c r="B11" s="2" t="s">
        <v>56</v>
      </c>
      <c r="C11" s="2">
        <v>1</v>
      </c>
      <c r="D11" s="2" t="s">
        <v>9</v>
      </c>
      <c r="E11" s="2" t="s">
        <v>10</v>
      </c>
      <c r="F11" s="2" t="s">
        <v>18</v>
      </c>
      <c r="G11" s="3">
        <v>36000</v>
      </c>
      <c r="H11" s="3">
        <f>G11*C11</f>
        <v>36000</v>
      </c>
    </row>
    <row r="12" spans="1:8" ht="25.5" x14ac:dyDescent="0.25">
      <c r="A12" s="2"/>
      <c r="B12" s="2" t="s">
        <v>53</v>
      </c>
      <c r="C12" s="2">
        <v>1</v>
      </c>
      <c r="D12" s="2" t="s">
        <v>9</v>
      </c>
      <c r="E12" s="2" t="s">
        <v>10</v>
      </c>
      <c r="F12" s="2" t="s">
        <v>18</v>
      </c>
      <c r="G12" s="3">
        <v>51000</v>
      </c>
      <c r="H12" s="3">
        <f>G12*C12</f>
        <v>51000</v>
      </c>
    </row>
    <row r="13" spans="1:8" ht="25.5" x14ac:dyDescent="0.25">
      <c r="A13" s="2"/>
      <c r="B13" s="2" t="s">
        <v>20</v>
      </c>
      <c r="C13" s="2">
        <v>1</v>
      </c>
      <c r="D13" s="2" t="s">
        <v>9</v>
      </c>
      <c r="E13" s="2" t="s">
        <v>10</v>
      </c>
      <c r="F13" s="2" t="s">
        <v>21</v>
      </c>
      <c r="G13" s="3">
        <v>82000</v>
      </c>
      <c r="H13" s="3">
        <f>G13*C13</f>
        <v>82000</v>
      </c>
    </row>
    <row r="14" spans="1:8" ht="25.5" x14ac:dyDescent="0.25">
      <c r="A14" s="2"/>
      <c r="B14" s="2" t="s">
        <v>22</v>
      </c>
      <c r="C14" s="2">
        <v>1</v>
      </c>
      <c r="D14" s="2" t="s">
        <v>9</v>
      </c>
      <c r="E14" s="2" t="s">
        <v>10</v>
      </c>
      <c r="F14" s="2" t="s">
        <v>21</v>
      </c>
      <c r="G14" s="3">
        <v>37000</v>
      </c>
      <c r="H14" s="3">
        <f>G14*C14</f>
        <v>37000</v>
      </c>
    </row>
    <row r="15" spans="1:8" ht="25.5" x14ac:dyDescent="0.25">
      <c r="A15" s="2"/>
      <c r="B15" s="2" t="s">
        <v>53</v>
      </c>
      <c r="C15" s="2">
        <v>1</v>
      </c>
      <c r="D15" s="2" t="s">
        <v>9</v>
      </c>
      <c r="E15" s="2" t="s">
        <v>10</v>
      </c>
      <c r="F15" s="2" t="s">
        <v>21</v>
      </c>
      <c r="G15" s="3">
        <v>51000</v>
      </c>
      <c r="H15" s="3">
        <f>G15*C15</f>
        <v>51000</v>
      </c>
    </row>
    <row r="16" spans="1:8" ht="25.5" x14ac:dyDescent="0.25">
      <c r="A16" s="2"/>
      <c r="B16" s="2" t="s">
        <v>23</v>
      </c>
      <c r="C16" s="2">
        <v>1</v>
      </c>
      <c r="D16" s="2" t="s">
        <v>9</v>
      </c>
      <c r="E16" s="2" t="s">
        <v>10</v>
      </c>
      <c r="F16" s="2" t="s">
        <v>24</v>
      </c>
      <c r="G16" s="3">
        <v>126000</v>
      </c>
      <c r="H16" s="3">
        <f>G16*C16</f>
        <v>126000</v>
      </c>
    </row>
    <row r="17" spans="1:8" ht="25.5" x14ac:dyDescent="0.25">
      <c r="A17" s="2"/>
      <c r="B17" s="2" t="s">
        <v>25</v>
      </c>
      <c r="C17" s="2">
        <v>1</v>
      </c>
      <c r="D17" s="2" t="s">
        <v>9</v>
      </c>
      <c r="E17" s="2" t="s">
        <v>10</v>
      </c>
      <c r="F17" s="2" t="s">
        <v>24</v>
      </c>
      <c r="G17" s="3">
        <v>91000</v>
      </c>
      <c r="H17" s="3">
        <f>G17*C17</f>
        <v>91000</v>
      </c>
    </row>
    <row r="18" spans="1:8" ht="25.5" x14ac:dyDescent="0.25">
      <c r="A18" s="2"/>
      <c r="B18" s="2" t="s">
        <v>56</v>
      </c>
      <c r="C18" s="2">
        <v>1</v>
      </c>
      <c r="D18" s="2" t="s">
        <v>9</v>
      </c>
      <c r="E18" s="2" t="s">
        <v>10</v>
      </c>
      <c r="F18" s="2" t="s">
        <v>24</v>
      </c>
      <c r="G18" s="3">
        <v>36000</v>
      </c>
      <c r="H18" s="3">
        <f>G18*C18</f>
        <v>36000</v>
      </c>
    </row>
    <row r="19" spans="1:8" ht="25.5" x14ac:dyDescent="0.25">
      <c r="A19" s="2"/>
      <c r="B19" s="2" t="s">
        <v>53</v>
      </c>
      <c r="C19" s="2">
        <v>1</v>
      </c>
      <c r="D19" s="2" t="s">
        <v>9</v>
      </c>
      <c r="E19" s="2" t="s">
        <v>10</v>
      </c>
      <c r="F19" s="2" t="s">
        <v>24</v>
      </c>
      <c r="G19" s="3">
        <v>51000</v>
      </c>
      <c r="H19" s="3">
        <f>G19*C19</f>
        <v>51000</v>
      </c>
    </row>
    <row r="20" spans="1:8" ht="25.5" x14ac:dyDescent="0.25">
      <c r="A20" s="2"/>
      <c r="B20" s="2" t="s">
        <v>26</v>
      </c>
      <c r="C20" s="2">
        <v>1</v>
      </c>
      <c r="D20" s="2" t="s">
        <v>9</v>
      </c>
      <c r="E20" s="2" t="s">
        <v>10</v>
      </c>
      <c r="F20" s="2" t="s">
        <v>27</v>
      </c>
      <c r="G20" s="3">
        <v>93000</v>
      </c>
      <c r="H20" s="3">
        <f>G20*C20</f>
        <v>93000</v>
      </c>
    </row>
    <row r="21" spans="1:8" ht="25.5" x14ac:dyDescent="0.25">
      <c r="A21" s="2"/>
      <c r="B21" s="2" t="s">
        <v>28</v>
      </c>
      <c r="C21" s="2">
        <v>1</v>
      </c>
      <c r="D21" s="2" t="s">
        <v>9</v>
      </c>
      <c r="E21" s="2" t="s">
        <v>10</v>
      </c>
      <c r="F21" s="2" t="s">
        <v>27</v>
      </c>
      <c r="G21" s="3">
        <v>40000</v>
      </c>
      <c r="H21" s="3">
        <f>G21*C21</f>
        <v>40000</v>
      </c>
    </row>
    <row r="22" spans="1:8" ht="25.5" x14ac:dyDescent="0.25">
      <c r="A22" s="2"/>
      <c r="B22" s="2" t="s">
        <v>13</v>
      </c>
      <c r="C22" s="2">
        <v>1</v>
      </c>
      <c r="D22" s="2" t="s">
        <v>9</v>
      </c>
      <c r="E22" s="2" t="s">
        <v>10</v>
      </c>
      <c r="F22" s="2" t="s">
        <v>27</v>
      </c>
      <c r="G22" s="3">
        <v>53000</v>
      </c>
      <c r="H22" s="3">
        <f>G22*C22</f>
        <v>53000</v>
      </c>
    </row>
    <row r="23" spans="1:8" ht="25.5" x14ac:dyDescent="0.25">
      <c r="A23" s="2"/>
      <c r="B23" s="2" t="s">
        <v>29</v>
      </c>
      <c r="C23" s="2">
        <v>1</v>
      </c>
      <c r="D23" s="2" t="s">
        <v>9</v>
      </c>
      <c r="E23" s="2" t="s">
        <v>10</v>
      </c>
      <c r="F23" s="2" t="s">
        <v>30</v>
      </c>
      <c r="G23" s="3">
        <v>94000</v>
      </c>
      <c r="H23" s="3">
        <f>G23*C23</f>
        <v>94000</v>
      </c>
    </row>
    <row r="24" spans="1:8" ht="25.5" x14ac:dyDescent="0.25">
      <c r="A24" s="2"/>
      <c r="B24" s="2" t="s">
        <v>31</v>
      </c>
      <c r="C24" s="2">
        <v>1</v>
      </c>
      <c r="D24" s="2" t="s">
        <v>9</v>
      </c>
      <c r="E24" s="2" t="s">
        <v>10</v>
      </c>
      <c r="F24" s="2" t="s">
        <v>30</v>
      </c>
      <c r="G24" s="3">
        <v>38000</v>
      </c>
      <c r="H24" s="3">
        <f>G24*C24</f>
        <v>38000</v>
      </c>
    </row>
    <row r="25" spans="1:8" ht="25.5" x14ac:dyDescent="0.25">
      <c r="A25" s="2"/>
      <c r="B25" s="2" t="s">
        <v>53</v>
      </c>
      <c r="C25" s="2">
        <v>1</v>
      </c>
      <c r="D25" s="2" t="s">
        <v>9</v>
      </c>
      <c r="E25" s="2" t="s">
        <v>10</v>
      </c>
      <c r="F25" s="2" t="s">
        <v>30</v>
      </c>
      <c r="G25" s="3">
        <v>51000</v>
      </c>
      <c r="H25" s="3">
        <f>G25*C25</f>
        <v>51000</v>
      </c>
    </row>
    <row r="26" spans="1:8" ht="25.5" x14ac:dyDescent="0.25">
      <c r="A26" s="2"/>
      <c r="B26" s="2" t="s">
        <v>32</v>
      </c>
      <c r="C26" s="2">
        <v>1</v>
      </c>
      <c r="D26" s="2" t="s">
        <v>9</v>
      </c>
      <c r="E26" s="2" t="s">
        <v>10</v>
      </c>
      <c r="F26" s="2" t="s">
        <v>33</v>
      </c>
      <c r="G26" s="3">
        <v>117000</v>
      </c>
      <c r="H26" s="3">
        <f>G26*C26</f>
        <v>117000</v>
      </c>
    </row>
    <row r="27" spans="1:8" ht="25.5" x14ac:dyDescent="0.25">
      <c r="A27" s="2"/>
      <c r="B27" s="2" t="s">
        <v>34</v>
      </c>
      <c r="C27" s="2">
        <v>1</v>
      </c>
      <c r="D27" s="2" t="s">
        <v>9</v>
      </c>
      <c r="E27" s="2" t="s">
        <v>10</v>
      </c>
      <c r="F27" s="2" t="s">
        <v>33</v>
      </c>
      <c r="G27" s="3">
        <v>271000</v>
      </c>
      <c r="H27" s="3">
        <f>G27*C27</f>
        <v>271000</v>
      </c>
    </row>
    <row r="28" spans="1:8" ht="25.5" x14ac:dyDescent="0.25">
      <c r="A28" s="2"/>
      <c r="B28" s="2" t="s">
        <v>35</v>
      </c>
      <c r="C28" s="2">
        <v>1</v>
      </c>
      <c r="D28" s="2" t="s">
        <v>9</v>
      </c>
      <c r="E28" s="2" t="s">
        <v>10</v>
      </c>
      <c r="F28" s="2" t="s">
        <v>33</v>
      </c>
      <c r="G28" s="3">
        <v>150000</v>
      </c>
      <c r="H28" s="3">
        <f>G28*C28</f>
        <v>150000</v>
      </c>
    </row>
    <row r="29" spans="1:8" ht="25.5" x14ac:dyDescent="0.25">
      <c r="A29" s="2"/>
      <c r="B29" s="2" t="s">
        <v>36</v>
      </c>
      <c r="C29" s="2">
        <v>1</v>
      </c>
      <c r="D29" s="2" t="s">
        <v>9</v>
      </c>
      <c r="E29" s="2" t="s">
        <v>10</v>
      </c>
      <c r="F29" s="2" t="s">
        <v>33</v>
      </c>
      <c r="G29" s="3">
        <v>132000</v>
      </c>
      <c r="H29" s="3">
        <f>G29*C29</f>
        <v>132000</v>
      </c>
    </row>
    <row r="30" spans="1:8" ht="25.5" x14ac:dyDescent="0.25">
      <c r="A30" s="2"/>
      <c r="B30" s="2" t="s">
        <v>37</v>
      </c>
      <c r="C30" s="2">
        <v>1</v>
      </c>
      <c r="D30" s="2" t="s">
        <v>9</v>
      </c>
      <c r="E30" s="2" t="s">
        <v>10</v>
      </c>
      <c r="F30" s="2" t="s">
        <v>33</v>
      </c>
      <c r="G30" s="3">
        <v>204000</v>
      </c>
      <c r="H30" s="3">
        <f>G30*C30</f>
        <v>204000</v>
      </c>
    </row>
    <row r="31" spans="1:8" ht="25.5" x14ac:dyDescent="0.25">
      <c r="A31" s="2"/>
      <c r="B31" s="2" t="s">
        <v>38</v>
      </c>
      <c r="C31" s="2">
        <v>1</v>
      </c>
      <c r="D31" s="2" t="s">
        <v>9</v>
      </c>
      <c r="E31" s="2" t="s">
        <v>10</v>
      </c>
      <c r="F31" s="2" t="s">
        <v>33</v>
      </c>
      <c r="G31" s="3">
        <v>100000</v>
      </c>
      <c r="H31" s="3">
        <f>G31*C31</f>
        <v>100000</v>
      </c>
    </row>
    <row r="32" spans="1:8" ht="25.5" x14ac:dyDescent="0.25">
      <c r="A32" s="2"/>
      <c r="B32" s="2" t="s">
        <v>39</v>
      </c>
      <c r="C32" s="2">
        <v>1</v>
      </c>
      <c r="D32" s="2" t="s">
        <v>9</v>
      </c>
      <c r="E32" s="2" t="s">
        <v>10</v>
      </c>
      <c r="F32" s="2" t="s">
        <v>33</v>
      </c>
      <c r="G32" s="3">
        <v>41000</v>
      </c>
      <c r="H32" s="3">
        <f>G32*C32</f>
        <v>41000</v>
      </c>
    </row>
    <row r="33" spans="1:8" ht="25.5" x14ac:dyDescent="0.25">
      <c r="A33" s="2"/>
      <c r="B33" s="2" t="s">
        <v>40</v>
      </c>
      <c r="C33" s="2">
        <v>1</v>
      </c>
      <c r="D33" s="2" t="s">
        <v>9</v>
      </c>
      <c r="E33" s="2" t="s">
        <v>10</v>
      </c>
      <c r="F33" s="2" t="s">
        <v>33</v>
      </c>
      <c r="G33" s="3">
        <v>132000</v>
      </c>
      <c r="H33" s="3">
        <f>G33*C33</f>
        <v>132000</v>
      </c>
    </row>
    <row r="34" spans="1:8" ht="25.5" x14ac:dyDescent="0.25">
      <c r="A34" s="2"/>
      <c r="B34" s="2" t="s">
        <v>57</v>
      </c>
      <c r="C34" s="2">
        <v>1</v>
      </c>
      <c r="D34" s="2" t="s">
        <v>9</v>
      </c>
      <c r="E34" s="2" t="s">
        <v>10</v>
      </c>
      <c r="F34" s="2" t="s">
        <v>33</v>
      </c>
      <c r="G34" s="3">
        <v>36000</v>
      </c>
      <c r="H34" s="3">
        <f>G34*C34</f>
        <v>36000</v>
      </c>
    </row>
    <row r="35" spans="1:8" ht="25.5" x14ac:dyDescent="0.25">
      <c r="A35" s="2"/>
      <c r="B35" s="2" t="s">
        <v>58</v>
      </c>
      <c r="C35" s="2">
        <v>1</v>
      </c>
      <c r="D35" s="2" t="s">
        <v>9</v>
      </c>
      <c r="E35" s="2" t="s">
        <v>10</v>
      </c>
      <c r="F35" s="2" t="s">
        <v>33</v>
      </c>
      <c r="G35" s="3">
        <v>36000</v>
      </c>
      <c r="H35" s="3">
        <f>G35*C35</f>
        <v>36000</v>
      </c>
    </row>
    <row r="36" spans="1:8" ht="25.5" x14ac:dyDescent="0.25">
      <c r="A36" s="2"/>
      <c r="B36" s="2" t="s">
        <v>41</v>
      </c>
      <c r="C36" s="2">
        <v>1</v>
      </c>
      <c r="D36" s="2" t="s">
        <v>9</v>
      </c>
      <c r="E36" s="2" t="s">
        <v>10</v>
      </c>
      <c r="F36" s="2" t="s">
        <v>33</v>
      </c>
      <c r="G36" s="3">
        <v>46000</v>
      </c>
      <c r="H36" s="3">
        <f>G36*C36</f>
        <v>46000</v>
      </c>
    </row>
    <row r="37" spans="1:8" ht="25.5" x14ac:dyDescent="0.25">
      <c r="A37" s="2"/>
      <c r="B37" s="2" t="s">
        <v>42</v>
      </c>
      <c r="C37" s="2">
        <v>1</v>
      </c>
      <c r="D37" s="2" t="s">
        <v>9</v>
      </c>
      <c r="E37" s="2" t="s">
        <v>10</v>
      </c>
      <c r="F37" s="2" t="s">
        <v>33</v>
      </c>
      <c r="G37" s="3">
        <v>37000</v>
      </c>
      <c r="H37" s="3">
        <f>G37*C37</f>
        <v>37000</v>
      </c>
    </row>
    <row r="38" spans="1:8" ht="25.5" x14ac:dyDescent="0.25">
      <c r="A38" s="2"/>
      <c r="B38" s="2" t="s">
        <v>43</v>
      </c>
      <c r="C38" s="2">
        <v>1</v>
      </c>
      <c r="D38" s="2" t="s">
        <v>9</v>
      </c>
      <c r="E38" s="2" t="s">
        <v>10</v>
      </c>
      <c r="F38" s="2" t="s">
        <v>44</v>
      </c>
      <c r="G38" s="3">
        <v>283000</v>
      </c>
      <c r="H38" s="3">
        <f>G38*C38</f>
        <v>283000</v>
      </c>
    </row>
    <row r="39" spans="1:8" ht="25.5" x14ac:dyDescent="0.25">
      <c r="A39" s="2"/>
      <c r="B39" s="2" t="s">
        <v>53</v>
      </c>
      <c r="C39" s="2">
        <v>1</v>
      </c>
      <c r="D39" s="2" t="s">
        <v>9</v>
      </c>
      <c r="E39" s="2" t="s">
        <v>10</v>
      </c>
      <c r="F39" s="2" t="s">
        <v>44</v>
      </c>
      <c r="G39" s="3">
        <v>51000</v>
      </c>
      <c r="H39" s="3">
        <f>G39*C39</f>
        <v>51000</v>
      </c>
    </row>
    <row r="40" spans="1:8" ht="25.5" x14ac:dyDescent="0.25">
      <c r="A40" s="2"/>
      <c r="B40" s="2" t="s">
        <v>45</v>
      </c>
      <c r="C40" s="2">
        <v>1</v>
      </c>
      <c r="D40" s="2" t="s">
        <v>9</v>
      </c>
      <c r="E40" s="2" t="s">
        <v>10</v>
      </c>
      <c r="F40" s="2" t="s">
        <v>44</v>
      </c>
      <c r="G40" s="3">
        <v>28000</v>
      </c>
      <c r="H40" s="3">
        <f>G40*C40</f>
        <v>28000</v>
      </c>
    </row>
    <row r="41" spans="1:8" ht="25.5" x14ac:dyDescent="0.25">
      <c r="A41" s="2"/>
      <c r="B41" s="2" t="s">
        <v>46</v>
      </c>
      <c r="C41" s="2">
        <v>1</v>
      </c>
      <c r="D41" s="2" t="s">
        <v>9</v>
      </c>
      <c r="E41" s="2" t="s">
        <v>10</v>
      </c>
      <c r="F41" s="2" t="s">
        <v>44</v>
      </c>
      <c r="G41" s="3">
        <v>5000</v>
      </c>
      <c r="H41" s="3">
        <f>G41*C41</f>
        <v>5000</v>
      </c>
    </row>
    <row r="42" spans="1:8" ht="25.5" x14ac:dyDescent="0.25">
      <c r="A42" s="2"/>
      <c r="B42" s="2" t="s">
        <v>54</v>
      </c>
      <c r="C42" s="2">
        <v>1</v>
      </c>
      <c r="D42" s="2" t="s">
        <v>9</v>
      </c>
      <c r="E42" s="2" t="s">
        <v>10</v>
      </c>
      <c r="F42" s="2" t="s">
        <v>47</v>
      </c>
      <c r="G42" s="3">
        <v>280000</v>
      </c>
      <c r="H42" s="3">
        <f>G42*C42</f>
        <v>280000</v>
      </c>
    </row>
    <row r="43" spans="1:8" ht="25.5" x14ac:dyDescent="0.25">
      <c r="A43" s="2"/>
      <c r="B43" s="2" t="s">
        <v>48</v>
      </c>
      <c r="C43" s="2">
        <v>1</v>
      </c>
      <c r="D43" s="2" t="s">
        <v>9</v>
      </c>
      <c r="E43" s="2" t="s">
        <v>10</v>
      </c>
      <c r="F43" s="2" t="s">
        <v>47</v>
      </c>
      <c r="G43" s="3">
        <v>48000</v>
      </c>
      <c r="H43" s="3">
        <f>G43*C43</f>
        <v>48000</v>
      </c>
    </row>
    <row r="44" spans="1:8" ht="25.5" x14ac:dyDescent="0.25">
      <c r="A44" s="2"/>
      <c r="B44" s="2" t="s">
        <v>13</v>
      </c>
      <c r="C44" s="2">
        <v>1</v>
      </c>
      <c r="D44" s="2" t="s">
        <v>9</v>
      </c>
      <c r="E44" s="2" t="s">
        <v>10</v>
      </c>
      <c r="F44" s="2" t="s">
        <v>47</v>
      </c>
      <c r="G44" s="3">
        <v>53000</v>
      </c>
      <c r="H44" s="3">
        <f>G44*C44</f>
        <v>53000</v>
      </c>
    </row>
    <row r="45" spans="1:8" ht="25.5" x14ac:dyDescent="0.25">
      <c r="A45" s="2"/>
      <c r="B45" s="2" t="s">
        <v>49</v>
      </c>
      <c r="C45" s="2">
        <v>1</v>
      </c>
      <c r="D45" s="2" t="s">
        <v>9</v>
      </c>
      <c r="E45" s="2" t="s">
        <v>10</v>
      </c>
      <c r="F45" s="2" t="s">
        <v>47</v>
      </c>
      <c r="G45" s="3">
        <v>28000</v>
      </c>
      <c r="H45" s="3">
        <f>G45*C45</f>
        <v>28000</v>
      </c>
    </row>
    <row r="46" spans="1:8" ht="25.5" x14ac:dyDescent="0.25">
      <c r="A46" s="2"/>
      <c r="B46" s="2" t="s">
        <v>50</v>
      </c>
      <c r="C46" s="2">
        <v>1</v>
      </c>
      <c r="D46" s="2" t="s">
        <v>9</v>
      </c>
      <c r="E46" s="2" t="s">
        <v>10</v>
      </c>
      <c r="F46" s="2" t="s">
        <v>51</v>
      </c>
      <c r="G46" s="3">
        <v>5000</v>
      </c>
      <c r="H46" s="3">
        <f>G46*C46</f>
        <v>5000</v>
      </c>
    </row>
    <row r="47" spans="1:8" ht="25.5" x14ac:dyDescent="0.25">
      <c r="A47" s="2"/>
      <c r="B47" s="2" t="s">
        <v>52</v>
      </c>
      <c r="C47" s="2">
        <v>1</v>
      </c>
      <c r="D47" s="2" t="s">
        <v>9</v>
      </c>
      <c r="E47" s="2" t="s">
        <v>10</v>
      </c>
      <c r="F47" s="2" t="s">
        <v>51</v>
      </c>
      <c r="G47" s="3">
        <v>280000</v>
      </c>
      <c r="H47" s="3">
        <f>G47*C47</f>
        <v>280000</v>
      </c>
    </row>
    <row r="48" spans="1:8" ht="18.75" x14ac:dyDescent="0.3">
      <c r="G48" s="5" t="s">
        <v>59</v>
      </c>
      <c r="H48" s="4">
        <f>SUM(H2:H47)</f>
        <v>4279000</v>
      </c>
    </row>
    <row r="49" spans="7:8" ht="18.75" x14ac:dyDescent="0.3">
      <c r="G49" s="5" t="s">
        <v>60</v>
      </c>
      <c r="H49" s="4">
        <f>H48*0.3</f>
        <v>1283700</v>
      </c>
    </row>
    <row r="50" spans="7:8" ht="23.25" x14ac:dyDescent="0.35">
      <c r="G50" s="5" t="s">
        <v>61</v>
      </c>
      <c r="H50" s="6">
        <f>H48-H49</f>
        <v>2995300</v>
      </c>
    </row>
    <row r="51" spans="7:8" ht="18.75" x14ac:dyDescent="0.3">
      <c r="H51" s="4"/>
    </row>
    <row r="52" spans="7:8" ht="18.75" x14ac:dyDescent="0.3">
      <c r="H52" s="4"/>
    </row>
    <row r="53" spans="7:8" ht="18.75" x14ac:dyDescent="0.3">
      <c r="H53" s="4"/>
    </row>
  </sheetData>
  <autoFilter ref="A1:H51" xr:uid="{A125DA86-EDE4-4D48-BDB3-B3E0C44522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fiyat</vt:lpstr>
      <vt:lpstr>fiyat!_VeritabaniniFiltrele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created xsi:type="dcterms:W3CDTF">2026-07-30T09:15:18Z</dcterms:created>
  <dcterms:modified xsi:type="dcterms:W3CDTF">2026-07-30T13:22:59Z</dcterms:modified>
</cp:coreProperties>
</file>