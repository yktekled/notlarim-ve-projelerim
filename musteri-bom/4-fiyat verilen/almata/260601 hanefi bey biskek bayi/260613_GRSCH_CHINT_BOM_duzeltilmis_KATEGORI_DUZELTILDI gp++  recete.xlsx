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01 hanefi bey biskek bayi\"/>
    </mc:Choice>
  </mc:AlternateContent>
  <xr:revisionPtr revIDLastSave="0" documentId="13_ncr:1_{C98D0F00-D67B-47F9-B011-7302CB6C2F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2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8" l="1"/>
  <c r="F39" i="8" s="1"/>
  <c r="E38" i="8"/>
  <c r="F38" i="8" s="1"/>
  <c r="E37" i="8"/>
  <c r="F37" i="8" s="1"/>
  <c r="E36" i="8"/>
  <c r="F36" i="8" s="1"/>
  <c r="E35" i="8"/>
  <c r="F35" i="8" s="1"/>
  <c r="F34" i="8"/>
  <c r="E34" i="8"/>
  <c r="F33" i="8"/>
  <c r="E33" i="8"/>
  <c r="E32" i="8"/>
  <c r="F32" i="8" s="1"/>
  <c r="E31" i="8"/>
  <c r="F31" i="8" s="1"/>
  <c r="E30" i="8"/>
  <c r="F30" i="8" s="1"/>
  <c r="E29" i="8"/>
  <c r="F29" i="8" s="1"/>
  <c r="F28" i="8"/>
  <c r="E28" i="8"/>
  <c r="F27" i="8"/>
  <c r="E27" i="8"/>
  <c r="E26" i="8"/>
  <c r="F26" i="8" s="1"/>
  <c r="E25" i="8"/>
  <c r="F25" i="8" s="1"/>
  <c r="E24" i="8"/>
  <c r="F24" i="8" s="1"/>
  <c r="E23" i="8"/>
  <c r="F23" i="8" s="1"/>
  <c r="F22" i="8"/>
  <c r="F40" i="8" s="1"/>
  <c r="E22" i="8"/>
  <c r="G19" i="8"/>
  <c r="F19" i="8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8" i="8"/>
  <c r="F8" i="8" s="1"/>
  <c r="E7" i="8"/>
  <c r="F7" i="8" s="1"/>
  <c r="E6" i="8"/>
  <c r="F6" i="8" s="1"/>
  <c r="E5" i="8"/>
  <c r="F5" i="8" s="1"/>
  <c r="E4" i="8"/>
  <c r="F4" i="8" s="1"/>
  <c r="E3" i="8"/>
  <c r="F3" i="8" s="1"/>
  <c r="F20" i="8" l="1"/>
</calcChain>
</file>

<file path=xl/sharedStrings.xml><?xml version="1.0" encoding="utf-8"?>
<sst xmlns="http://schemas.openxmlformats.org/spreadsheetml/2006/main" count="189" uniqueCount="87">
  <si>
    <t>Kategori</t>
  </si>
  <si>
    <t>Ürün Kodu</t>
  </si>
  <si>
    <t>Ürün İsmi/Açıklama</t>
  </si>
  <si>
    <t>Miktar</t>
  </si>
  <si>
    <t>Birim</t>
  </si>
  <si>
    <t>Marka/Tedarikçi</t>
  </si>
  <si>
    <t>korpus</t>
  </si>
  <si>
    <t>Корпус вводно-распределительного щита, напольный, 2 секции, с цоколем 100 мм</t>
  </si>
  <si>
    <t>шт</t>
  </si>
  <si>
    <t>mccb</t>
  </si>
  <si>
    <t>131373</t>
  </si>
  <si>
    <t>CHINT</t>
  </si>
  <si>
    <t>tt</t>
  </si>
  <si>
    <t>TBD</t>
  </si>
  <si>
    <t>Счетчик Меркурий 234 ARTM-03</t>
  </si>
  <si>
    <t>Меркурий / analog</t>
  </si>
  <si>
    <t>296839</t>
  </si>
  <si>
    <t>296713</t>
  </si>
  <si>
    <t>296712</t>
  </si>
  <si>
    <t>mcb</t>
  </si>
  <si>
    <t>296708</t>
  </si>
  <si>
    <t>dif</t>
  </si>
  <si>
    <t>contactor</t>
  </si>
  <si>
    <t>256054</t>
  </si>
  <si>
    <t>Контактор модульный NCH8-20/20</t>
  </si>
  <si>
    <t>bara</t>
  </si>
  <si>
    <t>м</t>
  </si>
  <si>
    <t>монтажный материал</t>
  </si>
  <si>
    <t>набор</t>
  </si>
  <si>
    <t>296840</t>
  </si>
  <si>
    <t>fotorele</t>
  </si>
  <si>
    <t>DIN-рейка, кабель-канал, клеммы, маркировка, наконечники</t>
  </si>
  <si>
    <t>rubilnik</t>
  </si>
  <si>
    <t>комл.</t>
  </si>
  <si>
    <t>TEKLED</t>
  </si>
  <si>
    <t>цена</t>
  </si>
  <si>
    <t>сумм.</t>
  </si>
  <si>
    <t>TEKSAN-R1-1800x800x450</t>
  </si>
  <si>
    <t>TEKSAN-R1-1800x600x450</t>
  </si>
  <si>
    <t>finder</t>
  </si>
  <si>
    <t>finder yuva</t>
  </si>
  <si>
    <t>130200009_</t>
  </si>
  <si>
    <t xml:space="preserve">                Шина алюм АД31Т  5х40х4000</t>
  </si>
  <si>
    <t>836780</t>
  </si>
  <si>
    <t>Контактор NXC-40 40A 220В/АС3 1НО+1НЗ 50Гц (R)</t>
  </si>
  <si>
    <t>218849</t>
  </si>
  <si>
    <t>Механическая блокировка для NXC-40-65 (R)</t>
  </si>
  <si>
    <t>mekanik kilit</t>
  </si>
  <si>
    <t>515388</t>
  </si>
  <si>
    <t>Диф. авт. выкл. NXBLE-63YH 1P+N C20 30mA тип A, 6kA (R)</t>
  </si>
  <si>
    <t>D003173</t>
  </si>
  <si>
    <t>FOTORELE DIN-1(FR)2-100LK 25A 3000W EKF PROXIMA</t>
  </si>
  <si>
    <t>kaztek</t>
  </si>
  <si>
    <t>270100173_</t>
  </si>
  <si>
    <t xml:space="preserve">                    Рубильник ВР-32-39  В71250-630А на 2 направления (+6 камер) UNIT (1/2)</t>
  </si>
  <si>
    <t>pys</t>
  </si>
  <si>
    <t>270300025_</t>
  </si>
  <si>
    <t xml:space="preserve">             Трансформатор тока ТТИ-40  400/5А  5ВА  класс 0,5  IEK</t>
  </si>
  <si>
    <t>574849</t>
  </si>
  <si>
    <t>Переключатель NP2-BD33, 3 положения с фиксацией, 2НО IP40</t>
  </si>
  <si>
    <t>714-15116</t>
  </si>
  <si>
    <t>Щит мет. ЩРн-5-2 PR (1000x650x300) IP54 (TS)</t>
  </si>
  <si>
    <t>Авт. выкл. NXB-63S 3P 10А 4.5kA х-ка D (R)</t>
  </si>
  <si>
    <t>Авт. выкл. NXB-63S 1P 32А 4.5kA х-ка C (R)</t>
  </si>
  <si>
    <t>Авт. выкл. NXB-63S 1P 25А 4.5kA х-ка C (R)</t>
  </si>
  <si>
    <t>Авт. выкл. NXB-63S 1P 6А 4.5kA х-ка C (R)</t>
  </si>
  <si>
    <t>296830</t>
  </si>
  <si>
    <t>Авт. выкл. NXB-63S 3P 32А 4.5kA х-ка C (R)</t>
  </si>
  <si>
    <t>Авт. выкл. NXB-63S 3P 16А 4.5kA х-ка D (R)</t>
  </si>
  <si>
    <t>Авт. выкл. NXM-400S/3Р 400A 50кА (R)</t>
  </si>
  <si>
    <t>131363</t>
  </si>
  <si>
    <t>Авт. выкл. NXM-125S/3Р 125A 25кА (R)</t>
  </si>
  <si>
    <t>285448</t>
  </si>
  <si>
    <t>Промежуточное реле JZX-22F(D) 4 конт. с инд. LED 3А 220В AC (R)</t>
  </si>
  <si>
    <t>285976</t>
  </si>
  <si>
    <t>Розетка CZY14A для JZX-22F(D) 4 контакта</t>
  </si>
  <si>
    <t>faz rele</t>
  </si>
  <si>
    <t>310008</t>
  </si>
  <si>
    <t>Реле контроля фаз NJB1-X AC380V (R)</t>
  </si>
  <si>
    <t>монтажный rabota</t>
  </si>
  <si>
    <t>ГРЩ1 (с счетчиком- без АВР)</t>
  </si>
  <si>
    <t>ГРЩ2 (с счетчиком- с АВР)</t>
  </si>
  <si>
    <t>mandal</t>
  </si>
  <si>
    <t>wh</t>
  </si>
  <si>
    <t>timer</t>
  </si>
  <si>
    <t>257987</t>
  </si>
  <si>
    <t>Реле времени NTE8-B (задержка времени включения)  1-10с, 1НО, AC230В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</si>
</sst>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418B-2D02-4853-92AE-26B9BB106EC3}">
  <dimension ref="A1:I40"/>
  <sheetViews>
    <sheetView tabSelected="1" workbookViewId="0">
      <selection activeCell="B14" sqref="B14"/>
    </sheetView>
  </sheetViews>
  <sheetFormatPr defaultRowHeight="27" customHeight="1"/>
  <cols>
    <col min="2" max="2" width="13" customWidth="1"/>
    <col min="3" max="3" width="40.125" customWidth="1"/>
  </cols>
  <sheetData>
    <row r="1" spans="1:9" ht="27" customHeight="1">
      <c r="A1" s="2" t="s">
        <v>0</v>
      </c>
      <c r="B1" s="2" t="s">
        <v>1</v>
      </c>
      <c r="C1" s="2" t="s">
        <v>2</v>
      </c>
      <c r="D1" s="2" t="s">
        <v>35</v>
      </c>
      <c r="E1" s="2" t="s">
        <v>35</v>
      </c>
      <c r="F1" s="2" t="s">
        <v>36</v>
      </c>
      <c r="G1" s="2" t="s">
        <v>3</v>
      </c>
      <c r="H1" s="2" t="s">
        <v>4</v>
      </c>
      <c r="I1" s="2" t="s">
        <v>5</v>
      </c>
    </row>
    <row r="2" spans="1:9" ht="27" customHeight="1">
      <c r="A2" s="4"/>
      <c r="B2" s="4"/>
      <c r="C2" s="5" t="s">
        <v>80</v>
      </c>
      <c r="D2" s="5"/>
      <c r="E2" s="5"/>
      <c r="F2" s="5"/>
      <c r="G2" s="5">
        <v>1</v>
      </c>
      <c r="H2" s="5" t="s">
        <v>33</v>
      </c>
      <c r="I2" s="5" t="s">
        <v>34</v>
      </c>
    </row>
    <row r="3" spans="1:9" ht="27" customHeight="1">
      <c r="A3" s="1" t="s">
        <v>6</v>
      </c>
      <c r="B3" s="1" t="s">
        <v>37</v>
      </c>
      <c r="C3" s="1" t="s">
        <v>7</v>
      </c>
      <c r="D3" s="1">
        <v>165000</v>
      </c>
      <c r="E3" s="1">
        <f>D3*0.6</f>
        <v>99000</v>
      </c>
      <c r="F3" s="1">
        <f t="shared" ref="F3:F15" si="0">E3*G3</f>
        <v>99000</v>
      </c>
      <c r="G3" s="3">
        <v>1</v>
      </c>
      <c r="H3" s="3" t="s">
        <v>8</v>
      </c>
      <c r="I3" s="3" t="s">
        <v>52</v>
      </c>
    </row>
    <row r="4" spans="1:9" ht="27" customHeight="1">
      <c r="A4" s="1" t="s">
        <v>6</v>
      </c>
      <c r="B4" s="1" t="s">
        <v>38</v>
      </c>
      <c r="C4" s="1" t="s">
        <v>7</v>
      </c>
      <c r="D4" s="1">
        <v>145000</v>
      </c>
      <c r="E4" s="1">
        <f>D4*0.6</f>
        <v>87000</v>
      </c>
      <c r="F4" s="1">
        <f t="shared" si="0"/>
        <v>87000</v>
      </c>
      <c r="G4" s="3">
        <v>1</v>
      </c>
      <c r="H4" s="3" t="s">
        <v>8</v>
      </c>
      <c r="I4" s="3" t="s">
        <v>52</v>
      </c>
    </row>
    <row r="5" spans="1:9" ht="27" customHeight="1">
      <c r="A5" s="1" t="s">
        <v>32</v>
      </c>
      <c r="B5" s="1" t="s">
        <v>53</v>
      </c>
      <c r="C5" s="1" t="s">
        <v>54</v>
      </c>
      <c r="D5" s="1">
        <v>48003</v>
      </c>
      <c r="E5" s="1">
        <f>D5</f>
        <v>48003</v>
      </c>
      <c r="F5" s="1">
        <f t="shared" si="0"/>
        <v>96006</v>
      </c>
      <c r="G5" s="3">
        <v>2</v>
      </c>
      <c r="H5" s="3" t="s">
        <v>8</v>
      </c>
      <c r="I5" s="3" t="s">
        <v>55</v>
      </c>
    </row>
    <row r="6" spans="1:9" ht="27" customHeight="1">
      <c r="A6" s="1" t="s">
        <v>9</v>
      </c>
      <c r="B6" s="1" t="s">
        <v>10</v>
      </c>
      <c r="C6" s="1" t="s">
        <v>69</v>
      </c>
      <c r="D6" s="1">
        <v>74241</v>
      </c>
      <c r="E6" s="1">
        <f>D6*0.6</f>
        <v>44544.6</v>
      </c>
      <c r="F6" s="1">
        <f t="shared" si="0"/>
        <v>89089.2</v>
      </c>
      <c r="G6" s="3">
        <v>2</v>
      </c>
      <c r="H6" s="3" t="s">
        <v>8</v>
      </c>
      <c r="I6" s="3" t="s">
        <v>11</v>
      </c>
    </row>
    <row r="7" spans="1:9" ht="27" customHeight="1">
      <c r="A7" s="1" t="s">
        <v>12</v>
      </c>
      <c r="B7" s="1" t="s">
        <v>56</v>
      </c>
      <c r="C7" s="1" t="s">
        <v>57</v>
      </c>
      <c r="D7" s="1">
        <v>6500</v>
      </c>
      <c r="E7" s="1">
        <f t="shared" ref="E7:E8" si="1">D7</f>
        <v>6500</v>
      </c>
      <c r="F7" s="1">
        <f t="shared" si="0"/>
        <v>39000</v>
      </c>
      <c r="G7" s="3">
        <v>6</v>
      </c>
      <c r="H7" s="3" t="s">
        <v>8</v>
      </c>
      <c r="I7" s="3" t="s">
        <v>55</v>
      </c>
    </row>
    <row r="8" spans="1:9" ht="27" customHeight="1">
      <c r="A8" s="1" t="s">
        <v>83</v>
      </c>
      <c r="B8" s="1" t="s">
        <v>13</v>
      </c>
      <c r="C8" s="1" t="s">
        <v>14</v>
      </c>
      <c r="D8" s="1">
        <v>98000</v>
      </c>
      <c r="E8" s="1">
        <f t="shared" si="1"/>
        <v>98000</v>
      </c>
      <c r="F8" s="1">
        <f t="shared" si="0"/>
        <v>196000</v>
      </c>
      <c r="G8" s="3">
        <v>2</v>
      </c>
      <c r="H8" s="3" t="s">
        <v>8</v>
      </c>
      <c r="I8" s="3" t="s">
        <v>15</v>
      </c>
    </row>
    <row r="9" spans="1:9" ht="27" customHeight="1">
      <c r="A9" s="1" t="s">
        <v>9</v>
      </c>
      <c r="B9" s="1" t="s">
        <v>70</v>
      </c>
      <c r="C9" s="1" t="s">
        <v>71</v>
      </c>
      <c r="D9" s="1">
        <v>19760</v>
      </c>
      <c r="E9" s="1">
        <f t="shared" ref="E9:E15" si="2">D9*0.6</f>
        <v>11856</v>
      </c>
      <c r="F9" s="1">
        <f t="shared" si="0"/>
        <v>71136</v>
      </c>
      <c r="G9" s="3">
        <v>6</v>
      </c>
      <c r="H9" s="3" t="s">
        <v>8</v>
      </c>
      <c r="I9" s="3" t="s">
        <v>11</v>
      </c>
    </row>
    <row r="10" spans="1:9" ht="27" customHeight="1">
      <c r="A10" s="1" t="s">
        <v>19</v>
      </c>
      <c r="B10" s="1" t="s">
        <v>16</v>
      </c>
      <c r="C10" s="1" t="s">
        <v>62</v>
      </c>
      <c r="D10" s="1">
        <v>3644</v>
      </c>
      <c r="E10" s="1">
        <f t="shared" si="2"/>
        <v>2186.4</v>
      </c>
      <c r="F10" s="1">
        <f t="shared" si="0"/>
        <v>2186.4</v>
      </c>
      <c r="G10" s="3">
        <v>1</v>
      </c>
      <c r="H10" s="3" t="s">
        <v>8</v>
      </c>
      <c r="I10" s="3" t="s">
        <v>11</v>
      </c>
    </row>
    <row r="11" spans="1:9" ht="27" customHeight="1">
      <c r="A11" s="1" t="s">
        <v>19</v>
      </c>
      <c r="B11" s="1" t="s">
        <v>17</v>
      </c>
      <c r="C11" s="1" t="s">
        <v>63</v>
      </c>
      <c r="D11" s="1">
        <v>902</v>
      </c>
      <c r="E11" s="1">
        <f t="shared" si="2"/>
        <v>541.19999999999993</v>
      </c>
      <c r="F11" s="1">
        <f t="shared" si="0"/>
        <v>541.19999999999993</v>
      </c>
      <c r="G11" s="3">
        <v>1</v>
      </c>
      <c r="H11" s="3" t="s">
        <v>8</v>
      </c>
      <c r="I11" s="3" t="s">
        <v>11</v>
      </c>
    </row>
    <row r="12" spans="1:9" ht="27" customHeight="1">
      <c r="A12" s="1" t="s">
        <v>19</v>
      </c>
      <c r="B12" s="1" t="s">
        <v>18</v>
      </c>
      <c r="C12" s="1" t="s">
        <v>64</v>
      </c>
      <c r="D12" s="1">
        <v>800</v>
      </c>
      <c r="E12" s="1">
        <f t="shared" si="2"/>
        <v>480</v>
      </c>
      <c r="F12" s="1">
        <f t="shared" si="0"/>
        <v>2400</v>
      </c>
      <c r="G12" s="3">
        <v>5</v>
      </c>
      <c r="H12" s="3" t="s">
        <v>8</v>
      </c>
      <c r="I12" s="3" t="s">
        <v>11</v>
      </c>
    </row>
    <row r="13" spans="1:9" ht="27" customHeight="1">
      <c r="A13" s="1" t="s">
        <v>19</v>
      </c>
      <c r="B13" s="1" t="s">
        <v>20</v>
      </c>
      <c r="C13" s="1" t="s">
        <v>65</v>
      </c>
      <c r="D13" s="1">
        <v>975</v>
      </c>
      <c r="E13" s="1">
        <f t="shared" si="2"/>
        <v>585</v>
      </c>
      <c r="F13" s="1">
        <f t="shared" si="0"/>
        <v>3510</v>
      </c>
      <c r="G13" s="3">
        <v>6</v>
      </c>
      <c r="H13" s="3" t="s">
        <v>8</v>
      </c>
      <c r="I13" s="3" t="s">
        <v>11</v>
      </c>
    </row>
    <row r="14" spans="1:9" ht="27" customHeight="1">
      <c r="A14" s="1" t="s">
        <v>21</v>
      </c>
      <c r="B14" s="1" t="s">
        <v>48</v>
      </c>
      <c r="C14" s="1" t="s">
        <v>49</v>
      </c>
      <c r="D14" s="1">
        <v>5632</v>
      </c>
      <c r="E14" s="1">
        <f t="shared" si="2"/>
        <v>3379.2</v>
      </c>
      <c r="F14" s="1">
        <f t="shared" si="0"/>
        <v>6758.4</v>
      </c>
      <c r="G14" s="3">
        <v>2</v>
      </c>
      <c r="H14" s="3" t="s">
        <v>8</v>
      </c>
      <c r="I14" s="3" t="s">
        <v>11</v>
      </c>
    </row>
    <row r="15" spans="1:9" ht="27" customHeight="1">
      <c r="A15" s="1" t="s">
        <v>22</v>
      </c>
      <c r="B15" s="1" t="s">
        <v>23</v>
      </c>
      <c r="C15" s="1" t="s">
        <v>24</v>
      </c>
      <c r="D15" s="1">
        <v>6145</v>
      </c>
      <c r="E15" s="1">
        <f t="shared" si="2"/>
        <v>3687</v>
      </c>
      <c r="F15" s="1">
        <f t="shared" si="0"/>
        <v>3687</v>
      </c>
      <c r="G15" s="3">
        <v>1</v>
      </c>
      <c r="H15" s="3" t="s">
        <v>8</v>
      </c>
      <c r="I15" s="3" t="s">
        <v>11</v>
      </c>
    </row>
    <row r="16" spans="1:9" ht="27" customHeight="1">
      <c r="A16" s="1" t="s">
        <v>25</v>
      </c>
      <c r="B16" s="1" t="s">
        <v>41</v>
      </c>
      <c r="C16" s="1" t="s">
        <v>42</v>
      </c>
      <c r="D16" s="1">
        <v>1629</v>
      </c>
      <c r="E16" s="1">
        <f t="shared" ref="E16:E18" si="3">D16</f>
        <v>1629</v>
      </c>
      <c r="F16" s="1">
        <f>E16*G16</f>
        <v>19548</v>
      </c>
      <c r="G16" s="3">
        <v>12</v>
      </c>
      <c r="H16" s="3" t="s">
        <v>26</v>
      </c>
      <c r="I16" s="3" t="s">
        <v>55</v>
      </c>
    </row>
    <row r="17" spans="1:9" ht="27" customHeight="1">
      <c r="A17" s="1" t="s">
        <v>25</v>
      </c>
      <c r="B17" s="1" t="s">
        <v>41</v>
      </c>
      <c r="C17" s="1" t="s">
        <v>42</v>
      </c>
      <c r="D17" s="1">
        <v>1629</v>
      </c>
      <c r="E17" s="1">
        <f t="shared" si="3"/>
        <v>1629</v>
      </c>
      <c r="F17" s="1">
        <f>E17*G17</f>
        <v>4887</v>
      </c>
      <c r="G17" s="3">
        <v>3</v>
      </c>
      <c r="H17" s="3" t="s">
        <v>26</v>
      </c>
      <c r="I17" s="3" t="s">
        <v>55</v>
      </c>
    </row>
    <row r="18" spans="1:9" ht="27" customHeight="1">
      <c r="A18" s="1" t="s">
        <v>27</v>
      </c>
      <c r="B18" s="1" t="s">
        <v>13</v>
      </c>
      <c r="C18" s="1" t="s">
        <v>27</v>
      </c>
      <c r="D18" s="1">
        <v>80000</v>
      </c>
      <c r="E18" s="1">
        <f t="shared" si="3"/>
        <v>80000</v>
      </c>
      <c r="F18" s="1">
        <f t="shared" ref="F18:F19" si="4">E18*G18</f>
        <v>80000</v>
      </c>
      <c r="G18" s="3">
        <v>1</v>
      </c>
      <c r="H18" s="1" t="s">
        <v>27</v>
      </c>
      <c r="I18" s="3" t="s">
        <v>55</v>
      </c>
    </row>
    <row r="19" spans="1:9" ht="27" customHeight="1">
      <c r="A19" s="1" t="s">
        <v>79</v>
      </c>
      <c r="B19" s="1" t="s">
        <v>13</v>
      </c>
      <c r="C19" s="1" t="s">
        <v>79</v>
      </c>
      <c r="D19" s="1">
        <v>18</v>
      </c>
      <c r="E19" s="1">
        <v>100</v>
      </c>
      <c r="F19" s="1">
        <f t="shared" si="4"/>
        <v>108000</v>
      </c>
      <c r="G19" s="3">
        <f>60*D19</f>
        <v>1080</v>
      </c>
      <c r="H19" s="1" t="s">
        <v>79</v>
      </c>
      <c r="I19" s="3" t="s">
        <v>55</v>
      </c>
    </row>
    <row r="20" spans="1:9" ht="27" customHeight="1">
      <c r="A20" s="1"/>
      <c r="B20" s="1"/>
      <c r="C20" s="1"/>
      <c r="D20" s="1"/>
      <c r="E20" s="1"/>
      <c r="F20" s="1">
        <f>SUBTOTAL(9,F2:F19)</f>
        <v>908749.2</v>
      </c>
      <c r="G20" s="3"/>
      <c r="H20" s="1"/>
      <c r="I20" s="3"/>
    </row>
    <row r="21" spans="1:9" ht="27" customHeight="1">
      <c r="A21" s="4"/>
      <c r="B21" s="4"/>
      <c r="C21" s="5" t="s">
        <v>81</v>
      </c>
      <c r="D21" s="5"/>
      <c r="E21" s="5"/>
      <c r="F21" s="5"/>
      <c r="G21" s="5">
        <v>1</v>
      </c>
      <c r="H21" s="5" t="s">
        <v>33</v>
      </c>
      <c r="I21" s="5" t="s">
        <v>34</v>
      </c>
    </row>
    <row r="22" spans="1:9" ht="27" customHeight="1">
      <c r="A22" s="1" t="s">
        <v>6</v>
      </c>
      <c r="B22" s="1" t="s">
        <v>60</v>
      </c>
      <c r="C22" s="1" t="s">
        <v>61</v>
      </c>
      <c r="D22" s="1">
        <v>53990</v>
      </c>
      <c r="E22" s="1">
        <f t="shared" ref="E22:E28" si="5">D22*0.6</f>
        <v>32394</v>
      </c>
      <c r="F22" s="1">
        <f t="shared" ref="F22:F36" si="6">E22*G22</f>
        <v>32394</v>
      </c>
      <c r="G22" s="3">
        <v>1</v>
      </c>
      <c r="H22" s="3" t="s">
        <v>8</v>
      </c>
      <c r="I22" s="3" t="s">
        <v>52</v>
      </c>
    </row>
    <row r="23" spans="1:9" ht="27" customHeight="1">
      <c r="A23" s="1" t="s">
        <v>19</v>
      </c>
      <c r="B23" s="1" t="s">
        <v>66</v>
      </c>
      <c r="C23" s="1" t="s">
        <v>67</v>
      </c>
      <c r="D23" s="1">
        <v>2606</v>
      </c>
      <c r="E23" s="1">
        <f t="shared" si="5"/>
        <v>1563.6</v>
      </c>
      <c r="F23" s="1">
        <f t="shared" si="6"/>
        <v>3127.2</v>
      </c>
      <c r="G23" s="3">
        <v>2</v>
      </c>
      <c r="H23" s="3" t="s">
        <v>8</v>
      </c>
      <c r="I23" s="3" t="s">
        <v>11</v>
      </c>
    </row>
    <row r="24" spans="1:9" ht="27" customHeight="1">
      <c r="A24" s="1" t="s">
        <v>22</v>
      </c>
      <c r="B24" s="1" t="s">
        <v>43</v>
      </c>
      <c r="C24" s="1" t="s">
        <v>44</v>
      </c>
      <c r="D24" s="1">
        <v>19922</v>
      </c>
      <c r="E24" s="1">
        <f t="shared" si="5"/>
        <v>11953.199999999999</v>
      </c>
      <c r="F24" s="1">
        <f t="shared" si="6"/>
        <v>23906.399999999998</v>
      </c>
      <c r="G24" s="3">
        <v>2</v>
      </c>
      <c r="H24" s="3" t="s">
        <v>8</v>
      </c>
      <c r="I24" s="3" t="s">
        <v>11</v>
      </c>
    </row>
    <row r="25" spans="1:9" ht="27" customHeight="1">
      <c r="A25" s="1" t="s">
        <v>47</v>
      </c>
      <c r="B25" s="1" t="s">
        <v>45</v>
      </c>
      <c r="C25" s="1" t="s">
        <v>46</v>
      </c>
      <c r="D25" s="1">
        <v>1536</v>
      </c>
      <c r="E25" s="1">
        <f t="shared" si="5"/>
        <v>921.59999999999991</v>
      </c>
      <c r="F25" s="1">
        <f t="shared" si="6"/>
        <v>921.59999999999991</v>
      </c>
      <c r="G25" s="3">
        <v>1</v>
      </c>
      <c r="H25" s="3" t="s">
        <v>8</v>
      </c>
      <c r="I25" s="3" t="s">
        <v>11</v>
      </c>
    </row>
    <row r="26" spans="1:9" ht="27" customHeight="1">
      <c r="A26" s="1" t="s">
        <v>84</v>
      </c>
      <c r="B26" s="1" t="s">
        <v>85</v>
      </c>
      <c r="C26" s="1" t="s">
        <v>86</v>
      </c>
      <c r="D26" s="1">
        <v>5432</v>
      </c>
      <c r="E26" s="1">
        <f t="shared" si="5"/>
        <v>3259.2</v>
      </c>
      <c r="F26" s="1">
        <f t="shared" si="6"/>
        <v>6518.4</v>
      </c>
      <c r="G26" s="3">
        <v>2</v>
      </c>
      <c r="H26" s="3" t="s">
        <v>8</v>
      </c>
      <c r="I26" s="3" t="s">
        <v>11</v>
      </c>
    </row>
    <row r="27" spans="1:9" ht="27" customHeight="1">
      <c r="A27" s="1" t="s">
        <v>76</v>
      </c>
      <c r="B27" s="1" t="s">
        <v>77</v>
      </c>
      <c r="C27" s="1" t="s">
        <v>78</v>
      </c>
      <c r="D27" s="1">
        <v>16808</v>
      </c>
      <c r="E27" s="1">
        <f t="shared" si="5"/>
        <v>10084.799999999999</v>
      </c>
      <c r="F27" s="1">
        <f t="shared" si="6"/>
        <v>20169.599999999999</v>
      </c>
      <c r="G27" s="3">
        <v>2</v>
      </c>
      <c r="H27" s="3" t="s">
        <v>8</v>
      </c>
      <c r="I27" s="3" t="s">
        <v>11</v>
      </c>
    </row>
    <row r="28" spans="1:9" ht="27" customHeight="1">
      <c r="A28" s="1" t="s">
        <v>82</v>
      </c>
      <c r="B28" s="1" t="s">
        <v>58</v>
      </c>
      <c r="C28" s="1" t="s">
        <v>59</v>
      </c>
      <c r="D28" s="1">
        <v>1836</v>
      </c>
      <c r="E28" s="1">
        <f t="shared" si="5"/>
        <v>1101.5999999999999</v>
      </c>
      <c r="F28" s="1">
        <f t="shared" si="6"/>
        <v>1101.5999999999999</v>
      </c>
      <c r="G28" s="3">
        <v>1</v>
      </c>
      <c r="H28" s="3" t="s">
        <v>8</v>
      </c>
      <c r="I28" s="3" t="s">
        <v>11</v>
      </c>
    </row>
    <row r="29" spans="1:9" ht="27" customHeight="1">
      <c r="A29" s="1" t="s">
        <v>83</v>
      </c>
      <c r="B29" s="1" t="s">
        <v>13</v>
      </c>
      <c r="C29" s="1" t="s">
        <v>14</v>
      </c>
      <c r="D29" s="1">
        <v>98000</v>
      </c>
      <c r="E29" s="1">
        <f t="shared" ref="E29" si="7">D29</f>
        <v>98000</v>
      </c>
      <c r="F29" s="1">
        <f t="shared" si="6"/>
        <v>98000</v>
      </c>
      <c r="G29" s="3">
        <v>1</v>
      </c>
      <c r="H29" s="3" t="s">
        <v>8</v>
      </c>
      <c r="I29" s="3" t="s">
        <v>15</v>
      </c>
    </row>
    <row r="30" spans="1:9" ht="27" customHeight="1">
      <c r="A30" s="1" t="s">
        <v>19</v>
      </c>
      <c r="B30" s="1" t="s">
        <v>29</v>
      </c>
      <c r="C30" s="1" t="s">
        <v>68</v>
      </c>
      <c r="D30" s="1">
        <v>3604</v>
      </c>
      <c r="E30" s="1">
        <f t="shared" ref="E30:E33" si="8">D30*0.6</f>
        <v>2162.4</v>
      </c>
      <c r="F30" s="1">
        <f t="shared" si="6"/>
        <v>2162.4</v>
      </c>
      <c r="G30" s="3">
        <v>1</v>
      </c>
      <c r="H30" s="3" t="s">
        <v>8</v>
      </c>
      <c r="I30" s="3" t="s">
        <v>11</v>
      </c>
    </row>
    <row r="31" spans="1:9" ht="27" customHeight="1">
      <c r="A31" s="1" t="s">
        <v>21</v>
      </c>
      <c r="B31" s="1" t="s">
        <v>48</v>
      </c>
      <c r="C31" s="1" t="s">
        <v>49</v>
      </c>
      <c r="D31" s="1">
        <v>5632</v>
      </c>
      <c r="E31" s="1">
        <f t="shared" si="8"/>
        <v>3379.2</v>
      </c>
      <c r="F31" s="1">
        <f t="shared" si="6"/>
        <v>3379.2</v>
      </c>
      <c r="G31" s="3">
        <v>1</v>
      </c>
      <c r="H31" s="3" t="s">
        <v>8</v>
      </c>
      <c r="I31" s="3" t="s">
        <v>11</v>
      </c>
    </row>
    <row r="32" spans="1:9" ht="27" customHeight="1">
      <c r="A32" s="1" t="s">
        <v>19</v>
      </c>
      <c r="B32" s="1">
        <v>296708</v>
      </c>
      <c r="C32" s="1" t="s">
        <v>65</v>
      </c>
      <c r="D32" s="1">
        <v>975</v>
      </c>
      <c r="E32" s="1">
        <f t="shared" si="8"/>
        <v>585</v>
      </c>
      <c r="F32" s="1">
        <f t="shared" si="6"/>
        <v>3510</v>
      </c>
      <c r="G32" s="3">
        <v>6</v>
      </c>
      <c r="H32" s="3" t="s">
        <v>8</v>
      </c>
      <c r="I32" s="3" t="s">
        <v>11</v>
      </c>
    </row>
    <row r="33" spans="1:9" ht="27" customHeight="1">
      <c r="A33" s="1" t="s">
        <v>22</v>
      </c>
      <c r="B33" s="1" t="s">
        <v>23</v>
      </c>
      <c r="C33" s="1" t="s">
        <v>24</v>
      </c>
      <c r="D33" s="1">
        <v>6145</v>
      </c>
      <c r="E33" s="1">
        <f t="shared" si="8"/>
        <v>3687</v>
      </c>
      <c r="F33" s="1">
        <f t="shared" si="6"/>
        <v>3687</v>
      </c>
      <c r="G33" s="3">
        <v>1</v>
      </c>
      <c r="H33" s="3" t="s">
        <v>8</v>
      </c>
      <c r="I33" s="3" t="s">
        <v>11</v>
      </c>
    </row>
    <row r="34" spans="1:9" ht="27" customHeight="1">
      <c r="A34" s="1" t="s">
        <v>30</v>
      </c>
      <c r="B34" s="1" t="s">
        <v>50</v>
      </c>
      <c r="C34" s="1" t="s">
        <v>51</v>
      </c>
      <c r="D34" s="1">
        <v>6500</v>
      </c>
      <c r="E34" s="1">
        <f t="shared" ref="E34" si="9">D34</f>
        <v>6500</v>
      </c>
      <c r="F34" s="1">
        <f t="shared" si="6"/>
        <v>6500</v>
      </c>
      <c r="G34" s="3">
        <v>1</v>
      </c>
      <c r="H34" s="3" t="s">
        <v>8</v>
      </c>
      <c r="I34" s="3" t="s">
        <v>55</v>
      </c>
    </row>
    <row r="35" spans="1:9" ht="27" customHeight="1">
      <c r="A35" s="1" t="s">
        <v>40</v>
      </c>
      <c r="B35" s="1" t="s">
        <v>74</v>
      </c>
      <c r="C35" s="1" t="s">
        <v>75</v>
      </c>
      <c r="D35" s="1">
        <v>682</v>
      </c>
      <c r="E35" s="1">
        <f t="shared" ref="E35:E36" si="10">D35*0.6</f>
        <v>409.2</v>
      </c>
      <c r="F35" s="1">
        <f t="shared" si="6"/>
        <v>818.4</v>
      </c>
      <c r="G35" s="3">
        <v>2</v>
      </c>
      <c r="H35" s="3" t="s">
        <v>8</v>
      </c>
      <c r="I35" s="3" t="s">
        <v>11</v>
      </c>
    </row>
    <row r="36" spans="1:9" ht="27" customHeight="1">
      <c r="A36" s="1" t="s">
        <v>39</v>
      </c>
      <c r="B36" s="1" t="s">
        <v>72</v>
      </c>
      <c r="C36" s="1" t="s">
        <v>73</v>
      </c>
      <c r="D36" s="1">
        <v>1565</v>
      </c>
      <c r="E36" s="1">
        <f t="shared" si="10"/>
        <v>939</v>
      </c>
      <c r="F36" s="1">
        <f t="shared" si="6"/>
        <v>1878</v>
      </c>
      <c r="G36" s="3">
        <v>2</v>
      </c>
      <c r="H36" s="3" t="s">
        <v>8</v>
      </c>
      <c r="I36" s="3" t="s">
        <v>11</v>
      </c>
    </row>
    <row r="37" spans="1:9" ht="27" customHeight="1">
      <c r="A37" s="1" t="s">
        <v>25</v>
      </c>
      <c r="B37" s="1" t="s">
        <v>41</v>
      </c>
      <c r="C37" s="1" t="s">
        <v>42</v>
      </c>
      <c r="D37" s="1">
        <v>1629</v>
      </c>
      <c r="E37" s="1">
        <f t="shared" ref="E37:E38" si="11">D37</f>
        <v>1629</v>
      </c>
      <c r="F37" s="1">
        <f>E37*G37</f>
        <v>1629</v>
      </c>
      <c r="G37" s="3">
        <v>1</v>
      </c>
      <c r="H37" s="3" t="s">
        <v>28</v>
      </c>
      <c r="I37" s="3" t="s">
        <v>55</v>
      </c>
    </row>
    <row r="38" spans="1:9" ht="27" customHeight="1">
      <c r="A38" s="1" t="s">
        <v>27</v>
      </c>
      <c r="B38" s="1" t="s">
        <v>13</v>
      </c>
      <c r="C38" s="1" t="s">
        <v>31</v>
      </c>
      <c r="D38" s="1">
        <v>15000</v>
      </c>
      <c r="E38" s="1">
        <f t="shared" si="11"/>
        <v>15000</v>
      </c>
      <c r="F38" s="1">
        <f>E38*G38</f>
        <v>15000</v>
      </c>
      <c r="G38" s="3">
        <v>1</v>
      </c>
      <c r="H38" s="3" t="s">
        <v>28</v>
      </c>
      <c r="I38" s="3" t="s">
        <v>55</v>
      </c>
    </row>
    <row r="39" spans="1:9" ht="27" customHeight="1">
      <c r="A39" s="1" t="s">
        <v>79</v>
      </c>
      <c r="B39" s="1" t="s">
        <v>13</v>
      </c>
      <c r="C39" s="1" t="s">
        <v>79</v>
      </c>
      <c r="D39" s="1">
        <v>3</v>
      </c>
      <c r="E39" s="1">
        <v>100</v>
      </c>
      <c r="F39" s="1">
        <f t="shared" ref="F39" si="12">E39*G39</f>
        <v>18000</v>
      </c>
      <c r="G39" s="3">
        <f>60*D39</f>
        <v>180</v>
      </c>
      <c r="H39" s="1" t="s">
        <v>79</v>
      </c>
      <c r="I39" s="3" t="s">
        <v>55</v>
      </c>
    </row>
    <row r="40" spans="1:9" ht="27" customHeight="1">
      <c r="A40" s="1"/>
      <c r="B40" s="1"/>
      <c r="C40" s="1"/>
      <c r="D40" s="1"/>
      <c r="E40" s="1"/>
      <c r="F40" s="1">
        <f>SUBTOTAL(9,F21:F39)</f>
        <v>242702.8</v>
      </c>
      <c r="G40" s="3"/>
      <c r="H40" s="1"/>
      <c r="I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2026-06-13T11:50:20Z</dcterms:modified>
</cp:coreProperties>
</file>