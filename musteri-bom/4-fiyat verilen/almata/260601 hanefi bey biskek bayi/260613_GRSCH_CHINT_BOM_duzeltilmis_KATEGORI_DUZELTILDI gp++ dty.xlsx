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601 hanefi bey biskek bayi\"/>
    </mc:Choice>
  </mc:AlternateContent>
  <xr:revisionPtr revIDLastSave="0" documentId="13_ncr:1_{A9B73BC8-EAFF-41AC-B818-09257A71689A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BOM_FINAL" sheetId="1" r:id="rId1"/>
    <sheet name="Sayfa2" sheetId="8" r:id="rId2"/>
    <sheet name="Sayfa1" sheetId="7" r:id="rId3"/>
    <sheet name="Kablo_Projeye_Gore" sheetId="2" r:id="rId4"/>
    <sheet name="Stajyer_Kontrol" sheetId="3" r:id="rId5"/>
    <sheet name="Korpus_Kontrol" sheetId="4" r:id="rId6"/>
    <sheet name="Gorsel_Plani" sheetId="5" r:id="rId7"/>
    <sheet name="README" sheetId="6" r:id="rId8"/>
  </sheets>
  <definedNames>
    <definedName name="_xlnm._FilterDatabase" localSheetId="0" hidden="1">BOM_FINAL!$A$1:$P$43</definedName>
    <definedName name="_xlnm._FilterDatabase" localSheetId="2" hidden="1">Sayfa1!$A$1:$I$3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8" l="1"/>
  <c r="F39" i="8" s="1"/>
  <c r="E38" i="8"/>
  <c r="F38" i="8" s="1"/>
  <c r="E37" i="8"/>
  <c r="F37" i="8" s="1"/>
  <c r="E36" i="8"/>
  <c r="F36" i="8" s="1"/>
  <c r="E35" i="8"/>
  <c r="F35" i="8" s="1"/>
  <c r="F34" i="8"/>
  <c r="E34" i="8"/>
  <c r="F33" i="8"/>
  <c r="E33" i="8"/>
  <c r="E32" i="8"/>
  <c r="F32" i="8" s="1"/>
  <c r="E31" i="8"/>
  <c r="F31" i="8" s="1"/>
  <c r="E30" i="8"/>
  <c r="F30" i="8" s="1"/>
  <c r="E29" i="8"/>
  <c r="F29" i="8" s="1"/>
  <c r="F28" i="8"/>
  <c r="E28" i="8"/>
  <c r="F27" i="8"/>
  <c r="E27" i="8"/>
  <c r="E26" i="8"/>
  <c r="F26" i="8" s="1"/>
  <c r="E25" i="8"/>
  <c r="F25" i="8" s="1"/>
  <c r="E24" i="8"/>
  <c r="F24" i="8" s="1"/>
  <c r="E23" i="8"/>
  <c r="F23" i="8" s="1"/>
  <c r="F22" i="8"/>
  <c r="F40" i="8" s="1"/>
  <c r="E22" i="8"/>
  <c r="G19" i="8"/>
  <c r="F19" i="8"/>
  <c r="E18" i="8"/>
  <c r="F18" i="8" s="1"/>
  <c r="E17" i="8"/>
  <c r="F17" i="8" s="1"/>
  <c r="E16" i="8"/>
  <c r="F16" i="8" s="1"/>
  <c r="E15" i="8"/>
  <c r="F15" i="8" s="1"/>
  <c r="E14" i="8"/>
  <c r="F14" i="8" s="1"/>
  <c r="E13" i="8"/>
  <c r="F13" i="8" s="1"/>
  <c r="E12" i="8"/>
  <c r="F12" i="8" s="1"/>
  <c r="E11" i="8"/>
  <c r="F11" i="8" s="1"/>
  <c r="E10" i="8"/>
  <c r="F10" i="8" s="1"/>
  <c r="E9" i="8"/>
  <c r="F9" i="8" s="1"/>
  <c r="E8" i="8"/>
  <c r="F8" i="8" s="1"/>
  <c r="E7" i="8"/>
  <c r="F7" i="8" s="1"/>
  <c r="E6" i="8"/>
  <c r="F6" i="8" s="1"/>
  <c r="E5" i="8"/>
  <c r="F5" i="8" s="1"/>
  <c r="E4" i="8"/>
  <c r="F4" i="8" s="1"/>
  <c r="E3" i="8"/>
  <c r="F3" i="8" s="1"/>
  <c r="H44" i="1"/>
  <c r="H42" i="1"/>
  <c r="I39" i="1"/>
  <c r="H39" i="1" s="1"/>
  <c r="G38" i="1"/>
  <c r="H38" i="1" s="1"/>
  <c r="G37" i="1"/>
  <c r="H37" i="1" s="1"/>
  <c r="G36" i="1"/>
  <c r="H36" i="1" s="1"/>
  <c r="H35" i="1"/>
  <c r="G35" i="1"/>
  <c r="G34" i="1"/>
  <c r="H34" i="1" s="1"/>
  <c r="H33" i="1"/>
  <c r="G33" i="1"/>
  <c r="G32" i="1"/>
  <c r="H32" i="1" s="1"/>
  <c r="G31" i="1"/>
  <c r="H31" i="1" s="1"/>
  <c r="G30" i="1"/>
  <c r="H30" i="1" s="1"/>
  <c r="H29" i="1"/>
  <c r="G29" i="1"/>
  <c r="G28" i="1"/>
  <c r="H28" i="1" s="1"/>
  <c r="H27" i="1"/>
  <c r="G27" i="1"/>
  <c r="G26" i="1"/>
  <c r="H26" i="1" s="1"/>
  <c r="G25" i="1"/>
  <c r="H25" i="1" s="1"/>
  <c r="G24" i="1"/>
  <c r="H24" i="1" s="1"/>
  <c r="H23" i="1"/>
  <c r="G23" i="1"/>
  <c r="G22" i="1"/>
  <c r="H22" i="1" s="1"/>
  <c r="I19" i="1"/>
  <c r="H19" i="1"/>
  <c r="G18" i="1"/>
  <c r="H18" i="1" s="1"/>
  <c r="G17" i="1"/>
  <c r="H17" i="1" s="1"/>
  <c r="H16" i="1"/>
  <c r="G16" i="1"/>
  <c r="G15" i="1"/>
  <c r="H15" i="1" s="1"/>
  <c r="G14" i="1"/>
  <c r="H14" i="1" s="1"/>
  <c r="G13" i="1"/>
  <c r="H13" i="1" s="1"/>
  <c r="G12" i="1"/>
  <c r="H12" i="1" s="1"/>
  <c r="H11" i="1"/>
  <c r="G11" i="1"/>
  <c r="H10" i="1"/>
  <c r="G10" i="1"/>
  <c r="G9" i="1"/>
  <c r="H9" i="1" s="1"/>
  <c r="G8" i="1"/>
  <c r="H8" i="1" s="1"/>
  <c r="G7" i="1"/>
  <c r="H7" i="1" s="1"/>
  <c r="G6" i="1"/>
  <c r="H6" i="1" s="1"/>
  <c r="G5" i="1"/>
  <c r="H5" i="1" s="1"/>
  <c r="H4" i="1"/>
  <c r="G4" i="1"/>
  <c r="G3" i="1"/>
  <c r="H3" i="1" s="1"/>
  <c r="E3" i="7"/>
  <c r="E2" i="7"/>
  <c r="D3" i="7"/>
  <c r="D2" i="7"/>
  <c r="J3" i="7"/>
  <c r="J2" i="7"/>
  <c r="F20" i="8" l="1"/>
  <c r="H20" i="1"/>
  <c r="H45" i="1" s="1"/>
  <c r="H40" i="1"/>
</calcChain>
</file>

<file path=xl/sharedStrings.xml><?xml version="1.0" encoding="utf-8"?>
<sst xmlns="http://schemas.openxmlformats.org/spreadsheetml/2006/main" count="742" uniqueCount="286">
  <si>
    <t>Hazırlama tarihi: 2026-06-13 06:49 | Ana kaynak: proje PDF + stajyer BOM kontrolü</t>
  </si>
  <si>
    <t>No</t>
  </si>
  <si>
    <t>Pano</t>
  </si>
  <si>
    <t>Kategori</t>
  </si>
  <si>
    <t>Ürün Kodu</t>
  </si>
  <si>
    <t>Ürün İsmi/Açıklama</t>
  </si>
  <si>
    <t>Teknik Özellik</t>
  </si>
  <si>
    <t>Miktar</t>
  </si>
  <si>
    <t>Birim</t>
  </si>
  <si>
    <t>Marka/Tedarikçi</t>
  </si>
  <si>
    <t>Kaynak</t>
  </si>
  <si>
    <t>Not</t>
  </si>
  <si>
    <t>Tahmini modül</t>
  </si>
  <si>
    <t>ГРЩ1</t>
  </si>
  <si>
    <t>korpus</t>
  </si>
  <si>
    <t>Корпус вводно-распределительного щита, напольный, 2 секции, с цоколем 100 мм</t>
  </si>
  <si>
    <t>Önerilen üretim ölçüsü: 2000x800x600 mm (HхWхD). Proje tipi: ВРУ21ЛЭН(400+400)-201. IP31/IP54 projeye göre.</t>
  </si>
  <si>
    <t>шт</t>
  </si>
  <si>
    <t>PDF s.4 + katalog kontrol</t>
  </si>
  <si>
    <t>Stajyer BOM’da korpus ölçüsü yok. 400A + 6x125A + ölçüm + bara için 600 mm derinlik gerekir.</t>
  </si>
  <si>
    <t>-</t>
  </si>
  <si>
    <t>mccb</t>
  </si>
  <si>
    <t>131373</t>
  </si>
  <si>
    <t>3P, 400A, 50kA, ввод 1/ввод 2</t>
  </si>
  <si>
    <t>CHINT</t>
  </si>
  <si>
    <t>PDF s.1; stajyer satır 4</t>
  </si>
  <si>
    <t>Doğru; 2 giriş için 2 adet.</t>
  </si>
  <si>
    <t>MCCB pano montaj</t>
  </si>
  <si>
    <t>tt</t>
  </si>
  <si>
    <t>TBD</t>
  </si>
  <si>
    <t>PDF s.1</t>
  </si>
  <si>
    <t>Doğru qty; stajyer eklemiş fakat fiyat/kod boş.</t>
  </si>
  <si>
    <t>Счетчик Меркурий 234 ARTM-03</t>
  </si>
  <si>
    <t>5-10A, 220/380V, кл.т. 0.5S, GSM, 2xRS485, трансформаторного включения</t>
  </si>
  <si>
    <t>Меркурий / analog</t>
  </si>
  <si>
    <t>EKSİK: stajyer BOM’da sayaç yok. Projede Wh iki adet görünüyor.</t>
  </si>
  <si>
    <t>7+7</t>
  </si>
  <si>
    <t>3P, C125, ЩЭ1-ЩЭ6 beslemeleri</t>
  </si>
  <si>
    <t>PDF s.1-2; stajyer satır 5</t>
  </si>
  <si>
    <t>Doğru.</t>
  </si>
  <si>
    <t>296839</t>
  </si>
  <si>
    <t>3P, D10, 4.5kA; лифт управление</t>
  </si>
  <si>
    <t>PDF s.1; stajyer satır 6</t>
  </si>
  <si>
    <t>296713</t>
  </si>
  <si>
    <t>1P, C32, 4.5kA; Л12</t>
  </si>
  <si>
    <t>PDF s.2; stajyer satır 7</t>
  </si>
  <si>
    <t>296712</t>
  </si>
  <si>
    <t>1P, C25, 4.5kA; Л2.1, Л2.2, Л10, Л13, Л14</t>
  </si>
  <si>
    <t>PDF s.1-2; stajyer satır 8</t>
  </si>
  <si>
    <t>mcb</t>
  </si>
  <si>
    <t>296708</t>
  </si>
  <si>
    <t>1P, C6, 4.5kA; Л6, Л7, Л8, Л11, Л15</t>
  </si>
  <si>
    <t>PDF s.2; stajyer satır 9</t>
  </si>
  <si>
    <t>dif</t>
  </si>
  <si>
    <t>1P+N, C20, 30mA, тип AC, 4.5kA; Л4, Л5</t>
  </si>
  <si>
    <t>PDF s.2; stajyer satır 10</t>
  </si>
  <si>
    <t>contactor</t>
  </si>
  <si>
    <t>256054</t>
  </si>
  <si>
    <t>Контактор модульный NCH8-20/20</t>
  </si>
  <si>
    <t>20A, 2НО, AC220/230V; KM20-20 освещение лестниц/фотореле</t>
  </si>
  <si>
    <t>PDF s.2; stajyer satır 11</t>
  </si>
  <si>
    <t>bara</t>
  </si>
  <si>
    <t>Cu 4x50 mm, L1/L2/L3/N ana bara; Ir sonrası 693A için</t>
  </si>
  <si>
    <t>м</t>
  </si>
  <si>
    <t>Hesap kontrol</t>
  </si>
  <si>
    <t>EKSİK: stajyer BOM’da ana bara yok. Kesin metraj üretim açılımında kesim planına göre netleşir.</t>
  </si>
  <si>
    <t>Cu 4x40 mm PE barası</t>
  </si>
  <si>
    <t>EKSİK: PE bara eklenmeli.</t>
  </si>
  <si>
    <t>монтажный материал</t>
  </si>
  <si>
    <t>Bara izolatörü, mesnet, civata, somun, rondela</t>
  </si>
  <si>
    <t>набор</t>
  </si>
  <si>
    <t>Üretim standardı</t>
  </si>
  <si>
    <t>EKSİK sarf kalemleri.</t>
  </si>
  <si>
    <t>ГРЩ2</t>
  </si>
  <si>
    <t>PDF s.3-4 + katalog kontrol</t>
  </si>
  <si>
    <t>Stajyer BOM’da korpus ölçüsü yok. 300К AVR bileşenleri ve %20 boşluk için 1000x650x300 daha güvenli.</t>
  </si>
  <si>
    <t>3P, C32, 10kA; ввод 1.1 / ввод 2.1</t>
  </si>
  <si>
    <t>PDF s.3; stajyer satır 17</t>
  </si>
  <si>
    <t>Doğru; iki giriş için 2 adet bırakıldı.</t>
  </si>
  <si>
    <t>NXC-25 veya NXC-32, 3P, катушка AC220V; ВРУ21ЛЭН-25-300К için</t>
  </si>
  <si>
    <t>Model 300К kontrol</t>
  </si>
  <si>
    <t>EKSİK: stajyer sadece 1 kontaktör yazmış. AVR için 2 güç kontaktörü gerekir.</t>
  </si>
  <si>
    <t>pano montaj</t>
  </si>
  <si>
    <t>NXC-25/32 uyumlu mekanik kilitleme</t>
  </si>
  <si>
    <t>EKSİK: AVR güvenliği için gerekir.</t>
  </si>
  <si>
    <t>3F 380V kontrol; otomatik резерв логика</t>
  </si>
  <si>
    <t>EKSİK: 300К AVR fonksiyonu için gerekir.</t>
  </si>
  <si>
    <t>22 mm seçici veya DIN kontrol elemanı; proje fonksiyonuna göre</t>
  </si>
  <si>
    <t>EKSİK: işletme için önerildi; nihai kumanda şemasına göre teyit.</t>
  </si>
  <si>
    <t>100A, 220/380V, кл.т.1, GSM, 2xRS485, прямого включения</t>
  </si>
  <si>
    <t>PDF s.3</t>
  </si>
  <si>
    <t>EKSİK: stajyer BOM’da sayaç yok.</t>
  </si>
  <si>
    <t>296840</t>
  </si>
  <si>
    <t>3P, D16, 4.5kA; N6A насосная пожаротушения</t>
  </si>
  <si>
    <t>PDF s.3; stajyer satır 18</t>
  </si>
  <si>
    <t>1P+N, C20, 30mA, тип AC, 4.5kA; N5A ЯТП/розетка</t>
  </si>
  <si>
    <t>PDF s.3; stajyer satır 19</t>
  </si>
  <si>
    <t>1P, C6, 4.5kA; N1A, N2A, N3A, N4A, цу1, фотореле/цепь управления</t>
  </si>
  <si>
    <t>PDF s.3; stajyer satır 20</t>
  </si>
  <si>
    <t>20A, 2НО, AC220/230V; K2 фотореле/освещение</t>
  </si>
  <si>
    <t>PDF s.3; düzeltme</t>
  </si>
  <si>
    <t>DÜZELTME: NXC-25 yerine aydınlatma kontrolü için modüler kontaktör daha doğru.</t>
  </si>
  <si>
    <t>fotorele</t>
  </si>
  <si>
    <t>220V, DIN röle + dış ortam fotodatchik, козырек ile montaj</t>
  </si>
  <si>
    <t>Doğru ihtiyaç; stajyer kod/teknik özellik boş bırakmış.</t>
  </si>
  <si>
    <t>DIN soketli röle; kuru kontak AПС bağlantısı için</t>
  </si>
  <si>
    <t>EKSİK: АПС kuru kontak hattı için terminal/röle arayüzü ayrılmalı.</t>
  </si>
  <si>
    <t>63A seviyesinde dağıtım bloğu veya Cu bara; N/PE baraları dahil</t>
  </si>
  <si>
    <t>EKSİK: stajyer BOM’da bara/N/PE yok.</t>
  </si>
  <si>
    <t>DIN-рейка, кабель-канал, клеммы, маркировка, наконечники</t>
  </si>
  <si>
    <t>Klemens, kablo kanalı, etiket, pabuç/ferül ve montaj seti</t>
  </si>
  <si>
    <t>ЩЭ</t>
  </si>
  <si>
    <t>PDF s.4</t>
  </si>
  <si>
    <t>Kablo_Projeye_Gore - 260613 ЭОМ.2 листы ГРЩ / CHINT düzeltme</t>
  </si>
  <si>
    <t>Kablo tipi</t>
  </si>
  <si>
    <t>Kesit</t>
  </si>
  <si>
    <t>ВВГнг(А)-LS</t>
  </si>
  <si>
    <t>5x70мк (N,PE)</t>
  </si>
  <si>
    <t>ЩЭ besleme hatları toplamı</t>
  </si>
  <si>
    <t>5x16ок (N,PE)</t>
  </si>
  <si>
    <t>3x10ок (N,PE)</t>
  </si>
  <si>
    <t>5x6ок (N,PE)</t>
  </si>
  <si>
    <t>4x2.5ок (N,PE)</t>
  </si>
  <si>
    <t>3x6ок (N,PE)</t>
  </si>
  <si>
    <t>3x2.5ок (N,PE)</t>
  </si>
  <si>
    <t>3x1.5ок (N,PE)</t>
  </si>
  <si>
    <t>2x1.5ок (N,PE)</t>
  </si>
  <si>
    <t>Stajyer_Kontrol - 260613 ЭОМ.2 листы ГРЩ / CHINT düzeltme</t>
  </si>
  <si>
    <t>Konu</t>
  </si>
  <si>
    <t>Stajyer BOM durumu</t>
  </si>
  <si>
    <t>Düzeltme</t>
  </si>
  <si>
    <t>Önem</t>
  </si>
  <si>
    <t>Sayaç</t>
  </si>
  <si>
    <t>Yok / 'без счетчика' yazılmış</t>
  </si>
  <si>
    <t>2 adet Меркурий 234 ARTM-03 5-10A trafo bağlantılı eklendi.</t>
  </si>
  <si>
    <t>Yüksek</t>
  </si>
  <si>
    <t>Korpus ölçüsü</t>
  </si>
  <si>
    <t>Korpus var ama ölçü yok</t>
  </si>
  <si>
    <t>TEKSAN R1 2000x800x600 + baza 100 önerildi.</t>
  </si>
  <si>
    <t>Bara</t>
  </si>
  <si>
    <t>Yok</t>
  </si>
  <si>
    <t>Ana Cu bara 4x50, PE 4x40 ve bara mesnetleri eklendi.</t>
  </si>
  <si>
    <t>Sarf/klemens/pabuç</t>
  </si>
  <si>
    <t>Genel satır boş/fiyatsız</t>
  </si>
  <si>
    <t>DIN ray, kanal, işaretleme, pabuç, ferül seti ayrıca yazıldı.</t>
  </si>
  <si>
    <t>Orta</t>
  </si>
  <si>
    <t>1 adet Меркурий 234 ARTM-03 100A direct eklendi.</t>
  </si>
  <si>
    <t>AVR 300К</t>
  </si>
  <si>
    <t>Sadece 1 kontaktör yazılmış</t>
  </si>
  <si>
    <t>2 güç kontaktörü + mekanik kilit + voltaj/faz kontrol rölesi + kumanda elemanı eklendi.</t>
  </si>
  <si>
    <t>K2 aydınlatma kontaktörü</t>
  </si>
  <si>
    <t>NXC-25 seçilmiş</t>
  </si>
  <si>
    <t>Aydınlatma/fotoröle için NCH8-20/20 modüler kontaktör daha uygun; NXC güç/AVR tarafında kullanılmalı.</t>
  </si>
  <si>
    <t>Katalog min. 800x600x250; üretim ve %20 boşluk için 1000x650x300 önerildi.</t>
  </si>
  <si>
    <t>Kat panoları</t>
  </si>
  <si>
    <t>Hiç yok</t>
  </si>
  <si>
    <t>Spec’te 6 dairelik 2 adet, 5 dairelik 4 adet ЩЭ14-7 eklendi; iç detay için ЭОМ.1/ЛО3-ЛО4 gerekir.</t>
  </si>
  <si>
    <t>Genel</t>
  </si>
  <si>
    <t>Birim/format</t>
  </si>
  <si>
    <t>комплект iç kalemlerde kullanılmış</t>
  </si>
  <si>
    <t>İç kalemlerde шт/м/набор kullanıldı; komple panel toplam satırı yapılmadı.</t>
  </si>
  <si>
    <t>Korpus_Kontrol - 260613 ЭОМ.2 листы ГРЩ / CHINT düzeltme</t>
  </si>
  <si>
    <t>Projede geçen tip</t>
  </si>
  <si>
    <t>Katalog/Proje ölçü referansı</t>
  </si>
  <si>
    <t>Stajyer ölçü</t>
  </si>
  <si>
    <t>Önerilen TEKLED/TEKSAN ölçü</t>
  </si>
  <si>
    <t>Karar</t>
  </si>
  <si>
    <t>Gerekçe</t>
  </si>
  <si>
    <t>ВРУ21ЛЭН(400+400)-201 / sayfa 2’de (320+320) yazım çelişkisi</t>
  </si>
  <si>
    <t>400A sınıfı için 2000x800x600 mm referansı</t>
  </si>
  <si>
    <t>2000x800x600 mm + baza 100 mm</t>
  </si>
  <si>
    <t>Uygun / daha küçük yapma</t>
  </si>
  <si>
    <t>2x400A MCCB, 6x125A MCCB, 6 CT, 2 sayaç, 700A ana bara ve 5x70 kablo çıkışları için 600 derinlik gerekir.</t>
  </si>
  <si>
    <t>ВРУ21ЛЭН-25-300К</t>
  </si>
  <si>
    <t>Katalog minimum 800x600x250 mm</t>
  </si>
  <si>
    <t>1000x650x300 mm</t>
  </si>
  <si>
    <t>800x600x250 minimum; TEKLED üretimde 1000x650x300 önerilir</t>
  </si>
  <si>
    <t>300К AVR seti, sayaç, 6xC6, RCBO, D16, fotoröle ve %20 yedek alan için 800x600x250 sıkışır.</t>
  </si>
  <si>
    <t>ЩЭ 6 квартир</t>
  </si>
  <si>
    <t>ЩЭ14-7</t>
  </si>
  <si>
    <t>Proje qty 2</t>
  </si>
  <si>
    <t>Detay proje olmadan ölçü kesinleştirilmez</t>
  </si>
  <si>
    <t>Kapsam kontrol</t>
  </si>
  <si>
    <t>İç BOM ve ölçü için ЭОМ.1 veya ЛО3 gerekiyor.</t>
  </si>
  <si>
    <t>ЩЭ 5 квартир</t>
  </si>
  <si>
    <t>Proje qty 4</t>
  </si>
  <si>
    <t>İç BOM ve ölçü için ЭОМ.1 veya ЛО4 gerekiyor.</t>
  </si>
  <si>
    <t>Gorsel_Plani - 260613 ЭОМ.2 листы ГРЩ / CHINT düzeltme</t>
  </si>
  <si>
    <t>Görsel dosya</t>
  </si>
  <si>
    <t>Ölçü</t>
  </si>
  <si>
    <t>Yerleşim özeti</t>
  </si>
  <si>
    <t>Kapak/ön görünüş</t>
  </si>
  <si>
    <t>GRSCH1_panel_layout.png</t>
  </si>
  <si>
    <t>2000x800x600 + baza 100</t>
  </si>
  <si>
    <t>Sol alan: 2 giriş MCCB 400A, 6 CT, 2 sayaç. Sağ alan: 6x125A MCCB, MCB/RCBO rayları, KM20-20. Alt: N/PE/klemens/kablo giriş.</t>
  </si>
  <si>
    <t>2 sayaç penceresi ve etiket alanı.</t>
  </si>
  <si>
    <t>Bara bölümü ve kablo büküm payı bırakıldı.</t>
  </si>
  <si>
    <t>GRSCH2_panel_layout.png</t>
  </si>
  <si>
    <t>1000x650x300 öneri</t>
  </si>
  <si>
    <t>Üst: AVR giriş alanı; orta: sayaç, kontrol röleleri, fotoröle; alt: çıkış MCB/RCBO/D16 ve N/PE/klemens.</t>
  </si>
  <si>
    <t>1 sayaç penceresi, AUTO-0-MAN ve fotorele/kontrol etiketi.</t>
  </si>
  <si>
    <t>300К AVR için 2 kontaktör + mekanik kilit alanı ayrıldı.</t>
  </si>
  <si>
    <t>260613 ЭОМ.2 листы ГРЩ - düzeltilmiş BOM ve pano ölçü kontrolü</t>
  </si>
  <si>
    <t>Kullanım</t>
  </si>
  <si>
    <t>1) BOM_FINAL: satın alma/üretim için ana düzeltilmiş BOM.</t>
  </si>
  <si>
    <t>2) Stajyer_Kontrol: stajyer BOM’daki eksikler ve kritik düzeltmeler.</t>
  </si>
  <si>
    <t>3) Korpus_Kontrol: korpus ölçüsü değerlendirmesi ve öneri.</t>
  </si>
  <si>
    <t>4) Gorsel_Plani: ekteki PNG/PDF görsellerinin üretim notları.</t>
  </si>
  <si>
    <t>5) Kablo_Projeye_Gore: proje spesifikasyonundaki kablo metrajları; panel iç BOM’dan ayrı tutuldu.</t>
  </si>
  <si>
    <t>Önemli not</t>
  </si>
  <si>
    <t>ГРЩ2 için ВРУ21ЛЭН-25-300К ifadesi 300К AVR fonksiyonuna işaret eder. Bu yüzden stajyer BOM’daki tek kontaktör yeterli kabul edilmedi; iki güç kontaktörü, mekanik kilit ve voltaj/faz kontrol rölesi eklendi.</t>
  </si>
  <si>
    <t>Düzeltme notu: Bu versiyonda Excel tablo objeleri ve birleşik hücreler kaldırıldı. Satır kopyalayıp araya yapıştırma normal çalışır.</t>
  </si>
  <si>
    <t>rubilnik</t>
  </si>
  <si>
    <t>400a 2npr</t>
  </si>
  <si>
    <t>400/5</t>
  </si>
  <si>
    <t>комл.</t>
  </si>
  <si>
    <t>TEKLED</t>
  </si>
  <si>
    <t>ЩЭ6</t>
  </si>
  <si>
    <t>ЩЭ7</t>
  </si>
  <si>
    <t>цена</t>
  </si>
  <si>
    <t>сумм.</t>
  </si>
  <si>
    <t>TEKSAN-R1-1800x800x450</t>
  </si>
  <si>
    <t>TEKSAN-R1-1800x600x450</t>
  </si>
  <si>
    <t>finder</t>
  </si>
  <si>
    <t>finder yuva</t>
  </si>
  <si>
    <t>Önerilen üretim ölçüsü: 1200*750*300 mm. Katalog minimum: 800x600x250 mm.</t>
  </si>
  <si>
    <t>130200009_</t>
  </si>
  <si>
    <t xml:space="preserve">                Шина алюм АД31Т  5х40х4000</t>
  </si>
  <si>
    <t>836780</t>
  </si>
  <si>
    <t>Контактор NXC-40 40A 220В/АС3 1НО+1НЗ 50Гц (R)</t>
  </si>
  <si>
    <t>218849</t>
  </si>
  <si>
    <t>Механическая блокировка для NXC-40-65 (R)</t>
  </si>
  <si>
    <t>mekanik kilit</t>
  </si>
  <si>
    <t>515388</t>
  </si>
  <si>
    <t>Диф. авт. выкл. NXBLE-63YH 1P+N C20 30mA тип A, 6kA (R)</t>
  </si>
  <si>
    <t>D003173</t>
  </si>
  <si>
    <t>FOTORELE DIN-1(FR)2-100LK 25A 3000W EKF PROXIMA</t>
  </si>
  <si>
    <t>kaztek</t>
  </si>
  <si>
    <t>270100173_</t>
  </si>
  <si>
    <t xml:space="preserve">                    Рубильник ВР-32-39  В71250-630А на 2 направления (+6 камер) UNIT (1/2)</t>
  </si>
  <si>
    <t>pys</t>
  </si>
  <si>
    <t>270300025_</t>
  </si>
  <si>
    <t xml:space="preserve">             Трансформатор тока ТТИ-40  400/5А  5ВА  класс 0,5  IEK</t>
  </si>
  <si>
    <t>574849</t>
  </si>
  <si>
    <t>Переключатель NP2-BD33, 3 положения с фиксацией, 2НО IP40</t>
  </si>
  <si>
    <t>714-15116</t>
  </si>
  <si>
    <t>Щит мет. ЩРн-5-2 PR (1000x650x300) IP54 (TS)</t>
  </si>
  <si>
    <t>Авт. выкл. NXB-63S 3P 10А 4.5kA х-ка D (R)</t>
  </si>
  <si>
    <t>Авт. выкл. NXB-63S 1P 32А 4.5kA х-ка C (R)</t>
  </si>
  <si>
    <t>Авт. выкл. NXB-63S 1P 25А 4.5kA х-ка C (R)</t>
  </si>
  <si>
    <t>Авт. выкл. NXB-63S 1P 6А 4.5kA х-ка C (R)</t>
  </si>
  <si>
    <t>296830</t>
  </si>
  <si>
    <t>Авт. выкл. NXB-63S 3P 32А 4.5kA х-ка C (R)</t>
  </si>
  <si>
    <t>Авт. выкл. NXB-63S 3P 16А 4.5kA х-ка D (R)</t>
  </si>
  <si>
    <t>Авт. выкл. NXM-400S/3Р 400A 50кА (R)</t>
  </si>
  <si>
    <t>131363</t>
  </si>
  <si>
    <t>Авт. выкл. NXM-125S/3Р 125A 25кА (R)</t>
  </si>
  <si>
    <t>285448</t>
  </si>
  <si>
    <t>Промежуточное реле JZX-22F(D) 4 конт. с инд. LED 3А 220В AC (R)</t>
  </si>
  <si>
    <t>285976</t>
  </si>
  <si>
    <t>Розетка CZY14A для JZX-22F(D) 4 контакта</t>
  </si>
  <si>
    <t>faz rele</t>
  </si>
  <si>
    <t>310008</t>
  </si>
  <si>
    <t>Реле контроля фаз NJB1-X AC380V (R)</t>
  </si>
  <si>
    <t>монтажный rabota</t>
  </si>
  <si>
    <t>Toplam ГРЩ1</t>
  </si>
  <si>
    <t>Toplam ГРЩ2</t>
  </si>
  <si>
    <t>Toplam ЩЭ6</t>
  </si>
  <si>
    <t>Toplam ЩЭ7</t>
  </si>
  <si>
    <t>Genel Toplam</t>
  </si>
  <si>
    <t>ГРЩ1 (с счетчиком- без АВР)</t>
  </si>
  <si>
    <t>ГРЩ2 (с счетчиком- с АВР)</t>
  </si>
  <si>
    <t>mandal</t>
  </si>
  <si>
    <t>wh</t>
  </si>
  <si>
    <t>malz</t>
  </si>
  <si>
    <t>Код товара</t>
  </si>
  <si>
    <t>Наименование / описание</t>
  </si>
  <si>
    <t>Цена закупки</t>
  </si>
  <si>
    <t>Цена продажи</t>
  </si>
  <si>
    <t>Сумма</t>
  </si>
  <si>
    <t>Кол-во</t>
  </si>
  <si>
    <t>Ед. изм.</t>
  </si>
  <si>
    <t>Марка / поставщик</t>
  </si>
  <si>
    <t>timer</t>
  </si>
  <si>
    <t>257987</t>
  </si>
  <si>
    <t>Реле времени NTE8-B (задержка времени включения)  1-10с, 1НО, AC230В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</si>
</sst>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1F4E78"/>
      <name val="Carlito"/>
    </font>
    <font>
      <b/>
      <sz val="11"/>
      <color rgb="FFFFFFFF"/>
      <name val="Carlito"/>
    </font>
    <font>
      <sz val="8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CC66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4" borderId="2" xfId="0" applyFill="1" applyBorder="1" applyAlignment="1">
      <alignment vertical="center" wrapText="1"/>
    </xf>
    <xf numFmtId="0" fontId="0" fillId="4" borderId="2" xfId="0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0" fillId="4" borderId="2" xfId="0" applyNumberFormat="1" applyFill="1" applyBorder="1" applyAlignment="1">
      <alignment horizontal="center" vertic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"/>
  <sheetViews>
    <sheetView topLeftCell="A24" zoomScale="85" zoomScaleNormal="85" workbookViewId="0">
      <selection activeCell="C1" sqref="C1:K40"/>
    </sheetView>
  </sheetViews>
  <sheetFormatPr defaultRowHeight="24.75" customHeight="1" outlineLevelRow="2"/>
  <cols>
    <col min="1" max="1" width="6" style="5" customWidth="1"/>
    <col min="2" max="2" width="10" style="5" customWidth="1"/>
    <col min="3" max="3" width="15" style="5" customWidth="1"/>
    <col min="4" max="4" width="18" style="5" customWidth="1"/>
    <col min="5" max="5" width="44.5" style="5" customWidth="1"/>
    <col min="6" max="8" width="20" style="5" customWidth="1"/>
    <col min="9" max="9" width="8" style="9" customWidth="1"/>
    <col min="10" max="10" width="9" style="9" customWidth="1"/>
    <col min="11" max="11" width="18" style="9" customWidth="1"/>
    <col min="12" max="12" width="20" style="5" customWidth="1"/>
    <col min="13" max="13" width="45" style="5" customWidth="1"/>
    <col min="14" max="14" width="18" style="5" customWidth="1"/>
    <col min="15" max="15" width="36" style="5" customWidth="1"/>
    <col min="16" max="16" width="14" style="5" customWidth="1"/>
    <col min="17" max="16384" width="9" style="5"/>
  </cols>
  <sheetData>
    <row r="1" spans="1:16" ht="57.75" customHeight="1">
      <c r="A1" s="7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219</v>
      </c>
      <c r="G1" s="7" t="s">
        <v>219</v>
      </c>
      <c r="H1" s="7" t="s">
        <v>220</v>
      </c>
      <c r="I1" s="7" t="s">
        <v>7</v>
      </c>
      <c r="J1" s="7" t="s">
        <v>8</v>
      </c>
      <c r="K1" s="7" t="s">
        <v>9</v>
      </c>
      <c r="L1" s="7" t="s">
        <v>274</v>
      </c>
      <c r="M1" s="7" t="s">
        <v>6</v>
      </c>
      <c r="N1" s="7" t="s">
        <v>10</v>
      </c>
      <c r="O1" s="7" t="s">
        <v>11</v>
      </c>
      <c r="P1" s="7" t="s">
        <v>12</v>
      </c>
    </row>
    <row r="2" spans="1:16" ht="24.75" customHeight="1" outlineLevel="2">
      <c r="A2" s="10"/>
      <c r="B2" s="10" t="s">
        <v>13</v>
      </c>
      <c r="C2" s="10"/>
      <c r="D2" s="10"/>
      <c r="E2" s="11" t="s">
        <v>270</v>
      </c>
      <c r="F2" s="11"/>
      <c r="G2" s="11"/>
      <c r="H2" s="11"/>
      <c r="I2" s="11">
        <v>1</v>
      </c>
      <c r="J2" s="11" t="s">
        <v>215</v>
      </c>
      <c r="K2" s="11" t="s">
        <v>216</v>
      </c>
      <c r="L2" s="11"/>
      <c r="M2" s="10"/>
      <c r="N2" s="10"/>
      <c r="O2" s="10"/>
      <c r="P2" s="10"/>
    </row>
    <row r="3" spans="1:16" ht="24.75" customHeight="1" outlineLevel="2">
      <c r="A3" s="6">
        <v>1</v>
      </c>
      <c r="B3" s="6" t="s">
        <v>13</v>
      </c>
      <c r="C3" s="6" t="s">
        <v>14</v>
      </c>
      <c r="D3" s="6" t="s">
        <v>221</v>
      </c>
      <c r="E3" s="6" t="s">
        <v>15</v>
      </c>
      <c r="F3" s="6">
        <v>165000</v>
      </c>
      <c r="G3" s="6">
        <f>F3*0.6</f>
        <v>99000</v>
      </c>
      <c r="H3" s="6">
        <f t="shared" ref="H3:H15" si="0">G3*I3</f>
        <v>99000</v>
      </c>
      <c r="I3" s="8">
        <v>1</v>
      </c>
      <c r="J3" s="8" t="s">
        <v>17</v>
      </c>
      <c r="K3" s="8" t="s">
        <v>237</v>
      </c>
      <c r="L3" s="6">
        <v>99000</v>
      </c>
      <c r="M3" s="6" t="s">
        <v>16</v>
      </c>
      <c r="N3" s="6" t="s">
        <v>18</v>
      </c>
      <c r="O3" s="6" t="s">
        <v>19</v>
      </c>
      <c r="P3" s="6" t="s">
        <v>20</v>
      </c>
    </row>
    <row r="4" spans="1:16" ht="24.75" customHeight="1" outlineLevel="2">
      <c r="A4" s="6">
        <v>1</v>
      </c>
      <c r="B4" s="6" t="s">
        <v>13</v>
      </c>
      <c r="C4" s="6" t="s">
        <v>14</v>
      </c>
      <c r="D4" s="6" t="s">
        <v>222</v>
      </c>
      <c r="E4" s="6" t="s">
        <v>15</v>
      </c>
      <c r="F4" s="6">
        <v>145000</v>
      </c>
      <c r="G4" s="6">
        <f>F4*0.6</f>
        <v>87000</v>
      </c>
      <c r="H4" s="6">
        <f t="shared" si="0"/>
        <v>87000</v>
      </c>
      <c r="I4" s="8">
        <v>1</v>
      </c>
      <c r="J4" s="8" t="s">
        <v>17</v>
      </c>
      <c r="K4" s="8" t="s">
        <v>237</v>
      </c>
      <c r="L4" s="6">
        <v>87000</v>
      </c>
      <c r="M4" s="6" t="s">
        <v>16</v>
      </c>
      <c r="N4" s="6" t="s">
        <v>18</v>
      </c>
      <c r="O4" s="6" t="s">
        <v>19</v>
      </c>
      <c r="P4" s="6" t="s">
        <v>20</v>
      </c>
    </row>
    <row r="5" spans="1:16" ht="24.75" customHeight="1" outlineLevel="2">
      <c r="A5" s="6">
        <v>2</v>
      </c>
      <c r="B5" s="6" t="s">
        <v>13</v>
      </c>
      <c r="C5" s="6" t="s">
        <v>212</v>
      </c>
      <c r="D5" s="6" t="s">
        <v>238</v>
      </c>
      <c r="E5" s="6" t="s">
        <v>239</v>
      </c>
      <c r="F5" s="6">
        <v>48003</v>
      </c>
      <c r="G5" s="6">
        <f>F5</f>
        <v>48003</v>
      </c>
      <c r="H5" s="6">
        <f t="shared" si="0"/>
        <v>96006</v>
      </c>
      <c r="I5" s="8">
        <v>2</v>
      </c>
      <c r="J5" s="8" t="s">
        <v>17</v>
      </c>
      <c r="K5" s="8" t="s">
        <v>240</v>
      </c>
      <c r="L5" s="6">
        <v>96006</v>
      </c>
      <c r="M5" s="6" t="s">
        <v>213</v>
      </c>
      <c r="N5" s="6" t="s">
        <v>25</v>
      </c>
      <c r="O5" s="6" t="s">
        <v>26</v>
      </c>
      <c r="P5" s="6" t="s">
        <v>27</v>
      </c>
    </row>
    <row r="6" spans="1:16" ht="24.75" customHeight="1" outlineLevel="2">
      <c r="A6" s="6">
        <v>2</v>
      </c>
      <c r="B6" s="6" t="s">
        <v>13</v>
      </c>
      <c r="C6" s="6" t="s">
        <v>21</v>
      </c>
      <c r="D6" s="6" t="s">
        <v>22</v>
      </c>
      <c r="E6" s="6" t="s">
        <v>254</v>
      </c>
      <c r="F6" s="6">
        <v>74241</v>
      </c>
      <c r="G6" s="6">
        <f>F6*0.6</f>
        <v>44544.6</v>
      </c>
      <c r="H6" s="6">
        <f t="shared" si="0"/>
        <v>89089.2</v>
      </c>
      <c r="I6" s="8">
        <v>2</v>
      </c>
      <c r="J6" s="8" t="s">
        <v>17</v>
      </c>
      <c r="K6" s="8" t="s">
        <v>24</v>
      </c>
      <c r="L6" s="6">
        <v>89089.2</v>
      </c>
      <c r="M6" s="6" t="s">
        <v>23</v>
      </c>
      <c r="N6" s="6" t="s">
        <v>25</v>
      </c>
      <c r="O6" s="6" t="s">
        <v>26</v>
      </c>
      <c r="P6" s="6" t="s">
        <v>27</v>
      </c>
    </row>
    <row r="7" spans="1:16" ht="24.75" customHeight="1" outlineLevel="2">
      <c r="A7" s="6">
        <v>3</v>
      </c>
      <c r="B7" s="6" t="s">
        <v>13</v>
      </c>
      <c r="C7" s="6" t="s">
        <v>28</v>
      </c>
      <c r="D7" s="6" t="s">
        <v>241</v>
      </c>
      <c r="E7" s="6" t="s">
        <v>242</v>
      </c>
      <c r="F7" s="6">
        <v>6500</v>
      </c>
      <c r="G7" s="6">
        <f t="shared" ref="G7:G8" si="1">F7</f>
        <v>6500</v>
      </c>
      <c r="H7" s="6">
        <f t="shared" si="0"/>
        <v>39000</v>
      </c>
      <c r="I7" s="8">
        <v>6</v>
      </c>
      <c r="J7" s="8" t="s">
        <v>17</v>
      </c>
      <c r="K7" s="8" t="s">
        <v>240</v>
      </c>
      <c r="L7" s="6">
        <v>39000</v>
      </c>
      <c r="M7" s="6" t="s">
        <v>214</v>
      </c>
      <c r="N7" s="6" t="s">
        <v>30</v>
      </c>
      <c r="O7" s="6" t="s">
        <v>31</v>
      </c>
      <c r="P7" s="6" t="s">
        <v>20</v>
      </c>
    </row>
    <row r="8" spans="1:16" ht="24.75" customHeight="1" outlineLevel="2">
      <c r="A8" s="6">
        <v>4</v>
      </c>
      <c r="B8" s="6" t="s">
        <v>13</v>
      </c>
      <c r="C8" s="6" t="s">
        <v>273</v>
      </c>
      <c r="D8" s="6" t="s">
        <v>29</v>
      </c>
      <c r="E8" s="6" t="s">
        <v>32</v>
      </c>
      <c r="F8" s="6">
        <v>98000</v>
      </c>
      <c r="G8" s="6">
        <f t="shared" si="1"/>
        <v>98000</v>
      </c>
      <c r="H8" s="6">
        <f t="shared" si="0"/>
        <v>196000</v>
      </c>
      <c r="I8" s="8">
        <v>2</v>
      </c>
      <c r="J8" s="8" t="s">
        <v>17</v>
      </c>
      <c r="K8" s="8" t="s">
        <v>34</v>
      </c>
      <c r="L8" s="6">
        <v>196000</v>
      </c>
      <c r="M8" s="6" t="s">
        <v>33</v>
      </c>
      <c r="N8" s="6" t="s">
        <v>30</v>
      </c>
      <c r="O8" s="6" t="s">
        <v>35</v>
      </c>
      <c r="P8" s="6" t="s">
        <v>36</v>
      </c>
    </row>
    <row r="9" spans="1:16" ht="24.75" customHeight="1" outlineLevel="2">
      <c r="A9" s="6">
        <v>5</v>
      </c>
      <c r="B9" s="6" t="s">
        <v>13</v>
      </c>
      <c r="C9" s="6" t="s">
        <v>21</v>
      </c>
      <c r="D9" s="6" t="s">
        <v>255</v>
      </c>
      <c r="E9" s="6" t="s">
        <v>256</v>
      </c>
      <c r="F9" s="6">
        <v>19760</v>
      </c>
      <c r="G9" s="6">
        <f t="shared" ref="G9:G15" si="2">F9*0.6</f>
        <v>11856</v>
      </c>
      <c r="H9" s="6">
        <f t="shared" si="0"/>
        <v>71136</v>
      </c>
      <c r="I9" s="8">
        <v>6</v>
      </c>
      <c r="J9" s="8" t="s">
        <v>17</v>
      </c>
      <c r="K9" s="8" t="s">
        <v>24</v>
      </c>
      <c r="L9" s="6">
        <v>71136</v>
      </c>
      <c r="M9" s="6" t="s">
        <v>37</v>
      </c>
      <c r="N9" s="6" t="s">
        <v>38</v>
      </c>
      <c r="O9" s="6" t="s">
        <v>39</v>
      </c>
      <c r="P9" s="6" t="s">
        <v>27</v>
      </c>
    </row>
    <row r="10" spans="1:16" ht="24.75" customHeight="1" outlineLevel="2">
      <c r="A10" s="6">
        <v>6</v>
      </c>
      <c r="B10" s="6" t="s">
        <v>13</v>
      </c>
      <c r="C10" s="6" t="s">
        <v>49</v>
      </c>
      <c r="D10" s="6" t="s">
        <v>40</v>
      </c>
      <c r="E10" s="6" t="s">
        <v>247</v>
      </c>
      <c r="F10" s="6">
        <v>3644</v>
      </c>
      <c r="G10" s="6">
        <f t="shared" si="2"/>
        <v>2186.4</v>
      </c>
      <c r="H10" s="6">
        <f t="shared" si="0"/>
        <v>2186.4</v>
      </c>
      <c r="I10" s="8">
        <v>1</v>
      </c>
      <c r="J10" s="8" t="s">
        <v>17</v>
      </c>
      <c r="K10" s="8" t="s">
        <v>24</v>
      </c>
      <c r="L10" s="6">
        <v>2186.4</v>
      </c>
      <c r="M10" s="6" t="s">
        <v>41</v>
      </c>
      <c r="N10" s="6" t="s">
        <v>42</v>
      </c>
      <c r="O10" s="6" t="s">
        <v>39</v>
      </c>
      <c r="P10" s="6">
        <v>3</v>
      </c>
    </row>
    <row r="11" spans="1:16" ht="24.75" customHeight="1" outlineLevel="2">
      <c r="A11" s="6">
        <v>7</v>
      </c>
      <c r="B11" s="6" t="s">
        <v>13</v>
      </c>
      <c r="C11" s="6" t="s">
        <v>49</v>
      </c>
      <c r="D11" s="6" t="s">
        <v>43</v>
      </c>
      <c r="E11" s="6" t="s">
        <v>248</v>
      </c>
      <c r="F11" s="6">
        <v>902</v>
      </c>
      <c r="G11" s="6">
        <f t="shared" si="2"/>
        <v>541.19999999999993</v>
      </c>
      <c r="H11" s="6">
        <f t="shared" si="0"/>
        <v>541.19999999999993</v>
      </c>
      <c r="I11" s="8">
        <v>1</v>
      </c>
      <c r="J11" s="8" t="s">
        <v>17</v>
      </c>
      <c r="K11" s="8" t="s">
        <v>24</v>
      </c>
      <c r="L11" s="6">
        <v>541.19999999999993</v>
      </c>
      <c r="M11" s="6" t="s">
        <v>44</v>
      </c>
      <c r="N11" s="6" t="s">
        <v>45</v>
      </c>
      <c r="O11" s="6" t="s">
        <v>39</v>
      </c>
      <c r="P11" s="6">
        <v>1</v>
      </c>
    </row>
    <row r="12" spans="1:16" ht="24.75" customHeight="1" outlineLevel="2">
      <c r="A12" s="6">
        <v>8</v>
      </c>
      <c r="B12" s="6" t="s">
        <v>13</v>
      </c>
      <c r="C12" s="6" t="s">
        <v>49</v>
      </c>
      <c r="D12" s="6" t="s">
        <v>46</v>
      </c>
      <c r="E12" s="6" t="s">
        <v>249</v>
      </c>
      <c r="F12" s="6">
        <v>800</v>
      </c>
      <c r="G12" s="6">
        <f t="shared" si="2"/>
        <v>480</v>
      </c>
      <c r="H12" s="6">
        <f t="shared" si="0"/>
        <v>2400</v>
      </c>
      <c r="I12" s="8">
        <v>5</v>
      </c>
      <c r="J12" s="8" t="s">
        <v>17</v>
      </c>
      <c r="K12" s="8" t="s">
        <v>24</v>
      </c>
      <c r="L12" s="6">
        <v>2400</v>
      </c>
      <c r="M12" s="6" t="s">
        <v>47</v>
      </c>
      <c r="N12" s="6" t="s">
        <v>48</v>
      </c>
      <c r="O12" s="6" t="s">
        <v>39</v>
      </c>
      <c r="P12" s="6">
        <v>5</v>
      </c>
    </row>
    <row r="13" spans="1:16" ht="24.75" customHeight="1" outlineLevel="2">
      <c r="A13" s="6">
        <v>9</v>
      </c>
      <c r="B13" s="6" t="s">
        <v>13</v>
      </c>
      <c r="C13" s="6" t="s">
        <v>49</v>
      </c>
      <c r="D13" s="6" t="s">
        <v>50</v>
      </c>
      <c r="E13" s="6" t="s">
        <v>250</v>
      </c>
      <c r="F13" s="6">
        <v>975</v>
      </c>
      <c r="G13" s="6">
        <f t="shared" si="2"/>
        <v>585</v>
      </c>
      <c r="H13" s="6">
        <f t="shared" si="0"/>
        <v>3510</v>
      </c>
      <c r="I13" s="8">
        <v>6</v>
      </c>
      <c r="J13" s="8" t="s">
        <v>17</v>
      </c>
      <c r="K13" s="8" t="s">
        <v>24</v>
      </c>
      <c r="L13" s="6">
        <v>3510</v>
      </c>
      <c r="M13" s="6" t="s">
        <v>51</v>
      </c>
      <c r="N13" s="6" t="s">
        <v>52</v>
      </c>
      <c r="O13" s="6" t="s">
        <v>39</v>
      </c>
      <c r="P13" s="6">
        <v>5</v>
      </c>
    </row>
    <row r="14" spans="1:16" ht="24.75" customHeight="1" outlineLevel="2">
      <c r="A14" s="6">
        <v>10</v>
      </c>
      <c r="B14" s="6" t="s">
        <v>13</v>
      </c>
      <c r="C14" s="6" t="s">
        <v>53</v>
      </c>
      <c r="D14" s="6" t="s">
        <v>233</v>
      </c>
      <c r="E14" s="6" t="s">
        <v>234</v>
      </c>
      <c r="F14" s="6">
        <v>5632</v>
      </c>
      <c r="G14" s="6">
        <f t="shared" si="2"/>
        <v>3379.2</v>
      </c>
      <c r="H14" s="6">
        <f t="shared" si="0"/>
        <v>6758.4</v>
      </c>
      <c r="I14" s="8">
        <v>2</v>
      </c>
      <c r="J14" s="8" t="s">
        <v>17</v>
      </c>
      <c r="K14" s="8" t="s">
        <v>24</v>
      </c>
      <c r="L14" s="6">
        <v>6758.4</v>
      </c>
      <c r="M14" s="6" t="s">
        <v>54</v>
      </c>
      <c r="N14" s="6" t="s">
        <v>55</v>
      </c>
      <c r="O14" s="6" t="s">
        <v>39</v>
      </c>
      <c r="P14" s="6">
        <v>4</v>
      </c>
    </row>
    <row r="15" spans="1:16" ht="24.75" customHeight="1" outlineLevel="2">
      <c r="A15" s="6">
        <v>11</v>
      </c>
      <c r="B15" s="6" t="s">
        <v>13</v>
      </c>
      <c r="C15" s="6" t="s">
        <v>56</v>
      </c>
      <c r="D15" s="6" t="s">
        <v>57</v>
      </c>
      <c r="E15" s="6" t="s">
        <v>58</v>
      </c>
      <c r="F15" s="6">
        <v>6145</v>
      </c>
      <c r="G15" s="6">
        <f t="shared" si="2"/>
        <v>3687</v>
      </c>
      <c r="H15" s="6">
        <f t="shared" si="0"/>
        <v>3687</v>
      </c>
      <c r="I15" s="8">
        <v>1</v>
      </c>
      <c r="J15" s="8" t="s">
        <v>17</v>
      </c>
      <c r="K15" s="8" t="s">
        <v>24</v>
      </c>
      <c r="L15" s="6">
        <v>3687</v>
      </c>
      <c r="M15" s="6" t="s">
        <v>59</v>
      </c>
      <c r="N15" s="6" t="s">
        <v>60</v>
      </c>
      <c r="O15" s="6" t="s">
        <v>39</v>
      </c>
      <c r="P15" s="6">
        <v>2</v>
      </c>
    </row>
    <row r="16" spans="1:16" ht="24.75" customHeight="1" outlineLevel="2">
      <c r="A16" s="6">
        <v>12</v>
      </c>
      <c r="B16" s="6" t="s">
        <v>13</v>
      </c>
      <c r="C16" s="6" t="s">
        <v>61</v>
      </c>
      <c r="D16" s="6" t="s">
        <v>226</v>
      </c>
      <c r="E16" s="6" t="s">
        <v>227</v>
      </c>
      <c r="F16" s="6">
        <v>1629</v>
      </c>
      <c r="G16" s="6">
        <f t="shared" ref="G16:G18" si="3">F16</f>
        <v>1629</v>
      </c>
      <c r="H16" s="6">
        <f>G16*I16</f>
        <v>19548</v>
      </c>
      <c r="I16" s="8">
        <v>12</v>
      </c>
      <c r="J16" s="8" t="s">
        <v>63</v>
      </c>
      <c r="K16" s="8" t="s">
        <v>240</v>
      </c>
      <c r="L16" s="6">
        <v>19548</v>
      </c>
      <c r="M16" s="6" t="s">
        <v>62</v>
      </c>
      <c r="N16" s="6" t="s">
        <v>64</v>
      </c>
      <c r="O16" s="6" t="s">
        <v>65</v>
      </c>
      <c r="P16" s="6" t="s">
        <v>20</v>
      </c>
    </row>
    <row r="17" spans="1:16" ht="24.75" customHeight="1" outlineLevel="2">
      <c r="A17" s="6">
        <v>13</v>
      </c>
      <c r="B17" s="6" t="s">
        <v>13</v>
      </c>
      <c r="C17" s="6" t="s">
        <v>61</v>
      </c>
      <c r="D17" s="6" t="s">
        <v>226</v>
      </c>
      <c r="E17" s="6" t="s">
        <v>227</v>
      </c>
      <c r="F17" s="6">
        <v>1629</v>
      </c>
      <c r="G17" s="6">
        <f t="shared" si="3"/>
        <v>1629</v>
      </c>
      <c r="H17" s="6">
        <f>G17*I17</f>
        <v>4887</v>
      </c>
      <c r="I17" s="8">
        <v>3</v>
      </c>
      <c r="J17" s="8" t="s">
        <v>63</v>
      </c>
      <c r="K17" s="8" t="s">
        <v>240</v>
      </c>
      <c r="L17" s="6">
        <v>4887</v>
      </c>
      <c r="M17" s="6" t="s">
        <v>66</v>
      </c>
      <c r="N17" s="6" t="s">
        <v>64</v>
      </c>
      <c r="O17" s="6" t="s">
        <v>67</v>
      </c>
      <c r="P17" s="6" t="s">
        <v>20</v>
      </c>
    </row>
    <row r="18" spans="1:16" ht="24.75" customHeight="1" outlineLevel="2">
      <c r="A18" s="6">
        <v>14</v>
      </c>
      <c r="B18" s="6" t="s">
        <v>13</v>
      </c>
      <c r="C18" s="6" t="s">
        <v>68</v>
      </c>
      <c r="D18" s="6" t="s">
        <v>29</v>
      </c>
      <c r="E18" s="6" t="s">
        <v>68</v>
      </c>
      <c r="F18" s="6">
        <v>80000</v>
      </c>
      <c r="G18" s="6">
        <f t="shared" si="3"/>
        <v>80000</v>
      </c>
      <c r="H18" s="6">
        <f t="shared" ref="H18:H19" si="4">G18*I18</f>
        <v>80000</v>
      </c>
      <c r="I18" s="8">
        <v>1</v>
      </c>
      <c r="J18" s="6" t="s">
        <v>68</v>
      </c>
      <c r="K18" s="8" t="s">
        <v>240</v>
      </c>
      <c r="L18" s="6">
        <v>80000</v>
      </c>
      <c r="M18" s="6" t="s">
        <v>69</v>
      </c>
      <c r="N18" s="6" t="s">
        <v>71</v>
      </c>
      <c r="O18" s="6" t="s">
        <v>72</v>
      </c>
      <c r="P18" s="6" t="s">
        <v>20</v>
      </c>
    </row>
    <row r="19" spans="1:16" ht="24.75" customHeight="1" outlineLevel="2">
      <c r="A19" s="6">
        <v>15</v>
      </c>
      <c r="B19" s="6" t="s">
        <v>13</v>
      </c>
      <c r="C19" s="6" t="s">
        <v>264</v>
      </c>
      <c r="D19" s="6" t="s">
        <v>29</v>
      </c>
      <c r="E19" s="6" t="s">
        <v>264</v>
      </c>
      <c r="F19" s="6">
        <v>18</v>
      </c>
      <c r="G19" s="6">
        <v>100</v>
      </c>
      <c r="H19" s="6">
        <f t="shared" si="4"/>
        <v>108000</v>
      </c>
      <c r="I19" s="8">
        <f>60*F19</f>
        <v>1080</v>
      </c>
      <c r="J19" s="6" t="s">
        <v>264</v>
      </c>
      <c r="K19" s="8" t="s">
        <v>240</v>
      </c>
      <c r="L19" s="6">
        <v>108000</v>
      </c>
      <c r="M19" s="6" t="s">
        <v>264</v>
      </c>
      <c r="N19" s="6" t="s">
        <v>71</v>
      </c>
      <c r="O19" s="6"/>
      <c r="P19" s="6" t="s">
        <v>20</v>
      </c>
    </row>
    <row r="20" spans="1:16" ht="24.75" customHeight="1" outlineLevel="1">
      <c r="A20" s="6"/>
      <c r="B20" s="12" t="s">
        <v>265</v>
      </c>
      <c r="C20" s="6"/>
      <c r="D20" s="6"/>
      <c r="E20" s="6"/>
      <c r="F20" s="6"/>
      <c r="G20" s="6"/>
      <c r="H20" s="6">
        <f>SUBTOTAL(9,H2:H19)</f>
        <v>908749.2</v>
      </c>
      <c r="I20" s="8"/>
      <c r="J20" s="6"/>
      <c r="K20" s="8"/>
      <c r="L20" s="6">
        <v>908749.2</v>
      </c>
      <c r="M20" s="6"/>
      <c r="N20" s="6"/>
      <c r="O20" s="6"/>
      <c r="P20" s="6"/>
    </row>
    <row r="21" spans="1:16" ht="24.75" customHeight="1" outlineLevel="2">
      <c r="A21" s="10"/>
      <c r="B21" s="10" t="s">
        <v>73</v>
      </c>
      <c r="C21" s="10"/>
      <c r="D21" s="10"/>
      <c r="E21" s="11" t="s">
        <v>271</v>
      </c>
      <c r="F21" s="11"/>
      <c r="G21" s="11"/>
      <c r="H21" s="11"/>
      <c r="I21" s="11">
        <v>1</v>
      </c>
      <c r="J21" s="11" t="s">
        <v>215</v>
      </c>
      <c r="K21" s="11" t="s">
        <v>216</v>
      </c>
      <c r="L21" s="11"/>
      <c r="M21" s="10"/>
      <c r="N21" s="10"/>
      <c r="O21" s="10"/>
      <c r="P21" s="10"/>
    </row>
    <row r="22" spans="1:16" ht="24.75" customHeight="1" outlineLevel="2">
      <c r="A22" s="6">
        <v>16</v>
      </c>
      <c r="B22" s="6" t="s">
        <v>73</v>
      </c>
      <c r="C22" s="6" t="s">
        <v>14</v>
      </c>
      <c r="D22" s="6" t="s">
        <v>245</v>
      </c>
      <c r="E22" s="6" t="s">
        <v>246</v>
      </c>
      <c r="F22" s="6">
        <v>53990</v>
      </c>
      <c r="G22" s="6">
        <f t="shared" ref="G22:G28" si="5">F22*0.6</f>
        <v>32394</v>
      </c>
      <c r="H22" s="6">
        <f t="shared" ref="H22:H36" si="6">G22*I22</f>
        <v>32394</v>
      </c>
      <c r="I22" s="8">
        <v>1</v>
      </c>
      <c r="J22" s="8" t="s">
        <v>17</v>
      </c>
      <c r="K22" s="8" t="s">
        <v>237</v>
      </c>
      <c r="L22" s="6">
        <v>32394</v>
      </c>
      <c r="M22" s="6" t="s">
        <v>225</v>
      </c>
      <c r="N22" s="6" t="s">
        <v>74</v>
      </c>
      <c r="O22" s="6" t="s">
        <v>75</v>
      </c>
      <c r="P22" s="6" t="s">
        <v>20</v>
      </c>
    </row>
    <row r="23" spans="1:16" ht="24.75" customHeight="1" outlineLevel="2">
      <c r="A23" s="6">
        <v>17</v>
      </c>
      <c r="B23" s="6" t="s">
        <v>73</v>
      </c>
      <c r="C23" s="6" t="s">
        <v>49</v>
      </c>
      <c r="D23" s="6" t="s">
        <v>251</v>
      </c>
      <c r="E23" s="6" t="s">
        <v>252</v>
      </c>
      <c r="F23" s="6">
        <v>2606</v>
      </c>
      <c r="G23" s="6">
        <f t="shared" si="5"/>
        <v>1563.6</v>
      </c>
      <c r="H23" s="6">
        <f t="shared" si="6"/>
        <v>3127.2</v>
      </c>
      <c r="I23" s="8">
        <v>2</v>
      </c>
      <c r="J23" s="8" t="s">
        <v>17</v>
      </c>
      <c r="K23" s="8" t="s">
        <v>24</v>
      </c>
      <c r="L23" s="6">
        <v>3127.2</v>
      </c>
      <c r="M23" s="6" t="s">
        <v>76</v>
      </c>
      <c r="N23" s="6" t="s">
        <v>77</v>
      </c>
      <c r="O23" s="6" t="s">
        <v>78</v>
      </c>
      <c r="P23" s="6">
        <v>6</v>
      </c>
    </row>
    <row r="24" spans="1:16" ht="24.75" customHeight="1" outlineLevel="2">
      <c r="A24" s="6">
        <v>18</v>
      </c>
      <c r="B24" s="6" t="s">
        <v>73</v>
      </c>
      <c r="C24" s="6" t="s">
        <v>56</v>
      </c>
      <c r="D24" s="6" t="s">
        <v>228</v>
      </c>
      <c r="E24" s="6" t="s">
        <v>229</v>
      </c>
      <c r="F24" s="6">
        <v>19922</v>
      </c>
      <c r="G24" s="6">
        <f t="shared" si="5"/>
        <v>11953.199999999999</v>
      </c>
      <c r="H24" s="6">
        <f t="shared" si="6"/>
        <v>23906.399999999998</v>
      </c>
      <c r="I24" s="8">
        <v>2</v>
      </c>
      <c r="J24" s="8" t="s">
        <v>17</v>
      </c>
      <c r="K24" s="8" t="s">
        <v>24</v>
      </c>
      <c r="L24" s="6">
        <v>23906.399999999998</v>
      </c>
      <c r="M24" s="6" t="s">
        <v>79</v>
      </c>
      <c r="N24" s="6" t="s">
        <v>80</v>
      </c>
      <c r="O24" s="6" t="s">
        <v>81</v>
      </c>
      <c r="P24" s="6" t="s">
        <v>82</v>
      </c>
    </row>
    <row r="25" spans="1:16" ht="24.75" customHeight="1" outlineLevel="2">
      <c r="A25" s="6">
        <v>19</v>
      </c>
      <c r="B25" s="6" t="s">
        <v>73</v>
      </c>
      <c r="C25" s="6" t="s">
        <v>232</v>
      </c>
      <c r="D25" s="6" t="s">
        <v>230</v>
      </c>
      <c r="E25" s="6" t="s">
        <v>231</v>
      </c>
      <c r="F25" s="6">
        <v>1536</v>
      </c>
      <c r="G25" s="6">
        <f t="shared" si="5"/>
        <v>921.59999999999991</v>
      </c>
      <c r="H25" s="6">
        <f t="shared" si="6"/>
        <v>921.59999999999991</v>
      </c>
      <c r="I25" s="8">
        <v>1</v>
      </c>
      <c r="J25" s="8" t="s">
        <v>17</v>
      </c>
      <c r="K25" s="8" t="s">
        <v>24</v>
      </c>
      <c r="L25" s="6">
        <v>921.59999999999991</v>
      </c>
      <c r="M25" s="6" t="s">
        <v>83</v>
      </c>
      <c r="N25" s="6" t="s">
        <v>80</v>
      </c>
      <c r="O25" s="6" t="s">
        <v>84</v>
      </c>
      <c r="P25" s="6" t="s">
        <v>20</v>
      </c>
    </row>
    <row r="26" spans="1:16" ht="24.75" customHeight="1" outlineLevel="2">
      <c r="A26" s="6">
        <v>20</v>
      </c>
      <c r="B26" s="6" t="s">
        <v>73</v>
      </c>
      <c r="C26" s="6" t="s">
        <v>283</v>
      </c>
      <c r="D26" s="6" t="s">
        <v>284</v>
      </c>
      <c r="E26" s="6" t="s">
        <v>285</v>
      </c>
      <c r="F26" s="6">
        <v>5432</v>
      </c>
      <c r="G26" s="6">
        <f t="shared" si="5"/>
        <v>3259.2</v>
      </c>
      <c r="H26" s="6">
        <f t="shared" si="6"/>
        <v>6518.4</v>
      </c>
      <c r="I26" s="8">
        <v>2</v>
      </c>
      <c r="J26" s="8" t="s">
        <v>17</v>
      </c>
      <c r="K26" s="8" t="s">
        <v>24</v>
      </c>
      <c r="L26" s="6">
        <v>6518.4</v>
      </c>
      <c r="M26" s="6" t="s">
        <v>85</v>
      </c>
      <c r="N26" s="6" t="s">
        <v>80</v>
      </c>
      <c r="O26" s="6" t="s">
        <v>86</v>
      </c>
      <c r="P26" s="6">
        <v>2</v>
      </c>
    </row>
    <row r="27" spans="1:16" ht="24.75" customHeight="1" outlineLevel="2">
      <c r="A27" s="6">
        <v>20</v>
      </c>
      <c r="B27" s="6" t="s">
        <v>73</v>
      </c>
      <c r="C27" s="6" t="s">
        <v>261</v>
      </c>
      <c r="D27" s="6" t="s">
        <v>262</v>
      </c>
      <c r="E27" s="6" t="s">
        <v>263</v>
      </c>
      <c r="F27" s="6">
        <v>16808</v>
      </c>
      <c r="G27" s="6">
        <f t="shared" si="5"/>
        <v>10084.799999999999</v>
      </c>
      <c r="H27" s="6">
        <f t="shared" si="6"/>
        <v>20169.599999999999</v>
      </c>
      <c r="I27" s="8">
        <v>2</v>
      </c>
      <c r="J27" s="8" t="s">
        <v>17</v>
      </c>
      <c r="K27" s="8" t="s">
        <v>24</v>
      </c>
      <c r="L27" s="6">
        <v>20169.599999999999</v>
      </c>
      <c r="M27" s="6" t="s">
        <v>85</v>
      </c>
      <c r="N27" s="6" t="s">
        <v>80</v>
      </c>
      <c r="O27" s="6" t="s">
        <v>86</v>
      </c>
      <c r="P27" s="6">
        <v>2</v>
      </c>
    </row>
    <row r="28" spans="1:16" ht="24.75" customHeight="1" outlineLevel="2">
      <c r="A28" s="6">
        <v>21</v>
      </c>
      <c r="B28" s="6" t="s">
        <v>73</v>
      </c>
      <c r="C28" s="6" t="s">
        <v>272</v>
      </c>
      <c r="D28" s="6" t="s">
        <v>243</v>
      </c>
      <c r="E28" s="6" t="s">
        <v>244</v>
      </c>
      <c r="F28" s="6">
        <v>1836</v>
      </c>
      <c r="G28" s="6">
        <f t="shared" si="5"/>
        <v>1101.5999999999999</v>
      </c>
      <c r="H28" s="6">
        <f t="shared" si="6"/>
        <v>1101.5999999999999</v>
      </c>
      <c r="I28" s="8">
        <v>1</v>
      </c>
      <c r="J28" s="8" t="s">
        <v>17</v>
      </c>
      <c r="K28" s="8" t="s">
        <v>24</v>
      </c>
      <c r="L28" s="6">
        <v>1101.5999999999999</v>
      </c>
      <c r="M28" s="6" t="s">
        <v>87</v>
      </c>
      <c r="N28" s="6" t="s">
        <v>80</v>
      </c>
      <c r="O28" s="6" t="s">
        <v>88</v>
      </c>
      <c r="P28" s="6" t="s">
        <v>20</v>
      </c>
    </row>
    <row r="29" spans="1:16" ht="24.75" customHeight="1" outlineLevel="2">
      <c r="A29" s="6">
        <v>22</v>
      </c>
      <c r="B29" s="6" t="s">
        <v>73</v>
      </c>
      <c r="C29" s="6" t="s">
        <v>273</v>
      </c>
      <c r="D29" s="6" t="s">
        <v>29</v>
      </c>
      <c r="E29" s="6" t="s">
        <v>32</v>
      </c>
      <c r="F29" s="6">
        <v>98000</v>
      </c>
      <c r="G29" s="6">
        <f t="shared" ref="G29" si="7">F29</f>
        <v>98000</v>
      </c>
      <c r="H29" s="6">
        <f t="shared" si="6"/>
        <v>98000</v>
      </c>
      <c r="I29" s="8">
        <v>1</v>
      </c>
      <c r="J29" s="8" t="s">
        <v>17</v>
      </c>
      <c r="K29" s="8" t="s">
        <v>34</v>
      </c>
      <c r="L29" s="6">
        <v>98000</v>
      </c>
      <c r="M29" s="6" t="s">
        <v>89</v>
      </c>
      <c r="N29" s="6" t="s">
        <v>90</v>
      </c>
      <c r="O29" s="6" t="s">
        <v>91</v>
      </c>
      <c r="P29" s="6">
        <v>7</v>
      </c>
    </row>
    <row r="30" spans="1:16" ht="24.75" customHeight="1" outlineLevel="2">
      <c r="A30" s="6">
        <v>23</v>
      </c>
      <c r="B30" s="6" t="s">
        <v>73</v>
      </c>
      <c r="C30" s="6" t="s">
        <v>49</v>
      </c>
      <c r="D30" s="6" t="s">
        <v>92</v>
      </c>
      <c r="E30" s="6" t="s">
        <v>253</v>
      </c>
      <c r="F30" s="6">
        <v>3604</v>
      </c>
      <c r="G30" s="6">
        <f t="shared" ref="G30:G33" si="8">F30*0.6</f>
        <v>2162.4</v>
      </c>
      <c r="H30" s="6">
        <f t="shared" si="6"/>
        <v>2162.4</v>
      </c>
      <c r="I30" s="8">
        <v>1</v>
      </c>
      <c r="J30" s="8" t="s">
        <v>17</v>
      </c>
      <c r="K30" s="8" t="s">
        <v>24</v>
      </c>
      <c r="L30" s="6">
        <v>2162.4</v>
      </c>
      <c r="M30" s="6" t="s">
        <v>93</v>
      </c>
      <c r="N30" s="6" t="s">
        <v>94</v>
      </c>
      <c r="O30" s="6" t="s">
        <v>39</v>
      </c>
      <c r="P30" s="6">
        <v>3</v>
      </c>
    </row>
    <row r="31" spans="1:16" ht="24.75" customHeight="1" outlineLevel="2">
      <c r="A31" s="6">
        <v>24</v>
      </c>
      <c r="B31" s="6" t="s">
        <v>73</v>
      </c>
      <c r="C31" s="6" t="s">
        <v>53</v>
      </c>
      <c r="D31" s="6" t="s">
        <v>233</v>
      </c>
      <c r="E31" s="6" t="s">
        <v>234</v>
      </c>
      <c r="F31" s="6">
        <v>5632</v>
      </c>
      <c r="G31" s="6">
        <f t="shared" si="8"/>
        <v>3379.2</v>
      </c>
      <c r="H31" s="6">
        <f t="shared" si="6"/>
        <v>3379.2</v>
      </c>
      <c r="I31" s="8">
        <v>1</v>
      </c>
      <c r="J31" s="8" t="s">
        <v>17</v>
      </c>
      <c r="K31" s="8" t="s">
        <v>24</v>
      </c>
      <c r="L31" s="6">
        <v>3379.2</v>
      </c>
      <c r="M31" s="6" t="s">
        <v>95</v>
      </c>
      <c r="N31" s="6" t="s">
        <v>96</v>
      </c>
      <c r="O31" s="6" t="s">
        <v>39</v>
      </c>
      <c r="P31" s="6">
        <v>2</v>
      </c>
    </row>
    <row r="32" spans="1:16" ht="24.75" customHeight="1" outlineLevel="2">
      <c r="A32" s="6">
        <v>25</v>
      </c>
      <c r="B32" s="6" t="s">
        <v>73</v>
      </c>
      <c r="C32" s="6" t="s">
        <v>49</v>
      </c>
      <c r="D32" s="6">
        <v>296708</v>
      </c>
      <c r="E32" s="6" t="s">
        <v>250</v>
      </c>
      <c r="F32" s="6">
        <v>975</v>
      </c>
      <c r="G32" s="6">
        <f t="shared" si="8"/>
        <v>585</v>
      </c>
      <c r="H32" s="6">
        <f t="shared" si="6"/>
        <v>3510</v>
      </c>
      <c r="I32" s="8">
        <v>6</v>
      </c>
      <c r="J32" s="8" t="s">
        <v>17</v>
      </c>
      <c r="K32" s="8" t="s">
        <v>24</v>
      </c>
      <c r="L32" s="6">
        <v>3510</v>
      </c>
      <c r="M32" s="6" t="s">
        <v>97</v>
      </c>
      <c r="N32" s="6" t="s">
        <v>98</v>
      </c>
      <c r="O32" s="6" t="s">
        <v>39</v>
      </c>
      <c r="P32" s="6">
        <v>6</v>
      </c>
    </row>
    <row r="33" spans="1:16" ht="24.75" customHeight="1" outlineLevel="2">
      <c r="A33" s="6">
        <v>26</v>
      </c>
      <c r="B33" s="6" t="s">
        <v>73</v>
      </c>
      <c r="C33" s="6" t="s">
        <v>56</v>
      </c>
      <c r="D33" s="6" t="s">
        <v>57</v>
      </c>
      <c r="E33" s="6" t="s">
        <v>58</v>
      </c>
      <c r="F33" s="6">
        <v>6145</v>
      </c>
      <c r="G33" s="6">
        <f t="shared" si="8"/>
        <v>3687</v>
      </c>
      <c r="H33" s="6">
        <f t="shared" si="6"/>
        <v>3687</v>
      </c>
      <c r="I33" s="8">
        <v>1</v>
      </c>
      <c r="J33" s="8" t="s">
        <v>17</v>
      </c>
      <c r="K33" s="8" t="s">
        <v>24</v>
      </c>
      <c r="L33" s="6">
        <v>3687</v>
      </c>
      <c r="M33" s="6" t="s">
        <v>99</v>
      </c>
      <c r="N33" s="6" t="s">
        <v>100</v>
      </c>
      <c r="O33" s="6" t="s">
        <v>101</v>
      </c>
      <c r="P33" s="6">
        <v>2</v>
      </c>
    </row>
    <row r="34" spans="1:16" ht="24.75" customHeight="1" outlineLevel="2">
      <c r="A34" s="6">
        <v>27</v>
      </c>
      <c r="B34" s="6" t="s">
        <v>73</v>
      </c>
      <c r="C34" s="6" t="s">
        <v>102</v>
      </c>
      <c r="D34" s="6" t="s">
        <v>235</v>
      </c>
      <c r="E34" s="6" t="s">
        <v>236</v>
      </c>
      <c r="F34" s="6">
        <v>6500</v>
      </c>
      <c r="G34" s="6">
        <f t="shared" ref="G34" si="9">F34</f>
        <v>6500</v>
      </c>
      <c r="H34" s="6">
        <f t="shared" si="6"/>
        <v>6500</v>
      </c>
      <c r="I34" s="8">
        <v>1</v>
      </c>
      <c r="J34" s="8" t="s">
        <v>17</v>
      </c>
      <c r="K34" s="8" t="s">
        <v>240</v>
      </c>
      <c r="L34" s="6">
        <v>6500</v>
      </c>
      <c r="M34" s="6" t="s">
        <v>103</v>
      </c>
      <c r="N34" s="6" t="s">
        <v>90</v>
      </c>
      <c r="O34" s="6" t="s">
        <v>104</v>
      </c>
      <c r="P34" s="6">
        <v>1</v>
      </c>
    </row>
    <row r="35" spans="1:16" ht="24.75" customHeight="1" outlineLevel="2">
      <c r="A35" s="6">
        <v>28</v>
      </c>
      <c r="B35" s="6" t="s">
        <v>73</v>
      </c>
      <c r="C35" s="6" t="s">
        <v>224</v>
      </c>
      <c r="D35" s="6" t="s">
        <v>259</v>
      </c>
      <c r="E35" s="6" t="s">
        <v>260</v>
      </c>
      <c r="F35" s="6">
        <v>682</v>
      </c>
      <c r="G35" s="6">
        <f t="shared" ref="G35:G36" si="10">F35*0.6</f>
        <v>409.2</v>
      </c>
      <c r="H35" s="6">
        <f t="shared" si="6"/>
        <v>818.4</v>
      </c>
      <c r="I35" s="8">
        <v>2</v>
      </c>
      <c r="J35" s="8" t="s">
        <v>17</v>
      </c>
      <c r="K35" s="8" t="s">
        <v>24</v>
      </c>
      <c r="L35" s="6">
        <v>818.4</v>
      </c>
      <c r="M35" s="6" t="s">
        <v>105</v>
      </c>
      <c r="N35" s="6" t="s">
        <v>90</v>
      </c>
      <c r="O35" s="6" t="s">
        <v>106</v>
      </c>
      <c r="P35" s="6">
        <v>1</v>
      </c>
    </row>
    <row r="36" spans="1:16" ht="24.75" customHeight="1" outlineLevel="2">
      <c r="A36" s="6">
        <v>28</v>
      </c>
      <c r="B36" s="6" t="s">
        <v>73</v>
      </c>
      <c r="C36" s="6" t="s">
        <v>223</v>
      </c>
      <c r="D36" s="6" t="s">
        <v>257</v>
      </c>
      <c r="E36" s="6" t="s">
        <v>258</v>
      </c>
      <c r="F36" s="6">
        <v>1565</v>
      </c>
      <c r="G36" s="6">
        <f t="shared" si="10"/>
        <v>939</v>
      </c>
      <c r="H36" s="6">
        <f t="shared" si="6"/>
        <v>1878</v>
      </c>
      <c r="I36" s="8">
        <v>2</v>
      </c>
      <c r="J36" s="8" t="s">
        <v>17</v>
      </c>
      <c r="K36" s="8" t="s">
        <v>24</v>
      </c>
      <c r="L36" s="6">
        <v>1878</v>
      </c>
      <c r="M36" s="6" t="s">
        <v>105</v>
      </c>
      <c r="N36" s="6" t="s">
        <v>90</v>
      </c>
      <c r="O36" s="6" t="s">
        <v>106</v>
      </c>
      <c r="P36" s="6">
        <v>1</v>
      </c>
    </row>
    <row r="37" spans="1:16" ht="24.75" customHeight="1" outlineLevel="2">
      <c r="A37" s="6">
        <v>29</v>
      </c>
      <c r="B37" s="6" t="s">
        <v>73</v>
      </c>
      <c r="C37" s="6" t="s">
        <v>61</v>
      </c>
      <c r="D37" s="6" t="s">
        <v>226</v>
      </c>
      <c r="E37" s="6" t="s">
        <v>227</v>
      </c>
      <c r="F37" s="6">
        <v>1629</v>
      </c>
      <c r="G37" s="6">
        <f t="shared" ref="G37:G38" si="11">F37</f>
        <v>1629</v>
      </c>
      <c r="H37" s="6">
        <f>G37*I37</f>
        <v>1629</v>
      </c>
      <c r="I37" s="8">
        <v>1</v>
      </c>
      <c r="J37" s="8" t="s">
        <v>70</v>
      </c>
      <c r="K37" s="8" t="s">
        <v>240</v>
      </c>
      <c r="L37" s="6">
        <v>1629</v>
      </c>
      <c r="M37" s="6" t="s">
        <v>107</v>
      </c>
      <c r="N37" s="6" t="s">
        <v>71</v>
      </c>
      <c r="O37" s="6" t="s">
        <v>108</v>
      </c>
      <c r="P37" s="6" t="s">
        <v>20</v>
      </c>
    </row>
    <row r="38" spans="1:16" ht="24.75" customHeight="1" outlineLevel="2">
      <c r="A38" s="6">
        <v>30</v>
      </c>
      <c r="B38" s="6" t="s">
        <v>73</v>
      </c>
      <c r="C38" s="6" t="s">
        <v>68</v>
      </c>
      <c r="D38" s="6" t="s">
        <v>29</v>
      </c>
      <c r="E38" s="6" t="s">
        <v>109</v>
      </c>
      <c r="F38" s="6">
        <v>15000</v>
      </c>
      <c r="G38" s="6">
        <f t="shared" si="11"/>
        <v>15000</v>
      </c>
      <c r="H38" s="6">
        <f>G38*I38</f>
        <v>15000</v>
      </c>
      <c r="I38" s="8">
        <v>1</v>
      </c>
      <c r="J38" s="8" t="s">
        <v>70</v>
      </c>
      <c r="K38" s="8" t="s">
        <v>240</v>
      </c>
      <c r="L38" s="6">
        <v>15000</v>
      </c>
      <c r="M38" s="6" t="s">
        <v>110</v>
      </c>
      <c r="N38" s="6" t="s">
        <v>71</v>
      </c>
      <c r="O38" s="6" t="s">
        <v>72</v>
      </c>
      <c r="P38" s="6" t="s">
        <v>20</v>
      </c>
    </row>
    <row r="39" spans="1:16" ht="24.75" customHeight="1" outlineLevel="1">
      <c r="A39" s="6">
        <v>15</v>
      </c>
      <c r="B39" s="6" t="s">
        <v>73</v>
      </c>
      <c r="C39" s="6" t="s">
        <v>264</v>
      </c>
      <c r="D39" s="6" t="s">
        <v>29</v>
      </c>
      <c r="E39" s="6" t="s">
        <v>264</v>
      </c>
      <c r="F39" s="6">
        <v>3</v>
      </c>
      <c r="G39" s="6">
        <v>100</v>
      </c>
      <c r="H39" s="6">
        <f t="shared" ref="H39" si="12">G39*I39</f>
        <v>18000</v>
      </c>
      <c r="I39" s="8">
        <f>60*F39</f>
        <v>180</v>
      </c>
      <c r="J39" s="6" t="s">
        <v>264</v>
      </c>
      <c r="K39" s="8" t="s">
        <v>240</v>
      </c>
      <c r="L39" s="6">
        <v>18000</v>
      </c>
      <c r="M39" s="6" t="s">
        <v>264</v>
      </c>
      <c r="N39" s="6" t="s">
        <v>71</v>
      </c>
      <c r="O39" s="6"/>
      <c r="P39" s="6" t="s">
        <v>20</v>
      </c>
    </row>
    <row r="40" spans="1:16" ht="24.75" customHeight="1" outlineLevel="2">
      <c r="A40" s="6"/>
      <c r="B40" s="12" t="s">
        <v>266</v>
      </c>
      <c r="C40" s="6"/>
      <c r="D40" s="6"/>
      <c r="E40" s="6"/>
      <c r="F40" s="6"/>
      <c r="G40" s="6"/>
      <c r="H40" s="6">
        <f>SUBTOTAL(9,H21:H39)</f>
        <v>242702.8</v>
      </c>
      <c r="I40" s="8"/>
      <c r="J40" s="6"/>
      <c r="K40" s="8"/>
      <c r="L40" s="6">
        <v>242702.8</v>
      </c>
      <c r="M40" s="6"/>
      <c r="N40" s="6"/>
      <c r="O40" s="6"/>
      <c r="P40" s="6"/>
    </row>
    <row r="41" spans="1:16" ht="24.75" customHeight="1" outlineLevel="1">
      <c r="A41" s="10"/>
      <c r="B41" s="10" t="s">
        <v>217</v>
      </c>
      <c r="C41" s="10"/>
      <c r="D41" s="10"/>
      <c r="E41" s="11" t="s">
        <v>217</v>
      </c>
      <c r="F41" s="11"/>
      <c r="G41" s="11"/>
      <c r="H41" s="11"/>
      <c r="I41" s="11">
        <v>2</v>
      </c>
      <c r="J41" s="11" t="s">
        <v>215</v>
      </c>
      <c r="K41" s="11" t="s">
        <v>216</v>
      </c>
      <c r="L41" s="11"/>
      <c r="M41" s="10"/>
      <c r="N41" s="10"/>
      <c r="O41" s="10"/>
      <c r="P41" s="10"/>
    </row>
    <row r="42" spans="1:16" ht="24.75" customHeight="1" outlineLevel="2">
      <c r="A42" s="10"/>
      <c r="B42" s="13" t="s">
        <v>267</v>
      </c>
      <c r="C42" s="10"/>
      <c r="D42" s="10"/>
      <c r="E42" s="11"/>
      <c r="F42" s="11"/>
      <c r="G42" s="11"/>
      <c r="H42" s="11">
        <f>SUBTOTAL(9,H41:H41)</f>
        <v>0</v>
      </c>
      <c r="I42" s="11"/>
      <c r="J42" s="11"/>
      <c r="K42" s="11"/>
      <c r="L42" s="11">
        <v>0</v>
      </c>
      <c r="M42" s="10"/>
      <c r="N42" s="10"/>
      <c r="O42" s="10"/>
      <c r="P42" s="10"/>
    </row>
    <row r="43" spans="1:16" ht="24.75" customHeight="1" outlineLevel="1">
      <c r="A43" s="10"/>
      <c r="B43" s="10" t="s">
        <v>218</v>
      </c>
      <c r="C43" s="10"/>
      <c r="D43" s="10"/>
      <c r="E43" s="11" t="s">
        <v>218</v>
      </c>
      <c r="F43" s="11"/>
      <c r="G43" s="11"/>
      <c r="H43" s="11"/>
      <c r="I43" s="11">
        <v>4</v>
      </c>
      <c r="J43" s="11" t="s">
        <v>215</v>
      </c>
      <c r="K43" s="11" t="s">
        <v>216</v>
      </c>
      <c r="L43" s="11"/>
      <c r="M43" s="10"/>
      <c r="N43" s="10"/>
      <c r="O43" s="10"/>
      <c r="P43" s="10"/>
    </row>
    <row r="44" spans="1:16" ht="24.75" customHeight="1">
      <c r="A44" s="14"/>
      <c r="B44" s="16" t="s">
        <v>268</v>
      </c>
      <c r="C44" s="14"/>
      <c r="D44" s="14"/>
      <c r="E44" s="15"/>
      <c r="F44" s="15"/>
      <c r="G44" s="15"/>
      <c r="H44" s="15">
        <f>SUBTOTAL(9,H43:H43)</f>
        <v>0</v>
      </c>
      <c r="I44" s="15"/>
      <c r="J44" s="15"/>
      <c r="K44" s="15"/>
      <c r="L44" s="15">
        <v>0</v>
      </c>
      <c r="M44" s="14"/>
      <c r="N44" s="14"/>
      <c r="O44" s="14"/>
      <c r="P44" s="14"/>
    </row>
    <row r="45" spans="1:16" ht="24.75" customHeight="1">
      <c r="A45" s="14"/>
      <c r="B45" s="16" t="s">
        <v>269</v>
      </c>
      <c r="C45" s="14"/>
      <c r="D45" s="14"/>
      <c r="E45" s="15"/>
      <c r="F45" s="15"/>
      <c r="G45" s="15"/>
      <c r="H45" s="15">
        <f>SUBTOTAL(9,H2:H43)</f>
        <v>1151451.9999999998</v>
      </c>
      <c r="I45" s="15"/>
      <c r="J45" s="15"/>
      <c r="K45" s="15"/>
      <c r="L45" s="15">
        <v>1193348.7999999996</v>
      </c>
      <c r="M45" s="14"/>
      <c r="N45" s="14"/>
      <c r="O45" s="14"/>
      <c r="P45" s="14"/>
    </row>
  </sheetData>
  <autoFilter ref="A1:P43" xr:uid="{00000000-0001-0000-0000-000000000000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B418B-2D02-4853-92AE-26B9BB106EC3}">
  <dimension ref="A1:I40"/>
  <sheetViews>
    <sheetView tabSelected="1" workbookViewId="0">
      <selection activeCell="C9" sqref="A1:I40"/>
    </sheetView>
  </sheetViews>
  <sheetFormatPr defaultRowHeight="27" customHeight="1"/>
  <cols>
    <col min="2" max="2" width="13" customWidth="1"/>
    <col min="3" max="3" width="40.125" customWidth="1"/>
  </cols>
  <sheetData>
    <row r="1" spans="1:9" ht="27" customHeight="1">
      <c r="A1" s="7" t="s">
        <v>3</v>
      </c>
      <c r="B1" s="7" t="s">
        <v>4</v>
      </c>
      <c r="C1" s="7" t="s">
        <v>5</v>
      </c>
      <c r="D1" s="7" t="s">
        <v>219</v>
      </c>
      <c r="E1" s="7" t="s">
        <v>219</v>
      </c>
      <c r="F1" s="7" t="s">
        <v>220</v>
      </c>
      <c r="G1" s="7" t="s">
        <v>7</v>
      </c>
      <c r="H1" s="7" t="s">
        <v>8</v>
      </c>
      <c r="I1" s="7" t="s">
        <v>9</v>
      </c>
    </row>
    <row r="2" spans="1:9" ht="27" customHeight="1">
      <c r="A2" s="10"/>
      <c r="B2" s="10"/>
      <c r="C2" s="11" t="s">
        <v>270</v>
      </c>
      <c r="D2" s="11"/>
      <c r="E2" s="11"/>
      <c r="F2" s="11"/>
      <c r="G2" s="11">
        <v>1</v>
      </c>
      <c r="H2" s="11" t="s">
        <v>215</v>
      </c>
      <c r="I2" s="11" t="s">
        <v>216</v>
      </c>
    </row>
    <row r="3" spans="1:9" ht="27" customHeight="1">
      <c r="A3" s="6" t="s">
        <v>14</v>
      </c>
      <c r="B3" s="6" t="s">
        <v>221</v>
      </c>
      <c r="C3" s="6" t="s">
        <v>15</v>
      </c>
      <c r="D3" s="6">
        <v>165000</v>
      </c>
      <c r="E3" s="6">
        <f>D3*0.6</f>
        <v>99000</v>
      </c>
      <c r="F3" s="6">
        <f t="shared" ref="F3:F15" si="0">E3*G3</f>
        <v>99000</v>
      </c>
      <c r="G3" s="8">
        <v>1</v>
      </c>
      <c r="H3" s="8" t="s">
        <v>17</v>
      </c>
      <c r="I3" s="8" t="s">
        <v>237</v>
      </c>
    </row>
    <row r="4" spans="1:9" ht="27" customHeight="1">
      <c r="A4" s="6" t="s">
        <v>14</v>
      </c>
      <c r="B4" s="6" t="s">
        <v>222</v>
      </c>
      <c r="C4" s="6" t="s">
        <v>15</v>
      </c>
      <c r="D4" s="6">
        <v>145000</v>
      </c>
      <c r="E4" s="6">
        <f>D4*0.6</f>
        <v>87000</v>
      </c>
      <c r="F4" s="6">
        <f t="shared" si="0"/>
        <v>87000</v>
      </c>
      <c r="G4" s="8">
        <v>1</v>
      </c>
      <c r="H4" s="8" t="s">
        <v>17</v>
      </c>
      <c r="I4" s="8" t="s">
        <v>237</v>
      </c>
    </row>
    <row r="5" spans="1:9" ht="27" customHeight="1">
      <c r="A5" s="6" t="s">
        <v>212</v>
      </c>
      <c r="B5" s="6" t="s">
        <v>238</v>
      </c>
      <c r="C5" s="6" t="s">
        <v>239</v>
      </c>
      <c r="D5" s="6">
        <v>48003</v>
      </c>
      <c r="E5" s="6">
        <f>D5</f>
        <v>48003</v>
      </c>
      <c r="F5" s="6">
        <f t="shared" si="0"/>
        <v>96006</v>
      </c>
      <c r="G5" s="8">
        <v>2</v>
      </c>
      <c r="H5" s="8" t="s">
        <v>17</v>
      </c>
      <c r="I5" s="8" t="s">
        <v>240</v>
      </c>
    </row>
    <row r="6" spans="1:9" ht="27" customHeight="1">
      <c r="A6" s="6" t="s">
        <v>21</v>
      </c>
      <c r="B6" s="6" t="s">
        <v>22</v>
      </c>
      <c r="C6" s="6" t="s">
        <v>254</v>
      </c>
      <c r="D6" s="6">
        <v>74241</v>
      </c>
      <c r="E6" s="6">
        <f>D6*0.6</f>
        <v>44544.6</v>
      </c>
      <c r="F6" s="6">
        <f t="shared" si="0"/>
        <v>89089.2</v>
      </c>
      <c r="G6" s="8">
        <v>2</v>
      </c>
      <c r="H6" s="8" t="s">
        <v>17</v>
      </c>
      <c r="I6" s="8" t="s">
        <v>24</v>
      </c>
    </row>
    <row r="7" spans="1:9" ht="27" customHeight="1">
      <c r="A7" s="6" t="s">
        <v>28</v>
      </c>
      <c r="B7" s="6" t="s">
        <v>241</v>
      </c>
      <c r="C7" s="6" t="s">
        <v>242</v>
      </c>
      <c r="D7" s="6">
        <v>6500</v>
      </c>
      <c r="E7" s="6">
        <f t="shared" ref="E7:E8" si="1">D7</f>
        <v>6500</v>
      </c>
      <c r="F7" s="6">
        <f t="shared" si="0"/>
        <v>39000</v>
      </c>
      <c r="G7" s="8">
        <v>6</v>
      </c>
      <c r="H7" s="8" t="s">
        <v>17</v>
      </c>
      <c r="I7" s="8" t="s">
        <v>240</v>
      </c>
    </row>
    <row r="8" spans="1:9" ht="27" customHeight="1">
      <c r="A8" s="6" t="s">
        <v>273</v>
      </c>
      <c r="B8" s="6" t="s">
        <v>29</v>
      </c>
      <c r="C8" s="6" t="s">
        <v>32</v>
      </c>
      <c r="D8" s="6">
        <v>98000</v>
      </c>
      <c r="E8" s="6">
        <f t="shared" si="1"/>
        <v>98000</v>
      </c>
      <c r="F8" s="6">
        <f t="shared" si="0"/>
        <v>196000</v>
      </c>
      <c r="G8" s="8">
        <v>2</v>
      </c>
      <c r="H8" s="8" t="s">
        <v>17</v>
      </c>
      <c r="I8" s="8" t="s">
        <v>34</v>
      </c>
    </row>
    <row r="9" spans="1:9" ht="27" customHeight="1">
      <c r="A9" s="6" t="s">
        <v>21</v>
      </c>
      <c r="B9" s="6" t="s">
        <v>255</v>
      </c>
      <c r="C9" s="6" t="s">
        <v>256</v>
      </c>
      <c r="D9" s="6">
        <v>19760</v>
      </c>
      <c r="E9" s="6">
        <f t="shared" ref="E9:E15" si="2">D9*0.6</f>
        <v>11856</v>
      </c>
      <c r="F9" s="6">
        <f t="shared" si="0"/>
        <v>71136</v>
      </c>
      <c r="G9" s="8">
        <v>6</v>
      </c>
      <c r="H9" s="8" t="s">
        <v>17</v>
      </c>
      <c r="I9" s="8" t="s">
        <v>24</v>
      </c>
    </row>
    <row r="10" spans="1:9" ht="27" customHeight="1">
      <c r="A10" s="6" t="s">
        <v>49</v>
      </c>
      <c r="B10" s="6" t="s">
        <v>40</v>
      </c>
      <c r="C10" s="6" t="s">
        <v>247</v>
      </c>
      <c r="D10" s="6">
        <v>3644</v>
      </c>
      <c r="E10" s="6">
        <f t="shared" si="2"/>
        <v>2186.4</v>
      </c>
      <c r="F10" s="6">
        <f t="shared" si="0"/>
        <v>2186.4</v>
      </c>
      <c r="G10" s="8">
        <v>1</v>
      </c>
      <c r="H10" s="8" t="s">
        <v>17</v>
      </c>
      <c r="I10" s="8" t="s">
        <v>24</v>
      </c>
    </row>
    <row r="11" spans="1:9" ht="27" customHeight="1">
      <c r="A11" s="6" t="s">
        <v>49</v>
      </c>
      <c r="B11" s="6" t="s">
        <v>43</v>
      </c>
      <c r="C11" s="6" t="s">
        <v>248</v>
      </c>
      <c r="D11" s="6">
        <v>902</v>
      </c>
      <c r="E11" s="6">
        <f t="shared" si="2"/>
        <v>541.19999999999993</v>
      </c>
      <c r="F11" s="6">
        <f t="shared" si="0"/>
        <v>541.19999999999993</v>
      </c>
      <c r="G11" s="8">
        <v>1</v>
      </c>
      <c r="H11" s="8" t="s">
        <v>17</v>
      </c>
      <c r="I11" s="8" t="s">
        <v>24</v>
      </c>
    </row>
    <row r="12" spans="1:9" ht="27" customHeight="1">
      <c r="A12" s="6" t="s">
        <v>49</v>
      </c>
      <c r="B12" s="6" t="s">
        <v>46</v>
      </c>
      <c r="C12" s="6" t="s">
        <v>249</v>
      </c>
      <c r="D12" s="6">
        <v>800</v>
      </c>
      <c r="E12" s="6">
        <f t="shared" si="2"/>
        <v>480</v>
      </c>
      <c r="F12" s="6">
        <f t="shared" si="0"/>
        <v>2400</v>
      </c>
      <c r="G12" s="8">
        <v>5</v>
      </c>
      <c r="H12" s="8" t="s">
        <v>17</v>
      </c>
      <c r="I12" s="8" t="s">
        <v>24</v>
      </c>
    </row>
    <row r="13" spans="1:9" ht="27" customHeight="1">
      <c r="A13" s="6" t="s">
        <v>49</v>
      </c>
      <c r="B13" s="6" t="s">
        <v>50</v>
      </c>
      <c r="C13" s="6" t="s">
        <v>250</v>
      </c>
      <c r="D13" s="6">
        <v>975</v>
      </c>
      <c r="E13" s="6">
        <f t="shared" si="2"/>
        <v>585</v>
      </c>
      <c r="F13" s="6">
        <f t="shared" si="0"/>
        <v>3510</v>
      </c>
      <c r="G13" s="8">
        <v>6</v>
      </c>
      <c r="H13" s="8" t="s">
        <v>17</v>
      </c>
      <c r="I13" s="8" t="s">
        <v>24</v>
      </c>
    </row>
    <row r="14" spans="1:9" ht="27" customHeight="1">
      <c r="A14" s="6" t="s">
        <v>53</v>
      </c>
      <c r="B14" s="6" t="s">
        <v>233</v>
      </c>
      <c r="C14" s="6" t="s">
        <v>234</v>
      </c>
      <c r="D14" s="6">
        <v>5632</v>
      </c>
      <c r="E14" s="6">
        <f t="shared" si="2"/>
        <v>3379.2</v>
      </c>
      <c r="F14" s="6">
        <f t="shared" si="0"/>
        <v>6758.4</v>
      </c>
      <c r="G14" s="8">
        <v>2</v>
      </c>
      <c r="H14" s="8" t="s">
        <v>17</v>
      </c>
      <c r="I14" s="8" t="s">
        <v>24</v>
      </c>
    </row>
    <row r="15" spans="1:9" ht="27" customHeight="1">
      <c r="A15" s="6" t="s">
        <v>56</v>
      </c>
      <c r="B15" s="6" t="s">
        <v>57</v>
      </c>
      <c r="C15" s="6" t="s">
        <v>58</v>
      </c>
      <c r="D15" s="6">
        <v>6145</v>
      </c>
      <c r="E15" s="6">
        <f t="shared" si="2"/>
        <v>3687</v>
      </c>
      <c r="F15" s="6">
        <f t="shared" si="0"/>
        <v>3687</v>
      </c>
      <c r="G15" s="8">
        <v>1</v>
      </c>
      <c r="H15" s="8" t="s">
        <v>17</v>
      </c>
      <c r="I15" s="8" t="s">
        <v>24</v>
      </c>
    </row>
    <row r="16" spans="1:9" ht="27" customHeight="1">
      <c r="A16" s="6" t="s">
        <v>61</v>
      </c>
      <c r="B16" s="6" t="s">
        <v>226</v>
      </c>
      <c r="C16" s="6" t="s">
        <v>227</v>
      </c>
      <c r="D16" s="6">
        <v>1629</v>
      </c>
      <c r="E16" s="6">
        <f t="shared" ref="E16:E18" si="3">D16</f>
        <v>1629</v>
      </c>
      <c r="F16" s="6">
        <f>E16*G16</f>
        <v>19548</v>
      </c>
      <c r="G16" s="8">
        <v>12</v>
      </c>
      <c r="H16" s="8" t="s">
        <v>63</v>
      </c>
      <c r="I16" s="8" t="s">
        <v>240</v>
      </c>
    </row>
    <row r="17" spans="1:9" ht="27" customHeight="1">
      <c r="A17" s="6" t="s">
        <v>61</v>
      </c>
      <c r="B17" s="6" t="s">
        <v>226</v>
      </c>
      <c r="C17" s="6" t="s">
        <v>227</v>
      </c>
      <c r="D17" s="6">
        <v>1629</v>
      </c>
      <c r="E17" s="6">
        <f t="shared" si="3"/>
        <v>1629</v>
      </c>
      <c r="F17" s="6">
        <f>E17*G17</f>
        <v>4887</v>
      </c>
      <c r="G17" s="8">
        <v>3</v>
      </c>
      <c r="H17" s="8" t="s">
        <v>63</v>
      </c>
      <c r="I17" s="8" t="s">
        <v>240</v>
      </c>
    </row>
    <row r="18" spans="1:9" ht="27" customHeight="1">
      <c r="A18" s="6" t="s">
        <v>68</v>
      </c>
      <c r="B18" s="6" t="s">
        <v>29</v>
      </c>
      <c r="C18" s="6" t="s">
        <v>68</v>
      </c>
      <c r="D18" s="6">
        <v>80000</v>
      </c>
      <c r="E18" s="6">
        <f t="shared" si="3"/>
        <v>80000</v>
      </c>
      <c r="F18" s="6">
        <f t="shared" ref="F18:F19" si="4">E18*G18</f>
        <v>80000</v>
      </c>
      <c r="G18" s="8">
        <v>1</v>
      </c>
      <c r="H18" s="6" t="s">
        <v>68</v>
      </c>
      <c r="I18" s="8" t="s">
        <v>240</v>
      </c>
    </row>
    <row r="19" spans="1:9" ht="27" customHeight="1">
      <c r="A19" s="6" t="s">
        <v>264</v>
      </c>
      <c r="B19" s="6" t="s">
        <v>29</v>
      </c>
      <c r="C19" s="6" t="s">
        <v>264</v>
      </c>
      <c r="D19" s="6">
        <v>18</v>
      </c>
      <c r="E19" s="6">
        <v>100</v>
      </c>
      <c r="F19" s="6">
        <f t="shared" si="4"/>
        <v>108000</v>
      </c>
      <c r="G19" s="8">
        <f>60*D19</f>
        <v>1080</v>
      </c>
      <c r="H19" s="6" t="s">
        <v>264</v>
      </c>
      <c r="I19" s="8" t="s">
        <v>240</v>
      </c>
    </row>
    <row r="20" spans="1:9" ht="27" customHeight="1">
      <c r="A20" s="6"/>
      <c r="B20" s="6"/>
      <c r="C20" s="6"/>
      <c r="D20" s="6"/>
      <c r="E20" s="6"/>
      <c r="F20" s="6">
        <f>SUBTOTAL(9,F2:F19)</f>
        <v>908749.2</v>
      </c>
      <c r="G20" s="8"/>
      <c r="H20" s="6"/>
      <c r="I20" s="8"/>
    </row>
    <row r="21" spans="1:9" ht="27" customHeight="1">
      <c r="A21" s="10"/>
      <c r="B21" s="10"/>
      <c r="C21" s="11" t="s">
        <v>271</v>
      </c>
      <c r="D21" s="11"/>
      <c r="E21" s="11"/>
      <c r="F21" s="11"/>
      <c r="G21" s="11">
        <v>1</v>
      </c>
      <c r="H21" s="11" t="s">
        <v>215</v>
      </c>
      <c r="I21" s="11" t="s">
        <v>216</v>
      </c>
    </row>
    <row r="22" spans="1:9" ht="27" customHeight="1">
      <c r="A22" s="6" t="s">
        <v>14</v>
      </c>
      <c r="B22" s="6" t="s">
        <v>245</v>
      </c>
      <c r="C22" s="6" t="s">
        <v>246</v>
      </c>
      <c r="D22" s="6">
        <v>53990</v>
      </c>
      <c r="E22" s="6">
        <f t="shared" ref="E22:E28" si="5">D22*0.6</f>
        <v>32394</v>
      </c>
      <c r="F22" s="6">
        <f t="shared" ref="F22:F36" si="6">E22*G22</f>
        <v>32394</v>
      </c>
      <c r="G22" s="8">
        <v>1</v>
      </c>
      <c r="H22" s="8" t="s">
        <v>17</v>
      </c>
      <c r="I22" s="8" t="s">
        <v>237</v>
      </c>
    </row>
    <row r="23" spans="1:9" ht="27" customHeight="1">
      <c r="A23" s="6" t="s">
        <v>49</v>
      </c>
      <c r="B23" s="6" t="s">
        <v>251</v>
      </c>
      <c r="C23" s="6" t="s">
        <v>252</v>
      </c>
      <c r="D23" s="6">
        <v>2606</v>
      </c>
      <c r="E23" s="6">
        <f t="shared" si="5"/>
        <v>1563.6</v>
      </c>
      <c r="F23" s="6">
        <f t="shared" si="6"/>
        <v>3127.2</v>
      </c>
      <c r="G23" s="8">
        <v>2</v>
      </c>
      <c r="H23" s="8" t="s">
        <v>17</v>
      </c>
      <c r="I23" s="8" t="s">
        <v>24</v>
      </c>
    </row>
    <row r="24" spans="1:9" ht="27" customHeight="1">
      <c r="A24" s="6" t="s">
        <v>56</v>
      </c>
      <c r="B24" s="6" t="s">
        <v>228</v>
      </c>
      <c r="C24" s="6" t="s">
        <v>229</v>
      </c>
      <c r="D24" s="6">
        <v>19922</v>
      </c>
      <c r="E24" s="6">
        <f t="shared" si="5"/>
        <v>11953.199999999999</v>
      </c>
      <c r="F24" s="6">
        <f t="shared" si="6"/>
        <v>23906.399999999998</v>
      </c>
      <c r="G24" s="8">
        <v>2</v>
      </c>
      <c r="H24" s="8" t="s">
        <v>17</v>
      </c>
      <c r="I24" s="8" t="s">
        <v>24</v>
      </c>
    </row>
    <row r="25" spans="1:9" ht="27" customHeight="1">
      <c r="A25" s="6" t="s">
        <v>232</v>
      </c>
      <c r="B25" s="6" t="s">
        <v>230</v>
      </c>
      <c r="C25" s="6" t="s">
        <v>231</v>
      </c>
      <c r="D25" s="6">
        <v>1536</v>
      </c>
      <c r="E25" s="6">
        <f t="shared" si="5"/>
        <v>921.59999999999991</v>
      </c>
      <c r="F25" s="6">
        <f t="shared" si="6"/>
        <v>921.59999999999991</v>
      </c>
      <c r="G25" s="8">
        <v>1</v>
      </c>
      <c r="H25" s="8" t="s">
        <v>17</v>
      </c>
      <c r="I25" s="8" t="s">
        <v>24</v>
      </c>
    </row>
    <row r="26" spans="1:9" ht="27" customHeight="1">
      <c r="A26" s="6" t="s">
        <v>283</v>
      </c>
      <c r="B26" s="6" t="s">
        <v>284</v>
      </c>
      <c r="C26" s="6" t="s">
        <v>285</v>
      </c>
      <c r="D26" s="6">
        <v>5432</v>
      </c>
      <c r="E26" s="6">
        <f t="shared" si="5"/>
        <v>3259.2</v>
      </c>
      <c r="F26" s="6">
        <f t="shared" si="6"/>
        <v>6518.4</v>
      </c>
      <c r="G26" s="8">
        <v>2</v>
      </c>
      <c r="H26" s="8" t="s">
        <v>17</v>
      </c>
      <c r="I26" s="8" t="s">
        <v>24</v>
      </c>
    </row>
    <row r="27" spans="1:9" ht="27" customHeight="1">
      <c r="A27" s="6" t="s">
        <v>261</v>
      </c>
      <c r="B27" s="6" t="s">
        <v>262</v>
      </c>
      <c r="C27" s="6" t="s">
        <v>263</v>
      </c>
      <c r="D27" s="6">
        <v>16808</v>
      </c>
      <c r="E27" s="6">
        <f t="shared" si="5"/>
        <v>10084.799999999999</v>
      </c>
      <c r="F27" s="6">
        <f t="shared" si="6"/>
        <v>20169.599999999999</v>
      </c>
      <c r="G27" s="8">
        <v>2</v>
      </c>
      <c r="H27" s="8" t="s">
        <v>17</v>
      </c>
      <c r="I27" s="8" t="s">
        <v>24</v>
      </c>
    </row>
    <row r="28" spans="1:9" ht="27" customHeight="1">
      <c r="A28" s="6" t="s">
        <v>272</v>
      </c>
      <c r="B28" s="6" t="s">
        <v>243</v>
      </c>
      <c r="C28" s="6" t="s">
        <v>244</v>
      </c>
      <c r="D28" s="6">
        <v>1836</v>
      </c>
      <c r="E28" s="6">
        <f t="shared" si="5"/>
        <v>1101.5999999999999</v>
      </c>
      <c r="F28" s="6">
        <f t="shared" si="6"/>
        <v>1101.5999999999999</v>
      </c>
      <c r="G28" s="8">
        <v>1</v>
      </c>
      <c r="H28" s="8" t="s">
        <v>17</v>
      </c>
      <c r="I28" s="8" t="s">
        <v>24</v>
      </c>
    </row>
    <row r="29" spans="1:9" ht="27" customHeight="1">
      <c r="A29" s="6" t="s">
        <v>273</v>
      </c>
      <c r="B29" s="6" t="s">
        <v>29</v>
      </c>
      <c r="C29" s="6" t="s">
        <v>32</v>
      </c>
      <c r="D29" s="6">
        <v>98000</v>
      </c>
      <c r="E29" s="6">
        <f t="shared" ref="E29" si="7">D29</f>
        <v>98000</v>
      </c>
      <c r="F29" s="6">
        <f t="shared" si="6"/>
        <v>98000</v>
      </c>
      <c r="G29" s="8">
        <v>1</v>
      </c>
      <c r="H29" s="8" t="s">
        <v>17</v>
      </c>
      <c r="I29" s="8" t="s">
        <v>34</v>
      </c>
    </row>
    <row r="30" spans="1:9" ht="27" customHeight="1">
      <c r="A30" s="6" t="s">
        <v>49</v>
      </c>
      <c r="B30" s="6" t="s">
        <v>92</v>
      </c>
      <c r="C30" s="6" t="s">
        <v>253</v>
      </c>
      <c r="D30" s="6">
        <v>3604</v>
      </c>
      <c r="E30" s="6">
        <f t="shared" ref="E30:E33" si="8">D30*0.6</f>
        <v>2162.4</v>
      </c>
      <c r="F30" s="6">
        <f t="shared" si="6"/>
        <v>2162.4</v>
      </c>
      <c r="G30" s="8">
        <v>1</v>
      </c>
      <c r="H30" s="8" t="s">
        <v>17</v>
      </c>
      <c r="I30" s="8" t="s">
        <v>24</v>
      </c>
    </row>
    <row r="31" spans="1:9" ht="27" customHeight="1">
      <c r="A31" s="6" t="s">
        <v>53</v>
      </c>
      <c r="B31" s="6" t="s">
        <v>233</v>
      </c>
      <c r="C31" s="6" t="s">
        <v>234</v>
      </c>
      <c r="D31" s="6">
        <v>5632</v>
      </c>
      <c r="E31" s="6">
        <f t="shared" si="8"/>
        <v>3379.2</v>
      </c>
      <c r="F31" s="6">
        <f t="shared" si="6"/>
        <v>3379.2</v>
      </c>
      <c r="G31" s="8">
        <v>1</v>
      </c>
      <c r="H31" s="8" t="s">
        <v>17</v>
      </c>
      <c r="I31" s="8" t="s">
        <v>24</v>
      </c>
    </row>
    <row r="32" spans="1:9" ht="27" customHeight="1">
      <c r="A32" s="6" t="s">
        <v>49</v>
      </c>
      <c r="B32" s="6">
        <v>296708</v>
      </c>
      <c r="C32" s="6" t="s">
        <v>250</v>
      </c>
      <c r="D32" s="6">
        <v>975</v>
      </c>
      <c r="E32" s="6">
        <f t="shared" si="8"/>
        <v>585</v>
      </c>
      <c r="F32" s="6">
        <f t="shared" si="6"/>
        <v>3510</v>
      </c>
      <c r="G32" s="8">
        <v>6</v>
      </c>
      <c r="H32" s="8" t="s">
        <v>17</v>
      </c>
      <c r="I32" s="8" t="s">
        <v>24</v>
      </c>
    </row>
    <row r="33" spans="1:9" ht="27" customHeight="1">
      <c r="A33" s="6" t="s">
        <v>56</v>
      </c>
      <c r="B33" s="6" t="s">
        <v>57</v>
      </c>
      <c r="C33" s="6" t="s">
        <v>58</v>
      </c>
      <c r="D33" s="6">
        <v>6145</v>
      </c>
      <c r="E33" s="6">
        <f t="shared" si="8"/>
        <v>3687</v>
      </c>
      <c r="F33" s="6">
        <f t="shared" si="6"/>
        <v>3687</v>
      </c>
      <c r="G33" s="8">
        <v>1</v>
      </c>
      <c r="H33" s="8" t="s">
        <v>17</v>
      </c>
      <c r="I33" s="8" t="s">
        <v>24</v>
      </c>
    </row>
    <row r="34" spans="1:9" ht="27" customHeight="1">
      <c r="A34" s="6" t="s">
        <v>102</v>
      </c>
      <c r="B34" s="6" t="s">
        <v>235</v>
      </c>
      <c r="C34" s="6" t="s">
        <v>236</v>
      </c>
      <c r="D34" s="6">
        <v>6500</v>
      </c>
      <c r="E34" s="6">
        <f t="shared" ref="E34" si="9">D34</f>
        <v>6500</v>
      </c>
      <c r="F34" s="6">
        <f t="shared" si="6"/>
        <v>6500</v>
      </c>
      <c r="G34" s="8">
        <v>1</v>
      </c>
      <c r="H34" s="8" t="s">
        <v>17</v>
      </c>
      <c r="I34" s="8" t="s">
        <v>240</v>
      </c>
    </row>
    <row r="35" spans="1:9" ht="27" customHeight="1">
      <c r="A35" s="6" t="s">
        <v>224</v>
      </c>
      <c r="B35" s="6" t="s">
        <v>259</v>
      </c>
      <c r="C35" s="6" t="s">
        <v>260</v>
      </c>
      <c r="D35" s="6">
        <v>682</v>
      </c>
      <c r="E35" s="6">
        <f t="shared" ref="E35:E36" si="10">D35*0.6</f>
        <v>409.2</v>
      </c>
      <c r="F35" s="6">
        <f t="shared" si="6"/>
        <v>818.4</v>
      </c>
      <c r="G35" s="8">
        <v>2</v>
      </c>
      <c r="H35" s="8" t="s">
        <v>17</v>
      </c>
      <c r="I35" s="8" t="s">
        <v>24</v>
      </c>
    </row>
    <row r="36" spans="1:9" ht="27" customHeight="1">
      <c r="A36" s="6" t="s">
        <v>223</v>
      </c>
      <c r="B36" s="6" t="s">
        <v>257</v>
      </c>
      <c r="C36" s="6" t="s">
        <v>258</v>
      </c>
      <c r="D36" s="6">
        <v>1565</v>
      </c>
      <c r="E36" s="6">
        <f t="shared" si="10"/>
        <v>939</v>
      </c>
      <c r="F36" s="6">
        <f t="shared" si="6"/>
        <v>1878</v>
      </c>
      <c r="G36" s="8">
        <v>2</v>
      </c>
      <c r="H36" s="8" t="s">
        <v>17</v>
      </c>
      <c r="I36" s="8" t="s">
        <v>24</v>
      </c>
    </row>
    <row r="37" spans="1:9" ht="27" customHeight="1">
      <c r="A37" s="6" t="s">
        <v>61</v>
      </c>
      <c r="B37" s="6" t="s">
        <v>226</v>
      </c>
      <c r="C37" s="6" t="s">
        <v>227</v>
      </c>
      <c r="D37" s="6">
        <v>1629</v>
      </c>
      <c r="E37" s="6">
        <f t="shared" ref="E37:E38" si="11">D37</f>
        <v>1629</v>
      </c>
      <c r="F37" s="6">
        <f>E37*G37</f>
        <v>1629</v>
      </c>
      <c r="G37" s="8">
        <v>1</v>
      </c>
      <c r="H37" s="8" t="s">
        <v>70</v>
      </c>
      <c r="I37" s="8" t="s">
        <v>240</v>
      </c>
    </row>
    <row r="38" spans="1:9" ht="27" customHeight="1">
      <c r="A38" s="6" t="s">
        <v>68</v>
      </c>
      <c r="B38" s="6" t="s">
        <v>29</v>
      </c>
      <c r="C38" s="6" t="s">
        <v>109</v>
      </c>
      <c r="D38" s="6">
        <v>15000</v>
      </c>
      <c r="E38" s="6">
        <f t="shared" si="11"/>
        <v>15000</v>
      </c>
      <c r="F38" s="6">
        <f>E38*G38</f>
        <v>15000</v>
      </c>
      <c r="G38" s="8">
        <v>1</v>
      </c>
      <c r="H38" s="8" t="s">
        <v>70</v>
      </c>
      <c r="I38" s="8" t="s">
        <v>240</v>
      </c>
    </row>
    <row r="39" spans="1:9" ht="27" customHeight="1">
      <c r="A39" s="6" t="s">
        <v>264</v>
      </c>
      <c r="B39" s="6" t="s">
        <v>29</v>
      </c>
      <c r="C39" s="6" t="s">
        <v>264</v>
      </c>
      <c r="D39" s="6">
        <v>3</v>
      </c>
      <c r="E39" s="6">
        <v>100</v>
      </c>
      <c r="F39" s="6">
        <f t="shared" ref="F39" si="12">E39*G39</f>
        <v>18000</v>
      </c>
      <c r="G39" s="8">
        <f>60*D39</f>
        <v>180</v>
      </c>
      <c r="H39" s="6" t="s">
        <v>264</v>
      </c>
      <c r="I39" s="8" t="s">
        <v>240</v>
      </c>
    </row>
    <row r="40" spans="1:9" ht="27" customHeight="1">
      <c r="A40" s="6"/>
      <c r="B40" s="6"/>
      <c r="C40" s="6"/>
      <c r="D40" s="6"/>
      <c r="E40" s="6"/>
      <c r="F40" s="6">
        <f>SUBTOTAL(9,F21:F39)</f>
        <v>242702.8</v>
      </c>
      <c r="G40" s="8"/>
      <c r="H40" s="6"/>
      <c r="I40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F551E-F110-4514-BF5F-7ACD3C589033}">
  <dimension ref="A1:J3"/>
  <sheetViews>
    <sheetView workbookViewId="0">
      <selection activeCell="C8" sqref="C8"/>
    </sheetView>
  </sheetViews>
  <sheetFormatPr defaultRowHeight="30" customHeight="1"/>
  <cols>
    <col min="1" max="1" width="14.375" customWidth="1"/>
    <col min="2" max="2" width="37.25" customWidth="1"/>
    <col min="5" max="5" width="21.375" style="19" customWidth="1"/>
    <col min="8" max="8" width="13.625" customWidth="1"/>
    <col min="9" max="10" width="9" style="19"/>
  </cols>
  <sheetData>
    <row r="1" spans="1:10" ht="51.75" customHeight="1">
      <c r="A1" s="7" t="s">
        <v>275</v>
      </c>
      <c r="B1" s="7" t="s">
        <v>276</v>
      </c>
      <c r="C1" s="7" t="s">
        <v>277</v>
      </c>
      <c r="D1" s="7" t="s">
        <v>278</v>
      </c>
      <c r="E1" s="17" t="s">
        <v>279</v>
      </c>
      <c r="F1" s="7" t="s">
        <v>280</v>
      </c>
      <c r="G1" s="7" t="s">
        <v>281</v>
      </c>
      <c r="H1" s="7" t="s">
        <v>282</v>
      </c>
      <c r="I1" s="17" t="s">
        <v>274</v>
      </c>
      <c r="J1" s="17">
        <v>2.2000000000000002</v>
      </c>
    </row>
    <row r="2" spans="1:10" ht="30" customHeight="1">
      <c r="A2" s="10"/>
      <c r="B2" s="11" t="s">
        <v>270</v>
      </c>
      <c r="C2" s="11"/>
      <c r="D2" s="18">
        <f>ROUNDUP(J2,-3)</f>
        <v>2000000</v>
      </c>
      <c r="E2" s="18">
        <f>D2*F2</f>
        <v>2000000</v>
      </c>
      <c r="F2" s="11">
        <v>1</v>
      </c>
      <c r="G2" s="11" t="s">
        <v>215</v>
      </c>
      <c r="H2" s="11" t="s">
        <v>216</v>
      </c>
      <c r="I2" s="18">
        <v>908749.2</v>
      </c>
      <c r="J2" s="18">
        <f>2.2*I2</f>
        <v>1999248.24</v>
      </c>
    </row>
    <row r="3" spans="1:10" ht="30" customHeight="1">
      <c r="A3" s="10"/>
      <c r="B3" s="11" t="s">
        <v>271</v>
      </c>
      <c r="C3" s="11"/>
      <c r="D3" s="18">
        <f>ROUNDUP(J3,-3)</f>
        <v>627000</v>
      </c>
      <c r="E3" s="18">
        <f>D3*F3</f>
        <v>627000</v>
      </c>
      <c r="F3" s="11">
        <v>1</v>
      </c>
      <c r="G3" s="11" t="s">
        <v>215</v>
      </c>
      <c r="H3" s="11" t="s">
        <v>216</v>
      </c>
      <c r="I3" s="18">
        <v>284599.59999999998</v>
      </c>
      <c r="J3" s="18">
        <f>2.2*I3</f>
        <v>626119.12</v>
      </c>
    </row>
  </sheetData>
  <autoFilter ref="A1:I3" xr:uid="{050F551E-F110-4514-BF5F-7ACD3C58903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/>
  </sheetViews>
  <sheetFormatPr defaultRowHeight="14.25"/>
  <cols>
    <col min="1" max="1" width="6" customWidth="1"/>
    <col min="2" max="2" width="18" customWidth="1"/>
    <col min="3" max="3" width="22" customWidth="1"/>
    <col min="4" max="4" width="10" customWidth="1"/>
    <col min="5" max="5" width="8" customWidth="1"/>
    <col min="6" max="6" width="14" customWidth="1"/>
    <col min="7" max="7" width="30" customWidth="1"/>
  </cols>
  <sheetData>
    <row r="1" spans="1:7" ht="27.95" customHeight="1">
      <c r="A1" s="2" t="s">
        <v>113</v>
      </c>
      <c r="B1" s="3"/>
      <c r="C1" s="3"/>
      <c r="D1" s="3"/>
      <c r="E1" s="3"/>
      <c r="F1" s="3"/>
      <c r="G1" s="3"/>
    </row>
    <row r="2" spans="1:7" ht="21.95" customHeight="1">
      <c r="A2" s="3" t="s">
        <v>0</v>
      </c>
      <c r="B2" s="3"/>
      <c r="C2" s="3"/>
      <c r="D2" s="3"/>
      <c r="E2" s="3"/>
      <c r="F2" s="3"/>
      <c r="G2" s="3"/>
    </row>
    <row r="3" spans="1:7" ht="15">
      <c r="A3" s="1" t="s">
        <v>1</v>
      </c>
      <c r="B3" s="1" t="s">
        <v>114</v>
      </c>
      <c r="C3" s="1" t="s">
        <v>115</v>
      </c>
      <c r="D3" s="1" t="s">
        <v>7</v>
      </c>
      <c r="E3" s="1" t="s">
        <v>8</v>
      </c>
      <c r="F3" s="1" t="s">
        <v>10</v>
      </c>
      <c r="G3" s="1" t="s">
        <v>11</v>
      </c>
    </row>
    <row r="4" spans="1:7" ht="45" customHeight="1">
      <c r="A4" s="3">
        <v>1</v>
      </c>
      <c r="B4" s="3" t="s">
        <v>116</v>
      </c>
      <c r="C4" s="3" t="s">
        <v>117</v>
      </c>
      <c r="D4" s="3">
        <v>168</v>
      </c>
      <c r="E4" s="3" t="s">
        <v>63</v>
      </c>
      <c r="F4" s="3" t="s">
        <v>112</v>
      </c>
      <c r="G4" s="3" t="s">
        <v>118</v>
      </c>
    </row>
    <row r="5" spans="1:7" ht="45" customHeight="1">
      <c r="A5" s="3">
        <v>2</v>
      </c>
      <c r="B5" s="3" t="s">
        <v>116</v>
      </c>
      <c r="C5" s="3" t="s">
        <v>119</v>
      </c>
      <c r="D5" s="3">
        <v>84</v>
      </c>
      <c r="E5" s="3" t="s">
        <v>63</v>
      </c>
      <c r="F5" s="3" t="s">
        <v>112</v>
      </c>
      <c r="G5" s="3"/>
    </row>
    <row r="6" spans="1:7" ht="45" customHeight="1">
      <c r="A6" s="3">
        <v>3</v>
      </c>
      <c r="B6" s="3" t="s">
        <v>116</v>
      </c>
      <c r="C6" s="3" t="s">
        <v>120</v>
      </c>
      <c r="D6" s="3">
        <v>736</v>
      </c>
      <c r="E6" s="3" t="s">
        <v>63</v>
      </c>
      <c r="F6" s="3" t="s">
        <v>112</v>
      </c>
      <c r="G6" s="3"/>
    </row>
    <row r="7" spans="1:7" ht="45" customHeight="1">
      <c r="A7" s="3">
        <v>4</v>
      </c>
      <c r="B7" s="3" t="s">
        <v>116</v>
      </c>
      <c r="C7" s="3" t="s">
        <v>121</v>
      </c>
      <c r="D7" s="3">
        <v>31</v>
      </c>
      <c r="E7" s="3" t="s">
        <v>63</v>
      </c>
      <c r="F7" s="3" t="s">
        <v>112</v>
      </c>
      <c r="G7" s="3"/>
    </row>
    <row r="8" spans="1:7" ht="45" customHeight="1">
      <c r="A8" s="3">
        <v>5</v>
      </c>
      <c r="B8" s="3" t="s">
        <v>116</v>
      </c>
      <c r="C8" s="3" t="s">
        <v>122</v>
      </c>
      <c r="D8" s="3">
        <v>25</v>
      </c>
      <c r="E8" s="3" t="s">
        <v>63</v>
      </c>
      <c r="F8" s="3" t="s">
        <v>112</v>
      </c>
      <c r="G8" s="3"/>
    </row>
    <row r="9" spans="1:7" ht="45" customHeight="1">
      <c r="A9" s="3">
        <v>6</v>
      </c>
      <c r="B9" s="3" t="s">
        <v>116</v>
      </c>
      <c r="C9" s="3" t="s">
        <v>123</v>
      </c>
      <c r="D9" s="3">
        <v>95</v>
      </c>
      <c r="E9" s="3" t="s">
        <v>63</v>
      </c>
      <c r="F9" s="3" t="s">
        <v>112</v>
      </c>
      <c r="G9" s="3"/>
    </row>
    <row r="10" spans="1:7" ht="45" customHeight="1">
      <c r="A10" s="3">
        <v>7</v>
      </c>
      <c r="B10" s="3" t="s">
        <v>116</v>
      </c>
      <c r="C10" s="3" t="s">
        <v>124</v>
      </c>
      <c r="D10" s="3">
        <v>310</v>
      </c>
      <c r="E10" s="3" t="s">
        <v>63</v>
      </c>
      <c r="F10" s="3" t="s">
        <v>112</v>
      </c>
      <c r="G10" s="3"/>
    </row>
    <row r="11" spans="1:7" ht="45" customHeight="1">
      <c r="A11" s="3">
        <v>8</v>
      </c>
      <c r="B11" s="3" t="s">
        <v>116</v>
      </c>
      <c r="C11" s="3" t="s">
        <v>125</v>
      </c>
      <c r="D11" s="3">
        <v>265</v>
      </c>
      <c r="E11" s="3" t="s">
        <v>63</v>
      </c>
      <c r="F11" s="3" t="s">
        <v>112</v>
      </c>
      <c r="G11" s="3"/>
    </row>
    <row r="12" spans="1:7" ht="45" customHeight="1">
      <c r="A12" s="3">
        <v>9</v>
      </c>
      <c r="B12" s="3" t="s">
        <v>116</v>
      </c>
      <c r="C12" s="3" t="s">
        <v>126</v>
      </c>
      <c r="D12" s="3">
        <v>10</v>
      </c>
      <c r="E12" s="3" t="s">
        <v>63</v>
      </c>
      <c r="F12" s="3" t="s">
        <v>112</v>
      </c>
      <c r="G12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/>
  </sheetViews>
  <sheetFormatPr defaultRowHeight="14.25"/>
  <cols>
    <col min="1" max="1" width="6" customWidth="1"/>
    <col min="2" max="2" width="12" customWidth="1"/>
    <col min="3" max="3" width="22" customWidth="1"/>
    <col min="4" max="4" width="32" customWidth="1"/>
    <col min="5" max="5" width="48" customWidth="1"/>
    <col min="6" max="6" width="12" customWidth="1"/>
  </cols>
  <sheetData>
    <row r="1" spans="1:6" ht="27.95" customHeight="1">
      <c r="A1" s="2" t="s">
        <v>127</v>
      </c>
      <c r="B1" s="3"/>
      <c r="C1" s="3"/>
      <c r="D1" s="3"/>
      <c r="E1" s="3"/>
      <c r="F1" s="3"/>
    </row>
    <row r="2" spans="1:6" ht="21.95" customHeight="1">
      <c r="A2" s="3" t="s">
        <v>0</v>
      </c>
      <c r="B2" s="3"/>
      <c r="C2" s="3"/>
      <c r="D2" s="3"/>
      <c r="E2" s="3"/>
      <c r="F2" s="3"/>
    </row>
    <row r="3" spans="1:6" ht="15">
      <c r="A3" s="1" t="s">
        <v>1</v>
      </c>
      <c r="B3" s="1" t="s">
        <v>2</v>
      </c>
      <c r="C3" s="1" t="s">
        <v>128</v>
      </c>
      <c r="D3" s="1" t="s">
        <v>129</v>
      </c>
      <c r="E3" s="1" t="s">
        <v>130</v>
      </c>
      <c r="F3" s="1" t="s">
        <v>131</v>
      </c>
    </row>
    <row r="4" spans="1:6" ht="45" customHeight="1">
      <c r="A4" s="3">
        <v>1</v>
      </c>
      <c r="B4" s="3" t="s">
        <v>13</v>
      </c>
      <c r="C4" s="3" t="s">
        <v>132</v>
      </c>
      <c r="D4" s="3" t="s">
        <v>133</v>
      </c>
      <c r="E4" s="3" t="s">
        <v>134</v>
      </c>
      <c r="F4" s="3" t="s">
        <v>135</v>
      </c>
    </row>
    <row r="5" spans="1:6" ht="45" customHeight="1">
      <c r="A5" s="3">
        <v>2</v>
      </c>
      <c r="B5" s="3" t="s">
        <v>13</v>
      </c>
      <c r="C5" s="3" t="s">
        <v>136</v>
      </c>
      <c r="D5" s="3" t="s">
        <v>137</v>
      </c>
      <c r="E5" s="3" t="s">
        <v>138</v>
      </c>
      <c r="F5" s="3" t="s">
        <v>135</v>
      </c>
    </row>
    <row r="6" spans="1:6" ht="45" customHeight="1">
      <c r="A6" s="3">
        <v>3</v>
      </c>
      <c r="B6" s="3" t="s">
        <v>13</v>
      </c>
      <c r="C6" s="3" t="s">
        <v>139</v>
      </c>
      <c r="D6" s="3" t="s">
        <v>140</v>
      </c>
      <c r="E6" s="3" t="s">
        <v>141</v>
      </c>
      <c r="F6" s="3" t="s">
        <v>135</v>
      </c>
    </row>
    <row r="7" spans="1:6" ht="45" customHeight="1">
      <c r="A7" s="3">
        <v>4</v>
      </c>
      <c r="B7" s="3" t="s">
        <v>13</v>
      </c>
      <c r="C7" s="3" t="s">
        <v>142</v>
      </c>
      <c r="D7" s="3" t="s">
        <v>143</v>
      </c>
      <c r="E7" s="3" t="s">
        <v>144</v>
      </c>
      <c r="F7" s="3" t="s">
        <v>145</v>
      </c>
    </row>
    <row r="8" spans="1:6" ht="45" customHeight="1">
      <c r="A8" s="3">
        <v>5</v>
      </c>
      <c r="B8" s="3" t="s">
        <v>73</v>
      </c>
      <c r="C8" s="3" t="s">
        <v>132</v>
      </c>
      <c r="D8" s="3" t="s">
        <v>133</v>
      </c>
      <c r="E8" s="3" t="s">
        <v>146</v>
      </c>
      <c r="F8" s="3" t="s">
        <v>135</v>
      </c>
    </row>
    <row r="9" spans="1:6" ht="45" customHeight="1">
      <c r="A9" s="3">
        <v>6</v>
      </c>
      <c r="B9" s="3" t="s">
        <v>73</v>
      </c>
      <c r="C9" s="3" t="s">
        <v>147</v>
      </c>
      <c r="D9" s="3" t="s">
        <v>148</v>
      </c>
      <c r="E9" s="3" t="s">
        <v>149</v>
      </c>
      <c r="F9" s="3" t="s">
        <v>135</v>
      </c>
    </row>
    <row r="10" spans="1:6" ht="45" customHeight="1">
      <c r="A10" s="3">
        <v>7</v>
      </c>
      <c r="B10" s="3" t="s">
        <v>73</v>
      </c>
      <c r="C10" s="3" t="s">
        <v>150</v>
      </c>
      <c r="D10" s="3" t="s">
        <v>151</v>
      </c>
      <c r="E10" s="3" t="s">
        <v>152</v>
      </c>
      <c r="F10" s="3" t="s">
        <v>145</v>
      </c>
    </row>
    <row r="11" spans="1:6" ht="45" customHeight="1">
      <c r="A11" s="3">
        <v>8</v>
      </c>
      <c r="B11" s="3" t="s">
        <v>73</v>
      </c>
      <c r="C11" s="3" t="s">
        <v>136</v>
      </c>
      <c r="D11" s="3" t="s">
        <v>137</v>
      </c>
      <c r="E11" s="3" t="s">
        <v>153</v>
      </c>
      <c r="F11" s="3" t="s">
        <v>135</v>
      </c>
    </row>
    <row r="12" spans="1:6" ht="45" customHeight="1">
      <c r="A12" s="3">
        <v>9</v>
      </c>
      <c r="B12" s="3" t="s">
        <v>111</v>
      </c>
      <c r="C12" s="3" t="s">
        <v>154</v>
      </c>
      <c r="D12" s="3" t="s">
        <v>155</v>
      </c>
      <c r="E12" s="3" t="s">
        <v>156</v>
      </c>
      <c r="F12" s="3" t="s">
        <v>135</v>
      </c>
    </row>
    <row r="13" spans="1:6" ht="45" customHeight="1">
      <c r="A13" s="3">
        <v>10</v>
      </c>
      <c r="B13" s="3" t="s">
        <v>157</v>
      </c>
      <c r="C13" s="3" t="s">
        <v>158</v>
      </c>
      <c r="D13" s="3" t="s">
        <v>159</v>
      </c>
      <c r="E13" s="3" t="s">
        <v>160</v>
      </c>
      <c r="F13" s="3" t="s">
        <v>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/>
  </sheetViews>
  <sheetFormatPr defaultRowHeight="14.25"/>
  <cols>
    <col min="1" max="1" width="16" customWidth="1"/>
    <col min="2" max="2" width="34" customWidth="1"/>
    <col min="3" max="3" width="28" customWidth="1"/>
    <col min="4" max="4" width="14" customWidth="1"/>
    <col min="5" max="5" width="30" customWidth="1"/>
    <col min="6" max="6" width="28" customWidth="1"/>
    <col min="7" max="7" width="54" customWidth="1"/>
  </cols>
  <sheetData>
    <row r="1" spans="1:7" ht="27.95" customHeight="1">
      <c r="A1" s="2" t="s">
        <v>161</v>
      </c>
      <c r="B1" s="3"/>
      <c r="C1" s="3"/>
      <c r="D1" s="3"/>
      <c r="E1" s="3"/>
      <c r="F1" s="3"/>
      <c r="G1" s="3"/>
    </row>
    <row r="2" spans="1:7" ht="21.95" customHeight="1">
      <c r="A2" s="3" t="s">
        <v>0</v>
      </c>
      <c r="B2" s="3"/>
      <c r="C2" s="3"/>
      <c r="D2" s="3"/>
      <c r="E2" s="3"/>
      <c r="F2" s="3"/>
      <c r="G2" s="3"/>
    </row>
    <row r="3" spans="1:7" ht="15">
      <c r="A3" s="1" t="s">
        <v>2</v>
      </c>
      <c r="B3" s="1" t="s">
        <v>162</v>
      </c>
      <c r="C3" s="1" t="s">
        <v>163</v>
      </c>
      <c r="D3" s="1" t="s">
        <v>164</v>
      </c>
      <c r="E3" s="1" t="s">
        <v>165</v>
      </c>
      <c r="F3" s="1" t="s">
        <v>166</v>
      </c>
      <c r="G3" s="1" t="s">
        <v>167</v>
      </c>
    </row>
    <row r="4" spans="1:7" ht="45" customHeight="1">
      <c r="A4" s="3" t="s">
        <v>13</v>
      </c>
      <c r="B4" s="3" t="s">
        <v>168</v>
      </c>
      <c r="C4" s="3" t="s">
        <v>169</v>
      </c>
      <c r="D4" s="3" t="s">
        <v>140</v>
      </c>
      <c r="E4" s="3" t="s">
        <v>170</v>
      </c>
      <c r="F4" s="3" t="s">
        <v>171</v>
      </c>
      <c r="G4" s="3" t="s">
        <v>172</v>
      </c>
    </row>
    <row r="5" spans="1:7" ht="45" customHeight="1">
      <c r="A5" s="3" t="s">
        <v>73</v>
      </c>
      <c r="B5" s="3" t="s">
        <v>173</v>
      </c>
      <c r="C5" s="3" t="s">
        <v>174</v>
      </c>
      <c r="D5" s="3" t="s">
        <v>140</v>
      </c>
      <c r="E5" s="3" t="s">
        <v>175</v>
      </c>
      <c r="F5" s="3" t="s">
        <v>176</v>
      </c>
      <c r="G5" s="3" t="s">
        <v>177</v>
      </c>
    </row>
    <row r="6" spans="1:7" ht="45" customHeight="1">
      <c r="A6" s="3" t="s">
        <v>178</v>
      </c>
      <c r="B6" s="3" t="s">
        <v>179</v>
      </c>
      <c r="C6" s="3" t="s">
        <v>180</v>
      </c>
      <c r="D6" s="3" t="s">
        <v>140</v>
      </c>
      <c r="E6" s="3" t="s">
        <v>181</v>
      </c>
      <c r="F6" s="3" t="s">
        <v>182</v>
      </c>
      <c r="G6" s="3" t="s">
        <v>183</v>
      </c>
    </row>
    <row r="7" spans="1:7" ht="45" customHeight="1">
      <c r="A7" s="3" t="s">
        <v>184</v>
      </c>
      <c r="B7" s="3" t="s">
        <v>179</v>
      </c>
      <c r="C7" s="3" t="s">
        <v>185</v>
      </c>
      <c r="D7" s="3" t="s">
        <v>140</v>
      </c>
      <c r="E7" s="3" t="s">
        <v>181</v>
      </c>
      <c r="F7" s="3" t="s">
        <v>182</v>
      </c>
      <c r="G7" s="3" t="s">
        <v>186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/>
  </sheetViews>
  <sheetFormatPr defaultRowHeight="14.25"/>
  <cols>
    <col min="1" max="1" width="12" customWidth="1"/>
    <col min="2" max="2" width="28" customWidth="1"/>
    <col min="3" max="3" width="20" customWidth="1"/>
    <col min="4" max="4" width="60" customWidth="1"/>
    <col min="5" max="6" width="38" customWidth="1"/>
  </cols>
  <sheetData>
    <row r="1" spans="1:6" ht="27.95" customHeight="1">
      <c r="A1" s="2" t="s">
        <v>187</v>
      </c>
      <c r="B1" s="3"/>
      <c r="C1" s="3"/>
      <c r="D1" s="3"/>
      <c r="E1" s="3"/>
      <c r="F1" s="3"/>
    </row>
    <row r="2" spans="1:6" ht="21.95" customHeight="1">
      <c r="A2" s="3" t="s">
        <v>0</v>
      </c>
      <c r="B2" s="3"/>
      <c r="C2" s="3"/>
      <c r="D2" s="3"/>
      <c r="E2" s="3"/>
      <c r="F2" s="3"/>
    </row>
    <row r="3" spans="1:6" ht="15">
      <c r="A3" s="1" t="s">
        <v>2</v>
      </c>
      <c r="B3" s="1" t="s">
        <v>188</v>
      </c>
      <c r="C3" s="1" t="s">
        <v>189</v>
      </c>
      <c r="D3" s="1" t="s">
        <v>190</v>
      </c>
      <c r="E3" s="1" t="s">
        <v>191</v>
      </c>
      <c r="F3" s="1" t="s">
        <v>11</v>
      </c>
    </row>
    <row r="4" spans="1:6" ht="45" customHeight="1">
      <c r="A4" s="3" t="s">
        <v>13</v>
      </c>
      <c r="B4" s="3" t="s">
        <v>192</v>
      </c>
      <c r="C4" s="3" t="s">
        <v>193</v>
      </c>
      <c r="D4" s="3" t="s">
        <v>194</v>
      </c>
      <c r="E4" s="3" t="s">
        <v>195</v>
      </c>
      <c r="F4" s="3" t="s">
        <v>196</v>
      </c>
    </row>
    <row r="5" spans="1:6" ht="45" customHeight="1">
      <c r="A5" s="3" t="s">
        <v>73</v>
      </c>
      <c r="B5" s="3" t="s">
        <v>197</v>
      </c>
      <c r="C5" s="3" t="s">
        <v>198</v>
      </c>
      <c r="D5" s="3" t="s">
        <v>199</v>
      </c>
      <c r="E5" s="3" t="s">
        <v>200</v>
      </c>
      <c r="F5" s="3" t="s">
        <v>201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3"/>
  <sheetViews>
    <sheetView workbookViewId="0"/>
  </sheetViews>
  <sheetFormatPr defaultRowHeight="14.25"/>
  <cols>
    <col min="1" max="1" width="120" customWidth="1"/>
  </cols>
  <sheetData>
    <row r="1" spans="1:1" ht="26.1" customHeight="1">
      <c r="A1" s="4" t="s">
        <v>202</v>
      </c>
    </row>
    <row r="2" spans="1:1" ht="26.1" customHeight="1">
      <c r="A2" s="3"/>
    </row>
    <row r="3" spans="1:1" ht="26.1" customHeight="1">
      <c r="A3" s="3" t="s">
        <v>203</v>
      </c>
    </row>
    <row r="4" spans="1:1" ht="26.1" customHeight="1">
      <c r="A4" s="3" t="s">
        <v>204</v>
      </c>
    </row>
    <row r="5" spans="1:1" ht="26.1" customHeight="1">
      <c r="A5" s="3" t="s">
        <v>205</v>
      </c>
    </row>
    <row r="6" spans="1:1" ht="26.1" customHeight="1">
      <c r="A6" s="3" t="s">
        <v>206</v>
      </c>
    </row>
    <row r="7" spans="1:1" ht="26.1" customHeight="1">
      <c r="A7" s="3" t="s">
        <v>207</v>
      </c>
    </row>
    <row r="8" spans="1:1" ht="26.1" customHeight="1">
      <c r="A8" s="3" t="s">
        <v>208</v>
      </c>
    </row>
    <row r="9" spans="1:1" ht="26.1" customHeight="1">
      <c r="A9" s="3"/>
    </row>
    <row r="10" spans="1:1" ht="26.1" customHeight="1">
      <c r="A10" s="3" t="s">
        <v>209</v>
      </c>
    </row>
    <row r="11" spans="1:1" ht="26.1" customHeight="1">
      <c r="A11" s="3" t="s">
        <v>210</v>
      </c>
    </row>
    <row r="13" spans="1:1">
      <c r="A13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BOM_FINAL</vt:lpstr>
      <vt:lpstr>Sayfa2</vt:lpstr>
      <vt:lpstr>Sayfa1</vt:lpstr>
      <vt:lpstr>Kablo_Projeye_Gore</vt:lpstr>
      <vt:lpstr>Stajyer_Kontrol</vt:lpstr>
      <vt:lpstr>Korpus_Kontrol</vt:lpstr>
      <vt:lpstr>Gorsel_Plani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modified xsi:type="dcterms:W3CDTF">2026-06-13T11:48:17Z</dcterms:modified>
</cp:coreProperties>
</file>