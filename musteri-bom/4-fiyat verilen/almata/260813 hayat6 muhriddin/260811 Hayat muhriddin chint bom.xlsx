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813 hayat6 muhriddin\"/>
    </mc:Choice>
  </mc:AlternateContent>
  <xr:revisionPtr revIDLastSave="0" documentId="13_ncr:1_{6D50D05C-7BDE-4187-AC5D-ED0D3C98B4C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1" sheetId="2" r:id="rId1"/>
  </sheets>
  <definedNames>
    <definedName name="_xlnm._FilterDatabase" localSheetId="0" hidden="1">Sayfa1!$A$1:$J$23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2" l="1"/>
  <c r="G22" i="2"/>
  <c r="E21" i="2"/>
  <c r="F21" i="2" s="1"/>
  <c r="G21" i="2" s="1"/>
  <c r="F20" i="2"/>
  <c r="G20" i="2" s="1"/>
  <c r="F19" i="2"/>
  <c r="G19" i="2" s="1"/>
  <c r="F18" i="2"/>
  <c r="G18" i="2" s="1"/>
  <c r="A17" i="2"/>
  <c r="A18" i="2" s="1"/>
  <c r="A19" i="2" s="1"/>
  <c r="A20" i="2" s="1"/>
  <c r="A21" i="2" s="1"/>
  <c r="A22" i="2" s="1"/>
  <c r="A23" i="2" s="1"/>
  <c r="F12" i="2"/>
  <c r="G12" i="2" s="1"/>
  <c r="H15" i="2"/>
  <c r="G15" i="2"/>
  <c r="E14" i="2" s="1"/>
  <c r="F14" i="2" s="1"/>
  <c r="G14" i="2" s="1"/>
  <c r="F13" i="2"/>
  <c r="G13" i="2" s="1"/>
  <c r="F11" i="2"/>
  <c r="G11" i="2" s="1"/>
  <c r="F10" i="2"/>
  <c r="G10" i="2" s="1"/>
  <c r="A9" i="2"/>
  <c r="A10" i="2" s="1"/>
  <c r="A11" i="2" s="1"/>
  <c r="F5" i="2"/>
  <c r="G5" i="2"/>
  <c r="G7" i="2"/>
  <c r="H7" i="2"/>
  <c r="F3" i="2"/>
  <c r="F4" i="2"/>
  <c r="G4" i="2" s="1"/>
  <c r="A2" i="2"/>
  <c r="A3" i="2" s="1"/>
  <c r="A4" i="2" s="1"/>
  <c r="A5" i="2" s="1"/>
  <c r="A6" i="2" s="1"/>
  <c r="A7" i="2" s="1"/>
  <c r="A8" i="2" s="1"/>
  <c r="G23" i="2" l="1"/>
  <c r="E17" i="2" s="1"/>
  <c r="G16" i="2"/>
  <c r="E9" i="2" s="1"/>
  <c r="A13" i="2"/>
  <c r="A14" i="2" s="1"/>
  <c r="A15" i="2" s="1"/>
  <c r="A16" i="2" s="1"/>
  <c r="A12" i="2"/>
  <c r="E6" i="2"/>
  <c r="F6" i="2" s="1"/>
  <c r="G3" i="2"/>
  <c r="G6" i="2" l="1"/>
  <c r="G8" i="2" l="1"/>
  <c r="E2" i="2" s="1"/>
</calcChain>
</file>

<file path=xl/sharedStrings.xml><?xml version="1.0" encoding="utf-8"?>
<sst xmlns="http://schemas.openxmlformats.org/spreadsheetml/2006/main" count="102" uniqueCount="40">
  <si>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</si>
  <si>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</si>
  <si>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</si>
  <si>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</si>
  <si>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</si>
  <si>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</si>
  <si>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</si>
  <si>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</si>
  <si>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</si>
  <si>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</si>
  <si>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</si>
  <si>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</si>
  <si>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</si>
  <si>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</si>
  <si>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</si>
  <si>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</si>
  <si>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</si>
  <si>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</si>
  <si>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296829</t>
  </si>
  <si>
    <t>Авт. выкл. NXB-63S 3P 25А 4.5kA х-ка C (R)</t>
  </si>
  <si>
    <t>dif</t>
  </si>
  <si>
    <t>mccb</t>
  </si>
  <si>
    <t>296710</t>
  </si>
  <si>
    <t>Авт. выкл. NXB-63S 1P 16А 4.5kA х-ка C (R)</t>
  </si>
  <si>
    <t xml:space="preserve"> </t>
  </si>
  <si>
    <t>ЩР1</t>
  </si>
  <si>
    <t>515394</t>
  </si>
  <si>
    <t>Диф. авт. выкл. NXBLE-63YH 1P+N C25 30mA тип AC, 6kA (R)</t>
  </si>
  <si>
    <t>ЩР2</t>
  </si>
  <si>
    <t>844302</t>
  </si>
  <si>
    <t>Авт. выкл. NXM-125S/3Р 50A 25кА (R)</t>
  </si>
  <si>
    <t>ЩО</t>
  </si>
  <si>
    <t>714-15125</t>
  </si>
  <si>
    <t>Щит мет. ЩРн-2-1 PR (540x400x150) IP31 (TS)</t>
  </si>
  <si>
    <t>714-151</t>
  </si>
  <si>
    <t>Щит мет. ЩРн-5-2-1 PR (1000x650x250) IP31 (TS)</t>
  </si>
  <si>
    <t>131360</t>
  </si>
  <si>
    <t>Авт. выкл. NXM-125S/3Р 63A 25кА (R)</t>
  </si>
  <si>
    <t>131363</t>
  </si>
  <si>
    <t>Авт. выкл. NXM-125S/3Р 125A 25кА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</si>
</sst>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J23"/>
  <sheetViews>
    <sheetView tabSelected="1" zoomScale="130" zoomScaleNormal="130" workbookViewId="0">
      <pane ySplit="1" topLeftCell="A14" activePane="bottomLeft" state="frozen"/>
      <selection pane="bottomLeft" activeCell="D12" sqref="D12"/>
    </sheetView>
  </sheetViews>
  <sheetFormatPr defaultRowHeight="21" customHeight="1" x14ac:dyDescent="0.25"/>
  <cols>
    <col min="1" max="1" width="36.42578125" customWidth="1"/>
    <col min="3" max="3" width="9.28515625" bestFit="1" customWidth="1"/>
    <col min="4" max="4" width="72.42578125" customWidth="1"/>
    <col min="5" max="6" width="10" bestFit="1" customWidth="1"/>
    <col min="7" max="7" width="15.7109375" bestFit="1" customWidth="1"/>
    <col min="8" max="8" width="9.28515625" bestFit="1" customWidth="1"/>
  </cols>
  <sheetData>
    <row r="1" spans="1:10" ht="39.75" customHeight="1" x14ac:dyDescent="0.25">
      <c r="A1" s="1" t="s">
        <v>2</v>
      </c>
      <c r="B1" s="1" t="s">
        <v>0</v>
      </c>
      <c r="C1" s="2" t="s">
        <v>1</v>
      </c>
      <c r="D1" s="1" t="s">
        <v>14</v>
      </c>
      <c r="E1" s="1" t="s">
        <v>3</v>
      </c>
      <c r="F1" s="1" t="s">
        <v>3</v>
      </c>
      <c r="G1" s="3" t="s">
        <v>6</v>
      </c>
      <c r="H1" s="4" t="s">
        <v>15</v>
      </c>
      <c r="I1" s="4" t="s">
        <v>4</v>
      </c>
      <c r="J1" s="4" t="s">
        <v>5</v>
      </c>
    </row>
    <row r="2" spans="1:10" ht="39.75" customHeight="1" x14ac:dyDescent="0.25">
      <c r="A2" s="5" t="str">
        <f>D2</f>
        <v>ЩР1</v>
      </c>
      <c r="B2" s="6"/>
      <c r="C2" s="7"/>
      <c r="D2" s="6" t="s">
        <v>25</v>
      </c>
      <c r="E2" s="8">
        <f ca="1">2.3*G8</f>
        <v>387446.03999999992</v>
      </c>
      <c r="F2" s="8" t="s">
        <v>24</v>
      </c>
      <c r="G2" s="9"/>
      <c r="H2" s="10">
        <v>1</v>
      </c>
      <c r="I2" s="11" t="s">
        <v>7</v>
      </c>
      <c r="J2" s="6" t="s">
        <v>9</v>
      </c>
    </row>
    <row r="3" spans="1:10" ht="21" customHeight="1" x14ac:dyDescent="0.25">
      <c r="A3" s="12" t="str">
        <f>A2</f>
        <v>ЩР1</v>
      </c>
      <c r="B3" s="13" t="s">
        <v>8</v>
      </c>
      <c r="C3" s="14" t="s">
        <v>34</v>
      </c>
      <c r="D3" s="12" t="s">
        <v>35</v>
      </c>
      <c r="E3" s="13">
        <v>55770</v>
      </c>
      <c r="F3" s="15">
        <f>E3*0.6</f>
        <v>33462</v>
      </c>
      <c r="G3" s="15">
        <f>H3*F3</f>
        <v>33462</v>
      </c>
      <c r="H3" s="16">
        <v>1</v>
      </c>
      <c r="I3" s="17" t="s">
        <v>13</v>
      </c>
      <c r="J3" s="13" t="s">
        <v>16</v>
      </c>
    </row>
    <row r="4" spans="1:10" ht="21" customHeight="1" x14ac:dyDescent="0.25">
      <c r="A4" s="12" t="str">
        <f t="shared" ref="A4:A8" si="0">A3</f>
        <v>ЩР1</v>
      </c>
      <c r="B4" s="13" t="s">
        <v>21</v>
      </c>
      <c r="C4" s="14" t="s">
        <v>36</v>
      </c>
      <c r="D4" s="12" t="s">
        <v>37</v>
      </c>
      <c r="E4" s="13">
        <v>18263</v>
      </c>
      <c r="F4" s="15">
        <f t="shared" ref="F4:F5" si="1">E4*0.6</f>
        <v>10957.8</v>
      </c>
      <c r="G4" s="15">
        <f t="shared" ref="G4" si="2">F4*H4</f>
        <v>10957.8</v>
      </c>
      <c r="H4" s="16">
        <v>1</v>
      </c>
      <c r="I4" s="17" t="s">
        <v>13</v>
      </c>
      <c r="J4" s="13" t="s">
        <v>17</v>
      </c>
    </row>
    <row r="5" spans="1:10" ht="21" customHeight="1" x14ac:dyDescent="0.25">
      <c r="A5" s="12" t="str">
        <f t="shared" si="0"/>
        <v>ЩР1</v>
      </c>
      <c r="B5" s="13" t="s">
        <v>20</v>
      </c>
      <c r="C5" s="14" t="s">
        <v>26</v>
      </c>
      <c r="D5" s="12" t="s">
        <v>27</v>
      </c>
      <c r="E5" s="13">
        <v>5069</v>
      </c>
      <c r="F5" s="15">
        <f t="shared" si="1"/>
        <v>3041.4</v>
      </c>
      <c r="G5" s="15">
        <f>F5*H5</f>
        <v>76035</v>
      </c>
      <c r="H5" s="16">
        <v>25</v>
      </c>
      <c r="I5" s="17" t="s">
        <v>13</v>
      </c>
      <c r="J5" s="13" t="s">
        <v>17</v>
      </c>
    </row>
    <row r="6" spans="1:10" ht="24" customHeight="1" x14ac:dyDescent="0.25">
      <c r="A6" s="12" t="str">
        <f t="shared" si="0"/>
        <v>ЩР1</v>
      </c>
      <c r="B6" s="12" t="s">
        <v>10</v>
      </c>
      <c r="C6" s="18" t="s">
        <v>10</v>
      </c>
      <c r="D6" s="12" t="s">
        <v>10</v>
      </c>
      <c r="E6" s="12">
        <f ca="1">OFFSET(E6,1,2)</f>
        <v>24000</v>
      </c>
      <c r="F6" s="15">
        <f ca="1">E6</f>
        <v>24000</v>
      </c>
      <c r="G6" s="15">
        <f t="shared" ref="G6" ca="1" si="3">F6*H6</f>
        <v>24000</v>
      </c>
      <c r="H6" s="12">
        <v>1</v>
      </c>
      <c r="I6" s="12" t="s">
        <v>13</v>
      </c>
      <c r="J6" s="12" t="s">
        <v>10</v>
      </c>
    </row>
    <row r="7" spans="1:10" ht="21" customHeight="1" x14ac:dyDescent="0.25">
      <c r="A7" s="12" t="str">
        <f t="shared" si="0"/>
        <v>ЩР1</v>
      </c>
      <c r="B7" s="12" t="s">
        <v>11</v>
      </c>
      <c r="C7" s="18" t="s">
        <v>11</v>
      </c>
      <c r="D7" s="12" t="s">
        <v>11</v>
      </c>
      <c r="E7" s="12">
        <v>4</v>
      </c>
      <c r="F7" s="15">
        <v>100</v>
      </c>
      <c r="G7" s="15">
        <f>60*E7*F7</f>
        <v>24000</v>
      </c>
      <c r="H7" s="12">
        <f>60*E7</f>
        <v>240</v>
      </c>
      <c r="I7" s="12" t="s">
        <v>13</v>
      </c>
      <c r="J7" s="12" t="s">
        <v>11</v>
      </c>
    </row>
    <row r="8" spans="1:10" ht="30" customHeight="1" x14ac:dyDescent="0.25">
      <c r="A8" s="12" t="str">
        <f t="shared" si="0"/>
        <v>ЩР1</v>
      </c>
      <c r="B8" s="19"/>
      <c r="C8" s="20"/>
      <c r="D8" s="21"/>
      <c r="E8" s="23"/>
      <c r="F8" s="25"/>
      <c r="G8" s="24">
        <f ca="1">SUM(G3:G7)</f>
        <v>168454.8</v>
      </c>
      <c r="H8" s="20"/>
      <c r="I8" s="22"/>
      <c r="J8" s="20"/>
    </row>
    <row r="9" spans="1:10" ht="39.75" customHeight="1" x14ac:dyDescent="0.25">
      <c r="A9" s="5" t="str">
        <f>D9</f>
        <v>ЩР2</v>
      </c>
      <c r="B9" s="6"/>
      <c r="C9" s="7"/>
      <c r="D9" s="6" t="s">
        <v>28</v>
      </c>
      <c r="E9" s="8">
        <f ca="1">2.3*G16</f>
        <v>386804.33999999997</v>
      </c>
      <c r="F9" s="8" t="s">
        <v>24</v>
      </c>
      <c r="G9" s="9"/>
      <c r="H9" s="10">
        <v>1</v>
      </c>
      <c r="I9" s="11" t="s">
        <v>7</v>
      </c>
      <c r="J9" s="6" t="s">
        <v>9</v>
      </c>
    </row>
    <row r="10" spans="1:10" ht="21" customHeight="1" x14ac:dyDescent="0.25">
      <c r="A10" s="12" t="str">
        <f>A9</f>
        <v>ЩР2</v>
      </c>
      <c r="B10" s="13" t="s">
        <v>8</v>
      </c>
      <c r="C10" s="14" t="s">
        <v>34</v>
      </c>
      <c r="D10" s="12" t="s">
        <v>35</v>
      </c>
      <c r="E10" s="13">
        <v>55770</v>
      </c>
      <c r="F10" s="15">
        <f>E10*0.6</f>
        <v>33462</v>
      </c>
      <c r="G10" s="15">
        <f>H10*F10</f>
        <v>33462</v>
      </c>
      <c r="H10" s="16">
        <v>1</v>
      </c>
      <c r="I10" s="17" t="s">
        <v>13</v>
      </c>
      <c r="J10" s="13" t="s">
        <v>16</v>
      </c>
    </row>
    <row r="11" spans="1:10" ht="21" customHeight="1" x14ac:dyDescent="0.25">
      <c r="A11" s="12" t="str">
        <f t="shared" ref="A11:A16" si="4">A10</f>
        <v>ЩР2</v>
      </c>
      <c r="B11" s="13" t="s">
        <v>21</v>
      </c>
      <c r="C11" s="14" t="s">
        <v>38</v>
      </c>
      <c r="D11" s="12" t="s">
        <v>39</v>
      </c>
      <c r="E11" s="13">
        <v>19760</v>
      </c>
      <c r="F11" s="15">
        <f t="shared" ref="F11:F13" si="5">E11*0.6</f>
        <v>11856</v>
      </c>
      <c r="G11" s="15">
        <f t="shared" ref="G11" si="6">F11*H11</f>
        <v>11856</v>
      </c>
      <c r="H11" s="16">
        <v>1</v>
      </c>
      <c r="I11" s="17" t="s">
        <v>13</v>
      </c>
      <c r="J11" s="13" t="s">
        <v>17</v>
      </c>
    </row>
    <row r="12" spans="1:10" ht="21" customHeight="1" x14ac:dyDescent="0.25">
      <c r="A12" s="12" t="str">
        <f t="shared" ref="A12" si="7">A11</f>
        <v>ЩР2</v>
      </c>
      <c r="B12" s="13" t="s">
        <v>21</v>
      </c>
      <c r="C12" s="14" t="s">
        <v>29</v>
      </c>
      <c r="D12" s="12" t="s">
        <v>30</v>
      </c>
      <c r="E12" s="13">
        <v>19295</v>
      </c>
      <c r="F12" s="15">
        <f t="shared" ref="F12" si="8">E12*0.6</f>
        <v>11577</v>
      </c>
      <c r="G12" s="15">
        <f t="shared" ref="G12" si="9">F12*H12</f>
        <v>23154</v>
      </c>
      <c r="H12" s="16">
        <v>2</v>
      </c>
      <c r="I12" s="17" t="s">
        <v>13</v>
      </c>
      <c r="J12" s="13" t="s">
        <v>17</v>
      </c>
    </row>
    <row r="13" spans="1:10" ht="21" customHeight="1" x14ac:dyDescent="0.25">
      <c r="A13" s="12" t="str">
        <f>A11</f>
        <v>ЩР2</v>
      </c>
      <c r="B13" s="13" t="s">
        <v>20</v>
      </c>
      <c r="C13" s="14" t="s">
        <v>26</v>
      </c>
      <c r="D13" s="12" t="s">
        <v>27</v>
      </c>
      <c r="E13" s="13">
        <v>5069</v>
      </c>
      <c r="F13" s="15">
        <f t="shared" si="5"/>
        <v>3041.4</v>
      </c>
      <c r="G13" s="15">
        <f>F13*H13</f>
        <v>51703.8</v>
      </c>
      <c r="H13" s="16">
        <v>17</v>
      </c>
      <c r="I13" s="17" t="s">
        <v>13</v>
      </c>
      <c r="J13" s="13" t="s">
        <v>17</v>
      </c>
    </row>
    <row r="14" spans="1:10" ht="24" customHeight="1" x14ac:dyDescent="0.25">
      <c r="A14" s="12" t="str">
        <f t="shared" si="4"/>
        <v>ЩР2</v>
      </c>
      <c r="B14" s="12" t="s">
        <v>10</v>
      </c>
      <c r="C14" s="18" t="s">
        <v>10</v>
      </c>
      <c r="D14" s="12" t="s">
        <v>10</v>
      </c>
      <c r="E14" s="12">
        <f ca="1">OFFSET(E14,1,2)</f>
        <v>24000</v>
      </c>
      <c r="F14" s="15">
        <f ca="1">E14</f>
        <v>24000</v>
      </c>
      <c r="G14" s="15">
        <f t="shared" ref="G14" ca="1" si="10">F14*H14</f>
        <v>24000</v>
      </c>
      <c r="H14" s="12">
        <v>1</v>
      </c>
      <c r="I14" s="12" t="s">
        <v>13</v>
      </c>
      <c r="J14" s="12" t="s">
        <v>10</v>
      </c>
    </row>
    <row r="15" spans="1:10" ht="21" customHeight="1" x14ac:dyDescent="0.25">
      <c r="A15" s="12" t="str">
        <f t="shared" si="4"/>
        <v>ЩР2</v>
      </c>
      <c r="B15" s="12" t="s">
        <v>11</v>
      </c>
      <c r="C15" s="18" t="s">
        <v>11</v>
      </c>
      <c r="D15" s="12" t="s">
        <v>11</v>
      </c>
      <c r="E15" s="12">
        <v>4</v>
      </c>
      <c r="F15" s="15">
        <v>100</v>
      </c>
      <c r="G15" s="15">
        <f>60*E15*F15</f>
        <v>24000</v>
      </c>
      <c r="H15" s="12">
        <f>60*E15</f>
        <v>240</v>
      </c>
      <c r="I15" s="12" t="s">
        <v>13</v>
      </c>
      <c r="J15" s="12" t="s">
        <v>11</v>
      </c>
    </row>
    <row r="16" spans="1:10" ht="30" customHeight="1" x14ac:dyDescent="0.25">
      <c r="A16" s="12" t="str">
        <f t="shared" si="4"/>
        <v>ЩР2</v>
      </c>
      <c r="B16" s="19"/>
      <c r="C16" s="20"/>
      <c r="D16" s="21"/>
      <c r="E16" s="23"/>
      <c r="F16" s="25"/>
      <c r="G16" s="24">
        <f ca="1">SUM(G10:G15)</f>
        <v>168175.8</v>
      </c>
      <c r="H16" s="20"/>
      <c r="I16" s="22"/>
      <c r="J16" s="20"/>
    </row>
    <row r="17" spans="1:10" ht="39.75" customHeight="1" x14ac:dyDescent="0.25">
      <c r="A17" s="5" t="str">
        <f>D17</f>
        <v>ЩО</v>
      </c>
      <c r="B17" s="6"/>
      <c r="C17" s="7"/>
      <c r="D17" s="6" t="s">
        <v>31</v>
      </c>
      <c r="E17" s="8">
        <f ca="1">2.3*G23</f>
        <v>83828.099999999991</v>
      </c>
      <c r="F17" s="8" t="s">
        <v>24</v>
      </c>
      <c r="G17" s="9"/>
      <c r="H17" s="10">
        <v>1</v>
      </c>
      <c r="I17" s="11" t="s">
        <v>7</v>
      </c>
      <c r="J17" s="6" t="s">
        <v>9</v>
      </c>
    </row>
    <row r="18" spans="1:10" ht="21" customHeight="1" x14ac:dyDescent="0.25">
      <c r="A18" s="12" t="str">
        <f>A17</f>
        <v>ЩО</v>
      </c>
      <c r="B18" s="13" t="s">
        <v>8</v>
      </c>
      <c r="C18" s="14" t="s">
        <v>32</v>
      </c>
      <c r="D18" s="12" t="s">
        <v>33</v>
      </c>
      <c r="E18" s="13">
        <v>18920</v>
      </c>
      <c r="F18" s="15">
        <f>E18*0.6</f>
        <v>11352</v>
      </c>
      <c r="G18" s="15">
        <f>H18*F18</f>
        <v>11352</v>
      </c>
      <c r="H18" s="16">
        <v>1</v>
      </c>
      <c r="I18" s="17" t="s">
        <v>13</v>
      </c>
      <c r="J18" s="13" t="s">
        <v>16</v>
      </c>
    </row>
    <row r="19" spans="1:10" ht="21" customHeight="1" x14ac:dyDescent="0.25">
      <c r="A19" s="12" t="str">
        <f t="shared" ref="A19:A23" si="11">A18</f>
        <v>ЩО</v>
      </c>
      <c r="B19" s="13" t="s">
        <v>12</v>
      </c>
      <c r="C19" s="14" t="s">
        <v>18</v>
      </c>
      <c r="D19" s="12" t="s">
        <v>19</v>
      </c>
      <c r="E19" s="13">
        <v>2429</v>
      </c>
      <c r="F19" s="15">
        <f t="shared" ref="F19:F20" si="12">E19*0.6</f>
        <v>1457.3999999999999</v>
      </c>
      <c r="G19" s="15">
        <f t="shared" ref="G19:G20" si="13">F19*H19</f>
        <v>1457.3999999999999</v>
      </c>
      <c r="H19" s="16">
        <v>1</v>
      </c>
      <c r="I19" s="17" t="s">
        <v>13</v>
      </c>
      <c r="J19" s="13" t="s">
        <v>17</v>
      </c>
    </row>
    <row r="20" spans="1:10" ht="21" customHeight="1" x14ac:dyDescent="0.25">
      <c r="A20" s="12" t="str">
        <f t="shared" si="11"/>
        <v>ЩО</v>
      </c>
      <c r="B20" s="13" t="s">
        <v>12</v>
      </c>
      <c r="C20" s="14" t="s">
        <v>22</v>
      </c>
      <c r="D20" s="12" t="s">
        <v>23</v>
      </c>
      <c r="E20" s="13">
        <v>783</v>
      </c>
      <c r="F20" s="15">
        <f t="shared" si="12"/>
        <v>469.79999999999995</v>
      </c>
      <c r="G20" s="15">
        <f t="shared" si="13"/>
        <v>5637.5999999999995</v>
      </c>
      <c r="H20" s="16">
        <v>12</v>
      </c>
      <c r="I20" s="17" t="s">
        <v>13</v>
      </c>
      <c r="J20" s="13" t="s">
        <v>17</v>
      </c>
    </row>
    <row r="21" spans="1:10" ht="24" customHeight="1" x14ac:dyDescent="0.25">
      <c r="A21" s="12" t="str">
        <f t="shared" si="11"/>
        <v>ЩО</v>
      </c>
      <c r="B21" s="12" t="s">
        <v>10</v>
      </c>
      <c r="C21" s="18" t="s">
        <v>10</v>
      </c>
      <c r="D21" s="12" t="s">
        <v>10</v>
      </c>
      <c r="E21" s="12">
        <f ca="1">OFFSET(E21,1,2)</f>
        <v>9000</v>
      </c>
      <c r="F21" s="15">
        <f ca="1">E21</f>
        <v>9000</v>
      </c>
      <c r="G21" s="15">
        <f t="shared" ref="G21" ca="1" si="14">F21*H21</f>
        <v>9000</v>
      </c>
      <c r="H21" s="12">
        <v>1</v>
      </c>
      <c r="I21" s="12" t="s">
        <v>13</v>
      </c>
      <c r="J21" s="12" t="s">
        <v>10</v>
      </c>
    </row>
    <row r="22" spans="1:10" ht="21" customHeight="1" x14ac:dyDescent="0.25">
      <c r="A22" s="12" t="str">
        <f t="shared" si="11"/>
        <v>ЩО</v>
      </c>
      <c r="B22" s="12" t="s">
        <v>11</v>
      </c>
      <c r="C22" s="18" t="s">
        <v>11</v>
      </c>
      <c r="D22" s="12" t="s">
        <v>11</v>
      </c>
      <c r="E22" s="12">
        <v>1.5</v>
      </c>
      <c r="F22" s="15">
        <v>100</v>
      </c>
      <c r="G22" s="15">
        <f>60*E22*F22</f>
        <v>9000</v>
      </c>
      <c r="H22" s="12">
        <f>60*E22</f>
        <v>90</v>
      </c>
      <c r="I22" s="12" t="s">
        <v>13</v>
      </c>
      <c r="J22" s="12" t="s">
        <v>11</v>
      </c>
    </row>
    <row r="23" spans="1:10" ht="30" customHeight="1" x14ac:dyDescent="0.25">
      <c r="A23" s="12" t="str">
        <f t="shared" si="11"/>
        <v>ЩО</v>
      </c>
      <c r="B23" s="19"/>
      <c r="C23" s="20"/>
      <c r="D23" s="21"/>
      <c r="E23" s="23"/>
      <c r="F23" s="25"/>
      <c r="G23" s="24">
        <f ca="1">SUM(G18:G22)</f>
        <v>36447</v>
      </c>
      <c r="H23" s="20"/>
      <c r="I23" s="22"/>
      <c r="J23" s="20"/>
    </row>
  </sheetData>
  <autoFilter ref="A1:J23" xr:uid="{0E2C231C-0991-4FBE-BD8E-9CD4D9BF51D9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2026-08-13T13:54:10Z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