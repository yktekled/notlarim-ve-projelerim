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3 AKKENT MUFIT\"/>
    </mc:Choice>
  </mc:AlternateContent>
  <xr:revisionPtr revIDLastSave="0" documentId="13_ncr:1_{48602A5D-2DBD-45AC-BF47-E8FE84E932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2" sheetId="5" r:id="rId1"/>
  </sheets>
  <definedNames>
    <definedName name="_xlnm._FilterDatabase" localSheetId="0">Sayfa2!$A$1:$G$17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2" i="5"/>
  <c r="G18" i="5" s="1"/>
</calcChain>
</file>

<file path=xl/sharedStrings.xml><?xml version="1.0" encoding="utf-8"?>
<sst xmlns="http://schemas.openxmlformats.org/spreadsheetml/2006/main" count="55" uniqueCount="25">
  <si>
    <t>ВРУ</t>
  </si>
  <si>
    <t>компл.</t>
  </si>
  <si>
    <t>ЩГП</t>
  </si>
  <si>
    <t>ЩРоб</t>
  </si>
  <si>
    <t>ЩО</t>
  </si>
  <si>
    <t>ЩАО</t>
  </si>
  <si>
    <t>ЩЗ1</t>
  </si>
  <si>
    <t>ЩЗ2-12</t>
  </si>
  <si>
    <t>ЩК Тип A</t>
  </si>
  <si>
    <t>ЩК Тип B</t>
  </si>
  <si>
    <t>ЩК Тип C</t>
  </si>
  <si>
    <t>ЩРк-1, ЩРк-2</t>
  </si>
  <si>
    <t>ШУЗ</t>
  </si>
  <si>
    <t>АПС-ПОЖАРНАЯ</t>
  </si>
  <si>
    <t>ЯУО</t>
  </si>
  <si>
    <t>ВПП-1, ВПП-2</t>
  </si>
  <si>
    <t>ЩПСС</t>
  </si>
  <si>
    <t>Код товара</t>
  </si>
  <si>
    <t>Наименование / Описание</t>
  </si>
  <si>
    <t>Цена за единицу</t>
  </si>
  <si>
    <t>Количество</t>
  </si>
  <si>
    <t>Ед. изм.</t>
  </si>
  <si>
    <t>Марка / Поставщик</t>
  </si>
  <si>
    <t>TEKLED electric</t>
  </si>
  <si>
    <t>сумм.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</si>
</sst>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6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 wrapText="1"/>
    </xf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6826-8CDC-44DC-8476-2F168D8E3069}">
  <dimension ref="A1:G18"/>
  <sheetViews>
    <sheetView tabSelected="1" topLeftCell="A3" workbookViewId="0">
      <selection activeCell="B10" sqref="B10"/>
    </sheetView>
  </sheetViews>
  <sheetFormatPr defaultRowHeight="33.75" customHeight="1"/>
  <cols>
    <col min="2" max="2" width="55.5" customWidth="1"/>
    <col min="7" max="7" width="21.875" customWidth="1"/>
  </cols>
  <sheetData>
    <row r="1" spans="1:7" ht="67.5" customHeight="1">
      <c r="A1" s="1" t="s">
        <v>17</v>
      </c>
      <c r="B1" s="1" t="s">
        <v>18</v>
      </c>
      <c r="C1" s="1" t="s">
        <v>20</v>
      </c>
      <c r="D1" s="1" t="s">
        <v>21</v>
      </c>
      <c r="E1" s="1" t="s">
        <v>22</v>
      </c>
      <c r="F1" s="1" t="s">
        <v>19</v>
      </c>
      <c r="G1" s="1" t="s">
        <v>24</v>
      </c>
    </row>
    <row r="2" spans="1:7" ht="33.75" customHeight="1">
      <c r="A2" s="2"/>
      <c r="B2" s="3" t="s">
        <v>0</v>
      </c>
      <c r="C2" s="3">
        <v>1</v>
      </c>
      <c r="D2" s="2" t="s">
        <v>1</v>
      </c>
      <c r="E2" s="2" t="s">
        <v>23</v>
      </c>
      <c r="F2" s="4">
        <v>2476000</v>
      </c>
      <c r="G2" s="4">
        <f>F2*C2</f>
        <v>2476000</v>
      </c>
    </row>
    <row r="3" spans="1:7" ht="33.75" customHeight="1">
      <c r="A3" s="2"/>
      <c r="B3" s="3" t="s">
        <v>2</v>
      </c>
      <c r="C3" s="3">
        <v>1</v>
      </c>
      <c r="D3" s="2" t="s">
        <v>1</v>
      </c>
      <c r="E3" s="2" t="s">
        <v>23</v>
      </c>
      <c r="F3" s="4">
        <v>1588000</v>
      </c>
      <c r="G3" s="4">
        <f t="shared" ref="G3:G17" si="0">F3*C3</f>
        <v>1588000</v>
      </c>
    </row>
    <row r="4" spans="1:7" ht="33.75" customHeight="1">
      <c r="A4" s="2"/>
      <c r="B4" s="3" t="s">
        <v>3</v>
      </c>
      <c r="C4" s="3">
        <v>1</v>
      </c>
      <c r="D4" s="2" t="s">
        <v>1</v>
      </c>
      <c r="E4" s="2" t="s">
        <v>23</v>
      </c>
      <c r="F4" s="4">
        <v>236000</v>
      </c>
      <c r="G4" s="4">
        <f t="shared" si="0"/>
        <v>236000</v>
      </c>
    </row>
    <row r="5" spans="1:7" ht="33.75" customHeight="1">
      <c r="A5" s="2"/>
      <c r="B5" s="3" t="s">
        <v>11</v>
      </c>
      <c r="C5" s="3">
        <v>2</v>
      </c>
      <c r="D5" s="2" t="s">
        <v>1</v>
      </c>
      <c r="E5" s="2" t="s">
        <v>23</v>
      </c>
      <c r="F5" s="4">
        <v>309000</v>
      </c>
      <c r="G5" s="4">
        <f t="shared" si="0"/>
        <v>618000</v>
      </c>
    </row>
    <row r="6" spans="1:7" ht="33.75" customHeight="1">
      <c r="A6" s="2"/>
      <c r="B6" s="3" t="s">
        <v>4</v>
      </c>
      <c r="C6" s="3">
        <v>1</v>
      </c>
      <c r="D6" s="2" t="s">
        <v>1</v>
      </c>
      <c r="E6" s="2" t="s">
        <v>23</v>
      </c>
      <c r="F6" s="4">
        <v>64000</v>
      </c>
      <c r="G6" s="4">
        <f t="shared" si="0"/>
        <v>64000</v>
      </c>
    </row>
    <row r="7" spans="1:7" ht="33.75" customHeight="1">
      <c r="A7" s="2"/>
      <c r="B7" s="3" t="s">
        <v>5</v>
      </c>
      <c r="C7" s="3">
        <v>1</v>
      </c>
      <c r="D7" s="2" t="s">
        <v>1</v>
      </c>
      <c r="E7" s="2" t="s">
        <v>23</v>
      </c>
      <c r="F7" s="4">
        <v>101000</v>
      </c>
      <c r="G7" s="4">
        <f t="shared" si="0"/>
        <v>101000</v>
      </c>
    </row>
    <row r="8" spans="1:7" ht="33.75" customHeight="1">
      <c r="A8" s="2"/>
      <c r="B8" s="3" t="s">
        <v>6</v>
      </c>
      <c r="C8" s="3">
        <v>1</v>
      </c>
      <c r="D8" s="2" t="s">
        <v>1</v>
      </c>
      <c r="E8" s="2" t="s">
        <v>23</v>
      </c>
      <c r="F8" s="4">
        <v>873000</v>
      </c>
      <c r="G8" s="4">
        <f t="shared" si="0"/>
        <v>873000</v>
      </c>
    </row>
    <row r="9" spans="1:7" ht="33.75" customHeight="1">
      <c r="A9" s="2"/>
      <c r="B9" s="3" t="s">
        <v>7</v>
      </c>
      <c r="C9" s="3">
        <v>11</v>
      </c>
      <c r="D9" s="2" t="s">
        <v>1</v>
      </c>
      <c r="E9" s="2" t="s">
        <v>23</v>
      </c>
      <c r="F9" s="4">
        <v>1072000</v>
      </c>
      <c r="G9" s="4">
        <f t="shared" si="0"/>
        <v>11792000</v>
      </c>
    </row>
    <row r="10" spans="1:7" ht="33.75" customHeight="1">
      <c r="A10" s="2"/>
      <c r="B10" s="3" t="s">
        <v>8</v>
      </c>
      <c r="C10" s="3">
        <v>36</v>
      </c>
      <c r="D10" s="2" t="s">
        <v>1</v>
      </c>
      <c r="E10" s="2" t="s">
        <v>23</v>
      </c>
      <c r="F10" s="4">
        <v>70000</v>
      </c>
      <c r="G10" s="4">
        <f t="shared" si="0"/>
        <v>2520000</v>
      </c>
    </row>
    <row r="11" spans="1:7" ht="33.75" customHeight="1">
      <c r="A11" s="2"/>
      <c r="B11" s="3" t="s">
        <v>9</v>
      </c>
      <c r="C11" s="3">
        <v>47</v>
      </c>
      <c r="D11" s="2" t="s">
        <v>1</v>
      </c>
      <c r="E11" s="2" t="s">
        <v>23</v>
      </c>
      <c r="F11" s="4">
        <v>70000</v>
      </c>
      <c r="G11" s="4">
        <f t="shared" si="0"/>
        <v>3290000</v>
      </c>
    </row>
    <row r="12" spans="1:7" ht="33.75" customHeight="1">
      <c r="A12" s="2"/>
      <c r="B12" s="3" t="s">
        <v>10</v>
      </c>
      <c r="C12" s="3">
        <v>11</v>
      </c>
      <c r="D12" s="2" t="s">
        <v>1</v>
      </c>
      <c r="E12" s="2" t="s">
        <v>23</v>
      </c>
      <c r="F12" s="4">
        <v>77000</v>
      </c>
      <c r="G12" s="4">
        <f t="shared" si="0"/>
        <v>847000</v>
      </c>
    </row>
    <row r="13" spans="1:7" ht="33.75" customHeight="1">
      <c r="A13" s="2"/>
      <c r="B13" s="3" t="s">
        <v>12</v>
      </c>
      <c r="C13" s="3">
        <v>1</v>
      </c>
      <c r="D13" s="2" t="s">
        <v>1</v>
      </c>
      <c r="E13" s="2" t="s">
        <v>23</v>
      </c>
      <c r="F13" s="4">
        <v>139000</v>
      </c>
      <c r="G13" s="4">
        <f t="shared" si="0"/>
        <v>139000</v>
      </c>
    </row>
    <row r="14" spans="1:7" ht="33.75" customHeight="1">
      <c r="A14" s="2"/>
      <c r="B14" s="3" t="s">
        <v>13</v>
      </c>
      <c r="C14" s="3">
        <v>1</v>
      </c>
      <c r="D14" s="2" t="s">
        <v>1</v>
      </c>
      <c r="E14" s="2" t="s">
        <v>23</v>
      </c>
      <c r="F14" s="4">
        <v>55000</v>
      </c>
      <c r="G14" s="4">
        <f t="shared" si="0"/>
        <v>55000</v>
      </c>
    </row>
    <row r="15" spans="1:7" ht="33.75" customHeight="1">
      <c r="A15" s="2"/>
      <c r="B15" s="3" t="s">
        <v>14</v>
      </c>
      <c r="C15" s="3">
        <v>1</v>
      </c>
      <c r="D15" s="2" t="s">
        <v>1</v>
      </c>
      <c r="E15" s="2" t="s">
        <v>23</v>
      </c>
      <c r="F15" s="4">
        <v>47000</v>
      </c>
      <c r="G15" s="4">
        <f t="shared" si="0"/>
        <v>47000</v>
      </c>
    </row>
    <row r="16" spans="1:7" ht="33.75" customHeight="1">
      <c r="A16" s="2"/>
      <c r="B16" s="3" t="s">
        <v>15</v>
      </c>
      <c r="C16" s="3">
        <v>2</v>
      </c>
      <c r="D16" s="2" t="s">
        <v>1</v>
      </c>
      <c r="E16" s="2" t="s">
        <v>23</v>
      </c>
      <c r="F16" s="4">
        <v>99000</v>
      </c>
      <c r="G16" s="4">
        <f t="shared" si="0"/>
        <v>198000</v>
      </c>
    </row>
    <row r="17" spans="1:7" ht="33.75" customHeight="1">
      <c r="A17" s="2"/>
      <c r="B17" s="3" t="s">
        <v>16</v>
      </c>
      <c r="C17" s="3">
        <v>1</v>
      </c>
      <c r="D17" s="2" t="s">
        <v>1</v>
      </c>
      <c r="E17" s="2" t="s">
        <v>23</v>
      </c>
      <c r="F17" s="4">
        <v>42000</v>
      </c>
      <c r="G17" s="4">
        <f t="shared" si="0"/>
        <v>42000</v>
      </c>
    </row>
    <row r="18" spans="1:7" ht="33.75" customHeight="1">
      <c r="G18" s="5">
        <f>SUM(G2:G17)</f>
        <v>24886000</v>
      </c>
    </row>
  </sheetData>
  <autoFilter ref="A1:G17" xr:uid="{BB7C6826-8CDC-44DC-8476-2F168D8E30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2026-06-03T09:54:28Z</dcterms:modified>
</cp:coreProperties>
</file>