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523 AKKENT MUFIT\"/>
    </mc:Choice>
  </mc:AlternateContent>
  <xr:revisionPtr revIDLastSave="0" documentId="13_ncr:1_{83029B55-1691-428A-936B-667F86A2E17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yfa2" sheetId="5" r:id="rId1"/>
  </sheets>
  <definedNames>
    <definedName name="_xlnm._FilterDatabase" localSheetId="0">Sayfa2!$A$1:$G$14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5" l="1"/>
  <c r="G11" i="5"/>
  <c r="G9" i="5"/>
  <c r="G4" i="5"/>
  <c r="G8" i="5"/>
  <c r="G10" i="5"/>
  <c r="G12" i="5"/>
  <c r="G14" i="5"/>
  <c r="G2" i="5"/>
  <c r="G7" i="5" l="1"/>
  <c r="G6" i="5"/>
  <c r="G5" i="5"/>
  <c r="G3" i="5"/>
  <c r="G15" i="5" s="1"/>
</calcChain>
</file>

<file path=xl/sharedStrings.xml><?xml version="1.0" encoding="utf-8"?>
<sst xmlns="http://schemas.openxmlformats.org/spreadsheetml/2006/main" count="46" uniqueCount="22">
  <si>
    <t>ВРУ</t>
  </si>
  <si>
    <t>компл.</t>
  </si>
  <si>
    <t>ЩГП</t>
  </si>
  <si>
    <t>ЩРоб</t>
  </si>
  <si>
    <t>ЩО</t>
  </si>
  <si>
    <t>ЩАО</t>
  </si>
  <si>
    <t>ЩЗ1</t>
  </si>
  <si>
    <t>ЩЗ2-12</t>
  </si>
  <si>
    <t>ЩРк-1, ЩРк-2</t>
  </si>
  <si>
    <t>ШУЗ</t>
  </si>
  <si>
    <t>АПС-ПОЖАРНАЯ</t>
  </si>
  <si>
    <t>ЯУО</t>
  </si>
  <si>
    <t>ВПП-1, ВПП-2</t>
  </si>
  <si>
    <t>ЩПСС</t>
  </si>
  <si>
    <t>Код товара</t>
  </si>
  <si>
    <t>Наименование / Описание</t>
  </si>
  <si>
    <t>Цена за единицу</t>
  </si>
  <si>
    <t>Количество</t>
  </si>
  <si>
    <t>Ед. изм.</t>
  </si>
  <si>
    <t>Марка / Поставщик</t>
  </si>
  <si>
    <t>TEKLED electric</t>
  </si>
  <si>
    <t>сумм.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</si>
</sst>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color rgb="FF111827"/>
      <name val="Carlito"/>
    </font>
    <font>
      <b/>
      <sz val="16"/>
      <name val="Carlito"/>
      <charset val="162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vertical="center" wrapText="1"/>
    </xf>
    <xf numFmtId="3" fontId="3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C6826-8CDC-44DC-8476-2F168D8E3069}">
  <dimension ref="A1:G15"/>
  <sheetViews>
    <sheetView tabSelected="1" workbookViewId="0">
      <selection activeCell="F4" sqref="F4"/>
    </sheetView>
  </sheetViews>
  <sheetFormatPr defaultRowHeight="33.75" customHeight="1"/>
  <cols>
    <col min="2" max="2" width="55.5" customWidth="1"/>
    <col min="7" max="7" width="21.875" customWidth="1"/>
  </cols>
  <sheetData>
    <row r="1" spans="1:7" ht="67.5" customHeight="1">
      <c r="A1" s="1" t="s">
        <v>14</v>
      </c>
      <c r="B1" s="1" t="s">
        <v>15</v>
      </c>
      <c r="C1" s="1" t="s">
        <v>17</v>
      </c>
      <c r="D1" s="1" t="s">
        <v>18</v>
      </c>
      <c r="E1" s="1" t="s">
        <v>19</v>
      </c>
      <c r="F1" s="1" t="s">
        <v>16</v>
      </c>
      <c r="G1" s="1" t="s">
        <v>21</v>
      </c>
    </row>
    <row r="2" spans="1:7" ht="33.75" customHeight="1">
      <c r="A2" s="2"/>
      <c r="B2" s="3" t="s">
        <v>0</v>
      </c>
      <c r="C2" s="3">
        <v>1</v>
      </c>
      <c r="D2" s="2" t="s">
        <v>1</v>
      </c>
      <c r="E2" s="2" t="s">
        <v>20</v>
      </c>
      <c r="F2" s="4">
        <v>1730000</v>
      </c>
      <c r="G2" s="4">
        <f>F2*C2</f>
        <v>1730000</v>
      </c>
    </row>
    <row r="3" spans="1:7" ht="33.75" customHeight="1">
      <c r="A3" s="2"/>
      <c r="B3" s="3" t="s">
        <v>2</v>
      </c>
      <c r="C3" s="3">
        <v>1</v>
      </c>
      <c r="D3" s="2" t="s">
        <v>1</v>
      </c>
      <c r="E3" s="2" t="s">
        <v>20</v>
      </c>
      <c r="F3" s="4">
        <v>1100000</v>
      </c>
      <c r="G3" s="4">
        <f t="shared" ref="G3:G14" si="0">F3*C3</f>
        <v>1100000</v>
      </c>
    </row>
    <row r="4" spans="1:7" ht="33.75" customHeight="1">
      <c r="A4" s="2"/>
      <c r="B4" s="3" t="s">
        <v>3</v>
      </c>
      <c r="C4" s="3">
        <v>1</v>
      </c>
      <c r="D4" s="2" t="s">
        <v>1</v>
      </c>
      <c r="E4" s="2" t="s">
        <v>20</v>
      </c>
      <c r="F4" s="4">
        <v>165000</v>
      </c>
      <c r="G4" s="4">
        <f t="shared" si="0"/>
        <v>165000</v>
      </c>
    </row>
    <row r="5" spans="1:7" ht="33.75" customHeight="1">
      <c r="A5" s="2"/>
      <c r="B5" s="3" t="s">
        <v>8</v>
      </c>
      <c r="C5" s="3">
        <v>2</v>
      </c>
      <c r="D5" s="2" t="s">
        <v>1</v>
      </c>
      <c r="E5" s="2" t="s">
        <v>20</v>
      </c>
      <c r="F5" s="4">
        <v>216000</v>
      </c>
      <c r="G5" s="4">
        <f t="shared" si="0"/>
        <v>432000</v>
      </c>
    </row>
    <row r="6" spans="1:7" ht="33.75" customHeight="1">
      <c r="A6" s="2"/>
      <c r="B6" s="3" t="s">
        <v>4</v>
      </c>
      <c r="C6" s="3">
        <v>1</v>
      </c>
      <c r="D6" s="2" t="s">
        <v>1</v>
      </c>
      <c r="E6" s="2" t="s">
        <v>20</v>
      </c>
      <c r="F6" s="4">
        <v>44000</v>
      </c>
      <c r="G6" s="4">
        <f t="shared" si="0"/>
        <v>44000</v>
      </c>
    </row>
    <row r="7" spans="1:7" ht="33.75" customHeight="1">
      <c r="A7" s="2"/>
      <c r="B7" s="3" t="s">
        <v>5</v>
      </c>
      <c r="C7" s="3">
        <v>1</v>
      </c>
      <c r="D7" s="2" t="s">
        <v>1</v>
      </c>
      <c r="E7" s="2" t="s">
        <v>20</v>
      </c>
      <c r="F7" s="4">
        <v>70000</v>
      </c>
      <c r="G7" s="4">
        <f t="shared" si="0"/>
        <v>70000</v>
      </c>
    </row>
    <row r="8" spans="1:7" ht="33.75" customHeight="1">
      <c r="A8" s="2"/>
      <c r="B8" s="3" t="s">
        <v>6</v>
      </c>
      <c r="C8" s="3">
        <v>1</v>
      </c>
      <c r="D8" s="2" t="s">
        <v>1</v>
      </c>
      <c r="E8" s="2" t="s">
        <v>20</v>
      </c>
      <c r="F8" s="4">
        <v>610000</v>
      </c>
      <c r="G8" s="4">
        <f t="shared" si="0"/>
        <v>610000</v>
      </c>
    </row>
    <row r="9" spans="1:7" ht="33.75" customHeight="1">
      <c r="A9" s="2"/>
      <c r="B9" s="3" t="s">
        <v>7</v>
      </c>
      <c r="C9" s="3">
        <v>11</v>
      </c>
      <c r="D9" s="2" t="s">
        <v>1</v>
      </c>
      <c r="E9" s="2" t="s">
        <v>20</v>
      </c>
      <c r="F9" s="4">
        <v>735000</v>
      </c>
      <c r="G9" s="4">
        <f t="shared" si="0"/>
        <v>8085000</v>
      </c>
    </row>
    <row r="10" spans="1:7" ht="33.75" customHeight="1">
      <c r="A10" s="2"/>
      <c r="B10" s="3" t="s">
        <v>9</v>
      </c>
      <c r="C10" s="3">
        <v>1</v>
      </c>
      <c r="D10" s="2" t="s">
        <v>1</v>
      </c>
      <c r="E10" s="2" t="s">
        <v>20</v>
      </c>
      <c r="F10" s="4">
        <v>97000</v>
      </c>
      <c r="G10" s="4">
        <f t="shared" si="0"/>
        <v>97000</v>
      </c>
    </row>
    <row r="11" spans="1:7" ht="33.75" customHeight="1">
      <c r="A11" s="2"/>
      <c r="B11" s="3" t="s">
        <v>10</v>
      </c>
      <c r="C11" s="3">
        <v>1</v>
      </c>
      <c r="D11" s="2" t="s">
        <v>1</v>
      </c>
      <c r="E11" s="2" t="s">
        <v>20</v>
      </c>
      <c r="F11" s="4">
        <v>38000</v>
      </c>
      <c r="G11" s="4">
        <f t="shared" si="0"/>
        <v>38000</v>
      </c>
    </row>
    <row r="12" spans="1:7" ht="33.75" customHeight="1">
      <c r="A12" s="2"/>
      <c r="B12" s="3" t="s">
        <v>11</v>
      </c>
      <c r="C12" s="3">
        <v>1</v>
      </c>
      <c r="D12" s="2" t="s">
        <v>1</v>
      </c>
      <c r="E12" s="2" t="s">
        <v>20</v>
      </c>
      <c r="F12" s="4">
        <v>32000</v>
      </c>
      <c r="G12" s="4">
        <f t="shared" si="0"/>
        <v>32000</v>
      </c>
    </row>
    <row r="13" spans="1:7" ht="33.75" customHeight="1">
      <c r="A13" s="2"/>
      <c r="B13" s="3" t="s">
        <v>12</v>
      </c>
      <c r="C13" s="3">
        <v>2</v>
      </c>
      <c r="D13" s="2" t="s">
        <v>1</v>
      </c>
      <c r="E13" s="2" t="s">
        <v>20</v>
      </c>
      <c r="F13" s="4">
        <v>69000</v>
      </c>
      <c r="G13" s="4">
        <f t="shared" si="0"/>
        <v>138000</v>
      </c>
    </row>
    <row r="14" spans="1:7" ht="33.75" customHeight="1">
      <c r="A14" s="2"/>
      <c r="B14" s="3" t="s">
        <v>13</v>
      </c>
      <c r="C14" s="3">
        <v>1</v>
      </c>
      <c r="D14" s="2" t="s">
        <v>1</v>
      </c>
      <c r="E14" s="2" t="s">
        <v>20</v>
      </c>
      <c r="F14" s="4">
        <v>29000</v>
      </c>
      <c r="G14" s="4">
        <f t="shared" si="0"/>
        <v>29000</v>
      </c>
    </row>
    <row r="15" spans="1:7" ht="33.75" customHeight="1">
      <c r="G15" s="5">
        <f>SUM(G2:G14)</f>
        <v>12570000</v>
      </c>
    </row>
  </sheetData>
  <autoFilter ref="A1:G14" xr:uid="{BB7C6826-8CDC-44DC-8476-2F168D8E306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Sayfa2</vt:lpstr>
      <vt:lpstr>Sayfa2!_VeritabaniniFiltrele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2026-06-03T09:57:48Z</dcterms:modified>
</cp:coreProperties>
</file>