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523 AKKENT MUFIT\"/>
    </mc:Choice>
  </mc:AlternateContent>
  <xr:revisionPtr revIDLastSave="0" documentId="13_ncr:1_{09D6E4C2-EDD5-4BD6-B3BE-1FC5012F14F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01_BOM_DUZELTILDI" sheetId="1" r:id="rId1"/>
    <sheet name="Sayfa1" sheetId="4" r:id="rId2"/>
    <sheet name="Sayfa2" sheetId="5" r:id="rId3"/>
    <sheet name="02_Satin_Alma" sheetId="2" r:id="rId4"/>
    <sheet name="03_Kontrol_Notlari" sheetId="3" r:id="rId5"/>
  </sheets>
  <definedNames>
    <definedName name="_xlnm._FilterDatabase" localSheetId="0" hidden="1">'01_BOM_DUZELTILDI'!$A$1:$S$158</definedName>
    <definedName name="_xlnm._FilterDatabase" localSheetId="1" hidden="1">Sayfa1!$A$1:$K$174</definedName>
    <definedName name="_xlnm._FilterDatabase" localSheetId="2" hidden="1">Sayfa2!$A$1:$K$17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5" l="1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2" i="5"/>
  <c r="I17" i="4"/>
  <c r="C3" i="5"/>
  <c r="F3" i="5" s="1"/>
  <c r="G3" i="5" s="1"/>
  <c r="C4" i="5"/>
  <c r="F4" i="5" s="1"/>
  <c r="G4" i="5" s="1"/>
  <c r="C5" i="5"/>
  <c r="F5" i="5" s="1"/>
  <c r="G5" i="5" s="1"/>
  <c r="C15" i="5"/>
  <c r="F15" i="5" s="1"/>
  <c r="G15" i="5" s="1"/>
  <c r="C16" i="5"/>
  <c r="F16" i="5" s="1"/>
  <c r="G16" i="5" s="1"/>
  <c r="C17" i="5"/>
  <c r="F17" i="5" s="1"/>
  <c r="G17" i="5" s="1"/>
  <c r="L3" i="5"/>
  <c r="L4" i="5"/>
  <c r="L5" i="5"/>
  <c r="L6" i="5"/>
  <c r="C6" i="5" s="1"/>
  <c r="F6" i="5" s="1"/>
  <c r="G6" i="5" s="1"/>
  <c r="L7" i="5"/>
  <c r="C7" i="5" s="1"/>
  <c r="F7" i="5" s="1"/>
  <c r="G7" i="5" s="1"/>
  <c r="L8" i="5"/>
  <c r="C8" i="5" s="1"/>
  <c r="F8" i="5" s="1"/>
  <c r="G8" i="5" s="1"/>
  <c r="L9" i="5"/>
  <c r="C9" i="5" s="1"/>
  <c r="F9" i="5" s="1"/>
  <c r="G9" i="5" s="1"/>
  <c r="L10" i="5"/>
  <c r="C10" i="5" s="1"/>
  <c r="F10" i="5" s="1"/>
  <c r="G10" i="5" s="1"/>
  <c r="L11" i="5"/>
  <c r="C11" i="5" s="1"/>
  <c r="F11" i="5" s="1"/>
  <c r="G11" i="5" s="1"/>
  <c r="L12" i="5"/>
  <c r="C12" i="5" s="1"/>
  <c r="F12" i="5" s="1"/>
  <c r="G12" i="5" s="1"/>
  <c r="L13" i="5"/>
  <c r="C13" i="5" s="1"/>
  <c r="F13" i="5" s="1"/>
  <c r="G13" i="5" s="1"/>
  <c r="L14" i="5"/>
  <c r="C14" i="5" s="1"/>
  <c r="L15" i="5"/>
  <c r="L16" i="5"/>
  <c r="L17" i="5"/>
  <c r="L2" i="5"/>
  <c r="C2" i="5" s="1"/>
  <c r="F2" i="5" s="1"/>
  <c r="G2" i="5" s="1"/>
  <c r="I173" i="4"/>
  <c r="G171" i="4"/>
  <c r="H170" i="4"/>
  <c r="G170" i="4"/>
  <c r="H169" i="4"/>
  <c r="G169" i="4"/>
  <c r="I166" i="4"/>
  <c r="G164" i="4"/>
  <c r="H163" i="4"/>
  <c r="G163" i="4"/>
  <c r="H162" i="4"/>
  <c r="G162" i="4"/>
  <c r="H161" i="4"/>
  <c r="G161" i="4"/>
  <c r="G160" i="4"/>
  <c r="G159" i="4"/>
  <c r="G158" i="4"/>
  <c r="G157" i="4"/>
  <c r="G156" i="4"/>
  <c r="I153" i="4"/>
  <c r="H153" i="4"/>
  <c r="G151" i="4"/>
  <c r="G150" i="4"/>
  <c r="H149" i="4"/>
  <c r="G149" i="4"/>
  <c r="H148" i="4"/>
  <c r="G148" i="4"/>
  <c r="I145" i="4"/>
  <c r="H145" i="4"/>
  <c r="F144" i="4"/>
  <c r="G143" i="4"/>
  <c r="G142" i="4"/>
  <c r="G141" i="4"/>
  <c r="G140" i="4"/>
  <c r="G139" i="4"/>
  <c r="I136" i="4"/>
  <c r="H136" i="4"/>
  <c r="G134" i="4"/>
  <c r="G133" i="4"/>
  <c r="H132" i="4"/>
  <c r="G132" i="4"/>
  <c r="H131" i="4"/>
  <c r="G131" i="4"/>
  <c r="H130" i="4"/>
  <c r="G130" i="4"/>
  <c r="H129" i="4"/>
  <c r="G129" i="4"/>
  <c r="G128" i="4"/>
  <c r="G127" i="4"/>
  <c r="G126" i="4"/>
  <c r="G125" i="4"/>
  <c r="I122" i="4"/>
  <c r="G120" i="4"/>
  <c r="G119" i="4"/>
  <c r="G118" i="4"/>
  <c r="G117" i="4"/>
  <c r="G116" i="4"/>
  <c r="I113" i="4"/>
  <c r="G111" i="4"/>
  <c r="G110" i="4"/>
  <c r="G109" i="4"/>
  <c r="G108" i="4"/>
  <c r="G107" i="4"/>
  <c r="I104" i="4"/>
  <c r="G102" i="4"/>
  <c r="G101" i="4"/>
  <c r="G100" i="4"/>
  <c r="G99" i="4"/>
  <c r="G98" i="4"/>
  <c r="I95" i="4"/>
  <c r="G93" i="4"/>
  <c r="G92" i="4"/>
  <c r="G91" i="4"/>
  <c r="G90" i="4"/>
  <c r="G89" i="4"/>
  <c r="G88" i="4"/>
  <c r="G87" i="4"/>
  <c r="G86" i="4"/>
  <c r="I83" i="4"/>
  <c r="G81" i="4"/>
  <c r="G80" i="4"/>
  <c r="G79" i="4"/>
  <c r="G78" i="4"/>
  <c r="G77" i="4"/>
  <c r="G76" i="4"/>
  <c r="G75" i="4"/>
  <c r="G74" i="4"/>
  <c r="I71" i="4"/>
  <c r="G69" i="4"/>
  <c r="G68" i="4"/>
  <c r="G67" i="4"/>
  <c r="G66" i="4"/>
  <c r="G65" i="4"/>
  <c r="G64" i="4"/>
  <c r="I61" i="4"/>
  <c r="G59" i="4"/>
  <c r="G58" i="4"/>
  <c r="G57" i="4"/>
  <c r="G56" i="4"/>
  <c r="I53" i="4"/>
  <c r="G51" i="4"/>
  <c r="G50" i="4"/>
  <c r="G49" i="4"/>
  <c r="G48" i="4"/>
  <c r="G47" i="4"/>
  <c r="I44" i="4"/>
  <c r="G42" i="4"/>
  <c r="G41" i="4"/>
  <c r="G40" i="4"/>
  <c r="G39" i="4"/>
  <c r="G38" i="4"/>
  <c r="I35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I158" i="1"/>
  <c r="H158" i="1" s="1"/>
  <c r="F157" i="1" s="1"/>
  <c r="G157" i="1" s="1"/>
  <c r="H157" i="1" s="1"/>
  <c r="G156" i="1"/>
  <c r="H156" i="1" s="1"/>
  <c r="G155" i="1"/>
  <c r="H155" i="1" s="1"/>
  <c r="G154" i="1"/>
  <c r="H154" i="1" s="1"/>
  <c r="G153" i="1"/>
  <c r="G150" i="1"/>
  <c r="H150" i="1" s="1"/>
  <c r="G149" i="1"/>
  <c r="H149" i="1" s="1"/>
  <c r="G148" i="1"/>
  <c r="H148" i="1" s="1"/>
  <c r="G147" i="1"/>
  <c r="H147" i="1" s="1"/>
  <c r="I152" i="1"/>
  <c r="H152" i="1" s="1"/>
  <c r="F151" i="1" s="1"/>
  <c r="G151" i="1" s="1"/>
  <c r="H151" i="1" s="1"/>
  <c r="G146" i="1"/>
  <c r="H146" i="1" s="1"/>
  <c r="G145" i="1"/>
  <c r="H145" i="1" s="1"/>
  <c r="G144" i="1"/>
  <c r="H144" i="1" s="1"/>
  <c r="G143" i="1"/>
  <c r="H143" i="1" s="1"/>
  <c r="G142" i="1"/>
  <c r="H142" i="1" s="1"/>
  <c r="G141" i="1"/>
  <c r="I140" i="1"/>
  <c r="H140" i="1" s="1"/>
  <c r="F139" i="1" s="1"/>
  <c r="G139" i="1" s="1"/>
  <c r="H139" i="1" s="1"/>
  <c r="G138" i="1"/>
  <c r="H138" i="1" s="1"/>
  <c r="G137" i="1"/>
  <c r="H137" i="1" s="1"/>
  <c r="G136" i="1"/>
  <c r="H136" i="1" s="1"/>
  <c r="G135" i="1"/>
  <c r="H135" i="1" s="1"/>
  <c r="G134" i="1"/>
  <c r="I133" i="1"/>
  <c r="H133" i="1" s="1"/>
  <c r="F132" i="1" s="1"/>
  <c r="G132" i="1" s="1"/>
  <c r="H132" i="1" s="1"/>
  <c r="G131" i="1"/>
  <c r="H131" i="1" s="1"/>
  <c r="G130" i="1"/>
  <c r="H130" i="1" s="1"/>
  <c r="G129" i="1"/>
  <c r="H129" i="1" s="1"/>
  <c r="G128" i="1"/>
  <c r="H128" i="1" s="1"/>
  <c r="G127" i="1"/>
  <c r="H127" i="1" s="1"/>
  <c r="G126" i="1"/>
  <c r="G122" i="1"/>
  <c r="H122" i="1" s="1"/>
  <c r="G123" i="1"/>
  <c r="H123" i="1" s="1"/>
  <c r="G121" i="1"/>
  <c r="H121" i="1" s="1"/>
  <c r="G120" i="1"/>
  <c r="H120" i="1" s="1"/>
  <c r="G119" i="1"/>
  <c r="H119" i="1" s="1"/>
  <c r="I125" i="1"/>
  <c r="H125" i="1" s="1"/>
  <c r="F124" i="1" s="1"/>
  <c r="G124" i="1" s="1"/>
  <c r="H124" i="1" s="1"/>
  <c r="G118" i="1"/>
  <c r="H118" i="1" s="1"/>
  <c r="G117" i="1"/>
  <c r="H117" i="1" s="1"/>
  <c r="G116" i="1"/>
  <c r="H116" i="1" s="1"/>
  <c r="G115" i="1"/>
  <c r="H115" i="1" s="1"/>
  <c r="G114" i="1"/>
  <c r="H114" i="1" s="1"/>
  <c r="G113" i="1"/>
  <c r="F14" i="5" l="1"/>
  <c r="G14" i="5" s="1"/>
  <c r="D14" i="5"/>
  <c r="D7" i="5"/>
  <c r="D6" i="5"/>
  <c r="D12" i="5"/>
  <c r="D9" i="5"/>
  <c r="D8" i="5"/>
  <c r="D2" i="5"/>
  <c r="D17" i="5"/>
  <c r="D5" i="5"/>
  <c r="D13" i="5"/>
  <c r="D16" i="5"/>
  <c r="D4" i="5"/>
  <c r="D11" i="5"/>
  <c r="D10" i="5"/>
  <c r="D15" i="5"/>
  <c r="D3" i="5"/>
  <c r="H156" i="4"/>
  <c r="H140" i="4"/>
  <c r="H141" i="4"/>
  <c r="H158" i="4"/>
  <c r="H164" i="4"/>
  <c r="F172" i="4"/>
  <c r="H127" i="4"/>
  <c r="H133" i="4"/>
  <c r="H150" i="4"/>
  <c r="F165" i="4"/>
  <c r="H139" i="4"/>
  <c r="H171" i="4"/>
  <c r="H173" i="4"/>
  <c r="H142" i="4"/>
  <c r="H159" i="4"/>
  <c r="H166" i="4"/>
  <c r="H157" i="4"/>
  <c r="H126" i="4"/>
  <c r="H128" i="4"/>
  <c r="H134" i="4"/>
  <c r="H151" i="4"/>
  <c r="H125" i="4"/>
  <c r="F135" i="4"/>
  <c r="H143" i="4"/>
  <c r="F152" i="4"/>
  <c r="H160" i="4"/>
  <c r="G135" i="4"/>
  <c r="H135" i="4"/>
  <c r="G152" i="4"/>
  <c r="G165" i="4"/>
  <c r="G172" i="4"/>
  <c r="H152" i="4"/>
  <c r="H165" i="4"/>
  <c r="H167" i="4" s="1"/>
  <c r="H172" i="4"/>
  <c r="G144" i="4"/>
  <c r="H144" i="4"/>
  <c r="H146" i="4" s="1"/>
  <c r="G110" i="1"/>
  <c r="G109" i="1"/>
  <c r="G108" i="1"/>
  <c r="G107" i="1"/>
  <c r="G102" i="1"/>
  <c r="G101" i="1"/>
  <c r="G100" i="1"/>
  <c r="G99" i="1"/>
  <c r="G94" i="1"/>
  <c r="G93" i="1"/>
  <c r="G92" i="1"/>
  <c r="G91" i="1"/>
  <c r="G86" i="1"/>
  <c r="G84" i="1"/>
  <c r="G83" i="1"/>
  <c r="G82" i="1"/>
  <c r="G81" i="1"/>
  <c r="G80" i="1"/>
  <c r="G75" i="1"/>
  <c r="G73" i="1"/>
  <c r="G72" i="1"/>
  <c r="G71" i="1"/>
  <c r="G70" i="1"/>
  <c r="G69" i="1"/>
  <c r="G62" i="1"/>
  <c r="G61" i="1"/>
  <c r="G60" i="1"/>
  <c r="G54" i="1"/>
  <c r="G53" i="1"/>
  <c r="G48" i="1"/>
  <c r="G47" i="1"/>
  <c r="G46" i="1"/>
  <c r="G39" i="1"/>
  <c r="G38" i="1"/>
  <c r="G37" i="1"/>
  <c r="G31" i="1"/>
  <c r="G30" i="1"/>
  <c r="G29" i="1"/>
  <c r="G28" i="1"/>
  <c r="G27" i="1"/>
  <c r="G26" i="1"/>
  <c r="G25" i="1"/>
  <c r="G21" i="1"/>
  <c r="G20" i="1"/>
  <c r="G13" i="1"/>
  <c r="G9" i="1"/>
  <c r="G8" i="1"/>
  <c r="G7" i="1"/>
  <c r="G6" i="1"/>
  <c r="G5" i="1"/>
  <c r="G106" i="1"/>
  <c r="G98" i="1"/>
  <c r="G90" i="1"/>
  <c r="G79" i="1"/>
  <c r="G68" i="1"/>
  <c r="G59" i="1"/>
  <c r="G52" i="1"/>
  <c r="G44" i="1"/>
  <c r="G36" i="1"/>
  <c r="G19" i="1"/>
  <c r="G3" i="1"/>
  <c r="G63" i="1"/>
  <c r="G45" i="1"/>
  <c r="G12" i="1"/>
  <c r="G23" i="1"/>
  <c r="I112" i="1"/>
  <c r="I104" i="1"/>
  <c r="I96" i="1"/>
  <c r="I88" i="1"/>
  <c r="I77" i="1"/>
  <c r="I66" i="1"/>
  <c r="I57" i="1"/>
  <c r="I50" i="1"/>
  <c r="I42" i="1"/>
  <c r="I34" i="1"/>
  <c r="I17" i="1"/>
  <c r="G85" i="1"/>
  <c r="G74" i="1"/>
  <c r="G64" i="1"/>
  <c r="G55" i="1"/>
  <c r="G40" i="1"/>
  <c r="G32" i="1"/>
  <c r="G24" i="1"/>
  <c r="G22" i="1"/>
  <c r="G15" i="1"/>
  <c r="G14" i="1"/>
  <c r="G11" i="1"/>
  <c r="G10" i="1"/>
  <c r="G2" i="1"/>
  <c r="G4" i="1"/>
  <c r="G18" i="1"/>
  <c r="G35" i="1"/>
  <c r="G43" i="1"/>
  <c r="G51" i="1"/>
  <c r="G58" i="1"/>
  <c r="G67" i="1"/>
  <c r="G78" i="1"/>
  <c r="G89" i="1"/>
  <c r="G97" i="1"/>
  <c r="G105" i="1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H69" i="1" l="1"/>
  <c r="H75" i="4"/>
  <c r="H57" i="1"/>
  <c r="H61" i="4"/>
  <c r="H7" i="1"/>
  <c r="H7" i="4"/>
  <c r="H91" i="1"/>
  <c r="H99" i="4"/>
  <c r="H32" i="1"/>
  <c r="H33" i="4"/>
  <c r="H71" i="1"/>
  <c r="H77" i="4"/>
  <c r="H40" i="1"/>
  <c r="H42" i="4"/>
  <c r="H52" i="1"/>
  <c r="H56" i="4"/>
  <c r="H72" i="1"/>
  <c r="H78" i="4"/>
  <c r="H99" i="1"/>
  <c r="H108" i="4"/>
  <c r="H19" i="1"/>
  <c r="H20" i="4"/>
  <c r="H31" i="1"/>
  <c r="H32" i="4"/>
  <c r="H24" i="1"/>
  <c r="H25" i="4"/>
  <c r="H70" i="1"/>
  <c r="H76" i="4"/>
  <c r="H77" i="1"/>
  <c r="H83" i="4"/>
  <c r="H9" i="1"/>
  <c r="H9" i="4"/>
  <c r="H93" i="1"/>
  <c r="H101" i="4"/>
  <c r="H154" i="4"/>
  <c r="H68" i="1"/>
  <c r="H74" i="4"/>
  <c r="H112" i="1"/>
  <c r="H122" i="4"/>
  <c r="H80" i="1"/>
  <c r="H87" i="4"/>
  <c r="H85" i="1"/>
  <c r="H92" i="4"/>
  <c r="H23" i="1"/>
  <c r="H24" i="4"/>
  <c r="H90" i="1"/>
  <c r="H98" i="4"/>
  <c r="H26" i="1"/>
  <c r="H27" i="4"/>
  <c r="H53" i="1"/>
  <c r="H57" i="4"/>
  <c r="H81" i="1"/>
  <c r="H88" i="4"/>
  <c r="H102" i="1"/>
  <c r="H111" i="4"/>
  <c r="H66" i="1"/>
  <c r="H71" i="4"/>
  <c r="H36" i="1"/>
  <c r="H38" i="4"/>
  <c r="H37" i="1"/>
  <c r="H39" i="4"/>
  <c r="H92" i="1"/>
  <c r="H100" i="4"/>
  <c r="H88" i="1"/>
  <c r="H95" i="4"/>
  <c r="H39" i="1"/>
  <c r="H41" i="4"/>
  <c r="H94" i="1"/>
  <c r="H102" i="4"/>
  <c r="H55" i="1"/>
  <c r="H59" i="4"/>
  <c r="H73" i="1"/>
  <c r="H79" i="4"/>
  <c r="H22" i="1"/>
  <c r="H23" i="4"/>
  <c r="H44" i="1"/>
  <c r="H47" i="4"/>
  <c r="H38" i="1"/>
  <c r="H40" i="4"/>
  <c r="H75" i="1"/>
  <c r="H81" i="4"/>
  <c r="H4" i="1"/>
  <c r="H4" i="4"/>
  <c r="H79" i="1"/>
  <c r="H86" i="4"/>
  <c r="H25" i="1"/>
  <c r="H26" i="4"/>
  <c r="H48" i="1"/>
  <c r="H51" i="4"/>
  <c r="H101" i="1"/>
  <c r="H110" i="4"/>
  <c r="H10" i="1"/>
  <c r="H10" i="4"/>
  <c r="H17" i="1"/>
  <c r="H17" i="4"/>
  <c r="H12" i="1"/>
  <c r="H12" i="4"/>
  <c r="H98" i="1"/>
  <c r="H107" i="4"/>
  <c r="H27" i="1"/>
  <c r="H28" i="4"/>
  <c r="H54" i="1"/>
  <c r="H58" i="4"/>
  <c r="H82" i="1"/>
  <c r="H89" i="4"/>
  <c r="H107" i="1"/>
  <c r="H117" i="4"/>
  <c r="H11" i="1"/>
  <c r="H11" i="4"/>
  <c r="H34" i="1"/>
  <c r="H35" i="4"/>
  <c r="H45" i="1"/>
  <c r="H48" i="4"/>
  <c r="H106" i="1"/>
  <c r="H116" i="4"/>
  <c r="H28" i="1"/>
  <c r="H29" i="4"/>
  <c r="H60" i="1"/>
  <c r="H65" i="4"/>
  <c r="H83" i="1"/>
  <c r="H90" i="4"/>
  <c r="H108" i="1"/>
  <c r="H118" i="4"/>
  <c r="H137" i="4"/>
  <c r="H14" i="1"/>
  <c r="H14" i="4"/>
  <c r="H42" i="1"/>
  <c r="H44" i="4"/>
  <c r="H63" i="1"/>
  <c r="H68" i="4"/>
  <c r="H5" i="1"/>
  <c r="H5" i="4"/>
  <c r="H29" i="1"/>
  <c r="H30" i="4"/>
  <c r="H61" i="1"/>
  <c r="H66" i="4"/>
  <c r="H84" i="1"/>
  <c r="H91" i="4"/>
  <c r="H109" i="1"/>
  <c r="H119" i="4"/>
  <c r="H8" i="1"/>
  <c r="H8" i="4"/>
  <c r="H174" i="4"/>
  <c r="H13" i="1"/>
  <c r="H13" i="4"/>
  <c r="H96" i="1"/>
  <c r="H104" i="4"/>
  <c r="H59" i="1"/>
  <c r="H64" i="4"/>
  <c r="H20" i="1"/>
  <c r="H21" i="4"/>
  <c r="H46" i="1"/>
  <c r="H49" i="4"/>
  <c r="H64" i="1"/>
  <c r="H69" i="4"/>
  <c r="H104" i="1"/>
  <c r="H113" i="4"/>
  <c r="H21" i="1"/>
  <c r="H22" i="4"/>
  <c r="H47" i="1"/>
  <c r="H50" i="4"/>
  <c r="H100" i="1"/>
  <c r="H109" i="4"/>
  <c r="H74" i="1"/>
  <c r="H80" i="4"/>
  <c r="H15" i="1"/>
  <c r="H15" i="4"/>
  <c r="H50" i="1"/>
  <c r="H53" i="4"/>
  <c r="H3" i="1"/>
  <c r="H3" i="4"/>
  <c r="H6" i="1"/>
  <c r="H6" i="4"/>
  <c r="H30" i="1"/>
  <c r="H31" i="4"/>
  <c r="H62" i="1"/>
  <c r="H67" i="4"/>
  <c r="H86" i="1"/>
  <c r="H93" i="4"/>
  <c r="H110" i="1"/>
  <c r="H120" i="4"/>
  <c r="F65" i="1" l="1"/>
  <c r="F70" i="4"/>
  <c r="F76" i="1"/>
  <c r="F82" i="4"/>
  <c r="F87" i="1"/>
  <c r="F94" i="4"/>
  <c r="F103" i="1"/>
  <c r="F112" i="4"/>
  <c r="F56" i="1"/>
  <c r="F60" i="4"/>
  <c r="F41" i="1"/>
  <c r="F43" i="4"/>
  <c r="F95" i="1"/>
  <c r="F103" i="4"/>
  <c r="F33" i="1"/>
  <c r="F34" i="4"/>
  <c r="F111" i="1"/>
  <c r="F121" i="4"/>
  <c r="F49" i="1"/>
  <c r="F52" i="4"/>
  <c r="F16" i="1"/>
  <c r="F16" i="4"/>
  <c r="G43" i="4" l="1"/>
  <c r="G41" i="1"/>
  <c r="G56" i="1"/>
  <c r="G60" i="4"/>
  <c r="G82" i="4"/>
  <c r="G76" i="1"/>
  <c r="G52" i="4"/>
  <c r="G49" i="1"/>
  <c r="G111" i="1"/>
  <c r="G121" i="4"/>
  <c r="G16" i="4"/>
  <c r="G16" i="1"/>
  <c r="G103" i="1"/>
  <c r="G112" i="4"/>
  <c r="G87" i="1"/>
  <c r="G94" i="4"/>
  <c r="G33" i="1"/>
  <c r="G34" i="4"/>
  <c r="G103" i="4"/>
  <c r="G95" i="1"/>
  <c r="G65" i="1"/>
  <c r="G70" i="4"/>
  <c r="H16" i="4" l="1"/>
  <c r="H18" i="4" s="1"/>
  <c r="H16" i="1"/>
  <c r="H65" i="1"/>
  <c r="H70" i="4"/>
  <c r="H72" i="4" s="1"/>
  <c r="H111" i="1"/>
  <c r="H121" i="4"/>
  <c r="H123" i="4" s="1"/>
  <c r="H95" i="1"/>
  <c r="H103" i="4"/>
  <c r="H105" i="4" s="1"/>
  <c r="H49" i="1"/>
  <c r="H52" i="4"/>
  <c r="H54" i="4" s="1"/>
  <c r="H76" i="1"/>
  <c r="H82" i="4"/>
  <c r="H84" i="4" s="1"/>
  <c r="H33" i="1"/>
  <c r="H34" i="4"/>
  <c r="H36" i="4" s="1"/>
  <c r="H87" i="1"/>
  <c r="H94" i="4"/>
  <c r="H96" i="4" s="1"/>
  <c r="H56" i="1"/>
  <c r="H60" i="4"/>
  <c r="H62" i="4" s="1"/>
  <c r="H41" i="1"/>
  <c r="H43" i="4"/>
  <c r="H45" i="4" s="1"/>
  <c r="H103" i="1"/>
  <c r="H112" i="4"/>
  <c r="H114" i="4" s="1"/>
  <c r="H175" i="4" l="1"/>
</calcChain>
</file>

<file path=xl/sharedStrings.xml><?xml version="1.0" encoding="utf-8"?>
<sst xmlns="http://schemas.openxmlformats.org/spreadsheetml/2006/main" count="2931" uniqueCount="461">
  <si>
    <t>№</t>
  </si>
  <si>
    <t>Pano</t>
  </si>
  <si>
    <t>Kategori</t>
  </si>
  <si>
    <t>Ürün Kodu</t>
  </si>
  <si>
    <t>Ürün İsmi / Açıklama</t>
  </si>
  <si>
    <t>Teknik Özellik</t>
  </si>
  <si>
    <t>Projedeki Korpus Ölçüsü</t>
  </si>
  <si>
    <t>Önerilen / Seçilen Korpus</t>
  </si>
  <si>
    <t>Miktar</t>
  </si>
  <si>
    <t>Birim</t>
  </si>
  <si>
    <t>Marka/Tedarikçi</t>
  </si>
  <si>
    <t>Kaynak</t>
  </si>
  <si>
    <t>Not</t>
  </si>
  <si>
    <t>Tahmini modül</t>
  </si>
  <si>
    <t>Birim Net Fiyat</t>
  </si>
  <si>
    <t>Para</t>
  </si>
  <si>
    <t>İndirim %</t>
  </si>
  <si>
    <t>Toplam Net (1 pano)</t>
  </si>
  <si>
    <t>ВРУ</t>
  </si>
  <si>
    <t>PANO</t>
  </si>
  <si>
    <t>ВРУ / индивидуального изготовления — IP30 / IP30</t>
  </si>
  <si>
    <t>индивидуальное изготовление; глубина 450 мм по проекту</t>
  </si>
  <si>
    <t>ВРУ инд. изг.; глубина 450 мм; габариты уточнить при изготовлении</t>
  </si>
  <si>
    <t>компл.</t>
  </si>
  <si>
    <t>TEKLED/TEKSAN</t>
  </si>
  <si>
    <t>PDF/Claude BOM</t>
  </si>
  <si>
    <t>Toplanmış pano satırı; iç malzemeler 1 pano içindir</t>
  </si>
  <si>
    <t>korpus</t>
  </si>
  <si>
    <t>ВРУ-01</t>
  </si>
  <si>
    <t>Корпус ВРУ индивидуального изготовления</t>
  </si>
  <si>
    <t>индивидуальное изготовление; глубина 450 мм по проекту; IP30</t>
  </si>
  <si>
    <t>шт</t>
  </si>
  <si>
    <t>TEKSAN</t>
  </si>
  <si>
    <t>PDF + Claude BOM</t>
  </si>
  <si>
    <t>Birim düzeltildi: iç malzemede "компл." kullanılmadı</t>
  </si>
  <si>
    <t>KZT</t>
  </si>
  <si>
    <t>MCCB</t>
  </si>
  <si>
    <t>NH40-400/3</t>
  </si>
  <si>
    <t>Выключатель-разъединитель CHINT NH40 3P 400A</t>
  </si>
  <si>
    <t>3P, 400A</t>
  </si>
  <si>
    <t>CHINT</t>
  </si>
  <si>
    <t>CHINT muadil; fiyat kontrol</t>
  </si>
  <si>
    <t>Ввод 1 и Ввод 2; аналог вместо BP32И-37B71250; Fiyat IEK kaynaklı olabilir; CHINT fiyat listesi ile kontrol et</t>
  </si>
  <si>
    <t>NXM-250S/3300 250A</t>
  </si>
  <si>
    <t>Автоматический выключатель литой корпус CHINT NXM 3P 250A</t>
  </si>
  <si>
    <t>3P, 250A</t>
  </si>
  <si>
    <t>Секции I+II; аналог вместо ВА88-35; Fiyat IEK kaynaklı olabilir; CHINT fiyat listesi ile kontrol et</t>
  </si>
  <si>
    <t>NXM-160S/3300 160A</t>
  </si>
  <si>
    <t>Автоматический выключатель литой корпус CHINT NXM 3P 160A</t>
  </si>
  <si>
    <t>3P, 160A</t>
  </si>
  <si>
    <t>4 шт распределение; аналог вместо ВА88-32; Fiyat IEK kaynaklı olabilir; CHINT fiyat listesi ile kontrol et</t>
  </si>
  <si>
    <t>MCB</t>
  </si>
  <si>
    <t>NB1-63 3P C25</t>
  </si>
  <si>
    <t>Автоматический выключатель CHINT NB1-63 3P C25A</t>
  </si>
  <si>
    <t>3P, C25A</t>
  </si>
  <si>
    <t>Отходящие линии; аналог вместо ВА47-100-3Р25А; Fiyat IEK kaynaklı olabilir; CHINT fiyat listesi ile kontrol et</t>
  </si>
  <si>
    <t>RCBO</t>
  </si>
  <si>
    <t>NXBLE-32 1P+N C16 30mA</t>
  </si>
  <si>
    <t>Дифф. автомат CHINT NXBLE-32 1P+N C16A 30mA</t>
  </si>
  <si>
    <t>1P+N, C16A, 30mA, 30мА</t>
  </si>
  <si>
    <t>ЩАО сигнализация; аналог вместо АВДТ32М; Fiyat IEK kaynaklı olabilir; CHINT fiyat listesi ile kontrol et</t>
  </si>
  <si>
    <t>MTR</t>
  </si>
  <si>
    <t>ТОП-0.66-250/5</t>
  </si>
  <si>
    <t>Трансформатор тока ТОП-0.66 У3 250/5A кл.0.5S</t>
  </si>
  <si>
    <t>5A</t>
  </si>
  <si>
    <t>SAIMAN</t>
  </si>
  <si>
    <t>3 шт секция I + 3 шт секция II</t>
  </si>
  <si>
    <t>ДАЛА-CA4Y-3720</t>
  </si>
  <si>
    <t>Счётчик ДАЛА CA4Y-3720 R TX PLC IP П 3×220/380В 5|7.5A</t>
  </si>
  <si>
    <t>ПЛК учёт, 2 ввода</t>
  </si>
  <si>
    <t>bara</t>
  </si>
  <si>
    <t>BB-N-PE</t>
  </si>
  <si>
    <t>Шина медная N+PE 3L×100A</t>
  </si>
  <si>
    <t>100A</t>
  </si>
  <si>
    <t>м</t>
  </si>
  <si>
    <t>EKT</t>
  </si>
  <si>
    <t>Секции I+II+общая PE</t>
  </si>
  <si>
    <t>DIN</t>
  </si>
  <si>
    <t>DIN-35-2000</t>
  </si>
  <si>
    <t>DIN рейка TH35 2м</t>
  </si>
  <si>
    <t>kablo kanalı</t>
  </si>
  <si>
    <t>KK-60x40</t>
  </si>
  <si>
    <t>Кабельный канал 60×40мм</t>
  </si>
  <si>
    <t>montaj malzeme</t>
  </si>
  <si>
    <t>Монтажный материал (крепёж, DIN, маркировка)</t>
  </si>
  <si>
    <t>montaj işçilik</t>
  </si>
  <si>
    <t>Монтажные работы ВРУ</t>
  </si>
  <si>
    <t>Manual</t>
  </si>
  <si>
    <t>ЩГП</t>
  </si>
  <si>
    <t>ЩГП / ЩМП-6.6.1-0 600×600×150 — IP30 / IP30</t>
  </si>
  <si>
    <t>600×600×150</t>
  </si>
  <si>
    <t>ЩМП-6.6.1-0</t>
  </si>
  <si>
    <t>Корпус ЩМП-6.6.1-0 600×600×150мм IP30</t>
  </si>
  <si>
    <t>600×600×150; IP30</t>
  </si>
  <si>
    <t>NB1-125 3P C125</t>
  </si>
  <si>
    <t>Автоматический выключатель CHINT NB1-125 3P C125A</t>
  </si>
  <si>
    <t>Главный ввод ЩГП; аналог вместо ВА47-100-3Р125А; Fiyat IEK kaynaklı olabilir; CHINT fiyat listesi ile kontrol et</t>
  </si>
  <si>
    <t>NB1-63 3P C32</t>
  </si>
  <si>
    <t>Автоматический выключатель CHINT NB1-63 3P C32A</t>
  </si>
  <si>
    <t>ТОП-0.66-150/5</t>
  </si>
  <si>
    <t>Трансформатор тока ТОП-0.66 У3 150/5A</t>
  </si>
  <si>
    <t>Счётчик ДАЛА CA4Y-3720 R TX PLC IP П</t>
  </si>
  <si>
    <t>Отходящие гл.линии; аналог вместо ВА47-29-3Р32А; Fiyat IEK kaynaklı olabilir; CHINT fiyat listesi ile kontrol et</t>
  </si>
  <si>
    <t>аналог вместо ВА47-29-3Р25А; Fiyat IEK kaynaklı olabilir; CHINT fiyat listesi ile kontrol et</t>
  </si>
  <si>
    <t>NB1-63 3P C16</t>
  </si>
  <si>
    <t>Автоматический выключатель CHINT NB1-63 3P C16A</t>
  </si>
  <si>
    <t>3P, C16A</t>
  </si>
  <si>
    <t>аналог вместо ВА47-29-3Р16А; Fiyat IEK kaynaklı olabilir; CHINT fiyat listesi ile kontrol et</t>
  </si>
  <si>
    <t>NB1-63 1P C16</t>
  </si>
  <si>
    <t>Автоматический выключатель CHINT NB1-63 1P C16A</t>
  </si>
  <si>
    <t>1P, C16A</t>
  </si>
  <si>
    <t>аналог вместо ВА47-29-1Р16А; Fiyat IEK kaynaklı olabilir; CHINT fiyat listesi ile kontrol et</t>
  </si>
  <si>
    <t>NB1-63 1P C10</t>
  </si>
  <si>
    <t>Автоматический выключатель CHINT NB1-63 1P C10A</t>
  </si>
  <si>
    <t>1P, C10A</t>
  </si>
  <si>
    <t>аналог вместо ВА47-29-1Р10А; Fiyat IEK kaynaklı olabilir; CHINT fiyat listesi ile kontrol et</t>
  </si>
  <si>
    <t>Шина медная N+PE</t>
  </si>
  <si>
    <t>DIN-35</t>
  </si>
  <si>
    <t>DIN рейка TH35</t>
  </si>
  <si>
    <t>KK-40x40</t>
  </si>
  <si>
    <t>Кабельный канал 40×40</t>
  </si>
  <si>
    <t>Монтажный материал</t>
  </si>
  <si>
    <t>Монтажные работы ЩГП</t>
  </si>
  <si>
    <t>сағат</t>
  </si>
  <si>
    <t>ЩРоб</t>
  </si>
  <si>
    <t>ЩРоб / навесной — IP54 / IP54</t>
  </si>
  <si>
    <t>400×300×150</t>
  </si>
  <si>
    <t>TF-4030-15</t>
  </si>
  <si>
    <t>Корпус навесной 400×300×150 IP54</t>
  </si>
  <si>
    <t>400×300×150; IP54</t>
  </si>
  <si>
    <t>NH40-40/3</t>
  </si>
  <si>
    <t>Выключатель нагрузки CHINT NH40 3P 40A</t>
  </si>
  <si>
    <t>3P, 40A</t>
  </si>
  <si>
    <t>Главный ввод; аналог вместо ВН-32-3Р40А; Fiyat IEK kaynaklı olabilir; CHINT fiyat listesi ile kontrol et</t>
  </si>
  <si>
    <t>Линии к обогреву ×5; аналог вместо АВДТ32; Fiyat IEK kaynaklı olabilir; CHINT fiyat listesi ile kontrol et</t>
  </si>
  <si>
    <t>contactor</t>
  </si>
  <si>
    <t>NC1-20 230V AC</t>
  </si>
  <si>
    <t>Контактор CHINT NC1 20A, катушка 230V AC</t>
  </si>
  <si>
    <t>Управление нагревом; аналог вместо КМ20-11М-20A; Fiyat IEK kaynaklı olabilir; CHINT fiyat listesi ile kontrol et</t>
  </si>
  <si>
    <t>other</t>
  </si>
  <si>
    <t>DEVIreg-316</t>
  </si>
  <si>
    <t>Терморегулятор DEVIreg 316</t>
  </si>
  <si>
    <t>DEVI</t>
  </si>
  <si>
    <t>Датчик температуры DEVisnow</t>
  </si>
  <si>
    <t>klemens</t>
  </si>
  <si>
    <t>X1-4</t>
  </si>
  <si>
    <t>Клемма 4мм² КВТ</t>
  </si>
  <si>
    <t>Klemsan</t>
  </si>
  <si>
    <t>Монтажные работы ЩРоб</t>
  </si>
  <si>
    <t>ЩР</t>
  </si>
  <si>
    <t>ЩР / навесной — IP54 / IP54</t>
  </si>
  <si>
    <t>300×400×150</t>
  </si>
  <si>
    <t>TF-3040-15</t>
  </si>
  <si>
    <t>Корпус навесной 300×400×150 IP54</t>
  </si>
  <si>
    <t>300×400×150; IP54</t>
  </si>
  <si>
    <t>Ввод QS; аналог вместо ВН-32-3Р40А; Fiyat IEK kaynaklı olabilir; CHINT fiyat listesi ile kontrol et</t>
  </si>
  <si>
    <t>Клемма 4мм²</t>
  </si>
  <si>
    <t>Монтажные работы</t>
  </si>
  <si>
    <t>ЩО</t>
  </si>
  <si>
    <t>ЩО / навесной — IP31 / IP31</t>
  </si>
  <si>
    <t>Корпус навесной 400×300×150 IP31</t>
  </si>
  <si>
    <t>400×300×150; IP31</t>
  </si>
  <si>
    <t>Ввод 3P; аналог вместо ВА47-29-3Р16А; Fiyat IEK kaynaklı olabilir; CHINT fiyat listesi ile kontrol et</t>
  </si>
  <si>
    <t>NB1-63 1P B10</t>
  </si>
  <si>
    <t>Автоматический выключатель CHINT NB1-63 1P B10A</t>
  </si>
  <si>
    <t>1P, 1Р, B10A</t>
  </si>
  <si>
    <t>Выходы ×8; аналог вместо ВА47-29-1Р-В10А; Fiyat IEK kaynaklı olabilir; CHINT fiyat listesi ile kontrol et</t>
  </si>
  <si>
    <t>ЩАО</t>
  </si>
  <si>
    <t>ЩАО / навесной — IP31 / IP31</t>
  </si>
  <si>
    <t>Выходы ×10; аналог вместо ВА47-29-1Р-В10А; Fiyat IEK kaynaklı olabilir; CHINT fiyat listesi ile kontrol et</t>
  </si>
  <si>
    <t>NC1-0910 230V AC</t>
  </si>
  <si>
    <t>Контактор CHINT NC1-0910, катушка 230V AC</t>
  </si>
  <si>
    <t>9A</t>
  </si>
  <si>
    <t>Дистанционное управление; аналог вместо КМИ-10910; Fiyat IEK kaynaklı olabilir; CHINT fiyat listesi ile kontrol et</t>
  </si>
  <si>
    <t>ЩЗ1</t>
  </si>
  <si>
    <t>ЩЗ / индив.изготовления — IP20 / IP20</t>
  </si>
  <si>
    <t>индивидуальное изготовление; размер уточнить</t>
  </si>
  <si>
    <t>KONTROL: подобрать по компоновке</t>
  </si>
  <si>
    <t>ЩЗ1-ИЗГ</t>
  </si>
  <si>
    <t>Корпус этажный ЩЗ1 IP20 индивидуального изготовления</t>
  </si>
  <si>
    <t>индивидуальное изготовление; размер уточнить; IP20</t>
  </si>
  <si>
    <t>NB1-63 1P C50</t>
  </si>
  <si>
    <t>Автоматический выключатель CHINT NB1-63 1P C50A</t>
  </si>
  <si>
    <t>1P, C50A</t>
  </si>
  <si>
    <t>Вводы квартир 1÷6; аналог вместо ВА47-29-1Р50А; Fiyat IEK kaynaklı olabilir; CHINT fiyat listesi ile kontrol et</t>
  </si>
  <si>
    <t>ОРМАН-CO3711</t>
  </si>
  <si>
    <t>Счётчик ОРМАН CO-3711 R TX IP П RS 5-60А 220В</t>
  </si>
  <si>
    <t>60А</t>
  </si>
  <si>
    <t>Учёт 6 квартир</t>
  </si>
  <si>
    <t>NXBLE-32 2P C50 300mA</t>
  </si>
  <si>
    <t>Дифф. автомат CHINT NXBLE-32 2P C50A 300mA</t>
  </si>
  <si>
    <t>2P, C50A, 300mA, 300мА</t>
  </si>
  <si>
    <t>Защита квартир 300мА; аналог вместо АВДТ32-2Р50А; Fiyat IEK kaynaklı olabilir; CHINT fiyat listesi ile kontrol et</t>
  </si>
  <si>
    <t>Шина N+PE медная</t>
  </si>
  <si>
    <t>Монтажные работы ЩЗ1</t>
  </si>
  <si>
    <t>ЩЗ2-12</t>
  </si>
  <si>
    <t>ЩЗ-ИЗГ-8</t>
  </si>
  <si>
    <t>Корпус этажный ЩЗ IP20 индивидуального изготовления</t>
  </si>
  <si>
    <t>11 этажных щитов ×8 квартир; Miktar 1 pano içindir; pano adedi üst satırda: 11 компл.</t>
  </si>
  <si>
    <t>8 вводов × 11 этажей; аналог вместо ВА47-29-1Р50А; Miktar 1 pano içindir; pano adedi üst satırda: 11 компл.; Fiyat IEK kaynaklı olabilir; CHINT fiyat listesi ile kontrol et</t>
  </si>
  <si>
    <t>Счётчик ОРМАН CO-3711 R TX IP П RS 5-60А</t>
  </si>
  <si>
    <t>Учёт 88 квартир; Miktar 1 pano içindir; pano adedi üst satırda: 11 компл.</t>
  </si>
  <si>
    <t>Защита 88 квартир; аналог вместо АВДТ32-2Р50А; Miktar 1 pano içindir; pano adedi üst satırda: 11 компл.; Fiyat IEK kaynaklı olabilir; CHINT fiyat listesi ile kontrol et</t>
  </si>
  <si>
    <t>Miktar 1 pano içindir; pano adedi üst satırda: 11 компл.</t>
  </si>
  <si>
    <t>Miktar 1 pano içindir; pano adedi üst satırda: 11 компл.; Birim düzeltildi: iç malzemede "компл." kullanılmadı</t>
  </si>
  <si>
    <t>Монтажные работы ЩЗ2-12</t>
  </si>
  <si>
    <t>18 ч × 11 этажей; Miktar 1 pano içindir; pano adedi üst satırda: 11 компл.</t>
  </si>
  <si>
    <t>ЩК Тип A</t>
  </si>
  <si>
    <t>ЩК / навесной — IP20 / IP20</t>
  </si>
  <si>
    <t>24 мод.</t>
  </si>
  <si>
    <t>ЩК-24М</t>
  </si>
  <si>
    <t>Корпус квартирный навесной 24 мод. IP20</t>
  </si>
  <si>
    <t>24 мод.; IP20</t>
  </si>
  <si>
    <t>Miktar 1 pano içindir; pano adedi üst satırda: 36 компл.</t>
  </si>
  <si>
    <t>NH40-63/1</t>
  </si>
  <si>
    <t>Выключатель нагрузки CHINT NH40 1P 63A</t>
  </si>
  <si>
    <t>1P, 63A</t>
  </si>
  <si>
    <t>Вводной QS; аналог вместо ВА47-29-1Р63А; Miktar 1 pano içindir; pano adedi üst satırda: 36 компл.; Fiyat IEK kaynaklı olabilir; CHINT fiyat listesi ile kontrol et</t>
  </si>
  <si>
    <t>Освещение; аналог вместо ВА47-29-1Р-В10А; Miktar 1 pano içindir; pano adedi üst satırda: 36 компл.; Fiyat IEK kaynaklı olabilir; CHINT fiyat listesi ile kontrol et</t>
  </si>
  <si>
    <t>NXBLE-32 2P B16 30mA</t>
  </si>
  <si>
    <t>Дифф. автомат CHINT NXBLE-32 2P B16A 30mA</t>
  </si>
  <si>
    <t>2P, B16A, 30mA, 30мА</t>
  </si>
  <si>
    <t>Розетки 3×36=108 шт; аналог вместо АВДТ32-2Р16А; Miktar 1 pano içindir; pano adedi üst satırda: 36 компл.; Fiyat IEK kaynaklı olabilir; CHINT fiyat listesi ile kontrol et</t>
  </si>
  <si>
    <t>NXBLE-32 2P B40 30mA</t>
  </si>
  <si>
    <t>Дифф. автомат CHINT NXBLE-32 2P B40A 30mA</t>
  </si>
  <si>
    <t>2P, B40A, 30mA, 30мА</t>
  </si>
  <si>
    <t>Эл.плита 1×36=36 шт; аналог вместо АВДТ32-2Р40А; Miktar 1 pano içindir; pano adedi üst satırda: 36 компл.; Fiyat IEK kaynaklı olabilir; CHINT fiyat listesi ile kontrol et</t>
  </si>
  <si>
    <t>Miktar 1 pano içindir; pano adedi üst satırda: 36 компл.; Birim düzeltildi: iç malzemede "компл." kullanılmadı</t>
  </si>
  <si>
    <t>Монтажные работы квартирных щитов</t>
  </si>
  <si>
    <t>5 ч × 36 шт; Miktar 1 pano içindir; pano adedi üst satırda: 36 компл.</t>
  </si>
  <si>
    <t>ЩК Тип B</t>
  </si>
  <si>
    <t>Miktar 1 pano içindir; pano adedi üst satırda: 47 компл.</t>
  </si>
  <si>
    <t>аналог вместо ВА47-29-1Р63А; Miktar 1 pano içindir; pano adedi üst satırda: 47 компл.; Fiyat IEK kaynaklı olabilir; CHINT fiyat listesi ile kontrol et</t>
  </si>
  <si>
    <t>аналог вместо ВА47-29-1Р-В10А; Miktar 1 pano içindir; pano adedi üst satırda: 47 компл.; Fiyat IEK kaynaklı olabilir; CHINT fiyat listesi ile kontrol et</t>
  </si>
  <si>
    <t>3×47=141 шт; аналог вместо АВДТ32-2Р16А; Miktar 1 pano içindir; pano adedi üst satırda: 47 компл.; Fiyat IEK kaynaklı olabilir; CHINT fiyat listesi ile kontrol et</t>
  </si>
  <si>
    <t>аналог вместо АВДТ32-2Р40А; Miktar 1 pano içindir; pano adedi üst satırda: 47 компл.; Fiyat IEK kaynaklı olabilir; CHINT fiyat listesi ile kontrol et</t>
  </si>
  <si>
    <t>Miktar 1 pano içindir; pano adedi üst satırda: 47 компл.; Birim düzeltildi: iç malzemede "компл." kullanılmadı</t>
  </si>
  <si>
    <t>5 ч × 47; Miktar 1 pano içindir; pano adedi üst satırda: 47 компл.</t>
  </si>
  <si>
    <t>ЩК Тип C</t>
  </si>
  <si>
    <t>аналог вместо ВА47-29-1Р63А; Miktar 1 pano içindir; pano adedi üst satırda: 11 компл.; Fiyat IEK kaynaklı olabilir; CHINT fiyat listesi ile kontrol et</t>
  </si>
  <si>
    <t>аналог вместо ВА47-29-1Р-В10А; Miktar 1 pano içindir; pano adedi üst satırda: 11 компл.; Fiyat IEK kaynaklı olabilir; CHINT fiyat listesi ile kontrol et</t>
  </si>
  <si>
    <t>4×11=44 шт (тип C +1); аналог вместо АВДТ32-2Р16А; Miktar 1 pano içindir; pano adedi üst satırda: 11 компл.; Fiyat IEK kaynaklı olabilir; CHINT fiyat listesi ile kontrol et</t>
  </si>
  <si>
    <t>аналог вместо АВДТ32-2Р40А; Miktar 1 pano içindir; pano adedi üst satırda: 11 компл.; Fiyat IEK kaynaklı olabilir; CHINT fiyat listesi ile kontrol et</t>
  </si>
  <si>
    <t>Toplam Alım Miktarı</t>
  </si>
  <si>
    <t>Toplam Net</t>
  </si>
  <si>
    <t>Panolar</t>
  </si>
  <si>
    <t>ВРУ, ЩГП</t>
  </si>
  <si>
    <t>Отходящие линии; аналог вместо ВА47-100-3Р25А; Fiyat IEK kaynaklı olabilir; CHINT fiyat listesi ile kontrol et; аналог вместо ВА47-29-3Р25А; Fiyat IEK kaynaklı olabilir; CHINT fiyat listesi ile kontrol et</t>
  </si>
  <si>
    <t>ВРУ, ЩР, ЩРоб</t>
  </si>
  <si>
    <t>Линии к обогреву ×5; аналог вместо АВДТ32; Fiyat IEK kaynaklı olabilir; CHINT fiyat listesi ile kontrol et; аналог вместо АВДТ32; Fiyat IEK kaynaklı olabilir; CHINT fiyat listesi ile kontrol et</t>
  </si>
  <si>
    <t>Вводы от ВРУ ×2; аналог вместо ВА47-100-3Р32А; Fiyat IEK kaynaklı olabilir; CHINT fiyat listesi ile kontrol et; Отходящие гл.линии; аналог вместо ВА47-29-3Р32А; Fiyat IEK kaynaklı olabilir; CHINT fiyat listesi ile kontrol et</t>
  </si>
  <si>
    <t>ЩАО, ЩГП, ЩО, ЩР, ЩРоб</t>
  </si>
  <si>
    <t>Ввод 3P; аналог вместо ВА47-29-3Р16А; Fiyat IEK kaynaklı olabilir; CHINT fiyat listesi ile kontrol et; аналог вместо ВА47-29-3Р16А; Fiyat IEK kaynaklı olabilir; CHINT fiyat listesi ile kontrol et</t>
  </si>
  <si>
    <t>ЩГП, ЩР, ЩРоб</t>
  </si>
  <si>
    <t>ЩАО, ЩГП, ЩЗ1, ЩЗ2-12, ЩК Тип A, ЩК Тип B, ЩК Тип C, ЩО, ЩР, ЩРоб</t>
  </si>
  <si>
    <t>2 шт на щит; Miktar 1 pano içindir; pano adedi üst satırda: 11 компл.; Miktar 1 pano içindir; pano adedi üst satırda: 47 компл.</t>
  </si>
  <si>
    <t>Miktar 1 pano içindir; pano adedi üst satırda: 47 компл.; Birim düzeltildi: iç malzemede "компл." kullanılmadı; Birim düzeltildi: iç malzemede "компл." kullanılmadı</t>
  </si>
  <si>
    <t>ЩР, ЩРоб</t>
  </si>
  <si>
    <t>Главный ввод; аналог вместо ВН-32-3Р40А; Fiyat IEK kaynaklı olabilir; CHINT fiyat listesi ile kontrol et; Ввод QS; аналог вместо ВН-32-3Р40А; Fiyat IEK kaynaklı olabilir; CHINT fiyat listesi ile kontrol et</t>
  </si>
  <si>
    <t>ЩАО, ЩО, ЩР</t>
  </si>
  <si>
    <t>ЩАО, ЩК Тип B, ЩК Тип C, ЩО, ЩР</t>
  </si>
  <si>
    <t>5 ч × 47; Miktar 1 pano içindir; pano adedi üst satırda: 47 компл.; Miktar 1 pano içindir; pano adedi üst satırda: 11 компл.</t>
  </si>
  <si>
    <t>ЩАО, ЩО</t>
  </si>
  <si>
    <t>ЩАО, ЩК Тип A, ЩК Тип B, ЩК Тип C, ЩО</t>
  </si>
  <si>
    <t>Выходы ×10; аналог вместо ВА47-29-1Р-В10А; Fiyat IEK kaynaklı olabilir; CHINT fiyat listesi ile kontrol et; Выходы ×8; аналог вместо ВА47-29-1Р-В10А; Fiyat IEK kaynaklı olabilir; CHINT fiyat listesi ile kontrol et</t>
  </si>
  <si>
    <t>ЩЗ1, ЩЗ2-12</t>
  </si>
  <si>
    <t>8 вводов × 11 этажей; аналог вместо ВА47-29-1Р50А; Miktar 1 pano içindir; pano adedi üst satırda: 11 компл.; Fiyat IEK k; Вводы квартир 1÷6; аналог вместо ВА47-29-1Р50А; Fiyat IEK kaynaklı olabilir; CHINT fiyat listesi ile kontrol et</t>
  </si>
  <si>
    <t>Защита 88 квартир; аналог вместо АВДТ32-2Р50А; Miktar 1 pano içindir; pano adedi üst satırda: 11 компл.; Fiyat IEK kayna; Защита квартир 300мА; аналог вместо АВДТ32-2Р50А; Fiyat IEK kaynaklı olabilir; CHINT fiyat listesi ile kontrol et</t>
  </si>
  <si>
    <t>ЩК Тип A, ЩК Тип B, ЩК Тип C</t>
  </si>
  <si>
    <t>Miktar 1 pano içindir; pano adedi üst satırda: 11 компл.; Miktar 1 pano içindir; pano adedi üst satırda: 47 компл.</t>
  </si>
  <si>
    <t>Вводной QS; аналог вместо ВА47-29-1Р63А; Miktar 1 pano içindir; pano adedi üst satırda: 36 компл.; Fiyat IEK kaynaklı ol; аналог вместо ВА47-29-1Р63А; Miktar 1 pano içindir; pano adedi üst satırda: 47 компл.; Fiyat IEK kaynaklı olabilir; CHIN</t>
  </si>
  <si>
    <t>Розетки 3×36=108 шт; аналог вместо АВДТ32-2Р16А; Miktar 1 pano içindir; pano adedi üst satırda: 36 компл.; Fiyat IEK kay; 4×11=44 шт (тип C +1); аналог вместо АВДТ32-2Р16А; Miktar 1 pano içindir; pano adedi üst satırda: 11 компл.; Fiyat IEK k</t>
  </si>
  <si>
    <t>аналог вместо АВДТ32-2Р40А; Miktar 1 pano içindir; pano adedi üst satırda: 47 компл.; Fiyat IEK kaynaklı olabilir; CHINT; Эл.плита 1×36=36 шт; аналог вместо АВДТ32-2Р40А; Miktar 1 pano içindir; pano adedi üst satırda: 36 компл.; Fiyat IEK kay</t>
  </si>
  <si>
    <t>Kural</t>
  </si>
  <si>
    <t>Sonuç</t>
  </si>
  <si>
    <t>Boş satır bırakma</t>
  </si>
  <si>
    <t>Uygulandı: ana BOM’da boş satır yok.</t>
  </si>
  <si>
    <t>Sıra No’dan sonra pano adı sütunu</t>
  </si>
  <si>
    <t>Uygulandı: B sütunu her satırda panel adını içerir.</t>
  </si>
  <si>
    <t>Toplanmış pano satırı</t>
  </si>
  <si>
    <t>Uygulandı: her pano için Kategori=PANO, adet üst satırda, birim sadece "компл."</t>
  </si>
  <si>
    <t>İç malzemelerde компл. kullanılmaması</t>
  </si>
  <si>
    <t>Uygulandı: iç satırlarda "компл." yerine шт/м/сағат kullanıldı.</t>
  </si>
  <si>
    <t>Pano isminden sonraki satır korpus</t>
  </si>
  <si>
    <t>Uygulandı: her PANO satırından sonra korpus satırı var.</t>
  </si>
  <si>
    <t>Projedeki korpus ölçüsü ayrı sütun</t>
  </si>
  <si>
    <t>Uygulandı: Projedeki Korpus Ölçüsü ve Önerilen/Seçilen Korpus sütunları eklendi.</t>
  </si>
  <si>
    <t>Satır kopyala-ekle kullanılabilirliği</t>
  </si>
  <si>
    <t>Uygulandı: birleştirilmiş hücre kullanılmadı, her satır bağımsız.</t>
  </si>
  <si>
    <t>Her pano BOM’u 1 pano için</t>
  </si>
  <si>
    <t>Uygulandı: çok adetli panolarda iç malzeme miktarları 1 pano bazına indirildi; toplam alım 02_Satin_Alma’da hesaplandı.</t>
  </si>
  <si>
    <t>CHINT dönüşümü</t>
  </si>
  <si>
    <t>IEK şalt satırları CHINT muadiline çevrildi; kesin ürün kodu/fiyat kontrol notu bırakıldı.</t>
  </si>
  <si>
    <t>836851</t>
  </si>
  <si>
    <t>Контактор NXC-25 25A 220В/АС3 1НО+1НЗ 50Гц (R)</t>
  </si>
  <si>
    <t>836576</t>
  </si>
  <si>
    <t>Контактор NXC-09M10 9A 220В/АС3 1НО 50Гц (R)</t>
  </si>
  <si>
    <t>711-03012</t>
  </si>
  <si>
    <t>DX10-A24SWB V10 Щит пластиковый c/у Х24 (крышка прозрачная) NEXUS (TEKLED ELECTR)</t>
  </si>
  <si>
    <t>296696</t>
  </si>
  <si>
    <t>Авт. выкл. NXB-63S 1P 10А 4.5kA х-ка B (R)</t>
  </si>
  <si>
    <t>296710</t>
  </si>
  <si>
    <t>Авт. выкл. NXB-63S 1P 16А 4.5kA х-ка C (R)</t>
  </si>
  <si>
    <t>296715</t>
  </si>
  <si>
    <t>Авт. выкл. NXB-63S 1P 50А 4.5kA х-ка C (R)</t>
  </si>
  <si>
    <t>296827</t>
  </si>
  <si>
    <t>Авт. выкл. NXB-63S 3P 16А 4.5kA х-ка C (R)</t>
  </si>
  <si>
    <t>296829</t>
  </si>
  <si>
    <t>Авт. выкл. NXB-63S 3P 25А 4.5kA х-ка C (R)</t>
  </si>
  <si>
    <t>270100161_</t>
  </si>
  <si>
    <t xml:space="preserve">                    Рубильник ВР-32-37  В71250-400А на 2 направления (+6камер) UNIT (1/6)</t>
  </si>
  <si>
    <t>131364</t>
  </si>
  <si>
    <t>Авт. выкл. NXM-160S/3Р 160A 36кА (R)</t>
  </si>
  <si>
    <t>131369</t>
  </si>
  <si>
    <t>Авт. выкл. NXM-250S/3Р 250A 36кА (R)</t>
  </si>
  <si>
    <t>296831</t>
  </si>
  <si>
    <t>Авт. выкл. NXB-63S 3P 40А 4.5kA х-ка C (R)</t>
  </si>
  <si>
    <t>296716</t>
  </si>
  <si>
    <t>Авт. выкл. NXB-63S 1P 63А 4.5kA х-ка C (R)</t>
  </si>
  <si>
    <t>WH</t>
  </si>
  <si>
    <t>270300182_</t>
  </si>
  <si>
    <t xml:space="preserve">              Трансформатор Т-0,66  250\5 (9)</t>
  </si>
  <si>
    <t>270300100_</t>
  </si>
  <si>
    <t xml:space="preserve">            Трансформатор тока ТТИ-А  150/5А  5ВА  класс 0,5  IEK</t>
  </si>
  <si>
    <t>LQ</t>
  </si>
  <si>
    <t>ДАЛА СА4У-Э720 R TX IP П RS1 Д W (3x220/380V 5-7,5A)</t>
  </si>
  <si>
    <t>LP</t>
  </si>
  <si>
    <t>ДАЛА СА4-Э720 R TX IP P П RS1 Д W (3x220/380V 5-60A)</t>
  </si>
  <si>
    <t>CU</t>
  </si>
  <si>
    <t>Орман TX P PLC IP П RS СО-Э711 (10-60А 220В)</t>
  </si>
  <si>
    <t>515381</t>
  </si>
  <si>
    <t>Диф. авт. выкл. NXBLE-63YH 1P+N C16 30mA тип A, 6kA (R)</t>
  </si>
  <si>
    <t>515414</t>
  </si>
  <si>
    <t>Диф. авт. выкл. NXBLE-63YH 1P+N C50 300mA тип AC, 6kA (R)</t>
  </si>
  <si>
    <t>Birim Net Fiyat2</t>
  </si>
  <si>
    <t>Birim  Fiyat</t>
  </si>
  <si>
    <t>PYS</t>
  </si>
  <si>
    <t>719-15075</t>
  </si>
  <si>
    <t>Met.Korpus Pustoi 1800x800x450 10sm</t>
  </si>
  <si>
    <t>1P 6A</t>
  </si>
  <si>
    <t>SPD</t>
  </si>
  <si>
    <t>131363</t>
  </si>
  <si>
    <t>Авт. выкл. NXM-125S/3Р 125A 25кА (R)</t>
  </si>
  <si>
    <t>3P, C125A 10kA, MCCB YAZDIM</t>
  </si>
  <si>
    <t>ATS</t>
  </si>
  <si>
    <t>256780</t>
  </si>
  <si>
    <t>Устройство автоматического ввода резерва NXZM-125S/3B 125A (R)</t>
  </si>
  <si>
    <t>rubilnik</t>
  </si>
  <si>
    <t>252578</t>
  </si>
  <si>
    <t>Ограничитель имп. перенапр. NU6-IIG 4Р In=25kA Uc=440B Im=65kA (R)</t>
  </si>
  <si>
    <t>TEKSAN f</t>
  </si>
  <si>
    <t>130200152_</t>
  </si>
  <si>
    <t xml:space="preserve">                Шина алюм АД31Т  3х30х4000</t>
  </si>
  <si>
    <t>3P, C40A 1. etaptan eklenen</t>
  </si>
  <si>
    <t>2P, C16A 1. . etaptan eklenen</t>
  </si>
  <si>
    <t>3P, C32A 1 tanesi 3*40 oldu</t>
  </si>
  <si>
    <t>256054</t>
  </si>
  <si>
    <t>Контактор модульный NCH8-20/20 20A 2НО AC220/230В 50Гц (R)</t>
  </si>
  <si>
    <t>03-Б2-T1</t>
  </si>
  <si>
    <t>Терморегулятор ECOTHERM-03-Б2-T1</t>
  </si>
  <si>
    <t>1P+N, C16A, 30mA, 30мА projede 5 adet</t>
  </si>
  <si>
    <t>20A projede 3 adet</t>
  </si>
  <si>
    <t>ЩРк-1, ЩРк-2</t>
  </si>
  <si>
    <t>fotorole</t>
  </si>
  <si>
    <t>D003173</t>
  </si>
  <si>
    <t>FOTORELE DIN-1(FR)2-100LK 25A 3000W EKF PROXIMA</t>
  </si>
  <si>
    <t>ekf</t>
  </si>
  <si>
    <t>timer</t>
  </si>
  <si>
    <t>rozetka</t>
  </si>
  <si>
    <t>pys</t>
  </si>
  <si>
    <t>714-15128</t>
  </si>
  <si>
    <t>Щит мет. ЩРн-1-1 PR (395x310x150) IP31 (TS)</t>
  </si>
  <si>
    <t>714-15125</t>
  </si>
  <si>
    <t>Щит мет. ЩРн-2-1 PR (540x400x150) IP31 (TS)</t>
  </si>
  <si>
    <t>296708</t>
  </si>
  <si>
    <t>Авт. выкл. NXB-63S 1P 6А 4.5kA х-ка C (R)</t>
  </si>
  <si>
    <t>296788</t>
  </si>
  <si>
    <t>Авт. выкл. NXB-63S 2P 16А 4.5kA х-ка C (R)</t>
  </si>
  <si>
    <t>296830</t>
  </si>
  <si>
    <t>Авт. выкл. NXB-63S 3P 32А 4.5kA х-ка C (R)</t>
  </si>
  <si>
    <t>mccb</t>
  </si>
  <si>
    <t>775001</t>
  </si>
  <si>
    <t>Розетка AC30-111 с заземляющим контактом на DIN-рейку (R)</t>
  </si>
  <si>
    <t>310024</t>
  </si>
  <si>
    <t>Таймер электронный NKG3 AC230В (R)</t>
  </si>
  <si>
    <t>515409</t>
  </si>
  <si>
    <t>Диф. авт. выкл. NXBLE-63YH 1P+N C40 30mA тип A, 6kA (R)</t>
  </si>
  <si>
    <t>ШУЗ</t>
  </si>
  <si>
    <t>termik</t>
  </si>
  <si>
    <t>dob kont</t>
  </si>
  <si>
    <t>sinyal</t>
  </si>
  <si>
    <t>buton kirmizi</t>
  </si>
  <si>
    <t>mantar</t>
  </si>
  <si>
    <t>АПС-ПОЖАРНАЯ</t>
  </si>
  <si>
    <t>ph47</t>
  </si>
  <si>
    <t>ЯУО</t>
  </si>
  <si>
    <t>buton yesil</t>
  </si>
  <si>
    <t>mandal buton</t>
  </si>
  <si>
    <t>ВПП-1, ВПП-2</t>
  </si>
  <si>
    <t>ВПП-1, ВПП-3</t>
  </si>
  <si>
    <t>ВПП-1, ВПП-4</t>
  </si>
  <si>
    <t>ВПП-1, ВПП-5</t>
  </si>
  <si>
    <t>ВПП-1, ВПП-6</t>
  </si>
  <si>
    <t>ВПП-1, ВПП-7</t>
  </si>
  <si>
    <t>ВПП-1, ВПП-8</t>
  </si>
  <si>
    <t>ВПП-1, ВПП-9</t>
  </si>
  <si>
    <t>ВПП-1, ВПП-10</t>
  </si>
  <si>
    <t>ВПП-1, ВПП-11</t>
  </si>
  <si>
    <t>ВПП-1, ВПП-12</t>
  </si>
  <si>
    <t>ВПП-1, ВПП-13</t>
  </si>
  <si>
    <t>ЩПСС</t>
  </si>
  <si>
    <t>574842</t>
  </si>
  <si>
    <t>Кнопка управления NP2-BA31 без подсветки зеленая 1НО IP40</t>
  </si>
  <si>
    <t>574843</t>
  </si>
  <si>
    <t>Кнопка управления NP2-BA42 без подсветки красная 1НЗ IP40</t>
  </si>
  <si>
    <t>938251</t>
  </si>
  <si>
    <t>Приставка доп.контакты AX-3X/22 к контактору NXC-06~630 (R)</t>
  </si>
  <si>
    <t>714-15127</t>
  </si>
  <si>
    <t>Щит мет. ЩРн-1-2 PR (395x310x220) IP31 (TS)</t>
  </si>
  <si>
    <t>574849</t>
  </si>
  <si>
    <t>Переключатель NP2-BD33, 3 положения с фиксацией, 2НО IP40</t>
  </si>
  <si>
    <t>574863</t>
  </si>
  <si>
    <t>Кнопка управления "Грибок" Φ40мм (2) с фиксации NP2-BS545 без подсветки красная 1НЗ+1НО IP40</t>
  </si>
  <si>
    <t>296826</t>
  </si>
  <si>
    <t>Авт. выкл. NXB-63S 3P 10А 4.5kA х-ка C (R)</t>
  </si>
  <si>
    <t>814989</t>
  </si>
  <si>
    <t>Независимый расцепитель SHT-X1 AC230V/400V для NXB-63 (R)</t>
  </si>
  <si>
    <t>593071</t>
  </si>
  <si>
    <t>Индикатор ND16-22DS/4 зеленый АС230В (R)</t>
  </si>
  <si>
    <t>837113</t>
  </si>
  <si>
    <t>Тепловое реле NXR-25 2.5-4A (R)</t>
  </si>
  <si>
    <t>Щит</t>
  </si>
  <si>
    <t>Категория</t>
  </si>
  <si>
    <t>Код товара</t>
  </si>
  <si>
    <t>Наименование / Описание</t>
  </si>
  <si>
    <t>Цена за единицу</t>
  </si>
  <si>
    <t>Чистая цена за единицу</t>
  </si>
  <si>
    <t>Итого чистая цена (1 щит)</t>
  </si>
  <si>
    <t>Количество</t>
  </si>
  <si>
    <t>Ед. изм.</t>
  </si>
  <si>
    <t>Марка / Поставщик</t>
  </si>
  <si>
    <t>TEKLED electric</t>
  </si>
  <si>
    <t>Toplam ВРУ</t>
  </si>
  <si>
    <t>Toplam ЩГП</t>
  </si>
  <si>
    <t>Toplam ЩРоб</t>
  </si>
  <si>
    <t>Toplam ЩР</t>
  </si>
  <si>
    <t>Toplam ЩО</t>
  </si>
  <si>
    <t>Toplam ЩАО</t>
  </si>
  <si>
    <t>Toplam ЩЗ1</t>
  </si>
  <si>
    <t>Toplam ЩЗ2-12</t>
  </si>
  <si>
    <t>Toplam ЩК Тип A</t>
  </si>
  <si>
    <t>Toplam ЩК Тип B</t>
  </si>
  <si>
    <t>Toplam ЩК Тип C</t>
  </si>
  <si>
    <t>Toplam ШУЗ</t>
  </si>
  <si>
    <t>Toplam АПС-ПОЖАРНАЯ</t>
  </si>
  <si>
    <t>Toplam ЯУО</t>
  </si>
  <si>
    <t>Toplam ВПП-1, ВПП-2</t>
  </si>
  <si>
    <t>Toplam ЩПСС</t>
  </si>
  <si>
    <t>Genel Toplam</t>
  </si>
  <si>
    <t>malzeme</t>
  </si>
  <si>
    <t>сумм.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</si>
</sst>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b/>
      <sz val="11"/>
      <color rgb="FFFFFFFF"/>
      <name val="Carlito"/>
    </font>
    <font>
      <b/>
      <sz val="11"/>
      <color rgb="FF111827"/>
      <name val="Carlito"/>
    </font>
    <font>
      <sz val="11"/>
      <color rgb="FF111827"/>
      <name val="Carlito"/>
    </font>
    <font>
      <sz val="11"/>
      <color theme="1"/>
      <name val="Carlito"/>
    </font>
    <font>
      <sz val="11"/>
      <color rgb="FFFF0000"/>
      <name val="Carlito"/>
    </font>
    <font>
      <sz val="8"/>
      <name val="Carlito"/>
    </font>
    <font>
      <b/>
      <sz val="11"/>
      <color theme="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C7D2FE"/>
      </patternFill>
    </fill>
    <fill>
      <patternFill patternType="solid">
        <fgColor rgb="FFDBEAFE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C66"/>
        <bgColor indexed="64"/>
      </patternFill>
    </fill>
    <fill>
      <patternFill patternType="solid">
        <f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3" fontId="0" fillId="0" borderId="0" xfId="0" applyNumberFormat="1" applyAlignment="1">
      <alignment wrapText="1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 wrapText="1"/>
    </xf>
    <xf numFmtId="3" fontId="2" fillId="3" borderId="5" xfId="0" applyNumberFormat="1" applyFont="1" applyFill="1" applyBorder="1" applyAlignment="1">
      <alignment vertical="center" wrapText="1"/>
    </xf>
    <xf numFmtId="2" fontId="2" fillId="3" borderId="5" xfId="0" applyNumberFormat="1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vertical="center" wrapText="1"/>
    </xf>
    <xf numFmtId="3" fontId="3" fillId="4" borderId="5" xfId="0" applyNumberFormat="1" applyFont="1" applyFill="1" applyBorder="1" applyAlignment="1">
      <alignment vertical="center" wrapText="1"/>
    </xf>
    <xf numFmtId="2" fontId="3" fillId="4" borderId="5" xfId="0" applyNumberFormat="1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4" fillId="5" borderId="5" xfId="0" applyFont="1" applyFill="1" applyBorder="1" applyAlignment="1">
      <alignment vertical="center" wrapText="1"/>
    </xf>
    <xf numFmtId="3" fontId="4" fillId="5" borderId="5" xfId="0" applyNumberFormat="1" applyFont="1" applyFill="1" applyBorder="1" applyAlignment="1">
      <alignment vertical="center" wrapText="1"/>
    </xf>
    <xf numFmtId="2" fontId="4" fillId="5" borderId="5" xfId="0" applyNumberFormat="1" applyFont="1" applyFill="1" applyBorder="1" applyAlignment="1">
      <alignment vertical="center" wrapText="1"/>
    </xf>
    <xf numFmtId="0" fontId="4" fillId="5" borderId="6" xfId="0" applyFont="1" applyFill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3" fontId="4" fillId="0" borderId="5" xfId="0" applyNumberFormat="1" applyFont="1" applyBorder="1" applyAlignment="1">
      <alignment vertical="center" wrapText="1"/>
    </xf>
    <xf numFmtId="2" fontId="4" fillId="0" borderId="5" xfId="0" applyNumberFormat="1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3" fontId="4" fillId="0" borderId="7" xfId="0" applyNumberFormat="1" applyFont="1" applyBorder="1" applyAlignment="1">
      <alignment vertical="center" wrapText="1"/>
    </xf>
    <xf numFmtId="2" fontId="4" fillId="0" borderId="7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5" borderId="5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3" fontId="3" fillId="7" borderId="1" xfId="0" applyNumberFormat="1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8" borderId="0" xfId="0" applyFill="1"/>
    <xf numFmtId="0" fontId="4" fillId="9" borderId="1" xfId="0" applyFont="1" applyFill="1" applyBorder="1" applyAlignment="1">
      <alignment vertical="center" wrapText="1"/>
    </xf>
    <xf numFmtId="3" fontId="4" fillId="9" borderId="1" xfId="0" applyNumberFormat="1" applyFont="1" applyFill="1" applyBorder="1" applyAlignment="1">
      <alignment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vertical="center" wrapText="1"/>
    </xf>
    <xf numFmtId="3" fontId="4" fillId="8" borderId="1" xfId="0" applyNumberFormat="1" applyFont="1" applyFill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vertical="center" wrapText="1"/>
    </xf>
    <xf numFmtId="0" fontId="4" fillId="8" borderId="0" xfId="0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3" fontId="4" fillId="8" borderId="0" xfId="0" applyNumberFormat="1" applyFont="1" applyFill="1" applyAlignment="1">
      <alignment vertical="center" wrapText="1"/>
    </xf>
    <xf numFmtId="0" fontId="4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urchaseSummary" displayName="PurchaseSummary" ref="A1:L53">
  <tableColumns count="12">
    <tableColumn id="1" xr3:uid="{00000000-0010-0000-0100-000001000000}" name="№"/>
    <tableColumn id="2" xr3:uid="{00000000-0010-0000-0100-000002000000}" name="Kategori"/>
    <tableColumn id="3" xr3:uid="{00000000-0010-0000-0100-000003000000}" name="Ürün Kodu"/>
    <tableColumn id="4" xr3:uid="{00000000-0010-0000-0100-000004000000}" name="Ürün İsmi / Açıklama"/>
    <tableColumn id="5" xr3:uid="{00000000-0010-0000-0100-000005000000}" name="Toplam Alım Miktarı"/>
    <tableColumn id="6" xr3:uid="{00000000-0010-0000-0100-000006000000}" name="Birim"/>
    <tableColumn id="7" xr3:uid="{00000000-0010-0000-0100-000007000000}" name="Marka/Tedarikçi"/>
    <tableColumn id="8" xr3:uid="{00000000-0010-0000-0100-000008000000}" name="Birim Net Fiyat"/>
    <tableColumn id="9" xr3:uid="{00000000-0010-0000-0100-000009000000}" name="Para"/>
    <tableColumn id="10" xr3:uid="{00000000-0010-0000-0100-00000A000000}" name="Toplam Net"/>
    <tableColumn id="11" xr3:uid="{00000000-0010-0000-0100-00000B000000}" name="Panolar"/>
    <tableColumn id="12" xr3:uid="{00000000-0010-0000-0100-00000C000000}" name="No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58"/>
  <sheetViews>
    <sheetView zoomScale="85" zoomScaleNormal="85" workbookViewId="0">
      <pane ySplit="1" topLeftCell="A2" activePane="bottomLeft" state="frozen"/>
      <selection pane="bottomLeft" activeCell="I2" sqref="I2:I153"/>
    </sheetView>
  </sheetViews>
  <sheetFormatPr defaultRowHeight="33" customHeight="1"/>
  <cols>
    <col min="1" max="1" width="6" style="5" customWidth="1"/>
    <col min="2" max="2" width="14" style="5" customWidth="1"/>
    <col min="3" max="3" width="13.25" style="5" customWidth="1"/>
    <col min="4" max="4" width="14.75" style="5" customWidth="1"/>
    <col min="5" max="5" width="50" style="36" customWidth="1"/>
    <col min="6" max="7" width="14" style="5" customWidth="1"/>
    <col min="8" max="8" width="10" style="5" customWidth="1"/>
    <col min="9" max="9" width="10" style="36" customWidth="1"/>
    <col min="10" max="10" width="9" style="5"/>
    <col min="11" max="11" width="10" style="5" customWidth="1"/>
    <col min="12" max="12" width="34" style="5" customWidth="1"/>
    <col min="13" max="13" width="28" style="5" customWidth="1"/>
    <col min="14" max="14" width="32" style="5" customWidth="1"/>
    <col min="15" max="16" width="18" style="5" customWidth="1"/>
    <col min="17" max="17" width="44" style="5" customWidth="1"/>
    <col min="18" max="18" width="14" style="5" customWidth="1"/>
    <col min="19" max="19" width="9" style="5"/>
    <col min="20" max="20" width="10" style="5" customWidth="1"/>
    <col min="21" max="21" width="9" style="5"/>
    <col min="22" max="22" width="18" style="5" customWidth="1"/>
    <col min="23" max="16384" width="9" style="5"/>
  </cols>
  <sheetData>
    <row r="1" spans="1:19" ht="33" customHeight="1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335</v>
      </c>
      <c r="G1" s="7" t="s">
        <v>334</v>
      </c>
      <c r="H1" s="7" t="s">
        <v>17</v>
      </c>
      <c r="I1" s="7" t="s">
        <v>8</v>
      </c>
      <c r="J1" s="7" t="s">
        <v>9</v>
      </c>
      <c r="K1" s="7" t="s">
        <v>10</v>
      </c>
      <c r="L1" s="7" t="s">
        <v>5</v>
      </c>
      <c r="M1" s="7" t="s">
        <v>6</v>
      </c>
      <c r="N1" s="7" t="s">
        <v>7</v>
      </c>
      <c r="O1" s="7" t="s">
        <v>11</v>
      </c>
      <c r="P1" s="7" t="s">
        <v>12</v>
      </c>
      <c r="Q1" s="7" t="s">
        <v>13</v>
      </c>
      <c r="R1" s="7" t="s">
        <v>15</v>
      </c>
      <c r="S1" s="8" t="s">
        <v>16</v>
      </c>
    </row>
    <row r="2" spans="1:19" ht="33" customHeight="1">
      <c r="A2" s="9">
        <v>1</v>
      </c>
      <c r="B2" s="9" t="s">
        <v>18</v>
      </c>
      <c r="C2" s="9" t="s">
        <v>19</v>
      </c>
      <c r="D2" s="9"/>
      <c r="E2" s="31" t="s">
        <v>18</v>
      </c>
      <c r="F2" s="10"/>
      <c r="G2" s="10">
        <f>'01_BOM_DUZELTILDI'!$F2</f>
        <v>0</v>
      </c>
      <c r="H2" s="10"/>
      <c r="I2" s="31">
        <v>1</v>
      </c>
      <c r="J2" s="9" t="s">
        <v>23</v>
      </c>
      <c r="K2" s="9" t="s">
        <v>24</v>
      </c>
      <c r="L2" s="9" t="s">
        <v>20</v>
      </c>
      <c r="M2" s="9" t="s">
        <v>21</v>
      </c>
      <c r="N2" s="9" t="s">
        <v>22</v>
      </c>
      <c r="O2" s="9" t="s">
        <v>25</v>
      </c>
      <c r="P2" s="9" t="s">
        <v>26</v>
      </c>
      <c r="Q2" s="11"/>
      <c r="R2" s="9"/>
      <c r="S2" s="12"/>
    </row>
    <row r="3" spans="1:19" ht="33" hidden="1" customHeight="1">
      <c r="A3" s="13">
        <v>2</v>
      </c>
      <c r="B3" s="13" t="s">
        <v>18</v>
      </c>
      <c r="C3" s="13" t="s">
        <v>27</v>
      </c>
      <c r="D3" s="13" t="s">
        <v>337</v>
      </c>
      <c r="E3" s="13" t="s">
        <v>338</v>
      </c>
      <c r="F3" s="14">
        <v>165000</v>
      </c>
      <c r="G3" s="14">
        <f>0.6*F3</f>
        <v>99000</v>
      </c>
      <c r="H3" s="14">
        <f>'01_BOM_DUZELTILDI'!$G3*'01_BOM_DUZELTILDI'!$I3</f>
        <v>198000</v>
      </c>
      <c r="I3" s="32">
        <v>2</v>
      </c>
      <c r="J3" s="13" t="s">
        <v>31</v>
      </c>
      <c r="K3" s="13" t="s">
        <v>350</v>
      </c>
      <c r="L3" s="13" t="s">
        <v>30</v>
      </c>
      <c r="M3" s="13" t="s">
        <v>21</v>
      </c>
      <c r="N3" s="13" t="s">
        <v>22</v>
      </c>
      <c r="O3" s="13" t="s">
        <v>33</v>
      </c>
      <c r="P3" s="13" t="s">
        <v>34</v>
      </c>
      <c r="Q3" s="15"/>
      <c r="R3" s="13" t="s">
        <v>35</v>
      </c>
      <c r="S3" s="16"/>
    </row>
    <row r="4" spans="1:19" ht="33" hidden="1" customHeight="1">
      <c r="A4" s="17">
        <v>3</v>
      </c>
      <c r="B4" s="17" t="s">
        <v>18</v>
      </c>
      <c r="C4" s="17" t="s">
        <v>347</v>
      </c>
      <c r="D4" s="17" t="s">
        <v>309</v>
      </c>
      <c r="E4" s="17" t="s">
        <v>310</v>
      </c>
      <c r="F4" s="18">
        <v>24000</v>
      </c>
      <c r="G4" s="18">
        <f>'01_BOM_DUZELTILDI'!$F4</f>
        <v>24000</v>
      </c>
      <c r="H4" s="18">
        <f>'01_BOM_DUZELTILDI'!$G4*'01_BOM_DUZELTILDI'!$I4</f>
        <v>48000</v>
      </c>
      <c r="I4" s="33">
        <v>2</v>
      </c>
      <c r="J4" s="17" t="s">
        <v>31</v>
      </c>
      <c r="K4" s="17" t="s">
        <v>336</v>
      </c>
      <c r="L4" s="17" t="s">
        <v>39</v>
      </c>
      <c r="M4" s="17"/>
      <c r="N4" s="17"/>
      <c r="O4" s="17" t="s">
        <v>41</v>
      </c>
      <c r="P4" s="17" t="s">
        <v>42</v>
      </c>
      <c r="Q4" s="19"/>
      <c r="R4" s="17" t="s">
        <v>35</v>
      </c>
      <c r="S4" s="20"/>
    </row>
    <row r="5" spans="1:19" ht="33" hidden="1" customHeight="1">
      <c r="A5" s="21">
        <v>4</v>
      </c>
      <c r="B5" s="21" t="s">
        <v>18</v>
      </c>
      <c r="C5" s="21" t="s">
        <v>36</v>
      </c>
      <c r="D5" s="21" t="s">
        <v>313</v>
      </c>
      <c r="E5" s="21" t="s">
        <v>314</v>
      </c>
      <c r="F5" s="22">
        <v>36869</v>
      </c>
      <c r="G5" s="22">
        <f>0.6*F5</f>
        <v>22121.399999999998</v>
      </c>
      <c r="H5" s="22">
        <f>'01_BOM_DUZELTILDI'!$G5*'01_BOM_DUZELTILDI'!$I5</f>
        <v>44242.799999999996</v>
      </c>
      <c r="I5" s="34">
        <v>2</v>
      </c>
      <c r="J5" s="21" t="s">
        <v>31</v>
      </c>
      <c r="K5" s="21" t="s">
        <v>40</v>
      </c>
      <c r="L5" s="21" t="s">
        <v>45</v>
      </c>
      <c r="M5" s="21"/>
      <c r="N5" s="21"/>
      <c r="O5" s="21" t="s">
        <v>41</v>
      </c>
      <c r="P5" s="21" t="s">
        <v>46</v>
      </c>
      <c r="Q5" s="23"/>
      <c r="R5" s="21" t="s">
        <v>35</v>
      </c>
      <c r="S5" s="24"/>
    </row>
    <row r="6" spans="1:19" ht="33" hidden="1" customHeight="1">
      <c r="A6" s="17">
        <v>5</v>
      </c>
      <c r="B6" s="17" t="s">
        <v>18</v>
      </c>
      <c r="C6" s="17" t="s">
        <v>36</v>
      </c>
      <c r="D6" s="17" t="s">
        <v>311</v>
      </c>
      <c r="E6" s="17" t="s">
        <v>312</v>
      </c>
      <c r="F6" s="18">
        <v>27169</v>
      </c>
      <c r="G6" s="22">
        <f t="shared" ref="G6:G9" si="0">0.6*F6</f>
        <v>16301.4</v>
      </c>
      <c r="H6" s="18">
        <f>'01_BOM_DUZELTILDI'!$G6*'01_BOM_DUZELTILDI'!$I6</f>
        <v>48904.2</v>
      </c>
      <c r="I6" s="33">
        <v>3</v>
      </c>
      <c r="J6" s="17" t="s">
        <v>31</v>
      </c>
      <c r="K6" s="17" t="s">
        <v>40</v>
      </c>
      <c r="L6" s="17" t="s">
        <v>49</v>
      </c>
      <c r="M6" s="17"/>
      <c r="N6" s="17"/>
      <c r="O6" s="17" t="s">
        <v>41</v>
      </c>
      <c r="P6" s="17" t="s">
        <v>50</v>
      </c>
      <c r="Q6" s="19"/>
      <c r="R6" s="17" t="s">
        <v>35</v>
      </c>
      <c r="S6" s="20"/>
    </row>
    <row r="7" spans="1:19" ht="33" hidden="1" customHeight="1">
      <c r="A7" s="21">
        <v>6</v>
      </c>
      <c r="B7" s="21" t="s">
        <v>18</v>
      </c>
      <c r="C7" s="21" t="s">
        <v>51</v>
      </c>
      <c r="D7" s="21" t="s">
        <v>374</v>
      </c>
      <c r="E7" s="21" t="s">
        <v>375</v>
      </c>
      <c r="F7" s="22">
        <v>975</v>
      </c>
      <c r="G7" s="22">
        <f t="shared" si="0"/>
        <v>585</v>
      </c>
      <c r="H7" s="22">
        <f>'01_BOM_DUZELTILDI'!$G7*'01_BOM_DUZELTILDI'!$I7</f>
        <v>1170</v>
      </c>
      <c r="I7" s="34">
        <v>2</v>
      </c>
      <c r="J7" s="21" t="s">
        <v>31</v>
      </c>
      <c r="K7" s="21" t="s">
        <v>40</v>
      </c>
      <c r="L7" s="21" t="s">
        <v>339</v>
      </c>
      <c r="M7" s="21"/>
      <c r="N7" s="21"/>
      <c r="O7" s="21" t="s">
        <v>41</v>
      </c>
      <c r="P7" s="21" t="s">
        <v>55</v>
      </c>
      <c r="Q7" s="23">
        <v>30</v>
      </c>
      <c r="R7" s="21" t="s">
        <v>35</v>
      </c>
      <c r="S7" s="24"/>
    </row>
    <row r="8" spans="1:19" ht="33" hidden="1" customHeight="1">
      <c r="A8" s="17">
        <v>6</v>
      </c>
      <c r="B8" s="17" t="s">
        <v>18</v>
      </c>
      <c r="C8" s="17" t="s">
        <v>51</v>
      </c>
      <c r="D8" s="17" t="s">
        <v>307</v>
      </c>
      <c r="E8" s="17" t="s">
        <v>308</v>
      </c>
      <c r="F8" s="18">
        <v>2429</v>
      </c>
      <c r="G8" s="22">
        <f t="shared" si="0"/>
        <v>1457.3999999999999</v>
      </c>
      <c r="H8" s="18">
        <f>'01_BOM_DUZELTILDI'!$G8*'01_BOM_DUZELTILDI'!$I8</f>
        <v>8744.4</v>
      </c>
      <c r="I8" s="33">
        <v>6</v>
      </c>
      <c r="J8" s="17" t="s">
        <v>31</v>
      </c>
      <c r="K8" s="17" t="s">
        <v>40</v>
      </c>
      <c r="L8" s="17" t="s">
        <v>54</v>
      </c>
      <c r="M8" s="17"/>
      <c r="N8" s="17"/>
      <c r="O8" s="17" t="s">
        <v>41</v>
      </c>
      <c r="P8" s="17" t="s">
        <v>55</v>
      </c>
      <c r="Q8" s="19">
        <v>30</v>
      </c>
      <c r="R8" s="17" t="s">
        <v>35</v>
      </c>
      <c r="S8" s="20"/>
    </row>
    <row r="9" spans="1:19" ht="33" hidden="1" customHeight="1">
      <c r="A9" s="21">
        <v>7</v>
      </c>
      <c r="B9" s="21" t="s">
        <v>18</v>
      </c>
      <c r="C9" s="21" t="s">
        <v>56</v>
      </c>
      <c r="D9" s="21" t="s">
        <v>330</v>
      </c>
      <c r="E9" s="21" t="s">
        <v>331</v>
      </c>
      <c r="F9" s="22">
        <v>5104</v>
      </c>
      <c r="G9" s="22">
        <f t="shared" si="0"/>
        <v>3062.4</v>
      </c>
      <c r="H9" s="22">
        <f>'01_BOM_DUZELTILDI'!$G9*'01_BOM_DUZELTILDI'!$I9</f>
        <v>3062.4</v>
      </c>
      <c r="I9" s="34">
        <v>1</v>
      </c>
      <c r="J9" s="21" t="s">
        <v>31</v>
      </c>
      <c r="K9" s="21" t="s">
        <v>40</v>
      </c>
      <c r="L9" s="21" t="s">
        <v>59</v>
      </c>
      <c r="M9" s="21"/>
      <c r="N9" s="21"/>
      <c r="O9" s="21" t="s">
        <v>41</v>
      </c>
      <c r="P9" s="21" t="s">
        <v>60</v>
      </c>
      <c r="Q9" s="23">
        <v>2</v>
      </c>
      <c r="R9" s="21" t="s">
        <v>35</v>
      </c>
      <c r="S9" s="24"/>
    </row>
    <row r="10" spans="1:19" ht="33" hidden="1" customHeight="1">
      <c r="A10" s="17">
        <v>8</v>
      </c>
      <c r="B10" s="17" t="s">
        <v>18</v>
      </c>
      <c r="C10" s="17" t="s">
        <v>61</v>
      </c>
      <c r="D10" s="17" t="s">
        <v>320</v>
      </c>
      <c r="E10" s="17" t="s">
        <v>321</v>
      </c>
      <c r="F10" s="18">
        <v>6350</v>
      </c>
      <c r="G10" s="18">
        <f>'01_BOM_DUZELTILDI'!$F10</f>
        <v>6350</v>
      </c>
      <c r="H10" s="18">
        <f>'01_BOM_DUZELTILDI'!$G10*'01_BOM_DUZELTILDI'!$I10</f>
        <v>38100</v>
      </c>
      <c r="I10" s="33">
        <v>6</v>
      </c>
      <c r="J10" s="17" t="s">
        <v>31</v>
      </c>
      <c r="K10" s="17" t="s">
        <v>369</v>
      </c>
      <c r="L10" s="17" t="s">
        <v>64</v>
      </c>
      <c r="M10" s="17"/>
      <c r="N10" s="17"/>
      <c r="O10" s="17" t="s">
        <v>33</v>
      </c>
      <c r="P10" s="17" t="s">
        <v>66</v>
      </c>
      <c r="Q10" s="19"/>
      <c r="R10" s="17" t="s">
        <v>35</v>
      </c>
      <c r="S10" s="20"/>
    </row>
    <row r="11" spans="1:19" ht="33" hidden="1" customHeight="1">
      <c r="A11" s="21">
        <v>9</v>
      </c>
      <c r="B11" s="21" t="s">
        <v>18</v>
      </c>
      <c r="C11" s="21" t="s">
        <v>319</v>
      </c>
      <c r="D11" s="21" t="s">
        <v>324</v>
      </c>
      <c r="E11" s="21" t="s">
        <v>325</v>
      </c>
      <c r="F11" s="22">
        <v>99000</v>
      </c>
      <c r="G11" s="22">
        <f>'01_BOM_DUZELTILDI'!$F11</f>
        <v>99000</v>
      </c>
      <c r="H11" s="22">
        <f>'01_BOM_DUZELTILDI'!$G11*'01_BOM_DUZELTILDI'!$I11</f>
        <v>198000</v>
      </c>
      <c r="I11" s="34">
        <v>2</v>
      </c>
      <c r="J11" s="21" t="s">
        <v>31</v>
      </c>
      <c r="K11" s="21" t="s">
        <v>65</v>
      </c>
      <c r="L11" s="21" t="s">
        <v>64</v>
      </c>
      <c r="M11" s="21"/>
      <c r="N11" s="21"/>
      <c r="O11" s="21" t="s">
        <v>33</v>
      </c>
      <c r="P11" s="21" t="s">
        <v>69</v>
      </c>
      <c r="Q11" s="23"/>
      <c r="R11" s="21" t="s">
        <v>35</v>
      </c>
      <c r="S11" s="24"/>
    </row>
    <row r="12" spans="1:19" ht="33" hidden="1" customHeight="1">
      <c r="A12" s="17">
        <v>20</v>
      </c>
      <c r="B12" s="17" t="s">
        <v>18</v>
      </c>
      <c r="C12" s="17" t="s">
        <v>319</v>
      </c>
      <c r="D12" s="17" t="s">
        <v>326</v>
      </c>
      <c r="E12" s="17" t="s">
        <v>327</v>
      </c>
      <c r="F12" s="18">
        <v>105000</v>
      </c>
      <c r="G12" s="18">
        <f>'01_BOM_DUZELTILDI'!$F12</f>
        <v>105000</v>
      </c>
      <c r="H12" s="18">
        <f>'01_BOM_DUZELTILDI'!$G12*'01_BOM_DUZELTILDI'!$I12</f>
        <v>315000</v>
      </c>
      <c r="I12" s="33">
        <v>3</v>
      </c>
      <c r="J12" s="17" t="s">
        <v>31</v>
      </c>
      <c r="K12" s="17" t="s">
        <v>65</v>
      </c>
      <c r="L12" s="17"/>
      <c r="M12" s="17"/>
      <c r="N12" s="17"/>
      <c r="O12" s="17" t="s">
        <v>33</v>
      </c>
      <c r="P12" s="17"/>
      <c r="Q12" s="19"/>
      <c r="R12" s="17" t="s">
        <v>35</v>
      </c>
      <c r="S12" s="20"/>
    </row>
    <row r="13" spans="1:19" ht="33" hidden="1" customHeight="1">
      <c r="A13" s="21">
        <v>6</v>
      </c>
      <c r="B13" s="21" t="s">
        <v>18</v>
      </c>
      <c r="C13" s="21" t="s">
        <v>340</v>
      </c>
      <c r="D13" s="21" t="s">
        <v>348</v>
      </c>
      <c r="E13" s="21" t="s">
        <v>349</v>
      </c>
      <c r="F13" s="22">
        <v>33208</v>
      </c>
      <c r="G13" s="22">
        <f>0.6*F13</f>
        <v>19924.8</v>
      </c>
      <c r="H13" s="22">
        <f>'01_BOM_DUZELTILDI'!$G13*'01_BOM_DUZELTILDI'!$I13</f>
        <v>39849.599999999999</v>
      </c>
      <c r="I13" s="34">
        <v>2</v>
      </c>
      <c r="J13" s="21" t="s">
        <v>31</v>
      </c>
      <c r="K13" s="21" t="s">
        <v>40</v>
      </c>
      <c r="L13" s="21"/>
      <c r="M13" s="21"/>
      <c r="N13" s="21"/>
      <c r="O13" s="21" t="s">
        <v>41</v>
      </c>
      <c r="P13" s="21" t="s">
        <v>55</v>
      </c>
      <c r="Q13" s="23">
        <v>30</v>
      </c>
      <c r="R13" s="21" t="s">
        <v>35</v>
      </c>
      <c r="S13" s="24"/>
    </row>
    <row r="14" spans="1:19" ht="33" hidden="1" customHeight="1">
      <c r="A14" s="17">
        <v>10</v>
      </c>
      <c r="B14" s="17" t="s">
        <v>18</v>
      </c>
      <c r="C14" s="17" t="s">
        <v>70</v>
      </c>
      <c r="D14" s="17" t="s">
        <v>351</v>
      </c>
      <c r="E14" s="17" t="s">
        <v>352</v>
      </c>
      <c r="F14" s="18">
        <v>675</v>
      </c>
      <c r="G14" s="18">
        <f>'01_BOM_DUZELTILDI'!$F14</f>
        <v>675</v>
      </c>
      <c r="H14" s="18">
        <f>'01_BOM_DUZELTILDI'!$G14*'01_BOM_DUZELTILDI'!$I14</f>
        <v>4050</v>
      </c>
      <c r="I14" s="33">
        <v>6</v>
      </c>
      <c r="J14" s="17" t="s">
        <v>74</v>
      </c>
      <c r="K14" s="17" t="s">
        <v>369</v>
      </c>
      <c r="L14" s="17" t="s">
        <v>73</v>
      </c>
      <c r="M14" s="17"/>
      <c r="N14" s="17"/>
      <c r="O14" s="17" t="s">
        <v>33</v>
      </c>
      <c r="P14" s="17" t="s">
        <v>76</v>
      </c>
      <c r="Q14" s="19"/>
      <c r="R14" s="17" t="s">
        <v>35</v>
      </c>
      <c r="S14" s="20"/>
    </row>
    <row r="15" spans="1:19" ht="33" hidden="1" customHeight="1">
      <c r="A15" s="21">
        <v>12</v>
      </c>
      <c r="B15" s="21" t="s">
        <v>18</v>
      </c>
      <c r="C15" s="21" t="s">
        <v>80</v>
      </c>
      <c r="D15" s="21" t="s">
        <v>81</v>
      </c>
      <c r="E15" s="21" t="s">
        <v>82</v>
      </c>
      <c r="F15" s="22">
        <v>2530</v>
      </c>
      <c r="G15" s="22">
        <f>'01_BOM_DUZELTILDI'!$F15</f>
        <v>2530</v>
      </c>
      <c r="H15" s="22">
        <f>'01_BOM_DUZELTILDI'!$G15*'01_BOM_DUZELTILDI'!$I15</f>
        <v>15180</v>
      </c>
      <c r="I15" s="34">
        <v>6</v>
      </c>
      <c r="J15" s="21" t="s">
        <v>74</v>
      </c>
      <c r="K15" s="21" t="s">
        <v>75</v>
      </c>
      <c r="L15" s="21"/>
      <c r="M15" s="21"/>
      <c r="N15" s="21"/>
      <c r="O15" s="21" t="s">
        <v>33</v>
      </c>
      <c r="P15" s="21"/>
      <c r="Q15" s="23"/>
      <c r="R15" s="21" t="s">
        <v>35</v>
      </c>
      <c r="S15" s="24"/>
    </row>
    <row r="16" spans="1:19" ht="33" hidden="1" customHeight="1">
      <c r="A16" s="17">
        <v>13</v>
      </c>
      <c r="B16" s="17" t="s">
        <v>18</v>
      </c>
      <c r="C16" s="17" t="s">
        <v>83</v>
      </c>
      <c r="D16" s="17"/>
      <c r="E16" s="21" t="s">
        <v>121</v>
      </c>
      <c r="F16" s="18">
        <f ca="1">OFFSET('01_BOM_DUZELTILDI'!$F16,1,2)</f>
        <v>96000</v>
      </c>
      <c r="G16" s="18">
        <f ca="1">'01_BOM_DUZELTILDI'!$F16</f>
        <v>96000</v>
      </c>
      <c r="H16" s="18">
        <f ca="1">'01_BOM_DUZELTILDI'!$G16*'01_BOM_DUZELTILDI'!$I16</f>
        <v>96000</v>
      </c>
      <c r="I16" s="33">
        <v>1</v>
      </c>
      <c r="J16" s="17" t="s">
        <v>31</v>
      </c>
      <c r="K16" s="17" t="s">
        <v>369</v>
      </c>
      <c r="L16" s="17"/>
      <c r="M16" s="17"/>
      <c r="N16" s="17"/>
      <c r="O16" s="17" t="s">
        <v>33</v>
      </c>
      <c r="P16" s="17" t="s">
        <v>34</v>
      </c>
      <c r="Q16" s="19"/>
      <c r="R16" s="17" t="s">
        <v>35</v>
      </c>
      <c r="S16" s="20"/>
    </row>
    <row r="17" spans="1:19" ht="33" hidden="1" customHeight="1">
      <c r="A17" s="21">
        <v>14</v>
      </c>
      <c r="B17" s="21" t="s">
        <v>18</v>
      </c>
      <c r="C17" s="21" t="s">
        <v>85</v>
      </c>
      <c r="D17" s="21"/>
      <c r="E17" s="21" t="s">
        <v>86</v>
      </c>
      <c r="F17" s="22">
        <v>16</v>
      </c>
      <c r="G17" s="22">
        <v>100</v>
      </c>
      <c r="H17" s="22">
        <f>'01_BOM_DUZELTILDI'!$G17*'01_BOM_DUZELTILDI'!$I17</f>
        <v>96000</v>
      </c>
      <c r="I17" s="34">
        <f>60*'01_BOM_DUZELTILDI'!$F17</f>
        <v>960</v>
      </c>
      <c r="J17" s="17" t="s">
        <v>123</v>
      </c>
      <c r="K17" s="21" t="s">
        <v>87</v>
      </c>
      <c r="L17" s="21"/>
      <c r="M17" s="21"/>
      <c r="N17" s="21"/>
      <c r="O17" s="21" t="s">
        <v>33</v>
      </c>
      <c r="P17" s="21" t="s">
        <v>34</v>
      </c>
      <c r="Q17" s="23"/>
      <c r="R17" s="21" t="s">
        <v>35</v>
      </c>
      <c r="S17" s="24"/>
    </row>
    <row r="18" spans="1:19" ht="33" customHeight="1">
      <c r="A18" s="9">
        <v>15</v>
      </c>
      <c r="B18" s="9" t="s">
        <v>88</v>
      </c>
      <c r="C18" s="9" t="s">
        <v>19</v>
      </c>
      <c r="D18" s="9"/>
      <c r="E18" s="31" t="s">
        <v>88</v>
      </c>
      <c r="F18" s="10"/>
      <c r="G18" s="10">
        <f>'01_BOM_DUZELTILDI'!$F18</f>
        <v>0</v>
      </c>
      <c r="H18" s="10"/>
      <c r="I18" s="31">
        <v>1</v>
      </c>
      <c r="J18" s="9" t="s">
        <v>23</v>
      </c>
      <c r="K18" s="9" t="s">
        <v>24</v>
      </c>
      <c r="L18" s="9" t="s">
        <v>89</v>
      </c>
      <c r="M18" s="9" t="s">
        <v>90</v>
      </c>
      <c r="N18" s="9" t="s">
        <v>90</v>
      </c>
      <c r="O18" s="9" t="s">
        <v>25</v>
      </c>
      <c r="P18" s="9" t="s">
        <v>26</v>
      </c>
      <c r="Q18" s="11"/>
      <c r="R18" s="9"/>
      <c r="S18" s="12"/>
    </row>
    <row r="19" spans="1:19" ht="33" hidden="1" customHeight="1">
      <c r="A19" s="13">
        <v>16</v>
      </c>
      <c r="B19" s="13" t="s">
        <v>88</v>
      </c>
      <c r="C19" s="13" t="s">
        <v>27</v>
      </c>
      <c r="D19" s="13" t="s">
        <v>337</v>
      </c>
      <c r="E19" s="13" t="s">
        <v>338</v>
      </c>
      <c r="F19" s="14">
        <v>165000</v>
      </c>
      <c r="G19" s="14">
        <f>0.6*F19</f>
        <v>99000</v>
      </c>
      <c r="H19" s="14">
        <f>'01_BOM_DUZELTILDI'!$G19*'01_BOM_DUZELTILDI'!$I19</f>
        <v>99000</v>
      </c>
      <c r="I19" s="32">
        <v>1</v>
      </c>
      <c r="J19" s="13" t="s">
        <v>31</v>
      </c>
      <c r="K19" s="13" t="s">
        <v>350</v>
      </c>
      <c r="L19" s="13" t="s">
        <v>93</v>
      </c>
      <c r="M19" s="13" t="s">
        <v>90</v>
      </c>
      <c r="N19" s="13" t="s">
        <v>90</v>
      </c>
      <c r="O19" s="13" t="s">
        <v>33</v>
      </c>
      <c r="P19" s="13"/>
      <c r="Q19" s="15"/>
      <c r="R19" s="13" t="s">
        <v>35</v>
      </c>
      <c r="S19" s="16"/>
    </row>
    <row r="20" spans="1:19" ht="33" hidden="1" customHeight="1">
      <c r="A20" s="17">
        <v>17</v>
      </c>
      <c r="B20" s="17" t="s">
        <v>88</v>
      </c>
      <c r="C20" s="17" t="s">
        <v>344</v>
      </c>
      <c r="D20" s="17" t="s">
        <v>345</v>
      </c>
      <c r="E20" s="17" t="s">
        <v>346</v>
      </c>
      <c r="F20" s="18">
        <v>204604</v>
      </c>
      <c r="G20" s="22">
        <f t="shared" ref="G20:G21" si="1">0.6*F20</f>
        <v>122762.4</v>
      </c>
      <c r="H20" s="18">
        <f>'01_BOM_DUZELTILDI'!$G20*'01_BOM_DUZELTILDI'!$I20</f>
        <v>122762.4</v>
      </c>
      <c r="I20" s="33">
        <v>1</v>
      </c>
      <c r="J20" s="17" t="s">
        <v>31</v>
      </c>
      <c r="K20" s="17" t="s">
        <v>40</v>
      </c>
      <c r="L20" s="17" t="s">
        <v>343</v>
      </c>
      <c r="M20" s="17"/>
      <c r="N20" s="17"/>
      <c r="O20" s="17" t="s">
        <v>41</v>
      </c>
      <c r="P20" s="17" t="s">
        <v>96</v>
      </c>
      <c r="Q20" s="19">
        <v>3</v>
      </c>
      <c r="R20" s="17" t="s">
        <v>35</v>
      </c>
      <c r="S20" s="20"/>
    </row>
    <row r="21" spans="1:19" ht="33" hidden="1" customHeight="1">
      <c r="A21" s="21">
        <v>17</v>
      </c>
      <c r="B21" s="21" t="s">
        <v>88</v>
      </c>
      <c r="C21" s="21" t="s">
        <v>380</v>
      </c>
      <c r="D21" s="21" t="s">
        <v>341</v>
      </c>
      <c r="E21" s="21" t="s">
        <v>342</v>
      </c>
      <c r="F21" s="22">
        <v>19760</v>
      </c>
      <c r="G21" s="22">
        <f t="shared" si="1"/>
        <v>11856</v>
      </c>
      <c r="H21" s="22">
        <f>'01_BOM_DUZELTILDI'!$G21*'01_BOM_DUZELTILDI'!$I21</f>
        <v>11856</v>
      </c>
      <c r="I21" s="34">
        <v>1</v>
      </c>
      <c r="J21" s="21" t="s">
        <v>31</v>
      </c>
      <c r="K21" s="21" t="s">
        <v>40</v>
      </c>
      <c r="L21" s="21" t="s">
        <v>343</v>
      </c>
      <c r="M21" s="21"/>
      <c r="N21" s="21"/>
      <c r="O21" s="21" t="s">
        <v>41</v>
      </c>
      <c r="P21" s="21" t="s">
        <v>96</v>
      </c>
      <c r="Q21" s="23">
        <v>3</v>
      </c>
      <c r="R21" s="21" t="s">
        <v>35</v>
      </c>
      <c r="S21" s="24"/>
    </row>
    <row r="22" spans="1:19" ht="33" hidden="1" customHeight="1">
      <c r="A22" s="17">
        <v>19</v>
      </c>
      <c r="B22" s="17" t="s">
        <v>88</v>
      </c>
      <c r="C22" s="17" t="s">
        <v>61</v>
      </c>
      <c r="D22" s="17" t="s">
        <v>322</v>
      </c>
      <c r="E22" s="17" t="s">
        <v>323</v>
      </c>
      <c r="F22" s="18">
        <v>6350</v>
      </c>
      <c r="G22" s="18">
        <f>'01_BOM_DUZELTILDI'!$F22</f>
        <v>6350</v>
      </c>
      <c r="H22" s="18">
        <f>'01_BOM_DUZELTILDI'!$G22*'01_BOM_DUZELTILDI'!$I22</f>
        <v>19050</v>
      </c>
      <c r="I22" s="33">
        <v>3</v>
      </c>
      <c r="J22" s="17" t="s">
        <v>31</v>
      </c>
      <c r="K22" s="17" t="s">
        <v>369</v>
      </c>
      <c r="L22" s="17" t="s">
        <v>64</v>
      </c>
      <c r="M22" s="17"/>
      <c r="N22" s="17"/>
      <c r="O22" s="17" t="s">
        <v>33</v>
      </c>
      <c r="P22" s="17"/>
      <c r="Q22" s="19"/>
      <c r="R22" s="17" t="s">
        <v>35</v>
      </c>
      <c r="S22" s="20"/>
    </row>
    <row r="23" spans="1:19" ht="33" hidden="1" customHeight="1">
      <c r="A23" s="21">
        <v>9</v>
      </c>
      <c r="B23" s="21" t="s">
        <v>88</v>
      </c>
      <c r="C23" s="21" t="s">
        <v>319</v>
      </c>
      <c r="D23" s="21" t="s">
        <v>324</v>
      </c>
      <c r="E23" s="21" t="s">
        <v>325</v>
      </c>
      <c r="F23" s="22">
        <v>99000</v>
      </c>
      <c r="G23" s="22">
        <f>'01_BOM_DUZELTILDI'!$F23</f>
        <v>99000</v>
      </c>
      <c r="H23" s="22">
        <f>'01_BOM_DUZELTILDI'!$G23*'01_BOM_DUZELTILDI'!$I23</f>
        <v>99000</v>
      </c>
      <c r="I23" s="34">
        <v>1</v>
      </c>
      <c r="J23" s="21" t="s">
        <v>31</v>
      </c>
      <c r="K23" s="21" t="s">
        <v>65</v>
      </c>
      <c r="L23" s="21" t="s">
        <v>64</v>
      </c>
      <c r="M23" s="21"/>
      <c r="N23" s="21"/>
      <c r="O23" s="21" t="s">
        <v>33</v>
      </c>
      <c r="P23" s="21" t="s">
        <v>69</v>
      </c>
      <c r="Q23" s="23"/>
      <c r="R23" s="21" t="s">
        <v>35</v>
      </c>
      <c r="S23" s="24"/>
    </row>
    <row r="24" spans="1:19" ht="33" hidden="1" customHeight="1">
      <c r="A24" s="17">
        <v>20</v>
      </c>
      <c r="B24" s="17" t="s">
        <v>88</v>
      </c>
      <c r="C24" s="17" t="s">
        <v>319</v>
      </c>
      <c r="D24" s="17" t="s">
        <v>326</v>
      </c>
      <c r="E24" s="17" t="s">
        <v>327</v>
      </c>
      <c r="F24" s="18">
        <v>105000</v>
      </c>
      <c r="G24" s="18">
        <f>'01_BOM_DUZELTILDI'!$F24</f>
        <v>105000</v>
      </c>
      <c r="H24" s="18">
        <f>'01_BOM_DUZELTILDI'!$G24*'01_BOM_DUZELTILDI'!$I24</f>
        <v>210000</v>
      </c>
      <c r="I24" s="33">
        <v>2</v>
      </c>
      <c r="J24" s="17" t="s">
        <v>31</v>
      </c>
      <c r="K24" s="17" t="s">
        <v>65</v>
      </c>
      <c r="L24" s="17"/>
      <c r="M24" s="17"/>
      <c r="N24" s="17"/>
      <c r="O24" s="17" t="s">
        <v>33</v>
      </c>
      <c r="P24" s="17"/>
      <c r="Q24" s="19"/>
      <c r="R24" s="17" t="s">
        <v>35</v>
      </c>
      <c r="S24" s="20"/>
    </row>
    <row r="25" spans="1:19" ht="33" hidden="1" customHeight="1">
      <c r="A25" s="21">
        <v>21</v>
      </c>
      <c r="B25" s="21" t="s">
        <v>88</v>
      </c>
      <c r="C25" s="21" t="s">
        <v>51</v>
      </c>
      <c r="D25" s="21" t="s">
        <v>378</v>
      </c>
      <c r="E25" s="21" t="s">
        <v>379</v>
      </c>
      <c r="F25" s="22">
        <v>2606</v>
      </c>
      <c r="G25" s="22">
        <f t="shared" ref="G25:G31" si="2">0.6*F25</f>
        <v>1563.6</v>
      </c>
      <c r="H25" s="22">
        <f>'01_BOM_DUZELTILDI'!$G25*'01_BOM_DUZELTILDI'!$I25</f>
        <v>6254.4</v>
      </c>
      <c r="I25" s="34">
        <v>4</v>
      </c>
      <c r="J25" s="21" t="s">
        <v>31</v>
      </c>
      <c r="K25" s="21" t="s">
        <v>40</v>
      </c>
      <c r="L25" s="21" t="s">
        <v>355</v>
      </c>
      <c r="M25" s="21"/>
      <c r="N25" s="21"/>
      <c r="O25" s="21" t="s">
        <v>41</v>
      </c>
      <c r="P25" s="21" t="s">
        <v>102</v>
      </c>
      <c r="Q25" s="23">
        <v>15</v>
      </c>
      <c r="R25" s="21" t="s">
        <v>35</v>
      </c>
      <c r="S25" s="24"/>
    </row>
    <row r="26" spans="1:19" ht="33" hidden="1" customHeight="1">
      <c r="A26" s="17">
        <v>22</v>
      </c>
      <c r="B26" s="17" t="s">
        <v>88</v>
      </c>
      <c r="C26" s="17" t="s">
        <v>51</v>
      </c>
      <c r="D26" s="17" t="s">
        <v>307</v>
      </c>
      <c r="E26" s="17" t="s">
        <v>308</v>
      </c>
      <c r="F26" s="18">
        <v>2429</v>
      </c>
      <c r="G26" s="22">
        <f t="shared" si="2"/>
        <v>1457.3999999999999</v>
      </c>
      <c r="H26" s="18">
        <f>'01_BOM_DUZELTILDI'!$G26*'01_BOM_DUZELTILDI'!$I26</f>
        <v>1457.3999999999999</v>
      </c>
      <c r="I26" s="33">
        <v>1</v>
      </c>
      <c r="J26" s="17" t="s">
        <v>31</v>
      </c>
      <c r="K26" s="17" t="s">
        <v>40</v>
      </c>
      <c r="L26" s="17" t="s">
        <v>54</v>
      </c>
      <c r="M26" s="17"/>
      <c r="N26" s="17"/>
      <c r="O26" s="17" t="s">
        <v>41</v>
      </c>
      <c r="P26" s="17" t="s">
        <v>103</v>
      </c>
      <c r="Q26" s="19">
        <v>3</v>
      </c>
      <c r="R26" s="17" t="s">
        <v>35</v>
      </c>
      <c r="S26" s="20"/>
    </row>
    <row r="27" spans="1:19" ht="33" hidden="1" customHeight="1">
      <c r="A27" s="21">
        <v>25</v>
      </c>
      <c r="B27" s="21" t="s">
        <v>88</v>
      </c>
      <c r="C27" s="21" t="s">
        <v>51</v>
      </c>
      <c r="D27" s="21" t="s">
        <v>315</v>
      </c>
      <c r="E27" s="21" t="s">
        <v>316</v>
      </c>
      <c r="F27" s="22">
        <v>2807</v>
      </c>
      <c r="G27" s="22">
        <f t="shared" si="2"/>
        <v>1684.2</v>
      </c>
      <c r="H27" s="22">
        <f>'01_BOM_DUZELTILDI'!$G27*'01_BOM_DUZELTILDI'!$I27</f>
        <v>1684.2</v>
      </c>
      <c r="I27" s="34">
        <v>1</v>
      </c>
      <c r="J27" s="21" t="s">
        <v>31</v>
      </c>
      <c r="K27" s="21" t="s">
        <v>40</v>
      </c>
      <c r="L27" s="29" t="s">
        <v>353</v>
      </c>
      <c r="M27" s="21"/>
      <c r="N27" s="21"/>
      <c r="O27" s="21" t="s">
        <v>41</v>
      </c>
      <c r="P27" s="21" t="s">
        <v>115</v>
      </c>
      <c r="Q27" s="23">
        <v>1</v>
      </c>
      <c r="R27" s="21" t="s">
        <v>35</v>
      </c>
      <c r="S27" s="24"/>
    </row>
    <row r="28" spans="1:19" ht="33" hidden="1" customHeight="1">
      <c r="A28" s="21">
        <v>25</v>
      </c>
      <c r="B28" s="21" t="s">
        <v>88</v>
      </c>
      <c r="C28" s="21" t="s">
        <v>51</v>
      </c>
      <c r="D28" s="21" t="s">
        <v>376</v>
      </c>
      <c r="E28" s="21" t="s">
        <v>377</v>
      </c>
      <c r="F28" s="22">
        <v>1589</v>
      </c>
      <c r="G28" s="22">
        <f t="shared" si="2"/>
        <v>953.4</v>
      </c>
      <c r="H28" s="22">
        <f>'01_BOM_DUZELTILDI'!$G28*'01_BOM_DUZELTILDI'!$I28</f>
        <v>953.4</v>
      </c>
      <c r="I28" s="34">
        <v>1</v>
      </c>
      <c r="J28" s="21" t="s">
        <v>31</v>
      </c>
      <c r="K28" s="21" t="s">
        <v>40</v>
      </c>
      <c r="L28" s="29" t="s">
        <v>354</v>
      </c>
      <c r="M28" s="21"/>
      <c r="N28" s="21"/>
      <c r="O28" s="21" t="s">
        <v>41</v>
      </c>
      <c r="P28" s="21" t="s">
        <v>115</v>
      </c>
      <c r="Q28" s="23">
        <v>1</v>
      </c>
      <c r="R28" s="21" t="s">
        <v>35</v>
      </c>
      <c r="S28" s="24"/>
    </row>
    <row r="29" spans="1:19" ht="33" hidden="1" customHeight="1">
      <c r="A29" s="21">
        <v>23</v>
      </c>
      <c r="B29" s="21" t="s">
        <v>88</v>
      </c>
      <c r="C29" s="21" t="s">
        <v>51</v>
      </c>
      <c r="D29" s="21" t="s">
        <v>305</v>
      </c>
      <c r="E29" s="21" t="s">
        <v>306</v>
      </c>
      <c r="F29" s="22">
        <v>2337</v>
      </c>
      <c r="G29" s="22">
        <f t="shared" si="2"/>
        <v>1402.2</v>
      </c>
      <c r="H29" s="22">
        <f>'01_BOM_DUZELTILDI'!$G29*'01_BOM_DUZELTILDI'!$I29</f>
        <v>4206.6000000000004</v>
      </c>
      <c r="I29" s="34">
        <v>3</v>
      </c>
      <c r="J29" s="21" t="s">
        <v>31</v>
      </c>
      <c r="K29" s="21" t="s">
        <v>40</v>
      </c>
      <c r="L29" s="21" t="s">
        <v>106</v>
      </c>
      <c r="M29" s="21"/>
      <c r="N29" s="21"/>
      <c r="O29" s="21" t="s">
        <v>41</v>
      </c>
      <c r="P29" s="21" t="s">
        <v>107</v>
      </c>
      <c r="Q29" s="23">
        <v>9</v>
      </c>
      <c r="R29" s="21" t="s">
        <v>35</v>
      </c>
      <c r="S29" s="24"/>
    </row>
    <row r="30" spans="1:19" ht="33" hidden="1" customHeight="1">
      <c r="A30" s="17">
        <v>24</v>
      </c>
      <c r="B30" s="17" t="s">
        <v>88</v>
      </c>
      <c r="C30" s="17" t="s">
        <v>51</v>
      </c>
      <c r="D30" s="21" t="s">
        <v>301</v>
      </c>
      <c r="E30" s="21" t="s">
        <v>302</v>
      </c>
      <c r="F30" s="22">
        <v>783</v>
      </c>
      <c r="G30" s="22">
        <f t="shared" si="2"/>
        <v>469.79999999999995</v>
      </c>
      <c r="H30" s="18">
        <f>'01_BOM_DUZELTILDI'!$G30*'01_BOM_DUZELTILDI'!$I30</f>
        <v>939.59999999999991</v>
      </c>
      <c r="I30" s="33">
        <v>2</v>
      </c>
      <c r="J30" s="17" t="s">
        <v>31</v>
      </c>
      <c r="K30" s="17" t="s">
        <v>40</v>
      </c>
      <c r="L30" s="17" t="s">
        <v>110</v>
      </c>
      <c r="M30" s="17"/>
      <c r="N30" s="17"/>
      <c r="O30" s="17" t="s">
        <v>41</v>
      </c>
      <c r="P30" s="17" t="s">
        <v>111</v>
      </c>
      <c r="Q30" s="19">
        <v>2</v>
      </c>
      <c r="R30" s="17" t="s">
        <v>35</v>
      </c>
      <c r="S30" s="20"/>
    </row>
    <row r="31" spans="1:19" ht="33" hidden="1" customHeight="1">
      <c r="A31" s="21">
        <v>25</v>
      </c>
      <c r="B31" s="21" t="s">
        <v>88</v>
      </c>
      <c r="C31" s="21" t="s">
        <v>51</v>
      </c>
      <c r="D31" s="17" t="s">
        <v>299</v>
      </c>
      <c r="E31" s="17" t="s">
        <v>300</v>
      </c>
      <c r="F31" s="18">
        <v>897</v>
      </c>
      <c r="G31" s="22">
        <f t="shared" si="2"/>
        <v>538.19999999999993</v>
      </c>
      <c r="H31" s="22">
        <f>'01_BOM_DUZELTILDI'!$G31*'01_BOM_DUZELTILDI'!$I31</f>
        <v>538.19999999999993</v>
      </c>
      <c r="I31" s="34">
        <v>1</v>
      </c>
      <c r="J31" s="21" t="s">
        <v>31</v>
      </c>
      <c r="K31" s="21" t="s">
        <v>40</v>
      </c>
      <c r="L31" s="21" t="s">
        <v>114</v>
      </c>
      <c r="M31" s="21"/>
      <c r="N31" s="21"/>
      <c r="O31" s="21" t="s">
        <v>41</v>
      </c>
      <c r="P31" s="21" t="s">
        <v>115</v>
      </c>
      <c r="Q31" s="23">
        <v>1</v>
      </c>
      <c r="R31" s="21" t="s">
        <v>35</v>
      </c>
      <c r="S31" s="24"/>
    </row>
    <row r="32" spans="1:19" ht="33" hidden="1" customHeight="1">
      <c r="A32" s="17">
        <v>28</v>
      </c>
      <c r="B32" s="17" t="s">
        <v>88</v>
      </c>
      <c r="C32" s="17" t="s">
        <v>80</v>
      </c>
      <c r="D32" s="17" t="s">
        <v>119</v>
      </c>
      <c r="E32" s="17" t="s">
        <v>120</v>
      </c>
      <c r="F32" s="18">
        <v>2200</v>
      </c>
      <c r="G32" s="18">
        <f>'01_BOM_DUZELTILDI'!$F32</f>
        <v>2200</v>
      </c>
      <c r="H32" s="18">
        <f>'01_BOM_DUZELTILDI'!$G32*'01_BOM_DUZELTILDI'!$I32</f>
        <v>6600</v>
      </c>
      <c r="I32" s="33">
        <v>3</v>
      </c>
      <c r="J32" s="17" t="s">
        <v>74</v>
      </c>
      <c r="K32" s="17" t="s">
        <v>75</v>
      </c>
      <c r="L32" s="17"/>
      <c r="M32" s="17"/>
      <c r="N32" s="17"/>
      <c r="O32" s="17" t="s">
        <v>33</v>
      </c>
      <c r="P32" s="17"/>
      <c r="Q32" s="19"/>
      <c r="R32" s="17" t="s">
        <v>35</v>
      </c>
      <c r="S32" s="20"/>
    </row>
    <row r="33" spans="1:19" ht="33" hidden="1" customHeight="1">
      <c r="A33" s="21">
        <v>29</v>
      </c>
      <c r="B33" s="21" t="s">
        <v>88</v>
      </c>
      <c r="C33" s="21" t="s">
        <v>83</v>
      </c>
      <c r="D33" s="21"/>
      <c r="E33" s="21" t="s">
        <v>121</v>
      </c>
      <c r="F33" s="22">
        <f ca="1">OFFSET('01_BOM_DUZELTILDI'!$F33,1,2)</f>
        <v>78000</v>
      </c>
      <c r="G33" s="22">
        <f ca="1">'01_BOM_DUZELTILDI'!$F33</f>
        <v>78000</v>
      </c>
      <c r="H33" s="22">
        <f ca="1">'01_BOM_DUZELTILDI'!$G33*'01_BOM_DUZELTILDI'!$I33</f>
        <v>78000</v>
      </c>
      <c r="I33" s="34">
        <v>1</v>
      </c>
      <c r="J33" s="21" t="s">
        <v>31</v>
      </c>
      <c r="K33" s="17" t="s">
        <v>369</v>
      </c>
      <c r="L33" s="21"/>
      <c r="M33" s="21"/>
      <c r="N33" s="21"/>
      <c r="O33" s="21" t="s">
        <v>33</v>
      </c>
      <c r="P33" s="21" t="s">
        <v>34</v>
      </c>
      <c r="Q33" s="23"/>
      <c r="R33" s="21" t="s">
        <v>35</v>
      </c>
      <c r="S33" s="24"/>
    </row>
    <row r="34" spans="1:19" ht="33" hidden="1" customHeight="1">
      <c r="A34" s="17">
        <v>30</v>
      </c>
      <c r="B34" s="17" t="s">
        <v>88</v>
      </c>
      <c r="C34" s="17" t="s">
        <v>85</v>
      </c>
      <c r="D34" s="17"/>
      <c r="E34" s="17" t="s">
        <v>157</v>
      </c>
      <c r="F34" s="18">
        <v>13</v>
      </c>
      <c r="G34" s="18">
        <v>100</v>
      </c>
      <c r="H34" s="18">
        <f>'01_BOM_DUZELTILDI'!$G34*'01_BOM_DUZELTILDI'!$I34</f>
        <v>78000</v>
      </c>
      <c r="I34" s="33">
        <f>60*'01_BOM_DUZELTILDI'!$F34</f>
        <v>780</v>
      </c>
      <c r="J34" s="17" t="s">
        <v>123</v>
      </c>
      <c r="K34" s="17" t="s">
        <v>87</v>
      </c>
      <c r="L34" s="17"/>
      <c r="M34" s="17"/>
      <c r="N34" s="17"/>
      <c r="O34" s="17" t="s">
        <v>33</v>
      </c>
      <c r="P34" s="17"/>
      <c r="Q34" s="19"/>
      <c r="R34" s="17" t="s">
        <v>35</v>
      </c>
      <c r="S34" s="20"/>
    </row>
    <row r="35" spans="1:19" ht="33" customHeight="1">
      <c r="A35" s="9">
        <v>31</v>
      </c>
      <c r="B35" s="9" t="s">
        <v>124</v>
      </c>
      <c r="C35" s="9" t="s">
        <v>19</v>
      </c>
      <c r="D35" s="9"/>
      <c r="E35" s="31" t="s">
        <v>124</v>
      </c>
      <c r="F35" s="10"/>
      <c r="G35" s="10">
        <f>'01_BOM_DUZELTILDI'!$F35</f>
        <v>0</v>
      </c>
      <c r="H35" s="10"/>
      <c r="I35" s="31">
        <v>1</v>
      </c>
      <c r="J35" s="9" t="s">
        <v>23</v>
      </c>
      <c r="K35" s="9" t="s">
        <v>24</v>
      </c>
      <c r="L35" s="9" t="s">
        <v>125</v>
      </c>
      <c r="M35" s="9" t="s">
        <v>126</v>
      </c>
      <c r="N35" s="9" t="s">
        <v>126</v>
      </c>
      <c r="O35" s="9" t="s">
        <v>25</v>
      </c>
      <c r="P35" s="9" t="s">
        <v>26</v>
      </c>
      <c r="Q35" s="11"/>
      <c r="R35" s="9"/>
      <c r="S35" s="12"/>
    </row>
    <row r="36" spans="1:19" ht="33" hidden="1" customHeight="1">
      <c r="A36" s="13">
        <v>32</v>
      </c>
      <c r="B36" s="13" t="s">
        <v>124</v>
      </c>
      <c r="C36" s="13" t="s">
        <v>27</v>
      </c>
      <c r="D36" s="13" t="s">
        <v>370</v>
      </c>
      <c r="E36" s="13" t="s">
        <v>371</v>
      </c>
      <c r="F36" s="14">
        <v>13500</v>
      </c>
      <c r="G36" s="14">
        <f>0.6*F36</f>
        <v>8100</v>
      </c>
      <c r="H36" s="14">
        <f>'01_BOM_DUZELTILDI'!$G36*'01_BOM_DUZELTILDI'!$I36</f>
        <v>8100</v>
      </c>
      <c r="I36" s="32">
        <v>1</v>
      </c>
      <c r="J36" s="13" t="s">
        <v>31</v>
      </c>
      <c r="K36" s="13" t="s">
        <v>350</v>
      </c>
      <c r="L36" s="13" t="s">
        <v>129</v>
      </c>
      <c r="M36" s="13" t="s">
        <v>126</v>
      </c>
      <c r="N36" s="13" t="s">
        <v>126</v>
      </c>
      <c r="O36" s="13" t="s">
        <v>33</v>
      </c>
      <c r="P36" s="13"/>
      <c r="Q36" s="15"/>
      <c r="R36" s="13" t="s">
        <v>35</v>
      </c>
      <c r="S36" s="16"/>
    </row>
    <row r="37" spans="1:19" ht="33" hidden="1" customHeight="1">
      <c r="A37" s="21">
        <v>33</v>
      </c>
      <c r="B37" s="21" t="s">
        <v>124</v>
      </c>
      <c r="C37" s="21" t="s">
        <v>51</v>
      </c>
      <c r="D37" s="21" t="s">
        <v>315</v>
      </c>
      <c r="E37" s="21" t="s">
        <v>316</v>
      </c>
      <c r="F37" s="22">
        <v>2807</v>
      </c>
      <c r="G37" s="22">
        <f t="shared" ref="G37:G39" si="3">0.6*F37</f>
        <v>1684.2</v>
      </c>
      <c r="H37" s="22">
        <f>'01_BOM_DUZELTILDI'!$G37*'01_BOM_DUZELTILDI'!$I37</f>
        <v>1684.2</v>
      </c>
      <c r="I37" s="34">
        <v>1</v>
      </c>
      <c r="J37" s="21" t="s">
        <v>31</v>
      </c>
      <c r="K37" s="21" t="s">
        <v>40</v>
      </c>
      <c r="L37" s="21" t="s">
        <v>132</v>
      </c>
      <c r="M37" s="21"/>
      <c r="N37" s="21"/>
      <c r="O37" s="21" t="s">
        <v>41</v>
      </c>
      <c r="P37" s="21" t="s">
        <v>133</v>
      </c>
      <c r="Q37" s="23"/>
      <c r="R37" s="21" t="s">
        <v>35</v>
      </c>
      <c r="S37" s="24"/>
    </row>
    <row r="38" spans="1:19" ht="33" hidden="1" customHeight="1">
      <c r="A38" s="17">
        <v>36</v>
      </c>
      <c r="B38" s="17" t="s">
        <v>124</v>
      </c>
      <c r="C38" s="17" t="s">
        <v>56</v>
      </c>
      <c r="D38" s="17" t="s">
        <v>330</v>
      </c>
      <c r="E38" s="17" t="s">
        <v>331</v>
      </c>
      <c r="F38" s="18">
        <v>5104</v>
      </c>
      <c r="G38" s="22">
        <f t="shared" si="3"/>
        <v>3062.4</v>
      </c>
      <c r="H38" s="18">
        <f>'01_BOM_DUZELTILDI'!$G38*'01_BOM_DUZELTILDI'!$I38</f>
        <v>18374.400000000001</v>
      </c>
      <c r="I38" s="33">
        <v>6</v>
      </c>
      <c r="J38" s="17" t="s">
        <v>31</v>
      </c>
      <c r="K38" s="17" t="s">
        <v>40</v>
      </c>
      <c r="L38" s="30" t="s">
        <v>360</v>
      </c>
      <c r="M38" s="17"/>
      <c r="N38" s="17"/>
      <c r="O38" s="17" t="s">
        <v>41</v>
      </c>
      <c r="P38" s="17" t="s">
        <v>134</v>
      </c>
      <c r="Q38" s="19">
        <v>10</v>
      </c>
      <c r="R38" s="17" t="s">
        <v>35</v>
      </c>
      <c r="S38" s="20"/>
    </row>
    <row r="39" spans="1:19" ht="33" hidden="1" customHeight="1">
      <c r="A39" s="21">
        <v>37</v>
      </c>
      <c r="B39" s="21" t="s">
        <v>124</v>
      </c>
      <c r="C39" s="21" t="s">
        <v>135</v>
      </c>
      <c r="D39" s="21" t="s">
        <v>356</v>
      </c>
      <c r="E39" s="21" t="s">
        <v>357</v>
      </c>
      <c r="F39" s="22">
        <v>6145</v>
      </c>
      <c r="G39" s="22">
        <f t="shared" si="3"/>
        <v>3687</v>
      </c>
      <c r="H39" s="22">
        <f>'01_BOM_DUZELTILDI'!$G39*'01_BOM_DUZELTILDI'!$I39</f>
        <v>14748</v>
      </c>
      <c r="I39" s="34">
        <v>4</v>
      </c>
      <c r="J39" s="21" t="s">
        <v>31</v>
      </c>
      <c r="K39" s="21" t="s">
        <v>40</v>
      </c>
      <c r="L39" s="29" t="s">
        <v>361</v>
      </c>
      <c r="M39" s="21"/>
      <c r="N39" s="21"/>
      <c r="O39" s="21" t="s">
        <v>41</v>
      </c>
      <c r="P39" s="21" t="s">
        <v>138</v>
      </c>
      <c r="Q39" s="23">
        <v>3</v>
      </c>
      <c r="R39" s="21" t="s">
        <v>35</v>
      </c>
      <c r="S39" s="24"/>
    </row>
    <row r="40" spans="1:19" ht="33" hidden="1" customHeight="1">
      <c r="A40" s="17">
        <v>38</v>
      </c>
      <c r="B40" s="17" t="s">
        <v>124</v>
      </c>
      <c r="C40" s="17" t="s">
        <v>139</v>
      </c>
      <c r="D40" s="17" t="s">
        <v>358</v>
      </c>
      <c r="E40" s="17" t="s">
        <v>359</v>
      </c>
      <c r="F40" s="18">
        <v>37000</v>
      </c>
      <c r="G40" s="18">
        <f>'01_BOM_DUZELTILDI'!$F40</f>
        <v>37000</v>
      </c>
      <c r="H40" s="18">
        <f>'01_BOM_DUZELTILDI'!$G40*'01_BOM_DUZELTILDI'!$I40</f>
        <v>37000</v>
      </c>
      <c r="I40" s="33">
        <v>1</v>
      </c>
      <c r="J40" s="17" t="s">
        <v>31</v>
      </c>
      <c r="K40" s="17" t="s">
        <v>142</v>
      </c>
      <c r="L40" s="17"/>
      <c r="M40" s="17"/>
      <c r="N40" s="17"/>
      <c r="O40" s="17" t="s">
        <v>33</v>
      </c>
      <c r="P40" s="17" t="s">
        <v>143</v>
      </c>
      <c r="Q40" s="19"/>
      <c r="R40" s="17" t="s">
        <v>35</v>
      </c>
      <c r="S40" s="20"/>
    </row>
    <row r="41" spans="1:19" ht="33" hidden="1" customHeight="1">
      <c r="A41" s="17">
        <v>41</v>
      </c>
      <c r="B41" s="17" t="s">
        <v>124</v>
      </c>
      <c r="C41" s="17" t="s">
        <v>83</v>
      </c>
      <c r="D41" s="17"/>
      <c r="E41" s="17" t="s">
        <v>121</v>
      </c>
      <c r="F41" s="18">
        <f ca="1">OFFSET('01_BOM_DUZELTILDI'!$F41,1,2)</f>
        <v>15000</v>
      </c>
      <c r="G41" s="18">
        <f ca="1">'01_BOM_DUZELTILDI'!$F41</f>
        <v>15000</v>
      </c>
      <c r="H41" s="18">
        <f ca="1">'01_BOM_DUZELTILDI'!$G41*'01_BOM_DUZELTILDI'!$I41</f>
        <v>15000</v>
      </c>
      <c r="I41" s="33">
        <v>1</v>
      </c>
      <c r="J41" s="17" t="s">
        <v>31</v>
      </c>
      <c r="K41" s="17" t="s">
        <v>369</v>
      </c>
      <c r="L41" s="17"/>
      <c r="M41" s="17"/>
      <c r="N41" s="17"/>
      <c r="O41" s="17" t="s">
        <v>33</v>
      </c>
      <c r="P41" s="17" t="s">
        <v>34</v>
      </c>
      <c r="Q41" s="19"/>
      <c r="R41" s="17" t="s">
        <v>35</v>
      </c>
      <c r="S41" s="20"/>
    </row>
    <row r="42" spans="1:19" ht="33" hidden="1" customHeight="1">
      <c r="A42" s="21">
        <v>42</v>
      </c>
      <c r="B42" s="21" t="s">
        <v>124</v>
      </c>
      <c r="C42" s="21" t="s">
        <v>85</v>
      </c>
      <c r="D42" s="21"/>
      <c r="E42" s="21" t="s">
        <v>157</v>
      </c>
      <c r="F42" s="22">
        <v>2.5</v>
      </c>
      <c r="G42" s="22">
        <v>100</v>
      </c>
      <c r="H42" s="22">
        <f>'01_BOM_DUZELTILDI'!$G42*'01_BOM_DUZELTILDI'!$I42</f>
        <v>15000</v>
      </c>
      <c r="I42" s="34">
        <f>60*'01_BOM_DUZELTILDI'!$F42</f>
        <v>150</v>
      </c>
      <c r="J42" s="21" t="s">
        <v>123</v>
      </c>
      <c r="K42" s="21" t="s">
        <v>87</v>
      </c>
      <c r="L42" s="21"/>
      <c r="M42" s="21"/>
      <c r="N42" s="21"/>
      <c r="O42" s="21" t="s">
        <v>33</v>
      </c>
      <c r="P42" s="21"/>
      <c r="Q42" s="23"/>
      <c r="R42" s="21" t="s">
        <v>35</v>
      </c>
      <c r="S42" s="24"/>
    </row>
    <row r="43" spans="1:19" ht="33" customHeight="1">
      <c r="A43" s="9">
        <v>43</v>
      </c>
      <c r="B43" s="9" t="s">
        <v>149</v>
      </c>
      <c r="C43" s="9" t="s">
        <v>19</v>
      </c>
      <c r="D43" s="9"/>
      <c r="E43" s="31" t="s">
        <v>362</v>
      </c>
      <c r="F43" s="10"/>
      <c r="G43" s="10">
        <f>'01_BOM_DUZELTILDI'!$F43</f>
        <v>0</v>
      </c>
      <c r="H43" s="10"/>
      <c r="I43" s="31">
        <v>2</v>
      </c>
      <c r="J43" s="9" t="s">
        <v>23</v>
      </c>
      <c r="K43" s="9" t="s">
        <v>24</v>
      </c>
      <c r="L43" s="9" t="s">
        <v>150</v>
      </c>
      <c r="M43" s="9" t="s">
        <v>151</v>
      </c>
      <c r="N43" s="9" t="s">
        <v>151</v>
      </c>
      <c r="O43" s="9" t="s">
        <v>25</v>
      </c>
      <c r="P43" s="9" t="s">
        <v>26</v>
      </c>
      <c r="Q43" s="11"/>
      <c r="R43" s="9"/>
      <c r="S43" s="12"/>
    </row>
    <row r="44" spans="1:19" ht="33" hidden="1" customHeight="1">
      <c r="A44" s="13">
        <v>44</v>
      </c>
      <c r="B44" s="13" t="s">
        <v>149</v>
      </c>
      <c r="C44" s="13" t="s">
        <v>27</v>
      </c>
      <c r="D44" s="13" t="s">
        <v>372</v>
      </c>
      <c r="E44" s="13" t="s">
        <v>373</v>
      </c>
      <c r="F44" s="14">
        <v>18270</v>
      </c>
      <c r="G44" s="14">
        <f>0.6*F44</f>
        <v>10962</v>
      </c>
      <c r="H44" s="14">
        <f>'01_BOM_DUZELTILDI'!$G44*'01_BOM_DUZELTILDI'!$I44</f>
        <v>10962</v>
      </c>
      <c r="I44" s="32">
        <v>1</v>
      </c>
      <c r="J44" s="13" t="s">
        <v>31</v>
      </c>
      <c r="K44" s="13" t="s">
        <v>350</v>
      </c>
      <c r="L44" s="13" t="s">
        <v>154</v>
      </c>
      <c r="M44" s="13" t="s">
        <v>151</v>
      </c>
      <c r="N44" s="13" t="s">
        <v>151</v>
      </c>
      <c r="O44" s="13" t="s">
        <v>33</v>
      </c>
      <c r="P44" s="13"/>
      <c r="Q44" s="15"/>
      <c r="R44" s="13" t="s">
        <v>35</v>
      </c>
      <c r="S44" s="16"/>
    </row>
    <row r="45" spans="1:19" ht="33" hidden="1" customHeight="1">
      <c r="A45" s="17">
        <v>20</v>
      </c>
      <c r="B45" s="13" t="s">
        <v>149</v>
      </c>
      <c r="C45" s="17" t="s">
        <v>319</v>
      </c>
      <c r="D45" s="17" t="s">
        <v>326</v>
      </c>
      <c r="E45" s="17" t="s">
        <v>327</v>
      </c>
      <c r="F45" s="18">
        <v>105000</v>
      </c>
      <c r="G45" s="18">
        <f>'01_BOM_DUZELTILDI'!$F45</f>
        <v>105000</v>
      </c>
      <c r="H45" s="18">
        <f>'01_BOM_DUZELTILDI'!$G45*'01_BOM_DUZELTILDI'!$I45</f>
        <v>105000</v>
      </c>
      <c r="I45" s="33">
        <v>1</v>
      </c>
      <c r="J45" s="17" t="s">
        <v>31</v>
      </c>
      <c r="K45" s="17" t="s">
        <v>65</v>
      </c>
      <c r="L45" s="17"/>
      <c r="M45" s="17"/>
      <c r="N45" s="17"/>
      <c r="O45" s="17" t="s">
        <v>33</v>
      </c>
      <c r="P45" s="17"/>
      <c r="Q45" s="19"/>
      <c r="R45" s="17" t="s">
        <v>35</v>
      </c>
      <c r="S45" s="20"/>
    </row>
    <row r="46" spans="1:19" ht="33" hidden="1" customHeight="1">
      <c r="A46" s="17">
        <v>45</v>
      </c>
      <c r="B46" s="17" t="s">
        <v>149</v>
      </c>
      <c r="C46" s="17" t="s">
        <v>51</v>
      </c>
      <c r="D46" s="17" t="s">
        <v>315</v>
      </c>
      <c r="E46" s="17" t="s">
        <v>316</v>
      </c>
      <c r="F46" s="18">
        <v>2807</v>
      </c>
      <c r="G46" s="22">
        <f t="shared" ref="G46:G48" si="4">0.6*F46</f>
        <v>1684.2</v>
      </c>
      <c r="H46" s="18">
        <f>'01_BOM_DUZELTILDI'!$G46*'01_BOM_DUZELTILDI'!$I46</f>
        <v>1684.2</v>
      </c>
      <c r="I46" s="33">
        <v>1</v>
      </c>
      <c r="J46" s="17" t="s">
        <v>31</v>
      </c>
      <c r="K46" s="17" t="s">
        <v>40</v>
      </c>
      <c r="L46" s="17" t="s">
        <v>132</v>
      </c>
      <c r="M46" s="17"/>
      <c r="N46" s="17"/>
      <c r="O46" s="17" t="s">
        <v>41</v>
      </c>
      <c r="P46" s="17" t="s">
        <v>155</v>
      </c>
      <c r="Q46" s="19"/>
      <c r="R46" s="17" t="s">
        <v>35</v>
      </c>
      <c r="S46" s="20"/>
    </row>
    <row r="47" spans="1:19" ht="33" hidden="1" customHeight="1">
      <c r="A47" s="21">
        <v>46</v>
      </c>
      <c r="B47" s="21" t="s">
        <v>149</v>
      </c>
      <c r="C47" s="21" t="s">
        <v>51</v>
      </c>
      <c r="D47" s="21" t="s">
        <v>305</v>
      </c>
      <c r="E47" s="21" t="s">
        <v>306</v>
      </c>
      <c r="F47" s="22">
        <v>2337</v>
      </c>
      <c r="G47" s="22">
        <f t="shared" si="4"/>
        <v>1402.2</v>
      </c>
      <c r="H47" s="22">
        <f>'01_BOM_DUZELTILDI'!$G47*'01_BOM_DUZELTILDI'!$I47</f>
        <v>1402.2</v>
      </c>
      <c r="I47" s="34">
        <v>1</v>
      </c>
      <c r="J47" s="21" t="s">
        <v>31</v>
      </c>
      <c r="K47" s="21" t="s">
        <v>40</v>
      </c>
      <c r="L47" s="21" t="s">
        <v>106</v>
      </c>
      <c r="M47" s="21"/>
      <c r="N47" s="21"/>
      <c r="O47" s="21" t="s">
        <v>41</v>
      </c>
      <c r="P47" s="21" t="s">
        <v>107</v>
      </c>
      <c r="Q47" s="23">
        <v>6</v>
      </c>
      <c r="R47" s="21" t="s">
        <v>35</v>
      </c>
      <c r="S47" s="24"/>
    </row>
    <row r="48" spans="1:19" ht="33" hidden="1" customHeight="1">
      <c r="A48" s="21">
        <v>48</v>
      </c>
      <c r="B48" s="21" t="s">
        <v>149</v>
      </c>
      <c r="C48" s="21" t="s">
        <v>51</v>
      </c>
      <c r="D48" s="21" t="s">
        <v>301</v>
      </c>
      <c r="E48" s="21" t="s">
        <v>302</v>
      </c>
      <c r="F48" s="22">
        <v>783</v>
      </c>
      <c r="G48" s="22">
        <f t="shared" si="4"/>
        <v>469.79999999999995</v>
      </c>
      <c r="H48" s="22">
        <f>'01_BOM_DUZELTILDI'!$G48*'01_BOM_DUZELTILDI'!$I48</f>
        <v>4228.2</v>
      </c>
      <c r="I48" s="34">
        <v>9</v>
      </c>
      <c r="J48" s="21" t="s">
        <v>31</v>
      </c>
      <c r="K48" s="21" t="s">
        <v>40</v>
      </c>
      <c r="L48" s="21" t="s">
        <v>110</v>
      </c>
      <c r="M48" s="21"/>
      <c r="N48" s="21"/>
      <c r="O48" s="21" t="s">
        <v>41</v>
      </c>
      <c r="P48" s="21" t="s">
        <v>111</v>
      </c>
      <c r="Q48" s="23">
        <v>2</v>
      </c>
      <c r="R48" s="21" t="s">
        <v>35</v>
      </c>
      <c r="S48" s="24"/>
    </row>
    <row r="49" spans="1:19" ht="33" hidden="1" customHeight="1">
      <c r="A49" s="21">
        <v>51</v>
      </c>
      <c r="B49" s="21" t="s">
        <v>149</v>
      </c>
      <c r="C49" s="21" t="s">
        <v>83</v>
      </c>
      <c r="D49" s="21"/>
      <c r="E49" s="21" t="s">
        <v>121</v>
      </c>
      <c r="F49" s="22">
        <f ca="1">OFFSET('01_BOM_DUZELTILDI'!$F49,1,2)</f>
        <v>10200</v>
      </c>
      <c r="G49" s="22">
        <f ca="1">'01_BOM_DUZELTILDI'!$F49</f>
        <v>10200</v>
      </c>
      <c r="H49" s="22">
        <f ca="1">'01_BOM_DUZELTILDI'!$G49*'01_BOM_DUZELTILDI'!$I49</f>
        <v>10200</v>
      </c>
      <c r="I49" s="34">
        <v>1</v>
      </c>
      <c r="J49" s="21" t="s">
        <v>31</v>
      </c>
      <c r="K49" s="17" t="s">
        <v>369</v>
      </c>
      <c r="L49" s="21"/>
      <c r="M49" s="21"/>
      <c r="N49" s="21"/>
      <c r="O49" s="21" t="s">
        <v>33</v>
      </c>
      <c r="P49" s="21" t="s">
        <v>34</v>
      </c>
      <c r="Q49" s="23"/>
      <c r="R49" s="21" t="s">
        <v>35</v>
      </c>
      <c r="S49" s="24"/>
    </row>
    <row r="50" spans="1:19" ht="33" hidden="1" customHeight="1">
      <c r="A50" s="17">
        <v>52</v>
      </c>
      <c r="B50" s="17" t="s">
        <v>149</v>
      </c>
      <c r="C50" s="17" t="s">
        <v>85</v>
      </c>
      <c r="D50" s="17"/>
      <c r="E50" s="17" t="s">
        <v>157</v>
      </c>
      <c r="F50" s="18">
        <v>1.7</v>
      </c>
      <c r="G50" s="18">
        <v>100</v>
      </c>
      <c r="H50" s="18">
        <f>'01_BOM_DUZELTILDI'!$G50*'01_BOM_DUZELTILDI'!$I50</f>
        <v>10200</v>
      </c>
      <c r="I50" s="33">
        <f>60*'01_BOM_DUZELTILDI'!$F50</f>
        <v>102</v>
      </c>
      <c r="J50" s="17" t="s">
        <v>123</v>
      </c>
      <c r="K50" s="17" t="s">
        <v>87</v>
      </c>
      <c r="L50" s="17"/>
      <c r="M50" s="17"/>
      <c r="N50" s="17"/>
      <c r="O50" s="17" t="s">
        <v>33</v>
      </c>
      <c r="P50" s="17"/>
      <c r="Q50" s="19"/>
      <c r="R50" s="17" t="s">
        <v>35</v>
      </c>
      <c r="S50" s="20"/>
    </row>
    <row r="51" spans="1:19" ht="33" customHeight="1">
      <c r="A51" s="9">
        <v>53</v>
      </c>
      <c r="B51" s="9" t="s">
        <v>158</v>
      </c>
      <c r="C51" s="9" t="s">
        <v>19</v>
      </c>
      <c r="D51" s="9"/>
      <c r="E51" s="31" t="s">
        <v>158</v>
      </c>
      <c r="F51" s="10"/>
      <c r="G51" s="10">
        <f>'01_BOM_DUZELTILDI'!$F51</f>
        <v>0</v>
      </c>
      <c r="H51" s="10"/>
      <c r="I51" s="31">
        <v>1</v>
      </c>
      <c r="J51" s="9" t="s">
        <v>23</v>
      </c>
      <c r="K51" s="9" t="s">
        <v>24</v>
      </c>
      <c r="L51" s="9" t="s">
        <v>159</v>
      </c>
      <c r="M51" s="9" t="s">
        <v>126</v>
      </c>
      <c r="N51" s="9" t="s">
        <v>126</v>
      </c>
      <c r="O51" s="9" t="s">
        <v>25</v>
      </c>
      <c r="P51" s="9" t="s">
        <v>26</v>
      </c>
      <c r="Q51" s="11"/>
      <c r="R51" s="9"/>
      <c r="S51" s="12"/>
    </row>
    <row r="52" spans="1:19" ht="33" hidden="1" customHeight="1">
      <c r="A52" s="13">
        <v>54</v>
      </c>
      <c r="B52" s="13" t="s">
        <v>158</v>
      </c>
      <c r="C52" s="13" t="s">
        <v>27</v>
      </c>
      <c r="D52" s="13" t="s">
        <v>370</v>
      </c>
      <c r="E52" s="13" t="s">
        <v>371</v>
      </c>
      <c r="F52" s="14">
        <v>13500</v>
      </c>
      <c r="G52" s="14">
        <f>0.6*F52</f>
        <v>8100</v>
      </c>
      <c r="H52" s="14">
        <f>'01_BOM_DUZELTILDI'!$G52*'01_BOM_DUZELTILDI'!$I52</f>
        <v>8100</v>
      </c>
      <c r="I52" s="32">
        <v>1</v>
      </c>
      <c r="J52" s="13" t="s">
        <v>31</v>
      </c>
      <c r="K52" s="13" t="s">
        <v>350</v>
      </c>
      <c r="L52" s="13" t="s">
        <v>161</v>
      </c>
      <c r="M52" s="13" t="s">
        <v>126</v>
      </c>
      <c r="N52" s="13" t="s">
        <v>126</v>
      </c>
      <c r="O52" s="13" t="s">
        <v>33</v>
      </c>
      <c r="P52" s="13"/>
      <c r="Q52" s="15"/>
      <c r="R52" s="13" t="s">
        <v>35</v>
      </c>
      <c r="S52" s="16"/>
    </row>
    <row r="53" spans="1:19" ht="33" hidden="1" customHeight="1">
      <c r="A53" s="21">
        <v>55</v>
      </c>
      <c r="B53" s="21" t="s">
        <v>158</v>
      </c>
      <c r="C53" s="21" t="s">
        <v>51</v>
      </c>
      <c r="D53" s="21" t="s">
        <v>305</v>
      </c>
      <c r="E53" s="21" t="s">
        <v>306</v>
      </c>
      <c r="F53" s="22">
        <v>2337</v>
      </c>
      <c r="G53" s="22">
        <f t="shared" ref="G53:G54" si="5">0.6*F53</f>
        <v>1402.2</v>
      </c>
      <c r="H53" s="22">
        <f>'01_BOM_DUZELTILDI'!$G53*'01_BOM_DUZELTILDI'!$I53</f>
        <v>1402.2</v>
      </c>
      <c r="I53" s="34">
        <v>1</v>
      </c>
      <c r="J53" s="21" t="s">
        <v>31</v>
      </c>
      <c r="K53" s="21" t="s">
        <v>40</v>
      </c>
      <c r="L53" s="21" t="s">
        <v>106</v>
      </c>
      <c r="M53" s="21"/>
      <c r="N53" s="21"/>
      <c r="O53" s="21" t="s">
        <v>41</v>
      </c>
      <c r="P53" s="21" t="s">
        <v>162</v>
      </c>
      <c r="Q53" s="23">
        <v>3</v>
      </c>
      <c r="R53" s="21" t="s">
        <v>35</v>
      </c>
      <c r="S53" s="24"/>
    </row>
    <row r="54" spans="1:19" ht="33" hidden="1" customHeight="1">
      <c r="A54" s="17">
        <v>56</v>
      </c>
      <c r="B54" s="17" t="s">
        <v>158</v>
      </c>
      <c r="C54" s="17" t="s">
        <v>51</v>
      </c>
      <c r="D54" s="17" t="s">
        <v>299</v>
      </c>
      <c r="E54" s="17" t="s">
        <v>300</v>
      </c>
      <c r="F54" s="18">
        <v>897</v>
      </c>
      <c r="G54" s="22">
        <f t="shared" si="5"/>
        <v>538.19999999999993</v>
      </c>
      <c r="H54" s="18">
        <f>'01_BOM_DUZELTILDI'!$G54*'01_BOM_DUZELTILDI'!$I54</f>
        <v>4305.5999999999995</v>
      </c>
      <c r="I54" s="33">
        <v>8</v>
      </c>
      <c r="J54" s="17" t="s">
        <v>31</v>
      </c>
      <c r="K54" s="17" t="s">
        <v>40</v>
      </c>
      <c r="L54" s="17" t="s">
        <v>165</v>
      </c>
      <c r="M54" s="17"/>
      <c r="N54" s="17"/>
      <c r="O54" s="17" t="s">
        <v>41</v>
      </c>
      <c r="P54" s="17" t="s">
        <v>166</v>
      </c>
      <c r="Q54" s="19">
        <v>8</v>
      </c>
      <c r="R54" s="17" t="s">
        <v>35</v>
      </c>
      <c r="S54" s="20"/>
    </row>
    <row r="55" spans="1:19" ht="33" hidden="1" customHeight="1">
      <c r="A55" s="21">
        <v>57</v>
      </c>
      <c r="B55" s="21" t="s">
        <v>158</v>
      </c>
      <c r="C55" s="21" t="s">
        <v>144</v>
      </c>
      <c r="D55" s="21" t="s">
        <v>145</v>
      </c>
      <c r="E55" s="21" t="s">
        <v>156</v>
      </c>
      <c r="F55" s="22">
        <v>200</v>
      </c>
      <c r="G55" s="22">
        <f>'01_BOM_DUZELTILDI'!$F55</f>
        <v>200</v>
      </c>
      <c r="H55" s="22">
        <f>'01_BOM_DUZELTILDI'!$G55*'01_BOM_DUZELTILDI'!$I55</f>
        <v>4000</v>
      </c>
      <c r="I55" s="34">
        <v>20</v>
      </c>
      <c r="J55" s="21" t="s">
        <v>31</v>
      </c>
      <c r="K55" s="21" t="s">
        <v>147</v>
      </c>
      <c r="L55" s="21"/>
      <c r="M55" s="21"/>
      <c r="N55" s="21"/>
      <c r="O55" s="21" t="s">
        <v>33</v>
      </c>
      <c r="P55" s="21"/>
      <c r="Q55" s="23"/>
      <c r="R55" s="21" t="s">
        <v>35</v>
      </c>
      <c r="S55" s="24"/>
    </row>
    <row r="56" spans="1:19" ht="33" hidden="1" customHeight="1">
      <c r="A56" s="17">
        <v>59</v>
      </c>
      <c r="B56" s="17" t="s">
        <v>158</v>
      </c>
      <c r="C56" s="17" t="s">
        <v>83</v>
      </c>
      <c r="D56" s="17"/>
      <c r="E56" s="17" t="s">
        <v>121</v>
      </c>
      <c r="F56" s="18">
        <f ca="1">OFFSET('01_BOM_DUZELTILDI'!$F56,1,2)</f>
        <v>6000</v>
      </c>
      <c r="G56" s="18">
        <f ca="1">'01_BOM_DUZELTILDI'!$F56</f>
        <v>6000</v>
      </c>
      <c r="H56" s="18">
        <f ca="1">'01_BOM_DUZELTILDI'!$G56*'01_BOM_DUZELTILDI'!$I56</f>
        <v>6000</v>
      </c>
      <c r="I56" s="33">
        <v>1</v>
      </c>
      <c r="J56" s="17" t="s">
        <v>31</v>
      </c>
      <c r="K56" s="17" t="s">
        <v>369</v>
      </c>
      <c r="L56" s="17"/>
      <c r="M56" s="17"/>
      <c r="N56" s="17"/>
      <c r="O56" s="17" t="s">
        <v>33</v>
      </c>
      <c r="P56" s="17" t="s">
        <v>34</v>
      </c>
      <c r="Q56" s="19"/>
      <c r="R56" s="17" t="s">
        <v>35</v>
      </c>
      <c r="S56" s="20"/>
    </row>
    <row r="57" spans="1:19" ht="33" hidden="1" customHeight="1">
      <c r="A57" s="21">
        <v>60</v>
      </c>
      <c r="B57" s="21" t="s">
        <v>158</v>
      </c>
      <c r="C57" s="21" t="s">
        <v>85</v>
      </c>
      <c r="D57" s="21"/>
      <c r="E57" s="21" t="s">
        <v>157</v>
      </c>
      <c r="F57" s="22">
        <v>1</v>
      </c>
      <c r="G57" s="22">
        <v>100</v>
      </c>
      <c r="H57" s="22">
        <f>'01_BOM_DUZELTILDI'!$G57*'01_BOM_DUZELTILDI'!$I57</f>
        <v>6000</v>
      </c>
      <c r="I57" s="34">
        <f>60*'01_BOM_DUZELTILDI'!$F57</f>
        <v>60</v>
      </c>
      <c r="J57" s="21" t="s">
        <v>123</v>
      </c>
      <c r="K57" s="21" t="s">
        <v>87</v>
      </c>
      <c r="L57" s="21"/>
      <c r="M57" s="21"/>
      <c r="N57" s="21"/>
      <c r="O57" s="21" t="s">
        <v>33</v>
      </c>
      <c r="P57" s="21"/>
      <c r="Q57" s="23"/>
      <c r="R57" s="21" t="s">
        <v>35</v>
      </c>
      <c r="S57" s="24"/>
    </row>
    <row r="58" spans="1:19" ht="33" customHeight="1">
      <c r="A58" s="9">
        <v>61</v>
      </c>
      <c r="B58" s="9" t="s">
        <v>167</v>
      </c>
      <c r="C58" s="9" t="s">
        <v>19</v>
      </c>
      <c r="D58" s="9"/>
      <c r="E58" s="31" t="s">
        <v>167</v>
      </c>
      <c r="F58" s="10"/>
      <c r="G58" s="10">
        <f>'01_BOM_DUZELTILDI'!$F58</f>
        <v>0</v>
      </c>
      <c r="H58" s="10"/>
      <c r="I58" s="31">
        <v>1</v>
      </c>
      <c r="J58" s="9" t="s">
        <v>23</v>
      </c>
      <c r="K58" s="9" t="s">
        <v>24</v>
      </c>
      <c r="L58" s="9" t="s">
        <v>168</v>
      </c>
      <c r="M58" s="9" t="s">
        <v>126</v>
      </c>
      <c r="N58" s="9" t="s">
        <v>126</v>
      </c>
      <c r="O58" s="9" t="s">
        <v>25</v>
      </c>
      <c r="P58" s="9" t="s">
        <v>26</v>
      </c>
      <c r="Q58" s="11"/>
      <c r="R58" s="9"/>
      <c r="S58" s="12"/>
    </row>
    <row r="59" spans="1:19" ht="33" hidden="1" customHeight="1">
      <c r="A59" s="13">
        <v>62</v>
      </c>
      <c r="B59" s="13" t="s">
        <v>167</v>
      </c>
      <c r="C59" s="13" t="s">
        <v>27</v>
      </c>
      <c r="D59" s="13" t="s">
        <v>370</v>
      </c>
      <c r="E59" s="13" t="s">
        <v>371</v>
      </c>
      <c r="F59" s="14">
        <v>13500</v>
      </c>
      <c r="G59" s="14">
        <f>0.6*F59</f>
        <v>8100</v>
      </c>
      <c r="H59" s="14">
        <f>'01_BOM_DUZELTILDI'!$G59*'01_BOM_DUZELTILDI'!$I59</f>
        <v>8100</v>
      </c>
      <c r="I59" s="32">
        <v>1</v>
      </c>
      <c r="J59" s="13" t="s">
        <v>31</v>
      </c>
      <c r="K59" s="13" t="s">
        <v>350</v>
      </c>
      <c r="L59" s="13" t="s">
        <v>161</v>
      </c>
      <c r="M59" s="13" t="s">
        <v>126</v>
      </c>
      <c r="N59" s="13" t="s">
        <v>126</v>
      </c>
      <c r="O59" s="13" t="s">
        <v>33</v>
      </c>
      <c r="P59" s="13"/>
      <c r="Q59" s="15"/>
      <c r="R59" s="13" t="s">
        <v>35</v>
      </c>
      <c r="S59" s="16"/>
    </row>
    <row r="60" spans="1:19" ht="33" hidden="1" customHeight="1">
      <c r="A60" s="17">
        <v>63</v>
      </c>
      <c r="B60" s="17" t="s">
        <v>167</v>
      </c>
      <c r="C60" s="17" t="s">
        <v>51</v>
      </c>
      <c r="D60" s="17" t="s">
        <v>305</v>
      </c>
      <c r="E60" s="17" t="s">
        <v>306</v>
      </c>
      <c r="F60" s="18">
        <v>2337</v>
      </c>
      <c r="G60" s="22">
        <f t="shared" ref="G60:G62" si="6">0.6*F60</f>
        <v>1402.2</v>
      </c>
      <c r="H60" s="18">
        <f>'01_BOM_DUZELTILDI'!$G60*'01_BOM_DUZELTILDI'!$I60</f>
        <v>1402.2</v>
      </c>
      <c r="I60" s="33">
        <v>1</v>
      </c>
      <c r="J60" s="17" t="s">
        <v>31</v>
      </c>
      <c r="K60" s="17" t="s">
        <v>40</v>
      </c>
      <c r="L60" s="17" t="s">
        <v>106</v>
      </c>
      <c r="M60" s="17"/>
      <c r="N60" s="17"/>
      <c r="O60" s="17" t="s">
        <v>41</v>
      </c>
      <c r="P60" s="17" t="s">
        <v>162</v>
      </c>
      <c r="Q60" s="19">
        <v>3</v>
      </c>
      <c r="R60" s="17" t="s">
        <v>35</v>
      </c>
      <c r="S60" s="20"/>
    </row>
    <row r="61" spans="1:19" ht="33" hidden="1" customHeight="1">
      <c r="A61" s="21">
        <v>64</v>
      </c>
      <c r="B61" s="21" t="s">
        <v>167</v>
      </c>
      <c r="C61" s="21" t="s">
        <v>51</v>
      </c>
      <c r="D61" s="21" t="s">
        <v>299</v>
      </c>
      <c r="E61" s="21" t="s">
        <v>300</v>
      </c>
      <c r="F61" s="22">
        <v>897</v>
      </c>
      <c r="G61" s="22">
        <f t="shared" si="6"/>
        <v>538.19999999999993</v>
      </c>
      <c r="H61" s="22">
        <f>'01_BOM_DUZELTILDI'!$G61*'01_BOM_DUZELTILDI'!$I61</f>
        <v>5381.9999999999991</v>
      </c>
      <c r="I61" s="34">
        <v>10</v>
      </c>
      <c r="J61" s="21" t="s">
        <v>31</v>
      </c>
      <c r="K61" s="21" t="s">
        <v>40</v>
      </c>
      <c r="L61" s="21" t="s">
        <v>165</v>
      </c>
      <c r="M61" s="21"/>
      <c r="N61" s="21"/>
      <c r="O61" s="21" t="s">
        <v>41</v>
      </c>
      <c r="P61" s="21" t="s">
        <v>169</v>
      </c>
      <c r="Q61" s="23">
        <v>10</v>
      </c>
      <c r="R61" s="21" t="s">
        <v>35</v>
      </c>
      <c r="S61" s="24"/>
    </row>
    <row r="62" spans="1:19" ht="33" hidden="1" customHeight="1">
      <c r="A62" s="17">
        <v>65</v>
      </c>
      <c r="B62" s="17" t="s">
        <v>167</v>
      </c>
      <c r="C62" s="17" t="s">
        <v>135</v>
      </c>
      <c r="D62" s="17" t="s">
        <v>356</v>
      </c>
      <c r="E62" s="17" t="s">
        <v>357</v>
      </c>
      <c r="F62" s="18">
        <v>6145</v>
      </c>
      <c r="G62" s="22">
        <f t="shared" si="6"/>
        <v>3687</v>
      </c>
      <c r="H62" s="18">
        <f>'01_BOM_DUZELTILDI'!$G62*'01_BOM_DUZELTILDI'!$I62</f>
        <v>3687</v>
      </c>
      <c r="I62" s="33">
        <v>1</v>
      </c>
      <c r="J62" s="17" t="s">
        <v>31</v>
      </c>
      <c r="K62" s="17" t="s">
        <v>40</v>
      </c>
      <c r="L62" s="17" t="s">
        <v>172</v>
      </c>
      <c r="M62" s="17"/>
      <c r="N62" s="17"/>
      <c r="O62" s="17" t="s">
        <v>41</v>
      </c>
      <c r="P62" s="17" t="s">
        <v>173</v>
      </c>
      <c r="Q62" s="19">
        <v>1</v>
      </c>
      <c r="R62" s="17" t="s">
        <v>35</v>
      </c>
      <c r="S62" s="20"/>
    </row>
    <row r="63" spans="1:19" ht="33" hidden="1" customHeight="1">
      <c r="A63" s="17">
        <v>65</v>
      </c>
      <c r="B63" s="17" t="s">
        <v>167</v>
      </c>
      <c r="C63" s="17" t="s">
        <v>363</v>
      </c>
      <c r="D63" s="17" t="s">
        <v>364</v>
      </c>
      <c r="E63" s="17" t="s">
        <v>365</v>
      </c>
      <c r="F63" s="18">
        <v>6500</v>
      </c>
      <c r="G63" s="18">
        <f>'01_BOM_DUZELTILDI'!$F63</f>
        <v>6500</v>
      </c>
      <c r="H63" s="18">
        <f>'01_BOM_DUZELTILDI'!$G63*'01_BOM_DUZELTILDI'!$I63</f>
        <v>6500</v>
      </c>
      <c r="I63" s="33">
        <v>1</v>
      </c>
      <c r="J63" s="17" t="s">
        <v>31</v>
      </c>
      <c r="K63" s="17" t="s">
        <v>366</v>
      </c>
      <c r="L63" s="17" t="s">
        <v>172</v>
      </c>
      <c r="M63" s="17"/>
      <c r="N63" s="17"/>
      <c r="O63" s="17" t="s">
        <v>41</v>
      </c>
      <c r="P63" s="17" t="s">
        <v>173</v>
      </c>
      <c r="Q63" s="19">
        <v>1</v>
      </c>
      <c r="R63" s="17" t="s">
        <v>35</v>
      </c>
      <c r="S63" s="20"/>
    </row>
    <row r="64" spans="1:19" ht="33" hidden="1" customHeight="1">
      <c r="A64" s="21">
        <v>66</v>
      </c>
      <c r="B64" s="21" t="s">
        <v>167</v>
      </c>
      <c r="C64" s="21" t="s">
        <v>144</v>
      </c>
      <c r="D64" s="21" t="s">
        <v>145</v>
      </c>
      <c r="E64" s="21" t="s">
        <v>156</v>
      </c>
      <c r="F64" s="22">
        <v>200</v>
      </c>
      <c r="G64" s="22">
        <f>'01_BOM_DUZELTILDI'!$F64</f>
        <v>200</v>
      </c>
      <c r="H64" s="22">
        <f>'01_BOM_DUZELTILDI'!$G64*'01_BOM_DUZELTILDI'!$I64</f>
        <v>4000</v>
      </c>
      <c r="I64" s="34">
        <v>20</v>
      </c>
      <c r="J64" s="21" t="s">
        <v>31</v>
      </c>
      <c r="K64" s="21" t="s">
        <v>147</v>
      </c>
      <c r="L64" s="21"/>
      <c r="M64" s="21"/>
      <c r="N64" s="21"/>
      <c r="O64" s="21" t="s">
        <v>33</v>
      </c>
      <c r="P64" s="21"/>
      <c r="Q64" s="23"/>
      <c r="R64" s="21" t="s">
        <v>35</v>
      </c>
      <c r="S64" s="24"/>
    </row>
    <row r="65" spans="1:19" ht="33" hidden="1" customHeight="1">
      <c r="A65" s="17">
        <v>68</v>
      </c>
      <c r="B65" s="17" t="s">
        <v>167</v>
      </c>
      <c r="C65" s="17" t="s">
        <v>83</v>
      </c>
      <c r="D65" s="17"/>
      <c r="E65" s="17" t="s">
        <v>121</v>
      </c>
      <c r="F65" s="18">
        <f ca="1">OFFSET('01_BOM_DUZELTILDI'!$F65,1,2)</f>
        <v>9000</v>
      </c>
      <c r="G65" s="18">
        <f ca="1">'01_BOM_DUZELTILDI'!$F65</f>
        <v>9000</v>
      </c>
      <c r="H65" s="18">
        <f ca="1">'01_BOM_DUZELTILDI'!$G65*'01_BOM_DUZELTILDI'!$I65</f>
        <v>9000</v>
      </c>
      <c r="I65" s="33">
        <v>1</v>
      </c>
      <c r="J65" s="17" t="s">
        <v>31</v>
      </c>
      <c r="K65" s="17" t="s">
        <v>369</v>
      </c>
      <c r="L65" s="17"/>
      <c r="M65" s="17"/>
      <c r="N65" s="17"/>
      <c r="O65" s="17" t="s">
        <v>33</v>
      </c>
      <c r="P65" s="17" t="s">
        <v>34</v>
      </c>
      <c r="Q65" s="19"/>
      <c r="R65" s="17" t="s">
        <v>35</v>
      </c>
      <c r="S65" s="20"/>
    </row>
    <row r="66" spans="1:19" ht="33" hidden="1" customHeight="1">
      <c r="A66" s="21">
        <v>69</v>
      </c>
      <c r="B66" s="21" t="s">
        <v>167</v>
      </c>
      <c r="C66" s="21" t="s">
        <v>85</v>
      </c>
      <c r="D66" s="21"/>
      <c r="E66" s="21" t="s">
        <v>157</v>
      </c>
      <c r="F66" s="22">
        <v>1.5</v>
      </c>
      <c r="G66" s="22">
        <v>100</v>
      </c>
      <c r="H66" s="22">
        <f>'01_BOM_DUZELTILDI'!$G66*'01_BOM_DUZELTILDI'!$I66</f>
        <v>9000</v>
      </c>
      <c r="I66" s="34">
        <f>60*'01_BOM_DUZELTILDI'!$F66</f>
        <v>90</v>
      </c>
      <c r="J66" s="21" t="s">
        <v>123</v>
      </c>
      <c r="K66" s="21" t="s">
        <v>87</v>
      </c>
      <c r="L66" s="21"/>
      <c r="M66" s="21"/>
      <c r="N66" s="21"/>
      <c r="O66" s="21" t="s">
        <v>33</v>
      </c>
      <c r="P66" s="21"/>
      <c r="Q66" s="23"/>
      <c r="R66" s="21" t="s">
        <v>35</v>
      </c>
      <c r="S66" s="24"/>
    </row>
    <row r="67" spans="1:19" ht="33" customHeight="1">
      <c r="A67" s="9">
        <v>70</v>
      </c>
      <c r="B67" s="9" t="s">
        <v>174</v>
      </c>
      <c r="C67" s="9" t="s">
        <v>19</v>
      </c>
      <c r="D67" s="9"/>
      <c r="E67" s="31" t="s">
        <v>174</v>
      </c>
      <c r="F67" s="10"/>
      <c r="G67" s="10">
        <f>'01_BOM_DUZELTILDI'!$F67</f>
        <v>0</v>
      </c>
      <c r="H67" s="10"/>
      <c r="I67" s="31">
        <v>1</v>
      </c>
      <c r="J67" s="9" t="s">
        <v>23</v>
      </c>
      <c r="K67" s="9" t="s">
        <v>24</v>
      </c>
      <c r="L67" s="9" t="s">
        <v>175</v>
      </c>
      <c r="M67" s="9" t="s">
        <v>176</v>
      </c>
      <c r="N67" s="9" t="s">
        <v>177</v>
      </c>
      <c r="O67" s="9" t="s">
        <v>25</v>
      </c>
      <c r="P67" s="9" t="s">
        <v>26</v>
      </c>
      <c r="Q67" s="11"/>
      <c r="R67" s="9"/>
      <c r="S67" s="12"/>
    </row>
    <row r="68" spans="1:19" ht="33" hidden="1" customHeight="1">
      <c r="A68" s="13">
        <v>71</v>
      </c>
      <c r="B68" s="13" t="s">
        <v>174</v>
      </c>
      <c r="C68" s="13" t="s">
        <v>27</v>
      </c>
      <c r="D68" s="13" t="s">
        <v>178</v>
      </c>
      <c r="E68" s="13" t="s">
        <v>179</v>
      </c>
      <c r="F68" s="14">
        <v>120000</v>
      </c>
      <c r="G68" s="14">
        <f>0.6*F68</f>
        <v>72000</v>
      </c>
      <c r="H68" s="14">
        <f>'01_BOM_DUZELTILDI'!$G68*'01_BOM_DUZELTILDI'!$I68</f>
        <v>72000</v>
      </c>
      <c r="I68" s="32">
        <v>1</v>
      </c>
      <c r="J68" s="13" t="s">
        <v>31</v>
      </c>
      <c r="K68" s="13" t="s">
        <v>350</v>
      </c>
      <c r="L68" s="13" t="s">
        <v>180</v>
      </c>
      <c r="M68" s="13" t="s">
        <v>176</v>
      </c>
      <c r="N68" s="13" t="s">
        <v>177</v>
      </c>
      <c r="O68" s="13" t="s">
        <v>33</v>
      </c>
      <c r="P68" s="13"/>
      <c r="Q68" s="15"/>
      <c r="R68" s="13" t="s">
        <v>35</v>
      </c>
      <c r="S68" s="16"/>
    </row>
    <row r="69" spans="1:19" ht="33" hidden="1" customHeight="1">
      <c r="A69" s="17">
        <v>72</v>
      </c>
      <c r="B69" s="17" t="s">
        <v>174</v>
      </c>
      <c r="C69" s="17" t="s">
        <v>367</v>
      </c>
      <c r="D69" s="17" t="s">
        <v>383</v>
      </c>
      <c r="E69" s="17" t="s">
        <v>384</v>
      </c>
      <c r="F69" s="18">
        <v>18847</v>
      </c>
      <c r="G69" s="22">
        <f t="shared" ref="G69:G73" si="7">0.6*F69</f>
        <v>11308.199999999999</v>
      </c>
      <c r="H69" s="18">
        <f>'01_BOM_DUZELTILDI'!$G69*'01_BOM_DUZELTILDI'!$I69</f>
        <v>11308.199999999999</v>
      </c>
      <c r="I69" s="33">
        <v>1</v>
      </c>
      <c r="J69" s="17" t="s">
        <v>31</v>
      </c>
      <c r="K69" s="17" t="s">
        <v>40</v>
      </c>
      <c r="L69" s="17" t="s">
        <v>183</v>
      </c>
      <c r="M69" s="17"/>
      <c r="N69" s="17"/>
      <c r="O69" s="17" t="s">
        <v>41</v>
      </c>
      <c r="P69" s="17" t="s">
        <v>184</v>
      </c>
      <c r="Q69" s="19">
        <v>6</v>
      </c>
      <c r="R69" s="17" t="s">
        <v>35</v>
      </c>
      <c r="S69" s="20"/>
    </row>
    <row r="70" spans="1:19" ht="33" hidden="1" customHeight="1">
      <c r="A70" s="17">
        <v>72</v>
      </c>
      <c r="B70" s="17" t="s">
        <v>174</v>
      </c>
      <c r="C70" s="17" t="s">
        <v>368</v>
      </c>
      <c r="D70" s="17" t="s">
        <v>381</v>
      </c>
      <c r="E70" s="17" t="s">
        <v>382</v>
      </c>
      <c r="F70" s="18">
        <v>1738</v>
      </c>
      <c r="G70" s="22">
        <f t="shared" si="7"/>
        <v>1042.8</v>
      </c>
      <c r="H70" s="18">
        <f>'01_BOM_DUZELTILDI'!$G70*'01_BOM_DUZELTILDI'!$I70</f>
        <v>1042.8</v>
      </c>
      <c r="I70" s="33">
        <v>1</v>
      </c>
      <c r="J70" s="17" t="s">
        <v>31</v>
      </c>
      <c r="K70" s="17" t="s">
        <v>40</v>
      </c>
      <c r="L70" s="17" t="s">
        <v>183</v>
      </c>
      <c r="M70" s="17"/>
      <c r="N70" s="17"/>
      <c r="O70" s="17" t="s">
        <v>41</v>
      </c>
      <c r="P70" s="17" t="s">
        <v>184</v>
      </c>
      <c r="Q70" s="19">
        <v>6</v>
      </c>
      <c r="R70" s="17" t="s">
        <v>35</v>
      </c>
      <c r="S70" s="20"/>
    </row>
    <row r="71" spans="1:19" ht="33" hidden="1" customHeight="1">
      <c r="A71" s="17">
        <v>72</v>
      </c>
      <c r="B71" s="17" t="s">
        <v>174</v>
      </c>
      <c r="C71" s="17" t="s">
        <v>51</v>
      </c>
      <c r="D71" s="21" t="s">
        <v>301</v>
      </c>
      <c r="E71" s="21" t="s">
        <v>302</v>
      </c>
      <c r="F71" s="22">
        <v>783</v>
      </c>
      <c r="G71" s="22">
        <f t="shared" si="7"/>
        <v>469.79999999999995</v>
      </c>
      <c r="H71" s="18">
        <f>'01_BOM_DUZELTILDI'!$G71*'01_BOM_DUZELTILDI'!$I71</f>
        <v>469.79999999999995</v>
      </c>
      <c r="I71" s="33">
        <v>1</v>
      </c>
      <c r="J71" s="17" t="s">
        <v>31</v>
      </c>
      <c r="K71" s="17" t="s">
        <v>40</v>
      </c>
      <c r="L71" s="17" t="s">
        <v>183</v>
      </c>
      <c r="M71" s="17"/>
      <c r="N71" s="17"/>
      <c r="O71" s="17" t="s">
        <v>41</v>
      </c>
      <c r="P71" s="17" t="s">
        <v>184</v>
      </c>
      <c r="Q71" s="19">
        <v>6</v>
      </c>
      <c r="R71" s="17" t="s">
        <v>35</v>
      </c>
      <c r="S71" s="20"/>
    </row>
    <row r="72" spans="1:19" ht="33" hidden="1" customHeight="1">
      <c r="A72" s="17">
        <v>72</v>
      </c>
      <c r="B72" s="17" t="s">
        <v>174</v>
      </c>
      <c r="C72" s="17" t="s">
        <v>51</v>
      </c>
      <c r="D72" s="21" t="s">
        <v>374</v>
      </c>
      <c r="E72" s="21" t="s">
        <v>375</v>
      </c>
      <c r="F72" s="22">
        <v>975</v>
      </c>
      <c r="G72" s="22">
        <f t="shared" si="7"/>
        <v>585</v>
      </c>
      <c r="H72" s="18">
        <f>'01_BOM_DUZELTILDI'!$G72*'01_BOM_DUZELTILDI'!$I72</f>
        <v>1755</v>
      </c>
      <c r="I72" s="33">
        <v>3</v>
      </c>
      <c r="J72" s="17" t="s">
        <v>31</v>
      </c>
      <c r="K72" s="17" t="s">
        <v>40</v>
      </c>
      <c r="L72" s="17" t="s">
        <v>183</v>
      </c>
      <c r="M72" s="17"/>
      <c r="N72" s="17"/>
      <c r="O72" s="17" t="s">
        <v>41</v>
      </c>
      <c r="P72" s="17" t="s">
        <v>184</v>
      </c>
      <c r="Q72" s="19">
        <v>6</v>
      </c>
      <c r="R72" s="17" t="s">
        <v>35</v>
      </c>
      <c r="S72" s="20"/>
    </row>
    <row r="73" spans="1:19" ht="33" hidden="1" customHeight="1">
      <c r="A73" s="17">
        <v>72</v>
      </c>
      <c r="B73" s="17" t="s">
        <v>174</v>
      </c>
      <c r="C73" s="17" t="s">
        <v>51</v>
      </c>
      <c r="D73" s="17" t="s">
        <v>303</v>
      </c>
      <c r="E73" s="17" t="s">
        <v>304</v>
      </c>
      <c r="F73" s="18">
        <v>1030</v>
      </c>
      <c r="G73" s="22">
        <f t="shared" si="7"/>
        <v>618</v>
      </c>
      <c r="H73" s="18">
        <f>'01_BOM_DUZELTILDI'!$G73*'01_BOM_DUZELTILDI'!$I73</f>
        <v>3708</v>
      </c>
      <c r="I73" s="33">
        <v>6</v>
      </c>
      <c r="J73" s="17" t="s">
        <v>31</v>
      </c>
      <c r="K73" s="17" t="s">
        <v>40</v>
      </c>
      <c r="L73" s="17" t="s">
        <v>183</v>
      </c>
      <c r="M73" s="17"/>
      <c r="N73" s="17"/>
      <c r="O73" s="17" t="s">
        <v>41</v>
      </c>
      <c r="P73" s="17" t="s">
        <v>184</v>
      </c>
      <c r="Q73" s="19">
        <v>6</v>
      </c>
      <c r="R73" s="17" t="s">
        <v>35</v>
      </c>
      <c r="S73" s="20"/>
    </row>
    <row r="74" spans="1:19" ht="33" hidden="1" customHeight="1">
      <c r="A74" s="21">
        <v>73</v>
      </c>
      <c r="B74" s="21" t="s">
        <v>174</v>
      </c>
      <c r="C74" s="21" t="s">
        <v>319</v>
      </c>
      <c r="D74" s="21" t="s">
        <v>328</v>
      </c>
      <c r="E74" s="21" t="s">
        <v>329</v>
      </c>
      <c r="F74" s="22">
        <v>42000</v>
      </c>
      <c r="G74" s="22">
        <f>'01_BOM_DUZELTILDI'!$F74</f>
        <v>42000</v>
      </c>
      <c r="H74" s="22">
        <f>'01_BOM_DUZELTILDI'!$G74*'01_BOM_DUZELTILDI'!$I74</f>
        <v>252000</v>
      </c>
      <c r="I74" s="34">
        <v>6</v>
      </c>
      <c r="J74" s="21" t="s">
        <v>31</v>
      </c>
      <c r="K74" s="21" t="s">
        <v>65</v>
      </c>
      <c r="L74" s="21" t="s">
        <v>187</v>
      </c>
      <c r="M74" s="21"/>
      <c r="N74" s="21"/>
      <c r="O74" s="21" t="s">
        <v>33</v>
      </c>
      <c r="P74" s="21" t="s">
        <v>188</v>
      </c>
      <c r="Q74" s="23"/>
      <c r="R74" s="21" t="s">
        <v>35</v>
      </c>
      <c r="S74" s="24"/>
    </row>
    <row r="75" spans="1:19" ht="33" hidden="1" customHeight="1">
      <c r="A75" s="17">
        <v>74</v>
      </c>
      <c r="B75" s="17" t="s">
        <v>174</v>
      </c>
      <c r="C75" s="17" t="s">
        <v>56</v>
      </c>
      <c r="D75" s="17" t="s">
        <v>332</v>
      </c>
      <c r="E75" s="17" t="s">
        <v>333</v>
      </c>
      <c r="F75" s="18">
        <v>6215</v>
      </c>
      <c r="G75" s="22">
        <f>0.6*F75</f>
        <v>3729</v>
      </c>
      <c r="H75" s="18">
        <f>'01_BOM_DUZELTILDI'!$G75*'01_BOM_DUZELTILDI'!$I75</f>
        <v>22374</v>
      </c>
      <c r="I75" s="33">
        <v>6</v>
      </c>
      <c r="J75" s="17" t="s">
        <v>31</v>
      </c>
      <c r="K75" s="17" t="s">
        <v>40</v>
      </c>
      <c r="L75" s="17" t="s">
        <v>191</v>
      </c>
      <c r="M75" s="17"/>
      <c r="N75" s="17"/>
      <c r="O75" s="17" t="s">
        <v>41</v>
      </c>
      <c r="P75" s="17" t="s">
        <v>192</v>
      </c>
      <c r="Q75" s="19">
        <v>12</v>
      </c>
      <c r="R75" s="17" t="s">
        <v>35</v>
      </c>
      <c r="S75" s="20"/>
    </row>
    <row r="76" spans="1:19" ht="33" hidden="1" customHeight="1">
      <c r="A76" s="21">
        <v>77</v>
      </c>
      <c r="B76" s="21" t="s">
        <v>174</v>
      </c>
      <c r="C76" s="21" t="s">
        <v>83</v>
      </c>
      <c r="D76" s="21"/>
      <c r="E76" s="21" t="s">
        <v>121</v>
      </c>
      <c r="F76" s="22">
        <f ca="1">OFFSET('01_BOM_DUZELTILDI'!$F76,1,2)</f>
        <v>21000</v>
      </c>
      <c r="G76" s="22">
        <f ca="1">'01_BOM_DUZELTILDI'!$F76</f>
        <v>21000</v>
      </c>
      <c r="H76" s="22">
        <f ca="1">'01_BOM_DUZELTILDI'!$G76*'01_BOM_DUZELTILDI'!$I76</f>
        <v>21000</v>
      </c>
      <c r="I76" s="34">
        <v>1</v>
      </c>
      <c r="J76" s="21" t="s">
        <v>31</v>
      </c>
      <c r="K76" s="17" t="s">
        <v>369</v>
      </c>
      <c r="L76" s="21"/>
      <c r="M76" s="21"/>
      <c r="N76" s="21"/>
      <c r="O76" s="21" t="s">
        <v>33</v>
      </c>
      <c r="P76" s="21" t="s">
        <v>34</v>
      </c>
      <c r="Q76" s="23"/>
      <c r="R76" s="21" t="s">
        <v>35</v>
      </c>
      <c r="S76" s="24"/>
    </row>
    <row r="77" spans="1:19" ht="33" hidden="1" customHeight="1">
      <c r="A77" s="17">
        <v>78</v>
      </c>
      <c r="B77" s="17" t="s">
        <v>174</v>
      </c>
      <c r="C77" s="17" t="s">
        <v>85</v>
      </c>
      <c r="D77" s="17"/>
      <c r="E77" s="17" t="s">
        <v>157</v>
      </c>
      <c r="F77" s="18">
        <v>3.5</v>
      </c>
      <c r="G77" s="18">
        <v>100</v>
      </c>
      <c r="H77" s="18">
        <f>'01_BOM_DUZELTILDI'!$G77*'01_BOM_DUZELTILDI'!$I77</f>
        <v>21000</v>
      </c>
      <c r="I77" s="33">
        <f>60*'01_BOM_DUZELTILDI'!$F77</f>
        <v>210</v>
      </c>
      <c r="J77" s="17" t="s">
        <v>123</v>
      </c>
      <c r="K77" s="17" t="s">
        <v>87</v>
      </c>
      <c r="L77" s="17"/>
      <c r="M77" s="17"/>
      <c r="N77" s="17"/>
      <c r="O77" s="17" t="s">
        <v>33</v>
      </c>
      <c r="P77" s="17"/>
      <c r="Q77" s="19"/>
      <c r="R77" s="17" t="s">
        <v>35</v>
      </c>
      <c r="S77" s="20"/>
    </row>
    <row r="78" spans="1:19" ht="33" customHeight="1">
      <c r="A78" s="9">
        <v>79</v>
      </c>
      <c r="B78" s="9" t="s">
        <v>195</v>
      </c>
      <c r="C78" s="9" t="s">
        <v>19</v>
      </c>
      <c r="D78" s="9"/>
      <c r="E78" s="31" t="s">
        <v>195</v>
      </c>
      <c r="F78" s="10"/>
      <c r="G78" s="10">
        <f>'01_BOM_DUZELTILDI'!$F78</f>
        <v>0</v>
      </c>
      <c r="H78" s="10"/>
      <c r="I78" s="31">
        <v>11</v>
      </c>
      <c r="J78" s="9" t="s">
        <v>23</v>
      </c>
      <c r="K78" s="9" t="s">
        <v>24</v>
      </c>
      <c r="L78" s="9" t="s">
        <v>175</v>
      </c>
      <c r="M78" s="9" t="s">
        <v>176</v>
      </c>
      <c r="N78" s="9" t="s">
        <v>177</v>
      </c>
      <c r="O78" s="9" t="s">
        <v>25</v>
      </c>
      <c r="P78" s="9" t="s">
        <v>26</v>
      </c>
      <c r="Q78" s="11"/>
      <c r="R78" s="9"/>
      <c r="S78" s="12"/>
    </row>
    <row r="79" spans="1:19" ht="33" hidden="1" customHeight="1">
      <c r="A79" s="13">
        <v>80</v>
      </c>
      <c r="B79" s="13" t="s">
        <v>195</v>
      </c>
      <c r="C79" s="13" t="s">
        <v>27</v>
      </c>
      <c r="D79" s="13" t="s">
        <v>196</v>
      </c>
      <c r="E79" s="13" t="s">
        <v>197</v>
      </c>
      <c r="F79" s="14">
        <v>120000</v>
      </c>
      <c r="G79" s="14">
        <f>0.6*F79</f>
        <v>72000</v>
      </c>
      <c r="H79" s="14">
        <f>'01_BOM_DUZELTILDI'!$G79*'01_BOM_DUZELTILDI'!$I79</f>
        <v>72000</v>
      </c>
      <c r="I79" s="32">
        <v>1</v>
      </c>
      <c r="J79" s="13" t="s">
        <v>31</v>
      </c>
      <c r="K79" s="13" t="s">
        <v>350</v>
      </c>
      <c r="L79" s="13" t="s">
        <v>180</v>
      </c>
      <c r="M79" s="13" t="s">
        <v>176</v>
      </c>
      <c r="N79" s="13" t="s">
        <v>177</v>
      </c>
      <c r="O79" s="13" t="s">
        <v>33</v>
      </c>
      <c r="P79" s="13" t="s">
        <v>198</v>
      </c>
      <c r="Q79" s="15"/>
      <c r="R79" s="13" t="s">
        <v>35</v>
      </c>
      <c r="S79" s="16"/>
    </row>
    <row r="80" spans="1:19" ht="33" hidden="1" customHeight="1">
      <c r="A80" s="17">
        <v>72</v>
      </c>
      <c r="B80" s="17" t="s">
        <v>174</v>
      </c>
      <c r="C80" s="17" t="s">
        <v>367</v>
      </c>
      <c r="D80" s="17" t="s">
        <v>383</v>
      </c>
      <c r="E80" s="17" t="s">
        <v>384</v>
      </c>
      <c r="F80" s="18">
        <v>18847</v>
      </c>
      <c r="G80" s="22">
        <f t="shared" ref="G80:G84" si="8">0.6*F80</f>
        <v>11308.199999999999</v>
      </c>
      <c r="H80" s="18">
        <f>'01_BOM_DUZELTILDI'!$G80*'01_BOM_DUZELTILDI'!$I80</f>
        <v>11308.199999999999</v>
      </c>
      <c r="I80" s="33">
        <v>1</v>
      </c>
      <c r="J80" s="17" t="s">
        <v>31</v>
      </c>
      <c r="K80" s="17" t="s">
        <v>40</v>
      </c>
      <c r="L80" s="17" t="s">
        <v>183</v>
      </c>
      <c r="M80" s="17"/>
      <c r="N80" s="17"/>
      <c r="O80" s="17" t="s">
        <v>41</v>
      </c>
      <c r="P80" s="17" t="s">
        <v>184</v>
      </c>
      <c r="Q80" s="19">
        <v>6</v>
      </c>
      <c r="R80" s="17" t="s">
        <v>35</v>
      </c>
      <c r="S80" s="20"/>
    </row>
    <row r="81" spans="1:19" ht="33" hidden="1" customHeight="1">
      <c r="A81" s="17">
        <v>72</v>
      </c>
      <c r="B81" s="17" t="s">
        <v>174</v>
      </c>
      <c r="C81" s="17" t="s">
        <v>368</v>
      </c>
      <c r="D81" s="17" t="s">
        <v>381</v>
      </c>
      <c r="E81" s="17" t="s">
        <v>382</v>
      </c>
      <c r="F81" s="18">
        <v>1738</v>
      </c>
      <c r="G81" s="22">
        <f t="shared" si="8"/>
        <v>1042.8</v>
      </c>
      <c r="H81" s="18">
        <f>'01_BOM_DUZELTILDI'!$G81*'01_BOM_DUZELTILDI'!$I81</f>
        <v>1042.8</v>
      </c>
      <c r="I81" s="33">
        <v>1</v>
      </c>
      <c r="J81" s="17" t="s">
        <v>31</v>
      </c>
      <c r="K81" s="17" t="s">
        <v>40</v>
      </c>
      <c r="L81" s="17" t="s">
        <v>183</v>
      </c>
      <c r="M81" s="17"/>
      <c r="N81" s="17"/>
      <c r="O81" s="17" t="s">
        <v>41</v>
      </c>
      <c r="P81" s="17" t="s">
        <v>184</v>
      </c>
      <c r="Q81" s="19">
        <v>6</v>
      </c>
      <c r="R81" s="17" t="s">
        <v>35</v>
      </c>
      <c r="S81" s="20"/>
    </row>
    <row r="82" spans="1:19" ht="33" hidden="1" customHeight="1">
      <c r="A82" s="17">
        <v>72</v>
      </c>
      <c r="B82" s="17" t="s">
        <v>174</v>
      </c>
      <c r="C82" s="17" t="s">
        <v>51</v>
      </c>
      <c r="D82" s="21" t="s">
        <v>301</v>
      </c>
      <c r="E82" s="21" t="s">
        <v>302</v>
      </c>
      <c r="F82" s="22">
        <v>783</v>
      </c>
      <c r="G82" s="22">
        <f t="shared" si="8"/>
        <v>469.79999999999995</v>
      </c>
      <c r="H82" s="18">
        <f>'01_BOM_DUZELTILDI'!$G82*'01_BOM_DUZELTILDI'!$I82</f>
        <v>469.79999999999995</v>
      </c>
      <c r="I82" s="33">
        <v>1</v>
      </c>
      <c r="J82" s="17" t="s">
        <v>31</v>
      </c>
      <c r="K82" s="17" t="s">
        <v>40</v>
      </c>
      <c r="L82" s="17" t="s">
        <v>183</v>
      </c>
      <c r="M82" s="17"/>
      <c r="N82" s="17"/>
      <c r="O82" s="17" t="s">
        <v>41</v>
      </c>
      <c r="P82" s="17" t="s">
        <v>184</v>
      </c>
      <c r="Q82" s="19">
        <v>6</v>
      </c>
      <c r="R82" s="17" t="s">
        <v>35</v>
      </c>
      <c r="S82" s="20"/>
    </row>
    <row r="83" spans="1:19" ht="33" hidden="1" customHeight="1">
      <c r="A83" s="17">
        <v>72</v>
      </c>
      <c r="B83" s="17" t="s">
        <v>174</v>
      </c>
      <c r="C83" s="17" t="s">
        <v>51</v>
      </c>
      <c r="D83" s="21" t="s">
        <v>374</v>
      </c>
      <c r="E83" s="21" t="s">
        <v>375</v>
      </c>
      <c r="F83" s="22">
        <v>975</v>
      </c>
      <c r="G83" s="22">
        <f t="shared" si="8"/>
        <v>585</v>
      </c>
      <c r="H83" s="18">
        <f>'01_BOM_DUZELTILDI'!$G83*'01_BOM_DUZELTILDI'!$I83</f>
        <v>1755</v>
      </c>
      <c r="I83" s="33">
        <v>3</v>
      </c>
      <c r="J83" s="17" t="s">
        <v>31</v>
      </c>
      <c r="K83" s="17" t="s">
        <v>40</v>
      </c>
      <c r="L83" s="17" t="s">
        <v>183</v>
      </c>
      <c r="M83" s="17"/>
      <c r="N83" s="17"/>
      <c r="O83" s="17" t="s">
        <v>41</v>
      </c>
      <c r="P83" s="17" t="s">
        <v>184</v>
      </c>
      <c r="Q83" s="19">
        <v>6</v>
      </c>
      <c r="R83" s="17" t="s">
        <v>35</v>
      </c>
      <c r="S83" s="20"/>
    </row>
    <row r="84" spans="1:19" ht="33" hidden="1" customHeight="1">
      <c r="A84" s="21">
        <v>81</v>
      </c>
      <c r="B84" s="21" t="s">
        <v>195</v>
      </c>
      <c r="C84" s="21" t="s">
        <v>51</v>
      </c>
      <c r="D84" s="21" t="s">
        <v>303</v>
      </c>
      <c r="E84" s="21" t="s">
        <v>304</v>
      </c>
      <c r="F84" s="22">
        <v>1030</v>
      </c>
      <c r="G84" s="22">
        <f t="shared" si="8"/>
        <v>618</v>
      </c>
      <c r="H84" s="22">
        <f>'01_BOM_DUZELTILDI'!$G84*'01_BOM_DUZELTILDI'!$I84</f>
        <v>4944</v>
      </c>
      <c r="I84" s="34">
        <v>8</v>
      </c>
      <c r="J84" s="21" t="s">
        <v>31</v>
      </c>
      <c r="K84" s="21" t="s">
        <v>40</v>
      </c>
      <c r="L84" s="21" t="s">
        <v>183</v>
      </c>
      <c r="M84" s="21"/>
      <c r="N84" s="21"/>
      <c r="O84" s="21" t="s">
        <v>41</v>
      </c>
      <c r="P84" s="21" t="s">
        <v>199</v>
      </c>
      <c r="Q84" s="23">
        <v>8</v>
      </c>
      <c r="R84" s="21" t="s">
        <v>35</v>
      </c>
      <c r="S84" s="24"/>
    </row>
    <row r="85" spans="1:19" ht="33" hidden="1" customHeight="1">
      <c r="A85" s="17">
        <v>82</v>
      </c>
      <c r="B85" s="17" t="s">
        <v>195</v>
      </c>
      <c r="C85" s="17" t="s">
        <v>319</v>
      </c>
      <c r="D85" s="17" t="s">
        <v>328</v>
      </c>
      <c r="E85" s="17" t="s">
        <v>329</v>
      </c>
      <c r="F85" s="18">
        <v>42000</v>
      </c>
      <c r="G85" s="18">
        <f>'01_BOM_DUZELTILDI'!$F85</f>
        <v>42000</v>
      </c>
      <c r="H85" s="18">
        <f>'01_BOM_DUZELTILDI'!$G85*'01_BOM_DUZELTILDI'!$I85</f>
        <v>336000</v>
      </c>
      <c r="I85" s="33">
        <v>8</v>
      </c>
      <c r="J85" s="17" t="s">
        <v>31</v>
      </c>
      <c r="K85" s="17" t="s">
        <v>65</v>
      </c>
      <c r="L85" s="17" t="s">
        <v>187</v>
      </c>
      <c r="M85" s="17"/>
      <c r="N85" s="17"/>
      <c r="O85" s="17" t="s">
        <v>33</v>
      </c>
      <c r="P85" s="17" t="s">
        <v>201</v>
      </c>
      <c r="Q85" s="19"/>
      <c r="R85" s="17" t="s">
        <v>35</v>
      </c>
      <c r="S85" s="20"/>
    </row>
    <row r="86" spans="1:19" ht="33" hidden="1" customHeight="1">
      <c r="A86" s="21">
        <v>83</v>
      </c>
      <c r="B86" s="21" t="s">
        <v>195</v>
      </c>
      <c r="C86" s="21" t="s">
        <v>56</v>
      </c>
      <c r="D86" s="21" t="s">
        <v>332</v>
      </c>
      <c r="E86" s="21" t="s">
        <v>333</v>
      </c>
      <c r="F86" s="22">
        <v>6215</v>
      </c>
      <c r="G86" s="22">
        <f>0.6*F86</f>
        <v>3729</v>
      </c>
      <c r="H86" s="22">
        <f>'01_BOM_DUZELTILDI'!$G86*'01_BOM_DUZELTILDI'!$I86</f>
        <v>29832</v>
      </c>
      <c r="I86" s="34">
        <v>8</v>
      </c>
      <c r="J86" s="21" t="s">
        <v>31</v>
      </c>
      <c r="K86" s="21" t="s">
        <v>40</v>
      </c>
      <c r="L86" s="21" t="s">
        <v>191</v>
      </c>
      <c r="M86" s="21"/>
      <c r="N86" s="21"/>
      <c r="O86" s="21" t="s">
        <v>41</v>
      </c>
      <c r="P86" s="21" t="s">
        <v>202</v>
      </c>
      <c r="Q86" s="23">
        <v>16</v>
      </c>
      <c r="R86" s="21" t="s">
        <v>35</v>
      </c>
      <c r="S86" s="24"/>
    </row>
    <row r="87" spans="1:19" ht="33" hidden="1" customHeight="1">
      <c r="A87" s="17">
        <v>86</v>
      </c>
      <c r="B87" s="17" t="s">
        <v>195</v>
      </c>
      <c r="C87" s="17" t="s">
        <v>83</v>
      </c>
      <c r="D87" s="17"/>
      <c r="E87" s="17" t="s">
        <v>121</v>
      </c>
      <c r="F87" s="18">
        <f ca="1">OFFSET('01_BOM_DUZELTILDI'!$F87,1,2)</f>
        <v>21000</v>
      </c>
      <c r="G87" s="18">
        <f ca="1">'01_BOM_DUZELTILDI'!$F87</f>
        <v>21000</v>
      </c>
      <c r="H87" s="18">
        <f ca="1">'01_BOM_DUZELTILDI'!$G87*'01_BOM_DUZELTILDI'!$I87</f>
        <v>21000</v>
      </c>
      <c r="I87" s="33">
        <v>1</v>
      </c>
      <c r="J87" s="17" t="s">
        <v>31</v>
      </c>
      <c r="K87" s="17" t="s">
        <v>369</v>
      </c>
      <c r="L87" s="17"/>
      <c r="M87" s="17"/>
      <c r="N87" s="17"/>
      <c r="O87" s="17" t="s">
        <v>33</v>
      </c>
      <c r="P87" s="17" t="s">
        <v>204</v>
      </c>
      <c r="Q87" s="19"/>
      <c r="R87" s="17" t="s">
        <v>35</v>
      </c>
      <c r="S87" s="20"/>
    </row>
    <row r="88" spans="1:19" ht="33" hidden="1" customHeight="1">
      <c r="A88" s="21">
        <v>87</v>
      </c>
      <c r="B88" s="21" t="s">
        <v>195</v>
      </c>
      <c r="C88" s="21" t="s">
        <v>85</v>
      </c>
      <c r="D88" s="21"/>
      <c r="E88" s="21" t="s">
        <v>157</v>
      </c>
      <c r="F88" s="22">
        <v>3.5</v>
      </c>
      <c r="G88" s="22">
        <v>100</v>
      </c>
      <c r="H88" s="22">
        <f>'01_BOM_DUZELTILDI'!$G88*'01_BOM_DUZELTILDI'!$I88</f>
        <v>21000</v>
      </c>
      <c r="I88" s="34">
        <f>60*'01_BOM_DUZELTILDI'!$F88</f>
        <v>210</v>
      </c>
      <c r="J88" s="21" t="s">
        <v>123</v>
      </c>
      <c r="K88" s="21" t="s">
        <v>87</v>
      </c>
      <c r="L88" s="21"/>
      <c r="M88" s="21"/>
      <c r="N88" s="21"/>
      <c r="O88" s="21" t="s">
        <v>33</v>
      </c>
      <c r="P88" s="21" t="s">
        <v>206</v>
      </c>
      <c r="Q88" s="23"/>
      <c r="R88" s="21" t="s">
        <v>35</v>
      </c>
      <c r="S88" s="24"/>
    </row>
    <row r="89" spans="1:19" ht="33" customHeight="1">
      <c r="A89" s="9">
        <v>88</v>
      </c>
      <c r="B89" s="9" t="s">
        <v>207</v>
      </c>
      <c r="C89" s="9" t="s">
        <v>19</v>
      </c>
      <c r="D89" s="9"/>
      <c r="E89" s="31" t="s">
        <v>207</v>
      </c>
      <c r="F89" s="10"/>
      <c r="G89" s="10">
        <f>'01_BOM_DUZELTILDI'!$F89</f>
        <v>0</v>
      </c>
      <c r="H89" s="10"/>
      <c r="I89" s="31">
        <v>36</v>
      </c>
      <c r="J89" s="9" t="s">
        <v>23</v>
      </c>
      <c r="K89" s="9" t="s">
        <v>24</v>
      </c>
      <c r="L89" s="9" t="s">
        <v>208</v>
      </c>
      <c r="M89" s="9" t="s">
        <v>209</v>
      </c>
      <c r="N89" s="9" t="s">
        <v>209</v>
      </c>
      <c r="O89" s="9" t="s">
        <v>25</v>
      </c>
      <c r="P89" s="9" t="s">
        <v>26</v>
      </c>
      <c r="Q89" s="11"/>
      <c r="R89" s="9"/>
      <c r="S89" s="12"/>
    </row>
    <row r="90" spans="1:19" ht="33" hidden="1" customHeight="1">
      <c r="A90" s="13">
        <v>89</v>
      </c>
      <c r="B90" s="13" t="s">
        <v>207</v>
      </c>
      <c r="C90" s="13" t="s">
        <v>27</v>
      </c>
      <c r="D90" s="13" t="s">
        <v>297</v>
      </c>
      <c r="E90" s="13" t="s">
        <v>298</v>
      </c>
      <c r="F90" s="14">
        <v>11400</v>
      </c>
      <c r="G90" s="14">
        <f>0.6*F90</f>
        <v>6840</v>
      </c>
      <c r="H90" s="14">
        <f>'01_BOM_DUZELTILDI'!$G90*'01_BOM_DUZELTILDI'!$I90</f>
        <v>6840</v>
      </c>
      <c r="I90" s="32">
        <v>1</v>
      </c>
      <c r="J90" s="13" t="s">
        <v>31</v>
      </c>
      <c r="K90" s="13" t="s">
        <v>350</v>
      </c>
      <c r="L90" s="13" t="s">
        <v>212</v>
      </c>
      <c r="M90" s="13" t="s">
        <v>209</v>
      </c>
      <c r="N90" s="13" t="s">
        <v>209</v>
      </c>
      <c r="O90" s="13" t="s">
        <v>33</v>
      </c>
      <c r="P90" s="13" t="s">
        <v>213</v>
      </c>
      <c r="Q90" s="15"/>
      <c r="R90" s="13" t="s">
        <v>35</v>
      </c>
      <c r="S90" s="16"/>
    </row>
    <row r="91" spans="1:19" ht="33" hidden="1" customHeight="1">
      <c r="A91" s="17">
        <v>90</v>
      </c>
      <c r="B91" s="17" t="s">
        <v>207</v>
      </c>
      <c r="C91" s="17" t="s">
        <v>51</v>
      </c>
      <c r="D91" s="17" t="s">
        <v>317</v>
      </c>
      <c r="E91" s="17" t="s">
        <v>318</v>
      </c>
      <c r="F91" s="18">
        <v>1045</v>
      </c>
      <c r="G91" s="22">
        <f t="shared" ref="G91:G94" si="9">0.6*F91</f>
        <v>627</v>
      </c>
      <c r="H91" s="18">
        <f>'01_BOM_DUZELTILDI'!$G91*'01_BOM_DUZELTILDI'!$I91</f>
        <v>627</v>
      </c>
      <c r="I91" s="33">
        <v>1</v>
      </c>
      <c r="J91" s="17" t="s">
        <v>31</v>
      </c>
      <c r="K91" s="17" t="s">
        <v>40</v>
      </c>
      <c r="L91" s="17" t="s">
        <v>216</v>
      </c>
      <c r="M91" s="17"/>
      <c r="N91" s="17"/>
      <c r="O91" s="17" t="s">
        <v>41</v>
      </c>
      <c r="P91" s="17" t="s">
        <v>217</v>
      </c>
      <c r="Q91" s="19"/>
      <c r="R91" s="17" t="s">
        <v>35</v>
      </c>
      <c r="S91" s="20"/>
    </row>
    <row r="92" spans="1:19" ht="33" hidden="1" customHeight="1">
      <c r="A92" s="21">
        <v>91</v>
      </c>
      <c r="B92" s="21" t="s">
        <v>207</v>
      </c>
      <c r="C92" s="21" t="s">
        <v>51</v>
      </c>
      <c r="D92" s="21" t="s">
        <v>299</v>
      </c>
      <c r="E92" s="21" t="s">
        <v>300</v>
      </c>
      <c r="F92" s="22">
        <v>897</v>
      </c>
      <c r="G92" s="22">
        <f t="shared" si="9"/>
        <v>538.19999999999993</v>
      </c>
      <c r="H92" s="22">
        <f>'01_BOM_DUZELTILDI'!$G92*'01_BOM_DUZELTILDI'!$I92</f>
        <v>538.19999999999993</v>
      </c>
      <c r="I92" s="34">
        <v>1</v>
      </c>
      <c r="J92" s="21" t="s">
        <v>31</v>
      </c>
      <c r="K92" s="21" t="s">
        <v>40</v>
      </c>
      <c r="L92" s="21" t="s">
        <v>165</v>
      </c>
      <c r="M92" s="21"/>
      <c r="N92" s="21"/>
      <c r="O92" s="21" t="s">
        <v>41</v>
      </c>
      <c r="P92" s="21" t="s">
        <v>218</v>
      </c>
      <c r="Q92" s="23">
        <v>1</v>
      </c>
      <c r="R92" s="21" t="s">
        <v>35</v>
      </c>
      <c r="S92" s="24"/>
    </row>
    <row r="93" spans="1:19" ht="33" hidden="1" customHeight="1">
      <c r="A93" s="17">
        <v>92</v>
      </c>
      <c r="B93" s="17" t="s">
        <v>207</v>
      </c>
      <c r="C93" s="17" t="s">
        <v>56</v>
      </c>
      <c r="D93" s="17" t="s">
        <v>330</v>
      </c>
      <c r="E93" s="17" t="s">
        <v>331</v>
      </c>
      <c r="F93" s="18">
        <v>5104</v>
      </c>
      <c r="G93" s="22">
        <f t="shared" si="9"/>
        <v>3062.4</v>
      </c>
      <c r="H93" s="18">
        <f>'01_BOM_DUZELTILDI'!$G93*'01_BOM_DUZELTILDI'!$I93</f>
        <v>9187.2000000000007</v>
      </c>
      <c r="I93" s="33">
        <v>3</v>
      </c>
      <c r="J93" s="17" t="s">
        <v>31</v>
      </c>
      <c r="K93" s="17" t="s">
        <v>40</v>
      </c>
      <c r="L93" s="17" t="s">
        <v>221</v>
      </c>
      <c r="M93" s="17"/>
      <c r="N93" s="17"/>
      <c r="O93" s="17" t="s">
        <v>41</v>
      </c>
      <c r="P93" s="17" t="s">
        <v>222</v>
      </c>
      <c r="Q93" s="19">
        <v>6</v>
      </c>
      <c r="R93" s="17" t="s">
        <v>35</v>
      </c>
      <c r="S93" s="20"/>
    </row>
    <row r="94" spans="1:19" ht="33" hidden="1" customHeight="1">
      <c r="A94" s="21">
        <v>93</v>
      </c>
      <c r="B94" s="21" t="s">
        <v>207</v>
      </c>
      <c r="C94" s="21" t="s">
        <v>56</v>
      </c>
      <c r="D94" s="21" t="s">
        <v>385</v>
      </c>
      <c r="E94" s="21" t="s">
        <v>386</v>
      </c>
      <c r="F94" s="22">
        <v>5556</v>
      </c>
      <c r="G94" s="22">
        <f t="shared" si="9"/>
        <v>3333.6</v>
      </c>
      <c r="H94" s="22">
        <f>'01_BOM_DUZELTILDI'!$G94*'01_BOM_DUZELTILDI'!$I94</f>
        <v>3333.6</v>
      </c>
      <c r="I94" s="34">
        <v>1</v>
      </c>
      <c r="J94" s="21" t="s">
        <v>31</v>
      </c>
      <c r="K94" s="21" t="s">
        <v>40</v>
      </c>
      <c r="L94" s="21" t="s">
        <v>225</v>
      </c>
      <c r="M94" s="21"/>
      <c r="N94" s="21"/>
      <c r="O94" s="21" t="s">
        <v>41</v>
      </c>
      <c r="P94" s="21" t="s">
        <v>226</v>
      </c>
      <c r="Q94" s="23">
        <v>2</v>
      </c>
      <c r="R94" s="21" t="s">
        <v>35</v>
      </c>
      <c r="S94" s="24"/>
    </row>
    <row r="95" spans="1:19" ht="33" hidden="1" customHeight="1">
      <c r="A95" s="17">
        <v>95</v>
      </c>
      <c r="B95" s="17" t="s">
        <v>207</v>
      </c>
      <c r="C95" s="17" t="s">
        <v>83</v>
      </c>
      <c r="D95" s="17"/>
      <c r="E95" s="17" t="s">
        <v>121</v>
      </c>
      <c r="F95" s="18">
        <f ca="1">OFFSET('01_BOM_DUZELTILDI'!$F95,1,2)</f>
        <v>6000</v>
      </c>
      <c r="G95" s="18">
        <f ca="1">'01_BOM_DUZELTILDI'!$F95</f>
        <v>6000</v>
      </c>
      <c r="H95" s="18">
        <f ca="1">'01_BOM_DUZELTILDI'!$G95*'01_BOM_DUZELTILDI'!$I95</f>
        <v>6000</v>
      </c>
      <c r="I95" s="33">
        <v>1</v>
      </c>
      <c r="J95" s="17" t="s">
        <v>31</v>
      </c>
      <c r="K95" s="17" t="s">
        <v>369</v>
      </c>
      <c r="L95" s="17"/>
      <c r="M95" s="17"/>
      <c r="N95" s="17"/>
      <c r="O95" s="17" t="s">
        <v>33</v>
      </c>
      <c r="P95" s="17" t="s">
        <v>227</v>
      </c>
      <c r="Q95" s="19"/>
      <c r="R95" s="17" t="s">
        <v>35</v>
      </c>
      <c r="S95" s="20"/>
    </row>
    <row r="96" spans="1:19" ht="33" hidden="1" customHeight="1">
      <c r="A96" s="21">
        <v>96</v>
      </c>
      <c r="B96" s="21" t="s">
        <v>207</v>
      </c>
      <c r="C96" s="21" t="s">
        <v>85</v>
      </c>
      <c r="D96" s="21"/>
      <c r="E96" s="21" t="s">
        <v>157</v>
      </c>
      <c r="F96" s="22">
        <v>1</v>
      </c>
      <c r="G96" s="22">
        <v>100</v>
      </c>
      <c r="H96" s="22">
        <f>'01_BOM_DUZELTILDI'!$G96*'01_BOM_DUZELTILDI'!$I96</f>
        <v>6000</v>
      </c>
      <c r="I96" s="34">
        <f>60*'01_BOM_DUZELTILDI'!$F96</f>
        <v>60</v>
      </c>
      <c r="J96" s="21" t="s">
        <v>123</v>
      </c>
      <c r="K96" s="21" t="s">
        <v>87</v>
      </c>
      <c r="L96" s="21"/>
      <c r="M96" s="21"/>
      <c r="N96" s="21"/>
      <c r="O96" s="21" t="s">
        <v>33</v>
      </c>
      <c r="P96" s="21" t="s">
        <v>229</v>
      </c>
      <c r="Q96" s="23"/>
      <c r="R96" s="21" t="s">
        <v>35</v>
      </c>
      <c r="S96" s="24"/>
    </row>
    <row r="97" spans="1:19" ht="33" customHeight="1">
      <c r="A97" s="9">
        <v>97</v>
      </c>
      <c r="B97" s="9" t="s">
        <v>230</v>
      </c>
      <c r="C97" s="9" t="s">
        <v>19</v>
      </c>
      <c r="D97" s="9"/>
      <c r="E97" s="31" t="s">
        <v>230</v>
      </c>
      <c r="F97" s="10"/>
      <c r="G97" s="10">
        <f>'01_BOM_DUZELTILDI'!$F97</f>
        <v>0</v>
      </c>
      <c r="H97" s="10"/>
      <c r="I97" s="31">
        <v>47</v>
      </c>
      <c r="J97" s="9" t="s">
        <v>23</v>
      </c>
      <c r="K97" s="9" t="s">
        <v>24</v>
      </c>
      <c r="L97" s="9" t="s">
        <v>208</v>
      </c>
      <c r="M97" s="9" t="s">
        <v>209</v>
      </c>
      <c r="N97" s="9" t="s">
        <v>209</v>
      </c>
      <c r="O97" s="9" t="s">
        <v>25</v>
      </c>
      <c r="P97" s="9" t="s">
        <v>26</v>
      </c>
      <c r="Q97" s="11"/>
      <c r="R97" s="9"/>
      <c r="S97" s="12"/>
    </row>
    <row r="98" spans="1:19" ht="33" hidden="1" customHeight="1">
      <c r="A98" s="13">
        <v>98</v>
      </c>
      <c r="B98" s="13" t="s">
        <v>230</v>
      </c>
      <c r="C98" s="13" t="s">
        <v>27</v>
      </c>
      <c r="D98" s="13" t="s">
        <v>297</v>
      </c>
      <c r="E98" s="13" t="s">
        <v>298</v>
      </c>
      <c r="F98" s="14">
        <v>11400</v>
      </c>
      <c r="G98" s="14">
        <f>0.6*F98</f>
        <v>6840</v>
      </c>
      <c r="H98" s="14">
        <f>'01_BOM_DUZELTILDI'!$G98*'01_BOM_DUZELTILDI'!$I98</f>
        <v>6840</v>
      </c>
      <c r="I98" s="32">
        <v>1</v>
      </c>
      <c r="J98" s="13" t="s">
        <v>31</v>
      </c>
      <c r="K98" s="13" t="s">
        <v>350</v>
      </c>
      <c r="L98" s="13" t="s">
        <v>212</v>
      </c>
      <c r="M98" s="13" t="s">
        <v>209</v>
      </c>
      <c r="N98" s="13" t="s">
        <v>209</v>
      </c>
      <c r="O98" s="13" t="s">
        <v>33</v>
      </c>
      <c r="P98" s="13" t="s">
        <v>231</v>
      </c>
      <c r="Q98" s="15"/>
      <c r="R98" s="13" t="s">
        <v>35</v>
      </c>
      <c r="S98" s="16"/>
    </row>
    <row r="99" spans="1:19" ht="33" hidden="1" customHeight="1">
      <c r="A99" s="17">
        <v>99</v>
      </c>
      <c r="B99" s="17" t="s">
        <v>230</v>
      </c>
      <c r="C99" s="17" t="s">
        <v>51</v>
      </c>
      <c r="D99" s="17" t="s">
        <v>317</v>
      </c>
      <c r="E99" s="17" t="s">
        <v>318</v>
      </c>
      <c r="F99" s="18">
        <v>1045</v>
      </c>
      <c r="G99" s="22">
        <f t="shared" ref="G99:G102" si="10">0.6*F99</f>
        <v>627</v>
      </c>
      <c r="H99" s="18">
        <f>'01_BOM_DUZELTILDI'!$G99*'01_BOM_DUZELTILDI'!$I99</f>
        <v>627</v>
      </c>
      <c r="I99" s="33">
        <v>1</v>
      </c>
      <c r="J99" s="17" t="s">
        <v>31</v>
      </c>
      <c r="K99" s="17" t="s">
        <v>40</v>
      </c>
      <c r="L99" s="17" t="s">
        <v>216</v>
      </c>
      <c r="M99" s="17"/>
      <c r="N99" s="17"/>
      <c r="O99" s="17" t="s">
        <v>41</v>
      </c>
      <c r="P99" s="17" t="s">
        <v>232</v>
      </c>
      <c r="Q99" s="19"/>
      <c r="R99" s="17" t="s">
        <v>35</v>
      </c>
      <c r="S99" s="20"/>
    </row>
    <row r="100" spans="1:19" ht="33" hidden="1" customHeight="1">
      <c r="A100" s="21">
        <v>100</v>
      </c>
      <c r="B100" s="21" t="s">
        <v>230</v>
      </c>
      <c r="C100" s="21" t="s">
        <v>51</v>
      </c>
      <c r="D100" s="21" t="s">
        <v>299</v>
      </c>
      <c r="E100" s="21" t="s">
        <v>300</v>
      </c>
      <c r="F100" s="22">
        <v>897</v>
      </c>
      <c r="G100" s="22">
        <f t="shared" si="10"/>
        <v>538.19999999999993</v>
      </c>
      <c r="H100" s="22">
        <f>'01_BOM_DUZELTILDI'!$G100*'01_BOM_DUZELTILDI'!$I100</f>
        <v>538.19999999999993</v>
      </c>
      <c r="I100" s="34">
        <v>1</v>
      </c>
      <c r="J100" s="21" t="s">
        <v>31</v>
      </c>
      <c r="K100" s="21" t="s">
        <v>40</v>
      </c>
      <c r="L100" s="21" t="s">
        <v>165</v>
      </c>
      <c r="M100" s="21"/>
      <c r="N100" s="21"/>
      <c r="O100" s="21" t="s">
        <v>41</v>
      </c>
      <c r="P100" s="21" t="s">
        <v>233</v>
      </c>
      <c r="Q100" s="23">
        <v>1</v>
      </c>
      <c r="R100" s="21" t="s">
        <v>35</v>
      </c>
      <c r="S100" s="24"/>
    </row>
    <row r="101" spans="1:19" ht="33" hidden="1" customHeight="1">
      <c r="A101" s="17">
        <v>101</v>
      </c>
      <c r="B101" s="17" t="s">
        <v>230</v>
      </c>
      <c r="C101" s="17" t="s">
        <v>56</v>
      </c>
      <c r="D101" s="17" t="s">
        <v>330</v>
      </c>
      <c r="E101" s="17" t="s">
        <v>331</v>
      </c>
      <c r="F101" s="18">
        <v>5104</v>
      </c>
      <c r="G101" s="22">
        <f t="shared" si="10"/>
        <v>3062.4</v>
      </c>
      <c r="H101" s="18">
        <f>'01_BOM_DUZELTILDI'!$G101*'01_BOM_DUZELTILDI'!$I101</f>
        <v>9187.2000000000007</v>
      </c>
      <c r="I101" s="33">
        <v>3</v>
      </c>
      <c r="J101" s="17" t="s">
        <v>31</v>
      </c>
      <c r="K101" s="17" t="s">
        <v>40</v>
      </c>
      <c r="L101" s="17" t="s">
        <v>221</v>
      </c>
      <c r="M101" s="17"/>
      <c r="N101" s="17"/>
      <c r="O101" s="17" t="s">
        <v>41</v>
      </c>
      <c r="P101" s="17" t="s">
        <v>234</v>
      </c>
      <c r="Q101" s="19">
        <v>6</v>
      </c>
      <c r="R101" s="17" t="s">
        <v>35</v>
      </c>
      <c r="S101" s="20"/>
    </row>
    <row r="102" spans="1:19" ht="33" hidden="1" customHeight="1">
      <c r="A102" s="21">
        <v>102</v>
      </c>
      <c r="B102" s="21" t="s">
        <v>230</v>
      </c>
      <c r="C102" s="21" t="s">
        <v>56</v>
      </c>
      <c r="D102" s="21" t="s">
        <v>385</v>
      </c>
      <c r="E102" s="21" t="s">
        <v>386</v>
      </c>
      <c r="F102" s="22">
        <v>5556</v>
      </c>
      <c r="G102" s="22">
        <f t="shared" si="10"/>
        <v>3333.6</v>
      </c>
      <c r="H102" s="22">
        <f>'01_BOM_DUZELTILDI'!$G102*'01_BOM_DUZELTILDI'!$I102</f>
        <v>3333.6</v>
      </c>
      <c r="I102" s="34">
        <v>1</v>
      </c>
      <c r="J102" s="21" t="s">
        <v>31</v>
      </c>
      <c r="K102" s="21" t="s">
        <v>40</v>
      </c>
      <c r="L102" s="21" t="s">
        <v>225</v>
      </c>
      <c r="M102" s="21"/>
      <c r="N102" s="21"/>
      <c r="O102" s="21" t="s">
        <v>41</v>
      </c>
      <c r="P102" s="21" t="s">
        <v>235</v>
      </c>
      <c r="Q102" s="23">
        <v>2</v>
      </c>
      <c r="R102" s="21" t="s">
        <v>35</v>
      </c>
      <c r="S102" s="24"/>
    </row>
    <row r="103" spans="1:19" ht="33" hidden="1" customHeight="1">
      <c r="A103" s="17">
        <v>104</v>
      </c>
      <c r="B103" s="17" t="s">
        <v>230</v>
      </c>
      <c r="C103" s="17" t="s">
        <v>83</v>
      </c>
      <c r="D103" s="17"/>
      <c r="E103" s="17" t="s">
        <v>121</v>
      </c>
      <c r="F103" s="18">
        <f ca="1">OFFSET('01_BOM_DUZELTILDI'!$F103,1,2)</f>
        <v>6000</v>
      </c>
      <c r="G103" s="18">
        <f ca="1">'01_BOM_DUZELTILDI'!$F103</f>
        <v>6000</v>
      </c>
      <c r="H103" s="18">
        <f ca="1">'01_BOM_DUZELTILDI'!$G103*'01_BOM_DUZELTILDI'!$I103</f>
        <v>6000</v>
      </c>
      <c r="I103" s="33">
        <v>1</v>
      </c>
      <c r="J103" s="17" t="s">
        <v>31</v>
      </c>
      <c r="K103" s="17" t="s">
        <v>369</v>
      </c>
      <c r="L103" s="17"/>
      <c r="M103" s="17"/>
      <c r="N103" s="17"/>
      <c r="O103" s="17" t="s">
        <v>33</v>
      </c>
      <c r="P103" s="17" t="s">
        <v>236</v>
      </c>
      <c r="Q103" s="19"/>
      <c r="R103" s="17" t="s">
        <v>35</v>
      </c>
      <c r="S103" s="20"/>
    </row>
    <row r="104" spans="1:19" ht="33" hidden="1" customHeight="1">
      <c r="A104" s="21">
        <v>105</v>
      </c>
      <c r="B104" s="21" t="s">
        <v>230</v>
      </c>
      <c r="C104" s="21" t="s">
        <v>85</v>
      </c>
      <c r="D104" s="21"/>
      <c r="E104" s="21" t="s">
        <v>157</v>
      </c>
      <c r="F104" s="22">
        <v>1</v>
      </c>
      <c r="G104" s="22">
        <v>100</v>
      </c>
      <c r="H104" s="22">
        <f>'01_BOM_DUZELTILDI'!$G104*'01_BOM_DUZELTILDI'!$I104</f>
        <v>6000</v>
      </c>
      <c r="I104" s="34">
        <f>60*'01_BOM_DUZELTILDI'!$F104</f>
        <v>60</v>
      </c>
      <c r="J104" s="21" t="s">
        <v>123</v>
      </c>
      <c r="K104" s="21" t="s">
        <v>87</v>
      </c>
      <c r="L104" s="21"/>
      <c r="M104" s="21"/>
      <c r="N104" s="21"/>
      <c r="O104" s="21" t="s">
        <v>33</v>
      </c>
      <c r="P104" s="21" t="s">
        <v>237</v>
      </c>
      <c r="Q104" s="23"/>
      <c r="R104" s="21" t="s">
        <v>35</v>
      </c>
      <c r="S104" s="24"/>
    </row>
    <row r="105" spans="1:19" ht="33" customHeight="1">
      <c r="A105" s="9">
        <v>106</v>
      </c>
      <c r="B105" s="9" t="s">
        <v>238</v>
      </c>
      <c r="C105" s="9" t="s">
        <v>19</v>
      </c>
      <c r="D105" s="9"/>
      <c r="E105" s="31" t="s">
        <v>238</v>
      </c>
      <c r="F105" s="10"/>
      <c r="G105" s="10">
        <f>'01_BOM_DUZELTILDI'!$F105</f>
        <v>0</v>
      </c>
      <c r="H105" s="10"/>
      <c r="I105" s="31">
        <v>11</v>
      </c>
      <c r="J105" s="9" t="s">
        <v>23</v>
      </c>
      <c r="K105" s="9" t="s">
        <v>24</v>
      </c>
      <c r="L105" s="9" t="s">
        <v>208</v>
      </c>
      <c r="M105" s="9" t="s">
        <v>209</v>
      </c>
      <c r="N105" s="9" t="s">
        <v>209</v>
      </c>
      <c r="O105" s="9" t="s">
        <v>25</v>
      </c>
      <c r="P105" s="9" t="s">
        <v>26</v>
      </c>
      <c r="Q105" s="11"/>
      <c r="R105" s="9"/>
      <c r="S105" s="12"/>
    </row>
    <row r="106" spans="1:19" ht="33" hidden="1" customHeight="1">
      <c r="A106" s="13">
        <v>107</v>
      </c>
      <c r="B106" s="13" t="s">
        <v>238</v>
      </c>
      <c r="C106" s="13" t="s">
        <v>27</v>
      </c>
      <c r="D106" s="13" t="s">
        <v>297</v>
      </c>
      <c r="E106" s="13" t="s">
        <v>298</v>
      </c>
      <c r="F106" s="14">
        <v>11400</v>
      </c>
      <c r="G106" s="14">
        <f>0.6*F106</f>
        <v>6840</v>
      </c>
      <c r="H106" s="14">
        <f>'01_BOM_DUZELTILDI'!$G106*'01_BOM_DUZELTILDI'!$I106</f>
        <v>6840</v>
      </c>
      <c r="I106" s="32">
        <v>1</v>
      </c>
      <c r="J106" s="13" t="s">
        <v>31</v>
      </c>
      <c r="K106" s="13" t="s">
        <v>350</v>
      </c>
      <c r="L106" s="13" t="s">
        <v>212</v>
      </c>
      <c r="M106" s="13" t="s">
        <v>209</v>
      </c>
      <c r="N106" s="13" t="s">
        <v>209</v>
      </c>
      <c r="O106" s="13" t="s">
        <v>33</v>
      </c>
      <c r="P106" s="13" t="s">
        <v>203</v>
      </c>
      <c r="Q106" s="15"/>
      <c r="R106" s="13" t="s">
        <v>35</v>
      </c>
      <c r="S106" s="16"/>
    </row>
    <row r="107" spans="1:19" ht="33" hidden="1" customHeight="1">
      <c r="A107" s="17">
        <v>108</v>
      </c>
      <c r="B107" s="17" t="s">
        <v>238</v>
      </c>
      <c r="C107" s="17" t="s">
        <v>51</v>
      </c>
      <c r="D107" s="17" t="s">
        <v>317</v>
      </c>
      <c r="E107" s="17" t="s">
        <v>318</v>
      </c>
      <c r="F107" s="18">
        <v>1045</v>
      </c>
      <c r="G107" s="22">
        <f t="shared" ref="G107:G110" si="11">0.6*F107</f>
        <v>627</v>
      </c>
      <c r="H107" s="18">
        <f>'01_BOM_DUZELTILDI'!$G107*'01_BOM_DUZELTILDI'!$I107</f>
        <v>627</v>
      </c>
      <c r="I107" s="33">
        <v>1</v>
      </c>
      <c r="J107" s="17" t="s">
        <v>31</v>
      </c>
      <c r="K107" s="17" t="s">
        <v>40</v>
      </c>
      <c r="L107" s="17" t="s">
        <v>216</v>
      </c>
      <c r="M107" s="17"/>
      <c r="N107" s="17"/>
      <c r="O107" s="17" t="s">
        <v>41</v>
      </c>
      <c r="P107" s="17" t="s">
        <v>239</v>
      </c>
      <c r="Q107" s="19"/>
      <c r="R107" s="17" t="s">
        <v>35</v>
      </c>
      <c r="S107" s="20"/>
    </row>
    <row r="108" spans="1:19" ht="33" hidden="1" customHeight="1">
      <c r="A108" s="21">
        <v>109</v>
      </c>
      <c r="B108" s="21" t="s">
        <v>238</v>
      </c>
      <c r="C108" s="21" t="s">
        <v>51</v>
      </c>
      <c r="D108" s="21" t="s">
        <v>299</v>
      </c>
      <c r="E108" s="21" t="s">
        <v>300</v>
      </c>
      <c r="F108" s="22">
        <v>897</v>
      </c>
      <c r="G108" s="22">
        <f t="shared" si="11"/>
        <v>538.19999999999993</v>
      </c>
      <c r="H108" s="22">
        <f>'01_BOM_DUZELTILDI'!$G108*'01_BOM_DUZELTILDI'!$I108</f>
        <v>538.19999999999993</v>
      </c>
      <c r="I108" s="34">
        <v>1</v>
      </c>
      <c r="J108" s="21" t="s">
        <v>31</v>
      </c>
      <c r="K108" s="21" t="s">
        <v>40</v>
      </c>
      <c r="L108" s="21" t="s">
        <v>165</v>
      </c>
      <c r="M108" s="21"/>
      <c r="N108" s="21"/>
      <c r="O108" s="21" t="s">
        <v>41</v>
      </c>
      <c r="P108" s="21" t="s">
        <v>240</v>
      </c>
      <c r="Q108" s="23">
        <v>1</v>
      </c>
      <c r="R108" s="21" t="s">
        <v>35</v>
      </c>
      <c r="S108" s="24"/>
    </row>
    <row r="109" spans="1:19" ht="33" hidden="1" customHeight="1">
      <c r="A109" s="17">
        <v>110</v>
      </c>
      <c r="B109" s="17" t="s">
        <v>238</v>
      </c>
      <c r="C109" s="17" t="s">
        <v>56</v>
      </c>
      <c r="D109" s="17" t="s">
        <v>330</v>
      </c>
      <c r="E109" s="17" t="s">
        <v>331</v>
      </c>
      <c r="F109" s="18">
        <v>5104</v>
      </c>
      <c r="G109" s="22">
        <f t="shared" si="11"/>
        <v>3062.4</v>
      </c>
      <c r="H109" s="18">
        <f>'01_BOM_DUZELTILDI'!$G109*'01_BOM_DUZELTILDI'!$I109</f>
        <v>12249.6</v>
      </c>
      <c r="I109" s="33">
        <v>4</v>
      </c>
      <c r="J109" s="17" t="s">
        <v>31</v>
      </c>
      <c r="K109" s="17" t="s">
        <v>40</v>
      </c>
      <c r="L109" s="17" t="s">
        <v>221</v>
      </c>
      <c r="M109" s="17"/>
      <c r="N109" s="17"/>
      <c r="O109" s="17" t="s">
        <v>41</v>
      </c>
      <c r="P109" s="17" t="s">
        <v>241</v>
      </c>
      <c r="Q109" s="19">
        <v>8</v>
      </c>
      <c r="R109" s="17" t="s">
        <v>35</v>
      </c>
      <c r="S109" s="20"/>
    </row>
    <row r="110" spans="1:19" ht="33" hidden="1" customHeight="1">
      <c r="A110" s="21">
        <v>111</v>
      </c>
      <c r="B110" s="21" t="s">
        <v>238</v>
      </c>
      <c r="C110" s="21" t="s">
        <v>56</v>
      </c>
      <c r="D110" s="21" t="s">
        <v>385</v>
      </c>
      <c r="E110" s="21" t="s">
        <v>386</v>
      </c>
      <c r="F110" s="22">
        <v>5556</v>
      </c>
      <c r="G110" s="22">
        <f t="shared" si="11"/>
        <v>3333.6</v>
      </c>
      <c r="H110" s="22">
        <f>'01_BOM_DUZELTILDI'!$G110*'01_BOM_DUZELTILDI'!$I110</f>
        <v>3333.6</v>
      </c>
      <c r="I110" s="34">
        <v>1</v>
      </c>
      <c r="J110" s="21" t="s">
        <v>31</v>
      </c>
      <c r="K110" s="21" t="s">
        <v>40</v>
      </c>
      <c r="L110" s="21" t="s">
        <v>225</v>
      </c>
      <c r="M110" s="21"/>
      <c r="N110" s="21"/>
      <c r="O110" s="21" t="s">
        <v>41</v>
      </c>
      <c r="P110" s="21" t="s">
        <v>242</v>
      </c>
      <c r="Q110" s="23">
        <v>2</v>
      </c>
      <c r="R110" s="21" t="s">
        <v>35</v>
      </c>
      <c r="S110" s="24"/>
    </row>
    <row r="111" spans="1:19" ht="33" hidden="1" customHeight="1">
      <c r="A111" s="17">
        <v>113</v>
      </c>
      <c r="B111" s="17" t="s">
        <v>238</v>
      </c>
      <c r="C111" s="17" t="s">
        <v>83</v>
      </c>
      <c r="D111" s="17"/>
      <c r="E111" s="17" t="s">
        <v>121</v>
      </c>
      <c r="F111" s="18">
        <f ca="1">OFFSET('01_BOM_DUZELTILDI'!$F111,1,2)</f>
        <v>6000</v>
      </c>
      <c r="G111" s="18">
        <f ca="1">'01_BOM_DUZELTILDI'!$F111</f>
        <v>6000</v>
      </c>
      <c r="H111" s="18">
        <f ca="1">'01_BOM_DUZELTILDI'!$G111*'01_BOM_DUZELTILDI'!$I111</f>
        <v>6000</v>
      </c>
      <c r="I111" s="33">
        <v>1</v>
      </c>
      <c r="J111" s="17" t="s">
        <v>31</v>
      </c>
      <c r="K111" s="17" t="s">
        <v>369</v>
      </c>
      <c r="L111" s="17"/>
      <c r="M111" s="17"/>
      <c r="N111" s="17"/>
      <c r="O111" s="17" t="s">
        <v>33</v>
      </c>
      <c r="P111" s="17" t="s">
        <v>204</v>
      </c>
      <c r="Q111" s="19"/>
      <c r="R111" s="17" t="s">
        <v>35</v>
      </c>
      <c r="S111" s="20"/>
    </row>
    <row r="112" spans="1:19" ht="33" hidden="1" customHeight="1">
      <c r="A112" s="25">
        <v>114</v>
      </c>
      <c r="B112" s="25" t="s">
        <v>238</v>
      </c>
      <c r="C112" s="25" t="s">
        <v>85</v>
      </c>
      <c r="D112" s="25"/>
      <c r="E112" s="25" t="s">
        <v>157</v>
      </c>
      <c r="F112" s="26">
        <v>1</v>
      </c>
      <c r="G112" s="26">
        <v>100</v>
      </c>
      <c r="H112" s="26">
        <f>'01_BOM_DUZELTILDI'!$G112*'01_BOM_DUZELTILDI'!$I112</f>
        <v>6000</v>
      </c>
      <c r="I112" s="35">
        <f>60*'01_BOM_DUZELTILDI'!$F112</f>
        <v>60</v>
      </c>
      <c r="J112" s="25" t="s">
        <v>123</v>
      </c>
      <c r="K112" s="25" t="s">
        <v>87</v>
      </c>
      <c r="L112" s="25"/>
      <c r="M112" s="25"/>
      <c r="N112" s="25"/>
      <c r="O112" s="25" t="s">
        <v>33</v>
      </c>
      <c r="P112" s="25" t="s">
        <v>203</v>
      </c>
      <c r="Q112" s="27"/>
      <c r="R112" s="25" t="s">
        <v>35</v>
      </c>
      <c r="S112" s="28"/>
    </row>
    <row r="113" spans="1:19" ht="33" customHeight="1">
      <c r="A113" s="9">
        <v>106</v>
      </c>
      <c r="B113" s="9" t="s">
        <v>387</v>
      </c>
      <c r="C113" s="9" t="s">
        <v>19</v>
      </c>
      <c r="D113" s="9"/>
      <c r="E113" s="31" t="s">
        <v>387</v>
      </c>
      <c r="F113" s="10"/>
      <c r="G113" s="10">
        <f>'01_BOM_DUZELTILDI'!$F113</f>
        <v>0</v>
      </c>
      <c r="H113" s="10"/>
      <c r="I113" s="31">
        <v>1</v>
      </c>
      <c r="J113" s="9" t="s">
        <v>23</v>
      </c>
      <c r="K113" s="9" t="s">
        <v>24</v>
      </c>
      <c r="L113" s="9" t="s">
        <v>208</v>
      </c>
      <c r="M113" s="9" t="s">
        <v>209</v>
      </c>
      <c r="N113" s="9" t="s">
        <v>209</v>
      </c>
      <c r="O113" s="9" t="s">
        <v>25</v>
      </c>
      <c r="P113" s="9" t="s">
        <v>26</v>
      </c>
      <c r="Q113" s="11"/>
      <c r="R113" s="9"/>
      <c r="S113" s="12"/>
    </row>
    <row r="114" spans="1:19" ht="33" hidden="1" customHeight="1">
      <c r="A114" s="13">
        <v>107</v>
      </c>
      <c r="B114" s="9" t="s">
        <v>387</v>
      </c>
      <c r="C114" s="13" t="s">
        <v>27</v>
      </c>
      <c r="D114" s="13" t="s">
        <v>417</v>
      </c>
      <c r="E114" s="13" t="s">
        <v>418</v>
      </c>
      <c r="F114" s="14">
        <v>14390</v>
      </c>
      <c r="G114" s="14">
        <f>0.6*F114</f>
        <v>8634</v>
      </c>
      <c r="H114" s="14">
        <f>'01_BOM_DUZELTILDI'!$G114*'01_BOM_DUZELTILDI'!$I114</f>
        <v>8634</v>
      </c>
      <c r="I114" s="32">
        <v>1</v>
      </c>
      <c r="J114" s="13" t="s">
        <v>31</v>
      </c>
      <c r="K114" s="13" t="s">
        <v>350</v>
      </c>
      <c r="L114" s="13" t="s">
        <v>212</v>
      </c>
      <c r="M114" s="13" t="s">
        <v>209</v>
      </c>
      <c r="N114" s="13" t="s">
        <v>209</v>
      </c>
      <c r="O114" s="13" t="s">
        <v>33</v>
      </c>
      <c r="P114" s="13" t="s">
        <v>203</v>
      </c>
      <c r="Q114" s="15"/>
      <c r="R114" s="13" t="s">
        <v>35</v>
      </c>
      <c r="S114" s="16"/>
    </row>
    <row r="115" spans="1:19" ht="33" hidden="1" customHeight="1">
      <c r="A115" s="17">
        <v>108</v>
      </c>
      <c r="B115" s="9" t="s">
        <v>387</v>
      </c>
      <c r="C115" s="17" t="s">
        <v>51</v>
      </c>
      <c r="D115" s="17" t="s">
        <v>423</v>
      </c>
      <c r="E115" s="17" t="s">
        <v>424</v>
      </c>
      <c r="F115" s="18">
        <v>2447</v>
      </c>
      <c r="G115" s="22">
        <f t="shared" ref="G115:G123" si="12">0.6*F115</f>
        <v>1468.2</v>
      </c>
      <c r="H115" s="18">
        <f>'01_BOM_DUZELTILDI'!$G115*'01_BOM_DUZELTILDI'!$I115</f>
        <v>1468.2</v>
      </c>
      <c r="I115" s="33">
        <v>1</v>
      </c>
      <c r="J115" s="17" t="s">
        <v>31</v>
      </c>
      <c r="K115" s="17" t="s">
        <v>40</v>
      </c>
      <c r="L115" s="17" t="s">
        <v>216</v>
      </c>
      <c r="M115" s="17"/>
      <c r="N115" s="17"/>
      <c r="O115" s="17" t="s">
        <v>41</v>
      </c>
      <c r="P115" s="17" t="s">
        <v>239</v>
      </c>
      <c r="Q115" s="19"/>
      <c r="R115" s="17" t="s">
        <v>35</v>
      </c>
      <c r="S115" s="20"/>
    </row>
    <row r="116" spans="1:19" ht="33" hidden="1" customHeight="1">
      <c r="A116" s="21">
        <v>109</v>
      </c>
      <c r="B116" s="9" t="s">
        <v>387</v>
      </c>
      <c r="C116" s="21" t="s">
        <v>51</v>
      </c>
      <c r="D116" s="21" t="s">
        <v>374</v>
      </c>
      <c r="E116" s="21" t="s">
        <v>375</v>
      </c>
      <c r="F116" s="22">
        <v>975</v>
      </c>
      <c r="G116" s="22">
        <f t="shared" si="12"/>
        <v>585</v>
      </c>
      <c r="H116" s="22">
        <f>'01_BOM_DUZELTILDI'!$G116*'01_BOM_DUZELTILDI'!$I116</f>
        <v>585</v>
      </c>
      <c r="I116" s="34">
        <v>1</v>
      </c>
      <c r="J116" s="21" t="s">
        <v>31</v>
      </c>
      <c r="K116" s="21" t="s">
        <v>40</v>
      </c>
      <c r="L116" s="21" t="s">
        <v>165</v>
      </c>
      <c r="M116" s="21"/>
      <c r="N116" s="21"/>
      <c r="O116" s="21" t="s">
        <v>41</v>
      </c>
      <c r="P116" s="21" t="s">
        <v>240</v>
      </c>
      <c r="Q116" s="23">
        <v>1</v>
      </c>
      <c r="R116" s="21" t="s">
        <v>35</v>
      </c>
      <c r="S116" s="24"/>
    </row>
    <row r="117" spans="1:19" ht="33" hidden="1" customHeight="1">
      <c r="A117" s="17">
        <v>110</v>
      </c>
      <c r="B117" s="9" t="s">
        <v>387</v>
      </c>
      <c r="C117" s="17" t="s">
        <v>135</v>
      </c>
      <c r="D117" s="17" t="s">
        <v>295</v>
      </c>
      <c r="E117" s="17" t="s">
        <v>296</v>
      </c>
      <c r="F117" s="18">
        <v>4563</v>
      </c>
      <c r="G117" s="22">
        <f t="shared" si="12"/>
        <v>2737.7999999999997</v>
      </c>
      <c r="H117" s="18">
        <f>'01_BOM_DUZELTILDI'!$G117*'01_BOM_DUZELTILDI'!$I117</f>
        <v>10951.199999999999</v>
      </c>
      <c r="I117" s="33">
        <v>4</v>
      </c>
      <c r="J117" s="17" t="s">
        <v>31</v>
      </c>
      <c r="K117" s="17" t="s">
        <v>40</v>
      </c>
      <c r="L117" s="17" t="s">
        <v>221</v>
      </c>
      <c r="M117" s="17"/>
      <c r="N117" s="17"/>
      <c r="O117" s="17" t="s">
        <v>41</v>
      </c>
      <c r="P117" s="17" t="s">
        <v>241</v>
      </c>
      <c r="Q117" s="19">
        <v>8</v>
      </c>
      <c r="R117" s="17" t="s">
        <v>35</v>
      </c>
      <c r="S117" s="20"/>
    </row>
    <row r="118" spans="1:19" ht="33" hidden="1" customHeight="1">
      <c r="A118" s="21">
        <v>111</v>
      </c>
      <c r="B118" s="9" t="s">
        <v>387</v>
      </c>
      <c r="C118" s="21" t="s">
        <v>388</v>
      </c>
      <c r="D118" s="21" t="s">
        <v>429</v>
      </c>
      <c r="E118" s="21" t="s">
        <v>430</v>
      </c>
      <c r="F118" s="22">
        <v>4315</v>
      </c>
      <c r="G118" s="22">
        <f t="shared" si="12"/>
        <v>2589</v>
      </c>
      <c r="H118" s="22">
        <f>'01_BOM_DUZELTILDI'!$G118*'01_BOM_DUZELTILDI'!$I118</f>
        <v>5178</v>
      </c>
      <c r="I118" s="34">
        <v>2</v>
      </c>
      <c r="J118" s="21" t="s">
        <v>31</v>
      </c>
      <c r="K118" s="21" t="s">
        <v>40</v>
      </c>
      <c r="L118" s="21" t="s">
        <v>225</v>
      </c>
      <c r="M118" s="21"/>
      <c r="N118" s="21"/>
      <c r="O118" s="21" t="s">
        <v>41</v>
      </c>
      <c r="P118" s="21" t="s">
        <v>242</v>
      </c>
      <c r="Q118" s="23">
        <v>2</v>
      </c>
      <c r="R118" s="21" t="s">
        <v>35</v>
      </c>
      <c r="S118" s="24"/>
    </row>
    <row r="119" spans="1:19" ht="33" hidden="1" customHeight="1">
      <c r="A119" s="21">
        <v>111</v>
      </c>
      <c r="B119" s="9" t="s">
        <v>387</v>
      </c>
      <c r="C119" s="21" t="s">
        <v>389</v>
      </c>
      <c r="D119" s="21" t="s">
        <v>415</v>
      </c>
      <c r="E119" s="21" t="s">
        <v>416</v>
      </c>
      <c r="F119" s="22">
        <v>2177</v>
      </c>
      <c r="G119" s="22">
        <f t="shared" si="12"/>
        <v>1306.2</v>
      </c>
      <c r="H119" s="22">
        <f>'01_BOM_DUZELTILDI'!$G119*'01_BOM_DUZELTILDI'!$I119</f>
        <v>5224.8</v>
      </c>
      <c r="I119" s="34">
        <v>4</v>
      </c>
      <c r="J119" s="21" t="s">
        <v>31</v>
      </c>
      <c r="K119" s="21" t="s">
        <v>40</v>
      </c>
      <c r="L119" s="21" t="s">
        <v>225</v>
      </c>
      <c r="M119" s="21"/>
      <c r="N119" s="21"/>
      <c r="O119" s="21" t="s">
        <v>41</v>
      </c>
      <c r="P119" s="21" t="s">
        <v>242</v>
      </c>
      <c r="Q119" s="23">
        <v>2</v>
      </c>
      <c r="R119" s="21" t="s">
        <v>35</v>
      </c>
      <c r="S119" s="24"/>
    </row>
    <row r="120" spans="1:19" ht="33" hidden="1" customHeight="1">
      <c r="A120" s="17">
        <v>110</v>
      </c>
      <c r="B120" s="9" t="s">
        <v>387</v>
      </c>
      <c r="C120" s="17" t="s">
        <v>390</v>
      </c>
      <c r="D120" s="17" t="s">
        <v>427</v>
      </c>
      <c r="E120" s="17" t="s">
        <v>428</v>
      </c>
      <c r="F120" s="18">
        <v>836</v>
      </c>
      <c r="G120" s="22">
        <f t="shared" si="12"/>
        <v>501.59999999999997</v>
      </c>
      <c r="H120" s="18">
        <f>'01_BOM_DUZELTILDI'!$G120*'01_BOM_DUZELTILDI'!$I120</f>
        <v>2006.3999999999999</v>
      </c>
      <c r="I120" s="33">
        <v>4</v>
      </c>
      <c r="J120" s="17" t="s">
        <v>31</v>
      </c>
      <c r="K120" s="17" t="s">
        <v>40</v>
      </c>
      <c r="L120" s="17" t="s">
        <v>221</v>
      </c>
      <c r="M120" s="17"/>
      <c r="N120" s="17"/>
      <c r="O120" s="17" t="s">
        <v>41</v>
      </c>
      <c r="P120" s="17" t="s">
        <v>241</v>
      </c>
      <c r="Q120" s="19">
        <v>8</v>
      </c>
      <c r="R120" s="17" t="s">
        <v>35</v>
      </c>
      <c r="S120" s="20"/>
    </row>
    <row r="121" spans="1:19" ht="33" hidden="1" customHeight="1">
      <c r="A121" s="21">
        <v>111</v>
      </c>
      <c r="B121" s="9" t="s">
        <v>387</v>
      </c>
      <c r="C121" s="21" t="s">
        <v>391</v>
      </c>
      <c r="D121" s="21" t="s">
        <v>413</v>
      </c>
      <c r="E121" s="21" t="s">
        <v>414</v>
      </c>
      <c r="F121" s="22">
        <v>1621</v>
      </c>
      <c r="G121" s="22">
        <f t="shared" si="12"/>
        <v>972.59999999999991</v>
      </c>
      <c r="H121" s="22">
        <f>'01_BOM_DUZELTILDI'!$G121*'01_BOM_DUZELTILDI'!$I121</f>
        <v>1945.1999999999998</v>
      </c>
      <c r="I121" s="34">
        <v>2</v>
      </c>
      <c r="J121" s="21" t="s">
        <v>31</v>
      </c>
      <c r="K121" s="21" t="s">
        <v>40</v>
      </c>
      <c r="L121" s="21" t="s">
        <v>225</v>
      </c>
      <c r="M121" s="21"/>
      <c r="N121" s="21"/>
      <c r="O121" s="21" t="s">
        <v>41</v>
      </c>
      <c r="P121" s="21" t="s">
        <v>242</v>
      </c>
      <c r="Q121" s="23">
        <v>2</v>
      </c>
      <c r="R121" s="21" t="s">
        <v>35</v>
      </c>
      <c r="S121" s="24"/>
    </row>
    <row r="122" spans="1:19" ht="33" hidden="1" customHeight="1">
      <c r="A122" s="21">
        <v>111</v>
      </c>
      <c r="B122" s="9" t="s">
        <v>387</v>
      </c>
      <c r="C122" s="21" t="s">
        <v>396</v>
      </c>
      <c r="D122" s="21" t="s">
        <v>411</v>
      </c>
      <c r="E122" s="21" t="s">
        <v>412</v>
      </c>
      <c r="F122" s="22">
        <v>1602</v>
      </c>
      <c r="G122" s="22">
        <f t="shared" si="12"/>
        <v>961.19999999999993</v>
      </c>
      <c r="H122" s="22">
        <f>'01_BOM_DUZELTILDI'!$G122*'01_BOM_DUZELTILDI'!$I122</f>
        <v>1922.3999999999999</v>
      </c>
      <c r="I122" s="34">
        <v>2</v>
      </c>
      <c r="J122" s="21" t="s">
        <v>31</v>
      </c>
      <c r="K122" s="21" t="s">
        <v>40</v>
      </c>
      <c r="L122" s="21" t="s">
        <v>225</v>
      </c>
      <c r="M122" s="21"/>
      <c r="N122" s="21"/>
      <c r="O122" s="21" t="s">
        <v>41</v>
      </c>
      <c r="P122" s="21" t="s">
        <v>242</v>
      </c>
      <c r="Q122" s="23">
        <v>2</v>
      </c>
      <c r="R122" s="21" t="s">
        <v>35</v>
      </c>
      <c r="S122" s="24"/>
    </row>
    <row r="123" spans="1:19" ht="33" hidden="1" customHeight="1">
      <c r="A123" s="21">
        <v>111</v>
      </c>
      <c r="B123" s="9" t="s">
        <v>387</v>
      </c>
      <c r="C123" s="21" t="s">
        <v>392</v>
      </c>
      <c r="D123" s="21" t="s">
        <v>421</v>
      </c>
      <c r="E123" s="21" t="s">
        <v>422</v>
      </c>
      <c r="F123" s="22">
        <v>2197</v>
      </c>
      <c r="G123" s="22">
        <f t="shared" si="12"/>
        <v>1318.2</v>
      </c>
      <c r="H123" s="22">
        <f>'01_BOM_DUZELTILDI'!$G123*'01_BOM_DUZELTILDI'!$I123</f>
        <v>2636.4</v>
      </c>
      <c r="I123" s="34">
        <v>2</v>
      </c>
      <c r="J123" s="21" t="s">
        <v>31</v>
      </c>
      <c r="K123" s="21" t="s">
        <v>40</v>
      </c>
      <c r="L123" s="21" t="s">
        <v>225</v>
      </c>
      <c r="M123" s="21"/>
      <c r="N123" s="21"/>
      <c r="O123" s="21" t="s">
        <v>41</v>
      </c>
      <c r="P123" s="21" t="s">
        <v>242</v>
      </c>
      <c r="Q123" s="23">
        <v>2</v>
      </c>
      <c r="R123" s="21" t="s">
        <v>35</v>
      </c>
      <c r="S123" s="24"/>
    </row>
    <row r="124" spans="1:19" ht="33" hidden="1" customHeight="1">
      <c r="A124" s="17">
        <v>113</v>
      </c>
      <c r="B124" s="9" t="s">
        <v>387</v>
      </c>
      <c r="C124" s="17" t="s">
        <v>83</v>
      </c>
      <c r="D124" s="17"/>
      <c r="E124" s="17" t="s">
        <v>121</v>
      </c>
      <c r="F124" s="18">
        <f ca="1">OFFSET('01_BOM_DUZELTILDI'!$F124,1,2)</f>
        <v>12000</v>
      </c>
      <c r="G124" s="18">
        <f ca="1">'01_BOM_DUZELTILDI'!$F124</f>
        <v>12000</v>
      </c>
      <c r="H124" s="18">
        <f ca="1">'01_BOM_DUZELTILDI'!$G124*'01_BOM_DUZELTILDI'!$I124</f>
        <v>12000</v>
      </c>
      <c r="I124" s="33">
        <v>1</v>
      </c>
      <c r="J124" s="17" t="s">
        <v>31</v>
      </c>
      <c r="K124" s="17" t="s">
        <v>369</v>
      </c>
      <c r="L124" s="17"/>
      <c r="M124" s="17"/>
      <c r="N124" s="17"/>
      <c r="O124" s="17" t="s">
        <v>33</v>
      </c>
      <c r="P124" s="17" t="s">
        <v>204</v>
      </c>
      <c r="Q124" s="19"/>
      <c r="R124" s="17" t="s">
        <v>35</v>
      </c>
      <c r="S124" s="20"/>
    </row>
    <row r="125" spans="1:19" ht="33" hidden="1" customHeight="1">
      <c r="A125" s="25">
        <v>114</v>
      </c>
      <c r="B125" s="9" t="s">
        <v>387</v>
      </c>
      <c r="C125" s="25" t="s">
        <v>85</v>
      </c>
      <c r="D125" s="25"/>
      <c r="E125" s="25" t="s">
        <v>157</v>
      </c>
      <c r="F125" s="26">
        <v>2</v>
      </c>
      <c r="G125" s="26">
        <v>100</v>
      </c>
      <c r="H125" s="26">
        <f>'01_BOM_DUZELTILDI'!$G125*'01_BOM_DUZELTILDI'!$I125</f>
        <v>12000</v>
      </c>
      <c r="I125" s="35">
        <f>60*'01_BOM_DUZELTILDI'!$F125</f>
        <v>120</v>
      </c>
      <c r="J125" s="25" t="s">
        <v>123</v>
      </c>
      <c r="K125" s="25" t="s">
        <v>87</v>
      </c>
      <c r="L125" s="25"/>
      <c r="M125" s="25"/>
      <c r="N125" s="25"/>
      <c r="O125" s="25" t="s">
        <v>33</v>
      </c>
      <c r="P125" s="25" t="s">
        <v>203</v>
      </c>
      <c r="Q125" s="27"/>
      <c r="R125" s="25" t="s">
        <v>35</v>
      </c>
      <c r="S125" s="28"/>
    </row>
    <row r="126" spans="1:19" ht="33" customHeight="1">
      <c r="A126" s="9">
        <v>106</v>
      </c>
      <c r="B126" s="9" t="s">
        <v>393</v>
      </c>
      <c r="C126" s="9" t="s">
        <v>19</v>
      </c>
      <c r="D126" s="9"/>
      <c r="E126" s="31" t="s">
        <v>393</v>
      </c>
      <c r="F126" s="10"/>
      <c r="G126" s="10">
        <f>'01_BOM_DUZELTILDI'!$F126</f>
        <v>0</v>
      </c>
      <c r="H126" s="10"/>
      <c r="I126" s="31">
        <v>1</v>
      </c>
      <c r="J126" s="9" t="s">
        <v>23</v>
      </c>
      <c r="K126" s="9" t="s">
        <v>24</v>
      </c>
      <c r="L126" s="9" t="s">
        <v>208</v>
      </c>
      <c r="M126" s="9" t="s">
        <v>209</v>
      </c>
      <c r="N126" s="9" t="s">
        <v>209</v>
      </c>
      <c r="O126" s="9" t="s">
        <v>25</v>
      </c>
      <c r="P126" s="9" t="s">
        <v>26</v>
      </c>
      <c r="Q126" s="11"/>
      <c r="R126" s="9"/>
      <c r="S126" s="12"/>
    </row>
    <row r="127" spans="1:19" ht="33" hidden="1" customHeight="1">
      <c r="A127" s="13">
        <v>107</v>
      </c>
      <c r="B127" s="9" t="s">
        <v>393</v>
      </c>
      <c r="C127" s="13" t="s">
        <v>27</v>
      </c>
      <c r="D127" s="13" t="s">
        <v>370</v>
      </c>
      <c r="E127" s="13" t="s">
        <v>371</v>
      </c>
      <c r="F127" s="14">
        <v>13500</v>
      </c>
      <c r="G127" s="14">
        <f>0.6*F127</f>
        <v>8100</v>
      </c>
      <c r="H127" s="14">
        <f>'01_BOM_DUZELTILDI'!$G127*'01_BOM_DUZELTILDI'!$I127</f>
        <v>8100</v>
      </c>
      <c r="I127" s="32">
        <v>1</v>
      </c>
      <c r="J127" s="13" t="s">
        <v>31</v>
      </c>
      <c r="K127" s="13" t="s">
        <v>350</v>
      </c>
      <c r="L127" s="13" t="s">
        <v>212</v>
      </c>
      <c r="M127" s="13" t="s">
        <v>209</v>
      </c>
      <c r="N127" s="13" t="s">
        <v>209</v>
      </c>
      <c r="O127" s="13" t="s">
        <v>33</v>
      </c>
      <c r="P127" s="13" t="s">
        <v>203</v>
      </c>
      <c r="Q127" s="15"/>
      <c r="R127" s="13" t="s">
        <v>35</v>
      </c>
      <c r="S127" s="16"/>
    </row>
    <row r="128" spans="1:19" ht="33" hidden="1" customHeight="1">
      <c r="A128" s="17">
        <v>108</v>
      </c>
      <c r="B128" s="9" t="s">
        <v>393</v>
      </c>
      <c r="C128" s="17" t="s">
        <v>51</v>
      </c>
      <c r="D128" s="17" t="s">
        <v>315</v>
      </c>
      <c r="E128" s="17" t="s">
        <v>316</v>
      </c>
      <c r="F128" s="18">
        <v>2807</v>
      </c>
      <c r="G128" s="22">
        <f t="shared" ref="G128:G131" si="13">0.6*F128</f>
        <v>1684.2</v>
      </c>
      <c r="H128" s="18">
        <f>'01_BOM_DUZELTILDI'!$G128*'01_BOM_DUZELTILDI'!$I128</f>
        <v>1684.2</v>
      </c>
      <c r="I128" s="33">
        <v>1</v>
      </c>
      <c r="J128" s="17" t="s">
        <v>31</v>
      </c>
      <c r="K128" s="17" t="s">
        <v>40</v>
      </c>
      <c r="L128" s="17" t="s">
        <v>216</v>
      </c>
      <c r="M128" s="17"/>
      <c r="N128" s="17"/>
      <c r="O128" s="17" t="s">
        <v>41</v>
      </c>
      <c r="P128" s="17" t="s">
        <v>239</v>
      </c>
      <c r="Q128" s="19"/>
      <c r="R128" s="17" t="s">
        <v>35</v>
      </c>
      <c r="S128" s="20"/>
    </row>
    <row r="129" spans="1:19" ht="33" hidden="1" customHeight="1">
      <c r="A129" s="21">
        <v>109</v>
      </c>
      <c r="B129" s="9" t="s">
        <v>393</v>
      </c>
      <c r="C129" s="21" t="s">
        <v>51</v>
      </c>
      <c r="D129" s="21" t="s">
        <v>301</v>
      </c>
      <c r="E129" s="21" t="s">
        <v>302</v>
      </c>
      <c r="F129" s="22">
        <v>783</v>
      </c>
      <c r="G129" s="22">
        <f t="shared" si="13"/>
        <v>469.79999999999995</v>
      </c>
      <c r="H129" s="22">
        <f>'01_BOM_DUZELTILDI'!$G129*'01_BOM_DUZELTILDI'!$I129</f>
        <v>939.59999999999991</v>
      </c>
      <c r="I129" s="34">
        <v>2</v>
      </c>
      <c r="J129" s="21" t="s">
        <v>31</v>
      </c>
      <c r="K129" s="21" t="s">
        <v>40</v>
      </c>
      <c r="L129" s="21" t="s">
        <v>165</v>
      </c>
      <c r="M129" s="21"/>
      <c r="N129" s="21"/>
      <c r="O129" s="21" t="s">
        <v>41</v>
      </c>
      <c r="P129" s="21" t="s">
        <v>240</v>
      </c>
      <c r="Q129" s="23">
        <v>1</v>
      </c>
      <c r="R129" s="21" t="s">
        <v>35</v>
      </c>
      <c r="S129" s="24"/>
    </row>
    <row r="130" spans="1:19" ht="33" hidden="1" customHeight="1">
      <c r="A130" s="17">
        <v>110</v>
      </c>
      <c r="B130" s="9" t="s">
        <v>393</v>
      </c>
      <c r="C130" s="17" t="s">
        <v>56</v>
      </c>
      <c r="D130" s="17" t="s">
        <v>330</v>
      </c>
      <c r="E130" s="17" t="s">
        <v>331</v>
      </c>
      <c r="F130" s="18">
        <v>5104</v>
      </c>
      <c r="G130" s="22">
        <f t="shared" si="13"/>
        <v>3062.4</v>
      </c>
      <c r="H130" s="18">
        <f>'01_BOM_DUZELTILDI'!$G130*'01_BOM_DUZELTILDI'!$I130</f>
        <v>3062.4</v>
      </c>
      <c r="I130" s="33">
        <v>1</v>
      </c>
      <c r="J130" s="17" t="s">
        <v>31</v>
      </c>
      <c r="K130" s="17" t="s">
        <v>40</v>
      </c>
      <c r="L130" s="17" t="s">
        <v>221</v>
      </c>
      <c r="M130" s="17"/>
      <c r="N130" s="17"/>
      <c r="O130" s="17" t="s">
        <v>41</v>
      </c>
      <c r="P130" s="17" t="s">
        <v>241</v>
      </c>
      <c r="Q130" s="19">
        <v>8</v>
      </c>
      <c r="R130" s="17" t="s">
        <v>35</v>
      </c>
      <c r="S130" s="20"/>
    </row>
    <row r="131" spans="1:19" ht="33" hidden="1" customHeight="1">
      <c r="A131" s="21">
        <v>111</v>
      </c>
      <c r="B131" s="9" t="s">
        <v>393</v>
      </c>
      <c r="C131" s="21" t="s">
        <v>394</v>
      </c>
      <c r="D131" s="21" t="s">
        <v>425</v>
      </c>
      <c r="E131" s="21" t="s">
        <v>426</v>
      </c>
      <c r="F131" s="22">
        <v>5354</v>
      </c>
      <c r="G131" s="22">
        <f t="shared" si="13"/>
        <v>3212.4</v>
      </c>
      <c r="H131" s="22">
        <f>'01_BOM_DUZELTILDI'!$G131*'01_BOM_DUZELTILDI'!$I131</f>
        <v>3212.4</v>
      </c>
      <c r="I131" s="34">
        <v>1</v>
      </c>
      <c r="J131" s="21" t="s">
        <v>31</v>
      </c>
      <c r="K131" s="21" t="s">
        <v>40</v>
      </c>
      <c r="L131" s="21" t="s">
        <v>225</v>
      </c>
      <c r="M131" s="21"/>
      <c r="N131" s="21"/>
      <c r="O131" s="21" t="s">
        <v>41</v>
      </c>
      <c r="P131" s="21" t="s">
        <v>242</v>
      </c>
      <c r="Q131" s="23">
        <v>2</v>
      </c>
      <c r="R131" s="21" t="s">
        <v>35</v>
      </c>
      <c r="S131" s="24"/>
    </row>
    <row r="132" spans="1:19" ht="33" hidden="1" customHeight="1">
      <c r="A132" s="17">
        <v>113</v>
      </c>
      <c r="B132" s="9" t="s">
        <v>393</v>
      </c>
      <c r="C132" s="17" t="s">
        <v>83</v>
      </c>
      <c r="D132" s="17"/>
      <c r="E132" s="17" t="s">
        <v>121</v>
      </c>
      <c r="F132" s="18">
        <f ca="1">OFFSET('01_BOM_DUZELTILDI'!$F132,1,2)</f>
        <v>4200</v>
      </c>
      <c r="G132" s="18">
        <f ca="1">'01_BOM_DUZELTILDI'!$F132</f>
        <v>4200</v>
      </c>
      <c r="H132" s="18">
        <f ca="1">'01_BOM_DUZELTILDI'!$G132*'01_BOM_DUZELTILDI'!$I132</f>
        <v>4200</v>
      </c>
      <c r="I132" s="33">
        <v>1</v>
      </c>
      <c r="J132" s="17" t="s">
        <v>31</v>
      </c>
      <c r="K132" s="17" t="s">
        <v>369</v>
      </c>
      <c r="L132" s="17"/>
      <c r="M132" s="17"/>
      <c r="N132" s="17"/>
      <c r="O132" s="17" t="s">
        <v>33</v>
      </c>
      <c r="P132" s="17" t="s">
        <v>204</v>
      </c>
      <c r="Q132" s="19"/>
      <c r="R132" s="17" t="s">
        <v>35</v>
      </c>
      <c r="S132" s="20"/>
    </row>
    <row r="133" spans="1:19" ht="33" hidden="1" customHeight="1">
      <c r="A133" s="25">
        <v>114</v>
      </c>
      <c r="B133" s="9" t="s">
        <v>393</v>
      </c>
      <c r="C133" s="25" t="s">
        <v>85</v>
      </c>
      <c r="D133" s="25"/>
      <c r="E133" s="25" t="s">
        <v>157</v>
      </c>
      <c r="F133" s="26">
        <v>0.7</v>
      </c>
      <c r="G133" s="26">
        <v>100</v>
      </c>
      <c r="H133" s="26">
        <f>'01_BOM_DUZELTILDI'!$G133*'01_BOM_DUZELTILDI'!$I133</f>
        <v>4200</v>
      </c>
      <c r="I133" s="35">
        <f>60*'01_BOM_DUZELTILDI'!$F133</f>
        <v>42</v>
      </c>
      <c r="J133" s="25" t="s">
        <v>123</v>
      </c>
      <c r="K133" s="25" t="s">
        <v>87</v>
      </c>
      <c r="L133" s="25"/>
      <c r="M133" s="25"/>
      <c r="N133" s="25"/>
      <c r="O133" s="25" t="s">
        <v>33</v>
      </c>
      <c r="P133" s="25" t="s">
        <v>203</v>
      </c>
      <c r="Q133" s="27"/>
      <c r="R133" s="25" t="s">
        <v>35</v>
      </c>
      <c r="S133" s="28"/>
    </row>
    <row r="134" spans="1:19" ht="33" customHeight="1">
      <c r="A134" s="9">
        <v>106</v>
      </c>
      <c r="B134" s="9" t="s">
        <v>395</v>
      </c>
      <c r="C134" s="9" t="s">
        <v>19</v>
      </c>
      <c r="D134" s="9"/>
      <c r="E134" s="31" t="s">
        <v>395</v>
      </c>
      <c r="F134" s="10"/>
      <c r="G134" s="10">
        <f>'01_BOM_DUZELTILDI'!$F134</f>
        <v>0</v>
      </c>
      <c r="H134" s="10"/>
      <c r="I134" s="31">
        <v>1</v>
      </c>
      <c r="J134" s="9" t="s">
        <v>23</v>
      </c>
      <c r="K134" s="9" t="s">
        <v>24</v>
      </c>
      <c r="L134" s="9" t="s">
        <v>208</v>
      </c>
      <c r="M134" s="9" t="s">
        <v>209</v>
      </c>
      <c r="N134" s="9" t="s">
        <v>209</v>
      </c>
      <c r="O134" s="9" t="s">
        <v>25</v>
      </c>
      <c r="P134" s="9" t="s">
        <v>26</v>
      </c>
      <c r="Q134" s="11"/>
      <c r="R134" s="9"/>
      <c r="S134" s="12"/>
    </row>
    <row r="135" spans="1:19" ht="33" hidden="1" customHeight="1">
      <c r="A135" s="13">
        <v>107</v>
      </c>
      <c r="B135" s="9" t="s">
        <v>395</v>
      </c>
      <c r="C135" s="13" t="s">
        <v>27</v>
      </c>
      <c r="D135" s="13" t="s">
        <v>370</v>
      </c>
      <c r="E135" s="13" t="s">
        <v>371</v>
      </c>
      <c r="F135" s="14">
        <v>13500</v>
      </c>
      <c r="G135" s="14">
        <f>0.6*F135</f>
        <v>8100</v>
      </c>
      <c r="H135" s="14">
        <f>'01_BOM_DUZELTILDI'!$G135*'01_BOM_DUZELTILDI'!$I135</f>
        <v>8100</v>
      </c>
      <c r="I135" s="32">
        <v>1</v>
      </c>
      <c r="J135" s="13" t="s">
        <v>31</v>
      </c>
      <c r="K135" s="13" t="s">
        <v>350</v>
      </c>
      <c r="L135" s="13" t="s">
        <v>212</v>
      </c>
      <c r="M135" s="13" t="s">
        <v>209</v>
      </c>
      <c r="N135" s="13" t="s">
        <v>209</v>
      </c>
      <c r="O135" s="13" t="s">
        <v>33</v>
      </c>
      <c r="P135" s="13" t="s">
        <v>203</v>
      </c>
      <c r="Q135" s="15"/>
      <c r="R135" s="13" t="s">
        <v>35</v>
      </c>
      <c r="S135" s="16"/>
    </row>
    <row r="136" spans="1:19" ht="33" hidden="1" customHeight="1">
      <c r="A136" s="17">
        <v>108</v>
      </c>
      <c r="B136" s="9" t="s">
        <v>395</v>
      </c>
      <c r="C136" s="17" t="s">
        <v>51</v>
      </c>
      <c r="D136" s="21" t="s">
        <v>378</v>
      </c>
      <c r="E136" s="21" t="s">
        <v>379</v>
      </c>
      <c r="F136" s="22">
        <v>2606</v>
      </c>
      <c r="G136" s="22">
        <f t="shared" ref="G136:G138" si="14">0.6*F136</f>
        <v>1563.6</v>
      </c>
      <c r="H136" s="18">
        <f>'01_BOM_DUZELTILDI'!$G136*'01_BOM_DUZELTILDI'!$I136</f>
        <v>1563.6</v>
      </c>
      <c r="I136" s="33">
        <v>1</v>
      </c>
      <c r="J136" s="17" t="s">
        <v>31</v>
      </c>
      <c r="K136" s="17" t="s">
        <v>40</v>
      </c>
      <c r="L136" s="17" t="s">
        <v>216</v>
      </c>
      <c r="M136" s="17"/>
      <c r="N136" s="17"/>
      <c r="O136" s="17" t="s">
        <v>41</v>
      </c>
      <c r="P136" s="17" t="s">
        <v>239</v>
      </c>
      <c r="Q136" s="19"/>
      <c r="R136" s="17" t="s">
        <v>35</v>
      </c>
      <c r="S136" s="20"/>
    </row>
    <row r="137" spans="1:19" ht="33" hidden="1" customHeight="1">
      <c r="A137" s="21">
        <v>109</v>
      </c>
      <c r="B137" s="9" t="s">
        <v>395</v>
      </c>
      <c r="C137" s="21" t="s">
        <v>51</v>
      </c>
      <c r="D137" s="21" t="s">
        <v>299</v>
      </c>
      <c r="E137" s="21" t="s">
        <v>300</v>
      </c>
      <c r="F137" s="22">
        <v>897</v>
      </c>
      <c r="G137" s="22">
        <f t="shared" si="14"/>
        <v>538.19999999999993</v>
      </c>
      <c r="H137" s="22">
        <f>'01_BOM_DUZELTILDI'!$G137*'01_BOM_DUZELTILDI'!$I137</f>
        <v>538.19999999999993</v>
      </c>
      <c r="I137" s="34">
        <v>1</v>
      </c>
      <c r="J137" s="21" t="s">
        <v>31</v>
      </c>
      <c r="K137" s="21" t="s">
        <v>40</v>
      </c>
      <c r="L137" s="21" t="s">
        <v>165</v>
      </c>
      <c r="M137" s="21"/>
      <c r="N137" s="21"/>
      <c r="O137" s="21" t="s">
        <v>41</v>
      </c>
      <c r="P137" s="21" t="s">
        <v>240</v>
      </c>
      <c r="Q137" s="23">
        <v>1</v>
      </c>
      <c r="R137" s="21" t="s">
        <v>35</v>
      </c>
      <c r="S137" s="24"/>
    </row>
    <row r="138" spans="1:19" ht="33" hidden="1" customHeight="1">
      <c r="A138" s="17">
        <v>110</v>
      </c>
      <c r="B138" s="9" t="s">
        <v>395</v>
      </c>
      <c r="C138" s="17" t="s">
        <v>135</v>
      </c>
      <c r="D138" s="17" t="s">
        <v>293</v>
      </c>
      <c r="E138" s="17" t="s">
        <v>294</v>
      </c>
      <c r="F138" s="18">
        <v>9149</v>
      </c>
      <c r="G138" s="22">
        <f t="shared" si="14"/>
        <v>5489.4</v>
      </c>
      <c r="H138" s="18">
        <f>'01_BOM_DUZELTILDI'!$G138*'01_BOM_DUZELTILDI'!$I138</f>
        <v>5489.4</v>
      </c>
      <c r="I138" s="33">
        <v>1</v>
      </c>
      <c r="J138" s="17" t="s">
        <v>31</v>
      </c>
      <c r="K138" s="17" t="s">
        <v>40</v>
      </c>
      <c r="L138" s="17" t="s">
        <v>221</v>
      </c>
      <c r="M138" s="17"/>
      <c r="N138" s="17"/>
      <c r="O138" s="17" t="s">
        <v>41</v>
      </c>
      <c r="P138" s="17" t="s">
        <v>241</v>
      </c>
      <c r="Q138" s="19">
        <v>8</v>
      </c>
      <c r="R138" s="17" t="s">
        <v>35</v>
      </c>
      <c r="S138" s="20"/>
    </row>
    <row r="139" spans="1:19" ht="33" hidden="1" customHeight="1">
      <c r="A139" s="17">
        <v>113</v>
      </c>
      <c r="B139" s="9" t="s">
        <v>395</v>
      </c>
      <c r="C139" s="17" t="s">
        <v>83</v>
      </c>
      <c r="D139" s="17"/>
      <c r="E139" s="17" t="s">
        <v>121</v>
      </c>
      <c r="F139" s="18">
        <f ca="1">OFFSET('01_BOM_DUZELTILDI'!$F139,1,2)</f>
        <v>3000</v>
      </c>
      <c r="G139" s="18">
        <f ca="1">'01_BOM_DUZELTILDI'!$F139</f>
        <v>3000</v>
      </c>
      <c r="H139" s="18">
        <f ca="1">'01_BOM_DUZELTILDI'!$G139*'01_BOM_DUZELTILDI'!$I139</f>
        <v>3000</v>
      </c>
      <c r="I139" s="33">
        <v>1</v>
      </c>
      <c r="J139" s="17" t="s">
        <v>31</v>
      </c>
      <c r="K139" s="17" t="s">
        <v>369</v>
      </c>
      <c r="L139" s="17"/>
      <c r="M139" s="17"/>
      <c r="N139" s="17"/>
      <c r="O139" s="17" t="s">
        <v>33</v>
      </c>
      <c r="P139" s="17" t="s">
        <v>204</v>
      </c>
      <c r="Q139" s="19"/>
      <c r="R139" s="17" t="s">
        <v>35</v>
      </c>
      <c r="S139" s="20"/>
    </row>
    <row r="140" spans="1:19" ht="33" hidden="1" customHeight="1">
      <c r="A140" s="25">
        <v>114</v>
      </c>
      <c r="B140" s="9" t="s">
        <v>395</v>
      </c>
      <c r="C140" s="25" t="s">
        <v>85</v>
      </c>
      <c r="D140" s="25"/>
      <c r="E140" s="25" t="s">
        <v>157</v>
      </c>
      <c r="F140" s="26">
        <v>0.5</v>
      </c>
      <c r="G140" s="26">
        <v>100</v>
      </c>
      <c r="H140" s="26">
        <f>'01_BOM_DUZELTILDI'!$G140*'01_BOM_DUZELTILDI'!$I140</f>
        <v>3000</v>
      </c>
      <c r="I140" s="35">
        <f>60*'01_BOM_DUZELTILDI'!$F140</f>
        <v>30</v>
      </c>
      <c r="J140" s="25" t="s">
        <v>123</v>
      </c>
      <c r="K140" s="25" t="s">
        <v>87</v>
      </c>
      <c r="L140" s="25"/>
      <c r="M140" s="25"/>
      <c r="N140" s="25"/>
      <c r="O140" s="25" t="s">
        <v>33</v>
      </c>
      <c r="P140" s="25" t="s">
        <v>203</v>
      </c>
      <c r="Q140" s="27"/>
      <c r="R140" s="25" t="s">
        <v>35</v>
      </c>
      <c r="S140" s="28"/>
    </row>
    <row r="141" spans="1:19" ht="33" customHeight="1">
      <c r="A141" s="9">
        <v>106</v>
      </c>
      <c r="B141" s="9" t="s">
        <v>398</v>
      </c>
      <c r="C141" s="9" t="s">
        <v>19</v>
      </c>
      <c r="D141" s="9"/>
      <c r="E141" s="31" t="s">
        <v>398</v>
      </c>
      <c r="F141" s="10"/>
      <c r="G141" s="10">
        <f>'01_BOM_DUZELTILDI'!$F141</f>
        <v>0</v>
      </c>
      <c r="H141" s="10"/>
      <c r="I141" s="31">
        <v>2</v>
      </c>
      <c r="J141" s="9" t="s">
        <v>23</v>
      </c>
      <c r="K141" s="9" t="s">
        <v>24</v>
      </c>
      <c r="L141" s="9" t="s">
        <v>208</v>
      </c>
      <c r="M141" s="9" t="s">
        <v>209</v>
      </c>
      <c r="N141" s="9" t="s">
        <v>209</v>
      </c>
      <c r="O141" s="9" t="s">
        <v>25</v>
      </c>
      <c r="P141" s="9" t="s">
        <v>26</v>
      </c>
      <c r="Q141" s="11"/>
      <c r="R141" s="9"/>
      <c r="S141" s="12"/>
    </row>
    <row r="142" spans="1:19" ht="33" hidden="1" customHeight="1">
      <c r="A142" s="13">
        <v>107</v>
      </c>
      <c r="B142" s="9" t="s">
        <v>399</v>
      </c>
      <c r="C142" s="13" t="s">
        <v>27</v>
      </c>
      <c r="D142" s="13" t="s">
        <v>370</v>
      </c>
      <c r="E142" s="13" t="s">
        <v>371</v>
      </c>
      <c r="F142" s="14">
        <v>13500</v>
      </c>
      <c r="G142" s="14">
        <f>0.6*F142</f>
        <v>8100</v>
      </c>
      <c r="H142" s="14">
        <f>'01_BOM_DUZELTILDI'!$G142*'01_BOM_DUZELTILDI'!$I142</f>
        <v>8100</v>
      </c>
      <c r="I142" s="32">
        <v>1</v>
      </c>
      <c r="J142" s="13" t="s">
        <v>31</v>
      </c>
      <c r="K142" s="13" t="s">
        <v>350</v>
      </c>
      <c r="L142" s="13" t="s">
        <v>212</v>
      </c>
      <c r="M142" s="13" t="s">
        <v>209</v>
      </c>
      <c r="N142" s="13" t="s">
        <v>209</v>
      </c>
      <c r="O142" s="13" t="s">
        <v>33</v>
      </c>
      <c r="P142" s="13" t="s">
        <v>203</v>
      </c>
      <c r="Q142" s="15"/>
      <c r="R142" s="13" t="s">
        <v>35</v>
      </c>
      <c r="S142" s="16"/>
    </row>
    <row r="143" spans="1:19" ht="33" hidden="1" customHeight="1">
      <c r="A143" s="17">
        <v>108</v>
      </c>
      <c r="B143" s="9" t="s">
        <v>400</v>
      </c>
      <c r="C143" s="17" t="s">
        <v>51</v>
      </c>
      <c r="D143" s="21" t="s">
        <v>378</v>
      </c>
      <c r="E143" s="21" t="s">
        <v>379</v>
      </c>
      <c r="F143" s="22">
        <v>2606</v>
      </c>
      <c r="G143" s="22">
        <f t="shared" ref="G143:G150" si="15">0.6*F143</f>
        <v>1563.6</v>
      </c>
      <c r="H143" s="18">
        <f>'01_BOM_DUZELTILDI'!$G143*'01_BOM_DUZELTILDI'!$I143</f>
        <v>1563.6</v>
      </c>
      <c r="I143" s="33">
        <v>1</v>
      </c>
      <c r="J143" s="17" t="s">
        <v>31</v>
      </c>
      <c r="K143" s="17" t="s">
        <v>40</v>
      </c>
      <c r="L143" s="17" t="s">
        <v>216</v>
      </c>
      <c r="M143" s="17"/>
      <c r="N143" s="17"/>
      <c r="O143" s="17" t="s">
        <v>41</v>
      </c>
      <c r="P143" s="17" t="s">
        <v>239</v>
      </c>
      <c r="Q143" s="19"/>
      <c r="R143" s="17" t="s">
        <v>35</v>
      </c>
      <c r="S143" s="20"/>
    </row>
    <row r="144" spans="1:19" ht="33" hidden="1" customHeight="1">
      <c r="A144" s="21">
        <v>109</v>
      </c>
      <c r="B144" s="9" t="s">
        <v>401</v>
      </c>
      <c r="C144" s="21" t="s">
        <v>51</v>
      </c>
      <c r="D144" s="21" t="s">
        <v>374</v>
      </c>
      <c r="E144" s="21" t="s">
        <v>375</v>
      </c>
      <c r="F144" s="22">
        <v>975</v>
      </c>
      <c r="G144" s="22">
        <f t="shared" si="15"/>
        <v>585</v>
      </c>
      <c r="H144" s="22">
        <f>'01_BOM_DUZELTILDI'!$G144*'01_BOM_DUZELTILDI'!$I144</f>
        <v>585</v>
      </c>
      <c r="I144" s="34">
        <v>1</v>
      </c>
      <c r="J144" s="21" t="s">
        <v>31</v>
      </c>
      <c r="K144" s="21" t="s">
        <v>40</v>
      </c>
      <c r="L144" s="21" t="s">
        <v>165</v>
      </c>
      <c r="M144" s="21"/>
      <c r="N144" s="21"/>
      <c r="O144" s="21" t="s">
        <v>41</v>
      </c>
      <c r="P144" s="21" t="s">
        <v>240</v>
      </c>
      <c r="Q144" s="23">
        <v>1</v>
      </c>
      <c r="R144" s="21" t="s">
        <v>35</v>
      </c>
      <c r="S144" s="24"/>
    </row>
    <row r="145" spans="1:19" ht="33" hidden="1" customHeight="1">
      <c r="A145" s="17">
        <v>110</v>
      </c>
      <c r="B145" s="9" t="s">
        <v>402</v>
      </c>
      <c r="C145" s="17" t="s">
        <v>135</v>
      </c>
      <c r="D145" s="17" t="s">
        <v>293</v>
      </c>
      <c r="E145" s="17" t="s">
        <v>294</v>
      </c>
      <c r="F145" s="18">
        <v>9149</v>
      </c>
      <c r="G145" s="22">
        <f t="shared" si="15"/>
        <v>5489.4</v>
      </c>
      <c r="H145" s="18">
        <f>'01_BOM_DUZELTILDI'!$G145*'01_BOM_DUZELTILDI'!$I145</f>
        <v>5489.4</v>
      </c>
      <c r="I145" s="33">
        <v>1</v>
      </c>
      <c r="J145" s="17" t="s">
        <v>31</v>
      </c>
      <c r="K145" s="17" t="s">
        <v>40</v>
      </c>
      <c r="L145" s="17" t="s">
        <v>221</v>
      </c>
      <c r="M145" s="17"/>
      <c r="N145" s="17"/>
      <c r="O145" s="17" t="s">
        <v>41</v>
      </c>
      <c r="P145" s="17" t="s">
        <v>241</v>
      </c>
      <c r="Q145" s="19">
        <v>8</v>
      </c>
      <c r="R145" s="17" t="s">
        <v>35</v>
      </c>
      <c r="S145" s="20"/>
    </row>
    <row r="146" spans="1:19" ht="33" hidden="1" customHeight="1">
      <c r="A146" s="21">
        <v>111</v>
      </c>
      <c r="B146" s="9" t="s">
        <v>403</v>
      </c>
      <c r="C146" s="21" t="s">
        <v>388</v>
      </c>
      <c r="D146" s="21" t="s">
        <v>429</v>
      </c>
      <c r="E146" s="21" t="s">
        <v>430</v>
      </c>
      <c r="F146" s="22">
        <v>4315</v>
      </c>
      <c r="G146" s="22">
        <f t="shared" si="15"/>
        <v>2589</v>
      </c>
      <c r="H146" s="22">
        <f>'01_BOM_DUZELTILDI'!$G146*'01_BOM_DUZELTILDI'!$I146</f>
        <v>2589</v>
      </c>
      <c r="I146" s="34">
        <v>1</v>
      </c>
      <c r="J146" s="21" t="s">
        <v>31</v>
      </c>
      <c r="K146" s="21" t="s">
        <v>40</v>
      </c>
      <c r="L146" s="21" t="s">
        <v>225</v>
      </c>
      <c r="M146" s="21"/>
      <c r="N146" s="21"/>
      <c r="O146" s="21" t="s">
        <v>41</v>
      </c>
      <c r="P146" s="21" t="s">
        <v>242</v>
      </c>
      <c r="Q146" s="23">
        <v>2</v>
      </c>
      <c r="R146" s="21" t="s">
        <v>35</v>
      </c>
      <c r="S146" s="24"/>
    </row>
    <row r="147" spans="1:19" ht="33" hidden="1" customHeight="1">
      <c r="A147" s="21">
        <v>111</v>
      </c>
      <c r="B147" s="9" t="s">
        <v>404</v>
      </c>
      <c r="C147" s="21" t="s">
        <v>390</v>
      </c>
      <c r="D147" s="17" t="s">
        <v>427</v>
      </c>
      <c r="E147" s="17" t="s">
        <v>428</v>
      </c>
      <c r="F147" s="18">
        <v>836</v>
      </c>
      <c r="G147" s="22">
        <f t="shared" si="15"/>
        <v>501.59999999999997</v>
      </c>
      <c r="H147" s="22">
        <f>'01_BOM_DUZELTILDI'!$G147*'01_BOM_DUZELTILDI'!$I147</f>
        <v>501.59999999999997</v>
      </c>
      <c r="I147" s="34">
        <v>1</v>
      </c>
      <c r="J147" s="21" t="s">
        <v>31</v>
      </c>
      <c r="K147" s="21" t="s">
        <v>40</v>
      </c>
      <c r="L147" s="21" t="s">
        <v>225</v>
      </c>
      <c r="M147" s="21"/>
      <c r="N147" s="21"/>
      <c r="O147" s="21" t="s">
        <v>41</v>
      </c>
      <c r="P147" s="21" t="s">
        <v>242</v>
      </c>
      <c r="Q147" s="23">
        <v>2</v>
      </c>
      <c r="R147" s="21" t="s">
        <v>35</v>
      </c>
      <c r="S147" s="24"/>
    </row>
    <row r="148" spans="1:19" ht="33" hidden="1" customHeight="1">
      <c r="A148" s="21">
        <v>111</v>
      </c>
      <c r="B148" s="9" t="s">
        <v>405</v>
      </c>
      <c r="C148" s="21" t="s">
        <v>396</v>
      </c>
      <c r="D148" s="21" t="s">
        <v>411</v>
      </c>
      <c r="E148" s="21" t="s">
        <v>412</v>
      </c>
      <c r="F148" s="22">
        <v>1602</v>
      </c>
      <c r="G148" s="22">
        <f t="shared" si="15"/>
        <v>961.19999999999993</v>
      </c>
      <c r="H148" s="22">
        <f>'01_BOM_DUZELTILDI'!$G148*'01_BOM_DUZELTILDI'!$I148</f>
        <v>961.19999999999993</v>
      </c>
      <c r="I148" s="34">
        <v>1</v>
      </c>
      <c r="J148" s="21" t="s">
        <v>31</v>
      </c>
      <c r="K148" s="21" t="s">
        <v>40</v>
      </c>
      <c r="L148" s="21" t="s">
        <v>225</v>
      </c>
      <c r="M148" s="21"/>
      <c r="N148" s="21"/>
      <c r="O148" s="21" t="s">
        <v>41</v>
      </c>
      <c r="P148" s="21" t="s">
        <v>242</v>
      </c>
      <c r="Q148" s="23">
        <v>2</v>
      </c>
      <c r="R148" s="21" t="s">
        <v>35</v>
      </c>
      <c r="S148" s="24"/>
    </row>
    <row r="149" spans="1:19" ht="33" hidden="1" customHeight="1">
      <c r="A149" s="21">
        <v>111</v>
      </c>
      <c r="B149" s="9" t="s">
        <v>406</v>
      </c>
      <c r="C149" s="21" t="s">
        <v>391</v>
      </c>
      <c r="D149" s="21" t="s">
        <v>413</v>
      </c>
      <c r="E149" s="21" t="s">
        <v>414</v>
      </c>
      <c r="F149" s="22">
        <v>1621</v>
      </c>
      <c r="G149" s="22">
        <f t="shared" si="15"/>
        <v>972.59999999999991</v>
      </c>
      <c r="H149" s="22">
        <f>'01_BOM_DUZELTILDI'!$G149*'01_BOM_DUZELTILDI'!$I149</f>
        <v>972.59999999999991</v>
      </c>
      <c r="I149" s="34">
        <v>1</v>
      </c>
      <c r="J149" s="21" t="s">
        <v>31</v>
      </c>
      <c r="K149" s="21" t="s">
        <v>40</v>
      </c>
      <c r="L149" s="21" t="s">
        <v>225</v>
      </c>
      <c r="M149" s="21"/>
      <c r="N149" s="21"/>
      <c r="O149" s="21" t="s">
        <v>41</v>
      </c>
      <c r="P149" s="21" t="s">
        <v>242</v>
      </c>
      <c r="Q149" s="23">
        <v>2</v>
      </c>
      <c r="R149" s="21" t="s">
        <v>35</v>
      </c>
      <c r="S149" s="24"/>
    </row>
    <row r="150" spans="1:19" ht="33" hidden="1" customHeight="1">
      <c r="A150" s="21">
        <v>111</v>
      </c>
      <c r="B150" s="9" t="s">
        <v>407</v>
      </c>
      <c r="C150" s="21" t="s">
        <v>397</v>
      </c>
      <c r="D150" s="21" t="s">
        <v>419</v>
      </c>
      <c r="E150" s="17" t="s">
        <v>420</v>
      </c>
      <c r="F150" s="22">
        <v>1836</v>
      </c>
      <c r="G150" s="22">
        <f t="shared" si="15"/>
        <v>1101.5999999999999</v>
      </c>
      <c r="H150" s="22">
        <f>'01_BOM_DUZELTILDI'!$G150*'01_BOM_DUZELTILDI'!$I150</f>
        <v>1101.5999999999999</v>
      </c>
      <c r="I150" s="34">
        <v>1</v>
      </c>
      <c r="J150" s="21" t="s">
        <v>31</v>
      </c>
      <c r="K150" s="21" t="s">
        <v>40</v>
      </c>
      <c r="L150" s="21" t="s">
        <v>225</v>
      </c>
      <c r="M150" s="21"/>
      <c r="N150" s="21"/>
      <c r="O150" s="21" t="s">
        <v>41</v>
      </c>
      <c r="P150" s="21" t="s">
        <v>242</v>
      </c>
      <c r="Q150" s="23">
        <v>2</v>
      </c>
      <c r="R150" s="21" t="s">
        <v>35</v>
      </c>
      <c r="S150" s="24"/>
    </row>
    <row r="151" spans="1:19" ht="33" hidden="1" customHeight="1">
      <c r="A151" s="17">
        <v>113</v>
      </c>
      <c r="B151" s="9" t="s">
        <v>408</v>
      </c>
      <c r="C151" s="17" t="s">
        <v>83</v>
      </c>
      <c r="D151" s="17"/>
      <c r="E151" s="17" t="s">
        <v>121</v>
      </c>
      <c r="F151" s="18">
        <f ca="1">OFFSET('01_BOM_DUZELTILDI'!$F151,1,2)</f>
        <v>12000</v>
      </c>
      <c r="G151" s="18">
        <f ca="1">'01_BOM_DUZELTILDI'!$F151</f>
        <v>12000</v>
      </c>
      <c r="H151" s="18">
        <f ca="1">'01_BOM_DUZELTILDI'!$G151*'01_BOM_DUZELTILDI'!$I151</f>
        <v>12000</v>
      </c>
      <c r="I151" s="33">
        <v>1</v>
      </c>
      <c r="J151" s="17" t="s">
        <v>31</v>
      </c>
      <c r="K151" s="17" t="s">
        <v>369</v>
      </c>
      <c r="L151" s="17"/>
      <c r="M151" s="17"/>
      <c r="N151" s="17"/>
      <c r="O151" s="17" t="s">
        <v>33</v>
      </c>
      <c r="P151" s="17" t="s">
        <v>204</v>
      </c>
      <c r="Q151" s="19"/>
      <c r="R151" s="17" t="s">
        <v>35</v>
      </c>
      <c r="S151" s="20"/>
    </row>
    <row r="152" spans="1:19" ht="33" hidden="1" customHeight="1">
      <c r="A152" s="25">
        <v>114</v>
      </c>
      <c r="B152" s="9" t="s">
        <v>409</v>
      </c>
      <c r="C152" s="25" t="s">
        <v>85</v>
      </c>
      <c r="D152" s="25"/>
      <c r="E152" s="25" t="s">
        <v>157</v>
      </c>
      <c r="F152" s="26">
        <v>2</v>
      </c>
      <c r="G152" s="26">
        <v>100</v>
      </c>
      <c r="H152" s="26">
        <f>'01_BOM_DUZELTILDI'!$G152*'01_BOM_DUZELTILDI'!$I152</f>
        <v>12000</v>
      </c>
      <c r="I152" s="35">
        <f>60*'01_BOM_DUZELTILDI'!$F152</f>
        <v>120</v>
      </c>
      <c r="J152" s="25" t="s">
        <v>123</v>
      </c>
      <c r="K152" s="25" t="s">
        <v>87</v>
      </c>
      <c r="L152" s="25"/>
      <c r="M152" s="25"/>
      <c r="N152" s="25"/>
      <c r="O152" s="25" t="s">
        <v>33</v>
      </c>
      <c r="P152" s="25" t="s">
        <v>203</v>
      </c>
      <c r="Q152" s="27"/>
      <c r="R152" s="25" t="s">
        <v>35</v>
      </c>
      <c r="S152" s="28"/>
    </row>
    <row r="153" spans="1:19" ht="33" customHeight="1">
      <c r="A153" s="9">
        <v>106</v>
      </c>
      <c r="B153" s="9" t="s">
        <v>410</v>
      </c>
      <c r="C153" s="9" t="s">
        <v>19</v>
      </c>
      <c r="D153" s="9"/>
      <c r="E153" s="31" t="s">
        <v>410</v>
      </c>
      <c r="F153" s="10"/>
      <c r="G153" s="10">
        <f>'01_BOM_DUZELTILDI'!$F153</f>
        <v>0</v>
      </c>
      <c r="H153" s="10"/>
      <c r="I153" s="31">
        <v>1</v>
      </c>
      <c r="J153" s="9" t="s">
        <v>23</v>
      </c>
      <c r="K153" s="9" t="s">
        <v>24</v>
      </c>
      <c r="L153" s="9" t="s">
        <v>208</v>
      </c>
      <c r="M153" s="9" t="s">
        <v>209</v>
      </c>
      <c r="N153" s="9" t="s">
        <v>209</v>
      </c>
      <c r="O153" s="9" t="s">
        <v>25</v>
      </c>
      <c r="P153" s="9" t="s">
        <v>26</v>
      </c>
      <c r="Q153" s="11"/>
      <c r="R153" s="9"/>
      <c r="S153" s="12"/>
    </row>
    <row r="154" spans="1:19" ht="33" hidden="1" customHeight="1">
      <c r="A154" s="13">
        <v>107</v>
      </c>
      <c r="B154" s="9" t="s">
        <v>410</v>
      </c>
      <c r="C154" s="13" t="s">
        <v>27</v>
      </c>
      <c r="D154" s="13" t="s">
        <v>370</v>
      </c>
      <c r="E154" s="13" t="s">
        <v>371</v>
      </c>
      <c r="F154" s="14">
        <v>13500</v>
      </c>
      <c r="G154" s="14">
        <f>0.6*F154</f>
        <v>8100</v>
      </c>
      <c r="H154" s="14">
        <f>'01_BOM_DUZELTILDI'!$G154*'01_BOM_DUZELTILDI'!$I154</f>
        <v>8100</v>
      </c>
      <c r="I154" s="32">
        <v>1</v>
      </c>
      <c r="J154" s="13" t="s">
        <v>31</v>
      </c>
      <c r="K154" s="13" t="s">
        <v>350</v>
      </c>
      <c r="L154" s="13" t="s">
        <v>212</v>
      </c>
      <c r="M154" s="13" t="s">
        <v>209</v>
      </c>
      <c r="N154" s="13" t="s">
        <v>209</v>
      </c>
      <c r="O154" s="13" t="s">
        <v>33</v>
      </c>
      <c r="P154" s="13" t="s">
        <v>203</v>
      </c>
      <c r="Q154" s="15"/>
      <c r="R154" s="13" t="s">
        <v>35</v>
      </c>
      <c r="S154" s="16"/>
    </row>
    <row r="155" spans="1:19" ht="33" hidden="1" customHeight="1">
      <c r="A155" s="17">
        <v>108</v>
      </c>
      <c r="B155" s="9" t="s">
        <v>410</v>
      </c>
      <c r="C155" s="17" t="s">
        <v>51</v>
      </c>
      <c r="D155" s="21" t="s">
        <v>376</v>
      </c>
      <c r="E155" s="21" t="s">
        <v>377</v>
      </c>
      <c r="F155" s="22">
        <v>1589</v>
      </c>
      <c r="G155" s="22">
        <f t="shared" ref="G155:G156" si="16">0.6*F155</f>
        <v>953.4</v>
      </c>
      <c r="H155" s="18">
        <f>'01_BOM_DUZELTILDI'!$G155*'01_BOM_DUZELTILDI'!$I155</f>
        <v>953.4</v>
      </c>
      <c r="I155" s="33">
        <v>1</v>
      </c>
      <c r="J155" s="17" t="s">
        <v>31</v>
      </c>
      <c r="K155" s="17" t="s">
        <v>40</v>
      </c>
      <c r="L155" s="17" t="s">
        <v>216</v>
      </c>
      <c r="M155" s="17"/>
      <c r="N155" s="17"/>
      <c r="O155" s="17" t="s">
        <v>41</v>
      </c>
      <c r="P155" s="17" t="s">
        <v>239</v>
      </c>
      <c r="Q155" s="19"/>
      <c r="R155" s="17" t="s">
        <v>35</v>
      </c>
      <c r="S155" s="20"/>
    </row>
    <row r="156" spans="1:19" ht="33" hidden="1" customHeight="1">
      <c r="A156" s="21">
        <v>109</v>
      </c>
      <c r="B156" s="9" t="s">
        <v>410</v>
      </c>
      <c r="C156" s="21" t="s">
        <v>51</v>
      </c>
      <c r="D156" s="21" t="s">
        <v>299</v>
      </c>
      <c r="E156" s="21" t="s">
        <v>300</v>
      </c>
      <c r="F156" s="22">
        <v>897</v>
      </c>
      <c r="G156" s="22">
        <f t="shared" si="16"/>
        <v>538.19999999999993</v>
      </c>
      <c r="H156" s="22">
        <f>'01_BOM_DUZELTILDI'!$G156*'01_BOM_DUZELTILDI'!$I156</f>
        <v>4305.5999999999995</v>
      </c>
      <c r="I156" s="34">
        <v>8</v>
      </c>
      <c r="J156" s="21" t="s">
        <v>31</v>
      </c>
      <c r="K156" s="21" t="s">
        <v>40</v>
      </c>
      <c r="L156" s="21" t="s">
        <v>165</v>
      </c>
      <c r="M156" s="21"/>
      <c r="N156" s="21"/>
      <c r="O156" s="21" t="s">
        <v>41</v>
      </c>
      <c r="P156" s="21" t="s">
        <v>240</v>
      </c>
      <c r="Q156" s="23">
        <v>1</v>
      </c>
      <c r="R156" s="21" t="s">
        <v>35</v>
      </c>
      <c r="S156" s="24"/>
    </row>
    <row r="157" spans="1:19" ht="33" hidden="1" customHeight="1">
      <c r="A157" s="17">
        <v>113</v>
      </c>
      <c r="B157" s="9" t="s">
        <v>410</v>
      </c>
      <c r="C157" s="17" t="s">
        <v>83</v>
      </c>
      <c r="D157" s="17"/>
      <c r="E157" s="17" t="s">
        <v>121</v>
      </c>
      <c r="F157" s="18">
        <f ca="1">OFFSET('01_BOM_DUZELTILDI'!$F157,1,2)</f>
        <v>3000</v>
      </c>
      <c r="G157" s="18">
        <f ca="1">'01_BOM_DUZELTILDI'!$F157</f>
        <v>3000</v>
      </c>
      <c r="H157" s="18">
        <f ca="1">'01_BOM_DUZELTILDI'!$G157*'01_BOM_DUZELTILDI'!$I157</f>
        <v>3000</v>
      </c>
      <c r="I157" s="33">
        <v>1</v>
      </c>
      <c r="J157" s="17" t="s">
        <v>31</v>
      </c>
      <c r="K157" s="17" t="s">
        <v>369</v>
      </c>
      <c r="L157" s="17"/>
      <c r="M157" s="17"/>
      <c r="N157" s="17"/>
      <c r="O157" s="17" t="s">
        <v>33</v>
      </c>
      <c r="P157" s="17" t="s">
        <v>204</v>
      </c>
      <c r="Q157" s="19"/>
      <c r="R157" s="17" t="s">
        <v>35</v>
      </c>
      <c r="S157" s="20"/>
    </row>
    <row r="158" spans="1:19" ht="33" hidden="1" customHeight="1">
      <c r="A158" s="25">
        <v>114</v>
      </c>
      <c r="B158" s="9" t="s">
        <v>410</v>
      </c>
      <c r="C158" s="25" t="s">
        <v>85</v>
      </c>
      <c r="D158" s="25"/>
      <c r="E158" s="25" t="s">
        <v>157</v>
      </c>
      <c r="F158" s="26">
        <v>0.5</v>
      </c>
      <c r="G158" s="26">
        <v>100</v>
      </c>
      <c r="H158" s="26">
        <f>'01_BOM_DUZELTILDI'!$G158*'01_BOM_DUZELTILDI'!$I158</f>
        <v>3000</v>
      </c>
      <c r="I158" s="35">
        <f>60*'01_BOM_DUZELTILDI'!$F158</f>
        <v>30</v>
      </c>
      <c r="J158" s="25" t="s">
        <v>123</v>
      </c>
      <c r="K158" s="25" t="s">
        <v>87</v>
      </c>
      <c r="L158" s="25"/>
      <c r="M158" s="25"/>
      <c r="N158" s="25"/>
      <c r="O158" s="25" t="s">
        <v>33</v>
      </c>
      <c r="P158" s="25" t="s">
        <v>203</v>
      </c>
      <c r="Q158" s="27"/>
      <c r="R158" s="25" t="s">
        <v>35</v>
      </c>
      <c r="S158" s="28"/>
    </row>
  </sheetData>
  <autoFilter ref="A1:S158" xr:uid="{00000000-0001-0000-0000-000000000000}">
    <filterColumn colId="9">
      <filters>
        <filter val="компл."/>
      </filters>
    </filterColumn>
  </autoFilter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73651-0479-449F-8696-623A48BD1BD1}">
  <dimension ref="A1:L175"/>
  <sheetViews>
    <sheetView workbookViewId="0">
      <pane ySplit="1" topLeftCell="A2" activePane="bottomLeft" state="frozen"/>
      <selection pane="bottomLeft" activeCell="H11" sqref="H11:H12"/>
    </sheetView>
  </sheetViews>
  <sheetFormatPr defaultRowHeight="39" customHeight="1" outlineLevelRow="2"/>
  <cols>
    <col min="1" max="1" width="6" style="5" customWidth="1"/>
    <col min="2" max="2" width="14" style="5" customWidth="1"/>
    <col min="3" max="3" width="13.25" style="5" customWidth="1"/>
    <col min="4" max="4" width="14.75" style="5" customWidth="1"/>
    <col min="5" max="5" width="50" style="36" customWidth="1"/>
    <col min="6" max="7" width="14" style="5" customWidth="1"/>
    <col min="8" max="8" width="10" style="5" customWidth="1"/>
    <col min="9" max="9" width="10" style="36" customWidth="1"/>
    <col min="10" max="10" width="9" style="5"/>
    <col min="11" max="11" width="21.375" style="5" customWidth="1"/>
    <col min="12" max="12" width="21.125" style="5" customWidth="1"/>
  </cols>
  <sheetData>
    <row r="1" spans="1:12" ht="68.25" customHeight="1">
      <c r="A1" s="37" t="s">
        <v>0</v>
      </c>
      <c r="B1" s="37" t="s">
        <v>431</v>
      </c>
      <c r="C1" s="37" t="s">
        <v>432</v>
      </c>
      <c r="D1" s="37" t="s">
        <v>433</v>
      </c>
      <c r="E1" s="37" t="s">
        <v>434</v>
      </c>
      <c r="F1" s="37" t="s">
        <v>435</v>
      </c>
      <c r="G1" s="37" t="s">
        <v>436</v>
      </c>
      <c r="H1" s="37" t="s">
        <v>437</v>
      </c>
      <c r="I1" s="37" t="s">
        <v>438</v>
      </c>
      <c r="J1" s="37" t="s">
        <v>439</v>
      </c>
      <c r="K1" s="37" t="s">
        <v>440</v>
      </c>
      <c r="L1" s="37" t="s">
        <v>459</v>
      </c>
    </row>
    <row r="2" spans="1:12" ht="39" customHeight="1" outlineLevel="2">
      <c r="A2" s="38">
        <v>1</v>
      </c>
      <c r="B2" s="38" t="s">
        <v>18</v>
      </c>
      <c r="C2" s="38" t="s">
        <v>19</v>
      </c>
      <c r="D2" s="38"/>
      <c r="E2" s="39" t="s">
        <v>18</v>
      </c>
      <c r="F2" s="40"/>
      <c r="G2" s="40"/>
      <c r="H2" s="40"/>
      <c r="I2" s="39"/>
      <c r="J2" s="38" t="s">
        <v>23</v>
      </c>
      <c r="K2" s="38" t="s">
        <v>441</v>
      </c>
      <c r="L2" s="40"/>
    </row>
    <row r="3" spans="1:12" s="44" customFormat="1" ht="39" customHeight="1" outlineLevel="2">
      <c r="A3" s="41">
        <v>2</v>
      </c>
      <c r="B3" s="41" t="s">
        <v>18</v>
      </c>
      <c r="C3" s="41" t="s">
        <v>27</v>
      </c>
      <c r="D3" s="41" t="s">
        <v>337</v>
      </c>
      <c r="E3" s="41" t="s">
        <v>338</v>
      </c>
      <c r="F3" s="42">
        <v>165000</v>
      </c>
      <c r="G3" s="42">
        <f>0.6*F3</f>
        <v>99000</v>
      </c>
      <c r="H3" s="42">
        <f>'01_BOM_DUZELTILDI'!$G3*'01_BOM_DUZELTILDI'!$I3</f>
        <v>198000</v>
      </c>
      <c r="I3" s="43">
        <v>2</v>
      </c>
      <c r="J3" s="41" t="s">
        <v>31</v>
      </c>
      <c r="K3" s="41" t="s">
        <v>350</v>
      </c>
      <c r="L3" s="42">
        <v>198000</v>
      </c>
    </row>
    <row r="4" spans="1:12" s="44" customFormat="1" ht="39" customHeight="1" outlineLevel="2">
      <c r="A4" s="45">
        <v>3</v>
      </c>
      <c r="B4" s="45" t="s">
        <v>18</v>
      </c>
      <c r="C4" s="45" t="s">
        <v>347</v>
      </c>
      <c r="D4" s="45" t="s">
        <v>309</v>
      </c>
      <c r="E4" s="45" t="s">
        <v>310</v>
      </c>
      <c r="F4" s="46">
        <v>24000</v>
      </c>
      <c r="G4" s="46">
        <f>'01_BOM_DUZELTILDI'!$F4</f>
        <v>24000</v>
      </c>
      <c r="H4" s="46">
        <f>'01_BOM_DUZELTILDI'!$G4*'01_BOM_DUZELTILDI'!$I4</f>
        <v>48000</v>
      </c>
      <c r="I4" s="47">
        <v>2</v>
      </c>
      <c r="J4" s="45" t="s">
        <v>31</v>
      </c>
      <c r="K4" s="45" t="s">
        <v>336</v>
      </c>
      <c r="L4" s="46">
        <v>48000</v>
      </c>
    </row>
    <row r="5" spans="1:12" s="44" customFormat="1" ht="39" customHeight="1" outlineLevel="2">
      <c r="A5" s="48">
        <v>4</v>
      </c>
      <c r="B5" s="48" t="s">
        <v>18</v>
      </c>
      <c r="C5" s="48" t="s">
        <v>36</v>
      </c>
      <c r="D5" s="48" t="s">
        <v>313</v>
      </c>
      <c r="E5" s="48" t="s">
        <v>314</v>
      </c>
      <c r="F5" s="49">
        <v>36869</v>
      </c>
      <c r="G5" s="49">
        <f>0.6*F5</f>
        <v>22121.399999999998</v>
      </c>
      <c r="H5" s="49">
        <f>'01_BOM_DUZELTILDI'!$G5*'01_BOM_DUZELTILDI'!$I5</f>
        <v>44242.799999999996</v>
      </c>
      <c r="I5" s="50">
        <v>2</v>
      </c>
      <c r="J5" s="48" t="s">
        <v>31</v>
      </c>
      <c r="K5" s="48" t="s">
        <v>40</v>
      </c>
      <c r="L5" s="49">
        <v>44242.799999999996</v>
      </c>
    </row>
    <row r="6" spans="1:12" s="44" customFormat="1" ht="39" customHeight="1" outlineLevel="2">
      <c r="A6" s="45">
        <v>5</v>
      </c>
      <c r="B6" s="45" t="s">
        <v>18</v>
      </c>
      <c r="C6" s="45" t="s">
        <v>36</v>
      </c>
      <c r="D6" s="45" t="s">
        <v>311</v>
      </c>
      <c r="E6" s="45" t="s">
        <v>312</v>
      </c>
      <c r="F6" s="46">
        <v>27169</v>
      </c>
      <c r="G6" s="49">
        <f t="shared" ref="G6:G9" si="0">0.6*F6</f>
        <v>16301.4</v>
      </c>
      <c r="H6" s="46">
        <f>'01_BOM_DUZELTILDI'!$G6*'01_BOM_DUZELTILDI'!$I6</f>
        <v>48904.2</v>
      </c>
      <c r="I6" s="47">
        <v>3</v>
      </c>
      <c r="J6" s="45" t="s">
        <v>31</v>
      </c>
      <c r="K6" s="45" t="s">
        <v>40</v>
      </c>
      <c r="L6" s="46">
        <v>48904.2</v>
      </c>
    </row>
    <row r="7" spans="1:12" s="44" customFormat="1" ht="39" customHeight="1" outlineLevel="2">
      <c r="A7" s="48">
        <v>6</v>
      </c>
      <c r="B7" s="48" t="s">
        <v>18</v>
      </c>
      <c r="C7" s="48" t="s">
        <v>51</v>
      </c>
      <c r="D7" s="48" t="s">
        <v>374</v>
      </c>
      <c r="E7" s="48" t="s">
        <v>375</v>
      </c>
      <c r="F7" s="49">
        <v>975</v>
      </c>
      <c r="G7" s="49">
        <f t="shared" si="0"/>
        <v>585</v>
      </c>
      <c r="H7" s="49">
        <f>'01_BOM_DUZELTILDI'!$G7*'01_BOM_DUZELTILDI'!$I7</f>
        <v>1170</v>
      </c>
      <c r="I7" s="50">
        <v>2</v>
      </c>
      <c r="J7" s="48" t="s">
        <v>31</v>
      </c>
      <c r="K7" s="48" t="s">
        <v>40</v>
      </c>
      <c r="L7" s="49">
        <v>1170</v>
      </c>
    </row>
    <row r="8" spans="1:12" s="44" customFormat="1" ht="39" customHeight="1" outlineLevel="2">
      <c r="A8" s="45">
        <v>6</v>
      </c>
      <c r="B8" s="45" t="s">
        <v>18</v>
      </c>
      <c r="C8" s="45" t="s">
        <v>51</v>
      </c>
      <c r="D8" s="45" t="s">
        <v>307</v>
      </c>
      <c r="E8" s="45" t="s">
        <v>308</v>
      </c>
      <c r="F8" s="46">
        <v>2429</v>
      </c>
      <c r="G8" s="49">
        <f t="shared" si="0"/>
        <v>1457.3999999999999</v>
      </c>
      <c r="H8" s="46">
        <f>'01_BOM_DUZELTILDI'!$G8*'01_BOM_DUZELTILDI'!$I8</f>
        <v>8744.4</v>
      </c>
      <c r="I8" s="47">
        <v>6</v>
      </c>
      <c r="J8" s="45" t="s">
        <v>31</v>
      </c>
      <c r="K8" s="45" t="s">
        <v>40</v>
      </c>
      <c r="L8" s="46">
        <v>8744.4</v>
      </c>
    </row>
    <row r="9" spans="1:12" s="44" customFormat="1" ht="39" customHeight="1" outlineLevel="2">
      <c r="A9" s="48">
        <v>7</v>
      </c>
      <c r="B9" s="48" t="s">
        <v>18</v>
      </c>
      <c r="C9" s="48" t="s">
        <v>56</v>
      </c>
      <c r="D9" s="48" t="s">
        <v>330</v>
      </c>
      <c r="E9" s="48" t="s">
        <v>331</v>
      </c>
      <c r="F9" s="49">
        <v>5104</v>
      </c>
      <c r="G9" s="49">
        <f t="shared" si="0"/>
        <v>3062.4</v>
      </c>
      <c r="H9" s="49">
        <f>'01_BOM_DUZELTILDI'!$G9*'01_BOM_DUZELTILDI'!$I9</f>
        <v>3062.4</v>
      </c>
      <c r="I9" s="50">
        <v>1</v>
      </c>
      <c r="J9" s="48" t="s">
        <v>31</v>
      </c>
      <c r="K9" s="48" t="s">
        <v>40</v>
      </c>
      <c r="L9" s="49">
        <v>3062.4</v>
      </c>
    </row>
    <row r="10" spans="1:12" s="44" customFormat="1" ht="39" customHeight="1" outlineLevel="2">
      <c r="A10" s="45">
        <v>8</v>
      </c>
      <c r="B10" s="45" t="s">
        <v>18</v>
      </c>
      <c r="C10" s="45" t="s">
        <v>61</v>
      </c>
      <c r="D10" s="45" t="s">
        <v>320</v>
      </c>
      <c r="E10" s="45" t="s">
        <v>321</v>
      </c>
      <c r="F10" s="46">
        <v>6350</v>
      </c>
      <c r="G10" s="46">
        <f>'01_BOM_DUZELTILDI'!$F10</f>
        <v>6350</v>
      </c>
      <c r="H10" s="46">
        <f>'01_BOM_DUZELTILDI'!$G10*'01_BOM_DUZELTILDI'!$I10</f>
        <v>38100</v>
      </c>
      <c r="I10" s="47">
        <v>6</v>
      </c>
      <c r="J10" s="45" t="s">
        <v>31</v>
      </c>
      <c r="K10" s="45" t="s">
        <v>369</v>
      </c>
      <c r="L10" s="46">
        <v>38100</v>
      </c>
    </row>
    <row r="11" spans="1:12" s="44" customFormat="1" ht="39" customHeight="1" outlineLevel="2">
      <c r="A11" s="48">
        <v>9</v>
      </c>
      <c r="B11" s="48" t="s">
        <v>18</v>
      </c>
      <c r="C11" s="48" t="s">
        <v>319</v>
      </c>
      <c r="D11" s="48" t="s">
        <v>324</v>
      </c>
      <c r="E11" s="48" t="s">
        <v>325</v>
      </c>
      <c r="F11" s="49">
        <v>99000</v>
      </c>
      <c r="G11" s="49">
        <f>'01_BOM_DUZELTILDI'!$F11</f>
        <v>99000</v>
      </c>
      <c r="H11" s="49">
        <f>'01_BOM_DUZELTILDI'!$G11*'01_BOM_DUZELTILDI'!$I11</f>
        <v>198000</v>
      </c>
      <c r="I11" s="50">
        <v>2</v>
      </c>
      <c r="J11" s="48" t="s">
        <v>31</v>
      </c>
      <c r="K11" s="48" t="s">
        <v>65</v>
      </c>
      <c r="L11" s="49">
        <v>198000</v>
      </c>
    </row>
    <row r="12" spans="1:12" s="44" customFormat="1" ht="39" customHeight="1" outlineLevel="2">
      <c r="A12" s="45">
        <v>20</v>
      </c>
      <c r="B12" s="45" t="s">
        <v>18</v>
      </c>
      <c r="C12" s="45" t="s">
        <v>319</v>
      </c>
      <c r="D12" s="45" t="s">
        <v>326</v>
      </c>
      <c r="E12" s="45" t="s">
        <v>327</v>
      </c>
      <c r="F12" s="46">
        <v>105000</v>
      </c>
      <c r="G12" s="46">
        <f>'01_BOM_DUZELTILDI'!$F12</f>
        <v>105000</v>
      </c>
      <c r="H12" s="46">
        <f>'01_BOM_DUZELTILDI'!$G12*'01_BOM_DUZELTILDI'!$I12</f>
        <v>315000</v>
      </c>
      <c r="I12" s="47">
        <v>3</v>
      </c>
      <c r="J12" s="45" t="s">
        <v>31</v>
      </c>
      <c r="K12" s="45" t="s">
        <v>65</v>
      </c>
      <c r="L12" s="46">
        <v>315000</v>
      </c>
    </row>
    <row r="13" spans="1:12" s="44" customFormat="1" ht="39" customHeight="1" outlineLevel="2">
      <c r="A13" s="48">
        <v>6</v>
      </c>
      <c r="B13" s="48" t="s">
        <v>18</v>
      </c>
      <c r="C13" s="48" t="s">
        <v>340</v>
      </c>
      <c r="D13" s="48" t="s">
        <v>348</v>
      </c>
      <c r="E13" s="48" t="s">
        <v>349</v>
      </c>
      <c r="F13" s="49">
        <v>33208</v>
      </c>
      <c r="G13" s="49">
        <f>0.6*F13</f>
        <v>19924.8</v>
      </c>
      <c r="H13" s="49">
        <f>'01_BOM_DUZELTILDI'!$G13*'01_BOM_DUZELTILDI'!$I13</f>
        <v>39849.599999999999</v>
      </c>
      <c r="I13" s="50">
        <v>2</v>
      </c>
      <c r="J13" s="48" t="s">
        <v>31</v>
      </c>
      <c r="K13" s="48" t="s">
        <v>40</v>
      </c>
      <c r="L13" s="49">
        <v>39849.599999999999</v>
      </c>
    </row>
    <row r="14" spans="1:12" s="44" customFormat="1" ht="39" customHeight="1" outlineLevel="2">
      <c r="A14" s="45">
        <v>10</v>
      </c>
      <c r="B14" s="45" t="s">
        <v>18</v>
      </c>
      <c r="C14" s="45" t="s">
        <v>70</v>
      </c>
      <c r="D14" s="45" t="s">
        <v>351</v>
      </c>
      <c r="E14" s="45" t="s">
        <v>352</v>
      </c>
      <c r="F14" s="46">
        <v>675</v>
      </c>
      <c r="G14" s="46">
        <f>'01_BOM_DUZELTILDI'!$F14</f>
        <v>675</v>
      </c>
      <c r="H14" s="46">
        <f>'01_BOM_DUZELTILDI'!$G14*'01_BOM_DUZELTILDI'!$I14</f>
        <v>4050</v>
      </c>
      <c r="I14" s="47">
        <v>6</v>
      </c>
      <c r="J14" s="45" t="s">
        <v>74</v>
      </c>
      <c r="K14" s="45" t="s">
        <v>369</v>
      </c>
      <c r="L14" s="46">
        <v>4050</v>
      </c>
    </row>
    <row r="15" spans="1:12" s="44" customFormat="1" ht="39" customHeight="1" outlineLevel="2">
      <c r="A15" s="48">
        <v>12</v>
      </c>
      <c r="B15" s="48" t="s">
        <v>18</v>
      </c>
      <c r="C15" s="48" t="s">
        <v>80</v>
      </c>
      <c r="D15" s="48" t="s">
        <v>81</v>
      </c>
      <c r="E15" s="48" t="s">
        <v>82</v>
      </c>
      <c r="F15" s="49">
        <v>2530</v>
      </c>
      <c r="G15" s="49">
        <f>'01_BOM_DUZELTILDI'!$F15</f>
        <v>2530</v>
      </c>
      <c r="H15" s="49">
        <f>'01_BOM_DUZELTILDI'!$G15*'01_BOM_DUZELTILDI'!$I15</f>
        <v>15180</v>
      </c>
      <c r="I15" s="50">
        <v>6</v>
      </c>
      <c r="J15" s="48" t="s">
        <v>74</v>
      </c>
      <c r="K15" s="48" t="s">
        <v>75</v>
      </c>
      <c r="L15" s="49">
        <v>15180</v>
      </c>
    </row>
    <row r="16" spans="1:12" s="44" customFormat="1" ht="39" customHeight="1" outlineLevel="2">
      <c r="A16" s="45">
        <v>13</v>
      </c>
      <c r="B16" s="45" t="s">
        <v>18</v>
      </c>
      <c r="C16" s="45" t="s">
        <v>83</v>
      </c>
      <c r="D16" s="45"/>
      <c r="E16" s="48" t="s">
        <v>121</v>
      </c>
      <c r="F16" s="46">
        <f ca="1">OFFSET('01_BOM_DUZELTILDI'!$F16,1,2)</f>
        <v>96000</v>
      </c>
      <c r="G16" s="46">
        <f ca="1">'01_BOM_DUZELTILDI'!$F16</f>
        <v>96000</v>
      </c>
      <c r="H16" s="46">
        <f ca="1">'01_BOM_DUZELTILDI'!$G16*'01_BOM_DUZELTILDI'!$I16</f>
        <v>96000</v>
      </c>
      <c r="I16" s="47">
        <v>1</v>
      </c>
      <c r="J16" s="45" t="s">
        <v>31</v>
      </c>
      <c r="K16" s="45" t="s">
        <v>369</v>
      </c>
      <c r="L16" s="46">
        <v>96000</v>
      </c>
    </row>
    <row r="17" spans="1:12" s="44" customFormat="1" ht="39" customHeight="1" outlineLevel="2">
      <c r="A17" s="48">
        <v>14</v>
      </c>
      <c r="B17" s="48" t="s">
        <v>18</v>
      </c>
      <c r="C17" s="48" t="s">
        <v>85</v>
      </c>
      <c r="D17" s="48"/>
      <c r="E17" s="48" t="s">
        <v>157</v>
      </c>
      <c r="F17" s="49">
        <v>16</v>
      </c>
      <c r="G17" s="49">
        <v>100</v>
      </c>
      <c r="H17" s="49">
        <f>'01_BOM_DUZELTILDI'!$G17*'01_BOM_DUZELTILDI'!$I17</f>
        <v>96000</v>
      </c>
      <c r="I17" s="50">
        <f>60*'01_BOM_DUZELTILDI'!$F17</f>
        <v>960</v>
      </c>
      <c r="J17" s="45" t="s">
        <v>123</v>
      </c>
      <c r="K17" s="48" t="s">
        <v>87</v>
      </c>
      <c r="L17" s="49">
        <v>96000</v>
      </c>
    </row>
    <row r="18" spans="1:12" s="44" customFormat="1" ht="39" customHeight="1" outlineLevel="1">
      <c r="A18" s="48"/>
      <c r="B18" s="52" t="s">
        <v>442</v>
      </c>
      <c r="C18" s="48"/>
      <c r="D18" s="48"/>
      <c r="E18" s="48"/>
      <c r="F18" s="49"/>
      <c r="G18" s="49"/>
      <c r="H18" s="49">
        <f ca="1">SUBTOTAL(9,H2:H17)</f>
        <v>1154303.3999999999</v>
      </c>
      <c r="I18" s="50"/>
      <c r="J18" s="45"/>
      <c r="K18" s="48"/>
      <c r="L18" s="49">
        <v>1154303.3999999999</v>
      </c>
    </row>
    <row r="19" spans="1:12" ht="39" customHeight="1" outlineLevel="2">
      <c r="A19" s="38">
        <v>15</v>
      </c>
      <c r="B19" s="38" t="s">
        <v>88</v>
      </c>
      <c r="C19" s="38" t="s">
        <v>19</v>
      </c>
      <c r="D19" s="38"/>
      <c r="E19" s="39" t="s">
        <v>88</v>
      </c>
      <c r="F19" s="40"/>
      <c r="G19" s="40"/>
      <c r="H19" s="40"/>
      <c r="I19" s="39"/>
      <c r="J19" s="38" t="s">
        <v>23</v>
      </c>
      <c r="K19" s="38" t="s">
        <v>441</v>
      </c>
      <c r="L19" s="40"/>
    </row>
    <row r="20" spans="1:12" s="44" customFormat="1" ht="39" customHeight="1" outlineLevel="2">
      <c r="A20" s="41">
        <v>16</v>
      </c>
      <c r="B20" s="41" t="s">
        <v>88</v>
      </c>
      <c r="C20" s="41" t="s">
        <v>27</v>
      </c>
      <c r="D20" s="41" t="s">
        <v>337</v>
      </c>
      <c r="E20" s="41" t="s">
        <v>338</v>
      </c>
      <c r="F20" s="42">
        <v>165000</v>
      </c>
      <c r="G20" s="42">
        <f>0.6*F20</f>
        <v>99000</v>
      </c>
      <c r="H20" s="42">
        <f>'01_BOM_DUZELTILDI'!$G19*'01_BOM_DUZELTILDI'!$I19</f>
        <v>99000</v>
      </c>
      <c r="I20" s="43">
        <v>1</v>
      </c>
      <c r="J20" s="41" t="s">
        <v>31</v>
      </c>
      <c r="K20" s="41" t="s">
        <v>350</v>
      </c>
      <c r="L20" s="42">
        <v>99000</v>
      </c>
    </row>
    <row r="21" spans="1:12" s="44" customFormat="1" ht="39" customHeight="1" outlineLevel="2">
      <c r="A21" s="45">
        <v>17</v>
      </c>
      <c r="B21" s="45" t="s">
        <v>88</v>
      </c>
      <c r="C21" s="45" t="s">
        <v>344</v>
      </c>
      <c r="D21" s="45" t="s">
        <v>345</v>
      </c>
      <c r="E21" s="45" t="s">
        <v>346</v>
      </c>
      <c r="F21" s="46">
        <v>204604</v>
      </c>
      <c r="G21" s="49">
        <f t="shared" ref="G21:G22" si="1">0.6*F21</f>
        <v>122762.4</v>
      </c>
      <c r="H21" s="46">
        <f>'01_BOM_DUZELTILDI'!$G20*'01_BOM_DUZELTILDI'!$I20</f>
        <v>122762.4</v>
      </c>
      <c r="I21" s="47">
        <v>1</v>
      </c>
      <c r="J21" s="45" t="s">
        <v>31</v>
      </c>
      <c r="K21" s="45" t="s">
        <v>40</v>
      </c>
      <c r="L21" s="46">
        <v>122762.4</v>
      </c>
    </row>
    <row r="22" spans="1:12" s="44" customFormat="1" ht="39" customHeight="1" outlineLevel="2">
      <c r="A22" s="48">
        <v>17</v>
      </c>
      <c r="B22" s="48" t="s">
        <v>88</v>
      </c>
      <c r="C22" s="48" t="s">
        <v>380</v>
      </c>
      <c r="D22" s="48" t="s">
        <v>341</v>
      </c>
      <c r="E22" s="48" t="s">
        <v>342</v>
      </c>
      <c r="F22" s="49">
        <v>19760</v>
      </c>
      <c r="G22" s="49">
        <f t="shared" si="1"/>
        <v>11856</v>
      </c>
      <c r="H22" s="49">
        <f>'01_BOM_DUZELTILDI'!$G21*'01_BOM_DUZELTILDI'!$I21</f>
        <v>11856</v>
      </c>
      <c r="I22" s="50">
        <v>1</v>
      </c>
      <c r="J22" s="48" t="s">
        <v>31</v>
      </c>
      <c r="K22" s="48" t="s">
        <v>40</v>
      </c>
      <c r="L22" s="49">
        <v>11856</v>
      </c>
    </row>
    <row r="23" spans="1:12" s="44" customFormat="1" ht="39" customHeight="1" outlineLevel="2">
      <c r="A23" s="45">
        <v>19</v>
      </c>
      <c r="B23" s="45" t="s">
        <v>88</v>
      </c>
      <c r="C23" s="45" t="s">
        <v>61</v>
      </c>
      <c r="D23" s="45" t="s">
        <v>322</v>
      </c>
      <c r="E23" s="45" t="s">
        <v>323</v>
      </c>
      <c r="F23" s="46">
        <v>6350</v>
      </c>
      <c r="G23" s="46">
        <f>'01_BOM_DUZELTILDI'!$F22</f>
        <v>6350</v>
      </c>
      <c r="H23" s="46">
        <f>'01_BOM_DUZELTILDI'!$G22*'01_BOM_DUZELTILDI'!$I22</f>
        <v>19050</v>
      </c>
      <c r="I23" s="47">
        <v>3</v>
      </c>
      <c r="J23" s="45" t="s">
        <v>31</v>
      </c>
      <c r="K23" s="45" t="s">
        <v>369</v>
      </c>
      <c r="L23" s="46">
        <v>19050</v>
      </c>
    </row>
    <row r="24" spans="1:12" s="44" customFormat="1" ht="39" customHeight="1" outlineLevel="2">
      <c r="A24" s="48">
        <v>9</v>
      </c>
      <c r="B24" s="48" t="s">
        <v>88</v>
      </c>
      <c r="C24" s="48" t="s">
        <v>319</v>
      </c>
      <c r="D24" s="48" t="s">
        <v>324</v>
      </c>
      <c r="E24" s="48" t="s">
        <v>325</v>
      </c>
      <c r="F24" s="49">
        <v>99000</v>
      </c>
      <c r="G24" s="49">
        <f>'01_BOM_DUZELTILDI'!$F23</f>
        <v>99000</v>
      </c>
      <c r="H24" s="49">
        <f>'01_BOM_DUZELTILDI'!$G23*'01_BOM_DUZELTILDI'!$I23</f>
        <v>99000</v>
      </c>
      <c r="I24" s="50">
        <v>1</v>
      </c>
      <c r="J24" s="48" t="s">
        <v>31</v>
      </c>
      <c r="K24" s="48" t="s">
        <v>65</v>
      </c>
      <c r="L24" s="49">
        <v>99000</v>
      </c>
    </row>
    <row r="25" spans="1:12" s="44" customFormat="1" ht="39" customHeight="1" outlineLevel="2">
      <c r="A25" s="45">
        <v>20</v>
      </c>
      <c r="B25" s="45" t="s">
        <v>88</v>
      </c>
      <c r="C25" s="45" t="s">
        <v>319</v>
      </c>
      <c r="D25" s="45" t="s">
        <v>326</v>
      </c>
      <c r="E25" s="45" t="s">
        <v>327</v>
      </c>
      <c r="F25" s="46">
        <v>105000</v>
      </c>
      <c r="G25" s="46">
        <f>'01_BOM_DUZELTILDI'!$F24</f>
        <v>105000</v>
      </c>
      <c r="H25" s="46">
        <f>'01_BOM_DUZELTILDI'!$G24*'01_BOM_DUZELTILDI'!$I24</f>
        <v>210000</v>
      </c>
      <c r="I25" s="47">
        <v>2</v>
      </c>
      <c r="J25" s="45" t="s">
        <v>31</v>
      </c>
      <c r="K25" s="45" t="s">
        <v>65</v>
      </c>
      <c r="L25" s="46">
        <v>210000</v>
      </c>
    </row>
    <row r="26" spans="1:12" s="44" customFormat="1" ht="39" customHeight="1" outlineLevel="2">
      <c r="A26" s="48">
        <v>21</v>
      </c>
      <c r="B26" s="48" t="s">
        <v>88</v>
      </c>
      <c r="C26" s="48" t="s">
        <v>51</v>
      </c>
      <c r="D26" s="48" t="s">
        <v>378</v>
      </c>
      <c r="E26" s="48" t="s">
        <v>379</v>
      </c>
      <c r="F26" s="49">
        <v>2606</v>
      </c>
      <c r="G26" s="49">
        <f t="shared" ref="G26:G32" si="2">0.6*F26</f>
        <v>1563.6</v>
      </c>
      <c r="H26" s="49">
        <f>'01_BOM_DUZELTILDI'!$G25*'01_BOM_DUZELTILDI'!$I25</f>
        <v>6254.4</v>
      </c>
      <c r="I26" s="50">
        <v>4</v>
      </c>
      <c r="J26" s="48" t="s">
        <v>31</v>
      </c>
      <c r="K26" s="48" t="s">
        <v>40</v>
      </c>
      <c r="L26" s="49">
        <v>6254.4</v>
      </c>
    </row>
    <row r="27" spans="1:12" s="44" customFormat="1" ht="39" customHeight="1" outlineLevel="2">
      <c r="A27" s="45">
        <v>22</v>
      </c>
      <c r="B27" s="45" t="s">
        <v>88</v>
      </c>
      <c r="C27" s="45" t="s">
        <v>51</v>
      </c>
      <c r="D27" s="45" t="s">
        <v>307</v>
      </c>
      <c r="E27" s="45" t="s">
        <v>308</v>
      </c>
      <c r="F27" s="46">
        <v>2429</v>
      </c>
      <c r="G27" s="49">
        <f t="shared" si="2"/>
        <v>1457.3999999999999</v>
      </c>
      <c r="H27" s="46">
        <f>'01_BOM_DUZELTILDI'!$G26*'01_BOM_DUZELTILDI'!$I26</f>
        <v>1457.3999999999999</v>
      </c>
      <c r="I27" s="47">
        <v>1</v>
      </c>
      <c r="J27" s="45" t="s">
        <v>31</v>
      </c>
      <c r="K27" s="45" t="s">
        <v>40</v>
      </c>
      <c r="L27" s="46">
        <v>1457.3999999999999</v>
      </c>
    </row>
    <row r="28" spans="1:12" s="44" customFormat="1" ht="39" customHeight="1" outlineLevel="2">
      <c r="A28" s="48">
        <v>25</v>
      </c>
      <c r="B28" s="48" t="s">
        <v>88</v>
      </c>
      <c r="C28" s="48" t="s">
        <v>51</v>
      </c>
      <c r="D28" s="48" t="s">
        <v>315</v>
      </c>
      <c r="E28" s="48" t="s">
        <v>316</v>
      </c>
      <c r="F28" s="49">
        <v>2807</v>
      </c>
      <c r="G28" s="49">
        <f t="shared" si="2"/>
        <v>1684.2</v>
      </c>
      <c r="H28" s="49">
        <f>'01_BOM_DUZELTILDI'!$G27*'01_BOM_DUZELTILDI'!$I27</f>
        <v>1684.2</v>
      </c>
      <c r="I28" s="50">
        <v>1</v>
      </c>
      <c r="J28" s="48" t="s">
        <v>31</v>
      </c>
      <c r="K28" s="48" t="s">
        <v>40</v>
      </c>
      <c r="L28" s="49">
        <v>1684.2</v>
      </c>
    </row>
    <row r="29" spans="1:12" s="44" customFormat="1" ht="39" customHeight="1" outlineLevel="2">
      <c r="A29" s="48">
        <v>25</v>
      </c>
      <c r="B29" s="48" t="s">
        <v>88</v>
      </c>
      <c r="C29" s="48" t="s">
        <v>51</v>
      </c>
      <c r="D29" s="48" t="s">
        <v>376</v>
      </c>
      <c r="E29" s="48" t="s">
        <v>377</v>
      </c>
      <c r="F29" s="49">
        <v>1589</v>
      </c>
      <c r="G29" s="49">
        <f t="shared" si="2"/>
        <v>953.4</v>
      </c>
      <c r="H29" s="49">
        <f>'01_BOM_DUZELTILDI'!$G28*'01_BOM_DUZELTILDI'!$I28</f>
        <v>953.4</v>
      </c>
      <c r="I29" s="50">
        <v>1</v>
      </c>
      <c r="J29" s="48" t="s">
        <v>31</v>
      </c>
      <c r="K29" s="48" t="s">
        <v>40</v>
      </c>
      <c r="L29" s="49">
        <v>953.4</v>
      </c>
    </row>
    <row r="30" spans="1:12" s="44" customFormat="1" ht="39" customHeight="1" outlineLevel="2">
      <c r="A30" s="48">
        <v>23</v>
      </c>
      <c r="B30" s="48" t="s">
        <v>88</v>
      </c>
      <c r="C30" s="48" t="s">
        <v>51</v>
      </c>
      <c r="D30" s="48" t="s">
        <v>305</v>
      </c>
      <c r="E30" s="48" t="s">
        <v>306</v>
      </c>
      <c r="F30" s="49">
        <v>2337</v>
      </c>
      <c r="G30" s="49">
        <f t="shared" si="2"/>
        <v>1402.2</v>
      </c>
      <c r="H30" s="49">
        <f>'01_BOM_DUZELTILDI'!$G29*'01_BOM_DUZELTILDI'!$I29</f>
        <v>4206.6000000000004</v>
      </c>
      <c r="I30" s="50">
        <v>3</v>
      </c>
      <c r="J30" s="48" t="s">
        <v>31</v>
      </c>
      <c r="K30" s="48" t="s">
        <v>40</v>
      </c>
      <c r="L30" s="49">
        <v>4206.6000000000004</v>
      </c>
    </row>
    <row r="31" spans="1:12" s="44" customFormat="1" ht="39" customHeight="1" outlineLevel="2">
      <c r="A31" s="45">
        <v>24</v>
      </c>
      <c r="B31" s="45" t="s">
        <v>88</v>
      </c>
      <c r="C31" s="45" t="s">
        <v>51</v>
      </c>
      <c r="D31" s="48" t="s">
        <v>301</v>
      </c>
      <c r="E31" s="48" t="s">
        <v>302</v>
      </c>
      <c r="F31" s="49">
        <v>783</v>
      </c>
      <c r="G31" s="49">
        <f t="shared" si="2"/>
        <v>469.79999999999995</v>
      </c>
      <c r="H31" s="46">
        <f>'01_BOM_DUZELTILDI'!$G30*'01_BOM_DUZELTILDI'!$I30</f>
        <v>939.59999999999991</v>
      </c>
      <c r="I31" s="47">
        <v>2</v>
      </c>
      <c r="J31" s="45" t="s">
        <v>31</v>
      </c>
      <c r="K31" s="45" t="s">
        <v>40</v>
      </c>
      <c r="L31" s="46">
        <v>939.59999999999991</v>
      </c>
    </row>
    <row r="32" spans="1:12" s="44" customFormat="1" ht="39" customHeight="1" outlineLevel="2">
      <c r="A32" s="48">
        <v>25</v>
      </c>
      <c r="B32" s="48" t="s">
        <v>88</v>
      </c>
      <c r="C32" s="48" t="s">
        <v>51</v>
      </c>
      <c r="D32" s="45" t="s">
        <v>299</v>
      </c>
      <c r="E32" s="45" t="s">
        <v>300</v>
      </c>
      <c r="F32" s="46">
        <v>897</v>
      </c>
      <c r="G32" s="49">
        <f t="shared" si="2"/>
        <v>538.19999999999993</v>
      </c>
      <c r="H32" s="49">
        <f>'01_BOM_DUZELTILDI'!$G31*'01_BOM_DUZELTILDI'!$I31</f>
        <v>538.19999999999993</v>
      </c>
      <c r="I32" s="50">
        <v>1</v>
      </c>
      <c r="J32" s="48" t="s">
        <v>31</v>
      </c>
      <c r="K32" s="48" t="s">
        <v>40</v>
      </c>
      <c r="L32" s="49">
        <v>538.19999999999993</v>
      </c>
    </row>
    <row r="33" spans="1:12" s="44" customFormat="1" ht="39" customHeight="1" outlineLevel="2">
      <c r="A33" s="45">
        <v>28</v>
      </c>
      <c r="B33" s="45" t="s">
        <v>88</v>
      </c>
      <c r="C33" s="45" t="s">
        <v>80</v>
      </c>
      <c r="D33" s="45" t="s">
        <v>119</v>
      </c>
      <c r="E33" s="45" t="s">
        <v>120</v>
      </c>
      <c r="F33" s="46">
        <v>2200</v>
      </c>
      <c r="G33" s="46">
        <f>'01_BOM_DUZELTILDI'!$F32</f>
        <v>2200</v>
      </c>
      <c r="H33" s="46">
        <f>'01_BOM_DUZELTILDI'!$G32*'01_BOM_DUZELTILDI'!$I32</f>
        <v>6600</v>
      </c>
      <c r="I33" s="47">
        <v>3</v>
      </c>
      <c r="J33" s="45" t="s">
        <v>74</v>
      </c>
      <c r="K33" s="45" t="s">
        <v>75</v>
      </c>
      <c r="L33" s="46">
        <v>6600</v>
      </c>
    </row>
    <row r="34" spans="1:12" s="44" customFormat="1" ht="39" customHeight="1" outlineLevel="2">
      <c r="A34" s="48">
        <v>29</v>
      </c>
      <c r="B34" s="48" t="s">
        <v>88</v>
      </c>
      <c r="C34" s="48" t="s">
        <v>83</v>
      </c>
      <c r="D34" s="48"/>
      <c r="E34" s="48" t="s">
        <v>121</v>
      </c>
      <c r="F34" s="49">
        <f ca="1">OFFSET('01_BOM_DUZELTILDI'!$F33,1,2)</f>
        <v>78000</v>
      </c>
      <c r="G34" s="49">
        <f ca="1">'01_BOM_DUZELTILDI'!$F33</f>
        <v>78000</v>
      </c>
      <c r="H34" s="49">
        <f ca="1">'01_BOM_DUZELTILDI'!$G33*'01_BOM_DUZELTILDI'!$I33</f>
        <v>78000</v>
      </c>
      <c r="I34" s="50">
        <v>1</v>
      </c>
      <c r="J34" s="48" t="s">
        <v>31</v>
      </c>
      <c r="K34" s="45" t="s">
        <v>369</v>
      </c>
      <c r="L34" s="49">
        <v>78000</v>
      </c>
    </row>
    <row r="35" spans="1:12" s="44" customFormat="1" ht="39" customHeight="1" outlineLevel="2">
      <c r="A35" s="45">
        <v>30</v>
      </c>
      <c r="B35" s="45" t="s">
        <v>88</v>
      </c>
      <c r="C35" s="45" t="s">
        <v>85</v>
      </c>
      <c r="D35" s="45"/>
      <c r="E35" s="45" t="s">
        <v>157</v>
      </c>
      <c r="F35" s="46">
        <v>13</v>
      </c>
      <c r="G35" s="46">
        <v>100</v>
      </c>
      <c r="H35" s="46">
        <f>'01_BOM_DUZELTILDI'!$G34*'01_BOM_DUZELTILDI'!$I34</f>
        <v>78000</v>
      </c>
      <c r="I35" s="47">
        <f>60*'01_BOM_DUZELTILDI'!$F34</f>
        <v>780</v>
      </c>
      <c r="J35" s="45" t="s">
        <v>123</v>
      </c>
      <c r="K35" s="45" t="s">
        <v>87</v>
      </c>
      <c r="L35" s="46">
        <v>78000</v>
      </c>
    </row>
    <row r="36" spans="1:12" s="44" customFormat="1" ht="39" customHeight="1" outlineLevel="1">
      <c r="A36" s="45"/>
      <c r="B36" s="53" t="s">
        <v>443</v>
      </c>
      <c r="C36" s="45"/>
      <c r="D36" s="45"/>
      <c r="E36" s="45"/>
      <c r="F36" s="46"/>
      <c r="G36" s="46"/>
      <c r="H36" s="46">
        <f ca="1">SUBTOTAL(9,H19:H35)</f>
        <v>740302.2</v>
      </c>
      <c r="I36" s="47"/>
      <c r="J36" s="45"/>
      <c r="K36" s="45"/>
      <c r="L36" s="46">
        <v>740302.2</v>
      </c>
    </row>
    <row r="37" spans="1:12" ht="39" customHeight="1" outlineLevel="2">
      <c r="A37" s="38">
        <v>31</v>
      </c>
      <c r="B37" s="38" t="s">
        <v>124</v>
      </c>
      <c r="C37" s="38" t="s">
        <v>19</v>
      </c>
      <c r="D37" s="38"/>
      <c r="E37" s="39" t="s">
        <v>124</v>
      </c>
      <c r="F37" s="40"/>
      <c r="G37" s="40"/>
      <c r="H37" s="40"/>
      <c r="I37" s="39"/>
      <c r="J37" s="38" t="s">
        <v>23</v>
      </c>
      <c r="K37" s="38" t="s">
        <v>441</v>
      </c>
      <c r="L37" s="40"/>
    </row>
    <row r="38" spans="1:12" s="44" customFormat="1" ht="39" customHeight="1" outlineLevel="2">
      <c r="A38" s="41">
        <v>32</v>
      </c>
      <c r="B38" s="41" t="s">
        <v>124</v>
      </c>
      <c r="C38" s="41" t="s">
        <v>27</v>
      </c>
      <c r="D38" s="41" t="s">
        <v>370</v>
      </c>
      <c r="E38" s="41" t="s">
        <v>371</v>
      </c>
      <c r="F38" s="42">
        <v>13500</v>
      </c>
      <c r="G38" s="42">
        <f>0.6*F38</f>
        <v>8100</v>
      </c>
      <c r="H38" s="42">
        <f>'01_BOM_DUZELTILDI'!$G36*'01_BOM_DUZELTILDI'!$I36</f>
        <v>8100</v>
      </c>
      <c r="I38" s="43">
        <v>1</v>
      </c>
      <c r="J38" s="41" t="s">
        <v>31</v>
      </c>
      <c r="K38" s="41" t="s">
        <v>350</v>
      </c>
      <c r="L38" s="42">
        <v>8100</v>
      </c>
    </row>
    <row r="39" spans="1:12" s="44" customFormat="1" ht="39" customHeight="1" outlineLevel="2">
      <c r="A39" s="48">
        <v>33</v>
      </c>
      <c r="B39" s="48" t="s">
        <v>124</v>
      </c>
      <c r="C39" s="48" t="s">
        <v>51</v>
      </c>
      <c r="D39" s="48" t="s">
        <v>315</v>
      </c>
      <c r="E39" s="48" t="s">
        <v>316</v>
      </c>
      <c r="F39" s="49">
        <v>2807</v>
      </c>
      <c r="G39" s="49">
        <f t="shared" ref="G39:G41" si="3">0.6*F39</f>
        <v>1684.2</v>
      </c>
      <c r="H39" s="49">
        <f>'01_BOM_DUZELTILDI'!$G37*'01_BOM_DUZELTILDI'!$I37</f>
        <v>1684.2</v>
      </c>
      <c r="I39" s="50">
        <v>1</v>
      </c>
      <c r="J39" s="48" t="s">
        <v>31</v>
      </c>
      <c r="K39" s="48" t="s">
        <v>40</v>
      </c>
      <c r="L39" s="49">
        <v>1684.2</v>
      </c>
    </row>
    <row r="40" spans="1:12" s="44" customFormat="1" ht="39" customHeight="1" outlineLevel="2">
      <c r="A40" s="45">
        <v>36</v>
      </c>
      <c r="B40" s="45" t="s">
        <v>124</v>
      </c>
      <c r="C40" s="45" t="s">
        <v>56</v>
      </c>
      <c r="D40" s="45" t="s">
        <v>330</v>
      </c>
      <c r="E40" s="45" t="s">
        <v>331</v>
      </c>
      <c r="F40" s="46">
        <v>5104</v>
      </c>
      <c r="G40" s="49">
        <f t="shared" si="3"/>
        <v>3062.4</v>
      </c>
      <c r="H40" s="46">
        <f>'01_BOM_DUZELTILDI'!$G38*'01_BOM_DUZELTILDI'!$I38</f>
        <v>18374.400000000001</v>
      </c>
      <c r="I40" s="47">
        <v>6</v>
      </c>
      <c r="J40" s="45" t="s">
        <v>31</v>
      </c>
      <c r="K40" s="45" t="s">
        <v>40</v>
      </c>
      <c r="L40" s="46">
        <v>18374.400000000001</v>
      </c>
    </row>
    <row r="41" spans="1:12" s="44" customFormat="1" ht="39" customHeight="1" outlineLevel="2">
      <c r="A41" s="48">
        <v>37</v>
      </c>
      <c r="B41" s="48" t="s">
        <v>124</v>
      </c>
      <c r="C41" s="48" t="s">
        <v>135</v>
      </c>
      <c r="D41" s="48" t="s">
        <v>356</v>
      </c>
      <c r="E41" s="48" t="s">
        <v>357</v>
      </c>
      <c r="F41" s="49">
        <v>6145</v>
      </c>
      <c r="G41" s="49">
        <f t="shared" si="3"/>
        <v>3687</v>
      </c>
      <c r="H41" s="49">
        <f>'01_BOM_DUZELTILDI'!$G39*'01_BOM_DUZELTILDI'!$I39</f>
        <v>14748</v>
      </c>
      <c r="I41" s="50">
        <v>4</v>
      </c>
      <c r="J41" s="48" t="s">
        <v>31</v>
      </c>
      <c r="K41" s="48" t="s">
        <v>40</v>
      </c>
      <c r="L41" s="49">
        <v>14748</v>
      </c>
    </row>
    <row r="42" spans="1:12" s="44" customFormat="1" ht="39" customHeight="1" outlineLevel="2">
      <c r="A42" s="45">
        <v>38</v>
      </c>
      <c r="B42" s="45" t="s">
        <v>124</v>
      </c>
      <c r="C42" s="45" t="s">
        <v>139</v>
      </c>
      <c r="D42" s="45" t="s">
        <v>358</v>
      </c>
      <c r="E42" s="45" t="s">
        <v>359</v>
      </c>
      <c r="F42" s="46">
        <v>37000</v>
      </c>
      <c r="G42" s="46">
        <f>'01_BOM_DUZELTILDI'!$F40</f>
        <v>37000</v>
      </c>
      <c r="H42" s="46">
        <f>'01_BOM_DUZELTILDI'!$G40*'01_BOM_DUZELTILDI'!$I40</f>
        <v>37000</v>
      </c>
      <c r="I42" s="47">
        <v>1</v>
      </c>
      <c r="J42" s="45" t="s">
        <v>31</v>
      </c>
      <c r="K42" s="45" t="s">
        <v>142</v>
      </c>
      <c r="L42" s="46">
        <v>37000</v>
      </c>
    </row>
    <row r="43" spans="1:12" s="44" customFormat="1" ht="39" customHeight="1" outlineLevel="2">
      <c r="A43" s="45">
        <v>41</v>
      </c>
      <c r="B43" s="45" t="s">
        <v>124</v>
      </c>
      <c r="C43" s="45" t="s">
        <v>83</v>
      </c>
      <c r="D43" s="45"/>
      <c r="E43" s="45" t="s">
        <v>121</v>
      </c>
      <c r="F43" s="46">
        <f ca="1">OFFSET('01_BOM_DUZELTILDI'!$F41,1,2)</f>
        <v>15000</v>
      </c>
      <c r="G43" s="46">
        <f ca="1">'01_BOM_DUZELTILDI'!$F41</f>
        <v>15000</v>
      </c>
      <c r="H43" s="46">
        <f ca="1">'01_BOM_DUZELTILDI'!$G41*'01_BOM_DUZELTILDI'!$I41</f>
        <v>15000</v>
      </c>
      <c r="I43" s="47">
        <v>1</v>
      </c>
      <c r="J43" s="45" t="s">
        <v>31</v>
      </c>
      <c r="K43" s="45" t="s">
        <v>369</v>
      </c>
      <c r="L43" s="46">
        <v>15000</v>
      </c>
    </row>
    <row r="44" spans="1:12" s="44" customFormat="1" ht="39" customHeight="1" outlineLevel="2">
      <c r="A44" s="48">
        <v>42</v>
      </c>
      <c r="B44" s="48" t="s">
        <v>124</v>
      </c>
      <c r="C44" s="48" t="s">
        <v>85</v>
      </c>
      <c r="D44" s="48"/>
      <c r="E44" s="48" t="s">
        <v>157</v>
      </c>
      <c r="F44" s="49">
        <v>2.5</v>
      </c>
      <c r="G44" s="49">
        <v>100</v>
      </c>
      <c r="H44" s="49">
        <f>'01_BOM_DUZELTILDI'!$G42*'01_BOM_DUZELTILDI'!$I42</f>
        <v>15000</v>
      </c>
      <c r="I44" s="50">
        <f>60*'01_BOM_DUZELTILDI'!$F42</f>
        <v>150</v>
      </c>
      <c r="J44" s="48" t="s">
        <v>123</v>
      </c>
      <c r="K44" s="48" t="s">
        <v>87</v>
      </c>
      <c r="L44" s="49">
        <v>15000</v>
      </c>
    </row>
    <row r="45" spans="1:12" s="44" customFormat="1" ht="39" customHeight="1" outlineLevel="1">
      <c r="A45" s="48"/>
      <c r="B45" s="52" t="s">
        <v>444</v>
      </c>
      <c r="C45" s="48"/>
      <c r="D45" s="48"/>
      <c r="E45" s="48"/>
      <c r="F45" s="49"/>
      <c r="G45" s="49"/>
      <c r="H45" s="49">
        <f ca="1">SUBTOTAL(9,H37:H44)</f>
        <v>109906.6</v>
      </c>
      <c r="I45" s="50"/>
      <c r="J45" s="48"/>
      <c r="K45" s="48"/>
      <c r="L45" s="49">
        <v>109906.6</v>
      </c>
    </row>
    <row r="46" spans="1:12" ht="39" customHeight="1" outlineLevel="2">
      <c r="A46" s="38">
        <v>43</v>
      </c>
      <c r="B46" s="38" t="s">
        <v>149</v>
      </c>
      <c r="C46" s="38" t="s">
        <v>19</v>
      </c>
      <c r="D46" s="38"/>
      <c r="E46" s="39" t="s">
        <v>362</v>
      </c>
      <c r="F46" s="40"/>
      <c r="G46" s="40"/>
      <c r="H46" s="40"/>
      <c r="I46" s="39"/>
      <c r="J46" s="38" t="s">
        <v>23</v>
      </c>
      <c r="K46" s="38" t="s">
        <v>441</v>
      </c>
      <c r="L46" s="40"/>
    </row>
    <row r="47" spans="1:12" s="44" customFormat="1" ht="39" customHeight="1" outlineLevel="2">
      <c r="A47" s="41">
        <v>44</v>
      </c>
      <c r="B47" s="41" t="s">
        <v>149</v>
      </c>
      <c r="C47" s="41" t="s">
        <v>27</v>
      </c>
      <c r="D47" s="41" t="s">
        <v>372</v>
      </c>
      <c r="E47" s="41" t="s">
        <v>373</v>
      </c>
      <c r="F47" s="42">
        <v>18270</v>
      </c>
      <c r="G47" s="42">
        <f>0.6*F47</f>
        <v>10962</v>
      </c>
      <c r="H47" s="42">
        <f>'01_BOM_DUZELTILDI'!$G44*'01_BOM_DUZELTILDI'!$I44</f>
        <v>10962</v>
      </c>
      <c r="I47" s="43">
        <v>1</v>
      </c>
      <c r="J47" s="41" t="s">
        <v>31</v>
      </c>
      <c r="K47" s="41" t="s">
        <v>350</v>
      </c>
      <c r="L47" s="42">
        <v>10962</v>
      </c>
    </row>
    <row r="48" spans="1:12" s="44" customFormat="1" ht="39" customHeight="1" outlineLevel="2">
      <c r="A48" s="45">
        <v>20</v>
      </c>
      <c r="B48" s="41" t="s">
        <v>149</v>
      </c>
      <c r="C48" s="45" t="s">
        <v>319</v>
      </c>
      <c r="D48" s="45" t="s">
        <v>326</v>
      </c>
      <c r="E48" s="45" t="s">
        <v>327</v>
      </c>
      <c r="F48" s="46">
        <v>105000</v>
      </c>
      <c r="G48" s="46">
        <f>'01_BOM_DUZELTILDI'!$F45</f>
        <v>105000</v>
      </c>
      <c r="H48" s="46">
        <f>'01_BOM_DUZELTILDI'!$G45*'01_BOM_DUZELTILDI'!$I45</f>
        <v>105000</v>
      </c>
      <c r="I48" s="47">
        <v>1</v>
      </c>
      <c r="J48" s="45" t="s">
        <v>31</v>
      </c>
      <c r="K48" s="45" t="s">
        <v>65</v>
      </c>
      <c r="L48" s="46">
        <v>105000</v>
      </c>
    </row>
    <row r="49" spans="1:12" s="44" customFormat="1" ht="39" customHeight="1" outlineLevel="2">
      <c r="A49" s="45">
        <v>45</v>
      </c>
      <c r="B49" s="45" t="s">
        <v>149</v>
      </c>
      <c r="C49" s="45" t="s">
        <v>51</v>
      </c>
      <c r="D49" s="45" t="s">
        <v>315</v>
      </c>
      <c r="E49" s="45" t="s">
        <v>316</v>
      </c>
      <c r="F49" s="46">
        <v>2807</v>
      </c>
      <c r="G49" s="49">
        <f t="shared" ref="G49:G51" si="4">0.6*F49</f>
        <v>1684.2</v>
      </c>
      <c r="H49" s="46">
        <f>'01_BOM_DUZELTILDI'!$G46*'01_BOM_DUZELTILDI'!$I46</f>
        <v>1684.2</v>
      </c>
      <c r="I49" s="47">
        <v>1</v>
      </c>
      <c r="J49" s="45" t="s">
        <v>31</v>
      </c>
      <c r="K49" s="45" t="s">
        <v>40</v>
      </c>
      <c r="L49" s="46">
        <v>1684.2</v>
      </c>
    </row>
    <row r="50" spans="1:12" s="44" customFormat="1" ht="39" customHeight="1" outlineLevel="2">
      <c r="A50" s="48">
        <v>46</v>
      </c>
      <c r="B50" s="48" t="s">
        <v>149</v>
      </c>
      <c r="C50" s="48" t="s">
        <v>51</v>
      </c>
      <c r="D50" s="48" t="s">
        <v>305</v>
      </c>
      <c r="E50" s="48" t="s">
        <v>306</v>
      </c>
      <c r="F50" s="49">
        <v>2337</v>
      </c>
      <c r="G50" s="49">
        <f t="shared" si="4"/>
        <v>1402.2</v>
      </c>
      <c r="H50" s="49">
        <f>'01_BOM_DUZELTILDI'!$G47*'01_BOM_DUZELTILDI'!$I47</f>
        <v>1402.2</v>
      </c>
      <c r="I50" s="50">
        <v>1</v>
      </c>
      <c r="J50" s="48" t="s">
        <v>31</v>
      </c>
      <c r="K50" s="48" t="s">
        <v>40</v>
      </c>
      <c r="L50" s="49">
        <v>1402.2</v>
      </c>
    </row>
    <row r="51" spans="1:12" s="44" customFormat="1" ht="39" customHeight="1" outlineLevel="2">
      <c r="A51" s="48">
        <v>48</v>
      </c>
      <c r="B51" s="48" t="s">
        <v>149</v>
      </c>
      <c r="C51" s="48" t="s">
        <v>51</v>
      </c>
      <c r="D51" s="48" t="s">
        <v>301</v>
      </c>
      <c r="E51" s="48" t="s">
        <v>302</v>
      </c>
      <c r="F51" s="49">
        <v>783</v>
      </c>
      <c r="G51" s="49">
        <f t="shared" si="4"/>
        <v>469.79999999999995</v>
      </c>
      <c r="H51" s="49">
        <f>'01_BOM_DUZELTILDI'!$G48*'01_BOM_DUZELTILDI'!$I48</f>
        <v>4228.2</v>
      </c>
      <c r="I51" s="50">
        <v>9</v>
      </c>
      <c r="J51" s="48" t="s">
        <v>31</v>
      </c>
      <c r="K51" s="48" t="s">
        <v>40</v>
      </c>
      <c r="L51" s="49">
        <v>4228.2</v>
      </c>
    </row>
    <row r="52" spans="1:12" s="44" customFormat="1" ht="39" customHeight="1" outlineLevel="2">
      <c r="A52" s="48">
        <v>51</v>
      </c>
      <c r="B52" s="48" t="s">
        <v>149</v>
      </c>
      <c r="C52" s="48" t="s">
        <v>83</v>
      </c>
      <c r="D52" s="48"/>
      <c r="E52" s="48" t="s">
        <v>121</v>
      </c>
      <c r="F52" s="49">
        <f ca="1">OFFSET('01_BOM_DUZELTILDI'!$F49,1,2)</f>
        <v>10200</v>
      </c>
      <c r="G52" s="49">
        <f ca="1">'01_BOM_DUZELTILDI'!$F49</f>
        <v>10200</v>
      </c>
      <c r="H52" s="49">
        <f ca="1">'01_BOM_DUZELTILDI'!$G49*'01_BOM_DUZELTILDI'!$I49</f>
        <v>10200</v>
      </c>
      <c r="I52" s="50">
        <v>1</v>
      </c>
      <c r="J52" s="48" t="s">
        <v>31</v>
      </c>
      <c r="K52" s="45" t="s">
        <v>369</v>
      </c>
      <c r="L52" s="49">
        <v>10200</v>
      </c>
    </row>
    <row r="53" spans="1:12" s="44" customFormat="1" ht="39" customHeight="1" outlineLevel="2">
      <c r="A53" s="45">
        <v>52</v>
      </c>
      <c r="B53" s="45" t="s">
        <v>149</v>
      </c>
      <c r="C53" s="45" t="s">
        <v>85</v>
      </c>
      <c r="D53" s="45"/>
      <c r="E53" s="45" t="s">
        <v>157</v>
      </c>
      <c r="F53" s="46">
        <v>1.7</v>
      </c>
      <c r="G53" s="46">
        <v>100</v>
      </c>
      <c r="H53" s="46">
        <f>'01_BOM_DUZELTILDI'!$G50*'01_BOM_DUZELTILDI'!$I50</f>
        <v>10200</v>
      </c>
      <c r="I53" s="47">
        <f>60*'01_BOM_DUZELTILDI'!$F50</f>
        <v>102</v>
      </c>
      <c r="J53" s="45" t="s">
        <v>123</v>
      </c>
      <c r="K53" s="45" t="s">
        <v>87</v>
      </c>
      <c r="L53" s="46">
        <v>10200</v>
      </c>
    </row>
    <row r="54" spans="1:12" s="44" customFormat="1" ht="39" customHeight="1" outlineLevel="1">
      <c r="A54" s="45"/>
      <c r="B54" s="53" t="s">
        <v>445</v>
      </c>
      <c r="C54" s="45"/>
      <c r="D54" s="45"/>
      <c r="E54" s="45"/>
      <c r="F54" s="46"/>
      <c r="G54" s="46"/>
      <c r="H54" s="46">
        <f ca="1">SUBTOTAL(9,H46:H53)</f>
        <v>143676.59999999998</v>
      </c>
      <c r="I54" s="47"/>
      <c r="J54" s="45"/>
      <c r="K54" s="45"/>
      <c r="L54" s="46">
        <v>143676.59999999998</v>
      </c>
    </row>
    <row r="55" spans="1:12" ht="39" customHeight="1" outlineLevel="2">
      <c r="A55" s="38">
        <v>53</v>
      </c>
      <c r="B55" s="38" t="s">
        <v>158</v>
      </c>
      <c r="C55" s="38" t="s">
        <v>19</v>
      </c>
      <c r="D55" s="38"/>
      <c r="E55" s="39" t="s">
        <v>158</v>
      </c>
      <c r="F55" s="40"/>
      <c r="G55" s="40"/>
      <c r="H55" s="40"/>
      <c r="I55" s="39"/>
      <c r="J55" s="38" t="s">
        <v>23</v>
      </c>
      <c r="K55" s="38" t="s">
        <v>441</v>
      </c>
      <c r="L55" s="40"/>
    </row>
    <row r="56" spans="1:12" s="44" customFormat="1" ht="39" customHeight="1" outlineLevel="2">
      <c r="A56" s="41">
        <v>54</v>
      </c>
      <c r="B56" s="41" t="s">
        <v>158</v>
      </c>
      <c r="C56" s="41" t="s">
        <v>27</v>
      </c>
      <c r="D56" s="41" t="s">
        <v>370</v>
      </c>
      <c r="E56" s="41" t="s">
        <v>371</v>
      </c>
      <c r="F56" s="42">
        <v>13500</v>
      </c>
      <c r="G56" s="42">
        <f>0.6*F56</f>
        <v>8100</v>
      </c>
      <c r="H56" s="42">
        <f>'01_BOM_DUZELTILDI'!$G52*'01_BOM_DUZELTILDI'!$I52</f>
        <v>8100</v>
      </c>
      <c r="I56" s="43">
        <v>1</v>
      </c>
      <c r="J56" s="41" t="s">
        <v>31</v>
      </c>
      <c r="K56" s="41" t="s">
        <v>350</v>
      </c>
      <c r="L56" s="42">
        <v>8100</v>
      </c>
    </row>
    <row r="57" spans="1:12" s="44" customFormat="1" ht="39" customHeight="1" outlineLevel="2">
      <c r="A57" s="48">
        <v>55</v>
      </c>
      <c r="B57" s="48" t="s">
        <v>158</v>
      </c>
      <c r="C57" s="48" t="s">
        <v>51</v>
      </c>
      <c r="D57" s="48" t="s">
        <v>305</v>
      </c>
      <c r="E57" s="48" t="s">
        <v>306</v>
      </c>
      <c r="F57" s="49">
        <v>2337</v>
      </c>
      <c r="G57" s="49">
        <f t="shared" ref="G57:G58" si="5">0.6*F57</f>
        <v>1402.2</v>
      </c>
      <c r="H57" s="49">
        <f>'01_BOM_DUZELTILDI'!$G53*'01_BOM_DUZELTILDI'!$I53</f>
        <v>1402.2</v>
      </c>
      <c r="I57" s="50">
        <v>1</v>
      </c>
      <c r="J57" s="48" t="s">
        <v>31</v>
      </c>
      <c r="K57" s="48" t="s">
        <v>40</v>
      </c>
      <c r="L57" s="49">
        <v>1402.2</v>
      </c>
    </row>
    <row r="58" spans="1:12" s="44" customFormat="1" ht="39" customHeight="1" outlineLevel="2">
      <c r="A58" s="45">
        <v>56</v>
      </c>
      <c r="B58" s="45" t="s">
        <v>158</v>
      </c>
      <c r="C58" s="45" t="s">
        <v>51</v>
      </c>
      <c r="D58" s="45" t="s">
        <v>299</v>
      </c>
      <c r="E58" s="45" t="s">
        <v>300</v>
      </c>
      <c r="F58" s="46">
        <v>897</v>
      </c>
      <c r="G58" s="49">
        <f t="shared" si="5"/>
        <v>538.19999999999993</v>
      </c>
      <c r="H58" s="46">
        <f>'01_BOM_DUZELTILDI'!$G54*'01_BOM_DUZELTILDI'!$I54</f>
        <v>4305.5999999999995</v>
      </c>
      <c r="I58" s="47">
        <v>8</v>
      </c>
      <c r="J58" s="45" t="s">
        <v>31</v>
      </c>
      <c r="K58" s="45" t="s">
        <v>40</v>
      </c>
      <c r="L58" s="46">
        <v>4305.5999999999995</v>
      </c>
    </row>
    <row r="59" spans="1:12" s="44" customFormat="1" ht="39" customHeight="1" outlineLevel="2">
      <c r="A59" s="48">
        <v>57</v>
      </c>
      <c r="B59" s="48" t="s">
        <v>158</v>
      </c>
      <c r="C59" s="48" t="s">
        <v>144</v>
      </c>
      <c r="D59" s="48" t="s">
        <v>145</v>
      </c>
      <c r="E59" s="48" t="s">
        <v>156</v>
      </c>
      <c r="F59" s="49">
        <v>200</v>
      </c>
      <c r="G59" s="49">
        <f>'01_BOM_DUZELTILDI'!$F55</f>
        <v>200</v>
      </c>
      <c r="H59" s="49">
        <f>'01_BOM_DUZELTILDI'!$G55*'01_BOM_DUZELTILDI'!$I55</f>
        <v>4000</v>
      </c>
      <c r="I59" s="50">
        <v>20</v>
      </c>
      <c r="J59" s="48" t="s">
        <v>31</v>
      </c>
      <c r="K59" s="48" t="s">
        <v>147</v>
      </c>
      <c r="L59" s="49">
        <v>4000</v>
      </c>
    </row>
    <row r="60" spans="1:12" s="44" customFormat="1" ht="39" customHeight="1" outlineLevel="2">
      <c r="A60" s="45">
        <v>59</v>
      </c>
      <c r="B60" s="45" t="s">
        <v>158</v>
      </c>
      <c r="C60" s="45" t="s">
        <v>83</v>
      </c>
      <c r="D60" s="45"/>
      <c r="E60" s="45" t="s">
        <v>121</v>
      </c>
      <c r="F60" s="46">
        <f ca="1">OFFSET('01_BOM_DUZELTILDI'!$F56,1,2)</f>
        <v>6000</v>
      </c>
      <c r="G60" s="46">
        <f ca="1">'01_BOM_DUZELTILDI'!$F56</f>
        <v>6000</v>
      </c>
      <c r="H60" s="46">
        <f ca="1">'01_BOM_DUZELTILDI'!$G56*'01_BOM_DUZELTILDI'!$I56</f>
        <v>6000</v>
      </c>
      <c r="I60" s="47">
        <v>1</v>
      </c>
      <c r="J60" s="45" t="s">
        <v>31</v>
      </c>
      <c r="K60" s="45" t="s">
        <v>369</v>
      </c>
      <c r="L60" s="46">
        <v>6000</v>
      </c>
    </row>
    <row r="61" spans="1:12" s="44" customFormat="1" ht="39" customHeight="1" outlineLevel="2">
      <c r="A61" s="48">
        <v>60</v>
      </c>
      <c r="B61" s="48" t="s">
        <v>158</v>
      </c>
      <c r="C61" s="48" t="s">
        <v>85</v>
      </c>
      <c r="D61" s="48"/>
      <c r="E61" s="48" t="s">
        <v>157</v>
      </c>
      <c r="F61" s="49">
        <v>1</v>
      </c>
      <c r="G61" s="49">
        <v>100</v>
      </c>
      <c r="H61" s="49">
        <f>'01_BOM_DUZELTILDI'!$G57*'01_BOM_DUZELTILDI'!$I57</f>
        <v>6000</v>
      </c>
      <c r="I61" s="50">
        <f>60*'01_BOM_DUZELTILDI'!$F57</f>
        <v>60</v>
      </c>
      <c r="J61" s="48" t="s">
        <v>123</v>
      </c>
      <c r="K61" s="48" t="s">
        <v>87</v>
      </c>
      <c r="L61" s="49">
        <v>6000</v>
      </c>
    </row>
    <row r="62" spans="1:12" s="44" customFormat="1" ht="39" customHeight="1" outlineLevel="1">
      <c r="A62" s="48"/>
      <c r="B62" s="52" t="s">
        <v>446</v>
      </c>
      <c r="C62" s="48"/>
      <c r="D62" s="48"/>
      <c r="E62" s="48"/>
      <c r="F62" s="49"/>
      <c r="G62" s="49"/>
      <c r="H62" s="49">
        <f ca="1">SUBTOTAL(9,H55:H61)</f>
        <v>29807.8</v>
      </c>
      <c r="I62" s="50"/>
      <c r="J62" s="48"/>
      <c r="K62" s="48"/>
      <c r="L62" s="49">
        <v>29807.8</v>
      </c>
    </row>
    <row r="63" spans="1:12" ht="39" customHeight="1" outlineLevel="2">
      <c r="A63" s="38">
        <v>61</v>
      </c>
      <c r="B63" s="38" t="s">
        <v>167</v>
      </c>
      <c r="C63" s="38" t="s">
        <v>19</v>
      </c>
      <c r="D63" s="38"/>
      <c r="E63" s="39" t="s">
        <v>167</v>
      </c>
      <c r="F63" s="40"/>
      <c r="G63" s="40"/>
      <c r="H63" s="40"/>
      <c r="I63" s="39"/>
      <c r="J63" s="38" t="s">
        <v>23</v>
      </c>
      <c r="K63" s="38" t="s">
        <v>441</v>
      </c>
      <c r="L63" s="40"/>
    </row>
    <row r="64" spans="1:12" s="44" customFormat="1" ht="39" customHeight="1" outlineLevel="2">
      <c r="A64" s="41">
        <v>62</v>
      </c>
      <c r="B64" s="41" t="s">
        <v>167</v>
      </c>
      <c r="C64" s="41" t="s">
        <v>27</v>
      </c>
      <c r="D64" s="41" t="s">
        <v>370</v>
      </c>
      <c r="E64" s="41" t="s">
        <v>371</v>
      </c>
      <c r="F64" s="42">
        <v>13500</v>
      </c>
      <c r="G64" s="42">
        <f>0.6*F64</f>
        <v>8100</v>
      </c>
      <c r="H64" s="42">
        <f>'01_BOM_DUZELTILDI'!$G59*'01_BOM_DUZELTILDI'!$I59</f>
        <v>8100</v>
      </c>
      <c r="I64" s="43">
        <v>1</v>
      </c>
      <c r="J64" s="41" t="s">
        <v>31</v>
      </c>
      <c r="K64" s="41" t="s">
        <v>350</v>
      </c>
      <c r="L64" s="42">
        <v>8100</v>
      </c>
    </row>
    <row r="65" spans="1:12" s="44" customFormat="1" ht="39" customHeight="1" outlineLevel="2">
      <c r="A65" s="45">
        <v>63</v>
      </c>
      <c r="B65" s="45" t="s">
        <v>167</v>
      </c>
      <c r="C65" s="45" t="s">
        <v>51</v>
      </c>
      <c r="D65" s="45" t="s">
        <v>305</v>
      </c>
      <c r="E65" s="45" t="s">
        <v>306</v>
      </c>
      <c r="F65" s="46">
        <v>2337</v>
      </c>
      <c r="G65" s="49">
        <f t="shared" ref="G65:G67" si="6">0.6*F65</f>
        <v>1402.2</v>
      </c>
      <c r="H65" s="46">
        <f>'01_BOM_DUZELTILDI'!$G60*'01_BOM_DUZELTILDI'!$I60</f>
        <v>1402.2</v>
      </c>
      <c r="I65" s="47">
        <v>1</v>
      </c>
      <c r="J65" s="45" t="s">
        <v>31</v>
      </c>
      <c r="K65" s="45" t="s">
        <v>40</v>
      </c>
      <c r="L65" s="46">
        <v>1402.2</v>
      </c>
    </row>
    <row r="66" spans="1:12" s="44" customFormat="1" ht="39" customHeight="1" outlineLevel="2">
      <c r="A66" s="48">
        <v>64</v>
      </c>
      <c r="B66" s="48" t="s">
        <v>167</v>
      </c>
      <c r="C66" s="48" t="s">
        <v>51</v>
      </c>
      <c r="D66" s="48" t="s">
        <v>299</v>
      </c>
      <c r="E66" s="48" t="s">
        <v>300</v>
      </c>
      <c r="F66" s="49">
        <v>897</v>
      </c>
      <c r="G66" s="49">
        <f t="shared" si="6"/>
        <v>538.19999999999993</v>
      </c>
      <c r="H66" s="49">
        <f>'01_BOM_DUZELTILDI'!$G61*'01_BOM_DUZELTILDI'!$I61</f>
        <v>5381.9999999999991</v>
      </c>
      <c r="I66" s="50">
        <v>10</v>
      </c>
      <c r="J66" s="48" t="s">
        <v>31</v>
      </c>
      <c r="K66" s="48" t="s">
        <v>40</v>
      </c>
      <c r="L66" s="49">
        <v>5381.9999999999991</v>
      </c>
    </row>
    <row r="67" spans="1:12" s="44" customFormat="1" ht="39" customHeight="1" outlineLevel="2">
      <c r="A67" s="45">
        <v>65</v>
      </c>
      <c r="B67" s="45" t="s">
        <v>167</v>
      </c>
      <c r="C67" s="45" t="s">
        <v>135</v>
      </c>
      <c r="D67" s="45" t="s">
        <v>356</v>
      </c>
      <c r="E67" s="45" t="s">
        <v>357</v>
      </c>
      <c r="F67" s="46">
        <v>6145</v>
      </c>
      <c r="G67" s="49">
        <f t="shared" si="6"/>
        <v>3687</v>
      </c>
      <c r="H67" s="46">
        <f>'01_BOM_DUZELTILDI'!$G62*'01_BOM_DUZELTILDI'!$I62</f>
        <v>3687</v>
      </c>
      <c r="I67" s="47">
        <v>1</v>
      </c>
      <c r="J67" s="45" t="s">
        <v>31</v>
      </c>
      <c r="K67" s="45" t="s">
        <v>40</v>
      </c>
      <c r="L67" s="46">
        <v>3687</v>
      </c>
    </row>
    <row r="68" spans="1:12" s="44" customFormat="1" ht="39" customHeight="1" outlineLevel="2">
      <c r="A68" s="45">
        <v>65</v>
      </c>
      <c r="B68" s="45" t="s">
        <v>167</v>
      </c>
      <c r="C68" s="45" t="s">
        <v>363</v>
      </c>
      <c r="D68" s="45" t="s">
        <v>364</v>
      </c>
      <c r="E68" s="45" t="s">
        <v>365</v>
      </c>
      <c r="F68" s="46">
        <v>6500</v>
      </c>
      <c r="G68" s="46">
        <f>'01_BOM_DUZELTILDI'!$F63</f>
        <v>6500</v>
      </c>
      <c r="H68" s="46">
        <f>'01_BOM_DUZELTILDI'!$G63*'01_BOM_DUZELTILDI'!$I63</f>
        <v>6500</v>
      </c>
      <c r="I68" s="47">
        <v>1</v>
      </c>
      <c r="J68" s="45" t="s">
        <v>31</v>
      </c>
      <c r="K68" s="45" t="s">
        <v>366</v>
      </c>
      <c r="L68" s="46">
        <v>6500</v>
      </c>
    </row>
    <row r="69" spans="1:12" s="44" customFormat="1" ht="39" customHeight="1" outlineLevel="2">
      <c r="A69" s="48">
        <v>66</v>
      </c>
      <c r="B69" s="48" t="s">
        <v>167</v>
      </c>
      <c r="C69" s="48" t="s">
        <v>144</v>
      </c>
      <c r="D69" s="48" t="s">
        <v>145</v>
      </c>
      <c r="E69" s="48" t="s">
        <v>156</v>
      </c>
      <c r="F69" s="49">
        <v>200</v>
      </c>
      <c r="G69" s="49">
        <f>'01_BOM_DUZELTILDI'!$F64</f>
        <v>200</v>
      </c>
      <c r="H69" s="49">
        <f>'01_BOM_DUZELTILDI'!$G64*'01_BOM_DUZELTILDI'!$I64</f>
        <v>4000</v>
      </c>
      <c r="I69" s="50">
        <v>20</v>
      </c>
      <c r="J69" s="48" t="s">
        <v>31</v>
      </c>
      <c r="K69" s="48" t="s">
        <v>147</v>
      </c>
      <c r="L69" s="49">
        <v>4000</v>
      </c>
    </row>
    <row r="70" spans="1:12" s="44" customFormat="1" ht="39" customHeight="1" outlineLevel="2">
      <c r="A70" s="45">
        <v>68</v>
      </c>
      <c r="B70" s="45" t="s">
        <v>167</v>
      </c>
      <c r="C70" s="45" t="s">
        <v>83</v>
      </c>
      <c r="D70" s="45"/>
      <c r="E70" s="45" t="s">
        <v>121</v>
      </c>
      <c r="F70" s="46">
        <f ca="1">OFFSET('01_BOM_DUZELTILDI'!$F65,1,2)</f>
        <v>9000</v>
      </c>
      <c r="G70" s="46">
        <f ca="1">'01_BOM_DUZELTILDI'!$F65</f>
        <v>9000</v>
      </c>
      <c r="H70" s="46">
        <f ca="1">'01_BOM_DUZELTILDI'!$G65*'01_BOM_DUZELTILDI'!$I65</f>
        <v>9000</v>
      </c>
      <c r="I70" s="47">
        <v>1</v>
      </c>
      <c r="J70" s="45" t="s">
        <v>31</v>
      </c>
      <c r="K70" s="45" t="s">
        <v>369</v>
      </c>
      <c r="L70" s="46">
        <v>9000</v>
      </c>
    </row>
    <row r="71" spans="1:12" s="44" customFormat="1" ht="39" customHeight="1" outlineLevel="2">
      <c r="A71" s="48">
        <v>69</v>
      </c>
      <c r="B71" s="48" t="s">
        <v>167</v>
      </c>
      <c r="C71" s="48" t="s">
        <v>85</v>
      </c>
      <c r="D71" s="48"/>
      <c r="E71" s="48" t="s">
        <v>157</v>
      </c>
      <c r="F71" s="49">
        <v>1.5</v>
      </c>
      <c r="G71" s="49">
        <v>100</v>
      </c>
      <c r="H71" s="49">
        <f>'01_BOM_DUZELTILDI'!$G66*'01_BOM_DUZELTILDI'!$I66</f>
        <v>9000</v>
      </c>
      <c r="I71" s="50">
        <f>60*'01_BOM_DUZELTILDI'!$F66</f>
        <v>90</v>
      </c>
      <c r="J71" s="48" t="s">
        <v>123</v>
      </c>
      <c r="K71" s="48" t="s">
        <v>87</v>
      </c>
      <c r="L71" s="49">
        <v>9000</v>
      </c>
    </row>
    <row r="72" spans="1:12" s="44" customFormat="1" ht="39" customHeight="1" outlineLevel="1">
      <c r="A72" s="48"/>
      <c r="B72" s="52" t="s">
        <v>447</v>
      </c>
      <c r="C72" s="48"/>
      <c r="D72" s="48"/>
      <c r="E72" s="48"/>
      <c r="F72" s="49"/>
      <c r="G72" s="49"/>
      <c r="H72" s="49">
        <f ca="1">SUBTOTAL(9,H63:H71)</f>
        <v>47071.199999999997</v>
      </c>
      <c r="I72" s="50"/>
      <c r="J72" s="48"/>
      <c r="K72" s="48"/>
      <c r="L72" s="49">
        <v>47071.199999999997</v>
      </c>
    </row>
    <row r="73" spans="1:12" ht="39" customHeight="1" outlineLevel="2">
      <c r="A73" s="38">
        <v>70</v>
      </c>
      <c r="B73" s="38" t="s">
        <v>174</v>
      </c>
      <c r="C73" s="38" t="s">
        <v>19</v>
      </c>
      <c r="D73" s="38"/>
      <c r="E73" s="39" t="s">
        <v>174</v>
      </c>
      <c r="F73" s="40"/>
      <c r="G73" s="40"/>
      <c r="H73" s="40"/>
      <c r="I73" s="39"/>
      <c r="J73" s="38" t="s">
        <v>23</v>
      </c>
      <c r="K73" s="38" t="s">
        <v>441</v>
      </c>
      <c r="L73" s="40"/>
    </row>
    <row r="74" spans="1:12" s="44" customFormat="1" ht="39" customHeight="1" outlineLevel="2">
      <c r="A74" s="41">
        <v>71</v>
      </c>
      <c r="B74" s="41" t="s">
        <v>174</v>
      </c>
      <c r="C74" s="41" t="s">
        <v>27</v>
      </c>
      <c r="D74" s="41" t="s">
        <v>178</v>
      </c>
      <c r="E74" s="41" t="s">
        <v>179</v>
      </c>
      <c r="F74" s="42">
        <v>120000</v>
      </c>
      <c r="G74" s="42">
        <f>0.6*F74</f>
        <v>72000</v>
      </c>
      <c r="H74" s="42">
        <f>'01_BOM_DUZELTILDI'!$G68*'01_BOM_DUZELTILDI'!$I68</f>
        <v>72000</v>
      </c>
      <c r="I74" s="43">
        <v>1</v>
      </c>
      <c r="J74" s="41" t="s">
        <v>31</v>
      </c>
      <c r="K74" s="41" t="s">
        <v>350</v>
      </c>
      <c r="L74" s="42">
        <v>72000</v>
      </c>
    </row>
    <row r="75" spans="1:12" s="44" customFormat="1" ht="39" customHeight="1" outlineLevel="2">
      <c r="A75" s="45">
        <v>72</v>
      </c>
      <c r="B75" s="45" t="s">
        <v>174</v>
      </c>
      <c r="C75" s="45" t="s">
        <v>367</v>
      </c>
      <c r="D75" s="45" t="s">
        <v>383</v>
      </c>
      <c r="E75" s="45" t="s">
        <v>384</v>
      </c>
      <c r="F75" s="46">
        <v>18847</v>
      </c>
      <c r="G75" s="49">
        <f t="shared" ref="G75:G79" si="7">0.6*F75</f>
        <v>11308.199999999999</v>
      </c>
      <c r="H75" s="46">
        <f>'01_BOM_DUZELTILDI'!$G69*'01_BOM_DUZELTILDI'!$I69</f>
        <v>11308.199999999999</v>
      </c>
      <c r="I75" s="47">
        <v>1</v>
      </c>
      <c r="J75" s="45" t="s">
        <v>31</v>
      </c>
      <c r="K75" s="45" t="s">
        <v>40</v>
      </c>
      <c r="L75" s="46">
        <v>11308.199999999999</v>
      </c>
    </row>
    <row r="76" spans="1:12" s="44" customFormat="1" ht="39" customHeight="1" outlineLevel="2">
      <c r="A76" s="45">
        <v>72</v>
      </c>
      <c r="B76" s="45" t="s">
        <v>174</v>
      </c>
      <c r="C76" s="45" t="s">
        <v>368</v>
      </c>
      <c r="D76" s="45" t="s">
        <v>381</v>
      </c>
      <c r="E76" s="45" t="s">
        <v>382</v>
      </c>
      <c r="F76" s="46">
        <v>1738</v>
      </c>
      <c r="G76" s="49">
        <f t="shared" si="7"/>
        <v>1042.8</v>
      </c>
      <c r="H76" s="46">
        <f>'01_BOM_DUZELTILDI'!$G70*'01_BOM_DUZELTILDI'!$I70</f>
        <v>1042.8</v>
      </c>
      <c r="I76" s="47">
        <v>1</v>
      </c>
      <c r="J76" s="45" t="s">
        <v>31</v>
      </c>
      <c r="K76" s="45" t="s">
        <v>40</v>
      </c>
      <c r="L76" s="46">
        <v>1042.8</v>
      </c>
    </row>
    <row r="77" spans="1:12" s="44" customFormat="1" ht="39" customHeight="1" outlineLevel="2">
      <c r="A77" s="45">
        <v>72</v>
      </c>
      <c r="B77" s="45" t="s">
        <v>174</v>
      </c>
      <c r="C77" s="45" t="s">
        <v>51</v>
      </c>
      <c r="D77" s="48" t="s">
        <v>301</v>
      </c>
      <c r="E77" s="48" t="s">
        <v>302</v>
      </c>
      <c r="F77" s="49">
        <v>783</v>
      </c>
      <c r="G77" s="49">
        <f t="shared" si="7"/>
        <v>469.79999999999995</v>
      </c>
      <c r="H77" s="46">
        <f>'01_BOM_DUZELTILDI'!$G71*'01_BOM_DUZELTILDI'!$I71</f>
        <v>469.79999999999995</v>
      </c>
      <c r="I77" s="47">
        <v>1</v>
      </c>
      <c r="J77" s="45" t="s">
        <v>31</v>
      </c>
      <c r="K77" s="45" t="s">
        <v>40</v>
      </c>
      <c r="L77" s="46">
        <v>469.79999999999995</v>
      </c>
    </row>
    <row r="78" spans="1:12" s="44" customFormat="1" ht="39" customHeight="1" outlineLevel="2">
      <c r="A78" s="45">
        <v>72</v>
      </c>
      <c r="B78" s="45" t="s">
        <v>174</v>
      </c>
      <c r="C78" s="45" t="s">
        <v>51</v>
      </c>
      <c r="D78" s="48" t="s">
        <v>374</v>
      </c>
      <c r="E78" s="48" t="s">
        <v>375</v>
      </c>
      <c r="F78" s="49">
        <v>975</v>
      </c>
      <c r="G78" s="49">
        <f t="shared" si="7"/>
        <v>585</v>
      </c>
      <c r="H78" s="46">
        <f>'01_BOM_DUZELTILDI'!$G72*'01_BOM_DUZELTILDI'!$I72</f>
        <v>1755</v>
      </c>
      <c r="I78" s="47">
        <v>3</v>
      </c>
      <c r="J78" s="45" t="s">
        <v>31</v>
      </c>
      <c r="K78" s="45" t="s">
        <v>40</v>
      </c>
      <c r="L78" s="46">
        <v>1755</v>
      </c>
    </row>
    <row r="79" spans="1:12" s="44" customFormat="1" ht="39" customHeight="1" outlineLevel="2">
      <c r="A79" s="45">
        <v>72</v>
      </c>
      <c r="B79" s="45" t="s">
        <v>174</v>
      </c>
      <c r="C79" s="45" t="s">
        <v>51</v>
      </c>
      <c r="D79" s="45" t="s">
        <v>303</v>
      </c>
      <c r="E79" s="45" t="s">
        <v>304</v>
      </c>
      <c r="F79" s="46">
        <v>1030</v>
      </c>
      <c r="G79" s="49">
        <f t="shared" si="7"/>
        <v>618</v>
      </c>
      <c r="H79" s="46">
        <f>'01_BOM_DUZELTILDI'!$G73*'01_BOM_DUZELTILDI'!$I73</f>
        <v>3708</v>
      </c>
      <c r="I79" s="47">
        <v>6</v>
      </c>
      <c r="J79" s="45" t="s">
        <v>31</v>
      </c>
      <c r="K79" s="45" t="s">
        <v>40</v>
      </c>
      <c r="L79" s="46">
        <v>3708</v>
      </c>
    </row>
    <row r="80" spans="1:12" s="44" customFormat="1" ht="39" customHeight="1" outlineLevel="2">
      <c r="A80" s="48">
        <v>73</v>
      </c>
      <c r="B80" s="48" t="s">
        <v>174</v>
      </c>
      <c r="C80" s="48" t="s">
        <v>319</v>
      </c>
      <c r="D80" s="48" t="s">
        <v>328</v>
      </c>
      <c r="E80" s="48" t="s">
        <v>329</v>
      </c>
      <c r="F80" s="49">
        <v>42000</v>
      </c>
      <c r="G80" s="49">
        <f>'01_BOM_DUZELTILDI'!$F74</f>
        <v>42000</v>
      </c>
      <c r="H80" s="49">
        <f>'01_BOM_DUZELTILDI'!$G74*'01_BOM_DUZELTILDI'!$I74</f>
        <v>252000</v>
      </c>
      <c r="I80" s="50">
        <v>6</v>
      </c>
      <c r="J80" s="48" t="s">
        <v>31</v>
      </c>
      <c r="K80" s="48" t="s">
        <v>65</v>
      </c>
      <c r="L80" s="49">
        <v>252000</v>
      </c>
    </row>
    <row r="81" spans="1:12" s="44" customFormat="1" ht="39" customHeight="1" outlineLevel="2">
      <c r="A81" s="45">
        <v>74</v>
      </c>
      <c r="B81" s="45" t="s">
        <v>174</v>
      </c>
      <c r="C81" s="45" t="s">
        <v>56</v>
      </c>
      <c r="D81" s="45" t="s">
        <v>332</v>
      </c>
      <c r="E81" s="45" t="s">
        <v>333</v>
      </c>
      <c r="F81" s="46">
        <v>6215</v>
      </c>
      <c r="G81" s="49">
        <f>0.6*F81</f>
        <v>3729</v>
      </c>
      <c r="H81" s="46">
        <f>'01_BOM_DUZELTILDI'!$G75*'01_BOM_DUZELTILDI'!$I75</f>
        <v>22374</v>
      </c>
      <c r="I81" s="47">
        <v>6</v>
      </c>
      <c r="J81" s="45" t="s">
        <v>31</v>
      </c>
      <c r="K81" s="45" t="s">
        <v>40</v>
      </c>
      <c r="L81" s="46">
        <v>22374</v>
      </c>
    </row>
    <row r="82" spans="1:12" s="44" customFormat="1" ht="39" customHeight="1" outlineLevel="2">
      <c r="A82" s="48">
        <v>77</v>
      </c>
      <c r="B82" s="48" t="s">
        <v>174</v>
      </c>
      <c r="C82" s="48" t="s">
        <v>83</v>
      </c>
      <c r="D82" s="48"/>
      <c r="E82" s="48" t="s">
        <v>121</v>
      </c>
      <c r="F82" s="49">
        <f ca="1">OFFSET('01_BOM_DUZELTILDI'!$F76,1,2)</f>
        <v>21000</v>
      </c>
      <c r="G82" s="49">
        <f ca="1">'01_BOM_DUZELTILDI'!$F76</f>
        <v>21000</v>
      </c>
      <c r="H82" s="49">
        <f ca="1">'01_BOM_DUZELTILDI'!$G76*'01_BOM_DUZELTILDI'!$I76</f>
        <v>21000</v>
      </c>
      <c r="I82" s="50">
        <v>1</v>
      </c>
      <c r="J82" s="48" t="s">
        <v>31</v>
      </c>
      <c r="K82" s="45" t="s">
        <v>369</v>
      </c>
      <c r="L82" s="49">
        <v>21000</v>
      </c>
    </row>
    <row r="83" spans="1:12" s="44" customFormat="1" ht="39" customHeight="1" outlineLevel="2">
      <c r="A83" s="45">
        <v>78</v>
      </c>
      <c r="B83" s="45" t="s">
        <v>174</v>
      </c>
      <c r="C83" s="45" t="s">
        <v>85</v>
      </c>
      <c r="D83" s="45"/>
      <c r="E83" s="45" t="s">
        <v>157</v>
      </c>
      <c r="F83" s="46">
        <v>3.5</v>
      </c>
      <c r="G83" s="46">
        <v>100</v>
      </c>
      <c r="H83" s="46">
        <f>'01_BOM_DUZELTILDI'!$G77*'01_BOM_DUZELTILDI'!$I77</f>
        <v>21000</v>
      </c>
      <c r="I83" s="47">
        <f>60*'01_BOM_DUZELTILDI'!$F77</f>
        <v>210</v>
      </c>
      <c r="J83" s="45" t="s">
        <v>123</v>
      </c>
      <c r="K83" s="45" t="s">
        <v>87</v>
      </c>
      <c r="L83" s="46">
        <v>21000</v>
      </c>
    </row>
    <row r="84" spans="1:12" s="44" customFormat="1" ht="39" customHeight="1" outlineLevel="1">
      <c r="A84" s="45"/>
      <c r="B84" s="53" t="s">
        <v>448</v>
      </c>
      <c r="C84" s="45"/>
      <c r="D84" s="45"/>
      <c r="E84" s="45"/>
      <c r="F84" s="46"/>
      <c r="G84" s="46"/>
      <c r="H84" s="46">
        <f ca="1">SUBTOTAL(9,H73:H83)</f>
        <v>406657.8</v>
      </c>
      <c r="I84" s="47"/>
      <c r="J84" s="45"/>
      <c r="K84" s="45"/>
      <c r="L84" s="46">
        <v>406657.8</v>
      </c>
    </row>
    <row r="85" spans="1:12" ht="39" customHeight="1" outlineLevel="2">
      <c r="A85" s="38">
        <v>79</v>
      </c>
      <c r="B85" s="38" t="s">
        <v>195</v>
      </c>
      <c r="C85" s="38" t="s">
        <v>19</v>
      </c>
      <c r="D85" s="38"/>
      <c r="E85" s="39" t="s">
        <v>195</v>
      </c>
      <c r="F85" s="40"/>
      <c r="G85" s="40"/>
      <c r="H85" s="40"/>
      <c r="I85" s="39"/>
      <c r="J85" s="38" t="s">
        <v>23</v>
      </c>
      <c r="K85" s="38" t="s">
        <v>441</v>
      </c>
      <c r="L85" s="40"/>
    </row>
    <row r="86" spans="1:12" s="44" customFormat="1" ht="39" customHeight="1" outlineLevel="2">
      <c r="A86" s="41">
        <v>80</v>
      </c>
      <c r="B86" s="41" t="s">
        <v>195</v>
      </c>
      <c r="C86" s="41" t="s">
        <v>27</v>
      </c>
      <c r="D86" s="41" t="s">
        <v>196</v>
      </c>
      <c r="E86" s="41" t="s">
        <v>197</v>
      </c>
      <c r="F86" s="42">
        <v>120000</v>
      </c>
      <c r="G86" s="42">
        <f>0.6*F86</f>
        <v>72000</v>
      </c>
      <c r="H86" s="42">
        <f>'01_BOM_DUZELTILDI'!$G79*'01_BOM_DUZELTILDI'!$I79</f>
        <v>72000</v>
      </c>
      <c r="I86" s="43">
        <v>1</v>
      </c>
      <c r="J86" s="41" t="s">
        <v>31</v>
      </c>
      <c r="K86" s="41" t="s">
        <v>350</v>
      </c>
      <c r="L86" s="42">
        <v>72000</v>
      </c>
    </row>
    <row r="87" spans="1:12" s="44" customFormat="1" ht="39" customHeight="1" outlineLevel="2">
      <c r="A87" s="45">
        <v>72</v>
      </c>
      <c r="B87" s="45" t="s">
        <v>174</v>
      </c>
      <c r="C87" s="45" t="s">
        <v>367</v>
      </c>
      <c r="D87" s="45" t="s">
        <v>383</v>
      </c>
      <c r="E87" s="45" t="s">
        <v>384</v>
      </c>
      <c r="F87" s="46">
        <v>18847</v>
      </c>
      <c r="G87" s="49">
        <f t="shared" ref="G87:G91" si="8">0.6*F87</f>
        <v>11308.199999999999</v>
      </c>
      <c r="H87" s="46">
        <f>'01_BOM_DUZELTILDI'!$G80*'01_BOM_DUZELTILDI'!$I80</f>
        <v>11308.199999999999</v>
      </c>
      <c r="I87" s="47">
        <v>1</v>
      </c>
      <c r="J87" s="45" t="s">
        <v>31</v>
      </c>
      <c r="K87" s="45" t="s">
        <v>40</v>
      </c>
      <c r="L87" s="46">
        <v>11308.199999999999</v>
      </c>
    </row>
    <row r="88" spans="1:12" s="44" customFormat="1" ht="39" customHeight="1" outlineLevel="2">
      <c r="A88" s="45">
        <v>72</v>
      </c>
      <c r="B88" s="45" t="s">
        <v>174</v>
      </c>
      <c r="C88" s="45" t="s">
        <v>368</v>
      </c>
      <c r="D88" s="45" t="s">
        <v>381</v>
      </c>
      <c r="E88" s="45" t="s">
        <v>382</v>
      </c>
      <c r="F88" s="46">
        <v>1738</v>
      </c>
      <c r="G88" s="49">
        <f t="shared" si="8"/>
        <v>1042.8</v>
      </c>
      <c r="H88" s="46">
        <f>'01_BOM_DUZELTILDI'!$G81*'01_BOM_DUZELTILDI'!$I81</f>
        <v>1042.8</v>
      </c>
      <c r="I88" s="47">
        <v>1</v>
      </c>
      <c r="J88" s="45" t="s">
        <v>31</v>
      </c>
      <c r="K88" s="45" t="s">
        <v>40</v>
      </c>
      <c r="L88" s="46">
        <v>1042.8</v>
      </c>
    </row>
    <row r="89" spans="1:12" s="44" customFormat="1" ht="39" customHeight="1" outlineLevel="2">
      <c r="A89" s="45">
        <v>72</v>
      </c>
      <c r="B89" s="45" t="s">
        <v>174</v>
      </c>
      <c r="C89" s="45" t="s">
        <v>51</v>
      </c>
      <c r="D89" s="48" t="s">
        <v>301</v>
      </c>
      <c r="E89" s="48" t="s">
        <v>302</v>
      </c>
      <c r="F89" s="49">
        <v>783</v>
      </c>
      <c r="G89" s="49">
        <f t="shared" si="8"/>
        <v>469.79999999999995</v>
      </c>
      <c r="H89" s="46">
        <f>'01_BOM_DUZELTILDI'!$G82*'01_BOM_DUZELTILDI'!$I82</f>
        <v>469.79999999999995</v>
      </c>
      <c r="I89" s="47">
        <v>1</v>
      </c>
      <c r="J89" s="45" t="s">
        <v>31</v>
      </c>
      <c r="K89" s="45" t="s">
        <v>40</v>
      </c>
      <c r="L89" s="46">
        <v>469.79999999999995</v>
      </c>
    </row>
    <row r="90" spans="1:12" s="44" customFormat="1" ht="39" customHeight="1" outlineLevel="2">
      <c r="A90" s="45">
        <v>72</v>
      </c>
      <c r="B90" s="45" t="s">
        <v>174</v>
      </c>
      <c r="C90" s="45" t="s">
        <v>51</v>
      </c>
      <c r="D90" s="48" t="s">
        <v>374</v>
      </c>
      <c r="E90" s="48" t="s">
        <v>375</v>
      </c>
      <c r="F90" s="49">
        <v>975</v>
      </c>
      <c r="G90" s="49">
        <f t="shared" si="8"/>
        <v>585</v>
      </c>
      <c r="H90" s="46">
        <f>'01_BOM_DUZELTILDI'!$G83*'01_BOM_DUZELTILDI'!$I83</f>
        <v>1755</v>
      </c>
      <c r="I90" s="47">
        <v>3</v>
      </c>
      <c r="J90" s="45" t="s">
        <v>31</v>
      </c>
      <c r="K90" s="45" t="s">
        <v>40</v>
      </c>
      <c r="L90" s="46">
        <v>1755</v>
      </c>
    </row>
    <row r="91" spans="1:12" s="44" customFormat="1" ht="39" customHeight="1" outlineLevel="2">
      <c r="A91" s="48">
        <v>81</v>
      </c>
      <c r="B91" s="48" t="s">
        <v>195</v>
      </c>
      <c r="C91" s="48" t="s">
        <v>51</v>
      </c>
      <c r="D91" s="48" t="s">
        <v>303</v>
      </c>
      <c r="E91" s="48" t="s">
        <v>304</v>
      </c>
      <c r="F91" s="49">
        <v>1030</v>
      </c>
      <c r="G91" s="49">
        <f t="shared" si="8"/>
        <v>618</v>
      </c>
      <c r="H91" s="49">
        <f>'01_BOM_DUZELTILDI'!$G84*'01_BOM_DUZELTILDI'!$I84</f>
        <v>4944</v>
      </c>
      <c r="I91" s="50">
        <v>8</v>
      </c>
      <c r="J91" s="48" t="s">
        <v>31</v>
      </c>
      <c r="K91" s="48" t="s">
        <v>40</v>
      </c>
      <c r="L91" s="49">
        <v>4944</v>
      </c>
    </row>
    <row r="92" spans="1:12" s="44" customFormat="1" ht="39" customHeight="1" outlineLevel="2">
      <c r="A92" s="45">
        <v>82</v>
      </c>
      <c r="B92" s="45" t="s">
        <v>195</v>
      </c>
      <c r="C92" s="45" t="s">
        <v>319</v>
      </c>
      <c r="D92" s="45" t="s">
        <v>328</v>
      </c>
      <c r="E92" s="45" t="s">
        <v>329</v>
      </c>
      <c r="F92" s="46">
        <v>42000</v>
      </c>
      <c r="G92" s="46">
        <f>'01_BOM_DUZELTILDI'!$F85</f>
        <v>42000</v>
      </c>
      <c r="H92" s="46">
        <f>'01_BOM_DUZELTILDI'!$G85*'01_BOM_DUZELTILDI'!$I85</f>
        <v>336000</v>
      </c>
      <c r="I92" s="47">
        <v>8</v>
      </c>
      <c r="J92" s="45" t="s">
        <v>31</v>
      </c>
      <c r="K92" s="45" t="s">
        <v>65</v>
      </c>
      <c r="L92" s="46">
        <v>336000</v>
      </c>
    </row>
    <row r="93" spans="1:12" s="44" customFormat="1" ht="39" customHeight="1" outlineLevel="2">
      <c r="A93" s="48">
        <v>83</v>
      </c>
      <c r="B93" s="48" t="s">
        <v>195</v>
      </c>
      <c r="C93" s="48" t="s">
        <v>56</v>
      </c>
      <c r="D93" s="48" t="s">
        <v>332</v>
      </c>
      <c r="E93" s="48" t="s">
        <v>333</v>
      </c>
      <c r="F93" s="49">
        <v>6215</v>
      </c>
      <c r="G93" s="49">
        <f>0.6*F93</f>
        <v>3729</v>
      </c>
      <c r="H93" s="49">
        <f>'01_BOM_DUZELTILDI'!$G86*'01_BOM_DUZELTILDI'!$I86</f>
        <v>29832</v>
      </c>
      <c r="I93" s="50">
        <v>8</v>
      </c>
      <c r="J93" s="48" t="s">
        <v>31</v>
      </c>
      <c r="K93" s="48" t="s">
        <v>40</v>
      </c>
      <c r="L93" s="49">
        <v>29832</v>
      </c>
    </row>
    <row r="94" spans="1:12" s="44" customFormat="1" ht="39" customHeight="1" outlineLevel="2">
      <c r="A94" s="45">
        <v>86</v>
      </c>
      <c r="B94" s="45" t="s">
        <v>195</v>
      </c>
      <c r="C94" s="45" t="s">
        <v>83</v>
      </c>
      <c r="D94" s="45"/>
      <c r="E94" s="45" t="s">
        <v>121</v>
      </c>
      <c r="F94" s="46">
        <f ca="1">OFFSET('01_BOM_DUZELTILDI'!$F87,1,2)</f>
        <v>21000</v>
      </c>
      <c r="G94" s="46">
        <f ca="1">'01_BOM_DUZELTILDI'!$F87</f>
        <v>21000</v>
      </c>
      <c r="H94" s="46">
        <f ca="1">'01_BOM_DUZELTILDI'!$G87*'01_BOM_DUZELTILDI'!$I87</f>
        <v>21000</v>
      </c>
      <c r="I94" s="47">
        <v>1</v>
      </c>
      <c r="J94" s="45" t="s">
        <v>31</v>
      </c>
      <c r="K94" s="45" t="s">
        <v>369</v>
      </c>
      <c r="L94" s="46">
        <v>21000</v>
      </c>
    </row>
    <row r="95" spans="1:12" s="44" customFormat="1" ht="39" customHeight="1" outlineLevel="2">
      <c r="A95" s="48">
        <v>87</v>
      </c>
      <c r="B95" s="48" t="s">
        <v>195</v>
      </c>
      <c r="C95" s="48" t="s">
        <v>85</v>
      </c>
      <c r="D95" s="48"/>
      <c r="E95" s="48" t="s">
        <v>157</v>
      </c>
      <c r="F95" s="49">
        <v>3.5</v>
      </c>
      <c r="G95" s="49">
        <v>100</v>
      </c>
      <c r="H95" s="49">
        <f>'01_BOM_DUZELTILDI'!$G88*'01_BOM_DUZELTILDI'!$I88</f>
        <v>21000</v>
      </c>
      <c r="I95" s="50">
        <f>60*'01_BOM_DUZELTILDI'!$F88</f>
        <v>210</v>
      </c>
      <c r="J95" s="48" t="s">
        <v>123</v>
      </c>
      <c r="K95" s="48" t="s">
        <v>87</v>
      </c>
      <c r="L95" s="49">
        <v>21000</v>
      </c>
    </row>
    <row r="96" spans="1:12" s="44" customFormat="1" ht="39" customHeight="1" outlineLevel="1">
      <c r="A96" s="48"/>
      <c r="B96" s="52" t="s">
        <v>449</v>
      </c>
      <c r="C96" s="48"/>
      <c r="D96" s="48"/>
      <c r="E96" s="48"/>
      <c r="F96" s="49"/>
      <c r="G96" s="49"/>
      <c r="H96" s="49">
        <f ca="1">SUM(H86:H95)</f>
        <v>499351.8</v>
      </c>
      <c r="I96" s="50"/>
      <c r="J96" s="48"/>
      <c r="K96" s="48"/>
      <c r="L96" s="49">
        <v>499351.8</v>
      </c>
    </row>
    <row r="97" spans="1:12" ht="39" customHeight="1" outlineLevel="2">
      <c r="A97" s="38">
        <v>88</v>
      </c>
      <c r="B97" s="38" t="s">
        <v>207</v>
      </c>
      <c r="C97" s="38" t="s">
        <v>19</v>
      </c>
      <c r="D97" s="38"/>
      <c r="E97" s="39" t="s">
        <v>207</v>
      </c>
      <c r="F97" s="40"/>
      <c r="G97" s="40"/>
      <c r="H97" s="40"/>
      <c r="I97" s="39"/>
      <c r="J97" s="38" t="s">
        <v>23</v>
      </c>
      <c r="K97" s="38" t="s">
        <v>441</v>
      </c>
      <c r="L97" s="40"/>
    </row>
    <row r="98" spans="1:12" s="44" customFormat="1" ht="39" customHeight="1" outlineLevel="2">
      <c r="A98" s="41">
        <v>89</v>
      </c>
      <c r="B98" s="41" t="s">
        <v>207</v>
      </c>
      <c r="C98" s="41" t="s">
        <v>27</v>
      </c>
      <c r="D98" s="41" t="s">
        <v>297</v>
      </c>
      <c r="E98" s="41" t="s">
        <v>298</v>
      </c>
      <c r="F98" s="42">
        <v>11400</v>
      </c>
      <c r="G98" s="42">
        <f>0.6*F98</f>
        <v>6840</v>
      </c>
      <c r="H98" s="42">
        <f>'01_BOM_DUZELTILDI'!$G90*'01_BOM_DUZELTILDI'!$I90</f>
        <v>6840</v>
      </c>
      <c r="I98" s="43">
        <v>1</v>
      </c>
      <c r="J98" s="41" t="s">
        <v>31</v>
      </c>
      <c r="K98" s="41" t="s">
        <v>350</v>
      </c>
      <c r="L98" s="42">
        <v>6840</v>
      </c>
    </row>
    <row r="99" spans="1:12" s="44" customFormat="1" ht="39" customHeight="1" outlineLevel="2">
      <c r="A99" s="45">
        <v>90</v>
      </c>
      <c r="B99" s="45" t="s">
        <v>207</v>
      </c>
      <c r="C99" s="45" t="s">
        <v>51</v>
      </c>
      <c r="D99" s="45" t="s">
        <v>317</v>
      </c>
      <c r="E99" s="45" t="s">
        <v>318</v>
      </c>
      <c r="F99" s="46">
        <v>1045</v>
      </c>
      <c r="G99" s="49">
        <f t="shared" ref="G99:G102" si="9">0.6*F99</f>
        <v>627</v>
      </c>
      <c r="H99" s="46">
        <f>'01_BOM_DUZELTILDI'!$G91*'01_BOM_DUZELTILDI'!$I91</f>
        <v>627</v>
      </c>
      <c r="I99" s="47">
        <v>1</v>
      </c>
      <c r="J99" s="45" t="s">
        <v>31</v>
      </c>
      <c r="K99" s="45" t="s">
        <v>40</v>
      </c>
      <c r="L99" s="46">
        <v>627</v>
      </c>
    </row>
    <row r="100" spans="1:12" s="44" customFormat="1" ht="39" customHeight="1" outlineLevel="2">
      <c r="A100" s="48">
        <v>91</v>
      </c>
      <c r="B100" s="48" t="s">
        <v>207</v>
      </c>
      <c r="C100" s="48" t="s">
        <v>51</v>
      </c>
      <c r="D100" s="48" t="s">
        <v>299</v>
      </c>
      <c r="E100" s="48" t="s">
        <v>300</v>
      </c>
      <c r="F100" s="49">
        <v>897</v>
      </c>
      <c r="G100" s="49">
        <f t="shared" si="9"/>
        <v>538.19999999999993</v>
      </c>
      <c r="H100" s="49">
        <f>'01_BOM_DUZELTILDI'!$G92*'01_BOM_DUZELTILDI'!$I92</f>
        <v>538.19999999999993</v>
      </c>
      <c r="I100" s="50">
        <v>1</v>
      </c>
      <c r="J100" s="48" t="s">
        <v>31</v>
      </c>
      <c r="K100" s="48" t="s">
        <v>40</v>
      </c>
      <c r="L100" s="49">
        <v>538.19999999999993</v>
      </c>
    </row>
    <row r="101" spans="1:12" s="44" customFormat="1" ht="39" customHeight="1" outlineLevel="2">
      <c r="A101" s="45">
        <v>92</v>
      </c>
      <c r="B101" s="45" t="s">
        <v>207</v>
      </c>
      <c r="C101" s="45" t="s">
        <v>56</v>
      </c>
      <c r="D101" s="45" t="s">
        <v>330</v>
      </c>
      <c r="E101" s="45" t="s">
        <v>331</v>
      </c>
      <c r="F101" s="46">
        <v>5104</v>
      </c>
      <c r="G101" s="49">
        <f t="shared" si="9"/>
        <v>3062.4</v>
      </c>
      <c r="H101" s="46">
        <f>'01_BOM_DUZELTILDI'!$G93*'01_BOM_DUZELTILDI'!$I93</f>
        <v>9187.2000000000007</v>
      </c>
      <c r="I101" s="47">
        <v>3</v>
      </c>
      <c r="J101" s="45" t="s">
        <v>31</v>
      </c>
      <c r="K101" s="45" t="s">
        <v>40</v>
      </c>
      <c r="L101" s="46">
        <v>9187.2000000000007</v>
      </c>
    </row>
    <row r="102" spans="1:12" s="44" customFormat="1" ht="39" customHeight="1" outlineLevel="2">
      <c r="A102" s="48">
        <v>93</v>
      </c>
      <c r="B102" s="48" t="s">
        <v>207</v>
      </c>
      <c r="C102" s="48" t="s">
        <v>56</v>
      </c>
      <c r="D102" s="48" t="s">
        <v>385</v>
      </c>
      <c r="E102" s="48" t="s">
        <v>386</v>
      </c>
      <c r="F102" s="49">
        <v>5556</v>
      </c>
      <c r="G102" s="49">
        <f t="shared" si="9"/>
        <v>3333.6</v>
      </c>
      <c r="H102" s="49">
        <f>'01_BOM_DUZELTILDI'!$G94*'01_BOM_DUZELTILDI'!$I94</f>
        <v>3333.6</v>
      </c>
      <c r="I102" s="50">
        <v>1</v>
      </c>
      <c r="J102" s="48" t="s">
        <v>31</v>
      </c>
      <c r="K102" s="48" t="s">
        <v>40</v>
      </c>
      <c r="L102" s="49">
        <v>3333.6</v>
      </c>
    </row>
    <row r="103" spans="1:12" s="44" customFormat="1" ht="39" customHeight="1" outlineLevel="2">
      <c r="A103" s="45">
        <v>95</v>
      </c>
      <c r="B103" s="45" t="s">
        <v>207</v>
      </c>
      <c r="C103" s="45" t="s">
        <v>83</v>
      </c>
      <c r="D103" s="45"/>
      <c r="E103" s="45" t="s">
        <v>121</v>
      </c>
      <c r="F103" s="46">
        <f ca="1">OFFSET('01_BOM_DUZELTILDI'!$F95,1,2)</f>
        <v>6000</v>
      </c>
      <c r="G103" s="46">
        <f ca="1">'01_BOM_DUZELTILDI'!$F95</f>
        <v>6000</v>
      </c>
      <c r="H103" s="46">
        <f ca="1">'01_BOM_DUZELTILDI'!$G95*'01_BOM_DUZELTILDI'!$I95</f>
        <v>6000</v>
      </c>
      <c r="I103" s="47">
        <v>1</v>
      </c>
      <c r="J103" s="45" t="s">
        <v>31</v>
      </c>
      <c r="K103" s="45" t="s">
        <v>369</v>
      </c>
      <c r="L103" s="46">
        <v>6000</v>
      </c>
    </row>
    <row r="104" spans="1:12" s="44" customFormat="1" ht="39" customHeight="1" outlineLevel="2">
      <c r="A104" s="48">
        <v>96</v>
      </c>
      <c r="B104" s="48" t="s">
        <v>207</v>
      </c>
      <c r="C104" s="48" t="s">
        <v>85</v>
      </c>
      <c r="D104" s="48"/>
      <c r="E104" s="48" t="s">
        <v>157</v>
      </c>
      <c r="F104" s="49">
        <v>1</v>
      </c>
      <c r="G104" s="49">
        <v>100</v>
      </c>
      <c r="H104" s="49">
        <f>'01_BOM_DUZELTILDI'!$G96*'01_BOM_DUZELTILDI'!$I96</f>
        <v>6000</v>
      </c>
      <c r="I104" s="50">
        <f>60*'01_BOM_DUZELTILDI'!$F96</f>
        <v>60</v>
      </c>
      <c r="J104" s="48" t="s">
        <v>123</v>
      </c>
      <c r="K104" s="48" t="s">
        <v>87</v>
      </c>
      <c r="L104" s="49">
        <v>6000</v>
      </c>
    </row>
    <row r="105" spans="1:12" s="44" customFormat="1" ht="39" customHeight="1" outlineLevel="1">
      <c r="A105" s="48"/>
      <c r="B105" s="52" t="s">
        <v>450</v>
      </c>
      <c r="C105" s="48"/>
      <c r="D105" s="48"/>
      <c r="E105" s="48"/>
      <c r="F105" s="49"/>
      <c r="G105" s="49"/>
      <c r="H105" s="49">
        <f ca="1">SUBTOTAL(9,H97:H104)</f>
        <v>32526</v>
      </c>
      <c r="I105" s="50"/>
      <c r="J105" s="48"/>
      <c r="K105" s="48"/>
      <c r="L105" s="49">
        <v>32526</v>
      </c>
    </row>
    <row r="106" spans="1:12" ht="39" customHeight="1" outlineLevel="2">
      <c r="A106" s="38">
        <v>97</v>
      </c>
      <c r="B106" s="38" t="s">
        <v>230</v>
      </c>
      <c r="C106" s="38" t="s">
        <v>19</v>
      </c>
      <c r="D106" s="38"/>
      <c r="E106" s="39" t="s">
        <v>230</v>
      </c>
      <c r="F106" s="40"/>
      <c r="G106" s="40"/>
      <c r="H106" s="40"/>
      <c r="I106" s="39"/>
      <c r="J106" s="38" t="s">
        <v>23</v>
      </c>
      <c r="K106" s="38" t="s">
        <v>441</v>
      </c>
      <c r="L106" s="40"/>
    </row>
    <row r="107" spans="1:12" s="44" customFormat="1" ht="39" customHeight="1" outlineLevel="2">
      <c r="A107" s="41">
        <v>98</v>
      </c>
      <c r="B107" s="41" t="s">
        <v>230</v>
      </c>
      <c r="C107" s="41" t="s">
        <v>27</v>
      </c>
      <c r="D107" s="41" t="s">
        <v>297</v>
      </c>
      <c r="E107" s="41" t="s">
        <v>298</v>
      </c>
      <c r="F107" s="42">
        <v>11400</v>
      </c>
      <c r="G107" s="42">
        <f>0.6*F107</f>
        <v>6840</v>
      </c>
      <c r="H107" s="42">
        <f>'01_BOM_DUZELTILDI'!$G98*'01_BOM_DUZELTILDI'!$I98</f>
        <v>6840</v>
      </c>
      <c r="I107" s="43">
        <v>1</v>
      </c>
      <c r="J107" s="41" t="s">
        <v>31</v>
      </c>
      <c r="K107" s="41" t="s">
        <v>350</v>
      </c>
      <c r="L107" s="42">
        <v>6840</v>
      </c>
    </row>
    <row r="108" spans="1:12" s="44" customFormat="1" ht="39" customHeight="1" outlineLevel="2">
      <c r="A108" s="45">
        <v>99</v>
      </c>
      <c r="B108" s="45" t="s">
        <v>230</v>
      </c>
      <c r="C108" s="45" t="s">
        <v>51</v>
      </c>
      <c r="D108" s="45" t="s">
        <v>317</v>
      </c>
      <c r="E108" s="45" t="s">
        <v>318</v>
      </c>
      <c r="F108" s="46">
        <v>1045</v>
      </c>
      <c r="G108" s="49">
        <f t="shared" ref="G108:G111" si="10">0.6*F108</f>
        <v>627</v>
      </c>
      <c r="H108" s="46">
        <f>'01_BOM_DUZELTILDI'!$G99*'01_BOM_DUZELTILDI'!$I99</f>
        <v>627</v>
      </c>
      <c r="I108" s="47">
        <v>1</v>
      </c>
      <c r="J108" s="45" t="s">
        <v>31</v>
      </c>
      <c r="K108" s="45" t="s">
        <v>40</v>
      </c>
      <c r="L108" s="46">
        <v>627</v>
      </c>
    </row>
    <row r="109" spans="1:12" s="44" customFormat="1" ht="39" customHeight="1" outlineLevel="2">
      <c r="A109" s="48">
        <v>100</v>
      </c>
      <c r="B109" s="48" t="s">
        <v>230</v>
      </c>
      <c r="C109" s="48" t="s">
        <v>51</v>
      </c>
      <c r="D109" s="48" t="s">
        <v>299</v>
      </c>
      <c r="E109" s="48" t="s">
        <v>300</v>
      </c>
      <c r="F109" s="49">
        <v>897</v>
      </c>
      <c r="G109" s="49">
        <f t="shared" si="10"/>
        <v>538.19999999999993</v>
      </c>
      <c r="H109" s="49">
        <f>'01_BOM_DUZELTILDI'!$G100*'01_BOM_DUZELTILDI'!$I100</f>
        <v>538.19999999999993</v>
      </c>
      <c r="I109" s="50">
        <v>1</v>
      </c>
      <c r="J109" s="48" t="s">
        <v>31</v>
      </c>
      <c r="K109" s="48" t="s">
        <v>40</v>
      </c>
      <c r="L109" s="49">
        <v>538.19999999999993</v>
      </c>
    </row>
    <row r="110" spans="1:12" s="44" customFormat="1" ht="39" customHeight="1" outlineLevel="2">
      <c r="A110" s="45">
        <v>101</v>
      </c>
      <c r="B110" s="45" t="s">
        <v>230</v>
      </c>
      <c r="C110" s="45" t="s">
        <v>56</v>
      </c>
      <c r="D110" s="45" t="s">
        <v>330</v>
      </c>
      <c r="E110" s="45" t="s">
        <v>331</v>
      </c>
      <c r="F110" s="46">
        <v>5104</v>
      </c>
      <c r="G110" s="49">
        <f t="shared" si="10"/>
        <v>3062.4</v>
      </c>
      <c r="H110" s="46">
        <f>'01_BOM_DUZELTILDI'!$G101*'01_BOM_DUZELTILDI'!$I101</f>
        <v>9187.2000000000007</v>
      </c>
      <c r="I110" s="47">
        <v>3</v>
      </c>
      <c r="J110" s="45" t="s">
        <v>31</v>
      </c>
      <c r="K110" s="45" t="s">
        <v>40</v>
      </c>
      <c r="L110" s="46">
        <v>9187.2000000000007</v>
      </c>
    </row>
    <row r="111" spans="1:12" s="44" customFormat="1" ht="39" customHeight="1" outlineLevel="2">
      <c r="A111" s="48">
        <v>102</v>
      </c>
      <c r="B111" s="48" t="s">
        <v>230</v>
      </c>
      <c r="C111" s="48" t="s">
        <v>56</v>
      </c>
      <c r="D111" s="48" t="s">
        <v>385</v>
      </c>
      <c r="E111" s="48" t="s">
        <v>386</v>
      </c>
      <c r="F111" s="49">
        <v>5556</v>
      </c>
      <c r="G111" s="49">
        <f t="shared" si="10"/>
        <v>3333.6</v>
      </c>
      <c r="H111" s="49">
        <f>'01_BOM_DUZELTILDI'!$G102*'01_BOM_DUZELTILDI'!$I102</f>
        <v>3333.6</v>
      </c>
      <c r="I111" s="50">
        <v>1</v>
      </c>
      <c r="J111" s="48" t="s">
        <v>31</v>
      </c>
      <c r="K111" s="48" t="s">
        <v>40</v>
      </c>
      <c r="L111" s="49">
        <v>3333.6</v>
      </c>
    </row>
    <row r="112" spans="1:12" s="44" customFormat="1" ht="39" customHeight="1" outlineLevel="2">
      <c r="A112" s="45">
        <v>104</v>
      </c>
      <c r="B112" s="45" t="s">
        <v>230</v>
      </c>
      <c r="C112" s="45" t="s">
        <v>83</v>
      </c>
      <c r="D112" s="45"/>
      <c r="E112" s="45" t="s">
        <v>121</v>
      </c>
      <c r="F112" s="46">
        <f ca="1">OFFSET('01_BOM_DUZELTILDI'!$F103,1,2)</f>
        <v>6000</v>
      </c>
      <c r="G112" s="46">
        <f ca="1">'01_BOM_DUZELTILDI'!$F103</f>
        <v>6000</v>
      </c>
      <c r="H112" s="46">
        <f ca="1">'01_BOM_DUZELTILDI'!$G103*'01_BOM_DUZELTILDI'!$I103</f>
        <v>6000</v>
      </c>
      <c r="I112" s="47">
        <v>1</v>
      </c>
      <c r="J112" s="45" t="s">
        <v>31</v>
      </c>
      <c r="K112" s="45" t="s">
        <v>369</v>
      </c>
      <c r="L112" s="46">
        <v>6000</v>
      </c>
    </row>
    <row r="113" spans="1:12" s="44" customFormat="1" ht="39" customHeight="1" outlineLevel="2">
      <c r="A113" s="48">
        <v>105</v>
      </c>
      <c r="B113" s="48" t="s">
        <v>230</v>
      </c>
      <c r="C113" s="48" t="s">
        <v>85</v>
      </c>
      <c r="D113" s="48"/>
      <c r="E113" s="48" t="s">
        <v>157</v>
      </c>
      <c r="F113" s="49">
        <v>1</v>
      </c>
      <c r="G113" s="49">
        <v>100</v>
      </c>
      <c r="H113" s="49">
        <f>'01_BOM_DUZELTILDI'!$G104*'01_BOM_DUZELTILDI'!$I104</f>
        <v>6000</v>
      </c>
      <c r="I113" s="50">
        <f>60*'01_BOM_DUZELTILDI'!$F104</f>
        <v>60</v>
      </c>
      <c r="J113" s="48" t="s">
        <v>123</v>
      </c>
      <c r="K113" s="48" t="s">
        <v>87</v>
      </c>
      <c r="L113" s="49">
        <v>6000</v>
      </c>
    </row>
    <row r="114" spans="1:12" s="44" customFormat="1" ht="39" customHeight="1" outlineLevel="1">
      <c r="A114" s="48"/>
      <c r="B114" s="52" t="s">
        <v>451</v>
      </c>
      <c r="C114" s="48"/>
      <c r="D114" s="48"/>
      <c r="E114" s="48"/>
      <c r="F114" s="49"/>
      <c r="G114" s="49"/>
      <c r="H114" s="49">
        <f ca="1">SUBTOTAL(9,H106:H113)</f>
        <v>32526</v>
      </c>
      <c r="I114" s="50"/>
      <c r="J114" s="48"/>
      <c r="K114" s="48"/>
      <c r="L114" s="49">
        <v>32526</v>
      </c>
    </row>
    <row r="115" spans="1:12" ht="39" customHeight="1" outlineLevel="2">
      <c r="A115" s="38">
        <v>106</v>
      </c>
      <c r="B115" s="38" t="s">
        <v>238</v>
      </c>
      <c r="C115" s="38" t="s">
        <v>19</v>
      </c>
      <c r="D115" s="38"/>
      <c r="E115" s="39" t="s">
        <v>238</v>
      </c>
      <c r="F115" s="40"/>
      <c r="G115" s="40"/>
      <c r="H115" s="40"/>
      <c r="I115" s="39"/>
      <c r="J115" s="38" t="s">
        <v>23</v>
      </c>
      <c r="K115" s="38" t="s">
        <v>441</v>
      </c>
      <c r="L115" s="40"/>
    </row>
    <row r="116" spans="1:12" s="44" customFormat="1" ht="39" customHeight="1" outlineLevel="2">
      <c r="A116" s="41">
        <v>107</v>
      </c>
      <c r="B116" s="41" t="s">
        <v>238</v>
      </c>
      <c r="C116" s="41" t="s">
        <v>27</v>
      </c>
      <c r="D116" s="41" t="s">
        <v>297</v>
      </c>
      <c r="E116" s="41" t="s">
        <v>298</v>
      </c>
      <c r="F116" s="42">
        <v>11400</v>
      </c>
      <c r="G116" s="42">
        <f>0.6*F116</f>
        <v>6840</v>
      </c>
      <c r="H116" s="42">
        <f>'01_BOM_DUZELTILDI'!$G106*'01_BOM_DUZELTILDI'!$I106</f>
        <v>6840</v>
      </c>
      <c r="I116" s="43">
        <v>1</v>
      </c>
      <c r="J116" s="41" t="s">
        <v>31</v>
      </c>
      <c r="K116" s="41" t="s">
        <v>350</v>
      </c>
      <c r="L116" s="42">
        <v>6840</v>
      </c>
    </row>
    <row r="117" spans="1:12" s="44" customFormat="1" ht="39" customHeight="1" outlineLevel="2">
      <c r="A117" s="45">
        <v>108</v>
      </c>
      <c r="B117" s="45" t="s">
        <v>238</v>
      </c>
      <c r="C117" s="45" t="s">
        <v>51</v>
      </c>
      <c r="D117" s="45" t="s">
        <v>317</v>
      </c>
      <c r="E117" s="45" t="s">
        <v>318</v>
      </c>
      <c r="F117" s="46">
        <v>1045</v>
      </c>
      <c r="G117" s="49">
        <f t="shared" ref="G117:G120" si="11">0.6*F117</f>
        <v>627</v>
      </c>
      <c r="H117" s="46">
        <f>'01_BOM_DUZELTILDI'!$G107*'01_BOM_DUZELTILDI'!$I107</f>
        <v>627</v>
      </c>
      <c r="I117" s="47">
        <v>1</v>
      </c>
      <c r="J117" s="45" t="s">
        <v>31</v>
      </c>
      <c r="K117" s="45" t="s">
        <v>40</v>
      </c>
      <c r="L117" s="46">
        <v>627</v>
      </c>
    </row>
    <row r="118" spans="1:12" s="44" customFormat="1" ht="39" customHeight="1" outlineLevel="2">
      <c r="A118" s="48">
        <v>109</v>
      </c>
      <c r="B118" s="48" t="s">
        <v>238</v>
      </c>
      <c r="C118" s="48" t="s">
        <v>51</v>
      </c>
      <c r="D118" s="48" t="s">
        <v>299</v>
      </c>
      <c r="E118" s="48" t="s">
        <v>300</v>
      </c>
      <c r="F118" s="49">
        <v>897</v>
      </c>
      <c r="G118" s="49">
        <f t="shared" si="11"/>
        <v>538.19999999999993</v>
      </c>
      <c r="H118" s="49">
        <f>'01_BOM_DUZELTILDI'!$G108*'01_BOM_DUZELTILDI'!$I108</f>
        <v>538.19999999999993</v>
      </c>
      <c r="I118" s="50">
        <v>1</v>
      </c>
      <c r="J118" s="48" t="s">
        <v>31</v>
      </c>
      <c r="K118" s="48" t="s">
        <v>40</v>
      </c>
      <c r="L118" s="49">
        <v>538.19999999999993</v>
      </c>
    </row>
    <row r="119" spans="1:12" s="44" customFormat="1" ht="39" customHeight="1" outlineLevel="2">
      <c r="A119" s="45">
        <v>110</v>
      </c>
      <c r="B119" s="45" t="s">
        <v>238</v>
      </c>
      <c r="C119" s="45" t="s">
        <v>56</v>
      </c>
      <c r="D119" s="45" t="s">
        <v>330</v>
      </c>
      <c r="E119" s="45" t="s">
        <v>331</v>
      </c>
      <c r="F119" s="46">
        <v>5104</v>
      </c>
      <c r="G119" s="49">
        <f t="shared" si="11"/>
        <v>3062.4</v>
      </c>
      <c r="H119" s="46">
        <f>'01_BOM_DUZELTILDI'!$G109*'01_BOM_DUZELTILDI'!$I109</f>
        <v>12249.6</v>
      </c>
      <c r="I119" s="47">
        <v>4</v>
      </c>
      <c r="J119" s="45" t="s">
        <v>31</v>
      </c>
      <c r="K119" s="45" t="s">
        <v>40</v>
      </c>
      <c r="L119" s="46">
        <v>12249.6</v>
      </c>
    </row>
    <row r="120" spans="1:12" s="44" customFormat="1" ht="39" customHeight="1" outlineLevel="2">
      <c r="A120" s="48">
        <v>111</v>
      </c>
      <c r="B120" s="48" t="s">
        <v>238</v>
      </c>
      <c r="C120" s="48" t="s">
        <v>56</v>
      </c>
      <c r="D120" s="48" t="s">
        <v>385</v>
      </c>
      <c r="E120" s="48" t="s">
        <v>386</v>
      </c>
      <c r="F120" s="49">
        <v>5556</v>
      </c>
      <c r="G120" s="49">
        <f t="shared" si="11"/>
        <v>3333.6</v>
      </c>
      <c r="H120" s="49">
        <f>'01_BOM_DUZELTILDI'!$G110*'01_BOM_DUZELTILDI'!$I110</f>
        <v>3333.6</v>
      </c>
      <c r="I120" s="50">
        <v>1</v>
      </c>
      <c r="J120" s="48" t="s">
        <v>31</v>
      </c>
      <c r="K120" s="48" t="s">
        <v>40</v>
      </c>
      <c r="L120" s="49">
        <v>3333.6</v>
      </c>
    </row>
    <row r="121" spans="1:12" s="44" customFormat="1" ht="39" customHeight="1" outlineLevel="2">
      <c r="A121" s="45">
        <v>113</v>
      </c>
      <c r="B121" s="45" t="s">
        <v>238</v>
      </c>
      <c r="C121" s="45" t="s">
        <v>83</v>
      </c>
      <c r="D121" s="45"/>
      <c r="E121" s="45" t="s">
        <v>121</v>
      </c>
      <c r="F121" s="46">
        <f ca="1">OFFSET('01_BOM_DUZELTILDI'!$F111,1,2)</f>
        <v>6000</v>
      </c>
      <c r="G121" s="46">
        <f ca="1">'01_BOM_DUZELTILDI'!$F111</f>
        <v>6000</v>
      </c>
      <c r="H121" s="46">
        <f ca="1">'01_BOM_DUZELTILDI'!$G111*'01_BOM_DUZELTILDI'!$I111</f>
        <v>6000</v>
      </c>
      <c r="I121" s="47">
        <v>1</v>
      </c>
      <c r="J121" s="45" t="s">
        <v>31</v>
      </c>
      <c r="K121" s="45" t="s">
        <v>369</v>
      </c>
      <c r="L121" s="46">
        <v>6000</v>
      </c>
    </row>
    <row r="122" spans="1:12" s="44" customFormat="1" ht="39" customHeight="1" outlineLevel="2">
      <c r="A122" s="48">
        <v>114</v>
      </c>
      <c r="B122" s="48" t="s">
        <v>238</v>
      </c>
      <c r="C122" s="48" t="s">
        <v>85</v>
      </c>
      <c r="D122" s="48"/>
      <c r="E122" s="48" t="s">
        <v>157</v>
      </c>
      <c r="F122" s="49">
        <v>1</v>
      </c>
      <c r="G122" s="49">
        <v>100</v>
      </c>
      <c r="H122" s="49">
        <f>'01_BOM_DUZELTILDI'!$G112*'01_BOM_DUZELTILDI'!$I112</f>
        <v>6000</v>
      </c>
      <c r="I122" s="50">
        <f>60*'01_BOM_DUZELTILDI'!$F112</f>
        <v>60</v>
      </c>
      <c r="J122" s="48" t="s">
        <v>123</v>
      </c>
      <c r="K122" s="48" t="s">
        <v>87</v>
      </c>
      <c r="L122" s="49">
        <v>6000</v>
      </c>
    </row>
    <row r="123" spans="1:12" s="44" customFormat="1" ht="39" customHeight="1" outlineLevel="1">
      <c r="A123" s="48"/>
      <c r="B123" s="52" t="s">
        <v>452</v>
      </c>
      <c r="C123" s="48"/>
      <c r="D123" s="48"/>
      <c r="E123" s="48"/>
      <c r="F123" s="49"/>
      <c r="G123" s="49"/>
      <c r="H123" s="49">
        <f ca="1">SUBTOTAL(9,H115:H122)</f>
        <v>35588.399999999994</v>
      </c>
      <c r="I123" s="50"/>
      <c r="J123" s="48"/>
      <c r="K123" s="48"/>
      <c r="L123" s="49">
        <v>35588.399999999994</v>
      </c>
    </row>
    <row r="124" spans="1:12" ht="39" customHeight="1" outlineLevel="2">
      <c r="A124" s="38">
        <v>106</v>
      </c>
      <c r="B124" s="38" t="s">
        <v>387</v>
      </c>
      <c r="C124" s="38" t="s">
        <v>19</v>
      </c>
      <c r="D124" s="38"/>
      <c r="E124" s="39" t="s">
        <v>387</v>
      </c>
      <c r="F124" s="40"/>
      <c r="G124" s="40"/>
      <c r="H124" s="40"/>
      <c r="I124" s="39"/>
      <c r="J124" s="38" t="s">
        <v>23</v>
      </c>
      <c r="K124" s="38" t="s">
        <v>441</v>
      </c>
      <c r="L124" s="40"/>
    </row>
    <row r="125" spans="1:12" s="44" customFormat="1" ht="39" customHeight="1" outlineLevel="2">
      <c r="A125" s="41">
        <v>107</v>
      </c>
      <c r="B125" s="51" t="s">
        <v>387</v>
      </c>
      <c r="C125" s="41" t="s">
        <v>27</v>
      </c>
      <c r="D125" s="41" t="s">
        <v>417</v>
      </c>
      <c r="E125" s="41" t="s">
        <v>418</v>
      </c>
      <c r="F125" s="42">
        <v>14390</v>
      </c>
      <c r="G125" s="42">
        <f>0.6*F125</f>
        <v>8634</v>
      </c>
      <c r="H125" s="42">
        <f>'01_BOM_DUZELTILDI'!$G114*'01_BOM_DUZELTILDI'!$I114</f>
        <v>8634</v>
      </c>
      <c r="I125" s="43">
        <v>1</v>
      </c>
      <c r="J125" s="41" t="s">
        <v>31</v>
      </c>
      <c r="K125" s="41" t="s">
        <v>350</v>
      </c>
      <c r="L125" s="42">
        <v>8634</v>
      </c>
    </row>
    <row r="126" spans="1:12" s="44" customFormat="1" ht="39" customHeight="1" outlineLevel="2">
      <c r="A126" s="45">
        <v>108</v>
      </c>
      <c r="B126" s="51" t="s">
        <v>387</v>
      </c>
      <c r="C126" s="45" t="s">
        <v>51</v>
      </c>
      <c r="D126" s="45" t="s">
        <v>423</v>
      </c>
      <c r="E126" s="45" t="s">
        <v>424</v>
      </c>
      <c r="F126" s="46">
        <v>2447</v>
      </c>
      <c r="G126" s="49">
        <f t="shared" ref="G126:G134" si="12">0.6*F126</f>
        <v>1468.2</v>
      </c>
      <c r="H126" s="46">
        <f>'01_BOM_DUZELTILDI'!$G115*'01_BOM_DUZELTILDI'!$I115</f>
        <v>1468.2</v>
      </c>
      <c r="I126" s="47">
        <v>1</v>
      </c>
      <c r="J126" s="45" t="s">
        <v>31</v>
      </c>
      <c r="K126" s="45" t="s">
        <v>40</v>
      </c>
      <c r="L126" s="46">
        <v>1468.2</v>
      </c>
    </row>
    <row r="127" spans="1:12" s="44" customFormat="1" ht="39" customHeight="1" outlineLevel="2">
      <c r="A127" s="48">
        <v>109</v>
      </c>
      <c r="B127" s="51" t="s">
        <v>387</v>
      </c>
      <c r="C127" s="48" t="s">
        <v>51</v>
      </c>
      <c r="D127" s="48" t="s">
        <v>374</v>
      </c>
      <c r="E127" s="48" t="s">
        <v>375</v>
      </c>
      <c r="F127" s="49">
        <v>975</v>
      </c>
      <c r="G127" s="49">
        <f t="shared" si="12"/>
        <v>585</v>
      </c>
      <c r="H127" s="49">
        <f>'01_BOM_DUZELTILDI'!$G116*'01_BOM_DUZELTILDI'!$I116</f>
        <v>585</v>
      </c>
      <c r="I127" s="50">
        <v>1</v>
      </c>
      <c r="J127" s="48" t="s">
        <v>31</v>
      </c>
      <c r="K127" s="48" t="s">
        <v>40</v>
      </c>
      <c r="L127" s="49">
        <v>585</v>
      </c>
    </row>
    <row r="128" spans="1:12" s="44" customFormat="1" ht="39" customHeight="1" outlineLevel="2">
      <c r="A128" s="45">
        <v>110</v>
      </c>
      <c r="B128" s="51" t="s">
        <v>387</v>
      </c>
      <c r="C128" s="45" t="s">
        <v>135</v>
      </c>
      <c r="D128" s="45" t="s">
        <v>295</v>
      </c>
      <c r="E128" s="45" t="s">
        <v>296</v>
      </c>
      <c r="F128" s="46">
        <v>4563</v>
      </c>
      <c r="G128" s="49">
        <f t="shared" si="12"/>
        <v>2737.7999999999997</v>
      </c>
      <c r="H128" s="46">
        <f>'01_BOM_DUZELTILDI'!$G117*'01_BOM_DUZELTILDI'!$I117</f>
        <v>10951.199999999999</v>
      </c>
      <c r="I128" s="47">
        <v>4</v>
      </c>
      <c r="J128" s="45" t="s">
        <v>31</v>
      </c>
      <c r="K128" s="45" t="s">
        <v>40</v>
      </c>
      <c r="L128" s="46">
        <v>10951.199999999999</v>
      </c>
    </row>
    <row r="129" spans="1:12" s="44" customFormat="1" ht="39" customHeight="1" outlineLevel="2">
      <c r="A129" s="48">
        <v>111</v>
      </c>
      <c r="B129" s="51" t="s">
        <v>387</v>
      </c>
      <c r="C129" s="48" t="s">
        <v>388</v>
      </c>
      <c r="D129" s="48" t="s">
        <v>429</v>
      </c>
      <c r="E129" s="48" t="s">
        <v>430</v>
      </c>
      <c r="F129" s="49">
        <v>4315</v>
      </c>
      <c r="G129" s="49">
        <f t="shared" si="12"/>
        <v>2589</v>
      </c>
      <c r="H129" s="49">
        <f>'01_BOM_DUZELTILDI'!$G118*'01_BOM_DUZELTILDI'!$I118</f>
        <v>5178</v>
      </c>
      <c r="I129" s="50">
        <v>2</v>
      </c>
      <c r="J129" s="48" t="s">
        <v>31</v>
      </c>
      <c r="K129" s="48" t="s">
        <v>40</v>
      </c>
      <c r="L129" s="49">
        <v>5178</v>
      </c>
    </row>
    <row r="130" spans="1:12" s="44" customFormat="1" ht="39" customHeight="1" outlineLevel="2">
      <c r="A130" s="48">
        <v>111</v>
      </c>
      <c r="B130" s="51" t="s">
        <v>387</v>
      </c>
      <c r="C130" s="48" t="s">
        <v>389</v>
      </c>
      <c r="D130" s="48" t="s">
        <v>415</v>
      </c>
      <c r="E130" s="48" t="s">
        <v>416</v>
      </c>
      <c r="F130" s="49">
        <v>2177</v>
      </c>
      <c r="G130" s="49">
        <f t="shared" si="12"/>
        <v>1306.2</v>
      </c>
      <c r="H130" s="49">
        <f>'01_BOM_DUZELTILDI'!$G119*'01_BOM_DUZELTILDI'!$I119</f>
        <v>5224.8</v>
      </c>
      <c r="I130" s="50">
        <v>4</v>
      </c>
      <c r="J130" s="48" t="s">
        <v>31</v>
      </c>
      <c r="K130" s="48" t="s">
        <v>40</v>
      </c>
      <c r="L130" s="49">
        <v>5224.8</v>
      </c>
    </row>
    <row r="131" spans="1:12" s="44" customFormat="1" ht="39" customHeight="1" outlineLevel="2">
      <c r="A131" s="45">
        <v>110</v>
      </c>
      <c r="B131" s="51" t="s">
        <v>387</v>
      </c>
      <c r="C131" s="45" t="s">
        <v>390</v>
      </c>
      <c r="D131" s="45" t="s">
        <v>427</v>
      </c>
      <c r="E131" s="45" t="s">
        <v>428</v>
      </c>
      <c r="F131" s="46">
        <v>836</v>
      </c>
      <c r="G131" s="49">
        <f t="shared" si="12"/>
        <v>501.59999999999997</v>
      </c>
      <c r="H131" s="46">
        <f>'01_BOM_DUZELTILDI'!$G120*'01_BOM_DUZELTILDI'!$I120</f>
        <v>2006.3999999999999</v>
      </c>
      <c r="I131" s="47">
        <v>4</v>
      </c>
      <c r="J131" s="45" t="s">
        <v>31</v>
      </c>
      <c r="K131" s="45" t="s">
        <v>40</v>
      </c>
      <c r="L131" s="46">
        <v>2006.3999999999999</v>
      </c>
    </row>
    <row r="132" spans="1:12" s="44" customFormat="1" ht="39" customHeight="1" outlineLevel="2">
      <c r="A132" s="48">
        <v>111</v>
      </c>
      <c r="B132" s="51" t="s">
        <v>387</v>
      </c>
      <c r="C132" s="48" t="s">
        <v>391</v>
      </c>
      <c r="D132" s="48" t="s">
        <v>413</v>
      </c>
      <c r="E132" s="48" t="s">
        <v>414</v>
      </c>
      <c r="F132" s="49">
        <v>1621</v>
      </c>
      <c r="G132" s="49">
        <f t="shared" si="12"/>
        <v>972.59999999999991</v>
      </c>
      <c r="H132" s="49">
        <f>'01_BOM_DUZELTILDI'!$G121*'01_BOM_DUZELTILDI'!$I121</f>
        <v>1945.1999999999998</v>
      </c>
      <c r="I132" s="50">
        <v>2</v>
      </c>
      <c r="J132" s="48" t="s">
        <v>31</v>
      </c>
      <c r="K132" s="48" t="s">
        <v>40</v>
      </c>
      <c r="L132" s="49">
        <v>1945.1999999999998</v>
      </c>
    </row>
    <row r="133" spans="1:12" s="44" customFormat="1" ht="39" customHeight="1" outlineLevel="2">
      <c r="A133" s="48">
        <v>111</v>
      </c>
      <c r="B133" s="51" t="s">
        <v>387</v>
      </c>
      <c r="C133" s="48" t="s">
        <v>396</v>
      </c>
      <c r="D133" s="48" t="s">
        <v>411</v>
      </c>
      <c r="E133" s="48" t="s">
        <v>412</v>
      </c>
      <c r="F133" s="49">
        <v>1602</v>
      </c>
      <c r="G133" s="49">
        <f t="shared" si="12"/>
        <v>961.19999999999993</v>
      </c>
      <c r="H133" s="49">
        <f>'01_BOM_DUZELTILDI'!$G122*'01_BOM_DUZELTILDI'!$I122</f>
        <v>1922.3999999999999</v>
      </c>
      <c r="I133" s="50">
        <v>2</v>
      </c>
      <c r="J133" s="48" t="s">
        <v>31</v>
      </c>
      <c r="K133" s="48" t="s">
        <v>40</v>
      </c>
      <c r="L133" s="49">
        <v>1922.3999999999999</v>
      </c>
    </row>
    <row r="134" spans="1:12" s="44" customFormat="1" ht="39" customHeight="1" outlineLevel="2">
      <c r="A134" s="48">
        <v>111</v>
      </c>
      <c r="B134" s="51" t="s">
        <v>387</v>
      </c>
      <c r="C134" s="48" t="s">
        <v>392</v>
      </c>
      <c r="D134" s="48" t="s">
        <v>421</v>
      </c>
      <c r="E134" s="48" t="s">
        <v>422</v>
      </c>
      <c r="F134" s="49">
        <v>2197</v>
      </c>
      <c r="G134" s="49">
        <f t="shared" si="12"/>
        <v>1318.2</v>
      </c>
      <c r="H134" s="49">
        <f>'01_BOM_DUZELTILDI'!$G123*'01_BOM_DUZELTILDI'!$I123</f>
        <v>2636.4</v>
      </c>
      <c r="I134" s="50">
        <v>2</v>
      </c>
      <c r="J134" s="48" t="s">
        <v>31</v>
      </c>
      <c r="K134" s="48" t="s">
        <v>40</v>
      </c>
      <c r="L134" s="49">
        <v>2636.4</v>
      </c>
    </row>
    <row r="135" spans="1:12" s="44" customFormat="1" ht="39" customHeight="1" outlineLevel="2">
      <c r="A135" s="45">
        <v>113</v>
      </c>
      <c r="B135" s="51" t="s">
        <v>387</v>
      </c>
      <c r="C135" s="45" t="s">
        <v>83</v>
      </c>
      <c r="D135" s="45"/>
      <c r="E135" s="45" t="s">
        <v>121</v>
      </c>
      <c r="F135" s="46">
        <f ca="1">OFFSET('01_BOM_DUZELTILDI'!$F124,1,2)</f>
        <v>12000</v>
      </c>
      <c r="G135" s="46">
        <f ca="1">'01_BOM_DUZELTILDI'!$F124</f>
        <v>12000</v>
      </c>
      <c r="H135" s="46">
        <f ca="1">'01_BOM_DUZELTILDI'!$G124*'01_BOM_DUZELTILDI'!$I124</f>
        <v>12000</v>
      </c>
      <c r="I135" s="47">
        <v>1</v>
      </c>
      <c r="J135" s="45" t="s">
        <v>31</v>
      </c>
      <c r="K135" s="45" t="s">
        <v>369</v>
      </c>
      <c r="L135" s="46">
        <v>12000</v>
      </c>
    </row>
    <row r="136" spans="1:12" s="44" customFormat="1" ht="39" customHeight="1" outlineLevel="2">
      <c r="A136" s="48">
        <v>114</v>
      </c>
      <c r="B136" s="51" t="s">
        <v>387</v>
      </c>
      <c r="C136" s="48" t="s">
        <v>85</v>
      </c>
      <c r="D136" s="48"/>
      <c r="E136" s="48" t="s">
        <v>157</v>
      </c>
      <c r="F136" s="49">
        <v>2</v>
      </c>
      <c r="G136" s="49">
        <v>100</v>
      </c>
      <c r="H136" s="49">
        <f>'01_BOM_DUZELTILDI'!$G125*'01_BOM_DUZELTILDI'!$I125</f>
        <v>12000</v>
      </c>
      <c r="I136" s="50">
        <f>60*'01_BOM_DUZELTILDI'!$F125</f>
        <v>120</v>
      </c>
      <c r="J136" s="48" t="s">
        <v>123</v>
      </c>
      <c r="K136" s="48" t="s">
        <v>87</v>
      </c>
      <c r="L136" s="49">
        <v>12000</v>
      </c>
    </row>
    <row r="137" spans="1:12" s="44" customFormat="1" ht="39" customHeight="1" outlineLevel="1">
      <c r="A137" s="48"/>
      <c r="B137" s="51" t="s">
        <v>453</v>
      </c>
      <c r="C137" s="48"/>
      <c r="D137" s="48"/>
      <c r="E137" s="48"/>
      <c r="F137" s="49"/>
      <c r="G137" s="49"/>
      <c r="H137" s="49">
        <f ca="1">SUBTOTAL(9,H124:H136)</f>
        <v>64551.6</v>
      </c>
      <c r="I137" s="50"/>
      <c r="J137" s="48"/>
      <c r="K137" s="48"/>
      <c r="L137" s="49">
        <v>64551.6</v>
      </c>
    </row>
    <row r="138" spans="1:12" ht="39" customHeight="1" outlineLevel="2">
      <c r="A138" s="38">
        <v>106</v>
      </c>
      <c r="B138" s="38" t="s">
        <v>393</v>
      </c>
      <c r="C138" s="38" t="s">
        <v>19</v>
      </c>
      <c r="D138" s="38"/>
      <c r="E138" s="39" t="s">
        <v>393</v>
      </c>
      <c r="F138" s="40"/>
      <c r="G138" s="40"/>
      <c r="H138" s="40"/>
      <c r="I138" s="39"/>
      <c r="J138" s="38" t="s">
        <v>23</v>
      </c>
      <c r="K138" s="38" t="s">
        <v>441</v>
      </c>
      <c r="L138" s="40"/>
    </row>
    <row r="139" spans="1:12" s="44" customFormat="1" ht="39" customHeight="1" outlineLevel="2">
      <c r="A139" s="41">
        <v>107</v>
      </c>
      <c r="B139" s="51" t="s">
        <v>393</v>
      </c>
      <c r="C139" s="41" t="s">
        <v>27</v>
      </c>
      <c r="D139" s="41" t="s">
        <v>370</v>
      </c>
      <c r="E139" s="41" t="s">
        <v>371</v>
      </c>
      <c r="F139" s="42">
        <v>13500</v>
      </c>
      <c r="G139" s="42">
        <f>0.6*F139</f>
        <v>8100</v>
      </c>
      <c r="H139" s="42">
        <f>'01_BOM_DUZELTILDI'!$G127*'01_BOM_DUZELTILDI'!$I127</f>
        <v>8100</v>
      </c>
      <c r="I139" s="43">
        <v>1</v>
      </c>
      <c r="J139" s="41" t="s">
        <v>31</v>
      </c>
      <c r="K139" s="41" t="s">
        <v>350</v>
      </c>
      <c r="L139" s="42">
        <v>8100</v>
      </c>
    </row>
    <row r="140" spans="1:12" s="44" customFormat="1" ht="39" customHeight="1" outlineLevel="2">
      <c r="A140" s="45">
        <v>108</v>
      </c>
      <c r="B140" s="51" t="s">
        <v>393</v>
      </c>
      <c r="C140" s="45" t="s">
        <v>51</v>
      </c>
      <c r="D140" s="45" t="s">
        <v>315</v>
      </c>
      <c r="E140" s="45" t="s">
        <v>316</v>
      </c>
      <c r="F140" s="46">
        <v>2807</v>
      </c>
      <c r="G140" s="49">
        <f t="shared" ref="G140:G143" si="13">0.6*F140</f>
        <v>1684.2</v>
      </c>
      <c r="H140" s="46">
        <f>'01_BOM_DUZELTILDI'!$G128*'01_BOM_DUZELTILDI'!$I128</f>
        <v>1684.2</v>
      </c>
      <c r="I140" s="47">
        <v>1</v>
      </c>
      <c r="J140" s="45" t="s">
        <v>31</v>
      </c>
      <c r="K140" s="45" t="s">
        <v>40</v>
      </c>
      <c r="L140" s="46">
        <v>1684.2</v>
      </c>
    </row>
    <row r="141" spans="1:12" s="44" customFormat="1" ht="39" customHeight="1" outlineLevel="2">
      <c r="A141" s="48">
        <v>109</v>
      </c>
      <c r="B141" s="51" t="s">
        <v>393</v>
      </c>
      <c r="C141" s="48" t="s">
        <v>51</v>
      </c>
      <c r="D141" s="48" t="s">
        <v>301</v>
      </c>
      <c r="E141" s="48" t="s">
        <v>302</v>
      </c>
      <c r="F141" s="49">
        <v>783</v>
      </c>
      <c r="G141" s="49">
        <f t="shared" si="13"/>
        <v>469.79999999999995</v>
      </c>
      <c r="H141" s="49">
        <f>'01_BOM_DUZELTILDI'!$G129*'01_BOM_DUZELTILDI'!$I129</f>
        <v>939.59999999999991</v>
      </c>
      <c r="I141" s="50">
        <v>2</v>
      </c>
      <c r="J141" s="48" t="s">
        <v>31</v>
      </c>
      <c r="K141" s="48" t="s">
        <v>40</v>
      </c>
      <c r="L141" s="49">
        <v>939.59999999999991</v>
      </c>
    </row>
    <row r="142" spans="1:12" s="44" customFormat="1" ht="39" customHeight="1" outlineLevel="2">
      <c r="A142" s="45">
        <v>110</v>
      </c>
      <c r="B142" s="51" t="s">
        <v>393</v>
      </c>
      <c r="C142" s="45" t="s">
        <v>56</v>
      </c>
      <c r="D142" s="45" t="s">
        <v>330</v>
      </c>
      <c r="E142" s="45" t="s">
        <v>331</v>
      </c>
      <c r="F142" s="46">
        <v>5104</v>
      </c>
      <c r="G142" s="49">
        <f t="shared" si="13"/>
        <v>3062.4</v>
      </c>
      <c r="H142" s="46">
        <f>'01_BOM_DUZELTILDI'!$G130*'01_BOM_DUZELTILDI'!$I130</f>
        <v>3062.4</v>
      </c>
      <c r="I142" s="47">
        <v>1</v>
      </c>
      <c r="J142" s="45" t="s">
        <v>31</v>
      </c>
      <c r="K142" s="45" t="s">
        <v>40</v>
      </c>
      <c r="L142" s="46">
        <v>3062.4</v>
      </c>
    </row>
    <row r="143" spans="1:12" s="44" customFormat="1" ht="39" customHeight="1" outlineLevel="2">
      <c r="A143" s="48">
        <v>111</v>
      </c>
      <c r="B143" s="51" t="s">
        <v>393</v>
      </c>
      <c r="C143" s="48" t="s">
        <v>394</v>
      </c>
      <c r="D143" s="48" t="s">
        <v>425</v>
      </c>
      <c r="E143" s="48" t="s">
        <v>426</v>
      </c>
      <c r="F143" s="49">
        <v>5354</v>
      </c>
      <c r="G143" s="49">
        <f t="shared" si="13"/>
        <v>3212.4</v>
      </c>
      <c r="H143" s="49">
        <f>'01_BOM_DUZELTILDI'!$G131*'01_BOM_DUZELTILDI'!$I131</f>
        <v>3212.4</v>
      </c>
      <c r="I143" s="50">
        <v>1</v>
      </c>
      <c r="J143" s="48" t="s">
        <v>31</v>
      </c>
      <c r="K143" s="48" t="s">
        <v>40</v>
      </c>
      <c r="L143" s="49">
        <v>3212.4</v>
      </c>
    </row>
    <row r="144" spans="1:12" s="44" customFormat="1" ht="39" customHeight="1" outlineLevel="2">
      <c r="A144" s="45">
        <v>113</v>
      </c>
      <c r="B144" s="51" t="s">
        <v>393</v>
      </c>
      <c r="C144" s="45" t="s">
        <v>83</v>
      </c>
      <c r="D144" s="45"/>
      <c r="E144" s="45" t="s">
        <v>121</v>
      </c>
      <c r="F144" s="46">
        <f ca="1">OFFSET('01_BOM_DUZELTILDI'!$F132,1,2)</f>
        <v>4200</v>
      </c>
      <c r="G144" s="46">
        <f ca="1">'01_BOM_DUZELTILDI'!$F132</f>
        <v>4200</v>
      </c>
      <c r="H144" s="46">
        <f ca="1">'01_BOM_DUZELTILDI'!$G132*'01_BOM_DUZELTILDI'!$I132</f>
        <v>4200</v>
      </c>
      <c r="I144" s="47">
        <v>1</v>
      </c>
      <c r="J144" s="45" t="s">
        <v>31</v>
      </c>
      <c r="K144" s="45" t="s">
        <v>369</v>
      </c>
      <c r="L144" s="46">
        <v>4200</v>
      </c>
    </row>
    <row r="145" spans="1:12" s="44" customFormat="1" ht="39" customHeight="1" outlineLevel="2">
      <c r="A145" s="48">
        <v>114</v>
      </c>
      <c r="B145" s="51" t="s">
        <v>393</v>
      </c>
      <c r="C145" s="48" t="s">
        <v>85</v>
      </c>
      <c r="D145" s="48"/>
      <c r="E145" s="48" t="s">
        <v>157</v>
      </c>
      <c r="F145" s="49">
        <v>0.7</v>
      </c>
      <c r="G145" s="49">
        <v>100</v>
      </c>
      <c r="H145" s="49">
        <f>'01_BOM_DUZELTILDI'!$G133*'01_BOM_DUZELTILDI'!$I133</f>
        <v>4200</v>
      </c>
      <c r="I145" s="50">
        <f>60*'01_BOM_DUZELTILDI'!$F133</f>
        <v>42</v>
      </c>
      <c r="J145" s="48" t="s">
        <v>123</v>
      </c>
      <c r="K145" s="48" t="s">
        <v>87</v>
      </c>
      <c r="L145" s="49">
        <v>4200</v>
      </c>
    </row>
    <row r="146" spans="1:12" s="44" customFormat="1" ht="39" customHeight="1" outlineLevel="1">
      <c r="A146" s="48"/>
      <c r="B146" s="51" t="s">
        <v>454</v>
      </c>
      <c r="C146" s="48"/>
      <c r="D146" s="48"/>
      <c r="E146" s="48"/>
      <c r="F146" s="49"/>
      <c r="G146" s="49"/>
      <c r="H146" s="49">
        <f ca="1">SUBTOTAL(9,H138:H145)</f>
        <v>25398.600000000002</v>
      </c>
      <c r="I146" s="50"/>
      <c r="J146" s="48"/>
      <c r="K146" s="48"/>
      <c r="L146" s="49">
        <v>25398.600000000002</v>
      </c>
    </row>
    <row r="147" spans="1:12" ht="39" customHeight="1" outlineLevel="2">
      <c r="A147" s="38">
        <v>106</v>
      </c>
      <c r="B147" s="38" t="s">
        <v>395</v>
      </c>
      <c r="C147" s="38" t="s">
        <v>19</v>
      </c>
      <c r="D147" s="38"/>
      <c r="E147" s="39" t="s">
        <v>395</v>
      </c>
      <c r="F147" s="40"/>
      <c r="G147" s="40"/>
      <c r="H147" s="40"/>
      <c r="I147" s="39"/>
      <c r="J147" s="38" t="s">
        <v>23</v>
      </c>
      <c r="K147" s="38" t="s">
        <v>441</v>
      </c>
      <c r="L147" s="40"/>
    </row>
    <row r="148" spans="1:12" s="44" customFormat="1" ht="39" customHeight="1" outlineLevel="2">
      <c r="A148" s="41">
        <v>107</v>
      </c>
      <c r="B148" s="51" t="s">
        <v>395</v>
      </c>
      <c r="C148" s="41" t="s">
        <v>27</v>
      </c>
      <c r="D148" s="41" t="s">
        <v>370</v>
      </c>
      <c r="E148" s="41" t="s">
        <v>371</v>
      </c>
      <c r="F148" s="42">
        <v>13500</v>
      </c>
      <c r="G148" s="42">
        <f>0.6*F148</f>
        <v>8100</v>
      </c>
      <c r="H148" s="42">
        <f>'01_BOM_DUZELTILDI'!$G135*'01_BOM_DUZELTILDI'!$I135</f>
        <v>8100</v>
      </c>
      <c r="I148" s="43">
        <v>1</v>
      </c>
      <c r="J148" s="41" t="s">
        <v>31</v>
      </c>
      <c r="K148" s="41" t="s">
        <v>350</v>
      </c>
      <c r="L148" s="42">
        <v>8100</v>
      </c>
    </row>
    <row r="149" spans="1:12" s="44" customFormat="1" ht="39" customHeight="1" outlineLevel="2">
      <c r="A149" s="45">
        <v>108</v>
      </c>
      <c r="B149" s="51" t="s">
        <v>395</v>
      </c>
      <c r="C149" s="45" t="s">
        <v>51</v>
      </c>
      <c r="D149" s="48" t="s">
        <v>378</v>
      </c>
      <c r="E149" s="48" t="s">
        <v>379</v>
      </c>
      <c r="F149" s="49">
        <v>2606</v>
      </c>
      <c r="G149" s="49">
        <f t="shared" ref="G149:G151" si="14">0.6*F149</f>
        <v>1563.6</v>
      </c>
      <c r="H149" s="46">
        <f>'01_BOM_DUZELTILDI'!$G136*'01_BOM_DUZELTILDI'!$I136</f>
        <v>1563.6</v>
      </c>
      <c r="I149" s="47">
        <v>1</v>
      </c>
      <c r="J149" s="45" t="s">
        <v>31</v>
      </c>
      <c r="K149" s="45" t="s">
        <v>40</v>
      </c>
      <c r="L149" s="46">
        <v>1563.6</v>
      </c>
    </row>
    <row r="150" spans="1:12" s="44" customFormat="1" ht="39" customHeight="1" outlineLevel="2">
      <c r="A150" s="48">
        <v>109</v>
      </c>
      <c r="B150" s="51" t="s">
        <v>395</v>
      </c>
      <c r="C150" s="48" t="s">
        <v>51</v>
      </c>
      <c r="D150" s="48" t="s">
        <v>299</v>
      </c>
      <c r="E150" s="48" t="s">
        <v>300</v>
      </c>
      <c r="F150" s="49">
        <v>897</v>
      </c>
      <c r="G150" s="49">
        <f t="shared" si="14"/>
        <v>538.19999999999993</v>
      </c>
      <c r="H150" s="49">
        <f>'01_BOM_DUZELTILDI'!$G137*'01_BOM_DUZELTILDI'!$I137</f>
        <v>538.19999999999993</v>
      </c>
      <c r="I150" s="50">
        <v>1</v>
      </c>
      <c r="J150" s="48" t="s">
        <v>31</v>
      </c>
      <c r="K150" s="48" t="s">
        <v>40</v>
      </c>
      <c r="L150" s="49">
        <v>538.19999999999993</v>
      </c>
    </row>
    <row r="151" spans="1:12" s="44" customFormat="1" ht="39" customHeight="1" outlineLevel="2">
      <c r="A151" s="45">
        <v>110</v>
      </c>
      <c r="B151" s="51" t="s">
        <v>395</v>
      </c>
      <c r="C151" s="45" t="s">
        <v>135</v>
      </c>
      <c r="D151" s="45" t="s">
        <v>293</v>
      </c>
      <c r="E151" s="45" t="s">
        <v>294</v>
      </c>
      <c r="F151" s="46">
        <v>9149</v>
      </c>
      <c r="G151" s="49">
        <f t="shared" si="14"/>
        <v>5489.4</v>
      </c>
      <c r="H151" s="46">
        <f>'01_BOM_DUZELTILDI'!$G138*'01_BOM_DUZELTILDI'!$I138</f>
        <v>5489.4</v>
      </c>
      <c r="I151" s="47">
        <v>1</v>
      </c>
      <c r="J151" s="45" t="s">
        <v>31</v>
      </c>
      <c r="K151" s="45" t="s">
        <v>40</v>
      </c>
      <c r="L151" s="46">
        <v>5489.4</v>
      </c>
    </row>
    <row r="152" spans="1:12" s="44" customFormat="1" ht="39" customHeight="1" outlineLevel="2">
      <c r="A152" s="45">
        <v>113</v>
      </c>
      <c r="B152" s="51" t="s">
        <v>395</v>
      </c>
      <c r="C152" s="45" t="s">
        <v>83</v>
      </c>
      <c r="D152" s="45"/>
      <c r="E152" s="45" t="s">
        <v>121</v>
      </c>
      <c r="F152" s="46">
        <f ca="1">OFFSET('01_BOM_DUZELTILDI'!$F139,1,2)</f>
        <v>3000</v>
      </c>
      <c r="G152" s="46">
        <f ca="1">'01_BOM_DUZELTILDI'!$F139</f>
        <v>3000</v>
      </c>
      <c r="H152" s="46">
        <f ca="1">'01_BOM_DUZELTILDI'!$G139*'01_BOM_DUZELTILDI'!$I139</f>
        <v>3000</v>
      </c>
      <c r="I152" s="47">
        <v>1</v>
      </c>
      <c r="J152" s="45" t="s">
        <v>31</v>
      </c>
      <c r="K152" s="45" t="s">
        <v>369</v>
      </c>
      <c r="L152" s="46">
        <v>3000</v>
      </c>
    </row>
    <row r="153" spans="1:12" s="44" customFormat="1" ht="39" customHeight="1" outlineLevel="2">
      <c r="A153" s="48">
        <v>114</v>
      </c>
      <c r="B153" s="51" t="s">
        <v>395</v>
      </c>
      <c r="C153" s="48" t="s">
        <v>85</v>
      </c>
      <c r="D153" s="48"/>
      <c r="E153" s="48" t="s">
        <v>157</v>
      </c>
      <c r="F153" s="49">
        <v>0.5</v>
      </c>
      <c r="G153" s="49">
        <v>100</v>
      </c>
      <c r="H153" s="49">
        <f>'01_BOM_DUZELTILDI'!$G140*'01_BOM_DUZELTILDI'!$I140</f>
        <v>3000</v>
      </c>
      <c r="I153" s="50">
        <f>60*'01_BOM_DUZELTILDI'!$F140</f>
        <v>30</v>
      </c>
      <c r="J153" s="48" t="s">
        <v>123</v>
      </c>
      <c r="K153" s="48" t="s">
        <v>87</v>
      </c>
      <c r="L153" s="49">
        <v>3000</v>
      </c>
    </row>
    <row r="154" spans="1:12" s="44" customFormat="1" ht="39" customHeight="1" outlineLevel="1">
      <c r="A154" s="48"/>
      <c r="B154" s="51" t="s">
        <v>455</v>
      </c>
      <c r="C154" s="48"/>
      <c r="D154" s="48"/>
      <c r="E154" s="48"/>
      <c r="F154" s="49"/>
      <c r="G154" s="49"/>
      <c r="H154" s="49">
        <f ca="1">SUBTOTAL(9,H147:H153)</f>
        <v>21691.200000000001</v>
      </c>
      <c r="I154" s="50"/>
      <c r="J154" s="48"/>
      <c r="K154" s="48"/>
      <c r="L154" s="49">
        <v>21691.200000000001</v>
      </c>
    </row>
    <row r="155" spans="1:12" ht="39" customHeight="1" outlineLevel="2">
      <c r="A155" s="38">
        <v>106</v>
      </c>
      <c r="B155" s="38" t="s">
        <v>398</v>
      </c>
      <c r="C155" s="38" t="s">
        <v>19</v>
      </c>
      <c r="D155" s="38"/>
      <c r="E155" s="39" t="s">
        <v>398</v>
      </c>
      <c r="F155" s="40"/>
      <c r="G155" s="40"/>
      <c r="H155" s="40"/>
      <c r="I155" s="39"/>
      <c r="J155" s="38" t="s">
        <v>23</v>
      </c>
      <c r="K155" s="38" t="s">
        <v>441</v>
      </c>
      <c r="L155" s="40"/>
    </row>
    <row r="156" spans="1:12" s="44" customFormat="1" ht="39" customHeight="1" outlineLevel="2">
      <c r="A156" s="41">
        <v>107</v>
      </c>
      <c r="B156" s="51" t="s">
        <v>398</v>
      </c>
      <c r="C156" s="41" t="s">
        <v>27</v>
      </c>
      <c r="D156" s="41" t="s">
        <v>370</v>
      </c>
      <c r="E156" s="41" t="s">
        <v>371</v>
      </c>
      <c r="F156" s="42">
        <v>13500</v>
      </c>
      <c r="G156" s="42">
        <f>0.6*F156</f>
        <v>8100</v>
      </c>
      <c r="H156" s="42">
        <f>'01_BOM_DUZELTILDI'!$G142*'01_BOM_DUZELTILDI'!$I142</f>
        <v>8100</v>
      </c>
      <c r="I156" s="43">
        <v>1</v>
      </c>
      <c r="J156" s="41" t="s">
        <v>31</v>
      </c>
      <c r="K156" s="41" t="s">
        <v>350</v>
      </c>
      <c r="L156" s="42">
        <v>8100</v>
      </c>
    </row>
    <row r="157" spans="1:12" s="44" customFormat="1" ht="39" customHeight="1" outlineLevel="2">
      <c r="A157" s="45">
        <v>108</v>
      </c>
      <c r="B157" s="51" t="s">
        <v>398</v>
      </c>
      <c r="C157" s="45" t="s">
        <v>51</v>
      </c>
      <c r="D157" s="48" t="s">
        <v>378</v>
      </c>
      <c r="E157" s="48" t="s">
        <v>379</v>
      </c>
      <c r="F157" s="49">
        <v>2606</v>
      </c>
      <c r="G157" s="49">
        <f t="shared" ref="G157:G164" si="15">0.6*F157</f>
        <v>1563.6</v>
      </c>
      <c r="H157" s="46">
        <f>'01_BOM_DUZELTILDI'!$G143*'01_BOM_DUZELTILDI'!$I143</f>
        <v>1563.6</v>
      </c>
      <c r="I157" s="47">
        <v>1</v>
      </c>
      <c r="J157" s="45" t="s">
        <v>31</v>
      </c>
      <c r="K157" s="45" t="s">
        <v>40</v>
      </c>
      <c r="L157" s="46">
        <v>1563.6</v>
      </c>
    </row>
    <row r="158" spans="1:12" s="44" customFormat="1" ht="39" customHeight="1" outlineLevel="2">
      <c r="A158" s="48">
        <v>109</v>
      </c>
      <c r="B158" s="51" t="s">
        <v>398</v>
      </c>
      <c r="C158" s="48" t="s">
        <v>51</v>
      </c>
      <c r="D158" s="48" t="s">
        <v>374</v>
      </c>
      <c r="E158" s="48" t="s">
        <v>375</v>
      </c>
      <c r="F158" s="49">
        <v>975</v>
      </c>
      <c r="G158" s="49">
        <f t="shared" si="15"/>
        <v>585</v>
      </c>
      <c r="H158" s="49">
        <f>'01_BOM_DUZELTILDI'!$G144*'01_BOM_DUZELTILDI'!$I144</f>
        <v>585</v>
      </c>
      <c r="I158" s="50">
        <v>1</v>
      </c>
      <c r="J158" s="48" t="s">
        <v>31</v>
      </c>
      <c r="K158" s="48" t="s">
        <v>40</v>
      </c>
      <c r="L158" s="49">
        <v>585</v>
      </c>
    </row>
    <row r="159" spans="1:12" s="44" customFormat="1" ht="39" customHeight="1" outlineLevel="2">
      <c r="A159" s="45">
        <v>110</v>
      </c>
      <c r="B159" s="51" t="s">
        <v>398</v>
      </c>
      <c r="C159" s="45" t="s">
        <v>135</v>
      </c>
      <c r="D159" s="45" t="s">
        <v>293</v>
      </c>
      <c r="E159" s="45" t="s">
        <v>294</v>
      </c>
      <c r="F159" s="46">
        <v>9149</v>
      </c>
      <c r="G159" s="49">
        <f t="shared" si="15"/>
        <v>5489.4</v>
      </c>
      <c r="H159" s="46">
        <f>'01_BOM_DUZELTILDI'!$G145*'01_BOM_DUZELTILDI'!$I145</f>
        <v>5489.4</v>
      </c>
      <c r="I159" s="47">
        <v>1</v>
      </c>
      <c r="J159" s="45" t="s">
        <v>31</v>
      </c>
      <c r="K159" s="45" t="s">
        <v>40</v>
      </c>
      <c r="L159" s="46">
        <v>5489.4</v>
      </c>
    </row>
    <row r="160" spans="1:12" s="44" customFormat="1" ht="39" customHeight="1" outlineLevel="2">
      <c r="A160" s="48">
        <v>111</v>
      </c>
      <c r="B160" s="51" t="s">
        <v>398</v>
      </c>
      <c r="C160" s="48" t="s">
        <v>388</v>
      </c>
      <c r="D160" s="48" t="s">
        <v>429</v>
      </c>
      <c r="E160" s="48" t="s">
        <v>430</v>
      </c>
      <c r="F160" s="49">
        <v>4315</v>
      </c>
      <c r="G160" s="49">
        <f t="shared" si="15"/>
        <v>2589</v>
      </c>
      <c r="H160" s="49">
        <f>'01_BOM_DUZELTILDI'!$G146*'01_BOM_DUZELTILDI'!$I146</f>
        <v>2589</v>
      </c>
      <c r="I160" s="50">
        <v>1</v>
      </c>
      <c r="J160" s="48" t="s">
        <v>31</v>
      </c>
      <c r="K160" s="48" t="s">
        <v>40</v>
      </c>
      <c r="L160" s="49">
        <v>2589</v>
      </c>
    </row>
    <row r="161" spans="1:12" s="44" customFormat="1" ht="39" customHeight="1" outlineLevel="2">
      <c r="A161" s="48">
        <v>111</v>
      </c>
      <c r="B161" s="51" t="s">
        <v>398</v>
      </c>
      <c r="C161" s="48" t="s">
        <v>390</v>
      </c>
      <c r="D161" s="45" t="s">
        <v>427</v>
      </c>
      <c r="E161" s="45" t="s">
        <v>428</v>
      </c>
      <c r="F161" s="46">
        <v>836</v>
      </c>
      <c r="G161" s="49">
        <f t="shared" si="15"/>
        <v>501.59999999999997</v>
      </c>
      <c r="H161" s="49">
        <f>'01_BOM_DUZELTILDI'!$G147*'01_BOM_DUZELTILDI'!$I147</f>
        <v>501.59999999999997</v>
      </c>
      <c r="I161" s="50">
        <v>1</v>
      </c>
      <c r="J161" s="48" t="s">
        <v>31</v>
      </c>
      <c r="K161" s="48" t="s">
        <v>40</v>
      </c>
      <c r="L161" s="49">
        <v>501.59999999999997</v>
      </c>
    </row>
    <row r="162" spans="1:12" s="44" customFormat="1" ht="39" customHeight="1" outlineLevel="2">
      <c r="A162" s="48">
        <v>111</v>
      </c>
      <c r="B162" s="51" t="s">
        <v>398</v>
      </c>
      <c r="C162" s="48" t="s">
        <v>396</v>
      </c>
      <c r="D162" s="48" t="s">
        <v>411</v>
      </c>
      <c r="E162" s="48" t="s">
        <v>412</v>
      </c>
      <c r="F162" s="49">
        <v>1602</v>
      </c>
      <c r="G162" s="49">
        <f t="shared" si="15"/>
        <v>961.19999999999993</v>
      </c>
      <c r="H162" s="49">
        <f>'01_BOM_DUZELTILDI'!$G148*'01_BOM_DUZELTILDI'!$I148</f>
        <v>961.19999999999993</v>
      </c>
      <c r="I162" s="50">
        <v>1</v>
      </c>
      <c r="J162" s="48" t="s">
        <v>31</v>
      </c>
      <c r="K162" s="48" t="s">
        <v>40</v>
      </c>
      <c r="L162" s="49">
        <v>961.19999999999993</v>
      </c>
    </row>
    <row r="163" spans="1:12" s="44" customFormat="1" ht="39" customHeight="1" outlineLevel="2">
      <c r="A163" s="48">
        <v>111</v>
      </c>
      <c r="B163" s="51" t="s">
        <v>398</v>
      </c>
      <c r="C163" s="48" t="s">
        <v>391</v>
      </c>
      <c r="D163" s="48" t="s">
        <v>413</v>
      </c>
      <c r="E163" s="48" t="s">
        <v>414</v>
      </c>
      <c r="F163" s="49">
        <v>1621</v>
      </c>
      <c r="G163" s="49">
        <f t="shared" si="15"/>
        <v>972.59999999999991</v>
      </c>
      <c r="H163" s="49">
        <f>'01_BOM_DUZELTILDI'!$G149*'01_BOM_DUZELTILDI'!$I149</f>
        <v>972.59999999999991</v>
      </c>
      <c r="I163" s="50">
        <v>1</v>
      </c>
      <c r="J163" s="48" t="s">
        <v>31</v>
      </c>
      <c r="K163" s="48" t="s">
        <v>40</v>
      </c>
      <c r="L163" s="49">
        <v>972.59999999999991</v>
      </c>
    </row>
    <row r="164" spans="1:12" s="44" customFormat="1" ht="39" customHeight="1" outlineLevel="2">
      <c r="A164" s="48">
        <v>111</v>
      </c>
      <c r="B164" s="51" t="s">
        <v>398</v>
      </c>
      <c r="C164" s="48" t="s">
        <v>397</v>
      </c>
      <c r="D164" s="48" t="s">
        <v>419</v>
      </c>
      <c r="E164" s="45" t="s">
        <v>420</v>
      </c>
      <c r="F164" s="49">
        <v>1836</v>
      </c>
      <c r="G164" s="49">
        <f t="shared" si="15"/>
        <v>1101.5999999999999</v>
      </c>
      <c r="H164" s="49">
        <f>'01_BOM_DUZELTILDI'!$G150*'01_BOM_DUZELTILDI'!$I150</f>
        <v>1101.5999999999999</v>
      </c>
      <c r="I164" s="50">
        <v>1</v>
      </c>
      <c r="J164" s="48" t="s">
        <v>31</v>
      </c>
      <c r="K164" s="48" t="s">
        <v>40</v>
      </c>
      <c r="L164" s="49">
        <v>1101.5999999999999</v>
      </c>
    </row>
    <row r="165" spans="1:12" s="44" customFormat="1" ht="39" customHeight="1" outlineLevel="2">
      <c r="A165" s="45">
        <v>113</v>
      </c>
      <c r="B165" s="51" t="s">
        <v>398</v>
      </c>
      <c r="C165" s="45" t="s">
        <v>83</v>
      </c>
      <c r="D165" s="45"/>
      <c r="E165" s="45" t="s">
        <v>121</v>
      </c>
      <c r="F165" s="46">
        <f ca="1">OFFSET('01_BOM_DUZELTILDI'!$F151,1,2)</f>
        <v>12000</v>
      </c>
      <c r="G165" s="46">
        <f ca="1">'01_BOM_DUZELTILDI'!$F151</f>
        <v>12000</v>
      </c>
      <c r="H165" s="46">
        <f ca="1">'01_BOM_DUZELTILDI'!$G151*'01_BOM_DUZELTILDI'!$I151</f>
        <v>12000</v>
      </c>
      <c r="I165" s="47">
        <v>1</v>
      </c>
      <c r="J165" s="45" t="s">
        <v>31</v>
      </c>
      <c r="K165" s="45" t="s">
        <v>369</v>
      </c>
      <c r="L165" s="46">
        <v>12000</v>
      </c>
    </row>
    <row r="166" spans="1:12" s="44" customFormat="1" ht="39" customHeight="1" outlineLevel="2">
      <c r="A166" s="48">
        <v>114</v>
      </c>
      <c r="B166" s="51" t="s">
        <v>398</v>
      </c>
      <c r="C166" s="48" t="s">
        <v>85</v>
      </c>
      <c r="D166" s="48"/>
      <c r="E166" s="48" t="s">
        <v>157</v>
      </c>
      <c r="F166" s="49">
        <v>2</v>
      </c>
      <c r="G166" s="49">
        <v>100</v>
      </c>
      <c r="H166" s="49">
        <f>'01_BOM_DUZELTILDI'!$G152*'01_BOM_DUZELTILDI'!$I152</f>
        <v>12000</v>
      </c>
      <c r="I166" s="50">
        <f>60*'01_BOM_DUZELTILDI'!$F152</f>
        <v>120</v>
      </c>
      <c r="J166" s="48" t="s">
        <v>123</v>
      </c>
      <c r="K166" s="48" t="s">
        <v>87</v>
      </c>
      <c r="L166" s="49">
        <v>12000</v>
      </c>
    </row>
    <row r="167" spans="1:12" s="44" customFormat="1" ht="39" customHeight="1" outlineLevel="1">
      <c r="A167" s="48"/>
      <c r="B167" s="51" t="s">
        <v>456</v>
      </c>
      <c r="C167" s="48"/>
      <c r="D167" s="48"/>
      <c r="E167" s="48"/>
      <c r="F167" s="49"/>
      <c r="G167" s="49"/>
      <c r="H167" s="49">
        <f ca="1">SUBTOTAL(9,H155:H166)</f>
        <v>45864</v>
      </c>
      <c r="I167" s="50"/>
      <c r="J167" s="48"/>
      <c r="K167" s="48"/>
      <c r="L167" s="49">
        <v>45864</v>
      </c>
    </row>
    <row r="168" spans="1:12" ht="39" customHeight="1" outlineLevel="2">
      <c r="A168" s="38">
        <v>106</v>
      </c>
      <c r="B168" s="38" t="s">
        <v>410</v>
      </c>
      <c r="C168" s="38" t="s">
        <v>19</v>
      </c>
      <c r="D168" s="38"/>
      <c r="E168" s="39" t="s">
        <v>410</v>
      </c>
      <c r="F168" s="40"/>
      <c r="G168" s="40"/>
      <c r="H168" s="40"/>
      <c r="I168" s="39"/>
      <c r="J168" s="38" t="s">
        <v>23</v>
      </c>
      <c r="K168" s="38" t="s">
        <v>441</v>
      </c>
      <c r="L168" s="40"/>
    </row>
    <row r="169" spans="1:12" s="44" customFormat="1" ht="39" customHeight="1" outlineLevel="2">
      <c r="A169" s="41">
        <v>107</v>
      </c>
      <c r="B169" s="51" t="s">
        <v>410</v>
      </c>
      <c r="C169" s="41" t="s">
        <v>27</v>
      </c>
      <c r="D169" s="41" t="s">
        <v>370</v>
      </c>
      <c r="E169" s="41" t="s">
        <v>371</v>
      </c>
      <c r="F169" s="42">
        <v>13500</v>
      </c>
      <c r="G169" s="42">
        <f>0.6*F169</f>
        <v>8100</v>
      </c>
      <c r="H169" s="42">
        <f>'01_BOM_DUZELTILDI'!$G154*'01_BOM_DUZELTILDI'!$I154</f>
        <v>8100</v>
      </c>
      <c r="I169" s="43">
        <v>1</v>
      </c>
      <c r="J169" s="41" t="s">
        <v>31</v>
      </c>
      <c r="K169" s="41" t="s">
        <v>350</v>
      </c>
      <c r="L169" s="42">
        <v>8100</v>
      </c>
    </row>
    <row r="170" spans="1:12" s="44" customFormat="1" ht="39" customHeight="1" outlineLevel="2">
      <c r="A170" s="45">
        <v>108</v>
      </c>
      <c r="B170" s="51" t="s">
        <v>410</v>
      </c>
      <c r="C170" s="45" t="s">
        <v>51</v>
      </c>
      <c r="D170" s="48" t="s">
        <v>376</v>
      </c>
      <c r="E170" s="48" t="s">
        <v>377</v>
      </c>
      <c r="F170" s="49">
        <v>1589</v>
      </c>
      <c r="G170" s="49">
        <f t="shared" ref="G170:G171" si="16">0.6*F170</f>
        <v>953.4</v>
      </c>
      <c r="H170" s="46">
        <f>'01_BOM_DUZELTILDI'!$G155*'01_BOM_DUZELTILDI'!$I155</f>
        <v>953.4</v>
      </c>
      <c r="I170" s="47">
        <v>1</v>
      </c>
      <c r="J170" s="45" t="s">
        <v>31</v>
      </c>
      <c r="K170" s="45" t="s">
        <v>40</v>
      </c>
      <c r="L170" s="46">
        <v>953.4</v>
      </c>
    </row>
    <row r="171" spans="1:12" s="44" customFormat="1" ht="39" customHeight="1" outlineLevel="2">
      <c r="A171" s="48">
        <v>109</v>
      </c>
      <c r="B171" s="51" t="s">
        <v>410</v>
      </c>
      <c r="C171" s="48" t="s">
        <v>51</v>
      </c>
      <c r="D171" s="48" t="s">
        <v>299</v>
      </c>
      <c r="E171" s="48" t="s">
        <v>300</v>
      </c>
      <c r="F171" s="49">
        <v>897</v>
      </c>
      <c r="G171" s="49">
        <f t="shared" si="16"/>
        <v>538.19999999999993</v>
      </c>
      <c r="H171" s="49">
        <f>'01_BOM_DUZELTILDI'!$G156*'01_BOM_DUZELTILDI'!$I156</f>
        <v>4305.5999999999995</v>
      </c>
      <c r="I171" s="50">
        <v>8</v>
      </c>
      <c r="J171" s="48" t="s">
        <v>31</v>
      </c>
      <c r="K171" s="48" t="s">
        <v>40</v>
      </c>
      <c r="L171" s="49">
        <v>4305.5999999999995</v>
      </c>
    </row>
    <row r="172" spans="1:12" s="44" customFormat="1" ht="39" customHeight="1" outlineLevel="2">
      <c r="A172" s="45">
        <v>113</v>
      </c>
      <c r="B172" s="51" t="s">
        <v>410</v>
      </c>
      <c r="C172" s="45" t="s">
        <v>83</v>
      </c>
      <c r="D172" s="45"/>
      <c r="E172" s="45" t="s">
        <v>121</v>
      </c>
      <c r="F172" s="46">
        <f ca="1">OFFSET('01_BOM_DUZELTILDI'!$F157,1,2)</f>
        <v>3000</v>
      </c>
      <c r="G172" s="46">
        <f ca="1">'01_BOM_DUZELTILDI'!$F157</f>
        <v>3000</v>
      </c>
      <c r="H172" s="46">
        <f ca="1">'01_BOM_DUZELTILDI'!$G157*'01_BOM_DUZELTILDI'!$I157</f>
        <v>3000</v>
      </c>
      <c r="I172" s="47">
        <v>1</v>
      </c>
      <c r="J172" s="45" t="s">
        <v>31</v>
      </c>
      <c r="K172" s="45" t="s">
        <v>369</v>
      </c>
      <c r="L172" s="46">
        <v>3000</v>
      </c>
    </row>
    <row r="173" spans="1:12" s="44" customFormat="1" ht="39" customHeight="1" outlineLevel="2">
      <c r="A173" s="48">
        <v>114</v>
      </c>
      <c r="B173" s="51" t="s">
        <v>410</v>
      </c>
      <c r="C173" s="48" t="s">
        <v>85</v>
      </c>
      <c r="D173" s="48"/>
      <c r="E173" s="48" t="s">
        <v>157</v>
      </c>
      <c r="F173" s="49">
        <v>0.5</v>
      </c>
      <c r="G173" s="49">
        <v>100</v>
      </c>
      <c r="H173" s="49">
        <f>'01_BOM_DUZELTILDI'!$G158*'01_BOM_DUZELTILDI'!$I158</f>
        <v>3000</v>
      </c>
      <c r="I173" s="50">
        <f>60*'01_BOM_DUZELTILDI'!$F158</f>
        <v>30</v>
      </c>
      <c r="J173" s="48" t="s">
        <v>123</v>
      </c>
      <c r="K173" s="48" t="s">
        <v>87</v>
      </c>
      <c r="L173" s="49">
        <v>3000</v>
      </c>
    </row>
    <row r="174" spans="1:12" s="44" customFormat="1" ht="39" customHeight="1" outlineLevel="1">
      <c r="A174" s="54"/>
      <c r="B174" s="55" t="s">
        <v>457</v>
      </c>
      <c r="C174" s="54"/>
      <c r="D174" s="54"/>
      <c r="E174" s="54"/>
      <c r="F174" s="56"/>
      <c r="G174" s="56"/>
      <c r="H174" s="56">
        <f ca="1">SUBTOTAL(9,H168:H173)</f>
        <v>19359</v>
      </c>
      <c r="I174" s="57"/>
      <c r="J174" s="54"/>
      <c r="K174" s="54"/>
      <c r="L174" s="56">
        <v>19359</v>
      </c>
    </row>
    <row r="175" spans="1:12" s="44" customFormat="1" ht="39" customHeight="1">
      <c r="A175" s="54"/>
      <c r="B175" s="55" t="s">
        <v>458</v>
      </c>
      <c r="C175" s="54"/>
      <c r="D175" s="54"/>
      <c r="E175" s="54"/>
      <c r="F175" s="56"/>
      <c r="G175" s="56"/>
      <c r="H175" s="56">
        <f ca="1">SUBTOTAL(9,H2:H173)</f>
        <v>3907934.0000000019</v>
      </c>
      <c r="I175" s="57"/>
      <c r="J175" s="54"/>
      <c r="K175" s="54"/>
      <c r="L175" s="56">
        <v>3408582.200000002</v>
      </c>
    </row>
  </sheetData>
  <autoFilter ref="A1:K174" xr:uid="{F1F73651-0479-449F-8696-623A48BD1BD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C6826-8CDC-44DC-8476-2F168D8E3069}">
  <dimension ref="A1:M17"/>
  <sheetViews>
    <sheetView tabSelected="1" workbookViewId="0">
      <selection activeCell="M2" sqref="M2:M17"/>
    </sheetView>
  </sheetViews>
  <sheetFormatPr defaultRowHeight="33.75" customHeight="1"/>
  <cols>
    <col min="2" max="2" width="55.5" customWidth="1"/>
  </cols>
  <sheetData>
    <row r="1" spans="1:13" ht="67.5" customHeight="1">
      <c r="A1" s="37" t="s">
        <v>433</v>
      </c>
      <c r="B1" s="37" t="s">
        <v>434</v>
      </c>
      <c r="C1" s="37" t="s">
        <v>435</v>
      </c>
      <c r="D1" s="37">
        <v>0.65</v>
      </c>
      <c r="E1" s="37"/>
      <c r="F1" s="37" t="s">
        <v>436</v>
      </c>
      <c r="G1" s="37" t="s">
        <v>460</v>
      </c>
      <c r="H1" s="37" t="s">
        <v>438</v>
      </c>
      <c r="I1" s="37" t="s">
        <v>439</v>
      </c>
      <c r="J1" s="37" t="s">
        <v>440</v>
      </c>
      <c r="K1" s="37" t="s">
        <v>459</v>
      </c>
      <c r="L1">
        <v>2.145</v>
      </c>
    </row>
    <row r="2" spans="1:13" ht="33.75" customHeight="1">
      <c r="A2" s="38"/>
      <c r="B2" s="39" t="s">
        <v>18</v>
      </c>
      <c r="C2" s="40">
        <f>ROUNDUP(L2,-3)</f>
        <v>2476000</v>
      </c>
      <c r="D2" s="40">
        <f>C2*0.65</f>
        <v>1609400</v>
      </c>
      <c r="E2" s="40">
        <f>D2*H2</f>
        <v>1609400</v>
      </c>
      <c r="F2" s="40">
        <f>0.7*C2</f>
        <v>1733200</v>
      </c>
      <c r="G2" s="40">
        <f>F2*H2</f>
        <v>1733200</v>
      </c>
      <c r="H2" s="39">
        <v>1</v>
      </c>
      <c r="I2" s="38" t="s">
        <v>23</v>
      </c>
      <c r="J2" s="38" t="s">
        <v>441</v>
      </c>
      <c r="K2" s="49">
        <v>1154303.3999999999</v>
      </c>
      <c r="L2">
        <f>2.145*K2</f>
        <v>2475980.7929999996</v>
      </c>
      <c r="M2">
        <f>K2*H2</f>
        <v>1154303.3999999999</v>
      </c>
    </row>
    <row r="3" spans="1:13" ht="33.75" customHeight="1">
      <c r="A3" s="38"/>
      <c r="B3" s="39" t="s">
        <v>88</v>
      </c>
      <c r="C3" s="40">
        <f t="shared" ref="C3:C17" si="0">ROUNDUP(L3,-3)</f>
        <v>1588000</v>
      </c>
      <c r="D3" s="40">
        <f t="shared" ref="D3:D17" si="1">C3*0.65</f>
        <v>1032200</v>
      </c>
      <c r="E3" s="40">
        <f t="shared" ref="E3:E17" si="2">D3*H3</f>
        <v>1032200</v>
      </c>
      <c r="F3" s="40">
        <f t="shared" ref="F3:F17" si="3">0.7*C3</f>
        <v>1111600</v>
      </c>
      <c r="G3" s="40">
        <f t="shared" ref="G3:G17" si="4">F3*H3</f>
        <v>1111600</v>
      </c>
      <c r="H3" s="39">
        <v>1</v>
      </c>
      <c r="I3" s="38" t="s">
        <v>23</v>
      </c>
      <c r="J3" s="38" t="s">
        <v>441</v>
      </c>
      <c r="K3" s="46">
        <v>740302.2</v>
      </c>
      <c r="L3">
        <f t="shared" ref="L3:L17" si="5">2.145*K3</f>
        <v>1587948.2189999998</v>
      </c>
      <c r="M3">
        <f t="shared" ref="M3:M17" si="6">K3*H3</f>
        <v>740302.2</v>
      </c>
    </row>
    <row r="4" spans="1:13" ht="33.75" customHeight="1">
      <c r="A4" s="38"/>
      <c r="B4" s="39" t="s">
        <v>124</v>
      </c>
      <c r="C4" s="40">
        <f t="shared" si="0"/>
        <v>236000</v>
      </c>
      <c r="D4" s="40">
        <f t="shared" si="1"/>
        <v>153400</v>
      </c>
      <c r="E4" s="40">
        <f t="shared" si="2"/>
        <v>153400</v>
      </c>
      <c r="F4" s="40">
        <f t="shared" si="3"/>
        <v>165200</v>
      </c>
      <c r="G4" s="40">
        <f t="shared" si="4"/>
        <v>165200</v>
      </c>
      <c r="H4" s="39">
        <v>1</v>
      </c>
      <c r="I4" s="38" t="s">
        <v>23</v>
      </c>
      <c r="J4" s="38" t="s">
        <v>441</v>
      </c>
      <c r="K4" s="49">
        <v>109906.6</v>
      </c>
      <c r="L4">
        <f t="shared" si="5"/>
        <v>235749.65700000001</v>
      </c>
      <c r="M4">
        <f t="shared" si="6"/>
        <v>109906.6</v>
      </c>
    </row>
    <row r="5" spans="1:13" ht="33.75" customHeight="1">
      <c r="A5" s="38"/>
      <c r="B5" s="39" t="s">
        <v>362</v>
      </c>
      <c r="C5" s="40">
        <f t="shared" si="0"/>
        <v>309000</v>
      </c>
      <c r="D5" s="40">
        <f t="shared" si="1"/>
        <v>200850</v>
      </c>
      <c r="E5" s="40">
        <f t="shared" si="2"/>
        <v>401700</v>
      </c>
      <c r="F5" s="40">
        <f t="shared" si="3"/>
        <v>216300</v>
      </c>
      <c r="G5" s="40">
        <f t="shared" si="4"/>
        <v>432600</v>
      </c>
      <c r="H5" s="39">
        <v>2</v>
      </c>
      <c r="I5" s="38" t="s">
        <v>23</v>
      </c>
      <c r="J5" s="38" t="s">
        <v>441</v>
      </c>
      <c r="K5" s="46">
        <v>143676.59999999998</v>
      </c>
      <c r="L5">
        <f t="shared" si="5"/>
        <v>308186.30699999997</v>
      </c>
      <c r="M5">
        <f t="shared" si="6"/>
        <v>287353.19999999995</v>
      </c>
    </row>
    <row r="6" spans="1:13" ht="33.75" customHeight="1">
      <c r="A6" s="38"/>
      <c r="B6" s="39" t="s">
        <v>158</v>
      </c>
      <c r="C6" s="40">
        <f t="shared" si="0"/>
        <v>64000</v>
      </c>
      <c r="D6" s="40">
        <f t="shared" si="1"/>
        <v>41600</v>
      </c>
      <c r="E6" s="40">
        <f t="shared" si="2"/>
        <v>41600</v>
      </c>
      <c r="F6" s="40">
        <f t="shared" si="3"/>
        <v>44800</v>
      </c>
      <c r="G6" s="40">
        <f t="shared" si="4"/>
        <v>44800</v>
      </c>
      <c r="H6" s="39">
        <v>1</v>
      </c>
      <c r="I6" s="38" t="s">
        <v>23</v>
      </c>
      <c r="J6" s="38" t="s">
        <v>441</v>
      </c>
      <c r="K6" s="49">
        <v>29807.8</v>
      </c>
      <c r="L6">
        <f t="shared" si="5"/>
        <v>63937.731</v>
      </c>
      <c r="M6">
        <f t="shared" si="6"/>
        <v>29807.8</v>
      </c>
    </row>
    <row r="7" spans="1:13" ht="33.75" customHeight="1">
      <c r="A7" s="38"/>
      <c r="B7" s="39" t="s">
        <v>167</v>
      </c>
      <c r="C7" s="40">
        <f t="shared" si="0"/>
        <v>101000</v>
      </c>
      <c r="D7" s="40">
        <f t="shared" si="1"/>
        <v>65650</v>
      </c>
      <c r="E7" s="40">
        <f t="shared" si="2"/>
        <v>65650</v>
      </c>
      <c r="F7" s="40">
        <f t="shared" si="3"/>
        <v>70700</v>
      </c>
      <c r="G7" s="40">
        <f t="shared" si="4"/>
        <v>70700</v>
      </c>
      <c r="H7" s="39">
        <v>1</v>
      </c>
      <c r="I7" s="38" t="s">
        <v>23</v>
      </c>
      <c r="J7" s="38" t="s">
        <v>441</v>
      </c>
      <c r="K7" s="49">
        <v>47071.199999999997</v>
      </c>
      <c r="L7">
        <f t="shared" si="5"/>
        <v>100967.72399999999</v>
      </c>
      <c r="M7">
        <f t="shared" si="6"/>
        <v>47071.199999999997</v>
      </c>
    </row>
    <row r="8" spans="1:13" ht="33.75" customHeight="1">
      <c r="A8" s="38"/>
      <c r="B8" s="39" t="s">
        <v>174</v>
      </c>
      <c r="C8" s="40">
        <f t="shared" si="0"/>
        <v>873000</v>
      </c>
      <c r="D8" s="40">
        <f t="shared" si="1"/>
        <v>567450</v>
      </c>
      <c r="E8" s="40">
        <f t="shared" si="2"/>
        <v>567450</v>
      </c>
      <c r="F8" s="40">
        <f t="shared" si="3"/>
        <v>611100</v>
      </c>
      <c r="G8" s="40">
        <f t="shared" si="4"/>
        <v>611100</v>
      </c>
      <c r="H8" s="39">
        <v>1</v>
      </c>
      <c r="I8" s="38" t="s">
        <v>23</v>
      </c>
      <c r="J8" s="38" t="s">
        <v>441</v>
      </c>
      <c r="K8" s="46">
        <v>406657.8</v>
      </c>
      <c r="L8">
        <f t="shared" si="5"/>
        <v>872280.98100000003</v>
      </c>
      <c r="M8">
        <f t="shared" si="6"/>
        <v>406657.8</v>
      </c>
    </row>
    <row r="9" spans="1:13" ht="33.75" customHeight="1">
      <c r="A9" s="38"/>
      <c r="B9" s="39" t="s">
        <v>195</v>
      </c>
      <c r="C9" s="40">
        <f t="shared" si="0"/>
        <v>1072000</v>
      </c>
      <c r="D9" s="40">
        <f t="shared" si="1"/>
        <v>696800</v>
      </c>
      <c r="E9" s="40">
        <f t="shared" si="2"/>
        <v>7664800</v>
      </c>
      <c r="F9" s="40">
        <f t="shared" si="3"/>
        <v>750400</v>
      </c>
      <c r="G9" s="40">
        <f t="shared" si="4"/>
        <v>8254400</v>
      </c>
      <c r="H9" s="39">
        <v>11</v>
      </c>
      <c r="I9" s="38" t="s">
        <v>23</v>
      </c>
      <c r="J9" s="38" t="s">
        <v>441</v>
      </c>
      <c r="K9" s="49">
        <v>499351.8</v>
      </c>
      <c r="L9">
        <f t="shared" si="5"/>
        <v>1071109.611</v>
      </c>
      <c r="M9">
        <f t="shared" si="6"/>
        <v>5492869.7999999998</v>
      </c>
    </row>
    <row r="10" spans="1:13" ht="33.75" customHeight="1">
      <c r="A10" s="38"/>
      <c r="B10" s="39" t="s">
        <v>207</v>
      </c>
      <c r="C10" s="40">
        <f t="shared" si="0"/>
        <v>70000</v>
      </c>
      <c r="D10" s="40">
        <f t="shared" si="1"/>
        <v>45500</v>
      </c>
      <c r="E10" s="40">
        <f t="shared" si="2"/>
        <v>1638000</v>
      </c>
      <c r="F10" s="40">
        <f t="shared" si="3"/>
        <v>49000</v>
      </c>
      <c r="G10" s="40">
        <f t="shared" si="4"/>
        <v>1764000</v>
      </c>
      <c r="H10" s="39">
        <v>36</v>
      </c>
      <c r="I10" s="38" t="s">
        <v>23</v>
      </c>
      <c r="J10" s="38" t="s">
        <v>441</v>
      </c>
      <c r="K10" s="49">
        <v>32526</v>
      </c>
      <c r="L10">
        <f t="shared" si="5"/>
        <v>69768.27</v>
      </c>
      <c r="M10">
        <f t="shared" si="6"/>
        <v>1170936</v>
      </c>
    </row>
    <row r="11" spans="1:13" ht="33.75" customHeight="1">
      <c r="A11" s="38"/>
      <c r="B11" s="39" t="s">
        <v>230</v>
      </c>
      <c r="C11" s="40">
        <f t="shared" si="0"/>
        <v>70000</v>
      </c>
      <c r="D11" s="40">
        <f t="shared" si="1"/>
        <v>45500</v>
      </c>
      <c r="E11" s="40">
        <f t="shared" si="2"/>
        <v>2138500</v>
      </c>
      <c r="F11" s="40">
        <f t="shared" si="3"/>
        <v>49000</v>
      </c>
      <c r="G11" s="40">
        <f t="shared" si="4"/>
        <v>2303000</v>
      </c>
      <c r="H11" s="39">
        <v>47</v>
      </c>
      <c r="I11" s="38" t="s">
        <v>23</v>
      </c>
      <c r="J11" s="38" t="s">
        <v>441</v>
      </c>
      <c r="K11" s="49">
        <v>32526</v>
      </c>
      <c r="L11">
        <f t="shared" si="5"/>
        <v>69768.27</v>
      </c>
      <c r="M11">
        <f t="shared" si="6"/>
        <v>1528722</v>
      </c>
    </row>
    <row r="12" spans="1:13" ht="33.75" customHeight="1">
      <c r="A12" s="38"/>
      <c r="B12" s="39" t="s">
        <v>238</v>
      </c>
      <c r="C12" s="40">
        <f t="shared" si="0"/>
        <v>77000</v>
      </c>
      <c r="D12" s="40">
        <f t="shared" si="1"/>
        <v>50050</v>
      </c>
      <c r="E12" s="40">
        <f t="shared" si="2"/>
        <v>550550</v>
      </c>
      <c r="F12" s="40">
        <f t="shared" si="3"/>
        <v>53900</v>
      </c>
      <c r="G12" s="40">
        <f t="shared" si="4"/>
        <v>592900</v>
      </c>
      <c r="H12" s="39">
        <v>11</v>
      </c>
      <c r="I12" s="38" t="s">
        <v>23</v>
      </c>
      <c r="J12" s="38" t="s">
        <v>441</v>
      </c>
      <c r="K12" s="49">
        <v>35588.399999999994</v>
      </c>
      <c r="L12">
        <f t="shared" si="5"/>
        <v>76337.117999999988</v>
      </c>
      <c r="M12">
        <f t="shared" si="6"/>
        <v>391472.39999999991</v>
      </c>
    </row>
    <row r="13" spans="1:13" ht="33.75" customHeight="1">
      <c r="A13" s="38"/>
      <c r="B13" s="39" t="s">
        <v>387</v>
      </c>
      <c r="C13" s="40">
        <f t="shared" si="0"/>
        <v>139000</v>
      </c>
      <c r="D13" s="40">
        <f t="shared" si="1"/>
        <v>90350</v>
      </c>
      <c r="E13" s="40">
        <f t="shared" si="2"/>
        <v>90350</v>
      </c>
      <c r="F13" s="40">
        <f t="shared" si="3"/>
        <v>97300</v>
      </c>
      <c r="G13" s="40">
        <f t="shared" si="4"/>
        <v>97300</v>
      </c>
      <c r="H13" s="39">
        <v>1</v>
      </c>
      <c r="I13" s="38" t="s">
        <v>23</v>
      </c>
      <c r="J13" s="38" t="s">
        <v>441</v>
      </c>
      <c r="K13" s="49">
        <v>64551.6</v>
      </c>
      <c r="L13">
        <f t="shared" si="5"/>
        <v>138463.182</v>
      </c>
      <c r="M13">
        <f t="shared" si="6"/>
        <v>64551.6</v>
      </c>
    </row>
    <row r="14" spans="1:13" ht="33.75" customHeight="1">
      <c r="A14" s="38"/>
      <c r="B14" s="39" t="s">
        <v>393</v>
      </c>
      <c r="C14" s="40">
        <f t="shared" si="0"/>
        <v>55000</v>
      </c>
      <c r="D14" s="40">
        <f t="shared" si="1"/>
        <v>35750</v>
      </c>
      <c r="E14" s="40">
        <f t="shared" si="2"/>
        <v>35750</v>
      </c>
      <c r="F14" s="40">
        <f t="shared" si="3"/>
        <v>38500</v>
      </c>
      <c r="G14" s="40">
        <f t="shared" si="4"/>
        <v>38500</v>
      </c>
      <c r="H14" s="39">
        <v>1</v>
      </c>
      <c r="I14" s="38" t="s">
        <v>23</v>
      </c>
      <c r="J14" s="38" t="s">
        <v>441</v>
      </c>
      <c r="K14" s="49">
        <v>25398.600000000002</v>
      </c>
      <c r="L14">
        <f t="shared" si="5"/>
        <v>54479.997000000003</v>
      </c>
      <c r="M14">
        <f t="shared" si="6"/>
        <v>25398.600000000002</v>
      </c>
    </row>
    <row r="15" spans="1:13" ht="33.75" customHeight="1">
      <c r="A15" s="38"/>
      <c r="B15" s="39" t="s">
        <v>395</v>
      </c>
      <c r="C15" s="40">
        <f t="shared" si="0"/>
        <v>47000</v>
      </c>
      <c r="D15" s="40">
        <f t="shared" si="1"/>
        <v>30550</v>
      </c>
      <c r="E15" s="40">
        <f t="shared" si="2"/>
        <v>30550</v>
      </c>
      <c r="F15" s="40">
        <f t="shared" si="3"/>
        <v>32900</v>
      </c>
      <c r="G15" s="40">
        <f t="shared" si="4"/>
        <v>32900</v>
      </c>
      <c r="H15" s="39">
        <v>1</v>
      </c>
      <c r="I15" s="38" t="s">
        <v>23</v>
      </c>
      <c r="J15" s="38" t="s">
        <v>441</v>
      </c>
      <c r="K15" s="49">
        <v>21691.200000000001</v>
      </c>
      <c r="L15">
        <f t="shared" si="5"/>
        <v>46527.624000000003</v>
      </c>
      <c r="M15">
        <f t="shared" si="6"/>
        <v>21691.200000000001</v>
      </c>
    </row>
    <row r="16" spans="1:13" ht="33.75" customHeight="1">
      <c r="A16" s="38"/>
      <c r="B16" s="39" t="s">
        <v>398</v>
      </c>
      <c r="C16" s="40">
        <f t="shared" si="0"/>
        <v>99000</v>
      </c>
      <c r="D16" s="40">
        <f t="shared" si="1"/>
        <v>64350</v>
      </c>
      <c r="E16" s="40">
        <f t="shared" si="2"/>
        <v>128700</v>
      </c>
      <c r="F16" s="40">
        <f t="shared" si="3"/>
        <v>69300</v>
      </c>
      <c r="G16" s="40">
        <f t="shared" si="4"/>
        <v>138600</v>
      </c>
      <c r="H16" s="39">
        <v>2</v>
      </c>
      <c r="I16" s="38" t="s">
        <v>23</v>
      </c>
      <c r="J16" s="38" t="s">
        <v>441</v>
      </c>
      <c r="K16" s="49">
        <v>45864</v>
      </c>
      <c r="L16">
        <f t="shared" si="5"/>
        <v>98378.28</v>
      </c>
      <c r="M16">
        <f t="shared" si="6"/>
        <v>91728</v>
      </c>
    </row>
    <row r="17" spans="1:13" ht="33.75" customHeight="1">
      <c r="A17" s="38"/>
      <c r="B17" s="39" t="s">
        <v>410</v>
      </c>
      <c r="C17" s="40">
        <f t="shared" si="0"/>
        <v>42000</v>
      </c>
      <c r="D17" s="40">
        <f t="shared" si="1"/>
        <v>27300</v>
      </c>
      <c r="E17" s="40">
        <f t="shared" si="2"/>
        <v>27300</v>
      </c>
      <c r="F17" s="40">
        <f t="shared" si="3"/>
        <v>29399.999999999996</v>
      </c>
      <c r="G17" s="40">
        <f t="shared" si="4"/>
        <v>29399.999999999996</v>
      </c>
      <c r="H17" s="39">
        <v>1</v>
      </c>
      <c r="I17" s="38" t="s">
        <v>23</v>
      </c>
      <c r="J17" s="38" t="s">
        <v>441</v>
      </c>
      <c r="K17" s="56">
        <v>19359</v>
      </c>
      <c r="L17">
        <f t="shared" si="5"/>
        <v>41525.055</v>
      </c>
      <c r="M17">
        <f t="shared" si="6"/>
        <v>19359</v>
      </c>
    </row>
  </sheetData>
  <autoFilter ref="A1:K17" xr:uid="{BB7C6826-8CDC-44DC-8476-2F168D8E306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3"/>
  <sheetViews>
    <sheetView workbookViewId="0"/>
  </sheetViews>
  <sheetFormatPr defaultRowHeight="14.25"/>
  <cols>
    <col min="1" max="1" width="6" customWidth="1"/>
    <col min="2" max="2" width="16" customWidth="1"/>
    <col min="3" max="3" width="22" customWidth="1"/>
    <col min="4" max="4" width="46" customWidth="1"/>
    <col min="5" max="5" width="16" customWidth="1"/>
    <col min="6" max="6" width="10" customWidth="1"/>
    <col min="7" max="7" width="18" customWidth="1"/>
    <col min="8" max="8" width="16" customWidth="1"/>
    <col min="9" max="9" width="10" customWidth="1"/>
    <col min="10" max="10" width="16" customWidth="1"/>
    <col min="11" max="11" width="32" customWidth="1"/>
    <col min="12" max="12" width="50" customWidth="1"/>
  </cols>
  <sheetData>
    <row r="1" spans="1:12" ht="30">
      <c r="A1" s="1" t="s">
        <v>0</v>
      </c>
      <c r="B1" s="1" t="s">
        <v>2</v>
      </c>
      <c r="C1" s="1" t="s">
        <v>3</v>
      </c>
      <c r="D1" s="1" t="s">
        <v>4</v>
      </c>
      <c r="E1" s="1" t="s">
        <v>243</v>
      </c>
      <c r="F1" s="1" t="s">
        <v>9</v>
      </c>
      <c r="G1" s="1" t="s">
        <v>10</v>
      </c>
      <c r="H1" s="1" t="s">
        <v>14</v>
      </c>
      <c r="I1" s="1" t="s">
        <v>15</v>
      </c>
      <c r="J1" s="1" t="s">
        <v>244</v>
      </c>
      <c r="K1" s="1" t="s">
        <v>245</v>
      </c>
      <c r="L1" s="1" t="s">
        <v>12</v>
      </c>
    </row>
    <row r="2" spans="1:12">
      <c r="A2" s="2">
        <v>1</v>
      </c>
      <c r="B2" s="2" t="s">
        <v>27</v>
      </c>
      <c r="C2" s="2" t="s">
        <v>28</v>
      </c>
      <c r="D2" s="2" t="s">
        <v>29</v>
      </c>
      <c r="E2" s="3">
        <v>1</v>
      </c>
      <c r="F2" s="2" t="s">
        <v>31</v>
      </c>
      <c r="G2" s="2" t="s">
        <v>32</v>
      </c>
      <c r="H2" s="4">
        <v>350000</v>
      </c>
      <c r="I2" s="2" t="s">
        <v>35</v>
      </c>
      <c r="J2" s="4">
        <f t="shared" ref="J2:J33" si="0">IF(OR(E2="",H2=""),"",E2*H2)</f>
        <v>350000</v>
      </c>
      <c r="K2" s="2" t="s">
        <v>18</v>
      </c>
      <c r="L2" s="2" t="s">
        <v>34</v>
      </c>
    </row>
    <row r="3" spans="1:12" ht="28.5">
      <c r="A3" s="2">
        <v>2</v>
      </c>
      <c r="B3" s="2" t="s">
        <v>36</v>
      </c>
      <c r="C3" s="2" t="s">
        <v>37</v>
      </c>
      <c r="D3" s="2" t="s">
        <v>38</v>
      </c>
      <c r="E3" s="3">
        <v>2</v>
      </c>
      <c r="F3" s="2" t="s">
        <v>31</v>
      </c>
      <c r="G3" s="2" t="s">
        <v>40</v>
      </c>
      <c r="H3" s="4">
        <v>480000</v>
      </c>
      <c r="I3" s="2" t="s">
        <v>35</v>
      </c>
      <c r="J3" s="4">
        <f t="shared" si="0"/>
        <v>960000</v>
      </c>
      <c r="K3" s="2" t="s">
        <v>18</v>
      </c>
      <c r="L3" s="2" t="s">
        <v>42</v>
      </c>
    </row>
    <row r="4" spans="1:12" ht="28.5">
      <c r="A4" s="2">
        <v>3</v>
      </c>
      <c r="B4" s="2" t="s">
        <v>36</v>
      </c>
      <c r="C4" s="2" t="s">
        <v>43</v>
      </c>
      <c r="D4" s="2" t="s">
        <v>44</v>
      </c>
      <c r="E4" s="3">
        <v>2</v>
      </c>
      <c r="F4" s="2" t="s">
        <v>31</v>
      </c>
      <c r="G4" s="2" t="s">
        <v>40</v>
      </c>
      <c r="H4" s="4">
        <v>320000</v>
      </c>
      <c r="I4" s="2" t="s">
        <v>35</v>
      </c>
      <c r="J4" s="4">
        <f t="shared" si="0"/>
        <v>640000</v>
      </c>
      <c r="K4" s="2" t="s">
        <v>18</v>
      </c>
      <c r="L4" s="2" t="s">
        <v>46</v>
      </c>
    </row>
    <row r="5" spans="1:12" ht="28.5">
      <c r="A5" s="2">
        <v>4</v>
      </c>
      <c r="B5" s="2" t="s">
        <v>36</v>
      </c>
      <c r="C5" s="2" t="s">
        <v>47</v>
      </c>
      <c r="D5" s="2" t="s">
        <v>48</v>
      </c>
      <c r="E5" s="3">
        <v>4</v>
      </c>
      <c r="F5" s="2" t="s">
        <v>31</v>
      </c>
      <c r="G5" s="2" t="s">
        <v>40</v>
      </c>
      <c r="H5" s="4">
        <v>220000</v>
      </c>
      <c r="I5" s="2" t="s">
        <v>35</v>
      </c>
      <c r="J5" s="4">
        <f t="shared" si="0"/>
        <v>880000</v>
      </c>
      <c r="K5" s="2" t="s">
        <v>18</v>
      </c>
      <c r="L5" s="2" t="s">
        <v>50</v>
      </c>
    </row>
    <row r="6" spans="1:12" ht="57">
      <c r="A6" s="2">
        <v>5</v>
      </c>
      <c r="B6" s="2" t="s">
        <v>51</v>
      </c>
      <c r="C6" s="2" t="s">
        <v>52</v>
      </c>
      <c r="D6" s="2" t="s">
        <v>53</v>
      </c>
      <c r="E6" s="3">
        <v>11</v>
      </c>
      <c r="F6" s="2" t="s">
        <v>31</v>
      </c>
      <c r="G6" s="2" t="s">
        <v>40</v>
      </c>
      <c r="H6" s="4">
        <v>18000</v>
      </c>
      <c r="I6" s="2" t="s">
        <v>35</v>
      </c>
      <c r="J6" s="4">
        <f t="shared" si="0"/>
        <v>198000</v>
      </c>
      <c r="K6" s="2" t="s">
        <v>246</v>
      </c>
      <c r="L6" s="2" t="s">
        <v>247</v>
      </c>
    </row>
    <row r="7" spans="1:12" ht="57">
      <c r="A7" s="2">
        <v>6</v>
      </c>
      <c r="B7" s="2" t="s">
        <v>56</v>
      </c>
      <c r="C7" s="2" t="s">
        <v>57</v>
      </c>
      <c r="D7" s="2" t="s">
        <v>58</v>
      </c>
      <c r="E7" s="3">
        <v>7</v>
      </c>
      <c r="F7" s="2" t="s">
        <v>31</v>
      </c>
      <c r="G7" s="2" t="s">
        <v>40</v>
      </c>
      <c r="H7" s="4">
        <v>13500</v>
      </c>
      <c r="I7" s="2" t="s">
        <v>35</v>
      </c>
      <c r="J7" s="4">
        <f t="shared" si="0"/>
        <v>94500</v>
      </c>
      <c r="K7" s="2" t="s">
        <v>248</v>
      </c>
      <c r="L7" s="2" t="s">
        <v>249</v>
      </c>
    </row>
    <row r="8" spans="1:12">
      <c r="A8" s="2">
        <v>7</v>
      </c>
      <c r="B8" s="2" t="s">
        <v>61</v>
      </c>
      <c r="C8" s="2" t="s">
        <v>62</v>
      </c>
      <c r="D8" s="2" t="s">
        <v>63</v>
      </c>
      <c r="E8" s="3">
        <v>6</v>
      </c>
      <c r="F8" s="2" t="s">
        <v>31</v>
      </c>
      <c r="G8" s="2" t="s">
        <v>65</v>
      </c>
      <c r="H8" s="4">
        <v>22000</v>
      </c>
      <c r="I8" s="2" t="s">
        <v>35</v>
      </c>
      <c r="J8" s="4">
        <f t="shared" si="0"/>
        <v>132000</v>
      </c>
      <c r="K8" s="2" t="s">
        <v>18</v>
      </c>
      <c r="L8" s="2" t="s">
        <v>66</v>
      </c>
    </row>
    <row r="9" spans="1:12" ht="28.5">
      <c r="A9" s="2">
        <v>8</v>
      </c>
      <c r="B9" s="2" t="s">
        <v>61</v>
      </c>
      <c r="C9" s="2" t="s">
        <v>67</v>
      </c>
      <c r="D9" s="2" t="s">
        <v>68</v>
      </c>
      <c r="E9" s="3">
        <v>2</v>
      </c>
      <c r="F9" s="2" t="s">
        <v>31</v>
      </c>
      <c r="G9" s="2" t="s">
        <v>65</v>
      </c>
      <c r="H9" s="4">
        <v>39100</v>
      </c>
      <c r="I9" s="2" t="s">
        <v>35</v>
      </c>
      <c r="J9" s="4">
        <f t="shared" si="0"/>
        <v>78200</v>
      </c>
      <c r="K9" s="2" t="s">
        <v>18</v>
      </c>
      <c r="L9" s="2" t="s">
        <v>69</v>
      </c>
    </row>
    <row r="10" spans="1:12">
      <c r="A10" s="2">
        <v>9</v>
      </c>
      <c r="B10" s="2" t="s">
        <v>70</v>
      </c>
      <c r="C10" s="2" t="s">
        <v>71</v>
      </c>
      <c r="D10" s="2" t="s">
        <v>72</v>
      </c>
      <c r="E10" s="3">
        <v>3</v>
      </c>
      <c r="F10" s="2" t="s">
        <v>74</v>
      </c>
      <c r="G10" s="2" t="s">
        <v>75</v>
      </c>
      <c r="H10" s="4">
        <v>4197</v>
      </c>
      <c r="I10" s="2" t="s">
        <v>35</v>
      </c>
      <c r="J10" s="4">
        <f t="shared" si="0"/>
        <v>12591</v>
      </c>
      <c r="K10" s="2" t="s">
        <v>18</v>
      </c>
      <c r="L10" s="2" t="s">
        <v>76</v>
      </c>
    </row>
    <row r="11" spans="1:12">
      <c r="A11" s="2">
        <v>10</v>
      </c>
      <c r="B11" s="2" t="s">
        <v>77</v>
      </c>
      <c r="C11" s="2" t="s">
        <v>78</v>
      </c>
      <c r="D11" s="2" t="s">
        <v>79</v>
      </c>
      <c r="E11" s="3">
        <v>4</v>
      </c>
      <c r="F11" s="2" t="s">
        <v>31</v>
      </c>
      <c r="G11" s="2" t="s">
        <v>75</v>
      </c>
      <c r="H11" s="4">
        <v>1200</v>
      </c>
      <c r="I11" s="2" t="s">
        <v>35</v>
      </c>
      <c r="J11" s="4">
        <f t="shared" si="0"/>
        <v>4800</v>
      </c>
      <c r="K11" s="2" t="s">
        <v>18</v>
      </c>
      <c r="L11" s="2"/>
    </row>
    <row r="12" spans="1:12">
      <c r="A12" s="2">
        <v>11</v>
      </c>
      <c r="B12" s="2" t="s">
        <v>80</v>
      </c>
      <c r="C12" s="2" t="s">
        <v>81</v>
      </c>
      <c r="D12" s="2" t="s">
        <v>82</v>
      </c>
      <c r="E12" s="3">
        <v>6</v>
      </c>
      <c r="F12" s="2" t="s">
        <v>74</v>
      </c>
      <c r="G12" s="2" t="s">
        <v>75</v>
      </c>
      <c r="H12" s="4">
        <v>1800</v>
      </c>
      <c r="I12" s="2" t="s">
        <v>35</v>
      </c>
      <c r="J12" s="4">
        <f t="shared" si="0"/>
        <v>10800</v>
      </c>
      <c r="K12" s="2" t="s">
        <v>18</v>
      </c>
      <c r="L12" s="2"/>
    </row>
    <row r="13" spans="1:12">
      <c r="A13" s="2">
        <v>12</v>
      </c>
      <c r="B13" s="2" t="s">
        <v>83</v>
      </c>
      <c r="C13" s="2"/>
      <c r="D13" s="2" t="s">
        <v>84</v>
      </c>
      <c r="E13" s="3">
        <v>1</v>
      </c>
      <c r="F13" s="2" t="s">
        <v>31</v>
      </c>
      <c r="G13" s="2" t="s">
        <v>75</v>
      </c>
      <c r="H13" s="4">
        <v>45000</v>
      </c>
      <c r="I13" s="2" t="s">
        <v>35</v>
      </c>
      <c r="J13" s="4">
        <f t="shared" si="0"/>
        <v>45000</v>
      </c>
      <c r="K13" s="2" t="s">
        <v>18</v>
      </c>
      <c r="L13" s="2" t="s">
        <v>34</v>
      </c>
    </row>
    <row r="14" spans="1:12">
      <c r="A14" s="2">
        <v>13</v>
      </c>
      <c r="B14" s="2" t="s">
        <v>85</v>
      </c>
      <c r="C14" s="2"/>
      <c r="D14" s="2" t="s">
        <v>86</v>
      </c>
      <c r="E14" s="3">
        <v>1</v>
      </c>
      <c r="F14" s="2" t="s">
        <v>31</v>
      </c>
      <c r="G14" s="2" t="s">
        <v>87</v>
      </c>
      <c r="H14" s="4">
        <v>280000</v>
      </c>
      <c r="I14" s="2" t="s">
        <v>35</v>
      </c>
      <c r="J14" s="4">
        <f t="shared" si="0"/>
        <v>280000</v>
      </c>
      <c r="K14" s="2" t="s">
        <v>18</v>
      </c>
      <c r="L14" s="2" t="s">
        <v>34</v>
      </c>
    </row>
    <row r="15" spans="1:12">
      <c r="A15" s="2">
        <v>14</v>
      </c>
      <c r="B15" s="2" t="s">
        <v>27</v>
      </c>
      <c r="C15" s="2" t="s">
        <v>91</v>
      </c>
      <c r="D15" s="2" t="s">
        <v>92</v>
      </c>
      <c r="E15" s="3">
        <v>1</v>
      </c>
      <c r="F15" s="2" t="s">
        <v>31</v>
      </c>
      <c r="G15" s="2" t="s">
        <v>32</v>
      </c>
      <c r="H15" s="4">
        <v>55000</v>
      </c>
      <c r="I15" s="2" t="s">
        <v>35</v>
      </c>
      <c r="J15" s="4">
        <f t="shared" si="0"/>
        <v>55000</v>
      </c>
      <c r="K15" s="2" t="s">
        <v>88</v>
      </c>
      <c r="L15" s="2"/>
    </row>
    <row r="16" spans="1:12" ht="28.5">
      <c r="A16" s="2">
        <v>15</v>
      </c>
      <c r="B16" s="2" t="s">
        <v>51</v>
      </c>
      <c r="C16" s="2" t="s">
        <v>94</v>
      </c>
      <c r="D16" s="2" t="s">
        <v>95</v>
      </c>
      <c r="E16" s="3">
        <v>1</v>
      </c>
      <c r="F16" s="2" t="s">
        <v>31</v>
      </c>
      <c r="G16" s="2" t="s">
        <v>40</v>
      </c>
      <c r="H16" s="4">
        <v>75000</v>
      </c>
      <c r="I16" s="2" t="s">
        <v>35</v>
      </c>
      <c r="J16" s="4">
        <f t="shared" si="0"/>
        <v>75000</v>
      </c>
      <c r="K16" s="2" t="s">
        <v>88</v>
      </c>
      <c r="L16" s="2" t="s">
        <v>96</v>
      </c>
    </row>
    <row r="17" spans="1:12" ht="57">
      <c r="A17" s="2">
        <v>16</v>
      </c>
      <c r="B17" s="2" t="s">
        <v>51</v>
      </c>
      <c r="C17" s="2" t="s">
        <v>97</v>
      </c>
      <c r="D17" s="2" t="s">
        <v>98</v>
      </c>
      <c r="E17" s="3">
        <v>7</v>
      </c>
      <c r="F17" s="2" t="s">
        <v>31</v>
      </c>
      <c r="G17" s="2" t="s">
        <v>40</v>
      </c>
      <c r="H17" s="4">
        <v>22000</v>
      </c>
      <c r="I17" s="2" t="s">
        <v>35</v>
      </c>
      <c r="J17" s="4">
        <f t="shared" si="0"/>
        <v>154000</v>
      </c>
      <c r="K17" s="2" t="s">
        <v>88</v>
      </c>
      <c r="L17" s="2" t="s">
        <v>250</v>
      </c>
    </row>
    <row r="18" spans="1:12">
      <c r="A18" s="2">
        <v>17</v>
      </c>
      <c r="B18" s="2" t="s">
        <v>61</v>
      </c>
      <c r="C18" s="2" t="s">
        <v>99</v>
      </c>
      <c r="D18" s="2" t="s">
        <v>100</v>
      </c>
      <c r="E18" s="3">
        <v>3</v>
      </c>
      <c r="F18" s="2" t="s">
        <v>31</v>
      </c>
      <c r="G18" s="2" t="s">
        <v>65</v>
      </c>
      <c r="H18" s="4">
        <v>20000</v>
      </c>
      <c r="I18" s="2" t="s">
        <v>35</v>
      </c>
      <c r="J18" s="4">
        <f t="shared" si="0"/>
        <v>60000</v>
      </c>
      <c r="K18" s="2" t="s">
        <v>88</v>
      </c>
      <c r="L18" s="2"/>
    </row>
    <row r="19" spans="1:12">
      <c r="A19" s="2">
        <v>18</v>
      </c>
      <c r="B19" s="2" t="s">
        <v>61</v>
      </c>
      <c r="C19" s="2" t="s">
        <v>67</v>
      </c>
      <c r="D19" s="2" t="s">
        <v>101</v>
      </c>
      <c r="E19" s="3">
        <v>1</v>
      </c>
      <c r="F19" s="2" t="s">
        <v>31</v>
      </c>
      <c r="G19" s="2" t="s">
        <v>65</v>
      </c>
      <c r="H19" s="4">
        <v>39100</v>
      </c>
      <c r="I19" s="2" t="s">
        <v>35</v>
      </c>
      <c r="J19" s="4">
        <f t="shared" si="0"/>
        <v>39100</v>
      </c>
      <c r="K19" s="2" t="s">
        <v>88</v>
      </c>
      <c r="L19" s="2"/>
    </row>
    <row r="20" spans="1:12" ht="57">
      <c r="A20" s="2">
        <v>19</v>
      </c>
      <c r="B20" s="2" t="s">
        <v>51</v>
      </c>
      <c r="C20" s="2" t="s">
        <v>104</v>
      </c>
      <c r="D20" s="2" t="s">
        <v>105</v>
      </c>
      <c r="E20" s="3">
        <v>9</v>
      </c>
      <c r="F20" s="2" t="s">
        <v>31</v>
      </c>
      <c r="G20" s="2" t="s">
        <v>40</v>
      </c>
      <c r="H20" s="4">
        <v>9500</v>
      </c>
      <c r="I20" s="2" t="s">
        <v>35</v>
      </c>
      <c r="J20" s="4">
        <f t="shared" si="0"/>
        <v>85500</v>
      </c>
      <c r="K20" s="2" t="s">
        <v>251</v>
      </c>
      <c r="L20" s="2" t="s">
        <v>252</v>
      </c>
    </row>
    <row r="21" spans="1:12" ht="28.5">
      <c r="A21" s="2">
        <v>20</v>
      </c>
      <c r="B21" s="2" t="s">
        <v>51</v>
      </c>
      <c r="C21" s="2" t="s">
        <v>108</v>
      </c>
      <c r="D21" s="2" t="s">
        <v>109</v>
      </c>
      <c r="E21" s="3">
        <v>6</v>
      </c>
      <c r="F21" s="2" t="s">
        <v>31</v>
      </c>
      <c r="G21" s="2" t="s">
        <v>40</v>
      </c>
      <c r="H21" s="4">
        <v>3800</v>
      </c>
      <c r="I21" s="2" t="s">
        <v>35</v>
      </c>
      <c r="J21" s="4">
        <f t="shared" si="0"/>
        <v>22800</v>
      </c>
      <c r="K21" s="2" t="s">
        <v>253</v>
      </c>
      <c r="L21" s="2" t="s">
        <v>111</v>
      </c>
    </row>
    <row r="22" spans="1:12" ht="28.5">
      <c r="A22" s="2">
        <v>21</v>
      </c>
      <c r="B22" s="2" t="s">
        <v>51</v>
      </c>
      <c r="C22" s="2" t="s">
        <v>112</v>
      </c>
      <c r="D22" s="2" t="s">
        <v>113</v>
      </c>
      <c r="E22" s="3">
        <v>1</v>
      </c>
      <c r="F22" s="2" t="s">
        <v>31</v>
      </c>
      <c r="G22" s="2" t="s">
        <v>40</v>
      </c>
      <c r="H22" s="4">
        <v>3500</v>
      </c>
      <c r="I22" s="2" t="s">
        <v>35</v>
      </c>
      <c r="J22" s="4">
        <f t="shared" si="0"/>
        <v>3500</v>
      </c>
      <c r="K22" s="2" t="s">
        <v>88</v>
      </c>
      <c r="L22" s="2" t="s">
        <v>115</v>
      </c>
    </row>
    <row r="23" spans="1:12">
      <c r="A23" s="2">
        <v>22</v>
      </c>
      <c r="B23" s="2" t="s">
        <v>70</v>
      </c>
      <c r="C23" s="2" t="s">
        <v>71</v>
      </c>
      <c r="D23" s="2" t="s">
        <v>116</v>
      </c>
      <c r="E23" s="3">
        <v>1</v>
      </c>
      <c r="F23" s="2" t="s">
        <v>74</v>
      </c>
      <c r="G23" s="2" t="s">
        <v>75</v>
      </c>
      <c r="H23" s="4">
        <v>4197</v>
      </c>
      <c r="I23" s="2" t="s">
        <v>35</v>
      </c>
      <c r="J23" s="4">
        <f t="shared" si="0"/>
        <v>4197</v>
      </c>
      <c r="K23" s="2" t="s">
        <v>88</v>
      </c>
      <c r="L23" s="2"/>
    </row>
    <row r="24" spans="1:12" ht="42.75">
      <c r="A24" s="2">
        <v>23</v>
      </c>
      <c r="B24" s="2" t="s">
        <v>77</v>
      </c>
      <c r="C24" s="2" t="s">
        <v>117</v>
      </c>
      <c r="D24" s="2" t="s">
        <v>118</v>
      </c>
      <c r="E24" s="3">
        <v>129</v>
      </c>
      <c r="F24" s="2" t="s">
        <v>31</v>
      </c>
      <c r="G24" s="2" t="s">
        <v>75</v>
      </c>
      <c r="H24" s="4">
        <v>870</v>
      </c>
      <c r="I24" s="2" t="s">
        <v>35</v>
      </c>
      <c r="J24" s="4">
        <f t="shared" si="0"/>
        <v>112230</v>
      </c>
      <c r="K24" s="2" t="s">
        <v>254</v>
      </c>
      <c r="L24" s="2" t="s">
        <v>255</v>
      </c>
    </row>
    <row r="25" spans="1:12">
      <c r="A25" s="2">
        <v>24</v>
      </c>
      <c r="B25" s="2" t="s">
        <v>80</v>
      </c>
      <c r="C25" s="2" t="s">
        <v>119</v>
      </c>
      <c r="D25" s="2" t="s">
        <v>120</v>
      </c>
      <c r="E25" s="3">
        <v>3</v>
      </c>
      <c r="F25" s="2" t="s">
        <v>74</v>
      </c>
      <c r="G25" s="2" t="s">
        <v>75</v>
      </c>
      <c r="H25" s="4">
        <v>1200</v>
      </c>
      <c r="I25" s="2" t="s">
        <v>35</v>
      </c>
      <c r="J25" s="4">
        <f t="shared" si="0"/>
        <v>3600</v>
      </c>
      <c r="K25" s="2" t="s">
        <v>88</v>
      </c>
      <c r="L25" s="2"/>
    </row>
    <row r="26" spans="1:12" ht="42.75">
      <c r="A26" s="2">
        <v>25</v>
      </c>
      <c r="B26" s="2" t="s">
        <v>83</v>
      </c>
      <c r="C26" s="2"/>
      <c r="D26" s="2" t="s">
        <v>121</v>
      </c>
      <c r="E26" s="3">
        <v>111</v>
      </c>
      <c r="F26" s="2" t="s">
        <v>31</v>
      </c>
      <c r="G26" s="2" t="s">
        <v>75</v>
      </c>
      <c r="H26" s="4">
        <v>18000</v>
      </c>
      <c r="I26" s="2" t="s">
        <v>35</v>
      </c>
      <c r="J26" s="4">
        <f t="shared" si="0"/>
        <v>1998000</v>
      </c>
      <c r="K26" s="2" t="s">
        <v>254</v>
      </c>
      <c r="L26" s="2" t="s">
        <v>256</v>
      </c>
    </row>
    <row r="27" spans="1:12">
      <c r="A27" s="2">
        <v>26</v>
      </c>
      <c r="B27" s="2" t="s">
        <v>85</v>
      </c>
      <c r="C27" s="2"/>
      <c r="D27" s="2" t="s">
        <v>122</v>
      </c>
      <c r="E27" s="3">
        <v>40</v>
      </c>
      <c r="F27" s="2" t="s">
        <v>123</v>
      </c>
      <c r="G27" s="2" t="s">
        <v>87</v>
      </c>
      <c r="H27" s="4">
        <v>3500</v>
      </c>
      <c r="I27" s="2" t="s">
        <v>35</v>
      </c>
      <c r="J27" s="4">
        <f t="shared" si="0"/>
        <v>140000</v>
      </c>
      <c r="K27" s="2" t="s">
        <v>88</v>
      </c>
      <c r="L27" s="2"/>
    </row>
    <row r="28" spans="1:12">
      <c r="A28" s="2">
        <v>27</v>
      </c>
      <c r="B28" s="2" t="s">
        <v>27</v>
      </c>
      <c r="C28" s="2" t="s">
        <v>127</v>
      </c>
      <c r="D28" s="2" t="s">
        <v>128</v>
      </c>
      <c r="E28" s="3">
        <v>1</v>
      </c>
      <c r="F28" s="2" t="s">
        <v>31</v>
      </c>
      <c r="G28" s="2" t="s">
        <v>32</v>
      </c>
      <c r="H28" s="4">
        <v>28000</v>
      </c>
      <c r="I28" s="2" t="s">
        <v>35</v>
      </c>
      <c r="J28" s="4">
        <f t="shared" si="0"/>
        <v>28000</v>
      </c>
      <c r="K28" s="2" t="s">
        <v>124</v>
      </c>
      <c r="L28" s="2"/>
    </row>
    <row r="29" spans="1:12" ht="57">
      <c r="A29" s="2">
        <v>28</v>
      </c>
      <c r="B29" s="2" t="s">
        <v>36</v>
      </c>
      <c r="C29" s="2" t="s">
        <v>130</v>
      </c>
      <c r="D29" s="2" t="s">
        <v>131</v>
      </c>
      <c r="E29" s="3">
        <v>2</v>
      </c>
      <c r="F29" s="2" t="s">
        <v>31</v>
      </c>
      <c r="G29" s="2" t="s">
        <v>40</v>
      </c>
      <c r="H29" s="4">
        <v>25000</v>
      </c>
      <c r="I29" s="2" t="s">
        <v>35</v>
      </c>
      <c r="J29" s="4">
        <f t="shared" si="0"/>
        <v>50000</v>
      </c>
      <c r="K29" s="2" t="s">
        <v>257</v>
      </c>
      <c r="L29" s="2" t="s">
        <v>258</v>
      </c>
    </row>
    <row r="30" spans="1:12" ht="28.5">
      <c r="A30" s="2">
        <v>29</v>
      </c>
      <c r="B30" s="2" t="s">
        <v>135</v>
      </c>
      <c r="C30" s="2" t="s">
        <v>136</v>
      </c>
      <c r="D30" s="2" t="s">
        <v>137</v>
      </c>
      <c r="E30" s="3">
        <v>3</v>
      </c>
      <c r="F30" s="2" t="s">
        <v>31</v>
      </c>
      <c r="G30" s="2" t="s">
        <v>40</v>
      </c>
      <c r="H30" s="4">
        <v>9500</v>
      </c>
      <c r="I30" s="2" t="s">
        <v>35</v>
      </c>
      <c r="J30" s="4">
        <f t="shared" si="0"/>
        <v>28500</v>
      </c>
      <c r="K30" s="2" t="s">
        <v>124</v>
      </c>
      <c r="L30" s="2" t="s">
        <v>138</v>
      </c>
    </row>
    <row r="31" spans="1:12">
      <c r="A31" s="2">
        <v>30</v>
      </c>
      <c r="B31" s="2" t="s">
        <v>139</v>
      </c>
      <c r="C31" s="2" t="s">
        <v>140</v>
      </c>
      <c r="D31" s="2" t="s">
        <v>141</v>
      </c>
      <c r="E31" s="3">
        <v>1</v>
      </c>
      <c r="F31" s="2" t="s">
        <v>31</v>
      </c>
      <c r="G31" s="2" t="s">
        <v>142</v>
      </c>
      <c r="H31" s="4">
        <v>45000</v>
      </c>
      <c r="I31" s="2" t="s">
        <v>35</v>
      </c>
      <c r="J31" s="4">
        <f t="shared" si="0"/>
        <v>45000</v>
      </c>
      <c r="K31" s="2" t="s">
        <v>124</v>
      </c>
      <c r="L31" s="2" t="s">
        <v>143</v>
      </c>
    </row>
    <row r="32" spans="1:12">
      <c r="A32" s="2">
        <v>31</v>
      </c>
      <c r="B32" s="2" t="s">
        <v>144</v>
      </c>
      <c r="C32" s="2" t="s">
        <v>145</v>
      </c>
      <c r="D32" s="2" t="s">
        <v>146</v>
      </c>
      <c r="E32" s="3">
        <v>20</v>
      </c>
      <c r="F32" s="2" t="s">
        <v>31</v>
      </c>
      <c r="G32" s="2" t="s">
        <v>147</v>
      </c>
      <c r="H32" s="4">
        <v>380</v>
      </c>
      <c r="I32" s="2" t="s">
        <v>35</v>
      </c>
      <c r="J32" s="4">
        <f t="shared" si="0"/>
        <v>7600</v>
      </c>
      <c r="K32" s="2" t="s">
        <v>124</v>
      </c>
      <c r="L32" s="2"/>
    </row>
    <row r="33" spans="1:12">
      <c r="A33" s="2">
        <v>32</v>
      </c>
      <c r="B33" s="2" t="s">
        <v>85</v>
      </c>
      <c r="C33" s="2"/>
      <c r="D33" s="2" t="s">
        <v>148</v>
      </c>
      <c r="E33" s="3">
        <v>24</v>
      </c>
      <c r="F33" s="2" t="s">
        <v>123</v>
      </c>
      <c r="G33" s="2" t="s">
        <v>87</v>
      </c>
      <c r="H33" s="4">
        <v>3500</v>
      </c>
      <c r="I33" s="2" t="s">
        <v>35</v>
      </c>
      <c r="J33" s="4">
        <f t="shared" si="0"/>
        <v>84000</v>
      </c>
      <c r="K33" s="2" t="s">
        <v>124</v>
      </c>
      <c r="L33" s="2"/>
    </row>
    <row r="34" spans="1:12">
      <c r="A34" s="2">
        <v>33</v>
      </c>
      <c r="B34" s="2" t="s">
        <v>27</v>
      </c>
      <c r="C34" s="2" t="s">
        <v>152</v>
      </c>
      <c r="D34" s="2" t="s">
        <v>153</v>
      </c>
      <c r="E34" s="3">
        <v>1</v>
      </c>
      <c r="F34" s="2" t="s">
        <v>31</v>
      </c>
      <c r="G34" s="2" t="s">
        <v>32</v>
      </c>
      <c r="H34" s="4">
        <v>22000</v>
      </c>
      <c r="I34" s="2" t="s">
        <v>35</v>
      </c>
      <c r="J34" s="4">
        <f t="shared" ref="J34:J53" si="1">IF(OR(E34="",H34=""),"",E34*H34)</f>
        <v>22000</v>
      </c>
      <c r="K34" s="2" t="s">
        <v>149</v>
      </c>
      <c r="L34" s="2"/>
    </row>
    <row r="35" spans="1:12">
      <c r="A35" s="2">
        <v>34</v>
      </c>
      <c r="B35" s="2" t="s">
        <v>144</v>
      </c>
      <c r="C35" s="2" t="s">
        <v>145</v>
      </c>
      <c r="D35" s="2" t="s">
        <v>156</v>
      </c>
      <c r="E35" s="3">
        <v>56</v>
      </c>
      <c r="F35" s="2" t="s">
        <v>31</v>
      </c>
      <c r="G35" s="2" t="s">
        <v>147</v>
      </c>
      <c r="H35" s="4">
        <v>380</v>
      </c>
      <c r="I35" s="2" t="s">
        <v>35</v>
      </c>
      <c r="J35" s="4">
        <f t="shared" si="1"/>
        <v>21280</v>
      </c>
      <c r="K35" s="2" t="s">
        <v>259</v>
      </c>
      <c r="L35" s="2"/>
    </row>
    <row r="36" spans="1:12" ht="42.75">
      <c r="A36" s="2">
        <v>35</v>
      </c>
      <c r="B36" s="2" t="s">
        <v>85</v>
      </c>
      <c r="C36" s="2"/>
      <c r="D36" s="2" t="s">
        <v>157</v>
      </c>
      <c r="E36" s="3">
        <v>330</v>
      </c>
      <c r="F36" s="2" t="s">
        <v>123</v>
      </c>
      <c r="G36" s="2" t="s">
        <v>87</v>
      </c>
      <c r="H36" s="4">
        <v>3500</v>
      </c>
      <c r="I36" s="2" t="s">
        <v>35</v>
      </c>
      <c r="J36" s="4">
        <f t="shared" si="1"/>
        <v>1155000</v>
      </c>
      <c r="K36" s="2" t="s">
        <v>260</v>
      </c>
      <c r="L36" s="2" t="s">
        <v>261</v>
      </c>
    </row>
    <row r="37" spans="1:12">
      <c r="A37" s="2">
        <v>36</v>
      </c>
      <c r="B37" s="2" t="s">
        <v>27</v>
      </c>
      <c r="C37" s="2" t="s">
        <v>127</v>
      </c>
      <c r="D37" s="2" t="s">
        <v>160</v>
      </c>
      <c r="E37" s="3">
        <v>2</v>
      </c>
      <c r="F37" s="2" t="s">
        <v>31</v>
      </c>
      <c r="G37" s="2" t="s">
        <v>32</v>
      </c>
      <c r="H37" s="4">
        <v>22000</v>
      </c>
      <c r="I37" s="2" t="s">
        <v>35</v>
      </c>
      <c r="J37" s="4">
        <f t="shared" si="1"/>
        <v>44000</v>
      </c>
      <c r="K37" s="2" t="s">
        <v>262</v>
      </c>
      <c r="L37" s="2"/>
    </row>
    <row r="38" spans="1:12" ht="57">
      <c r="A38" s="2">
        <v>37</v>
      </c>
      <c r="B38" s="2" t="s">
        <v>51</v>
      </c>
      <c r="C38" s="2" t="s">
        <v>163</v>
      </c>
      <c r="D38" s="2" t="s">
        <v>164</v>
      </c>
      <c r="E38" s="3">
        <v>112</v>
      </c>
      <c r="F38" s="2" t="s">
        <v>31</v>
      </c>
      <c r="G38" s="2" t="s">
        <v>40</v>
      </c>
      <c r="H38" s="4">
        <v>3500</v>
      </c>
      <c r="I38" s="2" t="s">
        <v>35</v>
      </c>
      <c r="J38" s="4">
        <f t="shared" si="1"/>
        <v>392000</v>
      </c>
      <c r="K38" s="2" t="s">
        <v>263</v>
      </c>
      <c r="L38" s="2" t="s">
        <v>264</v>
      </c>
    </row>
    <row r="39" spans="1:12" ht="28.5">
      <c r="A39" s="2">
        <v>38</v>
      </c>
      <c r="B39" s="2" t="s">
        <v>135</v>
      </c>
      <c r="C39" s="2" t="s">
        <v>170</v>
      </c>
      <c r="D39" s="2" t="s">
        <v>171</v>
      </c>
      <c r="E39" s="3">
        <v>1</v>
      </c>
      <c r="F39" s="2" t="s">
        <v>31</v>
      </c>
      <c r="G39" s="2" t="s">
        <v>40</v>
      </c>
      <c r="H39" s="4">
        <v>8000</v>
      </c>
      <c r="I39" s="2" t="s">
        <v>35</v>
      </c>
      <c r="J39" s="4">
        <f t="shared" si="1"/>
        <v>8000</v>
      </c>
      <c r="K39" s="2" t="s">
        <v>167</v>
      </c>
      <c r="L39" s="2" t="s">
        <v>173</v>
      </c>
    </row>
    <row r="40" spans="1:12" ht="28.5">
      <c r="A40" s="2">
        <v>39</v>
      </c>
      <c r="B40" s="2" t="s">
        <v>27</v>
      </c>
      <c r="C40" s="2" t="s">
        <v>178</v>
      </c>
      <c r="D40" s="2" t="s">
        <v>179</v>
      </c>
      <c r="E40" s="3">
        <v>1</v>
      </c>
      <c r="F40" s="2" t="s">
        <v>31</v>
      </c>
      <c r="G40" s="2" t="s">
        <v>32</v>
      </c>
      <c r="H40" s="4">
        <v>65000</v>
      </c>
      <c r="I40" s="2" t="s">
        <v>35</v>
      </c>
      <c r="J40" s="4">
        <f t="shared" si="1"/>
        <v>65000</v>
      </c>
      <c r="K40" s="2" t="s">
        <v>174</v>
      </c>
      <c r="L40" s="2"/>
    </row>
    <row r="41" spans="1:12" ht="71.25">
      <c r="A41" s="2">
        <v>40</v>
      </c>
      <c r="B41" s="2" t="s">
        <v>51</v>
      </c>
      <c r="C41" s="2" t="s">
        <v>181</v>
      </c>
      <c r="D41" s="2" t="s">
        <v>182</v>
      </c>
      <c r="E41" s="3">
        <v>94</v>
      </c>
      <c r="F41" s="2" t="s">
        <v>31</v>
      </c>
      <c r="G41" s="2" t="s">
        <v>40</v>
      </c>
      <c r="H41" s="4">
        <v>5500</v>
      </c>
      <c r="I41" s="2" t="s">
        <v>35</v>
      </c>
      <c r="J41" s="4">
        <f t="shared" si="1"/>
        <v>517000</v>
      </c>
      <c r="K41" s="2" t="s">
        <v>265</v>
      </c>
      <c r="L41" s="2" t="s">
        <v>266</v>
      </c>
    </row>
    <row r="42" spans="1:12">
      <c r="A42" s="2">
        <v>41</v>
      </c>
      <c r="B42" s="2" t="s">
        <v>61</v>
      </c>
      <c r="C42" s="2" t="s">
        <v>185</v>
      </c>
      <c r="D42" s="2" t="s">
        <v>186</v>
      </c>
      <c r="E42" s="3">
        <v>6</v>
      </c>
      <c r="F42" s="2" t="s">
        <v>31</v>
      </c>
      <c r="G42" s="2" t="s">
        <v>65</v>
      </c>
      <c r="H42" s="4">
        <v>13500</v>
      </c>
      <c r="I42" s="2" t="s">
        <v>35</v>
      </c>
      <c r="J42" s="4">
        <f t="shared" si="1"/>
        <v>81000</v>
      </c>
      <c r="K42" s="2" t="s">
        <v>174</v>
      </c>
      <c r="L42" s="2" t="s">
        <v>188</v>
      </c>
    </row>
    <row r="43" spans="1:12" ht="71.25">
      <c r="A43" s="2">
        <v>42</v>
      </c>
      <c r="B43" s="2" t="s">
        <v>56</v>
      </c>
      <c r="C43" s="2" t="s">
        <v>189</v>
      </c>
      <c r="D43" s="2" t="s">
        <v>190</v>
      </c>
      <c r="E43" s="3">
        <v>94</v>
      </c>
      <c r="F43" s="2" t="s">
        <v>31</v>
      </c>
      <c r="G43" s="2" t="s">
        <v>40</v>
      </c>
      <c r="H43" s="4">
        <v>16500</v>
      </c>
      <c r="I43" s="2" t="s">
        <v>35</v>
      </c>
      <c r="J43" s="4">
        <f t="shared" si="1"/>
        <v>1551000</v>
      </c>
      <c r="K43" s="2" t="s">
        <v>265</v>
      </c>
      <c r="L43" s="2" t="s">
        <v>267</v>
      </c>
    </row>
    <row r="44" spans="1:12">
      <c r="A44" s="2">
        <v>43</v>
      </c>
      <c r="B44" s="2" t="s">
        <v>70</v>
      </c>
      <c r="C44" s="2" t="s">
        <v>71</v>
      </c>
      <c r="D44" s="2" t="s">
        <v>193</v>
      </c>
      <c r="E44" s="3">
        <v>12</v>
      </c>
      <c r="F44" s="2" t="s">
        <v>74</v>
      </c>
      <c r="G44" s="2" t="s">
        <v>75</v>
      </c>
      <c r="H44" s="4">
        <v>4197</v>
      </c>
      <c r="I44" s="2" t="s">
        <v>35</v>
      </c>
      <c r="J44" s="4">
        <f t="shared" si="1"/>
        <v>50364</v>
      </c>
      <c r="K44" s="2" t="s">
        <v>265</v>
      </c>
      <c r="L44" s="2" t="s">
        <v>203</v>
      </c>
    </row>
    <row r="45" spans="1:12">
      <c r="A45" s="2">
        <v>44</v>
      </c>
      <c r="B45" s="2" t="s">
        <v>85</v>
      </c>
      <c r="C45" s="2"/>
      <c r="D45" s="2" t="s">
        <v>194</v>
      </c>
      <c r="E45" s="3">
        <v>20</v>
      </c>
      <c r="F45" s="2" t="s">
        <v>123</v>
      </c>
      <c r="G45" s="2" t="s">
        <v>87</v>
      </c>
      <c r="H45" s="4">
        <v>3500</v>
      </c>
      <c r="I45" s="2" t="s">
        <v>35</v>
      </c>
      <c r="J45" s="4">
        <f t="shared" si="1"/>
        <v>70000</v>
      </c>
      <c r="K45" s="2" t="s">
        <v>174</v>
      </c>
      <c r="L45" s="2"/>
    </row>
    <row r="46" spans="1:12" ht="28.5">
      <c r="A46" s="2">
        <v>45</v>
      </c>
      <c r="B46" s="2" t="s">
        <v>27</v>
      </c>
      <c r="C46" s="2" t="s">
        <v>196</v>
      </c>
      <c r="D46" s="2" t="s">
        <v>197</v>
      </c>
      <c r="E46" s="3">
        <v>11</v>
      </c>
      <c r="F46" s="2" t="s">
        <v>31</v>
      </c>
      <c r="G46" s="2" t="s">
        <v>32</v>
      </c>
      <c r="H46" s="4">
        <v>70000</v>
      </c>
      <c r="I46" s="2" t="s">
        <v>35</v>
      </c>
      <c r="J46" s="4">
        <f t="shared" si="1"/>
        <v>770000</v>
      </c>
      <c r="K46" s="2" t="s">
        <v>195</v>
      </c>
      <c r="L46" s="2" t="s">
        <v>198</v>
      </c>
    </row>
    <row r="47" spans="1:12" ht="28.5">
      <c r="A47" s="2">
        <v>46</v>
      </c>
      <c r="B47" s="2" t="s">
        <v>61</v>
      </c>
      <c r="C47" s="2" t="s">
        <v>185</v>
      </c>
      <c r="D47" s="2" t="s">
        <v>200</v>
      </c>
      <c r="E47" s="3">
        <v>88</v>
      </c>
      <c r="F47" s="2" t="s">
        <v>31</v>
      </c>
      <c r="G47" s="2" t="s">
        <v>65</v>
      </c>
      <c r="H47" s="4">
        <v>13500</v>
      </c>
      <c r="I47" s="2" t="s">
        <v>35</v>
      </c>
      <c r="J47" s="4">
        <f t="shared" si="1"/>
        <v>1188000</v>
      </c>
      <c r="K47" s="2" t="s">
        <v>195</v>
      </c>
      <c r="L47" s="2" t="s">
        <v>201</v>
      </c>
    </row>
    <row r="48" spans="1:12" ht="28.5">
      <c r="A48" s="2">
        <v>47</v>
      </c>
      <c r="B48" s="2" t="s">
        <v>85</v>
      </c>
      <c r="C48" s="2"/>
      <c r="D48" s="2" t="s">
        <v>205</v>
      </c>
      <c r="E48" s="3">
        <v>198</v>
      </c>
      <c r="F48" s="2" t="s">
        <v>123</v>
      </c>
      <c r="G48" s="2" t="s">
        <v>87</v>
      </c>
      <c r="H48" s="4">
        <v>3500</v>
      </c>
      <c r="I48" s="2" t="s">
        <v>35</v>
      </c>
      <c r="J48" s="4">
        <f t="shared" si="1"/>
        <v>693000</v>
      </c>
      <c r="K48" s="2" t="s">
        <v>195</v>
      </c>
      <c r="L48" s="2" t="s">
        <v>206</v>
      </c>
    </row>
    <row r="49" spans="1:12" ht="28.5">
      <c r="A49" s="2">
        <v>48</v>
      </c>
      <c r="B49" s="2" t="s">
        <v>27</v>
      </c>
      <c r="C49" s="2" t="s">
        <v>210</v>
      </c>
      <c r="D49" s="2" t="s">
        <v>211</v>
      </c>
      <c r="E49" s="3">
        <v>94</v>
      </c>
      <c r="F49" s="2" t="s">
        <v>31</v>
      </c>
      <c r="G49" s="2" t="s">
        <v>32</v>
      </c>
      <c r="H49" s="4">
        <v>12500</v>
      </c>
      <c r="I49" s="2" t="s">
        <v>35</v>
      </c>
      <c r="J49" s="4">
        <f t="shared" si="1"/>
        <v>1175000</v>
      </c>
      <c r="K49" s="2" t="s">
        <v>268</v>
      </c>
      <c r="L49" s="2" t="s">
        <v>269</v>
      </c>
    </row>
    <row r="50" spans="1:12" ht="71.25">
      <c r="A50" s="2">
        <v>49</v>
      </c>
      <c r="B50" s="2" t="s">
        <v>36</v>
      </c>
      <c r="C50" s="2" t="s">
        <v>214</v>
      </c>
      <c r="D50" s="2" t="s">
        <v>215</v>
      </c>
      <c r="E50" s="3">
        <v>94</v>
      </c>
      <c r="F50" s="2" t="s">
        <v>31</v>
      </c>
      <c r="G50" s="2" t="s">
        <v>40</v>
      </c>
      <c r="H50" s="4">
        <v>7500</v>
      </c>
      <c r="I50" s="2" t="s">
        <v>35</v>
      </c>
      <c r="J50" s="4">
        <f t="shared" si="1"/>
        <v>705000</v>
      </c>
      <c r="K50" s="2" t="s">
        <v>268</v>
      </c>
      <c r="L50" s="2" t="s">
        <v>270</v>
      </c>
    </row>
    <row r="51" spans="1:12" ht="71.25">
      <c r="A51" s="2">
        <v>50</v>
      </c>
      <c r="B51" s="2" t="s">
        <v>56</v>
      </c>
      <c r="C51" s="2" t="s">
        <v>219</v>
      </c>
      <c r="D51" s="2" t="s">
        <v>220</v>
      </c>
      <c r="E51" s="3">
        <v>293</v>
      </c>
      <c r="F51" s="2" t="s">
        <v>31</v>
      </c>
      <c r="G51" s="2" t="s">
        <v>40</v>
      </c>
      <c r="H51" s="4">
        <v>13500</v>
      </c>
      <c r="I51" s="2" t="s">
        <v>35</v>
      </c>
      <c r="J51" s="4">
        <f t="shared" si="1"/>
        <v>3955500</v>
      </c>
      <c r="K51" s="2" t="s">
        <v>268</v>
      </c>
      <c r="L51" s="2" t="s">
        <v>271</v>
      </c>
    </row>
    <row r="52" spans="1:12" ht="71.25">
      <c r="A52" s="2">
        <v>51</v>
      </c>
      <c r="B52" s="2" t="s">
        <v>56</v>
      </c>
      <c r="C52" s="2" t="s">
        <v>223</v>
      </c>
      <c r="D52" s="2" t="s">
        <v>224</v>
      </c>
      <c r="E52" s="3">
        <v>94</v>
      </c>
      <c r="F52" s="2" t="s">
        <v>31</v>
      </c>
      <c r="G52" s="2" t="s">
        <v>40</v>
      </c>
      <c r="H52" s="4">
        <v>15000</v>
      </c>
      <c r="I52" s="2" t="s">
        <v>35</v>
      </c>
      <c r="J52" s="4">
        <f t="shared" si="1"/>
        <v>1410000</v>
      </c>
      <c r="K52" s="2" t="s">
        <v>268</v>
      </c>
      <c r="L52" s="2" t="s">
        <v>272</v>
      </c>
    </row>
    <row r="53" spans="1:12" ht="28.5">
      <c r="A53" s="2">
        <v>52</v>
      </c>
      <c r="B53" s="2" t="s">
        <v>85</v>
      </c>
      <c r="C53" s="2"/>
      <c r="D53" s="2" t="s">
        <v>228</v>
      </c>
      <c r="E53" s="3">
        <v>180</v>
      </c>
      <c r="F53" s="2" t="s">
        <v>123</v>
      </c>
      <c r="G53" s="2" t="s">
        <v>87</v>
      </c>
      <c r="H53" s="4">
        <v>3500</v>
      </c>
      <c r="I53" s="2" t="s">
        <v>35</v>
      </c>
      <c r="J53" s="4">
        <f t="shared" si="1"/>
        <v>630000</v>
      </c>
      <c r="K53" s="2" t="s">
        <v>207</v>
      </c>
      <c r="L53" s="2" t="s">
        <v>229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4.25"/>
  <cols>
    <col min="1" max="1" width="32" customWidth="1"/>
    <col min="2" max="2" width="90" customWidth="1"/>
  </cols>
  <sheetData>
    <row r="1" spans="1:2" ht="15">
      <c r="A1" s="1" t="s">
        <v>273</v>
      </c>
      <c r="B1" s="1" t="s">
        <v>274</v>
      </c>
    </row>
    <row r="2" spans="1:2">
      <c r="A2" s="2" t="s">
        <v>275</v>
      </c>
      <c r="B2" s="2" t="s">
        <v>276</v>
      </c>
    </row>
    <row r="3" spans="1:2">
      <c r="A3" s="2" t="s">
        <v>277</v>
      </c>
      <c r="B3" s="2" t="s">
        <v>278</v>
      </c>
    </row>
    <row r="4" spans="1:2">
      <c r="A4" s="2" t="s">
        <v>279</v>
      </c>
      <c r="B4" s="2" t="s">
        <v>280</v>
      </c>
    </row>
    <row r="5" spans="1:2" ht="28.5">
      <c r="A5" s="2" t="s">
        <v>281</v>
      </c>
      <c r="B5" s="2" t="s">
        <v>282</v>
      </c>
    </row>
    <row r="6" spans="1:2">
      <c r="A6" s="2" t="s">
        <v>283</v>
      </c>
      <c r="B6" s="2" t="s">
        <v>284</v>
      </c>
    </row>
    <row r="7" spans="1:2">
      <c r="A7" s="2" t="s">
        <v>285</v>
      </c>
      <c r="B7" s="2" t="s">
        <v>286</v>
      </c>
    </row>
    <row r="8" spans="1:2">
      <c r="A8" s="2" t="s">
        <v>287</v>
      </c>
      <c r="B8" s="2" t="s">
        <v>288</v>
      </c>
    </row>
    <row r="9" spans="1:2" ht="28.5">
      <c r="A9" s="2" t="s">
        <v>289</v>
      </c>
      <c r="B9" s="2" t="s">
        <v>290</v>
      </c>
    </row>
    <row r="10" spans="1:2">
      <c r="A10" s="2" t="s">
        <v>291</v>
      </c>
      <c r="B10" s="2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01_BOM_DUZELTILDI</vt:lpstr>
      <vt:lpstr>Sayfa1</vt:lpstr>
      <vt:lpstr>Sayfa2</vt:lpstr>
      <vt:lpstr>02_Satin_Alma</vt:lpstr>
      <vt:lpstr>03_Kontrol_Notlari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2026-06-02T14:11:18Z</dcterms:modified>
</cp:coreProperties>
</file>