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1 germes labaratuvar\"/>
    </mc:Choice>
  </mc:AlternateContent>
  <xr:revisionPtr revIDLastSave="0" documentId="13_ncr:1_{364AB1D6-4DD4-486F-8468-793BB14B6A4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AB_CHINT_BOM" sheetId="1" r:id="rId1"/>
    <sheet name="MED_CHINT_BOM" sheetId="2" r:id="rId2"/>
    <sheet name="OZET" sheetId="3" r:id="rId3"/>
    <sheet name="KONTROL" sheetId="4" r:id="rId4"/>
    <sheet name="KAYNAKLAR" sheetId="5" r:id="rId5"/>
  </sheets>
  <definedNames>
    <definedName name="_xlnm._FilterDatabase" localSheetId="0" hidden="1">LAB_CHINT_BOM!$A$4:$N$119</definedName>
    <definedName name="_xlnm._FilterDatabase" localSheetId="1" hidden="1">MED_CHINT_BOM!$A$4:$N$105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2" l="1"/>
  <c r="H84" i="2" s="1"/>
  <c r="G83" i="2"/>
  <c r="H83" i="2" s="1"/>
  <c r="G33" i="2"/>
  <c r="H33" i="2" s="1"/>
  <c r="G82" i="2"/>
  <c r="H82" i="2" s="1"/>
  <c r="G61" i="2"/>
  <c r="H61" i="2" s="1"/>
  <c r="G47" i="2"/>
  <c r="H47" i="2" s="1"/>
  <c r="G6" i="2"/>
  <c r="H6" i="2" s="1"/>
  <c r="G14" i="2"/>
  <c r="H14" i="2" s="1"/>
  <c r="G100" i="2"/>
  <c r="H100" i="2" s="1"/>
  <c r="G103" i="2"/>
  <c r="H103" i="2" s="1"/>
  <c r="G102" i="2"/>
  <c r="H102" i="2" s="1"/>
  <c r="G101" i="2"/>
  <c r="H101" i="2" s="1"/>
  <c r="G96" i="2"/>
  <c r="H96" i="2" s="1"/>
  <c r="G95" i="2"/>
  <c r="H95" i="2" s="1"/>
  <c r="G94" i="2"/>
  <c r="H94" i="2" s="1"/>
  <c r="G90" i="2"/>
  <c r="H90" i="2" s="1"/>
  <c r="G89" i="2"/>
  <c r="H89" i="2" s="1"/>
  <c r="G88" i="2"/>
  <c r="H88" i="2" s="1"/>
  <c r="G78" i="2"/>
  <c r="H78" i="2" s="1"/>
  <c r="G77" i="2"/>
  <c r="H77" i="2" s="1"/>
  <c r="G76" i="2"/>
  <c r="H76" i="2" s="1"/>
  <c r="G75" i="2"/>
  <c r="H75" i="2" s="1"/>
  <c r="G71" i="2"/>
  <c r="H71" i="2" s="1"/>
  <c r="G70" i="2"/>
  <c r="H70" i="2" s="1"/>
  <c r="G69" i="2"/>
  <c r="H69" i="2" s="1"/>
  <c r="G65" i="2"/>
  <c r="H65" i="2" s="1"/>
  <c r="G64" i="2"/>
  <c r="H64" i="2" s="1"/>
  <c r="G63" i="2"/>
  <c r="H63" i="2" s="1"/>
  <c r="G62" i="2"/>
  <c r="H62" i="2" s="1"/>
  <c r="G54" i="2"/>
  <c r="H54" i="2" s="1"/>
  <c r="G57" i="2"/>
  <c r="H57" i="2" s="1"/>
  <c r="G56" i="2"/>
  <c r="H56" i="2" s="1"/>
  <c r="G55" i="2"/>
  <c r="H55" i="2" s="1"/>
  <c r="G50" i="2"/>
  <c r="H50" i="2" s="1"/>
  <c r="G49" i="2"/>
  <c r="H49" i="2" s="1"/>
  <c r="G48" i="2"/>
  <c r="H48" i="2" s="1"/>
  <c r="G40" i="2"/>
  <c r="H40" i="2" s="1"/>
  <c r="G43" i="2"/>
  <c r="H43" i="2" s="1"/>
  <c r="G42" i="2"/>
  <c r="H42" i="2" s="1"/>
  <c r="G41" i="2"/>
  <c r="H41" i="2" s="1"/>
  <c r="G36" i="2"/>
  <c r="H36" i="2" s="1"/>
  <c r="G35" i="2"/>
  <c r="H35" i="2" s="1"/>
  <c r="G34" i="2"/>
  <c r="H34" i="2" s="1"/>
  <c r="J31" i="2"/>
  <c r="H31" i="2" s="1"/>
  <c r="F30" i="2" s="1"/>
  <c r="G30" i="2" s="1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19" i="2"/>
  <c r="H19" i="2" s="1"/>
  <c r="G18" i="2"/>
  <c r="H18" i="2" s="1"/>
  <c r="G17" i="2"/>
  <c r="H17" i="2" s="1"/>
  <c r="G16" i="2"/>
  <c r="H16" i="2" s="1"/>
  <c r="G15" i="2"/>
  <c r="H15" i="2" s="1"/>
  <c r="J105" i="2"/>
  <c r="H105" i="2" s="1"/>
  <c r="F104" i="2" s="1"/>
  <c r="G104" i="2" s="1"/>
  <c r="H104" i="2" s="1"/>
  <c r="J98" i="2"/>
  <c r="H98" i="2" s="1"/>
  <c r="F97" i="2" s="1"/>
  <c r="G97" i="2" s="1"/>
  <c r="H97" i="2" s="1"/>
  <c r="J92" i="2"/>
  <c r="H92" i="2" s="1"/>
  <c r="F91" i="2" s="1"/>
  <c r="G91" i="2" s="1"/>
  <c r="H91" i="2" s="1"/>
  <c r="J86" i="2"/>
  <c r="H86" i="2" s="1"/>
  <c r="F85" i="2" s="1"/>
  <c r="G85" i="2" s="1"/>
  <c r="H85" i="2" s="1"/>
  <c r="J80" i="2"/>
  <c r="H80" i="2" s="1"/>
  <c r="F79" i="2" s="1"/>
  <c r="G79" i="2" s="1"/>
  <c r="H79" i="2" s="1"/>
  <c r="J73" i="2"/>
  <c r="H73" i="2" s="1"/>
  <c r="F72" i="2" s="1"/>
  <c r="G72" i="2" s="1"/>
  <c r="H72" i="2" s="1"/>
  <c r="J67" i="2"/>
  <c r="H67" i="2" s="1"/>
  <c r="F66" i="2" s="1"/>
  <c r="G66" i="2" s="1"/>
  <c r="H66" i="2" s="1"/>
  <c r="J59" i="2"/>
  <c r="H59" i="2" s="1"/>
  <c r="F58" i="2" s="1"/>
  <c r="G58" i="2" s="1"/>
  <c r="H58" i="2" s="1"/>
  <c r="J52" i="2"/>
  <c r="H52" i="2" s="1"/>
  <c r="F51" i="2" s="1"/>
  <c r="G51" i="2" s="1"/>
  <c r="H51" i="2" s="1"/>
  <c r="J45" i="2"/>
  <c r="H45" i="2" s="1"/>
  <c r="F44" i="2" s="1"/>
  <c r="G44" i="2" s="1"/>
  <c r="H44" i="2" s="1"/>
  <c r="J38" i="2"/>
  <c r="H38" i="2" s="1"/>
  <c r="F37" i="2" s="1"/>
  <c r="G37" i="2" s="1"/>
  <c r="H37" i="2" s="1"/>
  <c r="J21" i="2"/>
  <c r="H21" i="2" s="1"/>
  <c r="F20" i="2" s="1"/>
  <c r="G20" i="2" s="1"/>
  <c r="H20" i="2" s="1"/>
  <c r="J12" i="2"/>
  <c r="H12" i="2" s="1"/>
  <c r="F11" i="2" s="1"/>
  <c r="G11" i="2" s="1"/>
  <c r="H11" i="2" s="1"/>
  <c r="G10" i="2"/>
  <c r="H10" i="2" s="1"/>
  <c r="G9" i="2"/>
  <c r="H9" i="2" s="1"/>
  <c r="G8" i="2"/>
  <c r="H8" i="2" s="1"/>
  <c r="G7" i="2"/>
  <c r="H7" i="2" s="1"/>
  <c r="G27" i="1" l="1"/>
  <c r="H27" i="1" s="1"/>
  <c r="G26" i="1"/>
  <c r="H26" i="1" s="1"/>
  <c r="G10" i="1"/>
  <c r="H10" i="1" s="1"/>
  <c r="G9" i="1"/>
  <c r="H9" i="1" s="1"/>
  <c r="G30" i="1"/>
  <c r="H30" i="1" s="1"/>
  <c r="G117" i="1"/>
  <c r="H117" i="1" s="1"/>
  <c r="G116" i="1"/>
  <c r="H116" i="1" s="1"/>
  <c r="G115" i="1"/>
  <c r="H115" i="1" s="1"/>
  <c r="G111" i="1"/>
  <c r="H111" i="1" s="1"/>
  <c r="G110" i="1"/>
  <c r="H110" i="1" s="1"/>
  <c r="G109" i="1"/>
  <c r="H109" i="1" s="1"/>
  <c r="G105" i="1"/>
  <c r="H105" i="1" s="1"/>
  <c r="G104" i="1"/>
  <c r="H104" i="1" s="1"/>
  <c r="G103" i="1"/>
  <c r="H103" i="1" s="1"/>
  <c r="G99" i="1"/>
  <c r="H99" i="1" s="1"/>
  <c r="G98" i="1"/>
  <c r="H98" i="1" s="1"/>
  <c r="G97" i="1"/>
  <c r="H97" i="1" s="1"/>
  <c r="G93" i="1"/>
  <c r="H93" i="1" s="1"/>
  <c r="G92" i="1"/>
  <c r="H92" i="1" s="1"/>
  <c r="G91" i="1"/>
  <c r="H91" i="1" s="1"/>
  <c r="G87" i="1"/>
  <c r="H87" i="1" s="1"/>
  <c r="G86" i="1"/>
  <c r="H86" i="1" s="1"/>
  <c r="G85" i="1"/>
  <c r="H85" i="1" s="1"/>
  <c r="G81" i="1"/>
  <c r="H81" i="1" s="1"/>
  <c r="G80" i="1"/>
  <c r="H80" i="1" s="1"/>
  <c r="G79" i="1"/>
  <c r="H79" i="1" s="1"/>
  <c r="G75" i="1"/>
  <c r="H75" i="1" s="1"/>
  <c r="G74" i="1"/>
  <c r="H74" i="1" s="1"/>
  <c r="G73" i="1"/>
  <c r="H73" i="1" s="1"/>
  <c r="G72" i="1"/>
  <c r="H72" i="1" s="1"/>
  <c r="G68" i="1"/>
  <c r="H68" i="1" s="1"/>
  <c r="G67" i="1"/>
  <c r="H67" i="1" s="1"/>
  <c r="G66" i="1"/>
  <c r="H66" i="1" s="1"/>
  <c r="G65" i="1"/>
  <c r="H65" i="1" s="1"/>
  <c r="G61" i="1"/>
  <c r="H61" i="1" s="1"/>
  <c r="G60" i="1"/>
  <c r="H60" i="1" s="1"/>
  <c r="G59" i="1"/>
  <c r="H59" i="1" s="1"/>
  <c r="G58" i="1"/>
  <c r="H58" i="1" s="1"/>
  <c r="G57" i="1"/>
  <c r="H57" i="1" s="1"/>
  <c r="G53" i="1"/>
  <c r="H53" i="1" s="1"/>
  <c r="G52" i="1"/>
  <c r="H52" i="1" s="1"/>
  <c r="G51" i="1"/>
  <c r="H51" i="1" s="1"/>
  <c r="G50" i="1"/>
  <c r="H50" i="1" s="1"/>
  <c r="G46" i="1"/>
  <c r="H46" i="1" s="1"/>
  <c r="G45" i="1"/>
  <c r="H45" i="1" s="1"/>
  <c r="G44" i="1"/>
  <c r="H44" i="1" s="1"/>
  <c r="G43" i="1"/>
  <c r="H43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29" i="1"/>
  <c r="H29" i="1" s="1"/>
  <c r="G28" i="1"/>
  <c r="H28" i="1" s="1"/>
  <c r="G25" i="1"/>
  <c r="H25" i="1" s="1"/>
  <c r="G24" i="1"/>
  <c r="H24" i="1" s="1"/>
  <c r="G23" i="1"/>
  <c r="H23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7" i="1"/>
  <c r="H7" i="1" s="1"/>
  <c r="G6" i="1"/>
  <c r="H6" i="1" s="1"/>
  <c r="K119" i="1"/>
  <c r="K113" i="1"/>
  <c r="K107" i="1"/>
  <c r="K101" i="1"/>
  <c r="K95" i="1"/>
  <c r="K89" i="1"/>
  <c r="K83" i="1"/>
  <c r="K77" i="1"/>
  <c r="K70" i="1"/>
  <c r="K63" i="1"/>
  <c r="K55" i="1"/>
  <c r="K48" i="1"/>
  <c r="K41" i="1"/>
  <c r="K32" i="1"/>
  <c r="K21" i="1"/>
  <c r="K12" i="1"/>
  <c r="J119" i="1"/>
  <c r="H119" i="1" s="1"/>
  <c r="F118" i="1" s="1"/>
  <c r="G118" i="1" s="1"/>
  <c r="H118" i="1" s="1"/>
  <c r="J113" i="1"/>
  <c r="H113" i="1" s="1"/>
  <c r="F112" i="1" s="1"/>
  <c r="G112" i="1" s="1"/>
  <c r="H112" i="1" s="1"/>
  <c r="J107" i="1"/>
  <c r="H107" i="1" s="1"/>
  <c r="F106" i="1" s="1"/>
  <c r="G106" i="1" s="1"/>
  <c r="H106" i="1" s="1"/>
  <c r="J101" i="1"/>
  <c r="H101" i="1" s="1"/>
  <c r="F100" i="1" s="1"/>
  <c r="G100" i="1" s="1"/>
  <c r="H100" i="1" s="1"/>
  <c r="J95" i="1"/>
  <c r="H95" i="1" s="1"/>
  <c r="F94" i="1" s="1"/>
  <c r="G94" i="1" s="1"/>
  <c r="H94" i="1" s="1"/>
  <c r="J89" i="1"/>
  <c r="H89" i="1" s="1"/>
  <c r="F88" i="1" s="1"/>
  <c r="G88" i="1" s="1"/>
  <c r="H88" i="1" s="1"/>
  <c r="J83" i="1"/>
  <c r="H83" i="1" s="1"/>
  <c r="F82" i="1" s="1"/>
  <c r="G82" i="1" s="1"/>
  <c r="H82" i="1" s="1"/>
  <c r="J77" i="1"/>
  <c r="H77" i="1" s="1"/>
  <c r="F76" i="1" s="1"/>
  <c r="G76" i="1" s="1"/>
  <c r="H76" i="1" s="1"/>
  <c r="J70" i="1"/>
  <c r="H70" i="1" s="1"/>
  <c r="F69" i="1" s="1"/>
  <c r="G69" i="1" s="1"/>
  <c r="H69" i="1" s="1"/>
  <c r="J63" i="1"/>
  <c r="H63" i="1" s="1"/>
  <c r="F62" i="1" s="1"/>
  <c r="G62" i="1" s="1"/>
  <c r="H62" i="1" s="1"/>
  <c r="J55" i="1"/>
  <c r="H55" i="1" s="1"/>
  <c r="F54" i="1" s="1"/>
  <c r="G54" i="1" s="1"/>
  <c r="H54" i="1" s="1"/>
  <c r="J48" i="1"/>
  <c r="H48" i="1" s="1"/>
  <c r="F47" i="1" s="1"/>
  <c r="G47" i="1" s="1"/>
  <c r="H47" i="1" s="1"/>
  <c r="J41" i="1"/>
  <c r="H41" i="1" s="1"/>
  <c r="F40" i="1" s="1"/>
  <c r="G40" i="1" s="1"/>
  <c r="H40" i="1" s="1"/>
  <c r="J32" i="1"/>
  <c r="H32" i="1" s="1"/>
  <c r="F31" i="1" s="1"/>
  <c r="G31" i="1" s="1"/>
  <c r="H31" i="1" s="1"/>
  <c r="J21" i="1"/>
  <c r="H21" i="1" s="1"/>
  <c r="F20" i="1" s="1"/>
  <c r="G20" i="1" s="1"/>
  <c r="H20" i="1" s="1"/>
  <c r="J12" i="1"/>
  <c r="H12" i="1" s="1"/>
  <c r="F11" i="1" s="1"/>
  <c r="G11" i="1" s="1"/>
  <c r="H11" i="1" s="1"/>
  <c r="G8" i="1"/>
  <c r="H8" i="1" s="1"/>
  <c r="H48" i="3" l="1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<sst xmlns="http://schemas.openxmlformats.org/spreadsheetml/2006/main" count="2031" uniqueCount="424">
  <si>
    <t>260821 GERMES — LABORATUVAR | CHINT PANO BOM</t>
  </si>
  <si>
    <t>Kaynak: yüklenen BOQ. Şalt: CHINT; korpus: TEKSAN. Tek hat olmadığı için belirtilmeyen veriler uydurulmamıştır.</t>
  </si>
  <si>
    <t>№</t>
  </si>
  <si>
    <t>Pano</t>
  </si>
  <si>
    <t>Malzeme</t>
  </si>
  <si>
    <t>Model / Teknik Özellik</t>
  </si>
  <si>
    <t>Marka</t>
  </si>
  <si>
    <t>SKU / Kod</t>
  </si>
  <si>
    <t>Adet</t>
  </si>
  <si>
    <t>Birim</t>
  </si>
  <si>
    <t>BOQ Ref</t>
  </si>
  <si>
    <t>Not / Kontrol</t>
  </si>
  <si>
    <t>Kaynak URL</t>
  </si>
  <si>
    <t>ВЩ-1</t>
  </si>
  <si>
    <t>PANO KOMPLE / компл.</t>
  </si>
  <si>
    <t>Вводно-распределительное устройство ГОСТ 30011.1-2003 типа ВРУ-1-11-10 (вводная панель), номинальный ток панели 250 А, количество и номинальный ток вводного аппарата 2×250 А</t>
  </si>
  <si>
    <t>TEKLED</t>
  </si>
  <si>
    <t>компл.</t>
  </si>
  <si>
    <t>Panel adedi. İç malzemeler 1 pano içindir.</t>
  </si>
  <si>
    <t>Корпус / Korpus</t>
  </si>
  <si>
    <t>TEKSAN metal korpus — ВРУ-1-11-10</t>
  </si>
  <si>
    <t>TEKSAN</t>
  </si>
  <si>
    <t>шт.</t>
  </si>
  <si>
    <t>1.1</t>
  </si>
  <si>
    <t>Kaynak panel tanımı: Вводно-распределительное устройство ГОСТ 30011.1-2003 типа ВРУ-1-11-10 (вводная панель), номинальный ток панели 250 А, количество и номинальный ток вводного аппарата 2×250 А | Kesin dış ölçü yerleşim/onay sonrası seçilecek.</t>
  </si>
  <si>
    <t>ТМШ / MCCB</t>
  </si>
  <si>
    <t>NXM-160F/3300 160A, 3P, Icu 36kA</t>
  </si>
  <si>
    <t>CHINT</t>
  </si>
  <si>
    <t>947463</t>
  </si>
  <si>
    <t>1.2</t>
  </si>
  <si>
    <t>Kaynak 35kA; CHINT 36kA seçildi.</t>
  </si>
  <si>
    <t>https://www.chintglobal.com/global/en/products/low-voltage/iec/secondary-power-distribution/nxm.html</t>
  </si>
  <si>
    <t>Выключатель-разъединитель</t>
  </si>
  <si>
    <t>NH40-160/4, 160A, 4P</t>
  </si>
  <si>
    <t>393359</t>
  </si>
  <si>
    <t>1.3</t>
  </si>
  <si>
    <t>IEC 60947-3 switch-disconnector eşdeğeri.</t>
  </si>
  <si>
    <t>https://www.chintglobal.com/global/en/products/low-voltage/iec/secondary-power-distribution/nh40.html</t>
  </si>
  <si>
    <t>Счётчик</t>
  </si>
  <si>
    <t>Дала СА4У-Э720 R TX IP П RS Д G/PLC</t>
  </si>
  <si>
    <t>DALA</t>
  </si>
  <si>
    <t>1.4</t>
  </si>
  <si>
    <t>PLC/ölçüm fonksiyonu nedeniyle CHINT'e çevrilmedi; proje ürünü korundu.</t>
  </si>
  <si>
    <t>Трансформатор тока</t>
  </si>
  <si>
    <t>BH-0.66 I, 150/5A</t>
  </si>
  <si>
    <t>1.5</t>
  </si>
  <si>
    <t>Akım oranı kaynakla aynı. Hassasiyet sınıfı kaynakta ayrıca verilmemişse siparişte teyit.</t>
  </si>
  <si>
    <t>https://www.chintglobal.com/global/en/products/low-voltage/iec/secondary-power-distribution/bh-_.html</t>
  </si>
  <si>
    <t>Монтажный материал</t>
  </si>
  <si>
    <t>EKT / ONKA / KLEMSAN sarf malzeme</t>
  </si>
  <si>
    <t>EKT/ONKA/KLEMSAN</t>
  </si>
  <si>
    <t>Kesin klemens/DIN/kanal miktarı tek hat + yerleşim sonrası netleşecek.</t>
  </si>
  <si>
    <t>Монтажные работы</t>
  </si>
  <si>
    <t>Pano montaj ve kablaj işçiliği</t>
  </si>
  <si>
    <t>РЩ-1</t>
  </si>
  <si>
    <t>Вводно-распределительное устройство ГОСТ 30011.1-2003 типа ВРУ-1-47-00 (распределительная панель), количество и номинальный ток аппаратов линий ПН2 5×100+5×100А</t>
  </si>
  <si>
    <t>TEKSAN metal korpus — ВРУ-1-47-00</t>
  </si>
  <si>
    <t>1.6</t>
  </si>
  <si>
    <t>Kaynak panel tanımı: Вводно-распределительное устройство ГОСТ 30011.1-2003 типа ВРУ-1-47-00 (распределительная панель), количество и номинальный ток аппаратов линий ПН2 5×100+5×100А | Kesin dış ölçü yerleşim/onay sonrası seçilecek.</t>
  </si>
  <si>
    <t>ОТО / MCB</t>
  </si>
  <si>
    <t>NXB-63 3P C32, 6kA</t>
  </si>
  <si>
    <t>1.7</t>
  </si>
  <si>
    <t>Kaynak 4.5kA; CHINT 6kA seçildi.</t>
  </si>
  <si>
    <t>https://www.chintglobal.com/mx/en/products/low-voltage/iec/final-power-distribution/nxb-63.html</t>
  </si>
  <si>
    <t>NXB-63 3P C25, 6kA</t>
  </si>
  <si>
    <t>1.8</t>
  </si>
  <si>
    <t>NXB-63 3P C63, 6kA</t>
  </si>
  <si>
    <t>1.9</t>
  </si>
  <si>
    <t>NXM-160F/3300 100A, 3P, Icu 36kA</t>
  </si>
  <si>
    <t>147043</t>
  </si>
  <si>
    <t>1.1‌0</t>
  </si>
  <si>
    <t>NXM-160F/3300 80A, 3P, Icu 36kA</t>
  </si>
  <si>
    <t>147042</t>
  </si>
  <si>
    <t>1.11</t>
  </si>
  <si>
    <t>ВЩ-1 (АВР)</t>
  </si>
  <si>
    <t>Вводно-распределительное устройство ГОСТ 30011.1-2003 типа ВРУ-1-21-10 (вводная панель), номинальный ток панели 100 А, количество и номинальный ток вводного аппарата 100 А</t>
  </si>
  <si>
    <t>TEKSAN metal korpus — ВРУ-1-21-10</t>
  </si>
  <si>
    <t>1.12</t>
  </si>
  <si>
    <t>Kaynak panel tanımı: Вводно-распределительное устройство ГОСТ 30011.1-2003 типа ВРУ-1-21-10 (вводная панель), номинальный ток панели 100 А, количество и номинальный ток вводного аппарата 100 А | Kesin dış ölçü yerleşim/onay sonrası seçilecek.</t>
  </si>
  <si>
    <t>1.13</t>
  </si>
  <si>
    <t>Контактор реверсивный</t>
  </si>
  <si>
    <t>NXC-160, AC-3 160A, bobin 230V 50Hz + reversing interlock set</t>
  </si>
  <si>
    <t>257174</t>
  </si>
  <si>
    <t>1.14</t>
  </si>
  <si>
    <t>Kaynak revez kontaktör 150A. CHINT'te uygun kontaktör + mekanik/elektrik kilitleme seti; kilitleme aksesuar kodu siparişte teyit.</t>
  </si>
  <si>
    <t>https://www.chintglobal.com/content/dam/chint/global/product-center/low-voltage/iec/industrial-control/ac-contactor/nxc/catalog/NXC-AC-CONTACTOR-Catalog.pdf</t>
  </si>
  <si>
    <t>1.15</t>
  </si>
  <si>
    <t>1.16</t>
  </si>
  <si>
    <t>Корпус / Korpus (АВР-3-160-2)</t>
  </si>
  <si>
    <t>TEKSAN 1000×800×250 mm metal korpus</t>
  </si>
  <si>
    <t>1.17</t>
  </si>
  <si>
    <t>Kaynak АВР içeriği: VA99 160A ×2.</t>
  </si>
  <si>
    <t>Контактор</t>
  </si>
  <si>
    <t>NXC-160, 3NO, AC-3 160A, bobin 230V 50Hz</t>
  </si>
  <si>
    <t>Kaynak АВР içeriği: PM12 160A ×2.</t>
  </si>
  <si>
    <t>Реле контроля фаз</t>
  </si>
  <si>
    <t>NJYB3-1 AC380V</t>
  </si>
  <si>
    <t>697020</t>
  </si>
  <si>
    <t>Kaynak: РКФ-8 ×2; faz sırası/faz kaybı fonksiyonu esas alındı.</t>
  </si>
  <si>
    <t>https://www.chintglobal.com/content/dam/chint/global/product-center/low-voltage/iec/industrial-control/voltage-protection-relay/njyb3/catalog/NJYB3-Protection%20Relays-Catalog.pdf</t>
  </si>
  <si>
    <t>Сигнальная лампа</t>
  </si>
  <si>
    <t>ND9, 220/230VAC</t>
  </si>
  <si>
    <t>Kaynak: светодиодная матрица 220В ×2. Renk proje ile teyit.</t>
  </si>
  <si>
    <t>NXB-63 1P C6, 6kA</t>
  </si>
  <si>
    <t>Kaynak: BA47 1P 6A ×2.</t>
  </si>
  <si>
    <t>Шина</t>
  </si>
  <si>
    <t>Alüminyum bara 20×5 mm</t>
  </si>
  <si>
    <t>Kaynak: 5×20 mm. Toplam uzunluk belirtilmemiş.</t>
  </si>
  <si>
    <t>ЩСБП-1</t>
  </si>
  <si>
    <t>Щит с монтажной панелью ГОСТ 32397-2013, типа ЩМП 16.6.4-0 36 УХЛ3 IP31</t>
  </si>
  <si>
    <t>TEKSAN metal montaj plakalı, kaynak tip: ЩМП 16.6.4-0 36 УХЛ3 IP31</t>
  </si>
  <si>
    <t>1.18</t>
  </si>
  <si>
    <t>IP31 eşdeğeri; kesin TEKSAN ölçü/modeli yerleşim sonrası seçilecek.</t>
  </si>
  <si>
    <t>NXB-63 3P C16, 6kA</t>
  </si>
  <si>
    <t>1.19</t>
  </si>
  <si>
    <t>1.2‌0</t>
  </si>
  <si>
    <t>1.21</t>
  </si>
  <si>
    <t>1.22</t>
  </si>
  <si>
    <t>NXB-63 3P C40, 6kA</t>
  </si>
  <si>
    <t>1.23</t>
  </si>
  <si>
    <t>ЩО-1</t>
  </si>
  <si>
    <t>Щит распределительный навесной ГОСТ 32397-2013, типа ЩРн 18з-1 36 УХЛ3 IP31, в составе:</t>
  </si>
  <si>
    <t>TEKSAN metal sıvaüstü, kaynak kapasite/tip: ЩРн 18з-1 36 УХЛ3 IP31</t>
  </si>
  <si>
    <t>2.1</t>
  </si>
  <si>
    <t>IP31 eşdeğeri; kesin TEKSAN ölçü/modeli cihaz yerleşimi + %20 rezerv sonrası seçilecek.</t>
  </si>
  <si>
    <t>Выключатель нагрузки</t>
  </si>
  <si>
    <t>NH40-16/3, 16A, 3P</t>
  </si>
  <si>
    <t>393524</t>
  </si>
  <si>
    <t>2.2</t>
  </si>
  <si>
    <t>Fonksiyon eşdeğeri; kaynak VN-32 modüler tiptir, NH40 mekanik formu farklıdır. Yerleşim onayı gerekli.</t>
  </si>
  <si>
    <t>NXB-63 1P C10, 6kA</t>
  </si>
  <si>
    <t>2.3</t>
  </si>
  <si>
    <t>Контактор модульный</t>
  </si>
  <si>
    <t>NCH8-25/22 25A, 2NO+2NC, AC220/230V</t>
  </si>
  <si>
    <t>256091</t>
  </si>
  <si>
    <t>2.4</t>
  </si>
  <si>
    <t>Kaynak model CHINT ile aynı.</t>
  </si>
  <si>
    <t>https://www.chintglobal.com/content/dam/chint/global/product-center/low-voltage/iec/industrial-control/modular-ac-contactor/nch8/catalog/NCH8-Modular%20AC%20Contactors-Catalog.pdf</t>
  </si>
  <si>
    <t>ЩАО-1</t>
  </si>
  <si>
    <t>Щит распределительный навесной ГОСТ 32397-2013, типа ЩРн 12з-1 36 УХЛ3 IP31, в составе:</t>
  </si>
  <si>
    <t>TEKSAN metal sıvaüstü, kaynak kapasite/tip: ЩРн 12з-1 36 УХЛ3 IP31</t>
  </si>
  <si>
    <t>2.5</t>
  </si>
  <si>
    <t>2.6</t>
  </si>
  <si>
    <t>2.7</t>
  </si>
  <si>
    <t>2.8</t>
  </si>
  <si>
    <t>ЩВ-1</t>
  </si>
  <si>
    <t>Щит распределительный навесной ГОСТ 32397-2013, типа ЩРн 18з-1 36 УХЛ3 IP31</t>
  </si>
  <si>
    <t>2.9</t>
  </si>
  <si>
    <t>NXHB-125 3P 25A</t>
  </si>
  <si>
    <t>2.1‌0</t>
  </si>
  <si>
    <t>DIN switch-disconnector, 20–125A ailesi. Kaynak VN-32 akımı korundu.</t>
  </si>
  <si>
    <t>https://www.chintglobal.com/global/en/products/low-voltage/iec/final-power-distribution/nxhb-125.html</t>
  </si>
  <si>
    <t>NXB-63 1P C16, 6kA</t>
  </si>
  <si>
    <t>2.11</t>
  </si>
  <si>
    <t>2.12</t>
  </si>
  <si>
    <t>Расцепитель независимый</t>
  </si>
  <si>
    <t>SHT-X1 AC230V/400V</t>
  </si>
  <si>
    <t>814989</t>
  </si>
  <si>
    <t>2.13</t>
  </si>
  <si>
    <t>NXB-63/NXBLE-63 aksesuarı.</t>
  </si>
  <si>
    <t>https://www.chintglobal.com/content/dam/chint/global/product-center/low-voltage/iec/final-power-distribution/accessories-%28final-power-distribution%29/sht-x1/catalog/SHT-X1-ACCESSORIES-%28FINAL-POWER-DISTRIBUTION%29-Catalog.pdf</t>
  </si>
  <si>
    <t>ЩС-1</t>
  </si>
  <si>
    <t>2.14</t>
  </si>
  <si>
    <t>2.15</t>
  </si>
  <si>
    <t>Диф. / RCBO</t>
  </si>
  <si>
    <t>NXBLE-63 1P+N C16, 30mA, 6kA</t>
  </si>
  <si>
    <t>2.16</t>
  </si>
  <si>
    <t>Kaynakta kaçak akım tipi AC/A belirtilmemiş; sipariş kodu bu bilgi teyit edilince kesinleşir.</t>
  </si>
  <si>
    <t>https://www.chintglobal.com/content/dam/chint/global/product-center/low-voltage/iec/final-power-distribution/rcbo/nxble-63/catalog/NXBLE-63-RCBO-catalog.pdf</t>
  </si>
  <si>
    <t>2.17</t>
  </si>
  <si>
    <t>пЩР-1</t>
  </si>
  <si>
    <t>Щит распределительный навесной ГОСТ 32397-2013, типа ЩРн 48з-1 36 УХЛ3 IP31</t>
  </si>
  <si>
    <t>TEKSAN metal sıvaüstü, kaynak kapasite/tip: ЩРн 48з-1 36 УХЛ3 IP31</t>
  </si>
  <si>
    <t>2.18</t>
  </si>
  <si>
    <t>NXHB-125 3P 80A</t>
  </si>
  <si>
    <t>2.19</t>
  </si>
  <si>
    <t>2.2‌0</t>
  </si>
  <si>
    <t>NXBLE-63 1P+N C32, 30mA, 6kA</t>
  </si>
  <si>
    <t>2.21</t>
  </si>
  <si>
    <t>1ЩР-1</t>
  </si>
  <si>
    <t>Щит распределительный навесной ГОСТ 32397-2013, типа ЩРн 36з-1 36 УХЛ3 IP31</t>
  </si>
  <si>
    <t>TEKSAN metal sıvaüstü, kaynak kapasite/tip: ЩРн 36з-1 36 УХЛ3 IP31</t>
  </si>
  <si>
    <t>2.22</t>
  </si>
  <si>
    <t>NXHB-125 3P 50A</t>
  </si>
  <si>
    <t>2.23</t>
  </si>
  <si>
    <t>2.24</t>
  </si>
  <si>
    <t>2ЩР-1</t>
  </si>
  <si>
    <t>2.25</t>
  </si>
  <si>
    <t>NXHB-125 3P 63A</t>
  </si>
  <si>
    <t>2.26</t>
  </si>
  <si>
    <t>2.27</t>
  </si>
  <si>
    <t>3ЩР-1</t>
  </si>
  <si>
    <t>Щит распределительный навесной ГОСТ 32397-2013, типа ЩРн 24з-1 36 УХЛ3 IP31</t>
  </si>
  <si>
    <t>TEKSAN metal sıvaüstü, kaynak kapasite/tip: ЩРн 24з-1 36 УХЛ3 IP31</t>
  </si>
  <si>
    <t>2.28</t>
  </si>
  <si>
    <t>2.29</t>
  </si>
  <si>
    <t>2.3‌0</t>
  </si>
  <si>
    <t>пЩГР-1</t>
  </si>
  <si>
    <t>Щит распределительный навесной ГОСТ 32397-2013, типа ЩРн 12з-1 36 УХЛ3 IP31</t>
  </si>
  <si>
    <t>2.31</t>
  </si>
  <si>
    <t>NXHB-125 3P 20A</t>
  </si>
  <si>
    <t>2.32</t>
  </si>
  <si>
    <t>2.33</t>
  </si>
  <si>
    <t>1ЩГР-1</t>
  </si>
  <si>
    <t>2.34</t>
  </si>
  <si>
    <t>NXHB-125 3P 32A</t>
  </si>
  <si>
    <t>2.35</t>
  </si>
  <si>
    <t>2.36</t>
  </si>
  <si>
    <t>2ЩГР-1</t>
  </si>
  <si>
    <t>2.37</t>
  </si>
  <si>
    <t>2.38</t>
  </si>
  <si>
    <t>2.39</t>
  </si>
  <si>
    <t>3ЩГР-1</t>
  </si>
  <si>
    <t>2.4‌0</t>
  </si>
  <si>
    <t>2.41</t>
  </si>
  <si>
    <t>2.42</t>
  </si>
  <si>
    <t>260821 GERMES — MEDCENTER | CHINT PANO BOM</t>
  </si>
  <si>
    <t>ВЩ-2</t>
  </si>
  <si>
    <t>РЩ-2</t>
  </si>
  <si>
    <t>ВЩ-2(АВР)</t>
  </si>
  <si>
    <t>NXM-160F/3300 50A, 3P, Icu 36kA</t>
  </si>
  <si>
    <t>147040</t>
  </si>
  <si>
    <t>NXC-50, AC-3 50A, bobin 230V 50Hz + reversing interlock set</t>
  </si>
  <si>
    <t>956045</t>
  </si>
  <si>
    <t>Kaynak revez kontaktör 50A. CHINT'te uygun kontaktör + mekanik/elektrik kilitleme seti; kilitleme aksesuar kodu siparişte teyit.</t>
  </si>
  <si>
    <t>BH-0.66 I, 50/5A</t>
  </si>
  <si>
    <t>ЩСБП-2</t>
  </si>
  <si>
    <t>ЩО-2.1</t>
  </si>
  <si>
    <t>ЩО-2.2</t>
  </si>
  <si>
    <t>Щит распределительный навесной ГОСТ 32397-2013, типа ЩРн 36з-1 36 УХЛ3 IP31, в составе:</t>
  </si>
  <si>
    <t>ЩАО-2</t>
  </si>
  <si>
    <t>2.10</t>
  </si>
  <si>
    <t>ЩВ-2</t>
  </si>
  <si>
    <t>ЩС-2</t>
  </si>
  <si>
    <t>пЩР-2</t>
  </si>
  <si>
    <t>1ЩР-2</t>
  </si>
  <si>
    <t>2ЩР-2</t>
  </si>
  <si>
    <t>3ЩР-2</t>
  </si>
  <si>
    <t>ЩСоб2</t>
  </si>
  <si>
    <t>NXC-16, AC-3 16A, 3NO + 1NO+1NC aux, bobin 220V 50Hz</t>
  </si>
  <si>
    <t>836720</t>
  </si>
  <si>
    <t>260821 GERMES — CHINT MALZEME TOPLAM ÖZET</t>
  </si>
  <si>
    <t>Model / Teknik</t>
  </si>
  <si>
    <t>SKU/Kod</t>
  </si>
  <si>
    <t>Laboratuvar</t>
  </si>
  <si>
    <t>Medcenter</t>
  </si>
  <si>
    <t>TOPLAM</t>
  </si>
  <si>
    <t>KONTROL EDİLECEK / PROJE ÇELİŞKİLERİ</t>
  </si>
  <si>
    <t>Bina/Pano</t>
  </si>
  <si>
    <t>Konu</t>
  </si>
  <si>
    <t>BOQ Bulgusu</t>
  </si>
  <si>
    <t>BOM'da Uygulanan</t>
  </si>
  <si>
    <t>Gerekli Aksiyon</t>
  </si>
  <si>
    <t>LAB ВЩ-1 / MED ВЩ-2</t>
  </si>
  <si>
    <t>Ana giriş akımı</t>
  </si>
  <si>
    <t>Panel tanımı 2×250A; ayrı cihaz satırı 2×160A; CT 150/5A.</t>
  </si>
  <si>
    <t>BOM'da açık cihaz satırı olan 2×160A MCCB esas alındı.</t>
  </si>
  <si>
    <t>Tek hat / tasarımcı onayı ile 160A mı 250A mı kesinleştir.</t>
  </si>
  <si>
    <t>LAB ВЩ-1 (АВР)</t>
  </si>
  <si>
    <t>Akım çelişkisi</t>
  </si>
  <si>
    <t>Panel tanımı 100A; MCCB 2×160A; revez kontaktör 150A; CT 150/5A; ayrıca AVR-3-160-2.</t>
  </si>
  <si>
    <t>Açık cihaz satırları korunarak 160A sınıfı CHINT seçildi.</t>
  </si>
  <si>
    <t>Tek hatla panel ana akımını doğrula.</t>
  </si>
  <si>
    <t>MED ВЩ-2(АВР)</t>
  </si>
  <si>
    <t>Panel tanımı 100A; MCCB/contactör 50A; CT 50/5A; fakat AVR-3-160-2 satırı 160A.</t>
  </si>
  <si>
    <t>50A giriş grubu + ayrı 160A AVR alt grubu birlikte gösterildi.</t>
  </si>
  <si>
    <t>Bu iki grubun aynı pano mu ayrı pano mu olduğunu teyit et.</t>
  </si>
  <si>
    <t>Tüm RCBO panolar</t>
  </si>
  <si>
    <t>Kaçak akım tipi</t>
  </si>
  <si>
    <t>АВДТ32 C16/C32 30mA yazıyor; Type AC/A belirtilmemiş.</t>
  </si>
  <si>
    <t>NXBLE-63 model ailesi seçildi, SKU boş bırakıldı.</t>
  </si>
  <si>
    <t>Type AC mı A mı proje/şartnameden teyit et.</t>
  </si>
  <si>
    <t>ВЩ panoları</t>
  </si>
  <si>
    <t>Sayaç</t>
  </si>
  <si>
    <t>DALA СА4У-Э720... PLC haberleşmeli ürün istenmiş.</t>
  </si>
  <si>
    <t>DALA korunmuştur; CHINT'e zorla çevrilmedi.</t>
  </si>
  <si>
    <t>CHINT sayaç istenirse PLC fonksiyonuna eşdeğer model ayrıca onaylanmalı.</t>
  </si>
  <si>
    <t>Çoğu pano</t>
  </si>
  <si>
    <t>Korpus ölçüsü</t>
  </si>
  <si>
    <t>BOQ çoğunlukla ЩРн/ВРУ tipini ve modül kapasitesini veriyor, kesin dış ölçüyü vermiyor.</t>
  </si>
  <si>
    <t>TEKSAN korpus satırı var; kesin model/ölçü TBC.</t>
  </si>
  <si>
    <t>Yerleşim + %20 rezerv ile TEKSAN ölçüsünü kesinleştir.</t>
  </si>
  <si>
    <t>16A mini-rubilnik panoları</t>
  </si>
  <si>
    <t>Mekanik eşdeğer</t>
  </si>
  <si>
    <t>VN-32 3P 16A modüler yük ayırıcı.</t>
  </si>
  <si>
    <t>CHINT NH40-16/3 seçildi.</t>
  </si>
  <si>
    <t>NH40 form faktörü farklı; DIN/modüler yerleşim uygunluğu kontrol edilmeli.</t>
  </si>
  <si>
    <t>Reversing kontaktörler</t>
  </si>
  <si>
    <t>Kilitleme aksesuarı</t>
  </si>
  <si>
    <t>KTI 52653 'реверс' olarak verilmiş.</t>
  </si>
  <si>
    <t>NXC-50/NXC-160 + reversing interlock set olarak yazıldı.</t>
  </si>
  <si>
    <t>Mekanik/elektrik kilitleme aksesuar sipariş kodunu üretim öncesi teyit et.</t>
  </si>
  <si>
    <t>РЩ-1 / РЩ-2</t>
  </si>
  <si>
    <t>VRU tanımı</t>
  </si>
  <si>
    <t>Panel tanımında ПН2 5×100+5×100A geçiyor; ancak ayrı malzeme satırları MCB/MCCB veriyor.</t>
  </si>
  <si>
    <t>PN2 sigorta uydurulmadı; yalnız açık malzeme satırları BOM'a alındı.</t>
  </si>
  <si>
    <t>Tek hat varsa karşılaştır.</t>
  </si>
  <si>
    <t>Tüm panolar</t>
  </si>
  <si>
    <t>İç sarf</t>
  </si>
  <si>
    <t>Tek hat ve kablaj şeması yok.</t>
  </si>
  <si>
    <t>Klemens/DIN/kanal/kablo miktarları kesin sayılmadı; montaj malzemesi 1 комплект gösterildi.</t>
  </si>
  <si>
    <t>Tek hat/yerleşim geldikten sonra üretim BOM'u tamamla.</t>
  </si>
  <si>
    <t>KAYNAKLAR / DOĞRULAMA</t>
  </si>
  <si>
    <t>Kaynak</t>
  </si>
  <si>
    <t>Kapsam</t>
  </si>
  <si>
    <t>Dosya/URL</t>
  </si>
  <si>
    <t>Not</t>
  </si>
  <si>
    <t>BOQ</t>
  </si>
  <si>
    <t>Лаборатория_BOQ_20.08.xlsx</t>
  </si>
  <si>
    <t>Yüklenen proje BOQ; pano ve adetler için ana kaynak.</t>
  </si>
  <si>
    <t>Медцентр_BOQ_20.08.xlsx</t>
  </si>
  <si>
    <t>CHINT resmi</t>
  </si>
  <si>
    <t>MCCB NXM</t>
  </si>
  <si>
    <t>NXM teknik aile / Icu doğrulaması.</t>
  </si>
  <si>
    <t>MCB NXB-63</t>
  </si>
  <si>
    <t>MCB 6kA, kutup/eğri seçenekleri.</t>
  </si>
  <si>
    <t>RCBO NXBLE-63</t>
  </si>
  <si>
    <t>1P+N, 30mA, 6kA ürün ailesi.</t>
  </si>
  <si>
    <t>Switch disconnector NH40</t>
  </si>
  <si>
    <t>16–3150A, 3P/4P.</t>
  </si>
  <si>
    <t>Switch disconnector NXHB-125</t>
  </si>
  <si>
    <t>3P/4P, 20–125A.</t>
  </si>
  <si>
    <t>Modüler kontaktör NCH8</t>
  </si>
  <si>
    <t>NCH8-25/22 220/230V.</t>
  </si>
  <si>
    <t>Kontaktör NXC</t>
  </si>
  <si>
    <t>NXC-16/50/160 AC kontaktörler.</t>
  </si>
  <si>
    <t>Shunt SHT-X1</t>
  </si>
  <si>
    <t>NXB/NXBLE aksesuar.</t>
  </si>
  <si>
    <t>CT BH-0.66</t>
  </si>
  <si>
    <t>5A sekonder, 50/5 ve 150/5 dahil.</t>
  </si>
  <si>
    <t>Faz rölesi NJYB3</t>
  </si>
  <si>
    <t>Faz kaybı/sırası koruma.</t>
  </si>
  <si>
    <t>TEKLED electric</t>
  </si>
  <si>
    <t>ЦЕНА1</t>
  </si>
  <si>
    <t>ЦЕНА</t>
  </si>
  <si>
    <t>СУММ.</t>
  </si>
  <si>
    <t>193180</t>
  </si>
  <si>
    <t>Выключатель нагрузки NXHB-125 3P 20A (R)</t>
  </si>
  <si>
    <t>193181</t>
  </si>
  <si>
    <t>Выключатель нагрузки NXHB-125 3P 32A (R)</t>
  </si>
  <si>
    <t>193183</t>
  </si>
  <si>
    <t>Выключатель нагрузки NXHB-125 3P 63A (R)</t>
  </si>
  <si>
    <t>193184</t>
  </si>
  <si>
    <t>Выключатель нагрузки NXHB-125 3P 80A (R)</t>
  </si>
  <si>
    <t>tb-s-160-4p</t>
  </si>
  <si>
    <t>Рубильник 160A 4P без рукоятки управления TwinBlock EKF</t>
  </si>
  <si>
    <t>ekf</t>
  </si>
  <si>
    <t>515402</t>
  </si>
  <si>
    <t>Диф. авт. выкл. NXBLE-63YH 1P+N C32 30mA тип A, 6kA (R)</t>
  </si>
  <si>
    <t>515381</t>
  </si>
  <si>
    <t>Диф. авт. выкл. NXBLE-63YH 1P+N C16 30mA тип A, 6kA (R)</t>
  </si>
  <si>
    <t>Контактор модульный NCH8-25/22 25A 2НЗ+2НО AC230В 50Гц (R)</t>
  </si>
  <si>
    <t>311100898_</t>
  </si>
  <si>
    <t>719-15562</t>
  </si>
  <si>
    <t>Мет. Корпус ЩМП- 6 (1200х750х300) IP54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</si>
  <si>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</si>
  <si>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</si>
  <si>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</si>
  <si>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</si>
  <si>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</si>
  <si>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</si>
  <si>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714-15040</t>
  </si>
  <si>
    <t>Мет. Корпус ЩРН- 48 (660x310x120) IP31  (TS)</t>
  </si>
  <si>
    <t>719-15043</t>
  </si>
  <si>
    <t>Мет. Щит ВРУ 1700х800х450+10CM База</t>
  </si>
  <si>
    <t>kaztek</t>
  </si>
  <si>
    <t>296709</t>
  </si>
  <si>
    <t>Авт. выкл. NXB-63S 1P 10А 4.5kA х-ка C (R)</t>
  </si>
  <si>
    <t>296710</t>
  </si>
  <si>
    <t>Авт. выкл. NXB-63S 1P 16А 4.5kA х-ка C (R)</t>
  </si>
  <si>
    <t>296708</t>
  </si>
  <si>
    <t>Авт. выкл. NXB-63S 1P 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</si>
  <si>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</si>
  <si>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</si>
  <si>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</si>
  <si>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</si>
  <si>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</si>
  <si>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</si>
  <si>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</si>
  <si>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</si>
  <si>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296833</t>
  </si>
  <si>
    <t>Авт. выкл. NXB-63S 3P 63А 4.5kA х-ка C (R)</t>
  </si>
  <si>
    <t>Независимый расцепитель SHT-X1 AC230V/400V для NXB-63 (R)</t>
  </si>
  <si>
    <t>593077</t>
  </si>
  <si>
    <t>Индикатор ND16-22D/2 зеленый AC/DC230В (R)</t>
  </si>
  <si>
    <t>IA</t>
  </si>
  <si>
    <t>ДАЛА СА4У-Э720 R TX OP П RS1 Д W  (3x220/380V 5-7,5A)</t>
  </si>
  <si>
    <t>131362</t>
  </si>
  <si>
    <t>Авт. выкл. NXM-125S/3Р 100A 25кА (R)</t>
  </si>
  <si>
    <t>131365</t>
  </si>
  <si>
    <t>Авт. выкл. NXM-250S/3Р 160A 36кА (R)</t>
  </si>
  <si>
    <t>131361</t>
  </si>
  <si>
    <t>Авт. выкл. NXM-125S/3Р 80A 25кА (R)</t>
  </si>
  <si>
    <t>270300100_</t>
  </si>
  <si>
    <t>Трансформатор тока ТТИ-А  150/5А  5ВА  класс 0,5  IEK</t>
  </si>
  <si>
    <t>pys</t>
  </si>
  <si>
    <t>130300323_</t>
  </si>
  <si>
    <t>M.</t>
  </si>
  <si>
    <t>ЩО-2</t>
  </si>
  <si>
    <t>пЩГР-2</t>
  </si>
  <si>
    <t>1ЩГР-2</t>
  </si>
  <si>
    <t>2ЩГР-2</t>
  </si>
  <si>
    <t>3ЩГР-2</t>
  </si>
  <si>
    <t>PYS</t>
  </si>
  <si>
    <t>719-150</t>
  </si>
  <si>
    <t>Мет. Щит ВРУ 1700х600х450+10CM База</t>
  </si>
  <si>
    <t>ATS</t>
  </si>
  <si>
    <t>160A</t>
  </si>
  <si>
    <t>3*20</t>
  </si>
  <si>
    <t>713-15060</t>
  </si>
  <si>
    <t>Щит ЩРв-54-3 540x440x120мм</t>
  </si>
  <si>
    <t>KAZTEK</t>
  </si>
  <si>
    <t>714-15105</t>
  </si>
  <si>
    <t>Щит ЩРн-54 (540x440x120) S/U  IP31</t>
  </si>
  <si>
    <t>714-15015</t>
  </si>
  <si>
    <t>Pano met.ShRn-36 b/o (312х540х120)S/U 36 IP31 (TS)</t>
  </si>
  <si>
    <t>256757</t>
  </si>
  <si>
    <t>Устройство автоматического ввода резерва NXZM-63S/3B 63A (R)</t>
  </si>
  <si>
    <t>IC</t>
  </si>
  <si>
    <t>ДАЛА СА4-Э720 R TX OP P П RS1 Д W (3x220/380V 5-60A)</t>
  </si>
  <si>
    <t>844302</t>
  </si>
  <si>
    <t>Авт. выкл. NXM-125S/3Р 50A 25кА (R)</t>
  </si>
  <si>
    <t>130300473_</t>
  </si>
  <si>
    <t>Шина медн.3х20х4000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</si>
</sst>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Arial"/>
      <family val="2"/>
      <charset val="204"/>
    </font>
    <font>
      <i/>
      <sz val="10"/>
      <name val="Arial"/>
      <family val="2"/>
      <charset val="204"/>
    </font>
    <font>
      <b/>
      <sz val="12"/>
      <color rgb="FFFFFFFF"/>
      <name val="Arial"/>
      <family val="2"/>
      <charset val="204"/>
    </font>
    <font>
      <sz val="11"/>
      <name val="Arial"/>
      <family val="2"/>
      <charset val="204"/>
    </font>
    <font>
      <b/>
      <sz val="12"/>
      <color rgb="FF0F172A"/>
      <name val="Arial"/>
      <family val="2"/>
      <charset val="204"/>
    </font>
    <font>
      <b/>
      <sz val="11"/>
      <name val="Arial"/>
      <family val="2"/>
      <charset val="204"/>
    </font>
    <font>
      <b/>
      <sz val="15"/>
      <color rgb="FFFFFFFF"/>
      <name val="Arial"/>
      <family val="2"/>
      <charset val="204"/>
    </font>
    <font>
      <b/>
      <sz val="10"/>
      <color rgb="FFFFFFFF"/>
      <name val="Arial"/>
      <family val="2"/>
      <charset val="162"/>
    </font>
    <font>
      <sz val="10"/>
      <name val="Carlito"/>
      <charset val="162"/>
    </font>
    <font>
      <i/>
      <sz val="10"/>
      <name val="Arial"/>
      <family val="2"/>
      <charset val="162"/>
    </font>
    <font>
      <b/>
      <sz val="10"/>
      <color rgb="FF0F172A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8F1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E8F0"/>
      </patternFill>
    </fill>
    <fill>
      <patternFill patternType="solid">
        <fgColor rgb="FF9C0006"/>
      </patternFill>
    </fill>
    <fill>
      <patternFill patternType="solid">
        <fgColor theme="0"/>
        <bgColor indexed="64"/>
      </patternFill>
    </fill>
    <fill>
      <patternFill patternType="solid">
        <fgColor rgb="FFFED56E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 style="hair">
        <color rgb="FFE2E8F0"/>
      </right>
      <top style="thin">
        <color rgb="FFCBD5E1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thin">
        <color rgb="FFCBD5E1"/>
      </top>
      <bottom style="hair">
        <color rgb="FFE2E8F0"/>
      </bottom>
      <diagonal/>
    </border>
    <border>
      <left style="hair">
        <color rgb="FFE2E8F0"/>
      </left>
      <right style="thin">
        <color rgb="FFCBD5E1"/>
      </right>
      <top style="thin">
        <color rgb="FFCBD5E1"/>
      </top>
      <bottom style="hair">
        <color rgb="FFE2E8F0"/>
      </bottom>
      <diagonal/>
    </border>
    <border>
      <left style="thin">
        <color rgb="FFCBD5E1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E2E8F0"/>
      </left>
      <right style="thin">
        <color rgb="FFCBD5E1"/>
      </right>
      <top style="hair">
        <color rgb="FFE2E8F0"/>
      </top>
      <bottom style="hair">
        <color rgb="FFE2E8F0"/>
      </bottom>
      <diagonal/>
    </border>
    <border>
      <left style="thin">
        <color rgb="FFCBD5E1"/>
      </left>
      <right style="hair">
        <color rgb="FFE2E8F0"/>
      </right>
      <top style="hair">
        <color rgb="FFE2E8F0"/>
      </top>
      <bottom style="thin">
        <color rgb="FFCBD5E1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thin">
        <color rgb="FFCBD5E1"/>
      </bottom>
      <diagonal/>
    </border>
    <border>
      <left style="hair">
        <color rgb="FFE2E8F0"/>
      </left>
      <right style="thin">
        <color rgb="FFCBD5E1"/>
      </right>
      <top style="hair">
        <color rgb="FFE2E8F0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1" fontId="4" fillId="0" borderId="5" xfId="0" applyNumberFormat="1" applyFont="1" applyBorder="1" applyAlignment="1">
      <alignment vertical="center" wrapText="1"/>
    </xf>
    <xf numFmtId="1" fontId="4" fillId="0" borderId="8" xfId="0" applyNumberFormat="1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9" fillId="0" borderId="0" xfId="0" applyFont="1"/>
    <xf numFmtId="0" fontId="8" fillId="4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 wrapText="1"/>
    </xf>
    <xf numFmtId="0" fontId="12" fillId="6" borderId="10" xfId="0" applyFont="1" applyFill="1" applyBorder="1" applyAlignment="1">
      <alignment vertical="center"/>
    </xf>
    <xf numFmtId="0" fontId="12" fillId="6" borderId="10" xfId="0" applyFont="1" applyFill="1" applyBorder="1" applyAlignment="1">
      <alignment vertical="center" wrapText="1"/>
    </xf>
    <xf numFmtId="0" fontId="13" fillId="0" borderId="10" xfId="0" applyFont="1" applyBorder="1" applyAlignment="1">
      <alignment vertical="center"/>
    </xf>
    <xf numFmtId="0" fontId="13" fillId="0" borderId="10" xfId="0" applyFont="1" applyBorder="1" applyAlignment="1">
      <alignment vertical="center" wrapText="1"/>
    </xf>
    <xf numFmtId="0" fontId="10" fillId="3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7" fillId="7" borderId="0" xfId="0" applyFont="1" applyFill="1"/>
    <xf numFmtId="0" fontId="0" fillId="0" borderId="10" xfId="0" applyBorder="1"/>
    <xf numFmtId="0" fontId="3" fillId="4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" fillId="3" borderId="10" xfId="0" applyFont="1" applyFill="1" applyBorder="1" applyAlignment="1">
      <alignment wrapText="1"/>
    </xf>
    <xf numFmtId="0" fontId="1" fillId="2" borderId="10" xfId="0" applyFont="1" applyFill="1" applyBorder="1" applyAlignment="1">
      <alignment vertical="center" wrapText="1"/>
    </xf>
    <xf numFmtId="0" fontId="6" fillId="8" borderId="10" xfId="0" applyFont="1" applyFill="1" applyBorder="1" applyAlignment="1">
      <alignment vertical="center"/>
    </xf>
    <xf numFmtId="0" fontId="6" fillId="8" borderId="10" xfId="0" applyFont="1" applyFill="1" applyBorder="1" applyAlignment="1">
      <alignment vertical="center" wrapText="1"/>
    </xf>
    <xf numFmtId="0" fontId="5" fillId="9" borderId="10" xfId="0" applyFont="1" applyFill="1" applyBorder="1" applyAlignment="1">
      <alignment vertical="center"/>
    </xf>
    <xf numFmtId="0" fontId="5" fillId="9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56E"/>
      <color rgb="FFFFA74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workbookViewId="0">
      <pane xSplit="11" ySplit="5" topLeftCell="L104" activePane="bottomRight" state="frozen"/>
      <selection pane="topRight" activeCell="L1" sqref="L1"/>
      <selection pane="bottomLeft" activeCell="A6" sqref="A6"/>
      <selection pane="bottomRight" activeCell="F120" sqref="F120"/>
    </sheetView>
  </sheetViews>
  <sheetFormatPr defaultRowHeight="12.75"/>
  <cols>
    <col min="1" max="1" width="6" style="20" customWidth="1"/>
    <col min="2" max="2" width="16" style="20" customWidth="1"/>
    <col min="3" max="3" width="24" style="20" customWidth="1"/>
    <col min="4" max="4" width="15" style="20" customWidth="1"/>
    <col min="5" max="5" width="51.5" style="20" customWidth="1"/>
    <col min="6" max="8" width="11.875" style="20" customWidth="1"/>
    <col min="9" max="9" width="15" style="20" customWidth="1"/>
    <col min="10" max="10" width="9" style="20" customWidth="1"/>
    <col min="11" max="12" width="10" style="20" customWidth="1"/>
    <col min="13" max="13" width="48" style="20" customWidth="1"/>
    <col min="14" max="14" width="55" style="20" customWidth="1"/>
    <col min="15" max="16384" width="9" style="20"/>
  </cols>
  <sheetData>
    <row r="1" spans="1:14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2.7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spans="1:14" ht="21.95" customHeight="1">
      <c r="A4" s="21" t="s">
        <v>2</v>
      </c>
      <c r="B4" s="21" t="s">
        <v>3</v>
      </c>
      <c r="C4" s="21" t="s">
        <v>4</v>
      </c>
      <c r="D4" s="21" t="s">
        <v>7</v>
      </c>
      <c r="E4" s="21" t="s">
        <v>5</v>
      </c>
      <c r="F4" s="21" t="s">
        <v>333</v>
      </c>
      <c r="G4" s="21" t="s">
        <v>334</v>
      </c>
      <c r="H4" s="21" t="s">
        <v>335</v>
      </c>
      <c r="I4" s="21" t="s">
        <v>6</v>
      </c>
      <c r="J4" s="21" t="s">
        <v>8</v>
      </c>
      <c r="K4" s="21" t="s">
        <v>9</v>
      </c>
      <c r="L4" s="21" t="s">
        <v>10</v>
      </c>
      <c r="M4" s="21" t="s">
        <v>11</v>
      </c>
      <c r="N4" s="21" t="s">
        <v>12</v>
      </c>
    </row>
    <row r="5" spans="1:14" ht="21.95" customHeight="1">
      <c r="A5" s="22">
        <v>1</v>
      </c>
      <c r="B5" s="22" t="s">
        <v>13</v>
      </c>
      <c r="C5" s="23" t="s">
        <v>14</v>
      </c>
      <c r="D5" s="23"/>
      <c r="E5" s="23" t="s">
        <v>15</v>
      </c>
      <c r="F5" s="23"/>
      <c r="G5" s="23"/>
      <c r="H5" s="23"/>
      <c r="I5" s="23" t="s">
        <v>332</v>
      </c>
      <c r="J5" s="23">
        <v>1</v>
      </c>
      <c r="K5" s="23" t="s">
        <v>17</v>
      </c>
      <c r="L5" s="23"/>
      <c r="M5" s="23" t="s">
        <v>18</v>
      </c>
      <c r="N5" s="23"/>
    </row>
    <row r="6" spans="1:14" ht="21.95" customHeight="1">
      <c r="A6" s="24">
        <v>2</v>
      </c>
      <c r="B6" s="24" t="s">
        <v>13</v>
      </c>
      <c r="C6" s="25" t="s">
        <v>19</v>
      </c>
      <c r="D6" s="25" t="s">
        <v>363</v>
      </c>
      <c r="E6" s="25" t="s">
        <v>364</v>
      </c>
      <c r="F6" s="25">
        <v>155000</v>
      </c>
      <c r="G6" s="25">
        <f>0.6*F6</f>
        <v>93000</v>
      </c>
      <c r="H6" s="25">
        <f>G6*J6</f>
        <v>93000</v>
      </c>
      <c r="I6" s="25" t="s">
        <v>365</v>
      </c>
      <c r="J6" s="25">
        <v>1</v>
      </c>
      <c r="K6" s="25" t="s">
        <v>22</v>
      </c>
      <c r="L6" s="25" t="s">
        <v>23</v>
      </c>
      <c r="M6" s="25" t="s">
        <v>24</v>
      </c>
      <c r="N6" s="25"/>
    </row>
    <row r="7" spans="1:14" ht="21.95" customHeight="1">
      <c r="A7" s="26">
        <v>3</v>
      </c>
      <c r="B7" s="26" t="s">
        <v>13</v>
      </c>
      <c r="C7" s="27" t="s">
        <v>25</v>
      </c>
      <c r="D7" s="27" t="s">
        <v>389</v>
      </c>
      <c r="E7" s="27" t="s">
        <v>390</v>
      </c>
      <c r="F7" s="27">
        <v>33910</v>
      </c>
      <c r="G7" s="25">
        <f>0.6*F7</f>
        <v>20346</v>
      </c>
      <c r="H7" s="25">
        <f>G7*J7</f>
        <v>40692</v>
      </c>
      <c r="I7" s="27" t="s">
        <v>27</v>
      </c>
      <c r="J7" s="27">
        <v>2</v>
      </c>
      <c r="K7" s="27" t="s">
        <v>22</v>
      </c>
      <c r="L7" s="27" t="s">
        <v>29</v>
      </c>
      <c r="M7" s="27" t="s">
        <v>30</v>
      </c>
      <c r="N7" s="27" t="s">
        <v>31</v>
      </c>
    </row>
    <row r="8" spans="1:14" ht="21.95" customHeight="1">
      <c r="A8" s="26">
        <v>4</v>
      </c>
      <c r="B8" s="26" t="s">
        <v>13</v>
      </c>
      <c r="C8" s="27" t="s">
        <v>32</v>
      </c>
      <c r="D8" s="27" t="s">
        <v>344</v>
      </c>
      <c r="E8" s="27" t="s">
        <v>345</v>
      </c>
      <c r="F8" s="27">
        <v>69000</v>
      </c>
      <c r="G8" s="27">
        <f>F8</f>
        <v>69000</v>
      </c>
      <c r="H8" s="25">
        <f t="shared" ref="H8:H12" si="0">G8*J8</f>
        <v>138000</v>
      </c>
      <c r="I8" s="27" t="s">
        <v>346</v>
      </c>
      <c r="J8" s="27">
        <v>2</v>
      </c>
      <c r="K8" s="27" t="s">
        <v>22</v>
      </c>
      <c r="L8" s="27" t="s">
        <v>35</v>
      </c>
      <c r="M8" s="27" t="s">
        <v>36</v>
      </c>
      <c r="N8" s="27" t="s">
        <v>37</v>
      </c>
    </row>
    <row r="9" spans="1:14" ht="21.95" customHeight="1">
      <c r="A9" s="26">
        <v>5</v>
      </c>
      <c r="B9" s="26" t="s">
        <v>13</v>
      </c>
      <c r="C9" s="27" t="s">
        <v>38</v>
      </c>
      <c r="D9" s="27" t="s">
        <v>385</v>
      </c>
      <c r="E9" s="27" t="s">
        <v>386</v>
      </c>
      <c r="F9" s="27">
        <v>90000</v>
      </c>
      <c r="G9" s="27">
        <f>F9</f>
        <v>90000</v>
      </c>
      <c r="H9" s="25">
        <f t="shared" si="0"/>
        <v>180000</v>
      </c>
      <c r="I9" s="27" t="s">
        <v>40</v>
      </c>
      <c r="J9" s="27">
        <v>2</v>
      </c>
      <c r="K9" s="27" t="s">
        <v>22</v>
      </c>
      <c r="L9" s="27" t="s">
        <v>41</v>
      </c>
      <c r="M9" s="27" t="s">
        <v>42</v>
      </c>
      <c r="N9" s="27"/>
    </row>
    <row r="10" spans="1:14" ht="21.95" customHeight="1">
      <c r="A10" s="26">
        <v>6</v>
      </c>
      <c r="B10" s="26" t="s">
        <v>13</v>
      </c>
      <c r="C10" s="27" t="s">
        <v>43</v>
      </c>
      <c r="D10" s="27" t="s">
        <v>393</v>
      </c>
      <c r="E10" s="27" t="s">
        <v>394</v>
      </c>
      <c r="F10" s="27">
        <v>6018</v>
      </c>
      <c r="G10" s="27">
        <f>F10</f>
        <v>6018</v>
      </c>
      <c r="H10" s="25">
        <f t="shared" si="0"/>
        <v>36108</v>
      </c>
      <c r="I10" s="27" t="s">
        <v>395</v>
      </c>
      <c r="J10" s="27">
        <v>6</v>
      </c>
      <c r="K10" s="27" t="s">
        <v>22</v>
      </c>
      <c r="L10" s="27" t="s">
        <v>45</v>
      </c>
      <c r="M10" s="27" t="s">
        <v>46</v>
      </c>
      <c r="N10" s="27" t="s">
        <v>47</v>
      </c>
    </row>
    <row r="11" spans="1:14" ht="21.95" customHeight="1">
      <c r="A11" s="26">
        <v>7</v>
      </c>
      <c r="B11" s="26" t="s">
        <v>13</v>
      </c>
      <c r="C11" s="27" t="s">
        <v>48</v>
      </c>
      <c r="D11" s="27"/>
      <c r="E11" s="27" t="s">
        <v>49</v>
      </c>
      <c r="F11" s="27">
        <f ca="1">OFFSET(F11,1,2)</f>
        <v>60000</v>
      </c>
      <c r="G11" s="27">
        <f ca="1">F11</f>
        <v>60000</v>
      </c>
      <c r="H11" s="25">
        <f t="shared" ca="1" si="0"/>
        <v>60000</v>
      </c>
      <c r="I11" s="27" t="s">
        <v>403</v>
      </c>
      <c r="J11" s="27">
        <v>1</v>
      </c>
      <c r="K11" s="27" t="s">
        <v>48</v>
      </c>
      <c r="L11" s="27" t="s">
        <v>48</v>
      </c>
      <c r="M11" s="27" t="s">
        <v>51</v>
      </c>
      <c r="N11" s="27"/>
    </row>
    <row r="12" spans="1:14" ht="21.95" customHeight="1">
      <c r="A12" s="26">
        <v>8</v>
      </c>
      <c r="B12" s="26" t="s">
        <v>13</v>
      </c>
      <c r="C12" s="27" t="s">
        <v>52</v>
      </c>
      <c r="D12" s="27"/>
      <c r="E12" s="27" t="s">
        <v>53</v>
      </c>
      <c r="F12" s="27">
        <v>10</v>
      </c>
      <c r="G12" s="27">
        <v>100</v>
      </c>
      <c r="H12" s="25">
        <f t="shared" si="0"/>
        <v>60000</v>
      </c>
      <c r="I12" s="27" t="s">
        <v>395</v>
      </c>
      <c r="J12" s="27">
        <f>60*F12</f>
        <v>600</v>
      </c>
      <c r="K12" s="27" t="str">
        <f>L12</f>
        <v>Монтажные работы</v>
      </c>
      <c r="L12" s="27" t="s">
        <v>52</v>
      </c>
      <c r="M12" s="27"/>
      <c r="N12" s="27"/>
    </row>
    <row r="13" spans="1:14" ht="21.95" customHeight="1">
      <c r="A13" s="22">
        <v>9</v>
      </c>
      <c r="B13" s="22" t="s">
        <v>54</v>
      </c>
      <c r="C13" s="23" t="s">
        <v>14</v>
      </c>
      <c r="D13" s="23"/>
      <c r="E13" s="23" t="s">
        <v>55</v>
      </c>
      <c r="F13" s="23"/>
      <c r="G13" s="23"/>
      <c r="H13" s="23"/>
      <c r="I13" s="23" t="s">
        <v>332</v>
      </c>
      <c r="J13" s="23">
        <v>1</v>
      </c>
      <c r="K13" s="23" t="s">
        <v>17</v>
      </c>
      <c r="L13" s="23"/>
      <c r="M13" s="23" t="s">
        <v>18</v>
      </c>
      <c r="N13" s="23"/>
    </row>
    <row r="14" spans="1:14" ht="21.95" customHeight="1">
      <c r="A14" s="24">
        <v>10</v>
      </c>
      <c r="B14" s="24" t="s">
        <v>54</v>
      </c>
      <c r="C14" s="25" t="s">
        <v>19</v>
      </c>
      <c r="D14" s="25" t="s">
        <v>404</v>
      </c>
      <c r="E14" s="25" t="s">
        <v>405</v>
      </c>
      <c r="F14" s="25">
        <v>155000</v>
      </c>
      <c r="G14" s="25">
        <f t="shared" ref="G14:G19" si="1">0.6*F14</f>
        <v>93000</v>
      </c>
      <c r="H14" s="25">
        <f t="shared" ref="H14:H20" si="2">G14*J14</f>
        <v>93000</v>
      </c>
      <c r="I14" s="25" t="s">
        <v>365</v>
      </c>
      <c r="J14" s="25">
        <v>1</v>
      </c>
      <c r="K14" s="25" t="s">
        <v>22</v>
      </c>
      <c r="L14" s="25" t="s">
        <v>57</v>
      </c>
      <c r="M14" s="25" t="s">
        <v>58</v>
      </c>
      <c r="N14" s="25"/>
    </row>
    <row r="15" spans="1:14" ht="21.95" customHeight="1">
      <c r="A15" s="26">
        <v>11</v>
      </c>
      <c r="B15" s="26" t="s">
        <v>54</v>
      </c>
      <c r="C15" s="27" t="s">
        <v>59</v>
      </c>
      <c r="D15" s="27" t="s">
        <v>376</v>
      </c>
      <c r="E15" s="27" t="s">
        <v>377</v>
      </c>
      <c r="F15" s="27">
        <v>2606</v>
      </c>
      <c r="G15" s="25">
        <f t="shared" si="1"/>
        <v>1563.6</v>
      </c>
      <c r="H15" s="25">
        <f t="shared" si="2"/>
        <v>1563.6</v>
      </c>
      <c r="I15" s="27" t="s">
        <v>27</v>
      </c>
      <c r="J15" s="27">
        <v>1</v>
      </c>
      <c r="K15" s="27" t="s">
        <v>22</v>
      </c>
      <c r="L15" s="27" t="s">
        <v>61</v>
      </c>
      <c r="M15" s="27" t="s">
        <v>62</v>
      </c>
      <c r="N15" s="27" t="s">
        <v>63</v>
      </c>
    </row>
    <row r="16" spans="1:14" ht="21.95" customHeight="1">
      <c r="A16" s="26">
        <v>12</v>
      </c>
      <c r="B16" s="26" t="s">
        <v>54</v>
      </c>
      <c r="C16" s="27" t="s">
        <v>59</v>
      </c>
      <c r="D16" s="27" t="s">
        <v>374</v>
      </c>
      <c r="E16" s="27" t="s">
        <v>375</v>
      </c>
      <c r="F16" s="27">
        <v>2429</v>
      </c>
      <c r="G16" s="25">
        <f t="shared" si="1"/>
        <v>1457.3999999999999</v>
      </c>
      <c r="H16" s="25">
        <f t="shared" si="2"/>
        <v>4372.2</v>
      </c>
      <c r="I16" s="27" t="s">
        <v>27</v>
      </c>
      <c r="J16" s="27">
        <v>3</v>
      </c>
      <c r="K16" s="27" t="s">
        <v>22</v>
      </c>
      <c r="L16" s="27" t="s">
        <v>65</v>
      </c>
      <c r="M16" s="27" t="s">
        <v>62</v>
      </c>
      <c r="N16" s="27" t="s">
        <v>63</v>
      </c>
    </row>
    <row r="17" spans="1:14" ht="21.95" customHeight="1">
      <c r="A17" s="26">
        <v>13</v>
      </c>
      <c r="B17" s="26" t="s">
        <v>54</v>
      </c>
      <c r="C17" s="27" t="s">
        <v>59</v>
      </c>
      <c r="D17" s="27" t="s">
        <v>380</v>
      </c>
      <c r="E17" s="27" t="s">
        <v>381</v>
      </c>
      <c r="F17" s="27">
        <v>3641</v>
      </c>
      <c r="G17" s="25">
        <f t="shared" si="1"/>
        <v>2184.6</v>
      </c>
      <c r="H17" s="25">
        <f t="shared" si="2"/>
        <v>4369.2</v>
      </c>
      <c r="I17" s="27" t="s">
        <v>27</v>
      </c>
      <c r="J17" s="27">
        <v>2</v>
      </c>
      <c r="K17" s="27" t="s">
        <v>22</v>
      </c>
      <c r="L17" s="27" t="s">
        <v>67</v>
      </c>
      <c r="M17" s="27" t="s">
        <v>62</v>
      </c>
      <c r="N17" s="27" t="s">
        <v>63</v>
      </c>
    </row>
    <row r="18" spans="1:14" ht="21.95" customHeight="1">
      <c r="A18" s="26">
        <v>14</v>
      </c>
      <c r="B18" s="26" t="s">
        <v>54</v>
      </c>
      <c r="C18" s="27" t="s">
        <v>25</v>
      </c>
      <c r="D18" s="27" t="s">
        <v>387</v>
      </c>
      <c r="E18" s="27" t="s">
        <v>388</v>
      </c>
      <c r="F18" s="27">
        <v>19443</v>
      </c>
      <c r="G18" s="25">
        <f t="shared" si="1"/>
        <v>11665.8</v>
      </c>
      <c r="H18" s="25">
        <f t="shared" si="2"/>
        <v>11665.8</v>
      </c>
      <c r="I18" s="27" t="s">
        <v>27</v>
      </c>
      <c r="J18" s="27">
        <v>1</v>
      </c>
      <c r="K18" s="27" t="s">
        <v>22</v>
      </c>
      <c r="L18" s="27" t="s">
        <v>70</v>
      </c>
      <c r="M18" s="27" t="s">
        <v>30</v>
      </c>
      <c r="N18" s="27" t="s">
        <v>31</v>
      </c>
    </row>
    <row r="19" spans="1:14" ht="21.95" customHeight="1">
      <c r="A19" s="26">
        <v>15</v>
      </c>
      <c r="B19" s="26" t="s">
        <v>54</v>
      </c>
      <c r="C19" s="27" t="s">
        <v>25</v>
      </c>
      <c r="D19" s="27" t="s">
        <v>391</v>
      </c>
      <c r="E19" s="27" t="s">
        <v>392</v>
      </c>
      <c r="F19" s="27">
        <v>19418</v>
      </c>
      <c r="G19" s="25">
        <f t="shared" si="1"/>
        <v>11650.8</v>
      </c>
      <c r="H19" s="25">
        <f t="shared" si="2"/>
        <v>11650.8</v>
      </c>
      <c r="I19" s="27" t="s">
        <v>27</v>
      </c>
      <c r="J19" s="27">
        <v>1</v>
      </c>
      <c r="K19" s="27" t="s">
        <v>22</v>
      </c>
      <c r="L19" s="27" t="s">
        <v>73</v>
      </c>
      <c r="M19" s="27" t="s">
        <v>30</v>
      </c>
      <c r="N19" s="27" t="s">
        <v>31</v>
      </c>
    </row>
    <row r="20" spans="1:14" ht="21.95" customHeight="1">
      <c r="A20" s="26">
        <v>7</v>
      </c>
      <c r="B20" s="26" t="s">
        <v>218</v>
      </c>
      <c r="C20" s="27" t="s">
        <v>48</v>
      </c>
      <c r="D20" s="27"/>
      <c r="E20" s="27" t="s">
        <v>49</v>
      </c>
      <c r="F20" s="27">
        <f ca="1">OFFSET(F20,1,2)</f>
        <v>30000</v>
      </c>
      <c r="G20" s="27">
        <f ca="1">F20</f>
        <v>30000</v>
      </c>
      <c r="H20" s="25">
        <f t="shared" ca="1" si="2"/>
        <v>30000</v>
      </c>
      <c r="I20" s="27" t="s">
        <v>403</v>
      </c>
      <c r="J20" s="27">
        <v>1</v>
      </c>
      <c r="K20" s="27" t="s">
        <v>48</v>
      </c>
      <c r="L20" s="27" t="s">
        <v>48</v>
      </c>
      <c r="M20" s="27" t="s">
        <v>51</v>
      </c>
      <c r="N20" s="27"/>
    </row>
    <row r="21" spans="1:14" ht="21.95" customHeight="1">
      <c r="A21" s="26">
        <v>17</v>
      </c>
      <c r="B21" s="26" t="s">
        <v>54</v>
      </c>
      <c r="C21" s="27" t="s">
        <v>52</v>
      </c>
      <c r="D21" s="27"/>
      <c r="E21" s="27" t="s">
        <v>53</v>
      </c>
      <c r="F21" s="27">
        <v>5</v>
      </c>
      <c r="G21" s="27">
        <v>100</v>
      </c>
      <c r="H21" s="25">
        <f t="shared" ref="H21" si="3">G21*J21</f>
        <v>30000</v>
      </c>
      <c r="I21" s="27" t="s">
        <v>395</v>
      </c>
      <c r="J21" s="27">
        <f>60*F21</f>
        <v>300</v>
      </c>
      <c r="K21" s="27" t="str">
        <f>L21</f>
        <v>Монтажные работы</v>
      </c>
      <c r="L21" s="27" t="s">
        <v>52</v>
      </c>
      <c r="M21" s="27"/>
      <c r="N21" s="27"/>
    </row>
    <row r="22" spans="1:14" ht="21.95" customHeight="1">
      <c r="A22" s="22">
        <v>18</v>
      </c>
      <c r="B22" s="22" t="s">
        <v>74</v>
      </c>
      <c r="C22" s="23" t="s">
        <v>14</v>
      </c>
      <c r="D22" s="23"/>
      <c r="E22" s="23" t="s">
        <v>75</v>
      </c>
      <c r="F22" s="23"/>
      <c r="G22" s="23"/>
      <c r="H22" s="23"/>
      <c r="I22" s="23" t="s">
        <v>332</v>
      </c>
      <c r="J22" s="23">
        <v>1</v>
      </c>
      <c r="K22" s="23" t="s">
        <v>17</v>
      </c>
      <c r="L22" s="23"/>
      <c r="M22" s="23" t="s">
        <v>18</v>
      </c>
      <c r="N22" s="23"/>
    </row>
    <row r="23" spans="1:14" ht="21.95" customHeight="1">
      <c r="A23" s="24">
        <v>19</v>
      </c>
      <c r="B23" s="24" t="s">
        <v>74</v>
      </c>
      <c r="C23" s="25" t="s">
        <v>19</v>
      </c>
      <c r="D23" s="25" t="s">
        <v>363</v>
      </c>
      <c r="E23" s="25" t="s">
        <v>364</v>
      </c>
      <c r="F23" s="25">
        <v>155000</v>
      </c>
      <c r="G23" s="25">
        <f t="shared" ref="G23:G25" si="4">0.6*F23</f>
        <v>93000</v>
      </c>
      <c r="H23" s="25">
        <f t="shared" ref="H23:H25" si="5">G23*J23</f>
        <v>93000</v>
      </c>
      <c r="I23" s="25" t="s">
        <v>365</v>
      </c>
      <c r="J23" s="25">
        <v>1</v>
      </c>
      <c r="K23" s="25" t="s">
        <v>22</v>
      </c>
      <c r="L23" s="25" t="s">
        <v>77</v>
      </c>
      <c r="M23" s="25" t="s">
        <v>78</v>
      </c>
      <c r="N23" s="25"/>
    </row>
    <row r="24" spans="1:14" ht="21.95" customHeight="1">
      <c r="A24" s="26">
        <v>20</v>
      </c>
      <c r="B24" s="26" t="s">
        <v>74</v>
      </c>
      <c r="C24" s="27" t="s">
        <v>25</v>
      </c>
      <c r="D24" s="27" t="s">
        <v>389</v>
      </c>
      <c r="E24" s="27" t="s">
        <v>390</v>
      </c>
      <c r="F24" s="27">
        <v>33910</v>
      </c>
      <c r="G24" s="25">
        <f t="shared" si="4"/>
        <v>20346</v>
      </c>
      <c r="H24" s="25">
        <f t="shared" si="5"/>
        <v>61038</v>
      </c>
      <c r="I24" s="27" t="s">
        <v>27</v>
      </c>
      <c r="J24" s="27">
        <v>3</v>
      </c>
      <c r="K24" s="27" t="s">
        <v>22</v>
      </c>
      <c r="L24" s="27" t="s">
        <v>79</v>
      </c>
      <c r="M24" s="27" t="s">
        <v>30</v>
      </c>
      <c r="N24" s="27" t="s">
        <v>31</v>
      </c>
    </row>
    <row r="25" spans="1:14" ht="21.95" customHeight="1">
      <c r="A25" s="26">
        <v>21</v>
      </c>
      <c r="B25" s="26" t="s">
        <v>74</v>
      </c>
      <c r="C25" s="27" t="s">
        <v>406</v>
      </c>
      <c r="D25" s="27" t="s">
        <v>352</v>
      </c>
      <c r="E25" s="27" t="s">
        <v>407</v>
      </c>
      <c r="F25" s="27">
        <v>63961</v>
      </c>
      <c r="G25" s="25">
        <f t="shared" si="4"/>
        <v>38376.6</v>
      </c>
      <c r="H25" s="25">
        <f t="shared" si="5"/>
        <v>76753.2</v>
      </c>
      <c r="I25" s="27" t="s">
        <v>27</v>
      </c>
      <c r="J25" s="27">
        <v>2</v>
      </c>
      <c r="K25" s="27" t="s">
        <v>22</v>
      </c>
      <c r="L25" s="27" t="s">
        <v>83</v>
      </c>
      <c r="M25" s="27" t="s">
        <v>84</v>
      </c>
      <c r="N25" s="27" t="s">
        <v>85</v>
      </c>
    </row>
    <row r="26" spans="1:14" ht="21.95" customHeight="1">
      <c r="A26" s="26">
        <v>22</v>
      </c>
      <c r="B26" s="26" t="s">
        <v>74</v>
      </c>
      <c r="C26" s="27" t="s">
        <v>38</v>
      </c>
      <c r="D26" s="27" t="s">
        <v>385</v>
      </c>
      <c r="E26" s="27" t="s">
        <v>386</v>
      </c>
      <c r="F26" s="27">
        <v>90000</v>
      </c>
      <c r="G26" s="27">
        <f t="shared" ref="G26:G27" si="6">F26</f>
        <v>90000</v>
      </c>
      <c r="H26" s="25">
        <f t="shared" ref="H26:H30" si="7">G26*J26</f>
        <v>90000</v>
      </c>
      <c r="I26" s="27" t="s">
        <v>40</v>
      </c>
      <c r="J26" s="27">
        <v>1</v>
      </c>
      <c r="K26" s="27" t="s">
        <v>22</v>
      </c>
      <c r="L26" s="27" t="s">
        <v>86</v>
      </c>
      <c r="M26" s="27" t="s">
        <v>42</v>
      </c>
      <c r="N26" s="27"/>
    </row>
    <row r="27" spans="1:14" ht="21.95" customHeight="1">
      <c r="A27" s="26">
        <v>23</v>
      </c>
      <c r="B27" s="26" t="s">
        <v>74</v>
      </c>
      <c r="C27" s="27" t="s">
        <v>43</v>
      </c>
      <c r="D27" s="27" t="s">
        <v>393</v>
      </c>
      <c r="E27" s="27" t="s">
        <v>394</v>
      </c>
      <c r="F27" s="27">
        <v>6018</v>
      </c>
      <c r="G27" s="27">
        <f t="shared" si="6"/>
        <v>6018</v>
      </c>
      <c r="H27" s="25">
        <f t="shared" si="7"/>
        <v>36108</v>
      </c>
      <c r="I27" s="27" t="s">
        <v>395</v>
      </c>
      <c r="J27" s="27">
        <v>6</v>
      </c>
      <c r="K27" s="27" t="s">
        <v>22</v>
      </c>
      <c r="L27" s="27" t="s">
        <v>87</v>
      </c>
      <c r="M27" s="27" t="s">
        <v>46</v>
      </c>
      <c r="N27" s="27" t="s">
        <v>47</v>
      </c>
    </row>
    <row r="28" spans="1:14" ht="21.95" customHeight="1">
      <c r="A28" s="26">
        <v>28</v>
      </c>
      <c r="B28" s="26" t="s">
        <v>74</v>
      </c>
      <c r="C28" s="27" t="s">
        <v>100</v>
      </c>
      <c r="D28" s="27" t="s">
        <v>383</v>
      </c>
      <c r="E28" s="27" t="s">
        <v>384</v>
      </c>
      <c r="F28" s="27">
        <v>589</v>
      </c>
      <c r="G28" s="25">
        <f t="shared" ref="G28:G29" si="8">0.6*F28</f>
        <v>353.4</v>
      </c>
      <c r="H28" s="25">
        <f t="shared" si="7"/>
        <v>2120.3999999999996</v>
      </c>
      <c r="I28" s="27" t="s">
        <v>27</v>
      </c>
      <c r="J28" s="27">
        <v>6</v>
      </c>
      <c r="K28" s="27" t="s">
        <v>22</v>
      </c>
      <c r="L28" s="27" t="s">
        <v>90</v>
      </c>
      <c r="M28" s="27" t="s">
        <v>102</v>
      </c>
      <c r="N28" s="27"/>
    </row>
    <row r="29" spans="1:14" ht="21.95" customHeight="1">
      <c r="A29" s="26">
        <v>29</v>
      </c>
      <c r="B29" s="26" t="s">
        <v>74</v>
      </c>
      <c r="C29" s="27" t="s">
        <v>59</v>
      </c>
      <c r="D29" s="27" t="s">
        <v>370</v>
      </c>
      <c r="E29" s="27" t="s">
        <v>371</v>
      </c>
      <c r="F29" s="27">
        <v>975</v>
      </c>
      <c r="G29" s="25">
        <f t="shared" si="8"/>
        <v>585</v>
      </c>
      <c r="H29" s="25">
        <f t="shared" si="7"/>
        <v>1170</v>
      </c>
      <c r="I29" s="27" t="s">
        <v>27</v>
      </c>
      <c r="J29" s="27">
        <v>2</v>
      </c>
      <c r="K29" s="27" t="s">
        <v>22</v>
      </c>
      <c r="L29" s="27" t="s">
        <v>90</v>
      </c>
      <c r="M29" s="27" t="s">
        <v>104</v>
      </c>
      <c r="N29" s="27" t="s">
        <v>63</v>
      </c>
    </row>
    <row r="30" spans="1:14" ht="21.95" customHeight="1">
      <c r="A30" s="26">
        <v>30</v>
      </c>
      <c r="B30" s="26" t="s">
        <v>74</v>
      </c>
      <c r="C30" s="27" t="s">
        <v>105</v>
      </c>
      <c r="D30" s="27" t="s">
        <v>396</v>
      </c>
      <c r="E30" s="27" t="s">
        <v>408</v>
      </c>
      <c r="F30" s="27">
        <v>0</v>
      </c>
      <c r="G30" s="27">
        <f>F30</f>
        <v>0</v>
      </c>
      <c r="H30" s="25">
        <f t="shared" si="7"/>
        <v>0</v>
      </c>
      <c r="I30" s="27" t="s">
        <v>395</v>
      </c>
      <c r="J30" s="27">
        <v>20</v>
      </c>
      <c r="K30" s="27" t="s">
        <v>397</v>
      </c>
      <c r="L30" s="27" t="s">
        <v>90</v>
      </c>
      <c r="M30" s="27" t="s">
        <v>107</v>
      </c>
      <c r="N30" s="27"/>
    </row>
    <row r="31" spans="1:14" ht="21.95" customHeight="1">
      <c r="A31" s="26">
        <v>7</v>
      </c>
      <c r="B31" s="26" t="s">
        <v>74</v>
      </c>
      <c r="C31" s="27" t="s">
        <v>48</v>
      </c>
      <c r="D31" s="27"/>
      <c r="E31" s="27" t="s">
        <v>49</v>
      </c>
      <c r="F31" s="27">
        <f ca="1">OFFSET(F31,1,2)</f>
        <v>42000</v>
      </c>
      <c r="G31" s="27">
        <f ca="1">F31</f>
        <v>42000</v>
      </c>
      <c r="H31" s="25">
        <f t="shared" ref="H31" ca="1" si="9">G31*J31</f>
        <v>42000</v>
      </c>
      <c r="I31" s="27" t="s">
        <v>403</v>
      </c>
      <c r="J31" s="27">
        <v>1</v>
      </c>
      <c r="K31" s="27" t="s">
        <v>48</v>
      </c>
      <c r="L31" s="27" t="s">
        <v>48</v>
      </c>
      <c r="M31" s="27" t="s">
        <v>51</v>
      </c>
      <c r="N31" s="27"/>
    </row>
    <row r="32" spans="1:14" ht="21.95" customHeight="1">
      <c r="A32" s="26">
        <v>32</v>
      </c>
      <c r="B32" s="26" t="s">
        <v>74</v>
      </c>
      <c r="C32" s="27" t="s">
        <v>52</v>
      </c>
      <c r="D32" s="27"/>
      <c r="E32" s="27" t="s">
        <v>53</v>
      </c>
      <c r="F32" s="27">
        <v>7</v>
      </c>
      <c r="G32" s="27">
        <v>100</v>
      </c>
      <c r="H32" s="25">
        <f t="shared" ref="H32" si="10">G32*J32</f>
        <v>42000</v>
      </c>
      <c r="I32" s="27" t="s">
        <v>395</v>
      </c>
      <c r="J32" s="27">
        <f>60*F32</f>
        <v>420</v>
      </c>
      <c r="K32" s="27" t="str">
        <f>L32</f>
        <v>Монтажные работы</v>
      </c>
      <c r="L32" s="27" t="s">
        <v>52</v>
      </c>
      <c r="M32" s="27"/>
      <c r="N32" s="27"/>
    </row>
    <row r="33" spans="1:14" ht="21.95" customHeight="1">
      <c r="A33" s="22">
        <v>33</v>
      </c>
      <c r="B33" s="22" t="s">
        <v>108</v>
      </c>
      <c r="C33" s="23" t="s">
        <v>14</v>
      </c>
      <c r="D33" s="23"/>
      <c r="E33" s="23" t="s">
        <v>109</v>
      </c>
      <c r="F33" s="23"/>
      <c r="G33" s="23"/>
      <c r="H33" s="23"/>
      <c r="I33" s="23" t="s">
        <v>332</v>
      </c>
      <c r="J33" s="23">
        <v>1</v>
      </c>
      <c r="K33" s="23" t="s">
        <v>17</v>
      </c>
      <c r="L33" s="23"/>
      <c r="M33" s="23" t="s">
        <v>18</v>
      </c>
      <c r="N33" s="23"/>
    </row>
    <row r="34" spans="1:14" ht="21.95" customHeight="1">
      <c r="A34" s="24">
        <v>34</v>
      </c>
      <c r="B34" s="24" t="s">
        <v>108</v>
      </c>
      <c r="C34" s="25" t="s">
        <v>19</v>
      </c>
      <c r="D34" s="25" t="s">
        <v>353</v>
      </c>
      <c r="E34" s="25" t="s">
        <v>354</v>
      </c>
      <c r="F34" s="25">
        <v>65570</v>
      </c>
      <c r="G34" s="25">
        <f t="shared" ref="G34:G39" si="11">0.6*F34</f>
        <v>39342</v>
      </c>
      <c r="H34" s="25">
        <f t="shared" ref="H34:H40" si="12">G34*J34</f>
        <v>39342</v>
      </c>
      <c r="I34" s="25" t="s">
        <v>365</v>
      </c>
      <c r="J34" s="25">
        <v>1</v>
      </c>
      <c r="K34" s="25" t="s">
        <v>22</v>
      </c>
      <c r="L34" s="25" t="s">
        <v>111</v>
      </c>
      <c r="M34" s="25" t="s">
        <v>112</v>
      </c>
      <c r="N34" s="25"/>
    </row>
    <row r="35" spans="1:14" ht="21.95" customHeight="1">
      <c r="A35" s="26">
        <v>35</v>
      </c>
      <c r="B35" s="26" t="s">
        <v>108</v>
      </c>
      <c r="C35" s="27" t="s">
        <v>59</v>
      </c>
      <c r="D35" s="27" t="s">
        <v>372</v>
      </c>
      <c r="E35" s="27" t="s">
        <v>373</v>
      </c>
      <c r="F35" s="27">
        <v>2337</v>
      </c>
      <c r="G35" s="25">
        <f t="shared" si="11"/>
        <v>1402.2</v>
      </c>
      <c r="H35" s="25">
        <f t="shared" si="12"/>
        <v>1402.2</v>
      </c>
      <c r="I35" s="27" t="s">
        <v>27</v>
      </c>
      <c r="J35" s="27">
        <v>1</v>
      </c>
      <c r="K35" s="27" t="s">
        <v>22</v>
      </c>
      <c r="L35" s="27" t="s">
        <v>114</v>
      </c>
      <c r="M35" s="27" t="s">
        <v>62</v>
      </c>
      <c r="N35" s="27" t="s">
        <v>63</v>
      </c>
    </row>
    <row r="36" spans="1:14" ht="21.95" customHeight="1">
      <c r="A36" s="26">
        <v>36</v>
      </c>
      <c r="B36" s="26" t="s">
        <v>108</v>
      </c>
      <c r="C36" s="27" t="s">
        <v>59</v>
      </c>
      <c r="D36" s="27" t="s">
        <v>374</v>
      </c>
      <c r="E36" s="27" t="s">
        <v>375</v>
      </c>
      <c r="F36" s="27">
        <v>2429</v>
      </c>
      <c r="G36" s="25">
        <f t="shared" si="11"/>
        <v>1457.3999999999999</v>
      </c>
      <c r="H36" s="25">
        <f t="shared" si="12"/>
        <v>5829.5999999999995</v>
      </c>
      <c r="I36" s="27" t="s">
        <v>27</v>
      </c>
      <c r="J36" s="27">
        <v>4</v>
      </c>
      <c r="K36" s="27" t="s">
        <v>22</v>
      </c>
      <c r="L36" s="27" t="s">
        <v>115</v>
      </c>
      <c r="M36" s="27" t="s">
        <v>62</v>
      </c>
      <c r="N36" s="27" t="s">
        <v>63</v>
      </c>
    </row>
    <row r="37" spans="1:14" ht="21.95" customHeight="1">
      <c r="A37" s="26">
        <v>37</v>
      </c>
      <c r="B37" s="26" t="s">
        <v>108</v>
      </c>
      <c r="C37" s="27" t="s">
        <v>59</v>
      </c>
      <c r="D37" s="27" t="s">
        <v>376</v>
      </c>
      <c r="E37" s="27" t="s">
        <v>377</v>
      </c>
      <c r="F37" s="27">
        <v>2606</v>
      </c>
      <c r="G37" s="25">
        <f t="shared" si="11"/>
        <v>1563.6</v>
      </c>
      <c r="H37" s="25">
        <f t="shared" si="12"/>
        <v>1563.6</v>
      </c>
      <c r="I37" s="27" t="s">
        <v>27</v>
      </c>
      <c r="J37" s="27">
        <v>1</v>
      </c>
      <c r="K37" s="27" t="s">
        <v>22</v>
      </c>
      <c r="L37" s="27" t="s">
        <v>116</v>
      </c>
      <c r="M37" s="27" t="s">
        <v>62</v>
      </c>
      <c r="N37" s="27" t="s">
        <v>63</v>
      </c>
    </row>
    <row r="38" spans="1:14" ht="21.95" customHeight="1">
      <c r="A38" s="26">
        <v>38</v>
      </c>
      <c r="B38" s="26" t="s">
        <v>108</v>
      </c>
      <c r="C38" s="27" t="s">
        <v>59</v>
      </c>
      <c r="D38" s="27" t="s">
        <v>380</v>
      </c>
      <c r="E38" s="27" t="s">
        <v>381</v>
      </c>
      <c r="F38" s="27">
        <v>3641</v>
      </c>
      <c r="G38" s="25">
        <f t="shared" si="11"/>
        <v>2184.6</v>
      </c>
      <c r="H38" s="25">
        <f t="shared" si="12"/>
        <v>2184.6</v>
      </c>
      <c r="I38" s="27" t="s">
        <v>27</v>
      </c>
      <c r="J38" s="27">
        <v>1</v>
      </c>
      <c r="K38" s="27" t="s">
        <v>22</v>
      </c>
      <c r="L38" s="27" t="s">
        <v>117</v>
      </c>
      <c r="M38" s="27" t="s">
        <v>62</v>
      </c>
      <c r="N38" s="27" t="s">
        <v>63</v>
      </c>
    </row>
    <row r="39" spans="1:14" ht="21.95" customHeight="1">
      <c r="A39" s="26">
        <v>39</v>
      </c>
      <c r="B39" s="26" t="s">
        <v>108</v>
      </c>
      <c r="C39" s="27" t="s">
        <v>59</v>
      </c>
      <c r="D39" s="27" t="s">
        <v>378</v>
      </c>
      <c r="E39" s="27" t="s">
        <v>379</v>
      </c>
      <c r="F39" s="27">
        <v>2807</v>
      </c>
      <c r="G39" s="25">
        <f t="shared" si="11"/>
        <v>1684.2</v>
      </c>
      <c r="H39" s="25">
        <f t="shared" si="12"/>
        <v>1684.2</v>
      </c>
      <c r="I39" s="27" t="s">
        <v>27</v>
      </c>
      <c r="J39" s="27">
        <v>1</v>
      </c>
      <c r="K39" s="27" t="s">
        <v>22</v>
      </c>
      <c r="L39" s="27" t="s">
        <v>119</v>
      </c>
      <c r="M39" s="27" t="s">
        <v>62</v>
      </c>
      <c r="N39" s="27" t="s">
        <v>63</v>
      </c>
    </row>
    <row r="40" spans="1:14" ht="21.95" customHeight="1">
      <c r="A40" s="26">
        <v>7</v>
      </c>
      <c r="B40" s="26" t="s">
        <v>226</v>
      </c>
      <c r="C40" s="27" t="s">
        <v>48</v>
      </c>
      <c r="D40" s="27"/>
      <c r="E40" s="27" t="s">
        <v>49</v>
      </c>
      <c r="F40" s="27">
        <f ca="1">OFFSET(F40,1,2)</f>
        <v>18000</v>
      </c>
      <c r="G40" s="27">
        <f ca="1">F40</f>
        <v>18000</v>
      </c>
      <c r="H40" s="25">
        <f t="shared" ca="1" si="12"/>
        <v>18000</v>
      </c>
      <c r="I40" s="27" t="s">
        <v>403</v>
      </c>
      <c r="J40" s="27">
        <v>1</v>
      </c>
      <c r="K40" s="27" t="s">
        <v>48</v>
      </c>
      <c r="L40" s="27" t="s">
        <v>48</v>
      </c>
      <c r="M40" s="27" t="s">
        <v>51</v>
      </c>
      <c r="N40" s="27"/>
    </row>
    <row r="41" spans="1:14" ht="21.95" customHeight="1">
      <c r="A41" s="26">
        <v>41</v>
      </c>
      <c r="B41" s="26" t="s">
        <v>108</v>
      </c>
      <c r="C41" s="27" t="s">
        <v>52</v>
      </c>
      <c r="D41" s="27"/>
      <c r="E41" s="27" t="s">
        <v>53</v>
      </c>
      <c r="F41" s="27">
        <v>3</v>
      </c>
      <c r="G41" s="27">
        <v>100</v>
      </c>
      <c r="H41" s="25">
        <f t="shared" ref="H41" si="13">G41*J41</f>
        <v>18000</v>
      </c>
      <c r="I41" s="27" t="s">
        <v>395</v>
      </c>
      <c r="J41" s="27">
        <f>60*F41</f>
        <v>180</v>
      </c>
      <c r="K41" s="27" t="str">
        <f>L41</f>
        <v>Монтажные работы</v>
      </c>
      <c r="L41" s="27" t="s">
        <v>52</v>
      </c>
      <c r="M41" s="27"/>
      <c r="N41" s="27"/>
    </row>
    <row r="42" spans="1:14" ht="21.95" customHeight="1">
      <c r="A42" s="22">
        <v>42</v>
      </c>
      <c r="B42" s="22" t="s">
        <v>120</v>
      </c>
      <c r="C42" s="23" t="s">
        <v>14</v>
      </c>
      <c r="D42" s="23"/>
      <c r="E42" s="23" t="s">
        <v>121</v>
      </c>
      <c r="F42" s="23"/>
      <c r="G42" s="23"/>
      <c r="H42" s="23"/>
      <c r="I42" s="23" t="s">
        <v>332</v>
      </c>
      <c r="J42" s="23">
        <v>1</v>
      </c>
      <c r="K42" s="23" t="s">
        <v>17</v>
      </c>
      <c r="L42" s="23"/>
      <c r="M42" s="23" t="s">
        <v>18</v>
      </c>
      <c r="N42" s="23"/>
    </row>
    <row r="43" spans="1:14" ht="21.95" customHeight="1">
      <c r="A43" s="24">
        <v>43</v>
      </c>
      <c r="B43" s="24" t="s">
        <v>120</v>
      </c>
      <c r="C43" s="25" t="s">
        <v>19</v>
      </c>
      <c r="D43" s="25" t="s">
        <v>357</v>
      </c>
      <c r="E43" s="25" t="s">
        <v>358</v>
      </c>
      <c r="F43" s="25">
        <v>14695</v>
      </c>
      <c r="G43" s="25">
        <f t="shared" ref="G43:G46" si="14">0.6*F43</f>
        <v>8817</v>
      </c>
      <c r="H43" s="25">
        <f t="shared" ref="H43:H47" si="15">G43*J43</f>
        <v>8817</v>
      </c>
      <c r="I43" s="25" t="s">
        <v>365</v>
      </c>
      <c r="J43" s="25">
        <v>1</v>
      </c>
      <c r="K43" s="25" t="s">
        <v>22</v>
      </c>
      <c r="L43" s="25" t="s">
        <v>123</v>
      </c>
      <c r="M43" s="25" t="s">
        <v>124</v>
      </c>
      <c r="N43" s="25"/>
    </row>
    <row r="44" spans="1:14" ht="21.95" customHeight="1">
      <c r="A44" s="26">
        <v>44</v>
      </c>
      <c r="B44" s="26" t="s">
        <v>120</v>
      </c>
      <c r="C44" s="27" t="s">
        <v>125</v>
      </c>
      <c r="D44" s="27" t="s">
        <v>336</v>
      </c>
      <c r="E44" s="27" t="s">
        <v>337</v>
      </c>
      <c r="F44" s="27">
        <v>3372</v>
      </c>
      <c r="G44" s="25">
        <f t="shared" si="14"/>
        <v>2023.1999999999998</v>
      </c>
      <c r="H44" s="25">
        <f t="shared" si="15"/>
        <v>2023.1999999999998</v>
      </c>
      <c r="I44" s="27" t="s">
        <v>27</v>
      </c>
      <c r="J44" s="27">
        <v>1</v>
      </c>
      <c r="K44" s="27" t="s">
        <v>22</v>
      </c>
      <c r="L44" s="27" t="s">
        <v>128</v>
      </c>
      <c r="M44" s="27" t="s">
        <v>129</v>
      </c>
      <c r="N44" s="27" t="s">
        <v>37</v>
      </c>
    </row>
    <row r="45" spans="1:14" ht="21.95" customHeight="1">
      <c r="A45" s="26">
        <v>45</v>
      </c>
      <c r="B45" s="26" t="s">
        <v>120</v>
      </c>
      <c r="C45" s="27" t="s">
        <v>59</v>
      </c>
      <c r="D45" s="27" t="s">
        <v>366</v>
      </c>
      <c r="E45" s="27" t="s">
        <v>367</v>
      </c>
      <c r="F45" s="27">
        <v>783</v>
      </c>
      <c r="G45" s="25">
        <f t="shared" si="14"/>
        <v>469.79999999999995</v>
      </c>
      <c r="H45" s="25">
        <f t="shared" si="15"/>
        <v>4698</v>
      </c>
      <c r="I45" s="27" t="s">
        <v>27</v>
      </c>
      <c r="J45" s="27">
        <v>10</v>
      </c>
      <c r="K45" s="27" t="s">
        <v>22</v>
      </c>
      <c r="L45" s="27" t="s">
        <v>131</v>
      </c>
      <c r="M45" s="27" t="s">
        <v>62</v>
      </c>
      <c r="N45" s="27" t="s">
        <v>63</v>
      </c>
    </row>
    <row r="46" spans="1:14" ht="21.95" customHeight="1">
      <c r="A46" s="26">
        <v>46</v>
      </c>
      <c r="B46" s="26" t="s">
        <v>120</v>
      </c>
      <c r="C46" s="27" t="s">
        <v>132</v>
      </c>
      <c r="D46" s="27" t="s">
        <v>134</v>
      </c>
      <c r="E46" s="27" t="s">
        <v>351</v>
      </c>
      <c r="F46" s="27">
        <v>13622</v>
      </c>
      <c r="G46" s="25">
        <f t="shared" si="14"/>
        <v>8173.2</v>
      </c>
      <c r="H46" s="25">
        <f t="shared" si="15"/>
        <v>8173.2</v>
      </c>
      <c r="I46" s="27" t="s">
        <v>27</v>
      </c>
      <c r="J46" s="27">
        <v>1</v>
      </c>
      <c r="K46" s="27" t="s">
        <v>22</v>
      </c>
      <c r="L46" s="27" t="s">
        <v>135</v>
      </c>
      <c r="M46" s="27" t="s">
        <v>136</v>
      </c>
      <c r="N46" s="27" t="s">
        <v>137</v>
      </c>
    </row>
    <row r="47" spans="1:14" ht="21.95" customHeight="1">
      <c r="A47" s="26">
        <v>7</v>
      </c>
      <c r="B47" s="26" t="s">
        <v>398</v>
      </c>
      <c r="C47" s="27" t="s">
        <v>48</v>
      </c>
      <c r="D47" s="27"/>
      <c r="E47" s="27" t="s">
        <v>49</v>
      </c>
      <c r="F47" s="27">
        <f ca="1">OFFSET(F47,1,2)</f>
        <v>4200</v>
      </c>
      <c r="G47" s="27">
        <f ca="1">F47</f>
        <v>4200</v>
      </c>
      <c r="H47" s="25">
        <f t="shared" ca="1" si="15"/>
        <v>4200</v>
      </c>
      <c r="I47" s="27" t="s">
        <v>403</v>
      </c>
      <c r="J47" s="27">
        <v>1</v>
      </c>
      <c r="K47" s="27" t="s">
        <v>48</v>
      </c>
      <c r="L47" s="27" t="s">
        <v>48</v>
      </c>
      <c r="M47" s="27" t="s">
        <v>51</v>
      </c>
      <c r="N47" s="27"/>
    </row>
    <row r="48" spans="1:14" ht="21.95" customHeight="1">
      <c r="A48" s="26">
        <v>48</v>
      </c>
      <c r="B48" s="26" t="s">
        <v>120</v>
      </c>
      <c r="C48" s="27" t="s">
        <v>52</v>
      </c>
      <c r="D48" s="27"/>
      <c r="E48" s="27" t="s">
        <v>53</v>
      </c>
      <c r="F48" s="27">
        <v>0.7</v>
      </c>
      <c r="G48" s="27">
        <v>100</v>
      </c>
      <c r="H48" s="25">
        <f t="shared" ref="H48" si="16">G48*J48</f>
        <v>4200</v>
      </c>
      <c r="I48" s="27" t="s">
        <v>395</v>
      </c>
      <c r="J48" s="27">
        <f>60*F48</f>
        <v>42</v>
      </c>
      <c r="K48" s="27" t="str">
        <f>L48</f>
        <v>Монтажные работы</v>
      </c>
      <c r="L48" s="27" t="s">
        <v>52</v>
      </c>
      <c r="M48" s="27"/>
      <c r="N48" s="27"/>
    </row>
    <row r="49" spans="1:14" ht="21.95" customHeight="1">
      <c r="A49" s="22">
        <v>49</v>
      </c>
      <c r="B49" s="22" t="s">
        <v>138</v>
      </c>
      <c r="C49" s="23" t="s">
        <v>14</v>
      </c>
      <c r="D49" s="23"/>
      <c r="E49" s="23" t="s">
        <v>139</v>
      </c>
      <c r="F49" s="23"/>
      <c r="G49" s="23"/>
      <c r="H49" s="23"/>
      <c r="I49" s="23" t="s">
        <v>332</v>
      </c>
      <c r="J49" s="23">
        <v>1</v>
      </c>
      <c r="K49" s="23" t="s">
        <v>17</v>
      </c>
      <c r="L49" s="23"/>
      <c r="M49" s="23" t="s">
        <v>18</v>
      </c>
      <c r="N49" s="23"/>
    </row>
    <row r="50" spans="1:14" ht="21.95" customHeight="1">
      <c r="A50" s="24">
        <v>50</v>
      </c>
      <c r="B50" s="24" t="s">
        <v>138</v>
      </c>
      <c r="C50" s="25" t="s">
        <v>19</v>
      </c>
      <c r="D50" s="25" t="s">
        <v>357</v>
      </c>
      <c r="E50" s="25" t="s">
        <v>358</v>
      </c>
      <c r="F50" s="25">
        <v>14695</v>
      </c>
      <c r="G50" s="25">
        <f t="shared" ref="G50:G53" si="17">0.6*F50</f>
        <v>8817</v>
      </c>
      <c r="H50" s="25">
        <f t="shared" ref="H50:H54" si="18">G50*J50</f>
        <v>8817</v>
      </c>
      <c r="I50" s="25" t="s">
        <v>365</v>
      </c>
      <c r="J50" s="25">
        <v>1</v>
      </c>
      <c r="K50" s="25" t="s">
        <v>22</v>
      </c>
      <c r="L50" s="25" t="s">
        <v>141</v>
      </c>
      <c r="M50" s="25" t="s">
        <v>124</v>
      </c>
      <c r="N50" s="25"/>
    </row>
    <row r="51" spans="1:14" ht="21.95" customHeight="1">
      <c r="A51" s="26">
        <v>51</v>
      </c>
      <c r="B51" s="26" t="s">
        <v>138</v>
      </c>
      <c r="C51" s="27" t="s">
        <v>125</v>
      </c>
      <c r="D51" s="27" t="s">
        <v>336</v>
      </c>
      <c r="E51" s="27" t="s">
        <v>337</v>
      </c>
      <c r="F51" s="27">
        <v>3372</v>
      </c>
      <c r="G51" s="25">
        <f t="shared" si="17"/>
        <v>2023.1999999999998</v>
      </c>
      <c r="H51" s="25">
        <f t="shared" si="18"/>
        <v>2023.1999999999998</v>
      </c>
      <c r="I51" s="27" t="s">
        <v>27</v>
      </c>
      <c r="J51" s="27">
        <v>1</v>
      </c>
      <c r="K51" s="27" t="s">
        <v>22</v>
      </c>
      <c r="L51" s="27" t="s">
        <v>142</v>
      </c>
      <c r="M51" s="27" t="s">
        <v>129</v>
      </c>
      <c r="N51" s="27" t="s">
        <v>37</v>
      </c>
    </row>
    <row r="52" spans="1:14" ht="21.95" customHeight="1">
      <c r="A52" s="26">
        <v>52</v>
      </c>
      <c r="B52" s="26" t="s">
        <v>138</v>
      </c>
      <c r="C52" s="27" t="s">
        <v>59</v>
      </c>
      <c r="D52" s="27" t="s">
        <v>366</v>
      </c>
      <c r="E52" s="27" t="s">
        <v>367</v>
      </c>
      <c r="F52" s="27">
        <v>783</v>
      </c>
      <c r="G52" s="25">
        <f t="shared" si="17"/>
        <v>469.79999999999995</v>
      </c>
      <c r="H52" s="25">
        <f t="shared" si="18"/>
        <v>2818.7999999999997</v>
      </c>
      <c r="I52" s="27" t="s">
        <v>27</v>
      </c>
      <c r="J52" s="27">
        <v>6</v>
      </c>
      <c r="K52" s="27" t="s">
        <v>22</v>
      </c>
      <c r="L52" s="27" t="s">
        <v>143</v>
      </c>
      <c r="M52" s="27" t="s">
        <v>62</v>
      </c>
      <c r="N52" s="27" t="s">
        <v>63</v>
      </c>
    </row>
    <row r="53" spans="1:14" ht="21.95" customHeight="1">
      <c r="A53" s="26">
        <v>53</v>
      </c>
      <c r="B53" s="26" t="s">
        <v>138</v>
      </c>
      <c r="C53" s="27" t="s">
        <v>132</v>
      </c>
      <c r="D53" s="27" t="s">
        <v>134</v>
      </c>
      <c r="E53" s="27" t="s">
        <v>351</v>
      </c>
      <c r="F53" s="27">
        <v>13622</v>
      </c>
      <c r="G53" s="25">
        <f t="shared" si="17"/>
        <v>8173.2</v>
      </c>
      <c r="H53" s="25">
        <f t="shared" si="18"/>
        <v>32692.799999999999</v>
      </c>
      <c r="I53" s="27" t="s">
        <v>27</v>
      </c>
      <c r="J53" s="27">
        <v>4</v>
      </c>
      <c r="K53" s="27" t="s">
        <v>22</v>
      </c>
      <c r="L53" s="27" t="s">
        <v>144</v>
      </c>
      <c r="M53" s="27" t="s">
        <v>136</v>
      </c>
      <c r="N53" s="27" t="s">
        <v>137</v>
      </c>
    </row>
    <row r="54" spans="1:14" ht="21.95" customHeight="1">
      <c r="A54" s="26">
        <v>7</v>
      </c>
      <c r="B54" s="26" t="s">
        <v>230</v>
      </c>
      <c r="C54" s="27" t="s">
        <v>48</v>
      </c>
      <c r="D54" s="27"/>
      <c r="E54" s="27" t="s">
        <v>49</v>
      </c>
      <c r="F54" s="27">
        <f ca="1">OFFSET(F54,1,2)</f>
        <v>4200</v>
      </c>
      <c r="G54" s="27">
        <f ca="1">F54</f>
        <v>4200</v>
      </c>
      <c r="H54" s="25">
        <f t="shared" ca="1" si="18"/>
        <v>4200</v>
      </c>
      <c r="I54" s="27" t="s">
        <v>403</v>
      </c>
      <c r="J54" s="27">
        <v>1</v>
      </c>
      <c r="K54" s="27" t="s">
        <v>48</v>
      </c>
      <c r="L54" s="27" t="s">
        <v>48</v>
      </c>
      <c r="M54" s="27" t="s">
        <v>51</v>
      </c>
      <c r="N54" s="27"/>
    </row>
    <row r="55" spans="1:14" ht="21.95" customHeight="1">
      <c r="A55" s="26">
        <v>55</v>
      </c>
      <c r="B55" s="26" t="s">
        <v>138</v>
      </c>
      <c r="C55" s="27" t="s">
        <v>52</v>
      </c>
      <c r="D55" s="27"/>
      <c r="E55" s="27" t="s">
        <v>53</v>
      </c>
      <c r="F55" s="27">
        <v>0.7</v>
      </c>
      <c r="G55" s="27">
        <v>100</v>
      </c>
      <c r="H55" s="25">
        <f t="shared" ref="H55" si="19">G55*J55</f>
        <v>4200</v>
      </c>
      <c r="I55" s="27" t="s">
        <v>395</v>
      </c>
      <c r="J55" s="27">
        <f>60*F55</f>
        <v>42</v>
      </c>
      <c r="K55" s="27" t="str">
        <f>L55</f>
        <v>Монтажные работы</v>
      </c>
      <c r="L55" s="27" t="s">
        <v>52</v>
      </c>
      <c r="M55" s="27"/>
      <c r="N55" s="27"/>
    </row>
    <row r="56" spans="1:14" ht="21.95" customHeight="1">
      <c r="A56" s="22">
        <v>56</v>
      </c>
      <c r="B56" s="22" t="s">
        <v>145</v>
      </c>
      <c r="C56" s="23" t="s">
        <v>14</v>
      </c>
      <c r="D56" s="23"/>
      <c r="E56" s="23" t="s">
        <v>146</v>
      </c>
      <c r="F56" s="23"/>
      <c r="G56" s="23"/>
      <c r="H56" s="23"/>
      <c r="I56" s="23" t="s">
        <v>332</v>
      </c>
      <c r="J56" s="23">
        <v>1</v>
      </c>
      <c r="K56" s="23" t="s">
        <v>17</v>
      </c>
      <c r="L56" s="23"/>
      <c r="M56" s="23" t="s">
        <v>18</v>
      </c>
      <c r="N56" s="23"/>
    </row>
    <row r="57" spans="1:14" ht="21.95" customHeight="1">
      <c r="A57" s="24">
        <v>57</v>
      </c>
      <c r="B57" s="24" t="s">
        <v>145</v>
      </c>
      <c r="C57" s="25" t="s">
        <v>19</v>
      </c>
      <c r="D57" s="25" t="s">
        <v>357</v>
      </c>
      <c r="E57" s="25" t="s">
        <v>358</v>
      </c>
      <c r="F57" s="25">
        <v>14695</v>
      </c>
      <c r="G57" s="25">
        <f t="shared" ref="G57:G61" si="20">0.6*F57</f>
        <v>8817</v>
      </c>
      <c r="H57" s="25">
        <f t="shared" ref="H57:H62" si="21">G57*J57</f>
        <v>8817</v>
      </c>
      <c r="I57" s="25" t="s">
        <v>365</v>
      </c>
      <c r="J57" s="25">
        <v>1</v>
      </c>
      <c r="K57" s="25" t="s">
        <v>22</v>
      </c>
      <c r="L57" s="25" t="s">
        <v>147</v>
      </c>
      <c r="M57" s="25" t="s">
        <v>124</v>
      </c>
      <c r="N57" s="25"/>
    </row>
    <row r="58" spans="1:14" ht="21.95" customHeight="1">
      <c r="A58" s="26">
        <v>58</v>
      </c>
      <c r="B58" s="26" t="s">
        <v>145</v>
      </c>
      <c r="C58" s="27" t="s">
        <v>125</v>
      </c>
      <c r="D58" s="27" t="s">
        <v>338</v>
      </c>
      <c r="E58" s="27" t="s">
        <v>339</v>
      </c>
      <c r="F58" s="27">
        <v>3372</v>
      </c>
      <c r="G58" s="25">
        <f t="shared" si="20"/>
        <v>2023.1999999999998</v>
      </c>
      <c r="H58" s="25">
        <f t="shared" si="21"/>
        <v>2023.1999999999998</v>
      </c>
      <c r="I58" s="27" t="s">
        <v>27</v>
      </c>
      <c r="J58" s="27">
        <v>1</v>
      </c>
      <c r="K58" s="27" t="s">
        <v>22</v>
      </c>
      <c r="L58" s="27" t="s">
        <v>149</v>
      </c>
      <c r="M58" s="27" t="s">
        <v>150</v>
      </c>
      <c r="N58" s="27" t="s">
        <v>151</v>
      </c>
    </row>
    <row r="59" spans="1:14" ht="21.95" customHeight="1">
      <c r="A59" s="26">
        <v>59</v>
      </c>
      <c r="B59" s="26" t="s">
        <v>145</v>
      </c>
      <c r="C59" s="27" t="s">
        <v>59</v>
      </c>
      <c r="D59" s="27" t="s">
        <v>368</v>
      </c>
      <c r="E59" s="27" t="s">
        <v>369</v>
      </c>
      <c r="F59" s="27">
        <v>783</v>
      </c>
      <c r="G59" s="25">
        <f t="shared" si="20"/>
        <v>469.79999999999995</v>
      </c>
      <c r="H59" s="25">
        <f t="shared" si="21"/>
        <v>1879.1999999999998</v>
      </c>
      <c r="I59" s="27" t="s">
        <v>27</v>
      </c>
      <c r="J59" s="27">
        <v>4</v>
      </c>
      <c r="K59" s="27" t="s">
        <v>22</v>
      </c>
      <c r="L59" s="27" t="s">
        <v>153</v>
      </c>
      <c r="M59" s="27" t="s">
        <v>62</v>
      </c>
      <c r="N59" s="27" t="s">
        <v>63</v>
      </c>
    </row>
    <row r="60" spans="1:14" ht="21.95" customHeight="1">
      <c r="A60" s="26">
        <v>60</v>
      </c>
      <c r="B60" s="26" t="s">
        <v>145</v>
      </c>
      <c r="C60" s="27" t="s">
        <v>59</v>
      </c>
      <c r="D60" s="27" t="s">
        <v>372</v>
      </c>
      <c r="E60" s="27" t="s">
        <v>373</v>
      </c>
      <c r="F60" s="27">
        <v>2337</v>
      </c>
      <c r="G60" s="25">
        <f t="shared" si="20"/>
        <v>1402.2</v>
      </c>
      <c r="H60" s="25">
        <f t="shared" si="21"/>
        <v>4206.6000000000004</v>
      </c>
      <c r="I60" s="27" t="s">
        <v>27</v>
      </c>
      <c r="J60" s="27">
        <v>3</v>
      </c>
      <c r="K60" s="27" t="s">
        <v>22</v>
      </c>
      <c r="L60" s="27" t="s">
        <v>154</v>
      </c>
      <c r="M60" s="27" t="s">
        <v>62</v>
      </c>
      <c r="N60" s="27" t="s">
        <v>63</v>
      </c>
    </row>
    <row r="61" spans="1:14" ht="21.95" customHeight="1">
      <c r="A61" s="26">
        <v>61</v>
      </c>
      <c r="B61" s="26" t="s">
        <v>145</v>
      </c>
      <c r="C61" s="27" t="s">
        <v>155</v>
      </c>
      <c r="D61" s="27" t="s">
        <v>157</v>
      </c>
      <c r="E61" s="27" t="s">
        <v>382</v>
      </c>
      <c r="F61" s="27">
        <v>5354</v>
      </c>
      <c r="G61" s="25">
        <f t="shared" si="20"/>
        <v>3212.4</v>
      </c>
      <c r="H61" s="25">
        <f t="shared" si="21"/>
        <v>3212.4</v>
      </c>
      <c r="I61" s="27" t="s">
        <v>27</v>
      </c>
      <c r="J61" s="27">
        <v>1</v>
      </c>
      <c r="K61" s="27" t="s">
        <v>22</v>
      </c>
      <c r="L61" s="27" t="s">
        <v>158</v>
      </c>
      <c r="M61" s="27" t="s">
        <v>159</v>
      </c>
      <c r="N61" s="27" t="s">
        <v>160</v>
      </c>
    </row>
    <row r="62" spans="1:14" ht="21.95" customHeight="1">
      <c r="A62" s="26">
        <v>7</v>
      </c>
      <c r="B62" s="26" t="s">
        <v>232</v>
      </c>
      <c r="C62" s="27" t="s">
        <v>48</v>
      </c>
      <c r="D62" s="27"/>
      <c r="E62" s="27" t="s">
        <v>49</v>
      </c>
      <c r="F62" s="27">
        <f ca="1">OFFSET(F62,1,2)</f>
        <v>4200</v>
      </c>
      <c r="G62" s="27">
        <f ca="1">F62</f>
        <v>4200</v>
      </c>
      <c r="H62" s="25">
        <f t="shared" ca="1" si="21"/>
        <v>4200</v>
      </c>
      <c r="I62" s="27" t="s">
        <v>403</v>
      </c>
      <c r="J62" s="27">
        <v>1</v>
      </c>
      <c r="K62" s="27" t="s">
        <v>48</v>
      </c>
      <c r="L62" s="27" t="s">
        <v>48</v>
      </c>
      <c r="M62" s="27" t="s">
        <v>51</v>
      </c>
      <c r="N62" s="27"/>
    </row>
    <row r="63" spans="1:14" ht="21.95" customHeight="1">
      <c r="A63" s="26">
        <v>63</v>
      </c>
      <c r="B63" s="26" t="s">
        <v>145</v>
      </c>
      <c r="C63" s="27" t="s">
        <v>52</v>
      </c>
      <c r="D63" s="27"/>
      <c r="E63" s="27" t="s">
        <v>53</v>
      </c>
      <c r="F63" s="27">
        <v>0.7</v>
      </c>
      <c r="G63" s="27">
        <v>100</v>
      </c>
      <c r="H63" s="25">
        <f t="shared" ref="H63" si="22">G63*J63</f>
        <v>4200</v>
      </c>
      <c r="I63" s="27" t="s">
        <v>395</v>
      </c>
      <c r="J63" s="27">
        <f>60*F63</f>
        <v>42</v>
      </c>
      <c r="K63" s="27" t="str">
        <f>L63</f>
        <v>Монтажные работы</v>
      </c>
      <c r="L63" s="27" t="s">
        <v>52</v>
      </c>
      <c r="M63" s="27"/>
      <c r="N63" s="27"/>
    </row>
    <row r="64" spans="1:14" ht="21.95" customHeight="1">
      <c r="A64" s="22">
        <v>64</v>
      </c>
      <c r="B64" s="22" t="s">
        <v>161</v>
      </c>
      <c r="C64" s="23" t="s">
        <v>14</v>
      </c>
      <c r="D64" s="23"/>
      <c r="E64" s="23" t="s">
        <v>146</v>
      </c>
      <c r="F64" s="23"/>
      <c r="G64" s="23"/>
      <c r="H64" s="23"/>
      <c r="I64" s="23" t="s">
        <v>332</v>
      </c>
      <c r="J64" s="23">
        <v>1</v>
      </c>
      <c r="K64" s="23" t="s">
        <v>17</v>
      </c>
      <c r="L64" s="23"/>
      <c r="M64" s="23" t="s">
        <v>18</v>
      </c>
      <c r="N64" s="23"/>
    </row>
    <row r="65" spans="1:14" ht="21.95" customHeight="1">
      <c r="A65" s="24">
        <v>65</v>
      </c>
      <c r="B65" s="24" t="s">
        <v>161</v>
      </c>
      <c r="C65" s="25" t="s">
        <v>19</v>
      </c>
      <c r="D65" s="25" t="s">
        <v>357</v>
      </c>
      <c r="E65" s="25" t="s">
        <v>358</v>
      </c>
      <c r="F65" s="25">
        <v>14695</v>
      </c>
      <c r="G65" s="25">
        <f t="shared" ref="G65:G68" si="23">0.6*F65</f>
        <v>8817</v>
      </c>
      <c r="H65" s="25">
        <f t="shared" ref="H65:H69" si="24">G65*J65</f>
        <v>8817</v>
      </c>
      <c r="I65" s="25" t="s">
        <v>365</v>
      </c>
      <c r="J65" s="25">
        <v>1</v>
      </c>
      <c r="K65" s="25" t="s">
        <v>22</v>
      </c>
      <c r="L65" s="25" t="s">
        <v>162</v>
      </c>
      <c r="M65" s="25" t="s">
        <v>124</v>
      </c>
      <c r="N65" s="25"/>
    </row>
    <row r="66" spans="1:14" ht="21.95" customHeight="1">
      <c r="A66" s="26">
        <v>66</v>
      </c>
      <c r="B66" s="26" t="s">
        <v>161</v>
      </c>
      <c r="C66" s="27" t="s">
        <v>125</v>
      </c>
      <c r="D66" s="27" t="s">
        <v>338</v>
      </c>
      <c r="E66" s="27" t="s">
        <v>339</v>
      </c>
      <c r="F66" s="27">
        <v>3372</v>
      </c>
      <c r="G66" s="25">
        <f t="shared" si="23"/>
        <v>2023.1999999999998</v>
      </c>
      <c r="H66" s="25">
        <f t="shared" si="24"/>
        <v>2023.1999999999998</v>
      </c>
      <c r="I66" s="27" t="s">
        <v>27</v>
      </c>
      <c r="J66" s="27">
        <v>1</v>
      </c>
      <c r="K66" s="27" t="s">
        <v>22</v>
      </c>
      <c r="L66" s="27" t="s">
        <v>163</v>
      </c>
      <c r="M66" s="27" t="s">
        <v>150</v>
      </c>
      <c r="N66" s="27" t="s">
        <v>151</v>
      </c>
    </row>
    <row r="67" spans="1:14" ht="21.95" customHeight="1">
      <c r="A67" s="26">
        <v>67</v>
      </c>
      <c r="B67" s="26" t="s">
        <v>161</v>
      </c>
      <c r="C67" s="27" t="s">
        <v>164</v>
      </c>
      <c r="D67" s="27" t="s">
        <v>349</v>
      </c>
      <c r="E67" s="27" t="s">
        <v>350</v>
      </c>
      <c r="F67" s="27">
        <v>5104</v>
      </c>
      <c r="G67" s="25">
        <f t="shared" si="23"/>
        <v>3062.4</v>
      </c>
      <c r="H67" s="25">
        <f t="shared" si="24"/>
        <v>15312</v>
      </c>
      <c r="I67" s="27" t="s">
        <v>27</v>
      </c>
      <c r="J67" s="27">
        <v>5</v>
      </c>
      <c r="K67" s="27" t="s">
        <v>22</v>
      </c>
      <c r="L67" s="27" t="s">
        <v>166</v>
      </c>
      <c r="M67" s="27" t="s">
        <v>167</v>
      </c>
      <c r="N67" s="27" t="s">
        <v>168</v>
      </c>
    </row>
    <row r="68" spans="1:14" ht="21.95" customHeight="1">
      <c r="A68" s="26">
        <v>68</v>
      </c>
      <c r="B68" s="26" t="s">
        <v>161</v>
      </c>
      <c r="C68" s="27" t="s">
        <v>59</v>
      </c>
      <c r="D68" s="27" t="s">
        <v>372</v>
      </c>
      <c r="E68" s="27" t="s">
        <v>373</v>
      </c>
      <c r="F68" s="27">
        <v>2337</v>
      </c>
      <c r="G68" s="25">
        <f t="shared" si="23"/>
        <v>1402.2</v>
      </c>
      <c r="H68" s="25">
        <f t="shared" si="24"/>
        <v>1402.2</v>
      </c>
      <c r="I68" s="27" t="s">
        <v>27</v>
      </c>
      <c r="J68" s="27">
        <v>1</v>
      </c>
      <c r="K68" s="27" t="s">
        <v>22</v>
      </c>
      <c r="L68" s="27" t="s">
        <v>169</v>
      </c>
      <c r="M68" s="27" t="s">
        <v>62</v>
      </c>
      <c r="N68" s="27" t="s">
        <v>63</v>
      </c>
    </row>
    <row r="69" spans="1:14" ht="21.95" customHeight="1">
      <c r="A69" s="26">
        <v>7</v>
      </c>
      <c r="B69" s="26" t="s">
        <v>233</v>
      </c>
      <c r="C69" s="27" t="s">
        <v>48</v>
      </c>
      <c r="D69" s="27"/>
      <c r="E69" s="27" t="s">
        <v>49</v>
      </c>
      <c r="F69" s="27">
        <f ca="1">OFFSET(F69,1,2)</f>
        <v>4200</v>
      </c>
      <c r="G69" s="27">
        <f ca="1">F69</f>
        <v>4200</v>
      </c>
      <c r="H69" s="25">
        <f t="shared" ca="1" si="24"/>
        <v>4200</v>
      </c>
      <c r="I69" s="27" t="s">
        <v>403</v>
      </c>
      <c r="J69" s="27">
        <v>1</v>
      </c>
      <c r="K69" s="27" t="s">
        <v>48</v>
      </c>
      <c r="L69" s="27" t="s">
        <v>48</v>
      </c>
      <c r="M69" s="27" t="s">
        <v>51</v>
      </c>
      <c r="N69" s="27"/>
    </row>
    <row r="70" spans="1:14" ht="21.95" customHeight="1">
      <c r="A70" s="26">
        <v>70</v>
      </c>
      <c r="B70" s="26" t="s">
        <v>161</v>
      </c>
      <c r="C70" s="27" t="s">
        <v>52</v>
      </c>
      <c r="D70" s="27"/>
      <c r="E70" s="27" t="s">
        <v>53</v>
      </c>
      <c r="F70" s="27">
        <v>0.7</v>
      </c>
      <c r="G70" s="27">
        <v>100</v>
      </c>
      <c r="H70" s="25">
        <f t="shared" ref="H70" si="25">G70*J70</f>
        <v>4200</v>
      </c>
      <c r="I70" s="27" t="s">
        <v>395</v>
      </c>
      <c r="J70" s="27">
        <f>60*F70</f>
        <v>42</v>
      </c>
      <c r="K70" s="27" t="str">
        <f>L70</f>
        <v>Монтажные работы</v>
      </c>
      <c r="L70" s="27" t="s">
        <v>52</v>
      </c>
      <c r="M70" s="27"/>
      <c r="N70" s="27"/>
    </row>
    <row r="71" spans="1:14" ht="21.95" customHeight="1">
      <c r="A71" s="22">
        <v>71</v>
      </c>
      <c r="B71" s="22" t="s">
        <v>170</v>
      </c>
      <c r="C71" s="23" t="s">
        <v>14</v>
      </c>
      <c r="D71" s="23"/>
      <c r="E71" s="23" t="s">
        <v>171</v>
      </c>
      <c r="F71" s="23"/>
      <c r="G71" s="23"/>
      <c r="H71" s="23"/>
      <c r="I71" s="23" t="s">
        <v>332</v>
      </c>
      <c r="J71" s="23">
        <v>1</v>
      </c>
      <c r="K71" s="23" t="s">
        <v>17</v>
      </c>
      <c r="L71" s="23"/>
      <c r="M71" s="23" t="s">
        <v>18</v>
      </c>
      <c r="N71" s="23"/>
    </row>
    <row r="72" spans="1:14" ht="21.95" customHeight="1">
      <c r="A72" s="24">
        <v>72</v>
      </c>
      <c r="B72" s="24" t="s">
        <v>170</v>
      </c>
      <c r="C72" s="25" t="s">
        <v>19</v>
      </c>
      <c r="D72" s="25" t="s">
        <v>409</v>
      </c>
      <c r="E72" s="25" t="s">
        <v>410</v>
      </c>
      <c r="F72" s="25">
        <v>20040</v>
      </c>
      <c r="G72" s="25">
        <f t="shared" ref="G72:G75" si="26">0.6*F72</f>
        <v>12024</v>
      </c>
      <c r="H72" s="25">
        <f t="shared" ref="H72:H76" si="27">G72*J72</f>
        <v>12024</v>
      </c>
      <c r="I72" s="25" t="s">
        <v>365</v>
      </c>
      <c r="J72" s="25">
        <v>1</v>
      </c>
      <c r="K72" s="25" t="s">
        <v>22</v>
      </c>
      <c r="L72" s="25" t="s">
        <v>173</v>
      </c>
      <c r="M72" s="25" t="s">
        <v>124</v>
      </c>
      <c r="N72" s="25"/>
    </row>
    <row r="73" spans="1:14" ht="21.95" customHeight="1">
      <c r="A73" s="26">
        <v>73</v>
      </c>
      <c r="B73" s="26" t="s">
        <v>170</v>
      </c>
      <c r="C73" s="27" t="s">
        <v>125</v>
      </c>
      <c r="D73" s="27" t="s">
        <v>342</v>
      </c>
      <c r="E73" s="27" t="s">
        <v>343</v>
      </c>
      <c r="F73" s="27">
        <v>4439</v>
      </c>
      <c r="G73" s="25">
        <f t="shared" si="26"/>
        <v>2663.4</v>
      </c>
      <c r="H73" s="25">
        <f t="shared" si="27"/>
        <v>2663.4</v>
      </c>
      <c r="I73" s="27" t="s">
        <v>27</v>
      </c>
      <c r="J73" s="27">
        <v>1</v>
      </c>
      <c r="K73" s="27" t="s">
        <v>22</v>
      </c>
      <c r="L73" s="27" t="s">
        <v>175</v>
      </c>
      <c r="M73" s="27" t="s">
        <v>150</v>
      </c>
      <c r="N73" s="27" t="s">
        <v>151</v>
      </c>
    </row>
    <row r="74" spans="1:14" ht="21.95" customHeight="1">
      <c r="A74" s="26">
        <v>74</v>
      </c>
      <c r="B74" s="26" t="s">
        <v>170</v>
      </c>
      <c r="C74" s="27" t="s">
        <v>164</v>
      </c>
      <c r="D74" s="27" t="s">
        <v>349</v>
      </c>
      <c r="E74" s="27" t="s">
        <v>350</v>
      </c>
      <c r="F74" s="27">
        <v>5104</v>
      </c>
      <c r="G74" s="25">
        <f t="shared" si="26"/>
        <v>3062.4</v>
      </c>
      <c r="H74" s="25">
        <f t="shared" si="27"/>
        <v>48998.400000000001</v>
      </c>
      <c r="I74" s="27" t="s">
        <v>27</v>
      </c>
      <c r="J74" s="27">
        <v>16</v>
      </c>
      <c r="K74" s="27" t="s">
        <v>22</v>
      </c>
      <c r="L74" s="27" t="s">
        <v>176</v>
      </c>
      <c r="M74" s="27" t="s">
        <v>167</v>
      </c>
      <c r="N74" s="27" t="s">
        <v>168</v>
      </c>
    </row>
    <row r="75" spans="1:14" ht="21.95" customHeight="1">
      <c r="A75" s="26">
        <v>75</v>
      </c>
      <c r="B75" s="26" t="s">
        <v>170</v>
      </c>
      <c r="C75" s="27" t="s">
        <v>164</v>
      </c>
      <c r="D75" s="27" t="s">
        <v>347</v>
      </c>
      <c r="E75" s="27" t="s">
        <v>348</v>
      </c>
      <c r="F75" s="27">
        <v>5552</v>
      </c>
      <c r="G75" s="25">
        <f t="shared" si="26"/>
        <v>3331.2</v>
      </c>
      <c r="H75" s="25">
        <f t="shared" si="27"/>
        <v>3331.2</v>
      </c>
      <c r="I75" s="27" t="s">
        <v>27</v>
      </c>
      <c r="J75" s="27">
        <v>1</v>
      </c>
      <c r="K75" s="27" t="s">
        <v>22</v>
      </c>
      <c r="L75" s="27" t="s">
        <v>178</v>
      </c>
      <c r="M75" s="27" t="s">
        <v>167</v>
      </c>
      <c r="N75" s="27" t="s">
        <v>168</v>
      </c>
    </row>
    <row r="76" spans="1:14" ht="21.95" customHeight="1">
      <c r="A76" s="26">
        <v>7</v>
      </c>
      <c r="B76" s="26" t="s">
        <v>234</v>
      </c>
      <c r="C76" s="27" t="s">
        <v>48</v>
      </c>
      <c r="D76" s="27"/>
      <c r="E76" s="27" t="s">
        <v>49</v>
      </c>
      <c r="F76" s="27">
        <f ca="1">OFFSET(F76,1,2)</f>
        <v>18000</v>
      </c>
      <c r="G76" s="27">
        <f ca="1">F76</f>
        <v>18000</v>
      </c>
      <c r="H76" s="25">
        <f t="shared" ca="1" si="27"/>
        <v>18000</v>
      </c>
      <c r="I76" s="27" t="s">
        <v>403</v>
      </c>
      <c r="J76" s="27">
        <v>1</v>
      </c>
      <c r="K76" s="27" t="s">
        <v>48</v>
      </c>
      <c r="L76" s="27" t="s">
        <v>48</v>
      </c>
      <c r="M76" s="27" t="s">
        <v>51</v>
      </c>
      <c r="N76" s="27"/>
    </row>
    <row r="77" spans="1:14" ht="21.95" customHeight="1">
      <c r="A77" s="26">
        <v>77</v>
      </c>
      <c r="B77" s="26" t="s">
        <v>170</v>
      </c>
      <c r="C77" s="27" t="s">
        <v>52</v>
      </c>
      <c r="D77" s="27"/>
      <c r="E77" s="27" t="s">
        <v>53</v>
      </c>
      <c r="F77" s="27">
        <v>3</v>
      </c>
      <c r="G77" s="27">
        <v>100</v>
      </c>
      <c r="H77" s="25">
        <f t="shared" ref="H77" si="28">G77*J77</f>
        <v>18000</v>
      </c>
      <c r="I77" s="27" t="s">
        <v>395</v>
      </c>
      <c r="J77" s="27">
        <f>60*F77</f>
        <v>180</v>
      </c>
      <c r="K77" s="27" t="str">
        <f>L77</f>
        <v>Монтажные работы</v>
      </c>
      <c r="L77" s="27" t="s">
        <v>52</v>
      </c>
      <c r="M77" s="27"/>
      <c r="N77" s="27"/>
    </row>
    <row r="78" spans="1:14" ht="21.95" customHeight="1">
      <c r="A78" s="22">
        <v>78</v>
      </c>
      <c r="B78" s="22" t="s">
        <v>179</v>
      </c>
      <c r="C78" s="23" t="s">
        <v>14</v>
      </c>
      <c r="D78" s="23"/>
      <c r="E78" s="23" t="s">
        <v>180</v>
      </c>
      <c r="F78" s="23"/>
      <c r="G78" s="23"/>
      <c r="H78" s="23"/>
      <c r="I78" s="23" t="s">
        <v>332</v>
      </c>
      <c r="J78" s="23">
        <v>1</v>
      </c>
      <c r="K78" s="23" t="s">
        <v>17</v>
      </c>
      <c r="L78" s="23"/>
      <c r="M78" s="23" t="s">
        <v>18</v>
      </c>
      <c r="N78" s="23"/>
    </row>
    <row r="79" spans="1:14" ht="21.95" customHeight="1">
      <c r="A79" s="24">
        <v>79</v>
      </c>
      <c r="B79" s="24" t="s">
        <v>179</v>
      </c>
      <c r="C79" s="25" t="s">
        <v>19</v>
      </c>
      <c r="D79" s="25" t="s">
        <v>409</v>
      </c>
      <c r="E79" s="25" t="s">
        <v>410</v>
      </c>
      <c r="F79" s="25">
        <v>20040</v>
      </c>
      <c r="G79" s="25">
        <f t="shared" ref="G79:G81" si="29">0.6*F79</f>
        <v>12024</v>
      </c>
      <c r="H79" s="25">
        <f t="shared" ref="H79:H82" si="30">G79*J79</f>
        <v>12024</v>
      </c>
      <c r="I79" s="25" t="s">
        <v>365</v>
      </c>
      <c r="J79" s="25">
        <v>1</v>
      </c>
      <c r="K79" s="25" t="s">
        <v>22</v>
      </c>
      <c r="L79" s="25" t="s">
        <v>182</v>
      </c>
      <c r="M79" s="25" t="s">
        <v>124</v>
      </c>
      <c r="N79" s="25"/>
    </row>
    <row r="80" spans="1:14" ht="21.95" customHeight="1">
      <c r="A80" s="26">
        <v>80</v>
      </c>
      <c r="B80" s="26" t="s">
        <v>179</v>
      </c>
      <c r="C80" s="27" t="s">
        <v>125</v>
      </c>
      <c r="D80" s="27" t="s">
        <v>340</v>
      </c>
      <c r="E80" s="27" t="s">
        <v>341</v>
      </c>
      <c r="F80" s="27">
        <v>4217</v>
      </c>
      <c r="G80" s="25">
        <f t="shared" si="29"/>
        <v>2530.1999999999998</v>
      </c>
      <c r="H80" s="25">
        <f t="shared" si="30"/>
        <v>2530.1999999999998</v>
      </c>
      <c r="I80" s="27" t="s">
        <v>27</v>
      </c>
      <c r="J80" s="27">
        <v>1</v>
      </c>
      <c r="K80" s="27" t="s">
        <v>22</v>
      </c>
      <c r="L80" s="27" t="s">
        <v>184</v>
      </c>
      <c r="M80" s="27" t="s">
        <v>150</v>
      </c>
      <c r="N80" s="27" t="s">
        <v>151</v>
      </c>
    </row>
    <row r="81" spans="1:14" ht="21.95" customHeight="1">
      <c r="A81" s="26">
        <v>81</v>
      </c>
      <c r="B81" s="26" t="s">
        <v>179</v>
      </c>
      <c r="C81" s="27" t="s">
        <v>164</v>
      </c>
      <c r="D81" s="27" t="s">
        <v>349</v>
      </c>
      <c r="E81" s="27" t="s">
        <v>350</v>
      </c>
      <c r="F81" s="27">
        <v>5104</v>
      </c>
      <c r="G81" s="25">
        <f t="shared" si="29"/>
        <v>3062.4</v>
      </c>
      <c r="H81" s="25">
        <f t="shared" si="30"/>
        <v>42873.599999999999</v>
      </c>
      <c r="I81" s="27" t="s">
        <v>27</v>
      </c>
      <c r="J81" s="27">
        <v>14</v>
      </c>
      <c r="K81" s="27" t="s">
        <v>22</v>
      </c>
      <c r="L81" s="27" t="s">
        <v>185</v>
      </c>
      <c r="M81" s="27" t="s">
        <v>167</v>
      </c>
      <c r="N81" s="27" t="s">
        <v>168</v>
      </c>
    </row>
    <row r="82" spans="1:14" ht="21.95" customHeight="1">
      <c r="A82" s="26">
        <v>7</v>
      </c>
      <c r="B82" s="26" t="s">
        <v>235</v>
      </c>
      <c r="C82" s="27" t="s">
        <v>48</v>
      </c>
      <c r="D82" s="27"/>
      <c r="E82" s="27" t="s">
        <v>49</v>
      </c>
      <c r="F82" s="27">
        <f ca="1">OFFSET(F82,1,2)</f>
        <v>15000</v>
      </c>
      <c r="G82" s="27">
        <f ca="1">F82</f>
        <v>15000</v>
      </c>
      <c r="H82" s="25">
        <f t="shared" ca="1" si="30"/>
        <v>15000</v>
      </c>
      <c r="I82" s="27" t="s">
        <v>403</v>
      </c>
      <c r="J82" s="27">
        <v>1</v>
      </c>
      <c r="K82" s="27" t="s">
        <v>48</v>
      </c>
      <c r="L82" s="27" t="s">
        <v>48</v>
      </c>
      <c r="M82" s="27" t="s">
        <v>51</v>
      </c>
      <c r="N82" s="27"/>
    </row>
    <row r="83" spans="1:14" ht="21.95" customHeight="1">
      <c r="A83" s="26">
        <v>83</v>
      </c>
      <c r="B83" s="26" t="s">
        <v>179</v>
      </c>
      <c r="C83" s="27" t="s">
        <v>52</v>
      </c>
      <c r="D83" s="27"/>
      <c r="E83" s="27" t="s">
        <v>53</v>
      </c>
      <c r="F83" s="27">
        <v>2.5</v>
      </c>
      <c r="G83" s="27">
        <v>100</v>
      </c>
      <c r="H83" s="25">
        <f t="shared" ref="H83" si="31">G83*J83</f>
        <v>15000</v>
      </c>
      <c r="I83" s="27" t="s">
        <v>395</v>
      </c>
      <c r="J83" s="27">
        <f>60*F83</f>
        <v>150</v>
      </c>
      <c r="K83" s="27" t="str">
        <f>L83</f>
        <v>Монтажные работы</v>
      </c>
      <c r="L83" s="27" t="s">
        <v>52</v>
      </c>
      <c r="M83" s="27"/>
      <c r="N83" s="27"/>
    </row>
    <row r="84" spans="1:14" ht="21.95" customHeight="1">
      <c r="A84" s="22">
        <v>84</v>
      </c>
      <c r="B84" s="22" t="s">
        <v>186</v>
      </c>
      <c r="C84" s="23" t="s">
        <v>14</v>
      </c>
      <c r="D84" s="23"/>
      <c r="E84" s="23" t="s">
        <v>180</v>
      </c>
      <c r="F84" s="23"/>
      <c r="G84" s="23"/>
      <c r="H84" s="23"/>
      <c r="I84" s="23" t="s">
        <v>332</v>
      </c>
      <c r="J84" s="23">
        <v>1</v>
      </c>
      <c r="K84" s="23" t="s">
        <v>17</v>
      </c>
      <c r="L84" s="23"/>
      <c r="M84" s="23" t="s">
        <v>18</v>
      </c>
      <c r="N84" s="23"/>
    </row>
    <row r="85" spans="1:14" ht="21.95" customHeight="1">
      <c r="A85" s="24">
        <v>85</v>
      </c>
      <c r="B85" s="24" t="s">
        <v>186</v>
      </c>
      <c r="C85" s="25" t="s">
        <v>19</v>
      </c>
      <c r="D85" s="25" t="s">
        <v>409</v>
      </c>
      <c r="E85" s="25" t="s">
        <v>410</v>
      </c>
      <c r="F85" s="25">
        <v>20040</v>
      </c>
      <c r="G85" s="25">
        <f t="shared" ref="G85:G87" si="32">0.6*F85</f>
        <v>12024</v>
      </c>
      <c r="H85" s="25">
        <f t="shared" ref="H85:H88" si="33">G85*J85</f>
        <v>12024</v>
      </c>
      <c r="I85" s="25" t="s">
        <v>365</v>
      </c>
      <c r="J85" s="25">
        <v>1</v>
      </c>
      <c r="K85" s="25" t="s">
        <v>22</v>
      </c>
      <c r="L85" s="25" t="s">
        <v>187</v>
      </c>
      <c r="M85" s="25" t="s">
        <v>124</v>
      </c>
      <c r="N85" s="25"/>
    </row>
    <row r="86" spans="1:14" ht="21.95" customHeight="1">
      <c r="A86" s="26">
        <v>86</v>
      </c>
      <c r="B86" s="26" t="s">
        <v>186</v>
      </c>
      <c r="C86" s="27" t="s">
        <v>125</v>
      </c>
      <c r="D86" s="27" t="s">
        <v>340</v>
      </c>
      <c r="E86" s="27" t="s">
        <v>341</v>
      </c>
      <c r="F86" s="27">
        <v>4217</v>
      </c>
      <c r="G86" s="25">
        <f t="shared" si="32"/>
        <v>2530.1999999999998</v>
      </c>
      <c r="H86" s="25">
        <f t="shared" si="33"/>
        <v>2530.1999999999998</v>
      </c>
      <c r="I86" s="27" t="s">
        <v>27</v>
      </c>
      <c r="J86" s="27">
        <v>1</v>
      </c>
      <c r="K86" s="27" t="s">
        <v>22</v>
      </c>
      <c r="L86" s="27" t="s">
        <v>189</v>
      </c>
      <c r="M86" s="27" t="s">
        <v>150</v>
      </c>
      <c r="N86" s="27" t="s">
        <v>151</v>
      </c>
    </row>
    <row r="87" spans="1:14" ht="21.95" customHeight="1">
      <c r="A87" s="26">
        <v>87</v>
      </c>
      <c r="B87" s="26" t="s">
        <v>186</v>
      </c>
      <c r="C87" s="27" t="s">
        <v>164</v>
      </c>
      <c r="D87" s="27" t="s">
        <v>349</v>
      </c>
      <c r="E87" s="27" t="s">
        <v>350</v>
      </c>
      <c r="F87" s="27">
        <v>5104</v>
      </c>
      <c r="G87" s="25">
        <f t="shared" si="32"/>
        <v>3062.4</v>
      </c>
      <c r="H87" s="25">
        <f t="shared" si="33"/>
        <v>45936</v>
      </c>
      <c r="I87" s="27" t="s">
        <v>27</v>
      </c>
      <c r="J87" s="27">
        <v>15</v>
      </c>
      <c r="K87" s="27" t="s">
        <v>22</v>
      </c>
      <c r="L87" s="27" t="s">
        <v>190</v>
      </c>
      <c r="M87" s="27" t="s">
        <v>167</v>
      </c>
      <c r="N87" s="27" t="s">
        <v>168</v>
      </c>
    </row>
    <row r="88" spans="1:14" ht="21.95" customHeight="1">
      <c r="A88" s="26">
        <v>7</v>
      </c>
      <c r="B88" s="26" t="s">
        <v>236</v>
      </c>
      <c r="C88" s="27" t="s">
        <v>48</v>
      </c>
      <c r="D88" s="27"/>
      <c r="E88" s="27" t="s">
        <v>49</v>
      </c>
      <c r="F88" s="27">
        <f ca="1">OFFSET(F88,1,2)</f>
        <v>15000</v>
      </c>
      <c r="G88" s="27">
        <f ca="1">F88</f>
        <v>15000</v>
      </c>
      <c r="H88" s="25">
        <f t="shared" ca="1" si="33"/>
        <v>15000</v>
      </c>
      <c r="I88" s="27" t="s">
        <v>403</v>
      </c>
      <c r="J88" s="27">
        <v>1</v>
      </c>
      <c r="K88" s="27" t="s">
        <v>48</v>
      </c>
      <c r="L88" s="27" t="s">
        <v>48</v>
      </c>
      <c r="M88" s="27" t="s">
        <v>51</v>
      </c>
      <c r="N88" s="27"/>
    </row>
    <row r="89" spans="1:14" ht="21.95" customHeight="1">
      <c r="A89" s="26">
        <v>89</v>
      </c>
      <c r="B89" s="26" t="s">
        <v>186</v>
      </c>
      <c r="C89" s="27" t="s">
        <v>52</v>
      </c>
      <c r="D89" s="27"/>
      <c r="E89" s="27" t="s">
        <v>53</v>
      </c>
      <c r="F89" s="27">
        <v>2.5</v>
      </c>
      <c r="G89" s="27">
        <v>100</v>
      </c>
      <c r="H89" s="25">
        <f t="shared" ref="H89" si="34">G89*J89</f>
        <v>15000</v>
      </c>
      <c r="I89" s="27" t="s">
        <v>395</v>
      </c>
      <c r="J89" s="27">
        <f>60*F89</f>
        <v>150</v>
      </c>
      <c r="K89" s="27" t="str">
        <f>L89</f>
        <v>Монтажные работы</v>
      </c>
      <c r="L89" s="27" t="s">
        <v>52</v>
      </c>
      <c r="M89" s="27"/>
      <c r="N89" s="27"/>
    </row>
    <row r="90" spans="1:14" ht="21.95" customHeight="1">
      <c r="A90" s="22">
        <v>90</v>
      </c>
      <c r="B90" s="22" t="s">
        <v>191</v>
      </c>
      <c r="C90" s="23" t="s">
        <v>14</v>
      </c>
      <c r="D90" s="23"/>
      <c r="E90" s="23" t="s">
        <v>192</v>
      </c>
      <c r="F90" s="23"/>
      <c r="G90" s="23"/>
      <c r="H90" s="23"/>
      <c r="I90" s="23" t="s">
        <v>332</v>
      </c>
      <c r="J90" s="23">
        <v>1</v>
      </c>
      <c r="K90" s="23" t="s">
        <v>17</v>
      </c>
      <c r="L90" s="23"/>
      <c r="M90" s="23" t="s">
        <v>18</v>
      </c>
      <c r="N90" s="23"/>
    </row>
    <row r="91" spans="1:14" ht="21.95" customHeight="1">
      <c r="A91" s="24">
        <v>91</v>
      </c>
      <c r="B91" s="24" t="s">
        <v>191</v>
      </c>
      <c r="C91" s="25" t="s">
        <v>19</v>
      </c>
      <c r="D91" s="25" t="s">
        <v>361</v>
      </c>
      <c r="E91" s="25" t="s">
        <v>362</v>
      </c>
      <c r="F91" s="25">
        <v>18000</v>
      </c>
      <c r="G91" s="25">
        <f t="shared" ref="G91:G93" si="35">0.6*F91</f>
        <v>10800</v>
      </c>
      <c r="H91" s="25">
        <f t="shared" ref="H91:H94" si="36">G91*J91</f>
        <v>10800</v>
      </c>
      <c r="I91" s="25" t="s">
        <v>365</v>
      </c>
      <c r="J91" s="25">
        <v>1</v>
      </c>
      <c r="K91" s="25" t="s">
        <v>22</v>
      </c>
      <c r="L91" s="25" t="s">
        <v>194</v>
      </c>
      <c r="M91" s="25" t="s">
        <v>124</v>
      </c>
      <c r="N91" s="25"/>
    </row>
    <row r="92" spans="1:14" ht="21.95" customHeight="1">
      <c r="A92" s="26">
        <v>92</v>
      </c>
      <c r="B92" s="26" t="s">
        <v>191</v>
      </c>
      <c r="C92" s="27" t="s">
        <v>125</v>
      </c>
      <c r="D92" s="27" t="s">
        <v>340</v>
      </c>
      <c r="E92" s="27" t="s">
        <v>341</v>
      </c>
      <c r="F92" s="27">
        <v>4217</v>
      </c>
      <c r="G92" s="25">
        <f t="shared" si="35"/>
        <v>2530.1999999999998</v>
      </c>
      <c r="H92" s="25">
        <f t="shared" si="36"/>
        <v>2530.1999999999998</v>
      </c>
      <c r="I92" s="27" t="s">
        <v>27</v>
      </c>
      <c r="J92" s="27">
        <v>1</v>
      </c>
      <c r="K92" s="27" t="s">
        <v>22</v>
      </c>
      <c r="L92" s="27" t="s">
        <v>195</v>
      </c>
      <c r="M92" s="27" t="s">
        <v>150</v>
      </c>
      <c r="N92" s="27" t="s">
        <v>151</v>
      </c>
    </row>
    <row r="93" spans="1:14" ht="21.95" customHeight="1">
      <c r="A93" s="26">
        <v>93</v>
      </c>
      <c r="B93" s="26" t="s">
        <v>191</v>
      </c>
      <c r="C93" s="27" t="s">
        <v>164</v>
      </c>
      <c r="D93" s="27" t="s">
        <v>349</v>
      </c>
      <c r="E93" s="27" t="s">
        <v>350</v>
      </c>
      <c r="F93" s="27">
        <v>5104</v>
      </c>
      <c r="G93" s="25">
        <f t="shared" si="35"/>
        <v>3062.4</v>
      </c>
      <c r="H93" s="25">
        <f t="shared" si="36"/>
        <v>39811.200000000004</v>
      </c>
      <c r="I93" s="27" t="s">
        <v>27</v>
      </c>
      <c r="J93" s="27">
        <v>13</v>
      </c>
      <c r="K93" s="27" t="s">
        <v>22</v>
      </c>
      <c r="L93" s="27" t="s">
        <v>196</v>
      </c>
      <c r="M93" s="27" t="s">
        <v>167</v>
      </c>
      <c r="N93" s="27" t="s">
        <v>168</v>
      </c>
    </row>
    <row r="94" spans="1:14" ht="21.95" customHeight="1">
      <c r="A94" s="26">
        <v>7</v>
      </c>
      <c r="B94" s="26" t="s">
        <v>236</v>
      </c>
      <c r="C94" s="27" t="s">
        <v>48</v>
      </c>
      <c r="D94" s="27"/>
      <c r="E94" s="27" t="s">
        <v>49</v>
      </c>
      <c r="F94" s="27">
        <f ca="1">OFFSET(F94,1,2)</f>
        <v>13800</v>
      </c>
      <c r="G94" s="27">
        <f ca="1">F94</f>
        <v>13800</v>
      </c>
      <c r="H94" s="25">
        <f t="shared" ca="1" si="36"/>
        <v>13800</v>
      </c>
      <c r="I94" s="27" t="s">
        <v>403</v>
      </c>
      <c r="J94" s="27">
        <v>1</v>
      </c>
      <c r="K94" s="27" t="s">
        <v>48</v>
      </c>
      <c r="L94" s="27" t="s">
        <v>48</v>
      </c>
      <c r="M94" s="27" t="s">
        <v>51</v>
      </c>
      <c r="N94" s="27"/>
    </row>
    <row r="95" spans="1:14" ht="21.95" customHeight="1">
      <c r="A95" s="26">
        <v>95</v>
      </c>
      <c r="B95" s="26" t="s">
        <v>191</v>
      </c>
      <c r="C95" s="27" t="s">
        <v>52</v>
      </c>
      <c r="D95" s="27"/>
      <c r="E95" s="27" t="s">
        <v>53</v>
      </c>
      <c r="F95" s="27">
        <v>2.2999999999999998</v>
      </c>
      <c r="G95" s="27">
        <v>100</v>
      </c>
      <c r="H95" s="25">
        <f t="shared" ref="H95" si="37">G95*J95</f>
        <v>13800</v>
      </c>
      <c r="I95" s="27" t="s">
        <v>395</v>
      </c>
      <c r="J95" s="27">
        <f>60*F95</f>
        <v>138</v>
      </c>
      <c r="K95" s="27" t="str">
        <f>L95</f>
        <v>Монтажные работы</v>
      </c>
      <c r="L95" s="27" t="s">
        <v>52</v>
      </c>
      <c r="M95" s="27"/>
      <c r="N95" s="27"/>
    </row>
    <row r="96" spans="1:14" ht="21.95" customHeight="1">
      <c r="A96" s="22">
        <v>96</v>
      </c>
      <c r="B96" s="22" t="s">
        <v>197</v>
      </c>
      <c r="C96" s="23" t="s">
        <v>14</v>
      </c>
      <c r="D96" s="23"/>
      <c r="E96" s="23" t="s">
        <v>198</v>
      </c>
      <c r="F96" s="23"/>
      <c r="G96" s="23"/>
      <c r="H96" s="23"/>
      <c r="I96" s="23" t="s">
        <v>332</v>
      </c>
      <c r="J96" s="23">
        <v>1</v>
      </c>
      <c r="K96" s="23" t="s">
        <v>17</v>
      </c>
      <c r="L96" s="23"/>
      <c r="M96" s="23" t="s">
        <v>18</v>
      </c>
      <c r="N96" s="23"/>
    </row>
    <row r="97" spans="1:14" ht="21.95" customHeight="1">
      <c r="A97" s="24">
        <v>97</v>
      </c>
      <c r="B97" s="24" t="s">
        <v>197</v>
      </c>
      <c r="C97" s="25" t="s">
        <v>19</v>
      </c>
      <c r="D97" s="25" t="s">
        <v>355</v>
      </c>
      <c r="E97" s="25" t="s">
        <v>356</v>
      </c>
      <c r="F97" s="25">
        <v>10270</v>
      </c>
      <c r="G97" s="25">
        <f t="shared" ref="G97:G99" si="38">0.6*F97</f>
        <v>6162</v>
      </c>
      <c r="H97" s="25">
        <f t="shared" ref="H97:H100" si="39">G97*J97</f>
        <v>6162</v>
      </c>
      <c r="I97" s="25" t="s">
        <v>365</v>
      </c>
      <c r="J97" s="25">
        <v>1</v>
      </c>
      <c r="K97" s="25" t="s">
        <v>22</v>
      </c>
      <c r="L97" s="25" t="s">
        <v>199</v>
      </c>
      <c r="M97" s="25" t="s">
        <v>124</v>
      </c>
      <c r="N97" s="25"/>
    </row>
    <row r="98" spans="1:14" ht="21.95" customHeight="1">
      <c r="A98" s="26">
        <v>98</v>
      </c>
      <c r="B98" s="26" t="s">
        <v>197</v>
      </c>
      <c r="C98" s="27" t="s">
        <v>125</v>
      </c>
      <c r="D98" s="27" t="s">
        <v>336</v>
      </c>
      <c r="E98" s="27" t="s">
        <v>337</v>
      </c>
      <c r="F98" s="27">
        <v>3372</v>
      </c>
      <c r="G98" s="25">
        <f t="shared" si="38"/>
        <v>2023.1999999999998</v>
      </c>
      <c r="H98" s="25">
        <f t="shared" si="39"/>
        <v>2023.1999999999998</v>
      </c>
      <c r="I98" s="27" t="s">
        <v>27</v>
      </c>
      <c r="J98" s="27">
        <v>1</v>
      </c>
      <c r="K98" s="27" t="s">
        <v>22</v>
      </c>
      <c r="L98" s="27" t="s">
        <v>201</v>
      </c>
      <c r="M98" s="27" t="s">
        <v>150</v>
      </c>
      <c r="N98" s="27" t="s">
        <v>151</v>
      </c>
    </row>
    <row r="99" spans="1:14" ht="21.95" customHeight="1">
      <c r="A99" s="26">
        <v>99</v>
      </c>
      <c r="B99" s="26" t="s">
        <v>197</v>
      </c>
      <c r="C99" s="27" t="s">
        <v>59</v>
      </c>
      <c r="D99" s="27" t="s">
        <v>368</v>
      </c>
      <c r="E99" s="27" t="s">
        <v>369</v>
      </c>
      <c r="F99" s="27">
        <v>783</v>
      </c>
      <c r="G99" s="25">
        <f t="shared" si="38"/>
        <v>469.79999999999995</v>
      </c>
      <c r="H99" s="25">
        <f t="shared" si="39"/>
        <v>1879.1999999999998</v>
      </c>
      <c r="I99" s="27" t="s">
        <v>27</v>
      </c>
      <c r="J99" s="27">
        <v>4</v>
      </c>
      <c r="K99" s="27" t="s">
        <v>22</v>
      </c>
      <c r="L99" s="27" t="s">
        <v>202</v>
      </c>
      <c r="M99" s="27" t="s">
        <v>62</v>
      </c>
      <c r="N99" s="27" t="s">
        <v>63</v>
      </c>
    </row>
    <row r="100" spans="1:14" ht="21.95" customHeight="1">
      <c r="A100" s="26">
        <v>7</v>
      </c>
      <c r="B100" s="26" t="s">
        <v>399</v>
      </c>
      <c r="C100" s="27" t="s">
        <v>48</v>
      </c>
      <c r="D100" s="27"/>
      <c r="E100" s="27" t="s">
        <v>49</v>
      </c>
      <c r="F100" s="27">
        <f ca="1">OFFSET(F100,1,2)</f>
        <v>3000</v>
      </c>
      <c r="G100" s="27">
        <f ca="1">F100</f>
        <v>3000</v>
      </c>
      <c r="H100" s="25">
        <f t="shared" ca="1" si="39"/>
        <v>3000</v>
      </c>
      <c r="I100" s="27" t="s">
        <v>403</v>
      </c>
      <c r="J100" s="27">
        <v>1</v>
      </c>
      <c r="K100" s="27" t="s">
        <v>48</v>
      </c>
      <c r="L100" s="27" t="s">
        <v>48</v>
      </c>
      <c r="M100" s="27" t="s">
        <v>51</v>
      </c>
      <c r="N100" s="27"/>
    </row>
    <row r="101" spans="1:14" ht="21.95" customHeight="1">
      <c r="A101" s="26">
        <v>101</v>
      </c>
      <c r="B101" s="26" t="s">
        <v>197</v>
      </c>
      <c r="C101" s="27" t="s">
        <v>52</v>
      </c>
      <c r="D101" s="27"/>
      <c r="E101" s="27" t="s">
        <v>53</v>
      </c>
      <c r="F101" s="27">
        <v>0.5</v>
      </c>
      <c r="G101" s="27">
        <v>100</v>
      </c>
      <c r="H101" s="25">
        <f t="shared" ref="H101" si="40">G101*J101</f>
        <v>3000</v>
      </c>
      <c r="I101" s="27" t="s">
        <v>395</v>
      </c>
      <c r="J101" s="27">
        <f>60*F101</f>
        <v>30</v>
      </c>
      <c r="K101" s="27" t="str">
        <f>L101</f>
        <v>Монтажные работы</v>
      </c>
      <c r="L101" s="27" t="s">
        <v>52</v>
      </c>
      <c r="M101" s="27"/>
      <c r="N101" s="27"/>
    </row>
    <row r="102" spans="1:14" ht="21.95" customHeight="1">
      <c r="A102" s="22">
        <v>102</v>
      </c>
      <c r="B102" s="22" t="s">
        <v>203</v>
      </c>
      <c r="C102" s="23" t="s">
        <v>14</v>
      </c>
      <c r="D102" s="23"/>
      <c r="E102" s="23" t="s">
        <v>146</v>
      </c>
      <c r="F102" s="23"/>
      <c r="G102" s="23"/>
      <c r="H102" s="23"/>
      <c r="I102" s="23" t="s">
        <v>332</v>
      </c>
      <c r="J102" s="23">
        <v>1</v>
      </c>
      <c r="K102" s="23" t="s">
        <v>17</v>
      </c>
      <c r="L102" s="23"/>
      <c r="M102" s="23" t="s">
        <v>18</v>
      </c>
      <c r="N102" s="23"/>
    </row>
    <row r="103" spans="1:14" ht="21.95" customHeight="1">
      <c r="A103" s="24">
        <v>103</v>
      </c>
      <c r="B103" s="24" t="s">
        <v>203</v>
      </c>
      <c r="C103" s="25" t="s">
        <v>19</v>
      </c>
      <c r="D103" s="25" t="s">
        <v>357</v>
      </c>
      <c r="E103" s="25" t="s">
        <v>358</v>
      </c>
      <c r="F103" s="25">
        <v>14695</v>
      </c>
      <c r="G103" s="25">
        <f t="shared" ref="G103:G105" si="41">0.6*F103</f>
        <v>8817</v>
      </c>
      <c r="H103" s="25">
        <f t="shared" ref="H103:H106" si="42">G103*J103</f>
        <v>8817</v>
      </c>
      <c r="I103" s="25" t="s">
        <v>365</v>
      </c>
      <c r="J103" s="25">
        <v>1</v>
      </c>
      <c r="K103" s="25" t="s">
        <v>22</v>
      </c>
      <c r="L103" s="25" t="s">
        <v>204</v>
      </c>
      <c r="M103" s="25" t="s">
        <v>124</v>
      </c>
      <c r="N103" s="25"/>
    </row>
    <row r="104" spans="1:14" ht="21.95" customHeight="1">
      <c r="A104" s="26">
        <v>104</v>
      </c>
      <c r="B104" s="26" t="s">
        <v>203</v>
      </c>
      <c r="C104" s="27" t="s">
        <v>125</v>
      </c>
      <c r="D104" s="27" t="s">
        <v>338</v>
      </c>
      <c r="E104" s="27" t="s">
        <v>339</v>
      </c>
      <c r="F104" s="27">
        <v>3372</v>
      </c>
      <c r="G104" s="25">
        <f t="shared" si="41"/>
        <v>2023.1999999999998</v>
      </c>
      <c r="H104" s="25">
        <f t="shared" si="42"/>
        <v>2023.1999999999998</v>
      </c>
      <c r="I104" s="27" t="s">
        <v>27</v>
      </c>
      <c r="J104" s="27">
        <v>1</v>
      </c>
      <c r="K104" s="27" t="s">
        <v>22</v>
      </c>
      <c r="L104" s="27" t="s">
        <v>206</v>
      </c>
      <c r="M104" s="27" t="s">
        <v>150</v>
      </c>
      <c r="N104" s="27" t="s">
        <v>151</v>
      </c>
    </row>
    <row r="105" spans="1:14" ht="21.95" customHeight="1">
      <c r="A105" s="26">
        <v>105</v>
      </c>
      <c r="B105" s="26" t="s">
        <v>203</v>
      </c>
      <c r="C105" s="27" t="s">
        <v>59</v>
      </c>
      <c r="D105" s="27" t="s">
        <v>368</v>
      </c>
      <c r="E105" s="27" t="s">
        <v>369</v>
      </c>
      <c r="F105" s="27">
        <v>783</v>
      </c>
      <c r="G105" s="25">
        <f t="shared" si="41"/>
        <v>469.79999999999995</v>
      </c>
      <c r="H105" s="25">
        <f t="shared" si="42"/>
        <v>4228.2</v>
      </c>
      <c r="I105" s="27" t="s">
        <v>27</v>
      </c>
      <c r="J105" s="27">
        <v>9</v>
      </c>
      <c r="K105" s="27" t="s">
        <v>22</v>
      </c>
      <c r="L105" s="27" t="s">
        <v>207</v>
      </c>
      <c r="M105" s="27" t="s">
        <v>62</v>
      </c>
      <c r="N105" s="27" t="s">
        <v>63</v>
      </c>
    </row>
    <row r="106" spans="1:14" ht="21.95" customHeight="1">
      <c r="A106" s="26">
        <v>7</v>
      </c>
      <c r="B106" s="26" t="s">
        <v>400</v>
      </c>
      <c r="C106" s="27" t="s">
        <v>48</v>
      </c>
      <c r="D106" s="27"/>
      <c r="E106" s="27" t="s">
        <v>49</v>
      </c>
      <c r="F106" s="27">
        <f ca="1">OFFSET(F106,1,2)</f>
        <v>4200</v>
      </c>
      <c r="G106" s="27">
        <f ca="1">F106</f>
        <v>4200</v>
      </c>
      <c r="H106" s="25">
        <f t="shared" ca="1" si="42"/>
        <v>4200</v>
      </c>
      <c r="I106" s="27" t="s">
        <v>403</v>
      </c>
      <c r="J106" s="27">
        <v>1</v>
      </c>
      <c r="K106" s="27" t="s">
        <v>48</v>
      </c>
      <c r="L106" s="27" t="s">
        <v>48</v>
      </c>
      <c r="M106" s="27" t="s">
        <v>51</v>
      </c>
      <c r="N106" s="27"/>
    </row>
    <row r="107" spans="1:14" ht="21.95" customHeight="1">
      <c r="A107" s="26">
        <v>107</v>
      </c>
      <c r="B107" s="26" t="s">
        <v>203</v>
      </c>
      <c r="C107" s="27" t="s">
        <v>52</v>
      </c>
      <c r="D107" s="27"/>
      <c r="E107" s="27" t="s">
        <v>53</v>
      </c>
      <c r="F107" s="27">
        <v>0.7</v>
      </c>
      <c r="G107" s="27">
        <v>100</v>
      </c>
      <c r="H107" s="25">
        <f t="shared" ref="H107" si="43">G107*J107</f>
        <v>4200</v>
      </c>
      <c r="I107" s="27" t="s">
        <v>395</v>
      </c>
      <c r="J107" s="27">
        <f>60*F107</f>
        <v>42</v>
      </c>
      <c r="K107" s="27" t="str">
        <f>L107</f>
        <v>Монтажные работы</v>
      </c>
      <c r="L107" s="27" t="s">
        <v>52</v>
      </c>
      <c r="M107" s="27"/>
      <c r="N107" s="27"/>
    </row>
    <row r="108" spans="1:14" ht="21.95" customHeight="1">
      <c r="A108" s="22">
        <v>108</v>
      </c>
      <c r="B108" s="22" t="s">
        <v>208</v>
      </c>
      <c r="C108" s="23" t="s">
        <v>14</v>
      </c>
      <c r="D108" s="23"/>
      <c r="E108" s="23" t="s">
        <v>192</v>
      </c>
      <c r="F108" s="23"/>
      <c r="G108" s="23"/>
      <c r="H108" s="23"/>
      <c r="I108" s="23" t="s">
        <v>332</v>
      </c>
      <c r="J108" s="23">
        <v>1</v>
      </c>
      <c r="K108" s="23" t="s">
        <v>17</v>
      </c>
      <c r="L108" s="23"/>
      <c r="M108" s="23" t="s">
        <v>18</v>
      </c>
      <c r="N108" s="23"/>
    </row>
    <row r="109" spans="1:14" ht="21.95" customHeight="1">
      <c r="A109" s="24">
        <v>109</v>
      </c>
      <c r="B109" s="24" t="s">
        <v>208</v>
      </c>
      <c r="C109" s="25" t="s">
        <v>19</v>
      </c>
      <c r="D109" s="25" t="s">
        <v>359</v>
      </c>
      <c r="E109" s="25" t="s">
        <v>360</v>
      </c>
      <c r="F109" s="25">
        <v>15000</v>
      </c>
      <c r="G109" s="25">
        <f t="shared" ref="G109:G111" si="44">0.6*F109</f>
        <v>9000</v>
      </c>
      <c r="H109" s="25">
        <f t="shared" ref="H109:H112" si="45">G109*J109</f>
        <v>9000</v>
      </c>
      <c r="I109" s="25" t="s">
        <v>365</v>
      </c>
      <c r="J109" s="25">
        <v>1</v>
      </c>
      <c r="K109" s="25" t="s">
        <v>22</v>
      </c>
      <c r="L109" s="25" t="s">
        <v>209</v>
      </c>
      <c r="M109" s="25" t="s">
        <v>124</v>
      </c>
      <c r="N109" s="25"/>
    </row>
    <row r="110" spans="1:14" ht="21.95" customHeight="1">
      <c r="A110" s="26">
        <v>110</v>
      </c>
      <c r="B110" s="26" t="s">
        <v>208</v>
      </c>
      <c r="C110" s="27" t="s">
        <v>125</v>
      </c>
      <c r="D110" s="27" t="s">
        <v>340</v>
      </c>
      <c r="E110" s="27" t="s">
        <v>341</v>
      </c>
      <c r="F110" s="27">
        <v>4217</v>
      </c>
      <c r="G110" s="25">
        <f t="shared" si="44"/>
        <v>2530.1999999999998</v>
      </c>
      <c r="H110" s="25">
        <f t="shared" si="45"/>
        <v>2530.1999999999998</v>
      </c>
      <c r="I110" s="27" t="s">
        <v>27</v>
      </c>
      <c r="J110" s="27">
        <v>1</v>
      </c>
      <c r="K110" s="27" t="s">
        <v>22</v>
      </c>
      <c r="L110" s="27" t="s">
        <v>210</v>
      </c>
      <c r="M110" s="27" t="s">
        <v>150</v>
      </c>
      <c r="N110" s="27" t="s">
        <v>151</v>
      </c>
    </row>
    <row r="111" spans="1:14" ht="21.95" customHeight="1">
      <c r="A111" s="26">
        <v>111</v>
      </c>
      <c r="B111" s="26" t="s">
        <v>208</v>
      </c>
      <c r="C111" s="27" t="s">
        <v>59</v>
      </c>
      <c r="D111" s="27" t="s">
        <v>368</v>
      </c>
      <c r="E111" s="27" t="s">
        <v>369</v>
      </c>
      <c r="F111" s="27">
        <v>783</v>
      </c>
      <c r="G111" s="25">
        <f t="shared" si="44"/>
        <v>469.79999999999995</v>
      </c>
      <c r="H111" s="25">
        <f t="shared" si="45"/>
        <v>6577.1999999999989</v>
      </c>
      <c r="I111" s="27" t="s">
        <v>27</v>
      </c>
      <c r="J111" s="27">
        <v>14</v>
      </c>
      <c r="K111" s="27" t="s">
        <v>22</v>
      </c>
      <c r="L111" s="27" t="s">
        <v>211</v>
      </c>
      <c r="M111" s="27" t="s">
        <v>62</v>
      </c>
      <c r="N111" s="27" t="s">
        <v>63</v>
      </c>
    </row>
    <row r="112" spans="1:14" ht="21.95" customHeight="1">
      <c r="A112" s="26">
        <v>7</v>
      </c>
      <c r="B112" s="26" t="s">
        <v>401</v>
      </c>
      <c r="C112" s="27" t="s">
        <v>48</v>
      </c>
      <c r="D112" s="27"/>
      <c r="E112" s="27" t="s">
        <v>49</v>
      </c>
      <c r="F112" s="27">
        <f ca="1">OFFSET(F112,1,2)</f>
        <v>4200</v>
      </c>
      <c r="G112" s="27">
        <f ca="1">F112</f>
        <v>4200</v>
      </c>
      <c r="H112" s="25">
        <f t="shared" ca="1" si="45"/>
        <v>4200</v>
      </c>
      <c r="I112" s="27" t="s">
        <v>403</v>
      </c>
      <c r="J112" s="27">
        <v>1</v>
      </c>
      <c r="K112" s="27" t="s">
        <v>48</v>
      </c>
      <c r="L112" s="27" t="s">
        <v>48</v>
      </c>
      <c r="M112" s="27" t="s">
        <v>51</v>
      </c>
      <c r="N112" s="27"/>
    </row>
    <row r="113" spans="1:14" ht="21.95" customHeight="1">
      <c r="A113" s="26">
        <v>113</v>
      </c>
      <c r="B113" s="26" t="s">
        <v>208</v>
      </c>
      <c r="C113" s="27" t="s">
        <v>52</v>
      </c>
      <c r="D113" s="27"/>
      <c r="E113" s="27" t="s">
        <v>53</v>
      </c>
      <c r="F113" s="27">
        <v>0.7</v>
      </c>
      <c r="G113" s="27">
        <v>100</v>
      </c>
      <c r="H113" s="25">
        <f t="shared" ref="H113" si="46">G113*J113</f>
        <v>4200</v>
      </c>
      <c r="I113" s="27" t="s">
        <v>395</v>
      </c>
      <c r="J113" s="27">
        <f>60*F113</f>
        <v>42</v>
      </c>
      <c r="K113" s="27" t="str">
        <f>L113</f>
        <v>Монтажные работы</v>
      </c>
      <c r="L113" s="27" t="s">
        <v>52</v>
      </c>
      <c r="M113" s="27"/>
      <c r="N113" s="27"/>
    </row>
    <row r="114" spans="1:14" ht="21.95" customHeight="1">
      <c r="A114" s="22">
        <v>114</v>
      </c>
      <c r="B114" s="22" t="s">
        <v>212</v>
      </c>
      <c r="C114" s="23" t="s">
        <v>14</v>
      </c>
      <c r="D114" s="23"/>
      <c r="E114" s="23" t="s">
        <v>198</v>
      </c>
      <c r="F114" s="23"/>
      <c r="G114" s="23"/>
      <c r="H114" s="23"/>
      <c r="I114" s="23" t="s">
        <v>332</v>
      </c>
      <c r="J114" s="23">
        <v>1</v>
      </c>
      <c r="K114" s="23" t="s">
        <v>17</v>
      </c>
      <c r="L114" s="23"/>
      <c r="M114" s="23" t="s">
        <v>18</v>
      </c>
      <c r="N114" s="23"/>
    </row>
    <row r="115" spans="1:14" ht="21.95" customHeight="1">
      <c r="A115" s="24">
        <v>115</v>
      </c>
      <c r="B115" s="24" t="s">
        <v>212</v>
      </c>
      <c r="C115" s="25" t="s">
        <v>19</v>
      </c>
      <c r="D115" s="25" t="s">
        <v>355</v>
      </c>
      <c r="E115" s="25" t="s">
        <v>356</v>
      </c>
      <c r="F115" s="25">
        <v>10270</v>
      </c>
      <c r="G115" s="25">
        <f t="shared" ref="G115:G117" si="47">0.6*F115</f>
        <v>6162</v>
      </c>
      <c r="H115" s="25">
        <f t="shared" ref="H115:H118" si="48">G115*J115</f>
        <v>6162</v>
      </c>
      <c r="I115" s="25" t="s">
        <v>365</v>
      </c>
      <c r="J115" s="25">
        <v>1</v>
      </c>
      <c r="K115" s="25" t="s">
        <v>22</v>
      </c>
      <c r="L115" s="25" t="s">
        <v>213</v>
      </c>
      <c r="M115" s="25" t="s">
        <v>124</v>
      </c>
      <c r="N115" s="25"/>
    </row>
    <row r="116" spans="1:14" ht="21.95" customHeight="1">
      <c r="A116" s="26">
        <v>116</v>
      </c>
      <c r="B116" s="26" t="s">
        <v>212</v>
      </c>
      <c r="C116" s="27" t="s">
        <v>125</v>
      </c>
      <c r="D116" s="27" t="s">
        <v>336</v>
      </c>
      <c r="E116" s="27" t="s">
        <v>337</v>
      </c>
      <c r="F116" s="27">
        <v>3372</v>
      </c>
      <c r="G116" s="25">
        <f t="shared" si="47"/>
        <v>2023.1999999999998</v>
      </c>
      <c r="H116" s="25">
        <f t="shared" si="48"/>
        <v>2023.1999999999998</v>
      </c>
      <c r="I116" s="27" t="s">
        <v>27</v>
      </c>
      <c r="J116" s="27">
        <v>1</v>
      </c>
      <c r="K116" s="27" t="s">
        <v>22</v>
      </c>
      <c r="L116" s="27" t="s">
        <v>214</v>
      </c>
      <c r="M116" s="27" t="s">
        <v>150</v>
      </c>
      <c r="N116" s="27" t="s">
        <v>151</v>
      </c>
    </row>
    <row r="117" spans="1:14" ht="21.95" customHeight="1">
      <c r="A117" s="26">
        <v>117</v>
      </c>
      <c r="B117" s="26" t="s">
        <v>212</v>
      </c>
      <c r="C117" s="27" t="s">
        <v>59</v>
      </c>
      <c r="D117" s="27" t="s">
        <v>368</v>
      </c>
      <c r="E117" s="27" t="s">
        <v>369</v>
      </c>
      <c r="F117" s="27">
        <v>783</v>
      </c>
      <c r="G117" s="25">
        <f t="shared" si="47"/>
        <v>469.79999999999995</v>
      </c>
      <c r="H117" s="25">
        <f t="shared" si="48"/>
        <v>1879.1999999999998</v>
      </c>
      <c r="I117" s="27" t="s">
        <v>27</v>
      </c>
      <c r="J117" s="27">
        <v>4</v>
      </c>
      <c r="K117" s="27" t="s">
        <v>22</v>
      </c>
      <c r="L117" s="27" t="s">
        <v>215</v>
      </c>
      <c r="M117" s="27" t="s">
        <v>62</v>
      </c>
      <c r="N117" s="27" t="s">
        <v>63</v>
      </c>
    </row>
    <row r="118" spans="1:14" ht="21.95" customHeight="1">
      <c r="A118" s="26">
        <v>7</v>
      </c>
      <c r="B118" s="26" t="s">
        <v>402</v>
      </c>
      <c r="C118" s="27" t="s">
        <v>48</v>
      </c>
      <c r="D118" s="27"/>
      <c r="E118" s="27" t="s">
        <v>49</v>
      </c>
      <c r="F118" s="27">
        <f ca="1">OFFSET(F118,1,2)</f>
        <v>3000</v>
      </c>
      <c r="G118" s="27">
        <f ca="1">F118</f>
        <v>3000</v>
      </c>
      <c r="H118" s="25">
        <f t="shared" ca="1" si="48"/>
        <v>3000</v>
      </c>
      <c r="I118" s="27" t="s">
        <v>403</v>
      </c>
      <c r="J118" s="27">
        <v>1</v>
      </c>
      <c r="K118" s="27" t="s">
        <v>48</v>
      </c>
      <c r="L118" s="27" t="s">
        <v>48</v>
      </c>
      <c r="M118" s="27" t="s">
        <v>51</v>
      </c>
      <c r="N118" s="27"/>
    </row>
    <row r="119" spans="1:14" ht="21.95" customHeight="1">
      <c r="A119" s="26">
        <v>119</v>
      </c>
      <c r="B119" s="26" t="s">
        <v>212</v>
      </c>
      <c r="C119" s="27" t="s">
        <v>52</v>
      </c>
      <c r="D119" s="27"/>
      <c r="E119" s="27" t="s">
        <v>53</v>
      </c>
      <c r="F119" s="27">
        <v>0.5</v>
      </c>
      <c r="G119" s="27">
        <v>100</v>
      </c>
      <c r="H119" s="25">
        <f t="shared" ref="H119" si="49">G119*J119</f>
        <v>3000</v>
      </c>
      <c r="I119" s="27" t="s">
        <v>395</v>
      </c>
      <c r="J119" s="27">
        <f>60*F119</f>
        <v>30</v>
      </c>
      <c r="K119" s="27" t="str">
        <f>L119</f>
        <v>Монтажные работы</v>
      </c>
      <c r="L119" s="27" t="s">
        <v>52</v>
      </c>
      <c r="M119" s="27"/>
      <c r="N119" s="27"/>
    </row>
  </sheetData>
  <autoFilter ref="A4:N119" xr:uid="{00000000-0001-0000-0000-000000000000}"/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5"/>
  <sheetViews>
    <sheetView tabSelected="1" workbookViewId="0">
      <pane xSplit="8" ySplit="4" topLeftCell="I90" activePane="bottomRight" state="frozen"/>
      <selection pane="topRight" activeCell="I1" sqref="I1"/>
      <selection pane="bottomLeft" activeCell="A5" sqref="A5"/>
      <selection pane="bottomRight" activeCell="A5" sqref="A1:XFD1048576"/>
    </sheetView>
  </sheetViews>
  <sheetFormatPr defaultRowHeight="14.25"/>
  <cols>
    <col min="1" max="1" width="6" style="32" customWidth="1"/>
    <col min="2" max="2" width="10.25" style="32" customWidth="1"/>
    <col min="3" max="3" width="24" style="32" customWidth="1"/>
    <col min="4" max="4" width="15" style="32" customWidth="1"/>
    <col min="5" max="5" width="55.625" style="32" customWidth="1"/>
    <col min="6" max="8" width="11.375" style="32" customWidth="1"/>
    <col min="9" max="9" width="15" style="32" customWidth="1"/>
    <col min="10" max="10" width="9" style="32" customWidth="1"/>
    <col min="11" max="12" width="10" style="32" customWidth="1"/>
    <col min="13" max="13" width="48" style="32" customWidth="1"/>
    <col min="14" max="14" width="55" style="32" customWidth="1"/>
    <col min="15" max="16384" width="9" style="32"/>
  </cols>
  <sheetData>
    <row r="1" spans="1:14" ht="30" customHeight="1">
      <c r="A1" s="38" t="s">
        <v>216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4.25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21.95" customHeight="1">
      <c r="A4" s="33" t="s">
        <v>2</v>
      </c>
      <c r="B4" s="33" t="s">
        <v>3</v>
      </c>
      <c r="C4" s="33" t="s">
        <v>4</v>
      </c>
      <c r="D4" s="33" t="s">
        <v>7</v>
      </c>
      <c r="E4" s="33" t="s">
        <v>5</v>
      </c>
      <c r="F4" s="33" t="s">
        <v>333</v>
      </c>
      <c r="G4" s="33" t="s">
        <v>334</v>
      </c>
      <c r="H4" s="33" t="s">
        <v>335</v>
      </c>
      <c r="I4" s="33" t="s">
        <v>6</v>
      </c>
      <c r="J4" s="33" t="s">
        <v>8</v>
      </c>
      <c r="K4" s="33" t="s">
        <v>9</v>
      </c>
      <c r="L4" s="33" t="s">
        <v>10</v>
      </c>
      <c r="M4" s="33" t="s">
        <v>11</v>
      </c>
      <c r="N4" s="33" t="s">
        <v>12</v>
      </c>
    </row>
    <row r="5" spans="1:14" ht="21.95" customHeight="1">
      <c r="A5" s="41">
        <v>1</v>
      </c>
      <c r="B5" s="41" t="s">
        <v>217</v>
      </c>
      <c r="C5" s="42" t="s">
        <v>14</v>
      </c>
      <c r="D5" s="42"/>
      <c r="E5" s="42" t="s">
        <v>15</v>
      </c>
      <c r="F5" s="42"/>
      <c r="G5" s="42"/>
      <c r="H5" s="42"/>
      <c r="I5" s="42" t="s">
        <v>16</v>
      </c>
      <c r="J5" s="42">
        <v>1</v>
      </c>
      <c r="K5" s="42" t="s">
        <v>17</v>
      </c>
      <c r="L5" s="42"/>
      <c r="M5" s="42" t="s">
        <v>18</v>
      </c>
      <c r="N5" s="42"/>
    </row>
    <row r="6" spans="1:14" ht="21.95" customHeight="1">
      <c r="A6" s="39">
        <v>2</v>
      </c>
      <c r="B6" s="39" t="s">
        <v>217</v>
      </c>
      <c r="C6" s="40" t="s">
        <v>19</v>
      </c>
      <c r="D6" s="40" t="s">
        <v>363</v>
      </c>
      <c r="E6" s="40" t="s">
        <v>364</v>
      </c>
      <c r="F6" s="40">
        <v>155000</v>
      </c>
      <c r="G6" s="40">
        <f t="shared" ref="G6" si="0">0.6*F6</f>
        <v>93000</v>
      </c>
      <c r="H6" s="40">
        <f t="shared" ref="H6" si="1">G6*J6</f>
        <v>93000</v>
      </c>
      <c r="I6" s="40" t="s">
        <v>411</v>
      </c>
      <c r="J6" s="40">
        <v>1</v>
      </c>
      <c r="K6" s="40" t="s">
        <v>22</v>
      </c>
      <c r="L6" s="40" t="s">
        <v>23</v>
      </c>
      <c r="M6" s="40" t="s">
        <v>24</v>
      </c>
      <c r="N6" s="34"/>
    </row>
    <row r="7" spans="1:14" ht="21.95" customHeight="1">
      <c r="A7" s="35">
        <v>3</v>
      </c>
      <c r="B7" s="35" t="s">
        <v>217</v>
      </c>
      <c r="C7" s="36" t="s">
        <v>25</v>
      </c>
      <c r="D7" s="36" t="s">
        <v>389</v>
      </c>
      <c r="E7" s="36" t="s">
        <v>390</v>
      </c>
      <c r="F7" s="36">
        <v>33910</v>
      </c>
      <c r="G7" s="36">
        <f>0.6*F7</f>
        <v>20346</v>
      </c>
      <c r="H7" s="36">
        <f>G7*J7</f>
        <v>40692</v>
      </c>
      <c r="I7" s="36" t="s">
        <v>27</v>
      </c>
      <c r="J7" s="36">
        <v>2</v>
      </c>
      <c r="K7" s="36" t="s">
        <v>22</v>
      </c>
      <c r="L7" s="36" t="s">
        <v>29</v>
      </c>
      <c r="M7" s="36" t="s">
        <v>30</v>
      </c>
      <c r="N7" s="36" t="s">
        <v>31</v>
      </c>
    </row>
    <row r="8" spans="1:14" ht="21.95" customHeight="1">
      <c r="A8" s="35">
        <v>4</v>
      </c>
      <c r="B8" s="35" t="s">
        <v>217</v>
      </c>
      <c r="C8" s="36" t="s">
        <v>32</v>
      </c>
      <c r="D8" s="36" t="s">
        <v>344</v>
      </c>
      <c r="E8" s="36" t="s">
        <v>345</v>
      </c>
      <c r="F8" s="36">
        <v>69000</v>
      </c>
      <c r="G8" s="36">
        <f>F8</f>
        <v>69000</v>
      </c>
      <c r="H8" s="36">
        <f t="shared" ref="H8:H12" si="2">G8*J8</f>
        <v>138000</v>
      </c>
      <c r="I8" s="36" t="s">
        <v>346</v>
      </c>
      <c r="J8" s="36">
        <v>2</v>
      </c>
      <c r="K8" s="36" t="s">
        <v>22</v>
      </c>
      <c r="L8" s="36" t="s">
        <v>35</v>
      </c>
      <c r="M8" s="36" t="s">
        <v>36</v>
      </c>
      <c r="N8" s="36" t="s">
        <v>37</v>
      </c>
    </row>
    <row r="9" spans="1:14" ht="21.95" customHeight="1">
      <c r="A9" s="35">
        <v>5</v>
      </c>
      <c r="B9" s="35" t="s">
        <v>217</v>
      </c>
      <c r="C9" s="36" t="s">
        <v>38</v>
      </c>
      <c r="D9" s="36" t="s">
        <v>385</v>
      </c>
      <c r="E9" s="36" t="s">
        <v>386</v>
      </c>
      <c r="F9" s="36">
        <v>90000</v>
      </c>
      <c r="G9" s="36">
        <f>F9</f>
        <v>90000</v>
      </c>
      <c r="H9" s="36">
        <f t="shared" si="2"/>
        <v>180000</v>
      </c>
      <c r="I9" s="36" t="s">
        <v>40</v>
      </c>
      <c r="J9" s="36">
        <v>2</v>
      </c>
      <c r="K9" s="36" t="s">
        <v>22</v>
      </c>
      <c r="L9" s="36" t="s">
        <v>41</v>
      </c>
      <c r="M9" s="36" t="s">
        <v>42</v>
      </c>
      <c r="N9" s="36"/>
    </row>
    <row r="10" spans="1:14" ht="21.95" customHeight="1">
      <c r="A10" s="35">
        <v>6</v>
      </c>
      <c r="B10" s="35" t="s">
        <v>217</v>
      </c>
      <c r="C10" s="36" t="s">
        <v>43</v>
      </c>
      <c r="D10" s="36" t="s">
        <v>393</v>
      </c>
      <c r="E10" s="36" t="s">
        <v>394</v>
      </c>
      <c r="F10" s="36">
        <v>6018</v>
      </c>
      <c r="G10" s="36">
        <f>F10</f>
        <v>6018</v>
      </c>
      <c r="H10" s="36">
        <f t="shared" si="2"/>
        <v>36108</v>
      </c>
      <c r="I10" s="36" t="s">
        <v>27</v>
      </c>
      <c r="J10" s="36">
        <v>6</v>
      </c>
      <c r="K10" s="36" t="s">
        <v>22</v>
      </c>
      <c r="L10" s="36" t="s">
        <v>45</v>
      </c>
      <c r="M10" s="36" t="s">
        <v>46</v>
      </c>
      <c r="N10" s="36" t="s">
        <v>47</v>
      </c>
    </row>
    <row r="11" spans="1:14" ht="21.95" customHeight="1">
      <c r="A11" s="35">
        <v>7</v>
      </c>
      <c r="B11" s="35" t="s">
        <v>217</v>
      </c>
      <c r="C11" s="36" t="s">
        <v>48</v>
      </c>
      <c r="D11" s="36"/>
      <c r="E11" s="36" t="s">
        <v>49</v>
      </c>
      <c r="F11" s="36">
        <f ca="1">OFFSET(F11,1,2)</f>
        <v>60000</v>
      </c>
      <c r="G11" s="36">
        <f ca="1">F11</f>
        <v>60000</v>
      </c>
      <c r="H11" s="36">
        <f t="shared" ca="1" si="2"/>
        <v>60000</v>
      </c>
      <c r="I11" s="36" t="s">
        <v>403</v>
      </c>
      <c r="J11" s="36">
        <v>1</v>
      </c>
      <c r="K11" s="27" t="s">
        <v>22</v>
      </c>
      <c r="L11" s="27" t="s">
        <v>48</v>
      </c>
      <c r="M11" s="36" t="s">
        <v>51</v>
      </c>
      <c r="N11" s="36"/>
    </row>
    <row r="12" spans="1:14" ht="21.95" customHeight="1">
      <c r="A12" s="35">
        <v>8</v>
      </c>
      <c r="B12" s="35" t="s">
        <v>217</v>
      </c>
      <c r="C12" s="36" t="s">
        <v>52</v>
      </c>
      <c r="D12" s="36"/>
      <c r="E12" s="36" t="s">
        <v>53</v>
      </c>
      <c r="F12" s="36">
        <v>10</v>
      </c>
      <c r="G12" s="36">
        <v>100</v>
      </c>
      <c r="H12" s="36">
        <f t="shared" si="2"/>
        <v>60000</v>
      </c>
      <c r="I12" s="36" t="s">
        <v>16</v>
      </c>
      <c r="J12" s="36">
        <f>60*F12</f>
        <v>600</v>
      </c>
      <c r="K12" s="27" t="s">
        <v>22</v>
      </c>
      <c r="L12" s="27" t="s">
        <v>52</v>
      </c>
      <c r="M12" s="36"/>
      <c r="N12" s="36"/>
    </row>
    <row r="13" spans="1:14" ht="21.95" customHeight="1">
      <c r="A13" s="41">
        <v>9</v>
      </c>
      <c r="B13" s="41" t="s">
        <v>218</v>
      </c>
      <c r="C13" s="42" t="s">
        <v>14</v>
      </c>
      <c r="D13" s="42"/>
      <c r="E13" s="42" t="s">
        <v>55</v>
      </c>
      <c r="F13" s="42"/>
      <c r="G13" s="42"/>
      <c r="H13" s="42"/>
      <c r="I13" s="42" t="s">
        <v>16</v>
      </c>
      <c r="J13" s="42">
        <v>1</v>
      </c>
      <c r="K13" s="42" t="s">
        <v>17</v>
      </c>
      <c r="L13" s="42"/>
      <c r="M13" s="42" t="s">
        <v>18</v>
      </c>
      <c r="N13" s="42"/>
    </row>
    <row r="14" spans="1:14" ht="21.95" customHeight="1">
      <c r="A14" s="39">
        <v>10</v>
      </c>
      <c r="B14" s="39" t="s">
        <v>218</v>
      </c>
      <c r="C14" s="40" t="s">
        <v>19</v>
      </c>
      <c r="D14" s="40" t="s">
        <v>404</v>
      </c>
      <c r="E14" s="40" t="s">
        <v>405</v>
      </c>
      <c r="F14" s="40">
        <v>145000</v>
      </c>
      <c r="G14" s="40">
        <f t="shared" ref="G14" si="3">0.6*F14</f>
        <v>87000</v>
      </c>
      <c r="H14" s="40">
        <f t="shared" ref="H14" si="4">G14*J14</f>
        <v>87000</v>
      </c>
      <c r="I14" s="40" t="s">
        <v>411</v>
      </c>
      <c r="J14" s="40">
        <v>1</v>
      </c>
      <c r="K14" s="40" t="s">
        <v>22</v>
      </c>
      <c r="L14" s="40" t="s">
        <v>57</v>
      </c>
      <c r="M14" s="40" t="s">
        <v>58</v>
      </c>
      <c r="N14" s="34"/>
    </row>
    <row r="15" spans="1:14" ht="21.95" customHeight="1">
      <c r="A15" s="35">
        <v>11</v>
      </c>
      <c r="B15" s="35" t="s">
        <v>218</v>
      </c>
      <c r="C15" s="36" t="s">
        <v>59</v>
      </c>
      <c r="D15" s="36" t="s">
        <v>376</v>
      </c>
      <c r="E15" s="36" t="s">
        <v>377</v>
      </c>
      <c r="F15" s="36">
        <v>2606</v>
      </c>
      <c r="G15" s="36">
        <f t="shared" ref="G15:G19" si="5">0.6*F15</f>
        <v>1563.6</v>
      </c>
      <c r="H15" s="36">
        <f t="shared" ref="H15:H21" si="6">G15*J15</f>
        <v>1563.6</v>
      </c>
      <c r="I15" s="36" t="s">
        <v>27</v>
      </c>
      <c r="J15" s="36">
        <v>1</v>
      </c>
      <c r="K15" s="36" t="s">
        <v>22</v>
      </c>
      <c r="L15" s="36" t="s">
        <v>61</v>
      </c>
      <c r="M15" s="36" t="s">
        <v>62</v>
      </c>
      <c r="N15" s="36" t="s">
        <v>63</v>
      </c>
    </row>
    <row r="16" spans="1:14" ht="21.95" customHeight="1">
      <c r="A16" s="35">
        <v>12</v>
      </c>
      <c r="B16" s="35" t="s">
        <v>218</v>
      </c>
      <c r="C16" s="36" t="s">
        <v>59</v>
      </c>
      <c r="D16" s="36" t="s">
        <v>374</v>
      </c>
      <c r="E16" s="36" t="s">
        <v>375</v>
      </c>
      <c r="F16" s="36">
        <v>2429</v>
      </c>
      <c r="G16" s="36">
        <f t="shared" si="5"/>
        <v>1457.3999999999999</v>
      </c>
      <c r="H16" s="36">
        <f t="shared" si="6"/>
        <v>5829.5999999999995</v>
      </c>
      <c r="I16" s="36" t="s">
        <v>27</v>
      </c>
      <c r="J16" s="36">
        <v>4</v>
      </c>
      <c r="K16" s="36" t="s">
        <v>22</v>
      </c>
      <c r="L16" s="36" t="s">
        <v>65</v>
      </c>
      <c r="M16" s="36" t="s">
        <v>62</v>
      </c>
      <c r="N16" s="36" t="s">
        <v>63</v>
      </c>
    </row>
    <row r="17" spans="1:14" ht="21.95" customHeight="1">
      <c r="A17" s="35">
        <v>13</v>
      </c>
      <c r="B17" s="35" t="s">
        <v>218</v>
      </c>
      <c r="C17" s="36" t="s">
        <v>59</v>
      </c>
      <c r="D17" s="36" t="s">
        <v>380</v>
      </c>
      <c r="E17" s="36" t="s">
        <v>381</v>
      </c>
      <c r="F17" s="36">
        <v>3641</v>
      </c>
      <c r="G17" s="36">
        <f t="shared" si="5"/>
        <v>2184.6</v>
      </c>
      <c r="H17" s="36">
        <f t="shared" si="6"/>
        <v>2184.6</v>
      </c>
      <c r="I17" s="36" t="s">
        <v>27</v>
      </c>
      <c r="J17" s="36">
        <v>1</v>
      </c>
      <c r="K17" s="36" t="s">
        <v>22</v>
      </c>
      <c r="L17" s="36" t="s">
        <v>67</v>
      </c>
      <c r="M17" s="36" t="s">
        <v>62</v>
      </c>
      <c r="N17" s="36" t="s">
        <v>63</v>
      </c>
    </row>
    <row r="18" spans="1:14" ht="21.95" customHeight="1">
      <c r="A18" s="35">
        <v>14</v>
      </c>
      <c r="B18" s="35" t="s">
        <v>218</v>
      </c>
      <c r="C18" s="36" t="s">
        <v>25</v>
      </c>
      <c r="D18" s="36" t="s">
        <v>387</v>
      </c>
      <c r="E18" s="36" t="s">
        <v>388</v>
      </c>
      <c r="F18" s="36">
        <v>19443</v>
      </c>
      <c r="G18" s="36">
        <f t="shared" si="5"/>
        <v>11665.8</v>
      </c>
      <c r="H18" s="36">
        <f t="shared" si="6"/>
        <v>11665.8</v>
      </c>
      <c r="I18" s="36" t="s">
        <v>27</v>
      </c>
      <c r="J18" s="36">
        <v>1</v>
      </c>
      <c r="K18" s="36" t="s">
        <v>22</v>
      </c>
      <c r="L18" s="36" t="s">
        <v>70</v>
      </c>
      <c r="M18" s="36" t="s">
        <v>30</v>
      </c>
      <c r="N18" s="36" t="s">
        <v>31</v>
      </c>
    </row>
    <row r="19" spans="1:14" ht="21.95" customHeight="1">
      <c r="A19" s="35">
        <v>15</v>
      </c>
      <c r="B19" s="35" t="s">
        <v>218</v>
      </c>
      <c r="C19" s="36" t="s">
        <v>25</v>
      </c>
      <c r="D19" s="36" t="s">
        <v>391</v>
      </c>
      <c r="E19" s="36" t="s">
        <v>392</v>
      </c>
      <c r="F19" s="36">
        <v>19418</v>
      </c>
      <c r="G19" s="36">
        <f t="shared" si="5"/>
        <v>11650.8</v>
      </c>
      <c r="H19" s="36">
        <f t="shared" si="6"/>
        <v>34952.399999999994</v>
      </c>
      <c r="I19" s="36" t="s">
        <v>27</v>
      </c>
      <c r="J19" s="36">
        <v>3</v>
      </c>
      <c r="K19" s="36" t="s">
        <v>22</v>
      </c>
      <c r="L19" s="36" t="s">
        <v>73</v>
      </c>
      <c r="M19" s="36" t="s">
        <v>30</v>
      </c>
      <c r="N19" s="36" t="s">
        <v>31</v>
      </c>
    </row>
    <row r="20" spans="1:14" ht="21.95" customHeight="1">
      <c r="A20" s="35">
        <v>16</v>
      </c>
      <c r="B20" s="35" t="s">
        <v>218</v>
      </c>
      <c r="C20" s="36" t="s">
        <v>48</v>
      </c>
      <c r="D20" s="36"/>
      <c r="E20" s="36" t="s">
        <v>49</v>
      </c>
      <c r="F20" s="36">
        <f ca="1">OFFSET(F20,1,2)</f>
        <v>30000</v>
      </c>
      <c r="G20" s="36">
        <f ca="1">F20</f>
        <v>30000</v>
      </c>
      <c r="H20" s="36">
        <f t="shared" ca="1" si="6"/>
        <v>30000</v>
      </c>
      <c r="I20" s="36" t="s">
        <v>403</v>
      </c>
      <c r="J20" s="36">
        <v>1</v>
      </c>
      <c r="K20" s="27" t="s">
        <v>22</v>
      </c>
      <c r="L20" s="27" t="s">
        <v>48</v>
      </c>
      <c r="M20" s="36" t="s">
        <v>51</v>
      </c>
      <c r="N20" s="36"/>
    </row>
    <row r="21" spans="1:14" ht="21.95" customHeight="1">
      <c r="A21" s="35">
        <v>17</v>
      </c>
      <c r="B21" s="35" t="s">
        <v>218</v>
      </c>
      <c r="C21" s="36" t="s">
        <v>52</v>
      </c>
      <c r="D21" s="36"/>
      <c r="E21" s="36" t="s">
        <v>53</v>
      </c>
      <c r="F21" s="36">
        <v>5</v>
      </c>
      <c r="G21" s="36">
        <v>100</v>
      </c>
      <c r="H21" s="36">
        <f t="shared" si="6"/>
        <v>30000</v>
      </c>
      <c r="I21" s="36" t="s">
        <v>16</v>
      </c>
      <c r="J21" s="36">
        <f>60*F21</f>
        <v>300</v>
      </c>
      <c r="K21" s="27" t="s">
        <v>22</v>
      </c>
      <c r="L21" s="27" t="s">
        <v>52</v>
      </c>
      <c r="M21" s="36"/>
      <c r="N21" s="36"/>
    </row>
    <row r="22" spans="1:14" ht="21.95" customHeight="1">
      <c r="A22" s="41">
        <v>18</v>
      </c>
      <c r="B22" s="41" t="s">
        <v>219</v>
      </c>
      <c r="C22" s="42" t="s">
        <v>14</v>
      </c>
      <c r="D22" s="42"/>
      <c r="E22" s="42" t="s">
        <v>75</v>
      </c>
      <c r="F22" s="42"/>
      <c r="G22" s="42"/>
      <c r="H22" s="42"/>
      <c r="I22" s="42" t="s">
        <v>16</v>
      </c>
      <c r="J22" s="42">
        <v>1</v>
      </c>
      <c r="K22" s="42" t="s">
        <v>17</v>
      </c>
      <c r="L22" s="42"/>
      <c r="M22" s="42" t="s">
        <v>18</v>
      </c>
      <c r="N22" s="42"/>
    </row>
    <row r="23" spans="1:14" ht="21.95" customHeight="1">
      <c r="A23" s="39">
        <v>19</v>
      </c>
      <c r="B23" s="39" t="s">
        <v>219</v>
      </c>
      <c r="C23" s="40" t="s">
        <v>19</v>
      </c>
      <c r="D23" s="40" t="s">
        <v>363</v>
      </c>
      <c r="E23" s="40" t="s">
        <v>364</v>
      </c>
      <c r="F23" s="40">
        <v>155000</v>
      </c>
      <c r="G23" s="40">
        <f t="shared" ref="G23:G25" si="7">0.6*F23</f>
        <v>93000</v>
      </c>
      <c r="H23" s="40">
        <f t="shared" ref="H23:H31" si="8">G23*J23</f>
        <v>93000</v>
      </c>
      <c r="I23" s="40" t="s">
        <v>411</v>
      </c>
      <c r="J23" s="40">
        <v>1</v>
      </c>
      <c r="K23" s="40" t="s">
        <v>22</v>
      </c>
      <c r="L23" s="40" t="s">
        <v>77</v>
      </c>
      <c r="M23" s="40" t="s">
        <v>78</v>
      </c>
      <c r="N23" s="34"/>
    </row>
    <row r="24" spans="1:14" ht="21.95" customHeight="1">
      <c r="A24" s="35">
        <v>20</v>
      </c>
      <c r="B24" s="35" t="s">
        <v>219</v>
      </c>
      <c r="C24" s="36" t="s">
        <v>25</v>
      </c>
      <c r="D24" s="36" t="s">
        <v>420</v>
      </c>
      <c r="E24" s="36" t="s">
        <v>421</v>
      </c>
      <c r="F24" s="36">
        <v>19295</v>
      </c>
      <c r="G24" s="36">
        <f t="shared" si="7"/>
        <v>11577</v>
      </c>
      <c r="H24" s="36">
        <f t="shared" si="8"/>
        <v>34731</v>
      </c>
      <c r="I24" s="36" t="s">
        <v>27</v>
      </c>
      <c r="J24" s="36">
        <v>3</v>
      </c>
      <c r="K24" s="36" t="s">
        <v>22</v>
      </c>
      <c r="L24" s="36" t="s">
        <v>79</v>
      </c>
      <c r="M24" s="36" t="s">
        <v>30</v>
      </c>
      <c r="N24" s="36" t="s">
        <v>31</v>
      </c>
    </row>
    <row r="25" spans="1:14" ht="21.95" customHeight="1">
      <c r="A25" s="35">
        <v>21</v>
      </c>
      <c r="B25" s="35" t="s">
        <v>219</v>
      </c>
      <c r="C25" s="36" t="s">
        <v>406</v>
      </c>
      <c r="D25" s="36" t="s">
        <v>416</v>
      </c>
      <c r="E25" s="36" t="s">
        <v>417</v>
      </c>
      <c r="F25" s="36">
        <v>201639</v>
      </c>
      <c r="G25" s="36">
        <f t="shared" si="7"/>
        <v>120983.4</v>
      </c>
      <c r="H25" s="36">
        <f t="shared" si="8"/>
        <v>241966.8</v>
      </c>
      <c r="I25" s="36" t="s">
        <v>27</v>
      </c>
      <c r="J25" s="36">
        <v>2</v>
      </c>
      <c r="K25" s="36" t="s">
        <v>22</v>
      </c>
      <c r="L25" s="36" t="s">
        <v>83</v>
      </c>
      <c r="M25" s="36" t="s">
        <v>224</v>
      </c>
      <c r="N25" s="36" t="s">
        <v>85</v>
      </c>
    </row>
    <row r="26" spans="1:14" ht="21.95" customHeight="1">
      <c r="A26" s="35">
        <v>22</v>
      </c>
      <c r="B26" s="35" t="s">
        <v>219</v>
      </c>
      <c r="C26" s="36" t="s">
        <v>38</v>
      </c>
      <c r="D26" s="36" t="s">
        <v>418</v>
      </c>
      <c r="E26" s="36" t="s">
        <v>419</v>
      </c>
      <c r="F26" s="36">
        <v>90000</v>
      </c>
      <c r="G26" s="36">
        <f t="shared" ref="G26" si="9">F26</f>
        <v>90000</v>
      </c>
      <c r="H26" s="36">
        <f t="shared" si="8"/>
        <v>90000</v>
      </c>
      <c r="I26" s="36" t="s">
        <v>40</v>
      </c>
      <c r="J26" s="36">
        <v>1</v>
      </c>
      <c r="K26" s="36" t="s">
        <v>22</v>
      </c>
      <c r="L26" s="36" t="s">
        <v>86</v>
      </c>
      <c r="M26" s="36" t="s">
        <v>42</v>
      </c>
      <c r="N26" s="36"/>
    </row>
    <row r="27" spans="1:14" ht="21.95" customHeight="1">
      <c r="A27" s="35">
        <v>25</v>
      </c>
      <c r="B27" s="35" t="s">
        <v>219</v>
      </c>
      <c r="C27" s="36" t="s">
        <v>100</v>
      </c>
      <c r="D27" s="36" t="s">
        <v>383</v>
      </c>
      <c r="E27" s="36" t="s">
        <v>384</v>
      </c>
      <c r="F27" s="36">
        <v>589</v>
      </c>
      <c r="G27" s="36">
        <f t="shared" ref="G27:G28" si="10">0.6*F27</f>
        <v>353.4</v>
      </c>
      <c r="H27" s="36">
        <f t="shared" si="8"/>
        <v>706.8</v>
      </c>
      <c r="I27" s="36" t="s">
        <v>27</v>
      </c>
      <c r="J27" s="36">
        <v>2</v>
      </c>
      <c r="K27" s="36" t="s">
        <v>22</v>
      </c>
      <c r="L27" s="36" t="s">
        <v>90</v>
      </c>
      <c r="M27" s="36" t="s">
        <v>91</v>
      </c>
      <c r="N27" s="36" t="s">
        <v>31</v>
      </c>
    </row>
    <row r="28" spans="1:14" ht="21.95" customHeight="1">
      <c r="A28" s="35">
        <v>26</v>
      </c>
      <c r="B28" s="35" t="s">
        <v>219</v>
      </c>
      <c r="C28" s="36" t="s">
        <v>59</v>
      </c>
      <c r="D28" s="36" t="s">
        <v>370</v>
      </c>
      <c r="E28" s="36" t="s">
        <v>371</v>
      </c>
      <c r="F28" s="36">
        <v>975</v>
      </c>
      <c r="G28" s="36">
        <f t="shared" si="10"/>
        <v>585</v>
      </c>
      <c r="H28" s="36">
        <f t="shared" si="8"/>
        <v>1170</v>
      </c>
      <c r="I28" s="36" t="s">
        <v>27</v>
      </c>
      <c r="J28" s="36">
        <v>2</v>
      </c>
      <c r="K28" s="36" t="s">
        <v>22</v>
      </c>
      <c r="L28" s="36" t="s">
        <v>90</v>
      </c>
      <c r="M28" s="36" t="s">
        <v>94</v>
      </c>
      <c r="N28" s="36" t="s">
        <v>85</v>
      </c>
    </row>
    <row r="29" spans="1:14" ht="21.95" customHeight="1">
      <c r="A29" s="35">
        <v>27</v>
      </c>
      <c r="B29" s="35" t="s">
        <v>219</v>
      </c>
      <c r="C29" s="36" t="s">
        <v>105</v>
      </c>
      <c r="D29" s="36" t="s">
        <v>422</v>
      </c>
      <c r="E29" s="36" t="s">
        <v>423</v>
      </c>
      <c r="F29" s="36">
        <v>5538</v>
      </c>
      <c r="G29" s="36">
        <f>F29</f>
        <v>5538</v>
      </c>
      <c r="H29" s="36">
        <f t="shared" si="8"/>
        <v>55380</v>
      </c>
      <c r="I29" s="36" t="s">
        <v>27</v>
      </c>
      <c r="J29" s="36">
        <v>10</v>
      </c>
      <c r="K29" s="36" t="s">
        <v>397</v>
      </c>
      <c r="L29" s="36" t="s">
        <v>90</v>
      </c>
      <c r="M29" s="36" t="s">
        <v>98</v>
      </c>
      <c r="N29" s="36" t="s">
        <v>99</v>
      </c>
    </row>
    <row r="30" spans="1:14" ht="21.95" customHeight="1">
      <c r="A30" s="35">
        <v>28</v>
      </c>
      <c r="B30" s="35" t="s">
        <v>219</v>
      </c>
      <c r="C30" s="36" t="s">
        <v>48</v>
      </c>
      <c r="D30" s="36"/>
      <c r="E30" s="36" t="s">
        <v>49</v>
      </c>
      <c r="F30" s="36">
        <f ca="1">OFFSET(F30,1,2)</f>
        <v>42000</v>
      </c>
      <c r="G30" s="36">
        <f ca="1">F30</f>
        <v>42000</v>
      </c>
      <c r="H30" s="36">
        <f t="shared" ca="1" si="8"/>
        <v>42000</v>
      </c>
      <c r="I30" s="36" t="s">
        <v>27</v>
      </c>
      <c r="J30" s="36">
        <v>1</v>
      </c>
      <c r="K30" s="36" t="s">
        <v>22</v>
      </c>
      <c r="L30" s="36" t="s">
        <v>90</v>
      </c>
      <c r="M30" s="36" t="s">
        <v>102</v>
      </c>
      <c r="N30" s="36"/>
    </row>
    <row r="31" spans="1:14" ht="21.95" customHeight="1">
      <c r="A31" s="35">
        <v>29</v>
      </c>
      <c r="B31" s="35" t="s">
        <v>219</v>
      </c>
      <c r="C31" s="36" t="s">
        <v>52</v>
      </c>
      <c r="D31" s="36"/>
      <c r="E31" s="36" t="s">
        <v>53</v>
      </c>
      <c r="F31" s="36">
        <v>7</v>
      </c>
      <c r="G31" s="36">
        <v>100</v>
      </c>
      <c r="H31" s="36">
        <f t="shared" si="8"/>
        <v>42000</v>
      </c>
      <c r="I31" s="36" t="s">
        <v>27</v>
      </c>
      <c r="J31" s="36">
        <f>60*F31</f>
        <v>420</v>
      </c>
      <c r="K31" s="36" t="s">
        <v>22</v>
      </c>
      <c r="L31" s="36" t="s">
        <v>90</v>
      </c>
      <c r="M31" s="36" t="s">
        <v>104</v>
      </c>
      <c r="N31" s="36" t="s">
        <v>63</v>
      </c>
    </row>
    <row r="32" spans="1:14" ht="21.95" customHeight="1">
      <c r="A32" s="41">
        <v>33</v>
      </c>
      <c r="B32" s="41" t="s">
        <v>226</v>
      </c>
      <c r="C32" s="42" t="s">
        <v>14</v>
      </c>
      <c r="D32" s="42"/>
      <c r="E32" s="42" t="s">
        <v>109</v>
      </c>
      <c r="F32" s="42"/>
      <c r="G32" s="42"/>
      <c r="H32" s="42"/>
      <c r="I32" s="42" t="s">
        <v>16</v>
      </c>
      <c r="J32" s="42">
        <v>1</v>
      </c>
      <c r="K32" s="42" t="s">
        <v>17</v>
      </c>
      <c r="L32" s="42"/>
      <c r="M32" s="42" t="s">
        <v>18</v>
      </c>
      <c r="N32" s="42"/>
    </row>
    <row r="33" spans="1:14" ht="21.95" customHeight="1">
      <c r="A33" s="39">
        <v>34</v>
      </c>
      <c r="B33" s="39" t="s">
        <v>226</v>
      </c>
      <c r="C33" s="40" t="s">
        <v>19</v>
      </c>
      <c r="D33" s="40" t="s">
        <v>359</v>
      </c>
      <c r="E33" s="40" t="s">
        <v>360</v>
      </c>
      <c r="F33" s="40">
        <v>15000</v>
      </c>
      <c r="G33" s="40">
        <f t="shared" ref="G33" si="11">0.6*F33</f>
        <v>9000</v>
      </c>
      <c r="H33" s="40">
        <f t="shared" ref="H33" si="12">G33*J33</f>
        <v>9000</v>
      </c>
      <c r="I33" s="40" t="s">
        <v>411</v>
      </c>
      <c r="J33" s="40">
        <v>1</v>
      </c>
      <c r="K33" s="40" t="s">
        <v>22</v>
      </c>
      <c r="L33" s="40" t="s">
        <v>111</v>
      </c>
      <c r="M33" s="40" t="s">
        <v>112</v>
      </c>
      <c r="N33" s="34"/>
    </row>
    <row r="34" spans="1:14" ht="21.95" customHeight="1">
      <c r="A34" s="35">
        <v>35</v>
      </c>
      <c r="B34" s="35" t="s">
        <v>226</v>
      </c>
      <c r="C34" s="36" t="s">
        <v>59</v>
      </c>
      <c r="D34" s="36" t="s">
        <v>372</v>
      </c>
      <c r="E34" s="36" t="s">
        <v>373</v>
      </c>
      <c r="F34" s="36">
        <v>2337</v>
      </c>
      <c r="G34" s="36">
        <f t="shared" ref="G34:G36" si="13">0.6*F34</f>
        <v>1402.2</v>
      </c>
      <c r="H34" s="36">
        <f t="shared" ref="H34:H36" si="14">G34*J34</f>
        <v>1402.2</v>
      </c>
      <c r="I34" s="36" t="s">
        <v>27</v>
      </c>
      <c r="J34" s="36">
        <v>1</v>
      </c>
      <c r="K34" s="36" t="s">
        <v>22</v>
      </c>
      <c r="L34" s="36" t="s">
        <v>114</v>
      </c>
      <c r="M34" s="36" t="s">
        <v>62</v>
      </c>
      <c r="N34" s="36" t="s">
        <v>63</v>
      </c>
    </row>
    <row r="35" spans="1:14" ht="21.95" customHeight="1">
      <c r="A35" s="35">
        <v>36</v>
      </c>
      <c r="B35" s="35" t="s">
        <v>226</v>
      </c>
      <c r="C35" s="36" t="s">
        <v>59</v>
      </c>
      <c r="D35" s="36" t="s">
        <v>374</v>
      </c>
      <c r="E35" s="36" t="s">
        <v>375</v>
      </c>
      <c r="F35" s="36">
        <v>2429</v>
      </c>
      <c r="G35" s="36">
        <f t="shared" si="13"/>
        <v>1457.3999999999999</v>
      </c>
      <c r="H35" s="36">
        <f t="shared" si="14"/>
        <v>4372.2</v>
      </c>
      <c r="I35" s="36" t="s">
        <v>27</v>
      </c>
      <c r="J35" s="36">
        <v>3</v>
      </c>
      <c r="K35" s="36" t="s">
        <v>22</v>
      </c>
      <c r="L35" s="36" t="s">
        <v>115</v>
      </c>
      <c r="M35" s="36" t="s">
        <v>62</v>
      </c>
      <c r="N35" s="36" t="s">
        <v>63</v>
      </c>
    </row>
    <row r="36" spans="1:14" ht="21.95" customHeight="1">
      <c r="A36" s="35">
        <v>37</v>
      </c>
      <c r="B36" s="35" t="s">
        <v>226</v>
      </c>
      <c r="C36" s="36" t="s">
        <v>59</v>
      </c>
      <c r="D36" s="36" t="s">
        <v>376</v>
      </c>
      <c r="E36" s="36" t="s">
        <v>377</v>
      </c>
      <c r="F36" s="36">
        <v>2606</v>
      </c>
      <c r="G36" s="36">
        <f t="shared" si="13"/>
        <v>1563.6</v>
      </c>
      <c r="H36" s="36">
        <f t="shared" si="14"/>
        <v>4690.7999999999993</v>
      </c>
      <c r="I36" s="36" t="s">
        <v>27</v>
      </c>
      <c r="J36" s="36">
        <v>3</v>
      </c>
      <c r="K36" s="36" t="s">
        <v>22</v>
      </c>
      <c r="L36" s="36" t="s">
        <v>116</v>
      </c>
      <c r="M36" s="36" t="s">
        <v>62</v>
      </c>
      <c r="N36" s="36" t="s">
        <v>63</v>
      </c>
    </row>
    <row r="37" spans="1:14" ht="21.95" customHeight="1">
      <c r="A37" s="35">
        <v>38</v>
      </c>
      <c r="B37" s="35" t="s">
        <v>226</v>
      </c>
      <c r="C37" s="36" t="s">
        <v>48</v>
      </c>
      <c r="D37" s="36"/>
      <c r="E37" s="36" t="s">
        <v>49</v>
      </c>
      <c r="F37" s="36">
        <f ca="1">OFFSET(F37,1,2)</f>
        <v>4200</v>
      </c>
      <c r="G37" s="36">
        <f ca="1">F37</f>
        <v>4200</v>
      </c>
      <c r="H37" s="36">
        <f t="shared" ref="H37" ca="1" si="15">G37*J37</f>
        <v>4200</v>
      </c>
      <c r="I37" s="36" t="s">
        <v>403</v>
      </c>
      <c r="J37" s="36">
        <v>1</v>
      </c>
      <c r="K37" s="27" t="s">
        <v>22</v>
      </c>
      <c r="L37" s="27" t="s">
        <v>48</v>
      </c>
      <c r="M37" s="36" t="s">
        <v>51</v>
      </c>
      <c r="N37" s="36"/>
    </row>
    <row r="38" spans="1:14" ht="21.95" customHeight="1">
      <c r="A38" s="35">
        <v>39</v>
      </c>
      <c r="B38" s="35" t="s">
        <v>226</v>
      </c>
      <c r="C38" s="36" t="s">
        <v>52</v>
      </c>
      <c r="D38" s="36"/>
      <c r="E38" s="36" t="s">
        <v>53</v>
      </c>
      <c r="F38" s="36">
        <v>0.7</v>
      </c>
      <c r="G38" s="36">
        <v>100</v>
      </c>
      <c r="H38" s="36">
        <f t="shared" ref="H38" si="16">G38*J38</f>
        <v>4200</v>
      </c>
      <c r="I38" s="36" t="s">
        <v>16</v>
      </c>
      <c r="J38" s="36">
        <f>60*F38</f>
        <v>42</v>
      </c>
      <c r="K38" s="27" t="s">
        <v>22</v>
      </c>
      <c r="L38" s="27" t="s">
        <v>52</v>
      </c>
      <c r="M38" s="36"/>
      <c r="N38" s="36"/>
    </row>
    <row r="39" spans="1:14" ht="21.95" customHeight="1">
      <c r="A39" s="41">
        <v>40</v>
      </c>
      <c r="B39" s="41" t="s">
        <v>227</v>
      </c>
      <c r="C39" s="42" t="s">
        <v>14</v>
      </c>
      <c r="D39" s="42"/>
      <c r="E39" s="42" t="s">
        <v>121</v>
      </c>
      <c r="F39" s="42"/>
      <c r="G39" s="42"/>
      <c r="H39" s="42"/>
      <c r="I39" s="42" t="s">
        <v>16</v>
      </c>
      <c r="J39" s="42">
        <v>1</v>
      </c>
      <c r="K39" s="42" t="s">
        <v>17</v>
      </c>
      <c r="L39" s="42"/>
      <c r="M39" s="42" t="s">
        <v>18</v>
      </c>
      <c r="N39" s="42"/>
    </row>
    <row r="40" spans="1:14" ht="21.95" customHeight="1">
      <c r="A40" s="39">
        <v>41</v>
      </c>
      <c r="B40" s="39" t="s">
        <v>227</v>
      </c>
      <c r="C40" s="40" t="s">
        <v>19</v>
      </c>
      <c r="D40" s="40" t="s">
        <v>359</v>
      </c>
      <c r="E40" s="40" t="s">
        <v>360</v>
      </c>
      <c r="F40" s="40">
        <v>15000</v>
      </c>
      <c r="G40" s="40">
        <f t="shared" ref="G40" si="17">0.6*F40</f>
        <v>9000</v>
      </c>
      <c r="H40" s="40">
        <f t="shared" ref="H40" si="18">G40*J40</f>
        <v>9000</v>
      </c>
      <c r="I40" s="40" t="s">
        <v>411</v>
      </c>
      <c r="J40" s="40">
        <v>1</v>
      </c>
      <c r="K40" s="40" t="s">
        <v>22</v>
      </c>
      <c r="L40" s="40" t="s">
        <v>123</v>
      </c>
      <c r="M40" s="40" t="s">
        <v>124</v>
      </c>
      <c r="N40" s="34"/>
    </row>
    <row r="41" spans="1:14" ht="21.95" customHeight="1">
      <c r="A41" s="35">
        <v>42</v>
      </c>
      <c r="B41" s="35" t="s">
        <v>227</v>
      </c>
      <c r="C41" s="36" t="s">
        <v>125</v>
      </c>
      <c r="D41" s="36" t="s">
        <v>336</v>
      </c>
      <c r="E41" s="36" t="s">
        <v>337</v>
      </c>
      <c r="F41" s="36">
        <v>3372</v>
      </c>
      <c r="G41" s="36">
        <f t="shared" ref="G41:G43" si="19">0.6*F41</f>
        <v>2023.1999999999998</v>
      </c>
      <c r="H41" s="36">
        <f t="shared" ref="H41:H43" si="20">G41*J41</f>
        <v>2023.1999999999998</v>
      </c>
      <c r="I41" s="36" t="s">
        <v>27</v>
      </c>
      <c r="J41" s="36">
        <v>1</v>
      </c>
      <c r="K41" s="36" t="s">
        <v>22</v>
      </c>
      <c r="L41" s="36" t="s">
        <v>128</v>
      </c>
      <c r="M41" s="36" t="s">
        <v>129</v>
      </c>
      <c r="N41" s="36" t="s">
        <v>37</v>
      </c>
    </row>
    <row r="42" spans="1:14" ht="21.95" customHeight="1">
      <c r="A42" s="35">
        <v>43</v>
      </c>
      <c r="B42" s="35" t="s">
        <v>227</v>
      </c>
      <c r="C42" s="36" t="s">
        <v>59</v>
      </c>
      <c r="D42" s="36" t="s">
        <v>366</v>
      </c>
      <c r="E42" s="36" t="s">
        <v>367</v>
      </c>
      <c r="F42" s="36">
        <v>783</v>
      </c>
      <c r="G42" s="36">
        <f t="shared" si="19"/>
        <v>469.79999999999995</v>
      </c>
      <c r="H42" s="36">
        <f t="shared" si="20"/>
        <v>7046.9999999999991</v>
      </c>
      <c r="I42" s="36" t="s">
        <v>27</v>
      </c>
      <c r="J42" s="36">
        <v>15</v>
      </c>
      <c r="K42" s="36" t="s">
        <v>22</v>
      </c>
      <c r="L42" s="36" t="s">
        <v>131</v>
      </c>
      <c r="M42" s="36" t="s">
        <v>62</v>
      </c>
      <c r="N42" s="36" t="s">
        <v>63</v>
      </c>
    </row>
    <row r="43" spans="1:14" ht="21.95" customHeight="1">
      <c r="A43" s="35">
        <v>44</v>
      </c>
      <c r="B43" s="35" t="s">
        <v>227</v>
      </c>
      <c r="C43" s="36" t="s">
        <v>132</v>
      </c>
      <c r="D43" s="36" t="s">
        <v>134</v>
      </c>
      <c r="E43" s="36" t="s">
        <v>351</v>
      </c>
      <c r="F43" s="36">
        <v>13622</v>
      </c>
      <c r="G43" s="36">
        <f t="shared" si="19"/>
        <v>8173.2</v>
      </c>
      <c r="H43" s="36">
        <f t="shared" si="20"/>
        <v>32692.799999999999</v>
      </c>
      <c r="I43" s="36" t="s">
        <v>27</v>
      </c>
      <c r="J43" s="36">
        <v>4</v>
      </c>
      <c r="K43" s="36" t="s">
        <v>22</v>
      </c>
      <c r="L43" s="36" t="s">
        <v>135</v>
      </c>
      <c r="M43" s="36" t="s">
        <v>136</v>
      </c>
      <c r="N43" s="36" t="s">
        <v>137</v>
      </c>
    </row>
    <row r="44" spans="1:14" ht="21.95" customHeight="1">
      <c r="A44" s="35">
        <v>45</v>
      </c>
      <c r="B44" s="35" t="s">
        <v>227</v>
      </c>
      <c r="C44" s="36" t="s">
        <v>48</v>
      </c>
      <c r="D44" s="36"/>
      <c r="E44" s="36" t="s">
        <v>49</v>
      </c>
      <c r="F44" s="36">
        <f ca="1">OFFSET(F44,1,2)</f>
        <v>4200</v>
      </c>
      <c r="G44" s="36">
        <f ca="1">F44</f>
        <v>4200</v>
      </c>
      <c r="H44" s="36">
        <f t="shared" ref="H44:H45" ca="1" si="21">G44*J44</f>
        <v>4200</v>
      </c>
      <c r="I44" s="36" t="s">
        <v>403</v>
      </c>
      <c r="J44" s="36">
        <v>1</v>
      </c>
      <c r="K44" s="27" t="s">
        <v>22</v>
      </c>
      <c r="L44" s="27" t="s">
        <v>48</v>
      </c>
      <c r="M44" s="36" t="s">
        <v>51</v>
      </c>
      <c r="N44" s="36"/>
    </row>
    <row r="45" spans="1:14" ht="21.95" customHeight="1">
      <c r="A45" s="35">
        <v>46</v>
      </c>
      <c r="B45" s="35" t="s">
        <v>227</v>
      </c>
      <c r="C45" s="36" t="s">
        <v>52</v>
      </c>
      <c r="D45" s="36"/>
      <c r="E45" s="36" t="s">
        <v>53</v>
      </c>
      <c r="F45" s="36">
        <v>0.7</v>
      </c>
      <c r="G45" s="36">
        <v>100</v>
      </c>
      <c r="H45" s="36">
        <f t="shared" si="21"/>
        <v>4200</v>
      </c>
      <c r="I45" s="36" t="s">
        <v>16</v>
      </c>
      <c r="J45" s="36">
        <f>60*F45</f>
        <v>42</v>
      </c>
      <c r="K45" s="27" t="s">
        <v>22</v>
      </c>
      <c r="L45" s="27" t="s">
        <v>52</v>
      </c>
      <c r="M45" s="36"/>
      <c r="N45" s="36"/>
    </row>
    <row r="46" spans="1:14" ht="21.95" customHeight="1">
      <c r="A46" s="41">
        <v>47</v>
      </c>
      <c r="B46" s="41" t="s">
        <v>228</v>
      </c>
      <c r="C46" s="42" t="s">
        <v>14</v>
      </c>
      <c r="D46" s="42"/>
      <c r="E46" s="42" t="s">
        <v>229</v>
      </c>
      <c r="F46" s="42"/>
      <c r="G46" s="42"/>
      <c r="H46" s="42"/>
      <c r="I46" s="42" t="s">
        <v>16</v>
      </c>
      <c r="J46" s="42">
        <v>1</v>
      </c>
      <c r="K46" s="42" t="s">
        <v>17</v>
      </c>
      <c r="L46" s="42"/>
      <c r="M46" s="42" t="s">
        <v>18</v>
      </c>
      <c r="N46" s="42"/>
    </row>
    <row r="47" spans="1:14" ht="21.95" customHeight="1">
      <c r="A47" s="39">
        <v>48</v>
      </c>
      <c r="B47" s="39" t="s">
        <v>228</v>
      </c>
      <c r="C47" s="40" t="s">
        <v>19</v>
      </c>
      <c r="D47" s="40" t="s">
        <v>361</v>
      </c>
      <c r="E47" s="40" t="s">
        <v>362</v>
      </c>
      <c r="F47" s="40">
        <v>18000</v>
      </c>
      <c r="G47" s="40">
        <f t="shared" ref="G47" si="22">0.6*F47</f>
        <v>10800</v>
      </c>
      <c r="H47" s="40">
        <f t="shared" ref="H47" si="23">G47*J47</f>
        <v>10800</v>
      </c>
      <c r="I47" s="40" t="s">
        <v>411</v>
      </c>
      <c r="J47" s="40">
        <v>1</v>
      </c>
      <c r="K47" s="40" t="s">
        <v>22</v>
      </c>
      <c r="L47" s="40" t="s">
        <v>141</v>
      </c>
      <c r="M47" s="40" t="s">
        <v>124</v>
      </c>
      <c r="N47" s="34"/>
    </row>
    <row r="48" spans="1:14" ht="21.95" customHeight="1">
      <c r="A48" s="35">
        <v>49</v>
      </c>
      <c r="B48" s="35" t="s">
        <v>228</v>
      </c>
      <c r="C48" s="36" t="s">
        <v>125</v>
      </c>
      <c r="D48" s="36" t="s">
        <v>336</v>
      </c>
      <c r="E48" s="36" t="s">
        <v>337</v>
      </c>
      <c r="F48" s="36">
        <v>3372</v>
      </c>
      <c r="G48" s="36">
        <f t="shared" ref="G48:G50" si="24">0.6*F48</f>
        <v>2023.1999999999998</v>
      </c>
      <c r="H48" s="36">
        <f t="shared" ref="H48:H50" si="25">G48*J48</f>
        <v>2023.1999999999998</v>
      </c>
      <c r="I48" s="36" t="s">
        <v>27</v>
      </c>
      <c r="J48" s="36">
        <v>1</v>
      </c>
      <c r="K48" s="36" t="s">
        <v>22</v>
      </c>
      <c r="L48" s="36" t="s">
        <v>142</v>
      </c>
      <c r="M48" s="36" t="s">
        <v>129</v>
      </c>
      <c r="N48" s="36" t="s">
        <v>37</v>
      </c>
    </row>
    <row r="49" spans="1:14" ht="21.95" customHeight="1">
      <c r="A49" s="35">
        <v>50</v>
      </c>
      <c r="B49" s="35" t="s">
        <v>228</v>
      </c>
      <c r="C49" s="36" t="s">
        <v>59</v>
      </c>
      <c r="D49" s="36" t="s">
        <v>366</v>
      </c>
      <c r="E49" s="36" t="s">
        <v>367</v>
      </c>
      <c r="F49" s="36">
        <v>783</v>
      </c>
      <c r="G49" s="36">
        <f t="shared" si="24"/>
        <v>469.79999999999995</v>
      </c>
      <c r="H49" s="36">
        <f t="shared" si="25"/>
        <v>10335.599999999999</v>
      </c>
      <c r="I49" s="36" t="s">
        <v>27</v>
      </c>
      <c r="J49" s="36">
        <v>22</v>
      </c>
      <c r="K49" s="36" t="s">
        <v>22</v>
      </c>
      <c r="L49" s="36" t="s">
        <v>143</v>
      </c>
      <c r="M49" s="36" t="s">
        <v>62</v>
      </c>
      <c r="N49" s="36" t="s">
        <v>63</v>
      </c>
    </row>
    <row r="50" spans="1:14" ht="21.95" customHeight="1">
      <c r="A50" s="35">
        <v>51</v>
      </c>
      <c r="B50" s="35" t="s">
        <v>228</v>
      </c>
      <c r="C50" s="36" t="s">
        <v>132</v>
      </c>
      <c r="D50" s="36" t="s">
        <v>134</v>
      </c>
      <c r="E50" s="36" t="s">
        <v>351</v>
      </c>
      <c r="F50" s="36">
        <v>13622</v>
      </c>
      <c r="G50" s="36">
        <f t="shared" si="24"/>
        <v>8173.2</v>
      </c>
      <c r="H50" s="36">
        <f t="shared" si="25"/>
        <v>32692.799999999999</v>
      </c>
      <c r="I50" s="36" t="s">
        <v>27</v>
      </c>
      <c r="J50" s="36">
        <v>4</v>
      </c>
      <c r="K50" s="36" t="s">
        <v>22</v>
      </c>
      <c r="L50" s="36" t="s">
        <v>144</v>
      </c>
      <c r="M50" s="36" t="s">
        <v>136</v>
      </c>
      <c r="N50" s="36" t="s">
        <v>137</v>
      </c>
    </row>
    <row r="51" spans="1:14" ht="21.95" customHeight="1">
      <c r="A51" s="35">
        <v>52</v>
      </c>
      <c r="B51" s="35" t="s">
        <v>228</v>
      </c>
      <c r="C51" s="36" t="s">
        <v>48</v>
      </c>
      <c r="D51" s="36"/>
      <c r="E51" s="36" t="s">
        <v>49</v>
      </c>
      <c r="F51" s="36">
        <f ca="1">OFFSET(F51,1,2)</f>
        <v>15000</v>
      </c>
      <c r="G51" s="36">
        <f ca="1">F51</f>
        <v>15000</v>
      </c>
      <c r="H51" s="36">
        <f t="shared" ref="H51:H52" ca="1" si="26">G51*J51</f>
        <v>15000</v>
      </c>
      <c r="I51" s="36" t="s">
        <v>403</v>
      </c>
      <c r="J51" s="36">
        <v>1</v>
      </c>
      <c r="K51" s="27" t="s">
        <v>22</v>
      </c>
      <c r="L51" s="27" t="s">
        <v>48</v>
      </c>
      <c r="M51" s="36" t="s">
        <v>51</v>
      </c>
      <c r="N51" s="36"/>
    </row>
    <row r="52" spans="1:14" ht="21.95" customHeight="1">
      <c r="A52" s="35">
        <v>53</v>
      </c>
      <c r="B52" s="35" t="s">
        <v>228</v>
      </c>
      <c r="C52" s="36" t="s">
        <v>52</v>
      </c>
      <c r="D52" s="36"/>
      <c r="E52" s="36" t="s">
        <v>53</v>
      </c>
      <c r="F52" s="36">
        <v>2.5</v>
      </c>
      <c r="G52" s="36">
        <v>100</v>
      </c>
      <c r="H52" s="36">
        <f t="shared" si="26"/>
        <v>15000</v>
      </c>
      <c r="I52" s="36" t="s">
        <v>16</v>
      </c>
      <c r="J52" s="36">
        <f>60*F52</f>
        <v>150</v>
      </c>
      <c r="K52" s="27" t="s">
        <v>22</v>
      </c>
      <c r="L52" s="27" t="s">
        <v>52</v>
      </c>
      <c r="M52" s="36"/>
      <c r="N52" s="36"/>
    </row>
    <row r="53" spans="1:14" ht="21.95" customHeight="1">
      <c r="A53" s="41">
        <v>54</v>
      </c>
      <c r="B53" s="41" t="s">
        <v>230</v>
      </c>
      <c r="C53" s="42" t="s">
        <v>14</v>
      </c>
      <c r="D53" s="42"/>
      <c r="E53" s="42" t="s">
        <v>139</v>
      </c>
      <c r="F53" s="42"/>
      <c r="G53" s="42"/>
      <c r="H53" s="42"/>
      <c r="I53" s="42" t="s">
        <v>16</v>
      </c>
      <c r="J53" s="42">
        <v>1</v>
      </c>
      <c r="K53" s="42" t="s">
        <v>17</v>
      </c>
      <c r="L53" s="42"/>
      <c r="M53" s="42" t="s">
        <v>18</v>
      </c>
      <c r="N53" s="42"/>
    </row>
    <row r="54" spans="1:14" ht="21.95" customHeight="1">
      <c r="A54" s="39">
        <v>55</v>
      </c>
      <c r="B54" s="39" t="s">
        <v>230</v>
      </c>
      <c r="C54" s="40" t="s">
        <v>19</v>
      </c>
      <c r="D54" s="40" t="s">
        <v>357</v>
      </c>
      <c r="E54" s="40" t="s">
        <v>358</v>
      </c>
      <c r="F54" s="40">
        <v>14695</v>
      </c>
      <c r="G54" s="40">
        <f t="shared" ref="G54" si="27">0.6*F54</f>
        <v>8817</v>
      </c>
      <c r="H54" s="40">
        <f t="shared" ref="H54" si="28">G54*J54</f>
        <v>8817</v>
      </c>
      <c r="I54" s="40" t="s">
        <v>411</v>
      </c>
      <c r="J54" s="40">
        <v>1</v>
      </c>
      <c r="K54" s="40" t="s">
        <v>22</v>
      </c>
      <c r="L54" s="40" t="s">
        <v>147</v>
      </c>
      <c r="M54" s="40" t="s">
        <v>124</v>
      </c>
      <c r="N54" s="34"/>
    </row>
    <row r="55" spans="1:14" ht="21.95" customHeight="1">
      <c r="A55" s="35">
        <v>56</v>
      </c>
      <c r="B55" s="35" t="s">
        <v>230</v>
      </c>
      <c r="C55" s="36" t="s">
        <v>125</v>
      </c>
      <c r="D55" s="36" t="s">
        <v>336</v>
      </c>
      <c r="E55" s="36" t="s">
        <v>337</v>
      </c>
      <c r="F55" s="36">
        <v>3372</v>
      </c>
      <c r="G55" s="36">
        <f t="shared" ref="G55:G57" si="29">0.6*F55</f>
        <v>2023.1999999999998</v>
      </c>
      <c r="H55" s="36">
        <f t="shared" ref="H55:H57" si="30">G55*J55</f>
        <v>2023.1999999999998</v>
      </c>
      <c r="I55" s="36" t="s">
        <v>27</v>
      </c>
      <c r="J55" s="36">
        <v>1</v>
      </c>
      <c r="K55" s="36" t="s">
        <v>22</v>
      </c>
      <c r="L55" s="36" t="s">
        <v>231</v>
      </c>
      <c r="M55" s="36" t="s">
        <v>129</v>
      </c>
      <c r="N55" s="36" t="s">
        <v>37</v>
      </c>
    </row>
    <row r="56" spans="1:14" ht="21.95" customHeight="1">
      <c r="A56" s="35">
        <v>57</v>
      </c>
      <c r="B56" s="35" t="s">
        <v>230</v>
      </c>
      <c r="C56" s="36" t="s">
        <v>59</v>
      </c>
      <c r="D56" s="36" t="s">
        <v>366</v>
      </c>
      <c r="E56" s="36" t="s">
        <v>367</v>
      </c>
      <c r="F56" s="36">
        <v>783</v>
      </c>
      <c r="G56" s="36">
        <f t="shared" si="29"/>
        <v>469.79999999999995</v>
      </c>
      <c r="H56" s="36">
        <f t="shared" si="30"/>
        <v>2818.7999999999997</v>
      </c>
      <c r="I56" s="36" t="s">
        <v>27</v>
      </c>
      <c r="J56" s="36">
        <v>6</v>
      </c>
      <c r="K56" s="36" t="s">
        <v>22</v>
      </c>
      <c r="L56" s="36" t="s">
        <v>153</v>
      </c>
      <c r="M56" s="36" t="s">
        <v>62</v>
      </c>
      <c r="N56" s="36" t="s">
        <v>63</v>
      </c>
    </row>
    <row r="57" spans="1:14" ht="21.95" customHeight="1">
      <c r="A57" s="35">
        <v>58</v>
      </c>
      <c r="B57" s="35" t="s">
        <v>230</v>
      </c>
      <c r="C57" s="36" t="s">
        <v>132</v>
      </c>
      <c r="D57" s="36" t="s">
        <v>134</v>
      </c>
      <c r="E57" s="36" t="s">
        <v>351</v>
      </c>
      <c r="F57" s="36">
        <v>13622</v>
      </c>
      <c r="G57" s="36">
        <f t="shared" si="29"/>
        <v>8173.2</v>
      </c>
      <c r="H57" s="36">
        <f t="shared" si="30"/>
        <v>32692.799999999999</v>
      </c>
      <c r="I57" s="36" t="s">
        <v>27</v>
      </c>
      <c r="J57" s="36">
        <v>4</v>
      </c>
      <c r="K57" s="36" t="s">
        <v>22</v>
      </c>
      <c r="L57" s="36" t="s">
        <v>154</v>
      </c>
      <c r="M57" s="36" t="s">
        <v>136</v>
      </c>
      <c r="N57" s="36" t="s">
        <v>137</v>
      </c>
    </row>
    <row r="58" spans="1:14" ht="21.95" customHeight="1">
      <c r="A58" s="35">
        <v>59</v>
      </c>
      <c r="B58" s="35" t="s">
        <v>230</v>
      </c>
      <c r="C58" s="36" t="s">
        <v>48</v>
      </c>
      <c r="D58" s="36"/>
      <c r="E58" s="36" t="s">
        <v>49</v>
      </c>
      <c r="F58" s="36">
        <f ca="1">OFFSET(F58,1,2)</f>
        <v>4200</v>
      </c>
      <c r="G58" s="36">
        <f ca="1">F58</f>
        <v>4200</v>
      </c>
      <c r="H58" s="36">
        <f t="shared" ref="H58:H59" ca="1" si="31">G58*J58</f>
        <v>4200</v>
      </c>
      <c r="I58" s="36" t="s">
        <v>403</v>
      </c>
      <c r="J58" s="36">
        <v>1</v>
      </c>
      <c r="K58" s="27" t="s">
        <v>22</v>
      </c>
      <c r="L58" s="27" t="s">
        <v>48</v>
      </c>
      <c r="M58" s="36" t="s">
        <v>51</v>
      </c>
      <c r="N58" s="36"/>
    </row>
    <row r="59" spans="1:14" ht="21.95" customHeight="1">
      <c r="A59" s="35">
        <v>60</v>
      </c>
      <c r="B59" s="35" t="s">
        <v>230</v>
      </c>
      <c r="C59" s="36" t="s">
        <v>52</v>
      </c>
      <c r="D59" s="36"/>
      <c r="E59" s="36" t="s">
        <v>53</v>
      </c>
      <c r="F59" s="36">
        <v>0.7</v>
      </c>
      <c r="G59" s="36">
        <v>100</v>
      </c>
      <c r="H59" s="36">
        <f t="shared" si="31"/>
        <v>4200</v>
      </c>
      <c r="I59" s="36" t="s">
        <v>16</v>
      </c>
      <c r="J59" s="36">
        <f>60*F59</f>
        <v>42</v>
      </c>
      <c r="K59" s="27" t="s">
        <v>22</v>
      </c>
      <c r="L59" s="27" t="s">
        <v>52</v>
      </c>
      <c r="M59" s="36"/>
      <c r="N59" s="36"/>
    </row>
    <row r="60" spans="1:14" ht="21.95" customHeight="1">
      <c r="A60" s="41">
        <v>61</v>
      </c>
      <c r="B60" s="41" t="s">
        <v>232</v>
      </c>
      <c r="C60" s="42" t="s">
        <v>14</v>
      </c>
      <c r="D60" s="42"/>
      <c r="E60" s="42" t="s">
        <v>171</v>
      </c>
      <c r="F60" s="42"/>
      <c r="G60" s="42"/>
      <c r="H60" s="42"/>
      <c r="I60" s="42" t="s">
        <v>16</v>
      </c>
      <c r="J60" s="42">
        <v>1</v>
      </c>
      <c r="K60" s="42" t="s">
        <v>17</v>
      </c>
      <c r="L60" s="42"/>
      <c r="M60" s="42" t="s">
        <v>18</v>
      </c>
      <c r="N60" s="42"/>
    </row>
    <row r="61" spans="1:14" ht="21.95" customHeight="1">
      <c r="A61" s="39">
        <v>62</v>
      </c>
      <c r="B61" s="39" t="s">
        <v>232</v>
      </c>
      <c r="C61" s="40" t="s">
        <v>19</v>
      </c>
      <c r="D61" s="40" t="s">
        <v>412</v>
      </c>
      <c r="E61" s="40" t="s">
        <v>413</v>
      </c>
      <c r="F61" s="40">
        <v>20040</v>
      </c>
      <c r="G61" s="40">
        <f t="shared" ref="G61" si="32">0.6*F61</f>
        <v>12024</v>
      </c>
      <c r="H61" s="40">
        <f t="shared" ref="H61" si="33">G61*J61</f>
        <v>12024</v>
      </c>
      <c r="I61" s="40" t="s">
        <v>411</v>
      </c>
      <c r="J61" s="40">
        <v>1</v>
      </c>
      <c r="K61" s="40" t="s">
        <v>22</v>
      </c>
      <c r="L61" s="40" t="s">
        <v>158</v>
      </c>
      <c r="M61" s="40" t="s">
        <v>124</v>
      </c>
      <c r="N61" s="34"/>
    </row>
    <row r="62" spans="1:14" ht="21.95" customHeight="1">
      <c r="A62" s="35">
        <v>63</v>
      </c>
      <c r="B62" s="35" t="s">
        <v>232</v>
      </c>
      <c r="C62" s="36" t="s">
        <v>125</v>
      </c>
      <c r="D62" s="36" t="s">
        <v>338</v>
      </c>
      <c r="E62" s="36" t="s">
        <v>339</v>
      </c>
      <c r="F62" s="36">
        <v>3372</v>
      </c>
      <c r="G62" s="36">
        <f t="shared" ref="G62:G65" si="34">0.6*F62</f>
        <v>2023.1999999999998</v>
      </c>
      <c r="H62" s="36">
        <f t="shared" ref="H62:H65" si="35">G62*J62</f>
        <v>2023.1999999999998</v>
      </c>
      <c r="I62" s="36" t="s">
        <v>27</v>
      </c>
      <c r="J62" s="36">
        <v>1</v>
      </c>
      <c r="K62" s="36" t="s">
        <v>22</v>
      </c>
      <c r="L62" s="36" t="s">
        <v>162</v>
      </c>
      <c r="M62" s="36" t="s">
        <v>150</v>
      </c>
      <c r="N62" s="36" t="s">
        <v>151</v>
      </c>
    </row>
    <row r="63" spans="1:14" ht="21.95" customHeight="1">
      <c r="A63" s="35">
        <v>64</v>
      </c>
      <c r="B63" s="35" t="s">
        <v>232</v>
      </c>
      <c r="C63" s="36" t="s">
        <v>59</v>
      </c>
      <c r="D63" s="36" t="s">
        <v>368</v>
      </c>
      <c r="E63" s="36" t="s">
        <v>369</v>
      </c>
      <c r="F63" s="36">
        <v>783</v>
      </c>
      <c r="G63" s="36">
        <f t="shared" si="34"/>
        <v>469.79999999999995</v>
      </c>
      <c r="H63" s="36">
        <f t="shared" si="35"/>
        <v>4698</v>
      </c>
      <c r="I63" s="36" t="s">
        <v>27</v>
      </c>
      <c r="J63" s="36">
        <v>10</v>
      </c>
      <c r="K63" s="36" t="s">
        <v>22</v>
      </c>
      <c r="L63" s="36" t="s">
        <v>163</v>
      </c>
      <c r="M63" s="36" t="s">
        <v>62</v>
      </c>
      <c r="N63" s="36" t="s">
        <v>63</v>
      </c>
    </row>
    <row r="64" spans="1:14" ht="21.95" customHeight="1">
      <c r="A64" s="35">
        <v>65</v>
      </c>
      <c r="B64" s="35" t="s">
        <v>232</v>
      </c>
      <c r="C64" s="36" t="s">
        <v>59</v>
      </c>
      <c r="D64" s="36" t="s">
        <v>372</v>
      </c>
      <c r="E64" s="36" t="s">
        <v>373</v>
      </c>
      <c r="F64" s="36">
        <v>2337</v>
      </c>
      <c r="G64" s="36">
        <f t="shared" si="34"/>
        <v>1402.2</v>
      </c>
      <c r="H64" s="36">
        <f t="shared" si="35"/>
        <v>12619.800000000001</v>
      </c>
      <c r="I64" s="36" t="s">
        <v>27</v>
      </c>
      <c r="J64" s="36">
        <v>9</v>
      </c>
      <c r="K64" s="36" t="s">
        <v>22</v>
      </c>
      <c r="L64" s="36" t="s">
        <v>166</v>
      </c>
      <c r="M64" s="36" t="s">
        <v>62</v>
      </c>
      <c r="N64" s="36" t="s">
        <v>63</v>
      </c>
    </row>
    <row r="65" spans="1:14" ht="21.95" customHeight="1">
      <c r="A65" s="35">
        <v>66</v>
      </c>
      <c r="B65" s="35" t="s">
        <v>232</v>
      </c>
      <c r="C65" s="36" t="s">
        <v>155</v>
      </c>
      <c r="D65" s="36" t="s">
        <v>157</v>
      </c>
      <c r="E65" s="36" t="s">
        <v>382</v>
      </c>
      <c r="F65" s="36">
        <v>5354</v>
      </c>
      <c r="G65" s="36">
        <f t="shared" si="34"/>
        <v>3212.4</v>
      </c>
      <c r="H65" s="36">
        <f t="shared" si="35"/>
        <v>3212.4</v>
      </c>
      <c r="I65" s="36" t="s">
        <v>27</v>
      </c>
      <c r="J65" s="36">
        <v>1</v>
      </c>
      <c r="K65" s="36" t="s">
        <v>22</v>
      </c>
      <c r="L65" s="36" t="s">
        <v>169</v>
      </c>
      <c r="M65" s="36" t="s">
        <v>159</v>
      </c>
      <c r="N65" s="36" t="s">
        <v>160</v>
      </c>
    </row>
    <row r="66" spans="1:14" ht="21.95" customHeight="1">
      <c r="A66" s="35">
        <v>67</v>
      </c>
      <c r="B66" s="35" t="s">
        <v>232</v>
      </c>
      <c r="C66" s="36" t="s">
        <v>48</v>
      </c>
      <c r="D66" s="36"/>
      <c r="E66" s="36" t="s">
        <v>49</v>
      </c>
      <c r="F66" s="36">
        <f ca="1">OFFSET(F66,1,2)</f>
        <v>12000</v>
      </c>
      <c r="G66" s="36">
        <f ca="1">F66</f>
        <v>12000</v>
      </c>
      <c r="H66" s="36">
        <f t="shared" ref="H66:H67" ca="1" si="36">G66*J66</f>
        <v>12000</v>
      </c>
      <c r="I66" s="36" t="s">
        <v>403</v>
      </c>
      <c r="J66" s="36">
        <v>1</v>
      </c>
      <c r="K66" s="27" t="s">
        <v>22</v>
      </c>
      <c r="L66" s="27" t="s">
        <v>48</v>
      </c>
      <c r="M66" s="36" t="s">
        <v>51</v>
      </c>
      <c r="N66" s="36"/>
    </row>
    <row r="67" spans="1:14" ht="21.95" customHeight="1">
      <c r="A67" s="35">
        <v>68</v>
      </c>
      <c r="B67" s="35" t="s">
        <v>232</v>
      </c>
      <c r="C67" s="36" t="s">
        <v>52</v>
      </c>
      <c r="D67" s="36"/>
      <c r="E67" s="36" t="s">
        <v>53</v>
      </c>
      <c r="F67" s="36">
        <v>2</v>
      </c>
      <c r="G67" s="36">
        <v>100</v>
      </c>
      <c r="H67" s="36">
        <f t="shared" si="36"/>
        <v>12000</v>
      </c>
      <c r="I67" s="36" t="s">
        <v>16</v>
      </c>
      <c r="J67" s="36">
        <f>60*F67</f>
        <v>120</v>
      </c>
      <c r="K67" s="27" t="s">
        <v>22</v>
      </c>
      <c r="L67" s="27" t="s">
        <v>52</v>
      </c>
      <c r="M67" s="36"/>
      <c r="N67" s="36"/>
    </row>
    <row r="68" spans="1:14" ht="21.95" customHeight="1">
      <c r="A68" s="41">
        <v>69</v>
      </c>
      <c r="B68" s="41" t="s">
        <v>233</v>
      </c>
      <c r="C68" s="42" t="s">
        <v>14</v>
      </c>
      <c r="D68" s="42"/>
      <c r="E68" s="42" t="s">
        <v>180</v>
      </c>
      <c r="F68" s="42"/>
      <c r="G68" s="42"/>
      <c r="H68" s="42"/>
      <c r="I68" s="42" t="s">
        <v>16</v>
      </c>
      <c r="J68" s="42">
        <v>1</v>
      </c>
      <c r="K68" s="42" t="s">
        <v>17</v>
      </c>
      <c r="L68" s="42"/>
      <c r="M68" s="42" t="s">
        <v>18</v>
      </c>
      <c r="N68" s="42"/>
    </row>
    <row r="69" spans="1:14" ht="21.95" customHeight="1">
      <c r="A69" s="39">
        <v>70</v>
      </c>
      <c r="B69" s="39" t="s">
        <v>233</v>
      </c>
      <c r="C69" s="40" t="s">
        <v>19</v>
      </c>
      <c r="D69" s="40" t="s">
        <v>414</v>
      </c>
      <c r="E69" s="40" t="s">
        <v>415</v>
      </c>
      <c r="F69" s="40">
        <v>15140</v>
      </c>
      <c r="G69" s="40">
        <f t="shared" ref="G69:G71" si="37">0.6*F69</f>
        <v>9084</v>
      </c>
      <c r="H69" s="40">
        <f t="shared" ref="H69:H71" si="38">G69*J69</f>
        <v>9084</v>
      </c>
      <c r="I69" s="40" t="s">
        <v>411</v>
      </c>
      <c r="J69" s="40">
        <v>1</v>
      </c>
      <c r="K69" s="40" t="s">
        <v>22</v>
      </c>
      <c r="L69" s="40" t="s">
        <v>173</v>
      </c>
      <c r="M69" s="40" t="s">
        <v>124</v>
      </c>
      <c r="N69" s="34"/>
    </row>
    <row r="70" spans="1:14" ht="21.95" customHeight="1">
      <c r="A70" s="35">
        <v>71</v>
      </c>
      <c r="B70" s="35" t="s">
        <v>233</v>
      </c>
      <c r="C70" s="36" t="s">
        <v>125</v>
      </c>
      <c r="D70" s="36" t="s">
        <v>338</v>
      </c>
      <c r="E70" s="36" t="s">
        <v>339</v>
      </c>
      <c r="F70" s="36">
        <v>3372</v>
      </c>
      <c r="G70" s="36">
        <f t="shared" si="37"/>
        <v>2023.1999999999998</v>
      </c>
      <c r="H70" s="36">
        <f t="shared" si="38"/>
        <v>2023.1999999999998</v>
      </c>
      <c r="I70" s="36" t="s">
        <v>27</v>
      </c>
      <c r="J70" s="36">
        <v>1</v>
      </c>
      <c r="K70" s="36" t="s">
        <v>22</v>
      </c>
      <c r="L70" s="36" t="s">
        <v>175</v>
      </c>
      <c r="M70" s="36" t="s">
        <v>150</v>
      </c>
      <c r="N70" s="36" t="s">
        <v>151</v>
      </c>
    </row>
    <row r="71" spans="1:14" ht="21.95" customHeight="1">
      <c r="A71" s="35">
        <v>72</v>
      </c>
      <c r="B71" s="35" t="s">
        <v>233</v>
      </c>
      <c r="C71" s="36" t="s">
        <v>164</v>
      </c>
      <c r="D71" s="36" t="s">
        <v>349</v>
      </c>
      <c r="E71" s="36" t="s">
        <v>350</v>
      </c>
      <c r="F71" s="36">
        <v>5104</v>
      </c>
      <c r="G71" s="36">
        <f t="shared" si="37"/>
        <v>3062.4</v>
      </c>
      <c r="H71" s="36">
        <f t="shared" si="38"/>
        <v>36748.800000000003</v>
      </c>
      <c r="I71" s="36" t="s">
        <v>27</v>
      </c>
      <c r="J71" s="36">
        <v>12</v>
      </c>
      <c r="K71" s="36" t="s">
        <v>22</v>
      </c>
      <c r="L71" s="36" t="s">
        <v>176</v>
      </c>
      <c r="M71" s="36" t="s">
        <v>167</v>
      </c>
      <c r="N71" s="36" t="s">
        <v>168</v>
      </c>
    </row>
    <row r="72" spans="1:14" ht="21.95" customHeight="1">
      <c r="A72" s="35">
        <v>73</v>
      </c>
      <c r="B72" s="35" t="s">
        <v>233</v>
      </c>
      <c r="C72" s="36" t="s">
        <v>48</v>
      </c>
      <c r="D72" s="36"/>
      <c r="E72" s="36" t="s">
        <v>49</v>
      </c>
      <c r="F72" s="36">
        <f ca="1">OFFSET(F72,1,2)</f>
        <v>9000</v>
      </c>
      <c r="G72" s="36">
        <f ca="1">F72</f>
        <v>9000</v>
      </c>
      <c r="H72" s="36">
        <f t="shared" ref="H72:H73" ca="1" si="39">G72*J72</f>
        <v>9000</v>
      </c>
      <c r="I72" s="36" t="s">
        <v>403</v>
      </c>
      <c r="J72" s="36">
        <v>1</v>
      </c>
      <c r="K72" s="27" t="s">
        <v>22</v>
      </c>
      <c r="L72" s="27" t="s">
        <v>48</v>
      </c>
      <c r="M72" s="36" t="s">
        <v>51</v>
      </c>
      <c r="N72" s="36"/>
    </row>
    <row r="73" spans="1:14" ht="21.95" customHeight="1">
      <c r="A73" s="35">
        <v>74</v>
      </c>
      <c r="B73" s="35" t="s">
        <v>233</v>
      </c>
      <c r="C73" s="36" t="s">
        <v>52</v>
      </c>
      <c r="D73" s="36"/>
      <c r="E73" s="36" t="s">
        <v>53</v>
      </c>
      <c r="F73" s="36">
        <v>1.5</v>
      </c>
      <c r="G73" s="36">
        <v>100</v>
      </c>
      <c r="H73" s="36">
        <f t="shared" si="39"/>
        <v>9000</v>
      </c>
      <c r="I73" s="36" t="s">
        <v>16</v>
      </c>
      <c r="J73" s="36">
        <f>60*F73</f>
        <v>90</v>
      </c>
      <c r="K73" s="27" t="s">
        <v>22</v>
      </c>
      <c r="L73" s="27" t="s">
        <v>52</v>
      </c>
      <c r="M73" s="36"/>
      <c r="N73" s="36"/>
    </row>
    <row r="74" spans="1:14" ht="21.95" customHeight="1">
      <c r="A74" s="41">
        <v>75</v>
      </c>
      <c r="B74" s="41" t="s">
        <v>234</v>
      </c>
      <c r="C74" s="42" t="s">
        <v>14</v>
      </c>
      <c r="D74" s="42"/>
      <c r="E74" s="42" t="s">
        <v>171</v>
      </c>
      <c r="F74" s="42"/>
      <c r="G74" s="42"/>
      <c r="H74" s="42"/>
      <c r="I74" s="42" t="s">
        <v>16</v>
      </c>
      <c r="J74" s="42">
        <v>1</v>
      </c>
      <c r="K74" s="42" t="s">
        <v>17</v>
      </c>
      <c r="L74" s="42"/>
      <c r="M74" s="42" t="s">
        <v>18</v>
      </c>
      <c r="N74" s="42"/>
    </row>
    <row r="75" spans="1:14" ht="21.95" customHeight="1">
      <c r="A75" s="39">
        <v>76</v>
      </c>
      <c r="B75" s="39" t="s">
        <v>234</v>
      </c>
      <c r="C75" s="40" t="s">
        <v>19</v>
      </c>
      <c r="D75" s="40" t="s">
        <v>412</v>
      </c>
      <c r="E75" s="40" t="s">
        <v>413</v>
      </c>
      <c r="F75" s="40">
        <v>20040</v>
      </c>
      <c r="G75" s="40">
        <f t="shared" ref="G75:G78" si="40">0.6*F75</f>
        <v>12024</v>
      </c>
      <c r="H75" s="40">
        <f t="shared" ref="H75:H78" si="41">G75*J75</f>
        <v>12024</v>
      </c>
      <c r="I75" s="40" t="s">
        <v>411</v>
      </c>
      <c r="J75" s="40">
        <v>1</v>
      </c>
      <c r="K75" s="40" t="s">
        <v>22</v>
      </c>
      <c r="L75" s="40" t="s">
        <v>178</v>
      </c>
      <c r="M75" s="40" t="s">
        <v>124</v>
      </c>
      <c r="N75" s="34"/>
    </row>
    <row r="76" spans="1:14" ht="21.95" customHeight="1">
      <c r="A76" s="35">
        <v>77</v>
      </c>
      <c r="B76" s="35" t="s">
        <v>234</v>
      </c>
      <c r="C76" s="36" t="s">
        <v>125</v>
      </c>
      <c r="D76" s="36" t="s">
        <v>342</v>
      </c>
      <c r="E76" s="36" t="s">
        <v>343</v>
      </c>
      <c r="F76" s="36">
        <v>4439</v>
      </c>
      <c r="G76" s="36">
        <f t="shared" si="40"/>
        <v>2663.4</v>
      </c>
      <c r="H76" s="36">
        <f t="shared" si="41"/>
        <v>2663.4</v>
      </c>
      <c r="I76" s="36" t="s">
        <v>27</v>
      </c>
      <c r="J76" s="36">
        <v>1</v>
      </c>
      <c r="K76" s="36" t="s">
        <v>22</v>
      </c>
      <c r="L76" s="36" t="s">
        <v>182</v>
      </c>
      <c r="M76" s="36" t="s">
        <v>150</v>
      </c>
      <c r="N76" s="36" t="s">
        <v>151</v>
      </c>
    </row>
    <row r="77" spans="1:14" ht="21.95" customHeight="1">
      <c r="A77" s="35">
        <v>78</v>
      </c>
      <c r="B77" s="35" t="s">
        <v>234</v>
      </c>
      <c r="C77" s="36" t="s">
        <v>164</v>
      </c>
      <c r="D77" s="36" t="s">
        <v>349</v>
      </c>
      <c r="E77" s="36" t="s">
        <v>350</v>
      </c>
      <c r="F77" s="36">
        <v>5104</v>
      </c>
      <c r="G77" s="36">
        <f t="shared" si="40"/>
        <v>3062.4</v>
      </c>
      <c r="H77" s="36">
        <f t="shared" si="41"/>
        <v>45936</v>
      </c>
      <c r="I77" s="36" t="s">
        <v>27</v>
      </c>
      <c r="J77" s="36">
        <v>15</v>
      </c>
      <c r="K77" s="36" t="s">
        <v>22</v>
      </c>
      <c r="L77" s="36" t="s">
        <v>184</v>
      </c>
      <c r="M77" s="36" t="s">
        <v>167</v>
      </c>
      <c r="N77" s="36" t="s">
        <v>168</v>
      </c>
    </row>
    <row r="78" spans="1:14" ht="21.95" customHeight="1">
      <c r="A78" s="35">
        <v>79</v>
      </c>
      <c r="B78" s="35" t="s">
        <v>234</v>
      </c>
      <c r="C78" s="36" t="s">
        <v>164</v>
      </c>
      <c r="D78" s="36" t="s">
        <v>347</v>
      </c>
      <c r="E78" s="36" t="s">
        <v>348</v>
      </c>
      <c r="F78" s="36">
        <v>5552</v>
      </c>
      <c r="G78" s="36">
        <f t="shared" si="40"/>
        <v>3331.2</v>
      </c>
      <c r="H78" s="36">
        <f t="shared" si="41"/>
        <v>6662.4</v>
      </c>
      <c r="I78" s="36" t="s">
        <v>27</v>
      </c>
      <c r="J78" s="36">
        <v>2</v>
      </c>
      <c r="K78" s="36" t="s">
        <v>22</v>
      </c>
      <c r="L78" s="36" t="s">
        <v>185</v>
      </c>
      <c r="M78" s="36" t="s">
        <v>167</v>
      </c>
      <c r="N78" s="36" t="s">
        <v>168</v>
      </c>
    </row>
    <row r="79" spans="1:14" ht="21.95" customHeight="1">
      <c r="A79" s="35">
        <v>80</v>
      </c>
      <c r="B79" s="35" t="s">
        <v>234</v>
      </c>
      <c r="C79" s="36" t="s">
        <v>48</v>
      </c>
      <c r="D79" s="36"/>
      <c r="E79" s="36" t="s">
        <v>49</v>
      </c>
      <c r="F79" s="36">
        <f ca="1">OFFSET(F79,1,2)</f>
        <v>18000</v>
      </c>
      <c r="G79" s="36">
        <f ca="1">F79</f>
        <v>18000</v>
      </c>
      <c r="H79" s="36">
        <f t="shared" ref="H79:H80" ca="1" si="42">G79*J79</f>
        <v>18000</v>
      </c>
      <c r="I79" s="36" t="s">
        <v>403</v>
      </c>
      <c r="J79" s="36">
        <v>1</v>
      </c>
      <c r="K79" s="27" t="s">
        <v>22</v>
      </c>
      <c r="L79" s="27" t="s">
        <v>48</v>
      </c>
      <c r="M79" s="36" t="s">
        <v>51</v>
      </c>
      <c r="N79" s="36"/>
    </row>
    <row r="80" spans="1:14" ht="21.95" customHeight="1">
      <c r="A80" s="35">
        <v>81</v>
      </c>
      <c r="B80" s="35" t="s">
        <v>234</v>
      </c>
      <c r="C80" s="36" t="s">
        <v>52</v>
      </c>
      <c r="D80" s="36"/>
      <c r="E80" s="36" t="s">
        <v>53</v>
      </c>
      <c r="F80" s="36">
        <v>3</v>
      </c>
      <c r="G80" s="36">
        <v>100</v>
      </c>
      <c r="H80" s="36">
        <f t="shared" si="42"/>
        <v>18000</v>
      </c>
      <c r="I80" s="36" t="s">
        <v>16</v>
      </c>
      <c r="J80" s="36">
        <f>60*F80</f>
        <v>180</v>
      </c>
      <c r="K80" s="27" t="s">
        <v>22</v>
      </c>
      <c r="L80" s="27" t="s">
        <v>52</v>
      </c>
      <c r="M80" s="36"/>
      <c r="N80" s="36"/>
    </row>
    <row r="81" spans="1:14" ht="21.95" customHeight="1">
      <c r="A81" s="41">
        <v>82</v>
      </c>
      <c r="B81" s="41" t="s">
        <v>235</v>
      </c>
      <c r="C81" s="42" t="s">
        <v>14</v>
      </c>
      <c r="D81" s="42"/>
      <c r="E81" s="42" t="s">
        <v>180</v>
      </c>
      <c r="F81" s="42"/>
      <c r="G81" s="42"/>
      <c r="H81" s="42"/>
      <c r="I81" s="42" t="s">
        <v>16</v>
      </c>
      <c r="J81" s="42">
        <v>1</v>
      </c>
      <c r="K81" s="42" t="s">
        <v>17</v>
      </c>
      <c r="L81" s="42"/>
      <c r="M81" s="42" t="s">
        <v>18</v>
      </c>
      <c r="N81" s="42"/>
    </row>
    <row r="82" spans="1:14" ht="21.95" customHeight="1">
      <c r="A82" s="39">
        <v>83</v>
      </c>
      <c r="B82" s="39" t="s">
        <v>235</v>
      </c>
      <c r="C82" s="40" t="s">
        <v>19</v>
      </c>
      <c r="D82" s="40" t="s">
        <v>414</v>
      </c>
      <c r="E82" s="40" t="s">
        <v>415</v>
      </c>
      <c r="F82" s="40">
        <v>15140</v>
      </c>
      <c r="G82" s="40">
        <f t="shared" ref="G82:G84" si="43">0.6*F82</f>
        <v>9084</v>
      </c>
      <c r="H82" s="40">
        <f t="shared" ref="H82:H84" si="44">G82*J82</f>
        <v>9084</v>
      </c>
      <c r="I82" s="40" t="s">
        <v>411</v>
      </c>
      <c r="J82" s="40">
        <v>1</v>
      </c>
      <c r="K82" s="40" t="s">
        <v>22</v>
      </c>
      <c r="L82" s="40" t="s">
        <v>187</v>
      </c>
      <c r="M82" s="40" t="s">
        <v>124</v>
      </c>
      <c r="N82" s="34"/>
    </row>
    <row r="83" spans="1:14" ht="21.95" customHeight="1">
      <c r="A83" s="35">
        <v>84</v>
      </c>
      <c r="B83" s="35" t="s">
        <v>235</v>
      </c>
      <c r="C83" s="36" t="s">
        <v>125</v>
      </c>
      <c r="D83" s="36" t="s">
        <v>340</v>
      </c>
      <c r="E83" s="36" t="s">
        <v>341</v>
      </c>
      <c r="F83" s="36">
        <v>4217</v>
      </c>
      <c r="G83" s="36">
        <f t="shared" si="43"/>
        <v>2530.1999999999998</v>
      </c>
      <c r="H83" s="36">
        <f t="shared" si="44"/>
        <v>2530.1999999999998</v>
      </c>
      <c r="I83" s="36" t="s">
        <v>27</v>
      </c>
      <c r="J83" s="36">
        <v>1</v>
      </c>
      <c r="K83" s="36" t="s">
        <v>22</v>
      </c>
      <c r="L83" s="36" t="s">
        <v>189</v>
      </c>
      <c r="M83" s="36" t="s">
        <v>150</v>
      </c>
      <c r="N83" s="36" t="s">
        <v>151</v>
      </c>
    </row>
    <row r="84" spans="1:14" ht="21.95" customHeight="1">
      <c r="A84" s="35">
        <v>85</v>
      </c>
      <c r="B84" s="35" t="s">
        <v>235</v>
      </c>
      <c r="C84" s="36" t="s">
        <v>164</v>
      </c>
      <c r="D84" s="36" t="s">
        <v>349</v>
      </c>
      <c r="E84" s="36" t="s">
        <v>350</v>
      </c>
      <c r="F84" s="36">
        <v>5104</v>
      </c>
      <c r="G84" s="36">
        <f t="shared" si="43"/>
        <v>3062.4</v>
      </c>
      <c r="H84" s="36">
        <f t="shared" si="44"/>
        <v>45936</v>
      </c>
      <c r="I84" s="36" t="s">
        <v>27</v>
      </c>
      <c r="J84" s="36">
        <v>15</v>
      </c>
      <c r="K84" s="36" t="s">
        <v>22</v>
      </c>
      <c r="L84" s="36" t="s">
        <v>190</v>
      </c>
      <c r="M84" s="36" t="s">
        <v>167</v>
      </c>
      <c r="N84" s="36" t="s">
        <v>168</v>
      </c>
    </row>
    <row r="85" spans="1:14" ht="21.95" customHeight="1">
      <c r="A85" s="35">
        <v>86</v>
      </c>
      <c r="B85" s="35" t="s">
        <v>235</v>
      </c>
      <c r="C85" s="36" t="s">
        <v>48</v>
      </c>
      <c r="D85" s="36"/>
      <c r="E85" s="36" t="s">
        <v>49</v>
      </c>
      <c r="F85" s="36">
        <f ca="1">OFFSET(F85,1,2)</f>
        <v>6000</v>
      </c>
      <c r="G85" s="36">
        <f ca="1">F85</f>
        <v>6000</v>
      </c>
      <c r="H85" s="36">
        <f t="shared" ref="H85:H86" ca="1" si="45">G85*J85</f>
        <v>6000</v>
      </c>
      <c r="I85" s="36" t="s">
        <v>403</v>
      </c>
      <c r="J85" s="36">
        <v>1</v>
      </c>
      <c r="K85" s="27" t="s">
        <v>22</v>
      </c>
      <c r="L85" s="27" t="s">
        <v>48</v>
      </c>
      <c r="M85" s="36" t="s">
        <v>51</v>
      </c>
      <c r="N85" s="36"/>
    </row>
    <row r="86" spans="1:14" ht="21.95" customHeight="1">
      <c r="A86" s="35">
        <v>87</v>
      </c>
      <c r="B86" s="35" t="s">
        <v>235</v>
      </c>
      <c r="C86" s="36" t="s">
        <v>52</v>
      </c>
      <c r="D86" s="36"/>
      <c r="E86" s="36" t="s">
        <v>53</v>
      </c>
      <c r="F86" s="36">
        <v>1</v>
      </c>
      <c r="G86" s="36">
        <v>100</v>
      </c>
      <c r="H86" s="36">
        <f t="shared" si="45"/>
        <v>6000</v>
      </c>
      <c r="I86" s="36" t="s">
        <v>16</v>
      </c>
      <c r="J86" s="36">
        <f>60*F86</f>
        <v>60</v>
      </c>
      <c r="K86" s="27" t="s">
        <v>22</v>
      </c>
      <c r="L86" s="27" t="s">
        <v>52</v>
      </c>
      <c r="M86" s="36"/>
      <c r="N86" s="36"/>
    </row>
    <row r="87" spans="1:14" ht="21.95" customHeight="1">
      <c r="A87" s="41">
        <v>88</v>
      </c>
      <c r="B87" s="41" t="s">
        <v>236</v>
      </c>
      <c r="C87" s="42" t="s">
        <v>14</v>
      </c>
      <c r="D87" s="42"/>
      <c r="E87" s="42" t="s">
        <v>171</v>
      </c>
      <c r="F87" s="42"/>
      <c r="G87" s="42"/>
      <c r="H87" s="42"/>
      <c r="I87" s="42" t="s">
        <v>16</v>
      </c>
      <c r="J87" s="42">
        <v>1</v>
      </c>
      <c r="K87" s="42" t="s">
        <v>17</v>
      </c>
      <c r="L87" s="42"/>
      <c r="M87" s="42" t="s">
        <v>18</v>
      </c>
      <c r="N87" s="42"/>
    </row>
    <row r="88" spans="1:14" ht="21.95" customHeight="1">
      <c r="A88" s="39">
        <v>89</v>
      </c>
      <c r="B88" s="39" t="s">
        <v>236</v>
      </c>
      <c r="C88" s="40" t="s">
        <v>19</v>
      </c>
      <c r="D88" s="40" t="s">
        <v>412</v>
      </c>
      <c r="E88" s="40" t="s">
        <v>413</v>
      </c>
      <c r="F88" s="40">
        <v>20040</v>
      </c>
      <c r="G88" s="40">
        <f t="shared" ref="G88:G90" si="46">0.6*F88</f>
        <v>12024</v>
      </c>
      <c r="H88" s="40">
        <f t="shared" ref="H88:H92" si="47">G88*J88</f>
        <v>12024</v>
      </c>
      <c r="I88" s="40" t="s">
        <v>411</v>
      </c>
      <c r="J88" s="40">
        <v>1</v>
      </c>
      <c r="K88" s="40" t="s">
        <v>22</v>
      </c>
      <c r="L88" s="40" t="s">
        <v>194</v>
      </c>
      <c r="M88" s="40" t="s">
        <v>124</v>
      </c>
      <c r="N88" s="34"/>
    </row>
    <row r="89" spans="1:14" ht="21.95" customHeight="1">
      <c r="A89" s="35">
        <v>90</v>
      </c>
      <c r="B89" s="35" t="s">
        <v>236</v>
      </c>
      <c r="C89" s="36" t="s">
        <v>125</v>
      </c>
      <c r="D89" s="36" t="s">
        <v>340</v>
      </c>
      <c r="E89" s="36" t="s">
        <v>341</v>
      </c>
      <c r="F89" s="36">
        <v>4217</v>
      </c>
      <c r="G89" s="36">
        <f t="shared" si="46"/>
        <v>2530.1999999999998</v>
      </c>
      <c r="H89" s="36">
        <f t="shared" si="47"/>
        <v>2530.1999999999998</v>
      </c>
      <c r="I89" s="36" t="s">
        <v>27</v>
      </c>
      <c r="J89" s="36">
        <v>1</v>
      </c>
      <c r="K89" s="36" t="s">
        <v>22</v>
      </c>
      <c r="L89" s="36" t="s">
        <v>195</v>
      </c>
      <c r="M89" s="36" t="s">
        <v>150</v>
      </c>
      <c r="N89" s="36" t="s">
        <v>151</v>
      </c>
    </row>
    <row r="90" spans="1:14" ht="21.95" customHeight="1">
      <c r="A90" s="35">
        <v>91</v>
      </c>
      <c r="B90" s="35" t="s">
        <v>236</v>
      </c>
      <c r="C90" s="36" t="s">
        <v>164</v>
      </c>
      <c r="D90" s="36" t="s">
        <v>349</v>
      </c>
      <c r="E90" s="36" t="s">
        <v>350</v>
      </c>
      <c r="F90" s="36">
        <v>5104</v>
      </c>
      <c r="G90" s="36">
        <f t="shared" si="46"/>
        <v>3062.4</v>
      </c>
      <c r="H90" s="36">
        <f t="shared" si="47"/>
        <v>52060.800000000003</v>
      </c>
      <c r="I90" s="36" t="s">
        <v>27</v>
      </c>
      <c r="J90" s="36">
        <v>17</v>
      </c>
      <c r="K90" s="36" t="s">
        <v>22</v>
      </c>
      <c r="L90" s="36" t="s">
        <v>196</v>
      </c>
      <c r="M90" s="36" t="s">
        <v>167</v>
      </c>
      <c r="N90" s="36" t="s">
        <v>168</v>
      </c>
    </row>
    <row r="91" spans="1:14" ht="21.95" customHeight="1">
      <c r="A91" s="35">
        <v>92</v>
      </c>
      <c r="B91" s="35" t="s">
        <v>236</v>
      </c>
      <c r="C91" s="36" t="s">
        <v>48</v>
      </c>
      <c r="D91" s="36"/>
      <c r="E91" s="36" t="s">
        <v>49</v>
      </c>
      <c r="F91" s="36">
        <f ca="1">OFFSET(F91,1,2)</f>
        <v>15000</v>
      </c>
      <c r="G91" s="36">
        <f ca="1">F91</f>
        <v>15000</v>
      </c>
      <c r="H91" s="36">
        <f t="shared" ca="1" si="47"/>
        <v>15000</v>
      </c>
      <c r="I91" s="36" t="s">
        <v>403</v>
      </c>
      <c r="J91" s="36">
        <v>1</v>
      </c>
      <c r="K91" s="27" t="s">
        <v>22</v>
      </c>
      <c r="L91" s="27" t="s">
        <v>48</v>
      </c>
      <c r="M91" s="36" t="s">
        <v>51</v>
      </c>
      <c r="N91" s="36"/>
    </row>
    <row r="92" spans="1:14" ht="21.95" customHeight="1">
      <c r="A92" s="35">
        <v>93</v>
      </c>
      <c r="B92" s="35" t="s">
        <v>236</v>
      </c>
      <c r="C92" s="36" t="s">
        <v>52</v>
      </c>
      <c r="D92" s="36"/>
      <c r="E92" s="36" t="s">
        <v>53</v>
      </c>
      <c r="F92" s="36">
        <v>2.5</v>
      </c>
      <c r="G92" s="36">
        <v>100</v>
      </c>
      <c r="H92" s="36">
        <f t="shared" si="47"/>
        <v>15000</v>
      </c>
      <c r="I92" s="36" t="s">
        <v>16</v>
      </c>
      <c r="J92" s="36">
        <f>60*F92</f>
        <v>150</v>
      </c>
      <c r="K92" s="27" t="s">
        <v>22</v>
      </c>
      <c r="L92" s="27" t="s">
        <v>52</v>
      </c>
      <c r="M92" s="36"/>
      <c r="N92" s="36"/>
    </row>
    <row r="93" spans="1:14" ht="21.95" customHeight="1">
      <c r="A93" s="41">
        <v>94</v>
      </c>
      <c r="B93" s="41" t="s">
        <v>237</v>
      </c>
      <c r="C93" s="42" t="s">
        <v>14</v>
      </c>
      <c r="D93" s="42"/>
      <c r="E93" s="42" t="s">
        <v>171</v>
      </c>
      <c r="F93" s="42"/>
      <c r="G93" s="42"/>
      <c r="H93" s="42"/>
      <c r="I93" s="42" t="s">
        <v>16</v>
      </c>
      <c r="J93" s="42">
        <v>1</v>
      </c>
      <c r="K93" s="42" t="s">
        <v>17</v>
      </c>
      <c r="L93" s="42"/>
      <c r="M93" s="42" t="s">
        <v>18</v>
      </c>
      <c r="N93" s="42"/>
    </row>
    <row r="94" spans="1:14" ht="21.95" customHeight="1">
      <c r="A94" s="39">
        <v>95</v>
      </c>
      <c r="B94" s="39" t="s">
        <v>237</v>
      </c>
      <c r="C94" s="40" t="s">
        <v>19</v>
      </c>
      <c r="D94" s="40" t="s">
        <v>412</v>
      </c>
      <c r="E94" s="40" t="s">
        <v>413</v>
      </c>
      <c r="F94" s="40">
        <v>20040</v>
      </c>
      <c r="G94" s="40">
        <f t="shared" ref="G94:G96" si="48">0.6*F94</f>
        <v>12024</v>
      </c>
      <c r="H94" s="40">
        <f t="shared" ref="H94:H98" si="49">G94*J94</f>
        <v>12024</v>
      </c>
      <c r="I94" s="40" t="s">
        <v>411</v>
      </c>
      <c r="J94" s="40">
        <v>1</v>
      </c>
      <c r="K94" s="40" t="s">
        <v>22</v>
      </c>
      <c r="L94" s="40" t="s">
        <v>199</v>
      </c>
      <c r="M94" s="40" t="s">
        <v>124</v>
      </c>
      <c r="N94" s="34"/>
    </row>
    <row r="95" spans="1:14" ht="21.95" customHeight="1">
      <c r="A95" s="35">
        <v>96</v>
      </c>
      <c r="B95" s="35" t="s">
        <v>237</v>
      </c>
      <c r="C95" s="36" t="s">
        <v>125</v>
      </c>
      <c r="D95" s="36" t="s">
        <v>340</v>
      </c>
      <c r="E95" s="36" t="s">
        <v>341</v>
      </c>
      <c r="F95" s="36">
        <v>4217</v>
      </c>
      <c r="G95" s="36">
        <f t="shared" si="48"/>
        <v>2530.1999999999998</v>
      </c>
      <c r="H95" s="36">
        <f t="shared" si="49"/>
        <v>2530.1999999999998</v>
      </c>
      <c r="I95" s="36" t="s">
        <v>27</v>
      </c>
      <c r="J95" s="36">
        <v>1</v>
      </c>
      <c r="K95" s="36" t="s">
        <v>22</v>
      </c>
      <c r="L95" s="36" t="s">
        <v>201</v>
      </c>
      <c r="M95" s="36" t="s">
        <v>150</v>
      </c>
      <c r="N95" s="36" t="s">
        <v>151</v>
      </c>
    </row>
    <row r="96" spans="1:14" ht="21.95" customHeight="1">
      <c r="A96" s="35">
        <v>97</v>
      </c>
      <c r="B96" s="35" t="s">
        <v>237</v>
      </c>
      <c r="C96" s="36" t="s">
        <v>164</v>
      </c>
      <c r="D96" s="36" t="s">
        <v>349</v>
      </c>
      <c r="E96" s="36" t="s">
        <v>350</v>
      </c>
      <c r="F96" s="36">
        <v>5104</v>
      </c>
      <c r="G96" s="36">
        <f t="shared" si="48"/>
        <v>3062.4</v>
      </c>
      <c r="H96" s="36">
        <f t="shared" si="49"/>
        <v>48998.400000000001</v>
      </c>
      <c r="I96" s="36" t="s">
        <v>27</v>
      </c>
      <c r="J96" s="36">
        <v>16</v>
      </c>
      <c r="K96" s="36" t="s">
        <v>22</v>
      </c>
      <c r="L96" s="36" t="s">
        <v>202</v>
      </c>
      <c r="M96" s="36" t="s">
        <v>167</v>
      </c>
      <c r="N96" s="36" t="s">
        <v>168</v>
      </c>
    </row>
    <row r="97" spans="1:14" ht="21.95" customHeight="1">
      <c r="A97" s="35">
        <v>98</v>
      </c>
      <c r="B97" s="35" t="s">
        <v>237</v>
      </c>
      <c r="C97" s="36" t="s">
        <v>48</v>
      </c>
      <c r="D97" s="36"/>
      <c r="E97" s="36" t="s">
        <v>49</v>
      </c>
      <c r="F97" s="36">
        <f ca="1">OFFSET(F97,1,2)</f>
        <v>15000</v>
      </c>
      <c r="G97" s="36">
        <f ca="1">F97</f>
        <v>15000</v>
      </c>
      <c r="H97" s="36">
        <f t="shared" ca="1" si="49"/>
        <v>15000</v>
      </c>
      <c r="I97" s="36" t="s">
        <v>403</v>
      </c>
      <c r="J97" s="36">
        <v>1</v>
      </c>
      <c r="K97" s="27" t="s">
        <v>22</v>
      </c>
      <c r="L97" s="27" t="s">
        <v>48</v>
      </c>
      <c r="M97" s="36" t="s">
        <v>51</v>
      </c>
      <c r="N97" s="36"/>
    </row>
    <row r="98" spans="1:14" ht="21.95" customHeight="1">
      <c r="A98" s="35">
        <v>99</v>
      </c>
      <c r="B98" s="35" t="s">
        <v>237</v>
      </c>
      <c r="C98" s="36" t="s">
        <v>52</v>
      </c>
      <c r="D98" s="36"/>
      <c r="E98" s="36" t="s">
        <v>53</v>
      </c>
      <c r="F98" s="36">
        <v>2.5</v>
      </c>
      <c r="G98" s="36">
        <v>100</v>
      </c>
      <c r="H98" s="36">
        <f t="shared" si="49"/>
        <v>15000</v>
      </c>
      <c r="I98" s="36" t="s">
        <v>16</v>
      </c>
      <c r="J98" s="36">
        <f>60*F98</f>
        <v>150</v>
      </c>
      <c r="K98" s="27" t="s">
        <v>22</v>
      </c>
      <c r="L98" s="27" t="s">
        <v>52</v>
      </c>
      <c r="M98" s="36"/>
      <c r="N98" s="36"/>
    </row>
    <row r="99" spans="1:14" ht="21.95" customHeight="1">
      <c r="A99" s="41">
        <v>100</v>
      </c>
      <c r="B99" s="41" t="s">
        <v>238</v>
      </c>
      <c r="C99" s="42" t="s">
        <v>14</v>
      </c>
      <c r="D99" s="42"/>
      <c r="E99" s="42" t="s">
        <v>139</v>
      </c>
      <c r="F99" s="42"/>
      <c r="G99" s="42"/>
      <c r="H99" s="42"/>
      <c r="I99" s="42" t="s">
        <v>16</v>
      </c>
      <c r="J99" s="42">
        <v>1</v>
      </c>
      <c r="K99" s="42" t="s">
        <v>17</v>
      </c>
      <c r="L99" s="42"/>
      <c r="M99" s="42" t="s">
        <v>18</v>
      </c>
      <c r="N99" s="42"/>
    </row>
    <row r="100" spans="1:14" ht="21.95" customHeight="1">
      <c r="A100" s="39">
        <v>101</v>
      </c>
      <c r="B100" s="39" t="s">
        <v>238</v>
      </c>
      <c r="C100" s="40" t="s">
        <v>19</v>
      </c>
      <c r="D100" s="40" t="s">
        <v>355</v>
      </c>
      <c r="E100" s="40" t="s">
        <v>356</v>
      </c>
      <c r="F100" s="40">
        <v>10270</v>
      </c>
      <c r="G100" s="40">
        <f t="shared" ref="G100" si="50">0.6*F100</f>
        <v>6162</v>
      </c>
      <c r="H100" s="40">
        <f t="shared" ref="H100" si="51">G100*J100</f>
        <v>6162</v>
      </c>
      <c r="I100" s="40" t="s">
        <v>411</v>
      </c>
      <c r="J100" s="40">
        <v>1</v>
      </c>
      <c r="K100" s="40" t="s">
        <v>22</v>
      </c>
      <c r="L100" s="40" t="s">
        <v>204</v>
      </c>
      <c r="M100" s="40" t="s">
        <v>124</v>
      </c>
      <c r="N100" s="34"/>
    </row>
    <row r="101" spans="1:14" ht="21.95" customHeight="1">
      <c r="A101" s="35">
        <v>102</v>
      </c>
      <c r="B101" s="35" t="s">
        <v>238</v>
      </c>
      <c r="C101" s="36" t="s">
        <v>125</v>
      </c>
      <c r="D101" s="36" t="s">
        <v>338</v>
      </c>
      <c r="E101" s="36" t="s">
        <v>339</v>
      </c>
      <c r="F101" s="36">
        <v>3372</v>
      </c>
      <c r="G101" s="36">
        <f t="shared" ref="G101:G102" si="52">0.6*F101</f>
        <v>2023.1999999999998</v>
      </c>
      <c r="H101" s="36">
        <f t="shared" ref="H101:H103" si="53">G101*J101</f>
        <v>2023.1999999999998</v>
      </c>
      <c r="I101" s="36" t="s">
        <v>27</v>
      </c>
      <c r="J101" s="36">
        <v>1</v>
      </c>
      <c r="K101" s="36" t="s">
        <v>22</v>
      </c>
      <c r="L101" s="36" t="s">
        <v>206</v>
      </c>
      <c r="M101" s="36" t="s">
        <v>150</v>
      </c>
      <c r="N101" s="36" t="s">
        <v>151</v>
      </c>
    </row>
    <row r="102" spans="1:14" ht="21.95" customHeight="1">
      <c r="A102" s="35">
        <v>103</v>
      </c>
      <c r="B102" s="35" t="s">
        <v>238</v>
      </c>
      <c r="C102" s="36" t="s">
        <v>164</v>
      </c>
      <c r="D102" s="36" t="s">
        <v>349</v>
      </c>
      <c r="E102" s="36" t="s">
        <v>350</v>
      </c>
      <c r="F102" s="36">
        <v>5104</v>
      </c>
      <c r="G102" s="36">
        <f t="shared" si="52"/>
        <v>3062.4</v>
      </c>
      <c r="H102" s="36">
        <f t="shared" si="53"/>
        <v>9187.2000000000007</v>
      </c>
      <c r="I102" s="36" t="s">
        <v>27</v>
      </c>
      <c r="J102" s="36">
        <v>3</v>
      </c>
      <c r="K102" s="36" t="s">
        <v>22</v>
      </c>
      <c r="L102" s="36" t="s">
        <v>207</v>
      </c>
      <c r="M102" s="36" t="s">
        <v>167</v>
      </c>
      <c r="N102" s="36" t="s">
        <v>168</v>
      </c>
    </row>
    <row r="103" spans="1:14" ht="21.95" customHeight="1">
      <c r="A103" s="35">
        <v>104</v>
      </c>
      <c r="B103" s="35" t="s">
        <v>238</v>
      </c>
      <c r="C103" s="36" t="s">
        <v>132</v>
      </c>
      <c r="D103" s="36" t="s">
        <v>134</v>
      </c>
      <c r="E103" s="36" t="s">
        <v>351</v>
      </c>
      <c r="F103" s="36">
        <v>13622</v>
      </c>
      <c r="G103" s="36">
        <f t="shared" ref="G103" si="54">0.6*F103</f>
        <v>8173.2</v>
      </c>
      <c r="H103" s="36">
        <f t="shared" si="53"/>
        <v>8173.2</v>
      </c>
      <c r="I103" s="36" t="s">
        <v>27</v>
      </c>
      <c r="J103" s="36">
        <v>1</v>
      </c>
      <c r="K103" s="36" t="s">
        <v>22</v>
      </c>
      <c r="L103" s="36" t="s">
        <v>209</v>
      </c>
      <c r="M103" s="36" t="s">
        <v>136</v>
      </c>
      <c r="N103" s="36" t="s">
        <v>85</v>
      </c>
    </row>
    <row r="104" spans="1:14" ht="21.95" customHeight="1">
      <c r="A104" s="35">
        <v>105</v>
      </c>
      <c r="B104" s="35" t="s">
        <v>238</v>
      </c>
      <c r="C104" s="36" t="s">
        <v>48</v>
      </c>
      <c r="D104" s="36"/>
      <c r="E104" s="36" t="s">
        <v>49</v>
      </c>
      <c r="F104" s="36">
        <f ca="1">OFFSET(F104,1,2)</f>
        <v>3000</v>
      </c>
      <c r="G104" s="36">
        <f ca="1">F104</f>
        <v>3000</v>
      </c>
      <c r="H104" s="36">
        <f t="shared" ref="H104:H105" ca="1" si="55">G104*J104</f>
        <v>3000</v>
      </c>
      <c r="I104" s="36" t="s">
        <v>403</v>
      </c>
      <c r="J104" s="36">
        <v>1</v>
      </c>
      <c r="K104" s="27" t="s">
        <v>22</v>
      </c>
      <c r="L104" s="27" t="s">
        <v>48</v>
      </c>
      <c r="M104" s="36" t="s">
        <v>51</v>
      </c>
      <c r="N104" s="36"/>
    </row>
    <row r="105" spans="1:14" ht="21.95" customHeight="1">
      <c r="A105" s="35">
        <v>106</v>
      </c>
      <c r="B105" s="35" t="s">
        <v>238</v>
      </c>
      <c r="C105" s="36" t="s">
        <v>52</v>
      </c>
      <c r="D105" s="36"/>
      <c r="E105" s="36" t="s">
        <v>53</v>
      </c>
      <c r="F105" s="36">
        <v>0.5</v>
      </c>
      <c r="G105" s="36">
        <v>100</v>
      </c>
      <c r="H105" s="36">
        <f t="shared" si="55"/>
        <v>3000</v>
      </c>
      <c r="I105" s="36" t="s">
        <v>16</v>
      </c>
      <c r="J105" s="36">
        <f>60*F105</f>
        <v>30</v>
      </c>
      <c r="K105" s="27" t="s">
        <v>22</v>
      </c>
      <c r="L105" s="27" t="s">
        <v>52</v>
      </c>
      <c r="M105" s="36"/>
      <c r="N105" s="36"/>
    </row>
  </sheetData>
  <autoFilter ref="A4:N105" xr:uid="{00000000-0001-0000-0100-000000000000}"/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workbookViewId="0">
      <selection sqref="A1:J1"/>
    </sheetView>
  </sheetViews>
  <sheetFormatPr defaultRowHeight="14.25"/>
  <cols>
    <col min="1" max="1" width="6" customWidth="1"/>
    <col min="2" max="2" width="24" customWidth="1"/>
    <col min="3" max="3" width="48" customWidth="1"/>
    <col min="4" max="5" width="15" customWidth="1"/>
    <col min="6" max="8" width="13" customWidth="1"/>
    <col min="9" max="9" width="10" customWidth="1"/>
    <col min="10" max="10" width="55" customWidth="1"/>
  </cols>
  <sheetData>
    <row r="1" spans="1:10" ht="20.25">
      <c r="A1" s="30" t="s">
        <v>241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15.75">
      <c r="A3" s="2" t="s">
        <v>2</v>
      </c>
      <c r="B3" s="3" t="s">
        <v>4</v>
      </c>
      <c r="C3" s="3" t="s">
        <v>242</v>
      </c>
      <c r="D3" s="3" t="s">
        <v>6</v>
      </c>
      <c r="E3" s="3" t="s">
        <v>243</v>
      </c>
      <c r="F3" s="3" t="s">
        <v>244</v>
      </c>
      <c r="G3" s="3" t="s">
        <v>245</v>
      </c>
      <c r="H3" s="3" t="s">
        <v>246</v>
      </c>
      <c r="I3" s="3" t="s">
        <v>9</v>
      </c>
      <c r="J3" s="4" t="s">
        <v>12</v>
      </c>
    </row>
    <row r="4" spans="1:10">
      <c r="A4" s="5">
        <v>1</v>
      </c>
      <c r="B4" s="6" t="s">
        <v>19</v>
      </c>
      <c r="C4" s="6" t="s">
        <v>20</v>
      </c>
      <c r="D4" s="6" t="s">
        <v>21</v>
      </c>
      <c r="E4" s="6"/>
      <c r="F4" s="11">
        <v>1</v>
      </c>
      <c r="G4" s="11">
        <v>1</v>
      </c>
      <c r="H4" s="11">
        <f t="shared" ref="H4:H48" si="0">F4+G4</f>
        <v>2</v>
      </c>
      <c r="I4" s="6" t="s">
        <v>22</v>
      </c>
      <c r="J4" s="7"/>
    </row>
    <row r="5" spans="1:10" ht="28.5">
      <c r="A5" s="5">
        <v>2</v>
      </c>
      <c r="B5" s="6" t="s">
        <v>25</v>
      </c>
      <c r="C5" s="6" t="s">
        <v>26</v>
      </c>
      <c r="D5" s="6" t="s">
        <v>27</v>
      </c>
      <c r="E5" s="6" t="s">
        <v>28</v>
      </c>
      <c r="F5" s="11">
        <v>6</v>
      </c>
      <c r="G5" s="11">
        <v>4</v>
      </c>
      <c r="H5" s="11">
        <f t="shared" si="0"/>
        <v>10</v>
      </c>
      <c r="I5" s="6" t="s">
        <v>22</v>
      </c>
      <c r="J5" s="7" t="s">
        <v>31</v>
      </c>
    </row>
    <row r="6" spans="1:10" ht="28.5">
      <c r="A6" s="5">
        <v>3</v>
      </c>
      <c r="B6" s="6" t="s">
        <v>32</v>
      </c>
      <c r="C6" s="6" t="s">
        <v>33</v>
      </c>
      <c r="D6" s="6" t="s">
        <v>27</v>
      </c>
      <c r="E6" s="6" t="s">
        <v>34</v>
      </c>
      <c r="F6" s="11">
        <v>2</v>
      </c>
      <c r="G6" s="11">
        <v>2</v>
      </c>
      <c r="H6" s="11">
        <f t="shared" si="0"/>
        <v>4</v>
      </c>
      <c r="I6" s="6" t="s">
        <v>22</v>
      </c>
      <c r="J6" s="7" t="s">
        <v>37</v>
      </c>
    </row>
    <row r="7" spans="1:10">
      <c r="A7" s="5">
        <v>4</v>
      </c>
      <c r="B7" s="6" t="s">
        <v>38</v>
      </c>
      <c r="C7" s="6" t="s">
        <v>39</v>
      </c>
      <c r="D7" s="6" t="s">
        <v>40</v>
      </c>
      <c r="E7" s="6"/>
      <c r="F7" s="11">
        <v>4</v>
      </c>
      <c r="G7" s="11">
        <v>4</v>
      </c>
      <c r="H7" s="11">
        <f t="shared" si="0"/>
        <v>8</v>
      </c>
      <c r="I7" s="6" t="s">
        <v>22</v>
      </c>
      <c r="J7" s="7"/>
    </row>
    <row r="8" spans="1:10" ht="28.5">
      <c r="A8" s="5">
        <v>5</v>
      </c>
      <c r="B8" s="6" t="s">
        <v>43</v>
      </c>
      <c r="C8" s="6" t="s">
        <v>44</v>
      </c>
      <c r="D8" s="6" t="s">
        <v>27</v>
      </c>
      <c r="E8" s="6"/>
      <c r="F8" s="11">
        <v>12</v>
      </c>
      <c r="G8" s="11">
        <v>6</v>
      </c>
      <c r="H8" s="11">
        <f t="shared" si="0"/>
        <v>18</v>
      </c>
      <c r="I8" s="6" t="s">
        <v>22</v>
      </c>
      <c r="J8" s="7" t="s">
        <v>47</v>
      </c>
    </row>
    <row r="9" spans="1:10" ht="28.5">
      <c r="A9" s="5">
        <v>6</v>
      </c>
      <c r="B9" s="6" t="s">
        <v>48</v>
      </c>
      <c r="C9" s="6" t="s">
        <v>49</v>
      </c>
      <c r="D9" s="6" t="s">
        <v>50</v>
      </c>
      <c r="E9" s="6"/>
      <c r="F9" s="11">
        <v>16</v>
      </c>
      <c r="G9" s="11">
        <v>14</v>
      </c>
      <c r="H9" s="11">
        <f t="shared" si="0"/>
        <v>30</v>
      </c>
      <c r="I9" s="6" t="s">
        <v>17</v>
      </c>
      <c r="J9" s="7"/>
    </row>
    <row r="10" spans="1:10">
      <c r="A10" s="5">
        <v>7</v>
      </c>
      <c r="B10" s="6" t="s">
        <v>19</v>
      </c>
      <c r="C10" s="6" t="s">
        <v>56</v>
      </c>
      <c r="D10" s="6" t="s">
        <v>21</v>
      </c>
      <c r="E10" s="6"/>
      <c r="F10" s="11">
        <v>1</v>
      </c>
      <c r="G10" s="11">
        <v>1</v>
      </c>
      <c r="H10" s="11">
        <f t="shared" si="0"/>
        <v>2</v>
      </c>
      <c r="I10" s="6" t="s">
        <v>22</v>
      </c>
      <c r="J10" s="7"/>
    </row>
    <row r="11" spans="1:10" ht="28.5">
      <c r="A11" s="5">
        <v>8</v>
      </c>
      <c r="B11" s="6" t="s">
        <v>59</v>
      </c>
      <c r="C11" s="6" t="s">
        <v>60</v>
      </c>
      <c r="D11" s="6" t="s">
        <v>27</v>
      </c>
      <c r="E11" s="6"/>
      <c r="F11" s="11">
        <v>2</v>
      </c>
      <c r="G11" s="11">
        <v>4</v>
      </c>
      <c r="H11" s="11">
        <f t="shared" si="0"/>
        <v>6</v>
      </c>
      <c r="I11" s="6" t="s">
        <v>22</v>
      </c>
      <c r="J11" s="7" t="s">
        <v>63</v>
      </c>
    </row>
    <row r="12" spans="1:10" ht="28.5">
      <c r="A12" s="5">
        <v>9</v>
      </c>
      <c r="B12" s="6" t="s">
        <v>59</v>
      </c>
      <c r="C12" s="6" t="s">
        <v>64</v>
      </c>
      <c r="D12" s="6" t="s">
        <v>27</v>
      </c>
      <c r="E12" s="6"/>
      <c r="F12" s="11">
        <v>7</v>
      </c>
      <c r="G12" s="11">
        <v>7</v>
      </c>
      <c r="H12" s="11">
        <f t="shared" si="0"/>
        <v>14</v>
      </c>
      <c r="I12" s="6" t="s">
        <v>22</v>
      </c>
      <c r="J12" s="7" t="s">
        <v>63</v>
      </c>
    </row>
    <row r="13" spans="1:10" ht="28.5">
      <c r="A13" s="5">
        <v>10</v>
      </c>
      <c r="B13" s="6" t="s">
        <v>59</v>
      </c>
      <c r="C13" s="6" t="s">
        <v>66</v>
      </c>
      <c r="D13" s="6" t="s">
        <v>27</v>
      </c>
      <c r="E13" s="6"/>
      <c r="F13" s="11">
        <v>3</v>
      </c>
      <c r="G13" s="11">
        <v>0</v>
      </c>
      <c r="H13" s="11">
        <f t="shared" si="0"/>
        <v>3</v>
      </c>
      <c r="I13" s="6" t="s">
        <v>22</v>
      </c>
      <c r="J13" s="7" t="s">
        <v>63</v>
      </c>
    </row>
    <row r="14" spans="1:10" ht="28.5">
      <c r="A14" s="5">
        <v>11</v>
      </c>
      <c r="B14" s="6" t="s">
        <v>25</v>
      </c>
      <c r="C14" s="6" t="s">
        <v>68</v>
      </c>
      <c r="D14" s="6" t="s">
        <v>27</v>
      </c>
      <c r="E14" s="6" t="s">
        <v>69</v>
      </c>
      <c r="F14" s="11">
        <v>1</v>
      </c>
      <c r="G14" s="11">
        <v>1</v>
      </c>
      <c r="H14" s="11">
        <f t="shared" si="0"/>
        <v>2</v>
      </c>
      <c r="I14" s="6" t="s">
        <v>22</v>
      </c>
      <c r="J14" s="7" t="s">
        <v>31</v>
      </c>
    </row>
    <row r="15" spans="1:10" ht="28.5">
      <c r="A15" s="5">
        <v>12</v>
      </c>
      <c r="B15" s="6" t="s">
        <v>25</v>
      </c>
      <c r="C15" s="6" t="s">
        <v>71</v>
      </c>
      <c r="D15" s="6" t="s">
        <v>27</v>
      </c>
      <c r="E15" s="6" t="s">
        <v>72</v>
      </c>
      <c r="F15" s="11">
        <v>1</v>
      </c>
      <c r="G15" s="11">
        <v>3</v>
      </c>
      <c r="H15" s="11">
        <f t="shared" si="0"/>
        <v>4</v>
      </c>
      <c r="I15" s="6" t="s">
        <v>22</v>
      </c>
      <c r="J15" s="7" t="s">
        <v>31</v>
      </c>
    </row>
    <row r="16" spans="1:10">
      <c r="A16" s="5">
        <v>13</v>
      </c>
      <c r="B16" s="6" t="s">
        <v>19</v>
      </c>
      <c r="C16" s="6" t="s">
        <v>76</v>
      </c>
      <c r="D16" s="6" t="s">
        <v>21</v>
      </c>
      <c r="E16" s="6"/>
      <c r="F16" s="11">
        <v>1</v>
      </c>
      <c r="G16" s="11">
        <v>1</v>
      </c>
      <c r="H16" s="11">
        <f t="shared" si="0"/>
        <v>2</v>
      </c>
      <c r="I16" s="6" t="s">
        <v>22</v>
      </c>
      <c r="J16" s="7"/>
    </row>
    <row r="17" spans="1:10" ht="42.75">
      <c r="A17" s="5">
        <v>14</v>
      </c>
      <c r="B17" s="6" t="s">
        <v>80</v>
      </c>
      <c r="C17" s="6" t="s">
        <v>81</v>
      </c>
      <c r="D17" s="6" t="s">
        <v>27</v>
      </c>
      <c r="E17" s="6" t="s">
        <v>82</v>
      </c>
      <c r="F17" s="11">
        <v>2</v>
      </c>
      <c r="G17" s="11">
        <v>0</v>
      </c>
      <c r="H17" s="11">
        <f t="shared" si="0"/>
        <v>2</v>
      </c>
      <c r="I17" s="6" t="s">
        <v>17</v>
      </c>
      <c r="J17" s="7" t="s">
        <v>85</v>
      </c>
    </row>
    <row r="18" spans="1:10" ht="28.5">
      <c r="A18" s="5">
        <v>15</v>
      </c>
      <c r="B18" s="6" t="s">
        <v>88</v>
      </c>
      <c r="C18" s="6" t="s">
        <v>89</v>
      </c>
      <c r="D18" s="6" t="s">
        <v>21</v>
      </c>
      <c r="E18" s="6"/>
      <c r="F18" s="11">
        <v>1</v>
      </c>
      <c r="G18" s="11">
        <v>1</v>
      </c>
      <c r="H18" s="11">
        <f t="shared" si="0"/>
        <v>2</v>
      </c>
      <c r="I18" s="6" t="s">
        <v>22</v>
      </c>
      <c r="J18" s="7"/>
    </row>
    <row r="19" spans="1:10" ht="42.75">
      <c r="A19" s="5">
        <v>16</v>
      </c>
      <c r="B19" s="6" t="s">
        <v>92</v>
      </c>
      <c r="C19" s="6" t="s">
        <v>93</v>
      </c>
      <c r="D19" s="6" t="s">
        <v>27</v>
      </c>
      <c r="E19" s="6" t="s">
        <v>82</v>
      </c>
      <c r="F19" s="11">
        <v>2</v>
      </c>
      <c r="G19" s="11">
        <v>2</v>
      </c>
      <c r="H19" s="11">
        <f t="shared" si="0"/>
        <v>4</v>
      </c>
      <c r="I19" s="6" t="s">
        <v>22</v>
      </c>
      <c r="J19" s="7" t="s">
        <v>85</v>
      </c>
    </row>
    <row r="20" spans="1:10" ht="42.75">
      <c r="A20" s="5">
        <v>17</v>
      </c>
      <c r="B20" s="6" t="s">
        <v>95</v>
      </c>
      <c r="C20" s="6" t="s">
        <v>96</v>
      </c>
      <c r="D20" s="6" t="s">
        <v>27</v>
      </c>
      <c r="E20" s="6" t="s">
        <v>97</v>
      </c>
      <c r="F20" s="11">
        <v>2</v>
      </c>
      <c r="G20" s="11">
        <v>2</v>
      </c>
      <c r="H20" s="11">
        <f t="shared" si="0"/>
        <v>4</v>
      </c>
      <c r="I20" s="6" t="s">
        <v>22</v>
      </c>
      <c r="J20" s="7" t="s">
        <v>99</v>
      </c>
    </row>
    <row r="21" spans="1:10">
      <c r="A21" s="5">
        <v>18</v>
      </c>
      <c r="B21" s="6" t="s">
        <v>100</v>
      </c>
      <c r="C21" s="6" t="s">
        <v>101</v>
      </c>
      <c r="D21" s="6" t="s">
        <v>27</v>
      </c>
      <c r="E21" s="6"/>
      <c r="F21" s="11">
        <v>2</v>
      </c>
      <c r="G21" s="11">
        <v>2</v>
      </c>
      <c r="H21" s="11">
        <f t="shared" si="0"/>
        <v>4</v>
      </c>
      <c r="I21" s="6" t="s">
        <v>22</v>
      </c>
      <c r="J21" s="7"/>
    </row>
    <row r="22" spans="1:10" ht="28.5">
      <c r="A22" s="5">
        <v>19</v>
      </c>
      <c r="B22" s="6" t="s">
        <v>59</v>
      </c>
      <c r="C22" s="6" t="s">
        <v>103</v>
      </c>
      <c r="D22" s="6" t="s">
        <v>27</v>
      </c>
      <c r="E22" s="6"/>
      <c r="F22" s="11">
        <v>2</v>
      </c>
      <c r="G22" s="11">
        <v>2</v>
      </c>
      <c r="H22" s="11">
        <f t="shared" si="0"/>
        <v>4</v>
      </c>
      <c r="I22" s="6" t="s">
        <v>22</v>
      </c>
      <c r="J22" s="7" t="s">
        <v>63</v>
      </c>
    </row>
    <row r="23" spans="1:10">
      <c r="A23" s="5">
        <v>20</v>
      </c>
      <c r="B23" s="6" t="s">
        <v>105</v>
      </c>
      <c r="C23" s="6" t="s">
        <v>106</v>
      </c>
      <c r="D23" s="6" t="s">
        <v>16</v>
      </c>
      <c r="E23" s="6"/>
      <c r="F23" s="11">
        <v>1</v>
      </c>
      <c r="G23" s="11">
        <v>1</v>
      </c>
      <c r="H23" s="11">
        <f t="shared" si="0"/>
        <v>2</v>
      </c>
      <c r="I23" s="6" t="s">
        <v>17</v>
      </c>
      <c r="J23" s="7"/>
    </row>
    <row r="24" spans="1:10" ht="28.5">
      <c r="A24" s="5">
        <v>21</v>
      </c>
      <c r="B24" s="6" t="s">
        <v>19</v>
      </c>
      <c r="C24" s="6" t="s">
        <v>110</v>
      </c>
      <c r="D24" s="6" t="s">
        <v>21</v>
      </c>
      <c r="E24" s="6"/>
      <c r="F24" s="11">
        <v>1</v>
      </c>
      <c r="G24" s="11">
        <v>1</v>
      </c>
      <c r="H24" s="11">
        <f t="shared" si="0"/>
        <v>2</v>
      </c>
      <c r="I24" s="6" t="s">
        <v>22</v>
      </c>
      <c r="J24" s="7"/>
    </row>
    <row r="25" spans="1:10" ht="28.5">
      <c r="A25" s="5">
        <v>22</v>
      </c>
      <c r="B25" s="6" t="s">
        <v>59</v>
      </c>
      <c r="C25" s="6" t="s">
        <v>113</v>
      </c>
      <c r="D25" s="6" t="s">
        <v>27</v>
      </c>
      <c r="E25" s="6"/>
      <c r="F25" s="11">
        <v>5</v>
      </c>
      <c r="G25" s="11">
        <v>10</v>
      </c>
      <c r="H25" s="11">
        <f t="shared" si="0"/>
        <v>15</v>
      </c>
      <c r="I25" s="6" t="s">
        <v>22</v>
      </c>
      <c r="J25" s="7" t="s">
        <v>63</v>
      </c>
    </row>
    <row r="26" spans="1:10" ht="28.5">
      <c r="A26" s="5">
        <v>23</v>
      </c>
      <c r="B26" s="6" t="s">
        <v>59</v>
      </c>
      <c r="C26" s="6" t="s">
        <v>118</v>
      </c>
      <c r="D26" s="6" t="s">
        <v>27</v>
      </c>
      <c r="E26" s="6"/>
      <c r="F26" s="11">
        <v>1</v>
      </c>
      <c r="G26" s="11">
        <v>1</v>
      </c>
      <c r="H26" s="11">
        <f t="shared" si="0"/>
        <v>2</v>
      </c>
      <c r="I26" s="6" t="s">
        <v>22</v>
      </c>
      <c r="J26" s="7" t="s">
        <v>63</v>
      </c>
    </row>
    <row r="27" spans="1:10" ht="28.5">
      <c r="A27" s="5">
        <v>24</v>
      </c>
      <c r="B27" s="6" t="s">
        <v>19</v>
      </c>
      <c r="C27" s="6" t="s">
        <v>122</v>
      </c>
      <c r="D27" s="6" t="s">
        <v>21</v>
      </c>
      <c r="E27" s="6"/>
      <c r="F27" s="11">
        <v>4</v>
      </c>
      <c r="G27" s="11">
        <v>1</v>
      </c>
      <c r="H27" s="11">
        <f t="shared" si="0"/>
        <v>5</v>
      </c>
      <c r="I27" s="6" t="s">
        <v>22</v>
      </c>
      <c r="J27" s="7"/>
    </row>
    <row r="28" spans="1:10" ht="28.5">
      <c r="A28" s="5">
        <v>25</v>
      </c>
      <c r="B28" s="6" t="s">
        <v>125</v>
      </c>
      <c r="C28" s="6" t="s">
        <v>126</v>
      </c>
      <c r="D28" s="6" t="s">
        <v>27</v>
      </c>
      <c r="E28" s="6" t="s">
        <v>127</v>
      </c>
      <c r="F28" s="11">
        <v>2</v>
      </c>
      <c r="G28" s="11">
        <v>3</v>
      </c>
      <c r="H28" s="11">
        <f t="shared" si="0"/>
        <v>5</v>
      </c>
      <c r="I28" s="6" t="s">
        <v>22</v>
      </c>
      <c r="J28" s="7" t="s">
        <v>37</v>
      </c>
    </row>
    <row r="29" spans="1:10" ht="28.5">
      <c r="A29" s="5">
        <v>26</v>
      </c>
      <c r="B29" s="6" t="s">
        <v>59</v>
      </c>
      <c r="C29" s="6" t="s">
        <v>130</v>
      </c>
      <c r="D29" s="6" t="s">
        <v>27</v>
      </c>
      <c r="E29" s="6"/>
      <c r="F29" s="11">
        <v>16</v>
      </c>
      <c r="G29" s="11">
        <v>43</v>
      </c>
      <c r="H29" s="11">
        <f t="shared" si="0"/>
        <v>59</v>
      </c>
      <c r="I29" s="6" t="s">
        <v>22</v>
      </c>
      <c r="J29" s="7" t="s">
        <v>63</v>
      </c>
    </row>
    <row r="30" spans="1:10" ht="57">
      <c r="A30" s="5">
        <v>27</v>
      </c>
      <c r="B30" s="6" t="s">
        <v>132</v>
      </c>
      <c r="C30" s="6" t="s">
        <v>133</v>
      </c>
      <c r="D30" s="6" t="s">
        <v>27</v>
      </c>
      <c r="E30" s="6" t="s">
        <v>134</v>
      </c>
      <c r="F30" s="11">
        <v>5</v>
      </c>
      <c r="G30" s="11">
        <v>12</v>
      </c>
      <c r="H30" s="11">
        <f t="shared" si="0"/>
        <v>17</v>
      </c>
      <c r="I30" s="6" t="s">
        <v>22</v>
      </c>
      <c r="J30" s="7" t="s">
        <v>137</v>
      </c>
    </row>
    <row r="31" spans="1:10" ht="28.5">
      <c r="A31" s="5">
        <v>28</v>
      </c>
      <c r="B31" s="6" t="s">
        <v>19</v>
      </c>
      <c r="C31" s="6" t="s">
        <v>140</v>
      </c>
      <c r="D31" s="6" t="s">
        <v>21</v>
      </c>
      <c r="E31" s="6"/>
      <c r="F31" s="11">
        <v>3</v>
      </c>
      <c r="G31" s="11">
        <v>2</v>
      </c>
      <c r="H31" s="11">
        <f t="shared" si="0"/>
        <v>5</v>
      </c>
      <c r="I31" s="6" t="s">
        <v>22</v>
      </c>
      <c r="J31" s="7"/>
    </row>
    <row r="32" spans="1:10" ht="28.5">
      <c r="A32" s="5">
        <v>29</v>
      </c>
      <c r="B32" s="6" t="s">
        <v>125</v>
      </c>
      <c r="C32" s="6" t="s">
        <v>148</v>
      </c>
      <c r="D32" s="6" t="s">
        <v>27</v>
      </c>
      <c r="E32" s="6"/>
      <c r="F32" s="11">
        <v>2</v>
      </c>
      <c r="G32" s="11">
        <v>2</v>
      </c>
      <c r="H32" s="11">
        <f t="shared" si="0"/>
        <v>4</v>
      </c>
      <c r="I32" s="6" t="s">
        <v>22</v>
      </c>
      <c r="J32" s="7" t="s">
        <v>151</v>
      </c>
    </row>
    <row r="33" spans="1:10" ht="28.5">
      <c r="A33" s="5">
        <v>30</v>
      </c>
      <c r="B33" s="6" t="s">
        <v>59</v>
      </c>
      <c r="C33" s="6" t="s">
        <v>152</v>
      </c>
      <c r="D33" s="6" t="s">
        <v>27</v>
      </c>
      <c r="E33" s="6"/>
      <c r="F33" s="11">
        <v>35</v>
      </c>
      <c r="G33" s="11">
        <v>10</v>
      </c>
      <c r="H33" s="11">
        <f t="shared" si="0"/>
        <v>45</v>
      </c>
      <c r="I33" s="6" t="s">
        <v>22</v>
      </c>
      <c r="J33" s="7" t="s">
        <v>63</v>
      </c>
    </row>
    <row r="34" spans="1:10" ht="71.25">
      <c r="A34" s="5">
        <v>31</v>
      </c>
      <c r="B34" s="6" t="s">
        <v>155</v>
      </c>
      <c r="C34" s="6" t="s">
        <v>156</v>
      </c>
      <c r="D34" s="6" t="s">
        <v>27</v>
      </c>
      <c r="E34" s="6" t="s">
        <v>157</v>
      </c>
      <c r="F34" s="11">
        <v>1</v>
      </c>
      <c r="G34" s="11">
        <v>1</v>
      </c>
      <c r="H34" s="11">
        <f t="shared" si="0"/>
        <v>2</v>
      </c>
      <c r="I34" s="6" t="s">
        <v>22</v>
      </c>
      <c r="J34" s="7" t="s">
        <v>160</v>
      </c>
    </row>
    <row r="35" spans="1:10" ht="42.75">
      <c r="A35" s="5">
        <v>32</v>
      </c>
      <c r="B35" s="6" t="s">
        <v>164</v>
      </c>
      <c r="C35" s="6" t="s">
        <v>165</v>
      </c>
      <c r="D35" s="6" t="s">
        <v>27</v>
      </c>
      <c r="E35" s="6"/>
      <c r="F35" s="11">
        <v>63</v>
      </c>
      <c r="G35" s="11">
        <v>78</v>
      </c>
      <c r="H35" s="11">
        <f t="shared" si="0"/>
        <v>141</v>
      </c>
      <c r="I35" s="6" t="s">
        <v>22</v>
      </c>
      <c r="J35" s="7" t="s">
        <v>168</v>
      </c>
    </row>
    <row r="36" spans="1:10" ht="28.5">
      <c r="A36" s="5">
        <v>33</v>
      </c>
      <c r="B36" s="6" t="s">
        <v>19</v>
      </c>
      <c r="C36" s="6" t="s">
        <v>172</v>
      </c>
      <c r="D36" s="6" t="s">
        <v>21</v>
      </c>
      <c r="E36" s="6"/>
      <c r="F36" s="11">
        <v>1</v>
      </c>
      <c r="G36" s="11">
        <v>4</v>
      </c>
      <c r="H36" s="11">
        <f t="shared" si="0"/>
        <v>5</v>
      </c>
      <c r="I36" s="6" t="s">
        <v>22</v>
      </c>
      <c r="J36" s="7"/>
    </row>
    <row r="37" spans="1:10" ht="28.5">
      <c r="A37" s="5">
        <v>34</v>
      </c>
      <c r="B37" s="6" t="s">
        <v>125</v>
      </c>
      <c r="C37" s="6" t="s">
        <v>174</v>
      </c>
      <c r="D37" s="6" t="s">
        <v>27</v>
      </c>
      <c r="E37" s="6"/>
      <c r="F37" s="11">
        <v>1</v>
      </c>
      <c r="G37" s="11">
        <v>1</v>
      </c>
      <c r="H37" s="11">
        <f t="shared" si="0"/>
        <v>2</v>
      </c>
      <c r="I37" s="6" t="s">
        <v>22</v>
      </c>
      <c r="J37" s="7" t="s">
        <v>151</v>
      </c>
    </row>
    <row r="38" spans="1:10" ht="42.75">
      <c r="A38" s="5">
        <v>35</v>
      </c>
      <c r="B38" s="6" t="s">
        <v>164</v>
      </c>
      <c r="C38" s="6" t="s">
        <v>177</v>
      </c>
      <c r="D38" s="6" t="s">
        <v>27</v>
      </c>
      <c r="E38" s="6"/>
      <c r="F38" s="11">
        <v>1</v>
      </c>
      <c r="G38" s="11">
        <v>2</v>
      </c>
      <c r="H38" s="11">
        <f t="shared" si="0"/>
        <v>3</v>
      </c>
      <c r="I38" s="6" t="s">
        <v>22</v>
      </c>
      <c r="J38" s="7" t="s">
        <v>168</v>
      </c>
    </row>
    <row r="39" spans="1:10" ht="28.5">
      <c r="A39" s="5">
        <v>36</v>
      </c>
      <c r="B39" s="6" t="s">
        <v>19</v>
      </c>
      <c r="C39" s="6" t="s">
        <v>181</v>
      </c>
      <c r="D39" s="6" t="s">
        <v>21</v>
      </c>
      <c r="E39" s="6"/>
      <c r="F39" s="11">
        <v>2</v>
      </c>
      <c r="G39" s="11">
        <v>3</v>
      </c>
      <c r="H39" s="11">
        <f t="shared" si="0"/>
        <v>5</v>
      </c>
      <c r="I39" s="6" t="s">
        <v>22</v>
      </c>
      <c r="J39" s="7"/>
    </row>
    <row r="40" spans="1:10" ht="28.5">
      <c r="A40" s="5">
        <v>37</v>
      </c>
      <c r="B40" s="6" t="s">
        <v>125</v>
      </c>
      <c r="C40" s="6" t="s">
        <v>183</v>
      </c>
      <c r="D40" s="6" t="s">
        <v>27</v>
      </c>
      <c r="E40" s="6"/>
      <c r="F40" s="11">
        <v>3</v>
      </c>
      <c r="G40" s="11">
        <v>0</v>
      </c>
      <c r="H40" s="11">
        <f t="shared" si="0"/>
        <v>3</v>
      </c>
      <c r="I40" s="6" t="s">
        <v>22</v>
      </c>
      <c r="J40" s="7" t="s">
        <v>151</v>
      </c>
    </row>
    <row r="41" spans="1:10" ht="28.5">
      <c r="A41" s="5">
        <v>38</v>
      </c>
      <c r="B41" s="6" t="s">
        <v>125</v>
      </c>
      <c r="C41" s="6" t="s">
        <v>188</v>
      </c>
      <c r="D41" s="6" t="s">
        <v>27</v>
      </c>
      <c r="E41" s="6"/>
      <c r="F41" s="11">
        <v>1</v>
      </c>
      <c r="G41" s="11">
        <v>3</v>
      </c>
      <c r="H41" s="11">
        <f t="shared" si="0"/>
        <v>4</v>
      </c>
      <c r="I41" s="6" t="s">
        <v>22</v>
      </c>
      <c r="J41" s="7" t="s">
        <v>151</v>
      </c>
    </row>
    <row r="42" spans="1:10" ht="28.5">
      <c r="A42" s="5">
        <v>39</v>
      </c>
      <c r="B42" s="6" t="s">
        <v>19</v>
      </c>
      <c r="C42" s="6" t="s">
        <v>193</v>
      </c>
      <c r="D42" s="6" t="s">
        <v>21</v>
      </c>
      <c r="E42" s="6"/>
      <c r="F42" s="11">
        <v>2</v>
      </c>
      <c r="G42" s="11">
        <v>0</v>
      </c>
      <c r="H42" s="11">
        <f t="shared" si="0"/>
        <v>2</v>
      </c>
      <c r="I42" s="6" t="s">
        <v>22</v>
      </c>
      <c r="J42" s="7"/>
    </row>
    <row r="43" spans="1:10" ht="28.5">
      <c r="A43" s="5">
        <v>40</v>
      </c>
      <c r="B43" s="6" t="s">
        <v>125</v>
      </c>
      <c r="C43" s="6" t="s">
        <v>200</v>
      </c>
      <c r="D43" s="6" t="s">
        <v>27</v>
      </c>
      <c r="E43" s="6"/>
      <c r="F43" s="11">
        <v>2</v>
      </c>
      <c r="G43" s="11">
        <v>0</v>
      </c>
      <c r="H43" s="11">
        <f t="shared" si="0"/>
        <v>2</v>
      </c>
      <c r="I43" s="6" t="s">
        <v>22</v>
      </c>
      <c r="J43" s="7" t="s">
        <v>151</v>
      </c>
    </row>
    <row r="44" spans="1:10" ht="28.5">
      <c r="A44" s="5">
        <v>41</v>
      </c>
      <c r="B44" s="6" t="s">
        <v>125</v>
      </c>
      <c r="C44" s="6" t="s">
        <v>205</v>
      </c>
      <c r="D44" s="6" t="s">
        <v>27</v>
      </c>
      <c r="E44" s="6"/>
      <c r="F44" s="11">
        <v>1</v>
      </c>
      <c r="G44" s="11">
        <v>1</v>
      </c>
      <c r="H44" s="11">
        <f t="shared" si="0"/>
        <v>2</v>
      </c>
      <c r="I44" s="6" t="s">
        <v>22</v>
      </c>
      <c r="J44" s="7" t="s">
        <v>151</v>
      </c>
    </row>
    <row r="45" spans="1:10" ht="28.5">
      <c r="A45" s="5">
        <v>42</v>
      </c>
      <c r="B45" s="6" t="s">
        <v>25</v>
      </c>
      <c r="C45" s="6" t="s">
        <v>220</v>
      </c>
      <c r="D45" s="6" t="s">
        <v>27</v>
      </c>
      <c r="E45" s="6" t="s">
        <v>221</v>
      </c>
      <c r="F45" s="11">
        <v>0</v>
      </c>
      <c r="G45" s="11">
        <v>2</v>
      </c>
      <c r="H45" s="11">
        <f t="shared" si="0"/>
        <v>2</v>
      </c>
      <c r="I45" s="6" t="s">
        <v>22</v>
      </c>
      <c r="J45" s="7" t="s">
        <v>31</v>
      </c>
    </row>
    <row r="46" spans="1:10" ht="42.75">
      <c r="A46" s="5">
        <v>43</v>
      </c>
      <c r="B46" s="6" t="s">
        <v>80</v>
      </c>
      <c r="C46" s="6" t="s">
        <v>222</v>
      </c>
      <c r="D46" s="6" t="s">
        <v>27</v>
      </c>
      <c r="E46" s="6" t="s">
        <v>223</v>
      </c>
      <c r="F46" s="11">
        <v>0</v>
      </c>
      <c r="G46" s="11">
        <v>2</v>
      </c>
      <c r="H46" s="11">
        <f t="shared" si="0"/>
        <v>2</v>
      </c>
      <c r="I46" s="6" t="s">
        <v>17</v>
      </c>
      <c r="J46" s="7" t="s">
        <v>85</v>
      </c>
    </row>
    <row r="47" spans="1:10" ht="28.5">
      <c r="A47" s="5">
        <v>44</v>
      </c>
      <c r="B47" s="6" t="s">
        <v>43</v>
      </c>
      <c r="C47" s="6" t="s">
        <v>225</v>
      </c>
      <c r="D47" s="6" t="s">
        <v>27</v>
      </c>
      <c r="E47" s="6"/>
      <c r="F47" s="11">
        <v>0</v>
      </c>
      <c r="G47" s="11">
        <v>6</v>
      </c>
      <c r="H47" s="11">
        <f t="shared" si="0"/>
        <v>6</v>
      </c>
      <c r="I47" s="6" t="s">
        <v>22</v>
      </c>
      <c r="J47" s="7" t="s">
        <v>47</v>
      </c>
    </row>
    <row r="48" spans="1:10" ht="42.75">
      <c r="A48" s="8">
        <v>45</v>
      </c>
      <c r="B48" s="9" t="s">
        <v>92</v>
      </c>
      <c r="C48" s="9" t="s">
        <v>239</v>
      </c>
      <c r="D48" s="9" t="s">
        <v>27</v>
      </c>
      <c r="E48" s="9" t="s">
        <v>240</v>
      </c>
      <c r="F48" s="12">
        <v>0</v>
      </c>
      <c r="G48" s="12">
        <v>1</v>
      </c>
      <c r="H48" s="12">
        <f t="shared" si="0"/>
        <v>1</v>
      </c>
      <c r="I48" s="9" t="s">
        <v>22</v>
      </c>
      <c r="J48" s="10" t="s">
        <v>85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sqref="A1:F1"/>
    </sheetView>
  </sheetViews>
  <sheetFormatPr defaultRowHeight="14.25"/>
  <cols>
    <col min="1" max="1" width="6" customWidth="1"/>
    <col min="2" max="3" width="22" customWidth="1"/>
    <col min="4" max="4" width="58" customWidth="1"/>
    <col min="5" max="5" width="54" customWidth="1"/>
    <col min="6" max="6" width="48" customWidth="1"/>
  </cols>
  <sheetData>
    <row r="1" spans="1:6" ht="19.5">
      <c r="A1" s="31" t="s">
        <v>247</v>
      </c>
      <c r="B1" s="31"/>
      <c r="C1" s="31"/>
      <c r="D1" s="31"/>
      <c r="E1" s="31"/>
      <c r="F1" s="31"/>
    </row>
    <row r="3" spans="1:6" ht="15.75">
      <c r="A3" s="2" t="s">
        <v>2</v>
      </c>
      <c r="B3" s="3" t="s">
        <v>248</v>
      </c>
      <c r="C3" s="3" t="s">
        <v>249</v>
      </c>
      <c r="D3" s="3" t="s">
        <v>250</v>
      </c>
      <c r="E3" s="3" t="s">
        <v>251</v>
      </c>
      <c r="F3" s="4" t="s">
        <v>252</v>
      </c>
    </row>
    <row r="4" spans="1:6">
      <c r="A4" s="14">
        <v>1</v>
      </c>
      <c r="B4" s="15" t="s">
        <v>253</v>
      </c>
      <c r="C4" s="15" t="s">
        <v>254</v>
      </c>
      <c r="D4" s="15" t="s">
        <v>255</v>
      </c>
      <c r="E4" s="15" t="s">
        <v>256</v>
      </c>
      <c r="F4" s="16" t="s">
        <v>257</v>
      </c>
    </row>
    <row r="5" spans="1:6" ht="28.5">
      <c r="A5" s="14">
        <v>2</v>
      </c>
      <c r="B5" s="15" t="s">
        <v>258</v>
      </c>
      <c r="C5" s="15" t="s">
        <v>259</v>
      </c>
      <c r="D5" s="15" t="s">
        <v>260</v>
      </c>
      <c r="E5" s="15" t="s">
        <v>261</v>
      </c>
      <c r="F5" s="16" t="s">
        <v>262</v>
      </c>
    </row>
    <row r="6" spans="1:6" ht="28.5">
      <c r="A6" s="14">
        <v>3</v>
      </c>
      <c r="B6" s="15" t="s">
        <v>263</v>
      </c>
      <c r="C6" s="15" t="s">
        <v>259</v>
      </c>
      <c r="D6" s="15" t="s">
        <v>264</v>
      </c>
      <c r="E6" s="15" t="s">
        <v>265</v>
      </c>
      <c r="F6" s="16" t="s">
        <v>266</v>
      </c>
    </row>
    <row r="7" spans="1:6">
      <c r="A7" s="14">
        <v>4</v>
      </c>
      <c r="B7" s="15" t="s">
        <v>267</v>
      </c>
      <c r="C7" s="15" t="s">
        <v>268</v>
      </c>
      <c r="D7" s="15" t="s">
        <v>269</v>
      </c>
      <c r="E7" s="15" t="s">
        <v>270</v>
      </c>
      <c r="F7" s="16" t="s">
        <v>271</v>
      </c>
    </row>
    <row r="8" spans="1:6" ht="28.5">
      <c r="A8" s="14">
        <v>5</v>
      </c>
      <c r="B8" s="15" t="s">
        <v>272</v>
      </c>
      <c r="C8" s="15" t="s">
        <v>273</v>
      </c>
      <c r="D8" s="15" t="s">
        <v>274</v>
      </c>
      <c r="E8" s="15" t="s">
        <v>275</v>
      </c>
      <c r="F8" s="16" t="s">
        <v>276</v>
      </c>
    </row>
    <row r="9" spans="1:6" ht="28.5">
      <c r="A9" s="14">
        <v>6</v>
      </c>
      <c r="B9" s="15" t="s">
        <v>277</v>
      </c>
      <c r="C9" s="15" t="s">
        <v>278</v>
      </c>
      <c r="D9" s="15" t="s">
        <v>279</v>
      </c>
      <c r="E9" s="15" t="s">
        <v>280</v>
      </c>
      <c r="F9" s="16" t="s">
        <v>281</v>
      </c>
    </row>
    <row r="10" spans="1:6" ht="28.5">
      <c r="A10" s="14">
        <v>7</v>
      </c>
      <c r="B10" s="15" t="s">
        <v>282</v>
      </c>
      <c r="C10" s="15" t="s">
        <v>283</v>
      </c>
      <c r="D10" s="15" t="s">
        <v>284</v>
      </c>
      <c r="E10" s="15" t="s">
        <v>285</v>
      </c>
      <c r="F10" s="16" t="s">
        <v>286</v>
      </c>
    </row>
    <row r="11" spans="1:6" ht="28.5">
      <c r="A11" s="14">
        <v>8</v>
      </c>
      <c r="B11" s="15" t="s">
        <v>287</v>
      </c>
      <c r="C11" s="15" t="s">
        <v>288</v>
      </c>
      <c r="D11" s="15" t="s">
        <v>289</v>
      </c>
      <c r="E11" s="15" t="s">
        <v>290</v>
      </c>
      <c r="F11" s="16" t="s">
        <v>291</v>
      </c>
    </row>
    <row r="12" spans="1:6" ht="28.5">
      <c r="A12" s="14">
        <v>9</v>
      </c>
      <c r="B12" s="15" t="s">
        <v>292</v>
      </c>
      <c r="C12" s="15" t="s">
        <v>293</v>
      </c>
      <c r="D12" s="15" t="s">
        <v>294</v>
      </c>
      <c r="E12" s="15" t="s">
        <v>295</v>
      </c>
      <c r="F12" s="16" t="s">
        <v>296</v>
      </c>
    </row>
    <row r="13" spans="1:6" ht="28.5">
      <c r="A13" s="17">
        <v>10</v>
      </c>
      <c r="B13" s="18" t="s">
        <v>297</v>
      </c>
      <c r="C13" s="18" t="s">
        <v>298</v>
      </c>
      <c r="D13" s="18" t="s">
        <v>299</v>
      </c>
      <c r="E13" s="18" t="s">
        <v>300</v>
      </c>
      <c r="F13" s="19" t="s">
        <v>301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sqref="A1:D1"/>
    </sheetView>
  </sheetViews>
  <sheetFormatPr defaultRowHeight="14.25"/>
  <cols>
    <col min="1" max="1" width="18" customWidth="1"/>
    <col min="2" max="2" width="28" customWidth="1"/>
    <col min="3" max="3" width="80" customWidth="1"/>
    <col min="4" max="4" width="50" customWidth="1"/>
  </cols>
  <sheetData>
    <row r="1" spans="1:4" ht="20.25">
      <c r="A1" s="30" t="s">
        <v>302</v>
      </c>
      <c r="B1" s="30"/>
      <c r="C1" s="30"/>
      <c r="D1" s="30"/>
    </row>
    <row r="3" spans="1:4" ht="15.75">
      <c r="A3" s="1" t="s">
        <v>303</v>
      </c>
      <c r="B3" s="1" t="s">
        <v>304</v>
      </c>
      <c r="C3" s="1" t="s">
        <v>305</v>
      </c>
      <c r="D3" s="1" t="s">
        <v>306</v>
      </c>
    </row>
    <row r="4" spans="1:4">
      <c r="A4" s="13" t="s">
        <v>307</v>
      </c>
      <c r="B4" s="13" t="s">
        <v>244</v>
      </c>
      <c r="C4" s="13" t="s">
        <v>308</v>
      </c>
      <c r="D4" s="13" t="s">
        <v>309</v>
      </c>
    </row>
    <row r="5" spans="1:4">
      <c r="A5" s="13" t="s">
        <v>307</v>
      </c>
      <c r="B5" s="13" t="s">
        <v>245</v>
      </c>
      <c r="C5" s="13" t="s">
        <v>310</v>
      </c>
      <c r="D5" s="13" t="s">
        <v>309</v>
      </c>
    </row>
    <row r="6" spans="1:4" ht="28.5">
      <c r="A6" s="13" t="s">
        <v>311</v>
      </c>
      <c r="B6" s="13" t="s">
        <v>312</v>
      </c>
      <c r="C6" s="13" t="s">
        <v>31</v>
      </c>
      <c r="D6" s="13" t="s">
        <v>313</v>
      </c>
    </row>
    <row r="7" spans="1:4" ht="28.5">
      <c r="A7" s="13" t="s">
        <v>311</v>
      </c>
      <c r="B7" s="13" t="s">
        <v>314</v>
      </c>
      <c r="C7" s="13" t="s">
        <v>63</v>
      </c>
      <c r="D7" s="13" t="s">
        <v>315</v>
      </c>
    </row>
    <row r="8" spans="1:4" ht="28.5">
      <c r="A8" s="13" t="s">
        <v>311</v>
      </c>
      <c r="B8" s="13" t="s">
        <v>316</v>
      </c>
      <c r="C8" s="13" t="s">
        <v>168</v>
      </c>
      <c r="D8" s="13" t="s">
        <v>317</v>
      </c>
    </row>
    <row r="9" spans="1:4" ht="28.5">
      <c r="A9" s="13" t="s">
        <v>311</v>
      </c>
      <c r="B9" s="13" t="s">
        <v>318</v>
      </c>
      <c r="C9" s="13" t="s">
        <v>37</v>
      </c>
      <c r="D9" s="13" t="s">
        <v>319</v>
      </c>
    </row>
    <row r="10" spans="1:4" ht="28.5">
      <c r="A10" s="13" t="s">
        <v>311</v>
      </c>
      <c r="B10" s="13" t="s">
        <v>320</v>
      </c>
      <c r="C10" s="13" t="s">
        <v>151</v>
      </c>
      <c r="D10" s="13" t="s">
        <v>321</v>
      </c>
    </row>
    <row r="11" spans="1:4" ht="28.5">
      <c r="A11" s="13" t="s">
        <v>311</v>
      </c>
      <c r="B11" s="13" t="s">
        <v>322</v>
      </c>
      <c r="C11" s="13" t="s">
        <v>137</v>
      </c>
      <c r="D11" s="13" t="s">
        <v>323</v>
      </c>
    </row>
    <row r="12" spans="1:4" ht="28.5">
      <c r="A12" s="13" t="s">
        <v>311</v>
      </c>
      <c r="B12" s="13" t="s">
        <v>324</v>
      </c>
      <c r="C12" s="13" t="s">
        <v>85</v>
      </c>
      <c r="D12" s="13" t="s">
        <v>325</v>
      </c>
    </row>
    <row r="13" spans="1:4" ht="42.75">
      <c r="A13" s="13" t="s">
        <v>311</v>
      </c>
      <c r="B13" s="13" t="s">
        <v>326</v>
      </c>
      <c r="C13" s="13" t="s">
        <v>160</v>
      </c>
      <c r="D13" s="13" t="s">
        <v>327</v>
      </c>
    </row>
    <row r="14" spans="1:4" ht="28.5">
      <c r="A14" s="13" t="s">
        <v>311</v>
      </c>
      <c r="B14" s="13" t="s">
        <v>328</v>
      </c>
      <c r="C14" s="13" t="s">
        <v>47</v>
      </c>
      <c r="D14" s="13" t="s">
        <v>329</v>
      </c>
    </row>
    <row r="15" spans="1:4" ht="28.5">
      <c r="A15" s="13" t="s">
        <v>311</v>
      </c>
      <c r="B15" s="13" t="s">
        <v>330</v>
      </c>
      <c r="C15" s="13" t="s">
        <v>99</v>
      </c>
      <c r="D15" s="13" t="s">
        <v>331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LAB_CHINT_BOM</vt:lpstr>
      <vt:lpstr>MED_CHINT_BOM</vt:lpstr>
      <vt:lpstr>OZET</vt:lpstr>
      <vt:lpstr>KONTROL</vt:lpstr>
      <vt:lpstr>KAYNAKLAR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2026-08-24T12:38:07Z</dcterms:modified>
</cp:coreProperties>
</file>